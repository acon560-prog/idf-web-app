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nputs" sheetId="2" state="visible" r:id="rId2"/>
    <sheet name="CB_Tributaires" sheetId="3" state="visible" r:id="rId3"/>
    <sheet name="Conduites" sheetId="4" state="visible" r:id="rId4"/>
    <sheet name="Noeuds_plan" sheetId="5" state="visible" r:id="rId5"/>
    <sheet name="CB_plan" sheetId="6" state="visible" r:id="rId6"/>
    <sheet name="Conduites_plan_noeu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lt;1]0.000;0.00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3" borderId="0" pivotButton="0" quotePrefix="0" xfId="0"/>
    <xf numFmtId="164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RESEAU PLUVIAL - METHODE AVEC ELEVATION DE REFERENCE (EXUTOIRE DROITE)</t>
        </is>
      </c>
    </row>
    <row r="3">
      <c r="A3" t="inlineStr">
        <is>
          <t>But: dimensionner diametres, pentes et radiers meme si le radier du reseau public aval est inconnu.</t>
        </is>
      </c>
    </row>
    <row r="4">
      <c r="A4" t="inlineStr">
        <is>
          <t>Principe: choisir une elevation de reference a l exutoire (radier connu ou surface connue + profondeur de couverture).</t>
        </is>
      </c>
    </row>
    <row r="5">
      <c r="A5" t="inlineStr">
        <is>
          <t>Onglet Inputs: definir les hypotheses hydrauliques, IDF et la liste de diametres disponibles.</t>
        </is>
      </c>
    </row>
    <row r="6">
      <c r="A6" t="inlineStr">
        <is>
          <t>Onglet CB_Tributaires: entrer les surfaces de chaque puisard/catch basin et le Pipe_ID qui les recoit.</t>
        </is>
      </c>
    </row>
    <row r="7">
      <c r="A7" t="inlineStr">
        <is>
          <t>Onglet Conduites: entrer Pipe_ID, pipe receveur aval, longueur, C, tc, pente manuelle (si connue), terrain amont/aval.</t>
        </is>
      </c>
    </row>
    <row r="8">
      <c r="A8" t="inlineStr">
        <is>
          <t>Propagation des radiers: le pipe exutoire prend Inputs!B22; les pipes amont prennent le radier amont du pipe aval + chute de regard.</t>
        </is>
      </c>
    </row>
    <row r="9">
      <c r="A9" t="inlineStr">
        <is>
          <t>Dimensionnement: Q_local (rationnelle) + Q amont cumulee -&gt; Q_total_design -&gt; diametre recommande par Manning.</t>
        </is>
      </c>
    </row>
    <row r="10">
      <c r="A10" t="inlineStr">
        <is>
          <t>Controle: capacite, vitesse, pentes min/max, recouvrement mini.</t>
        </is>
      </c>
    </row>
    <row r="11">
      <c r="A11" t="inlineStr">
        <is>
          <t>Important: les references Receives_into_Pipe_ID doivent pointer vers l aval (vers P_OUT).</t>
        </is>
      </c>
    </row>
    <row r="12">
      <c r="A12" t="inlineStr">
        <is>
          <t>Utiliser d abord SURFACE si reseau public inconnu, puis recalibrer quand les radiers municipaux seront disponibles.</t>
        </is>
      </c>
    </row>
    <row r="15">
      <c r="A15" s="2" t="inlineStr">
        <is>
          <t>Formules cle (texte simple):</t>
        </is>
      </c>
    </row>
    <row r="16">
      <c r="A16" t="inlineStr">
        <is>
          <t>Q_local = 0.00278 * C * Area(m2) * i(mm/h)</t>
        </is>
      </c>
    </row>
    <row r="17">
      <c r="A17" t="inlineStr">
        <is>
          <t>Q_total = (Q_local + somme Q amont) * facteur de securite</t>
        </is>
      </c>
    </row>
    <row r="18">
      <c r="A18" t="inlineStr">
        <is>
          <t>Q_capacity = (1/n) * A * R^(2/3) * sqrt(S) (Manning, conduite pleine)</t>
        </is>
      </c>
    </row>
    <row r="19">
      <c r="A19" t="inlineStr">
        <is>
          <t>radier_aval_exutoire = reference (radier) OU surface - profondeur de couverture</t>
        </is>
      </c>
    </row>
    <row r="21">
      <c r="A21" t="inlineStr">
        <is>
          <t>Version 2 added: use Noeuds_plan + CB_plan + Conduites_plan_noeuds for node-by-node workflow.</t>
        </is>
      </c>
    </row>
    <row r="22">
      <c r="A22" t="inlineStr">
        <is>
          <t>Workflow: (1) paste elevations in Noeuds_plan!C, (2) paste areas in CB_plan!C, (3) review lengths blanks in Conduites_plan_noeuds!E.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70" customWidth="1" min="4" max="4"/>
    <col width="4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INPUTS</t>
        </is>
      </c>
    </row>
    <row r="2">
      <c r="A2" s="3" t="inlineStr">
        <is>
          <t>Parametre</t>
        </is>
      </c>
      <c r="B2" s="3" t="inlineStr">
        <is>
          <t>Valeur</t>
        </is>
      </c>
      <c r="C2" s="3" t="inlineStr">
        <is>
          <t>Unite</t>
        </is>
      </c>
      <c r="D2" s="3" t="inlineStr">
        <is>
          <t>Commentaire</t>
        </is>
      </c>
    </row>
    <row r="3">
      <c r="A3" s="4" t="inlineStr">
        <is>
          <t>Reference_Type (INVERT or SURFACE)</t>
        </is>
      </c>
      <c r="B3" s="5" t="inlineStr">
        <is>
          <t>SURFACE</t>
        </is>
      </c>
      <c r="C3" s="4" t="inlineStr">
        <is>
          <t>-</t>
        </is>
      </c>
      <c r="D3" s="4" t="inlineStr">
        <is>
          <t>SURFACE quand radier reseau public inconnu.</t>
        </is>
      </c>
      <c r="F3" s="6" t="inlineStr">
        <is>
          <t>Diametres disponibles (mm)</t>
        </is>
      </c>
    </row>
    <row r="4">
      <c r="A4" s="4" t="inlineStr">
        <is>
          <t>Outfall_reference_elevation_m</t>
        </is>
      </c>
      <c r="B4" s="5" t="n">
        <v>103.2</v>
      </c>
      <c r="C4" s="4" t="inlineStr">
        <is>
          <t>m</t>
        </is>
      </c>
      <c r="D4" s="4" t="inlineStr">
        <is>
          <t>Si SURFACE: niveau terrain exutoire. Si INVERT: radier exutoire.</t>
        </is>
      </c>
    </row>
    <row r="5">
      <c r="A5" s="4" t="inlineStr">
        <is>
          <t>Outfall_cover_depth_if_surface_m</t>
        </is>
      </c>
      <c r="B5" s="5" t="n">
        <v>1.8</v>
      </c>
      <c r="C5" s="4" t="inlineStr">
        <is>
          <t>m</t>
        </is>
      </c>
      <c r="D5" s="4" t="inlineStr">
        <is>
          <t>Profondeur terrain-&gt;radier a l exutoire (si SURFACE).</t>
        </is>
      </c>
      <c r="F5" s="5" t="n">
        <v>200</v>
      </c>
    </row>
    <row r="6">
      <c r="A6" s="4" t="inlineStr">
        <is>
          <t>Outfall_pipe_ID</t>
        </is>
      </c>
      <c r="B6" s="5" t="inlineStr">
        <is>
          <t>L12_JOUT_PUB</t>
        </is>
      </c>
      <c r="C6" s="4" t="inlineStr">
        <is>
          <t>-</t>
        </is>
      </c>
      <c r="D6" s="4" t="inlineStr">
        <is>
          <t>Pipe qui se connecte au reseau public (droite).</t>
        </is>
      </c>
      <c r="F6" s="5" t="n">
        <v>250</v>
      </c>
    </row>
    <row r="7">
      <c r="A7" s="4" t="inlineStr">
        <is>
          <t>Min_slope_m_per_m</t>
        </is>
      </c>
      <c r="B7" s="5" t="n">
        <v>0.003</v>
      </c>
      <c r="C7" s="4" t="inlineStr">
        <is>
          <t>m/m</t>
        </is>
      </c>
      <c r="D7" s="4" t="inlineStr">
        <is>
          <t>Pente minimale de controle.</t>
        </is>
      </c>
      <c r="F7" s="5" t="n">
        <v>300</v>
      </c>
    </row>
    <row r="8">
      <c r="A8" s="4" t="inlineStr">
        <is>
          <t>Max_slope_m_per_m</t>
        </is>
      </c>
      <c r="B8" s="5" t="n">
        <v>0.05</v>
      </c>
      <c r="C8" s="4" t="inlineStr">
        <is>
          <t>m/m</t>
        </is>
      </c>
      <c r="D8" s="4" t="inlineStr">
        <is>
          <t>Pente maximale de controle.</t>
        </is>
      </c>
      <c r="F8" s="5" t="n">
        <v>375</v>
      </c>
    </row>
    <row r="9">
      <c r="A9" s="4" t="inlineStr">
        <is>
          <t>Manning_n</t>
        </is>
      </c>
      <c r="B9" s="5" t="n">
        <v>0.013</v>
      </c>
      <c r="C9" s="4" t="inlineStr">
        <is>
          <t>-</t>
        </is>
      </c>
      <c r="D9" s="4" t="inlineStr">
        <is>
          <t>Rugosite Manning.</t>
        </is>
      </c>
      <c r="F9" s="5" t="n">
        <v>450</v>
      </c>
    </row>
    <row r="10">
      <c r="A10" s="4" t="inlineStr">
        <is>
          <t>Design_fill_ratio_limit</t>
        </is>
      </c>
      <c r="B10" s="5" t="n">
        <v>0.8</v>
      </c>
      <c r="C10" s="4" t="inlineStr">
        <is>
          <t>-</t>
        </is>
      </c>
      <c r="D10" s="4" t="inlineStr">
        <is>
          <t>Q/(Q pleine) admissible.</t>
        </is>
      </c>
      <c r="F10" s="5" t="n">
        <v>525</v>
      </c>
    </row>
    <row r="11">
      <c r="A11" s="4" t="inlineStr">
        <is>
          <t>Min_velocity_mps</t>
        </is>
      </c>
      <c r="B11" s="5" t="n">
        <v>0.75</v>
      </c>
      <c r="C11" s="4" t="inlineStr">
        <is>
          <t>m/s</t>
        </is>
      </c>
      <c r="D11" s="4" t="inlineStr">
        <is>
          <t>Vitesse minimale souhaitee.</t>
        </is>
      </c>
      <c r="F11" s="5" t="n">
        <v>600</v>
      </c>
    </row>
    <row r="12">
      <c r="A12" s="4" t="inlineStr">
        <is>
          <t>Max_velocity_mps</t>
        </is>
      </c>
      <c r="B12" s="5" t="n">
        <v>3</v>
      </c>
      <c r="C12" s="4" t="inlineStr">
        <is>
          <t>m/s</t>
        </is>
      </c>
      <c r="D12" s="4" t="inlineStr">
        <is>
          <t>Vitesse maximale souhaitee.</t>
        </is>
      </c>
      <c r="F12" s="5" t="n">
        <v>675</v>
      </c>
    </row>
    <row r="13">
      <c r="A13" s="4" t="inlineStr">
        <is>
          <t>IDF_a</t>
        </is>
      </c>
      <c r="B13" s="5" t="n">
        <v>4156.21</v>
      </c>
      <c r="C13" s="4" t="inlineStr">
        <is>
          <t>-</t>
        </is>
      </c>
      <c r="D13" s="4" t="inlineStr">
        <is>
          <t>i = a/(tc+b)^c</t>
        </is>
      </c>
      <c r="F13" s="5" t="n">
        <v>750</v>
      </c>
    </row>
    <row r="14">
      <c r="A14" s="4" t="inlineStr">
        <is>
          <t>IDF_b</t>
        </is>
      </c>
      <c r="B14" s="5" t="n">
        <v>15.1</v>
      </c>
      <c r="C14" s="4" t="inlineStr">
        <is>
          <t>min</t>
        </is>
      </c>
      <c r="D14" s="4" t="inlineStr">
        <is>
          <t>Parametre IDF b.</t>
        </is>
      </c>
      <c r="F14" s="5" t="n">
        <v>900</v>
      </c>
    </row>
    <row r="15">
      <c r="A15" s="4" t="inlineStr">
        <is>
          <t>IDF_c</t>
        </is>
      </c>
      <c r="B15" s="5" t="n">
        <v>1.026</v>
      </c>
      <c r="C15" s="4" t="inlineStr">
        <is>
          <t>-</t>
        </is>
      </c>
      <c r="D15" s="4" t="inlineStr">
        <is>
          <t>Parametre IDF c.</t>
        </is>
      </c>
    </row>
    <row r="16">
      <c r="A16" s="4" t="inlineStr">
        <is>
          <t>Flow_safety_factor</t>
        </is>
      </c>
      <c r="B16" s="5" t="n">
        <v>1.1</v>
      </c>
      <c r="C16" s="4" t="inlineStr">
        <is>
          <t>-</t>
        </is>
      </c>
      <c r="D16" s="4" t="inlineStr">
        <is>
          <t>Facteur applique a Q total.</t>
        </is>
      </c>
    </row>
    <row r="17">
      <c r="A17" s="4" t="inlineStr">
        <is>
          <t>Default_runoff_C</t>
        </is>
      </c>
      <c r="B17" s="5" t="n">
        <v>0.9</v>
      </c>
      <c r="C17" s="4" t="inlineStr">
        <is>
          <t>-</t>
        </is>
      </c>
      <c r="D17" s="4" t="inlineStr">
        <is>
          <t>Utilise si C local non renseigne.</t>
        </is>
      </c>
    </row>
    <row r="18">
      <c r="A18" s="4" t="inlineStr">
        <is>
          <t>Default_tc_min</t>
        </is>
      </c>
      <c r="B18" s="5" t="n">
        <v>10</v>
      </c>
      <c r="C18" s="4" t="inlineStr">
        <is>
          <t>min</t>
        </is>
      </c>
      <c r="D18" s="4" t="inlineStr">
        <is>
          <t>Utilise si tc local non renseigne.</t>
        </is>
      </c>
    </row>
    <row r="19">
      <c r="A19" s="4" t="inlineStr">
        <is>
          <t>Min_cover_depth_m</t>
        </is>
      </c>
      <c r="B19" s="5" t="n">
        <v>1.2</v>
      </c>
      <c r="C19" s="4" t="inlineStr">
        <is>
          <t>m</t>
        </is>
      </c>
      <c r="D19" s="4" t="inlineStr">
        <is>
          <t>Recouvrement mini de controle.</t>
        </is>
      </c>
    </row>
    <row r="20">
      <c r="A20" s="4" t="inlineStr">
        <is>
          <t>Default_junction_drop_m</t>
        </is>
      </c>
      <c r="B20" s="5" t="n">
        <v>0.02</v>
      </c>
      <c r="C20" s="4" t="inlineStr">
        <is>
          <t>m</t>
        </is>
      </c>
      <c r="D20" s="4" t="inlineStr">
        <is>
          <t>Chute de regard par defaut.</t>
        </is>
      </c>
    </row>
    <row r="22">
      <c r="A22" s="2" t="inlineStr">
        <is>
          <t>Outfall_invert_derived_m</t>
        </is>
      </c>
      <c r="B22" s="7">
        <f>IF(UPPER(TRIM(B3))="SURFACE",B4-B5,B4)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4" customWidth="1" min="5" max="5"/>
    <col width="44" customWidth="1" min="6" max="6"/>
  </cols>
  <sheetData>
    <row r="1">
      <c r="A1" s="1" t="inlineStr">
        <is>
          <t>AREAS TRIBUTAIRES PAR CATCH BASIN</t>
        </is>
      </c>
    </row>
    <row r="3">
      <c r="A3" s="3" t="inlineStr">
        <is>
          <t>CB_ID</t>
        </is>
      </c>
      <c r="B3" s="3" t="inlineStr">
        <is>
          <t>Receives_into_Pipe_ID</t>
        </is>
      </c>
      <c r="C3" s="3" t="inlineStr">
        <is>
          <t>Area_m2</t>
        </is>
      </c>
      <c r="D3" s="3" t="inlineStr">
        <is>
          <t>Runoff_C</t>
        </is>
      </c>
      <c r="E3" s="3" t="inlineStr">
        <is>
          <t>Area_x_C</t>
        </is>
      </c>
      <c r="F3" s="3" t="inlineStr">
        <is>
          <t>Notes</t>
        </is>
      </c>
    </row>
    <row r="4">
      <c r="A4" s="4" t="n"/>
      <c r="B4" s="4" t="n"/>
      <c r="C4" s="8" t="n"/>
      <c r="D4" s="9" t="n"/>
      <c r="E4" s="8">
        <f>IF(OR(C4="",D4=""),"",C4*D4)</f>
        <v/>
      </c>
      <c r="F4" s="4" t="n"/>
    </row>
    <row r="5">
      <c r="A5" s="4" t="n"/>
      <c r="B5" s="4" t="n"/>
      <c r="C5" s="8" t="n"/>
      <c r="D5" s="9" t="n"/>
      <c r="E5" s="8">
        <f>IF(OR(C5="",D5=""),"",C5*D5)</f>
        <v/>
      </c>
      <c r="F5" s="4" t="n"/>
    </row>
    <row r="6">
      <c r="A6" s="4" t="n"/>
      <c r="B6" s="4" t="n"/>
      <c r="C6" s="8" t="n"/>
      <c r="D6" s="9" t="n"/>
      <c r="E6" s="8">
        <f>IF(OR(C6="",D6=""),"",C6*D6)</f>
        <v/>
      </c>
      <c r="F6" s="4" t="n"/>
    </row>
    <row r="7">
      <c r="A7" s="4" t="n"/>
      <c r="B7" s="4" t="n"/>
      <c r="C7" s="8" t="n"/>
      <c r="D7" s="9" t="n"/>
      <c r="E7" s="8">
        <f>IF(OR(C7="",D7=""),"",C7*D7)</f>
        <v/>
      </c>
      <c r="F7" s="4" t="n"/>
    </row>
    <row r="8">
      <c r="A8" s="4" t="n"/>
      <c r="B8" s="4" t="n"/>
      <c r="C8" s="8" t="n"/>
      <c r="D8" s="9" t="n"/>
      <c r="E8" s="8">
        <f>IF(OR(C8="",D8=""),"",C8*D8)</f>
        <v/>
      </c>
      <c r="F8" s="4" t="n"/>
    </row>
    <row r="9">
      <c r="A9" s="4" t="n"/>
      <c r="B9" s="4" t="n"/>
      <c r="C9" s="8" t="n"/>
      <c r="D9" s="9" t="n"/>
      <c r="E9" s="8">
        <f>IF(OR(C9="",D9=""),"",C9*D9)</f>
        <v/>
      </c>
      <c r="F9" s="4" t="n"/>
    </row>
    <row r="10">
      <c r="A10" s="4" t="n"/>
      <c r="B10" s="4" t="n"/>
      <c r="C10" s="8" t="n"/>
      <c r="D10" s="9" t="n"/>
      <c r="E10" s="8">
        <f>IF(OR(C10="",D10=""),"",C10*D10)</f>
        <v/>
      </c>
      <c r="F10" s="4" t="n"/>
    </row>
    <row r="11">
      <c r="A11" s="4" t="n"/>
      <c r="B11" s="4" t="n"/>
      <c r="C11" s="8" t="n"/>
      <c r="D11" s="9" t="n"/>
      <c r="E11" s="8">
        <f>IF(OR(C11="",D11=""),"",C11*D11)</f>
        <v/>
      </c>
      <c r="F11" s="4" t="n"/>
    </row>
    <row r="12">
      <c r="A12" s="4" t="n"/>
      <c r="B12" s="4" t="n"/>
      <c r="C12" s="8" t="n"/>
      <c r="D12" s="9" t="n"/>
      <c r="E12" s="8">
        <f>IF(OR(C12="",D12=""),"",C12*D12)</f>
        <v/>
      </c>
      <c r="F12" s="4" t="n"/>
    </row>
    <row r="13">
      <c r="A13" s="4" t="n"/>
      <c r="B13" s="4" t="n"/>
      <c r="C13" s="8" t="n"/>
      <c r="D13" s="9" t="n"/>
      <c r="E13" s="8">
        <f>IF(OR(C13="",D13=""),"",C13*D13)</f>
        <v/>
      </c>
      <c r="F13" s="4" t="n"/>
    </row>
    <row r="14">
      <c r="A14" s="4" t="n"/>
      <c r="B14" s="4" t="n"/>
      <c r="C14" s="8" t="n"/>
      <c r="D14" s="9" t="n"/>
      <c r="E14" s="8">
        <f>IF(OR(C14="",D14=""),"",C14*D14)</f>
        <v/>
      </c>
      <c r="F14" s="4" t="n"/>
    </row>
    <row r="15">
      <c r="A15" s="4" t="n"/>
      <c r="B15" s="4" t="n"/>
      <c r="C15" s="8" t="n"/>
      <c r="D15" s="9" t="n"/>
      <c r="E15" s="8">
        <f>IF(OR(C15="",D15=""),"",C15*D15)</f>
        <v/>
      </c>
      <c r="F15" s="4" t="n"/>
    </row>
    <row r="16">
      <c r="A16" s="4" t="n"/>
      <c r="B16" s="4" t="n"/>
      <c r="C16" s="8" t="n"/>
      <c r="D16" s="9" t="n"/>
      <c r="E16" s="8">
        <f>IF(OR(C16="",D16=""),"",C16*D16)</f>
        <v/>
      </c>
      <c r="F16" s="4" t="n"/>
    </row>
    <row r="17">
      <c r="A17" s="4" t="n"/>
      <c r="B17" s="4" t="n"/>
      <c r="C17" s="8" t="n"/>
      <c r="D17" s="9" t="n"/>
      <c r="E17" s="8">
        <f>IF(OR(C17="",D17=""),"",C17*D17)</f>
        <v/>
      </c>
      <c r="F17" s="4" t="n"/>
    </row>
    <row r="18">
      <c r="A18" s="4" t="n"/>
      <c r="B18" s="4" t="n"/>
      <c r="C18" s="8" t="n"/>
      <c r="D18" s="9" t="n"/>
      <c r="E18" s="8">
        <f>IF(OR(C18="",D18=""),"",C18*D18)</f>
        <v/>
      </c>
      <c r="F18" s="4" t="n"/>
    </row>
    <row r="19">
      <c r="A19" s="4" t="n"/>
      <c r="B19" s="4" t="n"/>
      <c r="C19" s="8" t="n"/>
      <c r="D19" s="9" t="n"/>
      <c r="E19" s="8">
        <f>IF(OR(C19="",D19=""),"",C19*D19)</f>
        <v/>
      </c>
      <c r="F19" s="4" t="n"/>
    </row>
    <row r="20">
      <c r="A20" s="4" t="n"/>
      <c r="B20" s="4" t="n"/>
      <c r="C20" s="8" t="n"/>
      <c r="D20" s="9" t="n"/>
      <c r="E20" s="8">
        <f>IF(OR(C20="",D20=""),"",C20*D20)</f>
        <v/>
      </c>
      <c r="F20" s="4" t="n"/>
    </row>
    <row r="21">
      <c r="A21" s="4" t="n"/>
      <c r="B21" s="4" t="n"/>
      <c r="C21" s="8" t="n"/>
      <c r="D21" s="9" t="n"/>
      <c r="E21" s="8">
        <f>IF(OR(C21="",D21=""),"",C21*D21)</f>
        <v/>
      </c>
      <c r="F21" s="4" t="n"/>
    </row>
    <row r="22">
      <c r="A22" s="4" t="n"/>
      <c r="B22" s="4" t="n"/>
      <c r="C22" s="8" t="n"/>
      <c r="D22" s="9" t="n"/>
      <c r="E22" s="8">
        <f>IF(OR(C22="",D22=""),"",C22*D22)</f>
        <v/>
      </c>
      <c r="F22" s="4" t="n"/>
    </row>
    <row r="23">
      <c r="A23" s="4" t="n"/>
      <c r="B23" s="4" t="n"/>
      <c r="C23" s="8" t="n"/>
      <c r="D23" s="9" t="n"/>
      <c r="E23" s="8">
        <f>IF(OR(C23="",D23=""),"",C23*D23)</f>
        <v/>
      </c>
      <c r="F23" s="4" t="n"/>
    </row>
    <row r="24">
      <c r="A24" s="4" t="n"/>
      <c r="B24" s="4" t="n"/>
      <c r="C24" s="8" t="n"/>
      <c r="D24" s="9" t="n"/>
      <c r="E24" s="8">
        <f>IF(OR(C24="",D24=""),"",C24*D24)</f>
        <v/>
      </c>
      <c r="F24" s="4" t="n"/>
    </row>
    <row r="25">
      <c r="A25" s="4" t="n"/>
      <c r="B25" s="4" t="n"/>
      <c r="C25" s="8" t="n"/>
      <c r="D25" s="9" t="n"/>
      <c r="E25" s="8">
        <f>IF(OR(C25="",D25=""),"",C25*D25)</f>
        <v/>
      </c>
      <c r="F25" s="4" t="n"/>
    </row>
    <row r="26">
      <c r="A26" s="4" t="n"/>
      <c r="B26" s="4" t="n"/>
      <c r="C26" s="8" t="n"/>
      <c r="D26" s="9" t="n"/>
      <c r="E26" s="8">
        <f>IF(OR(C26="",D26=""),"",C26*D26)</f>
        <v/>
      </c>
      <c r="F26" s="4" t="n"/>
    </row>
    <row r="27">
      <c r="A27" s="4" t="n"/>
      <c r="B27" s="4" t="n"/>
      <c r="C27" s="8" t="n"/>
      <c r="D27" s="9" t="n"/>
      <c r="E27" s="8">
        <f>IF(OR(C27="",D27=""),"",C27*D27)</f>
        <v/>
      </c>
      <c r="F27" s="4" t="n"/>
    </row>
    <row r="28">
      <c r="A28" s="4" t="n"/>
      <c r="B28" s="4" t="n"/>
      <c r="C28" s="8" t="n"/>
      <c r="D28" s="9" t="n"/>
      <c r="E28" s="8">
        <f>IF(OR(C28="",D28=""),"",C28*D28)</f>
        <v/>
      </c>
      <c r="F28" s="4" t="n"/>
    </row>
    <row r="29">
      <c r="A29" s="4" t="n"/>
      <c r="B29" s="4" t="n"/>
      <c r="C29" s="8" t="n"/>
      <c r="D29" s="9" t="n"/>
      <c r="E29" s="8">
        <f>IF(OR(C29="",D29=""),"",C29*D29)</f>
        <v/>
      </c>
      <c r="F29" s="4" t="n"/>
    </row>
    <row r="30">
      <c r="A30" s="4" t="n"/>
      <c r="B30" s="4" t="n"/>
      <c r="C30" s="8" t="n"/>
      <c r="D30" s="9" t="n"/>
      <c r="E30" s="8">
        <f>IF(OR(C30="",D30=""),"",C30*D30)</f>
        <v/>
      </c>
      <c r="F30" s="4" t="n"/>
    </row>
    <row r="31">
      <c r="A31" s="4" t="n"/>
      <c r="B31" s="4" t="n"/>
      <c r="C31" s="8" t="n"/>
      <c r="D31" s="9" t="n"/>
      <c r="E31" s="8">
        <f>IF(OR(C31="",D31=""),"",C31*D31)</f>
        <v/>
      </c>
      <c r="F31" s="4" t="n"/>
    </row>
    <row r="32">
      <c r="A32" s="4" t="n"/>
      <c r="B32" s="4" t="n"/>
      <c r="C32" s="8" t="n"/>
      <c r="D32" s="9" t="n"/>
      <c r="E32" s="8">
        <f>IF(OR(C32="",D32=""),"",C32*D32)</f>
        <v/>
      </c>
      <c r="F32" s="4" t="n"/>
    </row>
    <row r="33">
      <c r="A33" s="4" t="n"/>
      <c r="B33" s="4" t="n"/>
      <c r="C33" s="8" t="n"/>
      <c r="D33" s="9" t="n"/>
      <c r="E33" s="8">
        <f>IF(OR(C33="",D33=""),"",C33*D33)</f>
        <v/>
      </c>
      <c r="F33" s="4" t="n"/>
    </row>
    <row r="34">
      <c r="A34" s="4" t="n"/>
      <c r="B34" s="4" t="n"/>
      <c r="C34" s="8" t="n"/>
      <c r="D34" s="9" t="n"/>
      <c r="E34" s="8">
        <f>IF(OR(C34="",D34=""),"",C34*D34)</f>
        <v/>
      </c>
      <c r="F34" s="4" t="n"/>
    </row>
    <row r="35">
      <c r="A35" s="4" t="n"/>
      <c r="B35" s="4" t="n"/>
      <c r="C35" s="8" t="n"/>
      <c r="D35" s="9" t="n"/>
      <c r="E35" s="8">
        <f>IF(OR(C35="",D35=""),"",C35*D35)</f>
        <v/>
      </c>
      <c r="F35" s="4" t="n"/>
    </row>
    <row r="36">
      <c r="A36" s="4" t="n"/>
      <c r="B36" s="4" t="n"/>
      <c r="C36" s="8" t="n"/>
      <c r="D36" s="9" t="n"/>
      <c r="E36" s="8">
        <f>IF(OR(C36="",D36=""),"",C36*D36)</f>
        <v/>
      </c>
      <c r="F36" s="4" t="n"/>
    </row>
    <row r="37">
      <c r="A37" s="4" t="n"/>
      <c r="B37" s="4" t="n"/>
      <c r="C37" s="8" t="n"/>
      <c r="D37" s="9" t="n"/>
      <c r="E37" s="8">
        <f>IF(OR(C37="",D37=""),"",C37*D37)</f>
        <v/>
      </c>
      <c r="F37" s="4" t="n"/>
    </row>
    <row r="38">
      <c r="A38" s="4" t="n"/>
      <c r="B38" s="4" t="n"/>
      <c r="C38" s="8" t="n"/>
      <c r="D38" s="9" t="n"/>
      <c r="E38" s="8">
        <f>IF(OR(C38="",D38=""),"",C38*D38)</f>
        <v/>
      </c>
      <c r="F38" s="4" t="n"/>
    </row>
    <row r="39">
      <c r="A39" s="4" t="n"/>
      <c r="B39" s="4" t="n"/>
      <c r="C39" s="8" t="n"/>
      <c r="D39" s="9" t="n"/>
      <c r="E39" s="8">
        <f>IF(OR(C39="",D39=""),"",C39*D39)</f>
        <v/>
      </c>
      <c r="F39" s="4" t="n"/>
    </row>
    <row r="40">
      <c r="A40" s="4" t="n"/>
      <c r="B40" s="4" t="n"/>
      <c r="C40" s="8" t="n"/>
      <c r="D40" s="9" t="n"/>
      <c r="E40" s="8">
        <f>IF(OR(C40="",D40=""),"",C40*D40)</f>
        <v/>
      </c>
      <c r="F40" s="4" t="n"/>
    </row>
    <row r="41">
      <c r="A41" s="4" t="n"/>
      <c r="B41" s="4" t="n"/>
      <c r="C41" s="8" t="n"/>
      <c r="D41" s="9" t="n"/>
      <c r="E41" s="8">
        <f>IF(OR(C41="",D41=""),"",C41*D41)</f>
        <v/>
      </c>
      <c r="F41" s="4" t="n"/>
    </row>
    <row r="42">
      <c r="A42" s="4" t="n"/>
      <c r="B42" s="4" t="n"/>
      <c r="C42" s="8" t="n"/>
      <c r="D42" s="9" t="n"/>
      <c r="E42" s="8">
        <f>IF(OR(C42="",D42=""),"",C42*D42)</f>
        <v/>
      </c>
      <c r="F42" s="4" t="n"/>
    </row>
    <row r="43">
      <c r="A43" s="4" t="n"/>
      <c r="B43" s="4" t="n"/>
      <c r="C43" s="8" t="n"/>
      <c r="D43" s="9" t="n"/>
      <c r="E43" s="8">
        <f>IF(OR(C43="",D43=""),"",C43*D43)</f>
        <v/>
      </c>
      <c r="F43" s="4" t="n"/>
    </row>
    <row r="44">
      <c r="A44" s="4" t="n"/>
      <c r="B44" s="4" t="n"/>
      <c r="C44" s="8" t="n"/>
      <c r="D44" s="9" t="n"/>
      <c r="E44" s="8">
        <f>IF(OR(C44="",D44=""),"",C44*D44)</f>
        <v/>
      </c>
      <c r="F44" s="4" t="n"/>
    </row>
    <row r="45">
      <c r="A45" s="4" t="n"/>
      <c r="B45" s="4" t="n"/>
      <c r="C45" s="8" t="n"/>
      <c r="D45" s="9" t="n"/>
      <c r="E45" s="8">
        <f>IF(OR(C45="",D45=""),"",C45*D45)</f>
        <v/>
      </c>
      <c r="F45" s="4" t="n"/>
    </row>
    <row r="46">
      <c r="A46" s="4" t="n"/>
      <c r="B46" s="4" t="n"/>
      <c r="C46" s="8" t="n"/>
      <c r="D46" s="9" t="n"/>
      <c r="E46" s="8">
        <f>IF(OR(C46="",D46=""),"",C46*D46)</f>
        <v/>
      </c>
      <c r="F46" s="4" t="n"/>
    </row>
    <row r="47">
      <c r="A47" s="4" t="n"/>
      <c r="B47" s="4" t="n"/>
      <c r="C47" s="8" t="n"/>
      <c r="D47" s="9" t="n"/>
      <c r="E47" s="8">
        <f>IF(OR(C47="",D47=""),"",C47*D47)</f>
        <v/>
      </c>
      <c r="F47" s="4" t="n"/>
    </row>
    <row r="48">
      <c r="A48" s="4" t="n"/>
      <c r="B48" s="4" t="n"/>
      <c r="C48" s="8" t="n"/>
      <c r="D48" s="9" t="n"/>
      <c r="E48" s="8">
        <f>IF(OR(C48="",D48=""),"",C48*D48)</f>
        <v/>
      </c>
      <c r="F48" s="4" t="n"/>
    </row>
    <row r="49">
      <c r="A49" s="4" t="n"/>
      <c r="B49" s="4" t="n"/>
      <c r="C49" s="8" t="n"/>
      <c r="D49" s="9" t="n"/>
      <c r="E49" s="8">
        <f>IF(OR(C49="",D49=""),"",C49*D49)</f>
        <v/>
      </c>
      <c r="F49" s="4" t="n"/>
    </row>
    <row r="50">
      <c r="A50" s="4" t="n"/>
      <c r="B50" s="4" t="n"/>
      <c r="C50" s="8" t="n"/>
      <c r="D50" s="9" t="n"/>
      <c r="E50" s="8">
        <f>IF(OR(C50="",D50=""),"",C50*D50)</f>
        <v/>
      </c>
      <c r="F50" s="4" t="n"/>
    </row>
    <row r="51">
      <c r="A51" s="4" t="n"/>
      <c r="B51" s="4" t="n"/>
      <c r="C51" s="8" t="n"/>
      <c r="D51" s="9" t="n"/>
      <c r="E51" s="8">
        <f>IF(OR(C51="",D51=""),"",C51*D51)</f>
        <v/>
      </c>
      <c r="F51" s="4" t="n"/>
    </row>
    <row r="52">
      <c r="A52" s="4" t="n"/>
      <c r="B52" s="4" t="n"/>
      <c r="C52" s="8" t="n"/>
      <c r="D52" s="9" t="n"/>
      <c r="E52" s="8">
        <f>IF(OR(C52="",D52=""),"",C52*D52)</f>
        <v/>
      </c>
      <c r="F52" s="4" t="n"/>
    </row>
    <row r="53">
      <c r="A53" s="4" t="n"/>
      <c r="B53" s="4" t="n"/>
      <c r="C53" s="8" t="n"/>
      <c r="D53" s="9" t="n"/>
      <c r="E53" s="8">
        <f>IF(OR(C53="",D53=""),"",C53*D53)</f>
        <v/>
      </c>
      <c r="F53" s="4" t="n"/>
    </row>
    <row r="54">
      <c r="A54" s="4" t="n"/>
      <c r="B54" s="4" t="n"/>
      <c r="C54" s="8" t="n"/>
      <c r="D54" s="9" t="n"/>
      <c r="E54" s="8">
        <f>IF(OR(C54="",D54=""),"",C54*D54)</f>
        <v/>
      </c>
      <c r="F54" s="4" t="n"/>
    </row>
    <row r="55">
      <c r="A55" s="4" t="n"/>
      <c r="B55" s="4" t="n"/>
      <c r="C55" s="8" t="n"/>
      <c r="D55" s="9" t="n"/>
      <c r="E55" s="8">
        <f>IF(OR(C55="",D55=""),"",C55*D55)</f>
        <v/>
      </c>
      <c r="F55" s="4" t="n"/>
    </row>
    <row r="56">
      <c r="A56" s="4" t="n"/>
      <c r="B56" s="4" t="n"/>
      <c r="C56" s="8" t="n"/>
      <c r="D56" s="9" t="n"/>
      <c r="E56" s="8">
        <f>IF(OR(C56="",D56=""),"",C56*D56)</f>
        <v/>
      </c>
      <c r="F56" s="4" t="n"/>
    </row>
    <row r="57">
      <c r="A57" s="4" t="n"/>
      <c r="B57" s="4" t="n"/>
      <c r="C57" s="8" t="n"/>
      <c r="D57" s="9" t="n"/>
      <c r="E57" s="8">
        <f>IF(OR(C57="",D57=""),"",C57*D57)</f>
        <v/>
      </c>
      <c r="F57" s="4" t="n"/>
    </row>
    <row r="58">
      <c r="A58" s="4" t="n"/>
      <c r="B58" s="4" t="n"/>
      <c r="C58" s="8" t="n"/>
      <c r="D58" s="9" t="n"/>
      <c r="E58" s="8">
        <f>IF(OR(C58="",D58=""),"",C58*D58)</f>
        <v/>
      </c>
      <c r="F58" s="4" t="n"/>
    </row>
    <row r="59">
      <c r="A59" s="4" t="n"/>
      <c r="B59" s="4" t="n"/>
      <c r="C59" s="8" t="n"/>
      <c r="D59" s="9" t="n"/>
      <c r="E59" s="8">
        <f>IF(OR(C59="",D59=""),"",C59*D59)</f>
        <v/>
      </c>
      <c r="F59" s="4" t="n"/>
    </row>
    <row r="60">
      <c r="A60" s="4" t="n"/>
      <c r="B60" s="4" t="n"/>
      <c r="C60" s="8" t="n"/>
      <c r="D60" s="9" t="n"/>
      <c r="E60" s="8">
        <f>IF(OR(C60="",D60=""),"",C60*D60)</f>
        <v/>
      </c>
      <c r="F60" s="4" t="n"/>
    </row>
    <row r="61">
      <c r="A61" s="4" t="n"/>
      <c r="B61" s="4" t="n"/>
      <c r="C61" s="8" t="n"/>
      <c r="D61" s="9" t="n"/>
      <c r="E61" s="8">
        <f>IF(OR(C61="",D61=""),"",C61*D61)</f>
        <v/>
      </c>
      <c r="F61" s="4" t="n"/>
    </row>
    <row r="62">
      <c r="A62" s="4" t="n"/>
      <c r="B62" s="4" t="n"/>
      <c r="C62" s="8" t="n"/>
      <c r="D62" s="9" t="n"/>
      <c r="E62" s="8">
        <f>IF(OR(C62="",D62=""),"",C62*D62)</f>
        <v/>
      </c>
      <c r="F62" s="4" t="n"/>
    </row>
    <row r="63">
      <c r="A63" s="4" t="n"/>
      <c r="B63" s="4" t="n"/>
      <c r="C63" s="8" t="n"/>
      <c r="D63" s="9" t="n"/>
      <c r="E63" s="8">
        <f>IF(OR(C63="",D63=""),"",C63*D63)</f>
        <v/>
      </c>
      <c r="F63" s="4" t="n"/>
    </row>
    <row r="64">
      <c r="A64" s="4" t="n"/>
      <c r="B64" s="4" t="n"/>
      <c r="C64" s="8" t="n"/>
      <c r="D64" s="9" t="n"/>
      <c r="E64" s="8">
        <f>IF(OR(C64="",D64=""),"",C64*D64)</f>
        <v/>
      </c>
      <c r="F64" s="4" t="n"/>
    </row>
    <row r="65">
      <c r="A65" s="4" t="n"/>
      <c r="B65" s="4" t="n"/>
      <c r="C65" s="8" t="n"/>
      <c r="D65" s="9" t="n"/>
      <c r="E65" s="8">
        <f>IF(OR(C65="",D65=""),"",C65*D65)</f>
        <v/>
      </c>
      <c r="F65" s="4" t="n"/>
    </row>
    <row r="66">
      <c r="A66" s="4" t="n"/>
      <c r="B66" s="4" t="n"/>
      <c r="C66" s="8" t="n"/>
      <c r="D66" s="9" t="n"/>
      <c r="E66" s="8">
        <f>IF(OR(C66="",D66=""),"",C66*D66)</f>
        <v/>
      </c>
      <c r="F66" s="4" t="n"/>
    </row>
    <row r="67">
      <c r="A67" s="4" t="n"/>
      <c r="B67" s="4" t="n"/>
      <c r="C67" s="8" t="n"/>
      <c r="D67" s="9" t="n"/>
      <c r="E67" s="8">
        <f>IF(OR(C67="",D67=""),"",C67*D67)</f>
        <v/>
      </c>
      <c r="F67" s="4" t="n"/>
    </row>
    <row r="68">
      <c r="A68" s="4" t="n"/>
      <c r="B68" s="4" t="n"/>
      <c r="C68" s="8" t="n"/>
      <c r="D68" s="9" t="n"/>
      <c r="E68" s="8">
        <f>IF(OR(C68="",D68=""),"",C68*D68)</f>
        <v/>
      </c>
      <c r="F68" s="4" t="n"/>
    </row>
    <row r="69">
      <c r="A69" s="4" t="n"/>
      <c r="B69" s="4" t="n"/>
      <c r="C69" s="8" t="n"/>
      <c r="D69" s="9" t="n"/>
      <c r="E69" s="8">
        <f>IF(OR(C69="",D69=""),"",C69*D69)</f>
        <v/>
      </c>
      <c r="F69" s="4" t="n"/>
    </row>
    <row r="70">
      <c r="A70" s="4" t="n"/>
      <c r="B70" s="4" t="n"/>
      <c r="C70" s="8" t="n"/>
      <c r="D70" s="9" t="n"/>
      <c r="E70" s="8">
        <f>IF(OR(C70="",D70=""),"",C70*D70)</f>
        <v/>
      </c>
      <c r="F70" s="4" t="n"/>
    </row>
    <row r="71">
      <c r="A71" s="4" t="n"/>
      <c r="B71" s="4" t="n"/>
      <c r="C71" s="8" t="n"/>
      <c r="D71" s="9" t="n"/>
      <c r="E71" s="8">
        <f>IF(OR(C71="",D71=""),"",C71*D71)</f>
        <v/>
      </c>
      <c r="F71" s="4" t="n"/>
    </row>
    <row r="72">
      <c r="A72" s="4" t="n"/>
      <c r="B72" s="4" t="n"/>
      <c r="C72" s="8" t="n"/>
      <c r="D72" s="9" t="n"/>
      <c r="E72" s="8">
        <f>IF(OR(C72="",D72=""),"",C72*D72)</f>
        <v/>
      </c>
      <c r="F72" s="4" t="n"/>
    </row>
    <row r="73">
      <c r="A73" s="4" t="n"/>
      <c r="B73" s="4" t="n"/>
      <c r="C73" s="8" t="n"/>
      <c r="D73" s="9" t="n"/>
      <c r="E73" s="8">
        <f>IF(OR(C73="",D73=""),"",C73*D73)</f>
        <v/>
      </c>
      <c r="F73" s="4" t="n"/>
    </row>
    <row r="74">
      <c r="A74" s="4" t="n"/>
      <c r="B74" s="4" t="n"/>
      <c r="C74" s="8" t="n"/>
      <c r="D74" s="9" t="n"/>
      <c r="E74" s="8">
        <f>IF(OR(C74="",D74=""),"",C74*D74)</f>
        <v/>
      </c>
      <c r="F74" s="4" t="n"/>
    </row>
    <row r="75">
      <c r="A75" s="4" t="n"/>
      <c r="B75" s="4" t="n"/>
      <c r="C75" s="8" t="n"/>
      <c r="D75" s="9" t="n"/>
      <c r="E75" s="8">
        <f>IF(OR(C75="",D75=""),"",C75*D75)</f>
        <v/>
      </c>
      <c r="F75" s="4" t="n"/>
    </row>
    <row r="76">
      <c r="A76" s="4" t="n"/>
      <c r="B76" s="4" t="n"/>
      <c r="C76" s="8" t="n"/>
      <c r="D76" s="9" t="n"/>
      <c r="E76" s="8">
        <f>IF(OR(C76="",D76=""),"",C76*D76)</f>
        <v/>
      </c>
      <c r="F76" s="4" t="n"/>
    </row>
    <row r="77">
      <c r="A77" s="4" t="n"/>
      <c r="B77" s="4" t="n"/>
      <c r="C77" s="8" t="n"/>
      <c r="D77" s="9" t="n"/>
      <c r="E77" s="8">
        <f>IF(OR(C77="",D77=""),"",C77*D77)</f>
        <v/>
      </c>
      <c r="F77" s="4" t="n"/>
    </row>
    <row r="78">
      <c r="A78" s="4" t="n"/>
      <c r="B78" s="4" t="n"/>
      <c r="C78" s="8" t="n"/>
      <c r="D78" s="9" t="n"/>
      <c r="E78" s="8">
        <f>IF(OR(C78="",D78=""),"",C78*D78)</f>
        <v/>
      </c>
      <c r="F78" s="4" t="n"/>
    </row>
    <row r="79">
      <c r="A79" s="4" t="n"/>
      <c r="B79" s="4" t="n"/>
      <c r="C79" s="8" t="n"/>
      <c r="D79" s="9" t="n"/>
      <c r="E79" s="8">
        <f>IF(OR(C79="",D79=""),"",C79*D79)</f>
        <v/>
      </c>
      <c r="F79" s="4" t="n"/>
    </row>
    <row r="80">
      <c r="A80" s="4" t="n"/>
      <c r="B80" s="4" t="n"/>
      <c r="C80" s="8" t="n"/>
      <c r="D80" s="9" t="n"/>
      <c r="E80" s="8">
        <f>IF(OR(C80="",D80=""),"",C80*D80)</f>
        <v/>
      </c>
      <c r="F80" s="4" t="n"/>
    </row>
    <row r="81">
      <c r="A81" s="4" t="n"/>
      <c r="B81" s="4" t="n"/>
      <c r="C81" s="8" t="n"/>
      <c r="D81" s="9" t="n"/>
      <c r="E81" s="8">
        <f>IF(OR(C81="",D81=""),"",C81*D81)</f>
        <v/>
      </c>
      <c r="F81" s="4" t="n"/>
    </row>
    <row r="82">
      <c r="A82" s="4" t="n"/>
      <c r="B82" s="4" t="n"/>
      <c r="C82" s="8" t="n"/>
      <c r="D82" s="9" t="n"/>
      <c r="E82" s="8">
        <f>IF(OR(C82="",D82=""),"",C82*D82)</f>
        <v/>
      </c>
      <c r="F82" s="4" t="n"/>
    </row>
    <row r="83">
      <c r="A83" s="4" t="n"/>
      <c r="B83" s="4" t="n"/>
      <c r="C83" s="8" t="n"/>
      <c r="D83" s="9" t="n"/>
      <c r="E83" s="8">
        <f>IF(OR(C83="",D83=""),"",C83*D83)</f>
        <v/>
      </c>
      <c r="F83" s="4" t="n"/>
    </row>
    <row r="84">
      <c r="A84" s="4" t="n"/>
      <c r="B84" s="4" t="n"/>
      <c r="C84" s="8" t="n"/>
      <c r="D84" s="9" t="n"/>
      <c r="E84" s="8">
        <f>IF(OR(C84="",D84=""),"",C84*D84)</f>
        <v/>
      </c>
      <c r="F84" s="4" t="n"/>
    </row>
    <row r="85">
      <c r="A85" s="4" t="n"/>
      <c r="B85" s="4" t="n"/>
      <c r="C85" s="8" t="n"/>
      <c r="D85" s="9" t="n"/>
      <c r="E85" s="8">
        <f>IF(OR(C85="",D85=""),"",C85*D85)</f>
        <v/>
      </c>
      <c r="F85" s="4" t="n"/>
    </row>
    <row r="86">
      <c r="A86" s="4" t="n"/>
      <c r="B86" s="4" t="n"/>
      <c r="C86" s="8" t="n"/>
      <c r="D86" s="9" t="n"/>
      <c r="E86" s="8">
        <f>IF(OR(C86="",D86=""),"",C86*D86)</f>
        <v/>
      </c>
      <c r="F86" s="4" t="n"/>
    </row>
    <row r="87">
      <c r="A87" s="4" t="n"/>
      <c r="B87" s="4" t="n"/>
      <c r="C87" s="8" t="n"/>
      <c r="D87" s="9" t="n"/>
      <c r="E87" s="8">
        <f>IF(OR(C87="",D87=""),"",C87*D87)</f>
        <v/>
      </c>
      <c r="F87" s="4" t="n"/>
    </row>
    <row r="88">
      <c r="A88" s="4" t="n"/>
      <c r="B88" s="4" t="n"/>
      <c r="C88" s="8" t="n"/>
      <c r="D88" s="9" t="n"/>
      <c r="E88" s="8">
        <f>IF(OR(C88="",D88=""),"",C88*D88)</f>
        <v/>
      </c>
      <c r="F88" s="4" t="n"/>
    </row>
    <row r="89">
      <c r="A89" s="4" t="n"/>
      <c r="B89" s="4" t="n"/>
      <c r="C89" s="8" t="n"/>
      <c r="D89" s="9" t="n"/>
      <c r="E89" s="8">
        <f>IF(OR(C89="",D89=""),"",C89*D89)</f>
        <v/>
      </c>
      <c r="F89" s="4" t="n"/>
    </row>
    <row r="90">
      <c r="A90" s="4" t="n"/>
      <c r="B90" s="4" t="n"/>
      <c r="C90" s="8" t="n"/>
      <c r="D90" s="9" t="n"/>
      <c r="E90" s="8">
        <f>IF(OR(C90="",D90=""),"",C90*D90)</f>
        <v/>
      </c>
      <c r="F90" s="4" t="n"/>
    </row>
    <row r="91">
      <c r="A91" s="4" t="n"/>
      <c r="B91" s="4" t="n"/>
      <c r="C91" s="8" t="n"/>
      <c r="D91" s="9" t="n"/>
      <c r="E91" s="8">
        <f>IF(OR(C91="",D91=""),"",C91*D91)</f>
        <v/>
      </c>
      <c r="F91" s="4" t="n"/>
    </row>
    <row r="92">
      <c r="A92" s="4" t="n"/>
      <c r="B92" s="4" t="n"/>
      <c r="C92" s="8" t="n"/>
      <c r="D92" s="9" t="n"/>
      <c r="E92" s="8">
        <f>IF(OR(C92="",D92=""),"",C92*D92)</f>
        <v/>
      </c>
      <c r="F92" s="4" t="n"/>
    </row>
    <row r="93">
      <c r="A93" s="4" t="n"/>
      <c r="B93" s="4" t="n"/>
      <c r="C93" s="8" t="n"/>
      <c r="D93" s="9" t="n"/>
      <c r="E93" s="8">
        <f>IF(OR(C93="",D93=""),"",C93*D93)</f>
        <v/>
      </c>
      <c r="F93" s="4" t="n"/>
    </row>
    <row r="94">
      <c r="A94" s="4" t="n"/>
      <c r="B94" s="4" t="n"/>
      <c r="C94" s="8" t="n"/>
      <c r="D94" s="9" t="n"/>
      <c r="E94" s="8">
        <f>IF(OR(C94="",D94=""),"",C94*D94)</f>
        <v/>
      </c>
      <c r="F94" s="4" t="n"/>
    </row>
    <row r="95">
      <c r="A95" s="4" t="n"/>
      <c r="B95" s="4" t="n"/>
      <c r="C95" s="8" t="n"/>
      <c r="D95" s="9" t="n"/>
      <c r="E95" s="8">
        <f>IF(OR(C95="",D95=""),"",C95*D95)</f>
        <v/>
      </c>
      <c r="F95" s="4" t="n"/>
    </row>
    <row r="96">
      <c r="A96" s="4" t="n"/>
      <c r="B96" s="4" t="n"/>
      <c r="C96" s="8" t="n"/>
      <c r="D96" s="9" t="n"/>
      <c r="E96" s="8">
        <f>IF(OR(C96="",D96=""),"",C96*D96)</f>
        <v/>
      </c>
      <c r="F96" s="4" t="n"/>
    </row>
    <row r="97">
      <c r="A97" s="4" t="n"/>
      <c r="B97" s="4" t="n"/>
      <c r="C97" s="8" t="n"/>
      <c r="D97" s="9" t="n"/>
      <c r="E97" s="8">
        <f>IF(OR(C97="",D97=""),"",C97*D97)</f>
        <v/>
      </c>
      <c r="F97" s="4" t="n"/>
    </row>
    <row r="98">
      <c r="A98" s="4" t="n"/>
      <c r="B98" s="4" t="n"/>
      <c r="C98" s="8" t="n"/>
      <c r="D98" s="9" t="n"/>
      <c r="E98" s="8">
        <f>IF(OR(C98="",D98=""),"",C98*D98)</f>
        <v/>
      </c>
      <c r="F98" s="4" t="n"/>
    </row>
    <row r="99">
      <c r="A99" s="4" t="n"/>
      <c r="B99" s="4" t="n"/>
      <c r="C99" s="8" t="n"/>
      <c r="D99" s="9" t="n"/>
      <c r="E99" s="8">
        <f>IF(OR(C99="",D99=""),"",C99*D99)</f>
        <v/>
      </c>
      <c r="F99" s="4" t="n"/>
    </row>
    <row r="100">
      <c r="A100" s="4" t="n"/>
      <c r="B100" s="4" t="n"/>
      <c r="C100" s="8" t="n"/>
      <c r="D100" s="9" t="n"/>
      <c r="E100" s="8">
        <f>IF(OR(C100="",D100=""),"",C100*D100)</f>
        <v/>
      </c>
      <c r="F100" s="4" t="n"/>
    </row>
    <row r="101">
      <c r="A101" s="4" t="n"/>
      <c r="B101" s="4" t="n"/>
      <c r="C101" s="8" t="n"/>
      <c r="D101" s="9" t="n"/>
      <c r="E101" s="8">
        <f>IF(OR(C101="",D101=""),"",C101*D101)</f>
        <v/>
      </c>
      <c r="F101" s="4" t="n"/>
    </row>
    <row r="102">
      <c r="A102" s="4" t="n"/>
      <c r="B102" s="4" t="n"/>
      <c r="C102" s="8" t="n"/>
      <c r="D102" s="9" t="n"/>
      <c r="E102" s="8">
        <f>IF(OR(C102="",D102=""),"",C102*D102)</f>
        <v/>
      </c>
      <c r="F102" s="4" t="n"/>
    </row>
    <row r="103">
      <c r="A103" s="4" t="n"/>
      <c r="B103" s="4" t="n"/>
      <c r="C103" s="8" t="n"/>
      <c r="D103" s="9" t="n"/>
      <c r="E103" s="8">
        <f>IF(OR(C103="",D103=""),"",C103*D103)</f>
        <v/>
      </c>
      <c r="F103" s="4" t="n"/>
    </row>
    <row r="104">
      <c r="A104" s="4" t="n"/>
      <c r="B104" s="4" t="n"/>
      <c r="C104" s="8" t="n"/>
      <c r="D104" s="9" t="n"/>
      <c r="E104" s="8">
        <f>IF(OR(C104="",D104=""),"",C104*D104)</f>
        <v/>
      </c>
      <c r="F104" s="4" t="n"/>
    </row>
    <row r="105">
      <c r="A105" s="4" t="n"/>
      <c r="B105" s="4" t="n"/>
      <c r="C105" s="8" t="n"/>
      <c r="D105" s="9" t="n"/>
      <c r="E105" s="8">
        <f>IF(OR(C105="",D105=""),"",C105*D105)</f>
        <v/>
      </c>
      <c r="F105" s="4" t="n"/>
    </row>
    <row r="106">
      <c r="A106" s="4" t="n"/>
      <c r="B106" s="4" t="n"/>
      <c r="C106" s="8" t="n"/>
      <c r="D106" s="9" t="n"/>
      <c r="E106" s="8">
        <f>IF(OR(C106="",D106=""),"",C106*D106)</f>
        <v/>
      </c>
      <c r="F106" s="4" t="n"/>
    </row>
    <row r="107">
      <c r="A107" s="4" t="n"/>
      <c r="B107" s="4" t="n"/>
      <c r="C107" s="8" t="n"/>
      <c r="D107" s="9" t="n"/>
      <c r="E107" s="8">
        <f>IF(OR(C107="",D107=""),"",C107*D107)</f>
        <v/>
      </c>
      <c r="F107" s="4" t="n"/>
    </row>
    <row r="108">
      <c r="A108" s="4" t="n"/>
      <c r="B108" s="4" t="n"/>
      <c r="C108" s="8" t="n"/>
      <c r="D108" s="9" t="n"/>
      <c r="E108" s="8">
        <f>IF(OR(C108="",D108=""),"",C108*D108)</f>
        <v/>
      </c>
      <c r="F108" s="4" t="n"/>
    </row>
    <row r="109">
      <c r="A109" s="4" t="n"/>
      <c r="B109" s="4" t="n"/>
      <c r="C109" s="8" t="n"/>
      <c r="D109" s="9" t="n"/>
      <c r="E109" s="8">
        <f>IF(OR(C109="",D109=""),"",C109*D109)</f>
        <v/>
      </c>
      <c r="F109" s="4" t="n"/>
    </row>
    <row r="110">
      <c r="A110" s="4" t="n"/>
      <c r="B110" s="4" t="n"/>
      <c r="C110" s="8" t="n"/>
      <c r="D110" s="9" t="n"/>
      <c r="E110" s="8">
        <f>IF(OR(C110="",D110=""),"",C110*D110)</f>
        <v/>
      </c>
      <c r="F110" s="4" t="n"/>
    </row>
    <row r="111">
      <c r="A111" s="4" t="n"/>
      <c r="B111" s="4" t="n"/>
      <c r="C111" s="8" t="n"/>
      <c r="D111" s="9" t="n"/>
      <c r="E111" s="8">
        <f>IF(OR(C111="",D111=""),"",C111*D111)</f>
        <v/>
      </c>
      <c r="F111" s="4" t="n"/>
    </row>
    <row r="112">
      <c r="A112" s="4" t="n"/>
      <c r="B112" s="4" t="n"/>
      <c r="C112" s="8" t="n"/>
      <c r="D112" s="9" t="n"/>
      <c r="E112" s="8">
        <f>IF(OR(C112="",D112=""),"",C112*D112)</f>
        <v/>
      </c>
      <c r="F112" s="4" t="n"/>
    </row>
    <row r="113">
      <c r="A113" s="4" t="n"/>
      <c r="B113" s="4" t="n"/>
      <c r="C113" s="8" t="n"/>
      <c r="D113" s="9" t="n"/>
      <c r="E113" s="8">
        <f>IF(OR(C113="",D113=""),"",C113*D113)</f>
        <v/>
      </c>
      <c r="F113" s="4" t="n"/>
    </row>
    <row r="114">
      <c r="A114" s="4" t="n"/>
      <c r="B114" s="4" t="n"/>
      <c r="C114" s="8" t="n"/>
      <c r="D114" s="9" t="n"/>
      <c r="E114" s="8">
        <f>IF(OR(C114="",D114=""),"",C114*D114)</f>
        <v/>
      </c>
      <c r="F114" s="4" t="n"/>
    </row>
    <row r="115">
      <c r="A115" s="4" t="n"/>
      <c r="B115" s="4" t="n"/>
      <c r="C115" s="8" t="n"/>
      <c r="D115" s="9" t="n"/>
      <c r="E115" s="8">
        <f>IF(OR(C115="",D115=""),"",C115*D115)</f>
        <v/>
      </c>
      <c r="F115" s="4" t="n"/>
    </row>
    <row r="116">
      <c r="A116" s="4" t="n"/>
      <c r="B116" s="4" t="n"/>
      <c r="C116" s="8" t="n"/>
      <c r="D116" s="9" t="n"/>
      <c r="E116" s="8">
        <f>IF(OR(C116="",D116=""),"",C116*D116)</f>
        <v/>
      </c>
      <c r="F116" s="4" t="n"/>
    </row>
    <row r="117">
      <c r="A117" s="4" t="n"/>
      <c r="B117" s="4" t="n"/>
      <c r="C117" s="8" t="n"/>
      <c r="D117" s="9" t="n"/>
      <c r="E117" s="8">
        <f>IF(OR(C117="",D117=""),"",C117*D117)</f>
        <v/>
      </c>
      <c r="F117" s="4" t="n"/>
    </row>
    <row r="118">
      <c r="A118" s="4" t="n"/>
      <c r="B118" s="4" t="n"/>
      <c r="C118" s="8" t="n"/>
      <c r="D118" s="9" t="n"/>
      <c r="E118" s="8">
        <f>IF(OR(C118="",D118=""),"",C118*D118)</f>
        <v/>
      </c>
      <c r="F118" s="4" t="n"/>
    </row>
    <row r="119">
      <c r="A119" s="4" t="n"/>
      <c r="B119" s="4" t="n"/>
      <c r="C119" s="8" t="n"/>
      <c r="D119" s="9" t="n"/>
      <c r="E119" s="8">
        <f>IF(OR(C119="",D119=""),"",C119*D119)</f>
        <v/>
      </c>
      <c r="F119" s="4" t="n"/>
    </row>
    <row r="120">
      <c r="A120" s="4" t="n"/>
      <c r="B120" s="4" t="n"/>
      <c r="C120" s="8" t="n"/>
      <c r="D120" s="9" t="n"/>
      <c r="E120" s="8">
        <f>IF(OR(C120="",D120=""),"",C120*D120)</f>
        <v/>
      </c>
      <c r="F120" s="4" t="n"/>
    </row>
    <row r="121">
      <c r="A121" s="4" t="n"/>
      <c r="B121" s="4" t="n"/>
      <c r="C121" s="8" t="n"/>
      <c r="D121" s="9" t="n"/>
      <c r="E121" s="8">
        <f>IF(OR(C121="",D121=""),"",C121*D121)</f>
        <v/>
      </c>
      <c r="F121" s="4" t="n"/>
    </row>
    <row r="122">
      <c r="A122" s="4" t="n"/>
      <c r="B122" s="4" t="n"/>
      <c r="C122" s="8" t="n"/>
      <c r="D122" s="9" t="n"/>
      <c r="E122" s="8">
        <f>IF(OR(C122="",D122=""),"",C122*D122)</f>
        <v/>
      </c>
      <c r="F122" s="4" t="n"/>
    </row>
    <row r="123">
      <c r="A123" s="4" t="n"/>
      <c r="B123" s="4" t="n"/>
      <c r="C123" s="8" t="n"/>
      <c r="D123" s="9" t="n"/>
      <c r="E123" s="8">
        <f>IF(OR(C123="",D123=""),"",C123*D123)</f>
        <v/>
      </c>
      <c r="F123" s="4" t="n"/>
    </row>
    <row r="124">
      <c r="A124" s="4" t="n"/>
      <c r="B124" s="4" t="n"/>
      <c r="C124" s="8" t="n"/>
      <c r="D124" s="9" t="n"/>
      <c r="E124" s="8">
        <f>IF(OR(C124="",D124=""),"",C124*D124)</f>
        <v/>
      </c>
      <c r="F124" s="4" t="n"/>
    </row>
    <row r="125">
      <c r="A125" s="4" t="n"/>
      <c r="B125" s="4" t="n"/>
      <c r="C125" s="8" t="n"/>
      <c r="D125" s="9" t="n"/>
      <c r="E125" s="8">
        <f>IF(OR(C125="",D125=""),"",C125*D125)</f>
        <v/>
      </c>
      <c r="F125" s="4" t="n"/>
    </row>
    <row r="126">
      <c r="A126" s="4" t="n"/>
      <c r="B126" s="4" t="n"/>
      <c r="C126" s="8" t="n"/>
      <c r="D126" s="9" t="n"/>
      <c r="E126" s="8">
        <f>IF(OR(C126="",D126=""),"",C126*D126)</f>
        <v/>
      </c>
      <c r="F126" s="4" t="n"/>
    </row>
    <row r="127">
      <c r="A127" s="4" t="n"/>
      <c r="B127" s="4" t="n"/>
      <c r="C127" s="8" t="n"/>
      <c r="D127" s="9" t="n"/>
      <c r="E127" s="8">
        <f>IF(OR(C127="",D127=""),"",C127*D127)</f>
        <v/>
      </c>
      <c r="F127" s="4" t="n"/>
    </row>
    <row r="128">
      <c r="A128" s="4" t="n"/>
      <c r="B128" s="4" t="n"/>
      <c r="C128" s="8" t="n"/>
      <c r="D128" s="9" t="n"/>
      <c r="E128" s="8">
        <f>IF(OR(C128="",D128=""),"",C128*D128)</f>
        <v/>
      </c>
      <c r="F128" s="4" t="n"/>
    </row>
    <row r="129">
      <c r="A129" s="4" t="n"/>
      <c r="B129" s="4" t="n"/>
      <c r="C129" s="8" t="n"/>
      <c r="D129" s="9" t="n"/>
      <c r="E129" s="8">
        <f>IF(OR(C129="",D129=""),"",C129*D129)</f>
        <v/>
      </c>
      <c r="F129" s="4" t="n"/>
    </row>
    <row r="130">
      <c r="A130" s="4" t="n"/>
      <c r="B130" s="4" t="n"/>
      <c r="C130" s="8" t="n"/>
      <c r="D130" s="9" t="n"/>
      <c r="E130" s="8">
        <f>IF(OR(C130="",D130=""),"",C130*D130)</f>
        <v/>
      </c>
      <c r="F130" s="4" t="n"/>
    </row>
    <row r="131">
      <c r="A131" s="4" t="n"/>
      <c r="B131" s="4" t="n"/>
      <c r="C131" s="8" t="n"/>
      <c r="D131" s="9" t="n"/>
      <c r="E131" s="8">
        <f>IF(OR(C131="",D131=""),"",C131*D131)</f>
        <v/>
      </c>
      <c r="F131" s="4" t="n"/>
    </row>
    <row r="132">
      <c r="A132" s="4" t="n"/>
      <c r="B132" s="4" t="n"/>
      <c r="C132" s="8" t="n"/>
      <c r="D132" s="9" t="n"/>
      <c r="E132" s="8">
        <f>IF(OR(C132="",D132=""),"",C132*D132)</f>
        <v/>
      </c>
      <c r="F132" s="4" t="n"/>
    </row>
    <row r="133">
      <c r="A133" s="4" t="n"/>
      <c r="B133" s="4" t="n"/>
      <c r="C133" s="8" t="n"/>
      <c r="D133" s="9" t="n"/>
      <c r="E133" s="8">
        <f>IF(OR(C133="",D133=""),"",C133*D133)</f>
        <v/>
      </c>
      <c r="F133" s="4" t="n"/>
    </row>
    <row r="134">
      <c r="A134" s="4" t="n"/>
      <c r="B134" s="4" t="n"/>
      <c r="C134" s="8" t="n"/>
      <c r="D134" s="9" t="n"/>
      <c r="E134" s="8">
        <f>IF(OR(C134="",D134=""),"",C134*D134)</f>
        <v/>
      </c>
      <c r="F134" s="4" t="n"/>
    </row>
    <row r="135">
      <c r="A135" s="4" t="n"/>
      <c r="B135" s="4" t="n"/>
      <c r="C135" s="8" t="n"/>
      <c r="D135" s="9" t="n"/>
      <c r="E135" s="8">
        <f>IF(OR(C135="",D135=""),"",C135*D135)</f>
        <v/>
      </c>
      <c r="F135" s="4" t="n"/>
    </row>
    <row r="136">
      <c r="A136" s="4" t="n"/>
      <c r="B136" s="4" t="n"/>
      <c r="C136" s="8" t="n"/>
      <c r="D136" s="9" t="n"/>
      <c r="E136" s="8">
        <f>IF(OR(C136="",D136=""),"",C136*D136)</f>
        <v/>
      </c>
      <c r="F136" s="4" t="n"/>
    </row>
    <row r="137">
      <c r="A137" s="4" t="n"/>
      <c r="B137" s="4" t="n"/>
      <c r="C137" s="8" t="n"/>
      <c r="D137" s="9" t="n"/>
      <c r="E137" s="8">
        <f>IF(OR(C137="",D137=""),"",C137*D137)</f>
        <v/>
      </c>
      <c r="F137" s="4" t="n"/>
    </row>
    <row r="138">
      <c r="A138" s="4" t="n"/>
      <c r="B138" s="4" t="n"/>
      <c r="C138" s="8" t="n"/>
      <c r="D138" s="9" t="n"/>
      <c r="E138" s="8">
        <f>IF(OR(C138="",D138=""),"",C138*D138)</f>
        <v/>
      </c>
      <c r="F138" s="4" t="n"/>
    </row>
    <row r="139">
      <c r="A139" s="4" t="n"/>
      <c r="B139" s="4" t="n"/>
      <c r="C139" s="8" t="n"/>
      <c r="D139" s="9" t="n"/>
      <c r="E139" s="8">
        <f>IF(OR(C139="",D139=""),"",C139*D139)</f>
        <v/>
      </c>
      <c r="F139" s="4" t="n"/>
    </row>
    <row r="140">
      <c r="A140" s="4" t="n"/>
      <c r="B140" s="4" t="n"/>
      <c r="C140" s="8" t="n"/>
      <c r="D140" s="9" t="n"/>
      <c r="E140" s="8">
        <f>IF(OR(C140="",D140=""),"",C140*D140)</f>
        <v/>
      </c>
      <c r="F140" s="4" t="n"/>
    </row>
    <row r="141">
      <c r="A141" s="4" t="n"/>
      <c r="B141" s="4" t="n"/>
      <c r="C141" s="8" t="n"/>
      <c r="D141" s="9" t="n"/>
      <c r="E141" s="8">
        <f>IF(OR(C141="",D141=""),"",C141*D141)</f>
        <v/>
      </c>
      <c r="F141" s="4" t="n"/>
    </row>
    <row r="142">
      <c r="A142" s="4" t="n"/>
      <c r="B142" s="4" t="n"/>
      <c r="C142" s="8" t="n"/>
      <c r="D142" s="9" t="n"/>
      <c r="E142" s="8">
        <f>IF(OR(C142="",D142=""),"",C142*D142)</f>
        <v/>
      </c>
      <c r="F142" s="4" t="n"/>
    </row>
    <row r="143">
      <c r="A143" s="4" t="n"/>
      <c r="B143" s="4" t="n"/>
      <c r="C143" s="8" t="n"/>
      <c r="D143" s="9" t="n"/>
      <c r="E143" s="8">
        <f>IF(OR(C143="",D143=""),"",C143*D143)</f>
        <v/>
      </c>
      <c r="F143" s="4" t="n"/>
    </row>
    <row r="144">
      <c r="A144" s="4" t="n"/>
      <c r="B144" s="4" t="n"/>
      <c r="C144" s="8" t="n"/>
      <c r="D144" s="9" t="n"/>
      <c r="E144" s="8">
        <f>IF(OR(C144="",D144=""),"",C144*D144)</f>
        <v/>
      </c>
      <c r="F144" s="4" t="n"/>
    </row>
    <row r="145">
      <c r="A145" s="4" t="n"/>
      <c r="B145" s="4" t="n"/>
      <c r="C145" s="8" t="n"/>
      <c r="D145" s="9" t="n"/>
      <c r="E145" s="8">
        <f>IF(OR(C145="",D145=""),"",C145*D145)</f>
        <v/>
      </c>
      <c r="F145" s="4" t="n"/>
    </row>
    <row r="146">
      <c r="A146" s="4" t="n"/>
      <c r="B146" s="4" t="n"/>
      <c r="C146" s="8" t="n"/>
      <c r="D146" s="9" t="n"/>
      <c r="E146" s="8">
        <f>IF(OR(C146="",D146=""),"",C146*D146)</f>
        <v/>
      </c>
      <c r="F146" s="4" t="n"/>
    </row>
    <row r="147">
      <c r="A147" s="4" t="n"/>
      <c r="B147" s="4" t="n"/>
      <c r="C147" s="8" t="n"/>
      <c r="D147" s="9" t="n"/>
      <c r="E147" s="8">
        <f>IF(OR(C147="",D147=""),"",C147*D147)</f>
        <v/>
      </c>
      <c r="F147" s="4" t="n"/>
    </row>
    <row r="148">
      <c r="A148" s="4" t="n"/>
      <c r="B148" s="4" t="n"/>
      <c r="C148" s="8" t="n"/>
      <c r="D148" s="9" t="n"/>
      <c r="E148" s="8">
        <f>IF(OR(C148="",D148=""),"",C148*D148)</f>
        <v/>
      </c>
      <c r="F148" s="4" t="n"/>
    </row>
    <row r="149">
      <c r="A149" s="4" t="n"/>
      <c r="B149" s="4" t="n"/>
      <c r="C149" s="8" t="n"/>
      <c r="D149" s="9" t="n"/>
      <c r="E149" s="8">
        <f>IF(OR(C149="",D149=""),"",C149*D149)</f>
        <v/>
      </c>
      <c r="F149" s="4" t="n"/>
    </row>
    <row r="150">
      <c r="A150" s="4" t="n"/>
      <c r="B150" s="4" t="n"/>
      <c r="C150" s="8" t="n"/>
      <c r="D150" s="9" t="n"/>
      <c r="E150" s="8">
        <f>IF(OR(C150="",D150=""),"",C150*D150)</f>
        <v/>
      </c>
      <c r="F150" s="4" t="n"/>
    </row>
    <row r="151">
      <c r="A151" s="4" t="n"/>
      <c r="B151" s="4" t="n"/>
      <c r="C151" s="8" t="n"/>
      <c r="D151" s="9" t="n"/>
      <c r="E151" s="8">
        <f>IF(OR(C151="",D151=""),"",C151*D151)</f>
        <v/>
      </c>
      <c r="F151" s="4" t="n"/>
    </row>
    <row r="152">
      <c r="A152" s="4" t="n"/>
      <c r="B152" s="4" t="n"/>
      <c r="C152" s="8" t="n"/>
      <c r="D152" s="9" t="n"/>
      <c r="E152" s="8">
        <f>IF(OR(C152="",D152=""),"",C152*D152)</f>
        <v/>
      </c>
      <c r="F152" s="4" t="n"/>
    </row>
    <row r="153">
      <c r="A153" s="4" t="n"/>
      <c r="B153" s="4" t="n"/>
      <c r="C153" s="8" t="n"/>
      <c r="D153" s="9" t="n"/>
      <c r="E153" s="8">
        <f>IF(OR(C153="",D153=""),"",C153*D153)</f>
        <v/>
      </c>
      <c r="F153" s="4" t="n"/>
    </row>
    <row r="154">
      <c r="A154" s="4" t="n"/>
      <c r="B154" s="4" t="n"/>
      <c r="C154" s="8" t="n"/>
      <c r="D154" s="9" t="n"/>
      <c r="E154" s="8">
        <f>IF(OR(C154="",D154=""),"",C154*D154)</f>
        <v/>
      </c>
      <c r="F154" s="4" t="n"/>
    </row>
    <row r="155">
      <c r="A155" s="4" t="n"/>
      <c r="B155" s="4" t="n"/>
      <c r="C155" s="8" t="n"/>
      <c r="D155" s="9" t="n"/>
      <c r="E155" s="8">
        <f>IF(OR(C155="",D155=""),"",C155*D155)</f>
        <v/>
      </c>
      <c r="F155" s="4" t="n"/>
    </row>
    <row r="156">
      <c r="A156" s="4" t="n"/>
      <c r="B156" s="4" t="n"/>
      <c r="C156" s="8" t="n"/>
      <c r="D156" s="9" t="n"/>
      <c r="E156" s="8">
        <f>IF(OR(C156="",D156=""),"",C156*D156)</f>
        <v/>
      </c>
      <c r="F156" s="4" t="n"/>
    </row>
    <row r="157">
      <c r="A157" s="4" t="n"/>
      <c r="B157" s="4" t="n"/>
      <c r="C157" s="8" t="n"/>
      <c r="D157" s="9" t="n"/>
      <c r="E157" s="8">
        <f>IF(OR(C157="",D157=""),"",C157*D157)</f>
        <v/>
      </c>
      <c r="F157" s="4" t="n"/>
    </row>
    <row r="158">
      <c r="A158" s="4" t="n"/>
      <c r="B158" s="4" t="n"/>
      <c r="C158" s="8" t="n"/>
      <c r="D158" s="9" t="n"/>
      <c r="E158" s="8">
        <f>IF(OR(C158="",D158=""),"",C158*D158)</f>
        <v/>
      </c>
      <c r="F158" s="4" t="n"/>
    </row>
    <row r="159">
      <c r="A159" s="4" t="n"/>
      <c r="B159" s="4" t="n"/>
      <c r="C159" s="8" t="n"/>
      <c r="D159" s="9" t="n"/>
      <c r="E159" s="8">
        <f>IF(OR(C159="",D159=""),"",C159*D159)</f>
        <v/>
      </c>
      <c r="F159" s="4" t="n"/>
    </row>
    <row r="160">
      <c r="A160" s="4" t="n"/>
      <c r="B160" s="4" t="n"/>
      <c r="C160" s="8" t="n"/>
      <c r="D160" s="9" t="n"/>
      <c r="E160" s="8">
        <f>IF(OR(C160="",D160=""),"",C160*D160)</f>
        <v/>
      </c>
      <c r="F160" s="4" t="n"/>
    </row>
    <row r="161">
      <c r="A161" s="4" t="n"/>
      <c r="B161" s="4" t="n"/>
      <c r="C161" s="8" t="n"/>
      <c r="D161" s="9" t="n"/>
      <c r="E161" s="8">
        <f>IF(OR(C161="",D161=""),"",C161*D161)</f>
        <v/>
      </c>
      <c r="F161" s="4" t="n"/>
    </row>
    <row r="162">
      <c r="A162" s="4" t="n"/>
      <c r="B162" s="4" t="n"/>
      <c r="C162" s="8" t="n"/>
      <c r="D162" s="9" t="n"/>
      <c r="E162" s="8">
        <f>IF(OR(C162="",D162=""),"",C162*D162)</f>
        <v/>
      </c>
      <c r="F162" s="4" t="n"/>
    </row>
    <row r="163">
      <c r="A163" s="4" t="n"/>
      <c r="B163" s="4" t="n"/>
      <c r="C163" s="8" t="n"/>
      <c r="D163" s="9" t="n"/>
      <c r="E163" s="8">
        <f>IF(OR(C163="",D163=""),"",C163*D163)</f>
        <v/>
      </c>
      <c r="F163" s="4" t="n"/>
    </row>
    <row r="164">
      <c r="A164" s="4" t="n"/>
      <c r="B164" s="4" t="n"/>
      <c r="C164" s="8" t="n"/>
      <c r="D164" s="9" t="n"/>
      <c r="E164" s="8">
        <f>IF(OR(C164="",D164=""),"",C164*D164)</f>
        <v/>
      </c>
      <c r="F164" s="4" t="n"/>
    </row>
    <row r="165">
      <c r="A165" s="4" t="n"/>
      <c r="B165" s="4" t="n"/>
      <c r="C165" s="8" t="n"/>
      <c r="D165" s="9" t="n"/>
      <c r="E165" s="8">
        <f>IF(OR(C165="",D165=""),"",C165*D165)</f>
        <v/>
      </c>
      <c r="F165" s="4" t="n"/>
    </row>
    <row r="166">
      <c r="A166" s="4" t="n"/>
      <c r="B166" s="4" t="n"/>
      <c r="C166" s="8" t="n"/>
      <c r="D166" s="9" t="n"/>
      <c r="E166" s="8">
        <f>IF(OR(C166="",D166=""),"",C166*D166)</f>
        <v/>
      </c>
      <c r="F166" s="4" t="n"/>
    </row>
    <row r="167">
      <c r="A167" s="4" t="n"/>
      <c r="B167" s="4" t="n"/>
      <c r="C167" s="8" t="n"/>
      <c r="D167" s="9" t="n"/>
      <c r="E167" s="8">
        <f>IF(OR(C167="",D167=""),"",C167*D167)</f>
        <v/>
      </c>
      <c r="F167" s="4" t="n"/>
    </row>
    <row r="168">
      <c r="A168" s="4" t="n"/>
      <c r="B168" s="4" t="n"/>
      <c r="C168" s="8" t="n"/>
      <c r="D168" s="9" t="n"/>
      <c r="E168" s="8">
        <f>IF(OR(C168="",D168=""),"",C168*D168)</f>
        <v/>
      </c>
      <c r="F168" s="4" t="n"/>
    </row>
    <row r="169">
      <c r="A169" s="4" t="n"/>
      <c r="B169" s="4" t="n"/>
      <c r="C169" s="8" t="n"/>
      <c r="D169" s="9" t="n"/>
      <c r="E169" s="8">
        <f>IF(OR(C169="",D169=""),"",C169*D169)</f>
        <v/>
      </c>
      <c r="F169" s="4" t="n"/>
    </row>
    <row r="170">
      <c r="A170" s="4" t="n"/>
      <c r="B170" s="4" t="n"/>
      <c r="C170" s="8" t="n"/>
      <c r="D170" s="9" t="n"/>
      <c r="E170" s="8">
        <f>IF(OR(C170="",D170=""),"",C170*D170)</f>
        <v/>
      </c>
      <c r="F170" s="4" t="n"/>
    </row>
    <row r="171">
      <c r="A171" s="4" t="n"/>
      <c r="B171" s="4" t="n"/>
      <c r="C171" s="8" t="n"/>
      <c r="D171" s="9" t="n"/>
      <c r="E171" s="8">
        <f>IF(OR(C171="",D171=""),"",C171*D171)</f>
        <v/>
      </c>
      <c r="F171" s="4" t="n"/>
    </row>
    <row r="172">
      <c r="A172" s="4" t="n"/>
      <c r="B172" s="4" t="n"/>
      <c r="C172" s="8" t="n"/>
      <c r="D172" s="9" t="n"/>
      <c r="E172" s="8">
        <f>IF(OR(C172="",D172=""),"",C172*D172)</f>
        <v/>
      </c>
      <c r="F172" s="4" t="n"/>
    </row>
    <row r="173">
      <c r="A173" s="4" t="n"/>
      <c r="B173" s="4" t="n"/>
      <c r="C173" s="8" t="n"/>
      <c r="D173" s="9" t="n"/>
      <c r="E173" s="8">
        <f>IF(OR(C173="",D173=""),"",C173*D173)</f>
        <v/>
      </c>
      <c r="F173" s="4" t="n"/>
    </row>
    <row r="174">
      <c r="A174" s="4" t="n"/>
      <c r="B174" s="4" t="n"/>
      <c r="C174" s="8" t="n"/>
      <c r="D174" s="9" t="n"/>
      <c r="E174" s="8">
        <f>IF(OR(C174="",D174=""),"",C174*D174)</f>
        <v/>
      </c>
      <c r="F174" s="4" t="n"/>
    </row>
    <row r="175">
      <c r="A175" s="4" t="n"/>
      <c r="B175" s="4" t="n"/>
      <c r="C175" s="8" t="n"/>
      <c r="D175" s="9" t="n"/>
      <c r="E175" s="8">
        <f>IF(OR(C175="",D175=""),"",C175*D175)</f>
        <v/>
      </c>
      <c r="F175" s="4" t="n"/>
    </row>
    <row r="176">
      <c r="A176" s="4" t="n"/>
      <c r="B176" s="4" t="n"/>
      <c r="C176" s="8" t="n"/>
      <c r="D176" s="9" t="n"/>
      <c r="E176" s="8">
        <f>IF(OR(C176="",D176=""),"",C176*D176)</f>
        <v/>
      </c>
      <c r="F176" s="4" t="n"/>
    </row>
    <row r="177">
      <c r="A177" s="4" t="n"/>
      <c r="B177" s="4" t="n"/>
      <c r="C177" s="8" t="n"/>
      <c r="D177" s="9" t="n"/>
      <c r="E177" s="8">
        <f>IF(OR(C177="",D177=""),"",C177*D177)</f>
        <v/>
      </c>
      <c r="F177" s="4" t="n"/>
    </row>
    <row r="178">
      <c r="A178" s="4" t="n"/>
      <c r="B178" s="4" t="n"/>
      <c r="C178" s="8" t="n"/>
      <c r="D178" s="9" t="n"/>
      <c r="E178" s="8">
        <f>IF(OR(C178="",D178=""),"",C178*D178)</f>
        <v/>
      </c>
      <c r="F178" s="4" t="n"/>
    </row>
    <row r="179">
      <c r="A179" s="4" t="n"/>
      <c r="B179" s="4" t="n"/>
      <c r="C179" s="8" t="n"/>
      <c r="D179" s="9" t="n"/>
      <c r="E179" s="8">
        <f>IF(OR(C179="",D179=""),"",C179*D179)</f>
        <v/>
      </c>
      <c r="F179" s="4" t="n"/>
    </row>
    <row r="180">
      <c r="A180" s="4" t="n"/>
      <c r="B180" s="4" t="n"/>
      <c r="C180" s="8" t="n"/>
      <c r="D180" s="9" t="n"/>
      <c r="E180" s="8">
        <f>IF(OR(C180="",D180=""),"",C180*D180)</f>
        <v/>
      </c>
      <c r="F180" s="4" t="n"/>
    </row>
    <row r="181">
      <c r="A181" s="4" t="n"/>
      <c r="B181" s="4" t="n"/>
      <c r="C181" s="8" t="n"/>
      <c r="D181" s="9" t="n"/>
      <c r="E181" s="8">
        <f>IF(OR(C181="",D181=""),"",C181*D181)</f>
        <v/>
      </c>
      <c r="F181" s="4" t="n"/>
    </row>
    <row r="182">
      <c r="A182" s="4" t="n"/>
      <c r="B182" s="4" t="n"/>
      <c r="C182" s="8" t="n"/>
      <c r="D182" s="9" t="n"/>
      <c r="E182" s="8">
        <f>IF(OR(C182="",D182=""),"",C182*D182)</f>
        <v/>
      </c>
      <c r="F182" s="4" t="n"/>
    </row>
    <row r="183">
      <c r="A183" s="4" t="n"/>
      <c r="B183" s="4" t="n"/>
      <c r="C183" s="8" t="n"/>
      <c r="D183" s="9" t="n"/>
      <c r="E183" s="8">
        <f>IF(OR(C183="",D183=""),"",C183*D183)</f>
        <v/>
      </c>
      <c r="F183" s="4" t="n"/>
    </row>
    <row r="184">
      <c r="A184" s="4" t="n"/>
      <c r="B184" s="4" t="n"/>
      <c r="C184" s="8" t="n"/>
      <c r="D184" s="9" t="n"/>
      <c r="E184" s="8">
        <f>IF(OR(C184="",D184=""),"",C184*D184)</f>
        <v/>
      </c>
      <c r="F184" s="4" t="n"/>
    </row>
    <row r="185">
      <c r="A185" s="4" t="n"/>
      <c r="B185" s="4" t="n"/>
      <c r="C185" s="8" t="n"/>
      <c r="D185" s="9" t="n"/>
      <c r="E185" s="8">
        <f>IF(OR(C185="",D185=""),"",C185*D185)</f>
        <v/>
      </c>
      <c r="F185" s="4" t="n"/>
    </row>
    <row r="186">
      <c r="A186" s="4" t="n"/>
      <c r="B186" s="4" t="n"/>
      <c r="C186" s="8" t="n"/>
      <c r="D186" s="9" t="n"/>
      <c r="E186" s="8">
        <f>IF(OR(C186="",D186=""),"",C186*D186)</f>
        <v/>
      </c>
      <c r="F186" s="4" t="n"/>
    </row>
    <row r="187">
      <c r="A187" s="4" t="n"/>
      <c r="B187" s="4" t="n"/>
      <c r="C187" s="8" t="n"/>
      <c r="D187" s="9" t="n"/>
      <c r="E187" s="8">
        <f>IF(OR(C187="",D187=""),"",C187*D187)</f>
        <v/>
      </c>
      <c r="F187" s="4" t="n"/>
    </row>
    <row r="188">
      <c r="A188" s="4" t="n"/>
      <c r="B188" s="4" t="n"/>
      <c r="C188" s="8" t="n"/>
      <c r="D188" s="9" t="n"/>
      <c r="E188" s="8">
        <f>IF(OR(C188="",D188=""),"",C188*D188)</f>
        <v/>
      </c>
      <c r="F188" s="4" t="n"/>
    </row>
    <row r="189">
      <c r="A189" s="4" t="n"/>
      <c r="B189" s="4" t="n"/>
      <c r="C189" s="8" t="n"/>
      <c r="D189" s="9" t="n"/>
      <c r="E189" s="8">
        <f>IF(OR(C189="",D189=""),"",C189*D189)</f>
        <v/>
      </c>
      <c r="F189" s="4" t="n"/>
    </row>
    <row r="190">
      <c r="A190" s="4" t="n"/>
      <c r="B190" s="4" t="n"/>
      <c r="C190" s="8" t="n"/>
      <c r="D190" s="9" t="n"/>
      <c r="E190" s="8">
        <f>IF(OR(C190="",D190=""),"",C190*D190)</f>
        <v/>
      </c>
      <c r="F190" s="4" t="n"/>
    </row>
    <row r="191">
      <c r="A191" s="4" t="n"/>
      <c r="B191" s="4" t="n"/>
      <c r="C191" s="8" t="n"/>
      <c r="D191" s="9" t="n"/>
      <c r="E191" s="8">
        <f>IF(OR(C191="",D191=""),"",C191*D191)</f>
        <v/>
      </c>
      <c r="F191" s="4" t="n"/>
    </row>
    <row r="192">
      <c r="A192" s="4" t="n"/>
      <c r="B192" s="4" t="n"/>
      <c r="C192" s="8" t="n"/>
      <c r="D192" s="9" t="n"/>
      <c r="E192" s="8">
        <f>IF(OR(C192="",D192=""),"",C192*D192)</f>
        <v/>
      </c>
      <c r="F192" s="4" t="n"/>
    </row>
    <row r="193">
      <c r="A193" s="4" t="n"/>
      <c r="B193" s="4" t="n"/>
      <c r="C193" s="8" t="n"/>
      <c r="D193" s="9" t="n"/>
      <c r="E193" s="8">
        <f>IF(OR(C193="",D193=""),"",C193*D193)</f>
        <v/>
      </c>
      <c r="F193" s="4" t="n"/>
    </row>
    <row r="194">
      <c r="A194" s="4" t="n"/>
      <c r="B194" s="4" t="n"/>
      <c r="C194" s="8" t="n"/>
      <c r="D194" s="9" t="n"/>
      <c r="E194" s="8">
        <f>IF(OR(C194="",D194=""),"",C194*D194)</f>
        <v/>
      </c>
      <c r="F194" s="4" t="n"/>
    </row>
    <row r="195">
      <c r="A195" s="4" t="n"/>
      <c r="B195" s="4" t="n"/>
      <c r="C195" s="8" t="n"/>
      <c r="D195" s="9" t="n"/>
      <c r="E195" s="8">
        <f>IF(OR(C195="",D195=""),"",C195*D195)</f>
        <v/>
      </c>
      <c r="F195" s="4" t="n"/>
    </row>
    <row r="196">
      <c r="A196" s="4" t="n"/>
      <c r="B196" s="4" t="n"/>
      <c r="C196" s="8" t="n"/>
      <c r="D196" s="9" t="n"/>
      <c r="E196" s="8">
        <f>IF(OR(C196="",D196=""),"",C196*D196)</f>
        <v/>
      </c>
      <c r="F196" s="4" t="n"/>
    </row>
    <row r="197">
      <c r="A197" s="4" t="n"/>
      <c r="B197" s="4" t="n"/>
      <c r="C197" s="8" t="n"/>
      <c r="D197" s="9" t="n"/>
      <c r="E197" s="8">
        <f>IF(OR(C197="",D197=""),"",C197*D197)</f>
        <v/>
      </c>
      <c r="F197" s="4" t="n"/>
    </row>
    <row r="198">
      <c r="A198" s="4" t="n"/>
      <c r="B198" s="4" t="n"/>
      <c r="C198" s="8" t="n"/>
      <c r="D198" s="9" t="n"/>
      <c r="E198" s="8">
        <f>IF(OR(C198="",D198=""),"",C198*D198)</f>
        <v/>
      </c>
      <c r="F198" s="4" t="n"/>
    </row>
    <row r="199">
      <c r="A199" s="4" t="n"/>
      <c r="B199" s="4" t="n"/>
      <c r="C199" s="8" t="n"/>
      <c r="D199" s="9" t="n"/>
      <c r="E199" s="8">
        <f>IF(OR(C199="",D199=""),"",C199*D199)</f>
        <v/>
      </c>
      <c r="F199" s="4" t="n"/>
    </row>
    <row r="200">
      <c r="A200" s="4" t="n"/>
      <c r="B200" s="4" t="n"/>
      <c r="C200" s="8" t="n"/>
      <c r="D200" s="9" t="n"/>
      <c r="E200" s="8">
        <f>IF(OR(C200="",D200=""),"",C200*D200)</f>
        <v/>
      </c>
      <c r="F200" s="4" t="n"/>
    </row>
    <row r="201">
      <c r="A201" s="4" t="n"/>
      <c r="B201" s="4" t="n"/>
      <c r="C201" s="8" t="n"/>
      <c r="D201" s="9" t="n"/>
      <c r="E201" s="8">
        <f>IF(OR(C201="",D201=""),"",C201*D201)</f>
        <v/>
      </c>
      <c r="F201" s="4" t="n"/>
    </row>
    <row r="202">
      <c r="A202" s="4" t="n"/>
      <c r="B202" s="4" t="n"/>
      <c r="C202" s="8" t="n"/>
      <c r="D202" s="9" t="n"/>
      <c r="E202" s="8">
        <f>IF(OR(C202="",D202=""),"",C202*D202)</f>
        <v/>
      </c>
      <c r="F202" s="4" t="n"/>
    </row>
    <row r="203">
      <c r="A203" s="4" t="n"/>
      <c r="B203" s="4" t="n"/>
      <c r="C203" s="8" t="n"/>
      <c r="D203" s="9" t="n"/>
      <c r="E203" s="8">
        <f>IF(OR(C203="",D203=""),"",C203*D203)</f>
        <v/>
      </c>
      <c r="F203" s="4" t="n"/>
    </row>
    <row r="204">
      <c r="A204" s="4" t="n"/>
      <c r="B204" s="4" t="n"/>
      <c r="C204" s="8" t="n"/>
      <c r="D204" s="9" t="n"/>
      <c r="E204" s="8">
        <f>IF(OR(C204="",D204=""),"",C204*D204)</f>
        <v/>
      </c>
      <c r="F204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4" customWidth="1" min="11" max="11"/>
    <col width="12" customWidth="1" min="12" max="12"/>
    <col width="12" customWidth="1" min="13" max="13"/>
    <col width="11" customWidth="1" min="14" max="14"/>
    <col width="14" customWidth="1" min="15" max="15"/>
    <col width="12" customWidth="1" min="16" max="16"/>
    <col width="11" customWidth="1" min="17" max="17"/>
    <col width="10" customWidth="1" min="18" max="18"/>
    <col width="12" customWidth="1" min="19" max="19"/>
    <col width="12" customWidth="1" min="20" max="20"/>
    <col width="10" customWidth="1" min="21" max="21"/>
    <col width="1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>
      <c r="A1" s="1" t="inlineStr">
        <is>
          <t>DIMENSIONNEMENT ET PROFIL - CONDUITES VERS EXUTOIRE DROITE</t>
        </is>
      </c>
    </row>
    <row r="2">
      <c r="A2" t="inlineStr">
        <is>
          <t>Network_status</t>
        </is>
      </c>
      <c r="B2" s="10">
        <f>IF(COUNTIF(AC4:AC203,"CHECK")&gt;0,"CHECK","OK")</f>
        <v/>
      </c>
      <c r="D2" t="inlineStr">
        <is>
          <t>Pipes_with_checks</t>
        </is>
      </c>
      <c r="E2" s="11">
        <f>COUNTIF(AC4:AC203,"CHECK")</f>
        <v/>
      </c>
    </row>
    <row r="3">
      <c r="A3" s="12" t="inlineStr">
        <is>
          <t>Pipe_ID</t>
        </is>
      </c>
      <c r="B3" s="12" t="inlineStr">
        <is>
          <t>Receives_into_Pipe_ID</t>
        </is>
      </c>
      <c r="C3" s="12" t="inlineStr">
        <is>
          <t>Length_m</t>
        </is>
      </c>
      <c r="D3" s="12" t="inlineStr">
        <is>
          <t>Area_local_override_m2</t>
        </is>
      </c>
      <c r="E3" s="12" t="inlineStr">
        <is>
          <t>Area_from_CB_m2</t>
        </is>
      </c>
      <c r="F3" s="12" t="inlineStr">
        <is>
          <t>Area_used_m2</t>
        </is>
      </c>
      <c r="G3" s="12" t="inlineStr">
        <is>
          <t>C_local</t>
        </is>
      </c>
      <c r="H3" s="12" t="inlineStr">
        <is>
          <t>Tc_local_min</t>
        </is>
      </c>
      <c r="I3" s="12" t="inlineStr">
        <is>
          <t>Intensity_mmh</t>
        </is>
      </c>
      <c r="J3" s="12" t="inlineStr">
        <is>
          <t>Q_local_m3s</t>
        </is>
      </c>
      <c r="K3" s="12" t="inlineStr">
        <is>
          <t>Q_from_upstream_m3s</t>
        </is>
      </c>
      <c r="L3" s="12" t="inlineStr">
        <is>
          <t>Q_total_design_m3s</t>
        </is>
      </c>
      <c r="M3" s="12" t="inlineStr">
        <is>
          <t>Slope_manual_m/m</t>
        </is>
      </c>
      <c r="N3" s="12" t="inlineStr">
        <is>
          <t>Slope_used_m/m</t>
        </is>
      </c>
      <c r="O3" s="12" t="inlineStr">
        <is>
          <t>Dia_recommended_mm</t>
        </is>
      </c>
      <c r="P3" s="12" t="inlineStr">
        <is>
          <t>Dia_override_mm</t>
        </is>
      </c>
      <c r="Q3" s="12" t="inlineStr">
        <is>
          <t>Dia_used_mm</t>
        </is>
      </c>
      <c r="R3" s="12" t="inlineStr">
        <is>
          <t>Dia_used_m</t>
        </is>
      </c>
      <c r="S3" s="12" t="inlineStr">
        <is>
          <t>Capacity_full_m3s</t>
        </is>
      </c>
      <c r="T3" s="12" t="inlineStr">
        <is>
          <t>Q_over_capacity_ratio</t>
        </is>
      </c>
      <c r="U3" s="12" t="inlineStr">
        <is>
          <t>Velocity_mps</t>
        </is>
      </c>
      <c r="V3" s="12" t="inlineStr">
        <is>
          <t>Junction_drop_m</t>
        </is>
      </c>
      <c r="W3" s="12" t="inlineStr">
        <is>
          <t>Invert_down_m</t>
        </is>
      </c>
      <c r="X3" s="12" t="inlineStr">
        <is>
          <t>Invert_up_m</t>
        </is>
      </c>
      <c r="Y3" s="12" t="inlineStr">
        <is>
          <t>Ground_down_m</t>
        </is>
      </c>
      <c r="Z3" s="12" t="inlineStr">
        <is>
          <t>Ground_up_m</t>
        </is>
      </c>
      <c r="AA3" s="12" t="inlineStr">
        <is>
          <t>Cover_down_m</t>
        </is>
      </c>
      <c r="AB3" s="12" t="inlineStr">
        <is>
          <t>Cover_up_m</t>
        </is>
      </c>
      <c r="AC3" s="12" t="inlineStr">
        <is>
          <t>Checks</t>
        </is>
      </c>
      <c r="AD3" s="3" t="inlineStr">
        <is>
          <t>Cap_5</t>
        </is>
      </c>
      <c r="AE3" s="3" t="inlineStr">
        <is>
          <t>Cap_6</t>
        </is>
      </c>
      <c r="AF3" s="3" t="inlineStr">
        <is>
          <t>Cap_7</t>
        </is>
      </c>
      <c r="AG3" s="3" t="inlineStr">
        <is>
          <t>Cap_8</t>
        </is>
      </c>
      <c r="AH3" s="3" t="inlineStr">
        <is>
          <t>Cap_9</t>
        </is>
      </c>
      <c r="AI3" s="3" t="inlineStr">
        <is>
          <t>Cap_10</t>
        </is>
      </c>
      <c r="AJ3" s="3" t="inlineStr">
        <is>
          <t>Cap_11</t>
        </is>
      </c>
      <c r="AK3" s="3" t="inlineStr">
        <is>
          <t>Cap_12</t>
        </is>
      </c>
      <c r="AL3" s="3" t="inlineStr">
        <is>
          <t>Cap_13</t>
        </is>
      </c>
      <c r="AM3" s="3" t="inlineStr">
        <is>
          <t>Cap_14</t>
        </is>
      </c>
    </row>
    <row r="4">
      <c r="A4" s="4" t="inlineStr">
        <is>
          <t>P01</t>
        </is>
      </c>
      <c r="B4" s="4" t="inlineStr">
        <is>
          <t>P02</t>
        </is>
      </c>
      <c r="C4" s="8" t="n">
        <v>7</v>
      </c>
      <c r="D4" s="8" t="n"/>
      <c r="E4" s="8">
        <f>SUMIFS(CB_Tributaires!$C:$C,CB_Tributaires!$B:$B,$A4)</f>
        <v/>
      </c>
      <c r="F4" s="8">
        <f>IF(D4="",E4,D4)</f>
        <v/>
      </c>
      <c r="G4" s="4" t="inlineStr"/>
      <c r="H4" s="8" t="inlineStr"/>
      <c r="I4" s="8">
        <f>IF(A4="","",Inputs!$B$13/((IF(H4="",Inputs!$B$18,H4)+Inputs!$B$14)^Inputs!$B$15))</f>
        <v/>
      </c>
      <c r="J4" s="8">
        <f>IF(A4="","",0.00278*IF(G4="",Inputs!$B$17,G4)*F4*I4)</f>
        <v/>
      </c>
      <c r="K4" s="8">
        <f>IF(A4="","",SUMIFS($L$4:$L$203,$B$4:$B$203,$A4))</f>
        <v/>
      </c>
      <c r="L4" s="8">
        <f>IF(A4="","",(J4+K4)*Inputs!$B$16)</f>
        <v/>
      </c>
      <c r="M4" s="8" t="inlineStr"/>
      <c r="N4" s="8">
        <f>IF(A4="","",IF(M4="",Inputs!$B$7,M4))</f>
        <v/>
      </c>
      <c r="O4" s="4">
        <f>IF(A4="","",IF(L4/Inputs!$B$10&lt;=AD4,Inputs!$F$5,IF(L4/Inputs!$B$10&gt;AM4,"OVERSIZE",INDEX(Inputs!$F$5:$F$14,MATCH(L4/Inputs!$B$10,AD4:AM4,1)+1))))</f>
        <v/>
      </c>
      <c r="P4" s="4" t="n"/>
      <c r="Q4" s="4">
        <f>IF(A4="","",IF(P4="",O4,P4))</f>
        <v/>
      </c>
      <c r="R4" s="8">
        <f>IF(OR(Q4="",Q4="OVERSIZE"),"",Q4/1000)</f>
        <v/>
      </c>
      <c r="S4" s="8">
        <f>IF(R4="","",(1/Inputs!$B$9)*(PI()*R4^2/4)*((R4/4)^(2/3))*SQRT(N4))</f>
        <v/>
      </c>
      <c r="T4" s="8">
        <f>IF(OR(S4="",L4=""),"",L4/(S4*Inputs!$B$10))</f>
        <v/>
      </c>
      <c r="U4" s="8">
        <f>IF(OR(R4="",L4=""),"",4*L4/(PI()*R4^2))</f>
        <v/>
      </c>
      <c r="V4" s="8" t="inlineStr"/>
      <c r="W4" s="8">
        <f>IF(A4="","",IF(A4=Inputs!$B$6,Inputs!$B$22,IF(B4="","",IFERROR(INDEX($X$4:$X$203,MATCH(B4,$A$4:$A$203,0))+IF(V4="",Inputs!$B$20,V4),""))))</f>
        <v/>
      </c>
      <c r="X4" s="8">
        <f>IF(OR(W4="",N4="",C4=""),"",W4+N4*C4)</f>
        <v/>
      </c>
      <c r="Y4" s="8" t="n"/>
      <c r="Z4" s="8" t="n"/>
      <c r="AA4" s="8">
        <f>IF(OR(Y4="",W4=""),"",Y4-W4)</f>
        <v/>
      </c>
      <c r="AB4" s="8">
        <f>IF(OR(Z4="",X4=""),"",Z4-X4)</f>
        <v/>
      </c>
      <c r="AC4" s="4">
        <f>IF(A4="","",IF(OR(T4&gt;1,U4&lt;Inputs!$B$11,U4&gt;Inputs!$B$12,AA4&lt;Inputs!$B$19,AB4&lt;Inputs!$B$19,N4&lt;Inputs!$B$7,N4&gt;Inputs!$B$8),"CHECK","OK"))</f>
        <v/>
      </c>
      <c r="AD4" s="4">
        <f>IF(A4="","",(1/Inputs!$B$9)*(PI()*(Inputs!$F$5/1000)^2/4)*((Inputs!$F$5/1000/4)^(2/3))*SQRT(N4))</f>
        <v/>
      </c>
      <c r="AE4" s="4">
        <f>IF(A4="","",(1/Inputs!$B$9)*(PI()*(Inputs!$F$6/1000)^2/4)*((Inputs!$F$6/1000/4)^(2/3))*SQRT(N4))</f>
        <v/>
      </c>
      <c r="AF4" s="4">
        <f>IF(A4="","",(1/Inputs!$B$9)*(PI()*(Inputs!$F$7/1000)^2/4)*((Inputs!$F$7/1000/4)^(2/3))*SQRT(N4))</f>
        <v/>
      </c>
      <c r="AG4" s="4">
        <f>IF(A4="","",(1/Inputs!$B$9)*(PI()*(Inputs!$F$8/1000)^2/4)*((Inputs!$F$8/1000/4)^(2/3))*SQRT(N4))</f>
        <v/>
      </c>
      <c r="AH4" s="4">
        <f>IF(A4="","",(1/Inputs!$B$9)*(PI()*(Inputs!$F$9/1000)^2/4)*((Inputs!$F$9/1000/4)^(2/3))*SQRT(N4))</f>
        <v/>
      </c>
      <c r="AI4" s="4">
        <f>IF(A4="","",(1/Inputs!$B$9)*(PI()*(Inputs!$F$10/1000)^2/4)*((Inputs!$F$10/1000/4)^(2/3))*SQRT(N4))</f>
        <v/>
      </c>
      <c r="AJ4" s="4">
        <f>IF(A4="","",(1/Inputs!$B$9)*(PI()*(Inputs!$F$11/1000)^2/4)*((Inputs!$F$11/1000/4)^(2/3))*SQRT(N4))</f>
        <v/>
      </c>
      <c r="AK4" s="4">
        <f>IF(A4="","",(1/Inputs!$B$9)*(PI()*(Inputs!$F$12/1000)^2/4)*((Inputs!$F$12/1000/4)^(2/3))*SQRT(N4))</f>
        <v/>
      </c>
      <c r="AL4" s="4">
        <f>IF(A4="","",(1/Inputs!$B$9)*(PI()*(Inputs!$F$13/1000)^2/4)*((Inputs!$F$13/1000/4)^(2/3))*SQRT(N4))</f>
        <v/>
      </c>
      <c r="AM4" s="4">
        <f>IF(A4="","",(1/Inputs!$B$9)*(PI()*(Inputs!$F$14/1000)^2/4)*((Inputs!$F$14/1000/4)^(2/3))*SQRT(N4))</f>
        <v/>
      </c>
    </row>
    <row r="5">
      <c r="A5" s="4" t="inlineStr">
        <is>
          <t>P02</t>
        </is>
      </c>
      <c r="B5" s="4" t="inlineStr">
        <is>
          <t>P06</t>
        </is>
      </c>
      <c r="C5" s="8" t="n">
        <v>9.6</v>
      </c>
      <c r="D5" s="8" t="n"/>
      <c r="E5" s="8">
        <f>SUMIFS(CB_Tributaires!$C:$C,CB_Tributaires!$B:$B,$A5)</f>
        <v/>
      </c>
      <c r="F5" s="8">
        <f>IF(D5="",E5,D5)</f>
        <v/>
      </c>
      <c r="G5" s="4" t="inlineStr"/>
      <c r="H5" s="8" t="inlineStr"/>
      <c r="I5" s="8">
        <f>IF(A5="","",Inputs!$B$13/((IF(H5="",Inputs!$B$18,H5)+Inputs!$B$14)^Inputs!$B$15))</f>
        <v/>
      </c>
      <c r="J5" s="8">
        <f>IF(A5="","",0.00278*IF(G5="",Inputs!$B$17,G5)*F5*I5)</f>
        <v/>
      </c>
      <c r="K5" s="8">
        <f>IF(A5="","",SUMIFS($L$4:$L$203,$B$4:$B$203,$A5))</f>
        <v/>
      </c>
      <c r="L5" s="8">
        <f>IF(A5="","",(J5+K5)*Inputs!$B$16)</f>
        <v/>
      </c>
      <c r="M5" s="8" t="inlineStr"/>
      <c r="N5" s="8">
        <f>IF(A5="","",IF(M5="",Inputs!$B$7,M5))</f>
        <v/>
      </c>
      <c r="O5" s="4">
        <f>IF(A5="","",IF(L5/Inputs!$B$10&lt;=AD5,Inputs!$F$5,IF(L5/Inputs!$B$10&gt;AM5,"OVERSIZE",INDEX(Inputs!$F$5:$F$14,MATCH(L5/Inputs!$B$10,AD5:AM5,1)+1))))</f>
        <v/>
      </c>
      <c r="P5" s="4" t="n"/>
      <c r="Q5" s="4">
        <f>IF(A5="","",IF(P5="",O5,P5))</f>
        <v/>
      </c>
      <c r="R5" s="8">
        <f>IF(OR(Q5="",Q5="OVERSIZE"),"",Q5/1000)</f>
        <v/>
      </c>
      <c r="S5" s="8">
        <f>IF(R5="","",(1/Inputs!$B$9)*(PI()*R5^2/4)*((R5/4)^(2/3))*SQRT(N5))</f>
        <v/>
      </c>
      <c r="T5" s="8">
        <f>IF(OR(S5="",L5=""),"",L5/(S5*Inputs!$B$10))</f>
        <v/>
      </c>
      <c r="U5" s="8">
        <f>IF(OR(R5="",L5=""),"",4*L5/(PI()*R5^2))</f>
        <v/>
      </c>
      <c r="V5" s="8" t="inlineStr"/>
      <c r="W5" s="8">
        <f>IF(A5="","",IF(A5=Inputs!$B$6,Inputs!$B$22,IF(B5="","",IFERROR(INDEX($X$4:$X$203,MATCH(B5,$A$4:$A$203,0))+IF(V5="",Inputs!$B$20,V5),""))))</f>
        <v/>
      </c>
      <c r="X5" s="8">
        <f>IF(OR(W5="",N5="",C5=""),"",W5+N5*C5)</f>
        <v/>
      </c>
      <c r="Y5" s="8" t="n"/>
      <c r="Z5" s="8" t="n"/>
      <c r="AA5" s="8">
        <f>IF(OR(Y5="",W5=""),"",Y5-W5)</f>
        <v/>
      </c>
      <c r="AB5" s="8">
        <f>IF(OR(Z5="",X5=""),"",Z5-X5)</f>
        <v/>
      </c>
      <c r="AC5" s="4">
        <f>IF(A5="","",IF(OR(T5&gt;1,U5&lt;Inputs!$B$11,U5&gt;Inputs!$B$12,AA5&lt;Inputs!$B$19,AB5&lt;Inputs!$B$19,N5&lt;Inputs!$B$7,N5&gt;Inputs!$B$8),"CHECK","OK"))</f>
        <v/>
      </c>
      <c r="AD5" s="4">
        <f>IF(A5="","",(1/Inputs!$B$9)*(PI()*(Inputs!$F$5/1000)^2/4)*((Inputs!$F$5/1000/4)^(2/3))*SQRT(N5))</f>
        <v/>
      </c>
      <c r="AE5" s="4">
        <f>IF(A5="","",(1/Inputs!$B$9)*(PI()*(Inputs!$F$6/1000)^2/4)*((Inputs!$F$6/1000/4)^(2/3))*SQRT(N5))</f>
        <v/>
      </c>
      <c r="AF5" s="4">
        <f>IF(A5="","",(1/Inputs!$B$9)*(PI()*(Inputs!$F$7/1000)^2/4)*((Inputs!$F$7/1000/4)^(2/3))*SQRT(N5))</f>
        <v/>
      </c>
      <c r="AG5" s="4">
        <f>IF(A5="","",(1/Inputs!$B$9)*(PI()*(Inputs!$F$8/1000)^2/4)*((Inputs!$F$8/1000/4)^(2/3))*SQRT(N5))</f>
        <v/>
      </c>
      <c r="AH5" s="4">
        <f>IF(A5="","",(1/Inputs!$B$9)*(PI()*(Inputs!$F$9/1000)^2/4)*((Inputs!$F$9/1000/4)^(2/3))*SQRT(N5))</f>
        <v/>
      </c>
      <c r="AI5" s="4">
        <f>IF(A5="","",(1/Inputs!$B$9)*(PI()*(Inputs!$F$10/1000)^2/4)*((Inputs!$F$10/1000/4)^(2/3))*SQRT(N5))</f>
        <v/>
      </c>
      <c r="AJ5" s="4">
        <f>IF(A5="","",(1/Inputs!$B$9)*(PI()*(Inputs!$F$11/1000)^2/4)*((Inputs!$F$11/1000/4)^(2/3))*SQRT(N5))</f>
        <v/>
      </c>
      <c r="AK5" s="4">
        <f>IF(A5="","",(1/Inputs!$B$9)*(PI()*(Inputs!$F$12/1000)^2/4)*((Inputs!$F$12/1000/4)^(2/3))*SQRT(N5))</f>
        <v/>
      </c>
      <c r="AL5" s="4">
        <f>IF(A5="","",(1/Inputs!$B$9)*(PI()*(Inputs!$F$13/1000)^2/4)*((Inputs!$F$13/1000/4)^(2/3))*SQRT(N5))</f>
        <v/>
      </c>
      <c r="AM5" s="4">
        <f>IF(A5="","",(1/Inputs!$B$9)*(PI()*(Inputs!$F$14/1000)^2/4)*((Inputs!$F$14/1000/4)^(2/3))*SQRT(N5))</f>
        <v/>
      </c>
    </row>
    <row r="6">
      <c r="A6" s="4" t="inlineStr">
        <is>
          <t>P03</t>
        </is>
      </c>
      <c r="B6" s="4" t="inlineStr">
        <is>
          <t>P06</t>
        </is>
      </c>
      <c r="C6" s="8" t="n">
        <v>6.95</v>
      </c>
      <c r="D6" s="8" t="n"/>
      <c r="E6" s="8">
        <f>SUMIFS(CB_Tributaires!$C:$C,CB_Tributaires!$B:$B,$A6)</f>
        <v/>
      </c>
      <c r="F6" s="8">
        <f>IF(D6="",E6,D6)</f>
        <v/>
      </c>
      <c r="G6" s="4" t="inlineStr"/>
      <c r="H6" s="8" t="inlineStr"/>
      <c r="I6" s="8">
        <f>IF(A6="","",Inputs!$B$13/((IF(H6="",Inputs!$B$18,H6)+Inputs!$B$14)^Inputs!$B$15))</f>
        <v/>
      </c>
      <c r="J6" s="8">
        <f>IF(A6="","",0.00278*IF(G6="",Inputs!$B$17,G6)*F6*I6)</f>
        <v/>
      </c>
      <c r="K6" s="8">
        <f>IF(A6="","",SUMIFS($L$4:$L$203,$B$4:$B$203,$A6))</f>
        <v/>
      </c>
      <c r="L6" s="8">
        <f>IF(A6="","",(J6+K6)*Inputs!$B$16)</f>
        <v/>
      </c>
      <c r="M6" s="8" t="inlineStr"/>
      <c r="N6" s="8">
        <f>IF(A6="","",IF(M6="",Inputs!$B$7,M6))</f>
        <v/>
      </c>
      <c r="O6" s="4">
        <f>IF(A6="","",IF(L6/Inputs!$B$10&lt;=AD6,Inputs!$F$5,IF(L6/Inputs!$B$10&gt;AM6,"OVERSIZE",INDEX(Inputs!$F$5:$F$14,MATCH(L6/Inputs!$B$10,AD6:AM6,1)+1))))</f>
        <v/>
      </c>
      <c r="P6" s="4" t="n"/>
      <c r="Q6" s="4">
        <f>IF(A6="","",IF(P6="",O6,P6))</f>
        <v/>
      </c>
      <c r="R6" s="8">
        <f>IF(OR(Q6="",Q6="OVERSIZE"),"",Q6/1000)</f>
        <v/>
      </c>
      <c r="S6" s="8">
        <f>IF(R6="","",(1/Inputs!$B$9)*(PI()*R6^2/4)*((R6/4)^(2/3))*SQRT(N6))</f>
        <v/>
      </c>
      <c r="T6" s="8">
        <f>IF(OR(S6="",L6=""),"",L6/(S6*Inputs!$B$10))</f>
        <v/>
      </c>
      <c r="U6" s="8">
        <f>IF(OR(R6="",L6=""),"",4*L6/(PI()*R6^2))</f>
        <v/>
      </c>
      <c r="V6" s="8" t="inlineStr"/>
      <c r="W6" s="8">
        <f>IF(A6="","",IF(A6=Inputs!$B$6,Inputs!$B$22,IF(B6="","",IFERROR(INDEX($X$4:$X$203,MATCH(B6,$A$4:$A$203,0))+IF(V6="",Inputs!$B$20,V6),""))))</f>
        <v/>
      </c>
      <c r="X6" s="8">
        <f>IF(OR(W6="",N6="",C6=""),"",W6+N6*C6)</f>
        <v/>
      </c>
      <c r="Y6" s="8" t="n"/>
      <c r="Z6" s="8" t="n"/>
      <c r="AA6" s="8">
        <f>IF(OR(Y6="",W6=""),"",Y6-W6)</f>
        <v/>
      </c>
      <c r="AB6" s="8">
        <f>IF(OR(Z6="",X6=""),"",Z6-X6)</f>
        <v/>
      </c>
      <c r="AC6" s="4">
        <f>IF(A6="","",IF(OR(T6&gt;1,U6&lt;Inputs!$B$11,U6&gt;Inputs!$B$12,AA6&lt;Inputs!$B$19,AB6&lt;Inputs!$B$19,N6&lt;Inputs!$B$7,N6&gt;Inputs!$B$8),"CHECK","OK"))</f>
        <v/>
      </c>
      <c r="AD6" s="4">
        <f>IF(A6="","",(1/Inputs!$B$9)*(PI()*(Inputs!$F$5/1000)^2/4)*((Inputs!$F$5/1000/4)^(2/3))*SQRT(N6))</f>
        <v/>
      </c>
      <c r="AE6" s="4">
        <f>IF(A6="","",(1/Inputs!$B$9)*(PI()*(Inputs!$F$6/1000)^2/4)*((Inputs!$F$6/1000/4)^(2/3))*SQRT(N6))</f>
        <v/>
      </c>
      <c r="AF6" s="4">
        <f>IF(A6="","",(1/Inputs!$B$9)*(PI()*(Inputs!$F$7/1000)^2/4)*((Inputs!$F$7/1000/4)^(2/3))*SQRT(N6))</f>
        <v/>
      </c>
      <c r="AG6" s="4">
        <f>IF(A6="","",(1/Inputs!$B$9)*(PI()*(Inputs!$F$8/1000)^2/4)*((Inputs!$F$8/1000/4)^(2/3))*SQRT(N6))</f>
        <v/>
      </c>
      <c r="AH6" s="4">
        <f>IF(A6="","",(1/Inputs!$B$9)*(PI()*(Inputs!$F$9/1000)^2/4)*((Inputs!$F$9/1000/4)^(2/3))*SQRT(N6))</f>
        <v/>
      </c>
      <c r="AI6" s="4">
        <f>IF(A6="","",(1/Inputs!$B$9)*(PI()*(Inputs!$F$10/1000)^2/4)*((Inputs!$F$10/1000/4)^(2/3))*SQRT(N6))</f>
        <v/>
      </c>
      <c r="AJ6" s="4">
        <f>IF(A6="","",(1/Inputs!$B$9)*(PI()*(Inputs!$F$11/1000)^2/4)*((Inputs!$F$11/1000/4)^(2/3))*SQRT(N6))</f>
        <v/>
      </c>
      <c r="AK6" s="4">
        <f>IF(A6="","",(1/Inputs!$B$9)*(PI()*(Inputs!$F$12/1000)^2/4)*((Inputs!$F$12/1000/4)^(2/3))*SQRT(N6))</f>
        <v/>
      </c>
      <c r="AL6" s="4">
        <f>IF(A6="","",(1/Inputs!$B$9)*(PI()*(Inputs!$F$13/1000)^2/4)*((Inputs!$F$13/1000/4)^(2/3))*SQRT(N6))</f>
        <v/>
      </c>
      <c r="AM6" s="4">
        <f>IF(A6="","",(1/Inputs!$B$9)*(PI()*(Inputs!$F$14/1000)^2/4)*((Inputs!$F$14/1000/4)^(2/3))*SQRT(N6))</f>
        <v/>
      </c>
    </row>
    <row r="7">
      <c r="A7" s="4" t="inlineStr">
        <is>
          <t>P04</t>
        </is>
      </c>
      <c r="B7" s="4" t="inlineStr">
        <is>
          <t>P05</t>
        </is>
      </c>
      <c r="C7" s="8" t="n">
        <v>11.54</v>
      </c>
      <c r="D7" s="8" t="n"/>
      <c r="E7" s="8">
        <f>SUMIFS(CB_Tributaires!$C:$C,CB_Tributaires!$B:$B,$A7)</f>
        <v/>
      </c>
      <c r="F7" s="8">
        <f>IF(D7="",E7,D7)</f>
        <v/>
      </c>
      <c r="G7" s="4" t="inlineStr"/>
      <c r="H7" s="8" t="inlineStr"/>
      <c r="I7" s="8">
        <f>IF(A7="","",Inputs!$B$13/((IF(H7="",Inputs!$B$18,H7)+Inputs!$B$14)^Inputs!$B$15))</f>
        <v/>
      </c>
      <c r="J7" s="8">
        <f>IF(A7="","",0.00278*IF(G7="",Inputs!$B$17,G7)*F7*I7)</f>
        <v/>
      </c>
      <c r="K7" s="8">
        <f>IF(A7="","",SUMIFS($L$4:$L$203,$B$4:$B$203,$A7))</f>
        <v/>
      </c>
      <c r="L7" s="8">
        <f>IF(A7="","",(J7+K7)*Inputs!$B$16)</f>
        <v/>
      </c>
      <c r="M7" s="8" t="inlineStr"/>
      <c r="N7" s="8">
        <f>IF(A7="","",IF(M7="",Inputs!$B$7,M7))</f>
        <v/>
      </c>
      <c r="O7" s="4">
        <f>IF(A7="","",IF(L7/Inputs!$B$10&lt;=AD7,Inputs!$F$5,IF(L7/Inputs!$B$10&gt;AM7,"OVERSIZE",INDEX(Inputs!$F$5:$F$14,MATCH(L7/Inputs!$B$10,AD7:AM7,1)+1))))</f>
        <v/>
      </c>
      <c r="P7" s="4" t="n"/>
      <c r="Q7" s="4">
        <f>IF(A7="","",IF(P7="",O7,P7))</f>
        <v/>
      </c>
      <c r="R7" s="8">
        <f>IF(OR(Q7="",Q7="OVERSIZE"),"",Q7/1000)</f>
        <v/>
      </c>
      <c r="S7" s="8">
        <f>IF(R7="","",(1/Inputs!$B$9)*(PI()*R7^2/4)*((R7/4)^(2/3))*SQRT(N7))</f>
        <v/>
      </c>
      <c r="T7" s="8">
        <f>IF(OR(S7="",L7=""),"",L7/(S7*Inputs!$B$10))</f>
        <v/>
      </c>
      <c r="U7" s="8">
        <f>IF(OR(R7="",L7=""),"",4*L7/(PI()*R7^2))</f>
        <v/>
      </c>
      <c r="V7" s="8" t="inlineStr"/>
      <c r="W7" s="8">
        <f>IF(A7="","",IF(A7=Inputs!$B$6,Inputs!$B$22,IF(B7="","",IFERROR(INDEX($X$4:$X$203,MATCH(B7,$A$4:$A$203,0))+IF(V7="",Inputs!$B$20,V7),""))))</f>
        <v/>
      </c>
      <c r="X7" s="8">
        <f>IF(OR(W7="",N7="",C7=""),"",W7+N7*C7)</f>
        <v/>
      </c>
      <c r="Y7" s="8" t="n"/>
      <c r="Z7" s="8" t="n"/>
      <c r="AA7" s="8">
        <f>IF(OR(Y7="",W7=""),"",Y7-W7)</f>
        <v/>
      </c>
      <c r="AB7" s="8">
        <f>IF(OR(Z7="",X7=""),"",Z7-X7)</f>
        <v/>
      </c>
      <c r="AC7" s="4">
        <f>IF(A7="","",IF(OR(T7&gt;1,U7&lt;Inputs!$B$11,U7&gt;Inputs!$B$12,AA7&lt;Inputs!$B$19,AB7&lt;Inputs!$B$19,N7&lt;Inputs!$B$7,N7&gt;Inputs!$B$8),"CHECK","OK"))</f>
        <v/>
      </c>
      <c r="AD7" s="4">
        <f>IF(A7="","",(1/Inputs!$B$9)*(PI()*(Inputs!$F$5/1000)^2/4)*((Inputs!$F$5/1000/4)^(2/3))*SQRT(N7))</f>
        <v/>
      </c>
      <c r="AE7" s="4">
        <f>IF(A7="","",(1/Inputs!$B$9)*(PI()*(Inputs!$F$6/1000)^2/4)*((Inputs!$F$6/1000/4)^(2/3))*SQRT(N7))</f>
        <v/>
      </c>
      <c r="AF7" s="4">
        <f>IF(A7="","",(1/Inputs!$B$9)*(PI()*(Inputs!$F$7/1000)^2/4)*((Inputs!$F$7/1000/4)^(2/3))*SQRT(N7))</f>
        <v/>
      </c>
      <c r="AG7" s="4">
        <f>IF(A7="","",(1/Inputs!$B$9)*(PI()*(Inputs!$F$8/1000)^2/4)*((Inputs!$F$8/1000/4)^(2/3))*SQRT(N7))</f>
        <v/>
      </c>
      <c r="AH7" s="4">
        <f>IF(A7="","",(1/Inputs!$B$9)*(PI()*(Inputs!$F$9/1000)^2/4)*((Inputs!$F$9/1000/4)^(2/3))*SQRT(N7))</f>
        <v/>
      </c>
      <c r="AI7" s="4">
        <f>IF(A7="","",(1/Inputs!$B$9)*(PI()*(Inputs!$F$10/1000)^2/4)*((Inputs!$F$10/1000/4)^(2/3))*SQRT(N7))</f>
        <v/>
      </c>
      <c r="AJ7" s="4">
        <f>IF(A7="","",(1/Inputs!$B$9)*(PI()*(Inputs!$F$11/1000)^2/4)*((Inputs!$F$11/1000/4)^(2/3))*SQRT(N7))</f>
        <v/>
      </c>
      <c r="AK7" s="4">
        <f>IF(A7="","",(1/Inputs!$B$9)*(PI()*(Inputs!$F$12/1000)^2/4)*((Inputs!$F$12/1000/4)^(2/3))*SQRT(N7))</f>
        <v/>
      </c>
      <c r="AL7" s="4">
        <f>IF(A7="","",(1/Inputs!$B$9)*(PI()*(Inputs!$F$13/1000)^2/4)*((Inputs!$F$13/1000/4)^(2/3))*SQRT(N7))</f>
        <v/>
      </c>
      <c r="AM7" s="4">
        <f>IF(A7="","",(1/Inputs!$B$9)*(PI()*(Inputs!$F$14/1000)^2/4)*((Inputs!$F$14/1000/4)^(2/3))*SQRT(N7))</f>
        <v/>
      </c>
    </row>
    <row r="8">
      <c r="A8" s="4" t="inlineStr">
        <is>
          <t>P05</t>
        </is>
      </c>
      <c r="B8" s="4" t="inlineStr">
        <is>
          <t>P06</t>
        </is>
      </c>
      <c r="C8" s="8" t="n">
        <v>14.25</v>
      </c>
      <c r="D8" s="8" t="n"/>
      <c r="E8" s="8">
        <f>SUMIFS(CB_Tributaires!$C:$C,CB_Tributaires!$B:$B,$A8)</f>
        <v/>
      </c>
      <c r="F8" s="8">
        <f>IF(D8="",E8,D8)</f>
        <v/>
      </c>
      <c r="G8" s="4" t="inlineStr"/>
      <c r="H8" s="8" t="inlineStr"/>
      <c r="I8" s="8">
        <f>IF(A8="","",Inputs!$B$13/((IF(H8="",Inputs!$B$18,H8)+Inputs!$B$14)^Inputs!$B$15))</f>
        <v/>
      </c>
      <c r="J8" s="8">
        <f>IF(A8="","",0.00278*IF(G8="",Inputs!$B$17,G8)*F8*I8)</f>
        <v/>
      </c>
      <c r="K8" s="8">
        <f>IF(A8="","",SUMIFS($L$4:$L$203,$B$4:$B$203,$A8))</f>
        <v/>
      </c>
      <c r="L8" s="8">
        <f>IF(A8="","",(J8+K8)*Inputs!$B$16)</f>
        <v/>
      </c>
      <c r="M8" s="8" t="inlineStr"/>
      <c r="N8" s="8">
        <f>IF(A8="","",IF(M8="",Inputs!$B$7,M8))</f>
        <v/>
      </c>
      <c r="O8" s="4">
        <f>IF(A8="","",IF(L8/Inputs!$B$10&lt;=AD8,Inputs!$F$5,IF(L8/Inputs!$B$10&gt;AM8,"OVERSIZE",INDEX(Inputs!$F$5:$F$14,MATCH(L8/Inputs!$B$10,AD8:AM8,1)+1))))</f>
        <v/>
      </c>
      <c r="P8" s="4" t="n"/>
      <c r="Q8" s="4">
        <f>IF(A8="","",IF(P8="",O8,P8))</f>
        <v/>
      </c>
      <c r="R8" s="8">
        <f>IF(OR(Q8="",Q8="OVERSIZE"),"",Q8/1000)</f>
        <v/>
      </c>
      <c r="S8" s="8">
        <f>IF(R8="","",(1/Inputs!$B$9)*(PI()*R8^2/4)*((R8/4)^(2/3))*SQRT(N8))</f>
        <v/>
      </c>
      <c r="T8" s="8">
        <f>IF(OR(S8="",L8=""),"",L8/(S8*Inputs!$B$10))</f>
        <v/>
      </c>
      <c r="U8" s="8">
        <f>IF(OR(R8="",L8=""),"",4*L8/(PI()*R8^2))</f>
        <v/>
      </c>
      <c r="V8" s="8" t="inlineStr"/>
      <c r="W8" s="8">
        <f>IF(A8="","",IF(A8=Inputs!$B$6,Inputs!$B$22,IF(B8="","",IFERROR(INDEX($X$4:$X$203,MATCH(B8,$A$4:$A$203,0))+IF(V8="",Inputs!$B$20,V8),""))))</f>
        <v/>
      </c>
      <c r="X8" s="8">
        <f>IF(OR(W8="",N8="",C8=""),"",W8+N8*C8)</f>
        <v/>
      </c>
      <c r="Y8" s="8" t="n"/>
      <c r="Z8" s="8" t="n"/>
      <c r="AA8" s="8">
        <f>IF(OR(Y8="",W8=""),"",Y8-W8)</f>
        <v/>
      </c>
      <c r="AB8" s="8">
        <f>IF(OR(Z8="",X8=""),"",Z8-X8)</f>
        <v/>
      </c>
      <c r="AC8" s="4">
        <f>IF(A8="","",IF(OR(T8&gt;1,U8&lt;Inputs!$B$11,U8&gt;Inputs!$B$12,AA8&lt;Inputs!$B$19,AB8&lt;Inputs!$B$19,N8&lt;Inputs!$B$7,N8&gt;Inputs!$B$8),"CHECK","OK"))</f>
        <v/>
      </c>
      <c r="AD8" s="4">
        <f>IF(A8="","",(1/Inputs!$B$9)*(PI()*(Inputs!$F$5/1000)^2/4)*((Inputs!$F$5/1000/4)^(2/3))*SQRT(N8))</f>
        <v/>
      </c>
      <c r="AE8" s="4">
        <f>IF(A8="","",(1/Inputs!$B$9)*(PI()*(Inputs!$F$6/1000)^2/4)*((Inputs!$F$6/1000/4)^(2/3))*SQRT(N8))</f>
        <v/>
      </c>
      <c r="AF8" s="4">
        <f>IF(A8="","",(1/Inputs!$B$9)*(PI()*(Inputs!$F$7/1000)^2/4)*((Inputs!$F$7/1000/4)^(2/3))*SQRT(N8))</f>
        <v/>
      </c>
      <c r="AG8" s="4">
        <f>IF(A8="","",(1/Inputs!$B$9)*(PI()*(Inputs!$F$8/1000)^2/4)*((Inputs!$F$8/1000/4)^(2/3))*SQRT(N8))</f>
        <v/>
      </c>
      <c r="AH8" s="4">
        <f>IF(A8="","",(1/Inputs!$B$9)*(PI()*(Inputs!$F$9/1000)^2/4)*((Inputs!$F$9/1000/4)^(2/3))*SQRT(N8))</f>
        <v/>
      </c>
      <c r="AI8" s="4">
        <f>IF(A8="","",(1/Inputs!$B$9)*(PI()*(Inputs!$F$10/1000)^2/4)*((Inputs!$F$10/1000/4)^(2/3))*SQRT(N8))</f>
        <v/>
      </c>
      <c r="AJ8" s="4">
        <f>IF(A8="","",(1/Inputs!$B$9)*(PI()*(Inputs!$F$11/1000)^2/4)*((Inputs!$F$11/1000/4)^(2/3))*SQRT(N8))</f>
        <v/>
      </c>
      <c r="AK8" s="4">
        <f>IF(A8="","",(1/Inputs!$B$9)*(PI()*(Inputs!$F$12/1000)^2/4)*((Inputs!$F$12/1000/4)^(2/3))*SQRT(N8))</f>
        <v/>
      </c>
      <c r="AL8" s="4">
        <f>IF(A8="","",(1/Inputs!$B$9)*(PI()*(Inputs!$F$13/1000)^2/4)*((Inputs!$F$13/1000/4)^(2/3))*SQRT(N8))</f>
        <v/>
      </c>
      <c r="AM8" s="4">
        <f>IF(A8="","",(1/Inputs!$B$9)*(PI()*(Inputs!$F$14/1000)^2/4)*((Inputs!$F$14/1000/4)^(2/3))*SQRT(N8))</f>
        <v/>
      </c>
    </row>
    <row r="9">
      <c r="A9" s="4" t="inlineStr">
        <is>
          <t>P07</t>
        </is>
      </c>
      <c r="B9" s="4" t="inlineStr">
        <is>
          <t>P08</t>
        </is>
      </c>
      <c r="C9" s="8" t="n">
        <v>14.29</v>
      </c>
      <c r="D9" s="8" t="n"/>
      <c r="E9" s="8">
        <f>SUMIFS(CB_Tributaires!$C:$C,CB_Tributaires!$B:$B,$A9)</f>
        <v/>
      </c>
      <c r="F9" s="8">
        <f>IF(D9="",E9,D9)</f>
        <v/>
      </c>
      <c r="G9" s="4" t="inlineStr"/>
      <c r="H9" s="8" t="inlineStr"/>
      <c r="I9" s="8">
        <f>IF(A9="","",Inputs!$B$13/((IF(H9="",Inputs!$B$18,H9)+Inputs!$B$14)^Inputs!$B$15))</f>
        <v/>
      </c>
      <c r="J9" s="8">
        <f>IF(A9="","",0.00278*IF(G9="",Inputs!$B$17,G9)*F9*I9)</f>
        <v/>
      </c>
      <c r="K9" s="8">
        <f>IF(A9="","",SUMIFS($L$4:$L$203,$B$4:$B$203,$A9))</f>
        <v/>
      </c>
      <c r="L9" s="8">
        <f>IF(A9="","",(J9+K9)*Inputs!$B$16)</f>
        <v/>
      </c>
      <c r="M9" s="8" t="inlineStr"/>
      <c r="N9" s="8">
        <f>IF(A9="","",IF(M9="",Inputs!$B$7,M9))</f>
        <v/>
      </c>
      <c r="O9" s="4">
        <f>IF(A9="","",IF(L9/Inputs!$B$10&lt;=AD9,Inputs!$F$5,IF(L9/Inputs!$B$10&gt;AM9,"OVERSIZE",INDEX(Inputs!$F$5:$F$14,MATCH(L9/Inputs!$B$10,AD9:AM9,1)+1))))</f>
        <v/>
      </c>
      <c r="P9" s="4" t="n"/>
      <c r="Q9" s="4">
        <f>IF(A9="","",IF(P9="",O9,P9))</f>
        <v/>
      </c>
      <c r="R9" s="8">
        <f>IF(OR(Q9="",Q9="OVERSIZE"),"",Q9/1000)</f>
        <v/>
      </c>
      <c r="S9" s="8">
        <f>IF(R9="","",(1/Inputs!$B$9)*(PI()*R9^2/4)*((R9/4)^(2/3))*SQRT(N9))</f>
        <v/>
      </c>
      <c r="T9" s="8">
        <f>IF(OR(S9="",L9=""),"",L9/(S9*Inputs!$B$10))</f>
        <v/>
      </c>
      <c r="U9" s="8">
        <f>IF(OR(R9="",L9=""),"",4*L9/(PI()*R9^2))</f>
        <v/>
      </c>
      <c r="V9" s="8" t="inlineStr"/>
      <c r="W9" s="8">
        <f>IF(A9="","",IF(A9=Inputs!$B$6,Inputs!$B$22,IF(B9="","",IFERROR(INDEX($X$4:$X$203,MATCH(B9,$A$4:$A$203,0))+IF(V9="",Inputs!$B$20,V9),""))))</f>
        <v/>
      </c>
      <c r="X9" s="8">
        <f>IF(OR(W9="",N9="",C9=""),"",W9+N9*C9)</f>
        <v/>
      </c>
      <c r="Y9" s="8" t="n"/>
      <c r="Z9" s="8" t="n"/>
      <c r="AA9" s="8">
        <f>IF(OR(Y9="",W9=""),"",Y9-W9)</f>
        <v/>
      </c>
      <c r="AB9" s="8">
        <f>IF(OR(Z9="",X9=""),"",Z9-X9)</f>
        <v/>
      </c>
      <c r="AC9" s="4">
        <f>IF(A9="","",IF(OR(T9&gt;1,U9&lt;Inputs!$B$11,U9&gt;Inputs!$B$12,AA9&lt;Inputs!$B$19,AB9&lt;Inputs!$B$19,N9&lt;Inputs!$B$7,N9&gt;Inputs!$B$8),"CHECK","OK"))</f>
        <v/>
      </c>
      <c r="AD9" s="4">
        <f>IF(A9="","",(1/Inputs!$B$9)*(PI()*(Inputs!$F$5/1000)^2/4)*((Inputs!$F$5/1000/4)^(2/3))*SQRT(N9))</f>
        <v/>
      </c>
      <c r="AE9" s="4">
        <f>IF(A9="","",(1/Inputs!$B$9)*(PI()*(Inputs!$F$6/1000)^2/4)*((Inputs!$F$6/1000/4)^(2/3))*SQRT(N9))</f>
        <v/>
      </c>
      <c r="AF9" s="4">
        <f>IF(A9="","",(1/Inputs!$B$9)*(PI()*(Inputs!$F$7/1000)^2/4)*((Inputs!$F$7/1000/4)^(2/3))*SQRT(N9))</f>
        <v/>
      </c>
      <c r="AG9" s="4">
        <f>IF(A9="","",(1/Inputs!$B$9)*(PI()*(Inputs!$F$8/1000)^2/4)*((Inputs!$F$8/1000/4)^(2/3))*SQRT(N9))</f>
        <v/>
      </c>
      <c r="AH9" s="4">
        <f>IF(A9="","",(1/Inputs!$B$9)*(PI()*(Inputs!$F$9/1000)^2/4)*((Inputs!$F$9/1000/4)^(2/3))*SQRT(N9))</f>
        <v/>
      </c>
      <c r="AI9" s="4">
        <f>IF(A9="","",(1/Inputs!$B$9)*(PI()*(Inputs!$F$10/1000)^2/4)*((Inputs!$F$10/1000/4)^(2/3))*SQRT(N9))</f>
        <v/>
      </c>
      <c r="AJ9" s="4">
        <f>IF(A9="","",(1/Inputs!$B$9)*(PI()*(Inputs!$F$11/1000)^2/4)*((Inputs!$F$11/1000/4)^(2/3))*SQRT(N9))</f>
        <v/>
      </c>
      <c r="AK9" s="4">
        <f>IF(A9="","",(1/Inputs!$B$9)*(PI()*(Inputs!$F$12/1000)^2/4)*((Inputs!$F$12/1000/4)^(2/3))*SQRT(N9))</f>
        <v/>
      </c>
      <c r="AL9" s="4">
        <f>IF(A9="","",(1/Inputs!$B$9)*(PI()*(Inputs!$F$13/1000)^2/4)*((Inputs!$F$13/1000/4)^(2/3))*SQRT(N9))</f>
        <v/>
      </c>
      <c r="AM9" s="4">
        <f>IF(A9="","",(1/Inputs!$B$9)*(PI()*(Inputs!$F$14/1000)^2/4)*((Inputs!$F$14/1000/4)^(2/3))*SQRT(N9))</f>
        <v/>
      </c>
    </row>
    <row r="10">
      <c r="A10" s="4" t="inlineStr">
        <is>
          <t>P08</t>
        </is>
      </c>
      <c r="B10" s="4" t="inlineStr">
        <is>
          <t>P09</t>
        </is>
      </c>
      <c r="C10" s="8" t="n">
        <v>12.4</v>
      </c>
      <c r="D10" s="8" t="n"/>
      <c r="E10" s="8">
        <f>SUMIFS(CB_Tributaires!$C:$C,CB_Tributaires!$B:$B,$A10)</f>
        <v/>
      </c>
      <c r="F10" s="8">
        <f>IF(D10="",E10,D10)</f>
        <v/>
      </c>
      <c r="G10" s="4" t="inlineStr"/>
      <c r="H10" s="8" t="inlineStr"/>
      <c r="I10" s="8">
        <f>IF(A10="","",Inputs!$B$13/((IF(H10="",Inputs!$B$18,H10)+Inputs!$B$14)^Inputs!$B$15))</f>
        <v/>
      </c>
      <c r="J10" s="8">
        <f>IF(A10="","",0.00278*IF(G10="",Inputs!$B$17,G10)*F10*I10)</f>
        <v/>
      </c>
      <c r="K10" s="8">
        <f>IF(A10="","",SUMIFS($L$4:$L$203,$B$4:$B$203,$A10))</f>
        <v/>
      </c>
      <c r="L10" s="8">
        <f>IF(A10="","",(J10+K10)*Inputs!$B$16)</f>
        <v/>
      </c>
      <c r="M10" s="8" t="inlineStr"/>
      <c r="N10" s="8">
        <f>IF(A10="","",IF(M10="",Inputs!$B$7,M10))</f>
        <v/>
      </c>
      <c r="O10" s="4">
        <f>IF(A10="","",IF(L10/Inputs!$B$10&lt;=AD10,Inputs!$F$5,IF(L10/Inputs!$B$10&gt;AM10,"OVERSIZE",INDEX(Inputs!$F$5:$F$14,MATCH(L10/Inputs!$B$10,AD10:AM10,1)+1))))</f>
        <v/>
      </c>
      <c r="P10" s="4" t="n"/>
      <c r="Q10" s="4">
        <f>IF(A10="","",IF(P10="",O10,P10))</f>
        <v/>
      </c>
      <c r="R10" s="8">
        <f>IF(OR(Q10="",Q10="OVERSIZE"),"",Q10/1000)</f>
        <v/>
      </c>
      <c r="S10" s="8">
        <f>IF(R10="","",(1/Inputs!$B$9)*(PI()*R10^2/4)*((R10/4)^(2/3))*SQRT(N10))</f>
        <v/>
      </c>
      <c r="T10" s="8">
        <f>IF(OR(S10="",L10=""),"",L10/(S10*Inputs!$B$10))</f>
        <v/>
      </c>
      <c r="U10" s="8">
        <f>IF(OR(R10="",L10=""),"",4*L10/(PI()*R10^2))</f>
        <v/>
      </c>
      <c r="V10" s="8" t="inlineStr"/>
      <c r="W10" s="8">
        <f>IF(A10="","",IF(A10=Inputs!$B$6,Inputs!$B$22,IF(B10="","",IFERROR(INDEX($X$4:$X$203,MATCH(B10,$A$4:$A$203,0))+IF(V10="",Inputs!$B$20,V10),""))))</f>
        <v/>
      </c>
      <c r="X10" s="8">
        <f>IF(OR(W10="",N10="",C10=""),"",W10+N10*C10)</f>
        <v/>
      </c>
      <c r="Y10" s="8" t="n"/>
      <c r="Z10" s="8" t="n"/>
      <c r="AA10" s="8">
        <f>IF(OR(Y10="",W10=""),"",Y10-W10)</f>
        <v/>
      </c>
      <c r="AB10" s="8">
        <f>IF(OR(Z10="",X10=""),"",Z10-X10)</f>
        <v/>
      </c>
      <c r="AC10" s="4">
        <f>IF(A10="","",IF(OR(T10&gt;1,U10&lt;Inputs!$B$11,U10&gt;Inputs!$B$12,AA10&lt;Inputs!$B$19,AB10&lt;Inputs!$B$19,N10&lt;Inputs!$B$7,N10&gt;Inputs!$B$8),"CHECK","OK"))</f>
        <v/>
      </c>
      <c r="AD10" s="4">
        <f>IF(A10="","",(1/Inputs!$B$9)*(PI()*(Inputs!$F$5/1000)^2/4)*((Inputs!$F$5/1000/4)^(2/3))*SQRT(N10))</f>
        <v/>
      </c>
      <c r="AE10" s="4">
        <f>IF(A10="","",(1/Inputs!$B$9)*(PI()*(Inputs!$F$6/1000)^2/4)*((Inputs!$F$6/1000/4)^(2/3))*SQRT(N10))</f>
        <v/>
      </c>
      <c r="AF10" s="4">
        <f>IF(A10="","",(1/Inputs!$B$9)*(PI()*(Inputs!$F$7/1000)^2/4)*((Inputs!$F$7/1000/4)^(2/3))*SQRT(N10))</f>
        <v/>
      </c>
      <c r="AG10" s="4">
        <f>IF(A10="","",(1/Inputs!$B$9)*(PI()*(Inputs!$F$8/1000)^2/4)*((Inputs!$F$8/1000/4)^(2/3))*SQRT(N10))</f>
        <v/>
      </c>
      <c r="AH10" s="4">
        <f>IF(A10="","",(1/Inputs!$B$9)*(PI()*(Inputs!$F$9/1000)^2/4)*((Inputs!$F$9/1000/4)^(2/3))*SQRT(N10))</f>
        <v/>
      </c>
      <c r="AI10" s="4">
        <f>IF(A10="","",(1/Inputs!$B$9)*(PI()*(Inputs!$F$10/1000)^2/4)*((Inputs!$F$10/1000/4)^(2/3))*SQRT(N10))</f>
        <v/>
      </c>
      <c r="AJ10" s="4">
        <f>IF(A10="","",(1/Inputs!$B$9)*(PI()*(Inputs!$F$11/1000)^2/4)*((Inputs!$F$11/1000/4)^(2/3))*SQRT(N10))</f>
        <v/>
      </c>
      <c r="AK10" s="4">
        <f>IF(A10="","",(1/Inputs!$B$9)*(PI()*(Inputs!$F$12/1000)^2/4)*((Inputs!$F$12/1000/4)^(2/3))*SQRT(N10))</f>
        <v/>
      </c>
      <c r="AL10" s="4">
        <f>IF(A10="","",(1/Inputs!$B$9)*(PI()*(Inputs!$F$13/1000)^2/4)*((Inputs!$F$13/1000/4)^(2/3))*SQRT(N10))</f>
        <v/>
      </c>
      <c r="AM10" s="4">
        <f>IF(A10="","",(1/Inputs!$B$9)*(PI()*(Inputs!$F$14/1000)^2/4)*((Inputs!$F$14/1000/4)^(2/3))*SQRT(N10))</f>
        <v/>
      </c>
    </row>
    <row r="11">
      <c r="A11" s="4" t="inlineStr">
        <is>
          <t>P10</t>
        </is>
      </c>
      <c r="B11" s="4" t="inlineStr">
        <is>
          <t>P09</t>
        </is>
      </c>
      <c r="C11" s="8" t="n">
        <v>8.6</v>
      </c>
      <c r="D11" s="8" t="n"/>
      <c r="E11" s="8">
        <f>SUMIFS(CB_Tributaires!$C:$C,CB_Tributaires!$B:$B,$A11)</f>
        <v/>
      </c>
      <c r="F11" s="8">
        <f>IF(D11="",E11,D11)</f>
        <v/>
      </c>
      <c r="G11" s="4" t="inlineStr"/>
      <c r="H11" s="8" t="inlineStr"/>
      <c r="I11" s="8">
        <f>IF(A11="","",Inputs!$B$13/((IF(H11="",Inputs!$B$18,H11)+Inputs!$B$14)^Inputs!$B$15))</f>
        <v/>
      </c>
      <c r="J11" s="8">
        <f>IF(A11="","",0.00278*IF(G11="",Inputs!$B$17,G11)*F11*I11)</f>
        <v/>
      </c>
      <c r="K11" s="8">
        <f>IF(A11="","",SUMIFS($L$4:$L$203,$B$4:$B$203,$A11))</f>
        <v/>
      </c>
      <c r="L11" s="8">
        <f>IF(A11="","",(J11+K11)*Inputs!$B$16)</f>
        <v/>
      </c>
      <c r="M11" s="8" t="inlineStr"/>
      <c r="N11" s="8">
        <f>IF(A11="","",IF(M11="",Inputs!$B$7,M11))</f>
        <v/>
      </c>
      <c r="O11" s="4">
        <f>IF(A11="","",IF(L11/Inputs!$B$10&lt;=AD11,Inputs!$F$5,IF(L11/Inputs!$B$10&gt;AM11,"OVERSIZE",INDEX(Inputs!$F$5:$F$14,MATCH(L11/Inputs!$B$10,AD11:AM11,1)+1))))</f>
        <v/>
      </c>
      <c r="P11" s="4" t="n"/>
      <c r="Q11" s="4">
        <f>IF(A11="","",IF(P11="",O11,P11))</f>
        <v/>
      </c>
      <c r="R11" s="8">
        <f>IF(OR(Q11="",Q11="OVERSIZE"),"",Q11/1000)</f>
        <v/>
      </c>
      <c r="S11" s="8">
        <f>IF(R11="","",(1/Inputs!$B$9)*(PI()*R11^2/4)*((R11/4)^(2/3))*SQRT(N11))</f>
        <v/>
      </c>
      <c r="T11" s="8">
        <f>IF(OR(S11="",L11=""),"",L11/(S11*Inputs!$B$10))</f>
        <v/>
      </c>
      <c r="U11" s="8">
        <f>IF(OR(R11="",L11=""),"",4*L11/(PI()*R11^2))</f>
        <v/>
      </c>
      <c r="V11" s="8" t="inlineStr"/>
      <c r="W11" s="8">
        <f>IF(A11="","",IF(A11=Inputs!$B$6,Inputs!$B$22,IF(B11="","",IFERROR(INDEX($X$4:$X$203,MATCH(B11,$A$4:$A$203,0))+IF(V11="",Inputs!$B$20,V11),""))))</f>
        <v/>
      </c>
      <c r="X11" s="8">
        <f>IF(OR(W11="",N11="",C11=""),"",W11+N11*C11)</f>
        <v/>
      </c>
      <c r="Y11" s="8" t="n"/>
      <c r="Z11" s="8" t="n"/>
      <c r="AA11" s="8">
        <f>IF(OR(Y11="",W11=""),"",Y11-W11)</f>
        <v/>
      </c>
      <c r="AB11" s="8">
        <f>IF(OR(Z11="",X11=""),"",Z11-X11)</f>
        <v/>
      </c>
      <c r="AC11" s="4">
        <f>IF(A11="","",IF(OR(T11&gt;1,U11&lt;Inputs!$B$11,U11&gt;Inputs!$B$12,AA11&lt;Inputs!$B$19,AB11&lt;Inputs!$B$19,N11&lt;Inputs!$B$7,N11&gt;Inputs!$B$8),"CHECK","OK"))</f>
        <v/>
      </c>
      <c r="AD11" s="4">
        <f>IF(A11="","",(1/Inputs!$B$9)*(PI()*(Inputs!$F$5/1000)^2/4)*((Inputs!$F$5/1000/4)^(2/3))*SQRT(N11))</f>
        <v/>
      </c>
      <c r="AE11" s="4">
        <f>IF(A11="","",(1/Inputs!$B$9)*(PI()*(Inputs!$F$6/1000)^2/4)*((Inputs!$F$6/1000/4)^(2/3))*SQRT(N11))</f>
        <v/>
      </c>
      <c r="AF11" s="4">
        <f>IF(A11="","",(1/Inputs!$B$9)*(PI()*(Inputs!$F$7/1000)^2/4)*((Inputs!$F$7/1000/4)^(2/3))*SQRT(N11))</f>
        <v/>
      </c>
      <c r="AG11" s="4">
        <f>IF(A11="","",(1/Inputs!$B$9)*(PI()*(Inputs!$F$8/1000)^2/4)*((Inputs!$F$8/1000/4)^(2/3))*SQRT(N11))</f>
        <v/>
      </c>
      <c r="AH11" s="4">
        <f>IF(A11="","",(1/Inputs!$B$9)*(PI()*(Inputs!$F$9/1000)^2/4)*((Inputs!$F$9/1000/4)^(2/3))*SQRT(N11))</f>
        <v/>
      </c>
      <c r="AI11" s="4">
        <f>IF(A11="","",(1/Inputs!$B$9)*(PI()*(Inputs!$F$10/1000)^2/4)*((Inputs!$F$10/1000/4)^(2/3))*SQRT(N11))</f>
        <v/>
      </c>
      <c r="AJ11" s="4">
        <f>IF(A11="","",(1/Inputs!$B$9)*(PI()*(Inputs!$F$11/1000)^2/4)*((Inputs!$F$11/1000/4)^(2/3))*SQRT(N11))</f>
        <v/>
      </c>
      <c r="AK11" s="4">
        <f>IF(A11="","",(1/Inputs!$B$9)*(PI()*(Inputs!$F$12/1000)^2/4)*((Inputs!$F$12/1000/4)^(2/3))*SQRT(N11))</f>
        <v/>
      </c>
      <c r="AL11" s="4">
        <f>IF(A11="","",(1/Inputs!$B$9)*(PI()*(Inputs!$F$13/1000)^2/4)*((Inputs!$F$13/1000/4)^(2/3))*SQRT(N11))</f>
        <v/>
      </c>
      <c r="AM11" s="4">
        <f>IF(A11="","",(1/Inputs!$B$9)*(PI()*(Inputs!$F$14/1000)^2/4)*((Inputs!$F$14/1000/4)^(2/3))*SQRT(N11))</f>
        <v/>
      </c>
    </row>
    <row r="12">
      <c r="A12" s="4" t="inlineStr">
        <is>
          <t>P09</t>
        </is>
      </c>
      <c r="B12" s="4" t="inlineStr">
        <is>
          <t>P_OUT</t>
        </is>
      </c>
      <c r="C12" s="8" t="n">
        <v>6.22</v>
      </c>
      <c r="D12" s="8" t="n"/>
      <c r="E12" s="8">
        <f>SUMIFS(CB_Tributaires!$C:$C,CB_Tributaires!$B:$B,$A12)</f>
        <v/>
      </c>
      <c r="F12" s="8">
        <f>IF(D12="",E12,D12)</f>
        <v/>
      </c>
      <c r="G12" s="4" t="inlineStr"/>
      <c r="H12" s="8" t="inlineStr"/>
      <c r="I12" s="8">
        <f>IF(A12="","",Inputs!$B$13/((IF(H12="",Inputs!$B$18,H12)+Inputs!$B$14)^Inputs!$B$15))</f>
        <v/>
      </c>
      <c r="J12" s="8">
        <f>IF(A12="","",0.00278*IF(G12="",Inputs!$B$17,G12)*F12*I12)</f>
        <v/>
      </c>
      <c r="K12" s="8">
        <f>IF(A12="","",SUMIFS($L$4:$L$203,$B$4:$B$203,$A12))</f>
        <v/>
      </c>
      <c r="L12" s="8">
        <f>IF(A12="","",(J12+K12)*Inputs!$B$16)</f>
        <v/>
      </c>
      <c r="M12" s="8" t="inlineStr"/>
      <c r="N12" s="8">
        <f>IF(A12="","",IF(M12="",Inputs!$B$7,M12))</f>
        <v/>
      </c>
      <c r="O12" s="4">
        <f>IF(A12="","",IF(L12/Inputs!$B$10&lt;=AD12,Inputs!$F$5,IF(L12/Inputs!$B$10&gt;AM12,"OVERSIZE",INDEX(Inputs!$F$5:$F$14,MATCH(L12/Inputs!$B$10,AD12:AM12,1)+1))))</f>
        <v/>
      </c>
      <c r="P12" s="4" t="n"/>
      <c r="Q12" s="4">
        <f>IF(A12="","",IF(P12="",O12,P12))</f>
        <v/>
      </c>
      <c r="R12" s="8">
        <f>IF(OR(Q12="",Q12="OVERSIZE"),"",Q12/1000)</f>
        <v/>
      </c>
      <c r="S12" s="8">
        <f>IF(R12="","",(1/Inputs!$B$9)*(PI()*R12^2/4)*((R12/4)^(2/3))*SQRT(N12))</f>
        <v/>
      </c>
      <c r="T12" s="8">
        <f>IF(OR(S12="",L12=""),"",L12/(S12*Inputs!$B$10))</f>
        <v/>
      </c>
      <c r="U12" s="8">
        <f>IF(OR(R12="",L12=""),"",4*L12/(PI()*R12^2))</f>
        <v/>
      </c>
      <c r="V12" s="8" t="inlineStr"/>
      <c r="W12" s="8">
        <f>IF(A12="","",IF(A12=Inputs!$B$6,Inputs!$B$22,IF(B12="","",IFERROR(INDEX($X$4:$X$203,MATCH(B12,$A$4:$A$203,0))+IF(V12="",Inputs!$B$20,V12),""))))</f>
        <v/>
      </c>
      <c r="X12" s="8">
        <f>IF(OR(W12="",N12="",C12=""),"",W12+N12*C12)</f>
        <v/>
      </c>
      <c r="Y12" s="8" t="n"/>
      <c r="Z12" s="8" t="n"/>
      <c r="AA12" s="8">
        <f>IF(OR(Y12="",W12=""),"",Y12-W12)</f>
        <v/>
      </c>
      <c r="AB12" s="8">
        <f>IF(OR(Z12="",X12=""),"",Z12-X12)</f>
        <v/>
      </c>
      <c r="AC12" s="4">
        <f>IF(A12="","",IF(OR(T12&gt;1,U12&lt;Inputs!$B$11,U12&gt;Inputs!$B$12,AA12&lt;Inputs!$B$19,AB12&lt;Inputs!$B$19,N12&lt;Inputs!$B$7,N12&gt;Inputs!$B$8),"CHECK","OK"))</f>
        <v/>
      </c>
      <c r="AD12" s="4">
        <f>IF(A12="","",(1/Inputs!$B$9)*(PI()*(Inputs!$F$5/1000)^2/4)*((Inputs!$F$5/1000/4)^(2/3))*SQRT(N12))</f>
        <v/>
      </c>
      <c r="AE12" s="4">
        <f>IF(A12="","",(1/Inputs!$B$9)*(PI()*(Inputs!$F$6/1000)^2/4)*((Inputs!$F$6/1000/4)^(2/3))*SQRT(N12))</f>
        <v/>
      </c>
      <c r="AF12" s="4">
        <f>IF(A12="","",(1/Inputs!$B$9)*(PI()*(Inputs!$F$7/1000)^2/4)*((Inputs!$F$7/1000/4)^(2/3))*SQRT(N12))</f>
        <v/>
      </c>
      <c r="AG12" s="4">
        <f>IF(A12="","",(1/Inputs!$B$9)*(PI()*(Inputs!$F$8/1000)^2/4)*((Inputs!$F$8/1000/4)^(2/3))*SQRT(N12))</f>
        <v/>
      </c>
      <c r="AH12" s="4">
        <f>IF(A12="","",(1/Inputs!$B$9)*(PI()*(Inputs!$F$9/1000)^2/4)*((Inputs!$F$9/1000/4)^(2/3))*SQRT(N12))</f>
        <v/>
      </c>
      <c r="AI12" s="4">
        <f>IF(A12="","",(1/Inputs!$B$9)*(PI()*(Inputs!$F$10/1000)^2/4)*((Inputs!$F$10/1000/4)^(2/3))*SQRT(N12))</f>
        <v/>
      </c>
      <c r="AJ12" s="4">
        <f>IF(A12="","",(1/Inputs!$B$9)*(PI()*(Inputs!$F$11/1000)^2/4)*((Inputs!$F$11/1000/4)^(2/3))*SQRT(N12))</f>
        <v/>
      </c>
      <c r="AK12" s="4">
        <f>IF(A12="","",(1/Inputs!$B$9)*(PI()*(Inputs!$F$12/1000)^2/4)*((Inputs!$F$12/1000/4)^(2/3))*SQRT(N12))</f>
        <v/>
      </c>
      <c r="AL12" s="4">
        <f>IF(A12="","",(1/Inputs!$B$9)*(PI()*(Inputs!$F$13/1000)^2/4)*((Inputs!$F$13/1000/4)^(2/3))*SQRT(N12))</f>
        <v/>
      </c>
      <c r="AM12" s="4">
        <f>IF(A12="","",(1/Inputs!$B$9)*(PI()*(Inputs!$F$14/1000)^2/4)*((Inputs!$F$14/1000/4)^(2/3))*SQRT(N12))</f>
        <v/>
      </c>
    </row>
    <row r="13">
      <c r="A13" s="4" t="inlineStr">
        <is>
          <t>P06</t>
        </is>
      </c>
      <c r="B13" s="4" t="inlineStr">
        <is>
          <t>P_OUT</t>
        </is>
      </c>
      <c r="C13" s="8" t="n">
        <v>9.050000000000001</v>
      </c>
      <c r="D13" s="8" t="n"/>
      <c r="E13" s="8">
        <f>SUMIFS(CB_Tributaires!$C:$C,CB_Tributaires!$B:$B,$A13)</f>
        <v/>
      </c>
      <c r="F13" s="8">
        <f>IF(D13="",E13,D13)</f>
        <v/>
      </c>
      <c r="G13" s="4" t="inlineStr"/>
      <c r="H13" s="8" t="inlineStr"/>
      <c r="I13" s="8">
        <f>IF(A13="","",Inputs!$B$13/((IF(H13="",Inputs!$B$18,H13)+Inputs!$B$14)^Inputs!$B$15))</f>
        <v/>
      </c>
      <c r="J13" s="8">
        <f>IF(A13="","",0.00278*IF(G13="",Inputs!$B$17,G13)*F13*I13)</f>
        <v/>
      </c>
      <c r="K13" s="8">
        <f>IF(A13="","",SUMIFS($L$4:$L$203,$B$4:$B$203,$A13))</f>
        <v/>
      </c>
      <c r="L13" s="8">
        <f>IF(A13="","",(J13+K13)*Inputs!$B$16)</f>
        <v/>
      </c>
      <c r="M13" s="8" t="inlineStr"/>
      <c r="N13" s="8">
        <f>IF(A13="","",IF(M13="",Inputs!$B$7,M13))</f>
        <v/>
      </c>
      <c r="O13" s="4">
        <f>IF(A13="","",IF(L13/Inputs!$B$10&lt;=AD13,Inputs!$F$5,IF(L13/Inputs!$B$10&gt;AM13,"OVERSIZE",INDEX(Inputs!$F$5:$F$14,MATCH(L13/Inputs!$B$10,AD13:AM13,1)+1))))</f>
        <v/>
      </c>
      <c r="P13" s="4" t="n"/>
      <c r="Q13" s="4">
        <f>IF(A13="","",IF(P13="",O13,P13))</f>
        <v/>
      </c>
      <c r="R13" s="8">
        <f>IF(OR(Q13="",Q13="OVERSIZE"),"",Q13/1000)</f>
        <v/>
      </c>
      <c r="S13" s="8">
        <f>IF(R13="","",(1/Inputs!$B$9)*(PI()*R13^2/4)*((R13/4)^(2/3))*SQRT(N13))</f>
        <v/>
      </c>
      <c r="T13" s="8">
        <f>IF(OR(S13="",L13=""),"",L13/(S13*Inputs!$B$10))</f>
        <v/>
      </c>
      <c r="U13" s="8">
        <f>IF(OR(R13="",L13=""),"",4*L13/(PI()*R13^2))</f>
        <v/>
      </c>
      <c r="V13" s="8" t="inlineStr"/>
      <c r="W13" s="8">
        <f>IF(A13="","",IF(A13=Inputs!$B$6,Inputs!$B$22,IF(B13="","",IFERROR(INDEX($X$4:$X$203,MATCH(B13,$A$4:$A$203,0))+IF(V13="",Inputs!$B$20,V13),""))))</f>
        <v/>
      </c>
      <c r="X13" s="8">
        <f>IF(OR(W13="",N13="",C13=""),"",W13+N13*C13)</f>
        <v/>
      </c>
      <c r="Y13" s="8" t="n"/>
      <c r="Z13" s="8" t="n"/>
      <c r="AA13" s="8">
        <f>IF(OR(Y13="",W13=""),"",Y13-W13)</f>
        <v/>
      </c>
      <c r="AB13" s="8">
        <f>IF(OR(Z13="",X13=""),"",Z13-X13)</f>
        <v/>
      </c>
      <c r="AC13" s="4">
        <f>IF(A13="","",IF(OR(T13&gt;1,U13&lt;Inputs!$B$11,U13&gt;Inputs!$B$12,AA13&lt;Inputs!$B$19,AB13&lt;Inputs!$B$19,N13&lt;Inputs!$B$7,N13&gt;Inputs!$B$8),"CHECK","OK"))</f>
        <v/>
      </c>
      <c r="AD13" s="4">
        <f>IF(A13="","",(1/Inputs!$B$9)*(PI()*(Inputs!$F$5/1000)^2/4)*((Inputs!$F$5/1000/4)^(2/3))*SQRT(N13))</f>
        <v/>
      </c>
      <c r="AE13" s="4">
        <f>IF(A13="","",(1/Inputs!$B$9)*(PI()*(Inputs!$F$6/1000)^2/4)*((Inputs!$F$6/1000/4)^(2/3))*SQRT(N13))</f>
        <v/>
      </c>
      <c r="AF13" s="4">
        <f>IF(A13="","",(1/Inputs!$B$9)*(PI()*(Inputs!$F$7/1000)^2/4)*((Inputs!$F$7/1000/4)^(2/3))*SQRT(N13))</f>
        <v/>
      </c>
      <c r="AG13" s="4">
        <f>IF(A13="","",(1/Inputs!$B$9)*(PI()*(Inputs!$F$8/1000)^2/4)*((Inputs!$F$8/1000/4)^(2/3))*SQRT(N13))</f>
        <v/>
      </c>
      <c r="AH13" s="4">
        <f>IF(A13="","",(1/Inputs!$B$9)*(PI()*(Inputs!$F$9/1000)^2/4)*((Inputs!$F$9/1000/4)^(2/3))*SQRT(N13))</f>
        <v/>
      </c>
      <c r="AI13" s="4">
        <f>IF(A13="","",(1/Inputs!$B$9)*(PI()*(Inputs!$F$10/1000)^2/4)*((Inputs!$F$10/1000/4)^(2/3))*SQRT(N13))</f>
        <v/>
      </c>
      <c r="AJ13" s="4">
        <f>IF(A13="","",(1/Inputs!$B$9)*(PI()*(Inputs!$F$11/1000)^2/4)*((Inputs!$F$11/1000/4)^(2/3))*SQRT(N13))</f>
        <v/>
      </c>
      <c r="AK13" s="4">
        <f>IF(A13="","",(1/Inputs!$B$9)*(PI()*(Inputs!$F$12/1000)^2/4)*((Inputs!$F$12/1000/4)^(2/3))*SQRT(N13))</f>
        <v/>
      </c>
      <c r="AL13" s="4">
        <f>IF(A13="","",(1/Inputs!$B$9)*(PI()*(Inputs!$F$13/1000)^2/4)*((Inputs!$F$13/1000/4)^(2/3))*SQRT(N13))</f>
        <v/>
      </c>
      <c r="AM13" s="4">
        <f>IF(A13="","",(1/Inputs!$B$9)*(PI()*(Inputs!$F$14/1000)^2/4)*((Inputs!$F$14/1000/4)^(2/3))*SQRT(N13))</f>
        <v/>
      </c>
    </row>
    <row r="14">
      <c r="A14" s="4" t="inlineStr">
        <is>
          <t>P_OUT</t>
        </is>
      </c>
      <c r="B14" s="4" t="inlineStr"/>
      <c r="C14" s="8" t="n">
        <v>4.5</v>
      </c>
      <c r="D14" s="8" t="n"/>
      <c r="E14" s="8">
        <f>SUMIFS(CB_Tributaires!$C:$C,CB_Tributaires!$B:$B,$A14)</f>
        <v/>
      </c>
      <c r="F14" s="8">
        <f>IF(D14="",E14,D14)</f>
        <v/>
      </c>
      <c r="G14" s="4" t="inlineStr"/>
      <c r="H14" s="8" t="inlineStr"/>
      <c r="I14" s="8">
        <f>IF(A14="","",Inputs!$B$13/((IF(H14="",Inputs!$B$18,H14)+Inputs!$B$14)^Inputs!$B$15))</f>
        <v/>
      </c>
      <c r="J14" s="8">
        <f>IF(A14="","",0.00278*IF(G14="",Inputs!$B$17,G14)*F14*I14)</f>
        <v/>
      </c>
      <c r="K14" s="8">
        <f>IF(A14="","",SUMIFS($L$4:$L$203,$B$4:$B$203,$A14))</f>
        <v/>
      </c>
      <c r="L14" s="8">
        <f>IF(A14="","",(J14+K14)*Inputs!$B$16)</f>
        <v/>
      </c>
      <c r="M14" s="8" t="inlineStr"/>
      <c r="N14" s="8">
        <f>IF(A14="","",IF(M14="",Inputs!$B$7,M14))</f>
        <v/>
      </c>
      <c r="O14" s="4">
        <f>IF(A14="","",IF(L14/Inputs!$B$10&lt;=AD14,Inputs!$F$5,IF(L14/Inputs!$B$10&gt;AM14,"OVERSIZE",INDEX(Inputs!$F$5:$F$14,MATCH(L14/Inputs!$B$10,AD14:AM14,1)+1))))</f>
        <v/>
      </c>
      <c r="P14" s="4" t="n"/>
      <c r="Q14" s="4">
        <f>IF(A14="","",IF(P14="",O14,P14))</f>
        <v/>
      </c>
      <c r="R14" s="8">
        <f>IF(OR(Q14="",Q14="OVERSIZE"),"",Q14/1000)</f>
        <v/>
      </c>
      <c r="S14" s="8">
        <f>IF(R14="","",(1/Inputs!$B$9)*(PI()*R14^2/4)*((R14/4)^(2/3))*SQRT(N14))</f>
        <v/>
      </c>
      <c r="T14" s="8">
        <f>IF(OR(S14="",L14=""),"",L14/(S14*Inputs!$B$10))</f>
        <v/>
      </c>
      <c r="U14" s="8">
        <f>IF(OR(R14="",L14=""),"",4*L14/(PI()*R14^2))</f>
        <v/>
      </c>
      <c r="V14" s="8" t="inlineStr"/>
      <c r="W14" s="8">
        <f>IF(A14="","",IF(A14=Inputs!$B$6,Inputs!$B$22,IF(B14="","",IFERROR(INDEX($X$4:$X$203,MATCH(B14,$A$4:$A$203,0))+IF(V14="",Inputs!$B$20,V14),""))))</f>
        <v/>
      </c>
      <c r="X14" s="8">
        <f>IF(OR(W14="",N14="",C14=""),"",W14+N14*C14)</f>
        <v/>
      </c>
      <c r="Y14" s="8" t="n"/>
      <c r="Z14" s="8" t="n"/>
      <c r="AA14" s="8">
        <f>IF(OR(Y14="",W14=""),"",Y14-W14)</f>
        <v/>
      </c>
      <c r="AB14" s="8">
        <f>IF(OR(Z14="",X14=""),"",Z14-X14)</f>
        <v/>
      </c>
      <c r="AC14" s="4">
        <f>IF(A14="","",IF(OR(T14&gt;1,U14&lt;Inputs!$B$11,U14&gt;Inputs!$B$12,AA14&lt;Inputs!$B$19,AB14&lt;Inputs!$B$19,N14&lt;Inputs!$B$7,N14&gt;Inputs!$B$8),"CHECK","OK"))</f>
        <v/>
      </c>
      <c r="AD14" s="4">
        <f>IF(A14="","",(1/Inputs!$B$9)*(PI()*(Inputs!$F$5/1000)^2/4)*((Inputs!$F$5/1000/4)^(2/3))*SQRT(N14))</f>
        <v/>
      </c>
      <c r="AE14" s="4">
        <f>IF(A14="","",(1/Inputs!$B$9)*(PI()*(Inputs!$F$6/1000)^2/4)*((Inputs!$F$6/1000/4)^(2/3))*SQRT(N14))</f>
        <v/>
      </c>
      <c r="AF14" s="4">
        <f>IF(A14="","",(1/Inputs!$B$9)*(PI()*(Inputs!$F$7/1000)^2/4)*((Inputs!$F$7/1000/4)^(2/3))*SQRT(N14))</f>
        <v/>
      </c>
      <c r="AG14" s="4">
        <f>IF(A14="","",(1/Inputs!$B$9)*(PI()*(Inputs!$F$8/1000)^2/4)*((Inputs!$F$8/1000/4)^(2/3))*SQRT(N14))</f>
        <v/>
      </c>
      <c r="AH14" s="4">
        <f>IF(A14="","",(1/Inputs!$B$9)*(PI()*(Inputs!$F$9/1000)^2/4)*((Inputs!$F$9/1000/4)^(2/3))*SQRT(N14))</f>
        <v/>
      </c>
      <c r="AI14" s="4">
        <f>IF(A14="","",(1/Inputs!$B$9)*(PI()*(Inputs!$F$10/1000)^2/4)*((Inputs!$F$10/1000/4)^(2/3))*SQRT(N14))</f>
        <v/>
      </c>
      <c r="AJ14" s="4">
        <f>IF(A14="","",(1/Inputs!$B$9)*(PI()*(Inputs!$F$11/1000)^2/4)*((Inputs!$F$11/1000/4)^(2/3))*SQRT(N14))</f>
        <v/>
      </c>
      <c r="AK14" s="4">
        <f>IF(A14="","",(1/Inputs!$B$9)*(PI()*(Inputs!$F$12/1000)^2/4)*((Inputs!$F$12/1000/4)^(2/3))*SQRT(N14))</f>
        <v/>
      </c>
      <c r="AL14" s="4">
        <f>IF(A14="","",(1/Inputs!$B$9)*(PI()*(Inputs!$F$13/1000)^2/4)*((Inputs!$F$13/1000/4)^(2/3))*SQRT(N14))</f>
        <v/>
      </c>
      <c r="AM14" s="4">
        <f>IF(A14="","",(1/Inputs!$B$9)*(PI()*(Inputs!$F$14/1000)^2/4)*((Inputs!$F$14/1000/4)^(2/3))*SQRT(N14))</f>
        <v/>
      </c>
    </row>
    <row r="15">
      <c r="A15" s="4" t="n"/>
      <c r="B15" s="4" t="n"/>
      <c r="C15" s="8" t="n"/>
      <c r="D15" s="8" t="n"/>
      <c r="E15" s="8">
        <f>SUMIFS(CB_Tributaires!$C:$C,CB_Tributaires!$B:$B,$A15)</f>
        <v/>
      </c>
      <c r="F15" s="8">
        <f>IF(D15="",E15,D15)</f>
        <v/>
      </c>
      <c r="G15" s="4" t="n"/>
      <c r="H15" s="8" t="n"/>
      <c r="I15" s="8">
        <f>IF(A15="","",Inputs!$B$13/((IF(H15="",Inputs!$B$18,H15)+Inputs!$B$14)^Inputs!$B$15))</f>
        <v/>
      </c>
      <c r="J15" s="8">
        <f>IF(A15="","",0.00278*IF(G15="",Inputs!$B$17,G15)*F15*I15)</f>
        <v/>
      </c>
      <c r="K15" s="8">
        <f>IF(A15="","",SUMIFS($L$4:$L$203,$B$4:$B$203,$A15))</f>
        <v/>
      </c>
      <c r="L15" s="8">
        <f>IF(A15="","",(J15+K15)*Inputs!$B$16)</f>
        <v/>
      </c>
      <c r="M15" s="8" t="n"/>
      <c r="N15" s="8">
        <f>IF(A15="","",IF(M15="",Inputs!$B$7,M15))</f>
        <v/>
      </c>
      <c r="O15" s="4">
        <f>IF(A15="","",IF(L15/Inputs!$B$10&lt;=AD15,Inputs!$F$5,IF(L15/Inputs!$B$10&gt;AM15,"OVERSIZE",INDEX(Inputs!$F$5:$F$14,MATCH(L15/Inputs!$B$10,AD15:AM15,1)+1))))</f>
        <v/>
      </c>
      <c r="P15" s="4" t="n"/>
      <c r="Q15" s="4">
        <f>IF(A15="","",IF(P15="",O15,P15))</f>
        <v/>
      </c>
      <c r="R15" s="8">
        <f>IF(OR(Q15="",Q15="OVERSIZE"),"",Q15/1000)</f>
        <v/>
      </c>
      <c r="S15" s="8">
        <f>IF(R15="","",(1/Inputs!$B$9)*(PI()*R15^2/4)*((R15/4)^(2/3))*SQRT(N15))</f>
        <v/>
      </c>
      <c r="T15" s="8">
        <f>IF(OR(S15="",L15=""),"",L15/(S15*Inputs!$B$10))</f>
        <v/>
      </c>
      <c r="U15" s="8">
        <f>IF(OR(R15="",L15=""),"",4*L15/(PI()*R15^2))</f>
        <v/>
      </c>
      <c r="V15" s="8" t="n"/>
      <c r="W15" s="8">
        <f>IF(A15="","",IF(A15=Inputs!$B$6,Inputs!$B$22,IF(B15="","",IFERROR(INDEX($X$4:$X$203,MATCH(B15,$A$4:$A$203,0))+IF(V15="",Inputs!$B$20,V15),""))))</f>
        <v/>
      </c>
      <c r="X15" s="8">
        <f>IF(OR(W15="",N15="",C15=""),"",W15+N15*C15)</f>
        <v/>
      </c>
      <c r="Y15" s="8" t="n"/>
      <c r="Z15" s="8" t="n"/>
      <c r="AA15" s="8">
        <f>IF(OR(Y15="",W15=""),"",Y15-W15)</f>
        <v/>
      </c>
      <c r="AB15" s="8">
        <f>IF(OR(Z15="",X15=""),"",Z15-X15)</f>
        <v/>
      </c>
      <c r="AC15" s="4">
        <f>IF(A15="","",IF(OR(T15&gt;1,U15&lt;Inputs!$B$11,U15&gt;Inputs!$B$12,AA15&lt;Inputs!$B$19,AB15&lt;Inputs!$B$19,N15&lt;Inputs!$B$7,N15&gt;Inputs!$B$8),"CHECK","OK"))</f>
        <v/>
      </c>
      <c r="AD15" s="4">
        <f>IF(A15="","",(1/Inputs!$B$9)*(PI()*(Inputs!$F$5/1000)^2/4)*((Inputs!$F$5/1000/4)^(2/3))*SQRT(N15))</f>
        <v/>
      </c>
      <c r="AE15" s="4">
        <f>IF(A15="","",(1/Inputs!$B$9)*(PI()*(Inputs!$F$6/1000)^2/4)*((Inputs!$F$6/1000/4)^(2/3))*SQRT(N15))</f>
        <v/>
      </c>
      <c r="AF15" s="4">
        <f>IF(A15="","",(1/Inputs!$B$9)*(PI()*(Inputs!$F$7/1000)^2/4)*((Inputs!$F$7/1000/4)^(2/3))*SQRT(N15))</f>
        <v/>
      </c>
      <c r="AG15" s="4">
        <f>IF(A15="","",(1/Inputs!$B$9)*(PI()*(Inputs!$F$8/1000)^2/4)*((Inputs!$F$8/1000/4)^(2/3))*SQRT(N15))</f>
        <v/>
      </c>
      <c r="AH15" s="4">
        <f>IF(A15="","",(1/Inputs!$B$9)*(PI()*(Inputs!$F$9/1000)^2/4)*((Inputs!$F$9/1000/4)^(2/3))*SQRT(N15))</f>
        <v/>
      </c>
      <c r="AI15" s="4">
        <f>IF(A15="","",(1/Inputs!$B$9)*(PI()*(Inputs!$F$10/1000)^2/4)*((Inputs!$F$10/1000/4)^(2/3))*SQRT(N15))</f>
        <v/>
      </c>
      <c r="AJ15" s="4">
        <f>IF(A15="","",(1/Inputs!$B$9)*(PI()*(Inputs!$F$11/1000)^2/4)*((Inputs!$F$11/1000/4)^(2/3))*SQRT(N15))</f>
        <v/>
      </c>
      <c r="AK15" s="4">
        <f>IF(A15="","",(1/Inputs!$B$9)*(PI()*(Inputs!$F$12/1000)^2/4)*((Inputs!$F$12/1000/4)^(2/3))*SQRT(N15))</f>
        <v/>
      </c>
      <c r="AL15" s="4">
        <f>IF(A15="","",(1/Inputs!$B$9)*(PI()*(Inputs!$F$13/1000)^2/4)*((Inputs!$F$13/1000/4)^(2/3))*SQRT(N15))</f>
        <v/>
      </c>
      <c r="AM15" s="4">
        <f>IF(A15="","",(1/Inputs!$B$9)*(PI()*(Inputs!$F$14/1000)^2/4)*((Inputs!$F$14/1000/4)^(2/3))*SQRT(N15))</f>
        <v/>
      </c>
    </row>
    <row r="16">
      <c r="A16" s="4" t="n"/>
      <c r="B16" s="4" t="n"/>
      <c r="C16" s="8" t="n"/>
      <c r="D16" s="8" t="n"/>
      <c r="E16" s="8">
        <f>SUMIFS(CB_Tributaires!$C:$C,CB_Tributaires!$B:$B,$A16)</f>
        <v/>
      </c>
      <c r="F16" s="8">
        <f>IF(D16="",E16,D16)</f>
        <v/>
      </c>
      <c r="G16" s="4" t="n"/>
      <c r="H16" s="8" t="n"/>
      <c r="I16" s="8">
        <f>IF(A16="","",Inputs!$B$13/((IF(H16="",Inputs!$B$18,H16)+Inputs!$B$14)^Inputs!$B$15))</f>
        <v/>
      </c>
      <c r="J16" s="8">
        <f>IF(A16="","",0.00278*IF(G16="",Inputs!$B$17,G16)*F16*I16)</f>
        <v/>
      </c>
      <c r="K16" s="8">
        <f>IF(A16="","",SUMIFS($L$4:$L$203,$B$4:$B$203,$A16))</f>
        <v/>
      </c>
      <c r="L16" s="8">
        <f>IF(A16="","",(J16+K16)*Inputs!$B$16)</f>
        <v/>
      </c>
      <c r="M16" s="8" t="n"/>
      <c r="N16" s="8">
        <f>IF(A16="","",IF(M16="",Inputs!$B$7,M16))</f>
        <v/>
      </c>
      <c r="O16" s="4">
        <f>IF(A16="","",IF(L16/Inputs!$B$10&lt;=AD16,Inputs!$F$5,IF(L16/Inputs!$B$10&gt;AM16,"OVERSIZE",INDEX(Inputs!$F$5:$F$14,MATCH(L16/Inputs!$B$10,AD16:AM16,1)+1))))</f>
        <v/>
      </c>
      <c r="P16" s="4" t="n"/>
      <c r="Q16" s="4">
        <f>IF(A16="","",IF(P16="",O16,P16))</f>
        <v/>
      </c>
      <c r="R16" s="8">
        <f>IF(OR(Q16="",Q16="OVERSIZE"),"",Q16/1000)</f>
        <v/>
      </c>
      <c r="S16" s="8">
        <f>IF(R16="","",(1/Inputs!$B$9)*(PI()*R16^2/4)*((R16/4)^(2/3))*SQRT(N16))</f>
        <v/>
      </c>
      <c r="T16" s="8">
        <f>IF(OR(S16="",L16=""),"",L16/(S16*Inputs!$B$10))</f>
        <v/>
      </c>
      <c r="U16" s="8">
        <f>IF(OR(R16="",L16=""),"",4*L16/(PI()*R16^2))</f>
        <v/>
      </c>
      <c r="V16" s="8" t="n"/>
      <c r="W16" s="8">
        <f>IF(A16="","",IF(A16=Inputs!$B$6,Inputs!$B$22,IF(B16="","",IFERROR(INDEX($X$4:$X$203,MATCH(B16,$A$4:$A$203,0))+IF(V16="",Inputs!$B$20,V16),""))))</f>
        <v/>
      </c>
      <c r="X16" s="8">
        <f>IF(OR(W16="",N16="",C16=""),"",W16+N16*C16)</f>
        <v/>
      </c>
      <c r="Y16" s="8" t="n"/>
      <c r="Z16" s="8" t="n"/>
      <c r="AA16" s="8">
        <f>IF(OR(Y16="",W16=""),"",Y16-W16)</f>
        <v/>
      </c>
      <c r="AB16" s="8">
        <f>IF(OR(Z16="",X16=""),"",Z16-X16)</f>
        <v/>
      </c>
      <c r="AC16" s="4">
        <f>IF(A16="","",IF(OR(T16&gt;1,U16&lt;Inputs!$B$11,U16&gt;Inputs!$B$12,AA16&lt;Inputs!$B$19,AB16&lt;Inputs!$B$19,N16&lt;Inputs!$B$7,N16&gt;Inputs!$B$8),"CHECK","OK"))</f>
        <v/>
      </c>
      <c r="AD16" s="4">
        <f>IF(A16="","",(1/Inputs!$B$9)*(PI()*(Inputs!$F$5/1000)^2/4)*((Inputs!$F$5/1000/4)^(2/3))*SQRT(N16))</f>
        <v/>
      </c>
      <c r="AE16" s="4">
        <f>IF(A16="","",(1/Inputs!$B$9)*(PI()*(Inputs!$F$6/1000)^2/4)*((Inputs!$F$6/1000/4)^(2/3))*SQRT(N16))</f>
        <v/>
      </c>
      <c r="AF16" s="4">
        <f>IF(A16="","",(1/Inputs!$B$9)*(PI()*(Inputs!$F$7/1000)^2/4)*((Inputs!$F$7/1000/4)^(2/3))*SQRT(N16))</f>
        <v/>
      </c>
      <c r="AG16" s="4">
        <f>IF(A16="","",(1/Inputs!$B$9)*(PI()*(Inputs!$F$8/1000)^2/4)*((Inputs!$F$8/1000/4)^(2/3))*SQRT(N16))</f>
        <v/>
      </c>
      <c r="AH16" s="4">
        <f>IF(A16="","",(1/Inputs!$B$9)*(PI()*(Inputs!$F$9/1000)^2/4)*((Inputs!$F$9/1000/4)^(2/3))*SQRT(N16))</f>
        <v/>
      </c>
      <c r="AI16" s="4">
        <f>IF(A16="","",(1/Inputs!$B$9)*(PI()*(Inputs!$F$10/1000)^2/4)*((Inputs!$F$10/1000/4)^(2/3))*SQRT(N16))</f>
        <v/>
      </c>
      <c r="AJ16" s="4">
        <f>IF(A16="","",(1/Inputs!$B$9)*(PI()*(Inputs!$F$11/1000)^2/4)*((Inputs!$F$11/1000/4)^(2/3))*SQRT(N16))</f>
        <v/>
      </c>
      <c r="AK16" s="4">
        <f>IF(A16="","",(1/Inputs!$B$9)*(PI()*(Inputs!$F$12/1000)^2/4)*((Inputs!$F$12/1000/4)^(2/3))*SQRT(N16))</f>
        <v/>
      </c>
      <c r="AL16" s="4">
        <f>IF(A16="","",(1/Inputs!$B$9)*(PI()*(Inputs!$F$13/1000)^2/4)*((Inputs!$F$13/1000/4)^(2/3))*SQRT(N16))</f>
        <v/>
      </c>
      <c r="AM16" s="4">
        <f>IF(A16="","",(1/Inputs!$B$9)*(PI()*(Inputs!$F$14/1000)^2/4)*((Inputs!$F$14/1000/4)^(2/3))*SQRT(N16))</f>
        <v/>
      </c>
    </row>
    <row r="17">
      <c r="A17" s="4" t="n"/>
      <c r="B17" s="4" t="n"/>
      <c r="C17" s="8" t="n"/>
      <c r="D17" s="8" t="n"/>
      <c r="E17" s="8">
        <f>SUMIFS(CB_Tributaires!$C:$C,CB_Tributaires!$B:$B,$A17)</f>
        <v/>
      </c>
      <c r="F17" s="8">
        <f>IF(D17="",E17,D17)</f>
        <v/>
      </c>
      <c r="G17" s="4" t="n"/>
      <c r="H17" s="8" t="n"/>
      <c r="I17" s="8">
        <f>IF(A17="","",Inputs!$B$13/((IF(H17="",Inputs!$B$18,H17)+Inputs!$B$14)^Inputs!$B$15))</f>
        <v/>
      </c>
      <c r="J17" s="8">
        <f>IF(A17="","",0.00278*IF(G17="",Inputs!$B$17,G17)*F17*I17)</f>
        <v/>
      </c>
      <c r="K17" s="8">
        <f>IF(A17="","",SUMIFS($L$4:$L$203,$B$4:$B$203,$A17))</f>
        <v/>
      </c>
      <c r="L17" s="8">
        <f>IF(A17="","",(J17+K17)*Inputs!$B$16)</f>
        <v/>
      </c>
      <c r="M17" s="8" t="n"/>
      <c r="N17" s="8">
        <f>IF(A17="","",IF(M17="",Inputs!$B$7,M17))</f>
        <v/>
      </c>
      <c r="O17" s="4">
        <f>IF(A17="","",IF(L17/Inputs!$B$10&lt;=AD17,Inputs!$F$5,IF(L17/Inputs!$B$10&gt;AM17,"OVERSIZE",INDEX(Inputs!$F$5:$F$14,MATCH(L17/Inputs!$B$10,AD17:AM17,1)+1))))</f>
        <v/>
      </c>
      <c r="P17" s="4" t="n"/>
      <c r="Q17" s="4">
        <f>IF(A17="","",IF(P17="",O17,P17))</f>
        <v/>
      </c>
      <c r="R17" s="8">
        <f>IF(OR(Q17="",Q17="OVERSIZE"),"",Q17/1000)</f>
        <v/>
      </c>
      <c r="S17" s="8">
        <f>IF(R17="","",(1/Inputs!$B$9)*(PI()*R17^2/4)*((R17/4)^(2/3))*SQRT(N17))</f>
        <v/>
      </c>
      <c r="T17" s="8">
        <f>IF(OR(S17="",L17=""),"",L17/(S17*Inputs!$B$10))</f>
        <v/>
      </c>
      <c r="U17" s="8">
        <f>IF(OR(R17="",L17=""),"",4*L17/(PI()*R17^2))</f>
        <v/>
      </c>
      <c r="V17" s="8" t="n"/>
      <c r="W17" s="8">
        <f>IF(A17="","",IF(A17=Inputs!$B$6,Inputs!$B$22,IF(B17="","",IFERROR(INDEX($X$4:$X$203,MATCH(B17,$A$4:$A$203,0))+IF(V17="",Inputs!$B$20,V17),""))))</f>
        <v/>
      </c>
      <c r="X17" s="8">
        <f>IF(OR(W17="",N17="",C17=""),"",W17+N17*C17)</f>
        <v/>
      </c>
      <c r="Y17" s="8" t="n"/>
      <c r="Z17" s="8" t="n"/>
      <c r="AA17" s="8">
        <f>IF(OR(Y17="",W17=""),"",Y17-W17)</f>
        <v/>
      </c>
      <c r="AB17" s="8">
        <f>IF(OR(Z17="",X17=""),"",Z17-X17)</f>
        <v/>
      </c>
      <c r="AC17" s="4">
        <f>IF(A17="","",IF(OR(T17&gt;1,U17&lt;Inputs!$B$11,U17&gt;Inputs!$B$12,AA17&lt;Inputs!$B$19,AB17&lt;Inputs!$B$19,N17&lt;Inputs!$B$7,N17&gt;Inputs!$B$8),"CHECK","OK"))</f>
        <v/>
      </c>
      <c r="AD17" s="4">
        <f>IF(A17="","",(1/Inputs!$B$9)*(PI()*(Inputs!$F$5/1000)^2/4)*((Inputs!$F$5/1000/4)^(2/3))*SQRT(N17))</f>
        <v/>
      </c>
      <c r="AE17" s="4">
        <f>IF(A17="","",(1/Inputs!$B$9)*(PI()*(Inputs!$F$6/1000)^2/4)*((Inputs!$F$6/1000/4)^(2/3))*SQRT(N17))</f>
        <v/>
      </c>
      <c r="AF17" s="4">
        <f>IF(A17="","",(1/Inputs!$B$9)*(PI()*(Inputs!$F$7/1000)^2/4)*((Inputs!$F$7/1000/4)^(2/3))*SQRT(N17))</f>
        <v/>
      </c>
      <c r="AG17" s="4">
        <f>IF(A17="","",(1/Inputs!$B$9)*(PI()*(Inputs!$F$8/1000)^2/4)*((Inputs!$F$8/1000/4)^(2/3))*SQRT(N17))</f>
        <v/>
      </c>
      <c r="AH17" s="4">
        <f>IF(A17="","",(1/Inputs!$B$9)*(PI()*(Inputs!$F$9/1000)^2/4)*((Inputs!$F$9/1000/4)^(2/3))*SQRT(N17))</f>
        <v/>
      </c>
      <c r="AI17" s="4">
        <f>IF(A17="","",(1/Inputs!$B$9)*(PI()*(Inputs!$F$10/1000)^2/4)*((Inputs!$F$10/1000/4)^(2/3))*SQRT(N17))</f>
        <v/>
      </c>
      <c r="AJ17" s="4">
        <f>IF(A17="","",(1/Inputs!$B$9)*(PI()*(Inputs!$F$11/1000)^2/4)*((Inputs!$F$11/1000/4)^(2/3))*SQRT(N17))</f>
        <v/>
      </c>
      <c r="AK17" s="4">
        <f>IF(A17="","",(1/Inputs!$B$9)*(PI()*(Inputs!$F$12/1000)^2/4)*((Inputs!$F$12/1000/4)^(2/3))*SQRT(N17))</f>
        <v/>
      </c>
      <c r="AL17" s="4">
        <f>IF(A17="","",(1/Inputs!$B$9)*(PI()*(Inputs!$F$13/1000)^2/4)*((Inputs!$F$13/1000/4)^(2/3))*SQRT(N17))</f>
        <v/>
      </c>
      <c r="AM17" s="4">
        <f>IF(A17="","",(1/Inputs!$B$9)*(PI()*(Inputs!$F$14/1000)^2/4)*((Inputs!$F$14/1000/4)^(2/3))*SQRT(N17))</f>
        <v/>
      </c>
    </row>
    <row r="18">
      <c r="A18" s="4" t="n"/>
      <c r="B18" s="4" t="n"/>
      <c r="C18" s="8" t="n"/>
      <c r="D18" s="8" t="n"/>
      <c r="E18" s="8">
        <f>SUMIFS(CB_Tributaires!$C:$C,CB_Tributaires!$B:$B,$A18)</f>
        <v/>
      </c>
      <c r="F18" s="8">
        <f>IF(D18="",E18,D18)</f>
        <v/>
      </c>
      <c r="G18" s="4" t="n"/>
      <c r="H18" s="8" t="n"/>
      <c r="I18" s="8">
        <f>IF(A18="","",Inputs!$B$13/((IF(H18="",Inputs!$B$18,H18)+Inputs!$B$14)^Inputs!$B$15))</f>
        <v/>
      </c>
      <c r="J18" s="8">
        <f>IF(A18="","",0.00278*IF(G18="",Inputs!$B$17,G18)*F18*I18)</f>
        <v/>
      </c>
      <c r="K18" s="8">
        <f>IF(A18="","",SUMIFS($L$4:$L$203,$B$4:$B$203,$A18))</f>
        <v/>
      </c>
      <c r="L18" s="8">
        <f>IF(A18="","",(J18+K18)*Inputs!$B$16)</f>
        <v/>
      </c>
      <c r="M18" s="8" t="n"/>
      <c r="N18" s="8">
        <f>IF(A18="","",IF(M18="",Inputs!$B$7,M18))</f>
        <v/>
      </c>
      <c r="O18" s="4">
        <f>IF(A18="","",IF(L18/Inputs!$B$10&lt;=AD18,Inputs!$F$5,IF(L18/Inputs!$B$10&gt;AM18,"OVERSIZE",INDEX(Inputs!$F$5:$F$14,MATCH(L18/Inputs!$B$10,AD18:AM18,1)+1))))</f>
        <v/>
      </c>
      <c r="P18" s="4" t="n"/>
      <c r="Q18" s="4">
        <f>IF(A18="","",IF(P18="",O18,P18))</f>
        <v/>
      </c>
      <c r="R18" s="8">
        <f>IF(OR(Q18="",Q18="OVERSIZE"),"",Q18/1000)</f>
        <v/>
      </c>
      <c r="S18" s="8">
        <f>IF(R18="","",(1/Inputs!$B$9)*(PI()*R18^2/4)*((R18/4)^(2/3))*SQRT(N18))</f>
        <v/>
      </c>
      <c r="T18" s="8">
        <f>IF(OR(S18="",L18=""),"",L18/(S18*Inputs!$B$10))</f>
        <v/>
      </c>
      <c r="U18" s="8">
        <f>IF(OR(R18="",L18=""),"",4*L18/(PI()*R18^2))</f>
        <v/>
      </c>
      <c r="V18" s="8" t="n"/>
      <c r="W18" s="8">
        <f>IF(A18="","",IF(A18=Inputs!$B$6,Inputs!$B$22,IF(B18="","",IFERROR(INDEX($X$4:$X$203,MATCH(B18,$A$4:$A$203,0))+IF(V18="",Inputs!$B$20,V18),""))))</f>
        <v/>
      </c>
      <c r="X18" s="8">
        <f>IF(OR(W18="",N18="",C18=""),"",W18+N18*C18)</f>
        <v/>
      </c>
      <c r="Y18" s="8" t="n"/>
      <c r="Z18" s="8" t="n"/>
      <c r="AA18" s="8">
        <f>IF(OR(Y18="",W18=""),"",Y18-W18)</f>
        <v/>
      </c>
      <c r="AB18" s="8">
        <f>IF(OR(Z18="",X18=""),"",Z18-X18)</f>
        <v/>
      </c>
      <c r="AC18" s="4">
        <f>IF(A18="","",IF(OR(T18&gt;1,U18&lt;Inputs!$B$11,U18&gt;Inputs!$B$12,AA18&lt;Inputs!$B$19,AB18&lt;Inputs!$B$19,N18&lt;Inputs!$B$7,N18&gt;Inputs!$B$8),"CHECK","OK"))</f>
        <v/>
      </c>
      <c r="AD18" s="4">
        <f>IF(A18="","",(1/Inputs!$B$9)*(PI()*(Inputs!$F$5/1000)^2/4)*((Inputs!$F$5/1000/4)^(2/3))*SQRT(N18))</f>
        <v/>
      </c>
      <c r="AE18" s="4">
        <f>IF(A18="","",(1/Inputs!$B$9)*(PI()*(Inputs!$F$6/1000)^2/4)*((Inputs!$F$6/1000/4)^(2/3))*SQRT(N18))</f>
        <v/>
      </c>
      <c r="AF18" s="4">
        <f>IF(A18="","",(1/Inputs!$B$9)*(PI()*(Inputs!$F$7/1000)^2/4)*((Inputs!$F$7/1000/4)^(2/3))*SQRT(N18))</f>
        <v/>
      </c>
      <c r="AG18" s="4">
        <f>IF(A18="","",(1/Inputs!$B$9)*(PI()*(Inputs!$F$8/1000)^2/4)*((Inputs!$F$8/1000/4)^(2/3))*SQRT(N18))</f>
        <v/>
      </c>
      <c r="AH18" s="4">
        <f>IF(A18="","",(1/Inputs!$B$9)*(PI()*(Inputs!$F$9/1000)^2/4)*((Inputs!$F$9/1000/4)^(2/3))*SQRT(N18))</f>
        <v/>
      </c>
      <c r="AI18" s="4">
        <f>IF(A18="","",(1/Inputs!$B$9)*(PI()*(Inputs!$F$10/1000)^2/4)*((Inputs!$F$10/1000/4)^(2/3))*SQRT(N18))</f>
        <v/>
      </c>
      <c r="AJ18" s="4">
        <f>IF(A18="","",(1/Inputs!$B$9)*(PI()*(Inputs!$F$11/1000)^2/4)*((Inputs!$F$11/1000/4)^(2/3))*SQRT(N18))</f>
        <v/>
      </c>
      <c r="AK18" s="4">
        <f>IF(A18="","",(1/Inputs!$B$9)*(PI()*(Inputs!$F$12/1000)^2/4)*((Inputs!$F$12/1000/4)^(2/3))*SQRT(N18))</f>
        <v/>
      </c>
      <c r="AL18" s="4">
        <f>IF(A18="","",(1/Inputs!$B$9)*(PI()*(Inputs!$F$13/1000)^2/4)*((Inputs!$F$13/1000/4)^(2/3))*SQRT(N18))</f>
        <v/>
      </c>
      <c r="AM18" s="4">
        <f>IF(A18="","",(1/Inputs!$B$9)*(PI()*(Inputs!$F$14/1000)^2/4)*((Inputs!$F$14/1000/4)^(2/3))*SQRT(N18))</f>
        <v/>
      </c>
    </row>
    <row r="19">
      <c r="A19" s="4" t="n"/>
      <c r="B19" s="4" t="n"/>
      <c r="C19" s="8" t="n"/>
      <c r="D19" s="8" t="n"/>
      <c r="E19" s="8">
        <f>SUMIFS(CB_Tributaires!$C:$C,CB_Tributaires!$B:$B,$A19)</f>
        <v/>
      </c>
      <c r="F19" s="8">
        <f>IF(D19="",E19,D19)</f>
        <v/>
      </c>
      <c r="G19" s="4" t="n"/>
      <c r="H19" s="8" t="n"/>
      <c r="I19" s="8">
        <f>IF(A19="","",Inputs!$B$13/((IF(H19="",Inputs!$B$18,H19)+Inputs!$B$14)^Inputs!$B$15))</f>
        <v/>
      </c>
      <c r="J19" s="8">
        <f>IF(A19="","",0.00278*IF(G19="",Inputs!$B$17,G19)*F19*I19)</f>
        <v/>
      </c>
      <c r="K19" s="8">
        <f>IF(A19="","",SUMIFS($L$4:$L$203,$B$4:$B$203,$A19))</f>
        <v/>
      </c>
      <c r="L19" s="8">
        <f>IF(A19="","",(J19+K19)*Inputs!$B$16)</f>
        <v/>
      </c>
      <c r="M19" s="8" t="n"/>
      <c r="N19" s="8">
        <f>IF(A19="","",IF(M19="",Inputs!$B$7,M19))</f>
        <v/>
      </c>
      <c r="O19" s="4">
        <f>IF(A19="","",IF(L19/Inputs!$B$10&lt;=AD19,Inputs!$F$5,IF(L19/Inputs!$B$10&gt;AM19,"OVERSIZE",INDEX(Inputs!$F$5:$F$14,MATCH(L19/Inputs!$B$10,AD19:AM19,1)+1))))</f>
        <v/>
      </c>
      <c r="P19" s="4" t="n"/>
      <c r="Q19" s="4">
        <f>IF(A19="","",IF(P19="",O19,P19))</f>
        <v/>
      </c>
      <c r="R19" s="8">
        <f>IF(OR(Q19="",Q19="OVERSIZE"),"",Q19/1000)</f>
        <v/>
      </c>
      <c r="S19" s="8">
        <f>IF(R19="","",(1/Inputs!$B$9)*(PI()*R19^2/4)*((R19/4)^(2/3))*SQRT(N19))</f>
        <v/>
      </c>
      <c r="T19" s="8">
        <f>IF(OR(S19="",L19=""),"",L19/(S19*Inputs!$B$10))</f>
        <v/>
      </c>
      <c r="U19" s="8">
        <f>IF(OR(R19="",L19=""),"",4*L19/(PI()*R19^2))</f>
        <v/>
      </c>
      <c r="V19" s="8" t="n"/>
      <c r="W19" s="8">
        <f>IF(A19="","",IF(A19=Inputs!$B$6,Inputs!$B$22,IF(B19="","",IFERROR(INDEX($X$4:$X$203,MATCH(B19,$A$4:$A$203,0))+IF(V19="",Inputs!$B$20,V19),""))))</f>
        <v/>
      </c>
      <c r="X19" s="8">
        <f>IF(OR(W19="",N19="",C19=""),"",W19+N19*C19)</f>
        <v/>
      </c>
      <c r="Y19" s="8" t="n"/>
      <c r="Z19" s="8" t="n"/>
      <c r="AA19" s="8">
        <f>IF(OR(Y19="",W19=""),"",Y19-W19)</f>
        <v/>
      </c>
      <c r="AB19" s="8">
        <f>IF(OR(Z19="",X19=""),"",Z19-X19)</f>
        <v/>
      </c>
      <c r="AC19" s="4">
        <f>IF(A19="","",IF(OR(T19&gt;1,U19&lt;Inputs!$B$11,U19&gt;Inputs!$B$12,AA19&lt;Inputs!$B$19,AB19&lt;Inputs!$B$19,N19&lt;Inputs!$B$7,N19&gt;Inputs!$B$8),"CHECK","OK"))</f>
        <v/>
      </c>
      <c r="AD19" s="4">
        <f>IF(A19="","",(1/Inputs!$B$9)*(PI()*(Inputs!$F$5/1000)^2/4)*((Inputs!$F$5/1000/4)^(2/3))*SQRT(N19))</f>
        <v/>
      </c>
      <c r="AE19" s="4">
        <f>IF(A19="","",(1/Inputs!$B$9)*(PI()*(Inputs!$F$6/1000)^2/4)*((Inputs!$F$6/1000/4)^(2/3))*SQRT(N19))</f>
        <v/>
      </c>
      <c r="AF19" s="4">
        <f>IF(A19="","",(1/Inputs!$B$9)*(PI()*(Inputs!$F$7/1000)^2/4)*((Inputs!$F$7/1000/4)^(2/3))*SQRT(N19))</f>
        <v/>
      </c>
      <c r="AG19" s="4">
        <f>IF(A19="","",(1/Inputs!$B$9)*(PI()*(Inputs!$F$8/1000)^2/4)*((Inputs!$F$8/1000/4)^(2/3))*SQRT(N19))</f>
        <v/>
      </c>
      <c r="AH19" s="4">
        <f>IF(A19="","",(1/Inputs!$B$9)*(PI()*(Inputs!$F$9/1000)^2/4)*((Inputs!$F$9/1000/4)^(2/3))*SQRT(N19))</f>
        <v/>
      </c>
      <c r="AI19" s="4">
        <f>IF(A19="","",(1/Inputs!$B$9)*(PI()*(Inputs!$F$10/1000)^2/4)*((Inputs!$F$10/1000/4)^(2/3))*SQRT(N19))</f>
        <v/>
      </c>
      <c r="AJ19" s="4">
        <f>IF(A19="","",(1/Inputs!$B$9)*(PI()*(Inputs!$F$11/1000)^2/4)*((Inputs!$F$11/1000/4)^(2/3))*SQRT(N19))</f>
        <v/>
      </c>
      <c r="AK19" s="4">
        <f>IF(A19="","",(1/Inputs!$B$9)*(PI()*(Inputs!$F$12/1000)^2/4)*((Inputs!$F$12/1000/4)^(2/3))*SQRT(N19))</f>
        <v/>
      </c>
      <c r="AL19" s="4">
        <f>IF(A19="","",(1/Inputs!$B$9)*(PI()*(Inputs!$F$13/1000)^2/4)*((Inputs!$F$13/1000/4)^(2/3))*SQRT(N19))</f>
        <v/>
      </c>
      <c r="AM19" s="4">
        <f>IF(A19="","",(1/Inputs!$B$9)*(PI()*(Inputs!$F$14/1000)^2/4)*((Inputs!$F$14/1000/4)^(2/3))*SQRT(N19))</f>
        <v/>
      </c>
    </row>
    <row r="20">
      <c r="A20" s="4" t="n"/>
      <c r="B20" s="4" t="n"/>
      <c r="C20" s="8" t="n"/>
      <c r="D20" s="8" t="n"/>
      <c r="E20" s="8">
        <f>SUMIFS(CB_Tributaires!$C:$C,CB_Tributaires!$B:$B,$A20)</f>
        <v/>
      </c>
      <c r="F20" s="8">
        <f>IF(D20="",E20,D20)</f>
        <v/>
      </c>
      <c r="G20" s="4" t="n"/>
      <c r="H20" s="8" t="n"/>
      <c r="I20" s="8">
        <f>IF(A20="","",Inputs!$B$13/((IF(H20="",Inputs!$B$18,H20)+Inputs!$B$14)^Inputs!$B$15))</f>
        <v/>
      </c>
      <c r="J20" s="8">
        <f>IF(A20="","",0.00278*IF(G20="",Inputs!$B$17,G20)*F20*I20)</f>
        <v/>
      </c>
      <c r="K20" s="8">
        <f>IF(A20="","",SUMIFS($L$4:$L$203,$B$4:$B$203,$A20))</f>
        <v/>
      </c>
      <c r="L20" s="8">
        <f>IF(A20="","",(J20+K20)*Inputs!$B$16)</f>
        <v/>
      </c>
      <c r="M20" s="8" t="n"/>
      <c r="N20" s="8">
        <f>IF(A20="","",IF(M20="",Inputs!$B$7,M20))</f>
        <v/>
      </c>
      <c r="O20" s="4">
        <f>IF(A20="","",IF(L20/Inputs!$B$10&lt;=AD20,Inputs!$F$5,IF(L20/Inputs!$B$10&gt;AM20,"OVERSIZE",INDEX(Inputs!$F$5:$F$14,MATCH(L20/Inputs!$B$10,AD20:AM20,1)+1))))</f>
        <v/>
      </c>
      <c r="P20" s="4" t="n"/>
      <c r="Q20" s="4">
        <f>IF(A20="","",IF(P20="",O20,P20))</f>
        <v/>
      </c>
      <c r="R20" s="8">
        <f>IF(OR(Q20="",Q20="OVERSIZE"),"",Q20/1000)</f>
        <v/>
      </c>
      <c r="S20" s="8">
        <f>IF(R20="","",(1/Inputs!$B$9)*(PI()*R20^2/4)*((R20/4)^(2/3))*SQRT(N20))</f>
        <v/>
      </c>
      <c r="T20" s="8">
        <f>IF(OR(S20="",L20=""),"",L20/(S20*Inputs!$B$10))</f>
        <v/>
      </c>
      <c r="U20" s="8">
        <f>IF(OR(R20="",L20=""),"",4*L20/(PI()*R20^2))</f>
        <v/>
      </c>
      <c r="V20" s="8" t="n"/>
      <c r="W20" s="8">
        <f>IF(A20="","",IF(A20=Inputs!$B$6,Inputs!$B$22,IF(B20="","",IFERROR(INDEX($X$4:$X$203,MATCH(B20,$A$4:$A$203,0))+IF(V20="",Inputs!$B$20,V20),""))))</f>
        <v/>
      </c>
      <c r="X20" s="8">
        <f>IF(OR(W20="",N20="",C20=""),"",W20+N20*C20)</f>
        <v/>
      </c>
      <c r="Y20" s="8" t="n"/>
      <c r="Z20" s="8" t="n"/>
      <c r="AA20" s="8">
        <f>IF(OR(Y20="",W20=""),"",Y20-W20)</f>
        <v/>
      </c>
      <c r="AB20" s="8">
        <f>IF(OR(Z20="",X20=""),"",Z20-X20)</f>
        <v/>
      </c>
      <c r="AC20" s="4">
        <f>IF(A20="","",IF(OR(T20&gt;1,U20&lt;Inputs!$B$11,U20&gt;Inputs!$B$12,AA20&lt;Inputs!$B$19,AB20&lt;Inputs!$B$19,N20&lt;Inputs!$B$7,N20&gt;Inputs!$B$8),"CHECK","OK"))</f>
        <v/>
      </c>
      <c r="AD20" s="4">
        <f>IF(A20="","",(1/Inputs!$B$9)*(PI()*(Inputs!$F$5/1000)^2/4)*((Inputs!$F$5/1000/4)^(2/3))*SQRT(N20))</f>
        <v/>
      </c>
      <c r="AE20" s="4">
        <f>IF(A20="","",(1/Inputs!$B$9)*(PI()*(Inputs!$F$6/1000)^2/4)*((Inputs!$F$6/1000/4)^(2/3))*SQRT(N20))</f>
        <v/>
      </c>
      <c r="AF20" s="4">
        <f>IF(A20="","",(1/Inputs!$B$9)*(PI()*(Inputs!$F$7/1000)^2/4)*((Inputs!$F$7/1000/4)^(2/3))*SQRT(N20))</f>
        <v/>
      </c>
      <c r="AG20" s="4">
        <f>IF(A20="","",(1/Inputs!$B$9)*(PI()*(Inputs!$F$8/1000)^2/4)*((Inputs!$F$8/1000/4)^(2/3))*SQRT(N20))</f>
        <v/>
      </c>
      <c r="AH20" s="4">
        <f>IF(A20="","",(1/Inputs!$B$9)*(PI()*(Inputs!$F$9/1000)^2/4)*((Inputs!$F$9/1000/4)^(2/3))*SQRT(N20))</f>
        <v/>
      </c>
      <c r="AI20" s="4">
        <f>IF(A20="","",(1/Inputs!$B$9)*(PI()*(Inputs!$F$10/1000)^2/4)*((Inputs!$F$10/1000/4)^(2/3))*SQRT(N20))</f>
        <v/>
      </c>
      <c r="AJ20" s="4">
        <f>IF(A20="","",(1/Inputs!$B$9)*(PI()*(Inputs!$F$11/1000)^2/4)*((Inputs!$F$11/1000/4)^(2/3))*SQRT(N20))</f>
        <v/>
      </c>
      <c r="AK20" s="4">
        <f>IF(A20="","",(1/Inputs!$B$9)*(PI()*(Inputs!$F$12/1000)^2/4)*((Inputs!$F$12/1000/4)^(2/3))*SQRT(N20))</f>
        <v/>
      </c>
      <c r="AL20" s="4">
        <f>IF(A20="","",(1/Inputs!$B$9)*(PI()*(Inputs!$F$13/1000)^2/4)*((Inputs!$F$13/1000/4)^(2/3))*SQRT(N20))</f>
        <v/>
      </c>
      <c r="AM20" s="4">
        <f>IF(A20="","",(1/Inputs!$B$9)*(PI()*(Inputs!$F$14/1000)^2/4)*((Inputs!$F$14/1000/4)^(2/3))*SQRT(N20))</f>
        <v/>
      </c>
    </row>
    <row r="21">
      <c r="A21" s="4" t="n"/>
      <c r="B21" s="4" t="n"/>
      <c r="C21" s="8" t="n"/>
      <c r="D21" s="8" t="n"/>
      <c r="E21" s="8">
        <f>SUMIFS(CB_Tributaires!$C:$C,CB_Tributaires!$B:$B,$A21)</f>
        <v/>
      </c>
      <c r="F21" s="8">
        <f>IF(D21="",E21,D21)</f>
        <v/>
      </c>
      <c r="G21" s="4" t="n"/>
      <c r="H21" s="8" t="n"/>
      <c r="I21" s="8">
        <f>IF(A21="","",Inputs!$B$13/((IF(H21="",Inputs!$B$18,H21)+Inputs!$B$14)^Inputs!$B$15))</f>
        <v/>
      </c>
      <c r="J21" s="8">
        <f>IF(A21="","",0.00278*IF(G21="",Inputs!$B$17,G21)*F21*I21)</f>
        <v/>
      </c>
      <c r="K21" s="8">
        <f>IF(A21="","",SUMIFS($L$4:$L$203,$B$4:$B$203,$A21))</f>
        <v/>
      </c>
      <c r="L21" s="8">
        <f>IF(A21="","",(J21+K21)*Inputs!$B$16)</f>
        <v/>
      </c>
      <c r="M21" s="8" t="n"/>
      <c r="N21" s="8">
        <f>IF(A21="","",IF(M21="",Inputs!$B$7,M21))</f>
        <v/>
      </c>
      <c r="O21" s="4">
        <f>IF(A21="","",IF(L21/Inputs!$B$10&lt;=AD21,Inputs!$F$5,IF(L21/Inputs!$B$10&gt;AM21,"OVERSIZE",INDEX(Inputs!$F$5:$F$14,MATCH(L21/Inputs!$B$10,AD21:AM21,1)+1))))</f>
        <v/>
      </c>
      <c r="P21" s="4" t="n"/>
      <c r="Q21" s="4">
        <f>IF(A21="","",IF(P21="",O21,P21))</f>
        <v/>
      </c>
      <c r="R21" s="8">
        <f>IF(OR(Q21="",Q21="OVERSIZE"),"",Q21/1000)</f>
        <v/>
      </c>
      <c r="S21" s="8">
        <f>IF(R21="","",(1/Inputs!$B$9)*(PI()*R21^2/4)*((R21/4)^(2/3))*SQRT(N21))</f>
        <v/>
      </c>
      <c r="T21" s="8">
        <f>IF(OR(S21="",L21=""),"",L21/(S21*Inputs!$B$10))</f>
        <v/>
      </c>
      <c r="U21" s="8">
        <f>IF(OR(R21="",L21=""),"",4*L21/(PI()*R21^2))</f>
        <v/>
      </c>
      <c r="V21" s="8" t="n"/>
      <c r="W21" s="8">
        <f>IF(A21="","",IF(A21=Inputs!$B$6,Inputs!$B$22,IF(B21="","",IFERROR(INDEX($X$4:$X$203,MATCH(B21,$A$4:$A$203,0))+IF(V21="",Inputs!$B$20,V21),""))))</f>
        <v/>
      </c>
      <c r="X21" s="8">
        <f>IF(OR(W21="",N21="",C21=""),"",W21+N21*C21)</f>
        <v/>
      </c>
      <c r="Y21" s="8" t="n"/>
      <c r="Z21" s="8" t="n"/>
      <c r="AA21" s="8">
        <f>IF(OR(Y21="",W21=""),"",Y21-W21)</f>
        <v/>
      </c>
      <c r="AB21" s="8">
        <f>IF(OR(Z21="",X21=""),"",Z21-X21)</f>
        <v/>
      </c>
      <c r="AC21" s="4">
        <f>IF(A21="","",IF(OR(T21&gt;1,U21&lt;Inputs!$B$11,U21&gt;Inputs!$B$12,AA21&lt;Inputs!$B$19,AB21&lt;Inputs!$B$19,N21&lt;Inputs!$B$7,N21&gt;Inputs!$B$8),"CHECK","OK"))</f>
        <v/>
      </c>
      <c r="AD21" s="4">
        <f>IF(A21="","",(1/Inputs!$B$9)*(PI()*(Inputs!$F$5/1000)^2/4)*((Inputs!$F$5/1000/4)^(2/3))*SQRT(N21))</f>
        <v/>
      </c>
      <c r="AE21" s="4">
        <f>IF(A21="","",(1/Inputs!$B$9)*(PI()*(Inputs!$F$6/1000)^2/4)*((Inputs!$F$6/1000/4)^(2/3))*SQRT(N21))</f>
        <v/>
      </c>
      <c r="AF21" s="4">
        <f>IF(A21="","",(1/Inputs!$B$9)*(PI()*(Inputs!$F$7/1000)^2/4)*((Inputs!$F$7/1000/4)^(2/3))*SQRT(N21))</f>
        <v/>
      </c>
      <c r="AG21" s="4">
        <f>IF(A21="","",(1/Inputs!$B$9)*(PI()*(Inputs!$F$8/1000)^2/4)*((Inputs!$F$8/1000/4)^(2/3))*SQRT(N21))</f>
        <v/>
      </c>
      <c r="AH21" s="4">
        <f>IF(A21="","",(1/Inputs!$B$9)*(PI()*(Inputs!$F$9/1000)^2/4)*((Inputs!$F$9/1000/4)^(2/3))*SQRT(N21))</f>
        <v/>
      </c>
      <c r="AI21" s="4">
        <f>IF(A21="","",(1/Inputs!$B$9)*(PI()*(Inputs!$F$10/1000)^2/4)*((Inputs!$F$10/1000/4)^(2/3))*SQRT(N21))</f>
        <v/>
      </c>
      <c r="AJ21" s="4">
        <f>IF(A21="","",(1/Inputs!$B$9)*(PI()*(Inputs!$F$11/1000)^2/4)*((Inputs!$F$11/1000/4)^(2/3))*SQRT(N21))</f>
        <v/>
      </c>
      <c r="AK21" s="4">
        <f>IF(A21="","",(1/Inputs!$B$9)*(PI()*(Inputs!$F$12/1000)^2/4)*((Inputs!$F$12/1000/4)^(2/3))*SQRT(N21))</f>
        <v/>
      </c>
      <c r="AL21" s="4">
        <f>IF(A21="","",(1/Inputs!$B$9)*(PI()*(Inputs!$F$13/1000)^2/4)*((Inputs!$F$13/1000/4)^(2/3))*SQRT(N21))</f>
        <v/>
      </c>
      <c r="AM21" s="4">
        <f>IF(A21="","",(1/Inputs!$B$9)*(PI()*(Inputs!$F$14/1000)^2/4)*((Inputs!$F$14/1000/4)^(2/3))*SQRT(N21))</f>
        <v/>
      </c>
    </row>
    <row r="22">
      <c r="A22" s="4" t="n"/>
      <c r="B22" s="4" t="n"/>
      <c r="C22" s="8" t="n"/>
      <c r="D22" s="8" t="n"/>
      <c r="E22" s="8">
        <f>SUMIFS(CB_Tributaires!$C:$C,CB_Tributaires!$B:$B,$A22)</f>
        <v/>
      </c>
      <c r="F22" s="8">
        <f>IF(D22="",E22,D22)</f>
        <v/>
      </c>
      <c r="G22" s="4" t="n"/>
      <c r="H22" s="8" t="n"/>
      <c r="I22" s="8">
        <f>IF(A22="","",Inputs!$B$13/((IF(H22="",Inputs!$B$18,H22)+Inputs!$B$14)^Inputs!$B$15))</f>
        <v/>
      </c>
      <c r="J22" s="8">
        <f>IF(A22="","",0.00278*IF(G22="",Inputs!$B$17,G22)*F22*I22)</f>
        <v/>
      </c>
      <c r="K22" s="8">
        <f>IF(A22="","",SUMIFS($L$4:$L$203,$B$4:$B$203,$A22))</f>
        <v/>
      </c>
      <c r="L22" s="8">
        <f>IF(A22="","",(J22+K22)*Inputs!$B$16)</f>
        <v/>
      </c>
      <c r="M22" s="8" t="n"/>
      <c r="N22" s="8">
        <f>IF(A22="","",IF(M22="",Inputs!$B$7,M22))</f>
        <v/>
      </c>
      <c r="O22" s="4">
        <f>IF(A22="","",IF(L22/Inputs!$B$10&lt;=AD22,Inputs!$F$5,IF(L22/Inputs!$B$10&gt;AM22,"OVERSIZE",INDEX(Inputs!$F$5:$F$14,MATCH(L22/Inputs!$B$10,AD22:AM22,1)+1))))</f>
        <v/>
      </c>
      <c r="P22" s="4" t="n"/>
      <c r="Q22" s="4">
        <f>IF(A22="","",IF(P22="",O22,P22))</f>
        <v/>
      </c>
      <c r="R22" s="8">
        <f>IF(OR(Q22="",Q22="OVERSIZE"),"",Q22/1000)</f>
        <v/>
      </c>
      <c r="S22" s="8">
        <f>IF(R22="","",(1/Inputs!$B$9)*(PI()*R22^2/4)*((R22/4)^(2/3))*SQRT(N22))</f>
        <v/>
      </c>
      <c r="T22" s="8">
        <f>IF(OR(S22="",L22=""),"",L22/(S22*Inputs!$B$10))</f>
        <v/>
      </c>
      <c r="U22" s="8">
        <f>IF(OR(R22="",L22=""),"",4*L22/(PI()*R22^2))</f>
        <v/>
      </c>
      <c r="V22" s="8" t="n"/>
      <c r="W22" s="8">
        <f>IF(A22="","",IF(A22=Inputs!$B$6,Inputs!$B$22,IF(B22="","",IFERROR(INDEX($X$4:$X$203,MATCH(B22,$A$4:$A$203,0))+IF(V22="",Inputs!$B$20,V22),""))))</f>
        <v/>
      </c>
      <c r="X22" s="8">
        <f>IF(OR(W22="",N22="",C22=""),"",W22+N22*C22)</f>
        <v/>
      </c>
      <c r="Y22" s="8" t="n"/>
      <c r="Z22" s="8" t="n"/>
      <c r="AA22" s="8">
        <f>IF(OR(Y22="",W22=""),"",Y22-W22)</f>
        <v/>
      </c>
      <c r="AB22" s="8">
        <f>IF(OR(Z22="",X22=""),"",Z22-X22)</f>
        <v/>
      </c>
      <c r="AC22" s="4">
        <f>IF(A22="","",IF(OR(T22&gt;1,U22&lt;Inputs!$B$11,U22&gt;Inputs!$B$12,AA22&lt;Inputs!$B$19,AB22&lt;Inputs!$B$19,N22&lt;Inputs!$B$7,N22&gt;Inputs!$B$8),"CHECK","OK"))</f>
        <v/>
      </c>
      <c r="AD22" s="4">
        <f>IF(A22="","",(1/Inputs!$B$9)*(PI()*(Inputs!$F$5/1000)^2/4)*((Inputs!$F$5/1000/4)^(2/3))*SQRT(N22))</f>
        <v/>
      </c>
      <c r="AE22" s="4">
        <f>IF(A22="","",(1/Inputs!$B$9)*(PI()*(Inputs!$F$6/1000)^2/4)*((Inputs!$F$6/1000/4)^(2/3))*SQRT(N22))</f>
        <v/>
      </c>
      <c r="AF22" s="4">
        <f>IF(A22="","",(1/Inputs!$B$9)*(PI()*(Inputs!$F$7/1000)^2/4)*((Inputs!$F$7/1000/4)^(2/3))*SQRT(N22))</f>
        <v/>
      </c>
      <c r="AG22" s="4">
        <f>IF(A22="","",(1/Inputs!$B$9)*(PI()*(Inputs!$F$8/1000)^2/4)*((Inputs!$F$8/1000/4)^(2/3))*SQRT(N22))</f>
        <v/>
      </c>
      <c r="AH22" s="4">
        <f>IF(A22="","",(1/Inputs!$B$9)*(PI()*(Inputs!$F$9/1000)^2/4)*((Inputs!$F$9/1000/4)^(2/3))*SQRT(N22))</f>
        <v/>
      </c>
      <c r="AI22" s="4">
        <f>IF(A22="","",(1/Inputs!$B$9)*(PI()*(Inputs!$F$10/1000)^2/4)*((Inputs!$F$10/1000/4)^(2/3))*SQRT(N22))</f>
        <v/>
      </c>
      <c r="AJ22" s="4">
        <f>IF(A22="","",(1/Inputs!$B$9)*(PI()*(Inputs!$F$11/1000)^2/4)*((Inputs!$F$11/1000/4)^(2/3))*SQRT(N22))</f>
        <v/>
      </c>
      <c r="AK22" s="4">
        <f>IF(A22="","",(1/Inputs!$B$9)*(PI()*(Inputs!$F$12/1000)^2/4)*((Inputs!$F$12/1000/4)^(2/3))*SQRT(N22))</f>
        <v/>
      </c>
      <c r="AL22" s="4">
        <f>IF(A22="","",(1/Inputs!$B$9)*(PI()*(Inputs!$F$13/1000)^2/4)*((Inputs!$F$13/1000/4)^(2/3))*SQRT(N22))</f>
        <v/>
      </c>
      <c r="AM22" s="4">
        <f>IF(A22="","",(1/Inputs!$B$9)*(PI()*(Inputs!$F$14/1000)^2/4)*((Inputs!$F$14/1000/4)^(2/3))*SQRT(N22))</f>
        <v/>
      </c>
    </row>
    <row r="23">
      <c r="A23" s="4" t="n"/>
      <c r="B23" s="4" t="n"/>
      <c r="C23" s="8" t="n"/>
      <c r="D23" s="8" t="n"/>
      <c r="E23" s="8">
        <f>SUMIFS(CB_Tributaires!$C:$C,CB_Tributaires!$B:$B,$A23)</f>
        <v/>
      </c>
      <c r="F23" s="8">
        <f>IF(D23="",E23,D23)</f>
        <v/>
      </c>
      <c r="G23" s="4" t="n"/>
      <c r="H23" s="8" t="n"/>
      <c r="I23" s="8">
        <f>IF(A23="","",Inputs!$B$13/((IF(H23="",Inputs!$B$18,H23)+Inputs!$B$14)^Inputs!$B$15))</f>
        <v/>
      </c>
      <c r="J23" s="8">
        <f>IF(A23="","",0.00278*IF(G23="",Inputs!$B$17,G23)*F23*I23)</f>
        <v/>
      </c>
      <c r="K23" s="8">
        <f>IF(A23="","",SUMIFS($L$4:$L$203,$B$4:$B$203,$A23))</f>
        <v/>
      </c>
      <c r="L23" s="8">
        <f>IF(A23="","",(J23+K23)*Inputs!$B$16)</f>
        <v/>
      </c>
      <c r="M23" s="8" t="n"/>
      <c r="N23" s="8">
        <f>IF(A23="","",IF(M23="",Inputs!$B$7,M23))</f>
        <v/>
      </c>
      <c r="O23" s="4">
        <f>IF(A23="","",IF(L23/Inputs!$B$10&lt;=AD23,Inputs!$F$5,IF(L23/Inputs!$B$10&gt;AM23,"OVERSIZE",INDEX(Inputs!$F$5:$F$14,MATCH(L23/Inputs!$B$10,AD23:AM23,1)+1))))</f>
        <v/>
      </c>
      <c r="P23" s="4" t="n"/>
      <c r="Q23" s="4">
        <f>IF(A23="","",IF(P23="",O23,P23))</f>
        <v/>
      </c>
      <c r="R23" s="8">
        <f>IF(OR(Q23="",Q23="OVERSIZE"),"",Q23/1000)</f>
        <v/>
      </c>
      <c r="S23" s="8">
        <f>IF(R23="","",(1/Inputs!$B$9)*(PI()*R23^2/4)*((R23/4)^(2/3))*SQRT(N23))</f>
        <v/>
      </c>
      <c r="T23" s="8">
        <f>IF(OR(S23="",L23=""),"",L23/(S23*Inputs!$B$10))</f>
        <v/>
      </c>
      <c r="U23" s="8">
        <f>IF(OR(R23="",L23=""),"",4*L23/(PI()*R23^2))</f>
        <v/>
      </c>
      <c r="V23" s="8" t="n"/>
      <c r="W23" s="8">
        <f>IF(A23="","",IF(A23=Inputs!$B$6,Inputs!$B$22,IF(B23="","",IFERROR(INDEX($X$4:$X$203,MATCH(B23,$A$4:$A$203,0))+IF(V23="",Inputs!$B$20,V23),""))))</f>
        <v/>
      </c>
      <c r="X23" s="8">
        <f>IF(OR(W23="",N23="",C23=""),"",W23+N23*C23)</f>
        <v/>
      </c>
      <c r="Y23" s="8" t="n"/>
      <c r="Z23" s="8" t="n"/>
      <c r="AA23" s="8">
        <f>IF(OR(Y23="",W23=""),"",Y23-W23)</f>
        <v/>
      </c>
      <c r="AB23" s="8">
        <f>IF(OR(Z23="",X23=""),"",Z23-X23)</f>
        <v/>
      </c>
      <c r="AC23" s="4">
        <f>IF(A23="","",IF(OR(T23&gt;1,U23&lt;Inputs!$B$11,U23&gt;Inputs!$B$12,AA23&lt;Inputs!$B$19,AB23&lt;Inputs!$B$19,N23&lt;Inputs!$B$7,N23&gt;Inputs!$B$8),"CHECK","OK"))</f>
        <v/>
      </c>
      <c r="AD23" s="4">
        <f>IF(A23="","",(1/Inputs!$B$9)*(PI()*(Inputs!$F$5/1000)^2/4)*((Inputs!$F$5/1000/4)^(2/3))*SQRT(N23))</f>
        <v/>
      </c>
      <c r="AE23" s="4">
        <f>IF(A23="","",(1/Inputs!$B$9)*(PI()*(Inputs!$F$6/1000)^2/4)*((Inputs!$F$6/1000/4)^(2/3))*SQRT(N23))</f>
        <v/>
      </c>
      <c r="AF23" s="4">
        <f>IF(A23="","",(1/Inputs!$B$9)*(PI()*(Inputs!$F$7/1000)^2/4)*((Inputs!$F$7/1000/4)^(2/3))*SQRT(N23))</f>
        <v/>
      </c>
      <c r="AG23" s="4">
        <f>IF(A23="","",(1/Inputs!$B$9)*(PI()*(Inputs!$F$8/1000)^2/4)*((Inputs!$F$8/1000/4)^(2/3))*SQRT(N23))</f>
        <v/>
      </c>
      <c r="AH23" s="4">
        <f>IF(A23="","",(1/Inputs!$B$9)*(PI()*(Inputs!$F$9/1000)^2/4)*((Inputs!$F$9/1000/4)^(2/3))*SQRT(N23))</f>
        <v/>
      </c>
      <c r="AI23" s="4">
        <f>IF(A23="","",(1/Inputs!$B$9)*(PI()*(Inputs!$F$10/1000)^2/4)*((Inputs!$F$10/1000/4)^(2/3))*SQRT(N23))</f>
        <v/>
      </c>
      <c r="AJ23" s="4">
        <f>IF(A23="","",(1/Inputs!$B$9)*(PI()*(Inputs!$F$11/1000)^2/4)*((Inputs!$F$11/1000/4)^(2/3))*SQRT(N23))</f>
        <v/>
      </c>
      <c r="AK23" s="4">
        <f>IF(A23="","",(1/Inputs!$B$9)*(PI()*(Inputs!$F$12/1000)^2/4)*((Inputs!$F$12/1000/4)^(2/3))*SQRT(N23))</f>
        <v/>
      </c>
      <c r="AL23" s="4">
        <f>IF(A23="","",(1/Inputs!$B$9)*(PI()*(Inputs!$F$13/1000)^2/4)*((Inputs!$F$13/1000/4)^(2/3))*SQRT(N23))</f>
        <v/>
      </c>
      <c r="AM23" s="4">
        <f>IF(A23="","",(1/Inputs!$B$9)*(PI()*(Inputs!$F$14/1000)^2/4)*((Inputs!$F$14/1000/4)^(2/3))*SQRT(N23))</f>
        <v/>
      </c>
    </row>
    <row r="24">
      <c r="A24" s="4" t="n"/>
      <c r="B24" s="4" t="n"/>
      <c r="C24" s="8" t="n"/>
      <c r="D24" s="8" t="n"/>
      <c r="E24" s="8">
        <f>SUMIFS(CB_Tributaires!$C:$C,CB_Tributaires!$B:$B,$A24)</f>
        <v/>
      </c>
      <c r="F24" s="8">
        <f>IF(D24="",E24,D24)</f>
        <v/>
      </c>
      <c r="G24" s="4" t="n"/>
      <c r="H24" s="8" t="n"/>
      <c r="I24" s="8">
        <f>IF(A24="","",Inputs!$B$13/((IF(H24="",Inputs!$B$18,H24)+Inputs!$B$14)^Inputs!$B$15))</f>
        <v/>
      </c>
      <c r="J24" s="8">
        <f>IF(A24="","",0.00278*IF(G24="",Inputs!$B$17,G24)*F24*I24)</f>
        <v/>
      </c>
      <c r="K24" s="8">
        <f>IF(A24="","",SUMIFS($L$4:$L$203,$B$4:$B$203,$A24))</f>
        <v/>
      </c>
      <c r="L24" s="8">
        <f>IF(A24="","",(J24+K24)*Inputs!$B$16)</f>
        <v/>
      </c>
      <c r="M24" s="8" t="n"/>
      <c r="N24" s="8">
        <f>IF(A24="","",IF(M24="",Inputs!$B$7,M24))</f>
        <v/>
      </c>
      <c r="O24" s="4">
        <f>IF(A24="","",IF(L24/Inputs!$B$10&lt;=AD24,Inputs!$F$5,IF(L24/Inputs!$B$10&gt;AM24,"OVERSIZE",INDEX(Inputs!$F$5:$F$14,MATCH(L24/Inputs!$B$10,AD24:AM24,1)+1))))</f>
        <v/>
      </c>
      <c r="P24" s="4" t="n"/>
      <c r="Q24" s="4">
        <f>IF(A24="","",IF(P24="",O24,P24))</f>
        <v/>
      </c>
      <c r="R24" s="8">
        <f>IF(OR(Q24="",Q24="OVERSIZE"),"",Q24/1000)</f>
        <v/>
      </c>
      <c r="S24" s="8">
        <f>IF(R24="","",(1/Inputs!$B$9)*(PI()*R24^2/4)*((R24/4)^(2/3))*SQRT(N24))</f>
        <v/>
      </c>
      <c r="T24" s="8">
        <f>IF(OR(S24="",L24=""),"",L24/(S24*Inputs!$B$10))</f>
        <v/>
      </c>
      <c r="U24" s="8">
        <f>IF(OR(R24="",L24=""),"",4*L24/(PI()*R24^2))</f>
        <v/>
      </c>
      <c r="V24" s="8" t="n"/>
      <c r="W24" s="8">
        <f>IF(A24="","",IF(A24=Inputs!$B$6,Inputs!$B$22,IF(B24="","",IFERROR(INDEX($X$4:$X$203,MATCH(B24,$A$4:$A$203,0))+IF(V24="",Inputs!$B$20,V24),""))))</f>
        <v/>
      </c>
      <c r="X24" s="8">
        <f>IF(OR(W24="",N24="",C24=""),"",W24+N24*C24)</f>
        <v/>
      </c>
      <c r="Y24" s="8" t="n"/>
      <c r="Z24" s="8" t="n"/>
      <c r="AA24" s="8">
        <f>IF(OR(Y24="",W24=""),"",Y24-W24)</f>
        <v/>
      </c>
      <c r="AB24" s="8">
        <f>IF(OR(Z24="",X24=""),"",Z24-X24)</f>
        <v/>
      </c>
      <c r="AC24" s="4">
        <f>IF(A24="","",IF(OR(T24&gt;1,U24&lt;Inputs!$B$11,U24&gt;Inputs!$B$12,AA24&lt;Inputs!$B$19,AB24&lt;Inputs!$B$19,N24&lt;Inputs!$B$7,N24&gt;Inputs!$B$8),"CHECK","OK"))</f>
        <v/>
      </c>
      <c r="AD24" s="4">
        <f>IF(A24="","",(1/Inputs!$B$9)*(PI()*(Inputs!$F$5/1000)^2/4)*((Inputs!$F$5/1000/4)^(2/3))*SQRT(N24))</f>
        <v/>
      </c>
      <c r="AE24" s="4">
        <f>IF(A24="","",(1/Inputs!$B$9)*(PI()*(Inputs!$F$6/1000)^2/4)*((Inputs!$F$6/1000/4)^(2/3))*SQRT(N24))</f>
        <v/>
      </c>
      <c r="AF24" s="4">
        <f>IF(A24="","",(1/Inputs!$B$9)*(PI()*(Inputs!$F$7/1000)^2/4)*((Inputs!$F$7/1000/4)^(2/3))*SQRT(N24))</f>
        <v/>
      </c>
      <c r="AG24" s="4">
        <f>IF(A24="","",(1/Inputs!$B$9)*(PI()*(Inputs!$F$8/1000)^2/4)*((Inputs!$F$8/1000/4)^(2/3))*SQRT(N24))</f>
        <v/>
      </c>
      <c r="AH24" s="4">
        <f>IF(A24="","",(1/Inputs!$B$9)*(PI()*(Inputs!$F$9/1000)^2/4)*((Inputs!$F$9/1000/4)^(2/3))*SQRT(N24))</f>
        <v/>
      </c>
      <c r="AI24" s="4">
        <f>IF(A24="","",(1/Inputs!$B$9)*(PI()*(Inputs!$F$10/1000)^2/4)*((Inputs!$F$10/1000/4)^(2/3))*SQRT(N24))</f>
        <v/>
      </c>
      <c r="AJ24" s="4">
        <f>IF(A24="","",(1/Inputs!$B$9)*(PI()*(Inputs!$F$11/1000)^2/4)*((Inputs!$F$11/1000/4)^(2/3))*SQRT(N24))</f>
        <v/>
      </c>
      <c r="AK24" s="4">
        <f>IF(A24="","",(1/Inputs!$B$9)*(PI()*(Inputs!$F$12/1000)^2/4)*((Inputs!$F$12/1000/4)^(2/3))*SQRT(N24))</f>
        <v/>
      </c>
      <c r="AL24" s="4">
        <f>IF(A24="","",(1/Inputs!$B$9)*(PI()*(Inputs!$F$13/1000)^2/4)*((Inputs!$F$13/1000/4)^(2/3))*SQRT(N24))</f>
        <v/>
      </c>
      <c r="AM24" s="4">
        <f>IF(A24="","",(1/Inputs!$B$9)*(PI()*(Inputs!$F$14/1000)^2/4)*((Inputs!$F$14/1000/4)^(2/3))*SQRT(N24))</f>
        <v/>
      </c>
    </row>
    <row r="25">
      <c r="A25" s="4" t="n"/>
      <c r="B25" s="4" t="n"/>
      <c r="C25" s="8" t="n"/>
      <c r="D25" s="8" t="n"/>
      <c r="E25" s="8">
        <f>SUMIFS(CB_Tributaires!$C:$C,CB_Tributaires!$B:$B,$A25)</f>
        <v/>
      </c>
      <c r="F25" s="8">
        <f>IF(D25="",E25,D25)</f>
        <v/>
      </c>
      <c r="G25" s="4" t="n"/>
      <c r="H25" s="8" t="n"/>
      <c r="I25" s="8">
        <f>IF(A25="","",Inputs!$B$13/((IF(H25="",Inputs!$B$18,H25)+Inputs!$B$14)^Inputs!$B$15))</f>
        <v/>
      </c>
      <c r="J25" s="8">
        <f>IF(A25="","",0.00278*IF(G25="",Inputs!$B$17,G25)*F25*I25)</f>
        <v/>
      </c>
      <c r="K25" s="8">
        <f>IF(A25="","",SUMIFS($L$4:$L$203,$B$4:$B$203,$A25))</f>
        <v/>
      </c>
      <c r="L25" s="8">
        <f>IF(A25="","",(J25+K25)*Inputs!$B$16)</f>
        <v/>
      </c>
      <c r="M25" s="8" t="n"/>
      <c r="N25" s="8">
        <f>IF(A25="","",IF(M25="",Inputs!$B$7,M25))</f>
        <v/>
      </c>
      <c r="O25" s="4">
        <f>IF(A25="","",IF(L25/Inputs!$B$10&lt;=AD25,Inputs!$F$5,IF(L25/Inputs!$B$10&gt;AM25,"OVERSIZE",INDEX(Inputs!$F$5:$F$14,MATCH(L25/Inputs!$B$10,AD25:AM25,1)+1))))</f>
        <v/>
      </c>
      <c r="P25" s="4" t="n"/>
      <c r="Q25" s="4">
        <f>IF(A25="","",IF(P25="",O25,P25))</f>
        <v/>
      </c>
      <c r="R25" s="8">
        <f>IF(OR(Q25="",Q25="OVERSIZE"),"",Q25/1000)</f>
        <v/>
      </c>
      <c r="S25" s="8">
        <f>IF(R25="","",(1/Inputs!$B$9)*(PI()*R25^2/4)*((R25/4)^(2/3))*SQRT(N25))</f>
        <v/>
      </c>
      <c r="T25" s="8">
        <f>IF(OR(S25="",L25=""),"",L25/(S25*Inputs!$B$10))</f>
        <v/>
      </c>
      <c r="U25" s="8">
        <f>IF(OR(R25="",L25=""),"",4*L25/(PI()*R25^2))</f>
        <v/>
      </c>
      <c r="V25" s="8" t="n"/>
      <c r="W25" s="8">
        <f>IF(A25="","",IF(A25=Inputs!$B$6,Inputs!$B$22,IF(B25="","",IFERROR(INDEX($X$4:$X$203,MATCH(B25,$A$4:$A$203,0))+IF(V25="",Inputs!$B$20,V25),""))))</f>
        <v/>
      </c>
      <c r="X25" s="8">
        <f>IF(OR(W25="",N25="",C25=""),"",W25+N25*C25)</f>
        <v/>
      </c>
      <c r="Y25" s="8" t="n"/>
      <c r="Z25" s="8" t="n"/>
      <c r="AA25" s="8">
        <f>IF(OR(Y25="",W25=""),"",Y25-W25)</f>
        <v/>
      </c>
      <c r="AB25" s="8">
        <f>IF(OR(Z25="",X25=""),"",Z25-X25)</f>
        <v/>
      </c>
      <c r="AC25" s="4">
        <f>IF(A25="","",IF(OR(T25&gt;1,U25&lt;Inputs!$B$11,U25&gt;Inputs!$B$12,AA25&lt;Inputs!$B$19,AB25&lt;Inputs!$B$19,N25&lt;Inputs!$B$7,N25&gt;Inputs!$B$8),"CHECK","OK"))</f>
        <v/>
      </c>
      <c r="AD25" s="4">
        <f>IF(A25="","",(1/Inputs!$B$9)*(PI()*(Inputs!$F$5/1000)^2/4)*((Inputs!$F$5/1000/4)^(2/3))*SQRT(N25))</f>
        <v/>
      </c>
      <c r="AE25" s="4">
        <f>IF(A25="","",(1/Inputs!$B$9)*(PI()*(Inputs!$F$6/1000)^2/4)*((Inputs!$F$6/1000/4)^(2/3))*SQRT(N25))</f>
        <v/>
      </c>
      <c r="AF25" s="4">
        <f>IF(A25="","",(1/Inputs!$B$9)*(PI()*(Inputs!$F$7/1000)^2/4)*((Inputs!$F$7/1000/4)^(2/3))*SQRT(N25))</f>
        <v/>
      </c>
      <c r="AG25" s="4">
        <f>IF(A25="","",(1/Inputs!$B$9)*(PI()*(Inputs!$F$8/1000)^2/4)*((Inputs!$F$8/1000/4)^(2/3))*SQRT(N25))</f>
        <v/>
      </c>
      <c r="AH25" s="4">
        <f>IF(A25="","",(1/Inputs!$B$9)*(PI()*(Inputs!$F$9/1000)^2/4)*((Inputs!$F$9/1000/4)^(2/3))*SQRT(N25))</f>
        <v/>
      </c>
      <c r="AI25" s="4">
        <f>IF(A25="","",(1/Inputs!$B$9)*(PI()*(Inputs!$F$10/1000)^2/4)*((Inputs!$F$10/1000/4)^(2/3))*SQRT(N25))</f>
        <v/>
      </c>
      <c r="AJ25" s="4">
        <f>IF(A25="","",(1/Inputs!$B$9)*(PI()*(Inputs!$F$11/1000)^2/4)*((Inputs!$F$11/1000/4)^(2/3))*SQRT(N25))</f>
        <v/>
      </c>
      <c r="AK25" s="4">
        <f>IF(A25="","",(1/Inputs!$B$9)*(PI()*(Inputs!$F$12/1000)^2/4)*((Inputs!$F$12/1000/4)^(2/3))*SQRT(N25))</f>
        <v/>
      </c>
      <c r="AL25" s="4">
        <f>IF(A25="","",(1/Inputs!$B$9)*(PI()*(Inputs!$F$13/1000)^2/4)*((Inputs!$F$13/1000/4)^(2/3))*SQRT(N25))</f>
        <v/>
      </c>
      <c r="AM25" s="4">
        <f>IF(A25="","",(1/Inputs!$B$9)*(PI()*(Inputs!$F$14/1000)^2/4)*((Inputs!$F$14/1000/4)^(2/3))*SQRT(N25))</f>
        <v/>
      </c>
    </row>
    <row r="26">
      <c r="A26" s="4" t="n"/>
      <c r="B26" s="4" t="n"/>
      <c r="C26" s="8" t="n"/>
      <c r="D26" s="8" t="n"/>
      <c r="E26" s="8">
        <f>SUMIFS(CB_Tributaires!$C:$C,CB_Tributaires!$B:$B,$A26)</f>
        <v/>
      </c>
      <c r="F26" s="8">
        <f>IF(D26="",E26,D26)</f>
        <v/>
      </c>
      <c r="G26" s="4" t="n"/>
      <c r="H26" s="8" t="n"/>
      <c r="I26" s="8">
        <f>IF(A26="","",Inputs!$B$13/((IF(H26="",Inputs!$B$18,H26)+Inputs!$B$14)^Inputs!$B$15))</f>
        <v/>
      </c>
      <c r="J26" s="8">
        <f>IF(A26="","",0.00278*IF(G26="",Inputs!$B$17,G26)*F26*I26)</f>
        <v/>
      </c>
      <c r="K26" s="8">
        <f>IF(A26="","",SUMIFS($L$4:$L$203,$B$4:$B$203,$A26))</f>
        <v/>
      </c>
      <c r="L26" s="8">
        <f>IF(A26="","",(J26+K26)*Inputs!$B$16)</f>
        <v/>
      </c>
      <c r="M26" s="8" t="n"/>
      <c r="N26" s="8">
        <f>IF(A26="","",IF(M26="",Inputs!$B$7,M26))</f>
        <v/>
      </c>
      <c r="O26" s="4">
        <f>IF(A26="","",IF(L26/Inputs!$B$10&lt;=AD26,Inputs!$F$5,IF(L26/Inputs!$B$10&gt;AM26,"OVERSIZE",INDEX(Inputs!$F$5:$F$14,MATCH(L26/Inputs!$B$10,AD26:AM26,1)+1))))</f>
        <v/>
      </c>
      <c r="P26" s="4" t="n"/>
      <c r="Q26" s="4">
        <f>IF(A26="","",IF(P26="",O26,P26))</f>
        <v/>
      </c>
      <c r="R26" s="8">
        <f>IF(OR(Q26="",Q26="OVERSIZE"),"",Q26/1000)</f>
        <v/>
      </c>
      <c r="S26" s="8">
        <f>IF(R26="","",(1/Inputs!$B$9)*(PI()*R26^2/4)*((R26/4)^(2/3))*SQRT(N26))</f>
        <v/>
      </c>
      <c r="T26" s="8">
        <f>IF(OR(S26="",L26=""),"",L26/(S26*Inputs!$B$10))</f>
        <v/>
      </c>
      <c r="U26" s="8">
        <f>IF(OR(R26="",L26=""),"",4*L26/(PI()*R26^2))</f>
        <v/>
      </c>
      <c r="V26" s="8" t="n"/>
      <c r="W26" s="8">
        <f>IF(A26="","",IF(A26=Inputs!$B$6,Inputs!$B$22,IF(B26="","",IFERROR(INDEX($X$4:$X$203,MATCH(B26,$A$4:$A$203,0))+IF(V26="",Inputs!$B$20,V26),""))))</f>
        <v/>
      </c>
      <c r="X26" s="8">
        <f>IF(OR(W26="",N26="",C26=""),"",W26+N26*C26)</f>
        <v/>
      </c>
      <c r="Y26" s="8" t="n"/>
      <c r="Z26" s="8" t="n"/>
      <c r="AA26" s="8">
        <f>IF(OR(Y26="",W26=""),"",Y26-W26)</f>
        <v/>
      </c>
      <c r="AB26" s="8">
        <f>IF(OR(Z26="",X26=""),"",Z26-X26)</f>
        <v/>
      </c>
      <c r="AC26" s="4">
        <f>IF(A26="","",IF(OR(T26&gt;1,U26&lt;Inputs!$B$11,U26&gt;Inputs!$B$12,AA26&lt;Inputs!$B$19,AB26&lt;Inputs!$B$19,N26&lt;Inputs!$B$7,N26&gt;Inputs!$B$8),"CHECK","OK"))</f>
        <v/>
      </c>
      <c r="AD26" s="4">
        <f>IF(A26="","",(1/Inputs!$B$9)*(PI()*(Inputs!$F$5/1000)^2/4)*((Inputs!$F$5/1000/4)^(2/3))*SQRT(N26))</f>
        <v/>
      </c>
      <c r="AE26" s="4">
        <f>IF(A26="","",(1/Inputs!$B$9)*(PI()*(Inputs!$F$6/1000)^2/4)*((Inputs!$F$6/1000/4)^(2/3))*SQRT(N26))</f>
        <v/>
      </c>
      <c r="AF26" s="4">
        <f>IF(A26="","",(1/Inputs!$B$9)*(PI()*(Inputs!$F$7/1000)^2/4)*((Inputs!$F$7/1000/4)^(2/3))*SQRT(N26))</f>
        <v/>
      </c>
      <c r="AG26" s="4">
        <f>IF(A26="","",(1/Inputs!$B$9)*(PI()*(Inputs!$F$8/1000)^2/4)*((Inputs!$F$8/1000/4)^(2/3))*SQRT(N26))</f>
        <v/>
      </c>
      <c r="AH26" s="4">
        <f>IF(A26="","",(1/Inputs!$B$9)*(PI()*(Inputs!$F$9/1000)^2/4)*((Inputs!$F$9/1000/4)^(2/3))*SQRT(N26))</f>
        <v/>
      </c>
      <c r="AI26" s="4">
        <f>IF(A26="","",(1/Inputs!$B$9)*(PI()*(Inputs!$F$10/1000)^2/4)*((Inputs!$F$10/1000/4)^(2/3))*SQRT(N26))</f>
        <v/>
      </c>
      <c r="AJ26" s="4">
        <f>IF(A26="","",(1/Inputs!$B$9)*(PI()*(Inputs!$F$11/1000)^2/4)*((Inputs!$F$11/1000/4)^(2/3))*SQRT(N26))</f>
        <v/>
      </c>
      <c r="AK26" s="4">
        <f>IF(A26="","",(1/Inputs!$B$9)*(PI()*(Inputs!$F$12/1000)^2/4)*((Inputs!$F$12/1000/4)^(2/3))*SQRT(N26))</f>
        <v/>
      </c>
      <c r="AL26" s="4">
        <f>IF(A26="","",(1/Inputs!$B$9)*(PI()*(Inputs!$F$13/1000)^2/4)*((Inputs!$F$13/1000/4)^(2/3))*SQRT(N26))</f>
        <v/>
      </c>
      <c r="AM26" s="4">
        <f>IF(A26="","",(1/Inputs!$B$9)*(PI()*(Inputs!$F$14/1000)^2/4)*((Inputs!$F$14/1000/4)^(2/3))*SQRT(N26))</f>
        <v/>
      </c>
    </row>
    <row r="27">
      <c r="A27" s="4" t="n"/>
      <c r="B27" s="4" t="n"/>
      <c r="C27" s="8" t="n"/>
      <c r="D27" s="8" t="n"/>
      <c r="E27" s="8">
        <f>SUMIFS(CB_Tributaires!$C:$C,CB_Tributaires!$B:$B,$A27)</f>
        <v/>
      </c>
      <c r="F27" s="8">
        <f>IF(D27="",E27,D27)</f>
        <v/>
      </c>
      <c r="G27" s="4" t="n"/>
      <c r="H27" s="8" t="n"/>
      <c r="I27" s="8">
        <f>IF(A27="","",Inputs!$B$13/((IF(H27="",Inputs!$B$18,H27)+Inputs!$B$14)^Inputs!$B$15))</f>
        <v/>
      </c>
      <c r="J27" s="8">
        <f>IF(A27="","",0.00278*IF(G27="",Inputs!$B$17,G27)*F27*I27)</f>
        <v/>
      </c>
      <c r="K27" s="8">
        <f>IF(A27="","",SUMIFS($L$4:$L$203,$B$4:$B$203,$A27))</f>
        <v/>
      </c>
      <c r="L27" s="8">
        <f>IF(A27="","",(J27+K27)*Inputs!$B$16)</f>
        <v/>
      </c>
      <c r="M27" s="8" t="n"/>
      <c r="N27" s="8">
        <f>IF(A27="","",IF(M27="",Inputs!$B$7,M27))</f>
        <v/>
      </c>
      <c r="O27" s="4">
        <f>IF(A27="","",IF(L27/Inputs!$B$10&lt;=AD27,Inputs!$F$5,IF(L27/Inputs!$B$10&gt;AM27,"OVERSIZE",INDEX(Inputs!$F$5:$F$14,MATCH(L27/Inputs!$B$10,AD27:AM27,1)+1))))</f>
        <v/>
      </c>
      <c r="P27" s="4" t="n"/>
      <c r="Q27" s="4">
        <f>IF(A27="","",IF(P27="",O27,P27))</f>
        <v/>
      </c>
      <c r="R27" s="8">
        <f>IF(OR(Q27="",Q27="OVERSIZE"),"",Q27/1000)</f>
        <v/>
      </c>
      <c r="S27" s="8">
        <f>IF(R27="","",(1/Inputs!$B$9)*(PI()*R27^2/4)*((R27/4)^(2/3))*SQRT(N27))</f>
        <v/>
      </c>
      <c r="T27" s="8">
        <f>IF(OR(S27="",L27=""),"",L27/(S27*Inputs!$B$10))</f>
        <v/>
      </c>
      <c r="U27" s="8">
        <f>IF(OR(R27="",L27=""),"",4*L27/(PI()*R27^2))</f>
        <v/>
      </c>
      <c r="V27" s="8" t="n"/>
      <c r="W27" s="8">
        <f>IF(A27="","",IF(A27=Inputs!$B$6,Inputs!$B$22,IF(B27="","",IFERROR(INDEX($X$4:$X$203,MATCH(B27,$A$4:$A$203,0))+IF(V27="",Inputs!$B$20,V27),""))))</f>
        <v/>
      </c>
      <c r="X27" s="8">
        <f>IF(OR(W27="",N27="",C27=""),"",W27+N27*C27)</f>
        <v/>
      </c>
      <c r="Y27" s="8" t="n"/>
      <c r="Z27" s="8" t="n"/>
      <c r="AA27" s="8">
        <f>IF(OR(Y27="",W27=""),"",Y27-W27)</f>
        <v/>
      </c>
      <c r="AB27" s="8">
        <f>IF(OR(Z27="",X27=""),"",Z27-X27)</f>
        <v/>
      </c>
      <c r="AC27" s="4">
        <f>IF(A27="","",IF(OR(T27&gt;1,U27&lt;Inputs!$B$11,U27&gt;Inputs!$B$12,AA27&lt;Inputs!$B$19,AB27&lt;Inputs!$B$19,N27&lt;Inputs!$B$7,N27&gt;Inputs!$B$8),"CHECK","OK"))</f>
        <v/>
      </c>
      <c r="AD27" s="4">
        <f>IF(A27="","",(1/Inputs!$B$9)*(PI()*(Inputs!$F$5/1000)^2/4)*((Inputs!$F$5/1000/4)^(2/3))*SQRT(N27))</f>
        <v/>
      </c>
      <c r="AE27" s="4">
        <f>IF(A27="","",(1/Inputs!$B$9)*(PI()*(Inputs!$F$6/1000)^2/4)*((Inputs!$F$6/1000/4)^(2/3))*SQRT(N27))</f>
        <v/>
      </c>
      <c r="AF27" s="4">
        <f>IF(A27="","",(1/Inputs!$B$9)*(PI()*(Inputs!$F$7/1000)^2/4)*((Inputs!$F$7/1000/4)^(2/3))*SQRT(N27))</f>
        <v/>
      </c>
      <c r="AG27" s="4">
        <f>IF(A27="","",(1/Inputs!$B$9)*(PI()*(Inputs!$F$8/1000)^2/4)*((Inputs!$F$8/1000/4)^(2/3))*SQRT(N27))</f>
        <v/>
      </c>
      <c r="AH27" s="4">
        <f>IF(A27="","",(1/Inputs!$B$9)*(PI()*(Inputs!$F$9/1000)^2/4)*((Inputs!$F$9/1000/4)^(2/3))*SQRT(N27))</f>
        <v/>
      </c>
      <c r="AI27" s="4">
        <f>IF(A27="","",(1/Inputs!$B$9)*(PI()*(Inputs!$F$10/1000)^2/4)*((Inputs!$F$10/1000/4)^(2/3))*SQRT(N27))</f>
        <v/>
      </c>
      <c r="AJ27" s="4">
        <f>IF(A27="","",(1/Inputs!$B$9)*(PI()*(Inputs!$F$11/1000)^2/4)*((Inputs!$F$11/1000/4)^(2/3))*SQRT(N27))</f>
        <v/>
      </c>
      <c r="AK27" s="4">
        <f>IF(A27="","",(1/Inputs!$B$9)*(PI()*(Inputs!$F$12/1000)^2/4)*((Inputs!$F$12/1000/4)^(2/3))*SQRT(N27))</f>
        <v/>
      </c>
      <c r="AL27" s="4">
        <f>IF(A27="","",(1/Inputs!$B$9)*(PI()*(Inputs!$F$13/1000)^2/4)*((Inputs!$F$13/1000/4)^(2/3))*SQRT(N27))</f>
        <v/>
      </c>
      <c r="AM27" s="4">
        <f>IF(A27="","",(1/Inputs!$B$9)*(PI()*(Inputs!$F$14/1000)^2/4)*((Inputs!$F$14/1000/4)^(2/3))*SQRT(N27))</f>
        <v/>
      </c>
    </row>
    <row r="28">
      <c r="A28" s="4" t="n"/>
      <c r="B28" s="4" t="n"/>
      <c r="C28" s="8" t="n"/>
      <c r="D28" s="8" t="n"/>
      <c r="E28" s="8">
        <f>SUMIFS(CB_Tributaires!$C:$C,CB_Tributaires!$B:$B,$A28)</f>
        <v/>
      </c>
      <c r="F28" s="8">
        <f>IF(D28="",E28,D28)</f>
        <v/>
      </c>
      <c r="G28" s="4" t="n"/>
      <c r="H28" s="8" t="n"/>
      <c r="I28" s="8">
        <f>IF(A28="","",Inputs!$B$13/((IF(H28="",Inputs!$B$18,H28)+Inputs!$B$14)^Inputs!$B$15))</f>
        <v/>
      </c>
      <c r="J28" s="8">
        <f>IF(A28="","",0.00278*IF(G28="",Inputs!$B$17,G28)*F28*I28)</f>
        <v/>
      </c>
      <c r="K28" s="8">
        <f>IF(A28="","",SUMIFS($L$4:$L$203,$B$4:$B$203,$A28))</f>
        <v/>
      </c>
      <c r="L28" s="8">
        <f>IF(A28="","",(J28+K28)*Inputs!$B$16)</f>
        <v/>
      </c>
      <c r="M28" s="8" t="n"/>
      <c r="N28" s="8">
        <f>IF(A28="","",IF(M28="",Inputs!$B$7,M28))</f>
        <v/>
      </c>
      <c r="O28" s="4">
        <f>IF(A28="","",IF(L28/Inputs!$B$10&lt;=AD28,Inputs!$F$5,IF(L28/Inputs!$B$10&gt;AM28,"OVERSIZE",INDEX(Inputs!$F$5:$F$14,MATCH(L28/Inputs!$B$10,AD28:AM28,1)+1))))</f>
        <v/>
      </c>
      <c r="P28" s="4" t="n"/>
      <c r="Q28" s="4">
        <f>IF(A28="","",IF(P28="",O28,P28))</f>
        <v/>
      </c>
      <c r="R28" s="8">
        <f>IF(OR(Q28="",Q28="OVERSIZE"),"",Q28/1000)</f>
        <v/>
      </c>
      <c r="S28" s="8">
        <f>IF(R28="","",(1/Inputs!$B$9)*(PI()*R28^2/4)*((R28/4)^(2/3))*SQRT(N28))</f>
        <v/>
      </c>
      <c r="T28" s="8">
        <f>IF(OR(S28="",L28=""),"",L28/(S28*Inputs!$B$10))</f>
        <v/>
      </c>
      <c r="U28" s="8">
        <f>IF(OR(R28="",L28=""),"",4*L28/(PI()*R28^2))</f>
        <v/>
      </c>
      <c r="V28" s="8" t="n"/>
      <c r="W28" s="8">
        <f>IF(A28="","",IF(A28=Inputs!$B$6,Inputs!$B$22,IF(B28="","",IFERROR(INDEX($X$4:$X$203,MATCH(B28,$A$4:$A$203,0))+IF(V28="",Inputs!$B$20,V28),""))))</f>
        <v/>
      </c>
      <c r="X28" s="8">
        <f>IF(OR(W28="",N28="",C28=""),"",W28+N28*C28)</f>
        <v/>
      </c>
      <c r="Y28" s="8" t="n"/>
      <c r="Z28" s="8" t="n"/>
      <c r="AA28" s="8">
        <f>IF(OR(Y28="",W28=""),"",Y28-W28)</f>
        <v/>
      </c>
      <c r="AB28" s="8">
        <f>IF(OR(Z28="",X28=""),"",Z28-X28)</f>
        <v/>
      </c>
      <c r="AC28" s="4">
        <f>IF(A28="","",IF(OR(T28&gt;1,U28&lt;Inputs!$B$11,U28&gt;Inputs!$B$12,AA28&lt;Inputs!$B$19,AB28&lt;Inputs!$B$19,N28&lt;Inputs!$B$7,N28&gt;Inputs!$B$8),"CHECK","OK"))</f>
        <v/>
      </c>
      <c r="AD28" s="4">
        <f>IF(A28="","",(1/Inputs!$B$9)*(PI()*(Inputs!$F$5/1000)^2/4)*((Inputs!$F$5/1000/4)^(2/3))*SQRT(N28))</f>
        <v/>
      </c>
      <c r="AE28" s="4">
        <f>IF(A28="","",(1/Inputs!$B$9)*(PI()*(Inputs!$F$6/1000)^2/4)*((Inputs!$F$6/1000/4)^(2/3))*SQRT(N28))</f>
        <v/>
      </c>
      <c r="AF28" s="4">
        <f>IF(A28="","",(1/Inputs!$B$9)*(PI()*(Inputs!$F$7/1000)^2/4)*((Inputs!$F$7/1000/4)^(2/3))*SQRT(N28))</f>
        <v/>
      </c>
      <c r="AG28" s="4">
        <f>IF(A28="","",(1/Inputs!$B$9)*(PI()*(Inputs!$F$8/1000)^2/4)*((Inputs!$F$8/1000/4)^(2/3))*SQRT(N28))</f>
        <v/>
      </c>
      <c r="AH28" s="4">
        <f>IF(A28="","",(1/Inputs!$B$9)*(PI()*(Inputs!$F$9/1000)^2/4)*((Inputs!$F$9/1000/4)^(2/3))*SQRT(N28))</f>
        <v/>
      </c>
      <c r="AI28" s="4">
        <f>IF(A28="","",(1/Inputs!$B$9)*(PI()*(Inputs!$F$10/1000)^2/4)*((Inputs!$F$10/1000/4)^(2/3))*SQRT(N28))</f>
        <v/>
      </c>
      <c r="AJ28" s="4">
        <f>IF(A28="","",(1/Inputs!$B$9)*(PI()*(Inputs!$F$11/1000)^2/4)*((Inputs!$F$11/1000/4)^(2/3))*SQRT(N28))</f>
        <v/>
      </c>
      <c r="AK28" s="4">
        <f>IF(A28="","",(1/Inputs!$B$9)*(PI()*(Inputs!$F$12/1000)^2/4)*((Inputs!$F$12/1000/4)^(2/3))*SQRT(N28))</f>
        <v/>
      </c>
      <c r="AL28" s="4">
        <f>IF(A28="","",(1/Inputs!$B$9)*(PI()*(Inputs!$F$13/1000)^2/4)*((Inputs!$F$13/1000/4)^(2/3))*SQRT(N28))</f>
        <v/>
      </c>
      <c r="AM28" s="4">
        <f>IF(A28="","",(1/Inputs!$B$9)*(PI()*(Inputs!$F$14/1000)^2/4)*((Inputs!$F$14/1000/4)^(2/3))*SQRT(N28))</f>
        <v/>
      </c>
    </row>
    <row r="29">
      <c r="A29" s="4" t="n"/>
      <c r="B29" s="4" t="n"/>
      <c r="C29" s="8" t="n"/>
      <c r="D29" s="8" t="n"/>
      <c r="E29" s="8">
        <f>SUMIFS(CB_Tributaires!$C:$C,CB_Tributaires!$B:$B,$A29)</f>
        <v/>
      </c>
      <c r="F29" s="8">
        <f>IF(D29="",E29,D29)</f>
        <v/>
      </c>
      <c r="G29" s="4" t="n"/>
      <c r="H29" s="8" t="n"/>
      <c r="I29" s="8">
        <f>IF(A29="","",Inputs!$B$13/((IF(H29="",Inputs!$B$18,H29)+Inputs!$B$14)^Inputs!$B$15))</f>
        <v/>
      </c>
      <c r="J29" s="8">
        <f>IF(A29="","",0.00278*IF(G29="",Inputs!$B$17,G29)*F29*I29)</f>
        <v/>
      </c>
      <c r="K29" s="8">
        <f>IF(A29="","",SUMIFS($L$4:$L$203,$B$4:$B$203,$A29))</f>
        <v/>
      </c>
      <c r="L29" s="8">
        <f>IF(A29="","",(J29+K29)*Inputs!$B$16)</f>
        <v/>
      </c>
      <c r="M29" s="8" t="n"/>
      <c r="N29" s="8">
        <f>IF(A29="","",IF(M29="",Inputs!$B$7,M29))</f>
        <v/>
      </c>
      <c r="O29" s="4">
        <f>IF(A29="","",IF(L29/Inputs!$B$10&lt;=AD29,Inputs!$F$5,IF(L29/Inputs!$B$10&gt;AM29,"OVERSIZE",INDEX(Inputs!$F$5:$F$14,MATCH(L29/Inputs!$B$10,AD29:AM29,1)+1))))</f>
        <v/>
      </c>
      <c r="P29" s="4" t="n"/>
      <c r="Q29" s="4">
        <f>IF(A29="","",IF(P29="",O29,P29))</f>
        <v/>
      </c>
      <c r="R29" s="8">
        <f>IF(OR(Q29="",Q29="OVERSIZE"),"",Q29/1000)</f>
        <v/>
      </c>
      <c r="S29" s="8">
        <f>IF(R29="","",(1/Inputs!$B$9)*(PI()*R29^2/4)*((R29/4)^(2/3))*SQRT(N29))</f>
        <v/>
      </c>
      <c r="T29" s="8">
        <f>IF(OR(S29="",L29=""),"",L29/(S29*Inputs!$B$10))</f>
        <v/>
      </c>
      <c r="U29" s="8">
        <f>IF(OR(R29="",L29=""),"",4*L29/(PI()*R29^2))</f>
        <v/>
      </c>
      <c r="V29" s="8" t="n"/>
      <c r="W29" s="8">
        <f>IF(A29="","",IF(A29=Inputs!$B$6,Inputs!$B$22,IF(B29="","",IFERROR(INDEX($X$4:$X$203,MATCH(B29,$A$4:$A$203,0))+IF(V29="",Inputs!$B$20,V29),""))))</f>
        <v/>
      </c>
      <c r="X29" s="8">
        <f>IF(OR(W29="",N29="",C29=""),"",W29+N29*C29)</f>
        <v/>
      </c>
      <c r="Y29" s="8" t="n"/>
      <c r="Z29" s="8" t="n"/>
      <c r="AA29" s="8">
        <f>IF(OR(Y29="",W29=""),"",Y29-W29)</f>
        <v/>
      </c>
      <c r="AB29" s="8">
        <f>IF(OR(Z29="",X29=""),"",Z29-X29)</f>
        <v/>
      </c>
      <c r="AC29" s="4">
        <f>IF(A29="","",IF(OR(T29&gt;1,U29&lt;Inputs!$B$11,U29&gt;Inputs!$B$12,AA29&lt;Inputs!$B$19,AB29&lt;Inputs!$B$19,N29&lt;Inputs!$B$7,N29&gt;Inputs!$B$8),"CHECK","OK"))</f>
        <v/>
      </c>
      <c r="AD29" s="4">
        <f>IF(A29="","",(1/Inputs!$B$9)*(PI()*(Inputs!$F$5/1000)^2/4)*((Inputs!$F$5/1000/4)^(2/3))*SQRT(N29))</f>
        <v/>
      </c>
      <c r="AE29" s="4">
        <f>IF(A29="","",(1/Inputs!$B$9)*(PI()*(Inputs!$F$6/1000)^2/4)*((Inputs!$F$6/1000/4)^(2/3))*SQRT(N29))</f>
        <v/>
      </c>
      <c r="AF29" s="4">
        <f>IF(A29="","",(1/Inputs!$B$9)*(PI()*(Inputs!$F$7/1000)^2/4)*((Inputs!$F$7/1000/4)^(2/3))*SQRT(N29))</f>
        <v/>
      </c>
      <c r="AG29" s="4">
        <f>IF(A29="","",(1/Inputs!$B$9)*(PI()*(Inputs!$F$8/1000)^2/4)*((Inputs!$F$8/1000/4)^(2/3))*SQRT(N29))</f>
        <v/>
      </c>
      <c r="AH29" s="4">
        <f>IF(A29="","",(1/Inputs!$B$9)*(PI()*(Inputs!$F$9/1000)^2/4)*((Inputs!$F$9/1000/4)^(2/3))*SQRT(N29))</f>
        <v/>
      </c>
      <c r="AI29" s="4">
        <f>IF(A29="","",(1/Inputs!$B$9)*(PI()*(Inputs!$F$10/1000)^2/4)*((Inputs!$F$10/1000/4)^(2/3))*SQRT(N29))</f>
        <v/>
      </c>
      <c r="AJ29" s="4">
        <f>IF(A29="","",(1/Inputs!$B$9)*(PI()*(Inputs!$F$11/1000)^2/4)*((Inputs!$F$11/1000/4)^(2/3))*SQRT(N29))</f>
        <v/>
      </c>
      <c r="AK29" s="4">
        <f>IF(A29="","",(1/Inputs!$B$9)*(PI()*(Inputs!$F$12/1000)^2/4)*((Inputs!$F$12/1000/4)^(2/3))*SQRT(N29))</f>
        <v/>
      </c>
      <c r="AL29" s="4">
        <f>IF(A29="","",(1/Inputs!$B$9)*(PI()*(Inputs!$F$13/1000)^2/4)*((Inputs!$F$13/1000/4)^(2/3))*SQRT(N29))</f>
        <v/>
      </c>
      <c r="AM29" s="4">
        <f>IF(A29="","",(1/Inputs!$B$9)*(PI()*(Inputs!$F$14/1000)^2/4)*((Inputs!$F$14/1000/4)^(2/3))*SQRT(N29))</f>
        <v/>
      </c>
    </row>
    <row r="30">
      <c r="A30" s="4" t="n"/>
      <c r="B30" s="4" t="n"/>
      <c r="C30" s="8" t="n"/>
      <c r="D30" s="8" t="n"/>
      <c r="E30" s="8">
        <f>SUMIFS(CB_Tributaires!$C:$C,CB_Tributaires!$B:$B,$A30)</f>
        <v/>
      </c>
      <c r="F30" s="8">
        <f>IF(D30="",E30,D30)</f>
        <v/>
      </c>
      <c r="G30" s="4" t="n"/>
      <c r="H30" s="8" t="n"/>
      <c r="I30" s="8">
        <f>IF(A30="","",Inputs!$B$13/((IF(H30="",Inputs!$B$18,H30)+Inputs!$B$14)^Inputs!$B$15))</f>
        <v/>
      </c>
      <c r="J30" s="8">
        <f>IF(A30="","",0.00278*IF(G30="",Inputs!$B$17,G30)*F30*I30)</f>
        <v/>
      </c>
      <c r="K30" s="8">
        <f>IF(A30="","",SUMIFS($L$4:$L$203,$B$4:$B$203,$A30))</f>
        <v/>
      </c>
      <c r="L30" s="8">
        <f>IF(A30="","",(J30+K30)*Inputs!$B$16)</f>
        <v/>
      </c>
      <c r="M30" s="8" t="n"/>
      <c r="N30" s="8">
        <f>IF(A30="","",IF(M30="",Inputs!$B$7,M30))</f>
        <v/>
      </c>
      <c r="O30" s="4">
        <f>IF(A30="","",IF(L30/Inputs!$B$10&lt;=AD30,Inputs!$F$5,IF(L30/Inputs!$B$10&gt;AM30,"OVERSIZE",INDEX(Inputs!$F$5:$F$14,MATCH(L30/Inputs!$B$10,AD30:AM30,1)+1))))</f>
        <v/>
      </c>
      <c r="P30" s="4" t="n"/>
      <c r="Q30" s="4">
        <f>IF(A30="","",IF(P30="",O30,P30))</f>
        <v/>
      </c>
      <c r="R30" s="8">
        <f>IF(OR(Q30="",Q30="OVERSIZE"),"",Q30/1000)</f>
        <v/>
      </c>
      <c r="S30" s="8">
        <f>IF(R30="","",(1/Inputs!$B$9)*(PI()*R30^2/4)*((R30/4)^(2/3))*SQRT(N30))</f>
        <v/>
      </c>
      <c r="T30" s="8">
        <f>IF(OR(S30="",L30=""),"",L30/(S30*Inputs!$B$10))</f>
        <v/>
      </c>
      <c r="U30" s="8">
        <f>IF(OR(R30="",L30=""),"",4*L30/(PI()*R30^2))</f>
        <v/>
      </c>
      <c r="V30" s="8" t="n"/>
      <c r="W30" s="8">
        <f>IF(A30="","",IF(A30=Inputs!$B$6,Inputs!$B$22,IF(B30="","",IFERROR(INDEX($X$4:$X$203,MATCH(B30,$A$4:$A$203,0))+IF(V30="",Inputs!$B$20,V30),""))))</f>
        <v/>
      </c>
      <c r="X30" s="8">
        <f>IF(OR(W30="",N30="",C30=""),"",W30+N30*C30)</f>
        <v/>
      </c>
      <c r="Y30" s="8" t="n"/>
      <c r="Z30" s="8" t="n"/>
      <c r="AA30" s="8">
        <f>IF(OR(Y30="",W30=""),"",Y30-W30)</f>
        <v/>
      </c>
      <c r="AB30" s="8">
        <f>IF(OR(Z30="",X30=""),"",Z30-X30)</f>
        <v/>
      </c>
      <c r="AC30" s="4">
        <f>IF(A30="","",IF(OR(T30&gt;1,U30&lt;Inputs!$B$11,U30&gt;Inputs!$B$12,AA30&lt;Inputs!$B$19,AB30&lt;Inputs!$B$19,N30&lt;Inputs!$B$7,N30&gt;Inputs!$B$8),"CHECK","OK"))</f>
        <v/>
      </c>
      <c r="AD30" s="4">
        <f>IF(A30="","",(1/Inputs!$B$9)*(PI()*(Inputs!$F$5/1000)^2/4)*((Inputs!$F$5/1000/4)^(2/3))*SQRT(N30))</f>
        <v/>
      </c>
      <c r="AE30" s="4">
        <f>IF(A30="","",(1/Inputs!$B$9)*(PI()*(Inputs!$F$6/1000)^2/4)*((Inputs!$F$6/1000/4)^(2/3))*SQRT(N30))</f>
        <v/>
      </c>
      <c r="AF30" s="4">
        <f>IF(A30="","",(1/Inputs!$B$9)*(PI()*(Inputs!$F$7/1000)^2/4)*((Inputs!$F$7/1000/4)^(2/3))*SQRT(N30))</f>
        <v/>
      </c>
      <c r="AG30" s="4">
        <f>IF(A30="","",(1/Inputs!$B$9)*(PI()*(Inputs!$F$8/1000)^2/4)*((Inputs!$F$8/1000/4)^(2/3))*SQRT(N30))</f>
        <v/>
      </c>
      <c r="AH30" s="4">
        <f>IF(A30="","",(1/Inputs!$B$9)*(PI()*(Inputs!$F$9/1000)^2/4)*((Inputs!$F$9/1000/4)^(2/3))*SQRT(N30))</f>
        <v/>
      </c>
      <c r="AI30" s="4">
        <f>IF(A30="","",(1/Inputs!$B$9)*(PI()*(Inputs!$F$10/1000)^2/4)*((Inputs!$F$10/1000/4)^(2/3))*SQRT(N30))</f>
        <v/>
      </c>
      <c r="AJ30" s="4">
        <f>IF(A30="","",(1/Inputs!$B$9)*(PI()*(Inputs!$F$11/1000)^2/4)*((Inputs!$F$11/1000/4)^(2/3))*SQRT(N30))</f>
        <v/>
      </c>
      <c r="AK30" s="4">
        <f>IF(A30="","",(1/Inputs!$B$9)*(PI()*(Inputs!$F$12/1000)^2/4)*((Inputs!$F$12/1000/4)^(2/3))*SQRT(N30))</f>
        <v/>
      </c>
      <c r="AL30" s="4">
        <f>IF(A30="","",(1/Inputs!$B$9)*(PI()*(Inputs!$F$13/1000)^2/4)*((Inputs!$F$13/1000/4)^(2/3))*SQRT(N30))</f>
        <v/>
      </c>
      <c r="AM30" s="4">
        <f>IF(A30="","",(1/Inputs!$B$9)*(PI()*(Inputs!$F$14/1000)^2/4)*((Inputs!$F$14/1000/4)^(2/3))*SQRT(N30))</f>
        <v/>
      </c>
    </row>
    <row r="31">
      <c r="A31" s="4" t="n"/>
      <c r="B31" s="4" t="n"/>
      <c r="C31" s="8" t="n"/>
      <c r="D31" s="8" t="n"/>
      <c r="E31" s="8">
        <f>SUMIFS(CB_Tributaires!$C:$C,CB_Tributaires!$B:$B,$A31)</f>
        <v/>
      </c>
      <c r="F31" s="8">
        <f>IF(D31="",E31,D31)</f>
        <v/>
      </c>
      <c r="G31" s="4" t="n"/>
      <c r="H31" s="8" t="n"/>
      <c r="I31" s="8">
        <f>IF(A31="","",Inputs!$B$13/((IF(H31="",Inputs!$B$18,H31)+Inputs!$B$14)^Inputs!$B$15))</f>
        <v/>
      </c>
      <c r="J31" s="8">
        <f>IF(A31="","",0.00278*IF(G31="",Inputs!$B$17,G31)*F31*I31)</f>
        <v/>
      </c>
      <c r="K31" s="8">
        <f>IF(A31="","",SUMIFS($L$4:$L$203,$B$4:$B$203,$A31))</f>
        <v/>
      </c>
      <c r="L31" s="8">
        <f>IF(A31="","",(J31+K31)*Inputs!$B$16)</f>
        <v/>
      </c>
      <c r="M31" s="8" t="n"/>
      <c r="N31" s="8">
        <f>IF(A31="","",IF(M31="",Inputs!$B$7,M31))</f>
        <v/>
      </c>
      <c r="O31" s="4">
        <f>IF(A31="","",IF(L31/Inputs!$B$10&lt;=AD31,Inputs!$F$5,IF(L31/Inputs!$B$10&gt;AM31,"OVERSIZE",INDEX(Inputs!$F$5:$F$14,MATCH(L31/Inputs!$B$10,AD31:AM31,1)+1))))</f>
        <v/>
      </c>
      <c r="P31" s="4" t="n"/>
      <c r="Q31" s="4">
        <f>IF(A31="","",IF(P31="",O31,P31))</f>
        <v/>
      </c>
      <c r="R31" s="8">
        <f>IF(OR(Q31="",Q31="OVERSIZE"),"",Q31/1000)</f>
        <v/>
      </c>
      <c r="S31" s="8">
        <f>IF(R31="","",(1/Inputs!$B$9)*(PI()*R31^2/4)*((R31/4)^(2/3))*SQRT(N31))</f>
        <v/>
      </c>
      <c r="T31" s="8">
        <f>IF(OR(S31="",L31=""),"",L31/(S31*Inputs!$B$10))</f>
        <v/>
      </c>
      <c r="U31" s="8">
        <f>IF(OR(R31="",L31=""),"",4*L31/(PI()*R31^2))</f>
        <v/>
      </c>
      <c r="V31" s="8" t="n"/>
      <c r="W31" s="8">
        <f>IF(A31="","",IF(A31=Inputs!$B$6,Inputs!$B$22,IF(B31="","",IFERROR(INDEX($X$4:$X$203,MATCH(B31,$A$4:$A$203,0))+IF(V31="",Inputs!$B$20,V31),""))))</f>
        <v/>
      </c>
      <c r="X31" s="8">
        <f>IF(OR(W31="",N31="",C31=""),"",W31+N31*C31)</f>
        <v/>
      </c>
      <c r="Y31" s="8" t="n"/>
      <c r="Z31" s="8" t="n"/>
      <c r="AA31" s="8">
        <f>IF(OR(Y31="",W31=""),"",Y31-W31)</f>
        <v/>
      </c>
      <c r="AB31" s="8">
        <f>IF(OR(Z31="",X31=""),"",Z31-X31)</f>
        <v/>
      </c>
      <c r="AC31" s="4">
        <f>IF(A31="","",IF(OR(T31&gt;1,U31&lt;Inputs!$B$11,U31&gt;Inputs!$B$12,AA31&lt;Inputs!$B$19,AB31&lt;Inputs!$B$19,N31&lt;Inputs!$B$7,N31&gt;Inputs!$B$8),"CHECK","OK"))</f>
        <v/>
      </c>
      <c r="AD31" s="4">
        <f>IF(A31="","",(1/Inputs!$B$9)*(PI()*(Inputs!$F$5/1000)^2/4)*((Inputs!$F$5/1000/4)^(2/3))*SQRT(N31))</f>
        <v/>
      </c>
      <c r="AE31" s="4">
        <f>IF(A31="","",(1/Inputs!$B$9)*(PI()*(Inputs!$F$6/1000)^2/4)*((Inputs!$F$6/1000/4)^(2/3))*SQRT(N31))</f>
        <v/>
      </c>
      <c r="AF31" s="4">
        <f>IF(A31="","",(1/Inputs!$B$9)*(PI()*(Inputs!$F$7/1000)^2/4)*((Inputs!$F$7/1000/4)^(2/3))*SQRT(N31))</f>
        <v/>
      </c>
      <c r="AG31" s="4">
        <f>IF(A31="","",(1/Inputs!$B$9)*(PI()*(Inputs!$F$8/1000)^2/4)*((Inputs!$F$8/1000/4)^(2/3))*SQRT(N31))</f>
        <v/>
      </c>
      <c r="AH31" s="4">
        <f>IF(A31="","",(1/Inputs!$B$9)*(PI()*(Inputs!$F$9/1000)^2/4)*((Inputs!$F$9/1000/4)^(2/3))*SQRT(N31))</f>
        <v/>
      </c>
      <c r="AI31" s="4">
        <f>IF(A31="","",(1/Inputs!$B$9)*(PI()*(Inputs!$F$10/1000)^2/4)*((Inputs!$F$10/1000/4)^(2/3))*SQRT(N31))</f>
        <v/>
      </c>
      <c r="AJ31" s="4">
        <f>IF(A31="","",(1/Inputs!$B$9)*(PI()*(Inputs!$F$11/1000)^2/4)*((Inputs!$F$11/1000/4)^(2/3))*SQRT(N31))</f>
        <v/>
      </c>
      <c r="AK31" s="4">
        <f>IF(A31="","",(1/Inputs!$B$9)*(PI()*(Inputs!$F$12/1000)^2/4)*((Inputs!$F$12/1000/4)^(2/3))*SQRT(N31))</f>
        <v/>
      </c>
      <c r="AL31" s="4">
        <f>IF(A31="","",(1/Inputs!$B$9)*(PI()*(Inputs!$F$13/1000)^2/4)*((Inputs!$F$13/1000/4)^(2/3))*SQRT(N31))</f>
        <v/>
      </c>
      <c r="AM31" s="4">
        <f>IF(A31="","",(1/Inputs!$B$9)*(PI()*(Inputs!$F$14/1000)^2/4)*((Inputs!$F$14/1000/4)^(2/3))*SQRT(N31))</f>
        <v/>
      </c>
    </row>
    <row r="32">
      <c r="A32" s="4" t="n"/>
      <c r="B32" s="4" t="n"/>
      <c r="C32" s="8" t="n"/>
      <c r="D32" s="8" t="n"/>
      <c r="E32" s="8">
        <f>SUMIFS(CB_Tributaires!$C:$C,CB_Tributaires!$B:$B,$A32)</f>
        <v/>
      </c>
      <c r="F32" s="8">
        <f>IF(D32="",E32,D32)</f>
        <v/>
      </c>
      <c r="G32" s="4" t="n"/>
      <c r="H32" s="8" t="n"/>
      <c r="I32" s="8">
        <f>IF(A32="","",Inputs!$B$13/((IF(H32="",Inputs!$B$18,H32)+Inputs!$B$14)^Inputs!$B$15))</f>
        <v/>
      </c>
      <c r="J32" s="8">
        <f>IF(A32="","",0.00278*IF(G32="",Inputs!$B$17,G32)*F32*I32)</f>
        <v/>
      </c>
      <c r="K32" s="8">
        <f>IF(A32="","",SUMIFS($L$4:$L$203,$B$4:$B$203,$A32))</f>
        <v/>
      </c>
      <c r="L32" s="8">
        <f>IF(A32="","",(J32+K32)*Inputs!$B$16)</f>
        <v/>
      </c>
      <c r="M32" s="8" t="n"/>
      <c r="N32" s="8">
        <f>IF(A32="","",IF(M32="",Inputs!$B$7,M32))</f>
        <v/>
      </c>
      <c r="O32" s="4">
        <f>IF(A32="","",IF(L32/Inputs!$B$10&lt;=AD32,Inputs!$F$5,IF(L32/Inputs!$B$10&gt;AM32,"OVERSIZE",INDEX(Inputs!$F$5:$F$14,MATCH(L32/Inputs!$B$10,AD32:AM32,1)+1))))</f>
        <v/>
      </c>
      <c r="P32" s="4" t="n"/>
      <c r="Q32" s="4">
        <f>IF(A32="","",IF(P32="",O32,P32))</f>
        <v/>
      </c>
      <c r="R32" s="8">
        <f>IF(OR(Q32="",Q32="OVERSIZE"),"",Q32/1000)</f>
        <v/>
      </c>
      <c r="S32" s="8">
        <f>IF(R32="","",(1/Inputs!$B$9)*(PI()*R32^2/4)*((R32/4)^(2/3))*SQRT(N32))</f>
        <v/>
      </c>
      <c r="T32" s="8">
        <f>IF(OR(S32="",L32=""),"",L32/(S32*Inputs!$B$10))</f>
        <v/>
      </c>
      <c r="U32" s="8">
        <f>IF(OR(R32="",L32=""),"",4*L32/(PI()*R32^2))</f>
        <v/>
      </c>
      <c r="V32" s="8" t="n"/>
      <c r="W32" s="8">
        <f>IF(A32="","",IF(A32=Inputs!$B$6,Inputs!$B$22,IF(B32="","",IFERROR(INDEX($X$4:$X$203,MATCH(B32,$A$4:$A$203,0))+IF(V32="",Inputs!$B$20,V32),""))))</f>
        <v/>
      </c>
      <c r="X32" s="8">
        <f>IF(OR(W32="",N32="",C32=""),"",W32+N32*C32)</f>
        <v/>
      </c>
      <c r="Y32" s="8" t="n"/>
      <c r="Z32" s="8" t="n"/>
      <c r="AA32" s="8">
        <f>IF(OR(Y32="",W32=""),"",Y32-W32)</f>
        <v/>
      </c>
      <c r="AB32" s="8">
        <f>IF(OR(Z32="",X32=""),"",Z32-X32)</f>
        <v/>
      </c>
      <c r="AC32" s="4">
        <f>IF(A32="","",IF(OR(T32&gt;1,U32&lt;Inputs!$B$11,U32&gt;Inputs!$B$12,AA32&lt;Inputs!$B$19,AB32&lt;Inputs!$B$19,N32&lt;Inputs!$B$7,N32&gt;Inputs!$B$8),"CHECK","OK"))</f>
        <v/>
      </c>
      <c r="AD32" s="4">
        <f>IF(A32="","",(1/Inputs!$B$9)*(PI()*(Inputs!$F$5/1000)^2/4)*((Inputs!$F$5/1000/4)^(2/3))*SQRT(N32))</f>
        <v/>
      </c>
      <c r="AE32" s="4">
        <f>IF(A32="","",(1/Inputs!$B$9)*(PI()*(Inputs!$F$6/1000)^2/4)*((Inputs!$F$6/1000/4)^(2/3))*SQRT(N32))</f>
        <v/>
      </c>
      <c r="AF32" s="4">
        <f>IF(A32="","",(1/Inputs!$B$9)*(PI()*(Inputs!$F$7/1000)^2/4)*((Inputs!$F$7/1000/4)^(2/3))*SQRT(N32))</f>
        <v/>
      </c>
      <c r="AG32" s="4">
        <f>IF(A32="","",(1/Inputs!$B$9)*(PI()*(Inputs!$F$8/1000)^2/4)*((Inputs!$F$8/1000/4)^(2/3))*SQRT(N32))</f>
        <v/>
      </c>
      <c r="AH32" s="4">
        <f>IF(A32="","",(1/Inputs!$B$9)*(PI()*(Inputs!$F$9/1000)^2/4)*((Inputs!$F$9/1000/4)^(2/3))*SQRT(N32))</f>
        <v/>
      </c>
      <c r="AI32" s="4">
        <f>IF(A32="","",(1/Inputs!$B$9)*(PI()*(Inputs!$F$10/1000)^2/4)*((Inputs!$F$10/1000/4)^(2/3))*SQRT(N32))</f>
        <v/>
      </c>
      <c r="AJ32" s="4">
        <f>IF(A32="","",(1/Inputs!$B$9)*(PI()*(Inputs!$F$11/1000)^2/4)*((Inputs!$F$11/1000/4)^(2/3))*SQRT(N32))</f>
        <v/>
      </c>
      <c r="AK32" s="4">
        <f>IF(A32="","",(1/Inputs!$B$9)*(PI()*(Inputs!$F$12/1000)^2/4)*((Inputs!$F$12/1000/4)^(2/3))*SQRT(N32))</f>
        <v/>
      </c>
      <c r="AL32" s="4">
        <f>IF(A32="","",(1/Inputs!$B$9)*(PI()*(Inputs!$F$13/1000)^2/4)*((Inputs!$F$13/1000/4)^(2/3))*SQRT(N32))</f>
        <v/>
      </c>
      <c r="AM32" s="4">
        <f>IF(A32="","",(1/Inputs!$B$9)*(PI()*(Inputs!$F$14/1000)^2/4)*((Inputs!$F$14/1000/4)^(2/3))*SQRT(N32))</f>
        <v/>
      </c>
    </row>
    <row r="33">
      <c r="A33" s="4" t="n"/>
      <c r="B33" s="4" t="n"/>
      <c r="C33" s="8" t="n"/>
      <c r="D33" s="8" t="n"/>
      <c r="E33" s="8">
        <f>SUMIFS(CB_Tributaires!$C:$C,CB_Tributaires!$B:$B,$A33)</f>
        <v/>
      </c>
      <c r="F33" s="8">
        <f>IF(D33="",E33,D33)</f>
        <v/>
      </c>
      <c r="G33" s="4" t="n"/>
      <c r="H33" s="8" t="n"/>
      <c r="I33" s="8">
        <f>IF(A33="","",Inputs!$B$13/((IF(H33="",Inputs!$B$18,H33)+Inputs!$B$14)^Inputs!$B$15))</f>
        <v/>
      </c>
      <c r="J33" s="8">
        <f>IF(A33="","",0.00278*IF(G33="",Inputs!$B$17,G33)*F33*I33)</f>
        <v/>
      </c>
      <c r="K33" s="8">
        <f>IF(A33="","",SUMIFS($L$4:$L$203,$B$4:$B$203,$A33))</f>
        <v/>
      </c>
      <c r="L33" s="8">
        <f>IF(A33="","",(J33+K33)*Inputs!$B$16)</f>
        <v/>
      </c>
      <c r="M33" s="8" t="n"/>
      <c r="N33" s="8">
        <f>IF(A33="","",IF(M33="",Inputs!$B$7,M33))</f>
        <v/>
      </c>
      <c r="O33" s="4">
        <f>IF(A33="","",IF(L33/Inputs!$B$10&lt;=AD33,Inputs!$F$5,IF(L33/Inputs!$B$10&gt;AM33,"OVERSIZE",INDEX(Inputs!$F$5:$F$14,MATCH(L33/Inputs!$B$10,AD33:AM33,1)+1))))</f>
        <v/>
      </c>
      <c r="P33" s="4" t="n"/>
      <c r="Q33" s="4">
        <f>IF(A33="","",IF(P33="",O33,P33))</f>
        <v/>
      </c>
      <c r="R33" s="8">
        <f>IF(OR(Q33="",Q33="OVERSIZE"),"",Q33/1000)</f>
        <v/>
      </c>
      <c r="S33" s="8">
        <f>IF(R33="","",(1/Inputs!$B$9)*(PI()*R33^2/4)*((R33/4)^(2/3))*SQRT(N33))</f>
        <v/>
      </c>
      <c r="T33" s="8">
        <f>IF(OR(S33="",L33=""),"",L33/(S33*Inputs!$B$10))</f>
        <v/>
      </c>
      <c r="U33" s="8">
        <f>IF(OR(R33="",L33=""),"",4*L33/(PI()*R33^2))</f>
        <v/>
      </c>
      <c r="V33" s="8" t="n"/>
      <c r="W33" s="8">
        <f>IF(A33="","",IF(A33=Inputs!$B$6,Inputs!$B$22,IF(B33="","",IFERROR(INDEX($X$4:$X$203,MATCH(B33,$A$4:$A$203,0))+IF(V33="",Inputs!$B$20,V33),""))))</f>
        <v/>
      </c>
      <c r="X33" s="8">
        <f>IF(OR(W33="",N33="",C33=""),"",W33+N33*C33)</f>
        <v/>
      </c>
      <c r="Y33" s="8" t="n"/>
      <c r="Z33" s="8" t="n"/>
      <c r="AA33" s="8">
        <f>IF(OR(Y33="",W33=""),"",Y33-W33)</f>
        <v/>
      </c>
      <c r="AB33" s="8">
        <f>IF(OR(Z33="",X33=""),"",Z33-X33)</f>
        <v/>
      </c>
      <c r="AC33" s="4">
        <f>IF(A33="","",IF(OR(T33&gt;1,U33&lt;Inputs!$B$11,U33&gt;Inputs!$B$12,AA33&lt;Inputs!$B$19,AB33&lt;Inputs!$B$19,N33&lt;Inputs!$B$7,N33&gt;Inputs!$B$8),"CHECK","OK"))</f>
        <v/>
      </c>
      <c r="AD33" s="4">
        <f>IF(A33="","",(1/Inputs!$B$9)*(PI()*(Inputs!$F$5/1000)^2/4)*((Inputs!$F$5/1000/4)^(2/3))*SQRT(N33))</f>
        <v/>
      </c>
      <c r="AE33" s="4">
        <f>IF(A33="","",(1/Inputs!$B$9)*(PI()*(Inputs!$F$6/1000)^2/4)*((Inputs!$F$6/1000/4)^(2/3))*SQRT(N33))</f>
        <v/>
      </c>
      <c r="AF33" s="4">
        <f>IF(A33="","",(1/Inputs!$B$9)*(PI()*(Inputs!$F$7/1000)^2/4)*((Inputs!$F$7/1000/4)^(2/3))*SQRT(N33))</f>
        <v/>
      </c>
      <c r="AG33" s="4">
        <f>IF(A33="","",(1/Inputs!$B$9)*(PI()*(Inputs!$F$8/1000)^2/4)*((Inputs!$F$8/1000/4)^(2/3))*SQRT(N33))</f>
        <v/>
      </c>
      <c r="AH33" s="4">
        <f>IF(A33="","",(1/Inputs!$B$9)*(PI()*(Inputs!$F$9/1000)^2/4)*((Inputs!$F$9/1000/4)^(2/3))*SQRT(N33))</f>
        <v/>
      </c>
      <c r="AI33" s="4">
        <f>IF(A33="","",(1/Inputs!$B$9)*(PI()*(Inputs!$F$10/1000)^2/4)*((Inputs!$F$10/1000/4)^(2/3))*SQRT(N33))</f>
        <v/>
      </c>
      <c r="AJ33" s="4">
        <f>IF(A33="","",(1/Inputs!$B$9)*(PI()*(Inputs!$F$11/1000)^2/4)*((Inputs!$F$11/1000/4)^(2/3))*SQRT(N33))</f>
        <v/>
      </c>
      <c r="AK33" s="4">
        <f>IF(A33="","",(1/Inputs!$B$9)*(PI()*(Inputs!$F$12/1000)^2/4)*((Inputs!$F$12/1000/4)^(2/3))*SQRT(N33))</f>
        <v/>
      </c>
      <c r="AL33" s="4">
        <f>IF(A33="","",(1/Inputs!$B$9)*(PI()*(Inputs!$F$13/1000)^2/4)*((Inputs!$F$13/1000/4)^(2/3))*SQRT(N33))</f>
        <v/>
      </c>
      <c r="AM33" s="4">
        <f>IF(A33="","",(1/Inputs!$B$9)*(PI()*(Inputs!$F$14/1000)^2/4)*((Inputs!$F$14/1000/4)^(2/3))*SQRT(N33))</f>
        <v/>
      </c>
    </row>
    <row r="34">
      <c r="A34" s="4" t="n"/>
      <c r="B34" s="4" t="n"/>
      <c r="C34" s="8" t="n"/>
      <c r="D34" s="8" t="n"/>
      <c r="E34" s="8">
        <f>SUMIFS(CB_Tributaires!$C:$C,CB_Tributaires!$B:$B,$A34)</f>
        <v/>
      </c>
      <c r="F34" s="8">
        <f>IF(D34="",E34,D34)</f>
        <v/>
      </c>
      <c r="G34" s="4" t="n"/>
      <c r="H34" s="8" t="n"/>
      <c r="I34" s="8">
        <f>IF(A34="","",Inputs!$B$13/((IF(H34="",Inputs!$B$18,H34)+Inputs!$B$14)^Inputs!$B$15))</f>
        <v/>
      </c>
      <c r="J34" s="8">
        <f>IF(A34="","",0.00278*IF(G34="",Inputs!$B$17,G34)*F34*I34)</f>
        <v/>
      </c>
      <c r="K34" s="8">
        <f>IF(A34="","",SUMIFS($L$4:$L$203,$B$4:$B$203,$A34))</f>
        <v/>
      </c>
      <c r="L34" s="8">
        <f>IF(A34="","",(J34+K34)*Inputs!$B$16)</f>
        <v/>
      </c>
      <c r="M34" s="8" t="n"/>
      <c r="N34" s="8">
        <f>IF(A34="","",IF(M34="",Inputs!$B$7,M34))</f>
        <v/>
      </c>
      <c r="O34" s="4">
        <f>IF(A34="","",IF(L34/Inputs!$B$10&lt;=AD34,Inputs!$F$5,IF(L34/Inputs!$B$10&gt;AM34,"OVERSIZE",INDEX(Inputs!$F$5:$F$14,MATCH(L34/Inputs!$B$10,AD34:AM34,1)+1))))</f>
        <v/>
      </c>
      <c r="P34" s="4" t="n"/>
      <c r="Q34" s="4">
        <f>IF(A34="","",IF(P34="",O34,P34))</f>
        <v/>
      </c>
      <c r="R34" s="8">
        <f>IF(OR(Q34="",Q34="OVERSIZE"),"",Q34/1000)</f>
        <v/>
      </c>
      <c r="S34" s="8">
        <f>IF(R34="","",(1/Inputs!$B$9)*(PI()*R34^2/4)*((R34/4)^(2/3))*SQRT(N34))</f>
        <v/>
      </c>
      <c r="T34" s="8">
        <f>IF(OR(S34="",L34=""),"",L34/(S34*Inputs!$B$10))</f>
        <v/>
      </c>
      <c r="U34" s="8">
        <f>IF(OR(R34="",L34=""),"",4*L34/(PI()*R34^2))</f>
        <v/>
      </c>
      <c r="V34" s="8" t="n"/>
      <c r="W34" s="8">
        <f>IF(A34="","",IF(A34=Inputs!$B$6,Inputs!$B$22,IF(B34="","",IFERROR(INDEX($X$4:$X$203,MATCH(B34,$A$4:$A$203,0))+IF(V34="",Inputs!$B$20,V34),""))))</f>
        <v/>
      </c>
      <c r="X34" s="8">
        <f>IF(OR(W34="",N34="",C34=""),"",W34+N34*C34)</f>
        <v/>
      </c>
      <c r="Y34" s="8" t="n"/>
      <c r="Z34" s="8" t="n"/>
      <c r="AA34" s="8">
        <f>IF(OR(Y34="",W34=""),"",Y34-W34)</f>
        <v/>
      </c>
      <c r="AB34" s="8">
        <f>IF(OR(Z34="",X34=""),"",Z34-X34)</f>
        <v/>
      </c>
      <c r="AC34" s="4">
        <f>IF(A34="","",IF(OR(T34&gt;1,U34&lt;Inputs!$B$11,U34&gt;Inputs!$B$12,AA34&lt;Inputs!$B$19,AB34&lt;Inputs!$B$19,N34&lt;Inputs!$B$7,N34&gt;Inputs!$B$8),"CHECK","OK"))</f>
        <v/>
      </c>
      <c r="AD34" s="4">
        <f>IF(A34="","",(1/Inputs!$B$9)*(PI()*(Inputs!$F$5/1000)^2/4)*((Inputs!$F$5/1000/4)^(2/3))*SQRT(N34))</f>
        <v/>
      </c>
      <c r="AE34" s="4">
        <f>IF(A34="","",(1/Inputs!$B$9)*(PI()*(Inputs!$F$6/1000)^2/4)*((Inputs!$F$6/1000/4)^(2/3))*SQRT(N34))</f>
        <v/>
      </c>
      <c r="AF34" s="4">
        <f>IF(A34="","",(1/Inputs!$B$9)*(PI()*(Inputs!$F$7/1000)^2/4)*((Inputs!$F$7/1000/4)^(2/3))*SQRT(N34))</f>
        <v/>
      </c>
      <c r="AG34" s="4">
        <f>IF(A34="","",(1/Inputs!$B$9)*(PI()*(Inputs!$F$8/1000)^2/4)*((Inputs!$F$8/1000/4)^(2/3))*SQRT(N34))</f>
        <v/>
      </c>
      <c r="AH34" s="4">
        <f>IF(A34="","",(1/Inputs!$B$9)*(PI()*(Inputs!$F$9/1000)^2/4)*((Inputs!$F$9/1000/4)^(2/3))*SQRT(N34))</f>
        <v/>
      </c>
      <c r="AI34" s="4">
        <f>IF(A34="","",(1/Inputs!$B$9)*(PI()*(Inputs!$F$10/1000)^2/4)*((Inputs!$F$10/1000/4)^(2/3))*SQRT(N34))</f>
        <v/>
      </c>
      <c r="AJ34" s="4">
        <f>IF(A34="","",(1/Inputs!$B$9)*(PI()*(Inputs!$F$11/1000)^2/4)*((Inputs!$F$11/1000/4)^(2/3))*SQRT(N34))</f>
        <v/>
      </c>
      <c r="AK34" s="4">
        <f>IF(A34="","",(1/Inputs!$B$9)*(PI()*(Inputs!$F$12/1000)^2/4)*((Inputs!$F$12/1000/4)^(2/3))*SQRT(N34))</f>
        <v/>
      </c>
      <c r="AL34" s="4">
        <f>IF(A34="","",(1/Inputs!$B$9)*(PI()*(Inputs!$F$13/1000)^2/4)*((Inputs!$F$13/1000/4)^(2/3))*SQRT(N34))</f>
        <v/>
      </c>
      <c r="AM34" s="4">
        <f>IF(A34="","",(1/Inputs!$B$9)*(PI()*(Inputs!$F$14/1000)^2/4)*((Inputs!$F$14/1000/4)^(2/3))*SQRT(N34))</f>
        <v/>
      </c>
    </row>
    <row r="35">
      <c r="A35" s="4" t="n"/>
      <c r="B35" s="4" t="n"/>
      <c r="C35" s="8" t="n"/>
      <c r="D35" s="8" t="n"/>
      <c r="E35" s="8">
        <f>SUMIFS(CB_Tributaires!$C:$C,CB_Tributaires!$B:$B,$A35)</f>
        <v/>
      </c>
      <c r="F35" s="8">
        <f>IF(D35="",E35,D35)</f>
        <v/>
      </c>
      <c r="G35" s="4" t="n"/>
      <c r="H35" s="8" t="n"/>
      <c r="I35" s="8">
        <f>IF(A35="","",Inputs!$B$13/((IF(H35="",Inputs!$B$18,H35)+Inputs!$B$14)^Inputs!$B$15))</f>
        <v/>
      </c>
      <c r="J35" s="8">
        <f>IF(A35="","",0.00278*IF(G35="",Inputs!$B$17,G35)*F35*I35)</f>
        <v/>
      </c>
      <c r="K35" s="8">
        <f>IF(A35="","",SUMIFS($L$4:$L$203,$B$4:$B$203,$A35))</f>
        <v/>
      </c>
      <c r="L35" s="8">
        <f>IF(A35="","",(J35+K35)*Inputs!$B$16)</f>
        <v/>
      </c>
      <c r="M35" s="8" t="n"/>
      <c r="N35" s="8">
        <f>IF(A35="","",IF(M35="",Inputs!$B$7,M35))</f>
        <v/>
      </c>
      <c r="O35" s="4">
        <f>IF(A35="","",IF(L35/Inputs!$B$10&lt;=AD35,Inputs!$F$5,IF(L35/Inputs!$B$10&gt;AM35,"OVERSIZE",INDEX(Inputs!$F$5:$F$14,MATCH(L35/Inputs!$B$10,AD35:AM35,1)+1))))</f>
        <v/>
      </c>
      <c r="P35" s="4" t="n"/>
      <c r="Q35" s="4">
        <f>IF(A35="","",IF(P35="",O35,P35))</f>
        <v/>
      </c>
      <c r="R35" s="8">
        <f>IF(OR(Q35="",Q35="OVERSIZE"),"",Q35/1000)</f>
        <v/>
      </c>
      <c r="S35" s="8">
        <f>IF(R35="","",(1/Inputs!$B$9)*(PI()*R35^2/4)*((R35/4)^(2/3))*SQRT(N35))</f>
        <v/>
      </c>
      <c r="T35" s="8">
        <f>IF(OR(S35="",L35=""),"",L35/(S35*Inputs!$B$10))</f>
        <v/>
      </c>
      <c r="U35" s="8">
        <f>IF(OR(R35="",L35=""),"",4*L35/(PI()*R35^2))</f>
        <v/>
      </c>
      <c r="V35" s="8" t="n"/>
      <c r="W35" s="8">
        <f>IF(A35="","",IF(A35=Inputs!$B$6,Inputs!$B$22,IF(B35="","",IFERROR(INDEX($X$4:$X$203,MATCH(B35,$A$4:$A$203,0))+IF(V35="",Inputs!$B$20,V35),""))))</f>
        <v/>
      </c>
      <c r="X35" s="8">
        <f>IF(OR(W35="",N35="",C35=""),"",W35+N35*C35)</f>
        <v/>
      </c>
      <c r="Y35" s="8" t="n"/>
      <c r="Z35" s="8" t="n"/>
      <c r="AA35" s="8">
        <f>IF(OR(Y35="",W35=""),"",Y35-W35)</f>
        <v/>
      </c>
      <c r="AB35" s="8">
        <f>IF(OR(Z35="",X35=""),"",Z35-X35)</f>
        <v/>
      </c>
      <c r="AC35" s="4">
        <f>IF(A35="","",IF(OR(T35&gt;1,U35&lt;Inputs!$B$11,U35&gt;Inputs!$B$12,AA35&lt;Inputs!$B$19,AB35&lt;Inputs!$B$19,N35&lt;Inputs!$B$7,N35&gt;Inputs!$B$8),"CHECK","OK"))</f>
        <v/>
      </c>
      <c r="AD35" s="4">
        <f>IF(A35="","",(1/Inputs!$B$9)*(PI()*(Inputs!$F$5/1000)^2/4)*((Inputs!$F$5/1000/4)^(2/3))*SQRT(N35))</f>
        <v/>
      </c>
      <c r="AE35" s="4">
        <f>IF(A35="","",(1/Inputs!$B$9)*(PI()*(Inputs!$F$6/1000)^2/4)*((Inputs!$F$6/1000/4)^(2/3))*SQRT(N35))</f>
        <v/>
      </c>
      <c r="AF35" s="4">
        <f>IF(A35="","",(1/Inputs!$B$9)*(PI()*(Inputs!$F$7/1000)^2/4)*((Inputs!$F$7/1000/4)^(2/3))*SQRT(N35))</f>
        <v/>
      </c>
      <c r="AG35" s="4">
        <f>IF(A35="","",(1/Inputs!$B$9)*(PI()*(Inputs!$F$8/1000)^2/4)*((Inputs!$F$8/1000/4)^(2/3))*SQRT(N35))</f>
        <v/>
      </c>
      <c r="AH35" s="4">
        <f>IF(A35="","",(1/Inputs!$B$9)*(PI()*(Inputs!$F$9/1000)^2/4)*((Inputs!$F$9/1000/4)^(2/3))*SQRT(N35))</f>
        <v/>
      </c>
      <c r="AI35" s="4">
        <f>IF(A35="","",(1/Inputs!$B$9)*(PI()*(Inputs!$F$10/1000)^2/4)*((Inputs!$F$10/1000/4)^(2/3))*SQRT(N35))</f>
        <v/>
      </c>
      <c r="AJ35" s="4">
        <f>IF(A35="","",(1/Inputs!$B$9)*(PI()*(Inputs!$F$11/1000)^2/4)*((Inputs!$F$11/1000/4)^(2/3))*SQRT(N35))</f>
        <v/>
      </c>
      <c r="AK35" s="4">
        <f>IF(A35="","",(1/Inputs!$B$9)*(PI()*(Inputs!$F$12/1000)^2/4)*((Inputs!$F$12/1000/4)^(2/3))*SQRT(N35))</f>
        <v/>
      </c>
      <c r="AL35" s="4">
        <f>IF(A35="","",(1/Inputs!$B$9)*(PI()*(Inputs!$F$13/1000)^2/4)*((Inputs!$F$13/1000/4)^(2/3))*SQRT(N35))</f>
        <v/>
      </c>
      <c r="AM35" s="4">
        <f>IF(A35="","",(1/Inputs!$B$9)*(PI()*(Inputs!$F$14/1000)^2/4)*((Inputs!$F$14/1000/4)^(2/3))*SQRT(N35))</f>
        <v/>
      </c>
    </row>
    <row r="36">
      <c r="A36" s="4" t="n"/>
      <c r="B36" s="4" t="n"/>
      <c r="C36" s="8" t="n"/>
      <c r="D36" s="8" t="n"/>
      <c r="E36" s="8">
        <f>SUMIFS(CB_Tributaires!$C:$C,CB_Tributaires!$B:$B,$A36)</f>
        <v/>
      </c>
      <c r="F36" s="8">
        <f>IF(D36="",E36,D36)</f>
        <v/>
      </c>
      <c r="G36" s="4" t="n"/>
      <c r="H36" s="8" t="n"/>
      <c r="I36" s="8">
        <f>IF(A36="","",Inputs!$B$13/((IF(H36="",Inputs!$B$18,H36)+Inputs!$B$14)^Inputs!$B$15))</f>
        <v/>
      </c>
      <c r="J36" s="8">
        <f>IF(A36="","",0.00278*IF(G36="",Inputs!$B$17,G36)*F36*I36)</f>
        <v/>
      </c>
      <c r="K36" s="8">
        <f>IF(A36="","",SUMIFS($L$4:$L$203,$B$4:$B$203,$A36))</f>
        <v/>
      </c>
      <c r="L36" s="8">
        <f>IF(A36="","",(J36+K36)*Inputs!$B$16)</f>
        <v/>
      </c>
      <c r="M36" s="8" t="n"/>
      <c r="N36" s="8">
        <f>IF(A36="","",IF(M36="",Inputs!$B$7,M36))</f>
        <v/>
      </c>
      <c r="O36" s="4">
        <f>IF(A36="","",IF(L36/Inputs!$B$10&lt;=AD36,Inputs!$F$5,IF(L36/Inputs!$B$10&gt;AM36,"OVERSIZE",INDEX(Inputs!$F$5:$F$14,MATCH(L36/Inputs!$B$10,AD36:AM36,1)+1))))</f>
        <v/>
      </c>
      <c r="P36" s="4" t="n"/>
      <c r="Q36" s="4">
        <f>IF(A36="","",IF(P36="",O36,P36))</f>
        <v/>
      </c>
      <c r="R36" s="8">
        <f>IF(OR(Q36="",Q36="OVERSIZE"),"",Q36/1000)</f>
        <v/>
      </c>
      <c r="S36" s="8">
        <f>IF(R36="","",(1/Inputs!$B$9)*(PI()*R36^2/4)*((R36/4)^(2/3))*SQRT(N36))</f>
        <v/>
      </c>
      <c r="T36" s="8">
        <f>IF(OR(S36="",L36=""),"",L36/(S36*Inputs!$B$10))</f>
        <v/>
      </c>
      <c r="U36" s="8">
        <f>IF(OR(R36="",L36=""),"",4*L36/(PI()*R36^2))</f>
        <v/>
      </c>
      <c r="V36" s="8" t="n"/>
      <c r="W36" s="8">
        <f>IF(A36="","",IF(A36=Inputs!$B$6,Inputs!$B$22,IF(B36="","",IFERROR(INDEX($X$4:$X$203,MATCH(B36,$A$4:$A$203,0))+IF(V36="",Inputs!$B$20,V36),""))))</f>
        <v/>
      </c>
      <c r="X36" s="8">
        <f>IF(OR(W36="",N36="",C36=""),"",W36+N36*C36)</f>
        <v/>
      </c>
      <c r="Y36" s="8" t="n"/>
      <c r="Z36" s="8" t="n"/>
      <c r="AA36" s="8">
        <f>IF(OR(Y36="",W36=""),"",Y36-W36)</f>
        <v/>
      </c>
      <c r="AB36" s="8">
        <f>IF(OR(Z36="",X36=""),"",Z36-X36)</f>
        <v/>
      </c>
      <c r="AC36" s="4">
        <f>IF(A36="","",IF(OR(T36&gt;1,U36&lt;Inputs!$B$11,U36&gt;Inputs!$B$12,AA36&lt;Inputs!$B$19,AB36&lt;Inputs!$B$19,N36&lt;Inputs!$B$7,N36&gt;Inputs!$B$8),"CHECK","OK"))</f>
        <v/>
      </c>
      <c r="AD36" s="4">
        <f>IF(A36="","",(1/Inputs!$B$9)*(PI()*(Inputs!$F$5/1000)^2/4)*((Inputs!$F$5/1000/4)^(2/3))*SQRT(N36))</f>
        <v/>
      </c>
      <c r="AE36" s="4">
        <f>IF(A36="","",(1/Inputs!$B$9)*(PI()*(Inputs!$F$6/1000)^2/4)*((Inputs!$F$6/1000/4)^(2/3))*SQRT(N36))</f>
        <v/>
      </c>
      <c r="AF36" s="4">
        <f>IF(A36="","",(1/Inputs!$B$9)*(PI()*(Inputs!$F$7/1000)^2/4)*((Inputs!$F$7/1000/4)^(2/3))*SQRT(N36))</f>
        <v/>
      </c>
      <c r="AG36" s="4">
        <f>IF(A36="","",(1/Inputs!$B$9)*(PI()*(Inputs!$F$8/1000)^2/4)*((Inputs!$F$8/1000/4)^(2/3))*SQRT(N36))</f>
        <v/>
      </c>
      <c r="AH36" s="4">
        <f>IF(A36="","",(1/Inputs!$B$9)*(PI()*(Inputs!$F$9/1000)^2/4)*((Inputs!$F$9/1000/4)^(2/3))*SQRT(N36))</f>
        <v/>
      </c>
      <c r="AI36" s="4">
        <f>IF(A36="","",(1/Inputs!$B$9)*(PI()*(Inputs!$F$10/1000)^2/4)*((Inputs!$F$10/1000/4)^(2/3))*SQRT(N36))</f>
        <v/>
      </c>
      <c r="AJ36" s="4">
        <f>IF(A36="","",(1/Inputs!$B$9)*(PI()*(Inputs!$F$11/1000)^2/4)*((Inputs!$F$11/1000/4)^(2/3))*SQRT(N36))</f>
        <v/>
      </c>
      <c r="AK36" s="4">
        <f>IF(A36="","",(1/Inputs!$B$9)*(PI()*(Inputs!$F$12/1000)^2/4)*((Inputs!$F$12/1000/4)^(2/3))*SQRT(N36))</f>
        <v/>
      </c>
      <c r="AL36" s="4">
        <f>IF(A36="","",(1/Inputs!$B$9)*(PI()*(Inputs!$F$13/1000)^2/4)*((Inputs!$F$13/1000/4)^(2/3))*SQRT(N36))</f>
        <v/>
      </c>
      <c r="AM36" s="4">
        <f>IF(A36="","",(1/Inputs!$B$9)*(PI()*(Inputs!$F$14/1000)^2/4)*((Inputs!$F$14/1000/4)^(2/3))*SQRT(N36))</f>
        <v/>
      </c>
    </row>
    <row r="37">
      <c r="A37" s="4" t="n"/>
      <c r="B37" s="4" t="n"/>
      <c r="C37" s="8" t="n"/>
      <c r="D37" s="8" t="n"/>
      <c r="E37" s="8">
        <f>SUMIFS(CB_Tributaires!$C:$C,CB_Tributaires!$B:$B,$A37)</f>
        <v/>
      </c>
      <c r="F37" s="8">
        <f>IF(D37="",E37,D37)</f>
        <v/>
      </c>
      <c r="G37" s="4" t="n"/>
      <c r="H37" s="8" t="n"/>
      <c r="I37" s="8">
        <f>IF(A37="","",Inputs!$B$13/((IF(H37="",Inputs!$B$18,H37)+Inputs!$B$14)^Inputs!$B$15))</f>
        <v/>
      </c>
      <c r="J37" s="8">
        <f>IF(A37="","",0.00278*IF(G37="",Inputs!$B$17,G37)*F37*I37)</f>
        <v/>
      </c>
      <c r="K37" s="8">
        <f>IF(A37="","",SUMIFS($L$4:$L$203,$B$4:$B$203,$A37))</f>
        <v/>
      </c>
      <c r="L37" s="8">
        <f>IF(A37="","",(J37+K37)*Inputs!$B$16)</f>
        <v/>
      </c>
      <c r="M37" s="8" t="n"/>
      <c r="N37" s="8">
        <f>IF(A37="","",IF(M37="",Inputs!$B$7,M37))</f>
        <v/>
      </c>
      <c r="O37" s="4">
        <f>IF(A37="","",IF(L37/Inputs!$B$10&lt;=AD37,Inputs!$F$5,IF(L37/Inputs!$B$10&gt;AM37,"OVERSIZE",INDEX(Inputs!$F$5:$F$14,MATCH(L37/Inputs!$B$10,AD37:AM37,1)+1))))</f>
        <v/>
      </c>
      <c r="P37" s="4" t="n"/>
      <c r="Q37" s="4">
        <f>IF(A37="","",IF(P37="",O37,P37))</f>
        <v/>
      </c>
      <c r="R37" s="8">
        <f>IF(OR(Q37="",Q37="OVERSIZE"),"",Q37/1000)</f>
        <v/>
      </c>
      <c r="S37" s="8">
        <f>IF(R37="","",(1/Inputs!$B$9)*(PI()*R37^2/4)*((R37/4)^(2/3))*SQRT(N37))</f>
        <v/>
      </c>
      <c r="T37" s="8">
        <f>IF(OR(S37="",L37=""),"",L37/(S37*Inputs!$B$10))</f>
        <v/>
      </c>
      <c r="U37" s="8">
        <f>IF(OR(R37="",L37=""),"",4*L37/(PI()*R37^2))</f>
        <v/>
      </c>
      <c r="V37" s="8" t="n"/>
      <c r="W37" s="8">
        <f>IF(A37="","",IF(A37=Inputs!$B$6,Inputs!$B$22,IF(B37="","",IFERROR(INDEX($X$4:$X$203,MATCH(B37,$A$4:$A$203,0))+IF(V37="",Inputs!$B$20,V37),""))))</f>
        <v/>
      </c>
      <c r="X37" s="8">
        <f>IF(OR(W37="",N37="",C37=""),"",W37+N37*C37)</f>
        <v/>
      </c>
      <c r="Y37" s="8" t="n"/>
      <c r="Z37" s="8" t="n"/>
      <c r="AA37" s="8">
        <f>IF(OR(Y37="",W37=""),"",Y37-W37)</f>
        <v/>
      </c>
      <c r="AB37" s="8">
        <f>IF(OR(Z37="",X37=""),"",Z37-X37)</f>
        <v/>
      </c>
      <c r="AC37" s="4">
        <f>IF(A37="","",IF(OR(T37&gt;1,U37&lt;Inputs!$B$11,U37&gt;Inputs!$B$12,AA37&lt;Inputs!$B$19,AB37&lt;Inputs!$B$19,N37&lt;Inputs!$B$7,N37&gt;Inputs!$B$8),"CHECK","OK"))</f>
        <v/>
      </c>
      <c r="AD37" s="4">
        <f>IF(A37="","",(1/Inputs!$B$9)*(PI()*(Inputs!$F$5/1000)^2/4)*((Inputs!$F$5/1000/4)^(2/3))*SQRT(N37))</f>
        <v/>
      </c>
      <c r="AE37" s="4">
        <f>IF(A37="","",(1/Inputs!$B$9)*(PI()*(Inputs!$F$6/1000)^2/4)*((Inputs!$F$6/1000/4)^(2/3))*SQRT(N37))</f>
        <v/>
      </c>
      <c r="AF37" s="4">
        <f>IF(A37="","",(1/Inputs!$B$9)*(PI()*(Inputs!$F$7/1000)^2/4)*((Inputs!$F$7/1000/4)^(2/3))*SQRT(N37))</f>
        <v/>
      </c>
      <c r="AG37" s="4">
        <f>IF(A37="","",(1/Inputs!$B$9)*(PI()*(Inputs!$F$8/1000)^2/4)*((Inputs!$F$8/1000/4)^(2/3))*SQRT(N37))</f>
        <v/>
      </c>
      <c r="AH37" s="4">
        <f>IF(A37="","",(1/Inputs!$B$9)*(PI()*(Inputs!$F$9/1000)^2/4)*((Inputs!$F$9/1000/4)^(2/3))*SQRT(N37))</f>
        <v/>
      </c>
      <c r="AI37" s="4">
        <f>IF(A37="","",(1/Inputs!$B$9)*(PI()*(Inputs!$F$10/1000)^2/4)*((Inputs!$F$10/1000/4)^(2/3))*SQRT(N37))</f>
        <v/>
      </c>
      <c r="AJ37" s="4">
        <f>IF(A37="","",(1/Inputs!$B$9)*(PI()*(Inputs!$F$11/1000)^2/4)*((Inputs!$F$11/1000/4)^(2/3))*SQRT(N37))</f>
        <v/>
      </c>
      <c r="AK37" s="4">
        <f>IF(A37="","",(1/Inputs!$B$9)*(PI()*(Inputs!$F$12/1000)^2/4)*((Inputs!$F$12/1000/4)^(2/3))*SQRT(N37))</f>
        <v/>
      </c>
      <c r="AL37" s="4">
        <f>IF(A37="","",(1/Inputs!$B$9)*(PI()*(Inputs!$F$13/1000)^2/4)*((Inputs!$F$13/1000/4)^(2/3))*SQRT(N37))</f>
        <v/>
      </c>
      <c r="AM37" s="4">
        <f>IF(A37="","",(1/Inputs!$B$9)*(PI()*(Inputs!$F$14/1000)^2/4)*((Inputs!$F$14/1000/4)^(2/3))*SQRT(N37))</f>
        <v/>
      </c>
    </row>
    <row r="38">
      <c r="A38" s="4" t="n"/>
      <c r="B38" s="4" t="n"/>
      <c r="C38" s="8" t="n"/>
      <c r="D38" s="8" t="n"/>
      <c r="E38" s="8">
        <f>SUMIFS(CB_Tributaires!$C:$C,CB_Tributaires!$B:$B,$A38)</f>
        <v/>
      </c>
      <c r="F38" s="8">
        <f>IF(D38="",E38,D38)</f>
        <v/>
      </c>
      <c r="G38" s="4" t="n"/>
      <c r="H38" s="8" t="n"/>
      <c r="I38" s="8">
        <f>IF(A38="","",Inputs!$B$13/((IF(H38="",Inputs!$B$18,H38)+Inputs!$B$14)^Inputs!$B$15))</f>
        <v/>
      </c>
      <c r="J38" s="8">
        <f>IF(A38="","",0.00278*IF(G38="",Inputs!$B$17,G38)*F38*I38)</f>
        <v/>
      </c>
      <c r="K38" s="8">
        <f>IF(A38="","",SUMIFS($L$4:$L$203,$B$4:$B$203,$A38))</f>
        <v/>
      </c>
      <c r="L38" s="8">
        <f>IF(A38="","",(J38+K38)*Inputs!$B$16)</f>
        <v/>
      </c>
      <c r="M38" s="8" t="n"/>
      <c r="N38" s="8">
        <f>IF(A38="","",IF(M38="",Inputs!$B$7,M38))</f>
        <v/>
      </c>
      <c r="O38" s="4">
        <f>IF(A38="","",IF(L38/Inputs!$B$10&lt;=AD38,Inputs!$F$5,IF(L38/Inputs!$B$10&gt;AM38,"OVERSIZE",INDEX(Inputs!$F$5:$F$14,MATCH(L38/Inputs!$B$10,AD38:AM38,1)+1))))</f>
        <v/>
      </c>
      <c r="P38" s="4" t="n"/>
      <c r="Q38" s="4">
        <f>IF(A38="","",IF(P38="",O38,P38))</f>
        <v/>
      </c>
      <c r="R38" s="8">
        <f>IF(OR(Q38="",Q38="OVERSIZE"),"",Q38/1000)</f>
        <v/>
      </c>
      <c r="S38" s="8">
        <f>IF(R38="","",(1/Inputs!$B$9)*(PI()*R38^2/4)*((R38/4)^(2/3))*SQRT(N38))</f>
        <v/>
      </c>
      <c r="T38" s="8">
        <f>IF(OR(S38="",L38=""),"",L38/(S38*Inputs!$B$10))</f>
        <v/>
      </c>
      <c r="U38" s="8">
        <f>IF(OR(R38="",L38=""),"",4*L38/(PI()*R38^2))</f>
        <v/>
      </c>
      <c r="V38" s="8" t="n"/>
      <c r="W38" s="8">
        <f>IF(A38="","",IF(A38=Inputs!$B$6,Inputs!$B$22,IF(B38="","",IFERROR(INDEX($X$4:$X$203,MATCH(B38,$A$4:$A$203,0))+IF(V38="",Inputs!$B$20,V38),""))))</f>
        <v/>
      </c>
      <c r="X38" s="8">
        <f>IF(OR(W38="",N38="",C38=""),"",W38+N38*C38)</f>
        <v/>
      </c>
      <c r="Y38" s="8" t="n"/>
      <c r="Z38" s="8" t="n"/>
      <c r="AA38" s="8">
        <f>IF(OR(Y38="",W38=""),"",Y38-W38)</f>
        <v/>
      </c>
      <c r="AB38" s="8">
        <f>IF(OR(Z38="",X38=""),"",Z38-X38)</f>
        <v/>
      </c>
      <c r="AC38" s="4">
        <f>IF(A38="","",IF(OR(T38&gt;1,U38&lt;Inputs!$B$11,U38&gt;Inputs!$B$12,AA38&lt;Inputs!$B$19,AB38&lt;Inputs!$B$19,N38&lt;Inputs!$B$7,N38&gt;Inputs!$B$8),"CHECK","OK"))</f>
        <v/>
      </c>
      <c r="AD38" s="4">
        <f>IF(A38="","",(1/Inputs!$B$9)*(PI()*(Inputs!$F$5/1000)^2/4)*((Inputs!$F$5/1000/4)^(2/3))*SQRT(N38))</f>
        <v/>
      </c>
      <c r="AE38" s="4">
        <f>IF(A38="","",(1/Inputs!$B$9)*(PI()*(Inputs!$F$6/1000)^2/4)*((Inputs!$F$6/1000/4)^(2/3))*SQRT(N38))</f>
        <v/>
      </c>
      <c r="AF38" s="4">
        <f>IF(A38="","",(1/Inputs!$B$9)*(PI()*(Inputs!$F$7/1000)^2/4)*((Inputs!$F$7/1000/4)^(2/3))*SQRT(N38))</f>
        <v/>
      </c>
      <c r="AG38" s="4">
        <f>IF(A38="","",(1/Inputs!$B$9)*(PI()*(Inputs!$F$8/1000)^2/4)*((Inputs!$F$8/1000/4)^(2/3))*SQRT(N38))</f>
        <v/>
      </c>
      <c r="AH38" s="4">
        <f>IF(A38="","",(1/Inputs!$B$9)*(PI()*(Inputs!$F$9/1000)^2/4)*((Inputs!$F$9/1000/4)^(2/3))*SQRT(N38))</f>
        <v/>
      </c>
      <c r="AI38" s="4">
        <f>IF(A38="","",(1/Inputs!$B$9)*(PI()*(Inputs!$F$10/1000)^2/4)*((Inputs!$F$10/1000/4)^(2/3))*SQRT(N38))</f>
        <v/>
      </c>
      <c r="AJ38" s="4">
        <f>IF(A38="","",(1/Inputs!$B$9)*(PI()*(Inputs!$F$11/1000)^2/4)*((Inputs!$F$11/1000/4)^(2/3))*SQRT(N38))</f>
        <v/>
      </c>
      <c r="AK38" s="4">
        <f>IF(A38="","",(1/Inputs!$B$9)*(PI()*(Inputs!$F$12/1000)^2/4)*((Inputs!$F$12/1000/4)^(2/3))*SQRT(N38))</f>
        <v/>
      </c>
      <c r="AL38" s="4">
        <f>IF(A38="","",(1/Inputs!$B$9)*(PI()*(Inputs!$F$13/1000)^2/4)*((Inputs!$F$13/1000/4)^(2/3))*SQRT(N38))</f>
        <v/>
      </c>
      <c r="AM38" s="4">
        <f>IF(A38="","",(1/Inputs!$B$9)*(PI()*(Inputs!$F$14/1000)^2/4)*((Inputs!$F$14/1000/4)^(2/3))*SQRT(N38))</f>
        <v/>
      </c>
    </row>
    <row r="39">
      <c r="A39" s="4" t="n"/>
      <c r="B39" s="4" t="n"/>
      <c r="C39" s="8" t="n"/>
      <c r="D39" s="8" t="n"/>
      <c r="E39" s="8">
        <f>SUMIFS(CB_Tributaires!$C:$C,CB_Tributaires!$B:$B,$A39)</f>
        <v/>
      </c>
      <c r="F39" s="8">
        <f>IF(D39="",E39,D39)</f>
        <v/>
      </c>
      <c r="G39" s="4" t="n"/>
      <c r="H39" s="8" t="n"/>
      <c r="I39" s="8">
        <f>IF(A39="","",Inputs!$B$13/((IF(H39="",Inputs!$B$18,H39)+Inputs!$B$14)^Inputs!$B$15))</f>
        <v/>
      </c>
      <c r="J39" s="8">
        <f>IF(A39="","",0.00278*IF(G39="",Inputs!$B$17,G39)*F39*I39)</f>
        <v/>
      </c>
      <c r="K39" s="8">
        <f>IF(A39="","",SUMIFS($L$4:$L$203,$B$4:$B$203,$A39))</f>
        <v/>
      </c>
      <c r="L39" s="8">
        <f>IF(A39="","",(J39+K39)*Inputs!$B$16)</f>
        <v/>
      </c>
      <c r="M39" s="8" t="n"/>
      <c r="N39" s="8">
        <f>IF(A39="","",IF(M39="",Inputs!$B$7,M39))</f>
        <v/>
      </c>
      <c r="O39" s="4">
        <f>IF(A39="","",IF(L39/Inputs!$B$10&lt;=AD39,Inputs!$F$5,IF(L39/Inputs!$B$10&gt;AM39,"OVERSIZE",INDEX(Inputs!$F$5:$F$14,MATCH(L39/Inputs!$B$10,AD39:AM39,1)+1))))</f>
        <v/>
      </c>
      <c r="P39" s="4" t="n"/>
      <c r="Q39" s="4">
        <f>IF(A39="","",IF(P39="",O39,P39))</f>
        <v/>
      </c>
      <c r="R39" s="8">
        <f>IF(OR(Q39="",Q39="OVERSIZE"),"",Q39/1000)</f>
        <v/>
      </c>
      <c r="S39" s="8">
        <f>IF(R39="","",(1/Inputs!$B$9)*(PI()*R39^2/4)*((R39/4)^(2/3))*SQRT(N39))</f>
        <v/>
      </c>
      <c r="T39" s="8">
        <f>IF(OR(S39="",L39=""),"",L39/(S39*Inputs!$B$10))</f>
        <v/>
      </c>
      <c r="U39" s="8">
        <f>IF(OR(R39="",L39=""),"",4*L39/(PI()*R39^2))</f>
        <v/>
      </c>
      <c r="V39" s="8" t="n"/>
      <c r="W39" s="8">
        <f>IF(A39="","",IF(A39=Inputs!$B$6,Inputs!$B$22,IF(B39="","",IFERROR(INDEX($X$4:$X$203,MATCH(B39,$A$4:$A$203,0))+IF(V39="",Inputs!$B$20,V39),""))))</f>
        <v/>
      </c>
      <c r="X39" s="8">
        <f>IF(OR(W39="",N39="",C39=""),"",W39+N39*C39)</f>
        <v/>
      </c>
      <c r="Y39" s="8" t="n"/>
      <c r="Z39" s="8" t="n"/>
      <c r="AA39" s="8">
        <f>IF(OR(Y39="",W39=""),"",Y39-W39)</f>
        <v/>
      </c>
      <c r="AB39" s="8">
        <f>IF(OR(Z39="",X39=""),"",Z39-X39)</f>
        <v/>
      </c>
      <c r="AC39" s="4">
        <f>IF(A39="","",IF(OR(T39&gt;1,U39&lt;Inputs!$B$11,U39&gt;Inputs!$B$12,AA39&lt;Inputs!$B$19,AB39&lt;Inputs!$B$19,N39&lt;Inputs!$B$7,N39&gt;Inputs!$B$8),"CHECK","OK"))</f>
        <v/>
      </c>
      <c r="AD39" s="4">
        <f>IF(A39="","",(1/Inputs!$B$9)*(PI()*(Inputs!$F$5/1000)^2/4)*((Inputs!$F$5/1000/4)^(2/3))*SQRT(N39))</f>
        <v/>
      </c>
      <c r="AE39" s="4">
        <f>IF(A39="","",(1/Inputs!$B$9)*(PI()*(Inputs!$F$6/1000)^2/4)*((Inputs!$F$6/1000/4)^(2/3))*SQRT(N39))</f>
        <v/>
      </c>
      <c r="AF39" s="4">
        <f>IF(A39="","",(1/Inputs!$B$9)*(PI()*(Inputs!$F$7/1000)^2/4)*((Inputs!$F$7/1000/4)^(2/3))*SQRT(N39))</f>
        <v/>
      </c>
      <c r="AG39" s="4">
        <f>IF(A39="","",(1/Inputs!$B$9)*(PI()*(Inputs!$F$8/1000)^2/4)*((Inputs!$F$8/1000/4)^(2/3))*SQRT(N39))</f>
        <v/>
      </c>
      <c r="AH39" s="4">
        <f>IF(A39="","",(1/Inputs!$B$9)*(PI()*(Inputs!$F$9/1000)^2/4)*((Inputs!$F$9/1000/4)^(2/3))*SQRT(N39))</f>
        <v/>
      </c>
      <c r="AI39" s="4">
        <f>IF(A39="","",(1/Inputs!$B$9)*(PI()*(Inputs!$F$10/1000)^2/4)*((Inputs!$F$10/1000/4)^(2/3))*SQRT(N39))</f>
        <v/>
      </c>
      <c r="AJ39" s="4">
        <f>IF(A39="","",(1/Inputs!$B$9)*(PI()*(Inputs!$F$11/1000)^2/4)*((Inputs!$F$11/1000/4)^(2/3))*SQRT(N39))</f>
        <v/>
      </c>
      <c r="AK39" s="4">
        <f>IF(A39="","",(1/Inputs!$B$9)*(PI()*(Inputs!$F$12/1000)^2/4)*((Inputs!$F$12/1000/4)^(2/3))*SQRT(N39))</f>
        <v/>
      </c>
      <c r="AL39" s="4">
        <f>IF(A39="","",(1/Inputs!$B$9)*(PI()*(Inputs!$F$13/1000)^2/4)*((Inputs!$F$13/1000/4)^(2/3))*SQRT(N39))</f>
        <v/>
      </c>
      <c r="AM39" s="4">
        <f>IF(A39="","",(1/Inputs!$B$9)*(PI()*(Inputs!$F$14/1000)^2/4)*((Inputs!$F$14/1000/4)^(2/3))*SQRT(N39))</f>
        <v/>
      </c>
    </row>
    <row r="40">
      <c r="A40" s="4" t="n"/>
      <c r="B40" s="4" t="n"/>
      <c r="C40" s="8" t="n"/>
      <c r="D40" s="8" t="n"/>
      <c r="E40" s="8">
        <f>SUMIFS(CB_Tributaires!$C:$C,CB_Tributaires!$B:$B,$A40)</f>
        <v/>
      </c>
      <c r="F40" s="8">
        <f>IF(D40="",E40,D40)</f>
        <v/>
      </c>
      <c r="G40" s="4" t="n"/>
      <c r="H40" s="8" t="n"/>
      <c r="I40" s="8">
        <f>IF(A40="","",Inputs!$B$13/((IF(H40="",Inputs!$B$18,H40)+Inputs!$B$14)^Inputs!$B$15))</f>
        <v/>
      </c>
      <c r="J40" s="8">
        <f>IF(A40="","",0.00278*IF(G40="",Inputs!$B$17,G40)*F40*I40)</f>
        <v/>
      </c>
      <c r="K40" s="8">
        <f>IF(A40="","",SUMIFS($L$4:$L$203,$B$4:$B$203,$A40))</f>
        <v/>
      </c>
      <c r="L40" s="8">
        <f>IF(A40="","",(J40+K40)*Inputs!$B$16)</f>
        <v/>
      </c>
      <c r="M40" s="8" t="n"/>
      <c r="N40" s="8">
        <f>IF(A40="","",IF(M40="",Inputs!$B$7,M40))</f>
        <v/>
      </c>
      <c r="O40" s="4">
        <f>IF(A40="","",IF(L40/Inputs!$B$10&lt;=AD40,Inputs!$F$5,IF(L40/Inputs!$B$10&gt;AM40,"OVERSIZE",INDEX(Inputs!$F$5:$F$14,MATCH(L40/Inputs!$B$10,AD40:AM40,1)+1))))</f>
        <v/>
      </c>
      <c r="P40" s="4" t="n"/>
      <c r="Q40" s="4">
        <f>IF(A40="","",IF(P40="",O40,P40))</f>
        <v/>
      </c>
      <c r="R40" s="8">
        <f>IF(OR(Q40="",Q40="OVERSIZE"),"",Q40/1000)</f>
        <v/>
      </c>
      <c r="S40" s="8">
        <f>IF(R40="","",(1/Inputs!$B$9)*(PI()*R40^2/4)*((R40/4)^(2/3))*SQRT(N40))</f>
        <v/>
      </c>
      <c r="T40" s="8">
        <f>IF(OR(S40="",L40=""),"",L40/(S40*Inputs!$B$10))</f>
        <v/>
      </c>
      <c r="U40" s="8">
        <f>IF(OR(R40="",L40=""),"",4*L40/(PI()*R40^2))</f>
        <v/>
      </c>
      <c r="V40" s="8" t="n"/>
      <c r="W40" s="8">
        <f>IF(A40="","",IF(A40=Inputs!$B$6,Inputs!$B$22,IF(B40="","",IFERROR(INDEX($X$4:$X$203,MATCH(B40,$A$4:$A$203,0))+IF(V40="",Inputs!$B$20,V40),""))))</f>
        <v/>
      </c>
      <c r="X40" s="8">
        <f>IF(OR(W40="",N40="",C40=""),"",W40+N40*C40)</f>
        <v/>
      </c>
      <c r="Y40" s="8" t="n"/>
      <c r="Z40" s="8" t="n"/>
      <c r="AA40" s="8">
        <f>IF(OR(Y40="",W40=""),"",Y40-W40)</f>
        <v/>
      </c>
      <c r="AB40" s="8">
        <f>IF(OR(Z40="",X40=""),"",Z40-X40)</f>
        <v/>
      </c>
      <c r="AC40" s="4">
        <f>IF(A40="","",IF(OR(T40&gt;1,U40&lt;Inputs!$B$11,U40&gt;Inputs!$B$12,AA40&lt;Inputs!$B$19,AB40&lt;Inputs!$B$19,N40&lt;Inputs!$B$7,N40&gt;Inputs!$B$8),"CHECK","OK"))</f>
        <v/>
      </c>
      <c r="AD40" s="4">
        <f>IF(A40="","",(1/Inputs!$B$9)*(PI()*(Inputs!$F$5/1000)^2/4)*((Inputs!$F$5/1000/4)^(2/3))*SQRT(N40))</f>
        <v/>
      </c>
      <c r="AE40" s="4">
        <f>IF(A40="","",(1/Inputs!$B$9)*(PI()*(Inputs!$F$6/1000)^2/4)*((Inputs!$F$6/1000/4)^(2/3))*SQRT(N40))</f>
        <v/>
      </c>
      <c r="AF40" s="4">
        <f>IF(A40="","",(1/Inputs!$B$9)*(PI()*(Inputs!$F$7/1000)^2/4)*((Inputs!$F$7/1000/4)^(2/3))*SQRT(N40))</f>
        <v/>
      </c>
      <c r="AG40" s="4">
        <f>IF(A40="","",(1/Inputs!$B$9)*(PI()*(Inputs!$F$8/1000)^2/4)*((Inputs!$F$8/1000/4)^(2/3))*SQRT(N40))</f>
        <v/>
      </c>
      <c r="AH40" s="4">
        <f>IF(A40="","",(1/Inputs!$B$9)*(PI()*(Inputs!$F$9/1000)^2/4)*((Inputs!$F$9/1000/4)^(2/3))*SQRT(N40))</f>
        <v/>
      </c>
      <c r="AI40" s="4">
        <f>IF(A40="","",(1/Inputs!$B$9)*(PI()*(Inputs!$F$10/1000)^2/4)*((Inputs!$F$10/1000/4)^(2/3))*SQRT(N40))</f>
        <v/>
      </c>
      <c r="AJ40" s="4">
        <f>IF(A40="","",(1/Inputs!$B$9)*(PI()*(Inputs!$F$11/1000)^2/4)*((Inputs!$F$11/1000/4)^(2/3))*SQRT(N40))</f>
        <v/>
      </c>
      <c r="AK40" s="4">
        <f>IF(A40="","",(1/Inputs!$B$9)*(PI()*(Inputs!$F$12/1000)^2/4)*((Inputs!$F$12/1000/4)^(2/3))*SQRT(N40))</f>
        <v/>
      </c>
      <c r="AL40" s="4">
        <f>IF(A40="","",(1/Inputs!$B$9)*(PI()*(Inputs!$F$13/1000)^2/4)*((Inputs!$F$13/1000/4)^(2/3))*SQRT(N40))</f>
        <v/>
      </c>
      <c r="AM40" s="4">
        <f>IF(A40="","",(1/Inputs!$B$9)*(PI()*(Inputs!$F$14/1000)^2/4)*((Inputs!$F$14/1000/4)^(2/3))*SQRT(N40))</f>
        <v/>
      </c>
    </row>
    <row r="41">
      <c r="A41" s="4" t="n"/>
      <c r="B41" s="4" t="n"/>
      <c r="C41" s="8" t="n"/>
      <c r="D41" s="8" t="n"/>
      <c r="E41" s="8">
        <f>SUMIFS(CB_Tributaires!$C:$C,CB_Tributaires!$B:$B,$A41)</f>
        <v/>
      </c>
      <c r="F41" s="8">
        <f>IF(D41="",E41,D41)</f>
        <v/>
      </c>
      <c r="G41" s="4" t="n"/>
      <c r="H41" s="8" t="n"/>
      <c r="I41" s="8">
        <f>IF(A41="","",Inputs!$B$13/((IF(H41="",Inputs!$B$18,H41)+Inputs!$B$14)^Inputs!$B$15))</f>
        <v/>
      </c>
      <c r="J41" s="8">
        <f>IF(A41="","",0.00278*IF(G41="",Inputs!$B$17,G41)*F41*I41)</f>
        <v/>
      </c>
      <c r="K41" s="8">
        <f>IF(A41="","",SUMIFS($L$4:$L$203,$B$4:$B$203,$A41))</f>
        <v/>
      </c>
      <c r="L41" s="8">
        <f>IF(A41="","",(J41+K41)*Inputs!$B$16)</f>
        <v/>
      </c>
      <c r="M41" s="8" t="n"/>
      <c r="N41" s="8">
        <f>IF(A41="","",IF(M41="",Inputs!$B$7,M41))</f>
        <v/>
      </c>
      <c r="O41" s="4">
        <f>IF(A41="","",IF(L41/Inputs!$B$10&lt;=AD41,Inputs!$F$5,IF(L41/Inputs!$B$10&gt;AM41,"OVERSIZE",INDEX(Inputs!$F$5:$F$14,MATCH(L41/Inputs!$B$10,AD41:AM41,1)+1))))</f>
        <v/>
      </c>
      <c r="P41" s="4" t="n"/>
      <c r="Q41" s="4">
        <f>IF(A41="","",IF(P41="",O41,P41))</f>
        <v/>
      </c>
      <c r="R41" s="8">
        <f>IF(OR(Q41="",Q41="OVERSIZE"),"",Q41/1000)</f>
        <v/>
      </c>
      <c r="S41" s="8">
        <f>IF(R41="","",(1/Inputs!$B$9)*(PI()*R41^2/4)*((R41/4)^(2/3))*SQRT(N41))</f>
        <v/>
      </c>
      <c r="T41" s="8">
        <f>IF(OR(S41="",L41=""),"",L41/(S41*Inputs!$B$10))</f>
        <v/>
      </c>
      <c r="U41" s="8">
        <f>IF(OR(R41="",L41=""),"",4*L41/(PI()*R41^2))</f>
        <v/>
      </c>
      <c r="V41" s="8" t="n"/>
      <c r="W41" s="8">
        <f>IF(A41="","",IF(A41=Inputs!$B$6,Inputs!$B$22,IF(B41="","",IFERROR(INDEX($X$4:$X$203,MATCH(B41,$A$4:$A$203,0))+IF(V41="",Inputs!$B$20,V41),""))))</f>
        <v/>
      </c>
      <c r="X41" s="8">
        <f>IF(OR(W41="",N41="",C41=""),"",W41+N41*C41)</f>
        <v/>
      </c>
      <c r="Y41" s="8" t="n"/>
      <c r="Z41" s="8" t="n"/>
      <c r="AA41" s="8">
        <f>IF(OR(Y41="",W41=""),"",Y41-W41)</f>
        <v/>
      </c>
      <c r="AB41" s="8">
        <f>IF(OR(Z41="",X41=""),"",Z41-X41)</f>
        <v/>
      </c>
      <c r="AC41" s="4">
        <f>IF(A41="","",IF(OR(T41&gt;1,U41&lt;Inputs!$B$11,U41&gt;Inputs!$B$12,AA41&lt;Inputs!$B$19,AB41&lt;Inputs!$B$19,N41&lt;Inputs!$B$7,N41&gt;Inputs!$B$8),"CHECK","OK"))</f>
        <v/>
      </c>
      <c r="AD41" s="4">
        <f>IF(A41="","",(1/Inputs!$B$9)*(PI()*(Inputs!$F$5/1000)^2/4)*((Inputs!$F$5/1000/4)^(2/3))*SQRT(N41))</f>
        <v/>
      </c>
      <c r="AE41" s="4">
        <f>IF(A41="","",(1/Inputs!$B$9)*(PI()*(Inputs!$F$6/1000)^2/4)*((Inputs!$F$6/1000/4)^(2/3))*SQRT(N41))</f>
        <v/>
      </c>
      <c r="AF41" s="4">
        <f>IF(A41="","",(1/Inputs!$B$9)*(PI()*(Inputs!$F$7/1000)^2/4)*((Inputs!$F$7/1000/4)^(2/3))*SQRT(N41))</f>
        <v/>
      </c>
      <c r="AG41" s="4">
        <f>IF(A41="","",(1/Inputs!$B$9)*(PI()*(Inputs!$F$8/1000)^2/4)*((Inputs!$F$8/1000/4)^(2/3))*SQRT(N41))</f>
        <v/>
      </c>
      <c r="AH41" s="4">
        <f>IF(A41="","",(1/Inputs!$B$9)*(PI()*(Inputs!$F$9/1000)^2/4)*((Inputs!$F$9/1000/4)^(2/3))*SQRT(N41))</f>
        <v/>
      </c>
      <c r="AI41" s="4">
        <f>IF(A41="","",(1/Inputs!$B$9)*(PI()*(Inputs!$F$10/1000)^2/4)*((Inputs!$F$10/1000/4)^(2/3))*SQRT(N41))</f>
        <v/>
      </c>
      <c r="AJ41" s="4">
        <f>IF(A41="","",(1/Inputs!$B$9)*(PI()*(Inputs!$F$11/1000)^2/4)*((Inputs!$F$11/1000/4)^(2/3))*SQRT(N41))</f>
        <v/>
      </c>
      <c r="AK41" s="4">
        <f>IF(A41="","",(1/Inputs!$B$9)*(PI()*(Inputs!$F$12/1000)^2/4)*((Inputs!$F$12/1000/4)^(2/3))*SQRT(N41))</f>
        <v/>
      </c>
      <c r="AL41" s="4">
        <f>IF(A41="","",(1/Inputs!$B$9)*(PI()*(Inputs!$F$13/1000)^2/4)*((Inputs!$F$13/1000/4)^(2/3))*SQRT(N41))</f>
        <v/>
      </c>
      <c r="AM41" s="4">
        <f>IF(A41="","",(1/Inputs!$B$9)*(PI()*(Inputs!$F$14/1000)^2/4)*((Inputs!$F$14/1000/4)^(2/3))*SQRT(N41))</f>
        <v/>
      </c>
    </row>
    <row r="42">
      <c r="A42" s="4" t="n"/>
      <c r="B42" s="4" t="n"/>
      <c r="C42" s="8" t="n"/>
      <c r="D42" s="8" t="n"/>
      <c r="E42" s="8">
        <f>SUMIFS(CB_Tributaires!$C:$C,CB_Tributaires!$B:$B,$A42)</f>
        <v/>
      </c>
      <c r="F42" s="8">
        <f>IF(D42="",E42,D42)</f>
        <v/>
      </c>
      <c r="G42" s="4" t="n"/>
      <c r="H42" s="8" t="n"/>
      <c r="I42" s="8">
        <f>IF(A42="","",Inputs!$B$13/((IF(H42="",Inputs!$B$18,H42)+Inputs!$B$14)^Inputs!$B$15))</f>
        <v/>
      </c>
      <c r="J42" s="8">
        <f>IF(A42="","",0.00278*IF(G42="",Inputs!$B$17,G42)*F42*I42)</f>
        <v/>
      </c>
      <c r="K42" s="8">
        <f>IF(A42="","",SUMIFS($L$4:$L$203,$B$4:$B$203,$A42))</f>
        <v/>
      </c>
      <c r="L42" s="8">
        <f>IF(A42="","",(J42+K42)*Inputs!$B$16)</f>
        <v/>
      </c>
      <c r="M42" s="8" t="n"/>
      <c r="N42" s="8">
        <f>IF(A42="","",IF(M42="",Inputs!$B$7,M42))</f>
        <v/>
      </c>
      <c r="O42" s="4">
        <f>IF(A42="","",IF(L42/Inputs!$B$10&lt;=AD42,Inputs!$F$5,IF(L42/Inputs!$B$10&gt;AM42,"OVERSIZE",INDEX(Inputs!$F$5:$F$14,MATCH(L42/Inputs!$B$10,AD42:AM42,1)+1))))</f>
        <v/>
      </c>
      <c r="P42" s="4" t="n"/>
      <c r="Q42" s="4">
        <f>IF(A42="","",IF(P42="",O42,P42))</f>
        <v/>
      </c>
      <c r="R42" s="8">
        <f>IF(OR(Q42="",Q42="OVERSIZE"),"",Q42/1000)</f>
        <v/>
      </c>
      <c r="S42" s="8">
        <f>IF(R42="","",(1/Inputs!$B$9)*(PI()*R42^2/4)*((R42/4)^(2/3))*SQRT(N42))</f>
        <v/>
      </c>
      <c r="T42" s="8">
        <f>IF(OR(S42="",L42=""),"",L42/(S42*Inputs!$B$10))</f>
        <v/>
      </c>
      <c r="U42" s="8">
        <f>IF(OR(R42="",L42=""),"",4*L42/(PI()*R42^2))</f>
        <v/>
      </c>
      <c r="V42" s="8" t="n"/>
      <c r="W42" s="8">
        <f>IF(A42="","",IF(A42=Inputs!$B$6,Inputs!$B$22,IF(B42="","",IFERROR(INDEX($X$4:$X$203,MATCH(B42,$A$4:$A$203,0))+IF(V42="",Inputs!$B$20,V42),""))))</f>
        <v/>
      </c>
      <c r="X42" s="8">
        <f>IF(OR(W42="",N42="",C42=""),"",W42+N42*C42)</f>
        <v/>
      </c>
      <c r="Y42" s="8" t="n"/>
      <c r="Z42" s="8" t="n"/>
      <c r="AA42" s="8">
        <f>IF(OR(Y42="",W42=""),"",Y42-W42)</f>
        <v/>
      </c>
      <c r="AB42" s="8">
        <f>IF(OR(Z42="",X42=""),"",Z42-X42)</f>
        <v/>
      </c>
      <c r="AC42" s="4">
        <f>IF(A42="","",IF(OR(T42&gt;1,U42&lt;Inputs!$B$11,U42&gt;Inputs!$B$12,AA42&lt;Inputs!$B$19,AB42&lt;Inputs!$B$19,N42&lt;Inputs!$B$7,N42&gt;Inputs!$B$8),"CHECK","OK"))</f>
        <v/>
      </c>
      <c r="AD42" s="4">
        <f>IF(A42="","",(1/Inputs!$B$9)*(PI()*(Inputs!$F$5/1000)^2/4)*((Inputs!$F$5/1000/4)^(2/3))*SQRT(N42))</f>
        <v/>
      </c>
      <c r="AE42" s="4">
        <f>IF(A42="","",(1/Inputs!$B$9)*(PI()*(Inputs!$F$6/1000)^2/4)*((Inputs!$F$6/1000/4)^(2/3))*SQRT(N42))</f>
        <v/>
      </c>
      <c r="AF42" s="4">
        <f>IF(A42="","",(1/Inputs!$B$9)*(PI()*(Inputs!$F$7/1000)^2/4)*((Inputs!$F$7/1000/4)^(2/3))*SQRT(N42))</f>
        <v/>
      </c>
      <c r="AG42" s="4">
        <f>IF(A42="","",(1/Inputs!$B$9)*(PI()*(Inputs!$F$8/1000)^2/4)*((Inputs!$F$8/1000/4)^(2/3))*SQRT(N42))</f>
        <v/>
      </c>
      <c r="AH42" s="4">
        <f>IF(A42="","",(1/Inputs!$B$9)*(PI()*(Inputs!$F$9/1000)^2/4)*((Inputs!$F$9/1000/4)^(2/3))*SQRT(N42))</f>
        <v/>
      </c>
      <c r="AI42" s="4">
        <f>IF(A42="","",(1/Inputs!$B$9)*(PI()*(Inputs!$F$10/1000)^2/4)*((Inputs!$F$10/1000/4)^(2/3))*SQRT(N42))</f>
        <v/>
      </c>
      <c r="AJ42" s="4">
        <f>IF(A42="","",(1/Inputs!$B$9)*(PI()*(Inputs!$F$11/1000)^2/4)*((Inputs!$F$11/1000/4)^(2/3))*SQRT(N42))</f>
        <v/>
      </c>
      <c r="AK42" s="4">
        <f>IF(A42="","",(1/Inputs!$B$9)*(PI()*(Inputs!$F$12/1000)^2/4)*((Inputs!$F$12/1000/4)^(2/3))*SQRT(N42))</f>
        <v/>
      </c>
      <c r="AL42" s="4">
        <f>IF(A42="","",(1/Inputs!$B$9)*(PI()*(Inputs!$F$13/1000)^2/4)*((Inputs!$F$13/1000/4)^(2/3))*SQRT(N42))</f>
        <v/>
      </c>
      <c r="AM42" s="4">
        <f>IF(A42="","",(1/Inputs!$B$9)*(PI()*(Inputs!$F$14/1000)^2/4)*((Inputs!$F$14/1000/4)^(2/3))*SQRT(N42))</f>
        <v/>
      </c>
    </row>
    <row r="43">
      <c r="A43" s="4" t="n"/>
      <c r="B43" s="4" t="n"/>
      <c r="C43" s="8" t="n"/>
      <c r="D43" s="8" t="n"/>
      <c r="E43" s="8">
        <f>SUMIFS(CB_Tributaires!$C:$C,CB_Tributaires!$B:$B,$A43)</f>
        <v/>
      </c>
      <c r="F43" s="8">
        <f>IF(D43="",E43,D43)</f>
        <v/>
      </c>
      <c r="G43" s="4" t="n"/>
      <c r="H43" s="8" t="n"/>
      <c r="I43" s="8">
        <f>IF(A43="","",Inputs!$B$13/((IF(H43="",Inputs!$B$18,H43)+Inputs!$B$14)^Inputs!$B$15))</f>
        <v/>
      </c>
      <c r="J43" s="8">
        <f>IF(A43="","",0.00278*IF(G43="",Inputs!$B$17,G43)*F43*I43)</f>
        <v/>
      </c>
      <c r="K43" s="8">
        <f>IF(A43="","",SUMIFS($L$4:$L$203,$B$4:$B$203,$A43))</f>
        <v/>
      </c>
      <c r="L43" s="8">
        <f>IF(A43="","",(J43+K43)*Inputs!$B$16)</f>
        <v/>
      </c>
      <c r="M43" s="8" t="n"/>
      <c r="N43" s="8">
        <f>IF(A43="","",IF(M43="",Inputs!$B$7,M43))</f>
        <v/>
      </c>
      <c r="O43" s="4">
        <f>IF(A43="","",IF(L43/Inputs!$B$10&lt;=AD43,Inputs!$F$5,IF(L43/Inputs!$B$10&gt;AM43,"OVERSIZE",INDEX(Inputs!$F$5:$F$14,MATCH(L43/Inputs!$B$10,AD43:AM43,1)+1))))</f>
        <v/>
      </c>
      <c r="P43" s="4" t="n"/>
      <c r="Q43" s="4">
        <f>IF(A43="","",IF(P43="",O43,P43))</f>
        <v/>
      </c>
      <c r="R43" s="8">
        <f>IF(OR(Q43="",Q43="OVERSIZE"),"",Q43/1000)</f>
        <v/>
      </c>
      <c r="S43" s="8">
        <f>IF(R43="","",(1/Inputs!$B$9)*(PI()*R43^2/4)*((R43/4)^(2/3))*SQRT(N43))</f>
        <v/>
      </c>
      <c r="T43" s="8">
        <f>IF(OR(S43="",L43=""),"",L43/(S43*Inputs!$B$10))</f>
        <v/>
      </c>
      <c r="U43" s="8">
        <f>IF(OR(R43="",L43=""),"",4*L43/(PI()*R43^2))</f>
        <v/>
      </c>
      <c r="V43" s="8" t="n"/>
      <c r="W43" s="8">
        <f>IF(A43="","",IF(A43=Inputs!$B$6,Inputs!$B$22,IF(B43="","",IFERROR(INDEX($X$4:$X$203,MATCH(B43,$A$4:$A$203,0))+IF(V43="",Inputs!$B$20,V43),""))))</f>
        <v/>
      </c>
      <c r="X43" s="8">
        <f>IF(OR(W43="",N43="",C43=""),"",W43+N43*C43)</f>
        <v/>
      </c>
      <c r="Y43" s="8" t="n"/>
      <c r="Z43" s="8" t="n"/>
      <c r="AA43" s="8">
        <f>IF(OR(Y43="",W43=""),"",Y43-W43)</f>
        <v/>
      </c>
      <c r="AB43" s="8">
        <f>IF(OR(Z43="",X43=""),"",Z43-X43)</f>
        <v/>
      </c>
      <c r="AC43" s="4">
        <f>IF(A43="","",IF(OR(T43&gt;1,U43&lt;Inputs!$B$11,U43&gt;Inputs!$B$12,AA43&lt;Inputs!$B$19,AB43&lt;Inputs!$B$19,N43&lt;Inputs!$B$7,N43&gt;Inputs!$B$8),"CHECK","OK"))</f>
        <v/>
      </c>
      <c r="AD43" s="4">
        <f>IF(A43="","",(1/Inputs!$B$9)*(PI()*(Inputs!$F$5/1000)^2/4)*((Inputs!$F$5/1000/4)^(2/3))*SQRT(N43))</f>
        <v/>
      </c>
      <c r="AE43" s="4">
        <f>IF(A43="","",(1/Inputs!$B$9)*(PI()*(Inputs!$F$6/1000)^2/4)*((Inputs!$F$6/1000/4)^(2/3))*SQRT(N43))</f>
        <v/>
      </c>
      <c r="AF43" s="4">
        <f>IF(A43="","",(1/Inputs!$B$9)*(PI()*(Inputs!$F$7/1000)^2/4)*((Inputs!$F$7/1000/4)^(2/3))*SQRT(N43))</f>
        <v/>
      </c>
      <c r="AG43" s="4">
        <f>IF(A43="","",(1/Inputs!$B$9)*(PI()*(Inputs!$F$8/1000)^2/4)*((Inputs!$F$8/1000/4)^(2/3))*SQRT(N43))</f>
        <v/>
      </c>
      <c r="AH43" s="4">
        <f>IF(A43="","",(1/Inputs!$B$9)*(PI()*(Inputs!$F$9/1000)^2/4)*((Inputs!$F$9/1000/4)^(2/3))*SQRT(N43))</f>
        <v/>
      </c>
      <c r="AI43" s="4">
        <f>IF(A43="","",(1/Inputs!$B$9)*(PI()*(Inputs!$F$10/1000)^2/4)*((Inputs!$F$10/1000/4)^(2/3))*SQRT(N43))</f>
        <v/>
      </c>
      <c r="AJ43" s="4">
        <f>IF(A43="","",(1/Inputs!$B$9)*(PI()*(Inputs!$F$11/1000)^2/4)*((Inputs!$F$11/1000/4)^(2/3))*SQRT(N43))</f>
        <v/>
      </c>
      <c r="AK43" s="4">
        <f>IF(A43="","",(1/Inputs!$B$9)*(PI()*(Inputs!$F$12/1000)^2/4)*((Inputs!$F$12/1000/4)^(2/3))*SQRT(N43))</f>
        <v/>
      </c>
      <c r="AL43" s="4">
        <f>IF(A43="","",(1/Inputs!$B$9)*(PI()*(Inputs!$F$13/1000)^2/4)*((Inputs!$F$13/1000/4)^(2/3))*SQRT(N43))</f>
        <v/>
      </c>
      <c r="AM43" s="4">
        <f>IF(A43="","",(1/Inputs!$B$9)*(PI()*(Inputs!$F$14/1000)^2/4)*((Inputs!$F$14/1000/4)^(2/3))*SQRT(N43))</f>
        <v/>
      </c>
    </row>
    <row r="44">
      <c r="A44" s="4" t="n"/>
      <c r="B44" s="4" t="n"/>
      <c r="C44" s="8" t="n"/>
      <c r="D44" s="8" t="n"/>
      <c r="E44" s="8">
        <f>SUMIFS(CB_Tributaires!$C:$C,CB_Tributaires!$B:$B,$A44)</f>
        <v/>
      </c>
      <c r="F44" s="8">
        <f>IF(D44="",E44,D44)</f>
        <v/>
      </c>
      <c r="G44" s="4" t="n"/>
      <c r="H44" s="8" t="n"/>
      <c r="I44" s="8">
        <f>IF(A44="","",Inputs!$B$13/((IF(H44="",Inputs!$B$18,H44)+Inputs!$B$14)^Inputs!$B$15))</f>
        <v/>
      </c>
      <c r="J44" s="8">
        <f>IF(A44="","",0.00278*IF(G44="",Inputs!$B$17,G44)*F44*I44)</f>
        <v/>
      </c>
      <c r="K44" s="8">
        <f>IF(A44="","",SUMIFS($L$4:$L$203,$B$4:$B$203,$A44))</f>
        <v/>
      </c>
      <c r="L44" s="8">
        <f>IF(A44="","",(J44+K44)*Inputs!$B$16)</f>
        <v/>
      </c>
      <c r="M44" s="8" t="n"/>
      <c r="N44" s="8">
        <f>IF(A44="","",IF(M44="",Inputs!$B$7,M44))</f>
        <v/>
      </c>
      <c r="O44" s="4">
        <f>IF(A44="","",IF(L44/Inputs!$B$10&lt;=AD44,Inputs!$F$5,IF(L44/Inputs!$B$10&gt;AM44,"OVERSIZE",INDEX(Inputs!$F$5:$F$14,MATCH(L44/Inputs!$B$10,AD44:AM44,1)+1))))</f>
        <v/>
      </c>
      <c r="P44" s="4" t="n"/>
      <c r="Q44" s="4">
        <f>IF(A44="","",IF(P44="",O44,P44))</f>
        <v/>
      </c>
      <c r="R44" s="8">
        <f>IF(OR(Q44="",Q44="OVERSIZE"),"",Q44/1000)</f>
        <v/>
      </c>
      <c r="S44" s="8">
        <f>IF(R44="","",(1/Inputs!$B$9)*(PI()*R44^2/4)*((R44/4)^(2/3))*SQRT(N44))</f>
        <v/>
      </c>
      <c r="T44" s="8">
        <f>IF(OR(S44="",L44=""),"",L44/(S44*Inputs!$B$10))</f>
        <v/>
      </c>
      <c r="U44" s="8">
        <f>IF(OR(R44="",L44=""),"",4*L44/(PI()*R44^2))</f>
        <v/>
      </c>
      <c r="V44" s="8" t="n"/>
      <c r="W44" s="8">
        <f>IF(A44="","",IF(A44=Inputs!$B$6,Inputs!$B$22,IF(B44="","",IFERROR(INDEX($X$4:$X$203,MATCH(B44,$A$4:$A$203,0))+IF(V44="",Inputs!$B$20,V44),""))))</f>
        <v/>
      </c>
      <c r="X44" s="8">
        <f>IF(OR(W44="",N44="",C44=""),"",W44+N44*C44)</f>
        <v/>
      </c>
      <c r="Y44" s="8" t="n"/>
      <c r="Z44" s="8" t="n"/>
      <c r="AA44" s="8">
        <f>IF(OR(Y44="",W44=""),"",Y44-W44)</f>
        <v/>
      </c>
      <c r="AB44" s="8">
        <f>IF(OR(Z44="",X44=""),"",Z44-X44)</f>
        <v/>
      </c>
      <c r="AC44" s="4">
        <f>IF(A44="","",IF(OR(T44&gt;1,U44&lt;Inputs!$B$11,U44&gt;Inputs!$B$12,AA44&lt;Inputs!$B$19,AB44&lt;Inputs!$B$19,N44&lt;Inputs!$B$7,N44&gt;Inputs!$B$8),"CHECK","OK"))</f>
        <v/>
      </c>
      <c r="AD44" s="4">
        <f>IF(A44="","",(1/Inputs!$B$9)*(PI()*(Inputs!$F$5/1000)^2/4)*((Inputs!$F$5/1000/4)^(2/3))*SQRT(N44))</f>
        <v/>
      </c>
      <c r="AE44" s="4">
        <f>IF(A44="","",(1/Inputs!$B$9)*(PI()*(Inputs!$F$6/1000)^2/4)*((Inputs!$F$6/1000/4)^(2/3))*SQRT(N44))</f>
        <v/>
      </c>
      <c r="AF44" s="4">
        <f>IF(A44="","",(1/Inputs!$B$9)*(PI()*(Inputs!$F$7/1000)^2/4)*((Inputs!$F$7/1000/4)^(2/3))*SQRT(N44))</f>
        <v/>
      </c>
      <c r="AG44" s="4">
        <f>IF(A44="","",(1/Inputs!$B$9)*(PI()*(Inputs!$F$8/1000)^2/4)*((Inputs!$F$8/1000/4)^(2/3))*SQRT(N44))</f>
        <v/>
      </c>
      <c r="AH44" s="4">
        <f>IF(A44="","",(1/Inputs!$B$9)*(PI()*(Inputs!$F$9/1000)^2/4)*((Inputs!$F$9/1000/4)^(2/3))*SQRT(N44))</f>
        <v/>
      </c>
      <c r="AI44" s="4">
        <f>IF(A44="","",(1/Inputs!$B$9)*(PI()*(Inputs!$F$10/1000)^2/4)*((Inputs!$F$10/1000/4)^(2/3))*SQRT(N44))</f>
        <v/>
      </c>
      <c r="AJ44" s="4">
        <f>IF(A44="","",(1/Inputs!$B$9)*(PI()*(Inputs!$F$11/1000)^2/4)*((Inputs!$F$11/1000/4)^(2/3))*SQRT(N44))</f>
        <v/>
      </c>
      <c r="AK44" s="4">
        <f>IF(A44="","",(1/Inputs!$B$9)*(PI()*(Inputs!$F$12/1000)^2/4)*((Inputs!$F$12/1000/4)^(2/3))*SQRT(N44))</f>
        <v/>
      </c>
      <c r="AL44" s="4">
        <f>IF(A44="","",(1/Inputs!$B$9)*(PI()*(Inputs!$F$13/1000)^2/4)*((Inputs!$F$13/1000/4)^(2/3))*SQRT(N44))</f>
        <v/>
      </c>
      <c r="AM44" s="4">
        <f>IF(A44="","",(1/Inputs!$B$9)*(PI()*(Inputs!$F$14/1000)^2/4)*((Inputs!$F$14/1000/4)^(2/3))*SQRT(N44))</f>
        <v/>
      </c>
    </row>
    <row r="45">
      <c r="A45" s="4" t="n"/>
      <c r="B45" s="4" t="n"/>
      <c r="C45" s="8" t="n"/>
      <c r="D45" s="8" t="n"/>
      <c r="E45" s="8">
        <f>SUMIFS(CB_Tributaires!$C:$C,CB_Tributaires!$B:$B,$A45)</f>
        <v/>
      </c>
      <c r="F45" s="8">
        <f>IF(D45="",E45,D45)</f>
        <v/>
      </c>
      <c r="G45" s="4" t="n"/>
      <c r="H45" s="8" t="n"/>
      <c r="I45" s="8">
        <f>IF(A45="","",Inputs!$B$13/((IF(H45="",Inputs!$B$18,H45)+Inputs!$B$14)^Inputs!$B$15))</f>
        <v/>
      </c>
      <c r="J45" s="8">
        <f>IF(A45="","",0.00278*IF(G45="",Inputs!$B$17,G45)*F45*I45)</f>
        <v/>
      </c>
      <c r="K45" s="8">
        <f>IF(A45="","",SUMIFS($L$4:$L$203,$B$4:$B$203,$A45))</f>
        <v/>
      </c>
      <c r="L45" s="8">
        <f>IF(A45="","",(J45+K45)*Inputs!$B$16)</f>
        <v/>
      </c>
      <c r="M45" s="8" t="n"/>
      <c r="N45" s="8">
        <f>IF(A45="","",IF(M45="",Inputs!$B$7,M45))</f>
        <v/>
      </c>
      <c r="O45" s="4">
        <f>IF(A45="","",IF(L45/Inputs!$B$10&lt;=AD45,Inputs!$F$5,IF(L45/Inputs!$B$10&gt;AM45,"OVERSIZE",INDEX(Inputs!$F$5:$F$14,MATCH(L45/Inputs!$B$10,AD45:AM45,1)+1))))</f>
        <v/>
      </c>
      <c r="P45" s="4" t="n"/>
      <c r="Q45" s="4">
        <f>IF(A45="","",IF(P45="",O45,P45))</f>
        <v/>
      </c>
      <c r="R45" s="8">
        <f>IF(OR(Q45="",Q45="OVERSIZE"),"",Q45/1000)</f>
        <v/>
      </c>
      <c r="S45" s="8">
        <f>IF(R45="","",(1/Inputs!$B$9)*(PI()*R45^2/4)*((R45/4)^(2/3))*SQRT(N45))</f>
        <v/>
      </c>
      <c r="T45" s="8">
        <f>IF(OR(S45="",L45=""),"",L45/(S45*Inputs!$B$10))</f>
        <v/>
      </c>
      <c r="U45" s="8">
        <f>IF(OR(R45="",L45=""),"",4*L45/(PI()*R45^2))</f>
        <v/>
      </c>
      <c r="V45" s="8" t="n"/>
      <c r="W45" s="8">
        <f>IF(A45="","",IF(A45=Inputs!$B$6,Inputs!$B$22,IF(B45="","",IFERROR(INDEX($X$4:$X$203,MATCH(B45,$A$4:$A$203,0))+IF(V45="",Inputs!$B$20,V45),""))))</f>
        <v/>
      </c>
      <c r="X45" s="8">
        <f>IF(OR(W45="",N45="",C45=""),"",W45+N45*C45)</f>
        <v/>
      </c>
      <c r="Y45" s="8" t="n"/>
      <c r="Z45" s="8" t="n"/>
      <c r="AA45" s="8">
        <f>IF(OR(Y45="",W45=""),"",Y45-W45)</f>
        <v/>
      </c>
      <c r="AB45" s="8">
        <f>IF(OR(Z45="",X45=""),"",Z45-X45)</f>
        <v/>
      </c>
      <c r="AC45" s="4">
        <f>IF(A45="","",IF(OR(T45&gt;1,U45&lt;Inputs!$B$11,U45&gt;Inputs!$B$12,AA45&lt;Inputs!$B$19,AB45&lt;Inputs!$B$19,N45&lt;Inputs!$B$7,N45&gt;Inputs!$B$8),"CHECK","OK"))</f>
        <v/>
      </c>
      <c r="AD45" s="4">
        <f>IF(A45="","",(1/Inputs!$B$9)*(PI()*(Inputs!$F$5/1000)^2/4)*((Inputs!$F$5/1000/4)^(2/3))*SQRT(N45))</f>
        <v/>
      </c>
      <c r="AE45" s="4">
        <f>IF(A45="","",(1/Inputs!$B$9)*(PI()*(Inputs!$F$6/1000)^2/4)*((Inputs!$F$6/1000/4)^(2/3))*SQRT(N45))</f>
        <v/>
      </c>
      <c r="AF45" s="4">
        <f>IF(A45="","",(1/Inputs!$B$9)*(PI()*(Inputs!$F$7/1000)^2/4)*((Inputs!$F$7/1000/4)^(2/3))*SQRT(N45))</f>
        <v/>
      </c>
      <c r="AG45" s="4">
        <f>IF(A45="","",(1/Inputs!$B$9)*(PI()*(Inputs!$F$8/1000)^2/4)*((Inputs!$F$8/1000/4)^(2/3))*SQRT(N45))</f>
        <v/>
      </c>
      <c r="AH45" s="4">
        <f>IF(A45="","",(1/Inputs!$B$9)*(PI()*(Inputs!$F$9/1000)^2/4)*((Inputs!$F$9/1000/4)^(2/3))*SQRT(N45))</f>
        <v/>
      </c>
      <c r="AI45" s="4">
        <f>IF(A45="","",(1/Inputs!$B$9)*(PI()*(Inputs!$F$10/1000)^2/4)*((Inputs!$F$10/1000/4)^(2/3))*SQRT(N45))</f>
        <v/>
      </c>
      <c r="AJ45" s="4">
        <f>IF(A45="","",(1/Inputs!$B$9)*(PI()*(Inputs!$F$11/1000)^2/4)*((Inputs!$F$11/1000/4)^(2/3))*SQRT(N45))</f>
        <v/>
      </c>
      <c r="AK45" s="4">
        <f>IF(A45="","",(1/Inputs!$B$9)*(PI()*(Inputs!$F$12/1000)^2/4)*((Inputs!$F$12/1000/4)^(2/3))*SQRT(N45))</f>
        <v/>
      </c>
      <c r="AL45" s="4">
        <f>IF(A45="","",(1/Inputs!$B$9)*(PI()*(Inputs!$F$13/1000)^2/4)*((Inputs!$F$13/1000/4)^(2/3))*SQRT(N45))</f>
        <v/>
      </c>
      <c r="AM45" s="4">
        <f>IF(A45="","",(1/Inputs!$B$9)*(PI()*(Inputs!$F$14/1000)^2/4)*((Inputs!$F$14/1000/4)^(2/3))*SQRT(N45))</f>
        <v/>
      </c>
    </row>
    <row r="46">
      <c r="A46" s="4" t="n"/>
      <c r="B46" s="4" t="n"/>
      <c r="C46" s="8" t="n"/>
      <c r="D46" s="8" t="n"/>
      <c r="E46" s="8">
        <f>SUMIFS(CB_Tributaires!$C:$C,CB_Tributaires!$B:$B,$A46)</f>
        <v/>
      </c>
      <c r="F46" s="8">
        <f>IF(D46="",E46,D46)</f>
        <v/>
      </c>
      <c r="G46" s="4" t="n"/>
      <c r="H46" s="8" t="n"/>
      <c r="I46" s="8">
        <f>IF(A46="","",Inputs!$B$13/((IF(H46="",Inputs!$B$18,H46)+Inputs!$B$14)^Inputs!$B$15))</f>
        <v/>
      </c>
      <c r="J46" s="8">
        <f>IF(A46="","",0.00278*IF(G46="",Inputs!$B$17,G46)*F46*I46)</f>
        <v/>
      </c>
      <c r="K46" s="8">
        <f>IF(A46="","",SUMIFS($L$4:$L$203,$B$4:$B$203,$A46))</f>
        <v/>
      </c>
      <c r="L46" s="8">
        <f>IF(A46="","",(J46+K46)*Inputs!$B$16)</f>
        <v/>
      </c>
      <c r="M46" s="8" t="n"/>
      <c r="N46" s="8">
        <f>IF(A46="","",IF(M46="",Inputs!$B$7,M46))</f>
        <v/>
      </c>
      <c r="O46" s="4">
        <f>IF(A46="","",IF(L46/Inputs!$B$10&lt;=AD46,Inputs!$F$5,IF(L46/Inputs!$B$10&gt;AM46,"OVERSIZE",INDEX(Inputs!$F$5:$F$14,MATCH(L46/Inputs!$B$10,AD46:AM46,1)+1))))</f>
        <v/>
      </c>
      <c r="P46" s="4" t="n"/>
      <c r="Q46" s="4">
        <f>IF(A46="","",IF(P46="",O46,P46))</f>
        <v/>
      </c>
      <c r="R46" s="8">
        <f>IF(OR(Q46="",Q46="OVERSIZE"),"",Q46/1000)</f>
        <v/>
      </c>
      <c r="S46" s="8">
        <f>IF(R46="","",(1/Inputs!$B$9)*(PI()*R46^2/4)*((R46/4)^(2/3))*SQRT(N46))</f>
        <v/>
      </c>
      <c r="T46" s="8">
        <f>IF(OR(S46="",L46=""),"",L46/(S46*Inputs!$B$10))</f>
        <v/>
      </c>
      <c r="U46" s="8">
        <f>IF(OR(R46="",L46=""),"",4*L46/(PI()*R46^2))</f>
        <v/>
      </c>
      <c r="V46" s="8" t="n"/>
      <c r="W46" s="8">
        <f>IF(A46="","",IF(A46=Inputs!$B$6,Inputs!$B$22,IF(B46="","",IFERROR(INDEX($X$4:$X$203,MATCH(B46,$A$4:$A$203,0))+IF(V46="",Inputs!$B$20,V46),""))))</f>
        <v/>
      </c>
      <c r="X46" s="8">
        <f>IF(OR(W46="",N46="",C46=""),"",W46+N46*C46)</f>
        <v/>
      </c>
      <c r="Y46" s="8" t="n"/>
      <c r="Z46" s="8" t="n"/>
      <c r="AA46" s="8">
        <f>IF(OR(Y46="",W46=""),"",Y46-W46)</f>
        <v/>
      </c>
      <c r="AB46" s="8">
        <f>IF(OR(Z46="",X46=""),"",Z46-X46)</f>
        <v/>
      </c>
      <c r="AC46" s="4">
        <f>IF(A46="","",IF(OR(T46&gt;1,U46&lt;Inputs!$B$11,U46&gt;Inputs!$B$12,AA46&lt;Inputs!$B$19,AB46&lt;Inputs!$B$19,N46&lt;Inputs!$B$7,N46&gt;Inputs!$B$8),"CHECK","OK"))</f>
        <v/>
      </c>
      <c r="AD46" s="4">
        <f>IF(A46="","",(1/Inputs!$B$9)*(PI()*(Inputs!$F$5/1000)^2/4)*((Inputs!$F$5/1000/4)^(2/3))*SQRT(N46))</f>
        <v/>
      </c>
      <c r="AE46" s="4">
        <f>IF(A46="","",(1/Inputs!$B$9)*(PI()*(Inputs!$F$6/1000)^2/4)*((Inputs!$F$6/1000/4)^(2/3))*SQRT(N46))</f>
        <v/>
      </c>
      <c r="AF46" s="4">
        <f>IF(A46="","",(1/Inputs!$B$9)*(PI()*(Inputs!$F$7/1000)^2/4)*((Inputs!$F$7/1000/4)^(2/3))*SQRT(N46))</f>
        <v/>
      </c>
      <c r="AG46" s="4">
        <f>IF(A46="","",(1/Inputs!$B$9)*(PI()*(Inputs!$F$8/1000)^2/4)*((Inputs!$F$8/1000/4)^(2/3))*SQRT(N46))</f>
        <v/>
      </c>
      <c r="AH46" s="4">
        <f>IF(A46="","",(1/Inputs!$B$9)*(PI()*(Inputs!$F$9/1000)^2/4)*((Inputs!$F$9/1000/4)^(2/3))*SQRT(N46))</f>
        <v/>
      </c>
      <c r="AI46" s="4">
        <f>IF(A46="","",(1/Inputs!$B$9)*(PI()*(Inputs!$F$10/1000)^2/4)*((Inputs!$F$10/1000/4)^(2/3))*SQRT(N46))</f>
        <v/>
      </c>
      <c r="AJ46" s="4">
        <f>IF(A46="","",(1/Inputs!$B$9)*(PI()*(Inputs!$F$11/1000)^2/4)*((Inputs!$F$11/1000/4)^(2/3))*SQRT(N46))</f>
        <v/>
      </c>
      <c r="AK46" s="4">
        <f>IF(A46="","",(1/Inputs!$B$9)*(PI()*(Inputs!$F$12/1000)^2/4)*((Inputs!$F$12/1000/4)^(2/3))*SQRT(N46))</f>
        <v/>
      </c>
      <c r="AL46" s="4">
        <f>IF(A46="","",(1/Inputs!$B$9)*(PI()*(Inputs!$F$13/1000)^2/4)*((Inputs!$F$13/1000/4)^(2/3))*SQRT(N46))</f>
        <v/>
      </c>
      <c r="AM46" s="4">
        <f>IF(A46="","",(1/Inputs!$B$9)*(PI()*(Inputs!$F$14/1000)^2/4)*((Inputs!$F$14/1000/4)^(2/3))*SQRT(N46))</f>
        <v/>
      </c>
    </row>
    <row r="47">
      <c r="A47" s="4" t="n"/>
      <c r="B47" s="4" t="n"/>
      <c r="C47" s="8" t="n"/>
      <c r="D47" s="8" t="n"/>
      <c r="E47" s="8">
        <f>SUMIFS(CB_Tributaires!$C:$C,CB_Tributaires!$B:$B,$A47)</f>
        <v/>
      </c>
      <c r="F47" s="8">
        <f>IF(D47="",E47,D47)</f>
        <v/>
      </c>
      <c r="G47" s="4" t="n"/>
      <c r="H47" s="8" t="n"/>
      <c r="I47" s="8">
        <f>IF(A47="","",Inputs!$B$13/((IF(H47="",Inputs!$B$18,H47)+Inputs!$B$14)^Inputs!$B$15))</f>
        <v/>
      </c>
      <c r="J47" s="8">
        <f>IF(A47="","",0.00278*IF(G47="",Inputs!$B$17,G47)*F47*I47)</f>
        <v/>
      </c>
      <c r="K47" s="8">
        <f>IF(A47="","",SUMIFS($L$4:$L$203,$B$4:$B$203,$A47))</f>
        <v/>
      </c>
      <c r="L47" s="8">
        <f>IF(A47="","",(J47+K47)*Inputs!$B$16)</f>
        <v/>
      </c>
      <c r="M47" s="8" t="n"/>
      <c r="N47" s="8">
        <f>IF(A47="","",IF(M47="",Inputs!$B$7,M47))</f>
        <v/>
      </c>
      <c r="O47" s="4">
        <f>IF(A47="","",IF(L47/Inputs!$B$10&lt;=AD47,Inputs!$F$5,IF(L47/Inputs!$B$10&gt;AM47,"OVERSIZE",INDEX(Inputs!$F$5:$F$14,MATCH(L47/Inputs!$B$10,AD47:AM47,1)+1))))</f>
        <v/>
      </c>
      <c r="P47" s="4" t="n"/>
      <c r="Q47" s="4">
        <f>IF(A47="","",IF(P47="",O47,P47))</f>
        <v/>
      </c>
      <c r="R47" s="8">
        <f>IF(OR(Q47="",Q47="OVERSIZE"),"",Q47/1000)</f>
        <v/>
      </c>
      <c r="S47" s="8">
        <f>IF(R47="","",(1/Inputs!$B$9)*(PI()*R47^2/4)*((R47/4)^(2/3))*SQRT(N47))</f>
        <v/>
      </c>
      <c r="T47" s="8">
        <f>IF(OR(S47="",L47=""),"",L47/(S47*Inputs!$B$10))</f>
        <v/>
      </c>
      <c r="U47" s="8">
        <f>IF(OR(R47="",L47=""),"",4*L47/(PI()*R47^2))</f>
        <v/>
      </c>
      <c r="V47" s="8" t="n"/>
      <c r="W47" s="8">
        <f>IF(A47="","",IF(A47=Inputs!$B$6,Inputs!$B$22,IF(B47="","",IFERROR(INDEX($X$4:$X$203,MATCH(B47,$A$4:$A$203,0))+IF(V47="",Inputs!$B$20,V47),""))))</f>
        <v/>
      </c>
      <c r="X47" s="8">
        <f>IF(OR(W47="",N47="",C47=""),"",W47+N47*C47)</f>
        <v/>
      </c>
      <c r="Y47" s="8" t="n"/>
      <c r="Z47" s="8" t="n"/>
      <c r="AA47" s="8">
        <f>IF(OR(Y47="",W47=""),"",Y47-W47)</f>
        <v/>
      </c>
      <c r="AB47" s="8">
        <f>IF(OR(Z47="",X47=""),"",Z47-X47)</f>
        <v/>
      </c>
      <c r="AC47" s="4">
        <f>IF(A47="","",IF(OR(T47&gt;1,U47&lt;Inputs!$B$11,U47&gt;Inputs!$B$12,AA47&lt;Inputs!$B$19,AB47&lt;Inputs!$B$19,N47&lt;Inputs!$B$7,N47&gt;Inputs!$B$8),"CHECK","OK"))</f>
        <v/>
      </c>
      <c r="AD47" s="4">
        <f>IF(A47="","",(1/Inputs!$B$9)*(PI()*(Inputs!$F$5/1000)^2/4)*((Inputs!$F$5/1000/4)^(2/3))*SQRT(N47))</f>
        <v/>
      </c>
      <c r="AE47" s="4">
        <f>IF(A47="","",(1/Inputs!$B$9)*(PI()*(Inputs!$F$6/1000)^2/4)*((Inputs!$F$6/1000/4)^(2/3))*SQRT(N47))</f>
        <v/>
      </c>
      <c r="AF47" s="4">
        <f>IF(A47="","",(1/Inputs!$B$9)*(PI()*(Inputs!$F$7/1000)^2/4)*((Inputs!$F$7/1000/4)^(2/3))*SQRT(N47))</f>
        <v/>
      </c>
      <c r="AG47" s="4">
        <f>IF(A47="","",(1/Inputs!$B$9)*(PI()*(Inputs!$F$8/1000)^2/4)*((Inputs!$F$8/1000/4)^(2/3))*SQRT(N47))</f>
        <v/>
      </c>
      <c r="AH47" s="4">
        <f>IF(A47="","",(1/Inputs!$B$9)*(PI()*(Inputs!$F$9/1000)^2/4)*((Inputs!$F$9/1000/4)^(2/3))*SQRT(N47))</f>
        <v/>
      </c>
      <c r="AI47" s="4">
        <f>IF(A47="","",(1/Inputs!$B$9)*(PI()*(Inputs!$F$10/1000)^2/4)*((Inputs!$F$10/1000/4)^(2/3))*SQRT(N47))</f>
        <v/>
      </c>
      <c r="AJ47" s="4">
        <f>IF(A47="","",(1/Inputs!$B$9)*(PI()*(Inputs!$F$11/1000)^2/4)*((Inputs!$F$11/1000/4)^(2/3))*SQRT(N47))</f>
        <v/>
      </c>
      <c r="AK47" s="4">
        <f>IF(A47="","",(1/Inputs!$B$9)*(PI()*(Inputs!$F$12/1000)^2/4)*((Inputs!$F$12/1000/4)^(2/3))*SQRT(N47))</f>
        <v/>
      </c>
      <c r="AL47" s="4">
        <f>IF(A47="","",(1/Inputs!$B$9)*(PI()*(Inputs!$F$13/1000)^2/4)*((Inputs!$F$13/1000/4)^(2/3))*SQRT(N47))</f>
        <v/>
      </c>
      <c r="AM47" s="4">
        <f>IF(A47="","",(1/Inputs!$B$9)*(PI()*(Inputs!$F$14/1000)^2/4)*((Inputs!$F$14/1000/4)^(2/3))*SQRT(N47))</f>
        <v/>
      </c>
    </row>
    <row r="48">
      <c r="A48" s="4" t="n"/>
      <c r="B48" s="4" t="n"/>
      <c r="C48" s="8" t="n"/>
      <c r="D48" s="8" t="n"/>
      <c r="E48" s="8">
        <f>SUMIFS(CB_Tributaires!$C:$C,CB_Tributaires!$B:$B,$A48)</f>
        <v/>
      </c>
      <c r="F48" s="8">
        <f>IF(D48="",E48,D48)</f>
        <v/>
      </c>
      <c r="G48" s="4" t="n"/>
      <c r="H48" s="8" t="n"/>
      <c r="I48" s="8">
        <f>IF(A48="","",Inputs!$B$13/((IF(H48="",Inputs!$B$18,H48)+Inputs!$B$14)^Inputs!$B$15))</f>
        <v/>
      </c>
      <c r="J48" s="8">
        <f>IF(A48="","",0.00278*IF(G48="",Inputs!$B$17,G48)*F48*I48)</f>
        <v/>
      </c>
      <c r="K48" s="8">
        <f>IF(A48="","",SUMIFS($L$4:$L$203,$B$4:$B$203,$A48))</f>
        <v/>
      </c>
      <c r="L48" s="8">
        <f>IF(A48="","",(J48+K48)*Inputs!$B$16)</f>
        <v/>
      </c>
      <c r="M48" s="8" t="n"/>
      <c r="N48" s="8">
        <f>IF(A48="","",IF(M48="",Inputs!$B$7,M48))</f>
        <v/>
      </c>
      <c r="O48" s="4">
        <f>IF(A48="","",IF(L48/Inputs!$B$10&lt;=AD48,Inputs!$F$5,IF(L48/Inputs!$B$10&gt;AM48,"OVERSIZE",INDEX(Inputs!$F$5:$F$14,MATCH(L48/Inputs!$B$10,AD48:AM48,1)+1))))</f>
        <v/>
      </c>
      <c r="P48" s="4" t="n"/>
      <c r="Q48" s="4">
        <f>IF(A48="","",IF(P48="",O48,P48))</f>
        <v/>
      </c>
      <c r="R48" s="8">
        <f>IF(OR(Q48="",Q48="OVERSIZE"),"",Q48/1000)</f>
        <v/>
      </c>
      <c r="S48" s="8">
        <f>IF(R48="","",(1/Inputs!$B$9)*(PI()*R48^2/4)*((R48/4)^(2/3))*SQRT(N48))</f>
        <v/>
      </c>
      <c r="T48" s="8">
        <f>IF(OR(S48="",L48=""),"",L48/(S48*Inputs!$B$10))</f>
        <v/>
      </c>
      <c r="U48" s="8">
        <f>IF(OR(R48="",L48=""),"",4*L48/(PI()*R48^2))</f>
        <v/>
      </c>
      <c r="V48" s="8" t="n"/>
      <c r="W48" s="8">
        <f>IF(A48="","",IF(A48=Inputs!$B$6,Inputs!$B$22,IF(B48="","",IFERROR(INDEX($X$4:$X$203,MATCH(B48,$A$4:$A$203,0))+IF(V48="",Inputs!$B$20,V48),""))))</f>
        <v/>
      </c>
      <c r="X48" s="8">
        <f>IF(OR(W48="",N48="",C48=""),"",W48+N48*C48)</f>
        <v/>
      </c>
      <c r="Y48" s="8" t="n"/>
      <c r="Z48" s="8" t="n"/>
      <c r="AA48" s="8">
        <f>IF(OR(Y48="",W48=""),"",Y48-W48)</f>
        <v/>
      </c>
      <c r="AB48" s="8">
        <f>IF(OR(Z48="",X48=""),"",Z48-X48)</f>
        <v/>
      </c>
      <c r="AC48" s="4">
        <f>IF(A48="","",IF(OR(T48&gt;1,U48&lt;Inputs!$B$11,U48&gt;Inputs!$B$12,AA48&lt;Inputs!$B$19,AB48&lt;Inputs!$B$19,N48&lt;Inputs!$B$7,N48&gt;Inputs!$B$8),"CHECK","OK"))</f>
        <v/>
      </c>
      <c r="AD48" s="4">
        <f>IF(A48="","",(1/Inputs!$B$9)*(PI()*(Inputs!$F$5/1000)^2/4)*((Inputs!$F$5/1000/4)^(2/3))*SQRT(N48))</f>
        <v/>
      </c>
      <c r="AE48" s="4">
        <f>IF(A48="","",(1/Inputs!$B$9)*(PI()*(Inputs!$F$6/1000)^2/4)*((Inputs!$F$6/1000/4)^(2/3))*SQRT(N48))</f>
        <v/>
      </c>
      <c r="AF48" s="4">
        <f>IF(A48="","",(1/Inputs!$B$9)*(PI()*(Inputs!$F$7/1000)^2/4)*((Inputs!$F$7/1000/4)^(2/3))*SQRT(N48))</f>
        <v/>
      </c>
      <c r="AG48" s="4">
        <f>IF(A48="","",(1/Inputs!$B$9)*(PI()*(Inputs!$F$8/1000)^2/4)*((Inputs!$F$8/1000/4)^(2/3))*SQRT(N48))</f>
        <v/>
      </c>
      <c r="AH48" s="4">
        <f>IF(A48="","",(1/Inputs!$B$9)*(PI()*(Inputs!$F$9/1000)^2/4)*((Inputs!$F$9/1000/4)^(2/3))*SQRT(N48))</f>
        <v/>
      </c>
      <c r="AI48" s="4">
        <f>IF(A48="","",(1/Inputs!$B$9)*(PI()*(Inputs!$F$10/1000)^2/4)*((Inputs!$F$10/1000/4)^(2/3))*SQRT(N48))</f>
        <v/>
      </c>
      <c r="AJ48" s="4">
        <f>IF(A48="","",(1/Inputs!$B$9)*(PI()*(Inputs!$F$11/1000)^2/4)*((Inputs!$F$11/1000/4)^(2/3))*SQRT(N48))</f>
        <v/>
      </c>
      <c r="AK48" s="4">
        <f>IF(A48="","",(1/Inputs!$B$9)*(PI()*(Inputs!$F$12/1000)^2/4)*((Inputs!$F$12/1000/4)^(2/3))*SQRT(N48))</f>
        <v/>
      </c>
      <c r="AL48" s="4">
        <f>IF(A48="","",(1/Inputs!$B$9)*(PI()*(Inputs!$F$13/1000)^2/4)*((Inputs!$F$13/1000/4)^(2/3))*SQRT(N48))</f>
        <v/>
      </c>
      <c r="AM48" s="4">
        <f>IF(A48="","",(1/Inputs!$B$9)*(PI()*(Inputs!$F$14/1000)^2/4)*((Inputs!$F$14/1000/4)^(2/3))*SQRT(N48))</f>
        <v/>
      </c>
    </row>
    <row r="49">
      <c r="A49" s="4" t="n"/>
      <c r="B49" s="4" t="n"/>
      <c r="C49" s="8" t="n"/>
      <c r="D49" s="8" t="n"/>
      <c r="E49" s="8">
        <f>SUMIFS(CB_Tributaires!$C:$C,CB_Tributaires!$B:$B,$A49)</f>
        <v/>
      </c>
      <c r="F49" s="8">
        <f>IF(D49="",E49,D49)</f>
        <v/>
      </c>
      <c r="G49" s="4" t="n"/>
      <c r="H49" s="8" t="n"/>
      <c r="I49" s="8">
        <f>IF(A49="","",Inputs!$B$13/((IF(H49="",Inputs!$B$18,H49)+Inputs!$B$14)^Inputs!$B$15))</f>
        <v/>
      </c>
      <c r="J49" s="8">
        <f>IF(A49="","",0.00278*IF(G49="",Inputs!$B$17,G49)*F49*I49)</f>
        <v/>
      </c>
      <c r="K49" s="8">
        <f>IF(A49="","",SUMIFS($L$4:$L$203,$B$4:$B$203,$A49))</f>
        <v/>
      </c>
      <c r="L49" s="8">
        <f>IF(A49="","",(J49+K49)*Inputs!$B$16)</f>
        <v/>
      </c>
      <c r="M49" s="8" t="n"/>
      <c r="N49" s="8">
        <f>IF(A49="","",IF(M49="",Inputs!$B$7,M49))</f>
        <v/>
      </c>
      <c r="O49" s="4">
        <f>IF(A49="","",IF(L49/Inputs!$B$10&lt;=AD49,Inputs!$F$5,IF(L49/Inputs!$B$10&gt;AM49,"OVERSIZE",INDEX(Inputs!$F$5:$F$14,MATCH(L49/Inputs!$B$10,AD49:AM49,1)+1))))</f>
        <v/>
      </c>
      <c r="P49" s="4" t="n"/>
      <c r="Q49" s="4">
        <f>IF(A49="","",IF(P49="",O49,P49))</f>
        <v/>
      </c>
      <c r="R49" s="8">
        <f>IF(OR(Q49="",Q49="OVERSIZE"),"",Q49/1000)</f>
        <v/>
      </c>
      <c r="S49" s="8">
        <f>IF(R49="","",(1/Inputs!$B$9)*(PI()*R49^2/4)*((R49/4)^(2/3))*SQRT(N49))</f>
        <v/>
      </c>
      <c r="T49" s="8">
        <f>IF(OR(S49="",L49=""),"",L49/(S49*Inputs!$B$10))</f>
        <v/>
      </c>
      <c r="U49" s="8">
        <f>IF(OR(R49="",L49=""),"",4*L49/(PI()*R49^2))</f>
        <v/>
      </c>
      <c r="V49" s="8" t="n"/>
      <c r="W49" s="8">
        <f>IF(A49="","",IF(A49=Inputs!$B$6,Inputs!$B$22,IF(B49="","",IFERROR(INDEX($X$4:$X$203,MATCH(B49,$A$4:$A$203,0))+IF(V49="",Inputs!$B$20,V49),""))))</f>
        <v/>
      </c>
      <c r="X49" s="8">
        <f>IF(OR(W49="",N49="",C49=""),"",W49+N49*C49)</f>
        <v/>
      </c>
      <c r="Y49" s="8" t="n"/>
      <c r="Z49" s="8" t="n"/>
      <c r="AA49" s="8">
        <f>IF(OR(Y49="",W49=""),"",Y49-W49)</f>
        <v/>
      </c>
      <c r="AB49" s="8">
        <f>IF(OR(Z49="",X49=""),"",Z49-X49)</f>
        <v/>
      </c>
      <c r="AC49" s="4">
        <f>IF(A49="","",IF(OR(T49&gt;1,U49&lt;Inputs!$B$11,U49&gt;Inputs!$B$12,AA49&lt;Inputs!$B$19,AB49&lt;Inputs!$B$19,N49&lt;Inputs!$B$7,N49&gt;Inputs!$B$8),"CHECK","OK"))</f>
        <v/>
      </c>
      <c r="AD49" s="4">
        <f>IF(A49="","",(1/Inputs!$B$9)*(PI()*(Inputs!$F$5/1000)^2/4)*((Inputs!$F$5/1000/4)^(2/3))*SQRT(N49))</f>
        <v/>
      </c>
      <c r="AE49" s="4">
        <f>IF(A49="","",(1/Inputs!$B$9)*(PI()*(Inputs!$F$6/1000)^2/4)*((Inputs!$F$6/1000/4)^(2/3))*SQRT(N49))</f>
        <v/>
      </c>
      <c r="AF49" s="4">
        <f>IF(A49="","",(1/Inputs!$B$9)*(PI()*(Inputs!$F$7/1000)^2/4)*((Inputs!$F$7/1000/4)^(2/3))*SQRT(N49))</f>
        <v/>
      </c>
      <c r="AG49" s="4">
        <f>IF(A49="","",(1/Inputs!$B$9)*(PI()*(Inputs!$F$8/1000)^2/4)*((Inputs!$F$8/1000/4)^(2/3))*SQRT(N49))</f>
        <v/>
      </c>
      <c r="AH49" s="4">
        <f>IF(A49="","",(1/Inputs!$B$9)*(PI()*(Inputs!$F$9/1000)^2/4)*((Inputs!$F$9/1000/4)^(2/3))*SQRT(N49))</f>
        <v/>
      </c>
      <c r="AI49" s="4">
        <f>IF(A49="","",(1/Inputs!$B$9)*(PI()*(Inputs!$F$10/1000)^2/4)*((Inputs!$F$10/1000/4)^(2/3))*SQRT(N49))</f>
        <v/>
      </c>
      <c r="AJ49" s="4">
        <f>IF(A49="","",(1/Inputs!$B$9)*(PI()*(Inputs!$F$11/1000)^2/4)*((Inputs!$F$11/1000/4)^(2/3))*SQRT(N49))</f>
        <v/>
      </c>
      <c r="AK49" s="4">
        <f>IF(A49="","",(1/Inputs!$B$9)*(PI()*(Inputs!$F$12/1000)^2/4)*((Inputs!$F$12/1000/4)^(2/3))*SQRT(N49))</f>
        <v/>
      </c>
      <c r="AL49" s="4">
        <f>IF(A49="","",(1/Inputs!$B$9)*(PI()*(Inputs!$F$13/1000)^2/4)*((Inputs!$F$13/1000/4)^(2/3))*SQRT(N49))</f>
        <v/>
      </c>
      <c r="AM49" s="4">
        <f>IF(A49="","",(1/Inputs!$B$9)*(PI()*(Inputs!$F$14/1000)^2/4)*((Inputs!$F$14/1000/4)^(2/3))*SQRT(N49))</f>
        <v/>
      </c>
    </row>
    <row r="50">
      <c r="A50" s="4" t="n"/>
      <c r="B50" s="4" t="n"/>
      <c r="C50" s="8" t="n"/>
      <c r="D50" s="8" t="n"/>
      <c r="E50" s="8">
        <f>SUMIFS(CB_Tributaires!$C:$C,CB_Tributaires!$B:$B,$A50)</f>
        <v/>
      </c>
      <c r="F50" s="8">
        <f>IF(D50="",E50,D50)</f>
        <v/>
      </c>
      <c r="G50" s="4" t="n"/>
      <c r="H50" s="8" t="n"/>
      <c r="I50" s="8">
        <f>IF(A50="","",Inputs!$B$13/((IF(H50="",Inputs!$B$18,H50)+Inputs!$B$14)^Inputs!$B$15))</f>
        <v/>
      </c>
      <c r="J50" s="8">
        <f>IF(A50="","",0.00278*IF(G50="",Inputs!$B$17,G50)*F50*I50)</f>
        <v/>
      </c>
      <c r="K50" s="8">
        <f>IF(A50="","",SUMIFS($L$4:$L$203,$B$4:$B$203,$A50))</f>
        <v/>
      </c>
      <c r="L50" s="8">
        <f>IF(A50="","",(J50+K50)*Inputs!$B$16)</f>
        <v/>
      </c>
      <c r="M50" s="8" t="n"/>
      <c r="N50" s="8">
        <f>IF(A50="","",IF(M50="",Inputs!$B$7,M50))</f>
        <v/>
      </c>
      <c r="O50" s="4">
        <f>IF(A50="","",IF(L50/Inputs!$B$10&lt;=AD50,Inputs!$F$5,IF(L50/Inputs!$B$10&gt;AM50,"OVERSIZE",INDEX(Inputs!$F$5:$F$14,MATCH(L50/Inputs!$B$10,AD50:AM50,1)+1))))</f>
        <v/>
      </c>
      <c r="P50" s="4" t="n"/>
      <c r="Q50" s="4">
        <f>IF(A50="","",IF(P50="",O50,P50))</f>
        <v/>
      </c>
      <c r="R50" s="8">
        <f>IF(OR(Q50="",Q50="OVERSIZE"),"",Q50/1000)</f>
        <v/>
      </c>
      <c r="S50" s="8">
        <f>IF(R50="","",(1/Inputs!$B$9)*(PI()*R50^2/4)*((R50/4)^(2/3))*SQRT(N50))</f>
        <v/>
      </c>
      <c r="T50" s="8">
        <f>IF(OR(S50="",L50=""),"",L50/(S50*Inputs!$B$10))</f>
        <v/>
      </c>
      <c r="U50" s="8">
        <f>IF(OR(R50="",L50=""),"",4*L50/(PI()*R50^2))</f>
        <v/>
      </c>
      <c r="V50" s="8" t="n"/>
      <c r="W50" s="8">
        <f>IF(A50="","",IF(A50=Inputs!$B$6,Inputs!$B$22,IF(B50="","",IFERROR(INDEX($X$4:$X$203,MATCH(B50,$A$4:$A$203,0))+IF(V50="",Inputs!$B$20,V50),""))))</f>
        <v/>
      </c>
      <c r="X50" s="8">
        <f>IF(OR(W50="",N50="",C50=""),"",W50+N50*C50)</f>
        <v/>
      </c>
      <c r="Y50" s="8" t="n"/>
      <c r="Z50" s="8" t="n"/>
      <c r="AA50" s="8">
        <f>IF(OR(Y50="",W50=""),"",Y50-W50)</f>
        <v/>
      </c>
      <c r="AB50" s="8">
        <f>IF(OR(Z50="",X50=""),"",Z50-X50)</f>
        <v/>
      </c>
      <c r="AC50" s="4">
        <f>IF(A50="","",IF(OR(T50&gt;1,U50&lt;Inputs!$B$11,U50&gt;Inputs!$B$12,AA50&lt;Inputs!$B$19,AB50&lt;Inputs!$B$19,N50&lt;Inputs!$B$7,N50&gt;Inputs!$B$8),"CHECK","OK"))</f>
        <v/>
      </c>
      <c r="AD50" s="4">
        <f>IF(A50="","",(1/Inputs!$B$9)*(PI()*(Inputs!$F$5/1000)^2/4)*((Inputs!$F$5/1000/4)^(2/3))*SQRT(N50))</f>
        <v/>
      </c>
      <c r="AE50" s="4">
        <f>IF(A50="","",(1/Inputs!$B$9)*(PI()*(Inputs!$F$6/1000)^2/4)*((Inputs!$F$6/1000/4)^(2/3))*SQRT(N50))</f>
        <v/>
      </c>
      <c r="AF50" s="4">
        <f>IF(A50="","",(1/Inputs!$B$9)*(PI()*(Inputs!$F$7/1000)^2/4)*((Inputs!$F$7/1000/4)^(2/3))*SQRT(N50))</f>
        <v/>
      </c>
      <c r="AG50" s="4">
        <f>IF(A50="","",(1/Inputs!$B$9)*(PI()*(Inputs!$F$8/1000)^2/4)*((Inputs!$F$8/1000/4)^(2/3))*SQRT(N50))</f>
        <v/>
      </c>
      <c r="AH50" s="4">
        <f>IF(A50="","",(1/Inputs!$B$9)*(PI()*(Inputs!$F$9/1000)^2/4)*((Inputs!$F$9/1000/4)^(2/3))*SQRT(N50))</f>
        <v/>
      </c>
      <c r="AI50" s="4">
        <f>IF(A50="","",(1/Inputs!$B$9)*(PI()*(Inputs!$F$10/1000)^2/4)*((Inputs!$F$10/1000/4)^(2/3))*SQRT(N50))</f>
        <v/>
      </c>
      <c r="AJ50" s="4">
        <f>IF(A50="","",(1/Inputs!$B$9)*(PI()*(Inputs!$F$11/1000)^2/4)*((Inputs!$F$11/1000/4)^(2/3))*SQRT(N50))</f>
        <v/>
      </c>
      <c r="AK50" s="4">
        <f>IF(A50="","",(1/Inputs!$B$9)*(PI()*(Inputs!$F$12/1000)^2/4)*((Inputs!$F$12/1000/4)^(2/3))*SQRT(N50))</f>
        <v/>
      </c>
      <c r="AL50" s="4">
        <f>IF(A50="","",(1/Inputs!$B$9)*(PI()*(Inputs!$F$13/1000)^2/4)*((Inputs!$F$13/1000/4)^(2/3))*SQRT(N50))</f>
        <v/>
      </c>
      <c r="AM50" s="4">
        <f>IF(A50="","",(1/Inputs!$B$9)*(PI()*(Inputs!$F$14/1000)^2/4)*((Inputs!$F$14/1000/4)^(2/3))*SQRT(N50))</f>
        <v/>
      </c>
    </row>
    <row r="51">
      <c r="A51" s="4" t="n"/>
      <c r="B51" s="4" t="n"/>
      <c r="C51" s="8" t="n"/>
      <c r="D51" s="8" t="n"/>
      <c r="E51" s="8">
        <f>SUMIFS(CB_Tributaires!$C:$C,CB_Tributaires!$B:$B,$A51)</f>
        <v/>
      </c>
      <c r="F51" s="8">
        <f>IF(D51="",E51,D51)</f>
        <v/>
      </c>
      <c r="G51" s="4" t="n"/>
      <c r="H51" s="8" t="n"/>
      <c r="I51" s="8">
        <f>IF(A51="","",Inputs!$B$13/((IF(H51="",Inputs!$B$18,H51)+Inputs!$B$14)^Inputs!$B$15))</f>
        <v/>
      </c>
      <c r="J51" s="8">
        <f>IF(A51="","",0.00278*IF(G51="",Inputs!$B$17,G51)*F51*I51)</f>
        <v/>
      </c>
      <c r="K51" s="8">
        <f>IF(A51="","",SUMIFS($L$4:$L$203,$B$4:$B$203,$A51))</f>
        <v/>
      </c>
      <c r="L51" s="8">
        <f>IF(A51="","",(J51+K51)*Inputs!$B$16)</f>
        <v/>
      </c>
      <c r="M51" s="8" t="n"/>
      <c r="N51" s="8">
        <f>IF(A51="","",IF(M51="",Inputs!$B$7,M51))</f>
        <v/>
      </c>
      <c r="O51" s="4">
        <f>IF(A51="","",IF(L51/Inputs!$B$10&lt;=AD51,Inputs!$F$5,IF(L51/Inputs!$B$10&gt;AM51,"OVERSIZE",INDEX(Inputs!$F$5:$F$14,MATCH(L51/Inputs!$B$10,AD51:AM51,1)+1))))</f>
        <v/>
      </c>
      <c r="P51" s="4" t="n"/>
      <c r="Q51" s="4">
        <f>IF(A51="","",IF(P51="",O51,P51))</f>
        <v/>
      </c>
      <c r="R51" s="8">
        <f>IF(OR(Q51="",Q51="OVERSIZE"),"",Q51/1000)</f>
        <v/>
      </c>
      <c r="S51" s="8">
        <f>IF(R51="","",(1/Inputs!$B$9)*(PI()*R51^2/4)*((R51/4)^(2/3))*SQRT(N51))</f>
        <v/>
      </c>
      <c r="T51" s="8">
        <f>IF(OR(S51="",L51=""),"",L51/(S51*Inputs!$B$10))</f>
        <v/>
      </c>
      <c r="U51" s="8">
        <f>IF(OR(R51="",L51=""),"",4*L51/(PI()*R51^2))</f>
        <v/>
      </c>
      <c r="V51" s="8" t="n"/>
      <c r="W51" s="8">
        <f>IF(A51="","",IF(A51=Inputs!$B$6,Inputs!$B$22,IF(B51="","",IFERROR(INDEX($X$4:$X$203,MATCH(B51,$A$4:$A$203,0))+IF(V51="",Inputs!$B$20,V51),""))))</f>
        <v/>
      </c>
      <c r="X51" s="8">
        <f>IF(OR(W51="",N51="",C51=""),"",W51+N51*C51)</f>
        <v/>
      </c>
      <c r="Y51" s="8" t="n"/>
      <c r="Z51" s="8" t="n"/>
      <c r="AA51" s="8">
        <f>IF(OR(Y51="",W51=""),"",Y51-W51)</f>
        <v/>
      </c>
      <c r="AB51" s="8">
        <f>IF(OR(Z51="",X51=""),"",Z51-X51)</f>
        <v/>
      </c>
      <c r="AC51" s="4">
        <f>IF(A51="","",IF(OR(T51&gt;1,U51&lt;Inputs!$B$11,U51&gt;Inputs!$B$12,AA51&lt;Inputs!$B$19,AB51&lt;Inputs!$B$19,N51&lt;Inputs!$B$7,N51&gt;Inputs!$B$8),"CHECK","OK"))</f>
        <v/>
      </c>
      <c r="AD51" s="4">
        <f>IF(A51="","",(1/Inputs!$B$9)*(PI()*(Inputs!$F$5/1000)^2/4)*((Inputs!$F$5/1000/4)^(2/3))*SQRT(N51))</f>
        <v/>
      </c>
      <c r="AE51" s="4">
        <f>IF(A51="","",(1/Inputs!$B$9)*(PI()*(Inputs!$F$6/1000)^2/4)*((Inputs!$F$6/1000/4)^(2/3))*SQRT(N51))</f>
        <v/>
      </c>
      <c r="AF51" s="4">
        <f>IF(A51="","",(1/Inputs!$B$9)*(PI()*(Inputs!$F$7/1000)^2/4)*((Inputs!$F$7/1000/4)^(2/3))*SQRT(N51))</f>
        <v/>
      </c>
      <c r="AG51" s="4">
        <f>IF(A51="","",(1/Inputs!$B$9)*(PI()*(Inputs!$F$8/1000)^2/4)*((Inputs!$F$8/1000/4)^(2/3))*SQRT(N51))</f>
        <v/>
      </c>
      <c r="AH51" s="4">
        <f>IF(A51="","",(1/Inputs!$B$9)*(PI()*(Inputs!$F$9/1000)^2/4)*((Inputs!$F$9/1000/4)^(2/3))*SQRT(N51))</f>
        <v/>
      </c>
      <c r="AI51" s="4">
        <f>IF(A51="","",(1/Inputs!$B$9)*(PI()*(Inputs!$F$10/1000)^2/4)*((Inputs!$F$10/1000/4)^(2/3))*SQRT(N51))</f>
        <v/>
      </c>
      <c r="AJ51" s="4">
        <f>IF(A51="","",(1/Inputs!$B$9)*(PI()*(Inputs!$F$11/1000)^2/4)*((Inputs!$F$11/1000/4)^(2/3))*SQRT(N51))</f>
        <v/>
      </c>
      <c r="AK51" s="4">
        <f>IF(A51="","",(1/Inputs!$B$9)*(PI()*(Inputs!$F$12/1000)^2/4)*((Inputs!$F$12/1000/4)^(2/3))*SQRT(N51))</f>
        <v/>
      </c>
      <c r="AL51" s="4">
        <f>IF(A51="","",(1/Inputs!$B$9)*(PI()*(Inputs!$F$13/1000)^2/4)*((Inputs!$F$13/1000/4)^(2/3))*SQRT(N51))</f>
        <v/>
      </c>
      <c r="AM51" s="4">
        <f>IF(A51="","",(1/Inputs!$B$9)*(PI()*(Inputs!$F$14/1000)^2/4)*((Inputs!$F$14/1000/4)^(2/3))*SQRT(N51))</f>
        <v/>
      </c>
    </row>
    <row r="52">
      <c r="A52" s="4" t="n"/>
      <c r="B52" s="4" t="n"/>
      <c r="C52" s="8" t="n"/>
      <c r="D52" s="8" t="n"/>
      <c r="E52" s="8">
        <f>SUMIFS(CB_Tributaires!$C:$C,CB_Tributaires!$B:$B,$A52)</f>
        <v/>
      </c>
      <c r="F52" s="8">
        <f>IF(D52="",E52,D52)</f>
        <v/>
      </c>
      <c r="G52" s="4" t="n"/>
      <c r="H52" s="8" t="n"/>
      <c r="I52" s="8">
        <f>IF(A52="","",Inputs!$B$13/((IF(H52="",Inputs!$B$18,H52)+Inputs!$B$14)^Inputs!$B$15))</f>
        <v/>
      </c>
      <c r="J52" s="8">
        <f>IF(A52="","",0.00278*IF(G52="",Inputs!$B$17,G52)*F52*I52)</f>
        <v/>
      </c>
      <c r="K52" s="8">
        <f>IF(A52="","",SUMIFS($L$4:$L$203,$B$4:$B$203,$A52))</f>
        <v/>
      </c>
      <c r="L52" s="8">
        <f>IF(A52="","",(J52+K52)*Inputs!$B$16)</f>
        <v/>
      </c>
      <c r="M52" s="8" t="n"/>
      <c r="N52" s="8">
        <f>IF(A52="","",IF(M52="",Inputs!$B$7,M52))</f>
        <v/>
      </c>
      <c r="O52" s="4">
        <f>IF(A52="","",IF(L52/Inputs!$B$10&lt;=AD52,Inputs!$F$5,IF(L52/Inputs!$B$10&gt;AM52,"OVERSIZE",INDEX(Inputs!$F$5:$F$14,MATCH(L52/Inputs!$B$10,AD52:AM52,1)+1))))</f>
        <v/>
      </c>
      <c r="P52" s="4" t="n"/>
      <c r="Q52" s="4">
        <f>IF(A52="","",IF(P52="",O52,P52))</f>
        <v/>
      </c>
      <c r="R52" s="8">
        <f>IF(OR(Q52="",Q52="OVERSIZE"),"",Q52/1000)</f>
        <v/>
      </c>
      <c r="S52" s="8">
        <f>IF(R52="","",(1/Inputs!$B$9)*(PI()*R52^2/4)*((R52/4)^(2/3))*SQRT(N52))</f>
        <v/>
      </c>
      <c r="T52" s="8">
        <f>IF(OR(S52="",L52=""),"",L52/(S52*Inputs!$B$10))</f>
        <v/>
      </c>
      <c r="U52" s="8">
        <f>IF(OR(R52="",L52=""),"",4*L52/(PI()*R52^2))</f>
        <v/>
      </c>
      <c r="V52" s="8" t="n"/>
      <c r="W52" s="8">
        <f>IF(A52="","",IF(A52=Inputs!$B$6,Inputs!$B$22,IF(B52="","",IFERROR(INDEX($X$4:$X$203,MATCH(B52,$A$4:$A$203,0))+IF(V52="",Inputs!$B$20,V52),""))))</f>
        <v/>
      </c>
      <c r="X52" s="8">
        <f>IF(OR(W52="",N52="",C52=""),"",W52+N52*C52)</f>
        <v/>
      </c>
      <c r="Y52" s="8" t="n"/>
      <c r="Z52" s="8" t="n"/>
      <c r="AA52" s="8">
        <f>IF(OR(Y52="",W52=""),"",Y52-W52)</f>
        <v/>
      </c>
      <c r="AB52" s="8">
        <f>IF(OR(Z52="",X52=""),"",Z52-X52)</f>
        <v/>
      </c>
      <c r="AC52" s="4">
        <f>IF(A52="","",IF(OR(T52&gt;1,U52&lt;Inputs!$B$11,U52&gt;Inputs!$B$12,AA52&lt;Inputs!$B$19,AB52&lt;Inputs!$B$19,N52&lt;Inputs!$B$7,N52&gt;Inputs!$B$8),"CHECK","OK"))</f>
        <v/>
      </c>
      <c r="AD52" s="4">
        <f>IF(A52="","",(1/Inputs!$B$9)*(PI()*(Inputs!$F$5/1000)^2/4)*((Inputs!$F$5/1000/4)^(2/3))*SQRT(N52))</f>
        <v/>
      </c>
      <c r="AE52" s="4">
        <f>IF(A52="","",(1/Inputs!$B$9)*(PI()*(Inputs!$F$6/1000)^2/4)*((Inputs!$F$6/1000/4)^(2/3))*SQRT(N52))</f>
        <v/>
      </c>
      <c r="AF52" s="4">
        <f>IF(A52="","",(1/Inputs!$B$9)*(PI()*(Inputs!$F$7/1000)^2/4)*((Inputs!$F$7/1000/4)^(2/3))*SQRT(N52))</f>
        <v/>
      </c>
      <c r="AG52" s="4">
        <f>IF(A52="","",(1/Inputs!$B$9)*(PI()*(Inputs!$F$8/1000)^2/4)*((Inputs!$F$8/1000/4)^(2/3))*SQRT(N52))</f>
        <v/>
      </c>
      <c r="AH52" s="4">
        <f>IF(A52="","",(1/Inputs!$B$9)*(PI()*(Inputs!$F$9/1000)^2/4)*((Inputs!$F$9/1000/4)^(2/3))*SQRT(N52))</f>
        <v/>
      </c>
      <c r="AI52" s="4">
        <f>IF(A52="","",(1/Inputs!$B$9)*(PI()*(Inputs!$F$10/1000)^2/4)*((Inputs!$F$10/1000/4)^(2/3))*SQRT(N52))</f>
        <v/>
      </c>
      <c r="AJ52" s="4">
        <f>IF(A52="","",(1/Inputs!$B$9)*(PI()*(Inputs!$F$11/1000)^2/4)*((Inputs!$F$11/1000/4)^(2/3))*SQRT(N52))</f>
        <v/>
      </c>
      <c r="AK52" s="4">
        <f>IF(A52="","",(1/Inputs!$B$9)*(PI()*(Inputs!$F$12/1000)^2/4)*((Inputs!$F$12/1000/4)^(2/3))*SQRT(N52))</f>
        <v/>
      </c>
      <c r="AL52" s="4">
        <f>IF(A52="","",(1/Inputs!$B$9)*(PI()*(Inputs!$F$13/1000)^2/4)*((Inputs!$F$13/1000/4)^(2/3))*SQRT(N52))</f>
        <v/>
      </c>
      <c r="AM52" s="4">
        <f>IF(A52="","",(1/Inputs!$B$9)*(PI()*(Inputs!$F$14/1000)^2/4)*((Inputs!$F$14/1000/4)^(2/3))*SQRT(N52))</f>
        <v/>
      </c>
    </row>
    <row r="53">
      <c r="A53" s="4" t="n"/>
      <c r="B53" s="4" t="n"/>
      <c r="C53" s="8" t="n"/>
      <c r="D53" s="8" t="n"/>
      <c r="E53" s="8">
        <f>SUMIFS(CB_Tributaires!$C:$C,CB_Tributaires!$B:$B,$A53)</f>
        <v/>
      </c>
      <c r="F53" s="8">
        <f>IF(D53="",E53,D53)</f>
        <v/>
      </c>
      <c r="G53" s="4" t="n"/>
      <c r="H53" s="8" t="n"/>
      <c r="I53" s="8">
        <f>IF(A53="","",Inputs!$B$13/((IF(H53="",Inputs!$B$18,H53)+Inputs!$B$14)^Inputs!$B$15))</f>
        <v/>
      </c>
      <c r="J53" s="8">
        <f>IF(A53="","",0.00278*IF(G53="",Inputs!$B$17,G53)*F53*I53)</f>
        <v/>
      </c>
      <c r="K53" s="8">
        <f>IF(A53="","",SUMIFS($L$4:$L$203,$B$4:$B$203,$A53))</f>
        <v/>
      </c>
      <c r="L53" s="8">
        <f>IF(A53="","",(J53+K53)*Inputs!$B$16)</f>
        <v/>
      </c>
      <c r="M53" s="8" t="n"/>
      <c r="N53" s="8">
        <f>IF(A53="","",IF(M53="",Inputs!$B$7,M53))</f>
        <v/>
      </c>
      <c r="O53" s="4">
        <f>IF(A53="","",IF(L53/Inputs!$B$10&lt;=AD53,Inputs!$F$5,IF(L53/Inputs!$B$10&gt;AM53,"OVERSIZE",INDEX(Inputs!$F$5:$F$14,MATCH(L53/Inputs!$B$10,AD53:AM53,1)+1))))</f>
        <v/>
      </c>
      <c r="P53" s="4" t="n"/>
      <c r="Q53" s="4">
        <f>IF(A53="","",IF(P53="",O53,P53))</f>
        <v/>
      </c>
      <c r="R53" s="8">
        <f>IF(OR(Q53="",Q53="OVERSIZE"),"",Q53/1000)</f>
        <v/>
      </c>
      <c r="S53" s="8">
        <f>IF(R53="","",(1/Inputs!$B$9)*(PI()*R53^2/4)*((R53/4)^(2/3))*SQRT(N53))</f>
        <v/>
      </c>
      <c r="T53" s="8">
        <f>IF(OR(S53="",L53=""),"",L53/(S53*Inputs!$B$10))</f>
        <v/>
      </c>
      <c r="U53" s="8">
        <f>IF(OR(R53="",L53=""),"",4*L53/(PI()*R53^2))</f>
        <v/>
      </c>
      <c r="V53" s="8" t="n"/>
      <c r="W53" s="8">
        <f>IF(A53="","",IF(A53=Inputs!$B$6,Inputs!$B$22,IF(B53="","",IFERROR(INDEX($X$4:$X$203,MATCH(B53,$A$4:$A$203,0))+IF(V53="",Inputs!$B$20,V53),""))))</f>
        <v/>
      </c>
      <c r="X53" s="8">
        <f>IF(OR(W53="",N53="",C53=""),"",W53+N53*C53)</f>
        <v/>
      </c>
      <c r="Y53" s="8" t="n"/>
      <c r="Z53" s="8" t="n"/>
      <c r="AA53" s="8">
        <f>IF(OR(Y53="",W53=""),"",Y53-W53)</f>
        <v/>
      </c>
      <c r="AB53" s="8">
        <f>IF(OR(Z53="",X53=""),"",Z53-X53)</f>
        <v/>
      </c>
      <c r="AC53" s="4">
        <f>IF(A53="","",IF(OR(T53&gt;1,U53&lt;Inputs!$B$11,U53&gt;Inputs!$B$12,AA53&lt;Inputs!$B$19,AB53&lt;Inputs!$B$19,N53&lt;Inputs!$B$7,N53&gt;Inputs!$B$8),"CHECK","OK"))</f>
        <v/>
      </c>
      <c r="AD53" s="4">
        <f>IF(A53="","",(1/Inputs!$B$9)*(PI()*(Inputs!$F$5/1000)^2/4)*((Inputs!$F$5/1000/4)^(2/3))*SQRT(N53))</f>
        <v/>
      </c>
      <c r="AE53" s="4">
        <f>IF(A53="","",(1/Inputs!$B$9)*(PI()*(Inputs!$F$6/1000)^2/4)*((Inputs!$F$6/1000/4)^(2/3))*SQRT(N53))</f>
        <v/>
      </c>
      <c r="AF53" s="4">
        <f>IF(A53="","",(1/Inputs!$B$9)*(PI()*(Inputs!$F$7/1000)^2/4)*((Inputs!$F$7/1000/4)^(2/3))*SQRT(N53))</f>
        <v/>
      </c>
      <c r="AG53" s="4">
        <f>IF(A53="","",(1/Inputs!$B$9)*(PI()*(Inputs!$F$8/1000)^2/4)*((Inputs!$F$8/1000/4)^(2/3))*SQRT(N53))</f>
        <v/>
      </c>
      <c r="AH53" s="4">
        <f>IF(A53="","",(1/Inputs!$B$9)*(PI()*(Inputs!$F$9/1000)^2/4)*((Inputs!$F$9/1000/4)^(2/3))*SQRT(N53))</f>
        <v/>
      </c>
      <c r="AI53" s="4">
        <f>IF(A53="","",(1/Inputs!$B$9)*(PI()*(Inputs!$F$10/1000)^2/4)*((Inputs!$F$10/1000/4)^(2/3))*SQRT(N53))</f>
        <v/>
      </c>
      <c r="AJ53" s="4">
        <f>IF(A53="","",(1/Inputs!$B$9)*(PI()*(Inputs!$F$11/1000)^2/4)*((Inputs!$F$11/1000/4)^(2/3))*SQRT(N53))</f>
        <v/>
      </c>
      <c r="AK53" s="4">
        <f>IF(A53="","",(1/Inputs!$B$9)*(PI()*(Inputs!$F$12/1000)^2/4)*((Inputs!$F$12/1000/4)^(2/3))*SQRT(N53))</f>
        <v/>
      </c>
      <c r="AL53" s="4">
        <f>IF(A53="","",(1/Inputs!$B$9)*(PI()*(Inputs!$F$13/1000)^2/4)*((Inputs!$F$13/1000/4)^(2/3))*SQRT(N53))</f>
        <v/>
      </c>
      <c r="AM53" s="4">
        <f>IF(A53="","",(1/Inputs!$B$9)*(PI()*(Inputs!$F$14/1000)^2/4)*((Inputs!$F$14/1000/4)^(2/3))*SQRT(N53))</f>
        <v/>
      </c>
    </row>
    <row r="54">
      <c r="A54" s="4" t="n"/>
      <c r="B54" s="4" t="n"/>
      <c r="C54" s="8" t="n"/>
      <c r="D54" s="8" t="n"/>
      <c r="E54" s="8">
        <f>SUMIFS(CB_Tributaires!$C:$C,CB_Tributaires!$B:$B,$A54)</f>
        <v/>
      </c>
      <c r="F54" s="8">
        <f>IF(D54="",E54,D54)</f>
        <v/>
      </c>
      <c r="G54" s="4" t="n"/>
      <c r="H54" s="8" t="n"/>
      <c r="I54" s="8">
        <f>IF(A54="","",Inputs!$B$13/((IF(H54="",Inputs!$B$18,H54)+Inputs!$B$14)^Inputs!$B$15))</f>
        <v/>
      </c>
      <c r="J54" s="8">
        <f>IF(A54="","",0.00278*IF(G54="",Inputs!$B$17,G54)*F54*I54)</f>
        <v/>
      </c>
      <c r="K54" s="8">
        <f>IF(A54="","",SUMIFS($L$4:$L$203,$B$4:$B$203,$A54))</f>
        <v/>
      </c>
      <c r="L54" s="8">
        <f>IF(A54="","",(J54+K54)*Inputs!$B$16)</f>
        <v/>
      </c>
      <c r="M54" s="8" t="n"/>
      <c r="N54" s="8">
        <f>IF(A54="","",IF(M54="",Inputs!$B$7,M54))</f>
        <v/>
      </c>
      <c r="O54" s="4">
        <f>IF(A54="","",IF(L54/Inputs!$B$10&lt;=AD54,Inputs!$F$5,IF(L54/Inputs!$B$10&gt;AM54,"OVERSIZE",INDEX(Inputs!$F$5:$F$14,MATCH(L54/Inputs!$B$10,AD54:AM54,1)+1))))</f>
        <v/>
      </c>
      <c r="P54" s="4" t="n"/>
      <c r="Q54" s="4">
        <f>IF(A54="","",IF(P54="",O54,P54))</f>
        <v/>
      </c>
      <c r="R54" s="8">
        <f>IF(OR(Q54="",Q54="OVERSIZE"),"",Q54/1000)</f>
        <v/>
      </c>
      <c r="S54" s="8">
        <f>IF(R54="","",(1/Inputs!$B$9)*(PI()*R54^2/4)*((R54/4)^(2/3))*SQRT(N54))</f>
        <v/>
      </c>
      <c r="T54" s="8">
        <f>IF(OR(S54="",L54=""),"",L54/(S54*Inputs!$B$10))</f>
        <v/>
      </c>
      <c r="U54" s="8">
        <f>IF(OR(R54="",L54=""),"",4*L54/(PI()*R54^2))</f>
        <v/>
      </c>
      <c r="V54" s="8" t="n"/>
      <c r="W54" s="8">
        <f>IF(A54="","",IF(A54=Inputs!$B$6,Inputs!$B$22,IF(B54="","",IFERROR(INDEX($X$4:$X$203,MATCH(B54,$A$4:$A$203,0))+IF(V54="",Inputs!$B$20,V54),""))))</f>
        <v/>
      </c>
      <c r="X54" s="8">
        <f>IF(OR(W54="",N54="",C54=""),"",W54+N54*C54)</f>
        <v/>
      </c>
      <c r="Y54" s="8" t="n"/>
      <c r="Z54" s="8" t="n"/>
      <c r="AA54" s="8">
        <f>IF(OR(Y54="",W54=""),"",Y54-W54)</f>
        <v/>
      </c>
      <c r="AB54" s="8">
        <f>IF(OR(Z54="",X54=""),"",Z54-X54)</f>
        <v/>
      </c>
      <c r="AC54" s="4">
        <f>IF(A54="","",IF(OR(T54&gt;1,U54&lt;Inputs!$B$11,U54&gt;Inputs!$B$12,AA54&lt;Inputs!$B$19,AB54&lt;Inputs!$B$19,N54&lt;Inputs!$B$7,N54&gt;Inputs!$B$8),"CHECK","OK"))</f>
        <v/>
      </c>
      <c r="AD54" s="4">
        <f>IF(A54="","",(1/Inputs!$B$9)*(PI()*(Inputs!$F$5/1000)^2/4)*((Inputs!$F$5/1000/4)^(2/3))*SQRT(N54))</f>
        <v/>
      </c>
      <c r="AE54" s="4">
        <f>IF(A54="","",(1/Inputs!$B$9)*(PI()*(Inputs!$F$6/1000)^2/4)*((Inputs!$F$6/1000/4)^(2/3))*SQRT(N54))</f>
        <v/>
      </c>
      <c r="AF54" s="4">
        <f>IF(A54="","",(1/Inputs!$B$9)*(PI()*(Inputs!$F$7/1000)^2/4)*((Inputs!$F$7/1000/4)^(2/3))*SQRT(N54))</f>
        <v/>
      </c>
      <c r="AG54" s="4">
        <f>IF(A54="","",(1/Inputs!$B$9)*(PI()*(Inputs!$F$8/1000)^2/4)*((Inputs!$F$8/1000/4)^(2/3))*SQRT(N54))</f>
        <v/>
      </c>
      <c r="AH54" s="4">
        <f>IF(A54="","",(1/Inputs!$B$9)*(PI()*(Inputs!$F$9/1000)^2/4)*((Inputs!$F$9/1000/4)^(2/3))*SQRT(N54))</f>
        <v/>
      </c>
      <c r="AI54" s="4">
        <f>IF(A54="","",(1/Inputs!$B$9)*(PI()*(Inputs!$F$10/1000)^2/4)*((Inputs!$F$10/1000/4)^(2/3))*SQRT(N54))</f>
        <v/>
      </c>
      <c r="AJ54" s="4">
        <f>IF(A54="","",(1/Inputs!$B$9)*(PI()*(Inputs!$F$11/1000)^2/4)*((Inputs!$F$11/1000/4)^(2/3))*SQRT(N54))</f>
        <v/>
      </c>
      <c r="AK54" s="4">
        <f>IF(A54="","",(1/Inputs!$B$9)*(PI()*(Inputs!$F$12/1000)^2/4)*((Inputs!$F$12/1000/4)^(2/3))*SQRT(N54))</f>
        <v/>
      </c>
      <c r="AL54" s="4">
        <f>IF(A54="","",(1/Inputs!$B$9)*(PI()*(Inputs!$F$13/1000)^2/4)*((Inputs!$F$13/1000/4)^(2/3))*SQRT(N54))</f>
        <v/>
      </c>
      <c r="AM54" s="4">
        <f>IF(A54="","",(1/Inputs!$B$9)*(PI()*(Inputs!$F$14/1000)^2/4)*((Inputs!$F$14/1000/4)^(2/3))*SQRT(N54))</f>
        <v/>
      </c>
    </row>
    <row r="55">
      <c r="A55" s="4" t="n"/>
      <c r="B55" s="4" t="n"/>
      <c r="C55" s="8" t="n"/>
      <c r="D55" s="8" t="n"/>
      <c r="E55" s="8">
        <f>SUMIFS(CB_Tributaires!$C:$C,CB_Tributaires!$B:$B,$A55)</f>
        <v/>
      </c>
      <c r="F55" s="8">
        <f>IF(D55="",E55,D55)</f>
        <v/>
      </c>
      <c r="G55" s="4" t="n"/>
      <c r="H55" s="8" t="n"/>
      <c r="I55" s="8">
        <f>IF(A55="","",Inputs!$B$13/((IF(H55="",Inputs!$B$18,H55)+Inputs!$B$14)^Inputs!$B$15))</f>
        <v/>
      </c>
      <c r="J55" s="8">
        <f>IF(A55="","",0.00278*IF(G55="",Inputs!$B$17,G55)*F55*I55)</f>
        <v/>
      </c>
      <c r="K55" s="8">
        <f>IF(A55="","",SUMIFS($L$4:$L$203,$B$4:$B$203,$A55))</f>
        <v/>
      </c>
      <c r="L55" s="8">
        <f>IF(A55="","",(J55+K55)*Inputs!$B$16)</f>
        <v/>
      </c>
      <c r="M55" s="8" t="n"/>
      <c r="N55" s="8">
        <f>IF(A55="","",IF(M55="",Inputs!$B$7,M55))</f>
        <v/>
      </c>
      <c r="O55" s="4">
        <f>IF(A55="","",IF(L55/Inputs!$B$10&lt;=AD55,Inputs!$F$5,IF(L55/Inputs!$B$10&gt;AM55,"OVERSIZE",INDEX(Inputs!$F$5:$F$14,MATCH(L55/Inputs!$B$10,AD55:AM55,1)+1))))</f>
        <v/>
      </c>
      <c r="P55" s="4" t="n"/>
      <c r="Q55" s="4">
        <f>IF(A55="","",IF(P55="",O55,P55))</f>
        <v/>
      </c>
      <c r="R55" s="8">
        <f>IF(OR(Q55="",Q55="OVERSIZE"),"",Q55/1000)</f>
        <v/>
      </c>
      <c r="S55" s="8">
        <f>IF(R55="","",(1/Inputs!$B$9)*(PI()*R55^2/4)*((R55/4)^(2/3))*SQRT(N55))</f>
        <v/>
      </c>
      <c r="T55" s="8">
        <f>IF(OR(S55="",L55=""),"",L55/(S55*Inputs!$B$10))</f>
        <v/>
      </c>
      <c r="U55" s="8">
        <f>IF(OR(R55="",L55=""),"",4*L55/(PI()*R55^2))</f>
        <v/>
      </c>
      <c r="V55" s="8" t="n"/>
      <c r="W55" s="8">
        <f>IF(A55="","",IF(A55=Inputs!$B$6,Inputs!$B$22,IF(B55="","",IFERROR(INDEX($X$4:$X$203,MATCH(B55,$A$4:$A$203,0))+IF(V55="",Inputs!$B$20,V55),""))))</f>
        <v/>
      </c>
      <c r="X55" s="8">
        <f>IF(OR(W55="",N55="",C55=""),"",W55+N55*C55)</f>
        <v/>
      </c>
      <c r="Y55" s="8" t="n"/>
      <c r="Z55" s="8" t="n"/>
      <c r="AA55" s="8">
        <f>IF(OR(Y55="",W55=""),"",Y55-W55)</f>
        <v/>
      </c>
      <c r="AB55" s="8">
        <f>IF(OR(Z55="",X55=""),"",Z55-X55)</f>
        <v/>
      </c>
      <c r="AC55" s="4">
        <f>IF(A55="","",IF(OR(T55&gt;1,U55&lt;Inputs!$B$11,U55&gt;Inputs!$B$12,AA55&lt;Inputs!$B$19,AB55&lt;Inputs!$B$19,N55&lt;Inputs!$B$7,N55&gt;Inputs!$B$8),"CHECK","OK"))</f>
        <v/>
      </c>
      <c r="AD55" s="4">
        <f>IF(A55="","",(1/Inputs!$B$9)*(PI()*(Inputs!$F$5/1000)^2/4)*((Inputs!$F$5/1000/4)^(2/3))*SQRT(N55))</f>
        <v/>
      </c>
      <c r="AE55" s="4">
        <f>IF(A55="","",(1/Inputs!$B$9)*(PI()*(Inputs!$F$6/1000)^2/4)*((Inputs!$F$6/1000/4)^(2/3))*SQRT(N55))</f>
        <v/>
      </c>
      <c r="AF55" s="4">
        <f>IF(A55="","",(1/Inputs!$B$9)*(PI()*(Inputs!$F$7/1000)^2/4)*((Inputs!$F$7/1000/4)^(2/3))*SQRT(N55))</f>
        <v/>
      </c>
      <c r="AG55" s="4">
        <f>IF(A55="","",(1/Inputs!$B$9)*(PI()*(Inputs!$F$8/1000)^2/4)*((Inputs!$F$8/1000/4)^(2/3))*SQRT(N55))</f>
        <v/>
      </c>
      <c r="AH55" s="4">
        <f>IF(A55="","",(1/Inputs!$B$9)*(PI()*(Inputs!$F$9/1000)^2/4)*((Inputs!$F$9/1000/4)^(2/3))*SQRT(N55))</f>
        <v/>
      </c>
      <c r="AI55" s="4">
        <f>IF(A55="","",(1/Inputs!$B$9)*(PI()*(Inputs!$F$10/1000)^2/4)*((Inputs!$F$10/1000/4)^(2/3))*SQRT(N55))</f>
        <v/>
      </c>
      <c r="AJ55" s="4">
        <f>IF(A55="","",(1/Inputs!$B$9)*(PI()*(Inputs!$F$11/1000)^2/4)*((Inputs!$F$11/1000/4)^(2/3))*SQRT(N55))</f>
        <v/>
      </c>
      <c r="AK55" s="4">
        <f>IF(A55="","",(1/Inputs!$B$9)*(PI()*(Inputs!$F$12/1000)^2/4)*((Inputs!$F$12/1000/4)^(2/3))*SQRT(N55))</f>
        <v/>
      </c>
      <c r="AL55" s="4">
        <f>IF(A55="","",(1/Inputs!$B$9)*(PI()*(Inputs!$F$13/1000)^2/4)*((Inputs!$F$13/1000/4)^(2/3))*SQRT(N55))</f>
        <v/>
      </c>
      <c r="AM55" s="4">
        <f>IF(A55="","",(1/Inputs!$B$9)*(PI()*(Inputs!$F$14/1000)^2/4)*((Inputs!$F$14/1000/4)^(2/3))*SQRT(N55))</f>
        <v/>
      </c>
    </row>
    <row r="56">
      <c r="A56" s="4" t="n"/>
      <c r="B56" s="4" t="n"/>
      <c r="C56" s="8" t="n"/>
      <c r="D56" s="8" t="n"/>
      <c r="E56" s="8">
        <f>SUMIFS(CB_Tributaires!$C:$C,CB_Tributaires!$B:$B,$A56)</f>
        <v/>
      </c>
      <c r="F56" s="8">
        <f>IF(D56="",E56,D56)</f>
        <v/>
      </c>
      <c r="G56" s="4" t="n"/>
      <c r="H56" s="8" t="n"/>
      <c r="I56" s="8">
        <f>IF(A56="","",Inputs!$B$13/((IF(H56="",Inputs!$B$18,H56)+Inputs!$B$14)^Inputs!$B$15))</f>
        <v/>
      </c>
      <c r="J56" s="8">
        <f>IF(A56="","",0.00278*IF(G56="",Inputs!$B$17,G56)*F56*I56)</f>
        <v/>
      </c>
      <c r="K56" s="8">
        <f>IF(A56="","",SUMIFS($L$4:$L$203,$B$4:$B$203,$A56))</f>
        <v/>
      </c>
      <c r="L56" s="8">
        <f>IF(A56="","",(J56+K56)*Inputs!$B$16)</f>
        <v/>
      </c>
      <c r="M56" s="8" t="n"/>
      <c r="N56" s="8">
        <f>IF(A56="","",IF(M56="",Inputs!$B$7,M56))</f>
        <v/>
      </c>
      <c r="O56" s="4">
        <f>IF(A56="","",IF(L56/Inputs!$B$10&lt;=AD56,Inputs!$F$5,IF(L56/Inputs!$B$10&gt;AM56,"OVERSIZE",INDEX(Inputs!$F$5:$F$14,MATCH(L56/Inputs!$B$10,AD56:AM56,1)+1))))</f>
        <v/>
      </c>
      <c r="P56" s="4" t="n"/>
      <c r="Q56" s="4">
        <f>IF(A56="","",IF(P56="",O56,P56))</f>
        <v/>
      </c>
      <c r="R56" s="8">
        <f>IF(OR(Q56="",Q56="OVERSIZE"),"",Q56/1000)</f>
        <v/>
      </c>
      <c r="S56" s="8">
        <f>IF(R56="","",(1/Inputs!$B$9)*(PI()*R56^2/4)*((R56/4)^(2/3))*SQRT(N56))</f>
        <v/>
      </c>
      <c r="T56" s="8">
        <f>IF(OR(S56="",L56=""),"",L56/(S56*Inputs!$B$10))</f>
        <v/>
      </c>
      <c r="U56" s="8">
        <f>IF(OR(R56="",L56=""),"",4*L56/(PI()*R56^2))</f>
        <v/>
      </c>
      <c r="V56" s="8" t="n"/>
      <c r="W56" s="8">
        <f>IF(A56="","",IF(A56=Inputs!$B$6,Inputs!$B$22,IF(B56="","",IFERROR(INDEX($X$4:$X$203,MATCH(B56,$A$4:$A$203,0))+IF(V56="",Inputs!$B$20,V56),""))))</f>
        <v/>
      </c>
      <c r="X56" s="8">
        <f>IF(OR(W56="",N56="",C56=""),"",W56+N56*C56)</f>
        <v/>
      </c>
      <c r="Y56" s="8" t="n"/>
      <c r="Z56" s="8" t="n"/>
      <c r="AA56" s="8">
        <f>IF(OR(Y56="",W56=""),"",Y56-W56)</f>
        <v/>
      </c>
      <c r="AB56" s="8">
        <f>IF(OR(Z56="",X56=""),"",Z56-X56)</f>
        <v/>
      </c>
      <c r="AC56" s="4">
        <f>IF(A56="","",IF(OR(T56&gt;1,U56&lt;Inputs!$B$11,U56&gt;Inputs!$B$12,AA56&lt;Inputs!$B$19,AB56&lt;Inputs!$B$19,N56&lt;Inputs!$B$7,N56&gt;Inputs!$B$8),"CHECK","OK"))</f>
        <v/>
      </c>
      <c r="AD56" s="4">
        <f>IF(A56="","",(1/Inputs!$B$9)*(PI()*(Inputs!$F$5/1000)^2/4)*((Inputs!$F$5/1000/4)^(2/3))*SQRT(N56))</f>
        <v/>
      </c>
      <c r="AE56" s="4">
        <f>IF(A56="","",(1/Inputs!$B$9)*(PI()*(Inputs!$F$6/1000)^2/4)*((Inputs!$F$6/1000/4)^(2/3))*SQRT(N56))</f>
        <v/>
      </c>
      <c r="AF56" s="4">
        <f>IF(A56="","",(1/Inputs!$B$9)*(PI()*(Inputs!$F$7/1000)^2/4)*((Inputs!$F$7/1000/4)^(2/3))*SQRT(N56))</f>
        <v/>
      </c>
      <c r="AG56" s="4">
        <f>IF(A56="","",(1/Inputs!$B$9)*(PI()*(Inputs!$F$8/1000)^2/4)*((Inputs!$F$8/1000/4)^(2/3))*SQRT(N56))</f>
        <v/>
      </c>
      <c r="AH56" s="4">
        <f>IF(A56="","",(1/Inputs!$B$9)*(PI()*(Inputs!$F$9/1000)^2/4)*((Inputs!$F$9/1000/4)^(2/3))*SQRT(N56))</f>
        <v/>
      </c>
      <c r="AI56" s="4">
        <f>IF(A56="","",(1/Inputs!$B$9)*(PI()*(Inputs!$F$10/1000)^2/4)*((Inputs!$F$10/1000/4)^(2/3))*SQRT(N56))</f>
        <v/>
      </c>
      <c r="AJ56" s="4">
        <f>IF(A56="","",(1/Inputs!$B$9)*(PI()*(Inputs!$F$11/1000)^2/4)*((Inputs!$F$11/1000/4)^(2/3))*SQRT(N56))</f>
        <v/>
      </c>
      <c r="AK56" s="4">
        <f>IF(A56="","",(1/Inputs!$B$9)*(PI()*(Inputs!$F$12/1000)^2/4)*((Inputs!$F$12/1000/4)^(2/3))*SQRT(N56))</f>
        <v/>
      </c>
      <c r="AL56" s="4">
        <f>IF(A56="","",(1/Inputs!$B$9)*(PI()*(Inputs!$F$13/1000)^2/4)*((Inputs!$F$13/1000/4)^(2/3))*SQRT(N56))</f>
        <v/>
      </c>
      <c r="AM56" s="4">
        <f>IF(A56="","",(1/Inputs!$B$9)*(PI()*(Inputs!$F$14/1000)^2/4)*((Inputs!$F$14/1000/4)^(2/3))*SQRT(N56))</f>
        <v/>
      </c>
    </row>
    <row r="57">
      <c r="A57" s="4" t="n"/>
      <c r="B57" s="4" t="n"/>
      <c r="C57" s="8" t="n"/>
      <c r="D57" s="8" t="n"/>
      <c r="E57" s="8">
        <f>SUMIFS(CB_Tributaires!$C:$C,CB_Tributaires!$B:$B,$A57)</f>
        <v/>
      </c>
      <c r="F57" s="8">
        <f>IF(D57="",E57,D57)</f>
        <v/>
      </c>
      <c r="G57" s="4" t="n"/>
      <c r="H57" s="8" t="n"/>
      <c r="I57" s="8">
        <f>IF(A57="","",Inputs!$B$13/((IF(H57="",Inputs!$B$18,H57)+Inputs!$B$14)^Inputs!$B$15))</f>
        <v/>
      </c>
      <c r="J57" s="8">
        <f>IF(A57="","",0.00278*IF(G57="",Inputs!$B$17,G57)*F57*I57)</f>
        <v/>
      </c>
      <c r="K57" s="8">
        <f>IF(A57="","",SUMIFS($L$4:$L$203,$B$4:$B$203,$A57))</f>
        <v/>
      </c>
      <c r="L57" s="8">
        <f>IF(A57="","",(J57+K57)*Inputs!$B$16)</f>
        <v/>
      </c>
      <c r="M57" s="8" t="n"/>
      <c r="N57" s="8">
        <f>IF(A57="","",IF(M57="",Inputs!$B$7,M57))</f>
        <v/>
      </c>
      <c r="O57" s="4">
        <f>IF(A57="","",IF(L57/Inputs!$B$10&lt;=AD57,Inputs!$F$5,IF(L57/Inputs!$B$10&gt;AM57,"OVERSIZE",INDEX(Inputs!$F$5:$F$14,MATCH(L57/Inputs!$B$10,AD57:AM57,1)+1))))</f>
        <v/>
      </c>
      <c r="P57" s="4" t="n"/>
      <c r="Q57" s="4">
        <f>IF(A57="","",IF(P57="",O57,P57))</f>
        <v/>
      </c>
      <c r="R57" s="8">
        <f>IF(OR(Q57="",Q57="OVERSIZE"),"",Q57/1000)</f>
        <v/>
      </c>
      <c r="S57" s="8">
        <f>IF(R57="","",(1/Inputs!$B$9)*(PI()*R57^2/4)*((R57/4)^(2/3))*SQRT(N57))</f>
        <v/>
      </c>
      <c r="T57" s="8">
        <f>IF(OR(S57="",L57=""),"",L57/(S57*Inputs!$B$10))</f>
        <v/>
      </c>
      <c r="U57" s="8">
        <f>IF(OR(R57="",L57=""),"",4*L57/(PI()*R57^2))</f>
        <v/>
      </c>
      <c r="V57" s="8" t="n"/>
      <c r="W57" s="8">
        <f>IF(A57="","",IF(A57=Inputs!$B$6,Inputs!$B$22,IF(B57="","",IFERROR(INDEX($X$4:$X$203,MATCH(B57,$A$4:$A$203,0))+IF(V57="",Inputs!$B$20,V57),""))))</f>
        <v/>
      </c>
      <c r="X57" s="8">
        <f>IF(OR(W57="",N57="",C57=""),"",W57+N57*C57)</f>
        <v/>
      </c>
      <c r="Y57" s="8" t="n"/>
      <c r="Z57" s="8" t="n"/>
      <c r="AA57" s="8">
        <f>IF(OR(Y57="",W57=""),"",Y57-W57)</f>
        <v/>
      </c>
      <c r="AB57" s="8">
        <f>IF(OR(Z57="",X57=""),"",Z57-X57)</f>
        <v/>
      </c>
      <c r="AC57" s="4">
        <f>IF(A57="","",IF(OR(T57&gt;1,U57&lt;Inputs!$B$11,U57&gt;Inputs!$B$12,AA57&lt;Inputs!$B$19,AB57&lt;Inputs!$B$19,N57&lt;Inputs!$B$7,N57&gt;Inputs!$B$8),"CHECK","OK"))</f>
        <v/>
      </c>
      <c r="AD57" s="4">
        <f>IF(A57="","",(1/Inputs!$B$9)*(PI()*(Inputs!$F$5/1000)^2/4)*((Inputs!$F$5/1000/4)^(2/3))*SQRT(N57))</f>
        <v/>
      </c>
      <c r="AE57" s="4">
        <f>IF(A57="","",(1/Inputs!$B$9)*(PI()*(Inputs!$F$6/1000)^2/4)*((Inputs!$F$6/1000/4)^(2/3))*SQRT(N57))</f>
        <v/>
      </c>
      <c r="AF57" s="4">
        <f>IF(A57="","",(1/Inputs!$B$9)*(PI()*(Inputs!$F$7/1000)^2/4)*((Inputs!$F$7/1000/4)^(2/3))*SQRT(N57))</f>
        <v/>
      </c>
      <c r="AG57" s="4">
        <f>IF(A57="","",(1/Inputs!$B$9)*(PI()*(Inputs!$F$8/1000)^2/4)*((Inputs!$F$8/1000/4)^(2/3))*SQRT(N57))</f>
        <v/>
      </c>
      <c r="AH57" s="4">
        <f>IF(A57="","",(1/Inputs!$B$9)*(PI()*(Inputs!$F$9/1000)^2/4)*((Inputs!$F$9/1000/4)^(2/3))*SQRT(N57))</f>
        <v/>
      </c>
      <c r="AI57" s="4">
        <f>IF(A57="","",(1/Inputs!$B$9)*(PI()*(Inputs!$F$10/1000)^2/4)*((Inputs!$F$10/1000/4)^(2/3))*SQRT(N57))</f>
        <v/>
      </c>
      <c r="AJ57" s="4">
        <f>IF(A57="","",(1/Inputs!$B$9)*(PI()*(Inputs!$F$11/1000)^2/4)*((Inputs!$F$11/1000/4)^(2/3))*SQRT(N57))</f>
        <v/>
      </c>
      <c r="AK57" s="4">
        <f>IF(A57="","",(1/Inputs!$B$9)*(PI()*(Inputs!$F$12/1000)^2/4)*((Inputs!$F$12/1000/4)^(2/3))*SQRT(N57))</f>
        <v/>
      </c>
      <c r="AL57" s="4">
        <f>IF(A57="","",(1/Inputs!$B$9)*(PI()*(Inputs!$F$13/1000)^2/4)*((Inputs!$F$13/1000/4)^(2/3))*SQRT(N57))</f>
        <v/>
      </c>
      <c r="AM57" s="4">
        <f>IF(A57="","",(1/Inputs!$B$9)*(PI()*(Inputs!$F$14/1000)^2/4)*((Inputs!$F$14/1000/4)^(2/3))*SQRT(N57))</f>
        <v/>
      </c>
    </row>
    <row r="58">
      <c r="A58" s="4" t="n"/>
      <c r="B58" s="4" t="n"/>
      <c r="C58" s="8" t="n"/>
      <c r="D58" s="8" t="n"/>
      <c r="E58" s="8">
        <f>SUMIFS(CB_Tributaires!$C:$C,CB_Tributaires!$B:$B,$A58)</f>
        <v/>
      </c>
      <c r="F58" s="8">
        <f>IF(D58="",E58,D58)</f>
        <v/>
      </c>
      <c r="G58" s="4" t="n"/>
      <c r="H58" s="8" t="n"/>
      <c r="I58" s="8">
        <f>IF(A58="","",Inputs!$B$13/((IF(H58="",Inputs!$B$18,H58)+Inputs!$B$14)^Inputs!$B$15))</f>
        <v/>
      </c>
      <c r="J58" s="8">
        <f>IF(A58="","",0.00278*IF(G58="",Inputs!$B$17,G58)*F58*I58)</f>
        <v/>
      </c>
      <c r="K58" s="8">
        <f>IF(A58="","",SUMIFS($L$4:$L$203,$B$4:$B$203,$A58))</f>
        <v/>
      </c>
      <c r="L58" s="8">
        <f>IF(A58="","",(J58+K58)*Inputs!$B$16)</f>
        <v/>
      </c>
      <c r="M58" s="8" t="n"/>
      <c r="N58" s="8">
        <f>IF(A58="","",IF(M58="",Inputs!$B$7,M58))</f>
        <v/>
      </c>
      <c r="O58" s="4">
        <f>IF(A58="","",IF(L58/Inputs!$B$10&lt;=AD58,Inputs!$F$5,IF(L58/Inputs!$B$10&gt;AM58,"OVERSIZE",INDEX(Inputs!$F$5:$F$14,MATCH(L58/Inputs!$B$10,AD58:AM58,1)+1))))</f>
        <v/>
      </c>
      <c r="P58" s="4" t="n"/>
      <c r="Q58" s="4">
        <f>IF(A58="","",IF(P58="",O58,P58))</f>
        <v/>
      </c>
      <c r="R58" s="8">
        <f>IF(OR(Q58="",Q58="OVERSIZE"),"",Q58/1000)</f>
        <v/>
      </c>
      <c r="S58" s="8">
        <f>IF(R58="","",(1/Inputs!$B$9)*(PI()*R58^2/4)*((R58/4)^(2/3))*SQRT(N58))</f>
        <v/>
      </c>
      <c r="T58" s="8">
        <f>IF(OR(S58="",L58=""),"",L58/(S58*Inputs!$B$10))</f>
        <v/>
      </c>
      <c r="U58" s="8">
        <f>IF(OR(R58="",L58=""),"",4*L58/(PI()*R58^2))</f>
        <v/>
      </c>
      <c r="V58" s="8" t="n"/>
      <c r="W58" s="8">
        <f>IF(A58="","",IF(A58=Inputs!$B$6,Inputs!$B$22,IF(B58="","",IFERROR(INDEX($X$4:$X$203,MATCH(B58,$A$4:$A$203,0))+IF(V58="",Inputs!$B$20,V58),""))))</f>
        <v/>
      </c>
      <c r="X58" s="8">
        <f>IF(OR(W58="",N58="",C58=""),"",W58+N58*C58)</f>
        <v/>
      </c>
      <c r="Y58" s="8" t="n"/>
      <c r="Z58" s="8" t="n"/>
      <c r="AA58" s="8">
        <f>IF(OR(Y58="",W58=""),"",Y58-W58)</f>
        <v/>
      </c>
      <c r="AB58" s="8">
        <f>IF(OR(Z58="",X58=""),"",Z58-X58)</f>
        <v/>
      </c>
      <c r="AC58" s="4">
        <f>IF(A58="","",IF(OR(T58&gt;1,U58&lt;Inputs!$B$11,U58&gt;Inputs!$B$12,AA58&lt;Inputs!$B$19,AB58&lt;Inputs!$B$19,N58&lt;Inputs!$B$7,N58&gt;Inputs!$B$8),"CHECK","OK"))</f>
        <v/>
      </c>
      <c r="AD58" s="4">
        <f>IF(A58="","",(1/Inputs!$B$9)*(PI()*(Inputs!$F$5/1000)^2/4)*((Inputs!$F$5/1000/4)^(2/3))*SQRT(N58))</f>
        <v/>
      </c>
      <c r="AE58" s="4">
        <f>IF(A58="","",(1/Inputs!$B$9)*(PI()*(Inputs!$F$6/1000)^2/4)*((Inputs!$F$6/1000/4)^(2/3))*SQRT(N58))</f>
        <v/>
      </c>
      <c r="AF58" s="4">
        <f>IF(A58="","",(1/Inputs!$B$9)*(PI()*(Inputs!$F$7/1000)^2/4)*((Inputs!$F$7/1000/4)^(2/3))*SQRT(N58))</f>
        <v/>
      </c>
      <c r="AG58" s="4">
        <f>IF(A58="","",(1/Inputs!$B$9)*(PI()*(Inputs!$F$8/1000)^2/4)*((Inputs!$F$8/1000/4)^(2/3))*SQRT(N58))</f>
        <v/>
      </c>
      <c r="AH58" s="4">
        <f>IF(A58="","",(1/Inputs!$B$9)*(PI()*(Inputs!$F$9/1000)^2/4)*((Inputs!$F$9/1000/4)^(2/3))*SQRT(N58))</f>
        <v/>
      </c>
      <c r="AI58" s="4">
        <f>IF(A58="","",(1/Inputs!$B$9)*(PI()*(Inputs!$F$10/1000)^2/4)*((Inputs!$F$10/1000/4)^(2/3))*SQRT(N58))</f>
        <v/>
      </c>
      <c r="AJ58" s="4">
        <f>IF(A58="","",(1/Inputs!$B$9)*(PI()*(Inputs!$F$11/1000)^2/4)*((Inputs!$F$11/1000/4)^(2/3))*SQRT(N58))</f>
        <v/>
      </c>
      <c r="AK58" s="4">
        <f>IF(A58="","",(1/Inputs!$B$9)*(PI()*(Inputs!$F$12/1000)^2/4)*((Inputs!$F$12/1000/4)^(2/3))*SQRT(N58))</f>
        <v/>
      </c>
      <c r="AL58" s="4">
        <f>IF(A58="","",(1/Inputs!$B$9)*(PI()*(Inputs!$F$13/1000)^2/4)*((Inputs!$F$13/1000/4)^(2/3))*SQRT(N58))</f>
        <v/>
      </c>
      <c r="AM58" s="4">
        <f>IF(A58="","",(1/Inputs!$B$9)*(PI()*(Inputs!$F$14/1000)^2/4)*((Inputs!$F$14/1000/4)^(2/3))*SQRT(N58))</f>
        <v/>
      </c>
    </row>
    <row r="59">
      <c r="A59" s="4" t="n"/>
      <c r="B59" s="4" t="n"/>
      <c r="C59" s="8" t="n"/>
      <c r="D59" s="8" t="n"/>
      <c r="E59" s="8">
        <f>SUMIFS(CB_Tributaires!$C:$C,CB_Tributaires!$B:$B,$A59)</f>
        <v/>
      </c>
      <c r="F59" s="8">
        <f>IF(D59="",E59,D59)</f>
        <v/>
      </c>
      <c r="G59" s="4" t="n"/>
      <c r="H59" s="8" t="n"/>
      <c r="I59" s="8">
        <f>IF(A59="","",Inputs!$B$13/((IF(H59="",Inputs!$B$18,H59)+Inputs!$B$14)^Inputs!$B$15))</f>
        <v/>
      </c>
      <c r="J59" s="8">
        <f>IF(A59="","",0.00278*IF(G59="",Inputs!$B$17,G59)*F59*I59)</f>
        <v/>
      </c>
      <c r="K59" s="8">
        <f>IF(A59="","",SUMIFS($L$4:$L$203,$B$4:$B$203,$A59))</f>
        <v/>
      </c>
      <c r="L59" s="8">
        <f>IF(A59="","",(J59+K59)*Inputs!$B$16)</f>
        <v/>
      </c>
      <c r="M59" s="8" t="n"/>
      <c r="N59" s="8">
        <f>IF(A59="","",IF(M59="",Inputs!$B$7,M59))</f>
        <v/>
      </c>
      <c r="O59" s="4">
        <f>IF(A59="","",IF(L59/Inputs!$B$10&lt;=AD59,Inputs!$F$5,IF(L59/Inputs!$B$10&gt;AM59,"OVERSIZE",INDEX(Inputs!$F$5:$F$14,MATCH(L59/Inputs!$B$10,AD59:AM59,1)+1))))</f>
        <v/>
      </c>
      <c r="P59" s="4" t="n"/>
      <c r="Q59" s="4">
        <f>IF(A59="","",IF(P59="",O59,P59))</f>
        <v/>
      </c>
      <c r="R59" s="8">
        <f>IF(OR(Q59="",Q59="OVERSIZE"),"",Q59/1000)</f>
        <v/>
      </c>
      <c r="S59" s="8">
        <f>IF(R59="","",(1/Inputs!$B$9)*(PI()*R59^2/4)*((R59/4)^(2/3))*SQRT(N59))</f>
        <v/>
      </c>
      <c r="T59" s="8">
        <f>IF(OR(S59="",L59=""),"",L59/(S59*Inputs!$B$10))</f>
        <v/>
      </c>
      <c r="U59" s="8">
        <f>IF(OR(R59="",L59=""),"",4*L59/(PI()*R59^2))</f>
        <v/>
      </c>
      <c r="V59" s="8" t="n"/>
      <c r="W59" s="8">
        <f>IF(A59="","",IF(A59=Inputs!$B$6,Inputs!$B$22,IF(B59="","",IFERROR(INDEX($X$4:$X$203,MATCH(B59,$A$4:$A$203,0))+IF(V59="",Inputs!$B$20,V59),""))))</f>
        <v/>
      </c>
      <c r="X59" s="8">
        <f>IF(OR(W59="",N59="",C59=""),"",W59+N59*C59)</f>
        <v/>
      </c>
      <c r="Y59" s="8" t="n"/>
      <c r="Z59" s="8" t="n"/>
      <c r="AA59" s="8">
        <f>IF(OR(Y59="",W59=""),"",Y59-W59)</f>
        <v/>
      </c>
      <c r="AB59" s="8">
        <f>IF(OR(Z59="",X59=""),"",Z59-X59)</f>
        <v/>
      </c>
      <c r="AC59" s="4">
        <f>IF(A59="","",IF(OR(T59&gt;1,U59&lt;Inputs!$B$11,U59&gt;Inputs!$B$12,AA59&lt;Inputs!$B$19,AB59&lt;Inputs!$B$19,N59&lt;Inputs!$B$7,N59&gt;Inputs!$B$8),"CHECK","OK"))</f>
        <v/>
      </c>
      <c r="AD59" s="4">
        <f>IF(A59="","",(1/Inputs!$B$9)*(PI()*(Inputs!$F$5/1000)^2/4)*((Inputs!$F$5/1000/4)^(2/3))*SQRT(N59))</f>
        <v/>
      </c>
      <c r="AE59" s="4">
        <f>IF(A59="","",(1/Inputs!$B$9)*(PI()*(Inputs!$F$6/1000)^2/4)*((Inputs!$F$6/1000/4)^(2/3))*SQRT(N59))</f>
        <v/>
      </c>
      <c r="AF59" s="4">
        <f>IF(A59="","",(1/Inputs!$B$9)*(PI()*(Inputs!$F$7/1000)^2/4)*((Inputs!$F$7/1000/4)^(2/3))*SQRT(N59))</f>
        <v/>
      </c>
      <c r="AG59" s="4">
        <f>IF(A59="","",(1/Inputs!$B$9)*(PI()*(Inputs!$F$8/1000)^2/4)*((Inputs!$F$8/1000/4)^(2/3))*SQRT(N59))</f>
        <v/>
      </c>
      <c r="AH59" s="4">
        <f>IF(A59="","",(1/Inputs!$B$9)*(PI()*(Inputs!$F$9/1000)^2/4)*((Inputs!$F$9/1000/4)^(2/3))*SQRT(N59))</f>
        <v/>
      </c>
      <c r="AI59" s="4">
        <f>IF(A59="","",(1/Inputs!$B$9)*(PI()*(Inputs!$F$10/1000)^2/4)*((Inputs!$F$10/1000/4)^(2/3))*SQRT(N59))</f>
        <v/>
      </c>
      <c r="AJ59" s="4">
        <f>IF(A59="","",(1/Inputs!$B$9)*(PI()*(Inputs!$F$11/1000)^2/4)*((Inputs!$F$11/1000/4)^(2/3))*SQRT(N59))</f>
        <v/>
      </c>
      <c r="AK59" s="4">
        <f>IF(A59="","",(1/Inputs!$B$9)*(PI()*(Inputs!$F$12/1000)^2/4)*((Inputs!$F$12/1000/4)^(2/3))*SQRT(N59))</f>
        <v/>
      </c>
      <c r="AL59" s="4">
        <f>IF(A59="","",(1/Inputs!$B$9)*(PI()*(Inputs!$F$13/1000)^2/4)*((Inputs!$F$13/1000/4)^(2/3))*SQRT(N59))</f>
        <v/>
      </c>
      <c r="AM59" s="4">
        <f>IF(A59="","",(1/Inputs!$B$9)*(PI()*(Inputs!$F$14/1000)^2/4)*((Inputs!$F$14/1000/4)^(2/3))*SQRT(N59))</f>
        <v/>
      </c>
    </row>
    <row r="60">
      <c r="A60" s="4" t="n"/>
      <c r="B60" s="4" t="n"/>
      <c r="C60" s="8" t="n"/>
      <c r="D60" s="8" t="n"/>
      <c r="E60" s="8">
        <f>SUMIFS(CB_Tributaires!$C:$C,CB_Tributaires!$B:$B,$A60)</f>
        <v/>
      </c>
      <c r="F60" s="8">
        <f>IF(D60="",E60,D60)</f>
        <v/>
      </c>
      <c r="G60" s="4" t="n"/>
      <c r="H60" s="8" t="n"/>
      <c r="I60" s="8">
        <f>IF(A60="","",Inputs!$B$13/((IF(H60="",Inputs!$B$18,H60)+Inputs!$B$14)^Inputs!$B$15))</f>
        <v/>
      </c>
      <c r="J60" s="8">
        <f>IF(A60="","",0.00278*IF(G60="",Inputs!$B$17,G60)*F60*I60)</f>
        <v/>
      </c>
      <c r="K60" s="8">
        <f>IF(A60="","",SUMIFS($L$4:$L$203,$B$4:$B$203,$A60))</f>
        <v/>
      </c>
      <c r="L60" s="8">
        <f>IF(A60="","",(J60+K60)*Inputs!$B$16)</f>
        <v/>
      </c>
      <c r="M60" s="8" t="n"/>
      <c r="N60" s="8">
        <f>IF(A60="","",IF(M60="",Inputs!$B$7,M60))</f>
        <v/>
      </c>
      <c r="O60" s="4">
        <f>IF(A60="","",IF(L60/Inputs!$B$10&lt;=AD60,Inputs!$F$5,IF(L60/Inputs!$B$10&gt;AM60,"OVERSIZE",INDEX(Inputs!$F$5:$F$14,MATCH(L60/Inputs!$B$10,AD60:AM60,1)+1))))</f>
        <v/>
      </c>
      <c r="P60" s="4" t="n"/>
      <c r="Q60" s="4">
        <f>IF(A60="","",IF(P60="",O60,P60))</f>
        <v/>
      </c>
      <c r="R60" s="8">
        <f>IF(OR(Q60="",Q60="OVERSIZE"),"",Q60/1000)</f>
        <v/>
      </c>
      <c r="S60" s="8">
        <f>IF(R60="","",(1/Inputs!$B$9)*(PI()*R60^2/4)*((R60/4)^(2/3))*SQRT(N60))</f>
        <v/>
      </c>
      <c r="T60" s="8">
        <f>IF(OR(S60="",L60=""),"",L60/(S60*Inputs!$B$10))</f>
        <v/>
      </c>
      <c r="U60" s="8">
        <f>IF(OR(R60="",L60=""),"",4*L60/(PI()*R60^2))</f>
        <v/>
      </c>
      <c r="V60" s="8" t="n"/>
      <c r="W60" s="8">
        <f>IF(A60="","",IF(A60=Inputs!$B$6,Inputs!$B$22,IF(B60="","",IFERROR(INDEX($X$4:$X$203,MATCH(B60,$A$4:$A$203,0))+IF(V60="",Inputs!$B$20,V60),""))))</f>
        <v/>
      </c>
      <c r="X60" s="8">
        <f>IF(OR(W60="",N60="",C60=""),"",W60+N60*C60)</f>
        <v/>
      </c>
      <c r="Y60" s="8" t="n"/>
      <c r="Z60" s="8" t="n"/>
      <c r="AA60" s="8">
        <f>IF(OR(Y60="",W60=""),"",Y60-W60)</f>
        <v/>
      </c>
      <c r="AB60" s="8">
        <f>IF(OR(Z60="",X60=""),"",Z60-X60)</f>
        <v/>
      </c>
      <c r="AC60" s="4">
        <f>IF(A60="","",IF(OR(T60&gt;1,U60&lt;Inputs!$B$11,U60&gt;Inputs!$B$12,AA60&lt;Inputs!$B$19,AB60&lt;Inputs!$B$19,N60&lt;Inputs!$B$7,N60&gt;Inputs!$B$8),"CHECK","OK"))</f>
        <v/>
      </c>
      <c r="AD60" s="4">
        <f>IF(A60="","",(1/Inputs!$B$9)*(PI()*(Inputs!$F$5/1000)^2/4)*((Inputs!$F$5/1000/4)^(2/3))*SQRT(N60))</f>
        <v/>
      </c>
      <c r="AE60" s="4">
        <f>IF(A60="","",(1/Inputs!$B$9)*(PI()*(Inputs!$F$6/1000)^2/4)*((Inputs!$F$6/1000/4)^(2/3))*SQRT(N60))</f>
        <v/>
      </c>
      <c r="AF60" s="4">
        <f>IF(A60="","",(1/Inputs!$B$9)*(PI()*(Inputs!$F$7/1000)^2/4)*((Inputs!$F$7/1000/4)^(2/3))*SQRT(N60))</f>
        <v/>
      </c>
      <c r="AG60" s="4">
        <f>IF(A60="","",(1/Inputs!$B$9)*(PI()*(Inputs!$F$8/1000)^2/4)*((Inputs!$F$8/1000/4)^(2/3))*SQRT(N60))</f>
        <v/>
      </c>
      <c r="AH60" s="4">
        <f>IF(A60="","",(1/Inputs!$B$9)*(PI()*(Inputs!$F$9/1000)^2/4)*((Inputs!$F$9/1000/4)^(2/3))*SQRT(N60))</f>
        <v/>
      </c>
      <c r="AI60" s="4">
        <f>IF(A60="","",(1/Inputs!$B$9)*(PI()*(Inputs!$F$10/1000)^2/4)*((Inputs!$F$10/1000/4)^(2/3))*SQRT(N60))</f>
        <v/>
      </c>
      <c r="AJ60" s="4">
        <f>IF(A60="","",(1/Inputs!$B$9)*(PI()*(Inputs!$F$11/1000)^2/4)*((Inputs!$F$11/1000/4)^(2/3))*SQRT(N60))</f>
        <v/>
      </c>
      <c r="AK60" s="4">
        <f>IF(A60="","",(1/Inputs!$B$9)*(PI()*(Inputs!$F$12/1000)^2/4)*((Inputs!$F$12/1000/4)^(2/3))*SQRT(N60))</f>
        <v/>
      </c>
      <c r="AL60" s="4">
        <f>IF(A60="","",(1/Inputs!$B$9)*(PI()*(Inputs!$F$13/1000)^2/4)*((Inputs!$F$13/1000/4)^(2/3))*SQRT(N60))</f>
        <v/>
      </c>
      <c r="AM60" s="4">
        <f>IF(A60="","",(1/Inputs!$B$9)*(PI()*(Inputs!$F$14/1000)^2/4)*((Inputs!$F$14/1000/4)^(2/3))*SQRT(N60))</f>
        <v/>
      </c>
    </row>
    <row r="61">
      <c r="A61" s="4" t="n"/>
      <c r="B61" s="4" t="n"/>
      <c r="C61" s="8" t="n"/>
      <c r="D61" s="8" t="n"/>
      <c r="E61" s="8">
        <f>SUMIFS(CB_Tributaires!$C:$C,CB_Tributaires!$B:$B,$A61)</f>
        <v/>
      </c>
      <c r="F61" s="8">
        <f>IF(D61="",E61,D61)</f>
        <v/>
      </c>
      <c r="G61" s="4" t="n"/>
      <c r="H61" s="8" t="n"/>
      <c r="I61" s="8">
        <f>IF(A61="","",Inputs!$B$13/((IF(H61="",Inputs!$B$18,H61)+Inputs!$B$14)^Inputs!$B$15))</f>
        <v/>
      </c>
      <c r="J61" s="8">
        <f>IF(A61="","",0.00278*IF(G61="",Inputs!$B$17,G61)*F61*I61)</f>
        <v/>
      </c>
      <c r="K61" s="8">
        <f>IF(A61="","",SUMIFS($L$4:$L$203,$B$4:$B$203,$A61))</f>
        <v/>
      </c>
      <c r="L61" s="8">
        <f>IF(A61="","",(J61+K61)*Inputs!$B$16)</f>
        <v/>
      </c>
      <c r="M61" s="8" t="n"/>
      <c r="N61" s="8">
        <f>IF(A61="","",IF(M61="",Inputs!$B$7,M61))</f>
        <v/>
      </c>
      <c r="O61" s="4">
        <f>IF(A61="","",IF(L61/Inputs!$B$10&lt;=AD61,Inputs!$F$5,IF(L61/Inputs!$B$10&gt;AM61,"OVERSIZE",INDEX(Inputs!$F$5:$F$14,MATCH(L61/Inputs!$B$10,AD61:AM61,1)+1))))</f>
        <v/>
      </c>
      <c r="P61" s="4" t="n"/>
      <c r="Q61" s="4">
        <f>IF(A61="","",IF(P61="",O61,P61))</f>
        <v/>
      </c>
      <c r="R61" s="8">
        <f>IF(OR(Q61="",Q61="OVERSIZE"),"",Q61/1000)</f>
        <v/>
      </c>
      <c r="S61" s="8">
        <f>IF(R61="","",(1/Inputs!$B$9)*(PI()*R61^2/4)*((R61/4)^(2/3))*SQRT(N61))</f>
        <v/>
      </c>
      <c r="T61" s="8">
        <f>IF(OR(S61="",L61=""),"",L61/(S61*Inputs!$B$10))</f>
        <v/>
      </c>
      <c r="U61" s="8">
        <f>IF(OR(R61="",L61=""),"",4*L61/(PI()*R61^2))</f>
        <v/>
      </c>
      <c r="V61" s="8" t="n"/>
      <c r="W61" s="8">
        <f>IF(A61="","",IF(A61=Inputs!$B$6,Inputs!$B$22,IF(B61="","",IFERROR(INDEX($X$4:$X$203,MATCH(B61,$A$4:$A$203,0))+IF(V61="",Inputs!$B$20,V61),""))))</f>
        <v/>
      </c>
      <c r="X61" s="8">
        <f>IF(OR(W61="",N61="",C61=""),"",W61+N61*C61)</f>
        <v/>
      </c>
      <c r="Y61" s="8" t="n"/>
      <c r="Z61" s="8" t="n"/>
      <c r="AA61" s="8">
        <f>IF(OR(Y61="",W61=""),"",Y61-W61)</f>
        <v/>
      </c>
      <c r="AB61" s="8">
        <f>IF(OR(Z61="",X61=""),"",Z61-X61)</f>
        <v/>
      </c>
      <c r="AC61" s="4">
        <f>IF(A61="","",IF(OR(T61&gt;1,U61&lt;Inputs!$B$11,U61&gt;Inputs!$B$12,AA61&lt;Inputs!$B$19,AB61&lt;Inputs!$B$19,N61&lt;Inputs!$B$7,N61&gt;Inputs!$B$8),"CHECK","OK"))</f>
        <v/>
      </c>
      <c r="AD61" s="4">
        <f>IF(A61="","",(1/Inputs!$B$9)*(PI()*(Inputs!$F$5/1000)^2/4)*((Inputs!$F$5/1000/4)^(2/3))*SQRT(N61))</f>
        <v/>
      </c>
      <c r="AE61" s="4">
        <f>IF(A61="","",(1/Inputs!$B$9)*(PI()*(Inputs!$F$6/1000)^2/4)*((Inputs!$F$6/1000/4)^(2/3))*SQRT(N61))</f>
        <v/>
      </c>
      <c r="AF61" s="4">
        <f>IF(A61="","",(1/Inputs!$B$9)*(PI()*(Inputs!$F$7/1000)^2/4)*((Inputs!$F$7/1000/4)^(2/3))*SQRT(N61))</f>
        <v/>
      </c>
      <c r="AG61" s="4">
        <f>IF(A61="","",(1/Inputs!$B$9)*(PI()*(Inputs!$F$8/1000)^2/4)*((Inputs!$F$8/1000/4)^(2/3))*SQRT(N61))</f>
        <v/>
      </c>
      <c r="AH61" s="4">
        <f>IF(A61="","",(1/Inputs!$B$9)*(PI()*(Inputs!$F$9/1000)^2/4)*((Inputs!$F$9/1000/4)^(2/3))*SQRT(N61))</f>
        <v/>
      </c>
      <c r="AI61" s="4">
        <f>IF(A61="","",(1/Inputs!$B$9)*(PI()*(Inputs!$F$10/1000)^2/4)*((Inputs!$F$10/1000/4)^(2/3))*SQRT(N61))</f>
        <v/>
      </c>
      <c r="AJ61" s="4">
        <f>IF(A61="","",(1/Inputs!$B$9)*(PI()*(Inputs!$F$11/1000)^2/4)*((Inputs!$F$11/1000/4)^(2/3))*SQRT(N61))</f>
        <v/>
      </c>
      <c r="AK61" s="4">
        <f>IF(A61="","",(1/Inputs!$B$9)*(PI()*(Inputs!$F$12/1000)^2/4)*((Inputs!$F$12/1000/4)^(2/3))*SQRT(N61))</f>
        <v/>
      </c>
      <c r="AL61" s="4">
        <f>IF(A61="","",(1/Inputs!$B$9)*(PI()*(Inputs!$F$13/1000)^2/4)*((Inputs!$F$13/1000/4)^(2/3))*SQRT(N61))</f>
        <v/>
      </c>
      <c r="AM61" s="4">
        <f>IF(A61="","",(1/Inputs!$B$9)*(PI()*(Inputs!$F$14/1000)^2/4)*((Inputs!$F$14/1000/4)^(2/3))*SQRT(N61))</f>
        <v/>
      </c>
    </row>
    <row r="62">
      <c r="A62" s="4" t="n"/>
      <c r="B62" s="4" t="n"/>
      <c r="C62" s="8" t="n"/>
      <c r="D62" s="8" t="n"/>
      <c r="E62" s="8">
        <f>SUMIFS(CB_Tributaires!$C:$C,CB_Tributaires!$B:$B,$A62)</f>
        <v/>
      </c>
      <c r="F62" s="8">
        <f>IF(D62="",E62,D62)</f>
        <v/>
      </c>
      <c r="G62" s="4" t="n"/>
      <c r="H62" s="8" t="n"/>
      <c r="I62" s="8">
        <f>IF(A62="","",Inputs!$B$13/((IF(H62="",Inputs!$B$18,H62)+Inputs!$B$14)^Inputs!$B$15))</f>
        <v/>
      </c>
      <c r="J62" s="8">
        <f>IF(A62="","",0.00278*IF(G62="",Inputs!$B$17,G62)*F62*I62)</f>
        <v/>
      </c>
      <c r="K62" s="8">
        <f>IF(A62="","",SUMIFS($L$4:$L$203,$B$4:$B$203,$A62))</f>
        <v/>
      </c>
      <c r="L62" s="8">
        <f>IF(A62="","",(J62+K62)*Inputs!$B$16)</f>
        <v/>
      </c>
      <c r="M62" s="8" t="n"/>
      <c r="N62" s="8">
        <f>IF(A62="","",IF(M62="",Inputs!$B$7,M62))</f>
        <v/>
      </c>
      <c r="O62" s="4">
        <f>IF(A62="","",IF(L62/Inputs!$B$10&lt;=AD62,Inputs!$F$5,IF(L62/Inputs!$B$10&gt;AM62,"OVERSIZE",INDEX(Inputs!$F$5:$F$14,MATCH(L62/Inputs!$B$10,AD62:AM62,1)+1))))</f>
        <v/>
      </c>
      <c r="P62" s="4" t="n"/>
      <c r="Q62" s="4">
        <f>IF(A62="","",IF(P62="",O62,P62))</f>
        <v/>
      </c>
      <c r="R62" s="8">
        <f>IF(OR(Q62="",Q62="OVERSIZE"),"",Q62/1000)</f>
        <v/>
      </c>
      <c r="S62" s="8">
        <f>IF(R62="","",(1/Inputs!$B$9)*(PI()*R62^2/4)*((R62/4)^(2/3))*SQRT(N62))</f>
        <v/>
      </c>
      <c r="T62" s="8">
        <f>IF(OR(S62="",L62=""),"",L62/(S62*Inputs!$B$10))</f>
        <v/>
      </c>
      <c r="U62" s="8">
        <f>IF(OR(R62="",L62=""),"",4*L62/(PI()*R62^2))</f>
        <v/>
      </c>
      <c r="V62" s="8" t="n"/>
      <c r="W62" s="8">
        <f>IF(A62="","",IF(A62=Inputs!$B$6,Inputs!$B$22,IF(B62="","",IFERROR(INDEX($X$4:$X$203,MATCH(B62,$A$4:$A$203,0))+IF(V62="",Inputs!$B$20,V62),""))))</f>
        <v/>
      </c>
      <c r="X62" s="8">
        <f>IF(OR(W62="",N62="",C62=""),"",W62+N62*C62)</f>
        <v/>
      </c>
      <c r="Y62" s="8" t="n"/>
      <c r="Z62" s="8" t="n"/>
      <c r="AA62" s="8">
        <f>IF(OR(Y62="",W62=""),"",Y62-W62)</f>
        <v/>
      </c>
      <c r="AB62" s="8">
        <f>IF(OR(Z62="",X62=""),"",Z62-X62)</f>
        <v/>
      </c>
      <c r="AC62" s="4">
        <f>IF(A62="","",IF(OR(T62&gt;1,U62&lt;Inputs!$B$11,U62&gt;Inputs!$B$12,AA62&lt;Inputs!$B$19,AB62&lt;Inputs!$B$19,N62&lt;Inputs!$B$7,N62&gt;Inputs!$B$8),"CHECK","OK"))</f>
        <v/>
      </c>
      <c r="AD62" s="4">
        <f>IF(A62="","",(1/Inputs!$B$9)*(PI()*(Inputs!$F$5/1000)^2/4)*((Inputs!$F$5/1000/4)^(2/3))*SQRT(N62))</f>
        <v/>
      </c>
      <c r="AE62" s="4">
        <f>IF(A62="","",(1/Inputs!$B$9)*(PI()*(Inputs!$F$6/1000)^2/4)*((Inputs!$F$6/1000/4)^(2/3))*SQRT(N62))</f>
        <v/>
      </c>
      <c r="AF62" s="4">
        <f>IF(A62="","",(1/Inputs!$B$9)*(PI()*(Inputs!$F$7/1000)^2/4)*((Inputs!$F$7/1000/4)^(2/3))*SQRT(N62))</f>
        <v/>
      </c>
      <c r="AG62" s="4">
        <f>IF(A62="","",(1/Inputs!$B$9)*(PI()*(Inputs!$F$8/1000)^2/4)*((Inputs!$F$8/1000/4)^(2/3))*SQRT(N62))</f>
        <v/>
      </c>
      <c r="AH62" s="4">
        <f>IF(A62="","",(1/Inputs!$B$9)*(PI()*(Inputs!$F$9/1000)^2/4)*((Inputs!$F$9/1000/4)^(2/3))*SQRT(N62))</f>
        <v/>
      </c>
      <c r="AI62" s="4">
        <f>IF(A62="","",(1/Inputs!$B$9)*(PI()*(Inputs!$F$10/1000)^2/4)*((Inputs!$F$10/1000/4)^(2/3))*SQRT(N62))</f>
        <v/>
      </c>
      <c r="AJ62" s="4">
        <f>IF(A62="","",(1/Inputs!$B$9)*(PI()*(Inputs!$F$11/1000)^2/4)*((Inputs!$F$11/1000/4)^(2/3))*SQRT(N62))</f>
        <v/>
      </c>
      <c r="AK62" s="4">
        <f>IF(A62="","",(1/Inputs!$B$9)*(PI()*(Inputs!$F$12/1000)^2/4)*((Inputs!$F$12/1000/4)^(2/3))*SQRT(N62))</f>
        <v/>
      </c>
      <c r="AL62" s="4">
        <f>IF(A62="","",(1/Inputs!$B$9)*(PI()*(Inputs!$F$13/1000)^2/4)*((Inputs!$F$13/1000/4)^(2/3))*SQRT(N62))</f>
        <v/>
      </c>
      <c r="AM62" s="4">
        <f>IF(A62="","",(1/Inputs!$B$9)*(PI()*(Inputs!$F$14/1000)^2/4)*((Inputs!$F$14/1000/4)^(2/3))*SQRT(N62))</f>
        <v/>
      </c>
    </row>
    <row r="63">
      <c r="A63" s="4" t="n"/>
      <c r="B63" s="4" t="n"/>
      <c r="C63" s="8" t="n"/>
      <c r="D63" s="8" t="n"/>
      <c r="E63" s="8">
        <f>SUMIFS(CB_Tributaires!$C:$C,CB_Tributaires!$B:$B,$A63)</f>
        <v/>
      </c>
      <c r="F63" s="8">
        <f>IF(D63="",E63,D63)</f>
        <v/>
      </c>
      <c r="G63" s="4" t="n"/>
      <c r="H63" s="8" t="n"/>
      <c r="I63" s="8">
        <f>IF(A63="","",Inputs!$B$13/((IF(H63="",Inputs!$B$18,H63)+Inputs!$B$14)^Inputs!$B$15))</f>
        <v/>
      </c>
      <c r="J63" s="8">
        <f>IF(A63="","",0.00278*IF(G63="",Inputs!$B$17,G63)*F63*I63)</f>
        <v/>
      </c>
      <c r="K63" s="8">
        <f>IF(A63="","",SUMIFS($L$4:$L$203,$B$4:$B$203,$A63))</f>
        <v/>
      </c>
      <c r="L63" s="8">
        <f>IF(A63="","",(J63+K63)*Inputs!$B$16)</f>
        <v/>
      </c>
      <c r="M63" s="8" t="n"/>
      <c r="N63" s="8">
        <f>IF(A63="","",IF(M63="",Inputs!$B$7,M63))</f>
        <v/>
      </c>
      <c r="O63" s="4">
        <f>IF(A63="","",IF(L63/Inputs!$B$10&lt;=AD63,Inputs!$F$5,IF(L63/Inputs!$B$10&gt;AM63,"OVERSIZE",INDEX(Inputs!$F$5:$F$14,MATCH(L63/Inputs!$B$10,AD63:AM63,1)+1))))</f>
        <v/>
      </c>
      <c r="P63" s="4" t="n"/>
      <c r="Q63" s="4">
        <f>IF(A63="","",IF(P63="",O63,P63))</f>
        <v/>
      </c>
      <c r="R63" s="8">
        <f>IF(OR(Q63="",Q63="OVERSIZE"),"",Q63/1000)</f>
        <v/>
      </c>
      <c r="S63" s="8">
        <f>IF(R63="","",(1/Inputs!$B$9)*(PI()*R63^2/4)*((R63/4)^(2/3))*SQRT(N63))</f>
        <v/>
      </c>
      <c r="T63" s="8">
        <f>IF(OR(S63="",L63=""),"",L63/(S63*Inputs!$B$10))</f>
        <v/>
      </c>
      <c r="U63" s="8">
        <f>IF(OR(R63="",L63=""),"",4*L63/(PI()*R63^2))</f>
        <v/>
      </c>
      <c r="V63" s="8" t="n"/>
      <c r="W63" s="8">
        <f>IF(A63="","",IF(A63=Inputs!$B$6,Inputs!$B$22,IF(B63="","",IFERROR(INDEX($X$4:$X$203,MATCH(B63,$A$4:$A$203,0))+IF(V63="",Inputs!$B$20,V63),""))))</f>
        <v/>
      </c>
      <c r="X63" s="8">
        <f>IF(OR(W63="",N63="",C63=""),"",W63+N63*C63)</f>
        <v/>
      </c>
      <c r="Y63" s="8" t="n"/>
      <c r="Z63" s="8" t="n"/>
      <c r="AA63" s="8">
        <f>IF(OR(Y63="",W63=""),"",Y63-W63)</f>
        <v/>
      </c>
      <c r="AB63" s="8">
        <f>IF(OR(Z63="",X63=""),"",Z63-X63)</f>
        <v/>
      </c>
      <c r="AC63" s="4">
        <f>IF(A63="","",IF(OR(T63&gt;1,U63&lt;Inputs!$B$11,U63&gt;Inputs!$B$12,AA63&lt;Inputs!$B$19,AB63&lt;Inputs!$B$19,N63&lt;Inputs!$B$7,N63&gt;Inputs!$B$8),"CHECK","OK"))</f>
        <v/>
      </c>
      <c r="AD63" s="4">
        <f>IF(A63="","",(1/Inputs!$B$9)*(PI()*(Inputs!$F$5/1000)^2/4)*((Inputs!$F$5/1000/4)^(2/3))*SQRT(N63))</f>
        <v/>
      </c>
      <c r="AE63" s="4">
        <f>IF(A63="","",(1/Inputs!$B$9)*(PI()*(Inputs!$F$6/1000)^2/4)*((Inputs!$F$6/1000/4)^(2/3))*SQRT(N63))</f>
        <v/>
      </c>
      <c r="AF63" s="4">
        <f>IF(A63="","",(1/Inputs!$B$9)*(PI()*(Inputs!$F$7/1000)^2/4)*((Inputs!$F$7/1000/4)^(2/3))*SQRT(N63))</f>
        <v/>
      </c>
      <c r="AG63" s="4">
        <f>IF(A63="","",(1/Inputs!$B$9)*(PI()*(Inputs!$F$8/1000)^2/4)*((Inputs!$F$8/1000/4)^(2/3))*SQRT(N63))</f>
        <v/>
      </c>
      <c r="AH63" s="4">
        <f>IF(A63="","",(1/Inputs!$B$9)*(PI()*(Inputs!$F$9/1000)^2/4)*((Inputs!$F$9/1000/4)^(2/3))*SQRT(N63))</f>
        <v/>
      </c>
      <c r="AI63" s="4">
        <f>IF(A63="","",(1/Inputs!$B$9)*(PI()*(Inputs!$F$10/1000)^2/4)*((Inputs!$F$10/1000/4)^(2/3))*SQRT(N63))</f>
        <v/>
      </c>
      <c r="AJ63" s="4">
        <f>IF(A63="","",(1/Inputs!$B$9)*(PI()*(Inputs!$F$11/1000)^2/4)*((Inputs!$F$11/1000/4)^(2/3))*SQRT(N63))</f>
        <v/>
      </c>
      <c r="AK63" s="4">
        <f>IF(A63="","",(1/Inputs!$B$9)*(PI()*(Inputs!$F$12/1000)^2/4)*((Inputs!$F$12/1000/4)^(2/3))*SQRT(N63))</f>
        <v/>
      </c>
      <c r="AL63" s="4">
        <f>IF(A63="","",(1/Inputs!$B$9)*(PI()*(Inputs!$F$13/1000)^2/4)*((Inputs!$F$13/1000/4)^(2/3))*SQRT(N63))</f>
        <v/>
      </c>
      <c r="AM63" s="4">
        <f>IF(A63="","",(1/Inputs!$B$9)*(PI()*(Inputs!$F$14/1000)^2/4)*((Inputs!$F$14/1000/4)^(2/3))*SQRT(N63))</f>
        <v/>
      </c>
    </row>
    <row r="64">
      <c r="A64" s="4" t="n"/>
      <c r="B64" s="4" t="n"/>
      <c r="C64" s="8" t="n"/>
      <c r="D64" s="8" t="n"/>
      <c r="E64" s="8">
        <f>SUMIFS(CB_Tributaires!$C:$C,CB_Tributaires!$B:$B,$A64)</f>
        <v/>
      </c>
      <c r="F64" s="8">
        <f>IF(D64="",E64,D64)</f>
        <v/>
      </c>
      <c r="G64" s="4" t="n"/>
      <c r="H64" s="8" t="n"/>
      <c r="I64" s="8">
        <f>IF(A64="","",Inputs!$B$13/((IF(H64="",Inputs!$B$18,H64)+Inputs!$B$14)^Inputs!$B$15))</f>
        <v/>
      </c>
      <c r="J64" s="8">
        <f>IF(A64="","",0.00278*IF(G64="",Inputs!$B$17,G64)*F64*I64)</f>
        <v/>
      </c>
      <c r="K64" s="8">
        <f>IF(A64="","",SUMIFS($L$4:$L$203,$B$4:$B$203,$A64))</f>
        <v/>
      </c>
      <c r="L64" s="8">
        <f>IF(A64="","",(J64+K64)*Inputs!$B$16)</f>
        <v/>
      </c>
      <c r="M64" s="8" t="n"/>
      <c r="N64" s="8">
        <f>IF(A64="","",IF(M64="",Inputs!$B$7,M64))</f>
        <v/>
      </c>
      <c r="O64" s="4">
        <f>IF(A64="","",IF(L64/Inputs!$B$10&lt;=AD64,Inputs!$F$5,IF(L64/Inputs!$B$10&gt;AM64,"OVERSIZE",INDEX(Inputs!$F$5:$F$14,MATCH(L64/Inputs!$B$10,AD64:AM64,1)+1))))</f>
        <v/>
      </c>
      <c r="P64" s="4" t="n"/>
      <c r="Q64" s="4">
        <f>IF(A64="","",IF(P64="",O64,P64))</f>
        <v/>
      </c>
      <c r="R64" s="8">
        <f>IF(OR(Q64="",Q64="OVERSIZE"),"",Q64/1000)</f>
        <v/>
      </c>
      <c r="S64" s="8">
        <f>IF(R64="","",(1/Inputs!$B$9)*(PI()*R64^2/4)*((R64/4)^(2/3))*SQRT(N64))</f>
        <v/>
      </c>
      <c r="T64" s="8">
        <f>IF(OR(S64="",L64=""),"",L64/(S64*Inputs!$B$10))</f>
        <v/>
      </c>
      <c r="U64" s="8">
        <f>IF(OR(R64="",L64=""),"",4*L64/(PI()*R64^2))</f>
        <v/>
      </c>
      <c r="V64" s="8" t="n"/>
      <c r="W64" s="8">
        <f>IF(A64="","",IF(A64=Inputs!$B$6,Inputs!$B$22,IF(B64="","",IFERROR(INDEX($X$4:$X$203,MATCH(B64,$A$4:$A$203,0))+IF(V64="",Inputs!$B$20,V64),""))))</f>
        <v/>
      </c>
      <c r="X64" s="8">
        <f>IF(OR(W64="",N64="",C64=""),"",W64+N64*C64)</f>
        <v/>
      </c>
      <c r="Y64" s="8" t="n"/>
      <c r="Z64" s="8" t="n"/>
      <c r="AA64" s="8">
        <f>IF(OR(Y64="",W64=""),"",Y64-W64)</f>
        <v/>
      </c>
      <c r="AB64" s="8">
        <f>IF(OR(Z64="",X64=""),"",Z64-X64)</f>
        <v/>
      </c>
      <c r="AC64" s="4">
        <f>IF(A64="","",IF(OR(T64&gt;1,U64&lt;Inputs!$B$11,U64&gt;Inputs!$B$12,AA64&lt;Inputs!$B$19,AB64&lt;Inputs!$B$19,N64&lt;Inputs!$B$7,N64&gt;Inputs!$B$8),"CHECK","OK"))</f>
        <v/>
      </c>
      <c r="AD64" s="4">
        <f>IF(A64="","",(1/Inputs!$B$9)*(PI()*(Inputs!$F$5/1000)^2/4)*((Inputs!$F$5/1000/4)^(2/3))*SQRT(N64))</f>
        <v/>
      </c>
      <c r="AE64" s="4">
        <f>IF(A64="","",(1/Inputs!$B$9)*(PI()*(Inputs!$F$6/1000)^2/4)*((Inputs!$F$6/1000/4)^(2/3))*SQRT(N64))</f>
        <v/>
      </c>
      <c r="AF64" s="4">
        <f>IF(A64="","",(1/Inputs!$B$9)*(PI()*(Inputs!$F$7/1000)^2/4)*((Inputs!$F$7/1000/4)^(2/3))*SQRT(N64))</f>
        <v/>
      </c>
      <c r="AG64" s="4">
        <f>IF(A64="","",(1/Inputs!$B$9)*(PI()*(Inputs!$F$8/1000)^2/4)*((Inputs!$F$8/1000/4)^(2/3))*SQRT(N64))</f>
        <v/>
      </c>
      <c r="AH64" s="4">
        <f>IF(A64="","",(1/Inputs!$B$9)*(PI()*(Inputs!$F$9/1000)^2/4)*((Inputs!$F$9/1000/4)^(2/3))*SQRT(N64))</f>
        <v/>
      </c>
      <c r="AI64" s="4">
        <f>IF(A64="","",(1/Inputs!$B$9)*(PI()*(Inputs!$F$10/1000)^2/4)*((Inputs!$F$10/1000/4)^(2/3))*SQRT(N64))</f>
        <v/>
      </c>
      <c r="AJ64" s="4">
        <f>IF(A64="","",(1/Inputs!$B$9)*(PI()*(Inputs!$F$11/1000)^2/4)*((Inputs!$F$11/1000/4)^(2/3))*SQRT(N64))</f>
        <v/>
      </c>
      <c r="AK64" s="4">
        <f>IF(A64="","",(1/Inputs!$B$9)*(PI()*(Inputs!$F$12/1000)^2/4)*((Inputs!$F$12/1000/4)^(2/3))*SQRT(N64))</f>
        <v/>
      </c>
      <c r="AL64" s="4">
        <f>IF(A64="","",(1/Inputs!$B$9)*(PI()*(Inputs!$F$13/1000)^2/4)*((Inputs!$F$13/1000/4)^(2/3))*SQRT(N64))</f>
        <v/>
      </c>
      <c r="AM64" s="4">
        <f>IF(A64="","",(1/Inputs!$B$9)*(PI()*(Inputs!$F$14/1000)^2/4)*((Inputs!$F$14/1000/4)^(2/3))*SQRT(N64))</f>
        <v/>
      </c>
    </row>
    <row r="65">
      <c r="A65" s="4" t="n"/>
      <c r="B65" s="4" t="n"/>
      <c r="C65" s="8" t="n"/>
      <c r="D65" s="8" t="n"/>
      <c r="E65" s="8">
        <f>SUMIFS(CB_Tributaires!$C:$C,CB_Tributaires!$B:$B,$A65)</f>
        <v/>
      </c>
      <c r="F65" s="8">
        <f>IF(D65="",E65,D65)</f>
        <v/>
      </c>
      <c r="G65" s="4" t="n"/>
      <c r="H65" s="8" t="n"/>
      <c r="I65" s="8">
        <f>IF(A65="","",Inputs!$B$13/((IF(H65="",Inputs!$B$18,H65)+Inputs!$B$14)^Inputs!$B$15))</f>
        <v/>
      </c>
      <c r="J65" s="8">
        <f>IF(A65="","",0.00278*IF(G65="",Inputs!$B$17,G65)*F65*I65)</f>
        <v/>
      </c>
      <c r="K65" s="8">
        <f>IF(A65="","",SUMIFS($L$4:$L$203,$B$4:$B$203,$A65))</f>
        <v/>
      </c>
      <c r="L65" s="8">
        <f>IF(A65="","",(J65+K65)*Inputs!$B$16)</f>
        <v/>
      </c>
      <c r="M65" s="8" t="n"/>
      <c r="N65" s="8">
        <f>IF(A65="","",IF(M65="",Inputs!$B$7,M65))</f>
        <v/>
      </c>
      <c r="O65" s="4">
        <f>IF(A65="","",IF(L65/Inputs!$B$10&lt;=AD65,Inputs!$F$5,IF(L65/Inputs!$B$10&gt;AM65,"OVERSIZE",INDEX(Inputs!$F$5:$F$14,MATCH(L65/Inputs!$B$10,AD65:AM65,1)+1))))</f>
        <v/>
      </c>
      <c r="P65" s="4" t="n"/>
      <c r="Q65" s="4">
        <f>IF(A65="","",IF(P65="",O65,P65))</f>
        <v/>
      </c>
      <c r="R65" s="8">
        <f>IF(OR(Q65="",Q65="OVERSIZE"),"",Q65/1000)</f>
        <v/>
      </c>
      <c r="S65" s="8">
        <f>IF(R65="","",(1/Inputs!$B$9)*(PI()*R65^2/4)*((R65/4)^(2/3))*SQRT(N65))</f>
        <v/>
      </c>
      <c r="T65" s="8">
        <f>IF(OR(S65="",L65=""),"",L65/(S65*Inputs!$B$10))</f>
        <v/>
      </c>
      <c r="U65" s="8">
        <f>IF(OR(R65="",L65=""),"",4*L65/(PI()*R65^2))</f>
        <v/>
      </c>
      <c r="V65" s="8" t="n"/>
      <c r="W65" s="8">
        <f>IF(A65="","",IF(A65=Inputs!$B$6,Inputs!$B$22,IF(B65="","",IFERROR(INDEX($X$4:$X$203,MATCH(B65,$A$4:$A$203,0))+IF(V65="",Inputs!$B$20,V65),""))))</f>
        <v/>
      </c>
      <c r="X65" s="8">
        <f>IF(OR(W65="",N65="",C65=""),"",W65+N65*C65)</f>
        <v/>
      </c>
      <c r="Y65" s="8" t="n"/>
      <c r="Z65" s="8" t="n"/>
      <c r="AA65" s="8">
        <f>IF(OR(Y65="",W65=""),"",Y65-W65)</f>
        <v/>
      </c>
      <c r="AB65" s="8">
        <f>IF(OR(Z65="",X65=""),"",Z65-X65)</f>
        <v/>
      </c>
      <c r="AC65" s="4">
        <f>IF(A65="","",IF(OR(T65&gt;1,U65&lt;Inputs!$B$11,U65&gt;Inputs!$B$12,AA65&lt;Inputs!$B$19,AB65&lt;Inputs!$B$19,N65&lt;Inputs!$B$7,N65&gt;Inputs!$B$8),"CHECK","OK"))</f>
        <v/>
      </c>
      <c r="AD65" s="4">
        <f>IF(A65="","",(1/Inputs!$B$9)*(PI()*(Inputs!$F$5/1000)^2/4)*((Inputs!$F$5/1000/4)^(2/3))*SQRT(N65))</f>
        <v/>
      </c>
      <c r="AE65" s="4">
        <f>IF(A65="","",(1/Inputs!$B$9)*(PI()*(Inputs!$F$6/1000)^2/4)*((Inputs!$F$6/1000/4)^(2/3))*SQRT(N65))</f>
        <v/>
      </c>
      <c r="AF65" s="4">
        <f>IF(A65="","",(1/Inputs!$B$9)*(PI()*(Inputs!$F$7/1000)^2/4)*((Inputs!$F$7/1000/4)^(2/3))*SQRT(N65))</f>
        <v/>
      </c>
      <c r="AG65" s="4">
        <f>IF(A65="","",(1/Inputs!$B$9)*(PI()*(Inputs!$F$8/1000)^2/4)*((Inputs!$F$8/1000/4)^(2/3))*SQRT(N65))</f>
        <v/>
      </c>
      <c r="AH65" s="4">
        <f>IF(A65="","",(1/Inputs!$B$9)*(PI()*(Inputs!$F$9/1000)^2/4)*((Inputs!$F$9/1000/4)^(2/3))*SQRT(N65))</f>
        <v/>
      </c>
      <c r="AI65" s="4">
        <f>IF(A65="","",(1/Inputs!$B$9)*(PI()*(Inputs!$F$10/1000)^2/4)*((Inputs!$F$10/1000/4)^(2/3))*SQRT(N65))</f>
        <v/>
      </c>
      <c r="AJ65" s="4">
        <f>IF(A65="","",(1/Inputs!$B$9)*(PI()*(Inputs!$F$11/1000)^2/4)*((Inputs!$F$11/1000/4)^(2/3))*SQRT(N65))</f>
        <v/>
      </c>
      <c r="AK65" s="4">
        <f>IF(A65="","",(1/Inputs!$B$9)*(PI()*(Inputs!$F$12/1000)^2/4)*((Inputs!$F$12/1000/4)^(2/3))*SQRT(N65))</f>
        <v/>
      </c>
      <c r="AL65" s="4">
        <f>IF(A65="","",(1/Inputs!$B$9)*(PI()*(Inputs!$F$13/1000)^2/4)*((Inputs!$F$13/1000/4)^(2/3))*SQRT(N65))</f>
        <v/>
      </c>
      <c r="AM65" s="4">
        <f>IF(A65="","",(1/Inputs!$B$9)*(PI()*(Inputs!$F$14/1000)^2/4)*((Inputs!$F$14/1000/4)^(2/3))*SQRT(N65))</f>
        <v/>
      </c>
    </row>
    <row r="66">
      <c r="A66" s="4" t="n"/>
      <c r="B66" s="4" t="n"/>
      <c r="C66" s="8" t="n"/>
      <c r="D66" s="8" t="n"/>
      <c r="E66" s="8">
        <f>SUMIFS(CB_Tributaires!$C:$C,CB_Tributaires!$B:$B,$A66)</f>
        <v/>
      </c>
      <c r="F66" s="8">
        <f>IF(D66="",E66,D66)</f>
        <v/>
      </c>
      <c r="G66" s="4" t="n"/>
      <c r="H66" s="8" t="n"/>
      <c r="I66" s="8">
        <f>IF(A66="","",Inputs!$B$13/((IF(H66="",Inputs!$B$18,H66)+Inputs!$B$14)^Inputs!$B$15))</f>
        <v/>
      </c>
      <c r="J66" s="8">
        <f>IF(A66="","",0.00278*IF(G66="",Inputs!$B$17,G66)*F66*I66)</f>
        <v/>
      </c>
      <c r="K66" s="8">
        <f>IF(A66="","",SUMIFS($L$4:$L$203,$B$4:$B$203,$A66))</f>
        <v/>
      </c>
      <c r="L66" s="8">
        <f>IF(A66="","",(J66+K66)*Inputs!$B$16)</f>
        <v/>
      </c>
      <c r="M66" s="8" t="n"/>
      <c r="N66" s="8">
        <f>IF(A66="","",IF(M66="",Inputs!$B$7,M66))</f>
        <v/>
      </c>
      <c r="O66" s="4">
        <f>IF(A66="","",IF(L66/Inputs!$B$10&lt;=AD66,Inputs!$F$5,IF(L66/Inputs!$B$10&gt;AM66,"OVERSIZE",INDEX(Inputs!$F$5:$F$14,MATCH(L66/Inputs!$B$10,AD66:AM66,1)+1))))</f>
        <v/>
      </c>
      <c r="P66" s="4" t="n"/>
      <c r="Q66" s="4">
        <f>IF(A66="","",IF(P66="",O66,P66))</f>
        <v/>
      </c>
      <c r="R66" s="8">
        <f>IF(OR(Q66="",Q66="OVERSIZE"),"",Q66/1000)</f>
        <v/>
      </c>
      <c r="S66" s="8">
        <f>IF(R66="","",(1/Inputs!$B$9)*(PI()*R66^2/4)*((R66/4)^(2/3))*SQRT(N66))</f>
        <v/>
      </c>
      <c r="T66" s="8">
        <f>IF(OR(S66="",L66=""),"",L66/(S66*Inputs!$B$10))</f>
        <v/>
      </c>
      <c r="U66" s="8">
        <f>IF(OR(R66="",L66=""),"",4*L66/(PI()*R66^2))</f>
        <v/>
      </c>
      <c r="V66" s="8" t="n"/>
      <c r="W66" s="8">
        <f>IF(A66="","",IF(A66=Inputs!$B$6,Inputs!$B$22,IF(B66="","",IFERROR(INDEX($X$4:$X$203,MATCH(B66,$A$4:$A$203,0))+IF(V66="",Inputs!$B$20,V66),""))))</f>
        <v/>
      </c>
      <c r="X66" s="8">
        <f>IF(OR(W66="",N66="",C66=""),"",W66+N66*C66)</f>
        <v/>
      </c>
      <c r="Y66" s="8" t="n"/>
      <c r="Z66" s="8" t="n"/>
      <c r="AA66" s="8">
        <f>IF(OR(Y66="",W66=""),"",Y66-W66)</f>
        <v/>
      </c>
      <c r="AB66" s="8">
        <f>IF(OR(Z66="",X66=""),"",Z66-X66)</f>
        <v/>
      </c>
      <c r="AC66" s="4">
        <f>IF(A66="","",IF(OR(T66&gt;1,U66&lt;Inputs!$B$11,U66&gt;Inputs!$B$12,AA66&lt;Inputs!$B$19,AB66&lt;Inputs!$B$19,N66&lt;Inputs!$B$7,N66&gt;Inputs!$B$8),"CHECK","OK"))</f>
        <v/>
      </c>
      <c r="AD66" s="4">
        <f>IF(A66="","",(1/Inputs!$B$9)*(PI()*(Inputs!$F$5/1000)^2/4)*((Inputs!$F$5/1000/4)^(2/3))*SQRT(N66))</f>
        <v/>
      </c>
      <c r="AE66" s="4">
        <f>IF(A66="","",(1/Inputs!$B$9)*(PI()*(Inputs!$F$6/1000)^2/4)*((Inputs!$F$6/1000/4)^(2/3))*SQRT(N66))</f>
        <v/>
      </c>
      <c r="AF66" s="4">
        <f>IF(A66="","",(1/Inputs!$B$9)*(PI()*(Inputs!$F$7/1000)^2/4)*((Inputs!$F$7/1000/4)^(2/3))*SQRT(N66))</f>
        <v/>
      </c>
      <c r="AG66" s="4">
        <f>IF(A66="","",(1/Inputs!$B$9)*(PI()*(Inputs!$F$8/1000)^2/4)*((Inputs!$F$8/1000/4)^(2/3))*SQRT(N66))</f>
        <v/>
      </c>
      <c r="AH66" s="4">
        <f>IF(A66="","",(1/Inputs!$B$9)*(PI()*(Inputs!$F$9/1000)^2/4)*((Inputs!$F$9/1000/4)^(2/3))*SQRT(N66))</f>
        <v/>
      </c>
      <c r="AI66" s="4">
        <f>IF(A66="","",(1/Inputs!$B$9)*(PI()*(Inputs!$F$10/1000)^2/4)*((Inputs!$F$10/1000/4)^(2/3))*SQRT(N66))</f>
        <v/>
      </c>
      <c r="AJ66" s="4">
        <f>IF(A66="","",(1/Inputs!$B$9)*(PI()*(Inputs!$F$11/1000)^2/4)*((Inputs!$F$11/1000/4)^(2/3))*SQRT(N66))</f>
        <v/>
      </c>
      <c r="AK66" s="4">
        <f>IF(A66="","",(1/Inputs!$B$9)*(PI()*(Inputs!$F$12/1000)^2/4)*((Inputs!$F$12/1000/4)^(2/3))*SQRT(N66))</f>
        <v/>
      </c>
      <c r="AL66" s="4">
        <f>IF(A66="","",(1/Inputs!$B$9)*(PI()*(Inputs!$F$13/1000)^2/4)*((Inputs!$F$13/1000/4)^(2/3))*SQRT(N66))</f>
        <v/>
      </c>
      <c r="AM66" s="4">
        <f>IF(A66="","",(1/Inputs!$B$9)*(PI()*(Inputs!$F$14/1000)^2/4)*((Inputs!$F$14/1000/4)^(2/3))*SQRT(N66))</f>
        <v/>
      </c>
    </row>
    <row r="67">
      <c r="A67" s="4" t="n"/>
      <c r="B67" s="4" t="n"/>
      <c r="C67" s="8" t="n"/>
      <c r="D67" s="8" t="n"/>
      <c r="E67" s="8">
        <f>SUMIFS(CB_Tributaires!$C:$C,CB_Tributaires!$B:$B,$A67)</f>
        <v/>
      </c>
      <c r="F67" s="8">
        <f>IF(D67="",E67,D67)</f>
        <v/>
      </c>
      <c r="G67" s="4" t="n"/>
      <c r="H67" s="8" t="n"/>
      <c r="I67" s="8">
        <f>IF(A67="","",Inputs!$B$13/((IF(H67="",Inputs!$B$18,H67)+Inputs!$B$14)^Inputs!$B$15))</f>
        <v/>
      </c>
      <c r="J67" s="8">
        <f>IF(A67="","",0.00278*IF(G67="",Inputs!$B$17,G67)*F67*I67)</f>
        <v/>
      </c>
      <c r="K67" s="8">
        <f>IF(A67="","",SUMIFS($L$4:$L$203,$B$4:$B$203,$A67))</f>
        <v/>
      </c>
      <c r="L67" s="8">
        <f>IF(A67="","",(J67+K67)*Inputs!$B$16)</f>
        <v/>
      </c>
      <c r="M67" s="8" t="n"/>
      <c r="N67" s="8">
        <f>IF(A67="","",IF(M67="",Inputs!$B$7,M67))</f>
        <v/>
      </c>
      <c r="O67" s="4">
        <f>IF(A67="","",IF(L67/Inputs!$B$10&lt;=AD67,Inputs!$F$5,IF(L67/Inputs!$B$10&gt;AM67,"OVERSIZE",INDEX(Inputs!$F$5:$F$14,MATCH(L67/Inputs!$B$10,AD67:AM67,1)+1))))</f>
        <v/>
      </c>
      <c r="P67" s="4" t="n"/>
      <c r="Q67" s="4">
        <f>IF(A67="","",IF(P67="",O67,P67))</f>
        <v/>
      </c>
      <c r="R67" s="8">
        <f>IF(OR(Q67="",Q67="OVERSIZE"),"",Q67/1000)</f>
        <v/>
      </c>
      <c r="S67" s="8">
        <f>IF(R67="","",(1/Inputs!$B$9)*(PI()*R67^2/4)*((R67/4)^(2/3))*SQRT(N67))</f>
        <v/>
      </c>
      <c r="T67" s="8">
        <f>IF(OR(S67="",L67=""),"",L67/(S67*Inputs!$B$10))</f>
        <v/>
      </c>
      <c r="U67" s="8">
        <f>IF(OR(R67="",L67=""),"",4*L67/(PI()*R67^2))</f>
        <v/>
      </c>
      <c r="V67" s="8" t="n"/>
      <c r="W67" s="8">
        <f>IF(A67="","",IF(A67=Inputs!$B$6,Inputs!$B$22,IF(B67="","",IFERROR(INDEX($X$4:$X$203,MATCH(B67,$A$4:$A$203,0))+IF(V67="",Inputs!$B$20,V67),""))))</f>
        <v/>
      </c>
      <c r="X67" s="8">
        <f>IF(OR(W67="",N67="",C67=""),"",W67+N67*C67)</f>
        <v/>
      </c>
      <c r="Y67" s="8" t="n"/>
      <c r="Z67" s="8" t="n"/>
      <c r="AA67" s="8">
        <f>IF(OR(Y67="",W67=""),"",Y67-W67)</f>
        <v/>
      </c>
      <c r="AB67" s="8">
        <f>IF(OR(Z67="",X67=""),"",Z67-X67)</f>
        <v/>
      </c>
      <c r="AC67" s="4">
        <f>IF(A67="","",IF(OR(T67&gt;1,U67&lt;Inputs!$B$11,U67&gt;Inputs!$B$12,AA67&lt;Inputs!$B$19,AB67&lt;Inputs!$B$19,N67&lt;Inputs!$B$7,N67&gt;Inputs!$B$8),"CHECK","OK"))</f>
        <v/>
      </c>
      <c r="AD67" s="4">
        <f>IF(A67="","",(1/Inputs!$B$9)*(PI()*(Inputs!$F$5/1000)^2/4)*((Inputs!$F$5/1000/4)^(2/3))*SQRT(N67))</f>
        <v/>
      </c>
      <c r="AE67" s="4">
        <f>IF(A67="","",(1/Inputs!$B$9)*(PI()*(Inputs!$F$6/1000)^2/4)*((Inputs!$F$6/1000/4)^(2/3))*SQRT(N67))</f>
        <v/>
      </c>
      <c r="AF67" s="4">
        <f>IF(A67="","",(1/Inputs!$B$9)*(PI()*(Inputs!$F$7/1000)^2/4)*((Inputs!$F$7/1000/4)^(2/3))*SQRT(N67))</f>
        <v/>
      </c>
      <c r="AG67" s="4">
        <f>IF(A67="","",(1/Inputs!$B$9)*(PI()*(Inputs!$F$8/1000)^2/4)*((Inputs!$F$8/1000/4)^(2/3))*SQRT(N67))</f>
        <v/>
      </c>
      <c r="AH67" s="4">
        <f>IF(A67="","",(1/Inputs!$B$9)*(PI()*(Inputs!$F$9/1000)^2/4)*((Inputs!$F$9/1000/4)^(2/3))*SQRT(N67))</f>
        <v/>
      </c>
      <c r="AI67" s="4">
        <f>IF(A67="","",(1/Inputs!$B$9)*(PI()*(Inputs!$F$10/1000)^2/4)*((Inputs!$F$10/1000/4)^(2/3))*SQRT(N67))</f>
        <v/>
      </c>
      <c r="AJ67" s="4">
        <f>IF(A67="","",(1/Inputs!$B$9)*(PI()*(Inputs!$F$11/1000)^2/4)*((Inputs!$F$11/1000/4)^(2/3))*SQRT(N67))</f>
        <v/>
      </c>
      <c r="AK67" s="4">
        <f>IF(A67="","",(1/Inputs!$B$9)*(PI()*(Inputs!$F$12/1000)^2/4)*((Inputs!$F$12/1000/4)^(2/3))*SQRT(N67))</f>
        <v/>
      </c>
      <c r="AL67" s="4">
        <f>IF(A67="","",(1/Inputs!$B$9)*(PI()*(Inputs!$F$13/1000)^2/4)*((Inputs!$F$13/1000/4)^(2/3))*SQRT(N67))</f>
        <v/>
      </c>
      <c r="AM67" s="4">
        <f>IF(A67="","",(1/Inputs!$B$9)*(PI()*(Inputs!$F$14/1000)^2/4)*((Inputs!$F$14/1000/4)^(2/3))*SQRT(N67))</f>
        <v/>
      </c>
    </row>
    <row r="68">
      <c r="A68" s="4" t="n"/>
      <c r="B68" s="4" t="n"/>
      <c r="C68" s="8" t="n"/>
      <c r="D68" s="8" t="n"/>
      <c r="E68" s="8">
        <f>SUMIFS(CB_Tributaires!$C:$C,CB_Tributaires!$B:$B,$A68)</f>
        <v/>
      </c>
      <c r="F68" s="8">
        <f>IF(D68="",E68,D68)</f>
        <v/>
      </c>
      <c r="G68" s="4" t="n"/>
      <c r="H68" s="8" t="n"/>
      <c r="I68" s="8">
        <f>IF(A68="","",Inputs!$B$13/((IF(H68="",Inputs!$B$18,H68)+Inputs!$B$14)^Inputs!$B$15))</f>
        <v/>
      </c>
      <c r="J68" s="8">
        <f>IF(A68="","",0.00278*IF(G68="",Inputs!$B$17,G68)*F68*I68)</f>
        <v/>
      </c>
      <c r="K68" s="8">
        <f>IF(A68="","",SUMIFS($L$4:$L$203,$B$4:$B$203,$A68))</f>
        <v/>
      </c>
      <c r="L68" s="8">
        <f>IF(A68="","",(J68+K68)*Inputs!$B$16)</f>
        <v/>
      </c>
      <c r="M68" s="8" t="n"/>
      <c r="N68" s="8">
        <f>IF(A68="","",IF(M68="",Inputs!$B$7,M68))</f>
        <v/>
      </c>
      <c r="O68" s="4">
        <f>IF(A68="","",IF(L68/Inputs!$B$10&lt;=AD68,Inputs!$F$5,IF(L68/Inputs!$B$10&gt;AM68,"OVERSIZE",INDEX(Inputs!$F$5:$F$14,MATCH(L68/Inputs!$B$10,AD68:AM68,1)+1))))</f>
        <v/>
      </c>
      <c r="P68" s="4" t="n"/>
      <c r="Q68" s="4">
        <f>IF(A68="","",IF(P68="",O68,P68))</f>
        <v/>
      </c>
      <c r="R68" s="8">
        <f>IF(OR(Q68="",Q68="OVERSIZE"),"",Q68/1000)</f>
        <v/>
      </c>
      <c r="S68" s="8">
        <f>IF(R68="","",(1/Inputs!$B$9)*(PI()*R68^2/4)*((R68/4)^(2/3))*SQRT(N68))</f>
        <v/>
      </c>
      <c r="T68" s="8">
        <f>IF(OR(S68="",L68=""),"",L68/(S68*Inputs!$B$10))</f>
        <v/>
      </c>
      <c r="U68" s="8">
        <f>IF(OR(R68="",L68=""),"",4*L68/(PI()*R68^2))</f>
        <v/>
      </c>
      <c r="V68" s="8" t="n"/>
      <c r="W68" s="8">
        <f>IF(A68="","",IF(A68=Inputs!$B$6,Inputs!$B$22,IF(B68="","",IFERROR(INDEX($X$4:$X$203,MATCH(B68,$A$4:$A$203,0))+IF(V68="",Inputs!$B$20,V68),""))))</f>
        <v/>
      </c>
      <c r="X68" s="8">
        <f>IF(OR(W68="",N68="",C68=""),"",W68+N68*C68)</f>
        <v/>
      </c>
      <c r="Y68" s="8" t="n"/>
      <c r="Z68" s="8" t="n"/>
      <c r="AA68" s="8">
        <f>IF(OR(Y68="",W68=""),"",Y68-W68)</f>
        <v/>
      </c>
      <c r="AB68" s="8">
        <f>IF(OR(Z68="",X68=""),"",Z68-X68)</f>
        <v/>
      </c>
      <c r="AC68" s="4">
        <f>IF(A68="","",IF(OR(T68&gt;1,U68&lt;Inputs!$B$11,U68&gt;Inputs!$B$12,AA68&lt;Inputs!$B$19,AB68&lt;Inputs!$B$19,N68&lt;Inputs!$B$7,N68&gt;Inputs!$B$8),"CHECK","OK"))</f>
        <v/>
      </c>
      <c r="AD68" s="4">
        <f>IF(A68="","",(1/Inputs!$B$9)*(PI()*(Inputs!$F$5/1000)^2/4)*((Inputs!$F$5/1000/4)^(2/3))*SQRT(N68))</f>
        <v/>
      </c>
      <c r="AE68" s="4">
        <f>IF(A68="","",(1/Inputs!$B$9)*(PI()*(Inputs!$F$6/1000)^2/4)*((Inputs!$F$6/1000/4)^(2/3))*SQRT(N68))</f>
        <v/>
      </c>
      <c r="AF68" s="4">
        <f>IF(A68="","",(1/Inputs!$B$9)*(PI()*(Inputs!$F$7/1000)^2/4)*((Inputs!$F$7/1000/4)^(2/3))*SQRT(N68))</f>
        <v/>
      </c>
      <c r="AG68" s="4">
        <f>IF(A68="","",(1/Inputs!$B$9)*(PI()*(Inputs!$F$8/1000)^2/4)*((Inputs!$F$8/1000/4)^(2/3))*SQRT(N68))</f>
        <v/>
      </c>
      <c r="AH68" s="4">
        <f>IF(A68="","",(1/Inputs!$B$9)*(PI()*(Inputs!$F$9/1000)^2/4)*((Inputs!$F$9/1000/4)^(2/3))*SQRT(N68))</f>
        <v/>
      </c>
      <c r="AI68" s="4">
        <f>IF(A68="","",(1/Inputs!$B$9)*(PI()*(Inputs!$F$10/1000)^2/4)*((Inputs!$F$10/1000/4)^(2/3))*SQRT(N68))</f>
        <v/>
      </c>
      <c r="AJ68" s="4">
        <f>IF(A68="","",(1/Inputs!$B$9)*(PI()*(Inputs!$F$11/1000)^2/4)*((Inputs!$F$11/1000/4)^(2/3))*SQRT(N68))</f>
        <v/>
      </c>
      <c r="AK68" s="4">
        <f>IF(A68="","",(1/Inputs!$B$9)*(PI()*(Inputs!$F$12/1000)^2/4)*((Inputs!$F$12/1000/4)^(2/3))*SQRT(N68))</f>
        <v/>
      </c>
      <c r="AL68" s="4">
        <f>IF(A68="","",(1/Inputs!$B$9)*(PI()*(Inputs!$F$13/1000)^2/4)*((Inputs!$F$13/1000/4)^(2/3))*SQRT(N68))</f>
        <v/>
      </c>
      <c r="AM68" s="4">
        <f>IF(A68="","",(1/Inputs!$B$9)*(PI()*(Inputs!$F$14/1000)^2/4)*((Inputs!$F$14/1000/4)^(2/3))*SQRT(N68))</f>
        <v/>
      </c>
    </row>
    <row r="69">
      <c r="A69" s="4" t="n"/>
      <c r="B69" s="4" t="n"/>
      <c r="C69" s="8" t="n"/>
      <c r="D69" s="8" t="n"/>
      <c r="E69" s="8">
        <f>SUMIFS(CB_Tributaires!$C:$C,CB_Tributaires!$B:$B,$A69)</f>
        <v/>
      </c>
      <c r="F69" s="8">
        <f>IF(D69="",E69,D69)</f>
        <v/>
      </c>
      <c r="G69" s="4" t="n"/>
      <c r="H69" s="8" t="n"/>
      <c r="I69" s="8">
        <f>IF(A69="","",Inputs!$B$13/((IF(H69="",Inputs!$B$18,H69)+Inputs!$B$14)^Inputs!$B$15))</f>
        <v/>
      </c>
      <c r="J69" s="8">
        <f>IF(A69="","",0.00278*IF(G69="",Inputs!$B$17,G69)*F69*I69)</f>
        <v/>
      </c>
      <c r="K69" s="8">
        <f>IF(A69="","",SUMIFS($L$4:$L$203,$B$4:$B$203,$A69))</f>
        <v/>
      </c>
      <c r="L69" s="8">
        <f>IF(A69="","",(J69+K69)*Inputs!$B$16)</f>
        <v/>
      </c>
      <c r="M69" s="8" t="n"/>
      <c r="N69" s="8">
        <f>IF(A69="","",IF(M69="",Inputs!$B$7,M69))</f>
        <v/>
      </c>
      <c r="O69" s="4">
        <f>IF(A69="","",IF(L69/Inputs!$B$10&lt;=AD69,Inputs!$F$5,IF(L69/Inputs!$B$10&gt;AM69,"OVERSIZE",INDEX(Inputs!$F$5:$F$14,MATCH(L69/Inputs!$B$10,AD69:AM69,1)+1))))</f>
        <v/>
      </c>
      <c r="P69" s="4" t="n"/>
      <c r="Q69" s="4">
        <f>IF(A69="","",IF(P69="",O69,P69))</f>
        <v/>
      </c>
      <c r="R69" s="8">
        <f>IF(OR(Q69="",Q69="OVERSIZE"),"",Q69/1000)</f>
        <v/>
      </c>
      <c r="S69" s="8">
        <f>IF(R69="","",(1/Inputs!$B$9)*(PI()*R69^2/4)*((R69/4)^(2/3))*SQRT(N69))</f>
        <v/>
      </c>
      <c r="T69" s="8">
        <f>IF(OR(S69="",L69=""),"",L69/(S69*Inputs!$B$10))</f>
        <v/>
      </c>
      <c r="U69" s="8">
        <f>IF(OR(R69="",L69=""),"",4*L69/(PI()*R69^2))</f>
        <v/>
      </c>
      <c r="V69" s="8" t="n"/>
      <c r="W69" s="8">
        <f>IF(A69="","",IF(A69=Inputs!$B$6,Inputs!$B$22,IF(B69="","",IFERROR(INDEX($X$4:$X$203,MATCH(B69,$A$4:$A$203,0))+IF(V69="",Inputs!$B$20,V69),""))))</f>
        <v/>
      </c>
      <c r="X69" s="8">
        <f>IF(OR(W69="",N69="",C69=""),"",W69+N69*C69)</f>
        <v/>
      </c>
      <c r="Y69" s="8" t="n"/>
      <c r="Z69" s="8" t="n"/>
      <c r="AA69" s="8">
        <f>IF(OR(Y69="",W69=""),"",Y69-W69)</f>
        <v/>
      </c>
      <c r="AB69" s="8">
        <f>IF(OR(Z69="",X69=""),"",Z69-X69)</f>
        <v/>
      </c>
      <c r="AC69" s="4">
        <f>IF(A69="","",IF(OR(T69&gt;1,U69&lt;Inputs!$B$11,U69&gt;Inputs!$B$12,AA69&lt;Inputs!$B$19,AB69&lt;Inputs!$B$19,N69&lt;Inputs!$B$7,N69&gt;Inputs!$B$8),"CHECK","OK"))</f>
        <v/>
      </c>
      <c r="AD69" s="4">
        <f>IF(A69="","",(1/Inputs!$B$9)*(PI()*(Inputs!$F$5/1000)^2/4)*((Inputs!$F$5/1000/4)^(2/3))*SQRT(N69))</f>
        <v/>
      </c>
      <c r="AE69" s="4">
        <f>IF(A69="","",(1/Inputs!$B$9)*(PI()*(Inputs!$F$6/1000)^2/4)*((Inputs!$F$6/1000/4)^(2/3))*SQRT(N69))</f>
        <v/>
      </c>
      <c r="AF69" s="4">
        <f>IF(A69="","",(1/Inputs!$B$9)*(PI()*(Inputs!$F$7/1000)^2/4)*((Inputs!$F$7/1000/4)^(2/3))*SQRT(N69))</f>
        <v/>
      </c>
      <c r="AG69" s="4">
        <f>IF(A69="","",(1/Inputs!$B$9)*(PI()*(Inputs!$F$8/1000)^2/4)*((Inputs!$F$8/1000/4)^(2/3))*SQRT(N69))</f>
        <v/>
      </c>
      <c r="AH69" s="4">
        <f>IF(A69="","",(1/Inputs!$B$9)*(PI()*(Inputs!$F$9/1000)^2/4)*((Inputs!$F$9/1000/4)^(2/3))*SQRT(N69))</f>
        <v/>
      </c>
      <c r="AI69" s="4">
        <f>IF(A69="","",(1/Inputs!$B$9)*(PI()*(Inputs!$F$10/1000)^2/4)*((Inputs!$F$10/1000/4)^(2/3))*SQRT(N69))</f>
        <v/>
      </c>
      <c r="AJ69" s="4">
        <f>IF(A69="","",(1/Inputs!$B$9)*(PI()*(Inputs!$F$11/1000)^2/4)*((Inputs!$F$11/1000/4)^(2/3))*SQRT(N69))</f>
        <v/>
      </c>
      <c r="AK69" s="4">
        <f>IF(A69="","",(1/Inputs!$B$9)*(PI()*(Inputs!$F$12/1000)^2/4)*((Inputs!$F$12/1000/4)^(2/3))*SQRT(N69))</f>
        <v/>
      </c>
      <c r="AL69" s="4">
        <f>IF(A69="","",(1/Inputs!$B$9)*(PI()*(Inputs!$F$13/1000)^2/4)*((Inputs!$F$13/1000/4)^(2/3))*SQRT(N69))</f>
        <v/>
      </c>
      <c r="AM69" s="4">
        <f>IF(A69="","",(1/Inputs!$B$9)*(PI()*(Inputs!$F$14/1000)^2/4)*((Inputs!$F$14/1000/4)^(2/3))*SQRT(N69))</f>
        <v/>
      </c>
    </row>
    <row r="70">
      <c r="A70" s="4" t="n"/>
      <c r="B70" s="4" t="n"/>
      <c r="C70" s="8" t="n"/>
      <c r="D70" s="8" t="n"/>
      <c r="E70" s="8">
        <f>SUMIFS(CB_Tributaires!$C:$C,CB_Tributaires!$B:$B,$A70)</f>
        <v/>
      </c>
      <c r="F70" s="8">
        <f>IF(D70="",E70,D70)</f>
        <v/>
      </c>
      <c r="G70" s="4" t="n"/>
      <c r="H70" s="8" t="n"/>
      <c r="I70" s="8">
        <f>IF(A70="","",Inputs!$B$13/((IF(H70="",Inputs!$B$18,H70)+Inputs!$B$14)^Inputs!$B$15))</f>
        <v/>
      </c>
      <c r="J70" s="8">
        <f>IF(A70="","",0.00278*IF(G70="",Inputs!$B$17,G70)*F70*I70)</f>
        <v/>
      </c>
      <c r="K70" s="8">
        <f>IF(A70="","",SUMIFS($L$4:$L$203,$B$4:$B$203,$A70))</f>
        <v/>
      </c>
      <c r="L70" s="8">
        <f>IF(A70="","",(J70+K70)*Inputs!$B$16)</f>
        <v/>
      </c>
      <c r="M70" s="8" t="n"/>
      <c r="N70" s="8">
        <f>IF(A70="","",IF(M70="",Inputs!$B$7,M70))</f>
        <v/>
      </c>
      <c r="O70" s="4">
        <f>IF(A70="","",IF(L70/Inputs!$B$10&lt;=AD70,Inputs!$F$5,IF(L70/Inputs!$B$10&gt;AM70,"OVERSIZE",INDEX(Inputs!$F$5:$F$14,MATCH(L70/Inputs!$B$10,AD70:AM70,1)+1))))</f>
        <v/>
      </c>
      <c r="P70" s="4" t="n"/>
      <c r="Q70" s="4">
        <f>IF(A70="","",IF(P70="",O70,P70))</f>
        <v/>
      </c>
      <c r="R70" s="8">
        <f>IF(OR(Q70="",Q70="OVERSIZE"),"",Q70/1000)</f>
        <v/>
      </c>
      <c r="S70" s="8">
        <f>IF(R70="","",(1/Inputs!$B$9)*(PI()*R70^2/4)*((R70/4)^(2/3))*SQRT(N70))</f>
        <v/>
      </c>
      <c r="T70" s="8">
        <f>IF(OR(S70="",L70=""),"",L70/(S70*Inputs!$B$10))</f>
        <v/>
      </c>
      <c r="U70" s="8">
        <f>IF(OR(R70="",L70=""),"",4*L70/(PI()*R70^2))</f>
        <v/>
      </c>
      <c r="V70" s="8" t="n"/>
      <c r="W70" s="8">
        <f>IF(A70="","",IF(A70=Inputs!$B$6,Inputs!$B$22,IF(B70="","",IFERROR(INDEX($X$4:$X$203,MATCH(B70,$A$4:$A$203,0))+IF(V70="",Inputs!$B$20,V70),""))))</f>
        <v/>
      </c>
      <c r="X70" s="8">
        <f>IF(OR(W70="",N70="",C70=""),"",W70+N70*C70)</f>
        <v/>
      </c>
      <c r="Y70" s="8" t="n"/>
      <c r="Z70" s="8" t="n"/>
      <c r="AA70" s="8">
        <f>IF(OR(Y70="",W70=""),"",Y70-W70)</f>
        <v/>
      </c>
      <c r="AB70" s="8">
        <f>IF(OR(Z70="",X70=""),"",Z70-X70)</f>
        <v/>
      </c>
      <c r="AC70" s="4">
        <f>IF(A70="","",IF(OR(T70&gt;1,U70&lt;Inputs!$B$11,U70&gt;Inputs!$B$12,AA70&lt;Inputs!$B$19,AB70&lt;Inputs!$B$19,N70&lt;Inputs!$B$7,N70&gt;Inputs!$B$8),"CHECK","OK"))</f>
        <v/>
      </c>
      <c r="AD70" s="4">
        <f>IF(A70="","",(1/Inputs!$B$9)*(PI()*(Inputs!$F$5/1000)^2/4)*((Inputs!$F$5/1000/4)^(2/3))*SQRT(N70))</f>
        <v/>
      </c>
      <c r="AE70" s="4">
        <f>IF(A70="","",(1/Inputs!$B$9)*(PI()*(Inputs!$F$6/1000)^2/4)*((Inputs!$F$6/1000/4)^(2/3))*SQRT(N70))</f>
        <v/>
      </c>
      <c r="AF70" s="4">
        <f>IF(A70="","",(1/Inputs!$B$9)*(PI()*(Inputs!$F$7/1000)^2/4)*((Inputs!$F$7/1000/4)^(2/3))*SQRT(N70))</f>
        <v/>
      </c>
      <c r="AG70" s="4">
        <f>IF(A70="","",(1/Inputs!$B$9)*(PI()*(Inputs!$F$8/1000)^2/4)*((Inputs!$F$8/1000/4)^(2/3))*SQRT(N70))</f>
        <v/>
      </c>
      <c r="AH70" s="4">
        <f>IF(A70="","",(1/Inputs!$B$9)*(PI()*(Inputs!$F$9/1000)^2/4)*((Inputs!$F$9/1000/4)^(2/3))*SQRT(N70))</f>
        <v/>
      </c>
      <c r="AI70" s="4">
        <f>IF(A70="","",(1/Inputs!$B$9)*(PI()*(Inputs!$F$10/1000)^2/4)*((Inputs!$F$10/1000/4)^(2/3))*SQRT(N70))</f>
        <v/>
      </c>
      <c r="AJ70" s="4">
        <f>IF(A70="","",(1/Inputs!$B$9)*(PI()*(Inputs!$F$11/1000)^2/4)*((Inputs!$F$11/1000/4)^(2/3))*SQRT(N70))</f>
        <v/>
      </c>
      <c r="AK70" s="4">
        <f>IF(A70="","",(1/Inputs!$B$9)*(PI()*(Inputs!$F$12/1000)^2/4)*((Inputs!$F$12/1000/4)^(2/3))*SQRT(N70))</f>
        <v/>
      </c>
      <c r="AL70" s="4">
        <f>IF(A70="","",(1/Inputs!$B$9)*(PI()*(Inputs!$F$13/1000)^2/4)*((Inputs!$F$13/1000/4)^(2/3))*SQRT(N70))</f>
        <v/>
      </c>
      <c r="AM70" s="4">
        <f>IF(A70="","",(1/Inputs!$B$9)*(PI()*(Inputs!$F$14/1000)^2/4)*((Inputs!$F$14/1000/4)^(2/3))*SQRT(N70))</f>
        <v/>
      </c>
    </row>
    <row r="71">
      <c r="A71" s="4" t="n"/>
      <c r="B71" s="4" t="n"/>
      <c r="C71" s="8" t="n"/>
      <c r="D71" s="8" t="n"/>
      <c r="E71" s="8">
        <f>SUMIFS(CB_Tributaires!$C:$C,CB_Tributaires!$B:$B,$A71)</f>
        <v/>
      </c>
      <c r="F71" s="8">
        <f>IF(D71="",E71,D71)</f>
        <v/>
      </c>
      <c r="G71" s="4" t="n"/>
      <c r="H71" s="8" t="n"/>
      <c r="I71" s="8">
        <f>IF(A71="","",Inputs!$B$13/((IF(H71="",Inputs!$B$18,H71)+Inputs!$B$14)^Inputs!$B$15))</f>
        <v/>
      </c>
      <c r="J71" s="8">
        <f>IF(A71="","",0.00278*IF(G71="",Inputs!$B$17,G71)*F71*I71)</f>
        <v/>
      </c>
      <c r="K71" s="8">
        <f>IF(A71="","",SUMIFS($L$4:$L$203,$B$4:$B$203,$A71))</f>
        <v/>
      </c>
      <c r="L71" s="8">
        <f>IF(A71="","",(J71+K71)*Inputs!$B$16)</f>
        <v/>
      </c>
      <c r="M71" s="8" t="n"/>
      <c r="N71" s="8">
        <f>IF(A71="","",IF(M71="",Inputs!$B$7,M71))</f>
        <v/>
      </c>
      <c r="O71" s="4">
        <f>IF(A71="","",IF(L71/Inputs!$B$10&lt;=AD71,Inputs!$F$5,IF(L71/Inputs!$B$10&gt;AM71,"OVERSIZE",INDEX(Inputs!$F$5:$F$14,MATCH(L71/Inputs!$B$10,AD71:AM71,1)+1))))</f>
        <v/>
      </c>
      <c r="P71" s="4" t="n"/>
      <c r="Q71" s="4">
        <f>IF(A71="","",IF(P71="",O71,P71))</f>
        <v/>
      </c>
      <c r="R71" s="8">
        <f>IF(OR(Q71="",Q71="OVERSIZE"),"",Q71/1000)</f>
        <v/>
      </c>
      <c r="S71" s="8">
        <f>IF(R71="","",(1/Inputs!$B$9)*(PI()*R71^2/4)*((R71/4)^(2/3))*SQRT(N71))</f>
        <v/>
      </c>
      <c r="T71" s="8">
        <f>IF(OR(S71="",L71=""),"",L71/(S71*Inputs!$B$10))</f>
        <v/>
      </c>
      <c r="U71" s="8">
        <f>IF(OR(R71="",L71=""),"",4*L71/(PI()*R71^2))</f>
        <v/>
      </c>
      <c r="V71" s="8" t="n"/>
      <c r="W71" s="8">
        <f>IF(A71="","",IF(A71=Inputs!$B$6,Inputs!$B$22,IF(B71="","",IFERROR(INDEX($X$4:$X$203,MATCH(B71,$A$4:$A$203,0))+IF(V71="",Inputs!$B$20,V71),""))))</f>
        <v/>
      </c>
      <c r="X71" s="8">
        <f>IF(OR(W71="",N71="",C71=""),"",W71+N71*C71)</f>
        <v/>
      </c>
      <c r="Y71" s="8" t="n"/>
      <c r="Z71" s="8" t="n"/>
      <c r="AA71" s="8">
        <f>IF(OR(Y71="",W71=""),"",Y71-W71)</f>
        <v/>
      </c>
      <c r="AB71" s="8">
        <f>IF(OR(Z71="",X71=""),"",Z71-X71)</f>
        <v/>
      </c>
      <c r="AC71" s="4">
        <f>IF(A71="","",IF(OR(T71&gt;1,U71&lt;Inputs!$B$11,U71&gt;Inputs!$B$12,AA71&lt;Inputs!$B$19,AB71&lt;Inputs!$B$19,N71&lt;Inputs!$B$7,N71&gt;Inputs!$B$8),"CHECK","OK"))</f>
        <v/>
      </c>
      <c r="AD71" s="4">
        <f>IF(A71="","",(1/Inputs!$B$9)*(PI()*(Inputs!$F$5/1000)^2/4)*((Inputs!$F$5/1000/4)^(2/3))*SQRT(N71))</f>
        <v/>
      </c>
      <c r="AE71" s="4">
        <f>IF(A71="","",(1/Inputs!$B$9)*(PI()*(Inputs!$F$6/1000)^2/4)*((Inputs!$F$6/1000/4)^(2/3))*SQRT(N71))</f>
        <v/>
      </c>
      <c r="AF71" s="4">
        <f>IF(A71="","",(1/Inputs!$B$9)*(PI()*(Inputs!$F$7/1000)^2/4)*((Inputs!$F$7/1000/4)^(2/3))*SQRT(N71))</f>
        <v/>
      </c>
      <c r="AG71" s="4">
        <f>IF(A71="","",(1/Inputs!$B$9)*(PI()*(Inputs!$F$8/1000)^2/4)*((Inputs!$F$8/1000/4)^(2/3))*SQRT(N71))</f>
        <v/>
      </c>
      <c r="AH71" s="4">
        <f>IF(A71="","",(1/Inputs!$B$9)*(PI()*(Inputs!$F$9/1000)^2/4)*((Inputs!$F$9/1000/4)^(2/3))*SQRT(N71))</f>
        <v/>
      </c>
      <c r="AI71" s="4">
        <f>IF(A71="","",(1/Inputs!$B$9)*(PI()*(Inputs!$F$10/1000)^2/4)*((Inputs!$F$10/1000/4)^(2/3))*SQRT(N71))</f>
        <v/>
      </c>
      <c r="AJ71" s="4">
        <f>IF(A71="","",(1/Inputs!$B$9)*(PI()*(Inputs!$F$11/1000)^2/4)*((Inputs!$F$11/1000/4)^(2/3))*SQRT(N71))</f>
        <v/>
      </c>
      <c r="AK71" s="4">
        <f>IF(A71="","",(1/Inputs!$B$9)*(PI()*(Inputs!$F$12/1000)^2/4)*((Inputs!$F$12/1000/4)^(2/3))*SQRT(N71))</f>
        <v/>
      </c>
      <c r="AL71" s="4">
        <f>IF(A71="","",(1/Inputs!$B$9)*(PI()*(Inputs!$F$13/1000)^2/4)*((Inputs!$F$13/1000/4)^(2/3))*SQRT(N71))</f>
        <v/>
      </c>
      <c r="AM71" s="4">
        <f>IF(A71="","",(1/Inputs!$B$9)*(PI()*(Inputs!$F$14/1000)^2/4)*((Inputs!$F$14/1000/4)^(2/3))*SQRT(N71))</f>
        <v/>
      </c>
    </row>
    <row r="72">
      <c r="A72" s="4" t="n"/>
      <c r="B72" s="4" t="n"/>
      <c r="C72" s="8" t="n"/>
      <c r="D72" s="8" t="n"/>
      <c r="E72" s="8">
        <f>SUMIFS(CB_Tributaires!$C:$C,CB_Tributaires!$B:$B,$A72)</f>
        <v/>
      </c>
      <c r="F72" s="8">
        <f>IF(D72="",E72,D72)</f>
        <v/>
      </c>
      <c r="G72" s="4" t="n"/>
      <c r="H72" s="8" t="n"/>
      <c r="I72" s="8">
        <f>IF(A72="","",Inputs!$B$13/((IF(H72="",Inputs!$B$18,H72)+Inputs!$B$14)^Inputs!$B$15))</f>
        <v/>
      </c>
      <c r="J72" s="8">
        <f>IF(A72="","",0.00278*IF(G72="",Inputs!$B$17,G72)*F72*I72)</f>
        <v/>
      </c>
      <c r="K72" s="8">
        <f>IF(A72="","",SUMIFS($L$4:$L$203,$B$4:$B$203,$A72))</f>
        <v/>
      </c>
      <c r="L72" s="8">
        <f>IF(A72="","",(J72+K72)*Inputs!$B$16)</f>
        <v/>
      </c>
      <c r="M72" s="8" t="n"/>
      <c r="N72" s="8">
        <f>IF(A72="","",IF(M72="",Inputs!$B$7,M72))</f>
        <v/>
      </c>
      <c r="O72" s="4">
        <f>IF(A72="","",IF(L72/Inputs!$B$10&lt;=AD72,Inputs!$F$5,IF(L72/Inputs!$B$10&gt;AM72,"OVERSIZE",INDEX(Inputs!$F$5:$F$14,MATCH(L72/Inputs!$B$10,AD72:AM72,1)+1))))</f>
        <v/>
      </c>
      <c r="P72" s="4" t="n"/>
      <c r="Q72" s="4">
        <f>IF(A72="","",IF(P72="",O72,P72))</f>
        <v/>
      </c>
      <c r="R72" s="8">
        <f>IF(OR(Q72="",Q72="OVERSIZE"),"",Q72/1000)</f>
        <v/>
      </c>
      <c r="S72" s="8">
        <f>IF(R72="","",(1/Inputs!$B$9)*(PI()*R72^2/4)*((R72/4)^(2/3))*SQRT(N72))</f>
        <v/>
      </c>
      <c r="T72" s="8">
        <f>IF(OR(S72="",L72=""),"",L72/(S72*Inputs!$B$10))</f>
        <v/>
      </c>
      <c r="U72" s="8">
        <f>IF(OR(R72="",L72=""),"",4*L72/(PI()*R72^2))</f>
        <v/>
      </c>
      <c r="V72" s="8" t="n"/>
      <c r="W72" s="8">
        <f>IF(A72="","",IF(A72=Inputs!$B$6,Inputs!$B$22,IF(B72="","",IFERROR(INDEX($X$4:$X$203,MATCH(B72,$A$4:$A$203,0))+IF(V72="",Inputs!$B$20,V72),""))))</f>
        <v/>
      </c>
      <c r="X72" s="8">
        <f>IF(OR(W72="",N72="",C72=""),"",W72+N72*C72)</f>
        <v/>
      </c>
      <c r="Y72" s="8" t="n"/>
      <c r="Z72" s="8" t="n"/>
      <c r="AA72" s="8">
        <f>IF(OR(Y72="",W72=""),"",Y72-W72)</f>
        <v/>
      </c>
      <c r="AB72" s="8">
        <f>IF(OR(Z72="",X72=""),"",Z72-X72)</f>
        <v/>
      </c>
      <c r="AC72" s="4">
        <f>IF(A72="","",IF(OR(T72&gt;1,U72&lt;Inputs!$B$11,U72&gt;Inputs!$B$12,AA72&lt;Inputs!$B$19,AB72&lt;Inputs!$B$19,N72&lt;Inputs!$B$7,N72&gt;Inputs!$B$8),"CHECK","OK"))</f>
        <v/>
      </c>
      <c r="AD72" s="4">
        <f>IF(A72="","",(1/Inputs!$B$9)*(PI()*(Inputs!$F$5/1000)^2/4)*((Inputs!$F$5/1000/4)^(2/3))*SQRT(N72))</f>
        <v/>
      </c>
      <c r="AE72" s="4">
        <f>IF(A72="","",(1/Inputs!$B$9)*(PI()*(Inputs!$F$6/1000)^2/4)*((Inputs!$F$6/1000/4)^(2/3))*SQRT(N72))</f>
        <v/>
      </c>
      <c r="AF72" s="4">
        <f>IF(A72="","",(1/Inputs!$B$9)*(PI()*(Inputs!$F$7/1000)^2/4)*((Inputs!$F$7/1000/4)^(2/3))*SQRT(N72))</f>
        <v/>
      </c>
      <c r="AG72" s="4">
        <f>IF(A72="","",(1/Inputs!$B$9)*(PI()*(Inputs!$F$8/1000)^2/4)*((Inputs!$F$8/1000/4)^(2/3))*SQRT(N72))</f>
        <v/>
      </c>
      <c r="AH72" s="4">
        <f>IF(A72="","",(1/Inputs!$B$9)*(PI()*(Inputs!$F$9/1000)^2/4)*((Inputs!$F$9/1000/4)^(2/3))*SQRT(N72))</f>
        <v/>
      </c>
      <c r="AI72" s="4">
        <f>IF(A72="","",(1/Inputs!$B$9)*(PI()*(Inputs!$F$10/1000)^2/4)*((Inputs!$F$10/1000/4)^(2/3))*SQRT(N72))</f>
        <v/>
      </c>
      <c r="AJ72" s="4">
        <f>IF(A72="","",(1/Inputs!$B$9)*(PI()*(Inputs!$F$11/1000)^2/4)*((Inputs!$F$11/1000/4)^(2/3))*SQRT(N72))</f>
        <v/>
      </c>
      <c r="AK72" s="4">
        <f>IF(A72="","",(1/Inputs!$B$9)*(PI()*(Inputs!$F$12/1000)^2/4)*((Inputs!$F$12/1000/4)^(2/3))*SQRT(N72))</f>
        <v/>
      </c>
      <c r="AL72" s="4">
        <f>IF(A72="","",(1/Inputs!$B$9)*(PI()*(Inputs!$F$13/1000)^2/4)*((Inputs!$F$13/1000/4)^(2/3))*SQRT(N72))</f>
        <v/>
      </c>
      <c r="AM72" s="4">
        <f>IF(A72="","",(1/Inputs!$B$9)*(PI()*(Inputs!$F$14/1000)^2/4)*((Inputs!$F$14/1000/4)^(2/3))*SQRT(N72))</f>
        <v/>
      </c>
    </row>
    <row r="73">
      <c r="A73" s="4" t="n"/>
      <c r="B73" s="4" t="n"/>
      <c r="C73" s="8" t="n"/>
      <c r="D73" s="8" t="n"/>
      <c r="E73" s="8">
        <f>SUMIFS(CB_Tributaires!$C:$C,CB_Tributaires!$B:$B,$A73)</f>
        <v/>
      </c>
      <c r="F73" s="8">
        <f>IF(D73="",E73,D73)</f>
        <v/>
      </c>
      <c r="G73" s="4" t="n"/>
      <c r="H73" s="8" t="n"/>
      <c r="I73" s="8">
        <f>IF(A73="","",Inputs!$B$13/((IF(H73="",Inputs!$B$18,H73)+Inputs!$B$14)^Inputs!$B$15))</f>
        <v/>
      </c>
      <c r="J73" s="8">
        <f>IF(A73="","",0.00278*IF(G73="",Inputs!$B$17,G73)*F73*I73)</f>
        <v/>
      </c>
      <c r="K73" s="8">
        <f>IF(A73="","",SUMIFS($L$4:$L$203,$B$4:$B$203,$A73))</f>
        <v/>
      </c>
      <c r="L73" s="8">
        <f>IF(A73="","",(J73+K73)*Inputs!$B$16)</f>
        <v/>
      </c>
      <c r="M73" s="8" t="n"/>
      <c r="N73" s="8">
        <f>IF(A73="","",IF(M73="",Inputs!$B$7,M73))</f>
        <v/>
      </c>
      <c r="O73" s="4">
        <f>IF(A73="","",IF(L73/Inputs!$B$10&lt;=AD73,Inputs!$F$5,IF(L73/Inputs!$B$10&gt;AM73,"OVERSIZE",INDEX(Inputs!$F$5:$F$14,MATCH(L73/Inputs!$B$10,AD73:AM73,1)+1))))</f>
        <v/>
      </c>
      <c r="P73" s="4" t="n"/>
      <c r="Q73" s="4">
        <f>IF(A73="","",IF(P73="",O73,P73))</f>
        <v/>
      </c>
      <c r="R73" s="8">
        <f>IF(OR(Q73="",Q73="OVERSIZE"),"",Q73/1000)</f>
        <v/>
      </c>
      <c r="S73" s="8">
        <f>IF(R73="","",(1/Inputs!$B$9)*(PI()*R73^2/4)*((R73/4)^(2/3))*SQRT(N73))</f>
        <v/>
      </c>
      <c r="T73" s="8">
        <f>IF(OR(S73="",L73=""),"",L73/(S73*Inputs!$B$10))</f>
        <v/>
      </c>
      <c r="U73" s="8">
        <f>IF(OR(R73="",L73=""),"",4*L73/(PI()*R73^2))</f>
        <v/>
      </c>
      <c r="V73" s="8" t="n"/>
      <c r="W73" s="8">
        <f>IF(A73="","",IF(A73=Inputs!$B$6,Inputs!$B$22,IF(B73="","",IFERROR(INDEX($X$4:$X$203,MATCH(B73,$A$4:$A$203,0))+IF(V73="",Inputs!$B$20,V73),""))))</f>
        <v/>
      </c>
      <c r="X73" s="8">
        <f>IF(OR(W73="",N73="",C73=""),"",W73+N73*C73)</f>
        <v/>
      </c>
      <c r="Y73" s="8" t="n"/>
      <c r="Z73" s="8" t="n"/>
      <c r="AA73" s="8">
        <f>IF(OR(Y73="",W73=""),"",Y73-W73)</f>
        <v/>
      </c>
      <c r="AB73" s="8">
        <f>IF(OR(Z73="",X73=""),"",Z73-X73)</f>
        <v/>
      </c>
      <c r="AC73" s="4">
        <f>IF(A73="","",IF(OR(T73&gt;1,U73&lt;Inputs!$B$11,U73&gt;Inputs!$B$12,AA73&lt;Inputs!$B$19,AB73&lt;Inputs!$B$19,N73&lt;Inputs!$B$7,N73&gt;Inputs!$B$8),"CHECK","OK"))</f>
        <v/>
      </c>
      <c r="AD73" s="4">
        <f>IF(A73="","",(1/Inputs!$B$9)*(PI()*(Inputs!$F$5/1000)^2/4)*((Inputs!$F$5/1000/4)^(2/3))*SQRT(N73))</f>
        <v/>
      </c>
      <c r="AE73" s="4">
        <f>IF(A73="","",(1/Inputs!$B$9)*(PI()*(Inputs!$F$6/1000)^2/4)*((Inputs!$F$6/1000/4)^(2/3))*SQRT(N73))</f>
        <v/>
      </c>
      <c r="AF73" s="4">
        <f>IF(A73="","",(1/Inputs!$B$9)*(PI()*(Inputs!$F$7/1000)^2/4)*((Inputs!$F$7/1000/4)^(2/3))*SQRT(N73))</f>
        <v/>
      </c>
      <c r="AG73" s="4">
        <f>IF(A73="","",(1/Inputs!$B$9)*(PI()*(Inputs!$F$8/1000)^2/4)*((Inputs!$F$8/1000/4)^(2/3))*SQRT(N73))</f>
        <v/>
      </c>
      <c r="AH73" s="4">
        <f>IF(A73="","",(1/Inputs!$B$9)*(PI()*(Inputs!$F$9/1000)^2/4)*((Inputs!$F$9/1000/4)^(2/3))*SQRT(N73))</f>
        <v/>
      </c>
      <c r="AI73" s="4">
        <f>IF(A73="","",(1/Inputs!$B$9)*(PI()*(Inputs!$F$10/1000)^2/4)*((Inputs!$F$10/1000/4)^(2/3))*SQRT(N73))</f>
        <v/>
      </c>
      <c r="AJ73" s="4">
        <f>IF(A73="","",(1/Inputs!$B$9)*(PI()*(Inputs!$F$11/1000)^2/4)*((Inputs!$F$11/1000/4)^(2/3))*SQRT(N73))</f>
        <v/>
      </c>
      <c r="AK73" s="4">
        <f>IF(A73="","",(1/Inputs!$B$9)*(PI()*(Inputs!$F$12/1000)^2/4)*((Inputs!$F$12/1000/4)^(2/3))*SQRT(N73))</f>
        <v/>
      </c>
      <c r="AL73" s="4">
        <f>IF(A73="","",(1/Inputs!$B$9)*(PI()*(Inputs!$F$13/1000)^2/4)*((Inputs!$F$13/1000/4)^(2/3))*SQRT(N73))</f>
        <v/>
      </c>
      <c r="AM73" s="4">
        <f>IF(A73="","",(1/Inputs!$B$9)*(PI()*(Inputs!$F$14/1000)^2/4)*((Inputs!$F$14/1000/4)^(2/3))*SQRT(N73))</f>
        <v/>
      </c>
    </row>
    <row r="74">
      <c r="A74" s="4" t="n"/>
      <c r="B74" s="4" t="n"/>
      <c r="C74" s="8" t="n"/>
      <c r="D74" s="8" t="n"/>
      <c r="E74" s="8">
        <f>SUMIFS(CB_Tributaires!$C:$C,CB_Tributaires!$B:$B,$A74)</f>
        <v/>
      </c>
      <c r="F74" s="8">
        <f>IF(D74="",E74,D74)</f>
        <v/>
      </c>
      <c r="G74" s="4" t="n"/>
      <c r="H74" s="8" t="n"/>
      <c r="I74" s="8">
        <f>IF(A74="","",Inputs!$B$13/((IF(H74="",Inputs!$B$18,H74)+Inputs!$B$14)^Inputs!$B$15))</f>
        <v/>
      </c>
      <c r="J74" s="8">
        <f>IF(A74="","",0.00278*IF(G74="",Inputs!$B$17,G74)*F74*I74)</f>
        <v/>
      </c>
      <c r="K74" s="8">
        <f>IF(A74="","",SUMIFS($L$4:$L$203,$B$4:$B$203,$A74))</f>
        <v/>
      </c>
      <c r="L74" s="8">
        <f>IF(A74="","",(J74+K74)*Inputs!$B$16)</f>
        <v/>
      </c>
      <c r="M74" s="8" t="n"/>
      <c r="N74" s="8">
        <f>IF(A74="","",IF(M74="",Inputs!$B$7,M74))</f>
        <v/>
      </c>
      <c r="O74" s="4">
        <f>IF(A74="","",IF(L74/Inputs!$B$10&lt;=AD74,Inputs!$F$5,IF(L74/Inputs!$B$10&gt;AM74,"OVERSIZE",INDEX(Inputs!$F$5:$F$14,MATCH(L74/Inputs!$B$10,AD74:AM74,1)+1))))</f>
        <v/>
      </c>
      <c r="P74" s="4" t="n"/>
      <c r="Q74" s="4">
        <f>IF(A74="","",IF(P74="",O74,P74))</f>
        <v/>
      </c>
      <c r="R74" s="8">
        <f>IF(OR(Q74="",Q74="OVERSIZE"),"",Q74/1000)</f>
        <v/>
      </c>
      <c r="S74" s="8">
        <f>IF(R74="","",(1/Inputs!$B$9)*(PI()*R74^2/4)*((R74/4)^(2/3))*SQRT(N74))</f>
        <v/>
      </c>
      <c r="T74" s="8">
        <f>IF(OR(S74="",L74=""),"",L74/(S74*Inputs!$B$10))</f>
        <v/>
      </c>
      <c r="U74" s="8">
        <f>IF(OR(R74="",L74=""),"",4*L74/(PI()*R74^2))</f>
        <v/>
      </c>
      <c r="V74" s="8" t="n"/>
      <c r="W74" s="8">
        <f>IF(A74="","",IF(A74=Inputs!$B$6,Inputs!$B$22,IF(B74="","",IFERROR(INDEX($X$4:$X$203,MATCH(B74,$A$4:$A$203,0))+IF(V74="",Inputs!$B$20,V74),""))))</f>
        <v/>
      </c>
      <c r="X74" s="8">
        <f>IF(OR(W74="",N74="",C74=""),"",W74+N74*C74)</f>
        <v/>
      </c>
      <c r="Y74" s="8" t="n"/>
      <c r="Z74" s="8" t="n"/>
      <c r="AA74" s="8">
        <f>IF(OR(Y74="",W74=""),"",Y74-W74)</f>
        <v/>
      </c>
      <c r="AB74" s="8">
        <f>IF(OR(Z74="",X74=""),"",Z74-X74)</f>
        <v/>
      </c>
      <c r="AC74" s="4">
        <f>IF(A74="","",IF(OR(T74&gt;1,U74&lt;Inputs!$B$11,U74&gt;Inputs!$B$12,AA74&lt;Inputs!$B$19,AB74&lt;Inputs!$B$19,N74&lt;Inputs!$B$7,N74&gt;Inputs!$B$8),"CHECK","OK"))</f>
        <v/>
      </c>
      <c r="AD74" s="4">
        <f>IF(A74="","",(1/Inputs!$B$9)*(PI()*(Inputs!$F$5/1000)^2/4)*((Inputs!$F$5/1000/4)^(2/3))*SQRT(N74))</f>
        <v/>
      </c>
      <c r="AE74" s="4">
        <f>IF(A74="","",(1/Inputs!$B$9)*(PI()*(Inputs!$F$6/1000)^2/4)*((Inputs!$F$6/1000/4)^(2/3))*SQRT(N74))</f>
        <v/>
      </c>
      <c r="AF74" s="4">
        <f>IF(A74="","",(1/Inputs!$B$9)*(PI()*(Inputs!$F$7/1000)^2/4)*((Inputs!$F$7/1000/4)^(2/3))*SQRT(N74))</f>
        <v/>
      </c>
      <c r="AG74" s="4">
        <f>IF(A74="","",(1/Inputs!$B$9)*(PI()*(Inputs!$F$8/1000)^2/4)*((Inputs!$F$8/1000/4)^(2/3))*SQRT(N74))</f>
        <v/>
      </c>
      <c r="AH74" s="4">
        <f>IF(A74="","",(1/Inputs!$B$9)*(PI()*(Inputs!$F$9/1000)^2/4)*((Inputs!$F$9/1000/4)^(2/3))*SQRT(N74))</f>
        <v/>
      </c>
      <c r="AI74" s="4">
        <f>IF(A74="","",(1/Inputs!$B$9)*(PI()*(Inputs!$F$10/1000)^2/4)*((Inputs!$F$10/1000/4)^(2/3))*SQRT(N74))</f>
        <v/>
      </c>
      <c r="AJ74" s="4">
        <f>IF(A74="","",(1/Inputs!$B$9)*(PI()*(Inputs!$F$11/1000)^2/4)*((Inputs!$F$11/1000/4)^(2/3))*SQRT(N74))</f>
        <v/>
      </c>
      <c r="AK74" s="4">
        <f>IF(A74="","",(1/Inputs!$B$9)*(PI()*(Inputs!$F$12/1000)^2/4)*((Inputs!$F$12/1000/4)^(2/3))*SQRT(N74))</f>
        <v/>
      </c>
      <c r="AL74" s="4">
        <f>IF(A74="","",(1/Inputs!$B$9)*(PI()*(Inputs!$F$13/1000)^2/4)*((Inputs!$F$13/1000/4)^(2/3))*SQRT(N74))</f>
        <v/>
      </c>
      <c r="AM74" s="4">
        <f>IF(A74="","",(1/Inputs!$B$9)*(PI()*(Inputs!$F$14/1000)^2/4)*((Inputs!$F$14/1000/4)^(2/3))*SQRT(N74))</f>
        <v/>
      </c>
    </row>
    <row r="75">
      <c r="A75" s="4" t="n"/>
      <c r="B75" s="4" t="n"/>
      <c r="C75" s="8" t="n"/>
      <c r="D75" s="8" t="n"/>
      <c r="E75" s="8">
        <f>SUMIFS(CB_Tributaires!$C:$C,CB_Tributaires!$B:$B,$A75)</f>
        <v/>
      </c>
      <c r="F75" s="8">
        <f>IF(D75="",E75,D75)</f>
        <v/>
      </c>
      <c r="G75" s="4" t="n"/>
      <c r="H75" s="8" t="n"/>
      <c r="I75" s="8">
        <f>IF(A75="","",Inputs!$B$13/((IF(H75="",Inputs!$B$18,H75)+Inputs!$B$14)^Inputs!$B$15))</f>
        <v/>
      </c>
      <c r="J75" s="8">
        <f>IF(A75="","",0.00278*IF(G75="",Inputs!$B$17,G75)*F75*I75)</f>
        <v/>
      </c>
      <c r="K75" s="8">
        <f>IF(A75="","",SUMIFS($L$4:$L$203,$B$4:$B$203,$A75))</f>
        <v/>
      </c>
      <c r="L75" s="8">
        <f>IF(A75="","",(J75+K75)*Inputs!$B$16)</f>
        <v/>
      </c>
      <c r="M75" s="8" t="n"/>
      <c r="N75" s="8">
        <f>IF(A75="","",IF(M75="",Inputs!$B$7,M75))</f>
        <v/>
      </c>
      <c r="O75" s="4">
        <f>IF(A75="","",IF(L75/Inputs!$B$10&lt;=AD75,Inputs!$F$5,IF(L75/Inputs!$B$10&gt;AM75,"OVERSIZE",INDEX(Inputs!$F$5:$F$14,MATCH(L75/Inputs!$B$10,AD75:AM75,1)+1))))</f>
        <v/>
      </c>
      <c r="P75" s="4" t="n"/>
      <c r="Q75" s="4">
        <f>IF(A75="","",IF(P75="",O75,P75))</f>
        <v/>
      </c>
      <c r="R75" s="8">
        <f>IF(OR(Q75="",Q75="OVERSIZE"),"",Q75/1000)</f>
        <v/>
      </c>
      <c r="S75" s="8">
        <f>IF(R75="","",(1/Inputs!$B$9)*(PI()*R75^2/4)*((R75/4)^(2/3))*SQRT(N75))</f>
        <v/>
      </c>
      <c r="T75" s="8">
        <f>IF(OR(S75="",L75=""),"",L75/(S75*Inputs!$B$10))</f>
        <v/>
      </c>
      <c r="U75" s="8">
        <f>IF(OR(R75="",L75=""),"",4*L75/(PI()*R75^2))</f>
        <v/>
      </c>
      <c r="V75" s="8" t="n"/>
      <c r="W75" s="8">
        <f>IF(A75="","",IF(A75=Inputs!$B$6,Inputs!$B$22,IF(B75="","",IFERROR(INDEX($X$4:$X$203,MATCH(B75,$A$4:$A$203,0))+IF(V75="",Inputs!$B$20,V75),""))))</f>
        <v/>
      </c>
      <c r="X75" s="8">
        <f>IF(OR(W75="",N75="",C75=""),"",W75+N75*C75)</f>
        <v/>
      </c>
      <c r="Y75" s="8" t="n"/>
      <c r="Z75" s="8" t="n"/>
      <c r="AA75" s="8">
        <f>IF(OR(Y75="",W75=""),"",Y75-W75)</f>
        <v/>
      </c>
      <c r="AB75" s="8">
        <f>IF(OR(Z75="",X75=""),"",Z75-X75)</f>
        <v/>
      </c>
      <c r="AC75" s="4">
        <f>IF(A75="","",IF(OR(T75&gt;1,U75&lt;Inputs!$B$11,U75&gt;Inputs!$B$12,AA75&lt;Inputs!$B$19,AB75&lt;Inputs!$B$19,N75&lt;Inputs!$B$7,N75&gt;Inputs!$B$8),"CHECK","OK"))</f>
        <v/>
      </c>
      <c r="AD75" s="4">
        <f>IF(A75="","",(1/Inputs!$B$9)*(PI()*(Inputs!$F$5/1000)^2/4)*((Inputs!$F$5/1000/4)^(2/3))*SQRT(N75))</f>
        <v/>
      </c>
      <c r="AE75" s="4">
        <f>IF(A75="","",(1/Inputs!$B$9)*(PI()*(Inputs!$F$6/1000)^2/4)*((Inputs!$F$6/1000/4)^(2/3))*SQRT(N75))</f>
        <v/>
      </c>
      <c r="AF75" s="4">
        <f>IF(A75="","",(1/Inputs!$B$9)*(PI()*(Inputs!$F$7/1000)^2/4)*((Inputs!$F$7/1000/4)^(2/3))*SQRT(N75))</f>
        <v/>
      </c>
      <c r="AG75" s="4">
        <f>IF(A75="","",(1/Inputs!$B$9)*(PI()*(Inputs!$F$8/1000)^2/4)*((Inputs!$F$8/1000/4)^(2/3))*SQRT(N75))</f>
        <v/>
      </c>
      <c r="AH75" s="4">
        <f>IF(A75="","",(1/Inputs!$B$9)*(PI()*(Inputs!$F$9/1000)^2/4)*((Inputs!$F$9/1000/4)^(2/3))*SQRT(N75))</f>
        <v/>
      </c>
      <c r="AI75" s="4">
        <f>IF(A75="","",(1/Inputs!$B$9)*(PI()*(Inputs!$F$10/1000)^2/4)*((Inputs!$F$10/1000/4)^(2/3))*SQRT(N75))</f>
        <v/>
      </c>
      <c r="AJ75" s="4">
        <f>IF(A75="","",(1/Inputs!$B$9)*(PI()*(Inputs!$F$11/1000)^2/4)*((Inputs!$F$11/1000/4)^(2/3))*SQRT(N75))</f>
        <v/>
      </c>
      <c r="AK75" s="4">
        <f>IF(A75="","",(1/Inputs!$B$9)*(PI()*(Inputs!$F$12/1000)^2/4)*((Inputs!$F$12/1000/4)^(2/3))*SQRT(N75))</f>
        <v/>
      </c>
      <c r="AL75" s="4">
        <f>IF(A75="","",(1/Inputs!$B$9)*(PI()*(Inputs!$F$13/1000)^2/4)*((Inputs!$F$13/1000/4)^(2/3))*SQRT(N75))</f>
        <v/>
      </c>
      <c r="AM75" s="4">
        <f>IF(A75="","",(1/Inputs!$B$9)*(PI()*(Inputs!$F$14/1000)^2/4)*((Inputs!$F$14/1000/4)^(2/3))*SQRT(N75))</f>
        <v/>
      </c>
    </row>
    <row r="76">
      <c r="A76" s="4" t="n"/>
      <c r="B76" s="4" t="n"/>
      <c r="C76" s="8" t="n"/>
      <c r="D76" s="8" t="n"/>
      <c r="E76" s="8">
        <f>SUMIFS(CB_Tributaires!$C:$C,CB_Tributaires!$B:$B,$A76)</f>
        <v/>
      </c>
      <c r="F76" s="8">
        <f>IF(D76="",E76,D76)</f>
        <v/>
      </c>
      <c r="G76" s="4" t="n"/>
      <c r="H76" s="8" t="n"/>
      <c r="I76" s="8">
        <f>IF(A76="","",Inputs!$B$13/((IF(H76="",Inputs!$B$18,H76)+Inputs!$B$14)^Inputs!$B$15))</f>
        <v/>
      </c>
      <c r="J76" s="8">
        <f>IF(A76="","",0.00278*IF(G76="",Inputs!$B$17,G76)*F76*I76)</f>
        <v/>
      </c>
      <c r="K76" s="8">
        <f>IF(A76="","",SUMIFS($L$4:$L$203,$B$4:$B$203,$A76))</f>
        <v/>
      </c>
      <c r="L76" s="8">
        <f>IF(A76="","",(J76+K76)*Inputs!$B$16)</f>
        <v/>
      </c>
      <c r="M76" s="8" t="n"/>
      <c r="N76" s="8">
        <f>IF(A76="","",IF(M76="",Inputs!$B$7,M76))</f>
        <v/>
      </c>
      <c r="O76" s="4">
        <f>IF(A76="","",IF(L76/Inputs!$B$10&lt;=AD76,Inputs!$F$5,IF(L76/Inputs!$B$10&gt;AM76,"OVERSIZE",INDEX(Inputs!$F$5:$F$14,MATCH(L76/Inputs!$B$10,AD76:AM76,1)+1))))</f>
        <v/>
      </c>
      <c r="P76" s="4" t="n"/>
      <c r="Q76" s="4">
        <f>IF(A76="","",IF(P76="",O76,P76))</f>
        <v/>
      </c>
      <c r="R76" s="8">
        <f>IF(OR(Q76="",Q76="OVERSIZE"),"",Q76/1000)</f>
        <v/>
      </c>
      <c r="S76" s="8">
        <f>IF(R76="","",(1/Inputs!$B$9)*(PI()*R76^2/4)*((R76/4)^(2/3))*SQRT(N76))</f>
        <v/>
      </c>
      <c r="T76" s="8">
        <f>IF(OR(S76="",L76=""),"",L76/(S76*Inputs!$B$10))</f>
        <v/>
      </c>
      <c r="U76" s="8">
        <f>IF(OR(R76="",L76=""),"",4*L76/(PI()*R76^2))</f>
        <v/>
      </c>
      <c r="V76" s="8" t="n"/>
      <c r="W76" s="8">
        <f>IF(A76="","",IF(A76=Inputs!$B$6,Inputs!$B$22,IF(B76="","",IFERROR(INDEX($X$4:$X$203,MATCH(B76,$A$4:$A$203,0))+IF(V76="",Inputs!$B$20,V76),""))))</f>
        <v/>
      </c>
      <c r="X76" s="8">
        <f>IF(OR(W76="",N76="",C76=""),"",W76+N76*C76)</f>
        <v/>
      </c>
      <c r="Y76" s="8" t="n"/>
      <c r="Z76" s="8" t="n"/>
      <c r="AA76" s="8">
        <f>IF(OR(Y76="",W76=""),"",Y76-W76)</f>
        <v/>
      </c>
      <c r="AB76" s="8">
        <f>IF(OR(Z76="",X76=""),"",Z76-X76)</f>
        <v/>
      </c>
      <c r="AC76" s="4">
        <f>IF(A76="","",IF(OR(T76&gt;1,U76&lt;Inputs!$B$11,U76&gt;Inputs!$B$12,AA76&lt;Inputs!$B$19,AB76&lt;Inputs!$B$19,N76&lt;Inputs!$B$7,N76&gt;Inputs!$B$8),"CHECK","OK"))</f>
        <v/>
      </c>
      <c r="AD76" s="4">
        <f>IF(A76="","",(1/Inputs!$B$9)*(PI()*(Inputs!$F$5/1000)^2/4)*((Inputs!$F$5/1000/4)^(2/3))*SQRT(N76))</f>
        <v/>
      </c>
      <c r="AE76" s="4">
        <f>IF(A76="","",(1/Inputs!$B$9)*(PI()*(Inputs!$F$6/1000)^2/4)*((Inputs!$F$6/1000/4)^(2/3))*SQRT(N76))</f>
        <v/>
      </c>
      <c r="AF76" s="4">
        <f>IF(A76="","",(1/Inputs!$B$9)*(PI()*(Inputs!$F$7/1000)^2/4)*((Inputs!$F$7/1000/4)^(2/3))*SQRT(N76))</f>
        <v/>
      </c>
      <c r="AG76" s="4">
        <f>IF(A76="","",(1/Inputs!$B$9)*(PI()*(Inputs!$F$8/1000)^2/4)*((Inputs!$F$8/1000/4)^(2/3))*SQRT(N76))</f>
        <v/>
      </c>
      <c r="AH76" s="4">
        <f>IF(A76="","",(1/Inputs!$B$9)*(PI()*(Inputs!$F$9/1000)^2/4)*((Inputs!$F$9/1000/4)^(2/3))*SQRT(N76))</f>
        <v/>
      </c>
      <c r="AI76" s="4">
        <f>IF(A76="","",(1/Inputs!$B$9)*(PI()*(Inputs!$F$10/1000)^2/4)*((Inputs!$F$10/1000/4)^(2/3))*SQRT(N76))</f>
        <v/>
      </c>
      <c r="AJ76" s="4">
        <f>IF(A76="","",(1/Inputs!$B$9)*(PI()*(Inputs!$F$11/1000)^2/4)*((Inputs!$F$11/1000/4)^(2/3))*SQRT(N76))</f>
        <v/>
      </c>
      <c r="AK76" s="4">
        <f>IF(A76="","",(1/Inputs!$B$9)*(PI()*(Inputs!$F$12/1000)^2/4)*((Inputs!$F$12/1000/4)^(2/3))*SQRT(N76))</f>
        <v/>
      </c>
      <c r="AL76" s="4">
        <f>IF(A76="","",(1/Inputs!$B$9)*(PI()*(Inputs!$F$13/1000)^2/4)*((Inputs!$F$13/1000/4)^(2/3))*SQRT(N76))</f>
        <v/>
      </c>
      <c r="AM76" s="4">
        <f>IF(A76="","",(1/Inputs!$B$9)*(PI()*(Inputs!$F$14/1000)^2/4)*((Inputs!$F$14/1000/4)^(2/3))*SQRT(N76))</f>
        <v/>
      </c>
    </row>
    <row r="77">
      <c r="A77" s="4" t="n"/>
      <c r="B77" s="4" t="n"/>
      <c r="C77" s="8" t="n"/>
      <c r="D77" s="8" t="n"/>
      <c r="E77" s="8">
        <f>SUMIFS(CB_Tributaires!$C:$C,CB_Tributaires!$B:$B,$A77)</f>
        <v/>
      </c>
      <c r="F77" s="8">
        <f>IF(D77="",E77,D77)</f>
        <v/>
      </c>
      <c r="G77" s="4" t="n"/>
      <c r="H77" s="8" t="n"/>
      <c r="I77" s="8">
        <f>IF(A77="","",Inputs!$B$13/((IF(H77="",Inputs!$B$18,H77)+Inputs!$B$14)^Inputs!$B$15))</f>
        <v/>
      </c>
      <c r="J77" s="8">
        <f>IF(A77="","",0.00278*IF(G77="",Inputs!$B$17,G77)*F77*I77)</f>
        <v/>
      </c>
      <c r="K77" s="8">
        <f>IF(A77="","",SUMIFS($L$4:$L$203,$B$4:$B$203,$A77))</f>
        <v/>
      </c>
      <c r="L77" s="8">
        <f>IF(A77="","",(J77+K77)*Inputs!$B$16)</f>
        <v/>
      </c>
      <c r="M77" s="8" t="n"/>
      <c r="N77" s="8">
        <f>IF(A77="","",IF(M77="",Inputs!$B$7,M77))</f>
        <v/>
      </c>
      <c r="O77" s="4">
        <f>IF(A77="","",IF(L77/Inputs!$B$10&lt;=AD77,Inputs!$F$5,IF(L77/Inputs!$B$10&gt;AM77,"OVERSIZE",INDEX(Inputs!$F$5:$F$14,MATCH(L77/Inputs!$B$10,AD77:AM77,1)+1))))</f>
        <v/>
      </c>
      <c r="P77" s="4" t="n"/>
      <c r="Q77" s="4">
        <f>IF(A77="","",IF(P77="",O77,P77))</f>
        <v/>
      </c>
      <c r="R77" s="8">
        <f>IF(OR(Q77="",Q77="OVERSIZE"),"",Q77/1000)</f>
        <v/>
      </c>
      <c r="S77" s="8">
        <f>IF(R77="","",(1/Inputs!$B$9)*(PI()*R77^2/4)*((R77/4)^(2/3))*SQRT(N77))</f>
        <v/>
      </c>
      <c r="T77" s="8">
        <f>IF(OR(S77="",L77=""),"",L77/(S77*Inputs!$B$10))</f>
        <v/>
      </c>
      <c r="U77" s="8">
        <f>IF(OR(R77="",L77=""),"",4*L77/(PI()*R77^2))</f>
        <v/>
      </c>
      <c r="V77" s="8" t="n"/>
      <c r="W77" s="8">
        <f>IF(A77="","",IF(A77=Inputs!$B$6,Inputs!$B$22,IF(B77="","",IFERROR(INDEX($X$4:$X$203,MATCH(B77,$A$4:$A$203,0))+IF(V77="",Inputs!$B$20,V77),""))))</f>
        <v/>
      </c>
      <c r="X77" s="8">
        <f>IF(OR(W77="",N77="",C77=""),"",W77+N77*C77)</f>
        <v/>
      </c>
      <c r="Y77" s="8" t="n"/>
      <c r="Z77" s="8" t="n"/>
      <c r="AA77" s="8">
        <f>IF(OR(Y77="",W77=""),"",Y77-W77)</f>
        <v/>
      </c>
      <c r="AB77" s="8">
        <f>IF(OR(Z77="",X77=""),"",Z77-X77)</f>
        <v/>
      </c>
      <c r="AC77" s="4">
        <f>IF(A77="","",IF(OR(T77&gt;1,U77&lt;Inputs!$B$11,U77&gt;Inputs!$B$12,AA77&lt;Inputs!$B$19,AB77&lt;Inputs!$B$19,N77&lt;Inputs!$B$7,N77&gt;Inputs!$B$8),"CHECK","OK"))</f>
        <v/>
      </c>
      <c r="AD77" s="4">
        <f>IF(A77="","",(1/Inputs!$B$9)*(PI()*(Inputs!$F$5/1000)^2/4)*((Inputs!$F$5/1000/4)^(2/3))*SQRT(N77))</f>
        <v/>
      </c>
      <c r="AE77" s="4">
        <f>IF(A77="","",(1/Inputs!$B$9)*(PI()*(Inputs!$F$6/1000)^2/4)*((Inputs!$F$6/1000/4)^(2/3))*SQRT(N77))</f>
        <v/>
      </c>
      <c r="AF77" s="4">
        <f>IF(A77="","",(1/Inputs!$B$9)*(PI()*(Inputs!$F$7/1000)^2/4)*((Inputs!$F$7/1000/4)^(2/3))*SQRT(N77))</f>
        <v/>
      </c>
      <c r="AG77" s="4">
        <f>IF(A77="","",(1/Inputs!$B$9)*(PI()*(Inputs!$F$8/1000)^2/4)*((Inputs!$F$8/1000/4)^(2/3))*SQRT(N77))</f>
        <v/>
      </c>
      <c r="AH77" s="4">
        <f>IF(A77="","",(1/Inputs!$B$9)*(PI()*(Inputs!$F$9/1000)^2/4)*((Inputs!$F$9/1000/4)^(2/3))*SQRT(N77))</f>
        <v/>
      </c>
      <c r="AI77" s="4">
        <f>IF(A77="","",(1/Inputs!$B$9)*(PI()*(Inputs!$F$10/1000)^2/4)*((Inputs!$F$10/1000/4)^(2/3))*SQRT(N77))</f>
        <v/>
      </c>
      <c r="AJ77" s="4">
        <f>IF(A77="","",(1/Inputs!$B$9)*(PI()*(Inputs!$F$11/1000)^2/4)*((Inputs!$F$11/1000/4)^(2/3))*SQRT(N77))</f>
        <v/>
      </c>
      <c r="AK77" s="4">
        <f>IF(A77="","",(1/Inputs!$B$9)*(PI()*(Inputs!$F$12/1000)^2/4)*((Inputs!$F$12/1000/4)^(2/3))*SQRT(N77))</f>
        <v/>
      </c>
      <c r="AL77" s="4">
        <f>IF(A77="","",(1/Inputs!$B$9)*(PI()*(Inputs!$F$13/1000)^2/4)*((Inputs!$F$13/1000/4)^(2/3))*SQRT(N77))</f>
        <v/>
      </c>
      <c r="AM77" s="4">
        <f>IF(A77="","",(1/Inputs!$B$9)*(PI()*(Inputs!$F$14/1000)^2/4)*((Inputs!$F$14/1000/4)^(2/3))*SQRT(N77))</f>
        <v/>
      </c>
    </row>
    <row r="78">
      <c r="A78" s="4" t="n"/>
      <c r="B78" s="4" t="n"/>
      <c r="C78" s="8" t="n"/>
      <c r="D78" s="8" t="n"/>
      <c r="E78" s="8">
        <f>SUMIFS(CB_Tributaires!$C:$C,CB_Tributaires!$B:$B,$A78)</f>
        <v/>
      </c>
      <c r="F78" s="8">
        <f>IF(D78="",E78,D78)</f>
        <v/>
      </c>
      <c r="G78" s="4" t="n"/>
      <c r="H78" s="8" t="n"/>
      <c r="I78" s="8">
        <f>IF(A78="","",Inputs!$B$13/((IF(H78="",Inputs!$B$18,H78)+Inputs!$B$14)^Inputs!$B$15))</f>
        <v/>
      </c>
      <c r="J78" s="8">
        <f>IF(A78="","",0.00278*IF(G78="",Inputs!$B$17,G78)*F78*I78)</f>
        <v/>
      </c>
      <c r="K78" s="8">
        <f>IF(A78="","",SUMIFS($L$4:$L$203,$B$4:$B$203,$A78))</f>
        <v/>
      </c>
      <c r="L78" s="8">
        <f>IF(A78="","",(J78+K78)*Inputs!$B$16)</f>
        <v/>
      </c>
      <c r="M78" s="8" t="n"/>
      <c r="N78" s="8">
        <f>IF(A78="","",IF(M78="",Inputs!$B$7,M78))</f>
        <v/>
      </c>
      <c r="O78" s="4">
        <f>IF(A78="","",IF(L78/Inputs!$B$10&lt;=AD78,Inputs!$F$5,IF(L78/Inputs!$B$10&gt;AM78,"OVERSIZE",INDEX(Inputs!$F$5:$F$14,MATCH(L78/Inputs!$B$10,AD78:AM78,1)+1))))</f>
        <v/>
      </c>
      <c r="P78" s="4" t="n"/>
      <c r="Q78" s="4">
        <f>IF(A78="","",IF(P78="",O78,P78))</f>
        <v/>
      </c>
      <c r="R78" s="8">
        <f>IF(OR(Q78="",Q78="OVERSIZE"),"",Q78/1000)</f>
        <v/>
      </c>
      <c r="S78" s="8">
        <f>IF(R78="","",(1/Inputs!$B$9)*(PI()*R78^2/4)*((R78/4)^(2/3))*SQRT(N78))</f>
        <v/>
      </c>
      <c r="T78" s="8">
        <f>IF(OR(S78="",L78=""),"",L78/(S78*Inputs!$B$10))</f>
        <v/>
      </c>
      <c r="U78" s="8">
        <f>IF(OR(R78="",L78=""),"",4*L78/(PI()*R78^2))</f>
        <v/>
      </c>
      <c r="V78" s="8" t="n"/>
      <c r="W78" s="8">
        <f>IF(A78="","",IF(A78=Inputs!$B$6,Inputs!$B$22,IF(B78="","",IFERROR(INDEX($X$4:$X$203,MATCH(B78,$A$4:$A$203,0))+IF(V78="",Inputs!$B$20,V78),""))))</f>
        <v/>
      </c>
      <c r="X78" s="8">
        <f>IF(OR(W78="",N78="",C78=""),"",W78+N78*C78)</f>
        <v/>
      </c>
      <c r="Y78" s="8" t="n"/>
      <c r="Z78" s="8" t="n"/>
      <c r="AA78" s="8">
        <f>IF(OR(Y78="",W78=""),"",Y78-W78)</f>
        <v/>
      </c>
      <c r="AB78" s="8">
        <f>IF(OR(Z78="",X78=""),"",Z78-X78)</f>
        <v/>
      </c>
      <c r="AC78" s="4">
        <f>IF(A78="","",IF(OR(T78&gt;1,U78&lt;Inputs!$B$11,U78&gt;Inputs!$B$12,AA78&lt;Inputs!$B$19,AB78&lt;Inputs!$B$19,N78&lt;Inputs!$B$7,N78&gt;Inputs!$B$8),"CHECK","OK"))</f>
        <v/>
      </c>
      <c r="AD78" s="4">
        <f>IF(A78="","",(1/Inputs!$B$9)*(PI()*(Inputs!$F$5/1000)^2/4)*((Inputs!$F$5/1000/4)^(2/3))*SQRT(N78))</f>
        <v/>
      </c>
      <c r="AE78" s="4">
        <f>IF(A78="","",(1/Inputs!$B$9)*(PI()*(Inputs!$F$6/1000)^2/4)*((Inputs!$F$6/1000/4)^(2/3))*SQRT(N78))</f>
        <v/>
      </c>
      <c r="AF78" s="4">
        <f>IF(A78="","",(1/Inputs!$B$9)*(PI()*(Inputs!$F$7/1000)^2/4)*((Inputs!$F$7/1000/4)^(2/3))*SQRT(N78))</f>
        <v/>
      </c>
      <c r="AG78" s="4">
        <f>IF(A78="","",(1/Inputs!$B$9)*(PI()*(Inputs!$F$8/1000)^2/4)*((Inputs!$F$8/1000/4)^(2/3))*SQRT(N78))</f>
        <v/>
      </c>
      <c r="AH78" s="4">
        <f>IF(A78="","",(1/Inputs!$B$9)*(PI()*(Inputs!$F$9/1000)^2/4)*((Inputs!$F$9/1000/4)^(2/3))*SQRT(N78))</f>
        <v/>
      </c>
      <c r="AI78" s="4">
        <f>IF(A78="","",(1/Inputs!$B$9)*(PI()*(Inputs!$F$10/1000)^2/4)*((Inputs!$F$10/1000/4)^(2/3))*SQRT(N78))</f>
        <v/>
      </c>
      <c r="AJ78" s="4">
        <f>IF(A78="","",(1/Inputs!$B$9)*(PI()*(Inputs!$F$11/1000)^2/4)*((Inputs!$F$11/1000/4)^(2/3))*SQRT(N78))</f>
        <v/>
      </c>
      <c r="AK78" s="4">
        <f>IF(A78="","",(1/Inputs!$B$9)*(PI()*(Inputs!$F$12/1000)^2/4)*((Inputs!$F$12/1000/4)^(2/3))*SQRT(N78))</f>
        <v/>
      </c>
      <c r="AL78" s="4">
        <f>IF(A78="","",(1/Inputs!$B$9)*(PI()*(Inputs!$F$13/1000)^2/4)*((Inputs!$F$13/1000/4)^(2/3))*SQRT(N78))</f>
        <v/>
      </c>
      <c r="AM78" s="4">
        <f>IF(A78="","",(1/Inputs!$B$9)*(PI()*(Inputs!$F$14/1000)^2/4)*((Inputs!$F$14/1000/4)^(2/3))*SQRT(N78))</f>
        <v/>
      </c>
    </row>
    <row r="79">
      <c r="A79" s="4" t="n"/>
      <c r="B79" s="4" t="n"/>
      <c r="C79" s="8" t="n"/>
      <c r="D79" s="8" t="n"/>
      <c r="E79" s="8">
        <f>SUMIFS(CB_Tributaires!$C:$C,CB_Tributaires!$B:$B,$A79)</f>
        <v/>
      </c>
      <c r="F79" s="8">
        <f>IF(D79="",E79,D79)</f>
        <v/>
      </c>
      <c r="G79" s="4" t="n"/>
      <c r="H79" s="8" t="n"/>
      <c r="I79" s="8">
        <f>IF(A79="","",Inputs!$B$13/((IF(H79="",Inputs!$B$18,H79)+Inputs!$B$14)^Inputs!$B$15))</f>
        <v/>
      </c>
      <c r="J79" s="8">
        <f>IF(A79="","",0.00278*IF(G79="",Inputs!$B$17,G79)*F79*I79)</f>
        <v/>
      </c>
      <c r="K79" s="8">
        <f>IF(A79="","",SUMIFS($L$4:$L$203,$B$4:$B$203,$A79))</f>
        <v/>
      </c>
      <c r="L79" s="8">
        <f>IF(A79="","",(J79+K79)*Inputs!$B$16)</f>
        <v/>
      </c>
      <c r="M79" s="8" t="n"/>
      <c r="N79" s="8">
        <f>IF(A79="","",IF(M79="",Inputs!$B$7,M79))</f>
        <v/>
      </c>
      <c r="O79" s="4">
        <f>IF(A79="","",IF(L79/Inputs!$B$10&lt;=AD79,Inputs!$F$5,IF(L79/Inputs!$B$10&gt;AM79,"OVERSIZE",INDEX(Inputs!$F$5:$F$14,MATCH(L79/Inputs!$B$10,AD79:AM79,1)+1))))</f>
        <v/>
      </c>
      <c r="P79" s="4" t="n"/>
      <c r="Q79" s="4">
        <f>IF(A79="","",IF(P79="",O79,P79))</f>
        <v/>
      </c>
      <c r="R79" s="8">
        <f>IF(OR(Q79="",Q79="OVERSIZE"),"",Q79/1000)</f>
        <v/>
      </c>
      <c r="S79" s="8">
        <f>IF(R79="","",(1/Inputs!$B$9)*(PI()*R79^2/4)*((R79/4)^(2/3))*SQRT(N79))</f>
        <v/>
      </c>
      <c r="T79" s="8">
        <f>IF(OR(S79="",L79=""),"",L79/(S79*Inputs!$B$10))</f>
        <v/>
      </c>
      <c r="U79" s="8">
        <f>IF(OR(R79="",L79=""),"",4*L79/(PI()*R79^2))</f>
        <v/>
      </c>
      <c r="V79" s="8" t="n"/>
      <c r="W79" s="8">
        <f>IF(A79="","",IF(A79=Inputs!$B$6,Inputs!$B$22,IF(B79="","",IFERROR(INDEX($X$4:$X$203,MATCH(B79,$A$4:$A$203,0))+IF(V79="",Inputs!$B$20,V79),""))))</f>
        <v/>
      </c>
      <c r="X79" s="8">
        <f>IF(OR(W79="",N79="",C79=""),"",W79+N79*C79)</f>
        <v/>
      </c>
      <c r="Y79" s="8" t="n"/>
      <c r="Z79" s="8" t="n"/>
      <c r="AA79" s="8">
        <f>IF(OR(Y79="",W79=""),"",Y79-W79)</f>
        <v/>
      </c>
      <c r="AB79" s="8">
        <f>IF(OR(Z79="",X79=""),"",Z79-X79)</f>
        <v/>
      </c>
      <c r="AC79" s="4">
        <f>IF(A79="","",IF(OR(T79&gt;1,U79&lt;Inputs!$B$11,U79&gt;Inputs!$B$12,AA79&lt;Inputs!$B$19,AB79&lt;Inputs!$B$19,N79&lt;Inputs!$B$7,N79&gt;Inputs!$B$8),"CHECK","OK"))</f>
        <v/>
      </c>
      <c r="AD79" s="4">
        <f>IF(A79="","",(1/Inputs!$B$9)*(PI()*(Inputs!$F$5/1000)^2/4)*((Inputs!$F$5/1000/4)^(2/3))*SQRT(N79))</f>
        <v/>
      </c>
      <c r="AE79" s="4">
        <f>IF(A79="","",(1/Inputs!$B$9)*(PI()*(Inputs!$F$6/1000)^2/4)*((Inputs!$F$6/1000/4)^(2/3))*SQRT(N79))</f>
        <v/>
      </c>
      <c r="AF79" s="4">
        <f>IF(A79="","",(1/Inputs!$B$9)*(PI()*(Inputs!$F$7/1000)^2/4)*((Inputs!$F$7/1000/4)^(2/3))*SQRT(N79))</f>
        <v/>
      </c>
      <c r="AG79" s="4">
        <f>IF(A79="","",(1/Inputs!$B$9)*(PI()*(Inputs!$F$8/1000)^2/4)*((Inputs!$F$8/1000/4)^(2/3))*SQRT(N79))</f>
        <v/>
      </c>
      <c r="AH79" s="4">
        <f>IF(A79="","",(1/Inputs!$B$9)*(PI()*(Inputs!$F$9/1000)^2/4)*((Inputs!$F$9/1000/4)^(2/3))*SQRT(N79))</f>
        <v/>
      </c>
      <c r="AI79" s="4">
        <f>IF(A79="","",(1/Inputs!$B$9)*(PI()*(Inputs!$F$10/1000)^2/4)*((Inputs!$F$10/1000/4)^(2/3))*SQRT(N79))</f>
        <v/>
      </c>
      <c r="AJ79" s="4">
        <f>IF(A79="","",(1/Inputs!$B$9)*(PI()*(Inputs!$F$11/1000)^2/4)*((Inputs!$F$11/1000/4)^(2/3))*SQRT(N79))</f>
        <v/>
      </c>
      <c r="AK79" s="4">
        <f>IF(A79="","",(1/Inputs!$B$9)*(PI()*(Inputs!$F$12/1000)^2/4)*((Inputs!$F$12/1000/4)^(2/3))*SQRT(N79))</f>
        <v/>
      </c>
      <c r="AL79" s="4">
        <f>IF(A79="","",(1/Inputs!$B$9)*(PI()*(Inputs!$F$13/1000)^2/4)*((Inputs!$F$13/1000/4)^(2/3))*SQRT(N79))</f>
        <v/>
      </c>
      <c r="AM79" s="4">
        <f>IF(A79="","",(1/Inputs!$B$9)*(PI()*(Inputs!$F$14/1000)^2/4)*((Inputs!$F$14/1000/4)^(2/3))*SQRT(N79))</f>
        <v/>
      </c>
    </row>
    <row r="80">
      <c r="A80" s="4" t="n"/>
      <c r="B80" s="4" t="n"/>
      <c r="C80" s="8" t="n"/>
      <c r="D80" s="8" t="n"/>
      <c r="E80" s="8">
        <f>SUMIFS(CB_Tributaires!$C:$C,CB_Tributaires!$B:$B,$A80)</f>
        <v/>
      </c>
      <c r="F80" s="8">
        <f>IF(D80="",E80,D80)</f>
        <v/>
      </c>
      <c r="G80" s="4" t="n"/>
      <c r="H80" s="8" t="n"/>
      <c r="I80" s="8">
        <f>IF(A80="","",Inputs!$B$13/((IF(H80="",Inputs!$B$18,H80)+Inputs!$B$14)^Inputs!$B$15))</f>
        <v/>
      </c>
      <c r="J80" s="8">
        <f>IF(A80="","",0.00278*IF(G80="",Inputs!$B$17,G80)*F80*I80)</f>
        <v/>
      </c>
      <c r="K80" s="8">
        <f>IF(A80="","",SUMIFS($L$4:$L$203,$B$4:$B$203,$A80))</f>
        <v/>
      </c>
      <c r="L80" s="8">
        <f>IF(A80="","",(J80+K80)*Inputs!$B$16)</f>
        <v/>
      </c>
      <c r="M80" s="8" t="n"/>
      <c r="N80" s="8">
        <f>IF(A80="","",IF(M80="",Inputs!$B$7,M80))</f>
        <v/>
      </c>
      <c r="O80" s="4">
        <f>IF(A80="","",IF(L80/Inputs!$B$10&lt;=AD80,Inputs!$F$5,IF(L80/Inputs!$B$10&gt;AM80,"OVERSIZE",INDEX(Inputs!$F$5:$F$14,MATCH(L80/Inputs!$B$10,AD80:AM80,1)+1))))</f>
        <v/>
      </c>
      <c r="P80" s="4" t="n"/>
      <c r="Q80" s="4">
        <f>IF(A80="","",IF(P80="",O80,P80))</f>
        <v/>
      </c>
      <c r="R80" s="8">
        <f>IF(OR(Q80="",Q80="OVERSIZE"),"",Q80/1000)</f>
        <v/>
      </c>
      <c r="S80" s="8">
        <f>IF(R80="","",(1/Inputs!$B$9)*(PI()*R80^2/4)*((R80/4)^(2/3))*SQRT(N80))</f>
        <v/>
      </c>
      <c r="T80" s="8">
        <f>IF(OR(S80="",L80=""),"",L80/(S80*Inputs!$B$10))</f>
        <v/>
      </c>
      <c r="U80" s="8">
        <f>IF(OR(R80="",L80=""),"",4*L80/(PI()*R80^2))</f>
        <v/>
      </c>
      <c r="V80" s="8" t="n"/>
      <c r="W80" s="8">
        <f>IF(A80="","",IF(A80=Inputs!$B$6,Inputs!$B$22,IF(B80="","",IFERROR(INDEX($X$4:$X$203,MATCH(B80,$A$4:$A$203,0))+IF(V80="",Inputs!$B$20,V80),""))))</f>
        <v/>
      </c>
      <c r="X80" s="8">
        <f>IF(OR(W80="",N80="",C80=""),"",W80+N80*C80)</f>
        <v/>
      </c>
      <c r="Y80" s="8" t="n"/>
      <c r="Z80" s="8" t="n"/>
      <c r="AA80" s="8">
        <f>IF(OR(Y80="",W80=""),"",Y80-W80)</f>
        <v/>
      </c>
      <c r="AB80" s="8">
        <f>IF(OR(Z80="",X80=""),"",Z80-X80)</f>
        <v/>
      </c>
      <c r="AC80" s="4">
        <f>IF(A80="","",IF(OR(T80&gt;1,U80&lt;Inputs!$B$11,U80&gt;Inputs!$B$12,AA80&lt;Inputs!$B$19,AB80&lt;Inputs!$B$19,N80&lt;Inputs!$B$7,N80&gt;Inputs!$B$8),"CHECK","OK"))</f>
        <v/>
      </c>
      <c r="AD80" s="4">
        <f>IF(A80="","",(1/Inputs!$B$9)*(PI()*(Inputs!$F$5/1000)^2/4)*((Inputs!$F$5/1000/4)^(2/3))*SQRT(N80))</f>
        <v/>
      </c>
      <c r="AE80" s="4">
        <f>IF(A80="","",(1/Inputs!$B$9)*(PI()*(Inputs!$F$6/1000)^2/4)*((Inputs!$F$6/1000/4)^(2/3))*SQRT(N80))</f>
        <v/>
      </c>
      <c r="AF80" s="4">
        <f>IF(A80="","",(1/Inputs!$B$9)*(PI()*(Inputs!$F$7/1000)^2/4)*((Inputs!$F$7/1000/4)^(2/3))*SQRT(N80))</f>
        <v/>
      </c>
      <c r="AG80" s="4">
        <f>IF(A80="","",(1/Inputs!$B$9)*(PI()*(Inputs!$F$8/1000)^2/4)*((Inputs!$F$8/1000/4)^(2/3))*SQRT(N80))</f>
        <v/>
      </c>
      <c r="AH80" s="4">
        <f>IF(A80="","",(1/Inputs!$B$9)*(PI()*(Inputs!$F$9/1000)^2/4)*((Inputs!$F$9/1000/4)^(2/3))*SQRT(N80))</f>
        <v/>
      </c>
      <c r="AI80" s="4">
        <f>IF(A80="","",(1/Inputs!$B$9)*(PI()*(Inputs!$F$10/1000)^2/4)*((Inputs!$F$10/1000/4)^(2/3))*SQRT(N80))</f>
        <v/>
      </c>
      <c r="AJ80" s="4">
        <f>IF(A80="","",(1/Inputs!$B$9)*(PI()*(Inputs!$F$11/1000)^2/4)*((Inputs!$F$11/1000/4)^(2/3))*SQRT(N80))</f>
        <v/>
      </c>
      <c r="AK80" s="4">
        <f>IF(A80="","",(1/Inputs!$B$9)*(PI()*(Inputs!$F$12/1000)^2/4)*((Inputs!$F$12/1000/4)^(2/3))*SQRT(N80))</f>
        <v/>
      </c>
      <c r="AL80" s="4">
        <f>IF(A80="","",(1/Inputs!$B$9)*(PI()*(Inputs!$F$13/1000)^2/4)*((Inputs!$F$13/1000/4)^(2/3))*SQRT(N80))</f>
        <v/>
      </c>
      <c r="AM80" s="4">
        <f>IF(A80="","",(1/Inputs!$B$9)*(PI()*(Inputs!$F$14/1000)^2/4)*((Inputs!$F$14/1000/4)^(2/3))*SQRT(N80))</f>
        <v/>
      </c>
    </row>
    <row r="81">
      <c r="A81" s="4" t="n"/>
      <c r="B81" s="4" t="n"/>
      <c r="C81" s="8" t="n"/>
      <c r="D81" s="8" t="n"/>
      <c r="E81" s="8">
        <f>SUMIFS(CB_Tributaires!$C:$C,CB_Tributaires!$B:$B,$A81)</f>
        <v/>
      </c>
      <c r="F81" s="8">
        <f>IF(D81="",E81,D81)</f>
        <v/>
      </c>
      <c r="G81" s="4" t="n"/>
      <c r="H81" s="8" t="n"/>
      <c r="I81" s="8">
        <f>IF(A81="","",Inputs!$B$13/((IF(H81="",Inputs!$B$18,H81)+Inputs!$B$14)^Inputs!$B$15))</f>
        <v/>
      </c>
      <c r="J81" s="8">
        <f>IF(A81="","",0.00278*IF(G81="",Inputs!$B$17,G81)*F81*I81)</f>
        <v/>
      </c>
      <c r="K81" s="8">
        <f>IF(A81="","",SUMIFS($L$4:$L$203,$B$4:$B$203,$A81))</f>
        <v/>
      </c>
      <c r="L81" s="8">
        <f>IF(A81="","",(J81+K81)*Inputs!$B$16)</f>
        <v/>
      </c>
      <c r="M81" s="8" t="n"/>
      <c r="N81" s="8">
        <f>IF(A81="","",IF(M81="",Inputs!$B$7,M81))</f>
        <v/>
      </c>
      <c r="O81" s="4">
        <f>IF(A81="","",IF(L81/Inputs!$B$10&lt;=AD81,Inputs!$F$5,IF(L81/Inputs!$B$10&gt;AM81,"OVERSIZE",INDEX(Inputs!$F$5:$F$14,MATCH(L81/Inputs!$B$10,AD81:AM81,1)+1))))</f>
        <v/>
      </c>
      <c r="P81" s="4" t="n"/>
      <c r="Q81" s="4">
        <f>IF(A81="","",IF(P81="",O81,P81))</f>
        <v/>
      </c>
      <c r="R81" s="8">
        <f>IF(OR(Q81="",Q81="OVERSIZE"),"",Q81/1000)</f>
        <v/>
      </c>
      <c r="S81" s="8">
        <f>IF(R81="","",(1/Inputs!$B$9)*(PI()*R81^2/4)*((R81/4)^(2/3))*SQRT(N81))</f>
        <v/>
      </c>
      <c r="T81" s="8">
        <f>IF(OR(S81="",L81=""),"",L81/(S81*Inputs!$B$10))</f>
        <v/>
      </c>
      <c r="U81" s="8">
        <f>IF(OR(R81="",L81=""),"",4*L81/(PI()*R81^2))</f>
        <v/>
      </c>
      <c r="V81" s="8" t="n"/>
      <c r="W81" s="8">
        <f>IF(A81="","",IF(A81=Inputs!$B$6,Inputs!$B$22,IF(B81="","",IFERROR(INDEX($X$4:$X$203,MATCH(B81,$A$4:$A$203,0))+IF(V81="",Inputs!$B$20,V81),""))))</f>
        <v/>
      </c>
      <c r="X81" s="8">
        <f>IF(OR(W81="",N81="",C81=""),"",W81+N81*C81)</f>
        <v/>
      </c>
      <c r="Y81" s="8" t="n"/>
      <c r="Z81" s="8" t="n"/>
      <c r="AA81" s="8">
        <f>IF(OR(Y81="",W81=""),"",Y81-W81)</f>
        <v/>
      </c>
      <c r="AB81" s="8">
        <f>IF(OR(Z81="",X81=""),"",Z81-X81)</f>
        <v/>
      </c>
      <c r="AC81" s="4">
        <f>IF(A81="","",IF(OR(T81&gt;1,U81&lt;Inputs!$B$11,U81&gt;Inputs!$B$12,AA81&lt;Inputs!$B$19,AB81&lt;Inputs!$B$19,N81&lt;Inputs!$B$7,N81&gt;Inputs!$B$8),"CHECK","OK"))</f>
        <v/>
      </c>
      <c r="AD81" s="4">
        <f>IF(A81="","",(1/Inputs!$B$9)*(PI()*(Inputs!$F$5/1000)^2/4)*((Inputs!$F$5/1000/4)^(2/3))*SQRT(N81))</f>
        <v/>
      </c>
      <c r="AE81" s="4">
        <f>IF(A81="","",(1/Inputs!$B$9)*(PI()*(Inputs!$F$6/1000)^2/4)*((Inputs!$F$6/1000/4)^(2/3))*SQRT(N81))</f>
        <v/>
      </c>
      <c r="AF81" s="4">
        <f>IF(A81="","",(1/Inputs!$B$9)*(PI()*(Inputs!$F$7/1000)^2/4)*((Inputs!$F$7/1000/4)^(2/3))*SQRT(N81))</f>
        <v/>
      </c>
      <c r="AG81" s="4">
        <f>IF(A81="","",(1/Inputs!$B$9)*(PI()*(Inputs!$F$8/1000)^2/4)*((Inputs!$F$8/1000/4)^(2/3))*SQRT(N81))</f>
        <v/>
      </c>
      <c r="AH81" s="4">
        <f>IF(A81="","",(1/Inputs!$B$9)*(PI()*(Inputs!$F$9/1000)^2/4)*((Inputs!$F$9/1000/4)^(2/3))*SQRT(N81))</f>
        <v/>
      </c>
      <c r="AI81" s="4">
        <f>IF(A81="","",(1/Inputs!$B$9)*(PI()*(Inputs!$F$10/1000)^2/4)*((Inputs!$F$10/1000/4)^(2/3))*SQRT(N81))</f>
        <v/>
      </c>
      <c r="AJ81" s="4">
        <f>IF(A81="","",(1/Inputs!$B$9)*(PI()*(Inputs!$F$11/1000)^2/4)*((Inputs!$F$11/1000/4)^(2/3))*SQRT(N81))</f>
        <v/>
      </c>
      <c r="AK81" s="4">
        <f>IF(A81="","",(1/Inputs!$B$9)*(PI()*(Inputs!$F$12/1000)^2/4)*((Inputs!$F$12/1000/4)^(2/3))*SQRT(N81))</f>
        <v/>
      </c>
      <c r="AL81" s="4">
        <f>IF(A81="","",(1/Inputs!$B$9)*(PI()*(Inputs!$F$13/1000)^2/4)*((Inputs!$F$13/1000/4)^(2/3))*SQRT(N81))</f>
        <v/>
      </c>
      <c r="AM81" s="4">
        <f>IF(A81="","",(1/Inputs!$B$9)*(PI()*(Inputs!$F$14/1000)^2/4)*((Inputs!$F$14/1000/4)^(2/3))*SQRT(N81))</f>
        <v/>
      </c>
    </row>
    <row r="82">
      <c r="A82" s="4" t="n"/>
      <c r="B82" s="4" t="n"/>
      <c r="C82" s="8" t="n"/>
      <c r="D82" s="8" t="n"/>
      <c r="E82" s="8">
        <f>SUMIFS(CB_Tributaires!$C:$C,CB_Tributaires!$B:$B,$A82)</f>
        <v/>
      </c>
      <c r="F82" s="8">
        <f>IF(D82="",E82,D82)</f>
        <v/>
      </c>
      <c r="G82" s="4" t="n"/>
      <c r="H82" s="8" t="n"/>
      <c r="I82" s="8">
        <f>IF(A82="","",Inputs!$B$13/((IF(H82="",Inputs!$B$18,H82)+Inputs!$B$14)^Inputs!$B$15))</f>
        <v/>
      </c>
      <c r="J82" s="8">
        <f>IF(A82="","",0.00278*IF(G82="",Inputs!$B$17,G82)*F82*I82)</f>
        <v/>
      </c>
      <c r="K82" s="8">
        <f>IF(A82="","",SUMIFS($L$4:$L$203,$B$4:$B$203,$A82))</f>
        <v/>
      </c>
      <c r="L82" s="8">
        <f>IF(A82="","",(J82+K82)*Inputs!$B$16)</f>
        <v/>
      </c>
      <c r="M82" s="8" t="n"/>
      <c r="N82" s="8">
        <f>IF(A82="","",IF(M82="",Inputs!$B$7,M82))</f>
        <v/>
      </c>
      <c r="O82" s="4">
        <f>IF(A82="","",IF(L82/Inputs!$B$10&lt;=AD82,Inputs!$F$5,IF(L82/Inputs!$B$10&gt;AM82,"OVERSIZE",INDEX(Inputs!$F$5:$F$14,MATCH(L82/Inputs!$B$10,AD82:AM82,1)+1))))</f>
        <v/>
      </c>
      <c r="P82" s="4" t="n"/>
      <c r="Q82" s="4">
        <f>IF(A82="","",IF(P82="",O82,P82))</f>
        <v/>
      </c>
      <c r="R82" s="8">
        <f>IF(OR(Q82="",Q82="OVERSIZE"),"",Q82/1000)</f>
        <v/>
      </c>
      <c r="S82" s="8">
        <f>IF(R82="","",(1/Inputs!$B$9)*(PI()*R82^2/4)*((R82/4)^(2/3))*SQRT(N82))</f>
        <v/>
      </c>
      <c r="T82" s="8">
        <f>IF(OR(S82="",L82=""),"",L82/(S82*Inputs!$B$10))</f>
        <v/>
      </c>
      <c r="U82" s="8">
        <f>IF(OR(R82="",L82=""),"",4*L82/(PI()*R82^2))</f>
        <v/>
      </c>
      <c r="V82" s="8" t="n"/>
      <c r="W82" s="8">
        <f>IF(A82="","",IF(A82=Inputs!$B$6,Inputs!$B$22,IF(B82="","",IFERROR(INDEX($X$4:$X$203,MATCH(B82,$A$4:$A$203,0))+IF(V82="",Inputs!$B$20,V82),""))))</f>
        <v/>
      </c>
      <c r="X82" s="8">
        <f>IF(OR(W82="",N82="",C82=""),"",W82+N82*C82)</f>
        <v/>
      </c>
      <c r="Y82" s="8" t="n"/>
      <c r="Z82" s="8" t="n"/>
      <c r="AA82" s="8">
        <f>IF(OR(Y82="",W82=""),"",Y82-W82)</f>
        <v/>
      </c>
      <c r="AB82" s="8">
        <f>IF(OR(Z82="",X82=""),"",Z82-X82)</f>
        <v/>
      </c>
      <c r="AC82" s="4">
        <f>IF(A82="","",IF(OR(T82&gt;1,U82&lt;Inputs!$B$11,U82&gt;Inputs!$B$12,AA82&lt;Inputs!$B$19,AB82&lt;Inputs!$B$19,N82&lt;Inputs!$B$7,N82&gt;Inputs!$B$8),"CHECK","OK"))</f>
        <v/>
      </c>
      <c r="AD82" s="4">
        <f>IF(A82="","",(1/Inputs!$B$9)*(PI()*(Inputs!$F$5/1000)^2/4)*((Inputs!$F$5/1000/4)^(2/3))*SQRT(N82))</f>
        <v/>
      </c>
      <c r="AE82" s="4">
        <f>IF(A82="","",(1/Inputs!$B$9)*(PI()*(Inputs!$F$6/1000)^2/4)*((Inputs!$F$6/1000/4)^(2/3))*SQRT(N82))</f>
        <v/>
      </c>
      <c r="AF82" s="4">
        <f>IF(A82="","",(1/Inputs!$B$9)*(PI()*(Inputs!$F$7/1000)^2/4)*((Inputs!$F$7/1000/4)^(2/3))*SQRT(N82))</f>
        <v/>
      </c>
      <c r="AG82" s="4">
        <f>IF(A82="","",(1/Inputs!$B$9)*(PI()*(Inputs!$F$8/1000)^2/4)*((Inputs!$F$8/1000/4)^(2/3))*SQRT(N82))</f>
        <v/>
      </c>
      <c r="AH82" s="4">
        <f>IF(A82="","",(1/Inputs!$B$9)*(PI()*(Inputs!$F$9/1000)^2/4)*((Inputs!$F$9/1000/4)^(2/3))*SQRT(N82))</f>
        <v/>
      </c>
      <c r="AI82" s="4">
        <f>IF(A82="","",(1/Inputs!$B$9)*(PI()*(Inputs!$F$10/1000)^2/4)*((Inputs!$F$10/1000/4)^(2/3))*SQRT(N82))</f>
        <v/>
      </c>
      <c r="AJ82" s="4">
        <f>IF(A82="","",(1/Inputs!$B$9)*(PI()*(Inputs!$F$11/1000)^2/4)*((Inputs!$F$11/1000/4)^(2/3))*SQRT(N82))</f>
        <v/>
      </c>
      <c r="AK82" s="4">
        <f>IF(A82="","",(1/Inputs!$B$9)*(PI()*(Inputs!$F$12/1000)^2/4)*((Inputs!$F$12/1000/4)^(2/3))*SQRT(N82))</f>
        <v/>
      </c>
      <c r="AL82" s="4">
        <f>IF(A82="","",(1/Inputs!$B$9)*(PI()*(Inputs!$F$13/1000)^2/4)*((Inputs!$F$13/1000/4)^(2/3))*SQRT(N82))</f>
        <v/>
      </c>
      <c r="AM82" s="4">
        <f>IF(A82="","",(1/Inputs!$B$9)*(PI()*(Inputs!$F$14/1000)^2/4)*((Inputs!$F$14/1000/4)^(2/3))*SQRT(N82))</f>
        <v/>
      </c>
    </row>
    <row r="83">
      <c r="A83" s="4" t="n"/>
      <c r="B83" s="4" t="n"/>
      <c r="C83" s="8" t="n"/>
      <c r="D83" s="8" t="n"/>
      <c r="E83" s="8">
        <f>SUMIFS(CB_Tributaires!$C:$C,CB_Tributaires!$B:$B,$A83)</f>
        <v/>
      </c>
      <c r="F83" s="8">
        <f>IF(D83="",E83,D83)</f>
        <v/>
      </c>
      <c r="G83" s="4" t="n"/>
      <c r="H83" s="8" t="n"/>
      <c r="I83" s="8">
        <f>IF(A83="","",Inputs!$B$13/((IF(H83="",Inputs!$B$18,H83)+Inputs!$B$14)^Inputs!$B$15))</f>
        <v/>
      </c>
      <c r="J83" s="8">
        <f>IF(A83="","",0.00278*IF(G83="",Inputs!$B$17,G83)*F83*I83)</f>
        <v/>
      </c>
      <c r="K83" s="8">
        <f>IF(A83="","",SUMIFS($L$4:$L$203,$B$4:$B$203,$A83))</f>
        <v/>
      </c>
      <c r="L83" s="8">
        <f>IF(A83="","",(J83+K83)*Inputs!$B$16)</f>
        <v/>
      </c>
      <c r="M83" s="8" t="n"/>
      <c r="N83" s="8">
        <f>IF(A83="","",IF(M83="",Inputs!$B$7,M83))</f>
        <v/>
      </c>
      <c r="O83" s="4">
        <f>IF(A83="","",IF(L83/Inputs!$B$10&lt;=AD83,Inputs!$F$5,IF(L83/Inputs!$B$10&gt;AM83,"OVERSIZE",INDEX(Inputs!$F$5:$F$14,MATCH(L83/Inputs!$B$10,AD83:AM83,1)+1))))</f>
        <v/>
      </c>
      <c r="P83" s="4" t="n"/>
      <c r="Q83" s="4">
        <f>IF(A83="","",IF(P83="",O83,P83))</f>
        <v/>
      </c>
      <c r="R83" s="8">
        <f>IF(OR(Q83="",Q83="OVERSIZE"),"",Q83/1000)</f>
        <v/>
      </c>
      <c r="S83" s="8">
        <f>IF(R83="","",(1/Inputs!$B$9)*(PI()*R83^2/4)*((R83/4)^(2/3))*SQRT(N83))</f>
        <v/>
      </c>
      <c r="T83" s="8">
        <f>IF(OR(S83="",L83=""),"",L83/(S83*Inputs!$B$10))</f>
        <v/>
      </c>
      <c r="U83" s="8">
        <f>IF(OR(R83="",L83=""),"",4*L83/(PI()*R83^2))</f>
        <v/>
      </c>
      <c r="V83" s="8" t="n"/>
      <c r="W83" s="8">
        <f>IF(A83="","",IF(A83=Inputs!$B$6,Inputs!$B$22,IF(B83="","",IFERROR(INDEX($X$4:$X$203,MATCH(B83,$A$4:$A$203,0))+IF(V83="",Inputs!$B$20,V83),""))))</f>
        <v/>
      </c>
      <c r="X83" s="8">
        <f>IF(OR(W83="",N83="",C83=""),"",W83+N83*C83)</f>
        <v/>
      </c>
      <c r="Y83" s="8" t="n"/>
      <c r="Z83" s="8" t="n"/>
      <c r="AA83" s="8">
        <f>IF(OR(Y83="",W83=""),"",Y83-W83)</f>
        <v/>
      </c>
      <c r="AB83" s="8">
        <f>IF(OR(Z83="",X83=""),"",Z83-X83)</f>
        <v/>
      </c>
      <c r="AC83" s="4">
        <f>IF(A83="","",IF(OR(T83&gt;1,U83&lt;Inputs!$B$11,U83&gt;Inputs!$B$12,AA83&lt;Inputs!$B$19,AB83&lt;Inputs!$B$19,N83&lt;Inputs!$B$7,N83&gt;Inputs!$B$8),"CHECK","OK"))</f>
        <v/>
      </c>
      <c r="AD83" s="4">
        <f>IF(A83="","",(1/Inputs!$B$9)*(PI()*(Inputs!$F$5/1000)^2/4)*((Inputs!$F$5/1000/4)^(2/3))*SQRT(N83))</f>
        <v/>
      </c>
      <c r="AE83" s="4">
        <f>IF(A83="","",(1/Inputs!$B$9)*(PI()*(Inputs!$F$6/1000)^2/4)*((Inputs!$F$6/1000/4)^(2/3))*SQRT(N83))</f>
        <v/>
      </c>
      <c r="AF83" s="4">
        <f>IF(A83="","",(1/Inputs!$B$9)*(PI()*(Inputs!$F$7/1000)^2/4)*((Inputs!$F$7/1000/4)^(2/3))*SQRT(N83))</f>
        <v/>
      </c>
      <c r="AG83" s="4">
        <f>IF(A83="","",(1/Inputs!$B$9)*(PI()*(Inputs!$F$8/1000)^2/4)*((Inputs!$F$8/1000/4)^(2/3))*SQRT(N83))</f>
        <v/>
      </c>
      <c r="AH83" s="4">
        <f>IF(A83="","",(1/Inputs!$B$9)*(PI()*(Inputs!$F$9/1000)^2/4)*((Inputs!$F$9/1000/4)^(2/3))*SQRT(N83))</f>
        <v/>
      </c>
      <c r="AI83" s="4">
        <f>IF(A83="","",(1/Inputs!$B$9)*(PI()*(Inputs!$F$10/1000)^2/4)*((Inputs!$F$10/1000/4)^(2/3))*SQRT(N83))</f>
        <v/>
      </c>
      <c r="AJ83" s="4">
        <f>IF(A83="","",(1/Inputs!$B$9)*(PI()*(Inputs!$F$11/1000)^2/4)*((Inputs!$F$11/1000/4)^(2/3))*SQRT(N83))</f>
        <v/>
      </c>
      <c r="AK83" s="4">
        <f>IF(A83="","",(1/Inputs!$B$9)*(PI()*(Inputs!$F$12/1000)^2/4)*((Inputs!$F$12/1000/4)^(2/3))*SQRT(N83))</f>
        <v/>
      </c>
      <c r="AL83" s="4">
        <f>IF(A83="","",(1/Inputs!$B$9)*(PI()*(Inputs!$F$13/1000)^2/4)*((Inputs!$F$13/1000/4)^(2/3))*SQRT(N83))</f>
        <v/>
      </c>
      <c r="AM83" s="4">
        <f>IF(A83="","",(1/Inputs!$B$9)*(PI()*(Inputs!$F$14/1000)^2/4)*((Inputs!$F$14/1000/4)^(2/3))*SQRT(N83))</f>
        <v/>
      </c>
    </row>
    <row r="84">
      <c r="A84" s="4" t="n"/>
      <c r="B84" s="4" t="n"/>
      <c r="C84" s="8" t="n"/>
      <c r="D84" s="8" t="n"/>
      <c r="E84" s="8">
        <f>SUMIFS(CB_Tributaires!$C:$C,CB_Tributaires!$B:$B,$A84)</f>
        <v/>
      </c>
      <c r="F84" s="8">
        <f>IF(D84="",E84,D84)</f>
        <v/>
      </c>
      <c r="G84" s="4" t="n"/>
      <c r="H84" s="8" t="n"/>
      <c r="I84" s="8">
        <f>IF(A84="","",Inputs!$B$13/((IF(H84="",Inputs!$B$18,H84)+Inputs!$B$14)^Inputs!$B$15))</f>
        <v/>
      </c>
      <c r="J84" s="8">
        <f>IF(A84="","",0.00278*IF(G84="",Inputs!$B$17,G84)*F84*I84)</f>
        <v/>
      </c>
      <c r="K84" s="8">
        <f>IF(A84="","",SUMIFS($L$4:$L$203,$B$4:$B$203,$A84))</f>
        <v/>
      </c>
      <c r="L84" s="8">
        <f>IF(A84="","",(J84+K84)*Inputs!$B$16)</f>
        <v/>
      </c>
      <c r="M84" s="8" t="n"/>
      <c r="N84" s="8">
        <f>IF(A84="","",IF(M84="",Inputs!$B$7,M84))</f>
        <v/>
      </c>
      <c r="O84" s="4">
        <f>IF(A84="","",IF(L84/Inputs!$B$10&lt;=AD84,Inputs!$F$5,IF(L84/Inputs!$B$10&gt;AM84,"OVERSIZE",INDEX(Inputs!$F$5:$F$14,MATCH(L84/Inputs!$B$10,AD84:AM84,1)+1))))</f>
        <v/>
      </c>
      <c r="P84" s="4" t="n"/>
      <c r="Q84" s="4">
        <f>IF(A84="","",IF(P84="",O84,P84))</f>
        <v/>
      </c>
      <c r="R84" s="8">
        <f>IF(OR(Q84="",Q84="OVERSIZE"),"",Q84/1000)</f>
        <v/>
      </c>
      <c r="S84" s="8">
        <f>IF(R84="","",(1/Inputs!$B$9)*(PI()*R84^2/4)*((R84/4)^(2/3))*SQRT(N84))</f>
        <v/>
      </c>
      <c r="T84" s="8">
        <f>IF(OR(S84="",L84=""),"",L84/(S84*Inputs!$B$10))</f>
        <v/>
      </c>
      <c r="U84" s="8">
        <f>IF(OR(R84="",L84=""),"",4*L84/(PI()*R84^2))</f>
        <v/>
      </c>
      <c r="V84" s="8" t="n"/>
      <c r="W84" s="8">
        <f>IF(A84="","",IF(A84=Inputs!$B$6,Inputs!$B$22,IF(B84="","",IFERROR(INDEX($X$4:$X$203,MATCH(B84,$A$4:$A$203,0))+IF(V84="",Inputs!$B$20,V84),""))))</f>
        <v/>
      </c>
      <c r="X84" s="8">
        <f>IF(OR(W84="",N84="",C84=""),"",W84+N84*C84)</f>
        <v/>
      </c>
      <c r="Y84" s="8" t="n"/>
      <c r="Z84" s="8" t="n"/>
      <c r="AA84" s="8">
        <f>IF(OR(Y84="",W84=""),"",Y84-W84)</f>
        <v/>
      </c>
      <c r="AB84" s="8">
        <f>IF(OR(Z84="",X84=""),"",Z84-X84)</f>
        <v/>
      </c>
      <c r="AC84" s="4">
        <f>IF(A84="","",IF(OR(T84&gt;1,U84&lt;Inputs!$B$11,U84&gt;Inputs!$B$12,AA84&lt;Inputs!$B$19,AB84&lt;Inputs!$B$19,N84&lt;Inputs!$B$7,N84&gt;Inputs!$B$8),"CHECK","OK"))</f>
        <v/>
      </c>
      <c r="AD84" s="4">
        <f>IF(A84="","",(1/Inputs!$B$9)*(PI()*(Inputs!$F$5/1000)^2/4)*((Inputs!$F$5/1000/4)^(2/3))*SQRT(N84))</f>
        <v/>
      </c>
      <c r="AE84" s="4">
        <f>IF(A84="","",(1/Inputs!$B$9)*(PI()*(Inputs!$F$6/1000)^2/4)*((Inputs!$F$6/1000/4)^(2/3))*SQRT(N84))</f>
        <v/>
      </c>
      <c r="AF84" s="4">
        <f>IF(A84="","",(1/Inputs!$B$9)*(PI()*(Inputs!$F$7/1000)^2/4)*((Inputs!$F$7/1000/4)^(2/3))*SQRT(N84))</f>
        <v/>
      </c>
      <c r="AG84" s="4">
        <f>IF(A84="","",(1/Inputs!$B$9)*(PI()*(Inputs!$F$8/1000)^2/4)*((Inputs!$F$8/1000/4)^(2/3))*SQRT(N84))</f>
        <v/>
      </c>
      <c r="AH84" s="4">
        <f>IF(A84="","",(1/Inputs!$B$9)*(PI()*(Inputs!$F$9/1000)^2/4)*((Inputs!$F$9/1000/4)^(2/3))*SQRT(N84))</f>
        <v/>
      </c>
      <c r="AI84" s="4">
        <f>IF(A84="","",(1/Inputs!$B$9)*(PI()*(Inputs!$F$10/1000)^2/4)*((Inputs!$F$10/1000/4)^(2/3))*SQRT(N84))</f>
        <v/>
      </c>
      <c r="AJ84" s="4">
        <f>IF(A84="","",(1/Inputs!$B$9)*(PI()*(Inputs!$F$11/1000)^2/4)*((Inputs!$F$11/1000/4)^(2/3))*SQRT(N84))</f>
        <v/>
      </c>
      <c r="AK84" s="4">
        <f>IF(A84="","",(1/Inputs!$B$9)*(PI()*(Inputs!$F$12/1000)^2/4)*((Inputs!$F$12/1000/4)^(2/3))*SQRT(N84))</f>
        <v/>
      </c>
      <c r="AL84" s="4">
        <f>IF(A84="","",(1/Inputs!$B$9)*(PI()*(Inputs!$F$13/1000)^2/4)*((Inputs!$F$13/1000/4)^(2/3))*SQRT(N84))</f>
        <v/>
      </c>
      <c r="AM84" s="4">
        <f>IF(A84="","",(1/Inputs!$B$9)*(PI()*(Inputs!$F$14/1000)^2/4)*((Inputs!$F$14/1000/4)^(2/3))*SQRT(N84))</f>
        <v/>
      </c>
    </row>
    <row r="85">
      <c r="A85" s="4" t="n"/>
      <c r="B85" s="4" t="n"/>
      <c r="C85" s="8" t="n"/>
      <c r="D85" s="8" t="n"/>
      <c r="E85" s="8">
        <f>SUMIFS(CB_Tributaires!$C:$C,CB_Tributaires!$B:$B,$A85)</f>
        <v/>
      </c>
      <c r="F85" s="8">
        <f>IF(D85="",E85,D85)</f>
        <v/>
      </c>
      <c r="G85" s="4" t="n"/>
      <c r="H85" s="8" t="n"/>
      <c r="I85" s="8">
        <f>IF(A85="","",Inputs!$B$13/((IF(H85="",Inputs!$B$18,H85)+Inputs!$B$14)^Inputs!$B$15))</f>
        <v/>
      </c>
      <c r="J85" s="8">
        <f>IF(A85="","",0.00278*IF(G85="",Inputs!$B$17,G85)*F85*I85)</f>
        <v/>
      </c>
      <c r="K85" s="8">
        <f>IF(A85="","",SUMIFS($L$4:$L$203,$B$4:$B$203,$A85))</f>
        <v/>
      </c>
      <c r="L85" s="8">
        <f>IF(A85="","",(J85+K85)*Inputs!$B$16)</f>
        <v/>
      </c>
      <c r="M85" s="8" t="n"/>
      <c r="N85" s="8">
        <f>IF(A85="","",IF(M85="",Inputs!$B$7,M85))</f>
        <v/>
      </c>
      <c r="O85" s="4">
        <f>IF(A85="","",IF(L85/Inputs!$B$10&lt;=AD85,Inputs!$F$5,IF(L85/Inputs!$B$10&gt;AM85,"OVERSIZE",INDEX(Inputs!$F$5:$F$14,MATCH(L85/Inputs!$B$10,AD85:AM85,1)+1))))</f>
        <v/>
      </c>
      <c r="P85" s="4" t="n"/>
      <c r="Q85" s="4">
        <f>IF(A85="","",IF(P85="",O85,P85))</f>
        <v/>
      </c>
      <c r="R85" s="8">
        <f>IF(OR(Q85="",Q85="OVERSIZE"),"",Q85/1000)</f>
        <v/>
      </c>
      <c r="S85" s="8">
        <f>IF(R85="","",(1/Inputs!$B$9)*(PI()*R85^2/4)*((R85/4)^(2/3))*SQRT(N85))</f>
        <v/>
      </c>
      <c r="T85" s="8">
        <f>IF(OR(S85="",L85=""),"",L85/(S85*Inputs!$B$10))</f>
        <v/>
      </c>
      <c r="U85" s="8">
        <f>IF(OR(R85="",L85=""),"",4*L85/(PI()*R85^2))</f>
        <v/>
      </c>
      <c r="V85" s="8" t="n"/>
      <c r="W85" s="8">
        <f>IF(A85="","",IF(A85=Inputs!$B$6,Inputs!$B$22,IF(B85="","",IFERROR(INDEX($X$4:$X$203,MATCH(B85,$A$4:$A$203,0))+IF(V85="",Inputs!$B$20,V85),""))))</f>
        <v/>
      </c>
      <c r="X85" s="8">
        <f>IF(OR(W85="",N85="",C85=""),"",W85+N85*C85)</f>
        <v/>
      </c>
      <c r="Y85" s="8" t="n"/>
      <c r="Z85" s="8" t="n"/>
      <c r="AA85" s="8">
        <f>IF(OR(Y85="",W85=""),"",Y85-W85)</f>
        <v/>
      </c>
      <c r="AB85" s="8">
        <f>IF(OR(Z85="",X85=""),"",Z85-X85)</f>
        <v/>
      </c>
      <c r="AC85" s="4">
        <f>IF(A85="","",IF(OR(T85&gt;1,U85&lt;Inputs!$B$11,U85&gt;Inputs!$B$12,AA85&lt;Inputs!$B$19,AB85&lt;Inputs!$B$19,N85&lt;Inputs!$B$7,N85&gt;Inputs!$B$8),"CHECK","OK"))</f>
        <v/>
      </c>
      <c r="AD85" s="4">
        <f>IF(A85="","",(1/Inputs!$B$9)*(PI()*(Inputs!$F$5/1000)^2/4)*((Inputs!$F$5/1000/4)^(2/3))*SQRT(N85))</f>
        <v/>
      </c>
      <c r="AE85" s="4">
        <f>IF(A85="","",(1/Inputs!$B$9)*(PI()*(Inputs!$F$6/1000)^2/4)*((Inputs!$F$6/1000/4)^(2/3))*SQRT(N85))</f>
        <v/>
      </c>
      <c r="AF85" s="4">
        <f>IF(A85="","",(1/Inputs!$B$9)*(PI()*(Inputs!$F$7/1000)^2/4)*((Inputs!$F$7/1000/4)^(2/3))*SQRT(N85))</f>
        <v/>
      </c>
      <c r="AG85" s="4">
        <f>IF(A85="","",(1/Inputs!$B$9)*(PI()*(Inputs!$F$8/1000)^2/4)*((Inputs!$F$8/1000/4)^(2/3))*SQRT(N85))</f>
        <v/>
      </c>
      <c r="AH85" s="4">
        <f>IF(A85="","",(1/Inputs!$B$9)*(PI()*(Inputs!$F$9/1000)^2/4)*((Inputs!$F$9/1000/4)^(2/3))*SQRT(N85))</f>
        <v/>
      </c>
      <c r="AI85" s="4">
        <f>IF(A85="","",(1/Inputs!$B$9)*(PI()*(Inputs!$F$10/1000)^2/4)*((Inputs!$F$10/1000/4)^(2/3))*SQRT(N85))</f>
        <v/>
      </c>
      <c r="AJ85" s="4">
        <f>IF(A85="","",(1/Inputs!$B$9)*(PI()*(Inputs!$F$11/1000)^2/4)*((Inputs!$F$11/1000/4)^(2/3))*SQRT(N85))</f>
        <v/>
      </c>
      <c r="AK85" s="4">
        <f>IF(A85="","",(1/Inputs!$B$9)*(PI()*(Inputs!$F$12/1000)^2/4)*((Inputs!$F$12/1000/4)^(2/3))*SQRT(N85))</f>
        <v/>
      </c>
      <c r="AL85" s="4">
        <f>IF(A85="","",(1/Inputs!$B$9)*(PI()*(Inputs!$F$13/1000)^2/4)*((Inputs!$F$13/1000/4)^(2/3))*SQRT(N85))</f>
        <v/>
      </c>
      <c r="AM85" s="4">
        <f>IF(A85="","",(1/Inputs!$B$9)*(PI()*(Inputs!$F$14/1000)^2/4)*((Inputs!$F$14/1000/4)^(2/3))*SQRT(N85))</f>
        <v/>
      </c>
    </row>
    <row r="86">
      <c r="A86" s="4" t="n"/>
      <c r="B86" s="4" t="n"/>
      <c r="C86" s="8" t="n"/>
      <c r="D86" s="8" t="n"/>
      <c r="E86" s="8">
        <f>SUMIFS(CB_Tributaires!$C:$C,CB_Tributaires!$B:$B,$A86)</f>
        <v/>
      </c>
      <c r="F86" s="8">
        <f>IF(D86="",E86,D86)</f>
        <v/>
      </c>
      <c r="G86" s="4" t="n"/>
      <c r="H86" s="8" t="n"/>
      <c r="I86" s="8">
        <f>IF(A86="","",Inputs!$B$13/((IF(H86="",Inputs!$B$18,H86)+Inputs!$B$14)^Inputs!$B$15))</f>
        <v/>
      </c>
      <c r="J86" s="8">
        <f>IF(A86="","",0.00278*IF(G86="",Inputs!$B$17,G86)*F86*I86)</f>
        <v/>
      </c>
      <c r="K86" s="8">
        <f>IF(A86="","",SUMIFS($L$4:$L$203,$B$4:$B$203,$A86))</f>
        <v/>
      </c>
      <c r="L86" s="8">
        <f>IF(A86="","",(J86+K86)*Inputs!$B$16)</f>
        <v/>
      </c>
      <c r="M86" s="8" t="n"/>
      <c r="N86" s="8">
        <f>IF(A86="","",IF(M86="",Inputs!$B$7,M86))</f>
        <v/>
      </c>
      <c r="O86" s="4">
        <f>IF(A86="","",IF(L86/Inputs!$B$10&lt;=AD86,Inputs!$F$5,IF(L86/Inputs!$B$10&gt;AM86,"OVERSIZE",INDEX(Inputs!$F$5:$F$14,MATCH(L86/Inputs!$B$10,AD86:AM86,1)+1))))</f>
        <v/>
      </c>
      <c r="P86" s="4" t="n"/>
      <c r="Q86" s="4">
        <f>IF(A86="","",IF(P86="",O86,P86))</f>
        <v/>
      </c>
      <c r="R86" s="8">
        <f>IF(OR(Q86="",Q86="OVERSIZE"),"",Q86/1000)</f>
        <v/>
      </c>
      <c r="S86" s="8">
        <f>IF(R86="","",(1/Inputs!$B$9)*(PI()*R86^2/4)*((R86/4)^(2/3))*SQRT(N86))</f>
        <v/>
      </c>
      <c r="T86" s="8">
        <f>IF(OR(S86="",L86=""),"",L86/(S86*Inputs!$B$10))</f>
        <v/>
      </c>
      <c r="U86" s="8">
        <f>IF(OR(R86="",L86=""),"",4*L86/(PI()*R86^2))</f>
        <v/>
      </c>
      <c r="V86" s="8" t="n"/>
      <c r="W86" s="8">
        <f>IF(A86="","",IF(A86=Inputs!$B$6,Inputs!$B$22,IF(B86="","",IFERROR(INDEX($X$4:$X$203,MATCH(B86,$A$4:$A$203,0))+IF(V86="",Inputs!$B$20,V86),""))))</f>
        <v/>
      </c>
      <c r="X86" s="8">
        <f>IF(OR(W86="",N86="",C86=""),"",W86+N86*C86)</f>
        <v/>
      </c>
      <c r="Y86" s="8" t="n"/>
      <c r="Z86" s="8" t="n"/>
      <c r="AA86" s="8">
        <f>IF(OR(Y86="",W86=""),"",Y86-W86)</f>
        <v/>
      </c>
      <c r="AB86" s="8">
        <f>IF(OR(Z86="",X86=""),"",Z86-X86)</f>
        <v/>
      </c>
      <c r="AC86" s="4">
        <f>IF(A86="","",IF(OR(T86&gt;1,U86&lt;Inputs!$B$11,U86&gt;Inputs!$B$12,AA86&lt;Inputs!$B$19,AB86&lt;Inputs!$B$19,N86&lt;Inputs!$B$7,N86&gt;Inputs!$B$8),"CHECK","OK"))</f>
        <v/>
      </c>
      <c r="AD86" s="4">
        <f>IF(A86="","",(1/Inputs!$B$9)*(PI()*(Inputs!$F$5/1000)^2/4)*((Inputs!$F$5/1000/4)^(2/3))*SQRT(N86))</f>
        <v/>
      </c>
      <c r="AE86" s="4">
        <f>IF(A86="","",(1/Inputs!$B$9)*(PI()*(Inputs!$F$6/1000)^2/4)*((Inputs!$F$6/1000/4)^(2/3))*SQRT(N86))</f>
        <v/>
      </c>
      <c r="AF86" s="4">
        <f>IF(A86="","",(1/Inputs!$B$9)*(PI()*(Inputs!$F$7/1000)^2/4)*((Inputs!$F$7/1000/4)^(2/3))*SQRT(N86))</f>
        <v/>
      </c>
      <c r="AG86" s="4">
        <f>IF(A86="","",(1/Inputs!$B$9)*(PI()*(Inputs!$F$8/1000)^2/4)*((Inputs!$F$8/1000/4)^(2/3))*SQRT(N86))</f>
        <v/>
      </c>
      <c r="AH86" s="4">
        <f>IF(A86="","",(1/Inputs!$B$9)*(PI()*(Inputs!$F$9/1000)^2/4)*((Inputs!$F$9/1000/4)^(2/3))*SQRT(N86))</f>
        <v/>
      </c>
      <c r="AI86" s="4">
        <f>IF(A86="","",(1/Inputs!$B$9)*(PI()*(Inputs!$F$10/1000)^2/4)*((Inputs!$F$10/1000/4)^(2/3))*SQRT(N86))</f>
        <v/>
      </c>
      <c r="AJ86" s="4">
        <f>IF(A86="","",(1/Inputs!$B$9)*(PI()*(Inputs!$F$11/1000)^2/4)*((Inputs!$F$11/1000/4)^(2/3))*SQRT(N86))</f>
        <v/>
      </c>
      <c r="AK86" s="4">
        <f>IF(A86="","",(1/Inputs!$B$9)*(PI()*(Inputs!$F$12/1000)^2/4)*((Inputs!$F$12/1000/4)^(2/3))*SQRT(N86))</f>
        <v/>
      </c>
      <c r="AL86" s="4">
        <f>IF(A86="","",(1/Inputs!$B$9)*(PI()*(Inputs!$F$13/1000)^2/4)*((Inputs!$F$13/1000/4)^(2/3))*SQRT(N86))</f>
        <v/>
      </c>
      <c r="AM86" s="4">
        <f>IF(A86="","",(1/Inputs!$B$9)*(PI()*(Inputs!$F$14/1000)^2/4)*((Inputs!$F$14/1000/4)^(2/3))*SQRT(N86))</f>
        <v/>
      </c>
    </row>
    <row r="87">
      <c r="A87" s="4" t="n"/>
      <c r="B87" s="4" t="n"/>
      <c r="C87" s="8" t="n"/>
      <c r="D87" s="8" t="n"/>
      <c r="E87" s="8">
        <f>SUMIFS(CB_Tributaires!$C:$C,CB_Tributaires!$B:$B,$A87)</f>
        <v/>
      </c>
      <c r="F87" s="8">
        <f>IF(D87="",E87,D87)</f>
        <v/>
      </c>
      <c r="G87" s="4" t="n"/>
      <c r="H87" s="8" t="n"/>
      <c r="I87" s="8">
        <f>IF(A87="","",Inputs!$B$13/((IF(H87="",Inputs!$B$18,H87)+Inputs!$B$14)^Inputs!$B$15))</f>
        <v/>
      </c>
      <c r="J87" s="8">
        <f>IF(A87="","",0.00278*IF(G87="",Inputs!$B$17,G87)*F87*I87)</f>
        <v/>
      </c>
      <c r="K87" s="8">
        <f>IF(A87="","",SUMIFS($L$4:$L$203,$B$4:$B$203,$A87))</f>
        <v/>
      </c>
      <c r="L87" s="8">
        <f>IF(A87="","",(J87+K87)*Inputs!$B$16)</f>
        <v/>
      </c>
      <c r="M87" s="8" t="n"/>
      <c r="N87" s="8">
        <f>IF(A87="","",IF(M87="",Inputs!$B$7,M87))</f>
        <v/>
      </c>
      <c r="O87" s="4">
        <f>IF(A87="","",IF(L87/Inputs!$B$10&lt;=AD87,Inputs!$F$5,IF(L87/Inputs!$B$10&gt;AM87,"OVERSIZE",INDEX(Inputs!$F$5:$F$14,MATCH(L87/Inputs!$B$10,AD87:AM87,1)+1))))</f>
        <v/>
      </c>
      <c r="P87" s="4" t="n"/>
      <c r="Q87" s="4">
        <f>IF(A87="","",IF(P87="",O87,P87))</f>
        <v/>
      </c>
      <c r="R87" s="8">
        <f>IF(OR(Q87="",Q87="OVERSIZE"),"",Q87/1000)</f>
        <v/>
      </c>
      <c r="S87" s="8">
        <f>IF(R87="","",(1/Inputs!$B$9)*(PI()*R87^2/4)*((R87/4)^(2/3))*SQRT(N87))</f>
        <v/>
      </c>
      <c r="T87" s="8">
        <f>IF(OR(S87="",L87=""),"",L87/(S87*Inputs!$B$10))</f>
        <v/>
      </c>
      <c r="U87" s="8">
        <f>IF(OR(R87="",L87=""),"",4*L87/(PI()*R87^2))</f>
        <v/>
      </c>
      <c r="V87" s="8" t="n"/>
      <c r="W87" s="8">
        <f>IF(A87="","",IF(A87=Inputs!$B$6,Inputs!$B$22,IF(B87="","",IFERROR(INDEX($X$4:$X$203,MATCH(B87,$A$4:$A$203,0))+IF(V87="",Inputs!$B$20,V87),""))))</f>
        <v/>
      </c>
      <c r="X87" s="8">
        <f>IF(OR(W87="",N87="",C87=""),"",W87+N87*C87)</f>
        <v/>
      </c>
      <c r="Y87" s="8" t="n"/>
      <c r="Z87" s="8" t="n"/>
      <c r="AA87" s="8">
        <f>IF(OR(Y87="",W87=""),"",Y87-W87)</f>
        <v/>
      </c>
      <c r="AB87" s="8">
        <f>IF(OR(Z87="",X87=""),"",Z87-X87)</f>
        <v/>
      </c>
      <c r="AC87" s="4">
        <f>IF(A87="","",IF(OR(T87&gt;1,U87&lt;Inputs!$B$11,U87&gt;Inputs!$B$12,AA87&lt;Inputs!$B$19,AB87&lt;Inputs!$B$19,N87&lt;Inputs!$B$7,N87&gt;Inputs!$B$8),"CHECK","OK"))</f>
        <v/>
      </c>
      <c r="AD87" s="4">
        <f>IF(A87="","",(1/Inputs!$B$9)*(PI()*(Inputs!$F$5/1000)^2/4)*((Inputs!$F$5/1000/4)^(2/3))*SQRT(N87))</f>
        <v/>
      </c>
      <c r="AE87" s="4">
        <f>IF(A87="","",(1/Inputs!$B$9)*(PI()*(Inputs!$F$6/1000)^2/4)*((Inputs!$F$6/1000/4)^(2/3))*SQRT(N87))</f>
        <v/>
      </c>
      <c r="AF87" s="4">
        <f>IF(A87="","",(1/Inputs!$B$9)*(PI()*(Inputs!$F$7/1000)^2/4)*((Inputs!$F$7/1000/4)^(2/3))*SQRT(N87))</f>
        <v/>
      </c>
      <c r="AG87" s="4">
        <f>IF(A87="","",(1/Inputs!$B$9)*(PI()*(Inputs!$F$8/1000)^2/4)*((Inputs!$F$8/1000/4)^(2/3))*SQRT(N87))</f>
        <v/>
      </c>
      <c r="AH87" s="4">
        <f>IF(A87="","",(1/Inputs!$B$9)*(PI()*(Inputs!$F$9/1000)^2/4)*((Inputs!$F$9/1000/4)^(2/3))*SQRT(N87))</f>
        <v/>
      </c>
      <c r="AI87" s="4">
        <f>IF(A87="","",(1/Inputs!$B$9)*(PI()*(Inputs!$F$10/1000)^2/4)*((Inputs!$F$10/1000/4)^(2/3))*SQRT(N87))</f>
        <v/>
      </c>
      <c r="AJ87" s="4">
        <f>IF(A87="","",(1/Inputs!$B$9)*(PI()*(Inputs!$F$11/1000)^2/4)*((Inputs!$F$11/1000/4)^(2/3))*SQRT(N87))</f>
        <v/>
      </c>
      <c r="AK87" s="4">
        <f>IF(A87="","",(1/Inputs!$B$9)*(PI()*(Inputs!$F$12/1000)^2/4)*((Inputs!$F$12/1000/4)^(2/3))*SQRT(N87))</f>
        <v/>
      </c>
      <c r="AL87" s="4">
        <f>IF(A87="","",(1/Inputs!$B$9)*(PI()*(Inputs!$F$13/1000)^2/4)*((Inputs!$F$13/1000/4)^(2/3))*SQRT(N87))</f>
        <v/>
      </c>
      <c r="AM87" s="4">
        <f>IF(A87="","",(1/Inputs!$B$9)*(PI()*(Inputs!$F$14/1000)^2/4)*((Inputs!$F$14/1000/4)^(2/3))*SQRT(N87))</f>
        <v/>
      </c>
    </row>
    <row r="88">
      <c r="A88" s="4" t="n"/>
      <c r="B88" s="4" t="n"/>
      <c r="C88" s="8" t="n"/>
      <c r="D88" s="8" t="n"/>
      <c r="E88" s="8">
        <f>SUMIFS(CB_Tributaires!$C:$C,CB_Tributaires!$B:$B,$A88)</f>
        <v/>
      </c>
      <c r="F88" s="8">
        <f>IF(D88="",E88,D88)</f>
        <v/>
      </c>
      <c r="G88" s="4" t="n"/>
      <c r="H88" s="8" t="n"/>
      <c r="I88" s="8">
        <f>IF(A88="","",Inputs!$B$13/((IF(H88="",Inputs!$B$18,H88)+Inputs!$B$14)^Inputs!$B$15))</f>
        <v/>
      </c>
      <c r="J88" s="8">
        <f>IF(A88="","",0.00278*IF(G88="",Inputs!$B$17,G88)*F88*I88)</f>
        <v/>
      </c>
      <c r="K88" s="8">
        <f>IF(A88="","",SUMIFS($L$4:$L$203,$B$4:$B$203,$A88))</f>
        <v/>
      </c>
      <c r="L88" s="8">
        <f>IF(A88="","",(J88+K88)*Inputs!$B$16)</f>
        <v/>
      </c>
      <c r="M88" s="8" t="n"/>
      <c r="N88" s="8">
        <f>IF(A88="","",IF(M88="",Inputs!$B$7,M88))</f>
        <v/>
      </c>
      <c r="O88" s="4">
        <f>IF(A88="","",IF(L88/Inputs!$B$10&lt;=AD88,Inputs!$F$5,IF(L88/Inputs!$B$10&gt;AM88,"OVERSIZE",INDEX(Inputs!$F$5:$F$14,MATCH(L88/Inputs!$B$10,AD88:AM88,1)+1))))</f>
        <v/>
      </c>
      <c r="P88" s="4" t="n"/>
      <c r="Q88" s="4">
        <f>IF(A88="","",IF(P88="",O88,P88))</f>
        <v/>
      </c>
      <c r="R88" s="8">
        <f>IF(OR(Q88="",Q88="OVERSIZE"),"",Q88/1000)</f>
        <v/>
      </c>
      <c r="S88" s="8">
        <f>IF(R88="","",(1/Inputs!$B$9)*(PI()*R88^2/4)*((R88/4)^(2/3))*SQRT(N88))</f>
        <v/>
      </c>
      <c r="T88" s="8">
        <f>IF(OR(S88="",L88=""),"",L88/(S88*Inputs!$B$10))</f>
        <v/>
      </c>
      <c r="U88" s="8">
        <f>IF(OR(R88="",L88=""),"",4*L88/(PI()*R88^2))</f>
        <v/>
      </c>
      <c r="V88" s="8" t="n"/>
      <c r="W88" s="8">
        <f>IF(A88="","",IF(A88=Inputs!$B$6,Inputs!$B$22,IF(B88="","",IFERROR(INDEX($X$4:$X$203,MATCH(B88,$A$4:$A$203,0))+IF(V88="",Inputs!$B$20,V88),""))))</f>
        <v/>
      </c>
      <c r="X88" s="8">
        <f>IF(OR(W88="",N88="",C88=""),"",W88+N88*C88)</f>
        <v/>
      </c>
      <c r="Y88" s="8" t="n"/>
      <c r="Z88" s="8" t="n"/>
      <c r="AA88" s="8">
        <f>IF(OR(Y88="",W88=""),"",Y88-W88)</f>
        <v/>
      </c>
      <c r="AB88" s="8">
        <f>IF(OR(Z88="",X88=""),"",Z88-X88)</f>
        <v/>
      </c>
      <c r="AC88" s="4">
        <f>IF(A88="","",IF(OR(T88&gt;1,U88&lt;Inputs!$B$11,U88&gt;Inputs!$B$12,AA88&lt;Inputs!$B$19,AB88&lt;Inputs!$B$19,N88&lt;Inputs!$B$7,N88&gt;Inputs!$B$8),"CHECK","OK"))</f>
        <v/>
      </c>
      <c r="AD88" s="4">
        <f>IF(A88="","",(1/Inputs!$B$9)*(PI()*(Inputs!$F$5/1000)^2/4)*((Inputs!$F$5/1000/4)^(2/3))*SQRT(N88))</f>
        <v/>
      </c>
      <c r="AE88" s="4">
        <f>IF(A88="","",(1/Inputs!$B$9)*(PI()*(Inputs!$F$6/1000)^2/4)*((Inputs!$F$6/1000/4)^(2/3))*SQRT(N88))</f>
        <v/>
      </c>
      <c r="AF88" s="4">
        <f>IF(A88="","",(1/Inputs!$B$9)*(PI()*(Inputs!$F$7/1000)^2/4)*((Inputs!$F$7/1000/4)^(2/3))*SQRT(N88))</f>
        <v/>
      </c>
      <c r="AG88" s="4">
        <f>IF(A88="","",(1/Inputs!$B$9)*(PI()*(Inputs!$F$8/1000)^2/4)*((Inputs!$F$8/1000/4)^(2/3))*SQRT(N88))</f>
        <v/>
      </c>
      <c r="AH88" s="4">
        <f>IF(A88="","",(1/Inputs!$B$9)*(PI()*(Inputs!$F$9/1000)^2/4)*((Inputs!$F$9/1000/4)^(2/3))*SQRT(N88))</f>
        <v/>
      </c>
      <c r="AI88" s="4">
        <f>IF(A88="","",(1/Inputs!$B$9)*(PI()*(Inputs!$F$10/1000)^2/4)*((Inputs!$F$10/1000/4)^(2/3))*SQRT(N88))</f>
        <v/>
      </c>
      <c r="AJ88" s="4">
        <f>IF(A88="","",(1/Inputs!$B$9)*(PI()*(Inputs!$F$11/1000)^2/4)*((Inputs!$F$11/1000/4)^(2/3))*SQRT(N88))</f>
        <v/>
      </c>
      <c r="AK88" s="4">
        <f>IF(A88="","",(1/Inputs!$B$9)*(PI()*(Inputs!$F$12/1000)^2/4)*((Inputs!$F$12/1000/4)^(2/3))*SQRT(N88))</f>
        <v/>
      </c>
      <c r="AL88" s="4">
        <f>IF(A88="","",(1/Inputs!$B$9)*(PI()*(Inputs!$F$13/1000)^2/4)*((Inputs!$F$13/1000/4)^(2/3))*SQRT(N88))</f>
        <v/>
      </c>
      <c r="AM88" s="4">
        <f>IF(A88="","",(1/Inputs!$B$9)*(PI()*(Inputs!$F$14/1000)^2/4)*((Inputs!$F$14/1000/4)^(2/3))*SQRT(N88))</f>
        <v/>
      </c>
    </row>
    <row r="89">
      <c r="A89" s="4" t="n"/>
      <c r="B89" s="4" t="n"/>
      <c r="C89" s="8" t="n"/>
      <c r="D89" s="8" t="n"/>
      <c r="E89" s="8">
        <f>SUMIFS(CB_Tributaires!$C:$C,CB_Tributaires!$B:$B,$A89)</f>
        <v/>
      </c>
      <c r="F89" s="8">
        <f>IF(D89="",E89,D89)</f>
        <v/>
      </c>
      <c r="G89" s="4" t="n"/>
      <c r="H89" s="8" t="n"/>
      <c r="I89" s="8">
        <f>IF(A89="","",Inputs!$B$13/((IF(H89="",Inputs!$B$18,H89)+Inputs!$B$14)^Inputs!$B$15))</f>
        <v/>
      </c>
      <c r="J89" s="8">
        <f>IF(A89="","",0.00278*IF(G89="",Inputs!$B$17,G89)*F89*I89)</f>
        <v/>
      </c>
      <c r="K89" s="8">
        <f>IF(A89="","",SUMIFS($L$4:$L$203,$B$4:$B$203,$A89))</f>
        <v/>
      </c>
      <c r="L89" s="8">
        <f>IF(A89="","",(J89+K89)*Inputs!$B$16)</f>
        <v/>
      </c>
      <c r="M89" s="8" t="n"/>
      <c r="N89" s="8">
        <f>IF(A89="","",IF(M89="",Inputs!$B$7,M89))</f>
        <v/>
      </c>
      <c r="O89" s="4">
        <f>IF(A89="","",IF(L89/Inputs!$B$10&lt;=AD89,Inputs!$F$5,IF(L89/Inputs!$B$10&gt;AM89,"OVERSIZE",INDEX(Inputs!$F$5:$F$14,MATCH(L89/Inputs!$B$10,AD89:AM89,1)+1))))</f>
        <v/>
      </c>
      <c r="P89" s="4" t="n"/>
      <c r="Q89" s="4">
        <f>IF(A89="","",IF(P89="",O89,P89))</f>
        <v/>
      </c>
      <c r="R89" s="8">
        <f>IF(OR(Q89="",Q89="OVERSIZE"),"",Q89/1000)</f>
        <v/>
      </c>
      <c r="S89" s="8">
        <f>IF(R89="","",(1/Inputs!$B$9)*(PI()*R89^2/4)*((R89/4)^(2/3))*SQRT(N89))</f>
        <v/>
      </c>
      <c r="T89" s="8">
        <f>IF(OR(S89="",L89=""),"",L89/(S89*Inputs!$B$10))</f>
        <v/>
      </c>
      <c r="U89" s="8">
        <f>IF(OR(R89="",L89=""),"",4*L89/(PI()*R89^2))</f>
        <v/>
      </c>
      <c r="V89" s="8" t="n"/>
      <c r="W89" s="8">
        <f>IF(A89="","",IF(A89=Inputs!$B$6,Inputs!$B$22,IF(B89="","",IFERROR(INDEX($X$4:$X$203,MATCH(B89,$A$4:$A$203,0))+IF(V89="",Inputs!$B$20,V89),""))))</f>
        <v/>
      </c>
      <c r="X89" s="8">
        <f>IF(OR(W89="",N89="",C89=""),"",W89+N89*C89)</f>
        <v/>
      </c>
      <c r="Y89" s="8" t="n"/>
      <c r="Z89" s="8" t="n"/>
      <c r="AA89" s="8">
        <f>IF(OR(Y89="",W89=""),"",Y89-W89)</f>
        <v/>
      </c>
      <c r="AB89" s="8">
        <f>IF(OR(Z89="",X89=""),"",Z89-X89)</f>
        <v/>
      </c>
      <c r="AC89" s="4">
        <f>IF(A89="","",IF(OR(T89&gt;1,U89&lt;Inputs!$B$11,U89&gt;Inputs!$B$12,AA89&lt;Inputs!$B$19,AB89&lt;Inputs!$B$19,N89&lt;Inputs!$B$7,N89&gt;Inputs!$B$8),"CHECK","OK"))</f>
        <v/>
      </c>
      <c r="AD89" s="4">
        <f>IF(A89="","",(1/Inputs!$B$9)*(PI()*(Inputs!$F$5/1000)^2/4)*((Inputs!$F$5/1000/4)^(2/3))*SQRT(N89))</f>
        <v/>
      </c>
      <c r="AE89" s="4">
        <f>IF(A89="","",(1/Inputs!$B$9)*(PI()*(Inputs!$F$6/1000)^2/4)*((Inputs!$F$6/1000/4)^(2/3))*SQRT(N89))</f>
        <v/>
      </c>
      <c r="AF89" s="4">
        <f>IF(A89="","",(1/Inputs!$B$9)*(PI()*(Inputs!$F$7/1000)^2/4)*((Inputs!$F$7/1000/4)^(2/3))*SQRT(N89))</f>
        <v/>
      </c>
      <c r="AG89" s="4">
        <f>IF(A89="","",(1/Inputs!$B$9)*(PI()*(Inputs!$F$8/1000)^2/4)*((Inputs!$F$8/1000/4)^(2/3))*SQRT(N89))</f>
        <v/>
      </c>
      <c r="AH89" s="4">
        <f>IF(A89="","",(1/Inputs!$B$9)*(PI()*(Inputs!$F$9/1000)^2/4)*((Inputs!$F$9/1000/4)^(2/3))*SQRT(N89))</f>
        <v/>
      </c>
      <c r="AI89" s="4">
        <f>IF(A89="","",(1/Inputs!$B$9)*(PI()*(Inputs!$F$10/1000)^2/4)*((Inputs!$F$10/1000/4)^(2/3))*SQRT(N89))</f>
        <v/>
      </c>
      <c r="AJ89" s="4">
        <f>IF(A89="","",(1/Inputs!$B$9)*(PI()*(Inputs!$F$11/1000)^2/4)*((Inputs!$F$11/1000/4)^(2/3))*SQRT(N89))</f>
        <v/>
      </c>
      <c r="AK89" s="4">
        <f>IF(A89="","",(1/Inputs!$B$9)*(PI()*(Inputs!$F$12/1000)^2/4)*((Inputs!$F$12/1000/4)^(2/3))*SQRT(N89))</f>
        <v/>
      </c>
      <c r="AL89" s="4">
        <f>IF(A89="","",(1/Inputs!$B$9)*(PI()*(Inputs!$F$13/1000)^2/4)*((Inputs!$F$13/1000/4)^(2/3))*SQRT(N89))</f>
        <v/>
      </c>
      <c r="AM89" s="4">
        <f>IF(A89="","",(1/Inputs!$B$9)*(PI()*(Inputs!$F$14/1000)^2/4)*((Inputs!$F$14/1000/4)^(2/3))*SQRT(N89))</f>
        <v/>
      </c>
    </row>
    <row r="90">
      <c r="A90" s="4" t="n"/>
      <c r="B90" s="4" t="n"/>
      <c r="C90" s="8" t="n"/>
      <c r="D90" s="8" t="n"/>
      <c r="E90" s="8">
        <f>SUMIFS(CB_Tributaires!$C:$C,CB_Tributaires!$B:$B,$A90)</f>
        <v/>
      </c>
      <c r="F90" s="8">
        <f>IF(D90="",E90,D90)</f>
        <v/>
      </c>
      <c r="G90" s="4" t="n"/>
      <c r="H90" s="8" t="n"/>
      <c r="I90" s="8">
        <f>IF(A90="","",Inputs!$B$13/((IF(H90="",Inputs!$B$18,H90)+Inputs!$B$14)^Inputs!$B$15))</f>
        <v/>
      </c>
      <c r="J90" s="8">
        <f>IF(A90="","",0.00278*IF(G90="",Inputs!$B$17,G90)*F90*I90)</f>
        <v/>
      </c>
      <c r="K90" s="8">
        <f>IF(A90="","",SUMIFS($L$4:$L$203,$B$4:$B$203,$A90))</f>
        <v/>
      </c>
      <c r="L90" s="8">
        <f>IF(A90="","",(J90+K90)*Inputs!$B$16)</f>
        <v/>
      </c>
      <c r="M90" s="8" t="n"/>
      <c r="N90" s="8">
        <f>IF(A90="","",IF(M90="",Inputs!$B$7,M90))</f>
        <v/>
      </c>
      <c r="O90" s="4">
        <f>IF(A90="","",IF(L90/Inputs!$B$10&lt;=AD90,Inputs!$F$5,IF(L90/Inputs!$B$10&gt;AM90,"OVERSIZE",INDEX(Inputs!$F$5:$F$14,MATCH(L90/Inputs!$B$10,AD90:AM90,1)+1))))</f>
        <v/>
      </c>
      <c r="P90" s="4" t="n"/>
      <c r="Q90" s="4">
        <f>IF(A90="","",IF(P90="",O90,P90))</f>
        <v/>
      </c>
      <c r="R90" s="8">
        <f>IF(OR(Q90="",Q90="OVERSIZE"),"",Q90/1000)</f>
        <v/>
      </c>
      <c r="S90" s="8">
        <f>IF(R90="","",(1/Inputs!$B$9)*(PI()*R90^2/4)*((R90/4)^(2/3))*SQRT(N90))</f>
        <v/>
      </c>
      <c r="T90" s="8">
        <f>IF(OR(S90="",L90=""),"",L90/(S90*Inputs!$B$10))</f>
        <v/>
      </c>
      <c r="U90" s="8">
        <f>IF(OR(R90="",L90=""),"",4*L90/(PI()*R90^2))</f>
        <v/>
      </c>
      <c r="V90" s="8" t="n"/>
      <c r="W90" s="8">
        <f>IF(A90="","",IF(A90=Inputs!$B$6,Inputs!$B$22,IF(B90="","",IFERROR(INDEX($X$4:$X$203,MATCH(B90,$A$4:$A$203,0))+IF(V90="",Inputs!$B$20,V90),""))))</f>
        <v/>
      </c>
      <c r="X90" s="8">
        <f>IF(OR(W90="",N90="",C90=""),"",W90+N90*C90)</f>
        <v/>
      </c>
      <c r="Y90" s="8" t="n"/>
      <c r="Z90" s="8" t="n"/>
      <c r="AA90" s="8">
        <f>IF(OR(Y90="",W90=""),"",Y90-W90)</f>
        <v/>
      </c>
      <c r="AB90" s="8">
        <f>IF(OR(Z90="",X90=""),"",Z90-X90)</f>
        <v/>
      </c>
      <c r="AC90" s="4">
        <f>IF(A90="","",IF(OR(T90&gt;1,U90&lt;Inputs!$B$11,U90&gt;Inputs!$B$12,AA90&lt;Inputs!$B$19,AB90&lt;Inputs!$B$19,N90&lt;Inputs!$B$7,N90&gt;Inputs!$B$8),"CHECK","OK"))</f>
        <v/>
      </c>
      <c r="AD90" s="4">
        <f>IF(A90="","",(1/Inputs!$B$9)*(PI()*(Inputs!$F$5/1000)^2/4)*((Inputs!$F$5/1000/4)^(2/3))*SQRT(N90))</f>
        <v/>
      </c>
      <c r="AE90" s="4">
        <f>IF(A90="","",(1/Inputs!$B$9)*(PI()*(Inputs!$F$6/1000)^2/4)*((Inputs!$F$6/1000/4)^(2/3))*SQRT(N90))</f>
        <v/>
      </c>
      <c r="AF90" s="4">
        <f>IF(A90="","",(1/Inputs!$B$9)*(PI()*(Inputs!$F$7/1000)^2/4)*((Inputs!$F$7/1000/4)^(2/3))*SQRT(N90))</f>
        <v/>
      </c>
      <c r="AG90" s="4">
        <f>IF(A90="","",(1/Inputs!$B$9)*(PI()*(Inputs!$F$8/1000)^2/4)*((Inputs!$F$8/1000/4)^(2/3))*SQRT(N90))</f>
        <v/>
      </c>
      <c r="AH90" s="4">
        <f>IF(A90="","",(1/Inputs!$B$9)*(PI()*(Inputs!$F$9/1000)^2/4)*((Inputs!$F$9/1000/4)^(2/3))*SQRT(N90))</f>
        <v/>
      </c>
      <c r="AI90" s="4">
        <f>IF(A90="","",(1/Inputs!$B$9)*(PI()*(Inputs!$F$10/1000)^2/4)*((Inputs!$F$10/1000/4)^(2/3))*SQRT(N90))</f>
        <v/>
      </c>
      <c r="AJ90" s="4">
        <f>IF(A90="","",(1/Inputs!$B$9)*(PI()*(Inputs!$F$11/1000)^2/4)*((Inputs!$F$11/1000/4)^(2/3))*SQRT(N90))</f>
        <v/>
      </c>
      <c r="AK90" s="4">
        <f>IF(A90="","",(1/Inputs!$B$9)*(PI()*(Inputs!$F$12/1000)^2/4)*((Inputs!$F$12/1000/4)^(2/3))*SQRT(N90))</f>
        <v/>
      </c>
      <c r="AL90" s="4">
        <f>IF(A90="","",(1/Inputs!$B$9)*(PI()*(Inputs!$F$13/1000)^2/4)*((Inputs!$F$13/1000/4)^(2/3))*SQRT(N90))</f>
        <v/>
      </c>
      <c r="AM90" s="4">
        <f>IF(A90="","",(1/Inputs!$B$9)*(PI()*(Inputs!$F$14/1000)^2/4)*((Inputs!$F$14/1000/4)^(2/3))*SQRT(N90))</f>
        <v/>
      </c>
    </row>
    <row r="91">
      <c r="A91" s="4" t="n"/>
      <c r="B91" s="4" t="n"/>
      <c r="C91" s="8" t="n"/>
      <c r="D91" s="8" t="n"/>
      <c r="E91" s="8">
        <f>SUMIFS(CB_Tributaires!$C:$C,CB_Tributaires!$B:$B,$A91)</f>
        <v/>
      </c>
      <c r="F91" s="8">
        <f>IF(D91="",E91,D91)</f>
        <v/>
      </c>
      <c r="G91" s="4" t="n"/>
      <c r="H91" s="8" t="n"/>
      <c r="I91" s="8">
        <f>IF(A91="","",Inputs!$B$13/((IF(H91="",Inputs!$B$18,H91)+Inputs!$B$14)^Inputs!$B$15))</f>
        <v/>
      </c>
      <c r="J91" s="8">
        <f>IF(A91="","",0.00278*IF(G91="",Inputs!$B$17,G91)*F91*I91)</f>
        <v/>
      </c>
      <c r="K91" s="8">
        <f>IF(A91="","",SUMIFS($L$4:$L$203,$B$4:$B$203,$A91))</f>
        <v/>
      </c>
      <c r="L91" s="8">
        <f>IF(A91="","",(J91+K91)*Inputs!$B$16)</f>
        <v/>
      </c>
      <c r="M91" s="8" t="n"/>
      <c r="N91" s="8">
        <f>IF(A91="","",IF(M91="",Inputs!$B$7,M91))</f>
        <v/>
      </c>
      <c r="O91" s="4">
        <f>IF(A91="","",IF(L91/Inputs!$B$10&lt;=AD91,Inputs!$F$5,IF(L91/Inputs!$B$10&gt;AM91,"OVERSIZE",INDEX(Inputs!$F$5:$F$14,MATCH(L91/Inputs!$B$10,AD91:AM91,1)+1))))</f>
        <v/>
      </c>
      <c r="P91" s="4" t="n"/>
      <c r="Q91" s="4">
        <f>IF(A91="","",IF(P91="",O91,P91))</f>
        <v/>
      </c>
      <c r="R91" s="8">
        <f>IF(OR(Q91="",Q91="OVERSIZE"),"",Q91/1000)</f>
        <v/>
      </c>
      <c r="S91" s="8">
        <f>IF(R91="","",(1/Inputs!$B$9)*(PI()*R91^2/4)*((R91/4)^(2/3))*SQRT(N91))</f>
        <v/>
      </c>
      <c r="T91" s="8">
        <f>IF(OR(S91="",L91=""),"",L91/(S91*Inputs!$B$10))</f>
        <v/>
      </c>
      <c r="U91" s="8">
        <f>IF(OR(R91="",L91=""),"",4*L91/(PI()*R91^2))</f>
        <v/>
      </c>
      <c r="V91" s="8" t="n"/>
      <c r="W91" s="8">
        <f>IF(A91="","",IF(A91=Inputs!$B$6,Inputs!$B$22,IF(B91="","",IFERROR(INDEX($X$4:$X$203,MATCH(B91,$A$4:$A$203,0))+IF(V91="",Inputs!$B$20,V91),""))))</f>
        <v/>
      </c>
      <c r="X91" s="8">
        <f>IF(OR(W91="",N91="",C91=""),"",W91+N91*C91)</f>
        <v/>
      </c>
      <c r="Y91" s="8" t="n"/>
      <c r="Z91" s="8" t="n"/>
      <c r="AA91" s="8">
        <f>IF(OR(Y91="",W91=""),"",Y91-W91)</f>
        <v/>
      </c>
      <c r="AB91" s="8">
        <f>IF(OR(Z91="",X91=""),"",Z91-X91)</f>
        <v/>
      </c>
      <c r="AC91" s="4">
        <f>IF(A91="","",IF(OR(T91&gt;1,U91&lt;Inputs!$B$11,U91&gt;Inputs!$B$12,AA91&lt;Inputs!$B$19,AB91&lt;Inputs!$B$19,N91&lt;Inputs!$B$7,N91&gt;Inputs!$B$8),"CHECK","OK"))</f>
        <v/>
      </c>
      <c r="AD91" s="4">
        <f>IF(A91="","",(1/Inputs!$B$9)*(PI()*(Inputs!$F$5/1000)^2/4)*((Inputs!$F$5/1000/4)^(2/3))*SQRT(N91))</f>
        <v/>
      </c>
      <c r="AE91" s="4">
        <f>IF(A91="","",(1/Inputs!$B$9)*(PI()*(Inputs!$F$6/1000)^2/4)*((Inputs!$F$6/1000/4)^(2/3))*SQRT(N91))</f>
        <v/>
      </c>
      <c r="AF91" s="4">
        <f>IF(A91="","",(1/Inputs!$B$9)*(PI()*(Inputs!$F$7/1000)^2/4)*((Inputs!$F$7/1000/4)^(2/3))*SQRT(N91))</f>
        <v/>
      </c>
      <c r="AG91" s="4">
        <f>IF(A91="","",(1/Inputs!$B$9)*(PI()*(Inputs!$F$8/1000)^2/4)*((Inputs!$F$8/1000/4)^(2/3))*SQRT(N91))</f>
        <v/>
      </c>
      <c r="AH91" s="4">
        <f>IF(A91="","",(1/Inputs!$B$9)*(PI()*(Inputs!$F$9/1000)^2/4)*((Inputs!$F$9/1000/4)^(2/3))*SQRT(N91))</f>
        <v/>
      </c>
      <c r="AI91" s="4">
        <f>IF(A91="","",(1/Inputs!$B$9)*(PI()*(Inputs!$F$10/1000)^2/4)*((Inputs!$F$10/1000/4)^(2/3))*SQRT(N91))</f>
        <v/>
      </c>
      <c r="AJ91" s="4">
        <f>IF(A91="","",(1/Inputs!$B$9)*(PI()*(Inputs!$F$11/1000)^2/4)*((Inputs!$F$11/1000/4)^(2/3))*SQRT(N91))</f>
        <v/>
      </c>
      <c r="AK91" s="4">
        <f>IF(A91="","",(1/Inputs!$B$9)*(PI()*(Inputs!$F$12/1000)^2/4)*((Inputs!$F$12/1000/4)^(2/3))*SQRT(N91))</f>
        <v/>
      </c>
      <c r="AL91" s="4">
        <f>IF(A91="","",(1/Inputs!$B$9)*(PI()*(Inputs!$F$13/1000)^2/4)*((Inputs!$F$13/1000/4)^(2/3))*SQRT(N91))</f>
        <v/>
      </c>
      <c r="AM91" s="4">
        <f>IF(A91="","",(1/Inputs!$B$9)*(PI()*(Inputs!$F$14/1000)^2/4)*((Inputs!$F$14/1000/4)^(2/3))*SQRT(N91))</f>
        <v/>
      </c>
    </row>
    <row r="92">
      <c r="A92" s="4" t="n"/>
      <c r="B92" s="4" t="n"/>
      <c r="C92" s="8" t="n"/>
      <c r="D92" s="8" t="n"/>
      <c r="E92" s="8">
        <f>SUMIFS(CB_Tributaires!$C:$C,CB_Tributaires!$B:$B,$A92)</f>
        <v/>
      </c>
      <c r="F92" s="8">
        <f>IF(D92="",E92,D92)</f>
        <v/>
      </c>
      <c r="G92" s="4" t="n"/>
      <c r="H92" s="8" t="n"/>
      <c r="I92" s="8">
        <f>IF(A92="","",Inputs!$B$13/((IF(H92="",Inputs!$B$18,H92)+Inputs!$B$14)^Inputs!$B$15))</f>
        <v/>
      </c>
      <c r="J92" s="8">
        <f>IF(A92="","",0.00278*IF(G92="",Inputs!$B$17,G92)*F92*I92)</f>
        <v/>
      </c>
      <c r="K92" s="8">
        <f>IF(A92="","",SUMIFS($L$4:$L$203,$B$4:$B$203,$A92))</f>
        <v/>
      </c>
      <c r="L92" s="8">
        <f>IF(A92="","",(J92+K92)*Inputs!$B$16)</f>
        <v/>
      </c>
      <c r="M92" s="8" t="n"/>
      <c r="N92" s="8">
        <f>IF(A92="","",IF(M92="",Inputs!$B$7,M92))</f>
        <v/>
      </c>
      <c r="O92" s="4">
        <f>IF(A92="","",IF(L92/Inputs!$B$10&lt;=AD92,Inputs!$F$5,IF(L92/Inputs!$B$10&gt;AM92,"OVERSIZE",INDEX(Inputs!$F$5:$F$14,MATCH(L92/Inputs!$B$10,AD92:AM92,1)+1))))</f>
        <v/>
      </c>
      <c r="P92" s="4" t="n"/>
      <c r="Q92" s="4">
        <f>IF(A92="","",IF(P92="",O92,P92))</f>
        <v/>
      </c>
      <c r="R92" s="8">
        <f>IF(OR(Q92="",Q92="OVERSIZE"),"",Q92/1000)</f>
        <v/>
      </c>
      <c r="S92" s="8">
        <f>IF(R92="","",(1/Inputs!$B$9)*(PI()*R92^2/4)*((R92/4)^(2/3))*SQRT(N92))</f>
        <v/>
      </c>
      <c r="T92" s="8">
        <f>IF(OR(S92="",L92=""),"",L92/(S92*Inputs!$B$10))</f>
        <v/>
      </c>
      <c r="U92" s="8">
        <f>IF(OR(R92="",L92=""),"",4*L92/(PI()*R92^2))</f>
        <v/>
      </c>
      <c r="V92" s="8" t="n"/>
      <c r="W92" s="8">
        <f>IF(A92="","",IF(A92=Inputs!$B$6,Inputs!$B$22,IF(B92="","",IFERROR(INDEX($X$4:$X$203,MATCH(B92,$A$4:$A$203,0))+IF(V92="",Inputs!$B$20,V92),""))))</f>
        <v/>
      </c>
      <c r="X92" s="8">
        <f>IF(OR(W92="",N92="",C92=""),"",W92+N92*C92)</f>
        <v/>
      </c>
      <c r="Y92" s="8" t="n"/>
      <c r="Z92" s="8" t="n"/>
      <c r="AA92" s="8">
        <f>IF(OR(Y92="",W92=""),"",Y92-W92)</f>
        <v/>
      </c>
      <c r="AB92" s="8">
        <f>IF(OR(Z92="",X92=""),"",Z92-X92)</f>
        <v/>
      </c>
      <c r="AC92" s="4">
        <f>IF(A92="","",IF(OR(T92&gt;1,U92&lt;Inputs!$B$11,U92&gt;Inputs!$B$12,AA92&lt;Inputs!$B$19,AB92&lt;Inputs!$B$19,N92&lt;Inputs!$B$7,N92&gt;Inputs!$B$8),"CHECK","OK"))</f>
        <v/>
      </c>
      <c r="AD92" s="4">
        <f>IF(A92="","",(1/Inputs!$B$9)*(PI()*(Inputs!$F$5/1000)^2/4)*((Inputs!$F$5/1000/4)^(2/3))*SQRT(N92))</f>
        <v/>
      </c>
      <c r="AE92" s="4">
        <f>IF(A92="","",(1/Inputs!$B$9)*(PI()*(Inputs!$F$6/1000)^2/4)*((Inputs!$F$6/1000/4)^(2/3))*SQRT(N92))</f>
        <v/>
      </c>
      <c r="AF92" s="4">
        <f>IF(A92="","",(1/Inputs!$B$9)*(PI()*(Inputs!$F$7/1000)^2/4)*((Inputs!$F$7/1000/4)^(2/3))*SQRT(N92))</f>
        <v/>
      </c>
      <c r="AG92" s="4">
        <f>IF(A92="","",(1/Inputs!$B$9)*(PI()*(Inputs!$F$8/1000)^2/4)*((Inputs!$F$8/1000/4)^(2/3))*SQRT(N92))</f>
        <v/>
      </c>
      <c r="AH92" s="4">
        <f>IF(A92="","",(1/Inputs!$B$9)*(PI()*(Inputs!$F$9/1000)^2/4)*((Inputs!$F$9/1000/4)^(2/3))*SQRT(N92))</f>
        <v/>
      </c>
      <c r="AI92" s="4">
        <f>IF(A92="","",(1/Inputs!$B$9)*(PI()*(Inputs!$F$10/1000)^2/4)*((Inputs!$F$10/1000/4)^(2/3))*SQRT(N92))</f>
        <v/>
      </c>
      <c r="AJ92" s="4">
        <f>IF(A92="","",(1/Inputs!$B$9)*(PI()*(Inputs!$F$11/1000)^2/4)*((Inputs!$F$11/1000/4)^(2/3))*SQRT(N92))</f>
        <v/>
      </c>
      <c r="AK92" s="4">
        <f>IF(A92="","",(1/Inputs!$B$9)*(PI()*(Inputs!$F$12/1000)^2/4)*((Inputs!$F$12/1000/4)^(2/3))*SQRT(N92))</f>
        <v/>
      </c>
      <c r="AL92" s="4">
        <f>IF(A92="","",(1/Inputs!$B$9)*(PI()*(Inputs!$F$13/1000)^2/4)*((Inputs!$F$13/1000/4)^(2/3))*SQRT(N92))</f>
        <v/>
      </c>
      <c r="AM92" s="4">
        <f>IF(A92="","",(1/Inputs!$B$9)*(PI()*(Inputs!$F$14/1000)^2/4)*((Inputs!$F$14/1000/4)^(2/3))*SQRT(N92))</f>
        <v/>
      </c>
    </row>
    <row r="93">
      <c r="A93" s="4" t="n"/>
      <c r="B93" s="4" t="n"/>
      <c r="C93" s="8" t="n"/>
      <c r="D93" s="8" t="n"/>
      <c r="E93" s="8">
        <f>SUMIFS(CB_Tributaires!$C:$C,CB_Tributaires!$B:$B,$A93)</f>
        <v/>
      </c>
      <c r="F93" s="8">
        <f>IF(D93="",E93,D93)</f>
        <v/>
      </c>
      <c r="G93" s="4" t="n"/>
      <c r="H93" s="8" t="n"/>
      <c r="I93" s="8">
        <f>IF(A93="","",Inputs!$B$13/((IF(H93="",Inputs!$B$18,H93)+Inputs!$B$14)^Inputs!$B$15))</f>
        <v/>
      </c>
      <c r="J93" s="8">
        <f>IF(A93="","",0.00278*IF(G93="",Inputs!$B$17,G93)*F93*I93)</f>
        <v/>
      </c>
      <c r="K93" s="8">
        <f>IF(A93="","",SUMIFS($L$4:$L$203,$B$4:$B$203,$A93))</f>
        <v/>
      </c>
      <c r="L93" s="8">
        <f>IF(A93="","",(J93+K93)*Inputs!$B$16)</f>
        <v/>
      </c>
      <c r="M93" s="8" t="n"/>
      <c r="N93" s="8">
        <f>IF(A93="","",IF(M93="",Inputs!$B$7,M93))</f>
        <v/>
      </c>
      <c r="O93" s="4">
        <f>IF(A93="","",IF(L93/Inputs!$B$10&lt;=AD93,Inputs!$F$5,IF(L93/Inputs!$B$10&gt;AM93,"OVERSIZE",INDEX(Inputs!$F$5:$F$14,MATCH(L93/Inputs!$B$10,AD93:AM93,1)+1))))</f>
        <v/>
      </c>
      <c r="P93" s="4" t="n"/>
      <c r="Q93" s="4">
        <f>IF(A93="","",IF(P93="",O93,P93))</f>
        <v/>
      </c>
      <c r="R93" s="8">
        <f>IF(OR(Q93="",Q93="OVERSIZE"),"",Q93/1000)</f>
        <v/>
      </c>
      <c r="S93" s="8">
        <f>IF(R93="","",(1/Inputs!$B$9)*(PI()*R93^2/4)*((R93/4)^(2/3))*SQRT(N93))</f>
        <v/>
      </c>
      <c r="T93" s="8">
        <f>IF(OR(S93="",L93=""),"",L93/(S93*Inputs!$B$10))</f>
        <v/>
      </c>
      <c r="U93" s="8">
        <f>IF(OR(R93="",L93=""),"",4*L93/(PI()*R93^2))</f>
        <v/>
      </c>
      <c r="V93" s="8" t="n"/>
      <c r="W93" s="8">
        <f>IF(A93="","",IF(A93=Inputs!$B$6,Inputs!$B$22,IF(B93="","",IFERROR(INDEX($X$4:$X$203,MATCH(B93,$A$4:$A$203,0))+IF(V93="",Inputs!$B$20,V93),""))))</f>
        <v/>
      </c>
      <c r="X93" s="8">
        <f>IF(OR(W93="",N93="",C93=""),"",W93+N93*C93)</f>
        <v/>
      </c>
      <c r="Y93" s="8" t="n"/>
      <c r="Z93" s="8" t="n"/>
      <c r="AA93" s="8">
        <f>IF(OR(Y93="",W93=""),"",Y93-W93)</f>
        <v/>
      </c>
      <c r="AB93" s="8">
        <f>IF(OR(Z93="",X93=""),"",Z93-X93)</f>
        <v/>
      </c>
      <c r="AC93" s="4">
        <f>IF(A93="","",IF(OR(T93&gt;1,U93&lt;Inputs!$B$11,U93&gt;Inputs!$B$12,AA93&lt;Inputs!$B$19,AB93&lt;Inputs!$B$19,N93&lt;Inputs!$B$7,N93&gt;Inputs!$B$8),"CHECK","OK"))</f>
        <v/>
      </c>
      <c r="AD93" s="4">
        <f>IF(A93="","",(1/Inputs!$B$9)*(PI()*(Inputs!$F$5/1000)^2/4)*((Inputs!$F$5/1000/4)^(2/3))*SQRT(N93))</f>
        <v/>
      </c>
      <c r="AE93" s="4">
        <f>IF(A93="","",(1/Inputs!$B$9)*(PI()*(Inputs!$F$6/1000)^2/4)*((Inputs!$F$6/1000/4)^(2/3))*SQRT(N93))</f>
        <v/>
      </c>
      <c r="AF93" s="4">
        <f>IF(A93="","",(1/Inputs!$B$9)*(PI()*(Inputs!$F$7/1000)^2/4)*((Inputs!$F$7/1000/4)^(2/3))*SQRT(N93))</f>
        <v/>
      </c>
      <c r="AG93" s="4">
        <f>IF(A93="","",(1/Inputs!$B$9)*(PI()*(Inputs!$F$8/1000)^2/4)*((Inputs!$F$8/1000/4)^(2/3))*SQRT(N93))</f>
        <v/>
      </c>
      <c r="AH93" s="4">
        <f>IF(A93="","",(1/Inputs!$B$9)*(PI()*(Inputs!$F$9/1000)^2/4)*((Inputs!$F$9/1000/4)^(2/3))*SQRT(N93))</f>
        <v/>
      </c>
      <c r="AI93" s="4">
        <f>IF(A93="","",(1/Inputs!$B$9)*(PI()*(Inputs!$F$10/1000)^2/4)*((Inputs!$F$10/1000/4)^(2/3))*SQRT(N93))</f>
        <v/>
      </c>
      <c r="AJ93" s="4">
        <f>IF(A93="","",(1/Inputs!$B$9)*(PI()*(Inputs!$F$11/1000)^2/4)*((Inputs!$F$11/1000/4)^(2/3))*SQRT(N93))</f>
        <v/>
      </c>
      <c r="AK93" s="4">
        <f>IF(A93="","",(1/Inputs!$B$9)*(PI()*(Inputs!$F$12/1000)^2/4)*((Inputs!$F$12/1000/4)^(2/3))*SQRT(N93))</f>
        <v/>
      </c>
      <c r="AL93" s="4">
        <f>IF(A93="","",(1/Inputs!$B$9)*(PI()*(Inputs!$F$13/1000)^2/4)*((Inputs!$F$13/1000/4)^(2/3))*SQRT(N93))</f>
        <v/>
      </c>
      <c r="AM93" s="4">
        <f>IF(A93="","",(1/Inputs!$B$9)*(PI()*(Inputs!$F$14/1000)^2/4)*((Inputs!$F$14/1000/4)^(2/3))*SQRT(N93))</f>
        <v/>
      </c>
    </row>
    <row r="94">
      <c r="A94" s="4" t="n"/>
      <c r="B94" s="4" t="n"/>
      <c r="C94" s="8" t="n"/>
      <c r="D94" s="8" t="n"/>
      <c r="E94" s="8">
        <f>SUMIFS(CB_Tributaires!$C:$C,CB_Tributaires!$B:$B,$A94)</f>
        <v/>
      </c>
      <c r="F94" s="8">
        <f>IF(D94="",E94,D94)</f>
        <v/>
      </c>
      <c r="G94" s="4" t="n"/>
      <c r="H94" s="8" t="n"/>
      <c r="I94" s="8">
        <f>IF(A94="","",Inputs!$B$13/((IF(H94="",Inputs!$B$18,H94)+Inputs!$B$14)^Inputs!$B$15))</f>
        <v/>
      </c>
      <c r="J94" s="8">
        <f>IF(A94="","",0.00278*IF(G94="",Inputs!$B$17,G94)*F94*I94)</f>
        <v/>
      </c>
      <c r="K94" s="8">
        <f>IF(A94="","",SUMIFS($L$4:$L$203,$B$4:$B$203,$A94))</f>
        <v/>
      </c>
      <c r="L94" s="8">
        <f>IF(A94="","",(J94+K94)*Inputs!$B$16)</f>
        <v/>
      </c>
      <c r="M94" s="8" t="n"/>
      <c r="N94" s="8">
        <f>IF(A94="","",IF(M94="",Inputs!$B$7,M94))</f>
        <v/>
      </c>
      <c r="O94" s="4">
        <f>IF(A94="","",IF(L94/Inputs!$B$10&lt;=AD94,Inputs!$F$5,IF(L94/Inputs!$B$10&gt;AM94,"OVERSIZE",INDEX(Inputs!$F$5:$F$14,MATCH(L94/Inputs!$B$10,AD94:AM94,1)+1))))</f>
        <v/>
      </c>
      <c r="P94" s="4" t="n"/>
      <c r="Q94" s="4">
        <f>IF(A94="","",IF(P94="",O94,P94))</f>
        <v/>
      </c>
      <c r="R94" s="8">
        <f>IF(OR(Q94="",Q94="OVERSIZE"),"",Q94/1000)</f>
        <v/>
      </c>
      <c r="S94" s="8">
        <f>IF(R94="","",(1/Inputs!$B$9)*(PI()*R94^2/4)*((R94/4)^(2/3))*SQRT(N94))</f>
        <v/>
      </c>
      <c r="T94" s="8">
        <f>IF(OR(S94="",L94=""),"",L94/(S94*Inputs!$B$10))</f>
        <v/>
      </c>
      <c r="U94" s="8">
        <f>IF(OR(R94="",L94=""),"",4*L94/(PI()*R94^2))</f>
        <v/>
      </c>
      <c r="V94" s="8" t="n"/>
      <c r="W94" s="8">
        <f>IF(A94="","",IF(A94=Inputs!$B$6,Inputs!$B$22,IF(B94="","",IFERROR(INDEX($X$4:$X$203,MATCH(B94,$A$4:$A$203,0))+IF(V94="",Inputs!$B$20,V94),""))))</f>
        <v/>
      </c>
      <c r="X94" s="8">
        <f>IF(OR(W94="",N94="",C94=""),"",W94+N94*C94)</f>
        <v/>
      </c>
      <c r="Y94" s="8" t="n"/>
      <c r="Z94" s="8" t="n"/>
      <c r="AA94" s="8">
        <f>IF(OR(Y94="",W94=""),"",Y94-W94)</f>
        <v/>
      </c>
      <c r="AB94" s="8">
        <f>IF(OR(Z94="",X94=""),"",Z94-X94)</f>
        <v/>
      </c>
      <c r="AC94" s="4">
        <f>IF(A94="","",IF(OR(T94&gt;1,U94&lt;Inputs!$B$11,U94&gt;Inputs!$B$12,AA94&lt;Inputs!$B$19,AB94&lt;Inputs!$B$19,N94&lt;Inputs!$B$7,N94&gt;Inputs!$B$8),"CHECK","OK"))</f>
        <v/>
      </c>
      <c r="AD94" s="4">
        <f>IF(A94="","",(1/Inputs!$B$9)*(PI()*(Inputs!$F$5/1000)^2/4)*((Inputs!$F$5/1000/4)^(2/3))*SQRT(N94))</f>
        <v/>
      </c>
      <c r="AE94" s="4">
        <f>IF(A94="","",(1/Inputs!$B$9)*(PI()*(Inputs!$F$6/1000)^2/4)*((Inputs!$F$6/1000/4)^(2/3))*SQRT(N94))</f>
        <v/>
      </c>
      <c r="AF94" s="4">
        <f>IF(A94="","",(1/Inputs!$B$9)*(PI()*(Inputs!$F$7/1000)^2/4)*((Inputs!$F$7/1000/4)^(2/3))*SQRT(N94))</f>
        <v/>
      </c>
      <c r="AG94" s="4">
        <f>IF(A94="","",(1/Inputs!$B$9)*(PI()*(Inputs!$F$8/1000)^2/4)*((Inputs!$F$8/1000/4)^(2/3))*SQRT(N94))</f>
        <v/>
      </c>
      <c r="AH94" s="4">
        <f>IF(A94="","",(1/Inputs!$B$9)*(PI()*(Inputs!$F$9/1000)^2/4)*((Inputs!$F$9/1000/4)^(2/3))*SQRT(N94))</f>
        <v/>
      </c>
      <c r="AI94" s="4">
        <f>IF(A94="","",(1/Inputs!$B$9)*(PI()*(Inputs!$F$10/1000)^2/4)*((Inputs!$F$10/1000/4)^(2/3))*SQRT(N94))</f>
        <v/>
      </c>
      <c r="AJ94" s="4">
        <f>IF(A94="","",(1/Inputs!$B$9)*(PI()*(Inputs!$F$11/1000)^2/4)*((Inputs!$F$11/1000/4)^(2/3))*SQRT(N94))</f>
        <v/>
      </c>
      <c r="AK94" s="4">
        <f>IF(A94="","",(1/Inputs!$B$9)*(PI()*(Inputs!$F$12/1000)^2/4)*((Inputs!$F$12/1000/4)^(2/3))*SQRT(N94))</f>
        <v/>
      </c>
      <c r="AL94" s="4">
        <f>IF(A94="","",(1/Inputs!$B$9)*(PI()*(Inputs!$F$13/1000)^2/4)*((Inputs!$F$13/1000/4)^(2/3))*SQRT(N94))</f>
        <v/>
      </c>
      <c r="AM94" s="4">
        <f>IF(A94="","",(1/Inputs!$B$9)*(PI()*(Inputs!$F$14/1000)^2/4)*((Inputs!$F$14/1000/4)^(2/3))*SQRT(N94))</f>
        <v/>
      </c>
    </row>
    <row r="95">
      <c r="A95" s="4" t="n"/>
      <c r="B95" s="4" t="n"/>
      <c r="C95" s="8" t="n"/>
      <c r="D95" s="8" t="n"/>
      <c r="E95" s="8">
        <f>SUMIFS(CB_Tributaires!$C:$C,CB_Tributaires!$B:$B,$A95)</f>
        <v/>
      </c>
      <c r="F95" s="8">
        <f>IF(D95="",E95,D95)</f>
        <v/>
      </c>
      <c r="G95" s="4" t="n"/>
      <c r="H95" s="8" t="n"/>
      <c r="I95" s="8">
        <f>IF(A95="","",Inputs!$B$13/((IF(H95="",Inputs!$B$18,H95)+Inputs!$B$14)^Inputs!$B$15))</f>
        <v/>
      </c>
      <c r="J95" s="8">
        <f>IF(A95="","",0.00278*IF(G95="",Inputs!$B$17,G95)*F95*I95)</f>
        <v/>
      </c>
      <c r="K95" s="8">
        <f>IF(A95="","",SUMIFS($L$4:$L$203,$B$4:$B$203,$A95))</f>
        <v/>
      </c>
      <c r="L95" s="8">
        <f>IF(A95="","",(J95+K95)*Inputs!$B$16)</f>
        <v/>
      </c>
      <c r="M95" s="8" t="n"/>
      <c r="N95" s="8">
        <f>IF(A95="","",IF(M95="",Inputs!$B$7,M95))</f>
        <v/>
      </c>
      <c r="O95" s="4">
        <f>IF(A95="","",IF(L95/Inputs!$B$10&lt;=AD95,Inputs!$F$5,IF(L95/Inputs!$B$10&gt;AM95,"OVERSIZE",INDEX(Inputs!$F$5:$F$14,MATCH(L95/Inputs!$B$10,AD95:AM95,1)+1))))</f>
        <v/>
      </c>
      <c r="P95" s="4" t="n"/>
      <c r="Q95" s="4">
        <f>IF(A95="","",IF(P95="",O95,P95))</f>
        <v/>
      </c>
      <c r="R95" s="8">
        <f>IF(OR(Q95="",Q95="OVERSIZE"),"",Q95/1000)</f>
        <v/>
      </c>
      <c r="S95" s="8">
        <f>IF(R95="","",(1/Inputs!$B$9)*(PI()*R95^2/4)*((R95/4)^(2/3))*SQRT(N95))</f>
        <v/>
      </c>
      <c r="T95" s="8">
        <f>IF(OR(S95="",L95=""),"",L95/(S95*Inputs!$B$10))</f>
        <v/>
      </c>
      <c r="U95" s="8">
        <f>IF(OR(R95="",L95=""),"",4*L95/(PI()*R95^2))</f>
        <v/>
      </c>
      <c r="V95" s="8" t="n"/>
      <c r="W95" s="8">
        <f>IF(A95="","",IF(A95=Inputs!$B$6,Inputs!$B$22,IF(B95="","",IFERROR(INDEX($X$4:$X$203,MATCH(B95,$A$4:$A$203,0))+IF(V95="",Inputs!$B$20,V95),""))))</f>
        <v/>
      </c>
      <c r="X95" s="8">
        <f>IF(OR(W95="",N95="",C95=""),"",W95+N95*C95)</f>
        <v/>
      </c>
      <c r="Y95" s="8" t="n"/>
      <c r="Z95" s="8" t="n"/>
      <c r="AA95" s="8">
        <f>IF(OR(Y95="",W95=""),"",Y95-W95)</f>
        <v/>
      </c>
      <c r="AB95" s="8">
        <f>IF(OR(Z95="",X95=""),"",Z95-X95)</f>
        <v/>
      </c>
      <c r="AC95" s="4">
        <f>IF(A95="","",IF(OR(T95&gt;1,U95&lt;Inputs!$B$11,U95&gt;Inputs!$B$12,AA95&lt;Inputs!$B$19,AB95&lt;Inputs!$B$19,N95&lt;Inputs!$B$7,N95&gt;Inputs!$B$8),"CHECK","OK"))</f>
        <v/>
      </c>
      <c r="AD95" s="4">
        <f>IF(A95="","",(1/Inputs!$B$9)*(PI()*(Inputs!$F$5/1000)^2/4)*((Inputs!$F$5/1000/4)^(2/3))*SQRT(N95))</f>
        <v/>
      </c>
      <c r="AE95" s="4">
        <f>IF(A95="","",(1/Inputs!$B$9)*(PI()*(Inputs!$F$6/1000)^2/4)*((Inputs!$F$6/1000/4)^(2/3))*SQRT(N95))</f>
        <v/>
      </c>
      <c r="AF95" s="4">
        <f>IF(A95="","",(1/Inputs!$B$9)*(PI()*(Inputs!$F$7/1000)^2/4)*((Inputs!$F$7/1000/4)^(2/3))*SQRT(N95))</f>
        <v/>
      </c>
      <c r="AG95" s="4">
        <f>IF(A95="","",(1/Inputs!$B$9)*(PI()*(Inputs!$F$8/1000)^2/4)*((Inputs!$F$8/1000/4)^(2/3))*SQRT(N95))</f>
        <v/>
      </c>
      <c r="AH95" s="4">
        <f>IF(A95="","",(1/Inputs!$B$9)*(PI()*(Inputs!$F$9/1000)^2/4)*((Inputs!$F$9/1000/4)^(2/3))*SQRT(N95))</f>
        <v/>
      </c>
      <c r="AI95" s="4">
        <f>IF(A95="","",(1/Inputs!$B$9)*(PI()*(Inputs!$F$10/1000)^2/4)*((Inputs!$F$10/1000/4)^(2/3))*SQRT(N95))</f>
        <v/>
      </c>
      <c r="AJ95" s="4">
        <f>IF(A95="","",(1/Inputs!$B$9)*(PI()*(Inputs!$F$11/1000)^2/4)*((Inputs!$F$11/1000/4)^(2/3))*SQRT(N95))</f>
        <v/>
      </c>
      <c r="AK95" s="4">
        <f>IF(A95="","",(1/Inputs!$B$9)*(PI()*(Inputs!$F$12/1000)^2/4)*((Inputs!$F$12/1000/4)^(2/3))*SQRT(N95))</f>
        <v/>
      </c>
      <c r="AL95" s="4">
        <f>IF(A95="","",(1/Inputs!$B$9)*(PI()*(Inputs!$F$13/1000)^2/4)*((Inputs!$F$13/1000/4)^(2/3))*SQRT(N95))</f>
        <v/>
      </c>
      <c r="AM95" s="4">
        <f>IF(A95="","",(1/Inputs!$B$9)*(PI()*(Inputs!$F$14/1000)^2/4)*((Inputs!$F$14/1000/4)^(2/3))*SQRT(N95))</f>
        <v/>
      </c>
    </row>
    <row r="96">
      <c r="A96" s="4" t="n"/>
      <c r="B96" s="4" t="n"/>
      <c r="C96" s="8" t="n"/>
      <c r="D96" s="8" t="n"/>
      <c r="E96" s="8">
        <f>SUMIFS(CB_Tributaires!$C:$C,CB_Tributaires!$B:$B,$A96)</f>
        <v/>
      </c>
      <c r="F96" s="8">
        <f>IF(D96="",E96,D96)</f>
        <v/>
      </c>
      <c r="G96" s="4" t="n"/>
      <c r="H96" s="8" t="n"/>
      <c r="I96" s="8">
        <f>IF(A96="","",Inputs!$B$13/((IF(H96="",Inputs!$B$18,H96)+Inputs!$B$14)^Inputs!$B$15))</f>
        <v/>
      </c>
      <c r="J96" s="8">
        <f>IF(A96="","",0.00278*IF(G96="",Inputs!$B$17,G96)*F96*I96)</f>
        <v/>
      </c>
      <c r="K96" s="8">
        <f>IF(A96="","",SUMIFS($L$4:$L$203,$B$4:$B$203,$A96))</f>
        <v/>
      </c>
      <c r="L96" s="8">
        <f>IF(A96="","",(J96+K96)*Inputs!$B$16)</f>
        <v/>
      </c>
      <c r="M96" s="8" t="n"/>
      <c r="N96" s="8">
        <f>IF(A96="","",IF(M96="",Inputs!$B$7,M96))</f>
        <v/>
      </c>
      <c r="O96" s="4">
        <f>IF(A96="","",IF(L96/Inputs!$B$10&lt;=AD96,Inputs!$F$5,IF(L96/Inputs!$B$10&gt;AM96,"OVERSIZE",INDEX(Inputs!$F$5:$F$14,MATCH(L96/Inputs!$B$10,AD96:AM96,1)+1))))</f>
        <v/>
      </c>
      <c r="P96" s="4" t="n"/>
      <c r="Q96" s="4">
        <f>IF(A96="","",IF(P96="",O96,P96))</f>
        <v/>
      </c>
      <c r="R96" s="8">
        <f>IF(OR(Q96="",Q96="OVERSIZE"),"",Q96/1000)</f>
        <v/>
      </c>
      <c r="S96" s="8">
        <f>IF(R96="","",(1/Inputs!$B$9)*(PI()*R96^2/4)*((R96/4)^(2/3))*SQRT(N96))</f>
        <v/>
      </c>
      <c r="T96" s="8">
        <f>IF(OR(S96="",L96=""),"",L96/(S96*Inputs!$B$10))</f>
        <v/>
      </c>
      <c r="U96" s="8">
        <f>IF(OR(R96="",L96=""),"",4*L96/(PI()*R96^2))</f>
        <v/>
      </c>
      <c r="V96" s="8" t="n"/>
      <c r="W96" s="8">
        <f>IF(A96="","",IF(A96=Inputs!$B$6,Inputs!$B$22,IF(B96="","",IFERROR(INDEX($X$4:$X$203,MATCH(B96,$A$4:$A$203,0))+IF(V96="",Inputs!$B$20,V96),""))))</f>
        <v/>
      </c>
      <c r="X96" s="8">
        <f>IF(OR(W96="",N96="",C96=""),"",W96+N96*C96)</f>
        <v/>
      </c>
      <c r="Y96" s="8" t="n"/>
      <c r="Z96" s="8" t="n"/>
      <c r="AA96" s="8">
        <f>IF(OR(Y96="",W96=""),"",Y96-W96)</f>
        <v/>
      </c>
      <c r="AB96" s="8">
        <f>IF(OR(Z96="",X96=""),"",Z96-X96)</f>
        <v/>
      </c>
      <c r="AC96" s="4">
        <f>IF(A96="","",IF(OR(T96&gt;1,U96&lt;Inputs!$B$11,U96&gt;Inputs!$B$12,AA96&lt;Inputs!$B$19,AB96&lt;Inputs!$B$19,N96&lt;Inputs!$B$7,N96&gt;Inputs!$B$8),"CHECK","OK"))</f>
        <v/>
      </c>
      <c r="AD96" s="4">
        <f>IF(A96="","",(1/Inputs!$B$9)*(PI()*(Inputs!$F$5/1000)^2/4)*((Inputs!$F$5/1000/4)^(2/3))*SQRT(N96))</f>
        <v/>
      </c>
      <c r="AE96" s="4">
        <f>IF(A96="","",(1/Inputs!$B$9)*(PI()*(Inputs!$F$6/1000)^2/4)*((Inputs!$F$6/1000/4)^(2/3))*SQRT(N96))</f>
        <v/>
      </c>
      <c r="AF96" s="4">
        <f>IF(A96="","",(1/Inputs!$B$9)*(PI()*(Inputs!$F$7/1000)^2/4)*((Inputs!$F$7/1000/4)^(2/3))*SQRT(N96))</f>
        <v/>
      </c>
      <c r="AG96" s="4">
        <f>IF(A96="","",(1/Inputs!$B$9)*(PI()*(Inputs!$F$8/1000)^2/4)*((Inputs!$F$8/1000/4)^(2/3))*SQRT(N96))</f>
        <v/>
      </c>
      <c r="AH96" s="4">
        <f>IF(A96="","",(1/Inputs!$B$9)*(PI()*(Inputs!$F$9/1000)^2/4)*((Inputs!$F$9/1000/4)^(2/3))*SQRT(N96))</f>
        <v/>
      </c>
      <c r="AI96" s="4">
        <f>IF(A96="","",(1/Inputs!$B$9)*(PI()*(Inputs!$F$10/1000)^2/4)*((Inputs!$F$10/1000/4)^(2/3))*SQRT(N96))</f>
        <v/>
      </c>
      <c r="AJ96" s="4">
        <f>IF(A96="","",(1/Inputs!$B$9)*(PI()*(Inputs!$F$11/1000)^2/4)*((Inputs!$F$11/1000/4)^(2/3))*SQRT(N96))</f>
        <v/>
      </c>
      <c r="AK96" s="4">
        <f>IF(A96="","",(1/Inputs!$B$9)*(PI()*(Inputs!$F$12/1000)^2/4)*((Inputs!$F$12/1000/4)^(2/3))*SQRT(N96))</f>
        <v/>
      </c>
      <c r="AL96" s="4">
        <f>IF(A96="","",(1/Inputs!$B$9)*(PI()*(Inputs!$F$13/1000)^2/4)*((Inputs!$F$13/1000/4)^(2/3))*SQRT(N96))</f>
        <v/>
      </c>
      <c r="AM96" s="4">
        <f>IF(A96="","",(1/Inputs!$B$9)*(PI()*(Inputs!$F$14/1000)^2/4)*((Inputs!$F$14/1000/4)^(2/3))*SQRT(N96))</f>
        <v/>
      </c>
    </row>
    <row r="97">
      <c r="A97" s="4" t="n"/>
      <c r="B97" s="4" t="n"/>
      <c r="C97" s="8" t="n"/>
      <c r="D97" s="8" t="n"/>
      <c r="E97" s="8">
        <f>SUMIFS(CB_Tributaires!$C:$C,CB_Tributaires!$B:$B,$A97)</f>
        <v/>
      </c>
      <c r="F97" s="8">
        <f>IF(D97="",E97,D97)</f>
        <v/>
      </c>
      <c r="G97" s="4" t="n"/>
      <c r="H97" s="8" t="n"/>
      <c r="I97" s="8">
        <f>IF(A97="","",Inputs!$B$13/((IF(H97="",Inputs!$B$18,H97)+Inputs!$B$14)^Inputs!$B$15))</f>
        <v/>
      </c>
      <c r="J97" s="8">
        <f>IF(A97="","",0.00278*IF(G97="",Inputs!$B$17,G97)*F97*I97)</f>
        <v/>
      </c>
      <c r="K97" s="8">
        <f>IF(A97="","",SUMIFS($L$4:$L$203,$B$4:$B$203,$A97))</f>
        <v/>
      </c>
      <c r="L97" s="8">
        <f>IF(A97="","",(J97+K97)*Inputs!$B$16)</f>
        <v/>
      </c>
      <c r="M97" s="8" t="n"/>
      <c r="N97" s="8">
        <f>IF(A97="","",IF(M97="",Inputs!$B$7,M97))</f>
        <v/>
      </c>
      <c r="O97" s="4">
        <f>IF(A97="","",IF(L97/Inputs!$B$10&lt;=AD97,Inputs!$F$5,IF(L97/Inputs!$B$10&gt;AM97,"OVERSIZE",INDEX(Inputs!$F$5:$F$14,MATCH(L97/Inputs!$B$10,AD97:AM97,1)+1))))</f>
        <v/>
      </c>
      <c r="P97" s="4" t="n"/>
      <c r="Q97" s="4">
        <f>IF(A97="","",IF(P97="",O97,P97))</f>
        <v/>
      </c>
      <c r="R97" s="8">
        <f>IF(OR(Q97="",Q97="OVERSIZE"),"",Q97/1000)</f>
        <v/>
      </c>
      <c r="S97" s="8">
        <f>IF(R97="","",(1/Inputs!$B$9)*(PI()*R97^2/4)*((R97/4)^(2/3))*SQRT(N97))</f>
        <v/>
      </c>
      <c r="T97" s="8">
        <f>IF(OR(S97="",L97=""),"",L97/(S97*Inputs!$B$10))</f>
        <v/>
      </c>
      <c r="U97" s="8">
        <f>IF(OR(R97="",L97=""),"",4*L97/(PI()*R97^2))</f>
        <v/>
      </c>
      <c r="V97" s="8" t="n"/>
      <c r="W97" s="8">
        <f>IF(A97="","",IF(A97=Inputs!$B$6,Inputs!$B$22,IF(B97="","",IFERROR(INDEX($X$4:$X$203,MATCH(B97,$A$4:$A$203,0))+IF(V97="",Inputs!$B$20,V97),""))))</f>
        <v/>
      </c>
      <c r="X97" s="8">
        <f>IF(OR(W97="",N97="",C97=""),"",W97+N97*C97)</f>
        <v/>
      </c>
      <c r="Y97" s="8" t="n"/>
      <c r="Z97" s="8" t="n"/>
      <c r="AA97" s="8">
        <f>IF(OR(Y97="",W97=""),"",Y97-W97)</f>
        <v/>
      </c>
      <c r="AB97" s="8">
        <f>IF(OR(Z97="",X97=""),"",Z97-X97)</f>
        <v/>
      </c>
      <c r="AC97" s="4">
        <f>IF(A97="","",IF(OR(T97&gt;1,U97&lt;Inputs!$B$11,U97&gt;Inputs!$B$12,AA97&lt;Inputs!$B$19,AB97&lt;Inputs!$B$19,N97&lt;Inputs!$B$7,N97&gt;Inputs!$B$8),"CHECK","OK"))</f>
        <v/>
      </c>
      <c r="AD97" s="4">
        <f>IF(A97="","",(1/Inputs!$B$9)*(PI()*(Inputs!$F$5/1000)^2/4)*((Inputs!$F$5/1000/4)^(2/3))*SQRT(N97))</f>
        <v/>
      </c>
      <c r="AE97" s="4">
        <f>IF(A97="","",(1/Inputs!$B$9)*(PI()*(Inputs!$F$6/1000)^2/4)*((Inputs!$F$6/1000/4)^(2/3))*SQRT(N97))</f>
        <v/>
      </c>
      <c r="AF97" s="4">
        <f>IF(A97="","",(1/Inputs!$B$9)*(PI()*(Inputs!$F$7/1000)^2/4)*((Inputs!$F$7/1000/4)^(2/3))*SQRT(N97))</f>
        <v/>
      </c>
      <c r="AG97" s="4">
        <f>IF(A97="","",(1/Inputs!$B$9)*(PI()*(Inputs!$F$8/1000)^2/4)*((Inputs!$F$8/1000/4)^(2/3))*SQRT(N97))</f>
        <v/>
      </c>
      <c r="AH97" s="4">
        <f>IF(A97="","",(1/Inputs!$B$9)*(PI()*(Inputs!$F$9/1000)^2/4)*((Inputs!$F$9/1000/4)^(2/3))*SQRT(N97))</f>
        <v/>
      </c>
      <c r="AI97" s="4">
        <f>IF(A97="","",(1/Inputs!$B$9)*(PI()*(Inputs!$F$10/1000)^2/4)*((Inputs!$F$10/1000/4)^(2/3))*SQRT(N97))</f>
        <v/>
      </c>
      <c r="AJ97" s="4">
        <f>IF(A97="","",(1/Inputs!$B$9)*(PI()*(Inputs!$F$11/1000)^2/4)*((Inputs!$F$11/1000/4)^(2/3))*SQRT(N97))</f>
        <v/>
      </c>
      <c r="AK97" s="4">
        <f>IF(A97="","",(1/Inputs!$B$9)*(PI()*(Inputs!$F$12/1000)^2/4)*((Inputs!$F$12/1000/4)^(2/3))*SQRT(N97))</f>
        <v/>
      </c>
      <c r="AL97" s="4">
        <f>IF(A97="","",(1/Inputs!$B$9)*(PI()*(Inputs!$F$13/1000)^2/4)*((Inputs!$F$13/1000/4)^(2/3))*SQRT(N97))</f>
        <v/>
      </c>
      <c r="AM97" s="4">
        <f>IF(A97="","",(1/Inputs!$B$9)*(PI()*(Inputs!$F$14/1000)^2/4)*((Inputs!$F$14/1000/4)^(2/3))*SQRT(N97))</f>
        <v/>
      </c>
    </row>
    <row r="98">
      <c r="A98" s="4" t="n"/>
      <c r="B98" s="4" t="n"/>
      <c r="C98" s="8" t="n"/>
      <c r="D98" s="8" t="n"/>
      <c r="E98" s="8">
        <f>SUMIFS(CB_Tributaires!$C:$C,CB_Tributaires!$B:$B,$A98)</f>
        <v/>
      </c>
      <c r="F98" s="8">
        <f>IF(D98="",E98,D98)</f>
        <v/>
      </c>
      <c r="G98" s="4" t="n"/>
      <c r="H98" s="8" t="n"/>
      <c r="I98" s="8">
        <f>IF(A98="","",Inputs!$B$13/((IF(H98="",Inputs!$B$18,H98)+Inputs!$B$14)^Inputs!$B$15))</f>
        <v/>
      </c>
      <c r="J98" s="8">
        <f>IF(A98="","",0.00278*IF(G98="",Inputs!$B$17,G98)*F98*I98)</f>
        <v/>
      </c>
      <c r="K98" s="8">
        <f>IF(A98="","",SUMIFS($L$4:$L$203,$B$4:$B$203,$A98))</f>
        <v/>
      </c>
      <c r="L98" s="8">
        <f>IF(A98="","",(J98+K98)*Inputs!$B$16)</f>
        <v/>
      </c>
      <c r="M98" s="8" t="n"/>
      <c r="N98" s="8">
        <f>IF(A98="","",IF(M98="",Inputs!$B$7,M98))</f>
        <v/>
      </c>
      <c r="O98" s="4">
        <f>IF(A98="","",IF(L98/Inputs!$B$10&lt;=AD98,Inputs!$F$5,IF(L98/Inputs!$B$10&gt;AM98,"OVERSIZE",INDEX(Inputs!$F$5:$F$14,MATCH(L98/Inputs!$B$10,AD98:AM98,1)+1))))</f>
        <v/>
      </c>
      <c r="P98" s="4" t="n"/>
      <c r="Q98" s="4">
        <f>IF(A98="","",IF(P98="",O98,P98))</f>
        <v/>
      </c>
      <c r="R98" s="8">
        <f>IF(OR(Q98="",Q98="OVERSIZE"),"",Q98/1000)</f>
        <v/>
      </c>
      <c r="S98" s="8">
        <f>IF(R98="","",(1/Inputs!$B$9)*(PI()*R98^2/4)*((R98/4)^(2/3))*SQRT(N98))</f>
        <v/>
      </c>
      <c r="T98" s="8">
        <f>IF(OR(S98="",L98=""),"",L98/(S98*Inputs!$B$10))</f>
        <v/>
      </c>
      <c r="U98" s="8">
        <f>IF(OR(R98="",L98=""),"",4*L98/(PI()*R98^2))</f>
        <v/>
      </c>
      <c r="V98" s="8" t="n"/>
      <c r="W98" s="8">
        <f>IF(A98="","",IF(A98=Inputs!$B$6,Inputs!$B$22,IF(B98="","",IFERROR(INDEX($X$4:$X$203,MATCH(B98,$A$4:$A$203,0))+IF(V98="",Inputs!$B$20,V98),""))))</f>
        <v/>
      </c>
      <c r="X98" s="8">
        <f>IF(OR(W98="",N98="",C98=""),"",W98+N98*C98)</f>
        <v/>
      </c>
      <c r="Y98" s="8" t="n"/>
      <c r="Z98" s="8" t="n"/>
      <c r="AA98" s="8">
        <f>IF(OR(Y98="",W98=""),"",Y98-W98)</f>
        <v/>
      </c>
      <c r="AB98" s="8">
        <f>IF(OR(Z98="",X98=""),"",Z98-X98)</f>
        <v/>
      </c>
      <c r="AC98" s="4">
        <f>IF(A98="","",IF(OR(T98&gt;1,U98&lt;Inputs!$B$11,U98&gt;Inputs!$B$12,AA98&lt;Inputs!$B$19,AB98&lt;Inputs!$B$19,N98&lt;Inputs!$B$7,N98&gt;Inputs!$B$8),"CHECK","OK"))</f>
        <v/>
      </c>
      <c r="AD98" s="4">
        <f>IF(A98="","",(1/Inputs!$B$9)*(PI()*(Inputs!$F$5/1000)^2/4)*((Inputs!$F$5/1000/4)^(2/3))*SQRT(N98))</f>
        <v/>
      </c>
      <c r="AE98" s="4">
        <f>IF(A98="","",(1/Inputs!$B$9)*(PI()*(Inputs!$F$6/1000)^2/4)*((Inputs!$F$6/1000/4)^(2/3))*SQRT(N98))</f>
        <v/>
      </c>
      <c r="AF98" s="4">
        <f>IF(A98="","",(1/Inputs!$B$9)*(PI()*(Inputs!$F$7/1000)^2/4)*((Inputs!$F$7/1000/4)^(2/3))*SQRT(N98))</f>
        <v/>
      </c>
      <c r="AG98" s="4">
        <f>IF(A98="","",(1/Inputs!$B$9)*(PI()*(Inputs!$F$8/1000)^2/4)*((Inputs!$F$8/1000/4)^(2/3))*SQRT(N98))</f>
        <v/>
      </c>
      <c r="AH98" s="4">
        <f>IF(A98="","",(1/Inputs!$B$9)*(PI()*(Inputs!$F$9/1000)^2/4)*((Inputs!$F$9/1000/4)^(2/3))*SQRT(N98))</f>
        <v/>
      </c>
      <c r="AI98" s="4">
        <f>IF(A98="","",(1/Inputs!$B$9)*(PI()*(Inputs!$F$10/1000)^2/4)*((Inputs!$F$10/1000/4)^(2/3))*SQRT(N98))</f>
        <v/>
      </c>
      <c r="AJ98" s="4">
        <f>IF(A98="","",(1/Inputs!$B$9)*(PI()*(Inputs!$F$11/1000)^2/4)*((Inputs!$F$11/1000/4)^(2/3))*SQRT(N98))</f>
        <v/>
      </c>
      <c r="AK98" s="4">
        <f>IF(A98="","",(1/Inputs!$B$9)*(PI()*(Inputs!$F$12/1000)^2/4)*((Inputs!$F$12/1000/4)^(2/3))*SQRT(N98))</f>
        <v/>
      </c>
      <c r="AL98" s="4">
        <f>IF(A98="","",(1/Inputs!$B$9)*(PI()*(Inputs!$F$13/1000)^2/4)*((Inputs!$F$13/1000/4)^(2/3))*SQRT(N98))</f>
        <v/>
      </c>
      <c r="AM98" s="4">
        <f>IF(A98="","",(1/Inputs!$B$9)*(PI()*(Inputs!$F$14/1000)^2/4)*((Inputs!$F$14/1000/4)^(2/3))*SQRT(N98))</f>
        <v/>
      </c>
    </row>
    <row r="99">
      <c r="A99" s="4" t="n"/>
      <c r="B99" s="4" t="n"/>
      <c r="C99" s="8" t="n"/>
      <c r="D99" s="8" t="n"/>
      <c r="E99" s="8">
        <f>SUMIFS(CB_Tributaires!$C:$C,CB_Tributaires!$B:$B,$A99)</f>
        <v/>
      </c>
      <c r="F99" s="8">
        <f>IF(D99="",E99,D99)</f>
        <v/>
      </c>
      <c r="G99" s="4" t="n"/>
      <c r="H99" s="8" t="n"/>
      <c r="I99" s="8">
        <f>IF(A99="","",Inputs!$B$13/((IF(H99="",Inputs!$B$18,H99)+Inputs!$B$14)^Inputs!$B$15))</f>
        <v/>
      </c>
      <c r="J99" s="8">
        <f>IF(A99="","",0.00278*IF(G99="",Inputs!$B$17,G99)*F99*I99)</f>
        <v/>
      </c>
      <c r="K99" s="8">
        <f>IF(A99="","",SUMIFS($L$4:$L$203,$B$4:$B$203,$A99))</f>
        <v/>
      </c>
      <c r="L99" s="8">
        <f>IF(A99="","",(J99+K99)*Inputs!$B$16)</f>
        <v/>
      </c>
      <c r="M99" s="8" t="n"/>
      <c r="N99" s="8">
        <f>IF(A99="","",IF(M99="",Inputs!$B$7,M99))</f>
        <v/>
      </c>
      <c r="O99" s="4">
        <f>IF(A99="","",IF(L99/Inputs!$B$10&lt;=AD99,Inputs!$F$5,IF(L99/Inputs!$B$10&gt;AM99,"OVERSIZE",INDEX(Inputs!$F$5:$F$14,MATCH(L99/Inputs!$B$10,AD99:AM99,1)+1))))</f>
        <v/>
      </c>
      <c r="P99" s="4" t="n"/>
      <c r="Q99" s="4">
        <f>IF(A99="","",IF(P99="",O99,P99))</f>
        <v/>
      </c>
      <c r="R99" s="8">
        <f>IF(OR(Q99="",Q99="OVERSIZE"),"",Q99/1000)</f>
        <v/>
      </c>
      <c r="S99" s="8">
        <f>IF(R99="","",(1/Inputs!$B$9)*(PI()*R99^2/4)*((R99/4)^(2/3))*SQRT(N99))</f>
        <v/>
      </c>
      <c r="T99" s="8">
        <f>IF(OR(S99="",L99=""),"",L99/(S99*Inputs!$B$10))</f>
        <v/>
      </c>
      <c r="U99" s="8">
        <f>IF(OR(R99="",L99=""),"",4*L99/(PI()*R99^2))</f>
        <v/>
      </c>
      <c r="V99" s="8" t="n"/>
      <c r="W99" s="8">
        <f>IF(A99="","",IF(A99=Inputs!$B$6,Inputs!$B$22,IF(B99="","",IFERROR(INDEX($X$4:$X$203,MATCH(B99,$A$4:$A$203,0))+IF(V99="",Inputs!$B$20,V99),""))))</f>
        <v/>
      </c>
      <c r="X99" s="8">
        <f>IF(OR(W99="",N99="",C99=""),"",W99+N99*C99)</f>
        <v/>
      </c>
      <c r="Y99" s="8" t="n"/>
      <c r="Z99" s="8" t="n"/>
      <c r="AA99" s="8">
        <f>IF(OR(Y99="",W99=""),"",Y99-W99)</f>
        <v/>
      </c>
      <c r="AB99" s="8">
        <f>IF(OR(Z99="",X99=""),"",Z99-X99)</f>
        <v/>
      </c>
      <c r="AC99" s="4">
        <f>IF(A99="","",IF(OR(T99&gt;1,U99&lt;Inputs!$B$11,U99&gt;Inputs!$B$12,AA99&lt;Inputs!$B$19,AB99&lt;Inputs!$B$19,N99&lt;Inputs!$B$7,N99&gt;Inputs!$B$8),"CHECK","OK"))</f>
        <v/>
      </c>
      <c r="AD99" s="4">
        <f>IF(A99="","",(1/Inputs!$B$9)*(PI()*(Inputs!$F$5/1000)^2/4)*((Inputs!$F$5/1000/4)^(2/3))*SQRT(N99))</f>
        <v/>
      </c>
      <c r="AE99" s="4">
        <f>IF(A99="","",(1/Inputs!$B$9)*(PI()*(Inputs!$F$6/1000)^2/4)*((Inputs!$F$6/1000/4)^(2/3))*SQRT(N99))</f>
        <v/>
      </c>
      <c r="AF99" s="4">
        <f>IF(A99="","",(1/Inputs!$B$9)*(PI()*(Inputs!$F$7/1000)^2/4)*((Inputs!$F$7/1000/4)^(2/3))*SQRT(N99))</f>
        <v/>
      </c>
      <c r="AG99" s="4">
        <f>IF(A99="","",(1/Inputs!$B$9)*(PI()*(Inputs!$F$8/1000)^2/4)*((Inputs!$F$8/1000/4)^(2/3))*SQRT(N99))</f>
        <v/>
      </c>
      <c r="AH99" s="4">
        <f>IF(A99="","",(1/Inputs!$B$9)*(PI()*(Inputs!$F$9/1000)^2/4)*((Inputs!$F$9/1000/4)^(2/3))*SQRT(N99))</f>
        <v/>
      </c>
      <c r="AI99" s="4">
        <f>IF(A99="","",(1/Inputs!$B$9)*(PI()*(Inputs!$F$10/1000)^2/4)*((Inputs!$F$10/1000/4)^(2/3))*SQRT(N99))</f>
        <v/>
      </c>
      <c r="AJ99" s="4">
        <f>IF(A99="","",(1/Inputs!$B$9)*(PI()*(Inputs!$F$11/1000)^2/4)*((Inputs!$F$11/1000/4)^(2/3))*SQRT(N99))</f>
        <v/>
      </c>
      <c r="AK99" s="4">
        <f>IF(A99="","",(1/Inputs!$B$9)*(PI()*(Inputs!$F$12/1000)^2/4)*((Inputs!$F$12/1000/4)^(2/3))*SQRT(N99))</f>
        <v/>
      </c>
      <c r="AL99" s="4">
        <f>IF(A99="","",(1/Inputs!$B$9)*(PI()*(Inputs!$F$13/1000)^2/4)*((Inputs!$F$13/1000/4)^(2/3))*SQRT(N99))</f>
        <v/>
      </c>
      <c r="AM99" s="4">
        <f>IF(A99="","",(1/Inputs!$B$9)*(PI()*(Inputs!$F$14/1000)^2/4)*((Inputs!$F$14/1000/4)^(2/3))*SQRT(N99))</f>
        <v/>
      </c>
    </row>
    <row r="100">
      <c r="A100" s="4" t="n"/>
      <c r="B100" s="4" t="n"/>
      <c r="C100" s="8" t="n"/>
      <c r="D100" s="8" t="n"/>
      <c r="E100" s="8">
        <f>SUMIFS(CB_Tributaires!$C:$C,CB_Tributaires!$B:$B,$A100)</f>
        <v/>
      </c>
      <c r="F100" s="8">
        <f>IF(D100="",E100,D100)</f>
        <v/>
      </c>
      <c r="G100" s="4" t="n"/>
      <c r="H100" s="8" t="n"/>
      <c r="I100" s="8">
        <f>IF(A100="","",Inputs!$B$13/((IF(H100="",Inputs!$B$18,H100)+Inputs!$B$14)^Inputs!$B$15))</f>
        <v/>
      </c>
      <c r="J100" s="8">
        <f>IF(A100="","",0.00278*IF(G100="",Inputs!$B$17,G100)*F100*I100)</f>
        <v/>
      </c>
      <c r="K100" s="8">
        <f>IF(A100="","",SUMIFS($L$4:$L$203,$B$4:$B$203,$A100))</f>
        <v/>
      </c>
      <c r="L100" s="8">
        <f>IF(A100="","",(J100+K100)*Inputs!$B$16)</f>
        <v/>
      </c>
      <c r="M100" s="8" t="n"/>
      <c r="N100" s="8">
        <f>IF(A100="","",IF(M100="",Inputs!$B$7,M100))</f>
        <v/>
      </c>
      <c r="O100" s="4">
        <f>IF(A100="","",IF(L100/Inputs!$B$10&lt;=AD100,Inputs!$F$5,IF(L100/Inputs!$B$10&gt;AM100,"OVERSIZE",INDEX(Inputs!$F$5:$F$14,MATCH(L100/Inputs!$B$10,AD100:AM100,1)+1))))</f>
        <v/>
      </c>
      <c r="P100" s="4" t="n"/>
      <c r="Q100" s="4">
        <f>IF(A100="","",IF(P100="",O100,P100))</f>
        <v/>
      </c>
      <c r="R100" s="8">
        <f>IF(OR(Q100="",Q100="OVERSIZE"),"",Q100/1000)</f>
        <v/>
      </c>
      <c r="S100" s="8">
        <f>IF(R100="","",(1/Inputs!$B$9)*(PI()*R100^2/4)*((R100/4)^(2/3))*SQRT(N100))</f>
        <v/>
      </c>
      <c r="T100" s="8">
        <f>IF(OR(S100="",L100=""),"",L100/(S100*Inputs!$B$10))</f>
        <v/>
      </c>
      <c r="U100" s="8">
        <f>IF(OR(R100="",L100=""),"",4*L100/(PI()*R100^2))</f>
        <v/>
      </c>
      <c r="V100" s="8" t="n"/>
      <c r="W100" s="8">
        <f>IF(A100="","",IF(A100=Inputs!$B$6,Inputs!$B$22,IF(B100="","",IFERROR(INDEX($X$4:$X$203,MATCH(B100,$A$4:$A$203,0))+IF(V100="",Inputs!$B$20,V100),""))))</f>
        <v/>
      </c>
      <c r="X100" s="8">
        <f>IF(OR(W100="",N100="",C100=""),"",W100+N100*C100)</f>
        <v/>
      </c>
      <c r="Y100" s="8" t="n"/>
      <c r="Z100" s="8" t="n"/>
      <c r="AA100" s="8">
        <f>IF(OR(Y100="",W100=""),"",Y100-W100)</f>
        <v/>
      </c>
      <c r="AB100" s="8">
        <f>IF(OR(Z100="",X100=""),"",Z100-X100)</f>
        <v/>
      </c>
      <c r="AC100" s="4">
        <f>IF(A100="","",IF(OR(T100&gt;1,U100&lt;Inputs!$B$11,U100&gt;Inputs!$B$12,AA100&lt;Inputs!$B$19,AB100&lt;Inputs!$B$19,N100&lt;Inputs!$B$7,N100&gt;Inputs!$B$8),"CHECK","OK"))</f>
        <v/>
      </c>
      <c r="AD100" s="4">
        <f>IF(A100="","",(1/Inputs!$B$9)*(PI()*(Inputs!$F$5/1000)^2/4)*((Inputs!$F$5/1000/4)^(2/3))*SQRT(N100))</f>
        <v/>
      </c>
      <c r="AE100" s="4">
        <f>IF(A100="","",(1/Inputs!$B$9)*(PI()*(Inputs!$F$6/1000)^2/4)*((Inputs!$F$6/1000/4)^(2/3))*SQRT(N100))</f>
        <v/>
      </c>
      <c r="AF100" s="4">
        <f>IF(A100="","",(1/Inputs!$B$9)*(PI()*(Inputs!$F$7/1000)^2/4)*((Inputs!$F$7/1000/4)^(2/3))*SQRT(N100))</f>
        <v/>
      </c>
      <c r="AG100" s="4">
        <f>IF(A100="","",(1/Inputs!$B$9)*(PI()*(Inputs!$F$8/1000)^2/4)*((Inputs!$F$8/1000/4)^(2/3))*SQRT(N100))</f>
        <v/>
      </c>
      <c r="AH100" s="4">
        <f>IF(A100="","",(1/Inputs!$B$9)*(PI()*(Inputs!$F$9/1000)^2/4)*((Inputs!$F$9/1000/4)^(2/3))*SQRT(N100))</f>
        <v/>
      </c>
      <c r="AI100" s="4">
        <f>IF(A100="","",(1/Inputs!$B$9)*(PI()*(Inputs!$F$10/1000)^2/4)*((Inputs!$F$10/1000/4)^(2/3))*SQRT(N100))</f>
        <v/>
      </c>
      <c r="AJ100" s="4">
        <f>IF(A100="","",(1/Inputs!$B$9)*(PI()*(Inputs!$F$11/1000)^2/4)*((Inputs!$F$11/1000/4)^(2/3))*SQRT(N100))</f>
        <v/>
      </c>
      <c r="AK100" s="4">
        <f>IF(A100="","",(1/Inputs!$B$9)*(PI()*(Inputs!$F$12/1000)^2/4)*((Inputs!$F$12/1000/4)^(2/3))*SQRT(N100))</f>
        <v/>
      </c>
      <c r="AL100" s="4">
        <f>IF(A100="","",(1/Inputs!$B$9)*(PI()*(Inputs!$F$13/1000)^2/4)*((Inputs!$F$13/1000/4)^(2/3))*SQRT(N100))</f>
        <v/>
      </c>
      <c r="AM100" s="4">
        <f>IF(A100="","",(1/Inputs!$B$9)*(PI()*(Inputs!$F$14/1000)^2/4)*((Inputs!$F$14/1000/4)^(2/3))*SQRT(N100))</f>
        <v/>
      </c>
    </row>
    <row r="101">
      <c r="A101" s="4" t="n"/>
      <c r="B101" s="4" t="n"/>
      <c r="C101" s="8" t="n"/>
      <c r="D101" s="8" t="n"/>
      <c r="E101" s="8">
        <f>SUMIFS(CB_Tributaires!$C:$C,CB_Tributaires!$B:$B,$A101)</f>
        <v/>
      </c>
      <c r="F101" s="8">
        <f>IF(D101="",E101,D101)</f>
        <v/>
      </c>
      <c r="G101" s="4" t="n"/>
      <c r="H101" s="8" t="n"/>
      <c r="I101" s="8">
        <f>IF(A101="","",Inputs!$B$13/((IF(H101="",Inputs!$B$18,H101)+Inputs!$B$14)^Inputs!$B$15))</f>
        <v/>
      </c>
      <c r="J101" s="8">
        <f>IF(A101="","",0.00278*IF(G101="",Inputs!$B$17,G101)*F101*I101)</f>
        <v/>
      </c>
      <c r="K101" s="8">
        <f>IF(A101="","",SUMIFS($L$4:$L$203,$B$4:$B$203,$A101))</f>
        <v/>
      </c>
      <c r="L101" s="8">
        <f>IF(A101="","",(J101+K101)*Inputs!$B$16)</f>
        <v/>
      </c>
      <c r="M101" s="8" t="n"/>
      <c r="N101" s="8">
        <f>IF(A101="","",IF(M101="",Inputs!$B$7,M101))</f>
        <v/>
      </c>
      <c r="O101" s="4">
        <f>IF(A101="","",IF(L101/Inputs!$B$10&lt;=AD101,Inputs!$F$5,IF(L101/Inputs!$B$10&gt;AM101,"OVERSIZE",INDEX(Inputs!$F$5:$F$14,MATCH(L101/Inputs!$B$10,AD101:AM101,1)+1))))</f>
        <v/>
      </c>
      <c r="P101" s="4" t="n"/>
      <c r="Q101" s="4">
        <f>IF(A101="","",IF(P101="",O101,P101))</f>
        <v/>
      </c>
      <c r="R101" s="8">
        <f>IF(OR(Q101="",Q101="OVERSIZE"),"",Q101/1000)</f>
        <v/>
      </c>
      <c r="S101" s="8">
        <f>IF(R101="","",(1/Inputs!$B$9)*(PI()*R101^2/4)*((R101/4)^(2/3))*SQRT(N101))</f>
        <v/>
      </c>
      <c r="T101" s="8">
        <f>IF(OR(S101="",L101=""),"",L101/(S101*Inputs!$B$10))</f>
        <v/>
      </c>
      <c r="U101" s="8">
        <f>IF(OR(R101="",L101=""),"",4*L101/(PI()*R101^2))</f>
        <v/>
      </c>
      <c r="V101" s="8" t="n"/>
      <c r="W101" s="8">
        <f>IF(A101="","",IF(A101=Inputs!$B$6,Inputs!$B$22,IF(B101="","",IFERROR(INDEX($X$4:$X$203,MATCH(B101,$A$4:$A$203,0))+IF(V101="",Inputs!$B$20,V101),""))))</f>
        <v/>
      </c>
      <c r="X101" s="8">
        <f>IF(OR(W101="",N101="",C101=""),"",W101+N101*C101)</f>
        <v/>
      </c>
      <c r="Y101" s="8" t="n"/>
      <c r="Z101" s="8" t="n"/>
      <c r="AA101" s="8">
        <f>IF(OR(Y101="",W101=""),"",Y101-W101)</f>
        <v/>
      </c>
      <c r="AB101" s="8">
        <f>IF(OR(Z101="",X101=""),"",Z101-X101)</f>
        <v/>
      </c>
      <c r="AC101" s="4">
        <f>IF(A101="","",IF(OR(T101&gt;1,U101&lt;Inputs!$B$11,U101&gt;Inputs!$B$12,AA101&lt;Inputs!$B$19,AB101&lt;Inputs!$B$19,N101&lt;Inputs!$B$7,N101&gt;Inputs!$B$8),"CHECK","OK"))</f>
        <v/>
      </c>
      <c r="AD101" s="4">
        <f>IF(A101="","",(1/Inputs!$B$9)*(PI()*(Inputs!$F$5/1000)^2/4)*((Inputs!$F$5/1000/4)^(2/3))*SQRT(N101))</f>
        <v/>
      </c>
      <c r="AE101" s="4">
        <f>IF(A101="","",(1/Inputs!$B$9)*(PI()*(Inputs!$F$6/1000)^2/4)*((Inputs!$F$6/1000/4)^(2/3))*SQRT(N101))</f>
        <v/>
      </c>
      <c r="AF101" s="4">
        <f>IF(A101="","",(1/Inputs!$B$9)*(PI()*(Inputs!$F$7/1000)^2/4)*((Inputs!$F$7/1000/4)^(2/3))*SQRT(N101))</f>
        <v/>
      </c>
      <c r="AG101" s="4">
        <f>IF(A101="","",(1/Inputs!$B$9)*(PI()*(Inputs!$F$8/1000)^2/4)*((Inputs!$F$8/1000/4)^(2/3))*SQRT(N101))</f>
        <v/>
      </c>
      <c r="AH101" s="4">
        <f>IF(A101="","",(1/Inputs!$B$9)*(PI()*(Inputs!$F$9/1000)^2/4)*((Inputs!$F$9/1000/4)^(2/3))*SQRT(N101))</f>
        <v/>
      </c>
      <c r="AI101" s="4">
        <f>IF(A101="","",(1/Inputs!$B$9)*(PI()*(Inputs!$F$10/1000)^2/4)*((Inputs!$F$10/1000/4)^(2/3))*SQRT(N101))</f>
        <v/>
      </c>
      <c r="AJ101" s="4">
        <f>IF(A101="","",(1/Inputs!$B$9)*(PI()*(Inputs!$F$11/1000)^2/4)*((Inputs!$F$11/1000/4)^(2/3))*SQRT(N101))</f>
        <v/>
      </c>
      <c r="AK101" s="4">
        <f>IF(A101="","",(1/Inputs!$B$9)*(PI()*(Inputs!$F$12/1000)^2/4)*((Inputs!$F$12/1000/4)^(2/3))*SQRT(N101))</f>
        <v/>
      </c>
      <c r="AL101" s="4">
        <f>IF(A101="","",(1/Inputs!$B$9)*(PI()*(Inputs!$F$13/1000)^2/4)*((Inputs!$F$13/1000/4)^(2/3))*SQRT(N101))</f>
        <v/>
      </c>
      <c r="AM101" s="4">
        <f>IF(A101="","",(1/Inputs!$B$9)*(PI()*(Inputs!$F$14/1000)^2/4)*((Inputs!$F$14/1000/4)^(2/3))*SQRT(N101))</f>
        <v/>
      </c>
    </row>
    <row r="102">
      <c r="A102" s="4" t="n"/>
      <c r="B102" s="4" t="n"/>
      <c r="C102" s="8" t="n"/>
      <c r="D102" s="8" t="n"/>
      <c r="E102" s="8">
        <f>SUMIFS(CB_Tributaires!$C:$C,CB_Tributaires!$B:$B,$A102)</f>
        <v/>
      </c>
      <c r="F102" s="8">
        <f>IF(D102="",E102,D102)</f>
        <v/>
      </c>
      <c r="G102" s="4" t="n"/>
      <c r="H102" s="8" t="n"/>
      <c r="I102" s="8">
        <f>IF(A102="","",Inputs!$B$13/((IF(H102="",Inputs!$B$18,H102)+Inputs!$B$14)^Inputs!$B$15))</f>
        <v/>
      </c>
      <c r="J102" s="8">
        <f>IF(A102="","",0.00278*IF(G102="",Inputs!$B$17,G102)*F102*I102)</f>
        <v/>
      </c>
      <c r="K102" s="8">
        <f>IF(A102="","",SUMIFS($L$4:$L$203,$B$4:$B$203,$A102))</f>
        <v/>
      </c>
      <c r="L102" s="8">
        <f>IF(A102="","",(J102+K102)*Inputs!$B$16)</f>
        <v/>
      </c>
      <c r="M102" s="8" t="n"/>
      <c r="N102" s="8">
        <f>IF(A102="","",IF(M102="",Inputs!$B$7,M102))</f>
        <v/>
      </c>
      <c r="O102" s="4">
        <f>IF(A102="","",IF(L102/Inputs!$B$10&lt;=AD102,Inputs!$F$5,IF(L102/Inputs!$B$10&gt;AM102,"OVERSIZE",INDEX(Inputs!$F$5:$F$14,MATCH(L102/Inputs!$B$10,AD102:AM102,1)+1))))</f>
        <v/>
      </c>
      <c r="P102" s="4" t="n"/>
      <c r="Q102" s="4">
        <f>IF(A102="","",IF(P102="",O102,P102))</f>
        <v/>
      </c>
      <c r="R102" s="8">
        <f>IF(OR(Q102="",Q102="OVERSIZE"),"",Q102/1000)</f>
        <v/>
      </c>
      <c r="S102" s="8">
        <f>IF(R102="","",(1/Inputs!$B$9)*(PI()*R102^2/4)*((R102/4)^(2/3))*SQRT(N102))</f>
        <v/>
      </c>
      <c r="T102" s="8">
        <f>IF(OR(S102="",L102=""),"",L102/(S102*Inputs!$B$10))</f>
        <v/>
      </c>
      <c r="U102" s="8">
        <f>IF(OR(R102="",L102=""),"",4*L102/(PI()*R102^2))</f>
        <v/>
      </c>
      <c r="V102" s="8" t="n"/>
      <c r="W102" s="8">
        <f>IF(A102="","",IF(A102=Inputs!$B$6,Inputs!$B$22,IF(B102="","",IFERROR(INDEX($X$4:$X$203,MATCH(B102,$A$4:$A$203,0))+IF(V102="",Inputs!$B$20,V102),""))))</f>
        <v/>
      </c>
      <c r="X102" s="8">
        <f>IF(OR(W102="",N102="",C102=""),"",W102+N102*C102)</f>
        <v/>
      </c>
      <c r="Y102" s="8" t="n"/>
      <c r="Z102" s="8" t="n"/>
      <c r="AA102" s="8">
        <f>IF(OR(Y102="",W102=""),"",Y102-W102)</f>
        <v/>
      </c>
      <c r="AB102" s="8">
        <f>IF(OR(Z102="",X102=""),"",Z102-X102)</f>
        <v/>
      </c>
      <c r="AC102" s="4">
        <f>IF(A102="","",IF(OR(T102&gt;1,U102&lt;Inputs!$B$11,U102&gt;Inputs!$B$12,AA102&lt;Inputs!$B$19,AB102&lt;Inputs!$B$19,N102&lt;Inputs!$B$7,N102&gt;Inputs!$B$8),"CHECK","OK"))</f>
        <v/>
      </c>
      <c r="AD102" s="4">
        <f>IF(A102="","",(1/Inputs!$B$9)*(PI()*(Inputs!$F$5/1000)^2/4)*((Inputs!$F$5/1000/4)^(2/3))*SQRT(N102))</f>
        <v/>
      </c>
      <c r="AE102" s="4">
        <f>IF(A102="","",(1/Inputs!$B$9)*(PI()*(Inputs!$F$6/1000)^2/4)*((Inputs!$F$6/1000/4)^(2/3))*SQRT(N102))</f>
        <v/>
      </c>
      <c r="AF102" s="4">
        <f>IF(A102="","",(1/Inputs!$B$9)*(PI()*(Inputs!$F$7/1000)^2/4)*((Inputs!$F$7/1000/4)^(2/3))*SQRT(N102))</f>
        <v/>
      </c>
      <c r="AG102" s="4">
        <f>IF(A102="","",(1/Inputs!$B$9)*(PI()*(Inputs!$F$8/1000)^2/4)*((Inputs!$F$8/1000/4)^(2/3))*SQRT(N102))</f>
        <v/>
      </c>
      <c r="AH102" s="4">
        <f>IF(A102="","",(1/Inputs!$B$9)*(PI()*(Inputs!$F$9/1000)^2/4)*((Inputs!$F$9/1000/4)^(2/3))*SQRT(N102))</f>
        <v/>
      </c>
      <c r="AI102" s="4">
        <f>IF(A102="","",(1/Inputs!$B$9)*(PI()*(Inputs!$F$10/1000)^2/4)*((Inputs!$F$10/1000/4)^(2/3))*SQRT(N102))</f>
        <v/>
      </c>
      <c r="AJ102" s="4">
        <f>IF(A102="","",(1/Inputs!$B$9)*(PI()*(Inputs!$F$11/1000)^2/4)*((Inputs!$F$11/1000/4)^(2/3))*SQRT(N102))</f>
        <v/>
      </c>
      <c r="AK102" s="4">
        <f>IF(A102="","",(1/Inputs!$B$9)*(PI()*(Inputs!$F$12/1000)^2/4)*((Inputs!$F$12/1000/4)^(2/3))*SQRT(N102))</f>
        <v/>
      </c>
      <c r="AL102" s="4">
        <f>IF(A102="","",(1/Inputs!$B$9)*(PI()*(Inputs!$F$13/1000)^2/4)*((Inputs!$F$13/1000/4)^(2/3))*SQRT(N102))</f>
        <v/>
      </c>
      <c r="AM102" s="4">
        <f>IF(A102="","",(1/Inputs!$B$9)*(PI()*(Inputs!$F$14/1000)^2/4)*((Inputs!$F$14/1000/4)^(2/3))*SQRT(N102))</f>
        <v/>
      </c>
    </row>
    <row r="103">
      <c r="A103" s="4" t="n"/>
      <c r="B103" s="4" t="n"/>
      <c r="C103" s="8" t="n"/>
      <c r="D103" s="8" t="n"/>
      <c r="E103" s="8">
        <f>SUMIFS(CB_Tributaires!$C:$C,CB_Tributaires!$B:$B,$A103)</f>
        <v/>
      </c>
      <c r="F103" s="8">
        <f>IF(D103="",E103,D103)</f>
        <v/>
      </c>
      <c r="G103" s="4" t="n"/>
      <c r="H103" s="8" t="n"/>
      <c r="I103" s="8">
        <f>IF(A103="","",Inputs!$B$13/((IF(H103="",Inputs!$B$18,H103)+Inputs!$B$14)^Inputs!$B$15))</f>
        <v/>
      </c>
      <c r="J103" s="8">
        <f>IF(A103="","",0.00278*IF(G103="",Inputs!$B$17,G103)*F103*I103)</f>
        <v/>
      </c>
      <c r="K103" s="8">
        <f>IF(A103="","",SUMIFS($L$4:$L$203,$B$4:$B$203,$A103))</f>
        <v/>
      </c>
      <c r="L103" s="8">
        <f>IF(A103="","",(J103+K103)*Inputs!$B$16)</f>
        <v/>
      </c>
      <c r="M103" s="8" t="n"/>
      <c r="N103" s="8">
        <f>IF(A103="","",IF(M103="",Inputs!$B$7,M103))</f>
        <v/>
      </c>
      <c r="O103" s="4">
        <f>IF(A103="","",IF(L103/Inputs!$B$10&lt;=AD103,Inputs!$F$5,IF(L103/Inputs!$B$10&gt;AM103,"OVERSIZE",INDEX(Inputs!$F$5:$F$14,MATCH(L103/Inputs!$B$10,AD103:AM103,1)+1))))</f>
        <v/>
      </c>
      <c r="P103" s="4" t="n"/>
      <c r="Q103" s="4">
        <f>IF(A103="","",IF(P103="",O103,P103))</f>
        <v/>
      </c>
      <c r="R103" s="8">
        <f>IF(OR(Q103="",Q103="OVERSIZE"),"",Q103/1000)</f>
        <v/>
      </c>
      <c r="S103" s="8">
        <f>IF(R103="","",(1/Inputs!$B$9)*(PI()*R103^2/4)*((R103/4)^(2/3))*SQRT(N103))</f>
        <v/>
      </c>
      <c r="T103" s="8">
        <f>IF(OR(S103="",L103=""),"",L103/(S103*Inputs!$B$10))</f>
        <v/>
      </c>
      <c r="U103" s="8">
        <f>IF(OR(R103="",L103=""),"",4*L103/(PI()*R103^2))</f>
        <v/>
      </c>
      <c r="V103" s="8" t="n"/>
      <c r="W103" s="8">
        <f>IF(A103="","",IF(A103=Inputs!$B$6,Inputs!$B$22,IF(B103="","",IFERROR(INDEX($X$4:$X$203,MATCH(B103,$A$4:$A$203,0))+IF(V103="",Inputs!$B$20,V103),""))))</f>
        <v/>
      </c>
      <c r="X103" s="8">
        <f>IF(OR(W103="",N103="",C103=""),"",W103+N103*C103)</f>
        <v/>
      </c>
      <c r="Y103" s="8" t="n"/>
      <c r="Z103" s="8" t="n"/>
      <c r="AA103" s="8">
        <f>IF(OR(Y103="",W103=""),"",Y103-W103)</f>
        <v/>
      </c>
      <c r="AB103" s="8">
        <f>IF(OR(Z103="",X103=""),"",Z103-X103)</f>
        <v/>
      </c>
      <c r="AC103" s="4">
        <f>IF(A103="","",IF(OR(T103&gt;1,U103&lt;Inputs!$B$11,U103&gt;Inputs!$B$12,AA103&lt;Inputs!$B$19,AB103&lt;Inputs!$B$19,N103&lt;Inputs!$B$7,N103&gt;Inputs!$B$8),"CHECK","OK"))</f>
        <v/>
      </c>
      <c r="AD103" s="4">
        <f>IF(A103="","",(1/Inputs!$B$9)*(PI()*(Inputs!$F$5/1000)^2/4)*((Inputs!$F$5/1000/4)^(2/3))*SQRT(N103))</f>
        <v/>
      </c>
      <c r="AE103" s="4">
        <f>IF(A103="","",(1/Inputs!$B$9)*(PI()*(Inputs!$F$6/1000)^2/4)*((Inputs!$F$6/1000/4)^(2/3))*SQRT(N103))</f>
        <v/>
      </c>
      <c r="AF103" s="4">
        <f>IF(A103="","",(1/Inputs!$B$9)*(PI()*(Inputs!$F$7/1000)^2/4)*((Inputs!$F$7/1000/4)^(2/3))*SQRT(N103))</f>
        <v/>
      </c>
      <c r="AG103" s="4">
        <f>IF(A103="","",(1/Inputs!$B$9)*(PI()*(Inputs!$F$8/1000)^2/4)*((Inputs!$F$8/1000/4)^(2/3))*SQRT(N103))</f>
        <v/>
      </c>
      <c r="AH103" s="4">
        <f>IF(A103="","",(1/Inputs!$B$9)*(PI()*(Inputs!$F$9/1000)^2/4)*((Inputs!$F$9/1000/4)^(2/3))*SQRT(N103))</f>
        <v/>
      </c>
      <c r="AI103" s="4">
        <f>IF(A103="","",(1/Inputs!$B$9)*(PI()*(Inputs!$F$10/1000)^2/4)*((Inputs!$F$10/1000/4)^(2/3))*SQRT(N103))</f>
        <v/>
      </c>
      <c r="AJ103" s="4">
        <f>IF(A103="","",(1/Inputs!$B$9)*(PI()*(Inputs!$F$11/1000)^2/4)*((Inputs!$F$11/1000/4)^(2/3))*SQRT(N103))</f>
        <v/>
      </c>
      <c r="AK103" s="4">
        <f>IF(A103="","",(1/Inputs!$B$9)*(PI()*(Inputs!$F$12/1000)^2/4)*((Inputs!$F$12/1000/4)^(2/3))*SQRT(N103))</f>
        <v/>
      </c>
      <c r="AL103" s="4">
        <f>IF(A103="","",(1/Inputs!$B$9)*(PI()*(Inputs!$F$13/1000)^2/4)*((Inputs!$F$13/1000/4)^(2/3))*SQRT(N103))</f>
        <v/>
      </c>
      <c r="AM103" s="4">
        <f>IF(A103="","",(1/Inputs!$B$9)*(PI()*(Inputs!$F$14/1000)^2/4)*((Inputs!$F$14/1000/4)^(2/3))*SQRT(N103))</f>
        <v/>
      </c>
    </row>
    <row r="104">
      <c r="A104" s="4" t="n"/>
      <c r="B104" s="4" t="n"/>
      <c r="C104" s="8" t="n"/>
      <c r="D104" s="8" t="n"/>
      <c r="E104" s="8">
        <f>SUMIFS(CB_Tributaires!$C:$C,CB_Tributaires!$B:$B,$A104)</f>
        <v/>
      </c>
      <c r="F104" s="8">
        <f>IF(D104="",E104,D104)</f>
        <v/>
      </c>
      <c r="G104" s="4" t="n"/>
      <c r="H104" s="8" t="n"/>
      <c r="I104" s="8">
        <f>IF(A104="","",Inputs!$B$13/((IF(H104="",Inputs!$B$18,H104)+Inputs!$B$14)^Inputs!$B$15))</f>
        <v/>
      </c>
      <c r="J104" s="8">
        <f>IF(A104="","",0.00278*IF(G104="",Inputs!$B$17,G104)*F104*I104)</f>
        <v/>
      </c>
      <c r="K104" s="8">
        <f>IF(A104="","",SUMIFS($L$4:$L$203,$B$4:$B$203,$A104))</f>
        <v/>
      </c>
      <c r="L104" s="8">
        <f>IF(A104="","",(J104+K104)*Inputs!$B$16)</f>
        <v/>
      </c>
      <c r="M104" s="8" t="n"/>
      <c r="N104" s="8">
        <f>IF(A104="","",IF(M104="",Inputs!$B$7,M104))</f>
        <v/>
      </c>
      <c r="O104" s="4">
        <f>IF(A104="","",IF(L104/Inputs!$B$10&lt;=AD104,Inputs!$F$5,IF(L104/Inputs!$B$10&gt;AM104,"OVERSIZE",INDEX(Inputs!$F$5:$F$14,MATCH(L104/Inputs!$B$10,AD104:AM104,1)+1))))</f>
        <v/>
      </c>
      <c r="P104" s="4" t="n"/>
      <c r="Q104" s="4">
        <f>IF(A104="","",IF(P104="",O104,P104))</f>
        <v/>
      </c>
      <c r="R104" s="8">
        <f>IF(OR(Q104="",Q104="OVERSIZE"),"",Q104/1000)</f>
        <v/>
      </c>
      <c r="S104" s="8">
        <f>IF(R104="","",(1/Inputs!$B$9)*(PI()*R104^2/4)*((R104/4)^(2/3))*SQRT(N104))</f>
        <v/>
      </c>
      <c r="T104" s="8">
        <f>IF(OR(S104="",L104=""),"",L104/(S104*Inputs!$B$10))</f>
        <v/>
      </c>
      <c r="U104" s="8">
        <f>IF(OR(R104="",L104=""),"",4*L104/(PI()*R104^2))</f>
        <v/>
      </c>
      <c r="V104" s="8" t="n"/>
      <c r="W104" s="8">
        <f>IF(A104="","",IF(A104=Inputs!$B$6,Inputs!$B$22,IF(B104="","",IFERROR(INDEX($X$4:$X$203,MATCH(B104,$A$4:$A$203,0))+IF(V104="",Inputs!$B$20,V104),""))))</f>
        <v/>
      </c>
      <c r="X104" s="8">
        <f>IF(OR(W104="",N104="",C104=""),"",W104+N104*C104)</f>
        <v/>
      </c>
      <c r="Y104" s="8" t="n"/>
      <c r="Z104" s="8" t="n"/>
      <c r="AA104" s="8">
        <f>IF(OR(Y104="",W104=""),"",Y104-W104)</f>
        <v/>
      </c>
      <c r="AB104" s="8">
        <f>IF(OR(Z104="",X104=""),"",Z104-X104)</f>
        <v/>
      </c>
      <c r="AC104" s="4">
        <f>IF(A104="","",IF(OR(T104&gt;1,U104&lt;Inputs!$B$11,U104&gt;Inputs!$B$12,AA104&lt;Inputs!$B$19,AB104&lt;Inputs!$B$19,N104&lt;Inputs!$B$7,N104&gt;Inputs!$B$8),"CHECK","OK"))</f>
        <v/>
      </c>
      <c r="AD104" s="4">
        <f>IF(A104="","",(1/Inputs!$B$9)*(PI()*(Inputs!$F$5/1000)^2/4)*((Inputs!$F$5/1000/4)^(2/3))*SQRT(N104))</f>
        <v/>
      </c>
      <c r="AE104" s="4">
        <f>IF(A104="","",(1/Inputs!$B$9)*(PI()*(Inputs!$F$6/1000)^2/4)*((Inputs!$F$6/1000/4)^(2/3))*SQRT(N104))</f>
        <v/>
      </c>
      <c r="AF104" s="4">
        <f>IF(A104="","",(1/Inputs!$B$9)*(PI()*(Inputs!$F$7/1000)^2/4)*((Inputs!$F$7/1000/4)^(2/3))*SQRT(N104))</f>
        <v/>
      </c>
      <c r="AG104" s="4">
        <f>IF(A104="","",(1/Inputs!$B$9)*(PI()*(Inputs!$F$8/1000)^2/4)*((Inputs!$F$8/1000/4)^(2/3))*SQRT(N104))</f>
        <v/>
      </c>
      <c r="AH104" s="4">
        <f>IF(A104="","",(1/Inputs!$B$9)*(PI()*(Inputs!$F$9/1000)^2/4)*((Inputs!$F$9/1000/4)^(2/3))*SQRT(N104))</f>
        <v/>
      </c>
      <c r="AI104" s="4">
        <f>IF(A104="","",(1/Inputs!$B$9)*(PI()*(Inputs!$F$10/1000)^2/4)*((Inputs!$F$10/1000/4)^(2/3))*SQRT(N104))</f>
        <v/>
      </c>
      <c r="AJ104" s="4">
        <f>IF(A104="","",(1/Inputs!$B$9)*(PI()*(Inputs!$F$11/1000)^2/4)*((Inputs!$F$11/1000/4)^(2/3))*SQRT(N104))</f>
        <v/>
      </c>
      <c r="AK104" s="4">
        <f>IF(A104="","",(1/Inputs!$B$9)*(PI()*(Inputs!$F$12/1000)^2/4)*((Inputs!$F$12/1000/4)^(2/3))*SQRT(N104))</f>
        <v/>
      </c>
      <c r="AL104" s="4">
        <f>IF(A104="","",(1/Inputs!$B$9)*(PI()*(Inputs!$F$13/1000)^2/4)*((Inputs!$F$13/1000/4)^(2/3))*SQRT(N104))</f>
        <v/>
      </c>
      <c r="AM104" s="4">
        <f>IF(A104="","",(1/Inputs!$B$9)*(PI()*(Inputs!$F$14/1000)^2/4)*((Inputs!$F$14/1000/4)^(2/3))*SQRT(N104))</f>
        <v/>
      </c>
    </row>
    <row r="105">
      <c r="A105" s="4" t="n"/>
      <c r="B105" s="4" t="n"/>
      <c r="C105" s="8" t="n"/>
      <c r="D105" s="8" t="n"/>
      <c r="E105" s="8">
        <f>SUMIFS(CB_Tributaires!$C:$C,CB_Tributaires!$B:$B,$A105)</f>
        <v/>
      </c>
      <c r="F105" s="8">
        <f>IF(D105="",E105,D105)</f>
        <v/>
      </c>
      <c r="G105" s="4" t="n"/>
      <c r="H105" s="8" t="n"/>
      <c r="I105" s="8">
        <f>IF(A105="","",Inputs!$B$13/((IF(H105="",Inputs!$B$18,H105)+Inputs!$B$14)^Inputs!$B$15))</f>
        <v/>
      </c>
      <c r="J105" s="8">
        <f>IF(A105="","",0.00278*IF(G105="",Inputs!$B$17,G105)*F105*I105)</f>
        <v/>
      </c>
      <c r="K105" s="8">
        <f>IF(A105="","",SUMIFS($L$4:$L$203,$B$4:$B$203,$A105))</f>
        <v/>
      </c>
      <c r="L105" s="8">
        <f>IF(A105="","",(J105+K105)*Inputs!$B$16)</f>
        <v/>
      </c>
      <c r="M105" s="8" t="n"/>
      <c r="N105" s="8">
        <f>IF(A105="","",IF(M105="",Inputs!$B$7,M105))</f>
        <v/>
      </c>
      <c r="O105" s="4">
        <f>IF(A105="","",IF(L105/Inputs!$B$10&lt;=AD105,Inputs!$F$5,IF(L105/Inputs!$B$10&gt;AM105,"OVERSIZE",INDEX(Inputs!$F$5:$F$14,MATCH(L105/Inputs!$B$10,AD105:AM105,1)+1))))</f>
        <v/>
      </c>
      <c r="P105" s="4" t="n"/>
      <c r="Q105" s="4">
        <f>IF(A105="","",IF(P105="",O105,P105))</f>
        <v/>
      </c>
      <c r="R105" s="8">
        <f>IF(OR(Q105="",Q105="OVERSIZE"),"",Q105/1000)</f>
        <v/>
      </c>
      <c r="S105" s="8">
        <f>IF(R105="","",(1/Inputs!$B$9)*(PI()*R105^2/4)*((R105/4)^(2/3))*SQRT(N105))</f>
        <v/>
      </c>
      <c r="T105" s="8">
        <f>IF(OR(S105="",L105=""),"",L105/(S105*Inputs!$B$10))</f>
        <v/>
      </c>
      <c r="U105" s="8">
        <f>IF(OR(R105="",L105=""),"",4*L105/(PI()*R105^2))</f>
        <v/>
      </c>
      <c r="V105" s="8" t="n"/>
      <c r="W105" s="8">
        <f>IF(A105="","",IF(A105=Inputs!$B$6,Inputs!$B$22,IF(B105="","",IFERROR(INDEX($X$4:$X$203,MATCH(B105,$A$4:$A$203,0))+IF(V105="",Inputs!$B$20,V105),""))))</f>
        <v/>
      </c>
      <c r="X105" s="8">
        <f>IF(OR(W105="",N105="",C105=""),"",W105+N105*C105)</f>
        <v/>
      </c>
      <c r="Y105" s="8" t="n"/>
      <c r="Z105" s="8" t="n"/>
      <c r="AA105" s="8">
        <f>IF(OR(Y105="",W105=""),"",Y105-W105)</f>
        <v/>
      </c>
      <c r="AB105" s="8">
        <f>IF(OR(Z105="",X105=""),"",Z105-X105)</f>
        <v/>
      </c>
      <c r="AC105" s="4">
        <f>IF(A105="","",IF(OR(T105&gt;1,U105&lt;Inputs!$B$11,U105&gt;Inputs!$B$12,AA105&lt;Inputs!$B$19,AB105&lt;Inputs!$B$19,N105&lt;Inputs!$B$7,N105&gt;Inputs!$B$8),"CHECK","OK"))</f>
        <v/>
      </c>
      <c r="AD105" s="4">
        <f>IF(A105="","",(1/Inputs!$B$9)*(PI()*(Inputs!$F$5/1000)^2/4)*((Inputs!$F$5/1000/4)^(2/3))*SQRT(N105))</f>
        <v/>
      </c>
      <c r="AE105" s="4">
        <f>IF(A105="","",(1/Inputs!$B$9)*(PI()*(Inputs!$F$6/1000)^2/4)*((Inputs!$F$6/1000/4)^(2/3))*SQRT(N105))</f>
        <v/>
      </c>
      <c r="AF105" s="4">
        <f>IF(A105="","",(1/Inputs!$B$9)*(PI()*(Inputs!$F$7/1000)^2/4)*((Inputs!$F$7/1000/4)^(2/3))*SQRT(N105))</f>
        <v/>
      </c>
      <c r="AG105" s="4">
        <f>IF(A105="","",(1/Inputs!$B$9)*(PI()*(Inputs!$F$8/1000)^2/4)*((Inputs!$F$8/1000/4)^(2/3))*SQRT(N105))</f>
        <v/>
      </c>
      <c r="AH105" s="4">
        <f>IF(A105="","",(1/Inputs!$B$9)*(PI()*(Inputs!$F$9/1000)^2/4)*((Inputs!$F$9/1000/4)^(2/3))*SQRT(N105))</f>
        <v/>
      </c>
      <c r="AI105" s="4">
        <f>IF(A105="","",(1/Inputs!$B$9)*(PI()*(Inputs!$F$10/1000)^2/4)*((Inputs!$F$10/1000/4)^(2/3))*SQRT(N105))</f>
        <v/>
      </c>
      <c r="AJ105" s="4">
        <f>IF(A105="","",(1/Inputs!$B$9)*(PI()*(Inputs!$F$11/1000)^2/4)*((Inputs!$F$11/1000/4)^(2/3))*SQRT(N105))</f>
        <v/>
      </c>
      <c r="AK105" s="4">
        <f>IF(A105="","",(1/Inputs!$B$9)*(PI()*(Inputs!$F$12/1000)^2/4)*((Inputs!$F$12/1000/4)^(2/3))*SQRT(N105))</f>
        <v/>
      </c>
      <c r="AL105" s="4">
        <f>IF(A105="","",(1/Inputs!$B$9)*(PI()*(Inputs!$F$13/1000)^2/4)*((Inputs!$F$13/1000/4)^(2/3))*SQRT(N105))</f>
        <v/>
      </c>
      <c r="AM105" s="4">
        <f>IF(A105="","",(1/Inputs!$B$9)*(PI()*(Inputs!$F$14/1000)^2/4)*((Inputs!$F$14/1000/4)^(2/3))*SQRT(N105))</f>
        <v/>
      </c>
    </row>
    <row r="106">
      <c r="A106" s="4" t="n"/>
      <c r="B106" s="4" t="n"/>
      <c r="C106" s="8" t="n"/>
      <c r="D106" s="8" t="n"/>
      <c r="E106" s="8">
        <f>SUMIFS(CB_Tributaires!$C:$C,CB_Tributaires!$B:$B,$A106)</f>
        <v/>
      </c>
      <c r="F106" s="8">
        <f>IF(D106="",E106,D106)</f>
        <v/>
      </c>
      <c r="G106" s="4" t="n"/>
      <c r="H106" s="8" t="n"/>
      <c r="I106" s="8">
        <f>IF(A106="","",Inputs!$B$13/((IF(H106="",Inputs!$B$18,H106)+Inputs!$B$14)^Inputs!$B$15))</f>
        <v/>
      </c>
      <c r="J106" s="8">
        <f>IF(A106="","",0.00278*IF(G106="",Inputs!$B$17,G106)*F106*I106)</f>
        <v/>
      </c>
      <c r="K106" s="8">
        <f>IF(A106="","",SUMIFS($L$4:$L$203,$B$4:$B$203,$A106))</f>
        <v/>
      </c>
      <c r="L106" s="8">
        <f>IF(A106="","",(J106+K106)*Inputs!$B$16)</f>
        <v/>
      </c>
      <c r="M106" s="8" t="n"/>
      <c r="N106" s="8">
        <f>IF(A106="","",IF(M106="",Inputs!$B$7,M106))</f>
        <v/>
      </c>
      <c r="O106" s="4">
        <f>IF(A106="","",IF(L106/Inputs!$B$10&lt;=AD106,Inputs!$F$5,IF(L106/Inputs!$B$10&gt;AM106,"OVERSIZE",INDEX(Inputs!$F$5:$F$14,MATCH(L106/Inputs!$B$10,AD106:AM106,1)+1))))</f>
        <v/>
      </c>
      <c r="P106" s="4" t="n"/>
      <c r="Q106" s="4">
        <f>IF(A106="","",IF(P106="",O106,P106))</f>
        <v/>
      </c>
      <c r="R106" s="8">
        <f>IF(OR(Q106="",Q106="OVERSIZE"),"",Q106/1000)</f>
        <v/>
      </c>
      <c r="S106" s="8">
        <f>IF(R106="","",(1/Inputs!$B$9)*(PI()*R106^2/4)*((R106/4)^(2/3))*SQRT(N106))</f>
        <v/>
      </c>
      <c r="T106" s="8">
        <f>IF(OR(S106="",L106=""),"",L106/(S106*Inputs!$B$10))</f>
        <v/>
      </c>
      <c r="U106" s="8">
        <f>IF(OR(R106="",L106=""),"",4*L106/(PI()*R106^2))</f>
        <v/>
      </c>
      <c r="V106" s="8" t="n"/>
      <c r="W106" s="8">
        <f>IF(A106="","",IF(A106=Inputs!$B$6,Inputs!$B$22,IF(B106="","",IFERROR(INDEX($X$4:$X$203,MATCH(B106,$A$4:$A$203,0))+IF(V106="",Inputs!$B$20,V106),""))))</f>
        <v/>
      </c>
      <c r="X106" s="8">
        <f>IF(OR(W106="",N106="",C106=""),"",W106+N106*C106)</f>
        <v/>
      </c>
      <c r="Y106" s="8" t="n"/>
      <c r="Z106" s="8" t="n"/>
      <c r="AA106" s="8">
        <f>IF(OR(Y106="",W106=""),"",Y106-W106)</f>
        <v/>
      </c>
      <c r="AB106" s="8">
        <f>IF(OR(Z106="",X106=""),"",Z106-X106)</f>
        <v/>
      </c>
      <c r="AC106" s="4">
        <f>IF(A106="","",IF(OR(T106&gt;1,U106&lt;Inputs!$B$11,U106&gt;Inputs!$B$12,AA106&lt;Inputs!$B$19,AB106&lt;Inputs!$B$19,N106&lt;Inputs!$B$7,N106&gt;Inputs!$B$8),"CHECK","OK"))</f>
        <v/>
      </c>
      <c r="AD106" s="4">
        <f>IF(A106="","",(1/Inputs!$B$9)*(PI()*(Inputs!$F$5/1000)^2/4)*((Inputs!$F$5/1000/4)^(2/3))*SQRT(N106))</f>
        <v/>
      </c>
      <c r="AE106" s="4">
        <f>IF(A106="","",(1/Inputs!$B$9)*(PI()*(Inputs!$F$6/1000)^2/4)*((Inputs!$F$6/1000/4)^(2/3))*SQRT(N106))</f>
        <v/>
      </c>
      <c r="AF106" s="4">
        <f>IF(A106="","",(1/Inputs!$B$9)*(PI()*(Inputs!$F$7/1000)^2/4)*((Inputs!$F$7/1000/4)^(2/3))*SQRT(N106))</f>
        <v/>
      </c>
      <c r="AG106" s="4">
        <f>IF(A106="","",(1/Inputs!$B$9)*(PI()*(Inputs!$F$8/1000)^2/4)*((Inputs!$F$8/1000/4)^(2/3))*SQRT(N106))</f>
        <v/>
      </c>
      <c r="AH106" s="4">
        <f>IF(A106="","",(1/Inputs!$B$9)*(PI()*(Inputs!$F$9/1000)^2/4)*((Inputs!$F$9/1000/4)^(2/3))*SQRT(N106))</f>
        <v/>
      </c>
      <c r="AI106" s="4">
        <f>IF(A106="","",(1/Inputs!$B$9)*(PI()*(Inputs!$F$10/1000)^2/4)*((Inputs!$F$10/1000/4)^(2/3))*SQRT(N106))</f>
        <v/>
      </c>
      <c r="AJ106" s="4">
        <f>IF(A106="","",(1/Inputs!$B$9)*(PI()*(Inputs!$F$11/1000)^2/4)*((Inputs!$F$11/1000/4)^(2/3))*SQRT(N106))</f>
        <v/>
      </c>
      <c r="AK106" s="4">
        <f>IF(A106="","",(1/Inputs!$B$9)*(PI()*(Inputs!$F$12/1000)^2/4)*((Inputs!$F$12/1000/4)^(2/3))*SQRT(N106))</f>
        <v/>
      </c>
      <c r="AL106" s="4">
        <f>IF(A106="","",(1/Inputs!$B$9)*(PI()*(Inputs!$F$13/1000)^2/4)*((Inputs!$F$13/1000/4)^(2/3))*SQRT(N106))</f>
        <v/>
      </c>
      <c r="AM106" s="4">
        <f>IF(A106="","",(1/Inputs!$B$9)*(PI()*(Inputs!$F$14/1000)^2/4)*((Inputs!$F$14/1000/4)^(2/3))*SQRT(N106))</f>
        <v/>
      </c>
    </row>
    <row r="107">
      <c r="A107" s="4" t="n"/>
      <c r="B107" s="4" t="n"/>
      <c r="C107" s="8" t="n"/>
      <c r="D107" s="8" t="n"/>
      <c r="E107" s="8">
        <f>SUMIFS(CB_Tributaires!$C:$C,CB_Tributaires!$B:$B,$A107)</f>
        <v/>
      </c>
      <c r="F107" s="8">
        <f>IF(D107="",E107,D107)</f>
        <v/>
      </c>
      <c r="G107" s="4" t="n"/>
      <c r="H107" s="8" t="n"/>
      <c r="I107" s="8">
        <f>IF(A107="","",Inputs!$B$13/((IF(H107="",Inputs!$B$18,H107)+Inputs!$B$14)^Inputs!$B$15))</f>
        <v/>
      </c>
      <c r="J107" s="8">
        <f>IF(A107="","",0.00278*IF(G107="",Inputs!$B$17,G107)*F107*I107)</f>
        <v/>
      </c>
      <c r="K107" s="8">
        <f>IF(A107="","",SUMIFS($L$4:$L$203,$B$4:$B$203,$A107))</f>
        <v/>
      </c>
      <c r="L107" s="8">
        <f>IF(A107="","",(J107+K107)*Inputs!$B$16)</f>
        <v/>
      </c>
      <c r="M107" s="8" t="n"/>
      <c r="N107" s="8">
        <f>IF(A107="","",IF(M107="",Inputs!$B$7,M107))</f>
        <v/>
      </c>
      <c r="O107" s="4">
        <f>IF(A107="","",IF(L107/Inputs!$B$10&lt;=AD107,Inputs!$F$5,IF(L107/Inputs!$B$10&gt;AM107,"OVERSIZE",INDEX(Inputs!$F$5:$F$14,MATCH(L107/Inputs!$B$10,AD107:AM107,1)+1))))</f>
        <v/>
      </c>
      <c r="P107" s="4" t="n"/>
      <c r="Q107" s="4">
        <f>IF(A107="","",IF(P107="",O107,P107))</f>
        <v/>
      </c>
      <c r="R107" s="8">
        <f>IF(OR(Q107="",Q107="OVERSIZE"),"",Q107/1000)</f>
        <v/>
      </c>
      <c r="S107" s="8">
        <f>IF(R107="","",(1/Inputs!$B$9)*(PI()*R107^2/4)*((R107/4)^(2/3))*SQRT(N107))</f>
        <v/>
      </c>
      <c r="T107" s="8">
        <f>IF(OR(S107="",L107=""),"",L107/(S107*Inputs!$B$10))</f>
        <v/>
      </c>
      <c r="U107" s="8">
        <f>IF(OR(R107="",L107=""),"",4*L107/(PI()*R107^2))</f>
        <v/>
      </c>
      <c r="V107" s="8" t="n"/>
      <c r="W107" s="8">
        <f>IF(A107="","",IF(A107=Inputs!$B$6,Inputs!$B$22,IF(B107="","",IFERROR(INDEX($X$4:$X$203,MATCH(B107,$A$4:$A$203,0))+IF(V107="",Inputs!$B$20,V107),""))))</f>
        <v/>
      </c>
      <c r="X107" s="8">
        <f>IF(OR(W107="",N107="",C107=""),"",W107+N107*C107)</f>
        <v/>
      </c>
      <c r="Y107" s="8" t="n"/>
      <c r="Z107" s="8" t="n"/>
      <c r="AA107" s="8">
        <f>IF(OR(Y107="",W107=""),"",Y107-W107)</f>
        <v/>
      </c>
      <c r="AB107" s="8">
        <f>IF(OR(Z107="",X107=""),"",Z107-X107)</f>
        <v/>
      </c>
      <c r="AC107" s="4">
        <f>IF(A107="","",IF(OR(T107&gt;1,U107&lt;Inputs!$B$11,U107&gt;Inputs!$B$12,AA107&lt;Inputs!$B$19,AB107&lt;Inputs!$B$19,N107&lt;Inputs!$B$7,N107&gt;Inputs!$B$8),"CHECK","OK"))</f>
        <v/>
      </c>
      <c r="AD107" s="4">
        <f>IF(A107="","",(1/Inputs!$B$9)*(PI()*(Inputs!$F$5/1000)^2/4)*((Inputs!$F$5/1000/4)^(2/3))*SQRT(N107))</f>
        <v/>
      </c>
      <c r="AE107" s="4">
        <f>IF(A107="","",(1/Inputs!$B$9)*(PI()*(Inputs!$F$6/1000)^2/4)*((Inputs!$F$6/1000/4)^(2/3))*SQRT(N107))</f>
        <v/>
      </c>
      <c r="AF107" s="4">
        <f>IF(A107="","",(1/Inputs!$B$9)*(PI()*(Inputs!$F$7/1000)^2/4)*((Inputs!$F$7/1000/4)^(2/3))*SQRT(N107))</f>
        <v/>
      </c>
      <c r="AG107" s="4">
        <f>IF(A107="","",(1/Inputs!$B$9)*(PI()*(Inputs!$F$8/1000)^2/4)*((Inputs!$F$8/1000/4)^(2/3))*SQRT(N107))</f>
        <v/>
      </c>
      <c r="AH107" s="4">
        <f>IF(A107="","",(1/Inputs!$B$9)*(PI()*(Inputs!$F$9/1000)^2/4)*((Inputs!$F$9/1000/4)^(2/3))*SQRT(N107))</f>
        <v/>
      </c>
      <c r="AI107" s="4">
        <f>IF(A107="","",(1/Inputs!$B$9)*(PI()*(Inputs!$F$10/1000)^2/4)*((Inputs!$F$10/1000/4)^(2/3))*SQRT(N107))</f>
        <v/>
      </c>
      <c r="AJ107" s="4">
        <f>IF(A107="","",(1/Inputs!$B$9)*(PI()*(Inputs!$F$11/1000)^2/4)*((Inputs!$F$11/1000/4)^(2/3))*SQRT(N107))</f>
        <v/>
      </c>
      <c r="AK107" s="4">
        <f>IF(A107="","",(1/Inputs!$B$9)*(PI()*(Inputs!$F$12/1000)^2/4)*((Inputs!$F$12/1000/4)^(2/3))*SQRT(N107))</f>
        <v/>
      </c>
      <c r="AL107" s="4">
        <f>IF(A107="","",(1/Inputs!$B$9)*(PI()*(Inputs!$F$13/1000)^2/4)*((Inputs!$F$13/1000/4)^(2/3))*SQRT(N107))</f>
        <v/>
      </c>
      <c r="AM107" s="4">
        <f>IF(A107="","",(1/Inputs!$B$9)*(PI()*(Inputs!$F$14/1000)^2/4)*((Inputs!$F$14/1000/4)^(2/3))*SQRT(N107))</f>
        <v/>
      </c>
    </row>
    <row r="108">
      <c r="A108" s="4" t="n"/>
      <c r="B108" s="4" t="n"/>
      <c r="C108" s="8" t="n"/>
      <c r="D108" s="8" t="n"/>
      <c r="E108" s="8">
        <f>SUMIFS(CB_Tributaires!$C:$C,CB_Tributaires!$B:$B,$A108)</f>
        <v/>
      </c>
      <c r="F108" s="8">
        <f>IF(D108="",E108,D108)</f>
        <v/>
      </c>
      <c r="G108" s="4" t="n"/>
      <c r="H108" s="8" t="n"/>
      <c r="I108" s="8">
        <f>IF(A108="","",Inputs!$B$13/((IF(H108="",Inputs!$B$18,H108)+Inputs!$B$14)^Inputs!$B$15))</f>
        <v/>
      </c>
      <c r="J108" s="8">
        <f>IF(A108="","",0.00278*IF(G108="",Inputs!$B$17,G108)*F108*I108)</f>
        <v/>
      </c>
      <c r="K108" s="8">
        <f>IF(A108="","",SUMIFS($L$4:$L$203,$B$4:$B$203,$A108))</f>
        <v/>
      </c>
      <c r="L108" s="8">
        <f>IF(A108="","",(J108+K108)*Inputs!$B$16)</f>
        <v/>
      </c>
      <c r="M108" s="8" t="n"/>
      <c r="N108" s="8">
        <f>IF(A108="","",IF(M108="",Inputs!$B$7,M108))</f>
        <v/>
      </c>
      <c r="O108" s="4">
        <f>IF(A108="","",IF(L108/Inputs!$B$10&lt;=AD108,Inputs!$F$5,IF(L108/Inputs!$B$10&gt;AM108,"OVERSIZE",INDEX(Inputs!$F$5:$F$14,MATCH(L108/Inputs!$B$10,AD108:AM108,1)+1))))</f>
        <v/>
      </c>
      <c r="P108" s="4" t="n"/>
      <c r="Q108" s="4">
        <f>IF(A108="","",IF(P108="",O108,P108))</f>
        <v/>
      </c>
      <c r="R108" s="8">
        <f>IF(OR(Q108="",Q108="OVERSIZE"),"",Q108/1000)</f>
        <v/>
      </c>
      <c r="S108" s="8">
        <f>IF(R108="","",(1/Inputs!$B$9)*(PI()*R108^2/4)*((R108/4)^(2/3))*SQRT(N108))</f>
        <v/>
      </c>
      <c r="T108" s="8">
        <f>IF(OR(S108="",L108=""),"",L108/(S108*Inputs!$B$10))</f>
        <v/>
      </c>
      <c r="U108" s="8">
        <f>IF(OR(R108="",L108=""),"",4*L108/(PI()*R108^2))</f>
        <v/>
      </c>
      <c r="V108" s="8" t="n"/>
      <c r="W108" s="8">
        <f>IF(A108="","",IF(A108=Inputs!$B$6,Inputs!$B$22,IF(B108="","",IFERROR(INDEX($X$4:$X$203,MATCH(B108,$A$4:$A$203,0))+IF(V108="",Inputs!$B$20,V108),""))))</f>
        <v/>
      </c>
      <c r="X108" s="8">
        <f>IF(OR(W108="",N108="",C108=""),"",W108+N108*C108)</f>
        <v/>
      </c>
      <c r="Y108" s="8" t="n"/>
      <c r="Z108" s="8" t="n"/>
      <c r="AA108" s="8">
        <f>IF(OR(Y108="",W108=""),"",Y108-W108)</f>
        <v/>
      </c>
      <c r="AB108" s="8">
        <f>IF(OR(Z108="",X108=""),"",Z108-X108)</f>
        <v/>
      </c>
      <c r="AC108" s="4">
        <f>IF(A108="","",IF(OR(T108&gt;1,U108&lt;Inputs!$B$11,U108&gt;Inputs!$B$12,AA108&lt;Inputs!$B$19,AB108&lt;Inputs!$B$19,N108&lt;Inputs!$B$7,N108&gt;Inputs!$B$8),"CHECK","OK"))</f>
        <v/>
      </c>
      <c r="AD108" s="4">
        <f>IF(A108="","",(1/Inputs!$B$9)*(PI()*(Inputs!$F$5/1000)^2/4)*((Inputs!$F$5/1000/4)^(2/3))*SQRT(N108))</f>
        <v/>
      </c>
      <c r="AE108" s="4">
        <f>IF(A108="","",(1/Inputs!$B$9)*(PI()*(Inputs!$F$6/1000)^2/4)*((Inputs!$F$6/1000/4)^(2/3))*SQRT(N108))</f>
        <v/>
      </c>
      <c r="AF108" s="4">
        <f>IF(A108="","",(1/Inputs!$B$9)*(PI()*(Inputs!$F$7/1000)^2/4)*((Inputs!$F$7/1000/4)^(2/3))*SQRT(N108))</f>
        <v/>
      </c>
      <c r="AG108" s="4">
        <f>IF(A108="","",(1/Inputs!$B$9)*(PI()*(Inputs!$F$8/1000)^2/4)*((Inputs!$F$8/1000/4)^(2/3))*SQRT(N108))</f>
        <v/>
      </c>
      <c r="AH108" s="4">
        <f>IF(A108="","",(1/Inputs!$B$9)*(PI()*(Inputs!$F$9/1000)^2/4)*((Inputs!$F$9/1000/4)^(2/3))*SQRT(N108))</f>
        <v/>
      </c>
      <c r="AI108" s="4">
        <f>IF(A108="","",(1/Inputs!$B$9)*(PI()*(Inputs!$F$10/1000)^2/4)*((Inputs!$F$10/1000/4)^(2/3))*SQRT(N108))</f>
        <v/>
      </c>
      <c r="AJ108" s="4">
        <f>IF(A108="","",(1/Inputs!$B$9)*(PI()*(Inputs!$F$11/1000)^2/4)*((Inputs!$F$11/1000/4)^(2/3))*SQRT(N108))</f>
        <v/>
      </c>
      <c r="AK108" s="4">
        <f>IF(A108="","",(1/Inputs!$B$9)*(PI()*(Inputs!$F$12/1000)^2/4)*((Inputs!$F$12/1000/4)^(2/3))*SQRT(N108))</f>
        <v/>
      </c>
      <c r="AL108" s="4">
        <f>IF(A108="","",(1/Inputs!$B$9)*(PI()*(Inputs!$F$13/1000)^2/4)*((Inputs!$F$13/1000/4)^(2/3))*SQRT(N108))</f>
        <v/>
      </c>
      <c r="AM108" s="4">
        <f>IF(A108="","",(1/Inputs!$B$9)*(PI()*(Inputs!$F$14/1000)^2/4)*((Inputs!$F$14/1000/4)^(2/3))*SQRT(N108))</f>
        <v/>
      </c>
    </row>
    <row r="109">
      <c r="A109" s="4" t="n"/>
      <c r="B109" s="4" t="n"/>
      <c r="C109" s="8" t="n"/>
      <c r="D109" s="8" t="n"/>
      <c r="E109" s="8">
        <f>SUMIFS(CB_Tributaires!$C:$C,CB_Tributaires!$B:$B,$A109)</f>
        <v/>
      </c>
      <c r="F109" s="8">
        <f>IF(D109="",E109,D109)</f>
        <v/>
      </c>
      <c r="G109" s="4" t="n"/>
      <c r="H109" s="8" t="n"/>
      <c r="I109" s="8">
        <f>IF(A109="","",Inputs!$B$13/((IF(H109="",Inputs!$B$18,H109)+Inputs!$B$14)^Inputs!$B$15))</f>
        <v/>
      </c>
      <c r="J109" s="8">
        <f>IF(A109="","",0.00278*IF(G109="",Inputs!$B$17,G109)*F109*I109)</f>
        <v/>
      </c>
      <c r="K109" s="8">
        <f>IF(A109="","",SUMIFS($L$4:$L$203,$B$4:$B$203,$A109))</f>
        <v/>
      </c>
      <c r="L109" s="8">
        <f>IF(A109="","",(J109+K109)*Inputs!$B$16)</f>
        <v/>
      </c>
      <c r="M109" s="8" t="n"/>
      <c r="N109" s="8">
        <f>IF(A109="","",IF(M109="",Inputs!$B$7,M109))</f>
        <v/>
      </c>
      <c r="O109" s="4">
        <f>IF(A109="","",IF(L109/Inputs!$B$10&lt;=AD109,Inputs!$F$5,IF(L109/Inputs!$B$10&gt;AM109,"OVERSIZE",INDEX(Inputs!$F$5:$F$14,MATCH(L109/Inputs!$B$10,AD109:AM109,1)+1))))</f>
        <v/>
      </c>
      <c r="P109" s="4" t="n"/>
      <c r="Q109" s="4">
        <f>IF(A109="","",IF(P109="",O109,P109))</f>
        <v/>
      </c>
      <c r="R109" s="8">
        <f>IF(OR(Q109="",Q109="OVERSIZE"),"",Q109/1000)</f>
        <v/>
      </c>
      <c r="S109" s="8">
        <f>IF(R109="","",(1/Inputs!$B$9)*(PI()*R109^2/4)*((R109/4)^(2/3))*SQRT(N109))</f>
        <v/>
      </c>
      <c r="T109" s="8">
        <f>IF(OR(S109="",L109=""),"",L109/(S109*Inputs!$B$10))</f>
        <v/>
      </c>
      <c r="U109" s="8">
        <f>IF(OR(R109="",L109=""),"",4*L109/(PI()*R109^2))</f>
        <v/>
      </c>
      <c r="V109" s="8" t="n"/>
      <c r="W109" s="8">
        <f>IF(A109="","",IF(A109=Inputs!$B$6,Inputs!$B$22,IF(B109="","",IFERROR(INDEX($X$4:$X$203,MATCH(B109,$A$4:$A$203,0))+IF(V109="",Inputs!$B$20,V109),""))))</f>
        <v/>
      </c>
      <c r="X109" s="8">
        <f>IF(OR(W109="",N109="",C109=""),"",W109+N109*C109)</f>
        <v/>
      </c>
      <c r="Y109" s="8" t="n"/>
      <c r="Z109" s="8" t="n"/>
      <c r="AA109" s="8">
        <f>IF(OR(Y109="",W109=""),"",Y109-W109)</f>
        <v/>
      </c>
      <c r="AB109" s="8">
        <f>IF(OR(Z109="",X109=""),"",Z109-X109)</f>
        <v/>
      </c>
      <c r="AC109" s="4">
        <f>IF(A109="","",IF(OR(T109&gt;1,U109&lt;Inputs!$B$11,U109&gt;Inputs!$B$12,AA109&lt;Inputs!$B$19,AB109&lt;Inputs!$B$19,N109&lt;Inputs!$B$7,N109&gt;Inputs!$B$8),"CHECK","OK"))</f>
        <v/>
      </c>
      <c r="AD109" s="4">
        <f>IF(A109="","",(1/Inputs!$B$9)*(PI()*(Inputs!$F$5/1000)^2/4)*((Inputs!$F$5/1000/4)^(2/3))*SQRT(N109))</f>
        <v/>
      </c>
      <c r="AE109" s="4">
        <f>IF(A109="","",(1/Inputs!$B$9)*(PI()*(Inputs!$F$6/1000)^2/4)*((Inputs!$F$6/1000/4)^(2/3))*SQRT(N109))</f>
        <v/>
      </c>
      <c r="AF109" s="4">
        <f>IF(A109="","",(1/Inputs!$B$9)*(PI()*(Inputs!$F$7/1000)^2/4)*((Inputs!$F$7/1000/4)^(2/3))*SQRT(N109))</f>
        <v/>
      </c>
      <c r="AG109" s="4">
        <f>IF(A109="","",(1/Inputs!$B$9)*(PI()*(Inputs!$F$8/1000)^2/4)*((Inputs!$F$8/1000/4)^(2/3))*SQRT(N109))</f>
        <v/>
      </c>
      <c r="AH109" s="4">
        <f>IF(A109="","",(1/Inputs!$B$9)*(PI()*(Inputs!$F$9/1000)^2/4)*((Inputs!$F$9/1000/4)^(2/3))*SQRT(N109))</f>
        <v/>
      </c>
      <c r="AI109" s="4">
        <f>IF(A109="","",(1/Inputs!$B$9)*(PI()*(Inputs!$F$10/1000)^2/4)*((Inputs!$F$10/1000/4)^(2/3))*SQRT(N109))</f>
        <v/>
      </c>
      <c r="AJ109" s="4">
        <f>IF(A109="","",(1/Inputs!$B$9)*(PI()*(Inputs!$F$11/1000)^2/4)*((Inputs!$F$11/1000/4)^(2/3))*SQRT(N109))</f>
        <v/>
      </c>
      <c r="AK109" s="4">
        <f>IF(A109="","",(1/Inputs!$B$9)*(PI()*(Inputs!$F$12/1000)^2/4)*((Inputs!$F$12/1000/4)^(2/3))*SQRT(N109))</f>
        <v/>
      </c>
      <c r="AL109" s="4">
        <f>IF(A109="","",(1/Inputs!$B$9)*(PI()*(Inputs!$F$13/1000)^2/4)*((Inputs!$F$13/1000/4)^(2/3))*SQRT(N109))</f>
        <v/>
      </c>
      <c r="AM109" s="4">
        <f>IF(A109="","",(1/Inputs!$B$9)*(PI()*(Inputs!$F$14/1000)^2/4)*((Inputs!$F$14/1000/4)^(2/3))*SQRT(N109))</f>
        <v/>
      </c>
    </row>
    <row r="110">
      <c r="A110" s="4" t="n"/>
      <c r="B110" s="4" t="n"/>
      <c r="C110" s="8" t="n"/>
      <c r="D110" s="8" t="n"/>
      <c r="E110" s="8">
        <f>SUMIFS(CB_Tributaires!$C:$C,CB_Tributaires!$B:$B,$A110)</f>
        <v/>
      </c>
      <c r="F110" s="8">
        <f>IF(D110="",E110,D110)</f>
        <v/>
      </c>
      <c r="G110" s="4" t="n"/>
      <c r="H110" s="8" t="n"/>
      <c r="I110" s="8">
        <f>IF(A110="","",Inputs!$B$13/((IF(H110="",Inputs!$B$18,H110)+Inputs!$B$14)^Inputs!$B$15))</f>
        <v/>
      </c>
      <c r="J110" s="8">
        <f>IF(A110="","",0.00278*IF(G110="",Inputs!$B$17,G110)*F110*I110)</f>
        <v/>
      </c>
      <c r="K110" s="8">
        <f>IF(A110="","",SUMIFS($L$4:$L$203,$B$4:$B$203,$A110))</f>
        <v/>
      </c>
      <c r="L110" s="8">
        <f>IF(A110="","",(J110+K110)*Inputs!$B$16)</f>
        <v/>
      </c>
      <c r="M110" s="8" t="n"/>
      <c r="N110" s="8">
        <f>IF(A110="","",IF(M110="",Inputs!$B$7,M110))</f>
        <v/>
      </c>
      <c r="O110" s="4">
        <f>IF(A110="","",IF(L110/Inputs!$B$10&lt;=AD110,Inputs!$F$5,IF(L110/Inputs!$B$10&gt;AM110,"OVERSIZE",INDEX(Inputs!$F$5:$F$14,MATCH(L110/Inputs!$B$10,AD110:AM110,1)+1))))</f>
        <v/>
      </c>
      <c r="P110" s="4" t="n"/>
      <c r="Q110" s="4">
        <f>IF(A110="","",IF(P110="",O110,P110))</f>
        <v/>
      </c>
      <c r="R110" s="8">
        <f>IF(OR(Q110="",Q110="OVERSIZE"),"",Q110/1000)</f>
        <v/>
      </c>
      <c r="S110" s="8">
        <f>IF(R110="","",(1/Inputs!$B$9)*(PI()*R110^2/4)*((R110/4)^(2/3))*SQRT(N110))</f>
        <v/>
      </c>
      <c r="T110" s="8">
        <f>IF(OR(S110="",L110=""),"",L110/(S110*Inputs!$B$10))</f>
        <v/>
      </c>
      <c r="U110" s="8">
        <f>IF(OR(R110="",L110=""),"",4*L110/(PI()*R110^2))</f>
        <v/>
      </c>
      <c r="V110" s="8" t="n"/>
      <c r="W110" s="8">
        <f>IF(A110="","",IF(A110=Inputs!$B$6,Inputs!$B$22,IF(B110="","",IFERROR(INDEX($X$4:$X$203,MATCH(B110,$A$4:$A$203,0))+IF(V110="",Inputs!$B$20,V110),""))))</f>
        <v/>
      </c>
      <c r="X110" s="8">
        <f>IF(OR(W110="",N110="",C110=""),"",W110+N110*C110)</f>
        <v/>
      </c>
      <c r="Y110" s="8" t="n"/>
      <c r="Z110" s="8" t="n"/>
      <c r="AA110" s="8">
        <f>IF(OR(Y110="",W110=""),"",Y110-W110)</f>
        <v/>
      </c>
      <c r="AB110" s="8">
        <f>IF(OR(Z110="",X110=""),"",Z110-X110)</f>
        <v/>
      </c>
      <c r="AC110" s="4">
        <f>IF(A110="","",IF(OR(T110&gt;1,U110&lt;Inputs!$B$11,U110&gt;Inputs!$B$12,AA110&lt;Inputs!$B$19,AB110&lt;Inputs!$B$19,N110&lt;Inputs!$B$7,N110&gt;Inputs!$B$8),"CHECK","OK"))</f>
        <v/>
      </c>
      <c r="AD110" s="4">
        <f>IF(A110="","",(1/Inputs!$B$9)*(PI()*(Inputs!$F$5/1000)^2/4)*((Inputs!$F$5/1000/4)^(2/3))*SQRT(N110))</f>
        <v/>
      </c>
      <c r="AE110" s="4">
        <f>IF(A110="","",(1/Inputs!$B$9)*(PI()*(Inputs!$F$6/1000)^2/4)*((Inputs!$F$6/1000/4)^(2/3))*SQRT(N110))</f>
        <v/>
      </c>
      <c r="AF110" s="4">
        <f>IF(A110="","",(1/Inputs!$B$9)*(PI()*(Inputs!$F$7/1000)^2/4)*((Inputs!$F$7/1000/4)^(2/3))*SQRT(N110))</f>
        <v/>
      </c>
      <c r="AG110" s="4">
        <f>IF(A110="","",(1/Inputs!$B$9)*(PI()*(Inputs!$F$8/1000)^2/4)*((Inputs!$F$8/1000/4)^(2/3))*SQRT(N110))</f>
        <v/>
      </c>
      <c r="AH110" s="4">
        <f>IF(A110="","",(1/Inputs!$B$9)*(PI()*(Inputs!$F$9/1000)^2/4)*((Inputs!$F$9/1000/4)^(2/3))*SQRT(N110))</f>
        <v/>
      </c>
      <c r="AI110" s="4">
        <f>IF(A110="","",(1/Inputs!$B$9)*(PI()*(Inputs!$F$10/1000)^2/4)*((Inputs!$F$10/1000/4)^(2/3))*SQRT(N110))</f>
        <v/>
      </c>
      <c r="AJ110" s="4">
        <f>IF(A110="","",(1/Inputs!$B$9)*(PI()*(Inputs!$F$11/1000)^2/4)*((Inputs!$F$11/1000/4)^(2/3))*SQRT(N110))</f>
        <v/>
      </c>
      <c r="AK110" s="4">
        <f>IF(A110="","",(1/Inputs!$B$9)*(PI()*(Inputs!$F$12/1000)^2/4)*((Inputs!$F$12/1000/4)^(2/3))*SQRT(N110))</f>
        <v/>
      </c>
      <c r="AL110" s="4">
        <f>IF(A110="","",(1/Inputs!$B$9)*(PI()*(Inputs!$F$13/1000)^2/4)*((Inputs!$F$13/1000/4)^(2/3))*SQRT(N110))</f>
        <v/>
      </c>
      <c r="AM110" s="4">
        <f>IF(A110="","",(1/Inputs!$B$9)*(PI()*(Inputs!$F$14/1000)^2/4)*((Inputs!$F$14/1000/4)^(2/3))*SQRT(N110))</f>
        <v/>
      </c>
    </row>
    <row r="111">
      <c r="A111" s="4" t="n"/>
      <c r="B111" s="4" t="n"/>
      <c r="C111" s="8" t="n"/>
      <c r="D111" s="8" t="n"/>
      <c r="E111" s="8">
        <f>SUMIFS(CB_Tributaires!$C:$C,CB_Tributaires!$B:$B,$A111)</f>
        <v/>
      </c>
      <c r="F111" s="8">
        <f>IF(D111="",E111,D111)</f>
        <v/>
      </c>
      <c r="G111" s="4" t="n"/>
      <c r="H111" s="8" t="n"/>
      <c r="I111" s="8">
        <f>IF(A111="","",Inputs!$B$13/((IF(H111="",Inputs!$B$18,H111)+Inputs!$B$14)^Inputs!$B$15))</f>
        <v/>
      </c>
      <c r="J111" s="8">
        <f>IF(A111="","",0.00278*IF(G111="",Inputs!$B$17,G111)*F111*I111)</f>
        <v/>
      </c>
      <c r="K111" s="8">
        <f>IF(A111="","",SUMIFS($L$4:$L$203,$B$4:$B$203,$A111))</f>
        <v/>
      </c>
      <c r="L111" s="8">
        <f>IF(A111="","",(J111+K111)*Inputs!$B$16)</f>
        <v/>
      </c>
      <c r="M111" s="8" t="n"/>
      <c r="N111" s="8">
        <f>IF(A111="","",IF(M111="",Inputs!$B$7,M111))</f>
        <v/>
      </c>
      <c r="O111" s="4">
        <f>IF(A111="","",IF(L111/Inputs!$B$10&lt;=AD111,Inputs!$F$5,IF(L111/Inputs!$B$10&gt;AM111,"OVERSIZE",INDEX(Inputs!$F$5:$F$14,MATCH(L111/Inputs!$B$10,AD111:AM111,1)+1))))</f>
        <v/>
      </c>
      <c r="P111" s="4" t="n"/>
      <c r="Q111" s="4">
        <f>IF(A111="","",IF(P111="",O111,P111))</f>
        <v/>
      </c>
      <c r="R111" s="8">
        <f>IF(OR(Q111="",Q111="OVERSIZE"),"",Q111/1000)</f>
        <v/>
      </c>
      <c r="S111" s="8">
        <f>IF(R111="","",(1/Inputs!$B$9)*(PI()*R111^2/4)*((R111/4)^(2/3))*SQRT(N111))</f>
        <v/>
      </c>
      <c r="T111" s="8">
        <f>IF(OR(S111="",L111=""),"",L111/(S111*Inputs!$B$10))</f>
        <v/>
      </c>
      <c r="U111" s="8">
        <f>IF(OR(R111="",L111=""),"",4*L111/(PI()*R111^2))</f>
        <v/>
      </c>
      <c r="V111" s="8" t="n"/>
      <c r="W111" s="8">
        <f>IF(A111="","",IF(A111=Inputs!$B$6,Inputs!$B$22,IF(B111="","",IFERROR(INDEX($X$4:$X$203,MATCH(B111,$A$4:$A$203,0))+IF(V111="",Inputs!$B$20,V111),""))))</f>
        <v/>
      </c>
      <c r="X111" s="8">
        <f>IF(OR(W111="",N111="",C111=""),"",W111+N111*C111)</f>
        <v/>
      </c>
      <c r="Y111" s="8" t="n"/>
      <c r="Z111" s="8" t="n"/>
      <c r="AA111" s="8">
        <f>IF(OR(Y111="",W111=""),"",Y111-W111)</f>
        <v/>
      </c>
      <c r="AB111" s="8">
        <f>IF(OR(Z111="",X111=""),"",Z111-X111)</f>
        <v/>
      </c>
      <c r="AC111" s="4">
        <f>IF(A111="","",IF(OR(T111&gt;1,U111&lt;Inputs!$B$11,U111&gt;Inputs!$B$12,AA111&lt;Inputs!$B$19,AB111&lt;Inputs!$B$19,N111&lt;Inputs!$B$7,N111&gt;Inputs!$B$8),"CHECK","OK"))</f>
        <v/>
      </c>
      <c r="AD111" s="4">
        <f>IF(A111="","",(1/Inputs!$B$9)*(PI()*(Inputs!$F$5/1000)^2/4)*((Inputs!$F$5/1000/4)^(2/3))*SQRT(N111))</f>
        <v/>
      </c>
      <c r="AE111" s="4">
        <f>IF(A111="","",(1/Inputs!$B$9)*(PI()*(Inputs!$F$6/1000)^2/4)*((Inputs!$F$6/1000/4)^(2/3))*SQRT(N111))</f>
        <v/>
      </c>
      <c r="AF111" s="4">
        <f>IF(A111="","",(1/Inputs!$B$9)*(PI()*(Inputs!$F$7/1000)^2/4)*((Inputs!$F$7/1000/4)^(2/3))*SQRT(N111))</f>
        <v/>
      </c>
      <c r="AG111" s="4">
        <f>IF(A111="","",(1/Inputs!$B$9)*(PI()*(Inputs!$F$8/1000)^2/4)*((Inputs!$F$8/1000/4)^(2/3))*SQRT(N111))</f>
        <v/>
      </c>
      <c r="AH111" s="4">
        <f>IF(A111="","",(1/Inputs!$B$9)*(PI()*(Inputs!$F$9/1000)^2/4)*((Inputs!$F$9/1000/4)^(2/3))*SQRT(N111))</f>
        <v/>
      </c>
      <c r="AI111" s="4">
        <f>IF(A111="","",(1/Inputs!$B$9)*(PI()*(Inputs!$F$10/1000)^2/4)*((Inputs!$F$10/1000/4)^(2/3))*SQRT(N111))</f>
        <v/>
      </c>
      <c r="AJ111" s="4">
        <f>IF(A111="","",(1/Inputs!$B$9)*(PI()*(Inputs!$F$11/1000)^2/4)*((Inputs!$F$11/1000/4)^(2/3))*SQRT(N111))</f>
        <v/>
      </c>
      <c r="AK111" s="4">
        <f>IF(A111="","",(1/Inputs!$B$9)*(PI()*(Inputs!$F$12/1000)^2/4)*((Inputs!$F$12/1000/4)^(2/3))*SQRT(N111))</f>
        <v/>
      </c>
      <c r="AL111" s="4">
        <f>IF(A111="","",(1/Inputs!$B$9)*(PI()*(Inputs!$F$13/1000)^2/4)*((Inputs!$F$13/1000/4)^(2/3))*SQRT(N111))</f>
        <v/>
      </c>
      <c r="AM111" s="4">
        <f>IF(A111="","",(1/Inputs!$B$9)*(PI()*(Inputs!$F$14/1000)^2/4)*((Inputs!$F$14/1000/4)^(2/3))*SQRT(N111))</f>
        <v/>
      </c>
    </row>
    <row r="112">
      <c r="A112" s="4" t="n"/>
      <c r="B112" s="4" t="n"/>
      <c r="C112" s="8" t="n"/>
      <c r="D112" s="8" t="n"/>
      <c r="E112" s="8">
        <f>SUMIFS(CB_Tributaires!$C:$C,CB_Tributaires!$B:$B,$A112)</f>
        <v/>
      </c>
      <c r="F112" s="8">
        <f>IF(D112="",E112,D112)</f>
        <v/>
      </c>
      <c r="G112" s="4" t="n"/>
      <c r="H112" s="8" t="n"/>
      <c r="I112" s="8">
        <f>IF(A112="","",Inputs!$B$13/((IF(H112="",Inputs!$B$18,H112)+Inputs!$B$14)^Inputs!$B$15))</f>
        <v/>
      </c>
      <c r="J112" s="8">
        <f>IF(A112="","",0.00278*IF(G112="",Inputs!$B$17,G112)*F112*I112)</f>
        <v/>
      </c>
      <c r="K112" s="8">
        <f>IF(A112="","",SUMIFS($L$4:$L$203,$B$4:$B$203,$A112))</f>
        <v/>
      </c>
      <c r="L112" s="8">
        <f>IF(A112="","",(J112+K112)*Inputs!$B$16)</f>
        <v/>
      </c>
      <c r="M112" s="8" t="n"/>
      <c r="N112" s="8">
        <f>IF(A112="","",IF(M112="",Inputs!$B$7,M112))</f>
        <v/>
      </c>
      <c r="O112" s="4">
        <f>IF(A112="","",IF(L112/Inputs!$B$10&lt;=AD112,Inputs!$F$5,IF(L112/Inputs!$B$10&gt;AM112,"OVERSIZE",INDEX(Inputs!$F$5:$F$14,MATCH(L112/Inputs!$B$10,AD112:AM112,1)+1))))</f>
        <v/>
      </c>
      <c r="P112" s="4" t="n"/>
      <c r="Q112" s="4">
        <f>IF(A112="","",IF(P112="",O112,P112))</f>
        <v/>
      </c>
      <c r="R112" s="8">
        <f>IF(OR(Q112="",Q112="OVERSIZE"),"",Q112/1000)</f>
        <v/>
      </c>
      <c r="S112" s="8">
        <f>IF(R112="","",(1/Inputs!$B$9)*(PI()*R112^2/4)*((R112/4)^(2/3))*SQRT(N112))</f>
        <v/>
      </c>
      <c r="T112" s="8">
        <f>IF(OR(S112="",L112=""),"",L112/(S112*Inputs!$B$10))</f>
        <v/>
      </c>
      <c r="U112" s="8">
        <f>IF(OR(R112="",L112=""),"",4*L112/(PI()*R112^2))</f>
        <v/>
      </c>
      <c r="V112" s="8" t="n"/>
      <c r="W112" s="8">
        <f>IF(A112="","",IF(A112=Inputs!$B$6,Inputs!$B$22,IF(B112="","",IFERROR(INDEX($X$4:$X$203,MATCH(B112,$A$4:$A$203,0))+IF(V112="",Inputs!$B$20,V112),""))))</f>
        <v/>
      </c>
      <c r="X112" s="8">
        <f>IF(OR(W112="",N112="",C112=""),"",W112+N112*C112)</f>
        <v/>
      </c>
      <c r="Y112" s="8" t="n"/>
      <c r="Z112" s="8" t="n"/>
      <c r="AA112" s="8">
        <f>IF(OR(Y112="",W112=""),"",Y112-W112)</f>
        <v/>
      </c>
      <c r="AB112" s="8">
        <f>IF(OR(Z112="",X112=""),"",Z112-X112)</f>
        <v/>
      </c>
      <c r="AC112" s="4">
        <f>IF(A112="","",IF(OR(T112&gt;1,U112&lt;Inputs!$B$11,U112&gt;Inputs!$B$12,AA112&lt;Inputs!$B$19,AB112&lt;Inputs!$B$19,N112&lt;Inputs!$B$7,N112&gt;Inputs!$B$8),"CHECK","OK"))</f>
        <v/>
      </c>
      <c r="AD112" s="4">
        <f>IF(A112="","",(1/Inputs!$B$9)*(PI()*(Inputs!$F$5/1000)^2/4)*((Inputs!$F$5/1000/4)^(2/3))*SQRT(N112))</f>
        <v/>
      </c>
      <c r="AE112" s="4">
        <f>IF(A112="","",(1/Inputs!$B$9)*(PI()*(Inputs!$F$6/1000)^2/4)*((Inputs!$F$6/1000/4)^(2/3))*SQRT(N112))</f>
        <v/>
      </c>
      <c r="AF112" s="4">
        <f>IF(A112="","",(1/Inputs!$B$9)*(PI()*(Inputs!$F$7/1000)^2/4)*((Inputs!$F$7/1000/4)^(2/3))*SQRT(N112))</f>
        <v/>
      </c>
      <c r="AG112" s="4">
        <f>IF(A112="","",(1/Inputs!$B$9)*(PI()*(Inputs!$F$8/1000)^2/4)*((Inputs!$F$8/1000/4)^(2/3))*SQRT(N112))</f>
        <v/>
      </c>
      <c r="AH112" s="4">
        <f>IF(A112="","",(1/Inputs!$B$9)*(PI()*(Inputs!$F$9/1000)^2/4)*((Inputs!$F$9/1000/4)^(2/3))*SQRT(N112))</f>
        <v/>
      </c>
      <c r="AI112" s="4">
        <f>IF(A112="","",(1/Inputs!$B$9)*(PI()*(Inputs!$F$10/1000)^2/4)*((Inputs!$F$10/1000/4)^(2/3))*SQRT(N112))</f>
        <v/>
      </c>
      <c r="AJ112" s="4">
        <f>IF(A112="","",(1/Inputs!$B$9)*(PI()*(Inputs!$F$11/1000)^2/4)*((Inputs!$F$11/1000/4)^(2/3))*SQRT(N112))</f>
        <v/>
      </c>
      <c r="AK112" s="4">
        <f>IF(A112="","",(1/Inputs!$B$9)*(PI()*(Inputs!$F$12/1000)^2/4)*((Inputs!$F$12/1000/4)^(2/3))*SQRT(N112))</f>
        <v/>
      </c>
      <c r="AL112" s="4">
        <f>IF(A112="","",(1/Inputs!$B$9)*(PI()*(Inputs!$F$13/1000)^2/4)*((Inputs!$F$13/1000/4)^(2/3))*SQRT(N112))</f>
        <v/>
      </c>
      <c r="AM112" s="4">
        <f>IF(A112="","",(1/Inputs!$B$9)*(PI()*(Inputs!$F$14/1000)^2/4)*((Inputs!$F$14/1000/4)^(2/3))*SQRT(N112))</f>
        <v/>
      </c>
    </row>
    <row r="113">
      <c r="A113" s="4" t="n"/>
      <c r="B113" s="4" t="n"/>
      <c r="C113" s="8" t="n"/>
      <c r="D113" s="8" t="n"/>
      <c r="E113" s="8">
        <f>SUMIFS(CB_Tributaires!$C:$C,CB_Tributaires!$B:$B,$A113)</f>
        <v/>
      </c>
      <c r="F113" s="8">
        <f>IF(D113="",E113,D113)</f>
        <v/>
      </c>
      <c r="G113" s="4" t="n"/>
      <c r="H113" s="8" t="n"/>
      <c r="I113" s="8">
        <f>IF(A113="","",Inputs!$B$13/((IF(H113="",Inputs!$B$18,H113)+Inputs!$B$14)^Inputs!$B$15))</f>
        <v/>
      </c>
      <c r="J113" s="8">
        <f>IF(A113="","",0.00278*IF(G113="",Inputs!$B$17,G113)*F113*I113)</f>
        <v/>
      </c>
      <c r="K113" s="8">
        <f>IF(A113="","",SUMIFS($L$4:$L$203,$B$4:$B$203,$A113))</f>
        <v/>
      </c>
      <c r="L113" s="8">
        <f>IF(A113="","",(J113+K113)*Inputs!$B$16)</f>
        <v/>
      </c>
      <c r="M113" s="8" t="n"/>
      <c r="N113" s="8">
        <f>IF(A113="","",IF(M113="",Inputs!$B$7,M113))</f>
        <v/>
      </c>
      <c r="O113" s="4">
        <f>IF(A113="","",IF(L113/Inputs!$B$10&lt;=AD113,Inputs!$F$5,IF(L113/Inputs!$B$10&gt;AM113,"OVERSIZE",INDEX(Inputs!$F$5:$F$14,MATCH(L113/Inputs!$B$10,AD113:AM113,1)+1))))</f>
        <v/>
      </c>
      <c r="P113" s="4" t="n"/>
      <c r="Q113" s="4">
        <f>IF(A113="","",IF(P113="",O113,P113))</f>
        <v/>
      </c>
      <c r="R113" s="8">
        <f>IF(OR(Q113="",Q113="OVERSIZE"),"",Q113/1000)</f>
        <v/>
      </c>
      <c r="S113" s="8">
        <f>IF(R113="","",(1/Inputs!$B$9)*(PI()*R113^2/4)*((R113/4)^(2/3))*SQRT(N113))</f>
        <v/>
      </c>
      <c r="T113" s="8">
        <f>IF(OR(S113="",L113=""),"",L113/(S113*Inputs!$B$10))</f>
        <v/>
      </c>
      <c r="U113" s="8">
        <f>IF(OR(R113="",L113=""),"",4*L113/(PI()*R113^2))</f>
        <v/>
      </c>
      <c r="V113" s="8" t="n"/>
      <c r="W113" s="8">
        <f>IF(A113="","",IF(A113=Inputs!$B$6,Inputs!$B$22,IF(B113="","",IFERROR(INDEX($X$4:$X$203,MATCH(B113,$A$4:$A$203,0))+IF(V113="",Inputs!$B$20,V113),""))))</f>
        <v/>
      </c>
      <c r="X113" s="8">
        <f>IF(OR(W113="",N113="",C113=""),"",W113+N113*C113)</f>
        <v/>
      </c>
      <c r="Y113" s="8" t="n"/>
      <c r="Z113" s="8" t="n"/>
      <c r="AA113" s="8">
        <f>IF(OR(Y113="",W113=""),"",Y113-W113)</f>
        <v/>
      </c>
      <c r="AB113" s="8">
        <f>IF(OR(Z113="",X113=""),"",Z113-X113)</f>
        <v/>
      </c>
      <c r="AC113" s="4">
        <f>IF(A113="","",IF(OR(T113&gt;1,U113&lt;Inputs!$B$11,U113&gt;Inputs!$B$12,AA113&lt;Inputs!$B$19,AB113&lt;Inputs!$B$19,N113&lt;Inputs!$B$7,N113&gt;Inputs!$B$8),"CHECK","OK"))</f>
        <v/>
      </c>
      <c r="AD113" s="4">
        <f>IF(A113="","",(1/Inputs!$B$9)*(PI()*(Inputs!$F$5/1000)^2/4)*((Inputs!$F$5/1000/4)^(2/3))*SQRT(N113))</f>
        <v/>
      </c>
      <c r="AE113" s="4">
        <f>IF(A113="","",(1/Inputs!$B$9)*(PI()*(Inputs!$F$6/1000)^2/4)*((Inputs!$F$6/1000/4)^(2/3))*SQRT(N113))</f>
        <v/>
      </c>
      <c r="AF113" s="4">
        <f>IF(A113="","",(1/Inputs!$B$9)*(PI()*(Inputs!$F$7/1000)^2/4)*((Inputs!$F$7/1000/4)^(2/3))*SQRT(N113))</f>
        <v/>
      </c>
      <c r="AG113" s="4">
        <f>IF(A113="","",(1/Inputs!$B$9)*(PI()*(Inputs!$F$8/1000)^2/4)*((Inputs!$F$8/1000/4)^(2/3))*SQRT(N113))</f>
        <v/>
      </c>
      <c r="AH113" s="4">
        <f>IF(A113="","",(1/Inputs!$B$9)*(PI()*(Inputs!$F$9/1000)^2/4)*((Inputs!$F$9/1000/4)^(2/3))*SQRT(N113))</f>
        <v/>
      </c>
      <c r="AI113" s="4">
        <f>IF(A113="","",(1/Inputs!$B$9)*(PI()*(Inputs!$F$10/1000)^2/4)*((Inputs!$F$10/1000/4)^(2/3))*SQRT(N113))</f>
        <v/>
      </c>
      <c r="AJ113" s="4">
        <f>IF(A113="","",(1/Inputs!$B$9)*(PI()*(Inputs!$F$11/1000)^2/4)*((Inputs!$F$11/1000/4)^(2/3))*SQRT(N113))</f>
        <v/>
      </c>
      <c r="AK113" s="4">
        <f>IF(A113="","",(1/Inputs!$B$9)*(PI()*(Inputs!$F$12/1000)^2/4)*((Inputs!$F$12/1000/4)^(2/3))*SQRT(N113))</f>
        <v/>
      </c>
      <c r="AL113" s="4">
        <f>IF(A113="","",(1/Inputs!$B$9)*(PI()*(Inputs!$F$13/1000)^2/4)*((Inputs!$F$13/1000/4)^(2/3))*SQRT(N113))</f>
        <v/>
      </c>
      <c r="AM113" s="4">
        <f>IF(A113="","",(1/Inputs!$B$9)*(PI()*(Inputs!$F$14/1000)^2/4)*((Inputs!$F$14/1000/4)^(2/3))*SQRT(N113))</f>
        <v/>
      </c>
    </row>
    <row r="114">
      <c r="A114" s="4" t="n"/>
      <c r="B114" s="4" t="n"/>
      <c r="C114" s="8" t="n"/>
      <c r="D114" s="8" t="n"/>
      <c r="E114" s="8">
        <f>SUMIFS(CB_Tributaires!$C:$C,CB_Tributaires!$B:$B,$A114)</f>
        <v/>
      </c>
      <c r="F114" s="8">
        <f>IF(D114="",E114,D114)</f>
        <v/>
      </c>
      <c r="G114" s="4" t="n"/>
      <c r="H114" s="8" t="n"/>
      <c r="I114" s="8">
        <f>IF(A114="","",Inputs!$B$13/((IF(H114="",Inputs!$B$18,H114)+Inputs!$B$14)^Inputs!$B$15))</f>
        <v/>
      </c>
      <c r="J114" s="8">
        <f>IF(A114="","",0.00278*IF(G114="",Inputs!$B$17,G114)*F114*I114)</f>
        <v/>
      </c>
      <c r="K114" s="8">
        <f>IF(A114="","",SUMIFS($L$4:$L$203,$B$4:$B$203,$A114))</f>
        <v/>
      </c>
      <c r="L114" s="8">
        <f>IF(A114="","",(J114+K114)*Inputs!$B$16)</f>
        <v/>
      </c>
      <c r="M114" s="8" t="n"/>
      <c r="N114" s="8">
        <f>IF(A114="","",IF(M114="",Inputs!$B$7,M114))</f>
        <v/>
      </c>
      <c r="O114" s="4">
        <f>IF(A114="","",IF(L114/Inputs!$B$10&lt;=AD114,Inputs!$F$5,IF(L114/Inputs!$B$10&gt;AM114,"OVERSIZE",INDEX(Inputs!$F$5:$F$14,MATCH(L114/Inputs!$B$10,AD114:AM114,1)+1))))</f>
        <v/>
      </c>
      <c r="P114" s="4" t="n"/>
      <c r="Q114" s="4">
        <f>IF(A114="","",IF(P114="",O114,P114))</f>
        <v/>
      </c>
      <c r="R114" s="8">
        <f>IF(OR(Q114="",Q114="OVERSIZE"),"",Q114/1000)</f>
        <v/>
      </c>
      <c r="S114" s="8">
        <f>IF(R114="","",(1/Inputs!$B$9)*(PI()*R114^2/4)*((R114/4)^(2/3))*SQRT(N114))</f>
        <v/>
      </c>
      <c r="T114" s="8">
        <f>IF(OR(S114="",L114=""),"",L114/(S114*Inputs!$B$10))</f>
        <v/>
      </c>
      <c r="U114" s="8">
        <f>IF(OR(R114="",L114=""),"",4*L114/(PI()*R114^2))</f>
        <v/>
      </c>
      <c r="V114" s="8" t="n"/>
      <c r="W114" s="8">
        <f>IF(A114="","",IF(A114=Inputs!$B$6,Inputs!$B$22,IF(B114="","",IFERROR(INDEX($X$4:$X$203,MATCH(B114,$A$4:$A$203,0))+IF(V114="",Inputs!$B$20,V114),""))))</f>
        <v/>
      </c>
      <c r="X114" s="8">
        <f>IF(OR(W114="",N114="",C114=""),"",W114+N114*C114)</f>
        <v/>
      </c>
      <c r="Y114" s="8" t="n"/>
      <c r="Z114" s="8" t="n"/>
      <c r="AA114" s="8">
        <f>IF(OR(Y114="",W114=""),"",Y114-W114)</f>
        <v/>
      </c>
      <c r="AB114" s="8">
        <f>IF(OR(Z114="",X114=""),"",Z114-X114)</f>
        <v/>
      </c>
      <c r="AC114" s="4">
        <f>IF(A114="","",IF(OR(T114&gt;1,U114&lt;Inputs!$B$11,U114&gt;Inputs!$B$12,AA114&lt;Inputs!$B$19,AB114&lt;Inputs!$B$19,N114&lt;Inputs!$B$7,N114&gt;Inputs!$B$8),"CHECK","OK"))</f>
        <v/>
      </c>
      <c r="AD114" s="4">
        <f>IF(A114="","",(1/Inputs!$B$9)*(PI()*(Inputs!$F$5/1000)^2/4)*((Inputs!$F$5/1000/4)^(2/3))*SQRT(N114))</f>
        <v/>
      </c>
      <c r="AE114" s="4">
        <f>IF(A114="","",(1/Inputs!$B$9)*(PI()*(Inputs!$F$6/1000)^2/4)*((Inputs!$F$6/1000/4)^(2/3))*SQRT(N114))</f>
        <v/>
      </c>
      <c r="AF114" s="4">
        <f>IF(A114="","",(1/Inputs!$B$9)*(PI()*(Inputs!$F$7/1000)^2/4)*((Inputs!$F$7/1000/4)^(2/3))*SQRT(N114))</f>
        <v/>
      </c>
      <c r="AG114" s="4">
        <f>IF(A114="","",(1/Inputs!$B$9)*(PI()*(Inputs!$F$8/1000)^2/4)*((Inputs!$F$8/1000/4)^(2/3))*SQRT(N114))</f>
        <v/>
      </c>
      <c r="AH114" s="4">
        <f>IF(A114="","",(1/Inputs!$B$9)*(PI()*(Inputs!$F$9/1000)^2/4)*((Inputs!$F$9/1000/4)^(2/3))*SQRT(N114))</f>
        <v/>
      </c>
      <c r="AI114" s="4">
        <f>IF(A114="","",(1/Inputs!$B$9)*(PI()*(Inputs!$F$10/1000)^2/4)*((Inputs!$F$10/1000/4)^(2/3))*SQRT(N114))</f>
        <v/>
      </c>
      <c r="AJ114" s="4">
        <f>IF(A114="","",(1/Inputs!$B$9)*(PI()*(Inputs!$F$11/1000)^2/4)*((Inputs!$F$11/1000/4)^(2/3))*SQRT(N114))</f>
        <v/>
      </c>
      <c r="AK114" s="4">
        <f>IF(A114="","",(1/Inputs!$B$9)*(PI()*(Inputs!$F$12/1000)^2/4)*((Inputs!$F$12/1000/4)^(2/3))*SQRT(N114))</f>
        <v/>
      </c>
      <c r="AL114" s="4">
        <f>IF(A114="","",(1/Inputs!$B$9)*(PI()*(Inputs!$F$13/1000)^2/4)*((Inputs!$F$13/1000/4)^(2/3))*SQRT(N114))</f>
        <v/>
      </c>
      <c r="AM114" s="4">
        <f>IF(A114="","",(1/Inputs!$B$9)*(PI()*(Inputs!$F$14/1000)^2/4)*((Inputs!$F$14/1000/4)^(2/3))*SQRT(N114))</f>
        <v/>
      </c>
    </row>
    <row r="115">
      <c r="A115" s="4" t="n"/>
      <c r="B115" s="4" t="n"/>
      <c r="C115" s="8" t="n"/>
      <c r="D115" s="8" t="n"/>
      <c r="E115" s="8">
        <f>SUMIFS(CB_Tributaires!$C:$C,CB_Tributaires!$B:$B,$A115)</f>
        <v/>
      </c>
      <c r="F115" s="8">
        <f>IF(D115="",E115,D115)</f>
        <v/>
      </c>
      <c r="G115" s="4" t="n"/>
      <c r="H115" s="8" t="n"/>
      <c r="I115" s="8">
        <f>IF(A115="","",Inputs!$B$13/((IF(H115="",Inputs!$B$18,H115)+Inputs!$B$14)^Inputs!$B$15))</f>
        <v/>
      </c>
      <c r="J115" s="8">
        <f>IF(A115="","",0.00278*IF(G115="",Inputs!$B$17,G115)*F115*I115)</f>
        <v/>
      </c>
      <c r="K115" s="8">
        <f>IF(A115="","",SUMIFS($L$4:$L$203,$B$4:$B$203,$A115))</f>
        <v/>
      </c>
      <c r="L115" s="8">
        <f>IF(A115="","",(J115+K115)*Inputs!$B$16)</f>
        <v/>
      </c>
      <c r="M115" s="8" t="n"/>
      <c r="N115" s="8">
        <f>IF(A115="","",IF(M115="",Inputs!$B$7,M115))</f>
        <v/>
      </c>
      <c r="O115" s="4">
        <f>IF(A115="","",IF(L115/Inputs!$B$10&lt;=AD115,Inputs!$F$5,IF(L115/Inputs!$B$10&gt;AM115,"OVERSIZE",INDEX(Inputs!$F$5:$F$14,MATCH(L115/Inputs!$B$10,AD115:AM115,1)+1))))</f>
        <v/>
      </c>
      <c r="P115" s="4" t="n"/>
      <c r="Q115" s="4">
        <f>IF(A115="","",IF(P115="",O115,P115))</f>
        <v/>
      </c>
      <c r="R115" s="8">
        <f>IF(OR(Q115="",Q115="OVERSIZE"),"",Q115/1000)</f>
        <v/>
      </c>
      <c r="S115" s="8">
        <f>IF(R115="","",(1/Inputs!$B$9)*(PI()*R115^2/4)*((R115/4)^(2/3))*SQRT(N115))</f>
        <v/>
      </c>
      <c r="T115" s="8">
        <f>IF(OR(S115="",L115=""),"",L115/(S115*Inputs!$B$10))</f>
        <v/>
      </c>
      <c r="U115" s="8">
        <f>IF(OR(R115="",L115=""),"",4*L115/(PI()*R115^2))</f>
        <v/>
      </c>
      <c r="V115" s="8" t="n"/>
      <c r="W115" s="8">
        <f>IF(A115="","",IF(A115=Inputs!$B$6,Inputs!$B$22,IF(B115="","",IFERROR(INDEX($X$4:$X$203,MATCH(B115,$A$4:$A$203,0))+IF(V115="",Inputs!$B$20,V115),""))))</f>
        <v/>
      </c>
      <c r="X115" s="8">
        <f>IF(OR(W115="",N115="",C115=""),"",W115+N115*C115)</f>
        <v/>
      </c>
      <c r="Y115" s="8" t="n"/>
      <c r="Z115" s="8" t="n"/>
      <c r="AA115" s="8">
        <f>IF(OR(Y115="",W115=""),"",Y115-W115)</f>
        <v/>
      </c>
      <c r="AB115" s="8">
        <f>IF(OR(Z115="",X115=""),"",Z115-X115)</f>
        <v/>
      </c>
      <c r="AC115" s="4">
        <f>IF(A115="","",IF(OR(T115&gt;1,U115&lt;Inputs!$B$11,U115&gt;Inputs!$B$12,AA115&lt;Inputs!$B$19,AB115&lt;Inputs!$B$19,N115&lt;Inputs!$B$7,N115&gt;Inputs!$B$8),"CHECK","OK"))</f>
        <v/>
      </c>
      <c r="AD115" s="4">
        <f>IF(A115="","",(1/Inputs!$B$9)*(PI()*(Inputs!$F$5/1000)^2/4)*((Inputs!$F$5/1000/4)^(2/3))*SQRT(N115))</f>
        <v/>
      </c>
      <c r="AE115" s="4">
        <f>IF(A115="","",(1/Inputs!$B$9)*(PI()*(Inputs!$F$6/1000)^2/4)*((Inputs!$F$6/1000/4)^(2/3))*SQRT(N115))</f>
        <v/>
      </c>
      <c r="AF115" s="4">
        <f>IF(A115="","",(1/Inputs!$B$9)*(PI()*(Inputs!$F$7/1000)^2/4)*((Inputs!$F$7/1000/4)^(2/3))*SQRT(N115))</f>
        <v/>
      </c>
      <c r="AG115" s="4">
        <f>IF(A115="","",(1/Inputs!$B$9)*(PI()*(Inputs!$F$8/1000)^2/4)*((Inputs!$F$8/1000/4)^(2/3))*SQRT(N115))</f>
        <v/>
      </c>
      <c r="AH115" s="4">
        <f>IF(A115="","",(1/Inputs!$B$9)*(PI()*(Inputs!$F$9/1000)^2/4)*((Inputs!$F$9/1000/4)^(2/3))*SQRT(N115))</f>
        <v/>
      </c>
      <c r="AI115" s="4">
        <f>IF(A115="","",(1/Inputs!$B$9)*(PI()*(Inputs!$F$10/1000)^2/4)*((Inputs!$F$10/1000/4)^(2/3))*SQRT(N115))</f>
        <v/>
      </c>
      <c r="AJ115" s="4">
        <f>IF(A115="","",(1/Inputs!$B$9)*(PI()*(Inputs!$F$11/1000)^2/4)*((Inputs!$F$11/1000/4)^(2/3))*SQRT(N115))</f>
        <v/>
      </c>
      <c r="AK115" s="4">
        <f>IF(A115="","",(1/Inputs!$B$9)*(PI()*(Inputs!$F$12/1000)^2/4)*((Inputs!$F$12/1000/4)^(2/3))*SQRT(N115))</f>
        <v/>
      </c>
      <c r="AL115" s="4">
        <f>IF(A115="","",(1/Inputs!$B$9)*(PI()*(Inputs!$F$13/1000)^2/4)*((Inputs!$F$13/1000/4)^(2/3))*SQRT(N115))</f>
        <v/>
      </c>
      <c r="AM115" s="4">
        <f>IF(A115="","",(1/Inputs!$B$9)*(PI()*(Inputs!$F$14/1000)^2/4)*((Inputs!$F$14/1000/4)^(2/3))*SQRT(N115))</f>
        <v/>
      </c>
    </row>
    <row r="116">
      <c r="A116" s="4" t="n"/>
      <c r="B116" s="4" t="n"/>
      <c r="C116" s="8" t="n"/>
      <c r="D116" s="8" t="n"/>
      <c r="E116" s="8">
        <f>SUMIFS(CB_Tributaires!$C:$C,CB_Tributaires!$B:$B,$A116)</f>
        <v/>
      </c>
      <c r="F116" s="8">
        <f>IF(D116="",E116,D116)</f>
        <v/>
      </c>
      <c r="G116" s="4" t="n"/>
      <c r="H116" s="8" t="n"/>
      <c r="I116" s="8">
        <f>IF(A116="","",Inputs!$B$13/((IF(H116="",Inputs!$B$18,H116)+Inputs!$B$14)^Inputs!$B$15))</f>
        <v/>
      </c>
      <c r="J116" s="8">
        <f>IF(A116="","",0.00278*IF(G116="",Inputs!$B$17,G116)*F116*I116)</f>
        <v/>
      </c>
      <c r="K116" s="8">
        <f>IF(A116="","",SUMIFS($L$4:$L$203,$B$4:$B$203,$A116))</f>
        <v/>
      </c>
      <c r="L116" s="8">
        <f>IF(A116="","",(J116+K116)*Inputs!$B$16)</f>
        <v/>
      </c>
      <c r="M116" s="8" t="n"/>
      <c r="N116" s="8">
        <f>IF(A116="","",IF(M116="",Inputs!$B$7,M116))</f>
        <v/>
      </c>
      <c r="O116" s="4">
        <f>IF(A116="","",IF(L116/Inputs!$B$10&lt;=AD116,Inputs!$F$5,IF(L116/Inputs!$B$10&gt;AM116,"OVERSIZE",INDEX(Inputs!$F$5:$F$14,MATCH(L116/Inputs!$B$10,AD116:AM116,1)+1))))</f>
        <v/>
      </c>
      <c r="P116" s="4" t="n"/>
      <c r="Q116" s="4">
        <f>IF(A116="","",IF(P116="",O116,P116))</f>
        <v/>
      </c>
      <c r="R116" s="8">
        <f>IF(OR(Q116="",Q116="OVERSIZE"),"",Q116/1000)</f>
        <v/>
      </c>
      <c r="S116" s="8">
        <f>IF(R116="","",(1/Inputs!$B$9)*(PI()*R116^2/4)*((R116/4)^(2/3))*SQRT(N116))</f>
        <v/>
      </c>
      <c r="T116" s="8">
        <f>IF(OR(S116="",L116=""),"",L116/(S116*Inputs!$B$10))</f>
        <v/>
      </c>
      <c r="U116" s="8">
        <f>IF(OR(R116="",L116=""),"",4*L116/(PI()*R116^2))</f>
        <v/>
      </c>
      <c r="V116" s="8" t="n"/>
      <c r="W116" s="8">
        <f>IF(A116="","",IF(A116=Inputs!$B$6,Inputs!$B$22,IF(B116="","",IFERROR(INDEX($X$4:$X$203,MATCH(B116,$A$4:$A$203,0))+IF(V116="",Inputs!$B$20,V116),""))))</f>
        <v/>
      </c>
      <c r="X116" s="8">
        <f>IF(OR(W116="",N116="",C116=""),"",W116+N116*C116)</f>
        <v/>
      </c>
      <c r="Y116" s="8" t="n"/>
      <c r="Z116" s="8" t="n"/>
      <c r="AA116" s="8">
        <f>IF(OR(Y116="",W116=""),"",Y116-W116)</f>
        <v/>
      </c>
      <c r="AB116" s="8">
        <f>IF(OR(Z116="",X116=""),"",Z116-X116)</f>
        <v/>
      </c>
      <c r="AC116" s="4">
        <f>IF(A116="","",IF(OR(T116&gt;1,U116&lt;Inputs!$B$11,U116&gt;Inputs!$B$12,AA116&lt;Inputs!$B$19,AB116&lt;Inputs!$B$19,N116&lt;Inputs!$B$7,N116&gt;Inputs!$B$8),"CHECK","OK"))</f>
        <v/>
      </c>
      <c r="AD116" s="4">
        <f>IF(A116="","",(1/Inputs!$B$9)*(PI()*(Inputs!$F$5/1000)^2/4)*((Inputs!$F$5/1000/4)^(2/3))*SQRT(N116))</f>
        <v/>
      </c>
      <c r="AE116" s="4">
        <f>IF(A116="","",(1/Inputs!$B$9)*(PI()*(Inputs!$F$6/1000)^2/4)*((Inputs!$F$6/1000/4)^(2/3))*SQRT(N116))</f>
        <v/>
      </c>
      <c r="AF116" s="4">
        <f>IF(A116="","",(1/Inputs!$B$9)*(PI()*(Inputs!$F$7/1000)^2/4)*((Inputs!$F$7/1000/4)^(2/3))*SQRT(N116))</f>
        <v/>
      </c>
      <c r="AG116" s="4">
        <f>IF(A116="","",(1/Inputs!$B$9)*(PI()*(Inputs!$F$8/1000)^2/4)*((Inputs!$F$8/1000/4)^(2/3))*SQRT(N116))</f>
        <v/>
      </c>
      <c r="AH116" s="4">
        <f>IF(A116="","",(1/Inputs!$B$9)*(PI()*(Inputs!$F$9/1000)^2/4)*((Inputs!$F$9/1000/4)^(2/3))*SQRT(N116))</f>
        <v/>
      </c>
      <c r="AI116" s="4">
        <f>IF(A116="","",(1/Inputs!$B$9)*(PI()*(Inputs!$F$10/1000)^2/4)*((Inputs!$F$10/1000/4)^(2/3))*SQRT(N116))</f>
        <v/>
      </c>
      <c r="AJ116" s="4">
        <f>IF(A116="","",(1/Inputs!$B$9)*(PI()*(Inputs!$F$11/1000)^2/4)*((Inputs!$F$11/1000/4)^(2/3))*SQRT(N116))</f>
        <v/>
      </c>
      <c r="AK116" s="4">
        <f>IF(A116="","",(1/Inputs!$B$9)*(PI()*(Inputs!$F$12/1000)^2/4)*((Inputs!$F$12/1000/4)^(2/3))*SQRT(N116))</f>
        <v/>
      </c>
      <c r="AL116" s="4">
        <f>IF(A116="","",(1/Inputs!$B$9)*(PI()*(Inputs!$F$13/1000)^2/4)*((Inputs!$F$13/1000/4)^(2/3))*SQRT(N116))</f>
        <v/>
      </c>
      <c r="AM116" s="4">
        <f>IF(A116="","",(1/Inputs!$B$9)*(PI()*(Inputs!$F$14/1000)^2/4)*((Inputs!$F$14/1000/4)^(2/3))*SQRT(N116))</f>
        <v/>
      </c>
    </row>
    <row r="117">
      <c r="A117" s="4" t="n"/>
      <c r="B117" s="4" t="n"/>
      <c r="C117" s="8" t="n"/>
      <c r="D117" s="8" t="n"/>
      <c r="E117" s="8">
        <f>SUMIFS(CB_Tributaires!$C:$C,CB_Tributaires!$B:$B,$A117)</f>
        <v/>
      </c>
      <c r="F117" s="8">
        <f>IF(D117="",E117,D117)</f>
        <v/>
      </c>
      <c r="G117" s="4" t="n"/>
      <c r="H117" s="8" t="n"/>
      <c r="I117" s="8">
        <f>IF(A117="","",Inputs!$B$13/((IF(H117="",Inputs!$B$18,H117)+Inputs!$B$14)^Inputs!$B$15))</f>
        <v/>
      </c>
      <c r="J117" s="8">
        <f>IF(A117="","",0.00278*IF(G117="",Inputs!$B$17,G117)*F117*I117)</f>
        <v/>
      </c>
      <c r="K117" s="8">
        <f>IF(A117="","",SUMIFS($L$4:$L$203,$B$4:$B$203,$A117))</f>
        <v/>
      </c>
      <c r="L117" s="8">
        <f>IF(A117="","",(J117+K117)*Inputs!$B$16)</f>
        <v/>
      </c>
      <c r="M117" s="8" t="n"/>
      <c r="N117" s="8">
        <f>IF(A117="","",IF(M117="",Inputs!$B$7,M117))</f>
        <v/>
      </c>
      <c r="O117" s="4">
        <f>IF(A117="","",IF(L117/Inputs!$B$10&lt;=AD117,Inputs!$F$5,IF(L117/Inputs!$B$10&gt;AM117,"OVERSIZE",INDEX(Inputs!$F$5:$F$14,MATCH(L117/Inputs!$B$10,AD117:AM117,1)+1))))</f>
        <v/>
      </c>
      <c r="P117" s="4" t="n"/>
      <c r="Q117" s="4">
        <f>IF(A117="","",IF(P117="",O117,P117))</f>
        <v/>
      </c>
      <c r="R117" s="8">
        <f>IF(OR(Q117="",Q117="OVERSIZE"),"",Q117/1000)</f>
        <v/>
      </c>
      <c r="S117" s="8">
        <f>IF(R117="","",(1/Inputs!$B$9)*(PI()*R117^2/4)*((R117/4)^(2/3))*SQRT(N117))</f>
        <v/>
      </c>
      <c r="T117" s="8">
        <f>IF(OR(S117="",L117=""),"",L117/(S117*Inputs!$B$10))</f>
        <v/>
      </c>
      <c r="U117" s="8">
        <f>IF(OR(R117="",L117=""),"",4*L117/(PI()*R117^2))</f>
        <v/>
      </c>
      <c r="V117" s="8" t="n"/>
      <c r="W117" s="8">
        <f>IF(A117="","",IF(A117=Inputs!$B$6,Inputs!$B$22,IF(B117="","",IFERROR(INDEX($X$4:$X$203,MATCH(B117,$A$4:$A$203,0))+IF(V117="",Inputs!$B$20,V117),""))))</f>
        <v/>
      </c>
      <c r="X117" s="8">
        <f>IF(OR(W117="",N117="",C117=""),"",W117+N117*C117)</f>
        <v/>
      </c>
      <c r="Y117" s="8" t="n"/>
      <c r="Z117" s="8" t="n"/>
      <c r="AA117" s="8">
        <f>IF(OR(Y117="",W117=""),"",Y117-W117)</f>
        <v/>
      </c>
      <c r="AB117" s="8">
        <f>IF(OR(Z117="",X117=""),"",Z117-X117)</f>
        <v/>
      </c>
      <c r="AC117" s="4">
        <f>IF(A117="","",IF(OR(T117&gt;1,U117&lt;Inputs!$B$11,U117&gt;Inputs!$B$12,AA117&lt;Inputs!$B$19,AB117&lt;Inputs!$B$19,N117&lt;Inputs!$B$7,N117&gt;Inputs!$B$8),"CHECK","OK"))</f>
        <v/>
      </c>
      <c r="AD117" s="4">
        <f>IF(A117="","",(1/Inputs!$B$9)*(PI()*(Inputs!$F$5/1000)^2/4)*((Inputs!$F$5/1000/4)^(2/3))*SQRT(N117))</f>
        <v/>
      </c>
      <c r="AE117" s="4">
        <f>IF(A117="","",(1/Inputs!$B$9)*(PI()*(Inputs!$F$6/1000)^2/4)*((Inputs!$F$6/1000/4)^(2/3))*SQRT(N117))</f>
        <v/>
      </c>
      <c r="AF117" s="4">
        <f>IF(A117="","",(1/Inputs!$B$9)*(PI()*(Inputs!$F$7/1000)^2/4)*((Inputs!$F$7/1000/4)^(2/3))*SQRT(N117))</f>
        <v/>
      </c>
      <c r="AG117" s="4">
        <f>IF(A117="","",(1/Inputs!$B$9)*(PI()*(Inputs!$F$8/1000)^2/4)*((Inputs!$F$8/1000/4)^(2/3))*SQRT(N117))</f>
        <v/>
      </c>
      <c r="AH117" s="4">
        <f>IF(A117="","",(1/Inputs!$B$9)*(PI()*(Inputs!$F$9/1000)^2/4)*((Inputs!$F$9/1000/4)^(2/3))*SQRT(N117))</f>
        <v/>
      </c>
      <c r="AI117" s="4">
        <f>IF(A117="","",(1/Inputs!$B$9)*(PI()*(Inputs!$F$10/1000)^2/4)*((Inputs!$F$10/1000/4)^(2/3))*SQRT(N117))</f>
        <v/>
      </c>
      <c r="AJ117" s="4">
        <f>IF(A117="","",(1/Inputs!$B$9)*(PI()*(Inputs!$F$11/1000)^2/4)*((Inputs!$F$11/1000/4)^(2/3))*SQRT(N117))</f>
        <v/>
      </c>
      <c r="AK117" s="4">
        <f>IF(A117="","",(1/Inputs!$B$9)*(PI()*(Inputs!$F$12/1000)^2/4)*((Inputs!$F$12/1000/4)^(2/3))*SQRT(N117))</f>
        <v/>
      </c>
      <c r="AL117" s="4">
        <f>IF(A117="","",(1/Inputs!$B$9)*(PI()*(Inputs!$F$13/1000)^2/4)*((Inputs!$F$13/1000/4)^(2/3))*SQRT(N117))</f>
        <v/>
      </c>
      <c r="AM117" s="4">
        <f>IF(A117="","",(1/Inputs!$B$9)*(PI()*(Inputs!$F$14/1000)^2/4)*((Inputs!$F$14/1000/4)^(2/3))*SQRT(N117))</f>
        <v/>
      </c>
    </row>
    <row r="118">
      <c r="A118" s="4" t="n"/>
      <c r="B118" s="4" t="n"/>
      <c r="C118" s="8" t="n"/>
      <c r="D118" s="8" t="n"/>
      <c r="E118" s="8">
        <f>SUMIFS(CB_Tributaires!$C:$C,CB_Tributaires!$B:$B,$A118)</f>
        <v/>
      </c>
      <c r="F118" s="8">
        <f>IF(D118="",E118,D118)</f>
        <v/>
      </c>
      <c r="G118" s="4" t="n"/>
      <c r="H118" s="8" t="n"/>
      <c r="I118" s="8">
        <f>IF(A118="","",Inputs!$B$13/((IF(H118="",Inputs!$B$18,H118)+Inputs!$B$14)^Inputs!$B$15))</f>
        <v/>
      </c>
      <c r="J118" s="8">
        <f>IF(A118="","",0.00278*IF(G118="",Inputs!$B$17,G118)*F118*I118)</f>
        <v/>
      </c>
      <c r="K118" s="8">
        <f>IF(A118="","",SUMIFS($L$4:$L$203,$B$4:$B$203,$A118))</f>
        <v/>
      </c>
      <c r="L118" s="8">
        <f>IF(A118="","",(J118+K118)*Inputs!$B$16)</f>
        <v/>
      </c>
      <c r="M118" s="8" t="n"/>
      <c r="N118" s="8">
        <f>IF(A118="","",IF(M118="",Inputs!$B$7,M118))</f>
        <v/>
      </c>
      <c r="O118" s="4">
        <f>IF(A118="","",IF(L118/Inputs!$B$10&lt;=AD118,Inputs!$F$5,IF(L118/Inputs!$B$10&gt;AM118,"OVERSIZE",INDEX(Inputs!$F$5:$F$14,MATCH(L118/Inputs!$B$10,AD118:AM118,1)+1))))</f>
        <v/>
      </c>
      <c r="P118" s="4" t="n"/>
      <c r="Q118" s="4">
        <f>IF(A118="","",IF(P118="",O118,P118))</f>
        <v/>
      </c>
      <c r="R118" s="8">
        <f>IF(OR(Q118="",Q118="OVERSIZE"),"",Q118/1000)</f>
        <v/>
      </c>
      <c r="S118" s="8">
        <f>IF(R118="","",(1/Inputs!$B$9)*(PI()*R118^2/4)*((R118/4)^(2/3))*SQRT(N118))</f>
        <v/>
      </c>
      <c r="T118" s="8">
        <f>IF(OR(S118="",L118=""),"",L118/(S118*Inputs!$B$10))</f>
        <v/>
      </c>
      <c r="U118" s="8">
        <f>IF(OR(R118="",L118=""),"",4*L118/(PI()*R118^2))</f>
        <v/>
      </c>
      <c r="V118" s="8" t="n"/>
      <c r="W118" s="8">
        <f>IF(A118="","",IF(A118=Inputs!$B$6,Inputs!$B$22,IF(B118="","",IFERROR(INDEX($X$4:$X$203,MATCH(B118,$A$4:$A$203,0))+IF(V118="",Inputs!$B$20,V118),""))))</f>
        <v/>
      </c>
      <c r="X118" s="8">
        <f>IF(OR(W118="",N118="",C118=""),"",W118+N118*C118)</f>
        <v/>
      </c>
      <c r="Y118" s="8" t="n"/>
      <c r="Z118" s="8" t="n"/>
      <c r="AA118" s="8">
        <f>IF(OR(Y118="",W118=""),"",Y118-W118)</f>
        <v/>
      </c>
      <c r="AB118" s="8">
        <f>IF(OR(Z118="",X118=""),"",Z118-X118)</f>
        <v/>
      </c>
      <c r="AC118" s="4">
        <f>IF(A118="","",IF(OR(T118&gt;1,U118&lt;Inputs!$B$11,U118&gt;Inputs!$B$12,AA118&lt;Inputs!$B$19,AB118&lt;Inputs!$B$19,N118&lt;Inputs!$B$7,N118&gt;Inputs!$B$8),"CHECK","OK"))</f>
        <v/>
      </c>
      <c r="AD118" s="4">
        <f>IF(A118="","",(1/Inputs!$B$9)*(PI()*(Inputs!$F$5/1000)^2/4)*((Inputs!$F$5/1000/4)^(2/3))*SQRT(N118))</f>
        <v/>
      </c>
      <c r="AE118" s="4">
        <f>IF(A118="","",(1/Inputs!$B$9)*(PI()*(Inputs!$F$6/1000)^2/4)*((Inputs!$F$6/1000/4)^(2/3))*SQRT(N118))</f>
        <v/>
      </c>
      <c r="AF118" s="4">
        <f>IF(A118="","",(1/Inputs!$B$9)*(PI()*(Inputs!$F$7/1000)^2/4)*((Inputs!$F$7/1000/4)^(2/3))*SQRT(N118))</f>
        <v/>
      </c>
      <c r="AG118" s="4">
        <f>IF(A118="","",(1/Inputs!$B$9)*(PI()*(Inputs!$F$8/1000)^2/4)*((Inputs!$F$8/1000/4)^(2/3))*SQRT(N118))</f>
        <v/>
      </c>
      <c r="AH118" s="4">
        <f>IF(A118="","",(1/Inputs!$B$9)*(PI()*(Inputs!$F$9/1000)^2/4)*((Inputs!$F$9/1000/4)^(2/3))*SQRT(N118))</f>
        <v/>
      </c>
      <c r="AI118" s="4">
        <f>IF(A118="","",(1/Inputs!$B$9)*(PI()*(Inputs!$F$10/1000)^2/4)*((Inputs!$F$10/1000/4)^(2/3))*SQRT(N118))</f>
        <v/>
      </c>
      <c r="AJ118" s="4">
        <f>IF(A118="","",(1/Inputs!$B$9)*(PI()*(Inputs!$F$11/1000)^2/4)*((Inputs!$F$11/1000/4)^(2/3))*SQRT(N118))</f>
        <v/>
      </c>
      <c r="AK118" s="4">
        <f>IF(A118="","",(1/Inputs!$B$9)*(PI()*(Inputs!$F$12/1000)^2/4)*((Inputs!$F$12/1000/4)^(2/3))*SQRT(N118))</f>
        <v/>
      </c>
      <c r="AL118" s="4">
        <f>IF(A118="","",(1/Inputs!$B$9)*(PI()*(Inputs!$F$13/1000)^2/4)*((Inputs!$F$13/1000/4)^(2/3))*SQRT(N118))</f>
        <v/>
      </c>
      <c r="AM118" s="4">
        <f>IF(A118="","",(1/Inputs!$B$9)*(PI()*(Inputs!$F$14/1000)^2/4)*((Inputs!$F$14/1000/4)^(2/3))*SQRT(N118))</f>
        <v/>
      </c>
    </row>
    <row r="119">
      <c r="A119" s="4" t="n"/>
      <c r="B119" s="4" t="n"/>
      <c r="C119" s="8" t="n"/>
      <c r="D119" s="8" t="n"/>
      <c r="E119" s="8">
        <f>SUMIFS(CB_Tributaires!$C:$C,CB_Tributaires!$B:$B,$A119)</f>
        <v/>
      </c>
      <c r="F119" s="8">
        <f>IF(D119="",E119,D119)</f>
        <v/>
      </c>
      <c r="G119" s="4" t="n"/>
      <c r="H119" s="8" t="n"/>
      <c r="I119" s="8">
        <f>IF(A119="","",Inputs!$B$13/((IF(H119="",Inputs!$B$18,H119)+Inputs!$B$14)^Inputs!$B$15))</f>
        <v/>
      </c>
      <c r="J119" s="8">
        <f>IF(A119="","",0.00278*IF(G119="",Inputs!$B$17,G119)*F119*I119)</f>
        <v/>
      </c>
      <c r="K119" s="8">
        <f>IF(A119="","",SUMIFS($L$4:$L$203,$B$4:$B$203,$A119))</f>
        <v/>
      </c>
      <c r="L119" s="8">
        <f>IF(A119="","",(J119+K119)*Inputs!$B$16)</f>
        <v/>
      </c>
      <c r="M119" s="8" t="n"/>
      <c r="N119" s="8">
        <f>IF(A119="","",IF(M119="",Inputs!$B$7,M119))</f>
        <v/>
      </c>
      <c r="O119" s="4">
        <f>IF(A119="","",IF(L119/Inputs!$B$10&lt;=AD119,Inputs!$F$5,IF(L119/Inputs!$B$10&gt;AM119,"OVERSIZE",INDEX(Inputs!$F$5:$F$14,MATCH(L119/Inputs!$B$10,AD119:AM119,1)+1))))</f>
        <v/>
      </c>
      <c r="P119" s="4" t="n"/>
      <c r="Q119" s="4">
        <f>IF(A119="","",IF(P119="",O119,P119))</f>
        <v/>
      </c>
      <c r="R119" s="8">
        <f>IF(OR(Q119="",Q119="OVERSIZE"),"",Q119/1000)</f>
        <v/>
      </c>
      <c r="S119" s="8">
        <f>IF(R119="","",(1/Inputs!$B$9)*(PI()*R119^2/4)*((R119/4)^(2/3))*SQRT(N119))</f>
        <v/>
      </c>
      <c r="T119" s="8">
        <f>IF(OR(S119="",L119=""),"",L119/(S119*Inputs!$B$10))</f>
        <v/>
      </c>
      <c r="U119" s="8">
        <f>IF(OR(R119="",L119=""),"",4*L119/(PI()*R119^2))</f>
        <v/>
      </c>
      <c r="V119" s="8" t="n"/>
      <c r="W119" s="8">
        <f>IF(A119="","",IF(A119=Inputs!$B$6,Inputs!$B$22,IF(B119="","",IFERROR(INDEX($X$4:$X$203,MATCH(B119,$A$4:$A$203,0))+IF(V119="",Inputs!$B$20,V119),""))))</f>
        <v/>
      </c>
      <c r="X119" s="8">
        <f>IF(OR(W119="",N119="",C119=""),"",W119+N119*C119)</f>
        <v/>
      </c>
      <c r="Y119" s="8" t="n"/>
      <c r="Z119" s="8" t="n"/>
      <c r="AA119" s="8">
        <f>IF(OR(Y119="",W119=""),"",Y119-W119)</f>
        <v/>
      </c>
      <c r="AB119" s="8">
        <f>IF(OR(Z119="",X119=""),"",Z119-X119)</f>
        <v/>
      </c>
      <c r="AC119" s="4">
        <f>IF(A119="","",IF(OR(T119&gt;1,U119&lt;Inputs!$B$11,U119&gt;Inputs!$B$12,AA119&lt;Inputs!$B$19,AB119&lt;Inputs!$B$19,N119&lt;Inputs!$B$7,N119&gt;Inputs!$B$8),"CHECK","OK"))</f>
        <v/>
      </c>
      <c r="AD119" s="4">
        <f>IF(A119="","",(1/Inputs!$B$9)*(PI()*(Inputs!$F$5/1000)^2/4)*((Inputs!$F$5/1000/4)^(2/3))*SQRT(N119))</f>
        <v/>
      </c>
      <c r="AE119" s="4">
        <f>IF(A119="","",(1/Inputs!$B$9)*(PI()*(Inputs!$F$6/1000)^2/4)*((Inputs!$F$6/1000/4)^(2/3))*SQRT(N119))</f>
        <v/>
      </c>
      <c r="AF119" s="4">
        <f>IF(A119="","",(1/Inputs!$B$9)*(PI()*(Inputs!$F$7/1000)^2/4)*((Inputs!$F$7/1000/4)^(2/3))*SQRT(N119))</f>
        <v/>
      </c>
      <c r="AG119" s="4">
        <f>IF(A119="","",(1/Inputs!$B$9)*(PI()*(Inputs!$F$8/1000)^2/4)*((Inputs!$F$8/1000/4)^(2/3))*SQRT(N119))</f>
        <v/>
      </c>
      <c r="AH119" s="4">
        <f>IF(A119="","",(1/Inputs!$B$9)*(PI()*(Inputs!$F$9/1000)^2/4)*((Inputs!$F$9/1000/4)^(2/3))*SQRT(N119))</f>
        <v/>
      </c>
      <c r="AI119" s="4">
        <f>IF(A119="","",(1/Inputs!$B$9)*(PI()*(Inputs!$F$10/1000)^2/4)*((Inputs!$F$10/1000/4)^(2/3))*SQRT(N119))</f>
        <v/>
      </c>
      <c r="AJ119" s="4">
        <f>IF(A119="","",(1/Inputs!$B$9)*(PI()*(Inputs!$F$11/1000)^2/4)*((Inputs!$F$11/1000/4)^(2/3))*SQRT(N119))</f>
        <v/>
      </c>
      <c r="AK119" s="4">
        <f>IF(A119="","",(1/Inputs!$B$9)*(PI()*(Inputs!$F$12/1000)^2/4)*((Inputs!$F$12/1000/4)^(2/3))*SQRT(N119))</f>
        <v/>
      </c>
      <c r="AL119" s="4">
        <f>IF(A119="","",(1/Inputs!$B$9)*(PI()*(Inputs!$F$13/1000)^2/4)*((Inputs!$F$13/1000/4)^(2/3))*SQRT(N119))</f>
        <v/>
      </c>
      <c r="AM119" s="4">
        <f>IF(A119="","",(1/Inputs!$B$9)*(PI()*(Inputs!$F$14/1000)^2/4)*((Inputs!$F$14/1000/4)^(2/3))*SQRT(N119))</f>
        <v/>
      </c>
    </row>
    <row r="120">
      <c r="A120" s="4" t="n"/>
      <c r="B120" s="4" t="n"/>
      <c r="C120" s="8" t="n"/>
      <c r="D120" s="8" t="n"/>
      <c r="E120" s="8">
        <f>SUMIFS(CB_Tributaires!$C:$C,CB_Tributaires!$B:$B,$A120)</f>
        <v/>
      </c>
      <c r="F120" s="8">
        <f>IF(D120="",E120,D120)</f>
        <v/>
      </c>
      <c r="G120" s="4" t="n"/>
      <c r="H120" s="8" t="n"/>
      <c r="I120" s="8">
        <f>IF(A120="","",Inputs!$B$13/((IF(H120="",Inputs!$B$18,H120)+Inputs!$B$14)^Inputs!$B$15))</f>
        <v/>
      </c>
      <c r="J120" s="8">
        <f>IF(A120="","",0.00278*IF(G120="",Inputs!$B$17,G120)*F120*I120)</f>
        <v/>
      </c>
      <c r="K120" s="8">
        <f>IF(A120="","",SUMIFS($L$4:$L$203,$B$4:$B$203,$A120))</f>
        <v/>
      </c>
      <c r="L120" s="8">
        <f>IF(A120="","",(J120+K120)*Inputs!$B$16)</f>
        <v/>
      </c>
      <c r="M120" s="8" t="n"/>
      <c r="N120" s="8">
        <f>IF(A120="","",IF(M120="",Inputs!$B$7,M120))</f>
        <v/>
      </c>
      <c r="O120" s="4">
        <f>IF(A120="","",IF(L120/Inputs!$B$10&lt;=AD120,Inputs!$F$5,IF(L120/Inputs!$B$10&gt;AM120,"OVERSIZE",INDEX(Inputs!$F$5:$F$14,MATCH(L120/Inputs!$B$10,AD120:AM120,1)+1))))</f>
        <v/>
      </c>
      <c r="P120" s="4" t="n"/>
      <c r="Q120" s="4">
        <f>IF(A120="","",IF(P120="",O120,P120))</f>
        <v/>
      </c>
      <c r="R120" s="8">
        <f>IF(OR(Q120="",Q120="OVERSIZE"),"",Q120/1000)</f>
        <v/>
      </c>
      <c r="S120" s="8">
        <f>IF(R120="","",(1/Inputs!$B$9)*(PI()*R120^2/4)*((R120/4)^(2/3))*SQRT(N120))</f>
        <v/>
      </c>
      <c r="T120" s="8">
        <f>IF(OR(S120="",L120=""),"",L120/(S120*Inputs!$B$10))</f>
        <v/>
      </c>
      <c r="U120" s="8">
        <f>IF(OR(R120="",L120=""),"",4*L120/(PI()*R120^2))</f>
        <v/>
      </c>
      <c r="V120" s="8" t="n"/>
      <c r="W120" s="8">
        <f>IF(A120="","",IF(A120=Inputs!$B$6,Inputs!$B$22,IF(B120="","",IFERROR(INDEX($X$4:$X$203,MATCH(B120,$A$4:$A$203,0))+IF(V120="",Inputs!$B$20,V120),""))))</f>
        <v/>
      </c>
      <c r="X120" s="8">
        <f>IF(OR(W120="",N120="",C120=""),"",W120+N120*C120)</f>
        <v/>
      </c>
      <c r="Y120" s="8" t="n"/>
      <c r="Z120" s="8" t="n"/>
      <c r="AA120" s="8">
        <f>IF(OR(Y120="",W120=""),"",Y120-W120)</f>
        <v/>
      </c>
      <c r="AB120" s="8">
        <f>IF(OR(Z120="",X120=""),"",Z120-X120)</f>
        <v/>
      </c>
      <c r="AC120" s="4">
        <f>IF(A120="","",IF(OR(T120&gt;1,U120&lt;Inputs!$B$11,U120&gt;Inputs!$B$12,AA120&lt;Inputs!$B$19,AB120&lt;Inputs!$B$19,N120&lt;Inputs!$B$7,N120&gt;Inputs!$B$8),"CHECK","OK"))</f>
        <v/>
      </c>
      <c r="AD120" s="4">
        <f>IF(A120="","",(1/Inputs!$B$9)*(PI()*(Inputs!$F$5/1000)^2/4)*((Inputs!$F$5/1000/4)^(2/3))*SQRT(N120))</f>
        <v/>
      </c>
      <c r="AE120" s="4">
        <f>IF(A120="","",(1/Inputs!$B$9)*(PI()*(Inputs!$F$6/1000)^2/4)*((Inputs!$F$6/1000/4)^(2/3))*SQRT(N120))</f>
        <v/>
      </c>
      <c r="AF120" s="4">
        <f>IF(A120="","",(1/Inputs!$B$9)*(PI()*(Inputs!$F$7/1000)^2/4)*((Inputs!$F$7/1000/4)^(2/3))*SQRT(N120))</f>
        <v/>
      </c>
      <c r="AG120" s="4">
        <f>IF(A120="","",(1/Inputs!$B$9)*(PI()*(Inputs!$F$8/1000)^2/4)*((Inputs!$F$8/1000/4)^(2/3))*SQRT(N120))</f>
        <v/>
      </c>
      <c r="AH120" s="4">
        <f>IF(A120="","",(1/Inputs!$B$9)*(PI()*(Inputs!$F$9/1000)^2/4)*((Inputs!$F$9/1000/4)^(2/3))*SQRT(N120))</f>
        <v/>
      </c>
      <c r="AI120" s="4">
        <f>IF(A120="","",(1/Inputs!$B$9)*(PI()*(Inputs!$F$10/1000)^2/4)*((Inputs!$F$10/1000/4)^(2/3))*SQRT(N120))</f>
        <v/>
      </c>
      <c r="AJ120" s="4">
        <f>IF(A120="","",(1/Inputs!$B$9)*(PI()*(Inputs!$F$11/1000)^2/4)*((Inputs!$F$11/1000/4)^(2/3))*SQRT(N120))</f>
        <v/>
      </c>
      <c r="AK120" s="4">
        <f>IF(A120="","",(1/Inputs!$B$9)*(PI()*(Inputs!$F$12/1000)^2/4)*((Inputs!$F$12/1000/4)^(2/3))*SQRT(N120))</f>
        <v/>
      </c>
      <c r="AL120" s="4">
        <f>IF(A120="","",(1/Inputs!$B$9)*(PI()*(Inputs!$F$13/1000)^2/4)*((Inputs!$F$13/1000/4)^(2/3))*SQRT(N120))</f>
        <v/>
      </c>
      <c r="AM120" s="4">
        <f>IF(A120="","",(1/Inputs!$B$9)*(PI()*(Inputs!$F$14/1000)^2/4)*((Inputs!$F$14/1000/4)^(2/3))*SQRT(N120))</f>
        <v/>
      </c>
    </row>
    <row r="121">
      <c r="A121" s="4" t="n"/>
      <c r="B121" s="4" t="n"/>
      <c r="C121" s="8" t="n"/>
      <c r="D121" s="8" t="n"/>
      <c r="E121" s="8">
        <f>SUMIFS(CB_Tributaires!$C:$C,CB_Tributaires!$B:$B,$A121)</f>
        <v/>
      </c>
      <c r="F121" s="8">
        <f>IF(D121="",E121,D121)</f>
        <v/>
      </c>
      <c r="G121" s="4" t="n"/>
      <c r="H121" s="8" t="n"/>
      <c r="I121" s="8">
        <f>IF(A121="","",Inputs!$B$13/((IF(H121="",Inputs!$B$18,H121)+Inputs!$B$14)^Inputs!$B$15))</f>
        <v/>
      </c>
      <c r="J121" s="8">
        <f>IF(A121="","",0.00278*IF(G121="",Inputs!$B$17,G121)*F121*I121)</f>
        <v/>
      </c>
      <c r="K121" s="8">
        <f>IF(A121="","",SUMIFS($L$4:$L$203,$B$4:$B$203,$A121))</f>
        <v/>
      </c>
      <c r="L121" s="8">
        <f>IF(A121="","",(J121+K121)*Inputs!$B$16)</f>
        <v/>
      </c>
      <c r="M121" s="8" t="n"/>
      <c r="N121" s="8">
        <f>IF(A121="","",IF(M121="",Inputs!$B$7,M121))</f>
        <v/>
      </c>
      <c r="O121" s="4">
        <f>IF(A121="","",IF(L121/Inputs!$B$10&lt;=AD121,Inputs!$F$5,IF(L121/Inputs!$B$10&gt;AM121,"OVERSIZE",INDEX(Inputs!$F$5:$F$14,MATCH(L121/Inputs!$B$10,AD121:AM121,1)+1))))</f>
        <v/>
      </c>
      <c r="P121" s="4" t="n"/>
      <c r="Q121" s="4">
        <f>IF(A121="","",IF(P121="",O121,P121))</f>
        <v/>
      </c>
      <c r="R121" s="8">
        <f>IF(OR(Q121="",Q121="OVERSIZE"),"",Q121/1000)</f>
        <v/>
      </c>
      <c r="S121" s="8">
        <f>IF(R121="","",(1/Inputs!$B$9)*(PI()*R121^2/4)*((R121/4)^(2/3))*SQRT(N121))</f>
        <v/>
      </c>
      <c r="T121" s="8">
        <f>IF(OR(S121="",L121=""),"",L121/(S121*Inputs!$B$10))</f>
        <v/>
      </c>
      <c r="U121" s="8">
        <f>IF(OR(R121="",L121=""),"",4*L121/(PI()*R121^2))</f>
        <v/>
      </c>
      <c r="V121" s="8" t="n"/>
      <c r="W121" s="8">
        <f>IF(A121="","",IF(A121=Inputs!$B$6,Inputs!$B$22,IF(B121="","",IFERROR(INDEX($X$4:$X$203,MATCH(B121,$A$4:$A$203,0))+IF(V121="",Inputs!$B$20,V121),""))))</f>
        <v/>
      </c>
      <c r="X121" s="8">
        <f>IF(OR(W121="",N121="",C121=""),"",W121+N121*C121)</f>
        <v/>
      </c>
      <c r="Y121" s="8" t="n"/>
      <c r="Z121" s="8" t="n"/>
      <c r="AA121" s="8">
        <f>IF(OR(Y121="",W121=""),"",Y121-W121)</f>
        <v/>
      </c>
      <c r="AB121" s="8">
        <f>IF(OR(Z121="",X121=""),"",Z121-X121)</f>
        <v/>
      </c>
      <c r="AC121" s="4">
        <f>IF(A121="","",IF(OR(T121&gt;1,U121&lt;Inputs!$B$11,U121&gt;Inputs!$B$12,AA121&lt;Inputs!$B$19,AB121&lt;Inputs!$B$19,N121&lt;Inputs!$B$7,N121&gt;Inputs!$B$8),"CHECK","OK"))</f>
        <v/>
      </c>
      <c r="AD121" s="4">
        <f>IF(A121="","",(1/Inputs!$B$9)*(PI()*(Inputs!$F$5/1000)^2/4)*((Inputs!$F$5/1000/4)^(2/3))*SQRT(N121))</f>
        <v/>
      </c>
      <c r="AE121" s="4">
        <f>IF(A121="","",(1/Inputs!$B$9)*(PI()*(Inputs!$F$6/1000)^2/4)*((Inputs!$F$6/1000/4)^(2/3))*SQRT(N121))</f>
        <v/>
      </c>
      <c r="AF121" s="4">
        <f>IF(A121="","",(1/Inputs!$B$9)*(PI()*(Inputs!$F$7/1000)^2/4)*((Inputs!$F$7/1000/4)^(2/3))*SQRT(N121))</f>
        <v/>
      </c>
      <c r="AG121" s="4">
        <f>IF(A121="","",(1/Inputs!$B$9)*(PI()*(Inputs!$F$8/1000)^2/4)*((Inputs!$F$8/1000/4)^(2/3))*SQRT(N121))</f>
        <v/>
      </c>
      <c r="AH121" s="4">
        <f>IF(A121="","",(1/Inputs!$B$9)*(PI()*(Inputs!$F$9/1000)^2/4)*((Inputs!$F$9/1000/4)^(2/3))*SQRT(N121))</f>
        <v/>
      </c>
      <c r="AI121" s="4">
        <f>IF(A121="","",(1/Inputs!$B$9)*(PI()*(Inputs!$F$10/1000)^2/4)*((Inputs!$F$10/1000/4)^(2/3))*SQRT(N121))</f>
        <v/>
      </c>
      <c r="AJ121" s="4">
        <f>IF(A121="","",(1/Inputs!$B$9)*(PI()*(Inputs!$F$11/1000)^2/4)*((Inputs!$F$11/1000/4)^(2/3))*SQRT(N121))</f>
        <v/>
      </c>
      <c r="AK121" s="4">
        <f>IF(A121="","",(1/Inputs!$B$9)*(PI()*(Inputs!$F$12/1000)^2/4)*((Inputs!$F$12/1000/4)^(2/3))*SQRT(N121))</f>
        <v/>
      </c>
      <c r="AL121" s="4">
        <f>IF(A121="","",(1/Inputs!$B$9)*(PI()*(Inputs!$F$13/1000)^2/4)*((Inputs!$F$13/1000/4)^(2/3))*SQRT(N121))</f>
        <v/>
      </c>
      <c r="AM121" s="4">
        <f>IF(A121="","",(1/Inputs!$B$9)*(PI()*(Inputs!$F$14/1000)^2/4)*((Inputs!$F$14/1000/4)^(2/3))*SQRT(N121))</f>
        <v/>
      </c>
    </row>
    <row r="122">
      <c r="A122" s="4" t="n"/>
      <c r="B122" s="4" t="n"/>
      <c r="C122" s="8" t="n"/>
      <c r="D122" s="8" t="n"/>
      <c r="E122" s="8">
        <f>SUMIFS(CB_Tributaires!$C:$C,CB_Tributaires!$B:$B,$A122)</f>
        <v/>
      </c>
      <c r="F122" s="8">
        <f>IF(D122="",E122,D122)</f>
        <v/>
      </c>
      <c r="G122" s="4" t="n"/>
      <c r="H122" s="8" t="n"/>
      <c r="I122" s="8">
        <f>IF(A122="","",Inputs!$B$13/((IF(H122="",Inputs!$B$18,H122)+Inputs!$B$14)^Inputs!$B$15))</f>
        <v/>
      </c>
      <c r="J122" s="8">
        <f>IF(A122="","",0.00278*IF(G122="",Inputs!$B$17,G122)*F122*I122)</f>
        <v/>
      </c>
      <c r="K122" s="8">
        <f>IF(A122="","",SUMIFS($L$4:$L$203,$B$4:$B$203,$A122))</f>
        <v/>
      </c>
      <c r="L122" s="8">
        <f>IF(A122="","",(J122+K122)*Inputs!$B$16)</f>
        <v/>
      </c>
      <c r="M122" s="8" t="n"/>
      <c r="N122" s="8">
        <f>IF(A122="","",IF(M122="",Inputs!$B$7,M122))</f>
        <v/>
      </c>
      <c r="O122" s="4">
        <f>IF(A122="","",IF(L122/Inputs!$B$10&lt;=AD122,Inputs!$F$5,IF(L122/Inputs!$B$10&gt;AM122,"OVERSIZE",INDEX(Inputs!$F$5:$F$14,MATCH(L122/Inputs!$B$10,AD122:AM122,1)+1))))</f>
        <v/>
      </c>
      <c r="P122" s="4" t="n"/>
      <c r="Q122" s="4">
        <f>IF(A122="","",IF(P122="",O122,P122))</f>
        <v/>
      </c>
      <c r="R122" s="8">
        <f>IF(OR(Q122="",Q122="OVERSIZE"),"",Q122/1000)</f>
        <v/>
      </c>
      <c r="S122" s="8">
        <f>IF(R122="","",(1/Inputs!$B$9)*(PI()*R122^2/4)*((R122/4)^(2/3))*SQRT(N122))</f>
        <v/>
      </c>
      <c r="T122" s="8">
        <f>IF(OR(S122="",L122=""),"",L122/(S122*Inputs!$B$10))</f>
        <v/>
      </c>
      <c r="U122" s="8">
        <f>IF(OR(R122="",L122=""),"",4*L122/(PI()*R122^2))</f>
        <v/>
      </c>
      <c r="V122" s="8" t="n"/>
      <c r="W122" s="8">
        <f>IF(A122="","",IF(A122=Inputs!$B$6,Inputs!$B$22,IF(B122="","",IFERROR(INDEX($X$4:$X$203,MATCH(B122,$A$4:$A$203,0))+IF(V122="",Inputs!$B$20,V122),""))))</f>
        <v/>
      </c>
      <c r="X122" s="8">
        <f>IF(OR(W122="",N122="",C122=""),"",W122+N122*C122)</f>
        <v/>
      </c>
      <c r="Y122" s="8" t="n"/>
      <c r="Z122" s="8" t="n"/>
      <c r="AA122" s="8">
        <f>IF(OR(Y122="",W122=""),"",Y122-W122)</f>
        <v/>
      </c>
      <c r="AB122" s="8">
        <f>IF(OR(Z122="",X122=""),"",Z122-X122)</f>
        <v/>
      </c>
      <c r="AC122" s="4">
        <f>IF(A122="","",IF(OR(T122&gt;1,U122&lt;Inputs!$B$11,U122&gt;Inputs!$B$12,AA122&lt;Inputs!$B$19,AB122&lt;Inputs!$B$19,N122&lt;Inputs!$B$7,N122&gt;Inputs!$B$8),"CHECK","OK"))</f>
        <v/>
      </c>
      <c r="AD122" s="4">
        <f>IF(A122="","",(1/Inputs!$B$9)*(PI()*(Inputs!$F$5/1000)^2/4)*((Inputs!$F$5/1000/4)^(2/3))*SQRT(N122))</f>
        <v/>
      </c>
      <c r="AE122" s="4">
        <f>IF(A122="","",(1/Inputs!$B$9)*(PI()*(Inputs!$F$6/1000)^2/4)*((Inputs!$F$6/1000/4)^(2/3))*SQRT(N122))</f>
        <v/>
      </c>
      <c r="AF122" s="4">
        <f>IF(A122="","",(1/Inputs!$B$9)*(PI()*(Inputs!$F$7/1000)^2/4)*((Inputs!$F$7/1000/4)^(2/3))*SQRT(N122))</f>
        <v/>
      </c>
      <c r="AG122" s="4">
        <f>IF(A122="","",(1/Inputs!$B$9)*(PI()*(Inputs!$F$8/1000)^2/4)*((Inputs!$F$8/1000/4)^(2/3))*SQRT(N122))</f>
        <v/>
      </c>
      <c r="AH122" s="4">
        <f>IF(A122="","",(1/Inputs!$B$9)*(PI()*(Inputs!$F$9/1000)^2/4)*((Inputs!$F$9/1000/4)^(2/3))*SQRT(N122))</f>
        <v/>
      </c>
      <c r="AI122" s="4">
        <f>IF(A122="","",(1/Inputs!$B$9)*(PI()*(Inputs!$F$10/1000)^2/4)*((Inputs!$F$10/1000/4)^(2/3))*SQRT(N122))</f>
        <v/>
      </c>
      <c r="AJ122" s="4">
        <f>IF(A122="","",(1/Inputs!$B$9)*(PI()*(Inputs!$F$11/1000)^2/4)*((Inputs!$F$11/1000/4)^(2/3))*SQRT(N122))</f>
        <v/>
      </c>
      <c r="AK122" s="4">
        <f>IF(A122="","",(1/Inputs!$B$9)*(PI()*(Inputs!$F$12/1000)^2/4)*((Inputs!$F$12/1000/4)^(2/3))*SQRT(N122))</f>
        <v/>
      </c>
      <c r="AL122" s="4">
        <f>IF(A122="","",(1/Inputs!$B$9)*(PI()*(Inputs!$F$13/1000)^2/4)*((Inputs!$F$13/1000/4)^(2/3))*SQRT(N122))</f>
        <v/>
      </c>
      <c r="AM122" s="4">
        <f>IF(A122="","",(1/Inputs!$B$9)*(PI()*(Inputs!$F$14/1000)^2/4)*((Inputs!$F$14/1000/4)^(2/3))*SQRT(N122))</f>
        <v/>
      </c>
    </row>
    <row r="123">
      <c r="A123" s="4" t="n"/>
      <c r="B123" s="4" t="n"/>
      <c r="C123" s="8" t="n"/>
      <c r="D123" s="8" t="n"/>
      <c r="E123" s="8">
        <f>SUMIFS(CB_Tributaires!$C:$C,CB_Tributaires!$B:$B,$A123)</f>
        <v/>
      </c>
      <c r="F123" s="8">
        <f>IF(D123="",E123,D123)</f>
        <v/>
      </c>
      <c r="G123" s="4" t="n"/>
      <c r="H123" s="8" t="n"/>
      <c r="I123" s="8">
        <f>IF(A123="","",Inputs!$B$13/((IF(H123="",Inputs!$B$18,H123)+Inputs!$B$14)^Inputs!$B$15))</f>
        <v/>
      </c>
      <c r="J123" s="8">
        <f>IF(A123="","",0.00278*IF(G123="",Inputs!$B$17,G123)*F123*I123)</f>
        <v/>
      </c>
      <c r="K123" s="8">
        <f>IF(A123="","",SUMIFS($L$4:$L$203,$B$4:$B$203,$A123))</f>
        <v/>
      </c>
      <c r="L123" s="8">
        <f>IF(A123="","",(J123+K123)*Inputs!$B$16)</f>
        <v/>
      </c>
      <c r="M123" s="8" t="n"/>
      <c r="N123" s="8">
        <f>IF(A123="","",IF(M123="",Inputs!$B$7,M123))</f>
        <v/>
      </c>
      <c r="O123" s="4">
        <f>IF(A123="","",IF(L123/Inputs!$B$10&lt;=AD123,Inputs!$F$5,IF(L123/Inputs!$B$10&gt;AM123,"OVERSIZE",INDEX(Inputs!$F$5:$F$14,MATCH(L123/Inputs!$B$10,AD123:AM123,1)+1))))</f>
        <v/>
      </c>
      <c r="P123" s="4" t="n"/>
      <c r="Q123" s="4">
        <f>IF(A123="","",IF(P123="",O123,P123))</f>
        <v/>
      </c>
      <c r="R123" s="8">
        <f>IF(OR(Q123="",Q123="OVERSIZE"),"",Q123/1000)</f>
        <v/>
      </c>
      <c r="S123" s="8">
        <f>IF(R123="","",(1/Inputs!$B$9)*(PI()*R123^2/4)*((R123/4)^(2/3))*SQRT(N123))</f>
        <v/>
      </c>
      <c r="T123" s="8">
        <f>IF(OR(S123="",L123=""),"",L123/(S123*Inputs!$B$10))</f>
        <v/>
      </c>
      <c r="U123" s="8">
        <f>IF(OR(R123="",L123=""),"",4*L123/(PI()*R123^2))</f>
        <v/>
      </c>
      <c r="V123" s="8" t="n"/>
      <c r="W123" s="8">
        <f>IF(A123="","",IF(A123=Inputs!$B$6,Inputs!$B$22,IF(B123="","",IFERROR(INDEX($X$4:$X$203,MATCH(B123,$A$4:$A$203,0))+IF(V123="",Inputs!$B$20,V123),""))))</f>
        <v/>
      </c>
      <c r="X123" s="8">
        <f>IF(OR(W123="",N123="",C123=""),"",W123+N123*C123)</f>
        <v/>
      </c>
      <c r="Y123" s="8" t="n"/>
      <c r="Z123" s="8" t="n"/>
      <c r="AA123" s="8">
        <f>IF(OR(Y123="",W123=""),"",Y123-W123)</f>
        <v/>
      </c>
      <c r="AB123" s="8">
        <f>IF(OR(Z123="",X123=""),"",Z123-X123)</f>
        <v/>
      </c>
      <c r="AC123" s="4">
        <f>IF(A123="","",IF(OR(T123&gt;1,U123&lt;Inputs!$B$11,U123&gt;Inputs!$B$12,AA123&lt;Inputs!$B$19,AB123&lt;Inputs!$B$19,N123&lt;Inputs!$B$7,N123&gt;Inputs!$B$8),"CHECK","OK"))</f>
        <v/>
      </c>
      <c r="AD123" s="4">
        <f>IF(A123="","",(1/Inputs!$B$9)*(PI()*(Inputs!$F$5/1000)^2/4)*((Inputs!$F$5/1000/4)^(2/3))*SQRT(N123))</f>
        <v/>
      </c>
      <c r="AE123" s="4">
        <f>IF(A123="","",(1/Inputs!$B$9)*(PI()*(Inputs!$F$6/1000)^2/4)*((Inputs!$F$6/1000/4)^(2/3))*SQRT(N123))</f>
        <v/>
      </c>
      <c r="AF123" s="4">
        <f>IF(A123="","",(1/Inputs!$B$9)*(PI()*(Inputs!$F$7/1000)^2/4)*((Inputs!$F$7/1000/4)^(2/3))*SQRT(N123))</f>
        <v/>
      </c>
      <c r="AG123" s="4">
        <f>IF(A123="","",(1/Inputs!$B$9)*(PI()*(Inputs!$F$8/1000)^2/4)*((Inputs!$F$8/1000/4)^(2/3))*SQRT(N123))</f>
        <v/>
      </c>
      <c r="AH123" s="4">
        <f>IF(A123="","",(1/Inputs!$B$9)*(PI()*(Inputs!$F$9/1000)^2/4)*((Inputs!$F$9/1000/4)^(2/3))*SQRT(N123))</f>
        <v/>
      </c>
      <c r="AI123" s="4">
        <f>IF(A123="","",(1/Inputs!$B$9)*(PI()*(Inputs!$F$10/1000)^2/4)*((Inputs!$F$10/1000/4)^(2/3))*SQRT(N123))</f>
        <v/>
      </c>
      <c r="AJ123" s="4">
        <f>IF(A123="","",(1/Inputs!$B$9)*(PI()*(Inputs!$F$11/1000)^2/4)*((Inputs!$F$11/1000/4)^(2/3))*SQRT(N123))</f>
        <v/>
      </c>
      <c r="AK123" s="4">
        <f>IF(A123="","",(1/Inputs!$B$9)*(PI()*(Inputs!$F$12/1000)^2/4)*((Inputs!$F$12/1000/4)^(2/3))*SQRT(N123))</f>
        <v/>
      </c>
      <c r="AL123" s="4">
        <f>IF(A123="","",(1/Inputs!$B$9)*(PI()*(Inputs!$F$13/1000)^2/4)*((Inputs!$F$13/1000/4)^(2/3))*SQRT(N123))</f>
        <v/>
      </c>
      <c r="AM123" s="4">
        <f>IF(A123="","",(1/Inputs!$B$9)*(PI()*(Inputs!$F$14/1000)^2/4)*((Inputs!$F$14/1000/4)^(2/3))*SQRT(N123))</f>
        <v/>
      </c>
    </row>
    <row r="124">
      <c r="A124" s="4" t="n"/>
      <c r="B124" s="4" t="n"/>
      <c r="C124" s="8" t="n"/>
      <c r="D124" s="8" t="n"/>
      <c r="E124" s="8">
        <f>SUMIFS(CB_Tributaires!$C:$C,CB_Tributaires!$B:$B,$A124)</f>
        <v/>
      </c>
      <c r="F124" s="8">
        <f>IF(D124="",E124,D124)</f>
        <v/>
      </c>
      <c r="G124" s="4" t="n"/>
      <c r="H124" s="8" t="n"/>
      <c r="I124" s="8">
        <f>IF(A124="","",Inputs!$B$13/((IF(H124="",Inputs!$B$18,H124)+Inputs!$B$14)^Inputs!$B$15))</f>
        <v/>
      </c>
      <c r="J124" s="8">
        <f>IF(A124="","",0.00278*IF(G124="",Inputs!$B$17,G124)*F124*I124)</f>
        <v/>
      </c>
      <c r="K124" s="8">
        <f>IF(A124="","",SUMIFS($L$4:$L$203,$B$4:$B$203,$A124))</f>
        <v/>
      </c>
      <c r="L124" s="8">
        <f>IF(A124="","",(J124+K124)*Inputs!$B$16)</f>
        <v/>
      </c>
      <c r="M124" s="8" t="n"/>
      <c r="N124" s="8">
        <f>IF(A124="","",IF(M124="",Inputs!$B$7,M124))</f>
        <v/>
      </c>
      <c r="O124" s="4">
        <f>IF(A124="","",IF(L124/Inputs!$B$10&lt;=AD124,Inputs!$F$5,IF(L124/Inputs!$B$10&gt;AM124,"OVERSIZE",INDEX(Inputs!$F$5:$F$14,MATCH(L124/Inputs!$B$10,AD124:AM124,1)+1))))</f>
        <v/>
      </c>
      <c r="P124" s="4" t="n"/>
      <c r="Q124" s="4">
        <f>IF(A124="","",IF(P124="",O124,P124))</f>
        <v/>
      </c>
      <c r="R124" s="8">
        <f>IF(OR(Q124="",Q124="OVERSIZE"),"",Q124/1000)</f>
        <v/>
      </c>
      <c r="S124" s="8">
        <f>IF(R124="","",(1/Inputs!$B$9)*(PI()*R124^2/4)*((R124/4)^(2/3))*SQRT(N124))</f>
        <v/>
      </c>
      <c r="T124" s="8">
        <f>IF(OR(S124="",L124=""),"",L124/(S124*Inputs!$B$10))</f>
        <v/>
      </c>
      <c r="U124" s="8">
        <f>IF(OR(R124="",L124=""),"",4*L124/(PI()*R124^2))</f>
        <v/>
      </c>
      <c r="V124" s="8" t="n"/>
      <c r="W124" s="8">
        <f>IF(A124="","",IF(A124=Inputs!$B$6,Inputs!$B$22,IF(B124="","",IFERROR(INDEX($X$4:$X$203,MATCH(B124,$A$4:$A$203,0))+IF(V124="",Inputs!$B$20,V124),""))))</f>
        <v/>
      </c>
      <c r="X124" s="8">
        <f>IF(OR(W124="",N124="",C124=""),"",W124+N124*C124)</f>
        <v/>
      </c>
      <c r="Y124" s="8" t="n"/>
      <c r="Z124" s="8" t="n"/>
      <c r="AA124" s="8">
        <f>IF(OR(Y124="",W124=""),"",Y124-W124)</f>
        <v/>
      </c>
      <c r="AB124" s="8">
        <f>IF(OR(Z124="",X124=""),"",Z124-X124)</f>
        <v/>
      </c>
      <c r="AC124" s="4">
        <f>IF(A124="","",IF(OR(T124&gt;1,U124&lt;Inputs!$B$11,U124&gt;Inputs!$B$12,AA124&lt;Inputs!$B$19,AB124&lt;Inputs!$B$19,N124&lt;Inputs!$B$7,N124&gt;Inputs!$B$8),"CHECK","OK"))</f>
        <v/>
      </c>
      <c r="AD124" s="4">
        <f>IF(A124="","",(1/Inputs!$B$9)*(PI()*(Inputs!$F$5/1000)^2/4)*((Inputs!$F$5/1000/4)^(2/3))*SQRT(N124))</f>
        <v/>
      </c>
      <c r="AE124" s="4">
        <f>IF(A124="","",(1/Inputs!$B$9)*(PI()*(Inputs!$F$6/1000)^2/4)*((Inputs!$F$6/1000/4)^(2/3))*SQRT(N124))</f>
        <v/>
      </c>
      <c r="AF124" s="4">
        <f>IF(A124="","",(1/Inputs!$B$9)*(PI()*(Inputs!$F$7/1000)^2/4)*((Inputs!$F$7/1000/4)^(2/3))*SQRT(N124))</f>
        <v/>
      </c>
      <c r="AG124" s="4">
        <f>IF(A124="","",(1/Inputs!$B$9)*(PI()*(Inputs!$F$8/1000)^2/4)*((Inputs!$F$8/1000/4)^(2/3))*SQRT(N124))</f>
        <v/>
      </c>
      <c r="AH124" s="4">
        <f>IF(A124="","",(1/Inputs!$B$9)*(PI()*(Inputs!$F$9/1000)^2/4)*((Inputs!$F$9/1000/4)^(2/3))*SQRT(N124))</f>
        <v/>
      </c>
      <c r="AI124" s="4">
        <f>IF(A124="","",(1/Inputs!$B$9)*(PI()*(Inputs!$F$10/1000)^2/4)*((Inputs!$F$10/1000/4)^(2/3))*SQRT(N124))</f>
        <v/>
      </c>
      <c r="AJ124" s="4">
        <f>IF(A124="","",(1/Inputs!$B$9)*(PI()*(Inputs!$F$11/1000)^2/4)*((Inputs!$F$11/1000/4)^(2/3))*SQRT(N124))</f>
        <v/>
      </c>
      <c r="AK124" s="4">
        <f>IF(A124="","",(1/Inputs!$B$9)*(PI()*(Inputs!$F$12/1000)^2/4)*((Inputs!$F$12/1000/4)^(2/3))*SQRT(N124))</f>
        <v/>
      </c>
      <c r="AL124" s="4">
        <f>IF(A124="","",(1/Inputs!$B$9)*(PI()*(Inputs!$F$13/1000)^2/4)*((Inputs!$F$13/1000/4)^(2/3))*SQRT(N124))</f>
        <v/>
      </c>
      <c r="AM124" s="4">
        <f>IF(A124="","",(1/Inputs!$B$9)*(PI()*(Inputs!$F$14/1000)^2/4)*((Inputs!$F$14/1000/4)^(2/3))*SQRT(N124))</f>
        <v/>
      </c>
    </row>
    <row r="125">
      <c r="A125" s="4" t="n"/>
      <c r="B125" s="4" t="n"/>
      <c r="C125" s="8" t="n"/>
      <c r="D125" s="8" t="n"/>
      <c r="E125" s="8">
        <f>SUMIFS(CB_Tributaires!$C:$C,CB_Tributaires!$B:$B,$A125)</f>
        <v/>
      </c>
      <c r="F125" s="8">
        <f>IF(D125="",E125,D125)</f>
        <v/>
      </c>
      <c r="G125" s="4" t="n"/>
      <c r="H125" s="8" t="n"/>
      <c r="I125" s="8">
        <f>IF(A125="","",Inputs!$B$13/((IF(H125="",Inputs!$B$18,H125)+Inputs!$B$14)^Inputs!$B$15))</f>
        <v/>
      </c>
      <c r="J125" s="8">
        <f>IF(A125="","",0.00278*IF(G125="",Inputs!$B$17,G125)*F125*I125)</f>
        <v/>
      </c>
      <c r="K125" s="8">
        <f>IF(A125="","",SUMIFS($L$4:$L$203,$B$4:$B$203,$A125))</f>
        <v/>
      </c>
      <c r="L125" s="8">
        <f>IF(A125="","",(J125+K125)*Inputs!$B$16)</f>
        <v/>
      </c>
      <c r="M125" s="8" t="n"/>
      <c r="N125" s="8">
        <f>IF(A125="","",IF(M125="",Inputs!$B$7,M125))</f>
        <v/>
      </c>
      <c r="O125" s="4">
        <f>IF(A125="","",IF(L125/Inputs!$B$10&lt;=AD125,Inputs!$F$5,IF(L125/Inputs!$B$10&gt;AM125,"OVERSIZE",INDEX(Inputs!$F$5:$F$14,MATCH(L125/Inputs!$B$10,AD125:AM125,1)+1))))</f>
        <v/>
      </c>
      <c r="P125" s="4" t="n"/>
      <c r="Q125" s="4">
        <f>IF(A125="","",IF(P125="",O125,P125))</f>
        <v/>
      </c>
      <c r="R125" s="8">
        <f>IF(OR(Q125="",Q125="OVERSIZE"),"",Q125/1000)</f>
        <v/>
      </c>
      <c r="S125" s="8">
        <f>IF(R125="","",(1/Inputs!$B$9)*(PI()*R125^2/4)*((R125/4)^(2/3))*SQRT(N125))</f>
        <v/>
      </c>
      <c r="T125" s="8">
        <f>IF(OR(S125="",L125=""),"",L125/(S125*Inputs!$B$10))</f>
        <v/>
      </c>
      <c r="U125" s="8">
        <f>IF(OR(R125="",L125=""),"",4*L125/(PI()*R125^2))</f>
        <v/>
      </c>
      <c r="V125" s="8" t="n"/>
      <c r="W125" s="8">
        <f>IF(A125="","",IF(A125=Inputs!$B$6,Inputs!$B$22,IF(B125="","",IFERROR(INDEX($X$4:$X$203,MATCH(B125,$A$4:$A$203,0))+IF(V125="",Inputs!$B$20,V125),""))))</f>
        <v/>
      </c>
      <c r="X125" s="8">
        <f>IF(OR(W125="",N125="",C125=""),"",W125+N125*C125)</f>
        <v/>
      </c>
      <c r="Y125" s="8" t="n"/>
      <c r="Z125" s="8" t="n"/>
      <c r="AA125" s="8">
        <f>IF(OR(Y125="",W125=""),"",Y125-W125)</f>
        <v/>
      </c>
      <c r="AB125" s="8">
        <f>IF(OR(Z125="",X125=""),"",Z125-X125)</f>
        <v/>
      </c>
      <c r="AC125" s="4">
        <f>IF(A125="","",IF(OR(T125&gt;1,U125&lt;Inputs!$B$11,U125&gt;Inputs!$B$12,AA125&lt;Inputs!$B$19,AB125&lt;Inputs!$B$19,N125&lt;Inputs!$B$7,N125&gt;Inputs!$B$8),"CHECK","OK"))</f>
        <v/>
      </c>
      <c r="AD125" s="4">
        <f>IF(A125="","",(1/Inputs!$B$9)*(PI()*(Inputs!$F$5/1000)^2/4)*((Inputs!$F$5/1000/4)^(2/3))*SQRT(N125))</f>
        <v/>
      </c>
      <c r="AE125" s="4">
        <f>IF(A125="","",(1/Inputs!$B$9)*(PI()*(Inputs!$F$6/1000)^2/4)*((Inputs!$F$6/1000/4)^(2/3))*SQRT(N125))</f>
        <v/>
      </c>
      <c r="AF125" s="4">
        <f>IF(A125="","",(1/Inputs!$B$9)*(PI()*(Inputs!$F$7/1000)^2/4)*((Inputs!$F$7/1000/4)^(2/3))*SQRT(N125))</f>
        <v/>
      </c>
      <c r="AG125" s="4">
        <f>IF(A125="","",(1/Inputs!$B$9)*(PI()*(Inputs!$F$8/1000)^2/4)*((Inputs!$F$8/1000/4)^(2/3))*SQRT(N125))</f>
        <v/>
      </c>
      <c r="AH125" s="4">
        <f>IF(A125="","",(1/Inputs!$B$9)*(PI()*(Inputs!$F$9/1000)^2/4)*((Inputs!$F$9/1000/4)^(2/3))*SQRT(N125))</f>
        <v/>
      </c>
      <c r="AI125" s="4">
        <f>IF(A125="","",(1/Inputs!$B$9)*(PI()*(Inputs!$F$10/1000)^2/4)*((Inputs!$F$10/1000/4)^(2/3))*SQRT(N125))</f>
        <v/>
      </c>
      <c r="AJ125" s="4">
        <f>IF(A125="","",(1/Inputs!$B$9)*(PI()*(Inputs!$F$11/1000)^2/4)*((Inputs!$F$11/1000/4)^(2/3))*SQRT(N125))</f>
        <v/>
      </c>
      <c r="AK125" s="4">
        <f>IF(A125="","",(1/Inputs!$B$9)*(PI()*(Inputs!$F$12/1000)^2/4)*((Inputs!$F$12/1000/4)^(2/3))*SQRT(N125))</f>
        <v/>
      </c>
      <c r="AL125" s="4">
        <f>IF(A125="","",(1/Inputs!$B$9)*(PI()*(Inputs!$F$13/1000)^2/4)*((Inputs!$F$13/1000/4)^(2/3))*SQRT(N125))</f>
        <v/>
      </c>
      <c r="AM125" s="4">
        <f>IF(A125="","",(1/Inputs!$B$9)*(PI()*(Inputs!$F$14/1000)^2/4)*((Inputs!$F$14/1000/4)^(2/3))*SQRT(N125))</f>
        <v/>
      </c>
    </row>
    <row r="126">
      <c r="A126" s="4" t="n"/>
      <c r="B126" s="4" t="n"/>
      <c r="C126" s="8" t="n"/>
      <c r="D126" s="8" t="n"/>
      <c r="E126" s="8">
        <f>SUMIFS(CB_Tributaires!$C:$C,CB_Tributaires!$B:$B,$A126)</f>
        <v/>
      </c>
      <c r="F126" s="8">
        <f>IF(D126="",E126,D126)</f>
        <v/>
      </c>
      <c r="G126" s="4" t="n"/>
      <c r="H126" s="8" t="n"/>
      <c r="I126" s="8">
        <f>IF(A126="","",Inputs!$B$13/((IF(H126="",Inputs!$B$18,H126)+Inputs!$B$14)^Inputs!$B$15))</f>
        <v/>
      </c>
      <c r="J126" s="8">
        <f>IF(A126="","",0.00278*IF(G126="",Inputs!$B$17,G126)*F126*I126)</f>
        <v/>
      </c>
      <c r="K126" s="8">
        <f>IF(A126="","",SUMIFS($L$4:$L$203,$B$4:$B$203,$A126))</f>
        <v/>
      </c>
      <c r="L126" s="8">
        <f>IF(A126="","",(J126+K126)*Inputs!$B$16)</f>
        <v/>
      </c>
      <c r="M126" s="8" t="n"/>
      <c r="N126" s="8">
        <f>IF(A126="","",IF(M126="",Inputs!$B$7,M126))</f>
        <v/>
      </c>
      <c r="O126" s="4">
        <f>IF(A126="","",IF(L126/Inputs!$B$10&lt;=AD126,Inputs!$F$5,IF(L126/Inputs!$B$10&gt;AM126,"OVERSIZE",INDEX(Inputs!$F$5:$F$14,MATCH(L126/Inputs!$B$10,AD126:AM126,1)+1))))</f>
        <v/>
      </c>
      <c r="P126" s="4" t="n"/>
      <c r="Q126" s="4">
        <f>IF(A126="","",IF(P126="",O126,P126))</f>
        <v/>
      </c>
      <c r="R126" s="8">
        <f>IF(OR(Q126="",Q126="OVERSIZE"),"",Q126/1000)</f>
        <v/>
      </c>
      <c r="S126" s="8">
        <f>IF(R126="","",(1/Inputs!$B$9)*(PI()*R126^2/4)*((R126/4)^(2/3))*SQRT(N126))</f>
        <v/>
      </c>
      <c r="T126" s="8">
        <f>IF(OR(S126="",L126=""),"",L126/(S126*Inputs!$B$10))</f>
        <v/>
      </c>
      <c r="U126" s="8">
        <f>IF(OR(R126="",L126=""),"",4*L126/(PI()*R126^2))</f>
        <v/>
      </c>
      <c r="V126" s="8" t="n"/>
      <c r="W126" s="8">
        <f>IF(A126="","",IF(A126=Inputs!$B$6,Inputs!$B$22,IF(B126="","",IFERROR(INDEX($X$4:$X$203,MATCH(B126,$A$4:$A$203,0))+IF(V126="",Inputs!$B$20,V126),""))))</f>
        <v/>
      </c>
      <c r="X126" s="8">
        <f>IF(OR(W126="",N126="",C126=""),"",W126+N126*C126)</f>
        <v/>
      </c>
      <c r="Y126" s="8" t="n"/>
      <c r="Z126" s="8" t="n"/>
      <c r="AA126" s="8">
        <f>IF(OR(Y126="",W126=""),"",Y126-W126)</f>
        <v/>
      </c>
      <c r="AB126" s="8">
        <f>IF(OR(Z126="",X126=""),"",Z126-X126)</f>
        <v/>
      </c>
      <c r="AC126" s="4">
        <f>IF(A126="","",IF(OR(T126&gt;1,U126&lt;Inputs!$B$11,U126&gt;Inputs!$B$12,AA126&lt;Inputs!$B$19,AB126&lt;Inputs!$B$19,N126&lt;Inputs!$B$7,N126&gt;Inputs!$B$8),"CHECK","OK"))</f>
        <v/>
      </c>
      <c r="AD126" s="4">
        <f>IF(A126="","",(1/Inputs!$B$9)*(PI()*(Inputs!$F$5/1000)^2/4)*((Inputs!$F$5/1000/4)^(2/3))*SQRT(N126))</f>
        <v/>
      </c>
      <c r="AE126" s="4">
        <f>IF(A126="","",(1/Inputs!$B$9)*(PI()*(Inputs!$F$6/1000)^2/4)*((Inputs!$F$6/1000/4)^(2/3))*SQRT(N126))</f>
        <v/>
      </c>
      <c r="AF126" s="4">
        <f>IF(A126="","",(1/Inputs!$B$9)*(PI()*(Inputs!$F$7/1000)^2/4)*((Inputs!$F$7/1000/4)^(2/3))*SQRT(N126))</f>
        <v/>
      </c>
      <c r="AG126" s="4">
        <f>IF(A126="","",(1/Inputs!$B$9)*(PI()*(Inputs!$F$8/1000)^2/4)*((Inputs!$F$8/1000/4)^(2/3))*SQRT(N126))</f>
        <v/>
      </c>
      <c r="AH126" s="4">
        <f>IF(A126="","",(1/Inputs!$B$9)*(PI()*(Inputs!$F$9/1000)^2/4)*((Inputs!$F$9/1000/4)^(2/3))*SQRT(N126))</f>
        <v/>
      </c>
      <c r="AI126" s="4">
        <f>IF(A126="","",(1/Inputs!$B$9)*(PI()*(Inputs!$F$10/1000)^2/4)*((Inputs!$F$10/1000/4)^(2/3))*SQRT(N126))</f>
        <v/>
      </c>
      <c r="AJ126" s="4">
        <f>IF(A126="","",(1/Inputs!$B$9)*(PI()*(Inputs!$F$11/1000)^2/4)*((Inputs!$F$11/1000/4)^(2/3))*SQRT(N126))</f>
        <v/>
      </c>
      <c r="AK126" s="4">
        <f>IF(A126="","",(1/Inputs!$B$9)*(PI()*(Inputs!$F$12/1000)^2/4)*((Inputs!$F$12/1000/4)^(2/3))*SQRT(N126))</f>
        <v/>
      </c>
      <c r="AL126" s="4">
        <f>IF(A126="","",(1/Inputs!$B$9)*(PI()*(Inputs!$F$13/1000)^2/4)*((Inputs!$F$13/1000/4)^(2/3))*SQRT(N126))</f>
        <v/>
      </c>
      <c r="AM126" s="4">
        <f>IF(A126="","",(1/Inputs!$B$9)*(PI()*(Inputs!$F$14/1000)^2/4)*((Inputs!$F$14/1000/4)^(2/3))*SQRT(N126))</f>
        <v/>
      </c>
    </row>
    <row r="127">
      <c r="A127" s="4" t="n"/>
      <c r="B127" s="4" t="n"/>
      <c r="C127" s="8" t="n"/>
      <c r="D127" s="8" t="n"/>
      <c r="E127" s="8">
        <f>SUMIFS(CB_Tributaires!$C:$C,CB_Tributaires!$B:$B,$A127)</f>
        <v/>
      </c>
      <c r="F127" s="8">
        <f>IF(D127="",E127,D127)</f>
        <v/>
      </c>
      <c r="G127" s="4" t="n"/>
      <c r="H127" s="8" t="n"/>
      <c r="I127" s="8">
        <f>IF(A127="","",Inputs!$B$13/((IF(H127="",Inputs!$B$18,H127)+Inputs!$B$14)^Inputs!$B$15))</f>
        <v/>
      </c>
      <c r="J127" s="8">
        <f>IF(A127="","",0.00278*IF(G127="",Inputs!$B$17,G127)*F127*I127)</f>
        <v/>
      </c>
      <c r="K127" s="8">
        <f>IF(A127="","",SUMIFS($L$4:$L$203,$B$4:$B$203,$A127))</f>
        <v/>
      </c>
      <c r="L127" s="8">
        <f>IF(A127="","",(J127+K127)*Inputs!$B$16)</f>
        <v/>
      </c>
      <c r="M127" s="8" t="n"/>
      <c r="N127" s="8">
        <f>IF(A127="","",IF(M127="",Inputs!$B$7,M127))</f>
        <v/>
      </c>
      <c r="O127" s="4">
        <f>IF(A127="","",IF(L127/Inputs!$B$10&lt;=AD127,Inputs!$F$5,IF(L127/Inputs!$B$10&gt;AM127,"OVERSIZE",INDEX(Inputs!$F$5:$F$14,MATCH(L127/Inputs!$B$10,AD127:AM127,1)+1))))</f>
        <v/>
      </c>
      <c r="P127" s="4" t="n"/>
      <c r="Q127" s="4">
        <f>IF(A127="","",IF(P127="",O127,P127))</f>
        <v/>
      </c>
      <c r="R127" s="8">
        <f>IF(OR(Q127="",Q127="OVERSIZE"),"",Q127/1000)</f>
        <v/>
      </c>
      <c r="S127" s="8">
        <f>IF(R127="","",(1/Inputs!$B$9)*(PI()*R127^2/4)*((R127/4)^(2/3))*SQRT(N127))</f>
        <v/>
      </c>
      <c r="T127" s="8">
        <f>IF(OR(S127="",L127=""),"",L127/(S127*Inputs!$B$10))</f>
        <v/>
      </c>
      <c r="U127" s="8">
        <f>IF(OR(R127="",L127=""),"",4*L127/(PI()*R127^2))</f>
        <v/>
      </c>
      <c r="V127" s="8" t="n"/>
      <c r="W127" s="8">
        <f>IF(A127="","",IF(A127=Inputs!$B$6,Inputs!$B$22,IF(B127="","",IFERROR(INDEX($X$4:$X$203,MATCH(B127,$A$4:$A$203,0))+IF(V127="",Inputs!$B$20,V127),""))))</f>
        <v/>
      </c>
      <c r="X127" s="8">
        <f>IF(OR(W127="",N127="",C127=""),"",W127+N127*C127)</f>
        <v/>
      </c>
      <c r="Y127" s="8" t="n"/>
      <c r="Z127" s="8" t="n"/>
      <c r="AA127" s="8">
        <f>IF(OR(Y127="",W127=""),"",Y127-W127)</f>
        <v/>
      </c>
      <c r="AB127" s="8">
        <f>IF(OR(Z127="",X127=""),"",Z127-X127)</f>
        <v/>
      </c>
      <c r="AC127" s="4">
        <f>IF(A127="","",IF(OR(T127&gt;1,U127&lt;Inputs!$B$11,U127&gt;Inputs!$B$12,AA127&lt;Inputs!$B$19,AB127&lt;Inputs!$B$19,N127&lt;Inputs!$B$7,N127&gt;Inputs!$B$8),"CHECK","OK"))</f>
        <v/>
      </c>
      <c r="AD127" s="4">
        <f>IF(A127="","",(1/Inputs!$B$9)*(PI()*(Inputs!$F$5/1000)^2/4)*((Inputs!$F$5/1000/4)^(2/3))*SQRT(N127))</f>
        <v/>
      </c>
      <c r="AE127" s="4">
        <f>IF(A127="","",(1/Inputs!$B$9)*(PI()*(Inputs!$F$6/1000)^2/4)*((Inputs!$F$6/1000/4)^(2/3))*SQRT(N127))</f>
        <v/>
      </c>
      <c r="AF127" s="4">
        <f>IF(A127="","",(1/Inputs!$B$9)*(PI()*(Inputs!$F$7/1000)^2/4)*((Inputs!$F$7/1000/4)^(2/3))*SQRT(N127))</f>
        <v/>
      </c>
      <c r="AG127" s="4">
        <f>IF(A127="","",(1/Inputs!$B$9)*(PI()*(Inputs!$F$8/1000)^2/4)*((Inputs!$F$8/1000/4)^(2/3))*SQRT(N127))</f>
        <v/>
      </c>
      <c r="AH127" s="4">
        <f>IF(A127="","",(1/Inputs!$B$9)*(PI()*(Inputs!$F$9/1000)^2/4)*((Inputs!$F$9/1000/4)^(2/3))*SQRT(N127))</f>
        <v/>
      </c>
      <c r="AI127" s="4">
        <f>IF(A127="","",(1/Inputs!$B$9)*(PI()*(Inputs!$F$10/1000)^2/4)*((Inputs!$F$10/1000/4)^(2/3))*SQRT(N127))</f>
        <v/>
      </c>
      <c r="AJ127" s="4">
        <f>IF(A127="","",(1/Inputs!$B$9)*(PI()*(Inputs!$F$11/1000)^2/4)*((Inputs!$F$11/1000/4)^(2/3))*SQRT(N127))</f>
        <v/>
      </c>
      <c r="AK127" s="4">
        <f>IF(A127="","",(1/Inputs!$B$9)*(PI()*(Inputs!$F$12/1000)^2/4)*((Inputs!$F$12/1000/4)^(2/3))*SQRT(N127))</f>
        <v/>
      </c>
      <c r="AL127" s="4">
        <f>IF(A127="","",(1/Inputs!$B$9)*(PI()*(Inputs!$F$13/1000)^2/4)*((Inputs!$F$13/1000/4)^(2/3))*SQRT(N127))</f>
        <v/>
      </c>
      <c r="AM127" s="4">
        <f>IF(A127="","",(1/Inputs!$B$9)*(PI()*(Inputs!$F$14/1000)^2/4)*((Inputs!$F$14/1000/4)^(2/3))*SQRT(N127))</f>
        <v/>
      </c>
    </row>
    <row r="128">
      <c r="A128" s="4" t="n"/>
      <c r="B128" s="4" t="n"/>
      <c r="C128" s="8" t="n"/>
      <c r="D128" s="8" t="n"/>
      <c r="E128" s="8">
        <f>SUMIFS(CB_Tributaires!$C:$C,CB_Tributaires!$B:$B,$A128)</f>
        <v/>
      </c>
      <c r="F128" s="8">
        <f>IF(D128="",E128,D128)</f>
        <v/>
      </c>
      <c r="G128" s="4" t="n"/>
      <c r="H128" s="8" t="n"/>
      <c r="I128" s="8">
        <f>IF(A128="","",Inputs!$B$13/((IF(H128="",Inputs!$B$18,H128)+Inputs!$B$14)^Inputs!$B$15))</f>
        <v/>
      </c>
      <c r="J128" s="8">
        <f>IF(A128="","",0.00278*IF(G128="",Inputs!$B$17,G128)*F128*I128)</f>
        <v/>
      </c>
      <c r="K128" s="8">
        <f>IF(A128="","",SUMIFS($L$4:$L$203,$B$4:$B$203,$A128))</f>
        <v/>
      </c>
      <c r="L128" s="8">
        <f>IF(A128="","",(J128+K128)*Inputs!$B$16)</f>
        <v/>
      </c>
      <c r="M128" s="8" t="n"/>
      <c r="N128" s="8">
        <f>IF(A128="","",IF(M128="",Inputs!$B$7,M128))</f>
        <v/>
      </c>
      <c r="O128" s="4">
        <f>IF(A128="","",IF(L128/Inputs!$B$10&lt;=AD128,Inputs!$F$5,IF(L128/Inputs!$B$10&gt;AM128,"OVERSIZE",INDEX(Inputs!$F$5:$F$14,MATCH(L128/Inputs!$B$10,AD128:AM128,1)+1))))</f>
        <v/>
      </c>
      <c r="P128" s="4" t="n"/>
      <c r="Q128" s="4">
        <f>IF(A128="","",IF(P128="",O128,P128))</f>
        <v/>
      </c>
      <c r="R128" s="8">
        <f>IF(OR(Q128="",Q128="OVERSIZE"),"",Q128/1000)</f>
        <v/>
      </c>
      <c r="S128" s="8">
        <f>IF(R128="","",(1/Inputs!$B$9)*(PI()*R128^2/4)*((R128/4)^(2/3))*SQRT(N128))</f>
        <v/>
      </c>
      <c r="T128" s="8">
        <f>IF(OR(S128="",L128=""),"",L128/(S128*Inputs!$B$10))</f>
        <v/>
      </c>
      <c r="U128" s="8">
        <f>IF(OR(R128="",L128=""),"",4*L128/(PI()*R128^2))</f>
        <v/>
      </c>
      <c r="V128" s="8" t="n"/>
      <c r="W128" s="8">
        <f>IF(A128="","",IF(A128=Inputs!$B$6,Inputs!$B$22,IF(B128="","",IFERROR(INDEX($X$4:$X$203,MATCH(B128,$A$4:$A$203,0))+IF(V128="",Inputs!$B$20,V128),""))))</f>
        <v/>
      </c>
      <c r="X128" s="8">
        <f>IF(OR(W128="",N128="",C128=""),"",W128+N128*C128)</f>
        <v/>
      </c>
      <c r="Y128" s="8" t="n"/>
      <c r="Z128" s="8" t="n"/>
      <c r="AA128" s="8">
        <f>IF(OR(Y128="",W128=""),"",Y128-W128)</f>
        <v/>
      </c>
      <c r="AB128" s="8">
        <f>IF(OR(Z128="",X128=""),"",Z128-X128)</f>
        <v/>
      </c>
      <c r="AC128" s="4">
        <f>IF(A128="","",IF(OR(T128&gt;1,U128&lt;Inputs!$B$11,U128&gt;Inputs!$B$12,AA128&lt;Inputs!$B$19,AB128&lt;Inputs!$B$19,N128&lt;Inputs!$B$7,N128&gt;Inputs!$B$8),"CHECK","OK"))</f>
        <v/>
      </c>
      <c r="AD128" s="4">
        <f>IF(A128="","",(1/Inputs!$B$9)*(PI()*(Inputs!$F$5/1000)^2/4)*((Inputs!$F$5/1000/4)^(2/3))*SQRT(N128))</f>
        <v/>
      </c>
      <c r="AE128" s="4">
        <f>IF(A128="","",(1/Inputs!$B$9)*(PI()*(Inputs!$F$6/1000)^2/4)*((Inputs!$F$6/1000/4)^(2/3))*SQRT(N128))</f>
        <v/>
      </c>
      <c r="AF128" s="4">
        <f>IF(A128="","",(1/Inputs!$B$9)*(PI()*(Inputs!$F$7/1000)^2/4)*((Inputs!$F$7/1000/4)^(2/3))*SQRT(N128))</f>
        <v/>
      </c>
      <c r="AG128" s="4">
        <f>IF(A128="","",(1/Inputs!$B$9)*(PI()*(Inputs!$F$8/1000)^2/4)*((Inputs!$F$8/1000/4)^(2/3))*SQRT(N128))</f>
        <v/>
      </c>
      <c r="AH128" s="4">
        <f>IF(A128="","",(1/Inputs!$B$9)*(PI()*(Inputs!$F$9/1000)^2/4)*((Inputs!$F$9/1000/4)^(2/3))*SQRT(N128))</f>
        <v/>
      </c>
      <c r="AI128" s="4">
        <f>IF(A128="","",(1/Inputs!$B$9)*(PI()*(Inputs!$F$10/1000)^2/4)*((Inputs!$F$10/1000/4)^(2/3))*SQRT(N128))</f>
        <v/>
      </c>
      <c r="AJ128" s="4">
        <f>IF(A128="","",(1/Inputs!$B$9)*(PI()*(Inputs!$F$11/1000)^2/4)*((Inputs!$F$11/1000/4)^(2/3))*SQRT(N128))</f>
        <v/>
      </c>
      <c r="AK128" s="4">
        <f>IF(A128="","",(1/Inputs!$B$9)*(PI()*(Inputs!$F$12/1000)^2/4)*((Inputs!$F$12/1000/4)^(2/3))*SQRT(N128))</f>
        <v/>
      </c>
      <c r="AL128" s="4">
        <f>IF(A128="","",(1/Inputs!$B$9)*(PI()*(Inputs!$F$13/1000)^2/4)*((Inputs!$F$13/1000/4)^(2/3))*SQRT(N128))</f>
        <v/>
      </c>
      <c r="AM128" s="4">
        <f>IF(A128="","",(1/Inputs!$B$9)*(PI()*(Inputs!$F$14/1000)^2/4)*((Inputs!$F$14/1000/4)^(2/3))*SQRT(N128))</f>
        <v/>
      </c>
    </row>
    <row r="129">
      <c r="A129" s="4" t="n"/>
      <c r="B129" s="4" t="n"/>
      <c r="C129" s="8" t="n"/>
      <c r="D129" s="8" t="n"/>
      <c r="E129" s="8">
        <f>SUMIFS(CB_Tributaires!$C:$C,CB_Tributaires!$B:$B,$A129)</f>
        <v/>
      </c>
      <c r="F129" s="8">
        <f>IF(D129="",E129,D129)</f>
        <v/>
      </c>
      <c r="G129" s="4" t="n"/>
      <c r="H129" s="8" t="n"/>
      <c r="I129" s="8">
        <f>IF(A129="","",Inputs!$B$13/((IF(H129="",Inputs!$B$18,H129)+Inputs!$B$14)^Inputs!$B$15))</f>
        <v/>
      </c>
      <c r="J129" s="8">
        <f>IF(A129="","",0.00278*IF(G129="",Inputs!$B$17,G129)*F129*I129)</f>
        <v/>
      </c>
      <c r="K129" s="8">
        <f>IF(A129="","",SUMIFS($L$4:$L$203,$B$4:$B$203,$A129))</f>
        <v/>
      </c>
      <c r="L129" s="8">
        <f>IF(A129="","",(J129+K129)*Inputs!$B$16)</f>
        <v/>
      </c>
      <c r="M129" s="8" t="n"/>
      <c r="N129" s="8">
        <f>IF(A129="","",IF(M129="",Inputs!$B$7,M129))</f>
        <v/>
      </c>
      <c r="O129" s="4">
        <f>IF(A129="","",IF(L129/Inputs!$B$10&lt;=AD129,Inputs!$F$5,IF(L129/Inputs!$B$10&gt;AM129,"OVERSIZE",INDEX(Inputs!$F$5:$F$14,MATCH(L129/Inputs!$B$10,AD129:AM129,1)+1))))</f>
        <v/>
      </c>
      <c r="P129" s="4" t="n"/>
      <c r="Q129" s="4">
        <f>IF(A129="","",IF(P129="",O129,P129))</f>
        <v/>
      </c>
      <c r="R129" s="8">
        <f>IF(OR(Q129="",Q129="OVERSIZE"),"",Q129/1000)</f>
        <v/>
      </c>
      <c r="S129" s="8">
        <f>IF(R129="","",(1/Inputs!$B$9)*(PI()*R129^2/4)*((R129/4)^(2/3))*SQRT(N129))</f>
        <v/>
      </c>
      <c r="T129" s="8">
        <f>IF(OR(S129="",L129=""),"",L129/(S129*Inputs!$B$10))</f>
        <v/>
      </c>
      <c r="U129" s="8">
        <f>IF(OR(R129="",L129=""),"",4*L129/(PI()*R129^2))</f>
        <v/>
      </c>
      <c r="V129" s="8" t="n"/>
      <c r="W129" s="8">
        <f>IF(A129="","",IF(A129=Inputs!$B$6,Inputs!$B$22,IF(B129="","",IFERROR(INDEX($X$4:$X$203,MATCH(B129,$A$4:$A$203,0))+IF(V129="",Inputs!$B$20,V129),""))))</f>
        <v/>
      </c>
      <c r="X129" s="8">
        <f>IF(OR(W129="",N129="",C129=""),"",W129+N129*C129)</f>
        <v/>
      </c>
      <c r="Y129" s="8" t="n"/>
      <c r="Z129" s="8" t="n"/>
      <c r="AA129" s="8">
        <f>IF(OR(Y129="",W129=""),"",Y129-W129)</f>
        <v/>
      </c>
      <c r="AB129" s="8">
        <f>IF(OR(Z129="",X129=""),"",Z129-X129)</f>
        <v/>
      </c>
      <c r="AC129" s="4">
        <f>IF(A129="","",IF(OR(T129&gt;1,U129&lt;Inputs!$B$11,U129&gt;Inputs!$B$12,AA129&lt;Inputs!$B$19,AB129&lt;Inputs!$B$19,N129&lt;Inputs!$B$7,N129&gt;Inputs!$B$8),"CHECK","OK"))</f>
        <v/>
      </c>
      <c r="AD129" s="4">
        <f>IF(A129="","",(1/Inputs!$B$9)*(PI()*(Inputs!$F$5/1000)^2/4)*((Inputs!$F$5/1000/4)^(2/3))*SQRT(N129))</f>
        <v/>
      </c>
      <c r="AE129" s="4">
        <f>IF(A129="","",(1/Inputs!$B$9)*(PI()*(Inputs!$F$6/1000)^2/4)*((Inputs!$F$6/1000/4)^(2/3))*SQRT(N129))</f>
        <v/>
      </c>
      <c r="AF129" s="4">
        <f>IF(A129="","",(1/Inputs!$B$9)*(PI()*(Inputs!$F$7/1000)^2/4)*((Inputs!$F$7/1000/4)^(2/3))*SQRT(N129))</f>
        <v/>
      </c>
      <c r="AG129" s="4">
        <f>IF(A129="","",(1/Inputs!$B$9)*(PI()*(Inputs!$F$8/1000)^2/4)*((Inputs!$F$8/1000/4)^(2/3))*SQRT(N129))</f>
        <v/>
      </c>
      <c r="AH129" s="4">
        <f>IF(A129="","",(1/Inputs!$B$9)*(PI()*(Inputs!$F$9/1000)^2/4)*((Inputs!$F$9/1000/4)^(2/3))*SQRT(N129))</f>
        <v/>
      </c>
      <c r="AI129" s="4">
        <f>IF(A129="","",(1/Inputs!$B$9)*(PI()*(Inputs!$F$10/1000)^2/4)*((Inputs!$F$10/1000/4)^(2/3))*SQRT(N129))</f>
        <v/>
      </c>
      <c r="AJ129" s="4">
        <f>IF(A129="","",(1/Inputs!$B$9)*(PI()*(Inputs!$F$11/1000)^2/4)*((Inputs!$F$11/1000/4)^(2/3))*SQRT(N129))</f>
        <v/>
      </c>
      <c r="AK129" s="4">
        <f>IF(A129="","",(1/Inputs!$B$9)*(PI()*(Inputs!$F$12/1000)^2/4)*((Inputs!$F$12/1000/4)^(2/3))*SQRT(N129))</f>
        <v/>
      </c>
      <c r="AL129" s="4">
        <f>IF(A129="","",(1/Inputs!$B$9)*(PI()*(Inputs!$F$13/1000)^2/4)*((Inputs!$F$13/1000/4)^(2/3))*SQRT(N129))</f>
        <v/>
      </c>
      <c r="AM129" s="4">
        <f>IF(A129="","",(1/Inputs!$B$9)*(PI()*(Inputs!$F$14/1000)^2/4)*((Inputs!$F$14/1000/4)^(2/3))*SQRT(N129))</f>
        <v/>
      </c>
    </row>
    <row r="130">
      <c r="A130" s="4" t="n"/>
      <c r="B130" s="4" t="n"/>
      <c r="C130" s="8" t="n"/>
      <c r="D130" s="8" t="n"/>
      <c r="E130" s="8">
        <f>SUMIFS(CB_Tributaires!$C:$C,CB_Tributaires!$B:$B,$A130)</f>
        <v/>
      </c>
      <c r="F130" s="8">
        <f>IF(D130="",E130,D130)</f>
        <v/>
      </c>
      <c r="G130" s="4" t="n"/>
      <c r="H130" s="8" t="n"/>
      <c r="I130" s="8">
        <f>IF(A130="","",Inputs!$B$13/((IF(H130="",Inputs!$B$18,H130)+Inputs!$B$14)^Inputs!$B$15))</f>
        <v/>
      </c>
      <c r="J130" s="8">
        <f>IF(A130="","",0.00278*IF(G130="",Inputs!$B$17,G130)*F130*I130)</f>
        <v/>
      </c>
      <c r="K130" s="8">
        <f>IF(A130="","",SUMIFS($L$4:$L$203,$B$4:$B$203,$A130))</f>
        <v/>
      </c>
      <c r="L130" s="8">
        <f>IF(A130="","",(J130+K130)*Inputs!$B$16)</f>
        <v/>
      </c>
      <c r="M130" s="8" t="n"/>
      <c r="N130" s="8">
        <f>IF(A130="","",IF(M130="",Inputs!$B$7,M130))</f>
        <v/>
      </c>
      <c r="O130" s="4">
        <f>IF(A130="","",IF(L130/Inputs!$B$10&lt;=AD130,Inputs!$F$5,IF(L130/Inputs!$B$10&gt;AM130,"OVERSIZE",INDEX(Inputs!$F$5:$F$14,MATCH(L130/Inputs!$B$10,AD130:AM130,1)+1))))</f>
        <v/>
      </c>
      <c r="P130" s="4" t="n"/>
      <c r="Q130" s="4">
        <f>IF(A130="","",IF(P130="",O130,P130))</f>
        <v/>
      </c>
      <c r="R130" s="8">
        <f>IF(OR(Q130="",Q130="OVERSIZE"),"",Q130/1000)</f>
        <v/>
      </c>
      <c r="S130" s="8">
        <f>IF(R130="","",(1/Inputs!$B$9)*(PI()*R130^2/4)*((R130/4)^(2/3))*SQRT(N130))</f>
        <v/>
      </c>
      <c r="T130" s="8">
        <f>IF(OR(S130="",L130=""),"",L130/(S130*Inputs!$B$10))</f>
        <v/>
      </c>
      <c r="U130" s="8">
        <f>IF(OR(R130="",L130=""),"",4*L130/(PI()*R130^2))</f>
        <v/>
      </c>
      <c r="V130" s="8" t="n"/>
      <c r="W130" s="8">
        <f>IF(A130="","",IF(A130=Inputs!$B$6,Inputs!$B$22,IF(B130="","",IFERROR(INDEX($X$4:$X$203,MATCH(B130,$A$4:$A$203,0))+IF(V130="",Inputs!$B$20,V130),""))))</f>
        <v/>
      </c>
      <c r="X130" s="8">
        <f>IF(OR(W130="",N130="",C130=""),"",W130+N130*C130)</f>
        <v/>
      </c>
      <c r="Y130" s="8" t="n"/>
      <c r="Z130" s="8" t="n"/>
      <c r="AA130" s="8">
        <f>IF(OR(Y130="",W130=""),"",Y130-W130)</f>
        <v/>
      </c>
      <c r="AB130" s="8">
        <f>IF(OR(Z130="",X130=""),"",Z130-X130)</f>
        <v/>
      </c>
      <c r="AC130" s="4">
        <f>IF(A130="","",IF(OR(T130&gt;1,U130&lt;Inputs!$B$11,U130&gt;Inputs!$B$12,AA130&lt;Inputs!$B$19,AB130&lt;Inputs!$B$19,N130&lt;Inputs!$B$7,N130&gt;Inputs!$B$8),"CHECK","OK"))</f>
        <v/>
      </c>
      <c r="AD130" s="4">
        <f>IF(A130="","",(1/Inputs!$B$9)*(PI()*(Inputs!$F$5/1000)^2/4)*((Inputs!$F$5/1000/4)^(2/3))*SQRT(N130))</f>
        <v/>
      </c>
      <c r="AE130" s="4">
        <f>IF(A130="","",(1/Inputs!$B$9)*(PI()*(Inputs!$F$6/1000)^2/4)*((Inputs!$F$6/1000/4)^(2/3))*SQRT(N130))</f>
        <v/>
      </c>
      <c r="AF130" s="4">
        <f>IF(A130="","",(1/Inputs!$B$9)*(PI()*(Inputs!$F$7/1000)^2/4)*((Inputs!$F$7/1000/4)^(2/3))*SQRT(N130))</f>
        <v/>
      </c>
      <c r="AG130" s="4">
        <f>IF(A130="","",(1/Inputs!$B$9)*(PI()*(Inputs!$F$8/1000)^2/4)*((Inputs!$F$8/1000/4)^(2/3))*SQRT(N130))</f>
        <v/>
      </c>
      <c r="AH130" s="4">
        <f>IF(A130="","",(1/Inputs!$B$9)*(PI()*(Inputs!$F$9/1000)^2/4)*((Inputs!$F$9/1000/4)^(2/3))*SQRT(N130))</f>
        <v/>
      </c>
      <c r="AI130" s="4">
        <f>IF(A130="","",(1/Inputs!$B$9)*(PI()*(Inputs!$F$10/1000)^2/4)*((Inputs!$F$10/1000/4)^(2/3))*SQRT(N130))</f>
        <v/>
      </c>
      <c r="AJ130" s="4">
        <f>IF(A130="","",(1/Inputs!$B$9)*(PI()*(Inputs!$F$11/1000)^2/4)*((Inputs!$F$11/1000/4)^(2/3))*SQRT(N130))</f>
        <v/>
      </c>
      <c r="AK130" s="4">
        <f>IF(A130="","",(1/Inputs!$B$9)*(PI()*(Inputs!$F$12/1000)^2/4)*((Inputs!$F$12/1000/4)^(2/3))*SQRT(N130))</f>
        <v/>
      </c>
      <c r="AL130" s="4">
        <f>IF(A130="","",(1/Inputs!$B$9)*(PI()*(Inputs!$F$13/1000)^2/4)*((Inputs!$F$13/1000/4)^(2/3))*SQRT(N130))</f>
        <v/>
      </c>
      <c r="AM130" s="4">
        <f>IF(A130="","",(1/Inputs!$B$9)*(PI()*(Inputs!$F$14/1000)^2/4)*((Inputs!$F$14/1000/4)^(2/3))*SQRT(N130))</f>
        <v/>
      </c>
    </row>
    <row r="131">
      <c r="A131" s="4" t="n"/>
      <c r="B131" s="4" t="n"/>
      <c r="C131" s="8" t="n"/>
      <c r="D131" s="8" t="n"/>
      <c r="E131" s="8">
        <f>SUMIFS(CB_Tributaires!$C:$C,CB_Tributaires!$B:$B,$A131)</f>
        <v/>
      </c>
      <c r="F131" s="8">
        <f>IF(D131="",E131,D131)</f>
        <v/>
      </c>
      <c r="G131" s="4" t="n"/>
      <c r="H131" s="8" t="n"/>
      <c r="I131" s="8">
        <f>IF(A131="","",Inputs!$B$13/((IF(H131="",Inputs!$B$18,H131)+Inputs!$B$14)^Inputs!$B$15))</f>
        <v/>
      </c>
      <c r="J131" s="8">
        <f>IF(A131="","",0.00278*IF(G131="",Inputs!$B$17,G131)*F131*I131)</f>
        <v/>
      </c>
      <c r="K131" s="8">
        <f>IF(A131="","",SUMIFS($L$4:$L$203,$B$4:$B$203,$A131))</f>
        <v/>
      </c>
      <c r="L131" s="8">
        <f>IF(A131="","",(J131+K131)*Inputs!$B$16)</f>
        <v/>
      </c>
      <c r="M131" s="8" t="n"/>
      <c r="N131" s="8">
        <f>IF(A131="","",IF(M131="",Inputs!$B$7,M131))</f>
        <v/>
      </c>
      <c r="O131" s="4">
        <f>IF(A131="","",IF(L131/Inputs!$B$10&lt;=AD131,Inputs!$F$5,IF(L131/Inputs!$B$10&gt;AM131,"OVERSIZE",INDEX(Inputs!$F$5:$F$14,MATCH(L131/Inputs!$B$10,AD131:AM131,1)+1))))</f>
        <v/>
      </c>
      <c r="P131" s="4" t="n"/>
      <c r="Q131" s="4">
        <f>IF(A131="","",IF(P131="",O131,P131))</f>
        <v/>
      </c>
      <c r="R131" s="8">
        <f>IF(OR(Q131="",Q131="OVERSIZE"),"",Q131/1000)</f>
        <v/>
      </c>
      <c r="S131" s="8">
        <f>IF(R131="","",(1/Inputs!$B$9)*(PI()*R131^2/4)*((R131/4)^(2/3))*SQRT(N131))</f>
        <v/>
      </c>
      <c r="T131" s="8">
        <f>IF(OR(S131="",L131=""),"",L131/(S131*Inputs!$B$10))</f>
        <v/>
      </c>
      <c r="U131" s="8">
        <f>IF(OR(R131="",L131=""),"",4*L131/(PI()*R131^2))</f>
        <v/>
      </c>
      <c r="V131" s="8" t="n"/>
      <c r="W131" s="8">
        <f>IF(A131="","",IF(A131=Inputs!$B$6,Inputs!$B$22,IF(B131="","",IFERROR(INDEX($X$4:$X$203,MATCH(B131,$A$4:$A$203,0))+IF(V131="",Inputs!$B$20,V131),""))))</f>
        <v/>
      </c>
      <c r="X131" s="8">
        <f>IF(OR(W131="",N131="",C131=""),"",W131+N131*C131)</f>
        <v/>
      </c>
      <c r="Y131" s="8" t="n"/>
      <c r="Z131" s="8" t="n"/>
      <c r="AA131" s="8">
        <f>IF(OR(Y131="",W131=""),"",Y131-W131)</f>
        <v/>
      </c>
      <c r="AB131" s="8">
        <f>IF(OR(Z131="",X131=""),"",Z131-X131)</f>
        <v/>
      </c>
      <c r="AC131" s="4">
        <f>IF(A131="","",IF(OR(T131&gt;1,U131&lt;Inputs!$B$11,U131&gt;Inputs!$B$12,AA131&lt;Inputs!$B$19,AB131&lt;Inputs!$B$19,N131&lt;Inputs!$B$7,N131&gt;Inputs!$B$8),"CHECK","OK"))</f>
        <v/>
      </c>
      <c r="AD131" s="4">
        <f>IF(A131="","",(1/Inputs!$B$9)*(PI()*(Inputs!$F$5/1000)^2/4)*((Inputs!$F$5/1000/4)^(2/3))*SQRT(N131))</f>
        <v/>
      </c>
      <c r="AE131" s="4">
        <f>IF(A131="","",(1/Inputs!$B$9)*(PI()*(Inputs!$F$6/1000)^2/4)*((Inputs!$F$6/1000/4)^(2/3))*SQRT(N131))</f>
        <v/>
      </c>
      <c r="AF131" s="4">
        <f>IF(A131="","",(1/Inputs!$B$9)*(PI()*(Inputs!$F$7/1000)^2/4)*((Inputs!$F$7/1000/4)^(2/3))*SQRT(N131))</f>
        <v/>
      </c>
      <c r="AG131" s="4">
        <f>IF(A131="","",(1/Inputs!$B$9)*(PI()*(Inputs!$F$8/1000)^2/4)*((Inputs!$F$8/1000/4)^(2/3))*SQRT(N131))</f>
        <v/>
      </c>
      <c r="AH131" s="4">
        <f>IF(A131="","",(1/Inputs!$B$9)*(PI()*(Inputs!$F$9/1000)^2/4)*((Inputs!$F$9/1000/4)^(2/3))*SQRT(N131))</f>
        <v/>
      </c>
      <c r="AI131" s="4">
        <f>IF(A131="","",(1/Inputs!$B$9)*(PI()*(Inputs!$F$10/1000)^2/4)*((Inputs!$F$10/1000/4)^(2/3))*SQRT(N131))</f>
        <v/>
      </c>
      <c r="AJ131" s="4">
        <f>IF(A131="","",(1/Inputs!$B$9)*(PI()*(Inputs!$F$11/1000)^2/4)*((Inputs!$F$11/1000/4)^(2/3))*SQRT(N131))</f>
        <v/>
      </c>
      <c r="AK131" s="4">
        <f>IF(A131="","",(1/Inputs!$B$9)*(PI()*(Inputs!$F$12/1000)^2/4)*((Inputs!$F$12/1000/4)^(2/3))*SQRT(N131))</f>
        <v/>
      </c>
      <c r="AL131" s="4">
        <f>IF(A131="","",(1/Inputs!$B$9)*(PI()*(Inputs!$F$13/1000)^2/4)*((Inputs!$F$13/1000/4)^(2/3))*SQRT(N131))</f>
        <v/>
      </c>
      <c r="AM131" s="4">
        <f>IF(A131="","",(1/Inputs!$B$9)*(PI()*(Inputs!$F$14/1000)^2/4)*((Inputs!$F$14/1000/4)^(2/3))*SQRT(N131))</f>
        <v/>
      </c>
    </row>
    <row r="132">
      <c r="A132" s="4" t="n"/>
      <c r="B132" s="4" t="n"/>
      <c r="C132" s="8" t="n"/>
      <c r="D132" s="8" t="n"/>
      <c r="E132" s="8">
        <f>SUMIFS(CB_Tributaires!$C:$C,CB_Tributaires!$B:$B,$A132)</f>
        <v/>
      </c>
      <c r="F132" s="8">
        <f>IF(D132="",E132,D132)</f>
        <v/>
      </c>
      <c r="G132" s="4" t="n"/>
      <c r="H132" s="8" t="n"/>
      <c r="I132" s="8">
        <f>IF(A132="","",Inputs!$B$13/((IF(H132="",Inputs!$B$18,H132)+Inputs!$B$14)^Inputs!$B$15))</f>
        <v/>
      </c>
      <c r="J132" s="8">
        <f>IF(A132="","",0.00278*IF(G132="",Inputs!$B$17,G132)*F132*I132)</f>
        <v/>
      </c>
      <c r="K132" s="8">
        <f>IF(A132="","",SUMIFS($L$4:$L$203,$B$4:$B$203,$A132))</f>
        <v/>
      </c>
      <c r="L132" s="8">
        <f>IF(A132="","",(J132+K132)*Inputs!$B$16)</f>
        <v/>
      </c>
      <c r="M132" s="8" t="n"/>
      <c r="N132" s="8">
        <f>IF(A132="","",IF(M132="",Inputs!$B$7,M132))</f>
        <v/>
      </c>
      <c r="O132" s="4">
        <f>IF(A132="","",IF(L132/Inputs!$B$10&lt;=AD132,Inputs!$F$5,IF(L132/Inputs!$B$10&gt;AM132,"OVERSIZE",INDEX(Inputs!$F$5:$F$14,MATCH(L132/Inputs!$B$10,AD132:AM132,1)+1))))</f>
        <v/>
      </c>
      <c r="P132" s="4" t="n"/>
      <c r="Q132" s="4">
        <f>IF(A132="","",IF(P132="",O132,P132))</f>
        <v/>
      </c>
      <c r="R132" s="8">
        <f>IF(OR(Q132="",Q132="OVERSIZE"),"",Q132/1000)</f>
        <v/>
      </c>
      <c r="S132" s="8">
        <f>IF(R132="","",(1/Inputs!$B$9)*(PI()*R132^2/4)*((R132/4)^(2/3))*SQRT(N132))</f>
        <v/>
      </c>
      <c r="T132" s="8">
        <f>IF(OR(S132="",L132=""),"",L132/(S132*Inputs!$B$10))</f>
        <v/>
      </c>
      <c r="U132" s="8">
        <f>IF(OR(R132="",L132=""),"",4*L132/(PI()*R132^2))</f>
        <v/>
      </c>
      <c r="V132" s="8" t="n"/>
      <c r="W132" s="8">
        <f>IF(A132="","",IF(A132=Inputs!$B$6,Inputs!$B$22,IF(B132="","",IFERROR(INDEX($X$4:$X$203,MATCH(B132,$A$4:$A$203,0))+IF(V132="",Inputs!$B$20,V132),""))))</f>
        <v/>
      </c>
      <c r="X132" s="8">
        <f>IF(OR(W132="",N132="",C132=""),"",W132+N132*C132)</f>
        <v/>
      </c>
      <c r="Y132" s="8" t="n"/>
      <c r="Z132" s="8" t="n"/>
      <c r="AA132" s="8">
        <f>IF(OR(Y132="",W132=""),"",Y132-W132)</f>
        <v/>
      </c>
      <c r="AB132" s="8">
        <f>IF(OR(Z132="",X132=""),"",Z132-X132)</f>
        <v/>
      </c>
      <c r="AC132" s="4">
        <f>IF(A132="","",IF(OR(T132&gt;1,U132&lt;Inputs!$B$11,U132&gt;Inputs!$B$12,AA132&lt;Inputs!$B$19,AB132&lt;Inputs!$B$19,N132&lt;Inputs!$B$7,N132&gt;Inputs!$B$8),"CHECK","OK"))</f>
        <v/>
      </c>
      <c r="AD132" s="4">
        <f>IF(A132="","",(1/Inputs!$B$9)*(PI()*(Inputs!$F$5/1000)^2/4)*((Inputs!$F$5/1000/4)^(2/3))*SQRT(N132))</f>
        <v/>
      </c>
      <c r="AE132" s="4">
        <f>IF(A132="","",(1/Inputs!$B$9)*(PI()*(Inputs!$F$6/1000)^2/4)*((Inputs!$F$6/1000/4)^(2/3))*SQRT(N132))</f>
        <v/>
      </c>
      <c r="AF132" s="4">
        <f>IF(A132="","",(1/Inputs!$B$9)*(PI()*(Inputs!$F$7/1000)^2/4)*((Inputs!$F$7/1000/4)^(2/3))*SQRT(N132))</f>
        <v/>
      </c>
      <c r="AG132" s="4">
        <f>IF(A132="","",(1/Inputs!$B$9)*(PI()*(Inputs!$F$8/1000)^2/4)*((Inputs!$F$8/1000/4)^(2/3))*SQRT(N132))</f>
        <v/>
      </c>
      <c r="AH132" s="4">
        <f>IF(A132="","",(1/Inputs!$B$9)*(PI()*(Inputs!$F$9/1000)^2/4)*((Inputs!$F$9/1000/4)^(2/3))*SQRT(N132))</f>
        <v/>
      </c>
      <c r="AI132" s="4">
        <f>IF(A132="","",(1/Inputs!$B$9)*(PI()*(Inputs!$F$10/1000)^2/4)*((Inputs!$F$10/1000/4)^(2/3))*SQRT(N132))</f>
        <v/>
      </c>
      <c r="AJ132" s="4">
        <f>IF(A132="","",(1/Inputs!$B$9)*(PI()*(Inputs!$F$11/1000)^2/4)*((Inputs!$F$11/1000/4)^(2/3))*SQRT(N132))</f>
        <v/>
      </c>
      <c r="AK132" s="4">
        <f>IF(A132="","",(1/Inputs!$B$9)*(PI()*(Inputs!$F$12/1000)^2/4)*((Inputs!$F$12/1000/4)^(2/3))*SQRT(N132))</f>
        <v/>
      </c>
      <c r="AL132" s="4">
        <f>IF(A132="","",(1/Inputs!$B$9)*(PI()*(Inputs!$F$13/1000)^2/4)*((Inputs!$F$13/1000/4)^(2/3))*SQRT(N132))</f>
        <v/>
      </c>
      <c r="AM132" s="4">
        <f>IF(A132="","",(1/Inputs!$B$9)*(PI()*(Inputs!$F$14/1000)^2/4)*((Inputs!$F$14/1000/4)^(2/3))*SQRT(N132))</f>
        <v/>
      </c>
    </row>
    <row r="133">
      <c r="A133" s="4" t="n"/>
      <c r="B133" s="4" t="n"/>
      <c r="C133" s="8" t="n"/>
      <c r="D133" s="8" t="n"/>
      <c r="E133" s="8">
        <f>SUMIFS(CB_Tributaires!$C:$C,CB_Tributaires!$B:$B,$A133)</f>
        <v/>
      </c>
      <c r="F133" s="8">
        <f>IF(D133="",E133,D133)</f>
        <v/>
      </c>
      <c r="G133" s="4" t="n"/>
      <c r="H133" s="8" t="n"/>
      <c r="I133" s="8">
        <f>IF(A133="","",Inputs!$B$13/((IF(H133="",Inputs!$B$18,H133)+Inputs!$B$14)^Inputs!$B$15))</f>
        <v/>
      </c>
      <c r="J133" s="8">
        <f>IF(A133="","",0.00278*IF(G133="",Inputs!$B$17,G133)*F133*I133)</f>
        <v/>
      </c>
      <c r="K133" s="8">
        <f>IF(A133="","",SUMIFS($L$4:$L$203,$B$4:$B$203,$A133))</f>
        <v/>
      </c>
      <c r="L133" s="8">
        <f>IF(A133="","",(J133+K133)*Inputs!$B$16)</f>
        <v/>
      </c>
      <c r="M133" s="8" t="n"/>
      <c r="N133" s="8">
        <f>IF(A133="","",IF(M133="",Inputs!$B$7,M133))</f>
        <v/>
      </c>
      <c r="O133" s="4">
        <f>IF(A133="","",IF(L133/Inputs!$B$10&lt;=AD133,Inputs!$F$5,IF(L133/Inputs!$B$10&gt;AM133,"OVERSIZE",INDEX(Inputs!$F$5:$F$14,MATCH(L133/Inputs!$B$10,AD133:AM133,1)+1))))</f>
        <v/>
      </c>
      <c r="P133" s="4" t="n"/>
      <c r="Q133" s="4">
        <f>IF(A133="","",IF(P133="",O133,P133))</f>
        <v/>
      </c>
      <c r="R133" s="8">
        <f>IF(OR(Q133="",Q133="OVERSIZE"),"",Q133/1000)</f>
        <v/>
      </c>
      <c r="S133" s="8">
        <f>IF(R133="","",(1/Inputs!$B$9)*(PI()*R133^2/4)*((R133/4)^(2/3))*SQRT(N133))</f>
        <v/>
      </c>
      <c r="T133" s="8">
        <f>IF(OR(S133="",L133=""),"",L133/(S133*Inputs!$B$10))</f>
        <v/>
      </c>
      <c r="U133" s="8">
        <f>IF(OR(R133="",L133=""),"",4*L133/(PI()*R133^2))</f>
        <v/>
      </c>
      <c r="V133" s="8" t="n"/>
      <c r="W133" s="8">
        <f>IF(A133="","",IF(A133=Inputs!$B$6,Inputs!$B$22,IF(B133="","",IFERROR(INDEX($X$4:$X$203,MATCH(B133,$A$4:$A$203,0))+IF(V133="",Inputs!$B$20,V133),""))))</f>
        <v/>
      </c>
      <c r="X133" s="8">
        <f>IF(OR(W133="",N133="",C133=""),"",W133+N133*C133)</f>
        <v/>
      </c>
      <c r="Y133" s="8" t="n"/>
      <c r="Z133" s="8" t="n"/>
      <c r="AA133" s="8">
        <f>IF(OR(Y133="",W133=""),"",Y133-W133)</f>
        <v/>
      </c>
      <c r="AB133" s="8">
        <f>IF(OR(Z133="",X133=""),"",Z133-X133)</f>
        <v/>
      </c>
      <c r="AC133" s="4">
        <f>IF(A133="","",IF(OR(T133&gt;1,U133&lt;Inputs!$B$11,U133&gt;Inputs!$B$12,AA133&lt;Inputs!$B$19,AB133&lt;Inputs!$B$19,N133&lt;Inputs!$B$7,N133&gt;Inputs!$B$8),"CHECK","OK"))</f>
        <v/>
      </c>
      <c r="AD133" s="4">
        <f>IF(A133="","",(1/Inputs!$B$9)*(PI()*(Inputs!$F$5/1000)^2/4)*((Inputs!$F$5/1000/4)^(2/3))*SQRT(N133))</f>
        <v/>
      </c>
      <c r="AE133" s="4">
        <f>IF(A133="","",(1/Inputs!$B$9)*(PI()*(Inputs!$F$6/1000)^2/4)*((Inputs!$F$6/1000/4)^(2/3))*SQRT(N133))</f>
        <v/>
      </c>
      <c r="AF133" s="4">
        <f>IF(A133="","",(1/Inputs!$B$9)*(PI()*(Inputs!$F$7/1000)^2/4)*((Inputs!$F$7/1000/4)^(2/3))*SQRT(N133))</f>
        <v/>
      </c>
      <c r="AG133" s="4">
        <f>IF(A133="","",(1/Inputs!$B$9)*(PI()*(Inputs!$F$8/1000)^2/4)*((Inputs!$F$8/1000/4)^(2/3))*SQRT(N133))</f>
        <v/>
      </c>
      <c r="AH133" s="4">
        <f>IF(A133="","",(1/Inputs!$B$9)*(PI()*(Inputs!$F$9/1000)^2/4)*((Inputs!$F$9/1000/4)^(2/3))*SQRT(N133))</f>
        <v/>
      </c>
      <c r="AI133" s="4">
        <f>IF(A133="","",(1/Inputs!$B$9)*(PI()*(Inputs!$F$10/1000)^2/4)*((Inputs!$F$10/1000/4)^(2/3))*SQRT(N133))</f>
        <v/>
      </c>
      <c r="AJ133" s="4">
        <f>IF(A133="","",(1/Inputs!$B$9)*(PI()*(Inputs!$F$11/1000)^2/4)*((Inputs!$F$11/1000/4)^(2/3))*SQRT(N133))</f>
        <v/>
      </c>
      <c r="AK133" s="4">
        <f>IF(A133="","",(1/Inputs!$B$9)*(PI()*(Inputs!$F$12/1000)^2/4)*((Inputs!$F$12/1000/4)^(2/3))*SQRT(N133))</f>
        <v/>
      </c>
      <c r="AL133" s="4">
        <f>IF(A133="","",(1/Inputs!$B$9)*(PI()*(Inputs!$F$13/1000)^2/4)*((Inputs!$F$13/1000/4)^(2/3))*SQRT(N133))</f>
        <v/>
      </c>
      <c r="AM133" s="4">
        <f>IF(A133="","",(1/Inputs!$B$9)*(PI()*(Inputs!$F$14/1000)^2/4)*((Inputs!$F$14/1000/4)^(2/3))*SQRT(N133))</f>
        <v/>
      </c>
    </row>
    <row r="134">
      <c r="A134" s="4" t="n"/>
      <c r="B134" s="4" t="n"/>
      <c r="C134" s="8" t="n"/>
      <c r="D134" s="8" t="n"/>
      <c r="E134" s="8">
        <f>SUMIFS(CB_Tributaires!$C:$C,CB_Tributaires!$B:$B,$A134)</f>
        <v/>
      </c>
      <c r="F134" s="8">
        <f>IF(D134="",E134,D134)</f>
        <v/>
      </c>
      <c r="G134" s="4" t="n"/>
      <c r="H134" s="8" t="n"/>
      <c r="I134" s="8">
        <f>IF(A134="","",Inputs!$B$13/((IF(H134="",Inputs!$B$18,H134)+Inputs!$B$14)^Inputs!$B$15))</f>
        <v/>
      </c>
      <c r="J134" s="8">
        <f>IF(A134="","",0.00278*IF(G134="",Inputs!$B$17,G134)*F134*I134)</f>
        <v/>
      </c>
      <c r="K134" s="8">
        <f>IF(A134="","",SUMIFS($L$4:$L$203,$B$4:$B$203,$A134))</f>
        <v/>
      </c>
      <c r="L134" s="8">
        <f>IF(A134="","",(J134+K134)*Inputs!$B$16)</f>
        <v/>
      </c>
      <c r="M134" s="8" t="n"/>
      <c r="N134" s="8">
        <f>IF(A134="","",IF(M134="",Inputs!$B$7,M134))</f>
        <v/>
      </c>
      <c r="O134" s="4">
        <f>IF(A134="","",IF(L134/Inputs!$B$10&lt;=AD134,Inputs!$F$5,IF(L134/Inputs!$B$10&gt;AM134,"OVERSIZE",INDEX(Inputs!$F$5:$F$14,MATCH(L134/Inputs!$B$10,AD134:AM134,1)+1))))</f>
        <v/>
      </c>
      <c r="P134" s="4" t="n"/>
      <c r="Q134" s="4">
        <f>IF(A134="","",IF(P134="",O134,P134))</f>
        <v/>
      </c>
      <c r="R134" s="8">
        <f>IF(OR(Q134="",Q134="OVERSIZE"),"",Q134/1000)</f>
        <v/>
      </c>
      <c r="S134" s="8">
        <f>IF(R134="","",(1/Inputs!$B$9)*(PI()*R134^2/4)*((R134/4)^(2/3))*SQRT(N134))</f>
        <v/>
      </c>
      <c r="T134" s="8">
        <f>IF(OR(S134="",L134=""),"",L134/(S134*Inputs!$B$10))</f>
        <v/>
      </c>
      <c r="U134" s="8">
        <f>IF(OR(R134="",L134=""),"",4*L134/(PI()*R134^2))</f>
        <v/>
      </c>
      <c r="V134" s="8" t="n"/>
      <c r="W134" s="8">
        <f>IF(A134="","",IF(A134=Inputs!$B$6,Inputs!$B$22,IF(B134="","",IFERROR(INDEX($X$4:$X$203,MATCH(B134,$A$4:$A$203,0))+IF(V134="",Inputs!$B$20,V134),""))))</f>
        <v/>
      </c>
      <c r="X134" s="8">
        <f>IF(OR(W134="",N134="",C134=""),"",W134+N134*C134)</f>
        <v/>
      </c>
      <c r="Y134" s="8" t="n"/>
      <c r="Z134" s="8" t="n"/>
      <c r="AA134" s="8">
        <f>IF(OR(Y134="",W134=""),"",Y134-W134)</f>
        <v/>
      </c>
      <c r="AB134" s="8">
        <f>IF(OR(Z134="",X134=""),"",Z134-X134)</f>
        <v/>
      </c>
      <c r="AC134" s="4">
        <f>IF(A134="","",IF(OR(T134&gt;1,U134&lt;Inputs!$B$11,U134&gt;Inputs!$B$12,AA134&lt;Inputs!$B$19,AB134&lt;Inputs!$B$19,N134&lt;Inputs!$B$7,N134&gt;Inputs!$B$8),"CHECK","OK"))</f>
        <v/>
      </c>
      <c r="AD134" s="4">
        <f>IF(A134="","",(1/Inputs!$B$9)*(PI()*(Inputs!$F$5/1000)^2/4)*((Inputs!$F$5/1000/4)^(2/3))*SQRT(N134))</f>
        <v/>
      </c>
      <c r="AE134" s="4">
        <f>IF(A134="","",(1/Inputs!$B$9)*(PI()*(Inputs!$F$6/1000)^2/4)*((Inputs!$F$6/1000/4)^(2/3))*SQRT(N134))</f>
        <v/>
      </c>
      <c r="AF134" s="4">
        <f>IF(A134="","",(1/Inputs!$B$9)*(PI()*(Inputs!$F$7/1000)^2/4)*((Inputs!$F$7/1000/4)^(2/3))*SQRT(N134))</f>
        <v/>
      </c>
      <c r="AG134" s="4">
        <f>IF(A134="","",(1/Inputs!$B$9)*(PI()*(Inputs!$F$8/1000)^2/4)*((Inputs!$F$8/1000/4)^(2/3))*SQRT(N134))</f>
        <v/>
      </c>
      <c r="AH134" s="4">
        <f>IF(A134="","",(1/Inputs!$B$9)*(PI()*(Inputs!$F$9/1000)^2/4)*((Inputs!$F$9/1000/4)^(2/3))*SQRT(N134))</f>
        <v/>
      </c>
      <c r="AI134" s="4">
        <f>IF(A134="","",(1/Inputs!$B$9)*(PI()*(Inputs!$F$10/1000)^2/4)*((Inputs!$F$10/1000/4)^(2/3))*SQRT(N134))</f>
        <v/>
      </c>
      <c r="AJ134" s="4">
        <f>IF(A134="","",(1/Inputs!$B$9)*(PI()*(Inputs!$F$11/1000)^2/4)*((Inputs!$F$11/1000/4)^(2/3))*SQRT(N134))</f>
        <v/>
      </c>
      <c r="AK134" s="4">
        <f>IF(A134="","",(1/Inputs!$B$9)*(PI()*(Inputs!$F$12/1000)^2/4)*((Inputs!$F$12/1000/4)^(2/3))*SQRT(N134))</f>
        <v/>
      </c>
      <c r="AL134" s="4">
        <f>IF(A134="","",(1/Inputs!$B$9)*(PI()*(Inputs!$F$13/1000)^2/4)*((Inputs!$F$13/1000/4)^(2/3))*SQRT(N134))</f>
        <v/>
      </c>
      <c r="AM134" s="4">
        <f>IF(A134="","",(1/Inputs!$B$9)*(PI()*(Inputs!$F$14/1000)^2/4)*((Inputs!$F$14/1000/4)^(2/3))*SQRT(N134))</f>
        <v/>
      </c>
    </row>
    <row r="135">
      <c r="A135" s="4" t="n"/>
      <c r="B135" s="4" t="n"/>
      <c r="C135" s="8" t="n"/>
      <c r="D135" s="8" t="n"/>
      <c r="E135" s="8">
        <f>SUMIFS(CB_Tributaires!$C:$C,CB_Tributaires!$B:$B,$A135)</f>
        <v/>
      </c>
      <c r="F135" s="8">
        <f>IF(D135="",E135,D135)</f>
        <v/>
      </c>
      <c r="G135" s="4" t="n"/>
      <c r="H135" s="8" t="n"/>
      <c r="I135" s="8">
        <f>IF(A135="","",Inputs!$B$13/((IF(H135="",Inputs!$B$18,H135)+Inputs!$B$14)^Inputs!$B$15))</f>
        <v/>
      </c>
      <c r="J135" s="8">
        <f>IF(A135="","",0.00278*IF(G135="",Inputs!$B$17,G135)*F135*I135)</f>
        <v/>
      </c>
      <c r="K135" s="8">
        <f>IF(A135="","",SUMIFS($L$4:$L$203,$B$4:$B$203,$A135))</f>
        <v/>
      </c>
      <c r="L135" s="8">
        <f>IF(A135="","",(J135+K135)*Inputs!$B$16)</f>
        <v/>
      </c>
      <c r="M135" s="8" t="n"/>
      <c r="N135" s="8">
        <f>IF(A135="","",IF(M135="",Inputs!$B$7,M135))</f>
        <v/>
      </c>
      <c r="O135" s="4">
        <f>IF(A135="","",IF(L135/Inputs!$B$10&lt;=AD135,Inputs!$F$5,IF(L135/Inputs!$B$10&gt;AM135,"OVERSIZE",INDEX(Inputs!$F$5:$F$14,MATCH(L135/Inputs!$B$10,AD135:AM135,1)+1))))</f>
        <v/>
      </c>
      <c r="P135" s="4" t="n"/>
      <c r="Q135" s="4">
        <f>IF(A135="","",IF(P135="",O135,P135))</f>
        <v/>
      </c>
      <c r="R135" s="8">
        <f>IF(OR(Q135="",Q135="OVERSIZE"),"",Q135/1000)</f>
        <v/>
      </c>
      <c r="S135" s="8">
        <f>IF(R135="","",(1/Inputs!$B$9)*(PI()*R135^2/4)*((R135/4)^(2/3))*SQRT(N135))</f>
        <v/>
      </c>
      <c r="T135" s="8">
        <f>IF(OR(S135="",L135=""),"",L135/(S135*Inputs!$B$10))</f>
        <v/>
      </c>
      <c r="U135" s="8">
        <f>IF(OR(R135="",L135=""),"",4*L135/(PI()*R135^2))</f>
        <v/>
      </c>
      <c r="V135" s="8" t="n"/>
      <c r="W135" s="8">
        <f>IF(A135="","",IF(A135=Inputs!$B$6,Inputs!$B$22,IF(B135="","",IFERROR(INDEX($X$4:$X$203,MATCH(B135,$A$4:$A$203,0))+IF(V135="",Inputs!$B$20,V135),""))))</f>
        <v/>
      </c>
      <c r="X135" s="8">
        <f>IF(OR(W135="",N135="",C135=""),"",W135+N135*C135)</f>
        <v/>
      </c>
      <c r="Y135" s="8" t="n"/>
      <c r="Z135" s="8" t="n"/>
      <c r="AA135" s="8">
        <f>IF(OR(Y135="",W135=""),"",Y135-W135)</f>
        <v/>
      </c>
      <c r="AB135" s="8">
        <f>IF(OR(Z135="",X135=""),"",Z135-X135)</f>
        <v/>
      </c>
      <c r="AC135" s="4">
        <f>IF(A135="","",IF(OR(T135&gt;1,U135&lt;Inputs!$B$11,U135&gt;Inputs!$B$12,AA135&lt;Inputs!$B$19,AB135&lt;Inputs!$B$19,N135&lt;Inputs!$B$7,N135&gt;Inputs!$B$8),"CHECK","OK"))</f>
        <v/>
      </c>
      <c r="AD135" s="4">
        <f>IF(A135="","",(1/Inputs!$B$9)*(PI()*(Inputs!$F$5/1000)^2/4)*((Inputs!$F$5/1000/4)^(2/3))*SQRT(N135))</f>
        <v/>
      </c>
      <c r="AE135" s="4">
        <f>IF(A135="","",(1/Inputs!$B$9)*(PI()*(Inputs!$F$6/1000)^2/4)*((Inputs!$F$6/1000/4)^(2/3))*SQRT(N135))</f>
        <v/>
      </c>
      <c r="AF135" s="4">
        <f>IF(A135="","",(1/Inputs!$B$9)*(PI()*(Inputs!$F$7/1000)^2/4)*((Inputs!$F$7/1000/4)^(2/3))*SQRT(N135))</f>
        <v/>
      </c>
      <c r="AG135" s="4">
        <f>IF(A135="","",(1/Inputs!$B$9)*(PI()*(Inputs!$F$8/1000)^2/4)*((Inputs!$F$8/1000/4)^(2/3))*SQRT(N135))</f>
        <v/>
      </c>
      <c r="AH135" s="4">
        <f>IF(A135="","",(1/Inputs!$B$9)*(PI()*(Inputs!$F$9/1000)^2/4)*((Inputs!$F$9/1000/4)^(2/3))*SQRT(N135))</f>
        <v/>
      </c>
      <c r="AI135" s="4">
        <f>IF(A135="","",(1/Inputs!$B$9)*(PI()*(Inputs!$F$10/1000)^2/4)*((Inputs!$F$10/1000/4)^(2/3))*SQRT(N135))</f>
        <v/>
      </c>
      <c r="AJ135" s="4">
        <f>IF(A135="","",(1/Inputs!$B$9)*(PI()*(Inputs!$F$11/1000)^2/4)*((Inputs!$F$11/1000/4)^(2/3))*SQRT(N135))</f>
        <v/>
      </c>
      <c r="AK135" s="4">
        <f>IF(A135="","",(1/Inputs!$B$9)*(PI()*(Inputs!$F$12/1000)^2/4)*((Inputs!$F$12/1000/4)^(2/3))*SQRT(N135))</f>
        <v/>
      </c>
      <c r="AL135" s="4">
        <f>IF(A135="","",(1/Inputs!$B$9)*(PI()*(Inputs!$F$13/1000)^2/4)*((Inputs!$F$13/1000/4)^(2/3))*SQRT(N135))</f>
        <v/>
      </c>
      <c r="AM135" s="4">
        <f>IF(A135="","",(1/Inputs!$B$9)*(PI()*(Inputs!$F$14/1000)^2/4)*((Inputs!$F$14/1000/4)^(2/3))*SQRT(N135))</f>
        <v/>
      </c>
    </row>
    <row r="136">
      <c r="A136" s="4" t="n"/>
      <c r="B136" s="4" t="n"/>
      <c r="C136" s="8" t="n"/>
      <c r="D136" s="8" t="n"/>
      <c r="E136" s="8">
        <f>SUMIFS(CB_Tributaires!$C:$C,CB_Tributaires!$B:$B,$A136)</f>
        <v/>
      </c>
      <c r="F136" s="8">
        <f>IF(D136="",E136,D136)</f>
        <v/>
      </c>
      <c r="G136" s="4" t="n"/>
      <c r="H136" s="8" t="n"/>
      <c r="I136" s="8">
        <f>IF(A136="","",Inputs!$B$13/((IF(H136="",Inputs!$B$18,H136)+Inputs!$B$14)^Inputs!$B$15))</f>
        <v/>
      </c>
      <c r="J136" s="8">
        <f>IF(A136="","",0.00278*IF(G136="",Inputs!$B$17,G136)*F136*I136)</f>
        <v/>
      </c>
      <c r="K136" s="8">
        <f>IF(A136="","",SUMIFS($L$4:$L$203,$B$4:$B$203,$A136))</f>
        <v/>
      </c>
      <c r="L136" s="8">
        <f>IF(A136="","",(J136+K136)*Inputs!$B$16)</f>
        <v/>
      </c>
      <c r="M136" s="8" t="n"/>
      <c r="N136" s="8">
        <f>IF(A136="","",IF(M136="",Inputs!$B$7,M136))</f>
        <v/>
      </c>
      <c r="O136" s="4">
        <f>IF(A136="","",IF(L136/Inputs!$B$10&lt;=AD136,Inputs!$F$5,IF(L136/Inputs!$B$10&gt;AM136,"OVERSIZE",INDEX(Inputs!$F$5:$F$14,MATCH(L136/Inputs!$B$10,AD136:AM136,1)+1))))</f>
        <v/>
      </c>
      <c r="P136" s="4" t="n"/>
      <c r="Q136" s="4">
        <f>IF(A136="","",IF(P136="",O136,P136))</f>
        <v/>
      </c>
      <c r="R136" s="8">
        <f>IF(OR(Q136="",Q136="OVERSIZE"),"",Q136/1000)</f>
        <v/>
      </c>
      <c r="S136" s="8">
        <f>IF(R136="","",(1/Inputs!$B$9)*(PI()*R136^2/4)*((R136/4)^(2/3))*SQRT(N136))</f>
        <v/>
      </c>
      <c r="T136" s="8">
        <f>IF(OR(S136="",L136=""),"",L136/(S136*Inputs!$B$10))</f>
        <v/>
      </c>
      <c r="U136" s="8">
        <f>IF(OR(R136="",L136=""),"",4*L136/(PI()*R136^2))</f>
        <v/>
      </c>
      <c r="V136" s="8" t="n"/>
      <c r="W136" s="8">
        <f>IF(A136="","",IF(A136=Inputs!$B$6,Inputs!$B$22,IF(B136="","",IFERROR(INDEX($X$4:$X$203,MATCH(B136,$A$4:$A$203,0))+IF(V136="",Inputs!$B$20,V136),""))))</f>
        <v/>
      </c>
      <c r="X136" s="8">
        <f>IF(OR(W136="",N136="",C136=""),"",W136+N136*C136)</f>
        <v/>
      </c>
      <c r="Y136" s="8" t="n"/>
      <c r="Z136" s="8" t="n"/>
      <c r="AA136" s="8">
        <f>IF(OR(Y136="",W136=""),"",Y136-W136)</f>
        <v/>
      </c>
      <c r="AB136" s="8">
        <f>IF(OR(Z136="",X136=""),"",Z136-X136)</f>
        <v/>
      </c>
      <c r="AC136" s="4">
        <f>IF(A136="","",IF(OR(T136&gt;1,U136&lt;Inputs!$B$11,U136&gt;Inputs!$B$12,AA136&lt;Inputs!$B$19,AB136&lt;Inputs!$B$19,N136&lt;Inputs!$B$7,N136&gt;Inputs!$B$8),"CHECK","OK"))</f>
        <v/>
      </c>
      <c r="AD136" s="4">
        <f>IF(A136="","",(1/Inputs!$B$9)*(PI()*(Inputs!$F$5/1000)^2/4)*((Inputs!$F$5/1000/4)^(2/3))*SQRT(N136))</f>
        <v/>
      </c>
      <c r="AE136" s="4">
        <f>IF(A136="","",(1/Inputs!$B$9)*(PI()*(Inputs!$F$6/1000)^2/4)*((Inputs!$F$6/1000/4)^(2/3))*SQRT(N136))</f>
        <v/>
      </c>
      <c r="AF136" s="4">
        <f>IF(A136="","",(1/Inputs!$B$9)*(PI()*(Inputs!$F$7/1000)^2/4)*((Inputs!$F$7/1000/4)^(2/3))*SQRT(N136))</f>
        <v/>
      </c>
      <c r="AG136" s="4">
        <f>IF(A136="","",(1/Inputs!$B$9)*(PI()*(Inputs!$F$8/1000)^2/4)*((Inputs!$F$8/1000/4)^(2/3))*SQRT(N136))</f>
        <v/>
      </c>
      <c r="AH136" s="4">
        <f>IF(A136="","",(1/Inputs!$B$9)*(PI()*(Inputs!$F$9/1000)^2/4)*((Inputs!$F$9/1000/4)^(2/3))*SQRT(N136))</f>
        <v/>
      </c>
      <c r="AI136" s="4">
        <f>IF(A136="","",(1/Inputs!$B$9)*(PI()*(Inputs!$F$10/1000)^2/4)*((Inputs!$F$10/1000/4)^(2/3))*SQRT(N136))</f>
        <v/>
      </c>
      <c r="AJ136" s="4">
        <f>IF(A136="","",(1/Inputs!$B$9)*(PI()*(Inputs!$F$11/1000)^2/4)*((Inputs!$F$11/1000/4)^(2/3))*SQRT(N136))</f>
        <v/>
      </c>
      <c r="AK136" s="4">
        <f>IF(A136="","",(1/Inputs!$B$9)*(PI()*(Inputs!$F$12/1000)^2/4)*((Inputs!$F$12/1000/4)^(2/3))*SQRT(N136))</f>
        <v/>
      </c>
      <c r="AL136" s="4">
        <f>IF(A136="","",(1/Inputs!$B$9)*(PI()*(Inputs!$F$13/1000)^2/4)*((Inputs!$F$13/1000/4)^(2/3))*SQRT(N136))</f>
        <v/>
      </c>
      <c r="AM136" s="4">
        <f>IF(A136="","",(1/Inputs!$B$9)*(PI()*(Inputs!$F$14/1000)^2/4)*((Inputs!$F$14/1000/4)^(2/3))*SQRT(N136))</f>
        <v/>
      </c>
    </row>
    <row r="137">
      <c r="A137" s="4" t="n"/>
      <c r="B137" s="4" t="n"/>
      <c r="C137" s="8" t="n"/>
      <c r="D137" s="8" t="n"/>
      <c r="E137" s="8">
        <f>SUMIFS(CB_Tributaires!$C:$C,CB_Tributaires!$B:$B,$A137)</f>
        <v/>
      </c>
      <c r="F137" s="8">
        <f>IF(D137="",E137,D137)</f>
        <v/>
      </c>
      <c r="G137" s="4" t="n"/>
      <c r="H137" s="8" t="n"/>
      <c r="I137" s="8">
        <f>IF(A137="","",Inputs!$B$13/((IF(H137="",Inputs!$B$18,H137)+Inputs!$B$14)^Inputs!$B$15))</f>
        <v/>
      </c>
      <c r="J137" s="8">
        <f>IF(A137="","",0.00278*IF(G137="",Inputs!$B$17,G137)*F137*I137)</f>
        <v/>
      </c>
      <c r="K137" s="8">
        <f>IF(A137="","",SUMIFS($L$4:$L$203,$B$4:$B$203,$A137))</f>
        <v/>
      </c>
      <c r="L137" s="8">
        <f>IF(A137="","",(J137+K137)*Inputs!$B$16)</f>
        <v/>
      </c>
      <c r="M137" s="8" t="n"/>
      <c r="N137" s="8">
        <f>IF(A137="","",IF(M137="",Inputs!$B$7,M137))</f>
        <v/>
      </c>
      <c r="O137" s="4">
        <f>IF(A137="","",IF(L137/Inputs!$B$10&lt;=AD137,Inputs!$F$5,IF(L137/Inputs!$B$10&gt;AM137,"OVERSIZE",INDEX(Inputs!$F$5:$F$14,MATCH(L137/Inputs!$B$10,AD137:AM137,1)+1))))</f>
        <v/>
      </c>
      <c r="P137" s="4" t="n"/>
      <c r="Q137" s="4">
        <f>IF(A137="","",IF(P137="",O137,P137))</f>
        <v/>
      </c>
      <c r="R137" s="8">
        <f>IF(OR(Q137="",Q137="OVERSIZE"),"",Q137/1000)</f>
        <v/>
      </c>
      <c r="S137" s="8">
        <f>IF(R137="","",(1/Inputs!$B$9)*(PI()*R137^2/4)*((R137/4)^(2/3))*SQRT(N137))</f>
        <v/>
      </c>
      <c r="T137" s="8">
        <f>IF(OR(S137="",L137=""),"",L137/(S137*Inputs!$B$10))</f>
        <v/>
      </c>
      <c r="U137" s="8">
        <f>IF(OR(R137="",L137=""),"",4*L137/(PI()*R137^2))</f>
        <v/>
      </c>
      <c r="V137" s="8" t="n"/>
      <c r="W137" s="8">
        <f>IF(A137="","",IF(A137=Inputs!$B$6,Inputs!$B$22,IF(B137="","",IFERROR(INDEX($X$4:$X$203,MATCH(B137,$A$4:$A$203,0))+IF(V137="",Inputs!$B$20,V137),""))))</f>
        <v/>
      </c>
      <c r="X137" s="8">
        <f>IF(OR(W137="",N137="",C137=""),"",W137+N137*C137)</f>
        <v/>
      </c>
      <c r="Y137" s="8" t="n"/>
      <c r="Z137" s="8" t="n"/>
      <c r="AA137" s="8">
        <f>IF(OR(Y137="",W137=""),"",Y137-W137)</f>
        <v/>
      </c>
      <c r="AB137" s="8">
        <f>IF(OR(Z137="",X137=""),"",Z137-X137)</f>
        <v/>
      </c>
      <c r="AC137" s="4">
        <f>IF(A137="","",IF(OR(T137&gt;1,U137&lt;Inputs!$B$11,U137&gt;Inputs!$B$12,AA137&lt;Inputs!$B$19,AB137&lt;Inputs!$B$19,N137&lt;Inputs!$B$7,N137&gt;Inputs!$B$8),"CHECK","OK"))</f>
        <v/>
      </c>
      <c r="AD137" s="4">
        <f>IF(A137="","",(1/Inputs!$B$9)*(PI()*(Inputs!$F$5/1000)^2/4)*((Inputs!$F$5/1000/4)^(2/3))*SQRT(N137))</f>
        <v/>
      </c>
      <c r="AE137" s="4">
        <f>IF(A137="","",(1/Inputs!$B$9)*(PI()*(Inputs!$F$6/1000)^2/4)*((Inputs!$F$6/1000/4)^(2/3))*SQRT(N137))</f>
        <v/>
      </c>
      <c r="AF137" s="4">
        <f>IF(A137="","",(1/Inputs!$B$9)*(PI()*(Inputs!$F$7/1000)^2/4)*((Inputs!$F$7/1000/4)^(2/3))*SQRT(N137))</f>
        <v/>
      </c>
      <c r="AG137" s="4">
        <f>IF(A137="","",(1/Inputs!$B$9)*(PI()*(Inputs!$F$8/1000)^2/4)*((Inputs!$F$8/1000/4)^(2/3))*SQRT(N137))</f>
        <v/>
      </c>
      <c r="AH137" s="4">
        <f>IF(A137="","",(1/Inputs!$B$9)*(PI()*(Inputs!$F$9/1000)^2/4)*((Inputs!$F$9/1000/4)^(2/3))*SQRT(N137))</f>
        <v/>
      </c>
      <c r="AI137" s="4">
        <f>IF(A137="","",(1/Inputs!$B$9)*(PI()*(Inputs!$F$10/1000)^2/4)*((Inputs!$F$10/1000/4)^(2/3))*SQRT(N137))</f>
        <v/>
      </c>
      <c r="AJ137" s="4">
        <f>IF(A137="","",(1/Inputs!$B$9)*(PI()*(Inputs!$F$11/1000)^2/4)*((Inputs!$F$11/1000/4)^(2/3))*SQRT(N137))</f>
        <v/>
      </c>
      <c r="AK137" s="4">
        <f>IF(A137="","",(1/Inputs!$B$9)*(PI()*(Inputs!$F$12/1000)^2/4)*((Inputs!$F$12/1000/4)^(2/3))*SQRT(N137))</f>
        <v/>
      </c>
      <c r="AL137" s="4">
        <f>IF(A137="","",(1/Inputs!$B$9)*(PI()*(Inputs!$F$13/1000)^2/4)*((Inputs!$F$13/1000/4)^(2/3))*SQRT(N137))</f>
        <v/>
      </c>
      <c r="AM137" s="4">
        <f>IF(A137="","",(1/Inputs!$B$9)*(PI()*(Inputs!$F$14/1000)^2/4)*((Inputs!$F$14/1000/4)^(2/3))*SQRT(N137))</f>
        <v/>
      </c>
    </row>
    <row r="138">
      <c r="A138" s="4" t="n"/>
      <c r="B138" s="4" t="n"/>
      <c r="C138" s="8" t="n"/>
      <c r="D138" s="8" t="n"/>
      <c r="E138" s="8">
        <f>SUMIFS(CB_Tributaires!$C:$C,CB_Tributaires!$B:$B,$A138)</f>
        <v/>
      </c>
      <c r="F138" s="8">
        <f>IF(D138="",E138,D138)</f>
        <v/>
      </c>
      <c r="G138" s="4" t="n"/>
      <c r="H138" s="8" t="n"/>
      <c r="I138" s="8">
        <f>IF(A138="","",Inputs!$B$13/((IF(H138="",Inputs!$B$18,H138)+Inputs!$B$14)^Inputs!$B$15))</f>
        <v/>
      </c>
      <c r="J138" s="8">
        <f>IF(A138="","",0.00278*IF(G138="",Inputs!$B$17,G138)*F138*I138)</f>
        <v/>
      </c>
      <c r="K138" s="8">
        <f>IF(A138="","",SUMIFS($L$4:$L$203,$B$4:$B$203,$A138))</f>
        <v/>
      </c>
      <c r="L138" s="8">
        <f>IF(A138="","",(J138+K138)*Inputs!$B$16)</f>
        <v/>
      </c>
      <c r="M138" s="8" t="n"/>
      <c r="N138" s="8">
        <f>IF(A138="","",IF(M138="",Inputs!$B$7,M138))</f>
        <v/>
      </c>
      <c r="O138" s="4">
        <f>IF(A138="","",IF(L138/Inputs!$B$10&lt;=AD138,Inputs!$F$5,IF(L138/Inputs!$B$10&gt;AM138,"OVERSIZE",INDEX(Inputs!$F$5:$F$14,MATCH(L138/Inputs!$B$10,AD138:AM138,1)+1))))</f>
        <v/>
      </c>
      <c r="P138" s="4" t="n"/>
      <c r="Q138" s="4">
        <f>IF(A138="","",IF(P138="",O138,P138))</f>
        <v/>
      </c>
      <c r="R138" s="8">
        <f>IF(OR(Q138="",Q138="OVERSIZE"),"",Q138/1000)</f>
        <v/>
      </c>
      <c r="S138" s="8">
        <f>IF(R138="","",(1/Inputs!$B$9)*(PI()*R138^2/4)*((R138/4)^(2/3))*SQRT(N138))</f>
        <v/>
      </c>
      <c r="T138" s="8">
        <f>IF(OR(S138="",L138=""),"",L138/(S138*Inputs!$B$10))</f>
        <v/>
      </c>
      <c r="U138" s="8">
        <f>IF(OR(R138="",L138=""),"",4*L138/(PI()*R138^2))</f>
        <v/>
      </c>
      <c r="V138" s="8" t="n"/>
      <c r="W138" s="8">
        <f>IF(A138="","",IF(A138=Inputs!$B$6,Inputs!$B$22,IF(B138="","",IFERROR(INDEX($X$4:$X$203,MATCH(B138,$A$4:$A$203,0))+IF(V138="",Inputs!$B$20,V138),""))))</f>
        <v/>
      </c>
      <c r="X138" s="8">
        <f>IF(OR(W138="",N138="",C138=""),"",W138+N138*C138)</f>
        <v/>
      </c>
      <c r="Y138" s="8" t="n"/>
      <c r="Z138" s="8" t="n"/>
      <c r="AA138" s="8">
        <f>IF(OR(Y138="",W138=""),"",Y138-W138)</f>
        <v/>
      </c>
      <c r="AB138" s="8">
        <f>IF(OR(Z138="",X138=""),"",Z138-X138)</f>
        <v/>
      </c>
      <c r="AC138" s="4">
        <f>IF(A138="","",IF(OR(T138&gt;1,U138&lt;Inputs!$B$11,U138&gt;Inputs!$B$12,AA138&lt;Inputs!$B$19,AB138&lt;Inputs!$B$19,N138&lt;Inputs!$B$7,N138&gt;Inputs!$B$8),"CHECK","OK"))</f>
        <v/>
      </c>
      <c r="AD138" s="4">
        <f>IF(A138="","",(1/Inputs!$B$9)*(PI()*(Inputs!$F$5/1000)^2/4)*((Inputs!$F$5/1000/4)^(2/3))*SQRT(N138))</f>
        <v/>
      </c>
      <c r="AE138" s="4">
        <f>IF(A138="","",(1/Inputs!$B$9)*(PI()*(Inputs!$F$6/1000)^2/4)*((Inputs!$F$6/1000/4)^(2/3))*SQRT(N138))</f>
        <v/>
      </c>
      <c r="AF138" s="4">
        <f>IF(A138="","",(1/Inputs!$B$9)*(PI()*(Inputs!$F$7/1000)^2/4)*((Inputs!$F$7/1000/4)^(2/3))*SQRT(N138))</f>
        <v/>
      </c>
      <c r="AG138" s="4">
        <f>IF(A138="","",(1/Inputs!$B$9)*(PI()*(Inputs!$F$8/1000)^2/4)*((Inputs!$F$8/1000/4)^(2/3))*SQRT(N138))</f>
        <v/>
      </c>
      <c r="AH138" s="4">
        <f>IF(A138="","",(1/Inputs!$B$9)*(PI()*(Inputs!$F$9/1000)^2/4)*((Inputs!$F$9/1000/4)^(2/3))*SQRT(N138))</f>
        <v/>
      </c>
      <c r="AI138" s="4">
        <f>IF(A138="","",(1/Inputs!$B$9)*(PI()*(Inputs!$F$10/1000)^2/4)*((Inputs!$F$10/1000/4)^(2/3))*SQRT(N138))</f>
        <v/>
      </c>
      <c r="AJ138" s="4">
        <f>IF(A138="","",(1/Inputs!$B$9)*(PI()*(Inputs!$F$11/1000)^2/4)*((Inputs!$F$11/1000/4)^(2/3))*SQRT(N138))</f>
        <v/>
      </c>
      <c r="AK138" s="4">
        <f>IF(A138="","",(1/Inputs!$B$9)*(PI()*(Inputs!$F$12/1000)^2/4)*((Inputs!$F$12/1000/4)^(2/3))*SQRT(N138))</f>
        <v/>
      </c>
      <c r="AL138" s="4">
        <f>IF(A138="","",(1/Inputs!$B$9)*(PI()*(Inputs!$F$13/1000)^2/4)*((Inputs!$F$13/1000/4)^(2/3))*SQRT(N138))</f>
        <v/>
      </c>
      <c r="AM138" s="4">
        <f>IF(A138="","",(1/Inputs!$B$9)*(PI()*(Inputs!$F$14/1000)^2/4)*((Inputs!$F$14/1000/4)^(2/3))*SQRT(N138))</f>
        <v/>
      </c>
    </row>
    <row r="139">
      <c r="A139" s="4" t="n"/>
      <c r="B139" s="4" t="n"/>
      <c r="C139" s="8" t="n"/>
      <c r="D139" s="8" t="n"/>
      <c r="E139" s="8">
        <f>SUMIFS(CB_Tributaires!$C:$C,CB_Tributaires!$B:$B,$A139)</f>
        <v/>
      </c>
      <c r="F139" s="8">
        <f>IF(D139="",E139,D139)</f>
        <v/>
      </c>
      <c r="G139" s="4" t="n"/>
      <c r="H139" s="8" t="n"/>
      <c r="I139" s="8">
        <f>IF(A139="","",Inputs!$B$13/((IF(H139="",Inputs!$B$18,H139)+Inputs!$B$14)^Inputs!$B$15))</f>
        <v/>
      </c>
      <c r="J139" s="8">
        <f>IF(A139="","",0.00278*IF(G139="",Inputs!$B$17,G139)*F139*I139)</f>
        <v/>
      </c>
      <c r="K139" s="8">
        <f>IF(A139="","",SUMIFS($L$4:$L$203,$B$4:$B$203,$A139))</f>
        <v/>
      </c>
      <c r="L139" s="8">
        <f>IF(A139="","",(J139+K139)*Inputs!$B$16)</f>
        <v/>
      </c>
      <c r="M139" s="8" t="n"/>
      <c r="N139" s="8">
        <f>IF(A139="","",IF(M139="",Inputs!$B$7,M139))</f>
        <v/>
      </c>
      <c r="O139" s="4">
        <f>IF(A139="","",IF(L139/Inputs!$B$10&lt;=AD139,Inputs!$F$5,IF(L139/Inputs!$B$10&gt;AM139,"OVERSIZE",INDEX(Inputs!$F$5:$F$14,MATCH(L139/Inputs!$B$10,AD139:AM139,1)+1))))</f>
        <v/>
      </c>
      <c r="P139" s="4" t="n"/>
      <c r="Q139" s="4">
        <f>IF(A139="","",IF(P139="",O139,P139))</f>
        <v/>
      </c>
      <c r="R139" s="8">
        <f>IF(OR(Q139="",Q139="OVERSIZE"),"",Q139/1000)</f>
        <v/>
      </c>
      <c r="S139" s="8">
        <f>IF(R139="","",(1/Inputs!$B$9)*(PI()*R139^2/4)*((R139/4)^(2/3))*SQRT(N139))</f>
        <v/>
      </c>
      <c r="T139" s="8">
        <f>IF(OR(S139="",L139=""),"",L139/(S139*Inputs!$B$10))</f>
        <v/>
      </c>
      <c r="U139" s="8">
        <f>IF(OR(R139="",L139=""),"",4*L139/(PI()*R139^2))</f>
        <v/>
      </c>
      <c r="V139" s="8" t="n"/>
      <c r="W139" s="8">
        <f>IF(A139="","",IF(A139=Inputs!$B$6,Inputs!$B$22,IF(B139="","",IFERROR(INDEX($X$4:$X$203,MATCH(B139,$A$4:$A$203,0))+IF(V139="",Inputs!$B$20,V139),""))))</f>
        <v/>
      </c>
      <c r="X139" s="8">
        <f>IF(OR(W139="",N139="",C139=""),"",W139+N139*C139)</f>
        <v/>
      </c>
      <c r="Y139" s="8" t="n"/>
      <c r="Z139" s="8" t="n"/>
      <c r="AA139" s="8">
        <f>IF(OR(Y139="",W139=""),"",Y139-W139)</f>
        <v/>
      </c>
      <c r="AB139" s="8">
        <f>IF(OR(Z139="",X139=""),"",Z139-X139)</f>
        <v/>
      </c>
      <c r="AC139" s="4">
        <f>IF(A139="","",IF(OR(T139&gt;1,U139&lt;Inputs!$B$11,U139&gt;Inputs!$B$12,AA139&lt;Inputs!$B$19,AB139&lt;Inputs!$B$19,N139&lt;Inputs!$B$7,N139&gt;Inputs!$B$8),"CHECK","OK"))</f>
        <v/>
      </c>
      <c r="AD139" s="4">
        <f>IF(A139="","",(1/Inputs!$B$9)*(PI()*(Inputs!$F$5/1000)^2/4)*((Inputs!$F$5/1000/4)^(2/3))*SQRT(N139))</f>
        <v/>
      </c>
      <c r="AE139" s="4">
        <f>IF(A139="","",(1/Inputs!$B$9)*(PI()*(Inputs!$F$6/1000)^2/4)*((Inputs!$F$6/1000/4)^(2/3))*SQRT(N139))</f>
        <v/>
      </c>
      <c r="AF139" s="4">
        <f>IF(A139="","",(1/Inputs!$B$9)*(PI()*(Inputs!$F$7/1000)^2/4)*((Inputs!$F$7/1000/4)^(2/3))*SQRT(N139))</f>
        <v/>
      </c>
      <c r="AG139" s="4">
        <f>IF(A139="","",(1/Inputs!$B$9)*(PI()*(Inputs!$F$8/1000)^2/4)*((Inputs!$F$8/1000/4)^(2/3))*SQRT(N139))</f>
        <v/>
      </c>
      <c r="AH139" s="4">
        <f>IF(A139="","",(1/Inputs!$B$9)*(PI()*(Inputs!$F$9/1000)^2/4)*((Inputs!$F$9/1000/4)^(2/3))*SQRT(N139))</f>
        <v/>
      </c>
      <c r="AI139" s="4">
        <f>IF(A139="","",(1/Inputs!$B$9)*(PI()*(Inputs!$F$10/1000)^2/4)*((Inputs!$F$10/1000/4)^(2/3))*SQRT(N139))</f>
        <v/>
      </c>
      <c r="AJ139" s="4">
        <f>IF(A139="","",(1/Inputs!$B$9)*(PI()*(Inputs!$F$11/1000)^2/4)*((Inputs!$F$11/1000/4)^(2/3))*SQRT(N139))</f>
        <v/>
      </c>
      <c r="AK139" s="4">
        <f>IF(A139="","",(1/Inputs!$B$9)*(PI()*(Inputs!$F$12/1000)^2/4)*((Inputs!$F$12/1000/4)^(2/3))*SQRT(N139))</f>
        <v/>
      </c>
      <c r="AL139" s="4">
        <f>IF(A139="","",(1/Inputs!$B$9)*(PI()*(Inputs!$F$13/1000)^2/4)*((Inputs!$F$13/1000/4)^(2/3))*SQRT(N139))</f>
        <v/>
      </c>
      <c r="AM139" s="4">
        <f>IF(A139="","",(1/Inputs!$B$9)*(PI()*(Inputs!$F$14/1000)^2/4)*((Inputs!$F$14/1000/4)^(2/3))*SQRT(N139))</f>
        <v/>
      </c>
    </row>
    <row r="140">
      <c r="A140" s="4" t="n"/>
      <c r="B140" s="4" t="n"/>
      <c r="C140" s="8" t="n"/>
      <c r="D140" s="8" t="n"/>
      <c r="E140" s="8">
        <f>SUMIFS(CB_Tributaires!$C:$C,CB_Tributaires!$B:$B,$A140)</f>
        <v/>
      </c>
      <c r="F140" s="8">
        <f>IF(D140="",E140,D140)</f>
        <v/>
      </c>
      <c r="G140" s="4" t="n"/>
      <c r="H140" s="8" t="n"/>
      <c r="I140" s="8">
        <f>IF(A140="","",Inputs!$B$13/((IF(H140="",Inputs!$B$18,H140)+Inputs!$B$14)^Inputs!$B$15))</f>
        <v/>
      </c>
      <c r="J140" s="8">
        <f>IF(A140="","",0.00278*IF(G140="",Inputs!$B$17,G140)*F140*I140)</f>
        <v/>
      </c>
      <c r="K140" s="8">
        <f>IF(A140="","",SUMIFS($L$4:$L$203,$B$4:$B$203,$A140))</f>
        <v/>
      </c>
      <c r="L140" s="8">
        <f>IF(A140="","",(J140+K140)*Inputs!$B$16)</f>
        <v/>
      </c>
      <c r="M140" s="8" t="n"/>
      <c r="N140" s="8">
        <f>IF(A140="","",IF(M140="",Inputs!$B$7,M140))</f>
        <v/>
      </c>
      <c r="O140" s="4">
        <f>IF(A140="","",IF(L140/Inputs!$B$10&lt;=AD140,Inputs!$F$5,IF(L140/Inputs!$B$10&gt;AM140,"OVERSIZE",INDEX(Inputs!$F$5:$F$14,MATCH(L140/Inputs!$B$10,AD140:AM140,1)+1))))</f>
        <v/>
      </c>
      <c r="P140" s="4" t="n"/>
      <c r="Q140" s="4">
        <f>IF(A140="","",IF(P140="",O140,P140))</f>
        <v/>
      </c>
      <c r="R140" s="8">
        <f>IF(OR(Q140="",Q140="OVERSIZE"),"",Q140/1000)</f>
        <v/>
      </c>
      <c r="S140" s="8">
        <f>IF(R140="","",(1/Inputs!$B$9)*(PI()*R140^2/4)*((R140/4)^(2/3))*SQRT(N140))</f>
        <v/>
      </c>
      <c r="T140" s="8">
        <f>IF(OR(S140="",L140=""),"",L140/(S140*Inputs!$B$10))</f>
        <v/>
      </c>
      <c r="U140" s="8">
        <f>IF(OR(R140="",L140=""),"",4*L140/(PI()*R140^2))</f>
        <v/>
      </c>
      <c r="V140" s="8" t="n"/>
      <c r="W140" s="8">
        <f>IF(A140="","",IF(A140=Inputs!$B$6,Inputs!$B$22,IF(B140="","",IFERROR(INDEX($X$4:$X$203,MATCH(B140,$A$4:$A$203,0))+IF(V140="",Inputs!$B$20,V140),""))))</f>
        <v/>
      </c>
      <c r="X140" s="8">
        <f>IF(OR(W140="",N140="",C140=""),"",W140+N140*C140)</f>
        <v/>
      </c>
      <c r="Y140" s="8" t="n"/>
      <c r="Z140" s="8" t="n"/>
      <c r="AA140" s="8">
        <f>IF(OR(Y140="",W140=""),"",Y140-W140)</f>
        <v/>
      </c>
      <c r="AB140" s="8">
        <f>IF(OR(Z140="",X140=""),"",Z140-X140)</f>
        <v/>
      </c>
      <c r="AC140" s="4">
        <f>IF(A140="","",IF(OR(T140&gt;1,U140&lt;Inputs!$B$11,U140&gt;Inputs!$B$12,AA140&lt;Inputs!$B$19,AB140&lt;Inputs!$B$19,N140&lt;Inputs!$B$7,N140&gt;Inputs!$B$8),"CHECK","OK"))</f>
        <v/>
      </c>
      <c r="AD140" s="4">
        <f>IF(A140="","",(1/Inputs!$B$9)*(PI()*(Inputs!$F$5/1000)^2/4)*((Inputs!$F$5/1000/4)^(2/3))*SQRT(N140))</f>
        <v/>
      </c>
      <c r="AE140" s="4">
        <f>IF(A140="","",(1/Inputs!$B$9)*(PI()*(Inputs!$F$6/1000)^2/4)*((Inputs!$F$6/1000/4)^(2/3))*SQRT(N140))</f>
        <v/>
      </c>
      <c r="AF140" s="4">
        <f>IF(A140="","",(1/Inputs!$B$9)*(PI()*(Inputs!$F$7/1000)^2/4)*((Inputs!$F$7/1000/4)^(2/3))*SQRT(N140))</f>
        <v/>
      </c>
      <c r="AG140" s="4">
        <f>IF(A140="","",(1/Inputs!$B$9)*(PI()*(Inputs!$F$8/1000)^2/4)*((Inputs!$F$8/1000/4)^(2/3))*SQRT(N140))</f>
        <v/>
      </c>
      <c r="AH140" s="4">
        <f>IF(A140="","",(1/Inputs!$B$9)*(PI()*(Inputs!$F$9/1000)^2/4)*((Inputs!$F$9/1000/4)^(2/3))*SQRT(N140))</f>
        <v/>
      </c>
      <c r="AI140" s="4">
        <f>IF(A140="","",(1/Inputs!$B$9)*(PI()*(Inputs!$F$10/1000)^2/4)*((Inputs!$F$10/1000/4)^(2/3))*SQRT(N140))</f>
        <v/>
      </c>
      <c r="AJ140" s="4">
        <f>IF(A140="","",(1/Inputs!$B$9)*(PI()*(Inputs!$F$11/1000)^2/4)*((Inputs!$F$11/1000/4)^(2/3))*SQRT(N140))</f>
        <v/>
      </c>
      <c r="AK140" s="4">
        <f>IF(A140="","",(1/Inputs!$B$9)*(PI()*(Inputs!$F$12/1000)^2/4)*((Inputs!$F$12/1000/4)^(2/3))*SQRT(N140))</f>
        <v/>
      </c>
      <c r="AL140" s="4">
        <f>IF(A140="","",(1/Inputs!$B$9)*(PI()*(Inputs!$F$13/1000)^2/4)*((Inputs!$F$13/1000/4)^(2/3))*SQRT(N140))</f>
        <v/>
      </c>
      <c r="AM140" s="4">
        <f>IF(A140="","",(1/Inputs!$B$9)*(PI()*(Inputs!$F$14/1000)^2/4)*((Inputs!$F$14/1000/4)^(2/3))*SQRT(N140))</f>
        <v/>
      </c>
    </row>
    <row r="141">
      <c r="A141" s="4" t="n"/>
      <c r="B141" s="4" t="n"/>
      <c r="C141" s="8" t="n"/>
      <c r="D141" s="8" t="n"/>
      <c r="E141" s="8">
        <f>SUMIFS(CB_Tributaires!$C:$C,CB_Tributaires!$B:$B,$A141)</f>
        <v/>
      </c>
      <c r="F141" s="8">
        <f>IF(D141="",E141,D141)</f>
        <v/>
      </c>
      <c r="G141" s="4" t="n"/>
      <c r="H141" s="8" t="n"/>
      <c r="I141" s="8">
        <f>IF(A141="","",Inputs!$B$13/((IF(H141="",Inputs!$B$18,H141)+Inputs!$B$14)^Inputs!$B$15))</f>
        <v/>
      </c>
      <c r="J141" s="8">
        <f>IF(A141="","",0.00278*IF(G141="",Inputs!$B$17,G141)*F141*I141)</f>
        <v/>
      </c>
      <c r="K141" s="8">
        <f>IF(A141="","",SUMIFS($L$4:$L$203,$B$4:$B$203,$A141))</f>
        <v/>
      </c>
      <c r="L141" s="8">
        <f>IF(A141="","",(J141+K141)*Inputs!$B$16)</f>
        <v/>
      </c>
      <c r="M141" s="8" t="n"/>
      <c r="N141" s="8">
        <f>IF(A141="","",IF(M141="",Inputs!$B$7,M141))</f>
        <v/>
      </c>
      <c r="O141" s="4">
        <f>IF(A141="","",IF(L141/Inputs!$B$10&lt;=AD141,Inputs!$F$5,IF(L141/Inputs!$B$10&gt;AM141,"OVERSIZE",INDEX(Inputs!$F$5:$F$14,MATCH(L141/Inputs!$B$10,AD141:AM141,1)+1))))</f>
        <v/>
      </c>
      <c r="P141" s="4" t="n"/>
      <c r="Q141" s="4">
        <f>IF(A141="","",IF(P141="",O141,P141))</f>
        <v/>
      </c>
      <c r="R141" s="8">
        <f>IF(OR(Q141="",Q141="OVERSIZE"),"",Q141/1000)</f>
        <v/>
      </c>
      <c r="S141" s="8">
        <f>IF(R141="","",(1/Inputs!$B$9)*(PI()*R141^2/4)*((R141/4)^(2/3))*SQRT(N141))</f>
        <v/>
      </c>
      <c r="T141" s="8">
        <f>IF(OR(S141="",L141=""),"",L141/(S141*Inputs!$B$10))</f>
        <v/>
      </c>
      <c r="U141" s="8">
        <f>IF(OR(R141="",L141=""),"",4*L141/(PI()*R141^2))</f>
        <v/>
      </c>
      <c r="V141" s="8" t="n"/>
      <c r="W141" s="8">
        <f>IF(A141="","",IF(A141=Inputs!$B$6,Inputs!$B$22,IF(B141="","",IFERROR(INDEX($X$4:$X$203,MATCH(B141,$A$4:$A$203,0))+IF(V141="",Inputs!$B$20,V141),""))))</f>
        <v/>
      </c>
      <c r="X141" s="8">
        <f>IF(OR(W141="",N141="",C141=""),"",W141+N141*C141)</f>
        <v/>
      </c>
      <c r="Y141" s="8" t="n"/>
      <c r="Z141" s="8" t="n"/>
      <c r="AA141" s="8">
        <f>IF(OR(Y141="",W141=""),"",Y141-W141)</f>
        <v/>
      </c>
      <c r="AB141" s="8">
        <f>IF(OR(Z141="",X141=""),"",Z141-X141)</f>
        <v/>
      </c>
      <c r="AC141" s="4">
        <f>IF(A141="","",IF(OR(T141&gt;1,U141&lt;Inputs!$B$11,U141&gt;Inputs!$B$12,AA141&lt;Inputs!$B$19,AB141&lt;Inputs!$B$19,N141&lt;Inputs!$B$7,N141&gt;Inputs!$B$8),"CHECK","OK"))</f>
        <v/>
      </c>
      <c r="AD141" s="4">
        <f>IF(A141="","",(1/Inputs!$B$9)*(PI()*(Inputs!$F$5/1000)^2/4)*((Inputs!$F$5/1000/4)^(2/3))*SQRT(N141))</f>
        <v/>
      </c>
      <c r="AE141" s="4">
        <f>IF(A141="","",(1/Inputs!$B$9)*(PI()*(Inputs!$F$6/1000)^2/4)*((Inputs!$F$6/1000/4)^(2/3))*SQRT(N141))</f>
        <v/>
      </c>
      <c r="AF141" s="4">
        <f>IF(A141="","",(1/Inputs!$B$9)*(PI()*(Inputs!$F$7/1000)^2/4)*((Inputs!$F$7/1000/4)^(2/3))*SQRT(N141))</f>
        <v/>
      </c>
      <c r="AG141" s="4">
        <f>IF(A141="","",(1/Inputs!$B$9)*(PI()*(Inputs!$F$8/1000)^2/4)*((Inputs!$F$8/1000/4)^(2/3))*SQRT(N141))</f>
        <v/>
      </c>
      <c r="AH141" s="4">
        <f>IF(A141="","",(1/Inputs!$B$9)*(PI()*(Inputs!$F$9/1000)^2/4)*((Inputs!$F$9/1000/4)^(2/3))*SQRT(N141))</f>
        <v/>
      </c>
      <c r="AI141" s="4">
        <f>IF(A141="","",(1/Inputs!$B$9)*(PI()*(Inputs!$F$10/1000)^2/4)*((Inputs!$F$10/1000/4)^(2/3))*SQRT(N141))</f>
        <v/>
      </c>
      <c r="AJ141" s="4">
        <f>IF(A141="","",(1/Inputs!$B$9)*(PI()*(Inputs!$F$11/1000)^2/4)*((Inputs!$F$11/1000/4)^(2/3))*SQRT(N141))</f>
        <v/>
      </c>
      <c r="AK141" s="4">
        <f>IF(A141="","",(1/Inputs!$B$9)*(PI()*(Inputs!$F$12/1000)^2/4)*((Inputs!$F$12/1000/4)^(2/3))*SQRT(N141))</f>
        <v/>
      </c>
      <c r="AL141" s="4">
        <f>IF(A141="","",(1/Inputs!$B$9)*(PI()*(Inputs!$F$13/1000)^2/4)*((Inputs!$F$13/1000/4)^(2/3))*SQRT(N141))</f>
        <v/>
      </c>
      <c r="AM141" s="4">
        <f>IF(A141="","",(1/Inputs!$B$9)*(PI()*(Inputs!$F$14/1000)^2/4)*((Inputs!$F$14/1000/4)^(2/3))*SQRT(N141))</f>
        <v/>
      </c>
    </row>
    <row r="142">
      <c r="A142" s="4" t="n"/>
      <c r="B142" s="4" t="n"/>
      <c r="C142" s="8" t="n"/>
      <c r="D142" s="8" t="n"/>
      <c r="E142" s="8">
        <f>SUMIFS(CB_Tributaires!$C:$C,CB_Tributaires!$B:$B,$A142)</f>
        <v/>
      </c>
      <c r="F142" s="8">
        <f>IF(D142="",E142,D142)</f>
        <v/>
      </c>
      <c r="G142" s="4" t="n"/>
      <c r="H142" s="8" t="n"/>
      <c r="I142" s="8">
        <f>IF(A142="","",Inputs!$B$13/((IF(H142="",Inputs!$B$18,H142)+Inputs!$B$14)^Inputs!$B$15))</f>
        <v/>
      </c>
      <c r="J142" s="8">
        <f>IF(A142="","",0.00278*IF(G142="",Inputs!$B$17,G142)*F142*I142)</f>
        <v/>
      </c>
      <c r="K142" s="8">
        <f>IF(A142="","",SUMIFS($L$4:$L$203,$B$4:$B$203,$A142))</f>
        <v/>
      </c>
      <c r="L142" s="8">
        <f>IF(A142="","",(J142+K142)*Inputs!$B$16)</f>
        <v/>
      </c>
      <c r="M142" s="8" t="n"/>
      <c r="N142" s="8">
        <f>IF(A142="","",IF(M142="",Inputs!$B$7,M142))</f>
        <v/>
      </c>
      <c r="O142" s="4">
        <f>IF(A142="","",IF(L142/Inputs!$B$10&lt;=AD142,Inputs!$F$5,IF(L142/Inputs!$B$10&gt;AM142,"OVERSIZE",INDEX(Inputs!$F$5:$F$14,MATCH(L142/Inputs!$B$10,AD142:AM142,1)+1))))</f>
        <v/>
      </c>
      <c r="P142" s="4" t="n"/>
      <c r="Q142" s="4">
        <f>IF(A142="","",IF(P142="",O142,P142))</f>
        <v/>
      </c>
      <c r="R142" s="8">
        <f>IF(OR(Q142="",Q142="OVERSIZE"),"",Q142/1000)</f>
        <v/>
      </c>
      <c r="S142" s="8">
        <f>IF(R142="","",(1/Inputs!$B$9)*(PI()*R142^2/4)*((R142/4)^(2/3))*SQRT(N142))</f>
        <v/>
      </c>
      <c r="T142" s="8">
        <f>IF(OR(S142="",L142=""),"",L142/(S142*Inputs!$B$10))</f>
        <v/>
      </c>
      <c r="U142" s="8">
        <f>IF(OR(R142="",L142=""),"",4*L142/(PI()*R142^2))</f>
        <v/>
      </c>
      <c r="V142" s="8" t="n"/>
      <c r="W142" s="8">
        <f>IF(A142="","",IF(A142=Inputs!$B$6,Inputs!$B$22,IF(B142="","",IFERROR(INDEX($X$4:$X$203,MATCH(B142,$A$4:$A$203,0))+IF(V142="",Inputs!$B$20,V142),""))))</f>
        <v/>
      </c>
      <c r="X142" s="8">
        <f>IF(OR(W142="",N142="",C142=""),"",W142+N142*C142)</f>
        <v/>
      </c>
      <c r="Y142" s="8" t="n"/>
      <c r="Z142" s="8" t="n"/>
      <c r="AA142" s="8">
        <f>IF(OR(Y142="",W142=""),"",Y142-W142)</f>
        <v/>
      </c>
      <c r="AB142" s="8">
        <f>IF(OR(Z142="",X142=""),"",Z142-X142)</f>
        <v/>
      </c>
      <c r="AC142" s="4">
        <f>IF(A142="","",IF(OR(T142&gt;1,U142&lt;Inputs!$B$11,U142&gt;Inputs!$B$12,AA142&lt;Inputs!$B$19,AB142&lt;Inputs!$B$19,N142&lt;Inputs!$B$7,N142&gt;Inputs!$B$8),"CHECK","OK"))</f>
        <v/>
      </c>
      <c r="AD142" s="4">
        <f>IF(A142="","",(1/Inputs!$B$9)*(PI()*(Inputs!$F$5/1000)^2/4)*((Inputs!$F$5/1000/4)^(2/3))*SQRT(N142))</f>
        <v/>
      </c>
      <c r="AE142" s="4">
        <f>IF(A142="","",(1/Inputs!$B$9)*(PI()*(Inputs!$F$6/1000)^2/4)*((Inputs!$F$6/1000/4)^(2/3))*SQRT(N142))</f>
        <v/>
      </c>
      <c r="AF142" s="4">
        <f>IF(A142="","",(1/Inputs!$B$9)*(PI()*(Inputs!$F$7/1000)^2/4)*((Inputs!$F$7/1000/4)^(2/3))*SQRT(N142))</f>
        <v/>
      </c>
      <c r="AG142" s="4">
        <f>IF(A142="","",(1/Inputs!$B$9)*(PI()*(Inputs!$F$8/1000)^2/4)*((Inputs!$F$8/1000/4)^(2/3))*SQRT(N142))</f>
        <v/>
      </c>
      <c r="AH142" s="4">
        <f>IF(A142="","",(1/Inputs!$B$9)*(PI()*(Inputs!$F$9/1000)^2/4)*((Inputs!$F$9/1000/4)^(2/3))*SQRT(N142))</f>
        <v/>
      </c>
      <c r="AI142" s="4">
        <f>IF(A142="","",(1/Inputs!$B$9)*(PI()*(Inputs!$F$10/1000)^2/4)*((Inputs!$F$10/1000/4)^(2/3))*SQRT(N142))</f>
        <v/>
      </c>
      <c r="AJ142" s="4">
        <f>IF(A142="","",(1/Inputs!$B$9)*(PI()*(Inputs!$F$11/1000)^2/4)*((Inputs!$F$11/1000/4)^(2/3))*SQRT(N142))</f>
        <v/>
      </c>
      <c r="AK142" s="4">
        <f>IF(A142="","",(1/Inputs!$B$9)*(PI()*(Inputs!$F$12/1000)^2/4)*((Inputs!$F$12/1000/4)^(2/3))*SQRT(N142))</f>
        <v/>
      </c>
      <c r="AL142" s="4">
        <f>IF(A142="","",(1/Inputs!$B$9)*(PI()*(Inputs!$F$13/1000)^2/4)*((Inputs!$F$13/1000/4)^(2/3))*SQRT(N142))</f>
        <v/>
      </c>
      <c r="AM142" s="4">
        <f>IF(A142="","",(1/Inputs!$B$9)*(PI()*(Inputs!$F$14/1000)^2/4)*((Inputs!$F$14/1000/4)^(2/3))*SQRT(N142))</f>
        <v/>
      </c>
    </row>
    <row r="143">
      <c r="A143" s="4" t="n"/>
      <c r="B143" s="4" t="n"/>
      <c r="C143" s="8" t="n"/>
      <c r="D143" s="8" t="n"/>
      <c r="E143" s="8">
        <f>SUMIFS(CB_Tributaires!$C:$C,CB_Tributaires!$B:$B,$A143)</f>
        <v/>
      </c>
      <c r="F143" s="8">
        <f>IF(D143="",E143,D143)</f>
        <v/>
      </c>
      <c r="G143" s="4" t="n"/>
      <c r="H143" s="8" t="n"/>
      <c r="I143" s="8">
        <f>IF(A143="","",Inputs!$B$13/((IF(H143="",Inputs!$B$18,H143)+Inputs!$B$14)^Inputs!$B$15))</f>
        <v/>
      </c>
      <c r="J143" s="8">
        <f>IF(A143="","",0.00278*IF(G143="",Inputs!$B$17,G143)*F143*I143)</f>
        <v/>
      </c>
      <c r="K143" s="8">
        <f>IF(A143="","",SUMIFS($L$4:$L$203,$B$4:$B$203,$A143))</f>
        <v/>
      </c>
      <c r="L143" s="8">
        <f>IF(A143="","",(J143+K143)*Inputs!$B$16)</f>
        <v/>
      </c>
      <c r="M143" s="8" t="n"/>
      <c r="N143" s="8">
        <f>IF(A143="","",IF(M143="",Inputs!$B$7,M143))</f>
        <v/>
      </c>
      <c r="O143" s="4">
        <f>IF(A143="","",IF(L143/Inputs!$B$10&lt;=AD143,Inputs!$F$5,IF(L143/Inputs!$B$10&gt;AM143,"OVERSIZE",INDEX(Inputs!$F$5:$F$14,MATCH(L143/Inputs!$B$10,AD143:AM143,1)+1))))</f>
        <v/>
      </c>
      <c r="P143" s="4" t="n"/>
      <c r="Q143" s="4">
        <f>IF(A143="","",IF(P143="",O143,P143))</f>
        <v/>
      </c>
      <c r="R143" s="8">
        <f>IF(OR(Q143="",Q143="OVERSIZE"),"",Q143/1000)</f>
        <v/>
      </c>
      <c r="S143" s="8">
        <f>IF(R143="","",(1/Inputs!$B$9)*(PI()*R143^2/4)*((R143/4)^(2/3))*SQRT(N143))</f>
        <v/>
      </c>
      <c r="T143" s="8">
        <f>IF(OR(S143="",L143=""),"",L143/(S143*Inputs!$B$10))</f>
        <v/>
      </c>
      <c r="U143" s="8">
        <f>IF(OR(R143="",L143=""),"",4*L143/(PI()*R143^2))</f>
        <v/>
      </c>
      <c r="V143" s="8" t="n"/>
      <c r="W143" s="8">
        <f>IF(A143="","",IF(A143=Inputs!$B$6,Inputs!$B$22,IF(B143="","",IFERROR(INDEX($X$4:$X$203,MATCH(B143,$A$4:$A$203,0))+IF(V143="",Inputs!$B$20,V143),""))))</f>
        <v/>
      </c>
      <c r="X143" s="8">
        <f>IF(OR(W143="",N143="",C143=""),"",W143+N143*C143)</f>
        <v/>
      </c>
      <c r="Y143" s="8" t="n"/>
      <c r="Z143" s="8" t="n"/>
      <c r="AA143" s="8">
        <f>IF(OR(Y143="",W143=""),"",Y143-W143)</f>
        <v/>
      </c>
      <c r="AB143" s="8">
        <f>IF(OR(Z143="",X143=""),"",Z143-X143)</f>
        <v/>
      </c>
      <c r="AC143" s="4">
        <f>IF(A143="","",IF(OR(T143&gt;1,U143&lt;Inputs!$B$11,U143&gt;Inputs!$B$12,AA143&lt;Inputs!$B$19,AB143&lt;Inputs!$B$19,N143&lt;Inputs!$B$7,N143&gt;Inputs!$B$8),"CHECK","OK"))</f>
        <v/>
      </c>
      <c r="AD143" s="4">
        <f>IF(A143="","",(1/Inputs!$B$9)*(PI()*(Inputs!$F$5/1000)^2/4)*((Inputs!$F$5/1000/4)^(2/3))*SQRT(N143))</f>
        <v/>
      </c>
      <c r="AE143" s="4">
        <f>IF(A143="","",(1/Inputs!$B$9)*(PI()*(Inputs!$F$6/1000)^2/4)*((Inputs!$F$6/1000/4)^(2/3))*SQRT(N143))</f>
        <v/>
      </c>
      <c r="AF143" s="4">
        <f>IF(A143="","",(1/Inputs!$B$9)*(PI()*(Inputs!$F$7/1000)^2/4)*((Inputs!$F$7/1000/4)^(2/3))*SQRT(N143))</f>
        <v/>
      </c>
      <c r="AG143" s="4">
        <f>IF(A143="","",(1/Inputs!$B$9)*(PI()*(Inputs!$F$8/1000)^2/4)*((Inputs!$F$8/1000/4)^(2/3))*SQRT(N143))</f>
        <v/>
      </c>
      <c r="AH143" s="4">
        <f>IF(A143="","",(1/Inputs!$B$9)*(PI()*(Inputs!$F$9/1000)^2/4)*((Inputs!$F$9/1000/4)^(2/3))*SQRT(N143))</f>
        <v/>
      </c>
      <c r="AI143" s="4">
        <f>IF(A143="","",(1/Inputs!$B$9)*(PI()*(Inputs!$F$10/1000)^2/4)*((Inputs!$F$10/1000/4)^(2/3))*SQRT(N143))</f>
        <v/>
      </c>
      <c r="AJ143" s="4">
        <f>IF(A143="","",(1/Inputs!$B$9)*(PI()*(Inputs!$F$11/1000)^2/4)*((Inputs!$F$11/1000/4)^(2/3))*SQRT(N143))</f>
        <v/>
      </c>
      <c r="AK143" s="4">
        <f>IF(A143="","",(1/Inputs!$B$9)*(PI()*(Inputs!$F$12/1000)^2/4)*((Inputs!$F$12/1000/4)^(2/3))*SQRT(N143))</f>
        <v/>
      </c>
      <c r="AL143" s="4">
        <f>IF(A143="","",(1/Inputs!$B$9)*(PI()*(Inputs!$F$13/1000)^2/4)*((Inputs!$F$13/1000/4)^(2/3))*SQRT(N143))</f>
        <v/>
      </c>
      <c r="AM143" s="4">
        <f>IF(A143="","",(1/Inputs!$B$9)*(PI()*(Inputs!$F$14/1000)^2/4)*((Inputs!$F$14/1000/4)^(2/3))*SQRT(N143))</f>
        <v/>
      </c>
    </row>
    <row r="144">
      <c r="A144" s="4" t="n"/>
      <c r="B144" s="4" t="n"/>
      <c r="C144" s="8" t="n"/>
      <c r="D144" s="8" t="n"/>
      <c r="E144" s="8">
        <f>SUMIFS(CB_Tributaires!$C:$C,CB_Tributaires!$B:$B,$A144)</f>
        <v/>
      </c>
      <c r="F144" s="8">
        <f>IF(D144="",E144,D144)</f>
        <v/>
      </c>
      <c r="G144" s="4" t="n"/>
      <c r="H144" s="8" t="n"/>
      <c r="I144" s="8">
        <f>IF(A144="","",Inputs!$B$13/((IF(H144="",Inputs!$B$18,H144)+Inputs!$B$14)^Inputs!$B$15))</f>
        <v/>
      </c>
      <c r="J144" s="8">
        <f>IF(A144="","",0.00278*IF(G144="",Inputs!$B$17,G144)*F144*I144)</f>
        <v/>
      </c>
      <c r="K144" s="8">
        <f>IF(A144="","",SUMIFS($L$4:$L$203,$B$4:$B$203,$A144))</f>
        <v/>
      </c>
      <c r="L144" s="8">
        <f>IF(A144="","",(J144+K144)*Inputs!$B$16)</f>
        <v/>
      </c>
      <c r="M144" s="8" t="n"/>
      <c r="N144" s="8">
        <f>IF(A144="","",IF(M144="",Inputs!$B$7,M144))</f>
        <v/>
      </c>
      <c r="O144" s="4">
        <f>IF(A144="","",IF(L144/Inputs!$B$10&lt;=AD144,Inputs!$F$5,IF(L144/Inputs!$B$10&gt;AM144,"OVERSIZE",INDEX(Inputs!$F$5:$F$14,MATCH(L144/Inputs!$B$10,AD144:AM144,1)+1))))</f>
        <v/>
      </c>
      <c r="P144" s="4" t="n"/>
      <c r="Q144" s="4">
        <f>IF(A144="","",IF(P144="",O144,P144))</f>
        <v/>
      </c>
      <c r="R144" s="8">
        <f>IF(OR(Q144="",Q144="OVERSIZE"),"",Q144/1000)</f>
        <v/>
      </c>
      <c r="S144" s="8">
        <f>IF(R144="","",(1/Inputs!$B$9)*(PI()*R144^2/4)*((R144/4)^(2/3))*SQRT(N144))</f>
        <v/>
      </c>
      <c r="T144" s="8">
        <f>IF(OR(S144="",L144=""),"",L144/(S144*Inputs!$B$10))</f>
        <v/>
      </c>
      <c r="U144" s="8">
        <f>IF(OR(R144="",L144=""),"",4*L144/(PI()*R144^2))</f>
        <v/>
      </c>
      <c r="V144" s="8" t="n"/>
      <c r="W144" s="8">
        <f>IF(A144="","",IF(A144=Inputs!$B$6,Inputs!$B$22,IF(B144="","",IFERROR(INDEX($X$4:$X$203,MATCH(B144,$A$4:$A$203,0))+IF(V144="",Inputs!$B$20,V144),""))))</f>
        <v/>
      </c>
      <c r="X144" s="8">
        <f>IF(OR(W144="",N144="",C144=""),"",W144+N144*C144)</f>
        <v/>
      </c>
      <c r="Y144" s="8" t="n"/>
      <c r="Z144" s="8" t="n"/>
      <c r="AA144" s="8">
        <f>IF(OR(Y144="",W144=""),"",Y144-W144)</f>
        <v/>
      </c>
      <c r="AB144" s="8">
        <f>IF(OR(Z144="",X144=""),"",Z144-X144)</f>
        <v/>
      </c>
      <c r="AC144" s="4">
        <f>IF(A144="","",IF(OR(T144&gt;1,U144&lt;Inputs!$B$11,U144&gt;Inputs!$B$12,AA144&lt;Inputs!$B$19,AB144&lt;Inputs!$B$19,N144&lt;Inputs!$B$7,N144&gt;Inputs!$B$8),"CHECK","OK"))</f>
        <v/>
      </c>
      <c r="AD144" s="4">
        <f>IF(A144="","",(1/Inputs!$B$9)*(PI()*(Inputs!$F$5/1000)^2/4)*((Inputs!$F$5/1000/4)^(2/3))*SQRT(N144))</f>
        <v/>
      </c>
      <c r="AE144" s="4">
        <f>IF(A144="","",(1/Inputs!$B$9)*(PI()*(Inputs!$F$6/1000)^2/4)*((Inputs!$F$6/1000/4)^(2/3))*SQRT(N144))</f>
        <v/>
      </c>
      <c r="AF144" s="4">
        <f>IF(A144="","",(1/Inputs!$B$9)*(PI()*(Inputs!$F$7/1000)^2/4)*((Inputs!$F$7/1000/4)^(2/3))*SQRT(N144))</f>
        <v/>
      </c>
      <c r="AG144" s="4">
        <f>IF(A144="","",(1/Inputs!$B$9)*(PI()*(Inputs!$F$8/1000)^2/4)*((Inputs!$F$8/1000/4)^(2/3))*SQRT(N144))</f>
        <v/>
      </c>
      <c r="AH144" s="4">
        <f>IF(A144="","",(1/Inputs!$B$9)*(PI()*(Inputs!$F$9/1000)^2/4)*((Inputs!$F$9/1000/4)^(2/3))*SQRT(N144))</f>
        <v/>
      </c>
      <c r="AI144" s="4">
        <f>IF(A144="","",(1/Inputs!$B$9)*(PI()*(Inputs!$F$10/1000)^2/4)*((Inputs!$F$10/1000/4)^(2/3))*SQRT(N144))</f>
        <v/>
      </c>
      <c r="AJ144" s="4">
        <f>IF(A144="","",(1/Inputs!$B$9)*(PI()*(Inputs!$F$11/1000)^2/4)*((Inputs!$F$11/1000/4)^(2/3))*SQRT(N144))</f>
        <v/>
      </c>
      <c r="AK144" s="4">
        <f>IF(A144="","",(1/Inputs!$B$9)*(PI()*(Inputs!$F$12/1000)^2/4)*((Inputs!$F$12/1000/4)^(2/3))*SQRT(N144))</f>
        <v/>
      </c>
      <c r="AL144" s="4">
        <f>IF(A144="","",(1/Inputs!$B$9)*(PI()*(Inputs!$F$13/1000)^2/4)*((Inputs!$F$13/1000/4)^(2/3))*SQRT(N144))</f>
        <v/>
      </c>
      <c r="AM144" s="4">
        <f>IF(A144="","",(1/Inputs!$B$9)*(PI()*(Inputs!$F$14/1000)^2/4)*((Inputs!$F$14/1000/4)^(2/3))*SQRT(N144))</f>
        <v/>
      </c>
    </row>
    <row r="145">
      <c r="A145" s="4" t="n"/>
      <c r="B145" s="4" t="n"/>
      <c r="C145" s="8" t="n"/>
      <c r="D145" s="8" t="n"/>
      <c r="E145" s="8">
        <f>SUMIFS(CB_Tributaires!$C:$C,CB_Tributaires!$B:$B,$A145)</f>
        <v/>
      </c>
      <c r="F145" s="8">
        <f>IF(D145="",E145,D145)</f>
        <v/>
      </c>
      <c r="G145" s="4" t="n"/>
      <c r="H145" s="8" t="n"/>
      <c r="I145" s="8">
        <f>IF(A145="","",Inputs!$B$13/((IF(H145="",Inputs!$B$18,H145)+Inputs!$B$14)^Inputs!$B$15))</f>
        <v/>
      </c>
      <c r="J145" s="8">
        <f>IF(A145="","",0.00278*IF(G145="",Inputs!$B$17,G145)*F145*I145)</f>
        <v/>
      </c>
      <c r="K145" s="8">
        <f>IF(A145="","",SUMIFS($L$4:$L$203,$B$4:$B$203,$A145))</f>
        <v/>
      </c>
      <c r="L145" s="8">
        <f>IF(A145="","",(J145+K145)*Inputs!$B$16)</f>
        <v/>
      </c>
      <c r="M145" s="8" t="n"/>
      <c r="N145" s="8">
        <f>IF(A145="","",IF(M145="",Inputs!$B$7,M145))</f>
        <v/>
      </c>
      <c r="O145" s="4">
        <f>IF(A145="","",IF(L145/Inputs!$B$10&lt;=AD145,Inputs!$F$5,IF(L145/Inputs!$B$10&gt;AM145,"OVERSIZE",INDEX(Inputs!$F$5:$F$14,MATCH(L145/Inputs!$B$10,AD145:AM145,1)+1))))</f>
        <v/>
      </c>
      <c r="P145" s="4" t="n"/>
      <c r="Q145" s="4">
        <f>IF(A145="","",IF(P145="",O145,P145))</f>
        <v/>
      </c>
      <c r="R145" s="8">
        <f>IF(OR(Q145="",Q145="OVERSIZE"),"",Q145/1000)</f>
        <v/>
      </c>
      <c r="S145" s="8">
        <f>IF(R145="","",(1/Inputs!$B$9)*(PI()*R145^2/4)*((R145/4)^(2/3))*SQRT(N145))</f>
        <v/>
      </c>
      <c r="T145" s="8">
        <f>IF(OR(S145="",L145=""),"",L145/(S145*Inputs!$B$10))</f>
        <v/>
      </c>
      <c r="U145" s="8">
        <f>IF(OR(R145="",L145=""),"",4*L145/(PI()*R145^2))</f>
        <v/>
      </c>
      <c r="V145" s="8" t="n"/>
      <c r="W145" s="8">
        <f>IF(A145="","",IF(A145=Inputs!$B$6,Inputs!$B$22,IF(B145="","",IFERROR(INDEX($X$4:$X$203,MATCH(B145,$A$4:$A$203,0))+IF(V145="",Inputs!$B$20,V145),""))))</f>
        <v/>
      </c>
      <c r="X145" s="8">
        <f>IF(OR(W145="",N145="",C145=""),"",W145+N145*C145)</f>
        <v/>
      </c>
      <c r="Y145" s="8" t="n"/>
      <c r="Z145" s="8" t="n"/>
      <c r="AA145" s="8">
        <f>IF(OR(Y145="",W145=""),"",Y145-W145)</f>
        <v/>
      </c>
      <c r="AB145" s="8">
        <f>IF(OR(Z145="",X145=""),"",Z145-X145)</f>
        <v/>
      </c>
      <c r="AC145" s="4">
        <f>IF(A145="","",IF(OR(T145&gt;1,U145&lt;Inputs!$B$11,U145&gt;Inputs!$B$12,AA145&lt;Inputs!$B$19,AB145&lt;Inputs!$B$19,N145&lt;Inputs!$B$7,N145&gt;Inputs!$B$8),"CHECK","OK"))</f>
        <v/>
      </c>
      <c r="AD145" s="4">
        <f>IF(A145="","",(1/Inputs!$B$9)*(PI()*(Inputs!$F$5/1000)^2/4)*((Inputs!$F$5/1000/4)^(2/3))*SQRT(N145))</f>
        <v/>
      </c>
      <c r="AE145" s="4">
        <f>IF(A145="","",(1/Inputs!$B$9)*(PI()*(Inputs!$F$6/1000)^2/4)*((Inputs!$F$6/1000/4)^(2/3))*SQRT(N145))</f>
        <v/>
      </c>
      <c r="AF145" s="4">
        <f>IF(A145="","",(1/Inputs!$B$9)*(PI()*(Inputs!$F$7/1000)^2/4)*((Inputs!$F$7/1000/4)^(2/3))*SQRT(N145))</f>
        <v/>
      </c>
      <c r="AG145" s="4">
        <f>IF(A145="","",(1/Inputs!$B$9)*(PI()*(Inputs!$F$8/1000)^2/4)*((Inputs!$F$8/1000/4)^(2/3))*SQRT(N145))</f>
        <v/>
      </c>
      <c r="AH145" s="4">
        <f>IF(A145="","",(1/Inputs!$B$9)*(PI()*(Inputs!$F$9/1000)^2/4)*((Inputs!$F$9/1000/4)^(2/3))*SQRT(N145))</f>
        <v/>
      </c>
      <c r="AI145" s="4">
        <f>IF(A145="","",(1/Inputs!$B$9)*(PI()*(Inputs!$F$10/1000)^2/4)*((Inputs!$F$10/1000/4)^(2/3))*SQRT(N145))</f>
        <v/>
      </c>
      <c r="AJ145" s="4">
        <f>IF(A145="","",(1/Inputs!$B$9)*(PI()*(Inputs!$F$11/1000)^2/4)*((Inputs!$F$11/1000/4)^(2/3))*SQRT(N145))</f>
        <v/>
      </c>
      <c r="AK145" s="4">
        <f>IF(A145="","",(1/Inputs!$B$9)*(PI()*(Inputs!$F$12/1000)^2/4)*((Inputs!$F$12/1000/4)^(2/3))*SQRT(N145))</f>
        <v/>
      </c>
      <c r="AL145" s="4">
        <f>IF(A145="","",(1/Inputs!$B$9)*(PI()*(Inputs!$F$13/1000)^2/4)*((Inputs!$F$13/1000/4)^(2/3))*SQRT(N145))</f>
        <v/>
      </c>
      <c r="AM145" s="4">
        <f>IF(A145="","",(1/Inputs!$B$9)*(PI()*(Inputs!$F$14/1000)^2/4)*((Inputs!$F$14/1000/4)^(2/3))*SQRT(N145))</f>
        <v/>
      </c>
    </row>
    <row r="146">
      <c r="A146" s="4" t="n"/>
      <c r="B146" s="4" t="n"/>
      <c r="C146" s="8" t="n"/>
      <c r="D146" s="8" t="n"/>
      <c r="E146" s="8">
        <f>SUMIFS(CB_Tributaires!$C:$C,CB_Tributaires!$B:$B,$A146)</f>
        <v/>
      </c>
      <c r="F146" s="8">
        <f>IF(D146="",E146,D146)</f>
        <v/>
      </c>
      <c r="G146" s="4" t="n"/>
      <c r="H146" s="8" t="n"/>
      <c r="I146" s="8">
        <f>IF(A146="","",Inputs!$B$13/((IF(H146="",Inputs!$B$18,H146)+Inputs!$B$14)^Inputs!$B$15))</f>
        <v/>
      </c>
      <c r="J146" s="8">
        <f>IF(A146="","",0.00278*IF(G146="",Inputs!$B$17,G146)*F146*I146)</f>
        <v/>
      </c>
      <c r="K146" s="8">
        <f>IF(A146="","",SUMIFS($L$4:$L$203,$B$4:$B$203,$A146))</f>
        <v/>
      </c>
      <c r="L146" s="8">
        <f>IF(A146="","",(J146+K146)*Inputs!$B$16)</f>
        <v/>
      </c>
      <c r="M146" s="8" t="n"/>
      <c r="N146" s="8">
        <f>IF(A146="","",IF(M146="",Inputs!$B$7,M146))</f>
        <v/>
      </c>
      <c r="O146" s="4">
        <f>IF(A146="","",IF(L146/Inputs!$B$10&lt;=AD146,Inputs!$F$5,IF(L146/Inputs!$B$10&gt;AM146,"OVERSIZE",INDEX(Inputs!$F$5:$F$14,MATCH(L146/Inputs!$B$10,AD146:AM146,1)+1))))</f>
        <v/>
      </c>
      <c r="P146" s="4" t="n"/>
      <c r="Q146" s="4">
        <f>IF(A146="","",IF(P146="",O146,P146))</f>
        <v/>
      </c>
      <c r="R146" s="8">
        <f>IF(OR(Q146="",Q146="OVERSIZE"),"",Q146/1000)</f>
        <v/>
      </c>
      <c r="S146" s="8">
        <f>IF(R146="","",(1/Inputs!$B$9)*(PI()*R146^2/4)*((R146/4)^(2/3))*SQRT(N146))</f>
        <v/>
      </c>
      <c r="T146" s="8">
        <f>IF(OR(S146="",L146=""),"",L146/(S146*Inputs!$B$10))</f>
        <v/>
      </c>
      <c r="U146" s="8">
        <f>IF(OR(R146="",L146=""),"",4*L146/(PI()*R146^2))</f>
        <v/>
      </c>
      <c r="V146" s="8" t="n"/>
      <c r="W146" s="8">
        <f>IF(A146="","",IF(A146=Inputs!$B$6,Inputs!$B$22,IF(B146="","",IFERROR(INDEX($X$4:$X$203,MATCH(B146,$A$4:$A$203,0))+IF(V146="",Inputs!$B$20,V146),""))))</f>
        <v/>
      </c>
      <c r="X146" s="8">
        <f>IF(OR(W146="",N146="",C146=""),"",W146+N146*C146)</f>
        <v/>
      </c>
      <c r="Y146" s="8" t="n"/>
      <c r="Z146" s="8" t="n"/>
      <c r="AA146" s="8">
        <f>IF(OR(Y146="",W146=""),"",Y146-W146)</f>
        <v/>
      </c>
      <c r="AB146" s="8">
        <f>IF(OR(Z146="",X146=""),"",Z146-X146)</f>
        <v/>
      </c>
      <c r="AC146" s="4">
        <f>IF(A146="","",IF(OR(T146&gt;1,U146&lt;Inputs!$B$11,U146&gt;Inputs!$B$12,AA146&lt;Inputs!$B$19,AB146&lt;Inputs!$B$19,N146&lt;Inputs!$B$7,N146&gt;Inputs!$B$8),"CHECK","OK"))</f>
        <v/>
      </c>
      <c r="AD146" s="4">
        <f>IF(A146="","",(1/Inputs!$B$9)*(PI()*(Inputs!$F$5/1000)^2/4)*((Inputs!$F$5/1000/4)^(2/3))*SQRT(N146))</f>
        <v/>
      </c>
      <c r="AE146" s="4">
        <f>IF(A146="","",(1/Inputs!$B$9)*(PI()*(Inputs!$F$6/1000)^2/4)*((Inputs!$F$6/1000/4)^(2/3))*SQRT(N146))</f>
        <v/>
      </c>
      <c r="AF146" s="4">
        <f>IF(A146="","",(1/Inputs!$B$9)*(PI()*(Inputs!$F$7/1000)^2/4)*((Inputs!$F$7/1000/4)^(2/3))*SQRT(N146))</f>
        <v/>
      </c>
      <c r="AG146" s="4">
        <f>IF(A146="","",(1/Inputs!$B$9)*(PI()*(Inputs!$F$8/1000)^2/4)*((Inputs!$F$8/1000/4)^(2/3))*SQRT(N146))</f>
        <v/>
      </c>
      <c r="AH146" s="4">
        <f>IF(A146="","",(1/Inputs!$B$9)*(PI()*(Inputs!$F$9/1000)^2/4)*((Inputs!$F$9/1000/4)^(2/3))*SQRT(N146))</f>
        <v/>
      </c>
      <c r="AI146" s="4">
        <f>IF(A146="","",(1/Inputs!$B$9)*(PI()*(Inputs!$F$10/1000)^2/4)*((Inputs!$F$10/1000/4)^(2/3))*SQRT(N146))</f>
        <v/>
      </c>
      <c r="AJ146" s="4">
        <f>IF(A146="","",(1/Inputs!$B$9)*(PI()*(Inputs!$F$11/1000)^2/4)*((Inputs!$F$11/1000/4)^(2/3))*SQRT(N146))</f>
        <v/>
      </c>
      <c r="AK146" s="4">
        <f>IF(A146="","",(1/Inputs!$B$9)*(PI()*(Inputs!$F$12/1000)^2/4)*((Inputs!$F$12/1000/4)^(2/3))*SQRT(N146))</f>
        <v/>
      </c>
      <c r="AL146" s="4">
        <f>IF(A146="","",(1/Inputs!$B$9)*(PI()*(Inputs!$F$13/1000)^2/4)*((Inputs!$F$13/1000/4)^(2/3))*SQRT(N146))</f>
        <v/>
      </c>
      <c r="AM146" s="4">
        <f>IF(A146="","",(1/Inputs!$B$9)*(PI()*(Inputs!$F$14/1000)^2/4)*((Inputs!$F$14/1000/4)^(2/3))*SQRT(N146))</f>
        <v/>
      </c>
    </row>
    <row r="147">
      <c r="A147" s="4" t="n"/>
      <c r="B147" s="4" t="n"/>
      <c r="C147" s="8" t="n"/>
      <c r="D147" s="8" t="n"/>
      <c r="E147" s="8">
        <f>SUMIFS(CB_Tributaires!$C:$C,CB_Tributaires!$B:$B,$A147)</f>
        <v/>
      </c>
      <c r="F147" s="8">
        <f>IF(D147="",E147,D147)</f>
        <v/>
      </c>
      <c r="G147" s="4" t="n"/>
      <c r="H147" s="8" t="n"/>
      <c r="I147" s="8">
        <f>IF(A147="","",Inputs!$B$13/((IF(H147="",Inputs!$B$18,H147)+Inputs!$B$14)^Inputs!$B$15))</f>
        <v/>
      </c>
      <c r="J147" s="8">
        <f>IF(A147="","",0.00278*IF(G147="",Inputs!$B$17,G147)*F147*I147)</f>
        <v/>
      </c>
      <c r="K147" s="8">
        <f>IF(A147="","",SUMIFS($L$4:$L$203,$B$4:$B$203,$A147))</f>
        <v/>
      </c>
      <c r="L147" s="8">
        <f>IF(A147="","",(J147+K147)*Inputs!$B$16)</f>
        <v/>
      </c>
      <c r="M147" s="8" t="n"/>
      <c r="N147" s="8">
        <f>IF(A147="","",IF(M147="",Inputs!$B$7,M147))</f>
        <v/>
      </c>
      <c r="O147" s="4">
        <f>IF(A147="","",IF(L147/Inputs!$B$10&lt;=AD147,Inputs!$F$5,IF(L147/Inputs!$B$10&gt;AM147,"OVERSIZE",INDEX(Inputs!$F$5:$F$14,MATCH(L147/Inputs!$B$10,AD147:AM147,1)+1))))</f>
        <v/>
      </c>
      <c r="P147" s="4" t="n"/>
      <c r="Q147" s="4">
        <f>IF(A147="","",IF(P147="",O147,P147))</f>
        <v/>
      </c>
      <c r="R147" s="8">
        <f>IF(OR(Q147="",Q147="OVERSIZE"),"",Q147/1000)</f>
        <v/>
      </c>
      <c r="S147" s="8">
        <f>IF(R147="","",(1/Inputs!$B$9)*(PI()*R147^2/4)*((R147/4)^(2/3))*SQRT(N147))</f>
        <v/>
      </c>
      <c r="T147" s="8">
        <f>IF(OR(S147="",L147=""),"",L147/(S147*Inputs!$B$10))</f>
        <v/>
      </c>
      <c r="U147" s="8">
        <f>IF(OR(R147="",L147=""),"",4*L147/(PI()*R147^2))</f>
        <v/>
      </c>
      <c r="V147" s="8" t="n"/>
      <c r="W147" s="8">
        <f>IF(A147="","",IF(A147=Inputs!$B$6,Inputs!$B$22,IF(B147="","",IFERROR(INDEX($X$4:$X$203,MATCH(B147,$A$4:$A$203,0))+IF(V147="",Inputs!$B$20,V147),""))))</f>
        <v/>
      </c>
      <c r="X147" s="8">
        <f>IF(OR(W147="",N147="",C147=""),"",W147+N147*C147)</f>
        <v/>
      </c>
      <c r="Y147" s="8" t="n"/>
      <c r="Z147" s="8" t="n"/>
      <c r="AA147" s="8">
        <f>IF(OR(Y147="",W147=""),"",Y147-W147)</f>
        <v/>
      </c>
      <c r="AB147" s="8">
        <f>IF(OR(Z147="",X147=""),"",Z147-X147)</f>
        <v/>
      </c>
      <c r="AC147" s="4">
        <f>IF(A147="","",IF(OR(T147&gt;1,U147&lt;Inputs!$B$11,U147&gt;Inputs!$B$12,AA147&lt;Inputs!$B$19,AB147&lt;Inputs!$B$19,N147&lt;Inputs!$B$7,N147&gt;Inputs!$B$8),"CHECK","OK"))</f>
        <v/>
      </c>
      <c r="AD147" s="4">
        <f>IF(A147="","",(1/Inputs!$B$9)*(PI()*(Inputs!$F$5/1000)^2/4)*((Inputs!$F$5/1000/4)^(2/3))*SQRT(N147))</f>
        <v/>
      </c>
      <c r="AE147" s="4">
        <f>IF(A147="","",(1/Inputs!$B$9)*(PI()*(Inputs!$F$6/1000)^2/4)*((Inputs!$F$6/1000/4)^(2/3))*SQRT(N147))</f>
        <v/>
      </c>
      <c r="AF147" s="4">
        <f>IF(A147="","",(1/Inputs!$B$9)*(PI()*(Inputs!$F$7/1000)^2/4)*((Inputs!$F$7/1000/4)^(2/3))*SQRT(N147))</f>
        <v/>
      </c>
      <c r="AG147" s="4">
        <f>IF(A147="","",(1/Inputs!$B$9)*(PI()*(Inputs!$F$8/1000)^2/4)*((Inputs!$F$8/1000/4)^(2/3))*SQRT(N147))</f>
        <v/>
      </c>
      <c r="AH147" s="4">
        <f>IF(A147="","",(1/Inputs!$B$9)*(PI()*(Inputs!$F$9/1000)^2/4)*((Inputs!$F$9/1000/4)^(2/3))*SQRT(N147))</f>
        <v/>
      </c>
      <c r="AI147" s="4">
        <f>IF(A147="","",(1/Inputs!$B$9)*(PI()*(Inputs!$F$10/1000)^2/4)*((Inputs!$F$10/1000/4)^(2/3))*SQRT(N147))</f>
        <v/>
      </c>
      <c r="AJ147" s="4">
        <f>IF(A147="","",(1/Inputs!$B$9)*(PI()*(Inputs!$F$11/1000)^2/4)*((Inputs!$F$11/1000/4)^(2/3))*SQRT(N147))</f>
        <v/>
      </c>
      <c r="AK147" s="4">
        <f>IF(A147="","",(1/Inputs!$B$9)*(PI()*(Inputs!$F$12/1000)^2/4)*((Inputs!$F$12/1000/4)^(2/3))*SQRT(N147))</f>
        <v/>
      </c>
      <c r="AL147" s="4">
        <f>IF(A147="","",(1/Inputs!$B$9)*(PI()*(Inputs!$F$13/1000)^2/4)*((Inputs!$F$13/1000/4)^(2/3))*SQRT(N147))</f>
        <v/>
      </c>
      <c r="AM147" s="4">
        <f>IF(A147="","",(1/Inputs!$B$9)*(PI()*(Inputs!$F$14/1000)^2/4)*((Inputs!$F$14/1000/4)^(2/3))*SQRT(N147))</f>
        <v/>
      </c>
    </row>
    <row r="148">
      <c r="A148" s="4" t="n"/>
      <c r="B148" s="4" t="n"/>
      <c r="C148" s="8" t="n"/>
      <c r="D148" s="8" t="n"/>
      <c r="E148" s="8">
        <f>SUMIFS(CB_Tributaires!$C:$C,CB_Tributaires!$B:$B,$A148)</f>
        <v/>
      </c>
      <c r="F148" s="8">
        <f>IF(D148="",E148,D148)</f>
        <v/>
      </c>
      <c r="G148" s="4" t="n"/>
      <c r="H148" s="8" t="n"/>
      <c r="I148" s="8">
        <f>IF(A148="","",Inputs!$B$13/((IF(H148="",Inputs!$B$18,H148)+Inputs!$B$14)^Inputs!$B$15))</f>
        <v/>
      </c>
      <c r="J148" s="8">
        <f>IF(A148="","",0.00278*IF(G148="",Inputs!$B$17,G148)*F148*I148)</f>
        <v/>
      </c>
      <c r="K148" s="8">
        <f>IF(A148="","",SUMIFS($L$4:$L$203,$B$4:$B$203,$A148))</f>
        <v/>
      </c>
      <c r="L148" s="8">
        <f>IF(A148="","",(J148+K148)*Inputs!$B$16)</f>
        <v/>
      </c>
      <c r="M148" s="8" t="n"/>
      <c r="N148" s="8">
        <f>IF(A148="","",IF(M148="",Inputs!$B$7,M148))</f>
        <v/>
      </c>
      <c r="O148" s="4">
        <f>IF(A148="","",IF(L148/Inputs!$B$10&lt;=AD148,Inputs!$F$5,IF(L148/Inputs!$B$10&gt;AM148,"OVERSIZE",INDEX(Inputs!$F$5:$F$14,MATCH(L148/Inputs!$B$10,AD148:AM148,1)+1))))</f>
        <v/>
      </c>
      <c r="P148" s="4" t="n"/>
      <c r="Q148" s="4">
        <f>IF(A148="","",IF(P148="",O148,P148))</f>
        <v/>
      </c>
      <c r="R148" s="8">
        <f>IF(OR(Q148="",Q148="OVERSIZE"),"",Q148/1000)</f>
        <v/>
      </c>
      <c r="S148" s="8">
        <f>IF(R148="","",(1/Inputs!$B$9)*(PI()*R148^2/4)*((R148/4)^(2/3))*SQRT(N148))</f>
        <v/>
      </c>
      <c r="T148" s="8">
        <f>IF(OR(S148="",L148=""),"",L148/(S148*Inputs!$B$10))</f>
        <v/>
      </c>
      <c r="U148" s="8">
        <f>IF(OR(R148="",L148=""),"",4*L148/(PI()*R148^2))</f>
        <v/>
      </c>
      <c r="V148" s="8" t="n"/>
      <c r="W148" s="8">
        <f>IF(A148="","",IF(A148=Inputs!$B$6,Inputs!$B$22,IF(B148="","",IFERROR(INDEX($X$4:$X$203,MATCH(B148,$A$4:$A$203,0))+IF(V148="",Inputs!$B$20,V148),""))))</f>
        <v/>
      </c>
      <c r="X148" s="8">
        <f>IF(OR(W148="",N148="",C148=""),"",W148+N148*C148)</f>
        <v/>
      </c>
      <c r="Y148" s="8" t="n"/>
      <c r="Z148" s="8" t="n"/>
      <c r="AA148" s="8">
        <f>IF(OR(Y148="",W148=""),"",Y148-W148)</f>
        <v/>
      </c>
      <c r="AB148" s="8">
        <f>IF(OR(Z148="",X148=""),"",Z148-X148)</f>
        <v/>
      </c>
      <c r="AC148" s="4">
        <f>IF(A148="","",IF(OR(T148&gt;1,U148&lt;Inputs!$B$11,U148&gt;Inputs!$B$12,AA148&lt;Inputs!$B$19,AB148&lt;Inputs!$B$19,N148&lt;Inputs!$B$7,N148&gt;Inputs!$B$8),"CHECK","OK"))</f>
        <v/>
      </c>
      <c r="AD148" s="4">
        <f>IF(A148="","",(1/Inputs!$B$9)*(PI()*(Inputs!$F$5/1000)^2/4)*((Inputs!$F$5/1000/4)^(2/3))*SQRT(N148))</f>
        <v/>
      </c>
      <c r="AE148" s="4">
        <f>IF(A148="","",(1/Inputs!$B$9)*(PI()*(Inputs!$F$6/1000)^2/4)*((Inputs!$F$6/1000/4)^(2/3))*SQRT(N148))</f>
        <v/>
      </c>
      <c r="AF148" s="4">
        <f>IF(A148="","",(1/Inputs!$B$9)*(PI()*(Inputs!$F$7/1000)^2/4)*((Inputs!$F$7/1000/4)^(2/3))*SQRT(N148))</f>
        <v/>
      </c>
      <c r="AG148" s="4">
        <f>IF(A148="","",(1/Inputs!$B$9)*(PI()*(Inputs!$F$8/1000)^2/4)*((Inputs!$F$8/1000/4)^(2/3))*SQRT(N148))</f>
        <v/>
      </c>
      <c r="AH148" s="4">
        <f>IF(A148="","",(1/Inputs!$B$9)*(PI()*(Inputs!$F$9/1000)^2/4)*((Inputs!$F$9/1000/4)^(2/3))*SQRT(N148))</f>
        <v/>
      </c>
      <c r="AI148" s="4">
        <f>IF(A148="","",(1/Inputs!$B$9)*(PI()*(Inputs!$F$10/1000)^2/4)*((Inputs!$F$10/1000/4)^(2/3))*SQRT(N148))</f>
        <v/>
      </c>
      <c r="AJ148" s="4">
        <f>IF(A148="","",(1/Inputs!$B$9)*(PI()*(Inputs!$F$11/1000)^2/4)*((Inputs!$F$11/1000/4)^(2/3))*SQRT(N148))</f>
        <v/>
      </c>
      <c r="AK148" s="4">
        <f>IF(A148="","",(1/Inputs!$B$9)*(PI()*(Inputs!$F$12/1000)^2/4)*((Inputs!$F$12/1000/4)^(2/3))*SQRT(N148))</f>
        <v/>
      </c>
      <c r="AL148" s="4">
        <f>IF(A148="","",(1/Inputs!$B$9)*(PI()*(Inputs!$F$13/1000)^2/4)*((Inputs!$F$13/1000/4)^(2/3))*SQRT(N148))</f>
        <v/>
      </c>
      <c r="AM148" s="4">
        <f>IF(A148="","",(1/Inputs!$B$9)*(PI()*(Inputs!$F$14/1000)^2/4)*((Inputs!$F$14/1000/4)^(2/3))*SQRT(N148))</f>
        <v/>
      </c>
    </row>
    <row r="149">
      <c r="A149" s="4" t="n"/>
      <c r="B149" s="4" t="n"/>
      <c r="C149" s="8" t="n"/>
      <c r="D149" s="8" t="n"/>
      <c r="E149" s="8">
        <f>SUMIFS(CB_Tributaires!$C:$C,CB_Tributaires!$B:$B,$A149)</f>
        <v/>
      </c>
      <c r="F149" s="8">
        <f>IF(D149="",E149,D149)</f>
        <v/>
      </c>
      <c r="G149" s="4" t="n"/>
      <c r="H149" s="8" t="n"/>
      <c r="I149" s="8">
        <f>IF(A149="","",Inputs!$B$13/((IF(H149="",Inputs!$B$18,H149)+Inputs!$B$14)^Inputs!$B$15))</f>
        <v/>
      </c>
      <c r="J149" s="8">
        <f>IF(A149="","",0.00278*IF(G149="",Inputs!$B$17,G149)*F149*I149)</f>
        <v/>
      </c>
      <c r="K149" s="8">
        <f>IF(A149="","",SUMIFS($L$4:$L$203,$B$4:$B$203,$A149))</f>
        <v/>
      </c>
      <c r="L149" s="8">
        <f>IF(A149="","",(J149+K149)*Inputs!$B$16)</f>
        <v/>
      </c>
      <c r="M149" s="8" t="n"/>
      <c r="N149" s="8">
        <f>IF(A149="","",IF(M149="",Inputs!$B$7,M149))</f>
        <v/>
      </c>
      <c r="O149" s="4">
        <f>IF(A149="","",IF(L149/Inputs!$B$10&lt;=AD149,Inputs!$F$5,IF(L149/Inputs!$B$10&gt;AM149,"OVERSIZE",INDEX(Inputs!$F$5:$F$14,MATCH(L149/Inputs!$B$10,AD149:AM149,1)+1))))</f>
        <v/>
      </c>
      <c r="P149" s="4" t="n"/>
      <c r="Q149" s="4">
        <f>IF(A149="","",IF(P149="",O149,P149))</f>
        <v/>
      </c>
      <c r="R149" s="8">
        <f>IF(OR(Q149="",Q149="OVERSIZE"),"",Q149/1000)</f>
        <v/>
      </c>
      <c r="S149" s="8">
        <f>IF(R149="","",(1/Inputs!$B$9)*(PI()*R149^2/4)*((R149/4)^(2/3))*SQRT(N149))</f>
        <v/>
      </c>
      <c r="T149" s="8">
        <f>IF(OR(S149="",L149=""),"",L149/(S149*Inputs!$B$10))</f>
        <v/>
      </c>
      <c r="U149" s="8">
        <f>IF(OR(R149="",L149=""),"",4*L149/(PI()*R149^2))</f>
        <v/>
      </c>
      <c r="V149" s="8" t="n"/>
      <c r="W149" s="8">
        <f>IF(A149="","",IF(A149=Inputs!$B$6,Inputs!$B$22,IF(B149="","",IFERROR(INDEX($X$4:$X$203,MATCH(B149,$A$4:$A$203,0))+IF(V149="",Inputs!$B$20,V149),""))))</f>
        <v/>
      </c>
      <c r="X149" s="8">
        <f>IF(OR(W149="",N149="",C149=""),"",W149+N149*C149)</f>
        <v/>
      </c>
      <c r="Y149" s="8" t="n"/>
      <c r="Z149" s="8" t="n"/>
      <c r="AA149" s="8">
        <f>IF(OR(Y149="",W149=""),"",Y149-W149)</f>
        <v/>
      </c>
      <c r="AB149" s="8">
        <f>IF(OR(Z149="",X149=""),"",Z149-X149)</f>
        <v/>
      </c>
      <c r="AC149" s="4">
        <f>IF(A149="","",IF(OR(T149&gt;1,U149&lt;Inputs!$B$11,U149&gt;Inputs!$B$12,AA149&lt;Inputs!$B$19,AB149&lt;Inputs!$B$19,N149&lt;Inputs!$B$7,N149&gt;Inputs!$B$8),"CHECK","OK"))</f>
        <v/>
      </c>
      <c r="AD149" s="4">
        <f>IF(A149="","",(1/Inputs!$B$9)*(PI()*(Inputs!$F$5/1000)^2/4)*((Inputs!$F$5/1000/4)^(2/3))*SQRT(N149))</f>
        <v/>
      </c>
      <c r="AE149" s="4">
        <f>IF(A149="","",(1/Inputs!$B$9)*(PI()*(Inputs!$F$6/1000)^2/4)*((Inputs!$F$6/1000/4)^(2/3))*SQRT(N149))</f>
        <v/>
      </c>
      <c r="AF149" s="4">
        <f>IF(A149="","",(1/Inputs!$B$9)*(PI()*(Inputs!$F$7/1000)^2/4)*((Inputs!$F$7/1000/4)^(2/3))*SQRT(N149))</f>
        <v/>
      </c>
      <c r="AG149" s="4">
        <f>IF(A149="","",(1/Inputs!$B$9)*(PI()*(Inputs!$F$8/1000)^2/4)*((Inputs!$F$8/1000/4)^(2/3))*SQRT(N149))</f>
        <v/>
      </c>
      <c r="AH149" s="4">
        <f>IF(A149="","",(1/Inputs!$B$9)*(PI()*(Inputs!$F$9/1000)^2/4)*((Inputs!$F$9/1000/4)^(2/3))*SQRT(N149))</f>
        <v/>
      </c>
      <c r="AI149" s="4">
        <f>IF(A149="","",(1/Inputs!$B$9)*(PI()*(Inputs!$F$10/1000)^2/4)*((Inputs!$F$10/1000/4)^(2/3))*SQRT(N149))</f>
        <v/>
      </c>
      <c r="AJ149" s="4">
        <f>IF(A149="","",(1/Inputs!$B$9)*(PI()*(Inputs!$F$11/1000)^2/4)*((Inputs!$F$11/1000/4)^(2/3))*SQRT(N149))</f>
        <v/>
      </c>
      <c r="AK149" s="4">
        <f>IF(A149="","",(1/Inputs!$B$9)*(PI()*(Inputs!$F$12/1000)^2/4)*((Inputs!$F$12/1000/4)^(2/3))*SQRT(N149))</f>
        <v/>
      </c>
      <c r="AL149" s="4">
        <f>IF(A149="","",(1/Inputs!$B$9)*(PI()*(Inputs!$F$13/1000)^2/4)*((Inputs!$F$13/1000/4)^(2/3))*SQRT(N149))</f>
        <v/>
      </c>
      <c r="AM149" s="4">
        <f>IF(A149="","",(1/Inputs!$B$9)*(PI()*(Inputs!$F$14/1000)^2/4)*((Inputs!$F$14/1000/4)^(2/3))*SQRT(N149))</f>
        <v/>
      </c>
    </row>
    <row r="150">
      <c r="A150" s="4" t="n"/>
      <c r="B150" s="4" t="n"/>
      <c r="C150" s="8" t="n"/>
      <c r="D150" s="8" t="n"/>
      <c r="E150" s="8">
        <f>SUMIFS(CB_Tributaires!$C:$C,CB_Tributaires!$B:$B,$A150)</f>
        <v/>
      </c>
      <c r="F150" s="8">
        <f>IF(D150="",E150,D150)</f>
        <v/>
      </c>
      <c r="G150" s="4" t="n"/>
      <c r="H150" s="8" t="n"/>
      <c r="I150" s="8">
        <f>IF(A150="","",Inputs!$B$13/((IF(H150="",Inputs!$B$18,H150)+Inputs!$B$14)^Inputs!$B$15))</f>
        <v/>
      </c>
      <c r="J150" s="8">
        <f>IF(A150="","",0.00278*IF(G150="",Inputs!$B$17,G150)*F150*I150)</f>
        <v/>
      </c>
      <c r="K150" s="8">
        <f>IF(A150="","",SUMIFS($L$4:$L$203,$B$4:$B$203,$A150))</f>
        <v/>
      </c>
      <c r="L150" s="8">
        <f>IF(A150="","",(J150+K150)*Inputs!$B$16)</f>
        <v/>
      </c>
      <c r="M150" s="8" t="n"/>
      <c r="N150" s="8">
        <f>IF(A150="","",IF(M150="",Inputs!$B$7,M150))</f>
        <v/>
      </c>
      <c r="O150" s="4">
        <f>IF(A150="","",IF(L150/Inputs!$B$10&lt;=AD150,Inputs!$F$5,IF(L150/Inputs!$B$10&gt;AM150,"OVERSIZE",INDEX(Inputs!$F$5:$F$14,MATCH(L150/Inputs!$B$10,AD150:AM150,1)+1))))</f>
        <v/>
      </c>
      <c r="P150" s="4" t="n"/>
      <c r="Q150" s="4">
        <f>IF(A150="","",IF(P150="",O150,P150))</f>
        <v/>
      </c>
      <c r="R150" s="8">
        <f>IF(OR(Q150="",Q150="OVERSIZE"),"",Q150/1000)</f>
        <v/>
      </c>
      <c r="S150" s="8">
        <f>IF(R150="","",(1/Inputs!$B$9)*(PI()*R150^2/4)*((R150/4)^(2/3))*SQRT(N150))</f>
        <v/>
      </c>
      <c r="T150" s="8">
        <f>IF(OR(S150="",L150=""),"",L150/(S150*Inputs!$B$10))</f>
        <v/>
      </c>
      <c r="U150" s="8">
        <f>IF(OR(R150="",L150=""),"",4*L150/(PI()*R150^2))</f>
        <v/>
      </c>
      <c r="V150" s="8" t="n"/>
      <c r="W150" s="8">
        <f>IF(A150="","",IF(A150=Inputs!$B$6,Inputs!$B$22,IF(B150="","",IFERROR(INDEX($X$4:$X$203,MATCH(B150,$A$4:$A$203,0))+IF(V150="",Inputs!$B$20,V150),""))))</f>
        <v/>
      </c>
      <c r="X150" s="8">
        <f>IF(OR(W150="",N150="",C150=""),"",W150+N150*C150)</f>
        <v/>
      </c>
      <c r="Y150" s="8" t="n"/>
      <c r="Z150" s="8" t="n"/>
      <c r="AA150" s="8">
        <f>IF(OR(Y150="",W150=""),"",Y150-W150)</f>
        <v/>
      </c>
      <c r="AB150" s="8">
        <f>IF(OR(Z150="",X150=""),"",Z150-X150)</f>
        <v/>
      </c>
      <c r="AC150" s="4">
        <f>IF(A150="","",IF(OR(T150&gt;1,U150&lt;Inputs!$B$11,U150&gt;Inputs!$B$12,AA150&lt;Inputs!$B$19,AB150&lt;Inputs!$B$19,N150&lt;Inputs!$B$7,N150&gt;Inputs!$B$8),"CHECK","OK"))</f>
        <v/>
      </c>
      <c r="AD150" s="4">
        <f>IF(A150="","",(1/Inputs!$B$9)*(PI()*(Inputs!$F$5/1000)^2/4)*((Inputs!$F$5/1000/4)^(2/3))*SQRT(N150))</f>
        <v/>
      </c>
      <c r="AE150" s="4">
        <f>IF(A150="","",(1/Inputs!$B$9)*(PI()*(Inputs!$F$6/1000)^2/4)*((Inputs!$F$6/1000/4)^(2/3))*SQRT(N150))</f>
        <v/>
      </c>
      <c r="AF150" s="4">
        <f>IF(A150="","",(1/Inputs!$B$9)*(PI()*(Inputs!$F$7/1000)^2/4)*((Inputs!$F$7/1000/4)^(2/3))*SQRT(N150))</f>
        <v/>
      </c>
      <c r="AG150" s="4">
        <f>IF(A150="","",(1/Inputs!$B$9)*(PI()*(Inputs!$F$8/1000)^2/4)*((Inputs!$F$8/1000/4)^(2/3))*SQRT(N150))</f>
        <v/>
      </c>
      <c r="AH150" s="4">
        <f>IF(A150="","",(1/Inputs!$B$9)*(PI()*(Inputs!$F$9/1000)^2/4)*((Inputs!$F$9/1000/4)^(2/3))*SQRT(N150))</f>
        <v/>
      </c>
      <c r="AI150" s="4">
        <f>IF(A150="","",(1/Inputs!$B$9)*(PI()*(Inputs!$F$10/1000)^2/4)*((Inputs!$F$10/1000/4)^(2/3))*SQRT(N150))</f>
        <v/>
      </c>
      <c r="AJ150" s="4">
        <f>IF(A150="","",(1/Inputs!$B$9)*(PI()*(Inputs!$F$11/1000)^2/4)*((Inputs!$F$11/1000/4)^(2/3))*SQRT(N150))</f>
        <v/>
      </c>
      <c r="AK150" s="4">
        <f>IF(A150="","",(1/Inputs!$B$9)*(PI()*(Inputs!$F$12/1000)^2/4)*((Inputs!$F$12/1000/4)^(2/3))*SQRT(N150))</f>
        <v/>
      </c>
      <c r="AL150" s="4">
        <f>IF(A150="","",(1/Inputs!$B$9)*(PI()*(Inputs!$F$13/1000)^2/4)*((Inputs!$F$13/1000/4)^(2/3))*SQRT(N150))</f>
        <v/>
      </c>
      <c r="AM150" s="4">
        <f>IF(A150="","",(1/Inputs!$B$9)*(PI()*(Inputs!$F$14/1000)^2/4)*((Inputs!$F$14/1000/4)^(2/3))*SQRT(N150))</f>
        <v/>
      </c>
    </row>
    <row r="151">
      <c r="A151" s="4" t="n"/>
      <c r="B151" s="4" t="n"/>
      <c r="C151" s="8" t="n"/>
      <c r="D151" s="8" t="n"/>
      <c r="E151" s="8">
        <f>SUMIFS(CB_Tributaires!$C:$C,CB_Tributaires!$B:$B,$A151)</f>
        <v/>
      </c>
      <c r="F151" s="8">
        <f>IF(D151="",E151,D151)</f>
        <v/>
      </c>
      <c r="G151" s="4" t="n"/>
      <c r="H151" s="8" t="n"/>
      <c r="I151" s="8">
        <f>IF(A151="","",Inputs!$B$13/((IF(H151="",Inputs!$B$18,H151)+Inputs!$B$14)^Inputs!$B$15))</f>
        <v/>
      </c>
      <c r="J151" s="8">
        <f>IF(A151="","",0.00278*IF(G151="",Inputs!$B$17,G151)*F151*I151)</f>
        <v/>
      </c>
      <c r="K151" s="8">
        <f>IF(A151="","",SUMIFS($L$4:$L$203,$B$4:$B$203,$A151))</f>
        <v/>
      </c>
      <c r="L151" s="8">
        <f>IF(A151="","",(J151+K151)*Inputs!$B$16)</f>
        <v/>
      </c>
      <c r="M151" s="8" t="n"/>
      <c r="N151" s="8">
        <f>IF(A151="","",IF(M151="",Inputs!$B$7,M151))</f>
        <v/>
      </c>
      <c r="O151" s="4">
        <f>IF(A151="","",IF(L151/Inputs!$B$10&lt;=AD151,Inputs!$F$5,IF(L151/Inputs!$B$10&gt;AM151,"OVERSIZE",INDEX(Inputs!$F$5:$F$14,MATCH(L151/Inputs!$B$10,AD151:AM151,1)+1))))</f>
        <v/>
      </c>
      <c r="P151" s="4" t="n"/>
      <c r="Q151" s="4">
        <f>IF(A151="","",IF(P151="",O151,P151))</f>
        <v/>
      </c>
      <c r="R151" s="8">
        <f>IF(OR(Q151="",Q151="OVERSIZE"),"",Q151/1000)</f>
        <v/>
      </c>
      <c r="S151" s="8">
        <f>IF(R151="","",(1/Inputs!$B$9)*(PI()*R151^2/4)*((R151/4)^(2/3))*SQRT(N151))</f>
        <v/>
      </c>
      <c r="T151" s="8">
        <f>IF(OR(S151="",L151=""),"",L151/(S151*Inputs!$B$10))</f>
        <v/>
      </c>
      <c r="U151" s="8">
        <f>IF(OR(R151="",L151=""),"",4*L151/(PI()*R151^2))</f>
        <v/>
      </c>
      <c r="V151" s="8" t="n"/>
      <c r="W151" s="8">
        <f>IF(A151="","",IF(A151=Inputs!$B$6,Inputs!$B$22,IF(B151="","",IFERROR(INDEX($X$4:$X$203,MATCH(B151,$A$4:$A$203,0))+IF(V151="",Inputs!$B$20,V151),""))))</f>
        <v/>
      </c>
      <c r="X151" s="8">
        <f>IF(OR(W151="",N151="",C151=""),"",W151+N151*C151)</f>
        <v/>
      </c>
      <c r="Y151" s="8" t="n"/>
      <c r="Z151" s="8" t="n"/>
      <c r="AA151" s="8">
        <f>IF(OR(Y151="",W151=""),"",Y151-W151)</f>
        <v/>
      </c>
      <c r="AB151" s="8">
        <f>IF(OR(Z151="",X151=""),"",Z151-X151)</f>
        <v/>
      </c>
      <c r="AC151" s="4">
        <f>IF(A151="","",IF(OR(T151&gt;1,U151&lt;Inputs!$B$11,U151&gt;Inputs!$B$12,AA151&lt;Inputs!$B$19,AB151&lt;Inputs!$B$19,N151&lt;Inputs!$B$7,N151&gt;Inputs!$B$8),"CHECK","OK"))</f>
        <v/>
      </c>
      <c r="AD151" s="4">
        <f>IF(A151="","",(1/Inputs!$B$9)*(PI()*(Inputs!$F$5/1000)^2/4)*((Inputs!$F$5/1000/4)^(2/3))*SQRT(N151))</f>
        <v/>
      </c>
      <c r="AE151" s="4">
        <f>IF(A151="","",(1/Inputs!$B$9)*(PI()*(Inputs!$F$6/1000)^2/4)*((Inputs!$F$6/1000/4)^(2/3))*SQRT(N151))</f>
        <v/>
      </c>
      <c r="AF151" s="4">
        <f>IF(A151="","",(1/Inputs!$B$9)*(PI()*(Inputs!$F$7/1000)^2/4)*((Inputs!$F$7/1000/4)^(2/3))*SQRT(N151))</f>
        <v/>
      </c>
      <c r="AG151" s="4">
        <f>IF(A151="","",(1/Inputs!$B$9)*(PI()*(Inputs!$F$8/1000)^2/4)*((Inputs!$F$8/1000/4)^(2/3))*SQRT(N151))</f>
        <v/>
      </c>
      <c r="AH151" s="4">
        <f>IF(A151="","",(1/Inputs!$B$9)*(PI()*(Inputs!$F$9/1000)^2/4)*((Inputs!$F$9/1000/4)^(2/3))*SQRT(N151))</f>
        <v/>
      </c>
      <c r="AI151" s="4">
        <f>IF(A151="","",(1/Inputs!$B$9)*(PI()*(Inputs!$F$10/1000)^2/4)*((Inputs!$F$10/1000/4)^(2/3))*SQRT(N151))</f>
        <v/>
      </c>
      <c r="AJ151" s="4">
        <f>IF(A151="","",(1/Inputs!$B$9)*(PI()*(Inputs!$F$11/1000)^2/4)*((Inputs!$F$11/1000/4)^(2/3))*SQRT(N151))</f>
        <v/>
      </c>
      <c r="AK151" s="4">
        <f>IF(A151="","",(1/Inputs!$B$9)*(PI()*(Inputs!$F$12/1000)^2/4)*((Inputs!$F$12/1000/4)^(2/3))*SQRT(N151))</f>
        <v/>
      </c>
      <c r="AL151" s="4">
        <f>IF(A151="","",(1/Inputs!$B$9)*(PI()*(Inputs!$F$13/1000)^2/4)*((Inputs!$F$13/1000/4)^(2/3))*SQRT(N151))</f>
        <v/>
      </c>
      <c r="AM151" s="4">
        <f>IF(A151="","",(1/Inputs!$B$9)*(PI()*(Inputs!$F$14/1000)^2/4)*((Inputs!$F$14/1000/4)^(2/3))*SQRT(N151))</f>
        <v/>
      </c>
    </row>
    <row r="152">
      <c r="A152" s="4" t="n"/>
      <c r="B152" s="4" t="n"/>
      <c r="C152" s="8" t="n"/>
      <c r="D152" s="8" t="n"/>
      <c r="E152" s="8">
        <f>SUMIFS(CB_Tributaires!$C:$C,CB_Tributaires!$B:$B,$A152)</f>
        <v/>
      </c>
      <c r="F152" s="8">
        <f>IF(D152="",E152,D152)</f>
        <v/>
      </c>
      <c r="G152" s="4" t="n"/>
      <c r="H152" s="8" t="n"/>
      <c r="I152" s="8">
        <f>IF(A152="","",Inputs!$B$13/((IF(H152="",Inputs!$B$18,H152)+Inputs!$B$14)^Inputs!$B$15))</f>
        <v/>
      </c>
      <c r="J152" s="8">
        <f>IF(A152="","",0.00278*IF(G152="",Inputs!$B$17,G152)*F152*I152)</f>
        <v/>
      </c>
      <c r="K152" s="8">
        <f>IF(A152="","",SUMIFS($L$4:$L$203,$B$4:$B$203,$A152))</f>
        <v/>
      </c>
      <c r="L152" s="8">
        <f>IF(A152="","",(J152+K152)*Inputs!$B$16)</f>
        <v/>
      </c>
      <c r="M152" s="8" t="n"/>
      <c r="N152" s="8">
        <f>IF(A152="","",IF(M152="",Inputs!$B$7,M152))</f>
        <v/>
      </c>
      <c r="O152" s="4">
        <f>IF(A152="","",IF(L152/Inputs!$B$10&lt;=AD152,Inputs!$F$5,IF(L152/Inputs!$B$10&gt;AM152,"OVERSIZE",INDEX(Inputs!$F$5:$F$14,MATCH(L152/Inputs!$B$10,AD152:AM152,1)+1))))</f>
        <v/>
      </c>
      <c r="P152" s="4" t="n"/>
      <c r="Q152" s="4">
        <f>IF(A152="","",IF(P152="",O152,P152))</f>
        <v/>
      </c>
      <c r="R152" s="8">
        <f>IF(OR(Q152="",Q152="OVERSIZE"),"",Q152/1000)</f>
        <v/>
      </c>
      <c r="S152" s="8">
        <f>IF(R152="","",(1/Inputs!$B$9)*(PI()*R152^2/4)*((R152/4)^(2/3))*SQRT(N152))</f>
        <v/>
      </c>
      <c r="T152" s="8">
        <f>IF(OR(S152="",L152=""),"",L152/(S152*Inputs!$B$10))</f>
        <v/>
      </c>
      <c r="U152" s="8">
        <f>IF(OR(R152="",L152=""),"",4*L152/(PI()*R152^2))</f>
        <v/>
      </c>
      <c r="V152" s="8" t="n"/>
      <c r="W152" s="8">
        <f>IF(A152="","",IF(A152=Inputs!$B$6,Inputs!$B$22,IF(B152="","",IFERROR(INDEX($X$4:$X$203,MATCH(B152,$A$4:$A$203,0))+IF(V152="",Inputs!$B$20,V152),""))))</f>
        <v/>
      </c>
      <c r="X152" s="8">
        <f>IF(OR(W152="",N152="",C152=""),"",W152+N152*C152)</f>
        <v/>
      </c>
      <c r="Y152" s="8" t="n"/>
      <c r="Z152" s="8" t="n"/>
      <c r="AA152" s="8">
        <f>IF(OR(Y152="",W152=""),"",Y152-W152)</f>
        <v/>
      </c>
      <c r="AB152" s="8">
        <f>IF(OR(Z152="",X152=""),"",Z152-X152)</f>
        <v/>
      </c>
      <c r="AC152" s="4">
        <f>IF(A152="","",IF(OR(T152&gt;1,U152&lt;Inputs!$B$11,U152&gt;Inputs!$B$12,AA152&lt;Inputs!$B$19,AB152&lt;Inputs!$B$19,N152&lt;Inputs!$B$7,N152&gt;Inputs!$B$8),"CHECK","OK"))</f>
        <v/>
      </c>
      <c r="AD152" s="4">
        <f>IF(A152="","",(1/Inputs!$B$9)*(PI()*(Inputs!$F$5/1000)^2/4)*((Inputs!$F$5/1000/4)^(2/3))*SQRT(N152))</f>
        <v/>
      </c>
      <c r="AE152" s="4">
        <f>IF(A152="","",(1/Inputs!$B$9)*(PI()*(Inputs!$F$6/1000)^2/4)*((Inputs!$F$6/1000/4)^(2/3))*SQRT(N152))</f>
        <v/>
      </c>
      <c r="AF152" s="4">
        <f>IF(A152="","",(1/Inputs!$B$9)*(PI()*(Inputs!$F$7/1000)^2/4)*((Inputs!$F$7/1000/4)^(2/3))*SQRT(N152))</f>
        <v/>
      </c>
      <c r="AG152" s="4">
        <f>IF(A152="","",(1/Inputs!$B$9)*(PI()*(Inputs!$F$8/1000)^2/4)*((Inputs!$F$8/1000/4)^(2/3))*SQRT(N152))</f>
        <v/>
      </c>
      <c r="AH152" s="4">
        <f>IF(A152="","",(1/Inputs!$B$9)*(PI()*(Inputs!$F$9/1000)^2/4)*((Inputs!$F$9/1000/4)^(2/3))*SQRT(N152))</f>
        <v/>
      </c>
      <c r="AI152" s="4">
        <f>IF(A152="","",(1/Inputs!$B$9)*(PI()*(Inputs!$F$10/1000)^2/4)*((Inputs!$F$10/1000/4)^(2/3))*SQRT(N152))</f>
        <v/>
      </c>
      <c r="AJ152" s="4">
        <f>IF(A152="","",(1/Inputs!$B$9)*(PI()*(Inputs!$F$11/1000)^2/4)*((Inputs!$F$11/1000/4)^(2/3))*SQRT(N152))</f>
        <v/>
      </c>
      <c r="AK152" s="4">
        <f>IF(A152="","",(1/Inputs!$B$9)*(PI()*(Inputs!$F$12/1000)^2/4)*((Inputs!$F$12/1000/4)^(2/3))*SQRT(N152))</f>
        <v/>
      </c>
      <c r="AL152" s="4">
        <f>IF(A152="","",(1/Inputs!$B$9)*(PI()*(Inputs!$F$13/1000)^2/4)*((Inputs!$F$13/1000/4)^(2/3))*SQRT(N152))</f>
        <v/>
      </c>
      <c r="AM152" s="4">
        <f>IF(A152="","",(1/Inputs!$B$9)*(PI()*(Inputs!$F$14/1000)^2/4)*((Inputs!$F$14/1000/4)^(2/3))*SQRT(N152))</f>
        <v/>
      </c>
    </row>
    <row r="153">
      <c r="A153" s="4" t="n"/>
      <c r="B153" s="4" t="n"/>
      <c r="C153" s="8" t="n"/>
      <c r="D153" s="8" t="n"/>
      <c r="E153" s="8">
        <f>SUMIFS(CB_Tributaires!$C:$C,CB_Tributaires!$B:$B,$A153)</f>
        <v/>
      </c>
      <c r="F153" s="8">
        <f>IF(D153="",E153,D153)</f>
        <v/>
      </c>
      <c r="G153" s="4" t="n"/>
      <c r="H153" s="8" t="n"/>
      <c r="I153" s="8">
        <f>IF(A153="","",Inputs!$B$13/((IF(H153="",Inputs!$B$18,H153)+Inputs!$B$14)^Inputs!$B$15))</f>
        <v/>
      </c>
      <c r="J153" s="8">
        <f>IF(A153="","",0.00278*IF(G153="",Inputs!$B$17,G153)*F153*I153)</f>
        <v/>
      </c>
      <c r="K153" s="8">
        <f>IF(A153="","",SUMIFS($L$4:$L$203,$B$4:$B$203,$A153))</f>
        <v/>
      </c>
      <c r="L153" s="8">
        <f>IF(A153="","",(J153+K153)*Inputs!$B$16)</f>
        <v/>
      </c>
      <c r="M153" s="8" t="n"/>
      <c r="N153" s="8">
        <f>IF(A153="","",IF(M153="",Inputs!$B$7,M153))</f>
        <v/>
      </c>
      <c r="O153" s="4">
        <f>IF(A153="","",IF(L153/Inputs!$B$10&lt;=AD153,Inputs!$F$5,IF(L153/Inputs!$B$10&gt;AM153,"OVERSIZE",INDEX(Inputs!$F$5:$F$14,MATCH(L153/Inputs!$B$10,AD153:AM153,1)+1))))</f>
        <v/>
      </c>
      <c r="P153" s="4" t="n"/>
      <c r="Q153" s="4">
        <f>IF(A153="","",IF(P153="",O153,P153))</f>
        <v/>
      </c>
      <c r="R153" s="8">
        <f>IF(OR(Q153="",Q153="OVERSIZE"),"",Q153/1000)</f>
        <v/>
      </c>
      <c r="S153" s="8">
        <f>IF(R153="","",(1/Inputs!$B$9)*(PI()*R153^2/4)*((R153/4)^(2/3))*SQRT(N153))</f>
        <v/>
      </c>
      <c r="T153" s="8">
        <f>IF(OR(S153="",L153=""),"",L153/(S153*Inputs!$B$10))</f>
        <v/>
      </c>
      <c r="U153" s="8">
        <f>IF(OR(R153="",L153=""),"",4*L153/(PI()*R153^2))</f>
        <v/>
      </c>
      <c r="V153" s="8" t="n"/>
      <c r="W153" s="8">
        <f>IF(A153="","",IF(A153=Inputs!$B$6,Inputs!$B$22,IF(B153="","",IFERROR(INDEX($X$4:$X$203,MATCH(B153,$A$4:$A$203,0))+IF(V153="",Inputs!$B$20,V153),""))))</f>
        <v/>
      </c>
      <c r="X153" s="8">
        <f>IF(OR(W153="",N153="",C153=""),"",W153+N153*C153)</f>
        <v/>
      </c>
      <c r="Y153" s="8" t="n"/>
      <c r="Z153" s="8" t="n"/>
      <c r="AA153" s="8">
        <f>IF(OR(Y153="",W153=""),"",Y153-W153)</f>
        <v/>
      </c>
      <c r="AB153" s="8">
        <f>IF(OR(Z153="",X153=""),"",Z153-X153)</f>
        <v/>
      </c>
      <c r="AC153" s="4">
        <f>IF(A153="","",IF(OR(T153&gt;1,U153&lt;Inputs!$B$11,U153&gt;Inputs!$B$12,AA153&lt;Inputs!$B$19,AB153&lt;Inputs!$B$19,N153&lt;Inputs!$B$7,N153&gt;Inputs!$B$8),"CHECK","OK"))</f>
        <v/>
      </c>
      <c r="AD153" s="4">
        <f>IF(A153="","",(1/Inputs!$B$9)*(PI()*(Inputs!$F$5/1000)^2/4)*((Inputs!$F$5/1000/4)^(2/3))*SQRT(N153))</f>
        <v/>
      </c>
      <c r="AE153" s="4">
        <f>IF(A153="","",(1/Inputs!$B$9)*(PI()*(Inputs!$F$6/1000)^2/4)*((Inputs!$F$6/1000/4)^(2/3))*SQRT(N153))</f>
        <v/>
      </c>
      <c r="AF153" s="4">
        <f>IF(A153="","",(1/Inputs!$B$9)*(PI()*(Inputs!$F$7/1000)^2/4)*((Inputs!$F$7/1000/4)^(2/3))*SQRT(N153))</f>
        <v/>
      </c>
      <c r="AG153" s="4">
        <f>IF(A153="","",(1/Inputs!$B$9)*(PI()*(Inputs!$F$8/1000)^2/4)*((Inputs!$F$8/1000/4)^(2/3))*SQRT(N153))</f>
        <v/>
      </c>
      <c r="AH153" s="4">
        <f>IF(A153="","",(1/Inputs!$B$9)*(PI()*(Inputs!$F$9/1000)^2/4)*((Inputs!$F$9/1000/4)^(2/3))*SQRT(N153))</f>
        <v/>
      </c>
      <c r="AI153" s="4">
        <f>IF(A153="","",(1/Inputs!$B$9)*(PI()*(Inputs!$F$10/1000)^2/4)*((Inputs!$F$10/1000/4)^(2/3))*SQRT(N153))</f>
        <v/>
      </c>
      <c r="AJ153" s="4">
        <f>IF(A153="","",(1/Inputs!$B$9)*(PI()*(Inputs!$F$11/1000)^2/4)*((Inputs!$F$11/1000/4)^(2/3))*SQRT(N153))</f>
        <v/>
      </c>
      <c r="AK153" s="4">
        <f>IF(A153="","",(1/Inputs!$B$9)*(PI()*(Inputs!$F$12/1000)^2/4)*((Inputs!$F$12/1000/4)^(2/3))*SQRT(N153))</f>
        <v/>
      </c>
      <c r="AL153" s="4">
        <f>IF(A153="","",(1/Inputs!$B$9)*(PI()*(Inputs!$F$13/1000)^2/4)*((Inputs!$F$13/1000/4)^(2/3))*SQRT(N153))</f>
        <v/>
      </c>
      <c r="AM153" s="4">
        <f>IF(A153="","",(1/Inputs!$B$9)*(PI()*(Inputs!$F$14/1000)^2/4)*((Inputs!$F$14/1000/4)^(2/3))*SQRT(N153))</f>
        <v/>
      </c>
    </row>
    <row r="154">
      <c r="A154" s="4" t="n"/>
      <c r="B154" s="4" t="n"/>
      <c r="C154" s="8" t="n"/>
      <c r="D154" s="8" t="n"/>
      <c r="E154" s="8">
        <f>SUMIFS(CB_Tributaires!$C:$C,CB_Tributaires!$B:$B,$A154)</f>
        <v/>
      </c>
      <c r="F154" s="8">
        <f>IF(D154="",E154,D154)</f>
        <v/>
      </c>
      <c r="G154" s="4" t="n"/>
      <c r="H154" s="8" t="n"/>
      <c r="I154" s="8">
        <f>IF(A154="","",Inputs!$B$13/((IF(H154="",Inputs!$B$18,H154)+Inputs!$B$14)^Inputs!$B$15))</f>
        <v/>
      </c>
      <c r="J154" s="8">
        <f>IF(A154="","",0.00278*IF(G154="",Inputs!$B$17,G154)*F154*I154)</f>
        <v/>
      </c>
      <c r="K154" s="8">
        <f>IF(A154="","",SUMIFS($L$4:$L$203,$B$4:$B$203,$A154))</f>
        <v/>
      </c>
      <c r="L154" s="8">
        <f>IF(A154="","",(J154+K154)*Inputs!$B$16)</f>
        <v/>
      </c>
      <c r="M154" s="8" t="n"/>
      <c r="N154" s="8">
        <f>IF(A154="","",IF(M154="",Inputs!$B$7,M154))</f>
        <v/>
      </c>
      <c r="O154" s="4">
        <f>IF(A154="","",IF(L154/Inputs!$B$10&lt;=AD154,Inputs!$F$5,IF(L154/Inputs!$B$10&gt;AM154,"OVERSIZE",INDEX(Inputs!$F$5:$F$14,MATCH(L154/Inputs!$B$10,AD154:AM154,1)+1))))</f>
        <v/>
      </c>
      <c r="P154" s="4" t="n"/>
      <c r="Q154" s="4">
        <f>IF(A154="","",IF(P154="",O154,P154))</f>
        <v/>
      </c>
      <c r="R154" s="8">
        <f>IF(OR(Q154="",Q154="OVERSIZE"),"",Q154/1000)</f>
        <v/>
      </c>
      <c r="S154" s="8">
        <f>IF(R154="","",(1/Inputs!$B$9)*(PI()*R154^2/4)*((R154/4)^(2/3))*SQRT(N154))</f>
        <v/>
      </c>
      <c r="T154" s="8">
        <f>IF(OR(S154="",L154=""),"",L154/(S154*Inputs!$B$10))</f>
        <v/>
      </c>
      <c r="U154" s="8">
        <f>IF(OR(R154="",L154=""),"",4*L154/(PI()*R154^2))</f>
        <v/>
      </c>
      <c r="V154" s="8" t="n"/>
      <c r="W154" s="8">
        <f>IF(A154="","",IF(A154=Inputs!$B$6,Inputs!$B$22,IF(B154="","",IFERROR(INDEX($X$4:$X$203,MATCH(B154,$A$4:$A$203,0))+IF(V154="",Inputs!$B$20,V154),""))))</f>
        <v/>
      </c>
      <c r="X154" s="8">
        <f>IF(OR(W154="",N154="",C154=""),"",W154+N154*C154)</f>
        <v/>
      </c>
      <c r="Y154" s="8" t="n"/>
      <c r="Z154" s="8" t="n"/>
      <c r="AA154" s="8">
        <f>IF(OR(Y154="",W154=""),"",Y154-W154)</f>
        <v/>
      </c>
      <c r="AB154" s="8">
        <f>IF(OR(Z154="",X154=""),"",Z154-X154)</f>
        <v/>
      </c>
      <c r="AC154" s="4">
        <f>IF(A154="","",IF(OR(T154&gt;1,U154&lt;Inputs!$B$11,U154&gt;Inputs!$B$12,AA154&lt;Inputs!$B$19,AB154&lt;Inputs!$B$19,N154&lt;Inputs!$B$7,N154&gt;Inputs!$B$8),"CHECK","OK"))</f>
        <v/>
      </c>
      <c r="AD154" s="4">
        <f>IF(A154="","",(1/Inputs!$B$9)*(PI()*(Inputs!$F$5/1000)^2/4)*((Inputs!$F$5/1000/4)^(2/3))*SQRT(N154))</f>
        <v/>
      </c>
      <c r="AE154" s="4">
        <f>IF(A154="","",(1/Inputs!$B$9)*(PI()*(Inputs!$F$6/1000)^2/4)*((Inputs!$F$6/1000/4)^(2/3))*SQRT(N154))</f>
        <v/>
      </c>
      <c r="AF154" s="4">
        <f>IF(A154="","",(1/Inputs!$B$9)*(PI()*(Inputs!$F$7/1000)^2/4)*((Inputs!$F$7/1000/4)^(2/3))*SQRT(N154))</f>
        <v/>
      </c>
      <c r="AG154" s="4">
        <f>IF(A154="","",(1/Inputs!$B$9)*(PI()*(Inputs!$F$8/1000)^2/4)*((Inputs!$F$8/1000/4)^(2/3))*SQRT(N154))</f>
        <v/>
      </c>
      <c r="AH154" s="4">
        <f>IF(A154="","",(1/Inputs!$B$9)*(PI()*(Inputs!$F$9/1000)^2/4)*((Inputs!$F$9/1000/4)^(2/3))*SQRT(N154))</f>
        <v/>
      </c>
      <c r="AI154" s="4">
        <f>IF(A154="","",(1/Inputs!$B$9)*(PI()*(Inputs!$F$10/1000)^2/4)*((Inputs!$F$10/1000/4)^(2/3))*SQRT(N154))</f>
        <v/>
      </c>
      <c r="AJ154" s="4">
        <f>IF(A154="","",(1/Inputs!$B$9)*(PI()*(Inputs!$F$11/1000)^2/4)*((Inputs!$F$11/1000/4)^(2/3))*SQRT(N154))</f>
        <v/>
      </c>
      <c r="AK154" s="4">
        <f>IF(A154="","",(1/Inputs!$B$9)*(PI()*(Inputs!$F$12/1000)^2/4)*((Inputs!$F$12/1000/4)^(2/3))*SQRT(N154))</f>
        <v/>
      </c>
      <c r="AL154" s="4">
        <f>IF(A154="","",(1/Inputs!$B$9)*(PI()*(Inputs!$F$13/1000)^2/4)*((Inputs!$F$13/1000/4)^(2/3))*SQRT(N154))</f>
        <v/>
      </c>
      <c r="AM154" s="4">
        <f>IF(A154="","",(1/Inputs!$B$9)*(PI()*(Inputs!$F$14/1000)^2/4)*((Inputs!$F$14/1000/4)^(2/3))*SQRT(N154))</f>
        <v/>
      </c>
    </row>
    <row r="155">
      <c r="A155" s="4" t="n"/>
      <c r="B155" s="4" t="n"/>
      <c r="C155" s="8" t="n"/>
      <c r="D155" s="8" t="n"/>
      <c r="E155" s="8">
        <f>SUMIFS(CB_Tributaires!$C:$C,CB_Tributaires!$B:$B,$A155)</f>
        <v/>
      </c>
      <c r="F155" s="8">
        <f>IF(D155="",E155,D155)</f>
        <v/>
      </c>
      <c r="G155" s="4" t="n"/>
      <c r="H155" s="8" t="n"/>
      <c r="I155" s="8">
        <f>IF(A155="","",Inputs!$B$13/((IF(H155="",Inputs!$B$18,H155)+Inputs!$B$14)^Inputs!$B$15))</f>
        <v/>
      </c>
      <c r="J155" s="8">
        <f>IF(A155="","",0.00278*IF(G155="",Inputs!$B$17,G155)*F155*I155)</f>
        <v/>
      </c>
      <c r="K155" s="8">
        <f>IF(A155="","",SUMIFS($L$4:$L$203,$B$4:$B$203,$A155))</f>
        <v/>
      </c>
      <c r="L155" s="8">
        <f>IF(A155="","",(J155+K155)*Inputs!$B$16)</f>
        <v/>
      </c>
      <c r="M155" s="8" t="n"/>
      <c r="N155" s="8">
        <f>IF(A155="","",IF(M155="",Inputs!$B$7,M155))</f>
        <v/>
      </c>
      <c r="O155" s="4">
        <f>IF(A155="","",IF(L155/Inputs!$B$10&lt;=AD155,Inputs!$F$5,IF(L155/Inputs!$B$10&gt;AM155,"OVERSIZE",INDEX(Inputs!$F$5:$F$14,MATCH(L155/Inputs!$B$10,AD155:AM155,1)+1))))</f>
        <v/>
      </c>
      <c r="P155" s="4" t="n"/>
      <c r="Q155" s="4">
        <f>IF(A155="","",IF(P155="",O155,P155))</f>
        <v/>
      </c>
      <c r="R155" s="8">
        <f>IF(OR(Q155="",Q155="OVERSIZE"),"",Q155/1000)</f>
        <v/>
      </c>
      <c r="S155" s="8">
        <f>IF(R155="","",(1/Inputs!$B$9)*(PI()*R155^2/4)*((R155/4)^(2/3))*SQRT(N155))</f>
        <v/>
      </c>
      <c r="T155" s="8">
        <f>IF(OR(S155="",L155=""),"",L155/(S155*Inputs!$B$10))</f>
        <v/>
      </c>
      <c r="U155" s="8">
        <f>IF(OR(R155="",L155=""),"",4*L155/(PI()*R155^2))</f>
        <v/>
      </c>
      <c r="V155" s="8" t="n"/>
      <c r="W155" s="8">
        <f>IF(A155="","",IF(A155=Inputs!$B$6,Inputs!$B$22,IF(B155="","",IFERROR(INDEX($X$4:$X$203,MATCH(B155,$A$4:$A$203,0))+IF(V155="",Inputs!$B$20,V155),""))))</f>
        <v/>
      </c>
      <c r="X155" s="8">
        <f>IF(OR(W155="",N155="",C155=""),"",W155+N155*C155)</f>
        <v/>
      </c>
      <c r="Y155" s="8" t="n"/>
      <c r="Z155" s="8" t="n"/>
      <c r="AA155" s="8">
        <f>IF(OR(Y155="",W155=""),"",Y155-W155)</f>
        <v/>
      </c>
      <c r="AB155" s="8">
        <f>IF(OR(Z155="",X155=""),"",Z155-X155)</f>
        <v/>
      </c>
      <c r="AC155" s="4">
        <f>IF(A155="","",IF(OR(T155&gt;1,U155&lt;Inputs!$B$11,U155&gt;Inputs!$B$12,AA155&lt;Inputs!$B$19,AB155&lt;Inputs!$B$19,N155&lt;Inputs!$B$7,N155&gt;Inputs!$B$8),"CHECK","OK"))</f>
        <v/>
      </c>
      <c r="AD155" s="4">
        <f>IF(A155="","",(1/Inputs!$B$9)*(PI()*(Inputs!$F$5/1000)^2/4)*((Inputs!$F$5/1000/4)^(2/3))*SQRT(N155))</f>
        <v/>
      </c>
      <c r="AE155" s="4">
        <f>IF(A155="","",(1/Inputs!$B$9)*(PI()*(Inputs!$F$6/1000)^2/4)*((Inputs!$F$6/1000/4)^(2/3))*SQRT(N155))</f>
        <v/>
      </c>
      <c r="AF155" s="4">
        <f>IF(A155="","",(1/Inputs!$B$9)*(PI()*(Inputs!$F$7/1000)^2/4)*((Inputs!$F$7/1000/4)^(2/3))*SQRT(N155))</f>
        <v/>
      </c>
      <c r="AG155" s="4">
        <f>IF(A155="","",(1/Inputs!$B$9)*(PI()*(Inputs!$F$8/1000)^2/4)*((Inputs!$F$8/1000/4)^(2/3))*SQRT(N155))</f>
        <v/>
      </c>
      <c r="AH155" s="4">
        <f>IF(A155="","",(1/Inputs!$B$9)*(PI()*(Inputs!$F$9/1000)^2/4)*((Inputs!$F$9/1000/4)^(2/3))*SQRT(N155))</f>
        <v/>
      </c>
      <c r="AI155" s="4">
        <f>IF(A155="","",(1/Inputs!$B$9)*(PI()*(Inputs!$F$10/1000)^2/4)*((Inputs!$F$10/1000/4)^(2/3))*SQRT(N155))</f>
        <v/>
      </c>
      <c r="AJ155" s="4">
        <f>IF(A155="","",(1/Inputs!$B$9)*(PI()*(Inputs!$F$11/1000)^2/4)*((Inputs!$F$11/1000/4)^(2/3))*SQRT(N155))</f>
        <v/>
      </c>
      <c r="AK155" s="4">
        <f>IF(A155="","",(1/Inputs!$B$9)*(PI()*(Inputs!$F$12/1000)^2/4)*((Inputs!$F$12/1000/4)^(2/3))*SQRT(N155))</f>
        <v/>
      </c>
      <c r="AL155" s="4">
        <f>IF(A155="","",(1/Inputs!$B$9)*(PI()*(Inputs!$F$13/1000)^2/4)*((Inputs!$F$13/1000/4)^(2/3))*SQRT(N155))</f>
        <v/>
      </c>
      <c r="AM155" s="4">
        <f>IF(A155="","",(1/Inputs!$B$9)*(PI()*(Inputs!$F$14/1000)^2/4)*((Inputs!$F$14/1000/4)^(2/3))*SQRT(N155))</f>
        <v/>
      </c>
    </row>
    <row r="156">
      <c r="A156" s="4" t="n"/>
      <c r="B156" s="4" t="n"/>
      <c r="C156" s="8" t="n"/>
      <c r="D156" s="8" t="n"/>
      <c r="E156" s="8">
        <f>SUMIFS(CB_Tributaires!$C:$C,CB_Tributaires!$B:$B,$A156)</f>
        <v/>
      </c>
      <c r="F156" s="8">
        <f>IF(D156="",E156,D156)</f>
        <v/>
      </c>
      <c r="G156" s="4" t="n"/>
      <c r="H156" s="8" t="n"/>
      <c r="I156" s="8">
        <f>IF(A156="","",Inputs!$B$13/((IF(H156="",Inputs!$B$18,H156)+Inputs!$B$14)^Inputs!$B$15))</f>
        <v/>
      </c>
      <c r="J156" s="8">
        <f>IF(A156="","",0.00278*IF(G156="",Inputs!$B$17,G156)*F156*I156)</f>
        <v/>
      </c>
      <c r="K156" s="8">
        <f>IF(A156="","",SUMIFS($L$4:$L$203,$B$4:$B$203,$A156))</f>
        <v/>
      </c>
      <c r="L156" s="8">
        <f>IF(A156="","",(J156+K156)*Inputs!$B$16)</f>
        <v/>
      </c>
      <c r="M156" s="8" t="n"/>
      <c r="N156" s="8">
        <f>IF(A156="","",IF(M156="",Inputs!$B$7,M156))</f>
        <v/>
      </c>
      <c r="O156" s="4">
        <f>IF(A156="","",IF(L156/Inputs!$B$10&lt;=AD156,Inputs!$F$5,IF(L156/Inputs!$B$10&gt;AM156,"OVERSIZE",INDEX(Inputs!$F$5:$F$14,MATCH(L156/Inputs!$B$10,AD156:AM156,1)+1))))</f>
        <v/>
      </c>
      <c r="P156" s="4" t="n"/>
      <c r="Q156" s="4">
        <f>IF(A156="","",IF(P156="",O156,P156))</f>
        <v/>
      </c>
      <c r="R156" s="8">
        <f>IF(OR(Q156="",Q156="OVERSIZE"),"",Q156/1000)</f>
        <v/>
      </c>
      <c r="S156" s="8">
        <f>IF(R156="","",(1/Inputs!$B$9)*(PI()*R156^2/4)*((R156/4)^(2/3))*SQRT(N156))</f>
        <v/>
      </c>
      <c r="T156" s="8">
        <f>IF(OR(S156="",L156=""),"",L156/(S156*Inputs!$B$10))</f>
        <v/>
      </c>
      <c r="U156" s="8">
        <f>IF(OR(R156="",L156=""),"",4*L156/(PI()*R156^2))</f>
        <v/>
      </c>
      <c r="V156" s="8" t="n"/>
      <c r="W156" s="8">
        <f>IF(A156="","",IF(A156=Inputs!$B$6,Inputs!$B$22,IF(B156="","",IFERROR(INDEX($X$4:$X$203,MATCH(B156,$A$4:$A$203,0))+IF(V156="",Inputs!$B$20,V156),""))))</f>
        <v/>
      </c>
      <c r="X156" s="8">
        <f>IF(OR(W156="",N156="",C156=""),"",W156+N156*C156)</f>
        <v/>
      </c>
      <c r="Y156" s="8" t="n"/>
      <c r="Z156" s="8" t="n"/>
      <c r="AA156" s="8">
        <f>IF(OR(Y156="",W156=""),"",Y156-W156)</f>
        <v/>
      </c>
      <c r="AB156" s="8">
        <f>IF(OR(Z156="",X156=""),"",Z156-X156)</f>
        <v/>
      </c>
      <c r="AC156" s="4">
        <f>IF(A156="","",IF(OR(T156&gt;1,U156&lt;Inputs!$B$11,U156&gt;Inputs!$B$12,AA156&lt;Inputs!$B$19,AB156&lt;Inputs!$B$19,N156&lt;Inputs!$B$7,N156&gt;Inputs!$B$8),"CHECK","OK"))</f>
        <v/>
      </c>
      <c r="AD156" s="4">
        <f>IF(A156="","",(1/Inputs!$B$9)*(PI()*(Inputs!$F$5/1000)^2/4)*((Inputs!$F$5/1000/4)^(2/3))*SQRT(N156))</f>
        <v/>
      </c>
      <c r="AE156" s="4">
        <f>IF(A156="","",(1/Inputs!$B$9)*(PI()*(Inputs!$F$6/1000)^2/4)*((Inputs!$F$6/1000/4)^(2/3))*SQRT(N156))</f>
        <v/>
      </c>
      <c r="AF156" s="4">
        <f>IF(A156="","",(1/Inputs!$B$9)*(PI()*(Inputs!$F$7/1000)^2/4)*((Inputs!$F$7/1000/4)^(2/3))*SQRT(N156))</f>
        <v/>
      </c>
      <c r="AG156" s="4">
        <f>IF(A156="","",(1/Inputs!$B$9)*(PI()*(Inputs!$F$8/1000)^2/4)*((Inputs!$F$8/1000/4)^(2/3))*SQRT(N156))</f>
        <v/>
      </c>
      <c r="AH156" s="4">
        <f>IF(A156="","",(1/Inputs!$B$9)*(PI()*(Inputs!$F$9/1000)^2/4)*((Inputs!$F$9/1000/4)^(2/3))*SQRT(N156))</f>
        <v/>
      </c>
      <c r="AI156" s="4">
        <f>IF(A156="","",(1/Inputs!$B$9)*(PI()*(Inputs!$F$10/1000)^2/4)*((Inputs!$F$10/1000/4)^(2/3))*SQRT(N156))</f>
        <v/>
      </c>
      <c r="AJ156" s="4">
        <f>IF(A156="","",(1/Inputs!$B$9)*(PI()*(Inputs!$F$11/1000)^2/4)*((Inputs!$F$11/1000/4)^(2/3))*SQRT(N156))</f>
        <v/>
      </c>
      <c r="AK156" s="4">
        <f>IF(A156="","",(1/Inputs!$B$9)*(PI()*(Inputs!$F$12/1000)^2/4)*((Inputs!$F$12/1000/4)^(2/3))*SQRT(N156))</f>
        <v/>
      </c>
      <c r="AL156" s="4">
        <f>IF(A156="","",(1/Inputs!$B$9)*(PI()*(Inputs!$F$13/1000)^2/4)*((Inputs!$F$13/1000/4)^(2/3))*SQRT(N156))</f>
        <v/>
      </c>
      <c r="AM156" s="4">
        <f>IF(A156="","",(1/Inputs!$B$9)*(PI()*(Inputs!$F$14/1000)^2/4)*((Inputs!$F$14/1000/4)^(2/3))*SQRT(N156))</f>
        <v/>
      </c>
    </row>
    <row r="157">
      <c r="A157" s="4" t="n"/>
      <c r="B157" s="4" t="n"/>
      <c r="C157" s="8" t="n"/>
      <c r="D157" s="8" t="n"/>
      <c r="E157" s="8">
        <f>SUMIFS(CB_Tributaires!$C:$C,CB_Tributaires!$B:$B,$A157)</f>
        <v/>
      </c>
      <c r="F157" s="8">
        <f>IF(D157="",E157,D157)</f>
        <v/>
      </c>
      <c r="G157" s="4" t="n"/>
      <c r="H157" s="8" t="n"/>
      <c r="I157" s="8">
        <f>IF(A157="","",Inputs!$B$13/((IF(H157="",Inputs!$B$18,H157)+Inputs!$B$14)^Inputs!$B$15))</f>
        <v/>
      </c>
      <c r="J157" s="8">
        <f>IF(A157="","",0.00278*IF(G157="",Inputs!$B$17,G157)*F157*I157)</f>
        <v/>
      </c>
      <c r="K157" s="8">
        <f>IF(A157="","",SUMIFS($L$4:$L$203,$B$4:$B$203,$A157))</f>
        <v/>
      </c>
      <c r="L157" s="8">
        <f>IF(A157="","",(J157+K157)*Inputs!$B$16)</f>
        <v/>
      </c>
      <c r="M157" s="8" t="n"/>
      <c r="N157" s="8">
        <f>IF(A157="","",IF(M157="",Inputs!$B$7,M157))</f>
        <v/>
      </c>
      <c r="O157" s="4">
        <f>IF(A157="","",IF(L157/Inputs!$B$10&lt;=AD157,Inputs!$F$5,IF(L157/Inputs!$B$10&gt;AM157,"OVERSIZE",INDEX(Inputs!$F$5:$F$14,MATCH(L157/Inputs!$B$10,AD157:AM157,1)+1))))</f>
        <v/>
      </c>
      <c r="P157" s="4" t="n"/>
      <c r="Q157" s="4">
        <f>IF(A157="","",IF(P157="",O157,P157))</f>
        <v/>
      </c>
      <c r="R157" s="8">
        <f>IF(OR(Q157="",Q157="OVERSIZE"),"",Q157/1000)</f>
        <v/>
      </c>
      <c r="S157" s="8">
        <f>IF(R157="","",(1/Inputs!$B$9)*(PI()*R157^2/4)*((R157/4)^(2/3))*SQRT(N157))</f>
        <v/>
      </c>
      <c r="T157" s="8">
        <f>IF(OR(S157="",L157=""),"",L157/(S157*Inputs!$B$10))</f>
        <v/>
      </c>
      <c r="U157" s="8">
        <f>IF(OR(R157="",L157=""),"",4*L157/(PI()*R157^2))</f>
        <v/>
      </c>
      <c r="V157" s="8" t="n"/>
      <c r="W157" s="8">
        <f>IF(A157="","",IF(A157=Inputs!$B$6,Inputs!$B$22,IF(B157="","",IFERROR(INDEX($X$4:$X$203,MATCH(B157,$A$4:$A$203,0))+IF(V157="",Inputs!$B$20,V157),""))))</f>
        <v/>
      </c>
      <c r="X157" s="8">
        <f>IF(OR(W157="",N157="",C157=""),"",W157+N157*C157)</f>
        <v/>
      </c>
      <c r="Y157" s="8" t="n"/>
      <c r="Z157" s="8" t="n"/>
      <c r="AA157" s="8">
        <f>IF(OR(Y157="",W157=""),"",Y157-W157)</f>
        <v/>
      </c>
      <c r="AB157" s="8">
        <f>IF(OR(Z157="",X157=""),"",Z157-X157)</f>
        <v/>
      </c>
      <c r="AC157" s="4">
        <f>IF(A157="","",IF(OR(T157&gt;1,U157&lt;Inputs!$B$11,U157&gt;Inputs!$B$12,AA157&lt;Inputs!$B$19,AB157&lt;Inputs!$B$19,N157&lt;Inputs!$B$7,N157&gt;Inputs!$B$8),"CHECK","OK"))</f>
        <v/>
      </c>
      <c r="AD157" s="4">
        <f>IF(A157="","",(1/Inputs!$B$9)*(PI()*(Inputs!$F$5/1000)^2/4)*((Inputs!$F$5/1000/4)^(2/3))*SQRT(N157))</f>
        <v/>
      </c>
      <c r="AE157" s="4">
        <f>IF(A157="","",(1/Inputs!$B$9)*(PI()*(Inputs!$F$6/1000)^2/4)*((Inputs!$F$6/1000/4)^(2/3))*SQRT(N157))</f>
        <v/>
      </c>
      <c r="AF157" s="4">
        <f>IF(A157="","",(1/Inputs!$B$9)*(PI()*(Inputs!$F$7/1000)^2/4)*((Inputs!$F$7/1000/4)^(2/3))*SQRT(N157))</f>
        <v/>
      </c>
      <c r="AG157" s="4">
        <f>IF(A157="","",(1/Inputs!$B$9)*(PI()*(Inputs!$F$8/1000)^2/4)*((Inputs!$F$8/1000/4)^(2/3))*SQRT(N157))</f>
        <v/>
      </c>
      <c r="AH157" s="4">
        <f>IF(A157="","",(1/Inputs!$B$9)*(PI()*(Inputs!$F$9/1000)^2/4)*((Inputs!$F$9/1000/4)^(2/3))*SQRT(N157))</f>
        <v/>
      </c>
      <c r="AI157" s="4">
        <f>IF(A157="","",(1/Inputs!$B$9)*(PI()*(Inputs!$F$10/1000)^2/4)*((Inputs!$F$10/1000/4)^(2/3))*SQRT(N157))</f>
        <v/>
      </c>
      <c r="AJ157" s="4">
        <f>IF(A157="","",(1/Inputs!$B$9)*(PI()*(Inputs!$F$11/1000)^2/4)*((Inputs!$F$11/1000/4)^(2/3))*SQRT(N157))</f>
        <v/>
      </c>
      <c r="AK157" s="4">
        <f>IF(A157="","",(1/Inputs!$B$9)*(PI()*(Inputs!$F$12/1000)^2/4)*((Inputs!$F$12/1000/4)^(2/3))*SQRT(N157))</f>
        <v/>
      </c>
      <c r="AL157" s="4">
        <f>IF(A157="","",(1/Inputs!$B$9)*(PI()*(Inputs!$F$13/1000)^2/4)*((Inputs!$F$13/1000/4)^(2/3))*SQRT(N157))</f>
        <v/>
      </c>
      <c r="AM157" s="4">
        <f>IF(A157="","",(1/Inputs!$B$9)*(PI()*(Inputs!$F$14/1000)^2/4)*((Inputs!$F$14/1000/4)^(2/3))*SQRT(N157))</f>
        <v/>
      </c>
    </row>
    <row r="158">
      <c r="A158" s="4" t="n"/>
      <c r="B158" s="4" t="n"/>
      <c r="C158" s="8" t="n"/>
      <c r="D158" s="8" t="n"/>
      <c r="E158" s="8">
        <f>SUMIFS(CB_Tributaires!$C:$C,CB_Tributaires!$B:$B,$A158)</f>
        <v/>
      </c>
      <c r="F158" s="8">
        <f>IF(D158="",E158,D158)</f>
        <v/>
      </c>
      <c r="G158" s="4" t="n"/>
      <c r="H158" s="8" t="n"/>
      <c r="I158" s="8">
        <f>IF(A158="","",Inputs!$B$13/((IF(H158="",Inputs!$B$18,H158)+Inputs!$B$14)^Inputs!$B$15))</f>
        <v/>
      </c>
      <c r="J158" s="8">
        <f>IF(A158="","",0.00278*IF(G158="",Inputs!$B$17,G158)*F158*I158)</f>
        <v/>
      </c>
      <c r="K158" s="8">
        <f>IF(A158="","",SUMIFS($L$4:$L$203,$B$4:$B$203,$A158))</f>
        <v/>
      </c>
      <c r="L158" s="8">
        <f>IF(A158="","",(J158+K158)*Inputs!$B$16)</f>
        <v/>
      </c>
      <c r="M158" s="8" t="n"/>
      <c r="N158" s="8">
        <f>IF(A158="","",IF(M158="",Inputs!$B$7,M158))</f>
        <v/>
      </c>
      <c r="O158" s="4">
        <f>IF(A158="","",IF(L158/Inputs!$B$10&lt;=AD158,Inputs!$F$5,IF(L158/Inputs!$B$10&gt;AM158,"OVERSIZE",INDEX(Inputs!$F$5:$F$14,MATCH(L158/Inputs!$B$10,AD158:AM158,1)+1))))</f>
        <v/>
      </c>
      <c r="P158" s="4" t="n"/>
      <c r="Q158" s="4">
        <f>IF(A158="","",IF(P158="",O158,P158))</f>
        <v/>
      </c>
      <c r="R158" s="8">
        <f>IF(OR(Q158="",Q158="OVERSIZE"),"",Q158/1000)</f>
        <v/>
      </c>
      <c r="S158" s="8">
        <f>IF(R158="","",(1/Inputs!$B$9)*(PI()*R158^2/4)*((R158/4)^(2/3))*SQRT(N158))</f>
        <v/>
      </c>
      <c r="T158" s="8">
        <f>IF(OR(S158="",L158=""),"",L158/(S158*Inputs!$B$10))</f>
        <v/>
      </c>
      <c r="U158" s="8">
        <f>IF(OR(R158="",L158=""),"",4*L158/(PI()*R158^2))</f>
        <v/>
      </c>
      <c r="V158" s="8" t="n"/>
      <c r="W158" s="8">
        <f>IF(A158="","",IF(A158=Inputs!$B$6,Inputs!$B$22,IF(B158="","",IFERROR(INDEX($X$4:$X$203,MATCH(B158,$A$4:$A$203,0))+IF(V158="",Inputs!$B$20,V158),""))))</f>
        <v/>
      </c>
      <c r="X158" s="8">
        <f>IF(OR(W158="",N158="",C158=""),"",W158+N158*C158)</f>
        <v/>
      </c>
      <c r="Y158" s="8" t="n"/>
      <c r="Z158" s="8" t="n"/>
      <c r="AA158" s="8">
        <f>IF(OR(Y158="",W158=""),"",Y158-W158)</f>
        <v/>
      </c>
      <c r="AB158" s="8">
        <f>IF(OR(Z158="",X158=""),"",Z158-X158)</f>
        <v/>
      </c>
      <c r="AC158" s="4">
        <f>IF(A158="","",IF(OR(T158&gt;1,U158&lt;Inputs!$B$11,U158&gt;Inputs!$B$12,AA158&lt;Inputs!$B$19,AB158&lt;Inputs!$B$19,N158&lt;Inputs!$B$7,N158&gt;Inputs!$B$8),"CHECK","OK"))</f>
        <v/>
      </c>
      <c r="AD158" s="4">
        <f>IF(A158="","",(1/Inputs!$B$9)*(PI()*(Inputs!$F$5/1000)^2/4)*((Inputs!$F$5/1000/4)^(2/3))*SQRT(N158))</f>
        <v/>
      </c>
      <c r="AE158" s="4">
        <f>IF(A158="","",(1/Inputs!$B$9)*(PI()*(Inputs!$F$6/1000)^2/4)*((Inputs!$F$6/1000/4)^(2/3))*SQRT(N158))</f>
        <v/>
      </c>
      <c r="AF158" s="4">
        <f>IF(A158="","",(1/Inputs!$B$9)*(PI()*(Inputs!$F$7/1000)^2/4)*((Inputs!$F$7/1000/4)^(2/3))*SQRT(N158))</f>
        <v/>
      </c>
      <c r="AG158" s="4">
        <f>IF(A158="","",(1/Inputs!$B$9)*(PI()*(Inputs!$F$8/1000)^2/4)*((Inputs!$F$8/1000/4)^(2/3))*SQRT(N158))</f>
        <v/>
      </c>
      <c r="AH158" s="4">
        <f>IF(A158="","",(1/Inputs!$B$9)*(PI()*(Inputs!$F$9/1000)^2/4)*((Inputs!$F$9/1000/4)^(2/3))*SQRT(N158))</f>
        <v/>
      </c>
      <c r="AI158" s="4">
        <f>IF(A158="","",(1/Inputs!$B$9)*(PI()*(Inputs!$F$10/1000)^2/4)*((Inputs!$F$10/1000/4)^(2/3))*SQRT(N158))</f>
        <v/>
      </c>
      <c r="AJ158" s="4">
        <f>IF(A158="","",(1/Inputs!$B$9)*(PI()*(Inputs!$F$11/1000)^2/4)*((Inputs!$F$11/1000/4)^(2/3))*SQRT(N158))</f>
        <v/>
      </c>
      <c r="AK158" s="4">
        <f>IF(A158="","",(1/Inputs!$B$9)*(PI()*(Inputs!$F$12/1000)^2/4)*((Inputs!$F$12/1000/4)^(2/3))*SQRT(N158))</f>
        <v/>
      </c>
      <c r="AL158" s="4">
        <f>IF(A158="","",(1/Inputs!$B$9)*(PI()*(Inputs!$F$13/1000)^2/4)*((Inputs!$F$13/1000/4)^(2/3))*SQRT(N158))</f>
        <v/>
      </c>
      <c r="AM158" s="4">
        <f>IF(A158="","",(1/Inputs!$B$9)*(PI()*(Inputs!$F$14/1000)^2/4)*((Inputs!$F$14/1000/4)^(2/3))*SQRT(N158))</f>
        <v/>
      </c>
    </row>
    <row r="159">
      <c r="A159" s="4" t="n"/>
      <c r="B159" s="4" t="n"/>
      <c r="C159" s="8" t="n"/>
      <c r="D159" s="8" t="n"/>
      <c r="E159" s="8">
        <f>SUMIFS(CB_Tributaires!$C:$C,CB_Tributaires!$B:$B,$A159)</f>
        <v/>
      </c>
      <c r="F159" s="8">
        <f>IF(D159="",E159,D159)</f>
        <v/>
      </c>
      <c r="G159" s="4" t="n"/>
      <c r="H159" s="8" t="n"/>
      <c r="I159" s="8">
        <f>IF(A159="","",Inputs!$B$13/((IF(H159="",Inputs!$B$18,H159)+Inputs!$B$14)^Inputs!$B$15))</f>
        <v/>
      </c>
      <c r="J159" s="8">
        <f>IF(A159="","",0.00278*IF(G159="",Inputs!$B$17,G159)*F159*I159)</f>
        <v/>
      </c>
      <c r="K159" s="8">
        <f>IF(A159="","",SUMIFS($L$4:$L$203,$B$4:$B$203,$A159))</f>
        <v/>
      </c>
      <c r="L159" s="8">
        <f>IF(A159="","",(J159+K159)*Inputs!$B$16)</f>
        <v/>
      </c>
      <c r="M159" s="8" t="n"/>
      <c r="N159" s="8">
        <f>IF(A159="","",IF(M159="",Inputs!$B$7,M159))</f>
        <v/>
      </c>
      <c r="O159" s="4">
        <f>IF(A159="","",IF(L159/Inputs!$B$10&lt;=AD159,Inputs!$F$5,IF(L159/Inputs!$B$10&gt;AM159,"OVERSIZE",INDEX(Inputs!$F$5:$F$14,MATCH(L159/Inputs!$B$10,AD159:AM159,1)+1))))</f>
        <v/>
      </c>
      <c r="P159" s="4" t="n"/>
      <c r="Q159" s="4">
        <f>IF(A159="","",IF(P159="",O159,P159))</f>
        <v/>
      </c>
      <c r="R159" s="8">
        <f>IF(OR(Q159="",Q159="OVERSIZE"),"",Q159/1000)</f>
        <v/>
      </c>
      <c r="S159" s="8">
        <f>IF(R159="","",(1/Inputs!$B$9)*(PI()*R159^2/4)*((R159/4)^(2/3))*SQRT(N159))</f>
        <v/>
      </c>
      <c r="T159" s="8">
        <f>IF(OR(S159="",L159=""),"",L159/(S159*Inputs!$B$10))</f>
        <v/>
      </c>
      <c r="U159" s="8">
        <f>IF(OR(R159="",L159=""),"",4*L159/(PI()*R159^2))</f>
        <v/>
      </c>
      <c r="V159" s="8" t="n"/>
      <c r="W159" s="8">
        <f>IF(A159="","",IF(A159=Inputs!$B$6,Inputs!$B$22,IF(B159="","",IFERROR(INDEX($X$4:$X$203,MATCH(B159,$A$4:$A$203,0))+IF(V159="",Inputs!$B$20,V159),""))))</f>
        <v/>
      </c>
      <c r="X159" s="8">
        <f>IF(OR(W159="",N159="",C159=""),"",W159+N159*C159)</f>
        <v/>
      </c>
      <c r="Y159" s="8" t="n"/>
      <c r="Z159" s="8" t="n"/>
      <c r="AA159" s="8">
        <f>IF(OR(Y159="",W159=""),"",Y159-W159)</f>
        <v/>
      </c>
      <c r="AB159" s="8">
        <f>IF(OR(Z159="",X159=""),"",Z159-X159)</f>
        <v/>
      </c>
      <c r="AC159" s="4">
        <f>IF(A159="","",IF(OR(T159&gt;1,U159&lt;Inputs!$B$11,U159&gt;Inputs!$B$12,AA159&lt;Inputs!$B$19,AB159&lt;Inputs!$B$19,N159&lt;Inputs!$B$7,N159&gt;Inputs!$B$8),"CHECK","OK"))</f>
        <v/>
      </c>
      <c r="AD159" s="4">
        <f>IF(A159="","",(1/Inputs!$B$9)*(PI()*(Inputs!$F$5/1000)^2/4)*((Inputs!$F$5/1000/4)^(2/3))*SQRT(N159))</f>
        <v/>
      </c>
      <c r="AE159" s="4">
        <f>IF(A159="","",(1/Inputs!$B$9)*(PI()*(Inputs!$F$6/1000)^2/4)*((Inputs!$F$6/1000/4)^(2/3))*SQRT(N159))</f>
        <v/>
      </c>
      <c r="AF159" s="4">
        <f>IF(A159="","",(1/Inputs!$B$9)*(PI()*(Inputs!$F$7/1000)^2/4)*((Inputs!$F$7/1000/4)^(2/3))*SQRT(N159))</f>
        <v/>
      </c>
      <c r="AG159" s="4">
        <f>IF(A159="","",(1/Inputs!$B$9)*(PI()*(Inputs!$F$8/1000)^2/4)*((Inputs!$F$8/1000/4)^(2/3))*SQRT(N159))</f>
        <v/>
      </c>
      <c r="AH159" s="4">
        <f>IF(A159="","",(1/Inputs!$B$9)*(PI()*(Inputs!$F$9/1000)^2/4)*((Inputs!$F$9/1000/4)^(2/3))*SQRT(N159))</f>
        <v/>
      </c>
      <c r="AI159" s="4">
        <f>IF(A159="","",(1/Inputs!$B$9)*(PI()*(Inputs!$F$10/1000)^2/4)*((Inputs!$F$10/1000/4)^(2/3))*SQRT(N159))</f>
        <v/>
      </c>
      <c r="AJ159" s="4">
        <f>IF(A159="","",(1/Inputs!$B$9)*(PI()*(Inputs!$F$11/1000)^2/4)*((Inputs!$F$11/1000/4)^(2/3))*SQRT(N159))</f>
        <v/>
      </c>
      <c r="AK159" s="4">
        <f>IF(A159="","",(1/Inputs!$B$9)*(PI()*(Inputs!$F$12/1000)^2/4)*((Inputs!$F$12/1000/4)^(2/3))*SQRT(N159))</f>
        <v/>
      </c>
      <c r="AL159" s="4">
        <f>IF(A159="","",(1/Inputs!$B$9)*(PI()*(Inputs!$F$13/1000)^2/4)*((Inputs!$F$13/1000/4)^(2/3))*SQRT(N159))</f>
        <v/>
      </c>
      <c r="AM159" s="4">
        <f>IF(A159="","",(1/Inputs!$B$9)*(PI()*(Inputs!$F$14/1000)^2/4)*((Inputs!$F$14/1000/4)^(2/3))*SQRT(N159))</f>
        <v/>
      </c>
    </row>
    <row r="160">
      <c r="A160" s="4" t="n"/>
      <c r="B160" s="4" t="n"/>
      <c r="C160" s="8" t="n"/>
      <c r="D160" s="8" t="n"/>
      <c r="E160" s="8">
        <f>SUMIFS(CB_Tributaires!$C:$C,CB_Tributaires!$B:$B,$A160)</f>
        <v/>
      </c>
      <c r="F160" s="8">
        <f>IF(D160="",E160,D160)</f>
        <v/>
      </c>
      <c r="G160" s="4" t="n"/>
      <c r="H160" s="8" t="n"/>
      <c r="I160" s="8">
        <f>IF(A160="","",Inputs!$B$13/((IF(H160="",Inputs!$B$18,H160)+Inputs!$B$14)^Inputs!$B$15))</f>
        <v/>
      </c>
      <c r="J160" s="8">
        <f>IF(A160="","",0.00278*IF(G160="",Inputs!$B$17,G160)*F160*I160)</f>
        <v/>
      </c>
      <c r="K160" s="8">
        <f>IF(A160="","",SUMIFS($L$4:$L$203,$B$4:$B$203,$A160))</f>
        <v/>
      </c>
      <c r="L160" s="8">
        <f>IF(A160="","",(J160+K160)*Inputs!$B$16)</f>
        <v/>
      </c>
      <c r="M160" s="8" t="n"/>
      <c r="N160" s="8">
        <f>IF(A160="","",IF(M160="",Inputs!$B$7,M160))</f>
        <v/>
      </c>
      <c r="O160" s="4">
        <f>IF(A160="","",IF(L160/Inputs!$B$10&lt;=AD160,Inputs!$F$5,IF(L160/Inputs!$B$10&gt;AM160,"OVERSIZE",INDEX(Inputs!$F$5:$F$14,MATCH(L160/Inputs!$B$10,AD160:AM160,1)+1))))</f>
        <v/>
      </c>
      <c r="P160" s="4" t="n"/>
      <c r="Q160" s="4">
        <f>IF(A160="","",IF(P160="",O160,P160))</f>
        <v/>
      </c>
      <c r="R160" s="8">
        <f>IF(OR(Q160="",Q160="OVERSIZE"),"",Q160/1000)</f>
        <v/>
      </c>
      <c r="S160" s="8">
        <f>IF(R160="","",(1/Inputs!$B$9)*(PI()*R160^2/4)*((R160/4)^(2/3))*SQRT(N160))</f>
        <v/>
      </c>
      <c r="T160" s="8">
        <f>IF(OR(S160="",L160=""),"",L160/(S160*Inputs!$B$10))</f>
        <v/>
      </c>
      <c r="U160" s="8">
        <f>IF(OR(R160="",L160=""),"",4*L160/(PI()*R160^2))</f>
        <v/>
      </c>
      <c r="V160" s="8" t="n"/>
      <c r="W160" s="8">
        <f>IF(A160="","",IF(A160=Inputs!$B$6,Inputs!$B$22,IF(B160="","",IFERROR(INDEX($X$4:$X$203,MATCH(B160,$A$4:$A$203,0))+IF(V160="",Inputs!$B$20,V160),""))))</f>
        <v/>
      </c>
      <c r="X160" s="8">
        <f>IF(OR(W160="",N160="",C160=""),"",W160+N160*C160)</f>
        <v/>
      </c>
      <c r="Y160" s="8" t="n"/>
      <c r="Z160" s="8" t="n"/>
      <c r="AA160" s="8">
        <f>IF(OR(Y160="",W160=""),"",Y160-W160)</f>
        <v/>
      </c>
      <c r="AB160" s="8">
        <f>IF(OR(Z160="",X160=""),"",Z160-X160)</f>
        <v/>
      </c>
      <c r="AC160" s="4">
        <f>IF(A160="","",IF(OR(T160&gt;1,U160&lt;Inputs!$B$11,U160&gt;Inputs!$B$12,AA160&lt;Inputs!$B$19,AB160&lt;Inputs!$B$19,N160&lt;Inputs!$B$7,N160&gt;Inputs!$B$8),"CHECK","OK"))</f>
        <v/>
      </c>
      <c r="AD160" s="4">
        <f>IF(A160="","",(1/Inputs!$B$9)*(PI()*(Inputs!$F$5/1000)^2/4)*((Inputs!$F$5/1000/4)^(2/3))*SQRT(N160))</f>
        <v/>
      </c>
      <c r="AE160" s="4">
        <f>IF(A160="","",(1/Inputs!$B$9)*(PI()*(Inputs!$F$6/1000)^2/4)*((Inputs!$F$6/1000/4)^(2/3))*SQRT(N160))</f>
        <v/>
      </c>
      <c r="AF160" s="4">
        <f>IF(A160="","",(1/Inputs!$B$9)*(PI()*(Inputs!$F$7/1000)^2/4)*((Inputs!$F$7/1000/4)^(2/3))*SQRT(N160))</f>
        <v/>
      </c>
      <c r="AG160" s="4">
        <f>IF(A160="","",(1/Inputs!$B$9)*(PI()*(Inputs!$F$8/1000)^2/4)*((Inputs!$F$8/1000/4)^(2/3))*SQRT(N160))</f>
        <v/>
      </c>
      <c r="AH160" s="4">
        <f>IF(A160="","",(1/Inputs!$B$9)*(PI()*(Inputs!$F$9/1000)^2/4)*((Inputs!$F$9/1000/4)^(2/3))*SQRT(N160))</f>
        <v/>
      </c>
      <c r="AI160" s="4">
        <f>IF(A160="","",(1/Inputs!$B$9)*(PI()*(Inputs!$F$10/1000)^2/4)*((Inputs!$F$10/1000/4)^(2/3))*SQRT(N160))</f>
        <v/>
      </c>
      <c r="AJ160" s="4">
        <f>IF(A160="","",(1/Inputs!$B$9)*(PI()*(Inputs!$F$11/1000)^2/4)*((Inputs!$F$11/1000/4)^(2/3))*SQRT(N160))</f>
        <v/>
      </c>
      <c r="AK160" s="4">
        <f>IF(A160="","",(1/Inputs!$B$9)*(PI()*(Inputs!$F$12/1000)^2/4)*((Inputs!$F$12/1000/4)^(2/3))*SQRT(N160))</f>
        <v/>
      </c>
      <c r="AL160" s="4">
        <f>IF(A160="","",(1/Inputs!$B$9)*(PI()*(Inputs!$F$13/1000)^2/4)*((Inputs!$F$13/1000/4)^(2/3))*SQRT(N160))</f>
        <v/>
      </c>
      <c r="AM160" s="4">
        <f>IF(A160="","",(1/Inputs!$B$9)*(PI()*(Inputs!$F$14/1000)^2/4)*((Inputs!$F$14/1000/4)^(2/3))*SQRT(N160))</f>
        <v/>
      </c>
    </row>
    <row r="161">
      <c r="A161" s="4" t="n"/>
      <c r="B161" s="4" t="n"/>
      <c r="C161" s="8" t="n"/>
      <c r="D161" s="8" t="n"/>
      <c r="E161" s="8">
        <f>SUMIFS(CB_Tributaires!$C:$C,CB_Tributaires!$B:$B,$A161)</f>
        <v/>
      </c>
      <c r="F161" s="8">
        <f>IF(D161="",E161,D161)</f>
        <v/>
      </c>
      <c r="G161" s="4" t="n"/>
      <c r="H161" s="8" t="n"/>
      <c r="I161" s="8">
        <f>IF(A161="","",Inputs!$B$13/((IF(H161="",Inputs!$B$18,H161)+Inputs!$B$14)^Inputs!$B$15))</f>
        <v/>
      </c>
      <c r="J161" s="8">
        <f>IF(A161="","",0.00278*IF(G161="",Inputs!$B$17,G161)*F161*I161)</f>
        <v/>
      </c>
      <c r="K161" s="8">
        <f>IF(A161="","",SUMIFS($L$4:$L$203,$B$4:$B$203,$A161))</f>
        <v/>
      </c>
      <c r="L161" s="8">
        <f>IF(A161="","",(J161+K161)*Inputs!$B$16)</f>
        <v/>
      </c>
      <c r="M161" s="8" t="n"/>
      <c r="N161" s="8">
        <f>IF(A161="","",IF(M161="",Inputs!$B$7,M161))</f>
        <v/>
      </c>
      <c r="O161" s="4">
        <f>IF(A161="","",IF(L161/Inputs!$B$10&lt;=AD161,Inputs!$F$5,IF(L161/Inputs!$B$10&gt;AM161,"OVERSIZE",INDEX(Inputs!$F$5:$F$14,MATCH(L161/Inputs!$B$10,AD161:AM161,1)+1))))</f>
        <v/>
      </c>
      <c r="P161" s="4" t="n"/>
      <c r="Q161" s="4">
        <f>IF(A161="","",IF(P161="",O161,P161))</f>
        <v/>
      </c>
      <c r="R161" s="8">
        <f>IF(OR(Q161="",Q161="OVERSIZE"),"",Q161/1000)</f>
        <v/>
      </c>
      <c r="S161" s="8">
        <f>IF(R161="","",(1/Inputs!$B$9)*(PI()*R161^2/4)*((R161/4)^(2/3))*SQRT(N161))</f>
        <v/>
      </c>
      <c r="T161" s="8">
        <f>IF(OR(S161="",L161=""),"",L161/(S161*Inputs!$B$10))</f>
        <v/>
      </c>
      <c r="U161" s="8">
        <f>IF(OR(R161="",L161=""),"",4*L161/(PI()*R161^2))</f>
        <v/>
      </c>
      <c r="V161" s="8" t="n"/>
      <c r="W161" s="8">
        <f>IF(A161="","",IF(A161=Inputs!$B$6,Inputs!$B$22,IF(B161="","",IFERROR(INDEX($X$4:$X$203,MATCH(B161,$A$4:$A$203,0))+IF(V161="",Inputs!$B$20,V161),""))))</f>
        <v/>
      </c>
      <c r="X161" s="8">
        <f>IF(OR(W161="",N161="",C161=""),"",W161+N161*C161)</f>
        <v/>
      </c>
      <c r="Y161" s="8" t="n"/>
      <c r="Z161" s="8" t="n"/>
      <c r="AA161" s="8">
        <f>IF(OR(Y161="",W161=""),"",Y161-W161)</f>
        <v/>
      </c>
      <c r="AB161" s="8">
        <f>IF(OR(Z161="",X161=""),"",Z161-X161)</f>
        <v/>
      </c>
      <c r="AC161" s="4">
        <f>IF(A161="","",IF(OR(T161&gt;1,U161&lt;Inputs!$B$11,U161&gt;Inputs!$B$12,AA161&lt;Inputs!$B$19,AB161&lt;Inputs!$B$19,N161&lt;Inputs!$B$7,N161&gt;Inputs!$B$8),"CHECK","OK"))</f>
        <v/>
      </c>
      <c r="AD161" s="4">
        <f>IF(A161="","",(1/Inputs!$B$9)*(PI()*(Inputs!$F$5/1000)^2/4)*((Inputs!$F$5/1000/4)^(2/3))*SQRT(N161))</f>
        <v/>
      </c>
      <c r="AE161" s="4">
        <f>IF(A161="","",(1/Inputs!$B$9)*(PI()*(Inputs!$F$6/1000)^2/4)*((Inputs!$F$6/1000/4)^(2/3))*SQRT(N161))</f>
        <v/>
      </c>
      <c r="AF161" s="4">
        <f>IF(A161="","",(1/Inputs!$B$9)*(PI()*(Inputs!$F$7/1000)^2/4)*((Inputs!$F$7/1000/4)^(2/3))*SQRT(N161))</f>
        <v/>
      </c>
      <c r="AG161" s="4">
        <f>IF(A161="","",(1/Inputs!$B$9)*(PI()*(Inputs!$F$8/1000)^2/4)*((Inputs!$F$8/1000/4)^(2/3))*SQRT(N161))</f>
        <v/>
      </c>
      <c r="AH161" s="4">
        <f>IF(A161="","",(1/Inputs!$B$9)*(PI()*(Inputs!$F$9/1000)^2/4)*((Inputs!$F$9/1000/4)^(2/3))*SQRT(N161))</f>
        <v/>
      </c>
      <c r="AI161" s="4">
        <f>IF(A161="","",(1/Inputs!$B$9)*(PI()*(Inputs!$F$10/1000)^2/4)*((Inputs!$F$10/1000/4)^(2/3))*SQRT(N161))</f>
        <v/>
      </c>
      <c r="AJ161" s="4">
        <f>IF(A161="","",(1/Inputs!$B$9)*(PI()*(Inputs!$F$11/1000)^2/4)*((Inputs!$F$11/1000/4)^(2/3))*SQRT(N161))</f>
        <v/>
      </c>
      <c r="AK161" s="4">
        <f>IF(A161="","",(1/Inputs!$B$9)*(PI()*(Inputs!$F$12/1000)^2/4)*((Inputs!$F$12/1000/4)^(2/3))*SQRT(N161))</f>
        <v/>
      </c>
      <c r="AL161" s="4">
        <f>IF(A161="","",(1/Inputs!$B$9)*(PI()*(Inputs!$F$13/1000)^2/4)*((Inputs!$F$13/1000/4)^(2/3))*SQRT(N161))</f>
        <v/>
      </c>
      <c r="AM161" s="4">
        <f>IF(A161="","",(1/Inputs!$B$9)*(PI()*(Inputs!$F$14/1000)^2/4)*((Inputs!$F$14/1000/4)^(2/3))*SQRT(N161))</f>
        <v/>
      </c>
    </row>
    <row r="162">
      <c r="A162" s="4" t="n"/>
      <c r="B162" s="4" t="n"/>
      <c r="C162" s="8" t="n"/>
      <c r="D162" s="8" t="n"/>
      <c r="E162" s="8">
        <f>SUMIFS(CB_Tributaires!$C:$C,CB_Tributaires!$B:$B,$A162)</f>
        <v/>
      </c>
      <c r="F162" s="8">
        <f>IF(D162="",E162,D162)</f>
        <v/>
      </c>
      <c r="G162" s="4" t="n"/>
      <c r="H162" s="8" t="n"/>
      <c r="I162" s="8">
        <f>IF(A162="","",Inputs!$B$13/((IF(H162="",Inputs!$B$18,H162)+Inputs!$B$14)^Inputs!$B$15))</f>
        <v/>
      </c>
      <c r="J162" s="8">
        <f>IF(A162="","",0.00278*IF(G162="",Inputs!$B$17,G162)*F162*I162)</f>
        <v/>
      </c>
      <c r="K162" s="8">
        <f>IF(A162="","",SUMIFS($L$4:$L$203,$B$4:$B$203,$A162))</f>
        <v/>
      </c>
      <c r="L162" s="8">
        <f>IF(A162="","",(J162+K162)*Inputs!$B$16)</f>
        <v/>
      </c>
      <c r="M162" s="8" t="n"/>
      <c r="N162" s="8">
        <f>IF(A162="","",IF(M162="",Inputs!$B$7,M162))</f>
        <v/>
      </c>
      <c r="O162" s="4">
        <f>IF(A162="","",IF(L162/Inputs!$B$10&lt;=AD162,Inputs!$F$5,IF(L162/Inputs!$B$10&gt;AM162,"OVERSIZE",INDEX(Inputs!$F$5:$F$14,MATCH(L162/Inputs!$B$10,AD162:AM162,1)+1))))</f>
        <v/>
      </c>
      <c r="P162" s="4" t="n"/>
      <c r="Q162" s="4">
        <f>IF(A162="","",IF(P162="",O162,P162))</f>
        <v/>
      </c>
      <c r="R162" s="8">
        <f>IF(OR(Q162="",Q162="OVERSIZE"),"",Q162/1000)</f>
        <v/>
      </c>
      <c r="S162" s="8">
        <f>IF(R162="","",(1/Inputs!$B$9)*(PI()*R162^2/4)*((R162/4)^(2/3))*SQRT(N162))</f>
        <v/>
      </c>
      <c r="T162" s="8">
        <f>IF(OR(S162="",L162=""),"",L162/(S162*Inputs!$B$10))</f>
        <v/>
      </c>
      <c r="U162" s="8">
        <f>IF(OR(R162="",L162=""),"",4*L162/(PI()*R162^2))</f>
        <v/>
      </c>
      <c r="V162" s="8" t="n"/>
      <c r="W162" s="8">
        <f>IF(A162="","",IF(A162=Inputs!$B$6,Inputs!$B$22,IF(B162="","",IFERROR(INDEX($X$4:$X$203,MATCH(B162,$A$4:$A$203,0))+IF(V162="",Inputs!$B$20,V162),""))))</f>
        <v/>
      </c>
      <c r="X162" s="8">
        <f>IF(OR(W162="",N162="",C162=""),"",W162+N162*C162)</f>
        <v/>
      </c>
      <c r="Y162" s="8" t="n"/>
      <c r="Z162" s="8" t="n"/>
      <c r="AA162" s="8">
        <f>IF(OR(Y162="",W162=""),"",Y162-W162)</f>
        <v/>
      </c>
      <c r="AB162" s="8">
        <f>IF(OR(Z162="",X162=""),"",Z162-X162)</f>
        <v/>
      </c>
      <c r="AC162" s="4">
        <f>IF(A162="","",IF(OR(T162&gt;1,U162&lt;Inputs!$B$11,U162&gt;Inputs!$B$12,AA162&lt;Inputs!$B$19,AB162&lt;Inputs!$B$19,N162&lt;Inputs!$B$7,N162&gt;Inputs!$B$8),"CHECK","OK"))</f>
        <v/>
      </c>
      <c r="AD162" s="4">
        <f>IF(A162="","",(1/Inputs!$B$9)*(PI()*(Inputs!$F$5/1000)^2/4)*((Inputs!$F$5/1000/4)^(2/3))*SQRT(N162))</f>
        <v/>
      </c>
      <c r="AE162" s="4">
        <f>IF(A162="","",(1/Inputs!$B$9)*(PI()*(Inputs!$F$6/1000)^2/4)*((Inputs!$F$6/1000/4)^(2/3))*SQRT(N162))</f>
        <v/>
      </c>
      <c r="AF162" s="4">
        <f>IF(A162="","",(1/Inputs!$B$9)*(PI()*(Inputs!$F$7/1000)^2/4)*((Inputs!$F$7/1000/4)^(2/3))*SQRT(N162))</f>
        <v/>
      </c>
      <c r="AG162" s="4">
        <f>IF(A162="","",(1/Inputs!$B$9)*(PI()*(Inputs!$F$8/1000)^2/4)*((Inputs!$F$8/1000/4)^(2/3))*SQRT(N162))</f>
        <v/>
      </c>
      <c r="AH162" s="4">
        <f>IF(A162="","",(1/Inputs!$B$9)*(PI()*(Inputs!$F$9/1000)^2/4)*((Inputs!$F$9/1000/4)^(2/3))*SQRT(N162))</f>
        <v/>
      </c>
      <c r="AI162" s="4">
        <f>IF(A162="","",(1/Inputs!$B$9)*(PI()*(Inputs!$F$10/1000)^2/4)*((Inputs!$F$10/1000/4)^(2/3))*SQRT(N162))</f>
        <v/>
      </c>
      <c r="AJ162" s="4">
        <f>IF(A162="","",(1/Inputs!$B$9)*(PI()*(Inputs!$F$11/1000)^2/4)*((Inputs!$F$11/1000/4)^(2/3))*SQRT(N162))</f>
        <v/>
      </c>
      <c r="AK162" s="4">
        <f>IF(A162="","",(1/Inputs!$B$9)*(PI()*(Inputs!$F$12/1000)^2/4)*((Inputs!$F$12/1000/4)^(2/3))*SQRT(N162))</f>
        <v/>
      </c>
      <c r="AL162" s="4">
        <f>IF(A162="","",(1/Inputs!$B$9)*(PI()*(Inputs!$F$13/1000)^2/4)*((Inputs!$F$13/1000/4)^(2/3))*SQRT(N162))</f>
        <v/>
      </c>
      <c r="AM162" s="4">
        <f>IF(A162="","",(1/Inputs!$B$9)*(PI()*(Inputs!$F$14/1000)^2/4)*((Inputs!$F$14/1000/4)^(2/3))*SQRT(N162))</f>
        <v/>
      </c>
    </row>
    <row r="163">
      <c r="A163" s="4" t="n"/>
      <c r="B163" s="4" t="n"/>
      <c r="C163" s="8" t="n"/>
      <c r="D163" s="8" t="n"/>
      <c r="E163" s="8">
        <f>SUMIFS(CB_Tributaires!$C:$C,CB_Tributaires!$B:$B,$A163)</f>
        <v/>
      </c>
      <c r="F163" s="8">
        <f>IF(D163="",E163,D163)</f>
        <v/>
      </c>
      <c r="G163" s="4" t="n"/>
      <c r="H163" s="8" t="n"/>
      <c r="I163" s="8">
        <f>IF(A163="","",Inputs!$B$13/((IF(H163="",Inputs!$B$18,H163)+Inputs!$B$14)^Inputs!$B$15))</f>
        <v/>
      </c>
      <c r="J163" s="8">
        <f>IF(A163="","",0.00278*IF(G163="",Inputs!$B$17,G163)*F163*I163)</f>
        <v/>
      </c>
      <c r="K163" s="8">
        <f>IF(A163="","",SUMIFS($L$4:$L$203,$B$4:$B$203,$A163))</f>
        <v/>
      </c>
      <c r="L163" s="8">
        <f>IF(A163="","",(J163+K163)*Inputs!$B$16)</f>
        <v/>
      </c>
      <c r="M163" s="8" t="n"/>
      <c r="N163" s="8">
        <f>IF(A163="","",IF(M163="",Inputs!$B$7,M163))</f>
        <v/>
      </c>
      <c r="O163" s="4">
        <f>IF(A163="","",IF(L163/Inputs!$B$10&lt;=AD163,Inputs!$F$5,IF(L163/Inputs!$B$10&gt;AM163,"OVERSIZE",INDEX(Inputs!$F$5:$F$14,MATCH(L163/Inputs!$B$10,AD163:AM163,1)+1))))</f>
        <v/>
      </c>
      <c r="P163" s="4" t="n"/>
      <c r="Q163" s="4">
        <f>IF(A163="","",IF(P163="",O163,P163))</f>
        <v/>
      </c>
      <c r="R163" s="8">
        <f>IF(OR(Q163="",Q163="OVERSIZE"),"",Q163/1000)</f>
        <v/>
      </c>
      <c r="S163" s="8">
        <f>IF(R163="","",(1/Inputs!$B$9)*(PI()*R163^2/4)*((R163/4)^(2/3))*SQRT(N163))</f>
        <v/>
      </c>
      <c r="T163" s="8">
        <f>IF(OR(S163="",L163=""),"",L163/(S163*Inputs!$B$10))</f>
        <v/>
      </c>
      <c r="U163" s="8">
        <f>IF(OR(R163="",L163=""),"",4*L163/(PI()*R163^2))</f>
        <v/>
      </c>
      <c r="V163" s="8" t="n"/>
      <c r="W163" s="8">
        <f>IF(A163="","",IF(A163=Inputs!$B$6,Inputs!$B$22,IF(B163="","",IFERROR(INDEX($X$4:$X$203,MATCH(B163,$A$4:$A$203,0))+IF(V163="",Inputs!$B$20,V163),""))))</f>
        <v/>
      </c>
      <c r="X163" s="8">
        <f>IF(OR(W163="",N163="",C163=""),"",W163+N163*C163)</f>
        <v/>
      </c>
      <c r="Y163" s="8" t="n"/>
      <c r="Z163" s="8" t="n"/>
      <c r="AA163" s="8">
        <f>IF(OR(Y163="",W163=""),"",Y163-W163)</f>
        <v/>
      </c>
      <c r="AB163" s="8">
        <f>IF(OR(Z163="",X163=""),"",Z163-X163)</f>
        <v/>
      </c>
      <c r="AC163" s="4">
        <f>IF(A163="","",IF(OR(T163&gt;1,U163&lt;Inputs!$B$11,U163&gt;Inputs!$B$12,AA163&lt;Inputs!$B$19,AB163&lt;Inputs!$B$19,N163&lt;Inputs!$B$7,N163&gt;Inputs!$B$8),"CHECK","OK"))</f>
        <v/>
      </c>
      <c r="AD163" s="4">
        <f>IF(A163="","",(1/Inputs!$B$9)*(PI()*(Inputs!$F$5/1000)^2/4)*((Inputs!$F$5/1000/4)^(2/3))*SQRT(N163))</f>
        <v/>
      </c>
      <c r="AE163" s="4">
        <f>IF(A163="","",(1/Inputs!$B$9)*(PI()*(Inputs!$F$6/1000)^2/4)*((Inputs!$F$6/1000/4)^(2/3))*SQRT(N163))</f>
        <v/>
      </c>
      <c r="AF163" s="4">
        <f>IF(A163="","",(1/Inputs!$B$9)*(PI()*(Inputs!$F$7/1000)^2/4)*((Inputs!$F$7/1000/4)^(2/3))*SQRT(N163))</f>
        <v/>
      </c>
      <c r="AG163" s="4">
        <f>IF(A163="","",(1/Inputs!$B$9)*(PI()*(Inputs!$F$8/1000)^2/4)*((Inputs!$F$8/1000/4)^(2/3))*SQRT(N163))</f>
        <v/>
      </c>
      <c r="AH163" s="4">
        <f>IF(A163="","",(1/Inputs!$B$9)*(PI()*(Inputs!$F$9/1000)^2/4)*((Inputs!$F$9/1000/4)^(2/3))*SQRT(N163))</f>
        <v/>
      </c>
      <c r="AI163" s="4">
        <f>IF(A163="","",(1/Inputs!$B$9)*(PI()*(Inputs!$F$10/1000)^2/4)*((Inputs!$F$10/1000/4)^(2/3))*SQRT(N163))</f>
        <v/>
      </c>
      <c r="AJ163" s="4">
        <f>IF(A163="","",(1/Inputs!$B$9)*(PI()*(Inputs!$F$11/1000)^2/4)*((Inputs!$F$11/1000/4)^(2/3))*SQRT(N163))</f>
        <v/>
      </c>
      <c r="AK163" s="4">
        <f>IF(A163="","",(1/Inputs!$B$9)*(PI()*(Inputs!$F$12/1000)^2/4)*((Inputs!$F$12/1000/4)^(2/3))*SQRT(N163))</f>
        <v/>
      </c>
      <c r="AL163" s="4">
        <f>IF(A163="","",(1/Inputs!$B$9)*(PI()*(Inputs!$F$13/1000)^2/4)*((Inputs!$F$13/1000/4)^(2/3))*SQRT(N163))</f>
        <v/>
      </c>
      <c r="AM163" s="4">
        <f>IF(A163="","",(1/Inputs!$B$9)*(PI()*(Inputs!$F$14/1000)^2/4)*((Inputs!$F$14/1000/4)^(2/3))*SQRT(N163))</f>
        <v/>
      </c>
    </row>
    <row r="164">
      <c r="A164" s="4" t="n"/>
      <c r="B164" s="4" t="n"/>
      <c r="C164" s="8" t="n"/>
      <c r="D164" s="8" t="n"/>
      <c r="E164" s="8">
        <f>SUMIFS(CB_Tributaires!$C:$C,CB_Tributaires!$B:$B,$A164)</f>
        <v/>
      </c>
      <c r="F164" s="8">
        <f>IF(D164="",E164,D164)</f>
        <v/>
      </c>
      <c r="G164" s="4" t="n"/>
      <c r="H164" s="8" t="n"/>
      <c r="I164" s="8">
        <f>IF(A164="","",Inputs!$B$13/((IF(H164="",Inputs!$B$18,H164)+Inputs!$B$14)^Inputs!$B$15))</f>
        <v/>
      </c>
      <c r="J164" s="8">
        <f>IF(A164="","",0.00278*IF(G164="",Inputs!$B$17,G164)*F164*I164)</f>
        <v/>
      </c>
      <c r="K164" s="8">
        <f>IF(A164="","",SUMIFS($L$4:$L$203,$B$4:$B$203,$A164))</f>
        <v/>
      </c>
      <c r="L164" s="8">
        <f>IF(A164="","",(J164+K164)*Inputs!$B$16)</f>
        <v/>
      </c>
      <c r="M164" s="8" t="n"/>
      <c r="N164" s="8">
        <f>IF(A164="","",IF(M164="",Inputs!$B$7,M164))</f>
        <v/>
      </c>
      <c r="O164" s="4">
        <f>IF(A164="","",IF(L164/Inputs!$B$10&lt;=AD164,Inputs!$F$5,IF(L164/Inputs!$B$10&gt;AM164,"OVERSIZE",INDEX(Inputs!$F$5:$F$14,MATCH(L164/Inputs!$B$10,AD164:AM164,1)+1))))</f>
        <v/>
      </c>
      <c r="P164" s="4" t="n"/>
      <c r="Q164" s="4">
        <f>IF(A164="","",IF(P164="",O164,P164))</f>
        <v/>
      </c>
      <c r="R164" s="8">
        <f>IF(OR(Q164="",Q164="OVERSIZE"),"",Q164/1000)</f>
        <v/>
      </c>
      <c r="S164" s="8">
        <f>IF(R164="","",(1/Inputs!$B$9)*(PI()*R164^2/4)*((R164/4)^(2/3))*SQRT(N164))</f>
        <v/>
      </c>
      <c r="T164" s="8">
        <f>IF(OR(S164="",L164=""),"",L164/(S164*Inputs!$B$10))</f>
        <v/>
      </c>
      <c r="U164" s="8">
        <f>IF(OR(R164="",L164=""),"",4*L164/(PI()*R164^2))</f>
        <v/>
      </c>
      <c r="V164" s="8" t="n"/>
      <c r="W164" s="8">
        <f>IF(A164="","",IF(A164=Inputs!$B$6,Inputs!$B$22,IF(B164="","",IFERROR(INDEX($X$4:$X$203,MATCH(B164,$A$4:$A$203,0))+IF(V164="",Inputs!$B$20,V164),""))))</f>
        <v/>
      </c>
      <c r="X164" s="8">
        <f>IF(OR(W164="",N164="",C164=""),"",W164+N164*C164)</f>
        <v/>
      </c>
      <c r="Y164" s="8" t="n"/>
      <c r="Z164" s="8" t="n"/>
      <c r="AA164" s="8">
        <f>IF(OR(Y164="",W164=""),"",Y164-W164)</f>
        <v/>
      </c>
      <c r="AB164" s="8">
        <f>IF(OR(Z164="",X164=""),"",Z164-X164)</f>
        <v/>
      </c>
      <c r="AC164" s="4">
        <f>IF(A164="","",IF(OR(T164&gt;1,U164&lt;Inputs!$B$11,U164&gt;Inputs!$B$12,AA164&lt;Inputs!$B$19,AB164&lt;Inputs!$B$19,N164&lt;Inputs!$B$7,N164&gt;Inputs!$B$8),"CHECK","OK"))</f>
        <v/>
      </c>
      <c r="AD164" s="4">
        <f>IF(A164="","",(1/Inputs!$B$9)*(PI()*(Inputs!$F$5/1000)^2/4)*((Inputs!$F$5/1000/4)^(2/3))*SQRT(N164))</f>
        <v/>
      </c>
      <c r="AE164" s="4">
        <f>IF(A164="","",(1/Inputs!$B$9)*(PI()*(Inputs!$F$6/1000)^2/4)*((Inputs!$F$6/1000/4)^(2/3))*SQRT(N164))</f>
        <v/>
      </c>
      <c r="AF164" s="4">
        <f>IF(A164="","",(1/Inputs!$B$9)*(PI()*(Inputs!$F$7/1000)^2/4)*((Inputs!$F$7/1000/4)^(2/3))*SQRT(N164))</f>
        <v/>
      </c>
      <c r="AG164" s="4">
        <f>IF(A164="","",(1/Inputs!$B$9)*(PI()*(Inputs!$F$8/1000)^2/4)*((Inputs!$F$8/1000/4)^(2/3))*SQRT(N164))</f>
        <v/>
      </c>
      <c r="AH164" s="4">
        <f>IF(A164="","",(1/Inputs!$B$9)*(PI()*(Inputs!$F$9/1000)^2/4)*((Inputs!$F$9/1000/4)^(2/3))*SQRT(N164))</f>
        <v/>
      </c>
      <c r="AI164" s="4">
        <f>IF(A164="","",(1/Inputs!$B$9)*(PI()*(Inputs!$F$10/1000)^2/4)*((Inputs!$F$10/1000/4)^(2/3))*SQRT(N164))</f>
        <v/>
      </c>
      <c r="AJ164" s="4">
        <f>IF(A164="","",(1/Inputs!$B$9)*(PI()*(Inputs!$F$11/1000)^2/4)*((Inputs!$F$11/1000/4)^(2/3))*SQRT(N164))</f>
        <v/>
      </c>
      <c r="AK164" s="4">
        <f>IF(A164="","",(1/Inputs!$B$9)*(PI()*(Inputs!$F$12/1000)^2/4)*((Inputs!$F$12/1000/4)^(2/3))*SQRT(N164))</f>
        <v/>
      </c>
      <c r="AL164" s="4">
        <f>IF(A164="","",(1/Inputs!$B$9)*(PI()*(Inputs!$F$13/1000)^2/4)*((Inputs!$F$13/1000/4)^(2/3))*SQRT(N164))</f>
        <v/>
      </c>
      <c r="AM164" s="4">
        <f>IF(A164="","",(1/Inputs!$B$9)*(PI()*(Inputs!$F$14/1000)^2/4)*((Inputs!$F$14/1000/4)^(2/3))*SQRT(N164))</f>
        <v/>
      </c>
    </row>
    <row r="165">
      <c r="A165" s="4" t="n"/>
      <c r="B165" s="4" t="n"/>
      <c r="C165" s="8" t="n"/>
      <c r="D165" s="8" t="n"/>
      <c r="E165" s="8">
        <f>SUMIFS(CB_Tributaires!$C:$C,CB_Tributaires!$B:$B,$A165)</f>
        <v/>
      </c>
      <c r="F165" s="8">
        <f>IF(D165="",E165,D165)</f>
        <v/>
      </c>
      <c r="G165" s="4" t="n"/>
      <c r="H165" s="8" t="n"/>
      <c r="I165" s="8">
        <f>IF(A165="","",Inputs!$B$13/((IF(H165="",Inputs!$B$18,H165)+Inputs!$B$14)^Inputs!$B$15))</f>
        <v/>
      </c>
      <c r="J165" s="8">
        <f>IF(A165="","",0.00278*IF(G165="",Inputs!$B$17,G165)*F165*I165)</f>
        <v/>
      </c>
      <c r="K165" s="8">
        <f>IF(A165="","",SUMIFS($L$4:$L$203,$B$4:$B$203,$A165))</f>
        <v/>
      </c>
      <c r="L165" s="8">
        <f>IF(A165="","",(J165+K165)*Inputs!$B$16)</f>
        <v/>
      </c>
      <c r="M165" s="8" t="n"/>
      <c r="N165" s="8">
        <f>IF(A165="","",IF(M165="",Inputs!$B$7,M165))</f>
        <v/>
      </c>
      <c r="O165" s="4">
        <f>IF(A165="","",IF(L165/Inputs!$B$10&lt;=AD165,Inputs!$F$5,IF(L165/Inputs!$B$10&gt;AM165,"OVERSIZE",INDEX(Inputs!$F$5:$F$14,MATCH(L165/Inputs!$B$10,AD165:AM165,1)+1))))</f>
        <v/>
      </c>
      <c r="P165" s="4" t="n"/>
      <c r="Q165" s="4">
        <f>IF(A165="","",IF(P165="",O165,P165))</f>
        <v/>
      </c>
      <c r="R165" s="8">
        <f>IF(OR(Q165="",Q165="OVERSIZE"),"",Q165/1000)</f>
        <v/>
      </c>
      <c r="S165" s="8">
        <f>IF(R165="","",(1/Inputs!$B$9)*(PI()*R165^2/4)*((R165/4)^(2/3))*SQRT(N165))</f>
        <v/>
      </c>
      <c r="T165" s="8">
        <f>IF(OR(S165="",L165=""),"",L165/(S165*Inputs!$B$10))</f>
        <v/>
      </c>
      <c r="U165" s="8">
        <f>IF(OR(R165="",L165=""),"",4*L165/(PI()*R165^2))</f>
        <v/>
      </c>
      <c r="V165" s="8" t="n"/>
      <c r="W165" s="8">
        <f>IF(A165="","",IF(A165=Inputs!$B$6,Inputs!$B$22,IF(B165="","",IFERROR(INDEX($X$4:$X$203,MATCH(B165,$A$4:$A$203,0))+IF(V165="",Inputs!$B$20,V165),""))))</f>
        <v/>
      </c>
      <c r="X165" s="8">
        <f>IF(OR(W165="",N165="",C165=""),"",W165+N165*C165)</f>
        <v/>
      </c>
      <c r="Y165" s="8" t="n"/>
      <c r="Z165" s="8" t="n"/>
      <c r="AA165" s="8">
        <f>IF(OR(Y165="",W165=""),"",Y165-W165)</f>
        <v/>
      </c>
      <c r="AB165" s="8">
        <f>IF(OR(Z165="",X165=""),"",Z165-X165)</f>
        <v/>
      </c>
      <c r="AC165" s="4">
        <f>IF(A165="","",IF(OR(T165&gt;1,U165&lt;Inputs!$B$11,U165&gt;Inputs!$B$12,AA165&lt;Inputs!$B$19,AB165&lt;Inputs!$B$19,N165&lt;Inputs!$B$7,N165&gt;Inputs!$B$8),"CHECK","OK"))</f>
        <v/>
      </c>
      <c r="AD165" s="4">
        <f>IF(A165="","",(1/Inputs!$B$9)*(PI()*(Inputs!$F$5/1000)^2/4)*((Inputs!$F$5/1000/4)^(2/3))*SQRT(N165))</f>
        <v/>
      </c>
      <c r="AE165" s="4">
        <f>IF(A165="","",(1/Inputs!$B$9)*(PI()*(Inputs!$F$6/1000)^2/4)*((Inputs!$F$6/1000/4)^(2/3))*SQRT(N165))</f>
        <v/>
      </c>
      <c r="AF165" s="4">
        <f>IF(A165="","",(1/Inputs!$B$9)*(PI()*(Inputs!$F$7/1000)^2/4)*((Inputs!$F$7/1000/4)^(2/3))*SQRT(N165))</f>
        <v/>
      </c>
      <c r="AG165" s="4">
        <f>IF(A165="","",(1/Inputs!$B$9)*(PI()*(Inputs!$F$8/1000)^2/4)*((Inputs!$F$8/1000/4)^(2/3))*SQRT(N165))</f>
        <v/>
      </c>
      <c r="AH165" s="4">
        <f>IF(A165="","",(1/Inputs!$B$9)*(PI()*(Inputs!$F$9/1000)^2/4)*((Inputs!$F$9/1000/4)^(2/3))*SQRT(N165))</f>
        <v/>
      </c>
      <c r="AI165" s="4">
        <f>IF(A165="","",(1/Inputs!$B$9)*(PI()*(Inputs!$F$10/1000)^2/4)*((Inputs!$F$10/1000/4)^(2/3))*SQRT(N165))</f>
        <v/>
      </c>
      <c r="AJ165" s="4">
        <f>IF(A165="","",(1/Inputs!$B$9)*(PI()*(Inputs!$F$11/1000)^2/4)*((Inputs!$F$11/1000/4)^(2/3))*SQRT(N165))</f>
        <v/>
      </c>
      <c r="AK165" s="4">
        <f>IF(A165="","",(1/Inputs!$B$9)*(PI()*(Inputs!$F$12/1000)^2/4)*((Inputs!$F$12/1000/4)^(2/3))*SQRT(N165))</f>
        <v/>
      </c>
      <c r="AL165" s="4">
        <f>IF(A165="","",(1/Inputs!$B$9)*(PI()*(Inputs!$F$13/1000)^2/4)*((Inputs!$F$13/1000/4)^(2/3))*SQRT(N165))</f>
        <v/>
      </c>
      <c r="AM165" s="4">
        <f>IF(A165="","",(1/Inputs!$B$9)*(PI()*(Inputs!$F$14/1000)^2/4)*((Inputs!$F$14/1000/4)^(2/3))*SQRT(N165))</f>
        <v/>
      </c>
    </row>
    <row r="166">
      <c r="A166" s="4" t="n"/>
      <c r="B166" s="4" t="n"/>
      <c r="C166" s="8" t="n"/>
      <c r="D166" s="8" t="n"/>
      <c r="E166" s="8">
        <f>SUMIFS(CB_Tributaires!$C:$C,CB_Tributaires!$B:$B,$A166)</f>
        <v/>
      </c>
      <c r="F166" s="8">
        <f>IF(D166="",E166,D166)</f>
        <v/>
      </c>
      <c r="G166" s="4" t="n"/>
      <c r="H166" s="8" t="n"/>
      <c r="I166" s="8">
        <f>IF(A166="","",Inputs!$B$13/((IF(H166="",Inputs!$B$18,H166)+Inputs!$B$14)^Inputs!$B$15))</f>
        <v/>
      </c>
      <c r="J166" s="8">
        <f>IF(A166="","",0.00278*IF(G166="",Inputs!$B$17,G166)*F166*I166)</f>
        <v/>
      </c>
      <c r="K166" s="8">
        <f>IF(A166="","",SUMIFS($L$4:$L$203,$B$4:$B$203,$A166))</f>
        <v/>
      </c>
      <c r="L166" s="8">
        <f>IF(A166="","",(J166+K166)*Inputs!$B$16)</f>
        <v/>
      </c>
      <c r="M166" s="8" t="n"/>
      <c r="N166" s="8">
        <f>IF(A166="","",IF(M166="",Inputs!$B$7,M166))</f>
        <v/>
      </c>
      <c r="O166" s="4">
        <f>IF(A166="","",IF(L166/Inputs!$B$10&lt;=AD166,Inputs!$F$5,IF(L166/Inputs!$B$10&gt;AM166,"OVERSIZE",INDEX(Inputs!$F$5:$F$14,MATCH(L166/Inputs!$B$10,AD166:AM166,1)+1))))</f>
        <v/>
      </c>
      <c r="P166" s="4" t="n"/>
      <c r="Q166" s="4">
        <f>IF(A166="","",IF(P166="",O166,P166))</f>
        <v/>
      </c>
      <c r="R166" s="8">
        <f>IF(OR(Q166="",Q166="OVERSIZE"),"",Q166/1000)</f>
        <v/>
      </c>
      <c r="S166" s="8">
        <f>IF(R166="","",(1/Inputs!$B$9)*(PI()*R166^2/4)*((R166/4)^(2/3))*SQRT(N166))</f>
        <v/>
      </c>
      <c r="T166" s="8">
        <f>IF(OR(S166="",L166=""),"",L166/(S166*Inputs!$B$10))</f>
        <v/>
      </c>
      <c r="U166" s="8">
        <f>IF(OR(R166="",L166=""),"",4*L166/(PI()*R166^2))</f>
        <v/>
      </c>
      <c r="V166" s="8" t="n"/>
      <c r="W166" s="8">
        <f>IF(A166="","",IF(A166=Inputs!$B$6,Inputs!$B$22,IF(B166="","",IFERROR(INDEX($X$4:$X$203,MATCH(B166,$A$4:$A$203,0))+IF(V166="",Inputs!$B$20,V166),""))))</f>
        <v/>
      </c>
      <c r="X166" s="8">
        <f>IF(OR(W166="",N166="",C166=""),"",W166+N166*C166)</f>
        <v/>
      </c>
      <c r="Y166" s="8" t="n"/>
      <c r="Z166" s="8" t="n"/>
      <c r="AA166" s="8">
        <f>IF(OR(Y166="",W166=""),"",Y166-W166)</f>
        <v/>
      </c>
      <c r="AB166" s="8">
        <f>IF(OR(Z166="",X166=""),"",Z166-X166)</f>
        <v/>
      </c>
      <c r="AC166" s="4">
        <f>IF(A166="","",IF(OR(T166&gt;1,U166&lt;Inputs!$B$11,U166&gt;Inputs!$B$12,AA166&lt;Inputs!$B$19,AB166&lt;Inputs!$B$19,N166&lt;Inputs!$B$7,N166&gt;Inputs!$B$8),"CHECK","OK"))</f>
        <v/>
      </c>
      <c r="AD166" s="4">
        <f>IF(A166="","",(1/Inputs!$B$9)*(PI()*(Inputs!$F$5/1000)^2/4)*((Inputs!$F$5/1000/4)^(2/3))*SQRT(N166))</f>
        <v/>
      </c>
      <c r="AE166" s="4">
        <f>IF(A166="","",(1/Inputs!$B$9)*(PI()*(Inputs!$F$6/1000)^2/4)*((Inputs!$F$6/1000/4)^(2/3))*SQRT(N166))</f>
        <v/>
      </c>
      <c r="AF166" s="4">
        <f>IF(A166="","",(1/Inputs!$B$9)*(PI()*(Inputs!$F$7/1000)^2/4)*((Inputs!$F$7/1000/4)^(2/3))*SQRT(N166))</f>
        <v/>
      </c>
      <c r="AG166" s="4">
        <f>IF(A166="","",(1/Inputs!$B$9)*(PI()*(Inputs!$F$8/1000)^2/4)*((Inputs!$F$8/1000/4)^(2/3))*SQRT(N166))</f>
        <v/>
      </c>
      <c r="AH166" s="4">
        <f>IF(A166="","",(1/Inputs!$B$9)*(PI()*(Inputs!$F$9/1000)^2/4)*((Inputs!$F$9/1000/4)^(2/3))*SQRT(N166))</f>
        <v/>
      </c>
      <c r="AI166" s="4">
        <f>IF(A166="","",(1/Inputs!$B$9)*(PI()*(Inputs!$F$10/1000)^2/4)*((Inputs!$F$10/1000/4)^(2/3))*SQRT(N166))</f>
        <v/>
      </c>
      <c r="AJ166" s="4">
        <f>IF(A166="","",(1/Inputs!$B$9)*(PI()*(Inputs!$F$11/1000)^2/4)*((Inputs!$F$11/1000/4)^(2/3))*SQRT(N166))</f>
        <v/>
      </c>
      <c r="AK166" s="4">
        <f>IF(A166="","",(1/Inputs!$B$9)*(PI()*(Inputs!$F$12/1000)^2/4)*((Inputs!$F$12/1000/4)^(2/3))*SQRT(N166))</f>
        <v/>
      </c>
      <c r="AL166" s="4">
        <f>IF(A166="","",(1/Inputs!$B$9)*(PI()*(Inputs!$F$13/1000)^2/4)*((Inputs!$F$13/1000/4)^(2/3))*SQRT(N166))</f>
        <v/>
      </c>
      <c r="AM166" s="4">
        <f>IF(A166="","",(1/Inputs!$B$9)*(PI()*(Inputs!$F$14/1000)^2/4)*((Inputs!$F$14/1000/4)^(2/3))*SQRT(N166))</f>
        <v/>
      </c>
    </row>
    <row r="167">
      <c r="A167" s="4" t="n"/>
      <c r="B167" s="4" t="n"/>
      <c r="C167" s="8" t="n"/>
      <c r="D167" s="8" t="n"/>
      <c r="E167" s="8">
        <f>SUMIFS(CB_Tributaires!$C:$C,CB_Tributaires!$B:$B,$A167)</f>
        <v/>
      </c>
      <c r="F167" s="8">
        <f>IF(D167="",E167,D167)</f>
        <v/>
      </c>
      <c r="G167" s="4" t="n"/>
      <c r="H167" s="8" t="n"/>
      <c r="I167" s="8">
        <f>IF(A167="","",Inputs!$B$13/((IF(H167="",Inputs!$B$18,H167)+Inputs!$B$14)^Inputs!$B$15))</f>
        <v/>
      </c>
      <c r="J167" s="8">
        <f>IF(A167="","",0.00278*IF(G167="",Inputs!$B$17,G167)*F167*I167)</f>
        <v/>
      </c>
      <c r="K167" s="8">
        <f>IF(A167="","",SUMIFS($L$4:$L$203,$B$4:$B$203,$A167))</f>
        <v/>
      </c>
      <c r="L167" s="8">
        <f>IF(A167="","",(J167+K167)*Inputs!$B$16)</f>
        <v/>
      </c>
      <c r="M167" s="8" t="n"/>
      <c r="N167" s="8">
        <f>IF(A167="","",IF(M167="",Inputs!$B$7,M167))</f>
        <v/>
      </c>
      <c r="O167" s="4">
        <f>IF(A167="","",IF(L167/Inputs!$B$10&lt;=AD167,Inputs!$F$5,IF(L167/Inputs!$B$10&gt;AM167,"OVERSIZE",INDEX(Inputs!$F$5:$F$14,MATCH(L167/Inputs!$B$10,AD167:AM167,1)+1))))</f>
        <v/>
      </c>
      <c r="P167" s="4" t="n"/>
      <c r="Q167" s="4">
        <f>IF(A167="","",IF(P167="",O167,P167))</f>
        <v/>
      </c>
      <c r="R167" s="8">
        <f>IF(OR(Q167="",Q167="OVERSIZE"),"",Q167/1000)</f>
        <v/>
      </c>
      <c r="S167" s="8">
        <f>IF(R167="","",(1/Inputs!$B$9)*(PI()*R167^2/4)*((R167/4)^(2/3))*SQRT(N167))</f>
        <v/>
      </c>
      <c r="T167" s="8">
        <f>IF(OR(S167="",L167=""),"",L167/(S167*Inputs!$B$10))</f>
        <v/>
      </c>
      <c r="U167" s="8">
        <f>IF(OR(R167="",L167=""),"",4*L167/(PI()*R167^2))</f>
        <v/>
      </c>
      <c r="V167" s="8" t="n"/>
      <c r="W167" s="8">
        <f>IF(A167="","",IF(A167=Inputs!$B$6,Inputs!$B$22,IF(B167="","",IFERROR(INDEX($X$4:$X$203,MATCH(B167,$A$4:$A$203,0))+IF(V167="",Inputs!$B$20,V167),""))))</f>
        <v/>
      </c>
      <c r="X167" s="8">
        <f>IF(OR(W167="",N167="",C167=""),"",W167+N167*C167)</f>
        <v/>
      </c>
      <c r="Y167" s="8" t="n"/>
      <c r="Z167" s="8" t="n"/>
      <c r="AA167" s="8">
        <f>IF(OR(Y167="",W167=""),"",Y167-W167)</f>
        <v/>
      </c>
      <c r="AB167" s="8">
        <f>IF(OR(Z167="",X167=""),"",Z167-X167)</f>
        <v/>
      </c>
      <c r="AC167" s="4">
        <f>IF(A167="","",IF(OR(T167&gt;1,U167&lt;Inputs!$B$11,U167&gt;Inputs!$B$12,AA167&lt;Inputs!$B$19,AB167&lt;Inputs!$B$19,N167&lt;Inputs!$B$7,N167&gt;Inputs!$B$8),"CHECK","OK"))</f>
        <v/>
      </c>
      <c r="AD167" s="4">
        <f>IF(A167="","",(1/Inputs!$B$9)*(PI()*(Inputs!$F$5/1000)^2/4)*((Inputs!$F$5/1000/4)^(2/3))*SQRT(N167))</f>
        <v/>
      </c>
      <c r="AE167" s="4">
        <f>IF(A167="","",(1/Inputs!$B$9)*(PI()*(Inputs!$F$6/1000)^2/4)*((Inputs!$F$6/1000/4)^(2/3))*SQRT(N167))</f>
        <v/>
      </c>
      <c r="AF167" s="4">
        <f>IF(A167="","",(1/Inputs!$B$9)*(PI()*(Inputs!$F$7/1000)^2/4)*((Inputs!$F$7/1000/4)^(2/3))*SQRT(N167))</f>
        <v/>
      </c>
      <c r="AG167" s="4">
        <f>IF(A167="","",(1/Inputs!$B$9)*(PI()*(Inputs!$F$8/1000)^2/4)*((Inputs!$F$8/1000/4)^(2/3))*SQRT(N167))</f>
        <v/>
      </c>
      <c r="AH167" s="4">
        <f>IF(A167="","",(1/Inputs!$B$9)*(PI()*(Inputs!$F$9/1000)^2/4)*((Inputs!$F$9/1000/4)^(2/3))*SQRT(N167))</f>
        <v/>
      </c>
      <c r="AI167" s="4">
        <f>IF(A167="","",(1/Inputs!$B$9)*(PI()*(Inputs!$F$10/1000)^2/4)*((Inputs!$F$10/1000/4)^(2/3))*SQRT(N167))</f>
        <v/>
      </c>
      <c r="AJ167" s="4">
        <f>IF(A167="","",(1/Inputs!$B$9)*(PI()*(Inputs!$F$11/1000)^2/4)*((Inputs!$F$11/1000/4)^(2/3))*SQRT(N167))</f>
        <v/>
      </c>
      <c r="AK167" s="4">
        <f>IF(A167="","",(1/Inputs!$B$9)*(PI()*(Inputs!$F$12/1000)^2/4)*((Inputs!$F$12/1000/4)^(2/3))*SQRT(N167))</f>
        <v/>
      </c>
      <c r="AL167" s="4">
        <f>IF(A167="","",(1/Inputs!$B$9)*(PI()*(Inputs!$F$13/1000)^2/4)*((Inputs!$F$13/1000/4)^(2/3))*SQRT(N167))</f>
        <v/>
      </c>
      <c r="AM167" s="4">
        <f>IF(A167="","",(1/Inputs!$B$9)*(PI()*(Inputs!$F$14/1000)^2/4)*((Inputs!$F$14/1000/4)^(2/3))*SQRT(N167))</f>
        <v/>
      </c>
    </row>
    <row r="168">
      <c r="A168" s="4" t="n"/>
      <c r="B168" s="4" t="n"/>
      <c r="C168" s="8" t="n"/>
      <c r="D168" s="8" t="n"/>
      <c r="E168" s="8">
        <f>SUMIFS(CB_Tributaires!$C:$C,CB_Tributaires!$B:$B,$A168)</f>
        <v/>
      </c>
      <c r="F168" s="8">
        <f>IF(D168="",E168,D168)</f>
        <v/>
      </c>
      <c r="G168" s="4" t="n"/>
      <c r="H168" s="8" t="n"/>
      <c r="I168" s="8">
        <f>IF(A168="","",Inputs!$B$13/((IF(H168="",Inputs!$B$18,H168)+Inputs!$B$14)^Inputs!$B$15))</f>
        <v/>
      </c>
      <c r="J168" s="8">
        <f>IF(A168="","",0.00278*IF(G168="",Inputs!$B$17,G168)*F168*I168)</f>
        <v/>
      </c>
      <c r="K168" s="8">
        <f>IF(A168="","",SUMIFS($L$4:$L$203,$B$4:$B$203,$A168))</f>
        <v/>
      </c>
      <c r="L168" s="8">
        <f>IF(A168="","",(J168+K168)*Inputs!$B$16)</f>
        <v/>
      </c>
      <c r="M168" s="8" t="n"/>
      <c r="N168" s="8">
        <f>IF(A168="","",IF(M168="",Inputs!$B$7,M168))</f>
        <v/>
      </c>
      <c r="O168" s="4">
        <f>IF(A168="","",IF(L168/Inputs!$B$10&lt;=AD168,Inputs!$F$5,IF(L168/Inputs!$B$10&gt;AM168,"OVERSIZE",INDEX(Inputs!$F$5:$F$14,MATCH(L168/Inputs!$B$10,AD168:AM168,1)+1))))</f>
        <v/>
      </c>
      <c r="P168" s="4" t="n"/>
      <c r="Q168" s="4">
        <f>IF(A168="","",IF(P168="",O168,P168))</f>
        <v/>
      </c>
      <c r="R168" s="8">
        <f>IF(OR(Q168="",Q168="OVERSIZE"),"",Q168/1000)</f>
        <v/>
      </c>
      <c r="S168" s="8">
        <f>IF(R168="","",(1/Inputs!$B$9)*(PI()*R168^2/4)*((R168/4)^(2/3))*SQRT(N168))</f>
        <v/>
      </c>
      <c r="T168" s="8">
        <f>IF(OR(S168="",L168=""),"",L168/(S168*Inputs!$B$10))</f>
        <v/>
      </c>
      <c r="U168" s="8">
        <f>IF(OR(R168="",L168=""),"",4*L168/(PI()*R168^2))</f>
        <v/>
      </c>
      <c r="V168" s="8" t="n"/>
      <c r="W168" s="8">
        <f>IF(A168="","",IF(A168=Inputs!$B$6,Inputs!$B$22,IF(B168="","",IFERROR(INDEX($X$4:$X$203,MATCH(B168,$A$4:$A$203,0))+IF(V168="",Inputs!$B$20,V168),""))))</f>
        <v/>
      </c>
      <c r="X168" s="8">
        <f>IF(OR(W168="",N168="",C168=""),"",W168+N168*C168)</f>
        <v/>
      </c>
      <c r="Y168" s="8" t="n"/>
      <c r="Z168" s="8" t="n"/>
      <c r="AA168" s="8">
        <f>IF(OR(Y168="",W168=""),"",Y168-W168)</f>
        <v/>
      </c>
      <c r="AB168" s="8">
        <f>IF(OR(Z168="",X168=""),"",Z168-X168)</f>
        <v/>
      </c>
      <c r="AC168" s="4">
        <f>IF(A168="","",IF(OR(T168&gt;1,U168&lt;Inputs!$B$11,U168&gt;Inputs!$B$12,AA168&lt;Inputs!$B$19,AB168&lt;Inputs!$B$19,N168&lt;Inputs!$B$7,N168&gt;Inputs!$B$8),"CHECK","OK"))</f>
        <v/>
      </c>
      <c r="AD168" s="4">
        <f>IF(A168="","",(1/Inputs!$B$9)*(PI()*(Inputs!$F$5/1000)^2/4)*((Inputs!$F$5/1000/4)^(2/3))*SQRT(N168))</f>
        <v/>
      </c>
      <c r="AE168" s="4">
        <f>IF(A168="","",(1/Inputs!$B$9)*(PI()*(Inputs!$F$6/1000)^2/4)*((Inputs!$F$6/1000/4)^(2/3))*SQRT(N168))</f>
        <v/>
      </c>
      <c r="AF168" s="4">
        <f>IF(A168="","",(1/Inputs!$B$9)*(PI()*(Inputs!$F$7/1000)^2/4)*((Inputs!$F$7/1000/4)^(2/3))*SQRT(N168))</f>
        <v/>
      </c>
      <c r="AG168" s="4">
        <f>IF(A168="","",(1/Inputs!$B$9)*(PI()*(Inputs!$F$8/1000)^2/4)*((Inputs!$F$8/1000/4)^(2/3))*SQRT(N168))</f>
        <v/>
      </c>
      <c r="AH168" s="4">
        <f>IF(A168="","",(1/Inputs!$B$9)*(PI()*(Inputs!$F$9/1000)^2/4)*((Inputs!$F$9/1000/4)^(2/3))*SQRT(N168))</f>
        <v/>
      </c>
      <c r="AI168" s="4">
        <f>IF(A168="","",(1/Inputs!$B$9)*(PI()*(Inputs!$F$10/1000)^2/4)*((Inputs!$F$10/1000/4)^(2/3))*SQRT(N168))</f>
        <v/>
      </c>
      <c r="AJ168" s="4">
        <f>IF(A168="","",(1/Inputs!$B$9)*(PI()*(Inputs!$F$11/1000)^2/4)*((Inputs!$F$11/1000/4)^(2/3))*SQRT(N168))</f>
        <v/>
      </c>
      <c r="AK168" s="4">
        <f>IF(A168="","",(1/Inputs!$B$9)*(PI()*(Inputs!$F$12/1000)^2/4)*((Inputs!$F$12/1000/4)^(2/3))*SQRT(N168))</f>
        <v/>
      </c>
      <c r="AL168" s="4">
        <f>IF(A168="","",(1/Inputs!$B$9)*(PI()*(Inputs!$F$13/1000)^2/4)*((Inputs!$F$13/1000/4)^(2/3))*SQRT(N168))</f>
        <v/>
      </c>
      <c r="AM168" s="4">
        <f>IF(A168="","",(1/Inputs!$B$9)*(PI()*(Inputs!$F$14/1000)^2/4)*((Inputs!$F$14/1000/4)^(2/3))*SQRT(N168))</f>
        <v/>
      </c>
    </row>
    <row r="169">
      <c r="A169" s="4" t="n"/>
      <c r="B169" s="4" t="n"/>
      <c r="C169" s="8" t="n"/>
      <c r="D169" s="8" t="n"/>
      <c r="E169" s="8">
        <f>SUMIFS(CB_Tributaires!$C:$C,CB_Tributaires!$B:$B,$A169)</f>
        <v/>
      </c>
      <c r="F169" s="8">
        <f>IF(D169="",E169,D169)</f>
        <v/>
      </c>
      <c r="G169" s="4" t="n"/>
      <c r="H169" s="8" t="n"/>
      <c r="I169" s="8">
        <f>IF(A169="","",Inputs!$B$13/((IF(H169="",Inputs!$B$18,H169)+Inputs!$B$14)^Inputs!$B$15))</f>
        <v/>
      </c>
      <c r="J169" s="8">
        <f>IF(A169="","",0.00278*IF(G169="",Inputs!$B$17,G169)*F169*I169)</f>
        <v/>
      </c>
      <c r="K169" s="8">
        <f>IF(A169="","",SUMIFS($L$4:$L$203,$B$4:$B$203,$A169))</f>
        <v/>
      </c>
      <c r="L169" s="8">
        <f>IF(A169="","",(J169+K169)*Inputs!$B$16)</f>
        <v/>
      </c>
      <c r="M169" s="8" t="n"/>
      <c r="N169" s="8">
        <f>IF(A169="","",IF(M169="",Inputs!$B$7,M169))</f>
        <v/>
      </c>
      <c r="O169" s="4">
        <f>IF(A169="","",IF(L169/Inputs!$B$10&lt;=AD169,Inputs!$F$5,IF(L169/Inputs!$B$10&gt;AM169,"OVERSIZE",INDEX(Inputs!$F$5:$F$14,MATCH(L169/Inputs!$B$10,AD169:AM169,1)+1))))</f>
        <v/>
      </c>
      <c r="P169" s="4" t="n"/>
      <c r="Q169" s="4">
        <f>IF(A169="","",IF(P169="",O169,P169))</f>
        <v/>
      </c>
      <c r="R169" s="8">
        <f>IF(OR(Q169="",Q169="OVERSIZE"),"",Q169/1000)</f>
        <v/>
      </c>
      <c r="S169" s="8">
        <f>IF(R169="","",(1/Inputs!$B$9)*(PI()*R169^2/4)*((R169/4)^(2/3))*SQRT(N169))</f>
        <v/>
      </c>
      <c r="T169" s="8">
        <f>IF(OR(S169="",L169=""),"",L169/(S169*Inputs!$B$10))</f>
        <v/>
      </c>
      <c r="U169" s="8">
        <f>IF(OR(R169="",L169=""),"",4*L169/(PI()*R169^2))</f>
        <v/>
      </c>
      <c r="V169" s="8" t="n"/>
      <c r="W169" s="8">
        <f>IF(A169="","",IF(A169=Inputs!$B$6,Inputs!$B$22,IF(B169="","",IFERROR(INDEX($X$4:$X$203,MATCH(B169,$A$4:$A$203,0))+IF(V169="",Inputs!$B$20,V169),""))))</f>
        <v/>
      </c>
      <c r="X169" s="8">
        <f>IF(OR(W169="",N169="",C169=""),"",W169+N169*C169)</f>
        <v/>
      </c>
      <c r="Y169" s="8" t="n"/>
      <c r="Z169" s="8" t="n"/>
      <c r="AA169" s="8">
        <f>IF(OR(Y169="",W169=""),"",Y169-W169)</f>
        <v/>
      </c>
      <c r="AB169" s="8">
        <f>IF(OR(Z169="",X169=""),"",Z169-X169)</f>
        <v/>
      </c>
      <c r="AC169" s="4">
        <f>IF(A169="","",IF(OR(T169&gt;1,U169&lt;Inputs!$B$11,U169&gt;Inputs!$B$12,AA169&lt;Inputs!$B$19,AB169&lt;Inputs!$B$19,N169&lt;Inputs!$B$7,N169&gt;Inputs!$B$8),"CHECK","OK"))</f>
        <v/>
      </c>
      <c r="AD169" s="4">
        <f>IF(A169="","",(1/Inputs!$B$9)*(PI()*(Inputs!$F$5/1000)^2/4)*((Inputs!$F$5/1000/4)^(2/3))*SQRT(N169))</f>
        <v/>
      </c>
      <c r="AE169" s="4">
        <f>IF(A169="","",(1/Inputs!$B$9)*(PI()*(Inputs!$F$6/1000)^2/4)*((Inputs!$F$6/1000/4)^(2/3))*SQRT(N169))</f>
        <v/>
      </c>
      <c r="AF169" s="4">
        <f>IF(A169="","",(1/Inputs!$B$9)*(PI()*(Inputs!$F$7/1000)^2/4)*((Inputs!$F$7/1000/4)^(2/3))*SQRT(N169))</f>
        <v/>
      </c>
      <c r="AG169" s="4">
        <f>IF(A169="","",(1/Inputs!$B$9)*(PI()*(Inputs!$F$8/1000)^2/4)*((Inputs!$F$8/1000/4)^(2/3))*SQRT(N169))</f>
        <v/>
      </c>
      <c r="AH169" s="4">
        <f>IF(A169="","",(1/Inputs!$B$9)*(PI()*(Inputs!$F$9/1000)^2/4)*((Inputs!$F$9/1000/4)^(2/3))*SQRT(N169))</f>
        <v/>
      </c>
      <c r="AI169" s="4">
        <f>IF(A169="","",(1/Inputs!$B$9)*(PI()*(Inputs!$F$10/1000)^2/4)*((Inputs!$F$10/1000/4)^(2/3))*SQRT(N169))</f>
        <v/>
      </c>
      <c r="AJ169" s="4">
        <f>IF(A169="","",(1/Inputs!$B$9)*(PI()*(Inputs!$F$11/1000)^2/4)*((Inputs!$F$11/1000/4)^(2/3))*SQRT(N169))</f>
        <v/>
      </c>
      <c r="AK169" s="4">
        <f>IF(A169="","",(1/Inputs!$B$9)*(PI()*(Inputs!$F$12/1000)^2/4)*((Inputs!$F$12/1000/4)^(2/3))*SQRT(N169))</f>
        <v/>
      </c>
      <c r="AL169" s="4">
        <f>IF(A169="","",(1/Inputs!$B$9)*(PI()*(Inputs!$F$13/1000)^2/4)*((Inputs!$F$13/1000/4)^(2/3))*SQRT(N169))</f>
        <v/>
      </c>
      <c r="AM169" s="4">
        <f>IF(A169="","",(1/Inputs!$B$9)*(PI()*(Inputs!$F$14/1000)^2/4)*((Inputs!$F$14/1000/4)^(2/3))*SQRT(N169))</f>
        <v/>
      </c>
    </row>
    <row r="170">
      <c r="A170" s="4" t="n"/>
      <c r="B170" s="4" t="n"/>
      <c r="C170" s="8" t="n"/>
      <c r="D170" s="8" t="n"/>
      <c r="E170" s="8">
        <f>SUMIFS(CB_Tributaires!$C:$C,CB_Tributaires!$B:$B,$A170)</f>
        <v/>
      </c>
      <c r="F170" s="8">
        <f>IF(D170="",E170,D170)</f>
        <v/>
      </c>
      <c r="G170" s="4" t="n"/>
      <c r="H170" s="8" t="n"/>
      <c r="I170" s="8">
        <f>IF(A170="","",Inputs!$B$13/((IF(H170="",Inputs!$B$18,H170)+Inputs!$B$14)^Inputs!$B$15))</f>
        <v/>
      </c>
      <c r="J170" s="8">
        <f>IF(A170="","",0.00278*IF(G170="",Inputs!$B$17,G170)*F170*I170)</f>
        <v/>
      </c>
      <c r="K170" s="8">
        <f>IF(A170="","",SUMIFS($L$4:$L$203,$B$4:$B$203,$A170))</f>
        <v/>
      </c>
      <c r="L170" s="8">
        <f>IF(A170="","",(J170+K170)*Inputs!$B$16)</f>
        <v/>
      </c>
      <c r="M170" s="8" t="n"/>
      <c r="N170" s="8">
        <f>IF(A170="","",IF(M170="",Inputs!$B$7,M170))</f>
        <v/>
      </c>
      <c r="O170" s="4">
        <f>IF(A170="","",IF(L170/Inputs!$B$10&lt;=AD170,Inputs!$F$5,IF(L170/Inputs!$B$10&gt;AM170,"OVERSIZE",INDEX(Inputs!$F$5:$F$14,MATCH(L170/Inputs!$B$10,AD170:AM170,1)+1))))</f>
        <v/>
      </c>
      <c r="P170" s="4" t="n"/>
      <c r="Q170" s="4">
        <f>IF(A170="","",IF(P170="",O170,P170))</f>
        <v/>
      </c>
      <c r="R170" s="8">
        <f>IF(OR(Q170="",Q170="OVERSIZE"),"",Q170/1000)</f>
        <v/>
      </c>
      <c r="S170" s="8">
        <f>IF(R170="","",(1/Inputs!$B$9)*(PI()*R170^2/4)*((R170/4)^(2/3))*SQRT(N170))</f>
        <v/>
      </c>
      <c r="T170" s="8">
        <f>IF(OR(S170="",L170=""),"",L170/(S170*Inputs!$B$10))</f>
        <v/>
      </c>
      <c r="U170" s="8">
        <f>IF(OR(R170="",L170=""),"",4*L170/(PI()*R170^2))</f>
        <v/>
      </c>
      <c r="V170" s="8" t="n"/>
      <c r="W170" s="8">
        <f>IF(A170="","",IF(A170=Inputs!$B$6,Inputs!$B$22,IF(B170="","",IFERROR(INDEX($X$4:$X$203,MATCH(B170,$A$4:$A$203,0))+IF(V170="",Inputs!$B$20,V170),""))))</f>
        <v/>
      </c>
      <c r="X170" s="8">
        <f>IF(OR(W170="",N170="",C170=""),"",W170+N170*C170)</f>
        <v/>
      </c>
      <c r="Y170" s="8" t="n"/>
      <c r="Z170" s="8" t="n"/>
      <c r="AA170" s="8">
        <f>IF(OR(Y170="",W170=""),"",Y170-W170)</f>
        <v/>
      </c>
      <c r="AB170" s="8">
        <f>IF(OR(Z170="",X170=""),"",Z170-X170)</f>
        <v/>
      </c>
      <c r="AC170" s="4">
        <f>IF(A170="","",IF(OR(T170&gt;1,U170&lt;Inputs!$B$11,U170&gt;Inputs!$B$12,AA170&lt;Inputs!$B$19,AB170&lt;Inputs!$B$19,N170&lt;Inputs!$B$7,N170&gt;Inputs!$B$8),"CHECK","OK"))</f>
        <v/>
      </c>
      <c r="AD170" s="4">
        <f>IF(A170="","",(1/Inputs!$B$9)*(PI()*(Inputs!$F$5/1000)^2/4)*((Inputs!$F$5/1000/4)^(2/3))*SQRT(N170))</f>
        <v/>
      </c>
      <c r="AE170" s="4">
        <f>IF(A170="","",(1/Inputs!$B$9)*(PI()*(Inputs!$F$6/1000)^2/4)*((Inputs!$F$6/1000/4)^(2/3))*SQRT(N170))</f>
        <v/>
      </c>
      <c r="AF170" s="4">
        <f>IF(A170="","",(1/Inputs!$B$9)*(PI()*(Inputs!$F$7/1000)^2/4)*((Inputs!$F$7/1000/4)^(2/3))*SQRT(N170))</f>
        <v/>
      </c>
      <c r="AG170" s="4">
        <f>IF(A170="","",(1/Inputs!$B$9)*(PI()*(Inputs!$F$8/1000)^2/4)*((Inputs!$F$8/1000/4)^(2/3))*SQRT(N170))</f>
        <v/>
      </c>
      <c r="AH170" s="4">
        <f>IF(A170="","",(1/Inputs!$B$9)*(PI()*(Inputs!$F$9/1000)^2/4)*((Inputs!$F$9/1000/4)^(2/3))*SQRT(N170))</f>
        <v/>
      </c>
      <c r="AI170" s="4">
        <f>IF(A170="","",(1/Inputs!$B$9)*(PI()*(Inputs!$F$10/1000)^2/4)*((Inputs!$F$10/1000/4)^(2/3))*SQRT(N170))</f>
        <v/>
      </c>
      <c r="AJ170" s="4">
        <f>IF(A170="","",(1/Inputs!$B$9)*(PI()*(Inputs!$F$11/1000)^2/4)*((Inputs!$F$11/1000/4)^(2/3))*SQRT(N170))</f>
        <v/>
      </c>
      <c r="AK170" s="4">
        <f>IF(A170="","",(1/Inputs!$B$9)*(PI()*(Inputs!$F$12/1000)^2/4)*((Inputs!$F$12/1000/4)^(2/3))*SQRT(N170))</f>
        <v/>
      </c>
      <c r="AL170" s="4">
        <f>IF(A170="","",(1/Inputs!$B$9)*(PI()*(Inputs!$F$13/1000)^2/4)*((Inputs!$F$13/1000/4)^(2/3))*SQRT(N170))</f>
        <v/>
      </c>
      <c r="AM170" s="4">
        <f>IF(A170="","",(1/Inputs!$B$9)*(PI()*(Inputs!$F$14/1000)^2/4)*((Inputs!$F$14/1000/4)^(2/3))*SQRT(N170))</f>
        <v/>
      </c>
    </row>
    <row r="171">
      <c r="A171" s="4" t="n"/>
      <c r="B171" s="4" t="n"/>
      <c r="C171" s="8" t="n"/>
      <c r="D171" s="8" t="n"/>
      <c r="E171" s="8">
        <f>SUMIFS(CB_Tributaires!$C:$C,CB_Tributaires!$B:$B,$A171)</f>
        <v/>
      </c>
      <c r="F171" s="8">
        <f>IF(D171="",E171,D171)</f>
        <v/>
      </c>
      <c r="G171" s="4" t="n"/>
      <c r="H171" s="8" t="n"/>
      <c r="I171" s="8">
        <f>IF(A171="","",Inputs!$B$13/((IF(H171="",Inputs!$B$18,H171)+Inputs!$B$14)^Inputs!$B$15))</f>
        <v/>
      </c>
      <c r="J171" s="8">
        <f>IF(A171="","",0.00278*IF(G171="",Inputs!$B$17,G171)*F171*I171)</f>
        <v/>
      </c>
      <c r="K171" s="8">
        <f>IF(A171="","",SUMIFS($L$4:$L$203,$B$4:$B$203,$A171))</f>
        <v/>
      </c>
      <c r="L171" s="8">
        <f>IF(A171="","",(J171+K171)*Inputs!$B$16)</f>
        <v/>
      </c>
      <c r="M171" s="8" t="n"/>
      <c r="N171" s="8">
        <f>IF(A171="","",IF(M171="",Inputs!$B$7,M171))</f>
        <v/>
      </c>
      <c r="O171" s="4">
        <f>IF(A171="","",IF(L171/Inputs!$B$10&lt;=AD171,Inputs!$F$5,IF(L171/Inputs!$B$10&gt;AM171,"OVERSIZE",INDEX(Inputs!$F$5:$F$14,MATCH(L171/Inputs!$B$10,AD171:AM171,1)+1))))</f>
        <v/>
      </c>
      <c r="P171" s="4" t="n"/>
      <c r="Q171" s="4">
        <f>IF(A171="","",IF(P171="",O171,P171))</f>
        <v/>
      </c>
      <c r="R171" s="8">
        <f>IF(OR(Q171="",Q171="OVERSIZE"),"",Q171/1000)</f>
        <v/>
      </c>
      <c r="S171" s="8">
        <f>IF(R171="","",(1/Inputs!$B$9)*(PI()*R171^2/4)*((R171/4)^(2/3))*SQRT(N171))</f>
        <v/>
      </c>
      <c r="T171" s="8">
        <f>IF(OR(S171="",L171=""),"",L171/(S171*Inputs!$B$10))</f>
        <v/>
      </c>
      <c r="U171" s="8">
        <f>IF(OR(R171="",L171=""),"",4*L171/(PI()*R171^2))</f>
        <v/>
      </c>
      <c r="V171" s="8" t="n"/>
      <c r="W171" s="8">
        <f>IF(A171="","",IF(A171=Inputs!$B$6,Inputs!$B$22,IF(B171="","",IFERROR(INDEX($X$4:$X$203,MATCH(B171,$A$4:$A$203,0))+IF(V171="",Inputs!$B$20,V171),""))))</f>
        <v/>
      </c>
      <c r="X171" s="8">
        <f>IF(OR(W171="",N171="",C171=""),"",W171+N171*C171)</f>
        <v/>
      </c>
      <c r="Y171" s="8" t="n"/>
      <c r="Z171" s="8" t="n"/>
      <c r="AA171" s="8">
        <f>IF(OR(Y171="",W171=""),"",Y171-W171)</f>
        <v/>
      </c>
      <c r="AB171" s="8">
        <f>IF(OR(Z171="",X171=""),"",Z171-X171)</f>
        <v/>
      </c>
      <c r="AC171" s="4">
        <f>IF(A171="","",IF(OR(T171&gt;1,U171&lt;Inputs!$B$11,U171&gt;Inputs!$B$12,AA171&lt;Inputs!$B$19,AB171&lt;Inputs!$B$19,N171&lt;Inputs!$B$7,N171&gt;Inputs!$B$8),"CHECK","OK"))</f>
        <v/>
      </c>
      <c r="AD171" s="4">
        <f>IF(A171="","",(1/Inputs!$B$9)*(PI()*(Inputs!$F$5/1000)^2/4)*((Inputs!$F$5/1000/4)^(2/3))*SQRT(N171))</f>
        <v/>
      </c>
      <c r="AE171" s="4">
        <f>IF(A171="","",(1/Inputs!$B$9)*(PI()*(Inputs!$F$6/1000)^2/4)*((Inputs!$F$6/1000/4)^(2/3))*SQRT(N171))</f>
        <v/>
      </c>
      <c r="AF171" s="4">
        <f>IF(A171="","",(1/Inputs!$B$9)*(PI()*(Inputs!$F$7/1000)^2/4)*((Inputs!$F$7/1000/4)^(2/3))*SQRT(N171))</f>
        <v/>
      </c>
      <c r="AG171" s="4">
        <f>IF(A171="","",(1/Inputs!$B$9)*(PI()*(Inputs!$F$8/1000)^2/4)*((Inputs!$F$8/1000/4)^(2/3))*SQRT(N171))</f>
        <v/>
      </c>
      <c r="AH171" s="4">
        <f>IF(A171="","",(1/Inputs!$B$9)*(PI()*(Inputs!$F$9/1000)^2/4)*((Inputs!$F$9/1000/4)^(2/3))*SQRT(N171))</f>
        <v/>
      </c>
      <c r="AI171" s="4">
        <f>IF(A171="","",(1/Inputs!$B$9)*(PI()*(Inputs!$F$10/1000)^2/4)*((Inputs!$F$10/1000/4)^(2/3))*SQRT(N171))</f>
        <v/>
      </c>
      <c r="AJ171" s="4">
        <f>IF(A171="","",(1/Inputs!$B$9)*(PI()*(Inputs!$F$11/1000)^2/4)*((Inputs!$F$11/1000/4)^(2/3))*SQRT(N171))</f>
        <v/>
      </c>
      <c r="AK171" s="4">
        <f>IF(A171="","",(1/Inputs!$B$9)*(PI()*(Inputs!$F$12/1000)^2/4)*((Inputs!$F$12/1000/4)^(2/3))*SQRT(N171))</f>
        <v/>
      </c>
      <c r="AL171" s="4">
        <f>IF(A171="","",(1/Inputs!$B$9)*(PI()*(Inputs!$F$13/1000)^2/4)*((Inputs!$F$13/1000/4)^(2/3))*SQRT(N171))</f>
        <v/>
      </c>
      <c r="AM171" s="4">
        <f>IF(A171="","",(1/Inputs!$B$9)*(PI()*(Inputs!$F$14/1000)^2/4)*((Inputs!$F$14/1000/4)^(2/3))*SQRT(N171))</f>
        <v/>
      </c>
    </row>
    <row r="172">
      <c r="A172" s="4" t="n"/>
      <c r="B172" s="4" t="n"/>
      <c r="C172" s="8" t="n"/>
      <c r="D172" s="8" t="n"/>
      <c r="E172" s="8">
        <f>SUMIFS(CB_Tributaires!$C:$C,CB_Tributaires!$B:$B,$A172)</f>
        <v/>
      </c>
      <c r="F172" s="8">
        <f>IF(D172="",E172,D172)</f>
        <v/>
      </c>
      <c r="G172" s="4" t="n"/>
      <c r="H172" s="8" t="n"/>
      <c r="I172" s="8">
        <f>IF(A172="","",Inputs!$B$13/((IF(H172="",Inputs!$B$18,H172)+Inputs!$B$14)^Inputs!$B$15))</f>
        <v/>
      </c>
      <c r="J172" s="8">
        <f>IF(A172="","",0.00278*IF(G172="",Inputs!$B$17,G172)*F172*I172)</f>
        <v/>
      </c>
      <c r="K172" s="8">
        <f>IF(A172="","",SUMIFS($L$4:$L$203,$B$4:$B$203,$A172))</f>
        <v/>
      </c>
      <c r="L172" s="8">
        <f>IF(A172="","",(J172+K172)*Inputs!$B$16)</f>
        <v/>
      </c>
      <c r="M172" s="8" t="n"/>
      <c r="N172" s="8">
        <f>IF(A172="","",IF(M172="",Inputs!$B$7,M172))</f>
        <v/>
      </c>
      <c r="O172" s="4">
        <f>IF(A172="","",IF(L172/Inputs!$B$10&lt;=AD172,Inputs!$F$5,IF(L172/Inputs!$B$10&gt;AM172,"OVERSIZE",INDEX(Inputs!$F$5:$F$14,MATCH(L172/Inputs!$B$10,AD172:AM172,1)+1))))</f>
        <v/>
      </c>
      <c r="P172" s="4" t="n"/>
      <c r="Q172" s="4">
        <f>IF(A172="","",IF(P172="",O172,P172))</f>
        <v/>
      </c>
      <c r="R172" s="8">
        <f>IF(OR(Q172="",Q172="OVERSIZE"),"",Q172/1000)</f>
        <v/>
      </c>
      <c r="S172" s="8">
        <f>IF(R172="","",(1/Inputs!$B$9)*(PI()*R172^2/4)*((R172/4)^(2/3))*SQRT(N172))</f>
        <v/>
      </c>
      <c r="T172" s="8">
        <f>IF(OR(S172="",L172=""),"",L172/(S172*Inputs!$B$10))</f>
        <v/>
      </c>
      <c r="U172" s="8">
        <f>IF(OR(R172="",L172=""),"",4*L172/(PI()*R172^2))</f>
        <v/>
      </c>
      <c r="V172" s="8" t="n"/>
      <c r="W172" s="8">
        <f>IF(A172="","",IF(A172=Inputs!$B$6,Inputs!$B$22,IF(B172="","",IFERROR(INDEX($X$4:$X$203,MATCH(B172,$A$4:$A$203,0))+IF(V172="",Inputs!$B$20,V172),""))))</f>
        <v/>
      </c>
      <c r="X172" s="8">
        <f>IF(OR(W172="",N172="",C172=""),"",W172+N172*C172)</f>
        <v/>
      </c>
      <c r="Y172" s="8" t="n"/>
      <c r="Z172" s="8" t="n"/>
      <c r="AA172" s="8">
        <f>IF(OR(Y172="",W172=""),"",Y172-W172)</f>
        <v/>
      </c>
      <c r="AB172" s="8">
        <f>IF(OR(Z172="",X172=""),"",Z172-X172)</f>
        <v/>
      </c>
      <c r="AC172" s="4">
        <f>IF(A172="","",IF(OR(T172&gt;1,U172&lt;Inputs!$B$11,U172&gt;Inputs!$B$12,AA172&lt;Inputs!$B$19,AB172&lt;Inputs!$B$19,N172&lt;Inputs!$B$7,N172&gt;Inputs!$B$8),"CHECK","OK"))</f>
        <v/>
      </c>
      <c r="AD172" s="4">
        <f>IF(A172="","",(1/Inputs!$B$9)*(PI()*(Inputs!$F$5/1000)^2/4)*((Inputs!$F$5/1000/4)^(2/3))*SQRT(N172))</f>
        <v/>
      </c>
      <c r="AE172" s="4">
        <f>IF(A172="","",(1/Inputs!$B$9)*(PI()*(Inputs!$F$6/1000)^2/4)*((Inputs!$F$6/1000/4)^(2/3))*SQRT(N172))</f>
        <v/>
      </c>
      <c r="AF172" s="4">
        <f>IF(A172="","",(1/Inputs!$B$9)*(PI()*(Inputs!$F$7/1000)^2/4)*((Inputs!$F$7/1000/4)^(2/3))*SQRT(N172))</f>
        <v/>
      </c>
      <c r="AG172" s="4">
        <f>IF(A172="","",(1/Inputs!$B$9)*(PI()*(Inputs!$F$8/1000)^2/4)*((Inputs!$F$8/1000/4)^(2/3))*SQRT(N172))</f>
        <v/>
      </c>
      <c r="AH172" s="4">
        <f>IF(A172="","",(1/Inputs!$B$9)*(PI()*(Inputs!$F$9/1000)^2/4)*((Inputs!$F$9/1000/4)^(2/3))*SQRT(N172))</f>
        <v/>
      </c>
      <c r="AI172" s="4">
        <f>IF(A172="","",(1/Inputs!$B$9)*(PI()*(Inputs!$F$10/1000)^2/4)*((Inputs!$F$10/1000/4)^(2/3))*SQRT(N172))</f>
        <v/>
      </c>
      <c r="AJ172" s="4">
        <f>IF(A172="","",(1/Inputs!$B$9)*(PI()*(Inputs!$F$11/1000)^2/4)*((Inputs!$F$11/1000/4)^(2/3))*SQRT(N172))</f>
        <v/>
      </c>
      <c r="AK172" s="4">
        <f>IF(A172="","",(1/Inputs!$B$9)*(PI()*(Inputs!$F$12/1000)^2/4)*((Inputs!$F$12/1000/4)^(2/3))*SQRT(N172))</f>
        <v/>
      </c>
      <c r="AL172" s="4">
        <f>IF(A172="","",(1/Inputs!$B$9)*(PI()*(Inputs!$F$13/1000)^2/4)*((Inputs!$F$13/1000/4)^(2/3))*SQRT(N172))</f>
        <v/>
      </c>
      <c r="AM172" s="4">
        <f>IF(A172="","",(1/Inputs!$B$9)*(PI()*(Inputs!$F$14/1000)^2/4)*((Inputs!$F$14/1000/4)^(2/3))*SQRT(N172))</f>
        <v/>
      </c>
    </row>
    <row r="173">
      <c r="A173" s="4" t="n"/>
      <c r="B173" s="4" t="n"/>
      <c r="C173" s="8" t="n"/>
      <c r="D173" s="8" t="n"/>
      <c r="E173" s="8">
        <f>SUMIFS(CB_Tributaires!$C:$C,CB_Tributaires!$B:$B,$A173)</f>
        <v/>
      </c>
      <c r="F173" s="8">
        <f>IF(D173="",E173,D173)</f>
        <v/>
      </c>
      <c r="G173" s="4" t="n"/>
      <c r="H173" s="8" t="n"/>
      <c r="I173" s="8">
        <f>IF(A173="","",Inputs!$B$13/((IF(H173="",Inputs!$B$18,H173)+Inputs!$B$14)^Inputs!$B$15))</f>
        <v/>
      </c>
      <c r="J173" s="8">
        <f>IF(A173="","",0.00278*IF(G173="",Inputs!$B$17,G173)*F173*I173)</f>
        <v/>
      </c>
      <c r="K173" s="8">
        <f>IF(A173="","",SUMIFS($L$4:$L$203,$B$4:$B$203,$A173))</f>
        <v/>
      </c>
      <c r="L173" s="8">
        <f>IF(A173="","",(J173+K173)*Inputs!$B$16)</f>
        <v/>
      </c>
      <c r="M173" s="8" t="n"/>
      <c r="N173" s="8">
        <f>IF(A173="","",IF(M173="",Inputs!$B$7,M173))</f>
        <v/>
      </c>
      <c r="O173" s="4">
        <f>IF(A173="","",IF(L173/Inputs!$B$10&lt;=AD173,Inputs!$F$5,IF(L173/Inputs!$B$10&gt;AM173,"OVERSIZE",INDEX(Inputs!$F$5:$F$14,MATCH(L173/Inputs!$B$10,AD173:AM173,1)+1))))</f>
        <v/>
      </c>
      <c r="P173" s="4" t="n"/>
      <c r="Q173" s="4">
        <f>IF(A173="","",IF(P173="",O173,P173))</f>
        <v/>
      </c>
      <c r="R173" s="8">
        <f>IF(OR(Q173="",Q173="OVERSIZE"),"",Q173/1000)</f>
        <v/>
      </c>
      <c r="S173" s="8">
        <f>IF(R173="","",(1/Inputs!$B$9)*(PI()*R173^2/4)*((R173/4)^(2/3))*SQRT(N173))</f>
        <v/>
      </c>
      <c r="T173" s="8">
        <f>IF(OR(S173="",L173=""),"",L173/(S173*Inputs!$B$10))</f>
        <v/>
      </c>
      <c r="U173" s="8">
        <f>IF(OR(R173="",L173=""),"",4*L173/(PI()*R173^2))</f>
        <v/>
      </c>
      <c r="V173" s="8" t="n"/>
      <c r="W173" s="8">
        <f>IF(A173="","",IF(A173=Inputs!$B$6,Inputs!$B$22,IF(B173="","",IFERROR(INDEX($X$4:$X$203,MATCH(B173,$A$4:$A$203,0))+IF(V173="",Inputs!$B$20,V173),""))))</f>
        <v/>
      </c>
      <c r="X173" s="8">
        <f>IF(OR(W173="",N173="",C173=""),"",W173+N173*C173)</f>
        <v/>
      </c>
      <c r="Y173" s="8" t="n"/>
      <c r="Z173" s="8" t="n"/>
      <c r="AA173" s="8">
        <f>IF(OR(Y173="",W173=""),"",Y173-W173)</f>
        <v/>
      </c>
      <c r="AB173" s="8">
        <f>IF(OR(Z173="",X173=""),"",Z173-X173)</f>
        <v/>
      </c>
      <c r="AC173" s="4">
        <f>IF(A173="","",IF(OR(T173&gt;1,U173&lt;Inputs!$B$11,U173&gt;Inputs!$B$12,AA173&lt;Inputs!$B$19,AB173&lt;Inputs!$B$19,N173&lt;Inputs!$B$7,N173&gt;Inputs!$B$8),"CHECK","OK"))</f>
        <v/>
      </c>
      <c r="AD173" s="4">
        <f>IF(A173="","",(1/Inputs!$B$9)*(PI()*(Inputs!$F$5/1000)^2/4)*((Inputs!$F$5/1000/4)^(2/3))*SQRT(N173))</f>
        <v/>
      </c>
      <c r="AE173" s="4">
        <f>IF(A173="","",(1/Inputs!$B$9)*(PI()*(Inputs!$F$6/1000)^2/4)*((Inputs!$F$6/1000/4)^(2/3))*SQRT(N173))</f>
        <v/>
      </c>
      <c r="AF173" s="4">
        <f>IF(A173="","",(1/Inputs!$B$9)*(PI()*(Inputs!$F$7/1000)^2/4)*((Inputs!$F$7/1000/4)^(2/3))*SQRT(N173))</f>
        <v/>
      </c>
      <c r="AG173" s="4">
        <f>IF(A173="","",(1/Inputs!$B$9)*(PI()*(Inputs!$F$8/1000)^2/4)*((Inputs!$F$8/1000/4)^(2/3))*SQRT(N173))</f>
        <v/>
      </c>
      <c r="AH173" s="4">
        <f>IF(A173="","",(1/Inputs!$B$9)*(PI()*(Inputs!$F$9/1000)^2/4)*((Inputs!$F$9/1000/4)^(2/3))*SQRT(N173))</f>
        <v/>
      </c>
      <c r="AI173" s="4">
        <f>IF(A173="","",(1/Inputs!$B$9)*(PI()*(Inputs!$F$10/1000)^2/4)*((Inputs!$F$10/1000/4)^(2/3))*SQRT(N173))</f>
        <v/>
      </c>
      <c r="AJ173" s="4">
        <f>IF(A173="","",(1/Inputs!$B$9)*(PI()*(Inputs!$F$11/1000)^2/4)*((Inputs!$F$11/1000/4)^(2/3))*SQRT(N173))</f>
        <v/>
      </c>
      <c r="AK173" s="4">
        <f>IF(A173="","",(1/Inputs!$B$9)*(PI()*(Inputs!$F$12/1000)^2/4)*((Inputs!$F$12/1000/4)^(2/3))*SQRT(N173))</f>
        <v/>
      </c>
      <c r="AL173" s="4">
        <f>IF(A173="","",(1/Inputs!$B$9)*(PI()*(Inputs!$F$13/1000)^2/4)*((Inputs!$F$13/1000/4)^(2/3))*SQRT(N173))</f>
        <v/>
      </c>
      <c r="AM173" s="4">
        <f>IF(A173="","",(1/Inputs!$B$9)*(PI()*(Inputs!$F$14/1000)^2/4)*((Inputs!$F$14/1000/4)^(2/3))*SQRT(N173))</f>
        <v/>
      </c>
    </row>
    <row r="174">
      <c r="A174" s="4" t="n"/>
      <c r="B174" s="4" t="n"/>
      <c r="C174" s="8" t="n"/>
      <c r="D174" s="8" t="n"/>
      <c r="E174" s="8">
        <f>SUMIFS(CB_Tributaires!$C:$C,CB_Tributaires!$B:$B,$A174)</f>
        <v/>
      </c>
      <c r="F174" s="8">
        <f>IF(D174="",E174,D174)</f>
        <v/>
      </c>
      <c r="G174" s="4" t="n"/>
      <c r="H174" s="8" t="n"/>
      <c r="I174" s="8">
        <f>IF(A174="","",Inputs!$B$13/((IF(H174="",Inputs!$B$18,H174)+Inputs!$B$14)^Inputs!$B$15))</f>
        <v/>
      </c>
      <c r="J174" s="8">
        <f>IF(A174="","",0.00278*IF(G174="",Inputs!$B$17,G174)*F174*I174)</f>
        <v/>
      </c>
      <c r="K174" s="8">
        <f>IF(A174="","",SUMIFS($L$4:$L$203,$B$4:$B$203,$A174))</f>
        <v/>
      </c>
      <c r="L174" s="8">
        <f>IF(A174="","",(J174+K174)*Inputs!$B$16)</f>
        <v/>
      </c>
      <c r="M174" s="8" t="n"/>
      <c r="N174" s="8">
        <f>IF(A174="","",IF(M174="",Inputs!$B$7,M174))</f>
        <v/>
      </c>
      <c r="O174" s="4">
        <f>IF(A174="","",IF(L174/Inputs!$B$10&lt;=AD174,Inputs!$F$5,IF(L174/Inputs!$B$10&gt;AM174,"OVERSIZE",INDEX(Inputs!$F$5:$F$14,MATCH(L174/Inputs!$B$10,AD174:AM174,1)+1))))</f>
        <v/>
      </c>
      <c r="P174" s="4" t="n"/>
      <c r="Q174" s="4">
        <f>IF(A174="","",IF(P174="",O174,P174))</f>
        <v/>
      </c>
      <c r="R174" s="8">
        <f>IF(OR(Q174="",Q174="OVERSIZE"),"",Q174/1000)</f>
        <v/>
      </c>
      <c r="S174" s="8">
        <f>IF(R174="","",(1/Inputs!$B$9)*(PI()*R174^2/4)*((R174/4)^(2/3))*SQRT(N174))</f>
        <v/>
      </c>
      <c r="T174" s="8">
        <f>IF(OR(S174="",L174=""),"",L174/(S174*Inputs!$B$10))</f>
        <v/>
      </c>
      <c r="U174" s="8">
        <f>IF(OR(R174="",L174=""),"",4*L174/(PI()*R174^2))</f>
        <v/>
      </c>
      <c r="V174" s="8" t="n"/>
      <c r="W174" s="8">
        <f>IF(A174="","",IF(A174=Inputs!$B$6,Inputs!$B$22,IF(B174="","",IFERROR(INDEX($X$4:$X$203,MATCH(B174,$A$4:$A$203,0))+IF(V174="",Inputs!$B$20,V174),""))))</f>
        <v/>
      </c>
      <c r="X174" s="8">
        <f>IF(OR(W174="",N174="",C174=""),"",W174+N174*C174)</f>
        <v/>
      </c>
      <c r="Y174" s="8" t="n"/>
      <c r="Z174" s="8" t="n"/>
      <c r="AA174" s="8">
        <f>IF(OR(Y174="",W174=""),"",Y174-W174)</f>
        <v/>
      </c>
      <c r="AB174" s="8">
        <f>IF(OR(Z174="",X174=""),"",Z174-X174)</f>
        <v/>
      </c>
      <c r="AC174" s="4">
        <f>IF(A174="","",IF(OR(T174&gt;1,U174&lt;Inputs!$B$11,U174&gt;Inputs!$B$12,AA174&lt;Inputs!$B$19,AB174&lt;Inputs!$B$19,N174&lt;Inputs!$B$7,N174&gt;Inputs!$B$8),"CHECK","OK"))</f>
        <v/>
      </c>
      <c r="AD174" s="4">
        <f>IF(A174="","",(1/Inputs!$B$9)*(PI()*(Inputs!$F$5/1000)^2/4)*((Inputs!$F$5/1000/4)^(2/3))*SQRT(N174))</f>
        <v/>
      </c>
      <c r="AE174" s="4">
        <f>IF(A174="","",(1/Inputs!$B$9)*(PI()*(Inputs!$F$6/1000)^2/4)*((Inputs!$F$6/1000/4)^(2/3))*SQRT(N174))</f>
        <v/>
      </c>
      <c r="AF174" s="4">
        <f>IF(A174="","",(1/Inputs!$B$9)*(PI()*(Inputs!$F$7/1000)^2/4)*((Inputs!$F$7/1000/4)^(2/3))*SQRT(N174))</f>
        <v/>
      </c>
      <c r="AG174" s="4">
        <f>IF(A174="","",(1/Inputs!$B$9)*(PI()*(Inputs!$F$8/1000)^2/4)*((Inputs!$F$8/1000/4)^(2/3))*SQRT(N174))</f>
        <v/>
      </c>
      <c r="AH174" s="4">
        <f>IF(A174="","",(1/Inputs!$B$9)*(PI()*(Inputs!$F$9/1000)^2/4)*((Inputs!$F$9/1000/4)^(2/3))*SQRT(N174))</f>
        <v/>
      </c>
      <c r="AI174" s="4">
        <f>IF(A174="","",(1/Inputs!$B$9)*(PI()*(Inputs!$F$10/1000)^2/4)*((Inputs!$F$10/1000/4)^(2/3))*SQRT(N174))</f>
        <v/>
      </c>
      <c r="AJ174" s="4">
        <f>IF(A174="","",(1/Inputs!$B$9)*(PI()*(Inputs!$F$11/1000)^2/4)*((Inputs!$F$11/1000/4)^(2/3))*SQRT(N174))</f>
        <v/>
      </c>
      <c r="AK174" s="4">
        <f>IF(A174="","",(1/Inputs!$B$9)*(PI()*(Inputs!$F$12/1000)^2/4)*((Inputs!$F$12/1000/4)^(2/3))*SQRT(N174))</f>
        <v/>
      </c>
      <c r="AL174" s="4">
        <f>IF(A174="","",(1/Inputs!$B$9)*(PI()*(Inputs!$F$13/1000)^2/4)*((Inputs!$F$13/1000/4)^(2/3))*SQRT(N174))</f>
        <v/>
      </c>
      <c r="AM174" s="4">
        <f>IF(A174="","",(1/Inputs!$B$9)*(PI()*(Inputs!$F$14/1000)^2/4)*((Inputs!$F$14/1000/4)^(2/3))*SQRT(N174))</f>
        <v/>
      </c>
    </row>
    <row r="175">
      <c r="A175" s="4" t="n"/>
      <c r="B175" s="4" t="n"/>
      <c r="C175" s="8" t="n"/>
      <c r="D175" s="8" t="n"/>
      <c r="E175" s="8">
        <f>SUMIFS(CB_Tributaires!$C:$C,CB_Tributaires!$B:$B,$A175)</f>
        <v/>
      </c>
      <c r="F175" s="8">
        <f>IF(D175="",E175,D175)</f>
        <v/>
      </c>
      <c r="G175" s="4" t="n"/>
      <c r="H175" s="8" t="n"/>
      <c r="I175" s="8">
        <f>IF(A175="","",Inputs!$B$13/((IF(H175="",Inputs!$B$18,H175)+Inputs!$B$14)^Inputs!$B$15))</f>
        <v/>
      </c>
      <c r="J175" s="8">
        <f>IF(A175="","",0.00278*IF(G175="",Inputs!$B$17,G175)*F175*I175)</f>
        <v/>
      </c>
      <c r="K175" s="8">
        <f>IF(A175="","",SUMIFS($L$4:$L$203,$B$4:$B$203,$A175))</f>
        <v/>
      </c>
      <c r="L175" s="8">
        <f>IF(A175="","",(J175+K175)*Inputs!$B$16)</f>
        <v/>
      </c>
      <c r="M175" s="8" t="n"/>
      <c r="N175" s="8">
        <f>IF(A175="","",IF(M175="",Inputs!$B$7,M175))</f>
        <v/>
      </c>
      <c r="O175" s="4">
        <f>IF(A175="","",IF(L175/Inputs!$B$10&lt;=AD175,Inputs!$F$5,IF(L175/Inputs!$B$10&gt;AM175,"OVERSIZE",INDEX(Inputs!$F$5:$F$14,MATCH(L175/Inputs!$B$10,AD175:AM175,1)+1))))</f>
        <v/>
      </c>
      <c r="P175" s="4" t="n"/>
      <c r="Q175" s="4">
        <f>IF(A175="","",IF(P175="",O175,P175))</f>
        <v/>
      </c>
      <c r="R175" s="8">
        <f>IF(OR(Q175="",Q175="OVERSIZE"),"",Q175/1000)</f>
        <v/>
      </c>
      <c r="S175" s="8">
        <f>IF(R175="","",(1/Inputs!$B$9)*(PI()*R175^2/4)*((R175/4)^(2/3))*SQRT(N175))</f>
        <v/>
      </c>
      <c r="T175" s="8">
        <f>IF(OR(S175="",L175=""),"",L175/(S175*Inputs!$B$10))</f>
        <v/>
      </c>
      <c r="U175" s="8">
        <f>IF(OR(R175="",L175=""),"",4*L175/(PI()*R175^2))</f>
        <v/>
      </c>
      <c r="V175" s="8" t="n"/>
      <c r="W175" s="8">
        <f>IF(A175="","",IF(A175=Inputs!$B$6,Inputs!$B$22,IF(B175="","",IFERROR(INDEX($X$4:$X$203,MATCH(B175,$A$4:$A$203,0))+IF(V175="",Inputs!$B$20,V175),""))))</f>
        <v/>
      </c>
      <c r="X175" s="8">
        <f>IF(OR(W175="",N175="",C175=""),"",W175+N175*C175)</f>
        <v/>
      </c>
      <c r="Y175" s="8" t="n"/>
      <c r="Z175" s="8" t="n"/>
      <c r="AA175" s="8">
        <f>IF(OR(Y175="",W175=""),"",Y175-W175)</f>
        <v/>
      </c>
      <c r="AB175" s="8">
        <f>IF(OR(Z175="",X175=""),"",Z175-X175)</f>
        <v/>
      </c>
      <c r="AC175" s="4">
        <f>IF(A175="","",IF(OR(T175&gt;1,U175&lt;Inputs!$B$11,U175&gt;Inputs!$B$12,AA175&lt;Inputs!$B$19,AB175&lt;Inputs!$B$19,N175&lt;Inputs!$B$7,N175&gt;Inputs!$B$8),"CHECK","OK"))</f>
        <v/>
      </c>
      <c r="AD175" s="4">
        <f>IF(A175="","",(1/Inputs!$B$9)*(PI()*(Inputs!$F$5/1000)^2/4)*((Inputs!$F$5/1000/4)^(2/3))*SQRT(N175))</f>
        <v/>
      </c>
      <c r="AE175" s="4">
        <f>IF(A175="","",(1/Inputs!$B$9)*(PI()*(Inputs!$F$6/1000)^2/4)*((Inputs!$F$6/1000/4)^(2/3))*SQRT(N175))</f>
        <v/>
      </c>
      <c r="AF175" s="4">
        <f>IF(A175="","",(1/Inputs!$B$9)*(PI()*(Inputs!$F$7/1000)^2/4)*((Inputs!$F$7/1000/4)^(2/3))*SQRT(N175))</f>
        <v/>
      </c>
      <c r="AG175" s="4">
        <f>IF(A175="","",(1/Inputs!$B$9)*(PI()*(Inputs!$F$8/1000)^2/4)*((Inputs!$F$8/1000/4)^(2/3))*SQRT(N175))</f>
        <v/>
      </c>
      <c r="AH175" s="4">
        <f>IF(A175="","",(1/Inputs!$B$9)*(PI()*(Inputs!$F$9/1000)^2/4)*((Inputs!$F$9/1000/4)^(2/3))*SQRT(N175))</f>
        <v/>
      </c>
      <c r="AI175" s="4">
        <f>IF(A175="","",(1/Inputs!$B$9)*(PI()*(Inputs!$F$10/1000)^2/4)*((Inputs!$F$10/1000/4)^(2/3))*SQRT(N175))</f>
        <v/>
      </c>
      <c r="AJ175" s="4">
        <f>IF(A175="","",(1/Inputs!$B$9)*(PI()*(Inputs!$F$11/1000)^2/4)*((Inputs!$F$11/1000/4)^(2/3))*SQRT(N175))</f>
        <v/>
      </c>
      <c r="AK175" s="4">
        <f>IF(A175="","",(1/Inputs!$B$9)*(PI()*(Inputs!$F$12/1000)^2/4)*((Inputs!$F$12/1000/4)^(2/3))*SQRT(N175))</f>
        <v/>
      </c>
      <c r="AL175" s="4">
        <f>IF(A175="","",(1/Inputs!$B$9)*(PI()*(Inputs!$F$13/1000)^2/4)*((Inputs!$F$13/1000/4)^(2/3))*SQRT(N175))</f>
        <v/>
      </c>
      <c r="AM175" s="4">
        <f>IF(A175="","",(1/Inputs!$B$9)*(PI()*(Inputs!$F$14/1000)^2/4)*((Inputs!$F$14/1000/4)^(2/3))*SQRT(N175))</f>
        <v/>
      </c>
    </row>
    <row r="176">
      <c r="A176" s="4" t="n"/>
      <c r="B176" s="4" t="n"/>
      <c r="C176" s="8" t="n"/>
      <c r="D176" s="8" t="n"/>
      <c r="E176" s="8">
        <f>SUMIFS(CB_Tributaires!$C:$C,CB_Tributaires!$B:$B,$A176)</f>
        <v/>
      </c>
      <c r="F176" s="8">
        <f>IF(D176="",E176,D176)</f>
        <v/>
      </c>
      <c r="G176" s="4" t="n"/>
      <c r="H176" s="8" t="n"/>
      <c r="I176" s="8">
        <f>IF(A176="","",Inputs!$B$13/((IF(H176="",Inputs!$B$18,H176)+Inputs!$B$14)^Inputs!$B$15))</f>
        <v/>
      </c>
      <c r="J176" s="8">
        <f>IF(A176="","",0.00278*IF(G176="",Inputs!$B$17,G176)*F176*I176)</f>
        <v/>
      </c>
      <c r="K176" s="8">
        <f>IF(A176="","",SUMIFS($L$4:$L$203,$B$4:$B$203,$A176))</f>
        <v/>
      </c>
      <c r="L176" s="8">
        <f>IF(A176="","",(J176+K176)*Inputs!$B$16)</f>
        <v/>
      </c>
      <c r="M176" s="8" t="n"/>
      <c r="N176" s="8">
        <f>IF(A176="","",IF(M176="",Inputs!$B$7,M176))</f>
        <v/>
      </c>
      <c r="O176" s="4">
        <f>IF(A176="","",IF(L176/Inputs!$B$10&lt;=AD176,Inputs!$F$5,IF(L176/Inputs!$B$10&gt;AM176,"OVERSIZE",INDEX(Inputs!$F$5:$F$14,MATCH(L176/Inputs!$B$10,AD176:AM176,1)+1))))</f>
        <v/>
      </c>
      <c r="P176" s="4" t="n"/>
      <c r="Q176" s="4">
        <f>IF(A176="","",IF(P176="",O176,P176))</f>
        <v/>
      </c>
      <c r="R176" s="8">
        <f>IF(OR(Q176="",Q176="OVERSIZE"),"",Q176/1000)</f>
        <v/>
      </c>
      <c r="S176" s="8">
        <f>IF(R176="","",(1/Inputs!$B$9)*(PI()*R176^2/4)*((R176/4)^(2/3))*SQRT(N176))</f>
        <v/>
      </c>
      <c r="T176" s="8">
        <f>IF(OR(S176="",L176=""),"",L176/(S176*Inputs!$B$10))</f>
        <v/>
      </c>
      <c r="U176" s="8">
        <f>IF(OR(R176="",L176=""),"",4*L176/(PI()*R176^2))</f>
        <v/>
      </c>
      <c r="V176" s="8" t="n"/>
      <c r="W176" s="8">
        <f>IF(A176="","",IF(A176=Inputs!$B$6,Inputs!$B$22,IF(B176="","",IFERROR(INDEX($X$4:$X$203,MATCH(B176,$A$4:$A$203,0))+IF(V176="",Inputs!$B$20,V176),""))))</f>
        <v/>
      </c>
      <c r="X176" s="8">
        <f>IF(OR(W176="",N176="",C176=""),"",W176+N176*C176)</f>
        <v/>
      </c>
      <c r="Y176" s="8" t="n"/>
      <c r="Z176" s="8" t="n"/>
      <c r="AA176" s="8">
        <f>IF(OR(Y176="",W176=""),"",Y176-W176)</f>
        <v/>
      </c>
      <c r="AB176" s="8">
        <f>IF(OR(Z176="",X176=""),"",Z176-X176)</f>
        <v/>
      </c>
      <c r="AC176" s="4">
        <f>IF(A176="","",IF(OR(T176&gt;1,U176&lt;Inputs!$B$11,U176&gt;Inputs!$B$12,AA176&lt;Inputs!$B$19,AB176&lt;Inputs!$B$19,N176&lt;Inputs!$B$7,N176&gt;Inputs!$B$8),"CHECK","OK"))</f>
        <v/>
      </c>
      <c r="AD176" s="4">
        <f>IF(A176="","",(1/Inputs!$B$9)*(PI()*(Inputs!$F$5/1000)^2/4)*((Inputs!$F$5/1000/4)^(2/3))*SQRT(N176))</f>
        <v/>
      </c>
      <c r="AE176" s="4">
        <f>IF(A176="","",(1/Inputs!$B$9)*(PI()*(Inputs!$F$6/1000)^2/4)*((Inputs!$F$6/1000/4)^(2/3))*SQRT(N176))</f>
        <v/>
      </c>
      <c r="AF176" s="4">
        <f>IF(A176="","",(1/Inputs!$B$9)*(PI()*(Inputs!$F$7/1000)^2/4)*((Inputs!$F$7/1000/4)^(2/3))*SQRT(N176))</f>
        <v/>
      </c>
      <c r="AG176" s="4">
        <f>IF(A176="","",(1/Inputs!$B$9)*(PI()*(Inputs!$F$8/1000)^2/4)*((Inputs!$F$8/1000/4)^(2/3))*SQRT(N176))</f>
        <v/>
      </c>
      <c r="AH176" s="4">
        <f>IF(A176="","",(1/Inputs!$B$9)*(PI()*(Inputs!$F$9/1000)^2/4)*((Inputs!$F$9/1000/4)^(2/3))*SQRT(N176))</f>
        <v/>
      </c>
      <c r="AI176" s="4">
        <f>IF(A176="","",(1/Inputs!$B$9)*(PI()*(Inputs!$F$10/1000)^2/4)*((Inputs!$F$10/1000/4)^(2/3))*SQRT(N176))</f>
        <v/>
      </c>
      <c r="AJ176" s="4">
        <f>IF(A176="","",(1/Inputs!$B$9)*(PI()*(Inputs!$F$11/1000)^2/4)*((Inputs!$F$11/1000/4)^(2/3))*SQRT(N176))</f>
        <v/>
      </c>
      <c r="AK176" s="4">
        <f>IF(A176="","",(1/Inputs!$B$9)*(PI()*(Inputs!$F$12/1000)^2/4)*((Inputs!$F$12/1000/4)^(2/3))*SQRT(N176))</f>
        <v/>
      </c>
      <c r="AL176" s="4">
        <f>IF(A176="","",(1/Inputs!$B$9)*(PI()*(Inputs!$F$13/1000)^2/4)*((Inputs!$F$13/1000/4)^(2/3))*SQRT(N176))</f>
        <v/>
      </c>
      <c r="AM176" s="4">
        <f>IF(A176="","",(1/Inputs!$B$9)*(PI()*(Inputs!$F$14/1000)^2/4)*((Inputs!$F$14/1000/4)^(2/3))*SQRT(N176))</f>
        <v/>
      </c>
    </row>
    <row r="177">
      <c r="A177" s="4" t="n"/>
      <c r="B177" s="4" t="n"/>
      <c r="C177" s="8" t="n"/>
      <c r="D177" s="8" t="n"/>
      <c r="E177" s="8">
        <f>SUMIFS(CB_Tributaires!$C:$C,CB_Tributaires!$B:$B,$A177)</f>
        <v/>
      </c>
      <c r="F177" s="8">
        <f>IF(D177="",E177,D177)</f>
        <v/>
      </c>
      <c r="G177" s="4" t="n"/>
      <c r="H177" s="8" t="n"/>
      <c r="I177" s="8">
        <f>IF(A177="","",Inputs!$B$13/((IF(H177="",Inputs!$B$18,H177)+Inputs!$B$14)^Inputs!$B$15))</f>
        <v/>
      </c>
      <c r="J177" s="8">
        <f>IF(A177="","",0.00278*IF(G177="",Inputs!$B$17,G177)*F177*I177)</f>
        <v/>
      </c>
      <c r="K177" s="8">
        <f>IF(A177="","",SUMIFS($L$4:$L$203,$B$4:$B$203,$A177))</f>
        <v/>
      </c>
      <c r="L177" s="8">
        <f>IF(A177="","",(J177+K177)*Inputs!$B$16)</f>
        <v/>
      </c>
      <c r="M177" s="8" t="n"/>
      <c r="N177" s="8">
        <f>IF(A177="","",IF(M177="",Inputs!$B$7,M177))</f>
        <v/>
      </c>
      <c r="O177" s="4">
        <f>IF(A177="","",IF(L177/Inputs!$B$10&lt;=AD177,Inputs!$F$5,IF(L177/Inputs!$B$10&gt;AM177,"OVERSIZE",INDEX(Inputs!$F$5:$F$14,MATCH(L177/Inputs!$B$10,AD177:AM177,1)+1))))</f>
        <v/>
      </c>
      <c r="P177" s="4" t="n"/>
      <c r="Q177" s="4">
        <f>IF(A177="","",IF(P177="",O177,P177))</f>
        <v/>
      </c>
      <c r="R177" s="8">
        <f>IF(OR(Q177="",Q177="OVERSIZE"),"",Q177/1000)</f>
        <v/>
      </c>
      <c r="S177" s="8">
        <f>IF(R177="","",(1/Inputs!$B$9)*(PI()*R177^2/4)*((R177/4)^(2/3))*SQRT(N177))</f>
        <v/>
      </c>
      <c r="T177" s="8">
        <f>IF(OR(S177="",L177=""),"",L177/(S177*Inputs!$B$10))</f>
        <v/>
      </c>
      <c r="U177" s="8">
        <f>IF(OR(R177="",L177=""),"",4*L177/(PI()*R177^2))</f>
        <v/>
      </c>
      <c r="V177" s="8" t="n"/>
      <c r="W177" s="8">
        <f>IF(A177="","",IF(A177=Inputs!$B$6,Inputs!$B$22,IF(B177="","",IFERROR(INDEX($X$4:$X$203,MATCH(B177,$A$4:$A$203,0))+IF(V177="",Inputs!$B$20,V177),""))))</f>
        <v/>
      </c>
      <c r="X177" s="8">
        <f>IF(OR(W177="",N177="",C177=""),"",W177+N177*C177)</f>
        <v/>
      </c>
      <c r="Y177" s="8" t="n"/>
      <c r="Z177" s="8" t="n"/>
      <c r="AA177" s="8">
        <f>IF(OR(Y177="",W177=""),"",Y177-W177)</f>
        <v/>
      </c>
      <c r="AB177" s="8">
        <f>IF(OR(Z177="",X177=""),"",Z177-X177)</f>
        <v/>
      </c>
      <c r="AC177" s="4">
        <f>IF(A177="","",IF(OR(T177&gt;1,U177&lt;Inputs!$B$11,U177&gt;Inputs!$B$12,AA177&lt;Inputs!$B$19,AB177&lt;Inputs!$B$19,N177&lt;Inputs!$B$7,N177&gt;Inputs!$B$8),"CHECK","OK"))</f>
        <v/>
      </c>
      <c r="AD177" s="4">
        <f>IF(A177="","",(1/Inputs!$B$9)*(PI()*(Inputs!$F$5/1000)^2/4)*((Inputs!$F$5/1000/4)^(2/3))*SQRT(N177))</f>
        <v/>
      </c>
      <c r="AE177" s="4">
        <f>IF(A177="","",(1/Inputs!$B$9)*(PI()*(Inputs!$F$6/1000)^2/4)*((Inputs!$F$6/1000/4)^(2/3))*SQRT(N177))</f>
        <v/>
      </c>
      <c r="AF177" s="4">
        <f>IF(A177="","",(1/Inputs!$B$9)*(PI()*(Inputs!$F$7/1000)^2/4)*((Inputs!$F$7/1000/4)^(2/3))*SQRT(N177))</f>
        <v/>
      </c>
      <c r="AG177" s="4">
        <f>IF(A177="","",(1/Inputs!$B$9)*(PI()*(Inputs!$F$8/1000)^2/4)*((Inputs!$F$8/1000/4)^(2/3))*SQRT(N177))</f>
        <v/>
      </c>
      <c r="AH177" s="4">
        <f>IF(A177="","",(1/Inputs!$B$9)*(PI()*(Inputs!$F$9/1000)^2/4)*((Inputs!$F$9/1000/4)^(2/3))*SQRT(N177))</f>
        <v/>
      </c>
      <c r="AI177" s="4">
        <f>IF(A177="","",(1/Inputs!$B$9)*(PI()*(Inputs!$F$10/1000)^2/4)*((Inputs!$F$10/1000/4)^(2/3))*SQRT(N177))</f>
        <v/>
      </c>
      <c r="AJ177" s="4">
        <f>IF(A177="","",(1/Inputs!$B$9)*(PI()*(Inputs!$F$11/1000)^2/4)*((Inputs!$F$11/1000/4)^(2/3))*SQRT(N177))</f>
        <v/>
      </c>
      <c r="AK177" s="4">
        <f>IF(A177="","",(1/Inputs!$B$9)*(PI()*(Inputs!$F$12/1000)^2/4)*((Inputs!$F$12/1000/4)^(2/3))*SQRT(N177))</f>
        <v/>
      </c>
      <c r="AL177" s="4">
        <f>IF(A177="","",(1/Inputs!$B$9)*(PI()*(Inputs!$F$13/1000)^2/4)*((Inputs!$F$13/1000/4)^(2/3))*SQRT(N177))</f>
        <v/>
      </c>
      <c r="AM177" s="4">
        <f>IF(A177="","",(1/Inputs!$B$9)*(PI()*(Inputs!$F$14/1000)^2/4)*((Inputs!$F$14/1000/4)^(2/3))*SQRT(N177))</f>
        <v/>
      </c>
    </row>
    <row r="178">
      <c r="A178" s="4" t="n"/>
      <c r="B178" s="4" t="n"/>
      <c r="C178" s="8" t="n"/>
      <c r="D178" s="8" t="n"/>
      <c r="E178" s="8">
        <f>SUMIFS(CB_Tributaires!$C:$C,CB_Tributaires!$B:$B,$A178)</f>
        <v/>
      </c>
      <c r="F178" s="8">
        <f>IF(D178="",E178,D178)</f>
        <v/>
      </c>
      <c r="G178" s="4" t="n"/>
      <c r="H178" s="8" t="n"/>
      <c r="I178" s="8">
        <f>IF(A178="","",Inputs!$B$13/((IF(H178="",Inputs!$B$18,H178)+Inputs!$B$14)^Inputs!$B$15))</f>
        <v/>
      </c>
      <c r="J178" s="8">
        <f>IF(A178="","",0.00278*IF(G178="",Inputs!$B$17,G178)*F178*I178)</f>
        <v/>
      </c>
      <c r="K178" s="8">
        <f>IF(A178="","",SUMIFS($L$4:$L$203,$B$4:$B$203,$A178))</f>
        <v/>
      </c>
      <c r="L178" s="8">
        <f>IF(A178="","",(J178+K178)*Inputs!$B$16)</f>
        <v/>
      </c>
      <c r="M178" s="8" t="n"/>
      <c r="N178" s="8">
        <f>IF(A178="","",IF(M178="",Inputs!$B$7,M178))</f>
        <v/>
      </c>
      <c r="O178" s="4">
        <f>IF(A178="","",IF(L178/Inputs!$B$10&lt;=AD178,Inputs!$F$5,IF(L178/Inputs!$B$10&gt;AM178,"OVERSIZE",INDEX(Inputs!$F$5:$F$14,MATCH(L178/Inputs!$B$10,AD178:AM178,1)+1))))</f>
        <v/>
      </c>
      <c r="P178" s="4" t="n"/>
      <c r="Q178" s="4">
        <f>IF(A178="","",IF(P178="",O178,P178))</f>
        <v/>
      </c>
      <c r="R178" s="8">
        <f>IF(OR(Q178="",Q178="OVERSIZE"),"",Q178/1000)</f>
        <v/>
      </c>
      <c r="S178" s="8">
        <f>IF(R178="","",(1/Inputs!$B$9)*(PI()*R178^2/4)*((R178/4)^(2/3))*SQRT(N178))</f>
        <v/>
      </c>
      <c r="T178" s="8">
        <f>IF(OR(S178="",L178=""),"",L178/(S178*Inputs!$B$10))</f>
        <v/>
      </c>
      <c r="U178" s="8">
        <f>IF(OR(R178="",L178=""),"",4*L178/(PI()*R178^2))</f>
        <v/>
      </c>
      <c r="V178" s="8" t="n"/>
      <c r="W178" s="8">
        <f>IF(A178="","",IF(A178=Inputs!$B$6,Inputs!$B$22,IF(B178="","",IFERROR(INDEX($X$4:$X$203,MATCH(B178,$A$4:$A$203,0))+IF(V178="",Inputs!$B$20,V178),""))))</f>
        <v/>
      </c>
      <c r="X178" s="8">
        <f>IF(OR(W178="",N178="",C178=""),"",W178+N178*C178)</f>
        <v/>
      </c>
      <c r="Y178" s="8" t="n"/>
      <c r="Z178" s="8" t="n"/>
      <c r="AA178" s="8">
        <f>IF(OR(Y178="",W178=""),"",Y178-W178)</f>
        <v/>
      </c>
      <c r="AB178" s="8">
        <f>IF(OR(Z178="",X178=""),"",Z178-X178)</f>
        <v/>
      </c>
      <c r="AC178" s="4">
        <f>IF(A178="","",IF(OR(T178&gt;1,U178&lt;Inputs!$B$11,U178&gt;Inputs!$B$12,AA178&lt;Inputs!$B$19,AB178&lt;Inputs!$B$19,N178&lt;Inputs!$B$7,N178&gt;Inputs!$B$8),"CHECK","OK"))</f>
        <v/>
      </c>
      <c r="AD178" s="4">
        <f>IF(A178="","",(1/Inputs!$B$9)*(PI()*(Inputs!$F$5/1000)^2/4)*((Inputs!$F$5/1000/4)^(2/3))*SQRT(N178))</f>
        <v/>
      </c>
      <c r="AE178" s="4">
        <f>IF(A178="","",(1/Inputs!$B$9)*(PI()*(Inputs!$F$6/1000)^2/4)*((Inputs!$F$6/1000/4)^(2/3))*SQRT(N178))</f>
        <v/>
      </c>
      <c r="AF178" s="4">
        <f>IF(A178="","",(1/Inputs!$B$9)*(PI()*(Inputs!$F$7/1000)^2/4)*((Inputs!$F$7/1000/4)^(2/3))*SQRT(N178))</f>
        <v/>
      </c>
      <c r="AG178" s="4">
        <f>IF(A178="","",(1/Inputs!$B$9)*(PI()*(Inputs!$F$8/1000)^2/4)*((Inputs!$F$8/1000/4)^(2/3))*SQRT(N178))</f>
        <v/>
      </c>
      <c r="AH178" s="4">
        <f>IF(A178="","",(1/Inputs!$B$9)*(PI()*(Inputs!$F$9/1000)^2/4)*((Inputs!$F$9/1000/4)^(2/3))*SQRT(N178))</f>
        <v/>
      </c>
      <c r="AI178" s="4">
        <f>IF(A178="","",(1/Inputs!$B$9)*(PI()*(Inputs!$F$10/1000)^2/4)*((Inputs!$F$10/1000/4)^(2/3))*SQRT(N178))</f>
        <v/>
      </c>
      <c r="AJ178" s="4">
        <f>IF(A178="","",(1/Inputs!$B$9)*(PI()*(Inputs!$F$11/1000)^2/4)*((Inputs!$F$11/1000/4)^(2/3))*SQRT(N178))</f>
        <v/>
      </c>
      <c r="AK178" s="4">
        <f>IF(A178="","",(1/Inputs!$B$9)*(PI()*(Inputs!$F$12/1000)^2/4)*((Inputs!$F$12/1000/4)^(2/3))*SQRT(N178))</f>
        <v/>
      </c>
      <c r="AL178" s="4">
        <f>IF(A178="","",(1/Inputs!$B$9)*(PI()*(Inputs!$F$13/1000)^2/4)*((Inputs!$F$13/1000/4)^(2/3))*SQRT(N178))</f>
        <v/>
      </c>
      <c r="AM178" s="4">
        <f>IF(A178="","",(1/Inputs!$B$9)*(PI()*(Inputs!$F$14/1000)^2/4)*((Inputs!$F$14/1000/4)^(2/3))*SQRT(N178))</f>
        <v/>
      </c>
    </row>
    <row r="179">
      <c r="A179" s="4" t="n"/>
      <c r="B179" s="4" t="n"/>
      <c r="C179" s="8" t="n"/>
      <c r="D179" s="8" t="n"/>
      <c r="E179" s="8">
        <f>SUMIFS(CB_Tributaires!$C:$C,CB_Tributaires!$B:$B,$A179)</f>
        <v/>
      </c>
      <c r="F179" s="8">
        <f>IF(D179="",E179,D179)</f>
        <v/>
      </c>
      <c r="G179" s="4" t="n"/>
      <c r="H179" s="8" t="n"/>
      <c r="I179" s="8">
        <f>IF(A179="","",Inputs!$B$13/((IF(H179="",Inputs!$B$18,H179)+Inputs!$B$14)^Inputs!$B$15))</f>
        <v/>
      </c>
      <c r="J179" s="8">
        <f>IF(A179="","",0.00278*IF(G179="",Inputs!$B$17,G179)*F179*I179)</f>
        <v/>
      </c>
      <c r="K179" s="8">
        <f>IF(A179="","",SUMIFS($L$4:$L$203,$B$4:$B$203,$A179))</f>
        <v/>
      </c>
      <c r="L179" s="8">
        <f>IF(A179="","",(J179+K179)*Inputs!$B$16)</f>
        <v/>
      </c>
      <c r="M179" s="8" t="n"/>
      <c r="N179" s="8">
        <f>IF(A179="","",IF(M179="",Inputs!$B$7,M179))</f>
        <v/>
      </c>
      <c r="O179" s="4">
        <f>IF(A179="","",IF(L179/Inputs!$B$10&lt;=AD179,Inputs!$F$5,IF(L179/Inputs!$B$10&gt;AM179,"OVERSIZE",INDEX(Inputs!$F$5:$F$14,MATCH(L179/Inputs!$B$10,AD179:AM179,1)+1))))</f>
        <v/>
      </c>
      <c r="P179" s="4" t="n"/>
      <c r="Q179" s="4">
        <f>IF(A179="","",IF(P179="",O179,P179))</f>
        <v/>
      </c>
      <c r="R179" s="8">
        <f>IF(OR(Q179="",Q179="OVERSIZE"),"",Q179/1000)</f>
        <v/>
      </c>
      <c r="S179" s="8">
        <f>IF(R179="","",(1/Inputs!$B$9)*(PI()*R179^2/4)*((R179/4)^(2/3))*SQRT(N179))</f>
        <v/>
      </c>
      <c r="T179" s="8">
        <f>IF(OR(S179="",L179=""),"",L179/(S179*Inputs!$B$10))</f>
        <v/>
      </c>
      <c r="U179" s="8">
        <f>IF(OR(R179="",L179=""),"",4*L179/(PI()*R179^2))</f>
        <v/>
      </c>
      <c r="V179" s="8" t="n"/>
      <c r="W179" s="8">
        <f>IF(A179="","",IF(A179=Inputs!$B$6,Inputs!$B$22,IF(B179="","",IFERROR(INDEX($X$4:$X$203,MATCH(B179,$A$4:$A$203,0))+IF(V179="",Inputs!$B$20,V179),""))))</f>
        <v/>
      </c>
      <c r="X179" s="8">
        <f>IF(OR(W179="",N179="",C179=""),"",W179+N179*C179)</f>
        <v/>
      </c>
      <c r="Y179" s="8" t="n"/>
      <c r="Z179" s="8" t="n"/>
      <c r="AA179" s="8">
        <f>IF(OR(Y179="",W179=""),"",Y179-W179)</f>
        <v/>
      </c>
      <c r="AB179" s="8">
        <f>IF(OR(Z179="",X179=""),"",Z179-X179)</f>
        <v/>
      </c>
      <c r="AC179" s="4">
        <f>IF(A179="","",IF(OR(T179&gt;1,U179&lt;Inputs!$B$11,U179&gt;Inputs!$B$12,AA179&lt;Inputs!$B$19,AB179&lt;Inputs!$B$19,N179&lt;Inputs!$B$7,N179&gt;Inputs!$B$8),"CHECK","OK"))</f>
        <v/>
      </c>
      <c r="AD179" s="4">
        <f>IF(A179="","",(1/Inputs!$B$9)*(PI()*(Inputs!$F$5/1000)^2/4)*((Inputs!$F$5/1000/4)^(2/3))*SQRT(N179))</f>
        <v/>
      </c>
      <c r="AE179" s="4">
        <f>IF(A179="","",(1/Inputs!$B$9)*(PI()*(Inputs!$F$6/1000)^2/4)*((Inputs!$F$6/1000/4)^(2/3))*SQRT(N179))</f>
        <v/>
      </c>
      <c r="AF179" s="4">
        <f>IF(A179="","",(1/Inputs!$B$9)*(PI()*(Inputs!$F$7/1000)^2/4)*((Inputs!$F$7/1000/4)^(2/3))*SQRT(N179))</f>
        <v/>
      </c>
      <c r="AG179" s="4">
        <f>IF(A179="","",(1/Inputs!$B$9)*(PI()*(Inputs!$F$8/1000)^2/4)*((Inputs!$F$8/1000/4)^(2/3))*SQRT(N179))</f>
        <v/>
      </c>
      <c r="AH179" s="4">
        <f>IF(A179="","",(1/Inputs!$B$9)*(PI()*(Inputs!$F$9/1000)^2/4)*((Inputs!$F$9/1000/4)^(2/3))*SQRT(N179))</f>
        <v/>
      </c>
      <c r="AI179" s="4">
        <f>IF(A179="","",(1/Inputs!$B$9)*(PI()*(Inputs!$F$10/1000)^2/4)*((Inputs!$F$10/1000/4)^(2/3))*SQRT(N179))</f>
        <v/>
      </c>
      <c r="AJ179" s="4">
        <f>IF(A179="","",(1/Inputs!$B$9)*(PI()*(Inputs!$F$11/1000)^2/4)*((Inputs!$F$11/1000/4)^(2/3))*SQRT(N179))</f>
        <v/>
      </c>
      <c r="AK179" s="4">
        <f>IF(A179="","",(1/Inputs!$B$9)*(PI()*(Inputs!$F$12/1000)^2/4)*((Inputs!$F$12/1000/4)^(2/3))*SQRT(N179))</f>
        <v/>
      </c>
      <c r="AL179" s="4">
        <f>IF(A179="","",(1/Inputs!$B$9)*(PI()*(Inputs!$F$13/1000)^2/4)*((Inputs!$F$13/1000/4)^(2/3))*SQRT(N179))</f>
        <v/>
      </c>
      <c r="AM179" s="4">
        <f>IF(A179="","",(1/Inputs!$B$9)*(PI()*(Inputs!$F$14/1000)^2/4)*((Inputs!$F$14/1000/4)^(2/3))*SQRT(N179))</f>
        <v/>
      </c>
    </row>
    <row r="180">
      <c r="A180" s="4" t="n"/>
      <c r="B180" s="4" t="n"/>
      <c r="C180" s="8" t="n"/>
      <c r="D180" s="8" t="n"/>
      <c r="E180" s="8">
        <f>SUMIFS(CB_Tributaires!$C:$C,CB_Tributaires!$B:$B,$A180)</f>
        <v/>
      </c>
      <c r="F180" s="8">
        <f>IF(D180="",E180,D180)</f>
        <v/>
      </c>
      <c r="G180" s="4" t="n"/>
      <c r="H180" s="8" t="n"/>
      <c r="I180" s="8">
        <f>IF(A180="","",Inputs!$B$13/((IF(H180="",Inputs!$B$18,H180)+Inputs!$B$14)^Inputs!$B$15))</f>
        <v/>
      </c>
      <c r="J180" s="8">
        <f>IF(A180="","",0.00278*IF(G180="",Inputs!$B$17,G180)*F180*I180)</f>
        <v/>
      </c>
      <c r="K180" s="8">
        <f>IF(A180="","",SUMIFS($L$4:$L$203,$B$4:$B$203,$A180))</f>
        <v/>
      </c>
      <c r="L180" s="8">
        <f>IF(A180="","",(J180+K180)*Inputs!$B$16)</f>
        <v/>
      </c>
      <c r="M180" s="8" t="n"/>
      <c r="N180" s="8">
        <f>IF(A180="","",IF(M180="",Inputs!$B$7,M180))</f>
        <v/>
      </c>
      <c r="O180" s="4">
        <f>IF(A180="","",IF(L180/Inputs!$B$10&lt;=AD180,Inputs!$F$5,IF(L180/Inputs!$B$10&gt;AM180,"OVERSIZE",INDEX(Inputs!$F$5:$F$14,MATCH(L180/Inputs!$B$10,AD180:AM180,1)+1))))</f>
        <v/>
      </c>
      <c r="P180" s="4" t="n"/>
      <c r="Q180" s="4">
        <f>IF(A180="","",IF(P180="",O180,P180))</f>
        <v/>
      </c>
      <c r="R180" s="8">
        <f>IF(OR(Q180="",Q180="OVERSIZE"),"",Q180/1000)</f>
        <v/>
      </c>
      <c r="S180" s="8">
        <f>IF(R180="","",(1/Inputs!$B$9)*(PI()*R180^2/4)*((R180/4)^(2/3))*SQRT(N180))</f>
        <v/>
      </c>
      <c r="T180" s="8">
        <f>IF(OR(S180="",L180=""),"",L180/(S180*Inputs!$B$10))</f>
        <v/>
      </c>
      <c r="U180" s="8">
        <f>IF(OR(R180="",L180=""),"",4*L180/(PI()*R180^2))</f>
        <v/>
      </c>
      <c r="V180" s="8" t="n"/>
      <c r="W180" s="8">
        <f>IF(A180="","",IF(A180=Inputs!$B$6,Inputs!$B$22,IF(B180="","",IFERROR(INDEX($X$4:$X$203,MATCH(B180,$A$4:$A$203,0))+IF(V180="",Inputs!$B$20,V180),""))))</f>
        <v/>
      </c>
      <c r="X180" s="8">
        <f>IF(OR(W180="",N180="",C180=""),"",W180+N180*C180)</f>
        <v/>
      </c>
      <c r="Y180" s="8" t="n"/>
      <c r="Z180" s="8" t="n"/>
      <c r="AA180" s="8">
        <f>IF(OR(Y180="",W180=""),"",Y180-W180)</f>
        <v/>
      </c>
      <c r="AB180" s="8">
        <f>IF(OR(Z180="",X180=""),"",Z180-X180)</f>
        <v/>
      </c>
      <c r="AC180" s="4">
        <f>IF(A180="","",IF(OR(T180&gt;1,U180&lt;Inputs!$B$11,U180&gt;Inputs!$B$12,AA180&lt;Inputs!$B$19,AB180&lt;Inputs!$B$19,N180&lt;Inputs!$B$7,N180&gt;Inputs!$B$8),"CHECK","OK"))</f>
        <v/>
      </c>
      <c r="AD180" s="4">
        <f>IF(A180="","",(1/Inputs!$B$9)*(PI()*(Inputs!$F$5/1000)^2/4)*((Inputs!$F$5/1000/4)^(2/3))*SQRT(N180))</f>
        <v/>
      </c>
      <c r="AE180" s="4">
        <f>IF(A180="","",(1/Inputs!$B$9)*(PI()*(Inputs!$F$6/1000)^2/4)*((Inputs!$F$6/1000/4)^(2/3))*SQRT(N180))</f>
        <v/>
      </c>
      <c r="AF180" s="4">
        <f>IF(A180="","",(1/Inputs!$B$9)*(PI()*(Inputs!$F$7/1000)^2/4)*((Inputs!$F$7/1000/4)^(2/3))*SQRT(N180))</f>
        <v/>
      </c>
      <c r="AG180" s="4">
        <f>IF(A180="","",(1/Inputs!$B$9)*(PI()*(Inputs!$F$8/1000)^2/4)*((Inputs!$F$8/1000/4)^(2/3))*SQRT(N180))</f>
        <v/>
      </c>
      <c r="AH180" s="4">
        <f>IF(A180="","",(1/Inputs!$B$9)*(PI()*(Inputs!$F$9/1000)^2/4)*((Inputs!$F$9/1000/4)^(2/3))*SQRT(N180))</f>
        <v/>
      </c>
      <c r="AI180" s="4">
        <f>IF(A180="","",(1/Inputs!$B$9)*(PI()*(Inputs!$F$10/1000)^2/4)*((Inputs!$F$10/1000/4)^(2/3))*SQRT(N180))</f>
        <v/>
      </c>
      <c r="AJ180" s="4">
        <f>IF(A180="","",(1/Inputs!$B$9)*(PI()*(Inputs!$F$11/1000)^2/4)*((Inputs!$F$11/1000/4)^(2/3))*SQRT(N180))</f>
        <v/>
      </c>
      <c r="AK180" s="4">
        <f>IF(A180="","",(1/Inputs!$B$9)*(PI()*(Inputs!$F$12/1000)^2/4)*((Inputs!$F$12/1000/4)^(2/3))*SQRT(N180))</f>
        <v/>
      </c>
      <c r="AL180" s="4">
        <f>IF(A180="","",(1/Inputs!$B$9)*(PI()*(Inputs!$F$13/1000)^2/4)*((Inputs!$F$13/1000/4)^(2/3))*SQRT(N180))</f>
        <v/>
      </c>
      <c r="AM180" s="4">
        <f>IF(A180="","",(1/Inputs!$B$9)*(PI()*(Inputs!$F$14/1000)^2/4)*((Inputs!$F$14/1000/4)^(2/3))*SQRT(N180))</f>
        <v/>
      </c>
    </row>
    <row r="181">
      <c r="A181" s="4" t="n"/>
      <c r="B181" s="4" t="n"/>
      <c r="C181" s="8" t="n"/>
      <c r="D181" s="8" t="n"/>
      <c r="E181" s="8">
        <f>SUMIFS(CB_Tributaires!$C:$C,CB_Tributaires!$B:$B,$A181)</f>
        <v/>
      </c>
      <c r="F181" s="8">
        <f>IF(D181="",E181,D181)</f>
        <v/>
      </c>
      <c r="G181" s="4" t="n"/>
      <c r="H181" s="8" t="n"/>
      <c r="I181" s="8">
        <f>IF(A181="","",Inputs!$B$13/((IF(H181="",Inputs!$B$18,H181)+Inputs!$B$14)^Inputs!$B$15))</f>
        <v/>
      </c>
      <c r="J181" s="8">
        <f>IF(A181="","",0.00278*IF(G181="",Inputs!$B$17,G181)*F181*I181)</f>
        <v/>
      </c>
      <c r="K181" s="8">
        <f>IF(A181="","",SUMIFS($L$4:$L$203,$B$4:$B$203,$A181))</f>
        <v/>
      </c>
      <c r="L181" s="8">
        <f>IF(A181="","",(J181+K181)*Inputs!$B$16)</f>
        <v/>
      </c>
      <c r="M181" s="8" t="n"/>
      <c r="N181" s="8">
        <f>IF(A181="","",IF(M181="",Inputs!$B$7,M181))</f>
        <v/>
      </c>
      <c r="O181" s="4">
        <f>IF(A181="","",IF(L181/Inputs!$B$10&lt;=AD181,Inputs!$F$5,IF(L181/Inputs!$B$10&gt;AM181,"OVERSIZE",INDEX(Inputs!$F$5:$F$14,MATCH(L181/Inputs!$B$10,AD181:AM181,1)+1))))</f>
        <v/>
      </c>
      <c r="P181" s="4" t="n"/>
      <c r="Q181" s="4">
        <f>IF(A181="","",IF(P181="",O181,P181))</f>
        <v/>
      </c>
      <c r="R181" s="8">
        <f>IF(OR(Q181="",Q181="OVERSIZE"),"",Q181/1000)</f>
        <v/>
      </c>
      <c r="S181" s="8">
        <f>IF(R181="","",(1/Inputs!$B$9)*(PI()*R181^2/4)*((R181/4)^(2/3))*SQRT(N181))</f>
        <v/>
      </c>
      <c r="T181" s="8">
        <f>IF(OR(S181="",L181=""),"",L181/(S181*Inputs!$B$10))</f>
        <v/>
      </c>
      <c r="U181" s="8">
        <f>IF(OR(R181="",L181=""),"",4*L181/(PI()*R181^2))</f>
        <v/>
      </c>
      <c r="V181" s="8" t="n"/>
      <c r="W181" s="8">
        <f>IF(A181="","",IF(A181=Inputs!$B$6,Inputs!$B$22,IF(B181="","",IFERROR(INDEX($X$4:$X$203,MATCH(B181,$A$4:$A$203,0))+IF(V181="",Inputs!$B$20,V181),""))))</f>
        <v/>
      </c>
      <c r="X181" s="8">
        <f>IF(OR(W181="",N181="",C181=""),"",W181+N181*C181)</f>
        <v/>
      </c>
      <c r="Y181" s="8" t="n"/>
      <c r="Z181" s="8" t="n"/>
      <c r="AA181" s="8">
        <f>IF(OR(Y181="",W181=""),"",Y181-W181)</f>
        <v/>
      </c>
      <c r="AB181" s="8">
        <f>IF(OR(Z181="",X181=""),"",Z181-X181)</f>
        <v/>
      </c>
      <c r="AC181" s="4">
        <f>IF(A181="","",IF(OR(T181&gt;1,U181&lt;Inputs!$B$11,U181&gt;Inputs!$B$12,AA181&lt;Inputs!$B$19,AB181&lt;Inputs!$B$19,N181&lt;Inputs!$B$7,N181&gt;Inputs!$B$8),"CHECK","OK"))</f>
        <v/>
      </c>
      <c r="AD181" s="4">
        <f>IF(A181="","",(1/Inputs!$B$9)*(PI()*(Inputs!$F$5/1000)^2/4)*((Inputs!$F$5/1000/4)^(2/3))*SQRT(N181))</f>
        <v/>
      </c>
      <c r="AE181" s="4">
        <f>IF(A181="","",(1/Inputs!$B$9)*(PI()*(Inputs!$F$6/1000)^2/4)*((Inputs!$F$6/1000/4)^(2/3))*SQRT(N181))</f>
        <v/>
      </c>
      <c r="AF181" s="4">
        <f>IF(A181="","",(1/Inputs!$B$9)*(PI()*(Inputs!$F$7/1000)^2/4)*((Inputs!$F$7/1000/4)^(2/3))*SQRT(N181))</f>
        <v/>
      </c>
      <c r="AG181" s="4">
        <f>IF(A181="","",(1/Inputs!$B$9)*(PI()*(Inputs!$F$8/1000)^2/4)*((Inputs!$F$8/1000/4)^(2/3))*SQRT(N181))</f>
        <v/>
      </c>
      <c r="AH181" s="4">
        <f>IF(A181="","",(1/Inputs!$B$9)*(PI()*(Inputs!$F$9/1000)^2/4)*((Inputs!$F$9/1000/4)^(2/3))*SQRT(N181))</f>
        <v/>
      </c>
      <c r="AI181" s="4">
        <f>IF(A181="","",(1/Inputs!$B$9)*(PI()*(Inputs!$F$10/1000)^2/4)*((Inputs!$F$10/1000/4)^(2/3))*SQRT(N181))</f>
        <v/>
      </c>
      <c r="AJ181" s="4">
        <f>IF(A181="","",(1/Inputs!$B$9)*(PI()*(Inputs!$F$11/1000)^2/4)*((Inputs!$F$11/1000/4)^(2/3))*SQRT(N181))</f>
        <v/>
      </c>
      <c r="AK181" s="4">
        <f>IF(A181="","",(1/Inputs!$B$9)*(PI()*(Inputs!$F$12/1000)^2/4)*((Inputs!$F$12/1000/4)^(2/3))*SQRT(N181))</f>
        <v/>
      </c>
      <c r="AL181" s="4">
        <f>IF(A181="","",(1/Inputs!$B$9)*(PI()*(Inputs!$F$13/1000)^2/4)*((Inputs!$F$13/1000/4)^(2/3))*SQRT(N181))</f>
        <v/>
      </c>
      <c r="AM181" s="4">
        <f>IF(A181="","",(1/Inputs!$B$9)*(PI()*(Inputs!$F$14/1000)^2/4)*((Inputs!$F$14/1000/4)^(2/3))*SQRT(N181))</f>
        <v/>
      </c>
    </row>
    <row r="182">
      <c r="A182" s="4" t="n"/>
      <c r="B182" s="4" t="n"/>
      <c r="C182" s="8" t="n"/>
      <c r="D182" s="8" t="n"/>
      <c r="E182" s="8">
        <f>SUMIFS(CB_Tributaires!$C:$C,CB_Tributaires!$B:$B,$A182)</f>
        <v/>
      </c>
      <c r="F182" s="8">
        <f>IF(D182="",E182,D182)</f>
        <v/>
      </c>
      <c r="G182" s="4" t="n"/>
      <c r="H182" s="8" t="n"/>
      <c r="I182" s="8">
        <f>IF(A182="","",Inputs!$B$13/((IF(H182="",Inputs!$B$18,H182)+Inputs!$B$14)^Inputs!$B$15))</f>
        <v/>
      </c>
      <c r="J182" s="8">
        <f>IF(A182="","",0.00278*IF(G182="",Inputs!$B$17,G182)*F182*I182)</f>
        <v/>
      </c>
      <c r="K182" s="8">
        <f>IF(A182="","",SUMIFS($L$4:$L$203,$B$4:$B$203,$A182))</f>
        <v/>
      </c>
      <c r="L182" s="8">
        <f>IF(A182="","",(J182+K182)*Inputs!$B$16)</f>
        <v/>
      </c>
      <c r="M182" s="8" t="n"/>
      <c r="N182" s="8">
        <f>IF(A182="","",IF(M182="",Inputs!$B$7,M182))</f>
        <v/>
      </c>
      <c r="O182" s="4">
        <f>IF(A182="","",IF(L182/Inputs!$B$10&lt;=AD182,Inputs!$F$5,IF(L182/Inputs!$B$10&gt;AM182,"OVERSIZE",INDEX(Inputs!$F$5:$F$14,MATCH(L182/Inputs!$B$10,AD182:AM182,1)+1))))</f>
        <v/>
      </c>
      <c r="P182" s="4" t="n"/>
      <c r="Q182" s="4">
        <f>IF(A182="","",IF(P182="",O182,P182))</f>
        <v/>
      </c>
      <c r="R182" s="8">
        <f>IF(OR(Q182="",Q182="OVERSIZE"),"",Q182/1000)</f>
        <v/>
      </c>
      <c r="S182" s="8">
        <f>IF(R182="","",(1/Inputs!$B$9)*(PI()*R182^2/4)*((R182/4)^(2/3))*SQRT(N182))</f>
        <v/>
      </c>
      <c r="T182" s="8">
        <f>IF(OR(S182="",L182=""),"",L182/(S182*Inputs!$B$10))</f>
        <v/>
      </c>
      <c r="U182" s="8">
        <f>IF(OR(R182="",L182=""),"",4*L182/(PI()*R182^2))</f>
        <v/>
      </c>
      <c r="V182" s="8" t="n"/>
      <c r="W182" s="8">
        <f>IF(A182="","",IF(A182=Inputs!$B$6,Inputs!$B$22,IF(B182="","",IFERROR(INDEX($X$4:$X$203,MATCH(B182,$A$4:$A$203,0))+IF(V182="",Inputs!$B$20,V182),""))))</f>
        <v/>
      </c>
      <c r="X182" s="8">
        <f>IF(OR(W182="",N182="",C182=""),"",W182+N182*C182)</f>
        <v/>
      </c>
      <c r="Y182" s="8" t="n"/>
      <c r="Z182" s="8" t="n"/>
      <c r="AA182" s="8">
        <f>IF(OR(Y182="",W182=""),"",Y182-W182)</f>
        <v/>
      </c>
      <c r="AB182" s="8">
        <f>IF(OR(Z182="",X182=""),"",Z182-X182)</f>
        <v/>
      </c>
      <c r="AC182" s="4">
        <f>IF(A182="","",IF(OR(T182&gt;1,U182&lt;Inputs!$B$11,U182&gt;Inputs!$B$12,AA182&lt;Inputs!$B$19,AB182&lt;Inputs!$B$19,N182&lt;Inputs!$B$7,N182&gt;Inputs!$B$8),"CHECK","OK"))</f>
        <v/>
      </c>
      <c r="AD182" s="4">
        <f>IF(A182="","",(1/Inputs!$B$9)*(PI()*(Inputs!$F$5/1000)^2/4)*((Inputs!$F$5/1000/4)^(2/3))*SQRT(N182))</f>
        <v/>
      </c>
      <c r="AE182" s="4">
        <f>IF(A182="","",(1/Inputs!$B$9)*(PI()*(Inputs!$F$6/1000)^2/4)*((Inputs!$F$6/1000/4)^(2/3))*SQRT(N182))</f>
        <v/>
      </c>
      <c r="AF182" s="4">
        <f>IF(A182="","",(1/Inputs!$B$9)*(PI()*(Inputs!$F$7/1000)^2/4)*((Inputs!$F$7/1000/4)^(2/3))*SQRT(N182))</f>
        <v/>
      </c>
      <c r="AG182" s="4">
        <f>IF(A182="","",(1/Inputs!$B$9)*(PI()*(Inputs!$F$8/1000)^2/4)*((Inputs!$F$8/1000/4)^(2/3))*SQRT(N182))</f>
        <v/>
      </c>
      <c r="AH182" s="4">
        <f>IF(A182="","",(1/Inputs!$B$9)*(PI()*(Inputs!$F$9/1000)^2/4)*((Inputs!$F$9/1000/4)^(2/3))*SQRT(N182))</f>
        <v/>
      </c>
      <c r="AI182" s="4">
        <f>IF(A182="","",(1/Inputs!$B$9)*(PI()*(Inputs!$F$10/1000)^2/4)*((Inputs!$F$10/1000/4)^(2/3))*SQRT(N182))</f>
        <v/>
      </c>
      <c r="AJ182" s="4">
        <f>IF(A182="","",(1/Inputs!$B$9)*(PI()*(Inputs!$F$11/1000)^2/4)*((Inputs!$F$11/1000/4)^(2/3))*SQRT(N182))</f>
        <v/>
      </c>
      <c r="AK182" s="4">
        <f>IF(A182="","",(1/Inputs!$B$9)*(PI()*(Inputs!$F$12/1000)^2/4)*((Inputs!$F$12/1000/4)^(2/3))*SQRT(N182))</f>
        <v/>
      </c>
      <c r="AL182" s="4">
        <f>IF(A182="","",(1/Inputs!$B$9)*(PI()*(Inputs!$F$13/1000)^2/4)*((Inputs!$F$13/1000/4)^(2/3))*SQRT(N182))</f>
        <v/>
      </c>
      <c r="AM182" s="4">
        <f>IF(A182="","",(1/Inputs!$B$9)*(PI()*(Inputs!$F$14/1000)^2/4)*((Inputs!$F$14/1000/4)^(2/3))*SQRT(N182))</f>
        <v/>
      </c>
    </row>
    <row r="183">
      <c r="A183" s="4" t="n"/>
      <c r="B183" s="4" t="n"/>
      <c r="C183" s="8" t="n"/>
      <c r="D183" s="8" t="n"/>
      <c r="E183" s="8">
        <f>SUMIFS(CB_Tributaires!$C:$C,CB_Tributaires!$B:$B,$A183)</f>
        <v/>
      </c>
      <c r="F183" s="8">
        <f>IF(D183="",E183,D183)</f>
        <v/>
      </c>
      <c r="G183" s="4" t="n"/>
      <c r="H183" s="8" t="n"/>
      <c r="I183" s="8">
        <f>IF(A183="","",Inputs!$B$13/((IF(H183="",Inputs!$B$18,H183)+Inputs!$B$14)^Inputs!$B$15))</f>
        <v/>
      </c>
      <c r="J183" s="8">
        <f>IF(A183="","",0.00278*IF(G183="",Inputs!$B$17,G183)*F183*I183)</f>
        <v/>
      </c>
      <c r="K183" s="8">
        <f>IF(A183="","",SUMIFS($L$4:$L$203,$B$4:$B$203,$A183))</f>
        <v/>
      </c>
      <c r="L183" s="8">
        <f>IF(A183="","",(J183+K183)*Inputs!$B$16)</f>
        <v/>
      </c>
      <c r="M183" s="8" t="n"/>
      <c r="N183" s="8">
        <f>IF(A183="","",IF(M183="",Inputs!$B$7,M183))</f>
        <v/>
      </c>
      <c r="O183" s="4">
        <f>IF(A183="","",IF(L183/Inputs!$B$10&lt;=AD183,Inputs!$F$5,IF(L183/Inputs!$B$10&gt;AM183,"OVERSIZE",INDEX(Inputs!$F$5:$F$14,MATCH(L183/Inputs!$B$10,AD183:AM183,1)+1))))</f>
        <v/>
      </c>
      <c r="P183" s="4" t="n"/>
      <c r="Q183" s="4">
        <f>IF(A183="","",IF(P183="",O183,P183))</f>
        <v/>
      </c>
      <c r="R183" s="8">
        <f>IF(OR(Q183="",Q183="OVERSIZE"),"",Q183/1000)</f>
        <v/>
      </c>
      <c r="S183" s="8">
        <f>IF(R183="","",(1/Inputs!$B$9)*(PI()*R183^2/4)*((R183/4)^(2/3))*SQRT(N183))</f>
        <v/>
      </c>
      <c r="T183" s="8">
        <f>IF(OR(S183="",L183=""),"",L183/(S183*Inputs!$B$10))</f>
        <v/>
      </c>
      <c r="U183" s="8">
        <f>IF(OR(R183="",L183=""),"",4*L183/(PI()*R183^2))</f>
        <v/>
      </c>
      <c r="V183" s="8" t="n"/>
      <c r="W183" s="8">
        <f>IF(A183="","",IF(A183=Inputs!$B$6,Inputs!$B$22,IF(B183="","",IFERROR(INDEX($X$4:$X$203,MATCH(B183,$A$4:$A$203,0))+IF(V183="",Inputs!$B$20,V183),""))))</f>
        <v/>
      </c>
      <c r="X183" s="8">
        <f>IF(OR(W183="",N183="",C183=""),"",W183+N183*C183)</f>
        <v/>
      </c>
      <c r="Y183" s="8" t="n"/>
      <c r="Z183" s="8" t="n"/>
      <c r="AA183" s="8">
        <f>IF(OR(Y183="",W183=""),"",Y183-W183)</f>
        <v/>
      </c>
      <c r="AB183" s="8">
        <f>IF(OR(Z183="",X183=""),"",Z183-X183)</f>
        <v/>
      </c>
      <c r="AC183" s="4">
        <f>IF(A183="","",IF(OR(T183&gt;1,U183&lt;Inputs!$B$11,U183&gt;Inputs!$B$12,AA183&lt;Inputs!$B$19,AB183&lt;Inputs!$B$19,N183&lt;Inputs!$B$7,N183&gt;Inputs!$B$8),"CHECK","OK"))</f>
        <v/>
      </c>
      <c r="AD183" s="4">
        <f>IF(A183="","",(1/Inputs!$B$9)*(PI()*(Inputs!$F$5/1000)^2/4)*((Inputs!$F$5/1000/4)^(2/3))*SQRT(N183))</f>
        <v/>
      </c>
      <c r="AE183" s="4">
        <f>IF(A183="","",(1/Inputs!$B$9)*(PI()*(Inputs!$F$6/1000)^2/4)*((Inputs!$F$6/1000/4)^(2/3))*SQRT(N183))</f>
        <v/>
      </c>
      <c r="AF183" s="4">
        <f>IF(A183="","",(1/Inputs!$B$9)*(PI()*(Inputs!$F$7/1000)^2/4)*((Inputs!$F$7/1000/4)^(2/3))*SQRT(N183))</f>
        <v/>
      </c>
      <c r="AG183" s="4">
        <f>IF(A183="","",(1/Inputs!$B$9)*(PI()*(Inputs!$F$8/1000)^2/4)*((Inputs!$F$8/1000/4)^(2/3))*SQRT(N183))</f>
        <v/>
      </c>
      <c r="AH183" s="4">
        <f>IF(A183="","",(1/Inputs!$B$9)*(PI()*(Inputs!$F$9/1000)^2/4)*((Inputs!$F$9/1000/4)^(2/3))*SQRT(N183))</f>
        <v/>
      </c>
      <c r="AI183" s="4">
        <f>IF(A183="","",(1/Inputs!$B$9)*(PI()*(Inputs!$F$10/1000)^2/4)*((Inputs!$F$10/1000/4)^(2/3))*SQRT(N183))</f>
        <v/>
      </c>
      <c r="AJ183" s="4">
        <f>IF(A183="","",(1/Inputs!$B$9)*(PI()*(Inputs!$F$11/1000)^2/4)*((Inputs!$F$11/1000/4)^(2/3))*SQRT(N183))</f>
        <v/>
      </c>
      <c r="AK183" s="4">
        <f>IF(A183="","",(1/Inputs!$B$9)*(PI()*(Inputs!$F$12/1000)^2/4)*((Inputs!$F$12/1000/4)^(2/3))*SQRT(N183))</f>
        <v/>
      </c>
      <c r="AL183" s="4">
        <f>IF(A183="","",(1/Inputs!$B$9)*(PI()*(Inputs!$F$13/1000)^2/4)*((Inputs!$F$13/1000/4)^(2/3))*SQRT(N183))</f>
        <v/>
      </c>
      <c r="AM183" s="4">
        <f>IF(A183="","",(1/Inputs!$B$9)*(PI()*(Inputs!$F$14/1000)^2/4)*((Inputs!$F$14/1000/4)^(2/3))*SQRT(N183))</f>
        <v/>
      </c>
    </row>
    <row r="184">
      <c r="A184" s="4" t="n"/>
      <c r="B184" s="4" t="n"/>
      <c r="C184" s="8" t="n"/>
      <c r="D184" s="8" t="n"/>
      <c r="E184" s="8">
        <f>SUMIFS(CB_Tributaires!$C:$C,CB_Tributaires!$B:$B,$A184)</f>
        <v/>
      </c>
      <c r="F184" s="8">
        <f>IF(D184="",E184,D184)</f>
        <v/>
      </c>
      <c r="G184" s="4" t="n"/>
      <c r="H184" s="8" t="n"/>
      <c r="I184" s="8">
        <f>IF(A184="","",Inputs!$B$13/((IF(H184="",Inputs!$B$18,H184)+Inputs!$B$14)^Inputs!$B$15))</f>
        <v/>
      </c>
      <c r="J184" s="8">
        <f>IF(A184="","",0.00278*IF(G184="",Inputs!$B$17,G184)*F184*I184)</f>
        <v/>
      </c>
      <c r="K184" s="8">
        <f>IF(A184="","",SUMIFS($L$4:$L$203,$B$4:$B$203,$A184))</f>
        <v/>
      </c>
      <c r="L184" s="8">
        <f>IF(A184="","",(J184+K184)*Inputs!$B$16)</f>
        <v/>
      </c>
      <c r="M184" s="8" t="n"/>
      <c r="N184" s="8">
        <f>IF(A184="","",IF(M184="",Inputs!$B$7,M184))</f>
        <v/>
      </c>
      <c r="O184" s="4">
        <f>IF(A184="","",IF(L184/Inputs!$B$10&lt;=AD184,Inputs!$F$5,IF(L184/Inputs!$B$10&gt;AM184,"OVERSIZE",INDEX(Inputs!$F$5:$F$14,MATCH(L184/Inputs!$B$10,AD184:AM184,1)+1))))</f>
        <v/>
      </c>
      <c r="P184" s="4" t="n"/>
      <c r="Q184" s="4">
        <f>IF(A184="","",IF(P184="",O184,P184))</f>
        <v/>
      </c>
      <c r="R184" s="8">
        <f>IF(OR(Q184="",Q184="OVERSIZE"),"",Q184/1000)</f>
        <v/>
      </c>
      <c r="S184" s="8">
        <f>IF(R184="","",(1/Inputs!$B$9)*(PI()*R184^2/4)*((R184/4)^(2/3))*SQRT(N184))</f>
        <v/>
      </c>
      <c r="T184" s="8">
        <f>IF(OR(S184="",L184=""),"",L184/(S184*Inputs!$B$10))</f>
        <v/>
      </c>
      <c r="U184" s="8">
        <f>IF(OR(R184="",L184=""),"",4*L184/(PI()*R184^2))</f>
        <v/>
      </c>
      <c r="V184" s="8" t="n"/>
      <c r="W184" s="8">
        <f>IF(A184="","",IF(A184=Inputs!$B$6,Inputs!$B$22,IF(B184="","",IFERROR(INDEX($X$4:$X$203,MATCH(B184,$A$4:$A$203,0))+IF(V184="",Inputs!$B$20,V184),""))))</f>
        <v/>
      </c>
      <c r="X184" s="8">
        <f>IF(OR(W184="",N184="",C184=""),"",W184+N184*C184)</f>
        <v/>
      </c>
      <c r="Y184" s="8" t="n"/>
      <c r="Z184" s="8" t="n"/>
      <c r="AA184" s="8">
        <f>IF(OR(Y184="",W184=""),"",Y184-W184)</f>
        <v/>
      </c>
      <c r="AB184" s="8">
        <f>IF(OR(Z184="",X184=""),"",Z184-X184)</f>
        <v/>
      </c>
      <c r="AC184" s="4">
        <f>IF(A184="","",IF(OR(T184&gt;1,U184&lt;Inputs!$B$11,U184&gt;Inputs!$B$12,AA184&lt;Inputs!$B$19,AB184&lt;Inputs!$B$19,N184&lt;Inputs!$B$7,N184&gt;Inputs!$B$8),"CHECK","OK"))</f>
        <v/>
      </c>
      <c r="AD184" s="4">
        <f>IF(A184="","",(1/Inputs!$B$9)*(PI()*(Inputs!$F$5/1000)^2/4)*((Inputs!$F$5/1000/4)^(2/3))*SQRT(N184))</f>
        <v/>
      </c>
      <c r="AE184" s="4">
        <f>IF(A184="","",(1/Inputs!$B$9)*(PI()*(Inputs!$F$6/1000)^2/4)*((Inputs!$F$6/1000/4)^(2/3))*SQRT(N184))</f>
        <v/>
      </c>
      <c r="AF184" s="4">
        <f>IF(A184="","",(1/Inputs!$B$9)*(PI()*(Inputs!$F$7/1000)^2/4)*((Inputs!$F$7/1000/4)^(2/3))*SQRT(N184))</f>
        <v/>
      </c>
      <c r="AG184" s="4">
        <f>IF(A184="","",(1/Inputs!$B$9)*(PI()*(Inputs!$F$8/1000)^2/4)*((Inputs!$F$8/1000/4)^(2/3))*SQRT(N184))</f>
        <v/>
      </c>
      <c r="AH184" s="4">
        <f>IF(A184="","",(1/Inputs!$B$9)*(PI()*(Inputs!$F$9/1000)^2/4)*((Inputs!$F$9/1000/4)^(2/3))*SQRT(N184))</f>
        <v/>
      </c>
      <c r="AI184" s="4">
        <f>IF(A184="","",(1/Inputs!$B$9)*(PI()*(Inputs!$F$10/1000)^2/4)*((Inputs!$F$10/1000/4)^(2/3))*SQRT(N184))</f>
        <v/>
      </c>
      <c r="AJ184" s="4">
        <f>IF(A184="","",(1/Inputs!$B$9)*(PI()*(Inputs!$F$11/1000)^2/4)*((Inputs!$F$11/1000/4)^(2/3))*SQRT(N184))</f>
        <v/>
      </c>
      <c r="AK184" s="4">
        <f>IF(A184="","",(1/Inputs!$B$9)*(PI()*(Inputs!$F$12/1000)^2/4)*((Inputs!$F$12/1000/4)^(2/3))*SQRT(N184))</f>
        <v/>
      </c>
      <c r="AL184" s="4">
        <f>IF(A184="","",(1/Inputs!$B$9)*(PI()*(Inputs!$F$13/1000)^2/4)*((Inputs!$F$13/1000/4)^(2/3))*SQRT(N184))</f>
        <v/>
      </c>
      <c r="AM184" s="4">
        <f>IF(A184="","",(1/Inputs!$B$9)*(PI()*(Inputs!$F$14/1000)^2/4)*((Inputs!$F$14/1000/4)^(2/3))*SQRT(N184))</f>
        <v/>
      </c>
    </row>
    <row r="185">
      <c r="A185" s="4" t="n"/>
      <c r="B185" s="4" t="n"/>
      <c r="C185" s="8" t="n"/>
      <c r="D185" s="8" t="n"/>
      <c r="E185" s="8">
        <f>SUMIFS(CB_Tributaires!$C:$C,CB_Tributaires!$B:$B,$A185)</f>
        <v/>
      </c>
      <c r="F185" s="8">
        <f>IF(D185="",E185,D185)</f>
        <v/>
      </c>
      <c r="G185" s="4" t="n"/>
      <c r="H185" s="8" t="n"/>
      <c r="I185" s="8">
        <f>IF(A185="","",Inputs!$B$13/((IF(H185="",Inputs!$B$18,H185)+Inputs!$B$14)^Inputs!$B$15))</f>
        <v/>
      </c>
      <c r="J185" s="8">
        <f>IF(A185="","",0.00278*IF(G185="",Inputs!$B$17,G185)*F185*I185)</f>
        <v/>
      </c>
      <c r="K185" s="8">
        <f>IF(A185="","",SUMIFS($L$4:$L$203,$B$4:$B$203,$A185))</f>
        <v/>
      </c>
      <c r="L185" s="8">
        <f>IF(A185="","",(J185+K185)*Inputs!$B$16)</f>
        <v/>
      </c>
      <c r="M185" s="8" t="n"/>
      <c r="N185" s="8">
        <f>IF(A185="","",IF(M185="",Inputs!$B$7,M185))</f>
        <v/>
      </c>
      <c r="O185" s="4">
        <f>IF(A185="","",IF(L185/Inputs!$B$10&lt;=AD185,Inputs!$F$5,IF(L185/Inputs!$B$10&gt;AM185,"OVERSIZE",INDEX(Inputs!$F$5:$F$14,MATCH(L185/Inputs!$B$10,AD185:AM185,1)+1))))</f>
        <v/>
      </c>
      <c r="P185" s="4" t="n"/>
      <c r="Q185" s="4">
        <f>IF(A185="","",IF(P185="",O185,P185))</f>
        <v/>
      </c>
      <c r="R185" s="8">
        <f>IF(OR(Q185="",Q185="OVERSIZE"),"",Q185/1000)</f>
        <v/>
      </c>
      <c r="S185" s="8">
        <f>IF(R185="","",(1/Inputs!$B$9)*(PI()*R185^2/4)*((R185/4)^(2/3))*SQRT(N185))</f>
        <v/>
      </c>
      <c r="T185" s="8">
        <f>IF(OR(S185="",L185=""),"",L185/(S185*Inputs!$B$10))</f>
        <v/>
      </c>
      <c r="U185" s="8">
        <f>IF(OR(R185="",L185=""),"",4*L185/(PI()*R185^2))</f>
        <v/>
      </c>
      <c r="V185" s="8" t="n"/>
      <c r="W185" s="8">
        <f>IF(A185="","",IF(A185=Inputs!$B$6,Inputs!$B$22,IF(B185="","",IFERROR(INDEX($X$4:$X$203,MATCH(B185,$A$4:$A$203,0))+IF(V185="",Inputs!$B$20,V185),""))))</f>
        <v/>
      </c>
      <c r="X185" s="8">
        <f>IF(OR(W185="",N185="",C185=""),"",W185+N185*C185)</f>
        <v/>
      </c>
      <c r="Y185" s="8" t="n"/>
      <c r="Z185" s="8" t="n"/>
      <c r="AA185" s="8">
        <f>IF(OR(Y185="",W185=""),"",Y185-W185)</f>
        <v/>
      </c>
      <c r="AB185" s="8">
        <f>IF(OR(Z185="",X185=""),"",Z185-X185)</f>
        <v/>
      </c>
      <c r="AC185" s="4">
        <f>IF(A185="","",IF(OR(T185&gt;1,U185&lt;Inputs!$B$11,U185&gt;Inputs!$B$12,AA185&lt;Inputs!$B$19,AB185&lt;Inputs!$B$19,N185&lt;Inputs!$B$7,N185&gt;Inputs!$B$8),"CHECK","OK"))</f>
        <v/>
      </c>
      <c r="AD185" s="4">
        <f>IF(A185="","",(1/Inputs!$B$9)*(PI()*(Inputs!$F$5/1000)^2/4)*((Inputs!$F$5/1000/4)^(2/3))*SQRT(N185))</f>
        <v/>
      </c>
      <c r="AE185" s="4">
        <f>IF(A185="","",(1/Inputs!$B$9)*(PI()*(Inputs!$F$6/1000)^2/4)*((Inputs!$F$6/1000/4)^(2/3))*SQRT(N185))</f>
        <v/>
      </c>
      <c r="AF185" s="4">
        <f>IF(A185="","",(1/Inputs!$B$9)*(PI()*(Inputs!$F$7/1000)^2/4)*((Inputs!$F$7/1000/4)^(2/3))*SQRT(N185))</f>
        <v/>
      </c>
      <c r="AG185" s="4">
        <f>IF(A185="","",(1/Inputs!$B$9)*(PI()*(Inputs!$F$8/1000)^2/4)*((Inputs!$F$8/1000/4)^(2/3))*SQRT(N185))</f>
        <v/>
      </c>
      <c r="AH185" s="4">
        <f>IF(A185="","",(1/Inputs!$B$9)*(PI()*(Inputs!$F$9/1000)^2/4)*((Inputs!$F$9/1000/4)^(2/3))*SQRT(N185))</f>
        <v/>
      </c>
      <c r="AI185" s="4">
        <f>IF(A185="","",(1/Inputs!$B$9)*(PI()*(Inputs!$F$10/1000)^2/4)*((Inputs!$F$10/1000/4)^(2/3))*SQRT(N185))</f>
        <v/>
      </c>
      <c r="AJ185" s="4">
        <f>IF(A185="","",(1/Inputs!$B$9)*(PI()*(Inputs!$F$11/1000)^2/4)*((Inputs!$F$11/1000/4)^(2/3))*SQRT(N185))</f>
        <v/>
      </c>
      <c r="AK185" s="4">
        <f>IF(A185="","",(1/Inputs!$B$9)*(PI()*(Inputs!$F$12/1000)^2/4)*((Inputs!$F$12/1000/4)^(2/3))*SQRT(N185))</f>
        <v/>
      </c>
      <c r="AL185" s="4">
        <f>IF(A185="","",(1/Inputs!$B$9)*(PI()*(Inputs!$F$13/1000)^2/4)*((Inputs!$F$13/1000/4)^(2/3))*SQRT(N185))</f>
        <v/>
      </c>
      <c r="AM185" s="4">
        <f>IF(A185="","",(1/Inputs!$B$9)*(PI()*(Inputs!$F$14/1000)^2/4)*((Inputs!$F$14/1000/4)^(2/3))*SQRT(N185))</f>
        <v/>
      </c>
    </row>
    <row r="186">
      <c r="A186" s="4" t="n"/>
      <c r="B186" s="4" t="n"/>
      <c r="C186" s="8" t="n"/>
      <c r="D186" s="8" t="n"/>
      <c r="E186" s="8">
        <f>SUMIFS(CB_Tributaires!$C:$C,CB_Tributaires!$B:$B,$A186)</f>
        <v/>
      </c>
      <c r="F186" s="8">
        <f>IF(D186="",E186,D186)</f>
        <v/>
      </c>
      <c r="G186" s="4" t="n"/>
      <c r="H186" s="8" t="n"/>
      <c r="I186" s="8">
        <f>IF(A186="","",Inputs!$B$13/((IF(H186="",Inputs!$B$18,H186)+Inputs!$B$14)^Inputs!$B$15))</f>
        <v/>
      </c>
      <c r="J186" s="8">
        <f>IF(A186="","",0.00278*IF(G186="",Inputs!$B$17,G186)*F186*I186)</f>
        <v/>
      </c>
      <c r="K186" s="8">
        <f>IF(A186="","",SUMIFS($L$4:$L$203,$B$4:$B$203,$A186))</f>
        <v/>
      </c>
      <c r="L186" s="8">
        <f>IF(A186="","",(J186+K186)*Inputs!$B$16)</f>
        <v/>
      </c>
      <c r="M186" s="8" t="n"/>
      <c r="N186" s="8">
        <f>IF(A186="","",IF(M186="",Inputs!$B$7,M186))</f>
        <v/>
      </c>
      <c r="O186" s="4">
        <f>IF(A186="","",IF(L186/Inputs!$B$10&lt;=AD186,Inputs!$F$5,IF(L186/Inputs!$B$10&gt;AM186,"OVERSIZE",INDEX(Inputs!$F$5:$F$14,MATCH(L186/Inputs!$B$10,AD186:AM186,1)+1))))</f>
        <v/>
      </c>
      <c r="P186" s="4" t="n"/>
      <c r="Q186" s="4">
        <f>IF(A186="","",IF(P186="",O186,P186))</f>
        <v/>
      </c>
      <c r="R186" s="8">
        <f>IF(OR(Q186="",Q186="OVERSIZE"),"",Q186/1000)</f>
        <v/>
      </c>
      <c r="S186" s="8">
        <f>IF(R186="","",(1/Inputs!$B$9)*(PI()*R186^2/4)*((R186/4)^(2/3))*SQRT(N186))</f>
        <v/>
      </c>
      <c r="T186" s="8">
        <f>IF(OR(S186="",L186=""),"",L186/(S186*Inputs!$B$10))</f>
        <v/>
      </c>
      <c r="U186" s="8">
        <f>IF(OR(R186="",L186=""),"",4*L186/(PI()*R186^2))</f>
        <v/>
      </c>
      <c r="V186" s="8" t="n"/>
      <c r="W186" s="8">
        <f>IF(A186="","",IF(A186=Inputs!$B$6,Inputs!$B$22,IF(B186="","",IFERROR(INDEX($X$4:$X$203,MATCH(B186,$A$4:$A$203,0))+IF(V186="",Inputs!$B$20,V186),""))))</f>
        <v/>
      </c>
      <c r="X186" s="8">
        <f>IF(OR(W186="",N186="",C186=""),"",W186+N186*C186)</f>
        <v/>
      </c>
      <c r="Y186" s="8" t="n"/>
      <c r="Z186" s="8" t="n"/>
      <c r="AA186" s="8">
        <f>IF(OR(Y186="",W186=""),"",Y186-W186)</f>
        <v/>
      </c>
      <c r="AB186" s="8">
        <f>IF(OR(Z186="",X186=""),"",Z186-X186)</f>
        <v/>
      </c>
      <c r="AC186" s="4">
        <f>IF(A186="","",IF(OR(T186&gt;1,U186&lt;Inputs!$B$11,U186&gt;Inputs!$B$12,AA186&lt;Inputs!$B$19,AB186&lt;Inputs!$B$19,N186&lt;Inputs!$B$7,N186&gt;Inputs!$B$8),"CHECK","OK"))</f>
        <v/>
      </c>
      <c r="AD186" s="4">
        <f>IF(A186="","",(1/Inputs!$B$9)*(PI()*(Inputs!$F$5/1000)^2/4)*((Inputs!$F$5/1000/4)^(2/3))*SQRT(N186))</f>
        <v/>
      </c>
      <c r="AE186" s="4">
        <f>IF(A186="","",(1/Inputs!$B$9)*(PI()*(Inputs!$F$6/1000)^2/4)*((Inputs!$F$6/1000/4)^(2/3))*SQRT(N186))</f>
        <v/>
      </c>
      <c r="AF186" s="4">
        <f>IF(A186="","",(1/Inputs!$B$9)*(PI()*(Inputs!$F$7/1000)^2/4)*((Inputs!$F$7/1000/4)^(2/3))*SQRT(N186))</f>
        <v/>
      </c>
      <c r="AG186" s="4">
        <f>IF(A186="","",(1/Inputs!$B$9)*(PI()*(Inputs!$F$8/1000)^2/4)*((Inputs!$F$8/1000/4)^(2/3))*SQRT(N186))</f>
        <v/>
      </c>
      <c r="AH186" s="4">
        <f>IF(A186="","",(1/Inputs!$B$9)*(PI()*(Inputs!$F$9/1000)^2/4)*((Inputs!$F$9/1000/4)^(2/3))*SQRT(N186))</f>
        <v/>
      </c>
      <c r="AI186" s="4">
        <f>IF(A186="","",(1/Inputs!$B$9)*(PI()*(Inputs!$F$10/1000)^2/4)*((Inputs!$F$10/1000/4)^(2/3))*SQRT(N186))</f>
        <v/>
      </c>
      <c r="AJ186" s="4">
        <f>IF(A186="","",(1/Inputs!$B$9)*(PI()*(Inputs!$F$11/1000)^2/4)*((Inputs!$F$11/1000/4)^(2/3))*SQRT(N186))</f>
        <v/>
      </c>
      <c r="AK186" s="4">
        <f>IF(A186="","",(1/Inputs!$B$9)*(PI()*(Inputs!$F$12/1000)^2/4)*((Inputs!$F$12/1000/4)^(2/3))*SQRT(N186))</f>
        <v/>
      </c>
      <c r="AL186" s="4">
        <f>IF(A186="","",(1/Inputs!$B$9)*(PI()*(Inputs!$F$13/1000)^2/4)*((Inputs!$F$13/1000/4)^(2/3))*SQRT(N186))</f>
        <v/>
      </c>
      <c r="AM186" s="4">
        <f>IF(A186="","",(1/Inputs!$B$9)*(PI()*(Inputs!$F$14/1000)^2/4)*((Inputs!$F$14/1000/4)^(2/3))*SQRT(N186))</f>
        <v/>
      </c>
    </row>
    <row r="187">
      <c r="A187" s="4" t="n"/>
      <c r="B187" s="4" t="n"/>
      <c r="C187" s="8" t="n"/>
      <c r="D187" s="8" t="n"/>
      <c r="E187" s="8">
        <f>SUMIFS(CB_Tributaires!$C:$C,CB_Tributaires!$B:$B,$A187)</f>
        <v/>
      </c>
      <c r="F187" s="8">
        <f>IF(D187="",E187,D187)</f>
        <v/>
      </c>
      <c r="G187" s="4" t="n"/>
      <c r="H187" s="8" t="n"/>
      <c r="I187" s="8">
        <f>IF(A187="","",Inputs!$B$13/((IF(H187="",Inputs!$B$18,H187)+Inputs!$B$14)^Inputs!$B$15))</f>
        <v/>
      </c>
      <c r="J187" s="8">
        <f>IF(A187="","",0.00278*IF(G187="",Inputs!$B$17,G187)*F187*I187)</f>
        <v/>
      </c>
      <c r="K187" s="8">
        <f>IF(A187="","",SUMIFS($L$4:$L$203,$B$4:$B$203,$A187))</f>
        <v/>
      </c>
      <c r="L187" s="8">
        <f>IF(A187="","",(J187+K187)*Inputs!$B$16)</f>
        <v/>
      </c>
      <c r="M187" s="8" t="n"/>
      <c r="N187" s="8">
        <f>IF(A187="","",IF(M187="",Inputs!$B$7,M187))</f>
        <v/>
      </c>
      <c r="O187" s="4">
        <f>IF(A187="","",IF(L187/Inputs!$B$10&lt;=AD187,Inputs!$F$5,IF(L187/Inputs!$B$10&gt;AM187,"OVERSIZE",INDEX(Inputs!$F$5:$F$14,MATCH(L187/Inputs!$B$10,AD187:AM187,1)+1))))</f>
        <v/>
      </c>
      <c r="P187" s="4" t="n"/>
      <c r="Q187" s="4">
        <f>IF(A187="","",IF(P187="",O187,P187))</f>
        <v/>
      </c>
      <c r="R187" s="8">
        <f>IF(OR(Q187="",Q187="OVERSIZE"),"",Q187/1000)</f>
        <v/>
      </c>
      <c r="S187" s="8">
        <f>IF(R187="","",(1/Inputs!$B$9)*(PI()*R187^2/4)*((R187/4)^(2/3))*SQRT(N187))</f>
        <v/>
      </c>
      <c r="T187" s="8">
        <f>IF(OR(S187="",L187=""),"",L187/(S187*Inputs!$B$10))</f>
        <v/>
      </c>
      <c r="U187" s="8">
        <f>IF(OR(R187="",L187=""),"",4*L187/(PI()*R187^2))</f>
        <v/>
      </c>
      <c r="V187" s="8" t="n"/>
      <c r="W187" s="8">
        <f>IF(A187="","",IF(A187=Inputs!$B$6,Inputs!$B$22,IF(B187="","",IFERROR(INDEX($X$4:$X$203,MATCH(B187,$A$4:$A$203,0))+IF(V187="",Inputs!$B$20,V187),""))))</f>
        <v/>
      </c>
      <c r="X187" s="8">
        <f>IF(OR(W187="",N187="",C187=""),"",W187+N187*C187)</f>
        <v/>
      </c>
      <c r="Y187" s="8" t="n"/>
      <c r="Z187" s="8" t="n"/>
      <c r="AA187" s="8">
        <f>IF(OR(Y187="",W187=""),"",Y187-W187)</f>
        <v/>
      </c>
      <c r="AB187" s="8">
        <f>IF(OR(Z187="",X187=""),"",Z187-X187)</f>
        <v/>
      </c>
      <c r="AC187" s="4">
        <f>IF(A187="","",IF(OR(T187&gt;1,U187&lt;Inputs!$B$11,U187&gt;Inputs!$B$12,AA187&lt;Inputs!$B$19,AB187&lt;Inputs!$B$19,N187&lt;Inputs!$B$7,N187&gt;Inputs!$B$8),"CHECK","OK"))</f>
        <v/>
      </c>
      <c r="AD187" s="4">
        <f>IF(A187="","",(1/Inputs!$B$9)*(PI()*(Inputs!$F$5/1000)^2/4)*((Inputs!$F$5/1000/4)^(2/3))*SQRT(N187))</f>
        <v/>
      </c>
      <c r="AE187" s="4">
        <f>IF(A187="","",(1/Inputs!$B$9)*(PI()*(Inputs!$F$6/1000)^2/4)*((Inputs!$F$6/1000/4)^(2/3))*SQRT(N187))</f>
        <v/>
      </c>
      <c r="AF187" s="4">
        <f>IF(A187="","",(1/Inputs!$B$9)*(PI()*(Inputs!$F$7/1000)^2/4)*((Inputs!$F$7/1000/4)^(2/3))*SQRT(N187))</f>
        <v/>
      </c>
      <c r="AG187" s="4">
        <f>IF(A187="","",(1/Inputs!$B$9)*(PI()*(Inputs!$F$8/1000)^2/4)*((Inputs!$F$8/1000/4)^(2/3))*SQRT(N187))</f>
        <v/>
      </c>
      <c r="AH187" s="4">
        <f>IF(A187="","",(1/Inputs!$B$9)*(PI()*(Inputs!$F$9/1000)^2/4)*((Inputs!$F$9/1000/4)^(2/3))*SQRT(N187))</f>
        <v/>
      </c>
      <c r="AI187" s="4">
        <f>IF(A187="","",(1/Inputs!$B$9)*(PI()*(Inputs!$F$10/1000)^2/4)*((Inputs!$F$10/1000/4)^(2/3))*SQRT(N187))</f>
        <v/>
      </c>
      <c r="AJ187" s="4">
        <f>IF(A187="","",(1/Inputs!$B$9)*(PI()*(Inputs!$F$11/1000)^2/4)*((Inputs!$F$11/1000/4)^(2/3))*SQRT(N187))</f>
        <v/>
      </c>
      <c r="AK187" s="4">
        <f>IF(A187="","",(1/Inputs!$B$9)*(PI()*(Inputs!$F$12/1000)^2/4)*((Inputs!$F$12/1000/4)^(2/3))*SQRT(N187))</f>
        <v/>
      </c>
      <c r="AL187" s="4">
        <f>IF(A187="","",(1/Inputs!$B$9)*(PI()*(Inputs!$F$13/1000)^2/4)*((Inputs!$F$13/1000/4)^(2/3))*SQRT(N187))</f>
        <v/>
      </c>
      <c r="AM187" s="4">
        <f>IF(A187="","",(1/Inputs!$B$9)*(PI()*(Inputs!$F$14/1000)^2/4)*((Inputs!$F$14/1000/4)^(2/3))*SQRT(N187))</f>
        <v/>
      </c>
    </row>
    <row r="188">
      <c r="A188" s="4" t="n"/>
      <c r="B188" s="4" t="n"/>
      <c r="C188" s="8" t="n"/>
      <c r="D188" s="8" t="n"/>
      <c r="E188" s="8">
        <f>SUMIFS(CB_Tributaires!$C:$C,CB_Tributaires!$B:$B,$A188)</f>
        <v/>
      </c>
      <c r="F188" s="8">
        <f>IF(D188="",E188,D188)</f>
        <v/>
      </c>
      <c r="G188" s="4" t="n"/>
      <c r="H188" s="8" t="n"/>
      <c r="I188" s="8">
        <f>IF(A188="","",Inputs!$B$13/((IF(H188="",Inputs!$B$18,H188)+Inputs!$B$14)^Inputs!$B$15))</f>
        <v/>
      </c>
      <c r="J188" s="8">
        <f>IF(A188="","",0.00278*IF(G188="",Inputs!$B$17,G188)*F188*I188)</f>
        <v/>
      </c>
      <c r="K188" s="8">
        <f>IF(A188="","",SUMIFS($L$4:$L$203,$B$4:$B$203,$A188))</f>
        <v/>
      </c>
      <c r="L188" s="8">
        <f>IF(A188="","",(J188+K188)*Inputs!$B$16)</f>
        <v/>
      </c>
      <c r="M188" s="8" t="n"/>
      <c r="N188" s="8">
        <f>IF(A188="","",IF(M188="",Inputs!$B$7,M188))</f>
        <v/>
      </c>
      <c r="O188" s="4">
        <f>IF(A188="","",IF(L188/Inputs!$B$10&lt;=AD188,Inputs!$F$5,IF(L188/Inputs!$B$10&gt;AM188,"OVERSIZE",INDEX(Inputs!$F$5:$F$14,MATCH(L188/Inputs!$B$10,AD188:AM188,1)+1))))</f>
        <v/>
      </c>
      <c r="P188" s="4" t="n"/>
      <c r="Q188" s="4">
        <f>IF(A188="","",IF(P188="",O188,P188))</f>
        <v/>
      </c>
      <c r="R188" s="8">
        <f>IF(OR(Q188="",Q188="OVERSIZE"),"",Q188/1000)</f>
        <v/>
      </c>
      <c r="S188" s="8">
        <f>IF(R188="","",(1/Inputs!$B$9)*(PI()*R188^2/4)*((R188/4)^(2/3))*SQRT(N188))</f>
        <v/>
      </c>
      <c r="T188" s="8">
        <f>IF(OR(S188="",L188=""),"",L188/(S188*Inputs!$B$10))</f>
        <v/>
      </c>
      <c r="U188" s="8">
        <f>IF(OR(R188="",L188=""),"",4*L188/(PI()*R188^2))</f>
        <v/>
      </c>
      <c r="V188" s="8" t="n"/>
      <c r="W188" s="8">
        <f>IF(A188="","",IF(A188=Inputs!$B$6,Inputs!$B$22,IF(B188="","",IFERROR(INDEX($X$4:$X$203,MATCH(B188,$A$4:$A$203,0))+IF(V188="",Inputs!$B$20,V188),""))))</f>
        <v/>
      </c>
      <c r="X188" s="8">
        <f>IF(OR(W188="",N188="",C188=""),"",W188+N188*C188)</f>
        <v/>
      </c>
      <c r="Y188" s="8" t="n"/>
      <c r="Z188" s="8" t="n"/>
      <c r="AA188" s="8">
        <f>IF(OR(Y188="",W188=""),"",Y188-W188)</f>
        <v/>
      </c>
      <c r="AB188" s="8">
        <f>IF(OR(Z188="",X188=""),"",Z188-X188)</f>
        <v/>
      </c>
      <c r="AC188" s="4">
        <f>IF(A188="","",IF(OR(T188&gt;1,U188&lt;Inputs!$B$11,U188&gt;Inputs!$B$12,AA188&lt;Inputs!$B$19,AB188&lt;Inputs!$B$19,N188&lt;Inputs!$B$7,N188&gt;Inputs!$B$8),"CHECK","OK"))</f>
        <v/>
      </c>
      <c r="AD188" s="4">
        <f>IF(A188="","",(1/Inputs!$B$9)*(PI()*(Inputs!$F$5/1000)^2/4)*((Inputs!$F$5/1000/4)^(2/3))*SQRT(N188))</f>
        <v/>
      </c>
      <c r="AE188" s="4">
        <f>IF(A188="","",(1/Inputs!$B$9)*(PI()*(Inputs!$F$6/1000)^2/4)*((Inputs!$F$6/1000/4)^(2/3))*SQRT(N188))</f>
        <v/>
      </c>
      <c r="AF188" s="4">
        <f>IF(A188="","",(1/Inputs!$B$9)*(PI()*(Inputs!$F$7/1000)^2/4)*((Inputs!$F$7/1000/4)^(2/3))*SQRT(N188))</f>
        <v/>
      </c>
      <c r="AG188" s="4">
        <f>IF(A188="","",(1/Inputs!$B$9)*(PI()*(Inputs!$F$8/1000)^2/4)*((Inputs!$F$8/1000/4)^(2/3))*SQRT(N188))</f>
        <v/>
      </c>
      <c r="AH188" s="4">
        <f>IF(A188="","",(1/Inputs!$B$9)*(PI()*(Inputs!$F$9/1000)^2/4)*((Inputs!$F$9/1000/4)^(2/3))*SQRT(N188))</f>
        <v/>
      </c>
      <c r="AI188" s="4">
        <f>IF(A188="","",(1/Inputs!$B$9)*(PI()*(Inputs!$F$10/1000)^2/4)*((Inputs!$F$10/1000/4)^(2/3))*SQRT(N188))</f>
        <v/>
      </c>
      <c r="AJ188" s="4">
        <f>IF(A188="","",(1/Inputs!$B$9)*(PI()*(Inputs!$F$11/1000)^2/4)*((Inputs!$F$11/1000/4)^(2/3))*SQRT(N188))</f>
        <v/>
      </c>
      <c r="AK188" s="4">
        <f>IF(A188="","",(1/Inputs!$B$9)*(PI()*(Inputs!$F$12/1000)^2/4)*((Inputs!$F$12/1000/4)^(2/3))*SQRT(N188))</f>
        <v/>
      </c>
      <c r="AL188" s="4">
        <f>IF(A188="","",(1/Inputs!$B$9)*(PI()*(Inputs!$F$13/1000)^2/4)*((Inputs!$F$13/1000/4)^(2/3))*SQRT(N188))</f>
        <v/>
      </c>
      <c r="AM188" s="4">
        <f>IF(A188="","",(1/Inputs!$B$9)*(PI()*(Inputs!$F$14/1000)^2/4)*((Inputs!$F$14/1000/4)^(2/3))*SQRT(N188))</f>
        <v/>
      </c>
    </row>
    <row r="189">
      <c r="A189" s="4" t="n"/>
      <c r="B189" s="4" t="n"/>
      <c r="C189" s="8" t="n"/>
      <c r="D189" s="8" t="n"/>
      <c r="E189" s="8">
        <f>SUMIFS(CB_Tributaires!$C:$C,CB_Tributaires!$B:$B,$A189)</f>
        <v/>
      </c>
      <c r="F189" s="8">
        <f>IF(D189="",E189,D189)</f>
        <v/>
      </c>
      <c r="G189" s="4" t="n"/>
      <c r="H189" s="8" t="n"/>
      <c r="I189" s="8">
        <f>IF(A189="","",Inputs!$B$13/((IF(H189="",Inputs!$B$18,H189)+Inputs!$B$14)^Inputs!$B$15))</f>
        <v/>
      </c>
      <c r="J189" s="8">
        <f>IF(A189="","",0.00278*IF(G189="",Inputs!$B$17,G189)*F189*I189)</f>
        <v/>
      </c>
      <c r="K189" s="8">
        <f>IF(A189="","",SUMIFS($L$4:$L$203,$B$4:$B$203,$A189))</f>
        <v/>
      </c>
      <c r="L189" s="8">
        <f>IF(A189="","",(J189+K189)*Inputs!$B$16)</f>
        <v/>
      </c>
      <c r="M189" s="8" t="n"/>
      <c r="N189" s="8">
        <f>IF(A189="","",IF(M189="",Inputs!$B$7,M189))</f>
        <v/>
      </c>
      <c r="O189" s="4">
        <f>IF(A189="","",IF(L189/Inputs!$B$10&lt;=AD189,Inputs!$F$5,IF(L189/Inputs!$B$10&gt;AM189,"OVERSIZE",INDEX(Inputs!$F$5:$F$14,MATCH(L189/Inputs!$B$10,AD189:AM189,1)+1))))</f>
        <v/>
      </c>
      <c r="P189" s="4" t="n"/>
      <c r="Q189" s="4">
        <f>IF(A189="","",IF(P189="",O189,P189))</f>
        <v/>
      </c>
      <c r="R189" s="8">
        <f>IF(OR(Q189="",Q189="OVERSIZE"),"",Q189/1000)</f>
        <v/>
      </c>
      <c r="S189" s="8">
        <f>IF(R189="","",(1/Inputs!$B$9)*(PI()*R189^2/4)*((R189/4)^(2/3))*SQRT(N189))</f>
        <v/>
      </c>
      <c r="T189" s="8">
        <f>IF(OR(S189="",L189=""),"",L189/(S189*Inputs!$B$10))</f>
        <v/>
      </c>
      <c r="U189" s="8">
        <f>IF(OR(R189="",L189=""),"",4*L189/(PI()*R189^2))</f>
        <v/>
      </c>
      <c r="V189" s="8" t="n"/>
      <c r="W189" s="8">
        <f>IF(A189="","",IF(A189=Inputs!$B$6,Inputs!$B$22,IF(B189="","",IFERROR(INDEX($X$4:$X$203,MATCH(B189,$A$4:$A$203,0))+IF(V189="",Inputs!$B$20,V189),""))))</f>
        <v/>
      </c>
      <c r="X189" s="8">
        <f>IF(OR(W189="",N189="",C189=""),"",W189+N189*C189)</f>
        <v/>
      </c>
      <c r="Y189" s="8" t="n"/>
      <c r="Z189" s="8" t="n"/>
      <c r="AA189" s="8">
        <f>IF(OR(Y189="",W189=""),"",Y189-W189)</f>
        <v/>
      </c>
      <c r="AB189" s="8">
        <f>IF(OR(Z189="",X189=""),"",Z189-X189)</f>
        <v/>
      </c>
      <c r="AC189" s="4">
        <f>IF(A189="","",IF(OR(T189&gt;1,U189&lt;Inputs!$B$11,U189&gt;Inputs!$B$12,AA189&lt;Inputs!$B$19,AB189&lt;Inputs!$B$19,N189&lt;Inputs!$B$7,N189&gt;Inputs!$B$8),"CHECK","OK"))</f>
        <v/>
      </c>
      <c r="AD189" s="4">
        <f>IF(A189="","",(1/Inputs!$B$9)*(PI()*(Inputs!$F$5/1000)^2/4)*((Inputs!$F$5/1000/4)^(2/3))*SQRT(N189))</f>
        <v/>
      </c>
      <c r="AE189" s="4">
        <f>IF(A189="","",(1/Inputs!$B$9)*(PI()*(Inputs!$F$6/1000)^2/4)*((Inputs!$F$6/1000/4)^(2/3))*SQRT(N189))</f>
        <v/>
      </c>
      <c r="AF189" s="4">
        <f>IF(A189="","",(1/Inputs!$B$9)*(PI()*(Inputs!$F$7/1000)^2/4)*((Inputs!$F$7/1000/4)^(2/3))*SQRT(N189))</f>
        <v/>
      </c>
      <c r="AG189" s="4">
        <f>IF(A189="","",(1/Inputs!$B$9)*(PI()*(Inputs!$F$8/1000)^2/4)*((Inputs!$F$8/1000/4)^(2/3))*SQRT(N189))</f>
        <v/>
      </c>
      <c r="AH189" s="4">
        <f>IF(A189="","",(1/Inputs!$B$9)*(PI()*(Inputs!$F$9/1000)^2/4)*((Inputs!$F$9/1000/4)^(2/3))*SQRT(N189))</f>
        <v/>
      </c>
      <c r="AI189" s="4">
        <f>IF(A189="","",(1/Inputs!$B$9)*(PI()*(Inputs!$F$10/1000)^2/4)*((Inputs!$F$10/1000/4)^(2/3))*SQRT(N189))</f>
        <v/>
      </c>
      <c r="AJ189" s="4">
        <f>IF(A189="","",(1/Inputs!$B$9)*(PI()*(Inputs!$F$11/1000)^2/4)*((Inputs!$F$11/1000/4)^(2/3))*SQRT(N189))</f>
        <v/>
      </c>
      <c r="AK189" s="4">
        <f>IF(A189="","",(1/Inputs!$B$9)*(PI()*(Inputs!$F$12/1000)^2/4)*((Inputs!$F$12/1000/4)^(2/3))*SQRT(N189))</f>
        <v/>
      </c>
      <c r="AL189" s="4">
        <f>IF(A189="","",(1/Inputs!$B$9)*(PI()*(Inputs!$F$13/1000)^2/4)*((Inputs!$F$13/1000/4)^(2/3))*SQRT(N189))</f>
        <v/>
      </c>
      <c r="AM189" s="4">
        <f>IF(A189="","",(1/Inputs!$B$9)*(PI()*(Inputs!$F$14/1000)^2/4)*((Inputs!$F$14/1000/4)^(2/3))*SQRT(N189))</f>
        <v/>
      </c>
    </row>
    <row r="190">
      <c r="A190" s="4" t="n"/>
      <c r="B190" s="4" t="n"/>
      <c r="C190" s="8" t="n"/>
      <c r="D190" s="8" t="n"/>
      <c r="E190" s="8">
        <f>SUMIFS(CB_Tributaires!$C:$C,CB_Tributaires!$B:$B,$A190)</f>
        <v/>
      </c>
      <c r="F190" s="8">
        <f>IF(D190="",E190,D190)</f>
        <v/>
      </c>
      <c r="G190" s="4" t="n"/>
      <c r="H190" s="8" t="n"/>
      <c r="I190" s="8">
        <f>IF(A190="","",Inputs!$B$13/((IF(H190="",Inputs!$B$18,H190)+Inputs!$B$14)^Inputs!$B$15))</f>
        <v/>
      </c>
      <c r="J190" s="8">
        <f>IF(A190="","",0.00278*IF(G190="",Inputs!$B$17,G190)*F190*I190)</f>
        <v/>
      </c>
      <c r="K190" s="8">
        <f>IF(A190="","",SUMIFS($L$4:$L$203,$B$4:$B$203,$A190))</f>
        <v/>
      </c>
      <c r="L190" s="8">
        <f>IF(A190="","",(J190+K190)*Inputs!$B$16)</f>
        <v/>
      </c>
      <c r="M190" s="8" t="n"/>
      <c r="N190" s="8">
        <f>IF(A190="","",IF(M190="",Inputs!$B$7,M190))</f>
        <v/>
      </c>
      <c r="O190" s="4">
        <f>IF(A190="","",IF(L190/Inputs!$B$10&lt;=AD190,Inputs!$F$5,IF(L190/Inputs!$B$10&gt;AM190,"OVERSIZE",INDEX(Inputs!$F$5:$F$14,MATCH(L190/Inputs!$B$10,AD190:AM190,1)+1))))</f>
        <v/>
      </c>
      <c r="P190" s="4" t="n"/>
      <c r="Q190" s="4">
        <f>IF(A190="","",IF(P190="",O190,P190))</f>
        <v/>
      </c>
      <c r="R190" s="8">
        <f>IF(OR(Q190="",Q190="OVERSIZE"),"",Q190/1000)</f>
        <v/>
      </c>
      <c r="S190" s="8">
        <f>IF(R190="","",(1/Inputs!$B$9)*(PI()*R190^2/4)*((R190/4)^(2/3))*SQRT(N190))</f>
        <v/>
      </c>
      <c r="T190" s="8">
        <f>IF(OR(S190="",L190=""),"",L190/(S190*Inputs!$B$10))</f>
        <v/>
      </c>
      <c r="U190" s="8">
        <f>IF(OR(R190="",L190=""),"",4*L190/(PI()*R190^2))</f>
        <v/>
      </c>
      <c r="V190" s="8" t="n"/>
      <c r="W190" s="8">
        <f>IF(A190="","",IF(A190=Inputs!$B$6,Inputs!$B$22,IF(B190="","",IFERROR(INDEX($X$4:$X$203,MATCH(B190,$A$4:$A$203,0))+IF(V190="",Inputs!$B$20,V190),""))))</f>
        <v/>
      </c>
      <c r="X190" s="8">
        <f>IF(OR(W190="",N190="",C190=""),"",W190+N190*C190)</f>
        <v/>
      </c>
      <c r="Y190" s="8" t="n"/>
      <c r="Z190" s="8" t="n"/>
      <c r="AA190" s="8">
        <f>IF(OR(Y190="",W190=""),"",Y190-W190)</f>
        <v/>
      </c>
      <c r="AB190" s="8">
        <f>IF(OR(Z190="",X190=""),"",Z190-X190)</f>
        <v/>
      </c>
      <c r="AC190" s="4">
        <f>IF(A190="","",IF(OR(T190&gt;1,U190&lt;Inputs!$B$11,U190&gt;Inputs!$B$12,AA190&lt;Inputs!$B$19,AB190&lt;Inputs!$B$19,N190&lt;Inputs!$B$7,N190&gt;Inputs!$B$8),"CHECK","OK"))</f>
        <v/>
      </c>
      <c r="AD190" s="4">
        <f>IF(A190="","",(1/Inputs!$B$9)*(PI()*(Inputs!$F$5/1000)^2/4)*((Inputs!$F$5/1000/4)^(2/3))*SQRT(N190))</f>
        <v/>
      </c>
      <c r="AE190" s="4">
        <f>IF(A190="","",(1/Inputs!$B$9)*(PI()*(Inputs!$F$6/1000)^2/4)*((Inputs!$F$6/1000/4)^(2/3))*SQRT(N190))</f>
        <v/>
      </c>
      <c r="AF190" s="4">
        <f>IF(A190="","",(1/Inputs!$B$9)*(PI()*(Inputs!$F$7/1000)^2/4)*((Inputs!$F$7/1000/4)^(2/3))*SQRT(N190))</f>
        <v/>
      </c>
      <c r="AG190" s="4">
        <f>IF(A190="","",(1/Inputs!$B$9)*(PI()*(Inputs!$F$8/1000)^2/4)*((Inputs!$F$8/1000/4)^(2/3))*SQRT(N190))</f>
        <v/>
      </c>
      <c r="AH190" s="4">
        <f>IF(A190="","",(1/Inputs!$B$9)*(PI()*(Inputs!$F$9/1000)^2/4)*((Inputs!$F$9/1000/4)^(2/3))*SQRT(N190))</f>
        <v/>
      </c>
      <c r="AI190" s="4">
        <f>IF(A190="","",(1/Inputs!$B$9)*(PI()*(Inputs!$F$10/1000)^2/4)*((Inputs!$F$10/1000/4)^(2/3))*SQRT(N190))</f>
        <v/>
      </c>
      <c r="AJ190" s="4">
        <f>IF(A190="","",(1/Inputs!$B$9)*(PI()*(Inputs!$F$11/1000)^2/4)*((Inputs!$F$11/1000/4)^(2/3))*SQRT(N190))</f>
        <v/>
      </c>
      <c r="AK190" s="4">
        <f>IF(A190="","",(1/Inputs!$B$9)*(PI()*(Inputs!$F$12/1000)^2/4)*((Inputs!$F$12/1000/4)^(2/3))*SQRT(N190))</f>
        <v/>
      </c>
      <c r="AL190" s="4">
        <f>IF(A190="","",(1/Inputs!$B$9)*(PI()*(Inputs!$F$13/1000)^2/4)*((Inputs!$F$13/1000/4)^(2/3))*SQRT(N190))</f>
        <v/>
      </c>
      <c r="AM190" s="4">
        <f>IF(A190="","",(1/Inputs!$B$9)*(PI()*(Inputs!$F$14/1000)^2/4)*((Inputs!$F$14/1000/4)^(2/3))*SQRT(N190))</f>
        <v/>
      </c>
    </row>
    <row r="191">
      <c r="A191" s="4" t="n"/>
      <c r="B191" s="4" t="n"/>
      <c r="C191" s="8" t="n"/>
      <c r="D191" s="8" t="n"/>
      <c r="E191" s="8">
        <f>SUMIFS(CB_Tributaires!$C:$C,CB_Tributaires!$B:$B,$A191)</f>
        <v/>
      </c>
      <c r="F191" s="8">
        <f>IF(D191="",E191,D191)</f>
        <v/>
      </c>
      <c r="G191" s="4" t="n"/>
      <c r="H191" s="8" t="n"/>
      <c r="I191" s="8">
        <f>IF(A191="","",Inputs!$B$13/((IF(H191="",Inputs!$B$18,H191)+Inputs!$B$14)^Inputs!$B$15))</f>
        <v/>
      </c>
      <c r="J191" s="8">
        <f>IF(A191="","",0.00278*IF(G191="",Inputs!$B$17,G191)*F191*I191)</f>
        <v/>
      </c>
      <c r="K191" s="8">
        <f>IF(A191="","",SUMIFS($L$4:$L$203,$B$4:$B$203,$A191))</f>
        <v/>
      </c>
      <c r="L191" s="8">
        <f>IF(A191="","",(J191+K191)*Inputs!$B$16)</f>
        <v/>
      </c>
      <c r="M191" s="8" t="n"/>
      <c r="N191" s="8">
        <f>IF(A191="","",IF(M191="",Inputs!$B$7,M191))</f>
        <v/>
      </c>
      <c r="O191" s="4">
        <f>IF(A191="","",IF(L191/Inputs!$B$10&lt;=AD191,Inputs!$F$5,IF(L191/Inputs!$B$10&gt;AM191,"OVERSIZE",INDEX(Inputs!$F$5:$F$14,MATCH(L191/Inputs!$B$10,AD191:AM191,1)+1))))</f>
        <v/>
      </c>
      <c r="P191" s="4" t="n"/>
      <c r="Q191" s="4">
        <f>IF(A191="","",IF(P191="",O191,P191))</f>
        <v/>
      </c>
      <c r="R191" s="8">
        <f>IF(OR(Q191="",Q191="OVERSIZE"),"",Q191/1000)</f>
        <v/>
      </c>
      <c r="S191" s="8">
        <f>IF(R191="","",(1/Inputs!$B$9)*(PI()*R191^2/4)*((R191/4)^(2/3))*SQRT(N191))</f>
        <v/>
      </c>
      <c r="T191" s="8">
        <f>IF(OR(S191="",L191=""),"",L191/(S191*Inputs!$B$10))</f>
        <v/>
      </c>
      <c r="U191" s="8">
        <f>IF(OR(R191="",L191=""),"",4*L191/(PI()*R191^2))</f>
        <v/>
      </c>
      <c r="V191" s="8" t="n"/>
      <c r="W191" s="8">
        <f>IF(A191="","",IF(A191=Inputs!$B$6,Inputs!$B$22,IF(B191="","",IFERROR(INDEX($X$4:$X$203,MATCH(B191,$A$4:$A$203,0))+IF(V191="",Inputs!$B$20,V191),""))))</f>
        <v/>
      </c>
      <c r="X191" s="8">
        <f>IF(OR(W191="",N191="",C191=""),"",W191+N191*C191)</f>
        <v/>
      </c>
      <c r="Y191" s="8" t="n"/>
      <c r="Z191" s="8" t="n"/>
      <c r="AA191" s="8">
        <f>IF(OR(Y191="",W191=""),"",Y191-W191)</f>
        <v/>
      </c>
      <c r="AB191" s="8">
        <f>IF(OR(Z191="",X191=""),"",Z191-X191)</f>
        <v/>
      </c>
      <c r="AC191" s="4">
        <f>IF(A191="","",IF(OR(T191&gt;1,U191&lt;Inputs!$B$11,U191&gt;Inputs!$B$12,AA191&lt;Inputs!$B$19,AB191&lt;Inputs!$B$19,N191&lt;Inputs!$B$7,N191&gt;Inputs!$B$8),"CHECK","OK"))</f>
        <v/>
      </c>
      <c r="AD191" s="4">
        <f>IF(A191="","",(1/Inputs!$B$9)*(PI()*(Inputs!$F$5/1000)^2/4)*((Inputs!$F$5/1000/4)^(2/3))*SQRT(N191))</f>
        <v/>
      </c>
      <c r="AE191" s="4">
        <f>IF(A191="","",(1/Inputs!$B$9)*(PI()*(Inputs!$F$6/1000)^2/4)*((Inputs!$F$6/1000/4)^(2/3))*SQRT(N191))</f>
        <v/>
      </c>
      <c r="AF191" s="4">
        <f>IF(A191="","",(1/Inputs!$B$9)*(PI()*(Inputs!$F$7/1000)^2/4)*((Inputs!$F$7/1000/4)^(2/3))*SQRT(N191))</f>
        <v/>
      </c>
      <c r="AG191" s="4">
        <f>IF(A191="","",(1/Inputs!$B$9)*(PI()*(Inputs!$F$8/1000)^2/4)*((Inputs!$F$8/1000/4)^(2/3))*SQRT(N191))</f>
        <v/>
      </c>
      <c r="AH191" s="4">
        <f>IF(A191="","",(1/Inputs!$B$9)*(PI()*(Inputs!$F$9/1000)^2/4)*((Inputs!$F$9/1000/4)^(2/3))*SQRT(N191))</f>
        <v/>
      </c>
      <c r="AI191" s="4">
        <f>IF(A191="","",(1/Inputs!$B$9)*(PI()*(Inputs!$F$10/1000)^2/4)*((Inputs!$F$10/1000/4)^(2/3))*SQRT(N191))</f>
        <v/>
      </c>
      <c r="AJ191" s="4">
        <f>IF(A191="","",(1/Inputs!$B$9)*(PI()*(Inputs!$F$11/1000)^2/4)*((Inputs!$F$11/1000/4)^(2/3))*SQRT(N191))</f>
        <v/>
      </c>
      <c r="AK191" s="4">
        <f>IF(A191="","",(1/Inputs!$B$9)*(PI()*(Inputs!$F$12/1000)^2/4)*((Inputs!$F$12/1000/4)^(2/3))*SQRT(N191))</f>
        <v/>
      </c>
      <c r="AL191" s="4">
        <f>IF(A191="","",(1/Inputs!$B$9)*(PI()*(Inputs!$F$13/1000)^2/4)*((Inputs!$F$13/1000/4)^(2/3))*SQRT(N191))</f>
        <v/>
      </c>
      <c r="AM191" s="4">
        <f>IF(A191="","",(1/Inputs!$B$9)*(PI()*(Inputs!$F$14/1000)^2/4)*((Inputs!$F$14/1000/4)^(2/3))*SQRT(N191))</f>
        <v/>
      </c>
    </row>
    <row r="192">
      <c r="A192" s="4" t="n"/>
      <c r="B192" s="4" t="n"/>
      <c r="C192" s="8" t="n"/>
      <c r="D192" s="8" t="n"/>
      <c r="E192" s="8">
        <f>SUMIFS(CB_Tributaires!$C:$C,CB_Tributaires!$B:$B,$A192)</f>
        <v/>
      </c>
      <c r="F192" s="8">
        <f>IF(D192="",E192,D192)</f>
        <v/>
      </c>
      <c r="G192" s="4" t="n"/>
      <c r="H192" s="8" t="n"/>
      <c r="I192" s="8">
        <f>IF(A192="","",Inputs!$B$13/((IF(H192="",Inputs!$B$18,H192)+Inputs!$B$14)^Inputs!$B$15))</f>
        <v/>
      </c>
      <c r="J192" s="8">
        <f>IF(A192="","",0.00278*IF(G192="",Inputs!$B$17,G192)*F192*I192)</f>
        <v/>
      </c>
      <c r="K192" s="8">
        <f>IF(A192="","",SUMIFS($L$4:$L$203,$B$4:$B$203,$A192))</f>
        <v/>
      </c>
      <c r="L192" s="8">
        <f>IF(A192="","",(J192+K192)*Inputs!$B$16)</f>
        <v/>
      </c>
      <c r="M192" s="8" t="n"/>
      <c r="N192" s="8">
        <f>IF(A192="","",IF(M192="",Inputs!$B$7,M192))</f>
        <v/>
      </c>
      <c r="O192" s="4">
        <f>IF(A192="","",IF(L192/Inputs!$B$10&lt;=AD192,Inputs!$F$5,IF(L192/Inputs!$B$10&gt;AM192,"OVERSIZE",INDEX(Inputs!$F$5:$F$14,MATCH(L192/Inputs!$B$10,AD192:AM192,1)+1))))</f>
        <v/>
      </c>
      <c r="P192" s="4" t="n"/>
      <c r="Q192" s="4">
        <f>IF(A192="","",IF(P192="",O192,P192))</f>
        <v/>
      </c>
      <c r="R192" s="8">
        <f>IF(OR(Q192="",Q192="OVERSIZE"),"",Q192/1000)</f>
        <v/>
      </c>
      <c r="S192" s="8">
        <f>IF(R192="","",(1/Inputs!$B$9)*(PI()*R192^2/4)*((R192/4)^(2/3))*SQRT(N192))</f>
        <v/>
      </c>
      <c r="T192" s="8">
        <f>IF(OR(S192="",L192=""),"",L192/(S192*Inputs!$B$10))</f>
        <v/>
      </c>
      <c r="U192" s="8">
        <f>IF(OR(R192="",L192=""),"",4*L192/(PI()*R192^2))</f>
        <v/>
      </c>
      <c r="V192" s="8" t="n"/>
      <c r="W192" s="8">
        <f>IF(A192="","",IF(A192=Inputs!$B$6,Inputs!$B$22,IF(B192="","",IFERROR(INDEX($X$4:$X$203,MATCH(B192,$A$4:$A$203,0))+IF(V192="",Inputs!$B$20,V192),""))))</f>
        <v/>
      </c>
      <c r="X192" s="8">
        <f>IF(OR(W192="",N192="",C192=""),"",W192+N192*C192)</f>
        <v/>
      </c>
      <c r="Y192" s="8" t="n"/>
      <c r="Z192" s="8" t="n"/>
      <c r="AA192" s="8">
        <f>IF(OR(Y192="",W192=""),"",Y192-W192)</f>
        <v/>
      </c>
      <c r="AB192" s="8">
        <f>IF(OR(Z192="",X192=""),"",Z192-X192)</f>
        <v/>
      </c>
      <c r="AC192" s="4">
        <f>IF(A192="","",IF(OR(T192&gt;1,U192&lt;Inputs!$B$11,U192&gt;Inputs!$B$12,AA192&lt;Inputs!$B$19,AB192&lt;Inputs!$B$19,N192&lt;Inputs!$B$7,N192&gt;Inputs!$B$8),"CHECK","OK"))</f>
        <v/>
      </c>
      <c r="AD192" s="4">
        <f>IF(A192="","",(1/Inputs!$B$9)*(PI()*(Inputs!$F$5/1000)^2/4)*((Inputs!$F$5/1000/4)^(2/3))*SQRT(N192))</f>
        <v/>
      </c>
      <c r="AE192" s="4">
        <f>IF(A192="","",(1/Inputs!$B$9)*(PI()*(Inputs!$F$6/1000)^2/4)*((Inputs!$F$6/1000/4)^(2/3))*SQRT(N192))</f>
        <v/>
      </c>
      <c r="AF192" s="4">
        <f>IF(A192="","",(1/Inputs!$B$9)*(PI()*(Inputs!$F$7/1000)^2/4)*((Inputs!$F$7/1000/4)^(2/3))*SQRT(N192))</f>
        <v/>
      </c>
      <c r="AG192" s="4">
        <f>IF(A192="","",(1/Inputs!$B$9)*(PI()*(Inputs!$F$8/1000)^2/4)*((Inputs!$F$8/1000/4)^(2/3))*SQRT(N192))</f>
        <v/>
      </c>
      <c r="AH192" s="4">
        <f>IF(A192="","",(1/Inputs!$B$9)*(PI()*(Inputs!$F$9/1000)^2/4)*((Inputs!$F$9/1000/4)^(2/3))*SQRT(N192))</f>
        <v/>
      </c>
      <c r="AI192" s="4">
        <f>IF(A192="","",(1/Inputs!$B$9)*(PI()*(Inputs!$F$10/1000)^2/4)*((Inputs!$F$10/1000/4)^(2/3))*SQRT(N192))</f>
        <v/>
      </c>
      <c r="AJ192" s="4">
        <f>IF(A192="","",(1/Inputs!$B$9)*(PI()*(Inputs!$F$11/1000)^2/4)*((Inputs!$F$11/1000/4)^(2/3))*SQRT(N192))</f>
        <v/>
      </c>
      <c r="AK192" s="4">
        <f>IF(A192="","",(1/Inputs!$B$9)*(PI()*(Inputs!$F$12/1000)^2/4)*((Inputs!$F$12/1000/4)^(2/3))*SQRT(N192))</f>
        <v/>
      </c>
      <c r="AL192" s="4">
        <f>IF(A192="","",(1/Inputs!$B$9)*(PI()*(Inputs!$F$13/1000)^2/4)*((Inputs!$F$13/1000/4)^(2/3))*SQRT(N192))</f>
        <v/>
      </c>
      <c r="AM192" s="4">
        <f>IF(A192="","",(1/Inputs!$B$9)*(PI()*(Inputs!$F$14/1000)^2/4)*((Inputs!$F$14/1000/4)^(2/3))*SQRT(N192))</f>
        <v/>
      </c>
    </row>
    <row r="193">
      <c r="A193" s="4" t="n"/>
      <c r="B193" s="4" t="n"/>
      <c r="C193" s="8" t="n"/>
      <c r="D193" s="8" t="n"/>
      <c r="E193" s="8">
        <f>SUMIFS(CB_Tributaires!$C:$C,CB_Tributaires!$B:$B,$A193)</f>
        <v/>
      </c>
      <c r="F193" s="8">
        <f>IF(D193="",E193,D193)</f>
        <v/>
      </c>
      <c r="G193" s="4" t="n"/>
      <c r="H193" s="8" t="n"/>
      <c r="I193" s="8">
        <f>IF(A193="","",Inputs!$B$13/((IF(H193="",Inputs!$B$18,H193)+Inputs!$B$14)^Inputs!$B$15))</f>
        <v/>
      </c>
      <c r="J193" s="8">
        <f>IF(A193="","",0.00278*IF(G193="",Inputs!$B$17,G193)*F193*I193)</f>
        <v/>
      </c>
      <c r="K193" s="8">
        <f>IF(A193="","",SUMIFS($L$4:$L$203,$B$4:$B$203,$A193))</f>
        <v/>
      </c>
      <c r="L193" s="8">
        <f>IF(A193="","",(J193+K193)*Inputs!$B$16)</f>
        <v/>
      </c>
      <c r="M193" s="8" t="n"/>
      <c r="N193" s="8">
        <f>IF(A193="","",IF(M193="",Inputs!$B$7,M193))</f>
        <v/>
      </c>
      <c r="O193" s="4">
        <f>IF(A193="","",IF(L193/Inputs!$B$10&lt;=AD193,Inputs!$F$5,IF(L193/Inputs!$B$10&gt;AM193,"OVERSIZE",INDEX(Inputs!$F$5:$F$14,MATCH(L193/Inputs!$B$10,AD193:AM193,1)+1))))</f>
        <v/>
      </c>
      <c r="P193" s="4" t="n"/>
      <c r="Q193" s="4">
        <f>IF(A193="","",IF(P193="",O193,P193))</f>
        <v/>
      </c>
      <c r="R193" s="8">
        <f>IF(OR(Q193="",Q193="OVERSIZE"),"",Q193/1000)</f>
        <v/>
      </c>
      <c r="S193" s="8">
        <f>IF(R193="","",(1/Inputs!$B$9)*(PI()*R193^2/4)*((R193/4)^(2/3))*SQRT(N193))</f>
        <v/>
      </c>
      <c r="T193" s="8">
        <f>IF(OR(S193="",L193=""),"",L193/(S193*Inputs!$B$10))</f>
        <v/>
      </c>
      <c r="U193" s="8">
        <f>IF(OR(R193="",L193=""),"",4*L193/(PI()*R193^2))</f>
        <v/>
      </c>
      <c r="V193" s="8" t="n"/>
      <c r="W193" s="8">
        <f>IF(A193="","",IF(A193=Inputs!$B$6,Inputs!$B$22,IF(B193="","",IFERROR(INDEX($X$4:$X$203,MATCH(B193,$A$4:$A$203,0))+IF(V193="",Inputs!$B$20,V193),""))))</f>
        <v/>
      </c>
      <c r="X193" s="8">
        <f>IF(OR(W193="",N193="",C193=""),"",W193+N193*C193)</f>
        <v/>
      </c>
      <c r="Y193" s="8" t="n"/>
      <c r="Z193" s="8" t="n"/>
      <c r="AA193" s="8">
        <f>IF(OR(Y193="",W193=""),"",Y193-W193)</f>
        <v/>
      </c>
      <c r="AB193" s="8">
        <f>IF(OR(Z193="",X193=""),"",Z193-X193)</f>
        <v/>
      </c>
      <c r="AC193" s="4">
        <f>IF(A193="","",IF(OR(T193&gt;1,U193&lt;Inputs!$B$11,U193&gt;Inputs!$B$12,AA193&lt;Inputs!$B$19,AB193&lt;Inputs!$B$19,N193&lt;Inputs!$B$7,N193&gt;Inputs!$B$8),"CHECK","OK"))</f>
        <v/>
      </c>
      <c r="AD193" s="4">
        <f>IF(A193="","",(1/Inputs!$B$9)*(PI()*(Inputs!$F$5/1000)^2/4)*((Inputs!$F$5/1000/4)^(2/3))*SQRT(N193))</f>
        <v/>
      </c>
      <c r="AE193" s="4">
        <f>IF(A193="","",(1/Inputs!$B$9)*(PI()*(Inputs!$F$6/1000)^2/4)*((Inputs!$F$6/1000/4)^(2/3))*SQRT(N193))</f>
        <v/>
      </c>
      <c r="AF193" s="4">
        <f>IF(A193="","",(1/Inputs!$B$9)*(PI()*(Inputs!$F$7/1000)^2/4)*((Inputs!$F$7/1000/4)^(2/3))*SQRT(N193))</f>
        <v/>
      </c>
      <c r="AG193" s="4">
        <f>IF(A193="","",(1/Inputs!$B$9)*(PI()*(Inputs!$F$8/1000)^2/4)*((Inputs!$F$8/1000/4)^(2/3))*SQRT(N193))</f>
        <v/>
      </c>
      <c r="AH193" s="4">
        <f>IF(A193="","",(1/Inputs!$B$9)*(PI()*(Inputs!$F$9/1000)^2/4)*((Inputs!$F$9/1000/4)^(2/3))*SQRT(N193))</f>
        <v/>
      </c>
      <c r="AI193" s="4">
        <f>IF(A193="","",(1/Inputs!$B$9)*(PI()*(Inputs!$F$10/1000)^2/4)*((Inputs!$F$10/1000/4)^(2/3))*SQRT(N193))</f>
        <v/>
      </c>
      <c r="AJ193" s="4">
        <f>IF(A193="","",(1/Inputs!$B$9)*(PI()*(Inputs!$F$11/1000)^2/4)*((Inputs!$F$11/1000/4)^(2/3))*SQRT(N193))</f>
        <v/>
      </c>
      <c r="AK193" s="4">
        <f>IF(A193="","",(1/Inputs!$B$9)*(PI()*(Inputs!$F$12/1000)^2/4)*((Inputs!$F$12/1000/4)^(2/3))*SQRT(N193))</f>
        <v/>
      </c>
      <c r="AL193" s="4">
        <f>IF(A193="","",(1/Inputs!$B$9)*(PI()*(Inputs!$F$13/1000)^2/4)*((Inputs!$F$13/1000/4)^(2/3))*SQRT(N193))</f>
        <v/>
      </c>
      <c r="AM193" s="4">
        <f>IF(A193="","",(1/Inputs!$B$9)*(PI()*(Inputs!$F$14/1000)^2/4)*((Inputs!$F$14/1000/4)^(2/3))*SQRT(N193))</f>
        <v/>
      </c>
    </row>
    <row r="194">
      <c r="A194" s="4" t="n"/>
      <c r="B194" s="4" t="n"/>
      <c r="C194" s="8" t="n"/>
      <c r="D194" s="8" t="n"/>
      <c r="E194" s="8">
        <f>SUMIFS(CB_Tributaires!$C:$C,CB_Tributaires!$B:$B,$A194)</f>
        <v/>
      </c>
      <c r="F194" s="8">
        <f>IF(D194="",E194,D194)</f>
        <v/>
      </c>
      <c r="G194" s="4" t="n"/>
      <c r="H194" s="8" t="n"/>
      <c r="I194" s="8">
        <f>IF(A194="","",Inputs!$B$13/((IF(H194="",Inputs!$B$18,H194)+Inputs!$B$14)^Inputs!$B$15))</f>
        <v/>
      </c>
      <c r="J194" s="8">
        <f>IF(A194="","",0.00278*IF(G194="",Inputs!$B$17,G194)*F194*I194)</f>
        <v/>
      </c>
      <c r="K194" s="8">
        <f>IF(A194="","",SUMIFS($L$4:$L$203,$B$4:$B$203,$A194))</f>
        <v/>
      </c>
      <c r="L194" s="8">
        <f>IF(A194="","",(J194+K194)*Inputs!$B$16)</f>
        <v/>
      </c>
      <c r="M194" s="8" t="n"/>
      <c r="N194" s="8">
        <f>IF(A194="","",IF(M194="",Inputs!$B$7,M194))</f>
        <v/>
      </c>
      <c r="O194" s="4">
        <f>IF(A194="","",IF(L194/Inputs!$B$10&lt;=AD194,Inputs!$F$5,IF(L194/Inputs!$B$10&gt;AM194,"OVERSIZE",INDEX(Inputs!$F$5:$F$14,MATCH(L194/Inputs!$B$10,AD194:AM194,1)+1))))</f>
        <v/>
      </c>
      <c r="P194" s="4" t="n"/>
      <c r="Q194" s="4">
        <f>IF(A194="","",IF(P194="",O194,P194))</f>
        <v/>
      </c>
      <c r="R194" s="8">
        <f>IF(OR(Q194="",Q194="OVERSIZE"),"",Q194/1000)</f>
        <v/>
      </c>
      <c r="S194" s="8">
        <f>IF(R194="","",(1/Inputs!$B$9)*(PI()*R194^2/4)*((R194/4)^(2/3))*SQRT(N194))</f>
        <v/>
      </c>
      <c r="T194" s="8">
        <f>IF(OR(S194="",L194=""),"",L194/(S194*Inputs!$B$10))</f>
        <v/>
      </c>
      <c r="U194" s="8">
        <f>IF(OR(R194="",L194=""),"",4*L194/(PI()*R194^2))</f>
        <v/>
      </c>
      <c r="V194" s="8" t="n"/>
      <c r="W194" s="8">
        <f>IF(A194="","",IF(A194=Inputs!$B$6,Inputs!$B$22,IF(B194="","",IFERROR(INDEX($X$4:$X$203,MATCH(B194,$A$4:$A$203,0))+IF(V194="",Inputs!$B$20,V194),""))))</f>
        <v/>
      </c>
      <c r="X194" s="8">
        <f>IF(OR(W194="",N194="",C194=""),"",W194+N194*C194)</f>
        <v/>
      </c>
      <c r="Y194" s="8" t="n"/>
      <c r="Z194" s="8" t="n"/>
      <c r="AA194" s="8">
        <f>IF(OR(Y194="",W194=""),"",Y194-W194)</f>
        <v/>
      </c>
      <c r="AB194" s="8">
        <f>IF(OR(Z194="",X194=""),"",Z194-X194)</f>
        <v/>
      </c>
      <c r="AC194" s="4">
        <f>IF(A194="","",IF(OR(T194&gt;1,U194&lt;Inputs!$B$11,U194&gt;Inputs!$B$12,AA194&lt;Inputs!$B$19,AB194&lt;Inputs!$B$19,N194&lt;Inputs!$B$7,N194&gt;Inputs!$B$8),"CHECK","OK"))</f>
        <v/>
      </c>
      <c r="AD194" s="4">
        <f>IF(A194="","",(1/Inputs!$B$9)*(PI()*(Inputs!$F$5/1000)^2/4)*((Inputs!$F$5/1000/4)^(2/3))*SQRT(N194))</f>
        <v/>
      </c>
      <c r="AE194" s="4">
        <f>IF(A194="","",(1/Inputs!$B$9)*(PI()*(Inputs!$F$6/1000)^2/4)*((Inputs!$F$6/1000/4)^(2/3))*SQRT(N194))</f>
        <v/>
      </c>
      <c r="AF194" s="4">
        <f>IF(A194="","",(1/Inputs!$B$9)*(PI()*(Inputs!$F$7/1000)^2/4)*((Inputs!$F$7/1000/4)^(2/3))*SQRT(N194))</f>
        <v/>
      </c>
      <c r="AG194" s="4">
        <f>IF(A194="","",(1/Inputs!$B$9)*(PI()*(Inputs!$F$8/1000)^2/4)*((Inputs!$F$8/1000/4)^(2/3))*SQRT(N194))</f>
        <v/>
      </c>
      <c r="AH194" s="4">
        <f>IF(A194="","",(1/Inputs!$B$9)*(PI()*(Inputs!$F$9/1000)^2/4)*((Inputs!$F$9/1000/4)^(2/3))*SQRT(N194))</f>
        <v/>
      </c>
      <c r="AI194" s="4">
        <f>IF(A194="","",(1/Inputs!$B$9)*(PI()*(Inputs!$F$10/1000)^2/4)*((Inputs!$F$10/1000/4)^(2/3))*SQRT(N194))</f>
        <v/>
      </c>
      <c r="AJ194" s="4">
        <f>IF(A194="","",(1/Inputs!$B$9)*(PI()*(Inputs!$F$11/1000)^2/4)*((Inputs!$F$11/1000/4)^(2/3))*SQRT(N194))</f>
        <v/>
      </c>
      <c r="AK194" s="4">
        <f>IF(A194="","",(1/Inputs!$B$9)*(PI()*(Inputs!$F$12/1000)^2/4)*((Inputs!$F$12/1000/4)^(2/3))*SQRT(N194))</f>
        <v/>
      </c>
      <c r="AL194" s="4">
        <f>IF(A194="","",(1/Inputs!$B$9)*(PI()*(Inputs!$F$13/1000)^2/4)*((Inputs!$F$13/1000/4)^(2/3))*SQRT(N194))</f>
        <v/>
      </c>
      <c r="AM194" s="4">
        <f>IF(A194="","",(1/Inputs!$B$9)*(PI()*(Inputs!$F$14/1000)^2/4)*((Inputs!$F$14/1000/4)^(2/3))*SQRT(N194))</f>
        <v/>
      </c>
    </row>
    <row r="195">
      <c r="A195" s="4" t="n"/>
      <c r="B195" s="4" t="n"/>
      <c r="C195" s="8" t="n"/>
      <c r="D195" s="8" t="n"/>
      <c r="E195" s="8">
        <f>SUMIFS(CB_Tributaires!$C:$C,CB_Tributaires!$B:$B,$A195)</f>
        <v/>
      </c>
      <c r="F195" s="8">
        <f>IF(D195="",E195,D195)</f>
        <v/>
      </c>
      <c r="G195" s="4" t="n"/>
      <c r="H195" s="8" t="n"/>
      <c r="I195" s="8">
        <f>IF(A195="","",Inputs!$B$13/((IF(H195="",Inputs!$B$18,H195)+Inputs!$B$14)^Inputs!$B$15))</f>
        <v/>
      </c>
      <c r="J195" s="8">
        <f>IF(A195="","",0.00278*IF(G195="",Inputs!$B$17,G195)*F195*I195)</f>
        <v/>
      </c>
      <c r="K195" s="8">
        <f>IF(A195="","",SUMIFS($L$4:$L$203,$B$4:$B$203,$A195))</f>
        <v/>
      </c>
      <c r="L195" s="8">
        <f>IF(A195="","",(J195+K195)*Inputs!$B$16)</f>
        <v/>
      </c>
      <c r="M195" s="8" t="n"/>
      <c r="N195" s="8">
        <f>IF(A195="","",IF(M195="",Inputs!$B$7,M195))</f>
        <v/>
      </c>
      <c r="O195" s="4">
        <f>IF(A195="","",IF(L195/Inputs!$B$10&lt;=AD195,Inputs!$F$5,IF(L195/Inputs!$B$10&gt;AM195,"OVERSIZE",INDEX(Inputs!$F$5:$F$14,MATCH(L195/Inputs!$B$10,AD195:AM195,1)+1))))</f>
        <v/>
      </c>
      <c r="P195" s="4" t="n"/>
      <c r="Q195" s="4">
        <f>IF(A195="","",IF(P195="",O195,P195))</f>
        <v/>
      </c>
      <c r="R195" s="8">
        <f>IF(OR(Q195="",Q195="OVERSIZE"),"",Q195/1000)</f>
        <v/>
      </c>
      <c r="S195" s="8">
        <f>IF(R195="","",(1/Inputs!$B$9)*(PI()*R195^2/4)*((R195/4)^(2/3))*SQRT(N195))</f>
        <v/>
      </c>
      <c r="T195" s="8">
        <f>IF(OR(S195="",L195=""),"",L195/(S195*Inputs!$B$10))</f>
        <v/>
      </c>
      <c r="U195" s="8">
        <f>IF(OR(R195="",L195=""),"",4*L195/(PI()*R195^2))</f>
        <v/>
      </c>
      <c r="V195" s="8" t="n"/>
      <c r="W195" s="8">
        <f>IF(A195="","",IF(A195=Inputs!$B$6,Inputs!$B$22,IF(B195="","",IFERROR(INDEX($X$4:$X$203,MATCH(B195,$A$4:$A$203,0))+IF(V195="",Inputs!$B$20,V195),""))))</f>
        <v/>
      </c>
      <c r="X195" s="8">
        <f>IF(OR(W195="",N195="",C195=""),"",W195+N195*C195)</f>
        <v/>
      </c>
      <c r="Y195" s="8" t="n"/>
      <c r="Z195" s="8" t="n"/>
      <c r="AA195" s="8">
        <f>IF(OR(Y195="",W195=""),"",Y195-W195)</f>
        <v/>
      </c>
      <c r="AB195" s="8">
        <f>IF(OR(Z195="",X195=""),"",Z195-X195)</f>
        <v/>
      </c>
      <c r="AC195" s="4">
        <f>IF(A195="","",IF(OR(T195&gt;1,U195&lt;Inputs!$B$11,U195&gt;Inputs!$B$12,AA195&lt;Inputs!$B$19,AB195&lt;Inputs!$B$19,N195&lt;Inputs!$B$7,N195&gt;Inputs!$B$8),"CHECK","OK"))</f>
        <v/>
      </c>
      <c r="AD195" s="4">
        <f>IF(A195="","",(1/Inputs!$B$9)*(PI()*(Inputs!$F$5/1000)^2/4)*((Inputs!$F$5/1000/4)^(2/3))*SQRT(N195))</f>
        <v/>
      </c>
      <c r="AE195" s="4">
        <f>IF(A195="","",(1/Inputs!$B$9)*(PI()*(Inputs!$F$6/1000)^2/4)*((Inputs!$F$6/1000/4)^(2/3))*SQRT(N195))</f>
        <v/>
      </c>
      <c r="AF195" s="4">
        <f>IF(A195="","",(1/Inputs!$B$9)*(PI()*(Inputs!$F$7/1000)^2/4)*((Inputs!$F$7/1000/4)^(2/3))*SQRT(N195))</f>
        <v/>
      </c>
      <c r="AG195" s="4">
        <f>IF(A195="","",(1/Inputs!$B$9)*(PI()*(Inputs!$F$8/1000)^2/4)*((Inputs!$F$8/1000/4)^(2/3))*SQRT(N195))</f>
        <v/>
      </c>
      <c r="AH195" s="4">
        <f>IF(A195="","",(1/Inputs!$B$9)*(PI()*(Inputs!$F$9/1000)^2/4)*((Inputs!$F$9/1000/4)^(2/3))*SQRT(N195))</f>
        <v/>
      </c>
      <c r="AI195" s="4">
        <f>IF(A195="","",(1/Inputs!$B$9)*(PI()*(Inputs!$F$10/1000)^2/4)*((Inputs!$F$10/1000/4)^(2/3))*SQRT(N195))</f>
        <v/>
      </c>
      <c r="AJ195" s="4">
        <f>IF(A195="","",(1/Inputs!$B$9)*(PI()*(Inputs!$F$11/1000)^2/4)*((Inputs!$F$11/1000/4)^(2/3))*SQRT(N195))</f>
        <v/>
      </c>
      <c r="AK195" s="4">
        <f>IF(A195="","",(1/Inputs!$B$9)*(PI()*(Inputs!$F$12/1000)^2/4)*((Inputs!$F$12/1000/4)^(2/3))*SQRT(N195))</f>
        <v/>
      </c>
      <c r="AL195" s="4">
        <f>IF(A195="","",(1/Inputs!$B$9)*(PI()*(Inputs!$F$13/1000)^2/4)*((Inputs!$F$13/1000/4)^(2/3))*SQRT(N195))</f>
        <v/>
      </c>
      <c r="AM195" s="4">
        <f>IF(A195="","",(1/Inputs!$B$9)*(PI()*(Inputs!$F$14/1000)^2/4)*((Inputs!$F$14/1000/4)^(2/3))*SQRT(N195))</f>
        <v/>
      </c>
    </row>
    <row r="196">
      <c r="A196" s="4" t="n"/>
      <c r="B196" s="4" t="n"/>
      <c r="C196" s="8" t="n"/>
      <c r="D196" s="8" t="n"/>
      <c r="E196" s="8">
        <f>SUMIFS(CB_Tributaires!$C:$C,CB_Tributaires!$B:$B,$A196)</f>
        <v/>
      </c>
      <c r="F196" s="8">
        <f>IF(D196="",E196,D196)</f>
        <v/>
      </c>
      <c r="G196" s="4" t="n"/>
      <c r="H196" s="8" t="n"/>
      <c r="I196" s="8">
        <f>IF(A196="","",Inputs!$B$13/((IF(H196="",Inputs!$B$18,H196)+Inputs!$B$14)^Inputs!$B$15))</f>
        <v/>
      </c>
      <c r="J196" s="8">
        <f>IF(A196="","",0.00278*IF(G196="",Inputs!$B$17,G196)*F196*I196)</f>
        <v/>
      </c>
      <c r="K196" s="8">
        <f>IF(A196="","",SUMIFS($L$4:$L$203,$B$4:$B$203,$A196))</f>
        <v/>
      </c>
      <c r="L196" s="8">
        <f>IF(A196="","",(J196+K196)*Inputs!$B$16)</f>
        <v/>
      </c>
      <c r="M196" s="8" t="n"/>
      <c r="N196" s="8">
        <f>IF(A196="","",IF(M196="",Inputs!$B$7,M196))</f>
        <v/>
      </c>
      <c r="O196" s="4">
        <f>IF(A196="","",IF(L196/Inputs!$B$10&lt;=AD196,Inputs!$F$5,IF(L196/Inputs!$B$10&gt;AM196,"OVERSIZE",INDEX(Inputs!$F$5:$F$14,MATCH(L196/Inputs!$B$10,AD196:AM196,1)+1))))</f>
        <v/>
      </c>
      <c r="P196" s="4" t="n"/>
      <c r="Q196" s="4">
        <f>IF(A196="","",IF(P196="",O196,P196))</f>
        <v/>
      </c>
      <c r="R196" s="8">
        <f>IF(OR(Q196="",Q196="OVERSIZE"),"",Q196/1000)</f>
        <v/>
      </c>
      <c r="S196" s="8">
        <f>IF(R196="","",(1/Inputs!$B$9)*(PI()*R196^2/4)*((R196/4)^(2/3))*SQRT(N196))</f>
        <v/>
      </c>
      <c r="T196" s="8">
        <f>IF(OR(S196="",L196=""),"",L196/(S196*Inputs!$B$10))</f>
        <v/>
      </c>
      <c r="U196" s="8">
        <f>IF(OR(R196="",L196=""),"",4*L196/(PI()*R196^2))</f>
        <v/>
      </c>
      <c r="V196" s="8" t="n"/>
      <c r="W196" s="8">
        <f>IF(A196="","",IF(A196=Inputs!$B$6,Inputs!$B$22,IF(B196="","",IFERROR(INDEX($X$4:$X$203,MATCH(B196,$A$4:$A$203,0))+IF(V196="",Inputs!$B$20,V196),""))))</f>
        <v/>
      </c>
      <c r="X196" s="8">
        <f>IF(OR(W196="",N196="",C196=""),"",W196+N196*C196)</f>
        <v/>
      </c>
      <c r="Y196" s="8" t="n"/>
      <c r="Z196" s="8" t="n"/>
      <c r="AA196" s="8">
        <f>IF(OR(Y196="",W196=""),"",Y196-W196)</f>
        <v/>
      </c>
      <c r="AB196" s="8">
        <f>IF(OR(Z196="",X196=""),"",Z196-X196)</f>
        <v/>
      </c>
      <c r="AC196" s="4">
        <f>IF(A196="","",IF(OR(T196&gt;1,U196&lt;Inputs!$B$11,U196&gt;Inputs!$B$12,AA196&lt;Inputs!$B$19,AB196&lt;Inputs!$B$19,N196&lt;Inputs!$B$7,N196&gt;Inputs!$B$8),"CHECK","OK"))</f>
        <v/>
      </c>
      <c r="AD196" s="4">
        <f>IF(A196="","",(1/Inputs!$B$9)*(PI()*(Inputs!$F$5/1000)^2/4)*((Inputs!$F$5/1000/4)^(2/3))*SQRT(N196))</f>
        <v/>
      </c>
      <c r="AE196" s="4">
        <f>IF(A196="","",(1/Inputs!$B$9)*(PI()*(Inputs!$F$6/1000)^2/4)*((Inputs!$F$6/1000/4)^(2/3))*SQRT(N196))</f>
        <v/>
      </c>
      <c r="AF196" s="4">
        <f>IF(A196="","",(1/Inputs!$B$9)*(PI()*(Inputs!$F$7/1000)^2/4)*((Inputs!$F$7/1000/4)^(2/3))*SQRT(N196))</f>
        <v/>
      </c>
      <c r="AG196" s="4">
        <f>IF(A196="","",(1/Inputs!$B$9)*(PI()*(Inputs!$F$8/1000)^2/4)*((Inputs!$F$8/1000/4)^(2/3))*SQRT(N196))</f>
        <v/>
      </c>
      <c r="AH196" s="4">
        <f>IF(A196="","",(1/Inputs!$B$9)*(PI()*(Inputs!$F$9/1000)^2/4)*((Inputs!$F$9/1000/4)^(2/3))*SQRT(N196))</f>
        <v/>
      </c>
      <c r="AI196" s="4">
        <f>IF(A196="","",(1/Inputs!$B$9)*(PI()*(Inputs!$F$10/1000)^2/4)*((Inputs!$F$10/1000/4)^(2/3))*SQRT(N196))</f>
        <v/>
      </c>
      <c r="AJ196" s="4">
        <f>IF(A196="","",(1/Inputs!$B$9)*(PI()*(Inputs!$F$11/1000)^2/4)*((Inputs!$F$11/1000/4)^(2/3))*SQRT(N196))</f>
        <v/>
      </c>
      <c r="AK196" s="4">
        <f>IF(A196="","",(1/Inputs!$B$9)*(PI()*(Inputs!$F$12/1000)^2/4)*((Inputs!$F$12/1000/4)^(2/3))*SQRT(N196))</f>
        <v/>
      </c>
      <c r="AL196" s="4">
        <f>IF(A196="","",(1/Inputs!$B$9)*(PI()*(Inputs!$F$13/1000)^2/4)*((Inputs!$F$13/1000/4)^(2/3))*SQRT(N196))</f>
        <v/>
      </c>
      <c r="AM196" s="4">
        <f>IF(A196="","",(1/Inputs!$B$9)*(PI()*(Inputs!$F$14/1000)^2/4)*((Inputs!$F$14/1000/4)^(2/3))*SQRT(N196))</f>
        <v/>
      </c>
    </row>
    <row r="197">
      <c r="A197" s="4" t="n"/>
      <c r="B197" s="4" t="n"/>
      <c r="C197" s="8" t="n"/>
      <c r="D197" s="8" t="n"/>
      <c r="E197" s="8">
        <f>SUMIFS(CB_Tributaires!$C:$C,CB_Tributaires!$B:$B,$A197)</f>
        <v/>
      </c>
      <c r="F197" s="8">
        <f>IF(D197="",E197,D197)</f>
        <v/>
      </c>
      <c r="G197" s="4" t="n"/>
      <c r="H197" s="8" t="n"/>
      <c r="I197" s="8">
        <f>IF(A197="","",Inputs!$B$13/((IF(H197="",Inputs!$B$18,H197)+Inputs!$B$14)^Inputs!$B$15))</f>
        <v/>
      </c>
      <c r="J197" s="8">
        <f>IF(A197="","",0.00278*IF(G197="",Inputs!$B$17,G197)*F197*I197)</f>
        <v/>
      </c>
      <c r="K197" s="8">
        <f>IF(A197="","",SUMIFS($L$4:$L$203,$B$4:$B$203,$A197))</f>
        <v/>
      </c>
      <c r="L197" s="8">
        <f>IF(A197="","",(J197+K197)*Inputs!$B$16)</f>
        <v/>
      </c>
      <c r="M197" s="8" t="n"/>
      <c r="N197" s="8">
        <f>IF(A197="","",IF(M197="",Inputs!$B$7,M197))</f>
        <v/>
      </c>
      <c r="O197" s="4">
        <f>IF(A197="","",IF(L197/Inputs!$B$10&lt;=AD197,Inputs!$F$5,IF(L197/Inputs!$B$10&gt;AM197,"OVERSIZE",INDEX(Inputs!$F$5:$F$14,MATCH(L197/Inputs!$B$10,AD197:AM197,1)+1))))</f>
        <v/>
      </c>
      <c r="P197" s="4" t="n"/>
      <c r="Q197" s="4">
        <f>IF(A197="","",IF(P197="",O197,P197))</f>
        <v/>
      </c>
      <c r="R197" s="8">
        <f>IF(OR(Q197="",Q197="OVERSIZE"),"",Q197/1000)</f>
        <v/>
      </c>
      <c r="S197" s="8">
        <f>IF(R197="","",(1/Inputs!$B$9)*(PI()*R197^2/4)*((R197/4)^(2/3))*SQRT(N197))</f>
        <v/>
      </c>
      <c r="T197" s="8">
        <f>IF(OR(S197="",L197=""),"",L197/(S197*Inputs!$B$10))</f>
        <v/>
      </c>
      <c r="U197" s="8">
        <f>IF(OR(R197="",L197=""),"",4*L197/(PI()*R197^2))</f>
        <v/>
      </c>
      <c r="V197" s="8" t="n"/>
      <c r="W197" s="8">
        <f>IF(A197="","",IF(A197=Inputs!$B$6,Inputs!$B$22,IF(B197="","",IFERROR(INDEX($X$4:$X$203,MATCH(B197,$A$4:$A$203,0))+IF(V197="",Inputs!$B$20,V197),""))))</f>
        <v/>
      </c>
      <c r="X197" s="8">
        <f>IF(OR(W197="",N197="",C197=""),"",W197+N197*C197)</f>
        <v/>
      </c>
      <c r="Y197" s="8" t="n"/>
      <c r="Z197" s="8" t="n"/>
      <c r="AA197" s="8">
        <f>IF(OR(Y197="",W197=""),"",Y197-W197)</f>
        <v/>
      </c>
      <c r="AB197" s="8">
        <f>IF(OR(Z197="",X197=""),"",Z197-X197)</f>
        <v/>
      </c>
      <c r="AC197" s="4">
        <f>IF(A197="","",IF(OR(T197&gt;1,U197&lt;Inputs!$B$11,U197&gt;Inputs!$B$12,AA197&lt;Inputs!$B$19,AB197&lt;Inputs!$B$19,N197&lt;Inputs!$B$7,N197&gt;Inputs!$B$8),"CHECK","OK"))</f>
        <v/>
      </c>
      <c r="AD197" s="4">
        <f>IF(A197="","",(1/Inputs!$B$9)*(PI()*(Inputs!$F$5/1000)^2/4)*((Inputs!$F$5/1000/4)^(2/3))*SQRT(N197))</f>
        <v/>
      </c>
      <c r="AE197" s="4">
        <f>IF(A197="","",(1/Inputs!$B$9)*(PI()*(Inputs!$F$6/1000)^2/4)*((Inputs!$F$6/1000/4)^(2/3))*SQRT(N197))</f>
        <v/>
      </c>
      <c r="AF197" s="4">
        <f>IF(A197="","",(1/Inputs!$B$9)*(PI()*(Inputs!$F$7/1000)^2/4)*((Inputs!$F$7/1000/4)^(2/3))*SQRT(N197))</f>
        <v/>
      </c>
      <c r="AG197" s="4">
        <f>IF(A197="","",(1/Inputs!$B$9)*(PI()*(Inputs!$F$8/1000)^2/4)*((Inputs!$F$8/1000/4)^(2/3))*SQRT(N197))</f>
        <v/>
      </c>
      <c r="AH197" s="4">
        <f>IF(A197="","",(1/Inputs!$B$9)*(PI()*(Inputs!$F$9/1000)^2/4)*((Inputs!$F$9/1000/4)^(2/3))*SQRT(N197))</f>
        <v/>
      </c>
      <c r="AI197" s="4">
        <f>IF(A197="","",(1/Inputs!$B$9)*(PI()*(Inputs!$F$10/1000)^2/4)*((Inputs!$F$10/1000/4)^(2/3))*SQRT(N197))</f>
        <v/>
      </c>
      <c r="AJ197" s="4">
        <f>IF(A197="","",(1/Inputs!$B$9)*(PI()*(Inputs!$F$11/1000)^2/4)*((Inputs!$F$11/1000/4)^(2/3))*SQRT(N197))</f>
        <v/>
      </c>
      <c r="AK197" s="4">
        <f>IF(A197="","",(1/Inputs!$B$9)*(PI()*(Inputs!$F$12/1000)^2/4)*((Inputs!$F$12/1000/4)^(2/3))*SQRT(N197))</f>
        <v/>
      </c>
      <c r="AL197" s="4">
        <f>IF(A197="","",(1/Inputs!$B$9)*(PI()*(Inputs!$F$13/1000)^2/4)*((Inputs!$F$13/1000/4)^(2/3))*SQRT(N197))</f>
        <v/>
      </c>
      <c r="AM197" s="4">
        <f>IF(A197="","",(1/Inputs!$B$9)*(PI()*(Inputs!$F$14/1000)^2/4)*((Inputs!$F$14/1000/4)^(2/3))*SQRT(N197))</f>
        <v/>
      </c>
    </row>
    <row r="198">
      <c r="A198" s="4" t="n"/>
      <c r="B198" s="4" t="n"/>
      <c r="C198" s="8" t="n"/>
      <c r="D198" s="8" t="n"/>
      <c r="E198" s="8">
        <f>SUMIFS(CB_Tributaires!$C:$C,CB_Tributaires!$B:$B,$A198)</f>
        <v/>
      </c>
      <c r="F198" s="8">
        <f>IF(D198="",E198,D198)</f>
        <v/>
      </c>
      <c r="G198" s="4" t="n"/>
      <c r="H198" s="8" t="n"/>
      <c r="I198" s="8">
        <f>IF(A198="","",Inputs!$B$13/((IF(H198="",Inputs!$B$18,H198)+Inputs!$B$14)^Inputs!$B$15))</f>
        <v/>
      </c>
      <c r="J198" s="8">
        <f>IF(A198="","",0.00278*IF(G198="",Inputs!$B$17,G198)*F198*I198)</f>
        <v/>
      </c>
      <c r="K198" s="8">
        <f>IF(A198="","",SUMIFS($L$4:$L$203,$B$4:$B$203,$A198))</f>
        <v/>
      </c>
      <c r="L198" s="8">
        <f>IF(A198="","",(J198+K198)*Inputs!$B$16)</f>
        <v/>
      </c>
      <c r="M198" s="8" t="n"/>
      <c r="N198" s="8">
        <f>IF(A198="","",IF(M198="",Inputs!$B$7,M198))</f>
        <v/>
      </c>
      <c r="O198" s="4">
        <f>IF(A198="","",IF(L198/Inputs!$B$10&lt;=AD198,Inputs!$F$5,IF(L198/Inputs!$B$10&gt;AM198,"OVERSIZE",INDEX(Inputs!$F$5:$F$14,MATCH(L198/Inputs!$B$10,AD198:AM198,1)+1))))</f>
        <v/>
      </c>
      <c r="P198" s="4" t="n"/>
      <c r="Q198" s="4">
        <f>IF(A198="","",IF(P198="",O198,P198))</f>
        <v/>
      </c>
      <c r="R198" s="8">
        <f>IF(OR(Q198="",Q198="OVERSIZE"),"",Q198/1000)</f>
        <v/>
      </c>
      <c r="S198" s="8">
        <f>IF(R198="","",(1/Inputs!$B$9)*(PI()*R198^2/4)*((R198/4)^(2/3))*SQRT(N198))</f>
        <v/>
      </c>
      <c r="T198" s="8">
        <f>IF(OR(S198="",L198=""),"",L198/(S198*Inputs!$B$10))</f>
        <v/>
      </c>
      <c r="U198" s="8">
        <f>IF(OR(R198="",L198=""),"",4*L198/(PI()*R198^2))</f>
        <v/>
      </c>
      <c r="V198" s="8" t="n"/>
      <c r="W198" s="8">
        <f>IF(A198="","",IF(A198=Inputs!$B$6,Inputs!$B$22,IF(B198="","",IFERROR(INDEX($X$4:$X$203,MATCH(B198,$A$4:$A$203,0))+IF(V198="",Inputs!$B$20,V198),""))))</f>
        <v/>
      </c>
      <c r="X198" s="8">
        <f>IF(OR(W198="",N198="",C198=""),"",W198+N198*C198)</f>
        <v/>
      </c>
      <c r="Y198" s="8" t="n"/>
      <c r="Z198" s="8" t="n"/>
      <c r="AA198" s="8">
        <f>IF(OR(Y198="",W198=""),"",Y198-W198)</f>
        <v/>
      </c>
      <c r="AB198" s="8">
        <f>IF(OR(Z198="",X198=""),"",Z198-X198)</f>
        <v/>
      </c>
      <c r="AC198" s="4">
        <f>IF(A198="","",IF(OR(T198&gt;1,U198&lt;Inputs!$B$11,U198&gt;Inputs!$B$12,AA198&lt;Inputs!$B$19,AB198&lt;Inputs!$B$19,N198&lt;Inputs!$B$7,N198&gt;Inputs!$B$8),"CHECK","OK"))</f>
        <v/>
      </c>
      <c r="AD198" s="4">
        <f>IF(A198="","",(1/Inputs!$B$9)*(PI()*(Inputs!$F$5/1000)^2/4)*((Inputs!$F$5/1000/4)^(2/3))*SQRT(N198))</f>
        <v/>
      </c>
      <c r="AE198" s="4">
        <f>IF(A198="","",(1/Inputs!$B$9)*(PI()*(Inputs!$F$6/1000)^2/4)*((Inputs!$F$6/1000/4)^(2/3))*SQRT(N198))</f>
        <v/>
      </c>
      <c r="AF198" s="4">
        <f>IF(A198="","",(1/Inputs!$B$9)*(PI()*(Inputs!$F$7/1000)^2/4)*((Inputs!$F$7/1000/4)^(2/3))*SQRT(N198))</f>
        <v/>
      </c>
      <c r="AG198" s="4">
        <f>IF(A198="","",(1/Inputs!$B$9)*(PI()*(Inputs!$F$8/1000)^2/4)*((Inputs!$F$8/1000/4)^(2/3))*SQRT(N198))</f>
        <v/>
      </c>
      <c r="AH198" s="4">
        <f>IF(A198="","",(1/Inputs!$B$9)*(PI()*(Inputs!$F$9/1000)^2/4)*((Inputs!$F$9/1000/4)^(2/3))*SQRT(N198))</f>
        <v/>
      </c>
      <c r="AI198" s="4">
        <f>IF(A198="","",(1/Inputs!$B$9)*(PI()*(Inputs!$F$10/1000)^2/4)*((Inputs!$F$10/1000/4)^(2/3))*SQRT(N198))</f>
        <v/>
      </c>
      <c r="AJ198" s="4">
        <f>IF(A198="","",(1/Inputs!$B$9)*(PI()*(Inputs!$F$11/1000)^2/4)*((Inputs!$F$11/1000/4)^(2/3))*SQRT(N198))</f>
        <v/>
      </c>
      <c r="AK198" s="4">
        <f>IF(A198="","",(1/Inputs!$B$9)*(PI()*(Inputs!$F$12/1000)^2/4)*((Inputs!$F$12/1000/4)^(2/3))*SQRT(N198))</f>
        <v/>
      </c>
      <c r="AL198" s="4">
        <f>IF(A198="","",(1/Inputs!$B$9)*(PI()*(Inputs!$F$13/1000)^2/4)*((Inputs!$F$13/1000/4)^(2/3))*SQRT(N198))</f>
        <v/>
      </c>
      <c r="AM198" s="4">
        <f>IF(A198="","",(1/Inputs!$B$9)*(PI()*(Inputs!$F$14/1000)^2/4)*((Inputs!$F$14/1000/4)^(2/3))*SQRT(N198))</f>
        <v/>
      </c>
    </row>
    <row r="199">
      <c r="A199" s="4" t="n"/>
      <c r="B199" s="4" t="n"/>
      <c r="C199" s="8" t="n"/>
      <c r="D199" s="8" t="n"/>
      <c r="E199" s="8">
        <f>SUMIFS(CB_Tributaires!$C:$C,CB_Tributaires!$B:$B,$A199)</f>
        <v/>
      </c>
      <c r="F199" s="8">
        <f>IF(D199="",E199,D199)</f>
        <v/>
      </c>
      <c r="G199" s="4" t="n"/>
      <c r="H199" s="8" t="n"/>
      <c r="I199" s="8">
        <f>IF(A199="","",Inputs!$B$13/((IF(H199="",Inputs!$B$18,H199)+Inputs!$B$14)^Inputs!$B$15))</f>
        <v/>
      </c>
      <c r="J199" s="8">
        <f>IF(A199="","",0.00278*IF(G199="",Inputs!$B$17,G199)*F199*I199)</f>
        <v/>
      </c>
      <c r="K199" s="8">
        <f>IF(A199="","",SUMIFS($L$4:$L$203,$B$4:$B$203,$A199))</f>
        <v/>
      </c>
      <c r="L199" s="8">
        <f>IF(A199="","",(J199+K199)*Inputs!$B$16)</f>
        <v/>
      </c>
      <c r="M199" s="8" t="n"/>
      <c r="N199" s="8">
        <f>IF(A199="","",IF(M199="",Inputs!$B$7,M199))</f>
        <v/>
      </c>
      <c r="O199" s="4">
        <f>IF(A199="","",IF(L199/Inputs!$B$10&lt;=AD199,Inputs!$F$5,IF(L199/Inputs!$B$10&gt;AM199,"OVERSIZE",INDEX(Inputs!$F$5:$F$14,MATCH(L199/Inputs!$B$10,AD199:AM199,1)+1))))</f>
        <v/>
      </c>
      <c r="P199" s="4" t="n"/>
      <c r="Q199" s="4">
        <f>IF(A199="","",IF(P199="",O199,P199))</f>
        <v/>
      </c>
      <c r="R199" s="8">
        <f>IF(OR(Q199="",Q199="OVERSIZE"),"",Q199/1000)</f>
        <v/>
      </c>
      <c r="S199" s="8">
        <f>IF(R199="","",(1/Inputs!$B$9)*(PI()*R199^2/4)*((R199/4)^(2/3))*SQRT(N199))</f>
        <v/>
      </c>
      <c r="T199" s="8">
        <f>IF(OR(S199="",L199=""),"",L199/(S199*Inputs!$B$10))</f>
        <v/>
      </c>
      <c r="U199" s="8">
        <f>IF(OR(R199="",L199=""),"",4*L199/(PI()*R199^2))</f>
        <v/>
      </c>
      <c r="V199" s="8" t="n"/>
      <c r="W199" s="8">
        <f>IF(A199="","",IF(A199=Inputs!$B$6,Inputs!$B$22,IF(B199="","",IFERROR(INDEX($X$4:$X$203,MATCH(B199,$A$4:$A$203,0))+IF(V199="",Inputs!$B$20,V199),""))))</f>
        <v/>
      </c>
      <c r="X199" s="8">
        <f>IF(OR(W199="",N199="",C199=""),"",W199+N199*C199)</f>
        <v/>
      </c>
      <c r="Y199" s="8" t="n"/>
      <c r="Z199" s="8" t="n"/>
      <c r="AA199" s="8">
        <f>IF(OR(Y199="",W199=""),"",Y199-W199)</f>
        <v/>
      </c>
      <c r="AB199" s="8">
        <f>IF(OR(Z199="",X199=""),"",Z199-X199)</f>
        <v/>
      </c>
      <c r="AC199" s="4">
        <f>IF(A199="","",IF(OR(T199&gt;1,U199&lt;Inputs!$B$11,U199&gt;Inputs!$B$12,AA199&lt;Inputs!$B$19,AB199&lt;Inputs!$B$19,N199&lt;Inputs!$B$7,N199&gt;Inputs!$B$8),"CHECK","OK"))</f>
        <v/>
      </c>
      <c r="AD199" s="4">
        <f>IF(A199="","",(1/Inputs!$B$9)*(PI()*(Inputs!$F$5/1000)^2/4)*((Inputs!$F$5/1000/4)^(2/3))*SQRT(N199))</f>
        <v/>
      </c>
      <c r="AE199" s="4">
        <f>IF(A199="","",(1/Inputs!$B$9)*(PI()*(Inputs!$F$6/1000)^2/4)*((Inputs!$F$6/1000/4)^(2/3))*SQRT(N199))</f>
        <v/>
      </c>
      <c r="AF199" s="4">
        <f>IF(A199="","",(1/Inputs!$B$9)*(PI()*(Inputs!$F$7/1000)^2/4)*((Inputs!$F$7/1000/4)^(2/3))*SQRT(N199))</f>
        <v/>
      </c>
      <c r="AG199" s="4">
        <f>IF(A199="","",(1/Inputs!$B$9)*(PI()*(Inputs!$F$8/1000)^2/4)*((Inputs!$F$8/1000/4)^(2/3))*SQRT(N199))</f>
        <v/>
      </c>
      <c r="AH199" s="4">
        <f>IF(A199="","",(1/Inputs!$B$9)*(PI()*(Inputs!$F$9/1000)^2/4)*((Inputs!$F$9/1000/4)^(2/3))*SQRT(N199))</f>
        <v/>
      </c>
      <c r="AI199" s="4">
        <f>IF(A199="","",(1/Inputs!$B$9)*(PI()*(Inputs!$F$10/1000)^2/4)*((Inputs!$F$10/1000/4)^(2/3))*SQRT(N199))</f>
        <v/>
      </c>
      <c r="AJ199" s="4">
        <f>IF(A199="","",(1/Inputs!$B$9)*(PI()*(Inputs!$F$11/1000)^2/4)*((Inputs!$F$11/1000/4)^(2/3))*SQRT(N199))</f>
        <v/>
      </c>
      <c r="AK199" s="4">
        <f>IF(A199="","",(1/Inputs!$B$9)*(PI()*(Inputs!$F$12/1000)^2/4)*((Inputs!$F$12/1000/4)^(2/3))*SQRT(N199))</f>
        <v/>
      </c>
      <c r="AL199" s="4">
        <f>IF(A199="","",(1/Inputs!$B$9)*(PI()*(Inputs!$F$13/1000)^2/4)*((Inputs!$F$13/1000/4)^(2/3))*SQRT(N199))</f>
        <v/>
      </c>
      <c r="AM199" s="4">
        <f>IF(A199="","",(1/Inputs!$B$9)*(PI()*(Inputs!$F$14/1000)^2/4)*((Inputs!$F$14/1000/4)^(2/3))*SQRT(N199))</f>
        <v/>
      </c>
    </row>
    <row r="200">
      <c r="A200" s="4" t="n"/>
      <c r="B200" s="4" t="n"/>
      <c r="C200" s="8" t="n"/>
      <c r="D200" s="8" t="n"/>
      <c r="E200" s="8">
        <f>SUMIFS(CB_Tributaires!$C:$C,CB_Tributaires!$B:$B,$A200)</f>
        <v/>
      </c>
      <c r="F200" s="8">
        <f>IF(D200="",E200,D200)</f>
        <v/>
      </c>
      <c r="G200" s="4" t="n"/>
      <c r="H200" s="8" t="n"/>
      <c r="I200" s="8">
        <f>IF(A200="","",Inputs!$B$13/((IF(H200="",Inputs!$B$18,H200)+Inputs!$B$14)^Inputs!$B$15))</f>
        <v/>
      </c>
      <c r="J200" s="8">
        <f>IF(A200="","",0.00278*IF(G200="",Inputs!$B$17,G200)*F200*I200)</f>
        <v/>
      </c>
      <c r="K200" s="8">
        <f>IF(A200="","",SUMIFS($L$4:$L$203,$B$4:$B$203,$A200))</f>
        <v/>
      </c>
      <c r="L200" s="8">
        <f>IF(A200="","",(J200+K200)*Inputs!$B$16)</f>
        <v/>
      </c>
      <c r="M200" s="8" t="n"/>
      <c r="N200" s="8">
        <f>IF(A200="","",IF(M200="",Inputs!$B$7,M200))</f>
        <v/>
      </c>
      <c r="O200" s="4">
        <f>IF(A200="","",IF(L200/Inputs!$B$10&lt;=AD200,Inputs!$F$5,IF(L200/Inputs!$B$10&gt;AM200,"OVERSIZE",INDEX(Inputs!$F$5:$F$14,MATCH(L200/Inputs!$B$10,AD200:AM200,1)+1))))</f>
        <v/>
      </c>
      <c r="P200" s="4" t="n"/>
      <c r="Q200" s="4">
        <f>IF(A200="","",IF(P200="",O200,P200))</f>
        <v/>
      </c>
      <c r="R200" s="8">
        <f>IF(OR(Q200="",Q200="OVERSIZE"),"",Q200/1000)</f>
        <v/>
      </c>
      <c r="S200" s="8">
        <f>IF(R200="","",(1/Inputs!$B$9)*(PI()*R200^2/4)*((R200/4)^(2/3))*SQRT(N200))</f>
        <v/>
      </c>
      <c r="T200" s="8">
        <f>IF(OR(S200="",L200=""),"",L200/(S200*Inputs!$B$10))</f>
        <v/>
      </c>
      <c r="U200" s="8">
        <f>IF(OR(R200="",L200=""),"",4*L200/(PI()*R200^2))</f>
        <v/>
      </c>
      <c r="V200" s="8" t="n"/>
      <c r="W200" s="8">
        <f>IF(A200="","",IF(A200=Inputs!$B$6,Inputs!$B$22,IF(B200="","",IFERROR(INDEX($X$4:$X$203,MATCH(B200,$A$4:$A$203,0))+IF(V200="",Inputs!$B$20,V200),""))))</f>
        <v/>
      </c>
      <c r="X200" s="8">
        <f>IF(OR(W200="",N200="",C200=""),"",W200+N200*C200)</f>
        <v/>
      </c>
      <c r="Y200" s="8" t="n"/>
      <c r="Z200" s="8" t="n"/>
      <c r="AA200" s="8">
        <f>IF(OR(Y200="",W200=""),"",Y200-W200)</f>
        <v/>
      </c>
      <c r="AB200" s="8">
        <f>IF(OR(Z200="",X200=""),"",Z200-X200)</f>
        <v/>
      </c>
      <c r="AC200" s="4">
        <f>IF(A200="","",IF(OR(T200&gt;1,U200&lt;Inputs!$B$11,U200&gt;Inputs!$B$12,AA200&lt;Inputs!$B$19,AB200&lt;Inputs!$B$19,N200&lt;Inputs!$B$7,N200&gt;Inputs!$B$8),"CHECK","OK"))</f>
        <v/>
      </c>
      <c r="AD200" s="4">
        <f>IF(A200="","",(1/Inputs!$B$9)*(PI()*(Inputs!$F$5/1000)^2/4)*((Inputs!$F$5/1000/4)^(2/3))*SQRT(N200))</f>
        <v/>
      </c>
      <c r="AE200" s="4">
        <f>IF(A200="","",(1/Inputs!$B$9)*(PI()*(Inputs!$F$6/1000)^2/4)*((Inputs!$F$6/1000/4)^(2/3))*SQRT(N200))</f>
        <v/>
      </c>
      <c r="AF200" s="4">
        <f>IF(A200="","",(1/Inputs!$B$9)*(PI()*(Inputs!$F$7/1000)^2/4)*((Inputs!$F$7/1000/4)^(2/3))*SQRT(N200))</f>
        <v/>
      </c>
      <c r="AG200" s="4">
        <f>IF(A200="","",(1/Inputs!$B$9)*(PI()*(Inputs!$F$8/1000)^2/4)*((Inputs!$F$8/1000/4)^(2/3))*SQRT(N200))</f>
        <v/>
      </c>
      <c r="AH200" s="4">
        <f>IF(A200="","",(1/Inputs!$B$9)*(PI()*(Inputs!$F$9/1000)^2/4)*((Inputs!$F$9/1000/4)^(2/3))*SQRT(N200))</f>
        <v/>
      </c>
      <c r="AI200" s="4">
        <f>IF(A200="","",(1/Inputs!$B$9)*(PI()*(Inputs!$F$10/1000)^2/4)*((Inputs!$F$10/1000/4)^(2/3))*SQRT(N200))</f>
        <v/>
      </c>
      <c r="AJ200" s="4">
        <f>IF(A200="","",(1/Inputs!$B$9)*(PI()*(Inputs!$F$11/1000)^2/4)*((Inputs!$F$11/1000/4)^(2/3))*SQRT(N200))</f>
        <v/>
      </c>
      <c r="AK200" s="4">
        <f>IF(A200="","",(1/Inputs!$B$9)*(PI()*(Inputs!$F$12/1000)^2/4)*((Inputs!$F$12/1000/4)^(2/3))*SQRT(N200))</f>
        <v/>
      </c>
      <c r="AL200" s="4">
        <f>IF(A200="","",(1/Inputs!$B$9)*(PI()*(Inputs!$F$13/1000)^2/4)*((Inputs!$F$13/1000/4)^(2/3))*SQRT(N200))</f>
        <v/>
      </c>
      <c r="AM200" s="4">
        <f>IF(A200="","",(1/Inputs!$B$9)*(PI()*(Inputs!$F$14/1000)^2/4)*((Inputs!$F$14/1000/4)^(2/3))*SQRT(N200))</f>
        <v/>
      </c>
    </row>
    <row r="201">
      <c r="A201" s="4" t="n"/>
      <c r="B201" s="4" t="n"/>
      <c r="C201" s="8" t="n"/>
      <c r="D201" s="8" t="n"/>
      <c r="E201" s="8">
        <f>SUMIFS(CB_Tributaires!$C:$C,CB_Tributaires!$B:$B,$A201)</f>
        <v/>
      </c>
      <c r="F201" s="8">
        <f>IF(D201="",E201,D201)</f>
        <v/>
      </c>
      <c r="G201" s="4" t="n"/>
      <c r="H201" s="8" t="n"/>
      <c r="I201" s="8">
        <f>IF(A201="","",Inputs!$B$13/((IF(H201="",Inputs!$B$18,H201)+Inputs!$B$14)^Inputs!$B$15))</f>
        <v/>
      </c>
      <c r="J201" s="8">
        <f>IF(A201="","",0.00278*IF(G201="",Inputs!$B$17,G201)*F201*I201)</f>
        <v/>
      </c>
      <c r="K201" s="8">
        <f>IF(A201="","",SUMIFS($L$4:$L$203,$B$4:$B$203,$A201))</f>
        <v/>
      </c>
      <c r="L201" s="8">
        <f>IF(A201="","",(J201+K201)*Inputs!$B$16)</f>
        <v/>
      </c>
      <c r="M201" s="8" t="n"/>
      <c r="N201" s="8">
        <f>IF(A201="","",IF(M201="",Inputs!$B$7,M201))</f>
        <v/>
      </c>
      <c r="O201" s="4">
        <f>IF(A201="","",IF(L201/Inputs!$B$10&lt;=AD201,Inputs!$F$5,IF(L201/Inputs!$B$10&gt;AM201,"OVERSIZE",INDEX(Inputs!$F$5:$F$14,MATCH(L201/Inputs!$B$10,AD201:AM201,1)+1))))</f>
        <v/>
      </c>
      <c r="P201" s="4" t="n"/>
      <c r="Q201" s="4">
        <f>IF(A201="","",IF(P201="",O201,P201))</f>
        <v/>
      </c>
      <c r="R201" s="8">
        <f>IF(OR(Q201="",Q201="OVERSIZE"),"",Q201/1000)</f>
        <v/>
      </c>
      <c r="S201" s="8">
        <f>IF(R201="","",(1/Inputs!$B$9)*(PI()*R201^2/4)*((R201/4)^(2/3))*SQRT(N201))</f>
        <v/>
      </c>
      <c r="T201" s="8">
        <f>IF(OR(S201="",L201=""),"",L201/(S201*Inputs!$B$10))</f>
        <v/>
      </c>
      <c r="U201" s="8">
        <f>IF(OR(R201="",L201=""),"",4*L201/(PI()*R201^2))</f>
        <v/>
      </c>
      <c r="V201" s="8" t="n"/>
      <c r="W201" s="8">
        <f>IF(A201="","",IF(A201=Inputs!$B$6,Inputs!$B$22,IF(B201="","",IFERROR(INDEX($X$4:$X$203,MATCH(B201,$A$4:$A$203,0))+IF(V201="",Inputs!$B$20,V201),""))))</f>
        <v/>
      </c>
      <c r="X201" s="8">
        <f>IF(OR(W201="",N201="",C201=""),"",W201+N201*C201)</f>
        <v/>
      </c>
      <c r="Y201" s="8" t="n"/>
      <c r="Z201" s="8" t="n"/>
      <c r="AA201" s="8">
        <f>IF(OR(Y201="",W201=""),"",Y201-W201)</f>
        <v/>
      </c>
      <c r="AB201" s="8">
        <f>IF(OR(Z201="",X201=""),"",Z201-X201)</f>
        <v/>
      </c>
      <c r="AC201" s="4">
        <f>IF(A201="","",IF(OR(T201&gt;1,U201&lt;Inputs!$B$11,U201&gt;Inputs!$B$12,AA201&lt;Inputs!$B$19,AB201&lt;Inputs!$B$19,N201&lt;Inputs!$B$7,N201&gt;Inputs!$B$8),"CHECK","OK"))</f>
        <v/>
      </c>
      <c r="AD201" s="4">
        <f>IF(A201="","",(1/Inputs!$B$9)*(PI()*(Inputs!$F$5/1000)^2/4)*((Inputs!$F$5/1000/4)^(2/3))*SQRT(N201))</f>
        <v/>
      </c>
      <c r="AE201" s="4">
        <f>IF(A201="","",(1/Inputs!$B$9)*(PI()*(Inputs!$F$6/1000)^2/4)*((Inputs!$F$6/1000/4)^(2/3))*SQRT(N201))</f>
        <v/>
      </c>
      <c r="AF201" s="4">
        <f>IF(A201="","",(1/Inputs!$B$9)*(PI()*(Inputs!$F$7/1000)^2/4)*((Inputs!$F$7/1000/4)^(2/3))*SQRT(N201))</f>
        <v/>
      </c>
      <c r="AG201" s="4">
        <f>IF(A201="","",(1/Inputs!$B$9)*(PI()*(Inputs!$F$8/1000)^2/4)*((Inputs!$F$8/1000/4)^(2/3))*SQRT(N201))</f>
        <v/>
      </c>
      <c r="AH201" s="4">
        <f>IF(A201="","",(1/Inputs!$B$9)*(PI()*(Inputs!$F$9/1000)^2/4)*((Inputs!$F$9/1000/4)^(2/3))*SQRT(N201))</f>
        <v/>
      </c>
      <c r="AI201" s="4">
        <f>IF(A201="","",(1/Inputs!$B$9)*(PI()*(Inputs!$F$10/1000)^2/4)*((Inputs!$F$10/1000/4)^(2/3))*SQRT(N201))</f>
        <v/>
      </c>
      <c r="AJ201" s="4">
        <f>IF(A201="","",(1/Inputs!$B$9)*(PI()*(Inputs!$F$11/1000)^2/4)*((Inputs!$F$11/1000/4)^(2/3))*SQRT(N201))</f>
        <v/>
      </c>
      <c r="AK201" s="4">
        <f>IF(A201="","",(1/Inputs!$B$9)*(PI()*(Inputs!$F$12/1000)^2/4)*((Inputs!$F$12/1000/4)^(2/3))*SQRT(N201))</f>
        <v/>
      </c>
      <c r="AL201" s="4">
        <f>IF(A201="","",(1/Inputs!$B$9)*(PI()*(Inputs!$F$13/1000)^2/4)*((Inputs!$F$13/1000/4)^(2/3))*SQRT(N201))</f>
        <v/>
      </c>
      <c r="AM201" s="4">
        <f>IF(A201="","",(1/Inputs!$B$9)*(PI()*(Inputs!$F$14/1000)^2/4)*((Inputs!$F$14/1000/4)^(2/3))*SQRT(N201))</f>
        <v/>
      </c>
    </row>
    <row r="202">
      <c r="A202" s="4" t="n"/>
      <c r="B202" s="4" t="n"/>
      <c r="C202" s="8" t="n"/>
      <c r="D202" s="8" t="n"/>
      <c r="E202" s="8">
        <f>SUMIFS(CB_Tributaires!$C:$C,CB_Tributaires!$B:$B,$A202)</f>
        <v/>
      </c>
      <c r="F202" s="8">
        <f>IF(D202="",E202,D202)</f>
        <v/>
      </c>
      <c r="G202" s="4" t="n"/>
      <c r="H202" s="8" t="n"/>
      <c r="I202" s="8">
        <f>IF(A202="","",Inputs!$B$13/((IF(H202="",Inputs!$B$18,H202)+Inputs!$B$14)^Inputs!$B$15))</f>
        <v/>
      </c>
      <c r="J202" s="8">
        <f>IF(A202="","",0.00278*IF(G202="",Inputs!$B$17,G202)*F202*I202)</f>
        <v/>
      </c>
      <c r="K202" s="8">
        <f>IF(A202="","",SUMIFS($L$4:$L$203,$B$4:$B$203,$A202))</f>
        <v/>
      </c>
      <c r="L202" s="8">
        <f>IF(A202="","",(J202+K202)*Inputs!$B$16)</f>
        <v/>
      </c>
      <c r="M202" s="8" t="n"/>
      <c r="N202" s="8">
        <f>IF(A202="","",IF(M202="",Inputs!$B$7,M202))</f>
        <v/>
      </c>
      <c r="O202" s="4">
        <f>IF(A202="","",IF(L202/Inputs!$B$10&lt;=AD202,Inputs!$F$5,IF(L202/Inputs!$B$10&gt;AM202,"OVERSIZE",INDEX(Inputs!$F$5:$F$14,MATCH(L202/Inputs!$B$10,AD202:AM202,1)+1))))</f>
        <v/>
      </c>
      <c r="P202" s="4" t="n"/>
      <c r="Q202" s="4">
        <f>IF(A202="","",IF(P202="",O202,P202))</f>
        <v/>
      </c>
      <c r="R202" s="8">
        <f>IF(OR(Q202="",Q202="OVERSIZE"),"",Q202/1000)</f>
        <v/>
      </c>
      <c r="S202" s="8">
        <f>IF(R202="","",(1/Inputs!$B$9)*(PI()*R202^2/4)*((R202/4)^(2/3))*SQRT(N202))</f>
        <v/>
      </c>
      <c r="T202" s="8">
        <f>IF(OR(S202="",L202=""),"",L202/(S202*Inputs!$B$10))</f>
        <v/>
      </c>
      <c r="U202" s="8">
        <f>IF(OR(R202="",L202=""),"",4*L202/(PI()*R202^2))</f>
        <v/>
      </c>
      <c r="V202" s="8" t="n"/>
      <c r="W202" s="8">
        <f>IF(A202="","",IF(A202=Inputs!$B$6,Inputs!$B$22,IF(B202="","",IFERROR(INDEX($X$4:$X$203,MATCH(B202,$A$4:$A$203,0))+IF(V202="",Inputs!$B$20,V202),""))))</f>
        <v/>
      </c>
      <c r="X202" s="8">
        <f>IF(OR(W202="",N202="",C202=""),"",W202+N202*C202)</f>
        <v/>
      </c>
      <c r="Y202" s="8" t="n"/>
      <c r="Z202" s="8" t="n"/>
      <c r="AA202" s="8">
        <f>IF(OR(Y202="",W202=""),"",Y202-W202)</f>
        <v/>
      </c>
      <c r="AB202" s="8">
        <f>IF(OR(Z202="",X202=""),"",Z202-X202)</f>
        <v/>
      </c>
      <c r="AC202" s="4">
        <f>IF(A202="","",IF(OR(T202&gt;1,U202&lt;Inputs!$B$11,U202&gt;Inputs!$B$12,AA202&lt;Inputs!$B$19,AB202&lt;Inputs!$B$19,N202&lt;Inputs!$B$7,N202&gt;Inputs!$B$8),"CHECK","OK"))</f>
        <v/>
      </c>
      <c r="AD202" s="4">
        <f>IF(A202="","",(1/Inputs!$B$9)*(PI()*(Inputs!$F$5/1000)^2/4)*((Inputs!$F$5/1000/4)^(2/3))*SQRT(N202))</f>
        <v/>
      </c>
      <c r="AE202" s="4">
        <f>IF(A202="","",(1/Inputs!$B$9)*(PI()*(Inputs!$F$6/1000)^2/4)*((Inputs!$F$6/1000/4)^(2/3))*SQRT(N202))</f>
        <v/>
      </c>
      <c r="AF202" s="4">
        <f>IF(A202="","",(1/Inputs!$B$9)*(PI()*(Inputs!$F$7/1000)^2/4)*((Inputs!$F$7/1000/4)^(2/3))*SQRT(N202))</f>
        <v/>
      </c>
      <c r="AG202" s="4">
        <f>IF(A202="","",(1/Inputs!$B$9)*(PI()*(Inputs!$F$8/1000)^2/4)*((Inputs!$F$8/1000/4)^(2/3))*SQRT(N202))</f>
        <v/>
      </c>
      <c r="AH202" s="4">
        <f>IF(A202="","",(1/Inputs!$B$9)*(PI()*(Inputs!$F$9/1000)^2/4)*((Inputs!$F$9/1000/4)^(2/3))*SQRT(N202))</f>
        <v/>
      </c>
      <c r="AI202" s="4">
        <f>IF(A202="","",(1/Inputs!$B$9)*(PI()*(Inputs!$F$10/1000)^2/4)*((Inputs!$F$10/1000/4)^(2/3))*SQRT(N202))</f>
        <v/>
      </c>
      <c r="AJ202" s="4">
        <f>IF(A202="","",(1/Inputs!$B$9)*(PI()*(Inputs!$F$11/1000)^2/4)*((Inputs!$F$11/1000/4)^(2/3))*SQRT(N202))</f>
        <v/>
      </c>
      <c r="AK202" s="4">
        <f>IF(A202="","",(1/Inputs!$B$9)*(PI()*(Inputs!$F$12/1000)^2/4)*((Inputs!$F$12/1000/4)^(2/3))*SQRT(N202))</f>
        <v/>
      </c>
      <c r="AL202" s="4">
        <f>IF(A202="","",(1/Inputs!$B$9)*(PI()*(Inputs!$F$13/1000)^2/4)*((Inputs!$F$13/1000/4)^(2/3))*SQRT(N202))</f>
        <v/>
      </c>
      <c r="AM202" s="4">
        <f>IF(A202="","",(1/Inputs!$B$9)*(PI()*(Inputs!$F$14/1000)^2/4)*((Inputs!$F$14/1000/4)^(2/3))*SQRT(N202))</f>
        <v/>
      </c>
    </row>
    <row r="203">
      <c r="A203" s="4" t="n"/>
      <c r="B203" s="4" t="n"/>
      <c r="C203" s="8" t="n"/>
      <c r="D203" s="8" t="n"/>
      <c r="E203" s="8">
        <f>SUMIFS(CB_Tributaires!$C:$C,CB_Tributaires!$B:$B,$A203)</f>
        <v/>
      </c>
      <c r="F203" s="8">
        <f>IF(D203="",E203,D203)</f>
        <v/>
      </c>
      <c r="G203" s="4" t="n"/>
      <c r="H203" s="8" t="n"/>
      <c r="I203" s="8">
        <f>IF(A203="","",Inputs!$B$13/((IF(H203="",Inputs!$B$18,H203)+Inputs!$B$14)^Inputs!$B$15))</f>
        <v/>
      </c>
      <c r="J203" s="8">
        <f>IF(A203="","",0.00278*IF(G203="",Inputs!$B$17,G203)*F203*I203)</f>
        <v/>
      </c>
      <c r="K203" s="8">
        <f>IF(A203="","",SUMIFS($L$4:$L$203,$B$4:$B$203,$A203))</f>
        <v/>
      </c>
      <c r="L203" s="8">
        <f>IF(A203="","",(J203+K203)*Inputs!$B$16)</f>
        <v/>
      </c>
      <c r="M203" s="8" t="n"/>
      <c r="N203" s="8">
        <f>IF(A203="","",IF(M203="",Inputs!$B$7,M203))</f>
        <v/>
      </c>
      <c r="O203" s="4">
        <f>IF(A203="","",IF(L203/Inputs!$B$10&lt;=AD203,Inputs!$F$5,IF(L203/Inputs!$B$10&gt;AM203,"OVERSIZE",INDEX(Inputs!$F$5:$F$14,MATCH(L203/Inputs!$B$10,AD203:AM203,1)+1))))</f>
        <v/>
      </c>
      <c r="P203" s="4" t="n"/>
      <c r="Q203" s="4">
        <f>IF(A203="","",IF(P203="",O203,P203))</f>
        <v/>
      </c>
      <c r="R203" s="8">
        <f>IF(OR(Q203="",Q203="OVERSIZE"),"",Q203/1000)</f>
        <v/>
      </c>
      <c r="S203" s="8">
        <f>IF(R203="","",(1/Inputs!$B$9)*(PI()*R203^2/4)*((R203/4)^(2/3))*SQRT(N203))</f>
        <v/>
      </c>
      <c r="T203" s="8">
        <f>IF(OR(S203="",L203=""),"",L203/(S203*Inputs!$B$10))</f>
        <v/>
      </c>
      <c r="U203" s="8">
        <f>IF(OR(R203="",L203=""),"",4*L203/(PI()*R203^2))</f>
        <v/>
      </c>
      <c r="V203" s="8" t="n"/>
      <c r="W203" s="8">
        <f>IF(A203="","",IF(A203=Inputs!$B$6,Inputs!$B$22,IF(B203="","",IFERROR(INDEX($X$4:$X$203,MATCH(B203,$A$4:$A$203,0))+IF(V203="",Inputs!$B$20,V203),""))))</f>
        <v/>
      </c>
      <c r="X203" s="8">
        <f>IF(OR(W203="",N203="",C203=""),"",W203+N203*C203)</f>
        <v/>
      </c>
      <c r="Y203" s="8" t="n"/>
      <c r="Z203" s="8" t="n"/>
      <c r="AA203" s="8">
        <f>IF(OR(Y203="",W203=""),"",Y203-W203)</f>
        <v/>
      </c>
      <c r="AB203" s="8">
        <f>IF(OR(Z203="",X203=""),"",Z203-X203)</f>
        <v/>
      </c>
      <c r="AC203" s="4">
        <f>IF(A203="","",IF(OR(T203&gt;1,U203&lt;Inputs!$B$11,U203&gt;Inputs!$B$12,AA203&lt;Inputs!$B$19,AB203&lt;Inputs!$B$19,N203&lt;Inputs!$B$7,N203&gt;Inputs!$B$8),"CHECK","OK"))</f>
        <v/>
      </c>
      <c r="AD203" s="4">
        <f>IF(A203="","",(1/Inputs!$B$9)*(PI()*(Inputs!$F$5/1000)^2/4)*((Inputs!$F$5/1000/4)^(2/3))*SQRT(N203))</f>
        <v/>
      </c>
      <c r="AE203" s="4">
        <f>IF(A203="","",(1/Inputs!$B$9)*(PI()*(Inputs!$F$6/1000)^2/4)*((Inputs!$F$6/1000/4)^(2/3))*SQRT(N203))</f>
        <v/>
      </c>
      <c r="AF203" s="4">
        <f>IF(A203="","",(1/Inputs!$B$9)*(PI()*(Inputs!$F$7/1000)^2/4)*((Inputs!$F$7/1000/4)^(2/3))*SQRT(N203))</f>
        <v/>
      </c>
      <c r="AG203" s="4">
        <f>IF(A203="","",(1/Inputs!$B$9)*(PI()*(Inputs!$F$8/1000)^2/4)*((Inputs!$F$8/1000/4)^(2/3))*SQRT(N203))</f>
        <v/>
      </c>
      <c r="AH203" s="4">
        <f>IF(A203="","",(1/Inputs!$B$9)*(PI()*(Inputs!$F$9/1000)^2/4)*((Inputs!$F$9/1000/4)^(2/3))*SQRT(N203))</f>
        <v/>
      </c>
      <c r="AI203" s="4">
        <f>IF(A203="","",(1/Inputs!$B$9)*(PI()*(Inputs!$F$10/1000)^2/4)*((Inputs!$F$10/1000/4)^(2/3))*SQRT(N203))</f>
        <v/>
      </c>
      <c r="AJ203" s="4">
        <f>IF(A203="","",(1/Inputs!$B$9)*(PI()*(Inputs!$F$11/1000)^2/4)*((Inputs!$F$11/1000/4)^(2/3))*SQRT(N203))</f>
        <v/>
      </c>
      <c r="AK203" s="4">
        <f>IF(A203="","",(1/Inputs!$B$9)*(PI()*(Inputs!$F$12/1000)^2/4)*((Inputs!$F$12/1000/4)^(2/3))*SQRT(N203))</f>
        <v/>
      </c>
      <c r="AL203" s="4">
        <f>IF(A203="","",(1/Inputs!$B$9)*(PI()*(Inputs!$F$13/1000)^2/4)*((Inputs!$F$13/1000/4)^(2/3))*SQRT(N203))</f>
        <v/>
      </c>
      <c r="AM203" s="4">
        <f>IF(A203="","",(1/Inputs!$B$9)*(PI()*(Inputs!$F$14/1000)^2/4)*((Inputs!$F$14/1000/4)^(2/3))*SQRT(N203))</f>
        <v/>
      </c>
    </row>
  </sheetData>
  <mergeCells count="1">
    <mergeCell ref="A1:A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18" customWidth="1" min="5" max="5"/>
    <col width="46" customWidth="1" min="6" max="6"/>
  </cols>
  <sheetData>
    <row r="1">
      <c r="A1" s="1" t="inlineStr">
        <is>
          <t>NOEUDS PLAN - COLLAGE DES ELEVATIONS TERRAIN</t>
        </is>
      </c>
    </row>
    <row r="3">
      <c r="A3" s="3" t="inlineStr">
        <is>
          <t>Node_ID</t>
        </is>
      </c>
      <c r="B3" s="3" t="inlineStr">
        <is>
          <t>Downstream_Node_ID</t>
        </is>
      </c>
      <c r="C3" s="3" t="inlineStr">
        <is>
          <t>Ground_elev_m (input)</t>
        </is>
      </c>
      <c r="D3" s="3" t="inlineStr">
        <is>
          <t>Target_cover_depth_m</t>
        </is>
      </c>
      <c r="E3" s="3" t="inlineStr">
        <is>
          <t>Invert_if_manual_m</t>
        </is>
      </c>
      <c r="F3" s="3" t="inlineStr">
        <is>
          <t>Notes</t>
        </is>
      </c>
    </row>
    <row r="4">
      <c r="A4" s="4" t="inlineStr">
        <is>
          <t>P01</t>
        </is>
      </c>
      <c r="B4" s="4" t="inlineStr">
        <is>
          <t>P02</t>
        </is>
      </c>
      <c r="C4" s="13" t="inlineStr"/>
      <c r="D4" s="13">
        <f>Inputs!$B$19</f>
        <v/>
      </c>
      <c r="E4" s="7">
        <f>IF(OR(C4="",D4=""),"",C4-D4)</f>
        <v/>
      </c>
      <c r="F4" s="4" t="inlineStr">
        <is>
          <t>Top-left manhole</t>
        </is>
      </c>
    </row>
    <row r="5">
      <c r="A5" s="4" t="inlineStr">
        <is>
          <t>P02</t>
        </is>
      </c>
      <c r="B5" s="4" t="inlineStr">
        <is>
          <t>P03</t>
        </is>
      </c>
      <c r="C5" s="13" t="inlineStr"/>
      <c r="D5" s="13">
        <f>Inputs!$B$19</f>
        <v/>
      </c>
      <c r="E5" s="7">
        <f>IF(OR(C5="",D5=""),"",C5-D5)</f>
        <v/>
      </c>
      <c r="F5" s="4" t="inlineStr">
        <is>
          <t>Top-center manhole</t>
        </is>
      </c>
    </row>
    <row r="6">
      <c r="A6" s="4" t="inlineStr">
        <is>
          <t>P03</t>
        </is>
      </c>
      <c r="B6" s="4" t="inlineStr">
        <is>
          <t>P06</t>
        </is>
      </c>
      <c r="C6" s="13" t="inlineStr"/>
      <c r="D6" s="13">
        <f>Inputs!$B$19</f>
        <v/>
      </c>
      <c r="E6" s="7">
        <f>IF(OR(C6="",D6=""),"",C6-D6)</f>
        <v/>
      </c>
      <c r="F6" s="4" t="inlineStr">
        <is>
          <t>Top-right manhole</t>
        </is>
      </c>
    </row>
    <row r="7">
      <c r="A7" s="4" t="inlineStr">
        <is>
          <t>P04</t>
        </is>
      </c>
      <c r="B7" s="4" t="inlineStr">
        <is>
          <t>P05</t>
        </is>
      </c>
      <c r="C7" s="13" t="inlineStr"/>
      <c r="D7" s="13">
        <f>Inputs!$B$19</f>
        <v/>
      </c>
      <c r="E7" s="7">
        <f>IF(OR(C7="",D7=""),"",C7-D7)</f>
        <v/>
      </c>
      <c r="F7" s="4" t="inlineStr">
        <is>
          <t>Mid-left manhole</t>
        </is>
      </c>
    </row>
    <row r="8">
      <c r="A8" s="4" t="inlineStr">
        <is>
          <t>P05</t>
        </is>
      </c>
      <c r="B8" s="4" t="inlineStr">
        <is>
          <t>P06</t>
        </is>
      </c>
      <c r="C8" s="13" t="inlineStr"/>
      <c r="D8" s="13">
        <f>Inputs!$B$19</f>
        <v/>
      </c>
      <c r="E8" s="7">
        <f>IF(OR(C8="",D8=""),"",C8-D8)</f>
        <v/>
      </c>
      <c r="F8" s="4" t="inlineStr">
        <is>
          <t>Mid-center manhole</t>
        </is>
      </c>
    </row>
    <row r="9">
      <c r="A9" s="4" t="inlineStr">
        <is>
          <t>P06</t>
        </is>
      </c>
      <c r="B9" s="4" t="inlineStr">
        <is>
          <t>J_OUT</t>
        </is>
      </c>
      <c r="C9" s="13" t="inlineStr"/>
      <c r="D9" s="13">
        <f>Inputs!$B$19</f>
        <v/>
      </c>
      <c r="E9" s="7">
        <f>IF(OR(C9="",D9=""),"",C9-D9)</f>
        <v/>
      </c>
      <c r="F9" s="4" t="inlineStr">
        <is>
          <t>Collector to outlet branch</t>
        </is>
      </c>
    </row>
    <row r="10">
      <c r="A10" s="4" t="inlineStr">
        <is>
          <t>P07</t>
        </is>
      </c>
      <c r="B10" s="4" t="inlineStr">
        <is>
          <t>P08</t>
        </is>
      </c>
      <c r="C10" s="13" t="inlineStr"/>
      <c r="D10" s="13">
        <f>Inputs!$B$19</f>
        <v/>
      </c>
      <c r="E10" s="7">
        <f>IF(OR(C10="",D10=""),"",C10-D10)</f>
        <v/>
      </c>
      <c r="F10" s="4" t="inlineStr">
        <is>
          <t>Lower-left manhole</t>
        </is>
      </c>
    </row>
    <row r="11">
      <c r="A11" s="4" t="inlineStr">
        <is>
          <t>P08</t>
        </is>
      </c>
      <c r="B11" s="4" t="inlineStr">
        <is>
          <t>P09</t>
        </is>
      </c>
      <c r="C11" s="13" t="inlineStr"/>
      <c r="D11" s="13">
        <f>Inputs!$B$19</f>
        <v/>
      </c>
      <c r="E11" s="7">
        <f>IF(OR(C11="",D11=""),"",C11-D11)</f>
        <v/>
      </c>
      <c r="F11" s="4" t="inlineStr">
        <is>
          <t>Lower-center manhole</t>
        </is>
      </c>
    </row>
    <row r="12">
      <c r="A12" s="4" t="inlineStr">
        <is>
          <t>P09</t>
        </is>
      </c>
      <c r="B12" s="4" t="inlineStr">
        <is>
          <t>P06</t>
        </is>
      </c>
      <c r="C12" s="13" t="inlineStr"/>
      <c r="D12" s="13">
        <f>Inputs!$B$19</f>
        <v/>
      </c>
      <c r="E12" s="7">
        <f>IF(OR(C12="",D12=""),"",C12-D12)</f>
        <v/>
      </c>
      <c r="F12" s="4" t="inlineStr">
        <is>
          <t>Lower-right manhole</t>
        </is>
      </c>
    </row>
    <row r="13">
      <c r="A13" s="4" t="inlineStr">
        <is>
          <t>P010</t>
        </is>
      </c>
      <c r="B13" s="4" t="inlineStr">
        <is>
          <t>P07</t>
        </is>
      </c>
      <c r="C13" s="13" t="inlineStr"/>
      <c r="D13" s="13">
        <f>Inputs!$B$19</f>
        <v/>
      </c>
      <c r="E13" s="7">
        <f>IF(OR(C13="",D13=""),"",C13-D13)</f>
        <v/>
      </c>
      <c r="F13" s="4" t="inlineStr">
        <is>
          <t>Bottom-left manhole</t>
        </is>
      </c>
    </row>
    <row r="14">
      <c r="A14" s="4" t="inlineStr">
        <is>
          <t>J_OUT</t>
        </is>
      </c>
      <c r="B14" s="4" t="inlineStr">
        <is>
          <t>PUB</t>
        </is>
      </c>
      <c r="C14" s="13" t="inlineStr"/>
      <c r="D14" s="13">
        <f>Inputs!$B$19</f>
        <v/>
      </c>
      <c r="E14" s="7">
        <f>IF(OR(C14="",D14=""),"",C14-D14)</f>
        <v/>
      </c>
      <c r="F14" s="4" t="inlineStr">
        <is>
          <t>Junction before public network</t>
        </is>
      </c>
    </row>
    <row r="15">
      <c r="A15" s="4" t="inlineStr">
        <is>
          <t>PUB</t>
        </is>
      </c>
      <c r="B15" s="4" t="inlineStr"/>
      <c r="C15" s="13" t="inlineStr"/>
      <c r="D15" s="13">
        <f>Inputs!$B$19</f>
        <v/>
      </c>
      <c r="E15" s="7">
        <f>IF(OR(C15="",D15=""),"",C15-D15)</f>
        <v/>
      </c>
      <c r="F15" s="4" t="inlineStr">
        <is>
          <t>Public network tie-in / right discharge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SOUS-BASSINS DU PLAN (A -&gt; O)</t>
        </is>
      </c>
    </row>
    <row r="3">
      <c r="A3" s="3" t="inlineStr">
        <is>
          <t>CB_or_Zone</t>
        </is>
      </c>
      <c r="B3" s="3" t="inlineStr">
        <is>
          <t>Receives_into_Pipe_ID</t>
        </is>
      </c>
      <c r="C3" s="3" t="inlineStr">
        <is>
          <t>Area_m2 (input)</t>
        </is>
      </c>
      <c r="D3" s="3" t="inlineStr">
        <is>
          <t>Runoff_C (input)</t>
        </is>
      </c>
      <c r="E3" s="3" t="inlineStr">
        <is>
          <t>Area_x_C</t>
        </is>
      </c>
      <c r="F3" s="3" t="inlineStr">
        <is>
          <t>Node_hint</t>
        </is>
      </c>
      <c r="G3" s="3" t="inlineStr">
        <is>
          <t>Notes</t>
        </is>
      </c>
    </row>
    <row r="4">
      <c r="A4" s="4" t="inlineStr">
        <is>
          <t>A</t>
        </is>
      </c>
      <c r="B4" s="4" t="inlineStr">
        <is>
          <t>L01_P01_P02</t>
        </is>
      </c>
      <c r="C4" s="13" t="inlineStr"/>
      <c r="D4" s="14">
        <f>Inputs!$B$17</f>
        <v/>
      </c>
      <c r="E4" s="7">
        <f>IF(OR(C4="",D4=""),"",C4*D4)</f>
        <v/>
      </c>
      <c r="F4" s="4" t="inlineStr">
        <is>
          <t>P01</t>
        </is>
      </c>
      <c r="G4" s="4" t="inlineStr">
        <is>
          <t>Top-left block</t>
        </is>
      </c>
    </row>
    <row r="5">
      <c r="A5" s="4" t="inlineStr">
        <is>
          <t>B</t>
        </is>
      </c>
      <c r="B5" s="4" t="inlineStr">
        <is>
          <t>L02_P02_P03</t>
        </is>
      </c>
      <c r="C5" s="13" t="inlineStr"/>
      <c r="D5" s="14">
        <f>Inputs!$B$17</f>
        <v/>
      </c>
      <c r="E5" s="7">
        <f>IF(OR(C5="",D5=""),"",C5*D5)</f>
        <v/>
      </c>
      <c r="F5" s="4" t="inlineStr">
        <is>
          <t>P02</t>
        </is>
      </c>
      <c r="G5" s="4" t="inlineStr">
        <is>
          <t>Top-center block</t>
        </is>
      </c>
    </row>
    <row r="6">
      <c r="A6" s="4" t="inlineStr">
        <is>
          <t>C</t>
        </is>
      </c>
      <c r="B6" s="4" t="inlineStr">
        <is>
          <t>L02_P02_P03</t>
        </is>
      </c>
      <c r="C6" s="13" t="inlineStr"/>
      <c r="D6" s="14">
        <f>Inputs!$B$17</f>
        <v/>
      </c>
      <c r="E6" s="7">
        <f>IF(OR(C6="",D6=""),"",C6*D6)</f>
        <v/>
      </c>
      <c r="F6" s="4" t="inlineStr">
        <is>
          <t>P03</t>
        </is>
      </c>
      <c r="G6" s="4" t="inlineStr">
        <is>
          <t>Top-right block</t>
        </is>
      </c>
    </row>
    <row r="7">
      <c r="A7" s="4" t="inlineStr">
        <is>
          <t>D</t>
        </is>
      </c>
      <c r="B7" s="4" t="inlineStr">
        <is>
          <t>L08_P01_P04</t>
        </is>
      </c>
      <c r="C7" s="13" t="inlineStr"/>
      <c r="D7" s="14">
        <f>Inputs!$B$17</f>
        <v/>
      </c>
      <c r="E7" s="7">
        <f>IF(OR(C7="",D7=""),"",C7*D7)</f>
        <v/>
      </c>
      <c r="F7" s="4" t="inlineStr">
        <is>
          <t>P04</t>
        </is>
      </c>
      <c r="G7" s="4" t="inlineStr">
        <is>
          <t>Left-middle strip</t>
        </is>
      </c>
    </row>
    <row r="8">
      <c r="A8" s="4" t="inlineStr">
        <is>
          <t>E</t>
        </is>
      </c>
      <c r="B8" s="4" t="inlineStr">
        <is>
          <t>L03_P04_P05</t>
        </is>
      </c>
      <c r="C8" s="13" t="inlineStr"/>
      <c r="D8" s="14">
        <f>Inputs!$B$17</f>
        <v/>
      </c>
      <c r="E8" s="7">
        <f>IF(OR(C8="",D8=""),"",C8*D8)</f>
        <v/>
      </c>
      <c r="F8" s="4" t="inlineStr">
        <is>
          <t>P04-P05</t>
        </is>
      </c>
      <c r="G8" s="4" t="inlineStr">
        <is>
          <t>Middle-left block</t>
        </is>
      </c>
    </row>
    <row r="9">
      <c r="A9" s="4" t="inlineStr">
        <is>
          <t>F</t>
        </is>
      </c>
      <c r="B9" s="4" t="inlineStr">
        <is>
          <t>L04_P05_P06</t>
        </is>
      </c>
      <c r="C9" s="13" t="inlineStr"/>
      <c r="D9" s="14">
        <f>Inputs!$B$17</f>
        <v/>
      </c>
      <c r="E9" s="7">
        <f>IF(OR(C9="",D9=""),"",C9*D9)</f>
        <v/>
      </c>
      <c r="F9" s="4" t="inlineStr">
        <is>
          <t>P05-P06</t>
        </is>
      </c>
      <c r="G9" s="4" t="inlineStr">
        <is>
          <t>Center block</t>
        </is>
      </c>
    </row>
    <row r="10">
      <c r="A10" s="4" t="inlineStr">
        <is>
          <t>G</t>
        </is>
      </c>
      <c r="B10" s="4" t="inlineStr">
        <is>
          <t>L09_P03_P06</t>
        </is>
      </c>
      <c r="C10" s="13" t="inlineStr"/>
      <c r="D10" s="14">
        <f>Inputs!$B$17</f>
        <v/>
      </c>
      <c r="E10" s="7">
        <f>IF(OR(C10="",D10=""),"",C10*D10)</f>
        <v/>
      </c>
      <c r="F10" s="4" t="inlineStr">
        <is>
          <t>P06</t>
        </is>
      </c>
      <c r="G10" s="4" t="inlineStr">
        <is>
          <t>Upper-right near outlet branch</t>
        </is>
      </c>
    </row>
    <row r="11">
      <c r="A11" s="4" t="inlineStr">
        <is>
          <t>H</t>
        </is>
      </c>
      <c r="B11" s="4" t="inlineStr">
        <is>
          <t>L05_P07_P08</t>
        </is>
      </c>
      <c r="C11" s="13" t="inlineStr"/>
      <c r="D11" s="14">
        <f>Inputs!$B$17</f>
        <v/>
      </c>
      <c r="E11" s="7">
        <f>IF(OR(C11="",D11=""),"",C11*D11)</f>
        <v/>
      </c>
      <c r="F11" s="4" t="inlineStr">
        <is>
          <t>P07</t>
        </is>
      </c>
      <c r="G11" s="4" t="inlineStr">
        <is>
          <t>Lower-left block</t>
        </is>
      </c>
    </row>
    <row r="12">
      <c r="A12" s="4" t="inlineStr">
        <is>
          <t>I</t>
        </is>
      </c>
      <c r="B12" s="4" t="inlineStr">
        <is>
          <t>L06_P08_P09</t>
        </is>
      </c>
      <c r="C12" s="13" t="inlineStr"/>
      <c r="D12" s="14">
        <f>Inputs!$B$17</f>
        <v/>
      </c>
      <c r="E12" s="7">
        <f>IF(OR(C12="",D12=""),"",C12*D12)</f>
        <v/>
      </c>
      <c r="F12" s="4" t="inlineStr">
        <is>
          <t>P08</t>
        </is>
      </c>
      <c r="G12" s="4" t="inlineStr">
        <is>
          <t>Lower-center block</t>
        </is>
      </c>
    </row>
    <row r="13">
      <c r="A13" s="4" t="inlineStr">
        <is>
          <t>J</t>
        </is>
      </c>
      <c r="B13" s="4" t="inlineStr">
        <is>
          <t>L06_P08_P09</t>
        </is>
      </c>
      <c r="C13" s="13" t="inlineStr"/>
      <c r="D13" s="14">
        <f>Inputs!$B$17</f>
        <v/>
      </c>
      <c r="E13" s="7">
        <f>IF(OR(C13="",D13=""),"",C13*D13)</f>
        <v/>
      </c>
      <c r="F13" s="4" t="inlineStr">
        <is>
          <t>P09</t>
        </is>
      </c>
      <c r="G13" s="4" t="inlineStr">
        <is>
          <t>Lower-right block</t>
        </is>
      </c>
    </row>
    <row r="14">
      <c r="A14" s="4" t="inlineStr">
        <is>
          <t>K</t>
        </is>
      </c>
      <c r="B14" s="4" t="inlineStr">
        <is>
          <t>L10_P09_P06</t>
        </is>
      </c>
      <c r="C14" s="13" t="inlineStr"/>
      <c r="D14" s="14">
        <f>Inputs!$B$17</f>
        <v/>
      </c>
      <c r="E14" s="7">
        <f>IF(OR(C14="",D14=""),"",C14*D14)</f>
        <v/>
      </c>
      <c r="F14" s="4" t="inlineStr">
        <is>
          <t>P06</t>
        </is>
      </c>
      <c r="G14" s="4" t="inlineStr">
        <is>
          <t>Right flank block</t>
        </is>
      </c>
    </row>
    <row r="15">
      <c r="A15" s="4" t="inlineStr">
        <is>
          <t>L</t>
        </is>
      </c>
      <c r="B15" s="4" t="inlineStr">
        <is>
          <t>L07_P010_P07</t>
        </is>
      </c>
      <c r="C15" s="13" t="inlineStr"/>
      <c r="D15" s="14">
        <f>Inputs!$B$17</f>
        <v/>
      </c>
      <c r="E15" s="7">
        <f>IF(OR(C15="",D15=""),"",C15*D15)</f>
        <v/>
      </c>
      <c r="F15" s="4" t="inlineStr">
        <is>
          <t>P010</t>
        </is>
      </c>
      <c r="G15" s="4" t="inlineStr">
        <is>
          <t>Bottom-left strip</t>
        </is>
      </c>
    </row>
    <row r="16">
      <c r="A16" s="4" t="inlineStr">
        <is>
          <t>M</t>
        </is>
      </c>
      <c r="B16" s="4" t="inlineStr">
        <is>
          <t>L05_P07_P08</t>
        </is>
      </c>
      <c r="C16" s="13" t="inlineStr"/>
      <c r="D16" s="14">
        <f>Inputs!$B$17</f>
        <v/>
      </c>
      <c r="E16" s="7">
        <f>IF(OR(C16="",D16=""),"",C16*D16)</f>
        <v/>
      </c>
      <c r="F16" s="4" t="inlineStr">
        <is>
          <t>P07-P08</t>
        </is>
      </c>
      <c r="G16" s="4" t="inlineStr">
        <is>
          <t>Lower-left internal</t>
        </is>
      </c>
    </row>
    <row r="17">
      <c r="A17" s="4" t="inlineStr">
        <is>
          <t>N</t>
        </is>
      </c>
      <c r="B17" s="4" t="inlineStr">
        <is>
          <t>L06_P08_P09</t>
        </is>
      </c>
      <c r="C17" s="13" t="inlineStr"/>
      <c r="D17" s="14">
        <f>Inputs!$B$17</f>
        <v/>
      </c>
      <c r="E17" s="7">
        <f>IF(OR(C17="",D17=""),"",C17*D17)</f>
        <v/>
      </c>
      <c r="F17" s="4" t="inlineStr">
        <is>
          <t>P08-P09</t>
        </is>
      </c>
      <c r="G17" s="4" t="inlineStr">
        <is>
          <t>Lower-middle internal</t>
        </is>
      </c>
    </row>
    <row r="18">
      <c r="A18" s="4" t="inlineStr">
        <is>
          <t>O</t>
        </is>
      </c>
      <c r="B18" s="4" t="inlineStr">
        <is>
          <t>L07_P010_P07</t>
        </is>
      </c>
      <c r="C18" s="13" t="inlineStr"/>
      <c r="D18" s="14">
        <f>Inputs!$B$17</f>
        <v/>
      </c>
      <c r="E18" s="7">
        <f>IF(OR(C18="",D18=""),"",C18*D18)</f>
        <v/>
      </c>
      <c r="F18" s="4" t="inlineStr">
        <is>
          <t>P010-P07</t>
        </is>
      </c>
      <c r="G18" s="4" t="inlineStr">
        <is>
          <t>Bottom strip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2" customWidth="1" min="4" max="4"/>
    <col width="10" customWidth="1" min="5" max="5"/>
    <col width="12" customWidth="1" min="6" max="6"/>
    <col width="12" customWidth="1" min="7" max="7"/>
    <col width="11" customWidth="1" min="8" max="8"/>
    <col width="9" customWidth="1" min="9" max="9"/>
    <col width="10" customWidth="1" min="10" max="10"/>
    <col width="11" customWidth="1" min="11" max="11"/>
    <col width="11" customWidth="1" min="12" max="12"/>
    <col width="14" customWidth="1" min="13" max="13"/>
    <col width="12" customWidth="1" min="14" max="14"/>
    <col width="12" customWidth="1" min="15" max="15"/>
    <col width="11" customWidth="1" min="16" max="16"/>
    <col width="14" customWidth="1" min="17" max="17"/>
    <col width="13" customWidth="1" min="18" max="18"/>
    <col width="11" customWidth="1" min="19" max="19"/>
    <col width="10" customWidth="1" min="20" max="20"/>
    <col width="12" customWidth="1" min="21" max="21"/>
    <col width="12" customWidth="1" min="22" max="22"/>
    <col width="10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0" customWidth="1" min="31" max="31"/>
    <col width="40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>
      <c r="A1" s="1" t="inlineStr">
        <is>
          <t>GRAPH PRE-ENTRE NOEUD-PAR-NOEUD (PLAN) - COLLER SEULEMENT AIRES + ELEVATIONS</t>
        </is>
      </c>
    </row>
    <row r="2">
      <c r="A2" t="inlineStr">
        <is>
          <t>Network_status</t>
        </is>
      </c>
      <c r="B2" s="10">
        <f>IF(COUNTIF(AE4:AE203,"CHECK")&gt;0,"CHECK","OK")</f>
        <v/>
      </c>
      <c r="D2" t="inlineStr">
        <is>
          <t>Pipes_with_checks</t>
        </is>
      </c>
      <c r="E2" s="11">
        <f>COUNTIF(AE4:AE203,"CHECK")</f>
        <v/>
      </c>
    </row>
    <row r="3">
      <c r="A3" s="12" t="inlineStr">
        <is>
          <t>Pipe_ID</t>
        </is>
      </c>
      <c r="B3" s="12" t="inlineStr">
        <is>
          <t>From_Node</t>
        </is>
      </c>
      <c r="C3" s="12" t="inlineStr">
        <is>
          <t>To_Node</t>
        </is>
      </c>
      <c r="D3" s="12" t="inlineStr">
        <is>
          <t>Receives_into_Pipe_ID</t>
        </is>
      </c>
      <c r="E3" s="12" t="inlineStr">
        <is>
          <t>Length_m</t>
        </is>
      </c>
      <c r="F3" s="12" t="inlineStr">
        <is>
          <t>Area_override_m2</t>
        </is>
      </c>
      <c r="G3" s="12" t="inlineStr">
        <is>
          <t>Area_from_CB_m2</t>
        </is>
      </c>
      <c r="H3" s="12" t="inlineStr">
        <is>
          <t>Area_used_m2</t>
        </is>
      </c>
      <c r="I3" s="12" t="inlineStr">
        <is>
          <t>C_local</t>
        </is>
      </c>
      <c r="J3" s="12" t="inlineStr">
        <is>
          <t>Tc_local_min</t>
        </is>
      </c>
      <c r="K3" s="12" t="inlineStr">
        <is>
          <t>Intensity_mmh</t>
        </is>
      </c>
      <c r="L3" s="12" t="inlineStr">
        <is>
          <t>Q_local_m3s</t>
        </is>
      </c>
      <c r="M3" s="12" t="inlineStr">
        <is>
          <t>Q_from_upstream_m3s</t>
        </is>
      </c>
      <c r="N3" s="12" t="inlineStr">
        <is>
          <t>Q_total_design_m3s</t>
        </is>
      </c>
      <c r="O3" s="12" t="inlineStr">
        <is>
          <t>Slope_manual_m/m</t>
        </is>
      </c>
      <c r="P3" s="12" t="inlineStr">
        <is>
          <t>Slope_used_m/m</t>
        </is>
      </c>
      <c r="Q3" s="12" t="inlineStr">
        <is>
          <t>Dia_recommended_mm</t>
        </is>
      </c>
      <c r="R3" s="12" t="inlineStr">
        <is>
          <t>Dia_override_mm</t>
        </is>
      </c>
      <c r="S3" s="12" t="inlineStr">
        <is>
          <t>Dia_used_mm</t>
        </is>
      </c>
      <c r="T3" s="12" t="inlineStr">
        <is>
          <t>Dia_used_m</t>
        </is>
      </c>
      <c r="U3" s="12" t="inlineStr">
        <is>
          <t>Capacity_full_m3s</t>
        </is>
      </c>
      <c r="V3" s="12" t="inlineStr">
        <is>
          <t>Q_over_capacity_ratio</t>
        </is>
      </c>
      <c r="W3" s="12" t="inlineStr">
        <is>
          <t>Velocity_mps</t>
        </is>
      </c>
      <c r="X3" s="12" t="inlineStr">
        <is>
          <t>Junction_drop_m</t>
        </is>
      </c>
      <c r="Y3" s="12" t="inlineStr">
        <is>
          <t>Invert_down_m</t>
        </is>
      </c>
      <c r="Z3" s="12" t="inlineStr">
        <is>
          <t>Invert_up_m</t>
        </is>
      </c>
      <c r="AA3" s="12" t="inlineStr">
        <is>
          <t>Ground_down_m</t>
        </is>
      </c>
      <c r="AB3" s="12" t="inlineStr">
        <is>
          <t>Ground_up_m</t>
        </is>
      </c>
      <c r="AC3" s="12" t="inlineStr">
        <is>
          <t>Cover_down_m</t>
        </is>
      </c>
      <c r="AD3" s="12" t="inlineStr">
        <is>
          <t>Cover_up_m</t>
        </is>
      </c>
      <c r="AE3" s="12" t="inlineStr">
        <is>
          <t>Checks</t>
        </is>
      </c>
      <c r="AF3" s="12" t="inlineStr">
        <is>
          <t>Notes</t>
        </is>
      </c>
      <c r="AG3" s="3" t="inlineStr">
        <is>
          <t>Cap_5</t>
        </is>
      </c>
      <c r="AH3" s="3" t="inlineStr">
        <is>
          <t>Cap_6</t>
        </is>
      </c>
      <c r="AI3" s="3" t="inlineStr">
        <is>
          <t>Cap_7</t>
        </is>
      </c>
      <c r="AJ3" s="3" t="inlineStr">
        <is>
          <t>Cap_8</t>
        </is>
      </c>
      <c r="AK3" s="3" t="inlineStr">
        <is>
          <t>Cap_9</t>
        </is>
      </c>
      <c r="AL3" s="3" t="inlineStr">
        <is>
          <t>Cap_10</t>
        </is>
      </c>
      <c r="AM3" s="3" t="inlineStr">
        <is>
          <t>Cap_11</t>
        </is>
      </c>
      <c r="AN3" s="3" t="inlineStr">
        <is>
          <t>Cap_12</t>
        </is>
      </c>
      <c r="AO3" s="3" t="inlineStr">
        <is>
          <t>Cap_13</t>
        </is>
      </c>
      <c r="AP3" s="3" t="inlineStr">
        <is>
          <t>Cap_14</t>
        </is>
      </c>
    </row>
    <row r="4">
      <c r="A4" s="4" t="inlineStr">
        <is>
          <t>L01_P01_P02</t>
        </is>
      </c>
      <c r="B4" s="4" t="inlineStr">
        <is>
          <t>P01</t>
        </is>
      </c>
      <c r="C4" s="4" t="inlineStr">
        <is>
          <t>P02</t>
        </is>
      </c>
      <c r="D4" s="4" t="inlineStr">
        <is>
          <t>L02_P02_P03</t>
        </is>
      </c>
      <c r="E4" s="8" t="n">
        <v>7</v>
      </c>
      <c r="F4" s="8" t="inlineStr"/>
      <c r="G4" s="8">
        <f>SUMIFS(CB_plan!$C:$C,CB_plan!$B:$B,$A4)</f>
        <v/>
      </c>
      <c r="H4" s="8">
        <f>IF(F4="",G4,F4)</f>
        <v/>
      </c>
      <c r="I4" s="4" t="n"/>
      <c r="J4" s="8" t="n"/>
      <c r="K4" s="8">
        <f>IF(A4="","",Inputs!$B$13/((IF(J4="",Inputs!$B$18,J4)+Inputs!$B$14)^Inputs!$B$15))</f>
        <v/>
      </c>
      <c r="L4" s="8">
        <f>IF(A4="","",0.00278*IF(I4="",Inputs!$B$17,I4)*H4*K4)</f>
        <v/>
      </c>
      <c r="M4" s="8">
        <f>IF(A4="","",SUMIFS($N$4:$N$203,$D$4:$D$203,$A4))</f>
        <v/>
      </c>
      <c r="N4" s="8">
        <f>IF(A4="","",(L4+M4)*Inputs!$B$16)</f>
        <v/>
      </c>
      <c r="O4" s="8" t="n"/>
      <c r="P4" s="8">
        <f>IF(A4="","",IF(O4="",Inputs!$B$7,O4))</f>
        <v/>
      </c>
      <c r="Q4" s="4">
        <f>IF(A4="","",IF(N4/Inputs!$B$10&lt;=AG4,Inputs!$F$5,IF(N4/Inputs!$B$10&gt;AP4,"OVERSIZE",INDEX(Inputs!$F$5:$F$14,MATCH(N4/Inputs!$B$10,AG4:AP4,1)+1))))</f>
        <v/>
      </c>
      <c r="R4" s="4" t="n"/>
      <c r="S4" s="4">
        <f>IF(A4="","",IF(R4="",Q4,R4))</f>
        <v/>
      </c>
      <c r="T4" s="8">
        <f>IF(OR(S4="",S4="OVERSIZE"),"",S4/1000)</f>
        <v/>
      </c>
      <c r="U4" s="8">
        <f>IF(T4="","",(1/Inputs!$B$9)*(PI()*T4^2/4)*((T4/4)^(2/3))*SQRT(P4))</f>
        <v/>
      </c>
      <c r="V4" s="8">
        <f>IF(OR(U4="",N4=""),"",N4/(U4*Inputs!$B$10))</f>
        <v/>
      </c>
      <c r="W4" s="8">
        <f>IF(OR(T4="",N4=""),"",4*N4/(PI()*T4^2))</f>
        <v/>
      </c>
      <c r="X4" s="8" t="n"/>
      <c r="Y4" s="8">
        <f>IF(A4="","",IF(A4=Inputs!$B$6,Inputs!$B$22,IF(D4="","",IFERROR(INDEX($Z$4:$Z$203,MATCH(D4,$A$4:$A$203,0))+IF(X4="",Inputs!$B$20,X4),""))))</f>
        <v/>
      </c>
      <c r="Z4" s="8">
        <f>IF(OR(Y4="",P4="",E4=""),"",Y4+P4*E4)</f>
        <v/>
      </c>
      <c r="AA4" s="8">
        <f>IF(C4="","",IFERROR(INDEX(Noeuds_plan!$C$4:$C$200,MATCH(C4,Noeuds_plan!$A$4:$A$200,0)),""))</f>
        <v/>
      </c>
      <c r="AB4" s="8">
        <f>IF(B4="","",IFERROR(INDEX(Noeuds_plan!$C$4:$C$200,MATCH(B4,Noeuds_plan!$A$4:$A$200,0)),""))</f>
        <v/>
      </c>
      <c r="AC4" s="8">
        <f>IF(OR(AA4="",Y4=""),"",AA4-Y4)</f>
        <v/>
      </c>
      <c r="AD4" s="8">
        <f>IF(OR(AB4="",Z4=""),"",AB4-Z4)</f>
        <v/>
      </c>
      <c r="AE4" s="4">
        <f>IF(A4="","",IF(OR(V4&gt;1,W4&lt;Inputs!$B$11,W4&gt;Inputs!$B$12,AC4&lt;Inputs!$B$19,AD4&lt;Inputs!$B$19,P4&lt;Inputs!$B$7,P4&gt;Inputs!$B$8),"CHECK","OK"))</f>
        <v/>
      </c>
      <c r="AF4" s="4" t="inlineStr">
        <is>
          <t>Readable length from plan</t>
        </is>
      </c>
      <c r="AG4" s="4">
        <f>IF(A4="","",(1/Inputs!$B$9)*(PI()*(Inputs!$F$5/1000)^2/4)*((Inputs!$F$5/1000/4)^(2/3))*SQRT(P4))</f>
        <v/>
      </c>
      <c r="AH4" s="4">
        <f>IF(A4="","",(1/Inputs!$B$9)*(PI()*(Inputs!$F$6/1000)^2/4)*((Inputs!$F$6/1000/4)^(2/3))*SQRT(P4))</f>
        <v/>
      </c>
      <c r="AI4" s="4">
        <f>IF(A4="","",(1/Inputs!$B$9)*(PI()*(Inputs!$F$7/1000)^2/4)*((Inputs!$F$7/1000/4)^(2/3))*SQRT(P4))</f>
        <v/>
      </c>
      <c r="AJ4" s="4">
        <f>IF(A4="","",(1/Inputs!$B$9)*(PI()*(Inputs!$F$8/1000)^2/4)*((Inputs!$F$8/1000/4)^(2/3))*SQRT(P4))</f>
        <v/>
      </c>
      <c r="AK4" s="4">
        <f>IF(A4="","",(1/Inputs!$B$9)*(PI()*(Inputs!$F$9/1000)^2/4)*((Inputs!$F$9/1000/4)^(2/3))*SQRT(P4))</f>
        <v/>
      </c>
      <c r="AL4" s="4">
        <f>IF(A4="","",(1/Inputs!$B$9)*(PI()*(Inputs!$F$10/1000)^2/4)*((Inputs!$F$10/1000/4)^(2/3))*SQRT(P4))</f>
        <v/>
      </c>
      <c r="AM4" s="4">
        <f>IF(A4="","",(1/Inputs!$B$9)*(PI()*(Inputs!$F$11/1000)^2/4)*((Inputs!$F$11/1000/4)^(2/3))*SQRT(P4))</f>
        <v/>
      </c>
      <c r="AN4" s="4">
        <f>IF(A4="","",(1/Inputs!$B$9)*(PI()*(Inputs!$F$12/1000)^2/4)*((Inputs!$F$12/1000/4)^(2/3))*SQRT(P4))</f>
        <v/>
      </c>
      <c r="AO4" s="4">
        <f>IF(A4="","",(1/Inputs!$B$9)*(PI()*(Inputs!$F$13/1000)^2/4)*((Inputs!$F$13/1000/4)^(2/3))*SQRT(P4))</f>
        <v/>
      </c>
      <c r="AP4" s="4">
        <f>IF(A4="","",(1/Inputs!$B$9)*(PI()*(Inputs!$F$14/1000)^2/4)*((Inputs!$F$14/1000/4)^(2/3))*SQRT(P4))</f>
        <v/>
      </c>
    </row>
    <row r="5">
      <c r="A5" s="4" t="inlineStr">
        <is>
          <t>L02_P02_P03</t>
        </is>
      </c>
      <c r="B5" s="4" t="inlineStr">
        <is>
          <t>P02</t>
        </is>
      </c>
      <c r="C5" s="4" t="inlineStr">
        <is>
          <t>P03</t>
        </is>
      </c>
      <c r="D5" s="4" t="inlineStr">
        <is>
          <t>L09_P03_P06</t>
        </is>
      </c>
      <c r="E5" s="8" t="n">
        <v>9.6</v>
      </c>
      <c r="F5" s="8" t="inlineStr"/>
      <c r="G5" s="8">
        <f>SUMIFS(CB_plan!$C:$C,CB_plan!$B:$B,$A5)</f>
        <v/>
      </c>
      <c r="H5" s="8">
        <f>IF(F5="",G5,F5)</f>
        <v/>
      </c>
      <c r="I5" s="4" t="n"/>
      <c r="J5" s="8" t="n"/>
      <c r="K5" s="8">
        <f>IF(A5="","",Inputs!$B$13/((IF(J5="",Inputs!$B$18,J5)+Inputs!$B$14)^Inputs!$B$15))</f>
        <v/>
      </c>
      <c r="L5" s="8">
        <f>IF(A5="","",0.00278*IF(I5="",Inputs!$B$17,I5)*H5*K5)</f>
        <v/>
      </c>
      <c r="M5" s="8">
        <f>IF(A5="","",SUMIFS($N$4:$N$203,$D$4:$D$203,$A5))</f>
        <v/>
      </c>
      <c r="N5" s="8">
        <f>IF(A5="","",(L5+M5)*Inputs!$B$16)</f>
        <v/>
      </c>
      <c r="O5" s="8" t="n"/>
      <c r="P5" s="8">
        <f>IF(A5="","",IF(O5="",Inputs!$B$7,O5))</f>
        <v/>
      </c>
      <c r="Q5" s="4">
        <f>IF(A5="","",IF(N5/Inputs!$B$10&lt;=AG5,Inputs!$F$5,IF(N5/Inputs!$B$10&gt;AP5,"OVERSIZE",INDEX(Inputs!$F$5:$F$14,MATCH(N5/Inputs!$B$10,AG5:AP5,1)+1))))</f>
        <v/>
      </c>
      <c r="R5" s="4" t="n"/>
      <c r="S5" s="4">
        <f>IF(A5="","",IF(R5="",Q5,R5))</f>
        <v/>
      </c>
      <c r="T5" s="8">
        <f>IF(OR(S5="",S5="OVERSIZE"),"",S5/1000)</f>
        <v/>
      </c>
      <c r="U5" s="8">
        <f>IF(T5="","",(1/Inputs!$B$9)*(PI()*T5^2/4)*((T5/4)^(2/3))*SQRT(P5))</f>
        <v/>
      </c>
      <c r="V5" s="8">
        <f>IF(OR(U5="",N5=""),"",N5/(U5*Inputs!$B$10))</f>
        <v/>
      </c>
      <c r="W5" s="8">
        <f>IF(OR(T5="",N5=""),"",4*N5/(PI()*T5^2))</f>
        <v/>
      </c>
      <c r="X5" s="8" t="n"/>
      <c r="Y5" s="8">
        <f>IF(A5="","",IF(A5=Inputs!$B$6,Inputs!$B$22,IF(D5="","",IFERROR(INDEX($Z$4:$Z$203,MATCH(D5,$A$4:$A$203,0))+IF(X5="",Inputs!$B$20,X5),""))))</f>
        <v/>
      </c>
      <c r="Z5" s="8">
        <f>IF(OR(Y5="",P5="",E5=""),"",Y5+P5*E5)</f>
        <v/>
      </c>
      <c r="AA5" s="8">
        <f>IF(C5="","",IFERROR(INDEX(Noeuds_plan!$C$4:$C$200,MATCH(C5,Noeuds_plan!$A$4:$A$200,0)),""))</f>
        <v/>
      </c>
      <c r="AB5" s="8">
        <f>IF(B5="","",IFERROR(INDEX(Noeuds_plan!$C$4:$C$200,MATCH(B5,Noeuds_plan!$A$4:$A$200,0)),""))</f>
        <v/>
      </c>
      <c r="AC5" s="8">
        <f>IF(OR(AA5="",Y5=""),"",AA5-Y5)</f>
        <v/>
      </c>
      <c r="AD5" s="8">
        <f>IF(OR(AB5="",Z5=""),"",AB5-Z5)</f>
        <v/>
      </c>
      <c r="AE5" s="4">
        <f>IF(A5="","",IF(OR(V5&gt;1,W5&lt;Inputs!$B$11,W5&gt;Inputs!$B$12,AC5&lt;Inputs!$B$19,AD5&lt;Inputs!$B$19,P5&lt;Inputs!$B$7,P5&gt;Inputs!$B$8),"CHECK","OK"))</f>
        <v/>
      </c>
      <c r="AF5" s="4" t="inlineStr">
        <is>
          <t>Approx; verify on plan</t>
        </is>
      </c>
      <c r="AG5" s="4">
        <f>IF(A5="","",(1/Inputs!$B$9)*(PI()*(Inputs!$F$5/1000)^2/4)*((Inputs!$F$5/1000/4)^(2/3))*SQRT(P5))</f>
        <v/>
      </c>
      <c r="AH5" s="4">
        <f>IF(A5="","",(1/Inputs!$B$9)*(PI()*(Inputs!$F$6/1000)^2/4)*((Inputs!$F$6/1000/4)^(2/3))*SQRT(P5))</f>
        <v/>
      </c>
      <c r="AI5" s="4">
        <f>IF(A5="","",(1/Inputs!$B$9)*(PI()*(Inputs!$F$7/1000)^2/4)*((Inputs!$F$7/1000/4)^(2/3))*SQRT(P5))</f>
        <v/>
      </c>
      <c r="AJ5" s="4">
        <f>IF(A5="","",(1/Inputs!$B$9)*(PI()*(Inputs!$F$8/1000)^2/4)*((Inputs!$F$8/1000/4)^(2/3))*SQRT(P5))</f>
        <v/>
      </c>
      <c r="AK5" s="4">
        <f>IF(A5="","",(1/Inputs!$B$9)*(PI()*(Inputs!$F$9/1000)^2/4)*((Inputs!$F$9/1000/4)^(2/3))*SQRT(P5))</f>
        <v/>
      </c>
      <c r="AL5" s="4">
        <f>IF(A5="","",(1/Inputs!$B$9)*(PI()*(Inputs!$F$10/1000)^2/4)*((Inputs!$F$10/1000/4)^(2/3))*SQRT(P5))</f>
        <v/>
      </c>
      <c r="AM5" s="4">
        <f>IF(A5="","",(1/Inputs!$B$9)*(PI()*(Inputs!$F$11/1000)^2/4)*((Inputs!$F$11/1000/4)^(2/3))*SQRT(P5))</f>
        <v/>
      </c>
      <c r="AN5" s="4">
        <f>IF(A5="","",(1/Inputs!$B$9)*(PI()*(Inputs!$F$12/1000)^2/4)*((Inputs!$F$12/1000/4)^(2/3))*SQRT(P5))</f>
        <v/>
      </c>
      <c r="AO5" s="4">
        <f>IF(A5="","",(1/Inputs!$B$9)*(PI()*(Inputs!$F$13/1000)^2/4)*((Inputs!$F$13/1000/4)^(2/3))*SQRT(P5))</f>
        <v/>
      </c>
      <c r="AP5" s="4">
        <f>IF(A5="","",(1/Inputs!$B$9)*(PI()*(Inputs!$F$14/1000)^2/4)*((Inputs!$F$14/1000/4)^(2/3))*SQRT(P5))</f>
        <v/>
      </c>
    </row>
    <row r="6">
      <c r="A6" s="4" t="inlineStr">
        <is>
          <t>L03_P04_P05</t>
        </is>
      </c>
      <c r="B6" s="4" t="inlineStr">
        <is>
          <t>P04</t>
        </is>
      </c>
      <c r="C6" s="4" t="inlineStr">
        <is>
          <t>P05</t>
        </is>
      </c>
      <c r="D6" s="4" t="inlineStr">
        <is>
          <t>L04_P05_P06</t>
        </is>
      </c>
      <c r="E6" s="8" t="n">
        <v>11.54</v>
      </c>
      <c r="F6" s="8" t="inlineStr"/>
      <c r="G6" s="8">
        <f>SUMIFS(CB_plan!$C:$C,CB_plan!$B:$B,$A6)</f>
        <v/>
      </c>
      <c r="H6" s="8">
        <f>IF(F6="",G6,F6)</f>
        <v/>
      </c>
      <c r="I6" s="4" t="n"/>
      <c r="J6" s="8" t="n"/>
      <c r="K6" s="8">
        <f>IF(A6="","",Inputs!$B$13/((IF(J6="",Inputs!$B$18,J6)+Inputs!$B$14)^Inputs!$B$15))</f>
        <v/>
      </c>
      <c r="L6" s="8">
        <f>IF(A6="","",0.00278*IF(I6="",Inputs!$B$17,I6)*H6*K6)</f>
        <v/>
      </c>
      <c r="M6" s="8">
        <f>IF(A6="","",SUMIFS($N$4:$N$203,$D$4:$D$203,$A6))</f>
        <v/>
      </c>
      <c r="N6" s="8">
        <f>IF(A6="","",(L6+M6)*Inputs!$B$16)</f>
        <v/>
      </c>
      <c r="O6" s="8" t="n"/>
      <c r="P6" s="8">
        <f>IF(A6="","",IF(O6="",Inputs!$B$7,O6))</f>
        <v/>
      </c>
      <c r="Q6" s="4">
        <f>IF(A6="","",IF(N6/Inputs!$B$10&lt;=AG6,Inputs!$F$5,IF(N6/Inputs!$B$10&gt;AP6,"OVERSIZE",INDEX(Inputs!$F$5:$F$14,MATCH(N6/Inputs!$B$10,AG6:AP6,1)+1))))</f>
        <v/>
      </c>
      <c r="R6" s="4" t="n"/>
      <c r="S6" s="4">
        <f>IF(A6="","",IF(R6="",Q6,R6))</f>
        <v/>
      </c>
      <c r="T6" s="8">
        <f>IF(OR(S6="",S6="OVERSIZE"),"",S6/1000)</f>
        <v/>
      </c>
      <c r="U6" s="8">
        <f>IF(T6="","",(1/Inputs!$B$9)*(PI()*T6^2/4)*((T6/4)^(2/3))*SQRT(P6))</f>
        <v/>
      </c>
      <c r="V6" s="8">
        <f>IF(OR(U6="",N6=""),"",N6/(U6*Inputs!$B$10))</f>
        <v/>
      </c>
      <c r="W6" s="8">
        <f>IF(OR(T6="",N6=""),"",4*N6/(PI()*T6^2))</f>
        <v/>
      </c>
      <c r="X6" s="8" t="n"/>
      <c r="Y6" s="8">
        <f>IF(A6="","",IF(A6=Inputs!$B$6,Inputs!$B$22,IF(D6="","",IFERROR(INDEX($Z$4:$Z$203,MATCH(D6,$A$4:$A$203,0))+IF(X6="",Inputs!$B$20,X6),""))))</f>
        <v/>
      </c>
      <c r="Z6" s="8">
        <f>IF(OR(Y6="",P6="",E6=""),"",Y6+P6*E6)</f>
        <v/>
      </c>
      <c r="AA6" s="8">
        <f>IF(C6="","",IFERROR(INDEX(Noeuds_plan!$C$4:$C$200,MATCH(C6,Noeuds_plan!$A$4:$A$200,0)),""))</f>
        <v/>
      </c>
      <c r="AB6" s="8">
        <f>IF(B6="","",IFERROR(INDEX(Noeuds_plan!$C$4:$C$200,MATCH(B6,Noeuds_plan!$A$4:$A$200,0)),""))</f>
        <v/>
      </c>
      <c r="AC6" s="8">
        <f>IF(OR(AA6="",Y6=""),"",AA6-Y6)</f>
        <v/>
      </c>
      <c r="AD6" s="8">
        <f>IF(OR(AB6="",Z6=""),"",AB6-Z6)</f>
        <v/>
      </c>
      <c r="AE6" s="4">
        <f>IF(A6="","",IF(OR(V6&gt;1,W6&lt;Inputs!$B$11,W6&gt;Inputs!$B$12,AC6&lt;Inputs!$B$19,AD6&lt;Inputs!$B$19,P6&lt;Inputs!$B$7,P6&gt;Inputs!$B$8),"CHECK","OK"))</f>
        <v/>
      </c>
      <c r="AF6" s="4" t="inlineStr">
        <is>
          <t>Readable length from plan</t>
        </is>
      </c>
      <c r="AG6" s="4">
        <f>IF(A6="","",(1/Inputs!$B$9)*(PI()*(Inputs!$F$5/1000)^2/4)*((Inputs!$F$5/1000/4)^(2/3))*SQRT(P6))</f>
        <v/>
      </c>
      <c r="AH6" s="4">
        <f>IF(A6="","",(1/Inputs!$B$9)*(PI()*(Inputs!$F$6/1000)^2/4)*((Inputs!$F$6/1000/4)^(2/3))*SQRT(P6))</f>
        <v/>
      </c>
      <c r="AI6" s="4">
        <f>IF(A6="","",(1/Inputs!$B$9)*(PI()*(Inputs!$F$7/1000)^2/4)*((Inputs!$F$7/1000/4)^(2/3))*SQRT(P6))</f>
        <v/>
      </c>
      <c r="AJ6" s="4">
        <f>IF(A6="","",(1/Inputs!$B$9)*(PI()*(Inputs!$F$8/1000)^2/4)*((Inputs!$F$8/1000/4)^(2/3))*SQRT(P6))</f>
        <v/>
      </c>
      <c r="AK6" s="4">
        <f>IF(A6="","",(1/Inputs!$B$9)*(PI()*(Inputs!$F$9/1000)^2/4)*((Inputs!$F$9/1000/4)^(2/3))*SQRT(P6))</f>
        <v/>
      </c>
      <c r="AL6" s="4">
        <f>IF(A6="","",(1/Inputs!$B$9)*(PI()*(Inputs!$F$10/1000)^2/4)*((Inputs!$F$10/1000/4)^(2/3))*SQRT(P6))</f>
        <v/>
      </c>
      <c r="AM6" s="4">
        <f>IF(A6="","",(1/Inputs!$B$9)*(PI()*(Inputs!$F$11/1000)^2/4)*((Inputs!$F$11/1000/4)^(2/3))*SQRT(P6))</f>
        <v/>
      </c>
      <c r="AN6" s="4">
        <f>IF(A6="","",(1/Inputs!$B$9)*(PI()*(Inputs!$F$12/1000)^2/4)*((Inputs!$F$12/1000/4)^(2/3))*SQRT(P6))</f>
        <v/>
      </c>
      <c r="AO6" s="4">
        <f>IF(A6="","",(1/Inputs!$B$9)*(PI()*(Inputs!$F$13/1000)^2/4)*((Inputs!$F$13/1000/4)^(2/3))*SQRT(P6))</f>
        <v/>
      </c>
      <c r="AP6" s="4">
        <f>IF(A6="","",(1/Inputs!$B$9)*(PI()*(Inputs!$F$14/1000)^2/4)*((Inputs!$F$14/1000/4)^(2/3))*SQRT(P6))</f>
        <v/>
      </c>
    </row>
    <row r="7">
      <c r="A7" s="4" t="inlineStr">
        <is>
          <t>L04_P05_P06</t>
        </is>
      </c>
      <c r="B7" s="4" t="inlineStr">
        <is>
          <t>P05</t>
        </is>
      </c>
      <c r="C7" s="4" t="inlineStr">
        <is>
          <t>P06</t>
        </is>
      </c>
      <c r="D7" s="4" t="inlineStr">
        <is>
          <t>L11_P06_JOUT</t>
        </is>
      </c>
      <c r="E7" s="8" t="n">
        <v>14.25</v>
      </c>
      <c r="F7" s="8" t="inlineStr"/>
      <c r="G7" s="8">
        <f>SUMIFS(CB_plan!$C:$C,CB_plan!$B:$B,$A7)</f>
        <v/>
      </c>
      <c r="H7" s="8">
        <f>IF(F7="",G7,F7)</f>
        <v/>
      </c>
      <c r="I7" s="4" t="n"/>
      <c r="J7" s="8" t="n"/>
      <c r="K7" s="8">
        <f>IF(A7="","",Inputs!$B$13/((IF(J7="",Inputs!$B$18,J7)+Inputs!$B$14)^Inputs!$B$15))</f>
        <v/>
      </c>
      <c r="L7" s="8">
        <f>IF(A7="","",0.00278*IF(I7="",Inputs!$B$17,I7)*H7*K7)</f>
        <v/>
      </c>
      <c r="M7" s="8">
        <f>IF(A7="","",SUMIFS($N$4:$N$203,$D$4:$D$203,$A7))</f>
        <v/>
      </c>
      <c r="N7" s="8">
        <f>IF(A7="","",(L7+M7)*Inputs!$B$16)</f>
        <v/>
      </c>
      <c r="O7" s="8" t="n"/>
      <c r="P7" s="8">
        <f>IF(A7="","",IF(O7="",Inputs!$B$7,O7))</f>
        <v/>
      </c>
      <c r="Q7" s="4">
        <f>IF(A7="","",IF(N7/Inputs!$B$10&lt;=AG7,Inputs!$F$5,IF(N7/Inputs!$B$10&gt;AP7,"OVERSIZE",INDEX(Inputs!$F$5:$F$14,MATCH(N7/Inputs!$B$10,AG7:AP7,1)+1))))</f>
        <v/>
      </c>
      <c r="R7" s="4" t="n"/>
      <c r="S7" s="4">
        <f>IF(A7="","",IF(R7="",Q7,R7))</f>
        <v/>
      </c>
      <c r="T7" s="8">
        <f>IF(OR(S7="",S7="OVERSIZE"),"",S7/1000)</f>
        <v/>
      </c>
      <c r="U7" s="8">
        <f>IF(T7="","",(1/Inputs!$B$9)*(PI()*T7^2/4)*((T7/4)^(2/3))*SQRT(P7))</f>
        <v/>
      </c>
      <c r="V7" s="8">
        <f>IF(OR(U7="",N7=""),"",N7/(U7*Inputs!$B$10))</f>
        <v/>
      </c>
      <c r="W7" s="8">
        <f>IF(OR(T7="",N7=""),"",4*N7/(PI()*T7^2))</f>
        <v/>
      </c>
      <c r="X7" s="8" t="n"/>
      <c r="Y7" s="8">
        <f>IF(A7="","",IF(A7=Inputs!$B$6,Inputs!$B$22,IF(D7="","",IFERROR(INDEX($Z$4:$Z$203,MATCH(D7,$A$4:$A$203,0))+IF(X7="",Inputs!$B$20,X7),""))))</f>
        <v/>
      </c>
      <c r="Z7" s="8">
        <f>IF(OR(Y7="",P7="",E7=""),"",Y7+P7*E7)</f>
        <v/>
      </c>
      <c r="AA7" s="8">
        <f>IF(C7="","",IFERROR(INDEX(Noeuds_plan!$C$4:$C$200,MATCH(C7,Noeuds_plan!$A$4:$A$200,0)),""))</f>
        <v/>
      </c>
      <c r="AB7" s="8">
        <f>IF(B7="","",IFERROR(INDEX(Noeuds_plan!$C$4:$C$200,MATCH(B7,Noeuds_plan!$A$4:$A$200,0)),""))</f>
        <v/>
      </c>
      <c r="AC7" s="8">
        <f>IF(OR(AA7="",Y7=""),"",AA7-Y7)</f>
        <v/>
      </c>
      <c r="AD7" s="8">
        <f>IF(OR(AB7="",Z7=""),"",AB7-Z7)</f>
        <v/>
      </c>
      <c r="AE7" s="4">
        <f>IF(A7="","",IF(OR(V7&gt;1,W7&lt;Inputs!$B$11,W7&gt;Inputs!$B$12,AC7&lt;Inputs!$B$19,AD7&lt;Inputs!$B$19,P7&lt;Inputs!$B$7,P7&gt;Inputs!$B$8),"CHECK","OK"))</f>
        <v/>
      </c>
      <c r="AF7" s="4" t="inlineStr">
        <is>
          <t>Readable length from plan</t>
        </is>
      </c>
      <c r="AG7" s="4">
        <f>IF(A7="","",(1/Inputs!$B$9)*(PI()*(Inputs!$F$5/1000)^2/4)*((Inputs!$F$5/1000/4)^(2/3))*SQRT(P7))</f>
        <v/>
      </c>
      <c r="AH7" s="4">
        <f>IF(A7="","",(1/Inputs!$B$9)*(PI()*(Inputs!$F$6/1000)^2/4)*((Inputs!$F$6/1000/4)^(2/3))*SQRT(P7))</f>
        <v/>
      </c>
      <c r="AI7" s="4">
        <f>IF(A7="","",(1/Inputs!$B$9)*(PI()*(Inputs!$F$7/1000)^2/4)*((Inputs!$F$7/1000/4)^(2/3))*SQRT(P7))</f>
        <v/>
      </c>
      <c r="AJ7" s="4">
        <f>IF(A7="","",(1/Inputs!$B$9)*(PI()*(Inputs!$F$8/1000)^2/4)*((Inputs!$F$8/1000/4)^(2/3))*SQRT(P7))</f>
        <v/>
      </c>
      <c r="AK7" s="4">
        <f>IF(A7="","",(1/Inputs!$B$9)*(PI()*(Inputs!$F$9/1000)^2/4)*((Inputs!$F$9/1000/4)^(2/3))*SQRT(P7))</f>
        <v/>
      </c>
      <c r="AL7" s="4">
        <f>IF(A7="","",(1/Inputs!$B$9)*(PI()*(Inputs!$F$10/1000)^2/4)*((Inputs!$F$10/1000/4)^(2/3))*SQRT(P7))</f>
        <v/>
      </c>
      <c r="AM7" s="4">
        <f>IF(A7="","",(1/Inputs!$B$9)*(PI()*(Inputs!$F$11/1000)^2/4)*((Inputs!$F$11/1000/4)^(2/3))*SQRT(P7))</f>
        <v/>
      </c>
      <c r="AN7" s="4">
        <f>IF(A7="","",(1/Inputs!$B$9)*(PI()*(Inputs!$F$12/1000)^2/4)*((Inputs!$F$12/1000/4)^(2/3))*SQRT(P7))</f>
        <v/>
      </c>
      <c r="AO7" s="4">
        <f>IF(A7="","",(1/Inputs!$B$9)*(PI()*(Inputs!$F$13/1000)^2/4)*((Inputs!$F$13/1000/4)^(2/3))*SQRT(P7))</f>
        <v/>
      </c>
      <c r="AP7" s="4">
        <f>IF(A7="","",(1/Inputs!$B$9)*(PI()*(Inputs!$F$14/1000)^2/4)*((Inputs!$F$14/1000/4)^(2/3))*SQRT(P7))</f>
        <v/>
      </c>
    </row>
    <row r="8">
      <c r="A8" s="4" t="inlineStr">
        <is>
          <t>L05_P07_P08</t>
        </is>
      </c>
      <c r="B8" s="4" t="inlineStr">
        <is>
          <t>P07</t>
        </is>
      </c>
      <c r="C8" s="4" t="inlineStr">
        <is>
          <t>P08</t>
        </is>
      </c>
      <c r="D8" s="4" t="inlineStr">
        <is>
          <t>L06_P08_P09</t>
        </is>
      </c>
      <c r="E8" s="8" t="n">
        <v>14.29</v>
      </c>
      <c r="F8" s="8" t="inlineStr"/>
      <c r="G8" s="8">
        <f>SUMIFS(CB_plan!$C:$C,CB_plan!$B:$B,$A8)</f>
        <v/>
      </c>
      <c r="H8" s="8">
        <f>IF(F8="",G8,F8)</f>
        <v/>
      </c>
      <c r="I8" s="4" t="n"/>
      <c r="J8" s="8" t="n"/>
      <c r="K8" s="8">
        <f>IF(A8="","",Inputs!$B$13/((IF(J8="",Inputs!$B$18,J8)+Inputs!$B$14)^Inputs!$B$15))</f>
        <v/>
      </c>
      <c r="L8" s="8">
        <f>IF(A8="","",0.00278*IF(I8="",Inputs!$B$17,I8)*H8*K8)</f>
        <v/>
      </c>
      <c r="M8" s="8">
        <f>IF(A8="","",SUMIFS($N$4:$N$203,$D$4:$D$203,$A8))</f>
        <v/>
      </c>
      <c r="N8" s="8">
        <f>IF(A8="","",(L8+M8)*Inputs!$B$16)</f>
        <v/>
      </c>
      <c r="O8" s="8" t="n"/>
      <c r="P8" s="8">
        <f>IF(A8="","",IF(O8="",Inputs!$B$7,O8))</f>
        <v/>
      </c>
      <c r="Q8" s="4">
        <f>IF(A8="","",IF(N8/Inputs!$B$10&lt;=AG8,Inputs!$F$5,IF(N8/Inputs!$B$10&gt;AP8,"OVERSIZE",INDEX(Inputs!$F$5:$F$14,MATCH(N8/Inputs!$B$10,AG8:AP8,1)+1))))</f>
        <v/>
      </c>
      <c r="R8" s="4" t="n"/>
      <c r="S8" s="4">
        <f>IF(A8="","",IF(R8="",Q8,R8))</f>
        <v/>
      </c>
      <c r="T8" s="8">
        <f>IF(OR(S8="",S8="OVERSIZE"),"",S8/1000)</f>
        <v/>
      </c>
      <c r="U8" s="8">
        <f>IF(T8="","",(1/Inputs!$B$9)*(PI()*T8^2/4)*((T8/4)^(2/3))*SQRT(P8))</f>
        <v/>
      </c>
      <c r="V8" s="8">
        <f>IF(OR(U8="",N8=""),"",N8/(U8*Inputs!$B$10))</f>
        <v/>
      </c>
      <c r="W8" s="8">
        <f>IF(OR(T8="",N8=""),"",4*N8/(PI()*T8^2))</f>
        <v/>
      </c>
      <c r="X8" s="8" t="n"/>
      <c r="Y8" s="8">
        <f>IF(A8="","",IF(A8=Inputs!$B$6,Inputs!$B$22,IF(D8="","",IFERROR(INDEX($Z$4:$Z$203,MATCH(D8,$A$4:$A$203,0))+IF(X8="",Inputs!$B$20,X8),""))))</f>
        <v/>
      </c>
      <c r="Z8" s="8">
        <f>IF(OR(Y8="",P8="",E8=""),"",Y8+P8*E8)</f>
        <v/>
      </c>
      <c r="AA8" s="8">
        <f>IF(C8="","",IFERROR(INDEX(Noeuds_plan!$C$4:$C$200,MATCH(C8,Noeuds_plan!$A$4:$A$200,0)),""))</f>
        <v/>
      </c>
      <c r="AB8" s="8">
        <f>IF(B8="","",IFERROR(INDEX(Noeuds_plan!$C$4:$C$200,MATCH(B8,Noeuds_plan!$A$4:$A$200,0)),""))</f>
        <v/>
      </c>
      <c r="AC8" s="8">
        <f>IF(OR(AA8="",Y8=""),"",AA8-Y8)</f>
        <v/>
      </c>
      <c r="AD8" s="8">
        <f>IF(OR(AB8="",Z8=""),"",AB8-Z8)</f>
        <v/>
      </c>
      <c r="AE8" s="4">
        <f>IF(A8="","",IF(OR(V8&gt;1,W8&lt;Inputs!$B$11,W8&gt;Inputs!$B$12,AC8&lt;Inputs!$B$19,AD8&lt;Inputs!$B$19,P8&lt;Inputs!$B$7,P8&gt;Inputs!$B$8),"CHECK","OK"))</f>
        <v/>
      </c>
      <c r="AF8" s="4" t="inlineStr">
        <is>
          <t>Readable length from plan</t>
        </is>
      </c>
      <c r="AG8" s="4">
        <f>IF(A8="","",(1/Inputs!$B$9)*(PI()*(Inputs!$F$5/1000)^2/4)*((Inputs!$F$5/1000/4)^(2/3))*SQRT(P8))</f>
        <v/>
      </c>
      <c r="AH8" s="4">
        <f>IF(A8="","",(1/Inputs!$B$9)*(PI()*(Inputs!$F$6/1000)^2/4)*((Inputs!$F$6/1000/4)^(2/3))*SQRT(P8))</f>
        <v/>
      </c>
      <c r="AI8" s="4">
        <f>IF(A8="","",(1/Inputs!$B$9)*(PI()*(Inputs!$F$7/1000)^2/4)*((Inputs!$F$7/1000/4)^(2/3))*SQRT(P8))</f>
        <v/>
      </c>
      <c r="AJ8" s="4">
        <f>IF(A8="","",(1/Inputs!$B$9)*(PI()*(Inputs!$F$8/1000)^2/4)*((Inputs!$F$8/1000/4)^(2/3))*SQRT(P8))</f>
        <v/>
      </c>
      <c r="AK8" s="4">
        <f>IF(A8="","",(1/Inputs!$B$9)*(PI()*(Inputs!$F$9/1000)^2/4)*((Inputs!$F$9/1000/4)^(2/3))*SQRT(P8))</f>
        <v/>
      </c>
      <c r="AL8" s="4">
        <f>IF(A8="","",(1/Inputs!$B$9)*(PI()*(Inputs!$F$10/1000)^2/4)*((Inputs!$F$10/1000/4)^(2/3))*SQRT(P8))</f>
        <v/>
      </c>
      <c r="AM8" s="4">
        <f>IF(A8="","",(1/Inputs!$B$9)*(PI()*(Inputs!$F$11/1000)^2/4)*((Inputs!$F$11/1000/4)^(2/3))*SQRT(P8))</f>
        <v/>
      </c>
      <c r="AN8" s="4">
        <f>IF(A8="","",(1/Inputs!$B$9)*(PI()*(Inputs!$F$12/1000)^2/4)*((Inputs!$F$12/1000/4)^(2/3))*SQRT(P8))</f>
        <v/>
      </c>
      <c r="AO8" s="4">
        <f>IF(A8="","",(1/Inputs!$B$9)*(PI()*(Inputs!$F$13/1000)^2/4)*((Inputs!$F$13/1000/4)^(2/3))*SQRT(P8))</f>
        <v/>
      </c>
      <c r="AP8" s="4">
        <f>IF(A8="","",(1/Inputs!$B$9)*(PI()*(Inputs!$F$14/1000)^2/4)*((Inputs!$F$14/1000/4)^(2/3))*SQRT(P8))</f>
        <v/>
      </c>
    </row>
    <row r="9">
      <c r="A9" s="4" t="inlineStr">
        <is>
          <t>L06_P08_P09</t>
        </is>
      </c>
      <c r="B9" s="4" t="inlineStr">
        <is>
          <t>P08</t>
        </is>
      </c>
      <c r="C9" s="4" t="inlineStr">
        <is>
          <t>P09</t>
        </is>
      </c>
      <c r="D9" s="4" t="inlineStr">
        <is>
          <t>L10_P09_P06</t>
        </is>
      </c>
      <c r="E9" s="8" t="n">
        <v>12.4</v>
      </c>
      <c r="F9" s="8" t="inlineStr"/>
      <c r="G9" s="8">
        <f>SUMIFS(CB_plan!$C:$C,CB_plan!$B:$B,$A9)</f>
        <v/>
      </c>
      <c r="H9" s="8">
        <f>IF(F9="",G9,F9)</f>
        <v/>
      </c>
      <c r="I9" s="4" t="n"/>
      <c r="J9" s="8" t="n"/>
      <c r="K9" s="8">
        <f>IF(A9="","",Inputs!$B$13/((IF(J9="",Inputs!$B$18,J9)+Inputs!$B$14)^Inputs!$B$15))</f>
        <v/>
      </c>
      <c r="L9" s="8">
        <f>IF(A9="","",0.00278*IF(I9="",Inputs!$B$17,I9)*H9*K9)</f>
        <v/>
      </c>
      <c r="M9" s="8">
        <f>IF(A9="","",SUMIFS($N$4:$N$203,$D$4:$D$203,$A9))</f>
        <v/>
      </c>
      <c r="N9" s="8">
        <f>IF(A9="","",(L9+M9)*Inputs!$B$16)</f>
        <v/>
      </c>
      <c r="O9" s="8" t="n"/>
      <c r="P9" s="8">
        <f>IF(A9="","",IF(O9="",Inputs!$B$7,O9))</f>
        <v/>
      </c>
      <c r="Q9" s="4">
        <f>IF(A9="","",IF(N9/Inputs!$B$10&lt;=AG9,Inputs!$F$5,IF(N9/Inputs!$B$10&gt;AP9,"OVERSIZE",INDEX(Inputs!$F$5:$F$14,MATCH(N9/Inputs!$B$10,AG9:AP9,1)+1))))</f>
        <v/>
      </c>
      <c r="R9" s="4" t="n"/>
      <c r="S9" s="4">
        <f>IF(A9="","",IF(R9="",Q9,R9))</f>
        <v/>
      </c>
      <c r="T9" s="8">
        <f>IF(OR(S9="",S9="OVERSIZE"),"",S9/1000)</f>
        <v/>
      </c>
      <c r="U9" s="8">
        <f>IF(T9="","",(1/Inputs!$B$9)*(PI()*T9^2/4)*((T9/4)^(2/3))*SQRT(P9))</f>
        <v/>
      </c>
      <c r="V9" s="8">
        <f>IF(OR(U9="",N9=""),"",N9/(U9*Inputs!$B$10))</f>
        <v/>
      </c>
      <c r="W9" s="8">
        <f>IF(OR(T9="",N9=""),"",4*N9/(PI()*T9^2))</f>
        <v/>
      </c>
      <c r="X9" s="8" t="n"/>
      <c r="Y9" s="8">
        <f>IF(A9="","",IF(A9=Inputs!$B$6,Inputs!$B$22,IF(D9="","",IFERROR(INDEX($Z$4:$Z$203,MATCH(D9,$A$4:$A$203,0))+IF(X9="",Inputs!$B$20,X9),""))))</f>
        <v/>
      </c>
      <c r="Z9" s="8">
        <f>IF(OR(Y9="",P9="",E9=""),"",Y9+P9*E9)</f>
        <v/>
      </c>
      <c r="AA9" s="8">
        <f>IF(C9="","",IFERROR(INDEX(Noeuds_plan!$C$4:$C$200,MATCH(C9,Noeuds_plan!$A$4:$A$200,0)),""))</f>
        <v/>
      </c>
      <c r="AB9" s="8">
        <f>IF(B9="","",IFERROR(INDEX(Noeuds_plan!$C$4:$C$200,MATCH(B9,Noeuds_plan!$A$4:$A$200,0)),""))</f>
        <v/>
      </c>
      <c r="AC9" s="8">
        <f>IF(OR(AA9="",Y9=""),"",AA9-Y9)</f>
        <v/>
      </c>
      <c r="AD9" s="8">
        <f>IF(OR(AB9="",Z9=""),"",AB9-Z9)</f>
        <v/>
      </c>
      <c r="AE9" s="4">
        <f>IF(A9="","",IF(OR(V9&gt;1,W9&lt;Inputs!$B$11,W9&gt;Inputs!$B$12,AC9&lt;Inputs!$B$19,AD9&lt;Inputs!$B$19,P9&lt;Inputs!$B$7,P9&gt;Inputs!$B$8),"CHECK","OK"))</f>
        <v/>
      </c>
      <c r="AF9" s="4" t="inlineStr">
        <is>
          <t>Readable length from plan</t>
        </is>
      </c>
      <c r="AG9" s="4">
        <f>IF(A9="","",(1/Inputs!$B$9)*(PI()*(Inputs!$F$5/1000)^2/4)*((Inputs!$F$5/1000/4)^(2/3))*SQRT(P9))</f>
        <v/>
      </c>
      <c r="AH9" s="4">
        <f>IF(A9="","",(1/Inputs!$B$9)*(PI()*(Inputs!$F$6/1000)^2/4)*((Inputs!$F$6/1000/4)^(2/3))*SQRT(P9))</f>
        <v/>
      </c>
      <c r="AI9" s="4">
        <f>IF(A9="","",(1/Inputs!$B$9)*(PI()*(Inputs!$F$7/1000)^2/4)*((Inputs!$F$7/1000/4)^(2/3))*SQRT(P9))</f>
        <v/>
      </c>
      <c r="AJ9" s="4">
        <f>IF(A9="","",(1/Inputs!$B$9)*(PI()*(Inputs!$F$8/1000)^2/4)*((Inputs!$F$8/1000/4)^(2/3))*SQRT(P9))</f>
        <v/>
      </c>
      <c r="AK9" s="4">
        <f>IF(A9="","",(1/Inputs!$B$9)*(PI()*(Inputs!$F$9/1000)^2/4)*((Inputs!$F$9/1000/4)^(2/3))*SQRT(P9))</f>
        <v/>
      </c>
      <c r="AL9" s="4">
        <f>IF(A9="","",(1/Inputs!$B$9)*(PI()*(Inputs!$F$10/1000)^2/4)*((Inputs!$F$10/1000/4)^(2/3))*SQRT(P9))</f>
        <v/>
      </c>
      <c r="AM9" s="4">
        <f>IF(A9="","",(1/Inputs!$B$9)*(PI()*(Inputs!$F$11/1000)^2/4)*((Inputs!$F$11/1000/4)^(2/3))*SQRT(P9))</f>
        <v/>
      </c>
      <c r="AN9" s="4">
        <f>IF(A9="","",(1/Inputs!$B$9)*(PI()*(Inputs!$F$12/1000)^2/4)*((Inputs!$F$12/1000/4)^(2/3))*SQRT(P9))</f>
        <v/>
      </c>
      <c r="AO9" s="4">
        <f>IF(A9="","",(1/Inputs!$B$9)*(PI()*(Inputs!$F$13/1000)^2/4)*((Inputs!$F$13/1000/4)^(2/3))*SQRT(P9))</f>
        <v/>
      </c>
      <c r="AP9" s="4">
        <f>IF(A9="","",(1/Inputs!$B$9)*(PI()*(Inputs!$F$14/1000)^2/4)*((Inputs!$F$14/1000/4)^(2/3))*SQRT(P9))</f>
        <v/>
      </c>
    </row>
    <row r="10">
      <c r="A10" s="4" t="inlineStr">
        <is>
          <t>L07_P010_P07</t>
        </is>
      </c>
      <c r="B10" s="4" t="inlineStr">
        <is>
          <t>P010</t>
        </is>
      </c>
      <c r="C10" s="4" t="inlineStr">
        <is>
          <t>P07</t>
        </is>
      </c>
      <c r="D10" s="4" t="inlineStr">
        <is>
          <t>L05_P07_P08</t>
        </is>
      </c>
      <c r="E10" s="8" t="inlineStr"/>
      <c r="F10" s="8" t="inlineStr"/>
      <c r="G10" s="8">
        <f>SUMIFS(CB_plan!$C:$C,CB_plan!$B:$B,$A10)</f>
        <v/>
      </c>
      <c r="H10" s="8">
        <f>IF(F10="",G10,F10)</f>
        <v/>
      </c>
      <c r="I10" s="4" t="n"/>
      <c r="J10" s="8" t="n"/>
      <c r="K10" s="8">
        <f>IF(A10="","",Inputs!$B$13/((IF(J10="",Inputs!$B$18,J10)+Inputs!$B$14)^Inputs!$B$15))</f>
        <v/>
      </c>
      <c r="L10" s="8">
        <f>IF(A10="","",0.00278*IF(I10="",Inputs!$B$17,I10)*H10*K10)</f>
        <v/>
      </c>
      <c r="M10" s="8">
        <f>IF(A10="","",SUMIFS($N$4:$N$203,$D$4:$D$203,$A10))</f>
        <v/>
      </c>
      <c r="N10" s="8">
        <f>IF(A10="","",(L10+M10)*Inputs!$B$16)</f>
        <v/>
      </c>
      <c r="O10" s="8" t="n"/>
      <c r="P10" s="8">
        <f>IF(A10="","",IF(O10="",Inputs!$B$7,O10))</f>
        <v/>
      </c>
      <c r="Q10" s="4">
        <f>IF(A10="","",IF(N10/Inputs!$B$10&lt;=AG10,Inputs!$F$5,IF(N10/Inputs!$B$10&gt;AP10,"OVERSIZE",INDEX(Inputs!$F$5:$F$14,MATCH(N10/Inputs!$B$10,AG10:AP10,1)+1))))</f>
        <v/>
      </c>
      <c r="R10" s="4" t="n"/>
      <c r="S10" s="4">
        <f>IF(A10="","",IF(R10="",Q10,R10))</f>
        <v/>
      </c>
      <c r="T10" s="8">
        <f>IF(OR(S10="",S10="OVERSIZE"),"",S10/1000)</f>
        <v/>
      </c>
      <c r="U10" s="8">
        <f>IF(T10="","",(1/Inputs!$B$9)*(PI()*T10^2/4)*((T10/4)^(2/3))*SQRT(P10))</f>
        <v/>
      </c>
      <c r="V10" s="8">
        <f>IF(OR(U10="",N10=""),"",N10/(U10*Inputs!$B$10))</f>
        <v/>
      </c>
      <c r="W10" s="8">
        <f>IF(OR(T10="",N10=""),"",4*N10/(PI()*T10^2))</f>
        <v/>
      </c>
      <c r="X10" s="8" t="n"/>
      <c r="Y10" s="8">
        <f>IF(A10="","",IF(A10=Inputs!$B$6,Inputs!$B$22,IF(D10="","",IFERROR(INDEX($Z$4:$Z$203,MATCH(D10,$A$4:$A$203,0))+IF(X10="",Inputs!$B$20,X10),""))))</f>
        <v/>
      </c>
      <c r="Z10" s="8">
        <f>IF(OR(Y10="",P10="",E10=""),"",Y10+P10*E10)</f>
        <v/>
      </c>
      <c r="AA10" s="8">
        <f>IF(C10="","",IFERROR(INDEX(Noeuds_plan!$C$4:$C$200,MATCH(C10,Noeuds_plan!$A$4:$A$200,0)),""))</f>
        <v/>
      </c>
      <c r="AB10" s="8">
        <f>IF(B10="","",IFERROR(INDEX(Noeuds_plan!$C$4:$C$200,MATCH(B10,Noeuds_plan!$A$4:$A$200,0)),""))</f>
        <v/>
      </c>
      <c r="AC10" s="8">
        <f>IF(OR(AA10="",Y10=""),"",AA10-Y10)</f>
        <v/>
      </c>
      <c r="AD10" s="8">
        <f>IF(OR(AB10="",Z10=""),"",AB10-Z10)</f>
        <v/>
      </c>
      <c r="AE10" s="4">
        <f>IF(A10="","",IF(OR(V10&gt;1,W10&lt;Inputs!$B$11,W10&gt;Inputs!$B$12,AC10&lt;Inputs!$B$19,AD10&lt;Inputs!$B$19,P10&lt;Inputs!$B$7,P10&gt;Inputs!$B$8),"CHECK","OK"))</f>
        <v/>
      </c>
      <c r="AF10" s="4" t="inlineStr">
        <is>
          <t>Length unreadable: fill from plan</t>
        </is>
      </c>
      <c r="AG10" s="4">
        <f>IF(A10="","",(1/Inputs!$B$9)*(PI()*(Inputs!$F$5/1000)^2/4)*((Inputs!$F$5/1000/4)^(2/3))*SQRT(P10))</f>
        <v/>
      </c>
      <c r="AH10" s="4">
        <f>IF(A10="","",(1/Inputs!$B$9)*(PI()*(Inputs!$F$6/1000)^2/4)*((Inputs!$F$6/1000/4)^(2/3))*SQRT(P10))</f>
        <v/>
      </c>
      <c r="AI10" s="4">
        <f>IF(A10="","",(1/Inputs!$B$9)*(PI()*(Inputs!$F$7/1000)^2/4)*((Inputs!$F$7/1000/4)^(2/3))*SQRT(P10))</f>
        <v/>
      </c>
      <c r="AJ10" s="4">
        <f>IF(A10="","",(1/Inputs!$B$9)*(PI()*(Inputs!$F$8/1000)^2/4)*((Inputs!$F$8/1000/4)^(2/3))*SQRT(P10))</f>
        <v/>
      </c>
      <c r="AK10" s="4">
        <f>IF(A10="","",(1/Inputs!$B$9)*(PI()*(Inputs!$F$9/1000)^2/4)*((Inputs!$F$9/1000/4)^(2/3))*SQRT(P10))</f>
        <v/>
      </c>
      <c r="AL10" s="4">
        <f>IF(A10="","",(1/Inputs!$B$9)*(PI()*(Inputs!$F$10/1000)^2/4)*((Inputs!$F$10/1000/4)^(2/3))*SQRT(P10))</f>
        <v/>
      </c>
      <c r="AM10" s="4">
        <f>IF(A10="","",(1/Inputs!$B$9)*(PI()*(Inputs!$F$11/1000)^2/4)*((Inputs!$F$11/1000/4)^(2/3))*SQRT(P10))</f>
        <v/>
      </c>
      <c r="AN10" s="4">
        <f>IF(A10="","",(1/Inputs!$B$9)*(PI()*(Inputs!$F$12/1000)^2/4)*((Inputs!$F$12/1000/4)^(2/3))*SQRT(P10))</f>
        <v/>
      </c>
      <c r="AO10" s="4">
        <f>IF(A10="","",(1/Inputs!$B$9)*(PI()*(Inputs!$F$13/1000)^2/4)*((Inputs!$F$13/1000/4)^(2/3))*SQRT(P10))</f>
        <v/>
      </c>
      <c r="AP10" s="4">
        <f>IF(A10="","",(1/Inputs!$B$9)*(PI()*(Inputs!$F$14/1000)^2/4)*((Inputs!$F$14/1000/4)^(2/3))*SQRT(P10))</f>
        <v/>
      </c>
    </row>
    <row r="11">
      <c r="A11" s="4" t="inlineStr">
        <is>
          <t>L08_P01_P04</t>
        </is>
      </c>
      <c r="B11" s="4" t="inlineStr">
        <is>
          <t>P01</t>
        </is>
      </c>
      <c r="C11" s="4" t="inlineStr">
        <is>
          <t>P04</t>
        </is>
      </c>
      <c r="D11" s="4" t="inlineStr">
        <is>
          <t>L03_P04_P05</t>
        </is>
      </c>
      <c r="E11" s="8" t="inlineStr"/>
      <c r="F11" s="8" t="inlineStr"/>
      <c r="G11" s="8">
        <f>SUMIFS(CB_plan!$C:$C,CB_plan!$B:$B,$A11)</f>
        <v/>
      </c>
      <c r="H11" s="8">
        <f>IF(F11="",G11,F11)</f>
        <v/>
      </c>
      <c r="I11" s="4" t="n"/>
      <c r="J11" s="8" t="n"/>
      <c r="K11" s="8">
        <f>IF(A11="","",Inputs!$B$13/((IF(J11="",Inputs!$B$18,J11)+Inputs!$B$14)^Inputs!$B$15))</f>
        <v/>
      </c>
      <c r="L11" s="8">
        <f>IF(A11="","",0.00278*IF(I11="",Inputs!$B$17,I11)*H11*K11)</f>
        <v/>
      </c>
      <c r="M11" s="8">
        <f>IF(A11="","",SUMIFS($N$4:$N$203,$D$4:$D$203,$A11))</f>
        <v/>
      </c>
      <c r="N11" s="8">
        <f>IF(A11="","",(L11+M11)*Inputs!$B$16)</f>
        <v/>
      </c>
      <c r="O11" s="8" t="n"/>
      <c r="P11" s="8">
        <f>IF(A11="","",IF(O11="",Inputs!$B$7,O11))</f>
        <v/>
      </c>
      <c r="Q11" s="4">
        <f>IF(A11="","",IF(N11/Inputs!$B$10&lt;=AG11,Inputs!$F$5,IF(N11/Inputs!$B$10&gt;AP11,"OVERSIZE",INDEX(Inputs!$F$5:$F$14,MATCH(N11/Inputs!$B$10,AG11:AP11,1)+1))))</f>
        <v/>
      </c>
      <c r="R11" s="4" t="n"/>
      <c r="S11" s="4">
        <f>IF(A11="","",IF(R11="",Q11,R11))</f>
        <v/>
      </c>
      <c r="T11" s="8">
        <f>IF(OR(S11="",S11="OVERSIZE"),"",S11/1000)</f>
        <v/>
      </c>
      <c r="U11" s="8">
        <f>IF(T11="","",(1/Inputs!$B$9)*(PI()*T11^2/4)*((T11/4)^(2/3))*SQRT(P11))</f>
        <v/>
      </c>
      <c r="V11" s="8">
        <f>IF(OR(U11="",N11=""),"",N11/(U11*Inputs!$B$10))</f>
        <v/>
      </c>
      <c r="W11" s="8">
        <f>IF(OR(T11="",N11=""),"",4*N11/(PI()*T11^2))</f>
        <v/>
      </c>
      <c r="X11" s="8" t="n"/>
      <c r="Y11" s="8">
        <f>IF(A11="","",IF(A11=Inputs!$B$6,Inputs!$B$22,IF(D11="","",IFERROR(INDEX($Z$4:$Z$203,MATCH(D11,$A$4:$A$203,0))+IF(X11="",Inputs!$B$20,X11),""))))</f>
        <v/>
      </c>
      <c r="Z11" s="8">
        <f>IF(OR(Y11="",P11="",E11=""),"",Y11+P11*E11)</f>
        <v/>
      </c>
      <c r="AA11" s="8">
        <f>IF(C11="","",IFERROR(INDEX(Noeuds_plan!$C$4:$C$200,MATCH(C11,Noeuds_plan!$A$4:$A$200,0)),""))</f>
        <v/>
      </c>
      <c r="AB11" s="8">
        <f>IF(B11="","",IFERROR(INDEX(Noeuds_plan!$C$4:$C$200,MATCH(B11,Noeuds_plan!$A$4:$A$200,0)),""))</f>
        <v/>
      </c>
      <c r="AC11" s="8">
        <f>IF(OR(AA11="",Y11=""),"",AA11-Y11)</f>
        <v/>
      </c>
      <c r="AD11" s="8">
        <f>IF(OR(AB11="",Z11=""),"",AB11-Z11)</f>
        <v/>
      </c>
      <c r="AE11" s="4">
        <f>IF(A11="","",IF(OR(V11&gt;1,W11&lt;Inputs!$B$11,W11&gt;Inputs!$B$12,AC11&lt;Inputs!$B$19,AD11&lt;Inputs!$B$19,P11&lt;Inputs!$B$7,P11&gt;Inputs!$B$8),"CHECK","OK"))</f>
        <v/>
      </c>
      <c r="AF11" s="4" t="inlineStr">
        <is>
          <t>Vertical connector; verify if active</t>
        </is>
      </c>
      <c r="AG11" s="4">
        <f>IF(A11="","",(1/Inputs!$B$9)*(PI()*(Inputs!$F$5/1000)^2/4)*((Inputs!$F$5/1000/4)^(2/3))*SQRT(P11))</f>
        <v/>
      </c>
      <c r="AH11" s="4">
        <f>IF(A11="","",(1/Inputs!$B$9)*(PI()*(Inputs!$F$6/1000)^2/4)*((Inputs!$F$6/1000/4)^(2/3))*SQRT(P11))</f>
        <v/>
      </c>
      <c r="AI11" s="4">
        <f>IF(A11="","",(1/Inputs!$B$9)*(PI()*(Inputs!$F$7/1000)^2/4)*((Inputs!$F$7/1000/4)^(2/3))*SQRT(P11))</f>
        <v/>
      </c>
      <c r="AJ11" s="4">
        <f>IF(A11="","",(1/Inputs!$B$9)*(PI()*(Inputs!$F$8/1000)^2/4)*((Inputs!$F$8/1000/4)^(2/3))*SQRT(P11))</f>
        <v/>
      </c>
      <c r="AK11" s="4">
        <f>IF(A11="","",(1/Inputs!$B$9)*(PI()*(Inputs!$F$9/1000)^2/4)*((Inputs!$F$9/1000/4)^(2/3))*SQRT(P11))</f>
        <v/>
      </c>
      <c r="AL11" s="4">
        <f>IF(A11="","",(1/Inputs!$B$9)*(PI()*(Inputs!$F$10/1000)^2/4)*((Inputs!$F$10/1000/4)^(2/3))*SQRT(P11))</f>
        <v/>
      </c>
      <c r="AM11" s="4">
        <f>IF(A11="","",(1/Inputs!$B$9)*(PI()*(Inputs!$F$11/1000)^2/4)*((Inputs!$F$11/1000/4)^(2/3))*SQRT(P11))</f>
        <v/>
      </c>
      <c r="AN11" s="4">
        <f>IF(A11="","",(1/Inputs!$B$9)*(PI()*(Inputs!$F$12/1000)^2/4)*((Inputs!$F$12/1000/4)^(2/3))*SQRT(P11))</f>
        <v/>
      </c>
      <c r="AO11" s="4">
        <f>IF(A11="","",(1/Inputs!$B$9)*(PI()*(Inputs!$F$13/1000)^2/4)*((Inputs!$F$13/1000/4)^(2/3))*SQRT(P11))</f>
        <v/>
      </c>
      <c r="AP11" s="4">
        <f>IF(A11="","",(1/Inputs!$B$9)*(PI()*(Inputs!$F$14/1000)^2/4)*((Inputs!$F$14/1000/4)^(2/3))*SQRT(P11))</f>
        <v/>
      </c>
    </row>
    <row r="12">
      <c r="A12" s="4" t="inlineStr">
        <is>
          <t>L09_P03_P06</t>
        </is>
      </c>
      <c r="B12" s="4" t="inlineStr">
        <is>
          <t>P03</t>
        </is>
      </c>
      <c r="C12" s="4" t="inlineStr">
        <is>
          <t>P06</t>
        </is>
      </c>
      <c r="D12" s="4" t="inlineStr">
        <is>
          <t>L11_P06_JOUT</t>
        </is>
      </c>
      <c r="E12" s="8" t="inlineStr"/>
      <c r="F12" s="8" t="inlineStr"/>
      <c r="G12" s="8">
        <f>SUMIFS(CB_plan!$C:$C,CB_plan!$B:$B,$A12)</f>
        <v/>
      </c>
      <c r="H12" s="8">
        <f>IF(F12="",G12,F12)</f>
        <v/>
      </c>
      <c r="I12" s="4" t="n"/>
      <c r="J12" s="8" t="n"/>
      <c r="K12" s="8">
        <f>IF(A12="","",Inputs!$B$13/((IF(J12="",Inputs!$B$18,J12)+Inputs!$B$14)^Inputs!$B$15))</f>
        <v/>
      </c>
      <c r="L12" s="8">
        <f>IF(A12="","",0.00278*IF(I12="",Inputs!$B$17,I12)*H12*K12)</f>
        <v/>
      </c>
      <c r="M12" s="8">
        <f>IF(A12="","",SUMIFS($N$4:$N$203,$D$4:$D$203,$A12))</f>
        <v/>
      </c>
      <c r="N12" s="8">
        <f>IF(A12="","",(L12+M12)*Inputs!$B$16)</f>
        <v/>
      </c>
      <c r="O12" s="8" t="n"/>
      <c r="P12" s="8">
        <f>IF(A12="","",IF(O12="",Inputs!$B$7,O12))</f>
        <v/>
      </c>
      <c r="Q12" s="4">
        <f>IF(A12="","",IF(N12/Inputs!$B$10&lt;=AG12,Inputs!$F$5,IF(N12/Inputs!$B$10&gt;AP12,"OVERSIZE",INDEX(Inputs!$F$5:$F$14,MATCH(N12/Inputs!$B$10,AG12:AP12,1)+1))))</f>
        <v/>
      </c>
      <c r="R12" s="4" t="n"/>
      <c r="S12" s="4">
        <f>IF(A12="","",IF(R12="",Q12,R12))</f>
        <v/>
      </c>
      <c r="T12" s="8">
        <f>IF(OR(S12="",S12="OVERSIZE"),"",S12/1000)</f>
        <v/>
      </c>
      <c r="U12" s="8">
        <f>IF(T12="","",(1/Inputs!$B$9)*(PI()*T12^2/4)*((T12/4)^(2/3))*SQRT(P12))</f>
        <v/>
      </c>
      <c r="V12" s="8">
        <f>IF(OR(U12="",N12=""),"",N12/(U12*Inputs!$B$10))</f>
        <v/>
      </c>
      <c r="W12" s="8">
        <f>IF(OR(T12="",N12=""),"",4*N12/(PI()*T12^2))</f>
        <v/>
      </c>
      <c r="X12" s="8" t="n"/>
      <c r="Y12" s="8">
        <f>IF(A12="","",IF(A12=Inputs!$B$6,Inputs!$B$22,IF(D12="","",IFERROR(INDEX($Z$4:$Z$203,MATCH(D12,$A$4:$A$203,0))+IF(X12="",Inputs!$B$20,X12),""))))</f>
        <v/>
      </c>
      <c r="Z12" s="8">
        <f>IF(OR(Y12="",P12="",E12=""),"",Y12+P12*E12)</f>
        <v/>
      </c>
      <c r="AA12" s="8">
        <f>IF(C12="","",IFERROR(INDEX(Noeuds_plan!$C$4:$C$200,MATCH(C12,Noeuds_plan!$A$4:$A$200,0)),""))</f>
        <v/>
      </c>
      <c r="AB12" s="8">
        <f>IF(B12="","",IFERROR(INDEX(Noeuds_plan!$C$4:$C$200,MATCH(B12,Noeuds_plan!$A$4:$A$200,0)),""))</f>
        <v/>
      </c>
      <c r="AC12" s="8">
        <f>IF(OR(AA12="",Y12=""),"",AA12-Y12)</f>
        <v/>
      </c>
      <c r="AD12" s="8">
        <f>IF(OR(AB12="",Z12=""),"",AB12-Z12)</f>
        <v/>
      </c>
      <c r="AE12" s="4">
        <f>IF(A12="","",IF(OR(V12&gt;1,W12&lt;Inputs!$B$11,W12&gt;Inputs!$B$12,AC12&lt;Inputs!$B$19,AD12&lt;Inputs!$B$19,P12&lt;Inputs!$B$7,P12&gt;Inputs!$B$8),"CHECK","OK"))</f>
        <v/>
      </c>
      <c r="AF12" s="4" t="inlineStr">
        <is>
          <t>Length unreadable: fill from plan</t>
        </is>
      </c>
      <c r="AG12" s="4">
        <f>IF(A12="","",(1/Inputs!$B$9)*(PI()*(Inputs!$F$5/1000)^2/4)*((Inputs!$F$5/1000/4)^(2/3))*SQRT(P12))</f>
        <v/>
      </c>
      <c r="AH12" s="4">
        <f>IF(A12="","",(1/Inputs!$B$9)*(PI()*(Inputs!$F$6/1000)^2/4)*((Inputs!$F$6/1000/4)^(2/3))*SQRT(P12))</f>
        <v/>
      </c>
      <c r="AI12" s="4">
        <f>IF(A12="","",(1/Inputs!$B$9)*(PI()*(Inputs!$F$7/1000)^2/4)*((Inputs!$F$7/1000/4)^(2/3))*SQRT(P12))</f>
        <v/>
      </c>
      <c r="AJ12" s="4">
        <f>IF(A12="","",(1/Inputs!$B$9)*(PI()*(Inputs!$F$8/1000)^2/4)*((Inputs!$F$8/1000/4)^(2/3))*SQRT(P12))</f>
        <v/>
      </c>
      <c r="AK12" s="4">
        <f>IF(A12="","",(1/Inputs!$B$9)*(PI()*(Inputs!$F$9/1000)^2/4)*((Inputs!$F$9/1000/4)^(2/3))*SQRT(P12))</f>
        <v/>
      </c>
      <c r="AL12" s="4">
        <f>IF(A12="","",(1/Inputs!$B$9)*(PI()*(Inputs!$F$10/1000)^2/4)*((Inputs!$F$10/1000/4)^(2/3))*SQRT(P12))</f>
        <v/>
      </c>
      <c r="AM12" s="4">
        <f>IF(A12="","",(1/Inputs!$B$9)*(PI()*(Inputs!$F$11/1000)^2/4)*((Inputs!$F$11/1000/4)^(2/3))*SQRT(P12))</f>
        <v/>
      </c>
      <c r="AN12" s="4">
        <f>IF(A12="","",(1/Inputs!$B$9)*(PI()*(Inputs!$F$12/1000)^2/4)*((Inputs!$F$12/1000/4)^(2/3))*SQRT(P12))</f>
        <v/>
      </c>
      <c r="AO12" s="4">
        <f>IF(A12="","",(1/Inputs!$B$9)*(PI()*(Inputs!$F$13/1000)^2/4)*((Inputs!$F$13/1000/4)^(2/3))*SQRT(P12))</f>
        <v/>
      </c>
      <c r="AP12" s="4">
        <f>IF(A12="","",(1/Inputs!$B$9)*(PI()*(Inputs!$F$14/1000)^2/4)*((Inputs!$F$14/1000/4)^(2/3))*SQRT(P12))</f>
        <v/>
      </c>
    </row>
    <row r="13">
      <c r="A13" s="4" t="inlineStr">
        <is>
          <t>L10_P09_P06</t>
        </is>
      </c>
      <c r="B13" s="4" t="inlineStr">
        <is>
          <t>P09</t>
        </is>
      </c>
      <c r="C13" s="4" t="inlineStr">
        <is>
          <t>P06</t>
        </is>
      </c>
      <c r="D13" s="4" t="inlineStr">
        <is>
          <t>L11_P06_JOUT</t>
        </is>
      </c>
      <c r="E13" s="8" t="inlineStr"/>
      <c r="F13" s="8" t="inlineStr"/>
      <c r="G13" s="8">
        <f>SUMIFS(CB_plan!$C:$C,CB_plan!$B:$B,$A13)</f>
        <v/>
      </c>
      <c r="H13" s="8">
        <f>IF(F13="",G13,F13)</f>
        <v/>
      </c>
      <c r="I13" s="4" t="n"/>
      <c r="J13" s="8" t="n"/>
      <c r="K13" s="8">
        <f>IF(A13="","",Inputs!$B$13/((IF(J13="",Inputs!$B$18,J13)+Inputs!$B$14)^Inputs!$B$15))</f>
        <v/>
      </c>
      <c r="L13" s="8">
        <f>IF(A13="","",0.00278*IF(I13="",Inputs!$B$17,I13)*H13*K13)</f>
        <v/>
      </c>
      <c r="M13" s="8">
        <f>IF(A13="","",SUMIFS($N$4:$N$203,$D$4:$D$203,$A13))</f>
        <v/>
      </c>
      <c r="N13" s="8">
        <f>IF(A13="","",(L13+M13)*Inputs!$B$16)</f>
        <v/>
      </c>
      <c r="O13" s="8" t="n"/>
      <c r="P13" s="8">
        <f>IF(A13="","",IF(O13="",Inputs!$B$7,O13))</f>
        <v/>
      </c>
      <c r="Q13" s="4">
        <f>IF(A13="","",IF(N13/Inputs!$B$10&lt;=AG13,Inputs!$F$5,IF(N13/Inputs!$B$10&gt;AP13,"OVERSIZE",INDEX(Inputs!$F$5:$F$14,MATCH(N13/Inputs!$B$10,AG13:AP13,1)+1))))</f>
        <v/>
      </c>
      <c r="R13" s="4" t="n"/>
      <c r="S13" s="4">
        <f>IF(A13="","",IF(R13="",Q13,R13))</f>
        <v/>
      </c>
      <c r="T13" s="8">
        <f>IF(OR(S13="",S13="OVERSIZE"),"",S13/1000)</f>
        <v/>
      </c>
      <c r="U13" s="8">
        <f>IF(T13="","",(1/Inputs!$B$9)*(PI()*T13^2/4)*((T13/4)^(2/3))*SQRT(P13))</f>
        <v/>
      </c>
      <c r="V13" s="8">
        <f>IF(OR(U13="",N13=""),"",N13/(U13*Inputs!$B$10))</f>
        <v/>
      </c>
      <c r="W13" s="8">
        <f>IF(OR(T13="",N13=""),"",4*N13/(PI()*T13^2))</f>
        <v/>
      </c>
      <c r="X13" s="8" t="n"/>
      <c r="Y13" s="8">
        <f>IF(A13="","",IF(A13=Inputs!$B$6,Inputs!$B$22,IF(D13="","",IFERROR(INDEX($Z$4:$Z$203,MATCH(D13,$A$4:$A$203,0))+IF(X13="",Inputs!$B$20,X13),""))))</f>
        <v/>
      </c>
      <c r="Z13" s="8">
        <f>IF(OR(Y13="",P13="",E13=""),"",Y13+P13*E13)</f>
        <v/>
      </c>
      <c r="AA13" s="8">
        <f>IF(C13="","",IFERROR(INDEX(Noeuds_plan!$C$4:$C$200,MATCH(C13,Noeuds_plan!$A$4:$A$200,0)),""))</f>
        <v/>
      </c>
      <c r="AB13" s="8">
        <f>IF(B13="","",IFERROR(INDEX(Noeuds_plan!$C$4:$C$200,MATCH(B13,Noeuds_plan!$A$4:$A$200,0)),""))</f>
        <v/>
      </c>
      <c r="AC13" s="8">
        <f>IF(OR(AA13="",Y13=""),"",AA13-Y13)</f>
        <v/>
      </c>
      <c r="AD13" s="8">
        <f>IF(OR(AB13="",Z13=""),"",AB13-Z13)</f>
        <v/>
      </c>
      <c r="AE13" s="4">
        <f>IF(A13="","",IF(OR(V13&gt;1,W13&lt;Inputs!$B$11,W13&gt;Inputs!$B$12,AC13&lt;Inputs!$B$19,AD13&lt;Inputs!$B$19,P13&lt;Inputs!$B$7,P13&gt;Inputs!$B$8),"CHECK","OK"))</f>
        <v/>
      </c>
      <c r="AF13" s="4" t="inlineStr">
        <is>
          <t>Length unreadable: fill from plan</t>
        </is>
      </c>
      <c r="AG13" s="4">
        <f>IF(A13="","",(1/Inputs!$B$9)*(PI()*(Inputs!$F$5/1000)^2/4)*((Inputs!$F$5/1000/4)^(2/3))*SQRT(P13))</f>
        <v/>
      </c>
      <c r="AH13" s="4">
        <f>IF(A13="","",(1/Inputs!$B$9)*(PI()*(Inputs!$F$6/1000)^2/4)*((Inputs!$F$6/1000/4)^(2/3))*SQRT(P13))</f>
        <v/>
      </c>
      <c r="AI13" s="4">
        <f>IF(A13="","",(1/Inputs!$B$9)*(PI()*(Inputs!$F$7/1000)^2/4)*((Inputs!$F$7/1000/4)^(2/3))*SQRT(P13))</f>
        <v/>
      </c>
      <c r="AJ13" s="4">
        <f>IF(A13="","",(1/Inputs!$B$9)*(PI()*(Inputs!$F$8/1000)^2/4)*((Inputs!$F$8/1000/4)^(2/3))*SQRT(P13))</f>
        <v/>
      </c>
      <c r="AK13" s="4">
        <f>IF(A13="","",(1/Inputs!$B$9)*(PI()*(Inputs!$F$9/1000)^2/4)*((Inputs!$F$9/1000/4)^(2/3))*SQRT(P13))</f>
        <v/>
      </c>
      <c r="AL13" s="4">
        <f>IF(A13="","",(1/Inputs!$B$9)*(PI()*(Inputs!$F$10/1000)^2/4)*((Inputs!$F$10/1000/4)^(2/3))*SQRT(P13))</f>
        <v/>
      </c>
      <c r="AM13" s="4">
        <f>IF(A13="","",(1/Inputs!$B$9)*(PI()*(Inputs!$F$11/1000)^2/4)*((Inputs!$F$11/1000/4)^(2/3))*SQRT(P13))</f>
        <v/>
      </c>
      <c r="AN13" s="4">
        <f>IF(A13="","",(1/Inputs!$B$9)*(PI()*(Inputs!$F$12/1000)^2/4)*((Inputs!$F$12/1000/4)^(2/3))*SQRT(P13))</f>
        <v/>
      </c>
      <c r="AO13" s="4">
        <f>IF(A13="","",(1/Inputs!$B$9)*(PI()*(Inputs!$F$13/1000)^2/4)*((Inputs!$F$13/1000/4)^(2/3))*SQRT(P13))</f>
        <v/>
      </c>
      <c r="AP13" s="4">
        <f>IF(A13="","",(1/Inputs!$B$9)*(PI()*(Inputs!$F$14/1000)^2/4)*((Inputs!$F$14/1000/4)^(2/3))*SQRT(P13))</f>
        <v/>
      </c>
    </row>
    <row r="14">
      <c r="A14" s="4" t="inlineStr">
        <is>
          <t>L11_P06_JOUT</t>
        </is>
      </c>
      <c r="B14" s="4" t="inlineStr">
        <is>
          <t>P06</t>
        </is>
      </c>
      <c r="C14" s="4" t="inlineStr">
        <is>
          <t>J_OUT</t>
        </is>
      </c>
      <c r="D14" s="4" t="inlineStr">
        <is>
          <t>L12_JOUT_PUB</t>
        </is>
      </c>
      <c r="E14" s="8" t="n">
        <v>9.050000000000001</v>
      </c>
      <c r="F14" s="8" t="inlineStr"/>
      <c r="G14" s="8">
        <f>SUMIFS(CB_plan!$C:$C,CB_plan!$B:$B,$A14)</f>
        <v/>
      </c>
      <c r="H14" s="8">
        <f>IF(F14="",G14,F14)</f>
        <v/>
      </c>
      <c r="I14" s="4" t="n"/>
      <c r="J14" s="8" t="n"/>
      <c r="K14" s="8">
        <f>IF(A14="","",Inputs!$B$13/((IF(J14="",Inputs!$B$18,J14)+Inputs!$B$14)^Inputs!$B$15))</f>
        <v/>
      </c>
      <c r="L14" s="8">
        <f>IF(A14="","",0.00278*IF(I14="",Inputs!$B$17,I14)*H14*K14)</f>
        <v/>
      </c>
      <c r="M14" s="8">
        <f>IF(A14="","",SUMIFS($N$4:$N$203,$D$4:$D$203,$A14))</f>
        <v/>
      </c>
      <c r="N14" s="8">
        <f>IF(A14="","",(L14+M14)*Inputs!$B$16)</f>
        <v/>
      </c>
      <c r="O14" s="8" t="n"/>
      <c r="P14" s="8">
        <f>IF(A14="","",IF(O14="",Inputs!$B$7,O14))</f>
        <v/>
      </c>
      <c r="Q14" s="4">
        <f>IF(A14="","",IF(N14/Inputs!$B$10&lt;=AG14,Inputs!$F$5,IF(N14/Inputs!$B$10&gt;AP14,"OVERSIZE",INDEX(Inputs!$F$5:$F$14,MATCH(N14/Inputs!$B$10,AG14:AP14,1)+1))))</f>
        <v/>
      </c>
      <c r="R14" s="4" t="n"/>
      <c r="S14" s="4">
        <f>IF(A14="","",IF(R14="",Q14,R14))</f>
        <v/>
      </c>
      <c r="T14" s="8">
        <f>IF(OR(S14="",S14="OVERSIZE"),"",S14/1000)</f>
        <v/>
      </c>
      <c r="U14" s="8">
        <f>IF(T14="","",(1/Inputs!$B$9)*(PI()*T14^2/4)*((T14/4)^(2/3))*SQRT(P14))</f>
        <v/>
      </c>
      <c r="V14" s="8">
        <f>IF(OR(U14="",N14=""),"",N14/(U14*Inputs!$B$10))</f>
        <v/>
      </c>
      <c r="W14" s="8">
        <f>IF(OR(T14="",N14=""),"",4*N14/(PI()*T14^2))</f>
        <v/>
      </c>
      <c r="X14" s="8" t="n"/>
      <c r="Y14" s="8">
        <f>IF(A14="","",IF(A14=Inputs!$B$6,Inputs!$B$22,IF(D14="","",IFERROR(INDEX($Z$4:$Z$203,MATCH(D14,$A$4:$A$203,0))+IF(X14="",Inputs!$B$20,X14),""))))</f>
        <v/>
      </c>
      <c r="Z14" s="8">
        <f>IF(OR(Y14="",P14="",E14=""),"",Y14+P14*E14)</f>
        <v/>
      </c>
      <c r="AA14" s="8">
        <f>IF(C14="","",IFERROR(INDEX(Noeuds_plan!$C$4:$C$200,MATCH(C14,Noeuds_plan!$A$4:$A$200,0)),""))</f>
        <v/>
      </c>
      <c r="AB14" s="8">
        <f>IF(B14="","",IFERROR(INDEX(Noeuds_plan!$C$4:$C$200,MATCH(B14,Noeuds_plan!$A$4:$A$200,0)),""))</f>
        <v/>
      </c>
      <c r="AC14" s="8">
        <f>IF(OR(AA14="",Y14=""),"",AA14-Y14)</f>
        <v/>
      </c>
      <c r="AD14" s="8">
        <f>IF(OR(AB14="",Z14=""),"",AB14-Z14)</f>
        <v/>
      </c>
      <c r="AE14" s="4">
        <f>IF(A14="","",IF(OR(V14&gt;1,W14&lt;Inputs!$B$11,W14&gt;Inputs!$B$12,AC14&lt;Inputs!$B$19,AD14&lt;Inputs!$B$19,P14&lt;Inputs!$B$7,P14&gt;Inputs!$B$8),"CHECK","OK"))</f>
        <v/>
      </c>
      <c r="AF14" s="4" t="inlineStr">
        <is>
          <t>Readable branch to outlet junction</t>
        </is>
      </c>
      <c r="AG14" s="4">
        <f>IF(A14="","",(1/Inputs!$B$9)*(PI()*(Inputs!$F$5/1000)^2/4)*((Inputs!$F$5/1000/4)^(2/3))*SQRT(P14))</f>
        <v/>
      </c>
      <c r="AH14" s="4">
        <f>IF(A14="","",(1/Inputs!$B$9)*(PI()*(Inputs!$F$6/1000)^2/4)*((Inputs!$F$6/1000/4)^(2/3))*SQRT(P14))</f>
        <v/>
      </c>
      <c r="AI14" s="4">
        <f>IF(A14="","",(1/Inputs!$B$9)*(PI()*(Inputs!$F$7/1000)^2/4)*((Inputs!$F$7/1000/4)^(2/3))*SQRT(P14))</f>
        <v/>
      </c>
      <c r="AJ14" s="4">
        <f>IF(A14="","",(1/Inputs!$B$9)*(PI()*(Inputs!$F$8/1000)^2/4)*((Inputs!$F$8/1000/4)^(2/3))*SQRT(P14))</f>
        <v/>
      </c>
      <c r="AK14" s="4">
        <f>IF(A14="","",(1/Inputs!$B$9)*(PI()*(Inputs!$F$9/1000)^2/4)*((Inputs!$F$9/1000/4)^(2/3))*SQRT(P14))</f>
        <v/>
      </c>
      <c r="AL14" s="4">
        <f>IF(A14="","",(1/Inputs!$B$9)*(PI()*(Inputs!$F$10/1000)^2/4)*((Inputs!$F$10/1000/4)^(2/3))*SQRT(P14))</f>
        <v/>
      </c>
      <c r="AM14" s="4">
        <f>IF(A14="","",(1/Inputs!$B$9)*(PI()*(Inputs!$F$11/1000)^2/4)*((Inputs!$F$11/1000/4)^(2/3))*SQRT(P14))</f>
        <v/>
      </c>
      <c r="AN14" s="4">
        <f>IF(A14="","",(1/Inputs!$B$9)*(PI()*(Inputs!$F$12/1000)^2/4)*((Inputs!$F$12/1000/4)^(2/3))*SQRT(P14))</f>
        <v/>
      </c>
      <c r="AO14" s="4">
        <f>IF(A14="","",(1/Inputs!$B$9)*(PI()*(Inputs!$F$13/1000)^2/4)*((Inputs!$F$13/1000/4)^(2/3))*SQRT(P14))</f>
        <v/>
      </c>
      <c r="AP14" s="4">
        <f>IF(A14="","",(1/Inputs!$B$9)*(PI()*(Inputs!$F$14/1000)^2/4)*((Inputs!$F$14/1000/4)^(2/3))*SQRT(P14))</f>
        <v/>
      </c>
    </row>
    <row r="15">
      <c r="A15" s="4" t="inlineStr">
        <is>
          <t>L12_JOUT_PUB</t>
        </is>
      </c>
      <c r="B15" s="4" t="inlineStr">
        <is>
          <t>J_OUT</t>
        </is>
      </c>
      <c r="C15" s="4" t="inlineStr">
        <is>
          <t>PUB</t>
        </is>
      </c>
      <c r="D15" s="4" t="inlineStr"/>
      <c r="E15" s="8" t="n">
        <v>6.22</v>
      </c>
      <c r="F15" s="8" t="inlineStr"/>
      <c r="G15" s="8">
        <f>SUMIFS(CB_plan!$C:$C,CB_plan!$B:$B,$A15)</f>
        <v/>
      </c>
      <c r="H15" s="8">
        <f>IF(F15="",G15,F15)</f>
        <v/>
      </c>
      <c r="I15" s="4" t="n"/>
      <c r="J15" s="8" t="n"/>
      <c r="K15" s="8">
        <f>IF(A15="","",Inputs!$B$13/((IF(J15="",Inputs!$B$18,J15)+Inputs!$B$14)^Inputs!$B$15))</f>
        <v/>
      </c>
      <c r="L15" s="8">
        <f>IF(A15="","",0.00278*IF(I15="",Inputs!$B$17,I15)*H15*K15)</f>
        <v/>
      </c>
      <c r="M15" s="8">
        <f>IF(A15="","",SUMIFS($N$4:$N$203,$D$4:$D$203,$A15))</f>
        <v/>
      </c>
      <c r="N15" s="8">
        <f>IF(A15="","",(L15+M15)*Inputs!$B$16)</f>
        <v/>
      </c>
      <c r="O15" s="8" t="n"/>
      <c r="P15" s="8">
        <f>IF(A15="","",IF(O15="",Inputs!$B$7,O15))</f>
        <v/>
      </c>
      <c r="Q15" s="4">
        <f>IF(A15="","",IF(N15/Inputs!$B$10&lt;=AG15,Inputs!$F$5,IF(N15/Inputs!$B$10&gt;AP15,"OVERSIZE",INDEX(Inputs!$F$5:$F$14,MATCH(N15/Inputs!$B$10,AG15:AP15,1)+1))))</f>
        <v/>
      </c>
      <c r="R15" s="4" t="n"/>
      <c r="S15" s="4">
        <f>IF(A15="","",IF(R15="",Q15,R15))</f>
        <v/>
      </c>
      <c r="T15" s="8">
        <f>IF(OR(S15="",S15="OVERSIZE"),"",S15/1000)</f>
        <v/>
      </c>
      <c r="U15" s="8">
        <f>IF(T15="","",(1/Inputs!$B$9)*(PI()*T15^2/4)*((T15/4)^(2/3))*SQRT(P15))</f>
        <v/>
      </c>
      <c r="V15" s="8">
        <f>IF(OR(U15="",N15=""),"",N15/(U15*Inputs!$B$10))</f>
        <v/>
      </c>
      <c r="W15" s="8">
        <f>IF(OR(T15="",N15=""),"",4*N15/(PI()*T15^2))</f>
        <v/>
      </c>
      <c r="X15" s="8" t="n"/>
      <c r="Y15" s="8">
        <f>IF(A15="","",IF(A15=Inputs!$B$6,Inputs!$B$22,IF(D15="","",IFERROR(INDEX($Z$4:$Z$203,MATCH(D15,$A$4:$A$203,0))+IF(X15="",Inputs!$B$20,X15),""))))</f>
        <v/>
      </c>
      <c r="Z15" s="8">
        <f>IF(OR(Y15="",P15="",E15=""),"",Y15+P15*E15)</f>
        <v/>
      </c>
      <c r="AA15" s="8">
        <f>IF(C15="","",IFERROR(INDEX(Noeuds_plan!$C$4:$C$200,MATCH(C15,Noeuds_plan!$A$4:$A$200,0)),""))</f>
        <v/>
      </c>
      <c r="AB15" s="8">
        <f>IF(B15="","",IFERROR(INDEX(Noeuds_plan!$C$4:$C$200,MATCH(B15,Noeuds_plan!$A$4:$A$200,0)),""))</f>
        <v/>
      </c>
      <c r="AC15" s="8">
        <f>IF(OR(AA15="",Y15=""),"",AA15-Y15)</f>
        <v/>
      </c>
      <c r="AD15" s="8">
        <f>IF(OR(AB15="",Z15=""),"",AB15-Z15)</f>
        <v/>
      </c>
      <c r="AE15" s="4">
        <f>IF(A15="","",IF(OR(V15&gt;1,W15&lt;Inputs!$B$11,W15&gt;Inputs!$B$12,AC15&lt;Inputs!$B$19,AD15&lt;Inputs!$B$19,P15&lt;Inputs!$B$7,P15&gt;Inputs!$B$8),"CHECK","OK"))</f>
        <v/>
      </c>
      <c r="AF15" s="4" t="inlineStr">
        <is>
          <t>Readable final tie-in to public network</t>
        </is>
      </c>
      <c r="AG15" s="4">
        <f>IF(A15="","",(1/Inputs!$B$9)*(PI()*(Inputs!$F$5/1000)^2/4)*((Inputs!$F$5/1000/4)^(2/3))*SQRT(P15))</f>
        <v/>
      </c>
      <c r="AH15" s="4">
        <f>IF(A15="","",(1/Inputs!$B$9)*(PI()*(Inputs!$F$6/1000)^2/4)*((Inputs!$F$6/1000/4)^(2/3))*SQRT(P15))</f>
        <v/>
      </c>
      <c r="AI15" s="4">
        <f>IF(A15="","",(1/Inputs!$B$9)*(PI()*(Inputs!$F$7/1000)^2/4)*((Inputs!$F$7/1000/4)^(2/3))*SQRT(P15))</f>
        <v/>
      </c>
      <c r="AJ15" s="4">
        <f>IF(A15="","",(1/Inputs!$B$9)*(PI()*(Inputs!$F$8/1000)^2/4)*((Inputs!$F$8/1000/4)^(2/3))*SQRT(P15))</f>
        <v/>
      </c>
      <c r="AK15" s="4">
        <f>IF(A15="","",(1/Inputs!$B$9)*(PI()*(Inputs!$F$9/1000)^2/4)*((Inputs!$F$9/1000/4)^(2/3))*SQRT(P15))</f>
        <v/>
      </c>
      <c r="AL15" s="4">
        <f>IF(A15="","",(1/Inputs!$B$9)*(PI()*(Inputs!$F$10/1000)^2/4)*((Inputs!$F$10/1000/4)^(2/3))*SQRT(P15))</f>
        <v/>
      </c>
      <c r="AM15" s="4">
        <f>IF(A15="","",(1/Inputs!$B$9)*(PI()*(Inputs!$F$11/1000)^2/4)*((Inputs!$F$11/1000/4)^(2/3))*SQRT(P15))</f>
        <v/>
      </c>
      <c r="AN15" s="4">
        <f>IF(A15="","",(1/Inputs!$B$9)*(PI()*(Inputs!$F$12/1000)^2/4)*((Inputs!$F$12/1000/4)^(2/3))*SQRT(P15))</f>
        <v/>
      </c>
      <c r="AO15" s="4">
        <f>IF(A15="","",(1/Inputs!$B$9)*(PI()*(Inputs!$F$13/1000)^2/4)*((Inputs!$F$13/1000/4)^(2/3))*SQRT(P15))</f>
        <v/>
      </c>
      <c r="AP15" s="4">
        <f>IF(A15="","",(1/Inputs!$B$9)*(PI()*(Inputs!$F$14/1000)^2/4)*((Inputs!$F$14/1000/4)^(2/3))*SQRT(P15))</f>
        <v/>
      </c>
    </row>
    <row r="16">
      <c r="A16" s="4" t="inlineStr">
        <is>
          <t>L13_P02_P05</t>
        </is>
      </c>
      <c r="B16" s="4" t="inlineStr">
        <is>
          <t>P02</t>
        </is>
      </c>
      <c r="C16" s="4" t="inlineStr">
        <is>
          <t>P05</t>
        </is>
      </c>
      <c r="D16" s="4" t="inlineStr">
        <is>
          <t>L04_P05_P06</t>
        </is>
      </c>
      <c r="E16" s="8" t="inlineStr"/>
      <c r="F16" s="8" t="inlineStr"/>
      <c r="G16" s="8">
        <f>SUMIFS(CB_plan!$C:$C,CB_plan!$B:$B,$A16)</f>
        <v/>
      </c>
      <c r="H16" s="8">
        <f>IF(F16="",G16,F16)</f>
        <v/>
      </c>
      <c r="I16" s="4" t="n"/>
      <c r="J16" s="8" t="n"/>
      <c r="K16" s="8">
        <f>IF(A16="","",Inputs!$B$13/((IF(J16="",Inputs!$B$18,J16)+Inputs!$B$14)^Inputs!$B$15))</f>
        <v/>
      </c>
      <c r="L16" s="8">
        <f>IF(A16="","",0.00278*IF(I16="",Inputs!$B$17,I16)*H16*K16)</f>
        <v/>
      </c>
      <c r="M16" s="8">
        <f>IF(A16="","",SUMIFS($N$4:$N$203,$D$4:$D$203,$A16))</f>
        <v/>
      </c>
      <c r="N16" s="8">
        <f>IF(A16="","",(L16+M16)*Inputs!$B$16)</f>
        <v/>
      </c>
      <c r="O16" s="8" t="n"/>
      <c r="P16" s="8">
        <f>IF(A16="","",IF(O16="",Inputs!$B$7,O16))</f>
        <v/>
      </c>
      <c r="Q16" s="4">
        <f>IF(A16="","",IF(N16/Inputs!$B$10&lt;=AG16,Inputs!$F$5,IF(N16/Inputs!$B$10&gt;AP16,"OVERSIZE",INDEX(Inputs!$F$5:$F$14,MATCH(N16/Inputs!$B$10,AG16:AP16,1)+1))))</f>
        <v/>
      </c>
      <c r="R16" s="4" t="n"/>
      <c r="S16" s="4">
        <f>IF(A16="","",IF(R16="",Q16,R16))</f>
        <v/>
      </c>
      <c r="T16" s="8">
        <f>IF(OR(S16="",S16="OVERSIZE"),"",S16/1000)</f>
        <v/>
      </c>
      <c r="U16" s="8">
        <f>IF(T16="","",(1/Inputs!$B$9)*(PI()*T16^2/4)*((T16/4)^(2/3))*SQRT(P16))</f>
        <v/>
      </c>
      <c r="V16" s="8">
        <f>IF(OR(U16="",N16=""),"",N16/(U16*Inputs!$B$10))</f>
        <v/>
      </c>
      <c r="W16" s="8">
        <f>IF(OR(T16="",N16=""),"",4*N16/(PI()*T16^2))</f>
        <v/>
      </c>
      <c r="X16" s="8" t="n"/>
      <c r="Y16" s="8">
        <f>IF(A16="","",IF(A16=Inputs!$B$6,Inputs!$B$22,IF(D16="","",IFERROR(INDEX($Z$4:$Z$203,MATCH(D16,$A$4:$A$203,0))+IF(X16="",Inputs!$B$20,X16),""))))</f>
        <v/>
      </c>
      <c r="Z16" s="8">
        <f>IF(OR(Y16="",P16="",E16=""),"",Y16+P16*E16)</f>
        <v/>
      </c>
      <c r="AA16" s="8">
        <f>IF(C16="","",IFERROR(INDEX(Noeuds_plan!$C$4:$C$200,MATCH(C16,Noeuds_plan!$A$4:$A$200,0)),""))</f>
        <v/>
      </c>
      <c r="AB16" s="8">
        <f>IF(B16="","",IFERROR(INDEX(Noeuds_plan!$C$4:$C$200,MATCH(B16,Noeuds_plan!$A$4:$A$200,0)),""))</f>
        <v/>
      </c>
      <c r="AC16" s="8">
        <f>IF(OR(AA16="",Y16=""),"",AA16-Y16)</f>
        <v/>
      </c>
      <c r="AD16" s="8">
        <f>IF(OR(AB16="",Z16=""),"",AB16-Z16)</f>
        <v/>
      </c>
      <c r="AE16" s="4">
        <f>IF(A16="","",IF(OR(V16&gt;1,W16&lt;Inputs!$B$11,W16&gt;Inputs!$B$12,AC16&lt;Inputs!$B$19,AD16&lt;Inputs!$B$19,P16&lt;Inputs!$B$7,P16&gt;Inputs!$B$8),"CHECK","OK"))</f>
        <v/>
      </c>
      <c r="AF16" s="4" t="inlineStr">
        <is>
          <t>Optional center connector; verify on plan</t>
        </is>
      </c>
      <c r="AG16" s="4">
        <f>IF(A16="","",(1/Inputs!$B$9)*(PI()*(Inputs!$F$5/1000)^2/4)*((Inputs!$F$5/1000/4)^(2/3))*SQRT(P16))</f>
        <v/>
      </c>
      <c r="AH16" s="4">
        <f>IF(A16="","",(1/Inputs!$B$9)*(PI()*(Inputs!$F$6/1000)^2/4)*((Inputs!$F$6/1000/4)^(2/3))*SQRT(P16))</f>
        <v/>
      </c>
      <c r="AI16" s="4">
        <f>IF(A16="","",(1/Inputs!$B$9)*(PI()*(Inputs!$F$7/1000)^2/4)*((Inputs!$F$7/1000/4)^(2/3))*SQRT(P16))</f>
        <v/>
      </c>
      <c r="AJ16" s="4">
        <f>IF(A16="","",(1/Inputs!$B$9)*(PI()*(Inputs!$F$8/1000)^2/4)*((Inputs!$F$8/1000/4)^(2/3))*SQRT(P16))</f>
        <v/>
      </c>
      <c r="AK16" s="4">
        <f>IF(A16="","",(1/Inputs!$B$9)*(PI()*(Inputs!$F$9/1000)^2/4)*((Inputs!$F$9/1000/4)^(2/3))*SQRT(P16))</f>
        <v/>
      </c>
      <c r="AL16" s="4">
        <f>IF(A16="","",(1/Inputs!$B$9)*(PI()*(Inputs!$F$10/1000)^2/4)*((Inputs!$F$10/1000/4)^(2/3))*SQRT(P16))</f>
        <v/>
      </c>
      <c r="AM16" s="4">
        <f>IF(A16="","",(1/Inputs!$B$9)*(PI()*(Inputs!$F$11/1000)^2/4)*((Inputs!$F$11/1000/4)^(2/3))*SQRT(P16))</f>
        <v/>
      </c>
      <c r="AN16" s="4">
        <f>IF(A16="","",(1/Inputs!$B$9)*(PI()*(Inputs!$F$12/1000)^2/4)*((Inputs!$F$12/1000/4)^(2/3))*SQRT(P16))</f>
        <v/>
      </c>
      <c r="AO16" s="4">
        <f>IF(A16="","",(1/Inputs!$B$9)*(PI()*(Inputs!$F$13/1000)^2/4)*((Inputs!$F$13/1000/4)^(2/3))*SQRT(P16))</f>
        <v/>
      </c>
      <c r="AP16" s="4">
        <f>IF(A16="","",(1/Inputs!$B$9)*(PI()*(Inputs!$F$14/1000)^2/4)*((Inputs!$F$14/1000/4)^(2/3))*SQRT(P16))</f>
        <v/>
      </c>
    </row>
    <row r="17">
      <c r="A17" s="4" t="inlineStr">
        <is>
          <t>L14_P05_P08</t>
        </is>
      </c>
      <c r="B17" s="4" t="inlineStr">
        <is>
          <t>P05</t>
        </is>
      </c>
      <c r="C17" s="4" t="inlineStr">
        <is>
          <t>P08</t>
        </is>
      </c>
      <c r="D17" s="4" t="inlineStr">
        <is>
          <t>L06_P08_P09</t>
        </is>
      </c>
      <c r="E17" s="8" t="inlineStr"/>
      <c r="F17" s="8" t="inlineStr"/>
      <c r="G17" s="8">
        <f>SUMIFS(CB_plan!$C:$C,CB_plan!$B:$B,$A17)</f>
        <v/>
      </c>
      <c r="H17" s="8">
        <f>IF(F17="",G17,F17)</f>
        <v/>
      </c>
      <c r="I17" s="4" t="n"/>
      <c r="J17" s="8" t="n"/>
      <c r="K17" s="8">
        <f>IF(A17="","",Inputs!$B$13/((IF(J17="",Inputs!$B$18,J17)+Inputs!$B$14)^Inputs!$B$15))</f>
        <v/>
      </c>
      <c r="L17" s="8">
        <f>IF(A17="","",0.00278*IF(I17="",Inputs!$B$17,I17)*H17*K17)</f>
        <v/>
      </c>
      <c r="M17" s="8">
        <f>IF(A17="","",SUMIFS($N$4:$N$203,$D$4:$D$203,$A17))</f>
        <v/>
      </c>
      <c r="N17" s="8">
        <f>IF(A17="","",(L17+M17)*Inputs!$B$16)</f>
        <v/>
      </c>
      <c r="O17" s="8" t="n"/>
      <c r="P17" s="8">
        <f>IF(A17="","",IF(O17="",Inputs!$B$7,O17))</f>
        <v/>
      </c>
      <c r="Q17" s="4">
        <f>IF(A17="","",IF(N17/Inputs!$B$10&lt;=AG17,Inputs!$F$5,IF(N17/Inputs!$B$10&gt;AP17,"OVERSIZE",INDEX(Inputs!$F$5:$F$14,MATCH(N17/Inputs!$B$10,AG17:AP17,1)+1))))</f>
        <v/>
      </c>
      <c r="R17" s="4" t="n"/>
      <c r="S17" s="4">
        <f>IF(A17="","",IF(R17="",Q17,R17))</f>
        <v/>
      </c>
      <c r="T17" s="8">
        <f>IF(OR(S17="",S17="OVERSIZE"),"",S17/1000)</f>
        <v/>
      </c>
      <c r="U17" s="8">
        <f>IF(T17="","",(1/Inputs!$B$9)*(PI()*T17^2/4)*((T17/4)^(2/3))*SQRT(P17))</f>
        <v/>
      </c>
      <c r="V17" s="8">
        <f>IF(OR(U17="",N17=""),"",N17/(U17*Inputs!$B$10))</f>
        <v/>
      </c>
      <c r="W17" s="8">
        <f>IF(OR(T17="",N17=""),"",4*N17/(PI()*T17^2))</f>
        <v/>
      </c>
      <c r="X17" s="8" t="n"/>
      <c r="Y17" s="8">
        <f>IF(A17="","",IF(A17=Inputs!$B$6,Inputs!$B$22,IF(D17="","",IFERROR(INDEX($Z$4:$Z$203,MATCH(D17,$A$4:$A$203,0))+IF(X17="",Inputs!$B$20,X17),""))))</f>
        <v/>
      </c>
      <c r="Z17" s="8">
        <f>IF(OR(Y17="",P17="",E17=""),"",Y17+P17*E17)</f>
        <v/>
      </c>
      <c r="AA17" s="8">
        <f>IF(C17="","",IFERROR(INDEX(Noeuds_plan!$C$4:$C$200,MATCH(C17,Noeuds_plan!$A$4:$A$200,0)),""))</f>
        <v/>
      </c>
      <c r="AB17" s="8">
        <f>IF(B17="","",IFERROR(INDEX(Noeuds_plan!$C$4:$C$200,MATCH(B17,Noeuds_plan!$A$4:$A$200,0)),""))</f>
        <v/>
      </c>
      <c r="AC17" s="8">
        <f>IF(OR(AA17="",Y17=""),"",AA17-Y17)</f>
        <v/>
      </c>
      <c r="AD17" s="8">
        <f>IF(OR(AB17="",Z17=""),"",AB17-Z17)</f>
        <v/>
      </c>
      <c r="AE17" s="4">
        <f>IF(A17="","",IF(OR(V17&gt;1,W17&lt;Inputs!$B$11,W17&gt;Inputs!$B$12,AC17&lt;Inputs!$B$19,AD17&lt;Inputs!$B$19,P17&lt;Inputs!$B$7,P17&gt;Inputs!$B$8),"CHECK","OK"))</f>
        <v/>
      </c>
      <c r="AF17" s="4" t="inlineStr">
        <is>
          <t>Optional center connector; verify on plan</t>
        </is>
      </c>
      <c r="AG17" s="4">
        <f>IF(A17="","",(1/Inputs!$B$9)*(PI()*(Inputs!$F$5/1000)^2/4)*((Inputs!$F$5/1000/4)^(2/3))*SQRT(P17))</f>
        <v/>
      </c>
      <c r="AH17" s="4">
        <f>IF(A17="","",(1/Inputs!$B$9)*(PI()*(Inputs!$F$6/1000)^2/4)*((Inputs!$F$6/1000/4)^(2/3))*SQRT(P17))</f>
        <v/>
      </c>
      <c r="AI17" s="4">
        <f>IF(A17="","",(1/Inputs!$B$9)*(PI()*(Inputs!$F$7/1000)^2/4)*((Inputs!$F$7/1000/4)^(2/3))*SQRT(P17))</f>
        <v/>
      </c>
      <c r="AJ17" s="4">
        <f>IF(A17="","",(1/Inputs!$B$9)*(PI()*(Inputs!$F$8/1000)^2/4)*((Inputs!$F$8/1000/4)^(2/3))*SQRT(P17))</f>
        <v/>
      </c>
      <c r="AK17" s="4">
        <f>IF(A17="","",(1/Inputs!$B$9)*(PI()*(Inputs!$F$9/1000)^2/4)*((Inputs!$F$9/1000/4)^(2/3))*SQRT(P17))</f>
        <v/>
      </c>
      <c r="AL17" s="4">
        <f>IF(A17="","",(1/Inputs!$B$9)*(PI()*(Inputs!$F$10/1000)^2/4)*((Inputs!$F$10/1000/4)^(2/3))*SQRT(P17))</f>
        <v/>
      </c>
      <c r="AM17" s="4">
        <f>IF(A17="","",(1/Inputs!$B$9)*(PI()*(Inputs!$F$11/1000)^2/4)*((Inputs!$F$11/1000/4)^(2/3))*SQRT(P17))</f>
        <v/>
      </c>
      <c r="AN17" s="4">
        <f>IF(A17="","",(1/Inputs!$B$9)*(PI()*(Inputs!$F$12/1000)^2/4)*((Inputs!$F$12/1000/4)^(2/3))*SQRT(P17))</f>
        <v/>
      </c>
      <c r="AO17" s="4">
        <f>IF(A17="","",(1/Inputs!$B$9)*(PI()*(Inputs!$F$13/1000)^2/4)*((Inputs!$F$13/1000/4)^(2/3))*SQRT(P17))</f>
        <v/>
      </c>
      <c r="AP17" s="4">
        <f>IF(A17="","",(1/Inputs!$B$9)*(PI()*(Inputs!$F$14/1000)^2/4)*((Inputs!$F$14/1000/4)^(2/3))*SQRT(P17))</f>
        <v/>
      </c>
    </row>
    <row r="18">
      <c r="A18" s="4" t="n"/>
      <c r="B18" s="4" t="n"/>
      <c r="C18" s="4" t="n"/>
      <c r="D18" s="4" t="n"/>
      <c r="E18" s="8" t="n"/>
      <c r="F18" s="8" t="n"/>
      <c r="G18" s="8">
        <f>SUMIFS(CB_plan!$C:$C,CB_plan!$B:$B,$A18)</f>
        <v/>
      </c>
      <c r="H18" s="8">
        <f>IF(F18="",G18,F18)</f>
        <v/>
      </c>
      <c r="I18" s="4" t="n"/>
      <c r="J18" s="8" t="n"/>
      <c r="K18" s="8">
        <f>IF(A18="","",Inputs!$B$13/((IF(J18="",Inputs!$B$18,J18)+Inputs!$B$14)^Inputs!$B$15))</f>
        <v/>
      </c>
      <c r="L18" s="8">
        <f>IF(A18="","",0.00278*IF(I18="",Inputs!$B$17,I18)*H18*K18)</f>
        <v/>
      </c>
      <c r="M18" s="8">
        <f>IF(A18="","",SUMIFS($N$4:$N$203,$D$4:$D$203,$A18))</f>
        <v/>
      </c>
      <c r="N18" s="8">
        <f>IF(A18="","",(L18+M18)*Inputs!$B$16)</f>
        <v/>
      </c>
      <c r="O18" s="8" t="n"/>
      <c r="P18" s="8">
        <f>IF(A18="","",IF(O18="",Inputs!$B$7,O18))</f>
        <v/>
      </c>
      <c r="Q18" s="4">
        <f>IF(A18="","",IF(N18/Inputs!$B$10&lt;=AG18,Inputs!$F$5,IF(N18/Inputs!$B$10&gt;AP18,"OVERSIZE",INDEX(Inputs!$F$5:$F$14,MATCH(N18/Inputs!$B$10,AG18:AP18,1)+1))))</f>
        <v/>
      </c>
      <c r="R18" s="4" t="n"/>
      <c r="S18" s="4">
        <f>IF(A18="","",IF(R18="",Q18,R18))</f>
        <v/>
      </c>
      <c r="T18" s="8">
        <f>IF(OR(S18="",S18="OVERSIZE"),"",S18/1000)</f>
        <v/>
      </c>
      <c r="U18" s="8">
        <f>IF(T18="","",(1/Inputs!$B$9)*(PI()*T18^2/4)*((T18/4)^(2/3))*SQRT(P18))</f>
        <v/>
      </c>
      <c r="V18" s="8">
        <f>IF(OR(U18="",N18=""),"",N18/(U18*Inputs!$B$10))</f>
        <v/>
      </c>
      <c r="W18" s="8">
        <f>IF(OR(T18="",N18=""),"",4*N18/(PI()*T18^2))</f>
        <v/>
      </c>
      <c r="X18" s="8" t="n"/>
      <c r="Y18" s="8">
        <f>IF(A18="","",IF(A18=Inputs!$B$6,Inputs!$B$22,IF(D18="","",IFERROR(INDEX($Z$4:$Z$203,MATCH(D18,$A$4:$A$203,0))+IF(X18="",Inputs!$B$20,X18),""))))</f>
        <v/>
      </c>
      <c r="Z18" s="8">
        <f>IF(OR(Y18="",P18="",E18=""),"",Y18+P18*E18)</f>
        <v/>
      </c>
      <c r="AA18" s="8">
        <f>IF(C18="","",IFERROR(INDEX(Noeuds_plan!$C$4:$C$200,MATCH(C18,Noeuds_plan!$A$4:$A$200,0)),""))</f>
        <v/>
      </c>
      <c r="AB18" s="8">
        <f>IF(B18="","",IFERROR(INDEX(Noeuds_plan!$C$4:$C$200,MATCH(B18,Noeuds_plan!$A$4:$A$200,0)),""))</f>
        <v/>
      </c>
      <c r="AC18" s="8">
        <f>IF(OR(AA18="",Y18=""),"",AA18-Y18)</f>
        <v/>
      </c>
      <c r="AD18" s="8">
        <f>IF(OR(AB18="",Z18=""),"",AB18-Z18)</f>
        <v/>
      </c>
      <c r="AE18" s="4">
        <f>IF(A18="","",IF(OR(V18&gt;1,W18&lt;Inputs!$B$11,W18&gt;Inputs!$B$12,AC18&lt;Inputs!$B$19,AD18&lt;Inputs!$B$19,P18&lt;Inputs!$B$7,P18&gt;Inputs!$B$8),"CHECK","OK"))</f>
        <v/>
      </c>
      <c r="AF18" s="4" t="n"/>
      <c r="AG18" s="4">
        <f>IF(A18="","",(1/Inputs!$B$9)*(PI()*(Inputs!$F$5/1000)^2/4)*((Inputs!$F$5/1000/4)^(2/3))*SQRT(P18))</f>
        <v/>
      </c>
      <c r="AH18" s="4">
        <f>IF(A18="","",(1/Inputs!$B$9)*(PI()*(Inputs!$F$6/1000)^2/4)*((Inputs!$F$6/1000/4)^(2/3))*SQRT(P18))</f>
        <v/>
      </c>
      <c r="AI18" s="4">
        <f>IF(A18="","",(1/Inputs!$B$9)*(PI()*(Inputs!$F$7/1000)^2/4)*((Inputs!$F$7/1000/4)^(2/3))*SQRT(P18))</f>
        <v/>
      </c>
      <c r="AJ18" s="4">
        <f>IF(A18="","",(1/Inputs!$B$9)*(PI()*(Inputs!$F$8/1000)^2/4)*((Inputs!$F$8/1000/4)^(2/3))*SQRT(P18))</f>
        <v/>
      </c>
      <c r="AK18" s="4">
        <f>IF(A18="","",(1/Inputs!$B$9)*(PI()*(Inputs!$F$9/1000)^2/4)*((Inputs!$F$9/1000/4)^(2/3))*SQRT(P18))</f>
        <v/>
      </c>
      <c r="AL18" s="4">
        <f>IF(A18="","",(1/Inputs!$B$9)*(PI()*(Inputs!$F$10/1000)^2/4)*((Inputs!$F$10/1000/4)^(2/3))*SQRT(P18))</f>
        <v/>
      </c>
      <c r="AM18" s="4">
        <f>IF(A18="","",(1/Inputs!$B$9)*(PI()*(Inputs!$F$11/1000)^2/4)*((Inputs!$F$11/1000/4)^(2/3))*SQRT(P18))</f>
        <v/>
      </c>
      <c r="AN18" s="4">
        <f>IF(A18="","",(1/Inputs!$B$9)*(PI()*(Inputs!$F$12/1000)^2/4)*((Inputs!$F$12/1000/4)^(2/3))*SQRT(P18))</f>
        <v/>
      </c>
      <c r="AO18" s="4">
        <f>IF(A18="","",(1/Inputs!$B$9)*(PI()*(Inputs!$F$13/1000)^2/4)*((Inputs!$F$13/1000/4)^(2/3))*SQRT(P18))</f>
        <v/>
      </c>
      <c r="AP18" s="4">
        <f>IF(A18="","",(1/Inputs!$B$9)*(PI()*(Inputs!$F$14/1000)^2/4)*((Inputs!$F$14/1000/4)^(2/3))*SQRT(P18))</f>
        <v/>
      </c>
    </row>
    <row r="19">
      <c r="A19" s="4" t="n"/>
      <c r="B19" s="4" t="n"/>
      <c r="C19" s="4" t="n"/>
      <c r="D19" s="4" t="n"/>
      <c r="E19" s="8" t="n"/>
      <c r="F19" s="8" t="n"/>
      <c r="G19" s="8">
        <f>SUMIFS(CB_plan!$C:$C,CB_plan!$B:$B,$A19)</f>
        <v/>
      </c>
      <c r="H19" s="8">
        <f>IF(F19="",G19,F19)</f>
        <v/>
      </c>
      <c r="I19" s="4" t="n"/>
      <c r="J19" s="8" t="n"/>
      <c r="K19" s="8">
        <f>IF(A19="","",Inputs!$B$13/((IF(J19="",Inputs!$B$18,J19)+Inputs!$B$14)^Inputs!$B$15))</f>
        <v/>
      </c>
      <c r="L19" s="8">
        <f>IF(A19="","",0.00278*IF(I19="",Inputs!$B$17,I19)*H19*K19)</f>
        <v/>
      </c>
      <c r="M19" s="8">
        <f>IF(A19="","",SUMIFS($N$4:$N$203,$D$4:$D$203,$A19))</f>
        <v/>
      </c>
      <c r="N19" s="8">
        <f>IF(A19="","",(L19+M19)*Inputs!$B$16)</f>
        <v/>
      </c>
      <c r="O19" s="8" t="n"/>
      <c r="P19" s="8">
        <f>IF(A19="","",IF(O19="",Inputs!$B$7,O19))</f>
        <v/>
      </c>
      <c r="Q19" s="4">
        <f>IF(A19="","",IF(N19/Inputs!$B$10&lt;=AG19,Inputs!$F$5,IF(N19/Inputs!$B$10&gt;AP19,"OVERSIZE",INDEX(Inputs!$F$5:$F$14,MATCH(N19/Inputs!$B$10,AG19:AP19,1)+1))))</f>
        <v/>
      </c>
      <c r="R19" s="4" t="n"/>
      <c r="S19" s="4">
        <f>IF(A19="","",IF(R19="",Q19,R19))</f>
        <v/>
      </c>
      <c r="T19" s="8">
        <f>IF(OR(S19="",S19="OVERSIZE"),"",S19/1000)</f>
        <v/>
      </c>
      <c r="U19" s="8">
        <f>IF(T19="","",(1/Inputs!$B$9)*(PI()*T19^2/4)*((T19/4)^(2/3))*SQRT(P19))</f>
        <v/>
      </c>
      <c r="V19" s="8">
        <f>IF(OR(U19="",N19=""),"",N19/(U19*Inputs!$B$10))</f>
        <v/>
      </c>
      <c r="W19" s="8">
        <f>IF(OR(T19="",N19=""),"",4*N19/(PI()*T19^2))</f>
        <v/>
      </c>
      <c r="X19" s="8" t="n"/>
      <c r="Y19" s="8">
        <f>IF(A19="","",IF(A19=Inputs!$B$6,Inputs!$B$22,IF(D19="","",IFERROR(INDEX($Z$4:$Z$203,MATCH(D19,$A$4:$A$203,0))+IF(X19="",Inputs!$B$20,X19),""))))</f>
        <v/>
      </c>
      <c r="Z19" s="8">
        <f>IF(OR(Y19="",P19="",E19=""),"",Y19+P19*E19)</f>
        <v/>
      </c>
      <c r="AA19" s="8">
        <f>IF(C19="","",IFERROR(INDEX(Noeuds_plan!$C$4:$C$200,MATCH(C19,Noeuds_plan!$A$4:$A$200,0)),""))</f>
        <v/>
      </c>
      <c r="AB19" s="8">
        <f>IF(B19="","",IFERROR(INDEX(Noeuds_plan!$C$4:$C$200,MATCH(B19,Noeuds_plan!$A$4:$A$200,0)),""))</f>
        <v/>
      </c>
      <c r="AC19" s="8">
        <f>IF(OR(AA19="",Y19=""),"",AA19-Y19)</f>
        <v/>
      </c>
      <c r="AD19" s="8">
        <f>IF(OR(AB19="",Z19=""),"",AB19-Z19)</f>
        <v/>
      </c>
      <c r="AE19" s="4">
        <f>IF(A19="","",IF(OR(V19&gt;1,W19&lt;Inputs!$B$11,W19&gt;Inputs!$B$12,AC19&lt;Inputs!$B$19,AD19&lt;Inputs!$B$19,P19&lt;Inputs!$B$7,P19&gt;Inputs!$B$8),"CHECK","OK"))</f>
        <v/>
      </c>
      <c r="AF19" s="4" t="n"/>
      <c r="AG19" s="4">
        <f>IF(A19="","",(1/Inputs!$B$9)*(PI()*(Inputs!$F$5/1000)^2/4)*((Inputs!$F$5/1000/4)^(2/3))*SQRT(P19))</f>
        <v/>
      </c>
      <c r="AH19" s="4">
        <f>IF(A19="","",(1/Inputs!$B$9)*(PI()*(Inputs!$F$6/1000)^2/4)*((Inputs!$F$6/1000/4)^(2/3))*SQRT(P19))</f>
        <v/>
      </c>
      <c r="AI19" s="4">
        <f>IF(A19="","",(1/Inputs!$B$9)*(PI()*(Inputs!$F$7/1000)^2/4)*((Inputs!$F$7/1000/4)^(2/3))*SQRT(P19))</f>
        <v/>
      </c>
      <c r="AJ19" s="4">
        <f>IF(A19="","",(1/Inputs!$B$9)*(PI()*(Inputs!$F$8/1000)^2/4)*((Inputs!$F$8/1000/4)^(2/3))*SQRT(P19))</f>
        <v/>
      </c>
      <c r="AK19" s="4">
        <f>IF(A19="","",(1/Inputs!$B$9)*(PI()*(Inputs!$F$9/1000)^2/4)*((Inputs!$F$9/1000/4)^(2/3))*SQRT(P19))</f>
        <v/>
      </c>
      <c r="AL19" s="4">
        <f>IF(A19="","",(1/Inputs!$B$9)*(PI()*(Inputs!$F$10/1000)^2/4)*((Inputs!$F$10/1000/4)^(2/3))*SQRT(P19))</f>
        <v/>
      </c>
      <c r="AM19" s="4">
        <f>IF(A19="","",(1/Inputs!$B$9)*(PI()*(Inputs!$F$11/1000)^2/4)*((Inputs!$F$11/1000/4)^(2/3))*SQRT(P19))</f>
        <v/>
      </c>
      <c r="AN19" s="4">
        <f>IF(A19="","",(1/Inputs!$B$9)*(PI()*(Inputs!$F$12/1000)^2/4)*((Inputs!$F$12/1000/4)^(2/3))*SQRT(P19))</f>
        <v/>
      </c>
      <c r="AO19" s="4">
        <f>IF(A19="","",(1/Inputs!$B$9)*(PI()*(Inputs!$F$13/1000)^2/4)*((Inputs!$F$13/1000/4)^(2/3))*SQRT(P19))</f>
        <v/>
      </c>
      <c r="AP19" s="4">
        <f>IF(A19="","",(1/Inputs!$B$9)*(PI()*(Inputs!$F$14/1000)^2/4)*((Inputs!$F$14/1000/4)^(2/3))*SQRT(P19))</f>
        <v/>
      </c>
    </row>
    <row r="20">
      <c r="A20" s="4" t="n"/>
      <c r="B20" s="4" t="n"/>
      <c r="C20" s="4" t="n"/>
      <c r="D20" s="4" t="n"/>
      <c r="E20" s="8" t="n"/>
      <c r="F20" s="8" t="n"/>
      <c r="G20" s="8">
        <f>SUMIFS(CB_plan!$C:$C,CB_plan!$B:$B,$A20)</f>
        <v/>
      </c>
      <c r="H20" s="8">
        <f>IF(F20="",G20,F20)</f>
        <v/>
      </c>
      <c r="I20" s="4" t="n"/>
      <c r="J20" s="8" t="n"/>
      <c r="K20" s="8">
        <f>IF(A20="","",Inputs!$B$13/((IF(J20="",Inputs!$B$18,J20)+Inputs!$B$14)^Inputs!$B$15))</f>
        <v/>
      </c>
      <c r="L20" s="8">
        <f>IF(A20="","",0.00278*IF(I20="",Inputs!$B$17,I20)*H20*K20)</f>
        <v/>
      </c>
      <c r="M20" s="8">
        <f>IF(A20="","",SUMIFS($N$4:$N$203,$D$4:$D$203,$A20))</f>
        <v/>
      </c>
      <c r="N20" s="8">
        <f>IF(A20="","",(L20+M20)*Inputs!$B$16)</f>
        <v/>
      </c>
      <c r="O20" s="8" t="n"/>
      <c r="P20" s="8">
        <f>IF(A20="","",IF(O20="",Inputs!$B$7,O20))</f>
        <v/>
      </c>
      <c r="Q20" s="4">
        <f>IF(A20="","",IF(N20/Inputs!$B$10&lt;=AG20,Inputs!$F$5,IF(N20/Inputs!$B$10&gt;AP20,"OVERSIZE",INDEX(Inputs!$F$5:$F$14,MATCH(N20/Inputs!$B$10,AG20:AP20,1)+1))))</f>
        <v/>
      </c>
      <c r="R20" s="4" t="n"/>
      <c r="S20" s="4">
        <f>IF(A20="","",IF(R20="",Q20,R20))</f>
        <v/>
      </c>
      <c r="T20" s="8">
        <f>IF(OR(S20="",S20="OVERSIZE"),"",S20/1000)</f>
        <v/>
      </c>
      <c r="U20" s="8">
        <f>IF(T20="","",(1/Inputs!$B$9)*(PI()*T20^2/4)*((T20/4)^(2/3))*SQRT(P20))</f>
        <v/>
      </c>
      <c r="V20" s="8">
        <f>IF(OR(U20="",N20=""),"",N20/(U20*Inputs!$B$10))</f>
        <v/>
      </c>
      <c r="W20" s="8">
        <f>IF(OR(T20="",N20=""),"",4*N20/(PI()*T20^2))</f>
        <v/>
      </c>
      <c r="X20" s="8" t="n"/>
      <c r="Y20" s="8">
        <f>IF(A20="","",IF(A20=Inputs!$B$6,Inputs!$B$22,IF(D20="","",IFERROR(INDEX($Z$4:$Z$203,MATCH(D20,$A$4:$A$203,0))+IF(X20="",Inputs!$B$20,X20),""))))</f>
        <v/>
      </c>
      <c r="Z20" s="8">
        <f>IF(OR(Y20="",P20="",E20=""),"",Y20+P20*E20)</f>
        <v/>
      </c>
      <c r="AA20" s="8">
        <f>IF(C20="","",IFERROR(INDEX(Noeuds_plan!$C$4:$C$200,MATCH(C20,Noeuds_plan!$A$4:$A$200,0)),""))</f>
        <v/>
      </c>
      <c r="AB20" s="8">
        <f>IF(B20="","",IFERROR(INDEX(Noeuds_plan!$C$4:$C$200,MATCH(B20,Noeuds_plan!$A$4:$A$200,0)),""))</f>
        <v/>
      </c>
      <c r="AC20" s="8">
        <f>IF(OR(AA20="",Y20=""),"",AA20-Y20)</f>
        <v/>
      </c>
      <c r="AD20" s="8">
        <f>IF(OR(AB20="",Z20=""),"",AB20-Z20)</f>
        <v/>
      </c>
      <c r="AE20" s="4">
        <f>IF(A20="","",IF(OR(V20&gt;1,W20&lt;Inputs!$B$11,W20&gt;Inputs!$B$12,AC20&lt;Inputs!$B$19,AD20&lt;Inputs!$B$19,P20&lt;Inputs!$B$7,P20&gt;Inputs!$B$8),"CHECK","OK"))</f>
        <v/>
      </c>
      <c r="AF20" s="4" t="n"/>
      <c r="AG20" s="4">
        <f>IF(A20="","",(1/Inputs!$B$9)*(PI()*(Inputs!$F$5/1000)^2/4)*((Inputs!$F$5/1000/4)^(2/3))*SQRT(P20))</f>
        <v/>
      </c>
      <c r="AH20" s="4">
        <f>IF(A20="","",(1/Inputs!$B$9)*(PI()*(Inputs!$F$6/1000)^2/4)*((Inputs!$F$6/1000/4)^(2/3))*SQRT(P20))</f>
        <v/>
      </c>
      <c r="AI20" s="4">
        <f>IF(A20="","",(1/Inputs!$B$9)*(PI()*(Inputs!$F$7/1000)^2/4)*((Inputs!$F$7/1000/4)^(2/3))*SQRT(P20))</f>
        <v/>
      </c>
      <c r="AJ20" s="4">
        <f>IF(A20="","",(1/Inputs!$B$9)*(PI()*(Inputs!$F$8/1000)^2/4)*((Inputs!$F$8/1000/4)^(2/3))*SQRT(P20))</f>
        <v/>
      </c>
      <c r="AK20" s="4">
        <f>IF(A20="","",(1/Inputs!$B$9)*(PI()*(Inputs!$F$9/1000)^2/4)*((Inputs!$F$9/1000/4)^(2/3))*SQRT(P20))</f>
        <v/>
      </c>
      <c r="AL20" s="4">
        <f>IF(A20="","",(1/Inputs!$B$9)*(PI()*(Inputs!$F$10/1000)^2/4)*((Inputs!$F$10/1000/4)^(2/3))*SQRT(P20))</f>
        <v/>
      </c>
      <c r="AM20" s="4">
        <f>IF(A20="","",(1/Inputs!$B$9)*(PI()*(Inputs!$F$11/1000)^2/4)*((Inputs!$F$11/1000/4)^(2/3))*SQRT(P20))</f>
        <v/>
      </c>
      <c r="AN20" s="4">
        <f>IF(A20="","",(1/Inputs!$B$9)*(PI()*(Inputs!$F$12/1000)^2/4)*((Inputs!$F$12/1000/4)^(2/3))*SQRT(P20))</f>
        <v/>
      </c>
      <c r="AO20" s="4">
        <f>IF(A20="","",(1/Inputs!$B$9)*(PI()*(Inputs!$F$13/1000)^2/4)*((Inputs!$F$13/1000/4)^(2/3))*SQRT(P20))</f>
        <v/>
      </c>
      <c r="AP20" s="4">
        <f>IF(A20="","",(1/Inputs!$B$9)*(PI()*(Inputs!$F$14/1000)^2/4)*((Inputs!$F$14/1000/4)^(2/3))*SQRT(P20))</f>
        <v/>
      </c>
    </row>
    <row r="21">
      <c r="A21" s="4" t="n"/>
      <c r="B21" s="4" t="n"/>
      <c r="C21" s="4" t="n"/>
      <c r="D21" s="4" t="n"/>
      <c r="E21" s="8" t="n"/>
      <c r="F21" s="8" t="n"/>
      <c r="G21" s="8">
        <f>SUMIFS(CB_plan!$C:$C,CB_plan!$B:$B,$A21)</f>
        <v/>
      </c>
      <c r="H21" s="8">
        <f>IF(F21="",G21,F21)</f>
        <v/>
      </c>
      <c r="I21" s="4" t="n"/>
      <c r="J21" s="8" t="n"/>
      <c r="K21" s="8">
        <f>IF(A21="","",Inputs!$B$13/((IF(J21="",Inputs!$B$18,J21)+Inputs!$B$14)^Inputs!$B$15))</f>
        <v/>
      </c>
      <c r="L21" s="8">
        <f>IF(A21="","",0.00278*IF(I21="",Inputs!$B$17,I21)*H21*K21)</f>
        <v/>
      </c>
      <c r="M21" s="8">
        <f>IF(A21="","",SUMIFS($N$4:$N$203,$D$4:$D$203,$A21))</f>
        <v/>
      </c>
      <c r="N21" s="8">
        <f>IF(A21="","",(L21+M21)*Inputs!$B$16)</f>
        <v/>
      </c>
      <c r="O21" s="8" t="n"/>
      <c r="P21" s="8">
        <f>IF(A21="","",IF(O21="",Inputs!$B$7,O21))</f>
        <v/>
      </c>
      <c r="Q21" s="4">
        <f>IF(A21="","",IF(N21/Inputs!$B$10&lt;=AG21,Inputs!$F$5,IF(N21/Inputs!$B$10&gt;AP21,"OVERSIZE",INDEX(Inputs!$F$5:$F$14,MATCH(N21/Inputs!$B$10,AG21:AP21,1)+1))))</f>
        <v/>
      </c>
      <c r="R21" s="4" t="n"/>
      <c r="S21" s="4">
        <f>IF(A21="","",IF(R21="",Q21,R21))</f>
        <v/>
      </c>
      <c r="T21" s="8">
        <f>IF(OR(S21="",S21="OVERSIZE"),"",S21/1000)</f>
        <v/>
      </c>
      <c r="U21" s="8">
        <f>IF(T21="","",(1/Inputs!$B$9)*(PI()*T21^2/4)*((T21/4)^(2/3))*SQRT(P21))</f>
        <v/>
      </c>
      <c r="V21" s="8">
        <f>IF(OR(U21="",N21=""),"",N21/(U21*Inputs!$B$10))</f>
        <v/>
      </c>
      <c r="W21" s="8">
        <f>IF(OR(T21="",N21=""),"",4*N21/(PI()*T21^2))</f>
        <v/>
      </c>
      <c r="X21" s="8" t="n"/>
      <c r="Y21" s="8">
        <f>IF(A21="","",IF(A21=Inputs!$B$6,Inputs!$B$22,IF(D21="","",IFERROR(INDEX($Z$4:$Z$203,MATCH(D21,$A$4:$A$203,0))+IF(X21="",Inputs!$B$20,X21),""))))</f>
        <v/>
      </c>
      <c r="Z21" s="8">
        <f>IF(OR(Y21="",P21="",E21=""),"",Y21+P21*E21)</f>
        <v/>
      </c>
      <c r="AA21" s="8">
        <f>IF(C21="","",IFERROR(INDEX(Noeuds_plan!$C$4:$C$200,MATCH(C21,Noeuds_plan!$A$4:$A$200,0)),""))</f>
        <v/>
      </c>
      <c r="AB21" s="8">
        <f>IF(B21="","",IFERROR(INDEX(Noeuds_plan!$C$4:$C$200,MATCH(B21,Noeuds_plan!$A$4:$A$200,0)),""))</f>
        <v/>
      </c>
      <c r="AC21" s="8">
        <f>IF(OR(AA21="",Y21=""),"",AA21-Y21)</f>
        <v/>
      </c>
      <c r="AD21" s="8">
        <f>IF(OR(AB21="",Z21=""),"",AB21-Z21)</f>
        <v/>
      </c>
      <c r="AE21" s="4">
        <f>IF(A21="","",IF(OR(V21&gt;1,W21&lt;Inputs!$B$11,W21&gt;Inputs!$B$12,AC21&lt;Inputs!$B$19,AD21&lt;Inputs!$B$19,P21&lt;Inputs!$B$7,P21&gt;Inputs!$B$8),"CHECK","OK"))</f>
        <v/>
      </c>
      <c r="AF21" s="4" t="n"/>
      <c r="AG21" s="4">
        <f>IF(A21="","",(1/Inputs!$B$9)*(PI()*(Inputs!$F$5/1000)^2/4)*((Inputs!$F$5/1000/4)^(2/3))*SQRT(P21))</f>
        <v/>
      </c>
      <c r="AH21" s="4">
        <f>IF(A21="","",(1/Inputs!$B$9)*(PI()*(Inputs!$F$6/1000)^2/4)*((Inputs!$F$6/1000/4)^(2/3))*SQRT(P21))</f>
        <v/>
      </c>
      <c r="AI21" s="4">
        <f>IF(A21="","",(1/Inputs!$B$9)*(PI()*(Inputs!$F$7/1000)^2/4)*((Inputs!$F$7/1000/4)^(2/3))*SQRT(P21))</f>
        <v/>
      </c>
      <c r="AJ21" s="4">
        <f>IF(A21="","",(1/Inputs!$B$9)*(PI()*(Inputs!$F$8/1000)^2/4)*((Inputs!$F$8/1000/4)^(2/3))*SQRT(P21))</f>
        <v/>
      </c>
      <c r="AK21" s="4">
        <f>IF(A21="","",(1/Inputs!$B$9)*(PI()*(Inputs!$F$9/1000)^2/4)*((Inputs!$F$9/1000/4)^(2/3))*SQRT(P21))</f>
        <v/>
      </c>
      <c r="AL21" s="4">
        <f>IF(A21="","",(1/Inputs!$B$9)*(PI()*(Inputs!$F$10/1000)^2/4)*((Inputs!$F$10/1000/4)^(2/3))*SQRT(P21))</f>
        <v/>
      </c>
      <c r="AM21" s="4">
        <f>IF(A21="","",(1/Inputs!$B$9)*(PI()*(Inputs!$F$11/1000)^2/4)*((Inputs!$F$11/1000/4)^(2/3))*SQRT(P21))</f>
        <v/>
      </c>
      <c r="AN21" s="4">
        <f>IF(A21="","",(1/Inputs!$B$9)*(PI()*(Inputs!$F$12/1000)^2/4)*((Inputs!$F$12/1000/4)^(2/3))*SQRT(P21))</f>
        <v/>
      </c>
      <c r="AO21" s="4">
        <f>IF(A21="","",(1/Inputs!$B$9)*(PI()*(Inputs!$F$13/1000)^2/4)*((Inputs!$F$13/1000/4)^(2/3))*SQRT(P21))</f>
        <v/>
      </c>
      <c r="AP21" s="4">
        <f>IF(A21="","",(1/Inputs!$B$9)*(PI()*(Inputs!$F$14/1000)^2/4)*((Inputs!$F$14/1000/4)^(2/3))*SQRT(P21))</f>
        <v/>
      </c>
    </row>
    <row r="22">
      <c r="A22" s="4" t="n"/>
      <c r="B22" s="4" t="n"/>
      <c r="C22" s="4" t="n"/>
      <c r="D22" s="4" t="n"/>
      <c r="E22" s="8" t="n"/>
      <c r="F22" s="8" t="n"/>
      <c r="G22" s="8">
        <f>SUMIFS(CB_plan!$C:$C,CB_plan!$B:$B,$A22)</f>
        <v/>
      </c>
      <c r="H22" s="8">
        <f>IF(F22="",G22,F22)</f>
        <v/>
      </c>
      <c r="I22" s="4" t="n"/>
      <c r="J22" s="8" t="n"/>
      <c r="K22" s="8">
        <f>IF(A22="","",Inputs!$B$13/((IF(J22="",Inputs!$B$18,J22)+Inputs!$B$14)^Inputs!$B$15))</f>
        <v/>
      </c>
      <c r="L22" s="8">
        <f>IF(A22="","",0.00278*IF(I22="",Inputs!$B$17,I22)*H22*K22)</f>
        <v/>
      </c>
      <c r="M22" s="8">
        <f>IF(A22="","",SUMIFS($N$4:$N$203,$D$4:$D$203,$A22))</f>
        <v/>
      </c>
      <c r="N22" s="8">
        <f>IF(A22="","",(L22+M22)*Inputs!$B$16)</f>
        <v/>
      </c>
      <c r="O22" s="8" t="n"/>
      <c r="P22" s="8">
        <f>IF(A22="","",IF(O22="",Inputs!$B$7,O22))</f>
        <v/>
      </c>
      <c r="Q22" s="4">
        <f>IF(A22="","",IF(N22/Inputs!$B$10&lt;=AG22,Inputs!$F$5,IF(N22/Inputs!$B$10&gt;AP22,"OVERSIZE",INDEX(Inputs!$F$5:$F$14,MATCH(N22/Inputs!$B$10,AG22:AP22,1)+1))))</f>
        <v/>
      </c>
      <c r="R22" s="4" t="n"/>
      <c r="S22" s="4">
        <f>IF(A22="","",IF(R22="",Q22,R22))</f>
        <v/>
      </c>
      <c r="T22" s="8">
        <f>IF(OR(S22="",S22="OVERSIZE"),"",S22/1000)</f>
        <v/>
      </c>
      <c r="U22" s="8">
        <f>IF(T22="","",(1/Inputs!$B$9)*(PI()*T22^2/4)*((T22/4)^(2/3))*SQRT(P22))</f>
        <v/>
      </c>
      <c r="V22" s="8">
        <f>IF(OR(U22="",N22=""),"",N22/(U22*Inputs!$B$10))</f>
        <v/>
      </c>
      <c r="W22" s="8">
        <f>IF(OR(T22="",N22=""),"",4*N22/(PI()*T22^2))</f>
        <v/>
      </c>
      <c r="X22" s="8" t="n"/>
      <c r="Y22" s="8">
        <f>IF(A22="","",IF(A22=Inputs!$B$6,Inputs!$B$22,IF(D22="","",IFERROR(INDEX($Z$4:$Z$203,MATCH(D22,$A$4:$A$203,0))+IF(X22="",Inputs!$B$20,X22),""))))</f>
        <v/>
      </c>
      <c r="Z22" s="8">
        <f>IF(OR(Y22="",P22="",E22=""),"",Y22+P22*E22)</f>
        <v/>
      </c>
      <c r="AA22" s="8">
        <f>IF(C22="","",IFERROR(INDEX(Noeuds_plan!$C$4:$C$200,MATCH(C22,Noeuds_plan!$A$4:$A$200,0)),""))</f>
        <v/>
      </c>
      <c r="AB22" s="8">
        <f>IF(B22="","",IFERROR(INDEX(Noeuds_plan!$C$4:$C$200,MATCH(B22,Noeuds_plan!$A$4:$A$200,0)),""))</f>
        <v/>
      </c>
      <c r="AC22" s="8">
        <f>IF(OR(AA22="",Y22=""),"",AA22-Y22)</f>
        <v/>
      </c>
      <c r="AD22" s="8">
        <f>IF(OR(AB22="",Z22=""),"",AB22-Z22)</f>
        <v/>
      </c>
      <c r="AE22" s="4">
        <f>IF(A22="","",IF(OR(V22&gt;1,W22&lt;Inputs!$B$11,W22&gt;Inputs!$B$12,AC22&lt;Inputs!$B$19,AD22&lt;Inputs!$B$19,P22&lt;Inputs!$B$7,P22&gt;Inputs!$B$8),"CHECK","OK"))</f>
        <v/>
      </c>
      <c r="AF22" s="4" t="n"/>
      <c r="AG22" s="4">
        <f>IF(A22="","",(1/Inputs!$B$9)*(PI()*(Inputs!$F$5/1000)^2/4)*((Inputs!$F$5/1000/4)^(2/3))*SQRT(P22))</f>
        <v/>
      </c>
      <c r="AH22" s="4">
        <f>IF(A22="","",(1/Inputs!$B$9)*(PI()*(Inputs!$F$6/1000)^2/4)*((Inputs!$F$6/1000/4)^(2/3))*SQRT(P22))</f>
        <v/>
      </c>
      <c r="AI22" s="4">
        <f>IF(A22="","",(1/Inputs!$B$9)*(PI()*(Inputs!$F$7/1000)^2/4)*((Inputs!$F$7/1000/4)^(2/3))*SQRT(P22))</f>
        <v/>
      </c>
      <c r="AJ22" s="4">
        <f>IF(A22="","",(1/Inputs!$B$9)*(PI()*(Inputs!$F$8/1000)^2/4)*((Inputs!$F$8/1000/4)^(2/3))*SQRT(P22))</f>
        <v/>
      </c>
      <c r="AK22" s="4">
        <f>IF(A22="","",(1/Inputs!$B$9)*(PI()*(Inputs!$F$9/1000)^2/4)*((Inputs!$F$9/1000/4)^(2/3))*SQRT(P22))</f>
        <v/>
      </c>
      <c r="AL22" s="4">
        <f>IF(A22="","",(1/Inputs!$B$9)*(PI()*(Inputs!$F$10/1000)^2/4)*((Inputs!$F$10/1000/4)^(2/3))*SQRT(P22))</f>
        <v/>
      </c>
      <c r="AM22" s="4">
        <f>IF(A22="","",(1/Inputs!$B$9)*(PI()*(Inputs!$F$11/1000)^2/4)*((Inputs!$F$11/1000/4)^(2/3))*SQRT(P22))</f>
        <v/>
      </c>
      <c r="AN22" s="4">
        <f>IF(A22="","",(1/Inputs!$B$9)*(PI()*(Inputs!$F$12/1000)^2/4)*((Inputs!$F$12/1000/4)^(2/3))*SQRT(P22))</f>
        <v/>
      </c>
      <c r="AO22" s="4">
        <f>IF(A22="","",(1/Inputs!$B$9)*(PI()*(Inputs!$F$13/1000)^2/4)*((Inputs!$F$13/1000/4)^(2/3))*SQRT(P22))</f>
        <v/>
      </c>
      <c r="AP22" s="4">
        <f>IF(A22="","",(1/Inputs!$B$9)*(PI()*(Inputs!$F$14/1000)^2/4)*((Inputs!$F$14/1000/4)^(2/3))*SQRT(P22))</f>
        <v/>
      </c>
    </row>
    <row r="23">
      <c r="A23" s="4" t="n"/>
      <c r="B23" s="4" t="n"/>
      <c r="C23" s="4" t="n"/>
      <c r="D23" s="4" t="n"/>
      <c r="E23" s="8" t="n"/>
      <c r="F23" s="8" t="n"/>
      <c r="G23" s="8">
        <f>SUMIFS(CB_plan!$C:$C,CB_plan!$B:$B,$A23)</f>
        <v/>
      </c>
      <c r="H23" s="8">
        <f>IF(F23="",G23,F23)</f>
        <v/>
      </c>
      <c r="I23" s="4" t="n"/>
      <c r="J23" s="8" t="n"/>
      <c r="K23" s="8">
        <f>IF(A23="","",Inputs!$B$13/((IF(J23="",Inputs!$B$18,J23)+Inputs!$B$14)^Inputs!$B$15))</f>
        <v/>
      </c>
      <c r="L23" s="8">
        <f>IF(A23="","",0.00278*IF(I23="",Inputs!$B$17,I23)*H23*K23)</f>
        <v/>
      </c>
      <c r="M23" s="8">
        <f>IF(A23="","",SUMIFS($N$4:$N$203,$D$4:$D$203,$A23))</f>
        <v/>
      </c>
      <c r="N23" s="8">
        <f>IF(A23="","",(L23+M23)*Inputs!$B$16)</f>
        <v/>
      </c>
      <c r="O23" s="8" t="n"/>
      <c r="P23" s="8">
        <f>IF(A23="","",IF(O23="",Inputs!$B$7,O23))</f>
        <v/>
      </c>
      <c r="Q23" s="4">
        <f>IF(A23="","",IF(N23/Inputs!$B$10&lt;=AG23,Inputs!$F$5,IF(N23/Inputs!$B$10&gt;AP23,"OVERSIZE",INDEX(Inputs!$F$5:$F$14,MATCH(N23/Inputs!$B$10,AG23:AP23,1)+1))))</f>
        <v/>
      </c>
      <c r="R23" s="4" t="n"/>
      <c r="S23" s="4">
        <f>IF(A23="","",IF(R23="",Q23,R23))</f>
        <v/>
      </c>
      <c r="T23" s="8">
        <f>IF(OR(S23="",S23="OVERSIZE"),"",S23/1000)</f>
        <v/>
      </c>
      <c r="U23" s="8">
        <f>IF(T23="","",(1/Inputs!$B$9)*(PI()*T23^2/4)*((T23/4)^(2/3))*SQRT(P23))</f>
        <v/>
      </c>
      <c r="V23" s="8">
        <f>IF(OR(U23="",N23=""),"",N23/(U23*Inputs!$B$10))</f>
        <v/>
      </c>
      <c r="W23" s="8">
        <f>IF(OR(T23="",N23=""),"",4*N23/(PI()*T23^2))</f>
        <v/>
      </c>
      <c r="X23" s="8" t="n"/>
      <c r="Y23" s="8">
        <f>IF(A23="","",IF(A23=Inputs!$B$6,Inputs!$B$22,IF(D23="","",IFERROR(INDEX($Z$4:$Z$203,MATCH(D23,$A$4:$A$203,0))+IF(X23="",Inputs!$B$20,X23),""))))</f>
        <v/>
      </c>
      <c r="Z23" s="8">
        <f>IF(OR(Y23="",P23="",E23=""),"",Y23+P23*E23)</f>
        <v/>
      </c>
      <c r="AA23" s="8">
        <f>IF(C23="","",IFERROR(INDEX(Noeuds_plan!$C$4:$C$200,MATCH(C23,Noeuds_plan!$A$4:$A$200,0)),""))</f>
        <v/>
      </c>
      <c r="AB23" s="8">
        <f>IF(B23="","",IFERROR(INDEX(Noeuds_plan!$C$4:$C$200,MATCH(B23,Noeuds_plan!$A$4:$A$200,0)),""))</f>
        <v/>
      </c>
      <c r="AC23" s="8">
        <f>IF(OR(AA23="",Y23=""),"",AA23-Y23)</f>
        <v/>
      </c>
      <c r="AD23" s="8">
        <f>IF(OR(AB23="",Z23=""),"",AB23-Z23)</f>
        <v/>
      </c>
      <c r="AE23" s="4">
        <f>IF(A23="","",IF(OR(V23&gt;1,W23&lt;Inputs!$B$11,W23&gt;Inputs!$B$12,AC23&lt;Inputs!$B$19,AD23&lt;Inputs!$B$19,P23&lt;Inputs!$B$7,P23&gt;Inputs!$B$8),"CHECK","OK"))</f>
        <v/>
      </c>
      <c r="AF23" s="4" t="n"/>
      <c r="AG23" s="4">
        <f>IF(A23="","",(1/Inputs!$B$9)*(PI()*(Inputs!$F$5/1000)^2/4)*((Inputs!$F$5/1000/4)^(2/3))*SQRT(P23))</f>
        <v/>
      </c>
      <c r="AH23" s="4">
        <f>IF(A23="","",(1/Inputs!$B$9)*(PI()*(Inputs!$F$6/1000)^2/4)*((Inputs!$F$6/1000/4)^(2/3))*SQRT(P23))</f>
        <v/>
      </c>
      <c r="AI23" s="4">
        <f>IF(A23="","",(1/Inputs!$B$9)*(PI()*(Inputs!$F$7/1000)^2/4)*((Inputs!$F$7/1000/4)^(2/3))*SQRT(P23))</f>
        <v/>
      </c>
      <c r="AJ23" s="4">
        <f>IF(A23="","",(1/Inputs!$B$9)*(PI()*(Inputs!$F$8/1000)^2/4)*((Inputs!$F$8/1000/4)^(2/3))*SQRT(P23))</f>
        <v/>
      </c>
      <c r="AK23" s="4">
        <f>IF(A23="","",(1/Inputs!$B$9)*(PI()*(Inputs!$F$9/1000)^2/4)*((Inputs!$F$9/1000/4)^(2/3))*SQRT(P23))</f>
        <v/>
      </c>
      <c r="AL23" s="4">
        <f>IF(A23="","",(1/Inputs!$B$9)*(PI()*(Inputs!$F$10/1000)^2/4)*((Inputs!$F$10/1000/4)^(2/3))*SQRT(P23))</f>
        <v/>
      </c>
      <c r="AM23" s="4">
        <f>IF(A23="","",(1/Inputs!$B$9)*(PI()*(Inputs!$F$11/1000)^2/4)*((Inputs!$F$11/1000/4)^(2/3))*SQRT(P23))</f>
        <v/>
      </c>
      <c r="AN23" s="4">
        <f>IF(A23="","",(1/Inputs!$B$9)*(PI()*(Inputs!$F$12/1000)^2/4)*((Inputs!$F$12/1000/4)^(2/3))*SQRT(P23))</f>
        <v/>
      </c>
      <c r="AO23" s="4">
        <f>IF(A23="","",(1/Inputs!$B$9)*(PI()*(Inputs!$F$13/1000)^2/4)*((Inputs!$F$13/1000/4)^(2/3))*SQRT(P23))</f>
        <v/>
      </c>
      <c r="AP23" s="4">
        <f>IF(A23="","",(1/Inputs!$B$9)*(PI()*(Inputs!$F$14/1000)^2/4)*((Inputs!$F$14/1000/4)^(2/3))*SQRT(P23))</f>
        <v/>
      </c>
    </row>
    <row r="24">
      <c r="A24" s="4" t="n"/>
      <c r="B24" s="4" t="n"/>
      <c r="C24" s="4" t="n"/>
      <c r="D24" s="4" t="n"/>
      <c r="E24" s="8" t="n"/>
      <c r="F24" s="8" t="n"/>
      <c r="G24" s="8">
        <f>SUMIFS(CB_plan!$C:$C,CB_plan!$B:$B,$A24)</f>
        <v/>
      </c>
      <c r="H24" s="8">
        <f>IF(F24="",G24,F24)</f>
        <v/>
      </c>
      <c r="I24" s="4" t="n"/>
      <c r="J24" s="8" t="n"/>
      <c r="K24" s="8">
        <f>IF(A24="","",Inputs!$B$13/((IF(J24="",Inputs!$B$18,J24)+Inputs!$B$14)^Inputs!$B$15))</f>
        <v/>
      </c>
      <c r="L24" s="8">
        <f>IF(A24="","",0.00278*IF(I24="",Inputs!$B$17,I24)*H24*K24)</f>
        <v/>
      </c>
      <c r="M24" s="8">
        <f>IF(A24="","",SUMIFS($N$4:$N$203,$D$4:$D$203,$A24))</f>
        <v/>
      </c>
      <c r="N24" s="8">
        <f>IF(A24="","",(L24+M24)*Inputs!$B$16)</f>
        <v/>
      </c>
      <c r="O24" s="8" t="n"/>
      <c r="P24" s="8">
        <f>IF(A24="","",IF(O24="",Inputs!$B$7,O24))</f>
        <v/>
      </c>
      <c r="Q24" s="4">
        <f>IF(A24="","",IF(N24/Inputs!$B$10&lt;=AG24,Inputs!$F$5,IF(N24/Inputs!$B$10&gt;AP24,"OVERSIZE",INDEX(Inputs!$F$5:$F$14,MATCH(N24/Inputs!$B$10,AG24:AP24,1)+1))))</f>
        <v/>
      </c>
      <c r="R24" s="4" t="n"/>
      <c r="S24" s="4">
        <f>IF(A24="","",IF(R24="",Q24,R24))</f>
        <v/>
      </c>
      <c r="T24" s="8">
        <f>IF(OR(S24="",S24="OVERSIZE"),"",S24/1000)</f>
        <v/>
      </c>
      <c r="U24" s="8">
        <f>IF(T24="","",(1/Inputs!$B$9)*(PI()*T24^2/4)*((T24/4)^(2/3))*SQRT(P24))</f>
        <v/>
      </c>
      <c r="V24" s="8">
        <f>IF(OR(U24="",N24=""),"",N24/(U24*Inputs!$B$10))</f>
        <v/>
      </c>
      <c r="W24" s="8">
        <f>IF(OR(T24="",N24=""),"",4*N24/(PI()*T24^2))</f>
        <v/>
      </c>
      <c r="X24" s="8" t="n"/>
      <c r="Y24" s="8">
        <f>IF(A24="","",IF(A24=Inputs!$B$6,Inputs!$B$22,IF(D24="","",IFERROR(INDEX($Z$4:$Z$203,MATCH(D24,$A$4:$A$203,0))+IF(X24="",Inputs!$B$20,X24),""))))</f>
        <v/>
      </c>
      <c r="Z24" s="8">
        <f>IF(OR(Y24="",P24="",E24=""),"",Y24+P24*E24)</f>
        <v/>
      </c>
      <c r="AA24" s="8">
        <f>IF(C24="","",IFERROR(INDEX(Noeuds_plan!$C$4:$C$200,MATCH(C24,Noeuds_plan!$A$4:$A$200,0)),""))</f>
        <v/>
      </c>
      <c r="AB24" s="8">
        <f>IF(B24="","",IFERROR(INDEX(Noeuds_plan!$C$4:$C$200,MATCH(B24,Noeuds_plan!$A$4:$A$200,0)),""))</f>
        <v/>
      </c>
      <c r="AC24" s="8">
        <f>IF(OR(AA24="",Y24=""),"",AA24-Y24)</f>
        <v/>
      </c>
      <c r="AD24" s="8">
        <f>IF(OR(AB24="",Z24=""),"",AB24-Z24)</f>
        <v/>
      </c>
      <c r="AE24" s="4">
        <f>IF(A24="","",IF(OR(V24&gt;1,W24&lt;Inputs!$B$11,W24&gt;Inputs!$B$12,AC24&lt;Inputs!$B$19,AD24&lt;Inputs!$B$19,P24&lt;Inputs!$B$7,P24&gt;Inputs!$B$8),"CHECK","OK"))</f>
        <v/>
      </c>
      <c r="AF24" s="4" t="n"/>
      <c r="AG24" s="4">
        <f>IF(A24="","",(1/Inputs!$B$9)*(PI()*(Inputs!$F$5/1000)^2/4)*((Inputs!$F$5/1000/4)^(2/3))*SQRT(P24))</f>
        <v/>
      </c>
      <c r="AH24" s="4">
        <f>IF(A24="","",(1/Inputs!$B$9)*(PI()*(Inputs!$F$6/1000)^2/4)*((Inputs!$F$6/1000/4)^(2/3))*SQRT(P24))</f>
        <v/>
      </c>
      <c r="AI24" s="4">
        <f>IF(A24="","",(1/Inputs!$B$9)*(PI()*(Inputs!$F$7/1000)^2/4)*((Inputs!$F$7/1000/4)^(2/3))*SQRT(P24))</f>
        <v/>
      </c>
      <c r="AJ24" s="4">
        <f>IF(A24="","",(1/Inputs!$B$9)*(PI()*(Inputs!$F$8/1000)^2/4)*((Inputs!$F$8/1000/4)^(2/3))*SQRT(P24))</f>
        <v/>
      </c>
      <c r="AK24" s="4">
        <f>IF(A24="","",(1/Inputs!$B$9)*(PI()*(Inputs!$F$9/1000)^2/4)*((Inputs!$F$9/1000/4)^(2/3))*SQRT(P24))</f>
        <v/>
      </c>
      <c r="AL24" s="4">
        <f>IF(A24="","",(1/Inputs!$B$9)*(PI()*(Inputs!$F$10/1000)^2/4)*((Inputs!$F$10/1000/4)^(2/3))*SQRT(P24))</f>
        <v/>
      </c>
      <c r="AM24" s="4">
        <f>IF(A24="","",(1/Inputs!$B$9)*(PI()*(Inputs!$F$11/1000)^2/4)*((Inputs!$F$11/1000/4)^(2/3))*SQRT(P24))</f>
        <v/>
      </c>
      <c r="AN24" s="4">
        <f>IF(A24="","",(1/Inputs!$B$9)*(PI()*(Inputs!$F$12/1000)^2/4)*((Inputs!$F$12/1000/4)^(2/3))*SQRT(P24))</f>
        <v/>
      </c>
      <c r="AO24" s="4">
        <f>IF(A24="","",(1/Inputs!$B$9)*(PI()*(Inputs!$F$13/1000)^2/4)*((Inputs!$F$13/1000/4)^(2/3))*SQRT(P24))</f>
        <v/>
      </c>
      <c r="AP24" s="4">
        <f>IF(A24="","",(1/Inputs!$B$9)*(PI()*(Inputs!$F$14/1000)^2/4)*((Inputs!$F$14/1000/4)^(2/3))*SQRT(P24))</f>
        <v/>
      </c>
    </row>
    <row r="25">
      <c r="A25" s="4" t="n"/>
      <c r="B25" s="4" t="n"/>
      <c r="C25" s="4" t="n"/>
      <c r="D25" s="4" t="n"/>
      <c r="E25" s="8" t="n"/>
      <c r="F25" s="8" t="n"/>
      <c r="G25" s="8">
        <f>SUMIFS(CB_plan!$C:$C,CB_plan!$B:$B,$A25)</f>
        <v/>
      </c>
      <c r="H25" s="8">
        <f>IF(F25="",G25,F25)</f>
        <v/>
      </c>
      <c r="I25" s="4" t="n"/>
      <c r="J25" s="8" t="n"/>
      <c r="K25" s="8">
        <f>IF(A25="","",Inputs!$B$13/((IF(J25="",Inputs!$B$18,J25)+Inputs!$B$14)^Inputs!$B$15))</f>
        <v/>
      </c>
      <c r="L25" s="8">
        <f>IF(A25="","",0.00278*IF(I25="",Inputs!$B$17,I25)*H25*K25)</f>
        <v/>
      </c>
      <c r="M25" s="8">
        <f>IF(A25="","",SUMIFS($N$4:$N$203,$D$4:$D$203,$A25))</f>
        <v/>
      </c>
      <c r="N25" s="8">
        <f>IF(A25="","",(L25+M25)*Inputs!$B$16)</f>
        <v/>
      </c>
      <c r="O25" s="8" t="n"/>
      <c r="P25" s="8">
        <f>IF(A25="","",IF(O25="",Inputs!$B$7,O25))</f>
        <v/>
      </c>
      <c r="Q25" s="4">
        <f>IF(A25="","",IF(N25/Inputs!$B$10&lt;=AG25,Inputs!$F$5,IF(N25/Inputs!$B$10&gt;AP25,"OVERSIZE",INDEX(Inputs!$F$5:$F$14,MATCH(N25/Inputs!$B$10,AG25:AP25,1)+1))))</f>
        <v/>
      </c>
      <c r="R25" s="4" t="n"/>
      <c r="S25" s="4">
        <f>IF(A25="","",IF(R25="",Q25,R25))</f>
        <v/>
      </c>
      <c r="T25" s="8">
        <f>IF(OR(S25="",S25="OVERSIZE"),"",S25/1000)</f>
        <v/>
      </c>
      <c r="U25" s="8">
        <f>IF(T25="","",(1/Inputs!$B$9)*(PI()*T25^2/4)*((T25/4)^(2/3))*SQRT(P25))</f>
        <v/>
      </c>
      <c r="V25" s="8">
        <f>IF(OR(U25="",N25=""),"",N25/(U25*Inputs!$B$10))</f>
        <v/>
      </c>
      <c r="W25" s="8">
        <f>IF(OR(T25="",N25=""),"",4*N25/(PI()*T25^2))</f>
        <v/>
      </c>
      <c r="X25" s="8" t="n"/>
      <c r="Y25" s="8">
        <f>IF(A25="","",IF(A25=Inputs!$B$6,Inputs!$B$22,IF(D25="","",IFERROR(INDEX($Z$4:$Z$203,MATCH(D25,$A$4:$A$203,0))+IF(X25="",Inputs!$B$20,X25),""))))</f>
        <v/>
      </c>
      <c r="Z25" s="8">
        <f>IF(OR(Y25="",P25="",E25=""),"",Y25+P25*E25)</f>
        <v/>
      </c>
      <c r="AA25" s="8">
        <f>IF(C25="","",IFERROR(INDEX(Noeuds_plan!$C$4:$C$200,MATCH(C25,Noeuds_plan!$A$4:$A$200,0)),""))</f>
        <v/>
      </c>
      <c r="AB25" s="8">
        <f>IF(B25="","",IFERROR(INDEX(Noeuds_plan!$C$4:$C$200,MATCH(B25,Noeuds_plan!$A$4:$A$200,0)),""))</f>
        <v/>
      </c>
      <c r="AC25" s="8">
        <f>IF(OR(AA25="",Y25=""),"",AA25-Y25)</f>
        <v/>
      </c>
      <c r="AD25" s="8">
        <f>IF(OR(AB25="",Z25=""),"",AB25-Z25)</f>
        <v/>
      </c>
      <c r="AE25" s="4">
        <f>IF(A25="","",IF(OR(V25&gt;1,W25&lt;Inputs!$B$11,W25&gt;Inputs!$B$12,AC25&lt;Inputs!$B$19,AD25&lt;Inputs!$B$19,P25&lt;Inputs!$B$7,P25&gt;Inputs!$B$8),"CHECK","OK"))</f>
        <v/>
      </c>
      <c r="AF25" s="4" t="n"/>
      <c r="AG25" s="4">
        <f>IF(A25="","",(1/Inputs!$B$9)*(PI()*(Inputs!$F$5/1000)^2/4)*((Inputs!$F$5/1000/4)^(2/3))*SQRT(P25))</f>
        <v/>
      </c>
      <c r="AH25" s="4">
        <f>IF(A25="","",(1/Inputs!$B$9)*(PI()*(Inputs!$F$6/1000)^2/4)*((Inputs!$F$6/1000/4)^(2/3))*SQRT(P25))</f>
        <v/>
      </c>
      <c r="AI25" s="4">
        <f>IF(A25="","",(1/Inputs!$B$9)*(PI()*(Inputs!$F$7/1000)^2/4)*((Inputs!$F$7/1000/4)^(2/3))*SQRT(P25))</f>
        <v/>
      </c>
      <c r="AJ25" s="4">
        <f>IF(A25="","",(1/Inputs!$B$9)*(PI()*(Inputs!$F$8/1000)^2/4)*((Inputs!$F$8/1000/4)^(2/3))*SQRT(P25))</f>
        <v/>
      </c>
      <c r="AK25" s="4">
        <f>IF(A25="","",(1/Inputs!$B$9)*(PI()*(Inputs!$F$9/1000)^2/4)*((Inputs!$F$9/1000/4)^(2/3))*SQRT(P25))</f>
        <v/>
      </c>
      <c r="AL25" s="4">
        <f>IF(A25="","",(1/Inputs!$B$9)*(PI()*(Inputs!$F$10/1000)^2/4)*((Inputs!$F$10/1000/4)^(2/3))*SQRT(P25))</f>
        <v/>
      </c>
      <c r="AM25" s="4">
        <f>IF(A25="","",(1/Inputs!$B$9)*(PI()*(Inputs!$F$11/1000)^2/4)*((Inputs!$F$11/1000/4)^(2/3))*SQRT(P25))</f>
        <v/>
      </c>
      <c r="AN25" s="4">
        <f>IF(A25="","",(1/Inputs!$B$9)*(PI()*(Inputs!$F$12/1000)^2/4)*((Inputs!$F$12/1000/4)^(2/3))*SQRT(P25))</f>
        <v/>
      </c>
      <c r="AO25" s="4">
        <f>IF(A25="","",(1/Inputs!$B$9)*(PI()*(Inputs!$F$13/1000)^2/4)*((Inputs!$F$13/1000/4)^(2/3))*SQRT(P25))</f>
        <v/>
      </c>
      <c r="AP25" s="4">
        <f>IF(A25="","",(1/Inputs!$B$9)*(PI()*(Inputs!$F$14/1000)^2/4)*((Inputs!$F$14/1000/4)^(2/3))*SQRT(P25))</f>
        <v/>
      </c>
    </row>
    <row r="26">
      <c r="A26" s="4" t="n"/>
      <c r="B26" s="4" t="n"/>
      <c r="C26" s="4" t="n"/>
      <c r="D26" s="4" t="n"/>
      <c r="E26" s="8" t="n"/>
      <c r="F26" s="8" t="n"/>
      <c r="G26" s="8">
        <f>SUMIFS(CB_plan!$C:$C,CB_plan!$B:$B,$A26)</f>
        <v/>
      </c>
      <c r="H26" s="8">
        <f>IF(F26="",G26,F26)</f>
        <v/>
      </c>
      <c r="I26" s="4" t="n"/>
      <c r="J26" s="8" t="n"/>
      <c r="K26" s="8">
        <f>IF(A26="","",Inputs!$B$13/((IF(J26="",Inputs!$B$18,J26)+Inputs!$B$14)^Inputs!$B$15))</f>
        <v/>
      </c>
      <c r="L26" s="8">
        <f>IF(A26="","",0.00278*IF(I26="",Inputs!$B$17,I26)*H26*K26)</f>
        <v/>
      </c>
      <c r="M26" s="8">
        <f>IF(A26="","",SUMIFS($N$4:$N$203,$D$4:$D$203,$A26))</f>
        <v/>
      </c>
      <c r="N26" s="8">
        <f>IF(A26="","",(L26+M26)*Inputs!$B$16)</f>
        <v/>
      </c>
      <c r="O26" s="8" t="n"/>
      <c r="P26" s="8">
        <f>IF(A26="","",IF(O26="",Inputs!$B$7,O26))</f>
        <v/>
      </c>
      <c r="Q26" s="4">
        <f>IF(A26="","",IF(N26/Inputs!$B$10&lt;=AG26,Inputs!$F$5,IF(N26/Inputs!$B$10&gt;AP26,"OVERSIZE",INDEX(Inputs!$F$5:$F$14,MATCH(N26/Inputs!$B$10,AG26:AP26,1)+1))))</f>
        <v/>
      </c>
      <c r="R26" s="4" t="n"/>
      <c r="S26" s="4">
        <f>IF(A26="","",IF(R26="",Q26,R26))</f>
        <v/>
      </c>
      <c r="T26" s="8">
        <f>IF(OR(S26="",S26="OVERSIZE"),"",S26/1000)</f>
        <v/>
      </c>
      <c r="U26" s="8">
        <f>IF(T26="","",(1/Inputs!$B$9)*(PI()*T26^2/4)*((T26/4)^(2/3))*SQRT(P26))</f>
        <v/>
      </c>
      <c r="V26" s="8">
        <f>IF(OR(U26="",N26=""),"",N26/(U26*Inputs!$B$10))</f>
        <v/>
      </c>
      <c r="W26" s="8">
        <f>IF(OR(T26="",N26=""),"",4*N26/(PI()*T26^2))</f>
        <v/>
      </c>
      <c r="X26" s="8" t="n"/>
      <c r="Y26" s="8">
        <f>IF(A26="","",IF(A26=Inputs!$B$6,Inputs!$B$22,IF(D26="","",IFERROR(INDEX($Z$4:$Z$203,MATCH(D26,$A$4:$A$203,0))+IF(X26="",Inputs!$B$20,X26),""))))</f>
        <v/>
      </c>
      <c r="Z26" s="8">
        <f>IF(OR(Y26="",P26="",E26=""),"",Y26+P26*E26)</f>
        <v/>
      </c>
      <c r="AA26" s="8">
        <f>IF(C26="","",IFERROR(INDEX(Noeuds_plan!$C$4:$C$200,MATCH(C26,Noeuds_plan!$A$4:$A$200,0)),""))</f>
        <v/>
      </c>
      <c r="AB26" s="8">
        <f>IF(B26="","",IFERROR(INDEX(Noeuds_plan!$C$4:$C$200,MATCH(B26,Noeuds_plan!$A$4:$A$200,0)),""))</f>
        <v/>
      </c>
      <c r="AC26" s="8">
        <f>IF(OR(AA26="",Y26=""),"",AA26-Y26)</f>
        <v/>
      </c>
      <c r="AD26" s="8">
        <f>IF(OR(AB26="",Z26=""),"",AB26-Z26)</f>
        <v/>
      </c>
      <c r="AE26" s="4">
        <f>IF(A26="","",IF(OR(V26&gt;1,W26&lt;Inputs!$B$11,W26&gt;Inputs!$B$12,AC26&lt;Inputs!$B$19,AD26&lt;Inputs!$B$19,P26&lt;Inputs!$B$7,P26&gt;Inputs!$B$8),"CHECK","OK"))</f>
        <v/>
      </c>
      <c r="AF26" s="4" t="n"/>
      <c r="AG26" s="4">
        <f>IF(A26="","",(1/Inputs!$B$9)*(PI()*(Inputs!$F$5/1000)^2/4)*((Inputs!$F$5/1000/4)^(2/3))*SQRT(P26))</f>
        <v/>
      </c>
      <c r="AH26" s="4">
        <f>IF(A26="","",(1/Inputs!$B$9)*(PI()*(Inputs!$F$6/1000)^2/4)*((Inputs!$F$6/1000/4)^(2/3))*SQRT(P26))</f>
        <v/>
      </c>
      <c r="AI26" s="4">
        <f>IF(A26="","",(1/Inputs!$B$9)*(PI()*(Inputs!$F$7/1000)^2/4)*((Inputs!$F$7/1000/4)^(2/3))*SQRT(P26))</f>
        <v/>
      </c>
      <c r="AJ26" s="4">
        <f>IF(A26="","",(1/Inputs!$B$9)*(PI()*(Inputs!$F$8/1000)^2/4)*((Inputs!$F$8/1000/4)^(2/3))*SQRT(P26))</f>
        <v/>
      </c>
      <c r="AK26" s="4">
        <f>IF(A26="","",(1/Inputs!$B$9)*(PI()*(Inputs!$F$9/1000)^2/4)*((Inputs!$F$9/1000/4)^(2/3))*SQRT(P26))</f>
        <v/>
      </c>
      <c r="AL26" s="4">
        <f>IF(A26="","",(1/Inputs!$B$9)*(PI()*(Inputs!$F$10/1000)^2/4)*((Inputs!$F$10/1000/4)^(2/3))*SQRT(P26))</f>
        <v/>
      </c>
      <c r="AM26" s="4">
        <f>IF(A26="","",(1/Inputs!$B$9)*(PI()*(Inputs!$F$11/1000)^2/4)*((Inputs!$F$11/1000/4)^(2/3))*SQRT(P26))</f>
        <v/>
      </c>
      <c r="AN26" s="4">
        <f>IF(A26="","",(1/Inputs!$B$9)*(PI()*(Inputs!$F$12/1000)^2/4)*((Inputs!$F$12/1000/4)^(2/3))*SQRT(P26))</f>
        <v/>
      </c>
      <c r="AO26" s="4">
        <f>IF(A26="","",(1/Inputs!$B$9)*(PI()*(Inputs!$F$13/1000)^2/4)*((Inputs!$F$13/1000/4)^(2/3))*SQRT(P26))</f>
        <v/>
      </c>
      <c r="AP26" s="4">
        <f>IF(A26="","",(1/Inputs!$B$9)*(PI()*(Inputs!$F$14/1000)^2/4)*((Inputs!$F$14/1000/4)^(2/3))*SQRT(P26))</f>
        <v/>
      </c>
    </row>
    <row r="27">
      <c r="A27" s="4" t="n"/>
      <c r="B27" s="4" t="n"/>
      <c r="C27" s="4" t="n"/>
      <c r="D27" s="4" t="n"/>
      <c r="E27" s="8" t="n"/>
      <c r="F27" s="8" t="n"/>
      <c r="G27" s="8">
        <f>SUMIFS(CB_plan!$C:$C,CB_plan!$B:$B,$A27)</f>
        <v/>
      </c>
      <c r="H27" s="8">
        <f>IF(F27="",G27,F27)</f>
        <v/>
      </c>
      <c r="I27" s="4" t="n"/>
      <c r="J27" s="8" t="n"/>
      <c r="K27" s="8">
        <f>IF(A27="","",Inputs!$B$13/((IF(J27="",Inputs!$B$18,J27)+Inputs!$B$14)^Inputs!$B$15))</f>
        <v/>
      </c>
      <c r="L27" s="8">
        <f>IF(A27="","",0.00278*IF(I27="",Inputs!$B$17,I27)*H27*K27)</f>
        <v/>
      </c>
      <c r="M27" s="8">
        <f>IF(A27="","",SUMIFS($N$4:$N$203,$D$4:$D$203,$A27))</f>
        <v/>
      </c>
      <c r="N27" s="8">
        <f>IF(A27="","",(L27+M27)*Inputs!$B$16)</f>
        <v/>
      </c>
      <c r="O27" s="8" t="n"/>
      <c r="P27" s="8">
        <f>IF(A27="","",IF(O27="",Inputs!$B$7,O27))</f>
        <v/>
      </c>
      <c r="Q27" s="4">
        <f>IF(A27="","",IF(N27/Inputs!$B$10&lt;=AG27,Inputs!$F$5,IF(N27/Inputs!$B$10&gt;AP27,"OVERSIZE",INDEX(Inputs!$F$5:$F$14,MATCH(N27/Inputs!$B$10,AG27:AP27,1)+1))))</f>
        <v/>
      </c>
      <c r="R27" s="4" t="n"/>
      <c r="S27" s="4">
        <f>IF(A27="","",IF(R27="",Q27,R27))</f>
        <v/>
      </c>
      <c r="T27" s="8">
        <f>IF(OR(S27="",S27="OVERSIZE"),"",S27/1000)</f>
        <v/>
      </c>
      <c r="U27" s="8">
        <f>IF(T27="","",(1/Inputs!$B$9)*(PI()*T27^2/4)*((T27/4)^(2/3))*SQRT(P27))</f>
        <v/>
      </c>
      <c r="V27" s="8">
        <f>IF(OR(U27="",N27=""),"",N27/(U27*Inputs!$B$10))</f>
        <v/>
      </c>
      <c r="W27" s="8">
        <f>IF(OR(T27="",N27=""),"",4*N27/(PI()*T27^2))</f>
        <v/>
      </c>
      <c r="X27" s="8" t="n"/>
      <c r="Y27" s="8">
        <f>IF(A27="","",IF(A27=Inputs!$B$6,Inputs!$B$22,IF(D27="","",IFERROR(INDEX($Z$4:$Z$203,MATCH(D27,$A$4:$A$203,0))+IF(X27="",Inputs!$B$20,X27),""))))</f>
        <v/>
      </c>
      <c r="Z27" s="8">
        <f>IF(OR(Y27="",P27="",E27=""),"",Y27+P27*E27)</f>
        <v/>
      </c>
      <c r="AA27" s="8">
        <f>IF(C27="","",IFERROR(INDEX(Noeuds_plan!$C$4:$C$200,MATCH(C27,Noeuds_plan!$A$4:$A$200,0)),""))</f>
        <v/>
      </c>
      <c r="AB27" s="8">
        <f>IF(B27="","",IFERROR(INDEX(Noeuds_plan!$C$4:$C$200,MATCH(B27,Noeuds_plan!$A$4:$A$200,0)),""))</f>
        <v/>
      </c>
      <c r="AC27" s="8">
        <f>IF(OR(AA27="",Y27=""),"",AA27-Y27)</f>
        <v/>
      </c>
      <c r="AD27" s="8">
        <f>IF(OR(AB27="",Z27=""),"",AB27-Z27)</f>
        <v/>
      </c>
      <c r="AE27" s="4">
        <f>IF(A27="","",IF(OR(V27&gt;1,W27&lt;Inputs!$B$11,W27&gt;Inputs!$B$12,AC27&lt;Inputs!$B$19,AD27&lt;Inputs!$B$19,P27&lt;Inputs!$B$7,P27&gt;Inputs!$B$8),"CHECK","OK"))</f>
        <v/>
      </c>
      <c r="AF27" s="4" t="n"/>
      <c r="AG27" s="4">
        <f>IF(A27="","",(1/Inputs!$B$9)*(PI()*(Inputs!$F$5/1000)^2/4)*((Inputs!$F$5/1000/4)^(2/3))*SQRT(P27))</f>
        <v/>
      </c>
      <c r="AH27" s="4">
        <f>IF(A27="","",(1/Inputs!$B$9)*(PI()*(Inputs!$F$6/1000)^2/4)*((Inputs!$F$6/1000/4)^(2/3))*SQRT(P27))</f>
        <v/>
      </c>
      <c r="AI27" s="4">
        <f>IF(A27="","",(1/Inputs!$B$9)*(PI()*(Inputs!$F$7/1000)^2/4)*((Inputs!$F$7/1000/4)^(2/3))*SQRT(P27))</f>
        <v/>
      </c>
      <c r="AJ27" s="4">
        <f>IF(A27="","",(1/Inputs!$B$9)*(PI()*(Inputs!$F$8/1000)^2/4)*((Inputs!$F$8/1000/4)^(2/3))*SQRT(P27))</f>
        <v/>
      </c>
      <c r="AK27" s="4">
        <f>IF(A27="","",(1/Inputs!$B$9)*(PI()*(Inputs!$F$9/1000)^2/4)*((Inputs!$F$9/1000/4)^(2/3))*SQRT(P27))</f>
        <v/>
      </c>
      <c r="AL27" s="4">
        <f>IF(A27="","",(1/Inputs!$B$9)*(PI()*(Inputs!$F$10/1000)^2/4)*((Inputs!$F$10/1000/4)^(2/3))*SQRT(P27))</f>
        <v/>
      </c>
      <c r="AM27" s="4">
        <f>IF(A27="","",(1/Inputs!$B$9)*(PI()*(Inputs!$F$11/1000)^2/4)*((Inputs!$F$11/1000/4)^(2/3))*SQRT(P27))</f>
        <v/>
      </c>
      <c r="AN27" s="4">
        <f>IF(A27="","",(1/Inputs!$B$9)*(PI()*(Inputs!$F$12/1000)^2/4)*((Inputs!$F$12/1000/4)^(2/3))*SQRT(P27))</f>
        <v/>
      </c>
      <c r="AO27" s="4">
        <f>IF(A27="","",(1/Inputs!$B$9)*(PI()*(Inputs!$F$13/1000)^2/4)*((Inputs!$F$13/1000/4)^(2/3))*SQRT(P27))</f>
        <v/>
      </c>
      <c r="AP27" s="4">
        <f>IF(A27="","",(1/Inputs!$B$9)*(PI()*(Inputs!$F$14/1000)^2/4)*((Inputs!$F$14/1000/4)^(2/3))*SQRT(P27))</f>
        <v/>
      </c>
    </row>
    <row r="28">
      <c r="A28" s="4" t="n"/>
      <c r="B28" s="4" t="n"/>
      <c r="C28" s="4" t="n"/>
      <c r="D28" s="4" t="n"/>
      <c r="E28" s="8" t="n"/>
      <c r="F28" s="8" t="n"/>
      <c r="G28" s="8">
        <f>SUMIFS(CB_plan!$C:$C,CB_plan!$B:$B,$A28)</f>
        <v/>
      </c>
      <c r="H28" s="8">
        <f>IF(F28="",G28,F28)</f>
        <v/>
      </c>
      <c r="I28" s="4" t="n"/>
      <c r="J28" s="8" t="n"/>
      <c r="K28" s="8">
        <f>IF(A28="","",Inputs!$B$13/((IF(J28="",Inputs!$B$18,J28)+Inputs!$B$14)^Inputs!$B$15))</f>
        <v/>
      </c>
      <c r="L28" s="8">
        <f>IF(A28="","",0.00278*IF(I28="",Inputs!$B$17,I28)*H28*K28)</f>
        <v/>
      </c>
      <c r="M28" s="8">
        <f>IF(A28="","",SUMIFS($N$4:$N$203,$D$4:$D$203,$A28))</f>
        <v/>
      </c>
      <c r="N28" s="8">
        <f>IF(A28="","",(L28+M28)*Inputs!$B$16)</f>
        <v/>
      </c>
      <c r="O28" s="8" t="n"/>
      <c r="P28" s="8">
        <f>IF(A28="","",IF(O28="",Inputs!$B$7,O28))</f>
        <v/>
      </c>
      <c r="Q28" s="4">
        <f>IF(A28="","",IF(N28/Inputs!$B$10&lt;=AG28,Inputs!$F$5,IF(N28/Inputs!$B$10&gt;AP28,"OVERSIZE",INDEX(Inputs!$F$5:$F$14,MATCH(N28/Inputs!$B$10,AG28:AP28,1)+1))))</f>
        <v/>
      </c>
      <c r="R28" s="4" t="n"/>
      <c r="S28" s="4">
        <f>IF(A28="","",IF(R28="",Q28,R28))</f>
        <v/>
      </c>
      <c r="T28" s="8">
        <f>IF(OR(S28="",S28="OVERSIZE"),"",S28/1000)</f>
        <v/>
      </c>
      <c r="U28" s="8">
        <f>IF(T28="","",(1/Inputs!$B$9)*(PI()*T28^2/4)*((T28/4)^(2/3))*SQRT(P28))</f>
        <v/>
      </c>
      <c r="V28" s="8">
        <f>IF(OR(U28="",N28=""),"",N28/(U28*Inputs!$B$10))</f>
        <v/>
      </c>
      <c r="W28" s="8">
        <f>IF(OR(T28="",N28=""),"",4*N28/(PI()*T28^2))</f>
        <v/>
      </c>
      <c r="X28" s="8" t="n"/>
      <c r="Y28" s="8">
        <f>IF(A28="","",IF(A28=Inputs!$B$6,Inputs!$B$22,IF(D28="","",IFERROR(INDEX($Z$4:$Z$203,MATCH(D28,$A$4:$A$203,0))+IF(X28="",Inputs!$B$20,X28),""))))</f>
        <v/>
      </c>
      <c r="Z28" s="8">
        <f>IF(OR(Y28="",P28="",E28=""),"",Y28+P28*E28)</f>
        <v/>
      </c>
      <c r="AA28" s="8">
        <f>IF(C28="","",IFERROR(INDEX(Noeuds_plan!$C$4:$C$200,MATCH(C28,Noeuds_plan!$A$4:$A$200,0)),""))</f>
        <v/>
      </c>
      <c r="AB28" s="8">
        <f>IF(B28="","",IFERROR(INDEX(Noeuds_plan!$C$4:$C$200,MATCH(B28,Noeuds_plan!$A$4:$A$200,0)),""))</f>
        <v/>
      </c>
      <c r="AC28" s="8">
        <f>IF(OR(AA28="",Y28=""),"",AA28-Y28)</f>
        <v/>
      </c>
      <c r="AD28" s="8">
        <f>IF(OR(AB28="",Z28=""),"",AB28-Z28)</f>
        <v/>
      </c>
      <c r="AE28" s="4">
        <f>IF(A28="","",IF(OR(V28&gt;1,W28&lt;Inputs!$B$11,W28&gt;Inputs!$B$12,AC28&lt;Inputs!$B$19,AD28&lt;Inputs!$B$19,P28&lt;Inputs!$B$7,P28&gt;Inputs!$B$8),"CHECK","OK"))</f>
        <v/>
      </c>
      <c r="AF28" s="4" t="n"/>
      <c r="AG28" s="4">
        <f>IF(A28="","",(1/Inputs!$B$9)*(PI()*(Inputs!$F$5/1000)^2/4)*((Inputs!$F$5/1000/4)^(2/3))*SQRT(P28))</f>
        <v/>
      </c>
      <c r="AH28" s="4">
        <f>IF(A28="","",(1/Inputs!$B$9)*(PI()*(Inputs!$F$6/1000)^2/4)*((Inputs!$F$6/1000/4)^(2/3))*SQRT(P28))</f>
        <v/>
      </c>
      <c r="AI28" s="4">
        <f>IF(A28="","",(1/Inputs!$B$9)*(PI()*(Inputs!$F$7/1000)^2/4)*((Inputs!$F$7/1000/4)^(2/3))*SQRT(P28))</f>
        <v/>
      </c>
      <c r="AJ28" s="4">
        <f>IF(A28="","",(1/Inputs!$B$9)*(PI()*(Inputs!$F$8/1000)^2/4)*((Inputs!$F$8/1000/4)^(2/3))*SQRT(P28))</f>
        <v/>
      </c>
      <c r="AK28" s="4">
        <f>IF(A28="","",(1/Inputs!$B$9)*(PI()*(Inputs!$F$9/1000)^2/4)*((Inputs!$F$9/1000/4)^(2/3))*SQRT(P28))</f>
        <v/>
      </c>
      <c r="AL28" s="4">
        <f>IF(A28="","",(1/Inputs!$B$9)*(PI()*(Inputs!$F$10/1000)^2/4)*((Inputs!$F$10/1000/4)^(2/3))*SQRT(P28))</f>
        <v/>
      </c>
      <c r="AM28" s="4">
        <f>IF(A28="","",(1/Inputs!$B$9)*(PI()*(Inputs!$F$11/1000)^2/4)*((Inputs!$F$11/1000/4)^(2/3))*SQRT(P28))</f>
        <v/>
      </c>
      <c r="AN28" s="4">
        <f>IF(A28="","",(1/Inputs!$B$9)*(PI()*(Inputs!$F$12/1000)^2/4)*((Inputs!$F$12/1000/4)^(2/3))*SQRT(P28))</f>
        <v/>
      </c>
      <c r="AO28" s="4">
        <f>IF(A28="","",(1/Inputs!$B$9)*(PI()*(Inputs!$F$13/1000)^2/4)*((Inputs!$F$13/1000/4)^(2/3))*SQRT(P28))</f>
        <v/>
      </c>
      <c r="AP28" s="4">
        <f>IF(A28="","",(1/Inputs!$B$9)*(PI()*(Inputs!$F$14/1000)^2/4)*((Inputs!$F$14/1000/4)^(2/3))*SQRT(P28))</f>
        <v/>
      </c>
    </row>
    <row r="29">
      <c r="A29" s="4" t="n"/>
      <c r="B29" s="4" t="n"/>
      <c r="C29" s="4" t="n"/>
      <c r="D29" s="4" t="n"/>
      <c r="E29" s="8" t="n"/>
      <c r="F29" s="8" t="n"/>
      <c r="G29" s="8">
        <f>SUMIFS(CB_plan!$C:$C,CB_plan!$B:$B,$A29)</f>
        <v/>
      </c>
      <c r="H29" s="8">
        <f>IF(F29="",G29,F29)</f>
        <v/>
      </c>
      <c r="I29" s="4" t="n"/>
      <c r="J29" s="8" t="n"/>
      <c r="K29" s="8">
        <f>IF(A29="","",Inputs!$B$13/((IF(J29="",Inputs!$B$18,J29)+Inputs!$B$14)^Inputs!$B$15))</f>
        <v/>
      </c>
      <c r="L29" s="8">
        <f>IF(A29="","",0.00278*IF(I29="",Inputs!$B$17,I29)*H29*K29)</f>
        <v/>
      </c>
      <c r="M29" s="8">
        <f>IF(A29="","",SUMIFS($N$4:$N$203,$D$4:$D$203,$A29))</f>
        <v/>
      </c>
      <c r="N29" s="8">
        <f>IF(A29="","",(L29+M29)*Inputs!$B$16)</f>
        <v/>
      </c>
      <c r="O29" s="8" t="n"/>
      <c r="P29" s="8">
        <f>IF(A29="","",IF(O29="",Inputs!$B$7,O29))</f>
        <v/>
      </c>
      <c r="Q29" s="4">
        <f>IF(A29="","",IF(N29/Inputs!$B$10&lt;=AG29,Inputs!$F$5,IF(N29/Inputs!$B$10&gt;AP29,"OVERSIZE",INDEX(Inputs!$F$5:$F$14,MATCH(N29/Inputs!$B$10,AG29:AP29,1)+1))))</f>
        <v/>
      </c>
      <c r="R29" s="4" t="n"/>
      <c r="S29" s="4">
        <f>IF(A29="","",IF(R29="",Q29,R29))</f>
        <v/>
      </c>
      <c r="T29" s="8">
        <f>IF(OR(S29="",S29="OVERSIZE"),"",S29/1000)</f>
        <v/>
      </c>
      <c r="U29" s="8">
        <f>IF(T29="","",(1/Inputs!$B$9)*(PI()*T29^2/4)*((T29/4)^(2/3))*SQRT(P29))</f>
        <v/>
      </c>
      <c r="V29" s="8">
        <f>IF(OR(U29="",N29=""),"",N29/(U29*Inputs!$B$10))</f>
        <v/>
      </c>
      <c r="W29" s="8">
        <f>IF(OR(T29="",N29=""),"",4*N29/(PI()*T29^2))</f>
        <v/>
      </c>
      <c r="X29" s="8" t="n"/>
      <c r="Y29" s="8">
        <f>IF(A29="","",IF(A29=Inputs!$B$6,Inputs!$B$22,IF(D29="","",IFERROR(INDEX($Z$4:$Z$203,MATCH(D29,$A$4:$A$203,0))+IF(X29="",Inputs!$B$20,X29),""))))</f>
        <v/>
      </c>
      <c r="Z29" s="8">
        <f>IF(OR(Y29="",P29="",E29=""),"",Y29+P29*E29)</f>
        <v/>
      </c>
      <c r="AA29" s="8">
        <f>IF(C29="","",IFERROR(INDEX(Noeuds_plan!$C$4:$C$200,MATCH(C29,Noeuds_plan!$A$4:$A$200,0)),""))</f>
        <v/>
      </c>
      <c r="AB29" s="8">
        <f>IF(B29="","",IFERROR(INDEX(Noeuds_plan!$C$4:$C$200,MATCH(B29,Noeuds_plan!$A$4:$A$200,0)),""))</f>
        <v/>
      </c>
      <c r="AC29" s="8">
        <f>IF(OR(AA29="",Y29=""),"",AA29-Y29)</f>
        <v/>
      </c>
      <c r="AD29" s="8">
        <f>IF(OR(AB29="",Z29=""),"",AB29-Z29)</f>
        <v/>
      </c>
      <c r="AE29" s="4">
        <f>IF(A29="","",IF(OR(V29&gt;1,W29&lt;Inputs!$B$11,W29&gt;Inputs!$B$12,AC29&lt;Inputs!$B$19,AD29&lt;Inputs!$B$19,P29&lt;Inputs!$B$7,P29&gt;Inputs!$B$8),"CHECK","OK"))</f>
        <v/>
      </c>
      <c r="AF29" s="4" t="n"/>
      <c r="AG29" s="4">
        <f>IF(A29="","",(1/Inputs!$B$9)*(PI()*(Inputs!$F$5/1000)^2/4)*((Inputs!$F$5/1000/4)^(2/3))*SQRT(P29))</f>
        <v/>
      </c>
      <c r="AH29" s="4">
        <f>IF(A29="","",(1/Inputs!$B$9)*(PI()*(Inputs!$F$6/1000)^2/4)*((Inputs!$F$6/1000/4)^(2/3))*SQRT(P29))</f>
        <v/>
      </c>
      <c r="AI29" s="4">
        <f>IF(A29="","",(1/Inputs!$B$9)*(PI()*(Inputs!$F$7/1000)^2/4)*((Inputs!$F$7/1000/4)^(2/3))*SQRT(P29))</f>
        <v/>
      </c>
      <c r="AJ29" s="4">
        <f>IF(A29="","",(1/Inputs!$B$9)*(PI()*(Inputs!$F$8/1000)^2/4)*((Inputs!$F$8/1000/4)^(2/3))*SQRT(P29))</f>
        <v/>
      </c>
      <c r="AK29" s="4">
        <f>IF(A29="","",(1/Inputs!$B$9)*(PI()*(Inputs!$F$9/1000)^2/4)*((Inputs!$F$9/1000/4)^(2/3))*SQRT(P29))</f>
        <v/>
      </c>
      <c r="AL29" s="4">
        <f>IF(A29="","",(1/Inputs!$B$9)*(PI()*(Inputs!$F$10/1000)^2/4)*((Inputs!$F$10/1000/4)^(2/3))*SQRT(P29))</f>
        <v/>
      </c>
      <c r="AM29" s="4">
        <f>IF(A29="","",(1/Inputs!$B$9)*(PI()*(Inputs!$F$11/1000)^2/4)*((Inputs!$F$11/1000/4)^(2/3))*SQRT(P29))</f>
        <v/>
      </c>
      <c r="AN29" s="4">
        <f>IF(A29="","",(1/Inputs!$B$9)*(PI()*(Inputs!$F$12/1000)^2/4)*((Inputs!$F$12/1000/4)^(2/3))*SQRT(P29))</f>
        <v/>
      </c>
      <c r="AO29" s="4">
        <f>IF(A29="","",(1/Inputs!$B$9)*(PI()*(Inputs!$F$13/1000)^2/4)*((Inputs!$F$13/1000/4)^(2/3))*SQRT(P29))</f>
        <v/>
      </c>
      <c r="AP29" s="4">
        <f>IF(A29="","",(1/Inputs!$B$9)*(PI()*(Inputs!$F$14/1000)^2/4)*((Inputs!$F$14/1000/4)^(2/3))*SQRT(P29))</f>
        <v/>
      </c>
    </row>
    <row r="30">
      <c r="A30" s="4" t="n"/>
      <c r="B30" s="4" t="n"/>
      <c r="C30" s="4" t="n"/>
      <c r="D30" s="4" t="n"/>
      <c r="E30" s="8" t="n"/>
      <c r="F30" s="8" t="n"/>
      <c r="G30" s="8">
        <f>SUMIFS(CB_plan!$C:$C,CB_plan!$B:$B,$A30)</f>
        <v/>
      </c>
      <c r="H30" s="8">
        <f>IF(F30="",G30,F30)</f>
        <v/>
      </c>
      <c r="I30" s="4" t="n"/>
      <c r="J30" s="8" t="n"/>
      <c r="K30" s="8">
        <f>IF(A30="","",Inputs!$B$13/((IF(J30="",Inputs!$B$18,J30)+Inputs!$B$14)^Inputs!$B$15))</f>
        <v/>
      </c>
      <c r="L30" s="8">
        <f>IF(A30="","",0.00278*IF(I30="",Inputs!$B$17,I30)*H30*K30)</f>
        <v/>
      </c>
      <c r="M30" s="8">
        <f>IF(A30="","",SUMIFS($N$4:$N$203,$D$4:$D$203,$A30))</f>
        <v/>
      </c>
      <c r="N30" s="8">
        <f>IF(A30="","",(L30+M30)*Inputs!$B$16)</f>
        <v/>
      </c>
      <c r="O30" s="8" t="n"/>
      <c r="P30" s="8">
        <f>IF(A30="","",IF(O30="",Inputs!$B$7,O30))</f>
        <v/>
      </c>
      <c r="Q30" s="4">
        <f>IF(A30="","",IF(N30/Inputs!$B$10&lt;=AG30,Inputs!$F$5,IF(N30/Inputs!$B$10&gt;AP30,"OVERSIZE",INDEX(Inputs!$F$5:$F$14,MATCH(N30/Inputs!$B$10,AG30:AP30,1)+1))))</f>
        <v/>
      </c>
      <c r="R30" s="4" t="n"/>
      <c r="S30" s="4">
        <f>IF(A30="","",IF(R30="",Q30,R30))</f>
        <v/>
      </c>
      <c r="T30" s="8">
        <f>IF(OR(S30="",S30="OVERSIZE"),"",S30/1000)</f>
        <v/>
      </c>
      <c r="U30" s="8">
        <f>IF(T30="","",(1/Inputs!$B$9)*(PI()*T30^2/4)*((T30/4)^(2/3))*SQRT(P30))</f>
        <v/>
      </c>
      <c r="V30" s="8">
        <f>IF(OR(U30="",N30=""),"",N30/(U30*Inputs!$B$10))</f>
        <v/>
      </c>
      <c r="W30" s="8">
        <f>IF(OR(T30="",N30=""),"",4*N30/(PI()*T30^2))</f>
        <v/>
      </c>
      <c r="X30" s="8" t="n"/>
      <c r="Y30" s="8">
        <f>IF(A30="","",IF(A30=Inputs!$B$6,Inputs!$B$22,IF(D30="","",IFERROR(INDEX($Z$4:$Z$203,MATCH(D30,$A$4:$A$203,0))+IF(X30="",Inputs!$B$20,X30),""))))</f>
        <v/>
      </c>
      <c r="Z30" s="8">
        <f>IF(OR(Y30="",P30="",E30=""),"",Y30+P30*E30)</f>
        <v/>
      </c>
      <c r="AA30" s="8">
        <f>IF(C30="","",IFERROR(INDEX(Noeuds_plan!$C$4:$C$200,MATCH(C30,Noeuds_plan!$A$4:$A$200,0)),""))</f>
        <v/>
      </c>
      <c r="AB30" s="8">
        <f>IF(B30="","",IFERROR(INDEX(Noeuds_plan!$C$4:$C$200,MATCH(B30,Noeuds_plan!$A$4:$A$200,0)),""))</f>
        <v/>
      </c>
      <c r="AC30" s="8">
        <f>IF(OR(AA30="",Y30=""),"",AA30-Y30)</f>
        <v/>
      </c>
      <c r="AD30" s="8">
        <f>IF(OR(AB30="",Z30=""),"",AB30-Z30)</f>
        <v/>
      </c>
      <c r="AE30" s="4">
        <f>IF(A30="","",IF(OR(V30&gt;1,W30&lt;Inputs!$B$11,W30&gt;Inputs!$B$12,AC30&lt;Inputs!$B$19,AD30&lt;Inputs!$B$19,P30&lt;Inputs!$B$7,P30&gt;Inputs!$B$8),"CHECK","OK"))</f>
        <v/>
      </c>
      <c r="AF30" s="4" t="n"/>
      <c r="AG30" s="4">
        <f>IF(A30="","",(1/Inputs!$B$9)*(PI()*(Inputs!$F$5/1000)^2/4)*((Inputs!$F$5/1000/4)^(2/3))*SQRT(P30))</f>
        <v/>
      </c>
      <c r="AH30" s="4">
        <f>IF(A30="","",(1/Inputs!$B$9)*(PI()*(Inputs!$F$6/1000)^2/4)*((Inputs!$F$6/1000/4)^(2/3))*SQRT(P30))</f>
        <v/>
      </c>
      <c r="AI30" s="4">
        <f>IF(A30="","",(1/Inputs!$B$9)*(PI()*(Inputs!$F$7/1000)^2/4)*((Inputs!$F$7/1000/4)^(2/3))*SQRT(P30))</f>
        <v/>
      </c>
      <c r="AJ30" s="4">
        <f>IF(A30="","",(1/Inputs!$B$9)*(PI()*(Inputs!$F$8/1000)^2/4)*((Inputs!$F$8/1000/4)^(2/3))*SQRT(P30))</f>
        <v/>
      </c>
      <c r="AK30" s="4">
        <f>IF(A30="","",(1/Inputs!$B$9)*(PI()*(Inputs!$F$9/1000)^2/4)*((Inputs!$F$9/1000/4)^(2/3))*SQRT(P30))</f>
        <v/>
      </c>
      <c r="AL30" s="4">
        <f>IF(A30="","",(1/Inputs!$B$9)*(PI()*(Inputs!$F$10/1000)^2/4)*((Inputs!$F$10/1000/4)^(2/3))*SQRT(P30))</f>
        <v/>
      </c>
      <c r="AM30" s="4">
        <f>IF(A30="","",(1/Inputs!$B$9)*(PI()*(Inputs!$F$11/1000)^2/4)*((Inputs!$F$11/1000/4)^(2/3))*SQRT(P30))</f>
        <v/>
      </c>
      <c r="AN30" s="4">
        <f>IF(A30="","",(1/Inputs!$B$9)*(PI()*(Inputs!$F$12/1000)^2/4)*((Inputs!$F$12/1000/4)^(2/3))*SQRT(P30))</f>
        <v/>
      </c>
      <c r="AO30" s="4">
        <f>IF(A30="","",(1/Inputs!$B$9)*(PI()*(Inputs!$F$13/1000)^2/4)*((Inputs!$F$13/1000/4)^(2/3))*SQRT(P30))</f>
        <v/>
      </c>
      <c r="AP30" s="4">
        <f>IF(A30="","",(1/Inputs!$B$9)*(PI()*(Inputs!$F$14/1000)^2/4)*((Inputs!$F$14/1000/4)^(2/3))*SQRT(P30))</f>
        <v/>
      </c>
    </row>
    <row r="31">
      <c r="A31" s="4" t="n"/>
      <c r="B31" s="4" t="n"/>
      <c r="C31" s="4" t="n"/>
      <c r="D31" s="4" t="n"/>
      <c r="E31" s="8" t="n"/>
      <c r="F31" s="8" t="n"/>
      <c r="G31" s="8">
        <f>SUMIFS(CB_plan!$C:$C,CB_plan!$B:$B,$A31)</f>
        <v/>
      </c>
      <c r="H31" s="8">
        <f>IF(F31="",G31,F31)</f>
        <v/>
      </c>
      <c r="I31" s="4" t="n"/>
      <c r="J31" s="8" t="n"/>
      <c r="K31" s="8">
        <f>IF(A31="","",Inputs!$B$13/((IF(J31="",Inputs!$B$18,J31)+Inputs!$B$14)^Inputs!$B$15))</f>
        <v/>
      </c>
      <c r="L31" s="8">
        <f>IF(A31="","",0.00278*IF(I31="",Inputs!$B$17,I31)*H31*K31)</f>
        <v/>
      </c>
      <c r="M31" s="8">
        <f>IF(A31="","",SUMIFS($N$4:$N$203,$D$4:$D$203,$A31))</f>
        <v/>
      </c>
      <c r="N31" s="8">
        <f>IF(A31="","",(L31+M31)*Inputs!$B$16)</f>
        <v/>
      </c>
      <c r="O31" s="8" t="n"/>
      <c r="P31" s="8">
        <f>IF(A31="","",IF(O31="",Inputs!$B$7,O31))</f>
        <v/>
      </c>
      <c r="Q31" s="4">
        <f>IF(A31="","",IF(N31/Inputs!$B$10&lt;=AG31,Inputs!$F$5,IF(N31/Inputs!$B$10&gt;AP31,"OVERSIZE",INDEX(Inputs!$F$5:$F$14,MATCH(N31/Inputs!$B$10,AG31:AP31,1)+1))))</f>
        <v/>
      </c>
      <c r="R31" s="4" t="n"/>
      <c r="S31" s="4">
        <f>IF(A31="","",IF(R31="",Q31,R31))</f>
        <v/>
      </c>
      <c r="T31" s="8">
        <f>IF(OR(S31="",S31="OVERSIZE"),"",S31/1000)</f>
        <v/>
      </c>
      <c r="U31" s="8">
        <f>IF(T31="","",(1/Inputs!$B$9)*(PI()*T31^2/4)*((T31/4)^(2/3))*SQRT(P31))</f>
        <v/>
      </c>
      <c r="V31" s="8">
        <f>IF(OR(U31="",N31=""),"",N31/(U31*Inputs!$B$10))</f>
        <v/>
      </c>
      <c r="W31" s="8">
        <f>IF(OR(T31="",N31=""),"",4*N31/(PI()*T31^2))</f>
        <v/>
      </c>
      <c r="X31" s="8" t="n"/>
      <c r="Y31" s="8">
        <f>IF(A31="","",IF(A31=Inputs!$B$6,Inputs!$B$22,IF(D31="","",IFERROR(INDEX($Z$4:$Z$203,MATCH(D31,$A$4:$A$203,0))+IF(X31="",Inputs!$B$20,X31),""))))</f>
        <v/>
      </c>
      <c r="Z31" s="8">
        <f>IF(OR(Y31="",P31="",E31=""),"",Y31+P31*E31)</f>
        <v/>
      </c>
      <c r="AA31" s="8">
        <f>IF(C31="","",IFERROR(INDEX(Noeuds_plan!$C$4:$C$200,MATCH(C31,Noeuds_plan!$A$4:$A$200,0)),""))</f>
        <v/>
      </c>
      <c r="AB31" s="8">
        <f>IF(B31="","",IFERROR(INDEX(Noeuds_plan!$C$4:$C$200,MATCH(B31,Noeuds_plan!$A$4:$A$200,0)),""))</f>
        <v/>
      </c>
      <c r="AC31" s="8">
        <f>IF(OR(AA31="",Y31=""),"",AA31-Y31)</f>
        <v/>
      </c>
      <c r="AD31" s="8">
        <f>IF(OR(AB31="",Z31=""),"",AB31-Z31)</f>
        <v/>
      </c>
      <c r="AE31" s="4">
        <f>IF(A31="","",IF(OR(V31&gt;1,W31&lt;Inputs!$B$11,W31&gt;Inputs!$B$12,AC31&lt;Inputs!$B$19,AD31&lt;Inputs!$B$19,P31&lt;Inputs!$B$7,P31&gt;Inputs!$B$8),"CHECK","OK"))</f>
        <v/>
      </c>
      <c r="AF31" s="4" t="n"/>
      <c r="AG31" s="4">
        <f>IF(A31="","",(1/Inputs!$B$9)*(PI()*(Inputs!$F$5/1000)^2/4)*((Inputs!$F$5/1000/4)^(2/3))*SQRT(P31))</f>
        <v/>
      </c>
      <c r="AH31" s="4">
        <f>IF(A31="","",(1/Inputs!$B$9)*(PI()*(Inputs!$F$6/1000)^2/4)*((Inputs!$F$6/1000/4)^(2/3))*SQRT(P31))</f>
        <v/>
      </c>
      <c r="AI31" s="4">
        <f>IF(A31="","",(1/Inputs!$B$9)*(PI()*(Inputs!$F$7/1000)^2/4)*((Inputs!$F$7/1000/4)^(2/3))*SQRT(P31))</f>
        <v/>
      </c>
      <c r="AJ31" s="4">
        <f>IF(A31="","",(1/Inputs!$B$9)*(PI()*(Inputs!$F$8/1000)^2/4)*((Inputs!$F$8/1000/4)^(2/3))*SQRT(P31))</f>
        <v/>
      </c>
      <c r="AK31" s="4">
        <f>IF(A31="","",(1/Inputs!$B$9)*(PI()*(Inputs!$F$9/1000)^2/4)*((Inputs!$F$9/1000/4)^(2/3))*SQRT(P31))</f>
        <v/>
      </c>
      <c r="AL31" s="4">
        <f>IF(A31="","",(1/Inputs!$B$9)*(PI()*(Inputs!$F$10/1000)^2/4)*((Inputs!$F$10/1000/4)^(2/3))*SQRT(P31))</f>
        <v/>
      </c>
      <c r="AM31" s="4">
        <f>IF(A31="","",(1/Inputs!$B$9)*(PI()*(Inputs!$F$11/1000)^2/4)*((Inputs!$F$11/1000/4)^(2/3))*SQRT(P31))</f>
        <v/>
      </c>
      <c r="AN31" s="4">
        <f>IF(A31="","",(1/Inputs!$B$9)*(PI()*(Inputs!$F$12/1000)^2/4)*((Inputs!$F$12/1000/4)^(2/3))*SQRT(P31))</f>
        <v/>
      </c>
      <c r="AO31" s="4">
        <f>IF(A31="","",(1/Inputs!$B$9)*(PI()*(Inputs!$F$13/1000)^2/4)*((Inputs!$F$13/1000/4)^(2/3))*SQRT(P31))</f>
        <v/>
      </c>
      <c r="AP31" s="4">
        <f>IF(A31="","",(1/Inputs!$B$9)*(PI()*(Inputs!$F$14/1000)^2/4)*((Inputs!$F$14/1000/4)^(2/3))*SQRT(P31))</f>
        <v/>
      </c>
    </row>
    <row r="32">
      <c r="A32" s="4" t="n"/>
      <c r="B32" s="4" t="n"/>
      <c r="C32" s="4" t="n"/>
      <c r="D32" s="4" t="n"/>
      <c r="E32" s="8" t="n"/>
      <c r="F32" s="8" t="n"/>
      <c r="G32" s="8">
        <f>SUMIFS(CB_plan!$C:$C,CB_plan!$B:$B,$A32)</f>
        <v/>
      </c>
      <c r="H32" s="8">
        <f>IF(F32="",G32,F32)</f>
        <v/>
      </c>
      <c r="I32" s="4" t="n"/>
      <c r="J32" s="8" t="n"/>
      <c r="K32" s="8">
        <f>IF(A32="","",Inputs!$B$13/((IF(J32="",Inputs!$B$18,J32)+Inputs!$B$14)^Inputs!$B$15))</f>
        <v/>
      </c>
      <c r="L32" s="8">
        <f>IF(A32="","",0.00278*IF(I32="",Inputs!$B$17,I32)*H32*K32)</f>
        <v/>
      </c>
      <c r="M32" s="8">
        <f>IF(A32="","",SUMIFS($N$4:$N$203,$D$4:$D$203,$A32))</f>
        <v/>
      </c>
      <c r="N32" s="8">
        <f>IF(A32="","",(L32+M32)*Inputs!$B$16)</f>
        <v/>
      </c>
      <c r="O32" s="8" t="n"/>
      <c r="P32" s="8">
        <f>IF(A32="","",IF(O32="",Inputs!$B$7,O32))</f>
        <v/>
      </c>
      <c r="Q32" s="4">
        <f>IF(A32="","",IF(N32/Inputs!$B$10&lt;=AG32,Inputs!$F$5,IF(N32/Inputs!$B$10&gt;AP32,"OVERSIZE",INDEX(Inputs!$F$5:$F$14,MATCH(N32/Inputs!$B$10,AG32:AP32,1)+1))))</f>
        <v/>
      </c>
      <c r="R32" s="4" t="n"/>
      <c r="S32" s="4">
        <f>IF(A32="","",IF(R32="",Q32,R32))</f>
        <v/>
      </c>
      <c r="T32" s="8">
        <f>IF(OR(S32="",S32="OVERSIZE"),"",S32/1000)</f>
        <v/>
      </c>
      <c r="U32" s="8">
        <f>IF(T32="","",(1/Inputs!$B$9)*(PI()*T32^2/4)*((T32/4)^(2/3))*SQRT(P32))</f>
        <v/>
      </c>
      <c r="V32" s="8">
        <f>IF(OR(U32="",N32=""),"",N32/(U32*Inputs!$B$10))</f>
        <v/>
      </c>
      <c r="W32" s="8">
        <f>IF(OR(T32="",N32=""),"",4*N32/(PI()*T32^2))</f>
        <v/>
      </c>
      <c r="X32" s="8" t="n"/>
      <c r="Y32" s="8">
        <f>IF(A32="","",IF(A32=Inputs!$B$6,Inputs!$B$22,IF(D32="","",IFERROR(INDEX($Z$4:$Z$203,MATCH(D32,$A$4:$A$203,0))+IF(X32="",Inputs!$B$20,X32),""))))</f>
        <v/>
      </c>
      <c r="Z32" s="8">
        <f>IF(OR(Y32="",P32="",E32=""),"",Y32+P32*E32)</f>
        <v/>
      </c>
      <c r="AA32" s="8">
        <f>IF(C32="","",IFERROR(INDEX(Noeuds_plan!$C$4:$C$200,MATCH(C32,Noeuds_plan!$A$4:$A$200,0)),""))</f>
        <v/>
      </c>
      <c r="AB32" s="8">
        <f>IF(B32="","",IFERROR(INDEX(Noeuds_plan!$C$4:$C$200,MATCH(B32,Noeuds_plan!$A$4:$A$200,0)),""))</f>
        <v/>
      </c>
      <c r="AC32" s="8">
        <f>IF(OR(AA32="",Y32=""),"",AA32-Y32)</f>
        <v/>
      </c>
      <c r="AD32" s="8">
        <f>IF(OR(AB32="",Z32=""),"",AB32-Z32)</f>
        <v/>
      </c>
      <c r="AE32" s="4">
        <f>IF(A32="","",IF(OR(V32&gt;1,W32&lt;Inputs!$B$11,W32&gt;Inputs!$B$12,AC32&lt;Inputs!$B$19,AD32&lt;Inputs!$B$19,P32&lt;Inputs!$B$7,P32&gt;Inputs!$B$8),"CHECK","OK"))</f>
        <v/>
      </c>
      <c r="AF32" s="4" t="n"/>
      <c r="AG32" s="4">
        <f>IF(A32="","",(1/Inputs!$B$9)*(PI()*(Inputs!$F$5/1000)^2/4)*((Inputs!$F$5/1000/4)^(2/3))*SQRT(P32))</f>
        <v/>
      </c>
      <c r="AH32" s="4">
        <f>IF(A32="","",(1/Inputs!$B$9)*(PI()*(Inputs!$F$6/1000)^2/4)*((Inputs!$F$6/1000/4)^(2/3))*SQRT(P32))</f>
        <v/>
      </c>
      <c r="AI32" s="4">
        <f>IF(A32="","",(1/Inputs!$B$9)*(PI()*(Inputs!$F$7/1000)^2/4)*((Inputs!$F$7/1000/4)^(2/3))*SQRT(P32))</f>
        <v/>
      </c>
      <c r="AJ32" s="4">
        <f>IF(A32="","",(1/Inputs!$B$9)*(PI()*(Inputs!$F$8/1000)^2/4)*((Inputs!$F$8/1000/4)^(2/3))*SQRT(P32))</f>
        <v/>
      </c>
      <c r="AK32" s="4">
        <f>IF(A32="","",(1/Inputs!$B$9)*(PI()*(Inputs!$F$9/1000)^2/4)*((Inputs!$F$9/1000/4)^(2/3))*SQRT(P32))</f>
        <v/>
      </c>
      <c r="AL32" s="4">
        <f>IF(A32="","",(1/Inputs!$B$9)*(PI()*(Inputs!$F$10/1000)^2/4)*((Inputs!$F$10/1000/4)^(2/3))*SQRT(P32))</f>
        <v/>
      </c>
      <c r="AM32" s="4">
        <f>IF(A32="","",(1/Inputs!$B$9)*(PI()*(Inputs!$F$11/1000)^2/4)*((Inputs!$F$11/1000/4)^(2/3))*SQRT(P32))</f>
        <v/>
      </c>
      <c r="AN32" s="4">
        <f>IF(A32="","",(1/Inputs!$B$9)*(PI()*(Inputs!$F$12/1000)^2/4)*((Inputs!$F$12/1000/4)^(2/3))*SQRT(P32))</f>
        <v/>
      </c>
      <c r="AO32" s="4">
        <f>IF(A32="","",(1/Inputs!$B$9)*(PI()*(Inputs!$F$13/1000)^2/4)*((Inputs!$F$13/1000/4)^(2/3))*SQRT(P32))</f>
        <v/>
      </c>
      <c r="AP32" s="4">
        <f>IF(A32="","",(1/Inputs!$B$9)*(PI()*(Inputs!$F$14/1000)^2/4)*((Inputs!$F$14/1000/4)^(2/3))*SQRT(P32))</f>
        <v/>
      </c>
    </row>
    <row r="33">
      <c r="A33" s="4" t="n"/>
      <c r="B33" s="4" t="n"/>
      <c r="C33" s="4" t="n"/>
      <c r="D33" s="4" t="n"/>
      <c r="E33" s="8" t="n"/>
      <c r="F33" s="8" t="n"/>
      <c r="G33" s="8">
        <f>SUMIFS(CB_plan!$C:$C,CB_plan!$B:$B,$A33)</f>
        <v/>
      </c>
      <c r="H33" s="8">
        <f>IF(F33="",G33,F33)</f>
        <v/>
      </c>
      <c r="I33" s="4" t="n"/>
      <c r="J33" s="8" t="n"/>
      <c r="K33" s="8">
        <f>IF(A33="","",Inputs!$B$13/((IF(J33="",Inputs!$B$18,J33)+Inputs!$B$14)^Inputs!$B$15))</f>
        <v/>
      </c>
      <c r="L33" s="8">
        <f>IF(A33="","",0.00278*IF(I33="",Inputs!$B$17,I33)*H33*K33)</f>
        <v/>
      </c>
      <c r="M33" s="8">
        <f>IF(A33="","",SUMIFS($N$4:$N$203,$D$4:$D$203,$A33))</f>
        <v/>
      </c>
      <c r="N33" s="8">
        <f>IF(A33="","",(L33+M33)*Inputs!$B$16)</f>
        <v/>
      </c>
      <c r="O33" s="8" t="n"/>
      <c r="P33" s="8">
        <f>IF(A33="","",IF(O33="",Inputs!$B$7,O33))</f>
        <v/>
      </c>
      <c r="Q33" s="4">
        <f>IF(A33="","",IF(N33/Inputs!$B$10&lt;=AG33,Inputs!$F$5,IF(N33/Inputs!$B$10&gt;AP33,"OVERSIZE",INDEX(Inputs!$F$5:$F$14,MATCH(N33/Inputs!$B$10,AG33:AP33,1)+1))))</f>
        <v/>
      </c>
      <c r="R33" s="4" t="n"/>
      <c r="S33" s="4">
        <f>IF(A33="","",IF(R33="",Q33,R33))</f>
        <v/>
      </c>
      <c r="T33" s="8">
        <f>IF(OR(S33="",S33="OVERSIZE"),"",S33/1000)</f>
        <v/>
      </c>
      <c r="U33" s="8">
        <f>IF(T33="","",(1/Inputs!$B$9)*(PI()*T33^2/4)*((T33/4)^(2/3))*SQRT(P33))</f>
        <v/>
      </c>
      <c r="V33" s="8">
        <f>IF(OR(U33="",N33=""),"",N33/(U33*Inputs!$B$10))</f>
        <v/>
      </c>
      <c r="W33" s="8">
        <f>IF(OR(T33="",N33=""),"",4*N33/(PI()*T33^2))</f>
        <v/>
      </c>
      <c r="X33" s="8" t="n"/>
      <c r="Y33" s="8">
        <f>IF(A33="","",IF(A33=Inputs!$B$6,Inputs!$B$22,IF(D33="","",IFERROR(INDEX($Z$4:$Z$203,MATCH(D33,$A$4:$A$203,0))+IF(X33="",Inputs!$B$20,X33),""))))</f>
        <v/>
      </c>
      <c r="Z33" s="8">
        <f>IF(OR(Y33="",P33="",E33=""),"",Y33+P33*E33)</f>
        <v/>
      </c>
      <c r="AA33" s="8">
        <f>IF(C33="","",IFERROR(INDEX(Noeuds_plan!$C$4:$C$200,MATCH(C33,Noeuds_plan!$A$4:$A$200,0)),""))</f>
        <v/>
      </c>
      <c r="AB33" s="8">
        <f>IF(B33="","",IFERROR(INDEX(Noeuds_plan!$C$4:$C$200,MATCH(B33,Noeuds_plan!$A$4:$A$200,0)),""))</f>
        <v/>
      </c>
      <c r="AC33" s="8">
        <f>IF(OR(AA33="",Y33=""),"",AA33-Y33)</f>
        <v/>
      </c>
      <c r="AD33" s="8">
        <f>IF(OR(AB33="",Z33=""),"",AB33-Z33)</f>
        <v/>
      </c>
      <c r="AE33" s="4">
        <f>IF(A33="","",IF(OR(V33&gt;1,W33&lt;Inputs!$B$11,W33&gt;Inputs!$B$12,AC33&lt;Inputs!$B$19,AD33&lt;Inputs!$B$19,P33&lt;Inputs!$B$7,P33&gt;Inputs!$B$8),"CHECK","OK"))</f>
        <v/>
      </c>
      <c r="AF33" s="4" t="n"/>
      <c r="AG33" s="4">
        <f>IF(A33="","",(1/Inputs!$B$9)*(PI()*(Inputs!$F$5/1000)^2/4)*((Inputs!$F$5/1000/4)^(2/3))*SQRT(P33))</f>
        <v/>
      </c>
      <c r="AH33" s="4">
        <f>IF(A33="","",(1/Inputs!$B$9)*(PI()*(Inputs!$F$6/1000)^2/4)*((Inputs!$F$6/1000/4)^(2/3))*SQRT(P33))</f>
        <v/>
      </c>
      <c r="AI33" s="4">
        <f>IF(A33="","",(1/Inputs!$B$9)*(PI()*(Inputs!$F$7/1000)^2/4)*((Inputs!$F$7/1000/4)^(2/3))*SQRT(P33))</f>
        <v/>
      </c>
      <c r="AJ33" s="4">
        <f>IF(A33="","",(1/Inputs!$B$9)*(PI()*(Inputs!$F$8/1000)^2/4)*((Inputs!$F$8/1000/4)^(2/3))*SQRT(P33))</f>
        <v/>
      </c>
      <c r="AK33" s="4">
        <f>IF(A33="","",(1/Inputs!$B$9)*(PI()*(Inputs!$F$9/1000)^2/4)*((Inputs!$F$9/1000/4)^(2/3))*SQRT(P33))</f>
        <v/>
      </c>
      <c r="AL33" s="4">
        <f>IF(A33="","",(1/Inputs!$B$9)*(PI()*(Inputs!$F$10/1000)^2/4)*((Inputs!$F$10/1000/4)^(2/3))*SQRT(P33))</f>
        <v/>
      </c>
      <c r="AM33" s="4">
        <f>IF(A33="","",(1/Inputs!$B$9)*(PI()*(Inputs!$F$11/1000)^2/4)*((Inputs!$F$11/1000/4)^(2/3))*SQRT(P33))</f>
        <v/>
      </c>
      <c r="AN33" s="4">
        <f>IF(A33="","",(1/Inputs!$B$9)*(PI()*(Inputs!$F$12/1000)^2/4)*((Inputs!$F$12/1000/4)^(2/3))*SQRT(P33))</f>
        <v/>
      </c>
      <c r="AO33" s="4">
        <f>IF(A33="","",(1/Inputs!$B$9)*(PI()*(Inputs!$F$13/1000)^2/4)*((Inputs!$F$13/1000/4)^(2/3))*SQRT(P33))</f>
        <v/>
      </c>
      <c r="AP33" s="4">
        <f>IF(A33="","",(1/Inputs!$B$9)*(PI()*(Inputs!$F$14/1000)^2/4)*((Inputs!$F$14/1000/4)^(2/3))*SQRT(P33))</f>
        <v/>
      </c>
    </row>
    <row r="34">
      <c r="A34" s="4" t="n"/>
      <c r="B34" s="4" t="n"/>
      <c r="C34" s="4" t="n"/>
      <c r="D34" s="4" t="n"/>
      <c r="E34" s="8" t="n"/>
      <c r="F34" s="8" t="n"/>
      <c r="G34" s="8">
        <f>SUMIFS(CB_plan!$C:$C,CB_plan!$B:$B,$A34)</f>
        <v/>
      </c>
      <c r="H34" s="8">
        <f>IF(F34="",G34,F34)</f>
        <v/>
      </c>
      <c r="I34" s="4" t="n"/>
      <c r="J34" s="8" t="n"/>
      <c r="K34" s="8">
        <f>IF(A34="","",Inputs!$B$13/((IF(J34="",Inputs!$B$18,J34)+Inputs!$B$14)^Inputs!$B$15))</f>
        <v/>
      </c>
      <c r="L34" s="8">
        <f>IF(A34="","",0.00278*IF(I34="",Inputs!$B$17,I34)*H34*K34)</f>
        <v/>
      </c>
      <c r="M34" s="8">
        <f>IF(A34="","",SUMIFS($N$4:$N$203,$D$4:$D$203,$A34))</f>
        <v/>
      </c>
      <c r="N34" s="8">
        <f>IF(A34="","",(L34+M34)*Inputs!$B$16)</f>
        <v/>
      </c>
      <c r="O34" s="8" t="n"/>
      <c r="P34" s="8">
        <f>IF(A34="","",IF(O34="",Inputs!$B$7,O34))</f>
        <v/>
      </c>
      <c r="Q34" s="4">
        <f>IF(A34="","",IF(N34/Inputs!$B$10&lt;=AG34,Inputs!$F$5,IF(N34/Inputs!$B$10&gt;AP34,"OVERSIZE",INDEX(Inputs!$F$5:$F$14,MATCH(N34/Inputs!$B$10,AG34:AP34,1)+1))))</f>
        <v/>
      </c>
      <c r="R34" s="4" t="n"/>
      <c r="S34" s="4">
        <f>IF(A34="","",IF(R34="",Q34,R34))</f>
        <v/>
      </c>
      <c r="T34" s="8">
        <f>IF(OR(S34="",S34="OVERSIZE"),"",S34/1000)</f>
        <v/>
      </c>
      <c r="U34" s="8">
        <f>IF(T34="","",(1/Inputs!$B$9)*(PI()*T34^2/4)*((T34/4)^(2/3))*SQRT(P34))</f>
        <v/>
      </c>
      <c r="V34" s="8">
        <f>IF(OR(U34="",N34=""),"",N34/(U34*Inputs!$B$10))</f>
        <v/>
      </c>
      <c r="W34" s="8">
        <f>IF(OR(T34="",N34=""),"",4*N34/(PI()*T34^2))</f>
        <v/>
      </c>
      <c r="X34" s="8" t="n"/>
      <c r="Y34" s="8">
        <f>IF(A34="","",IF(A34=Inputs!$B$6,Inputs!$B$22,IF(D34="","",IFERROR(INDEX($Z$4:$Z$203,MATCH(D34,$A$4:$A$203,0))+IF(X34="",Inputs!$B$20,X34),""))))</f>
        <v/>
      </c>
      <c r="Z34" s="8">
        <f>IF(OR(Y34="",P34="",E34=""),"",Y34+P34*E34)</f>
        <v/>
      </c>
      <c r="AA34" s="8">
        <f>IF(C34="","",IFERROR(INDEX(Noeuds_plan!$C$4:$C$200,MATCH(C34,Noeuds_plan!$A$4:$A$200,0)),""))</f>
        <v/>
      </c>
      <c r="AB34" s="8">
        <f>IF(B34="","",IFERROR(INDEX(Noeuds_plan!$C$4:$C$200,MATCH(B34,Noeuds_plan!$A$4:$A$200,0)),""))</f>
        <v/>
      </c>
      <c r="AC34" s="8">
        <f>IF(OR(AA34="",Y34=""),"",AA34-Y34)</f>
        <v/>
      </c>
      <c r="AD34" s="8">
        <f>IF(OR(AB34="",Z34=""),"",AB34-Z34)</f>
        <v/>
      </c>
      <c r="AE34" s="4">
        <f>IF(A34="","",IF(OR(V34&gt;1,W34&lt;Inputs!$B$11,W34&gt;Inputs!$B$12,AC34&lt;Inputs!$B$19,AD34&lt;Inputs!$B$19,P34&lt;Inputs!$B$7,P34&gt;Inputs!$B$8),"CHECK","OK"))</f>
        <v/>
      </c>
      <c r="AF34" s="4" t="n"/>
      <c r="AG34" s="4">
        <f>IF(A34="","",(1/Inputs!$B$9)*(PI()*(Inputs!$F$5/1000)^2/4)*((Inputs!$F$5/1000/4)^(2/3))*SQRT(P34))</f>
        <v/>
      </c>
      <c r="AH34" s="4">
        <f>IF(A34="","",(1/Inputs!$B$9)*(PI()*(Inputs!$F$6/1000)^2/4)*((Inputs!$F$6/1000/4)^(2/3))*SQRT(P34))</f>
        <v/>
      </c>
      <c r="AI34" s="4">
        <f>IF(A34="","",(1/Inputs!$B$9)*(PI()*(Inputs!$F$7/1000)^2/4)*((Inputs!$F$7/1000/4)^(2/3))*SQRT(P34))</f>
        <v/>
      </c>
      <c r="AJ34" s="4">
        <f>IF(A34="","",(1/Inputs!$B$9)*(PI()*(Inputs!$F$8/1000)^2/4)*((Inputs!$F$8/1000/4)^(2/3))*SQRT(P34))</f>
        <v/>
      </c>
      <c r="AK34" s="4">
        <f>IF(A34="","",(1/Inputs!$B$9)*(PI()*(Inputs!$F$9/1000)^2/4)*((Inputs!$F$9/1000/4)^(2/3))*SQRT(P34))</f>
        <v/>
      </c>
      <c r="AL34" s="4">
        <f>IF(A34="","",(1/Inputs!$B$9)*(PI()*(Inputs!$F$10/1000)^2/4)*((Inputs!$F$10/1000/4)^(2/3))*SQRT(P34))</f>
        <v/>
      </c>
      <c r="AM34" s="4">
        <f>IF(A34="","",(1/Inputs!$B$9)*(PI()*(Inputs!$F$11/1000)^2/4)*((Inputs!$F$11/1000/4)^(2/3))*SQRT(P34))</f>
        <v/>
      </c>
      <c r="AN34" s="4">
        <f>IF(A34="","",(1/Inputs!$B$9)*(PI()*(Inputs!$F$12/1000)^2/4)*((Inputs!$F$12/1000/4)^(2/3))*SQRT(P34))</f>
        <v/>
      </c>
      <c r="AO34" s="4">
        <f>IF(A34="","",(1/Inputs!$B$9)*(PI()*(Inputs!$F$13/1000)^2/4)*((Inputs!$F$13/1000/4)^(2/3))*SQRT(P34))</f>
        <v/>
      </c>
      <c r="AP34" s="4">
        <f>IF(A34="","",(1/Inputs!$B$9)*(PI()*(Inputs!$F$14/1000)^2/4)*((Inputs!$F$14/1000/4)^(2/3))*SQRT(P34))</f>
        <v/>
      </c>
    </row>
    <row r="35">
      <c r="A35" s="4" t="n"/>
      <c r="B35" s="4" t="n"/>
      <c r="C35" s="4" t="n"/>
      <c r="D35" s="4" t="n"/>
      <c r="E35" s="8" t="n"/>
      <c r="F35" s="8" t="n"/>
      <c r="G35" s="8">
        <f>SUMIFS(CB_plan!$C:$C,CB_plan!$B:$B,$A35)</f>
        <v/>
      </c>
      <c r="H35" s="8">
        <f>IF(F35="",G35,F35)</f>
        <v/>
      </c>
      <c r="I35" s="4" t="n"/>
      <c r="J35" s="8" t="n"/>
      <c r="K35" s="8">
        <f>IF(A35="","",Inputs!$B$13/((IF(J35="",Inputs!$B$18,J35)+Inputs!$B$14)^Inputs!$B$15))</f>
        <v/>
      </c>
      <c r="L35" s="8">
        <f>IF(A35="","",0.00278*IF(I35="",Inputs!$B$17,I35)*H35*K35)</f>
        <v/>
      </c>
      <c r="M35" s="8">
        <f>IF(A35="","",SUMIFS($N$4:$N$203,$D$4:$D$203,$A35))</f>
        <v/>
      </c>
      <c r="N35" s="8">
        <f>IF(A35="","",(L35+M35)*Inputs!$B$16)</f>
        <v/>
      </c>
      <c r="O35" s="8" t="n"/>
      <c r="P35" s="8">
        <f>IF(A35="","",IF(O35="",Inputs!$B$7,O35))</f>
        <v/>
      </c>
      <c r="Q35" s="4">
        <f>IF(A35="","",IF(N35/Inputs!$B$10&lt;=AG35,Inputs!$F$5,IF(N35/Inputs!$B$10&gt;AP35,"OVERSIZE",INDEX(Inputs!$F$5:$F$14,MATCH(N35/Inputs!$B$10,AG35:AP35,1)+1))))</f>
        <v/>
      </c>
      <c r="R35" s="4" t="n"/>
      <c r="S35" s="4">
        <f>IF(A35="","",IF(R35="",Q35,R35))</f>
        <v/>
      </c>
      <c r="T35" s="8">
        <f>IF(OR(S35="",S35="OVERSIZE"),"",S35/1000)</f>
        <v/>
      </c>
      <c r="U35" s="8">
        <f>IF(T35="","",(1/Inputs!$B$9)*(PI()*T35^2/4)*((T35/4)^(2/3))*SQRT(P35))</f>
        <v/>
      </c>
      <c r="V35" s="8">
        <f>IF(OR(U35="",N35=""),"",N35/(U35*Inputs!$B$10))</f>
        <v/>
      </c>
      <c r="W35" s="8">
        <f>IF(OR(T35="",N35=""),"",4*N35/(PI()*T35^2))</f>
        <v/>
      </c>
      <c r="X35" s="8" t="n"/>
      <c r="Y35" s="8">
        <f>IF(A35="","",IF(A35=Inputs!$B$6,Inputs!$B$22,IF(D35="","",IFERROR(INDEX($Z$4:$Z$203,MATCH(D35,$A$4:$A$203,0))+IF(X35="",Inputs!$B$20,X35),""))))</f>
        <v/>
      </c>
      <c r="Z35" s="8">
        <f>IF(OR(Y35="",P35="",E35=""),"",Y35+P35*E35)</f>
        <v/>
      </c>
      <c r="AA35" s="8">
        <f>IF(C35="","",IFERROR(INDEX(Noeuds_plan!$C$4:$C$200,MATCH(C35,Noeuds_plan!$A$4:$A$200,0)),""))</f>
        <v/>
      </c>
      <c r="AB35" s="8">
        <f>IF(B35="","",IFERROR(INDEX(Noeuds_plan!$C$4:$C$200,MATCH(B35,Noeuds_plan!$A$4:$A$200,0)),""))</f>
        <v/>
      </c>
      <c r="AC35" s="8">
        <f>IF(OR(AA35="",Y35=""),"",AA35-Y35)</f>
        <v/>
      </c>
      <c r="AD35" s="8">
        <f>IF(OR(AB35="",Z35=""),"",AB35-Z35)</f>
        <v/>
      </c>
      <c r="AE35" s="4">
        <f>IF(A35="","",IF(OR(V35&gt;1,W35&lt;Inputs!$B$11,W35&gt;Inputs!$B$12,AC35&lt;Inputs!$B$19,AD35&lt;Inputs!$B$19,P35&lt;Inputs!$B$7,P35&gt;Inputs!$B$8),"CHECK","OK"))</f>
        <v/>
      </c>
      <c r="AF35" s="4" t="n"/>
      <c r="AG35" s="4">
        <f>IF(A35="","",(1/Inputs!$B$9)*(PI()*(Inputs!$F$5/1000)^2/4)*((Inputs!$F$5/1000/4)^(2/3))*SQRT(P35))</f>
        <v/>
      </c>
      <c r="AH35" s="4">
        <f>IF(A35="","",(1/Inputs!$B$9)*(PI()*(Inputs!$F$6/1000)^2/4)*((Inputs!$F$6/1000/4)^(2/3))*SQRT(P35))</f>
        <v/>
      </c>
      <c r="AI35" s="4">
        <f>IF(A35="","",(1/Inputs!$B$9)*(PI()*(Inputs!$F$7/1000)^2/4)*((Inputs!$F$7/1000/4)^(2/3))*SQRT(P35))</f>
        <v/>
      </c>
      <c r="AJ35" s="4">
        <f>IF(A35="","",(1/Inputs!$B$9)*(PI()*(Inputs!$F$8/1000)^2/4)*((Inputs!$F$8/1000/4)^(2/3))*SQRT(P35))</f>
        <v/>
      </c>
      <c r="AK35" s="4">
        <f>IF(A35="","",(1/Inputs!$B$9)*(PI()*(Inputs!$F$9/1000)^2/4)*((Inputs!$F$9/1000/4)^(2/3))*SQRT(P35))</f>
        <v/>
      </c>
      <c r="AL35" s="4">
        <f>IF(A35="","",(1/Inputs!$B$9)*(PI()*(Inputs!$F$10/1000)^2/4)*((Inputs!$F$10/1000/4)^(2/3))*SQRT(P35))</f>
        <v/>
      </c>
      <c r="AM35" s="4">
        <f>IF(A35="","",(1/Inputs!$B$9)*(PI()*(Inputs!$F$11/1000)^2/4)*((Inputs!$F$11/1000/4)^(2/3))*SQRT(P35))</f>
        <v/>
      </c>
      <c r="AN35" s="4">
        <f>IF(A35="","",(1/Inputs!$B$9)*(PI()*(Inputs!$F$12/1000)^2/4)*((Inputs!$F$12/1000/4)^(2/3))*SQRT(P35))</f>
        <v/>
      </c>
      <c r="AO35" s="4">
        <f>IF(A35="","",(1/Inputs!$B$9)*(PI()*(Inputs!$F$13/1000)^2/4)*((Inputs!$F$13/1000/4)^(2/3))*SQRT(P35))</f>
        <v/>
      </c>
      <c r="AP35" s="4">
        <f>IF(A35="","",(1/Inputs!$B$9)*(PI()*(Inputs!$F$14/1000)^2/4)*((Inputs!$F$14/1000/4)^(2/3))*SQRT(P35))</f>
        <v/>
      </c>
    </row>
    <row r="36">
      <c r="A36" s="4" t="n"/>
      <c r="B36" s="4" t="n"/>
      <c r="C36" s="4" t="n"/>
      <c r="D36" s="4" t="n"/>
      <c r="E36" s="8" t="n"/>
      <c r="F36" s="8" t="n"/>
      <c r="G36" s="8">
        <f>SUMIFS(CB_plan!$C:$C,CB_plan!$B:$B,$A36)</f>
        <v/>
      </c>
      <c r="H36" s="8">
        <f>IF(F36="",G36,F36)</f>
        <v/>
      </c>
      <c r="I36" s="4" t="n"/>
      <c r="J36" s="8" t="n"/>
      <c r="K36" s="8">
        <f>IF(A36="","",Inputs!$B$13/((IF(J36="",Inputs!$B$18,J36)+Inputs!$B$14)^Inputs!$B$15))</f>
        <v/>
      </c>
      <c r="L36" s="8">
        <f>IF(A36="","",0.00278*IF(I36="",Inputs!$B$17,I36)*H36*K36)</f>
        <v/>
      </c>
      <c r="M36" s="8">
        <f>IF(A36="","",SUMIFS($N$4:$N$203,$D$4:$D$203,$A36))</f>
        <v/>
      </c>
      <c r="N36" s="8">
        <f>IF(A36="","",(L36+M36)*Inputs!$B$16)</f>
        <v/>
      </c>
      <c r="O36" s="8" t="n"/>
      <c r="P36" s="8">
        <f>IF(A36="","",IF(O36="",Inputs!$B$7,O36))</f>
        <v/>
      </c>
      <c r="Q36" s="4">
        <f>IF(A36="","",IF(N36/Inputs!$B$10&lt;=AG36,Inputs!$F$5,IF(N36/Inputs!$B$10&gt;AP36,"OVERSIZE",INDEX(Inputs!$F$5:$F$14,MATCH(N36/Inputs!$B$10,AG36:AP36,1)+1))))</f>
        <v/>
      </c>
      <c r="R36" s="4" t="n"/>
      <c r="S36" s="4">
        <f>IF(A36="","",IF(R36="",Q36,R36))</f>
        <v/>
      </c>
      <c r="T36" s="8">
        <f>IF(OR(S36="",S36="OVERSIZE"),"",S36/1000)</f>
        <v/>
      </c>
      <c r="U36" s="8">
        <f>IF(T36="","",(1/Inputs!$B$9)*(PI()*T36^2/4)*((T36/4)^(2/3))*SQRT(P36))</f>
        <v/>
      </c>
      <c r="V36" s="8">
        <f>IF(OR(U36="",N36=""),"",N36/(U36*Inputs!$B$10))</f>
        <v/>
      </c>
      <c r="W36" s="8">
        <f>IF(OR(T36="",N36=""),"",4*N36/(PI()*T36^2))</f>
        <v/>
      </c>
      <c r="X36" s="8" t="n"/>
      <c r="Y36" s="8">
        <f>IF(A36="","",IF(A36=Inputs!$B$6,Inputs!$B$22,IF(D36="","",IFERROR(INDEX($Z$4:$Z$203,MATCH(D36,$A$4:$A$203,0))+IF(X36="",Inputs!$B$20,X36),""))))</f>
        <v/>
      </c>
      <c r="Z36" s="8">
        <f>IF(OR(Y36="",P36="",E36=""),"",Y36+P36*E36)</f>
        <v/>
      </c>
      <c r="AA36" s="8">
        <f>IF(C36="","",IFERROR(INDEX(Noeuds_plan!$C$4:$C$200,MATCH(C36,Noeuds_plan!$A$4:$A$200,0)),""))</f>
        <v/>
      </c>
      <c r="AB36" s="8">
        <f>IF(B36="","",IFERROR(INDEX(Noeuds_plan!$C$4:$C$200,MATCH(B36,Noeuds_plan!$A$4:$A$200,0)),""))</f>
        <v/>
      </c>
      <c r="AC36" s="8">
        <f>IF(OR(AA36="",Y36=""),"",AA36-Y36)</f>
        <v/>
      </c>
      <c r="AD36" s="8">
        <f>IF(OR(AB36="",Z36=""),"",AB36-Z36)</f>
        <v/>
      </c>
      <c r="AE36" s="4">
        <f>IF(A36="","",IF(OR(V36&gt;1,W36&lt;Inputs!$B$11,W36&gt;Inputs!$B$12,AC36&lt;Inputs!$B$19,AD36&lt;Inputs!$B$19,P36&lt;Inputs!$B$7,P36&gt;Inputs!$B$8),"CHECK","OK"))</f>
        <v/>
      </c>
      <c r="AF36" s="4" t="n"/>
      <c r="AG36" s="4">
        <f>IF(A36="","",(1/Inputs!$B$9)*(PI()*(Inputs!$F$5/1000)^2/4)*((Inputs!$F$5/1000/4)^(2/3))*SQRT(P36))</f>
        <v/>
      </c>
      <c r="AH36" s="4">
        <f>IF(A36="","",(1/Inputs!$B$9)*(PI()*(Inputs!$F$6/1000)^2/4)*((Inputs!$F$6/1000/4)^(2/3))*SQRT(P36))</f>
        <v/>
      </c>
      <c r="AI36" s="4">
        <f>IF(A36="","",(1/Inputs!$B$9)*(PI()*(Inputs!$F$7/1000)^2/4)*((Inputs!$F$7/1000/4)^(2/3))*SQRT(P36))</f>
        <v/>
      </c>
      <c r="AJ36" s="4">
        <f>IF(A36="","",(1/Inputs!$B$9)*(PI()*(Inputs!$F$8/1000)^2/4)*((Inputs!$F$8/1000/4)^(2/3))*SQRT(P36))</f>
        <v/>
      </c>
      <c r="AK36" s="4">
        <f>IF(A36="","",(1/Inputs!$B$9)*(PI()*(Inputs!$F$9/1000)^2/4)*((Inputs!$F$9/1000/4)^(2/3))*SQRT(P36))</f>
        <v/>
      </c>
      <c r="AL36" s="4">
        <f>IF(A36="","",(1/Inputs!$B$9)*(PI()*(Inputs!$F$10/1000)^2/4)*((Inputs!$F$10/1000/4)^(2/3))*SQRT(P36))</f>
        <v/>
      </c>
      <c r="AM36" s="4">
        <f>IF(A36="","",(1/Inputs!$B$9)*(PI()*(Inputs!$F$11/1000)^2/4)*((Inputs!$F$11/1000/4)^(2/3))*SQRT(P36))</f>
        <v/>
      </c>
      <c r="AN36" s="4">
        <f>IF(A36="","",(1/Inputs!$B$9)*(PI()*(Inputs!$F$12/1000)^2/4)*((Inputs!$F$12/1000/4)^(2/3))*SQRT(P36))</f>
        <v/>
      </c>
      <c r="AO36" s="4">
        <f>IF(A36="","",(1/Inputs!$B$9)*(PI()*(Inputs!$F$13/1000)^2/4)*((Inputs!$F$13/1000/4)^(2/3))*SQRT(P36))</f>
        <v/>
      </c>
      <c r="AP36" s="4">
        <f>IF(A36="","",(1/Inputs!$B$9)*(PI()*(Inputs!$F$14/1000)^2/4)*((Inputs!$F$14/1000/4)^(2/3))*SQRT(P36))</f>
        <v/>
      </c>
    </row>
    <row r="37">
      <c r="A37" s="4" t="n"/>
      <c r="B37" s="4" t="n"/>
      <c r="C37" s="4" t="n"/>
      <c r="D37" s="4" t="n"/>
      <c r="E37" s="8" t="n"/>
      <c r="F37" s="8" t="n"/>
      <c r="G37" s="8">
        <f>SUMIFS(CB_plan!$C:$C,CB_plan!$B:$B,$A37)</f>
        <v/>
      </c>
      <c r="H37" s="8">
        <f>IF(F37="",G37,F37)</f>
        <v/>
      </c>
      <c r="I37" s="4" t="n"/>
      <c r="J37" s="8" t="n"/>
      <c r="K37" s="8">
        <f>IF(A37="","",Inputs!$B$13/((IF(J37="",Inputs!$B$18,J37)+Inputs!$B$14)^Inputs!$B$15))</f>
        <v/>
      </c>
      <c r="L37" s="8">
        <f>IF(A37="","",0.00278*IF(I37="",Inputs!$B$17,I37)*H37*K37)</f>
        <v/>
      </c>
      <c r="M37" s="8">
        <f>IF(A37="","",SUMIFS($N$4:$N$203,$D$4:$D$203,$A37))</f>
        <v/>
      </c>
      <c r="N37" s="8">
        <f>IF(A37="","",(L37+M37)*Inputs!$B$16)</f>
        <v/>
      </c>
      <c r="O37" s="8" t="n"/>
      <c r="P37" s="8">
        <f>IF(A37="","",IF(O37="",Inputs!$B$7,O37))</f>
        <v/>
      </c>
      <c r="Q37" s="4">
        <f>IF(A37="","",IF(N37/Inputs!$B$10&lt;=AG37,Inputs!$F$5,IF(N37/Inputs!$B$10&gt;AP37,"OVERSIZE",INDEX(Inputs!$F$5:$F$14,MATCH(N37/Inputs!$B$10,AG37:AP37,1)+1))))</f>
        <v/>
      </c>
      <c r="R37" s="4" t="n"/>
      <c r="S37" s="4">
        <f>IF(A37="","",IF(R37="",Q37,R37))</f>
        <v/>
      </c>
      <c r="T37" s="8">
        <f>IF(OR(S37="",S37="OVERSIZE"),"",S37/1000)</f>
        <v/>
      </c>
      <c r="U37" s="8">
        <f>IF(T37="","",(1/Inputs!$B$9)*(PI()*T37^2/4)*((T37/4)^(2/3))*SQRT(P37))</f>
        <v/>
      </c>
      <c r="V37" s="8">
        <f>IF(OR(U37="",N37=""),"",N37/(U37*Inputs!$B$10))</f>
        <v/>
      </c>
      <c r="W37" s="8">
        <f>IF(OR(T37="",N37=""),"",4*N37/(PI()*T37^2))</f>
        <v/>
      </c>
      <c r="X37" s="8" t="n"/>
      <c r="Y37" s="8">
        <f>IF(A37="","",IF(A37=Inputs!$B$6,Inputs!$B$22,IF(D37="","",IFERROR(INDEX($Z$4:$Z$203,MATCH(D37,$A$4:$A$203,0))+IF(X37="",Inputs!$B$20,X37),""))))</f>
        <v/>
      </c>
      <c r="Z37" s="8">
        <f>IF(OR(Y37="",P37="",E37=""),"",Y37+P37*E37)</f>
        <v/>
      </c>
      <c r="AA37" s="8">
        <f>IF(C37="","",IFERROR(INDEX(Noeuds_plan!$C$4:$C$200,MATCH(C37,Noeuds_plan!$A$4:$A$200,0)),""))</f>
        <v/>
      </c>
      <c r="AB37" s="8">
        <f>IF(B37="","",IFERROR(INDEX(Noeuds_plan!$C$4:$C$200,MATCH(B37,Noeuds_plan!$A$4:$A$200,0)),""))</f>
        <v/>
      </c>
      <c r="AC37" s="8">
        <f>IF(OR(AA37="",Y37=""),"",AA37-Y37)</f>
        <v/>
      </c>
      <c r="AD37" s="8">
        <f>IF(OR(AB37="",Z37=""),"",AB37-Z37)</f>
        <v/>
      </c>
      <c r="AE37" s="4">
        <f>IF(A37="","",IF(OR(V37&gt;1,W37&lt;Inputs!$B$11,W37&gt;Inputs!$B$12,AC37&lt;Inputs!$B$19,AD37&lt;Inputs!$B$19,P37&lt;Inputs!$B$7,P37&gt;Inputs!$B$8),"CHECK","OK"))</f>
        <v/>
      </c>
      <c r="AF37" s="4" t="n"/>
      <c r="AG37" s="4">
        <f>IF(A37="","",(1/Inputs!$B$9)*(PI()*(Inputs!$F$5/1000)^2/4)*((Inputs!$F$5/1000/4)^(2/3))*SQRT(P37))</f>
        <v/>
      </c>
      <c r="AH37" s="4">
        <f>IF(A37="","",(1/Inputs!$B$9)*(PI()*(Inputs!$F$6/1000)^2/4)*((Inputs!$F$6/1000/4)^(2/3))*SQRT(P37))</f>
        <v/>
      </c>
      <c r="AI37" s="4">
        <f>IF(A37="","",(1/Inputs!$B$9)*(PI()*(Inputs!$F$7/1000)^2/4)*((Inputs!$F$7/1000/4)^(2/3))*SQRT(P37))</f>
        <v/>
      </c>
      <c r="AJ37" s="4">
        <f>IF(A37="","",(1/Inputs!$B$9)*(PI()*(Inputs!$F$8/1000)^2/4)*((Inputs!$F$8/1000/4)^(2/3))*SQRT(P37))</f>
        <v/>
      </c>
      <c r="AK37" s="4">
        <f>IF(A37="","",(1/Inputs!$B$9)*(PI()*(Inputs!$F$9/1000)^2/4)*((Inputs!$F$9/1000/4)^(2/3))*SQRT(P37))</f>
        <v/>
      </c>
      <c r="AL37" s="4">
        <f>IF(A37="","",(1/Inputs!$B$9)*(PI()*(Inputs!$F$10/1000)^2/4)*((Inputs!$F$10/1000/4)^(2/3))*SQRT(P37))</f>
        <v/>
      </c>
      <c r="AM37" s="4">
        <f>IF(A37="","",(1/Inputs!$B$9)*(PI()*(Inputs!$F$11/1000)^2/4)*((Inputs!$F$11/1000/4)^(2/3))*SQRT(P37))</f>
        <v/>
      </c>
      <c r="AN37" s="4">
        <f>IF(A37="","",(1/Inputs!$B$9)*(PI()*(Inputs!$F$12/1000)^2/4)*((Inputs!$F$12/1000/4)^(2/3))*SQRT(P37))</f>
        <v/>
      </c>
      <c r="AO37" s="4">
        <f>IF(A37="","",(1/Inputs!$B$9)*(PI()*(Inputs!$F$13/1000)^2/4)*((Inputs!$F$13/1000/4)^(2/3))*SQRT(P37))</f>
        <v/>
      </c>
      <c r="AP37" s="4">
        <f>IF(A37="","",(1/Inputs!$B$9)*(PI()*(Inputs!$F$14/1000)^2/4)*((Inputs!$F$14/1000/4)^(2/3))*SQRT(P37))</f>
        <v/>
      </c>
    </row>
    <row r="38">
      <c r="A38" s="4" t="n"/>
      <c r="B38" s="4" t="n"/>
      <c r="C38" s="4" t="n"/>
      <c r="D38" s="4" t="n"/>
      <c r="E38" s="8" t="n"/>
      <c r="F38" s="8" t="n"/>
      <c r="G38" s="8">
        <f>SUMIFS(CB_plan!$C:$C,CB_plan!$B:$B,$A38)</f>
        <v/>
      </c>
      <c r="H38" s="8">
        <f>IF(F38="",G38,F38)</f>
        <v/>
      </c>
      <c r="I38" s="4" t="n"/>
      <c r="J38" s="8" t="n"/>
      <c r="K38" s="8">
        <f>IF(A38="","",Inputs!$B$13/((IF(J38="",Inputs!$B$18,J38)+Inputs!$B$14)^Inputs!$B$15))</f>
        <v/>
      </c>
      <c r="L38" s="8">
        <f>IF(A38="","",0.00278*IF(I38="",Inputs!$B$17,I38)*H38*K38)</f>
        <v/>
      </c>
      <c r="M38" s="8">
        <f>IF(A38="","",SUMIFS($N$4:$N$203,$D$4:$D$203,$A38))</f>
        <v/>
      </c>
      <c r="N38" s="8">
        <f>IF(A38="","",(L38+M38)*Inputs!$B$16)</f>
        <v/>
      </c>
      <c r="O38" s="8" t="n"/>
      <c r="P38" s="8">
        <f>IF(A38="","",IF(O38="",Inputs!$B$7,O38))</f>
        <v/>
      </c>
      <c r="Q38" s="4">
        <f>IF(A38="","",IF(N38/Inputs!$B$10&lt;=AG38,Inputs!$F$5,IF(N38/Inputs!$B$10&gt;AP38,"OVERSIZE",INDEX(Inputs!$F$5:$F$14,MATCH(N38/Inputs!$B$10,AG38:AP38,1)+1))))</f>
        <v/>
      </c>
      <c r="R38" s="4" t="n"/>
      <c r="S38" s="4">
        <f>IF(A38="","",IF(R38="",Q38,R38))</f>
        <v/>
      </c>
      <c r="T38" s="8">
        <f>IF(OR(S38="",S38="OVERSIZE"),"",S38/1000)</f>
        <v/>
      </c>
      <c r="U38" s="8">
        <f>IF(T38="","",(1/Inputs!$B$9)*(PI()*T38^2/4)*((T38/4)^(2/3))*SQRT(P38))</f>
        <v/>
      </c>
      <c r="V38" s="8">
        <f>IF(OR(U38="",N38=""),"",N38/(U38*Inputs!$B$10))</f>
        <v/>
      </c>
      <c r="W38" s="8">
        <f>IF(OR(T38="",N38=""),"",4*N38/(PI()*T38^2))</f>
        <v/>
      </c>
      <c r="X38" s="8" t="n"/>
      <c r="Y38" s="8">
        <f>IF(A38="","",IF(A38=Inputs!$B$6,Inputs!$B$22,IF(D38="","",IFERROR(INDEX($Z$4:$Z$203,MATCH(D38,$A$4:$A$203,0))+IF(X38="",Inputs!$B$20,X38),""))))</f>
        <v/>
      </c>
      <c r="Z38" s="8">
        <f>IF(OR(Y38="",P38="",E38=""),"",Y38+P38*E38)</f>
        <v/>
      </c>
      <c r="AA38" s="8">
        <f>IF(C38="","",IFERROR(INDEX(Noeuds_plan!$C$4:$C$200,MATCH(C38,Noeuds_plan!$A$4:$A$200,0)),""))</f>
        <v/>
      </c>
      <c r="AB38" s="8">
        <f>IF(B38="","",IFERROR(INDEX(Noeuds_plan!$C$4:$C$200,MATCH(B38,Noeuds_plan!$A$4:$A$200,0)),""))</f>
        <v/>
      </c>
      <c r="AC38" s="8">
        <f>IF(OR(AA38="",Y38=""),"",AA38-Y38)</f>
        <v/>
      </c>
      <c r="AD38" s="8">
        <f>IF(OR(AB38="",Z38=""),"",AB38-Z38)</f>
        <v/>
      </c>
      <c r="AE38" s="4">
        <f>IF(A38="","",IF(OR(V38&gt;1,W38&lt;Inputs!$B$11,W38&gt;Inputs!$B$12,AC38&lt;Inputs!$B$19,AD38&lt;Inputs!$B$19,P38&lt;Inputs!$B$7,P38&gt;Inputs!$B$8),"CHECK","OK"))</f>
        <v/>
      </c>
      <c r="AF38" s="4" t="n"/>
      <c r="AG38" s="4">
        <f>IF(A38="","",(1/Inputs!$B$9)*(PI()*(Inputs!$F$5/1000)^2/4)*((Inputs!$F$5/1000/4)^(2/3))*SQRT(P38))</f>
        <v/>
      </c>
      <c r="AH38" s="4">
        <f>IF(A38="","",(1/Inputs!$B$9)*(PI()*(Inputs!$F$6/1000)^2/4)*((Inputs!$F$6/1000/4)^(2/3))*SQRT(P38))</f>
        <v/>
      </c>
      <c r="AI38" s="4">
        <f>IF(A38="","",(1/Inputs!$B$9)*(PI()*(Inputs!$F$7/1000)^2/4)*((Inputs!$F$7/1000/4)^(2/3))*SQRT(P38))</f>
        <v/>
      </c>
      <c r="AJ38" s="4">
        <f>IF(A38="","",(1/Inputs!$B$9)*(PI()*(Inputs!$F$8/1000)^2/4)*((Inputs!$F$8/1000/4)^(2/3))*SQRT(P38))</f>
        <v/>
      </c>
      <c r="AK38" s="4">
        <f>IF(A38="","",(1/Inputs!$B$9)*(PI()*(Inputs!$F$9/1000)^2/4)*((Inputs!$F$9/1000/4)^(2/3))*SQRT(P38))</f>
        <v/>
      </c>
      <c r="AL38" s="4">
        <f>IF(A38="","",(1/Inputs!$B$9)*(PI()*(Inputs!$F$10/1000)^2/4)*((Inputs!$F$10/1000/4)^(2/3))*SQRT(P38))</f>
        <v/>
      </c>
      <c r="AM38" s="4">
        <f>IF(A38="","",(1/Inputs!$B$9)*(PI()*(Inputs!$F$11/1000)^2/4)*((Inputs!$F$11/1000/4)^(2/3))*SQRT(P38))</f>
        <v/>
      </c>
      <c r="AN38" s="4">
        <f>IF(A38="","",(1/Inputs!$B$9)*(PI()*(Inputs!$F$12/1000)^2/4)*((Inputs!$F$12/1000/4)^(2/3))*SQRT(P38))</f>
        <v/>
      </c>
      <c r="AO38" s="4">
        <f>IF(A38="","",(1/Inputs!$B$9)*(PI()*(Inputs!$F$13/1000)^2/4)*((Inputs!$F$13/1000/4)^(2/3))*SQRT(P38))</f>
        <v/>
      </c>
      <c r="AP38" s="4">
        <f>IF(A38="","",(1/Inputs!$B$9)*(PI()*(Inputs!$F$14/1000)^2/4)*((Inputs!$F$14/1000/4)^(2/3))*SQRT(P38))</f>
        <v/>
      </c>
    </row>
    <row r="39">
      <c r="A39" s="4" t="n"/>
      <c r="B39" s="4" t="n"/>
      <c r="C39" s="4" t="n"/>
      <c r="D39" s="4" t="n"/>
      <c r="E39" s="8" t="n"/>
      <c r="F39" s="8" t="n"/>
      <c r="G39" s="8">
        <f>SUMIFS(CB_plan!$C:$C,CB_plan!$B:$B,$A39)</f>
        <v/>
      </c>
      <c r="H39" s="8">
        <f>IF(F39="",G39,F39)</f>
        <v/>
      </c>
      <c r="I39" s="4" t="n"/>
      <c r="J39" s="8" t="n"/>
      <c r="K39" s="8">
        <f>IF(A39="","",Inputs!$B$13/((IF(J39="",Inputs!$B$18,J39)+Inputs!$B$14)^Inputs!$B$15))</f>
        <v/>
      </c>
      <c r="L39" s="8">
        <f>IF(A39="","",0.00278*IF(I39="",Inputs!$B$17,I39)*H39*K39)</f>
        <v/>
      </c>
      <c r="M39" s="8">
        <f>IF(A39="","",SUMIFS($N$4:$N$203,$D$4:$D$203,$A39))</f>
        <v/>
      </c>
      <c r="N39" s="8">
        <f>IF(A39="","",(L39+M39)*Inputs!$B$16)</f>
        <v/>
      </c>
      <c r="O39" s="8" t="n"/>
      <c r="P39" s="8">
        <f>IF(A39="","",IF(O39="",Inputs!$B$7,O39))</f>
        <v/>
      </c>
      <c r="Q39" s="4">
        <f>IF(A39="","",IF(N39/Inputs!$B$10&lt;=AG39,Inputs!$F$5,IF(N39/Inputs!$B$10&gt;AP39,"OVERSIZE",INDEX(Inputs!$F$5:$F$14,MATCH(N39/Inputs!$B$10,AG39:AP39,1)+1))))</f>
        <v/>
      </c>
      <c r="R39" s="4" t="n"/>
      <c r="S39" s="4">
        <f>IF(A39="","",IF(R39="",Q39,R39))</f>
        <v/>
      </c>
      <c r="T39" s="8">
        <f>IF(OR(S39="",S39="OVERSIZE"),"",S39/1000)</f>
        <v/>
      </c>
      <c r="U39" s="8">
        <f>IF(T39="","",(1/Inputs!$B$9)*(PI()*T39^2/4)*((T39/4)^(2/3))*SQRT(P39))</f>
        <v/>
      </c>
      <c r="V39" s="8">
        <f>IF(OR(U39="",N39=""),"",N39/(U39*Inputs!$B$10))</f>
        <v/>
      </c>
      <c r="W39" s="8">
        <f>IF(OR(T39="",N39=""),"",4*N39/(PI()*T39^2))</f>
        <v/>
      </c>
      <c r="X39" s="8" t="n"/>
      <c r="Y39" s="8">
        <f>IF(A39="","",IF(A39=Inputs!$B$6,Inputs!$B$22,IF(D39="","",IFERROR(INDEX($Z$4:$Z$203,MATCH(D39,$A$4:$A$203,0))+IF(X39="",Inputs!$B$20,X39),""))))</f>
        <v/>
      </c>
      <c r="Z39" s="8">
        <f>IF(OR(Y39="",P39="",E39=""),"",Y39+P39*E39)</f>
        <v/>
      </c>
      <c r="AA39" s="8">
        <f>IF(C39="","",IFERROR(INDEX(Noeuds_plan!$C$4:$C$200,MATCH(C39,Noeuds_plan!$A$4:$A$200,0)),""))</f>
        <v/>
      </c>
      <c r="AB39" s="8">
        <f>IF(B39="","",IFERROR(INDEX(Noeuds_plan!$C$4:$C$200,MATCH(B39,Noeuds_plan!$A$4:$A$200,0)),""))</f>
        <v/>
      </c>
      <c r="AC39" s="8">
        <f>IF(OR(AA39="",Y39=""),"",AA39-Y39)</f>
        <v/>
      </c>
      <c r="AD39" s="8">
        <f>IF(OR(AB39="",Z39=""),"",AB39-Z39)</f>
        <v/>
      </c>
      <c r="AE39" s="4">
        <f>IF(A39="","",IF(OR(V39&gt;1,W39&lt;Inputs!$B$11,W39&gt;Inputs!$B$12,AC39&lt;Inputs!$B$19,AD39&lt;Inputs!$B$19,P39&lt;Inputs!$B$7,P39&gt;Inputs!$B$8),"CHECK","OK"))</f>
        <v/>
      </c>
      <c r="AF39" s="4" t="n"/>
      <c r="AG39" s="4">
        <f>IF(A39="","",(1/Inputs!$B$9)*(PI()*(Inputs!$F$5/1000)^2/4)*((Inputs!$F$5/1000/4)^(2/3))*SQRT(P39))</f>
        <v/>
      </c>
      <c r="AH39" s="4">
        <f>IF(A39="","",(1/Inputs!$B$9)*(PI()*(Inputs!$F$6/1000)^2/4)*((Inputs!$F$6/1000/4)^(2/3))*SQRT(P39))</f>
        <v/>
      </c>
      <c r="AI39" s="4">
        <f>IF(A39="","",(1/Inputs!$B$9)*(PI()*(Inputs!$F$7/1000)^2/4)*((Inputs!$F$7/1000/4)^(2/3))*SQRT(P39))</f>
        <v/>
      </c>
      <c r="AJ39" s="4">
        <f>IF(A39="","",(1/Inputs!$B$9)*(PI()*(Inputs!$F$8/1000)^2/4)*((Inputs!$F$8/1000/4)^(2/3))*SQRT(P39))</f>
        <v/>
      </c>
      <c r="AK39" s="4">
        <f>IF(A39="","",(1/Inputs!$B$9)*(PI()*(Inputs!$F$9/1000)^2/4)*((Inputs!$F$9/1000/4)^(2/3))*SQRT(P39))</f>
        <v/>
      </c>
      <c r="AL39" s="4">
        <f>IF(A39="","",(1/Inputs!$B$9)*(PI()*(Inputs!$F$10/1000)^2/4)*((Inputs!$F$10/1000/4)^(2/3))*SQRT(P39))</f>
        <v/>
      </c>
      <c r="AM39" s="4">
        <f>IF(A39="","",(1/Inputs!$B$9)*(PI()*(Inputs!$F$11/1000)^2/4)*((Inputs!$F$11/1000/4)^(2/3))*SQRT(P39))</f>
        <v/>
      </c>
      <c r="AN39" s="4">
        <f>IF(A39="","",(1/Inputs!$B$9)*(PI()*(Inputs!$F$12/1000)^2/4)*((Inputs!$F$12/1000/4)^(2/3))*SQRT(P39))</f>
        <v/>
      </c>
      <c r="AO39" s="4">
        <f>IF(A39="","",(1/Inputs!$B$9)*(PI()*(Inputs!$F$13/1000)^2/4)*((Inputs!$F$13/1000/4)^(2/3))*SQRT(P39))</f>
        <v/>
      </c>
      <c r="AP39" s="4">
        <f>IF(A39="","",(1/Inputs!$B$9)*(PI()*(Inputs!$F$14/1000)^2/4)*((Inputs!$F$14/1000/4)^(2/3))*SQRT(P39))</f>
        <v/>
      </c>
    </row>
    <row r="40">
      <c r="A40" s="4" t="n"/>
      <c r="B40" s="4" t="n"/>
      <c r="C40" s="4" t="n"/>
      <c r="D40" s="4" t="n"/>
      <c r="E40" s="8" t="n"/>
      <c r="F40" s="8" t="n"/>
      <c r="G40" s="8">
        <f>SUMIFS(CB_plan!$C:$C,CB_plan!$B:$B,$A40)</f>
        <v/>
      </c>
      <c r="H40" s="8">
        <f>IF(F40="",G40,F40)</f>
        <v/>
      </c>
      <c r="I40" s="4" t="n"/>
      <c r="J40" s="8" t="n"/>
      <c r="K40" s="8">
        <f>IF(A40="","",Inputs!$B$13/((IF(J40="",Inputs!$B$18,J40)+Inputs!$B$14)^Inputs!$B$15))</f>
        <v/>
      </c>
      <c r="L40" s="8">
        <f>IF(A40="","",0.00278*IF(I40="",Inputs!$B$17,I40)*H40*K40)</f>
        <v/>
      </c>
      <c r="M40" s="8">
        <f>IF(A40="","",SUMIFS($N$4:$N$203,$D$4:$D$203,$A40))</f>
        <v/>
      </c>
      <c r="N40" s="8">
        <f>IF(A40="","",(L40+M40)*Inputs!$B$16)</f>
        <v/>
      </c>
      <c r="O40" s="8" t="n"/>
      <c r="P40" s="8">
        <f>IF(A40="","",IF(O40="",Inputs!$B$7,O40))</f>
        <v/>
      </c>
      <c r="Q40" s="4">
        <f>IF(A40="","",IF(N40/Inputs!$B$10&lt;=AG40,Inputs!$F$5,IF(N40/Inputs!$B$10&gt;AP40,"OVERSIZE",INDEX(Inputs!$F$5:$F$14,MATCH(N40/Inputs!$B$10,AG40:AP40,1)+1))))</f>
        <v/>
      </c>
      <c r="R40" s="4" t="n"/>
      <c r="S40" s="4">
        <f>IF(A40="","",IF(R40="",Q40,R40))</f>
        <v/>
      </c>
      <c r="T40" s="8">
        <f>IF(OR(S40="",S40="OVERSIZE"),"",S40/1000)</f>
        <v/>
      </c>
      <c r="U40" s="8">
        <f>IF(T40="","",(1/Inputs!$B$9)*(PI()*T40^2/4)*((T40/4)^(2/3))*SQRT(P40))</f>
        <v/>
      </c>
      <c r="V40" s="8">
        <f>IF(OR(U40="",N40=""),"",N40/(U40*Inputs!$B$10))</f>
        <v/>
      </c>
      <c r="W40" s="8">
        <f>IF(OR(T40="",N40=""),"",4*N40/(PI()*T40^2))</f>
        <v/>
      </c>
      <c r="X40" s="8" t="n"/>
      <c r="Y40" s="8">
        <f>IF(A40="","",IF(A40=Inputs!$B$6,Inputs!$B$22,IF(D40="","",IFERROR(INDEX($Z$4:$Z$203,MATCH(D40,$A$4:$A$203,0))+IF(X40="",Inputs!$B$20,X40),""))))</f>
        <v/>
      </c>
      <c r="Z40" s="8">
        <f>IF(OR(Y40="",P40="",E40=""),"",Y40+P40*E40)</f>
        <v/>
      </c>
      <c r="AA40" s="8">
        <f>IF(C40="","",IFERROR(INDEX(Noeuds_plan!$C$4:$C$200,MATCH(C40,Noeuds_plan!$A$4:$A$200,0)),""))</f>
        <v/>
      </c>
      <c r="AB40" s="8">
        <f>IF(B40="","",IFERROR(INDEX(Noeuds_plan!$C$4:$C$200,MATCH(B40,Noeuds_plan!$A$4:$A$200,0)),""))</f>
        <v/>
      </c>
      <c r="AC40" s="8">
        <f>IF(OR(AA40="",Y40=""),"",AA40-Y40)</f>
        <v/>
      </c>
      <c r="AD40" s="8">
        <f>IF(OR(AB40="",Z40=""),"",AB40-Z40)</f>
        <v/>
      </c>
      <c r="AE40" s="4">
        <f>IF(A40="","",IF(OR(V40&gt;1,W40&lt;Inputs!$B$11,W40&gt;Inputs!$B$12,AC40&lt;Inputs!$B$19,AD40&lt;Inputs!$B$19,P40&lt;Inputs!$B$7,P40&gt;Inputs!$B$8),"CHECK","OK"))</f>
        <v/>
      </c>
      <c r="AF40" s="4" t="n"/>
      <c r="AG40" s="4">
        <f>IF(A40="","",(1/Inputs!$B$9)*(PI()*(Inputs!$F$5/1000)^2/4)*((Inputs!$F$5/1000/4)^(2/3))*SQRT(P40))</f>
        <v/>
      </c>
      <c r="AH40" s="4">
        <f>IF(A40="","",(1/Inputs!$B$9)*(PI()*(Inputs!$F$6/1000)^2/4)*((Inputs!$F$6/1000/4)^(2/3))*SQRT(P40))</f>
        <v/>
      </c>
      <c r="AI40" s="4">
        <f>IF(A40="","",(1/Inputs!$B$9)*(PI()*(Inputs!$F$7/1000)^2/4)*((Inputs!$F$7/1000/4)^(2/3))*SQRT(P40))</f>
        <v/>
      </c>
      <c r="AJ40" s="4">
        <f>IF(A40="","",(1/Inputs!$B$9)*(PI()*(Inputs!$F$8/1000)^2/4)*((Inputs!$F$8/1000/4)^(2/3))*SQRT(P40))</f>
        <v/>
      </c>
      <c r="AK40" s="4">
        <f>IF(A40="","",(1/Inputs!$B$9)*(PI()*(Inputs!$F$9/1000)^2/4)*((Inputs!$F$9/1000/4)^(2/3))*SQRT(P40))</f>
        <v/>
      </c>
      <c r="AL40" s="4">
        <f>IF(A40="","",(1/Inputs!$B$9)*(PI()*(Inputs!$F$10/1000)^2/4)*((Inputs!$F$10/1000/4)^(2/3))*SQRT(P40))</f>
        <v/>
      </c>
      <c r="AM40" s="4">
        <f>IF(A40="","",(1/Inputs!$B$9)*(PI()*(Inputs!$F$11/1000)^2/4)*((Inputs!$F$11/1000/4)^(2/3))*SQRT(P40))</f>
        <v/>
      </c>
      <c r="AN40" s="4">
        <f>IF(A40="","",(1/Inputs!$B$9)*(PI()*(Inputs!$F$12/1000)^2/4)*((Inputs!$F$12/1000/4)^(2/3))*SQRT(P40))</f>
        <v/>
      </c>
      <c r="AO40" s="4">
        <f>IF(A40="","",(1/Inputs!$B$9)*(PI()*(Inputs!$F$13/1000)^2/4)*((Inputs!$F$13/1000/4)^(2/3))*SQRT(P40))</f>
        <v/>
      </c>
      <c r="AP40" s="4">
        <f>IF(A40="","",(1/Inputs!$B$9)*(PI()*(Inputs!$F$14/1000)^2/4)*((Inputs!$F$14/1000/4)^(2/3))*SQRT(P40))</f>
        <v/>
      </c>
    </row>
    <row r="41">
      <c r="A41" s="4" t="n"/>
      <c r="B41" s="4" t="n"/>
      <c r="C41" s="4" t="n"/>
      <c r="D41" s="4" t="n"/>
      <c r="E41" s="8" t="n"/>
      <c r="F41" s="8" t="n"/>
      <c r="G41" s="8">
        <f>SUMIFS(CB_plan!$C:$C,CB_plan!$B:$B,$A41)</f>
        <v/>
      </c>
      <c r="H41" s="8">
        <f>IF(F41="",G41,F41)</f>
        <v/>
      </c>
      <c r="I41" s="4" t="n"/>
      <c r="J41" s="8" t="n"/>
      <c r="K41" s="8">
        <f>IF(A41="","",Inputs!$B$13/((IF(J41="",Inputs!$B$18,J41)+Inputs!$B$14)^Inputs!$B$15))</f>
        <v/>
      </c>
      <c r="L41" s="8">
        <f>IF(A41="","",0.00278*IF(I41="",Inputs!$B$17,I41)*H41*K41)</f>
        <v/>
      </c>
      <c r="M41" s="8">
        <f>IF(A41="","",SUMIFS($N$4:$N$203,$D$4:$D$203,$A41))</f>
        <v/>
      </c>
      <c r="N41" s="8">
        <f>IF(A41="","",(L41+M41)*Inputs!$B$16)</f>
        <v/>
      </c>
      <c r="O41" s="8" t="n"/>
      <c r="P41" s="8">
        <f>IF(A41="","",IF(O41="",Inputs!$B$7,O41))</f>
        <v/>
      </c>
      <c r="Q41" s="4">
        <f>IF(A41="","",IF(N41/Inputs!$B$10&lt;=AG41,Inputs!$F$5,IF(N41/Inputs!$B$10&gt;AP41,"OVERSIZE",INDEX(Inputs!$F$5:$F$14,MATCH(N41/Inputs!$B$10,AG41:AP41,1)+1))))</f>
        <v/>
      </c>
      <c r="R41" s="4" t="n"/>
      <c r="S41" s="4">
        <f>IF(A41="","",IF(R41="",Q41,R41))</f>
        <v/>
      </c>
      <c r="T41" s="8">
        <f>IF(OR(S41="",S41="OVERSIZE"),"",S41/1000)</f>
        <v/>
      </c>
      <c r="U41" s="8">
        <f>IF(T41="","",(1/Inputs!$B$9)*(PI()*T41^2/4)*((T41/4)^(2/3))*SQRT(P41))</f>
        <v/>
      </c>
      <c r="V41" s="8">
        <f>IF(OR(U41="",N41=""),"",N41/(U41*Inputs!$B$10))</f>
        <v/>
      </c>
      <c r="W41" s="8">
        <f>IF(OR(T41="",N41=""),"",4*N41/(PI()*T41^2))</f>
        <v/>
      </c>
      <c r="X41" s="8" t="n"/>
      <c r="Y41" s="8">
        <f>IF(A41="","",IF(A41=Inputs!$B$6,Inputs!$B$22,IF(D41="","",IFERROR(INDEX($Z$4:$Z$203,MATCH(D41,$A$4:$A$203,0))+IF(X41="",Inputs!$B$20,X41),""))))</f>
        <v/>
      </c>
      <c r="Z41" s="8">
        <f>IF(OR(Y41="",P41="",E41=""),"",Y41+P41*E41)</f>
        <v/>
      </c>
      <c r="AA41" s="8">
        <f>IF(C41="","",IFERROR(INDEX(Noeuds_plan!$C$4:$C$200,MATCH(C41,Noeuds_plan!$A$4:$A$200,0)),""))</f>
        <v/>
      </c>
      <c r="AB41" s="8">
        <f>IF(B41="","",IFERROR(INDEX(Noeuds_plan!$C$4:$C$200,MATCH(B41,Noeuds_plan!$A$4:$A$200,0)),""))</f>
        <v/>
      </c>
      <c r="AC41" s="8">
        <f>IF(OR(AA41="",Y41=""),"",AA41-Y41)</f>
        <v/>
      </c>
      <c r="AD41" s="8">
        <f>IF(OR(AB41="",Z41=""),"",AB41-Z41)</f>
        <v/>
      </c>
      <c r="AE41" s="4">
        <f>IF(A41="","",IF(OR(V41&gt;1,W41&lt;Inputs!$B$11,W41&gt;Inputs!$B$12,AC41&lt;Inputs!$B$19,AD41&lt;Inputs!$B$19,P41&lt;Inputs!$B$7,P41&gt;Inputs!$B$8),"CHECK","OK"))</f>
        <v/>
      </c>
      <c r="AF41" s="4" t="n"/>
      <c r="AG41" s="4">
        <f>IF(A41="","",(1/Inputs!$B$9)*(PI()*(Inputs!$F$5/1000)^2/4)*((Inputs!$F$5/1000/4)^(2/3))*SQRT(P41))</f>
        <v/>
      </c>
      <c r="AH41" s="4">
        <f>IF(A41="","",(1/Inputs!$B$9)*(PI()*(Inputs!$F$6/1000)^2/4)*((Inputs!$F$6/1000/4)^(2/3))*SQRT(P41))</f>
        <v/>
      </c>
      <c r="AI41" s="4">
        <f>IF(A41="","",(1/Inputs!$B$9)*(PI()*(Inputs!$F$7/1000)^2/4)*((Inputs!$F$7/1000/4)^(2/3))*SQRT(P41))</f>
        <v/>
      </c>
      <c r="AJ41" s="4">
        <f>IF(A41="","",(1/Inputs!$B$9)*(PI()*(Inputs!$F$8/1000)^2/4)*((Inputs!$F$8/1000/4)^(2/3))*SQRT(P41))</f>
        <v/>
      </c>
      <c r="AK41" s="4">
        <f>IF(A41="","",(1/Inputs!$B$9)*(PI()*(Inputs!$F$9/1000)^2/4)*((Inputs!$F$9/1000/4)^(2/3))*SQRT(P41))</f>
        <v/>
      </c>
      <c r="AL41" s="4">
        <f>IF(A41="","",(1/Inputs!$B$9)*(PI()*(Inputs!$F$10/1000)^2/4)*((Inputs!$F$10/1000/4)^(2/3))*SQRT(P41))</f>
        <v/>
      </c>
      <c r="AM41" s="4">
        <f>IF(A41="","",(1/Inputs!$B$9)*(PI()*(Inputs!$F$11/1000)^2/4)*((Inputs!$F$11/1000/4)^(2/3))*SQRT(P41))</f>
        <v/>
      </c>
      <c r="AN41" s="4">
        <f>IF(A41="","",(1/Inputs!$B$9)*(PI()*(Inputs!$F$12/1000)^2/4)*((Inputs!$F$12/1000/4)^(2/3))*SQRT(P41))</f>
        <v/>
      </c>
      <c r="AO41" s="4">
        <f>IF(A41="","",(1/Inputs!$B$9)*(PI()*(Inputs!$F$13/1000)^2/4)*((Inputs!$F$13/1000/4)^(2/3))*SQRT(P41))</f>
        <v/>
      </c>
      <c r="AP41" s="4">
        <f>IF(A41="","",(1/Inputs!$B$9)*(PI()*(Inputs!$F$14/1000)^2/4)*((Inputs!$F$14/1000/4)^(2/3))*SQRT(P41))</f>
        <v/>
      </c>
    </row>
    <row r="42">
      <c r="A42" s="4" t="n"/>
      <c r="B42" s="4" t="n"/>
      <c r="C42" s="4" t="n"/>
      <c r="D42" s="4" t="n"/>
      <c r="E42" s="8" t="n"/>
      <c r="F42" s="8" t="n"/>
      <c r="G42" s="8">
        <f>SUMIFS(CB_plan!$C:$C,CB_plan!$B:$B,$A42)</f>
        <v/>
      </c>
      <c r="H42" s="8">
        <f>IF(F42="",G42,F42)</f>
        <v/>
      </c>
      <c r="I42" s="4" t="n"/>
      <c r="J42" s="8" t="n"/>
      <c r="K42" s="8">
        <f>IF(A42="","",Inputs!$B$13/((IF(J42="",Inputs!$B$18,J42)+Inputs!$B$14)^Inputs!$B$15))</f>
        <v/>
      </c>
      <c r="L42" s="8">
        <f>IF(A42="","",0.00278*IF(I42="",Inputs!$B$17,I42)*H42*K42)</f>
        <v/>
      </c>
      <c r="M42" s="8">
        <f>IF(A42="","",SUMIFS($N$4:$N$203,$D$4:$D$203,$A42))</f>
        <v/>
      </c>
      <c r="N42" s="8">
        <f>IF(A42="","",(L42+M42)*Inputs!$B$16)</f>
        <v/>
      </c>
      <c r="O42" s="8" t="n"/>
      <c r="P42" s="8">
        <f>IF(A42="","",IF(O42="",Inputs!$B$7,O42))</f>
        <v/>
      </c>
      <c r="Q42" s="4">
        <f>IF(A42="","",IF(N42/Inputs!$B$10&lt;=AG42,Inputs!$F$5,IF(N42/Inputs!$B$10&gt;AP42,"OVERSIZE",INDEX(Inputs!$F$5:$F$14,MATCH(N42/Inputs!$B$10,AG42:AP42,1)+1))))</f>
        <v/>
      </c>
      <c r="R42" s="4" t="n"/>
      <c r="S42" s="4">
        <f>IF(A42="","",IF(R42="",Q42,R42))</f>
        <v/>
      </c>
      <c r="T42" s="8">
        <f>IF(OR(S42="",S42="OVERSIZE"),"",S42/1000)</f>
        <v/>
      </c>
      <c r="U42" s="8">
        <f>IF(T42="","",(1/Inputs!$B$9)*(PI()*T42^2/4)*((T42/4)^(2/3))*SQRT(P42))</f>
        <v/>
      </c>
      <c r="V42" s="8">
        <f>IF(OR(U42="",N42=""),"",N42/(U42*Inputs!$B$10))</f>
        <v/>
      </c>
      <c r="W42" s="8">
        <f>IF(OR(T42="",N42=""),"",4*N42/(PI()*T42^2))</f>
        <v/>
      </c>
      <c r="X42" s="8" t="n"/>
      <c r="Y42" s="8">
        <f>IF(A42="","",IF(A42=Inputs!$B$6,Inputs!$B$22,IF(D42="","",IFERROR(INDEX($Z$4:$Z$203,MATCH(D42,$A$4:$A$203,0))+IF(X42="",Inputs!$B$20,X42),""))))</f>
        <v/>
      </c>
      <c r="Z42" s="8">
        <f>IF(OR(Y42="",P42="",E42=""),"",Y42+P42*E42)</f>
        <v/>
      </c>
      <c r="AA42" s="8">
        <f>IF(C42="","",IFERROR(INDEX(Noeuds_plan!$C$4:$C$200,MATCH(C42,Noeuds_plan!$A$4:$A$200,0)),""))</f>
        <v/>
      </c>
      <c r="AB42" s="8">
        <f>IF(B42="","",IFERROR(INDEX(Noeuds_plan!$C$4:$C$200,MATCH(B42,Noeuds_plan!$A$4:$A$200,0)),""))</f>
        <v/>
      </c>
      <c r="AC42" s="8">
        <f>IF(OR(AA42="",Y42=""),"",AA42-Y42)</f>
        <v/>
      </c>
      <c r="AD42" s="8">
        <f>IF(OR(AB42="",Z42=""),"",AB42-Z42)</f>
        <v/>
      </c>
      <c r="AE42" s="4">
        <f>IF(A42="","",IF(OR(V42&gt;1,W42&lt;Inputs!$B$11,W42&gt;Inputs!$B$12,AC42&lt;Inputs!$B$19,AD42&lt;Inputs!$B$19,P42&lt;Inputs!$B$7,P42&gt;Inputs!$B$8),"CHECK","OK"))</f>
        <v/>
      </c>
      <c r="AF42" s="4" t="n"/>
      <c r="AG42" s="4">
        <f>IF(A42="","",(1/Inputs!$B$9)*(PI()*(Inputs!$F$5/1000)^2/4)*((Inputs!$F$5/1000/4)^(2/3))*SQRT(P42))</f>
        <v/>
      </c>
      <c r="AH42" s="4">
        <f>IF(A42="","",(1/Inputs!$B$9)*(PI()*(Inputs!$F$6/1000)^2/4)*((Inputs!$F$6/1000/4)^(2/3))*SQRT(P42))</f>
        <v/>
      </c>
      <c r="AI42" s="4">
        <f>IF(A42="","",(1/Inputs!$B$9)*(PI()*(Inputs!$F$7/1000)^2/4)*((Inputs!$F$7/1000/4)^(2/3))*SQRT(P42))</f>
        <v/>
      </c>
      <c r="AJ42" s="4">
        <f>IF(A42="","",(1/Inputs!$B$9)*(PI()*(Inputs!$F$8/1000)^2/4)*((Inputs!$F$8/1000/4)^(2/3))*SQRT(P42))</f>
        <v/>
      </c>
      <c r="AK42" s="4">
        <f>IF(A42="","",(1/Inputs!$B$9)*(PI()*(Inputs!$F$9/1000)^2/4)*((Inputs!$F$9/1000/4)^(2/3))*SQRT(P42))</f>
        <v/>
      </c>
      <c r="AL42" s="4">
        <f>IF(A42="","",(1/Inputs!$B$9)*(PI()*(Inputs!$F$10/1000)^2/4)*((Inputs!$F$10/1000/4)^(2/3))*SQRT(P42))</f>
        <v/>
      </c>
      <c r="AM42" s="4">
        <f>IF(A42="","",(1/Inputs!$B$9)*(PI()*(Inputs!$F$11/1000)^2/4)*((Inputs!$F$11/1000/4)^(2/3))*SQRT(P42))</f>
        <v/>
      </c>
      <c r="AN42" s="4">
        <f>IF(A42="","",(1/Inputs!$B$9)*(PI()*(Inputs!$F$12/1000)^2/4)*((Inputs!$F$12/1000/4)^(2/3))*SQRT(P42))</f>
        <v/>
      </c>
      <c r="AO42" s="4">
        <f>IF(A42="","",(1/Inputs!$B$9)*(PI()*(Inputs!$F$13/1000)^2/4)*((Inputs!$F$13/1000/4)^(2/3))*SQRT(P42))</f>
        <v/>
      </c>
      <c r="AP42" s="4">
        <f>IF(A42="","",(1/Inputs!$B$9)*(PI()*(Inputs!$F$14/1000)^2/4)*((Inputs!$F$14/1000/4)^(2/3))*SQRT(P42))</f>
        <v/>
      </c>
    </row>
    <row r="43">
      <c r="A43" s="4" t="n"/>
      <c r="B43" s="4" t="n"/>
      <c r="C43" s="4" t="n"/>
      <c r="D43" s="4" t="n"/>
      <c r="E43" s="8" t="n"/>
      <c r="F43" s="8" t="n"/>
      <c r="G43" s="8">
        <f>SUMIFS(CB_plan!$C:$C,CB_plan!$B:$B,$A43)</f>
        <v/>
      </c>
      <c r="H43" s="8">
        <f>IF(F43="",G43,F43)</f>
        <v/>
      </c>
      <c r="I43" s="4" t="n"/>
      <c r="J43" s="8" t="n"/>
      <c r="K43" s="8">
        <f>IF(A43="","",Inputs!$B$13/((IF(J43="",Inputs!$B$18,J43)+Inputs!$B$14)^Inputs!$B$15))</f>
        <v/>
      </c>
      <c r="L43" s="8">
        <f>IF(A43="","",0.00278*IF(I43="",Inputs!$B$17,I43)*H43*K43)</f>
        <v/>
      </c>
      <c r="M43" s="8">
        <f>IF(A43="","",SUMIFS($N$4:$N$203,$D$4:$D$203,$A43))</f>
        <v/>
      </c>
      <c r="N43" s="8">
        <f>IF(A43="","",(L43+M43)*Inputs!$B$16)</f>
        <v/>
      </c>
      <c r="O43" s="8" t="n"/>
      <c r="P43" s="8">
        <f>IF(A43="","",IF(O43="",Inputs!$B$7,O43))</f>
        <v/>
      </c>
      <c r="Q43" s="4">
        <f>IF(A43="","",IF(N43/Inputs!$B$10&lt;=AG43,Inputs!$F$5,IF(N43/Inputs!$B$10&gt;AP43,"OVERSIZE",INDEX(Inputs!$F$5:$F$14,MATCH(N43/Inputs!$B$10,AG43:AP43,1)+1))))</f>
        <v/>
      </c>
      <c r="R43" s="4" t="n"/>
      <c r="S43" s="4">
        <f>IF(A43="","",IF(R43="",Q43,R43))</f>
        <v/>
      </c>
      <c r="T43" s="8">
        <f>IF(OR(S43="",S43="OVERSIZE"),"",S43/1000)</f>
        <v/>
      </c>
      <c r="U43" s="8">
        <f>IF(T43="","",(1/Inputs!$B$9)*(PI()*T43^2/4)*((T43/4)^(2/3))*SQRT(P43))</f>
        <v/>
      </c>
      <c r="V43" s="8">
        <f>IF(OR(U43="",N43=""),"",N43/(U43*Inputs!$B$10))</f>
        <v/>
      </c>
      <c r="W43" s="8">
        <f>IF(OR(T43="",N43=""),"",4*N43/(PI()*T43^2))</f>
        <v/>
      </c>
      <c r="X43" s="8" t="n"/>
      <c r="Y43" s="8">
        <f>IF(A43="","",IF(A43=Inputs!$B$6,Inputs!$B$22,IF(D43="","",IFERROR(INDEX($Z$4:$Z$203,MATCH(D43,$A$4:$A$203,0))+IF(X43="",Inputs!$B$20,X43),""))))</f>
        <v/>
      </c>
      <c r="Z43" s="8">
        <f>IF(OR(Y43="",P43="",E43=""),"",Y43+P43*E43)</f>
        <v/>
      </c>
      <c r="AA43" s="8">
        <f>IF(C43="","",IFERROR(INDEX(Noeuds_plan!$C$4:$C$200,MATCH(C43,Noeuds_plan!$A$4:$A$200,0)),""))</f>
        <v/>
      </c>
      <c r="AB43" s="8">
        <f>IF(B43="","",IFERROR(INDEX(Noeuds_plan!$C$4:$C$200,MATCH(B43,Noeuds_plan!$A$4:$A$200,0)),""))</f>
        <v/>
      </c>
      <c r="AC43" s="8">
        <f>IF(OR(AA43="",Y43=""),"",AA43-Y43)</f>
        <v/>
      </c>
      <c r="AD43" s="8">
        <f>IF(OR(AB43="",Z43=""),"",AB43-Z43)</f>
        <v/>
      </c>
      <c r="AE43" s="4">
        <f>IF(A43="","",IF(OR(V43&gt;1,W43&lt;Inputs!$B$11,W43&gt;Inputs!$B$12,AC43&lt;Inputs!$B$19,AD43&lt;Inputs!$B$19,P43&lt;Inputs!$B$7,P43&gt;Inputs!$B$8),"CHECK","OK"))</f>
        <v/>
      </c>
      <c r="AF43" s="4" t="n"/>
      <c r="AG43" s="4">
        <f>IF(A43="","",(1/Inputs!$B$9)*(PI()*(Inputs!$F$5/1000)^2/4)*((Inputs!$F$5/1000/4)^(2/3))*SQRT(P43))</f>
        <v/>
      </c>
      <c r="AH43" s="4">
        <f>IF(A43="","",(1/Inputs!$B$9)*(PI()*(Inputs!$F$6/1000)^2/4)*((Inputs!$F$6/1000/4)^(2/3))*SQRT(P43))</f>
        <v/>
      </c>
      <c r="AI43" s="4">
        <f>IF(A43="","",(1/Inputs!$B$9)*(PI()*(Inputs!$F$7/1000)^2/4)*((Inputs!$F$7/1000/4)^(2/3))*SQRT(P43))</f>
        <v/>
      </c>
      <c r="AJ43" s="4">
        <f>IF(A43="","",(1/Inputs!$B$9)*(PI()*(Inputs!$F$8/1000)^2/4)*((Inputs!$F$8/1000/4)^(2/3))*SQRT(P43))</f>
        <v/>
      </c>
      <c r="AK43" s="4">
        <f>IF(A43="","",(1/Inputs!$B$9)*(PI()*(Inputs!$F$9/1000)^2/4)*((Inputs!$F$9/1000/4)^(2/3))*SQRT(P43))</f>
        <v/>
      </c>
      <c r="AL43" s="4">
        <f>IF(A43="","",(1/Inputs!$B$9)*(PI()*(Inputs!$F$10/1000)^2/4)*((Inputs!$F$10/1000/4)^(2/3))*SQRT(P43))</f>
        <v/>
      </c>
      <c r="AM43" s="4">
        <f>IF(A43="","",(1/Inputs!$B$9)*(PI()*(Inputs!$F$11/1000)^2/4)*((Inputs!$F$11/1000/4)^(2/3))*SQRT(P43))</f>
        <v/>
      </c>
      <c r="AN43" s="4">
        <f>IF(A43="","",(1/Inputs!$B$9)*(PI()*(Inputs!$F$12/1000)^2/4)*((Inputs!$F$12/1000/4)^(2/3))*SQRT(P43))</f>
        <v/>
      </c>
      <c r="AO43" s="4">
        <f>IF(A43="","",(1/Inputs!$B$9)*(PI()*(Inputs!$F$13/1000)^2/4)*((Inputs!$F$13/1000/4)^(2/3))*SQRT(P43))</f>
        <v/>
      </c>
      <c r="AP43" s="4">
        <f>IF(A43="","",(1/Inputs!$B$9)*(PI()*(Inputs!$F$14/1000)^2/4)*((Inputs!$F$14/1000/4)^(2/3))*SQRT(P43))</f>
        <v/>
      </c>
    </row>
    <row r="44">
      <c r="A44" s="4" t="n"/>
      <c r="B44" s="4" t="n"/>
      <c r="C44" s="4" t="n"/>
      <c r="D44" s="4" t="n"/>
      <c r="E44" s="8" t="n"/>
      <c r="F44" s="8" t="n"/>
      <c r="G44" s="8">
        <f>SUMIFS(CB_plan!$C:$C,CB_plan!$B:$B,$A44)</f>
        <v/>
      </c>
      <c r="H44" s="8">
        <f>IF(F44="",G44,F44)</f>
        <v/>
      </c>
      <c r="I44" s="4" t="n"/>
      <c r="J44" s="8" t="n"/>
      <c r="K44" s="8">
        <f>IF(A44="","",Inputs!$B$13/((IF(J44="",Inputs!$B$18,J44)+Inputs!$B$14)^Inputs!$B$15))</f>
        <v/>
      </c>
      <c r="L44" s="8">
        <f>IF(A44="","",0.00278*IF(I44="",Inputs!$B$17,I44)*H44*K44)</f>
        <v/>
      </c>
      <c r="M44" s="8">
        <f>IF(A44="","",SUMIFS($N$4:$N$203,$D$4:$D$203,$A44))</f>
        <v/>
      </c>
      <c r="N44" s="8">
        <f>IF(A44="","",(L44+M44)*Inputs!$B$16)</f>
        <v/>
      </c>
      <c r="O44" s="8" t="n"/>
      <c r="P44" s="8">
        <f>IF(A44="","",IF(O44="",Inputs!$B$7,O44))</f>
        <v/>
      </c>
      <c r="Q44" s="4">
        <f>IF(A44="","",IF(N44/Inputs!$B$10&lt;=AG44,Inputs!$F$5,IF(N44/Inputs!$B$10&gt;AP44,"OVERSIZE",INDEX(Inputs!$F$5:$F$14,MATCH(N44/Inputs!$B$10,AG44:AP44,1)+1))))</f>
        <v/>
      </c>
      <c r="R44" s="4" t="n"/>
      <c r="S44" s="4">
        <f>IF(A44="","",IF(R44="",Q44,R44))</f>
        <v/>
      </c>
      <c r="T44" s="8">
        <f>IF(OR(S44="",S44="OVERSIZE"),"",S44/1000)</f>
        <v/>
      </c>
      <c r="U44" s="8">
        <f>IF(T44="","",(1/Inputs!$B$9)*(PI()*T44^2/4)*((T44/4)^(2/3))*SQRT(P44))</f>
        <v/>
      </c>
      <c r="V44" s="8">
        <f>IF(OR(U44="",N44=""),"",N44/(U44*Inputs!$B$10))</f>
        <v/>
      </c>
      <c r="W44" s="8">
        <f>IF(OR(T44="",N44=""),"",4*N44/(PI()*T44^2))</f>
        <v/>
      </c>
      <c r="X44" s="8" t="n"/>
      <c r="Y44" s="8">
        <f>IF(A44="","",IF(A44=Inputs!$B$6,Inputs!$B$22,IF(D44="","",IFERROR(INDEX($Z$4:$Z$203,MATCH(D44,$A$4:$A$203,0))+IF(X44="",Inputs!$B$20,X44),""))))</f>
        <v/>
      </c>
      <c r="Z44" s="8">
        <f>IF(OR(Y44="",P44="",E44=""),"",Y44+P44*E44)</f>
        <v/>
      </c>
      <c r="AA44" s="8">
        <f>IF(C44="","",IFERROR(INDEX(Noeuds_plan!$C$4:$C$200,MATCH(C44,Noeuds_plan!$A$4:$A$200,0)),""))</f>
        <v/>
      </c>
      <c r="AB44" s="8">
        <f>IF(B44="","",IFERROR(INDEX(Noeuds_plan!$C$4:$C$200,MATCH(B44,Noeuds_plan!$A$4:$A$200,0)),""))</f>
        <v/>
      </c>
      <c r="AC44" s="8">
        <f>IF(OR(AA44="",Y44=""),"",AA44-Y44)</f>
        <v/>
      </c>
      <c r="AD44" s="8">
        <f>IF(OR(AB44="",Z44=""),"",AB44-Z44)</f>
        <v/>
      </c>
      <c r="AE44" s="4">
        <f>IF(A44="","",IF(OR(V44&gt;1,W44&lt;Inputs!$B$11,W44&gt;Inputs!$B$12,AC44&lt;Inputs!$B$19,AD44&lt;Inputs!$B$19,P44&lt;Inputs!$B$7,P44&gt;Inputs!$B$8),"CHECK","OK"))</f>
        <v/>
      </c>
      <c r="AF44" s="4" t="n"/>
      <c r="AG44" s="4">
        <f>IF(A44="","",(1/Inputs!$B$9)*(PI()*(Inputs!$F$5/1000)^2/4)*((Inputs!$F$5/1000/4)^(2/3))*SQRT(P44))</f>
        <v/>
      </c>
      <c r="AH44" s="4">
        <f>IF(A44="","",(1/Inputs!$B$9)*(PI()*(Inputs!$F$6/1000)^2/4)*((Inputs!$F$6/1000/4)^(2/3))*SQRT(P44))</f>
        <v/>
      </c>
      <c r="AI44" s="4">
        <f>IF(A44="","",(1/Inputs!$B$9)*(PI()*(Inputs!$F$7/1000)^2/4)*((Inputs!$F$7/1000/4)^(2/3))*SQRT(P44))</f>
        <v/>
      </c>
      <c r="AJ44" s="4">
        <f>IF(A44="","",(1/Inputs!$B$9)*(PI()*(Inputs!$F$8/1000)^2/4)*((Inputs!$F$8/1000/4)^(2/3))*SQRT(P44))</f>
        <v/>
      </c>
      <c r="AK44" s="4">
        <f>IF(A44="","",(1/Inputs!$B$9)*(PI()*(Inputs!$F$9/1000)^2/4)*((Inputs!$F$9/1000/4)^(2/3))*SQRT(P44))</f>
        <v/>
      </c>
      <c r="AL44" s="4">
        <f>IF(A44="","",(1/Inputs!$B$9)*(PI()*(Inputs!$F$10/1000)^2/4)*((Inputs!$F$10/1000/4)^(2/3))*SQRT(P44))</f>
        <v/>
      </c>
      <c r="AM44" s="4">
        <f>IF(A44="","",(1/Inputs!$B$9)*(PI()*(Inputs!$F$11/1000)^2/4)*((Inputs!$F$11/1000/4)^(2/3))*SQRT(P44))</f>
        <v/>
      </c>
      <c r="AN44" s="4">
        <f>IF(A44="","",(1/Inputs!$B$9)*(PI()*(Inputs!$F$12/1000)^2/4)*((Inputs!$F$12/1000/4)^(2/3))*SQRT(P44))</f>
        <v/>
      </c>
      <c r="AO44" s="4">
        <f>IF(A44="","",(1/Inputs!$B$9)*(PI()*(Inputs!$F$13/1000)^2/4)*((Inputs!$F$13/1000/4)^(2/3))*SQRT(P44))</f>
        <v/>
      </c>
      <c r="AP44" s="4">
        <f>IF(A44="","",(1/Inputs!$B$9)*(PI()*(Inputs!$F$14/1000)^2/4)*((Inputs!$F$14/1000/4)^(2/3))*SQRT(P44))</f>
        <v/>
      </c>
    </row>
    <row r="45">
      <c r="A45" s="4" t="n"/>
      <c r="B45" s="4" t="n"/>
      <c r="C45" s="4" t="n"/>
      <c r="D45" s="4" t="n"/>
      <c r="E45" s="8" t="n"/>
      <c r="F45" s="8" t="n"/>
      <c r="G45" s="8">
        <f>SUMIFS(CB_plan!$C:$C,CB_plan!$B:$B,$A45)</f>
        <v/>
      </c>
      <c r="H45" s="8">
        <f>IF(F45="",G45,F45)</f>
        <v/>
      </c>
      <c r="I45" s="4" t="n"/>
      <c r="J45" s="8" t="n"/>
      <c r="K45" s="8">
        <f>IF(A45="","",Inputs!$B$13/((IF(J45="",Inputs!$B$18,J45)+Inputs!$B$14)^Inputs!$B$15))</f>
        <v/>
      </c>
      <c r="L45" s="8">
        <f>IF(A45="","",0.00278*IF(I45="",Inputs!$B$17,I45)*H45*K45)</f>
        <v/>
      </c>
      <c r="M45" s="8">
        <f>IF(A45="","",SUMIFS($N$4:$N$203,$D$4:$D$203,$A45))</f>
        <v/>
      </c>
      <c r="N45" s="8">
        <f>IF(A45="","",(L45+M45)*Inputs!$B$16)</f>
        <v/>
      </c>
      <c r="O45" s="8" t="n"/>
      <c r="P45" s="8">
        <f>IF(A45="","",IF(O45="",Inputs!$B$7,O45))</f>
        <v/>
      </c>
      <c r="Q45" s="4">
        <f>IF(A45="","",IF(N45/Inputs!$B$10&lt;=AG45,Inputs!$F$5,IF(N45/Inputs!$B$10&gt;AP45,"OVERSIZE",INDEX(Inputs!$F$5:$F$14,MATCH(N45/Inputs!$B$10,AG45:AP45,1)+1))))</f>
        <v/>
      </c>
      <c r="R45" s="4" t="n"/>
      <c r="S45" s="4">
        <f>IF(A45="","",IF(R45="",Q45,R45))</f>
        <v/>
      </c>
      <c r="T45" s="8">
        <f>IF(OR(S45="",S45="OVERSIZE"),"",S45/1000)</f>
        <v/>
      </c>
      <c r="U45" s="8">
        <f>IF(T45="","",(1/Inputs!$B$9)*(PI()*T45^2/4)*((T45/4)^(2/3))*SQRT(P45))</f>
        <v/>
      </c>
      <c r="V45" s="8">
        <f>IF(OR(U45="",N45=""),"",N45/(U45*Inputs!$B$10))</f>
        <v/>
      </c>
      <c r="W45" s="8">
        <f>IF(OR(T45="",N45=""),"",4*N45/(PI()*T45^2))</f>
        <v/>
      </c>
      <c r="X45" s="8" t="n"/>
      <c r="Y45" s="8">
        <f>IF(A45="","",IF(A45=Inputs!$B$6,Inputs!$B$22,IF(D45="","",IFERROR(INDEX($Z$4:$Z$203,MATCH(D45,$A$4:$A$203,0))+IF(X45="",Inputs!$B$20,X45),""))))</f>
        <v/>
      </c>
      <c r="Z45" s="8">
        <f>IF(OR(Y45="",P45="",E45=""),"",Y45+P45*E45)</f>
        <v/>
      </c>
      <c r="AA45" s="8">
        <f>IF(C45="","",IFERROR(INDEX(Noeuds_plan!$C$4:$C$200,MATCH(C45,Noeuds_plan!$A$4:$A$200,0)),""))</f>
        <v/>
      </c>
      <c r="AB45" s="8">
        <f>IF(B45="","",IFERROR(INDEX(Noeuds_plan!$C$4:$C$200,MATCH(B45,Noeuds_plan!$A$4:$A$200,0)),""))</f>
        <v/>
      </c>
      <c r="AC45" s="8">
        <f>IF(OR(AA45="",Y45=""),"",AA45-Y45)</f>
        <v/>
      </c>
      <c r="AD45" s="8">
        <f>IF(OR(AB45="",Z45=""),"",AB45-Z45)</f>
        <v/>
      </c>
      <c r="AE45" s="4">
        <f>IF(A45="","",IF(OR(V45&gt;1,W45&lt;Inputs!$B$11,W45&gt;Inputs!$B$12,AC45&lt;Inputs!$B$19,AD45&lt;Inputs!$B$19,P45&lt;Inputs!$B$7,P45&gt;Inputs!$B$8),"CHECK","OK"))</f>
        <v/>
      </c>
      <c r="AF45" s="4" t="n"/>
      <c r="AG45" s="4">
        <f>IF(A45="","",(1/Inputs!$B$9)*(PI()*(Inputs!$F$5/1000)^2/4)*((Inputs!$F$5/1000/4)^(2/3))*SQRT(P45))</f>
        <v/>
      </c>
      <c r="AH45" s="4">
        <f>IF(A45="","",(1/Inputs!$B$9)*(PI()*(Inputs!$F$6/1000)^2/4)*((Inputs!$F$6/1000/4)^(2/3))*SQRT(P45))</f>
        <v/>
      </c>
      <c r="AI45" s="4">
        <f>IF(A45="","",(1/Inputs!$B$9)*(PI()*(Inputs!$F$7/1000)^2/4)*((Inputs!$F$7/1000/4)^(2/3))*SQRT(P45))</f>
        <v/>
      </c>
      <c r="AJ45" s="4">
        <f>IF(A45="","",(1/Inputs!$B$9)*(PI()*(Inputs!$F$8/1000)^2/4)*((Inputs!$F$8/1000/4)^(2/3))*SQRT(P45))</f>
        <v/>
      </c>
      <c r="AK45" s="4">
        <f>IF(A45="","",(1/Inputs!$B$9)*(PI()*(Inputs!$F$9/1000)^2/4)*((Inputs!$F$9/1000/4)^(2/3))*SQRT(P45))</f>
        <v/>
      </c>
      <c r="AL45" s="4">
        <f>IF(A45="","",(1/Inputs!$B$9)*(PI()*(Inputs!$F$10/1000)^2/4)*((Inputs!$F$10/1000/4)^(2/3))*SQRT(P45))</f>
        <v/>
      </c>
      <c r="AM45" s="4">
        <f>IF(A45="","",(1/Inputs!$B$9)*(PI()*(Inputs!$F$11/1000)^2/4)*((Inputs!$F$11/1000/4)^(2/3))*SQRT(P45))</f>
        <v/>
      </c>
      <c r="AN45" s="4">
        <f>IF(A45="","",(1/Inputs!$B$9)*(PI()*(Inputs!$F$12/1000)^2/4)*((Inputs!$F$12/1000/4)^(2/3))*SQRT(P45))</f>
        <v/>
      </c>
      <c r="AO45" s="4">
        <f>IF(A45="","",(1/Inputs!$B$9)*(PI()*(Inputs!$F$13/1000)^2/4)*((Inputs!$F$13/1000/4)^(2/3))*SQRT(P45))</f>
        <v/>
      </c>
      <c r="AP45" s="4">
        <f>IF(A45="","",(1/Inputs!$B$9)*(PI()*(Inputs!$F$14/1000)^2/4)*((Inputs!$F$14/1000/4)^(2/3))*SQRT(P45))</f>
        <v/>
      </c>
    </row>
    <row r="46">
      <c r="A46" s="4" t="n"/>
      <c r="B46" s="4" t="n"/>
      <c r="C46" s="4" t="n"/>
      <c r="D46" s="4" t="n"/>
      <c r="E46" s="8" t="n"/>
      <c r="F46" s="8" t="n"/>
      <c r="G46" s="8">
        <f>SUMIFS(CB_plan!$C:$C,CB_plan!$B:$B,$A46)</f>
        <v/>
      </c>
      <c r="H46" s="8">
        <f>IF(F46="",G46,F46)</f>
        <v/>
      </c>
      <c r="I46" s="4" t="n"/>
      <c r="J46" s="8" t="n"/>
      <c r="K46" s="8">
        <f>IF(A46="","",Inputs!$B$13/((IF(J46="",Inputs!$B$18,J46)+Inputs!$B$14)^Inputs!$B$15))</f>
        <v/>
      </c>
      <c r="L46" s="8">
        <f>IF(A46="","",0.00278*IF(I46="",Inputs!$B$17,I46)*H46*K46)</f>
        <v/>
      </c>
      <c r="M46" s="8">
        <f>IF(A46="","",SUMIFS($N$4:$N$203,$D$4:$D$203,$A46))</f>
        <v/>
      </c>
      <c r="N46" s="8">
        <f>IF(A46="","",(L46+M46)*Inputs!$B$16)</f>
        <v/>
      </c>
      <c r="O46" s="8" t="n"/>
      <c r="P46" s="8">
        <f>IF(A46="","",IF(O46="",Inputs!$B$7,O46))</f>
        <v/>
      </c>
      <c r="Q46" s="4">
        <f>IF(A46="","",IF(N46/Inputs!$B$10&lt;=AG46,Inputs!$F$5,IF(N46/Inputs!$B$10&gt;AP46,"OVERSIZE",INDEX(Inputs!$F$5:$F$14,MATCH(N46/Inputs!$B$10,AG46:AP46,1)+1))))</f>
        <v/>
      </c>
      <c r="R46" s="4" t="n"/>
      <c r="S46" s="4">
        <f>IF(A46="","",IF(R46="",Q46,R46))</f>
        <v/>
      </c>
      <c r="T46" s="8">
        <f>IF(OR(S46="",S46="OVERSIZE"),"",S46/1000)</f>
        <v/>
      </c>
      <c r="U46" s="8">
        <f>IF(T46="","",(1/Inputs!$B$9)*(PI()*T46^2/4)*((T46/4)^(2/3))*SQRT(P46))</f>
        <v/>
      </c>
      <c r="V46" s="8">
        <f>IF(OR(U46="",N46=""),"",N46/(U46*Inputs!$B$10))</f>
        <v/>
      </c>
      <c r="W46" s="8">
        <f>IF(OR(T46="",N46=""),"",4*N46/(PI()*T46^2))</f>
        <v/>
      </c>
      <c r="X46" s="8" t="n"/>
      <c r="Y46" s="8">
        <f>IF(A46="","",IF(A46=Inputs!$B$6,Inputs!$B$22,IF(D46="","",IFERROR(INDEX($Z$4:$Z$203,MATCH(D46,$A$4:$A$203,0))+IF(X46="",Inputs!$B$20,X46),""))))</f>
        <v/>
      </c>
      <c r="Z46" s="8">
        <f>IF(OR(Y46="",P46="",E46=""),"",Y46+P46*E46)</f>
        <v/>
      </c>
      <c r="AA46" s="8">
        <f>IF(C46="","",IFERROR(INDEX(Noeuds_plan!$C$4:$C$200,MATCH(C46,Noeuds_plan!$A$4:$A$200,0)),""))</f>
        <v/>
      </c>
      <c r="AB46" s="8">
        <f>IF(B46="","",IFERROR(INDEX(Noeuds_plan!$C$4:$C$200,MATCH(B46,Noeuds_plan!$A$4:$A$200,0)),""))</f>
        <v/>
      </c>
      <c r="AC46" s="8">
        <f>IF(OR(AA46="",Y46=""),"",AA46-Y46)</f>
        <v/>
      </c>
      <c r="AD46" s="8">
        <f>IF(OR(AB46="",Z46=""),"",AB46-Z46)</f>
        <v/>
      </c>
      <c r="AE46" s="4">
        <f>IF(A46="","",IF(OR(V46&gt;1,W46&lt;Inputs!$B$11,W46&gt;Inputs!$B$12,AC46&lt;Inputs!$B$19,AD46&lt;Inputs!$B$19,P46&lt;Inputs!$B$7,P46&gt;Inputs!$B$8),"CHECK","OK"))</f>
        <v/>
      </c>
      <c r="AF46" s="4" t="n"/>
      <c r="AG46" s="4">
        <f>IF(A46="","",(1/Inputs!$B$9)*(PI()*(Inputs!$F$5/1000)^2/4)*((Inputs!$F$5/1000/4)^(2/3))*SQRT(P46))</f>
        <v/>
      </c>
      <c r="AH46" s="4">
        <f>IF(A46="","",(1/Inputs!$B$9)*(PI()*(Inputs!$F$6/1000)^2/4)*((Inputs!$F$6/1000/4)^(2/3))*SQRT(P46))</f>
        <v/>
      </c>
      <c r="AI46" s="4">
        <f>IF(A46="","",(1/Inputs!$B$9)*(PI()*(Inputs!$F$7/1000)^2/4)*((Inputs!$F$7/1000/4)^(2/3))*SQRT(P46))</f>
        <v/>
      </c>
      <c r="AJ46" s="4">
        <f>IF(A46="","",(1/Inputs!$B$9)*(PI()*(Inputs!$F$8/1000)^2/4)*((Inputs!$F$8/1000/4)^(2/3))*SQRT(P46))</f>
        <v/>
      </c>
      <c r="AK46" s="4">
        <f>IF(A46="","",(1/Inputs!$B$9)*(PI()*(Inputs!$F$9/1000)^2/4)*((Inputs!$F$9/1000/4)^(2/3))*SQRT(P46))</f>
        <v/>
      </c>
      <c r="AL46" s="4">
        <f>IF(A46="","",(1/Inputs!$B$9)*(PI()*(Inputs!$F$10/1000)^2/4)*((Inputs!$F$10/1000/4)^(2/3))*SQRT(P46))</f>
        <v/>
      </c>
      <c r="AM46" s="4">
        <f>IF(A46="","",(1/Inputs!$B$9)*(PI()*(Inputs!$F$11/1000)^2/4)*((Inputs!$F$11/1000/4)^(2/3))*SQRT(P46))</f>
        <v/>
      </c>
      <c r="AN46" s="4">
        <f>IF(A46="","",(1/Inputs!$B$9)*(PI()*(Inputs!$F$12/1000)^2/4)*((Inputs!$F$12/1000/4)^(2/3))*SQRT(P46))</f>
        <v/>
      </c>
      <c r="AO46" s="4">
        <f>IF(A46="","",(1/Inputs!$B$9)*(PI()*(Inputs!$F$13/1000)^2/4)*((Inputs!$F$13/1000/4)^(2/3))*SQRT(P46))</f>
        <v/>
      </c>
      <c r="AP46" s="4">
        <f>IF(A46="","",(1/Inputs!$B$9)*(PI()*(Inputs!$F$14/1000)^2/4)*((Inputs!$F$14/1000/4)^(2/3))*SQRT(P46))</f>
        <v/>
      </c>
    </row>
    <row r="47">
      <c r="A47" s="4" t="n"/>
      <c r="B47" s="4" t="n"/>
      <c r="C47" s="4" t="n"/>
      <c r="D47" s="4" t="n"/>
      <c r="E47" s="8" t="n"/>
      <c r="F47" s="8" t="n"/>
      <c r="G47" s="8">
        <f>SUMIFS(CB_plan!$C:$C,CB_plan!$B:$B,$A47)</f>
        <v/>
      </c>
      <c r="H47" s="8">
        <f>IF(F47="",G47,F47)</f>
        <v/>
      </c>
      <c r="I47" s="4" t="n"/>
      <c r="J47" s="8" t="n"/>
      <c r="K47" s="8">
        <f>IF(A47="","",Inputs!$B$13/((IF(J47="",Inputs!$B$18,J47)+Inputs!$B$14)^Inputs!$B$15))</f>
        <v/>
      </c>
      <c r="L47" s="8">
        <f>IF(A47="","",0.00278*IF(I47="",Inputs!$B$17,I47)*H47*K47)</f>
        <v/>
      </c>
      <c r="M47" s="8">
        <f>IF(A47="","",SUMIFS($N$4:$N$203,$D$4:$D$203,$A47))</f>
        <v/>
      </c>
      <c r="N47" s="8">
        <f>IF(A47="","",(L47+M47)*Inputs!$B$16)</f>
        <v/>
      </c>
      <c r="O47" s="8" t="n"/>
      <c r="P47" s="8">
        <f>IF(A47="","",IF(O47="",Inputs!$B$7,O47))</f>
        <v/>
      </c>
      <c r="Q47" s="4">
        <f>IF(A47="","",IF(N47/Inputs!$B$10&lt;=AG47,Inputs!$F$5,IF(N47/Inputs!$B$10&gt;AP47,"OVERSIZE",INDEX(Inputs!$F$5:$F$14,MATCH(N47/Inputs!$B$10,AG47:AP47,1)+1))))</f>
        <v/>
      </c>
      <c r="R47" s="4" t="n"/>
      <c r="S47" s="4">
        <f>IF(A47="","",IF(R47="",Q47,R47))</f>
        <v/>
      </c>
      <c r="T47" s="8">
        <f>IF(OR(S47="",S47="OVERSIZE"),"",S47/1000)</f>
        <v/>
      </c>
      <c r="U47" s="8">
        <f>IF(T47="","",(1/Inputs!$B$9)*(PI()*T47^2/4)*((T47/4)^(2/3))*SQRT(P47))</f>
        <v/>
      </c>
      <c r="V47" s="8">
        <f>IF(OR(U47="",N47=""),"",N47/(U47*Inputs!$B$10))</f>
        <v/>
      </c>
      <c r="W47" s="8">
        <f>IF(OR(T47="",N47=""),"",4*N47/(PI()*T47^2))</f>
        <v/>
      </c>
      <c r="X47" s="8" t="n"/>
      <c r="Y47" s="8">
        <f>IF(A47="","",IF(A47=Inputs!$B$6,Inputs!$B$22,IF(D47="","",IFERROR(INDEX($Z$4:$Z$203,MATCH(D47,$A$4:$A$203,0))+IF(X47="",Inputs!$B$20,X47),""))))</f>
        <v/>
      </c>
      <c r="Z47" s="8">
        <f>IF(OR(Y47="",P47="",E47=""),"",Y47+P47*E47)</f>
        <v/>
      </c>
      <c r="AA47" s="8">
        <f>IF(C47="","",IFERROR(INDEX(Noeuds_plan!$C$4:$C$200,MATCH(C47,Noeuds_plan!$A$4:$A$200,0)),""))</f>
        <v/>
      </c>
      <c r="AB47" s="8">
        <f>IF(B47="","",IFERROR(INDEX(Noeuds_plan!$C$4:$C$200,MATCH(B47,Noeuds_plan!$A$4:$A$200,0)),""))</f>
        <v/>
      </c>
      <c r="AC47" s="8">
        <f>IF(OR(AA47="",Y47=""),"",AA47-Y47)</f>
        <v/>
      </c>
      <c r="AD47" s="8">
        <f>IF(OR(AB47="",Z47=""),"",AB47-Z47)</f>
        <v/>
      </c>
      <c r="AE47" s="4">
        <f>IF(A47="","",IF(OR(V47&gt;1,W47&lt;Inputs!$B$11,W47&gt;Inputs!$B$12,AC47&lt;Inputs!$B$19,AD47&lt;Inputs!$B$19,P47&lt;Inputs!$B$7,P47&gt;Inputs!$B$8),"CHECK","OK"))</f>
        <v/>
      </c>
      <c r="AF47" s="4" t="n"/>
      <c r="AG47" s="4">
        <f>IF(A47="","",(1/Inputs!$B$9)*(PI()*(Inputs!$F$5/1000)^2/4)*((Inputs!$F$5/1000/4)^(2/3))*SQRT(P47))</f>
        <v/>
      </c>
      <c r="AH47" s="4">
        <f>IF(A47="","",(1/Inputs!$B$9)*(PI()*(Inputs!$F$6/1000)^2/4)*((Inputs!$F$6/1000/4)^(2/3))*SQRT(P47))</f>
        <v/>
      </c>
      <c r="AI47" s="4">
        <f>IF(A47="","",(1/Inputs!$B$9)*(PI()*(Inputs!$F$7/1000)^2/4)*((Inputs!$F$7/1000/4)^(2/3))*SQRT(P47))</f>
        <v/>
      </c>
      <c r="AJ47" s="4">
        <f>IF(A47="","",(1/Inputs!$B$9)*(PI()*(Inputs!$F$8/1000)^2/4)*((Inputs!$F$8/1000/4)^(2/3))*SQRT(P47))</f>
        <v/>
      </c>
      <c r="AK47" s="4">
        <f>IF(A47="","",(1/Inputs!$B$9)*(PI()*(Inputs!$F$9/1000)^2/4)*((Inputs!$F$9/1000/4)^(2/3))*SQRT(P47))</f>
        <v/>
      </c>
      <c r="AL47" s="4">
        <f>IF(A47="","",(1/Inputs!$B$9)*(PI()*(Inputs!$F$10/1000)^2/4)*((Inputs!$F$10/1000/4)^(2/3))*SQRT(P47))</f>
        <v/>
      </c>
      <c r="AM47" s="4">
        <f>IF(A47="","",(1/Inputs!$B$9)*(PI()*(Inputs!$F$11/1000)^2/4)*((Inputs!$F$11/1000/4)^(2/3))*SQRT(P47))</f>
        <v/>
      </c>
      <c r="AN47" s="4">
        <f>IF(A47="","",(1/Inputs!$B$9)*(PI()*(Inputs!$F$12/1000)^2/4)*((Inputs!$F$12/1000/4)^(2/3))*SQRT(P47))</f>
        <v/>
      </c>
      <c r="AO47" s="4">
        <f>IF(A47="","",(1/Inputs!$B$9)*(PI()*(Inputs!$F$13/1000)^2/4)*((Inputs!$F$13/1000/4)^(2/3))*SQRT(P47))</f>
        <v/>
      </c>
      <c r="AP47" s="4">
        <f>IF(A47="","",(1/Inputs!$B$9)*(PI()*(Inputs!$F$14/1000)^2/4)*((Inputs!$F$14/1000/4)^(2/3))*SQRT(P47))</f>
        <v/>
      </c>
    </row>
    <row r="48">
      <c r="A48" s="4" t="n"/>
      <c r="B48" s="4" t="n"/>
      <c r="C48" s="4" t="n"/>
      <c r="D48" s="4" t="n"/>
      <c r="E48" s="8" t="n"/>
      <c r="F48" s="8" t="n"/>
      <c r="G48" s="8">
        <f>SUMIFS(CB_plan!$C:$C,CB_plan!$B:$B,$A48)</f>
        <v/>
      </c>
      <c r="H48" s="8">
        <f>IF(F48="",G48,F48)</f>
        <v/>
      </c>
      <c r="I48" s="4" t="n"/>
      <c r="J48" s="8" t="n"/>
      <c r="K48" s="8">
        <f>IF(A48="","",Inputs!$B$13/((IF(J48="",Inputs!$B$18,J48)+Inputs!$B$14)^Inputs!$B$15))</f>
        <v/>
      </c>
      <c r="L48" s="8">
        <f>IF(A48="","",0.00278*IF(I48="",Inputs!$B$17,I48)*H48*K48)</f>
        <v/>
      </c>
      <c r="M48" s="8">
        <f>IF(A48="","",SUMIFS($N$4:$N$203,$D$4:$D$203,$A48))</f>
        <v/>
      </c>
      <c r="N48" s="8">
        <f>IF(A48="","",(L48+M48)*Inputs!$B$16)</f>
        <v/>
      </c>
      <c r="O48" s="8" t="n"/>
      <c r="P48" s="8">
        <f>IF(A48="","",IF(O48="",Inputs!$B$7,O48))</f>
        <v/>
      </c>
      <c r="Q48" s="4">
        <f>IF(A48="","",IF(N48/Inputs!$B$10&lt;=AG48,Inputs!$F$5,IF(N48/Inputs!$B$10&gt;AP48,"OVERSIZE",INDEX(Inputs!$F$5:$F$14,MATCH(N48/Inputs!$B$10,AG48:AP48,1)+1))))</f>
        <v/>
      </c>
      <c r="R48" s="4" t="n"/>
      <c r="S48" s="4">
        <f>IF(A48="","",IF(R48="",Q48,R48))</f>
        <v/>
      </c>
      <c r="T48" s="8">
        <f>IF(OR(S48="",S48="OVERSIZE"),"",S48/1000)</f>
        <v/>
      </c>
      <c r="U48" s="8">
        <f>IF(T48="","",(1/Inputs!$B$9)*(PI()*T48^2/4)*((T48/4)^(2/3))*SQRT(P48))</f>
        <v/>
      </c>
      <c r="V48" s="8">
        <f>IF(OR(U48="",N48=""),"",N48/(U48*Inputs!$B$10))</f>
        <v/>
      </c>
      <c r="W48" s="8">
        <f>IF(OR(T48="",N48=""),"",4*N48/(PI()*T48^2))</f>
        <v/>
      </c>
      <c r="X48" s="8" t="n"/>
      <c r="Y48" s="8">
        <f>IF(A48="","",IF(A48=Inputs!$B$6,Inputs!$B$22,IF(D48="","",IFERROR(INDEX($Z$4:$Z$203,MATCH(D48,$A$4:$A$203,0))+IF(X48="",Inputs!$B$20,X48),""))))</f>
        <v/>
      </c>
      <c r="Z48" s="8">
        <f>IF(OR(Y48="",P48="",E48=""),"",Y48+P48*E48)</f>
        <v/>
      </c>
      <c r="AA48" s="8">
        <f>IF(C48="","",IFERROR(INDEX(Noeuds_plan!$C$4:$C$200,MATCH(C48,Noeuds_plan!$A$4:$A$200,0)),""))</f>
        <v/>
      </c>
      <c r="AB48" s="8">
        <f>IF(B48="","",IFERROR(INDEX(Noeuds_plan!$C$4:$C$200,MATCH(B48,Noeuds_plan!$A$4:$A$200,0)),""))</f>
        <v/>
      </c>
      <c r="AC48" s="8">
        <f>IF(OR(AA48="",Y48=""),"",AA48-Y48)</f>
        <v/>
      </c>
      <c r="AD48" s="8">
        <f>IF(OR(AB48="",Z48=""),"",AB48-Z48)</f>
        <v/>
      </c>
      <c r="AE48" s="4">
        <f>IF(A48="","",IF(OR(V48&gt;1,W48&lt;Inputs!$B$11,W48&gt;Inputs!$B$12,AC48&lt;Inputs!$B$19,AD48&lt;Inputs!$B$19,P48&lt;Inputs!$B$7,P48&gt;Inputs!$B$8),"CHECK","OK"))</f>
        <v/>
      </c>
      <c r="AF48" s="4" t="n"/>
      <c r="AG48" s="4">
        <f>IF(A48="","",(1/Inputs!$B$9)*(PI()*(Inputs!$F$5/1000)^2/4)*((Inputs!$F$5/1000/4)^(2/3))*SQRT(P48))</f>
        <v/>
      </c>
      <c r="AH48" s="4">
        <f>IF(A48="","",(1/Inputs!$B$9)*(PI()*(Inputs!$F$6/1000)^2/4)*((Inputs!$F$6/1000/4)^(2/3))*SQRT(P48))</f>
        <v/>
      </c>
      <c r="AI48" s="4">
        <f>IF(A48="","",(1/Inputs!$B$9)*(PI()*(Inputs!$F$7/1000)^2/4)*((Inputs!$F$7/1000/4)^(2/3))*SQRT(P48))</f>
        <v/>
      </c>
      <c r="AJ48" s="4">
        <f>IF(A48="","",(1/Inputs!$B$9)*(PI()*(Inputs!$F$8/1000)^2/4)*((Inputs!$F$8/1000/4)^(2/3))*SQRT(P48))</f>
        <v/>
      </c>
      <c r="AK48" s="4">
        <f>IF(A48="","",(1/Inputs!$B$9)*(PI()*(Inputs!$F$9/1000)^2/4)*((Inputs!$F$9/1000/4)^(2/3))*SQRT(P48))</f>
        <v/>
      </c>
      <c r="AL48" s="4">
        <f>IF(A48="","",(1/Inputs!$B$9)*(PI()*(Inputs!$F$10/1000)^2/4)*((Inputs!$F$10/1000/4)^(2/3))*SQRT(P48))</f>
        <v/>
      </c>
      <c r="AM48" s="4">
        <f>IF(A48="","",(1/Inputs!$B$9)*(PI()*(Inputs!$F$11/1000)^2/4)*((Inputs!$F$11/1000/4)^(2/3))*SQRT(P48))</f>
        <v/>
      </c>
      <c r="AN48" s="4">
        <f>IF(A48="","",(1/Inputs!$B$9)*(PI()*(Inputs!$F$12/1000)^2/4)*((Inputs!$F$12/1000/4)^(2/3))*SQRT(P48))</f>
        <v/>
      </c>
      <c r="AO48" s="4">
        <f>IF(A48="","",(1/Inputs!$B$9)*(PI()*(Inputs!$F$13/1000)^2/4)*((Inputs!$F$13/1000/4)^(2/3))*SQRT(P48))</f>
        <v/>
      </c>
      <c r="AP48" s="4">
        <f>IF(A48="","",(1/Inputs!$B$9)*(PI()*(Inputs!$F$14/1000)^2/4)*((Inputs!$F$14/1000/4)^(2/3))*SQRT(P48))</f>
        <v/>
      </c>
    </row>
    <row r="49">
      <c r="A49" s="4" t="n"/>
      <c r="B49" s="4" t="n"/>
      <c r="C49" s="4" t="n"/>
      <c r="D49" s="4" t="n"/>
      <c r="E49" s="8" t="n"/>
      <c r="F49" s="8" t="n"/>
      <c r="G49" s="8">
        <f>SUMIFS(CB_plan!$C:$C,CB_plan!$B:$B,$A49)</f>
        <v/>
      </c>
      <c r="H49" s="8">
        <f>IF(F49="",G49,F49)</f>
        <v/>
      </c>
      <c r="I49" s="4" t="n"/>
      <c r="J49" s="8" t="n"/>
      <c r="K49" s="8">
        <f>IF(A49="","",Inputs!$B$13/((IF(J49="",Inputs!$B$18,J49)+Inputs!$B$14)^Inputs!$B$15))</f>
        <v/>
      </c>
      <c r="L49" s="8">
        <f>IF(A49="","",0.00278*IF(I49="",Inputs!$B$17,I49)*H49*K49)</f>
        <v/>
      </c>
      <c r="M49" s="8">
        <f>IF(A49="","",SUMIFS($N$4:$N$203,$D$4:$D$203,$A49))</f>
        <v/>
      </c>
      <c r="N49" s="8">
        <f>IF(A49="","",(L49+M49)*Inputs!$B$16)</f>
        <v/>
      </c>
      <c r="O49" s="8" t="n"/>
      <c r="P49" s="8">
        <f>IF(A49="","",IF(O49="",Inputs!$B$7,O49))</f>
        <v/>
      </c>
      <c r="Q49" s="4">
        <f>IF(A49="","",IF(N49/Inputs!$B$10&lt;=AG49,Inputs!$F$5,IF(N49/Inputs!$B$10&gt;AP49,"OVERSIZE",INDEX(Inputs!$F$5:$F$14,MATCH(N49/Inputs!$B$10,AG49:AP49,1)+1))))</f>
        <v/>
      </c>
      <c r="R49" s="4" t="n"/>
      <c r="S49" s="4">
        <f>IF(A49="","",IF(R49="",Q49,R49))</f>
        <v/>
      </c>
      <c r="T49" s="8">
        <f>IF(OR(S49="",S49="OVERSIZE"),"",S49/1000)</f>
        <v/>
      </c>
      <c r="U49" s="8">
        <f>IF(T49="","",(1/Inputs!$B$9)*(PI()*T49^2/4)*((T49/4)^(2/3))*SQRT(P49))</f>
        <v/>
      </c>
      <c r="V49" s="8">
        <f>IF(OR(U49="",N49=""),"",N49/(U49*Inputs!$B$10))</f>
        <v/>
      </c>
      <c r="W49" s="8">
        <f>IF(OR(T49="",N49=""),"",4*N49/(PI()*T49^2))</f>
        <v/>
      </c>
      <c r="X49" s="8" t="n"/>
      <c r="Y49" s="8">
        <f>IF(A49="","",IF(A49=Inputs!$B$6,Inputs!$B$22,IF(D49="","",IFERROR(INDEX($Z$4:$Z$203,MATCH(D49,$A$4:$A$203,0))+IF(X49="",Inputs!$B$20,X49),""))))</f>
        <v/>
      </c>
      <c r="Z49" s="8">
        <f>IF(OR(Y49="",P49="",E49=""),"",Y49+P49*E49)</f>
        <v/>
      </c>
      <c r="AA49" s="8">
        <f>IF(C49="","",IFERROR(INDEX(Noeuds_plan!$C$4:$C$200,MATCH(C49,Noeuds_plan!$A$4:$A$200,0)),""))</f>
        <v/>
      </c>
      <c r="AB49" s="8">
        <f>IF(B49="","",IFERROR(INDEX(Noeuds_plan!$C$4:$C$200,MATCH(B49,Noeuds_plan!$A$4:$A$200,0)),""))</f>
        <v/>
      </c>
      <c r="AC49" s="8">
        <f>IF(OR(AA49="",Y49=""),"",AA49-Y49)</f>
        <v/>
      </c>
      <c r="AD49" s="8">
        <f>IF(OR(AB49="",Z49=""),"",AB49-Z49)</f>
        <v/>
      </c>
      <c r="AE49" s="4">
        <f>IF(A49="","",IF(OR(V49&gt;1,W49&lt;Inputs!$B$11,W49&gt;Inputs!$B$12,AC49&lt;Inputs!$B$19,AD49&lt;Inputs!$B$19,P49&lt;Inputs!$B$7,P49&gt;Inputs!$B$8),"CHECK","OK"))</f>
        <v/>
      </c>
      <c r="AF49" s="4" t="n"/>
      <c r="AG49" s="4">
        <f>IF(A49="","",(1/Inputs!$B$9)*(PI()*(Inputs!$F$5/1000)^2/4)*((Inputs!$F$5/1000/4)^(2/3))*SQRT(P49))</f>
        <v/>
      </c>
      <c r="AH49" s="4">
        <f>IF(A49="","",(1/Inputs!$B$9)*(PI()*(Inputs!$F$6/1000)^2/4)*((Inputs!$F$6/1000/4)^(2/3))*SQRT(P49))</f>
        <v/>
      </c>
      <c r="AI49" s="4">
        <f>IF(A49="","",(1/Inputs!$B$9)*(PI()*(Inputs!$F$7/1000)^2/4)*((Inputs!$F$7/1000/4)^(2/3))*SQRT(P49))</f>
        <v/>
      </c>
      <c r="AJ49" s="4">
        <f>IF(A49="","",(1/Inputs!$B$9)*(PI()*(Inputs!$F$8/1000)^2/4)*((Inputs!$F$8/1000/4)^(2/3))*SQRT(P49))</f>
        <v/>
      </c>
      <c r="AK49" s="4">
        <f>IF(A49="","",(1/Inputs!$B$9)*(PI()*(Inputs!$F$9/1000)^2/4)*((Inputs!$F$9/1000/4)^(2/3))*SQRT(P49))</f>
        <v/>
      </c>
      <c r="AL49" s="4">
        <f>IF(A49="","",(1/Inputs!$B$9)*(PI()*(Inputs!$F$10/1000)^2/4)*((Inputs!$F$10/1000/4)^(2/3))*SQRT(P49))</f>
        <v/>
      </c>
      <c r="AM49" s="4">
        <f>IF(A49="","",(1/Inputs!$B$9)*(PI()*(Inputs!$F$11/1000)^2/4)*((Inputs!$F$11/1000/4)^(2/3))*SQRT(P49))</f>
        <v/>
      </c>
      <c r="AN49" s="4">
        <f>IF(A49="","",(1/Inputs!$B$9)*(PI()*(Inputs!$F$12/1000)^2/4)*((Inputs!$F$12/1000/4)^(2/3))*SQRT(P49))</f>
        <v/>
      </c>
      <c r="AO49" s="4">
        <f>IF(A49="","",(1/Inputs!$B$9)*(PI()*(Inputs!$F$13/1000)^2/4)*((Inputs!$F$13/1000/4)^(2/3))*SQRT(P49))</f>
        <v/>
      </c>
      <c r="AP49" s="4">
        <f>IF(A49="","",(1/Inputs!$B$9)*(PI()*(Inputs!$F$14/1000)^2/4)*((Inputs!$F$14/1000/4)^(2/3))*SQRT(P49))</f>
        <v/>
      </c>
    </row>
    <row r="50">
      <c r="A50" s="4" t="n"/>
      <c r="B50" s="4" t="n"/>
      <c r="C50" s="4" t="n"/>
      <c r="D50" s="4" t="n"/>
      <c r="E50" s="8" t="n"/>
      <c r="F50" s="8" t="n"/>
      <c r="G50" s="8">
        <f>SUMIFS(CB_plan!$C:$C,CB_plan!$B:$B,$A50)</f>
        <v/>
      </c>
      <c r="H50" s="8">
        <f>IF(F50="",G50,F50)</f>
        <v/>
      </c>
      <c r="I50" s="4" t="n"/>
      <c r="J50" s="8" t="n"/>
      <c r="K50" s="8">
        <f>IF(A50="","",Inputs!$B$13/((IF(J50="",Inputs!$B$18,J50)+Inputs!$B$14)^Inputs!$B$15))</f>
        <v/>
      </c>
      <c r="L50" s="8">
        <f>IF(A50="","",0.00278*IF(I50="",Inputs!$B$17,I50)*H50*K50)</f>
        <v/>
      </c>
      <c r="M50" s="8">
        <f>IF(A50="","",SUMIFS($N$4:$N$203,$D$4:$D$203,$A50))</f>
        <v/>
      </c>
      <c r="N50" s="8">
        <f>IF(A50="","",(L50+M50)*Inputs!$B$16)</f>
        <v/>
      </c>
      <c r="O50" s="8" t="n"/>
      <c r="P50" s="8">
        <f>IF(A50="","",IF(O50="",Inputs!$B$7,O50))</f>
        <v/>
      </c>
      <c r="Q50" s="4">
        <f>IF(A50="","",IF(N50/Inputs!$B$10&lt;=AG50,Inputs!$F$5,IF(N50/Inputs!$B$10&gt;AP50,"OVERSIZE",INDEX(Inputs!$F$5:$F$14,MATCH(N50/Inputs!$B$10,AG50:AP50,1)+1))))</f>
        <v/>
      </c>
      <c r="R50" s="4" t="n"/>
      <c r="S50" s="4">
        <f>IF(A50="","",IF(R50="",Q50,R50))</f>
        <v/>
      </c>
      <c r="T50" s="8">
        <f>IF(OR(S50="",S50="OVERSIZE"),"",S50/1000)</f>
        <v/>
      </c>
      <c r="U50" s="8">
        <f>IF(T50="","",(1/Inputs!$B$9)*(PI()*T50^2/4)*((T50/4)^(2/3))*SQRT(P50))</f>
        <v/>
      </c>
      <c r="V50" s="8">
        <f>IF(OR(U50="",N50=""),"",N50/(U50*Inputs!$B$10))</f>
        <v/>
      </c>
      <c r="W50" s="8">
        <f>IF(OR(T50="",N50=""),"",4*N50/(PI()*T50^2))</f>
        <v/>
      </c>
      <c r="X50" s="8" t="n"/>
      <c r="Y50" s="8">
        <f>IF(A50="","",IF(A50=Inputs!$B$6,Inputs!$B$22,IF(D50="","",IFERROR(INDEX($Z$4:$Z$203,MATCH(D50,$A$4:$A$203,0))+IF(X50="",Inputs!$B$20,X50),""))))</f>
        <v/>
      </c>
      <c r="Z50" s="8">
        <f>IF(OR(Y50="",P50="",E50=""),"",Y50+P50*E50)</f>
        <v/>
      </c>
      <c r="AA50" s="8">
        <f>IF(C50="","",IFERROR(INDEX(Noeuds_plan!$C$4:$C$200,MATCH(C50,Noeuds_plan!$A$4:$A$200,0)),""))</f>
        <v/>
      </c>
      <c r="AB50" s="8">
        <f>IF(B50="","",IFERROR(INDEX(Noeuds_plan!$C$4:$C$200,MATCH(B50,Noeuds_plan!$A$4:$A$200,0)),""))</f>
        <v/>
      </c>
      <c r="AC50" s="8">
        <f>IF(OR(AA50="",Y50=""),"",AA50-Y50)</f>
        <v/>
      </c>
      <c r="AD50" s="8">
        <f>IF(OR(AB50="",Z50=""),"",AB50-Z50)</f>
        <v/>
      </c>
      <c r="AE50" s="4">
        <f>IF(A50="","",IF(OR(V50&gt;1,W50&lt;Inputs!$B$11,W50&gt;Inputs!$B$12,AC50&lt;Inputs!$B$19,AD50&lt;Inputs!$B$19,P50&lt;Inputs!$B$7,P50&gt;Inputs!$B$8),"CHECK","OK"))</f>
        <v/>
      </c>
      <c r="AF50" s="4" t="n"/>
      <c r="AG50" s="4">
        <f>IF(A50="","",(1/Inputs!$B$9)*(PI()*(Inputs!$F$5/1000)^2/4)*((Inputs!$F$5/1000/4)^(2/3))*SQRT(P50))</f>
        <v/>
      </c>
      <c r="AH50" s="4">
        <f>IF(A50="","",(1/Inputs!$B$9)*(PI()*(Inputs!$F$6/1000)^2/4)*((Inputs!$F$6/1000/4)^(2/3))*SQRT(P50))</f>
        <v/>
      </c>
      <c r="AI50" s="4">
        <f>IF(A50="","",(1/Inputs!$B$9)*(PI()*(Inputs!$F$7/1000)^2/4)*((Inputs!$F$7/1000/4)^(2/3))*SQRT(P50))</f>
        <v/>
      </c>
      <c r="AJ50" s="4">
        <f>IF(A50="","",(1/Inputs!$B$9)*(PI()*(Inputs!$F$8/1000)^2/4)*((Inputs!$F$8/1000/4)^(2/3))*SQRT(P50))</f>
        <v/>
      </c>
      <c r="AK50" s="4">
        <f>IF(A50="","",(1/Inputs!$B$9)*(PI()*(Inputs!$F$9/1000)^2/4)*((Inputs!$F$9/1000/4)^(2/3))*SQRT(P50))</f>
        <v/>
      </c>
      <c r="AL50" s="4">
        <f>IF(A50="","",(1/Inputs!$B$9)*(PI()*(Inputs!$F$10/1000)^2/4)*((Inputs!$F$10/1000/4)^(2/3))*SQRT(P50))</f>
        <v/>
      </c>
      <c r="AM50" s="4">
        <f>IF(A50="","",(1/Inputs!$B$9)*(PI()*(Inputs!$F$11/1000)^2/4)*((Inputs!$F$11/1000/4)^(2/3))*SQRT(P50))</f>
        <v/>
      </c>
      <c r="AN50" s="4">
        <f>IF(A50="","",(1/Inputs!$B$9)*(PI()*(Inputs!$F$12/1000)^2/4)*((Inputs!$F$12/1000/4)^(2/3))*SQRT(P50))</f>
        <v/>
      </c>
      <c r="AO50" s="4">
        <f>IF(A50="","",(1/Inputs!$B$9)*(PI()*(Inputs!$F$13/1000)^2/4)*((Inputs!$F$13/1000/4)^(2/3))*SQRT(P50))</f>
        <v/>
      </c>
      <c r="AP50" s="4">
        <f>IF(A50="","",(1/Inputs!$B$9)*(PI()*(Inputs!$F$14/1000)^2/4)*((Inputs!$F$14/1000/4)^(2/3))*SQRT(P50))</f>
        <v/>
      </c>
    </row>
    <row r="51">
      <c r="A51" s="4" t="n"/>
      <c r="B51" s="4" t="n"/>
      <c r="C51" s="4" t="n"/>
      <c r="D51" s="4" t="n"/>
      <c r="E51" s="8" t="n"/>
      <c r="F51" s="8" t="n"/>
      <c r="G51" s="8">
        <f>SUMIFS(CB_plan!$C:$C,CB_plan!$B:$B,$A51)</f>
        <v/>
      </c>
      <c r="H51" s="8">
        <f>IF(F51="",G51,F51)</f>
        <v/>
      </c>
      <c r="I51" s="4" t="n"/>
      <c r="J51" s="8" t="n"/>
      <c r="K51" s="8">
        <f>IF(A51="","",Inputs!$B$13/((IF(J51="",Inputs!$B$18,J51)+Inputs!$B$14)^Inputs!$B$15))</f>
        <v/>
      </c>
      <c r="L51" s="8">
        <f>IF(A51="","",0.00278*IF(I51="",Inputs!$B$17,I51)*H51*K51)</f>
        <v/>
      </c>
      <c r="M51" s="8">
        <f>IF(A51="","",SUMIFS($N$4:$N$203,$D$4:$D$203,$A51))</f>
        <v/>
      </c>
      <c r="N51" s="8">
        <f>IF(A51="","",(L51+M51)*Inputs!$B$16)</f>
        <v/>
      </c>
      <c r="O51" s="8" t="n"/>
      <c r="P51" s="8">
        <f>IF(A51="","",IF(O51="",Inputs!$B$7,O51))</f>
        <v/>
      </c>
      <c r="Q51" s="4">
        <f>IF(A51="","",IF(N51/Inputs!$B$10&lt;=AG51,Inputs!$F$5,IF(N51/Inputs!$B$10&gt;AP51,"OVERSIZE",INDEX(Inputs!$F$5:$F$14,MATCH(N51/Inputs!$B$10,AG51:AP51,1)+1))))</f>
        <v/>
      </c>
      <c r="R51" s="4" t="n"/>
      <c r="S51" s="4">
        <f>IF(A51="","",IF(R51="",Q51,R51))</f>
        <v/>
      </c>
      <c r="T51" s="8">
        <f>IF(OR(S51="",S51="OVERSIZE"),"",S51/1000)</f>
        <v/>
      </c>
      <c r="U51" s="8">
        <f>IF(T51="","",(1/Inputs!$B$9)*(PI()*T51^2/4)*((T51/4)^(2/3))*SQRT(P51))</f>
        <v/>
      </c>
      <c r="V51" s="8">
        <f>IF(OR(U51="",N51=""),"",N51/(U51*Inputs!$B$10))</f>
        <v/>
      </c>
      <c r="W51" s="8">
        <f>IF(OR(T51="",N51=""),"",4*N51/(PI()*T51^2))</f>
        <v/>
      </c>
      <c r="X51" s="8" t="n"/>
      <c r="Y51" s="8">
        <f>IF(A51="","",IF(A51=Inputs!$B$6,Inputs!$B$22,IF(D51="","",IFERROR(INDEX($Z$4:$Z$203,MATCH(D51,$A$4:$A$203,0))+IF(X51="",Inputs!$B$20,X51),""))))</f>
        <v/>
      </c>
      <c r="Z51" s="8">
        <f>IF(OR(Y51="",P51="",E51=""),"",Y51+P51*E51)</f>
        <v/>
      </c>
      <c r="AA51" s="8">
        <f>IF(C51="","",IFERROR(INDEX(Noeuds_plan!$C$4:$C$200,MATCH(C51,Noeuds_plan!$A$4:$A$200,0)),""))</f>
        <v/>
      </c>
      <c r="AB51" s="8">
        <f>IF(B51="","",IFERROR(INDEX(Noeuds_plan!$C$4:$C$200,MATCH(B51,Noeuds_plan!$A$4:$A$200,0)),""))</f>
        <v/>
      </c>
      <c r="AC51" s="8">
        <f>IF(OR(AA51="",Y51=""),"",AA51-Y51)</f>
        <v/>
      </c>
      <c r="AD51" s="8">
        <f>IF(OR(AB51="",Z51=""),"",AB51-Z51)</f>
        <v/>
      </c>
      <c r="AE51" s="4">
        <f>IF(A51="","",IF(OR(V51&gt;1,W51&lt;Inputs!$B$11,W51&gt;Inputs!$B$12,AC51&lt;Inputs!$B$19,AD51&lt;Inputs!$B$19,P51&lt;Inputs!$B$7,P51&gt;Inputs!$B$8),"CHECK","OK"))</f>
        <v/>
      </c>
      <c r="AF51" s="4" t="n"/>
      <c r="AG51" s="4">
        <f>IF(A51="","",(1/Inputs!$B$9)*(PI()*(Inputs!$F$5/1000)^2/4)*((Inputs!$F$5/1000/4)^(2/3))*SQRT(P51))</f>
        <v/>
      </c>
      <c r="AH51" s="4">
        <f>IF(A51="","",(1/Inputs!$B$9)*(PI()*(Inputs!$F$6/1000)^2/4)*((Inputs!$F$6/1000/4)^(2/3))*SQRT(P51))</f>
        <v/>
      </c>
      <c r="AI51" s="4">
        <f>IF(A51="","",(1/Inputs!$B$9)*(PI()*(Inputs!$F$7/1000)^2/4)*((Inputs!$F$7/1000/4)^(2/3))*SQRT(P51))</f>
        <v/>
      </c>
      <c r="AJ51" s="4">
        <f>IF(A51="","",(1/Inputs!$B$9)*(PI()*(Inputs!$F$8/1000)^2/4)*((Inputs!$F$8/1000/4)^(2/3))*SQRT(P51))</f>
        <v/>
      </c>
      <c r="AK51" s="4">
        <f>IF(A51="","",(1/Inputs!$B$9)*(PI()*(Inputs!$F$9/1000)^2/4)*((Inputs!$F$9/1000/4)^(2/3))*SQRT(P51))</f>
        <v/>
      </c>
      <c r="AL51" s="4">
        <f>IF(A51="","",(1/Inputs!$B$9)*(PI()*(Inputs!$F$10/1000)^2/4)*((Inputs!$F$10/1000/4)^(2/3))*SQRT(P51))</f>
        <v/>
      </c>
      <c r="AM51" s="4">
        <f>IF(A51="","",(1/Inputs!$B$9)*(PI()*(Inputs!$F$11/1000)^2/4)*((Inputs!$F$11/1000/4)^(2/3))*SQRT(P51))</f>
        <v/>
      </c>
      <c r="AN51" s="4">
        <f>IF(A51="","",(1/Inputs!$B$9)*(PI()*(Inputs!$F$12/1000)^2/4)*((Inputs!$F$12/1000/4)^(2/3))*SQRT(P51))</f>
        <v/>
      </c>
      <c r="AO51" s="4">
        <f>IF(A51="","",(1/Inputs!$B$9)*(PI()*(Inputs!$F$13/1000)^2/4)*((Inputs!$F$13/1000/4)^(2/3))*SQRT(P51))</f>
        <v/>
      </c>
      <c r="AP51" s="4">
        <f>IF(A51="","",(1/Inputs!$B$9)*(PI()*(Inputs!$F$14/1000)^2/4)*((Inputs!$F$14/1000/4)^(2/3))*SQRT(P51))</f>
        <v/>
      </c>
    </row>
    <row r="52">
      <c r="A52" s="4" t="n"/>
      <c r="B52" s="4" t="n"/>
      <c r="C52" s="4" t="n"/>
      <c r="D52" s="4" t="n"/>
      <c r="E52" s="8" t="n"/>
      <c r="F52" s="8" t="n"/>
      <c r="G52" s="8">
        <f>SUMIFS(CB_plan!$C:$C,CB_plan!$B:$B,$A52)</f>
        <v/>
      </c>
      <c r="H52" s="8">
        <f>IF(F52="",G52,F52)</f>
        <v/>
      </c>
      <c r="I52" s="4" t="n"/>
      <c r="J52" s="8" t="n"/>
      <c r="K52" s="8">
        <f>IF(A52="","",Inputs!$B$13/((IF(J52="",Inputs!$B$18,J52)+Inputs!$B$14)^Inputs!$B$15))</f>
        <v/>
      </c>
      <c r="L52" s="8">
        <f>IF(A52="","",0.00278*IF(I52="",Inputs!$B$17,I52)*H52*K52)</f>
        <v/>
      </c>
      <c r="M52" s="8">
        <f>IF(A52="","",SUMIFS($N$4:$N$203,$D$4:$D$203,$A52))</f>
        <v/>
      </c>
      <c r="N52" s="8">
        <f>IF(A52="","",(L52+M52)*Inputs!$B$16)</f>
        <v/>
      </c>
      <c r="O52" s="8" t="n"/>
      <c r="P52" s="8">
        <f>IF(A52="","",IF(O52="",Inputs!$B$7,O52))</f>
        <v/>
      </c>
      <c r="Q52" s="4">
        <f>IF(A52="","",IF(N52/Inputs!$B$10&lt;=AG52,Inputs!$F$5,IF(N52/Inputs!$B$10&gt;AP52,"OVERSIZE",INDEX(Inputs!$F$5:$F$14,MATCH(N52/Inputs!$B$10,AG52:AP52,1)+1))))</f>
        <v/>
      </c>
      <c r="R52" s="4" t="n"/>
      <c r="S52" s="4">
        <f>IF(A52="","",IF(R52="",Q52,R52))</f>
        <v/>
      </c>
      <c r="T52" s="8">
        <f>IF(OR(S52="",S52="OVERSIZE"),"",S52/1000)</f>
        <v/>
      </c>
      <c r="U52" s="8">
        <f>IF(T52="","",(1/Inputs!$B$9)*(PI()*T52^2/4)*((T52/4)^(2/3))*SQRT(P52))</f>
        <v/>
      </c>
      <c r="V52" s="8">
        <f>IF(OR(U52="",N52=""),"",N52/(U52*Inputs!$B$10))</f>
        <v/>
      </c>
      <c r="W52" s="8">
        <f>IF(OR(T52="",N52=""),"",4*N52/(PI()*T52^2))</f>
        <v/>
      </c>
      <c r="X52" s="8" t="n"/>
      <c r="Y52" s="8">
        <f>IF(A52="","",IF(A52=Inputs!$B$6,Inputs!$B$22,IF(D52="","",IFERROR(INDEX($Z$4:$Z$203,MATCH(D52,$A$4:$A$203,0))+IF(X52="",Inputs!$B$20,X52),""))))</f>
        <v/>
      </c>
      <c r="Z52" s="8">
        <f>IF(OR(Y52="",P52="",E52=""),"",Y52+P52*E52)</f>
        <v/>
      </c>
      <c r="AA52" s="8">
        <f>IF(C52="","",IFERROR(INDEX(Noeuds_plan!$C$4:$C$200,MATCH(C52,Noeuds_plan!$A$4:$A$200,0)),""))</f>
        <v/>
      </c>
      <c r="AB52" s="8">
        <f>IF(B52="","",IFERROR(INDEX(Noeuds_plan!$C$4:$C$200,MATCH(B52,Noeuds_plan!$A$4:$A$200,0)),""))</f>
        <v/>
      </c>
      <c r="AC52" s="8">
        <f>IF(OR(AA52="",Y52=""),"",AA52-Y52)</f>
        <v/>
      </c>
      <c r="AD52" s="8">
        <f>IF(OR(AB52="",Z52=""),"",AB52-Z52)</f>
        <v/>
      </c>
      <c r="AE52" s="4">
        <f>IF(A52="","",IF(OR(V52&gt;1,W52&lt;Inputs!$B$11,W52&gt;Inputs!$B$12,AC52&lt;Inputs!$B$19,AD52&lt;Inputs!$B$19,P52&lt;Inputs!$B$7,P52&gt;Inputs!$B$8),"CHECK","OK"))</f>
        <v/>
      </c>
      <c r="AF52" s="4" t="n"/>
      <c r="AG52" s="4">
        <f>IF(A52="","",(1/Inputs!$B$9)*(PI()*(Inputs!$F$5/1000)^2/4)*((Inputs!$F$5/1000/4)^(2/3))*SQRT(P52))</f>
        <v/>
      </c>
      <c r="AH52" s="4">
        <f>IF(A52="","",(1/Inputs!$B$9)*(PI()*(Inputs!$F$6/1000)^2/4)*((Inputs!$F$6/1000/4)^(2/3))*SQRT(P52))</f>
        <v/>
      </c>
      <c r="AI52" s="4">
        <f>IF(A52="","",(1/Inputs!$B$9)*(PI()*(Inputs!$F$7/1000)^2/4)*((Inputs!$F$7/1000/4)^(2/3))*SQRT(P52))</f>
        <v/>
      </c>
      <c r="AJ52" s="4">
        <f>IF(A52="","",(1/Inputs!$B$9)*(PI()*(Inputs!$F$8/1000)^2/4)*((Inputs!$F$8/1000/4)^(2/3))*SQRT(P52))</f>
        <v/>
      </c>
      <c r="AK52" s="4">
        <f>IF(A52="","",(1/Inputs!$B$9)*(PI()*(Inputs!$F$9/1000)^2/4)*((Inputs!$F$9/1000/4)^(2/3))*SQRT(P52))</f>
        <v/>
      </c>
      <c r="AL52" s="4">
        <f>IF(A52="","",(1/Inputs!$B$9)*(PI()*(Inputs!$F$10/1000)^2/4)*((Inputs!$F$10/1000/4)^(2/3))*SQRT(P52))</f>
        <v/>
      </c>
      <c r="AM52" s="4">
        <f>IF(A52="","",(1/Inputs!$B$9)*(PI()*(Inputs!$F$11/1000)^2/4)*((Inputs!$F$11/1000/4)^(2/3))*SQRT(P52))</f>
        <v/>
      </c>
      <c r="AN52" s="4">
        <f>IF(A52="","",(1/Inputs!$B$9)*(PI()*(Inputs!$F$12/1000)^2/4)*((Inputs!$F$12/1000/4)^(2/3))*SQRT(P52))</f>
        <v/>
      </c>
      <c r="AO52" s="4">
        <f>IF(A52="","",(1/Inputs!$B$9)*(PI()*(Inputs!$F$13/1000)^2/4)*((Inputs!$F$13/1000/4)^(2/3))*SQRT(P52))</f>
        <v/>
      </c>
      <c r="AP52" s="4">
        <f>IF(A52="","",(1/Inputs!$B$9)*(PI()*(Inputs!$F$14/1000)^2/4)*((Inputs!$F$14/1000/4)^(2/3))*SQRT(P52))</f>
        <v/>
      </c>
    </row>
    <row r="53">
      <c r="A53" s="4" t="n"/>
      <c r="B53" s="4" t="n"/>
      <c r="C53" s="4" t="n"/>
      <c r="D53" s="4" t="n"/>
      <c r="E53" s="8" t="n"/>
      <c r="F53" s="8" t="n"/>
      <c r="G53" s="8">
        <f>SUMIFS(CB_plan!$C:$C,CB_plan!$B:$B,$A53)</f>
        <v/>
      </c>
      <c r="H53" s="8">
        <f>IF(F53="",G53,F53)</f>
        <v/>
      </c>
      <c r="I53" s="4" t="n"/>
      <c r="J53" s="8" t="n"/>
      <c r="K53" s="8">
        <f>IF(A53="","",Inputs!$B$13/((IF(J53="",Inputs!$B$18,J53)+Inputs!$B$14)^Inputs!$B$15))</f>
        <v/>
      </c>
      <c r="L53" s="8">
        <f>IF(A53="","",0.00278*IF(I53="",Inputs!$B$17,I53)*H53*K53)</f>
        <v/>
      </c>
      <c r="M53" s="8">
        <f>IF(A53="","",SUMIFS($N$4:$N$203,$D$4:$D$203,$A53))</f>
        <v/>
      </c>
      <c r="N53" s="8">
        <f>IF(A53="","",(L53+M53)*Inputs!$B$16)</f>
        <v/>
      </c>
      <c r="O53" s="8" t="n"/>
      <c r="P53" s="8">
        <f>IF(A53="","",IF(O53="",Inputs!$B$7,O53))</f>
        <v/>
      </c>
      <c r="Q53" s="4">
        <f>IF(A53="","",IF(N53/Inputs!$B$10&lt;=AG53,Inputs!$F$5,IF(N53/Inputs!$B$10&gt;AP53,"OVERSIZE",INDEX(Inputs!$F$5:$F$14,MATCH(N53/Inputs!$B$10,AG53:AP53,1)+1))))</f>
        <v/>
      </c>
      <c r="R53" s="4" t="n"/>
      <c r="S53" s="4">
        <f>IF(A53="","",IF(R53="",Q53,R53))</f>
        <v/>
      </c>
      <c r="T53" s="8">
        <f>IF(OR(S53="",S53="OVERSIZE"),"",S53/1000)</f>
        <v/>
      </c>
      <c r="U53" s="8">
        <f>IF(T53="","",(1/Inputs!$B$9)*(PI()*T53^2/4)*((T53/4)^(2/3))*SQRT(P53))</f>
        <v/>
      </c>
      <c r="V53" s="8">
        <f>IF(OR(U53="",N53=""),"",N53/(U53*Inputs!$B$10))</f>
        <v/>
      </c>
      <c r="W53" s="8">
        <f>IF(OR(T53="",N53=""),"",4*N53/(PI()*T53^2))</f>
        <v/>
      </c>
      <c r="X53" s="8" t="n"/>
      <c r="Y53" s="8">
        <f>IF(A53="","",IF(A53=Inputs!$B$6,Inputs!$B$22,IF(D53="","",IFERROR(INDEX($Z$4:$Z$203,MATCH(D53,$A$4:$A$203,0))+IF(X53="",Inputs!$B$20,X53),""))))</f>
        <v/>
      </c>
      <c r="Z53" s="8">
        <f>IF(OR(Y53="",P53="",E53=""),"",Y53+P53*E53)</f>
        <v/>
      </c>
      <c r="AA53" s="8">
        <f>IF(C53="","",IFERROR(INDEX(Noeuds_plan!$C$4:$C$200,MATCH(C53,Noeuds_plan!$A$4:$A$200,0)),""))</f>
        <v/>
      </c>
      <c r="AB53" s="8">
        <f>IF(B53="","",IFERROR(INDEX(Noeuds_plan!$C$4:$C$200,MATCH(B53,Noeuds_plan!$A$4:$A$200,0)),""))</f>
        <v/>
      </c>
      <c r="AC53" s="8">
        <f>IF(OR(AA53="",Y53=""),"",AA53-Y53)</f>
        <v/>
      </c>
      <c r="AD53" s="8">
        <f>IF(OR(AB53="",Z53=""),"",AB53-Z53)</f>
        <v/>
      </c>
      <c r="AE53" s="4">
        <f>IF(A53="","",IF(OR(V53&gt;1,W53&lt;Inputs!$B$11,W53&gt;Inputs!$B$12,AC53&lt;Inputs!$B$19,AD53&lt;Inputs!$B$19,P53&lt;Inputs!$B$7,P53&gt;Inputs!$B$8),"CHECK","OK"))</f>
        <v/>
      </c>
      <c r="AF53" s="4" t="n"/>
      <c r="AG53" s="4">
        <f>IF(A53="","",(1/Inputs!$B$9)*(PI()*(Inputs!$F$5/1000)^2/4)*((Inputs!$F$5/1000/4)^(2/3))*SQRT(P53))</f>
        <v/>
      </c>
      <c r="AH53" s="4">
        <f>IF(A53="","",(1/Inputs!$B$9)*(PI()*(Inputs!$F$6/1000)^2/4)*((Inputs!$F$6/1000/4)^(2/3))*SQRT(P53))</f>
        <v/>
      </c>
      <c r="AI53" s="4">
        <f>IF(A53="","",(1/Inputs!$B$9)*(PI()*(Inputs!$F$7/1000)^2/4)*((Inputs!$F$7/1000/4)^(2/3))*SQRT(P53))</f>
        <v/>
      </c>
      <c r="AJ53" s="4">
        <f>IF(A53="","",(1/Inputs!$B$9)*(PI()*(Inputs!$F$8/1000)^2/4)*((Inputs!$F$8/1000/4)^(2/3))*SQRT(P53))</f>
        <v/>
      </c>
      <c r="AK53" s="4">
        <f>IF(A53="","",(1/Inputs!$B$9)*(PI()*(Inputs!$F$9/1000)^2/4)*((Inputs!$F$9/1000/4)^(2/3))*SQRT(P53))</f>
        <v/>
      </c>
      <c r="AL53" s="4">
        <f>IF(A53="","",(1/Inputs!$B$9)*(PI()*(Inputs!$F$10/1000)^2/4)*((Inputs!$F$10/1000/4)^(2/3))*SQRT(P53))</f>
        <v/>
      </c>
      <c r="AM53" s="4">
        <f>IF(A53="","",(1/Inputs!$B$9)*(PI()*(Inputs!$F$11/1000)^2/4)*((Inputs!$F$11/1000/4)^(2/3))*SQRT(P53))</f>
        <v/>
      </c>
      <c r="AN53" s="4">
        <f>IF(A53="","",(1/Inputs!$B$9)*(PI()*(Inputs!$F$12/1000)^2/4)*((Inputs!$F$12/1000/4)^(2/3))*SQRT(P53))</f>
        <v/>
      </c>
      <c r="AO53" s="4">
        <f>IF(A53="","",(1/Inputs!$B$9)*(PI()*(Inputs!$F$13/1000)^2/4)*((Inputs!$F$13/1000/4)^(2/3))*SQRT(P53))</f>
        <v/>
      </c>
      <c r="AP53" s="4">
        <f>IF(A53="","",(1/Inputs!$B$9)*(PI()*(Inputs!$F$14/1000)^2/4)*((Inputs!$F$14/1000/4)^(2/3))*SQRT(P53))</f>
        <v/>
      </c>
    </row>
    <row r="54">
      <c r="A54" s="4" t="n"/>
      <c r="B54" s="4" t="n"/>
      <c r="C54" s="4" t="n"/>
      <c r="D54" s="4" t="n"/>
      <c r="E54" s="8" t="n"/>
      <c r="F54" s="8" t="n"/>
      <c r="G54" s="8">
        <f>SUMIFS(CB_plan!$C:$C,CB_plan!$B:$B,$A54)</f>
        <v/>
      </c>
      <c r="H54" s="8">
        <f>IF(F54="",G54,F54)</f>
        <v/>
      </c>
      <c r="I54" s="4" t="n"/>
      <c r="J54" s="8" t="n"/>
      <c r="K54" s="8">
        <f>IF(A54="","",Inputs!$B$13/((IF(J54="",Inputs!$B$18,J54)+Inputs!$B$14)^Inputs!$B$15))</f>
        <v/>
      </c>
      <c r="L54" s="8">
        <f>IF(A54="","",0.00278*IF(I54="",Inputs!$B$17,I54)*H54*K54)</f>
        <v/>
      </c>
      <c r="M54" s="8">
        <f>IF(A54="","",SUMIFS($N$4:$N$203,$D$4:$D$203,$A54))</f>
        <v/>
      </c>
      <c r="N54" s="8">
        <f>IF(A54="","",(L54+M54)*Inputs!$B$16)</f>
        <v/>
      </c>
      <c r="O54" s="8" t="n"/>
      <c r="P54" s="8">
        <f>IF(A54="","",IF(O54="",Inputs!$B$7,O54))</f>
        <v/>
      </c>
      <c r="Q54" s="4">
        <f>IF(A54="","",IF(N54/Inputs!$B$10&lt;=AG54,Inputs!$F$5,IF(N54/Inputs!$B$10&gt;AP54,"OVERSIZE",INDEX(Inputs!$F$5:$F$14,MATCH(N54/Inputs!$B$10,AG54:AP54,1)+1))))</f>
        <v/>
      </c>
      <c r="R54" s="4" t="n"/>
      <c r="S54" s="4">
        <f>IF(A54="","",IF(R54="",Q54,R54))</f>
        <v/>
      </c>
      <c r="T54" s="8">
        <f>IF(OR(S54="",S54="OVERSIZE"),"",S54/1000)</f>
        <v/>
      </c>
      <c r="U54" s="8">
        <f>IF(T54="","",(1/Inputs!$B$9)*(PI()*T54^2/4)*((T54/4)^(2/3))*SQRT(P54))</f>
        <v/>
      </c>
      <c r="V54" s="8">
        <f>IF(OR(U54="",N54=""),"",N54/(U54*Inputs!$B$10))</f>
        <v/>
      </c>
      <c r="W54" s="8">
        <f>IF(OR(T54="",N54=""),"",4*N54/(PI()*T54^2))</f>
        <v/>
      </c>
      <c r="X54" s="8" t="n"/>
      <c r="Y54" s="8">
        <f>IF(A54="","",IF(A54=Inputs!$B$6,Inputs!$B$22,IF(D54="","",IFERROR(INDEX($Z$4:$Z$203,MATCH(D54,$A$4:$A$203,0))+IF(X54="",Inputs!$B$20,X54),""))))</f>
        <v/>
      </c>
      <c r="Z54" s="8">
        <f>IF(OR(Y54="",P54="",E54=""),"",Y54+P54*E54)</f>
        <v/>
      </c>
      <c r="AA54" s="8">
        <f>IF(C54="","",IFERROR(INDEX(Noeuds_plan!$C$4:$C$200,MATCH(C54,Noeuds_plan!$A$4:$A$200,0)),""))</f>
        <v/>
      </c>
      <c r="AB54" s="8">
        <f>IF(B54="","",IFERROR(INDEX(Noeuds_plan!$C$4:$C$200,MATCH(B54,Noeuds_plan!$A$4:$A$200,0)),""))</f>
        <v/>
      </c>
      <c r="AC54" s="8">
        <f>IF(OR(AA54="",Y54=""),"",AA54-Y54)</f>
        <v/>
      </c>
      <c r="AD54" s="8">
        <f>IF(OR(AB54="",Z54=""),"",AB54-Z54)</f>
        <v/>
      </c>
      <c r="AE54" s="4">
        <f>IF(A54="","",IF(OR(V54&gt;1,W54&lt;Inputs!$B$11,W54&gt;Inputs!$B$12,AC54&lt;Inputs!$B$19,AD54&lt;Inputs!$B$19,P54&lt;Inputs!$B$7,P54&gt;Inputs!$B$8),"CHECK","OK"))</f>
        <v/>
      </c>
      <c r="AF54" s="4" t="n"/>
      <c r="AG54" s="4">
        <f>IF(A54="","",(1/Inputs!$B$9)*(PI()*(Inputs!$F$5/1000)^2/4)*((Inputs!$F$5/1000/4)^(2/3))*SQRT(P54))</f>
        <v/>
      </c>
      <c r="AH54" s="4">
        <f>IF(A54="","",(1/Inputs!$B$9)*(PI()*(Inputs!$F$6/1000)^2/4)*((Inputs!$F$6/1000/4)^(2/3))*SQRT(P54))</f>
        <v/>
      </c>
      <c r="AI54" s="4">
        <f>IF(A54="","",(1/Inputs!$B$9)*(PI()*(Inputs!$F$7/1000)^2/4)*((Inputs!$F$7/1000/4)^(2/3))*SQRT(P54))</f>
        <v/>
      </c>
      <c r="AJ54" s="4">
        <f>IF(A54="","",(1/Inputs!$B$9)*(PI()*(Inputs!$F$8/1000)^2/4)*((Inputs!$F$8/1000/4)^(2/3))*SQRT(P54))</f>
        <v/>
      </c>
      <c r="AK54" s="4">
        <f>IF(A54="","",(1/Inputs!$B$9)*(PI()*(Inputs!$F$9/1000)^2/4)*((Inputs!$F$9/1000/4)^(2/3))*SQRT(P54))</f>
        <v/>
      </c>
      <c r="AL54" s="4">
        <f>IF(A54="","",(1/Inputs!$B$9)*(PI()*(Inputs!$F$10/1000)^2/4)*((Inputs!$F$10/1000/4)^(2/3))*SQRT(P54))</f>
        <v/>
      </c>
      <c r="AM54" s="4">
        <f>IF(A54="","",(1/Inputs!$B$9)*(PI()*(Inputs!$F$11/1000)^2/4)*((Inputs!$F$11/1000/4)^(2/3))*SQRT(P54))</f>
        <v/>
      </c>
      <c r="AN54" s="4">
        <f>IF(A54="","",(1/Inputs!$B$9)*(PI()*(Inputs!$F$12/1000)^2/4)*((Inputs!$F$12/1000/4)^(2/3))*SQRT(P54))</f>
        <v/>
      </c>
      <c r="AO54" s="4">
        <f>IF(A54="","",(1/Inputs!$B$9)*(PI()*(Inputs!$F$13/1000)^2/4)*((Inputs!$F$13/1000/4)^(2/3))*SQRT(P54))</f>
        <v/>
      </c>
      <c r="AP54" s="4">
        <f>IF(A54="","",(1/Inputs!$B$9)*(PI()*(Inputs!$F$14/1000)^2/4)*((Inputs!$F$14/1000/4)^(2/3))*SQRT(P54))</f>
        <v/>
      </c>
    </row>
    <row r="55">
      <c r="A55" s="4" t="n"/>
      <c r="B55" s="4" t="n"/>
      <c r="C55" s="4" t="n"/>
      <c r="D55" s="4" t="n"/>
      <c r="E55" s="8" t="n"/>
      <c r="F55" s="8" t="n"/>
      <c r="G55" s="8">
        <f>SUMIFS(CB_plan!$C:$C,CB_plan!$B:$B,$A55)</f>
        <v/>
      </c>
      <c r="H55" s="8">
        <f>IF(F55="",G55,F55)</f>
        <v/>
      </c>
      <c r="I55" s="4" t="n"/>
      <c r="J55" s="8" t="n"/>
      <c r="K55" s="8">
        <f>IF(A55="","",Inputs!$B$13/((IF(J55="",Inputs!$B$18,J55)+Inputs!$B$14)^Inputs!$B$15))</f>
        <v/>
      </c>
      <c r="L55" s="8">
        <f>IF(A55="","",0.00278*IF(I55="",Inputs!$B$17,I55)*H55*K55)</f>
        <v/>
      </c>
      <c r="M55" s="8">
        <f>IF(A55="","",SUMIFS($N$4:$N$203,$D$4:$D$203,$A55))</f>
        <v/>
      </c>
      <c r="N55" s="8">
        <f>IF(A55="","",(L55+M55)*Inputs!$B$16)</f>
        <v/>
      </c>
      <c r="O55" s="8" t="n"/>
      <c r="P55" s="8">
        <f>IF(A55="","",IF(O55="",Inputs!$B$7,O55))</f>
        <v/>
      </c>
      <c r="Q55" s="4">
        <f>IF(A55="","",IF(N55/Inputs!$B$10&lt;=AG55,Inputs!$F$5,IF(N55/Inputs!$B$10&gt;AP55,"OVERSIZE",INDEX(Inputs!$F$5:$F$14,MATCH(N55/Inputs!$B$10,AG55:AP55,1)+1))))</f>
        <v/>
      </c>
      <c r="R55" s="4" t="n"/>
      <c r="S55" s="4">
        <f>IF(A55="","",IF(R55="",Q55,R55))</f>
        <v/>
      </c>
      <c r="T55" s="8">
        <f>IF(OR(S55="",S55="OVERSIZE"),"",S55/1000)</f>
        <v/>
      </c>
      <c r="U55" s="8">
        <f>IF(T55="","",(1/Inputs!$B$9)*(PI()*T55^2/4)*((T55/4)^(2/3))*SQRT(P55))</f>
        <v/>
      </c>
      <c r="V55" s="8">
        <f>IF(OR(U55="",N55=""),"",N55/(U55*Inputs!$B$10))</f>
        <v/>
      </c>
      <c r="W55" s="8">
        <f>IF(OR(T55="",N55=""),"",4*N55/(PI()*T55^2))</f>
        <v/>
      </c>
      <c r="X55" s="8" t="n"/>
      <c r="Y55" s="8">
        <f>IF(A55="","",IF(A55=Inputs!$B$6,Inputs!$B$22,IF(D55="","",IFERROR(INDEX($Z$4:$Z$203,MATCH(D55,$A$4:$A$203,0))+IF(X55="",Inputs!$B$20,X55),""))))</f>
        <v/>
      </c>
      <c r="Z55" s="8">
        <f>IF(OR(Y55="",P55="",E55=""),"",Y55+P55*E55)</f>
        <v/>
      </c>
      <c r="AA55" s="8">
        <f>IF(C55="","",IFERROR(INDEX(Noeuds_plan!$C$4:$C$200,MATCH(C55,Noeuds_plan!$A$4:$A$200,0)),""))</f>
        <v/>
      </c>
      <c r="AB55" s="8">
        <f>IF(B55="","",IFERROR(INDEX(Noeuds_plan!$C$4:$C$200,MATCH(B55,Noeuds_plan!$A$4:$A$200,0)),""))</f>
        <v/>
      </c>
      <c r="AC55" s="8">
        <f>IF(OR(AA55="",Y55=""),"",AA55-Y55)</f>
        <v/>
      </c>
      <c r="AD55" s="8">
        <f>IF(OR(AB55="",Z55=""),"",AB55-Z55)</f>
        <v/>
      </c>
      <c r="AE55" s="4">
        <f>IF(A55="","",IF(OR(V55&gt;1,W55&lt;Inputs!$B$11,W55&gt;Inputs!$B$12,AC55&lt;Inputs!$B$19,AD55&lt;Inputs!$B$19,P55&lt;Inputs!$B$7,P55&gt;Inputs!$B$8),"CHECK","OK"))</f>
        <v/>
      </c>
      <c r="AF55" s="4" t="n"/>
      <c r="AG55" s="4">
        <f>IF(A55="","",(1/Inputs!$B$9)*(PI()*(Inputs!$F$5/1000)^2/4)*((Inputs!$F$5/1000/4)^(2/3))*SQRT(P55))</f>
        <v/>
      </c>
      <c r="AH55" s="4">
        <f>IF(A55="","",(1/Inputs!$B$9)*(PI()*(Inputs!$F$6/1000)^2/4)*((Inputs!$F$6/1000/4)^(2/3))*SQRT(P55))</f>
        <v/>
      </c>
      <c r="AI55" s="4">
        <f>IF(A55="","",(1/Inputs!$B$9)*(PI()*(Inputs!$F$7/1000)^2/4)*((Inputs!$F$7/1000/4)^(2/3))*SQRT(P55))</f>
        <v/>
      </c>
      <c r="AJ55" s="4">
        <f>IF(A55="","",(1/Inputs!$B$9)*(PI()*(Inputs!$F$8/1000)^2/4)*((Inputs!$F$8/1000/4)^(2/3))*SQRT(P55))</f>
        <v/>
      </c>
      <c r="AK55" s="4">
        <f>IF(A55="","",(1/Inputs!$B$9)*(PI()*(Inputs!$F$9/1000)^2/4)*((Inputs!$F$9/1000/4)^(2/3))*SQRT(P55))</f>
        <v/>
      </c>
      <c r="AL55" s="4">
        <f>IF(A55="","",(1/Inputs!$B$9)*(PI()*(Inputs!$F$10/1000)^2/4)*((Inputs!$F$10/1000/4)^(2/3))*SQRT(P55))</f>
        <v/>
      </c>
      <c r="AM55" s="4">
        <f>IF(A55="","",(1/Inputs!$B$9)*(PI()*(Inputs!$F$11/1000)^2/4)*((Inputs!$F$11/1000/4)^(2/3))*SQRT(P55))</f>
        <v/>
      </c>
      <c r="AN55" s="4">
        <f>IF(A55="","",(1/Inputs!$B$9)*(PI()*(Inputs!$F$12/1000)^2/4)*((Inputs!$F$12/1000/4)^(2/3))*SQRT(P55))</f>
        <v/>
      </c>
      <c r="AO55" s="4">
        <f>IF(A55="","",(1/Inputs!$B$9)*(PI()*(Inputs!$F$13/1000)^2/4)*((Inputs!$F$13/1000/4)^(2/3))*SQRT(P55))</f>
        <v/>
      </c>
      <c r="AP55" s="4">
        <f>IF(A55="","",(1/Inputs!$B$9)*(PI()*(Inputs!$F$14/1000)^2/4)*((Inputs!$F$14/1000/4)^(2/3))*SQRT(P55))</f>
        <v/>
      </c>
    </row>
    <row r="56">
      <c r="A56" s="4" t="n"/>
      <c r="B56" s="4" t="n"/>
      <c r="C56" s="4" t="n"/>
      <c r="D56" s="4" t="n"/>
      <c r="E56" s="8" t="n"/>
      <c r="F56" s="8" t="n"/>
      <c r="G56" s="8">
        <f>SUMIFS(CB_plan!$C:$C,CB_plan!$B:$B,$A56)</f>
        <v/>
      </c>
      <c r="H56" s="8">
        <f>IF(F56="",G56,F56)</f>
        <v/>
      </c>
      <c r="I56" s="4" t="n"/>
      <c r="J56" s="8" t="n"/>
      <c r="K56" s="8">
        <f>IF(A56="","",Inputs!$B$13/((IF(J56="",Inputs!$B$18,J56)+Inputs!$B$14)^Inputs!$B$15))</f>
        <v/>
      </c>
      <c r="L56" s="8">
        <f>IF(A56="","",0.00278*IF(I56="",Inputs!$B$17,I56)*H56*K56)</f>
        <v/>
      </c>
      <c r="M56" s="8">
        <f>IF(A56="","",SUMIFS($N$4:$N$203,$D$4:$D$203,$A56))</f>
        <v/>
      </c>
      <c r="N56" s="8">
        <f>IF(A56="","",(L56+M56)*Inputs!$B$16)</f>
        <v/>
      </c>
      <c r="O56" s="8" t="n"/>
      <c r="P56" s="8">
        <f>IF(A56="","",IF(O56="",Inputs!$B$7,O56))</f>
        <v/>
      </c>
      <c r="Q56" s="4">
        <f>IF(A56="","",IF(N56/Inputs!$B$10&lt;=AG56,Inputs!$F$5,IF(N56/Inputs!$B$10&gt;AP56,"OVERSIZE",INDEX(Inputs!$F$5:$F$14,MATCH(N56/Inputs!$B$10,AG56:AP56,1)+1))))</f>
        <v/>
      </c>
      <c r="R56" s="4" t="n"/>
      <c r="S56" s="4">
        <f>IF(A56="","",IF(R56="",Q56,R56))</f>
        <v/>
      </c>
      <c r="T56" s="8">
        <f>IF(OR(S56="",S56="OVERSIZE"),"",S56/1000)</f>
        <v/>
      </c>
      <c r="U56" s="8">
        <f>IF(T56="","",(1/Inputs!$B$9)*(PI()*T56^2/4)*((T56/4)^(2/3))*SQRT(P56))</f>
        <v/>
      </c>
      <c r="V56" s="8">
        <f>IF(OR(U56="",N56=""),"",N56/(U56*Inputs!$B$10))</f>
        <v/>
      </c>
      <c r="W56" s="8">
        <f>IF(OR(T56="",N56=""),"",4*N56/(PI()*T56^2))</f>
        <v/>
      </c>
      <c r="X56" s="8" t="n"/>
      <c r="Y56" s="8">
        <f>IF(A56="","",IF(A56=Inputs!$B$6,Inputs!$B$22,IF(D56="","",IFERROR(INDEX($Z$4:$Z$203,MATCH(D56,$A$4:$A$203,0))+IF(X56="",Inputs!$B$20,X56),""))))</f>
        <v/>
      </c>
      <c r="Z56" s="8">
        <f>IF(OR(Y56="",P56="",E56=""),"",Y56+P56*E56)</f>
        <v/>
      </c>
      <c r="AA56" s="8">
        <f>IF(C56="","",IFERROR(INDEX(Noeuds_plan!$C$4:$C$200,MATCH(C56,Noeuds_plan!$A$4:$A$200,0)),""))</f>
        <v/>
      </c>
      <c r="AB56" s="8">
        <f>IF(B56="","",IFERROR(INDEX(Noeuds_plan!$C$4:$C$200,MATCH(B56,Noeuds_plan!$A$4:$A$200,0)),""))</f>
        <v/>
      </c>
      <c r="AC56" s="8">
        <f>IF(OR(AA56="",Y56=""),"",AA56-Y56)</f>
        <v/>
      </c>
      <c r="AD56" s="8">
        <f>IF(OR(AB56="",Z56=""),"",AB56-Z56)</f>
        <v/>
      </c>
      <c r="AE56" s="4">
        <f>IF(A56="","",IF(OR(V56&gt;1,W56&lt;Inputs!$B$11,W56&gt;Inputs!$B$12,AC56&lt;Inputs!$B$19,AD56&lt;Inputs!$B$19,P56&lt;Inputs!$B$7,P56&gt;Inputs!$B$8),"CHECK","OK"))</f>
        <v/>
      </c>
      <c r="AF56" s="4" t="n"/>
      <c r="AG56" s="4">
        <f>IF(A56="","",(1/Inputs!$B$9)*(PI()*(Inputs!$F$5/1000)^2/4)*((Inputs!$F$5/1000/4)^(2/3))*SQRT(P56))</f>
        <v/>
      </c>
      <c r="AH56" s="4">
        <f>IF(A56="","",(1/Inputs!$B$9)*(PI()*(Inputs!$F$6/1000)^2/4)*((Inputs!$F$6/1000/4)^(2/3))*SQRT(P56))</f>
        <v/>
      </c>
      <c r="AI56" s="4">
        <f>IF(A56="","",(1/Inputs!$B$9)*(PI()*(Inputs!$F$7/1000)^2/4)*((Inputs!$F$7/1000/4)^(2/3))*SQRT(P56))</f>
        <v/>
      </c>
      <c r="AJ56" s="4">
        <f>IF(A56="","",(1/Inputs!$B$9)*(PI()*(Inputs!$F$8/1000)^2/4)*((Inputs!$F$8/1000/4)^(2/3))*SQRT(P56))</f>
        <v/>
      </c>
      <c r="AK56" s="4">
        <f>IF(A56="","",(1/Inputs!$B$9)*(PI()*(Inputs!$F$9/1000)^2/4)*((Inputs!$F$9/1000/4)^(2/3))*SQRT(P56))</f>
        <v/>
      </c>
      <c r="AL56" s="4">
        <f>IF(A56="","",(1/Inputs!$B$9)*(PI()*(Inputs!$F$10/1000)^2/4)*((Inputs!$F$10/1000/4)^(2/3))*SQRT(P56))</f>
        <v/>
      </c>
      <c r="AM56" s="4">
        <f>IF(A56="","",(1/Inputs!$B$9)*(PI()*(Inputs!$F$11/1000)^2/4)*((Inputs!$F$11/1000/4)^(2/3))*SQRT(P56))</f>
        <v/>
      </c>
      <c r="AN56" s="4">
        <f>IF(A56="","",(1/Inputs!$B$9)*(PI()*(Inputs!$F$12/1000)^2/4)*((Inputs!$F$12/1000/4)^(2/3))*SQRT(P56))</f>
        <v/>
      </c>
      <c r="AO56" s="4">
        <f>IF(A56="","",(1/Inputs!$B$9)*(PI()*(Inputs!$F$13/1000)^2/4)*((Inputs!$F$13/1000/4)^(2/3))*SQRT(P56))</f>
        <v/>
      </c>
      <c r="AP56" s="4">
        <f>IF(A56="","",(1/Inputs!$B$9)*(PI()*(Inputs!$F$14/1000)^2/4)*((Inputs!$F$14/1000/4)^(2/3))*SQRT(P56))</f>
        <v/>
      </c>
    </row>
    <row r="57">
      <c r="A57" s="4" t="n"/>
      <c r="B57" s="4" t="n"/>
      <c r="C57" s="4" t="n"/>
      <c r="D57" s="4" t="n"/>
      <c r="E57" s="8" t="n"/>
      <c r="F57" s="8" t="n"/>
      <c r="G57" s="8">
        <f>SUMIFS(CB_plan!$C:$C,CB_plan!$B:$B,$A57)</f>
        <v/>
      </c>
      <c r="H57" s="8">
        <f>IF(F57="",G57,F57)</f>
        <v/>
      </c>
      <c r="I57" s="4" t="n"/>
      <c r="J57" s="8" t="n"/>
      <c r="K57" s="8">
        <f>IF(A57="","",Inputs!$B$13/((IF(J57="",Inputs!$B$18,J57)+Inputs!$B$14)^Inputs!$B$15))</f>
        <v/>
      </c>
      <c r="L57" s="8">
        <f>IF(A57="","",0.00278*IF(I57="",Inputs!$B$17,I57)*H57*K57)</f>
        <v/>
      </c>
      <c r="M57" s="8">
        <f>IF(A57="","",SUMIFS($N$4:$N$203,$D$4:$D$203,$A57))</f>
        <v/>
      </c>
      <c r="N57" s="8">
        <f>IF(A57="","",(L57+M57)*Inputs!$B$16)</f>
        <v/>
      </c>
      <c r="O57" s="8" t="n"/>
      <c r="P57" s="8">
        <f>IF(A57="","",IF(O57="",Inputs!$B$7,O57))</f>
        <v/>
      </c>
      <c r="Q57" s="4">
        <f>IF(A57="","",IF(N57/Inputs!$B$10&lt;=AG57,Inputs!$F$5,IF(N57/Inputs!$B$10&gt;AP57,"OVERSIZE",INDEX(Inputs!$F$5:$F$14,MATCH(N57/Inputs!$B$10,AG57:AP57,1)+1))))</f>
        <v/>
      </c>
      <c r="R57" s="4" t="n"/>
      <c r="S57" s="4">
        <f>IF(A57="","",IF(R57="",Q57,R57))</f>
        <v/>
      </c>
      <c r="T57" s="8">
        <f>IF(OR(S57="",S57="OVERSIZE"),"",S57/1000)</f>
        <v/>
      </c>
      <c r="U57" s="8">
        <f>IF(T57="","",(1/Inputs!$B$9)*(PI()*T57^2/4)*((T57/4)^(2/3))*SQRT(P57))</f>
        <v/>
      </c>
      <c r="V57" s="8">
        <f>IF(OR(U57="",N57=""),"",N57/(U57*Inputs!$B$10))</f>
        <v/>
      </c>
      <c r="W57" s="8">
        <f>IF(OR(T57="",N57=""),"",4*N57/(PI()*T57^2))</f>
        <v/>
      </c>
      <c r="X57" s="8" t="n"/>
      <c r="Y57" s="8">
        <f>IF(A57="","",IF(A57=Inputs!$B$6,Inputs!$B$22,IF(D57="","",IFERROR(INDEX($Z$4:$Z$203,MATCH(D57,$A$4:$A$203,0))+IF(X57="",Inputs!$B$20,X57),""))))</f>
        <v/>
      </c>
      <c r="Z57" s="8">
        <f>IF(OR(Y57="",P57="",E57=""),"",Y57+P57*E57)</f>
        <v/>
      </c>
      <c r="AA57" s="8">
        <f>IF(C57="","",IFERROR(INDEX(Noeuds_plan!$C$4:$C$200,MATCH(C57,Noeuds_plan!$A$4:$A$200,0)),""))</f>
        <v/>
      </c>
      <c r="AB57" s="8">
        <f>IF(B57="","",IFERROR(INDEX(Noeuds_plan!$C$4:$C$200,MATCH(B57,Noeuds_plan!$A$4:$A$200,0)),""))</f>
        <v/>
      </c>
      <c r="AC57" s="8">
        <f>IF(OR(AA57="",Y57=""),"",AA57-Y57)</f>
        <v/>
      </c>
      <c r="AD57" s="8">
        <f>IF(OR(AB57="",Z57=""),"",AB57-Z57)</f>
        <v/>
      </c>
      <c r="AE57" s="4">
        <f>IF(A57="","",IF(OR(V57&gt;1,W57&lt;Inputs!$B$11,W57&gt;Inputs!$B$12,AC57&lt;Inputs!$B$19,AD57&lt;Inputs!$B$19,P57&lt;Inputs!$B$7,P57&gt;Inputs!$B$8),"CHECK","OK"))</f>
        <v/>
      </c>
      <c r="AF57" s="4" t="n"/>
      <c r="AG57" s="4">
        <f>IF(A57="","",(1/Inputs!$B$9)*(PI()*(Inputs!$F$5/1000)^2/4)*((Inputs!$F$5/1000/4)^(2/3))*SQRT(P57))</f>
        <v/>
      </c>
      <c r="AH57" s="4">
        <f>IF(A57="","",(1/Inputs!$B$9)*(PI()*(Inputs!$F$6/1000)^2/4)*((Inputs!$F$6/1000/4)^(2/3))*SQRT(P57))</f>
        <v/>
      </c>
      <c r="AI57" s="4">
        <f>IF(A57="","",(1/Inputs!$B$9)*(PI()*(Inputs!$F$7/1000)^2/4)*((Inputs!$F$7/1000/4)^(2/3))*SQRT(P57))</f>
        <v/>
      </c>
      <c r="AJ57" s="4">
        <f>IF(A57="","",(1/Inputs!$B$9)*(PI()*(Inputs!$F$8/1000)^2/4)*((Inputs!$F$8/1000/4)^(2/3))*SQRT(P57))</f>
        <v/>
      </c>
      <c r="AK57" s="4">
        <f>IF(A57="","",(1/Inputs!$B$9)*(PI()*(Inputs!$F$9/1000)^2/4)*((Inputs!$F$9/1000/4)^(2/3))*SQRT(P57))</f>
        <v/>
      </c>
      <c r="AL57" s="4">
        <f>IF(A57="","",(1/Inputs!$B$9)*(PI()*(Inputs!$F$10/1000)^2/4)*((Inputs!$F$10/1000/4)^(2/3))*SQRT(P57))</f>
        <v/>
      </c>
      <c r="AM57" s="4">
        <f>IF(A57="","",(1/Inputs!$B$9)*(PI()*(Inputs!$F$11/1000)^2/4)*((Inputs!$F$11/1000/4)^(2/3))*SQRT(P57))</f>
        <v/>
      </c>
      <c r="AN57" s="4">
        <f>IF(A57="","",(1/Inputs!$B$9)*(PI()*(Inputs!$F$12/1000)^2/4)*((Inputs!$F$12/1000/4)^(2/3))*SQRT(P57))</f>
        <v/>
      </c>
      <c r="AO57" s="4">
        <f>IF(A57="","",(1/Inputs!$B$9)*(PI()*(Inputs!$F$13/1000)^2/4)*((Inputs!$F$13/1000/4)^(2/3))*SQRT(P57))</f>
        <v/>
      </c>
      <c r="AP57" s="4">
        <f>IF(A57="","",(1/Inputs!$B$9)*(PI()*(Inputs!$F$14/1000)^2/4)*((Inputs!$F$14/1000/4)^(2/3))*SQRT(P57))</f>
        <v/>
      </c>
    </row>
    <row r="58">
      <c r="A58" s="4" t="n"/>
      <c r="B58" s="4" t="n"/>
      <c r="C58" s="4" t="n"/>
      <c r="D58" s="4" t="n"/>
      <c r="E58" s="8" t="n"/>
      <c r="F58" s="8" t="n"/>
      <c r="G58" s="8">
        <f>SUMIFS(CB_plan!$C:$C,CB_plan!$B:$B,$A58)</f>
        <v/>
      </c>
      <c r="H58" s="8">
        <f>IF(F58="",G58,F58)</f>
        <v/>
      </c>
      <c r="I58" s="4" t="n"/>
      <c r="J58" s="8" t="n"/>
      <c r="K58" s="8">
        <f>IF(A58="","",Inputs!$B$13/((IF(J58="",Inputs!$B$18,J58)+Inputs!$B$14)^Inputs!$B$15))</f>
        <v/>
      </c>
      <c r="L58" s="8">
        <f>IF(A58="","",0.00278*IF(I58="",Inputs!$B$17,I58)*H58*K58)</f>
        <v/>
      </c>
      <c r="M58" s="8">
        <f>IF(A58="","",SUMIFS($N$4:$N$203,$D$4:$D$203,$A58))</f>
        <v/>
      </c>
      <c r="N58" s="8">
        <f>IF(A58="","",(L58+M58)*Inputs!$B$16)</f>
        <v/>
      </c>
      <c r="O58" s="8" t="n"/>
      <c r="P58" s="8">
        <f>IF(A58="","",IF(O58="",Inputs!$B$7,O58))</f>
        <v/>
      </c>
      <c r="Q58" s="4">
        <f>IF(A58="","",IF(N58/Inputs!$B$10&lt;=AG58,Inputs!$F$5,IF(N58/Inputs!$B$10&gt;AP58,"OVERSIZE",INDEX(Inputs!$F$5:$F$14,MATCH(N58/Inputs!$B$10,AG58:AP58,1)+1))))</f>
        <v/>
      </c>
      <c r="R58" s="4" t="n"/>
      <c r="S58" s="4">
        <f>IF(A58="","",IF(R58="",Q58,R58))</f>
        <v/>
      </c>
      <c r="T58" s="8">
        <f>IF(OR(S58="",S58="OVERSIZE"),"",S58/1000)</f>
        <v/>
      </c>
      <c r="U58" s="8">
        <f>IF(T58="","",(1/Inputs!$B$9)*(PI()*T58^2/4)*((T58/4)^(2/3))*SQRT(P58))</f>
        <v/>
      </c>
      <c r="V58" s="8">
        <f>IF(OR(U58="",N58=""),"",N58/(U58*Inputs!$B$10))</f>
        <v/>
      </c>
      <c r="W58" s="8">
        <f>IF(OR(T58="",N58=""),"",4*N58/(PI()*T58^2))</f>
        <v/>
      </c>
      <c r="X58" s="8" t="n"/>
      <c r="Y58" s="8">
        <f>IF(A58="","",IF(A58=Inputs!$B$6,Inputs!$B$22,IF(D58="","",IFERROR(INDEX($Z$4:$Z$203,MATCH(D58,$A$4:$A$203,0))+IF(X58="",Inputs!$B$20,X58),""))))</f>
        <v/>
      </c>
      <c r="Z58" s="8">
        <f>IF(OR(Y58="",P58="",E58=""),"",Y58+P58*E58)</f>
        <v/>
      </c>
      <c r="AA58" s="8">
        <f>IF(C58="","",IFERROR(INDEX(Noeuds_plan!$C$4:$C$200,MATCH(C58,Noeuds_plan!$A$4:$A$200,0)),""))</f>
        <v/>
      </c>
      <c r="AB58" s="8">
        <f>IF(B58="","",IFERROR(INDEX(Noeuds_plan!$C$4:$C$200,MATCH(B58,Noeuds_plan!$A$4:$A$200,0)),""))</f>
        <v/>
      </c>
      <c r="AC58" s="8">
        <f>IF(OR(AA58="",Y58=""),"",AA58-Y58)</f>
        <v/>
      </c>
      <c r="AD58" s="8">
        <f>IF(OR(AB58="",Z58=""),"",AB58-Z58)</f>
        <v/>
      </c>
      <c r="AE58" s="4">
        <f>IF(A58="","",IF(OR(V58&gt;1,W58&lt;Inputs!$B$11,W58&gt;Inputs!$B$12,AC58&lt;Inputs!$B$19,AD58&lt;Inputs!$B$19,P58&lt;Inputs!$B$7,P58&gt;Inputs!$B$8),"CHECK","OK"))</f>
        <v/>
      </c>
      <c r="AF58" s="4" t="n"/>
      <c r="AG58" s="4">
        <f>IF(A58="","",(1/Inputs!$B$9)*(PI()*(Inputs!$F$5/1000)^2/4)*((Inputs!$F$5/1000/4)^(2/3))*SQRT(P58))</f>
        <v/>
      </c>
      <c r="AH58" s="4">
        <f>IF(A58="","",(1/Inputs!$B$9)*(PI()*(Inputs!$F$6/1000)^2/4)*((Inputs!$F$6/1000/4)^(2/3))*SQRT(P58))</f>
        <v/>
      </c>
      <c r="AI58" s="4">
        <f>IF(A58="","",(1/Inputs!$B$9)*(PI()*(Inputs!$F$7/1000)^2/4)*((Inputs!$F$7/1000/4)^(2/3))*SQRT(P58))</f>
        <v/>
      </c>
      <c r="AJ58" s="4">
        <f>IF(A58="","",(1/Inputs!$B$9)*(PI()*(Inputs!$F$8/1000)^2/4)*((Inputs!$F$8/1000/4)^(2/3))*SQRT(P58))</f>
        <v/>
      </c>
      <c r="AK58" s="4">
        <f>IF(A58="","",(1/Inputs!$B$9)*(PI()*(Inputs!$F$9/1000)^2/4)*((Inputs!$F$9/1000/4)^(2/3))*SQRT(P58))</f>
        <v/>
      </c>
      <c r="AL58" s="4">
        <f>IF(A58="","",(1/Inputs!$B$9)*(PI()*(Inputs!$F$10/1000)^2/4)*((Inputs!$F$10/1000/4)^(2/3))*SQRT(P58))</f>
        <v/>
      </c>
      <c r="AM58" s="4">
        <f>IF(A58="","",(1/Inputs!$B$9)*(PI()*(Inputs!$F$11/1000)^2/4)*((Inputs!$F$11/1000/4)^(2/3))*SQRT(P58))</f>
        <v/>
      </c>
      <c r="AN58" s="4">
        <f>IF(A58="","",(1/Inputs!$B$9)*(PI()*(Inputs!$F$12/1000)^2/4)*((Inputs!$F$12/1000/4)^(2/3))*SQRT(P58))</f>
        <v/>
      </c>
      <c r="AO58" s="4">
        <f>IF(A58="","",(1/Inputs!$B$9)*(PI()*(Inputs!$F$13/1000)^2/4)*((Inputs!$F$13/1000/4)^(2/3))*SQRT(P58))</f>
        <v/>
      </c>
      <c r="AP58" s="4">
        <f>IF(A58="","",(1/Inputs!$B$9)*(PI()*(Inputs!$F$14/1000)^2/4)*((Inputs!$F$14/1000/4)^(2/3))*SQRT(P58))</f>
        <v/>
      </c>
    </row>
    <row r="59">
      <c r="A59" s="4" t="n"/>
      <c r="B59" s="4" t="n"/>
      <c r="C59" s="4" t="n"/>
      <c r="D59" s="4" t="n"/>
      <c r="E59" s="8" t="n"/>
      <c r="F59" s="8" t="n"/>
      <c r="G59" s="8">
        <f>SUMIFS(CB_plan!$C:$C,CB_plan!$B:$B,$A59)</f>
        <v/>
      </c>
      <c r="H59" s="8">
        <f>IF(F59="",G59,F59)</f>
        <v/>
      </c>
      <c r="I59" s="4" t="n"/>
      <c r="J59" s="8" t="n"/>
      <c r="K59" s="8">
        <f>IF(A59="","",Inputs!$B$13/((IF(J59="",Inputs!$B$18,J59)+Inputs!$B$14)^Inputs!$B$15))</f>
        <v/>
      </c>
      <c r="L59" s="8">
        <f>IF(A59="","",0.00278*IF(I59="",Inputs!$B$17,I59)*H59*K59)</f>
        <v/>
      </c>
      <c r="M59" s="8">
        <f>IF(A59="","",SUMIFS($N$4:$N$203,$D$4:$D$203,$A59))</f>
        <v/>
      </c>
      <c r="N59" s="8">
        <f>IF(A59="","",(L59+M59)*Inputs!$B$16)</f>
        <v/>
      </c>
      <c r="O59" s="8" t="n"/>
      <c r="P59" s="8">
        <f>IF(A59="","",IF(O59="",Inputs!$B$7,O59))</f>
        <v/>
      </c>
      <c r="Q59" s="4">
        <f>IF(A59="","",IF(N59/Inputs!$B$10&lt;=AG59,Inputs!$F$5,IF(N59/Inputs!$B$10&gt;AP59,"OVERSIZE",INDEX(Inputs!$F$5:$F$14,MATCH(N59/Inputs!$B$10,AG59:AP59,1)+1))))</f>
        <v/>
      </c>
      <c r="R59" s="4" t="n"/>
      <c r="S59" s="4">
        <f>IF(A59="","",IF(R59="",Q59,R59))</f>
        <v/>
      </c>
      <c r="T59" s="8">
        <f>IF(OR(S59="",S59="OVERSIZE"),"",S59/1000)</f>
        <v/>
      </c>
      <c r="U59" s="8">
        <f>IF(T59="","",(1/Inputs!$B$9)*(PI()*T59^2/4)*((T59/4)^(2/3))*SQRT(P59))</f>
        <v/>
      </c>
      <c r="V59" s="8">
        <f>IF(OR(U59="",N59=""),"",N59/(U59*Inputs!$B$10))</f>
        <v/>
      </c>
      <c r="W59" s="8">
        <f>IF(OR(T59="",N59=""),"",4*N59/(PI()*T59^2))</f>
        <v/>
      </c>
      <c r="X59" s="8" t="n"/>
      <c r="Y59" s="8">
        <f>IF(A59="","",IF(A59=Inputs!$B$6,Inputs!$B$22,IF(D59="","",IFERROR(INDEX($Z$4:$Z$203,MATCH(D59,$A$4:$A$203,0))+IF(X59="",Inputs!$B$20,X59),""))))</f>
        <v/>
      </c>
      <c r="Z59" s="8">
        <f>IF(OR(Y59="",P59="",E59=""),"",Y59+P59*E59)</f>
        <v/>
      </c>
      <c r="AA59" s="8">
        <f>IF(C59="","",IFERROR(INDEX(Noeuds_plan!$C$4:$C$200,MATCH(C59,Noeuds_plan!$A$4:$A$200,0)),""))</f>
        <v/>
      </c>
      <c r="AB59" s="8">
        <f>IF(B59="","",IFERROR(INDEX(Noeuds_plan!$C$4:$C$200,MATCH(B59,Noeuds_plan!$A$4:$A$200,0)),""))</f>
        <v/>
      </c>
      <c r="AC59" s="8">
        <f>IF(OR(AA59="",Y59=""),"",AA59-Y59)</f>
        <v/>
      </c>
      <c r="AD59" s="8">
        <f>IF(OR(AB59="",Z59=""),"",AB59-Z59)</f>
        <v/>
      </c>
      <c r="AE59" s="4">
        <f>IF(A59="","",IF(OR(V59&gt;1,W59&lt;Inputs!$B$11,W59&gt;Inputs!$B$12,AC59&lt;Inputs!$B$19,AD59&lt;Inputs!$B$19,P59&lt;Inputs!$B$7,P59&gt;Inputs!$B$8),"CHECK","OK"))</f>
        <v/>
      </c>
      <c r="AF59" s="4" t="n"/>
      <c r="AG59" s="4">
        <f>IF(A59="","",(1/Inputs!$B$9)*(PI()*(Inputs!$F$5/1000)^2/4)*((Inputs!$F$5/1000/4)^(2/3))*SQRT(P59))</f>
        <v/>
      </c>
      <c r="AH59" s="4">
        <f>IF(A59="","",(1/Inputs!$B$9)*(PI()*(Inputs!$F$6/1000)^2/4)*((Inputs!$F$6/1000/4)^(2/3))*SQRT(P59))</f>
        <v/>
      </c>
      <c r="AI59" s="4">
        <f>IF(A59="","",(1/Inputs!$B$9)*(PI()*(Inputs!$F$7/1000)^2/4)*((Inputs!$F$7/1000/4)^(2/3))*SQRT(P59))</f>
        <v/>
      </c>
      <c r="AJ59" s="4">
        <f>IF(A59="","",(1/Inputs!$B$9)*(PI()*(Inputs!$F$8/1000)^2/4)*((Inputs!$F$8/1000/4)^(2/3))*SQRT(P59))</f>
        <v/>
      </c>
      <c r="AK59" s="4">
        <f>IF(A59="","",(1/Inputs!$B$9)*(PI()*(Inputs!$F$9/1000)^2/4)*((Inputs!$F$9/1000/4)^(2/3))*SQRT(P59))</f>
        <v/>
      </c>
      <c r="AL59" s="4">
        <f>IF(A59="","",(1/Inputs!$B$9)*(PI()*(Inputs!$F$10/1000)^2/4)*((Inputs!$F$10/1000/4)^(2/3))*SQRT(P59))</f>
        <v/>
      </c>
      <c r="AM59" s="4">
        <f>IF(A59="","",(1/Inputs!$B$9)*(PI()*(Inputs!$F$11/1000)^2/4)*((Inputs!$F$11/1000/4)^(2/3))*SQRT(P59))</f>
        <v/>
      </c>
      <c r="AN59" s="4">
        <f>IF(A59="","",(1/Inputs!$B$9)*(PI()*(Inputs!$F$12/1000)^2/4)*((Inputs!$F$12/1000/4)^(2/3))*SQRT(P59))</f>
        <v/>
      </c>
      <c r="AO59" s="4">
        <f>IF(A59="","",(1/Inputs!$B$9)*(PI()*(Inputs!$F$13/1000)^2/4)*((Inputs!$F$13/1000/4)^(2/3))*SQRT(P59))</f>
        <v/>
      </c>
      <c r="AP59" s="4">
        <f>IF(A59="","",(1/Inputs!$B$9)*(PI()*(Inputs!$F$14/1000)^2/4)*((Inputs!$F$14/1000/4)^(2/3))*SQRT(P59))</f>
        <v/>
      </c>
    </row>
    <row r="60">
      <c r="A60" s="4" t="n"/>
      <c r="B60" s="4" t="n"/>
      <c r="C60" s="4" t="n"/>
      <c r="D60" s="4" t="n"/>
      <c r="E60" s="8" t="n"/>
      <c r="F60" s="8" t="n"/>
      <c r="G60" s="8">
        <f>SUMIFS(CB_plan!$C:$C,CB_plan!$B:$B,$A60)</f>
        <v/>
      </c>
      <c r="H60" s="8">
        <f>IF(F60="",G60,F60)</f>
        <v/>
      </c>
      <c r="I60" s="4" t="n"/>
      <c r="J60" s="8" t="n"/>
      <c r="K60" s="8">
        <f>IF(A60="","",Inputs!$B$13/((IF(J60="",Inputs!$B$18,J60)+Inputs!$B$14)^Inputs!$B$15))</f>
        <v/>
      </c>
      <c r="L60" s="8">
        <f>IF(A60="","",0.00278*IF(I60="",Inputs!$B$17,I60)*H60*K60)</f>
        <v/>
      </c>
      <c r="M60" s="8">
        <f>IF(A60="","",SUMIFS($N$4:$N$203,$D$4:$D$203,$A60))</f>
        <v/>
      </c>
      <c r="N60" s="8">
        <f>IF(A60="","",(L60+M60)*Inputs!$B$16)</f>
        <v/>
      </c>
      <c r="O60" s="8" t="n"/>
      <c r="P60" s="8">
        <f>IF(A60="","",IF(O60="",Inputs!$B$7,O60))</f>
        <v/>
      </c>
      <c r="Q60" s="4">
        <f>IF(A60="","",IF(N60/Inputs!$B$10&lt;=AG60,Inputs!$F$5,IF(N60/Inputs!$B$10&gt;AP60,"OVERSIZE",INDEX(Inputs!$F$5:$F$14,MATCH(N60/Inputs!$B$10,AG60:AP60,1)+1))))</f>
        <v/>
      </c>
      <c r="R60" s="4" t="n"/>
      <c r="S60" s="4">
        <f>IF(A60="","",IF(R60="",Q60,R60))</f>
        <v/>
      </c>
      <c r="T60" s="8">
        <f>IF(OR(S60="",S60="OVERSIZE"),"",S60/1000)</f>
        <v/>
      </c>
      <c r="U60" s="8">
        <f>IF(T60="","",(1/Inputs!$B$9)*(PI()*T60^2/4)*((T60/4)^(2/3))*SQRT(P60))</f>
        <v/>
      </c>
      <c r="V60" s="8">
        <f>IF(OR(U60="",N60=""),"",N60/(U60*Inputs!$B$10))</f>
        <v/>
      </c>
      <c r="W60" s="8">
        <f>IF(OR(T60="",N60=""),"",4*N60/(PI()*T60^2))</f>
        <v/>
      </c>
      <c r="X60" s="8" t="n"/>
      <c r="Y60" s="8">
        <f>IF(A60="","",IF(A60=Inputs!$B$6,Inputs!$B$22,IF(D60="","",IFERROR(INDEX($Z$4:$Z$203,MATCH(D60,$A$4:$A$203,0))+IF(X60="",Inputs!$B$20,X60),""))))</f>
        <v/>
      </c>
      <c r="Z60" s="8">
        <f>IF(OR(Y60="",P60="",E60=""),"",Y60+P60*E60)</f>
        <v/>
      </c>
      <c r="AA60" s="8">
        <f>IF(C60="","",IFERROR(INDEX(Noeuds_plan!$C$4:$C$200,MATCH(C60,Noeuds_plan!$A$4:$A$200,0)),""))</f>
        <v/>
      </c>
      <c r="AB60" s="8">
        <f>IF(B60="","",IFERROR(INDEX(Noeuds_plan!$C$4:$C$200,MATCH(B60,Noeuds_plan!$A$4:$A$200,0)),""))</f>
        <v/>
      </c>
      <c r="AC60" s="8">
        <f>IF(OR(AA60="",Y60=""),"",AA60-Y60)</f>
        <v/>
      </c>
      <c r="AD60" s="8">
        <f>IF(OR(AB60="",Z60=""),"",AB60-Z60)</f>
        <v/>
      </c>
      <c r="AE60" s="4">
        <f>IF(A60="","",IF(OR(V60&gt;1,W60&lt;Inputs!$B$11,W60&gt;Inputs!$B$12,AC60&lt;Inputs!$B$19,AD60&lt;Inputs!$B$19,P60&lt;Inputs!$B$7,P60&gt;Inputs!$B$8),"CHECK","OK"))</f>
        <v/>
      </c>
      <c r="AF60" s="4" t="n"/>
      <c r="AG60" s="4">
        <f>IF(A60="","",(1/Inputs!$B$9)*(PI()*(Inputs!$F$5/1000)^2/4)*((Inputs!$F$5/1000/4)^(2/3))*SQRT(P60))</f>
        <v/>
      </c>
      <c r="AH60" s="4">
        <f>IF(A60="","",(1/Inputs!$B$9)*(PI()*(Inputs!$F$6/1000)^2/4)*((Inputs!$F$6/1000/4)^(2/3))*SQRT(P60))</f>
        <v/>
      </c>
      <c r="AI60" s="4">
        <f>IF(A60="","",(1/Inputs!$B$9)*(PI()*(Inputs!$F$7/1000)^2/4)*((Inputs!$F$7/1000/4)^(2/3))*SQRT(P60))</f>
        <v/>
      </c>
      <c r="AJ60" s="4">
        <f>IF(A60="","",(1/Inputs!$B$9)*(PI()*(Inputs!$F$8/1000)^2/4)*((Inputs!$F$8/1000/4)^(2/3))*SQRT(P60))</f>
        <v/>
      </c>
      <c r="AK60" s="4">
        <f>IF(A60="","",(1/Inputs!$B$9)*(PI()*(Inputs!$F$9/1000)^2/4)*((Inputs!$F$9/1000/4)^(2/3))*SQRT(P60))</f>
        <v/>
      </c>
      <c r="AL60" s="4">
        <f>IF(A60="","",(1/Inputs!$B$9)*(PI()*(Inputs!$F$10/1000)^2/4)*((Inputs!$F$10/1000/4)^(2/3))*SQRT(P60))</f>
        <v/>
      </c>
      <c r="AM60" s="4">
        <f>IF(A60="","",(1/Inputs!$B$9)*(PI()*(Inputs!$F$11/1000)^2/4)*((Inputs!$F$11/1000/4)^(2/3))*SQRT(P60))</f>
        <v/>
      </c>
      <c r="AN60" s="4">
        <f>IF(A60="","",(1/Inputs!$B$9)*(PI()*(Inputs!$F$12/1000)^2/4)*((Inputs!$F$12/1000/4)^(2/3))*SQRT(P60))</f>
        <v/>
      </c>
      <c r="AO60" s="4">
        <f>IF(A60="","",(1/Inputs!$B$9)*(PI()*(Inputs!$F$13/1000)^2/4)*((Inputs!$F$13/1000/4)^(2/3))*SQRT(P60))</f>
        <v/>
      </c>
      <c r="AP60" s="4">
        <f>IF(A60="","",(1/Inputs!$B$9)*(PI()*(Inputs!$F$14/1000)^2/4)*((Inputs!$F$14/1000/4)^(2/3))*SQRT(P60))</f>
        <v/>
      </c>
    </row>
    <row r="61">
      <c r="A61" s="4" t="n"/>
      <c r="B61" s="4" t="n"/>
      <c r="C61" s="4" t="n"/>
      <c r="D61" s="4" t="n"/>
      <c r="E61" s="8" t="n"/>
      <c r="F61" s="8" t="n"/>
      <c r="G61" s="8">
        <f>SUMIFS(CB_plan!$C:$C,CB_plan!$B:$B,$A61)</f>
        <v/>
      </c>
      <c r="H61" s="8">
        <f>IF(F61="",G61,F61)</f>
        <v/>
      </c>
      <c r="I61" s="4" t="n"/>
      <c r="J61" s="8" t="n"/>
      <c r="K61" s="8">
        <f>IF(A61="","",Inputs!$B$13/((IF(J61="",Inputs!$B$18,J61)+Inputs!$B$14)^Inputs!$B$15))</f>
        <v/>
      </c>
      <c r="L61" s="8">
        <f>IF(A61="","",0.00278*IF(I61="",Inputs!$B$17,I61)*H61*K61)</f>
        <v/>
      </c>
      <c r="M61" s="8">
        <f>IF(A61="","",SUMIFS($N$4:$N$203,$D$4:$D$203,$A61))</f>
        <v/>
      </c>
      <c r="N61" s="8">
        <f>IF(A61="","",(L61+M61)*Inputs!$B$16)</f>
        <v/>
      </c>
      <c r="O61" s="8" t="n"/>
      <c r="P61" s="8">
        <f>IF(A61="","",IF(O61="",Inputs!$B$7,O61))</f>
        <v/>
      </c>
      <c r="Q61" s="4">
        <f>IF(A61="","",IF(N61/Inputs!$B$10&lt;=AG61,Inputs!$F$5,IF(N61/Inputs!$B$10&gt;AP61,"OVERSIZE",INDEX(Inputs!$F$5:$F$14,MATCH(N61/Inputs!$B$10,AG61:AP61,1)+1))))</f>
        <v/>
      </c>
      <c r="R61" s="4" t="n"/>
      <c r="S61" s="4">
        <f>IF(A61="","",IF(R61="",Q61,R61))</f>
        <v/>
      </c>
      <c r="T61" s="8">
        <f>IF(OR(S61="",S61="OVERSIZE"),"",S61/1000)</f>
        <v/>
      </c>
      <c r="U61" s="8">
        <f>IF(T61="","",(1/Inputs!$B$9)*(PI()*T61^2/4)*((T61/4)^(2/3))*SQRT(P61))</f>
        <v/>
      </c>
      <c r="V61" s="8">
        <f>IF(OR(U61="",N61=""),"",N61/(U61*Inputs!$B$10))</f>
        <v/>
      </c>
      <c r="W61" s="8">
        <f>IF(OR(T61="",N61=""),"",4*N61/(PI()*T61^2))</f>
        <v/>
      </c>
      <c r="X61" s="8" t="n"/>
      <c r="Y61" s="8">
        <f>IF(A61="","",IF(A61=Inputs!$B$6,Inputs!$B$22,IF(D61="","",IFERROR(INDEX($Z$4:$Z$203,MATCH(D61,$A$4:$A$203,0))+IF(X61="",Inputs!$B$20,X61),""))))</f>
        <v/>
      </c>
      <c r="Z61" s="8">
        <f>IF(OR(Y61="",P61="",E61=""),"",Y61+P61*E61)</f>
        <v/>
      </c>
      <c r="AA61" s="8">
        <f>IF(C61="","",IFERROR(INDEX(Noeuds_plan!$C$4:$C$200,MATCH(C61,Noeuds_plan!$A$4:$A$200,0)),""))</f>
        <v/>
      </c>
      <c r="AB61" s="8">
        <f>IF(B61="","",IFERROR(INDEX(Noeuds_plan!$C$4:$C$200,MATCH(B61,Noeuds_plan!$A$4:$A$200,0)),""))</f>
        <v/>
      </c>
      <c r="AC61" s="8">
        <f>IF(OR(AA61="",Y61=""),"",AA61-Y61)</f>
        <v/>
      </c>
      <c r="AD61" s="8">
        <f>IF(OR(AB61="",Z61=""),"",AB61-Z61)</f>
        <v/>
      </c>
      <c r="AE61" s="4">
        <f>IF(A61="","",IF(OR(V61&gt;1,W61&lt;Inputs!$B$11,W61&gt;Inputs!$B$12,AC61&lt;Inputs!$B$19,AD61&lt;Inputs!$B$19,P61&lt;Inputs!$B$7,P61&gt;Inputs!$B$8),"CHECK","OK"))</f>
        <v/>
      </c>
      <c r="AF61" s="4" t="n"/>
      <c r="AG61" s="4">
        <f>IF(A61="","",(1/Inputs!$B$9)*(PI()*(Inputs!$F$5/1000)^2/4)*((Inputs!$F$5/1000/4)^(2/3))*SQRT(P61))</f>
        <v/>
      </c>
      <c r="AH61" s="4">
        <f>IF(A61="","",(1/Inputs!$B$9)*(PI()*(Inputs!$F$6/1000)^2/4)*((Inputs!$F$6/1000/4)^(2/3))*SQRT(P61))</f>
        <v/>
      </c>
      <c r="AI61" s="4">
        <f>IF(A61="","",(1/Inputs!$B$9)*(PI()*(Inputs!$F$7/1000)^2/4)*((Inputs!$F$7/1000/4)^(2/3))*SQRT(P61))</f>
        <v/>
      </c>
      <c r="AJ61" s="4">
        <f>IF(A61="","",(1/Inputs!$B$9)*(PI()*(Inputs!$F$8/1000)^2/4)*((Inputs!$F$8/1000/4)^(2/3))*SQRT(P61))</f>
        <v/>
      </c>
      <c r="AK61" s="4">
        <f>IF(A61="","",(1/Inputs!$B$9)*(PI()*(Inputs!$F$9/1000)^2/4)*((Inputs!$F$9/1000/4)^(2/3))*SQRT(P61))</f>
        <v/>
      </c>
      <c r="AL61" s="4">
        <f>IF(A61="","",(1/Inputs!$B$9)*(PI()*(Inputs!$F$10/1000)^2/4)*((Inputs!$F$10/1000/4)^(2/3))*SQRT(P61))</f>
        <v/>
      </c>
      <c r="AM61" s="4">
        <f>IF(A61="","",(1/Inputs!$B$9)*(PI()*(Inputs!$F$11/1000)^2/4)*((Inputs!$F$11/1000/4)^(2/3))*SQRT(P61))</f>
        <v/>
      </c>
      <c r="AN61" s="4">
        <f>IF(A61="","",(1/Inputs!$B$9)*(PI()*(Inputs!$F$12/1000)^2/4)*((Inputs!$F$12/1000/4)^(2/3))*SQRT(P61))</f>
        <v/>
      </c>
      <c r="AO61" s="4">
        <f>IF(A61="","",(1/Inputs!$B$9)*(PI()*(Inputs!$F$13/1000)^2/4)*((Inputs!$F$13/1000/4)^(2/3))*SQRT(P61))</f>
        <v/>
      </c>
      <c r="AP61" s="4">
        <f>IF(A61="","",(1/Inputs!$B$9)*(PI()*(Inputs!$F$14/1000)^2/4)*((Inputs!$F$14/1000/4)^(2/3))*SQRT(P61))</f>
        <v/>
      </c>
    </row>
    <row r="62">
      <c r="A62" s="4" t="n"/>
      <c r="B62" s="4" t="n"/>
      <c r="C62" s="4" t="n"/>
      <c r="D62" s="4" t="n"/>
      <c r="E62" s="8" t="n"/>
      <c r="F62" s="8" t="n"/>
      <c r="G62" s="8">
        <f>SUMIFS(CB_plan!$C:$C,CB_plan!$B:$B,$A62)</f>
        <v/>
      </c>
      <c r="H62" s="8">
        <f>IF(F62="",G62,F62)</f>
        <v/>
      </c>
      <c r="I62" s="4" t="n"/>
      <c r="J62" s="8" t="n"/>
      <c r="K62" s="8">
        <f>IF(A62="","",Inputs!$B$13/((IF(J62="",Inputs!$B$18,J62)+Inputs!$B$14)^Inputs!$B$15))</f>
        <v/>
      </c>
      <c r="L62" s="8">
        <f>IF(A62="","",0.00278*IF(I62="",Inputs!$B$17,I62)*H62*K62)</f>
        <v/>
      </c>
      <c r="M62" s="8">
        <f>IF(A62="","",SUMIFS($N$4:$N$203,$D$4:$D$203,$A62))</f>
        <v/>
      </c>
      <c r="N62" s="8">
        <f>IF(A62="","",(L62+M62)*Inputs!$B$16)</f>
        <v/>
      </c>
      <c r="O62" s="8" t="n"/>
      <c r="P62" s="8">
        <f>IF(A62="","",IF(O62="",Inputs!$B$7,O62))</f>
        <v/>
      </c>
      <c r="Q62" s="4">
        <f>IF(A62="","",IF(N62/Inputs!$B$10&lt;=AG62,Inputs!$F$5,IF(N62/Inputs!$B$10&gt;AP62,"OVERSIZE",INDEX(Inputs!$F$5:$F$14,MATCH(N62/Inputs!$B$10,AG62:AP62,1)+1))))</f>
        <v/>
      </c>
      <c r="R62" s="4" t="n"/>
      <c r="S62" s="4">
        <f>IF(A62="","",IF(R62="",Q62,R62))</f>
        <v/>
      </c>
      <c r="T62" s="8">
        <f>IF(OR(S62="",S62="OVERSIZE"),"",S62/1000)</f>
        <v/>
      </c>
      <c r="U62" s="8">
        <f>IF(T62="","",(1/Inputs!$B$9)*(PI()*T62^2/4)*((T62/4)^(2/3))*SQRT(P62))</f>
        <v/>
      </c>
      <c r="V62" s="8">
        <f>IF(OR(U62="",N62=""),"",N62/(U62*Inputs!$B$10))</f>
        <v/>
      </c>
      <c r="W62" s="8">
        <f>IF(OR(T62="",N62=""),"",4*N62/(PI()*T62^2))</f>
        <v/>
      </c>
      <c r="X62" s="8" t="n"/>
      <c r="Y62" s="8">
        <f>IF(A62="","",IF(A62=Inputs!$B$6,Inputs!$B$22,IF(D62="","",IFERROR(INDEX($Z$4:$Z$203,MATCH(D62,$A$4:$A$203,0))+IF(X62="",Inputs!$B$20,X62),""))))</f>
        <v/>
      </c>
      <c r="Z62" s="8">
        <f>IF(OR(Y62="",P62="",E62=""),"",Y62+P62*E62)</f>
        <v/>
      </c>
      <c r="AA62" s="8">
        <f>IF(C62="","",IFERROR(INDEX(Noeuds_plan!$C$4:$C$200,MATCH(C62,Noeuds_plan!$A$4:$A$200,0)),""))</f>
        <v/>
      </c>
      <c r="AB62" s="8">
        <f>IF(B62="","",IFERROR(INDEX(Noeuds_plan!$C$4:$C$200,MATCH(B62,Noeuds_plan!$A$4:$A$200,0)),""))</f>
        <v/>
      </c>
      <c r="AC62" s="8">
        <f>IF(OR(AA62="",Y62=""),"",AA62-Y62)</f>
        <v/>
      </c>
      <c r="AD62" s="8">
        <f>IF(OR(AB62="",Z62=""),"",AB62-Z62)</f>
        <v/>
      </c>
      <c r="AE62" s="4">
        <f>IF(A62="","",IF(OR(V62&gt;1,W62&lt;Inputs!$B$11,W62&gt;Inputs!$B$12,AC62&lt;Inputs!$B$19,AD62&lt;Inputs!$B$19,P62&lt;Inputs!$B$7,P62&gt;Inputs!$B$8),"CHECK","OK"))</f>
        <v/>
      </c>
      <c r="AF62" s="4" t="n"/>
      <c r="AG62" s="4">
        <f>IF(A62="","",(1/Inputs!$B$9)*(PI()*(Inputs!$F$5/1000)^2/4)*((Inputs!$F$5/1000/4)^(2/3))*SQRT(P62))</f>
        <v/>
      </c>
      <c r="AH62" s="4">
        <f>IF(A62="","",(1/Inputs!$B$9)*(PI()*(Inputs!$F$6/1000)^2/4)*((Inputs!$F$6/1000/4)^(2/3))*SQRT(P62))</f>
        <v/>
      </c>
      <c r="AI62" s="4">
        <f>IF(A62="","",(1/Inputs!$B$9)*(PI()*(Inputs!$F$7/1000)^2/4)*((Inputs!$F$7/1000/4)^(2/3))*SQRT(P62))</f>
        <v/>
      </c>
      <c r="AJ62" s="4">
        <f>IF(A62="","",(1/Inputs!$B$9)*(PI()*(Inputs!$F$8/1000)^2/4)*((Inputs!$F$8/1000/4)^(2/3))*SQRT(P62))</f>
        <v/>
      </c>
      <c r="AK62" s="4">
        <f>IF(A62="","",(1/Inputs!$B$9)*(PI()*(Inputs!$F$9/1000)^2/4)*((Inputs!$F$9/1000/4)^(2/3))*SQRT(P62))</f>
        <v/>
      </c>
      <c r="AL62" s="4">
        <f>IF(A62="","",(1/Inputs!$B$9)*(PI()*(Inputs!$F$10/1000)^2/4)*((Inputs!$F$10/1000/4)^(2/3))*SQRT(P62))</f>
        <v/>
      </c>
      <c r="AM62" s="4">
        <f>IF(A62="","",(1/Inputs!$B$9)*(PI()*(Inputs!$F$11/1000)^2/4)*((Inputs!$F$11/1000/4)^(2/3))*SQRT(P62))</f>
        <v/>
      </c>
      <c r="AN62" s="4">
        <f>IF(A62="","",(1/Inputs!$B$9)*(PI()*(Inputs!$F$12/1000)^2/4)*((Inputs!$F$12/1000/4)^(2/3))*SQRT(P62))</f>
        <v/>
      </c>
      <c r="AO62" s="4">
        <f>IF(A62="","",(1/Inputs!$B$9)*(PI()*(Inputs!$F$13/1000)^2/4)*((Inputs!$F$13/1000/4)^(2/3))*SQRT(P62))</f>
        <v/>
      </c>
      <c r="AP62" s="4">
        <f>IF(A62="","",(1/Inputs!$B$9)*(PI()*(Inputs!$F$14/1000)^2/4)*((Inputs!$F$14/1000/4)^(2/3))*SQRT(P62))</f>
        <v/>
      </c>
    </row>
    <row r="63">
      <c r="A63" s="4" t="n"/>
      <c r="B63" s="4" t="n"/>
      <c r="C63" s="4" t="n"/>
      <c r="D63" s="4" t="n"/>
      <c r="E63" s="8" t="n"/>
      <c r="F63" s="8" t="n"/>
      <c r="G63" s="8">
        <f>SUMIFS(CB_plan!$C:$C,CB_plan!$B:$B,$A63)</f>
        <v/>
      </c>
      <c r="H63" s="8">
        <f>IF(F63="",G63,F63)</f>
        <v/>
      </c>
      <c r="I63" s="4" t="n"/>
      <c r="J63" s="8" t="n"/>
      <c r="K63" s="8">
        <f>IF(A63="","",Inputs!$B$13/((IF(J63="",Inputs!$B$18,J63)+Inputs!$B$14)^Inputs!$B$15))</f>
        <v/>
      </c>
      <c r="L63" s="8">
        <f>IF(A63="","",0.00278*IF(I63="",Inputs!$B$17,I63)*H63*K63)</f>
        <v/>
      </c>
      <c r="M63" s="8">
        <f>IF(A63="","",SUMIFS($N$4:$N$203,$D$4:$D$203,$A63))</f>
        <v/>
      </c>
      <c r="N63" s="8">
        <f>IF(A63="","",(L63+M63)*Inputs!$B$16)</f>
        <v/>
      </c>
      <c r="O63" s="8" t="n"/>
      <c r="P63" s="8">
        <f>IF(A63="","",IF(O63="",Inputs!$B$7,O63))</f>
        <v/>
      </c>
      <c r="Q63" s="4">
        <f>IF(A63="","",IF(N63/Inputs!$B$10&lt;=AG63,Inputs!$F$5,IF(N63/Inputs!$B$10&gt;AP63,"OVERSIZE",INDEX(Inputs!$F$5:$F$14,MATCH(N63/Inputs!$B$10,AG63:AP63,1)+1))))</f>
        <v/>
      </c>
      <c r="R63" s="4" t="n"/>
      <c r="S63" s="4">
        <f>IF(A63="","",IF(R63="",Q63,R63))</f>
        <v/>
      </c>
      <c r="T63" s="8">
        <f>IF(OR(S63="",S63="OVERSIZE"),"",S63/1000)</f>
        <v/>
      </c>
      <c r="U63" s="8">
        <f>IF(T63="","",(1/Inputs!$B$9)*(PI()*T63^2/4)*((T63/4)^(2/3))*SQRT(P63))</f>
        <v/>
      </c>
      <c r="V63" s="8">
        <f>IF(OR(U63="",N63=""),"",N63/(U63*Inputs!$B$10))</f>
        <v/>
      </c>
      <c r="W63" s="8">
        <f>IF(OR(T63="",N63=""),"",4*N63/(PI()*T63^2))</f>
        <v/>
      </c>
      <c r="X63" s="8" t="n"/>
      <c r="Y63" s="8">
        <f>IF(A63="","",IF(A63=Inputs!$B$6,Inputs!$B$22,IF(D63="","",IFERROR(INDEX($Z$4:$Z$203,MATCH(D63,$A$4:$A$203,0))+IF(X63="",Inputs!$B$20,X63),""))))</f>
        <v/>
      </c>
      <c r="Z63" s="8">
        <f>IF(OR(Y63="",P63="",E63=""),"",Y63+P63*E63)</f>
        <v/>
      </c>
      <c r="AA63" s="8">
        <f>IF(C63="","",IFERROR(INDEX(Noeuds_plan!$C$4:$C$200,MATCH(C63,Noeuds_plan!$A$4:$A$200,0)),""))</f>
        <v/>
      </c>
      <c r="AB63" s="8">
        <f>IF(B63="","",IFERROR(INDEX(Noeuds_plan!$C$4:$C$200,MATCH(B63,Noeuds_plan!$A$4:$A$200,0)),""))</f>
        <v/>
      </c>
      <c r="AC63" s="8">
        <f>IF(OR(AA63="",Y63=""),"",AA63-Y63)</f>
        <v/>
      </c>
      <c r="AD63" s="8">
        <f>IF(OR(AB63="",Z63=""),"",AB63-Z63)</f>
        <v/>
      </c>
      <c r="AE63" s="4">
        <f>IF(A63="","",IF(OR(V63&gt;1,W63&lt;Inputs!$B$11,W63&gt;Inputs!$B$12,AC63&lt;Inputs!$B$19,AD63&lt;Inputs!$B$19,P63&lt;Inputs!$B$7,P63&gt;Inputs!$B$8),"CHECK","OK"))</f>
        <v/>
      </c>
      <c r="AF63" s="4" t="n"/>
      <c r="AG63" s="4">
        <f>IF(A63="","",(1/Inputs!$B$9)*(PI()*(Inputs!$F$5/1000)^2/4)*((Inputs!$F$5/1000/4)^(2/3))*SQRT(P63))</f>
        <v/>
      </c>
      <c r="AH63" s="4">
        <f>IF(A63="","",(1/Inputs!$B$9)*(PI()*(Inputs!$F$6/1000)^2/4)*((Inputs!$F$6/1000/4)^(2/3))*SQRT(P63))</f>
        <v/>
      </c>
      <c r="AI63" s="4">
        <f>IF(A63="","",(1/Inputs!$B$9)*(PI()*(Inputs!$F$7/1000)^2/4)*((Inputs!$F$7/1000/4)^(2/3))*SQRT(P63))</f>
        <v/>
      </c>
      <c r="AJ63" s="4">
        <f>IF(A63="","",(1/Inputs!$B$9)*(PI()*(Inputs!$F$8/1000)^2/4)*((Inputs!$F$8/1000/4)^(2/3))*SQRT(P63))</f>
        <v/>
      </c>
      <c r="AK63" s="4">
        <f>IF(A63="","",(1/Inputs!$B$9)*(PI()*(Inputs!$F$9/1000)^2/4)*((Inputs!$F$9/1000/4)^(2/3))*SQRT(P63))</f>
        <v/>
      </c>
      <c r="AL63" s="4">
        <f>IF(A63="","",(1/Inputs!$B$9)*(PI()*(Inputs!$F$10/1000)^2/4)*((Inputs!$F$10/1000/4)^(2/3))*SQRT(P63))</f>
        <v/>
      </c>
      <c r="AM63" s="4">
        <f>IF(A63="","",(1/Inputs!$B$9)*(PI()*(Inputs!$F$11/1000)^2/4)*((Inputs!$F$11/1000/4)^(2/3))*SQRT(P63))</f>
        <v/>
      </c>
      <c r="AN63" s="4">
        <f>IF(A63="","",(1/Inputs!$B$9)*(PI()*(Inputs!$F$12/1000)^2/4)*((Inputs!$F$12/1000/4)^(2/3))*SQRT(P63))</f>
        <v/>
      </c>
      <c r="AO63" s="4">
        <f>IF(A63="","",(1/Inputs!$B$9)*(PI()*(Inputs!$F$13/1000)^2/4)*((Inputs!$F$13/1000/4)^(2/3))*SQRT(P63))</f>
        <v/>
      </c>
      <c r="AP63" s="4">
        <f>IF(A63="","",(1/Inputs!$B$9)*(PI()*(Inputs!$F$14/1000)^2/4)*((Inputs!$F$14/1000/4)^(2/3))*SQRT(P63))</f>
        <v/>
      </c>
    </row>
    <row r="64">
      <c r="A64" s="4" t="n"/>
      <c r="B64" s="4" t="n"/>
      <c r="C64" s="4" t="n"/>
      <c r="D64" s="4" t="n"/>
      <c r="E64" s="8" t="n"/>
      <c r="F64" s="8" t="n"/>
      <c r="G64" s="8">
        <f>SUMIFS(CB_plan!$C:$C,CB_plan!$B:$B,$A64)</f>
        <v/>
      </c>
      <c r="H64" s="8">
        <f>IF(F64="",G64,F64)</f>
        <v/>
      </c>
      <c r="I64" s="4" t="n"/>
      <c r="J64" s="8" t="n"/>
      <c r="K64" s="8">
        <f>IF(A64="","",Inputs!$B$13/((IF(J64="",Inputs!$B$18,J64)+Inputs!$B$14)^Inputs!$B$15))</f>
        <v/>
      </c>
      <c r="L64" s="8">
        <f>IF(A64="","",0.00278*IF(I64="",Inputs!$B$17,I64)*H64*K64)</f>
        <v/>
      </c>
      <c r="M64" s="8">
        <f>IF(A64="","",SUMIFS($N$4:$N$203,$D$4:$D$203,$A64))</f>
        <v/>
      </c>
      <c r="N64" s="8">
        <f>IF(A64="","",(L64+M64)*Inputs!$B$16)</f>
        <v/>
      </c>
      <c r="O64" s="8" t="n"/>
      <c r="P64" s="8">
        <f>IF(A64="","",IF(O64="",Inputs!$B$7,O64))</f>
        <v/>
      </c>
      <c r="Q64" s="4">
        <f>IF(A64="","",IF(N64/Inputs!$B$10&lt;=AG64,Inputs!$F$5,IF(N64/Inputs!$B$10&gt;AP64,"OVERSIZE",INDEX(Inputs!$F$5:$F$14,MATCH(N64/Inputs!$B$10,AG64:AP64,1)+1))))</f>
        <v/>
      </c>
      <c r="R64" s="4" t="n"/>
      <c r="S64" s="4">
        <f>IF(A64="","",IF(R64="",Q64,R64))</f>
        <v/>
      </c>
      <c r="T64" s="8">
        <f>IF(OR(S64="",S64="OVERSIZE"),"",S64/1000)</f>
        <v/>
      </c>
      <c r="U64" s="8">
        <f>IF(T64="","",(1/Inputs!$B$9)*(PI()*T64^2/4)*((T64/4)^(2/3))*SQRT(P64))</f>
        <v/>
      </c>
      <c r="V64" s="8">
        <f>IF(OR(U64="",N64=""),"",N64/(U64*Inputs!$B$10))</f>
        <v/>
      </c>
      <c r="W64" s="8">
        <f>IF(OR(T64="",N64=""),"",4*N64/(PI()*T64^2))</f>
        <v/>
      </c>
      <c r="X64" s="8" t="n"/>
      <c r="Y64" s="8">
        <f>IF(A64="","",IF(A64=Inputs!$B$6,Inputs!$B$22,IF(D64="","",IFERROR(INDEX($Z$4:$Z$203,MATCH(D64,$A$4:$A$203,0))+IF(X64="",Inputs!$B$20,X64),""))))</f>
        <v/>
      </c>
      <c r="Z64" s="8">
        <f>IF(OR(Y64="",P64="",E64=""),"",Y64+P64*E64)</f>
        <v/>
      </c>
      <c r="AA64" s="8">
        <f>IF(C64="","",IFERROR(INDEX(Noeuds_plan!$C$4:$C$200,MATCH(C64,Noeuds_plan!$A$4:$A$200,0)),""))</f>
        <v/>
      </c>
      <c r="AB64" s="8">
        <f>IF(B64="","",IFERROR(INDEX(Noeuds_plan!$C$4:$C$200,MATCH(B64,Noeuds_plan!$A$4:$A$200,0)),""))</f>
        <v/>
      </c>
      <c r="AC64" s="8">
        <f>IF(OR(AA64="",Y64=""),"",AA64-Y64)</f>
        <v/>
      </c>
      <c r="AD64" s="8">
        <f>IF(OR(AB64="",Z64=""),"",AB64-Z64)</f>
        <v/>
      </c>
      <c r="AE64" s="4">
        <f>IF(A64="","",IF(OR(V64&gt;1,W64&lt;Inputs!$B$11,W64&gt;Inputs!$B$12,AC64&lt;Inputs!$B$19,AD64&lt;Inputs!$B$19,P64&lt;Inputs!$B$7,P64&gt;Inputs!$B$8),"CHECK","OK"))</f>
        <v/>
      </c>
      <c r="AF64" s="4" t="n"/>
      <c r="AG64" s="4">
        <f>IF(A64="","",(1/Inputs!$B$9)*(PI()*(Inputs!$F$5/1000)^2/4)*((Inputs!$F$5/1000/4)^(2/3))*SQRT(P64))</f>
        <v/>
      </c>
      <c r="AH64" s="4">
        <f>IF(A64="","",(1/Inputs!$B$9)*(PI()*(Inputs!$F$6/1000)^2/4)*((Inputs!$F$6/1000/4)^(2/3))*SQRT(P64))</f>
        <v/>
      </c>
      <c r="AI64" s="4">
        <f>IF(A64="","",(1/Inputs!$B$9)*(PI()*(Inputs!$F$7/1000)^2/4)*((Inputs!$F$7/1000/4)^(2/3))*SQRT(P64))</f>
        <v/>
      </c>
      <c r="AJ64" s="4">
        <f>IF(A64="","",(1/Inputs!$B$9)*(PI()*(Inputs!$F$8/1000)^2/4)*((Inputs!$F$8/1000/4)^(2/3))*SQRT(P64))</f>
        <v/>
      </c>
      <c r="AK64" s="4">
        <f>IF(A64="","",(1/Inputs!$B$9)*(PI()*(Inputs!$F$9/1000)^2/4)*((Inputs!$F$9/1000/4)^(2/3))*SQRT(P64))</f>
        <v/>
      </c>
      <c r="AL64" s="4">
        <f>IF(A64="","",(1/Inputs!$B$9)*(PI()*(Inputs!$F$10/1000)^2/4)*((Inputs!$F$10/1000/4)^(2/3))*SQRT(P64))</f>
        <v/>
      </c>
      <c r="AM64" s="4">
        <f>IF(A64="","",(1/Inputs!$B$9)*(PI()*(Inputs!$F$11/1000)^2/4)*((Inputs!$F$11/1000/4)^(2/3))*SQRT(P64))</f>
        <v/>
      </c>
      <c r="AN64" s="4">
        <f>IF(A64="","",(1/Inputs!$B$9)*(PI()*(Inputs!$F$12/1000)^2/4)*((Inputs!$F$12/1000/4)^(2/3))*SQRT(P64))</f>
        <v/>
      </c>
      <c r="AO64" s="4">
        <f>IF(A64="","",(1/Inputs!$B$9)*(PI()*(Inputs!$F$13/1000)^2/4)*((Inputs!$F$13/1000/4)^(2/3))*SQRT(P64))</f>
        <v/>
      </c>
      <c r="AP64" s="4">
        <f>IF(A64="","",(1/Inputs!$B$9)*(PI()*(Inputs!$F$14/1000)^2/4)*((Inputs!$F$14/1000/4)^(2/3))*SQRT(P64))</f>
        <v/>
      </c>
    </row>
    <row r="65">
      <c r="A65" s="4" t="n"/>
      <c r="B65" s="4" t="n"/>
      <c r="C65" s="4" t="n"/>
      <c r="D65" s="4" t="n"/>
      <c r="E65" s="8" t="n"/>
      <c r="F65" s="8" t="n"/>
      <c r="G65" s="8">
        <f>SUMIFS(CB_plan!$C:$C,CB_plan!$B:$B,$A65)</f>
        <v/>
      </c>
      <c r="H65" s="8">
        <f>IF(F65="",G65,F65)</f>
        <v/>
      </c>
      <c r="I65" s="4" t="n"/>
      <c r="J65" s="8" t="n"/>
      <c r="K65" s="8">
        <f>IF(A65="","",Inputs!$B$13/((IF(J65="",Inputs!$B$18,J65)+Inputs!$B$14)^Inputs!$B$15))</f>
        <v/>
      </c>
      <c r="L65" s="8">
        <f>IF(A65="","",0.00278*IF(I65="",Inputs!$B$17,I65)*H65*K65)</f>
        <v/>
      </c>
      <c r="M65" s="8">
        <f>IF(A65="","",SUMIFS($N$4:$N$203,$D$4:$D$203,$A65))</f>
        <v/>
      </c>
      <c r="N65" s="8">
        <f>IF(A65="","",(L65+M65)*Inputs!$B$16)</f>
        <v/>
      </c>
      <c r="O65" s="8" t="n"/>
      <c r="P65" s="8">
        <f>IF(A65="","",IF(O65="",Inputs!$B$7,O65))</f>
        <v/>
      </c>
      <c r="Q65" s="4">
        <f>IF(A65="","",IF(N65/Inputs!$B$10&lt;=AG65,Inputs!$F$5,IF(N65/Inputs!$B$10&gt;AP65,"OVERSIZE",INDEX(Inputs!$F$5:$F$14,MATCH(N65/Inputs!$B$10,AG65:AP65,1)+1))))</f>
        <v/>
      </c>
      <c r="R65" s="4" t="n"/>
      <c r="S65" s="4">
        <f>IF(A65="","",IF(R65="",Q65,R65))</f>
        <v/>
      </c>
      <c r="T65" s="8">
        <f>IF(OR(S65="",S65="OVERSIZE"),"",S65/1000)</f>
        <v/>
      </c>
      <c r="U65" s="8">
        <f>IF(T65="","",(1/Inputs!$B$9)*(PI()*T65^2/4)*((T65/4)^(2/3))*SQRT(P65))</f>
        <v/>
      </c>
      <c r="V65" s="8">
        <f>IF(OR(U65="",N65=""),"",N65/(U65*Inputs!$B$10))</f>
        <v/>
      </c>
      <c r="W65" s="8">
        <f>IF(OR(T65="",N65=""),"",4*N65/(PI()*T65^2))</f>
        <v/>
      </c>
      <c r="X65" s="8" t="n"/>
      <c r="Y65" s="8">
        <f>IF(A65="","",IF(A65=Inputs!$B$6,Inputs!$B$22,IF(D65="","",IFERROR(INDEX($Z$4:$Z$203,MATCH(D65,$A$4:$A$203,0))+IF(X65="",Inputs!$B$20,X65),""))))</f>
        <v/>
      </c>
      <c r="Z65" s="8">
        <f>IF(OR(Y65="",P65="",E65=""),"",Y65+P65*E65)</f>
        <v/>
      </c>
      <c r="AA65" s="8">
        <f>IF(C65="","",IFERROR(INDEX(Noeuds_plan!$C$4:$C$200,MATCH(C65,Noeuds_plan!$A$4:$A$200,0)),""))</f>
        <v/>
      </c>
      <c r="AB65" s="8">
        <f>IF(B65="","",IFERROR(INDEX(Noeuds_plan!$C$4:$C$200,MATCH(B65,Noeuds_plan!$A$4:$A$200,0)),""))</f>
        <v/>
      </c>
      <c r="AC65" s="8">
        <f>IF(OR(AA65="",Y65=""),"",AA65-Y65)</f>
        <v/>
      </c>
      <c r="AD65" s="8">
        <f>IF(OR(AB65="",Z65=""),"",AB65-Z65)</f>
        <v/>
      </c>
      <c r="AE65" s="4">
        <f>IF(A65="","",IF(OR(V65&gt;1,W65&lt;Inputs!$B$11,W65&gt;Inputs!$B$12,AC65&lt;Inputs!$B$19,AD65&lt;Inputs!$B$19,P65&lt;Inputs!$B$7,P65&gt;Inputs!$B$8),"CHECK","OK"))</f>
        <v/>
      </c>
      <c r="AF65" s="4" t="n"/>
      <c r="AG65" s="4">
        <f>IF(A65="","",(1/Inputs!$B$9)*(PI()*(Inputs!$F$5/1000)^2/4)*((Inputs!$F$5/1000/4)^(2/3))*SQRT(P65))</f>
        <v/>
      </c>
      <c r="AH65" s="4">
        <f>IF(A65="","",(1/Inputs!$B$9)*(PI()*(Inputs!$F$6/1000)^2/4)*((Inputs!$F$6/1000/4)^(2/3))*SQRT(P65))</f>
        <v/>
      </c>
      <c r="AI65" s="4">
        <f>IF(A65="","",(1/Inputs!$B$9)*(PI()*(Inputs!$F$7/1000)^2/4)*((Inputs!$F$7/1000/4)^(2/3))*SQRT(P65))</f>
        <v/>
      </c>
      <c r="AJ65" s="4">
        <f>IF(A65="","",(1/Inputs!$B$9)*(PI()*(Inputs!$F$8/1000)^2/4)*((Inputs!$F$8/1000/4)^(2/3))*SQRT(P65))</f>
        <v/>
      </c>
      <c r="AK65" s="4">
        <f>IF(A65="","",(1/Inputs!$B$9)*(PI()*(Inputs!$F$9/1000)^2/4)*((Inputs!$F$9/1000/4)^(2/3))*SQRT(P65))</f>
        <v/>
      </c>
      <c r="AL65" s="4">
        <f>IF(A65="","",(1/Inputs!$B$9)*(PI()*(Inputs!$F$10/1000)^2/4)*((Inputs!$F$10/1000/4)^(2/3))*SQRT(P65))</f>
        <v/>
      </c>
      <c r="AM65" s="4">
        <f>IF(A65="","",(1/Inputs!$B$9)*(PI()*(Inputs!$F$11/1000)^2/4)*((Inputs!$F$11/1000/4)^(2/3))*SQRT(P65))</f>
        <v/>
      </c>
      <c r="AN65" s="4">
        <f>IF(A65="","",(1/Inputs!$B$9)*(PI()*(Inputs!$F$12/1000)^2/4)*((Inputs!$F$12/1000/4)^(2/3))*SQRT(P65))</f>
        <v/>
      </c>
      <c r="AO65" s="4">
        <f>IF(A65="","",(1/Inputs!$B$9)*(PI()*(Inputs!$F$13/1000)^2/4)*((Inputs!$F$13/1000/4)^(2/3))*SQRT(P65))</f>
        <v/>
      </c>
      <c r="AP65" s="4">
        <f>IF(A65="","",(1/Inputs!$B$9)*(PI()*(Inputs!$F$14/1000)^2/4)*((Inputs!$F$14/1000/4)^(2/3))*SQRT(P65))</f>
        <v/>
      </c>
    </row>
    <row r="66">
      <c r="A66" s="4" t="n"/>
      <c r="B66" s="4" t="n"/>
      <c r="C66" s="4" t="n"/>
      <c r="D66" s="4" t="n"/>
      <c r="E66" s="8" t="n"/>
      <c r="F66" s="8" t="n"/>
      <c r="G66" s="8">
        <f>SUMIFS(CB_plan!$C:$C,CB_plan!$B:$B,$A66)</f>
        <v/>
      </c>
      <c r="H66" s="8">
        <f>IF(F66="",G66,F66)</f>
        <v/>
      </c>
      <c r="I66" s="4" t="n"/>
      <c r="J66" s="8" t="n"/>
      <c r="K66" s="8">
        <f>IF(A66="","",Inputs!$B$13/((IF(J66="",Inputs!$B$18,J66)+Inputs!$B$14)^Inputs!$B$15))</f>
        <v/>
      </c>
      <c r="L66" s="8">
        <f>IF(A66="","",0.00278*IF(I66="",Inputs!$B$17,I66)*H66*K66)</f>
        <v/>
      </c>
      <c r="M66" s="8">
        <f>IF(A66="","",SUMIFS($N$4:$N$203,$D$4:$D$203,$A66))</f>
        <v/>
      </c>
      <c r="N66" s="8">
        <f>IF(A66="","",(L66+M66)*Inputs!$B$16)</f>
        <v/>
      </c>
      <c r="O66" s="8" t="n"/>
      <c r="P66" s="8">
        <f>IF(A66="","",IF(O66="",Inputs!$B$7,O66))</f>
        <v/>
      </c>
      <c r="Q66" s="4">
        <f>IF(A66="","",IF(N66/Inputs!$B$10&lt;=AG66,Inputs!$F$5,IF(N66/Inputs!$B$10&gt;AP66,"OVERSIZE",INDEX(Inputs!$F$5:$F$14,MATCH(N66/Inputs!$B$10,AG66:AP66,1)+1))))</f>
        <v/>
      </c>
      <c r="R66" s="4" t="n"/>
      <c r="S66" s="4">
        <f>IF(A66="","",IF(R66="",Q66,R66))</f>
        <v/>
      </c>
      <c r="T66" s="8">
        <f>IF(OR(S66="",S66="OVERSIZE"),"",S66/1000)</f>
        <v/>
      </c>
      <c r="U66" s="8">
        <f>IF(T66="","",(1/Inputs!$B$9)*(PI()*T66^2/4)*((T66/4)^(2/3))*SQRT(P66))</f>
        <v/>
      </c>
      <c r="V66" s="8">
        <f>IF(OR(U66="",N66=""),"",N66/(U66*Inputs!$B$10))</f>
        <v/>
      </c>
      <c r="W66" s="8">
        <f>IF(OR(T66="",N66=""),"",4*N66/(PI()*T66^2))</f>
        <v/>
      </c>
      <c r="X66" s="8" t="n"/>
      <c r="Y66" s="8">
        <f>IF(A66="","",IF(A66=Inputs!$B$6,Inputs!$B$22,IF(D66="","",IFERROR(INDEX($Z$4:$Z$203,MATCH(D66,$A$4:$A$203,0))+IF(X66="",Inputs!$B$20,X66),""))))</f>
        <v/>
      </c>
      <c r="Z66" s="8">
        <f>IF(OR(Y66="",P66="",E66=""),"",Y66+P66*E66)</f>
        <v/>
      </c>
      <c r="AA66" s="8">
        <f>IF(C66="","",IFERROR(INDEX(Noeuds_plan!$C$4:$C$200,MATCH(C66,Noeuds_plan!$A$4:$A$200,0)),""))</f>
        <v/>
      </c>
      <c r="AB66" s="8">
        <f>IF(B66="","",IFERROR(INDEX(Noeuds_plan!$C$4:$C$200,MATCH(B66,Noeuds_plan!$A$4:$A$200,0)),""))</f>
        <v/>
      </c>
      <c r="AC66" s="8">
        <f>IF(OR(AA66="",Y66=""),"",AA66-Y66)</f>
        <v/>
      </c>
      <c r="AD66" s="8">
        <f>IF(OR(AB66="",Z66=""),"",AB66-Z66)</f>
        <v/>
      </c>
      <c r="AE66" s="4">
        <f>IF(A66="","",IF(OR(V66&gt;1,W66&lt;Inputs!$B$11,W66&gt;Inputs!$B$12,AC66&lt;Inputs!$B$19,AD66&lt;Inputs!$B$19,P66&lt;Inputs!$B$7,P66&gt;Inputs!$B$8),"CHECK","OK"))</f>
        <v/>
      </c>
      <c r="AF66" s="4" t="n"/>
      <c r="AG66" s="4">
        <f>IF(A66="","",(1/Inputs!$B$9)*(PI()*(Inputs!$F$5/1000)^2/4)*((Inputs!$F$5/1000/4)^(2/3))*SQRT(P66))</f>
        <v/>
      </c>
      <c r="AH66" s="4">
        <f>IF(A66="","",(1/Inputs!$B$9)*(PI()*(Inputs!$F$6/1000)^2/4)*((Inputs!$F$6/1000/4)^(2/3))*SQRT(P66))</f>
        <v/>
      </c>
      <c r="AI66" s="4">
        <f>IF(A66="","",(1/Inputs!$B$9)*(PI()*(Inputs!$F$7/1000)^2/4)*((Inputs!$F$7/1000/4)^(2/3))*SQRT(P66))</f>
        <v/>
      </c>
      <c r="AJ66" s="4">
        <f>IF(A66="","",(1/Inputs!$B$9)*(PI()*(Inputs!$F$8/1000)^2/4)*((Inputs!$F$8/1000/4)^(2/3))*SQRT(P66))</f>
        <v/>
      </c>
      <c r="AK66" s="4">
        <f>IF(A66="","",(1/Inputs!$B$9)*(PI()*(Inputs!$F$9/1000)^2/4)*((Inputs!$F$9/1000/4)^(2/3))*SQRT(P66))</f>
        <v/>
      </c>
      <c r="AL66" s="4">
        <f>IF(A66="","",(1/Inputs!$B$9)*(PI()*(Inputs!$F$10/1000)^2/4)*((Inputs!$F$10/1000/4)^(2/3))*SQRT(P66))</f>
        <v/>
      </c>
      <c r="AM66" s="4">
        <f>IF(A66="","",(1/Inputs!$B$9)*(PI()*(Inputs!$F$11/1000)^2/4)*((Inputs!$F$11/1000/4)^(2/3))*SQRT(P66))</f>
        <v/>
      </c>
      <c r="AN66" s="4">
        <f>IF(A66="","",(1/Inputs!$B$9)*(PI()*(Inputs!$F$12/1000)^2/4)*((Inputs!$F$12/1000/4)^(2/3))*SQRT(P66))</f>
        <v/>
      </c>
      <c r="AO66" s="4">
        <f>IF(A66="","",(1/Inputs!$B$9)*(PI()*(Inputs!$F$13/1000)^2/4)*((Inputs!$F$13/1000/4)^(2/3))*SQRT(P66))</f>
        <v/>
      </c>
      <c r="AP66" s="4">
        <f>IF(A66="","",(1/Inputs!$B$9)*(PI()*(Inputs!$F$14/1000)^2/4)*((Inputs!$F$14/1000/4)^(2/3))*SQRT(P66))</f>
        <v/>
      </c>
    </row>
    <row r="67">
      <c r="A67" s="4" t="n"/>
      <c r="B67" s="4" t="n"/>
      <c r="C67" s="4" t="n"/>
      <c r="D67" s="4" t="n"/>
      <c r="E67" s="8" t="n"/>
      <c r="F67" s="8" t="n"/>
      <c r="G67" s="8">
        <f>SUMIFS(CB_plan!$C:$C,CB_plan!$B:$B,$A67)</f>
        <v/>
      </c>
      <c r="H67" s="8">
        <f>IF(F67="",G67,F67)</f>
        <v/>
      </c>
      <c r="I67" s="4" t="n"/>
      <c r="J67" s="8" t="n"/>
      <c r="K67" s="8">
        <f>IF(A67="","",Inputs!$B$13/((IF(J67="",Inputs!$B$18,J67)+Inputs!$B$14)^Inputs!$B$15))</f>
        <v/>
      </c>
      <c r="L67" s="8">
        <f>IF(A67="","",0.00278*IF(I67="",Inputs!$B$17,I67)*H67*K67)</f>
        <v/>
      </c>
      <c r="M67" s="8">
        <f>IF(A67="","",SUMIFS($N$4:$N$203,$D$4:$D$203,$A67))</f>
        <v/>
      </c>
      <c r="N67" s="8">
        <f>IF(A67="","",(L67+M67)*Inputs!$B$16)</f>
        <v/>
      </c>
      <c r="O67" s="8" t="n"/>
      <c r="P67" s="8">
        <f>IF(A67="","",IF(O67="",Inputs!$B$7,O67))</f>
        <v/>
      </c>
      <c r="Q67" s="4">
        <f>IF(A67="","",IF(N67/Inputs!$B$10&lt;=AG67,Inputs!$F$5,IF(N67/Inputs!$B$10&gt;AP67,"OVERSIZE",INDEX(Inputs!$F$5:$F$14,MATCH(N67/Inputs!$B$10,AG67:AP67,1)+1))))</f>
        <v/>
      </c>
      <c r="R67" s="4" t="n"/>
      <c r="S67" s="4">
        <f>IF(A67="","",IF(R67="",Q67,R67))</f>
        <v/>
      </c>
      <c r="T67" s="8">
        <f>IF(OR(S67="",S67="OVERSIZE"),"",S67/1000)</f>
        <v/>
      </c>
      <c r="U67" s="8">
        <f>IF(T67="","",(1/Inputs!$B$9)*(PI()*T67^2/4)*((T67/4)^(2/3))*SQRT(P67))</f>
        <v/>
      </c>
      <c r="V67" s="8">
        <f>IF(OR(U67="",N67=""),"",N67/(U67*Inputs!$B$10))</f>
        <v/>
      </c>
      <c r="W67" s="8">
        <f>IF(OR(T67="",N67=""),"",4*N67/(PI()*T67^2))</f>
        <v/>
      </c>
      <c r="X67" s="8" t="n"/>
      <c r="Y67" s="8">
        <f>IF(A67="","",IF(A67=Inputs!$B$6,Inputs!$B$22,IF(D67="","",IFERROR(INDEX($Z$4:$Z$203,MATCH(D67,$A$4:$A$203,0))+IF(X67="",Inputs!$B$20,X67),""))))</f>
        <v/>
      </c>
      <c r="Z67" s="8">
        <f>IF(OR(Y67="",P67="",E67=""),"",Y67+P67*E67)</f>
        <v/>
      </c>
      <c r="AA67" s="8">
        <f>IF(C67="","",IFERROR(INDEX(Noeuds_plan!$C$4:$C$200,MATCH(C67,Noeuds_plan!$A$4:$A$200,0)),""))</f>
        <v/>
      </c>
      <c r="AB67" s="8">
        <f>IF(B67="","",IFERROR(INDEX(Noeuds_plan!$C$4:$C$200,MATCH(B67,Noeuds_plan!$A$4:$A$200,0)),""))</f>
        <v/>
      </c>
      <c r="AC67" s="8">
        <f>IF(OR(AA67="",Y67=""),"",AA67-Y67)</f>
        <v/>
      </c>
      <c r="AD67" s="8">
        <f>IF(OR(AB67="",Z67=""),"",AB67-Z67)</f>
        <v/>
      </c>
      <c r="AE67" s="4">
        <f>IF(A67="","",IF(OR(V67&gt;1,W67&lt;Inputs!$B$11,W67&gt;Inputs!$B$12,AC67&lt;Inputs!$B$19,AD67&lt;Inputs!$B$19,P67&lt;Inputs!$B$7,P67&gt;Inputs!$B$8),"CHECK","OK"))</f>
        <v/>
      </c>
      <c r="AF67" s="4" t="n"/>
      <c r="AG67" s="4">
        <f>IF(A67="","",(1/Inputs!$B$9)*(PI()*(Inputs!$F$5/1000)^2/4)*((Inputs!$F$5/1000/4)^(2/3))*SQRT(P67))</f>
        <v/>
      </c>
      <c r="AH67" s="4">
        <f>IF(A67="","",(1/Inputs!$B$9)*(PI()*(Inputs!$F$6/1000)^2/4)*((Inputs!$F$6/1000/4)^(2/3))*SQRT(P67))</f>
        <v/>
      </c>
      <c r="AI67" s="4">
        <f>IF(A67="","",(1/Inputs!$B$9)*(PI()*(Inputs!$F$7/1000)^2/4)*((Inputs!$F$7/1000/4)^(2/3))*SQRT(P67))</f>
        <v/>
      </c>
      <c r="AJ67" s="4">
        <f>IF(A67="","",(1/Inputs!$B$9)*(PI()*(Inputs!$F$8/1000)^2/4)*((Inputs!$F$8/1000/4)^(2/3))*SQRT(P67))</f>
        <v/>
      </c>
      <c r="AK67" s="4">
        <f>IF(A67="","",(1/Inputs!$B$9)*(PI()*(Inputs!$F$9/1000)^2/4)*((Inputs!$F$9/1000/4)^(2/3))*SQRT(P67))</f>
        <v/>
      </c>
      <c r="AL67" s="4">
        <f>IF(A67="","",(1/Inputs!$B$9)*(PI()*(Inputs!$F$10/1000)^2/4)*((Inputs!$F$10/1000/4)^(2/3))*SQRT(P67))</f>
        <v/>
      </c>
      <c r="AM67" s="4">
        <f>IF(A67="","",(1/Inputs!$B$9)*(PI()*(Inputs!$F$11/1000)^2/4)*((Inputs!$F$11/1000/4)^(2/3))*SQRT(P67))</f>
        <v/>
      </c>
      <c r="AN67" s="4">
        <f>IF(A67="","",(1/Inputs!$B$9)*(PI()*(Inputs!$F$12/1000)^2/4)*((Inputs!$F$12/1000/4)^(2/3))*SQRT(P67))</f>
        <v/>
      </c>
      <c r="AO67" s="4">
        <f>IF(A67="","",(1/Inputs!$B$9)*(PI()*(Inputs!$F$13/1000)^2/4)*((Inputs!$F$13/1000/4)^(2/3))*SQRT(P67))</f>
        <v/>
      </c>
      <c r="AP67" s="4">
        <f>IF(A67="","",(1/Inputs!$B$9)*(PI()*(Inputs!$F$14/1000)^2/4)*((Inputs!$F$14/1000/4)^(2/3))*SQRT(P67))</f>
        <v/>
      </c>
    </row>
    <row r="68">
      <c r="A68" s="4" t="n"/>
      <c r="B68" s="4" t="n"/>
      <c r="C68" s="4" t="n"/>
      <c r="D68" s="4" t="n"/>
      <c r="E68" s="8" t="n"/>
      <c r="F68" s="8" t="n"/>
      <c r="G68" s="8">
        <f>SUMIFS(CB_plan!$C:$C,CB_plan!$B:$B,$A68)</f>
        <v/>
      </c>
      <c r="H68" s="8">
        <f>IF(F68="",G68,F68)</f>
        <v/>
      </c>
      <c r="I68" s="4" t="n"/>
      <c r="J68" s="8" t="n"/>
      <c r="K68" s="8">
        <f>IF(A68="","",Inputs!$B$13/((IF(J68="",Inputs!$B$18,J68)+Inputs!$B$14)^Inputs!$B$15))</f>
        <v/>
      </c>
      <c r="L68" s="8">
        <f>IF(A68="","",0.00278*IF(I68="",Inputs!$B$17,I68)*H68*K68)</f>
        <v/>
      </c>
      <c r="M68" s="8">
        <f>IF(A68="","",SUMIFS($N$4:$N$203,$D$4:$D$203,$A68))</f>
        <v/>
      </c>
      <c r="N68" s="8">
        <f>IF(A68="","",(L68+M68)*Inputs!$B$16)</f>
        <v/>
      </c>
      <c r="O68" s="8" t="n"/>
      <c r="P68" s="8">
        <f>IF(A68="","",IF(O68="",Inputs!$B$7,O68))</f>
        <v/>
      </c>
      <c r="Q68" s="4">
        <f>IF(A68="","",IF(N68/Inputs!$B$10&lt;=AG68,Inputs!$F$5,IF(N68/Inputs!$B$10&gt;AP68,"OVERSIZE",INDEX(Inputs!$F$5:$F$14,MATCH(N68/Inputs!$B$10,AG68:AP68,1)+1))))</f>
        <v/>
      </c>
      <c r="R68" s="4" t="n"/>
      <c r="S68" s="4">
        <f>IF(A68="","",IF(R68="",Q68,R68))</f>
        <v/>
      </c>
      <c r="T68" s="8">
        <f>IF(OR(S68="",S68="OVERSIZE"),"",S68/1000)</f>
        <v/>
      </c>
      <c r="U68" s="8">
        <f>IF(T68="","",(1/Inputs!$B$9)*(PI()*T68^2/4)*((T68/4)^(2/3))*SQRT(P68))</f>
        <v/>
      </c>
      <c r="V68" s="8">
        <f>IF(OR(U68="",N68=""),"",N68/(U68*Inputs!$B$10))</f>
        <v/>
      </c>
      <c r="W68" s="8">
        <f>IF(OR(T68="",N68=""),"",4*N68/(PI()*T68^2))</f>
        <v/>
      </c>
      <c r="X68" s="8" t="n"/>
      <c r="Y68" s="8">
        <f>IF(A68="","",IF(A68=Inputs!$B$6,Inputs!$B$22,IF(D68="","",IFERROR(INDEX($Z$4:$Z$203,MATCH(D68,$A$4:$A$203,0))+IF(X68="",Inputs!$B$20,X68),""))))</f>
        <v/>
      </c>
      <c r="Z68" s="8">
        <f>IF(OR(Y68="",P68="",E68=""),"",Y68+P68*E68)</f>
        <v/>
      </c>
      <c r="AA68" s="8">
        <f>IF(C68="","",IFERROR(INDEX(Noeuds_plan!$C$4:$C$200,MATCH(C68,Noeuds_plan!$A$4:$A$200,0)),""))</f>
        <v/>
      </c>
      <c r="AB68" s="8">
        <f>IF(B68="","",IFERROR(INDEX(Noeuds_plan!$C$4:$C$200,MATCH(B68,Noeuds_plan!$A$4:$A$200,0)),""))</f>
        <v/>
      </c>
      <c r="AC68" s="8">
        <f>IF(OR(AA68="",Y68=""),"",AA68-Y68)</f>
        <v/>
      </c>
      <c r="AD68" s="8">
        <f>IF(OR(AB68="",Z68=""),"",AB68-Z68)</f>
        <v/>
      </c>
      <c r="AE68" s="4">
        <f>IF(A68="","",IF(OR(V68&gt;1,W68&lt;Inputs!$B$11,W68&gt;Inputs!$B$12,AC68&lt;Inputs!$B$19,AD68&lt;Inputs!$B$19,P68&lt;Inputs!$B$7,P68&gt;Inputs!$B$8),"CHECK","OK"))</f>
        <v/>
      </c>
      <c r="AF68" s="4" t="n"/>
      <c r="AG68" s="4">
        <f>IF(A68="","",(1/Inputs!$B$9)*(PI()*(Inputs!$F$5/1000)^2/4)*((Inputs!$F$5/1000/4)^(2/3))*SQRT(P68))</f>
        <v/>
      </c>
      <c r="AH68" s="4">
        <f>IF(A68="","",(1/Inputs!$B$9)*(PI()*(Inputs!$F$6/1000)^2/4)*((Inputs!$F$6/1000/4)^(2/3))*SQRT(P68))</f>
        <v/>
      </c>
      <c r="AI68" s="4">
        <f>IF(A68="","",(1/Inputs!$B$9)*(PI()*(Inputs!$F$7/1000)^2/4)*((Inputs!$F$7/1000/4)^(2/3))*SQRT(P68))</f>
        <v/>
      </c>
      <c r="AJ68" s="4">
        <f>IF(A68="","",(1/Inputs!$B$9)*(PI()*(Inputs!$F$8/1000)^2/4)*((Inputs!$F$8/1000/4)^(2/3))*SQRT(P68))</f>
        <v/>
      </c>
      <c r="AK68" s="4">
        <f>IF(A68="","",(1/Inputs!$B$9)*(PI()*(Inputs!$F$9/1000)^2/4)*((Inputs!$F$9/1000/4)^(2/3))*SQRT(P68))</f>
        <v/>
      </c>
      <c r="AL68" s="4">
        <f>IF(A68="","",(1/Inputs!$B$9)*(PI()*(Inputs!$F$10/1000)^2/4)*((Inputs!$F$10/1000/4)^(2/3))*SQRT(P68))</f>
        <v/>
      </c>
      <c r="AM68" s="4">
        <f>IF(A68="","",(1/Inputs!$B$9)*(PI()*(Inputs!$F$11/1000)^2/4)*((Inputs!$F$11/1000/4)^(2/3))*SQRT(P68))</f>
        <v/>
      </c>
      <c r="AN68" s="4">
        <f>IF(A68="","",(1/Inputs!$B$9)*(PI()*(Inputs!$F$12/1000)^2/4)*((Inputs!$F$12/1000/4)^(2/3))*SQRT(P68))</f>
        <v/>
      </c>
      <c r="AO68" s="4">
        <f>IF(A68="","",(1/Inputs!$B$9)*(PI()*(Inputs!$F$13/1000)^2/4)*((Inputs!$F$13/1000/4)^(2/3))*SQRT(P68))</f>
        <v/>
      </c>
      <c r="AP68" s="4">
        <f>IF(A68="","",(1/Inputs!$B$9)*(PI()*(Inputs!$F$14/1000)^2/4)*((Inputs!$F$14/1000/4)^(2/3))*SQRT(P68))</f>
        <v/>
      </c>
    </row>
    <row r="69">
      <c r="A69" s="4" t="n"/>
      <c r="B69" s="4" t="n"/>
      <c r="C69" s="4" t="n"/>
      <c r="D69" s="4" t="n"/>
      <c r="E69" s="8" t="n"/>
      <c r="F69" s="8" t="n"/>
      <c r="G69" s="8">
        <f>SUMIFS(CB_plan!$C:$C,CB_plan!$B:$B,$A69)</f>
        <v/>
      </c>
      <c r="H69" s="8">
        <f>IF(F69="",G69,F69)</f>
        <v/>
      </c>
      <c r="I69" s="4" t="n"/>
      <c r="J69" s="8" t="n"/>
      <c r="K69" s="8">
        <f>IF(A69="","",Inputs!$B$13/((IF(J69="",Inputs!$B$18,J69)+Inputs!$B$14)^Inputs!$B$15))</f>
        <v/>
      </c>
      <c r="L69" s="8">
        <f>IF(A69="","",0.00278*IF(I69="",Inputs!$B$17,I69)*H69*K69)</f>
        <v/>
      </c>
      <c r="M69" s="8">
        <f>IF(A69="","",SUMIFS($N$4:$N$203,$D$4:$D$203,$A69))</f>
        <v/>
      </c>
      <c r="N69" s="8">
        <f>IF(A69="","",(L69+M69)*Inputs!$B$16)</f>
        <v/>
      </c>
      <c r="O69" s="8" t="n"/>
      <c r="P69" s="8">
        <f>IF(A69="","",IF(O69="",Inputs!$B$7,O69))</f>
        <v/>
      </c>
      <c r="Q69" s="4">
        <f>IF(A69="","",IF(N69/Inputs!$B$10&lt;=AG69,Inputs!$F$5,IF(N69/Inputs!$B$10&gt;AP69,"OVERSIZE",INDEX(Inputs!$F$5:$F$14,MATCH(N69/Inputs!$B$10,AG69:AP69,1)+1))))</f>
        <v/>
      </c>
      <c r="R69" s="4" t="n"/>
      <c r="S69" s="4">
        <f>IF(A69="","",IF(R69="",Q69,R69))</f>
        <v/>
      </c>
      <c r="T69" s="8">
        <f>IF(OR(S69="",S69="OVERSIZE"),"",S69/1000)</f>
        <v/>
      </c>
      <c r="U69" s="8">
        <f>IF(T69="","",(1/Inputs!$B$9)*(PI()*T69^2/4)*((T69/4)^(2/3))*SQRT(P69))</f>
        <v/>
      </c>
      <c r="V69" s="8">
        <f>IF(OR(U69="",N69=""),"",N69/(U69*Inputs!$B$10))</f>
        <v/>
      </c>
      <c r="W69" s="8">
        <f>IF(OR(T69="",N69=""),"",4*N69/(PI()*T69^2))</f>
        <v/>
      </c>
      <c r="X69" s="8" t="n"/>
      <c r="Y69" s="8">
        <f>IF(A69="","",IF(A69=Inputs!$B$6,Inputs!$B$22,IF(D69="","",IFERROR(INDEX($Z$4:$Z$203,MATCH(D69,$A$4:$A$203,0))+IF(X69="",Inputs!$B$20,X69),""))))</f>
        <v/>
      </c>
      <c r="Z69" s="8">
        <f>IF(OR(Y69="",P69="",E69=""),"",Y69+P69*E69)</f>
        <v/>
      </c>
      <c r="AA69" s="8">
        <f>IF(C69="","",IFERROR(INDEX(Noeuds_plan!$C$4:$C$200,MATCH(C69,Noeuds_plan!$A$4:$A$200,0)),""))</f>
        <v/>
      </c>
      <c r="AB69" s="8">
        <f>IF(B69="","",IFERROR(INDEX(Noeuds_plan!$C$4:$C$200,MATCH(B69,Noeuds_plan!$A$4:$A$200,0)),""))</f>
        <v/>
      </c>
      <c r="AC69" s="8">
        <f>IF(OR(AA69="",Y69=""),"",AA69-Y69)</f>
        <v/>
      </c>
      <c r="AD69" s="8">
        <f>IF(OR(AB69="",Z69=""),"",AB69-Z69)</f>
        <v/>
      </c>
      <c r="AE69" s="4">
        <f>IF(A69="","",IF(OR(V69&gt;1,W69&lt;Inputs!$B$11,W69&gt;Inputs!$B$12,AC69&lt;Inputs!$B$19,AD69&lt;Inputs!$B$19,P69&lt;Inputs!$B$7,P69&gt;Inputs!$B$8),"CHECK","OK"))</f>
        <v/>
      </c>
      <c r="AF69" s="4" t="n"/>
      <c r="AG69" s="4">
        <f>IF(A69="","",(1/Inputs!$B$9)*(PI()*(Inputs!$F$5/1000)^2/4)*((Inputs!$F$5/1000/4)^(2/3))*SQRT(P69))</f>
        <v/>
      </c>
      <c r="AH69" s="4">
        <f>IF(A69="","",(1/Inputs!$B$9)*(PI()*(Inputs!$F$6/1000)^2/4)*((Inputs!$F$6/1000/4)^(2/3))*SQRT(P69))</f>
        <v/>
      </c>
      <c r="AI69" s="4">
        <f>IF(A69="","",(1/Inputs!$B$9)*(PI()*(Inputs!$F$7/1000)^2/4)*((Inputs!$F$7/1000/4)^(2/3))*SQRT(P69))</f>
        <v/>
      </c>
      <c r="AJ69" s="4">
        <f>IF(A69="","",(1/Inputs!$B$9)*(PI()*(Inputs!$F$8/1000)^2/4)*((Inputs!$F$8/1000/4)^(2/3))*SQRT(P69))</f>
        <v/>
      </c>
      <c r="AK69" s="4">
        <f>IF(A69="","",(1/Inputs!$B$9)*(PI()*(Inputs!$F$9/1000)^2/4)*((Inputs!$F$9/1000/4)^(2/3))*SQRT(P69))</f>
        <v/>
      </c>
      <c r="AL69" s="4">
        <f>IF(A69="","",(1/Inputs!$B$9)*(PI()*(Inputs!$F$10/1000)^2/4)*((Inputs!$F$10/1000/4)^(2/3))*SQRT(P69))</f>
        <v/>
      </c>
      <c r="AM69" s="4">
        <f>IF(A69="","",(1/Inputs!$B$9)*(PI()*(Inputs!$F$11/1000)^2/4)*((Inputs!$F$11/1000/4)^(2/3))*SQRT(P69))</f>
        <v/>
      </c>
      <c r="AN69" s="4">
        <f>IF(A69="","",(1/Inputs!$B$9)*(PI()*(Inputs!$F$12/1000)^2/4)*((Inputs!$F$12/1000/4)^(2/3))*SQRT(P69))</f>
        <v/>
      </c>
      <c r="AO69" s="4">
        <f>IF(A69="","",(1/Inputs!$B$9)*(PI()*(Inputs!$F$13/1000)^2/4)*((Inputs!$F$13/1000/4)^(2/3))*SQRT(P69))</f>
        <v/>
      </c>
      <c r="AP69" s="4">
        <f>IF(A69="","",(1/Inputs!$B$9)*(PI()*(Inputs!$F$14/1000)^2/4)*((Inputs!$F$14/1000/4)^(2/3))*SQRT(P69))</f>
        <v/>
      </c>
    </row>
    <row r="70">
      <c r="A70" s="4" t="n"/>
      <c r="B70" s="4" t="n"/>
      <c r="C70" s="4" t="n"/>
      <c r="D70" s="4" t="n"/>
      <c r="E70" s="8" t="n"/>
      <c r="F70" s="8" t="n"/>
      <c r="G70" s="8">
        <f>SUMIFS(CB_plan!$C:$C,CB_plan!$B:$B,$A70)</f>
        <v/>
      </c>
      <c r="H70" s="8">
        <f>IF(F70="",G70,F70)</f>
        <v/>
      </c>
      <c r="I70" s="4" t="n"/>
      <c r="J70" s="8" t="n"/>
      <c r="K70" s="8">
        <f>IF(A70="","",Inputs!$B$13/((IF(J70="",Inputs!$B$18,J70)+Inputs!$B$14)^Inputs!$B$15))</f>
        <v/>
      </c>
      <c r="L70" s="8">
        <f>IF(A70="","",0.00278*IF(I70="",Inputs!$B$17,I70)*H70*K70)</f>
        <v/>
      </c>
      <c r="M70" s="8">
        <f>IF(A70="","",SUMIFS($N$4:$N$203,$D$4:$D$203,$A70))</f>
        <v/>
      </c>
      <c r="N70" s="8">
        <f>IF(A70="","",(L70+M70)*Inputs!$B$16)</f>
        <v/>
      </c>
      <c r="O70" s="8" t="n"/>
      <c r="P70" s="8">
        <f>IF(A70="","",IF(O70="",Inputs!$B$7,O70))</f>
        <v/>
      </c>
      <c r="Q70" s="4">
        <f>IF(A70="","",IF(N70/Inputs!$B$10&lt;=AG70,Inputs!$F$5,IF(N70/Inputs!$B$10&gt;AP70,"OVERSIZE",INDEX(Inputs!$F$5:$F$14,MATCH(N70/Inputs!$B$10,AG70:AP70,1)+1))))</f>
        <v/>
      </c>
      <c r="R70" s="4" t="n"/>
      <c r="S70" s="4">
        <f>IF(A70="","",IF(R70="",Q70,R70))</f>
        <v/>
      </c>
      <c r="T70" s="8">
        <f>IF(OR(S70="",S70="OVERSIZE"),"",S70/1000)</f>
        <v/>
      </c>
      <c r="U70" s="8">
        <f>IF(T70="","",(1/Inputs!$B$9)*(PI()*T70^2/4)*((T70/4)^(2/3))*SQRT(P70))</f>
        <v/>
      </c>
      <c r="V70" s="8">
        <f>IF(OR(U70="",N70=""),"",N70/(U70*Inputs!$B$10))</f>
        <v/>
      </c>
      <c r="W70" s="8">
        <f>IF(OR(T70="",N70=""),"",4*N70/(PI()*T70^2))</f>
        <v/>
      </c>
      <c r="X70" s="8" t="n"/>
      <c r="Y70" s="8">
        <f>IF(A70="","",IF(A70=Inputs!$B$6,Inputs!$B$22,IF(D70="","",IFERROR(INDEX($Z$4:$Z$203,MATCH(D70,$A$4:$A$203,0))+IF(X70="",Inputs!$B$20,X70),""))))</f>
        <v/>
      </c>
      <c r="Z70" s="8">
        <f>IF(OR(Y70="",P70="",E70=""),"",Y70+P70*E70)</f>
        <v/>
      </c>
      <c r="AA70" s="8">
        <f>IF(C70="","",IFERROR(INDEX(Noeuds_plan!$C$4:$C$200,MATCH(C70,Noeuds_plan!$A$4:$A$200,0)),""))</f>
        <v/>
      </c>
      <c r="AB70" s="8">
        <f>IF(B70="","",IFERROR(INDEX(Noeuds_plan!$C$4:$C$200,MATCH(B70,Noeuds_plan!$A$4:$A$200,0)),""))</f>
        <v/>
      </c>
      <c r="AC70" s="8">
        <f>IF(OR(AA70="",Y70=""),"",AA70-Y70)</f>
        <v/>
      </c>
      <c r="AD70" s="8">
        <f>IF(OR(AB70="",Z70=""),"",AB70-Z70)</f>
        <v/>
      </c>
      <c r="AE70" s="4">
        <f>IF(A70="","",IF(OR(V70&gt;1,W70&lt;Inputs!$B$11,W70&gt;Inputs!$B$12,AC70&lt;Inputs!$B$19,AD70&lt;Inputs!$B$19,P70&lt;Inputs!$B$7,P70&gt;Inputs!$B$8),"CHECK","OK"))</f>
        <v/>
      </c>
      <c r="AF70" s="4" t="n"/>
      <c r="AG70" s="4">
        <f>IF(A70="","",(1/Inputs!$B$9)*(PI()*(Inputs!$F$5/1000)^2/4)*((Inputs!$F$5/1000/4)^(2/3))*SQRT(P70))</f>
        <v/>
      </c>
      <c r="AH70" s="4">
        <f>IF(A70="","",(1/Inputs!$B$9)*(PI()*(Inputs!$F$6/1000)^2/4)*((Inputs!$F$6/1000/4)^(2/3))*SQRT(P70))</f>
        <v/>
      </c>
      <c r="AI70" s="4">
        <f>IF(A70="","",(1/Inputs!$B$9)*(PI()*(Inputs!$F$7/1000)^2/4)*((Inputs!$F$7/1000/4)^(2/3))*SQRT(P70))</f>
        <v/>
      </c>
      <c r="AJ70" s="4">
        <f>IF(A70="","",(1/Inputs!$B$9)*(PI()*(Inputs!$F$8/1000)^2/4)*((Inputs!$F$8/1000/4)^(2/3))*SQRT(P70))</f>
        <v/>
      </c>
      <c r="AK70" s="4">
        <f>IF(A70="","",(1/Inputs!$B$9)*(PI()*(Inputs!$F$9/1000)^2/4)*((Inputs!$F$9/1000/4)^(2/3))*SQRT(P70))</f>
        <v/>
      </c>
      <c r="AL70" s="4">
        <f>IF(A70="","",(1/Inputs!$B$9)*(PI()*(Inputs!$F$10/1000)^2/4)*((Inputs!$F$10/1000/4)^(2/3))*SQRT(P70))</f>
        <v/>
      </c>
      <c r="AM70" s="4">
        <f>IF(A70="","",(1/Inputs!$B$9)*(PI()*(Inputs!$F$11/1000)^2/4)*((Inputs!$F$11/1000/4)^(2/3))*SQRT(P70))</f>
        <v/>
      </c>
      <c r="AN70" s="4">
        <f>IF(A70="","",(1/Inputs!$B$9)*(PI()*(Inputs!$F$12/1000)^2/4)*((Inputs!$F$12/1000/4)^(2/3))*SQRT(P70))</f>
        <v/>
      </c>
      <c r="AO70" s="4">
        <f>IF(A70="","",(1/Inputs!$B$9)*(PI()*(Inputs!$F$13/1000)^2/4)*((Inputs!$F$13/1000/4)^(2/3))*SQRT(P70))</f>
        <v/>
      </c>
      <c r="AP70" s="4">
        <f>IF(A70="","",(1/Inputs!$B$9)*(PI()*(Inputs!$F$14/1000)^2/4)*((Inputs!$F$14/1000/4)^(2/3))*SQRT(P70))</f>
        <v/>
      </c>
    </row>
    <row r="71">
      <c r="A71" s="4" t="n"/>
      <c r="B71" s="4" t="n"/>
      <c r="C71" s="4" t="n"/>
      <c r="D71" s="4" t="n"/>
      <c r="E71" s="8" t="n"/>
      <c r="F71" s="8" t="n"/>
      <c r="G71" s="8">
        <f>SUMIFS(CB_plan!$C:$C,CB_plan!$B:$B,$A71)</f>
        <v/>
      </c>
      <c r="H71" s="8">
        <f>IF(F71="",G71,F71)</f>
        <v/>
      </c>
      <c r="I71" s="4" t="n"/>
      <c r="J71" s="8" t="n"/>
      <c r="K71" s="8">
        <f>IF(A71="","",Inputs!$B$13/((IF(J71="",Inputs!$B$18,J71)+Inputs!$B$14)^Inputs!$B$15))</f>
        <v/>
      </c>
      <c r="L71" s="8">
        <f>IF(A71="","",0.00278*IF(I71="",Inputs!$B$17,I71)*H71*K71)</f>
        <v/>
      </c>
      <c r="M71" s="8">
        <f>IF(A71="","",SUMIFS($N$4:$N$203,$D$4:$D$203,$A71))</f>
        <v/>
      </c>
      <c r="N71" s="8">
        <f>IF(A71="","",(L71+M71)*Inputs!$B$16)</f>
        <v/>
      </c>
      <c r="O71" s="8" t="n"/>
      <c r="P71" s="8">
        <f>IF(A71="","",IF(O71="",Inputs!$B$7,O71))</f>
        <v/>
      </c>
      <c r="Q71" s="4">
        <f>IF(A71="","",IF(N71/Inputs!$B$10&lt;=AG71,Inputs!$F$5,IF(N71/Inputs!$B$10&gt;AP71,"OVERSIZE",INDEX(Inputs!$F$5:$F$14,MATCH(N71/Inputs!$B$10,AG71:AP71,1)+1))))</f>
        <v/>
      </c>
      <c r="R71" s="4" t="n"/>
      <c r="S71" s="4">
        <f>IF(A71="","",IF(R71="",Q71,R71))</f>
        <v/>
      </c>
      <c r="T71" s="8">
        <f>IF(OR(S71="",S71="OVERSIZE"),"",S71/1000)</f>
        <v/>
      </c>
      <c r="U71" s="8">
        <f>IF(T71="","",(1/Inputs!$B$9)*(PI()*T71^2/4)*((T71/4)^(2/3))*SQRT(P71))</f>
        <v/>
      </c>
      <c r="V71" s="8">
        <f>IF(OR(U71="",N71=""),"",N71/(U71*Inputs!$B$10))</f>
        <v/>
      </c>
      <c r="W71" s="8">
        <f>IF(OR(T71="",N71=""),"",4*N71/(PI()*T71^2))</f>
        <v/>
      </c>
      <c r="X71" s="8" t="n"/>
      <c r="Y71" s="8">
        <f>IF(A71="","",IF(A71=Inputs!$B$6,Inputs!$B$22,IF(D71="","",IFERROR(INDEX($Z$4:$Z$203,MATCH(D71,$A$4:$A$203,0))+IF(X71="",Inputs!$B$20,X71),""))))</f>
        <v/>
      </c>
      <c r="Z71" s="8">
        <f>IF(OR(Y71="",P71="",E71=""),"",Y71+P71*E71)</f>
        <v/>
      </c>
      <c r="AA71" s="8">
        <f>IF(C71="","",IFERROR(INDEX(Noeuds_plan!$C$4:$C$200,MATCH(C71,Noeuds_plan!$A$4:$A$200,0)),""))</f>
        <v/>
      </c>
      <c r="AB71" s="8">
        <f>IF(B71="","",IFERROR(INDEX(Noeuds_plan!$C$4:$C$200,MATCH(B71,Noeuds_plan!$A$4:$A$200,0)),""))</f>
        <v/>
      </c>
      <c r="AC71" s="8">
        <f>IF(OR(AA71="",Y71=""),"",AA71-Y71)</f>
        <v/>
      </c>
      <c r="AD71" s="8">
        <f>IF(OR(AB71="",Z71=""),"",AB71-Z71)</f>
        <v/>
      </c>
      <c r="AE71" s="4">
        <f>IF(A71="","",IF(OR(V71&gt;1,W71&lt;Inputs!$B$11,W71&gt;Inputs!$B$12,AC71&lt;Inputs!$B$19,AD71&lt;Inputs!$B$19,P71&lt;Inputs!$B$7,P71&gt;Inputs!$B$8),"CHECK","OK"))</f>
        <v/>
      </c>
      <c r="AF71" s="4" t="n"/>
      <c r="AG71" s="4">
        <f>IF(A71="","",(1/Inputs!$B$9)*(PI()*(Inputs!$F$5/1000)^2/4)*((Inputs!$F$5/1000/4)^(2/3))*SQRT(P71))</f>
        <v/>
      </c>
      <c r="AH71" s="4">
        <f>IF(A71="","",(1/Inputs!$B$9)*(PI()*(Inputs!$F$6/1000)^2/4)*((Inputs!$F$6/1000/4)^(2/3))*SQRT(P71))</f>
        <v/>
      </c>
      <c r="AI71" s="4">
        <f>IF(A71="","",(1/Inputs!$B$9)*(PI()*(Inputs!$F$7/1000)^2/4)*((Inputs!$F$7/1000/4)^(2/3))*SQRT(P71))</f>
        <v/>
      </c>
      <c r="AJ71" s="4">
        <f>IF(A71="","",(1/Inputs!$B$9)*(PI()*(Inputs!$F$8/1000)^2/4)*((Inputs!$F$8/1000/4)^(2/3))*SQRT(P71))</f>
        <v/>
      </c>
      <c r="AK71" s="4">
        <f>IF(A71="","",(1/Inputs!$B$9)*(PI()*(Inputs!$F$9/1000)^2/4)*((Inputs!$F$9/1000/4)^(2/3))*SQRT(P71))</f>
        <v/>
      </c>
      <c r="AL71" s="4">
        <f>IF(A71="","",(1/Inputs!$B$9)*(PI()*(Inputs!$F$10/1000)^2/4)*((Inputs!$F$10/1000/4)^(2/3))*SQRT(P71))</f>
        <v/>
      </c>
      <c r="AM71" s="4">
        <f>IF(A71="","",(1/Inputs!$B$9)*(PI()*(Inputs!$F$11/1000)^2/4)*((Inputs!$F$11/1000/4)^(2/3))*SQRT(P71))</f>
        <v/>
      </c>
      <c r="AN71" s="4">
        <f>IF(A71="","",(1/Inputs!$B$9)*(PI()*(Inputs!$F$12/1000)^2/4)*((Inputs!$F$12/1000/4)^(2/3))*SQRT(P71))</f>
        <v/>
      </c>
      <c r="AO71" s="4">
        <f>IF(A71="","",(1/Inputs!$B$9)*(PI()*(Inputs!$F$13/1000)^2/4)*((Inputs!$F$13/1000/4)^(2/3))*SQRT(P71))</f>
        <v/>
      </c>
      <c r="AP71" s="4">
        <f>IF(A71="","",(1/Inputs!$B$9)*(PI()*(Inputs!$F$14/1000)^2/4)*((Inputs!$F$14/1000/4)^(2/3))*SQRT(P71))</f>
        <v/>
      </c>
    </row>
    <row r="72">
      <c r="A72" s="4" t="n"/>
      <c r="B72" s="4" t="n"/>
      <c r="C72" s="4" t="n"/>
      <c r="D72" s="4" t="n"/>
      <c r="E72" s="8" t="n"/>
      <c r="F72" s="8" t="n"/>
      <c r="G72" s="8">
        <f>SUMIFS(CB_plan!$C:$C,CB_plan!$B:$B,$A72)</f>
        <v/>
      </c>
      <c r="H72" s="8">
        <f>IF(F72="",G72,F72)</f>
        <v/>
      </c>
      <c r="I72" s="4" t="n"/>
      <c r="J72" s="8" t="n"/>
      <c r="K72" s="8">
        <f>IF(A72="","",Inputs!$B$13/((IF(J72="",Inputs!$B$18,J72)+Inputs!$B$14)^Inputs!$B$15))</f>
        <v/>
      </c>
      <c r="L72" s="8">
        <f>IF(A72="","",0.00278*IF(I72="",Inputs!$B$17,I72)*H72*K72)</f>
        <v/>
      </c>
      <c r="M72" s="8">
        <f>IF(A72="","",SUMIFS($N$4:$N$203,$D$4:$D$203,$A72))</f>
        <v/>
      </c>
      <c r="N72" s="8">
        <f>IF(A72="","",(L72+M72)*Inputs!$B$16)</f>
        <v/>
      </c>
      <c r="O72" s="8" t="n"/>
      <c r="P72" s="8">
        <f>IF(A72="","",IF(O72="",Inputs!$B$7,O72))</f>
        <v/>
      </c>
      <c r="Q72" s="4">
        <f>IF(A72="","",IF(N72/Inputs!$B$10&lt;=AG72,Inputs!$F$5,IF(N72/Inputs!$B$10&gt;AP72,"OVERSIZE",INDEX(Inputs!$F$5:$F$14,MATCH(N72/Inputs!$B$10,AG72:AP72,1)+1))))</f>
        <v/>
      </c>
      <c r="R72" s="4" t="n"/>
      <c r="S72" s="4">
        <f>IF(A72="","",IF(R72="",Q72,R72))</f>
        <v/>
      </c>
      <c r="T72" s="8">
        <f>IF(OR(S72="",S72="OVERSIZE"),"",S72/1000)</f>
        <v/>
      </c>
      <c r="U72" s="8">
        <f>IF(T72="","",(1/Inputs!$B$9)*(PI()*T72^2/4)*((T72/4)^(2/3))*SQRT(P72))</f>
        <v/>
      </c>
      <c r="V72" s="8">
        <f>IF(OR(U72="",N72=""),"",N72/(U72*Inputs!$B$10))</f>
        <v/>
      </c>
      <c r="W72" s="8">
        <f>IF(OR(T72="",N72=""),"",4*N72/(PI()*T72^2))</f>
        <v/>
      </c>
      <c r="X72" s="8" t="n"/>
      <c r="Y72" s="8">
        <f>IF(A72="","",IF(A72=Inputs!$B$6,Inputs!$B$22,IF(D72="","",IFERROR(INDEX($Z$4:$Z$203,MATCH(D72,$A$4:$A$203,0))+IF(X72="",Inputs!$B$20,X72),""))))</f>
        <v/>
      </c>
      <c r="Z72" s="8">
        <f>IF(OR(Y72="",P72="",E72=""),"",Y72+P72*E72)</f>
        <v/>
      </c>
      <c r="AA72" s="8">
        <f>IF(C72="","",IFERROR(INDEX(Noeuds_plan!$C$4:$C$200,MATCH(C72,Noeuds_plan!$A$4:$A$200,0)),""))</f>
        <v/>
      </c>
      <c r="AB72" s="8">
        <f>IF(B72="","",IFERROR(INDEX(Noeuds_plan!$C$4:$C$200,MATCH(B72,Noeuds_plan!$A$4:$A$200,0)),""))</f>
        <v/>
      </c>
      <c r="AC72" s="8">
        <f>IF(OR(AA72="",Y72=""),"",AA72-Y72)</f>
        <v/>
      </c>
      <c r="AD72" s="8">
        <f>IF(OR(AB72="",Z72=""),"",AB72-Z72)</f>
        <v/>
      </c>
      <c r="AE72" s="4">
        <f>IF(A72="","",IF(OR(V72&gt;1,W72&lt;Inputs!$B$11,W72&gt;Inputs!$B$12,AC72&lt;Inputs!$B$19,AD72&lt;Inputs!$B$19,P72&lt;Inputs!$B$7,P72&gt;Inputs!$B$8),"CHECK","OK"))</f>
        <v/>
      </c>
      <c r="AF72" s="4" t="n"/>
      <c r="AG72" s="4">
        <f>IF(A72="","",(1/Inputs!$B$9)*(PI()*(Inputs!$F$5/1000)^2/4)*((Inputs!$F$5/1000/4)^(2/3))*SQRT(P72))</f>
        <v/>
      </c>
      <c r="AH72" s="4">
        <f>IF(A72="","",(1/Inputs!$B$9)*(PI()*(Inputs!$F$6/1000)^2/4)*((Inputs!$F$6/1000/4)^(2/3))*SQRT(P72))</f>
        <v/>
      </c>
      <c r="AI72" s="4">
        <f>IF(A72="","",(1/Inputs!$B$9)*(PI()*(Inputs!$F$7/1000)^2/4)*((Inputs!$F$7/1000/4)^(2/3))*SQRT(P72))</f>
        <v/>
      </c>
      <c r="AJ72" s="4">
        <f>IF(A72="","",(1/Inputs!$B$9)*(PI()*(Inputs!$F$8/1000)^2/4)*((Inputs!$F$8/1000/4)^(2/3))*SQRT(P72))</f>
        <v/>
      </c>
      <c r="AK72" s="4">
        <f>IF(A72="","",(1/Inputs!$B$9)*(PI()*(Inputs!$F$9/1000)^2/4)*((Inputs!$F$9/1000/4)^(2/3))*SQRT(P72))</f>
        <v/>
      </c>
      <c r="AL72" s="4">
        <f>IF(A72="","",(1/Inputs!$B$9)*(PI()*(Inputs!$F$10/1000)^2/4)*((Inputs!$F$10/1000/4)^(2/3))*SQRT(P72))</f>
        <v/>
      </c>
      <c r="AM72" s="4">
        <f>IF(A72="","",(1/Inputs!$B$9)*(PI()*(Inputs!$F$11/1000)^2/4)*((Inputs!$F$11/1000/4)^(2/3))*SQRT(P72))</f>
        <v/>
      </c>
      <c r="AN72" s="4">
        <f>IF(A72="","",(1/Inputs!$B$9)*(PI()*(Inputs!$F$12/1000)^2/4)*((Inputs!$F$12/1000/4)^(2/3))*SQRT(P72))</f>
        <v/>
      </c>
      <c r="AO72" s="4">
        <f>IF(A72="","",(1/Inputs!$B$9)*(PI()*(Inputs!$F$13/1000)^2/4)*((Inputs!$F$13/1000/4)^(2/3))*SQRT(P72))</f>
        <v/>
      </c>
      <c r="AP72" s="4">
        <f>IF(A72="","",(1/Inputs!$B$9)*(PI()*(Inputs!$F$14/1000)^2/4)*((Inputs!$F$14/1000/4)^(2/3))*SQRT(P72))</f>
        <v/>
      </c>
    </row>
    <row r="73">
      <c r="A73" s="4" t="n"/>
      <c r="B73" s="4" t="n"/>
      <c r="C73" s="4" t="n"/>
      <c r="D73" s="4" t="n"/>
      <c r="E73" s="8" t="n"/>
      <c r="F73" s="8" t="n"/>
      <c r="G73" s="8">
        <f>SUMIFS(CB_plan!$C:$C,CB_plan!$B:$B,$A73)</f>
        <v/>
      </c>
      <c r="H73" s="8">
        <f>IF(F73="",G73,F73)</f>
        <v/>
      </c>
      <c r="I73" s="4" t="n"/>
      <c r="J73" s="8" t="n"/>
      <c r="K73" s="8">
        <f>IF(A73="","",Inputs!$B$13/((IF(J73="",Inputs!$B$18,J73)+Inputs!$B$14)^Inputs!$B$15))</f>
        <v/>
      </c>
      <c r="L73" s="8">
        <f>IF(A73="","",0.00278*IF(I73="",Inputs!$B$17,I73)*H73*K73)</f>
        <v/>
      </c>
      <c r="M73" s="8">
        <f>IF(A73="","",SUMIFS($N$4:$N$203,$D$4:$D$203,$A73))</f>
        <v/>
      </c>
      <c r="N73" s="8">
        <f>IF(A73="","",(L73+M73)*Inputs!$B$16)</f>
        <v/>
      </c>
      <c r="O73" s="8" t="n"/>
      <c r="P73" s="8">
        <f>IF(A73="","",IF(O73="",Inputs!$B$7,O73))</f>
        <v/>
      </c>
      <c r="Q73" s="4">
        <f>IF(A73="","",IF(N73/Inputs!$B$10&lt;=AG73,Inputs!$F$5,IF(N73/Inputs!$B$10&gt;AP73,"OVERSIZE",INDEX(Inputs!$F$5:$F$14,MATCH(N73/Inputs!$B$10,AG73:AP73,1)+1))))</f>
        <v/>
      </c>
      <c r="R73" s="4" t="n"/>
      <c r="S73" s="4">
        <f>IF(A73="","",IF(R73="",Q73,R73))</f>
        <v/>
      </c>
      <c r="T73" s="8">
        <f>IF(OR(S73="",S73="OVERSIZE"),"",S73/1000)</f>
        <v/>
      </c>
      <c r="U73" s="8">
        <f>IF(T73="","",(1/Inputs!$B$9)*(PI()*T73^2/4)*((T73/4)^(2/3))*SQRT(P73))</f>
        <v/>
      </c>
      <c r="V73" s="8">
        <f>IF(OR(U73="",N73=""),"",N73/(U73*Inputs!$B$10))</f>
        <v/>
      </c>
      <c r="W73" s="8">
        <f>IF(OR(T73="",N73=""),"",4*N73/(PI()*T73^2))</f>
        <v/>
      </c>
      <c r="X73" s="8" t="n"/>
      <c r="Y73" s="8">
        <f>IF(A73="","",IF(A73=Inputs!$B$6,Inputs!$B$22,IF(D73="","",IFERROR(INDEX($Z$4:$Z$203,MATCH(D73,$A$4:$A$203,0))+IF(X73="",Inputs!$B$20,X73),""))))</f>
        <v/>
      </c>
      <c r="Z73" s="8">
        <f>IF(OR(Y73="",P73="",E73=""),"",Y73+P73*E73)</f>
        <v/>
      </c>
      <c r="AA73" s="8">
        <f>IF(C73="","",IFERROR(INDEX(Noeuds_plan!$C$4:$C$200,MATCH(C73,Noeuds_plan!$A$4:$A$200,0)),""))</f>
        <v/>
      </c>
      <c r="AB73" s="8">
        <f>IF(B73="","",IFERROR(INDEX(Noeuds_plan!$C$4:$C$200,MATCH(B73,Noeuds_plan!$A$4:$A$200,0)),""))</f>
        <v/>
      </c>
      <c r="AC73" s="8">
        <f>IF(OR(AA73="",Y73=""),"",AA73-Y73)</f>
        <v/>
      </c>
      <c r="AD73" s="8">
        <f>IF(OR(AB73="",Z73=""),"",AB73-Z73)</f>
        <v/>
      </c>
      <c r="AE73" s="4">
        <f>IF(A73="","",IF(OR(V73&gt;1,W73&lt;Inputs!$B$11,W73&gt;Inputs!$B$12,AC73&lt;Inputs!$B$19,AD73&lt;Inputs!$B$19,P73&lt;Inputs!$B$7,P73&gt;Inputs!$B$8),"CHECK","OK"))</f>
        <v/>
      </c>
      <c r="AF73" s="4" t="n"/>
      <c r="AG73" s="4">
        <f>IF(A73="","",(1/Inputs!$B$9)*(PI()*(Inputs!$F$5/1000)^2/4)*((Inputs!$F$5/1000/4)^(2/3))*SQRT(P73))</f>
        <v/>
      </c>
      <c r="AH73" s="4">
        <f>IF(A73="","",(1/Inputs!$B$9)*(PI()*(Inputs!$F$6/1000)^2/4)*((Inputs!$F$6/1000/4)^(2/3))*SQRT(P73))</f>
        <v/>
      </c>
      <c r="AI73" s="4">
        <f>IF(A73="","",(1/Inputs!$B$9)*(PI()*(Inputs!$F$7/1000)^2/4)*((Inputs!$F$7/1000/4)^(2/3))*SQRT(P73))</f>
        <v/>
      </c>
      <c r="AJ73" s="4">
        <f>IF(A73="","",(1/Inputs!$B$9)*(PI()*(Inputs!$F$8/1000)^2/4)*((Inputs!$F$8/1000/4)^(2/3))*SQRT(P73))</f>
        <v/>
      </c>
      <c r="AK73" s="4">
        <f>IF(A73="","",(1/Inputs!$B$9)*(PI()*(Inputs!$F$9/1000)^2/4)*((Inputs!$F$9/1000/4)^(2/3))*SQRT(P73))</f>
        <v/>
      </c>
      <c r="AL73" s="4">
        <f>IF(A73="","",(1/Inputs!$B$9)*(PI()*(Inputs!$F$10/1000)^2/4)*((Inputs!$F$10/1000/4)^(2/3))*SQRT(P73))</f>
        <v/>
      </c>
      <c r="AM73" s="4">
        <f>IF(A73="","",(1/Inputs!$B$9)*(PI()*(Inputs!$F$11/1000)^2/4)*((Inputs!$F$11/1000/4)^(2/3))*SQRT(P73))</f>
        <v/>
      </c>
      <c r="AN73" s="4">
        <f>IF(A73="","",(1/Inputs!$B$9)*(PI()*(Inputs!$F$12/1000)^2/4)*((Inputs!$F$12/1000/4)^(2/3))*SQRT(P73))</f>
        <v/>
      </c>
      <c r="AO73" s="4">
        <f>IF(A73="","",(1/Inputs!$B$9)*(PI()*(Inputs!$F$13/1000)^2/4)*((Inputs!$F$13/1000/4)^(2/3))*SQRT(P73))</f>
        <v/>
      </c>
      <c r="AP73" s="4">
        <f>IF(A73="","",(1/Inputs!$B$9)*(PI()*(Inputs!$F$14/1000)^2/4)*((Inputs!$F$14/1000/4)^(2/3))*SQRT(P73))</f>
        <v/>
      </c>
    </row>
    <row r="74">
      <c r="A74" s="4" t="n"/>
      <c r="B74" s="4" t="n"/>
      <c r="C74" s="4" t="n"/>
      <c r="D74" s="4" t="n"/>
      <c r="E74" s="8" t="n"/>
      <c r="F74" s="8" t="n"/>
      <c r="G74" s="8">
        <f>SUMIFS(CB_plan!$C:$C,CB_plan!$B:$B,$A74)</f>
        <v/>
      </c>
      <c r="H74" s="8">
        <f>IF(F74="",G74,F74)</f>
        <v/>
      </c>
      <c r="I74" s="4" t="n"/>
      <c r="J74" s="8" t="n"/>
      <c r="K74" s="8">
        <f>IF(A74="","",Inputs!$B$13/((IF(J74="",Inputs!$B$18,J74)+Inputs!$B$14)^Inputs!$B$15))</f>
        <v/>
      </c>
      <c r="L74" s="8">
        <f>IF(A74="","",0.00278*IF(I74="",Inputs!$B$17,I74)*H74*K74)</f>
        <v/>
      </c>
      <c r="M74" s="8">
        <f>IF(A74="","",SUMIFS($N$4:$N$203,$D$4:$D$203,$A74))</f>
        <v/>
      </c>
      <c r="N74" s="8">
        <f>IF(A74="","",(L74+M74)*Inputs!$B$16)</f>
        <v/>
      </c>
      <c r="O74" s="8" t="n"/>
      <c r="P74" s="8">
        <f>IF(A74="","",IF(O74="",Inputs!$B$7,O74))</f>
        <v/>
      </c>
      <c r="Q74" s="4">
        <f>IF(A74="","",IF(N74/Inputs!$B$10&lt;=AG74,Inputs!$F$5,IF(N74/Inputs!$B$10&gt;AP74,"OVERSIZE",INDEX(Inputs!$F$5:$F$14,MATCH(N74/Inputs!$B$10,AG74:AP74,1)+1))))</f>
        <v/>
      </c>
      <c r="R74" s="4" t="n"/>
      <c r="S74" s="4">
        <f>IF(A74="","",IF(R74="",Q74,R74))</f>
        <v/>
      </c>
      <c r="T74" s="8">
        <f>IF(OR(S74="",S74="OVERSIZE"),"",S74/1000)</f>
        <v/>
      </c>
      <c r="U74" s="8">
        <f>IF(T74="","",(1/Inputs!$B$9)*(PI()*T74^2/4)*((T74/4)^(2/3))*SQRT(P74))</f>
        <v/>
      </c>
      <c r="V74" s="8">
        <f>IF(OR(U74="",N74=""),"",N74/(U74*Inputs!$B$10))</f>
        <v/>
      </c>
      <c r="W74" s="8">
        <f>IF(OR(T74="",N74=""),"",4*N74/(PI()*T74^2))</f>
        <v/>
      </c>
      <c r="X74" s="8" t="n"/>
      <c r="Y74" s="8">
        <f>IF(A74="","",IF(A74=Inputs!$B$6,Inputs!$B$22,IF(D74="","",IFERROR(INDEX($Z$4:$Z$203,MATCH(D74,$A$4:$A$203,0))+IF(X74="",Inputs!$B$20,X74),""))))</f>
        <v/>
      </c>
      <c r="Z74" s="8">
        <f>IF(OR(Y74="",P74="",E74=""),"",Y74+P74*E74)</f>
        <v/>
      </c>
      <c r="AA74" s="8">
        <f>IF(C74="","",IFERROR(INDEX(Noeuds_plan!$C$4:$C$200,MATCH(C74,Noeuds_plan!$A$4:$A$200,0)),""))</f>
        <v/>
      </c>
      <c r="AB74" s="8">
        <f>IF(B74="","",IFERROR(INDEX(Noeuds_plan!$C$4:$C$200,MATCH(B74,Noeuds_plan!$A$4:$A$200,0)),""))</f>
        <v/>
      </c>
      <c r="AC74" s="8">
        <f>IF(OR(AA74="",Y74=""),"",AA74-Y74)</f>
        <v/>
      </c>
      <c r="AD74" s="8">
        <f>IF(OR(AB74="",Z74=""),"",AB74-Z74)</f>
        <v/>
      </c>
      <c r="AE74" s="4">
        <f>IF(A74="","",IF(OR(V74&gt;1,W74&lt;Inputs!$B$11,W74&gt;Inputs!$B$12,AC74&lt;Inputs!$B$19,AD74&lt;Inputs!$B$19,P74&lt;Inputs!$B$7,P74&gt;Inputs!$B$8),"CHECK","OK"))</f>
        <v/>
      </c>
      <c r="AF74" s="4" t="n"/>
      <c r="AG74" s="4">
        <f>IF(A74="","",(1/Inputs!$B$9)*(PI()*(Inputs!$F$5/1000)^2/4)*((Inputs!$F$5/1000/4)^(2/3))*SQRT(P74))</f>
        <v/>
      </c>
      <c r="AH74" s="4">
        <f>IF(A74="","",(1/Inputs!$B$9)*(PI()*(Inputs!$F$6/1000)^2/4)*((Inputs!$F$6/1000/4)^(2/3))*SQRT(P74))</f>
        <v/>
      </c>
      <c r="AI74" s="4">
        <f>IF(A74="","",(1/Inputs!$B$9)*(PI()*(Inputs!$F$7/1000)^2/4)*((Inputs!$F$7/1000/4)^(2/3))*SQRT(P74))</f>
        <v/>
      </c>
      <c r="AJ74" s="4">
        <f>IF(A74="","",(1/Inputs!$B$9)*(PI()*(Inputs!$F$8/1000)^2/4)*((Inputs!$F$8/1000/4)^(2/3))*SQRT(P74))</f>
        <v/>
      </c>
      <c r="AK74" s="4">
        <f>IF(A74="","",(1/Inputs!$B$9)*(PI()*(Inputs!$F$9/1000)^2/4)*((Inputs!$F$9/1000/4)^(2/3))*SQRT(P74))</f>
        <v/>
      </c>
      <c r="AL74" s="4">
        <f>IF(A74="","",(1/Inputs!$B$9)*(PI()*(Inputs!$F$10/1000)^2/4)*((Inputs!$F$10/1000/4)^(2/3))*SQRT(P74))</f>
        <v/>
      </c>
      <c r="AM74" s="4">
        <f>IF(A74="","",(1/Inputs!$B$9)*(PI()*(Inputs!$F$11/1000)^2/4)*((Inputs!$F$11/1000/4)^(2/3))*SQRT(P74))</f>
        <v/>
      </c>
      <c r="AN74" s="4">
        <f>IF(A74="","",(1/Inputs!$B$9)*(PI()*(Inputs!$F$12/1000)^2/4)*((Inputs!$F$12/1000/4)^(2/3))*SQRT(P74))</f>
        <v/>
      </c>
      <c r="AO74" s="4">
        <f>IF(A74="","",(1/Inputs!$B$9)*(PI()*(Inputs!$F$13/1000)^2/4)*((Inputs!$F$13/1000/4)^(2/3))*SQRT(P74))</f>
        <v/>
      </c>
      <c r="AP74" s="4">
        <f>IF(A74="","",(1/Inputs!$B$9)*(PI()*(Inputs!$F$14/1000)^2/4)*((Inputs!$F$14/1000/4)^(2/3))*SQRT(P74))</f>
        <v/>
      </c>
    </row>
    <row r="75">
      <c r="A75" s="4" t="n"/>
      <c r="B75" s="4" t="n"/>
      <c r="C75" s="4" t="n"/>
      <c r="D75" s="4" t="n"/>
      <c r="E75" s="8" t="n"/>
      <c r="F75" s="8" t="n"/>
      <c r="G75" s="8">
        <f>SUMIFS(CB_plan!$C:$C,CB_plan!$B:$B,$A75)</f>
        <v/>
      </c>
      <c r="H75" s="8">
        <f>IF(F75="",G75,F75)</f>
        <v/>
      </c>
      <c r="I75" s="4" t="n"/>
      <c r="J75" s="8" t="n"/>
      <c r="K75" s="8">
        <f>IF(A75="","",Inputs!$B$13/((IF(J75="",Inputs!$B$18,J75)+Inputs!$B$14)^Inputs!$B$15))</f>
        <v/>
      </c>
      <c r="L75" s="8">
        <f>IF(A75="","",0.00278*IF(I75="",Inputs!$B$17,I75)*H75*K75)</f>
        <v/>
      </c>
      <c r="M75" s="8">
        <f>IF(A75="","",SUMIFS($N$4:$N$203,$D$4:$D$203,$A75))</f>
        <v/>
      </c>
      <c r="N75" s="8">
        <f>IF(A75="","",(L75+M75)*Inputs!$B$16)</f>
        <v/>
      </c>
      <c r="O75" s="8" t="n"/>
      <c r="P75" s="8">
        <f>IF(A75="","",IF(O75="",Inputs!$B$7,O75))</f>
        <v/>
      </c>
      <c r="Q75" s="4">
        <f>IF(A75="","",IF(N75/Inputs!$B$10&lt;=AG75,Inputs!$F$5,IF(N75/Inputs!$B$10&gt;AP75,"OVERSIZE",INDEX(Inputs!$F$5:$F$14,MATCH(N75/Inputs!$B$10,AG75:AP75,1)+1))))</f>
        <v/>
      </c>
      <c r="R75" s="4" t="n"/>
      <c r="S75" s="4">
        <f>IF(A75="","",IF(R75="",Q75,R75))</f>
        <v/>
      </c>
      <c r="T75" s="8">
        <f>IF(OR(S75="",S75="OVERSIZE"),"",S75/1000)</f>
        <v/>
      </c>
      <c r="U75" s="8">
        <f>IF(T75="","",(1/Inputs!$B$9)*(PI()*T75^2/4)*((T75/4)^(2/3))*SQRT(P75))</f>
        <v/>
      </c>
      <c r="V75" s="8">
        <f>IF(OR(U75="",N75=""),"",N75/(U75*Inputs!$B$10))</f>
        <v/>
      </c>
      <c r="W75" s="8">
        <f>IF(OR(T75="",N75=""),"",4*N75/(PI()*T75^2))</f>
        <v/>
      </c>
      <c r="X75" s="8" t="n"/>
      <c r="Y75" s="8">
        <f>IF(A75="","",IF(A75=Inputs!$B$6,Inputs!$B$22,IF(D75="","",IFERROR(INDEX($Z$4:$Z$203,MATCH(D75,$A$4:$A$203,0))+IF(X75="",Inputs!$B$20,X75),""))))</f>
        <v/>
      </c>
      <c r="Z75" s="8">
        <f>IF(OR(Y75="",P75="",E75=""),"",Y75+P75*E75)</f>
        <v/>
      </c>
      <c r="AA75" s="8">
        <f>IF(C75="","",IFERROR(INDEX(Noeuds_plan!$C$4:$C$200,MATCH(C75,Noeuds_plan!$A$4:$A$200,0)),""))</f>
        <v/>
      </c>
      <c r="AB75" s="8">
        <f>IF(B75="","",IFERROR(INDEX(Noeuds_plan!$C$4:$C$200,MATCH(B75,Noeuds_plan!$A$4:$A$200,0)),""))</f>
        <v/>
      </c>
      <c r="AC75" s="8">
        <f>IF(OR(AA75="",Y75=""),"",AA75-Y75)</f>
        <v/>
      </c>
      <c r="AD75" s="8">
        <f>IF(OR(AB75="",Z75=""),"",AB75-Z75)</f>
        <v/>
      </c>
      <c r="AE75" s="4">
        <f>IF(A75="","",IF(OR(V75&gt;1,W75&lt;Inputs!$B$11,W75&gt;Inputs!$B$12,AC75&lt;Inputs!$B$19,AD75&lt;Inputs!$B$19,P75&lt;Inputs!$B$7,P75&gt;Inputs!$B$8),"CHECK","OK"))</f>
        <v/>
      </c>
      <c r="AF75" s="4" t="n"/>
      <c r="AG75" s="4">
        <f>IF(A75="","",(1/Inputs!$B$9)*(PI()*(Inputs!$F$5/1000)^2/4)*((Inputs!$F$5/1000/4)^(2/3))*SQRT(P75))</f>
        <v/>
      </c>
      <c r="AH75" s="4">
        <f>IF(A75="","",(1/Inputs!$B$9)*(PI()*(Inputs!$F$6/1000)^2/4)*((Inputs!$F$6/1000/4)^(2/3))*SQRT(P75))</f>
        <v/>
      </c>
      <c r="AI75" s="4">
        <f>IF(A75="","",(1/Inputs!$B$9)*(PI()*(Inputs!$F$7/1000)^2/4)*((Inputs!$F$7/1000/4)^(2/3))*SQRT(P75))</f>
        <v/>
      </c>
      <c r="AJ75" s="4">
        <f>IF(A75="","",(1/Inputs!$B$9)*(PI()*(Inputs!$F$8/1000)^2/4)*((Inputs!$F$8/1000/4)^(2/3))*SQRT(P75))</f>
        <v/>
      </c>
      <c r="AK75" s="4">
        <f>IF(A75="","",(1/Inputs!$B$9)*(PI()*(Inputs!$F$9/1000)^2/4)*((Inputs!$F$9/1000/4)^(2/3))*SQRT(P75))</f>
        <v/>
      </c>
      <c r="AL75" s="4">
        <f>IF(A75="","",(1/Inputs!$B$9)*(PI()*(Inputs!$F$10/1000)^2/4)*((Inputs!$F$10/1000/4)^(2/3))*SQRT(P75))</f>
        <v/>
      </c>
      <c r="AM75" s="4">
        <f>IF(A75="","",(1/Inputs!$B$9)*(PI()*(Inputs!$F$11/1000)^2/4)*((Inputs!$F$11/1000/4)^(2/3))*SQRT(P75))</f>
        <v/>
      </c>
      <c r="AN75" s="4">
        <f>IF(A75="","",(1/Inputs!$B$9)*(PI()*(Inputs!$F$12/1000)^2/4)*((Inputs!$F$12/1000/4)^(2/3))*SQRT(P75))</f>
        <v/>
      </c>
      <c r="AO75" s="4">
        <f>IF(A75="","",(1/Inputs!$B$9)*(PI()*(Inputs!$F$13/1000)^2/4)*((Inputs!$F$13/1000/4)^(2/3))*SQRT(P75))</f>
        <v/>
      </c>
      <c r="AP75" s="4">
        <f>IF(A75="","",(1/Inputs!$B$9)*(PI()*(Inputs!$F$14/1000)^2/4)*((Inputs!$F$14/1000/4)^(2/3))*SQRT(P75))</f>
        <v/>
      </c>
    </row>
    <row r="76">
      <c r="A76" s="4" t="n"/>
      <c r="B76" s="4" t="n"/>
      <c r="C76" s="4" t="n"/>
      <c r="D76" s="4" t="n"/>
      <c r="E76" s="8" t="n"/>
      <c r="F76" s="8" t="n"/>
      <c r="G76" s="8">
        <f>SUMIFS(CB_plan!$C:$C,CB_plan!$B:$B,$A76)</f>
        <v/>
      </c>
      <c r="H76" s="8">
        <f>IF(F76="",G76,F76)</f>
        <v/>
      </c>
      <c r="I76" s="4" t="n"/>
      <c r="J76" s="8" t="n"/>
      <c r="K76" s="8">
        <f>IF(A76="","",Inputs!$B$13/((IF(J76="",Inputs!$B$18,J76)+Inputs!$B$14)^Inputs!$B$15))</f>
        <v/>
      </c>
      <c r="L76" s="8">
        <f>IF(A76="","",0.00278*IF(I76="",Inputs!$B$17,I76)*H76*K76)</f>
        <v/>
      </c>
      <c r="M76" s="8">
        <f>IF(A76="","",SUMIFS($N$4:$N$203,$D$4:$D$203,$A76))</f>
        <v/>
      </c>
      <c r="N76" s="8">
        <f>IF(A76="","",(L76+M76)*Inputs!$B$16)</f>
        <v/>
      </c>
      <c r="O76" s="8" t="n"/>
      <c r="P76" s="8">
        <f>IF(A76="","",IF(O76="",Inputs!$B$7,O76))</f>
        <v/>
      </c>
      <c r="Q76" s="4">
        <f>IF(A76="","",IF(N76/Inputs!$B$10&lt;=AG76,Inputs!$F$5,IF(N76/Inputs!$B$10&gt;AP76,"OVERSIZE",INDEX(Inputs!$F$5:$F$14,MATCH(N76/Inputs!$B$10,AG76:AP76,1)+1))))</f>
        <v/>
      </c>
      <c r="R76" s="4" t="n"/>
      <c r="S76" s="4">
        <f>IF(A76="","",IF(R76="",Q76,R76))</f>
        <v/>
      </c>
      <c r="T76" s="8">
        <f>IF(OR(S76="",S76="OVERSIZE"),"",S76/1000)</f>
        <v/>
      </c>
      <c r="U76" s="8">
        <f>IF(T76="","",(1/Inputs!$B$9)*(PI()*T76^2/4)*((T76/4)^(2/3))*SQRT(P76))</f>
        <v/>
      </c>
      <c r="V76" s="8">
        <f>IF(OR(U76="",N76=""),"",N76/(U76*Inputs!$B$10))</f>
        <v/>
      </c>
      <c r="W76" s="8">
        <f>IF(OR(T76="",N76=""),"",4*N76/(PI()*T76^2))</f>
        <v/>
      </c>
      <c r="X76" s="8" t="n"/>
      <c r="Y76" s="8">
        <f>IF(A76="","",IF(A76=Inputs!$B$6,Inputs!$B$22,IF(D76="","",IFERROR(INDEX($Z$4:$Z$203,MATCH(D76,$A$4:$A$203,0))+IF(X76="",Inputs!$B$20,X76),""))))</f>
        <v/>
      </c>
      <c r="Z76" s="8">
        <f>IF(OR(Y76="",P76="",E76=""),"",Y76+P76*E76)</f>
        <v/>
      </c>
      <c r="AA76" s="8">
        <f>IF(C76="","",IFERROR(INDEX(Noeuds_plan!$C$4:$C$200,MATCH(C76,Noeuds_plan!$A$4:$A$200,0)),""))</f>
        <v/>
      </c>
      <c r="AB76" s="8">
        <f>IF(B76="","",IFERROR(INDEX(Noeuds_plan!$C$4:$C$200,MATCH(B76,Noeuds_plan!$A$4:$A$200,0)),""))</f>
        <v/>
      </c>
      <c r="AC76" s="8">
        <f>IF(OR(AA76="",Y76=""),"",AA76-Y76)</f>
        <v/>
      </c>
      <c r="AD76" s="8">
        <f>IF(OR(AB76="",Z76=""),"",AB76-Z76)</f>
        <v/>
      </c>
      <c r="AE76" s="4">
        <f>IF(A76="","",IF(OR(V76&gt;1,W76&lt;Inputs!$B$11,W76&gt;Inputs!$B$12,AC76&lt;Inputs!$B$19,AD76&lt;Inputs!$B$19,P76&lt;Inputs!$B$7,P76&gt;Inputs!$B$8),"CHECK","OK"))</f>
        <v/>
      </c>
      <c r="AF76" s="4" t="n"/>
      <c r="AG76" s="4">
        <f>IF(A76="","",(1/Inputs!$B$9)*(PI()*(Inputs!$F$5/1000)^2/4)*((Inputs!$F$5/1000/4)^(2/3))*SQRT(P76))</f>
        <v/>
      </c>
      <c r="AH76" s="4">
        <f>IF(A76="","",(1/Inputs!$B$9)*(PI()*(Inputs!$F$6/1000)^2/4)*((Inputs!$F$6/1000/4)^(2/3))*SQRT(P76))</f>
        <v/>
      </c>
      <c r="AI76" s="4">
        <f>IF(A76="","",(1/Inputs!$B$9)*(PI()*(Inputs!$F$7/1000)^2/4)*((Inputs!$F$7/1000/4)^(2/3))*SQRT(P76))</f>
        <v/>
      </c>
      <c r="AJ76" s="4">
        <f>IF(A76="","",(1/Inputs!$B$9)*(PI()*(Inputs!$F$8/1000)^2/4)*((Inputs!$F$8/1000/4)^(2/3))*SQRT(P76))</f>
        <v/>
      </c>
      <c r="AK76" s="4">
        <f>IF(A76="","",(1/Inputs!$B$9)*(PI()*(Inputs!$F$9/1000)^2/4)*((Inputs!$F$9/1000/4)^(2/3))*SQRT(P76))</f>
        <v/>
      </c>
      <c r="AL76" s="4">
        <f>IF(A76="","",(1/Inputs!$B$9)*(PI()*(Inputs!$F$10/1000)^2/4)*((Inputs!$F$10/1000/4)^(2/3))*SQRT(P76))</f>
        <v/>
      </c>
      <c r="AM76" s="4">
        <f>IF(A76="","",(1/Inputs!$B$9)*(PI()*(Inputs!$F$11/1000)^2/4)*((Inputs!$F$11/1000/4)^(2/3))*SQRT(P76))</f>
        <v/>
      </c>
      <c r="AN76" s="4">
        <f>IF(A76="","",(1/Inputs!$B$9)*(PI()*(Inputs!$F$12/1000)^2/4)*((Inputs!$F$12/1000/4)^(2/3))*SQRT(P76))</f>
        <v/>
      </c>
      <c r="AO76" s="4">
        <f>IF(A76="","",(1/Inputs!$B$9)*(PI()*(Inputs!$F$13/1000)^2/4)*((Inputs!$F$13/1000/4)^(2/3))*SQRT(P76))</f>
        <v/>
      </c>
      <c r="AP76" s="4">
        <f>IF(A76="","",(1/Inputs!$B$9)*(PI()*(Inputs!$F$14/1000)^2/4)*((Inputs!$F$14/1000/4)^(2/3))*SQRT(P76))</f>
        <v/>
      </c>
    </row>
    <row r="77">
      <c r="A77" s="4" t="n"/>
      <c r="B77" s="4" t="n"/>
      <c r="C77" s="4" t="n"/>
      <c r="D77" s="4" t="n"/>
      <c r="E77" s="8" t="n"/>
      <c r="F77" s="8" t="n"/>
      <c r="G77" s="8">
        <f>SUMIFS(CB_plan!$C:$C,CB_plan!$B:$B,$A77)</f>
        <v/>
      </c>
      <c r="H77" s="8">
        <f>IF(F77="",G77,F77)</f>
        <v/>
      </c>
      <c r="I77" s="4" t="n"/>
      <c r="J77" s="8" t="n"/>
      <c r="K77" s="8">
        <f>IF(A77="","",Inputs!$B$13/((IF(J77="",Inputs!$B$18,J77)+Inputs!$B$14)^Inputs!$B$15))</f>
        <v/>
      </c>
      <c r="L77" s="8">
        <f>IF(A77="","",0.00278*IF(I77="",Inputs!$B$17,I77)*H77*K77)</f>
        <v/>
      </c>
      <c r="M77" s="8">
        <f>IF(A77="","",SUMIFS($N$4:$N$203,$D$4:$D$203,$A77))</f>
        <v/>
      </c>
      <c r="N77" s="8">
        <f>IF(A77="","",(L77+M77)*Inputs!$B$16)</f>
        <v/>
      </c>
      <c r="O77" s="8" t="n"/>
      <c r="P77" s="8">
        <f>IF(A77="","",IF(O77="",Inputs!$B$7,O77))</f>
        <v/>
      </c>
      <c r="Q77" s="4">
        <f>IF(A77="","",IF(N77/Inputs!$B$10&lt;=AG77,Inputs!$F$5,IF(N77/Inputs!$B$10&gt;AP77,"OVERSIZE",INDEX(Inputs!$F$5:$F$14,MATCH(N77/Inputs!$B$10,AG77:AP77,1)+1))))</f>
        <v/>
      </c>
      <c r="R77" s="4" t="n"/>
      <c r="S77" s="4">
        <f>IF(A77="","",IF(R77="",Q77,R77))</f>
        <v/>
      </c>
      <c r="T77" s="8">
        <f>IF(OR(S77="",S77="OVERSIZE"),"",S77/1000)</f>
        <v/>
      </c>
      <c r="U77" s="8">
        <f>IF(T77="","",(1/Inputs!$B$9)*(PI()*T77^2/4)*((T77/4)^(2/3))*SQRT(P77))</f>
        <v/>
      </c>
      <c r="V77" s="8">
        <f>IF(OR(U77="",N77=""),"",N77/(U77*Inputs!$B$10))</f>
        <v/>
      </c>
      <c r="W77" s="8">
        <f>IF(OR(T77="",N77=""),"",4*N77/(PI()*T77^2))</f>
        <v/>
      </c>
      <c r="X77" s="8" t="n"/>
      <c r="Y77" s="8">
        <f>IF(A77="","",IF(A77=Inputs!$B$6,Inputs!$B$22,IF(D77="","",IFERROR(INDEX($Z$4:$Z$203,MATCH(D77,$A$4:$A$203,0))+IF(X77="",Inputs!$B$20,X77),""))))</f>
        <v/>
      </c>
      <c r="Z77" s="8">
        <f>IF(OR(Y77="",P77="",E77=""),"",Y77+P77*E77)</f>
        <v/>
      </c>
      <c r="AA77" s="8">
        <f>IF(C77="","",IFERROR(INDEX(Noeuds_plan!$C$4:$C$200,MATCH(C77,Noeuds_plan!$A$4:$A$200,0)),""))</f>
        <v/>
      </c>
      <c r="AB77" s="8">
        <f>IF(B77="","",IFERROR(INDEX(Noeuds_plan!$C$4:$C$200,MATCH(B77,Noeuds_plan!$A$4:$A$200,0)),""))</f>
        <v/>
      </c>
      <c r="AC77" s="8">
        <f>IF(OR(AA77="",Y77=""),"",AA77-Y77)</f>
        <v/>
      </c>
      <c r="AD77" s="8">
        <f>IF(OR(AB77="",Z77=""),"",AB77-Z77)</f>
        <v/>
      </c>
      <c r="AE77" s="4">
        <f>IF(A77="","",IF(OR(V77&gt;1,W77&lt;Inputs!$B$11,W77&gt;Inputs!$B$12,AC77&lt;Inputs!$B$19,AD77&lt;Inputs!$B$19,P77&lt;Inputs!$B$7,P77&gt;Inputs!$B$8),"CHECK","OK"))</f>
        <v/>
      </c>
      <c r="AF77" s="4" t="n"/>
      <c r="AG77" s="4">
        <f>IF(A77="","",(1/Inputs!$B$9)*(PI()*(Inputs!$F$5/1000)^2/4)*((Inputs!$F$5/1000/4)^(2/3))*SQRT(P77))</f>
        <v/>
      </c>
      <c r="AH77" s="4">
        <f>IF(A77="","",(1/Inputs!$B$9)*(PI()*(Inputs!$F$6/1000)^2/4)*((Inputs!$F$6/1000/4)^(2/3))*SQRT(P77))</f>
        <v/>
      </c>
      <c r="AI77" s="4">
        <f>IF(A77="","",(1/Inputs!$B$9)*(PI()*(Inputs!$F$7/1000)^2/4)*((Inputs!$F$7/1000/4)^(2/3))*SQRT(P77))</f>
        <v/>
      </c>
      <c r="AJ77" s="4">
        <f>IF(A77="","",(1/Inputs!$B$9)*(PI()*(Inputs!$F$8/1000)^2/4)*((Inputs!$F$8/1000/4)^(2/3))*SQRT(P77))</f>
        <v/>
      </c>
      <c r="AK77" s="4">
        <f>IF(A77="","",(1/Inputs!$B$9)*(PI()*(Inputs!$F$9/1000)^2/4)*((Inputs!$F$9/1000/4)^(2/3))*SQRT(P77))</f>
        <v/>
      </c>
      <c r="AL77" s="4">
        <f>IF(A77="","",(1/Inputs!$B$9)*(PI()*(Inputs!$F$10/1000)^2/4)*((Inputs!$F$10/1000/4)^(2/3))*SQRT(P77))</f>
        <v/>
      </c>
      <c r="AM77" s="4">
        <f>IF(A77="","",(1/Inputs!$B$9)*(PI()*(Inputs!$F$11/1000)^2/4)*((Inputs!$F$11/1000/4)^(2/3))*SQRT(P77))</f>
        <v/>
      </c>
      <c r="AN77" s="4">
        <f>IF(A77="","",(1/Inputs!$B$9)*(PI()*(Inputs!$F$12/1000)^2/4)*((Inputs!$F$12/1000/4)^(2/3))*SQRT(P77))</f>
        <v/>
      </c>
      <c r="AO77" s="4">
        <f>IF(A77="","",(1/Inputs!$B$9)*(PI()*(Inputs!$F$13/1000)^2/4)*((Inputs!$F$13/1000/4)^(2/3))*SQRT(P77))</f>
        <v/>
      </c>
      <c r="AP77" s="4">
        <f>IF(A77="","",(1/Inputs!$B$9)*(PI()*(Inputs!$F$14/1000)^2/4)*((Inputs!$F$14/1000/4)^(2/3))*SQRT(P77))</f>
        <v/>
      </c>
    </row>
    <row r="78">
      <c r="A78" s="4" t="n"/>
      <c r="B78" s="4" t="n"/>
      <c r="C78" s="4" t="n"/>
      <c r="D78" s="4" t="n"/>
      <c r="E78" s="8" t="n"/>
      <c r="F78" s="8" t="n"/>
      <c r="G78" s="8">
        <f>SUMIFS(CB_plan!$C:$C,CB_plan!$B:$B,$A78)</f>
        <v/>
      </c>
      <c r="H78" s="8">
        <f>IF(F78="",G78,F78)</f>
        <v/>
      </c>
      <c r="I78" s="4" t="n"/>
      <c r="J78" s="8" t="n"/>
      <c r="K78" s="8">
        <f>IF(A78="","",Inputs!$B$13/((IF(J78="",Inputs!$B$18,J78)+Inputs!$B$14)^Inputs!$B$15))</f>
        <v/>
      </c>
      <c r="L78" s="8">
        <f>IF(A78="","",0.00278*IF(I78="",Inputs!$B$17,I78)*H78*K78)</f>
        <v/>
      </c>
      <c r="M78" s="8">
        <f>IF(A78="","",SUMIFS($N$4:$N$203,$D$4:$D$203,$A78))</f>
        <v/>
      </c>
      <c r="N78" s="8">
        <f>IF(A78="","",(L78+M78)*Inputs!$B$16)</f>
        <v/>
      </c>
      <c r="O78" s="8" t="n"/>
      <c r="P78" s="8">
        <f>IF(A78="","",IF(O78="",Inputs!$B$7,O78))</f>
        <v/>
      </c>
      <c r="Q78" s="4">
        <f>IF(A78="","",IF(N78/Inputs!$B$10&lt;=AG78,Inputs!$F$5,IF(N78/Inputs!$B$10&gt;AP78,"OVERSIZE",INDEX(Inputs!$F$5:$F$14,MATCH(N78/Inputs!$B$10,AG78:AP78,1)+1))))</f>
        <v/>
      </c>
      <c r="R78" s="4" t="n"/>
      <c r="S78" s="4">
        <f>IF(A78="","",IF(R78="",Q78,R78))</f>
        <v/>
      </c>
      <c r="T78" s="8">
        <f>IF(OR(S78="",S78="OVERSIZE"),"",S78/1000)</f>
        <v/>
      </c>
      <c r="U78" s="8">
        <f>IF(T78="","",(1/Inputs!$B$9)*(PI()*T78^2/4)*((T78/4)^(2/3))*SQRT(P78))</f>
        <v/>
      </c>
      <c r="V78" s="8">
        <f>IF(OR(U78="",N78=""),"",N78/(U78*Inputs!$B$10))</f>
        <v/>
      </c>
      <c r="W78" s="8">
        <f>IF(OR(T78="",N78=""),"",4*N78/(PI()*T78^2))</f>
        <v/>
      </c>
      <c r="X78" s="8" t="n"/>
      <c r="Y78" s="8">
        <f>IF(A78="","",IF(A78=Inputs!$B$6,Inputs!$B$22,IF(D78="","",IFERROR(INDEX($Z$4:$Z$203,MATCH(D78,$A$4:$A$203,0))+IF(X78="",Inputs!$B$20,X78),""))))</f>
        <v/>
      </c>
      <c r="Z78" s="8">
        <f>IF(OR(Y78="",P78="",E78=""),"",Y78+P78*E78)</f>
        <v/>
      </c>
      <c r="AA78" s="8">
        <f>IF(C78="","",IFERROR(INDEX(Noeuds_plan!$C$4:$C$200,MATCH(C78,Noeuds_plan!$A$4:$A$200,0)),""))</f>
        <v/>
      </c>
      <c r="AB78" s="8">
        <f>IF(B78="","",IFERROR(INDEX(Noeuds_plan!$C$4:$C$200,MATCH(B78,Noeuds_plan!$A$4:$A$200,0)),""))</f>
        <v/>
      </c>
      <c r="AC78" s="8">
        <f>IF(OR(AA78="",Y78=""),"",AA78-Y78)</f>
        <v/>
      </c>
      <c r="AD78" s="8">
        <f>IF(OR(AB78="",Z78=""),"",AB78-Z78)</f>
        <v/>
      </c>
      <c r="AE78" s="4">
        <f>IF(A78="","",IF(OR(V78&gt;1,W78&lt;Inputs!$B$11,W78&gt;Inputs!$B$12,AC78&lt;Inputs!$B$19,AD78&lt;Inputs!$B$19,P78&lt;Inputs!$B$7,P78&gt;Inputs!$B$8),"CHECK","OK"))</f>
        <v/>
      </c>
      <c r="AF78" s="4" t="n"/>
      <c r="AG78" s="4">
        <f>IF(A78="","",(1/Inputs!$B$9)*(PI()*(Inputs!$F$5/1000)^2/4)*((Inputs!$F$5/1000/4)^(2/3))*SQRT(P78))</f>
        <v/>
      </c>
      <c r="AH78" s="4">
        <f>IF(A78="","",(1/Inputs!$B$9)*(PI()*(Inputs!$F$6/1000)^2/4)*((Inputs!$F$6/1000/4)^(2/3))*SQRT(P78))</f>
        <v/>
      </c>
      <c r="AI78" s="4">
        <f>IF(A78="","",(1/Inputs!$B$9)*(PI()*(Inputs!$F$7/1000)^2/4)*((Inputs!$F$7/1000/4)^(2/3))*SQRT(P78))</f>
        <v/>
      </c>
      <c r="AJ78" s="4">
        <f>IF(A78="","",(1/Inputs!$B$9)*(PI()*(Inputs!$F$8/1000)^2/4)*((Inputs!$F$8/1000/4)^(2/3))*SQRT(P78))</f>
        <v/>
      </c>
      <c r="AK78" s="4">
        <f>IF(A78="","",(1/Inputs!$B$9)*(PI()*(Inputs!$F$9/1000)^2/4)*((Inputs!$F$9/1000/4)^(2/3))*SQRT(P78))</f>
        <v/>
      </c>
      <c r="AL78" s="4">
        <f>IF(A78="","",(1/Inputs!$B$9)*(PI()*(Inputs!$F$10/1000)^2/4)*((Inputs!$F$10/1000/4)^(2/3))*SQRT(P78))</f>
        <v/>
      </c>
      <c r="AM78" s="4">
        <f>IF(A78="","",(1/Inputs!$B$9)*(PI()*(Inputs!$F$11/1000)^2/4)*((Inputs!$F$11/1000/4)^(2/3))*SQRT(P78))</f>
        <v/>
      </c>
      <c r="AN78" s="4">
        <f>IF(A78="","",(1/Inputs!$B$9)*(PI()*(Inputs!$F$12/1000)^2/4)*((Inputs!$F$12/1000/4)^(2/3))*SQRT(P78))</f>
        <v/>
      </c>
      <c r="AO78" s="4">
        <f>IF(A78="","",(1/Inputs!$B$9)*(PI()*(Inputs!$F$13/1000)^2/4)*((Inputs!$F$13/1000/4)^(2/3))*SQRT(P78))</f>
        <v/>
      </c>
      <c r="AP78" s="4">
        <f>IF(A78="","",(1/Inputs!$B$9)*(PI()*(Inputs!$F$14/1000)^2/4)*((Inputs!$F$14/1000/4)^(2/3))*SQRT(P78))</f>
        <v/>
      </c>
    </row>
    <row r="79">
      <c r="A79" s="4" t="n"/>
      <c r="B79" s="4" t="n"/>
      <c r="C79" s="4" t="n"/>
      <c r="D79" s="4" t="n"/>
      <c r="E79" s="8" t="n"/>
      <c r="F79" s="8" t="n"/>
      <c r="G79" s="8">
        <f>SUMIFS(CB_plan!$C:$C,CB_plan!$B:$B,$A79)</f>
        <v/>
      </c>
      <c r="H79" s="8">
        <f>IF(F79="",G79,F79)</f>
        <v/>
      </c>
      <c r="I79" s="4" t="n"/>
      <c r="J79" s="8" t="n"/>
      <c r="K79" s="8">
        <f>IF(A79="","",Inputs!$B$13/((IF(J79="",Inputs!$B$18,J79)+Inputs!$B$14)^Inputs!$B$15))</f>
        <v/>
      </c>
      <c r="L79" s="8">
        <f>IF(A79="","",0.00278*IF(I79="",Inputs!$B$17,I79)*H79*K79)</f>
        <v/>
      </c>
      <c r="M79" s="8">
        <f>IF(A79="","",SUMIFS($N$4:$N$203,$D$4:$D$203,$A79))</f>
        <v/>
      </c>
      <c r="N79" s="8">
        <f>IF(A79="","",(L79+M79)*Inputs!$B$16)</f>
        <v/>
      </c>
      <c r="O79" s="8" t="n"/>
      <c r="P79" s="8">
        <f>IF(A79="","",IF(O79="",Inputs!$B$7,O79))</f>
        <v/>
      </c>
      <c r="Q79" s="4">
        <f>IF(A79="","",IF(N79/Inputs!$B$10&lt;=AG79,Inputs!$F$5,IF(N79/Inputs!$B$10&gt;AP79,"OVERSIZE",INDEX(Inputs!$F$5:$F$14,MATCH(N79/Inputs!$B$10,AG79:AP79,1)+1))))</f>
        <v/>
      </c>
      <c r="R79" s="4" t="n"/>
      <c r="S79" s="4">
        <f>IF(A79="","",IF(R79="",Q79,R79))</f>
        <v/>
      </c>
      <c r="T79" s="8">
        <f>IF(OR(S79="",S79="OVERSIZE"),"",S79/1000)</f>
        <v/>
      </c>
      <c r="U79" s="8">
        <f>IF(T79="","",(1/Inputs!$B$9)*(PI()*T79^2/4)*((T79/4)^(2/3))*SQRT(P79))</f>
        <v/>
      </c>
      <c r="V79" s="8">
        <f>IF(OR(U79="",N79=""),"",N79/(U79*Inputs!$B$10))</f>
        <v/>
      </c>
      <c r="W79" s="8">
        <f>IF(OR(T79="",N79=""),"",4*N79/(PI()*T79^2))</f>
        <v/>
      </c>
      <c r="X79" s="8" t="n"/>
      <c r="Y79" s="8">
        <f>IF(A79="","",IF(A79=Inputs!$B$6,Inputs!$B$22,IF(D79="","",IFERROR(INDEX($Z$4:$Z$203,MATCH(D79,$A$4:$A$203,0))+IF(X79="",Inputs!$B$20,X79),""))))</f>
        <v/>
      </c>
      <c r="Z79" s="8">
        <f>IF(OR(Y79="",P79="",E79=""),"",Y79+P79*E79)</f>
        <v/>
      </c>
      <c r="AA79" s="8">
        <f>IF(C79="","",IFERROR(INDEX(Noeuds_plan!$C$4:$C$200,MATCH(C79,Noeuds_plan!$A$4:$A$200,0)),""))</f>
        <v/>
      </c>
      <c r="AB79" s="8">
        <f>IF(B79="","",IFERROR(INDEX(Noeuds_plan!$C$4:$C$200,MATCH(B79,Noeuds_plan!$A$4:$A$200,0)),""))</f>
        <v/>
      </c>
      <c r="AC79" s="8">
        <f>IF(OR(AA79="",Y79=""),"",AA79-Y79)</f>
        <v/>
      </c>
      <c r="AD79" s="8">
        <f>IF(OR(AB79="",Z79=""),"",AB79-Z79)</f>
        <v/>
      </c>
      <c r="AE79" s="4">
        <f>IF(A79="","",IF(OR(V79&gt;1,W79&lt;Inputs!$B$11,W79&gt;Inputs!$B$12,AC79&lt;Inputs!$B$19,AD79&lt;Inputs!$B$19,P79&lt;Inputs!$B$7,P79&gt;Inputs!$B$8),"CHECK","OK"))</f>
        <v/>
      </c>
      <c r="AF79" s="4" t="n"/>
      <c r="AG79" s="4">
        <f>IF(A79="","",(1/Inputs!$B$9)*(PI()*(Inputs!$F$5/1000)^2/4)*((Inputs!$F$5/1000/4)^(2/3))*SQRT(P79))</f>
        <v/>
      </c>
      <c r="AH79" s="4">
        <f>IF(A79="","",(1/Inputs!$B$9)*(PI()*(Inputs!$F$6/1000)^2/4)*((Inputs!$F$6/1000/4)^(2/3))*SQRT(P79))</f>
        <v/>
      </c>
      <c r="AI79" s="4">
        <f>IF(A79="","",(1/Inputs!$B$9)*(PI()*(Inputs!$F$7/1000)^2/4)*((Inputs!$F$7/1000/4)^(2/3))*SQRT(P79))</f>
        <v/>
      </c>
      <c r="AJ79" s="4">
        <f>IF(A79="","",(1/Inputs!$B$9)*(PI()*(Inputs!$F$8/1000)^2/4)*((Inputs!$F$8/1000/4)^(2/3))*SQRT(P79))</f>
        <v/>
      </c>
      <c r="AK79" s="4">
        <f>IF(A79="","",(1/Inputs!$B$9)*(PI()*(Inputs!$F$9/1000)^2/4)*((Inputs!$F$9/1000/4)^(2/3))*SQRT(P79))</f>
        <v/>
      </c>
      <c r="AL79" s="4">
        <f>IF(A79="","",(1/Inputs!$B$9)*(PI()*(Inputs!$F$10/1000)^2/4)*((Inputs!$F$10/1000/4)^(2/3))*SQRT(P79))</f>
        <v/>
      </c>
      <c r="AM79" s="4">
        <f>IF(A79="","",(1/Inputs!$B$9)*(PI()*(Inputs!$F$11/1000)^2/4)*((Inputs!$F$11/1000/4)^(2/3))*SQRT(P79))</f>
        <v/>
      </c>
      <c r="AN79" s="4">
        <f>IF(A79="","",(1/Inputs!$B$9)*(PI()*(Inputs!$F$12/1000)^2/4)*((Inputs!$F$12/1000/4)^(2/3))*SQRT(P79))</f>
        <v/>
      </c>
      <c r="AO79" s="4">
        <f>IF(A79="","",(1/Inputs!$B$9)*(PI()*(Inputs!$F$13/1000)^2/4)*((Inputs!$F$13/1000/4)^(2/3))*SQRT(P79))</f>
        <v/>
      </c>
      <c r="AP79" s="4">
        <f>IF(A79="","",(1/Inputs!$B$9)*(PI()*(Inputs!$F$14/1000)^2/4)*((Inputs!$F$14/1000/4)^(2/3))*SQRT(P79))</f>
        <v/>
      </c>
    </row>
    <row r="80">
      <c r="A80" s="4" t="n"/>
      <c r="B80" s="4" t="n"/>
      <c r="C80" s="4" t="n"/>
      <c r="D80" s="4" t="n"/>
      <c r="E80" s="8" t="n"/>
      <c r="F80" s="8" t="n"/>
      <c r="G80" s="8">
        <f>SUMIFS(CB_plan!$C:$C,CB_plan!$B:$B,$A80)</f>
        <v/>
      </c>
      <c r="H80" s="8">
        <f>IF(F80="",G80,F80)</f>
        <v/>
      </c>
      <c r="I80" s="4" t="n"/>
      <c r="J80" s="8" t="n"/>
      <c r="K80" s="8">
        <f>IF(A80="","",Inputs!$B$13/((IF(J80="",Inputs!$B$18,J80)+Inputs!$B$14)^Inputs!$B$15))</f>
        <v/>
      </c>
      <c r="L80" s="8">
        <f>IF(A80="","",0.00278*IF(I80="",Inputs!$B$17,I80)*H80*K80)</f>
        <v/>
      </c>
      <c r="M80" s="8">
        <f>IF(A80="","",SUMIFS($N$4:$N$203,$D$4:$D$203,$A80))</f>
        <v/>
      </c>
      <c r="N80" s="8">
        <f>IF(A80="","",(L80+M80)*Inputs!$B$16)</f>
        <v/>
      </c>
      <c r="O80" s="8" t="n"/>
      <c r="P80" s="8">
        <f>IF(A80="","",IF(O80="",Inputs!$B$7,O80))</f>
        <v/>
      </c>
      <c r="Q80" s="4">
        <f>IF(A80="","",IF(N80/Inputs!$B$10&lt;=AG80,Inputs!$F$5,IF(N80/Inputs!$B$10&gt;AP80,"OVERSIZE",INDEX(Inputs!$F$5:$F$14,MATCH(N80/Inputs!$B$10,AG80:AP80,1)+1))))</f>
        <v/>
      </c>
      <c r="R80" s="4" t="n"/>
      <c r="S80" s="4">
        <f>IF(A80="","",IF(R80="",Q80,R80))</f>
        <v/>
      </c>
      <c r="T80" s="8">
        <f>IF(OR(S80="",S80="OVERSIZE"),"",S80/1000)</f>
        <v/>
      </c>
      <c r="U80" s="8">
        <f>IF(T80="","",(1/Inputs!$B$9)*(PI()*T80^2/4)*((T80/4)^(2/3))*SQRT(P80))</f>
        <v/>
      </c>
      <c r="V80" s="8">
        <f>IF(OR(U80="",N80=""),"",N80/(U80*Inputs!$B$10))</f>
        <v/>
      </c>
      <c r="W80" s="8">
        <f>IF(OR(T80="",N80=""),"",4*N80/(PI()*T80^2))</f>
        <v/>
      </c>
      <c r="X80" s="8" t="n"/>
      <c r="Y80" s="8">
        <f>IF(A80="","",IF(A80=Inputs!$B$6,Inputs!$B$22,IF(D80="","",IFERROR(INDEX($Z$4:$Z$203,MATCH(D80,$A$4:$A$203,0))+IF(X80="",Inputs!$B$20,X80),""))))</f>
        <v/>
      </c>
      <c r="Z80" s="8">
        <f>IF(OR(Y80="",P80="",E80=""),"",Y80+P80*E80)</f>
        <v/>
      </c>
      <c r="AA80" s="8">
        <f>IF(C80="","",IFERROR(INDEX(Noeuds_plan!$C$4:$C$200,MATCH(C80,Noeuds_plan!$A$4:$A$200,0)),""))</f>
        <v/>
      </c>
      <c r="AB80" s="8">
        <f>IF(B80="","",IFERROR(INDEX(Noeuds_plan!$C$4:$C$200,MATCH(B80,Noeuds_plan!$A$4:$A$200,0)),""))</f>
        <v/>
      </c>
      <c r="AC80" s="8">
        <f>IF(OR(AA80="",Y80=""),"",AA80-Y80)</f>
        <v/>
      </c>
      <c r="AD80" s="8">
        <f>IF(OR(AB80="",Z80=""),"",AB80-Z80)</f>
        <v/>
      </c>
      <c r="AE80" s="4">
        <f>IF(A80="","",IF(OR(V80&gt;1,W80&lt;Inputs!$B$11,W80&gt;Inputs!$B$12,AC80&lt;Inputs!$B$19,AD80&lt;Inputs!$B$19,P80&lt;Inputs!$B$7,P80&gt;Inputs!$B$8),"CHECK","OK"))</f>
        <v/>
      </c>
      <c r="AF80" s="4" t="n"/>
      <c r="AG80" s="4">
        <f>IF(A80="","",(1/Inputs!$B$9)*(PI()*(Inputs!$F$5/1000)^2/4)*((Inputs!$F$5/1000/4)^(2/3))*SQRT(P80))</f>
        <v/>
      </c>
      <c r="AH80" s="4">
        <f>IF(A80="","",(1/Inputs!$B$9)*(PI()*(Inputs!$F$6/1000)^2/4)*((Inputs!$F$6/1000/4)^(2/3))*SQRT(P80))</f>
        <v/>
      </c>
      <c r="AI80" s="4">
        <f>IF(A80="","",(1/Inputs!$B$9)*(PI()*(Inputs!$F$7/1000)^2/4)*((Inputs!$F$7/1000/4)^(2/3))*SQRT(P80))</f>
        <v/>
      </c>
      <c r="AJ80" s="4">
        <f>IF(A80="","",(1/Inputs!$B$9)*(PI()*(Inputs!$F$8/1000)^2/4)*((Inputs!$F$8/1000/4)^(2/3))*SQRT(P80))</f>
        <v/>
      </c>
      <c r="AK80" s="4">
        <f>IF(A80="","",(1/Inputs!$B$9)*(PI()*(Inputs!$F$9/1000)^2/4)*((Inputs!$F$9/1000/4)^(2/3))*SQRT(P80))</f>
        <v/>
      </c>
      <c r="AL80" s="4">
        <f>IF(A80="","",(1/Inputs!$B$9)*(PI()*(Inputs!$F$10/1000)^2/4)*((Inputs!$F$10/1000/4)^(2/3))*SQRT(P80))</f>
        <v/>
      </c>
      <c r="AM80" s="4">
        <f>IF(A80="","",(1/Inputs!$B$9)*(PI()*(Inputs!$F$11/1000)^2/4)*((Inputs!$F$11/1000/4)^(2/3))*SQRT(P80))</f>
        <v/>
      </c>
      <c r="AN80" s="4">
        <f>IF(A80="","",(1/Inputs!$B$9)*(PI()*(Inputs!$F$12/1000)^2/4)*((Inputs!$F$12/1000/4)^(2/3))*SQRT(P80))</f>
        <v/>
      </c>
      <c r="AO80" s="4">
        <f>IF(A80="","",(1/Inputs!$B$9)*(PI()*(Inputs!$F$13/1000)^2/4)*((Inputs!$F$13/1000/4)^(2/3))*SQRT(P80))</f>
        <v/>
      </c>
      <c r="AP80" s="4">
        <f>IF(A80="","",(1/Inputs!$B$9)*(PI()*(Inputs!$F$14/1000)^2/4)*((Inputs!$F$14/1000/4)^(2/3))*SQRT(P80))</f>
        <v/>
      </c>
    </row>
    <row r="81">
      <c r="A81" s="4" t="n"/>
      <c r="B81" s="4" t="n"/>
      <c r="C81" s="4" t="n"/>
      <c r="D81" s="4" t="n"/>
      <c r="E81" s="8" t="n"/>
      <c r="F81" s="8" t="n"/>
      <c r="G81" s="8">
        <f>SUMIFS(CB_plan!$C:$C,CB_plan!$B:$B,$A81)</f>
        <v/>
      </c>
      <c r="H81" s="8">
        <f>IF(F81="",G81,F81)</f>
        <v/>
      </c>
      <c r="I81" s="4" t="n"/>
      <c r="J81" s="8" t="n"/>
      <c r="K81" s="8">
        <f>IF(A81="","",Inputs!$B$13/((IF(J81="",Inputs!$B$18,J81)+Inputs!$B$14)^Inputs!$B$15))</f>
        <v/>
      </c>
      <c r="L81" s="8">
        <f>IF(A81="","",0.00278*IF(I81="",Inputs!$B$17,I81)*H81*K81)</f>
        <v/>
      </c>
      <c r="M81" s="8">
        <f>IF(A81="","",SUMIFS($N$4:$N$203,$D$4:$D$203,$A81))</f>
        <v/>
      </c>
      <c r="N81" s="8">
        <f>IF(A81="","",(L81+M81)*Inputs!$B$16)</f>
        <v/>
      </c>
      <c r="O81" s="8" t="n"/>
      <c r="P81" s="8">
        <f>IF(A81="","",IF(O81="",Inputs!$B$7,O81))</f>
        <v/>
      </c>
      <c r="Q81" s="4">
        <f>IF(A81="","",IF(N81/Inputs!$B$10&lt;=AG81,Inputs!$F$5,IF(N81/Inputs!$B$10&gt;AP81,"OVERSIZE",INDEX(Inputs!$F$5:$F$14,MATCH(N81/Inputs!$B$10,AG81:AP81,1)+1))))</f>
        <v/>
      </c>
      <c r="R81" s="4" t="n"/>
      <c r="S81" s="4">
        <f>IF(A81="","",IF(R81="",Q81,R81))</f>
        <v/>
      </c>
      <c r="T81" s="8">
        <f>IF(OR(S81="",S81="OVERSIZE"),"",S81/1000)</f>
        <v/>
      </c>
      <c r="U81" s="8">
        <f>IF(T81="","",(1/Inputs!$B$9)*(PI()*T81^2/4)*((T81/4)^(2/3))*SQRT(P81))</f>
        <v/>
      </c>
      <c r="V81" s="8">
        <f>IF(OR(U81="",N81=""),"",N81/(U81*Inputs!$B$10))</f>
        <v/>
      </c>
      <c r="W81" s="8">
        <f>IF(OR(T81="",N81=""),"",4*N81/(PI()*T81^2))</f>
        <v/>
      </c>
      <c r="X81" s="8" t="n"/>
      <c r="Y81" s="8">
        <f>IF(A81="","",IF(A81=Inputs!$B$6,Inputs!$B$22,IF(D81="","",IFERROR(INDEX($Z$4:$Z$203,MATCH(D81,$A$4:$A$203,0))+IF(X81="",Inputs!$B$20,X81),""))))</f>
        <v/>
      </c>
      <c r="Z81" s="8">
        <f>IF(OR(Y81="",P81="",E81=""),"",Y81+P81*E81)</f>
        <v/>
      </c>
      <c r="AA81" s="8">
        <f>IF(C81="","",IFERROR(INDEX(Noeuds_plan!$C$4:$C$200,MATCH(C81,Noeuds_plan!$A$4:$A$200,0)),""))</f>
        <v/>
      </c>
      <c r="AB81" s="8">
        <f>IF(B81="","",IFERROR(INDEX(Noeuds_plan!$C$4:$C$200,MATCH(B81,Noeuds_plan!$A$4:$A$200,0)),""))</f>
        <v/>
      </c>
      <c r="AC81" s="8">
        <f>IF(OR(AA81="",Y81=""),"",AA81-Y81)</f>
        <v/>
      </c>
      <c r="AD81" s="8">
        <f>IF(OR(AB81="",Z81=""),"",AB81-Z81)</f>
        <v/>
      </c>
      <c r="AE81" s="4">
        <f>IF(A81="","",IF(OR(V81&gt;1,W81&lt;Inputs!$B$11,W81&gt;Inputs!$B$12,AC81&lt;Inputs!$B$19,AD81&lt;Inputs!$B$19,P81&lt;Inputs!$B$7,P81&gt;Inputs!$B$8),"CHECK","OK"))</f>
        <v/>
      </c>
      <c r="AF81" s="4" t="n"/>
      <c r="AG81" s="4">
        <f>IF(A81="","",(1/Inputs!$B$9)*(PI()*(Inputs!$F$5/1000)^2/4)*((Inputs!$F$5/1000/4)^(2/3))*SQRT(P81))</f>
        <v/>
      </c>
      <c r="AH81" s="4">
        <f>IF(A81="","",(1/Inputs!$B$9)*(PI()*(Inputs!$F$6/1000)^2/4)*((Inputs!$F$6/1000/4)^(2/3))*SQRT(P81))</f>
        <v/>
      </c>
      <c r="AI81" s="4">
        <f>IF(A81="","",(1/Inputs!$B$9)*(PI()*(Inputs!$F$7/1000)^2/4)*((Inputs!$F$7/1000/4)^(2/3))*SQRT(P81))</f>
        <v/>
      </c>
      <c r="AJ81" s="4">
        <f>IF(A81="","",(1/Inputs!$B$9)*(PI()*(Inputs!$F$8/1000)^2/4)*((Inputs!$F$8/1000/4)^(2/3))*SQRT(P81))</f>
        <v/>
      </c>
      <c r="AK81" s="4">
        <f>IF(A81="","",(1/Inputs!$B$9)*(PI()*(Inputs!$F$9/1000)^2/4)*((Inputs!$F$9/1000/4)^(2/3))*SQRT(P81))</f>
        <v/>
      </c>
      <c r="AL81" s="4">
        <f>IF(A81="","",(1/Inputs!$B$9)*(PI()*(Inputs!$F$10/1000)^2/4)*((Inputs!$F$10/1000/4)^(2/3))*SQRT(P81))</f>
        <v/>
      </c>
      <c r="AM81" s="4">
        <f>IF(A81="","",(1/Inputs!$B$9)*(PI()*(Inputs!$F$11/1000)^2/4)*((Inputs!$F$11/1000/4)^(2/3))*SQRT(P81))</f>
        <v/>
      </c>
      <c r="AN81" s="4">
        <f>IF(A81="","",(1/Inputs!$B$9)*(PI()*(Inputs!$F$12/1000)^2/4)*((Inputs!$F$12/1000/4)^(2/3))*SQRT(P81))</f>
        <v/>
      </c>
      <c r="AO81" s="4">
        <f>IF(A81="","",(1/Inputs!$B$9)*(PI()*(Inputs!$F$13/1000)^2/4)*((Inputs!$F$13/1000/4)^(2/3))*SQRT(P81))</f>
        <v/>
      </c>
      <c r="AP81" s="4">
        <f>IF(A81="","",(1/Inputs!$B$9)*(PI()*(Inputs!$F$14/1000)^2/4)*((Inputs!$F$14/1000/4)^(2/3))*SQRT(P81))</f>
        <v/>
      </c>
    </row>
    <row r="82">
      <c r="A82" s="4" t="n"/>
      <c r="B82" s="4" t="n"/>
      <c r="C82" s="4" t="n"/>
      <c r="D82" s="4" t="n"/>
      <c r="E82" s="8" t="n"/>
      <c r="F82" s="8" t="n"/>
      <c r="G82" s="8">
        <f>SUMIFS(CB_plan!$C:$C,CB_plan!$B:$B,$A82)</f>
        <v/>
      </c>
      <c r="H82" s="8">
        <f>IF(F82="",G82,F82)</f>
        <v/>
      </c>
      <c r="I82" s="4" t="n"/>
      <c r="J82" s="8" t="n"/>
      <c r="K82" s="8">
        <f>IF(A82="","",Inputs!$B$13/((IF(J82="",Inputs!$B$18,J82)+Inputs!$B$14)^Inputs!$B$15))</f>
        <v/>
      </c>
      <c r="L82" s="8">
        <f>IF(A82="","",0.00278*IF(I82="",Inputs!$B$17,I82)*H82*K82)</f>
        <v/>
      </c>
      <c r="M82" s="8">
        <f>IF(A82="","",SUMIFS($N$4:$N$203,$D$4:$D$203,$A82))</f>
        <v/>
      </c>
      <c r="N82" s="8">
        <f>IF(A82="","",(L82+M82)*Inputs!$B$16)</f>
        <v/>
      </c>
      <c r="O82" s="8" t="n"/>
      <c r="P82" s="8">
        <f>IF(A82="","",IF(O82="",Inputs!$B$7,O82))</f>
        <v/>
      </c>
      <c r="Q82" s="4">
        <f>IF(A82="","",IF(N82/Inputs!$B$10&lt;=AG82,Inputs!$F$5,IF(N82/Inputs!$B$10&gt;AP82,"OVERSIZE",INDEX(Inputs!$F$5:$F$14,MATCH(N82/Inputs!$B$10,AG82:AP82,1)+1))))</f>
        <v/>
      </c>
      <c r="R82" s="4" t="n"/>
      <c r="S82" s="4">
        <f>IF(A82="","",IF(R82="",Q82,R82))</f>
        <v/>
      </c>
      <c r="T82" s="8">
        <f>IF(OR(S82="",S82="OVERSIZE"),"",S82/1000)</f>
        <v/>
      </c>
      <c r="U82" s="8">
        <f>IF(T82="","",(1/Inputs!$B$9)*(PI()*T82^2/4)*((T82/4)^(2/3))*SQRT(P82))</f>
        <v/>
      </c>
      <c r="V82" s="8">
        <f>IF(OR(U82="",N82=""),"",N82/(U82*Inputs!$B$10))</f>
        <v/>
      </c>
      <c r="W82" s="8">
        <f>IF(OR(T82="",N82=""),"",4*N82/(PI()*T82^2))</f>
        <v/>
      </c>
      <c r="X82" s="8" t="n"/>
      <c r="Y82" s="8">
        <f>IF(A82="","",IF(A82=Inputs!$B$6,Inputs!$B$22,IF(D82="","",IFERROR(INDEX($Z$4:$Z$203,MATCH(D82,$A$4:$A$203,0))+IF(X82="",Inputs!$B$20,X82),""))))</f>
        <v/>
      </c>
      <c r="Z82" s="8">
        <f>IF(OR(Y82="",P82="",E82=""),"",Y82+P82*E82)</f>
        <v/>
      </c>
      <c r="AA82" s="8">
        <f>IF(C82="","",IFERROR(INDEX(Noeuds_plan!$C$4:$C$200,MATCH(C82,Noeuds_plan!$A$4:$A$200,0)),""))</f>
        <v/>
      </c>
      <c r="AB82" s="8">
        <f>IF(B82="","",IFERROR(INDEX(Noeuds_plan!$C$4:$C$200,MATCH(B82,Noeuds_plan!$A$4:$A$200,0)),""))</f>
        <v/>
      </c>
      <c r="AC82" s="8">
        <f>IF(OR(AA82="",Y82=""),"",AA82-Y82)</f>
        <v/>
      </c>
      <c r="AD82" s="8">
        <f>IF(OR(AB82="",Z82=""),"",AB82-Z82)</f>
        <v/>
      </c>
      <c r="AE82" s="4">
        <f>IF(A82="","",IF(OR(V82&gt;1,W82&lt;Inputs!$B$11,W82&gt;Inputs!$B$12,AC82&lt;Inputs!$B$19,AD82&lt;Inputs!$B$19,P82&lt;Inputs!$B$7,P82&gt;Inputs!$B$8),"CHECK","OK"))</f>
        <v/>
      </c>
      <c r="AF82" s="4" t="n"/>
      <c r="AG82" s="4">
        <f>IF(A82="","",(1/Inputs!$B$9)*(PI()*(Inputs!$F$5/1000)^2/4)*((Inputs!$F$5/1000/4)^(2/3))*SQRT(P82))</f>
        <v/>
      </c>
      <c r="AH82" s="4">
        <f>IF(A82="","",(1/Inputs!$B$9)*(PI()*(Inputs!$F$6/1000)^2/4)*((Inputs!$F$6/1000/4)^(2/3))*SQRT(P82))</f>
        <v/>
      </c>
      <c r="AI82" s="4">
        <f>IF(A82="","",(1/Inputs!$B$9)*(PI()*(Inputs!$F$7/1000)^2/4)*((Inputs!$F$7/1000/4)^(2/3))*SQRT(P82))</f>
        <v/>
      </c>
      <c r="AJ82" s="4">
        <f>IF(A82="","",(1/Inputs!$B$9)*(PI()*(Inputs!$F$8/1000)^2/4)*((Inputs!$F$8/1000/4)^(2/3))*SQRT(P82))</f>
        <v/>
      </c>
      <c r="AK82" s="4">
        <f>IF(A82="","",(1/Inputs!$B$9)*(PI()*(Inputs!$F$9/1000)^2/4)*((Inputs!$F$9/1000/4)^(2/3))*SQRT(P82))</f>
        <v/>
      </c>
      <c r="AL82" s="4">
        <f>IF(A82="","",(1/Inputs!$B$9)*(PI()*(Inputs!$F$10/1000)^2/4)*((Inputs!$F$10/1000/4)^(2/3))*SQRT(P82))</f>
        <v/>
      </c>
      <c r="AM82" s="4">
        <f>IF(A82="","",(1/Inputs!$B$9)*(PI()*(Inputs!$F$11/1000)^2/4)*((Inputs!$F$11/1000/4)^(2/3))*SQRT(P82))</f>
        <v/>
      </c>
      <c r="AN82" s="4">
        <f>IF(A82="","",(1/Inputs!$B$9)*(PI()*(Inputs!$F$12/1000)^2/4)*((Inputs!$F$12/1000/4)^(2/3))*SQRT(P82))</f>
        <v/>
      </c>
      <c r="AO82" s="4">
        <f>IF(A82="","",(1/Inputs!$B$9)*(PI()*(Inputs!$F$13/1000)^2/4)*((Inputs!$F$13/1000/4)^(2/3))*SQRT(P82))</f>
        <v/>
      </c>
      <c r="AP82" s="4">
        <f>IF(A82="","",(1/Inputs!$B$9)*(PI()*(Inputs!$F$14/1000)^2/4)*((Inputs!$F$14/1000/4)^(2/3))*SQRT(P82))</f>
        <v/>
      </c>
    </row>
    <row r="83">
      <c r="A83" s="4" t="n"/>
      <c r="B83" s="4" t="n"/>
      <c r="C83" s="4" t="n"/>
      <c r="D83" s="4" t="n"/>
      <c r="E83" s="8" t="n"/>
      <c r="F83" s="8" t="n"/>
      <c r="G83" s="8">
        <f>SUMIFS(CB_plan!$C:$C,CB_plan!$B:$B,$A83)</f>
        <v/>
      </c>
      <c r="H83" s="8">
        <f>IF(F83="",G83,F83)</f>
        <v/>
      </c>
      <c r="I83" s="4" t="n"/>
      <c r="J83" s="8" t="n"/>
      <c r="K83" s="8">
        <f>IF(A83="","",Inputs!$B$13/((IF(J83="",Inputs!$B$18,J83)+Inputs!$B$14)^Inputs!$B$15))</f>
        <v/>
      </c>
      <c r="L83" s="8">
        <f>IF(A83="","",0.00278*IF(I83="",Inputs!$B$17,I83)*H83*K83)</f>
        <v/>
      </c>
      <c r="M83" s="8">
        <f>IF(A83="","",SUMIFS($N$4:$N$203,$D$4:$D$203,$A83))</f>
        <v/>
      </c>
      <c r="N83" s="8">
        <f>IF(A83="","",(L83+M83)*Inputs!$B$16)</f>
        <v/>
      </c>
      <c r="O83" s="8" t="n"/>
      <c r="P83" s="8">
        <f>IF(A83="","",IF(O83="",Inputs!$B$7,O83))</f>
        <v/>
      </c>
      <c r="Q83" s="4">
        <f>IF(A83="","",IF(N83/Inputs!$B$10&lt;=AG83,Inputs!$F$5,IF(N83/Inputs!$B$10&gt;AP83,"OVERSIZE",INDEX(Inputs!$F$5:$F$14,MATCH(N83/Inputs!$B$10,AG83:AP83,1)+1))))</f>
        <v/>
      </c>
      <c r="R83" s="4" t="n"/>
      <c r="S83" s="4">
        <f>IF(A83="","",IF(R83="",Q83,R83))</f>
        <v/>
      </c>
      <c r="T83" s="8">
        <f>IF(OR(S83="",S83="OVERSIZE"),"",S83/1000)</f>
        <v/>
      </c>
      <c r="U83" s="8">
        <f>IF(T83="","",(1/Inputs!$B$9)*(PI()*T83^2/4)*((T83/4)^(2/3))*SQRT(P83))</f>
        <v/>
      </c>
      <c r="V83" s="8">
        <f>IF(OR(U83="",N83=""),"",N83/(U83*Inputs!$B$10))</f>
        <v/>
      </c>
      <c r="W83" s="8">
        <f>IF(OR(T83="",N83=""),"",4*N83/(PI()*T83^2))</f>
        <v/>
      </c>
      <c r="X83" s="8" t="n"/>
      <c r="Y83" s="8">
        <f>IF(A83="","",IF(A83=Inputs!$B$6,Inputs!$B$22,IF(D83="","",IFERROR(INDEX($Z$4:$Z$203,MATCH(D83,$A$4:$A$203,0))+IF(X83="",Inputs!$B$20,X83),""))))</f>
        <v/>
      </c>
      <c r="Z83" s="8">
        <f>IF(OR(Y83="",P83="",E83=""),"",Y83+P83*E83)</f>
        <v/>
      </c>
      <c r="AA83" s="8">
        <f>IF(C83="","",IFERROR(INDEX(Noeuds_plan!$C$4:$C$200,MATCH(C83,Noeuds_plan!$A$4:$A$200,0)),""))</f>
        <v/>
      </c>
      <c r="AB83" s="8">
        <f>IF(B83="","",IFERROR(INDEX(Noeuds_plan!$C$4:$C$200,MATCH(B83,Noeuds_plan!$A$4:$A$200,0)),""))</f>
        <v/>
      </c>
      <c r="AC83" s="8">
        <f>IF(OR(AA83="",Y83=""),"",AA83-Y83)</f>
        <v/>
      </c>
      <c r="AD83" s="8">
        <f>IF(OR(AB83="",Z83=""),"",AB83-Z83)</f>
        <v/>
      </c>
      <c r="AE83" s="4">
        <f>IF(A83="","",IF(OR(V83&gt;1,W83&lt;Inputs!$B$11,W83&gt;Inputs!$B$12,AC83&lt;Inputs!$B$19,AD83&lt;Inputs!$B$19,P83&lt;Inputs!$B$7,P83&gt;Inputs!$B$8),"CHECK","OK"))</f>
        <v/>
      </c>
      <c r="AF83" s="4" t="n"/>
      <c r="AG83" s="4">
        <f>IF(A83="","",(1/Inputs!$B$9)*(PI()*(Inputs!$F$5/1000)^2/4)*((Inputs!$F$5/1000/4)^(2/3))*SQRT(P83))</f>
        <v/>
      </c>
      <c r="AH83" s="4">
        <f>IF(A83="","",(1/Inputs!$B$9)*(PI()*(Inputs!$F$6/1000)^2/4)*((Inputs!$F$6/1000/4)^(2/3))*SQRT(P83))</f>
        <v/>
      </c>
      <c r="AI83" s="4">
        <f>IF(A83="","",(1/Inputs!$B$9)*(PI()*(Inputs!$F$7/1000)^2/4)*((Inputs!$F$7/1000/4)^(2/3))*SQRT(P83))</f>
        <v/>
      </c>
      <c r="AJ83" s="4">
        <f>IF(A83="","",(1/Inputs!$B$9)*(PI()*(Inputs!$F$8/1000)^2/4)*((Inputs!$F$8/1000/4)^(2/3))*SQRT(P83))</f>
        <v/>
      </c>
      <c r="AK83" s="4">
        <f>IF(A83="","",(1/Inputs!$B$9)*(PI()*(Inputs!$F$9/1000)^2/4)*((Inputs!$F$9/1000/4)^(2/3))*SQRT(P83))</f>
        <v/>
      </c>
      <c r="AL83" s="4">
        <f>IF(A83="","",(1/Inputs!$B$9)*(PI()*(Inputs!$F$10/1000)^2/4)*((Inputs!$F$10/1000/4)^(2/3))*SQRT(P83))</f>
        <v/>
      </c>
      <c r="AM83" s="4">
        <f>IF(A83="","",(1/Inputs!$B$9)*(PI()*(Inputs!$F$11/1000)^2/4)*((Inputs!$F$11/1000/4)^(2/3))*SQRT(P83))</f>
        <v/>
      </c>
      <c r="AN83" s="4">
        <f>IF(A83="","",(1/Inputs!$B$9)*(PI()*(Inputs!$F$12/1000)^2/4)*((Inputs!$F$12/1000/4)^(2/3))*SQRT(P83))</f>
        <v/>
      </c>
      <c r="AO83" s="4">
        <f>IF(A83="","",(1/Inputs!$B$9)*(PI()*(Inputs!$F$13/1000)^2/4)*((Inputs!$F$13/1000/4)^(2/3))*SQRT(P83))</f>
        <v/>
      </c>
      <c r="AP83" s="4">
        <f>IF(A83="","",(1/Inputs!$B$9)*(PI()*(Inputs!$F$14/1000)^2/4)*((Inputs!$F$14/1000/4)^(2/3))*SQRT(P83))</f>
        <v/>
      </c>
    </row>
    <row r="84">
      <c r="A84" s="4" t="n"/>
      <c r="B84" s="4" t="n"/>
      <c r="C84" s="4" t="n"/>
      <c r="D84" s="4" t="n"/>
      <c r="E84" s="8" t="n"/>
      <c r="F84" s="8" t="n"/>
      <c r="G84" s="8">
        <f>SUMIFS(CB_plan!$C:$C,CB_plan!$B:$B,$A84)</f>
        <v/>
      </c>
      <c r="H84" s="8">
        <f>IF(F84="",G84,F84)</f>
        <v/>
      </c>
      <c r="I84" s="4" t="n"/>
      <c r="J84" s="8" t="n"/>
      <c r="K84" s="8">
        <f>IF(A84="","",Inputs!$B$13/((IF(J84="",Inputs!$B$18,J84)+Inputs!$B$14)^Inputs!$B$15))</f>
        <v/>
      </c>
      <c r="L84" s="8">
        <f>IF(A84="","",0.00278*IF(I84="",Inputs!$B$17,I84)*H84*K84)</f>
        <v/>
      </c>
      <c r="M84" s="8">
        <f>IF(A84="","",SUMIFS($N$4:$N$203,$D$4:$D$203,$A84))</f>
        <v/>
      </c>
      <c r="N84" s="8">
        <f>IF(A84="","",(L84+M84)*Inputs!$B$16)</f>
        <v/>
      </c>
      <c r="O84" s="8" t="n"/>
      <c r="P84" s="8">
        <f>IF(A84="","",IF(O84="",Inputs!$B$7,O84))</f>
        <v/>
      </c>
      <c r="Q84" s="4">
        <f>IF(A84="","",IF(N84/Inputs!$B$10&lt;=AG84,Inputs!$F$5,IF(N84/Inputs!$B$10&gt;AP84,"OVERSIZE",INDEX(Inputs!$F$5:$F$14,MATCH(N84/Inputs!$B$10,AG84:AP84,1)+1))))</f>
        <v/>
      </c>
      <c r="R84" s="4" t="n"/>
      <c r="S84" s="4">
        <f>IF(A84="","",IF(R84="",Q84,R84))</f>
        <v/>
      </c>
      <c r="T84" s="8">
        <f>IF(OR(S84="",S84="OVERSIZE"),"",S84/1000)</f>
        <v/>
      </c>
      <c r="U84" s="8">
        <f>IF(T84="","",(1/Inputs!$B$9)*(PI()*T84^2/4)*((T84/4)^(2/3))*SQRT(P84))</f>
        <v/>
      </c>
      <c r="V84" s="8">
        <f>IF(OR(U84="",N84=""),"",N84/(U84*Inputs!$B$10))</f>
        <v/>
      </c>
      <c r="W84" s="8">
        <f>IF(OR(T84="",N84=""),"",4*N84/(PI()*T84^2))</f>
        <v/>
      </c>
      <c r="X84" s="8" t="n"/>
      <c r="Y84" s="8">
        <f>IF(A84="","",IF(A84=Inputs!$B$6,Inputs!$B$22,IF(D84="","",IFERROR(INDEX($Z$4:$Z$203,MATCH(D84,$A$4:$A$203,0))+IF(X84="",Inputs!$B$20,X84),""))))</f>
        <v/>
      </c>
      <c r="Z84" s="8">
        <f>IF(OR(Y84="",P84="",E84=""),"",Y84+P84*E84)</f>
        <v/>
      </c>
      <c r="AA84" s="8">
        <f>IF(C84="","",IFERROR(INDEX(Noeuds_plan!$C$4:$C$200,MATCH(C84,Noeuds_plan!$A$4:$A$200,0)),""))</f>
        <v/>
      </c>
      <c r="AB84" s="8">
        <f>IF(B84="","",IFERROR(INDEX(Noeuds_plan!$C$4:$C$200,MATCH(B84,Noeuds_plan!$A$4:$A$200,0)),""))</f>
        <v/>
      </c>
      <c r="AC84" s="8">
        <f>IF(OR(AA84="",Y84=""),"",AA84-Y84)</f>
        <v/>
      </c>
      <c r="AD84" s="8">
        <f>IF(OR(AB84="",Z84=""),"",AB84-Z84)</f>
        <v/>
      </c>
      <c r="AE84" s="4">
        <f>IF(A84="","",IF(OR(V84&gt;1,W84&lt;Inputs!$B$11,W84&gt;Inputs!$B$12,AC84&lt;Inputs!$B$19,AD84&lt;Inputs!$B$19,P84&lt;Inputs!$B$7,P84&gt;Inputs!$B$8),"CHECK","OK"))</f>
        <v/>
      </c>
      <c r="AF84" s="4" t="n"/>
      <c r="AG84" s="4">
        <f>IF(A84="","",(1/Inputs!$B$9)*(PI()*(Inputs!$F$5/1000)^2/4)*((Inputs!$F$5/1000/4)^(2/3))*SQRT(P84))</f>
        <v/>
      </c>
      <c r="AH84" s="4">
        <f>IF(A84="","",(1/Inputs!$B$9)*(PI()*(Inputs!$F$6/1000)^2/4)*((Inputs!$F$6/1000/4)^(2/3))*SQRT(P84))</f>
        <v/>
      </c>
      <c r="AI84" s="4">
        <f>IF(A84="","",(1/Inputs!$B$9)*(PI()*(Inputs!$F$7/1000)^2/4)*((Inputs!$F$7/1000/4)^(2/3))*SQRT(P84))</f>
        <v/>
      </c>
      <c r="AJ84" s="4">
        <f>IF(A84="","",(1/Inputs!$B$9)*(PI()*(Inputs!$F$8/1000)^2/4)*((Inputs!$F$8/1000/4)^(2/3))*SQRT(P84))</f>
        <v/>
      </c>
      <c r="AK84" s="4">
        <f>IF(A84="","",(1/Inputs!$B$9)*(PI()*(Inputs!$F$9/1000)^2/4)*((Inputs!$F$9/1000/4)^(2/3))*SQRT(P84))</f>
        <v/>
      </c>
      <c r="AL84" s="4">
        <f>IF(A84="","",(1/Inputs!$B$9)*(PI()*(Inputs!$F$10/1000)^2/4)*((Inputs!$F$10/1000/4)^(2/3))*SQRT(P84))</f>
        <v/>
      </c>
      <c r="AM84" s="4">
        <f>IF(A84="","",(1/Inputs!$B$9)*(PI()*(Inputs!$F$11/1000)^2/4)*((Inputs!$F$11/1000/4)^(2/3))*SQRT(P84))</f>
        <v/>
      </c>
      <c r="AN84" s="4">
        <f>IF(A84="","",(1/Inputs!$B$9)*(PI()*(Inputs!$F$12/1000)^2/4)*((Inputs!$F$12/1000/4)^(2/3))*SQRT(P84))</f>
        <v/>
      </c>
      <c r="AO84" s="4">
        <f>IF(A84="","",(1/Inputs!$B$9)*(PI()*(Inputs!$F$13/1000)^2/4)*((Inputs!$F$13/1000/4)^(2/3))*SQRT(P84))</f>
        <v/>
      </c>
      <c r="AP84" s="4">
        <f>IF(A84="","",(1/Inputs!$B$9)*(PI()*(Inputs!$F$14/1000)^2/4)*((Inputs!$F$14/1000/4)^(2/3))*SQRT(P84))</f>
        <v/>
      </c>
    </row>
    <row r="85">
      <c r="A85" s="4" t="n"/>
      <c r="B85" s="4" t="n"/>
      <c r="C85" s="4" t="n"/>
      <c r="D85" s="4" t="n"/>
      <c r="E85" s="8" t="n"/>
      <c r="F85" s="8" t="n"/>
      <c r="G85" s="8">
        <f>SUMIFS(CB_plan!$C:$C,CB_plan!$B:$B,$A85)</f>
        <v/>
      </c>
      <c r="H85" s="8">
        <f>IF(F85="",G85,F85)</f>
        <v/>
      </c>
      <c r="I85" s="4" t="n"/>
      <c r="J85" s="8" t="n"/>
      <c r="K85" s="8">
        <f>IF(A85="","",Inputs!$B$13/((IF(J85="",Inputs!$B$18,J85)+Inputs!$B$14)^Inputs!$B$15))</f>
        <v/>
      </c>
      <c r="L85" s="8">
        <f>IF(A85="","",0.00278*IF(I85="",Inputs!$B$17,I85)*H85*K85)</f>
        <v/>
      </c>
      <c r="M85" s="8">
        <f>IF(A85="","",SUMIFS($N$4:$N$203,$D$4:$D$203,$A85))</f>
        <v/>
      </c>
      <c r="N85" s="8">
        <f>IF(A85="","",(L85+M85)*Inputs!$B$16)</f>
        <v/>
      </c>
      <c r="O85" s="8" t="n"/>
      <c r="P85" s="8">
        <f>IF(A85="","",IF(O85="",Inputs!$B$7,O85))</f>
        <v/>
      </c>
      <c r="Q85" s="4">
        <f>IF(A85="","",IF(N85/Inputs!$B$10&lt;=AG85,Inputs!$F$5,IF(N85/Inputs!$B$10&gt;AP85,"OVERSIZE",INDEX(Inputs!$F$5:$F$14,MATCH(N85/Inputs!$B$10,AG85:AP85,1)+1))))</f>
        <v/>
      </c>
      <c r="R85" s="4" t="n"/>
      <c r="S85" s="4">
        <f>IF(A85="","",IF(R85="",Q85,R85))</f>
        <v/>
      </c>
      <c r="T85" s="8">
        <f>IF(OR(S85="",S85="OVERSIZE"),"",S85/1000)</f>
        <v/>
      </c>
      <c r="U85" s="8">
        <f>IF(T85="","",(1/Inputs!$B$9)*(PI()*T85^2/4)*((T85/4)^(2/3))*SQRT(P85))</f>
        <v/>
      </c>
      <c r="V85" s="8">
        <f>IF(OR(U85="",N85=""),"",N85/(U85*Inputs!$B$10))</f>
        <v/>
      </c>
      <c r="W85" s="8">
        <f>IF(OR(T85="",N85=""),"",4*N85/(PI()*T85^2))</f>
        <v/>
      </c>
      <c r="X85" s="8" t="n"/>
      <c r="Y85" s="8">
        <f>IF(A85="","",IF(A85=Inputs!$B$6,Inputs!$B$22,IF(D85="","",IFERROR(INDEX($Z$4:$Z$203,MATCH(D85,$A$4:$A$203,0))+IF(X85="",Inputs!$B$20,X85),""))))</f>
        <v/>
      </c>
      <c r="Z85" s="8">
        <f>IF(OR(Y85="",P85="",E85=""),"",Y85+P85*E85)</f>
        <v/>
      </c>
      <c r="AA85" s="8">
        <f>IF(C85="","",IFERROR(INDEX(Noeuds_plan!$C$4:$C$200,MATCH(C85,Noeuds_plan!$A$4:$A$200,0)),""))</f>
        <v/>
      </c>
      <c r="AB85" s="8">
        <f>IF(B85="","",IFERROR(INDEX(Noeuds_plan!$C$4:$C$200,MATCH(B85,Noeuds_plan!$A$4:$A$200,0)),""))</f>
        <v/>
      </c>
      <c r="AC85" s="8">
        <f>IF(OR(AA85="",Y85=""),"",AA85-Y85)</f>
        <v/>
      </c>
      <c r="AD85" s="8">
        <f>IF(OR(AB85="",Z85=""),"",AB85-Z85)</f>
        <v/>
      </c>
      <c r="AE85" s="4">
        <f>IF(A85="","",IF(OR(V85&gt;1,W85&lt;Inputs!$B$11,W85&gt;Inputs!$B$12,AC85&lt;Inputs!$B$19,AD85&lt;Inputs!$B$19,P85&lt;Inputs!$B$7,P85&gt;Inputs!$B$8),"CHECK","OK"))</f>
        <v/>
      </c>
      <c r="AF85" s="4" t="n"/>
      <c r="AG85" s="4">
        <f>IF(A85="","",(1/Inputs!$B$9)*(PI()*(Inputs!$F$5/1000)^2/4)*((Inputs!$F$5/1000/4)^(2/3))*SQRT(P85))</f>
        <v/>
      </c>
      <c r="AH85" s="4">
        <f>IF(A85="","",(1/Inputs!$B$9)*(PI()*(Inputs!$F$6/1000)^2/4)*((Inputs!$F$6/1000/4)^(2/3))*SQRT(P85))</f>
        <v/>
      </c>
      <c r="AI85" s="4">
        <f>IF(A85="","",(1/Inputs!$B$9)*(PI()*(Inputs!$F$7/1000)^2/4)*((Inputs!$F$7/1000/4)^(2/3))*SQRT(P85))</f>
        <v/>
      </c>
      <c r="AJ85" s="4">
        <f>IF(A85="","",(1/Inputs!$B$9)*(PI()*(Inputs!$F$8/1000)^2/4)*((Inputs!$F$8/1000/4)^(2/3))*SQRT(P85))</f>
        <v/>
      </c>
      <c r="AK85" s="4">
        <f>IF(A85="","",(1/Inputs!$B$9)*(PI()*(Inputs!$F$9/1000)^2/4)*((Inputs!$F$9/1000/4)^(2/3))*SQRT(P85))</f>
        <v/>
      </c>
      <c r="AL85" s="4">
        <f>IF(A85="","",(1/Inputs!$B$9)*(PI()*(Inputs!$F$10/1000)^2/4)*((Inputs!$F$10/1000/4)^(2/3))*SQRT(P85))</f>
        <v/>
      </c>
      <c r="AM85" s="4">
        <f>IF(A85="","",(1/Inputs!$B$9)*(PI()*(Inputs!$F$11/1000)^2/4)*((Inputs!$F$11/1000/4)^(2/3))*SQRT(P85))</f>
        <v/>
      </c>
      <c r="AN85" s="4">
        <f>IF(A85="","",(1/Inputs!$B$9)*(PI()*(Inputs!$F$12/1000)^2/4)*((Inputs!$F$12/1000/4)^(2/3))*SQRT(P85))</f>
        <v/>
      </c>
      <c r="AO85" s="4">
        <f>IF(A85="","",(1/Inputs!$B$9)*(PI()*(Inputs!$F$13/1000)^2/4)*((Inputs!$F$13/1000/4)^(2/3))*SQRT(P85))</f>
        <v/>
      </c>
      <c r="AP85" s="4">
        <f>IF(A85="","",(1/Inputs!$B$9)*(PI()*(Inputs!$F$14/1000)^2/4)*((Inputs!$F$14/1000/4)^(2/3))*SQRT(P85))</f>
        <v/>
      </c>
    </row>
    <row r="86">
      <c r="A86" s="4" t="n"/>
      <c r="B86" s="4" t="n"/>
      <c r="C86" s="4" t="n"/>
      <c r="D86" s="4" t="n"/>
      <c r="E86" s="8" t="n"/>
      <c r="F86" s="8" t="n"/>
      <c r="G86" s="8">
        <f>SUMIFS(CB_plan!$C:$C,CB_plan!$B:$B,$A86)</f>
        <v/>
      </c>
      <c r="H86" s="8">
        <f>IF(F86="",G86,F86)</f>
        <v/>
      </c>
      <c r="I86" s="4" t="n"/>
      <c r="J86" s="8" t="n"/>
      <c r="K86" s="8">
        <f>IF(A86="","",Inputs!$B$13/((IF(J86="",Inputs!$B$18,J86)+Inputs!$B$14)^Inputs!$B$15))</f>
        <v/>
      </c>
      <c r="L86" s="8">
        <f>IF(A86="","",0.00278*IF(I86="",Inputs!$B$17,I86)*H86*K86)</f>
        <v/>
      </c>
      <c r="M86" s="8">
        <f>IF(A86="","",SUMIFS($N$4:$N$203,$D$4:$D$203,$A86))</f>
        <v/>
      </c>
      <c r="N86" s="8">
        <f>IF(A86="","",(L86+M86)*Inputs!$B$16)</f>
        <v/>
      </c>
      <c r="O86" s="8" t="n"/>
      <c r="P86" s="8">
        <f>IF(A86="","",IF(O86="",Inputs!$B$7,O86))</f>
        <v/>
      </c>
      <c r="Q86" s="4">
        <f>IF(A86="","",IF(N86/Inputs!$B$10&lt;=AG86,Inputs!$F$5,IF(N86/Inputs!$B$10&gt;AP86,"OVERSIZE",INDEX(Inputs!$F$5:$F$14,MATCH(N86/Inputs!$B$10,AG86:AP86,1)+1))))</f>
        <v/>
      </c>
      <c r="R86" s="4" t="n"/>
      <c r="S86" s="4">
        <f>IF(A86="","",IF(R86="",Q86,R86))</f>
        <v/>
      </c>
      <c r="T86" s="8">
        <f>IF(OR(S86="",S86="OVERSIZE"),"",S86/1000)</f>
        <v/>
      </c>
      <c r="U86" s="8">
        <f>IF(T86="","",(1/Inputs!$B$9)*(PI()*T86^2/4)*((T86/4)^(2/3))*SQRT(P86))</f>
        <v/>
      </c>
      <c r="V86" s="8">
        <f>IF(OR(U86="",N86=""),"",N86/(U86*Inputs!$B$10))</f>
        <v/>
      </c>
      <c r="W86" s="8">
        <f>IF(OR(T86="",N86=""),"",4*N86/(PI()*T86^2))</f>
        <v/>
      </c>
      <c r="X86" s="8" t="n"/>
      <c r="Y86" s="8">
        <f>IF(A86="","",IF(A86=Inputs!$B$6,Inputs!$B$22,IF(D86="","",IFERROR(INDEX($Z$4:$Z$203,MATCH(D86,$A$4:$A$203,0))+IF(X86="",Inputs!$B$20,X86),""))))</f>
        <v/>
      </c>
      <c r="Z86" s="8">
        <f>IF(OR(Y86="",P86="",E86=""),"",Y86+P86*E86)</f>
        <v/>
      </c>
      <c r="AA86" s="8">
        <f>IF(C86="","",IFERROR(INDEX(Noeuds_plan!$C$4:$C$200,MATCH(C86,Noeuds_plan!$A$4:$A$200,0)),""))</f>
        <v/>
      </c>
      <c r="AB86" s="8">
        <f>IF(B86="","",IFERROR(INDEX(Noeuds_plan!$C$4:$C$200,MATCH(B86,Noeuds_plan!$A$4:$A$200,0)),""))</f>
        <v/>
      </c>
      <c r="AC86" s="8">
        <f>IF(OR(AA86="",Y86=""),"",AA86-Y86)</f>
        <v/>
      </c>
      <c r="AD86" s="8">
        <f>IF(OR(AB86="",Z86=""),"",AB86-Z86)</f>
        <v/>
      </c>
      <c r="AE86" s="4">
        <f>IF(A86="","",IF(OR(V86&gt;1,W86&lt;Inputs!$B$11,W86&gt;Inputs!$B$12,AC86&lt;Inputs!$B$19,AD86&lt;Inputs!$B$19,P86&lt;Inputs!$B$7,P86&gt;Inputs!$B$8),"CHECK","OK"))</f>
        <v/>
      </c>
      <c r="AF86" s="4" t="n"/>
      <c r="AG86" s="4">
        <f>IF(A86="","",(1/Inputs!$B$9)*(PI()*(Inputs!$F$5/1000)^2/4)*((Inputs!$F$5/1000/4)^(2/3))*SQRT(P86))</f>
        <v/>
      </c>
      <c r="AH86" s="4">
        <f>IF(A86="","",(1/Inputs!$B$9)*(PI()*(Inputs!$F$6/1000)^2/4)*((Inputs!$F$6/1000/4)^(2/3))*SQRT(P86))</f>
        <v/>
      </c>
      <c r="AI86" s="4">
        <f>IF(A86="","",(1/Inputs!$B$9)*(PI()*(Inputs!$F$7/1000)^2/4)*((Inputs!$F$7/1000/4)^(2/3))*SQRT(P86))</f>
        <v/>
      </c>
      <c r="AJ86" s="4">
        <f>IF(A86="","",(1/Inputs!$B$9)*(PI()*(Inputs!$F$8/1000)^2/4)*((Inputs!$F$8/1000/4)^(2/3))*SQRT(P86))</f>
        <v/>
      </c>
      <c r="AK86" s="4">
        <f>IF(A86="","",(1/Inputs!$B$9)*(PI()*(Inputs!$F$9/1000)^2/4)*((Inputs!$F$9/1000/4)^(2/3))*SQRT(P86))</f>
        <v/>
      </c>
      <c r="AL86" s="4">
        <f>IF(A86="","",(1/Inputs!$B$9)*(PI()*(Inputs!$F$10/1000)^2/4)*((Inputs!$F$10/1000/4)^(2/3))*SQRT(P86))</f>
        <v/>
      </c>
      <c r="AM86" s="4">
        <f>IF(A86="","",(1/Inputs!$B$9)*(PI()*(Inputs!$F$11/1000)^2/4)*((Inputs!$F$11/1000/4)^(2/3))*SQRT(P86))</f>
        <v/>
      </c>
      <c r="AN86" s="4">
        <f>IF(A86="","",(1/Inputs!$B$9)*(PI()*(Inputs!$F$12/1000)^2/4)*((Inputs!$F$12/1000/4)^(2/3))*SQRT(P86))</f>
        <v/>
      </c>
      <c r="AO86" s="4">
        <f>IF(A86="","",(1/Inputs!$B$9)*(PI()*(Inputs!$F$13/1000)^2/4)*((Inputs!$F$13/1000/4)^(2/3))*SQRT(P86))</f>
        <v/>
      </c>
      <c r="AP86" s="4">
        <f>IF(A86="","",(1/Inputs!$B$9)*(PI()*(Inputs!$F$14/1000)^2/4)*((Inputs!$F$14/1000/4)^(2/3))*SQRT(P86))</f>
        <v/>
      </c>
    </row>
    <row r="87">
      <c r="A87" s="4" t="n"/>
      <c r="B87" s="4" t="n"/>
      <c r="C87" s="4" t="n"/>
      <c r="D87" s="4" t="n"/>
      <c r="E87" s="8" t="n"/>
      <c r="F87" s="8" t="n"/>
      <c r="G87" s="8">
        <f>SUMIFS(CB_plan!$C:$C,CB_plan!$B:$B,$A87)</f>
        <v/>
      </c>
      <c r="H87" s="8">
        <f>IF(F87="",G87,F87)</f>
        <v/>
      </c>
      <c r="I87" s="4" t="n"/>
      <c r="J87" s="8" t="n"/>
      <c r="K87" s="8">
        <f>IF(A87="","",Inputs!$B$13/((IF(J87="",Inputs!$B$18,J87)+Inputs!$B$14)^Inputs!$B$15))</f>
        <v/>
      </c>
      <c r="L87" s="8">
        <f>IF(A87="","",0.00278*IF(I87="",Inputs!$B$17,I87)*H87*K87)</f>
        <v/>
      </c>
      <c r="M87" s="8">
        <f>IF(A87="","",SUMIFS($N$4:$N$203,$D$4:$D$203,$A87))</f>
        <v/>
      </c>
      <c r="N87" s="8">
        <f>IF(A87="","",(L87+M87)*Inputs!$B$16)</f>
        <v/>
      </c>
      <c r="O87" s="8" t="n"/>
      <c r="P87" s="8">
        <f>IF(A87="","",IF(O87="",Inputs!$B$7,O87))</f>
        <v/>
      </c>
      <c r="Q87" s="4">
        <f>IF(A87="","",IF(N87/Inputs!$B$10&lt;=AG87,Inputs!$F$5,IF(N87/Inputs!$B$10&gt;AP87,"OVERSIZE",INDEX(Inputs!$F$5:$F$14,MATCH(N87/Inputs!$B$10,AG87:AP87,1)+1))))</f>
        <v/>
      </c>
      <c r="R87" s="4" t="n"/>
      <c r="S87" s="4">
        <f>IF(A87="","",IF(R87="",Q87,R87))</f>
        <v/>
      </c>
      <c r="T87" s="8">
        <f>IF(OR(S87="",S87="OVERSIZE"),"",S87/1000)</f>
        <v/>
      </c>
      <c r="U87" s="8">
        <f>IF(T87="","",(1/Inputs!$B$9)*(PI()*T87^2/4)*((T87/4)^(2/3))*SQRT(P87))</f>
        <v/>
      </c>
      <c r="V87" s="8">
        <f>IF(OR(U87="",N87=""),"",N87/(U87*Inputs!$B$10))</f>
        <v/>
      </c>
      <c r="W87" s="8">
        <f>IF(OR(T87="",N87=""),"",4*N87/(PI()*T87^2))</f>
        <v/>
      </c>
      <c r="X87" s="8" t="n"/>
      <c r="Y87" s="8">
        <f>IF(A87="","",IF(A87=Inputs!$B$6,Inputs!$B$22,IF(D87="","",IFERROR(INDEX($Z$4:$Z$203,MATCH(D87,$A$4:$A$203,0))+IF(X87="",Inputs!$B$20,X87),""))))</f>
        <v/>
      </c>
      <c r="Z87" s="8">
        <f>IF(OR(Y87="",P87="",E87=""),"",Y87+P87*E87)</f>
        <v/>
      </c>
      <c r="AA87" s="8">
        <f>IF(C87="","",IFERROR(INDEX(Noeuds_plan!$C$4:$C$200,MATCH(C87,Noeuds_plan!$A$4:$A$200,0)),""))</f>
        <v/>
      </c>
      <c r="AB87" s="8">
        <f>IF(B87="","",IFERROR(INDEX(Noeuds_plan!$C$4:$C$200,MATCH(B87,Noeuds_plan!$A$4:$A$200,0)),""))</f>
        <v/>
      </c>
      <c r="AC87" s="8">
        <f>IF(OR(AA87="",Y87=""),"",AA87-Y87)</f>
        <v/>
      </c>
      <c r="AD87" s="8">
        <f>IF(OR(AB87="",Z87=""),"",AB87-Z87)</f>
        <v/>
      </c>
      <c r="AE87" s="4">
        <f>IF(A87="","",IF(OR(V87&gt;1,W87&lt;Inputs!$B$11,W87&gt;Inputs!$B$12,AC87&lt;Inputs!$B$19,AD87&lt;Inputs!$B$19,P87&lt;Inputs!$B$7,P87&gt;Inputs!$B$8),"CHECK","OK"))</f>
        <v/>
      </c>
      <c r="AF87" s="4" t="n"/>
      <c r="AG87" s="4">
        <f>IF(A87="","",(1/Inputs!$B$9)*(PI()*(Inputs!$F$5/1000)^2/4)*((Inputs!$F$5/1000/4)^(2/3))*SQRT(P87))</f>
        <v/>
      </c>
      <c r="AH87" s="4">
        <f>IF(A87="","",(1/Inputs!$B$9)*(PI()*(Inputs!$F$6/1000)^2/4)*((Inputs!$F$6/1000/4)^(2/3))*SQRT(P87))</f>
        <v/>
      </c>
      <c r="AI87" s="4">
        <f>IF(A87="","",(1/Inputs!$B$9)*(PI()*(Inputs!$F$7/1000)^2/4)*((Inputs!$F$7/1000/4)^(2/3))*SQRT(P87))</f>
        <v/>
      </c>
      <c r="AJ87" s="4">
        <f>IF(A87="","",(1/Inputs!$B$9)*(PI()*(Inputs!$F$8/1000)^2/4)*((Inputs!$F$8/1000/4)^(2/3))*SQRT(P87))</f>
        <v/>
      </c>
      <c r="AK87" s="4">
        <f>IF(A87="","",(1/Inputs!$B$9)*(PI()*(Inputs!$F$9/1000)^2/4)*((Inputs!$F$9/1000/4)^(2/3))*SQRT(P87))</f>
        <v/>
      </c>
      <c r="AL87" s="4">
        <f>IF(A87="","",(1/Inputs!$B$9)*(PI()*(Inputs!$F$10/1000)^2/4)*((Inputs!$F$10/1000/4)^(2/3))*SQRT(P87))</f>
        <v/>
      </c>
      <c r="AM87" s="4">
        <f>IF(A87="","",(1/Inputs!$B$9)*(PI()*(Inputs!$F$11/1000)^2/4)*((Inputs!$F$11/1000/4)^(2/3))*SQRT(P87))</f>
        <v/>
      </c>
      <c r="AN87" s="4">
        <f>IF(A87="","",(1/Inputs!$B$9)*(PI()*(Inputs!$F$12/1000)^2/4)*((Inputs!$F$12/1000/4)^(2/3))*SQRT(P87))</f>
        <v/>
      </c>
      <c r="AO87" s="4">
        <f>IF(A87="","",(1/Inputs!$B$9)*(PI()*(Inputs!$F$13/1000)^2/4)*((Inputs!$F$13/1000/4)^(2/3))*SQRT(P87))</f>
        <v/>
      </c>
      <c r="AP87" s="4">
        <f>IF(A87="","",(1/Inputs!$B$9)*(PI()*(Inputs!$F$14/1000)^2/4)*((Inputs!$F$14/1000/4)^(2/3))*SQRT(P87))</f>
        <v/>
      </c>
    </row>
    <row r="88">
      <c r="A88" s="4" t="n"/>
      <c r="B88" s="4" t="n"/>
      <c r="C88" s="4" t="n"/>
      <c r="D88" s="4" t="n"/>
      <c r="E88" s="8" t="n"/>
      <c r="F88" s="8" t="n"/>
      <c r="G88" s="8">
        <f>SUMIFS(CB_plan!$C:$C,CB_plan!$B:$B,$A88)</f>
        <v/>
      </c>
      <c r="H88" s="8">
        <f>IF(F88="",G88,F88)</f>
        <v/>
      </c>
      <c r="I88" s="4" t="n"/>
      <c r="J88" s="8" t="n"/>
      <c r="K88" s="8">
        <f>IF(A88="","",Inputs!$B$13/((IF(J88="",Inputs!$B$18,J88)+Inputs!$B$14)^Inputs!$B$15))</f>
        <v/>
      </c>
      <c r="L88" s="8">
        <f>IF(A88="","",0.00278*IF(I88="",Inputs!$B$17,I88)*H88*K88)</f>
        <v/>
      </c>
      <c r="M88" s="8">
        <f>IF(A88="","",SUMIFS($N$4:$N$203,$D$4:$D$203,$A88))</f>
        <v/>
      </c>
      <c r="N88" s="8">
        <f>IF(A88="","",(L88+M88)*Inputs!$B$16)</f>
        <v/>
      </c>
      <c r="O88" s="8" t="n"/>
      <c r="P88" s="8">
        <f>IF(A88="","",IF(O88="",Inputs!$B$7,O88))</f>
        <v/>
      </c>
      <c r="Q88" s="4">
        <f>IF(A88="","",IF(N88/Inputs!$B$10&lt;=AG88,Inputs!$F$5,IF(N88/Inputs!$B$10&gt;AP88,"OVERSIZE",INDEX(Inputs!$F$5:$F$14,MATCH(N88/Inputs!$B$10,AG88:AP88,1)+1))))</f>
        <v/>
      </c>
      <c r="R88" s="4" t="n"/>
      <c r="S88" s="4">
        <f>IF(A88="","",IF(R88="",Q88,R88))</f>
        <v/>
      </c>
      <c r="T88" s="8">
        <f>IF(OR(S88="",S88="OVERSIZE"),"",S88/1000)</f>
        <v/>
      </c>
      <c r="U88" s="8">
        <f>IF(T88="","",(1/Inputs!$B$9)*(PI()*T88^2/4)*((T88/4)^(2/3))*SQRT(P88))</f>
        <v/>
      </c>
      <c r="V88" s="8">
        <f>IF(OR(U88="",N88=""),"",N88/(U88*Inputs!$B$10))</f>
        <v/>
      </c>
      <c r="W88" s="8">
        <f>IF(OR(T88="",N88=""),"",4*N88/(PI()*T88^2))</f>
        <v/>
      </c>
      <c r="X88" s="8" t="n"/>
      <c r="Y88" s="8">
        <f>IF(A88="","",IF(A88=Inputs!$B$6,Inputs!$B$22,IF(D88="","",IFERROR(INDEX($Z$4:$Z$203,MATCH(D88,$A$4:$A$203,0))+IF(X88="",Inputs!$B$20,X88),""))))</f>
        <v/>
      </c>
      <c r="Z88" s="8">
        <f>IF(OR(Y88="",P88="",E88=""),"",Y88+P88*E88)</f>
        <v/>
      </c>
      <c r="AA88" s="8">
        <f>IF(C88="","",IFERROR(INDEX(Noeuds_plan!$C$4:$C$200,MATCH(C88,Noeuds_plan!$A$4:$A$200,0)),""))</f>
        <v/>
      </c>
      <c r="AB88" s="8">
        <f>IF(B88="","",IFERROR(INDEX(Noeuds_plan!$C$4:$C$200,MATCH(B88,Noeuds_plan!$A$4:$A$200,0)),""))</f>
        <v/>
      </c>
      <c r="AC88" s="8">
        <f>IF(OR(AA88="",Y88=""),"",AA88-Y88)</f>
        <v/>
      </c>
      <c r="AD88" s="8">
        <f>IF(OR(AB88="",Z88=""),"",AB88-Z88)</f>
        <v/>
      </c>
      <c r="AE88" s="4">
        <f>IF(A88="","",IF(OR(V88&gt;1,W88&lt;Inputs!$B$11,W88&gt;Inputs!$B$12,AC88&lt;Inputs!$B$19,AD88&lt;Inputs!$B$19,P88&lt;Inputs!$B$7,P88&gt;Inputs!$B$8),"CHECK","OK"))</f>
        <v/>
      </c>
      <c r="AF88" s="4" t="n"/>
      <c r="AG88" s="4">
        <f>IF(A88="","",(1/Inputs!$B$9)*(PI()*(Inputs!$F$5/1000)^2/4)*((Inputs!$F$5/1000/4)^(2/3))*SQRT(P88))</f>
        <v/>
      </c>
      <c r="AH88" s="4">
        <f>IF(A88="","",(1/Inputs!$B$9)*(PI()*(Inputs!$F$6/1000)^2/4)*((Inputs!$F$6/1000/4)^(2/3))*SQRT(P88))</f>
        <v/>
      </c>
      <c r="AI88" s="4">
        <f>IF(A88="","",(1/Inputs!$B$9)*(PI()*(Inputs!$F$7/1000)^2/4)*((Inputs!$F$7/1000/4)^(2/3))*SQRT(P88))</f>
        <v/>
      </c>
      <c r="AJ88" s="4">
        <f>IF(A88="","",(1/Inputs!$B$9)*(PI()*(Inputs!$F$8/1000)^2/4)*((Inputs!$F$8/1000/4)^(2/3))*SQRT(P88))</f>
        <v/>
      </c>
      <c r="AK88" s="4">
        <f>IF(A88="","",(1/Inputs!$B$9)*(PI()*(Inputs!$F$9/1000)^2/4)*((Inputs!$F$9/1000/4)^(2/3))*SQRT(P88))</f>
        <v/>
      </c>
      <c r="AL88" s="4">
        <f>IF(A88="","",(1/Inputs!$B$9)*(PI()*(Inputs!$F$10/1000)^2/4)*((Inputs!$F$10/1000/4)^(2/3))*SQRT(P88))</f>
        <v/>
      </c>
      <c r="AM88" s="4">
        <f>IF(A88="","",(1/Inputs!$B$9)*(PI()*(Inputs!$F$11/1000)^2/4)*((Inputs!$F$11/1000/4)^(2/3))*SQRT(P88))</f>
        <v/>
      </c>
      <c r="AN88" s="4">
        <f>IF(A88="","",(1/Inputs!$B$9)*(PI()*(Inputs!$F$12/1000)^2/4)*((Inputs!$F$12/1000/4)^(2/3))*SQRT(P88))</f>
        <v/>
      </c>
      <c r="AO88" s="4">
        <f>IF(A88="","",(1/Inputs!$B$9)*(PI()*(Inputs!$F$13/1000)^2/4)*((Inputs!$F$13/1000/4)^(2/3))*SQRT(P88))</f>
        <v/>
      </c>
      <c r="AP88" s="4">
        <f>IF(A88="","",(1/Inputs!$B$9)*(PI()*(Inputs!$F$14/1000)^2/4)*((Inputs!$F$14/1000/4)^(2/3))*SQRT(P88))</f>
        <v/>
      </c>
    </row>
    <row r="89">
      <c r="A89" s="4" t="n"/>
      <c r="B89" s="4" t="n"/>
      <c r="C89" s="4" t="n"/>
      <c r="D89" s="4" t="n"/>
      <c r="E89" s="8" t="n"/>
      <c r="F89" s="8" t="n"/>
      <c r="G89" s="8">
        <f>SUMIFS(CB_plan!$C:$C,CB_plan!$B:$B,$A89)</f>
        <v/>
      </c>
      <c r="H89" s="8">
        <f>IF(F89="",G89,F89)</f>
        <v/>
      </c>
      <c r="I89" s="4" t="n"/>
      <c r="J89" s="8" t="n"/>
      <c r="K89" s="8">
        <f>IF(A89="","",Inputs!$B$13/((IF(J89="",Inputs!$B$18,J89)+Inputs!$B$14)^Inputs!$B$15))</f>
        <v/>
      </c>
      <c r="L89" s="8">
        <f>IF(A89="","",0.00278*IF(I89="",Inputs!$B$17,I89)*H89*K89)</f>
        <v/>
      </c>
      <c r="M89" s="8">
        <f>IF(A89="","",SUMIFS($N$4:$N$203,$D$4:$D$203,$A89))</f>
        <v/>
      </c>
      <c r="N89" s="8">
        <f>IF(A89="","",(L89+M89)*Inputs!$B$16)</f>
        <v/>
      </c>
      <c r="O89" s="8" t="n"/>
      <c r="P89" s="8">
        <f>IF(A89="","",IF(O89="",Inputs!$B$7,O89))</f>
        <v/>
      </c>
      <c r="Q89" s="4">
        <f>IF(A89="","",IF(N89/Inputs!$B$10&lt;=AG89,Inputs!$F$5,IF(N89/Inputs!$B$10&gt;AP89,"OVERSIZE",INDEX(Inputs!$F$5:$F$14,MATCH(N89/Inputs!$B$10,AG89:AP89,1)+1))))</f>
        <v/>
      </c>
      <c r="R89" s="4" t="n"/>
      <c r="S89" s="4">
        <f>IF(A89="","",IF(R89="",Q89,R89))</f>
        <v/>
      </c>
      <c r="T89" s="8">
        <f>IF(OR(S89="",S89="OVERSIZE"),"",S89/1000)</f>
        <v/>
      </c>
      <c r="U89" s="8">
        <f>IF(T89="","",(1/Inputs!$B$9)*(PI()*T89^2/4)*((T89/4)^(2/3))*SQRT(P89))</f>
        <v/>
      </c>
      <c r="V89" s="8">
        <f>IF(OR(U89="",N89=""),"",N89/(U89*Inputs!$B$10))</f>
        <v/>
      </c>
      <c r="W89" s="8">
        <f>IF(OR(T89="",N89=""),"",4*N89/(PI()*T89^2))</f>
        <v/>
      </c>
      <c r="X89" s="8" t="n"/>
      <c r="Y89" s="8">
        <f>IF(A89="","",IF(A89=Inputs!$B$6,Inputs!$B$22,IF(D89="","",IFERROR(INDEX($Z$4:$Z$203,MATCH(D89,$A$4:$A$203,0))+IF(X89="",Inputs!$B$20,X89),""))))</f>
        <v/>
      </c>
      <c r="Z89" s="8">
        <f>IF(OR(Y89="",P89="",E89=""),"",Y89+P89*E89)</f>
        <v/>
      </c>
      <c r="AA89" s="8">
        <f>IF(C89="","",IFERROR(INDEX(Noeuds_plan!$C$4:$C$200,MATCH(C89,Noeuds_plan!$A$4:$A$200,0)),""))</f>
        <v/>
      </c>
      <c r="AB89" s="8">
        <f>IF(B89="","",IFERROR(INDEX(Noeuds_plan!$C$4:$C$200,MATCH(B89,Noeuds_plan!$A$4:$A$200,0)),""))</f>
        <v/>
      </c>
      <c r="AC89" s="8">
        <f>IF(OR(AA89="",Y89=""),"",AA89-Y89)</f>
        <v/>
      </c>
      <c r="AD89" s="8">
        <f>IF(OR(AB89="",Z89=""),"",AB89-Z89)</f>
        <v/>
      </c>
      <c r="AE89" s="4">
        <f>IF(A89="","",IF(OR(V89&gt;1,W89&lt;Inputs!$B$11,W89&gt;Inputs!$B$12,AC89&lt;Inputs!$B$19,AD89&lt;Inputs!$B$19,P89&lt;Inputs!$B$7,P89&gt;Inputs!$B$8),"CHECK","OK"))</f>
        <v/>
      </c>
      <c r="AF89" s="4" t="n"/>
      <c r="AG89" s="4">
        <f>IF(A89="","",(1/Inputs!$B$9)*(PI()*(Inputs!$F$5/1000)^2/4)*((Inputs!$F$5/1000/4)^(2/3))*SQRT(P89))</f>
        <v/>
      </c>
      <c r="AH89" s="4">
        <f>IF(A89="","",(1/Inputs!$B$9)*(PI()*(Inputs!$F$6/1000)^2/4)*((Inputs!$F$6/1000/4)^(2/3))*SQRT(P89))</f>
        <v/>
      </c>
      <c r="AI89" s="4">
        <f>IF(A89="","",(1/Inputs!$B$9)*(PI()*(Inputs!$F$7/1000)^2/4)*((Inputs!$F$7/1000/4)^(2/3))*SQRT(P89))</f>
        <v/>
      </c>
      <c r="AJ89" s="4">
        <f>IF(A89="","",(1/Inputs!$B$9)*(PI()*(Inputs!$F$8/1000)^2/4)*((Inputs!$F$8/1000/4)^(2/3))*SQRT(P89))</f>
        <v/>
      </c>
      <c r="AK89" s="4">
        <f>IF(A89="","",(1/Inputs!$B$9)*(PI()*(Inputs!$F$9/1000)^2/4)*((Inputs!$F$9/1000/4)^(2/3))*SQRT(P89))</f>
        <v/>
      </c>
      <c r="AL89" s="4">
        <f>IF(A89="","",(1/Inputs!$B$9)*(PI()*(Inputs!$F$10/1000)^2/4)*((Inputs!$F$10/1000/4)^(2/3))*SQRT(P89))</f>
        <v/>
      </c>
      <c r="AM89" s="4">
        <f>IF(A89="","",(1/Inputs!$B$9)*(PI()*(Inputs!$F$11/1000)^2/4)*((Inputs!$F$11/1000/4)^(2/3))*SQRT(P89))</f>
        <v/>
      </c>
      <c r="AN89" s="4">
        <f>IF(A89="","",(1/Inputs!$B$9)*(PI()*(Inputs!$F$12/1000)^2/4)*((Inputs!$F$12/1000/4)^(2/3))*SQRT(P89))</f>
        <v/>
      </c>
      <c r="AO89" s="4">
        <f>IF(A89="","",(1/Inputs!$B$9)*(PI()*(Inputs!$F$13/1000)^2/4)*((Inputs!$F$13/1000/4)^(2/3))*SQRT(P89))</f>
        <v/>
      </c>
      <c r="AP89" s="4">
        <f>IF(A89="","",(1/Inputs!$B$9)*(PI()*(Inputs!$F$14/1000)^2/4)*((Inputs!$F$14/1000/4)^(2/3))*SQRT(P89))</f>
        <v/>
      </c>
    </row>
    <row r="90">
      <c r="A90" s="4" t="n"/>
      <c r="B90" s="4" t="n"/>
      <c r="C90" s="4" t="n"/>
      <c r="D90" s="4" t="n"/>
      <c r="E90" s="8" t="n"/>
      <c r="F90" s="8" t="n"/>
      <c r="G90" s="8">
        <f>SUMIFS(CB_plan!$C:$C,CB_plan!$B:$B,$A90)</f>
        <v/>
      </c>
      <c r="H90" s="8">
        <f>IF(F90="",G90,F90)</f>
        <v/>
      </c>
      <c r="I90" s="4" t="n"/>
      <c r="J90" s="8" t="n"/>
      <c r="K90" s="8">
        <f>IF(A90="","",Inputs!$B$13/((IF(J90="",Inputs!$B$18,J90)+Inputs!$B$14)^Inputs!$B$15))</f>
        <v/>
      </c>
      <c r="L90" s="8">
        <f>IF(A90="","",0.00278*IF(I90="",Inputs!$B$17,I90)*H90*K90)</f>
        <v/>
      </c>
      <c r="M90" s="8">
        <f>IF(A90="","",SUMIFS($N$4:$N$203,$D$4:$D$203,$A90))</f>
        <v/>
      </c>
      <c r="N90" s="8">
        <f>IF(A90="","",(L90+M90)*Inputs!$B$16)</f>
        <v/>
      </c>
      <c r="O90" s="8" t="n"/>
      <c r="P90" s="8">
        <f>IF(A90="","",IF(O90="",Inputs!$B$7,O90))</f>
        <v/>
      </c>
      <c r="Q90" s="4">
        <f>IF(A90="","",IF(N90/Inputs!$B$10&lt;=AG90,Inputs!$F$5,IF(N90/Inputs!$B$10&gt;AP90,"OVERSIZE",INDEX(Inputs!$F$5:$F$14,MATCH(N90/Inputs!$B$10,AG90:AP90,1)+1))))</f>
        <v/>
      </c>
      <c r="R90" s="4" t="n"/>
      <c r="S90" s="4">
        <f>IF(A90="","",IF(R90="",Q90,R90))</f>
        <v/>
      </c>
      <c r="T90" s="8">
        <f>IF(OR(S90="",S90="OVERSIZE"),"",S90/1000)</f>
        <v/>
      </c>
      <c r="U90" s="8">
        <f>IF(T90="","",(1/Inputs!$B$9)*(PI()*T90^2/4)*((T90/4)^(2/3))*SQRT(P90))</f>
        <v/>
      </c>
      <c r="V90" s="8">
        <f>IF(OR(U90="",N90=""),"",N90/(U90*Inputs!$B$10))</f>
        <v/>
      </c>
      <c r="W90" s="8">
        <f>IF(OR(T90="",N90=""),"",4*N90/(PI()*T90^2))</f>
        <v/>
      </c>
      <c r="X90" s="8" t="n"/>
      <c r="Y90" s="8">
        <f>IF(A90="","",IF(A90=Inputs!$B$6,Inputs!$B$22,IF(D90="","",IFERROR(INDEX($Z$4:$Z$203,MATCH(D90,$A$4:$A$203,0))+IF(X90="",Inputs!$B$20,X90),""))))</f>
        <v/>
      </c>
      <c r="Z90" s="8">
        <f>IF(OR(Y90="",P90="",E90=""),"",Y90+P90*E90)</f>
        <v/>
      </c>
      <c r="AA90" s="8">
        <f>IF(C90="","",IFERROR(INDEX(Noeuds_plan!$C$4:$C$200,MATCH(C90,Noeuds_plan!$A$4:$A$200,0)),""))</f>
        <v/>
      </c>
      <c r="AB90" s="8">
        <f>IF(B90="","",IFERROR(INDEX(Noeuds_plan!$C$4:$C$200,MATCH(B90,Noeuds_plan!$A$4:$A$200,0)),""))</f>
        <v/>
      </c>
      <c r="AC90" s="8">
        <f>IF(OR(AA90="",Y90=""),"",AA90-Y90)</f>
        <v/>
      </c>
      <c r="AD90" s="8">
        <f>IF(OR(AB90="",Z90=""),"",AB90-Z90)</f>
        <v/>
      </c>
      <c r="AE90" s="4">
        <f>IF(A90="","",IF(OR(V90&gt;1,W90&lt;Inputs!$B$11,W90&gt;Inputs!$B$12,AC90&lt;Inputs!$B$19,AD90&lt;Inputs!$B$19,P90&lt;Inputs!$B$7,P90&gt;Inputs!$B$8),"CHECK","OK"))</f>
        <v/>
      </c>
      <c r="AF90" s="4" t="n"/>
      <c r="AG90" s="4">
        <f>IF(A90="","",(1/Inputs!$B$9)*(PI()*(Inputs!$F$5/1000)^2/4)*((Inputs!$F$5/1000/4)^(2/3))*SQRT(P90))</f>
        <v/>
      </c>
      <c r="AH90" s="4">
        <f>IF(A90="","",(1/Inputs!$B$9)*(PI()*(Inputs!$F$6/1000)^2/4)*((Inputs!$F$6/1000/4)^(2/3))*SQRT(P90))</f>
        <v/>
      </c>
      <c r="AI90" s="4">
        <f>IF(A90="","",(1/Inputs!$B$9)*(PI()*(Inputs!$F$7/1000)^2/4)*((Inputs!$F$7/1000/4)^(2/3))*SQRT(P90))</f>
        <v/>
      </c>
      <c r="AJ90" s="4">
        <f>IF(A90="","",(1/Inputs!$B$9)*(PI()*(Inputs!$F$8/1000)^2/4)*((Inputs!$F$8/1000/4)^(2/3))*SQRT(P90))</f>
        <v/>
      </c>
      <c r="AK90" s="4">
        <f>IF(A90="","",(1/Inputs!$B$9)*(PI()*(Inputs!$F$9/1000)^2/4)*((Inputs!$F$9/1000/4)^(2/3))*SQRT(P90))</f>
        <v/>
      </c>
      <c r="AL90" s="4">
        <f>IF(A90="","",(1/Inputs!$B$9)*(PI()*(Inputs!$F$10/1000)^2/4)*((Inputs!$F$10/1000/4)^(2/3))*SQRT(P90))</f>
        <v/>
      </c>
      <c r="AM90" s="4">
        <f>IF(A90="","",(1/Inputs!$B$9)*(PI()*(Inputs!$F$11/1000)^2/4)*((Inputs!$F$11/1000/4)^(2/3))*SQRT(P90))</f>
        <v/>
      </c>
      <c r="AN90" s="4">
        <f>IF(A90="","",(1/Inputs!$B$9)*(PI()*(Inputs!$F$12/1000)^2/4)*((Inputs!$F$12/1000/4)^(2/3))*SQRT(P90))</f>
        <v/>
      </c>
      <c r="AO90" s="4">
        <f>IF(A90="","",(1/Inputs!$B$9)*(PI()*(Inputs!$F$13/1000)^2/4)*((Inputs!$F$13/1000/4)^(2/3))*SQRT(P90))</f>
        <v/>
      </c>
      <c r="AP90" s="4">
        <f>IF(A90="","",(1/Inputs!$B$9)*(PI()*(Inputs!$F$14/1000)^2/4)*((Inputs!$F$14/1000/4)^(2/3))*SQRT(P90))</f>
        <v/>
      </c>
    </row>
    <row r="91">
      <c r="A91" s="4" t="n"/>
      <c r="B91" s="4" t="n"/>
      <c r="C91" s="4" t="n"/>
      <c r="D91" s="4" t="n"/>
      <c r="E91" s="8" t="n"/>
      <c r="F91" s="8" t="n"/>
      <c r="G91" s="8">
        <f>SUMIFS(CB_plan!$C:$C,CB_plan!$B:$B,$A91)</f>
        <v/>
      </c>
      <c r="H91" s="8">
        <f>IF(F91="",G91,F91)</f>
        <v/>
      </c>
      <c r="I91" s="4" t="n"/>
      <c r="J91" s="8" t="n"/>
      <c r="K91" s="8">
        <f>IF(A91="","",Inputs!$B$13/((IF(J91="",Inputs!$B$18,J91)+Inputs!$B$14)^Inputs!$B$15))</f>
        <v/>
      </c>
      <c r="L91" s="8">
        <f>IF(A91="","",0.00278*IF(I91="",Inputs!$B$17,I91)*H91*K91)</f>
        <v/>
      </c>
      <c r="M91" s="8">
        <f>IF(A91="","",SUMIFS($N$4:$N$203,$D$4:$D$203,$A91))</f>
        <v/>
      </c>
      <c r="N91" s="8">
        <f>IF(A91="","",(L91+M91)*Inputs!$B$16)</f>
        <v/>
      </c>
      <c r="O91" s="8" t="n"/>
      <c r="P91" s="8">
        <f>IF(A91="","",IF(O91="",Inputs!$B$7,O91))</f>
        <v/>
      </c>
      <c r="Q91" s="4">
        <f>IF(A91="","",IF(N91/Inputs!$B$10&lt;=AG91,Inputs!$F$5,IF(N91/Inputs!$B$10&gt;AP91,"OVERSIZE",INDEX(Inputs!$F$5:$F$14,MATCH(N91/Inputs!$B$10,AG91:AP91,1)+1))))</f>
        <v/>
      </c>
      <c r="R91" s="4" t="n"/>
      <c r="S91" s="4">
        <f>IF(A91="","",IF(R91="",Q91,R91))</f>
        <v/>
      </c>
      <c r="T91" s="8">
        <f>IF(OR(S91="",S91="OVERSIZE"),"",S91/1000)</f>
        <v/>
      </c>
      <c r="U91" s="8">
        <f>IF(T91="","",(1/Inputs!$B$9)*(PI()*T91^2/4)*((T91/4)^(2/3))*SQRT(P91))</f>
        <v/>
      </c>
      <c r="V91" s="8">
        <f>IF(OR(U91="",N91=""),"",N91/(U91*Inputs!$B$10))</f>
        <v/>
      </c>
      <c r="W91" s="8">
        <f>IF(OR(T91="",N91=""),"",4*N91/(PI()*T91^2))</f>
        <v/>
      </c>
      <c r="X91" s="8" t="n"/>
      <c r="Y91" s="8">
        <f>IF(A91="","",IF(A91=Inputs!$B$6,Inputs!$B$22,IF(D91="","",IFERROR(INDEX($Z$4:$Z$203,MATCH(D91,$A$4:$A$203,0))+IF(X91="",Inputs!$B$20,X91),""))))</f>
        <v/>
      </c>
      <c r="Z91" s="8">
        <f>IF(OR(Y91="",P91="",E91=""),"",Y91+P91*E91)</f>
        <v/>
      </c>
      <c r="AA91" s="8">
        <f>IF(C91="","",IFERROR(INDEX(Noeuds_plan!$C$4:$C$200,MATCH(C91,Noeuds_plan!$A$4:$A$200,0)),""))</f>
        <v/>
      </c>
      <c r="AB91" s="8">
        <f>IF(B91="","",IFERROR(INDEX(Noeuds_plan!$C$4:$C$200,MATCH(B91,Noeuds_plan!$A$4:$A$200,0)),""))</f>
        <v/>
      </c>
      <c r="AC91" s="8">
        <f>IF(OR(AA91="",Y91=""),"",AA91-Y91)</f>
        <v/>
      </c>
      <c r="AD91" s="8">
        <f>IF(OR(AB91="",Z91=""),"",AB91-Z91)</f>
        <v/>
      </c>
      <c r="AE91" s="4">
        <f>IF(A91="","",IF(OR(V91&gt;1,W91&lt;Inputs!$B$11,W91&gt;Inputs!$B$12,AC91&lt;Inputs!$B$19,AD91&lt;Inputs!$B$19,P91&lt;Inputs!$B$7,P91&gt;Inputs!$B$8),"CHECK","OK"))</f>
        <v/>
      </c>
      <c r="AF91" s="4" t="n"/>
      <c r="AG91" s="4">
        <f>IF(A91="","",(1/Inputs!$B$9)*(PI()*(Inputs!$F$5/1000)^2/4)*((Inputs!$F$5/1000/4)^(2/3))*SQRT(P91))</f>
        <v/>
      </c>
      <c r="AH91" s="4">
        <f>IF(A91="","",(1/Inputs!$B$9)*(PI()*(Inputs!$F$6/1000)^2/4)*((Inputs!$F$6/1000/4)^(2/3))*SQRT(P91))</f>
        <v/>
      </c>
      <c r="AI91" s="4">
        <f>IF(A91="","",(1/Inputs!$B$9)*(PI()*(Inputs!$F$7/1000)^2/4)*((Inputs!$F$7/1000/4)^(2/3))*SQRT(P91))</f>
        <v/>
      </c>
      <c r="AJ91" s="4">
        <f>IF(A91="","",(1/Inputs!$B$9)*(PI()*(Inputs!$F$8/1000)^2/4)*((Inputs!$F$8/1000/4)^(2/3))*SQRT(P91))</f>
        <v/>
      </c>
      <c r="AK91" s="4">
        <f>IF(A91="","",(1/Inputs!$B$9)*(PI()*(Inputs!$F$9/1000)^2/4)*((Inputs!$F$9/1000/4)^(2/3))*SQRT(P91))</f>
        <v/>
      </c>
      <c r="AL91" s="4">
        <f>IF(A91="","",(1/Inputs!$B$9)*(PI()*(Inputs!$F$10/1000)^2/4)*((Inputs!$F$10/1000/4)^(2/3))*SQRT(P91))</f>
        <v/>
      </c>
      <c r="AM91" s="4">
        <f>IF(A91="","",(1/Inputs!$B$9)*(PI()*(Inputs!$F$11/1000)^2/4)*((Inputs!$F$11/1000/4)^(2/3))*SQRT(P91))</f>
        <v/>
      </c>
      <c r="AN91" s="4">
        <f>IF(A91="","",(1/Inputs!$B$9)*(PI()*(Inputs!$F$12/1000)^2/4)*((Inputs!$F$12/1000/4)^(2/3))*SQRT(P91))</f>
        <v/>
      </c>
      <c r="AO91" s="4">
        <f>IF(A91="","",(1/Inputs!$B$9)*(PI()*(Inputs!$F$13/1000)^2/4)*((Inputs!$F$13/1000/4)^(2/3))*SQRT(P91))</f>
        <v/>
      </c>
      <c r="AP91" s="4">
        <f>IF(A91="","",(1/Inputs!$B$9)*(PI()*(Inputs!$F$14/1000)^2/4)*((Inputs!$F$14/1000/4)^(2/3))*SQRT(P91))</f>
        <v/>
      </c>
    </row>
    <row r="92">
      <c r="A92" s="4" t="n"/>
      <c r="B92" s="4" t="n"/>
      <c r="C92" s="4" t="n"/>
      <c r="D92" s="4" t="n"/>
      <c r="E92" s="8" t="n"/>
      <c r="F92" s="8" t="n"/>
      <c r="G92" s="8">
        <f>SUMIFS(CB_plan!$C:$C,CB_plan!$B:$B,$A92)</f>
        <v/>
      </c>
      <c r="H92" s="8">
        <f>IF(F92="",G92,F92)</f>
        <v/>
      </c>
      <c r="I92" s="4" t="n"/>
      <c r="J92" s="8" t="n"/>
      <c r="K92" s="8">
        <f>IF(A92="","",Inputs!$B$13/((IF(J92="",Inputs!$B$18,J92)+Inputs!$B$14)^Inputs!$B$15))</f>
        <v/>
      </c>
      <c r="L92" s="8">
        <f>IF(A92="","",0.00278*IF(I92="",Inputs!$B$17,I92)*H92*K92)</f>
        <v/>
      </c>
      <c r="M92" s="8">
        <f>IF(A92="","",SUMIFS($N$4:$N$203,$D$4:$D$203,$A92))</f>
        <v/>
      </c>
      <c r="N92" s="8">
        <f>IF(A92="","",(L92+M92)*Inputs!$B$16)</f>
        <v/>
      </c>
      <c r="O92" s="8" t="n"/>
      <c r="P92" s="8">
        <f>IF(A92="","",IF(O92="",Inputs!$B$7,O92))</f>
        <v/>
      </c>
      <c r="Q92" s="4">
        <f>IF(A92="","",IF(N92/Inputs!$B$10&lt;=AG92,Inputs!$F$5,IF(N92/Inputs!$B$10&gt;AP92,"OVERSIZE",INDEX(Inputs!$F$5:$F$14,MATCH(N92/Inputs!$B$10,AG92:AP92,1)+1))))</f>
        <v/>
      </c>
      <c r="R92" s="4" t="n"/>
      <c r="S92" s="4">
        <f>IF(A92="","",IF(R92="",Q92,R92))</f>
        <v/>
      </c>
      <c r="T92" s="8">
        <f>IF(OR(S92="",S92="OVERSIZE"),"",S92/1000)</f>
        <v/>
      </c>
      <c r="U92" s="8">
        <f>IF(T92="","",(1/Inputs!$B$9)*(PI()*T92^2/4)*((T92/4)^(2/3))*SQRT(P92))</f>
        <v/>
      </c>
      <c r="V92" s="8">
        <f>IF(OR(U92="",N92=""),"",N92/(U92*Inputs!$B$10))</f>
        <v/>
      </c>
      <c r="W92" s="8">
        <f>IF(OR(T92="",N92=""),"",4*N92/(PI()*T92^2))</f>
        <v/>
      </c>
      <c r="X92" s="8" t="n"/>
      <c r="Y92" s="8">
        <f>IF(A92="","",IF(A92=Inputs!$B$6,Inputs!$B$22,IF(D92="","",IFERROR(INDEX($Z$4:$Z$203,MATCH(D92,$A$4:$A$203,0))+IF(X92="",Inputs!$B$20,X92),""))))</f>
        <v/>
      </c>
      <c r="Z92" s="8">
        <f>IF(OR(Y92="",P92="",E92=""),"",Y92+P92*E92)</f>
        <v/>
      </c>
      <c r="AA92" s="8">
        <f>IF(C92="","",IFERROR(INDEX(Noeuds_plan!$C$4:$C$200,MATCH(C92,Noeuds_plan!$A$4:$A$200,0)),""))</f>
        <v/>
      </c>
      <c r="AB92" s="8">
        <f>IF(B92="","",IFERROR(INDEX(Noeuds_plan!$C$4:$C$200,MATCH(B92,Noeuds_plan!$A$4:$A$200,0)),""))</f>
        <v/>
      </c>
      <c r="AC92" s="8">
        <f>IF(OR(AA92="",Y92=""),"",AA92-Y92)</f>
        <v/>
      </c>
      <c r="AD92" s="8">
        <f>IF(OR(AB92="",Z92=""),"",AB92-Z92)</f>
        <v/>
      </c>
      <c r="AE92" s="4">
        <f>IF(A92="","",IF(OR(V92&gt;1,W92&lt;Inputs!$B$11,W92&gt;Inputs!$B$12,AC92&lt;Inputs!$B$19,AD92&lt;Inputs!$B$19,P92&lt;Inputs!$B$7,P92&gt;Inputs!$B$8),"CHECK","OK"))</f>
        <v/>
      </c>
      <c r="AF92" s="4" t="n"/>
      <c r="AG92" s="4">
        <f>IF(A92="","",(1/Inputs!$B$9)*(PI()*(Inputs!$F$5/1000)^2/4)*((Inputs!$F$5/1000/4)^(2/3))*SQRT(P92))</f>
        <v/>
      </c>
      <c r="AH92" s="4">
        <f>IF(A92="","",(1/Inputs!$B$9)*(PI()*(Inputs!$F$6/1000)^2/4)*((Inputs!$F$6/1000/4)^(2/3))*SQRT(P92))</f>
        <v/>
      </c>
      <c r="AI92" s="4">
        <f>IF(A92="","",(1/Inputs!$B$9)*(PI()*(Inputs!$F$7/1000)^2/4)*((Inputs!$F$7/1000/4)^(2/3))*SQRT(P92))</f>
        <v/>
      </c>
      <c r="AJ92" s="4">
        <f>IF(A92="","",(1/Inputs!$B$9)*(PI()*(Inputs!$F$8/1000)^2/4)*((Inputs!$F$8/1000/4)^(2/3))*SQRT(P92))</f>
        <v/>
      </c>
      <c r="AK92" s="4">
        <f>IF(A92="","",(1/Inputs!$B$9)*(PI()*(Inputs!$F$9/1000)^2/4)*((Inputs!$F$9/1000/4)^(2/3))*SQRT(P92))</f>
        <v/>
      </c>
      <c r="AL92" s="4">
        <f>IF(A92="","",(1/Inputs!$B$9)*(PI()*(Inputs!$F$10/1000)^2/4)*((Inputs!$F$10/1000/4)^(2/3))*SQRT(P92))</f>
        <v/>
      </c>
      <c r="AM92" s="4">
        <f>IF(A92="","",(1/Inputs!$B$9)*(PI()*(Inputs!$F$11/1000)^2/4)*((Inputs!$F$11/1000/4)^(2/3))*SQRT(P92))</f>
        <v/>
      </c>
      <c r="AN92" s="4">
        <f>IF(A92="","",(1/Inputs!$B$9)*(PI()*(Inputs!$F$12/1000)^2/4)*((Inputs!$F$12/1000/4)^(2/3))*SQRT(P92))</f>
        <v/>
      </c>
      <c r="AO92" s="4">
        <f>IF(A92="","",(1/Inputs!$B$9)*(PI()*(Inputs!$F$13/1000)^2/4)*((Inputs!$F$13/1000/4)^(2/3))*SQRT(P92))</f>
        <v/>
      </c>
      <c r="AP92" s="4">
        <f>IF(A92="","",(1/Inputs!$B$9)*(PI()*(Inputs!$F$14/1000)^2/4)*((Inputs!$F$14/1000/4)^(2/3))*SQRT(P92))</f>
        <v/>
      </c>
    </row>
    <row r="93">
      <c r="A93" s="4" t="n"/>
      <c r="B93" s="4" t="n"/>
      <c r="C93" s="4" t="n"/>
      <c r="D93" s="4" t="n"/>
      <c r="E93" s="8" t="n"/>
      <c r="F93" s="8" t="n"/>
      <c r="G93" s="8">
        <f>SUMIFS(CB_plan!$C:$C,CB_plan!$B:$B,$A93)</f>
        <v/>
      </c>
      <c r="H93" s="8">
        <f>IF(F93="",G93,F93)</f>
        <v/>
      </c>
      <c r="I93" s="4" t="n"/>
      <c r="J93" s="8" t="n"/>
      <c r="K93" s="8">
        <f>IF(A93="","",Inputs!$B$13/((IF(J93="",Inputs!$B$18,J93)+Inputs!$B$14)^Inputs!$B$15))</f>
        <v/>
      </c>
      <c r="L93" s="8">
        <f>IF(A93="","",0.00278*IF(I93="",Inputs!$B$17,I93)*H93*K93)</f>
        <v/>
      </c>
      <c r="M93" s="8">
        <f>IF(A93="","",SUMIFS($N$4:$N$203,$D$4:$D$203,$A93))</f>
        <v/>
      </c>
      <c r="N93" s="8">
        <f>IF(A93="","",(L93+M93)*Inputs!$B$16)</f>
        <v/>
      </c>
      <c r="O93" s="8" t="n"/>
      <c r="P93" s="8">
        <f>IF(A93="","",IF(O93="",Inputs!$B$7,O93))</f>
        <v/>
      </c>
      <c r="Q93" s="4">
        <f>IF(A93="","",IF(N93/Inputs!$B$10&lt;=AG93,Inputs!$F$5,IF(N93/Inputs!$B$10&gt;AP93,"OVERSIZE",INDEX(Inputs!$F$5:$F$14,MATCH(N93/Inputs!$B$10,AG93:AP93,1)+1))))</f>
        <v/>
      </c>
      <c r="R93" s="4" t="n"/>
      <c r="S93" s="4">
        <f>IF(A93="","",IF(R93="",Q93,R93))</f>
        <v/>
      </c>
      <c r="T93" s="8">
        <f>IF(OR(S93="",S93="OVERSIZE"),"",S93/1000)</f>
        <v/>
      </c>
      <c r="U93" s="8">
        <f>IF(T93="","",(1/Inputs!$B$9)*(PI()*T93^2/4)*((T93/4)^(2/3))*SQRT(P93))</f>
        <v/>
      </c>
      <c r="V93" s="8">
        <f>IF(OR(U93="",N93=""),"",N93/(U93*Inputs!$B$10))</f>
        <v/>
      </c>
      <c r="W93" s="8">
        <f>IF(OR(T93="",N93=""),"",4*N93/(PI()*T93^2))</f>
        <v/>
      </c>
      <c r="X93" s="8" t="n"/>
      <c r="Y93" s="8">
        <f>IF(A93="","",IF(A93=Inputs!$B$6,Inputs!$B$22,IF(D93="","",IFERROR(INDEX($Z$4:$Z$203,MATCH(D93,$A$4:$A$203,0))+IF(X93="",Inputs!$B$20,X93),""))))</f>
        <v/>
      </c>
      <c r="Z93" s="8">
        <f>IF(OR(Y93="",P93="",E93=""),"",Y93+P93*E93)</f>
        <v/>
      </c>
      <c r="AA93" s="8">
        <f>IF(C93="","",IFERROR(INDEX(Noeuds_plan!$C$4:$C$200,MATCH(C93,Noeuds_plan!$A$4:$A$200,0)),""))</f>
        <v/>
      </c>
      <c r="AB93" s="8">
        <f>IF(B93="","",IFERROR(INDEX(Noeuds_plan!$C$4:$C$200,MATCH(B93,Noeuds_plan!$A$4:$A$200,0)),""))</f>
        <v/>
      </c>
      <c r="AC93" s="8">
        <f>IF(OR(AA93="",Y93=""),"",AA93-Y93)</f>
        <v/>
      </c>
      <c r="AD93" s="8">
        <f>IF(OR(AB93="",Z93=""),"",AB93-Z93)</f>
        <v/>
      </c>
      <c r="AE93" s="4">
        <f>IF(A93="","",IF(OR(V93&gt;1,W93&lt;Inputs!$B$11,W93&gt;Inputs!$B$12,AC93&lt;Inputs!$B$19,AD93&lt;Inputs!$B$19,P93&lt;Inputs!$B$7,P93&gt;Inputs!$B$8),"CHECK","OK"))</f>
        <v/>
      </c>
      <c r="AF93" s="4" t="n"/>
      <c r="AG93" s="4">
        <f>IF(A93="","",(1/Inputs!$B$9)*(PI()*(Inputs!$F$5/1000)^2/4)*((Inputs!$F$5/1000/4)^(2/3))*SQRT(P93))</f>
        <v/>
      </c>
      <c r="AH93" s="4">
        <f>IF(A93="","",(1/Inputs!$B$9)*(PI()*(Inputs!$F$6/1000)^2/4)*((Inputs!$F$6/1000/4)^(2/3))*SQRT(P93))</f>
        <v/>
      </c>
      <c r="AI93" s="4">
        <f>IF(A93="","",(1/Inputs!$B$9)*(PI()*(Inputs!$F$7/1000)^2/4)*((Inputs!$F$7/1000/4)^(2/3))*SQRT(P93))</f>
        <v/>
      </c>
      <c r="AJ93" s="4">
        <f>IF(A93="","",(1/Inputs!$B$9)*(PI()*(Inputs!$F$8/1000)^2/4)*((Inputs!$F$8/1000/4)^(2/3))*SQRT(P93))</f>
        <v/>
      </c>
      <c r="AK93" s="4">
        <f>IF(A93="","",(1/Inputs!$B$9)*(PI()*(Inputs!$F$9/1000)^2/4)*((Inputs!$F$9/1000/4)^(2/3))*SQRT(P93))</f>
        <v/>
      </c>
      <c r="AL93" s="4">
        <f>IF(A93="","",(1/Inputs!$B$9)*(PI()*(Inputs!$F$10/1000)^2/4)*((Inputs!$F$10/1000/4)^(2/3))*SQRT(P93))</f>
        <v/>
      </c>
      <c r="AM93" s="4">
        <f>IF(A93="","",(1/Inputs!$B$9)*(PI()*(Inputs!$F$11/1000)^2/4)*((Inputs!$F$11/1000/4)^(2/3))*SQRT(P93))</f>
        <v/>
      </c>
      <c r="AN93" s="4">
        <f>IF(A93="","",(1/Inputs!$B$9)*(PI()*(Inputs!$F$12/1000)^2/4)*((Inputs!$F$12/1000/4)^(2/3))*SQRT(P93))</f>
        <v/>
      </c>
      <c r="AO93" s="4">
        <f>IF(A93="","",(1/Inputs!$B$9)*(PI()*(Inputs!$F$13/1000)^2/4)*((Inputs!$F$13/1000/4)^(2/3))*SQRT(P93))</f>
        <v/>
      </c>
      <c r="AP93" s="4">
        <f>IF(A93="","",(1/Inputs!$B$9)*(PI()*(Inputs!$F$14/1000)^2/4)*((Inputs!$F$14/1000/4)^(2/3))*SQRT(P93))</f>
        <v/>
      </c>
    </row>
    <row r="94">
      <c r="A94" s="4" t="n"/>
      <c r="B94" s="4" t="n"/>
      <c r="C94" s="4" t="n"/>
      <c r="D94" s="4" t="n"/>
      <c r="E94" s="8" t="n"/>
      <c r="F94" s="8" t="n"/>
      <c r="G94" s="8">
        <f>SUMIFS(CB_plan!$C:$C,CB_plan!$B:$B,$A94)</f>
        <v/>
      </c>
      <c r="H94" s="8">
        <f>IF(F94="",G94,F94)</f>
        <v/>
      </c>
      <c r="I94" s="4" t="n"/>
      <c r="J94" s="8" t="n"/>
      <c r="K94" s="8">
        <f>IF(A94="","",Inputs!$B$13/((IF(J94="",Inputs!$B$18,J94)+Inputs!$B$14)^Inputs!$B$15))</f>
        <v/>
      </c>
      <c r="L94" s="8">
        <f>IF(A94="","",0.00278*IF(I94="",Inputs!$B$17,I94)*H94*K94)</f>
        <v/>
      </c>
      <c r="M94" s="8">
        <f>IF(A94="","",SUMIFS($N$4:$N$203,$D$4:$D$203,$A94))</f>
        <v/>
      </c>
      <c r="N94" s="8">
        <f>IF(A94="","",(L94+M94)*Inputs!$B$16)</f>
        <v/>
      </c>
      <c r="O94" s="8" t="n"/>
      <c r="P94" s="8">
        <f>IF(A94="","",IF(O94="",Inputs!$B$7,O94))</f>
        <v/>
      </c>
      <c r="Q94" s="4">
        <f>IF(A94="","",IF(N94/Inputs!$B$10&lt;=AG94,Inputs!$F$5,IF(N94/Inputs!$B$10&gt;AP94,"OVERSIZE",INDEX(Inputs!$F$5:$F$14,MATCH(N94/Inputs!$B$10,AG94:AP94,1)+1))))</f>
        <v/>
      </c>
      <c r="R94" s="4" t="n"/>
      <c r="S94" s="4">
        <f>IF(A94="","",IF(R94="",Q94,R94))</f>
        <v/>
      </c>
      <c r="T94" s="8">
        <f>IF(OR(S94="",S94="OVERSIZE"),"",S94/1000)</f>
        <v/>
      </c>
      <c r="U94" s="8">
        <f>IF(T94="","",(1/Inputs!$B$9)*(PI()*T94^2/4)*((T94/4)^(2/3))*SQRT(P94))</f>
        <v/>
      </c>
      <c r="V94" s="8">
        <f>IF(OR(U94="",N94=""),"",N94/(U94*Inputs!$B$10))</f>
        <v/>
      </c>
      <c r="W94" s="8">
        <f>IF(OR(T94="",N94=""),"",4*N94/(PI()*T94^2))</f>
        <v/>
      </c>
      <c r="X94" s="8" t="n"/>
      <c r="Y94" s="8">
        <f>IF(A94="","",IF(A94=Inputs!$B$6,Inputs!$B$22,IF(D94="","",IFERROR(INDEX($Z$4:$Z$203,MATCH(D94,$A$4:$A$203,0))+IF(X94="",Inputs!$B$20,X94),""))))</f>
        <v/>
      </c>
      <c r="Z94" s="8">
        <f>IF(OR(Y94="",P94="",E94=""),"",Y94+P94*E94)</f>
        <v/>
      </c>
      <c r="AA94" s="8">
        <f>IF(C94="","",IFERROR(INDEX(Noeuds_plan!$C$4:$C$200,MATCH(C94,Noeuds_plan!$A$4:$A$200,0)),""))</f>
        <v/>
      </c>
      <c r="AB94" s="8">
        <f>IF(B94="","",IFERROR(INDEX(Noeuds_plan!$C$4:$C$200,MATCH(B94,Noeuds_plan!$A$4:$A$200,0)),""))</f>
        <v/>
      </c>
      <c r="AC94" s="8">
        <f>IF(OR(AA94="",Y94=""),"",AA94-Y94)</f>
        <v/>
      </c>
      <c r="AD94" s="8">
        <f>IF(OR(AB94="",Z94=""),"",AB94-Z94)</f>
        <v/>
      </c>
      <c r="AE94" s="4">
        <f>IF(A94="","",IF(OR(V94&gt;1,W94&lt;Inputs!$B$11,W94&gt;Inputs!$B$12,AC94&lt;Inputs!$B$19,AD94&lt;Inputs!$B$19,P94&lt;Inputs!$B$7,P94&gt;Inputs!$B$8),"CHECK","OK"))</f>
        <v/>
      </c>
      <c r="AF94" s="4" t="n"/>
      <c r="AG94" s="4">
        <f>IF(A94="","",(1/Inputs!$B$9)*(PI()*(Inputs!$F$5/1000)^2/4)*((Inputs!$F$5/1000/4)^(2/3))*SQRT(P94))</f>
        <v/>
      </c>
      <c r="AH94" s="4">
        <f>IF(A94="","",(1/Inputs!$B$9)*(PI()*(Inputs!$F$6/1000)^2/4)*((Inputs!$F$6/1000/4)^(2/3))*SQRT(P94))</f>
        <v/>
      </c>
      <c r="AI94" s="4">
        <f>IF(A94="","",(1/Inputs!$B$9)*(PI()*(Inputs!$F$7/1000)^2/4)*((Inputs!$F$7/1000/4)^(2/3))*SQRT(P94))</f>
        <v/>
      </c>
      <c r="AJ94" s="4">
        <f>IF(A94="","",(1/Inputs!$B$9)*(PI()*(Inputs!$F$8/1000)^2/4)*((Inputs!$F$8/1000/4)^(2/3))*SQRT(P94))</f>
        <v/>
      </c>
      <c r="AK94" s="4">
        <f>IF(A94="","",(1/Inputs!$B$9)*(PI()*(Inputs!$F$9/1000)^2/4)*((Inputs!$F$9/1000/4)^(2/3))*SQRT(P94))</f>
        <v/>
      </c>
      <c r="AL94" s="4">
        <f>IF(A94="","",(1/Inputs!$B$9)*(PI()*(Inputs!$F$10/1000)^2/4)*((Inputs!$F$10/1000/4)^(2/3))*SQRT(P94))</f>
        <v/>
      </c>
      <c r="AM94" s="4">
        <f>IF(A94="","",(1/Inputs!$B$9)*(PI()*(Inputs!$F$11/1000)^2/4)*((Inputs!$F$11/1000/4)^(2/3))*SQRT(P94))</f>
        <v/>
      </c>
      <c r="AN94" s="4">
        <f>IF(A94="","",(1/Inputs!$B$9)*(PI()*(Inputs!$F$12/1000)^2/4)*((Inputs!$F$12/1000/4)^(2/3))*SQRT(P94))</f>
        <v/>
      </c>
      <c r="AO94" s="4">
        <f>IF(A94="","",(1/Inputs!$B$9)*(PI()*(Inputs!$F$13/1000)^2/4)*((Inputs!$F$13/1000/4)^(2/3))*SQRT(P94))</f>
        <v/>
      </c>
      <c r="AP94" s="4">
        <f>IF(A94="","",(1/Inputs!$B$9)*(PI()*(Inputs!$F$14/1000)^2/4)*((Inputs!$F$14/1000/4)^(2/3))*SQRT(P94))</f>
        <v/>
      </c>
    </row>
    <row r="95">
      <c r="A95" s="4" t="n"/>
      <c r="B95" s="4" t="n"/>
      <c r="C95" s="4" t="n"/>
      <c r="D95" s="4" t="n"/>
      <c r="E95" s="8" t="n"/>
      <c r="F95" s="8" t="n"/>
      <c r="G95" s="8">
        <f>SUMIFS(CB_plan!$C:$C,CB_plan!$B:$B,$A95)</f>
        <v/>
      </c>
      <c r="H95" s="8">
        <f>IF(F95="",G95,F95)</f>
        <v/>
      </c>
      <c r="I95" s="4" t="n"/>
      <c r="J95" s="8" t="n"/>
      <c r="K95" s="8">
        <f>IF(A95="","",Inputs!$B$13/((IF(J95="",Inputs!$B$18,J95)+Inputs!$B$14)^Inputs!$B$15))</f>
        <v/>
      </c>
      <c r="L95" s="8">
        <f>IF(A95="","",0.00278*IF(I95="",Inputs!$B$17,I95)*H95*K95)</f>
        <v/>
      </c>
      <c r="M95" s="8">
        <f>IF(A95="","",SUMIFS($N$4:$N$203,$D$4:$D$203,$A95))</f>
        <v/>
      </c>
      <c r="N95" s="8">
        <f>IF(A95="","",(L95+M95)*Inputs!$B$16)</f>
        <v/>
      </c>
      <c r="O95" s="8" t="n"/>
      <c r="P95" s="8">
        <f>IF(A95="","",IF(O95="",Inputs!$B$7,O95))</f>
        <v/>
      </c>
      <c r="Q95" s="4">
        <f>IF(A95="","",IF(N95/Inputs!$B$10&lt;=AG95,Inputs!$F$5,IF(N95/Inputs!$B$10&gt;AP95,"OVERSIZE",INDEX(Inputs!$F$5:$F$14,MATCH(N95/Inputs!$B$10,AG95:AP95,1)+1))))</f>
        <v/>
      </c>
      <c r="R95" s="4" t="n"/>
      <c r="S95" s="4">
        <f>IF(A95="","",IF(R95="",Q95,R95))</f>
        <v/>
      </c>
      <c r="T95" s="8">
        <f>IF(OR(S95="",S95="OVERSIZE"),"",S95/1000)</f>
        <v/>
      </c>
      <c r="U95" s="8">
        <f>IF(T95="","",(1/Inputs!$B$9)*(PI()*T95^2/4)*((T95/4)^(2/3))*SQRT(P95))</f>
        <v/>
      </c>
      <c r="V95" s="8">
        <f>IF(OR(U95="",N95=""),"",N95/(U95*Inputs!$B$10))</f>
        <v/>
      </c>
      <c r="W95" s="8">
        <f>IF(OR(T95="",N95=""),"",4*N95/(PI()*T95^2))</f>
        <v/>
      </c>
      <c r="X95" s="8" t="n"/>
      <c r="Y95" s="8">
        <f>IF(A95="","",IF(A95=Inputs!$B$6,Inputs!$B$22,IF(D95="","",IFERROR(INDEX($Z$4:$Z$203,MATCH(D95,$A$4:$A$203,0))+IF(X95="",Inputs!$B$20,X95),""))))</f>
        <v/>
      </c>
      <c r="Z95" s="8">
        <f>IF(OR(Y95="",P95="",E95=""),"",Y95+P95*E95)</f>
        <v/>
      </c>
      <c r="AA95" s="8">
        <f>IF(C95="","",IFERROR(INDEX(Noeuds_plan!$C$4:$C$200,MATCH(C95,Noeuds_plan!$A$4:$A$200,0)),""))</f>
        <v/>
      </c>
      <c r="AB95" s="8">
        <f>IF(B95="","",IFERROR(INDEX(Noeuds_plan!$C$4:$C$200,MATCH(B95,Noeuds_plan!$A$4:$A$200,0)),""))</f>
        <v/>
      </c>
      <c r="AC95" s="8">
        <f>IF(OR(AA95="",Y95=""),"",AA95-Y95)</f>
        <v/>
      </c>
      <c r="AD95" s="8">
        <f>IF(OR(AB95="",Z95=""),"",AB95-Z95)</f>
        <v/>
      </c>
      <c r="AE95" s="4">
        <f>IF(A95="","",IF(OR(V95&gt;1,W95&lt;Inputs!$B$11,W95&gt;Inputs!$B$12,AC95&lt;Inputs!$B$19,AD95&lt;Inputs!$B$19,P95&lt;Inputs!$B$7,P95&gt;Inputs!$B$8),"CHECK","OK"))</f>
        <v/>
      </c>
      <c r="AF95" s="4" t="n"/>
      <c r="AG95" s="4">
        <f>IF(A95="","",(1/Inputs!$B$9)*(PI()*(Inputs!$F$5/1000)^2/4)*((Inputs!$F$5/1000/4)^(2/3))*SQRT(P95))</f>
        <v/>
      </c>
      <c r="AH95" s="4">
        <f>IF(A95="","",(1/Inputs!$B$9)*(PI()*(Inputs!$F$6/1000)^2/4)*((Inputs!$F$6/1000/4)^(2/3))*SQRT(P95))</f>
        <v/>
      </c>
      <c r="AI95" s="4">
        <f>IF(A95="","",(1/Inputs!$B$9)*(PI()*(Inputs!$F$7/1000)^2/4)*((Inputs!$F$7/1000/4)^(2/3))*SQRT(P95))</f>
        <v/>
      </c>
      <c r="AJ95" s="4">
        <f>IF(A95="","",(1/Inputs!$B$9)*(PI()*(Inputs!$F$8/1000)^2/4)*((Inputs!$F$8/1000/4)^(2/3))*SQRT(P95))</f>
        <v/>
      </c>
      <c r="AK95" s="4">
        <f>IF(A95="","",(1/Inputs!$B$9)*(PI()*(Inputs!$F$9/1000)^2/4)*((Inputs!$F$9/1000/4)^(2/3))*SQRT(P95))</f>
        <v/>
      </c>
      <c r="AL95" s="4">
        <f>IF(A95="","",(1/Inputs!$B$9)*(PI()*(Inputs!$F$10/1000)^2/4)*((Inputs!$F$10/1000/4)^(2/3))*SQRT(P95))</f>
        <v/>
      </c>
      <c r="AM95" s="4">
        <f>IF(A95="","",(1/Inputs!$B$9)*(PI()*(Inputs!$F$11/1000)^2/4)*((Inputs!$F$11/1000/4)^(2/3))*SQRT(P95))</f>
        <v/>
      </c>
      <c r="AN95" s="4">
        <f>IF(A95="","",(1/Inputs!$B$9)*(PI()*(Inputs!$F$12/1000)^2/4)*((Inputs!$F$12/1000/4)^(2/3))*SQRT(P95))</f>
        <v/>
      </c>
      <c r="AO95" s="4">
        <f>IF(A95="","",(1/Inputs!$B$9)*(PI()*(Inputs!$F$13/1000)^2/4)*((Inputs!$F$13/1000/4)^(2/3))*SQRT(P95))</f>
        <v/>
      </c>
      <c r="AP95" s="4">
        <f>IF(A95="","",(1/Inputs!$B$9)*(PI()*(Inputs!$F$14/1000)^2/4)*((Inputs!$F$14/1000/4)^(2/3))*SQRT(P95))</f>
        <v/>
      </c>
    </row>
    <row r="96">
      <c r="A96" s="4" t="n"/>
      <c r="B96" s="4" t="n"/>
      <c r="C96" s="4" t="n"/>
      <c r="D96" s="4" t="n"/>
      <c r="E96" s="8" t="n"/>
      <c r="F96" s="8" t="n"/>
      <c r="G96" s="8">
        <f>SUMIFS(CB_plan!$C:$C,CB_plan!$B:$B,$A96)</f>
        <v/>
      </c>
      <c r="H96" s="8">
        <f>IF(F96="",G96,F96)</f>
        <v/>
      </c>
      <c r="I96" s="4" t="n"/>
      <c r="J96" s="8" t="n"/>
      <c r="K96" s="8">
        <f>IF(A96="","",Inputs!$B$13/((IF(J96="",Inputs!$B$18,J96)+Inputs!$B$14)^Inputs!$B$15))</f>
        <v/>
      </c>
      <c r="L96" s="8">
        <f>IF(A96="","",0.00278*IF(I96="",Inputs!$B$17,I96)*H96*K96)</f>
        <v/>
      </c>
      <c r="M96" s="8">
        <f>IF(A96="","",SUMIFS($N$4:$N$203,$D$4:$D$203,$A96))</f>
        <v/>
      </c>
      <c r="N96" s="8">
        <f>IF(A96="","",(L96+M96)*Inputs!$B$16)</f>
        <v/>
      </c>
      <c r="O96" s="8" t="n"/>
      <c r="P96" s="8">
        <f>IF(A96="","",IF(O96="",Inputs!$B$7,O96))</f>
        <v/>
      </c>
      <c r="Q96" s="4">
        <f>IF(A96="","",IF(N96/Inputs!$B$10&lt;=AG96,Inputs!$F$5,IF(N96/Inputs!$B$10&gt;AP96,"OVERSIZE",INDEX(Inputs!$F$5:$F$14,MATCH(N96/Inputs!$B$10,AG96:AP96,1)+1))))</f>
        <v/>
      </c>
      <c r="R96" s="4" t="n"/>
      <c r="S96" s="4">
        <f>IF(A96="","",IF(R96="",Q96,R96))</f>
        <v/>
      </c>
      <c r="T96" s="8">
        <f>IF(OR(S96="",S96="OVERSIZE"),"",S96/1000)</f>
        <v/>
      </c>
      <c r="U96" s="8">
        <f>IF(T96="","",(1/Inputs!$B$9)*(PI()*T96^2/4)*((T96/4)^(2/3))*SQRT(P96))</f>
        <v/>
      </c>
      <c r="V96" s="8">
        <f>IF(OR(U96="",N96=""),"",N96/(U96*Inputs!$B$10))</f>
        <v/>
      </c>
      <c r="W96" s="8">
        <f>IF(OR(T96="",N96=""),"",4*N96/(PI()*T96^2))</f>
        <v/>
      </c>
      <c r="X96" s="8" t="n"/>
      <c r="Y96" s="8">
        <f>IF(A96="","",IF(A96=Inputs!$B$6,Inputs!$B$22,IF(D96="","",IFERROR(INDEX($Z$4:$Z$203,MATCH(D96,$A$4:$A$203,0))+IF(X96="",Inputs!$B$20,X96),""))))</f>
        <v/>
      </c>
      <c r="Z96" s="8">
        <f>IF(OR(Y96="",P96="",E96=""),"",Y96+P96*E96)</f>
        <v/>
      </c>
      <c r="AA96" s="8">
        <f>IF(C96="","",IFERROR(INDEX(Noeuds_plan!$C$4:$C$200,MATCH(C96,Noeuds_plan!$A$4:$A$200,0)),""))</f>
        <v/>
      </c>
      <c r="AB96" s="8">
        <f>IF(B96="","",IFERROR(INDEX(Noeuds_plan!$C$4:$C$200,MATCH(B96,Noeuds_plan!$A$4:$A$200,0)),""))</f>
        <v/>
      </c>
      <c r="AC96" s="8">
        <f>IF(OR(AA96="",Y96=""),"",AA96-Y96)</f>
        <v/>
      </c>
      <c r="AD96" s="8">
        <f>IF(OR(AB96="",Z96=""),"",AB96-Z96)</f>
        <v/>
      </c>
      <c r="AE96" s="4">
        <f>IF(A96="","",IF(OR(V96&gt;1,W96&lt;Inputs!$B$11,W96&gt;Inputs!$B$12,AC96&lt;Inputs!$B$19,AD96&lt;Inputs!$B$19,P96&lt;Inputs!$B$7,P96&gt;Inputs!$B$8),"CHECK","OK"))</f>
        <v/>
      </c>
      <c r="AF96" s="4" t="n"/>
      <c r="AG96" s="4">
        <f>IF(A96="","",(1/Inputs!$B$9)*(PI()*(Inputs!$F$5/1000)^2/4)*((Inputs!$F$5/1000/4)^(2/3))*SQRT(P96))</f>
        <v/>
      </c>
      <c r="AH96" s="4">
        <f>IF(A96="","",(1/Inputs!$B$9)*(PI()*(Inputs!$F$6/1000)^2/4)*((Inputs!$F$6/1000/4)^(2/3))*SQRT(P96))</f>
        <v/>
      </c>
      <c r="AI96" s="4">
        <f>IF(A96="","",(1/Inputs!$B$9)*(PI()*(Inputs!$F$7/1000)^2/4)*((Inputs!$F$7/1000/4)^(2/3))*SQRT(P96))</f>
        <v/>
      </c>
      <c r="AJ96" s="4">
        <f>IF(A96="","",(1/Inputs!$B$9)*(PI()*(Inputs!$F$8/1000)^2/4)*((Inputs!$F$8/1000/4)^(2/3))*SQRT(P96))</f>
        <v/>
      </c>
      <c r="AK96" s="4">
        <f>IF(A96="","",(1/Inputs!$B$9)*(PI()*(Inputs!$F$9/1000)^2/4)*((Inputs!$F$9/1000/4)^(2/3))*SQRT(P96))</f>
        <v/>
      </c>
      <c r="AL96" s="4">
        <f>IF(A96="","",(1/Inputs!$B$9)*(PI()*(Inputs!$F$10/1000)^2/4)*((Inputs!$F$10/1000/4)^(2/3))*SQRT(P96))</f>
        <v/>
      </c>
      <c r="AM96" s="4">
        <f>IF(A96="","",(1/Inputs!$B$9)*(PI()*(Inputs!$F$11/1000)^2/4)*((Inputs!$F$11/1000/4)^(2/3))*SQRT(P96))</f>
        <v/>
      </c>
      <c r="AN96" s="4">
        <f>IF(A96="","",(1/Inputs!$B$9)*(PI()*(Inputs!$F$12/1000)^2/4)*((Inputs!$F$12/1000/4)^(2/3))*SQRT(P96))</f>
        <v/>
      </c>
      <c r="AO96" s="4">
        <f>IF(A96="","",(1/Inputs!$B$9)*(PI()*(Inputs!$F$13/1000)^2/4)*((Inputs!$F$13/1000/4)^(2/3))*SQRT(P96))</f>
        <v/>
      </c>
      <c r="AP96" s="4">
        <f>IF(A96="","",(1/Inputs!$B$9)*(PI()*(Inputs!$F$14/1000)^2/4)*((Inputs!$F$14/1000/4)^(2/3))*SQRT(P96))</f>
        <v/>
      </c>
    </row>
    <row r="97">
      <c r="A97" s="4" t="n"/>
      <c r="B97" s="4" t="n"/>
      <c r="C97" s="4" t="n"/>
      <c r="D97" s="4" t="n"/>
      <c r="E97" s="8" t="n"/>
      <c r="F97" s="8" t="n"/>
      <c r="G97" s="8">
        <f>SUMIFS(CB_plan!$C:$C,CB_plan!$B:$B,$A97)</f>
        <v/>
      </c>
      <c r="H97" s="8">
        <f>IF(F97="",G97,F97)</f>
        <v/>
      </c>
      <c r="I97" s="4" t="n"/>
      <c r="J97" s="8" t="n"/>
      <c r="K97" s="8">
        <f>IF(A97="","",Inputs!$B$13/((IF(J97="",Inputs!$B$18,J97)+Inputs!$B$14)^Inputs!$B$15))</f>
        <v/>
      </c>
      <c r="L97" s="8">
        <f>IF(A97="","",0.00278*IF(I97="",Inputs!$B$17,I97)*H97*K97)</f>
        <v/>
      </c>
      <c r="M97" s="8">
        <f>IF(A97="","",SUMIFS($N$4:$N$203,$D$4:$D$203,$A97))</f>
        <v/>
      </c>
      <c r="N97" s="8">
        <f>IF(A97="","",(L97+M97)*Inputs!$B$16)</f>
        <v/>
      </c>
      <c r="O97" s="8" t="n"/>
      <c r="P97" s="8">
        <f>IF(A97="","",IF(O97="",Inputs!$B$7,O97))</f>
        <v/>
      </c>
      <c r="Q97" s="4">
        <f>IF(A97="","",IF(N97/Inputs!$B$10&lt;=AG97,Inputs!$F$5,IF(N97/Inputs!$B$10&gt;AP97,"OVERSIZE",INDEX(Inputs!$F$5:$F$14,MATCH(N97/Inputs!$B$10,AG97:AP97,1)+1))))</f>
        <v/>
      </c>
      <c r="R97" s="4" t="n"/>
      <c r="S97" s="4">
        <f>IF(A97="","",IF(R97="",Q97,R97))</f>
        <v/>
      </c>
      <c r="T97" s="8">
        <f>IF(OR(S97="",S97="OVERSIZE"),"",S97/1000)</f>
        <v/>
      </c>
      <c r="U97" s="8">
        <f>IF(T97="","",(1/Inputs!$B$9)*(PI()*T97^2/4)*((T97/4)^(2/3))*SQRT(P97))</f>
        <v/>
      </c>
      <c r="V97" s="8">
        <f>IF(OR(U97="",N97=""),"",N97/(U97*Inputs!$B$10))</f>
        <v/>
      </c>
      <c r="W97" s="8">
        <f>IF(OR(T97="",N97=""),"",4*N97/(PI()*T97^2))</f>
        <v/>
      </c>
      <c r="X97" s="8" t="n"/>
      <c r="Y97" s="8">
        <f>IF(A97="","",IF(A97=Inputs!$B$6,Inputs!$B$22,IF(D97="","",IFERROR(INDEX($Z$4:$Z$203,MATCH(D97,$A$4:$A$203,0))+IF(X97="",Inputs!$B$20,X97),""))))</f>
        <v/>
      </c>
      <c r="Z97" s="8">
        <f>IF(OR(Y97="",P97="",E97=""),"",Y97+P97*E97)</f>
        <v/>
      </c>
      <c r="AA97" s="8">
        <f>IF(C97="","",IFERROR(INDEX(Noeuds_plan!$C$4:$C$200,MATCH(C97,Noeuds_plan!$A$4:$A$200,0)),""))</f>
        <v/>
      </c>
      <c r="AB97" s="8">
        <f>IF(B97="","",IFERROR(INDEX(Noeuds_plan!$C$4:$C$200,MATCH(B97,Noeuds_plan!$A$4:$A$200,0)),""))</f>
        <v/>
      </c>
      <c r="AC97" s="8">
        <f>IF(OR(AA97="",Y97=""),"",AA97-Y97)</f>
        <v/>
      </c>
      <c r="AD97" s="8">
        <f>IF(OR(AB97="",Z97=""),"",AB97-Z97)</f>
        <v/>
      </c>
      <c r="AE97" s="4">
        <f>IF(A97="","",IF(OR(V97&gt;1,W97&lt;Inputs!$B$11,W97&gt;Inputs!$B$12,AC97&lt;Inputs!$B$19,AD97&lt;Inputs!$B$19,P97&lt;Inputs!$B$7,P97&gt;Inputs!$B$8),"CHECK","OK"))</f>
        <v/>
      </c>
      <c r="AF97" s="4" t="n"/>
      <c r="AG97" s="4">
        <f>IF(A97="","",(1/Inputs!$B$9)*(PI()*(Inputs!$F$5/1000)^2/4)*((Inputs!$F$5/1000/4)^(2/3))*SQRT(P97))</f>
        <v/>
      </c>
      <c r="AH97" s="4">
        <f>IF(A97="","",(1/Inputs!$B$9)*(PI()*(Inputs!$F$6/1000)^2/4)*((Inputs!$F$6/1000/4)^(2/3))*SQRT(P97))</f>
        <v/>
      </c>
      <c r="AI97" s="4">
        <f>IF(A97="","",(1/Inputs!$B$9)*(PI()*(Inputs!$F$7/1000)^2/4)*((Inputs!$F$7/1000/4)^(2/3))*SQRT(P97))</f>
        <v/>
      </c>
      <c r="AJ97" s="4">
        <f>IF(A97="","",(1/Inputs!$B$9)*(PI()*(Inputs!$F$8/1000)^2/4)*((Inputs!$F$8/1000/4)^(2/3))*SQRT(P97))</f>
        <v/>
      </c>
      <c r="AK97" s="4">
        <f>IF(A97="","",(1/Inputs!$B$9)*(PI()*(Inputs!$F$9/1000)^2/4)*((Inputs!$F$9/1000/4)^(2/3))*SQRT(P97))</f>
        <v/>
      </c>
      <c r="AL97" s="4">
        <f>IF(A97="","",(1/Inputs!$B$9)*(PI()*(Inputs!$F$10/1000)^2/4)*((Inputs!$F$10/1000/4)^(2/3))*SQRT(P97))</f>
        <v/>
      </c>
      <c r="AM97" s="4">
        <f>IF(A97="","",(1/Inputs!$B$9)*(PI()*(Inputs!$F$11/1000)^2/4)*((Inputs!$F$11/1000/4)^(2/3))*SQRT(P97))</f>
        <v/>
      </c>
      <c r="AN97" s="4">
        <f>IF(A97="","",(1/Inputs!$B$9)*(PI()*(Inputs!$F$12/1000)^2/4)*((Inputs!$F$12/1000/4)^(2/3))*SQRT(P97))</f>
        <v/>
      </c>
      <c r="AO97" s="4">
        <f>IF(A97="","",(1/Inputs!$B$9)*(PI()*(Inputs!$F$13/1000)^2/4)*((Inputs!$F$13/1000/4)^(2/3))*SQRT(P97))</f>
        <v/>
      </c>
      <c r="AP97" s="4">
        <f>IF(A97="","",(1/Inputs!$B$9)*(PI()*(Inputs!$F$14/1000)^2/4)*((Inputs!$F$14/1000/4)^(2/3))*SQRT(P97))</f>
        <v/>
      </c>
    </row>
    <row r="98">
      <c r="A98" s="4" t="n"/>
      <c r="B98" s="4" t="n"/>
      <c r="C98" s="4" t="n"/>
      <c r="D98" s="4" t="n"/>
      <c r="E98" s="8" t="n"/>
      <c r="F98" s="8" t="n"/>
      <c r="G98" s="8">
        <f>SUMIFS(CB_plan!$C:$C,CB_plan!$B:$B,$A98)</f>
        <v/>
      </c>
      <c r="H98" s="8">
        <f>IF(F98="",G98,F98)</f>
        <v/>
      </c>
      <c r="I98" s="4" t="n"/>
      <c r="J98" s="8" t="n"/>
      <c r="K98" s="8">
        <f>IF(A98="","",Inputs!$B$13/((IF(J98="",Inputs!$B$18,J98)+Inputs!$B$14)^Inputs!$B$15))</f>
        <v/>
      </c>
      <c r="L98" s="8">
        <f>IF(A98="","",0.00278*IF(I98="",Inputs!$B$17,I98)*H98*K98)</f>
        <v/>
      </c>
      <c r="M98" s="8">
        <f>IF(A98="","",SUMIFS($N$4:$N$203,$D$4:$D$203,$A98))</f>
        <v/>
      </c>
      <c r="N98" s="8">
        <f>IF(A98="","",(L98+M98)*Inputs!$B$16)</f>
        <v/>
      </c>
      <c r="O98" s="8" t="n"/>
      <c r="P98" s="8">
        <f>IF(A98="","",IF(O98="",Inputs!$B$7,O98))</f>
        <v/>
      </c>
      <c r="Q98" s="4">
        <f>IF(A98="","",IF(N98/Inputs!$B$10&lt;=AG98,Inputs!$F$5,IF(N98/Inputs!$B$10&gt;AP98,"OVERSIZE",INDEX(Inputs!$F$5:$F$14,MATCH(N98/Inputs!$B$10,AG98:AP98,1)+1))))</f>
        <v/>
      </c>
      <c r="R98" s="4" t="n"/>
      <c r="S98" s="4">
        <f>IF(A98="","",IF(R98="",Q98,R98))</f>
        <v/>
      </c>
      <c r="T98" s="8">
        <f>IF(OR(S98="",S98="OVERSIZE"),"",S98/1000)</f>
        <v/>
      </c>
      <c r="U98" s="8">
        <f>IF(T98="","",(1/Inputs!$B$9)*(PI()*T98^2/4)*((T98/4)^(2/3))*SQRT(P98))</f>
        <v/>
      </c>
      <c r="V98" s="8">
        <f>IF(OR(U98="",N98=""),"",N98/(U98*Inputs!$B$10))</f>
        <v/>
      </c>
      <c r="W98" s="8">
        <f>IF(OR(T98="",N98=""),"",4*N98/(PI()*T98^2))</f>
        <v/>
      </c>
      <c r="X98" s="8" t="n"/>
      <c r="Y98" s="8">
        <f>IF(A98="","",IF(A98=Inputs!$B$6,Inputs!$B$22,IF(D98="","",IFERROR(INDEX($Z$4:$Z$203,MATCH(D98,$A$4:$A$203,0))+IF(X98="",Inputs!$B$20,X98),""))))</f>
        <v/>
      </c>
      <c r="Z98" s="8">
        <f>IF(OR(Y98="",P98="",E98=""),"",Y98+P98*E98)</f>
        <v/>
      </c>
      <c r="AA98" s="8">
        <f>IF(C98="","",IFERROR(INDEX(Noeuds_plan!$C$4:$C$200,MATCH(C98,Noeuds_plan!$A$4:$A$200,0)),""))</f>
        <v/>
      </c>
      <c r="AB98" s="8">
        <f>IF(B98="","",IFERROR(INDEX(Noeuds_plan!$C$4:$C$200,MATCH(B98,Noeuds_plan!$A$4:$A$200,0)),""))</f>
        <v/>
      </c>
      <c r="AC98" s="8">
        <f>IF(OR(AA98="",Y98=""),"",AA98-Y98)</f>
        <v/>
      </c>
      <c r="AD98" s="8">
        <f>IF(OR(AB98="",Z98=""),"",AB98-Z98)</f>
        <v/>
      </c>
      <c r="AE98" s="4">
        <f>IF(A98="","",IF(OR(V98&gt;1,W98&lt;Inputs!$B$11,W98&gt;Inputs!$B$12,AC98&lt;Inputs!$B$19,AD98&lt;Inputs!$B$19,P98&lt;Inputs!$B$7,P98&gt;Inputs!$B$8),"CHECK","OK"))</f>
        <v/>
      </c>
      <c r="AF98" s="4" t="n"/>
      <c r="AG98" s="4">
        <f>IF(A98="","",(1/Inputs!$B$9)*(PI()*(Inputs!$F$5/1000)^2/4)*((Inputs!$F$5/1000/4)^(2/3))*SQRT(P98))</f>
        <v/>
      </c>
      <c r="AH98" s="4">
        <f>IF(A98="","",(1/Inputs!$B$9)*(PI()*(Inputs!$F$6/1000)^2/4)*((Inputs!$F$6/1000/4)^(2/3))*SQRT(P98))</f>
        <v/>
      </c>
      <c r="AI98" s="4">
        <f>IF(A98="","",(1/Inputs!$B$9)*(PI()*(Inputs!$F$7/1000)^2/4)*((Inputs!$F$7/1000/4)^(2/3))*SQRT(P98))</f>
        <v/>
      </c>
      <c r="AJ98" s="4">
        <f>IF(A98="","",(1/Inputs!$B$9)*(PI()*(Inputs!$F$8/1000)^2/4)*((Inputs!$F$8/1000/4)^(2/3))*SQRT(P98))</f>
        <v/>
      </c>
      <c r="AK98" s="4">
        <f>IF(A98="","",(1/Inputs!$B$9)*(PI()*(Inputs!$F$9/1000)^2/4)*((Inputs!$F$9/1000/4)^(2/3))*SQRT(P98))</f>
        <v/>
      </c>
      <c r="AL98" s="4">
        <f>IF(A98="","",(1/Inputs!$B$9)*(PI()*(Inputs!$F$10/1000)^2/4)*((Inputs!$F$10/1000/4)^(2/3))*SQRT(P98))</f>
        <v/>
      </c>
      <c r="AM98" s="4">
        <f>IF(A98="","",(1/Inputs!$B$9)*(PI()*(Inputs!$F$11/1000)^2/4)*((Inputs!$F$11/1000/4)^(2/3))*SQRT(P98))</f>
        <v/>
      </c>
      <c r="AN98" s="4">
        <f>IF(A98="","",(1/Inputs!$B$9)*(PI()*(Inputs!$F$12/1000)^2/4)*((Inputs!$F$12/1000/4)^(2/3))*SQRT(P98))</f>
        <v/>
      </c>
      <c r="AO98" s="4">
        <f>IF(A98="","",(1/Inputs!$B$9)*(PI()*(Inputs!$F$13/1000)^2/4)*((Inputs!$F$13/1000/4)^(2/3))*SQRT(P98))</f>
        <v/>
      </c>
      <c r="AP98" s="4">
        <f>IF(A98="","",(1/Inputs!$B$9)*(PI()*(Inputs!$F$14/1000)^2/4)*((Inputs!$F$14/1000/4)^(2/3))*SQRT(P98))</f>
        <v/>
      </c>
    </row>
    <row r="99">
      <c r="A99" s="4" t="n"/>
      <c r="B99" s="4" t="n"/>
      <c r="C99" s="4" t="n"/>
      <c r="D99" s="4" t="n"/>
      <c r="E99" s="8" t="n"/>
      <c r="F99" s="8" t="n"/>
      <c r="G99" s="8">
        <f>SUMIFS(CB_plan!$C:$C,CB_plan!$B:$B,$A99)</f>
        <v/>
      </c>
      <c r="H99" s="8">
        <f>IF(F99="",G99,F99)</f>
        <v/>
      </c>
      <c r="I99" s="4" t="n"/>
      <c r="J99" s="8" t="n"/>
      <c r="K99" s="8">
        <f>IF(A99="","",Inputs!$B$13/((IF(J99="",Inputs!$B$18,J99)+Inputs!$B$14)^Inputs!$B$15))</f>
        <v/>
      </c>
      <c r="L99" s="8">
        <f>IF(A99="","",0.00278*IF(I99="",Inputs!$B$17,I99)*H99*K99)</f>
        <v/>
      </c>
      <c r="M99" s="8">
        <f>IF(A99="","",SUMIFS($N$4:$N$203,$D$4:$D$203,$A99))</f>
        <v/>
      </c>
      <c r="N99" s="8">
        <f>IF(A99="","",(L99+M99)*Inputs!$B$16)</f>
        <v/>
      </c>
      <c r="O99" s="8" t="n"/>
      <c r="P99" s="8">
        <f>IF(A99="","",IF(O99="",Inputs!$B$7,O99))</f>
        <v/>
      </c>
      <c r="Q99" s="4">
        <f>IF(A99="","",IF(N99/Inputs!$B$10&lt;=AG99,Inputs!$F$5,IF(N99/Inputs!$B$10&gt;AP99,"OVERSIZE",INDEX(Inputs!$F$5:$F$14,MATCH(N99/Inputs!$B$10,AG99:AP99,1)+1))))</f>
        <v/>
      </c>
      <c r="R99" s="4" t="n"/>
      <c r="S99" s="4">
        <f>IF(A99="","",IF(R99="",Q99,R99))</f>
        <v/>
      </c>
      <c r="T99" s="8">
        <f>IF(OR(S99="",S99="OVERSIZE"),"",S99/1000)</f>
        <v/>
      </c>
      <c r="U99" s="8">
        <f>IF(T99="","",(1/Inputs!$B$9)*(PI()*T99^2/4)*((T99/4)^(2/3))*SQRT(P99))</f>
        <v/>
      </c>
      <c r="V99" s="8">
        <f>IF(OR(U99="",N99=""),"",N99/(U99*Inputs!$B$10))</f>
        <v/>
      </c>
      <c r="W99" s="8">
        <f>IF(OR(T99="",N99=""),"",4*N99/(PI()*T99^2))</f>
        <v/>
      </c>
      <c r="X99" s="8" t="n"/>
      <c r="Y99" s="8">
        <f>IF(A99="","",IF(A99=Inputs!$B$6,Inputs!$B$22,IF(D99="","",IFERROR(INDEX($Z$4:$Z$203,MATCH(D99,$A$4:$A$203,0))+IF(X99="",Inputs!$B$20,X99),""))))</f>
        <v/>
      </c>
      <c r="Z99" s="8">
        <f>IF(OR(Y99="",P99="",E99=""),"",Y99+P99*E99)</f>
        <v/>
      </c>
      <c r="AA99" s="8">
        <f>IF(C99="","",IFERROR(INDEX(Noeuds_plan!$C$4:$C$200,MATCH(C99,Noeuds_plan!$A$4:$A$200,0)),""))</f>
        <v/>
      </c>
      <c r="AB99" s="8">
        <f>IF(B99="","",IFERROR(INDEX(Noeuds_plan!$C$4:$C$200,MATCH(B99,Noeuds_plan!$A$4:$A$200,0)),""))</f>
        <v/>
      </c>
      <c r="AC99" s="8">
        <f>IF(OR(AA99="",Y99=""),"",AA99-Y99)</f>
        <v/>
      </c>
      <c r="AD99" s="8">
        <f>IF(OR(AB99="",Z99=""),"",AB99-Z99)</f>
        <v/>
      </c>
      <c r="AE99" s="4">
        <f>IF(A99="","",IF(OR(V99&gt;1,W99&lt;Inputs!$B$11,W99&gt;Inputs!$B$12,AC99&lt;Inputs!$B$19,AD99&lt;Inputs!$B$19,P99&lt;Inputs!$B$7,P99&gt;Inputs!$B$8),"CHECK","OK"))</f>
        <v/>
      </c>
      <c r="AF99" s="4" t="n"/>
      <c r="AG99" s="4">
        <f>IF(A99="","",(1/Inputs!$B$9)*(PI()*(Inputs!$F$5/1000)^2/4)*((Inputs!$F$5/1000/4)^(2/3))*SQRT(P99))</f>
        <v/>
      </c>
      <c r="AH99" s="4">
        <f>IF(A99="","",(1/Inputs!$B$9)*(PI()*(Inputs!$F$6/1000)^2/4)*((Inputs!$F$6/1000/4)^(2/3))*SQRT(P99))</f>
        <v/>
      </c>
      <c r="AI99" s="4">
        <f>IF(A99="","",(1/Inputs!$B$9)*(PI()*(Inputs!$F$7/1000)^2/4)*((Inputs!$F$7/1000/4)^(2/3))*SQRT(P99))</f>
        <v/>
      </c>
      <c r="AJ99" s="4">
        <f>IF(A99="","",(1/Inputs!$B$9)*(PI()*(Inputs!$F$8/1000)^2/4)*((Inputs!$F$8/1000/4)^(2/3))*SQRT(P99))</f>
        <v/>
      </c>
      <c r="AK99" s="4">
        <f>IF(A99="","",(1/Inputs!$B$9)*(PI()*(Inputs!$F$9/1000)^2/4)*((Inputs!$F$9/1000/4)^(2/3))*SQRT(P99))</f>
        <v/>
      </c>
      <c r="AL99" s="4">
        <f>IF(A99="","",(1/Inputs!$B$9)*(PI()*(Inputs!$F$10/1000)^2/4)*((Inputs!$F$10/1000/4)^(2/3))*SQRT(P99))</f>
        <v/>
      </c>
      <c r="AM99" s="4">
        <f>IF(A99="","",(1/Inputs!$B$9)*(PI()*(Inputs!$F$11/1000)^2/4)*((Inputs!$F$11/1000/4)^(2/3))*SQRT(P99))</f>
        <v/>
      </c>
      <c r="AN99" s="4">
        <f>IF(A99="","",(1/Inputs!$B$9)*(PI()*(Inputs!$F$12/1000)^2/4)*((Inputs!$F$12/1000/4)^(2/3))*SQRT(P99))</f>
        <v/>
      </c>
      <c r="AO99" s="4">
        <f>IF(A99="","",(1/Inputs!$B$9)*(PI()*(Inputs!$F$13/1000)^2/4)*((Inputs!$F$13/1000/4)^(2/3))*SQRT(P99))</f>
        <v/>
      </c>
      <c r="AP99" s="4">
        <f>IF(A99="","",(1/Inputs!$B$9)*(PI()*(Inputs!$F$14/1000)^2/4)*((Inputs!$F$14/1000/4)^(2/3))*SQRT(P99))</f>
        <v/>
      </c>
    </row>
    <row r="100">
      <c r="A100" s="4" t="n"/>
      <c r="B100" s="4" t="n"/>
      <c r="C100" s="4" t="n"/>
      <c r="D100" s="4" t="n"/>
      <c r="E100" s="8" t="n"/>
      <c r="F100" s="8" t="n"/>
      <c r="G100" s="8">
        <f>SUMIFS(CB_plan!$C:$C,CB_plan!$B:$B,$A100)</f>
        <v/>
      </c>
      <c r="H100" s="8">
        <f>IF(F100="",G100,F100)</f>
        <v/>
      </c>
      <c r="I100" s="4" t="n"/>
      <c r="J100" s="8" t="n"/>
      <c r="K100" s="8">
        <f>IF(A100="","",Inputs!$B$13/((IF(J100="",Inputs!$B$18,J100)+Inputs!$B$14)^Inputs!$B$15))</f>
        <v/>
      </c>
      <c r="L100" s="8">
        <f>IF(A100="","",0.00278*IF(I100="",Inputs!$B$17,I100)*H100*K100)</f>
        <v/>
      </c>
      <c r="M100" s="8">
        <f>IF(A100="","",SUMIFS($N$4:$N$203,$D$4:$D$203,$A100))</f>
        <v/>
      </c>
      <c r="N100" s="8">
        <f>IF(A100="","",(L100+M100)*Inputs!$B$16)</f>
        <v/>
      </c>
      <c r="O100" s="8" t="n"/>
      <c r="P100" s="8">
        <f>IF(A100="","",IF(O100="",Inputs!$B$7,O100))</f>
        <v/>
      </c>
      <c r="Q100" s="4">
        <f>IF(A100="","",IF(N100/Inputs!$B$10&lt;=AG100,Inputs!$F$5,IF(N100/Inputs!$B$10&gt;AP100,"OVERSIZE",INDEX(Inputs!$F$5:$F$14,MATCH(N100/Inputs!$B$10,AG100:AP100,1)+1))))</f>
        <v/>
      </c>
      <c r="R100" s="4" t="n"/>
      <c r="S100" s="4">
        <f>IF(A100="","",IF(R100="",Q100,R100))</f>
        <v/>
      </c>
      <c r="T100" s="8">
        <f>IF(OR(S100="",S100="OVERSIZE"),"",S100/1000)</f>
        <v/>
      </c>
      <c r="U100" s="8">
        <f>IF(T100="","",(1/Inputs!$B$9)*(PI()*T100^2/4)*((T100/4)^(2/3))*SQRT(P100))</f>
        <v/>
      </c>
      <c r="V100" s="8">
        <f>IF(OR(U100="",N100=""),"",N100/(U100*Inputs!$B$10))</f>
        <v/>
      </c>
      <c r="W100" s="8">
        <f>IF(OR(T100="",N100=""),"",4*N100/(PI()*T100^2))</f>
        <v/>
      </c>
      <c r="X100" s="8" t="n"/>
      <c r="Y100" s="8">
        <f>IF(A100="","",IF(A100=Inputs!$B$6,Inputs!$B$22,IF(D100="","",IFERROR(INDEX($Z$4:$Z$203,MATCH(D100,$A$4:$A$203,0))+IF(X100="",Inputs!$B$20,X100),""))))</f>
        <v/>
      </c>
      <c r="Z100" s="8">
        <f>IF(OR(Y100="",P100="",E100=""),"",Y100+P100*E100)</f>
        <v/>
      </c>
      <c r="AA100" s="8">
        <f>IF(C100="","",IFERROR(INDEX(Noeuds_plan!$C$4:$C$200,MATCH(C100,Noeuds_plan!$A$4:$A$200,0)),""))</f>
        <v/>
      </c>
      <c r="AB100" s="8">
        <f>IF(B100="","",IFERROR(INDEX(Noeuds_plan!$C$4:$C$200,MATCH(B100,Noeuds_plan!$A$4:$A$200,0)),""))</f>
        <v/>
      </c>
      <c r="AC100" s="8">
        <f>IF(OR(AA100="",Y100=""),"",AA100-Y100)</f>
        <v/>
      </c>
      <c r="AD100" s="8">
        <f>IF(OR(AB100="",Z100=""),"",AB100-Z100)</f>
        <v/>
      </c>
      <c r="AE100" s="4">
        <f>IF(A100="","",IF(OR(V100&gt;1,W100&lt;Inputs!$B$11,W100&gt;Inputs!$B$12,AC100&lt;Inputs!$B$19,AD100&lt;Inputs!$B$19,P100&lt;Inputs!$B$7,P100&gt;Inputs!$B$8),"CHECK","OK"))</f>
        <v/>
      </c>
      <c r="AF100" s="4" t="n"/>
      <c r="AG100" s="4">
        <f>IF(A100="","",(1/Inputs!$B$9)*(PI()*(Inputs!$F$5/1000)^2/4)*((Inputs!$F$5/1000/4)^(2/3))*SQRT(P100))</f>
        <v/>
      </c>
      <c r="AH100" s="4">
        <f>IF(A100="","",(1/Inputs!$B$9)*(PI()*(Inputs!$F$6/1000)^2/4)*((Inputs!$F$6/1000/4)^(2/3))*SQRT(P100))</f>
        <v/>
      </c>
      <c r="AI100" s="4">
        <f>IF(A100="","",(1/Inputs!$B$9)*(PI()*(Inputs!$F$7/1000)^2/4)*((Inputs!$F$7/1000/4)^(2/3))*SQRT(P100))</f>
        <v/>
      </c>
      <c r="AJ100" s="4">
        <f>IF(A100="","",(1/Inputs!$B$9)*(PI()*(Inputs!$F$8/1000)^2/4)*((Inputs!$F$8/1000/4)^(2/3))*SQRT(P100))</f>
        <v/>
      </c>
      <c r="AK100" s="4">
        <f>IF(A100="","",(1/Inputs!$B$9)*(PI()*(Inputs!$F$9/1000)^2/4)*((Inputs!$F$9/1000/4)^(2/3))*SQRT(P100))</f>
        <v/>
      </c>
      <c r="AL100" s="4">
        <f>IF(A100="","",(1/Inputs!$B$9)*(PI()*(Inputs!$F$10/1000)^2/4)*((Inputs!$F$10/1000/4)^(2/3))*SQRT(P100))</f>
        <v/>
      </c>
      <c r="AM100" s="4">
        <f>IF(A100="","",(1/Inputs!$B$9)*(PI()*(Inputs!$F$11/1000)^2/4)*((Inputs!$F$11/1000/4)^(2/3))*SQRT(P100))</f>
        <v/>
      </c>
      <c r="AN100" s="4">
        <f>IF(A100="","",(1/Inputs!$B$9)*(PI()*(Inputs!$F$12/1000)^2/4)*((Inputs!$F$12/1000/4)^(2/3))*SQRT(P100))</f>
        <v/>
      </c>
      <c r="AO100" s="4">
        <f>IF(A100="","",(1/Inputs!$B$9)*(PI()*(Inputs!$F$13/1000)^2/4)*((Inputs!$F$13/1000/4)^(2/3))*SQRT(P100))</f>
        <v/>
      </c>
      <c r="AP100" s="4">
        <f>IF(A100="","",(1/Inputs!$B$9)*(PI()*(Inputs!$F$14/1000)^2/4)*((Inputs!$F$14/1000/4)^(2/3))*SQRT(P100))</f>
        <v/>
      </c>
    </row>
    <row r="101">
      <c r="A101" s="4" t="n"/>
      <c r="B101" s="4" t="n"/>
      <c r="C101" s="4" t="n"/>
      <c r="D101" s="4" t="n"/>
      <c r="E101" s="8" t="n"/>
      <c r="F101" s="8" t="n"/>
      <c r="G101" s="8">
        <f>SUMIFS(CB_plan!$C:$C,CB_plan!$B:$B,$A101)</f>
        <v/>
      </c>
      <c r="H101" s="8">
        <f>IF(F101="",G101,F101)</f>
        <v/>
      </c>
      <c r="I101" s="4" t="n"/>
      <c r="J101" s="8" t="n"/>
      <c r="K101" s="8">
        <f>IF(A101="","",Inputs!$B$13/((IF(J101="",Inputs!$B$18,J101)+Inputs!$B$14)^Inputs!$B$15))</f>
        <v/>
      </c>
      <c r="L101" s="8">
        <f>IF(A101="","",0.00278*IF(I101="",Inputs!$B$17,I101)*H101*K101)</f>
        <v/>
      </c>
      <c r="M101" s="8">
        <f>IF(A101="","",SUMIFS($N$4:$N$203,$D$4:$D$203,$A101))</f>
        <v/>
      </c>
      <c r="N101" s="8">
        <f>IF(A101="","",(L101+M101)*Inputs!$B$16)</f>
        <v/>
      </c>
      <c r="O101" s="8" t="n"/>
      <c r="P101" s="8">
        <f>IF(A101="","",IF(O101="",Inputs!$B$7,O101))</f>
        <v/>
      </c>
      <c r="Q101" s="4">
        <f>IF(A101="","",IF(N101/Inputs!$B$10&lt;=AG101,Inputs!$F$5,IF(N101/Inputs!$B$10&gt;AP101,"OVERSIZE",INDEX(Inputs!$F$5:$F$14,MATCH(N101/Inputs!$B$10,AG101:AP101,1)+1))))</f>
        <v/>
      </c>
      <c r="R101" s="4" t="n"/>
      <c r="S101" s="4">
        <f>IF(A101="","",IF(R101="",Q101,R101))</f>
        <v/>
      </c>
      <c r="T101" s="8">
        <f>IF(OR(S101="",S101="OVERSIZE"),"",S101/1000)</f>
        <v/>
      </c>
      <c r="U101" s="8">
        <f>IF(T101="","",(1/Inputs!$B$9)*(PI()*T101^2/4)*((T101/4)^(2/3))*SQRT(P101))</f>
        <v/>
      </c>
      <c r="V101" s="8">
        <f>IF(OR(U101="",N101=""),"",N101/(U101*Inputs!$B$10))</f>
        <v/>
      </c>
      <c r="W101" s="8">
        <f>IF(OR(T101="",N101=""),"",4*N101/(PI()*T101^2))</f>
        <v/>
      </c>
      <c r="X101" s="8" t="n"/>
      <c r="Y101" s="8">
        <f>IF(A101="","",IF(A101=Inputs!$B$6,Inputs!$B$22,IF(D101="","",IFERROR(INDEX($Z$4:$Z$203,MATCH(D101,$A$4:$A$203,0))+IF(X101="",Inputs!$B$20,X101),""))))</f>
        <v/>
      </c>
      <c r="Z101" s="8">
        <f>IF(OR(Y101="",P101="",E101=""),"",Y101+P101*E101)</f>
        <v/>
      </c>
      <c r="AA101" s="8">
        <f>IF(C101="","",IFERROR(INDEX(Noeuds_plan!$C$4:$C$200,MATCH(C101,Noeuds_plan!$A$4:$A$200,0)),""))</f>
        <v/>
      </c>
      <c r="AB101" s="8">
        <f>IF(B101="","",IFERROR(INDEX(Noeuds_plan!$C$4:$C$200,MATCH(B101,Noeuds_plan!$A$4:$A$200,0)),""))</f>
        <v/>
      </c>
      <c r="AC101" s="8">
        <f>IF(OR(AA101="",Y101=""),"",AA101-Y101)</f>
        <v/>
      </c>
      <c r="AD101" s="8">
        <f>IF(OR(AB101="",Z101=""),"",AB101-Z101)</f>
        <v/>
      </c>
      <c r="AE101" s="4">
        <f>IF(A101="","",IF(OR(V101&gt;1,W101&lt;Inputs!$B$11,W101&gt;Inputs!$B$12,AC101&lt;Inputs!$B$19,AD101&lt;Inputs!$B$19,P101&lt;Inputs!$B$7,P101&gt;Inputs!$B$8),"CHECK","OK"))</f>
        <v/>
      </c>
      <c r="AF101" s="4" t="n"/>
      <c r="AG101" s="4">
        <f>IF(A101="","",(1/Inputs!$B$9)*(PI()*(Inputs!$F$5/1000)^2/4)*((Inputs!$F$5/1000/4)^(2/3))*SQRT(P101))</f>
        <v/>
      </c>
      <c r="AH101" s="4">
        <f>IF(A101="","",(1/Inputs!$B$9)*(PI()*(Inputs!$F$6/1000)^2/4)*((Inputs!$F$6/1000/4)^(2/3))*SQRT(P101))</f>
        <v/>
      </c>
      <c r="AI101" s="4">
        <f>IF(A101="","",(1/Inputs!$B$9)*(PI()*(Inputs!$F$7/1000)^2/4)*((Inputs!$F$7/1000/4)^(2/3))*SQRT(P101))</f>
        <v/>
      </c>
      <c r="AJ101" s="4">
        <f>IF(A101="","",(1/Inputs!$B$9)*(PI()*(Inputs!$F$8/1000)^2/4)*((Inputs!$F$8/1000/4)^(2/3))*SQRT(P101))</f>
        <v/>
      </c>
      <c r="AK101" s="4">
        <f>IF(A101="","",(1/Inputs!$B$9)*(PI()*(Inputs!$F$9/1000)^2/4)*((Inputs!$F$9/1000/4)^(2/3))*SQRT(P101))</f>
        <v/>
      </c>
      <c r="AL101" s="4">
        <f>IF(A101="","",(1/Inputs!$B$9)*(PI()*(Inputs!$F$10/1000)^2/4)*((Inputs!$F$10/1000/4)^(2/3))*SQRT(P101))</f>
        <v/>
      </c>
      <c r="AM101" s="4">
        <f>IF(A101="","",(1/Inputs!$B$9)*(PI()*(Inputs!$F$11/1000)^2/4)*((Inputs!$F$11/1000/4)^(2/3))*SQRT(P101))</f>
        <v/>
      </c>
      <c r="AN101" s="4">
        <f>IF(A101="","",(1/Inputs!$B$9)*(PI()*(Inputs!$F$12/1000)^2/4)*((Inputs!$F$12/1000/4)^(2/3))*SQRT(P101))</f>
        <v/>
      </c>
      <c r="AO101" s="4">
        <f>IF(A101="","",(1/Inputs!$B$9)*(PI()*(Inputs!$F$13/1000)^2/4)*((Inputs!$F$13/1000/4)^(2/3))*SQRT(P101))</f>
        <v/>
      </c>
      <c r="AP101" s="4">
        <f>IF(A101="","",(1/Inputs!$B$9)*(PI()*(Inputs!$F$14/1000)^2/4)*((Inputs!$F$14/1000/4)^(2/3))*SQRT(P101))</f>
        <v/>
      </c>
    </row>
    <row r="102">
      <c r="A102" s="4" t="n"/>
      <c r="B102" s="4" t="n"/>
      <c r="C102" s="4" t="n"/>
      <c r="D102" s="4" t="n"/>
      <c r="E102" s="8" t="n"/>
      <c r="F102" s="8" t="n"/>
      <c r="G102" s="8">
        <f>SUMIFS(CB_plan!$C:$C,CB_plan!$B:$B,$A102)</f>
        <v/>
      </c>
      <c r="H102" s="8">
        <f>IF(F102="",G102,F102)</f>
        <v/>
      </c>
      <c r="I102" s="4" t="n"/>
      <c r="J102" s="8" t="n"/>
      <c r="K102" s="8">
        <f>IF(A102="","",Inputs!$B$13/((IF(J102="",Inputs!$B$18,J102)+Inputs!$B$14)^Inputs!$B$15))</f>
        <v/>
      </c>
      <c r="L102" s="8">
        <f>IF(A102="","",0.00278*IF(I102="",Inputs!$B$17,I102)*H102*K102)</f>
        <v/>
      </c>
      <c r="M102" s="8">
        <f>IF(A102="","",SUMIFS($N$4:$N$203,$D$4:$D$203,$A102))</f>
        <v/>
      </c>
      <c r="N102" s="8">
        <f>IF(A102="","",(L102+M102)*Inputs!$B$16)</f>
        <v/>
      </c>
      <c r="O102" s="8" t="n"/>
      <c r="P102" s="8">
        <f>IF(A102="","",IF(O102="",Inputs!$B$7,O102))</f>
        <v/>
      </c>
      <c r="Q102" s="4">
        <f>IF(A102="","",IF(N102/Inputs!$B$10&lt;=AG102,Inputs!$F$5,IF(N102/Inputs!$B$10&gt;AP102,"OVERSIZE",INDEX(Inputs!$F$5:$F$14,MATCH(N102/Inputs!$B$10,AG102:AP102,1)+1))))</f>
        <v/>
      </c>
      <c r="R102" s="4" t="n"/>
      <c r="S102" s="4">
        <f>IF(A102="","",IF(R102="",Q102,R102))</f>
        <v/>
      </c>
      <c r="T102" s="8">
        <f>IF(OR(S102="",S102="OVERSIZE"),"",S102/1000)</f>
        <v/>
      </c>
      <c r="U102" s="8">
        <f>IF(T102="","",(1/Inputs!$B$9)*(PI()*T102^2/4)*((T102/4)^(2/3))*SQRT(P102))</f>
        <v/>
      </c>
      <c r="V102" s="8">
        <f>IF(OR(U102="",N102=""),"",N102/(U102*Inputs!$B$10))</f>
        <v/>
      </c>
      <c r="W102" s="8">
        <f>IF(OR(T102="",N102=""),"",4*N102/(PI()*T102^2))</f>
        <v/>
      </c>
      <c r="X102" s="8" t="n"/>
      <c r="Y102" s="8">
        <f>IF(A102="","",IF(A102=Inputs!$B$6,Inputs!$B$22,IF(D102="","",IFERROR(INDEX($Z$4:$Z$203,MATCH(D102,$A$4:$A$203,0))+IF(X102="",Inputs!$B$20,X102),""))))</f>
        <v/>
      </c>
      <c r="Z102" s="8">
        <f>IF(OR(Y102="",P102="",E102=""),"",Y102+P102*E102)</f>
        <v/>
      </c>
      <c r="AA102" s="8">
        <f>IF(C102="","",IFERROR(INDEX(Noeuds_plan!$C$4:$C$200,MATCH(C102,Noeuds_plan!$A$4:$A$200,0)),""))</f>
        <v/>
      </c>
      <c r="AB102" s="8">
        <f>IF(B102="","",IFERROR(INDEX(Noeuds_plan!$C$4:$C$200,MATCH(B102,Noeuds_plan!$A$4:$A$200,0)),""))</f>
        <v/>
      </c>
      <c r="AC102" s="8">
        <f>IF(OR(AA102="",Y102=""),"",AA102-Y102)</f>
        <v/>
      </c>
      <c r="AD102" s="8">
        <f>IF(OR(AB102="",Z102=""),"",AB102-Z102)</f>
        <v/>
      </c>
      <c r="AE102" s="4">
        <f>IF(A102="","",IF(OR(V102&gt;1,W102&lt;Inputs!$B$11,W102&gt;Inputs!$B$12,AC102&lt;Inputs!$B$19,AD102&lt;Inputs!$B$19,P102&lt;Inputs!$B$7,P102&gt;Inputs!$B$8),"CHECK","OK"))</f>
        <v/>
      </c>
      <c r="AF102" s="4" t="n"/>
      <c r="AG102" s="4">
        <f>IF(A102="","",(1/Inputs!$B$9)*(PI()*(Inputs!$F$5/1000)^2/4)*((Inputs!$F$5/1000/4)^(2/3))*SQRT(P102))</f>
        <v/>
      </c>
      <c r="AH102" s="4">
        <f>IF(A102="","",(1/Inputs!$B$9)*(PI()*(Inputs!$F$6/1000)^2/4)*((Inputs!$F$6/1000/4)^(2/3))*SQRT(P102))</f>
        <v/>
      </c>
      <c r="AI102" s="4">
        <f>IF(A102="","",(1/Inputs!$B$9)*(PI()*(Inputs!$F$7/1000)^2/4)*((Inputs!$F$7/1000/4)^(2/3))*SQRT(P102))</f>
        <v/>
      </c>
      <c r="AJ102" s="4">
        <f>IF(A102="","",(1/Inputs!$B$9)*(PI()*(Inputs!$F$8/1000)^2/4)*((Inputs!$F$8/1000/4)^(2/3))*SQRT(P102))</f>
        <v/>
      </c>
      <c r="AK102" s="4">
        <f>IF(A102="","",(1/Inputs!$B$9)*(PI()*(Inputs!$F$9/1000)^2/4)*((Inputs!$F$9/1000/4)^(2/3))*SQRT(P102))</f>
        <v/>
      </c>
      <c r="AL102" s="4">
        <f>IF(A102="","",(1/Inputs!$B$9)*(PI()*(Inputs!$F$10/1000)^2/4)*((Inputs!$F$10/1000/4)^(2/3))*SQRT(P102))</f>
        <v/>
      </c>
      <c r="AM102" s="4">
        <f>IF(A102="","",(1/Inputs!$B$9)*(PI()*(Inputs!$F$11/1000)^2/4)*((Inputs!$F$11/1000/4)^(2/3))*SQRT(P102))</f>
        <v/>
      </c>
      <c r="AN102" s="4">
        <f>IF(A102="","",(1/Inputs!$B$9)*(PI()*(Inputs!$F$12/1000)^2/4)*((Inputs!$F$12/1000/4)^(2/3))*SQRT(P102))</f>
        <v/>
      </c>
      <c r="AO102" s="4">
        <f>IF(A102="","",(1/Inputs!$B$9)*(PI()*(Inputs!$F$13/1000)^2/4)*((Inputs!$F$13/1000/4)^(2/3))*SQRT(P102))</f>
        <v/>
      </c>
      <c r="AP102" s="4">
        <f>IF(A102="","",(1/Inputs!$B$9)*(PI()*(Inputs!$F$14/1000)^2/4)*((Inputs!$F$14/1000/4)^(2/3))*SQRT(P102))</f>
        <v/>
      </c>
    </row>
    <row r="103">
      <c r="A103" s="4" t="n"/>
      <c r="B103" s="4" t="n"/>
      <c r="C103" s="4" t="n"/>
      <c r="D103" s="4" t="n"/>
      <c r="E103" s="8" t="n"/>
      <c r="F103" s="8" t="n"/>
      <c r="G103" s="8">
        <f>SUMIFS(CB_plan!$C:$C,CB_plan!$B:$B,$A103)</f>
        <v/>
      </c>
      <c r="H103" s="8">
        <f>IF(F103="",G103,F103)</f>
        <v/>
      </c>
      <c r="I103" s="4" t="n"/>
      <c r="J103" s="8" t="n"/>
      <c r="K103" s="8">
        <f>IF(A103="","",Inputs!$B$13/((IF(J103="",Inputs!$B$18,J103)+Inputs!$B$14)^Inputs!$B$15))</f>
        <v/>
      </c>
      <c r="L103" s="8">
        <f>IF(A103="","",0.00278*IF(I103="",Inputs!$B$17,I103)*H103*K103)</f>
        <v/>
      </c>
      <c r="M103" s="8">
        <f>IF(A103="","",SUMIFS($N$4:$N$203,$D$4:$D$203,$A103))</f>
        <v/>
      </c>
      <c r="N103" s="8">
        <f>IF(A103="","",(L103+M103)*Inputs!$B$16)</f>
        <v/>
      </c>
      <c r="O103" s="8" t="n"/>
      <c r="P103" s="8">
        <f>IF(A103="","",IF(O103="",Inputs!$B$7,O103))</f>
        <v/>
      </c>
      <c r="Q103" s="4">
        <f>IF(A103="","",IF(N103/Inputs!$B$10&lt;=AG103,Inputs!$F$5,IF(N103/Inputs!$B$10&gt;AP103,"OVERSIZE",INDEX(Inputs!$F$5:$F$14,MATCH(N103/Inputs!$B$10,AG103:AP103,1)+1))))</f>
        <v/>
      </c>
      <c r="R103" s="4" t="n"/>
      <c r="S103" s="4">
        <f>IF(A103="","",IF(R103="",Q103,R103))</f>
        <v/>
      </c>
      <c r="T103" s="8">
        <f>IF(OR(S103="",S103="OVERSIZE"),"",S103/1000)</f>
        <v/>
      </c>
      <c r="U103" s="8">
        <f>IF(T103="","",(1/Inputs!$B$9)*(PI()*T103^2/4)*((T103/4)^(2/3))*SQRT(P103))</f>
        <v/>
      </c>
      <c r="V103" s="8">
        <f>IF(OR(U103="",N103=""),"",N103/(U103*Inputs!$B$10))</f>
        <v/>
      </c>
      <c r="W103" s="8">
        <f>IF(OR(T103="",N103=""),"",4*N103/(PI()*T103^2))</f>
        <v/>
      </c>
      <c r="X103" s="8" t="n"/>
      <c r="Y103" s="8">
        <f>IF(A103="","",IF(A103=Inputs!$B$6,Inputs!$B$22,IF(D103="","",IFERROR(INDEX($Z$4:$Z$203,MATCH(D103,$A$4:$A$203,0))+IF(X103="",Inputs!$B$20,X103),""))))</f>
        <v/>
      </c>
      <c r="Z103" s="8">
        <f>IF(OR(Y103="",P103="",E103=""),"",Y103+P103*E103)</f>
        <v/>
      </c>
      <c r="AA103" s="8">
        <f>IF(C103="","",IFERROR(INDEX(Noeuds_plan!$C$4:$C$200,MATCH(C103,Noeuds_plan!$A$4:$A$200,0)),""))</f>
        <v/>
      </c>
      <c r="AB103" s="8">
        <f>IF(B103="","",IFERROR(INDEX(Noeuds_plan!$C$4:$C$200,MATCH(B103,Noeuds_plan!$A$4:$A$200,0)),""))</f>
        <v/>
      </c>
      <c r="AC103" s="8">
        <f>IF(OR(AA103="",Y103=""),"",AA103-Y103)</f>
        <v/>
      </c>
      <c r="AD103" s="8">
        <f>IF(OR(AB103="",Z103=""),"",AB103-Z103)</f>
        <v/>
      </c>
      <c r="AE103" s="4">
        <f>IF(A103="","",IF(OR(V103&gt;1,W103&lt;Inputs!$B$11,W103&gt;Inputs!$B$12,AC103&lt;Inputs!$B$19,AD103&lt;Inputs!$B$19,P103&lt;Inputs!$B$7,P103&gt;Inputs!$B$8),"CHECK","OK"))</f>
        <v/>
      </c>
      <c r="AF103" s="4" t="n"/>
      <c r="AG103" s="4">
        <f>IF(A103="","",(1/Inputs!$B$9)*(PI()*(Inputs!$F$5/1000)^2/4)*((Inputs!$F$5/1000/4)^(2/3))*SQRT(P103))</f>
        <v/>
      </c>
      <c r="AH103" s="4">
        <f>IF(A103="","",(1/Inputs!$B$9)*(PI()*(Inputs!$F$6/1000)^2/4)*((Inputs!$F$6/1000/4)^(2/3))*SQRT(P103))</f>
        <v/>
      </c>
      <c r="AI103" s="4">
        <f>IF(A103="","",(1/Inputs!$B$9)*(PI()*(Inputs!$F$7/1000)^2/4)*((Inputs!$F$7/1000/4)^(2/3))*SQRT(P103))</f>
        <v/>
      </c>
      <c r="AJ103" s="4">
        <f>IF(A103="","",(1/Inputs!$B$9)*(PI()*(Inputs!$F$8/1000)^2/4)*((Inputs!$F$8/1000/4)^(2/3))*SQRT(P103))</f>
        <v/>
      </c>
      <c r="AK103" s="4">
        <f>IF(A103="","",(1/Inputs!$B$9)*(PI()*(Inputs!$F$9/1000)^2/4)*((Inputs!$F$9/1000/4)^(2/3))*SQRT(P103))</f>
        <v/>
      </c>
      <c r="AL103" s="4">
        <f>IF(A103="","",(1/Inputs!$B$9)*(PI()*(Inputs!$F$10/1000)^2/4)*((Inputs!$F$10/1000/4)^(2/3))*SQRT(P103))</f>
        <v/>
      </c>
      <c r="AM103" s="4">
        <f>IF(A103="","",(1/Inputs!$B$9)*(PI()*(Inputs!$F$11/1000)^2/4)*((Inputs!$F$11/1000/4)^(2/3))*SQRT(P103))</f>
        <v/>
      </c>
      <c r="AN103" s="4">
        <f>IF(A103="","",(1/Inputs!$B$9)*(PI()*(Inputs!$F$12/1000)^2/4)*((Inputs!$F$12/1000/4)^(2/3))*SQRT(P103))</f>
        <v/>
      </c>
      <c r="AO103" s="4">
        <f>IF(A103="","",(1/Inputs!$B$9)*(PI()*(Inputs!$F$13/1000)^2/4)*((Inputs!$F$13/1000/4)^(2/3))*SQRT(P103))</f>
        <v/>
      </c>
      <c r="AP103" s="4">
        <f>IF(A103="","",(1/Inputs!$B$9)*(PI()*(Inputs!$F$14/1000)^2/4)*((Inputs!$F$14/1000/4)^(2/3))*SQRT(P103))</f>
        <v/>
      </c>
    </row>
    <row r="104">
      <c r="A104" s="4" t="n"/>
      <c r="B104" s="4" t="n"/>
      <c r="C104" s="4" t="n"/>
      <c r="D104" s="4" t="n"/>
      <c r="E104" s="8" t="n"/>
      <c r="F104" s="8" t="n"/>
      <c r="G104" s="8">
        <f>SUMIFS(CB_plan!$C:$C,CB_plan!$B:$B,$A104)</f>
        <v/>
      </c>
      <c r="H104" s="8">
        <f>IF(F104="",G104,F104)</f>
        <v/>
      </c>
      <c r="I104" s="4" t="n"/>
      <c r="J104" s="8" t="n"/>
      <c r="K104" s="8">
        <f>IF(A104="","",Inputs!$B$13/((IF(J104="",Inputs!$B$18,J104)+Inputs!$B$14)^Inputs!$B$15))</f>
        <v/>
      </c>
      <c r="L104" s="8">
        <f>IF(A104="","",0.00278*IF(I104="",Inputs!$B$17,I104)*H104*K104)</f>
        <v/>
      </c>
      <c r="M104" s="8">
        <f>IF(A104="","",SUMIFS($N$4:$N$203,$D$4:$D$203,$A104))</f>
        <v/>
      </c>
      <c r="N104" s="8">
        <f>IF(A104="","",(L104+M104)*Inputs!$B$16)</f>
        <v/>
      </c>
      <c r="O104" s="8" t="n"/>
      <c r="P104" s="8">
        <f>IF(A104="","",IF(O104="",Inputs!$B$7,O104))</f>
        <v/>
      </c>
      <c r="Q104" s="4">
        <f>IF(A104="","",IF(N104/Inputs!$B$10&lt;=AG104,Inputs!$F$5,IF(N104/Inputs!$B$10&gt;AP104,"OVERSIZE",INDEX(Inputs!$F$5:$F$14,MATCH(N104/Inputs!$B$10,AG104:AP104,1)+1))))</f>
        <v/>
      </c>
      <c r="R104" s="4" t="n"/>
      <c r="S104" s="4">
        <f>IF(A104="","",IF(R104="",Q104,R104))</f>
        <v/>
      </c>
      <c r="T104" s="8">
        <f>IF(OR(S104="",S104="OVERSIZE"),"",S104/1000)</f>
        <v/>
      </c>
      <c r="U104" s="8">
        <f>IF(T104="","",(1/Inputs!$B$9)*(PI()*T104^2/4)*((T104/4)^(2/3))*SQRT(P104))</f>
        <v/>
      </c>
      <c r="V104" s="8">
        <f>IF(OR(U104="",N104=""),"",N104/(U104*Inputs!$B$10))</f>
        <v/>
      </c>
      <c r="W104" s="8">
        <f>IF(OR(T104="",N104=""),"",4*N104/(PI()*T104^2))</f>
        <v/>
      </c>
      <c r="X104" s="8" t="n"/>
      <c r="Y104" s="8">
        <f>IF(A104="","",IF(A104=Inputs!$B$6,Inputs!$B$22,IF(D104="","",IFERROR(INDEX($Z$4:$Z$203,MATCH(D104,$A$4:$A$203,0))+IF(X104="",Inputs!$B$20,X104),""))))</f>
        <v/>
      </c>
      <c r="Z104" s="8">
        <f>IF(OR(Y104="",P104="",E104=""),"",Y104+P104*E104)</f>
        <v/>
      </c>
      <c r="AA104" s="8">
        <f>IF(C104="","",IFERROR(INDEX(Noeuds_plan!$C$4:$C$200,MATCH(C104,Noeuds_plan!$A$4:$A$200,0)),""))</f>
        <v/>
      </c>
      <c r="AB104" s="8">
        <f>IF(B104="","",IFERROR(INDEX(Noeuds_plan!$C$4:$C$200,MATCH(B104,Noeuds_plan!$A$4:$A$200,0)),""))</f>
        <v/>
      </c>
      <c r="AC104" s="8">
        <f>IF(OR(AA104="",Y104=""),"",AA104-Y104)</f>
        <v/>
      </c>
      <c r="AD104" s="8">
        <f>IF(OR(AB104="",Z104=""),"",AB104-Z104)</f>
        <v/>
      </c>
      <c r="AE104" s="4">
        <f>IF(A104="","",IF(OR(V104&gt;1,W104&lt;Inputs!$B$11,W104&gt;Inputs!$B$12,AC104&lt;Inputs!$B$19,AD104&lt;Inputs!$B$19,P104&lt;Inputs!$B$7,P104&gt;Inputs!$B$8),"CHECK","OK"))</f>
        <v/>
      </c>
      <c r="AF104" s="4" t="n"/>
      <c r="AG104" s="4">
        <f>IF(A104="","",(1/Inputs!$B$9)*(PI()*(Inputs!$F$5/1000)^2/4)*((Inputs!$F$5/1000/4)^(2/3))*SQRT(P104))</f>
        <v/>
      </c>
      <c r="AH104" s="4">
        <f>IF(A104="","",(1/Inputs!$B$9)*(PI()*(Inputs!$F$6/1000)^2/4)*((Inputs!$F$6/1000/4)^(2/3))*SQRT(P104))</f>
        <v/>
      </c>
      <c r="AI104" s="4">
        <f>IF(A104="","",(1/Inputs!$B$9)*(PI()*(Inputs!$F$7/1000)^2/4)*((Inputs!$F$7/1000/4)^(2/3))*SQRT(P104))</f>
        <v/>
      </c>
      <c r="AJ104" s="4">
        <f>IF(A104="","",(1/Inputs!$B$9)*(PI()*(Inputs!$F$8/1000)^2/4)*((Inputs!$F$8/1000/4)^(2/3))*SQRT(P104))</f>
        <v/>
      </c>
      <c r="AK104" s="4">
        <f>IF(A104="","",(1/Inputs!$B$9)*(PI()*(Inputs!$F$9/1000)^2/4)*((Inputs!$F$9/1000/4)^(2/3))*SQRT(P104))</f>
        <v/>
      </c>
      <c r="AL104" s="4">
        <f>IF(A104="","",(1/Inputs!$B$9)*(PI()*(Inputs!$F$10/1000)^2/4)*((Inputs!$F$10/1000/4)^(2/3))*SQRT(P104))</f>
        <v/>
      </c>
      <c r="AM104" s="4">
        <f>IF(A104="","",(1/Inputs!$B$9)*(PI()*(Inputs!$F$11/1000)^2/4)*((Inputs!$F$11/1000/4)^(2/3))*SQRT(P104))</f>
        <v/>
      </c>
      <c r="AN104" s="4">
        <f>IF(A104="","",(1/Inputs!$B$9)*(PI()*(Inputs!$F$12/1000)^2/4)*((Inputs!$F$12/1000/4)^(2/3))*SQRT(P104))</f>
        <v/>
      </c>
      <c r="AO104" s="4">
        <f>IF(A104="","",(1/Inputs!$B$9)*(PI()*(Inputs!$F$13/1000)^2/4)*((Inputs!$F$13/1000/4)^(2/3))*SQRT(P104))</f>
        <v/>
      </c>
      <c r="AP104" s="4">
        <f>IF(A104="","",(1/Inputs!$B$9)*(PI()*(Inputs!$F$14/1000)^2/4)*((Inputs!$F$14/1000/4)^(2/3))*SQRT(P104))</f>
        <v/>
      </c>
    </row>
    <row r="105">
      <c r="A105" s="4" t="n"/>
      <c r="B105" s="4" t="n"/>
      <c r="C105" s="4" t="n"/>
      <c r="D105" s="4" t="n"/>
      <c r="E105" s="8" t="n"/>
      <c r="F105" s="8" t="n"/>
      <c r="G105" s="8">
        <f>SUMIFS(CB_plan!$C:$C,CB_plan!$B:$B,$A105)</f>
        <v/>
      </c>
      <c r="H105" s="8">
        <f>IF(F105="",G105,F105)</f>
        <v/>
      </c>
      <c r="I105" s="4" t="n"/>
      <c r="J105" s="8" t="n"/>
      <c r="K105" s="8">
        <f>IF(A105="","",Inputs!$B$13/((IF(J105="",Inputs!$B$18,J105)+Inputs!$B$14)^Inputs!$B$15))</f>
        <v/>
      </c>
      <c r="L105" s="8">
        <f>IF(A105="","",0.00278*IF(I105="",Inputs!$B$17,I105)*H105*K105)</f>
        <v/>
      </c>
      <c r="M105" s="8">
        <f>IF(A105="","",SUMIFS($N$4:$N$203,$D$4:$D$203,$A105))</f>
        <v/>
      </c>
      <c r="N105" s="8">
        <f>IF(A105="","",(L105+M105)*Inputs!$B$16)</f>
        <v/>
      </c>
      <c r="O105" s="8" t="n"/>
      <c r="P105" s="8">
        <f>IF(A105="","",IF(O105="",Inputs!$B$7,O105))</f>
        <v/>
      </c>
      <c r="Q105" s="4">
        <f>IF(A105="","",IF(N105/Inputs!$B$10&lt;=AG105,Inputs!$F$5,IF(N105/Inputs!$B$10&gt;AP105,"OVERSIZE",INDEX(Inputs!$F$5:$F$14,MATCH(N105/Inputs!$B$10,AG105:AP105,1)+1))))</f>
        <v/>
      </c>
      <c r="R105" s="4" t="n"/>
      <c r="S105" s="4">
        <f>IF(A105="","",IF(R105="",Q105,R105))</f>
        <v/>
      </c>
      <c r="T105" s="8">
        <f>IF(OR(S105="",S105="OVERSIZE"),"",S105/1000)</f>
        <v/>
      </c>
      <c r="U105" s="8">
        <f>IF(T105="","",(1/Inputs!$B$9)*(PI()*T105^2/4)*((T105/4)^(2/3))*SQRT(P105))</f>
        <v/>
      </c>
      <c r="V105" s="8">
        <f>IF(OR(U105="",N105=""),"",N105/(U105*Inputs!$B$10))</f>
        <v/>
      </c>
      <c r="W105" s="8">
        <f>IF(OR(T105="",N105=""),"",4*N105/(PI()*T105^2))</f>
        <v/>
      </c>
      <c r="X105" s="8" t="n"/>
      <c r="Y105" s="8">
        <f>IF(A105="","",IF(A105=Inputs!$B$6,Inputs!$B$22,IF(D105="","",IFERROR(INDEX($Z$4:$Z$203,MATCH(D105,$A$4:$A$203,0))+IF(X105="",Inputs!$B$20,X105),""))))</f>
        <v/>
      </c>
      <c r="Z105" s="8">
        <f>IF(OR(Y105="",P105="",E105=""),"",Y105+P105*E105)</f>
        <v/>
      </c>
      <c r="AA105" s="8">
        <f>IF(C105="","",IFERROR(INDEX(Noeuds_plan!$C$4:$C$200,MATCH(C105,Noeuds_plan!$A$4:$A$200,0)),""))</f>
        <v/>
      </c>
      <c r="AB105" s="8">
        <f>IF(B105="","",IFERROR(INDEX(Noeuds_plan!$C$4:$C$200,MATCH(B105,Noeuds_plan!$A$4:$A$200,0)),""))</f>
        <v/>
      </c>
      <c r="AC105" s="8">
        <f>IF(OR(AA105="",Y105=""),"",AA105-Y105)</f>
        <v/>
      </c>
      <c r="AD105" s="8">
        <f>IF(OR(AB105="",Z105=""),"",AB105-Z105)</f>
        <v/>
      </c>
      <c r="AE105" s="4">
        <f>IF(A105="","",IF(OR(V105&gt;1,W105&lt;Inputs!$B$11,W105&gt;Inputs!$B$12,AC105&lt;Inputs!$B$19,AD105&lt;Inputs!$B$19,P105&lt;Inputs!$B$7,P105&gt;Inputs!$B$8),"CHECK","OK"))</f>
        <v/>
      </c>
      <c r="AF105" s="4" t="n"/>
      <c r="AG105" s="4">
        <f>IF(A105="","",(1/Inputs!$B$9)*(PI()*(Inputs!$F$5/1000)^2/4)*((Inputs!$F$5/1000/4)^(2/3))*SQRT(P105))</f>
        <v/>
      </c>
      <c r="AH105" s="4">
        <f>IF(A105="","",(1/Inputs!$B$9)*(PI()*(Inputs!$F$6/1000)^2/4)*((Inputs!$F$6/1000/4)^(2/3))*SQRT(P105))</f>
        <v/>
      </c>
      <c r="AI105" s="4">
        <f>IF(A105="","",(1/Inputs!$B$9)*(PI()*(Inputs!$F$7/1000)^2/4)*((Inputs!$F$7/1000/4)^(2/3))*SQRT(P105))</f>
        <v/>
      </c>
      <c r="AJ105" s="4">
        <f>IF(A105="","",(1/Inputs!$B$9)*(PI()*(Inputs!$F$8/1000)^2/4)*((Inputs!$F$8/1000/4)^(2/3))*SQRT(P105))</f>
        <v/>
      </c>
      <c r="AK105" s="4">
        <f>IF(A105="","",(1/Inputs!$B$9)*(PI()*(Inputs!$F$9/1000)^2/4)*((Inputs!$F$9/1000/4)^(2/3))*SQRT(P105))</f>
        <v/>
      </c>
      <c r="AL105" s="4">
        <f>IF(A105="","",(1/Inputs!$B$9)*(PI()*(Inputs!$F$10/1000)^2/4)*((Inputs!$F$10/1000/4)^(2/3))*SQRT(P105))</f>
        <v/>
      </c>
      <c r="AM105" s="4">
        <f>IF(A105="","",(1/Inputs!$B$9)*(PI()*(Inputs!$F$11/1000)^2/4)*((Inputs!$F$11/1000/4)^(2/3))*SQRT(P105))</f>
        <v/>
      </c>
      <c r="AN105" s="4">
        <f>IF(A105="","",(1/Inputs!$B$9)*(PI()*(Inputs!$F$12/1000)^2/4)*((Inputs!$F$12/1000/4)^(2/3))*SQRT(P105))</f>
        <v/>
      </c>
      <c r="AO105" s="4">
        <f>IF(A105="","",(1/Inputs!$B$9)*(PI()*(Inputs!$F$13/1000)^2/4)*((Inputs!$F$13/1000/4)^(2/3))*SQRT(P105))</f>
        <v/>
      </c>
      <c r="AP105" s="4">
        <f>IF(A105="","",(1/Inputs!$B$9)*(PI()*(Inputs!$F$14/1000)^2/4)*((Inputs!$F$14/1000/4)^(2/3))*SQRT(P105))</f>
        <v/>
      </c>
    </row>
    <row r="106">
      <c r="A106" s="4" t="n"/>
      <c r="B106" s="4" t="n"/>
      <c r="C106" s="4" t="n"/>
      <c r="D106" s="4" t="n"/>
      <c r="E106" s="8" t="n"/>
      <c r="F106" s="8" t="n"/>
      <c r="G106" s="8">
        <f>SUMIFS(CB_plan!$C:$C,CB_plan!$B:$B,$A106)</f>
        <v/>
      </c>
      <c r="H106" s="8">
        <f>IF(F106="",G106,F106)</f>
        <v/>
      </c>
      <c r="I106" s="4" t="n"/>
      <c r="J106" s="8" t="n"/>
      <c r="K106" s="8">
        <f>IF(A106="","",Inputs!$B$13/((IF(J106="",Inputs!$B$18,J106)+Inputs!$B$14)^Inputs!$B$15))</f>
        <v/>
      </c>
      <c r="L106" s="8">
        <f>IF(A106="","",0.00278*IF(I106="",Inputs!$B$17,I106)*H106*K106)</f>
        <v/>
      </c>
      <c r="M106" s="8">
        <f>IF(A106="","",SUMIFS($N$4:$N$203,$D$4:$D$203,$A106))</f>
        <v/>
      </c>
      <c r="N106" s="8">
        <f>IF(A106="","",(L106+M106)*Inputs!$B$16)</f>
        <v/>
      </c>
      <c r="O106" s="8" t="n"/>
      <c r="P106" s="8">
        <f>IF(A106="","",IF(O106="",Inputs!$B$7,O106))</f>
        <v/>
      </c>
      <c r="Q106" s="4">
        <f>IF(A106="","",IF(N106/Inputs!$B$10&lt;=AG106,Inputs!$F$5,IF(N106/Inputs!$B$10&gt;AP106,"OVERSIZE",INDEX(Inputs!$F$5:$F$14,MATCH(N106/Inputs!$B$10,AG106:AP106,1)+1))))</f>
        <v/>
      </c>
      <c r="R106" s="4" t="n"/>
      <c r="S106" s="4">
        <f>IF(A106="","",IF(R106="",Q106,R106))</f>
        <v/>
      </c>
      <c r="T106" s="8">
        <f>IF(OR(S106="",S106="OVERSIZE"),"",S106/1000)</f>
        <v/>
      </c>
      <c r="U106" s="8">
        <f>IF(T106="","",(1/Inputs!$B$9)*(PI()*T106^2/4)*((T106/4)^(2/3))*SQRT(P106))</f>
        <v/>
      </c>
      <c r="V106" s="8">
        <f>IF(OR(U106="",N106=""),"",N106/(U106*Inputs!$B$10))</f>
        <v/>
      </c>
      <c r="W106" s="8">
        <f>IF(OR(T106="",N106=""),"",4*N106/(PI()*T106^2))</f>
        <v/>
      </c>
      <c r="X106" s="8" t="n"/>
      <c r="Y106" s="8">
        <f>IF(A106="","",IF(A106=Inputs!$B$6,Inputs!$B$22,IF(D106="","",IFERROR(INDEX($Z$4:$Z$203,MATCH(D106,$A$4:$A$203,0))+IF(X106="",Inputs!$B$20,X106),""))))</f>
        <v/>
      </c>
      <c r="Z106" s="8">
        <f>IF(OR(Y106="",P106="",E106=""),"",Y106+P106*E106)</f>
        <v/>
      </c>
      <c r="AA106" s="8">
        <f>IF(C106="","",IFERROR(INDEX(Noeuds_plan!$C$4:$C$200,MATCH(C106,Noeuds_plan!$A$4:$A$200,0)),""))</f>
        <v/>
      </c>
      <c r="AB106" s="8">
        <f>IF(B106="","",IFERROR(INDEX(Noeuds_plan!$C$4:$C$200,MATCH(B106,Noeuds_plan!$A$4:$A$200,0)),""))</f>
        <v/>
      </c>
      <c r="AC106" s="8">
        <f>IF(OR(AA106="",Y106=""),"",AA106-Y106)</f>
        <v/>
      </c>
      <c r="AD106" s="8">
        <f>IF(OR(AB106="",Z106=""),"",AB106-Z106)</f>
        <v/>
      </c>
      <c r="AE106" s="4">
        <f>IF(A106="","",IF(OR(V106&gt;1,W106&lt;Inputs!$B$11,W106&gt;Inputs!$B$12,AC106&lt;Inputs!$B$19,AD106&lt;Inputs!$B$19,P106&lt;Inputs!$B$7,P106&gt;Inputs!$B$8),"CHECK","OK"))</f>
        <v/>
      </c>
      <c r="AF106" s="4" t="n"/>
      <c r="AG106" s="4">
        <f>IF(A106="","",(1/Inputs!$B$9)*(PI()*(Inputs!$F$5/1000)^2/4)*((Inputs!$F$5/1000/4)^(2/3))*SQRT(P106))</f>
        <v/>
      </c>
      <c r="AH106" s="4">
        <f>IF(A106="","",(1/Inputs!$B$9)*(PI()*(Inputs!$F$6/1000)^2/4)*((Inputs!$F$6/1000/4)^(2/3))*SQRT(P106))</f>
        <v/>
      </c>
      <c r="AI106" s="4">
        <f>IF(A106="","",(1/Inputs!$B$9)*(PI()*(Inputs!$F$7/1000)^2/4)*((Inputs!$F$7/1000/4)^(2/3))*SQRT(P106))</f>
        <v/>
      </c>
      <c r="AJ106" s="4">
        <f>IF(A106="","",(1/Inputs!$B$9)*(PI()*(Inputs!$F$8/1000)^2/4)*((Inputs!$F$8/1000/4)^(2/3))*SQRT(P106))</f>
        <v/>
      </c>
      <c r="AK106" s="4">
        <f>IF(A106="","",(1/Inputs!$B$9)*(PI()*(Inputs!$F$9/1000)^2/4)*((Inputs!$F$9/1000/4)^(2/3))*SQRT(P106))</f>
        <v/>
      </c>
      <c r="AL106" s="4">
        <f>IF(A106="","",(1/Inputs!$B$9)*(PI()*(Inputs!$F$10/1000)^2/4)*((Inputs!$F$10/1000/4)^(2/3))*SQRT(P106))</f>
        <v/>
      </c>
      <c r="AM106" s="4">
        <f>IF(A106="","",(1/Inputs!$B$9)*(PI()*(Inputs!$F$11/1000)^2/4)*((Inputs!$F$11/1000/4)^(2/3))*SQRT(P106))</f>
        <v/>
      </c>
      <c r="AN106" s="4">
        <f>IF(A106="","",(1/Inputs!$B$9)*(PI()*(Inputs!$F$12/1000)^2/4)*((Inputs!$F$12/1000/4)^(2/3))*SQRT(P106))</f>
        <v/>
      </c>
      <c r="AO106" s="4">
        <f>IF(A106="","",(1/Inputs!$B$9)*(PI()*(Inputs!$F$13/1000)^2/4)*((Inputs!$F$13/1000/4)^(2/3))*SQRT(P106))</f>
        <v/>
      </c>
      <c r="AP106" s="4">
        <f>IF(A106="","",(1/Inputs!$B$9)*(PI()*(Inputs!$F$14/1000)^2/4)*((Inputs!$F$14/1000/4)^(2/3))*SQRT(P106))</f>
        <v/>
      </c>
    </row>
    <row r="107">
      <c r="A107" s="4" t="n"/>
      <c r="B107" s="4" t="n"/>
      <c r="C107" s="4" t="n"/>
      <c r="D107" s="4" t="n"/>
      <c r="E107" s="8" t="n"/>
      <c r="F107" s="8" t="n"/>
      <c r="G107" s="8">
        <f>SUMIFS(CB_plan!$C:$C,CB_plan!$B:$B,$A107)</f>
        <v/>
      </c>
      <c r="H107" s="8">
        <f>IF(F107="",G107,F107)</f>
        <v/>
      </c>
      <c r="I107" s="4" t="n"/>
      <c r="J107" s="8" t="n"/>
      <c r="K107" s="8">
        <f>IF(A107="","",Inputs!$B$13/((IF(J107="",Inputs!$B$18,J107)+Inputs!$B$14)^Inputs!$B$15))</f>
        <v/>
      </c>
      <c r="L107" s="8">
        <f>IF(A107="","",0.00278*IF(I107="",Inputs!$B$17,I107)*H107*K107)</f>
        <v/>
      </c>
      <c r="M107" s="8">
        <f>IF(A107="","",SUMIFS($N$4:$N$203,$D$4:$D$203,$A107))</f>
        <v/>
      </c>
      <c r="N107" s="8">
        <f>IF(A107="","",(L107+M107)*Inputs!$B$16)</f>
        <v/>
      </c>
      <c r="O107" s="8" t="n"/>
      <c r="P107" s="8">
        <f>IF(A107="","",IF(O107="",Inputs!$B$7,O107))</f>
        <v/>
      </c>
      <c r="Q107" s="4">
        <f>IF(A107="","",IF(N107/Inputs!$B$10&lt;=AG107,Inputs!$F$5,IF(N107/Inputs!$B$10&gt;AP107,"OVERSIZE",INDEX(Inputs!$F$5:$F$14,MATCH(N107/Inputs!$B$10,AG107:AP107,1)+1))))</f>
        <v/>
      </c>
      <c r="R107" s="4" t="n"/>
      <c r="S107" s="4">
        <f>IF(A107="","",IF(R107="",Q107,R107))</f>
        <v/>
      </c>
      <c r="T107" s="8">
        <f>IF(OR(S107="",S107="OVERSIZE"),"",S107/1000)</f>
        <v/>
      </c>
      <c r="U107" s="8">
        <f>IF(T107="","",(1/Inputs!$B$9)*(PI()*T107^2/4)*((T107/4)^(2/3))*SQRT(P107))</f>
        <v/>
      </c>
      <c r="V107" s="8">
        <f>IF(OR(U107="",N107=""),"",N107/(U107*Inputs!$B$10))</f>
        <v/>
      </c>
      <c r="W107" s="8">
        <f>IF(OR(T107="",N107=""),"",4*N107/(PI()*T107^2))</f>
        <v/>
      </c>
      <c r="X107" s="8" t="n"/>
      <c r="Y107" s="8">
        <f>IF(A107="","",IF(A107=Inputs!$B$6,Inputs!$B$22,IF(D107="","",IFERROR(INDEX($Z$4:$Z$203,MATCH(D107,$A$4:$A$203,0))+IF(X107="",Inputs!$B$20,X107),""))))</f>
        <v/>
      </c>
      <c r="Z107" s="8">
        <f>IF(OR(Y107="",P107="",E107=""),"",Y107+P107*E107)</f>
        <v/>
      </c>
      <c r="AA107" s="8">
        <f>IF(C107="","",IFERROR(INDEX(Noeuds_plan!$C$4:$C$200,MATCH(C107,Noeuds_plan!$A$4:$A$200,0)),""))</f>
        <v/>
      </c>
      <c r="AB107" s="8">
        <f>IF(B107="","",IFERROR(INDEX(Noeuds_plan!$C$4:$C$200,MATCH(B107,Noeuds_plan!$A$4:$A$200,0)),""))</f>
        <v/>
      </c>
      <c r="AC107" s="8">
        <f>IF(OR(AA107="",Y107=""),"",AA107-Y107)</f>
        <v/>
      </c>
      <c r="AD107" s="8">
        <f>IF(OR(AB107="",Z107=""),"",AB107-Z107)</f>
        <v/>
      </c>
      <c r="AE107" s="4">
        <f>IF(A107="","",IF(OR(V107&gt;1,W107&lt;Inputs!$B$11,W107&gt;Inputs!$B$12,AC107&lt;Inputs!$B$19,AD107&lt;Inputs!$B$19,P107&lt;Inputs!$B$7,P107&gt;Inputs!$B$8),"CHECK","OK"))</f>
        <v/>
      </c>
      <c r="AF107" s="4" t="n"/>
      <c r="AG107" s="4">
        <f>IF(A107="","",(1/Inputs!$B$9)*(PI()*(Inputs!$F$5/1000)^2/4)*((Inputs!$F$5/1000/4)^(2/3))*SQRT(P107))</f>
        <v/>
      </c>
      <c r="AH107" s="4">
        <f>IF(A107="","",(1/Inputs!$B$9)*(PI()*(Inputs!$F$6/1000)^2/4)*((Inputs!$F$6/1000/4)^(2/3))*SQRT(P107))</f>
        <v/>
      </c>
      <c r="AI107" s="4">
        <f>IF(A107="","",(1/Inputs!$B$9)*(PI()*(Inputs!$F$7/1000)^2/4)*((Inputs!$F$7/1000/4)^(2/3))*SQRT(P107))</f>
        <v/>
      </c>
      <c r="AJ107" s="4">
        <f>IF(A107="","",(1/Inputs!$B$9)*(PI()*(Inputs!$F$8/1000)^2/4)*((Inputs!$F$8/1000/4)^(2/3))*SQRT(P107))</f>
        <v/>
      </c>
      <c r="AK107" s="4">
        <f>IF(A107="","",(1/Inputs!$B$9)*(PI()*(Inputs!$F$9/1000)^2/4)*((Inputs!$F$9/1000/4)^(2/3))*SQRT(P107))</f>
        <v/>
      </c>
      <c r="AL107" s="4">
        <f>IF(A107="","",(1/Inputs!$B$9)*(PI()*(Inputs!$F$10/1000)^2/4)*((Inputs!$F$10/1000/4)^(2/3))*SQRT(P107))</f>
        <v/>
      </c>
      <c r="AM107" s="4">
        <f>IF(A107="","",(1/Inputs!$B$9)*(PI()*(Inputs!$F$11/1000)^2/4)*((Inputs!$F$11/1000/4)^(2/3))*SQRT(P107))</f>
        <v/>
      </c>
      <c r="AN107" s="4">
        <f>IF(A107="","",(1/Inputs!$B$9)*(PI()*(Inputs!$F$12/1000)^2/4)*((Inputs!$F$12/1000/4)^(2/3))*SQRT(P107))</f>
        <v/>
      </c>
      <c r="AO107" s="4">
        <f>IF(A107="","",(1/Inputs!$B$9)*(PI()*(Inputs!$F$13/1000)^2/4)*((Inputs!$F$13/1000/4)^(2/3))*SQRT(P107))</f>
        <v/>
      </c>
      <c r="AP107" s="4">
        <f>IF(A107="","",(1/Inputs!$B$9)*(PI()*(Inputs!$F$14/1000)^2/4)*((Inputs!$F$14/1000/4)^(2/3))*SQRT(P107))</f>
        <v/>
      </c>
    </row>
    <row r="108">
      <c r="A108" s="4" t="n"/>
      <c r="B108" s="4" t="n"/>
      <c r="C108" s="4" t="n"/>
      <c r="D108" s="4" t="n"/>
      <c r="E108" s="8" t="n"/>
      <c r="F108" s="8" t="n"/>
      <c r="G108" s="8">
        <f>SUMIFS(CB_plan!$C:$C,CB_plan!$B:$B,$A108)</f>
        <v/>
      </c>
      <c r="H108" s="8">
        <f>IF(F108="",G108,F108)</f>
        <v/>
      </c>
      <c r="I108" s="4" t="n"/>
      <c r="J108" s="8" t="n"/>
      <c r="K108" s="8">
        <f>IF(A108="","",Inputs!$B$13/((IF(J108="",Inputs!$B$18,J108)+Inputs!$B$14)^Inputs!$B$15))</f>
        <v/>
      </c>
      <c r="L108" s="8">
        <f>IF(A108="","",0.00278*IF(I108="",Inputs!$B$17,I108)*H108*K108)</f>
        <v/>
      </c>
      <c r="M108" s="8">
        <f>IF(A108="","",SUMIFS($N$4:$N$203,$D$4:$D$203,$A108))</f>
        <v/>
      </c>
      <c r="N108" s="8">
        <f>IF(A108="","",(L108+M108)*Inputs!$B$16)</f>
        <v/>
      </c>
      <c r="O108" s="8" t="n"/>
      <c r="P108" s="8">
        <f>IF(A108="","",IF(O108="",Inputs!$B$7,O108))</f>
        <v/>
      </c>
      <c r="Q108" s="4">
        <f>IF(A108="","",IF(N108/Inputs!$B$10&lt;=AG108,Inputs!$F$5,IF(N108/Inputs!$B$10&gt;AP108,"OVERSIZE",INDEX(Inputs!$F$5:$F$14,MATCH(N108/Inputs!$B$10,AG108:AP108,1)+1))))</f>
        <v/>
      </c>
      <c r="R108" s="4" t="n"/>
      <c r="S108" s="4">
        <f>IF(A108="","",IF(R108="",Q108,R108))</f>
        <v/>
      </c>
      <c r="T108" s="8">
        <f>IF(OR(S108="",S108="OVERSIZE"),"",S108/1000)</f>
        <v/>
      </c>
      <c r="U108" s="8">
        <f>IF(T108="","",(1/Inputs!$B$9)*(PI()*T108^2/4)*((T108/4)^(2/3))*SQRT(P108))</f>
        <v/>
      </c>
      <c r="V108" s="8">
        <f>IF(OR(U108="",N108=""),"",N108/(U108*Inputs!$B$10))</f>
        <v/>
      </c>
      <c r="W108" s="8">
        <f>IF(OR(T108="",N108=""),"",4*N108/(PI()*T108^2))</f>
        <v/>
      </c>
      <c r="X108" s="8" t="n"/>
      <c r="Y108" s="8">
        <f>IF(A108="","",IF(A108=Inputs!$B$6,Inputs!$B$22,IF(D108="","",IFERROR(INDEX($Z$4:$Z$203,MATCH(D108,$A$4:$A$203,0))+IF(X108="",Inputs!$B$20,X108),""))))</f>
        <v/>
      </c>
      <c r="Z108" s="8">
        <f>IF(OR(Y108="",P108="",E108=""),"",Y108+P108*E108)</f>
        <v/>
      </c>
      <c r="AA108" s="8">
        <f>IF(C108="","",IFERROR(INDEX(Noeuds_plan!$C$4:$C$200,MATCH(C108,Noeuds_plan!$A$4:$A$200,0)),""))</f>
        <v/>
      </c>
      <c r="AB108" s="8">
        <f>IF(B108="","",IFERROR(INDEX(Noeuds_plan!$C$4:$C$200,MATCH(B108,Noeuds_plan!$A$4:$A$200,0)),""))</f>
        <v/>
      </c>
      <c r="AC108" s="8">
        <f>IF(OR(AA108="",Y108=""),"",AA108-Y108)</f>
        <v/>
      </c>
      <c r="AD108" s="8">
        <f>IF(OR(AB108="",Z108=""),"",AB108-Z108)</f>
        <v/>
      </c>
      <c r="AE108" s="4">
        <f>IF(A108="","",IF(OR(V108&gt;1,W108&lt;Inputs!$B$11,W108&gt;Inputs!$B$12,AC108&lt;Inputs!$B$19,AD108&lt;Inputs!$B$19,P108&lt;Inputs!$B$7,P108&gt;Inputs!$B$8),"CHECK","OK"))</f>
        <v/>
      </c>
      <c r="AF108" s="4" t="n"/>
      <c r="AG108" s="4">
        <f>IF(A108="","",(1/Inputs!$B$9)*(PI()*(Inputs!$F$5/1000)^2/4)*((Inputs!$F$5/1000/4)^(2/3))*SQRT(P108))</f>
        <v/>
      </c>
      <c r="AH108" s="4">
        <f>IF(A108="","",(1/Inputs!$B$9)*(PI()*(Inputs!$F$6/1000)^2/4)*((Inputs!$F$6/1000/4)^(2/3))*SQRT(P108))</f>
        <v/>
      </c>
      <c r="AI108" s="4">
        <f>IF(A108="","",(1/Inputs!$B$9)*(PI()*(Inputs!$F$7/1000)^2/4)*((Inputs!$F$7/1000/4)^(2/3))*SQRT(P108))</f>
        <v/>
      </c>
      <c r="AJ108" s="4">
        <f>IF(A108="","",(1/Inputs!$B$9)*(PI()*(Inputs!$F$8/1000)^2/4)*((Inputs!$F$8/1000/4)^(2/3))*SQRT(P108))</f>
        <v/>
      </c>
      <c r="AK108" s="4">
        <f>IF(A108="","",(1/Inputs!$B$9)*(PI()*(Inputs!$F$9/1000)^2/4)*((Inputs!$F$9/1000/4)^(2/3))*SQRT(P108))</f>
        <v/>
      </c>
      <c r="AL108" s="4">
        <f>IF(A108="","",(1/Inputs!$B$9)*(PI()*(Inputs!$F$10/1000)^2/4)*((Inputs!$F$10/1000/4)^(2/3))*SQRT(P108))</f>
        <v/>
      </c>
      <c r="AM108" s="4">
        <f>IF(A108="","",(1/Inputs!$B$9)*(PI()*(Inputs!$F$11/1000)^2/4)*((Inputs!$F$11/1000/4)^(2/3))*SQRT(P108))</f>
        <v/>
      </c>
      <c r="AN108" s="4">
        <f>IF(A108="","",(1/Inputs!$B$9)*(PI()*(Inputs!$F$12/1000)^2/4)*((Inputs!$F$12/1000/4)^(2/3))*SQRT(P108))</f>
        <v/>
      </c>
      <c r="AO108" s="4">
        <f>IF(A108="","",(1/Inputs!$B$9)*(PI()*(Inputs!$F$13/1000)^2/4)*((Inputs!$F$13/1000/4)^(2/3))*SQRT(P108))</f>
        <v/>
      </c>
      <c r="AP108" s="4">
        <f>IF(A108="","",(1/Inputs!$B$9)*(PI()*(Inputs!$F$14/1000)^2/4)*((Inputs!$F$14/1000/4)^(2/3))*SQRT(P108))</f>
        <v/>
      </c>
    </row>
    <row r="109">
      <c r="A109" s="4" t="n"/>
      <c r="B109" s="4" t="n"/>
      <c r="C109" s="4" t="n"/>
      <c r="D109" s="4" t="n"/>
      <c r="E109" s="8" t="n"/>
      <c r="F109" s="8" t="n"/>
      <c r="G109" s="8">
        <f>SUMIFS(CB_plan!$C:$C,CB_plan!$B:$B,$A109)</f>
        <v/>
      </c>
      <c r="H109" s="8">
        <f>IF(F109="",G109,F109)</f>
        <v/>
      </c>
      <c r="I109" s="4" t="n"/>
      <c r="J109" s="8" t="n"/>
      <c r="K109" s="8">
        <f>IF(A109="","",Inputs!$B$13/((IF(J109="",Inputs!$B$18,J109)+Inputs!$B$14)^Inputs!$B$15))</f>
        <v/>
      </c>
      <c r="L109" s="8">
        <f>IF(A109="","",0.00278*IF(I109="",Inputs!$B$17,I109)*H109*K109)</f>
        <v/>
      </c>
      <c r="M109" s="8">
        <f>IF(A109="","",SUMIFS($N$4:$N$203,$D$4:$D$203,$A109))</f>
        <v/>
      </c>
      <c r="N109" s="8">
        <f>IF(A109="","",(L109+M109)*Inputs!$B$16)</f>
        <v/>
      </c>
      <c r="O109" s="8" t="n"/>
      <c r="P109" s="8">
        <f>IF(A109="","",IF(O109="",Inputs!$B$7,O109))</f>
        <v/>
      </c>
      <c r="Q109" s="4">
        <f>IF(A109="","",IF(N109/Inputs!$B$10&lt;=AG109,Inputs!$F$5,IF(N109/Inputs!$B$10&gt;AP109,"OVERSIZE",INDEX(Inputs!$F$5:$F$14,MATCH(N109/Inputs!$B$10,AG109:AP109,1)+1))))</f>
        <v/>
      </c>
      <c r="R109" s="4" t="n"/>
      <c r="S109" s="4">
        <f>IF(A109="","",IF(R109="",Q109,R109))</f>
        <v/>
      </c>
      <c r="T109" s="8">
        <f>IF(OR(S109="",S109="OVERSIZE"),"",S109/1000)</f>
        <v/>
      </c>
      <c r="U109" s="8">
        <f>IF(T109="","",(1/Inputs!$B$9)*(PI()*T109^2/4)*((T109/4)^(2/3))*SQRT(P109))</f>
        <v/>
      </c>
      <c r="V109" s="8">
        <f>IF(OR(U109="",N109=""),"",N109/(U109*Inputs!$B$10))</f>
        <v/>
      </c>
      <c r="W109" s="8">
        <f>IF(OR(T109="",N109=""),"",4*N109/(PI()*T109^2))</f>
        <v/>
      </c>
      <c r="X109" s="8" t="n"/>
      <c r="Y109" s="8">
        <f>IF(A109="","",IF(A109=Inputs!$B$6,Inputs!$B$22,IF(D109="","",IFERROR(INDEX($Z$4:$Z$203,MATCH(D109,$A$4:$A$203,0))+IF(X109="",Inputs!$B$20,X109),""))))</f>
        <v/>
      </c>
      <c r="Z109" s="8">
        <f>IF(OR(Y109="",P109="",E109=""),"",Y109+P109*E109)</f>
        <v/>
      </c>
      <c r="AA109" s="8">
        <f>IF(C109="","",IFERROR(INDEX(Noeuds_plan!$C$4:$C$200,MATCH(C109,Noeuds_plan!$A$4:$A$200,0)),""))</f>
        <v/>
      </c>
      <c r="AB109" s="8">
        <f>IF(B109="","",IFERROR(INDEX(Noeuds_plan!$C$4:$C$200,MATCH(B109,Noeuds_plan!$A$4:$A$200,0)),""))</f>
        <v/>
      </c>
      <c r="AC109" s="8">
        <f>IF(OR(AA109="",Y109=""),"",AA109-Y109)</f>
        <v/>
      </c>
      <c r="AD109" s="8">
        <f>IF(OR(AB109="",Z109=""),"",AB109-Z109)</f>
        <v/>
      </c>
      <c r="AE109" s="4">
        <f>IF(A109="","",IF(OR(V109&gt;1,W109&lt;Inputs!$B$11,W109&gt;Inputs!$B$12,AC109&lt;Inputs!$B$19,AD109&lt;Inputs!$B$19,P109&lt;Inputs!$B$7,P109&gt;Inputs!$B$8),"CHECK","OK"))</f>
        <v/>
      </c>
      <c r="AF109" s="4" t="n"/>
      <c r="AG109" s="4">
        <f>IF(A109="","",(1/Inputs!$B$9)*(PI()*(Inputs!$F$5/1000)^2/4)*((Inputs!$F$5/1000/4)^(2/3))*SQRT(P109))</f>
        <v/>
      </c>
      <c r="AH109" s="4">
        <f>IF(A109="","",(1/Inputs!$B$9)*(PI()*(Inputs!$F$6/1000)^2/4)*((Inputs!$F$6/1000/4)^(2/3))*SQRT(P109))</f>
        <v/>
      </c>
      <c r="AI109" s="4">
        <f>IF(A109="","",(1/Inputs!$B$9)*(PI()*(Inputs!$F$7/1000)^2/4)*((Inputs!$F$7/1000/4)^(2/3))*SQRT(P109))</f>
        <v/>
      </c>
      <c r="AJ109" s="4">
        <f>IF(A109="","",(1/Inputs!$B$9)*(PI()*(Inputs!$F$8/1000)^2/4)*((Inputs!$F$8/1000/4)^(2/3))*SQRT(P109))</f>
        <v/>
      </c>
      <c r="AK109" s="4">
        <f>IF(A109="","",(1/Inputs!$B$9)*(PI()*(Inputs!$F$9/1000)^2/4)*((Inputs!$F$9/1000/4)^(2/3))*SQRT(P109))</f>
        <v/>
      </c>
      <c r="AL109" s="4">
        <f>IF(A109="","",(1/Inputs!$B$9)*(PI()*(Inputs!$F$10/1000)^2/4)*((Inputs!$F$10/1000/4)^(2/3))*SQRT(P109))</f>
        <v/>
      </c>
      <c r="AM109" s="4">
        <f>IF(A109="","",(1/Inputs!$B$9)*(PI()*(Inputs!$F$11/1000)^2/4)*((Inputs!$F$11/1000/4)^(2/3))*SQRT(P109))</f>
        <v/>
      </c>
      <c r="AN109" s="4">
        <f>IF(A109="","",(1/Inputs!$B$9)*(PI()*(Inputs!$F$12/1000)^2/4)*((Inputs!$F$12/1000/4)^(2/3))*SQRT(P109))</f>
        <v/>
      </c>
      <c r="AO109" s="4">
        <f>IF(A109="","",(1/Inputs!$B$9)*(PI()*(Inputs!$F$13/1000)^2/4)*((Inputs!$F$13/1000/4)^(2/3))*SQRT(P109))</f>
        <v/>
      </c>
      <c r="AP109" s="4">
        <f>IF(A109="","",(1/Inputs!$B$9)*(PI()*(Inputs!$F$14/1000)^2/4)*((Inputs!$F$14/1000/4)^(2/3))*SQRT(P109))</f>
        <v/>
      </c>
    </row>
    <row r="110">
      <c r="A110" s="4" t="n"/>
      <c r="B110" s="4" t="n"/>
      <c r="C110" s="4" t="n"/>
      <c r="D110" s="4" t="n"/>
      <c r="E110" s="8" t="n"/>
      <c r="F110" s="8" t="n"/>
      <c r="G110" s="8">
        <f>SUMIFS(CB_plan!$C:$C,CB_plan!$B:$B,$A110)</f>
        <v/>
      </c>
      <c r="H110" s="8">
        <f>IF(F110="",G110,F110)</f>
        <v/>
      </c>
      <c r="I110" s="4" t="n"/>
      <c r="J110" s="8" t="n"/>
      <c r="K110" s="8">
        <f>IF(A110="","",Inputs!$B$13/((IF(J110="",Inputs!$B$18,J110)+Inputs!$B$14)^Inputs!$B$15))</f>
        <v/>
      </c>
      <c r="L110" s="8">
        <f>IF(A110="","",0.00278*IF(I110="",Inputs!$B$17,I110)*H110*K110)</f>
        <v/>
      </c>
      <c r="M110" s="8">
        <f>IF(A110="","",SUMIFS($N$4:$N$203,$D$4:$D$203,$A110))</f>
        <v/>
      </c>
      <c r="N110" s="8">
        <f>IF(A110="","",(L110+M110)*Inputs!$B$16)</f>
        <v/>
      </c>
      <c r="O110" s="8" t="n"/>
      <c r="P110" s="8">
        <f>IF(A110="","",IF(O110="",Inputs!$B$7,O110))</f>
        <v/>
      </c>
      <c r="Q110" s="4">
        <f>IF(A110="","",IF(N110/Inputs!$B$10&lt;=AG110,Inputs!$F$5,IF(N110/Inputs!$B$10&gt;AP110,"OVERSIZE",INDEX(Inputs!$F$5:$F$14,MATCH(N110/Inputs!$B$10,AG110:AP110,1)+1))))</f>
        <v/>
      </c>
      <c r="R110" s="4" t="n"/>
      <c r="S110" s="4">
        <f>IF(A110="","",IF(R110="",Q110,R110))</f>
        <v/>
      </c>
      <c r="T110" s="8">
        <f>IF(OR(S110="",S110="OVERSIZE"),"",S110/1000)</f>
        <v/>
      </c>
      <c r="U110" s="8">
        <f>IF(T110="","",(1/Inputs!$B$9)*(PI()*T110^2/4)*((T110/4)^(2/3))*SQRT(P110))</f>
        <v/>
      </c>
      <c r="V110" s="8">
        <f>IF(OR(U110="",N110=""),"",N110/(U110*Inputs!$B$10))</f>
        <v/>
      </c>
      <c r="W110" s="8">
        <f>IF(OR(T110="",N110=""),"",4*N110/(PI()*T110^2))</f>
        <v/>
      </c>
      <c r="X110" s="8" t="n"/>
      <c r="Y110" s="8">
        <f>IF(A110="","",IF(A110=Inputs!$B$6,Inputs!$B$22,IF(D110="","",IFERROR(INDEX($Z$4:$Z$203,MATCH(D110,$A$4:$A$203,0))+IF(X110="",Inputs!$B$20,X110),""))))</f>
        <v/>
      </c>
      <c r="Z110" s="8">
        <f>IF(OR(Y110="",P110="",E110=""),"",Y110+P110*E110)</f>
        <v/>
      </c>
      <c r="AA110" s="8">
        <f>IF(C110="","",IFERROR(INDEX(Noeuds_plan!$C$4:$C$200,MATCH(C110,Noeuds_plan!$A$4:$A$200,0)),""))</f>
        <v/>
      </c>
      <c r="AB110" s="8">
        <f>IF(B110="","",IFERROR(INDEX(Noeuds_plan!$C$4:$C$200,MATCH(B110,Noeuds_plan!$A$4:$A$200,0)),""))</f>
        <v/>
      </c>
      <c r="AC110" s="8">
        <f>IF(OR(AA110="",Y110=""),"",AA110-Y110)</f>
        <v/>
      </c>
      <c r="AD110" s="8">
        <f>IF(OR(AB110="",Z110=""),"",AB110-Z110)</f>
        <v/>
      </c>
      <c r="AE110" s="4">
        <f>IF(A110="","",IF(OR(V110&gt;1,W110&lt;Inputs!$B$11,W110&gt;Inputs!$B$12,AC110&lt;Inputs!$B$19,AD110&lt;Inputs!$B$19,P110&lt;Inputs!$B$7,P110&gt;Inputs!$B$8),"CHECK","OK"))</f>
        <v/>
      </c>
      <c r="AF110" s="4" t="n"/>
      <c r="AG110" s="4">
        <f>IF(A110="","",(1/Inputs!$B$9)*(PI()*(Inputs!$F$5/1000)^2/4)*((Inputs!$F$5/1000/4)^(2/3))*SQRT(P110))</f>
        <v/>
      </c>
      <c r="AH110" s="4">
        <f>IF(A110="","",(1/Inputs!$B$9)*(PI()*(Inputs!$F$6/1000)^2/4)*((Inputs!$F$6/1000/4)^(2/3))*SQRT(P110))</f>
        <v/>
      </c>
      <c r="AI110" s="4">
        <f>IF(A110="","",(1/Inputs!$B$9)*(PI()*(Inputs!$F$7/1000)^2/4)*((Inputs!$F$7/1000/4)^(2/3))*SQRT(P110))</f>
        <v/>
      </c>
      <c r="AJ110" s="4">
        <f>IF(A110="","",(1/Inputs!$B$9)*(PI()*(Inputs!$F$8/1000)^2/4)*((Inputs!$F$8/1000/4)^(2/3))*SQRT(P110))</f>
        <v/>
      </c>
      <c r="AK110" s="4">
        <f>IF(A110="","",(1/Inputs!$B$9)*(PI()*(Inputs!$F$9/1000)^2/4)*((Inputs!$F$9/1000/4)^(2/3))*SQRT(P110))</f>
        <v/>
      </c>
      <c r="AL110" s="4">
        <f>IF(A110="","",(1/Inputs!$B$9)*(PI()*(Inputs!$F$10/1000)^2/4)*((Inputs!$F$10/1000/4)^(2/3))*SQRT(P110))</f>
        <v/>
      </c>
      <c r="AM110" s="4">
        <f>IF(A110="","",(1/Inputs!$B$9)*(PI()*(Inputs!$F$11/1000)^2/4)*((Inputs!$F$11/1000/4)^(2/3))*SQRT(P110))</f>
        <v/>
      </c>
      <c r="AN110" s="4">
        <f>IF(A110="","",(1/Inputs!$B$9)*(PI()*(Inputs!$F$12/1000)^2/4)*((Inputs!$F$12/1000/4)^(2/3))*SQRT(P110))</f>
        <v/>
      </c>
      <c r="AO110" s="4">
        <f>IF(A110="","",(1/Inputs!$B$9)*(PI()*(Inputs!$F$13/1000)^2/4)*((Inputs!$F$13/1000/4)^(2/3))*SQRT(P110))</f>
        <v/>
      </c>
      <c r="AP110" s="4">
        <f>IF(A110="","",(1/Inputs!$B$9)*(PI()*(Inputs!$F$14/1000)^2/4)*((Inputs!$F$14/1000/4)^(2/3))*SQRT(P110))</f>
        <v/>
      </c>
    </row>
    <row r="111">
      <c r="A111" s="4" t="n"/>
      <c r="B111" s="4" t="n"/>
      <c r="C111" s="4" t="n"/>
      <c r="D111" s="4" t="n"/>
      <c r="E111" s="8" t="n"/>
      <c r="F111" s="8" t="n"/>
      <c r="G111" s="8">
        <f>SUMIFS(CB_plan!$C:$C,CB_plan!$B:$B,$A111)</f>
        <v/>
      </c>
      <c r="H111" s="8">
        <f>IF(F111="",G111,F111)</f>
        <v/>
      </c>
      <c r="I111" s="4" t="n"/>
      <c r="J111" s="8" t="n"/>
      <c r="K111" s="8">
        <f>IF(A111="","",Inputs!$B$13/((IF(J111="",Inputs!$B$18,J111)+Inputs!$B$14)^Inputs!$B$15))</f>
        <v/>
      </c>
      <c r="L111" s="8">
        <f>IF(A111="","",0.00278*IF(I111="",Inputs!$B$17,I111)*H111*K111)</f>
        <v/>
      </c>
      <c r="M111" s="8">
        <f>IF(A111="","",SUMIFS($N$4:$N$203,$D$4:$D$203,$A111))</f>
        <v/>
      </c>
      <c r="N111" s="8">
        <f>IF(A111="","",(L111+M111)*Inputs!$B$16)</f>
        <v/>
      </c>
      <c r="O111" s="8" t="n"/>
      <c r="P111" s="8">
        <f>IF(A111="","",IF(O111="",Inputs!$B$7,O111))</f>
        <v/>
      </c>
      <c r="Q111" s="4">
        <f>IF(A111="","",IF(N111/Inputs!$B$10&lt;=AG111,Inputs!$F$5,IF(N111/Inputs!$B$10&gt;AP111,"OVERSIZE",INDEX(Inputs!$F$5:$F$14,MATCH(N111/Inputs!$B$10,AG111:AP111,1)+1))))</f>
        <v/>
      </c>
      <c r="R111" s="4" t="n"/>
      <c r="S111" s="4">
        <f>IF(A111="","",IF(R111="",Q111,R111))</f>
        <v/>
      </c>
      <c r="T111" s="8">
        <f>IF(OR(S111="",S111="OVERSIZE"),"",S111/1000)</f>
        <v/>
      </c>
      <c r="U111" s="8">
        <f>IF(T111="","",(1/Inputs!$B$9)*(PI()*T111^2/4)*((T111/4)^(2/3))*SQRT(P111))</f>
        <v/>
      </c>
      <c r="V111" s="8">
        <f>IF(OR(U111="",N111=""),"",N111/(U111*Inputs!$B$10))</f>
        <v/>
      </c>
      <c r="W111" s="8">
        <f>IF(OR(T111="",N111=""),"",4*N111/(PI()*T111^2))</f>
        <v/>
      </c>
      <c r="X111" s="8" t="n"/>
      <c r="Y111" s="8">
        <f>IF(A111="","",IF(A111=Inputs!$B$6,Inputs!$B$22,IF(D111="","",IFERROR(INDEX($Z$4:$Z$203,MATCH(D111,$A$4:$A$203,0))+IF(X111="",Inputs!$B$20,X111),""))))</f>
        <v/>
      </c>
      <c r="Z111" s="8">
        <f>IF(OR(Y111="",P111="",E111=""),"",Y111+P111*E111)</f>
        <v/>
      </c>
      <c r="AA111" s="8">
        <f>IF(C111="","",IFERROR(INDEX(Noeuds_plan!$C$4:$C$200,MATCH(C111,Noeuds_plan!$A$4:$A$200,0)),""))</f>
        <v/>
      </c>
      <c r="AB111" s="8">
        <f>IF(B111="","",IFERROR(INDEX(Noeuds_plan!$C$4:$C$200,MATCH(B111,Noeuds_plan!$A$4:$A$200,0)),""))</f>
        <v/>
      </c>
      <c r="AC111" s="8">
        <f>IF(OR(AA111="",Y111=""),"",AA111-Y111)</f>
        <v/>
      </c>
      <c r="AD111" s="8">
        <f>IF(OR(AB111="",Z111=""),"",AB111-Z111)</f>
        <v/>
      </c>
      <c r="AE111" s="4">
        <f>IF(A111="","",IF(OR(V111&gt;1,W111&lt;Inputs!$B$11,W111&gt;Inputs!$B$12,AC111&lt;Inputs!$B$19,AD111&lt;Inputs!$B$19,P111&lt;Inputs!$B$7,P111&gt;Inputs!$B$8),"CHECK","OK"))</f>
        <v/>
      </c>
      <c r="AF111" s="4" t="n"/>
      <c r="AG111" s="4">
        <f>IF(A111="","",(1/Inputs!$B$9)*(PI()*(Inputs!$F$5/1000)^2/4)*((Inputs!$F$5/1000/4)^(2/3))*SQRT(P111))</f>
        <v/>
      </c>
      <c r="AH111" s="4">
        <f>IF(A111="","",(1/Inputs!$B$9)*(PI()*(Inputs!$F$6/1000)^2/4)*((Inputs!$F$6/1000/4)^(2/3))*SQRT(P111))</f>
        <v/>
      </c>
      <c r="AI111" s="4">
        <f>IF(A111="","",(1/Inputs!$B$9)*(PI()*(Inputs!$F$7/1000)^2/4)*((Inputs!$F$7/1000/4)^(2/3))*SQRT(P111))</f>
        <v/>
      </c>
      <c r="AJ111" s="4">
        <f>IF(A111="","",(1/Inputs!$B$9)*(PI()*(Inputs!$F$8/1000)^2/4)*((Inputs!$F$8/1000/4)^(2/3))*SQRT(P111))</f>
        <v/>
      </c>
      <c r="AK111" s="4">
        <f>IF(A111="","",(1/Inputs!$B$9)*(PI()*(Inputs!$F$9/1000)^2/4)*((Inputs!$F$9/1000/4)^(2/3))*SQRT(P111))</f>
        <v/>
      </c>
      <c r="AL111" s="4">
        <f>IF(A111="","",(1/Inputs!$B$9)*(PI()*(Inputs!$F$10/1000)^2/4)*((Inputs!$F$10/1000/4)^(2/3))*SQRT(P111))</f>
        <v/>
      </c>
      <c r="AM111" s="4">
        <f>IF(A111="","",(1/Inputs!$B$9)*(PI()*(Inputs!$F$11/1000)^2/4)*((Inputs!$F$11/1000/4)^(2/3))*SQRT(P111))</f>
        <v/>
      </c>
      <c r="AN111" s="4">
        <f>IF(A111="","",(1/Inputs!$B$9)*(PI()*(Inputs!$F$12/1000)^2/4)*((Inputs!$F$12/1000/4)^(2/3))*SQRT(P111))</f>
        <v/>
      </c>
      <c r="AO111" s="4">
        <f>IF(A111="","",(1/Inputs!$B$9)*(PI()*(Inputs!$F$13/1000)^2/4)*((Inputs!$F$13/1000/4)^(2/3))*SQRT(P111))</f>
        <v/>
      </c>
      <c r="AP111" s="4">
        <f>IF(A111="","",(1/Inputs!$B$9)*(PI()*(Inputs!$F$14/1000)^2/4)*((Inputs!$F$14/1000/4)^(2/3))*SQRT(P111))</f>
        <v/>
      </c>
    </row>
    <row r="112">
      <c r="A112" s="4" t="n"/>
      <c r="B112" s="4" t="n"/>
      <c r="C112" s="4" t="n"/>
      <c r="D112" s="4" t="n"/>
      <c r="E112" s="8" t="n"/>
      <c r="F112" s="8" t="n"/>
      <c r="G112" s="8">
        <f>SUMIFS(CB_plan!$C:$C,CB_plan!$B:$B,$A112)</f>
        <v/>
      </c>
      <c r="H112" s="8">
        <f>IF(F112="",G112,F112)</f>
        <v/>
      </c>
      <c r="I112" s="4" t="n"/>
      <c r="J112" s="8" t="n"/>
      <c r="K112" s="8">
        <f>IF(A112="","",Inputs!$B$13/((IF(J112="",Inputs!$B$18,J112)+Inputs!$B$14)^Inputs!$B$15))</f>
        <v/>
      </c>
      <c r="L112" s="8">
        <f>IF(A112="","",0.00278*IF(I112="",Inputs!$B$17,I112)*H112*K112)</f>
        <v/>
      </c>
      <c r="M112" s="8">
        <f>IF(A112="","",SUMIFS($N$4:$N$203,$D$4:$D$203,$A112))</f>
        <v/>
      </c>
      <c r="N112" s="8">
        <f>IF(A112="","",(L112+M112)*Inputs!$B$16)</f>
        <v/>
      </c>
      <c r="O112" s="8" t="n"/>
      <c r="P112" s="8">
        <f>IF(A112="","",IF(O112="",Inputs!$B$7,O112))</f>
        <v/>
      </c>
      <c r="Q112" s="4">
        <f>IF(A112="","",IF(N112/Inputs!$B$10&lt;=AG112,Inputs!$F$5,IF(N112/Inputs!$B$10&gt;AP112,"OVERSIZE",INDEX(Inputs!$F$5:$F$14,MATCH(N112/Inputs!$B$10,AG112:AP112,1)+1))))</f>
        <v/>
      </c>
      <c r="R112" s="4" t="n"/>
      <c r="S112" s="4">
        <f>IF(A112="","",IF(R112="",Q112,R112))</f>
        <v/>
      </c>
      <c r="T112" s="8">
        <f>IF(OR(S112="",S112="OVERSIZE"),"",S112/1000)</f>
        <v/>
      </c>
      <c r="U112" s="8">
        <f>IF(T112="","",(1/Inputs!$B$9)*(PI()*T112^2/4)*((T112/4)^(2/3))*SQRT(P112))</f>
        <v/>
      </c>
      <c r="V112" s="8">
        <f>IF(OR(U112="",N112=""),"",N112/(U112*Inputs!$B$10))</f>
        <v/>
      </c>
      <c r="W112" s="8">
        <f>IF(OR(T112="",N112=""),"",4*N112/(PI()*T112^2))</f>
        <v/>
      </c>
      <c r="X112" s="8" t="n"/>
      <c r="Y112" s="8">
        <f>IF(A112="","",IF(A112=Inputs!$B$6,Inputs!$B$22,IF(D112="","",IFERROR(INDEX($Z$4:$Z$203,MATCH(D112,$A$4:$A$203,0))+IF(X112="",Inputs!$B$20,X112),""))))</f>
        <v/>
      </c>
      <c r="Z112" s="8">
        <f>IF(OR(Y112="",P112="",E112=""),"",Y112+P112*E112)</f>
        <v/>
      </c>
      <c r="AA112" s="8">
        <f>IF(C112="","",IFERROR(INDEX(Noeuds_plan!$C$4:$C$200,MATCH(C112,Noeuds_plan!$A$4:$A$200,0)),""))</f>
        <v/>
      </c>
      <c r="AB112" s="8">
        <f>IF(B112="","",IFERROR(INDEX(Noeuds_plan!$C$4:$C$200,MATCH(B112,Noeuds_plan!$A$4:$A$200,0)),""))</f>
        <v/>
      </c>
      <c r="AC112" s="8">
        <f>IF(OR(AA112="",Y112=""),"",AA112-Y112)</f>
        <v/>
      </c>
      <c r="AD112" s="8">
        <f>IF(OR(AB112="",Z112=""),"",AB112-Z112)</f>
        <v/>
      </c>
      <c r="AE112" s="4">
        <f>IF(A112="","",IF(OR(V112&gt;1,W112&lt;Inputs!$B$11,W112&gt;Inputs!$B$12,AC112&lt;Inputs!$B$19,AD112&lt;Inputs!$B$19,P112&lt;Inputs!$B$7,P112&gt;Inputs!$B$8),"CHECK","OK"))</f>
        <v/>
      </c>
      <c r="AF112" s="4" t="n"/>
      <c r="AG112" s="4">
        <f>IF(A112="","",(1/Inputs!$B$9)*(PI()*(Inputs!$F$5/1000)^2/4)*((Inputs!$F$5/1000/4)^(2/3))*SQRT(P112))</f>
        <v/>
      </c>
      <c r="AH112" s="4">
        <f>IF(A112="","",(1/Inputs!$B$9)*(PI()*(Inputs!$F$6/1000)^2/4)*((Inputs!$F$6/1000/4)^(2/3))*SQRT(P112))</f>
        <v/>
      </c>
      <c r="AI112" s="4">
        <f>IF(A112="","",(1/Inputs!$B$9)*(PI()*(Inputs!$F$7/1000)^2/4)*((Inputs!$F$7/1000/4)^(2/3))*SQRT(P112))</f>
        <v/>
      </c>
      <c r="AJ112" s="4">
        <f>IF(A112="","",(1/Inputs!$B$9)*(PI()*(Inputs!$F$8/1000)^2/4)*((Inputs!$F$8/1000/4)^(2/3))*SQRT(P112))</f>
        <v/>
      </c>
      <c r="AK112" s="4">
        <f>IF(A112="","",(1/Inputs!$B$9)*(PI()*(Inputs!$F$9/1000)^2/4)*((Inputs!$F$9/1000/4)^(2/3))*SQRT(P112))</f>
        <v/>
      </c>
      <c r="AL112" s="4">
        <f>IF(A112="","",(1/Inputs!$B$9)*(PI()*(Inputs!$F$10/1000)^2/4)*((Inputs!$F$10/1000/4)^(2/3))*SQRT(P112))</f>
        <v/>
      </c>
      <c r="AM112" s="4">
        <f>IF(A112="","",(1/Inputs!$B$9)*(PI()*(Inputs!$F$11/1000)^2/4)*((Inputs!$F$11/1000/4)^(2/3))*SQRT(P112))</f>
        <v/>
      </c>
      <c r="AN112" s="4">
        <f>IF(A112="","",(1/Inputs!$B$9)*(PI()*(Inputs!$F$12/1000)^2/4)*((Inputs!$F$12/1000/4)^(2/3))*SQRT(P112))</f>
        <v/>
      </c>
      <c r="AO112" s="4">
        <f>IF(A112="","",(1/Inputs!$B$9)*(PI()*(Inputs!$F$13/1000)^2/4)*((Inputs!$F$13/1000/4)^(2/3))*SQRT(P112))</f>
        <v/>
      </c>
      <c r="AP112" s="4">
        <f>IF(A112="","",(1/Inputs!$B$9)*(PI()*(Inputs!$F$14/1000)^2/4)*((Inputs!$F$14/1000/4)^(2/3))*SQRT(P112))</f>
        <v/>
      </c>
    </row>
    <row r="113">
      <c r="A113" s="4" t="n"/>
      <c r="B113" s="4" t="n"/>
      <c r="C113" s="4" t="n"/>
      <c r="D113" s="4" t="n"/>
      <c r="E113" s="8" t="n"/>
      <c r="F113" s="8" t="n"/>
      <c r="G113" s="8">
        <f>SUMIFS(CB_plan!$C:$C,CB_plan!$B:$B,$A113)</f>
        <v/>
      </c>
      <c r="H113" s="8">
        <f>IF(F113="",G113,F113)</f>
        <v/>
      </c>
      <c r="I113" s="4" t="n"/>
      <c r="J113" s="8" t="n"/>
      <c r="K113" s="8">
        <f>IF(A113="","",Inputs!$B$13/((IF(J113="",Inputs!$B$18,J113)+Inputs!$B$14)^Inputs!$B$15))</f>
        <v/>
      </c>
      <c r="L113" s="8">
        <f>IF(A113="","",0.00278*IF(I113="",Inputs!$B$17,I113)*H113*K113)</f>
        <v/>
      </c>
      <c r="M113" s="8">
        <f>IF(A113="","",SUMIFS($N$4:$N$203,$D$4:$D$203,$A113))</f>
        <v/>
      </c>
      <c r="N113" s="8">
        <f>IF(A113="","",(L113+M113)*Inputs!$B$16)</f>
        <v/>
      </c>
      <c r="O113" s="8" t="n"/>
      <c r="P113" s="8">
        <f>IF(A113="","",IF(O113="",Inputs!$B$7,O113))</f>
        <v/>
      </c>
      <c r="Q113" s="4">
        <f>IF(A113="","",IF(N113/Inputs!$B$10&lt;=AG113,Inputs!$F$5,IF(N113/Inputs!$B$10&gt;AP113,"OVERSIZE",INDEX(Inputs!$F$5:$F$14,MATCH(N113/Inputs!$B$10,AG113:AP113,1)+1))))</f>
        <v/>
      </c>
      <c r="R113" s="4" t="n"/>
      <c r="S113" s="4">
        <f>IF(A113="","",IF(R113="",Q113,R113))</f>
        <v/>
      </c>
      <c r="T113" s="8">
        <f>IF(OR(S113="",S113="OVERSIZE"),"",S113/1000)</f>
        <v/>
      </c>
      <c r="U113" s="8">
        <f>IF(T113="","",(1/Inputs!$B$9)*(PI()*T113^2/4)*((T113/4)^(2/3))*SQRT(P113))</f>
        <v/>
      </c>
      <c r="V113" s="8">
        <f>IF(OR(U113="",N113=""),"",N113/(U113*Inputs!$B$10))</f>
        <v/>
      </c>
      <c r="W113" s="8">
        <f>IF(OR(T113="",N113=""),"",4*N113/(PI()*T113^2))</f>
        <v/>
      </c>
      <c r="X113" s="8" t="n"/>
      <c r="Y113" s="8">
        <f>IF(A113="","",IF(A113=Inputs!$B$6,Inputs!$B$22,IF(D113="","",IFERROR(INDEX($Z$4:$Z$203,MATCH(D113,$A$4:$A$203,0))+IF(X113="",Inputs!$B$20,X113),""))))</f>
        <v/>
      </c>
      <c r="Z113" s="8">
        <f>IF(OR(Y113="",P113="",E113=""),"",Y113+P113*E113)</f>
        <v/>
      </c>
      <c r="AA113" s="8">
        <f>IF(C113="","",IFERROR(INDEX(Noeuds_plan!$C$4:$C$200,MATCH(C113,Noeuds_plan!$A$4:$A$200,0)),""))</f>
        <v/>
      </c>
      <c r="AB113" s="8">
        <f>IF(B113="","",IFERROR(INDEX(Noeuds_plan!$C$4:$C$200,MATCH(B113,Noeuds_plan!$A$4:$A$200,0)),""))</f>
        <v/>
      </c>
      <c r="AC113" s="8">
        <f>IF(OR(AA113="",Y113=""),"",AA113-Y113)</f>
        <v/>
      </c>
      <c r="AD113" s="8">
        <f>IF(OR(AB113="",Z113=""),"",AB113-Z113)</f>
        <v/>
      </c>
      <c r="AE113" s="4">
        <f>IF(A113="","",IF(OR(V113&gt;1,W113&lt;Inputs!$B$11,W113&gt;Inputs!$B$12,AC113&lt;Inputs!$B$19,AD113&lt;Inputs!$B$19,P113&lt;Inputs!$B$7,P113&gt;Inputs!$B$8),"CHECK","OK"))</f>
        <v/>
      </c>
      <c r="AF113" s="4" t="n"/>
      <c r="AG113" s="4">
        <f>IF(A113="","",(1/Inputs!$B$9)*(PI()*(Inputs!$F$5/1000)^2/4)*((Inputs!$F$5/1000/4)^(2/3))*SQRT(P113))</f>
        <v/>
      </c>
      <c r="AH113" s="4">
        <f>IF(A113="","",(1/Inputs!$B$9)*(PI()*(Inputs!$F$6/1000)^2/4)*((Inputs!$F$6/1000/4)^(2/3))*SQRT(P113))</f>
        <v/>
      </c>
      <c r="AI113" s="4">
        <f>IF(A113="","",(1/Inputs!$B$9)*(PI()*(Inputs!$F$7/1000)^2/4)*((Inputs!$F$7/1000/4)^(2/3))*SQRT(P113))</f>
        <v/>
      </c>
      <c r="AJ113" s="4">
        <f>IF(A113="","",(1/Inputs!$B$9)*(PI()*(Inputs!$F$8/1000)^2/4)*((Inputs!$F$8/1000/4)^(2/3))*SQRT(P113))</f>
        <v/>
      </c>
      <c r="AK113" s="4">
        <f>IF(A113="","",(1/Inputs!$B$9)*(PI()*(Inputs!$F$9/1000)^2/4)*((Inputs!$F$9/1000/4)^(2/3))*SQRT(P113))</f>
        <v/>
      </c>
      <c r="AL113" s="4">
        <f>IF(A113="","",(1/Inputs!$B$9)*(PI()*(Inputs!$F$10/1000)^2/4)*((Inputs!$F$10/1000/4)^(2/3))*SQRT(P113))</f>
        <v/>
      </c>
      <c r="AM113" s="4">
        <f>IF(A113="","",(1/Inputs!$B$9)*(PI()*(Inputs!$F$11/1000)^2/4)*((Inputs!$F$11/1000/4)^(2/3))*SQRT(P113))</f>
        <v/>
      </c>
      <c r="AN113" s="4">
        <f>IF(A113="","",(1/Inputs!$B$9)*(PI()*(Inputs!$F$12/1000)^2/4)*((Inputs!$F$12/1000/4)^(2/3))*SQRT(P113))</f>
        <v/>
      </c>
      <c r="AO113" s="4">
        <f>IF(A113="","",(1/Inputs!$B$9)*(PI()*(Inputs!$F$13/1000)^2/4)*((Inputs!$F$13/1000/4)^(2/3))*SQRT(P113))</f>
        <v/>
      </c>
      <c r="AP113" s="4">
        <f>IF(A113="","",(1/Inputs!$B$9)*(PI()*(Inputs!$F$14/1000)^2/4)*((Inputs!$F$14/1000/4)^(2/3))*SQRT(P113))</f>
        <v/>
      </c>
    </row>
    <row r="114">
      <c r="A114" s="4" t="n"/>
      <c r="B114" s="4" t="n"/>
      <c r="C114" s="4" t="n"/>
      <c r="D114" s="4" t="n"/>
      <c r="E114" s="8" t="n"/>
      <c r="F114" s="8" t="n"/>
      <c r="G114" s="8">
        <f>SUMIFS(CB_plan!$C:$C,CB_plan!$B:$B,$A114)</f>
        <v/>
      </c>
      <c r="H114" s="8">
        <f>IF(F114="",G114,F114)</f>
        <v/>
      </c>
      <c r="I114" s="4" t="n"/>
      <c r="J114" s="8" t="n"/>
      <c r="K114" s="8">
        <f>IF(A114="","",Inputs!$B$13/((IF(J114="",Inputs!$B$18,J114)+Inputs!$B$14)^Inputs!$B$15))</f>
        <v/>
      </c>
      <c r="L114" s="8">
        <f>IF(A114="","",0.00278*IF(I114="",Inputs!$B$17,I114)*H114*K114)</f>
        <v/>
      </c>
      <c r="M114" s="8">
        <f>IF(A114="","",SUMIFS($N$4:$N$203,$D$4:$D$203,$A114))</f>
        <v/>
      </c>
      <c r="N114" s="8">
        <f>IF(A114="","",(L114+M114)*Inputs!$B$16)</f>
        <v/>
      </c>
      <c r="O114" s="8" t="n"/>
      <c r="P114" s="8">
        <f>IF(A114="","",IF(O114="",Inputs!$B$7,O114))</f>
        <v/>
      </c>
      <c r="Q114" s="4">
        <f>IF(A114="","",IF(N114/Inputs!$B$10&lt;=AG114,Inputs!$F$5,IF(N114/Inputs!$B$10&gt;AP114,"OVERSIZE",INDEX(Inputs!$F$5:$F$14,MATCH(N114/Inputs!$B$10,AG114:AP114,1)+1))))</f>
        <v/>
      </c>
      <c r="R114" s="4" t="n"/>
      <c r="S114" s="4">
        <f>IF(A114="","",IF(R114="",Q114,R114))</f>
        <v/>
      </c>
      <c r="T114" s="8">
        <f>IF(OR(S114="",S114="OVERSIZE"),"",S114/1000)</f>
        <v/>
      </c>
      <c r="U114" s="8">
        <f>IF(T114="","",(1/Inputs!$B$9)*(PI()*T114^2/4)*((T114/4)^(2/3))*SQRT(P114))</f>
        <v/>
      </c>
      <c r="V114" s="8">
        <f>IF(OR(U114="",N114=""),"",N114/(U114*Inputs!$B$10))</f>
        <v/>
      </c>
      <c r="W114" s="8">
        <f>IF(OR(T114="",N114=""),"",4*N114/(PI()*T114^2))</f>
        <v/>
      </c>
      <c r="X114" s="8" t="n"/>
      <c r="Y114" s="8">
        <f>IF(A114="","",IF(A114=Inputs!$B$6,Inputs!$B$22,IF(D114="","",IFERROR(INDEX($Z$4:$Z$203,MATCH(D114,$A$4:$A$203,0))+IF(X114="",Inputs!$B$20,X114),""))))</f>
        <v/>
      </c>
      <c r="Z114" s="8">
        <f>IF(OR(Y114="",P114="",E114=""),"",Y114+P114*E114)</f>
        <v/>
      </c>
      <c r="AA114" s="8">
        <f>IF(C114="","",IFERROR(INDEX(Noeuds_plan!$C$4:$C$200,MATCH(C114,Noeuds_plan!$A$4:$A$200,0)),""))</f>
        <v/>
      </c>
      <c r="AB114" s="8">
        <f>IF(B114="","",IFERROR(INDEX(Noeuds_plan!$C$4:$C$200,MATCH(B114,Noeuds_plan!$A$4:$A$200,0)),""))</f>
        <v/>
      </c>
      <c r="AC114" s="8">
        <f>IF(OR(AA114="",Y114=""),"",AA114-Y114)</f>
        <v/>
      </c>
      <c r="AD114" s="8">
        <f>IF(OR(AB114="",Z114=""),"",AB114-Z114)</f>
        <v/>
      </c>
      <c r="AE114" s="4">
        <f>IF(A114="","",IF(OR(V114&gt;1,W114&lt;Inputs!$B$11,W114&gt;Inputs!$B$12,AC114&lt;Inputs!$B$19,AD114&lt;Inputs!$B$19,P114&lt;Inputs!$B$7,P114&gt;Inputs!$B$8),"CHECK","OK"))</f>
        <v/>
      </c>
      <c r="AF114" s="4" t="n"/>
      <c r="AG114" s="4">
        <f>IF(A114="","",(1/Inputs!$B$9)*(PI()*(Inputs!$F$5/1000)^2/4)*((Inputs!$F$5/1000/4)^(2/3))*SQRT(P114))</f>
        <v/>
      </c>
      <c r="AH114" s="4">
        <f>IF(A114="","",(1/Inputs!$B$9)*(PI()*(Inputs!$F$6/1000)^2/4)*((Inputs!$F$6/1000/4)^(2/3))*SQRT(P114))</f>
        <v/>
      </c>
      <c r="AI114" s="4">
        <f>IF(A114="","",(1/Inputs!$B$9)*(PI()*(Inputs!$F$7/1000)^2/4)*((Inputs!$F$7/1000/4)^(2/3))*SQRT(P114))</f>
        <v/>
      </c>
      <c r="AJ114" s="4">
        <f>IF(A114="","",(1/Inputs!$B$9)*(PI()*(Inputs!$F$8/1000)^2/4)*((Inputs!$F$8/1000/4)^(2/3))*SQRT(P114))</f>
        <v/>
      </c>
      <c r="AK114" s="4">
        <f>IF(A114="","",(1/Inputs!$B$9)*(PI()*(Inputs!$F$9/1000)^2/4)*((Inputs!$F$9/1000/4)^(2/3))*SQRT(P114))</f>
        <v/>
      </c>
      <c r="AL114" s="4">
        <f>IF(A114="","",(1/Inputs!$B$9)*(PI()*(Inputs!$F$10/1000)^2/4)*((Inputs!$F$10/1000/4)^(2/3))*SQRT(P114))</f>
        <v/>
      </c>
      <c r="AM114" s="4">
        <f>IF(A114="","",(1/Inputs!$B$9)*(PI()*(Inputs!$F$11/1000)^2/4)*((Inputs!$F$11/1000/4)^(2/3))*SQRT(P114))</f>
        <v/>
      </c>
      <c r="AN114" s="4">
        <f>IF(A114="","",(1/Inputs!$B$9)*(PI()*(Inputs!$F$12/1000)^2/4)*((Inputs!$F$12/1000/4)^(2/3))*SQRT(P114))</f>
        <v/>
      </c>
      <c r="AO114" s="4">
        <f>IF(A114="","",(1/Inputs!$B$9)*(PI()*(Inputs!$F$13/1000)^2/4)*((Inputs!$F$13/1000/4)^(2/3))*SQRT(P114))</f>
        <v/>
      </c>
      <c r="AP114" s="4">
        <f>IF(A114="","",(1/Inputs!$B$9)*(PI()*(Inputs!$F$14/1000)^2/4)*((Inputs!$F$14/1000/4)^(2/3))*SQRT(P114))</f>
        <v/>
      </c>
    </row>
    <row r="115">
      <c r="A115" s="4" t="n"/>
      <c r="B115" s="4" t="n"/>
      <c r="C115" s="4" t="n"/>
      <c r="D115" s="4" t="n"/>
      <c r="E115" s="8" t="n"/>
      <c r="F115" s="8" t="n"/>
      <c r="G115" s="8">
        <f>SUMIFS(CB_plan!$C:$C,CB_plan!$B:$B,$A115)</f>
        <v/>
      </c>
      <c r="H115" s="8">
        <f>IF(F115="",G115,F115)</f>
        <v/>
      </c>
      <c r="I115" s="4" t="n"/>
      <c r="J115" s="8" t="n"/>
      <c r="K115" s="8">
        <f>IF(A115="","",Inputs!$B$13/((IF(J115="",Inputs!$B$18,J115)+Inputs!$B$14)^Inputs!$B$15))</f>
        <v/>
      </c>
      <c r="L115" s="8">
        <f>IF(A115="","",0.00278*IF(I115="",Inputs!$B$17,I115)*H115*K115)</f>
        <v/>
      </c>
      <c r="M115" s="8">
        <f>IF(A115="","",SUMIFS($N$4:$N$203,$D$4:$D$203,$A115))</f>
        <v/>
      </c>
      <c r="N115" s="8">
        <f>IF(A115="","",(L115+M115)*Inputs!$B$16)</f>
        <v/>
      </c>
      <c r="O115" s="8" t="n"/>
      <c r="P115" s="8">
        <f>IF(A115="","",IF(O115="",Inputs!$B$7,O115))</f>
        <v/>
      </c>
      <c r="Q115" s="4">
        <f>IF(A115="","",IF(N115/Inputs!$B$10&lt;=AG115,Inputs!$F$5,IF(N115/Inputs!$B$10&gt;AP115,"OVERSIZE",INDEX(Inputs!$F$5:$F$14,MATCH(N115/Inputs!$B$10,AG115:AP115,1)+1))))</f>
        <v/>
      </c>
      <c r="R115" s="4" t="n"/>
      <c r="S115" s="4">
        <f>IF(A115="","",IF(R115="",Q115,R115))</f>
        <v/>
      </c>
      <c r="T115" s="8">
        <f>IF(OR(S115="",S115="OVERSIZE"),"",S115/1000)</f>
        <v/>
      </c>
      <c r="U115" s="8">
        <f>IF(T115="","",(1/Inputs!$B$9)*(PI()*T115^2/4)*((T115/4)^(2/3))*SQRT(P115))</f>
        <v/>
      </c>
      <c r="V115" s="8">
        <f>IF(OR(U115="",N115=""),"",N115/(U115*Inputs!$B$10))</f>
        <v/>
      </c>
      <c r="W115" s="8">
        <f>IF(OR(T115="",N115=""),"",4*N115/(PI()*T115^2))</f>
        <v/>
      </c>
      <c r="X115" s="8" t="n"/>
      <c r="Y115" s="8">
        <f>IF(A115="","",IF(A115=Inputs!$B$6,Inputs!$B$22,IF(D115="","",IFERROR(INDEX($Z$4:$Z$203,MATCH(D115,$A$4:$A$203,0))+IF(X115="",Inputs!$B$20,X115),""))))</f>
        <v/>
      </c>
      <c r="Z115" s="8">
        <f>IF(OR(Y115="",P115="",E115=""),"",Y115+P115*E115)</f>
        <v/>
      </c>
      <c r="AA115" s="8">
        <f>IF(C115="","",IFERROR(INDEX(Noeuds_plan!$C$4:$C$200,MATCH(C115,Noeuds_plan!$A$4:$A$200,0)),""))</f>
        <v/>
      </c>
      <c r="AB115" s="8">
        <f>IF(B115="","",IFERROR(INDEX(Noeuds_plan!$C$4:$C$200,MATCH(B115,Noeuds_plan!$A$4:$A$200,0)),""))</f>
        <v/>
      </c>
      <c r="AC115" s="8">
        <f>IF(OR(AA115="",Y115=""),"",AA115-Y115)</f>
        <v/>
      </c>
      <c r="AD115" s="8">
        <f>IF(OR(AB115="",Z115=""),"",AB115-Z115)</f>
        <v/>
      </c>
      <c r="AE115" s="4">
        <f>IF(A115="","",IF(OR(V115&gt;1,W115&lt;Inputs!$B$11,W115&gt;Inputs!$B$12,AC115&lt;Inputs!$B$19,AD115&lt;Inputs!$B$19,P115&lt;Inputs!$B$7,P115&gt;Inputs!$B$8),"CHECK","OK"))</f>
        <v/>
      </c>
      <c r="AF115" s="4" t="n"/>
      <c r="AG115" s="4">
        <f>IF(A115="","",(1/Inputs!$B$9)*(PI()*(Inputs!$F$5/1000)^2/4)*((Inputs!$F$5/1000/4)^(2/3))*SQRT(P115))</f>
        <v/>
      </c>
      <c r="AH115" s="4">
        <f>IF(A115="","",(1/Inputs!$B$9)*(PI()*(Inputs!$F$6/1000)^2/4)*((Inputs!$F$6/1000/4)^(2/3))*SQRT(P115))</f>
        <v/>
      </c>
      <c r="AI115" s="4">
        <f>IF(A115="","",(1/Inputs!$B$9)*(PI()*(Inputs!$F$7/1000)^2/4)*((Inputs!$F$7/1000/4)^(2/3))*SQRT(P115))</f>
        <v/>
      </c>
      <c r="AJ115" s="4">
        <f>IF(A115="","",(1/Inputs!$B$9)*(PI()*(Inputs!$F$8/1000)^2/4)*((Inputs!$F$8/1000/4)^(2/3))*SQRT(P115))</f>
        <v/>
      </c>
      <c r="AK115" s="4">
        <f>IF(A115="","",(1/Inputs!$B$9)*(PI()*(Inputs!$F$9/1000)^2/4)*((Inputs!$F$9/1000/4)^(2/3))*SQRT(P115))</f>
        <v/>
      </c>
      <c r="AL115" s="4">
        <f>IF(A115="","",(1/Inputs!$B$9)*(PI()*(Inputs!$F$10/1000)^2/4)*((Inputs!$F$10/1000/4)^(2/3))*SQRT(P115))</f>
        <v/>
      </c>
      <c r="AM115" s="4">
        <f>IF(A115="","",(1/Inputs!$B$9)*(PI()*(Inputs!$F$11/1000)^2/4)*((Inputs!$F$11/1000/4)^(2/3))*SQRT(P115))</f>
        <v/>
      </c>
      <c r="AN115" s="4">
        <f>IF(A115="","",(1/Inputs!$B$9)*(PI()*(Inputs!$F$12/1000)^2/4)*((Inputs!$F$12/1000/4)^(2/3))*SQRT(P115))</f>
        <v/>
      </c>
      <c r="AO115" s="4">
        <f>IF(A115="","",(1/Inputs!$B$9)*(PI()*(Inputs!$F$13/1000)^2/4)*((Inputs!$F$13/1000/4)^(2/3))*SQRT(P115))</f>
        <v/>
      </c>
      <c r="AP115" s="4">
        <f>IF(A115="","",(1/Inputs!$B$9)*(PI()*(Inputs!$F$14/1000)^2/4)*((Inputs!$F$14/1000/4)^(2/3))*SQRT(P115))</f>
        <v/>
      </c>
    </row>
    <row r="116">
      <c r="A116" s="4" t="n"/>
      <c r="B116" s="4" t="n"/>
      <c r="C116" s="4" t="n"/>
      <c r="D116" s="4" t="n"/>
      <c r="E116" s="8" t="n"/>
      <c r="F116" s="8" t="n"/>
      <c r="G116" s="8">
        <f>SUMIFS(CB_plan!$C:$C,CB_plan!$B:$B,$A116)</f>
        <v/>
      </c>
      <c r="H116" s="8">
        <f>IF(F116="",G116,F116)</f>
        <v/>
      </c>
      <c r="I116" s="4" t="n"/>
      <c r="J116" s="8" t="n"/>
      <c r="K116" s="8">
        <f>IF(A116="","",Inputs!$B$13/((IF(J116="",Inputs!$B$18,J116)+Inputs!$B$14)^Inputs!$B$15))</f>
        <v/>
      </c>
      <c r="L116" s="8">
        <f>IF(A116="","",0.00278*IF(I116="",Inputs!$B$17,I116)*H116*K116)</f>
        <v/>
      </c>
      <c r="M116" s="8">
        <f>IF(A116="","",SUMIFS($N$4:$N$203,$D$4:$D$203,$A116))</f>
        <v/>
      </c>
      <c r="N116" s="8">
        <f>IF(A116="","",(L116+M116)*Inputs!$B$16)</f>
        <v/>
      </c>
      <c r="O116" s="8" t="n"/>
      <c r="P116" s="8">
        <f>IF(A116="","",IF(O116="",Inputs!$B$7,O116))</f>
        <v/>
      </c>
      <c r="Q116" s="4">
        <f>IF(A116="","",IF(N116/Inputs!$B$10&lt;=AG116,Inputs!$F$5,IF(N116/Inputs!$B$10&gt;AP116,"OVERSIZE",INDEX(Inputs!$F$5:$F$14,MATCH(N116/Inputs!$B$10,AG116:AP116,1)+1))))</f>
        <v/>
      </c>
      <c r="R116" s="4" t="n"/>
      <c r="S116" s="4">
        <f>IF(A116="","",IF(R116="",Q116,R116))</f>
        <v/>
      </c>
      <c r="T116" s="8">
        <f>IF(OR(S116="",S116="OVERSIZE"),"",S116/1000)</f>
        <v/>
      </c>
      <c r="U116" s="8">
        <f>IF(T116="","",(1/Inputs!$B$9)*(PI()*T116^2/4)*((T116/4)^(2/3))*SQRT(P116))</f>
        <v/>
      </c>
      <c r="V116" s="8">
        <f>IF(OR(U116="",N116=""),"",N116/(U116*Inputs!$B$10))</f>
        <v/>
      </c>
      <c r="W116" s="8">
        <f>IF(OR(T116="",N116=""),"",4*N116/(PI()*T116^2))</f>
        <v/>
      </c>
      <c r="X116" s="8" t="n"/>
      <c r="Y116" s="8">
        <f>IF(A116="","",IF(A116=Inputs!$B$6,Inputs!$B$22,IF(D116="","",IFERROR(INDEX($Z$4:$Z$203,MATCH(D116,$A$4:$A$203,0))+IF(X116="",Inputs!$B$20,X116),""))))</f>
        <v/>
      </c>
      <c r="Z116" s="8">
        <f>IF(OR(Y116="",P116="",E116=""),"",Y116+P116*E116)</f>
        <v/>
      </c>
      <c r="AA116" s="8">
        <f>IF(C116="","",IFERROR(INDEX(Noeuds_plan!$C$4:$C$200,MATCH(C116,Noeuds_plan!$A$4:$A$200,0)),""))</f>
        <v/>
      </c>
      <c r="AB116" s="8">
        <f>IF(B116="","",IFERROR(INDEX(Noeuds_plan!$C$4:$C$200,MATCH(B116,Noeuds_plan!$A$4:$A$200,0)),""))</f>
        <v/>
      </c>
      <c r="AC116" s="8">
        <f>IF(OR(AA116="",Y116=""),"",AA116-Y116)</f>
        <v/>
      </c>
      <c r="AD116" s="8">
        <f>IF(OR(AB116="",Z116=""),"",AB116-Z116)</f>
        <v/>
      </c>
      <c r="AE116" s="4">
        <f>IF(A116="","",IF(OR(V116&gt;1,W116&lt;Inputs!$B$11,W116&gt;Inputs!$B$12,AC116&lt;Inputs!$B$19,AD116&lt;Inputs!$B$19,P116&lt;Inputs!$B$7,P116&gt;Inputs!$B$8),"CHECK","OK"))</f>
        <v/>
      </c>
      <c r="AF116" s="4" t="n"/>
      <c r="AG116" s="4">
        <f>IF(A116="","",(1/Inputs!$B$9)*(PI()*(Inputs!$F$5/1000)^2/4)*((Inputs!$F$5/1000/4)^(2/3))*SQRT(P116))</f>
        <v/>
      </c>
      <c r="AH116" s="4">
        <f>IF(A116="","",(1/Inputs!$B$9)*(PI()*(Inputs!$F$6/1000)^2/4)*((Inputs!$F$6/1000/4)^(2/3))*SQRT(P116))</f>
        <v/>
      </c>
      <c r="AI116" s="4">
        <f>IF(A116="","",(1/Inputs!$B$9)*(PI()*(Inputs!$F$7/1000)^2/4)*((Inputs!$F$7/1000/4)^(2/3))*SQRT(P116))</f>
        <v/>
      </c>
      <c r="AJ116" s="4">
        <f>IF(A116="","",(1/Inputs!$B$9)*(PI()*(Inputs!$F$8/1000)^2/4)*((Inputs!$F$8/1000/4)^(2/3))*SQRT(P116))</f>
        <v/>
      </c>
      <c r="AK116" s="4">
        <f>IF(A116="","",(1/Inputs!$B$9)*(PI()*(Inputs!$F$9/1000)^2/4)*((Inputs!$F$9/1000/4)^(2/3))*SQRT(P116))</f>
        <v/>
      </c>
      <c r="AL116" s="4">
        <f>IF(A116="","",(1/Inputs!$B$9)*(PI()*(Inputs!$F$10/1000)^2/4)*((Inputs!$F$10/1000/4)^(2/3))*SQRT(P116))</f>
        <v/>
      </c>
      <c r="AM116" s="4">
        <f>IF(A116="","",(1/Inputs!$B$9)*(PI()*(Inputs!$F$11/1000)^2/4)*((Inputs!$F$11/1000/4)^(2/3))*SQRT(P116))</f>
        <v/>
      </c>
      <c r="AN116" s="4">
        <f>IF(A116="","",(1/Inputs!$B$9)*(PI()*(Inputs!$F$12/1000)^2/4)*((Inputs!$F$12/1000/4)^(2/3))*SQRT(P116))</f>
        <v/>
      </c>
      <c r="AO116" s="4">
        <f>IF(A116="","",(1/Inputs!$B$9)*(PI()*(Inputs!$F$13/1000)^2/4)*((Inputs!$F$13/1000/4)^(2/3))*SQRT(P116))</f>
        <v/>
      </c>
      <c r="AP116" s="4">
        <f>IF(A116="","",(1/Inputs!$B$9)*(PI()*(Inputs!$F$14/1000)^2/4)*((Inputs!$F$14/1000/4)^(2/3))*SQRT(P116))</f>
        <v/>
      </c>
    </row>
    <row r="117">
      <c r="A117" s="4" t="n"/>
      <c r="B117" s="4" t="n"/>
      <c r="C117" s="4" t="n"/>
      <c r="D117" s="4" t="n"/>
      <c r="E117" s="8" t="n"/>
      <c r="F117" s="8" t="n"/>
      <c r="G117" s="8">
        <f>SUMIFS(CB_plan!$C:$C,CB_plan!$B:$B,$A117)</f>
        <v/>
      </c>
      <c r="H117" s="8">
        <f>IF(F117="",G117,F117)</f>
        <v/>
      </c>
      <c r="I117" s="4" t="n"/>
      <c r="J117" s="8" t="n"/>
      <c r="K117" s="8">
        <f>IF(A117="","",Inputs!$B$13/((IF(J117="",Inputs!$B$18,J117)+Inputs!$B$14)^Inputs!$B$15))</f>
        <v/>
      </c>
      <c r="L117" s="8">
        <f>IF(A117="","",0.00278*IF(I117="",Inputs!$B$17,I117)*H117*K117)</f>
        <v/>
      </c>
      <c r="M117" s="8">
        <f>IF(A117="","",SUMIFS($N$4:$N$203,$D$4:$D$203,$A117))</f>
        <v/>
      </c>
      <c r="N117" s="8">
        <f>IF(A117="","",(L117+M117)*Inputs!$B$16)</f>
        <v/>
      </c>
      <c r="O117" s="8" t="n"/>
      <c r="P117" s="8">
        <f>IF(A117="","",IF(O117="",Inputs!$B$7,O117))</f>
        <v/>
      </c>
      <c r="Q117" s="4">
        <f>IF(A117="","",IF(N117/Inputs!$B$10&lt;=AG117,Inputs!$F$5,IF(N117/Inputs!$B$10&gt;AP117,"OVERSIZE",INDEX(Inputs!$F$5:$F$14,MATCH(N117/Inputs!$B$10,AG117:AP117,1)+1))))</f>
        <v/>
      </c>
      <c r="R117" s="4" t="n"/>
      <c r="S117" s="4">
        <f>IF(A117="","",IF(R117="",Q117,R117))</f>
        <v/>
      </c>
      <c r="T117" s="8">
        <f>IF(OR(S117="",S117="OVERSIZE"),"",S117/1000)</f>
        <v/>
      </c>
      <c r="U117" s="8">
        <f>IF(T117="","",(1/Inputs!$B$9)*(PI()*T117^2/4)*((T117/4)^(2/3))*SQRT(P117))</f>
        <v/>
      </c>
      <c r="V117" s="8">
        <f>IF(OR(U117="",N117=""),"",N117/(U117*Inputs!$B$10))</f>
        <v/>
      </c>
      <c r="W117" s="8">
        <f>IF(OR(T117="",N117=""),"",4*N117/(PI()*T117^2))</f>
        <v/>
      </c>
      <c r="X117" s="8" t="n"/>
      <c r="Y117" s="8">
        <f>IF(A117="","",IF(A117=Inputs!$B$6,Inputs!$B$22,IF(D117="","",IFERROR(INDEX($Z$4:$Z$203,MATCH(D117,$A$4:$A$203,0))+IF(X117="",Inputs!$B$20,X117),""))))</f>
        <v/>
      </c>
      <c r="Z117" s="8">
        <f>IF(OR(Y117="",P117="",E117=""),"",Y117+P117*E117)</f>
        <v/>
      </c>
      <c r="AA117" s="8">
        <f>IF(C117="","",IFERROR(INDEX(Noeuds_plan!$C$4:$C$200,MATCH(C117,Noeuds_plan!$A$4:$A$200,0)),""))</f>
        <v/>
      </c>
      <c r="AB117" s="8">
        <f>IF(B117="","",IFERROR(INDEX(Noeuds_plan!$C$4:$C$200,MATCH(B117,Noeuds_plan!$A$4:$A$200,0)),""))</f>
        <v/>
      </c>
      <c r="AC117" s="8">
        <f>IF(OR(AA117="",Y117=""),"",AA117-Y117)</f>
        <v/>
      </c>
      <c r="AD117" s="8">
        <f>IF(OR(AB117="",Z117=""),"",AB117-Z117)</f>
        <v/>
      </c>
      <c r="AE117" s="4">
        <f>IF(A117="","",IF(OR(V117&gt;1,W117&lt;Inputs!$B$11,W117&gt;Inputs!$B$12,AC117&lt;Inputs!$B$19,AD117&lt;Inputs!$B$19,P117&lt;Inputs!$B$7,P117&gt;Inputs!$B$8),"CHECK","OK"))</f>
        <v/>
      </c>
      <c r="AF117" s="4" t="n"/>
      <c r="AG117" s="4">
        <f>IF(A117="","",(1/Inputs!$B$9)*(PI()*(Inputs!$F$5/1000)^2/4)*((Inputs!$F$5/1000/4)^(2/3))*SQRT(P117))</f>
        <v/>
      </c>
      <c r="AH117" s="4">
        <f>IF(A117="","",(1/Inputs!$B$9)*(PI()*(Inputs!$F$6/1000)^2/4)*((Inputs!$F$6/1000/4)^(2/3))*SQRT(P117))</f>
        <v/>
      </c>
      <c r="AI117" s="4">
        <f>IF(A117="","",(1/Inputs!$B$9)*(PI()*(Inputs!$F$7/1000)^2/4)*((Inputs!$F$7/1000/4)^(2/3))*SQRT(P117))</f>
        <v/>
      </c>
      <c r="AJ117" s="4">
        <f>IF(A117="","",(1/Inputs!$B$9)*(PI()*(Inputs!$F$8/1000)^2/4)*((Inputs!$F$8/1000/4)^(2/3))*SQRT(P117))</f>
        <v/>
      </c>
      <c r="AK117" s="4">
        <f>IF(A117="","",(1/Inputs!$B$9)*(PI()*(Inputs!$F$9/1000)^2/4)*((Inputs!$F$9/1000/4)^(2/3))*SQRT(P117))</f>
        <v/>
      </c>
      <c r="AL117" s="4">
        <f>IF(A117="","",(1/Inputs!$B$9)*(PI()*(Inputs!$F$10/1000)^2/4)*((Inputs!$F$10/1000/4)^(2/3))*SQRT(P117))</f>
        <v/>
      </c>
      <c r="AM117" s="4">
        <f>IF(A117="","",(1/Inputs!$B$9)*(PI()*(Inputs!$F$11/1000)^2/4)*((Inputs!$F$11/1000/4)^(2/3))*SQRT(P117))</f>
        <v/>
      </c>
      <c r="AN117" s="4">
        <f>IF(A117="","",(1/Inputs!$B$9)*(PI()*(Inputs!$F$12/1000)^2/4)*((Inputs!$F$12/1000/4)^(2/3))*SQRT(P117))</f>
        <v/>
      </c>
      <c r="AO117" s="4">
        <f>IF(A117="","",(1/Inputs!$B$9)*(PI()*(Inputs!$F$13/1000)^2/4)*((Inputs!$F$13/1000/4)^(2/3))*SQRT(P117))</f>
        <v/>
      </c>
      <c r="AP117" s="4">
        <f>IF(A117="","",(1/Inputs!$B$9)*(PI()*(Inputs!$F$14/1000)^2/4)*((Inputs!$F$14/1000/4)^(2/3))*SQRT(P117))</f>
        <v/>
      </c>
    </row>
    <row r="118">
      <c r="A118" s="4" t="n"/>
      <c r="B118" s="4" t="n"/>
      <c r="C118" s="4" t="n"/>
      <c r="D118" s="4" t="n"/>
      <c r="E118" s="8" t="n"/>
      <c r="F118" s="8" t="n"/>
      <c r="G118" s="8">
        <f>SUMIFS(CB_plan!$C:$C,CB_plan!$B:$B,$A118)</f>
        <v/>
      </c>
      <c r="H118" s="8">
        <f>IF(F118="",G118,F118)</f>
        <v/>
      </c>
      <c r="I118" s="4" t="n"/>
      <c r="J118" s="8" t="n"/>
      <c r="K118" s="8">
        <f>IF(A118="","",Inputs!$B$13/((IF(J118="",Inputs!$B$18,J118)+Inputs!$B$14)^Inputs!$B$15))</f>
        <v/>
      </c>
      <c r="L118" s="8">
        <f>IF(A118="","",0.00278*IF(I118="",Inputs!$B$17,I118)*H118*K118)</f>
        <v/>
      </c>
      <c r="M118" s="8">
        <f>IF(A118="","",SUMIFS($N$4:$N$203,$D$4:$D$203,$A118))</f>
        <v/>
      </c>
      <c r="N118" s="8">
        <f>IF(A118="","",(L118+M118)*Inputs!$B$16)</f>
        <v/>
      </c>
      <c r="O118" s="8" t="n"/>
      <c r="P118" s="8">
        <f>IF(A118="","",IF(O118="",Inputs!$B$7,O118))</f>
        <v/>
      </c>
      <c r="Q118" s="4">
        <f>IF(A118="","",IF(N118/Inputs!$B$10&lt;=AG118,Inputs!$F$5,IF(N118/Inputs!$B$10&gt;AP118,"OVERSIZE",INDEX(Inputs!$F$5:$F$14,MATCH(N118/Inputs!$B$10,AG118:AP118,1)+1))))</f>
        <v/>
      </c>
      <c r="R118" s="4" t="n"/>
      <c r="S118" s="4">
        <f>IF(A118="","",IF(R118="",Q118,R118))</f>
        <v/>
      </c>
      <c r="T118" s="8">
        <f>IF(OR(S118="",S118="OVERSIZE"),"",S118/1000)</f>
        <v/>
      </c>
      <c r="U118" s="8">
        <f>IF(T118="","",(1/Inputs!$B$9)*(PI()*T118^2/4)*((T118/4)^(2/3))*SQRT(P118))</f>
        <v/>
      </c>
      <c r="V118" s="8">
        <f>IF(OR(U118="",N118=""),"",N118/(U118*Inputs!$B$10))</f>
        <v/>
      </c>
      <c r="W118" s="8">
        <f>IF(OR(T118="",N118=""),"",4*N118/(PI()*T118^2))</f>
        <v/>
      </c>
      <c r="X118" s="8" t="n"/>
      <c r="Y118" s="8">
        <f>IF(A118="","",IF(A118=Inputs!$B$6,Inputs!$B$22,IF(D118="","",IFERROR(INDEX($Z$4:$Z$203,MATCH(D118,$A$4:$A$203,0))+IF(X118="",Inputs!$B$20,X118),""))))</f>
        <v/>
      </c>
      <c r="Z118" s="8">
        <f>IF(OR(Y118="",P118="",E118=""),"",Y118+P118*E118)</f>
        <v/>
      </c>
      <c r="AA118" s="8">
        <f>IF(C118="","",IFERROR(INDEX(Noeuds_plan!$C$4:$C$200,MATCH(C118,Noeuds_plan!$A$4:$A$200,0)),""))</f>
        <v/>
      </c>
      <c r="AB118" s="8">
        <f>IF(B118="","",IFERROR(INDEX(Noeuds_plan!$C$4:$C$200,MATCH(B118,Noeuds_plan!$A$4:$A$200,0)),""))</f>
        <v/>
      </c>
      <c r="AC118" s="8">
        <f>IF(OR(AA118="",Y118=""),"",AA118-Y118)</f>
        <v/>
      </c>
      <c r="AD118" s="8">
        <f>IF(OR(AB118="",Z118=""),"",AB118-Z118)</f>
        <v/>
      </c>
      <c r="AE118" s="4">
        <f>IF(A118="","",IF(OR(V118&gt;1,W118&lt;Inputs!$B$11,W118&gt;Inputs!$B$12,AC118&lt;Inputs!$B$19,AD118&lt;Inputs!$B$19,P118&lt;Inputs!$B$7,P118&gt;Inputs!$B$8),"CHECK","OK"))</f>
        <v/>
      </c>
      <c r="AF118" s="4" t="n"/>
      <c r="AG118" s="4">
        <f>IF(A118="","",(1/Inputs!$B$9)*(PI()*(Inputs!$F$5/1000)^2/4)*((Inputs!$F$5/1000/4)^(2/3))*SQRT(P118))</f>
        <v/>
      </c>
      <c r="AH118" s="4">
        <f>IF(A118="","",(1/Inputs!$B$9)*(PI()*(Inputs!$F$6/1000)^2/4)*((Inputs!$F$6/1000/4)^(2/3))*SQRT(P118))</f>
        <v/>
      </c>
      <c r="AI118" s="4">
        <f>IF(A118="","",(1/Inputs!$B$9)*(PI()*(Inputs!$F$7/1000)^2/4)*((Inputs!$F$7/1000/4)^(2/3))*SQRT(P118))</f>
        <v/>
      </c>
      <c r="AJ118" s="4">
        <f>IF(A118="","",(1/Inputs!$B$9)*(PI()*(Inputs!$F$8/1000)^2/4)*((Inputs!$F$8/1000/4)^(2/3))*SQRT(P118))</f>
        <v/>
      </c>
      <c r="AK118" s="4">
        <f>IF(A118="","",(1/Inputs!$B$9)*(PI()*(Inputs!$F$9/1000)^2/4)*((Inputs!$F$9/1000/4)^(2/3))*SQRT(P118))</f>
        <v/>
      </c>
      <c r="AL118" s="4">
        <f>IF(A118="","",(1/Inputs!$B$9)*(PI()*(Inputs!$F$10/1000)^2/4)*((Inputs!$F$10/1000/4)^(2/3))*SQRT(P118))</f>
        <v/>
      </c>
      <c r="AM118" s="4">
        <f>IF(A118="","",(1/Inputs!$B$9)*(PI()*(Inputs!$F$11/1000)^2/4)*((Inputs!$F$11/1000/4)^(2/3))*SQRT(P118))</f>
        <v/>
      </c>
      <c r="AN118" s="4">
        <f>IF(A118="","",(1/Inputs!$B$9)*(PI()*(Inputs!$F$12/1000)^2/4)*((Inputs!$F$12/1000/4)^(2/3))*SQRT(P118))</f>
        <v/>
      </c>
      <c r="AO118" s="4">
        <f>IF(A118="","",(1/Inputs!$B$9)*(PI()*(Inputs!$F$13/1000)^2/4)*((Inputs!$F$13/1000/4)^(2/3))*SQRT(P118))</f>
        <v/>
      </c>
      <c r="AP118" s="4">
        <f>IF(A118="","",(1/Inputs!$B$9)*(PI()*(Inputs!$F$14/1000)^2/4)*((Inputs!$F$14/1000/4)^(2/3))*SQRT(P118))</f>
        <v/>
      </c>
    </row>
    <row r="119">
      <c r="A119" s="4" t="n"/>
      <c r="B119" s="4" t="n"/>
      <c r="C119" s="4" t="n"/>
      <c r="D119" s="4" t="n"/>
      <c r="E119" s="8" t="n"/>
      <c r="F119" s="8" t="n"/>
      <c r="G119" s="8">
        <f>SUMIFS(CB_plan!$C:$C,CB_plan!$B:$B,$A119)</f>
        <v/>
      </c>
      <c r="H119" s="8">
        <f>IF(F119="",G119,F119)</f>
        <v/>
      </c>
      <c r="I119" s="4" t="n"/>
      <c r="J119" s="8" t="n"/>
      <c r="K119" s="8">
        <f>IF(A119="","",Inputs!$B$13/((IF(J119="",Inputs!$B$18,J119)+Inputs!$B$14)^Inputs!$B$15))</f>
        <v/>
      </c>
      <c r="L119" s="8">
        <f>IF(A119="","",0.00278*IF(I119="",Inputs!$B$17,I119)*H119*K119)</f>
        <v/>
      </c>
      <c r="M119" s="8">
        <f>IF(A119="","",SUMIFS($N$4:$N$203,$D$4:$D$203,$A119))</f>
        <v/>
      </c>
      <c r="N119" s="8">
        <f>IF(A119="","",(L119+M119)*Inputs!$B$16)</f>
        <v/>
      </c>
      <c r="O119" s="8" t="n"/>
      <c r="P119" s="8">
        <f>IF(A119="","",IF(O119="",Inputs!$B$7,O119))</f>
        <v/>
      </c>
      <c r="Q119" s="4">
        <f>IF(A119="","",IF(N119/Inputs!$B$10&lt;=AG119,Inputs!$F$5,IF(N119/Inputs!$B$10&gt;AP119,"OVERSIZE",INDEX(Inputs!$F$5:$F$14,MATCH(N119/Inputs!$B$10,AG119:AP119,1)+1))))</f>
        <v/>
      </c>
      <c r="R119" s="4" t="n"/>
      <c r="S119" s="4">
        <f>IF(A119="","",IF(R119="",Q119,R119))</f>
        <v/>
      </c>
      <c r="T119" s="8">
        <f>IF(OR(S119="",S119="OVERSIZE"),"",S119/1000)</f>
        <v/>
      </c>
      <c r="U119" s="8">
        <f>IF(T119="","",(1/Inputs!$B$9)*(PI()*T119^2/4)*((T119/4)^(2/3))*SQRT(P119))</f>
        <v/>
      </c>
      <c r="V119" s="8">
        <f>IF(OR(U119="",N119=""),"",N119/(U119*Inputs!$B$10))</f>
        <v/>
      </c>
      <c r="W119" s="8">
        <f>IF(OR(T119="",N119=""),"",4*N119/(PI()*T119^2))</f>
        <v/>
      </c>
      <c r="X119" s="8" t="n"/>
      <c r="Y119" s="8">
        <f>IF(A119="","",IF(A119=Inputs!$B$6,Inputs!$B$22,IF(D119="","",IFERROR(INDEX($Z$4:$Z$203,MATCH(D119,$A$4:$A$203,0))+IF(X119="",Inputs!$B$20,X119),""))))</f>
        <v/>
      </c>
      <c r="Z119" s="8">
        <f>IF(OR(Y119="",P119="",E119=""),"",Y119+P119*E119)</f>
        <v/>
      </c>
      <c r="AA119" s="8">
        <f>IF(C119="","",IFERROR(INDEX(Noeuds_plan!$C$4:$C$200,MATCH(C119,Noeuds_plan!$A$4:$A$200,0)),""))</f>
        <v/>
      </c>
      <c r="AB119" s="8">
        <f>IF(B119="","",IFERROR(INDEX(Noeuds_plan!$C$4:$C$200,MATCH(B119,Noeuds_plan!$A$4:$A$200,0)),""))</f>
        <v/>
      </c>
      <c r="AC119" s="8">
        <f>IF(OR(AA119="",Y119=""),"",AA119-Y119)</f>
        <v/>
      </c>
      <c r="AD119" s="8">
        <f>IF(OR(AB119="",Z119=""),"",AB119-Z119)</f>
        <v/>
      </c>
      <c r="AE119" s="4">
        <f>IF(A119="","",IF(OR(V119&gt;1,W119&lt;Inputs!$B$11,W119&gt;Inputs!$B$12,AC119&lt;Inputs!$B$19,AD119&lt;Inputs!$B$19,P119&lt;Inputs!$B$7,P119&gt;Inputs!$B$8),"CHECK","OK"))</f>
        <v/>
      </c>
      <c r="AF119" s="4" t="n"/>
      <c r="AG119" s="4">
        <f>IF(A119="","",(1/Inputs!$B$9)*(PI()*(Inputs!$F$5/1000)^2/4)*((Inputs!$F$5/1000/4)^(2/3))*SQRT(P119))</f>
        <v/>
      </c>
      <c r="AH119" s="4">
        <f>IF(A119="","",(1/Inputs!$B$9)*(PI()*(Inputs!$F$6/1000)^2/4)*((Inputs!$F$6/1000/4)^(2/3))*SQRT(P119))</f>
        <v/>
      </c>
      <c r="AI119" s="4">
        <f>IF(A119="","",(1/Inputs!$B$9)*(PI()*(Inputs!$F$7/1000)^2/4)*((Inputs!$F$7/1000/4)^(2/3))*SQRT(P119))</f>
        <v/>
      </c>
      <c r="AJ119" s="4">
        <f>IF(A119="","",(1/Inputs!$B$9)*(PI()*(Inputs!$F$8/1000)^2/4)*((Inputs!$F$8/1000/4)^(2/3))*SQRT(P119))</f>
        <v/>
      </c>
      <c r="AK119" s="4">
        <f>IF(A119="","",(1/Inputs!$B$9)*(PI()*(Inputs!$F$9/1000)^2/4)*((Inputs!$F$9/1000/4)^(2/3))*SQRT(P119))</f>
        <v/>
      </c>
      <c r="AL119" s="4">
        <f>IF(A119="","",(1/Inputs!$B$9)*(PI()*(Inputs!$F$10/1000)^2/4)*((Inputs!$F$10/1000/4)^(2/3))*SQRT(P119))</f>
        <v/>
      </c>
      <c r="AM119" s="4">
        <f>IF(A119="","",(1/Inputs!$B$9)*(PI()*(Inputs!$F$11/1000)^2/4)*((Inputs!$F$11/1000/4)^(2/3))*SQRT(P119))</f>
        <v/>
      </c>
      <c r="AN119" s="4">
        <f>IF(A119="","",(1/Inputs!$B$9)*(PI()*(Inputs!$F$12/1000)^2/4)*((Inputs!$F$12/1000/4)^(2/3))*SQRT(P119))</f>
        <v/>
      </c>
      <c r="AO119" s="4">
        <f>IF(A119="","",(1/Inputs!$B$9)*(PI()*(Inputs!$F$13/1000)^2/4)*((Inputs!$F$13/1000/4)^(2/3))*SQRT(P119))</f>
        <v/>
      </c>
      <c r="AP119" s="4">
        <f>IF(A119="","",(1/Inputs!$B$9)*(PI()*(Inputs!$F$14/1000)^2/4)*((Inputs!$F$14/1000/4)^(2/3))*SQRT(P119))</f>
        <v/>
      </c>
    </row>
    <row r="120">
      <c r="A120" s="4" t="n"/>
      <c r="B120" s="4" t="n"/>
      <c r="C120" s="4" t="n"/>
      <c r="D120" s="4" t="n"/>
      <c r="E120" s="8" t="n"/>
      <c r="F120" s="8" t="n"/>
      <c r="G120" s="8">
        <f>SUMIFS(CB_plan!$C:$C,CB_plan!$B:$B,$A120)</f>
        <v/>
      </c>
      <c r="H120" s="8">
        <f>IF(F120="",G120,F120)</f>
        <v/>
      </c>
      <c r="I120" s="4" t="n"/>
      <c r="J120" s="8" t="n"/>
      <c r="K120" s="8">
        <f>IF(A120="","",Inputs!$B$13/((IF(J120="",Inputs!$B$18,J120)+Inputs!$B$14)^Inputs!$B$15))</f>
        <v/>
      </c>
      <c r="L120" s="8">
        <f>IF(A120="","",0.00278*IF(I120="",Inputs!$B$17,I120)*H120*K120)</f>
        <v/>
      </c>
      <c r="M120" s="8">
        <f>IF(A120="","",SUMIFS($N$4:$N$203,$D$4:$D$203,$A120))</f>
        <v/>
      </c>
      <c r="N120" s="8">
        <f>IF(A120="","",(L120+M120)*Inputs!$B$16)</f>
        <v/>
      </c>
      <c r="O120" s="8" t="n"/>
      <c r="P120" s="8">
        <f>IF(A120="","",IF(O120="",Inputs!$B$7,O120))</f>
        <v/>
      </c>
      <c r="Q120" s="4">
        <f>IF(A120="","",IF(N120/Inputs!$B$10&lt;=AG120,Inputs!$F$5,IF(N120/Inputs!$B$10&gt;AP120,"OVERSIZE",INDEX(Inputs!$F$5:$F$14,MATCH(N120/Inputs!$B$10,AG120:AP120,1)+1))))</f>
        <v/>
      </c>
      <c r="R120" s="4" t="n"/>
      <c r="S120" s="4">
        <f>IF(A120="","",IF(R120="",Q120,R120))</f>
        <v/>
      </c>
      <c r="T120" s="8">
        <f>IF(OR(S120="",S120="OVERSIZE"),"",S120/1000)</f>
        <v/>
      </c>
      <c r="U120" s="8">
        <f>IF(T120="","",(1/Inputs!$B$9)*(PI()*T120^2/4)*((T120/4)^(2/3))*SQRT(P120))</f>
        <v/>
      </c>
      <c r="V120" s="8">
        <f>IF(OR(U120="",N120=""),"",N120/(U120*Inputs!$B$10))</f>
        <v/>
      </c>
      <c r="W120" s="8">
        <f>IF(OR(T120="",N120=""),"",4*N120/(PI()*T120^2))</f>
        <v/>
      </c>
      <c r="X120" s="8" t="n"/>
      <c r="Y120" s="8">
        <f>IF(A120="","",IF(A120=Inputs!$B$6,Inputs!$B$22,IF(D120="","",IFERROR(INDEX($Z$4:$Z$203,MATCH(D120,$A$4:$A$203,0))+IF(X120="",Inputs!$B$20,X120),""))))</f>
        <v/>
      </c>
      <c r="Z120" s="8">
        <f>IF(OR(Y120="",P120="",E120=""),"",Y120+P120*E120)</f>
        <v/>
      </c>
      <c r="AA120" s="8">
        <f>IF(C120="","",IFERROR(INDEX(Noeuds_plan!$C$4:$C$200,MATCH(C120,Noeuds_plan!$A$4:$A$200,0)),""))</f>
        <v/>
      </c>
      <c r="AB120" s="8">
        <f>IF(B120="","",IFERROR(INDEX(Noeuds_plan!$C$4:$C$200,MATCH(B120,Noeuds_plan!$A$4:$A$200,0)),""))</f>
        <v/>
      </c>
      <c r="AC120" s="8">
        <f>IF(OR(AA120="",Y120=""),"",AA120-Y120)</f>
        <v/>
      </c>
      <c r="AD120" s="8">
        <f>IF(OR(AB120="",Z120=""),"",AB120-Z120)</f>
        <v/>
      </c>
      <c r="AE120" s="4">
        <f>IF(A120="","",IF(OR(V120&gt;1,W120&lt;Inputs!$B$11,W120&gt;Inputs!$B$12,AC120&lt;Inputs!$B$19,AD120&lt;Inputs!$B$19,P120&lt;Inputs!$B$7,P120&gt;Inputs!$B$8),"CHECK","OK"))</f>
        <v/>
      </c>
      <c r="AF120" s="4" t="n"/>
      <c r="AG120" s="4">
        <f>IF(A120="","",(1/Inputs!$B$9)*(PI()*(Inputs!$F$5/1000)^2/4)*((Inputs!$F$5/1000/4)^(2/3))*SQRT(P120))</f>
        <v/>
      </c>
      <c r="AH120" s="4">
        <f>IF(A120="","",(1/Inputs!$B$9)*(PI()*(Inputs!$F$6/1000)^2/4)*((Inputs!$F$6/1000/4)^(2/3))*SQRT(P120))</f>
        <v/>
      </c>
      <c r="AI120" s="4">
        <f>IF(A120="","",(1/Inputs!$B$9)*(PI()*(Inputs!$F$7/1000)^2/4)*((Inputs!$F$7/1000/4)^(2/3))*SQRT(P120))</f>
        <v/>
      </c>
      <c r="AJ120" s="4">
        <f>IF(A120="","",(1/Inputs!$B$9)*(PI()*(Inputs!$F$8/1000)^2/4)*((Inputs!$F$8/1000/4)^(2/3))*SQRT(P120))</f>
        <v/>
      </c>
      <c r="AK120" s="4">
        <f>IF(A120="","",(1/Inputs!$B$9)*(PI()*(Inputs!$F$9/1000)^2/4)*((Inputs!$F$9/1000/4)^(2/3))*SQRT(P120))</f>
        <v/>
      </c>
      <c r="AL120" s="4">
        <f>IF(A120="","",(1/Inputs!$B$9)*(PI()*(Inputs!$F$10/1000)^2/4)*((Inputs!$F$10/1000/4)^(2/3))*SQRT(P120))</f>
        <v/>
      </c>
      <c r="AM120" s="4">
        <f>IF(A120="","",(1/Inputs!$B$9)*(PI()*(Inputs!$F$11/1000)^2/4)*((Inputs!$F$11/1000/4)^(2/3))*SQRT(P120))</f>
        <v/>
      </c>
      <c r="AN120" s="4">
        <f>IF(A120="","",(1/Inputs!$B$9)*(PI()*(Inputs!$F$12/1000)^2/4)*((Inputs!$F$12/1000/4)^(2/3))*SQRT(P120))</f>
        <v/>
      </c>
      <c r="AO120" s="4">
        <f>IF(A120="","",(1/Inputs!$B$9)*(PI()*(Inputs!$F$13/1000)^2/4)*((Inputs!$F$13/1000/4)^(2/3))*SQRT(P120))</f>
        <v/>
      </c>
      <c r="AP120" s="4">
        <f>IF(A120="","",(1/Inputs!$B$9)*(PI()*(Inputs!$F$14/1000)^2/4)*((Inputs!$F$14/1000/4)^(2/3))*SQRT(P120))</f>
        <v/>
      </c>
    </row>
    <row r="121">
      <c r="A121" s="4" t="n"/>
      <c r="B121" s="4" t="n"/>
      <c r="C121" s="4" t="n"/>
      <c r="D121" s="4" t="n"/>
      <c r="E121" s="8" t="n"/>
      <c r="F121" s="8" t="n"/>
      <c r="G121" s="8">
        <f>SUMIFS(CB_plan!$C:$C,CB_plan!$B:$B,$A121)</f>
        <v/>
      </c>
      <c r="H121" s="8">
        <f>IF(F121="",G121,F121)</f>
        <v/>
      </c>
      <c r="I121" s="4" t="n"/>
      <c r="J121" s="8" t="n"/>
      <c r="K121" s="8">
        <f>IF(A121="","",Inputs!$B$13/((IF(J121="",Inputs!$B$18,J121)+Inputs!$B$14)^Inputs!$B$15))</f>
        <v/>
      </c>
      <c r="L121" s="8">
        <f>IF(A121="","",0.00278*IF(I121="",Inputs!$B$17,I121)*H121*K121)</f>
        <v/>
      </c>
      <c r="M121" s="8">
        <f>IF(A121="","",SUMIFS($N$4:$N$203,$D$4:$D$203,$A121))</f>
        <v/>
      </c>
      <c r="N121" s="8">
        <f>IF(A121="","",(L121+M121)*Inputs!$B$16)</f>
        <v/>
      </c>
      <c r="O121" s="8" t="n"/>
      <c r="P121" s="8">
        <f>IF(A121="","",IF(O121="",Inputs!$B$7,O121))</f>
        <v/>
      </c>
      <c r="Q121" s="4">
        <f>IF(A121="","",IF(N121/Inputs!$B$10&lt;=AG121,Inputs!$F$5,IF(N121/Inputs!$B$10&gt;AP121,"OVERSIZE",INDEX(Inputs!$F$5:$F$14,MATCH(N121/Inputs!$B$10,AG121:AP121,1)+1))))</f>
        <v/>
      </c>
      <c r="R121" s="4" t="n"/>
      <c r="S121" s="4">
        <f>IF(A121="","",IF(R121="",Q121,R121))</f>
        <v/>
      </c>
      <c r="T121" s="8">
        <f>IF(OR(S121="",S121="OVERSIZE"),"",S121/1000)</f>
        <v/>
      </c>
      <c r="U121" s="8">
        <f>IF(T121="","",(1/Inputs!$B$9)*(PI()*T121^2/4)*((T121/4)^(2/3))*SQRT(P121))</f>
        <v/>
      </c>
      <c r="V121" s="8">
        <f>IF(OR(U121="",N121=""),"",N121/(U121*Inputs!$B$10))</f>
        <v/>
      </c>
      <c r="W121" s="8">
        <f>IF(OR(T121="",N121=""),"",4*N121/(PI()*T121^2))</f>
        <v/>
      </c>
      <c r="X121" s="8" t="n"/>
      <c r="Y121" s="8">
        <f>IF(A121="","",IF(A121=Inputs!$B$6,Inputs!$B$22,IF(D121="","",IFERROR(INDEX($Z$4:$Z$203,MATCH(D121,$A$4:$A$203,0))+IF(X121="",Inputs!$B$20,X121),""))))</f>
        <v/>
      </c>
      <c r="Z121" s="8">
        <f>IF(OR(Y121="",P121="",E121=""),"",Y121+P121*E121)</f>
        <v/>
      </c>
      <c r="AA121" s="8">
        <f>IF(C121="","",IFERROR(INDEX(Noeuds_plan!$C$4:$C$200,MATCH(C121,Noeuds_plan!$A$4:$A$200,0)),""))</f>
        <v/>
      </c>
      <c r="AB121" s="8">
        <f>IF(B121="","",IFERROR(INDEX(Noeuds_plan!$C$4:$C$200,MATCH(B121,Noeuds_plan!$A$4:$A$200,0)),""))</f>
        <v/>
      </c>
      <c r="AC121" s="8">
        <f>IF(OR(AA121="",Y121=""),"",AA121-Y121)</f>
        <v/>
      </c>
      <c r="AD121" s="8">
        <f>IF(OR(AB121="",Z121=""),"",AB121-Z121)</f>
        <v/>
      </c>
      <c r="AE121" s="4">
        <f>IF(A121="","",IF(OR(V121&gt;1,W121&lt;Inputs!$B$11,W121&gt;Inputs!$B$12,AC121&lt;Inputs!$B$19,AD121&lt;Inputs!$B$19,P121&lt;Inputs!$B$7,P121&gt;Inputs!$B$8),"CHECK","OK"))</f>
        <v/>
      </c>
      <c r="AF121" s="4" t="n"/>
      <c r="AG121" s="4">
        <f>IF(A121="","",(1/Inputs!$B$9)*(PI()*(Inputs!$F$5/1000)^2/4)*((Inputs!$F$5/1000/4)^(2/3))*SQRT(P121))</f>
        <v/>
      </c>
      <c r="AH121" s="4">
        <f>IF(A121="","",(1/Inputs!$B$9)*(PI()*(Inputs!$F$6/1000)^2/4)*((Inputs!$F$6/1000/4)^(2/3))*SQRT(P121))</f>
        <v/>
      </c>
      <c r="AI121" s="4">
        <f>IF(A121="","",(1/Inputs!$B$9)*(PI()*(Inputs!$F$7/1000)^2/4)*((Inputs!$F$7/1000/4)^(2/3))*SQRT(P121))</f>
        <v/>
      </c>
      <c r="AJ121" s="4">
        <f>IF(A121="","",(1/Inputs!$B$9)*(PI()*(Inputs!$F$8/1000)^2/4)*((Inputs!$F$8/1000/4)^(2/3))*SQRT(P121))</f>
        <v/>
      </c>
      <c r="AK121" s="4">
        <f>IF(A121="","",(1/Inputs!$B$9)*(PI()*(Inputs!$F$9/1000)^2/4)*((Inputs!$F$9/1000/4)^(2/3))*SQRT(P121))</f>
        <v/>
      </c>
      <c r="AL121" s="4">
        <f>IF(A121="","",(1/Inputs!$B$9)*(PI()*(Inputs!$F$10/1000)^2/4)*((Inputs!$F$10/1000/4)^(2/3))*SQRT(P121))</f>
        <v/>
      </c>
      <c r="AM121" s="4">
        <f>IF(A121="","",(1/Inputs!$B$9)*(PI()*(Inputs!$F$11/1000)^2/4)*((Inputs!$F$11/1000/4)^(2/3))*SQRT(P121))</f>
        <v/>
      </c>
      <c r="AN121" s="4">
        <f>IF(A121="","",(1/Inputs!$B$9)*(PI()*(Inputs!$F$12/1000)^2/4)*((Inputs!$F$12/1000/4)^(2/3))*SQRT(P121))</f>
        <v/>
      </c>
      <c r="AO121" s="4">
        <f>IF(A121="","",(1/Inputs!$B$9)*(PI()*(Inputs!$F$13/1000)^2/4)*((Inputs!$F$13/1000/4)^(2/3))*SQRT(P121))</f>
        <v/>
      </c>
      <c r="AP121" s="4">
        <f>IF(A121="","",(1/Inputs!$B$9)*(PI()*(Inputs!$F$14/1000)^2/4)*((Inputs!$F$14/1000/4)^(2/3))*SQRT(P121))</f>
        <v/>
      </c>
    </row>
    <row r="122">
      <c r="A122" s="4" t="n"/>
      <c r="B122" s="4" t="n"/>
      <c r="C122" s="4" t="n"/>
      <c r="D122" s="4" t="n"/>
      <c r="E122" s="8" t="n"/>
      <c r="F122" s="8" t="n"/>
      <c r="G122" s="8">
        <f>SUMIFS(CB_plan!$C:$C,CB_plan!$B:$B,$A122)</f>
        <v/>
      </c>
      <c r="H122" s="8">
        <f>IF(F122="",G122,F122)</f>
        <v/>
      </c>
      <c r="I122" s="4" t="n"/>
      <c r="J122" s="8" t="n"/>
      <c r="K122" s="8">
        <f>IF(A122="","",Inputs!$B$13/((IF(J122="",Inputs!$B$18,J122)+Inputs!$B$14)^Inputs!$B$15))</f>
        <v/>
      </c>
      <c r="L122" s="8">
        <f>IF(A122="","",0.00278*IF(I122="",Inputs!$B$17,I122)*H122*K122)</f>
        <v/>
      </c>
      <c r="M122" s="8">
        <f>IF(A122="","",SUMIFS($N$4:$N$203,$D$4:$D$203,$A122))</f>
        <v/>
      </c>
      <c r="N122" s="8">
        <f>IF(A122="","",(L122+M122)*Inputs!$B$16)</f>
        <v/>
      </c>
      <c r="O122" s="8" t="n"/>
      <c r="P122" s="8">
        <f>IF(A122="","",IF(O122="",Inputs!$B$7,O122))</f>
        <v/>
      </c>
      <c r="Q122" s="4">
        <f>IF(A122="","",IF(N122/Inputs!$B$10&lt;=AG122,Inputs!$F$5,IF(N122/Inputs!$B$10&gt;AP122,"OVERSIZE",INDEX(Inputs!$F$5:$F$14,MATCH(N122/Inputs!$B$10,AG122:AP122,1)+1))))</f>
        <v/>
      </c>
      <c r="R122" s="4" t="n"/>
      <c r="S122" s="4">
        <f>IF(A122="","",IF(R122="",Q122,R122))</f>
        <v/>
      </c>
      <c r="T122" s="8">
        <f>IF(OR(S122="",S122="OVERSIZE"),"",S122/1000)</f>
        <v/>
      </c>
      <c r="U122" s="8">
        <f>IF(T122="","",(1/Inputs!$B$9)*(PI()*T122^2/4)*((T122/4)^(2/3))*SQRT(P122))</f>
        <v/>
      </c>
      <c r="V122" s="8">
        <f>IF(OR(U122="",N122=""),"",N122/(U122*Inputs!$B$10))</f>
        <v/>
      </c>
      <c r="W122" s="8">
        <f>IF(OR(T122="",N122=""),"",4*N122/(PI()*T122^2))</f>
        <v/>
      </c>
      <c r="X122" s="8" t="n"/>
      <c r="Y122" s="8">
        <f>IF(A122="","",IF(A122=Inputs!$B$6,Inputs!$B$22,IF(D122="","",IFERROR(INDEX($Z$4:$Z$203,MATCH(D122,$A$4:$A$203,0))+IF(X122="",Inputs!$B$20,X122),""))))</f>
        <v/>
      </c>
      <c r="Z122" s="8">
        <f>IF(OR(Y122="",P122="",E122=""),"",Y122+P122*E122)</f>
        <v/>
      </c>
      <c r="AA122" s="8">
        <f>IF(C122="","",IFERROR(INDEX(Noeuds_plan!$C$4:$C$200,MATCH(C122,Noeuds_plan!$A$4:$A$200,0)),""))</f>
        <v/>
      </c>
      <c r="AB122" s="8">
        <f>IF(B122="","",IFERROR(INDEX(Noeuds_plan!$C$4:$C$200,MATCH(B122,Noeuds_plan!$A$4:$A$200,0)),""))</f>
        <v/>
      </c>
      <c r="AC122" s="8">
        <f>IF(OR(AA122="",Y122=""),"",AA122-Y122)</f>
        <v/>
      </c>
      <c r="AD122" s="8">
        <f>IF(OR(AB122="",Z122=""),"",AB122-Z122)</f>
        <v/>
      </c>
      <c r="AE122" s="4">
        <f>IF(A122="","",IF(OR(V122&gt;1,W122&lt;Inputs!$B$11,W122&gt;Inputs!$B$12,AC122&lt;Inputs!$B$19,AD122&lt;Inputs!$B$19,P122&lt;Inputs!$B$7,P122&gt;Inputs!$B$8),"CHECK","OK"))</f>
        <v/>
      </c>
      <c r="AF122" s="4" t="n"/>
      <c r="AG122" s="4">
        <f>IF(A122="","",(1/Inputs!$B$9)*(PI()*(Inputs!$F$5/1000)^2/4)*((Inputs!$F$5/1000/4)^(2/3))*SQRT(P122))</f>
        <v/>
      </c>
      <c r="AH122" s="4">
        <f>IF(A122="","",(1/Inputs!$B$9)*(PI()*(Inputs!$F$6/1000)^2/4)*((Inputs!$F$6/1000/4)^(2/3))*SQRT(P122))</f>
        <v/>
      </c>
      <c r="AI122" s="4">
        <f>IF(A122="","",(1/Inputs!$B$9)*(PI()*(Inputs!$F$7/1000)^2/4)*((Inputs!$F$7/1000/4)^(2/3))*SQRT(P122))</f>
        <v/>
      </c>
      <c r="AJ122" s="4">
        <f>IF(A122="","",(1/Inputs!$B$9)*(PI()*(Inputs!$F$8/1000)^2/4)*((Inputs!$F$8/1000/4)^(2/3))*SQRT(P122))</f>
        <v/>
      </c>
      <c r="AK122" s="4">
        <f>IF(A122="","",(1/Inputs!$B$9)*(PI()*(Inputs!$F$9/1000)^2/4)*((Inputs!$F$9/1000/4)^(2/3))*SQRT(P122))</f>
        <v/>
      </c>
      <c r="AL122" s="4">
        <f>IF(A122="","",(1/Inputs!$B$9)*(PI()*(Inputs!$F$10/1000)^2/4)*((Inputs!$F$10/1000/4)^(2/3))*SQRT(P122))</f>
        <v/>
      </c>
      <c r="AM122" s="4">
        <f>IF(A122="","",(1/Inputs!$B$9)*(PI()*(Inputs!$F$11/1000)^2/4)*((Inputs!$F$11/1000/4)^(2/3))*SQRT(P122))</f>
        <v/>
      </c>
      <c r="AN122" s="4">
        <f>IF(A122="","",(1/Inputs!$B$9)*(PI()*(Inputs!$F$12/1000)^2/4)*((Inputs!$F$12/1000/4)^(2/3))*SQRT(P122))</f>
        <v/>
      </c>
      <c r="AO122" s="4">
        <f>IF(A122="","",(1/Inputs!$B$9)*(PI()*(Inputs!$F$13/1000)^2/4)*((Inputs!$F$13/1000/4)^(2/3))*SQRT(P122))</f>
        <v/>
      </c>
      <c r="AP122" s="4">
        <f>IF(A122="","",(1/Inputs!$B$9)*(PI()*(Inputs!$F$14/1000)^2/4)*((Inputs!$F$14/1000/4)^(2/3))*SQRT(P122))</f>
        <v/>
      </c>
    </row>
    <row r="123">
      <c r="A123" s="4" t="n"/>
      <c r="B123" s="4" t="n"/>
      <c r="C123" s="4" t="n"/>
      <c r="D123" s="4" t="n"/>
      <c r="E123" s="8" t="n"/>
      <c r="F123" s="8" t="n"/>
      <c r="G123" s="8">
        <f>SUMIFS(CB_plan!$C:$C,CB_plan!$B:$B,$A123)</f>
        <v/>
      </c>
      <c r="H123" s="8">
        <f>IF(F123="",G123,F123)</f>
        <v/>
      </c>
      <c r="I123" s="4" t="n"/>
      <c r="J123" s="8" t="n"/>
      <c r="K123" s="8">
        <f>IF(A123="","",Inputs!$B$13/((IF(J123="",Inputs!$B$18,J123)+Inputs!$B$14)^Inputs!$B$15))</f>
        <v/>
      </c>
      <c r="L123" s="8">
        <f>IF(A123="","",0.00278*IF(I123="",Inputs!$B$17,I123)*H123*K123)</f>
        <v/>
      </c>
      <c r="M123" s="8">
        <f>IF(A123="","",SUMIFS($N$4:$N$203,$D$4:$D$203,$A123))</f>
        <v/>
      </c>
      <c r="N123" s="8">
        <f>IF(A123="","",(L123+M123)*Inputs!$B$16)</f>
        <v/>
      </c>
      <c r="O123" s="8" t="n"/>
      <c r="P123" s="8">
        <f>IF(A123="","",IF(O123="",Inputs!$B$7,O123))</f>
        <v/>
      </c>
      <c r="Q123" s="4">
        <f>IF(A123="","",IF(N123/Inputs!$B$10&lt;=AG123,Inputs!$F$5,IF(N123/Inputs!$B$10&gt;AP123,"OVERSIZE",INDEX(Inputs!$F$5:$F$14,MATCH(N123/Inputs!$B$10,AG123:AP123,1)+1))))</f>
        <v/>
      </c>
      <c r="R123" s="4" t="n"/>
      <c r="S123" s="4">
        <f>IF(A123="","",IF(R123="",Q123,R123))</f>
        <v/>
      </c>
      <c r="T123" s="8">
        <f>IF(OR(S123="",S123="OVERSIZE"),"",S123/1000)</f>
        <v/>
      </c>
      <c r="U123" s="8">
        <f>IF(T123="","",(1/Inputs!$B$9)*(PI()*T123^2/4)*((T123/4)^(2/3))*SQRT(P123))</f>
        <v/>
      </c>
      <c r="V123" s="8">
        <f>IF(OR(U123="",N123=""),"",N123/(U123*Inputs!$B$10))</f>
        <v/>
      </c>
      <c r="W123" s="8">
        <f>IF(OR(T123="",N123=""),"",4*N123/(PI()*T123^2))</f>
        <v/>
      </c>
      <c r="X123" s="8" t="n"/>
      <c r="Y123" s="8">
        <f>IF(A123="","",IF(A123=Inputs!$B$6,Inputs!$B$22,IF(D123="","",IFERROR(INDEX($Z$4:$Z$203,MATCH(D123,$A$4:$A$203,0))+IF(X123="",Inputs!$B$20,X123),""))))</f>
        <v/>
      </c>
      <c r="Z123" s="8">
        <f>IF(OR(Y123="",P123="",E123=""),"",Y123+P123*E123)</f>
        <v/>
      </c>
      <c r="AA123" s="8">
        <f>IF(C123="","",IFERROR(INDEX(Noeuds_plan!$C$4:$C$200,MATCH(C123,Noeuds_plan!$A$4:$A$200,0)),""))</f>
        <v/>
      </c>
      <c r="AB123" s="8">
        <f>IF(B123="","",IFERROR(INDEX(Noeuds_plan!$C$4:$C$200,MATCH(B123,Noeuds_plan!$A$4:$A$200,0)),""))</f>
        <v/>
      </c>
      <c r="AC123" s="8">
        <f>IF(OR(AA123="",Y123=""),"",AA123-Y123)</f>
        <v/>
      </c>
      <c r="AD123" s="8">
        <f>IF(OR(AB123="",Z123=""),"",AB123-Z123)</f>
        <v/>
      </c>
      <c r="AE123" s="4">
        <f>IF(A123="","",IF(OR(V123&gt;1,W123&lt;Inputs!$B$11,W123&gt;Inputs!$B$12,AC123&lt;Inputs!$B$19,AD123&lt;Inputs!$B$19,P123&lt;Inputs!$B$7,P123&gt;Inputs!$B$8),"CHECK","OK"))</f>
        <v/>
      </c>
      <c r="AF123" s="4" t="n"/>
      <c r="AG123" s="4">
        <f>IF(A123="","",(1/Inputs!$B$9)*(PI()*(Inputs!$F$5/1000)^2/4)*((Inputs!$F$5/1000/4)^(2/3))*SQRT(P123))</f>
        <v/>
      </c>
      <c r="AH123" s="4">
        <f>IF(A123="","",(1/Inputs!$B$9)*(PI()*(Inputs!$F$6/1000)^2/4)*((Inputs!$F$6/1000/4)^(2/3))*SQRT(P123))</f>
        <v/>
      </c>
      <c r="AI123" s="4">
        <f>IF(A123="","",(1/Inputs!$B$9)*(PI()*(Inputs!$F$7/1000)^2/4)*((Inputs!$F$7/1000/4)^(2/3))*SQRT(P123))</f>
        <v/>
      </c>
      <c r="AJ123" s="4">
        <f>IF(A123="","",(1/Inputs!$B$9)*(PI()*(Inputs!$F$8/1000)^2/4)*((Inputs!$F$8/1000/4)^(2/3))*SQRT(P123))</f>
        <v/>
      </c>
      <c r="AK123" s="4">
        <f>IF(A123="","",(1/Inputs!$B$9)*(PI()*(Inputs!$F$9/1000)^2/4)*((Inputs!$F$9/1000/4)^(2/3))*SQRT(P123))</f>
        <v/>
      </c>
      <c r="AL123" s="4">
        <f>IF(A123="","",(1/Inputs!$B$9)*(PI()*(Inputs!$F$10/1000)^2/4)*((Inputs!$F$10/1000/4)^(2/3))*SQRT(P123))</f>
        <v/>
      </c>
      <c r="AM123" s="4">
        <f>IF(A123="","",(1/Inputs!$B$9)*(PI()*(Inputs!$F$11/1000)^2/4)*((Inputs!$F$11/1000/4)^(2/3))*SQRT(P123))</f>
        <v/>
      </c>
      <c r="AN123" s="4">
        <f>IF(A123="","",(1/Inputs!$B$9)*(PI()*(Inputs!$F$12/1000)^2/4)*((Inputs!$F$12/1000/4)^(2/3))*SQRT(P123))</f>
        <v/>
      </c>
      <c r="AO123" s="4">
        <f>IF(A123="","",(1/Inputs!$B$9)*(PI()*(Inputs!$F$13/1000)^2/4)*((Inputs!$F$13/1000/4)^(2/3))*SQRT(P123))</f>
        <v/>
      </c>
      <c r="AP123" s="4">
        <f>IF(A123="","",(1/Inputs!$B$9)*(PI()*(Inputs!$F$14/1000)^2/4)*((Inputs!$F$14/1000/4)^(2/3))*SQRT(P123))</f>
        <v/>
      </c>
    </row>
    <row r="124">
      <c r="A124" s="4" t="n"/>
      <c r="B124" s="4" t="n"/>
      <c r="C124" s="4" t="n"/>
      <c r="D124" s="4" t="n"/>
      <c r="E124" s="8" t="n"/>
      <c r="F124" s="8" t="n"/>
      <c r="G124" s="8">
        <f>SUMIFS(CB_plan!$C:$C,CB_plan!$B:$B,$A124)</f>
        <v/>
      </c>
      <c r="H124" s="8">
        <f>IF(F124="",G124,F124)</f>
        <v/>
      </c>
      <c r="I124" s="4" t="n"/>
      <c r="J124" s="8" t="n"/>
      <c r="K124" s="8">
        <f>IF(A124="","",Inputs!$B$13/((IF(J124="",Inputs!$B$18,J124)+Inputs!$B$14)^Inputs!$B$15))</f>
        <v/>
      </c>
      <c r="L124" s="8">
        <f>IF(A124="","",0.00278*IF(I124="",Inputs!$B$17,I124)*H124*K124)</f>
        <v/>
      </c>
      <c r="M124" s="8">
        <f>IF(A124="","",SUMIFS($N$4:$N$203,$D$4:$D$203,$A124))</f>
        <v/>
      </c>
      <c r="N124" s="8">
        <f>IF(A124="","",(L124+M124)*Inputs!$B$16)</f>
        <v/>
      </c>
      <c r="O124" s="8" t="n"/>
      <c r="P124" s="8">
        <f>IF(A124="","",IF(O124="",Inputs!$B$7,O124))</f>
        <v/>
      </c>
      <c r="Q124" s="4">
        <f>IF(A124="","",IF(N124/Inputs!$B$10&lt;=AG124,Inputs!$F$5,IF(N124/Inputs!$B$10&gt;AP124,"OVERSIZE",INDEX(Inputs!$F$5:$F$14,MATCH(N124/Inputs!$B$10,AG124:AP124,1)+1))))</f>
        <v/>
      </c>
      <c r="R124" s="4" t="n"/>
      <c r="S124" s="4">
        <f>IF(A124="","",IF(R124="",Q124,R124))</f>
        <v/>
      </c>
      <c r="T124" s="8">
        <f>IF(OR(S124="",S124="OVERSIZE"),"",S124/1000)</f>
        <v/>
      </c>
      <c r="U124" s="8">
        <f>IF(T124="","",(1/Inputs!$B$9)*(PI()*T124^2/4)*((T124/4)^(2/3))*SQRT(P124))</f>
        <v/>
      </c>
      <c r="V124" s="8">
        <f>IF(OR(U124="",N124=""),"",N124/(U124*Inputs!$B$10))</f>
        <v/>
      </c>
      <c r="W124" s="8">
        <f>IF(OR(T124="",N124=""),"",4*N124/(PI()*T124^2))</f>
        <v/>
      </c>
      <c r="X124" s="8" t="n"/>
      <c r="Y124" s="8">
        <f>IF(A124="","",IF(A124=Inputs!$B$6,Inputs!$B$22,IF(D124="","",IFERROR(INDEX($Z$4:$Z$203,MATCH(D124,$A$4:$A$203,0))+IF(X124="",Inputs!$B$20,X124),""))))</f>
        <v/>
      </c>
      <c r="Z124" s="8">
        <f>IF(OR(Y124="",P124="",E124=""),"",Y124+P124*E124)</f>
        <v/>
      </c>
      <c r="AA124" s="8">
        <f>IF(C124="","",IFERROR(INDEX(Noeuds_plan!$C$4:$C$200,MATCH(C124,Noeuds_plan!$A$4:$A$200,0)),""))</f>
        <v/>
      </c>
      <c r="AB124" s="8">
        <f>IF(B124="","",IFERROR(INDEX(Noeuds_plan!$C$4:$C$200,MATCH(B124,Noeuds_plan!$A$4:$A$200,0)),""))</f>
        <v/>
      </c>
      <c r="AC124" s="8">
        <f>IF(OR(AA124="",Y124=""),"",AA124-Y124)</f>
        <v/>
      </c>
      <c r="AD124" s="8">
        <f>IF(OR(AB124="",Z124=""),"",AB124-Z124)</f>
        <v/>
      </c>
      <c r="AE124" s="4">
        <f>IF(A124="","",IF(OR(V124&gt;1,W124&lt;Inputs!$B$11,W124&gt;Inputs!$B$12,AC124&lt;Inputs!$B$19,AD124&lt;Inputs!$B$19,P124&lt;Inputs!$B$7,P124&gt;Inputs!$B$8),"CHECK","OK"))</f>
        <v/>
      </c>
      <c r="AF124" s="4" t="n"/>
      <c r="AG124" s="4">
        <f>IF(A124="","",(1/Inputs!$B$9)*(PI()*(Inputs!$F$5/1000)^2/4)*((Inputs!$F$5/1000/4)^(2/3))*SQRT(P124))</f>
        <v/>
      </c>
      <c r="AH124" s="4">
        <f>IF(A124="","",(1/Inputs!$B$9)*(PI()*(Inputs!$F$6/1000)^2/4)*((Inputs!$F$6/1000/4)^(2/3))*SQRT(P124))</f>
        <v/>
      </c>
      <c r="AI124" s="4">
        <f>IF(A124="","",(1/Inputs!$B$9)*(PI()*(Inputs!$F$7/1000)^2/4)*((Inputs!$F$7/1000/4)^(2/3))*SQRT(P124))</f>
        <v/>
      </c>
      <c r="AJ124" s="4">
        <f>IF(A124="","",(1/Inputs!$B$9)*(PI()*(Inputs!$F$8/1000)^2/4)*((Inputs!$F$8/1000/4)^(2/3))*SQRT(P124))</f>
        <v/>
      </c>
      <c r="AK124" s="4">
        <f>IF(A124="","",(1/Inputs!$B$9)*(PI()*(Inputs!$F$9/1000)^2/4)*((Inputs!$F$9/1000/4)^(2/3))*SQRT(P124))</f>
        <v/>
      </c>
      <c r="AL124" s="4">
        <f>IF(A124="","",(1/Inputs!$B$9)*(PI()*(Inputs!$F$10/1000)^2/4)*((Inputs!$F$10/1000/4)^(2/3))*SQRT(P124))</f>
        <v/>
      </c>
      <c r="AM124" s="4">
        <f>IF(A124="","",(1/Inputs!$B$9)*(PI()*(Inputs!$F$11/1000)^2/4)*((Inputs!$F$11/1000/4)^(2/3))*SQRT(P124))</f>
        <v/>
      </c>
      <c r="AN124" s="4">
        <f>IF(A124="","",(1/Inputs!$B$9)*(PI()*(Inputs!$F$12/1000)^2/4)*((Inputs!$F$12/1000/4)^(2/3))*SQRT(P124))</f>
        <v/>
      </c>
      <c r="AO124" s="4">
        <f>IF(A124="","",(1/Inputs!$B$9)*(PI()*(Inputs!$F$13/1000)^2/4)*((Inputs!$F$13/1000/4)^(2/3))*SQRT(P124))</f>
        <v/>
      </c>
      <c r="AP124" s="4">
        <f>IF(A124="","",(1/Inputs!$B$9)*(PI()*(Inputs!$F$14/1000)^2/4)*((Inputs!$F$14/1000/4)^(2/3))*SQRT(P124))</f>
        <v/>
      </c>
    </row>
    <row r="125">
      <c r="A125" s="4" t="n"/>
      <c r="B125" s="4" t="n"/>
      <c r="C125" s="4" t="n"/>
      <c r="D125" s="4" t="n"/>
      <c r="E125" s="8" t="n"/>
      <c r="F125" s="8" t="n"/>
      <c r="G125" s="8">
        <f>SUMIFS(CB_plan!$C:$C,CB_plan!$B:$B,$A125)</f>
        <v/>
      </c>
      <c r="H125" s="8">
        <f>IF(F125="",G125,F125)</f>
        <v/>
      </c>
      <c r="I125" s="4" t="n"/>
      <c r="J125" s="8" t="n"/>
      <c r="K125" s="8">
        <f>IF(A125="","",Inputs!$B$13/((IF(J125="",Inputs!$B$18,J125)+Inputs!$B$14)^Inputs!$B$15))</f>
        <v/>
      </c>
      <c r="L125" s="8">
        <f>IF(A125="","",0.00278*IF(I125="",Inputs!$B$17,I125)*H125*K125)</f>
        <v/>
      </c>
      <c r="M125" s="8">
        <f>IF(A125="","",SUMIFS($N$4:$N$203,$D$4:$D$203,$A125))</f>
        <v/>
      </c>
      <c r="N125" s="8">
        <f>IF(A125="","",(L125+M125)*Inputs!$B$16)</f>
        <v/>
      </c>
      <c r="O125" s="8" t="n"/>
      <c r="P125" s="8">
        <f>IF(A125="","",IF(O125="",Inputs!$B$7,O125))</f>
        <v/>
      </c>
      <c r="Q125" s="4">
        <f>IF(A125="","",IF(N125/Inputs!$B$10&lt;=AG125,Inputs!$F$5,IF(N125/Inputs!$B$10&gt;AP125,"OVERSIZE",INDEX(Inputs!$F$5:$F$14,MATCH(N125/Inputs!$B$10,AG125:AP125,1)+1))))</f>
        <v/>
      </c>
      <c r="R125" s="4" t="n"/>
      <c r="S125" s="4">
        <f>IF(A125="","",IF(R125="",Q125,R125))</f>
        <v/>
      </c>
      <c r="T125" s="8">
        <f>IF(OR(S125="",S125="OVERSIZE"),"",S125/1000)</f>
        <v/>
      </c>
      <c r="U125" s="8">
        <f>IF(T125="","",(1/Inputs!$B$9)*(PI()*T125^2/4)*((T125/4)^(2/3))*SQRT(P125))</f>
        <v/>
      </c>
      <c r="V125" s="8">
        <f>IF(OR(U125="",N125=""),"",N125/(U125*Inputs!$B$10))</f>
        <v/>
      </c>
      <c r="W125" s="8">
        <f>IF(OR(T125="",N125=""),"",4*N125/(PI()*T125^2))</f>
        <v/>
      </c>
      <c r="X125" s="8" t="n"/>
      <c r="Y125" s="8">
        <f>IF(A125="","",IF(A125=Inputs!$B$6,Inputs!$B$22,IF(D125="","",IFERROR(INDEX($Z$4:$Z$203,MATCH(D125,$A$4:$A$203,0))+IF(X125="",Inputs!$B$20,X125),""))))</f>
        <v/>
      </c>
      <c r="Z125" s="8">
        <f>IF(OR(Y125="",P125="",E125=""),"",Y125+P125*E125)</f>
        <v/>
      </c>
      <c r="AA125" s="8">
        <f>IF(C125="","",IFERROR(INDEX(Noeuds_plan!$C$4:$C$200,MATCH(C125,Noeuds_plan!$A$4:$A$200,0)),""))</f>
        <v/>
      </c>
      <c r="AB125" s="8">
        <f>IF(B125="","",IFERROR(INDEX(Noeuds_plan!$C$4:$C$200,MATCH(B125,Noeuds_plan!$A$4:$A$200,0)),""))</f>
        <v/>
      </c>
      <c r="AC125" s="8">
        <f>IF(OR(AA125="",Y125=""),"",AA125-Y125)</f>
        <v/>
      </c>
      <c r="AD125" s="8">
        <f>IF(OR(AB125="",Z125=""),"",AB125-Z125)</f>
        <v/>
      </c>
      <c r="AE125" s="4">
        <f>IF(A125="","",IF(OR(V125&gt;1,W125&lt;Inputs!$B$11,W125&gt;Inputs!$B$12,AC125&lt;Inputs!$B$19,AD125&lt;Inputs!$B$19,P125&lt;Inputs!$B$7,P125&gt;Inputs!$B$8),"CHECK","OK"))</f>
        <v/>
      </c>
      <c r="AF125" s="4" t="n"/>
      <c r="AG125" s="4">
        <f>IF(A125="","",(1/Inputs!$B$9)*(PI()*(Inputs!$F$5/1000)^2/4)*((Inputs!$F$5/1000/4)^(2/3))*SQRT(P125))</f>
        <v/>
      </c>
      <c r="AH125" s="4">
        <f>IF(A125="","",(1/Inputs!$B$9)*(PI()*(Inputs!$F$6/1000)^2/4)*((Inputs!$F$6/1000/4)^(2/3))*SQRT(P125))</f>
        <v/>
      </c>
      <c r="AI125" s="4">
        <f>IF(A125="","",(1/Inputs!$B$9)*(PI()*(Inputs!$F$7/1000)^2/4)*((Inputs!$F$7/1000/4)^(2/3))*SQRT(P125))</f>
        <v/>
      </c>
      <c r="AJ125" s="4">
        <f>IF(A125="","",(1/Inputs!$B$9)*(PI()*(Inputs!$F$8/1000)^2/4)*((Inputs!$F$8/1000/4)^(2/3))*SQRT(P125))</f>
        <v/>
      </c>
      <c r="AK125" s="4">
        <f>IF(A125="","",(1/Inputs!$B$9)*(PI()*(Inputs!$F$9/1000)^2/4)*((Inputs!$F$9/1000/4)^(2/3))*SQRT(P125))</f>
        <v/>
      </c>
      <c r="AL125" s="4">
        <f>IF(A125="","",(1/Inputs!$B$9)*(PI()*(Inputs!$F$10/1000)^2/4)*((Inputs!$F$10/1000/4)^(2/3))*SQRT(P125))</f>
        <v/>
      </c>
      <c r="AM125" s="4">
        <f>IF(A125="","",(1/Inputs!$B$9)*(PI()*(Inputs!$F$11/1000)^2/4)*((Inputs!$F$11/1000/4)^(2/3))*SQRT(P125))</f>
        <v/>
      </c>
      <c r="AN125" s="4">
        <f>IF(A125="","",(1/Inputs!$B$9)*(PI()*(Inputs!$F$12/1000)^2/4)*((Inputs!$F$12/1000/4)^(2/3))*SQRT(P125))</f>
        <v/>
      </c>
      <c r="AO125" s="4">
        <f>IF(A125="","",(1/Inputs!$B$9)*(PI()*(Inputs!$F$13/1000)^2/4)*((Inputs!$F$13/1000/4)^(2/3))*SQRT(P125))</f>
        <v/>
      </c>
      <c r="AP125" s="4">
        <f>IF(A125="","",(1/Inputs!$B$9)*(PI()*(Inputs!$F$14/1000)^2/4)*((Inputs!$F$14/1000/4)^(2/3))*SQRT(P125))</f>
        <v/>
      </c>
    </row>
    <row r="126">
      <c r="A126" s="4" t="n"/>
      <c r="B126" s="4" t="n"/>
      <c r="C126" s="4" t="n"/>
      <c r="D126" s="4" t="n"/>
      <c r="E126" s="8" t="n"/>
      <c r="F126" s="8" t="n"/>
      <c r="G126" s="8">
        <f>SUMIFS(CB_plan!$C:$C,CB_plan!$B:$B,$A126)</f>
        <v/>
      </c>
      <c r="H126" s="8">
        <f>IF(F126="",G126,F126)</f>
        <v/>
      </c>
      <c r="I126" s="4" t="n"/>
      <c r="J126" s="8" t="n"/>
      <c r="K126" s="8">
        <f>IF(A126="","",Inputs!$B$13/((IF(J126="",Inputs!$B$18,J126)+Inputs!$B$14)^Inputs!$B$15))</f>
        <v/>
      </c>
      <c r="L126" s="8">
        <f>IF(A126="","",0.00278*IF(I126="",Inputs!$B$17,I126)*H126*K126)</f>
        <v/>
      </c>
      <c r="M126" s="8">
        <f>IF(A126="","",SUMIFS($N$4:$N$203,$D$4:$D$203,$A126))</f>
        <v/>
      </c>
      <c r="N126" s="8">
        <f>IF(A126="","",(L126+M126)*Inputs!$B$16)</f>
        <v/>
      </c>
      <c r="O126" s="8" t="n"/>
      <c r="P126" s="8">
        <f>IF(A126="","",IF(O126="",Inputs!$B$7,O126))</f>
        <v/>
      </c>
      <c r="Q126" s="4">
        <f>IF(A126="","",IF(N126/Inputs!$B$10&lt;=AG126,Inputs!$F$5,IF(N126/Inputs!$B$10&gt;AP126,"OVERSIZE",INDEX(Inputs!$F$5:$F$14,MATCH(N126/Inputs!$B$10,AG126:AP126,1)+1))))</f>
        <v/>
      </c>
      <c r="R126" s="4" t="n"/>
      <c r="S126" s="4">
        <f>IF(A126="","",IF(R126="",Q126,R126))</f>
        <v/>
      </c>
      <c r="T126" s="8">
        <f>IF(OR(S126="",S126="OVERSIZE"),"",S126/1000)</f>
        <v/>
      </c>
      <c r="U126" s="8">
        <f>IF(T126="","",(1/Inputs!$B$9)*(PI()*T126^2/4)*((T126/4)^(2/3))*SQRT(P126))</f>
        <v/>
      </c>
      <c r="V126" s="8">
        <f>IF(OR(U126="",N126=""),"",N126/(U126*Inputs!$B$10))</f>
        <v/>
      </c>
      <c r="W126" s="8">
        <f>IF(OR(T126="",N126=""),"",4*N126/(PI()*T126^2))</f>
        <v/>
      </c>
      <c r="X126" s="8" t="n"/>
      <c r="Y126" s="8">
        <f>IF(A126="","",IF(A126=Inputs!$B$6,Inputs!$B$22,IF(D126="","",IFERROR(INDEX($Z$4:$Z$203,MATCH(D126,$A$4:$A$203,0))+IF(X126="",Inputs!$B$20,X126),""))))</f>
        <v/>
      </c>
      <c r="Z126" s="8">
        <f>IF(OR(Y126="",P126="",E126=""),"",Y126+P126*E126)</f>
        <v/>
      </c>
      <c r="AA126" s="8">
        <f>IF(C126="","",IFERROR(INDEX(Noeuds_plan!$C$4:$C$200,MATCH(C126,Noeuds_plan!$A$4:$A$200,0)),""))</f>
        <v/>
      </c>
      <c r="AB126" s="8">
        <f>IF(B126="","",IFERROR(INDEX(Noeuds_plan!$C$4:$C$200,MATCH(B126,Noeuds_plan!$A$4:$A$200,0)),""))</f>
        <v/>
      </c>
      <c r="AC126" s="8">
        <f>IF(OR(AA126="",Y126=""),"",AA126-Y126)</f>
        <v/>
      </c>
      <c r="AD126" s="8">
        <f>IF(OR(AB126="",Z126=""),"",AB126-Z126)</f>
        <v/>
      </c>
      <c r="AE126" s="4">
        <f>IF(A126="","",IF(OR(V126&gt;1,W126&lt;Inputs!$B$11,W126&gt;Inputs!$B$12,AC126&lt;Inputs!$B$19,AD126&lt;Inputs!$B$19,P126&lt;Inputs!$B$7,P126&gt;Inputs!$B$8),"CHECK","OK"))</f>
        <v/>
      </c>
      <c r="AF126" s="4" t="n"/>
      <c r="AG126" s="4">
        <f>IF(A126="","",(1/Inputs!$B$9)*(PI()*(Inputs!$F$5/1000)^2/4)*((Inputs!$F$5/1000/4)^(2/3))*SQRT(P126))</f>
        <v/>
      </c>
      <c r="AH126" s="4">
        <f>IF(A126="","",(1/Inputs!$B$9)*(PI()*(Inputs!$F$6/1000)^2/4)*((Inputs!$F$6/1000/4)^(2/3))*SQRT(P126))</f>
        <v/>
      </c>
      <c r="AI126" s="4">
        <f>IF(A126="","",(1/Inputs!$B$9)*(PI()*(Inputs!$F$7/1000)^2/4)*((Inputs!$F$7/1000/4)^(2/3))*SQRT(P126))</f>
        <v/>
      </c>
      <c r="AJ126" s="4">
        <f>IF(A126="","",(1/Inputs!$B$9)*(PI()*(Inputs!$F$8/1000)^2/4)*((Inputs!$F$8/1000/4)^(2/3))*SQRT(P126))</f>
        <v/>
      </c>
      <c r="AK126" s="4">
        <f>IF(A126="","",(1/Inputs!$B$9)*(PI()*(Inputs!$F$9/1000)^2/4)*((Inputs!$F$9/1000/4)^(2/3))*SQRT(P126))</f>
        <v/>
      </c>
      <c r="AL126" s="4">
        <f>IF(A126="","",(1/Inputs!$B$9)*(PI()*(Inputs!$F$10/1000)^2/4)*((Inputs!$F$10/1000/4)^(2/3))*SQRT(P126))</f>
        <v/>
      </c>
      <c r="AM126" s="4">
        <f>IF(A126="","",(1/Inputs!$B$9)*(PI()*(Inputs!$F$11/1000)^2/4)*((Inputs!$F$11/1000/4)^(2/3))*SQRT(P126))</f>
        <v/>
      </c>
      <c r="AN126" s="4">
        <f>IF(A126="","",(1/Inputs!$B$9)*(PI()*(Inputs!$F$12/1000)^2/4)*((Inputs!$F$12/1000/4)^(2/3))*SQRT(P126))</f>
        <v/>
      </c>
      <c r="AO126" s="4">
        <f>IF(A126="","",(1/Inputs!$B$9)*(PI()*(Inputs!$F$13/1000)^2/4)*((Inputs!$F$13/1000/4)^(2/3))*SQRT(P126))</f>
        <v/>
      </c>
      <c r="AP126" s="4">
        <f>IF(A126="","",(1/Inputs!$B$9)*(PI()*(Inputs!$F$14/1000)^2/4)*((Inputs!$F$14/1000/4)^(2/3))*SQRT(P126))</f>
        <v/>
      </c>
    </row>
    <row r="127">
      <c r="A127" s="4" t="n"/>
      <c r="B127" s="4" t="n"/>
      <c r="C127" s="4" t="n"/>
      <c r="D127" s="4" t="n"/>
      <c r="E127" s="8" t="n"/>
      <c r="F127" s="8" t="n"/>
      <c r="G127" s="8">
        <f>SUMIFS(CB_plan!$C:$C,CB_plan!$B:$B,$A127)</f>
        <v/>
      </c>
      <c r="H127" s="8">
        <f>IF(F127="",G127,F127)</f>
        <v/>
      </c>
      <c r="I127" s="4" t="n"/>
      <c r="J127" s="8" t="n"/>
      <c r="K127" s="8">
        <f>IF(A127="","",Inputs!$B$13/((IF(J127="",Inputs!$B$18,J127)+Inputs!$B$14)^Inputs!$B$15))</f>
        <v/>
      </c>
      <c r="L127" s="8">
        <f>IF(A127="","",0.00278*IF(I127="",Inputs!$B$17,I127)*H127*K127)</f>
        <v/>
      </c>
      <c r="M127" s="8">
        <f>IF(A127="","",SUMIFS($N$4:$N$203,$D$4:$D$203,$A127))</f>
        <v/>
      </c>
      <c r="N127" s="8">
        <f>IF(A127="","",(L127+M127)*Inputs!$B$16)</f>
        <v/>
      </c>
      <c r="O127" s="8" t="n"/>
      <c r="P127" s="8">
        <f>IF(A127="","",IF(O127="",Inputs!$B$7,O127))</f>
        <v/>
      </c>
      <c r="Q127" s="4">
        <f>IF(A127="","",IF(N127/Inputs!$B$10&lt;=AG127,Inputs!$F$5,IF(N127/Inputs!$B$10&gt;AP127,"OVERSIZE",INDEX(Inputs!$F$5:$F$14,MATCH(N127/Inputs!$B$10,AG127:AP127,1)+1))))</f>
        <v/>
      </c>
      <c r="R127" s="4" t="n"/>
      <c r="S127" s="4">
        <f>IF(A127="","",IF(R127="",Q127,R127))</f>
        <v/>
      </c>
      <c r="T127" s="8">
        <f>IF(OR(S127="",S127="OVERSIZE"),"",S127/1000)</f>
        <v/>
      </c>
      <c r="U127" s="8">
        <f>IF(T127="","",(1/Inputs!$B$9)*(PI()*T127^2/4)*((T127/4)^(2/3))*SQRT(P127))</f>
        <v/>
      </c>
      <c r="V127" s="8">
        <f>IF(OR(U127="",N127=""),"",N127/(U127*Inputs!$B$10))</f>
        <v/>
      </c>
      <c r="W127" s="8">
        <f>IF(OR(T127="",N127=""),"",4*N127/(PI()*T127^2))</f>
        <v/>
      </c>
      <c r="X127" s="8" t="n"/>
      <c r="Y127" s="8">
        <f>IF(A127="","",IF(A127=Inputs!$B$6,Inputs!$B$22,IF(D127="","",IFERROR(INDEX($Z$4:$Z$203,MATCH(D127,$A$4:$A$203,0))+IF(X127="",Inputs!$B$20,X127),""))))</f>
        <v/>
      </c>
      <c r="Z127" s="8">
        <f>IF(OR(Y127="",P127="",E127=""),"",Y127+P127*E127)</f>
        <v/>
      </c>
      <c r="AA127" s="8">
        <f>IF(C127="","",IFERROR(INDEX(Noeuds_plan!$C$4:$C$200,MATCH(C127,Noeuds_plan!$A$4:$A$200,0)),""))</f>
        <v/>
      </c>
      <c r="AB127" s="8">
        <f>IF(B127="","",IFERROR(INDEX(Noeuds_plan!$C$4:$C$200,MATCH(B127,Noeuds_plan!$A$4:$A$200,0)),""))</f>
        <v/>
      </c>
      <c r="AC127" s="8">
        <f>IF(OR(AA127="",Y127=""),"",AA127-Y127)</f>
        <v/>
      </c>
      <c r="AD127" s="8">
        <f>IF(OR(AB127="",Z127=""),"",AB127-Z127)</f>
        <v/>
      </c>
      <c r="AE127" s="4">
        <f>IF(A127="","",IF(OR(V127&gt;1,W127&lt;Inputs!$B$11,W127&gt;Inputs!$B$12,AC127&lt;Inputs!$B$19,AD127&lt;Inputs!$B$19,P127&lt;Inputs!$B$7,P127&gt;Inputs!$B$8),"CHECK","OK"))</f>
        <v/>
      </c>
      <c r="AF127" s="4" t="n"/>
      <c r="AG127" s="4">
        <f>IF(A127="","",(1/Inputs!$B$9)*(PI()*(Inputs!$F$5/1000)^2/4)*((Inputs!$F$5/1000/4)^(2/3))*SQRT(P127))</f>
        <v/>
      </c>
      <c r="AH127" s="4">
        <f>IF(A127="","",(1/Inputs!$B$9)*(PI()*(Inputs!$F$6/1000)^2/4)*((Inputs!$F$6/1000/4)^(2/3))*SQRT(P127))</f>
        <v/>
      </c>
      <c r="AI127" s="4">
        <f>IF(A127="","",(1/Inputs!$B$9)*(PI()*(Inputs!$F$7/1000)^2/4)*((Inputs!$F$7/1000/4)^(2/3))*SQRT(P127))</f>
        <v/>
      </c>
      <c r="AJ127" s="4">
        <f>IF(A127="","",(1/Inputs!$B$9)*(PI()*(Inputs!$F$8/1000)^2/4)*((Inputs!$F$8/1000/4)^(2/3))*SQRT(P127))</f>
        <v/>
      </c>
      <c r="AK127" s="4">
        <f>IF(A127="","",(1/Inputs!$B$9)*(PI()*(Inputs!$F$9/1000)^2/4)*((Inputs!$F$9/1000/4)^(2/3))*SQRT(P127))</f>
        <v/>
      </c>
      <c r="AL127" s="4">
        <f>IF(A127="","",(1/Inputs!$B$9)*(PI()*(Inputs!$F$10/1000)^2/4)*((Inputs!$F$10/1000/4)^(2/3))*SQRT(P127))</f>
        <v/>
      </c>
      <c r="AM127" s="4">
        <f>IF(A127="","",(1/Inputs!$B$9)*(PI()*(Inputs!$F$11/1000)^2/4)*((Inputs!$F$11/1000/4)^(2/3))*SQRT(P127))</f>
        <v/>
      </c>
      <c r="AN127" s="4">
        <f>IF(A127="","",(1/Inputs!$B$9)*(PI()*(Inputs!$F$12/1000)^2/4)*((Inputs!$F$12/1000/4)^(2/3))*SQRT(P127))</f>
        <v/>
      </c>
      <c r="AO127" s="4">
        <f>IF(A127="","",(1/Inputs!$B$9)*(PI()*(Inputs!$F$13/1000)^2/4)*((Inputs!$F$13/1000/4)^(2/3))*SQRT(P127))</f>
        <v/>
      </c>
      <c r="AP127" s="4">
        <f>IF(A127="","",(1/Inputs!$B$9)*(PI()*(Inputs!$F$14/1000)^2/4)*((Inputs!$F$14/1000/4)^(2/3))*SQRT(P127))</f>
        <v/>
      </c>
    </row>
    <row r="128">
      <c r="A128" s="4" t="n"/>
      <c r="B128" s="4" t="n"/>
      <c r="C128" s="4" t="n"/>
      <c r="D128" s="4" t="n"/>
      <c r="E128" s="8" t="n"/>
      <c r="F128" s="8" t="n"/>
      <c r="G128" s="8">
        <f>SUMIFS(CB_plan!$C:$C,CB_plan!$B:$B,$A128)</f>
        <v/>
      </c>
      <c r="H128" s="8">
        <f>IF(F128="",G128,F128)</f>
        <v/>
      </c>
      <c r="I128" s="4" t="n"/>
      <c r="J128" s="8" t="n"/>
      <c r="K128" s="8">
        <f>IF(A128="","",Inputs!$B$13/((IF(J128="",Inputs!$B$18,J128)+Inputs!$B$14)^Inputs!$B$15))</f>
        <v/>
      </c>
      <c r="L128" s="8">
        <f>IF(A128="","",0.00278*IF(I128="",Inputs!$B$17,I128)*H128*K128)</f>
        <v/>
      </c>
      <c r="M128" s="8">
        <f>IF(A128="","",SUMIFS($N$4:$N$203,$D$4:$D$203,$A128))</f>
        <v/>
      </c>
      <c r="N128" s="8">
        <f>IF(A128="","",(L128+M128)*Inputs!$B$16)</f>
        <v/>
      </c>
      <c r="O128" s="8" t="n"/>
      <c r="P128" s="8">
        <f>IF(A128="","",IF(O128="",Inputs!$B$7,O128))</f>
        <v/>
      </c>
      <c r="Q128" s="4">
        <f>IF(A128="","",IF(N128/Inputs!$B$10&lt;=AG128,Inputs!$F$5,IF(N128/Inputs!$B$10&gt;AP128,"OVERSIZE",INDEX(Inputs!$F$5:$F$14,MATCH(N128/Inputs!$B$10,AG128:AP128,1)+1))))</f>
        <v/>
      </c>
      <c r="R128" s="4" t="n"/>
      <c r="S128" s="4">
        <f>IF(A128="","",IF(R128="",Q128,R128))</f>
        <v/>
      </c>
      <c r="T128" s="8">
        <f>IF(OR(S128="",S128="OVERSIZE"),"",S128/1000)</f>
        <v/>
      </c>
      <c r="U128" s="8">
        <f>IF(T128="","",(1/Inputs!$B$9)*(PI()*T128^2/4)*((T128/4)^(2/3))*SQRT(P128))</f>
        <v/>
      </c>
      <c r="V128" s="8">
        <f>IF(OR(U128="",N128=""),"",N128/(U128*Inputs!$B$10))</f>
        <v/>
      </c>
      <c r="W128" s="8">
        <f>IF(OR(T128="",N128=""),"",4*N128/(PI()*T128^2))</f>
        <v/>
      </c>
      <c r="X128" s="8" t="n"/>
      <c r="Y128" s="8">
        <f>IF(A128="","",IF(A128=Inputs!$B$6,Inputs!$B$22,IF(D128="","",IFERROR(INDEX($Z$4:$Z$203,MATCH(D128,$A$4:$A$203,0))+IF(X128="",Inputs!$B$20,X128),""))))</f>
        <v/>
      </c>
      <c r="Z128" s="8">
        <f>IF(OR(Y128="",P128="",E128=""),"",Y128+P128*E128)</f>
        <v/>
      </c>
      <c r="AA128" s="8">
        <f>IF(C128="","",IFERROR(INDEX(Noeuds_plan!$C$4:$C$200,MATCH(C128,Noeuds_plan!$A$4:$A$200,0)),""))</f>
        <v/>
      </c>
      <c r="AB128" s="8">
        <f>IF(B128="","",IFERROR(INDEX(Noeuds_plan!$C$4:$C$200,MATCH(B128,Noeuds_plan!$A$4:$A$200,0)),""))</f>
        <v/>
      </c>
      <c r="AC128" s="8">
        <f>IF(OR(AA128="",Y128=""),"",AA128-Y128)</f>
        <v/>
      </c>
      <c r="AD128" s="8">
        <f>IF(OR(AB128="",Z128=""),"",AB128-Z128)</f>
        <v/>
      </c>
      <c r="AE128" s="4">
        <f>IF(A128="","",IF(OR(V128&gt;1,W128&lt;Inputs!$B$11,W128&gt;Inputs!$B$12,AC128&lt;Inputs!$B$19,AD128&lt;Inputs!$B$19,P128&lt;Inputs!$B$7,P128&gt;Inputs!$B$8),"CHECK","OK"))</f>
        <v/>
      </c>
      <c r="AF128" s="4" t="n"/>
      <c r="AG128" s="4">
        <f>IF(A128="","",(1/Inputs!$B$9)*(PI()*(Inputs!$F$5/1000)^2/4)*((Inputs!$F$5/1000/4)^(2/3))*SQRT(P128))</f>
        <v/>
      </c>
      <c r="AH128" s="4">
        <f>IF(A128="","",(1/Inputs!$B$9)*(PI()*(Inputs!$F$6/1000)^2/4)*((Inputs!$F$6/1000/4)^(2/3))*SQRT(P128))</f>
        <v/>
      </c>
      <c r="AI128" s="4">
        <f>IF(A128="","",(1/Inputs!$B$9)*(PI()*(Inputs!$F$7/1000)^2/4)*((Inputs!$F$7/1000/4)^(2/3))*SQRT(P128))</f>
        <v/>
      </c>
      <c r="AJ128" s="4">
        <f>IF(A128="","",(1/Inputs!$B$9)*(PI()*(Inputs!$F$8/1000)^2/4)*((Inputs!$F$8/1000/4)^(2/3))*SQRT(P128))</f>
        <v/>
      </c>
      <c r="AK128" s="4">
        <f>IF(A128="","",(1/Inputs!$B$9)*(PI()*(Inputs!$F$9/1000)^2/4)*((Inputs!$F$9/1000/4)^(2/3))*SQRT(P128))</f>
        <v/>
      </c>
      <c r="AL128" s="4">
        <f>IF(A128="","",(1/Inputs!$B$9)*(PI()*(Inputs!$F$10/1000)^2/4)*((Inputs!$F$10/1000/4)^(2/3))*SQRT(P128))</f>
        <v/>
      </c>
      <c r="AM128" s="4">
        <f>IF(A128="","",(1/Inputs!$B$9)*(PI()*(Inputs!$F$11/1000)^2/4)*((Inputs!$F$11/1000/4)^(2/3))*SQRT(P128))</f>
        <v/>
      </c>
      <c r="AN128" s="4">
        <f>IF(A128="","",(1/Inputs!$B$9)*(PI()*(Inputs!$F$12/1000)^2/4)*((Inputs!$F$12/1000/4)^(2/3))*SQRT(P128))</f>
        <v/>
      </c>
      <c r="AO128" s="4">
        <f>IF(A128="","",(1/Inputs!$B$9)*(PI()*(Inputs!$F$13/1000)^2/4)*((Inputs!$F$13/1000/4)^(2/3))*SQRT(P128))</f>
        <v/>
      </c>
      <c r="AP128" s="4">
        <f>IF(A128="","",(1/Inputs!$B$9)*(PI()*(Inputs!$F$14/1000)^2/4)*((Inputs!$F$14/1000/4)^(2/3))*SQRT(P128))</f>
        <v/>
      </c>
    </row>
    <row r="129">
      <c r="A129" s="4" t="n"/>
      <c r="B129" s="4" t="n"/>
      <c r="C129" s="4" t="n"/>
      <c r="D129" s="4" t="n"/>
      <c r="E129" s="8" t="n"/>
      <c r="F129" s="8" t="n"/>
      <c r="G129" s="8">
        <f>SUMIFS(CB_plan!$C:$C,CB_plan!$B:$B,$A129)</f>
        <v/>
      </c>
      <c r="H129" s="8">
        <f>IF(F129="",G129,F129)</f>
        <v/>
      </c>
      <c r="I129" s="4" t="n"/>
      <c r="J129" s="8" t="n"/>
      <c r="K129" s="8">
        <f>IF(A129="","",Inputs!$B$13/((IF(J129="",Inputs!$B$18,J129)+Inputs!$B$14)^Inputs!$B$15))</f>
        <v/>
      </c>
      <c r="L129" s="8">
        <f>IF(A129="","",0.00278*IF(I129="",Inputs!$B$17,I129)*H129*K129)</f>
        <v/>
      </c>
      <c r="M129" s="8">
        <f>IF(A129="","",SUMIFS($N$4:$N$203,$D$4:$D$203,$A129))</f>
        <v/>
      </c>
      <c r="N129" s="8">
        <f>IF(A129="","",(L129+M129)*Inputs!$B$16)</f>
        <v/>
      </c>
      <c r="O129" s="8" t="n"/>
      <c r="P129" s="8">
        <f>IF(A129="","",IF(O129="",Inputs!$B$7,O129))</f>
        <v/>
      </c>
      <c r="Q129" s="4">
        <f>IF(A129="","",IF(N129/Inputs!$B$10&lt;=AG129,Inputs!$F$5,IF(N129/Inputs!$B$10&gt;AP129,"OVERSIZE",INDEX(Inputs!$F$5:$F$14,MATCH(N129/Inputs!$B$10,AG129:AP129,1)+1))))</f>
        <v/>
      </c>
      <c r="R129" s="4" t="n"/>
      <c r="S129" s="4">
        <f>IF(A129="","",IF(R129="",Q129,R129))</f>
        <v/>
      </c>
      <c r="T129" s="8">
        <f>IF(OR(S129="",S129="OVERSIZE"),"",S129/1000)</f>
        <v/>
      </c>
      <c r="U129" s="8">
        <f>IF(T129="","",(1/Inputs!$B$9)*(PI()*T129^2/4)*((T129/4)^(2/3))*SQRT(P129))</f>
        <v/>
      </c>
      <c r="V129" s="8">
        <f>IF(OR(U129="",N129=""),"",N129/(U129*Inputs!$B$10))</f>
        <v/>
      </c>
      <c r="W129" s="8">
        <f>IF(OR(T129="",N129=""),"",4*N129/(PI()*T129^2))</f>
        <v/>
      </c>
      <c r="X129" s="8" t="n"/>
      <c r="Y129" s="8">
        <f>IF(A129="","",IF(A129=Inputs!$B$6,Inputs!$B$22,IF(D129="","",IFERROR(INDEX($Z$4:$Z$203,MATCH(D129,$A$4:$A$203,0))+IF(X129="",Inputs!$B$20,X129),""))))</f>
        <v/>
      </c>
      <c r="Z129" s="8">
        <f>IF(OR(Y129="",P129="",E129=""),"",Y129+P129*E129)</f>
        <v/>
      </c>
      <c r="AA129" s="8">
        <f>IF(C129="","",IFERROR(INDEX(Noeuds_plan!$C$4:$C$200,MATCH(C129,Noeuds_plan!$A$4:$A$200,0)),""))</f>
        <v/>
      </c>
      <c r="AB129" s="8">
        <f>IF(B129="","",IFERROR(INDEX(Noeuds_plan!$C$4:$C$200,MATCH(B129,Noeuds_plan!$A$4:$A$200,0)),""))</f>
        <v/>
      </c>
      <c r="AC129" s="8">
        <f>IF(OR(AA129="",Y129=""),"",AA129-Y129)</f>
        <v/>
      </c>
      <c r="AD129" s="8">
        <f>IF(OR(AB129="",Z129=""),"",AB129-Z129)</f>
        <v/>
      </c>
      <c r="AE129" s="4">
        <f>IF(A129="","",IF(OR(V129&gt;1,W129&lt;Inputs!$B$11,W129&gt;Inputs!$B$12,AC129&lt;Inputs!$B$19,AD129&lt;Inputs!$B$19,P129&lt;Inputs!$B$7,P129&gt;Inputs!$B$8),"CHECK","OK"))</f>
        <v/>
      </c>
      <c r="AF129" s="4" t="n"/>
      <c r="AG129" s="4">
        <f>IF(A129="","",(1/Inputs!$B$9)*(PI()*(Inputs!$F$5/1000)^2/4)*((Inputs!$F$5/1000/4)^(2/3))*SQRT(P129))</f>
        <v/>
      </c>
      <c r="AH129" s="4">
        <f>IF(A129="","",(1/Inputs!$B$9)*(PI()*(Inputs!$F$6/1000)^2/4)*((Inputs!$F$6/1000/4)^(2/3))*SQRT(P129))</f>
        <v/>
      </c>
      <c r="AI129" s="4">
        <f>IF(A129="","",(1/Inputs!$B$9)*(PI()*(Inputs!$F$7/1000)^2/4)*((Inputs!$F$7/1000/4)^(2/3))*SQRT(P129))</f>
        <v/>
      </c>
      <c r="AJ129" s="4">
        <f>IF(A129="","",(1/Inputs!$B$9)*(PI()*(Inputs!$F$8/1000)^2/4)*((Inputs!$F$8/1000/4)^(2/3))*SQRT(P129))</f>
        <v/>
      </c>
      <c r="AK129" s="4">
        <f>IF(A129="","",(1/Inputs!$B$9)*(PI()*(Inputs!$F$9/1000)^2/4)*((Inputs!$F$9/1000/4)^(2/3))*SQRT(P129))</f>
        <v/>
      </c>
      <c r="AL129" s="4">
        <f>IF(A129="","",(1/Inputs!$B$9)*(PI()*(Inputs!$F$10/1000)^2/4)*((Inputs!$F$10/1000/4)^(2/3))*SQRT(P129))</f>
        <v/>
      </c>
      <c r="AM129" s="4">
        <f>IF(A129="","",(1/Inputs!$B$9)*(PI()*(Inputs!$F$11/1000)^2/4)*((Inputs!$F$11/1000/4)^(2/3))*SQRT(P129))</f>
        <v/>
      </c>
      <c r="AN129" s="4">
        <f>IF(A129="","",(1/Inputs!$B$9)*(PI()*(Inputs!$F$12/1000)^2/4)*((Inputs!$F$12/1000/4)^(2/3))*SQRT(P129))</f>
        <v/>
      </c>
      <c r="AO129" s="4">
        <f>IF(A129="","",(1/Inputs!$B$9)*(PI()*(Inputs!$F$13/1000)^2/4)*((Inputs!$F$13/1000/4)^(2/3))*SQRT(P129))</f>
        <v/>
      </c>
      <c r="AP129" s="4">
        <f>IF(A129="","",(1/Inputs!$B$9)*(PI()*(Inputs!$F$14/1000)^2/4)*((Inputs!$F$14/1000/4)^(2/3))*SQRT(P129))</f>
        <v/>
      </c>
    </row>
    <row r="130">
      <c r="A130" s="4" t="n"/>
      <c r="B130" s="4" t="n"/>
      <c r="C130" s="4" t="n"/>
      <c r="D130" s="4" t="n"/>
      <c r="E130" s="8" t="n"/>
      <c r="F130" s="8" t="n"/>
      <c r="G130" s="8">
        <f>SUMIFS(CB_plan!$C:$C,CB_plan!$B:$B,$A130)</f>
        <v/>
      </c>
      <c r="H130" s="8">
        <f>IF(F130="",G130,F130)</f>
        <v/>
      </c>
      <c r="I130" s="4" t="n"/>
      <c r="J130" s="8" t="n"/>
      <c r="K130" s="8">
        <f>IF(A130="","",Inputs!$B$13/((IF(J130="",Inputs!$B$18,J130)+Inputs!$B$14)^Inputs!$B$15))</f>
        <v/>
      </c>
      <c r="L130" s="8">
        <f>IF(A130="","",0.00278*IF(I130="",Inputs!$B$17,I130)*H130*K130)</f>
        <v/>
      </c>
      <c r="M130" s="8">
        <f>IF(A130="","",SUMIFS($N$4:$N$203,$D$4:$D$203,$A130))</f>
        <v/>
      </c>
      <c r="N130" s="8">
        <f>IF(A130="","",(L130+M130)*Inputs!$B$16)</f>
        <v/>
      </c>
      <c r="O130" s="8" t="n"/>
      <c r="P130" s="8">
        <f>IF(A130="","",IF(O130="",Inputs!$B$7,O130))</f>
        <v/>
      </c>
      <c r="Q130" s="4">
        <f>IF(A130="","",IF(N130/Inputs!$B$10&lt;=AG130,Inputs!$F$5,IF(N130/Inputs!$B$10&gt;AP130,"OVERSIZE",INDEX(Inputs!$F$5:$F$14,MATCH(N130/Inputs!$B$10,AG130:AP130,1)+1))))</f>
        <v/>
      </c>
      <c r="R130" s="4" t="n"/>
      <c r="S130" s="4">
        <f>IF(A130="","",IF(R130="",Q130,R130))</f>
        <v/>
      </c>
      <c r="T130" s="8">
        <f>IF(OR(S130="",S130="OVERSIZE"),"",S130/1000)</f>
        <v/>
      </c>
      <c r="U130" s="8">
        <f>IF(T130="","",(1/Inputs!$B$9)*(PI()*T130^2/4)*((T130/4)^(2/3))*SQRT(P130))</f>
        <v/>
      </c>
      <c r="V130" s="8">
        <f>IF(OR(U130="",N130=""),"",N130/(U130*Inputs!$B$10))</f>
        <v/>
      </c>
      <c r="W130" s="8">
        <f>IF(OR(T130="",N130=""),"",4*N130/(PI()*T130^2))</f>
        <v/>
      </c>
      <c r="X130" s="8" t="n"/>
      <c r="Y130" s="8">
        <f>IF(A130="","",IF(A130=Inputs!$B$6,Inputs!$B$22,IF(D130="","",IFERROR(INDEX($Z$4:$Z$203,MATCH(D130,$A$4:$A$203,0))+IF(X130="",Inputs!$B$20,X130),""))))</f>
        <v/>
      </c>
      <c r="Z130" s="8">
        <f>IF(OR(Y130="",P130="",E130=""),"",Y130+P130*E130)</f>
        <v/>
      </c>
      <c r="AA130" s="8">
        <f>IF(C130="","",IFERROR(INDEX(Noeuds_plan!$C$4:$C$200,MATCH(C130,Noeuds_plan!$A$4:$A$200,0)),""))</f>
        <v/>
      </c>
      <c r="AB130" s="8">
        <f>IF(B130="","",IFERROR(INDEX(Noeuds_plan!$C$4:$C$200,MATCH(B130,Noeuds_plan!$A$4:$A$200,0)),""))</f>
        <v/>
      </c>
      <c r="AC130" s="8">
        <f>IF(OR(AA130="",Y130=""),"",AA130-Y130)</f>
        <v/>
      </c>
      <c r="AD130" s="8">
        <f>IF(OR(AB130="",Z130=""),"",AB130-Z130)</f>
        <v/>
      </c>
      <c r="AE130" s="4">
        <f>IF(A130="","",IF(OR(V130&gt;1,W130&lt;Inputs!$B$11,W130&gt;Inputs!$B$12,AC130&lt;Inputs!$B$19,AD130&lt;Inputs!$B$19,P130&lt;Inputs!$B$7,P130&gt;Inputs!$B$8),"CHECK","OK"))</f>
        <v/>
      </c>
      <c r="AF130" s="4" t="n"/>
      <c r="AG130" s="4">
        <f>IF(A130="","",(1/Inputs!$B$9)*(PI()*(Inputs!$F$5/1000)^2/4)*((Inputs!$F$5/1000/4)^(2/3))*SQRT(P130))</f>
        <v/>
      </c>
      <c r="AH130" s="4">
        <f>IF(A130="","",(1/Inputs!$B$9)*(PI()*(Inputs!$F$6/1000)^2/4)*((Inputs!$F$6/1000/4)^(2/3))*SQRT(P130))</f>
        <v/>
      </c>
      <c r="AI130" s="4">
        <f>IF(A130="","",(1/Inputs!$B$9)*(PI()*(Inputs!$F$7/1000)^2/4)*((Inputs!$F$7/1000/4)^(2/3))*SQRT(P130))</f>
        <v/>
      </c>
      <c r="AJ130" s="4">
        <f>IF(A130="","",(1/Inputs!$B$9)*(PI()*(Inputs!$F$8/1000)^2/4)*((Inputs!$F$8/1000/4)^(2/3))*SQRT(P130))</f>
        <v/>
      </c>
      <c r="AK130" s="4">
        <f>IF(A130="","",(1/Inputs!$B$9)*(PI()*(Inputs!$F$9/1000)^2/4)*((Inputs!$F$9/1000/4)^(2/3))*SQRT(P130))</f>
        <v/>
      </c>
      <c r="AL130" s="4">
        <f>IF(A130="","",(1/Inputs!$B$9)*(PI()*(Inputs!$F$10/1000)^2/4)*((Inputs!$F$10/1000/4)^(2/3))*SQRT(P130))</f>
        <v/>
      </c>
      <c r="AM130" s="4">
        <f>IF(A130="","",(1/Inputs!$B$9)*(PI()*(Inputs!$F$11/1000)^2/4)*((Inputs!$F$11/1000/4)^(2/3))*SQRT(P130))</f>
        <v/>
      </c>
      <c r="AN130" s="4">
        <f>IF(A130="","",(1/Inputs!$B$9)*(PI()*(Inputs!$F$12/1000)^2/4)*((Inputs!$F$12/1000/4)^(2/3))*SQRT(P130))</f>
        <v/>
      </c>
      <c r="AO130" s="4">
        <f>IF(A130="","",(1/Inputs!$B$9)*(PI()*(Inputs!$F$13/1000)^2/4)*((Inputs!$F$13/1000/4)^(2/3))*SQRT(P130))</f>
        <v/>
      </c>
      <c r="AP130" s="4">
        <f>IF(A130="","",(1/Inputs!$B$9)*(PI()*(Inputs!$F$14/1000)^2/4)*((Inputs!$F$14/1000/4)^(2/3))*SQRT(P130))</f>
        <v/>
      </c>
    </row>
    <row r="131">
      <c r="A131" s="4" t="n"/>
      <c r="B131" s="4" t="n"/>
      <c r="C131" s="4" t="n"/>
      <c r="D131" s="4" t="n"/>
      <c r="E131" s="8" t="n"/>
      <c r="F131" s="8" t="n"/>
      <c r="G131" s="8">
        <f>SUMIFS(CB_plan!$C:$C,CB_plan!$B:$B,$A131)</f>
        <v/>
      </c>
      <c r="H131" s="8">
        <f>IF(F131="",G131,F131)</f>
        <v/>
      </c>
      <c r="I131" s="4" t="n"/>
      <c r="J131" s="8" t="n"/>
      <c r="K131" s="8">
        <f>IF(A131="","",Inputs!$B$13/((IF(J131="",Inputs!$B$18,J131)+Inputs!$B$14)^Inputs!$B$15))</f>
        <v/>
      </c>
      <c r="L131" s="8">
        <f>IF(A131="","",0.00278*IF(I131="",Inputs!$B$17,I131)*H131*K131)</f>
        <v/>
      </c>
      <c r="M131" s="8">
        <f>IF(A131="","",SUMIFS($N$4:$N$203,$D$4:$D$203,$A131))</f>
        <v/>
      </c>
      <c r="N131" s="8">
        <f>IF(A131="","",(L131+M131)*Inputs!$B$16)</f>
        <v/>
      </c>
      <c r="O131" s="8" t="n"/>
      <c r="P131" s="8">
        <f>IF(A131="","",IF(O131="",Inputs!$B$7,O131))</f>
        <v/>
      </c>
      <c r="Q131" s="4">
        <f>IF(A131="","",IF(N131/Inputs!$B$10&lt;=AG131,Inputs!$F$5,IF(N131/Inputs!$B$10&gt;AP131,"OVERSIZE",INDEX(Inputs!$F$5:$F$14,MATCH(N131/Inputs!$B$10,AG131:AP131,1)+1))))</f>
        <v/>
      </c>
      <c r="R131" s="4" t="n"/>
      <c r="S131" s="4">
        <f>IF(A131="","",IF(R131="",Q131,R131))</f>
        <v/>
      </c>
      <c r="T131" s="8">
        <f>IF(OR(S131="",S131="OVERSIZE"),"",S131/1000)</f>
        <v/>
      </c>
      <c r="U131" s="8">
        <f>IF(T131="","",(1/Inputs!$B$9)*(PI()*T131^2/4)*((T131/4)^(2/3))*SQRT(P131))</f>
        <v/>
      </c>
      <c r="V131" s="8">
        <f>IF(OR(U131="",N131=""),"",N131/(U131*Inputs!$B$10))</f>
        <v/>
      </c>
      <c r="W131" s="8">
        <f>IF(OR(T131="",N131=""),"",4*N131/(PI()*T131^2))</f>
        <v/>
      </c>
      <c r="X131" s="8" t="n"/>
      <c r="Y131" s="8">
        <f>IF(A131="","",IF(A131=Inputs!$B$6,Inputs!$B$22,IF(D131="","",IFERROR(INDEX($Z$4:$Z$203,MATCH(D131,$A$4:$A$203,0))+IF(X131="",Inputs!$B$20,X131),""))))</f>
        <v/>
      </c>
      <c r="Z131" s="8">
        <f>IF(OR(Y131="",P131="",E131=""),"",Y131+P131*E131)</f>
        <v/>
      </c>
      <c r="AA131" s="8">
        <f>IF(C131="","",IFERROR(INDEX(Noeuds_plan!$C$4:$C$200,MATCH(C131,Noeuds_plan!$A$4:$A$200,0)),""))</f>
        <v/>
      </c>
      <c r="AB131" s="8">
        <f>IF(B131="","",IFERROR(INDEX(Noeuds_plan!$C$4:$C$200,MATCH(B131,Noeuds_plan!$A$4:$A$200,0)),""))</f>
        <v/>
      </c>
      <c r="AC131" s="8">
        <f>IF(OR(AA131="",Y131=""),"",AA131-Y131)</f>
        <v/>
      </c>
      <c r="AD131" s="8">
        <f>IF(OR(AB131="",Z131=""),"",AB131-Z131)</f>
        <v/>
      </c>
      <c r="AE131" s="4">
        <f>IF(A131="","",IF(OR(V131&gt;1,W131&lt;Inputs!$B$11,W131&gt;Inputs!$B$12,AC131&lt;Inputs!$B$19,AD131&lt;Inputs!$B$19,P131&lt;Inputs!$B$7,P131&gt;Inputs!$B$8),"CHECK","OK"))</f>
        <v/>
      </c>
      <c r="AF131" s="4" t="n"/>
      <c r="AG131" s="4">
        <f>IF(A131="","",(1/Inputs!$B$9)*(PI()*(Inputs!$F$5/1000)^2/4)*((Inputs!$F$5/1000/4)^(2/3))*SQRT(P131))</f>
        <v/>
      </c>
      <c r="AH131" s="4">
        <f>IF(A131="","",(1/Inputs!$B$9)*(PI()*(Inputs!$F$6/1000)^2/4)*((Inputs!$F$6/1000/4)^(2/3))*SQRT(P131))</f>
        <v/>
      </c>
      <c r="AI131" s="4">
        <f>IF(A131="","",(1/Inputs!$B$9)*(PI()*(Inputs!$F$7/1000)^2/4)*((Inputs!$F$7/1000/4)^(2/3))*SQRT(P131))</f>
        <v/>
      </c>
      <c r="AJ131" s="4">
        <f>IF(A131="","",(1/Inputs!$B$9)*(PI()*(Inputs!$F$8/1000)^2/4)*((Inputs!$F$8/1000/4)^(2/3))*SQRT(P131))</f>
        <v/>
      </c>
      <c r="AK131" s="4">
        <f>IF(A131="","",(1/Inputs!$B$9)*(PI()*(Inputs!$F$9/1000)^2/4)*((Inputs!$F$9/1000/4)^(2/3))*SQRT(P131))</f>
        <v/>
      </c>
      <c r="AL131" s="4">
        <f>IF(A131="","",(1/Inputs!$B$9)*(PI()*(Inputs!$F$10/1000)^2/4)*((Inputs!$F$10/1000/4)^(2/3))*SQRT(P131))</f>
        <v/>
      </c>
      <c r="AM131" s="4">
        <f>IF(A131="","",(1/Inputs!$B$9)*(PI()*(Inputs!$F$11/1000)^2/4)*((Inputs!$F$11/1000/4)^(2/3))*SQRT(P131))</f>
        <v/>
      </c>
      <c r="AN131" s="4">
        <f>IF(A131="","",(1/Inputs!$B$9)*(PI()*(Inputs!$F$12/1000)^2/4)*((Inputs!$F$12/1000/4)^(2/3))*SQRT(P131))</f>
        <v/>
      </c>
      <c r="AO131" s="4">
        <f>IF(A131="","",(1/Inputs!$B$9)*(PI()*(Inputs!$F$13/1000)^2/4)*((Inputs!$F$13/1000/4)^(2/3))*SQRT(P131))</f>
        <v/>
      </c>
      <c r="AP131" s="4">
        <f>IF(A131="","",(1/Inputs!$B$9)*(PI()*(Inputs!$F$14/1000)^2/4)*((Inputs!$F$14/1000/4)^(2/3))*SQRT(P131))</f>
        <v/>
      </c>
    </row>
    <row r="132">
      <c r="A132" s="4" t="n"/>
      <c r="B132" s="4" t="n"/>
      <c r="C132" s="4" t="n"/>
      <c r="D132" s="4" t="n"/>
      <c r="E132" s="8" t="n"/>
      <c r="F132" s="8" t="n"/>
      <c r="G132" s="8">
        <f>SUMIFS(CB_plan!$C:$C,CB_plan!$B:$B,$A132)</f>
        <v/>
      </c>
      <c r="H132" s="8">
        <f>IF(F132="",G132,F132)</f>
        <v/>
      </c>
      <c r="I132" s="4" t="n"/>
      <c r="J132" s="8" t="n"/>
      <c r="K132" s="8">
        <f>IF(A132="","",Inputs!$B$13/((IF(J132="",Inputs!$B$18,J132)+Inputs!$B$14)^Inputs!$B$15))</f>
        <v/>
      </c>
      <c r="L132" s="8">
        <f>IF(A132="","",0.00278*IF(I132="",Inputs!$B$17,I132)*H132*K132)</f>
        <v/>
      </c>
      <c r="M132" s="8">
        <f>IF(A132="","",SUMIFS($N$4:$N$203,$D$4:$D$203,$A132))</f>
        <v/>
      </c>
      <c r="N132" s="8">
        <f>IF(A132="","",(L132+M132)*Inputs!$B$16)</f>
        <v/>
      </c>
      <c r="O132" s="8" t="n"/>
      <c r="P132" s="8">
        <f>IF(A132="","",IF(O132="",Inputs!$B$7,O132))</f>
        <v/>
      </c>
      <c r="Q132" s="4">
        <f>IF(A132="","",IF(N132/Inputs!$B$10&lt;=AG132,Inputs!$F$5,IF(N132/Inputs!$B$10&gt;AP132,"OVERSIZE",INDEX(Inputs!$F$5:$F$14,MATCH(N132/Inputs!$B$10,AG132:AP132,1)+1))))</f>
        <v/>
      </c>
      <c r="R132" s="4" t="n"/>
      <c r="S132" s="4">
        <f>IF(A132="","",IF(R132="",Q132,R132))</f>
        <v/>
      </c>
      <c r="T132" s="8">
        <f>IF(OR(S132="",S132="OVERSIZE"),"",S132/1000)</f>
        <v/>
      </c>
      <c r="U132" s="8">
        <f>IF(T132="","",(1/Inputs!$B$9)*(PI()*T132^2/4)*((T132/4)^(2/3))*SQRT(P132))</f>
        <v/>
      </c>
      <c r="V132" s="8">
        <f>IF(OR(U132="",N132=""),"",N132/(U132*Inputs!$B$10))</f>
        <v/>
      </c>
      <c r="W132" s="8">
        <f>IF(OR(T132="",N132=""),"",4*N132/(PI()*T132^2))</f>
        <v/>
      </c>
      <c r="X132" s="8" t="n"/>
      <c r="Y132" s="8">
        <f>IF(A132="","",IF(A132=Inputs!$B$6,Inputs!$B$22,IF(D132="","",IFERROR(INDEX($Z$4:$Z$203,MATCH(D132,$A$4:$A$203,0))+IF(X132="",Inputs!$B$20,X132),""))))</f>
        <v/>
      </c>
      <c r="Z132" s="8">
        <f>IF(OR(Y132="",P132="",E132=""),"",Y132+P132*E132)</f>
        <v/>
      </c>
      <c r="AA132" s="8">
        <f>IF(C132="","",IFERROR(INDEX(Noeuds_plan!$C$4:$C$200,MATCH(C132,Noeuds_plan!$A$4:$A$200,0)),""))</f>
        <v/>
      </c>
      <c r="AB132" s="8">
        <f>IF(B132="","",IFERROR(INDEX(Noeuds_plan!$C$4:$C$200,MATCH(B132,Noeuds_plan!$A$4:$A$200,0)),""))</f>
        <v/>
      </c>
      <c r="AC132" s="8">
        <f>IF(OR(AA132="",Y132=""),"",AA132-Y132)</f>
        <v/>
      </c>
      <c r="AD132" s="8">
        <f>IF(OR(AB132="",Z132=""),"",AB132-Z132)</f>
        <v/>
      </c>
      <c r="AE132" s="4">
        <f>IF(A132="","",IF(OR(V132&gt;1,W132&lt;Inputs!$B$11,W132&gt;Inputs!$B$12,AC132&lt;Inputs!$B$19,AD132&lt;Inputs!$B$19,P132&lt;Inputs!$B$7,P132&gt;Inputs!$B$8),"CHECK","OK"))</f>
        <v/>
      </c>
      <c r="AF132" s="4" t="n"/>
      <c r="AG132" s="4">
        <f>IF(A132="","",(1/Inputs!$B$9)*(PI()*(Inputs!$F$5/1000)^2/4)*((Inputs!$F$5/1000/4)^(2/3))*SQRT(P132))</f>
        <v/>
      </c>
      <c r="AH132" s="4">
        <f>IF(A132="","",(1/Inputs!$B$9)*(PI()*(Inputs!$F$6/1000)^2/4)*((Inputs!$F$6/1000/4)^(2/3))*SQRT(P132))</f>
        <v/>
      </c>
      <c r="AI132" s="4">
        <f>IF(A132="","",(1/Inputs!$B$9)*(PI()*(Inputs!$F$7/1000)^2/4)*((Inputs!$F$7/1000/4)^(2/3))*SQRT(P132))</f>
        <v/>
      </c>
      <c r="AJ132" s="4">
        <f>IF(A132="","",(1/Inputs!$B$9)*(PI()*(Inputs!$F$8/1000)^2/4)*((Inputs!$F$8/1000/4)^(2/3))*SQRT(P132))</f>
        <v/>
      </c>
      <c r="AK132" s="4">
        <f>IF(A132="","",(1/Inputs!$B$9)*(PI()*(Inputs!$F$9/1000)^2/4)*((Inputs!$F$9/1000/4)^(2/3))*SQRT(P132))</f>
        <v/>
      </c>
      <c r="AL132" s="4">
        <f>IF(A132="","",(1/Inputs!$B$9)*(PI()*(Inputs!$F$10/1000)^2/4)*((Inputs!$F$10/1000/4)^(2/3))*SQRT(P132))</f>
        <v/>
      </c>
      <c r="AM132" s="4">
        <f>IF(A132="","",(1/Inputs!$B$9)*(PI()*(Inputs!$F$11/1000)^2/4)*((Inputs!$F$11/1000/4)^(2/3))*SQRT(P132))</f>
        <v/>
      </c>
      <c r="AN132" s="4">
        <f>IF(A132="","",(1/Inputs!$B$9)*(PI()*(Inputs!$F$12/1000)^2/4)*((Inputs!$F$12/1000/4)^(2/3))*SQRT(P132))</f>
        <v/>
      </c>
      <c r="AO132" s="4">
        <f>IF(A132="","",(1/Inputs!$B$9)*(PI()*(Inputs!$F$13/1000)^2/4)*((Inputs!$F$13/1000/4)^(2/3))*SQRT(P132))</f>
        <v/>
      </c>
      <c r="AP132" s="4">
        <f>IF(A132="","",(1/Inputs!$B$9)*(PI()*(Inputs!$F$14/1000)^2/4)*((Inputs!$F$14/1000/4)^(2/3))*SQRT(P132))</f>
        <v/>
      </c>
    </row>
    <row r="133">
      <c r="A133" s="4" t="n"/>
      <c r="B133" s="4" t="n"/>
      <c r="C133" s="4" t="n"/>
      <c r="D133" s="4" t="n"/>
      <c r="E133" s="8" t="n"/>
      <c r="F133" s="8" t="n"/>
      <c r="G133" s="8">
        <f>SUMIFS(CB_plan!$C:$C,CB_plan!$B:$B,$A133)</f>
        <v/>
      </c>
      <c r="H133" s="8">
        <f>IF(F133="",G133,F133)</f>
        <v/>
      </c>
      <c r="I133" s="4" t="n"/>
      <c r="J133" s="8" t="n"/>
      <c r="K133" s="8">
        <f>IF(A133="","",Inputs!$B$13/((IF(J133="",Inputs!$B$18,J133)+Inputs!$B$14)^Inputs!$B$15))</f>
        <v/>
      </c>
      <c r="L133" s="8">
        <f>IF(A133="","",0.00278*IF(I133="",Inputs!$B$17,I133)*H133*K133)</f>
        <v/>
      </c>
      <c r="M133" s="8">
        <f>IF(A133="","",SUMIFS($N$4:$N$203,$D$4:$D$203,$A133))</f>
        <v/>
      </c>
      <c r="N133" s="8">
        <f>IF(A133="","",(L133+M133)*Inputs!$B$16)</f>
        <v/>
      </c>
      <c r="O133" s="8" t="n"/>
      <c r="P133" s="8">
        <f>IF(A133="","",IF(O133="",Inputs!$B$7,O133))</f>
        <v/>
      </c>
      <c r="Q133" s="4">
        <f>IF(A133="","",IF(N133/Inputs!$B$10&lt;=AG133,Inputs!$F$5,IF(N133/Inputs!$B$10&gt;AP133,"OVERSIZE",INDEX(Inputs!$F$5:$F$14,MATCH(N133/Inputs!$B$10,AG133:AP133,1)+1))))</f>
        <v/>
      </c>
      <c r="R133" s="4" t="n"/>
      <c r="S133" s="4">
        <f>IF(A133="","",IF(R133="",Q133,R133))</f>
        <v/>
      </c>
      <c r="T133" s="8">
        <f>IF(OR(S133="",S133="OVERSIZE"),"",S133/1000)</f>
        <v/>
      </c>
      <c r="U133" s="8">
        <f>IF(T133="","",(1/Inputs!$B$9)*(PI()*T133^2/4)*((T133/4)^(2/3))*SQRT(P133))</f>
        <v/>
      </c>
      <c r="V133" s="8">
        <f>IF(OR(U133="",N133=""),"",N133/(U133*Inputs!$B$10))</f>
        <v/>
      </c>
      <c r="W133" s="8">
        <f>IF(OR(T133="",N133=""),"",4*N133/(PI()*T133^2))</f>
        <v/>
      </c>
      <c r="X133" s="8" t="n"/>
      <c r="Y133" s="8">
        <f>IF(A133="","",IF(A133=Inputs!$B$6,Inputs!$B$22,IF(D133="","",IFERROR(INDEX($Z$4:$Z$203,MATCH(D133,$A$4:$A$203,0))+IF(X133="",Inputs!$B$20,X133),""))))</f>
        <v/>
      </c>
      <c r="Z133" s="8">
        <f>IF(OR(Y133="",P133="",E133=""),"",Y133+P133*E133)</f>
        <v/>
      </c>
      <c r="AA133" s="8">
        <f>IF(C133="","",IFERROR(INDEX(Noeuds_plan!$C$4:$C$200,MATCH(C133,Noeuds_plan!$A$4:$A$200,0)),""))</f>
        <v/>
      </c>
      <c r="AB133" s="8">
        <f>IF(B133="","",IFERROR(INDEX(Noeuds_plan!$C$4:$C$200,MATCH(B133,Noeuds_plan!$A$4:$A$200,0)),""))</f>
        <v/>
      </c>
      <c r="AC133" s="8">
        <f>IF(OR(AA133="",Y133=""),"",AA133-Y133)</f>
        <v/>
      </c>
      <c r="AD133" s="8">
        <f>IF(OR(AB133="",Z133=""),"",AB133-Z133)</f>
        <v/>
      </c>
      <c r="AE133" s="4">
        <f>IF(A133="","",IF(OR(V133&gt;1,W133&lt;Inputs!$B$11,W133&gt;Inputs!$B$12,AC133&lt;Inputs!$B$19,AD133&lt;Inputs!$B$19,P133&lt;Inputs!$B$7,P133&gt;Inputs!$B$8),"CHECK","OK"))</f>
        <v/>
      </c>
      <c r="AF133" s="4" t="n"/>
      <c r="AG133" s="4">
        <f>IF(A133="","",(1/Inputs!$B$9)*(PI()*(Inputs!$F$5/1000)^2/4)*((Inputs!$F$5/1000/4)^(2/3))*SQRT(P133))</f>
        <v/>
      </c>
      <c r="AH133" s="4">
        <f>IF(A133="","",(1/Inputs!$B$9)*(PI()*(Inputs!$F$6/1000)^2/4)*((Inputs!$F$6/1000/4)^(2/3))*SQRT(P133))</f>
        <v/>
      </c>
      <c r="AI133" s="4">
        <f>IF(A133="","",(1/Inputs!$B$9)*(PI()*(Inputs!$F$7/1000)^2/4)*((Inputs!$F$7/1000/4)^(2/3))*SQRT(P133))</f>
        <v/>
      </c>
      <c r="AJ133" s="4">
        <f>IF(A133="","",(1/Inputs!$B$9)*(PI()*(Inputs!$F$8/1000)^2/4)*((Inputs!$F$8/1000/4)^(2/3))*SQRT(P133))</f>
        <v/>
      </c>
      <c r="AK133" s="4">
        <f>IF(A133="","",(1/Inputs!$B$9)*(PI()*(Inputs!$F$9/1000)^2/4)*((Inputs!$F$9/1000/4)^(2/3))*SQRT(P133))</f>
        <v/>
      </c>
      <c r="AL133" s="4">
        <f>IF(A133="","",(1/Inputs!$B$9)*(PI()*(Inputs!$F$10/1000)^2/4)*((Inputs!$F$10/1000/4)^(2/3))*SQRT(P133))</f>
        <v/>
      </c>
      <c r="AM133" s="4">
        <f>IF(A133="","",(1/Inputs!$B$9)*(PI()*(Inputs!$F$11/1000)^2/4)*((Inputs!$F$11/1000/4)^(2/3))*SQRT(P133))</f>
        <v/>
      </c>
      <c r="AN133" s="4">
        <f>IF(A133="","",(1/Inputs!$B$9)*(PI()*(Inputs!$F$12/1000)^2/4)*((Inputs!$F$12/1000/4)^(2/3))*SQRT(P133))</f>
        <v/>
      </c>
      <c r="AO133" s="4">
        <f>IF(A133="","",(1/Inputs!$B$9)*(PI()*(Inputs!$F$13/1000)^2/4)*((Inputs!$F$13/1000/4)^(2/3))*SQRT(P133))</f>
        <v/>
      </c>
      <c r="AP133" s="4">
        <f>IF(A133="","",(1/Inputs!$B$9)*(PI()*(Inputs!$F$14/1000)^2/4)*((Inputs!$F$14/1000/4)^(2/3))*SQRT(P133))</f>
        <v/>
      </c>
    </row>
    <row r="134">
      <c r="A134" s="4" t="n"/>
      <c r="B134" s="4" t="n"/>
      <c r="C134" s="4" t="n"/>
      <c r="D134" s="4" t="n"/>
      <c r="E134" s="8" t="n"/>
      <c r="F134" s="8" t="n"/>
      <c r="G134" s="8">
        <f>SUMIFS(CB_plan!$C:$C,CB_plan!$B:$B,$A134)</f>
        <v/>
      </c>
      <c r="H134" s="8">
        <f>IF(F134="",G134,F134)</f>
        <v/>
      </c>
      <c r="I134" s="4" t="n"/>
      <c r="J134" s="8" t="n"/>
      <c r="K134" s="8">
        <f>IF(A134="","",Inputs!$B$13/((IF(J134="",Inputs!$B$18,J134)+Inputs!$B$14)^Inputs!$B$15))</f>
        <v/>
      </c>
      <c r="L134" s="8">
        <f>IF(A134="","",0.00278*IF(I134="",Inputs!$B$17,I134)*H134*K134)</f>
        <v/>
      </c>
      <c r="M134" s="8">
        <f>IF(A134="","",SUMIFS($N$4:$N$203,$D$4:$D$203,$A134))</f>
        <v/>
      </c>
      <c r="N134" s="8">
        <f>IF(A134="","",(L134+M134)*Inputs!$B$16)</f>
        <v/>
      </c>
      <c r="O134" s="8" t="n"/>
      <c r="P134" s="8">
        <f>IF(A134="","",IF(O134="",Inputs!$B$7,O134))</f>
        <v/>
      </c>
      <c r="Q134" s="4">
        <f>IF(A134="","",IF(N134/Inputs!$B$10&lt;=AG134,Inputs!$F$5,IF(N134/Inputs!$B$10&gt;AP134,"OVERSIZE",INDEX(Inputs!$F$5:$F$14,MATCH(N134/Inputs!$B$10,AG134:AP134,1)+1))))</f>
        <v/>
      </c>
      <c r="R134" s="4" t="n"/>
      <c r="S134" s="4">
        <f>IF(A134="","",IF(R134="",Q134,R134))</f>
        <v/>
      </c>
      <c r="T134" s="8">
        <f>IF(OR(S134="",S134="OVERSIZE"),"",S134/1000)</f>
        <v/>
      </c>
      <c r="U134" s="8">
        <f>IF(T134="","",(1/Inputs!$B$9)*(PI()*T134^2/4)*((T134/4)^(2/3))*SQRT(P134))</f>
        <v/>
      </c>
      <c r="V134" s="8">
        <f>IF(OR(U134="",N134=""),"",N134/(U134*Inputs!$B$10))</f>
        <v/>
      </c>
      <c r="W134" s="8">
        <f>IF(OR(T134="",N134=""),"",4*N134/(PI()*T134^2))</f>
        <v/>
      </c>
      <c r="X134" s="8" t="n"/>
      <c r="Y134" s="8">
        <f>IF(A134="","",IF(A134=Inputs!$B$6,Inputs!$B$22,IF(D134="","",IFERROR(INDEX($Z$4:$Z$203,MATCH(D134,$A$4:$A$203,0))+IF(X134="",Inputs!$B$20,X134),""))))</f>
        <v/>
      </c>
      <c r="Z134" s="8">
        <f>IF(OR(Y134="",P134="",E134=""),"",Y134+P134*E134)</f>
        <v/>
      </c>
      <c r="AA134" s="8">
        <f>IF(C134="","",IFERROR(INDEX(Noeuds_plan!$C$4:$C$200,MATCH(C134,Noeuds_plan!$A$4:$A$200,0)),""))</f>
        <v/>
      </c>
      <c r="AB134" s="8">
        <f>IF(B134="","",IFERROR(INDEX(Noeuds_plan!$C$4:$C$200,MATCH(B134,Noeuds_plan!$A$4:$A$200,0)),""))</f>
        <v/>
      </c>
      <c r="AC134" s="8">
        <f>IF(OR(AA134="",Y134=""),"",AA134-Y134)</f>
        <v/>
      </c>
      <c r="AD134" s="8">
        <f>IF(OR(AB134="",Z134=""),"",AB134-Z134)</f>
        <v/>
      </c>
      <c r="AE134" s="4">
        <f>IF(A134="","",IF(OR(V134&gt;1,W134&lt;Inputs!$B$11,W134&gt;Inputs!$B$12,AC134&lt;Inputs!$B$19,AD134&lt;Inputs!$B$19,P134&lt;Inputs!$B$7,P134&gt;Inputs!$B$8),"CHECK","OK"))</f>
        <v/>
      </c>
      <c r="AF134" s="4" t="n"/>
      <c r="AG134" s="4">
        <f>IF(A134="","",(1/Inputs!$B$9)*(PI()*(Inputs!$F$5/1000)^2/4)*((Inputs!$F$5/1000/4)^(2/3))*SQRT(P134))</f>
        <v/>
      </c>
      <c r="AH134" s="4">
        <f>IF(A134="","",(1/Inputs!$B$9)*(PI()*(Inputs!$F$6/1000)^2/4)*((Inputs!$F$6/1000/4)^(2/3))*SQRT(P134))</f>
        <v/>
      </c>
      <c r="AI134" s="4">
        <f>IF(A134="","",(1/Inputs!$B$9)*(PI()*(Inputs!$F$7/1000)^2/4)*((Inputs!$F$7/1000/4)^(2/3))*SQRT(P134))</f>
        <v/>
      </c>
      <c r="AJ134" s="4">
        <f>IF(A134="","",(1/Inputs!$B$9)*(PI()*(Inputs!$F$8/1000)^2/4)*((Inputs!$F$8/1000/4)^(2/3))*SQRT(P134))</f>
        <v/>
      </c>
      <c r="AK134" s="4">
        <f>IF(A134="","",(1/Inputs!$B$9)*(PI()*(Inputs!$F$9/1000)^2/4)*((Inputs!$F$9/1000/4)^(2/3))*SQRT(P134))</f>
        <v/>
      </c>
      <c r="AL134" s="4">
        <f>IF(A134="","",(1/Inputs!$B$9)*(PI()*(Inputs!$F$10/1000)^2/4)*((Inputs!$F$10/1000/4)^(2/3))*SQRT(P134))</f>
        <v/>
      </c>
      <c r="AM134" s="4">
        <f>IF(A134="","",(1/Inputs!$B$9)*(PI()*(Inputs!$F$11/1000)^2/4)*((Inputs!$F$11/1000/4)^(2/3))*SQRT(P134))</f>
        <v/>
      </c>
      <c r="AN134" s="4">
        <f>IF(A134="","",(1/Inputs!$B$9)*(PI()*(Inputs!$F$12/1000)^2/4)*((Inputs!$F$12/1000/4)^(2/3))*SQRT(P134))</f>
        <v/>
      </c>
      <c r="AO134" s="4">
        <f>IF(A134="","",(1/Inputs!$B$9)*(PI()*(Inputs!$F$13/1000)^2/4)*((Inputs!$F$13/1000/4)^(2/3))*SQRT(P134))</f>
        <v/>
      </c>
      <c r="AP134" s="4">
        <f>IF(A134="","",(1/Inputs!$B$9)*(PI()*(Inputs!$F$14/1000)^2/4)*((Inputs!$F$14/1000/4)^(2/3))*SQRT(P134))</f>
        <v/>
      </c>
    </row>
    <row r="135">
      <c r="A135" s="4" t="n"/>
      <c r="B135" s="4" t="n"/>
      <c r="C135" s="4" t="n"/>
      <c r="D135" s="4" t="n"/>
      <c r="E135" s="8" t="n"/>
      <c r="F135" s="8" t="n"/>
      <c r="G135" s="8">
        <f>SUMIFS(CB_plan!$C:$C,CB_plan!$B:$B,$A135)</f>
        <v/>
      </c>
      <c r="H135" s="8">
        <f>IF(F135="",G135,F135)</f>
        <v/>
      </c>
      <c r="I135" s="4" t="n"/>
      <c r="J135" s="8" t="n"/>
      <c r="K135" s="8">
        <f>IF(A135="","",Inputs!$B$13/((IF(J135="",Inputs!$B$18,J135)+Inputs!$B$14)^Inputs!$B$15))</f>
        <v/>
      </c>
      <c r="L135" s="8">
        <f>IF(A135="","",0.00278*IF(I135="",Inputs!$B$17,I135)*H135*K135)</f>
        <v/>
      </c>
      <c r="M135" s="8">
        <f>IF(A135="","",SUMIFS($N$4:$N$203,$D$4:$D$203,$A135))</f>
        <v/>
      </c>
      <c r="N135" s="8">
        <f>IF(A135="","",(L135+M135)*Inputs!$B$16)</f>
        <v/>
      </c>
      <c r="O135" s="8" t="n"/>
      <c r="P135" s="8">
        <f>IF(A135="","",IF(O135="",Inputs!$B$7,O135))</f>
        <v/>
      </c>
      <c r="Q135" s="4">
        <f>IF(A135="","",IF(N135/Inputs!$B$10&lt;=AG135,Inputs!$F$5,IF(N135/Inputs!$B$10&gt;AP135,"OVERSIZE",INDEX(Inputs!$F$5:$F$14,MATCH(N135/Inputs!$B$10,AG135:AP135,1)+1))))</f>
        <v/>
      </c>
      <c r="R135" s="4" t="n"/>
      <c r="S135" s="4">
        <f>IF(A135="","",IF(R135="",Q135,R135))</f>
        <v/>
      </c>
      <c r="T135" s="8">
        <f>IF(OR(S135="",S135="OVERSIZE"),"",S135/1000)</f>
        <v/>
      </c>
      <c r="U135" s="8">
        <f>IF(T135="","",(1/Inputs!$B$9)*(PI()*T135^2/4)*((T135/4)^(2/3))*SQRT(P135))</f>
        <v/>
      </c>
      <c r="V135" s="8">
        <f>IF(OR(U135="",N135=""),"",N135/(U135*Inputs!$B$10))</f>
        <v/>
      </c>
      <c r="W135" s="8">
        <f>IF(OR(T135="",N135=""),"",4*N135/(PI()*T135^2))</f>
        <v/>
      </c>
      <c r="X135" s="8" t="n"/>
      <c r="Y135" s="8">
        <f>IF(A135="","",IF(A135=Inputs!$B$6,Inputs!$B$22,IF(D135="","",IFERROR(INDEX($Z$4:$Z$203,MATCH(D135,$A$4:$A$203,0))+IF(X135="",Inputs!$B$20,X135),""))))</f>
        <v/>
      </c>
      <c r="Z135" s="8">
        <f>IF(OR(Y135="",P135="",E135=""),"",Y135+P135*E135)</f>
        <v/>
      </c>
      <c r="AA135" s="8">
        <f>IF(C135="","",IFERROR(INDEX(Noeuds_plan!$C$4:$C$200,MATCH(C135,Noeuds_plan!$A$4:$A$200,0)),""))</f>
        <v/>
      </c>
      <c r="AB135" s="8">
        <f>IF(B135="","",IFERROR(INDEX(Noeuds_plan!$C$4:$C$200,MATCH(B135,Noeuds_plan!$A$4:$A$200,0)),""))</f>
        <v/>
      </c>
      <c r="AC135" s="8">
        <f>IF(OR(AA135="",Y135=""),"",AA135-Y135)</f>
        <v/>
      </c>
      <c r="AD135" s="8">
        <f>IF(OR(AB135="",Z135=""),"",AB135-Z135)</f>
        <v/>
      </c>
      <c r="AE135" s="4">
        <f>IF(A135="","",IF(OR(V135&gt;1,W135&lt;Inputs!$B$11,W135&gt;Inputs!$B$12,AC135&lt;Inputs!$B$19,AD135&lt;Inputs!$B$19,P135&lt;Inputs!$B$7,P135&gt;Inputs!$B$8),"CHECK","OK"))</f>
        <v/>
      </c>
      <c r="AF135" s="4" t="n"/>
      <c r="AG135" s="4">
        <f>IF(A135="","",(1/Inputs!$B$9)*(PI()*(Inputs!$F$5/1000)^2/4)*((Inputs!$F$5/1000/4)^(2/3))*SQRT(P135))</f>
        <v/>
      </c>
      <c r="AH135" s="4">
        <f>IF(A135="","",(1/Inputs!$B$9)*(PI()*(Inputs!$F$6/1000)^2/4)*((Inputs!$F$6/1000/4)^(2/3))*SQRT(P135))</f>
        <v/>
      </c>
      <c r="AI135" s="4">
        <f>IF(A135="","",(1/Inputs!$B$9)*(PI()*(Inputs!$F$7/1000)^2/4)*((Inputs!$F$7/1000/4)^(2/3))*SQRT(P135))</f>
        <v/>
      </c>
      <c r="AJ135" s="4">
        <f>IF(A135="","",(1/Inputs!$B$9)*(PI()*(Inputs!$F$8/1000)^2/4)*((Inputs!$F$8/1000/4)^(2/3))*SQRT(P135))</f>
        <v/>
      </c>
      <c r="AK135" s="4">
        <f>IF(A135="","",(1/Inputs!$B$9)*(PI()*(Inputs!$F$9/1000)^2/4)*((Inputs!$F$9/1000/4)^(2/3))*SQRT(P135))</f>
        <v/>
      </c>
      <c r="AL135" s="4">
        <f>IF(A135="","",(1/Inputs!$B$9)*(PI()*(Inputs!$F$10/1000)^2/4)*((Inputs!$F$10/1000/4)^(2/3))*SQRT(P135))</f>
        <v/>
      </c>
      <c r="AM135" s="4">
        <f>IF(A135="","",(1/Inputs!$B$9)*(PI()*(Inputs!$F$11/1000)^2/4)*((Inputs!$F$11/1000/4)^(2/3))*SQRT(P135))</f>
        <v/>
      </c>
      <c r="AN135" s="4">
        <f>IF(A135="","",(1/Inputs!$B$9)*(PI()*(Inputs!$F$12/1000)^2/4)*((Inputs!$F$12/1000/4)^(2/3))*SQRT(P135))</f>
        <v/>
      </c>
      <c r="AO135" s="4">
        <f>IF(A135="","",(1/Inputs!$B$9)*(PI()*(Inputs!$F$13/1000)^2/4)*((Inputs!$F$13/1000/4)^(2/3))*SQRT(P135))</f>
        <v/>
      </c>
      <c r="AP135" s="4">
        <f>IF(A135="","",(1/Inputs!$B$9)*(PI()*(Inputs!$F$14/1000)^2/4)*((Inputs!$F$14/1000/4)^(2/3))*SQRT(P135))</f>
        <v/>
      </c>
    </row>
    <row r="136">
      <c r="A136" s="4" t="n"/>
      <c r="B136" s="4" t="n"/>
      <c r="C136" s="4" t="n"/>
      <c r="D136" s="4" t="n"/>
      <c r="E136" s="8" t="n"/>
      <c r="F136" s="8" t="n"/>
      <c r="G136" s="8">
        <f>SUMIFS(CB_plan!$C:$C,CB_plan!$B:$B,$A136)</f>
        <v/>
      </c>
      <c r="H136" s="8">
        <f>IF(F136="",G136,F136)</f>
        <v/>
      </c>
      <c r="I136" s="4" t="n"/>
      <c r="J136" s="8" t="n"/>
      <c r="K136" s="8">
        <f>IF(A136="","",Inputs!$B$13/((IF(J136="",Inputs!$B$18,J136)+Inputs!$B$14)^Inputs!$B$15))</f>
        <v/>
      </c>
      <c r="L136" s="8">
        <f>IF(A136="","",0.00278*IF(I136="",Inputs!$B$17,I136)*H136*K136)</f>
        <v/>
      </c>
      <c r="M136" s="8">
        <f>IF(A136="","",SUMIFS($N$4:$N$203,$D$4:$D$203,$A136))</f>
        <v/>
      </c>
      <c r="N136" s="8">
        <f>IF(A136="","",(L136+M136)*Inputs!$B$16)</f>
        <v/>
      </c>
      <c r="O136" s="8" t="n"/>
      <c r="P136" s="8">
        <f>IF(A136="","",IF(O136="",Inputs!$B$7,O136))</f>
        <v/>
      </c>
      <c r="Q136" s="4">
        <f>IF(A136="","",IF(N136/Inputs!$B$10&lt;=AG136,Inputs!$F$5,IF(N136/Inputs!$B$10&gt;AP136,"OVERSIZE",INDEX(Inputs!$F$5:$F$14,MATCH(N136/Inputs!$B$10,AG136:AP136,1)+1))))</f>
        <v/>
      </c>
      <c r="R136" s="4" t="n"/>
      <c r="S136" s="4">
        <f>IF(A136="","",IF(R136="",Q136,R136))</f>
        <v/>
      </c>
      <c r="T136" s="8">
        <f>IF(OR(S136="",S136="OVERSIZE"),"",S136/1000)</f>
        <v/>
      </c>
      <c r="U136" s="8">
        <f>IF(T136="","",(1/Inputs!$B$9)*(PI()*T136^2/4)*((T136/4)^(2/3))*SQRT(P136))</f>
        <v/>
      </c>
      <c r="V136" s="8">
        <f>IF(OR(U136="",N136=""),"",N136/(U136*Inputs!$B$10))</f>
        <v/>
      </c>
      <c r="W136" s="8">
        <f>IF(OR(T136="",N136=""),"",4*N136/(PI()*T136^2))</f>
        <v/>
      </c>
      <c r="X136" s="8" t="n"/>
      <c r="Y136" s="8">
        <f>IF(A136="","",IF(A136=Inputs!$B$6,Inputs!$B$22,IF(D136="","",IFERROR(INDEX($Z$4:$Z$203,MATCH(D136,$A$4:$A$203,0))+IF(X136="",Inputs!$B$20,X136),""))))</f>
        <v/>
      </c>
      <c r="Z136" s="8">
        <f>IF(OR(Y136="",P136="",E136=""),"",Y136+P136*E136)</f>
        <v/>
      </c>
      <c r="AA136" s="8">
        <f>IF(C136="","",IFERROR(INDEX(Noeuds_plan!$C$4:$C$200,MATCH(C136,Noeuds_plan!$A$4:$A$200,0)),""))</f>
        <v/>
      </c>
      <c r="AB136" s="8">
        <f>IF(B136="","",IFERROR(INDEX(Noeuds_plan!$C$4:$C$200,MATCH(B136,Noeuds_plan!$A$4:$A$200,0)),""))</f>
        <v/>
      </c>
      <c r="AC136" s="8">
        <f>IF(OR(AA136="",Y136=""),"",AA136-Y136)</f>
        <v/>
      </c>
      <c r="AD136" s="8">
        <f>IF(OR(AB136="",Z136=""),"",AB136-Z136)</f>
        <v/>
      </c>
      <c r="AE136" s="4">
        <f>IF(A136="","",IF(OR(V136&gt;1,W136&lt;Inputs!$B$11,W136&gt;Inputs!$B$12,AC136&lt;Inputs!$B$19,AD136&lt;Inputs!$B$19,P136&lt;Inputs!$B$7,P136&gt;Inputs!$B$8),"CHECK","OK"))</f>
        <v/>
      </c>
      <c r="AF136" s="4" t="n"/>
      <c r="AG136" s="4">
        <f>IF(A136="","",(1/Inputs!$B$9)*(PI()*(Inputs!$F$5/1000)^2/4)*((Inputs!$F$5/1000/4)^(2/3))*SQRT(P136))</f>
        <v/>
      </c>
      <c r="AH136" s="4">
        <f>IF(A136="","",(1/Inputs!$B$9)*(PI()*(Inputs!$F$6/1000)^2/4)*((Inputs!$F$6/1000/4)^(2/3))*SQRT(P136))</f>
        <v/>
      </c>
      <c r="AI136" s="4">
        <f>IF(A136="","",(1/Inputs!$B$9)*(PI()*(Inputs!$F$7/1000)^2/4)*((Inputs!$F$7/1000/4)^(2/3))*SQRT(P136))</f>
        <v/>
      </c>
      <c r="AJ136" s="4">
        <f>IF(A136="","",(1/Inputs!$B$9)*(PI()*(Inputs!$F$8/1000)^2/4)*((Inputs!$F$8/1000/4)^(2/3))*SQRT(P136))</f>
        <v/>
      </c>
      <c r="AK136" s="4">
        <f>IF(A136="","",(1/Inputs!$B$9)*(PI()*(Inputs!$F$9/1000)^2/4)*((Inputs!$F$9/1000/4)^(2/3))*SQRT(P136))</f>
        <v/>
      </c>
      <c r="AL136" s="4">
        <f>IF(A136="","",(1/Inputs!$B$9)*(PI()*(Inputs!$F$10/1000)^2/4)*((Inputs!$F$10/1000/4)^(2/3))*SQRT(P136))</f>
        <v/>
      </c>
      <c r="AM136" s="4">
        <f>IF(A136="","",(1/Inputs!$B$9)*(PI()*(Inputs!$F$11/1000)^2/4)*((Inputs!$F$11/1000/4)^(2/3))*SQRT(P136))</f>
        <v/>
      </c>
      <c r="AN136" s="4">
        <f>IF(A136="","",(1/Inputs!$B$9)*(PI()*(Inputs!$F$12/1000)^2/4)*((Inputs!$F$12/1000/4)^(2/3))*SQRT(P136))</f>
        <v/>
      </c>
      <c r="AO136" s="4">
        <f>IF(A136="","",(1/Inputs!$B$9)*(PI()*(Inputs!$F$13/1000)^2/4)*((Inputs!$F$13/1000/4)^(2/3))*SQRT(P136))</f>
        <v/>
      </c>
      <c r="AP136" s="4">
        <f>IF(A136="","",(1/Inputs!$B$9)*(PI()*(Inputs!$F$14/1000)^2/4)*((Inputs!$F$14/1000/4)^(2/3))*SQRT(P136))</f>
        <v/>
      </c>
    </row>
    <row r="137">
      <c r="A137" s="4" t="n"/>
      <c r="B137" s="4" t="n"/>
      <c r="C137" s="4" t="n"/>
      <c r="D137" s="4" t="n"/>
      <c r="E137" s="8" t="n"/>
      <c r="F137" s="8" t="n"/>
      <c r="G137" s="8">
        <f>SUMIFS(CB_plan!$C:$C,CB_plan!$B:$B,$A137)</f>
        <v/>
      </c>
      <c r="H137" s="8">
        <f>IF(F137="",G137,F137)</f>
        <v/>
      </c>
      <c r="I137" s="4" t="n"/>
      <c r="J137" s="8" t="n"/>
      <c r="K137" s="8">
        <f>IF(A137="","",Inputs!$B$13/((IF(J137="",Inputs!$B$18,J137)+Inputs!$B$14)^Inputs!$B$15))</f>
        <v/>
      </c>
      <c r="L137" s="8">
        <f>IF(A137="","",0.00278*IF(I137="",Inputs!$B$17,I137)*H137*K137)</f>
        <v/>
      </c>
      <c r="M137" s="8">
        <f>IF(A137="","",SUMIFS($N$4:$N$203,$D$4:$D$203,$A137))</f>
        <v/>
      </c>
      <c r="N137" s="8">
        <f>IF(A137="","",(L137+M137)*Inputs!$B$16)</f>
        <v/>
      </c>
      <c r="O137" s="8" t="n"/>
      <c r="P137" s="8">
        <f>IF(A137="","",IF(O137="",Inputs!$B$7,O137))</f>
        <v/>
      </c>
      <c r="Q137" s="4">
        <f>IF(A137="","",IF(N137/Inputs!$B$10&lt;=AG137,Inputs!$F$5,IF(N137/Inputs!$B$10&gt;AP137,"OVERSIZE",INDEX(Inputs!$F$5:$F$14,MATCH(N137/Inputs!$B$10,AG137:AP137,1)+1))))</f>
        <v/>
      </c>
      <c r="R137" s="4" t="n"/>
      <c r="S137" s="4">
        <f>IF(A137="","",IF(R137="",Q137,R137))</f>
        <v/>
      </c>
      <c r="T137" s="8">
        <f>IF(OR(S137="",S137="OVERSIZE"),"",S137/1000)</f>
        <v/>
      </c>
      <c r="U137" s="8">
        <f>IF(T137="","",(1/Inputs!$B$9)*(PI()*T137^2/4)*((T137/4)^(2/3))*SQRT(P137))</f>
        <v/>
      </c>
      <c r="V137" s="8">
        <f>IF(OR(U137="",N137=""),"",N137/(U137*Inputs!$B$10))</f>
        <v/>
      </c>
      <c r="W137" s="8">
        <f>IF(OR(T137="",N137=""),"",4*N137/(PI()*T137^2))</f>
        <v/>
      </c>
      <c r="X137" s="8" t="n"/>
      <c r="Y137" s="8">
        <f>IF(A137="","",IF(A137=Inputs!$B$6,Inputs!$B$22,IF(D137="","",IFERROR(INDEX($Z$4:$Z$203,MATCH(D137,$A$4:$A$203,0))+IF(X137="",Inputs!$B$20,X137),""))))</f>
        <v/>
      </c>
      <c r="Z137" s="8">
        <f>IF(OR(Y137="",P137="",E137=""),"",Y137+P137*E137)</f>
        <v/>
      </c>
      <c r="AA137" s="8">
        <f>IF(C137="","",IFERROR(INDEX(Noeuds_plan!$C$4:$C$200,MATCH(C137,Noeuds_plan!$A$4:$A$200,0)),""))</f>
        <v/>
      </c>
      <c r="AB137" s="8">
        <f>IF(B137="","",IFERROR(INDEX(Noeuds_plan!$C$4:$C$200,MATCH(B137,Noeuds_plan!$A$4:$A$200,0)),""))</f>
        <v/>
      </c>
      <c r="AC137" s="8">
        <f>IF(OR(AA137="",Y137=""),"",AA137-Y137)</f>
        <v/>
      </c>
      <c r="AD137" s="8">
        <f>IF(OR(AB137="",Z137=""),"",AB137-Z137)</f>
        <v/>
      </c>
      <c r="AE137" s="4">
        <f>IF(A137="","",IF(OR(V137&gt;1,W137&lt;Inputs!$B$11,W137&gt;Inputs!$B$12,AC137&lt;Inputs!$B$19,AD137&lt;Inputs!$B$19,P137&lt;Inputs!$B$7,P137&gt;Inputs!$B$8),"CHECK","OK"))</f>
        <v/>
      </c>
      <c r="AF137" s="4" t="n"/>
      <c r="AG137" s="4">
        <f>IF(A137="","",(1/Inputs!$B$9)*(PI()*(Inputs!$F$5/1000)^2/4)*((Inputs!$F$5/1000/4)^(2/3))*SQRT(P137))</f>
        <v/>
      </c>
      <c r="AH137" s="4">
        <f>IF(A137="","",(1/Inputs!$B$9)*(PI()*(Inputs!$F$6/1000)^2/4)*((Inputs!$F$6/1000/4)^(2/3))*SQRT(P137))</f>
        <v/>
      </c>
      <c r="AI137" s="4">
        <f>IF(A137="","",(1/Inputs!$B$9)*(PI()*(Inputs!$F$7/1000)^2/4)*((Inputs!$F$7/1000/4)^(2/3))*SQRT(P137))</f>
        <v/>
      </c>
      <c r="AJ137" s="4">
        <f>IF(A137="","",(1/Inputs!$B$9)*(PI()*(Inputs!$F$8/1000)^2/4)*((Inputs!$F$8/1000/4)^(2/3))*SQRT(P137))</f>
        <v/>
      </c>
      <c r="AK137" s="4">
        <f>IF(A137="","",(1/Inputs!$B$9)*(PI()*(Inputs!$F$9/1000)^2/4)*((Inputs!$F$9/1000/4)^(2/3))*SQRT(P137))</f>
        <v/>
      </c>
      <c r="AL137" s="4">
        <f>IF(A137="","",(1/Inputs!$B$9)*(PI()*(Inputs!$F$10/1000)^2/4)*((Inputs!$F$10/1000/4)^(2/3))*SQRT(P137))</f>
        <v/>
      </c>
      <c r="AM137" s="4">
        <f>IF(A137="","",(1/Inputs!$B$9)*(PI()*(Inputs!$F$11/1000)^2/4)*((Inputs!$F$11/1000/4)^(2/3))*SQRT(P137))</f>
        <v/>
      </c>
      <c r="AN137" s="4">
        <f>IF(A137="","",(1/Inputs!$B$9)*(PI()*(Inputs!$F$12/1000)^2/4)*((Inputs!$F$12/1000/4)^(2/3))*SQRT(P137))</f>
        <v/>
      </c>
      <c r="AO137" s="4">
        <f>IF(A137="","",(1/Inputs!$B$9)*(PI()*(Inputs!$F$13/1000)^2/4)*((Inputs!$F$13/1000/4)^(2/3))*SQRT(P137))</f>
        <v/>
      </c>
      <c r="AP137" s="4">
        <f>IF(A137="","",(1/Inputs!$B$9)*(PI()*(Inputs!$F$14/1000)^2/4)*((Inputs!$F$14/1000/4)^(2/3))*SQRT(P137))</f>
        <v/>
      </c>
    </row>
    <row r="138">
      <c r="A138" s="4" t="n"/>
      <c r="B138" s="4" t="n"/>
      <c r="C138" s="4" t="n"/>
      <c r="D138" s="4" t="n"/>
      <c r="E138" s="8" t="n"/>
      <c r="F138" s="8" t="n"/>
      <c r="G138" s="8">
        <f>SUMIFS(CB_plan!$C:$C,CB_plan!$B:$B,$A138)</f>
        <v/>
      </c>
      <c r="H138" s="8">
        <f>IF(F138="",G138,F138)</f>
        <v/>
      </c>
      <c r="I138" s="4" t="n"/>
      <c r="J138" s="8" t="n"/>
      <c r="K138" s="8">
        <f>IF(A138="","",Inputs!$B$13/((IF(J138="",Inputs!$B$18,J138)+Inputs!$B$14)^Inputs!$B$15))</f>
        <v/>
      </c>
      <c r="L138" s="8">
        <f>IF(A138="","",0.00278*IF(I138="",Inputs!$B$17,I138)*H138*K138)</f>
        <v/>
      </c>
      <c r="M138" s="8">
        <f>IF(A138="","",SUMIFS($N$4:$N$203,$D$4:$D$203,$A138))</f>
        <v/>
      </c>
      <c r="N138" s="8">
        <f>IF(A138="","",(L138+M138)*Inputs!$B$16)</f>
        <v/>
      </c>
      <c r="O138" s="8" t="n"/>
      <c r="P138" s="8">
        <f>IF(A138="","",IF(O138="",Inputs!$B$7,O138))</f>
        <v/>
      </c>
      <c r="Q138" s="4">
        <f>IF(A138="","",IF(N138/Inputs!$B$10&lt;=AG138,Inputs!$F$5,IF(N138/Inputs!$B$10&gt;AP138,"OVERSIZE",INDEX(Inputs!$F$5:$F$14,MATCH(N138/Inputs!$B$10,AG138:AP138,1)+1))))</f>
        <v/>
      </c>
      <c r="R138" s="4" t="n"/>
      <c r="S138" s="4">
        <f>IF(A138="","",IF(R138="",Q138,R138))</f>
        <v/>
      </c>
      <c r="T138" s="8">
        <f>IF(OR(S138="",S138="OVERSIZE"),"",S138/1000)</f>
        <v/>
      </c>
      <c r="U138" s="8">
        <f>IF(T138="","",(1/Inputs!$B$9)*(PI()*T138^2/4)*((T138/4)^(2/3))*SQRT(P138))</f>
        <v/>
      </c>
      <c r="V138" s="8">
        <f>IF(OR(U138="",N138=""),"",N138/(U138*Inputs!$B$10))</f>
        <v/>
      </c>
      <c r="W138" s="8">
        <f>IF(OR(T138="",N138=""),"",4*N138/(PI()*T138^2))</f>
        <v/>
      </c>
      <c r="X138" s="8" t="n"/>
      <c r="Y138" s="8">
        <f>IF(A138="","",IF(A138=Inputs!$B$6,Inputs!$B$22,IF(D138="","",IFERROR(INDEX($Z$4:$Z$203,MATCH(D138,$A$4:$A$203,0))+IF(X138="",Inputs!$B$20,X138),""))))</f>
        <v/>
      </c>
      <c r="Z138" s="8">
        <f>IF(OR(Y138="",P138="",E138=""),"",Y138+P138*E138)</f>
        <v/>
      </c>
      <c r="AA138" s="8">
        <f>IF(C138="","",IFERROR(INDEX(Noeuds_plan!$C$4:$C$200,MATCH(C138,Noeuds_plan!$A$4:$A$200,0)),""))</f>
        <v/>
      </c>
      <c r="AB138" s="8">
        <f>IF(B138="","",IFERROR(INDEX(Noeuds_plan!$C$4:$C$200,MATCH(B138,Noeuds_plan!$A$4:$A$200,0)),""))</f>
        <v/>
      </c>
      <c r="AC138" s="8">
        <f>IF(OR(AA138="",Y138=""),"",AA138-Y138)</f>
        <v/>
      </c>
      <c r="AD138" s="8">
        <f>IF(OR(AB138="",Z138=""),"",AB138-Z138)</f>
        <v/>
      </c>
      <c r="AE138" s="4">
        <f>IF(A138="","",IF(OR(V138&gt;1,W138&lt;Inputs!$B$11,W138&gt;Inputs!$B$12,AC138&lt;Inputs!$B$19,AD138&lt;Inputs!$B$19,P138&lt;Inputs!$B$7,P138&gt;Inputs!$B$8),"CHECK","OK"))</f>
        <v/>
      </c>
      <c r="AF138" s="4" t="n"/>
      <c r="AG138" s="4">
        <f>IF(A138="","",(1/Inputs!$B$9)*(PI()*(Inputs!$F$5/1000)^2/4)*((Inputs!$F$5/1000/4)^(2/3))*SQRT(P138))</f>
        <v/>
      </c>
      <c r="AH138" s="4">
        <f>IF(A138="","",(1/Inputs!$B$9)*(PI()*(Inputs!$F$6/1000)^2/4)*((Inputs!$F$6/1000/4)^(2/3))*SQRT(P138))</f>
        <v/>
      </c>
      <c r="AI138" s="4">
        <f>IF(A138="","",(1/Inputs!$B$9)*(PI()*(Inputs!$F$7/1000)^2/4)*((Inputs!$F$7/1000/4)^(2/3))*SQRT(P138))</f>
        <v/>
      </c>
      <c r="AJ138" s="4">
        <f>IF(A138="","",(1/Inputs!$B$9)*(PI()*(Inputs!$F$8/1000)^2/4)*((Inputs!$F$8/1000/4)^(2/3))*SQRT(P138))</f>
        <v/>
      </c>
      <c r="AK138" s="4">
        <f>IF(A138="","",(1/Inputs!$B$9)*(PI()*(Inputs!$F$9/1000)^2/4)*((Inputs!$F$9/1000/4)^(2/3))*SQRT(P138))</f>
        <v/>
      </c>
      <c r="AL138" s="4">
        <f>IF(A138="","",(1/Inputs!$B$9)*(PI()*(Inputs!$F$10/1000)^2/4)*((Inputs!$F$10/1000/4)^(2/3))*SQRT(P138))</f>
        <v/>
      </c>
      <c r="AM138" s="4">
        <f>IF(A138="","",(1/Inputs!$B$9)*(PI()*(Inputs!$F$11/1000)^2/4)*((Inputs!$F$11/1000/4)^(2/3))*SQRT(P138))</f>
        <v/>
      </c>
      <c r="AN138" s="4">
        <f>IF(A138="","",(1/Inputs!$B$9)*(PI()*(Inputs!$F$12/1000)^2/4)*((Inputs!$F$12/1000/4)^(2/3))*SQRT(P138))</f>
        <v/>
      </c>
      <c r="AO138" s="4">
        <f>IF(A138="","",(1/Inputs!$B$9)*(PI()*(Inputs!$F$13/1000)^2/4)*((Inputs!$F$13/1000/4)^(2/3))*SQRT(P138))</f>
        <v/>
      </c>
      <c r="AP138" s="4">
        <f>IF(A138="","",(1/Inputs!$B$9)*(PI()*(Inputs!$F$14/1000)^2/4)*((Inputs!$F$14/1000/4)^(2/3))*SQRT(P138))</f>
        <v/>
      </c>
    </row>
    <row r="139">
      <c r="A139" s="4" t="n"/>
      <c r="B139" s="4" t="n"/>
      <c r="C139" s="4" t="n"/>
      <c r="D139" s="4" t="n"/>
      <c r="E139" s="8" t="n"/>
      <c r="F139" s="8" t="n"/>
      <c r="G139" s="8">
        <f>SUMIFS(CB_plan!$C:$C,CB_plan!$B:$B,$A139)</f>
        <v/>
      </c>
      <c r="H139" s="8">
        <f>IF(F139="",G139,F139)</f>
        <v/>
      </c>
      <c r="I139" s="4" t="n"/>
      <c r="J139" s="8" t="n"/>
      <c r="K139" s="8">
        <f>IF(A139="","",Inputs!$B$13/((IF(J139="",Inputs!$B$18,J139)+Inputs!$B$14)^Inputs!$B$15))</f>
        <v/>
      </c>
      <c r="L139" s="8">
        <f>IF(A139="","",0.00278*IF(I139="",Inputs!$B$17,I139)*H139*K139)</f>
        <v/>
      </c>
      <c r="M139" s="8">
        <f>IF(A139="","",SUMIFS($N$4:$N$203,$D$4:$D$203,$A139))</f>
        <v/>
      </c>
      <c r="N139" s="8">
        <f>IF(A139="","",(L139+M139)*Inputs!$B$16)</f>
        <v/>
      </c>
      <c r="O139" s="8" t="n"/>
      <c r="P139" s="8">
        <f>IF(A139="","",IF(O139="",Inputs!$B$7,O139))</f>
        <v/>
      </c>
      <c r="Q139" s="4">
        <f>IF(A139="","",IF(N139/Inputs!$B$10&lt;=AG139,Inputs!$F$5,IF(N139/Inputs!$B$10&gt;AP139,"OVERSIZE",INDEX(Inputs!$F$5:$F$14,MATCH(N139/Inputs!$B$10,AG139:AP139,1)+1))))</f>
        <v/>
      </c>
      <c r="R139" s="4" t="n"/>
      <c r="S139" s="4">
        <f>IF(A139="","",IF(R139="",Q139,R139))</f>
        <v/>
      </c>
      <c r="T139" s="8">
        <f>IF(OR(S139="",S139="OVERSIZE"),"",S139/1000)</f>
        <v/>
      </c>
      <c r="U139" s="8">
        <f>IF(T139="","",(1/Inputs!$B$9)*(PI()*T139^2/4)*((T139/4)^(2/3))*SQRT(P139))</f>
        <v/>
      </c>
      <c r="V139" s="8">
        <f>IF(OR(U139="",N139=""),"",N139/(U139*Inputs!$B$10))</f>
        <v/>
      </c>
      <c r="W139" s="8">
        <f>IF(OR(T139="",N139=""),"",4*N139/(PI()*T139^2))</f>
        <v/>
      </c>
      <c r="X139" s="8" t="n"/>
      <c r="Y139" s="8">
        <f>IF(A139="","",IF(A139=Inputs!$B$6,Inputs!$B$22,IF(D139="","",IFERROR(INDEX($Z$4:$Z$203,MATCH(D139,$A$4:$A$203,0))+IF(X139="",Inputs!$B$20,X139),""))))</f>
        <v/>
      </c>
      <c r="Z139" s="8">
        <f>IF(OR(Y139="",P139="",E139=""),"",Y139+P139*E139)</f>
        <v/>
      </c>
      <c r="AA139" s="8">
        <f>IF(C139="","",IFERROR(INDEX(Noeuds_plan!$C$4:$C$200,MATCH(C139,Noeuds_plan!$A$4:$A$200,0)),""))</f>
        <v/>
      </c>
      <c r="AB139" s="8">
        <f>IF(B139="","",IFERROR(INDEX(Noeuds_plan!$C$4:$C$200,MATCH(B139,Noeuds_plan!$A$4:$A$200,0)),""))</f>
        <v/>
      </c>
      <c r="AC139" s="8">
        <f>IF(OR(AA139="",Y139=""),"",AA139-Y139)</f>
        <v/>
      </c>
      <c r="AD139" s="8">
        <f>IF(OR(AB139="",Z139=""),"",AB139-Z139)</f>
        <v/>
      </c>
      <c r="AE139" s="4">
        <f>IF(A139="","",IF(OR(V139&gt;1,W139&lt;Inputs!$B$11,W139&gt;Inputs!$B$12,AC139&lt;Inputs!$B$19,AD139&lt;Inputs!$B$19,P139&lt;Inputs!$B$7,P139&gt;Inputs!$B$8),"CHECK","OK"))</f>
        <v/>
      </c>
      <c r="AF139" s="4" t="n"/>
      <c r="AG139" s="4">
        <f>IF(A139="","",(1/Inputs!$B$9)*(PI()*(Inputs!$F$5/1000)^2/4)*((Inputs!$F$5/1000/4)^(2/3))*SQRT(P139))</f>
        <v/>
      </c>
      <c r="AH139" s="4">
        <f>IF(A139="","",(1/Inputs!$B$9)*(PI()*(Inputs!$F$6/1000)^2/4)*((Inputs!$F$6/1000/4)^(2/3))*SQRT(P139))</f>
        <v/>
      </c>
      <c r="AI139" s="4">
        <f>IF(A139="","",(1/Inputs!$B$9)*(PI()*(Inputs!$F$7/1000)^2/4)*((Inputs!$F$7/1000/4)^(2/3))*SQRT(P139))</f>
        <v/>
      </c>
      <c r="AJ139" s="4">
        <f>IF(A139="","",(1/Inputs!$B$9)*(PI()*(Inputs!$F$8/1000)^2/4)*((Inputs!$F$8/1000/4)^(2/3))*SQRT(P139))</f>
        <v/>
      </c>
      <c r="AK139" s="4">
        <f>IF(A139="","",(1/Inputs!$B$9)*(PI()*(Inputs!$F$9/1000)^2/4)*((Inputs!$F$9/1000/4)^(2/3))*SQRT(P139))</f>
        <v/>
      </c>
      <c r="AL139" s="4">
        <f>IF(A139="","",(1/Inputs!$B$9)*(PI()*(Inputs!$F$10/1000)^2/4)*((Inputs!$F$10/1000/4)^(2/3))*SQRT(P139))</f>
        <v/>
      </c>
      <c r="AM139" s="4">
        <f>IF(A139="","",(1/Inputs!$B$9)*(PI()*(Inputs!$F$11/1000)^2/4)*((Inputs!$F$11/1000/4)^(2/3))*SQRT(P139))</f>
        <v/>
      </c>
      <c r="AN139" s="4">
        <f>IF(A139="","",(1/Inputs!$B$9)*(PI()*(Inputs!$F$12/1000)^2/4)*((Inputs!$F$12/1000/4)^(2/3))*SQRT(P139))</f>
        <v/>
      </c>
      <c r="AO139" s="4">
        <f>IF(A139="","",(1/Inputs!$B$9)*(PI()*(Inputs!$F$13/1000)^2/4)*((Inputs!$F$13/1000/4)^(2/3))*SQRT(P139))</f>
        <v/>
      </c>
      <c r="AP139" s="4">
        <f>IF(A139="","",(1/Inputs!$B$9)*(PI()*(Inputs!$F$14/1000)^2/4)*((Inputs!$F$14/1000/4)^(2/3))*SQRT(P139))</f>
        <v/>
      </c>
    </row>
    <row r="140">
      <c r="A140" s="4" t="n"/>
      <c r="B140" s="4" t="n"/>
      <c r="C140" s="4" t="n"/>
      <c r="D140" s="4" t="n"/>
      <c r="E140" s="8" t="n"/>
      <c r="F140" s="8" t="n"/>
      <c r="G140" s="8">
        <f>SUMIFS(CB_plan!$C:$C,CB_plan!$B:$B,$A140)</f>
        <v/>
      </c>
      <c r="H140" s="8">
        <f>IF(F140="",G140,F140)</f>
        <v/>
      </c>
      <c r="I140" s="4" t="n"/>
      <c r="J140" s="8" t="n"/>
      <c r="K140" s="8">
        <f>IF(A140="","",Inputs!$B$13/((IF(J140="",Inputs!$B$18,J140)+Inputs!$B$14)^Inputs!$B$15))</f>
        <v/>
      </c>
      <c r="L140" s="8">
        <f>IF(A140="","",0.00278*IF(I140="",Inputs!$B$17,I140)*H140*K140)</f>
        <v/>
      </c>
      <c r="M140" s="8">
        <f>IF(A140="","",SUMIFS($N$4:$N$203,$D$4:$D$203,$A140))</f>
        <v/>
      </c>
      <c r="N140" s="8">
        <f>IF(A140="","",(L140+M140)*Inputs!$B$16)</f>
        <v/>
      </c>
      <c r="O140" s="8" t="n"/>
      <c r="P140" s="8">
        <f>IF(A140="","",IF(O140="",Inputs!$B$7,O140))</f>
        <v/>
      </c>
      <c r="Q140" s="4">
        <f>IF(A140="","",IF(N140/Inputs!$B$10&lt;=AG140,Inputs!$F$5,IF(N140/Inputs!$B$10&gt;AP140,"OVERSIZE",INDEX(Inputs!$F$5:$F$14,MATCH(N140/Inputs!$B$10,AG140:AP140,1)+1))))</f>
        <v/>
      </c>
      <c r="R140" s="4" t="n"/>
      <c r="S140" s="4">
        <f>IF(A140="","",IF(R140="",Q140,R140))</f>
        <v/>
      </c>
      <c r="T140" s="8">
        <f>IF(OR(S140="",S140="OVERSIZE"),"",S140/1000)</f>
        <v/>
      </c>
      <c r="U140" s="8">
        <f>IF(T140="","",(1/Inputs!$B$9)*(PI()*T140^2/4)*((T140/4)^(2/3))*SQRT(P140))</f>
        <v/>
      </c>
      <c r="V140" s="8">
        <f>IF(OR(U140="",N140=""),"",N140/(U140*Inputs!$B$10))</f>
        <v/>
      </c>
      <c r="W140" s="8">
        <f>IF(OR(T140="",N140=""),"",4*N140/(PI()*T140^2))</f>
        <v/>
      </c>
      <c r="X140" s="8" t="n"/>
      <c r="Y140" s="8">
        <f>IF(A140="","",IF(A140=Inputs!$B$6,Inputs!$B$22,IF(D140="","",IFERROR(INDEX($Z$4:$Z$203,MATCH(D140,$A$4:$A$203,0))+IF(X140="",Inputs!$B$20,X140),""))))</f>
        <v/>
      </c>
      <c r="Z140" s="8">
        <f>IF(OR(Y140="",P140="",E140=""),"",Y140+P140*E140)</f>
        <v/>
      </c>
      <c r="AA140" s="8">
        <f>IF(C140="","",IFERROR(INDEX(Noeuds_plan!$C$4:$C$200,MATCH(C140,Noeuds_plan!$A$4:$A$200,0)),""))</f>
        <v/>
      </c>
      <c r="AB140" s="8">
        <f>IF(B140="","",IFERROR(INDEX(Noeuds_plan!$C$4:$C$200,MATCH(B140,Noeuds_plan!$A$4:$A$200,0)),""))</f>
        <v/>
      </c>
      <c r="AC140" s="8">
        <f>IF(OR(AA140="",Y140=""),"",AA140-Y140)</f>
        <v/>
      </c>
      <c r="AD140" s="8">
        <f>IF(OR(AB140="",Z140=""),"",AB140-Z140)</f>
        <v/>
      </c>
      <c r="AE140" s="4">
        <f>IF(A140="","",IF(OR(V140&gt;1,W140&lt;Inputs!$B$11,W140&gt;Inputs!$B$12,AC140&lt;Inputs!$B$19,AD140&lt;Inputs!$B$19,P140&lt;Inputs!$B$7,P140&gt;Inputs!$B$8),"CHECK","OK"))</f>
        <v/>
      </c>
      <c r="AF140" s="4" t="n"/>
      <c r="AG140" s="4">
        <f>IF(A140="","",(1/Inputs!$B$9)*(PI()*(Inputs!$F$5/1000)^2/4)*((Inputs!$F$5/1000/4)^(2/3))*SQRT(P140))</f>
        <v/>
      </c>
      <c r="AH140" s="4">
        <f>IF(A140="","",(1/Inputs!$B$9)*(PI()*(Inputs!$F$6/1000)^2/4)*((Inputs!$F$6/1000/4)^(2/3))*SQRT(P140))</f>
        <v/>
      </c>
      <c r="AI140" s="4">
        <f>IF(A140="","",(1/Inputs!$B$9)*(PI()*(Inputs!$F$7/1000)^2/4)*((Inputs!$F$7/1000/4)^(2/3))*SQRT(P140))</f>
        <v/>
      </c>
      <c r="AJ140" s="4">
        <f>IF(A140="","",(1/Inputs!$B$9)*(PI()*(Inputs!$F$8/1000)^2/4)*((Inputs!$F$8/1000/4)^(2/3))*SQRT(P140))</f>
        <v/>
      </c>
      <c r="AK140" s="4">
        <f>IF(A140="","",(1/Inputs!$B$9)*(PI()*(Inputs!$F$9/1000)^2/4)*((Inputs!$F$9/1000/4)^(2/3))*SQRT(P140))</f>
        <v/>
      </c>
      <c r="AL140" s="4">
        <f>IF(A140="","",(1/Inputs!$B$9)*(PI()*(Inputs!$F$10/1000)^2/4)*((Inputs!$F$10/1000/4)^(2/3))*SQRT(P140))</f>
        <v/>
      </c>
      <c r="AM140" s="4">
        <f>IF(A140="","",(1/Inputs!$B$9)*(PI()*(Inputs!$F$11/1000)^2/4)*((Inputs!$F$11/1000/4)^(2/3))*SQRT(P140))</f>
        <v/>
      </c>
      <c r="AN140" s="4">
        <f>IF(A140="","",(1/Inputs!$B$9)*(PI()*(Inputs!$F$12/1000)^2/4)*((Inputs!$F$12/1000/4)^(2/3))*SQRT(P140))</f>
        <v/>
      </c>
      <c r="AO140" s="4">
        <f>IF(A140="","",(1/Inputs!$B$9)*(PI()*(Inputs!$F$13/1000)^2/4)*((Inputs!$F$13/1000/4)^(2/3))*SQRT(P140))</f>
        <v/>
      </c>
      <c r="AP140" s="4">
        <f>IF(A140="","",(1/Inputs!$B$9)*(PI()*(Inputs!$F$14/1000)^2/4)*((Inputs!$F$14/1000/4)^(2/3))*SQRT(P140))</f>
        <v/>
      </c>
    </row>
    <row r="141">
      <c r="A141" s="4" t="n"/>
      <c r="B141" s="4" t="n"/>
      <c r="C141" s="4" t="n"/>
      <c r="D141" s="4" t="n"/>
      <c r="E141" s="8" t="n"/>
      <c r="F141" s="8" t="n"/>
      <c r="G141" s="8">
        <f>SUMIFS(CB_plan!$C:$C,CB_plan!$B:$B,$A141)</f>
        <v/>
      </c>
      <c r="H141" s="8">
        <f>IF(F141="",G141,F141)</f>
        <v/>
      </c>
      <c r="I141" s="4" t="n"/>
      <c r="J141" s="8" t="n"/>
      <c r="K141" s="8">
        <f>IF(A141="","",Inputs!$B$13/((IF(J141="",Inputs!$B$18,J141)+Inputs!$B$14)^Inputs!$B$15))</f>
        <v/>
      </c>
      <c r="L141" s="8">
        <f>IF(A141="","",0.00278*IF(I141="",Inputs!$B$17,I141)*H141*K141)</f>
        <v/>
      </c>
      <c r="M141" s="8">
        <f>IF(A141="","",SUMIFS($N$4:$N$203,$D$4:$D$203,$A141))</f>
        <v/>
      </c>
      <c r="N141" s="8">
        <f>IF(A141="","",(L141+M141)*Inputs!$B$16)</f>
        <v/>
      </c>
      <c r="O141" s="8" t="n"/>
      <c r="P141" s="8">
        <f>IF(A141="","",IF(O141="",Inputs!$B$7,O141))</f>
        <v/>
      </c>
      <c r="Q141" s="4">
        <f>IF(A141="","",IF(N141/Inputs!$B$10&lt;=AG141,Inputs!$F$5,IF(N141/Inputs!$B$10&gt;AP141,"OVERSIZE",INDEX(Inputs!$F$5:$F$14,MATCH(N141/Inputs!$B$10,AG141:AP141,1)+1))))</f>
        <v/>
      </c>
      <c r="R141" s="4" t="n"/>
      <c r="S141" s="4">
        <f>IF(A141="","",IF(R141="",Q141,R141))</f>
        <v/>
      </c>
      <c r="T141" s="8">
        <f>IF(OR(S141="",S141="OVERSIZE"),"",S141/1000)</f>
        <v/>
      </c>
      <c r="U141" s="8">
        <f>IF(T141="","",(1/Inputs!$B$9)*(PI()*T141^2/4)*((T141/4)^(2/3))*SQRT(P141))</f>
        <v/>
      </c>
      <c r="V141" s="8">
        <f>IF(OR(U141="",N141=""),"",N141/(U141*Inputs!$B$10))</f>
        <v/>
      </c>
      <c r="W141" s="8">
        <f>IF(OR(T141="",N141=""),"",4*N141/(PI()*T141^2))</f>
        <v/>
      </c>
      <c r="X141" s="8" t="n"/>
      <c r="Y141" s="8">
        <f>IF(A141="","",IF(A141=Inputs!$B$6,Inputs!$B$22,IF(D141="","",IFERROR(INDEX($Z$4:$Z$203,MATCH(D141,$A$4:$A$203,0))+IF(X141="",Inputs!$B$20,X141),""))))</f>
        <v/>
      </c>
      <c r="Z141" s="8">
        <f>IF(OR(Y141="",P141="",E141=""),"",Y141+P141*E141)</f>
        <v/>
      </c>
      <c r="AA141" s="8">
        <f>IF(C141="","",IFERROR(INDEX(Noeuds_plan!$C$4:$C$200,MATCH(C141,Noeuds_plan!$A$4:$A$200,0)),""))</f>
        <v/>
      </c>
      <c r="AB141" s="8">
        <f>IF(B141="","",IFERROR(INDEX(Noeuds_plan!$C$4:$C$200,MATCH(B141,Noeuds_plan!$A$4:$A$200,0)),""))</f>
        <v/>
      </c>
      <c r="AC141" s="8">
        <f>IF(OR(AA141="",Y141=""),"",AA141-Y141)</f>
        <v/>
      </c>
      <c r="AD141" s="8">
        <f>IF(OR(AB141="",Z141=""),"",AB141-Z141)</f>
        <v/>
      </c>
      <c r="AE141" s="4">
        <f>IF(A141="","",IF(OR(V141&gt;1,W141&lt;Inputs!$B$11,W141&gt;Inputs!$B$12,AC141&lt;Inputs!$B$19,AD141&lt;Inputs!$B$19,P141&lt;Inputs!$B$7,P141&gt;Inputs!$B$8),"CHECK","OK"))</f>
        <v/>
      </c>
      <c r="AF141" s="4" t="n"/>
      <c r="AG141" s="4">
        <f>IF(A141="","",(1/Inputs!$B$9)*(PI()*(Inputs!$F$5/1000)^2/4)*((Inputs!$F$5/1000/4)^(2/3))*SQRT(P141))</f>
        <v/>
      </c>
      <c r="AH141" s="4">
        <f>IF(A141="","",(1/Inputs!$B$9)*(PI()*(Inputs!$F$6/1000)^2/4)*((Inputs!$F$6/1000/4)^(2/3))*SQRT(P141))</f>
        <v/>
      </c>
      <c r="AI141" s="4">
        <f>IF(A141="","",(1/Inputs!$B$9)*(PI()*(Inputs!$F$7/1000)^2/4)*((Inputs!$F$7/1000/4)^(2/3))*SQRT(P141))</f>
        <v/>
      </c>
      <c r="AJ141" s="4">
        <f>IF(A141="","",(1/Inputs!$B$9)*(PI()*(Inputs!$F$8/1000)^2/4)*((Inputs!$F$8/1000/4)^(2/3))*SQRT(P141))</f>
        <v/>
      </c>
      <c r="AK141" s="4">
        <f>IF(A141="","",(1/Inputs!$B$9)*(PI()*(Inputs!$F$9/1000)^2/4)*((Inputs!$F$9/1000/4)^(2/3))*SQRT(P141))</f>
        <v/>
      </c>
      <c r="AL141" s="4">
        <f>IF(A141="","",(1/Inputs!$B$9)*(PI()*(Inputs!$F$10/1000)^2/4)*((Inputs!$F$10/1000/4)^(2/3))*SQRT(P141))</f>
        <v/>
      </c>
      <c r="AM141" s="4">
        <f>IF(A141="","",(1/Inputs!$B$9)*(PI()*(Inputs!$F$11/1000)^2/4)*((Inputs!$F$11/1000/4)^(2/3))*SQRT(P141))</f>
        <v/>
      </c>
      <c r="AN141" s="4">
        <f>IF(A141="","",(1/Inputs!$B$9)*(PI()*(Inputs!$F$12/1000)^2/4)*((Inputs!$F$12/1000/4)^(2/3))*SQRT(P141))</f>
        <v/>
      </c>
      <c r="AO141" s="4">
        <f>IF(A141="","",(1/Inputs!$B$9)*(PI()*(Inputs!$F$13/1000)^2/4)*((Inputs!$F$13/1000/4)^(2/3))*SQRT(P141))</f>
        <v/>
      </c>
      <c r="AP141" s="4">
        <f>IF(A141="","",(1/Inputs!$B$9)*(PI()*(Inputs!$F$14/1000)^2/4)*((Inputs!$F$14/1000/4)^(2/3))*SQRT(P141))</f>
        <v/>
      </c>
    </row>
    <row r="142">
      <c r="A142" s="4" t="n"/>
      <c r="B142" s="4" t="n"/>
      <c r="C142" s="4" t="n"/>
      <c r="D142" s="4" t="n"/>
      <c r="E142" s="8" t="n"/>
      <c r="F142" s="8" t="n"/>
      <c r="G142" s="8">
        <f>SUMIFS(CB_plan!$C:$C,CB_plan!$B:$B,$A142)</f>
        <v/>
      </c>
      <c r="H142" s="8">
        <f>IF(F142="",G142,F142)</f>
        <v/>
      </c>
      <c r="I142" s="4" t="n"/>
      <c r="J142" s="8" t="n"/>
      <c r="K142" s="8">
        <f>IF(A142="","",Inputs!$B$13/((IF(J142="",Inputs!$B$18,J142)+Inputs!$B$14)^Inputs!$B$15))</f>
        <v/>
      </c>
      <c r="L142" s="8">
        <f>IF(A142="","",0.00278*IF(I142="",Inputs!$B$17,I142)*H142*K142)</f>
        <v/>
      </c>
      <c r="M142" s="8">
        <f>IF(A142="","",SUMIFS($N$4:$N$203,$D$4:$D$203,$A142))</f>
        <v/>
      </c>
      <c r="N142" s="8">
        <f>IF(A142="","",(L142+M142)*Inputs!$B$16)</f>
        <v/>
      </c>
      <c r="O142" s="8" t="n"/>
      <c r="P142" s="8">
        <f>IF(A142="","",IF(O142="",Inputs!$B$7,O142))</f>
        <v/>
      </c>
      <c r="Q142" s="4">
        <f>IF(A142="","",IF(N142/Inputs!$B$10&lt;=AG142,Inputs!$F$5,IF(N142/Inputs!$B$10&gt;AP142,"OVERSIZE",INDEX(Inputs!$F$5:$F$14,MATCH(N142/Inputs!$B$10,AG142:AP142,1)+1))))</f>
        <v/>
      </c>
      <c r="R142" s="4" t="n"/>
      <c r="S142" s="4">
        <f>IF(A142="","",IF(R142="",Q142,R142))</f>
        <v/>
      </c>
      <c r="T142" s="8">
        <f>IF(OR(S142="",S142="OVERSIZE"),"",S142/1000)</f>
        <v/>
      </c>
      <c r="U142" s="8">
        <f>IF(T142="","",(1/Inputs!$B$9)*(PI()*T142^2/4)*((T142/4)^(2/3))*SQRT(P142))</f>
        <v/>
      </c>
      <c r="V142" s="8">
        <f>IF(OR(U142="",N142=""),"",N142/(U142*Inputs!$B$10))</f>
        <v/>
      </c>
      <c r="W142" s="8">
        <f>IF(OR(T142="",N142=""),"",4*N142/(PI()*T142^2))</f>
        <v/>
      </c>
      <c r="X142" s="8" t="n"/>
      <c r="Y142" s="8">
        <f>IF(A142="","",IF(A142=Inputs!$B$6,Inputs!$B$22,IF(D142="","",IFERROR(INDEX($Z$4:$Z$203,MATCH(D142,$A$4:$A$203,0))+IF(X142="",Inputs!$B$20,X142),""))))</f>
        <v/>
      </c>
      <c r="Z142" s="8">
        <f>IF(OR(Y142="",P142="",E142=""),"",Y142+P142*E142)</f>
        <v/>
      </c>
      <c r="AA142" s="8">
        <f>IF(C142="","",IFERROR(INDEX(Noeuds_plan!$C$4:$C$200,MATCH(C142,Noeuds_plan!$A$4:$A$200,0)),""))</f>
        <v/>
      </c>
      <c r="AB142" s="8">
        <f>IF(B142="","",IFERROR(INDEX(Noeuds_plan!$C$4:$C$200,MATCH(B142,Noeuds_plan!$A$4:$A$200,0)),""))</f>
        <v/>
      </c>
      <c r="AC142" s="8">
        <f>IF(OR(AA142="",Y142=""),"",AA142-Y142)</f>
        <v/>
      </c>
      <c r="AD142" s="8">
        <f>IF(OR(AB142="",Z142=""),"",AB142-Z142)</f>
        <v/>
      </c>
      <c r="AE142" s="4">
        <f>IF(A142="","",IF(OR(V142&gt;1,W142&lt;Inputs!$B$11,W142&gt;Inputs!$B$12,AC142&lt;Inputs!$B$19,AD142&lt;Inputs!$B$19,P142&lt;Inputs!$B$7,P142&gt;Inputs!$B$8),"CHECK","OK"))</f>
        <v/>
      </c>
      <c r="AF142" s="4" t="n"/>
      <c r="AG142" s="4">
        <f>IF(A142="","",(1/Inputs!$B$9)*(PI()*(Inputs!$F$5/1000)^2/4)*((Inputs!$F$5/1000/4)^(2/3))*SQRT(P142))</f>
        <v/>
      </c>
      <c r="AH142" s="4">
        <f>IF(A142="","",(1/Inputs!$B$9)*(PI()*(Inputs!$F$6/1000)^2/4)*((Inputs!$F$6/1000/4)^(2/3))*SQRT(P142))</f>
        <v/>
      </c>
      <c r="AI142" s="4">
        <f>IF(A142="","",(1/Inputs!$B$9)*(PI()*(Inputs!$F$7/1000)^2/4)*((Inputs!$F$7/1000/4)^(2/3))*SQRT(P142))</f>
        <v/>
      </c>
      <c r="AJ142" s="4">
        <f>IF(A142="","",(1/Inputs!$B$9)*(PI()*(Inputs!$F$8/1000)^2/4)*((Inputs!$F$8/1000/4)^(2/3))*SQRT(P142))</f>
        <v/>
      </c>
      <c r="AK142" s="4">
        <f>IF(A142="","",(1/Inputs!$B$9)*(PI()*(Inputs!$F$9/1000)^2/4)*((Inputs!$F$9/1000/4)^(2/3))*SQRT(P142))</f>
        <v/>
      </c>
      <c r="AL142" s="4">
        <f>IF(A142="","",(1/Inputs!$B$9)*(PI()*(Inputs!$F$10/1000)^2/4)*((Inputs!$F$10/1000/4)^(2/3))*SQRT(P142))</f>
        <v/>
      </c>
      <c r="AM142" s="4">
        <f>IF(A142="","",(1/Inputs!$B$9)*(PI()*(Inputs!$F$11/1000)^2/4)*((Inputs!$F$11/1000/4)^(2/3))*SQRT(P142))</f>
        <v/>
      </c>
      <c r="AN142" s="4">
        <f>IF(A142="","",(1/Inputs!$B$9)*(PI()*(Inputs!$F$12/1000)^2/4)*((Inputs!$F$12/1000/4)^(2/3))*SQRT(P142))</f>
        <v/>
      </c>
      <c r="AO142" s="4">
        <f>IF(A142="","",(1/Inputs!$B$9)*(PI()*(Inputs!$F$13/1000)^2/4)*((Inputs!$F$13/1000/4)^(2/3))*SQRT(P142))</f>
        <v/>
      </c>
      <c r="AP142" s="4">
        <f>IF(A142="","",(1/Inputs!$B$9)*(PI()*(Inputs!$F$14/1000)^2/4)*((Inputs!$F$14/1000/4)^(2/3))*SQRT(P142))</f>
        <v/>
      </c>
    </row>
    <row r="143">
      <c r="A143" s="4" t="n"/>
      <c r="B143" s="4" t="n"/>
      <c r="C143" s="4" t="n"/>
      <c r="D143" s="4" t="n"/>
      <c r="E143" s="8" t="n"/>
      <c r="F143" s="8" t="n"/>
      <c r="G143" s="8">
        <f>SUMIFS(CB_plan!$C:$C,CB_plan!$B:$B,$A143)</f>
        <v/>
      </c>
      <c r="H143" s="8">
        <f>IF(F143="",G143,F143)</f>
        <v/>
      </c>
      <c r="I143" s="4" t="n"/>
      <c r="J143" s="8" t="n"/>
      <c r="K143" s="8">
        <f>IF(A143="","",Inputs!$B$13/((IF(J143="",Inputs!$B$18,J143)+Inputs!$B$14)^Inputs!$B$15))</f>
        <v/>
      </c>
      <c r="L143" s="8">
        <f>IF(A143="","",0.00278*IF(I143="",Inputs!$B$17,I143)*H143*K143)</f>
        <v/>
      </c>
      <c r="M143" s="8">
        <f>IF(A143="","",SUMIFS($N$4:$N$203,$D$4:$D$203,$A143))</f>
        <v/>
      </c>
      <c r="N143" s="8">
        <f>IF(A143="","",(L143+M143)*Inputs!$B$16)</f>
        <v/>
      </c>
      <c r="O143" s="8" t="n"/>
      <c r="P143" s="8">
        <f>IF(A143="","",IF(O143="",Inputs!$B$7,O143))</f>
        <v/>
      </c>
      <c r="Q143" s="4">
        <f>IF(A143="","",IF(N143/Inputs!$B$10&lt;=AG143,Inputs!$F$5,IF(N143/Inputs!$B$10&gt;AP143,"OVERSIZE",INDEX(Inputs!$F$5:$F$14,MATCH(N143/Inputs!$B$10,AG143:AP143,1)+1))))</f>
        <v/>
      </c>
      <c r="R143" s="4" t="n"/>
      <c r="S143" s="4">
        <f>IF(A143="","",IF(R143="",Q143,R143))</f>
        <v/>
      </c>
      <c r="T143" s="8">
        <f>IF(OR(S143="",S143="OVERSIZE"),"",S143/1000)</f>
        <v/>
      </c>
      <c r="U143" s="8">
        <f>IF(T143="","",(1/Inputs!$B$9)*(PI()*T143^2/4)*((T143/4)^(2/3))*SQRT(P143))</f>
        <v/>
      </c>
      <c r="V143" s="8">
        <f>IF(OR(U143="",N143=""),"",N143/(U143*Inputs!$B$10))</f>
        <v/>
      </c>
      <c r="W143" s="8">
        <f>IF(OR(T143="",N143=""),"",4*N143/(PI()*T143^2))</f>
        <v/>
      </c>
      <c r="X143" s="8" t="n"/>
      <c r="Y143" s="8">
        <f>IF(A143="","",IF(A143=Inputs!$B$6,Inputs!$B$22,IF(D143="","",IFERROR(INDEX($Z$4:$Z$203,MATCH(D143,$A$4:$A$203,0))+IF(X143="",Inputs!$B$20,X143),""))))</f>
        <v/>
      </c>
      <c r="Z143" s="8">
        <f>IF(OR(Y143="",P143="",E143=""),"",Y143+P143*E143)</f>
        <v/>
      </c>
      <c r="AA143" s="8">
        <f>IF(C143="","",IFERROR(INDEX(Noeuds_plan!$C$4:$C$200,MATCH(C143,Noeuds_plan!$A$4:$A$200,0)),""))</f>
        <v/>
      </c>
      <c r="AB143" s="8">
        <f>IF(B143="","",IFERROR(INDEX(Noeuds_plan!$C$4:$C$200,MATCH(B143,Noeuds_plan!$A$4:$A$200,0)),""))</f>
        <v/>
      </c>
      <c r="AC143" s="8">
        <f>IF(OR(AA143="",Y143=""),"",AA143-Y143)</f>
        <v/>
      </c>
      <c r="AD143" s="8">
        <f>IF(OR(AB143="",Z143=""),"",AB143-Z143)</f>
        <v/>
      </c>
      <c r="AE143" s="4">
        <f>IF(A143="","",IF(OR(V143&gt;1,W143&lt;Inputs!$B$11,W143&gt;Inputs!$B$12,AC143&lt;Inputs!$B$19,AD143&lt;Inputs!$B$19,P143&lt;Inputs!$B$7,P143&gt;Inputs!$B$8),"CHECK","OK"))</f>
        <v/>
      </c>
      <c r="AF143" s="4" t="n"/>
      <c r="AG143" s="4">
        <f>IF(A143="","",(1/Inputs!$B$9)*(PI()*(Inputs!$F$5/1000)^2/4)*((Inputs!$F$5/1000/4)^(2/3))*SQRT(P143))</f>
        <v/>
      </c>
      <c r="AH143" s="4">
        <f>IF(A143="","",(1/Inputs!$B$9)*(PI()*(Inputs!$F$6/1000)^2/4)*((Inputs!$F$6/1000/4)^(2/3))*SQRT(P143))</f>
        <v/>
      </c>
      <c r="AI143" s="4">
        <f>IF(A143="","",(1/Inputs!$B$9)*(PI()*(Inputs!$F$7/1000)^2/4)*((Inputs!$F$7/1000/4)^(2/3))*SQRT(P143))</f>
        <v/>
      </c>
      <c r="AJ143" s="4">
        <f>IF(A143="","",(1/Inputs!$B$9)*(PI()*(Inputs!$F$8/1000)^2/4)*((Inputs!$F$8/1000/4)^(2/3))*SQRT(P143))</f>
        <v/>
      </c>
      <c r="AK143" s="4">
        <f>IF(A143="","",(1/Inputs!$B$9)*(PI()*(Inputs!$F$9/1000)^2/4)*((Inputs!$F$9/1000/4)^(2/3))*SQRT(P143))</f>
        <v/>
      </c>
      <c r="AL143" s="4">
        <f>IF(A143="","",(1/Inputs!$B$9)*(PI()*(Inputs!$F$10/1000)^2/4)*((Inputs!$F$10/1000/4)^(2/3))*SQRT(P143))</f>
        <v/>
      </c>
      <c r="AM143" s="4">
        <f>IF(A143="","",(1/Inputs!$B$9)*(PI()*(Inputs!$F$11/1000)^2/4)*((Inputs!$F$11/1000/4)^(2/3))*SQRT(P143))</f>
        <v/>
      </c>
      <c r="AN143" s="4">
        <f>IF(A143="","",(1/Inputs!$B$9)*(PI()*(Inputs!$F$12/1000)^2/4)*((Inputs!$F$12/1000/4)^(2/3))*SQRT(P143))</f>
        <v/>
      </c>
      <c r="AO143" s="4">
        <f>IF(A143="","",(1/Inputs!$B$9)*(PI()*(Inputs!$F$13/1000)^2/4)*((Inputs!$F$13/1000/4)^(2/3))*SQRT(P143))</f>
        <v/>
      </c>
      <c r="AP143" s="4">
        <f>IF(A143="","",(1/Inputs!$B$9)*(PI()*(Inputs!$F$14/1000)^2/4)*((Inputs!$F$14/1000/4)^(2/3))*SQRT(P143))</f>
        <v/>
      </c>
    </row>
    <row r="144">
      <c r="A144" s="4" t="n"/>
      <c r="B144" s="4" t="n"/>
      <c r="C144" s="4" t="n"/>
      <c r="D144" s="4" t="n"/>
      <c r="E144" s="8" t="n"/>
      <c r="F144" s="8" t="n"/>
      <c r="G144" s="8">
        <f>SUMIFS(CB_plan!$C:$C,CB_plan!$B:$B,$A144)</f>
        <v/>
      </c>
      <c r="H144" s="8">
        <f>IF(F144="",G144,F144)</f>
        <v/>
      </c>
      <c r="I144" s="4" t="n"/>
      <c r="J144" s="8" t="n"/>
      <c r="K144" s="8">
        <f>IF(A144="","",Inputs!$B$13/((IF(J144="",Inputs!$B$18,J144)+Inputs!$B$14)^Inputs!$B$15))</f>
        <v/>
      </c>
      <c r="L144" s="8">
        <f>IF(A144="","",0.00278*IF(I144="",Inputs!$B$17,I144)*H144*K144)</f>
        <v/>
      </c>
      <c r="M144" s="8">
        <f>IF(A144="","",SUMIFS($N$4:$N$203,$D$4:$D$203,$A144))</f>
        <v/>
      </c>
      <c r="N144" s="8">
        <f>IF(A144="","",(L144+M144)*Inputs!$B$16)</f>
        <v/>
      </c>
      <c r="O144" s="8" t="n"/>
      <c r="P144" s="8">
        <f>IF(A144="","",IF(O144="",Inputs!$B$7,O144))</f>
        <v/>
      </c>
      <c r="Q144" s="4">
        <f>IF(A144="","",IF(N144/Inputs!$B$10&lt;=AG144,Inputs!$F$5,IF(N144/Inputs!$B$10&gt;AP144,"OVERSIZE",INDEX(Inputs!$F$5:$F$14,MATCH(N144/Inputs!$B$10,AG144:AP144,1)+1))))</f>
        <v/>
      </c>
      <c r="R144" s="4" t="n"/>
      <c r="S144" s="4">
        <f>IF(A144="","",IF(R144="",Q144,R144))</f>
        <v/>
      </c>
      <c r="T144" s="8">
        <f>IF(OR(S144="",S144="OVERSIZE"),"",S144/1000)</f>
        <v/>
      </c>
      <c r="U144" s="8">
        <f>IF(T144="","",(1/Inputs!$B$9)*(PI()*T144^2/4)*((T144/4)^(2/3))*SQRT(P144))</f>
        <v/>
      </c>
      <c r="V144" s="8">
        <f>IF(OR(U144="",N144=""),"",N144/(U144*Inputs!$B$10))</f>
        <v/>
      </c>
      <c r="W144" s="8">
        <f>IF(OR(T144="",N144=""),"",4*N144/(PI()*T144^2))</f>
        <v/>
      </c>
      <c r="X144" s="8" t="n"/>
      <c r="Y144" s="8">
        <f>IF(A144="","",IF(A144=Inputs!$B$6,Inputs!$B$22,IF(D144="","",IFERROR(INDEX($Z$4:$Z$203,MATCH(D144,$A$4:$A$203,0))+IF(X144="",Inputs!$B$20,X144),""))))</f>
        <v/>
      </c>
      <c r="Z144" s="8">
        <f>IF(OR(Y144="",P144="",E144=""),"",Y144+P144*E144)</f>
        <v/>
      </c>
      <c r="AA144" s="8">
        <f>IF(C144="","",IFERROR(INDEX(Noeuds_plan!$C$4:$C$200,MATCH(C144,Noeuds_plan!$A$4:$A$200,0)),""))</f>
        <v/>
      </c>
      <c r="AB144" s="8">
        <f>IF(B144="","",IFERROR(INDEX(Noeuds_plan!$C$4:$C$200,MATCH(B144,Noeuds_plan!$A$4:$A$200,0)),""))</f>
        <v/>
      </c>
      <c r="AC144" s="8">
        <f>IF(OR(AA144="",Y144=""),"",AA144-Y144)</f>
        <v/>
      </c>
      <c r="AD144" s="8">
        <f>IF(OR(AB144="",Z144=""),"",AB144-Z144)</f>
        <v/>
      </c>
      <c r="AE144" s="4">
        <f>IF(A144="","",IF(OR(V144&gt;1,W144&lt;Inputs!$B$11,W144&gt;Inputs!$B$12,AC144&lt;Inputs!$B$19,AD144&lt;Inputs!$B$19,P144&lt;Inputs!$B$7,P144&gt;Inputs!$B$8),"CHECK","OK"))</f>
        <v/>
      </c>
      <c r="AF144" s="4" t="n"/>
      <c r="AG144" s="4">
        <f>IF(A144="","",(1/Inputs!$B$9)*(PI()*(Inputs!$F$5/1000)^2/4)*((Inputs!$F$5/1000/4)^(2/3))*SQRT(P144))</f>
        <v/>
      </c>
      <c r="AH144" s="4">
        <f>IF(A144="","",(1/Inputs!$B$9)*(PI()*(Inputs!$F$6/1000)^2/4)*((Inputs!$F$6/1000/4)^(2/3))*SQRT(P144))</f>
        <v/>
      </c>
      <c r="AI144" s="4">
        <f>IF(A144="","",(1/Inputs!$B$9)*(PI()*(Inputs!$F$7/1000)^2/4)*((Inputs!$F$7/1000/4)^(2/3))*SQRT(P144))</f>
        <v/>
      </c>
      <c r="AJ144" s="4">
        <f>IF(A144="","",(1/Inputs!$B$9)*(PI()*(Inputs!$F$8/1000)^2/4)*((Inputs!$F$8/1000/4)^(2/3))*SQRT(P144))</f>
        <v/>
      </c>
      <c r="AK144" s="4">
        <f>IF(A144="","",(1/Inputs!$B$9)*(PI()*(Inputs!$F$9/1000)^2/4)*((Inputs!$F$9/1000/4)^(2/3))*SQRT(P144))</f>
        <v/>
      </c>
      <c r="AL144" s="4">
        <f>IF(A144="","",(1/Inputs!$B$9)*(PI()*(Inputs!$F$10/1000)^2/4)*((Inputs!$F$10/1000/4)^(2/3))*SQRT(P144))</f>
        <v/>
      </c>
      <c r="AM144" s="4">
        <f>IF(A144="","",(1/Inputs!$B$9)*(PI()*(Inputs!$F$11/1000)^2/4)*((Inputs!$F$11/1000/4)^(2/3))*SQRT(P144))</f>
        <v/>
      </c>
      <c r="AN144" s="4">
        <f>IF(A144="","",(1/Inputs!$B$9)*(PI()*(Inputs!$F$12/1000)^2/4)*((Inputs!$F$12/1000/4)^(2/3))*SQRT(P144))</f>
        <v/>
      </c>
      <c r="AO144" s="4">
        <f>IF(A144="","",(1/Inputs!$B$9)*(PI()*(Inputs!$F$13/1000)^2/4)*((Inputs!$F$13/1000/4)^(2/3))*SQRT(P144))</f>
        <v/>
      </c>
      <c r="AP144" s="4">
        <f>IF(A144="","",(1/Inputs!$B$9)*(PI()*(Inputs!$F$14/1000)^2/4)*((Inputs!$F$14/1000/4)^(2/3))*SQRT(P144))</f>
        <v/>
      </c>
    </row>
    <row r="145">
      <c r="A145" s="4" t="n"/>
      <c r="B145" s="4" t="n"/>
      <c r="C145" s="4" t="n"/>
      <c r="D145" s="4" t="n"/>
      <c r="E145" s="8" t="n"/>
      <c r="F145" s="8" t="n"/>
      <c r="G145" s="8">
        <f>SUMIFS(CB_plan!$C:$C,CB_plan!$B:$B,$A145)</f>
        <v/>
      </c>
      <c r="H145" s="8">
        <f>IF(F145="",G145,F145)</f>
        <v/>
      </c>
      <c r="I145" s="4" t="n"/>
      <c r="J145" s="8" t="n"/>
      <c r="K145" s="8">
        <f>IF(A145="","",Inputs!$B$13/((IF(J145="",Inputs!$B$18,J145)+Inputs!$B$14)^Inputs!$B$15))</f>
        <v/>
      </c>
      <c r="L145" s="8">
        <f>IF(A145="","",0.00278*IF(I145="",Inputs!$B$17,I145)*H145*K145)</f>
        <v/>
      </c>
      <c r="M145" s="8">
        <f>IF(A145="","",SUMIFS($N$4:$N$203,$D$4:$D$203,$A145))</f>
        <v/>
      </c>
      <c r="N145" s="8">
        <f>IF(A145="","",(L145+M145)*Inputs!$B$16)</f>
        <v/>
      </c>
      <c r="O145" s="8" t="n"/>
      <c r="P145" s="8">
        <f>IF(A145="","",IF(O145="",Inputs!$B$7,O145))</f>
        <v/>
      </c>
      <c r="Q145" s="4">
        <f>IF(A145="","",IF(N145/Inputs!$B$10&lt;=AG145,Inputs!$F$5,IF(N145/Inputs!$B$10&gt;AP145,"OVERSIZE",INDEX(Inputs!$F$5:$F$14,MATCH(N145/Inputs!$B$10,AG145:AP145,1)+1))))</f>
        <v/>
      </c>
      <c r="R145" s="4" t="n"/>
      <c r="S145" s="4">
        <f>IF(A145="","",IF(R145="",Q145,R145))</f>
        <v/>
      </c>
      <c r="T145" s="8">
        <f>IF(OR(S145="",S145="OVERSIZE"),"",S145/1000)</f>
        <v/>
      </c>
      <c r="U145" s="8">
        <f>IF(T145="","",(1/Inputs!$B$9)*(PI()*T145^2/4)*((T145/4)^(2/3))*SQRT(P145))</f>
        <v/>
      </c>
      <c r="V145" s="8">
        <f>IF(OR(U145="",N145=""),"",N145/(U145*Inputs!$B$10))</f>
        <v/>
      </c>
      <c r="W145" s="8">
        <f>IF(OR(T145="",N145=""),"",4*N145/(PI()*T145^2))</f>
        <v/>
      </c>
      <c r="X145" s="8" t="n"/>
      <c r="Y145" s="8">
        <f>IF(A145="","",IF(A145=Inputs!$B$6,Inputs!$B$22,IF(D145="","",IFERROR(INDEX($Z$4:$Z$203,MATCH(D145,$A$4:$A$203,0))+IF(X145="",Inputs!$B$20,X145),""))))</f>
        <v/>
      </c>
      <c r="Z145" s="8">
        <f>IF(OR(Y145="",P145="",E145=""),"",Y145+P145*E145)</f>
        <v/>
      </c>
      <c r="AA145" s="8">
        <f>IF(C145="","",IFERROR(INDEX(Noeuds_plan!$C$4:$C$200,MATCH(C145,Noeuds_plan!$A$4:$A$200,0)),""))</f>
        <v/>
      </c>
      <c r="AB145" s="8">
        <f>IF(B145="","",IFERROR(INDEX(Noeuds_plan!$C$4:$C$200,MATCH(B145,Noeuds_plan!$A$4:$A$200,0)),""))</f>
        <v/>
      </c>
      <c r="AC145" s="8">
        <f>IF(OR(AA145="",Y145=""),"",AA145-Y145)</f>
        <v/>
      </c>
      <c r="AD145" s="8">
        <f>IF(OR(AB145="",Z145=""),"",AB145-Z145)</f>
        <v/>
      </c>
      <c r="AE145" s="4">
        <f>IF(A145="","",IF(OR(V145&gt;1,W145&lt;Inputs!$B$11,W145&gt;Inputs!$B$12,AC145&lt;Inputs!$B$19,AD145&lt;Inputs!$B$19,P145&lt;Inputs!$B$7,P145&gt;Inputs!$B$8),"CHECK","OK"))</f>
        <v/>
      </c>
      <c r="AF145" s="4" t="n"/>
      <c r="AG145" s="4">
        <f>IF(A145="","",(1/Inputs!$B$9)*(PI()*(Inputs!$F$5/1000)^2/4)*((Inputs!$F$5/1000/4)^(2/3))*SQRT(P145))</f>
        <v/>
      </c>
      <c r="AH145" s="4">
        <f>IF(A145="","",(1/Inputs!$B$9)*(PI()*(Inputs!$F$6/1000)^2/4)*((Inputs!$F$6/1000/4)^(2/3))*SQRT(P145))</f>
        <v/>
      </c>
      <c r="AI145" s="4">
        <f>IF(A145="","",(1/Inputs!$B$9)*(PI()*(Inputs!$F$7/1000)^2/4)*((Inputs!$F$7/1000/4)^(2/3))*SQRT(P145))</f>
        <v/>
      </c>
      <c r="AJ145" s="4">
        <f>IF(A145="","",(1/Inputs!$B$9)*(PI()*(Inputs!$F$8/1000)^2/4)*((Inputs!$F$8/1000/4)^(2/3))*SQRT(P145))</f>
        <v/>
      </c>
      <c r="AK145" s="4">
        <f>IF(A145="","",(1/Inputs!$B$9)*(PI()*(Inputs!$F$9/1000)^2/4)*((Inputs!$F$9/1000/4)^(2/3))*SQRT(P145))</f>
        <v/>
      </c>
      <c r="AL145" s="4">
        <f>IF(A145="","",(1/Inputs!$B$9)*(PI()*(Inputs!$F$10/1000)^2/4)*((Inputs!$F$10/1000/4)^(2/3))*SQRT(P145))</f>
        <v/>
      </c>
      <c r="AM145" s="4">
        <f>IF(A145="","",(1/Inputs!$B$9)*(PI()*(Inputs!$F$11/1000)^2/4)*((Inputs!$F$11/1000/4)^(2/3))*SQRT(P145))</f>
        <v/>
      </c>
      <c r="AN145" s="4">
        <f>IF(A145="","",(1/Inputs!$B$9)*(PI()*(Inputs!$F$12/1000)^2/4)*((Inputs!$F$12/1000/4)^(2/3))*SQRT(P145))</f>
        <v/>
      </c>
      <c r="AO145" s="4">
        <f>IF(A145="","",(1/Inputs!$B$9)*(PI()*(Inputs!$F$13/1000)^2/4)*((Inputs!$F$13/1000/4)^(2/3))*SQRT(P145))</f>
        <v/>
      </c>
      <c r="AP145" s="4">
        <f>IF(A145="","",(1/Inputs!$B$9)*(PI()*(Inputs!$F$14/1000)^2/4)*((Inputs!$F$14/1000/4)^(2/3))*SQRT(P145))</f>
        <v/>
      </c>
    </row>
    <row r="146">
      <c r="A146" s="4" t="n"/>
      <c r="B146" s="4" t="n"/>
      <c r="C146" s="4" t="n"/>
      <c r="D146" s="4" t="n"/>
      <c r="E146" s="8" t="n"/>
      <c r="F146" s="8" t="n"/>
      <c r="G146" s="8">
        <f>SUMIFS(CB_plan!$C:$C,CB_plan!$B:$B,$A146)</f>
        <v/>
      </c>
      <c r="H146" s="8">
        <f>IF(F146="",G146,F146)</f>
        <v/>
      </c>
      <c r="I146" s="4" t="n"/>
      <c r="J146" s="8" t="n"/>
      <c r="K146" s="8">
        <f>IF(A146="","",Inputs!$B$13/((IF(J146="",Inputs!$B$18,J146)+Inputs!$B$14)^Inputs!$B$15))</f>
        <v/>
      </c>
      <c r="L146" s="8">
        <f>IF(A146="","",0.00278*IF(I146="",Inputs!$B$17,I146)*H146*K146)</f>
        <v/>
      </c>
      <c r="M146" s="8">
        <f>IF(A146="","",SUMIFS($N$4:$N$203,$D$4:$D$203,$A146))</f>
        <v/>
      </c>
      <c r="N146" s="8">
        <f>IF(A146="","",(L146+M146)*Inputs!$B$16)</f>
        <v/>
      </c>
      <c r="O146" s="8" t="n"/>
      <c r="P146" s="8">
        <f>IF(A146="","",IF(O146="",Inputs!$B$7,O146))</f>
        <v/>
      </c>
      <c r="Q146" s="4">
        <f>IF(A146="","",IF(N146/Inputs!$B$10&lt;=AG146,Inputs!$F$5,IF(N146/Inputs!$B$10&gt;AP146,"OVERSIZE",INDEX(Inputs!$F$5:$F$14,MATCH(N146/Inputs!$B$10,AG146:AP146,1)+1))))</f>
        <v/>
      </c>
      <c r="R146" s="4" t="n"/>
      <c r="S146" s="4">
        <f>IF(A146="","",IF(R146="",Q146,R146))</f>
        <v/>
      </c>
      <c r="T146" s="8">
        <f>IF(OR(S146="",S146="OVERSIZE"),"",S146/1000)</f>
        <v/>
      </c>
      <c r="U146" s="8">
        <f>IF(T146="","",(1/Inputs!$B$9)*(PI()*T146^2/4)*((T146/4)^(2/3))*SQRT(P146))</f>
        <v/>
      </c>
      <c r="V146" s="8">
        <f>IF(OR(U146="",N146=""),"",N146/(U146*Inputs!$B$10))</f>
        <v/>
      </c>
      <c r="W146" s="8">
        <f>IF(OR(T146="",N146=""),"",4*N146/(PI()*T146^2))</f>
        <v/>
      </c>
      <c r="X146" s="8" t="n"/>
      <c r="Y146" s="8">
        <f>IF(A146="","",IF(A146=Inputs!$B$6,Inputs!$B$22,IF(D146="","",IFERROR(INDEX($Z$4:$Z$203,MATCH(D146,$A$4:$A$203,0))+IF(X146="",Inputs!$B$20,X146),""))))</f>
        <v/>
      </c>
      <c r="Z146" s="8">
        <f>IF(OR(Y146="",P146="",E146=""),"",Y146+P146*E146)</f>
        <v/>
      </c>
      <c r="AA146" s="8">
        <f>IF(C146="","",IFERROR(INDEX(Noeuds_plan!$C$4:$C$200,MATCH(C146,Noeuds_plan!$A$4:$A$200,0)),""))</f>
        <v/>
      </c>
      <c r="AB146" s="8">
        <f>IF(B146="","",IFERROR(INDEX(Noeuds_plan!$C$4:$C$200,MATCH(B146,Noeuds_plan!$A$4:$A$200,0)),""))</f>
        <v/>
      </c>
      <c r="AC146" s="8">
        <f>IF(OR(AA146="",Y146=""),"",AA146-Y146)</f>
        <v/>
      </c>
      <c r="AD146" s="8">
        <f>IF(OR(AB146="",Z146=""),"",AB146-Z146)</f>
        <v/>
      </c>
      <c r="AE146" s="4">
        <f>IF(A146="","",IF(OR(V146&gt;1,W146&lt;Inputs!$B$11,W146&gt;Inputs!$B$12,AC146&lt;Inputs!$B$19,AD146&lt;Inputs!$B$19,P146&lt;Inputs!$B$7,P146&gt;Inputs!$B$8),"CHECK","OK"))</f>
        <v/>
      </c>
      <c r="AF146" s="4" t="n"/>
      <c r="AG146" s="4">
        <f>IF(A146="","",(1/Inputs!$B$9)*(PI()*(Inputs!$F$5/1000)^2/4)*((Inputs!$F$5/1000/4)^(2/3))*SQRT(P146))</f>
        <v/>
      </c>
      <c r="AH146" s="4">
        <f>IF(A146="","",(1/Inputs!$B$9)*(PI()*(Inputs!$F$6/1000)^2/4)*((Inputs!$F$6/1000/4)^(2/3))*SQRT(P146))</f>
        <v/>
      </c>
      <c r="AI146" s="4">
        <f>IF(A146="","",(1/Inputs!$B$9)*(PI()*(Inputs!$F$7/1000)^2/4)*((Inputs!$F$7/1000/4)^(2/3))*SQRT(P146))</f>
        <v/>
      </c>
      <c r="AJ146" s="4">
        <f>IF(A146="","",(1/Inputs!$B$9)*(PI()*(Inputs!$F$8/1000)^2/4)*((Inputs!$F$8/1000/4)^(2/3))*SQRT(P146))</f>
        <v/>
      </c>
      <c r="AK146" s="4">
        <f>IF(A146="","",(1/Inputs!$B$9)*(PI()*(Inputs!$F$9/1000)^2/4)*((Inputs!$F$9/1000/4)^(2/3))*SQRT(P146))</f>
        <v/>
      </c>
      <c r="AL146" s="4">
        <f>IF(A146="","",(1/Inputs!$B$9)*(PI()*(Inputs!$F$10/1000)^2/4)*((Inputs!$F$10/1000/4)^(2/3))*SQRT(P146))</f>
        <v/>
      </c>
      <c r="AM146" s="4">
        <f>IF(A146="","",(1/Inputs!$B$9)*(PI()*(Inputs!$F$11/1000)^2/4)*((Inputs!$F$11/1000/4)^(2/3))*SQRT(P146))</f>
        <v/>
      </c>
      <c r="AN146" s="4">
        <f>IF(A146="","",(1/Inputs!$B$9)*(PI()*(Inputs!$F$12/1000)^2/4)*((Inputs!$F$12/1000/4)^(2/3))*SQRT(P146))</f>
        <v/>
      </c>
      <c r="AO146" s="4">
        <f>IF(A146="","",(1/Inputs!$B$9)*(PI()*(Inputs!$F$13/1000)^2/4)*((Inputs!$F$13/1000/4)^(2/3))*SQRT(P146))</f>
        <v/>
      </c>
      <c r="AP146" s="4">
        <f>IF(A146="","",(1/Inputs!$B$9)*(PI()*(Inputs!$F$14/1000)^2/4)*((Inputs!$F$14/1000/4)^(2/3))*SQRT(P146))</f>
        <v/>
      </c>
    </row>
    <row r="147">
      <c r="A147" s="4" t="n"/>
      <c r="B147" s="4" t="n"/>
      <c r="C147" s="4" t="n"/>
      <c r="D147" s="4" t="n"/>
      <c r="E147" s="8" t="n"/>
      <c r="F147" s="8" t="n"/>
      <c r="G147" s="8">
        <f>SUMIFS(CB_plan!$C:$C,CB_plan!$B:$B,$A147)</f>
        <v/>
      </c>
      <c r="H147" s="8">
        <f>IF(F147="",G147,F147)</f>
        <v/>
      </c>
      <c r="I147" s="4" t="n"/>
      <c r="J147" s="8" t="n"/>
      <c r="K147" s="8">
        <f>IF(A147="","",Inputs!$B$13/((IF(J147="",Inputs!$B$18,J147)+Inputs!$B$14)^Inputs!$B$15))</f>
        <v/>
      </c>
      <c r="L147" s="8">
        <f>IF(A147="","",0.00278*IF(I147="",Inputs!$B$17,I147)*H147*K147)</f>
        <v/>
      </c>
      <c r="M147" s="8">
        <f>IF(A147="","",SUMIFS($N$4:$N$203,$D$4:$D$203,$A147))</f>
        <v/>
      </c>
      <c r="N147" s="8">
        <f>IF(A147="","",(L147+M147)*Inputs!$B$16)</f>
        <v/>
      </c>
      <c r="O147" s="8" t="n"/>
      <c r="P147" s="8">
        <f>IF(A147="","",IF(O147="",Inputs!$B$7,O147))</f>
        <v/>
      </c>
      <c r="Q147" s="4">
        <f>IF(A147="","",IF(N147/Inputs!$B$10&lt;=AG147,Inputs!$F$5,IF(N147/Inputs!$B$10&gt;AP147,"OVERSIZE",INDEX(Inputs!$F$5:$F$14,MATCH(N147/Inputs!$B$10,AG147:AP147,1)+1))))</f>
        <v/>
      </c>
      <c r="R147" s="4" t="n"/>
      <c r="S147" s="4">
        <f>IF(A147="","",IF(R147="",Q147,R147))</f>
        <v/>
      </c>
      <c r="T147" s="8">
        <f>IF(OR(S147="",S147="OVERSIZE"),"",S147/1000)</f>
        <v/>
      </c>
      <c r="U147" s="8">
        <f>IF(T147="","",(1/Inputs!$B$9)*(PI()*T147^2/4)*((T147/4)^(2/3))*SQRT(P147))</f>
        <v/>
      </c>
      <c r="V147" s="8">
        <f>IF(OR(U147="",N147=""),"",N147/(U147*Inputs!$B$10))</f>
        <v/>
      </c>
      <c r="W147" s="8">
        <f>IF(OR(T147="",N147=""),"",4*N147/(PI()*T147^2))</f>
        <v/>
      </c>
      <c r="X147" s="8" t="n"/>
      <c r="Y147" s="8">
        <f>IF(A147="","",IF(A147=Inputs!$B$6,Inputs!$B$22,IF(D147="","",IFERROR(INDEX($Z$4:$Z$203,MATCH(D147,$A$4:$A$203,0))+IF(X147="",Inputs!$B$20,X147),""))))</f>
        <v/>
      </c>
      <c r="Z147" s="8">
        <f>IF(OR(Y147="",P147="",E147=""),"",Y147+P147*E147)</f>
        <v/>
      </c>
      <c r="AA147" s="8">
        <f>IF(C147="","",IFERROR(INDEX(Noeuds_plan!$C$4:$C$200,MATCH(C147,Noeuds_plan!$A$4:$A$200,0)),""))</f>
        <v/>
      </c>
      <c r="AB147" s="8">
        <f>IF(B147="","",IFERROR(INDEX(Noeuds_plan!$C$4:$C$200,MATCH(B147,Noeuds_plan!$A$4:$A$200,0)),""))</f>
        <v/>
      </c>
      <c r="AC147" s="8">
        <f>IF(OR(AA147="",Y147=""),"",AA147-Y147)</f>
        <v/>
      </c>
      <c r="AD147" s="8">
        <f>IF(OR(AB147="",Z147=""),"",AB147-Z147)</f>
        <v/>
      </c>
      <c r="AE147" s="4">
        <f>IF(A147="","",IF(OR(V147&gt;1,W147&lt;Inputs!$B$11,W147&gt;Inputs!$B$12,AC147&lt;Inputs!$B$19,AD147&lt;Inputs!$B$19,P147&lt;Inputs!$B$7,P147&gt;Inputs!$B$8),"CHECK","OK"))</f>
        <v/>
      </c>
      <c r="AF147" s="4" t="n"/>
      <c r="AG147" s="4">
        <f>IF(A147="","",(1/Inputs!$B$9)*(PI()*(Inputs!$F$5/1000)^2/4)*((Inputs!$F$5/1000/4)^(2/3))*SQRT(P147))</f>
        <v/>
      </c>
      <c r="AH147" s="4">
        <f>IF(A147="","",(1/Inputs!$B$9)*(PI()*(Inputs!$F$6/1000)^2/4)*((Inputs!$F$6/1000/4)^(2/3))*SQRT(P147))</f>
        <v/>
      </c>
      <c r="AI147" s="4">
        <f>IF(A147="","",(1/Inputs!$B$9)*(PI()*(Inputs!$F$7/1000)^2/4)*((Inputs!$F$7/1000/4)^(2/3))*SQRT(P147))</f>
        <v/>
      </c>
      <c r="AJ147" s="4">
        <f>IF(A147="","",(1/Inputs!$B$9)*(PI()*(Inputs!$F$8/1000)^2/4)*((Inputs!$F$8/1000/4)^(2/3))*SQRT(P147))</f>
        <v/>
      </c>
      <c r="AK147" s="4">
        <f>IF(A147="","",(1/Inputs!$B$9)*(PI()*(Inputs!$F$9/1000)^2/4)*((Inputs!$F$9/1000/4)^(2/3))*SQRT(P147))</f>
        <v/>
      </c>
      <c r="AL147" s="4">
        <f>IF(A147="","",(1/Inputs!$B$9)*(PI()*(Inputs!$F$10/1000)^2/4)*((Inputs!$F$10/1000/4)^(2/3))*SQRT(P147))</f>
        <v/>
      </c>
      <c r="AM147" s="4">
        <f>IF(A147="","",(1/Inputs!$B$9)*(PI()*(Inputs!$F$11/1000)^2/4)*((Inputs!$F$11/1000/4)^(2/3))*SQRT(P147))</f>
        <v/>
      </c>
      <c r="AN147" s="4">
        <f>IF(A147="","",(1/Inputs!$B$9)*(PI()*(Inputs!$F$12/1000)^2/4)*((Inputs!$F$12/1000/4)^(2/3))*SQRT(P147))</f>
        <v/>
      </c>
      <c r="AO147" s="4">
        <f>IF(A147="","",(1/Inputs!$B$9)*(PI()*(Inputs!$F$13/1000)^2/4)*((Inputs!$F$13/1000/4)^(2/3))*SQRT(P147))</f>
        <v/>
      </c>
      <c r="AP147" s="4">
        <f>IF(A147="","",(1/Inputs!$B$9)*(PI()*(Inputs!$F$14/1000)^2/4)*((Inputs!$F$14/1000/4)^(2/3))*SQRT(P147))</f>
        <v/>
      </c>
    </row>
    <row r="148">
      <c r="A148" s="4" t="n"/>
      <c r="B148" s="4" t="n"/>
      <c r="C148" s="4" t="n"/>
      <c r="D148" s="4" t="n"/>
      <c r="E148" s="8" t="n"/>
      <c r="F148" s="8" t="n"/>
      <c r="G148" s="8">
        <f>SUMIFS(CB_plan!$C:$C,CB_plan!$B:$B,$A148)</f>
        <v/>
      </c>
      <c r="H148" s="8">
        <f>IF(F148="",G148,F148)</f>
        <v/>
      </c>
      <c r="I148" s="4" t="n"/>
      <c r="J148" s="8" t="n"/>
      <c r="K148" s="8">
        <f>IF(A148="","",Inputs!$B$13/((IF(J148="",Inputs!$B$18,J148)+Inputs!$B$14)^Inputs!$B$15))</f>
        <v/>
      </c>
      <c r="L148" s="8">
        <f>IF(A148="","",0.00278*IF(I148="",Inputs!$B$17,I148)*H148*K148)</f>
        <v/>
      </c>
      <c r="M148" s="8">
        <f>IF(A148="","",SUMIFS($N$4:$N$203,$D$4:$D$203,$A148))</f>
        <v/>
      </c>
      <c r="N148" s="8">
        <f>IF(A148="","",(L148+M148)*Inputs!$B$16)</f>
        <v/>
      </c>
      <c r="O148" s="8" t="n"/>
      <c r="P148" s="8">
        <f>IF(A148="","",IF(O148="",Inputs!$B$7,O148))</f>
        <v/>
      </c>
      <c r="Q148" s="4">
        <f>IF(A148="","",IF(N148/Inputs!$B$10&lt;=AG148,Inputs!$F$5,IF(N148/Inputs!$B$10&gt;AP148,"OVERSIZE",INDEX(Inputs!$F$5:$F$14,MATCH(N148/Inputs!$B$10,AG148:AP148,1)+1))))</f>
        <v/>
      </c>
      <c r="R148" s="4" t="n"/>
      <c r="S148" s="4">
        <f>IF(A148="","",IF(R148="",Q148,R148))</f>
        <v/>
      </c>
      <c r="T148" s="8">
        <f>IF(OR(S148="",S148="OVERSIZE"),"",S148/1000)</f>
        <v/>
      </c>
      <c r="U148" s="8">
        <f>IF(T148="","",(1/Inputs!$B$9)*(PI()*T148^2/4)*((T148/4)^(2/3))*SQRT(P148))</f>
        <v/>
      </c>
      <c r="V148" s="8">
        <f>IF(OR(U148="",N148=""),"",N148/(U148*Inputs!$B$10))</f>
        <v/>
      </c>
      <c r="W148" s="8">
        <f>IF(OR(T148="",N148=""),"",4*N148/(PI()*T148^2))</f>
        <v/>
      </c>
      <c r="X148" s="8" t="n"/>
      <c r="Y148" s="8">
        <f>IF(A148="","",IF(A148=Inputs!$B$6,Inputs!$B$22,IF(D148="","",IFERROR(INDEX($Z$4:$Z$203,MATCH(D148,$A$4:$A$203,0))+IF(X148="",Inputs!$B$20,X148),""))))</f>
        <v/>
      </c>
      <c r="Z148" s="8">
        <f>IF(OR(Y148="",P148="",E148=""),"",Y148+P148*E148)</f>
        <v/>
      </c>
      <c r="AA148" s="8">
        <f>IF(C148="","",IFERROR(INDEX(Noeuds_plan!$C$4:$C$200,MATCH(C148,Noeuds_plan!$A$4:$A$200,0)),""))</f>
        <v/>
      </c>
      <c r="AB148" s="8">
        <f>IF(B148="","",IFERROR(INDEX(Noeuds_plan!$C$4:$C$200,MATCH(B148,Noeuds_plan!$A$4:$A$200,0)),""))</f>
        <v/>
      </c>
      <c r="AC148" s="8">
        <f>IF(OR(AA148="",Y148=""),"",AA148-Y148)</f>
        <v/>
      </c>
      <c r="AD148" s="8">
        <f>IF(OR(AB148="",Z148=""),"",AB148-Z148)</f>
        <v/>
      </c>
      <c r="AE148" s="4">
        <f>IF(A148="","",IF(OR(V148&gt;1,W148&lt;Inputs!$B$11,W148&gt;Inputs!$B$12,AC148&lt;Inputs!$B$19,AD148&lt;Inputs!$B$19,P148&lt;Inputs!$B$7,P148&gt;Inputs!$B$8),"CHECK","OK"))</f>
        <v/>
      </c>
      <c r="AF148" s="4" t="n"/>
      <c r="AG148" s="4">
        <f>IF(A148="","",(1/Inputs!$B$9)*(PI()*(Inputs!$F$5/1000)^2/4)*((Inputs!$F$5/1000/4)^(2/3))*SQRT(P148))</f>
        <v/>
      </c>
      <c r="AH148" s="4">
        <f>IF(A148="","",(1/Inputs!$B$9)*(PI()*(Inputs!$F$6/1000)^2/4)*((Inputs!$F$6/1000/4)^(2/3))*SQRT(P148))</f>
        <v/>
      </c>
      <c r="AI148" s="4">
        <f>IF(A148="","",(1/Inputs!$B$9)*(PI()*(Inputs!$F$7/1000)^2/4)*((Inputs!$F$7/1000/4)^(2/3))*SQRT(P148))</f>
        <v/>
      </c>
      <c r="AJ148" s="4">
        <f>IF(A148="","",(1/Inputs!$B$9)*(PI()*(Inputs!$F$8/1000)^2/4)*((Inputs!$F$8/1000/4)^(2/3))*SQRT(P148))</f>
        <v/>
      </c>
      <c r="AK148" s="4">
        <f>IF(A148="","",(1/Inputs!$B$9)*(PI()*(Inputs!$F$9/1000)^2/4)*((Inputs!$F$9/1000/4)^(2/3))*SQRT(P148))</f>
        <v/>
      </c>
      <c r="AL148" s="4">
        <f>IF(A148="","",(1/Inputs!$B$9)*(PI()*(Inputs!$F$10/1000)^2/4)*((Inputs!$F$10/1000/4)^(2/3))*SQRT(P148))</f>
        <v/>
      </c>
      <c r="AM148" s="4">
        <f>IF(A148="","",(1/Inputs!$B$9)*(PI()*(Inputs!$F$11/1000)^2/4)*((Inputs!$F$11/1000/4)^(2/3))*SQRT(P148))</f>
        <v/>
      </c>
      <c r="AN148" s="4">
        <f>IF(A148="","",(1/Inputs!$B$9)*(PI()*(Inputs!$F$12/1000)^2/4)*((Inputs!$F$12/1000/4)^(2/3))*SQRT(P148))</f>
        <v/>
      </c>
      <c r="AO148" s="4">
        <f>IF(A148="","",(1/Inputs!$B$9)*(PI()*(Inputs!$F$13/1000)^2/4)*((Inputs!$F$13/1000/4)^(2/3))*SQRT(P148))</f>
        <v/>
      </c>
      <c r="AP148" s="4">
        <f>IF(A148="","",(1/Inputs!$B$9)*(PI()*(Inputs!$F$14/1000)^2/4)*((Inputs!$F$14/1000/4)^(2/3))*SQRT(P148))</f>
        <v/>
      </c>
    </row>
    <row r="149">
      <c r="A149" s="4" t="n"/>
      <c r="B149" s="4" t="n"/>
      <c r="C149" s="4" t="n"/>
      <c r="D149" s="4" t="n"/>
      <c r="E149" s="8" t="n"/>
      <c r="F149" s="8" t="n"/>
      <c r="G149" s="8">
        <f>SUMIFS(CB_plan!$C:$C,CB_plan!$B:$B,$A149)</f>
        <v/>
      </c>
      <c r="H149" s="8">
        <f>IF(F149="",G149,F149)</f>
        <v/>
      </c>
      <c r="I149" s="4" t="n"/>
      <c r="J149" s="8" t="n"/>
      <c r="K149" s="8">
        <f>IF(A149="","",Inputs!$B$13/((IF(J149="",Inputs!$B$18,J149)+Inputs!$B$14)^Inputs!$B$15))</f>
        <v/>
      </c>
      <c r="L149" s="8">
        <f>IF(A149="","",0.00278*IF(I149="",Inputs!$B$17,I149)*H149*K149)</f>
        <v/>
      </c>
      <c r="M149" s="8">
        <f>IF(A149="","",SUMIFS($N$4:$N$203,$D$4:$D$203,$A149))</f>
        <v/>
      </c>
      <c r="N149" s="8">
        <f>IF(A149="","",(L149+M149)*Inputs!$B$16)</f>
        <v/>
      </c>
      <c r="O149" s="8" t="n"/>
      <c r="P149" s="8">
        <f>IF(A149="","",IF(O149="",Inputs!$B$7,O149))</f>
        <v/>
      </c>
      <c r="Q149" s="4">
        <f>IF(A149="","",IF(N149/Inputs!$B$10&lt;=AG149,Inputs!$F$5,IF(N149/Inputs!$B$10&gt;AP149,"OVERSIZE",INDEX(Inputs!$F$5:$F$14,MATCH(N149/Inputs!$B$10,AG149:AP149,1)+1))))</f>
        <v/>
      </c>
      <c r="R149" s="4" t="n"/>
      <c r="S149" s="4">
        <f>IF(A149="","",IF(R149="",Q149,R149))</f>
        <v/>
      </c>
      <c r="T149" s="8">
        <f>IF(OR(S149="",S149="OVERSIZE"),"",S149/1000)</f>
        <v/>
      </c>
      <c r="U149" s="8">
        <f>IF(T149="","",(1/Inputs!$B$9)*(PI()*T149^2/4)*((T149/4)^(2/3))*SQRT(P149))</f>
        <v/>
      </c>
      <c r="V149" s="8">
        <f>IF(OR(U149="",N149=""),"",N149/(U149*Inputs!$B$10))</f>
        <v/>
      </c>
      <c r="W149" s="8">
        <f>IF(OR(T149="",N149=""),"",4*N149/(PI()*T149^2))</f>
        <v/>
      </c>
      <c r="X149" s="8" t="n"/>
      <c r="Y149" s="8">
        <f>IF(A149="","",IF(A149=Inputs!$B$6,Inputs!$B$22,IF(D149="","",IFERROR(INDEX($Z$4:$Z$203,MATCH(D149,$A$4:$A$203,0))+IF(X149="",Inputs!$B$20,X149),""))))</f>
        <v/>
      </c>
      <c r="Z149" s="8">
        <f>IF(OR(Y149="",P149="",E149=""),"",Y149+P149*E149)</f>
        <v/>
      </c>
      <c r="AA149" s="8">
        <f>IF(C149="","",IFERROR(INDEX(Noeuds_plan!$C$4:$C$200,MATCH(C149,Noeuds_plan!$A$4:$A$200,0)),""))</f>
        <v/>
      </c>
      <c r="AB149" s="8">
        <f>IF(B149="","",IFERROR(INDEX(Noeuds_plan!$C$4:$C$200,MATCH(B149,Noeuds_plan!$A$4:$A$200,0)),""))</f>
        <v/>
      </c>
      <c r="AC149" s="8">
        <f>IF(OR(AA149="",Y149=""),"",AA149-Y149)</f>
        <v/>
      </c>
      <c r="AD149" s="8">
        <f>IF(OR(AB149="",Z149=""),"",AB149-Z149)</f>
        <v/>
      </c>
      <c r="AE149" s="4">
        <f>IF(A149="","",IF(OR(V149&gt;1,W149&lt;Inputs!$B$11,W149&gt;Inputs!$B$12,AC149&lt;Inputs!$B$19,AD149&lt;Inputs!$B$19,P149&lt;Inputs!$B$7,P149&gt;Inputs!$B$8),"CHECK","OK"))</f>
        <v/>
      </c>
      <c r="AF149" s="4" t="n"/>
      <c r="AG149" s="4">
        <f>IF(A149="","",(1/Inputs!$B$9)*(PI()*(Inputs!$F$5/1000)^2/4)*((Inputs!$F$5/1000/4)^(2/3))*SQRT(P149))</f>
        <v/>
      </c>
      <c r="AH149" s="4">
        <f>IF(A149="","",(1/Inputs!$B$9)*(PI()*(Inputs!$F$6/1000)^2/4)*((Inputs!$F$6/1000/4)^(2/3))*SQRT(P149))</f>
        <v/>
      </c>
      <c r="AI149" s="4">
        <f>IF(A149="","",(1/Inputs!$B$9)*(PI()*(Inputs!$F$7/1000)^2/4)*((Inputs!$F$7/1000/4)^(2/3))*SQRT(P149))</f>
        <v/>
      </c>
      <c r="AJ149" s="4">
        <f>IF(A149="","",(1/Inputs!$B$9)*(PI()*(Inputs!$F$8/1000)^2/4)*((Inputs!$F$8/1000/4)^(2/3))*SQRT(P149))</f>
        <v/>
      </c>
      <c r="AK149" s="4">
        <f>IF(A149="","",(1/Inputs!$B$9)*(PI()*(Inputs!$F$9/1000)^2/4)*((Inputs!$F$9/1000/4)^(2/3))*SQRT(P149))</f>
        <v/>
      </c>
      <c r="AL149" s="4">
        <f>IF(A149="","",(1/Inputs!$B$9)*(PI()*(Inputs!$F$10/1000)^2/4)*((Inputs!$F$10/1000/4)^(2/3))*SQRT(P149))</f>
        <v/>
      </c>
      <c r="AM149" s="4">
        <f>IF(A149="","",(1/Inputs!$B$9)*(PI()*(Inputs!$F$11/1000)^2/4)*((Inputs!$F$11/1000/4)^(2/3))*SQRT(P149))</f>
        <v/>
      </c>
      <c r="AN149" s="4">
        <f>IF(A149="","",(1/Inputs!$B$9)*(PI()*(Inputs!$F$12/1000)^2/4)*((Inputs!$F$12/1000/4)^(2/3))*SQRT(P149))</f>
        <v/>
      </c>
      <c r="AO149" s="4">
        <f>IF(A149="","",(1/Inputs!$B$9)*(PI()*(Inputs!$F$13/1000)^2/4)*((Inputs!$F$13/1000/4)^(2/3))*SQRT(P149))</f>
        <v/>
      </c>
      <c r="AP149" s="4">
        <f>IF(A149="","",(1/Inputs!$B$9)*(PI()*(Inputs!$F$14/1000)^2/4)*((Inputs!$F$14/1000/4)^(2/3))*SQRT(P149))</f>
        <v/>
      </c>
    </row>
    <row r="150">
      <c r="A150" s="4" t="n"/>
      <c r="B150" s="4" t="n"/>
      <c r="C150" s="4" t="n"/>
      <c r="D150" s="4" t="n"/>
      <c r="E150" s="8" t="n"/>
      <c r="F150" s="8" t="n"/>
      <c r="G150" s="8">
        <f>SUMIFS(CB_plan!$C:$C,CB_plan!$B:$B,$A150)</f>
        <v/>
      </c>
      <c r="H150" s="8">
        <f>IF(F150="",G150,F150)</f>
        <v/>
      </c>
      <c r="I150" s="4" t="n"/>
      <c r="J150" s="8" t="n"/>
      <c r="K150" s="8">
        <f>IF(A150="","",Inputs!$B$13/((IF(J150="",Inputs!$B$18,J150)+Inputs!$B$14)^Inputs!$B$15))</f>
        <v/>
      </c>
      <c r="L150" s="8">
        <f>IF(A150="","",0.00278*IF(I150="",Inputs!$B$17,I150)*H150*K150)</f>
        <v/>
      </c>
      <c r="M150" s="8">
        <f>IF(A150="","",SUMIFS($N$4:$N$203,$D$4:$D$203,$A150))</f>
        <v/>
      </c>
      <c r="N150" s="8">
        <f>IF(A150="","",(L150+M150)*Inputs!$B$16)</f>
        <v/>
      </c>
      <c r="O150" s="8" t="n"/>
      <c r="P150" s="8">
        <f>IF(A150="","",IF(O150="",Inputs!$B$7,O150))</f>
        <v/>
      </c>
      <c r="Q150" s="4">
        <f>IF(A150="","",IF(N150/Inputs!$B$10&lt;=AG150,Inputs!$F$5,IF(N150/Inputs!$B$10&gt;AP150,"OVERSIZE",INDEX(Inputs!$F$5:$F$14,MATCH(N150/Inputs!$B$10,AG150:AP150,1)+1))))</f>
        <v/>
      </c>
      <c r="R150" s="4" t="n"/>
      <c r="S150" s="4">
        <f>IF(A150="","",IF(R150="",Q150,R150))</f>
        <v/>
      </c>
      <c r="T150" s="8">
        <f>IF(OR(S150="",S150="OVERSIZE"),"",S150/1000)</f>
        <v/>
      </c>
      <c r="U150" s="8">
        <f>IF(T150="","",(1/Inputs!$B$9)*(PI()*T150^2/4)*((T150/4)^(2/3))*SQRT(P150))</f>
        <v/>
      </c>
      <c r="V150" s="8">
        <f>IF(OR(U150="",N150=""),"",N150/(U150*Inputs!$B$10))</f>
        <v/>
      </c>
      <c r="W150" s="8">
        <f>IF(OR(T150="",N150=""),"",4*N150/(PI()*T150^2))</f>
        <v/>
      </c>
      <c r="X150" s="8" t="n"/>
      <c r="Y150" s="8">
        <f>IF(A150="","",IF(A150=Inputs!$B$6,Inputs!$B$22,IF(D150="","",IFERROR(INDEX($Z$4:$Z$203,MATCH(D150,$A$4:$A$203,0))+IF(X150="",Inputs!$B$20,X150),""))))</f>
        <v/>
      </c>
      <c r="Z150" s="8">
        <f>IF(OR(Y150="",P150="",E150=""),"",Y150+P150*E150)</f>
        <v/>
      </c>
      <c r="AA150" s="8">
        <f>IF(C150="","",IFERROR(INDEX(Noeuds_plan!$C$4:$C$200,MATCH(C150,Noeuds_plan!$A$4:$A$200,0)),""))</f>
        <v/>
      </c>
      <c r="AB150" s="8">
        <f>IF(B150="","",IFERROR(INDEX(Noeuds_plan!$C$4:$C$200,MATCH(B150,Noeuds_plan!$A$4:$A$200,0)),""))</f>
        <v/>
      </c>
      <c r="AC150" s="8">
        <f>IF(OR(AA150="",Y150=""),"",AA150-Y150)</f>
        <v/>
      </c>
      <c r="AD150" s="8">
        <f>IF(OR(AB150="",Z150=""),"",AB150-Z150)</f>
        <v/>
      </c>
      <c r="AE150" s="4">
        <f>IF(A150="","",IF(OR(V150&gt;1,W150&lt;Inputs!$B$11,W150&gt;Inputs!$B$12,AC150&lt;Inputs!$B$19,AD150&lt;Inputs!$B$19,P150&lt;Inputs!$B$7,P150&gt;Inputs!$B$8),"CHECK","OK"))</f>
        <v/>
      </c>
      <c r="AF150" s="4" t="n"/>
      <c r="AG150" s="4">
        <f>IF(A150="","",(1/Inputs!$B$9)*(PI()*(Inputs!$F$5/1000)^2/4)*((Inputs!$F$5/1000/4)^(2/3))*SQRT(P150))</f>
        <v/>
      </c>
      <c r="AH150" s="4">
        <f>IF(A150="","",(1/Inputs!$B$9)*(PI()*(Inputs!$F$6/1000)^2/4)*((Inputs!$F$6/1000/4)^(2/3))*SQRT(P150))</f>
        <v/>
      </c>
      <c r="AI150" s="4">
        <f>IF(A150="","",(1/Inputs!$B$9)*(PI()*(Inputs!$F$7/1000)^2/4)*((Inputs!$F$7/1000/4)^(2/3))*SQRT(P150))</f>
        <v/>
      </c>
      <c r="AJ150" s="4">
        <f>IF(A150="","",(1/Inputs!$B$9)*(PI()*(Inputs!$F$8/1000)^2/4)*((Inputs!$F$8/1000/4)^(2/3))*SQRT(P150))</f>
        <v/>
      </c>
      <c r="AK150" s="4">
        <f>IF(A150="","",(1/Inputs!$B$9)*(PI()*(Inputs!$F$9/1000)^2/4)*((Inputs!$F$9/1000/4)^(2/3))*SQRT(P150))</f>
        <v/>
      </c>
      <c r="AL150" s="4">
        <f>IF(A150="","",(1/Inputs!$B$9)*(PI()*(Inputs!$F$10/1000)^2/4)*((Inputs!$F$10/1000/4)^(2/3))*SQRT(P150))</f>
        <v/>
      </c>
      <c r="AM150" s="4">
        <f>IF(A150="","",(1/Inputs!$B$9)*(PI()*(Inputs!$F$11/1000)^2/4)*((Inputs!$F$11/1000/4)^(2/3))*SQRT(P150))</f>
        <v/>
      </c>
      <c r="AN150" s="4">
        <f>IF(A150="","",(1/Inputs!$B$9)*(PI()*(Inputs!$F$12/1000)^2/4)*((Inputs!$F$12/1000/4)^(2/3))*SQRT(P150))</f>
        <v/>
      </c>
      <c r="AO150" s="4">
        <f>IF(A150="","",(1/Inputs!$B$9)*(PI()*(Inputs!$F$13/1000)^2/4)*((Inputs!$F$13/1000/4)^(2/3))*SQRT(P150))</f>
        <v/>
      </c>
      <c r="AP150" s="4">
        <f>IF(A150="","",(1/Inputs!$B$9)*(PI()*(Inputs!$F$14/1000)^2/4)*((Inputs!$F$14/1000/4)^(2/3))*SQRT(P150))</f>
        <v/>
      </c>
    </row>
    <row r="151">
      <c r="A151" s="4" t="n"/>
      <c r="B151" s="4" t="n"/>
      <c r="C151" s="4" t="n"/>
      <c r="D151" s="4" t="n"/>
      <c r="E151" s="8" t="n"/>
      <c r="F151" s="8" t="n"/>
      <c r="G151" s="8">
        <f>SUMIFS(CB_plan!$C:$C,CB_plan!$B:$B,$A151)</f>
        <v/>
      </c>
      <c r="H151" s="8">
        <f>IF(F151="",G151,F151)</f>
        <v/>
      </c>
      <c r="I151" s="4" t="n"/>
      <c r="J151" s="8" t="n"/>
      <c r="K151" s="8">
        <f>IF(A151="","",Inputs!$B$13/((IF(J151="",Inputs!$B$18,J151)+Inputs!$B$14)^Inputs!$B$15))</f>
        <v/>
      </c>
      <c r="L151" s="8">
        <f>IF(A151="","",0.00278*IF(I151="",Inputs!$B$17,I151)*H151*K151)</f>
        <v/>
      </c>
      <c r="M151" s="8">
        <f>IF(A151="","",SUMIFS($N$4:$N$203,$D$4:$D$203,$A151))</f>
        <v/>
      </c>
      <c r="N151" s="8">
        <f>IF(A151="","",(L151+M151)*Inputs!$B$16)</f>
        <v/>
      </c>
      <c r="O151" s="8" t="n"/>
      <c r="P151" s="8">
        <f>IF(A151="","",IF(O151="",Inputs!$B$7,O151))</f>
        <v/>
      </c>
      <c r="Q151" s="4">
        <f>IF(A151="","",IF(N151/Inputs!$B$10&lt;=AG151,Inputs!$F$5,IF(N151/Inputs!$B$10&gt;AP151,"OVERSIZE",INDEX(Inputs!$F$5:$F$14,MATCH(N151/Inputs!$B$10,AG151:AP151,1)+1))))</f>
        <v/>
      </c>
      <c r="R151" s="4" t="n"/>
      <c r="S151" s="4">
        <f>IF(A151="","",IF(R151="",Q151,R151))</f>
        <v/>
      </c>
      <c r="T151" s="8">
        <f>IF(OR(S151="",S151="OVERSIZE"),"",S151/1000)</f>
        <v/>
      </c>
      <c r="U151" s="8">
        <f>IF(T151="","",(1/Inputs!$B$9)*(PI()*T151^2/4)*((T151/4)^(2/3))*SQRT(P151))</f>
        <v/>
      </c>
      <c r="V151" s="8">
        <f>IF(OR(U151="",N151=""),"",N151/(U151*Inputs!$B$10))</f>
        <v/>
      </c>
      <c r="W151" s="8">
        <f>IF(OR(T151="",N151=""),"",4*N151/(PI()*T151^2))</f>
        <v/>
      </c>
      <c r="X151" s="8" t="n"/>
      <c r="Y151" s="8">
        <f>IF(A151="","",IF(A151=Inputs!$B$6,Inputs!$B$22,IF(D151="","",IFERROR(INDEX($Z$4:$Z$203,MATCH(D151,$A$4:$A$203,0))+IF(X151="",Inputs!$B$20,X151),""))))</f>
        <v/>
      </c>
      <c r="Z151" s="8">
        <f>IF(OR(Y151="",P151="",E151=""),"",Y151+P151*E151)</f>
        <v/>
      </c>
      <c r="AA151" s="8">
        <f>IF(C151="","",IFERROR(INDEX(Noeuds_plan!$C$4:$C$200,MATCH(C151,Noeuds_plan!$A$4:$A$200,0)),""))</f>
        <v/>
      </c>
      <c r="AB151" s="8">
        <f>IF(B151="","",IFERROR(INDEX(Noeuds_plan!$C$4:$C$200,MATCH(B151,Noeuds_plan!$A$4:$A$200,0)),""))</f>
        <v/>
      </c>
      <c r="AC151" s="8">
        <f>IF(OR(AA151="",Y151=""),"",AA151-Y151)</f>
        <v/>
      </c>
      <c r="AD151" s="8">
        <f>IF(OR(AB151="",Z151=""),"",AB151-Z151)</f>
        <v/>
      </c>
      <c r="AE151" s="4">
        <f>IF(A151="","",IF(OR(V151&gt;1,W151&lt;Inputs!$B$11,W151&gt;Inputs!$B$12,AC151&lt;Inputs!$B$19,AD151&lt;Inputs!$B$19,P151&lt;Inputs!$B$7,P151&gt;Inputs!$B$8),"CHECK","OK"))</f>
        <v/>
      </c>
      <c r="AF151" s="4" t="n"/>
      <c r="AG151" s="4">
        <f>IF(A151="","",(1/Inputs!$B$9)*(PI()*(Inputs!$F$5/1000)^2/4)*((Inputs!$F$5/1000/4)^(2/3))*SQRT(P151))</f>
        <v/>
      </c>
      <c r="AH151" s="4">
        <f>IF(A151="","",(1/Inputs!$B$9)*(PI()*(Inputs!$F$6/1000)^2/4)*((Inputs!$F$6/1000/4)^(2/3))*SQRT(P151))</f>
        <v/>
      </c>
      <c r="AI151" s="4">
        <f>IF(A151="","",(1/Inputs!$B$9)*(PI()*(Inputs!$F$7/1000)^2/4)*((Inputs!$F$7/1000/4)^(2/3))*SQRT(P151))</f>
        <v/>
      </c>
      <c r="AJ151" s="4">
        <f>IF(A151="","",(1/Inputs!$B$9)*(PI()*(Inputs!$F$8/1000)^2/4)*((Inputs!$F$8/1000/4)^(2/3))*SQRT(P151))</f>
        <v/>
      </c>
      <c r="AK151" s="4">
        <f>IF(A151="","",(1/Inputs!$B$9)*(PI()*(Inputs!$F$9/1000)^2/4)*((Inputs!$F$9/1000/4)^(2/3))*SQRT(P151))</f>
        <v/>
      </c>
      <c r="AL151" s="4">
        <f>IF(A151="","",(1/Inputs!$B$9)*(PI()*(Inputs!$F$10/1000)^2/4)*((Inputs!$F$10/1000/4)^(2/3))*SQRT(P151))</f>
        <v/>
      </c>
      <c r="AM151" s="4">
        <f>IF(A151="","",(1/Inputs!$B$9)*(PI()*(Inputs!$F$11/1000)^2/4)*((Inputs!$F$11/1000/4)^(2/3))*SQRT(P151))</f>
        <v/>
      </c>
      <c r="AN151" s="4">
        <f>IF(A151="","",(1/Inputs!$B$9)*(PI()*(Inputs!$F$12/1000)^2/4)*((Inputs!$F$12/1000/4)^(2/3))*SQRT(P151))</f>
        <v/>
      </c>
      <c r="AO151" s="4">
        <f>IF(A151="","",(1/Inputs!$B$9)*(PI()*(Inputs!$F$13/1000)^2/4)*((Inputs!$F$13/1000/4)^(2/3))*SQRT(P151))</f>
        <v/>
      </c>
      <c r="AP151" s="4">
        <f>IF(A151="","",(1/Inputs!$B$9)*(PI()*(Inputs!$F$14/1000)^2/4)*((Inputs!$F$14/1000/4)^(2/3))*SQRT(P151))</f>
        <v/>
      </c>
    </row>
    <row r="152">
      <c r="A152" s="4" t="n"/>
      <c r="B152" s="4" t="n"/>
      <c r="C152" s="4" t="n"/>
      <c r="D152" s="4" t="n"/>
      <c r="E152" s="8" t="n"/>
      <c r="F152" s="8" t="n"/>
      <c r="G152" s="8">
        <f>SUMIFS(CB_plan!$C:$C,CB_plan!$B:$B,$A152)</f>
        <v/>
      </c>
      <c r="H152" s="8">
        <f>IF(F152="",G152,F152)</f>
        <v/>
      </c>
      <c r="I152" s="4" t="n"/>
      <c r="J152" s="8" t="n"/>
      <c r="K152" s="8">
        <f>IF(A152="","",Inputs!$B$13/((IF(J152="",Inputs!$B$18,J152)+Inputs!$B$14)^Inputs!$B$15))</f>
        <v/>
      </c>
      <c r="L152" s="8">
        <f>IF(A152="","",0.00278*IF(I152="",Inputs!$B$17,I152)*H152*K152)</f>
        <v/>
      </c>
      <c r="M152" s="8">
        <f>IF(A152="","",SUMIFS($N$4:$N$203,$D$4:$D$203,$A152))</f>
        <v/>
      </c>
      <c r="N152" s="8">
        <f>IF(A152="","",(L152+M152)*Inputs!$B$16)</f>
        <v/>
      </c>
      <c r="O152" s="8" t="n"/>
      <c r="P152" s="8">
        <f>IF(A152="","",IF(O152="",Inputs!$B$7,O152))</f>
        <v/>
      </c>
      <c r="Q152" s="4">
        <f>IF(A152="","",IF(N152/Inputs!$B$10&lt;=AG152,Inputs!$F$5,IF(N152/Inputs!$B$10&gt;AP152,"OVERSIZE",INDEX(Inputs!$F$5:$F$14,MATCH(N152/Inputs!$B$10,AG152:AP152,1)+1))))</f>
        <v/>
      </c>
      <c r="R152" s="4" t="n"/>
      <c r="S152" s="4">
        <f>IF(A152="","",IF(R152="",Q152,R152))</f>
        <v/>
      </c>
      <c r="T152" s="8">
        <f>IF(OR(S152="",S152="OVERSIZE"),"",S152/1000)</f>
        <v/>
      </c>
      <c r="U152" s="8">
        <f>IF(T152="","",(1/Inputs!$B$9)*(PI()*T152^2/4)*((T152/4)^(2/3))*SQRT(P152))</f>
        <v/>
      </c>
      <c r="V152" s="8">
        <f>IF(OR(U152="",N152=""),"",N152/(U152*Inputs!$B$10))</f>
        <v/>
      </c>
      <c r="W152" s="8">
        <f>IF(OR(T152="",N152=""),"",4*N152/(PI()*T152^2))</f>
        <v/>
      </c>
      <c r="X152" s="8" t="n"/>
      <c r="Y152" s="8">
        <f>IF(A152="","",IF(A152=Inputs!$B$6,Inputs!$B$22,IF(D152="","",IFERROR(INDEX($Z$4:$Z$203,MATCH(D152,$A$4:$A$203,0))+IF(X152="",Inputs!$B$20,X152),""))))</f>
        <v/>
      </c>
      <c r="Z152" s="8">
        <f>IF(OR(Y152="",P152="",E152=""),"",Y152+P152*E152)</f>
        <v/>
      </c>
      <c r="AA152" s="8">
        <f>IF(C152="","",IFERROR(INDEX(Noeuds_plan!$C$4:$C$200,MATCH(C152,Noeuds_plan!$A$4:$A$200,0)),""))</f>
        <v/>
      </c>
      <c r="AB152" s="8">
        <f>IF(B152="","",IFERROR(INDEX(Noeuds_plan!$C$4:$C$200,MATCH(B152,Noeuds_plan!$A$4:$A$200,0)),""))</f>
        <v/>
      </c>
      <c r="AC152" s="8">
        <f>IF(OR(AA152="",Y152=""),"",AA152-Y152)</f>
        <v/>
      </c>
      <c r="AD152" s="8">
        <f>IF(OR(AB152="",Z152=""),"",AB152-Z152)</f>
        <v/>
      </c>
      <c r="AE152" s="4">
        <f>IF(A152="","",IF(OR(V152&gt;1,W152&lt;Inputs!$B$11,W152&gt;Inputs!$B$12,AC152&lt;Inputs!$B$19,AD152&lt;Inputs!$B$19,P152&lt;Inputs!$B$7,P152&gt;Inputs!$B$8),"CHECK","OK"))</f>
        <v/>
      </c>
      <c r="AF152" s="4" t="n"/>
      <c r="AG152" s="4">
        <f>IF(A152="","",(1/Inputs!$B$9)*(PI()*(Inputs!$F$5/1000)^2/4)*((Inputs!$F$5/1000/4)^(2/3))*SQRT(P152))</f>
        <v/>
      </c>
      <c r="AH152" s="4">
        <f>IF(A152="","",(1/Inputs!$B$9)*(PI()*(Inputs!$F$6/1000)^2/4)*((Inputs!$F$6/1000/4)^(2/3))*SQRT(P152))</f>
        <v/>
      </c>
      <c r="AI152" s="4">
        <f>IF(A152="","",(1/Inputs!$B$9)*(PI()*(Inputs!$F$7/1000)^2/4)*((Inputs!$F$7/1000/4)^(2/3))*SQRT(P152))</f>
        <v/>
      </c>
      <c r="AJ152" s="4">
        <f>IF(A152="","",(1/Inputs!$B$9)*(PI()*(Inputs!$F$8/1000)^2/4)*((Inputs!$F$8/1000/4)^(2/3))*SQRT(P152))</f>
        <v/>
      </c>
      <c r="AK152" s="4">
        <f>IF(A152="","",(1/Inputs!$B$9)*(PI()*(Inputs!$F$9/1000)^2/4)*((Inputs!$F$9/1000/4)^(2/3))*SQRT(P152))</f>
        <v/>
      </c>
      <c r="AL152" s="4">
        <f>IF(A152="","",(1/Inputs!$B$9)*(PI()*(Inputs!$F$10/1000)^2/4)*((Inputs!$F$10/1000/4)^(2/3))*SQRT(P152))</f>
        <v/>
      </c>
      <c r="AM152" s="4">
        <f>IF(A152="","",(1/Inputs!$B$9)*(PI()*(Inputs!$F$11/1000)^2/4)*((Inputs!$F$11/1000/4)^(2/3))*SQRT(P152))</f>
        <v/>
      </c>
      <c r="AN152" s="4">
        <f>IF(A152="","",(1/Inputs!$B$9)*(PI()*(Inputs!$F$12/1000)^2/4)*((Inputs!$F$12/1000/4)^(2/3))*SQRT(P152))</f>
        <v/>
      </c>
      <c r="AO152" s="4">
        <f>IF(A152="","",(1/Inputs!$B$9)*(PI()*(Inputs!$F$13/1000)^2/4)*((Inputs!$F$13/1000/4)^(2/3))*SQRT(P152))</f>
        <v/>
      </c>
      <c r="AP152" s="4">
        <f>IF(A152="","",(1/Inputs!$B$9)*(PI()*(Inputs!$F$14/1000)^2/4)*((Inputs!$F$14/1000/4)^(2/3))*SQRT(P152))</f>
        <v/>
      </c>
    </row>
    <row r="153">
      <c r="A153" s="4" t="n"/>
      <c r="B153" s="4" t="n"/>
      <c r="C153" s="4" t="n"/>
      <c r="D153" s="4" t="n"/>
      <c r="E153" s="8" t="n"/>
      <c r="F153" s="8" t="n"/>
      <c r="G153" s="8">
        <f>SUMIFS(CB_plan!$C:$C,CB_plan!$B:$B,$A153)</f>
        <v/>
      </c>
      <c r="H153" s="8">
        <f>IF(F153="",G153,F153)</f>
        <v/>
      </c>
      <c r="I153" s="4" t="n"/>
      <c r="J153" s="8" t="n"/>
      <c r="K153" s="8">
        <f>IF(A153="","",Inputs!$B$13/((IF(J153="",Inputs!$B$18,J153)+Inputs!$B$14)^Inputs!$B$15))</f>
        <v/>
      </c>
      <c r="L153" s="8">
        <f>IF(A153="","",0.00278*IF(I153="",Inputs!$B$17,I153)*H153*K153)</f>
        <v/>
      </c>
      <c r="M153" s="8">
        <f>IF(A153="","",SUMIFS($N$4:$N$203,$D$4:$D$203,$A153))</f>
        <v/>
      </c>
      <c r="N153" s="8">
        <f>IF(A153="","",(L153+M153)*Inputs!$B$16)</f>
        <v/>
      </c>
      <c r="O153" s="8" t="n"/>
      <c r="P153" s="8">
        <f>IF(A153="","",IF(O153="",Inputs!$B$7,O153))</f>
        <v/>
      </c>
      <c r="Q153" s="4">
        <f>IF(A153="","",IF(N153/Inputs!$B$10&lt;=AG153,Inputs!$F$5,IF(N153/Inputs!$B$10&gt;AP153,"OVERSIZE",INDEX(Inputs!$F$5:$F$14,MATCH(N153/Inputs!$B$10,AG153:AP153,1)+1))))</f>
        <v/>
      </c>
      <c r="R153" s="4" t="n"/>
      <c r="S153" s="4">
        <f>IF(A153="","",IF(R153="",Q153,R153))</f>
        <v/>
      </c>
      <c r="T153" s="8">
        <f>IF(OR(S153="",S153="OVERSIZE"),"",S153/1000)</f>
        <v/>
      </c>
      <c r="U153" s="8">
        <f>IF(T153="","",(1/Inputs!$B$9)*(PI()*T153^2/4)*((T153/4)^(2/3))*SQRT(P153))</f>
        <v/>
      </c>
      <c r="V153" s="8">
        <f>IF(OR(U153="",N153=""),"",N153/(U153*Inputs!$B$10))</f>
        <v/>
      </c>
      <c r="W153" s="8">
        <f>IF(OR(T153="",N153=""),"",4*N153/(PI()*T153^2))</f>
        <v/>
      </c>
      <c r="X153" s="8" t="n"/>
      <c r="Y153" s="8">
        <f>IF(A153="","",IF(A153=Inputs!$B$6,Inputs!$B$22,IF(D153="","",IFERROR(INDEX($Z$4:$Z$203,MATCH(D153,$A$4:$A$203,0))+IF(X153="",Inputs!$B$20,X153),""))))</f>
        <v/>
      </c>
      <c r="Z153" s="8">
        <f>IF(OR(Y153="",P153="",E153=""),"",Y153+P153*E153)</f>
        <v/>
      </c>
      <c r="AA153" s="8">
        <f>IF(C153="","",IFERROR(INDEX(Noeuds_plan!$C$4:$C$200,MATCH(C153,Noeuds_plan!$A$4:$A$200,0)),""))</f>
        <v/>
      </c>
      <c r="AB153" s="8">
        <f>IF(B153="","",IFERROR(INDEX(Noeuds_plan!$C$4:$C$200,MATCH(B153,Noeuds_plan!$A$4:$A$200,0)),""))</f>
        <v/>
      </c>
      <c r="AC153" s="8">
        <f>IF(OR(AA153="",Y153=""),"",AA153-Y153)</f>
        <v/>
      </c>
      <c r="AD153" s="8">
        <f>IF(OR(AB153="",Z153=""),"",AB153-Z153)</f>
        <v/>
      </c>
      <c r="AE153" s="4">
        <f>IF(A153="","",IF(OR(V153&gt;1,W153&lt;Inputs!$B$11,W153&gt;Inputs!$B$12,AC153&lt;Inputs!$B$19,AD153&lt;Inputs!$B$19,P153&lt;Inputs!$B$7,P153&gt;Inputs!$B$8),"CHECK","OK"))</f>
        <v/>
      </c>
      <c r="AF153" s="4" t="n"/>
      <c r="AG153" s="4">
        <f>IF(A153="","",(1/Inputs!$B$9)*(PI()*(Inputs!$F$5/1000)^2/4)*((Inputs!$F$5/1000/4)^(2/3))*SQRT(P153))</f>
        <v/>
      </c>
      <c r="AH153" s="4">
        <f>IF(A153="","",(1/Inputs!$B$9)*(PI()*(Inputs!$F$6/1000)^2/4)*((Inputs!$F$6/1000/4)^(2/3))*SQRT(P153))</f>
        <v/>
      </c>
      <c r="AI153" s="4">
        <f>IF(A153="","",(1/Inputs!$B$9)*(PI()*(Inputs!$F$7/1000)^2/4)*((Inputs!$F$7/1000/4)^(2/3))*SQRT(P153))</f>
        <v/>
      </c>
      <c r="AJ153" s="4">
        <f>IF(A153="","",(1/Inputs!$B$9)*(PI()*(Inputs!$F$8/1000)^2/4)*((Inputs!$F$8/1000/4)^(2/3))*SQRT(P153))</f>
        <v/>
      </c>
      <c r="AK153" s="4">
        <f>IF(A153="","",(1/Inputs!$B$9)*(PI()*(Inputs!$F$9/1000)^2/4)*((Inputs!$F$9/1000/4)^(2/3))*SQRT(P153))</f>
        <v/>
      </c>
      <c r="AL153" s="4">
        <f>IF(A153="","",(1/Inputs!$B$9)*(PI()*(Inputs!$F$10/1000)^2/4)*((Inputs!$F$10/1000/4)^(2/3))*SQRT(P153))</f>
        <v/>
      </c>
      <c r="AM153" s="4">
        <f>IF(A153="","",(1/Inputs!$B$9)*(PI()*(Inputs!$F$11/1000)^2/4)*((Inputs!$F$11/1000/4)^(2/3))*SQRT(P153))</f>
        <v/>
      </c>
      <c r="AN153" s="4">
        <f>IF(A153="","",(1/Inputs!$B$9)*(PI()*(Inputs!$F$12/1000)^2/4)*((Inputs!$F$12/1000/4)^(2/3))*SQRT(P153))</f>
        <v/>
      </c>
      <c r="AO153" s="4">
        <f>IF(A153="","",(1/Inputs!$B$9)*(PI()*(Inputs!$F$13/1000)^2/4)*((Inputs!$F$13/1000/4)^(2/3))*SQRT(P153))</f>
        <v/>
      </c>
      <c r="AP153" s="4">
        <f>IF(A153="","",(1/Inputs!$B$9)*(PI()*(Inputs!$F$14/1000)^2/4)*((Inputs!$F$14/1000/4)^(2/3))*SQRT(P153))</f>
        <v/>
      </c>
    </row>
    <row r="154">
      <c r="A154" s="4" t="n"/>
      <c r="B154" s="4" t="n"/>
      <c r="C154" s="4" t="n"/>
      <c r="D154" s="4" t="n"/>
      <c r="E154" s="8" t="n"/>
      <c r="F154" s="8" t="n"/>
      <c r="G154" s="8">
        <f>SUMIFS(CB_plan!$C:$C,CB_plan!$B:$B,$A154)</f>
        <v/>
      </c>
      <c r="H154" s="8">
        <f>IF(F154="",G154,F154)</f>
        <v/>
      </c>
      <c r="I154" s="4" t="n"/>
      <c r="J154" s="8" t="n"/>
      <c r="K154" s="8">
        <f>IF(A154="","",Inputs!$B$13/((IF(J154="",Inputs!$B$18,J154)+Inputs!$B$14)^Inputs!$B$15))</f>
        <v/>
      </c>
      <c r="L154" s="8">
        <f>IF(A154="","",0.00278*IF(I154="",Inputs!$B$17,I154)*H154*K154)</f>
        <v/>
      </c>
      <c r="M154" s="8">
        <f>IF(A154="","",SUMIFS($N$4:$N$203,$D$4:$D$203,$A154))</f>
        <v/>
      </c>
      <c r="N154" s="8">
        <f>IF(A154="","",(L154+M154)*Inputs!$B$16)</f>
        <v/>
      </c>
      <c r="O154" s="8" t="n"/>
      <c r="P154" s="8">
        <f>IF(A154="","",IF(O154="",Inputs!$B$7,O154))</f>
        <v/>
      </c>
      <c r="Q154" s="4">
        <f>IF(A154="","",IF(N154/Inputs!$B$10&lt;=AG154,Inputs!$F$5,IF(N154/Inputs!$B$10&gt;AP154,"OVERSIZE",INDEX(Inputs!$F$5:$F$14,MATCH(N154/Inputs!$B$10,AG154:AP154,1)+1))))</f>
        <v/>
      </c>
      <c r="R154" s="4" t="n"/>
      <c r="S154" s="4">
        <f>IF(A154="","",IF(R154="",Q154,R154))</f>
        <v/>
      </c>
      <c r="T154" s="8">
        <f>IF(OR(S154="",S154="OVERSIZE"),"",S154/1000)</f>
        <v/>
      </c>
      <c r="U154" s="8">
        <f>IF(T154="","",(1/Inputs!$B$9)*(PI()*T154^2/4)*((T154/4)^(2/3))*SQRT(P154))</f>
        <v/>
      </c>
      <c r="V154" s="8">
        <f>IF(OR(U154="",N154=""),"",N154/(U154*Inputs!$B$10))</f>
        <v/>
      </c>
      <c r="W154" s="8">
        <f>IF(OR(T154="",N154=""),"",4*N154/(PI()*T154^2))</f>
        <v/>
      </c>
      <c r="X154" s="8" t="n"/>
      <c r="Y154" s="8">
        <f>IF(A154="","",IF(A154=Inputs!$B$6,Inputs!$B$22,IF(D154="","",IFERROR(INDEX($Z$4:$Z$203,MATCH(D154,$A$4:$A$203,0))+IF(X154="",Inputs!$B$20,X154),""))))</f>
        <v/>
      </c>
      <c r="Z154" s="8">
        <f>IF(OR(Y154="",P154="",E154=""),"",Y154+P154*E154)</f>
        <v/>
      </c>
      <c r="AA154" s="8">
        <f>IF(C154="","",IFERROR(INDEX(Noeuds_plan!$C$4:$C$200,MATCH(C154,Noeuds_plan!$A$4:$A$200,0)),""))</f>
        <v/>
      </c>
      <c r="AB154" s="8">
        <f>IF(B154="","",IFERROR(INDEX(Noeuds_plan!$C$4:$C$200,MATCH(B154,Noeuds_plan!$A$4:$A$200,0)),""))</f>
        <v/>
      </c>
      <c r="AC154" s="8">
        <f>IF(OR(AA154="",Y154=""),"",AA154-Y154)</f>
        <v/>
      </c>
      <c r="AD154" s="8">
        <f>IF(OR(AB154="",Z154=""),"",AB154-Z154)</f>
        <v/>
      </c>
      <c r="AE154" s="4">
        <f>IF(A154="","",IF(OR(V154&gt;1,W154&lt;Inputs!$B$11,W154&gt;Inputs!$B$12,AC154&lt;Inputs!$B$19,AD154&lt;Inputs!$B$19,P154&lt;Inputs!$B$7,P154&gt;Inputs!$B$8),"CHECK","OK"))</f>
        <v/>
      </c>
      <c r="AF154" s="4" t="n"/>
      <c r="AG154" s="4">
        <f>IF(A154="","",(1/Inputs!$B$9)*(PI()*(Inputs!$F$5/1000)^2/4)*((Inputs!$F$5/1000/4)^(2/3))*SQRT(P154))</f>
        <v/>
      </c>
      <c r="AH154" s="4">
        <f>IF(A154="","",(1/Inputs!$B$9)*(PI()*(Inputs!$F$6/1000)^2/4)*((Inputs!$F$6/1000/4)^(2/3))*SQRT(P154))</f>
        <v/>
      </c>
      <c r="AI154" s="4">
        <f>IF(A154="","",(1/Inputs!$B$9)*(PI()*(Inputs!$F$7/1000)^2/4)*((Inputs!$F$7/1000/4)^(2/3))*SQRT(P154))</f>
        <v/>
      </c>
      <c r="AJ154" s="4">
        <f>IF(A154="","",(1/Inputs!$B$9)*(PI()*(Inputs!$F$8/1000)^2/4)*((Inputs!$F$8/1000/4)^(2/3))*SQRT(P154))</f>
        <v/>
      </c>
      <c r="AK154" s="4">
        <f>IF(A154="","",(1/Inputs!$B$9)*(PI()*(Inputs!$F$9/1000)^2/4)*((Inputs!$F$9/1000/4)^(2/3))*SQRT(P154))</f>
        <v/>
      </c>
      <c r="AL154" s="4">
        <f>IF(A154="","",(1/Inputs!$B$9)*(PI()*(Inputs!$F$10/1000)^2/4)*((Inputs!$F$10/1000/4)^(2/3))*SQRT(P154))</f>
        <v/>
      </c>
      <c r="AM154" s="4">
        <f>IF(A154="","",(1/Inputs!$B$9)*(PI()*(Inputs!$F$11/1000)^2/4)*((Inputs!$F$11/1000/4)^(2/3))*SQRT(P154))</f>
        <v/>
      </c>
      <c r="AN154" s="4">
        <f>IF(A154="","",(1/Inputs!$B$9)*(PI()*(Inputs!$F$12/1000)^2/4)*((Inputs!$F$12/1000/4)^(2/3))*SQRT(P154))</f>
        <v/>
      </c>
      <c r="AO154" s="4">
        <f>IF(A154="","",(1/Inputs!$B$9)*(PI()*(Inputs!$F$13/1000)^2/4)*((Inputs!$F$13/1000/4)^(2/3))*SQRT(P154))</f>
        <v/>
      </c>
      <c r="AP154" s="4">
        <f>IF(A154="","",(1/Inputs!$B$9)*(PI()*(Inputs!$F$14/1000)^2/4)*((Inputs!$F$14/1000/4)^(2/3))*SQRT(P154))</f>
        <v/>
      </c>
    </row>
    <row r="155">
      <c r="A155" s="4" t="n"/>
      <c r="B155" s="4" t="n"/>
      <c r="C155" s="4" t="n"/>
      <c r="D155" s="4" t="n"/>
      <c r="E155" s="8" t="n"/>
      <c r="F155" s="8" t="n"/>
      <c r="G155" s="8">
        <f>SUMIFS(CB_plan!$C:$C,CB_plan!$B:$B,$A155)</f>
        <v/>
      </c>
      <c r="H155" s="8">
        <f>IF(F155="",G155,F155)</f>
        <v/>
      </c>
      <c r="I155" s="4" t="n"/>
      <c r="J155" s="8" t="n"/>
      <c r="K155" s="8">
        <f>IF(A155="","",Inputs!$B$13/((IF(J155="",Inputs!$B$18,J155)+Inputs!$B$14)^Inputs!$B$15))</f>
        <v/>
      </c>
      <c r="L155" s="8">
        <f>IF(A155="","",0.00278*IF(I155="",Inputs!$B$17,I155)*H155*K155)</f>
        <v/>
      </c>
      <c r="M155" s="8">
        <f>IF(A155="","",SUMIFS($N$4:$N$203,$D$4:$D$203,$A155))</f>
        <v/>
      </c>
      <c r="N155" s="8">
        <f>IF(A155="","",(L155+M155)*Inputs!$B$16)</f>
        <v/>
      </c>
      <c r="O155" s="8" t="n"/>
      <c r="P155" s="8">
        <f>IF(A155="","",IF(O155="",Inputs!$B$7,O155))</f>
        <v/>
      </c>
      <c r="Q155" s="4">
        <f>IF(A155="","",IF(N155/Inputs!$B$10&lt;=AG155,Inputs!$F$5,IF(N155/Inputs!$B$10&gt;AP155,"OVERSIZE",INDEX(Inputs!$F$5:$F$14,MATCH(N155/Inputs!$B$10,AG155:AP155,1)+1))))</f>
        <v/>
      </c>
      <c r="R155" s="4" t="n"/>
      <c r="S155" s="4">
        <f>IF(A155="","",IF(R155="",Q155,R155))</f>
        <v/>
      </c>
      <c r="T155" s="8">
        <f>IF(OR(S155="",S155="OVERSIZE"),"",S155/1000)</f>
        <v/>
      </c>
      <c r="U155" s="8">
        <f>IF(T155="","",(1/Inputs!$B$9)*(PI()*T155^2/4)*((T155/4)^(2/3))*SQRT(P155))</f>
        <v/>
      </c>
      <c r="V155" s="8">
        <f>IF(OR(U155="",N155=""),"",N155/(U155*Inputs!$B$10))</f>
        <v/>
      </c>
      <c r="W155" s="8">
        <f>IF(OR(T155="",N155=""),"",4*N155/(PI()*T155^2))</f>
        <v/>
      </c>
      <c r="X155" s="8" t="n"/>
      <c r="Y155" s="8">
        <f>IF(A155="","",IF(A155=Inputs!$B$6,Inputs!$B$22,IF(D155="","",IFERROR(INDEX($Z$4:$Z$203,MATCH(D155,$A$4:$A$203,0))+IF(X155="",Inputs!$B$20,X155),""))))</f>
        <v/>
      </c>
      <c r="Z155" s="8">
        <f>IF(OR(Y155="",P155="",E155=""),"",Y155+P155*E155)</f>
        <v/>
      </c>
      <c r="AA155" s="8">
        <f>IF(C155="","",IFERROR(INDEX(Noeuds_plan!$C$4:$C$200,MATCH(C155,Noeuds_plan!$A$4:$A$200,0)),""))</f>
        <v/>
      </c>
      <c r="AB155" s="8">
        <f>IF(B155="","",IFERROR(INDEX(Noeuds_plan!$C$4:$C$200,MATCH(B155,Noeuds_plan!$A$4:$A$200,0)),""))</f>
        <v/>
      </c>
      <c r="AC155" s="8">
        <f>IF(OR(AA155="",Y155=""),"",AA155-Y155)</f>
        <v/>
      </c>
      <c r="AD155" s="8">
        <f>IF(OR(AB155="",Z155=""),"",AB155-Z155)</f>
        <v/>
      </c>
      <c r="AE155" s="4">
        <f>IF(A155="","",IF(OR(V155&gt;1,W155&lt;Inputs!$B$11,W155&gt;Inputs!$B$12,AC155&lt;Inputs!$B$19,AD155&lt;Inputs!$B$19,P155&lt;Inputs!$B$7,P155&gt;Inputs!$B$8),"CHECK","OK"))</f>
        <v/>
      </c>
      <c r="AF155" s="4" t="n"/>
      <c r="AG155" s="4">
        <f>IF(A155="","",(1/Inputs!$B$9)*(PI()*(Inputs!$F$5/1000)^2/4)*((Inputs!$F$5/1000/4)^(2/3))*SQRT(P155))</f>
        <v/>
      </c>
      <c r="AH155" s="4">
        <f>IF(A155="","",(1/Inputs!$B$9)*(PI()*(Inputs!$F$6/1000)^2/4)*((Inputs!$F$6/1000/4)^(2/3))*SQRT(P155))</f>
        <v/>
      </c>
      <c r="AI155" s="4">
        <f>IF(A155="","",(1/Inputs!$B$9)*(PI()*(Inputs!$F$7/1000)^2/4)*((Inputs!$F$7/1000/4)^(2/3))*SQRT(P155))</f>
        <v/>
      </c>
      <c r="AJ155" s="4">
        <f>IF(A155="","",(1/Inputs!$B$9)*(PI()*(Inputs!$F$8/1000)^2/4)*((Inputs!$F$8/1000/4)^(2/3))*SQRT(P155))</f>
        <v/>
      </c>
      <c r="AK155" s="4">
        <f>IF(A155="","",(1/Inputs!$B$9)*(PI()*(Inputs!$F$9/1000)^2/4)*((Inputs!$F$9/1000/4)^(2/3))*SQRT(P155))</f>
        <v/>
      </c>
      <c r="AL155" s="4">
        <f>IF(A155="","",(1/Inputs!$B$9)*(PI()*(Inputs!$F$10/1000)^2/4)*((Inputs!$F$10/1000/4)^(2/3))*SQRT(P155))</f>
        <v/>
      </c>
      <c r="AM155" s="4">
        <f>IF(A155="","",(1/Inputs!$B$9)*(PI()*(Inputs!$F$11/1000)^2/4)*((Inputs!$F$11/1000/4)^(2/3))*SQRT(P155))</f>
        <v/>
      </c>
      <c r="AN155" s="4">
        <f>IF(A155="","",(1/Inputs!$B$9)*(PI()*(Inputs!$F$12/1000)^2/4)*((Inputs!$F$12/1000/4)^(2/3))*SQRT(P155))</f>
        <v/>
      </c>
      <c r="AO155" s="4">
        <f>IF(A155="","",(1/Inputs!$B$9)*(PI()*(Inputs!$F$13/1000)^2/4)*((Inputs!$F$13/1000/4)^(2/3))*SQRT(P155))</f>
        <v/>
      </c>
      <c r="AP155" s="4">
        <f>IF(A155="","",(1/Inputs!$B$9)*(PI()*(Inputs!$F$14/1000)^2/4)*((Inputs!$F$14/1000/4)^(2/3))*SQRT(P155))</f>
        <v/>
      </c>
    </row>
    <row r="156">
      <c r="A156" s="4" t="n"/>
      <c r="B156" s="4" t="n"/>
      <c r="C156" s="4" t="n"/>
      <c r="D156" s="4" t="n"/>
      <c r="E156" s="8" t="n"/>
      <c r="F156" s="8" t="n"/>
      <c r="G156" s="8">
        <f>SUMIFS(CB_plan!$C:$C,CB_plan!$B:$B,$A156)</f>
        <v/>
      </c>
      <c r="H156" s="8">
        <f>IF(F156="",G156,F156)</f>
        <v/>
      </c>
      <c r="I156" s="4" t="n"/>
      <c r="J156" s="8" t="n"/>
      <c r="K156" s="8">
        <f>IF(A156="","",Inputs!$B$13/((IF(J156="",Inputs!$B$18,J156)+Inputs!$B$14)^Inputs!$B$15))</f>
        <v/>
      </c>
      <c r="L156" s="8">
        <f>IF(A156="","",0.00278*IF(I156="",Inputs!$B$17,I156)*H156*K156)</f>
        <v/>
      </c>
      <c r="M156" s="8">
        <f>IF(A156="","",SUMIFS($N$4:$N$203,$D$4:$D$203,$A156))</f>
        <v/>
      </c>
      <c r="N156" s="8">
        <f>IF(A156="","",(L156+M156)*Inputs!$B$16)</f>
        <v/>
      </c>
      <c r="O156" s="8" t="n"/>
      <c r="P156" s="8">
        <f>IF(A156="","",IF(O156="",Inputs!$B$7,O156))</f>
        <v/>
      </c>
      <c r="Q156" s="4">
        <f>IF(A156="","",IF(N156/Inputs!$B$10&lt;=AG156,Inputs!$F$5,IF(N156/Inputs!$B$10&gt;AP156,"OVERSIZE",INDEX(Inputs!$F$5:$F$14,MATCH(N156/Inputs!$B$10,AG156:AP156,1)+1))))</f>
        <v/>
      </c>
      <c r="R156" s="4" t="n"/>
      <c r="S156" s="4">
        <f>IF(A156="","",IF(R156="",Q156,R156))</f>
        <v/>
      </c>
      <c r="T156" s="8">
        <f>IF(OR(S156="",S156="OVERSIZE"),"",S156/1000)</f>
        <v/>
      </c>
      <c r="U156" s="8">
        <f>IF(T156="","",(1/Inputs!$B$9)*(PI()*T156^2/4)*((T156/4)^(2/3))*SQRT(P156))</f>
        <v/>
      </c>
      <c r="V156" s="8">
        <f>IF(OR(U156="",N156=""),"",N156/(U156*Inputs!$B$10))</f>
        <v/>
      </c>
      <c r="W156" s="8">
        <f>IF(OR(T156="",N156=""),"",4*N156/(PI()*T156^2))</f>
        <v/>
      </c>
      <c r="X156" s="8" t="n"/>
      <c r="Y156" s="8">
        <f>IF(A156="","",IF(A156=Inputs!$B$6,Inputs!$B$22,IF(D156="","",IFERROR(INDEX($Z$4:$Z$203,MATCH(D156,$A$4:$A$203,0))+IF(X156="",Inputs!$B$20,X156),""))))</f>
        <v/>
      </c>
      <c r="Z156" s="8">
        <f>IF(OR(Y156="",P156="",E156=""),"",Y156+P156*E156)</f>
        <v/>
      </c>
      <c r="AA156" s="8">
        <f>IF(C156="","",IFERROR(INDEX(Noeuds_plan!$C$4:$C$200,MATCH(C156,Noeuds_plan!$A$4:$A$200,0)),""))</f>
        <v/>
      </c>
      <c r="AB156" s="8">
        <f>IF(B156="","",IFERROR(INDEX(Noeuds_plan!$C$4:$C$200,MATCH(B156,Noeuds_plan!$A$4:$A$200,0)),""))</f>
        <v/>
      </c>
      <c r="AC156" s="8">
        <f>IF(OR(AA156="",Y156=""),"",AA156-Y156)</f>
        <v/>
      </c>
      <c r="AD156" s="8">
        <f>IF(OR(AB156="",Z156=""),"",AB156-Z156)</f>
        <v/>
      </c>
      <c r="AE156" s="4">
        <f>IF(A156="","",IF(OR(V156&gt;1,W156&lt;Inputs!$B$11,W156&gt;Inputs!$B$12,AC156&lt;Inputs!$B$19,AD156&lt;Inputs!$B$19,P156&lt;Inputs!$B$7,P156&gt;Inputs!$B$8),"CHECK","OK"))</f>
        <v/>
      </c>
      <c r="AF156" s="4" t="n"/>
      <c r="AG156" s="4">
        <f>IF(A156="","",(1/Inputs!$B$9)*(PI()*(Inputs!$F$5/1000)^2/4)*((Inputs!$F$5/1000/4)^(2/3))*SQRT(P156))</f>
        <v/>
      </c>
      <c r="AH156" s="4">
        <f>IF(A156="","",(1/Inputs!$B$9)*(PI()*(Inputs!$F$6/1000)^2/4)*((Inputs!$F$6/1000/4)^(2/3))*SQRT(P156))</f>
        <v/>
      </c>
      <c r="AI156" s="4">
        <f>IF(A156="","",(1/Inputs!$B$9)*(PI()*(Inputs!$F$7/1000)^2/4)*((Inputs!$F$7/1000/4)^(2/3))*SQRT(P156))</f>
        <v/>
      </c>
      <c r="AJ156" s="4">
        <f>IF(A156="","",(1/Inputs!$B$9)*(PI()*(Inputs!$F$8/1000)^2/4)*((Inputs!$F$8/1000/4)^(2/3))*SQRT(P156))</f>
        <v/>
      </c>
      <c r="AK156" s="4">
        <f>IF(A156="","",(1/Inputs!$B$9)*(PI()*(Inputs!$F$9/1000)^2/4)*((Inputs!$F$9/1000/4)^(2/3))*SQRT(P156))</f>
        <v/>
      </c>
      <c r="AL156" s="4">
        <f>IF(A156="","",(1/Inputs!$B$9)*(PI()*(Inputs!$F$10/1000)^2/4)*((Inputs!$F$10/1000/4)^(2/3))*SQRT(P156))</f>
        <v/>
      </c>
      <c r="AM156" s="4">
        <f>IF(A156="","",(1/Inputs!$B$9)*(PI()*(Inputs!$F$11/1000)^2/4)*((Inputs!$F$11/1000/4)^(2/3))*SQRT(P156))</f>
        <v/>
      </c>
      <c r="AN156" s="4">
        <f>IF(A156="","",(1/Inputs!$B$9)*(PI()*(Inputs!$F$12/1000)^2/4)*((Inputs!$F$12/1000/4)^(2/3))*SQRT(P156))</f>
        <v/>
      </c>
      <c r="AO156" s="4">
        <f>IF(A156="","",(1/Inputs!$B$9)*(PI()*(Inputs!$F$13/1000)^2/4)*((Inputs!$F$13/1000/4)^(2/3))*SQRT(P156))</f>
        <v/>
      </c>
      <c r="AP156" s="4">
        <f>IF(A156="","",(1/Inputs!$B$9)*(PI()*(Inputs!$F$14/1000)^2/4)*((Inputs!$F$14/1000/4)^(2/3))*SQRT(P156))</f>
        <v/>
      </c>
    </row>
    <row r="157">
      <c r="A157" s="4" t="n"/>
      <c r="B157" s="4" t="n"/>
      <c r="C157" s="4" t="n"/>
      <c r="D157" s="4" t="n"/>
      <c r="E157" s="8" t="n"/>
      <c r="F157" s="8" t="n"/>
      <c r="G157" s="8">
        <f>SUMIFS(CB_plan!$C:$C,CB_plan!$B:$B,$A157)</f>
        <v/>
      </c>
      <c r="H157" s="8">
        <f>IF(F157="",G157,F157)</f>
        <v/>
      </c>
      <c r="I157" s="4" t="n"/>
      <c r="J157" s="8" t="n"/>
      <c r="K157" s="8">
        <f>IF(A157="","",Inputs!$B$13/((IF(J157="",Inputs!$B$18,J157)+Inputs!$B$14)^Inputs!$B$15))</f>
        <v/>
      </c>
      <c r="L157" s="8">
        <f>IF(A157="","",0.00278*IF(I157="",Inputs!$B$17,I157)*H157*K157)</f>
        <v/>
      </c>
      <c r="M157" s="8">
        <f>IF(A157="","",SUMIFS($N$4:$N$203,$D$4:$D$203,$A157))</f>
        <v/>
      </c>
      <c r="N157" s="8">
        <f>IF(A157="","",(L157+M157)*Inputs!$B$16)</f>
        <v/>
      </c>
      <c r="O157" s="8" t="n"/>
      <c r="P157" s="8">
        <f>IF(A157="","",IF(O157="",Inputs!$B$7,O157))</f>
        <v/>
      </c>
      <c r="Q157" s="4">
        <f>IF(A157="","",IF(N157/Inputs!$B$10&lt;=AG157,Inputs!$F$5,IF(N157/Inputs!$B$10&gt;AP157,"OVERSIZE",INDEX(Inputs!$F$5:$F$14,MATCH(N157/Inputs!$B$10,AG157:AP157,1)+1))))</f>
        <v/>
      </c>
      <c r="R157" s="4" t="n"/>
      <c r="S157" s="4">
        <f>IF(A157="","",IF(R157="",Q157,R157))</f>
        <v/>
      </c>
      <c r="T157" s="8">
        <f>IF(OR(S157="",S157="OVERSIZE"),"",S157/1000)</f>
        <v/>
      </c>
      <c r="U157" s="8">
        <f>IF(T157="","",(1/Inputs!$B$9)*(PI()*T157^2/4)*((T157/4)^(2/3))*SQRT(P157))</f>
        <v/>
      </c>
      <c r="V157" s="8">
        <f>IF(OR(U157="",N157=""),"",N157/(U157*Inputs!$B$10))</f>
        <v/>
      </c>
      <c r="W157" s="8">
        <f>IF(OR(T157="",N157=""),"",4*N157/(PI()*T157^2))</f>
        <v/>
      </c>
      <c r="X157" s="8" t="n"/>
      <c r="Y157" s="8">
        <f>IF(A157="","",IF(A157=Inputs!$B$6,Inputs!$B$22,IF(D157="","",IFERROR(INDEX($Z$4:$Z$203,MATCH(D157,$A$4:$A$203,0))+IF(X157="",Inputs!$B$20,X157),""))))</f>
        <v/>
      </c>
      <c r="Z157" s="8">
        <f>IF(OR(Y157="",P157="",E157=""),"",Y157+P157*E157)</f>
        <v/>
      </c>
      <c r="AA157" s="8">
        <f>IF(C157="","",IFERROR(INDEX(Noeuds_plan!$C$4:$C$200,MATCH(C157,Noeuds_plan!$A$4:$A$200,0)),""))</f>
        <v/>
      </c>
      <c r="AB157" s="8">
        <f>IF(B157="","",IFERROR(INDEX(Noeuds_plan!$C$4:$C$200,MATCH(B157,Noeuds_plan!$A$4:$A$200,0)),""))</f>
        <v/>
      </c>
      <c r="AC157" s="8">
        <f>IF(OR(AA157="",Y157=""),"",AA157-Y157)</f>
        <v/>
      </c>
      <c r="AD157" s="8">
        <f>IF(OR(AB157="",Z157=""),"",AB157-Z157)</f>
        <v/>
      </c>
      <c r="AE157" s="4">
        <f>IF(A157="","",IF(OR(V157&gt;1,W157&lt;Inputs!$B$11,W157&gt;Inputs!$B$12,AC157&lt;Inputs!$B$19,AD157&lt;Inputs!$B$19,P157&lt;Inputs!$B$7,P157&gt;Inputs!$B$8),"CHECK","OK"))</f>
        <v/>
      </c>
      <c r="AF157" s="4" t="n"/>
      <c r="AG157" s="4">
        <f>IF(A157="","",(1/Inputs!$B$9)*(PI()*(Inputs!$F$5/1000)^2/4)*((Inputs!$F$5/1000/4)^(2/3))*SQRT(P157))</f>
        <v/>
      </c>
      <c r="AH157" s="4">
        <f>IF(A157="","",(1/Inputs!$B$9)*(PI()*(Inputs!$F$6/1000)^2/4)*((Inputs!$F$6/1000/4)^(2/3))*SQRT(P157))</f>
        <v/>
      </c>
      <c r="AI157" s="4">
        <f>IF(A157="","",(1/Inputs!$B$9)*(PI()*(Inputs!$F$7/1000)^2/4)*((Inputs!$F$7/1000/4)^(2/3))*SQRT(P157))</f>
        <v/>
      </c>
      <c r="AJ157" s="4">
        <f>IF(A157="","",(1/Inputs!$B$9)*(PI()*(Inputs!$F$8/1000)^2/4)*((Inputs!$F$8/1000/4)^(2/3))*SQRT(P157))</f>
        <v/>
      </c>
      <c r="AK157" s="4">
        <f>IF(A157="","",(1/Inputs!$B$9)*(PI()*(Inputs!$F$9/1000)^2/4)*((Inputs!$F$9/1000/4)^(2/3))*SQRT(P157))</f>
        <v/>
      </c>
      <c r="AL157" s="4">
        <f>IF(A157="","",(1/Inputs!$B$9)*(PI()*(Inputs!$F$10/1000)^2/4)*((Inputs!$F$10/1000/4)^(2/3))*SQRT(P157))</f>
        <v/>
      </c>
      <c r="AM157" s="4">
        <f>IF(A157="","",(1/Inputs!$B$9)*(PI()*(Inputs!$F$11/1000)^2/4)*((Inputs!$F$11/1000/4)^(2/3))*SQRT(P157))</f>
        <v/>
      </c>
      <c r="AN157" s="4">
        <f>IF(A157="","",(1/Inputs!$B$9)*(PI()*(Inputs!$F$12/1000)^2/4)*((Inputs!$F$12/1000/4)^(2/3))*SQRT(P157))</f>
        <v/>
      </c>
      <c r="AO157" s="4">
        <f>IF(A157="","",(1/Inputs!$B$9)*(PI()*(Inputs!$F$13/1000)^2/4)*((Inputs!$F$13/1000/4)^(2/3))*SQRT(P157))</f>
        <v/>
      </c>
      <c r="AP157" s="4">
        <f>IF(A157="","",(1/Inputs!$B$9)*(PI()*(Inputs!$F$14/1000)^2/4)*((Inputs!$F$14/1000/4)^(2/3))*SQRT(P157))</f>
        <v/>
      </c>
    </row>
    <row r="158">
      <c r="A158" s="4" t="n"/>
      <c r="B158" s="4" t="n"/>
      <c r="C158" s="4" t="n"/>
      <c r="D158" s="4" t="n"/>
      <c r="E158" s="8" t="n"/>
      <c r="F158" s="8" t="n"/>
      <c r="G158" s="8">
        <f>SUMIFS(CB_plan!$C:$C,CB_plan!$B:$B,$A158)</f>
        <v/>
      </c>
      <c r="H158" s="8">
        <f>IF(F158="",G158,F158)</f>
        <v/>
      </c>
      <c r="I158" s="4" t="n"/>
      <c r="J158" s="8" t="n"/>
      <c r="K158" s="8">
        <f>IF(A158="","",Inputs!$B$13/((IF(J158="",Inputs!$B$18,J158)+Inputs!$B$14)^Inputs!$B$15))</f>
        <v/>
      </c>
      <c r="L158" s="8">
        <f>IF(A158="","",0.00278*IF(I158="",Inputs!$B$17,I158)*H158*K158)</f>
        <v/>
      </c>
      <c r="M158" s="8">
        <f>IF(A158="","",SUMIFS($N$4:$N$203,$D$4:$D$203,$A158))</f>
        <v/>
      </c>
      <c r="N158" s="8">
        <f>IF(A158="","",(L158+M158)*Inputs!$B$16)</f>
        <v/>
      </c>
      <c r="O158" s="8" t="n"/>
      <c r="P158" s="8">
        <f>IF(A158="","",IF(O158="",Inputs!$B$7,O158))</f>
        <v/>
      </c>
      <c r="Q158" s="4">
        <f>IF(A158="","",IF(N158/Inputs!$B$10&lt;=AG158,Inputs!$F$5,IF(N158/Inputs!$B$10&gt;AP158,"OVERSIZE",INDEX(Inputs!$F$5:$F$14,MATCH(N158/Inputs!$B$10,AG158:AP158,1)+1))))</f>
        <v/>
      </c>
      <c r="R158" s="4" t="n"/>
      <c r="S158" s="4">
        <f>IF(A158="","",IF(R158="",Q158,R158))</f>
        <v/>
      </c>
      <c r="T158" s="8">
        <f>IF(OR(S158="",S158="OVERSIZE"),"",S158/1000)</f>
        <v/>
      </c>
      <c r="U158" s="8">
        <f>IF(T158="","",(1/Inputs!$B$9)*(PI()*T158^2/4)*((T158/4)^(2/3))*SQRT(P158))</f>
        <v/>
      </c>
      <c r="V158" s="8">
        <f>IF(OR(U158="",N158=""),"",N158/(U158*Inputs!$B$10))</f>
        <v/>
      </c>
      <c r="W158" s="8">
        <f>IF(OR(T158="",N158=""),"",4*N158/(PI()*T158^2))</f>
        <v/>
      </c>
      <c r="X158" s="8" t="n"/>
      <c r="Y158" s="8">
        <f>IF(A158="","",IF(A158=Inputs!$B$6,Inputs!$B$22,IF(D158="","",IFERROR(INDEX($Z$4:$Z$203,MATCH(D158,$A$4:$A$203,0))+IF(X158="",Inputs!$B$20,X158),""))))</f>
        <v/>
      </c>
      <c r="Z158" s="8">
        <f>IF(OR(Y158="",P158="",E158=""),"",Y158+P158*E158)</f>
        <v/>
      </c>
      <c r="AA158" s="8">
        <f>IF(C158="","",IFERROR(INDEX(Noeuds_plan!$C$4:$C$200,MATCH(C158,Noeuds_plan!$A$4:$A$200,0)),""))</f>
        <v/>
      </c>
      <c r="AB158" s="8">
        <f>IF(B158="","",IFERROR(INDEX(Noeuds_plan!$C$4:$C$200,MATCH(B158,Noeuds_plan!$A$4:$A$200,0)),""))</f>
        <v/>
      </c>
      <c r="AC158" s="8">
        <f>IF(OR(AA158="",Y158=""),"",AA158-Y158)</f>
        <v/>
      </c>
      <c r="AD158" s="8">
        <f>IF(OR(AB158="",Z158=""),"",AB158-Z158)</f>
        <v/>
      </c>
      <c r="AE158" s="4">
        <f>IF(A158="","",IF(OR(V158&gt;1,W158&lt;Inputs!$B$11,W158&gt;Inputs!$B$12,AC158&lt;Inputs!$B$19,AD158&lt;Inputs!$B$19,P158&lt;Inputs!$B$7,P158&gt;Inputs!$B$8),"CHECK","OK"))</f>
        <v/>
      </c>
      <c r="AF158" s="4" t="n"/>
      <c r="AG158" s="4">
        <f>IF(A158="","",(1/Inputs!$B$9)*(PI()*(Inputs!$F$5/1000)^2/4)*((Inputs!$F$5/1000/4)^(2/3))*SQRT(P158))</f>
        <v/>
      </c>
      <c r="AH158" s="4">
        <f>IF(A158="","",(1/Inputs!$B$9)*(PI()*(Inputs!$F$6/1000)^2/4)*((Inputs!$F$6/1000/4)^(2/3))*SQRT(P158))</f>
        <v/>
      </c>
      <c r="AI158" s="4">
        <f>IF(A158="","",(1/Inputs!$B$9)*(PI()*(Inputs!$F$7/1000)^2/4)*((Inputs!$F$7/1000/4)^(2/3))*SQRT(P158))</f>
        <v/>
      </c>
      <c r="AJ158" s="4">
        <f>IF(A158="","",(1/Inputs!$B$9)*(PI()*(Inputs!$F$8/1000)^2/4)*((Inputs!$F$8/1000/4)^(2/3))*SQRT(P158))</f>
        <v/>
      </c>
      <c r="AK158" s="4">
        <f>IF(A158="","",(1/Inputs!$B$9)*(PI()*(Inputs!$F$9/1000)^2/4)*((Inputs!$F$9/1000/4)^(2/3))*SQRT(P158))</f>
        <v/>
      </c>
      <c r="AL158" s="4">
        <f>IF(A158="","",(1/Inputs!$B$9)*(PI()*(Inputs!$F$10/1000)^2/4)*((Inputs!$F$10/1000/4)^(2/3))*SQRT(P158))</f>
        <v/>
      </c>
      <c r="AM158" s="4">
        <f>IF(A158="","",(1/Inputs!$B$9)*(PI()*(Inputs!$F$11/1000)^2/4)*((Inputs!$F$11/1000/4)^(2/3))*SQRT(P158))</f>
        <v/>
      </c>
      <c r="AN158" s="4">
        <f>IF(A158="","",(1/Inputs!$B$9)*(PI()*(Inputs!$F$12/1000)^2/4)*((Inputs!$F$12/1000/4)^(2/3))*SQRT(P158))</f>
        <v/>
      </c>
      <c r="AO158" s="4">
        <f>IF(A158="","",(1/Inputs!$B$9)*(PI()*(Inputs!$F$13/1000)^2/4)*((Inputs!$F$13/1000/4)^(2/3))*SQRT(P158))</f>
        <v/>
      </c>
      <c r="AP158" s="4">
        <f>IF(A158="","",(1/Inputs!$B$9)*(PI()*(Inputs!$F$14/1000)^2/4)*((Inputs!$F$14/1000/4)^(2/3))*SQRT(P158))</f>
        <v/>
      </c>
    </row>
    <row r="159">
      <c r="A159" s="4" t="n"/>
      <c r="B159" s="4" t="n"/>
      <c r="C159" s="4" t="n"/>
      <c r="D159" s="4" t="n"/>
      <c r="E159" s="8" t="n"/>
      <c r="F159" s="8" t="n"/>
      <c r="G159" s="8">
        <f>SUMIFS(CB_plan!$C:$C,CB_plan!$B:$B,$A159)</f>
        <v/>
      </c>
      <c r="H159" s="8">
        <f>IF(F159="",G159,F159)</f>
        <v/>
      </c>
      <c r="I159" s="4" t="n"/>
      <c r="J159" s="8" t="n"/>
      <c r="K159" s="8">
        <f>IF(A159="","",Inputs!$B$13/((IF(J159="",Inputs!$B$18,J159)+Inputs!$B$14)^Inputs!$B$15))</f>
        <v/>
      </c>
      <c r="L159" s="8">
        <f>IF(A159="","",0.00278*IF(I159="",Inputs!$B$17,I159)*H159*K159)</f>
        <v/>
      </c>
      <c r="M159" s="8">
        <f>IF(A159="","",SUMIFS($N$4:$N$203,$D$4:$D$203,$A159))</f>
        <v/>
      </c>
      <c r="N159" s="8">
        <f>IF(A159="","",(L159+M159)*Inputs!$B$16)</f>
        <v/>
      </c>
      <c r="O159" s="8" t="n"/>
      <c r="P159" s="8">
        <f>IF(A159="","",IF(O159="",Inputs!$B$7,O159))</f>
        <v/>
      </c>
      <c r="Q159" s="4">
        <f>IF(A159="","",IF(N159/Inputs!$B$10&lt;=AG159,Inputs!$F$5,IF(N159/Inputs!$B$10&gt;AP159,"OVERSIZE",INDEX(Inputs!$F$5:$F$14,MATCH(N159/Inputs!$B$10,AG159:AP159,1)+1))))</f>
        <v/>
      </c>
      <c r="R159" s="4" t="n"/>
      <c r="S159" s="4">
        <f>IF(A159="","",IF(R159="",Q159,R159))</f>
        <v/>
      </c>
      <c r="T159" s="8">
        <f>IF(OR(S159="",S159="OVERSIZE"),"",S159/1000)</f>
        <v/>
      </c>
      <c r="U159" s="8">
        <f>IF(T159="","",(1/Inputs!$B$9)*(PI()*T159^2/4)*((T159/4)^(2/3))*SQRT(P159))</f>
        <v/>
      </c>
      <c r="V159" s="8">
        <f>IF(OR(U159="",N159=""),"",N159/(U159*Inputs!$B$10))</f>
        <v/>
      </c>
      <c r="W159" s="8">
        <f>IF(OR(T159="",N159=""),"",4*N159/(PI()*T159^2))</f>
        <v/>
      </c>
      <c r="X159" s="8" t="n"/>
      <c r="Y159" s="8">
        <f>IF(A159="","",IF(A159=Inputs!$B$6,Inputs!$B$22,IF(D159="","",IFERROR(INDEX($Z$4:$Z$203,MATCH(D159,$A$4:$A$203,0))+IF(X159="",Inputs!$B$20,X159),""))))</f>
        <v/>
      </c>
      <c r="Z159" s="8">
        <f>IF(OR(Y159="",P159="",E159=""),"",Y159+P159*E159)</f>
        <v/>
      </c>
      <c r="AA159" s="8">
        <f>IF(C159="","",IFERROR(INDEX(Noeuds_plan!$C$4:$C$200,MATCH(C159,Noeuds_plan!$A$4:$A$200,0)),""))</f>
        <v/>
      </c>
      <c r="AB159" s="8">
        <f>IF(B159="","",IFERROR(INDEX(Noeuds_plan!$C$4:$C$200,MATCH(B159,Noeuds_plan!$A$4:$A$200,0)),""))</f>
        <v/>
      </c>
      <c r="AC159" s="8">
        <f>IF(OR(AA159="",Y159=""),"",AA159-Y159)</f>
        <v/>
      </c>
      <c r="AD159" s="8">
        <f>IF(OR(AB159="",Z159=""),"",AB159-Z159)</f>
        <v/>
      </c>
      <c r="AE159" s="4">
        <f>IF(A159="","",IF(OR(V159&gt;1,W159&lt;Inputs!$B$11,W159&gt;Inputs!$B$12,AC159&lt;Inputs!$B$19,AD159&lt;Inputs!$B$19,P159&lt;Inputs!$B$7,P159&gt;Inputs!$B$8),"CHECK","OK"))</f>
        <v/>
      </c>
      <c r="AF159" s="4" t="n"/>
      <c r="AG159" s="4">
        <f>IF(A159="","",(1/Inputs!$B$9)*(PI()*(Inputs!$F$5/1000)^2/4)*((Inputs!$F$5/1000/4)^(2/3))*SQRT(P159))</f>
        <v/>
      </c>
      <c r="AH159" s="4">
        <f>IF(A159="","",(1/Inputs!$B$9)*(PI()*(Inputs!$F$6/1000)^2/4)*((Inputs!$F$6/1000/4)^(2/3))*SQRT(P159))</f>
        <v/>
      </c>
      <c r="AI159" s="4">
        <f>IF(A159="","",(1/Inputs!$B$9)*(PI()*(Inputs!$F$7/1000)^2/4)*((Inputs!$F$7/1000/4)^(2/3))*SQRT(P159))</f>
        <v/>
      </c>
      <c r="AJ159" s="4">
        <f>IF(A159="","",(1/Inputs!$B$9)*(PI()*(Inputs!$F$8/1000)^2/4)*((Inputs!$F$8/1000/4)^(2/3))*SQRT(P159))</f>
        <v/>
      </c>
      <c r="AK159" s="4">
        <f>IF(A159="","",(1/Inputs!$B$9)*(PI()*(Inputs!$F$9/1000)^2/4)*((Inputs!$F$9/1000/4)^(2/3))*SQRT(P159))</f>
        <v/>
      </c>
      <c r="AL159" s="4">
        <f>IF(A159="","",(1/Inputs!$B$9)*(PI()*(Inputs!$F$10/1000)^2/4)*((Inputs!$F$10/1000/4)^(2/3))*SQRT(P159))</f>
        <v/>
      </c>
      <c r="AM159" s="4">
        <f>IF(A159="","",(1/Inputs!$B$9)*(PI()*(Inputs!$F$11/1000)^2/4)*((Inputs!$F$11/1000/4)^(2/3))*SQRT(P159))</f>
        <v/>
      </c>
      <c r="AN159" s="4">
        <f>IF(A159="","",(1/Inputs!$B$9)*(PI()*(Inputs!$F$12/1000)^2/4)*((Inputs!$F$12/1000/4)^(2/3))*SQRT(P159))</f>
        <v/>
      </c>
      <c r="AO159" s="4">
        <f>IF(A159="","",(1/Inputs!$B$9)*(PI()*(Inputs!$F$13/1000)^2/4)*((Inputs!$F$13/1000/4)^(2/3))*SQRT(P159))</f>
        <v/>
      </c>
      <c r="AP159" s="4">
        <f>IF(A159="","",(1/Inputs!$B$9)*(PI()*(Inputs!$F$14/1000)^2/4)*((Inputs!$F$14/1000/4)^(2/3))*SQRT(P159))</f>
        <v/>
      </c>
    </row>
    <row r="160">
      <c r="A160" s="4" t="n"/>
      <c r="B160" s="4" t="n"/>
      <c r="C160" s="4" t="n"/>
      <c r="D160" s="4" t="n"/>
      <c r="E160" s="8" t="n"/>
      <c r="F160" s="8" t="n"/>
      <c r="G160" s="8">
        <f>SUMIFS(CB_plan!$C:$C,CB_plan!$B:$B,$A160)</f>
        <v/>
      </c>
      <c r="H160" s="8">
        <f>IF(F160="",G160,F160)</f>
        <v/>
      </c>
      <c r="I160" s="4" t="n"/>
      <c r="J160" s="8" t="n"/>
      <c r="K160" s="8">
        <f>IF(A160="","",Inputs!$B$13/((IF(J160="",Inputs!$B$18,J160)+Inputs!$B$14)^Inputs!$B$15))</f>
        <v/>
      </c>
      <c r="L160" s="8">
        <f>IF(A160="","",0.00278*IF(I160="",Inputs!$B$17,I160)*H160*K160)</f>
        <v/>
      </c>
      <c r="M160" s="8">
        <f>IF(A160="","",SUMIFS($N$4:$N$203,$D$4:$D$203,$A160))</f>
        <v/>
      </c>
      <c r="N160" s="8">
        <f>IF(A160="","",(L160+M160)*Inputs!$B$16)</f>
        <v/>
      </c>
      <c r="O160" s="8" t="n"/>
      <c r="P160" s="8">
        <f>IF(A160="","",IF(O160="",Inputs!$B$7,O160))</f>
        <v/>
      </c>
      <c r="Q160" s="4">
        <f>IF(A160="","",IF(N160/Inputs!$B$10&lt;=AG160,Inputs!$F$5,IF(N160/Inputs!$B$10&gt;AP160,"OVERSIZE",INDEX(Inputs!$F$5:$F$14,MATCH(N160/Inputs!$B$10,AG160:AP160,1)+1))))</f>
        <v/>
      </c>
      <c r="R160" s="4" t="n"/>
      <c r="S160" s="4">
        <f>IF(A160="","",IF(R160="",Q160,R160))</f>
        <v/>
      </c>
      <c r="T160" s="8">
        <f>IF(OR(S160="",S160="OVERSIZE"),"",S160/1000)</f>
        <v/>
      </c>
      <c r="U160" s="8">
        <f>IF(T160="","",(1/Inputs!$B$9)*(PI()*T160^2/4)*((T160/4)^(2/3))*SQRT(P160))</f>
        <v/>
      </c>
      <c r="V160" s="8">
        <f>IF(OR(U160="",N160=""),"",N160/(U160*Inputs!$B$10))</f>
        <v/>
      </c>
      <c r="W160" s="8">
        <f>IF(OR(T160="",N160=""),"",4*N160/(PI()*T160^2))</f>
        <v/>
      </c>
      <c r="X160" s="8" t="n"/>
      <c r="Y160" s="8">
        <f>IF(A160="","",IF(A160=Inputs!$B$6,Inputs!$B$22,IF(D160="","",IFERROR(INDEX($Z$4:$Z$203,MATCH(D160,$A$4:$A$203,0))+IF(X160="",Inputs!$B$20,X160),""))))</f>
        <v/>
      </c>
      <c r="Z160" s="8">
        <f>IF(OR(Y160="",P160="",E160=""),"",Y160+P160*E160)</f>
        <v/>
      </c>
      <c r="AA160" s="8">
        <f>IF(C160="","",IFERROR(INDEX(Noeuds_plan!$C$4:$C$200,MATCH(C160,Noeuds_plan!$A$4:$A$200,0)),""))</f>
        <v/>
      </c>
      <c r="AB160" s="8">
        <f>IF(B160="","",IFERROR(INDEX(Noeuds_plan!$C$4:$C$200,MATCH(B160,Noeuds_plan!$A$4:$A$200,0)),""))</f>
        <v/>
      </c>
      <c r="AC160" s="8">
        <f>IF(OR(AA160="",Y160=""),"",AA160-Y160)</f>
        <v/>
      </c>
      <c r="AD160" s="8">
        <f>IF(OR(AB160="",Z160=""),"",AB160-Z160)</f>
        <v/>
      </c>
      <c r="AE160" s="4">
        <f>IF(A160="","",IF(OR(V160&gt;1,W160&lt;Inputs!$B$11,W160&gt;Inputs!$B$12,AC160&lt;Inputs!$B$19,AD160&lt;Inputs!$B$19,P160&lt;Inputs!$B$7,P160&gt;Inputs!$B$8),"CHECK","OK"))</f>
        <v/>
      </c>
      <c r="AF160" s="4" t="n"/>
      <c r="AG160" s="4">
        <f>IF(A160="","",(1/Inputs!$B$9)*(PI()*(Inputs!$F$5/1000)^2/4)*((Inputs!$F$5/1000/4)^(2/3))*SQRT(P160))</f>
        <v/>
      </c>
      <c r="AH160" s="4">
        <f>IF(A160="","",(1/Inputs!$B$9)*(PI()*(Inputs!$F$6/1000)^2/4)*((Inputs!$F$6/1000/4)^(2/3))*SQRT(P160))</f>
        <v/>
      </c>
      <c r="AI160" s="4">
        <f>IF(A160="","",(1/Inputs!$B$9)*(PI()*(Inputs!$F$7/1000)^2/4)*((Inputs!$F$7/1000/4)^(2/3))*SQRT(P160))</f>
        <v/>
      </c>
      <c r="AJ160" s="4">
        <f>IF(A160="","",(1/Inputs!$B$9)*(PI()*(Inputs!$F$8/1000)^2/4)*((Inputs!$F$8/1000/4)^(2/3))*SQRT(P160))</f>
        <v/>
      </c>
      <c r="AK160" s="4">
        <f>IF(A160="","",(1/Inputs!$B$9)*(PI()*(Inputs!$F$9/1000)^2/4)*((Inputs!$F$9/1000/4)^(2/3))*SQRT(P160))</f>
        <v/>
      </c>
      <c r="AL160" s="4">
        <f>IF(A160="","",(1/Inputs!$B$9)*(PI()*(Inputs!$F$10/1000)^2/4)*((Inputs!$F$10/1000/4)^(2/3))*SQRT(P160))</f>
        <v/>
      </c>
      <c r="AM160" s="4">
        <f>IF(A160="","",(1/Inputs!$B$9)*(PI()*(Inputs!$F$11/1000)^2/4)*((Inputs!$F$11/1000/4)^(2/3))*SQRT(P160))</f>
        <v/>
      </c>
      <c r="AN160" s="4">
        <f>IF(A160="","",(1/Inputs!$B$9)*(PI()*(Inputs!$F$12/1000)^2/4)*((Inputs!$F$12/1000/4)^(2/3))*SQRT(P160))</f>
        <v/>
      </c>
      <c r="AO160" s="4">
        <f>IF(A160="","",(1/Inputs!$B$9)*(PI()*(Inputs!$F$13/1000)^2/4)*((Inputs!$F$13/1000/4)^(2/3))*SQRT(P160))</f>
        <v/>
      </c>
      <c r="AP160" s="4">
        <f>IF(A160="","",(1/Inputs!$B$9)*(PI()*(Inputs!$F$14/1000)^2/4)*((Inputs!$F$14/1000/4)^(2/3))*SQRT(P160))</f>
        <v/>
      </c>
    </row>
    <row r="161">
      <c r="A161" s="4" t="n"/>
      <c r="B161" s="4" t="n"/>
      <c r="C161" s="4" t="n"/>
      <c r="D161" s="4" t="n"/>
      <c r="E161" s="8" t="n"/>
      <c r="F161" s="8" t="n"/>
      <c r="G161" s="8">
        <f>SUMIFS(CB_plan!$C:$C,CB_plan!$B:$B,$A161)</f>
        <v/>
      </c>
      <c r="H161" s="8">
        <f>IF(F161="",G161,F161)</f>
        <v/>
      </c>
      <c r="I161" s="4" t="n"/>
      <c r="J161" s="8" t="n"/>
      <c r="K161" s="8">
        <f>IF(A161="","",Inputs!$B$13/((IF(J161="",Inputs!$B$18,J161)+Inputs!$B$14)^Inputs!$B$15))</f>
        <v/>
      </c>
      <c r="L161" s="8">
        <f>IF(A161="","",0.00278*IF(I161="",Inputs!$B$17,I161)*H161*K161)</f>
        <v/>
      </c>
      <c r="M161" s="8">
        <f>IF(A161="","",SUMIFS($N$4:$N$203,$D$4:$D$203,$A161))</f>
        <v/>
      </c>
      <c r="N161" s="8">
        <f>IF(A161="","",(L161+M161)*Inputs!$B$16)</f>
        <v/>
      </c>
      <c r="O161" s="8" t="n"/>
      <c r="P161" s="8">
        <f>IF(A161="","",IF(O161="",Inputs!$B$7,O161))</f>
        <v/>
      </c>
      <c r="Q161" s="4">
        <f>IF(A161="","",IF(N161/Inputs!$B$10&lt;=AG161,Inputs!$F$5,IF(N161/Inputs!$B$10&gt;AP161,"OVERSIZE",INDEX(Inputs!$F$5:$F$14,MATCH(N161/Inputs!$B$10,AG161:AP161,1)+1))))</f>
        <v/>
      </c>
      <c r="R161" s="4" t="n"/>
      <c r="S161" s="4">
        <f>IF(A161="","",IF(R161="",Q161,R161))</f>
        <v/>
      </c>
      <c r="T161" s="8">
        <f>IF(OR(S161="",S161="OVERSIZE"),"",S161/1000)</f>
        <v/>
      </c>
      <c r="U161" s="8">
        <f>IF(T161="","",(1/Inputs!$B$9)*(PI()*T161^2/4)*((T161/4)^(2/3))*SQRT(P161))</f>
        <v/>
      </c>
      <c r="V161" s="8">
        <f>IF(OR(U161="",N161=""),"",N161/(U161*Inputs!$B$10))</f>
        <v/>
      </c>
      <c r="W161" s="8">
        <f>IF(OR(T161="",N161=""),"",4*N161/(PI()*T161^2))</f>
        <v/>
      </c>
      <c r="X161" s="8" t="n"/>
      <c r="Y161" s="8">
        <f>IF(A161="","",IF(A161=Inputs!$B$6,Inputs!$B$22,IF(D161="","",IFERROR(INDEX($Z$4:$Z$203,MATCH(D161,$A$4:$A$203,0))+IF(X161="",Inputs!$B$20,X161),""))))</f>
        <v/>
      </c>
      <c r="Z161" s="8">
        <f>IF(OR(Y161="",P161="",E161=""),"",Y161+P161*E161)</f>
        <v/>
      </c>
      <c r="AA161" s="8">
        <f>IF(C161="","",IFERROR(INDEX(Noeuds_plan!$C$4:$C$200,MATCH(C161,Noeuds_plan!$A$4:$A$200,0)),""))</f>
        <v/>
      </c>
      <c r="AB161" s="8">
        <f>IF(B161="","",IFERROR(INDEX(Noeuds_plan!$C$4:$C$200,MATCH(B161,Noeuds_plan!$A$4:$A$200,0)),""))</f>
        <v/>
      </c>
      <c r="AC161" s="8">
        <f>IF(OR(AA161="",Y161=""),"",AA161-Y161)</f>
        <v/>
      </c>
      <c r="AD161" s="8">
        <f>IF(OR(AB161="",Z161=""),"",AB161-Z161)</f>
        <v/>
      </c>
      <c r="AE161" s="4">
        <f>IF(A161="","",IF(OR(V161&gt;1,W161&lt;Inputs!$B$11,W161&gt;Inputs!$B$12,AC161&lt;Inputs!$B$19,AD161&lt;Inputs!$B$19,P161&lt;Inputs!$B$7,P161&gt;Inputs!$B$8),"CHECK","OK"))</f>
        <v/>
      </c>
      <c r="AF161" s="4" t="n"/>
      <c r="AG161" s="4">
        <f>IF(A161="","",(1/Inputs!$B$9)*(PI()*(Inputs!$F$5/1000)^2/4)*((Inputs!$F$5/1000/4)^(2/3))*SQRT(P161))</f>
        <v/>
      </c>
      <c r="AH161" s="4">
        <f>IF(A161="","",(1/Inputs!$B$9)*(PI()*(Inputs!$F$6/1000)^2/4)*((Inputs!$F$6/1000/4)^(2/3))*SQRT(P161))</f>
        <v/>
      </c>
      <c r="AI161" s="4">
        <f>IF(A161="","",(1/Inputs!$B$9)*(PI()*(Inputs!$F$7/1000)^2/4)*((Inputs!$F$7/1000/4)^(2/3))*SQRT(P161))</f>
        <v/>
      </c>
      <c r="AJ161" s="4">
        <f>IF(A161="","",(1/Inputs!$B$9)*(PI()*(Inputs!$F$8/1000)^2/4)*((Inputs!$F$8/1000/4)^(2/3))*SQRT(P161))</f>
        <v/>
      </c>
      <c r="AK161" s="4">
        <f>IF(A161="","",(1/Inputs!$B$9)*(PI()*(Inputs!$F$9/1000)^2/4)*((Inputs!$F$9/1000/4)^(2/3))*SQRT(P161))</f>
        <v/>
      </c>
      <c r="AL161" s="4">
        <f>IF(A161="","",(1/Inputs!$B$9)*(PI()*(Inputs!$F$10/1000)^2/4)*((Inputs!$F$10/1000/4)^(2/3))*SQRT(P161))</f>
        <v/>
      </c>
      <c r="AM161" s="4">
        <f>IF(A161="","",(1/Inputs!$B$9)*(PI()*(Inputs!$F$11/1000)^2/4)*((Inputs!$F$11/1000/4)^(2/3))*SQRT(P161))</f>
        <v/>
      </c>
      <c r="AN161" s="4">
        <f>IF(A161="","",(1/Inputs!$B$9)*(PI()*(Inputs!$F$12/1000)^2/4)*((Inputs!$F$12/1000/4)^(2/3))*SQRT(P161))</f>
        <v/>
      </c>
      <c r="AO161" s="4">
        <f>IF(A161="","",(1/Inputs!$B$9)*(PI()*(Inputs!$F$13/1000)^2/4)*((Inputs!$F$13/1000/4)^(2/3))*SQRT(P161))</f>
        <v/>
      </c>
      <c r="AP161" s="4">
        <f>IF(A161="","",(1/Inputs!$B$9)*(PI()*(Inputs!$F$14/1000)^2/4)*((Inputs!$F$14/1000/4)^(2/3))*SQRT(P161))</f>
        <v/>
      </c>
    </row>
    <row r="162">
      <c r="A162" s="4" t="n"/>
      <c r="B162" s="4" t="n"/>
      <c r="C162" s="4" t="n"/>
      <c r="D162" s="4" t="n"/>
      <c r="E162" s="8" t="n"/>
      <c r="F162" s="8" t="n"/>
      <c r="G162" s="8">
        <f>SUMIFS(CB_plan!$C:$C,CB_plan!$B:$B,$A162)</f>
        <v/>
      </c>
      <c r="H162" s="8">
        <f>IF(F162="",G162,F162)</f>
        <v/>
      </c>
      <c r="I162" s="4" t="n"/>
      <c r="J162" s="8" t="n"/>
      <c r="K162" s="8">
        <f>IF(A162="","",Inputs!$B$13/((IF(J162="",Inputs!$B$18,J162)+Inputs!$B$14)^Inputs!$B$15))</f>
        <v/>
      </c>
      <c r="L162" s="8">
        <f>IF(A162="","",0.00278*IF(I162="",Inputs!$B$17,I162)*H162*K162)</f>
        <v/>
      </c>
      <c r="M162" s="8">
        <f>IF(A162="","",SUMIFS($N$4:$N$203,$D$4:$D$203,$A162))</f>
        <v/>
      </c>
      <c r="N162" s="8">
        <f>IF(A162="","",(L162+M162)*Inputs!$B$16)</f>
        <v/>
      </c>
      <c r="O162" s="8" t="n"/>
      <c r="P162" s="8">
        <f>IF(A162="","",IF(O162="",Inputs!$B$7,O162))</f>
        <v/>
      </c>
      <c r="Q162" s="4">
        <f>IF(A162="","",IF(N162/Inputs!$B$10&lt;=AG162,Inputs!$F$5,IF(N162/Inputs!$B$10&gt;AP162,"OVERSIZE",INDEX(Inputs!$F$5:$F$14,MATCH(N162/Inputs!$B$10,AG162:AP162,1)+1))))</f>
        <v/>
      </c>
      <c r="R162" s="4" t="n"/>
      <c r="S162" s="4">
        <f>IF(A162="","",IF(R162="",Q162,R162))</f>
        <v/>
      </c>
      <c r="T162" s="8">
        <f>IF(OR(S162="",S162="OVERSIZE"),"",S162/1000)</f>
        <v/>
      </c>
      <c r="U162" s="8">
        <f>IF(T162="","",(1/Inputs!$B$9)*(PI()*T162^2/4)*((T162/4)^(2/3))*SQRT(P162))</f>
        <v/>
      </c>
      <c r="V162" s="8">
        <f>IF(OR(U162="",N162=""),"",N162/(U162*Inputs!$B$10))</f>
        <v/>
      </c>
      <c r="W162" s="8">
        <f>IF(OR(T162="",N162=""),"",4*N162/(PI()*T162^2))</f>
        <v/>
      </c>
      <c r="X162" s="8" t="n"/>
      <c r="Y162" s="8">
        <f>IF(A162="","",IF(A162=Inputs!$B$6,Inputs!$B$22,IF(D162="","",IFERROR(INDEX($Z$4:$Z$203,MATCH(D162,$A$4:$A$203,0))+IF(X162="",Inputs!$B$20,X162),""))))</f>
        <v/>
      </c>
      <c r="Z162" s="8">
        <f>IF(OR(Y162="",P162="",E162=""),"",Y162+P162*E162)</f>
        <v/>
      </c>
      <c r="AA162" s="8">
        <f>IF(C162="","",IFERROR(INDEX(Noeuds_plan!$C$4:$C$200,MATCH(C162,Noeuds_plan!$A$4:$A$200,0)),""))</f>
        <v/>
      </c>
      <c r="AB162" s="8">
        <f>IF(B162="","",IFERROR(INDEX(Noeuds_plan!$C$4:$C$200,MATCH(B162,Noeuds_plan!$A$4:$A$200,0)),""))</f>
        <v/>
      </c>
      <c r="AC162" s="8">
        <f>IF(OR(AA162="",Y162=""),"",AA162-Y162)</f>
        <v/>
      </c>
      <c r="AD162" s="8">
        <f>IF(OR(AB162="",Z162=""),"",AB162-Z162)</f>
        <v/>
      </c>
      <c r="AE162" s="4">
        <f>IF(A162="","",IF(OR(V162&gt;1,W162&lt;Inputs!$B$11,W162&gt;Inputs!$B$12,AC162&lt;Inputs!$B$19,AD162&lt;Inputs!$B$19,P162&lt;Inputs!$B$7,P162&gt;Inputs!$B$8),"CHECK","OK"))</f>
        <v/>
      </c>
      <c r="AF162" s="4" t="n"/>
      <c r="AG162" s="4">
        <f>IF(A162="","",(1/Inputs!$B$9)*(PI()*(Inputs!$F$5/1000)^2/4)*((Inputs!$F$5/1000/4)^(2/3))*SQRT(P162))</f>
        <v/>
      </c>
      <c r="AH162" s="4">
        <f>IF(A162="","",(1/Inputs!$B$9)*(PI()*(Inputs!$F$6/1000)^2/4)*((Inputs!$F$6/1000/4)^(2/3))*SQRT(P162))</f>
        <v/>
      </c>
      <c r="AI162" s="4">
        <f>IF(A162="","",(1/Inputs!$B$9)*(PI()*(Inputs!$F$7/1000)^2/4)*((Inputs!$F$7/1000/4)^(2/3))*SQRT(P162))</f>
        <v/>
      </c>
      <c r="AJ162" s="4">
        <f>IF(A162="","",(1/Inputs!$B$9)*(PI()*(Inputs!$F$8/1000)^2/4)*((Inputs!$F$8/1000/4)^(2/3))*SQRT(P162))</f>
        <v/>
      </c>
      <c r="AK162" s="4">
        <f>IF(A162="","",(1/Inputs!$B$9)*(PI()*(Inputs!$F$9/1000)^2/4)*((Inputs!$F$9/1000/4)^(2/3))*SQRT(P162))</f>
        <v/>
      </c>
      <c r="AL162" s="4">
        <f>IF(A162="","",(1/Inputs!$B$9)*(PI()*(Inputs!$F$10/1000)^2/4)*((Inputs!$F$10/1000/4)^(2/3))*SQRT(P162))</f>
        <v/>
      </c>
      <c r="AM162" s="4">
        <f>IF(A162="","",(1/Inputs!$B$9)*(PI()*(Inputs!$F$11/1000)^2/4)*((Inputs!$F$11/1000/4)^(2/3))*SQRT(P162))</f>
        <v/>
      </c>
      <c r="AN162" s="4">
        <f>IF(A162="","",(1/Inputs!$B$9)*(PI()*(Inputs!$F$12/1000)^2/4)*((Inputs!$F$12/1000/4)^(2/3))*SQRT(P162))</f>
        <v/>
      </c>
      <c r="AO162" s="4">
        <f>IF(A162="","",(1/Inputs!$B$9)*(PI()*(Inputs!$F$13/1000)^2/4)*((Inputs!$F$13/1000/4)^(2/3))*SQRT(P162))</f>
        <v/>
      </c>
      <c r="AP162" s="4">
        <f>IF(A162="","",(1/Inputs!$B$9)*(PI()*(Inputs!$F$14/1000)^2/4)*((Inputs!$F$14/1000/4)^(2/3))*SQRT(P162))</f>
        <v/>
      </c>
    </row>
    <row r="163">
      <c r="A163" s="4" t="n"/>
      <c r="B163" s="4" t="n"/>
      <c r="C163" s="4" t="n"/>
      <c r="D163" s="4" t="n"/>
      <c r="E163" s="8" t="n"/>
      <c r="F163" s="8" t="n"/>
      <c r="G163" s="8">
        <f>SUMIFS(CB_plan!$C:$C,CB_plan!$B:$B,$A163)</f>
        <v/>
      </c>
      <c r="H163" s="8">
        <f>IF(F163="",G163,F163)</f>
        <v/>
      </c>
      <c r="I163" s="4" t="n"/>
      <c r="J163" s="8" t="n"/>
      <c r="K163" s="8">
        <f>IF(A163="","",Inputs!$B$13/((IF(J163="",Inputs!$B$18,J163)+Inputs!$B$14)^Inputs!$B$15))</f>
        <v/>
      </c>
      <c r="L163" s="8">
        <f>IF(A163="","",0.00278*IF(I163="",Inputs!$B$17,I163)*H163*K163)</f>
        <v/>
      </c>
      <c r="M163" s="8">
        <f>IF(A163="","",SUMIFS($N$4:$N$203,$D$4:$D$203,$A163))</f>
        <v/>
      </c>
      <c r="N163" s="8">
        <f>IF(A163="","",(L163+M163)*Inputs!$B$16)</f>
        <v/>
      </c>
      <c r="O163" s="8" t="n"/>
      <c r="P163" s="8">
        <f>IF(A163="","",IF(O163="",Inputs!$B$7,O163))</f>
        <v/>
      </c>
      <c r="Q163" s="4">
        <f>IF(A163="","",IF(N163/Inputs!$B$10&lt;=AG163,Inputs!$F$5,IF(N163/Inputs!$B$10&gt;AP163,"OVERSIZE",INDEX(Inputs!$F$5:$F$14,MATCH(N163/Inputs!$B$10,AG163:AP163,1)+1))))</f>
        <v/>
      </c>
      <c r="R163" s="4" t="n"/>
      <c r="S163" s="4">
        <f>IF(A163="","",IF(R163="",Q163,R163))</f>
        <v/>
      </c>
      <c r="T163" s="8">
        <f>IF(OR(S163="",S163="OVERSIZE"),"",S163/1000)</f>
        <v/>
      </c>
      <c r="U163" s="8">
        <f>IF(T163="","",(1/Inputs!$B$9)*(PI()*T163^2/4)*((T163/4)^(2/3))*SQRT(P163))</f>
        <v/>
      </c>
      <c r="V163" s="8">
        <f>IF(OR(U163="",N163=""),"",N163/(U163*Inputs!$B$10))</f>
        <v/>
      </c>
      <c r="W163" s="8">
        <f>IF(OR(T163="",N163=""),"",4*N163/(PI()*T163^2))</f>
        <v/>
      </c>
      <c r="X163" s="8" t="n"/>
      <c r="Y163" s="8">
        <f>IF(A163="","",IF(A163=Inputs!$B$6,Inputs!$B$22,IF(D163="","",IFERROR(INDEX($Z$4:$Z$203,MATCH(D163,$A$4:$A$203,0))+IF(X163="",Inputs!$B$20,X163),""))))</f>
        <v/>
      </c>
      <c r="Z163" s="8">
        <f>IF(OR(Y163="",P163="",E163=""),"",Y163+P163*E163)</f>
        <v/>
      </c>
      <c r="AA163" s="8">
        <f>IF(C163="","",IFERROR(INDEX(Noeuds_plan!$C$4:$C$200,MATCH(C163,Noeuds_plan!$A$4:$A$200,0)),""))</f>
        <v/>
      </c>
      <c r="AB163" s="8">
        <f>IF(B163="","",IFERROR(INDEX(Noeuds_plan!$C$4:$C$200,MATCH(B163,Noeuds_plan!$A$4:$A$200,0)),""))</f>
        <v/>
      </c>
      <c r="AC163" s="8">
        <f>IF(OR(AA163="",Y163=""),"",AA163-Y163)</f>
        <v/>
      </c>
      <c r="AD163" s="8">
        <f>IF(OR(AB163="",Z163=""),"",AB163-Z163)</f>
        <v/>
      </c>
      <c r="AE163" s="4">
        <f>IF(A163="","",IF(OR(V163&gt;1,W163&lt;Inputs!$B$11,W163&gt;Inputs!$B$12,AC163&lt;Inputs!$B$19,AD163&lt;Inputs!$B$19,P163&lt;Inputs!$B$7,P163&gt;Inputs!$B$8),"CHECK","OK"))</f>
        <v/>
      </c>
      <c r="AF163" s="4" t="n"/>
      <c r="AG163" s="4">
        <f>IF(A163="","",(1/Inputs!$B$9)*(PI()*(Inputs!$F$5/1000)^2/4)*((Inputs!$F$5/1000/4)^(2/3))*SQRT(P163))</f>
        <v/>
      </c>
      <c r="AH163" s="4">
        <f>IF(A163="","",(1/Inputs!$B$9)*(PI()*(Inputs!$F$6/1000)^2/4)*((Inputs!$F$6/1000/4)^(2/3))*SQRT(P163))</f>
        <v/>
      </c>
      <c r="AI163" s="4">
        <f>IF(A163="","",(1/Inputs!$B$9)*(PI()*(Inputs!$F$7/1000)^2/4)*((Inputs!$F$7/1000/4)^(2/3))*SQRT(P163))</f>
        <v/>
      </c>
      <c r="AJ163" s="4">
        <f>IF(A163="","",(1/Inputs!$B$9)*(PI()*(Inputs!$F$8/1000)^2/4)*((Inputs!$F$8/1000/4)^(2/3))*SQRT(P163))</f>
        <v/>
      </c>
      <c r="AK163" s="4">
        <f>IF(A163="","",(1/Inputs!$B$9)*(PI()*(Inputs!$F$9/1000)^2/4)*((Inputs!$F$9/1000/4)^(2/3))*SQRT(P163))</f>
        <v/>
      </c>
      <c r="AL163" s="4">
        <f>IF(A163="","",(1/Inputs!$B$9)*(PI()*(Inputs!$F$10/1000)^2/4)*((Inputs!$F$10/1000/4)^(2/3))*SQRT(P163))</f>
        <v/>
      </c>
      <c r="AM163" s="4">
        <f>IF(A163="","",(1/Inputs!$B$9)*(PI()*(Inputs!$F$11/1000)^2/4)*((Inputs!$F$11/1000/4)^(2/3))*SQRT(P163))</f>
        <v/>
      </c>
      <c r="AN163" s="4">
        <f>IF(A163="","",(1/Inputs!$B$9)*(PI()*(Inputs!$F$12/1000)^2/4)*((Inputs!$F$12/1000/4)^(2/3))*SQRT(P163))</f>
        <v/>
      </c>
      <c r="AO163" s="4">
        <f>IF(A163="","",(1/Inputs!$B$9)*(PI()*(Inputs!$F$13/1000)^2/4)*((Inputs!$F$13/1000/4)^(2/3))*SQRT(P163))</f>
        <v/>
      </c>
      <c r="AP163" s="4">
        <f>IF(A163="","",(1/Inputs!$B$9)*(PI()*(Inputs!$F$14/1000)^2/4)*((Inputs!$F$14/1000/4)^(2/3))*SQRT(P163))</f>
        <v/>
      </c>
    </row>
    <row r="164">
      <c r="A164" s="4" t="n"/>
      <c r="B164" s="4" t="n"/>
      <c r="C164" s="4" t="n"/>
      <c r="D164" s="4" t="n"/>
      <c r="E164" s="8" t="n"/>
      <c r="F164" s="8" t="n"/>
      <c r="G164" s="8">
        <f>SUMIFS(CB_plan!$C:$C,CB_plan!$B:$B,$A164)</f>
        <v/>
      </c>
      <c r="H164" s="8">
        <f>IF(F164="",G164,F164)</f>
        <v/>
      </c>
      <c r="I164" s="4" t="n"/>
      <c r="J164" s="8" t="n"/>
      <c r="K164" s="8">
        <f>IF(A164="","",Inputs!$B$13/((IF(J164="",Inputs!$B$18,J164)+Inputs!$B$14)^Inputs!$B$15))</f>
        <v/>
      </c>
      <c r="L164" s="8">
        <f>IF(A164="","",0.00278*IF(I164="",Inputs!$B$17,I164)*H164*K164)</f>
        <v/>
      </c>
      <c r="M164" s="8">
        <f>IF(A164="","",SUMIFS($N$4:$N$203,$D$4:$D$203,$A164))</f>
        <v/>
      </c>
      <c r="N164" s="8">
        <f>IF(A164="","",(L164+M164)*Inputs!$B$16)</f>
        <v/>
      </c>
      <c r="O164" s="8" t="n"/>
      <c r="P164" s="8">
        <f>IF(A164="","",IF(O164="",Inputs!$B$7,O164))</f>
        <v/>
      </c>
      <c r="Q164" s="4">
        <f>IF(A164="","",IF(N164/Inputs!$B$10&lt;=AG164,Inputs!$F$5,IF(N164/Inputs!$B$10&gt;AP164,"OVERSIZE",INDEX(Inputs!$F$5:$F$14,MATCH(N164/Inputs!$B$10,AG164:AP164,1)+1))))</f>
        <v/>
      </c>
      <c r="R164" s="4" t="n"/>
      <c r="S164" s="4">
        <f>IF(A164="","",IF(R164="",Q164,R164))</f>
        <v/>
      </c>
      <c r="T164" s="8">
        <f>IF(OR(S164="",S164="OVERSIZE"),"",S164/1000)</f>
        <v/>
      </c>
      <c r="U164" s="8">
        <f>IF(T164="","",(1/Inputs!$B$9)*(PI()*T164^2/4)*((T164/4)^(2/3))*SQRT(P164))</f>
        <v/>
      </c>
      <c r="V164" s="8">
        <f>IF(OR(U164="",N164=""),"",N164/(U164*Inputs!$B$10))</f>
        <v/>
      </c>
      <c r="W164" s="8">
        <f>IF(OR(T164="",N164=""),"",4*N164/(PI()*T164^2))</f>
        <v/>
      </c>
      <c r="X164" s="8" t="n"/>
      <c r="Y164" s="8">
        <f>IF(A164="","",IF(A164=Inputs!$B$6,Inputs!$B$22,IF(D164="","",IFERROR(INDEX($Z$4:$Z$203,MATCH(D164,$A$4:$A$203,0))+IF(X164="",Inputs!$B$20,X164),""))))</f>
        <v/>
      </c>
      <c r="Z164" s="8">
        <f>IF(OR(Y164="",P164="",E164=""),"",Y164+P164*E164)</f>
        <v/>
      </c>
      <c r="AA164" s="8">
        <f>IF(C164="","",IFERROR(INDEX(Noeuds_plan!$C$4:$C$200,MATCH(C164,Noeuds_plan!$A$4:$A$200,0)),""))</f>
        <v/>
      </c>
      <c r="AB164" s="8">
        <f>IF(B164="","",IFERROR(INDEX(Noeuds_plan!$C$4:$C$200,MATCH(B164,Noeuds_plan!$A$4:$A$200,0)),""))</f>
        <v/>
      </c>
      <c r="AC164" s="8">
        <f>IF(OR(AA164="",Y164=""),"",AA164-Y164)</f>
        <v/>
      </c>
      <c r="AD164" s="8">
        <f>IF(OR(AB164="",Z164=""),"",AB164-Z164)</f>
        <v/>
      </c>
      <c r="AE164" s="4">
        <f>IF(A164="","",IF(OR(V164&gt;1,W164&lt;Inputs!$B$11,W164&gt;Inputs!$B$12,AC164&lt;Inputs!$B$19,AD164&lt;Inputs!$B$19,P164&lt;Inputs!$B$7,P164&gt;Inputs!$B$8),"CHECK","OK"))</f>
        <v/>
      </c>
      <c r="AF164" s="4" t="n"/>
      <c r="AG164" s="4">
        <f>IF(A164="","",(1/Inputs!$B$9)*(PI()*(Inputs!$F$5/1000)^2/4)*((Inputs!$F$5/1000/4)^(2/3))*SQRT(P164))</f>
        <v/>
      </c>
      <c r="AH164" s="4">
        <f>IF(A164="","",(1/Inputs!$B$9)*(PI()*(Inputs!$F$6/1000)^2/4)*((Inputs!$F$6/1000/4)^(2/3))*SQRT(P164))</f>
        <v/>
      </c>
      <c r="AI164" s="4">
        <f>IF(A164="","",(1/Inputs!$B$9)*(PI()*(Inputs!$F$7/1000)^2/4)*((Inputs!$F$7/1000/4)^(2/3))*SQRT(P164))</f>
        <v/>
      </c>
      <c r="AJ164" s="4">
        <f>IF(A164="","",(1/Inputs!$B$9)*(PI()*(Inputs!$F$8/1000)^2/4)*((Inputs!$F$8/1000/4)^(2/3))*SQRT(P164))</f>
        <v/>
      </c>
      <c r="AK164" s="4">
        <f>IF(A164="","",(1/Inputs!$B$9)*(PI()*(Inputs!$F$9/1000)^2/4)*((Inputs!$F$9/1000/4)^(2/3))*SQRT(P164))</f>
        <v/>
      </c>
      <c r="AL164" s="4">
        <f>IF(A164="","",(1/Inputs!$B$9)*(PI()*(Inputs!$F$10/1000)^2/4)*((Inputs!$F$10/1000/4)^(2/3))*SQRT(P164))</f>
        <v/>
      </c>
      <c r="AM164" s="4">
        <f>IF(A164="","",(1/Inputs!$B$9)*(PI()*(Inputs!$F$11/1000)^2/4)*((Inputs!$F$11/1000/4)^(2/3))*SQRT(P164))</f>
        <v/>
      </c>
      <c r="AN164" s="4">
        <f>IF(A164="","",(1/Inputs!$B$9)*(PI()*(Inputs!$F$12/1000)^2/4)*((Inputs!$F$12/1000/4)^(2/3))*SQRT(P164))</f>
        <v/>
      </c>
      <c r="AO164" s="4">
        <f>IF(A164="","",(1/Inputs!$B$9)*(PI()*(Inputs!$F$13/1000)^2/4)*((Inputs!$F$13/1000/4)^(2/3))*SQRT(P164))</f>
        <v/>
      </c>
      <c r="AP164" s="4">
        <f>IF(A164="","",(1/Inputs!$B$9)*(PI()*(Inputs!$F$14/1000)^2/4)*((Inputs!$F$14/1000/4)^(2/3))*SQRT(P164))</f>
        <v/>
      </c>
    </row>
    <row r="165">
      <c r="A165" s="4" t="n"/>
      <c r="B165" s="4" t="n"/>
      <c r="C165" s="4" t="n"/>
      <c r="D165" s="4" t="n"/>
      <c r="E165" s="8" t="n"/>
      <c r="F165" s="8" t="n"/>
      <c r="G165" s="8">
        <f>SUMIFS(CB_plan!$C:$C,CB_plan!$B:$B,$A165)</f>
        <v/>
      </c>
      <c r="H165" s="8">
        <f>IF(F165="",G165,F165)</f>
        <v/>
      </c>
      <c r="I165" s="4" t="n"/>
      <c r="J165" s="8" t="n"/>
      <c r="K165" s="8">
        <f>IF(A165="","",Inputs!$B$13/((IF(J165="",Inputs!$B$18,J165)+Inputs!$B$14)^Inputs!$B$15))</f>
        <v/>
      </c>
      <c r="L165" s="8">
        <f>IF(A165="","",0.00278*IF(I165="",Inputs!$B$17,I165)*H165*K165)</f>
        <v/>
      </c>
      <c r="M165" s="8">
        <f>IF(A165="","",SUMIFS($N$4:$N$203,$D$4:$D$203,$A165))</f>
        <v/>
      </c>
      <c r="N165" s="8">
        <f>IF(A165="","",(L165+M165)*Inputs!$B$16)</f>
        <v/>
      </c>
      <c r="O165" s="8" t="n"/>
      <c r="P165" s="8">
        <f>IF(A165="","",IF(O165="",Inputs!$B$7,O165))</f>
        <v/>
      </c>
      <c r="Q165" s="4">
        <f>IF(A165="","",IF(N165/Inputs!$B$10&lt;=AG165,Inputs!$F$5,IF(N165/Inputs!$B$10&gt;AP165,"OVERSIZE",INDEX(Inputs!$F$5:$F$14,MATCH(N165/Inputs!$B$10,AG165:AP165,1)+1))))</f>
        <v/>
      </c>
      <c r="R165" s="4" t="n"/>
      <c r="S165" s="4">
        <f>IF(A165="","",IF(R165="",Q165,R165))</f>
        <v/>
      </c>
      <c r="T165" s="8">
        <f>IF(OR(S165="",S165="OVERSIZE"),"",S165/1000)</f>
        <v/>
      </c>
      <c r="U165" s="8">
        <f>IF(T165="","",(1/Inputs!$B$9)*(PI()*T165^2/4)*((T165/4)^(2/3))*SQRT(P165))</f>
        <v/>
      </c>
      <c r="V165" s="8">
        <f>IF(OR(U165="",N165=""),"",N165/(U165*Inputs!$B$10))</f>
        <v/>
      </c>
      <c r="W165" s="8">
        <f>IF(OR(T165="",N165=""),"",4*N165/(PI()*T165^2))</f>
        <v/>
      </c>
      <c r="X165" s="8" t="n"/>
      <c r="Y165" s="8">
        <f>IF(A165="","",IF(A165=Inputs!$B$6,Inputs!$B$22,IF(D165="","",IFERROR(INDEX($Z$4:$Z$203,MATCH(D165,$A$4:$A$203,0))+IF(X165="",Inputs!$B$20,X165),""))))</f>
        <v/>
      </c>
      <c r="Z165" s="8">
        <f>IF(OR(Y165="",P165="",E165=""),"",Y165+P165*E165)</f>
        <v/>
      </c>
      <c r="AA165" s="8">
        <f>IF(C165="","",IFERROR(INDEX(Noeuds_plan!$C$4:$C$200,MATCH(C165,Noeuds_plan!$A$4:$A$200,0)),""))</f>
        <v/>
      </c>
      <c r="AB165" s="8">
        <f>IF(B165="","",IFERROR(INDEX(Noeuds_plan!$C$4:$C$200,MATCH(B165,Noeuds_plan!$A$4:$A$200,0)),""))</f>
        <v/>
      </c>
      <c r="AC165" s="8">
        <f>IF(OR(AA165="",Y165=""),"",AA165-Y165)</f>
        <v/>
      </c>
      <c r="AD165" s="8">
        <f>IF(OR(AB165="",Z165=""),"",AB165-Z165)</f>
        <v/>
      </c>
      <c r="AE165" s="4">
        <f>IF(A165="","",IF(OR(V165&gt;1,W165&lt;Inputs!$B$11,W165&gt;Inputs!$B$12,AC165&lt;Inputs!$B$19,AD165&lt;Inputs!$B$19,P165&lt;Inputs!$B$7,P165&gt;Inputs!$B$8),"CHECK","OK"))</f>
        <v/>
      </c>
      <c r="AF165" s="4" t="n"/>
      <c r="AG165" s="4">
        <f>IF(A165="","",(1/Inputs!$B$9)*(PI()*(Inputs!$F$5/1000)^2/4)*((Inputs!$F$5/1000/4)^(2/3))*SQRT(P165))</f>
        <v/>
      </c>
      <c r="AH165" s="4">
        <f>IF(A165="","",(1/Inputs!$B$9)*(PI()*(Inputs!$F$6/1000)^2/4)*((Inputs!$F$6/1000/4)^(2/3))*SQRT(P165))</f>
        <v/>
      </c>
      <c r="AI165" s="4">
        <f>IF(A165="","",(1/Inputs!$B$9)*(PI()*(Inputs!$F$7/1000)^2/4)*((Inputs!$F$7/1000/4)^(2/3))*SQRT(P165))</f>
        <v/>
      </c>
      <c r="AJ165" s="4">
        <f>IF(A165="","",(1/Inputs!$B$9)*(PI()*(Inputs!$F$8/1000)^2/4)*((Inputs!$F$8/1000/4)^(2/3))*SQRT(P165))</f>
        <v/>
      </c>
      <c r="AK165" s="4">
        <f>IF(A165="","",(1/Inputs!$B$9)*(PI()*(Inputs!$F$9/1000)^2/4)*((Inputs!$F$9/1000/4)^(2/3))*SQRT(P165))</f>
        <v/>
      </c>
      <c r="AL165" s="4">
        <f>IF(A165="","",(1/Inputs!$B$9)*(PI()*(Inputs!$F$10/1000)^2/4)*((Inputs!$F$10/1000/4)^(2/3))*SQRT(P165))</f>
        <v/>
      </c>
      <c r="AM165" s="4">
        <f>IF(A165="","",(1/Inputs!$B$9)*(PI()*(Inputs!$F$11/1000)^2/4)*((Inputs!$F$11/1000/4)^(2/3))*SQRT(P165))</f>
        <v/>
      </c>
      <c r="AN165" s="4">
        <f>IF(A165="","",(1/Inputs!$B$9)*(PI()*(Inputs!$F$12/1000)^2/4)*((Inputs!$F$12/1000/4)^(2/3))*SQRT(P165))</f>
        <v/>
      </c>
      <c r="AO165" s="4">
        <f>IF(A165="","",(1/Inputs!$B$9)*(PI()*(Inputs!$F$13/1000)^2/4)*((Inputs!$F$13/1000/4)^(2/3))*SQRT(P165))</f>
        <v/>
      </c>
      <c r="AP165" s="4">
        <f>IF(A165="","",(1/Inputs!$B$9)*(PI()*(Inputs!$F$14/1000)^2/4)*((Inputs!$F$14/1000/4)^(2/3))*SQRT(P165))</f>
        <v/>
      </c>
    </row>
    <row r="166">
      <c r="A166" s="4" t="n"/>
      <c r="B166" s="4" t="n"/>
      <c r="C166" s="4" t="n"/>
      <c r="D166" s="4" t="n"/>
      <c r="E166" s="8" t="n"/>
      <c r="F166" s="8" t="n"/>
      <c r="G166" s="8">
        <f>SUMIFS(CB_plan!$C:$C,CB_plan!$B:$B,$A166)</f>
        <v/>
      </c>
      <c r="H166" s="8">
        <f>IF(F166="",G166,F166)</f>
        <v/>
      </c>
      <c r="I166" s="4" t="n"/>
      <c r="J166" s="8" t="n"/>
      <c r="K166" s="8">
        <f>IF(A166="","",Inputs!$B$13/((IF(J166="",Inputs!$B$18,J166)+Inputs!$B$14)^Inputs!$B$15))</f>
        <v/>
      </c>
      <c r="L166" s="8">
        <f>IF(A166="","",0.00278*IF(I166="",Inputs!$B$17,I166)*H166*K166)</f>
        <v/>
      </c>
      <c r="M166" s="8">
        <f>IF(A166="","",SUMIFS($N$4:$N$203,$D$4:$D$203,$A166))</f>
        <v/>
      </c>
      <c r="N166" s="8">
        <f>IF(A166="","",(L166+M166)*Inputs!$B$16)</f>
        <v/>
      </c>
      <c r="O166" s="8" t="n"/>
      <c r="P166" s="8">
        <f>IF(A166="","",IF(O166="",Inputs!$B$7,O166))</f>
        <v/>
      </c>
      <c r="Q166" s="4">
        <f>IF(A166="","",IF(N166/Inputs!$B$10&lt;=AG166,Inputs!$F$5,IF(N166/Inputs!$B$10&gt;AP166,"OVERSIZE",INDEX(Inputs!$F$5:$F$14,MATCH(N166/Inputs!$B$10,AG166:AP166,1)+1))))</f>
        <v/>
      </c>
      <c r="R166" s="4" t="n"/>
      <c r="S166" s="4">
        <f>IF(A166="","",IF(R166="",Q166,R166))</f>
        <v/>
      </c>
      <c r="T166" s="8">
        <f>IF(OR(S166="",S166="OVERSIZE"),"",S166/1000)</f>
        <v/>
      </c>
      <c r="U166" s="8">
        <f>IF(T166="","",(1/Inputs!$B$9)*(PI()*T166^2/4)*((T166/4)^(2/3))*SQRT(P166))</f>
        <v/>
      </c>
      <c r="V166" s="8">
        <f>IF(OR(U166="",N166=""),"",N166/(U166*Inputs!$B$10))</f>
        <v/>
      </c>
      <c r="W166" s="8">
        <f>IF(OR(T166="",N166=""),"",4*N166/(PI()*T166^2))</f>
        <v/>
      </c>
      <c r="X166" s="8" t="n"/>
      <c r="Y166" s="8">
        <f>IF(A166="","",IF(A166=Inputs!$B$6,Inputs!$B$22,IF(D166="","",IFERROR(INDEX($Z$4:$Z$203,MATCH(D166,$A$4:$A$203,0))+IF(X166="",Inputs!$B$20,X166),""))))</f>
        <v/>
      </c>
      <c r="Z166" s="8">
        <f>IF(OR(Y166="",P166="",E166=""),"",Y166+P166*E166)</f>
        <v/>
      </c>
      <c r="AA166" s="8">
        <f>IF(C166="","",IFERROR(INDEX(Noeuds_plan!$C$4:$C$200,MATCH(C166,Noeuds_plan!$A$4:$A$200,0)),""))</f>
        <v/>
      </c>
      <c r="AB166" s="8">
        <f>IF(B166="","",IFERROR(INDEX(Noeuds_plan!$C$4:$C$200,MATCH(B166,Noeuds_plan!$A$4:$A$200,0)),""))</f>
        <v/>
      </c>
      <c r="AC166" s="8">
        <f>IF(OR(AA166="",Y166=""),"",AA166-Y166)</f>
        <v/>
      </c>
      <c r="AD166" s="8">
        <f>IF(OR(AB166="",Z166=""),"",AB166-Z166)</f>
        <v/>
      </c>
      <c r="AE166" s="4">
        <f>IF(A166="","",IF(OR(V166&gt;1,W166&lt;Inputs!$B$11,W166&gt;Inputs!$B$12,AC166&lt;Inputs!$B$19,AD166&lt;Inputs!$B$19,P166&lt;Inputs!$B$7,P166&gt;Inputs!$B$8),"CHECK","OK"))</f>
        <v/>
      </c>
      <c r="AF166" s="4" t="n"/>
      <c r="AG166" s="4">
        <f>IF(A166="","",(1/Inputs!$B$9)*(PI()*(Inputs!$F$5/1000)^2/4)*((Inputs!$F$5/1000/4)^(2/3))*SQRT(P166))</f>
        <v/>
      </c>
      <c r="AH166" s="4">
        <f>IF(A166="","",(1/Inputs!$B$9)*(PI()*(Inputs!$F$6/1000)^2/4)*((Inputs!$F$6/1000/4)^(2/3))*SQRT(P166))</f>
        <v/>
      </c>
      <c r="AI166" s="4">
        <f>IF(A166="","",(1/Inputs!$B$9)*(PI()*(Inputs!$F$7/1000)^2/4)*((Inputs!$F$7/1000/4)^(2/3))*SQRT(P166))</f>
        <v/>
      </c>
      <c r="AJ166" s="4">
        <f>IF(A166="","",(1/Inputs!$B$9)*(PI()*(Inputs!$F$8/1000)^2/4)*((Inputs!$F$8/1000/4)^(2/3))*SQRT(P166))</f>
        <v/>
      </c>
      <c r="AK166" s="4">
        <f>IF(A166="","",(1/Inputs!$B$9)*(PI()*(Inputs!$F$9/1000)^2/4)*((Inputs!$F$9/1000/4)^(2/3))*SQRT(P166))</f>
        <v/>
      </c>
      <c r="AL166" s="4">
        <f>IF(A166="","",(1/Inputs!$B$9)*(PI()*(Inputs!$F$10/1000)^2/4)*((Inputs!$F$10/1000/4)^(2/3))*SQRT(P166))</f>
        <v/>
      </c>
      <c r="AM166" s="4">
        <f>IF(A166="","",(1/Inputs!$B$9)*(PI()*(Inputs!$F$11/1000)^2/4)*((Inputs!$F$11/1000/4)^(2/3))*SQRT(P166))</f>
        <v/>
      </c>
      <c r="AN166" s="4">
        <f>IF(A166="","",(1/Inputs!$B$9)*(PI()*(Inputs!$F$12/1000)^2/4)*((Inputs!$F$12/1000/4)^(2/3))*SQRT(P166))</f>
        <v/>
      </c>
      <c r="AO166" s="4">
        <f>IF(A166="","",(1/Inputs!$B$9)*(PI()*(Inputs!$F$13/1000)^2/4)*((Inputs!$F$13/1000/4)^(2/3))*SQRT(P166))</f>
        <v/>
      </c>
      <c r="AP166" s="4">
        <f>IF(A166="","",(1/Inputs!$B$9)*(PI()*(Inputs!$F$14/1000)^2/4)*((Inputs!$F$14/1000/4)^(2/3))*SQRT(P166))</f>
        <v/>
      </c>
    </row>
    <row r="167">
      <c r="A167" s="4" t="n"/>
      <c r="B167" s="4" t="n"/>
      <c r="C167" s="4" t="n"/>
      <c r="D167" s="4" t="n"/>
      <c r="E167" s="8" t="n"/>
      <c r="F167" s="8" t="n"/>
      <c r="G167" s="8">
        <f>SUMIFS(CB_plan!$C:$C,CB_plan!$B:$B,$A167)</f>
        <v/>
      </c>
      <c r="H167" s="8">
        <f>IF(F167="",G167,F167)</f>
        <v/>
      </c>
      <c r="I167" s="4" t="n"/>
      <c r="J167" s="8" t="n"/>
      <c r="K167" s="8">
        <f>IF(A167="","",Inputs!$B$13/((IF(J167="",Inputs!$B$18,J167)+Inputs!$B$14)^Inputs!$B$15))</f>
        <v/>
      </c>
      <c r="L167" s="8">
        <f>IF(A167="","",0.00278*IF(I167="",Inputs!$B$17,I167)*H167*K167)</f>
        <v/>
      </c>
      <c r="M167" s="8">
        <f>IF(A167="","",SUMIFS($N$4:$N$203,$D$4:$D$203,$A167))</f>
        <v/>
      </c>
      <c r="N167" s="8">
        <f>IF(A167="","",(L167+M167)*Inputs!$B$16)</f>
        <v/>
      </c>
      <c r="O167" s="8" t="n"/>
      <c r="P167" s="8">
        <f>IF(A167="","",IF(O167="",Inputs!$B$7,O167))</f>
        <v/>
      </c>
      <c r="Q167" s="4">
        <f>IF(A167="","",IF(N167/Inputs!$B$10&lt;=AG167,Inputs!$F$5,IF(N167/Inputs!$B$10&gt;AP167,"OVERSIZE",INDEX(Inputs!$F$5:$F$14,MATCH(N167/Inputs!$B$10,AG167:AP167,1)+1))))</f>
        <v/>
      </c>
      <c r="R167" s="4" t="n"/>
      <c r="S167" s="4">
        <f>IF(A167="","",IF(R167="",Q167,R167))</f>
        <v/>
      </c>
      <c r="T167" s="8">
        <f>IF(OR(S167="",S167="OVERSIZE"),"",S167/1000)</f>
        <v/>
      </c>
      <c r="U167" s="8">
        <f>IF(T167="","",(1/Inputs!$B$9)*(PI()*T167^2/4)*((T167/4)^(2/3))*SQRT(P167))</f>
        <v/>
      </c>
      <c r="V167" s="8">
        <f>IF(OR(U167="",N167=""),"",N167/(U167*Inputs!$B$10))</f>
        <v/>
      </c>
      <c r="W167" s="8">
        <f>IF(OR(T167="",N167=""),"",4*N167/(PI()*T167^2))</f>
        <v/>
      </c>
      <c r="X167" s="8" t="n"/>
      <c r="Y167" s="8">
        <f>IF(A167="","",IF(A167=Inputs!$B$6,Inputs!$B$22,IF(D167="","",IFERROR(INDEX($Z$4:$Z$203,MATCH(D167,$A$4:$A$203,0))+IF(X167="",Inputs!$B$20,X167),""))))</f>
        <v/>
      </c>
      <c r="Z167" s="8">
        <f>IF(OR(Y167="",P167="",E167=""),"",Y167+P167*E167)</f>
        <v/>
      </c>
      <c r="AA167" s="8">
        <f>IF(C167="","",IFERROR(INDEX(Noeuds_plan!$C$4:$C$200,MATCH(C167,Noeuds_plan!$A$4:$A$200,0)),""))</f>
        <v/>
      </c>
      <c r="AB167" s="8">
        <f>IF(B167="","",IFERROR(INDEX(Noeuds_plan!$C$4:$C$200,MATCH(B167,Noeuds_plan!$A$4:$A$200,0)),""))</f>
        <v/>
      </c>
      <c r="AC167" s="8">
        <f>IF(OR(AA167="",Y167=""),"",AA167-Y167)</f>
        <v/>
      </c>
      <c r="AD167" s="8">
        <f>IF(OR(AB167="",Z167=""),"",AB167-Z167)</f>
        <v/>
      </c>
      <c r="AE167" s="4">
        <f>IF(A167="","",IF(OR(V167&gt;1,W167&lt;Inputs!$B$11,W167&gt;Inputs!$B$12,AC167&lt;Inputs!$B$19,AD167&lt;Inputs!$B$19,P167&lt;Inputs!$B$7,P167&gt;Inputs!$B$8),"CHECK","OK"))</f>
        <v/>
      </c>
      <c r="AF167" s="4" t="n"/>
      <c r="AG167" s="4">
        <f>IF(A167="","",(1/Inputs!$B$9)*(PI()*(Inputs!$F$5/1000)^2/4)*((Inputs!$F$5/1000/4)^(2/3))*SQRT(P167))</f>
        <v/>
      </c>
      <c r="AH167" s="4">
        <f>IF(A167="","",(1/Inputs!$B$9)*(PI()*(Inputs!$F$6/1000)^2/4)*((Inputs!$F$6/1000/4)^(2/3))*SQRT(P167))</f>
        <v/>
      </c>
      <c r="AI167" s="4">
        <f>IF(A167="","",(1/Inputs!$B$9)*(PI()*(Inputs!$F$7/1000)^2/4)*((Inputs!$F$7/1000/4)^(2/3))*SQRT(P167))</f>
        <v/>
      </c>
      <c r="AJ167" s="4">
        <f>IF(A167="","",(1/Inputs!$B$9)*(PI()*(Inputs!$F$8/1000)^2/4)*((Inputs!$F$8/1000/4)^(2/3))*SQRT(P167))</f>
        <v/>
      </c>
      <c r="AK167" s="4">
        <f>IF(A167="","",(1/Inputs!$B$9)*(PI()*(Inputs!$F$9/1000)^2/4)*((Inputs!$F$9/1000/4)^(2/3))*SQRT(P167))</f>
        <v/>
      </c>
      <c r="AL167" s="4">
        <f>IF(A167="","",(1/Inputs!$B$9)*(PI()*(Inputs!$F$10/1000)^2/4)*((Inputs!$F$10/1000/4)^(2/3))*SQRT(P167))</f>
        <v/>
      </c>
      <c r="AM167" s="4">
        <f>IF(A167="","",(1/Inputs!$B$9)*(PI()*(Inputs!$F$11/1000)^2/4)*((Inputs!$F$11/1000/4)^(2/3))*SQRT(P167))</f>
        <v/>
      </c>
      <c r="AN167" s="4">
        <f>IF(A167="","",(1/Inputs!$B$9)*(PI()*(Inputs!$F$12/1000)^2/4)*((Inputs!$F$12/1000/4)^(2/3))*SQRT(P167))</f>
        <v/>
      </c>
      <c r="AO167" s="4">
        <f>IF(A167="","",(1/Inputs!$B$9)*(PI()*(Inputs!$F$13/1000)^2/4)*((Inputs!$F$13/1000/4)^(2/3))*SQRT(P167))</f>
        <v/>
      </c>
      <c r="AP167" s="4">
        <f>IF(A167="","",(1/Inputs!$B$9)*(PI()*(Inputs!$F$14/1000)^2/4)*((Inputs!$F$14/1000/4)^(2/3))*SQRT(P167))</f>
        <v/>
      </c>
    </row>
    <row r="168">
      <c r="A168" s="4" t="n"/>
      <c r="B168" s="4" t="n"/>
      <c r="C168" s="4" t="n"/>
      <c r="D168" s="4" t="n"/>
      <c r="E168" s="8" t="n"/>
      <c r="F168" s="8" t="n"/>
      <c r="G168" s="8">
        <f>SUMIFS(CB_plan!$C:$C,CB_plan!$B:$B,$A168)</f>
        <v/>
      </c>
      <c r="H168" s="8">
        <f>IF(F168="",G168,F168)</f>
        <v/>
      </c>
      <c r="I168" s="4" t="n"/>
      <c r="J168" s="8" t="n"/>
      <c r="K168" s="8">
        <f>IF(A168="","",Inputs!$B$13/((IF(J168="",Inputs!$B$18,J168)+Inputs!$B$14)^Inputs!$B$15))</f>
        <v/>
      </c>
      <c r="L168" s="8">
        <f>IF(A168="","",0.00278*IF(I168="",Inputs!$B$17,I168)*H168*K168)</f>
        <v/>
      </c>
      <c r="M168" s="8">
        <f>IF(A168="","",SUMIFS($N$4:$N$203,$D$4:$D$203,$A168))</f>
        <v/>
      </c>
      <c r="N168" s="8">
        <f>IF(A168="","",(L168+M168)*Inputs!$B$16)</f>
        <v/>
      </c>
      <c r="O168" s="8" t="n"/>
      <c r="P168" s="8">
        <f>IF(A168="","",IF(O168="",Inputs!$B$7,O168))</f>
        <v/>
      </c>
      <c r="Q168" s="4">
        <f>IF(A168="","",IF(N168/Inputs!$B$10&lt;=AG168,Inputs!$F$5,IF(N168/Inputs!$B$10&gt;AP168,"OVERSIZE",INDEX(Inputs!$F$5:$F$14,MATCH(N168/Inputs!$B$10,AG168:AP168,1)+1))))</f>
        <v/>
      </c>
      <c r="R168" s="4" t="n"/>
      <c r="S168" s="4">
        <f>IF(A168="","",IF(R168="",Q168,R168))</f>
        <v/>
      </c>
      <c r="T168" s="8">
        <f>IF(OR(S168="",S168="OVERSIZE"),"",S168/1000)</f>
        <v/>
      </c>
      <c r="U168" s="8">
        <f>IF(T168="","",(1/Inputs!$B$9)*(PI()*T168^2/4)*((T168/4)^(2/3))*SQRT(P168))</f>
        <v/>
      </c>
      <c r="V168" s="8">
        <f>IF(OR(U168="",N168=""),"",N168/(U168*Inputs!$B$10))</f>
        <v/>
      </c>
      <c r="W168" s="8">
        <f>IF(OR(T168="",N168=""),"",4*N168/(PI()*T168^2))</f>
        <v/>
      </c>
      <c r="X168" s="8" t="n"/>
      <c r="Y168" s="8">
        <f>IF(A168="","",IF(A168=Inputs!$B$6,Inputs!$B$22,IF(D168="","",IFERROR(INDEX($Z$4:$Z$203,MATCH(D168,$A$4:$A$203,0))+IF(X168="",Inputs!$B$20,X168),""))))</f>
        <v/>
      </c>
      <c r="Z168" s="8">
        <f>IF(OR(Y168="",P168="",E168=""),"",Y168+P168*E168)</f>
        <v/>
      </c>
      <c r="AA168" s="8">
        <f>IF(C168="","",IFERROR(INDEX(Noeuds_plan!$C$4:$C$200,MATCH(C168,Noeuds_plan!$A$4:$A$200,0)),""))</f>
        <v/>
      </c>
      <c r="AB168" s="8">
        <f>IF(B168="","",IFERROR(INDEX(Noeuds_plan!$C$4:$C$200,MATCH(B168,Noeuds_plan!$A$4:$A$200,0)),""))</f>
        <v/>
      </c>
      <c r="AC168" s="8">
        <f>IF(OR(AA168="",Y168=""),"",AA168-Y168)</f>
        <v/>
      </c>
      <c r="AD168" s="8">
        <f>IF(OR(AB168="",Z168=""),"",AB168-Z168)</f>
        <v/>
      </c>
      <c r="AE168" s="4">
        <f>IF(A168="","",IF(OR(V168&gt;1,W168&lt;Inputs!$B$11,W168&gt;Inputs!$B$12,AC168&lt;Inputs!$B$19,AD168&lt;Inputs!$B$19,P168&lt;Inputs!$B$7,P168&gt;Inputs!$B$8),"CHECK","OK"))</f>
        <v/>
      </c>
      <c r="AF168" s="4" t="n"/>
      <c r="AG168" s="4">
        <f>IF(A168="","",(1/Inputs!$B$9)*(PI()*(Inputs!$F$5/1000)^2/4)*((Inputs!$F$5/1000/4)^(2/3))*SQRT(P168))</f>
        <v/>
      </c>
      <c r="AH168" s="4">
        <f>IF(A168="","",(1/Inputs!$B$9)*(PI()*(Inputs!$F$6/1000)^2/4)*((Inputs!$F$6/1000/4)^(2/3))*SQRT(P168))</f>
        <v/>
      </c>
      <c r="AI168" s="4">
        <f>IF(A168="","",(1/Inputs!$B$9)*(PI()*(Inputs!$F$7/1000)^2/4)*((Inputs!$F$7/1000/4)^(2/3))*SQRT(P168))</f>
        <v/>
      </c>
      <c r="AJ168" s="4">
        <f>IF(A168="","",(1/Inputs!$B$9)*(PI()*(Inputs!$F$8/1000)^2/4)*((Inputs!$F$8/1000/4)^(2/3))*SQRT(P168))</f>
        <v/>
      </c>
      <c r="AK168" s="4">
        <f>IF(A168="","",(1/Inputs!$B$9)*(PI()*(Inputs!$F$9/1000)^2/4)*((Inputs!$F$9/1000/4)^(2/3))*SQRT(P168))</f>
        <v/>
      </c>
      <c r="AL168" s="4">
        <f>IF(A168="","",(1/Inputs!$B$9)*(PI()*(Inputs!$F$10/1000)^2/4)*((Inputs!$F$10/1000/4)^(2/3))*SQRT(P168))</f>
        <v/>
      </c>
      <c r="AM168" s="4">
        <f>IF(A168="","",(1/Inputs!$B$9)*(PI()*(Inputs!$F$11/1000)^2/4)*((Inputs!$F$11/1000/4)^(2/3))*SQRT(P168))</f>
        <v/>
      </c>
      <c r="AN168" s="4">
        <f>IF(A168="","",(1/Inputs!$B$9)*(PI()*(Inputs!$F$12/1000)^2/4)*((Inputs!$F$12/1000/4)^(2/3))*SQRT(P168))</f>
        <v/>
      </c>
      <c r="AO168" s="4">
        <f>IF(A168="","",(1/Inputs!$B$9)*(PI()*(Inputs!$F$13/1000)^2/4)*((Inputs!$F$13/1000/4)^(2/3))*SQRT(P168))</f>
        <v/>
      </c>
      <c r="AP168" s="4">
        <f>IF(A168="","",(1/Inputs!$B$9)*(PI()*(Inputs!$F$14/1000)^2/4)*((Inputs!$F$14/1000/4)^(2/3))*SQRT(P168))</f>
        <v/>
      </c>
    </row>
    <row r="169">
      <c r="A169" s="4" t="n"/>
      <c r="B169" s="4" t="n"/>
      <c r="C169" s="4" t="n"/>
      <c r="D169" s="4" t="n"/>
      <c r="E169" s="8" t="n"/>
      <c r="F169" s="8" t="n"/>
      <c r="G169" s="8">
        <f>SUMIFS(CB_plan!$C:$C,CB_plan!$B:$B,$A169)</f>
        <v/>
      </c>
      <c r="H169" s="8">
        <f>IF(F169="",G169,F169)</f>
        <v/>
      </c>
      <c r="I169" s="4" t="n"/>
      <c r="J169" s="8" t="n"/>
      <c r="K169" s="8">
        <f>IF(A169="","",Inputs!$B$13/((IF(J169="",Inputs!$B$18,J169)+Inputs!$B$14)^Inputs!$B$15))</f>
        <v/>
      </c>
      <c r="L169" s="8">
        <f>IF(A169="","",0.00278*IF(I169="",Inputs!$B$17,I169)*H169*K169)</f>
        <v/>
      </c>
      <c r="M169" s="8">
        <f>IF(A169="","",SUMIFS($N$4:$N$203,$D$4:$D$203,$A169))</f>
        <v/>
      </c>
      <c r="N169" s="8">
        <f>IF(A169="","",(L169+M169)*Inputs!$B$16)</f>
        <v/>
      </c>
      <c r="O169" s="8" t="n"/>
      <c r="P169" s="8">
        <f>IF(A169="","",IF(O169="",Inputs!$B$7,O169))</f>
        <v/>
      </c>
      <c r="Q169" s="4">
        <f>IF(A169="","",IF(N169/Inputs!$B$10&lt;=AG169,Inputs!$F$5,IF(N169/Inputs!$B$10&gt;AP169,"OVERSIZE",INDEX(Inputs!$F$5:$F$14,MATCH(N169/Inputs!$B$10,AG169:AP169,1)+1))))</f>
        <v/>
      </c>
      <c r="R169" s="4" t="n"/>
      <c r="S169" s="4">
        <f>IF(A169="","",IF(R169="",Q169,R169))</f>
        <v/>
      </c>
      <c r="T169" s="8">
        <f>IF(OR(S169="",S169="OVERSIZE"),"",S169/1000)</f>
        <v/>
      </c>
      <c r="U169" s="8">
        <f>IF(T169="","",(1/Inputs!$B$9)*(PI()*T169^2/4)*((T169/4)^(2/3))*SQRT(P169))</f>
        <v/>
      </c>
      <c r="V169" s="8">
        <f>IF(OR(U169="",N169=""),"",N169/(U169*Inputs!$B$10))</f>
        <v/>
      </c>
      <c r="W169" s="8">
        <f>IF(OR(T169="",N169=""),"",4*N169/(PI()*T169^2))</f>
        <v/>
      </c>
      <c r="X169" s="8" t="n"/>
      <c r="Y169" s="8">
        <f>IF(A169="","",IF(A169=Inputs!$B$6,Inputs!$B$22,IF(D169="","",IFERROR(INDEX($Z$4:$Z$203,MATCH(D169,$A$4:$A$203,0))+IF(X169="",Inputs!$B$20,X169),""))))</f>
        <v/>
      </c>
      <c r="Z169" s="8">
        <f>IF(OR(Y169="",P169="",E169=""),"",Y169+P169*E169)</f>
        <v/>
      </c>
      <c r="AA169" s="8">
        <f>IF(C169="","",IFERROR(INDEX(Noeuds_plan!$C$4:$C$200,MATCH(C169,Noeuds_plan!$A$4:$A$200,0)),""))</f>
        <v/>
      </c>
      <c r="AB169" s="8">
        <f>IF(B169="","",IFERROR(INDEX(Noeuds_plan!$C$4:$C$200,MATCH(B169,Noeuds_plan!$A$4:$A$200,0)),""))</f>
        <v/>
      </c>
      <c r="AC169" s="8">
        <f>IF(OR(AA169="",Y169=""),"",AA169-Y169)</f>
        <v/>
      </c>
      <c r="AD169" s="8">
        <f>IF(OR(AB169="",Z169=""),"",AB169-Z169)</f>
        <v/>
      </c>
      <c r="AE169" s="4">
        <f>IF(A169="","",IF(OR(V169&gt;1,W169&lt;Inputs!$B$11,W169&gt;Inputs!$B$12,AC169&lt;Inputs!$B$19,AD169&lt;Inputs!$B$19,P169&lt;Inputs!$B$7,P169&gt;Inputs!$B$8),"CHECK","OK"))</f>
        <v/>
      </c>
      <c r="AF169" s="4" t="n"/>
      <c r="AG169" s="4">
        <f>IF(A169="","",(1/Inputs!$B$9)*(PI()*(Inputs!$F$5/1000)^2/4)*((Inputs!$F$5/1000/4)^(2/3))*SQRT(P169))</f>
        <v/>
      </c>
      <c r="AH169" s="4">
        <f>IF(A169="","",(1/Inputs!$B$9)*(PI()*(Inputs!$F$6/1000)^2/4)*((Inputs!$F$6/1000/4)^(2/3))*SQRT(P169))</f>
        <v/>
      </c>
      <c r="AI169" s="4">
        <f>IF(A169="","",(1/Inputs!$B$9)*(PI()*(Inputs!$F$7/1000)^2/4)*((Inputs!$F$7/1000/4)^(2/3))*SQRT(P169))</f>
        <v/>
      </c>
      <c r="AJ169" s="4">
        <f>IF(A169="","",(1/Inputs!$B$9)*(PI()*(Inputs!$F$8/1000)^2/4)*((Inputs!$F$8/1000/4)^(2/3))*SQRT(P169))</f>
        <v/>
      </c>
      <c r="AK169" s="4">
        <f>IF(A169="","",(1/Inputs!$B$9)*(PI()*(Inputs!$F$9/1000)^2/4)*((Inputs!$F$9/1000/4)^(2/3))*SQRT(P169))</f>
        <v/>
      </c>
      <c r="AL169" s="4">
        <f>IF(A169="","",(1/Inputs!$B$9)*(PI()*(Inputs!$F$10/1000)^2/4)*((Inputs!$F$10/1000/4)^(2/3))*SQRT(P169))</f>
        <v/>
      </c>
      <c r="AM169" s="4">
        <f>IF(A169="","",(1/Inputs!$B$9)*(PI()*(Inputs!$F$11/1000)^2/4)*((Inputs!$F$11/1000/4)^(2/3))*SQRT(P169))</f>
        <v/>
      </c>
      <c r="AN169" s="4">
        <f>IF(A169="","",(1/Inputs!$B$9)*(PI()*(Inputs!$F$12/1000)^2/4)*((Inputs!$F$12/1000/4)^(2/3))*SQRT(P169))</f>
        <v/>
      </c>
      <c r="AO169" s="4">
        <f>IF(A169="","",(1/Inputs!$B$9)*(PI()*(Inputs!$F$13/1000)^2/4)*((Inputs!$F$13/1000/4)^(2/3))*SQRT(P169))</f>
        <v/>
      </c>
      <c r="AP169" s="4">
        <f>IF(A169="","",(1/Inputs!$B$9)*(PI()*(Inputs!$F$14/1000)^2/4)*((Inputs!$F$14/1000/4)^(2/3))*SQRT(P169))</f>
        <v/>
      </c>
    </row>
    <row r="170">
      <c r="A170" s="4" t="n"/>
      <c r="B170" s="4" t="n"/>
      <c r="C170" s="4" t="n"/>
      <c r="D170" s="4" t="n"/>
      <c r="E170" s="8" t="n"/>
      <c r="F170" s="8" t="n"/>
      <c r="G170" s="8">
        <f>SUMIFS(CB_plan!$C:$C,CB_plan!$B:$B,$A170)</f>
        <v/>
      </c>
      <c r="H170" s="8">
        <f>IF(F170="",G170,F170)</f>
        <v/>
      </c>
      <c r="I170" s="4" t="n"/>
      <c r="J170" s="8" t="n"/>
      <c r="K170" s="8">
        <f>IF(A170="","",Inputs!$B$13/((IF(J170="",Inputs!$B$18,J170)+Inputs!$B$14)^Inputs!$B$15))</f>
        <v/>
      </c>
      <c r="L170" s="8">
        <f>IF(A170="","",0.00278*IF(I170="",Inputs!$B$17,I170)*H170*K170)</f>
        <v/>
      </c>
      <c r="M170" s="8">
        <f>IF(A170="","",SUMIFS($N$4:$N$203,$D$4:$D$203,$A170))</f>
        <v/>
      </c>
      <c r="N170" s="8">
        <f>IF(A170="","",(L170+M170)*Inputs!$B$16)</f>
        <v/>
      </c>
      <c r="O170" s="8" t="n"/>
      <c r="P170" s="8">
        <f>IF(A170="","",IF(O170="",Inputs!$B$7,O170))</f>
        <v/>
      </c>
      <c r="Q170" s="4">
        <f>IF(A170="","",IF(N170/Inputs!$B$10&lt;=AG170,Inputs!$F$5,IF(N170/Inputs!$B$10&gt;AP170,"OVERSIZE",INDEX(Inputs!$F$5:$F$14,MATCH(N170/Inputs!$B$10,AG170:AP170,1)+1))))</f>
        <v/>
      </c>
      <c r="R170" s="4" t="n"/>
      <c r="S170" s="4">
        <f>IF(A170="","",IF(R170="",Q170,R170))</f>
        <v/>
      </c>
      <c r="T170" s="8">
        <f>IF(OR(S170="",S170="OVERSIZE"),"",S170/1000)</f>
        <v/>
      </c>
      <c r="U170" s="8">
        <f>IF(T170="","",(1/Inputs!$B$9)*(PI()*T170^2/4)*((T170/4)^(2/3))*SQRT(P170))</f>
        <v/>
      </c>
      <c r="V170" s="8">
        <f>IF(OR(U170="",N170=""),"",N170/(U170*Inputs!$B$10))</f>
        <v/>
      </c>
      <c r="W170" s="8">
        <f>IF(OR(T170="",N170=""),"",4*N170/(PI()*T170^2))</f>
        <v/>
      </c>
      <c r="X170" s="8" t="n"/>
      <c r="Y170" s="8">
        <f>IF(A170="","",IF(A170=Inputs!$B$6,Inputs!$B$22,IF(D170="","",IFERROR(INDEX($Z$4:$Z$203,MATCH(D170,$A$4:$A$203,0))+IF(X170="",Inputs!$B$20,X170),""))))</f>
        <v/>
      </c>
      <c r="Z170" s="8">
        <f>IF(OR(Y170="",P170="",E170=""),"",Y170+P170*E170)</f>
        <v/>
      </c>
      <c r="AA170" s="8">
        <f>IF(C170="","",IFERROR(INDEX(Noeuds_plan!$C$4:$C$200,MATCH(C170,Noeuds_plan!$A$4:$A$200,0)),""))</f>
        <v/>
      </c>
      <c r="AB170" s="8">
        <f>IF(B170="","",IFERROR(INDEX(Noeuds_plan!$C$4:$C$200,MATCH(B170,Noeuds_plan!$A$4:$A$200,0)),""))</f>
        <v/>
      </c>
      <c r="AC170" s="8">
        <f>IF(OR(AA170="",Y170=""),"",AA170-Y170)</f>
        <v/>
      </c>
      <c r="AD170" s="8">
        <f>IF(OR(AB170="",Z170=""),"",AB170-Z170)</f>
        <v/>
      </c>
      <c r="AE170" s="4">
        <f>IF(A170="","",IF(OR(V170&gt;1,W170&lt;Inputs!$B$11,W170&gt;Inputs!$B$12,AC170&lt;Inputs!$B$19,AD170&lt;Inputs!$B$19,P170&lt;Inputs!$B$7,P170&gt;Inputs!$B$8),"CHECK","OK"))</f>
        <v/>
      </c>
      <c r="AF170" s="4" t="n"/>
      <c r="AG170" s="4">
        <f>IF(A170="","",(1/Inputs!$B$9)*(PI()*(Inputs!$F$5/1000)^2/4)*((Inputs!$F$5/1000/4)^(2/3))*SQRT(P170))</f>
        <v/>
      </c>
      <c r="AH170" s="4">
        <f>IF(A170="","",(1/Inputs!$B$9)*(PI()*(Inputs!$F$6/1000)^2/4)*((Inputs!$F$6/1000/4)^(2/3))*SQRT(P170))</f>
        <v/>
      </c>
      <c r="AI170" s="4">
        <f>IF(A170="","",(1/Inputs!$B$9)*(PI()*(Inputs!$F$7/1000)^2/4)*((Inputs!$F$7/1000/4)^(2/3))*SQRT(P170))</f>
        <v/>
      </c>
      <c r="AJ170" s="4">
        <f>IF(A170="","",(1/Inputs!$B$9)*(PI()*(Inputs!$F$8/1000)^2/4)*((Inputs!$F$8/1000/4)^(2/3))*SQRT(P170))</f>
        <v/>
      </c>
      <c r="AK170" s="4">
        <f>IF(A170="","",(1/Inputs!$B$9)*(PI()*(Inputs!$F$9/1000)^2/4)*((Inputs!$F$9/1000/4)^(2/3))*SQRT(P170))</f>
        <v/>
      </c>
      <c r="AL170" s="4">
        <f>IF(A170="","",(1/Inputs!$B$9)*(PI()*(Inputs!$F$10/1000)^2/4)*((Inputs!$F$10/1000/4)^(2/3))*SQRT(P170))</f>
        <v/>
      </c>
      <c r="AM170" s="4">
        <f>IF(A170="","",(1/Inputs!$B$9)*(PI()*(Inputs!$F$11/1000)^2/4)*((Inputs!$F$11/1000/4)^(2/3))*SQRT(P170))</f>
        <v/>
      </c>
      <c r="AN170" s="4">
        <f>IF(A170="","",(1/Inputs!$B$9)*(PI()*(Inputs!$F$12/1000)^2/4)*((Inputs!$F$12/1000/4)^(2/3))*SQRT(P170))</f>
        <v/>
      </c>
      <c r="AO170" s="4">
        <f>IF(A170="","",(1/Inputs!$B$9)*(PI()*(Inputs!$F$13/1000)^2/4)*((Inputs!$F$13/1000/4)^(2/3))*SQRT(P170))</f>
        <v/>
      </c>
      <c r="AP170" s="4">
        <f>IF(A170="","",(1/Inputs!$B$9)*(PI()*(Inputs!$F$14/1000)^2/4)*((Inputs!$F$14/1000/4)^(2/3))*SQRT(P170))</f>
        <v/>
      </c>
    </row>
    <row r="171">
      <c r="A171" s="4" t="n"/>
      <c r="B171" s="4" t="n"/>
      <c r="C171" s="4" t="n"/>
      <c r="D171" s="4" t="n"/>
      <c r="E171" s="8" t="n"/>
      <c r="F171" s="8" t="n"/>
      <c r="G171" s="8">
        <f>SUMIFS(CB_plan!$C:$C,CB_plan!$B:$B,$A171)</f>
        <v/>
      </c>
      <c r="H171" s="8">
        <f>IF(F171="",G171,F171)</f>
        <v/>
      </c>
      <c r="I171" s="4" t="n"/>
      <c r="J171" s="8" t="n"/>
      <c r="K171" s="8">
        <f>IF(A171="","",Inputs!$B$13/((IF(J171="",Inputs!$B$18,J171)+Inputs!$B$14)^Inputs!$B$15))</f>
        <v/>
      </c>
      <c r="L171" s="8">
        <f>IF(A171="","",0.00278*IF(I171="",Inputs!$B$17,I171)*H171*K171)</f>
        <v/>
      </c>
      <c r="M171" s="8">
        <f>IF(A171="","",SUMIFS($N$4:$N$203,$D$4:$D$203,$A171))</f>
        <v/>
      </c>
      <c r="N171" s="8">
        <f>IF(A171="","",(L171+M171)*Inputs!$B$16)</f>
        <v/>
      </c>
      <c r="O171" s="8" t="n"/>
      <c r="P171" s="8">
        <f>IF(A171="","",IF(O171="",Inputs!$B$7,O171))</f>
        <v/>
      </c>
      <c r="Q171" s="4">
        <f>IF(A171="","",IF(N171/Inputs!$B$10&lt;=AG171,Inputs!$F$5,IF(N171/Inputs!$B$10&gt;AP171,"OVERSIZE",INDEX(Inputs!$F$5:$F$14,MATCH(N171/Inputs!$B$10,AG171:AP171,1)+1))))</f>
        <v/>
      </c>
      <c r="R171" s="4" t="n"/>
      <c r="S171" s="4">
        <f>IF(A171="","",IF(R171="",Q171,R171))</f>
        <v/>
      </c>
      <c r="T171" s="8">
        <f>IF(OR(S171="",S171="OVERSIZE"),"",S171/1000)</f>
        <v/>
      </c>
      <c r="U171" s="8">
        <f>IF(T171="","",(1/Inputs!$B$9)*(PI()*T171^2/4)*((T171/4)^(2/3))*SQRT(P171))</f>
        <v/>
      </c>
      <c r="V171" s="8">
        <f>IF(OR(U171="",N171=""),"",N171/(U171*Inputs!$B$10))</f>
        <v/>
      </c>
      <c r="W171" s="8">
        <f>IF(OR(T171="",N171=""),"",4*N171/(PI()*T171^2))</f>
        <v/>
      </c>
      <c r="X171" s="8" t="n"/>
      <c r="Y171" s="8">
        <f>IF(A171="","",IF(A171=Inputs!$B$6,Inputs!$B$22,IF(D171="","",IFERROR(INDEX($Z$4:$Z$203,MATCH(D171,$A$4:$A$203,0))+IF(X171="",Inputs!$B$20,X171),""))))</f>
        <v/>
      </c>
      <c r="Z171" s="8">
        <f>IF(OR(Y171="",P171="",E171=""),"",Y171+P171*E171)</f>
        <v/>
      </c>
      <c r="AA171" s="8">
        <f>IF(C171="","",IFERROR(INDEX(Noeuds_plan!$C$4:$C$200,MATCH(C171,Noeuds_plan!$A$4:$A$200,0)),""))</f>
        <v/>
      </c>
      <c r="AB171" s="8">
        <f>IF(B171="","",IFERROR(INDEX(Noeuds_plan!$C$4:$C$200,MATCH(B171,Noeuds_plan!$A$4:$A$200,0)),""))</f>
        <v/>
      </c>
      <c r="AC171" s="8">
        <f>IF(OR(AA171="",Y171=""),"",AA171-Y171)</f>
        <v/>
      </c>
      <c r="AD171" s="8">
        <f>IF(OR(AB171="",Z171=""),"",AB171-Z171)</f>
        <v/>
      </c>
      <c r="AE171" s="4">
        <f>IF(A171="","",IF(OR(V171&gt;1,W171&lt;Inputs!$B$11,W171&gt;Inputs!$B$12,AC171&lt;Inputs!$B$19,AD171&lt;Inputs!$B$19,P171&lt;Inputs!$B$7,P171&gt;Inputs!$B$8),"CHECK","OK"))</f>
        <v/>
      </c>
      <c r="AF171" s="4" t="n"/>
      <c r="AG171" s="4">
        <f>IF(A171="","",(1/Inputs!$B$9)*(PI()*(Inputs!$F$5/1000)^2/4)*((Inputs!$F$5/1000/4)^(2/3))*SQRT(P171))</f>
        <v/>
      </c>
      <c r="AH171" s="4">
        <f>IF(A171="","",(1/Inputs!$B$9)*(PI()*(Inputs!$F$6/1000)^2/4)*((Inputs!$F$6/1000/4)^(2/3))*SQRT(P171))</f>
        <v/>
      </c>
      <c r="AI171" s="4">
        <f>IF(A171="","",(1/Inputs!$B$9)*(PI()*(Inputs!$F$7/1000)^2/4)*((Inputs!$F$7/1000/4)^(2/3))*SQRT(P171))</f>
        <v/>
      </c>
      <c r="AJ171" s="4">
        <f>IF(A171="","",(1/Inputs!$B$9)*(PI()*(Inputs!$F$8/1000)^2/4)*((Inputs!$F$8/1000/4)^(2/3))*SQRT(P171))</f>
        <v/>
      </c>
      <c r="AK171" s="4">
        <f>IF(A171="","",(1/Inputs!$B$9)*(PI()*(Inputs!$F$9/1000)^2/4)*((Inputs!$F$9/1000/4)^(2/3))*SQRT(P171))</f>
        <v/>
      </c>
      <c r="AL171" s="4">
        <f>IF(A171="","",(1/Inputs!$B$9)*(PI()*(Inputs!$F$10/1000)^2/4)*((Inputs!$F$10/1000/4)^(2/3))*SQRT(P171))</f>
        <v/>
      </c>
      <c r="AM171" s="4">
        <f>IF(A171="","",(1/Inputs!$B$9)*(PI()*(Inputs!$F$11/1000)^2/4)*((Inputs!$F$11/1000/4)^(2/3))*SQRT(P171))</f>
        <v/>
      </c>
      <c r="AN171" s="4">
        <f>IF(A171="","",(1/Inputs!$B$9)*(PI()*(Inputs!$F$12/1000)^2/4)*((Inputs!$F$12/1000/4)^(2/3))*SQRT(P171))</f>
        <v/>
      </c>
      <c r="AO171" s="4">
        <f>IF(A171="","",(1/Inputs!$B$9)*(PI()*(Inputs!$F$13/1000)^2/4)*((Inputs!$F$13/1000/4)^(2/3))*SQRT(P171))</f>
        <v/>
      </c>
      <c r="AP171" s="4">
        <f>IF(A171="","",(1/Inputs!$B$9)*(PI()*(Inputs!$F$14/1000)^2/4)*((Inputs!$F$14/1000/4)^(2/3))*SQRT(P171))</f>
        <v/>
      </c>
    </row>
    <row r="172">
      <c r="A172" s="4" t="n"/>
      <c r="B172" s="4" t="n"/>
      <c r="C172" s="4" t="n"/>
      <c r="D172" s="4" t="n"/>
      <c r="E172" s="8" t="n"/>
      <c r="F172" s="8" t="n"/>
      <c r="G172" s="8">
        <f>SUMIFS(CB_plan!$C:$C,CB_plan!$B:$B,$A172)</f>
        <v/>
      </c>
      <c r="H172" s="8">
        <f>IF(F172="",G172,F172)</f>
        <v/>
      </c>
      <c r="I172" s="4" t="n"/>
      <c r="J172" s="8" t="n"/>
      <c r="K172" s="8">
        <f>IF(A172="","",Inputs!$B$13/((IF(J172="",Inputs!$B$18,J172)+Inputs!$B$14)^Inputs!$B$15))</f>
        <v/>
      </c>
      <c r="L172" s="8">
        <f>IF(A172="","",0.00278*IF(I172="",Inputs!$B$17,I172)*H172*K172)</f>
        <v/>
      </c>
      <c r="M172" s="8">
        <f>IF(A172="","",SUMIFS($N$4:$N$203,$D$4:$D$203,$A172))</f>
        <v/>
      </c>
      <c r="N172" s="8">
        <f>IF(A172="","",(L172+M172)*Inputs!$B$16)</f>
        <v/>
      </c>
      <c r="O172" s="8" t="n"/>
      <c r="P172" s="8">
        <f>IF(A172="","",IF(O172="",Inputs!$B$7,O172))</f>
        <v/>
      </c>
      <c r="Q172" s="4">
        <f>IF(A172="","",IF(N172/Inputs!$B$10&lt;=AG172,Inputs!$F$5,IF(N172/Inputs!$B$10&gt;AP172,"OVERSIZE",INDEX(Inputs!$F$5:$F$14,MATCH(N172/Inputs!$B$10,AG172:AP172,1)+1))))</f>
        <v/>
      </c>
      <c r="R172" s="4" t="n"/>
      <c r="S172" s="4">
        <f>IF(A172="","",IF(R172="",Q172,R172))</f>
        <v/>
      </c>
      <c r="T172" s="8">
        <f>IF(OR(S172="",S172="OVERSIZE"),"",S172/1000)</f>
        <v/>
      </c>
      <c r="U172" s="8">
        <f>IF(T172="","",(1/Inputs!$B$9)*(PI()*T172^2/4)*((T172/4)^(2/3))*SQRT(P172))</f>
        <v/>
      </c>
      <c r="V172" s="8">
        <f>IF(OR(U172="",N172=""),"",N172/(U172*Inputs!$B$10))</f>
        <v/>
      </c>
      <c r="W172" s="8">
        <f>IF(OR(T172="",N172=""),"",4*N172/(PI()*T172^2))</f>
        <v/>
      </c>
      <c r="X172" s="8" t="n"/>
      <c r="Y172" s="8">
        <f>IF(A172="","",IF(A172=Inputs!$B$6,Inputs!$B$22,IF(D172="","",IFERROR(INDEX($Z$4:$Z$203,MATCH(D172,$A$4:$A$203,0))+IF(X172="",Inputs!$B$20,X172),""))))</f>
        <v/>
      </c>
      <c r="Z172" s="8">
        <f>IF(OR(Y172="",P172="",E172=""),"",Y172+P172*E172)</f>
        <v/>
      </c>
      <c r="AA172" s="8">
        <f>IF(C172="","",IFERROR(INDEX(Noeuds_plan!$C$4:$C$200,MATCH(C172,Noeuds_plan!$A$4:$A$200,0)),""))</f>
        <v/>
      </c>
      <c r="AB172" s="8">
        <f>IF(B172="","",IFERROR(INDEX(Noeuds_plan!$C$4:$C$200,MATCH(B172,Noeuds_plan!$A$4:$A$200,0)),""))</f>
        <v/>
      </c>
      <c r="AC172" s="8">
        <f>IF(OR(AA172="",Y172=""),"",AA172-Y172)</f>
        <v/>
      </c>
      <c r="AD172" s="8">
        <f>IF(OR(AB172="",Z172=""),"",AB172-Z172)</f>
        <v/>
      </c>
      <c r="AE172" s="4">
        <f>IF(A172="","",IF(OR(V172&gt;1,W172&lt;Inputs!$B$11,W172&gt;Inputs!$B$12,AC172&lt;Inputs!$B$19,AD172&lt;Inputs!$B$19,P172&lt;Inputs!$B$7,P172&gt;Inputs!$B$8),"CHECK","OK"))</f>
        <v/>
      </c>
      <c r="AF172" s="4" t="n"/>
      <c r="AG172" s="4">
        <f>IF(A172="","",(1/Inputs!$B$9)*(PI()*(Inputs!$F$5/1000)^2/4)*((Inputs!$F$5/1000/4)^(2/3))*SQRT(P172))</f>
        <v/>
      </c>
      <c r="AH172" s="4">
        <f>IF(A172="","",(1/Inputs!$B$9)*(PI()*(Inputs!$F$6/1000)^2/4)*((Inputs!$F$6/1000/4)^(2/3))*SQRT(P172))</f>
        <v/>
      </c>
      <c r="AI172" s="4">
        <f>IF(A172="","",(1/Inputs!$B$9)*(PI()*(Inputs!$F$7/1000)^2/4)*((Inputs!$F$7/1000/4)^(2/3))*SQRT(P172))</f>
        <v/>
      </c>
      <c r="AJ172" s="4">
        <f>IF(A172="","",(1/Inputs!$B$9)*(PI()*(Inputs!$F$8/1000)^2/4)*((Inputs!$F$8/1000/4)^(2/3))*SQRT(P172))</f>
        <v/>
      </c>
      <c r="AK172" s="4">
        <f>IF(A172="","",(1/Inputs!$B$9)*(PI()*(Inputs!$F$9/1000)^2/4)*((Inputs!$F$9/1000/4)^(2/3))*SQRT(P172))</f>
        <v/>
      </c>
      <c r="AL172" s="4">
        <f>IF(A172="","",(1/Inputs!$B$9)*(PI()*(Inputs!$F$10/1000)^2/4)*((Inputs!$F$10/1000/4)^(2/3))*SQRT(P172))</f>
        <v/>
      </c>
      <c r="AM172" s="4">
        <f>IF(A172="","",(1/Inputs!$B$9)*(PI()*(Inputs!$F$11/1000)^2/4)*((Inputs!$F$11/1000/4)^(2/3))*SQRT(P172))</f>
        <v/>
      </c>
      <c r="AN172" s="4">
        <f>IF(A172="","",(1/Inputs!$B$9)*(PI()*(Inputs!$F$12/1000)^2/4)*((Inputs!$F$12/1000/4)^(2/3))*SQRT(P172))</f>
        <v/>
      </c>
      <c r="AO172" s="4">
        <f>IF(A172="","",(1/Inputs!$B$9)*(PI()*(Inputs!$F$13/1000)^2/4)*((Inputs!$F$13/1000/4)^(2/3))*SQRT(P172))</f>
        <v/>
      </c>
      <c r="AP172" s="4">
        <f>IF(A172="","",(1/Inputs!$B$9)*(PI()*(Inputs!$F$14/1000)^2/4)*((Inputs!$F$14/1000/4)^(2/3))*SQRT(P172))</f>
        <v/>
      </c>
    </row>
    <row r="173">
      <c r="A173" s="4" t="n"/>
      <c r="B173" s="4" t="n"/>
      <c r="C173" s="4" t="n"/>
      <c r="D173" s="4" t="n"/>
      <c r="E173" s="8" t="n"/>
      <c r="F173" s="8" t="n"/>
      <c r="G173" s="8">
        <f>SUMIFS(CB_plan!$C:$C,CB_plan!$B:$B,$A173)</f>
        <v/>
      </c>
      <c r="H173" s="8">
        <f>IF(F173="",G173,F173)</f>
        <v/>
      </c>
      <c r="I173" s="4" t="n"/>
      <c r="J173" s="8" t="n"/>
      <c r="K173" s="8">
        <f>IF(A173="","",Inputs!$B$13/((IF(J173="",Inputs!$B$18,J173)+Inputs!$B$14)^Inputs!$B$15))</f>
        <v/>
      </c>
      <c r="L173" s="8">
        <f>IF(A173="","",0.00278*IF(I173="",Inputs!$B$17,I173)*H173*K173)</f>
        <v/>
      </c>
      <c r="M173" s="8">
        <f>IF(A173="","",SUMIFS($N$4:$N$203,$D$4:$D$203,$A173))</f>
        <v/>
      </c>
      <c r="N173" s="8">
        <f>IF(A173="","",(L173+M173)*Inputs!$B$16)</f>
        <v/>
      </c>
      <c r="O173" s="8" t="n"/>
      <c r="P173" s="8">
        <f>IF(A173="","",IF(O173="",Inputs!$B$7,O173))</f>
        <v/>
      </c>
      <c r="Q173" s="4">
        <f>IF(A173="","",IF(N173/Inputs!$B$10&lt;=AG173,Inputs!$F$5,IF(N173/Inputs!$B$10&gt;AP173,"OVERSIZE",INDEX(Inputs!$F$5:$F$14,MATCH(N173/Inputs!$B$10,AG173:AP173,1)+1))))</f>
        <v/>
      </c>
      <c r="R173" s="4" t="n"/>
      <c r="S173" s="4">
        <f>IF(A173="","",IF(R173="",Q173,R173))</f>
        <v/>
      </c>
      <c r="T173" s="8">
        <f>IF(OR(S173="",S173="OVERSIZE"),"",S173/1000)</f>
        <v/>
      </c>
      <c r="U173" s="8">
        <f>IF(T173="","",(1/Inputs!$B$9)*(PI()*T173^2/4)*((T173/4)^(2/3))*SQRT(P173))</f>
        <v/>
      </c>
      <c r="V173" s="8">
        <f>IF(OR(U173="",N173=""),"",N173/(U173*Inputs!$B$10))</f>
        <v/>
      </c>
      <c r="W173" s="8">
        <f>IF(OR(T173="",N173=""),"",4*N173/(PI()*T173^2))</f>
        <v/>
      </c>
      <c r="X173" s="8" t="n"/>
      <c r="Y173" s="8">
        <f>IF(A173="","",IF(A173=Inputs!$B$6,Inputs!$B$22,IF(D173="","",IFERROR(INDEX($Z$4:$Z$203,MATCH(D173,$A$4:$A$203,0))+IF(X173="",Inputs!$B$20,X173),""))))</f>
        <v/>
      </c>
      <c r="Z173" s="8">
        <f>IF(OR(Y173="",P173="",E173=""),"",Y173+P173*E173)</f>
        <v/>
      </c>
      <c r="AA173" s="8">
        <f>IF(C173="","",IFERROR(INDEX(Noeuds_plan!$C$4:$C$200,MATCH(C173,Noeuds_plan!$A$4:$A$200,0)),""))</f>
        <v/>
      </c>
      <c r="AB173" s="8">
        <f>IF(B173="","",IFERROR(INDEX(Noeuds_plan!$C$4:$C$200,MATCH(B173,Noeuds_plan!$A$4:$A$200,0)),""))</f>
        <v/>
      </c>
      <c r="AC173" s="8">
        <f>IF(OR(AA173="",Y173=""),"",AA173-Y173)</f>
        <v/>
      </c>
      <c r="AD173" s="8">
        <f>IF(OR(AB173="",Z173=""),"",AB173-Z173)</f>
        <v/>
      </c>
      <c r="AE173" s="4">
        <f>IF(A173="","",IF(OR(V173&gt;1,W173&lt;Inputs!$B$11,W173&gt;Inputs!$B$12,AC173&lt;Inputs!$B$19,AD173&lt;Inputs!$B$19,P173&lt;Inputs!$B$7,P173&gt;Inputs!$B$8),"CHECK","OK"))</f>
        <v/>
      </c>
      <c r="AF173" s="4" t="n"/>
      <c r="AG173" s="4">
        <f>IF(A173="","",(1/Inputs!$B$9)*(PI()*(Inputs!$F$5/1000)^2/4)*((Inputs!$F$5/1000/4)^(2/3))*SQRT(P173))</f>
        <v/>
      </c>
      <c r="AH173" s="4">
        <f>IF(A173="","",(1/Inputs!$B$9)*(PI()*(Inputs!$F$6/1000)^2/4)*((Inputs!$F$6/1000/4)^(2/3))*SQRT(P173))</f>
        <v/>
      </c>
      <c r="AI173" s="4">
        <f>IF(A173="","",(1/Inputs!$B$9)*(PI()*(Inputs!$F$7/1000)^2/4)*((Inputs!$F$7/1000/4)^(2/3))*SQRT(P173))</f>
        <v/>
      </c>
      <c r="AJ173" s="4">
        <f>IF(A173="","",(1/Inputs!$B$9)*(PI()*(Inputs!$F$8/1000)^2/4)*((Inputs!$F$8/1000/4)^(2/3))*SQRT(P173))</f>
        <v/>
      </c>
      <c r="AK173" s="4">
        <f>IF(A173="","",(1/Inputs!$B$9)*(PI()*(Inputs!$F$9/1000)^2/4)*((Inputs!$F$9/1000/4)^(2/3))*SQRT(P173))</f>
        <v/>
      </c>
      <c r="AL173" s="4">
        <f>IF(A173="","",(1/Inputs!$B$9)*(PI()*(Inputs!$F$10/1000)^2/4)*((Inputs!$F$10/1000/4)^(2/3))*SQRT(P173))</f>
        <v/>
      </c>
      <c r="AM173" s="4">
        <f>IF(A173="","",(1/Inputs!$B$9)*(PI()*(Inputs!$F$11/1000)^2/4)*((Inputs!$F$11/1000/4)^(2/3))*SQRT(P173))</f>
        <v/>
      </c>
      <c r="AN173" s="4">
        <f>IF(A173="","",(1/Inputs!$B$9)*(PI()*(Inputs!$F$12/1000)^2/4)*((Inputs!$F$12/1000/4)^(2/3))*SQRT(P173))</f>
        <v/>
      </c>
      <c r="AO173" s="4">
        <f>IF(A173="","",(1/Inputs!$B$9)*(PI()*(Inputs!$F$13/1000)^2/4)*((Inputs!$F$13/1000/4)^(2/3))*SQRT(P173))</f>
        <v/>
      </c>
      <c r="AP173" s="4">
        <f>IF(A173="","",(1/Inputs!$B$9)*(PI()*(Inputs!$F$14/1000)^2/4)*((Inputs!$F$14/1000/4)^(2/3))*SQRT(P173))</f>
        <v/>
      </c>
    </row>
    <row r="174">
      <c r="A174" s="4" t="n"/>
      <c r="B174" s="4" t="n"/>
      <c r="C174" s="4" t="n"/>
      <c r="D174" s="4" t="n"/>
      <c r="E174" s="8" t="n"/>
      <c r="F174" s="8" t="n"/>
      <c r="G174" s="8">
        <f>SUMIFS(CB_plan!$C:$C,CB_plan!$B:$B,$A174)</f>
        <v/>
      </c>
      <c r="H174" s="8">
        <f>IF(F174="",G174,F174)</f>
        <v/>
      </c>
      <c r="I174" s="4" t="n"/>
      <c r="J174" s="8" t="n"/>
      <c r="K174" s="8">
        <f>IF(A174="","",Inputs!$B$13/((IF(J174="",Inputs!$B$18,J174)+Inputs!$B$14)^Inputs!$B$15))</f>
        <v/>
      </c>
      <c r="L174" s="8">
        <f>IF(A174="","",0.00278*IF(I174="",Inputs!$B$17,I174)*H174*K174)</f>
        <v/>
      </c>
      <c r="M174" s="8">
        <f>IF(A174="","",SUMIFS($N$4:$N$203,$D$4:$D$203,$A174))</f>
        <v/>
      </c>
      <c r="N174" s="8">
        <f>IF(A174="","",(L174+M174)*Inputs!$B$16)</f>
        <v/>
      </c>
      <c r="O174" s="8" t="n"/>
      <c r="P174" s="8">
        <f>IF(A174="","",IF(O174="",Inputs!$B$7,O174))</f>
        <v/>
      </c>
      <c r="Q174" s="4">
        <f>IF(A174="","",IF(N174/Inputs!$B$10&lt;=AG174,Inputs!$F$5,IF(N174/Inputs!$B$10&gt;AP174,"OVERSIZE",INDEX(Inputs!$F$5:$F$14,MATCH(N174/Inputs!$B$10,AG174:AP174,1)+1))))</f>
        <v/>
      </c>
      <c r="R174" s="4" t="n"/>
      <c r="S174" s="4">
        <f>IF(A174="","",IF(R174="",Q174,R174))</f>
        <v/>
      </c>
      <c r="T174" s="8">
        <f>IF(OR(S174="",S174="OVERSIZE"),"",S174/1000)</f>
        <v/>
      </c>
      <c r="U174" s="8">
        <f>IF(T174="","",(1/Inputs!$B$9)*(PI()*T174^2/4)*((T174/4)^(2/3))*SQRT(P174))</f>
        <v/>
      </c>
      <c r="V174" s="8">
        <f>IF(OR(U174="",N174=""),"",N174/(U174*Inputs!$B$10))</f>
        <v/>
      </c>
      <c r="W174" s="8">
        <f>IF(OR(T174="",N174=""),"",4*N174/(PI()*T174^2))</f>
        <v/>
      </c>
      <c r="X174" s="8" t="n"/>
      <c r="Y174" s="8">
        <f>IF(A174="","",IF(A174=Inputs!$B$6,Inputs!$B$22,IF(D174="","",IFERROR(INDEX($Z$4:$Z$203,MATCH(D174,$A$4:$A$203,0))+IF(X174="",Inputs!$B$20,X174),""))))</f>
        <v/>
      </c>
      <c r="Z174" s="8">
        <f>IF(OR(Y174="",P174="",E174=""),"",Y174+P174*E174)</f>
        <v/>
      </c>
      <c r="AA174" s="8">
        <f>IF(C174="","",IFERROR(INDEX(Noeuds_plan!$C$4:$C$200,MATCH(C174,Noeuds_plan!$A$4:$A$200,0)),""))</f>
        <v/>
      </c>
      <c r="AB174" s="8">
        <f>IF(B174="","",IFERROR(INDEX(Noeuds_plan!$C$4:$C$200,MATCH(B174,Noeuds_plan!$A$4:$A$200,0)),""))</f>
        <v/>
      </c>
      <c r="AC174" s="8">
        <f>IF(OR(AA174="",Y174=""),"",AA174-Y174)</f>
        <v/>
      </c>
      <c r="AD174" s="8">
        <f>IF(OR(AB174="",Z174=""),"",AB174-Z174)</f>
        <v/>
      </c>
      <c r="AE174" s="4">
        <f>IF(A174="","",IF(OR(V174&gt;1,W174&lt;Inputs!$B$11,W174&gt;Inputs!$B$12,AC174&lt;Inputs!$B$19,AD174&lt;Inputs!$B$19,P174&lt;Inputs!$B$7,P174&gt;Inputs!$B$8),"CHECK","OK"))</f>
        <v/>
      </c>
      <c r="AF174" s="4" t="n"/>
      <c r="AG174" s="4">
        <f>IF(A174="","",(1/Inputs!$B$9)*(PI()*(Inputs!$F$5/1000)^2/4)*((Inputs!$F$5/1000/4)^(2/3))*SQRT(P174))</f>
        <v/>
      </c>
      <c r="AH174" s="4">
        <f>IF(A174="","",(1/Inputs!$B$9)*(PI()*(Inputs!$F$6/1000)^2/4)*((Inputs!$F$6/1000/4)^(2/3))*SQRT(P174))</f>
        <v/>
      </c>
      <c r="AI174" s="4">
        <f>IF(A174="","",(1/Inputs!$B$9)*(PI()*(Inputs!$F$7/1000)^2/4)*((Inputs!$F$7/1000/4)^(2/3))*SQRT(P174))</f>
        <v/>
      </c>
      <c r="AJ174" s="4">
        <f>IF(A174="","",(1/Inputs!$B$9)*(PI()*(Inputs!$F$8/1000)^2/4)*((Inputs!$F$8/1000/4)^(2/3))*SQRT(P174))</f>
        <v/>
      </c>
      <c r="AK174" s="4">
        <f>IF(A174="","",(1/Inputs!$B$9)*(PI()*(Inputs!$F$9/1000)^2/4)*((Inputs!$F$9/1000/4)^(2/3))*SQRT(P174))</f>
        <v/>
      </c>
      <c r="AL174" s="4">
        <f>IF(A174="","",(1/Inputs!$B$9)*(PI()*(Inputs!$F$10/1000)^2/4)*((Inputs!$F$10/1000/4)^(2/3))*SQRT(P174))</f>
        <v/>
      </c>
      <c r="AM174" s="4">
        <f>IF(A174="","",(1/Inputs!$B$9)*(PI()*(Inputs!$F$11/1000)^2/4)*((Inputs!$F$11/1000/4)^(2/3))*SQRT(P174))</f>
        <v/>
      </c>
      <c r="AN174" s="4">
        <f>IF(A174="","",(1/Inputs!$B$9)*(PI()*(Inputs!$F$12/1000)^2/4)*((Inputs!$F$12/1000/4)^(2/3))*SQRT(P174))</f>
        <v/>
      </c>
      <c r="AO174" s="4">
        <f>IF(A174="","",(1/Inputs!$B$9)*(PI()*(Inputs!$F$13/1000)^2/4)*((Inputs!$F$13/1000/4)^(2/3))*SQRT(P174))</f>
        <v/>
      </c>
      <c r="AP174" s="4">
        <f>IF(A174="","",(1/Inputs!$B$9)*(PI()*(Inputs!$F$14/1000)^2/4)*((Inputs!$F$14/1000/4)^(2/3))*SQRT(P174))</f>
        <v/>
      </c>
    </row>
    <row r="175">
      <c r="A175" s="4" t="n"/>
      <c r="B175" s="4" t="n"/>
      <c r="C175" s="4" t="n"/>
      <c r="D175" s="4" t="n"/>
      <c r="E175" s="8" t="n"/>
      <c r="F175" s="8" t="n"/>
      <c r="G175" s="8">
        <f>SUMIFS(CB_plan!$C:$C,CB_plan!$B:$B,$A175)</f>
        <v/>
      </c>
      <c r="H175" s="8">
        <f>IF(F175="",G175,F175)</f>
        <v/>
      </c>
      <c r="I175" s="4" t="n"/>
      <c r="J175" s="8" t="n"/>
      <c r="K175" s="8">
        <f>IF(A175="","",Inputs!$B$13/((IF(J175="",Inputs!$B$18,J175)+Inputs!$B$14)^Inputs!$B$15))</f>
        <v/>
      </c>
      <c r="L175" s="8">
        <f>IF(A175="","",0.00278*IF(I175="",Inputs!$B$17,I175)*H175*K175)</f>
        <v/>
      </c>
      <c r="M175" s="8">
        <f>IF(A175="","",SUMIFS($N$4:$N$203,$D$4:$D$203,$A175))</f>
        <v/>
      </c>
      <c r="N175" s="8">
        <f>IF(A175="","",(L175+M175)*Inputs!$B$16)</f>
        <v/>
      </c>
      <c r="O175" s="8" t="n"/>
      <c r="P175" s="8">
        <f>IF(A175="","",IF(O175="",Inputs!$B$7,O175))</f>
        <v/>
      </c>
      <c r="Q175" s="4">
        <f>IF(A175="","",IF(N175/Inputs!$B$10&lt;=AG175,Inputs!$F$5,IF(N175/Inputs!$B$10&gt;AP175,"OVERSIZE",INDEX(Inputs!$F$5:$F$14,MATCH(N175/Inputs!$B$10,AG175:AP175,1)+1))))</f>
        <v/>
      </c>
      <c r="R175" s="4" t="n"/>
      <c r="S175" s="4">
        <f>IF(A175="","",IF(R175="",Q175,R175))</f>
        <v/>
      </c>
      <c r="T175" s="8">
        <f>IF(OR(S175="",S175="OVERSIZE"),"",S175/1000)</f>
        <v/>
      </c>
      <c r="U175" s="8">
        <f>IF(T175="","",(1/Inputs!$B$9)*(PI()*T175^2/4)*((T175/4)^(2/3))*SQRT(P175))</f>
        <v/>
      </c>
      <c r="V175" s="8">
        <f>IF(OR(U175="",N175=""),"",N175/(U175*Inputs!$B$10))</f>
        <v/>
      </c>
      <c r="W175" s="8">
        <f>IF(OR(T175="",N175=""),"",4*N175/(PI()*T175^2))</f>
        <v/>
      </c>
      <c r="X175" s="8" t="n"/>
      <c r="Y175" s="8">
        <f>IF(A175="","",IF(A175=Inputs!$B$6,Inputs!$B$22,IF(D175="","",IFERROR(INDEX($Z$4:$Z$203,MATCH(D175,$A$4:$A$203,0))+IF(X175="",Inputs!$B$20,X175),""))))</f>
        <v/>
      </c>
      <c r="Z175" s="8">
        <f>IF(OR(Y175="",P175="",E175=""),"",Y175+P175*E175)</f>
        <v/>
      </c>
      <c r="AA175" s="8">
        <f>IF(C175="","",IFERROR(INDEX(Noeuds_plan!$C$4:$C$200,MATCH(C175,Noeuds_plan!$A$4:$A$200,0)),""))</f>
        <v/>
      </c>
      <c r="AB175" s="8">
        <f>IF(B175="","",IFERROR(INDEX(Noeuds_plan!$C$4:$C$200,MATCH(B175,Noeuds_plan!$A$4:$A$200,0)),""))</f>
        <v/>
      </c>
      <c r="AC175" s="8">
        <f>IF(OR(AA175="",Y175=""),"",AA175-Y175)</f>
        <v/>
      </c>
      <c r="AD175" s="8">
        <f>IF(OR(AB175="",Z175=""),"",AB175-Z175)</f>
        <v/>
      </c>
      <c r="AE175" s="4">
        <f>IF(A175="","",IF(OR(V175&gt;1,W175&lt;Inputs!$B$11,W175&gt;Inputs!$B$12,AC175&lt;Inputs!$B$19,AD175&lt;Inputs!$B$19,P175&lt;Inputs!$B$7,P175&gt;Inputs!$B$8),"CHECK","OK"))</f>
        <v/>
      </c>
      <c r="AF175" s="4" t="n"/>
      <c r="AG175" s="4">
        <f>IF(A175="","",(1/Inputs!$B$9)*(PI()*(Inputs!$F$5/1000)^2/4)*((Inputs!$F$5/1000/4)^(2/3))*SQRT(P175))</f>
        <v/>
      </c>
      <c r="AH175" s="4">
        <f>IF(A175="","",(1/Inputs!$B$9)*(PI()*(Inputs!$F$6/1000)^2/4)*((Inputs!$F$6/1000/4)^(2/3))*SQRT(P175))</f>
        <v/>
      </c>
      <c r="AI175" s="4">
        <f>IF(A175="","",(1/Inputs!$B$9)*(PI()*(Inputs!$F$7/1000)^2/4)*((Inputs!$F$7/1000/4)^(2/3))*SQRT(P175))</f>
        <v/>
      </c>
      <c r="AJ175" s="4">
        <f>IF(A175="","",(1/Inputs!$B$9)*(PI()*(Inputs!$F$8/1000)^2/4)*((Inputs!$F$8/1000/4)^(2/3))*SQRT(P175))</f>
        <v/>
      </c>
      <c r="AK175" s="4">
        <f>IF(A175="","",(1/Inputs!$B$9)*(PI()*(Inputs!$F$9/1000)^2/4)*((Inputs!$F$9/1000/4)^(2/3))*SQRT(P175))</f>
        <v/>
      </c>
      <c r="AL175" s="4">
        <f>IF(A175="","",(1/Inputs!$B$9)*(PI()*(Inputs!$F$10/1000)^2/4)*((Inputs!$F$10/1000/4)^(2/3))*SQRT(P175))</f>
        <v/>
      </c>
      <c r="AM175" s="4">
        <f>IF(A175="","",(1/Inputs!$B$9)*(PI()*(Inputs!$F$11/1000)^2/4)*((Inputs!$F$11/1000/4)^(2/3))*SQRT(P175))</f>
        <v/>
      </c>
      <c r="AN175" s="4">
        <f>IF(A175="","",(1/Inputs!$B$9)*(PI()*(Inputs!$F$12/1000)^2/4)*((Inputs!$F$12/1000/4)^(2/3))*SQRT(P175))</f>
        <v/>
      </c>
      <c r="AO175" s="4">
        <f>IF(A175="","",(1/Inputs!$B$9)*(PI()*(Inputs!$F$13/1000)^2/4)*((Inputs!$F$13/1000/4)^(2/3))*SQRT(P175))</f>
        <v/>
      </c>
      <c r="AP175" s="4">
        <f>IF(A175="","",(1/Inputs!$B$9)*(PI()*(Inputs!$F$14/1000)^2/4)*((Inputs!$F$14/1000/4)^(2/3))*SQRT(P175))</f>
        <v/>
      </c>
    </row>
    <row r="176">
      <c r="A176" s="4" t="n"/>
      <c r="B176" s="4" t="n"/>
      <c r="C176" s="4" t="n"/>
      <c r="D176" s="4" t="n"/>
      <c r="E176" s="8" t="n"/>
      <c r="F176" s="8" t="n"/>
      <c r="G176" s="8">
        <f>SUMIFS(CB_plan!$C:$C,CB_plan!$B:$B,$A176)</f>
        <v/>
      </c>
      <c r="H176" s="8">
        <f>IF(F176="",G176,F176)</f>
        <v/>
      </c>
      <c r="I176" s="4" t="n"/>
      <c r="J176" s="8" t="n"/>
      <c r="K176" s="8">
        <f>IF(A176="","",Inputs!$B$13/((IF(J176="",Inputs!$B$18,J176)+Inputs!$B$14)^Inputs!$B$15))</f>
        <v/>
      </c>
      <c r="L176" s="8">
        <f>IF(A176="","",0.00278*IF(I176="",Inputs!$B$17,I176)*H176*K176)</f>
        <v/>
      </c>
      <c r="M176" s="8">
        <f>IF(A176="","",SUMIFS($N$4:$N$203,$D$4:$D$203,$A176))</f>
        <v/>
      </c>
      <c r="N176" s="8">
        <f>IF(A176="","",(L176+M176)*Inputs!$B$16)</f>
        <v/>
      </c>
      <c r="O176" s="8" t="n"/>
      <c r="P176" s="8">
        <f>IF(A176="","",IF(O176="",Inputs!$B$7,O176))</f>
        <v/>
      </c>
      <c r="Q176" s="4">
        <f>IF(A176="","",IF(N176/Inputs!$B$10&lt;=AG176,Inputs!$F$5,IF(N176/Inputs!$B$10&gt;AP176,"OVERSIZE",INDEX(Inputs!$F$5:$F$14,MATCH(N176/Inputs!$B$10,AG176:AP176,1)+1))))</f>
        <v/>
      </c>
      <c r="R176" s="4" t="n"/>
      <c r="S176" s="4">
        <f>IF(A176="","",IF(R176="",Q176,R176))</f>
        <v/>
      </c>
      <c r="T176" s="8">
        <f>IF(OR(S176="",S176="OVERSIZE"),"",S176/1000)</f>
        <v/>
      </c>
      <c r="U176" s="8">
        <f>IF(T176="","",(1/Inputs!$B$9)*(PI()*T176^2/4)*((T176/4)^(2/3))*SQRT(P176))</f>
        <v/>
      </c>
      <c r="V176" s="8">
        <f>IF(OR(U176="",N176=""),"",N176/(U176*Inputs!$B$10))</f>
        <v/>
      </c>
      <c r="W176" s="8">
        <f>IF(OR(T176="",N176=""),"",4*N176/(PI()*T176^2))</f>
        <v/>
      </c>
      <c r="X176" s="8" t="n"/>
      <c r="Y176" s="8">
        <f>IF(A176="","",IF(A176=Inputs!$B$6,Inputs!$B$22,IF(D176="","",IFERROR(INDEX($Z$4:$Z$203,MATCH(D176,$A$4:$A$203,0))+IF(X176="",Inputs!$B$20,X176),""))))</f>
        <v/>
      </c>
      <c r="Z176" s="8">
        <f>IF(OR(Y176="",P176="",E176=""),"",Y176+P176*E176)</f>
        <v/>
      </c>
      <c r="AA176" s="8">
        <f>IF(C176="","",IFERROR(INDEX(Noeuds_plan!$C$4:$C$200,MATCH(C176,Noeuds_plan!$A$4:$A$200,0)),""))</f>
        <v/>
      </c>
      <c r="AB176" s="8">
        <f>IF(B176="","",IFERROR(INDEX(Noeuds_plan!$C$4:$C$200,MATCH(B176,Noeuds_plan!$A$4:$A$200,0)),""))</f>
        <v/>
      </c>
      <c r="AC176" s="8">
        <f>IF(OR(AA176="",Y176=""),"",AA176-Y176)</f>
        <v/>
      </c>
      <c r="AD176" s="8">
        <f>IF(OR(AB176="",Z176=""),"",AB176-Z176)</f>
        <v/>
      </c>
      <c r="AE176" s="4">
        <f>IF(A176="","",IF(OR(V176&gt;1,W176&lt;Inputs!$B$11,W176&gt;Inputs!$B$12,AC176&lt;Inputs!$B$19,AD176&lt;Inputs!$B$19,P176&lt;Inputs!$B$7,P176&gt;Inputs!$B$8),"CHECK","OK"))</f>
        <v/>
      </c>
      <c r="AF176" s="4" t="n"/>
      <c r="AG176" s="4">
        <f>IF(A176="","",(1/Inputs!$B$9)*(PI()*(Inputs!$F$5/1000)^2/4)*((Inputs!$F$5/1000/4)^(2/3))*SQRT(P176))</f>
        <v/>
      </c>
      <c r="AH176" s="4">
        <f>IF(A176="","",(1/Inputs!$B$9)*(PI()*(Inputs!$F$6/1000)^2/4)*((Inputs!$F$6/1000/4)^(2/3))*SQRT(P176))</f>
        <v/>
      </c>
      <c r="AI176" s="4">
        <f>IF(A176="","",(1/Inputs!$B$9)*(PI()*(Inputs!$F$7/1000)^2/4)*((Inputs!$F$7/1000/4)^(2/3))*SQRT(P176))</f>
        <v/>
      </c>
      <c r="AJ176" s="4">
        <f>IF(A176="","",(1/Inputs!$B$9)*(PI()*(Inputs!$F$8/1000)^2/4)*((Inputs!$F$8/1000/4)^(2/3))*SQRT(P176))</f>
        <v/>
      </c>
      <c r="AK176" s="4">
        <f>IF(A176="","",(1/Inputs!$B$9)*(PI()*(Inputs!$F$9/1000)^2/4)*((Inputs!$F$9/1000/4)^(2/3))*SQRT(P176))</f>
        <v/>
      </c>
      <c r="AL176" s="4">
        <f>IF(A176="","",(1/Inputs!$B$9)*(PI()*(Inputs!$F$10/1000)^2/4)*((Inputs!$F$10/1000/4)^(2/3))*SQRT(P176))</f>
        <v/>
      </c>
      <c r="AM176" s="4">
        <f>IF(A176="","",(1/Inputs!$B$9)*(PI()*(Inputs!$F$11/1000)^2/4)*((Inputs!$F$11/1000/4)^(2/3))*SQRT(P176))</f>
        <v/>
      </c>
      <c r="AN176" s="4">
        <f>IF(A176="","",(1/Inputs!$B$9)*(PI()*(Inputs!$F$12/1000)^2/4)*((Inputs!$F$12/1000/4)^(2/3))*SQRT(P176))</f>
        <v/>
      </c>
      <c r="AO176" s="4">
        <f>IF(A176="","",(1/Inputs!$B$9)*(PI()*(Inputs!$F$13/1000)^2/4)*((Inputs!$F$13/1000/4)^(2/3))*SQRT(P176))</f>
        <v/>
      </c>
      <c r="AP176" s="4">
        <f>IF(A176="","",(1/Inputs!$B$9)*(PI()*(Inputs!$F$14/1000)^2/4)*((Inputs!$F$14/1000/4)^(2/3))*SQRT(P176))</f>
        <v/>
      </c>
    </row>
    <row r="177">
      <c r="A177" s="4" t="n"/>
      <c r="B177" s="4" t="n"/>
      <c r="C177" s="4" t="n"/>
      <c r="D177" s="4" t="n"/>
      <c r="E177" s="8" t="n"/>
      <c r="F177" s="8" t="n"/>
      <c r="G177" s="8">
        <f>SUMIFS(CB_plan!$C:$C,CB_plan!$B:$B,$A177)</f>
        <v/>
      </c>
      <c r="H177" s="8">
        <f>IF(F177="",G177,F177)</f>
        <v/>
      </c>
      <c r="I177" s="4" t="n"/>
      <c r="J177" s="8" t="n"/>
      <c r="K177" s="8">
        <f>IF(A177="","",Inputs!$B$13/((IF(J177="",Inputs!$B$18,J177)+Inputs!$B$14)^Inputs!$B$15))</f>
        <v/>
      </c>
      <c r="L177" s="8">
        <f>IF(A177="","",0.00278*IF(I177="",Inputs!$B$17,I177)*H177*K177)</f>
        <v/>
      </c>
      <c r="M177" s="8">
        <f>IF(A177="","",SUMIFS($N$4:$N$203,$D$4:$D$203,$A177))</f>
        <v/>
      </c>
      <c r="N177" s="8">
        <f>IF(A177="","",(L177+M177)*Inputs!$B$16)</f>
        <v/>
      </c>
      <c r="O177" s="8" t="n"/>
      <c r="P177" s="8">
        <f>IF(A177="","",IF(O177="",Inputs!$B$7,O177))</f>
        <v/>
      </c>
      <c r="Q177" s="4">
        <f>IF(A177="","",IF(N177/Inputs!$B$10&lt;=AG177,Inputs!$F$5,IF(N177/Inputs!$B$10&gt;AP177,"OVERSIZE",INDEX(Inputs!$F$5:$F$14,MATCH(N177/Inputs!$B$10,AG177:AP177,1)+1))))</f>
        <v/>
      </c>
      <c r="R177" s="4" t="n"/>
      <c r="S177" s="4">
        <f>IF(A177="","",IF(R177="",Q177,R177))</f>
        <v/>
      </c>
      <c r="T177" s="8">
        <f>IF(OR(S177="",S177="OVERSIZE"),"",S177/1000)</f>
        <v/>
      </c>
      <c r="U177" s="8">
        <f>IF(T177="","",(1/Inputs!$B$9)*(PI()*T177^2/4)*((T177/4)^(2/3))*SQRT(P177))</f>
        <v/>
      </c>
      <c r="V177" s="8">
        <f>IF(OR(U177="",N177=""),"",N177/(U177*Inputs!$B$10))</f>
        <v/>
      </c>
      <c r="W177" s="8">
        <f>IF(OR(T177="",N177=""),"",4*N177/(PI()*T177^2))</f>
        <v/>
      </c>
      <c r="X177" s="8" t="n"/>
      <c r="Y177" s="8">
        <f>IF(A177="","",IF(A177=Inputs!$B$6,Inputs!$B$22,IF(D177="","",IFERROR(INDEX($Z$4:$Z$203,MATCH(D177,$A$4:$A$203,0))+IF(X177="",Inputs!$B$20,X177),""))))</f>
        <v/>
      </c>
      <c r="Z177" s="8">
        <f>IF(OR(Y177="",P177="",E177=""),"",Y177+P177*E177)</f>
        <v/>
      </c>
      <c r="AA177" s="8">
        <f>IF(C177="","",IFERROR(INDEX(Noeuds_plan!$C$4:$C$200,MATCH(C177,Noeuds_plan!$A$4:$A$200,0)),""))</f>
        <v/>
      </c>
      <c r="AB177" s="8">
        <f>IF(B177="","",IFERROR(INDEX(Noeuds_plan!$C$4:$C$200,MATCH(B177,Noeuds_plan!$A$4:$A$200,0)),""))</f>
        <v/>
      </c>
      <c r="AC177" s="8">
        <f>IF(OR(AA177="",Y177=""),"",AA177-Y177)</f>
        <v/>
      </c>
      <c r="AD177" s="8">
        <f>IF(OR(AB177="",Z177=""),"",AB177-Z177)</f>
        <v/>
      </c>
      <c r="AE177" s="4">
        <f>IF(A177="","",IF(OR(V177&gt;1,W177&lt;Inputs!$B$11,W177&gt;Inputs!$B$12,AC177&lt;Inputs!$B$19,AD177&lt;Inputs!$B$19,P177&lt;Inputs!$B$7,P177&gt;Inputs!$B$8),"CHECK","OK"))</f>
        <v/>
      </c>
      <c r="AF177" s="4" t="n"/>
      <c r="AG177" s="4">
        <f>IF(A177="","",(1/Inputs!$B$9)*(PI()*(Inputs!$F$5/1000)^2/4)*((Inputs!$F$5/1000/4)^(2/3))*SQRT(P177))</f>
        <v/>
      </c>
      <c r="AH177" s="4">
        <f>IF(A177="","",(1/Inputs!$B$9)*(PI()*(Inputs!$F$6/1000)^2/4)*((Inputs!$F$6/1000/4)^(2/3))*SQRT(P177))</f>
        <v/>
      </c>
      <c r="AI177" s="4">
        <f>IF(A177="","",(1/Inputs!$B$9)*(PI()*(Inputs!$F$7/1000)^2/4)*((Inputs!$F$7/1000/4)^(2/3))*SQRT(P177))</f>
        <v/>
      </c>
      <c r="AJ177" s="4">
        <f>IF(A177="","",(1/Inputs!$B$9)*(PI()*(Inputs!$F$8/1000)^2/4)*((Inputs!$F$8/1000/4)^(2/3))*SQRT(P177))</f>
        <v/>
      </c>
      <c r="AK177" s="4">
        <f>IF(A177="","",(1/Inputs!$B$9)*(PI()*(Inputs!$F$9/1000)^2/4)*((Inputs!$F$9/1000/4)^(2/3))*SQRT(P177))</f>
        <v/>
      </c>
      <c r="AL177" s="4">
        <f>IF(A177="","",(1/Inputs!$B$9)*(PI()*(Inputs!$F$10/1000)^2/4)*((Inputs!$F$10/1000/4)^(2/3))*SQRT(P177))</f>
        <v/>
      </c>
      <c r="AM177" s="4">
        <f>IF(A177="","",(1/Inputs!$B$9)*(PI()*(Inputs!$F$11/1000)^2/4)*((Inputs!$F$11/1000/4)^(2/3))*SQRT(P177))</f>
        <v/>
      </c>
      <c r="AN177" s="4">
        <f>IF(A177="","",(1/Inputs!$B$9)*(PI()*(Inputs!$F$12/1000)^2/4)*((Inputs!$F$12/1000/4)^(2/3))*SQRT(P177))</f>
        <v/>
      </c>
      <c r="AO177" s="4">
        <f>IF(A177="","",(1/Inputs!$B$9)*(PI()*(Inputs!$F$13/1000)^2/4)*((Inputs!$F$13/1000/4)^(2/3))*SQRT(P177))</f>
        <v/>
      </c>
      <c r="AP177" s="4">
        <f>IF(A177="","",(1/Inputs!$B$9)*(PI()*(Inputs!$F$14/1000)^2/4)*((Inputs!$F$14/1000/4)^(2/3))*SQRT(P177))</f>
        <v/>
      </c>
    </row>
    <row r="178">
      <c r="A178" s="4" t="n"/>
      <c r="B178" s="4" t="n"/>
      <c r="C178" s="4" t="n"/>
      <c r="D178" s="4" t="n"/>
      <c r="E178" s="8" t="n"/>
      <c r="F178" s="8" t="n"/>
      <c r="G178" s="8">
        <f>SUMIFS(CB_plan!$C:$C,CB_plan!$B:$B,$A178)</f>
        <v/>
      </c>
      <c r="H178" s="8">
        <f>IF(F178="",G178,F178)</f>
        <v/>
      </c>
      <c r="I178" s="4" t="n"/>
      <c r="J178" s="8" t="n"/>
      <c r="K178" s="8">
        <f>IF(A178="","",Inputs!$B$13/((IF(J178="",Inputs!$B$18,J178)+Inputs!$B$14)^Inputs!$B$15))</f>
        <v/>
      </c>
      <c r="L178" s="8">
        <f>IF(A178="","",0.00278*IF(I178="",Inputs!$B$17,I178)*H178*K178)</f>
        <v/>
      </c>
      <c r="M178" s="8">
        <f>IF(A178="","",SUMIFS($N$4:$N$203,$D$4:$D$203,$A178))</f>
        <v/>
      </c>
      <c r="N178" s="8">
        <f>IF(A178="","",(L178+M178)*Inputs!$B$16)</f>
        <v/>
      </c>
      <c r="O178" s="8" t="n"/>
      <c r="P178" s="8">
        <f>IF(A178="","",IF(O178="",Inputs!$B$7,O178))</f>
        <v/>
      </c>
      <c r="Q178" s="4">
        <f>IF(A178="","",IF(N178/Inputs!$B$10&lt;=AG178,Inputs!$F$5,IF(N178/Inputs!$B$10&gt;AP178,"OVERSIZE",INDEX(Inputs!$F$5:$F$14,MATCH(N178/Inputs!$B$10,AG178:AP178,1)+1))))</f>
        <v/>
      </c>
      <c r="R178" s="4" t="n"/>
      <c r="S178" s="4">
        <f>IF(A178="","",IF(R178="",Q178,R178))</f>
        <v/>
      </c>
      <c r="T178" s="8">
        <f>IF(OR(S178="",S178="OVERSIZE"),"",S178/1000)</f>
        <v/>
      </c>
      <c r="U178" s="8">
        <f>IF(T178="","",(1/Inputs!$B$9)*(PI()*T178^2/4)*((T178/4)^(2/3))*SQRT(P178))</f>
        <v/>
      </c>
      <c r="V178" s="8">
        <f>IF(OR(U178="",N178=""),"",N178/(U178*Inputs!$B$10))</f>
        <v/>
      </c>
      <c r="W178" s="8">
        <f>IF(OR(T178="",N178=""),"",4*N178/(PI()*T178^2))</f>
        <v/>
      </c>
      <c r="X178" s="8" t="n"/>
      <c r="Y178" s="8">
        <f>IF(A178="","",IF(A178=Inputs!$B$6,Inputs!$B$22,IF(D178="","",IFERROR(INDEX($Z$4:$Z$203,MATCH(D178,$A$4:$A$203,0))+IF(X178="",Inputs!$B$20,X178),""))))</f>
        <v/>
      </c>
      <c r="Z178" s="8">
        <f>IF(OR(Y178="",P178="",E178=""),"",Y178+P178*E178)</f>
        <v/>
      </c>
      <c r="AA178" s="8">
        <f>IF(C178="","",IFERROR(INDEX(Noeuds_plan!$C$4:$C$200,MATCH(C178,Noeuds_plan!$A$4:$A$200,0)),""))</f>
        <v/>
      </c>
      <c r="AB178" s="8">
        <f>IF(B178="","",IFERROR(INDEX(Noeuds_plan!$C$4:$C$200,MATCH(B178,Noeuds_plan!$A$4:$A$200,0)),""))</f>
        <v/>
      </c>
      <c r="AC178" s="8">
        <f>IF(OR(AA178="",Y178=""),"",AA178-Y178)</f>
        <v/>
      </c>
      <c r="AD178" s="8">
        <f>IF(OR(AB178="",Z178=""),"",AB178-Z178)</f>
        <v/>
      </c>
      <c r="AE178" s="4">
        <f>IF(A178="","",IF(OR(V178&gt;1,W178&lt;Inputs!$B$11,W178&gt;Inputs!$B$12,AC178&lt;Inputs!$B$19,AD178&lt;Inputs!$B$19,P178&lt;Inputs!$B$7,P178&gt;Inputs!$B$8),"CHECK","OK"))</f>
        <v/>
      </c>
      <c r="AF178" s="4" t="n"/>
      <c r="AG178" s="4">
        <f>IF(A178="","",(1/Inputs!$B$9)*(PI()*(Inputs!$F$5/1000)^2/4)*((Inputs!$F$5/1000/4)^(2/3))*SQRT(P178))</f>
        <v/>
      </c>
      <c r="AH178" s="4">
        <f>IF(A178="","",(1/Inputs!$B$9)*(PI()*(Inputs!$F$6/1000)^2/4)*((Inputs!$F$6/1000/4)^(2/3))*SQRT(P178))</f>
        <v/>
      </c>
      <c r="AI178" s="4">
        <f>IF(A178="","",(1/Inputs!$B$9)*(PI()*(Inputs!$F$7/1000)^2/4)*((Inputs!$F$7/1000/4)^(2/3))*SQRT(P178))</f>
        <v/>
      </c>
      <c r="AJ178" s="4">
        <f>IF(A178="","",(1/Inputs!$B$9)*(PI()*(Inputs!$F$8/1000)^2/4)*((Inputs!$F$8/1000/4)^(2/3))*SQRT(P178))</f>
        <v/>
      </c>
      <c r="AK178" s="4">
        <f>IF(A178="","",(1/Inputs!$B$9)*(PI()*(Inputs!$F$9/1000)^2/4)*((Inputs!$F$9/1000/4)^(2/3))*SQRT(P178))</f>
        <v/>
      </c>
      <c r="AL178" s="4">
        <f>IF(A178="","",(1/Inputs!$B$9)*(PI()*(Inputs!$F$10/1000)^2/4)*((Inputs!$F$10/1000/4)^(2/3))*SQRT(P178))</f>
        <v/>
      </c>
      <c r="AM178" s="4">
        <f>IF(A178="","",(1/Inputs!$B$9)*(PI()*(Inputs!$F$11/1000)^2/4)*((Inputs!$F$11/1000/4)^(2/3))*SQRT(P178))</f>
        <v/>
      </c>
      <c r="AN178" s="4">
        <f>IF(A178="","",(1/Inputs!$B$9)*(PI()*(Inputs!$F$12/1000)^2/4)*((Inputs!$F$12/1000/4)^(2/3))*SQRT(P178))</f>
        <v/>
      </c>
      <c r="AO178" s="4">
        <f>IF(A178="","",(1/Inputs!$B$9)*(PI()*(Inputs!$F$13/1000)^2/4)*((Inputs!$F$13/1000/4)^(2/3))*SQRT(P178))</f>
        <v/>
      </c>
      <c r="AP178" s="4">
        <f>IF(A178="","",(1/Inputs!$B$9)*(PI()*(Inputs!$F$14/1000)^2/4)*((Inputs!$F$14/1000/4)^(2/3))*SQRT(P178))</f>
        <v/>
      </c>
    </row>
    <row r="179">
      <c r="A179" s="4" t="n"/>
      <c r="B179" s="4" t="n"/>
      <c r="C179" s="4" t="n"/>
      <c r="D179" s="4" t="n"/>
      <c r="E179" s="8" t="n"/>
      <c r="F179" s="8" t="n"/>
      <c r="G179" s="8">
        <f>SUMIFS(CB_plan!$C:$C,CB_plan!$B:$B,$A179)</f>
        <v/>
      </c>
      <c r="H179" s="8">
        <f>IF(F179="",G179,F179)</f>
        <v/>
      </c>
      <c r="I179" s="4" t="n"/>
      <c r="J179" s="8" t="n"/>
      <c r="K179" s="8">
        <f>IF(A179="","",Inputs!$B$13/((IF(J179="",Inputs!$B$18,J179)+Inputs!$B$14)^Inputs!$B$15))</f>
        <v/>
      </c>
      <c r="L179" s="8">
        <f>IF(A179="","",0.00278*IF(I179="",Inputs!$B$17,I179)*H179*K179)</f>
        <v/>
      </c>
      <c r="M179" s="8">
        <f>IF(A179="","",SUMIFS($N$4:$N$203,$D$4:$D$203,$A179))</f>
        <v/>
      </c>
      <c r="N179" s="8">
        <f>IF(A179="","",(L179+M179)*Inputs!$B$16)</f>
        <v/>
      </c>
      <c r="O179" s="8" t="n"/>
      <c r="P179" s="8">
        <f>IF(A179="","",IF(O179="",Inputs!$B$7,O179))</f>
        <v/>
      </c>
      <c r="Q179" s="4">
        <f>IF(A179="","",IF(N179/Inputs!$B$10&lt;=AG179,Inputs!$F$5,IF(N179/Inputs!$B$10&gt;AP179,"OVERSIZE",INDEX(Inputs!$F$5:$F$14,MATCH(N179/Inputs!$B$10,AG179:AP179,1)+1))))</f>
        <v/>
      </c>
      <c r="R179" s="4" t="n"/>
      <c r="S179" s="4">
        <f>IF(A179="","",IF(R179="",Q179,R179))</f>
        <v/>
      </c>
      <c r="T179" s="8">
        <f>IF(OR(S179="",S179="OVERSIZE"),"",S179/1000)</f>
        <v/>
      </c>
      <c r="U179" s="8">
        <f>IF(T179="","",(1/Inputs!$B$9)*(PI()*T179^2/4)*((T179/4)^(2/3))*SQRT(P179))</f>
        <v/>
      </c>
      <c r="V179" s="8">
        <f>IF(OR(U179="",N179=""),"",N179/(U179*Inputs!$B$10))</f>
        <v/>
      </c>
      <c r="W179" s="8">
        <f>IF(OR(T179="",N179=""),"",4*N179/(PI()*T179^2))</f>
        <v/>
      </c>
      <c r="X179" s="8" t="n"/>
      <c r="Y179" s="8">
        <f>IF(A179="","",IF(A179=Inputs!$B$6,Inputs!$B$22,IF(D179="","",IFERROR(INDEX($Z$4:$Z$203,MATCH(D179,$A$4:$A$203,0))+IF(X179="",Inputs!$B$20,X179),""))))</f>
        <v/>
      </c>
      <c r="Z179" s="8">
        <f>IF(OR(Y179="",P179="",E179=""),"",Y179+P179*E179)</f>
        <v/>
      </c>
      <c r="AA179" s="8">
        <f>IF(C179="","",IFERROR(INDEX(Noeuds_plan!$C$4:$C$200,MATCH(C179,Noeuds_plan!$A$4:$A$200,0)),""))</f>
        <v/>
      </c>
      <c r="AB179" s="8">
        <f>IF(B179="","",IFERROR(INDEX(Noeuds_plan!$C$4:$C$200,MATCH(B179,Noeuds_plan!$A$4:$A$200,0)),""))</f>
        <v/>
      </c>
      <c r="AC179" s="8">
        <f>IF(OR(AA179="",Y179=""),"",AA179-Y179)</f>
        <v/>
      </c>
      <c r="AD179" s="8">
        <f>IF(OR(AB179="",Z179=""),"",AB179-Z179)</f>
        <v/>
      </c>
      <c r="AE179" s="4">
        <f>IF(A179="","",IF(OR(V179&gt;1,W179&lt;Inputs!$B$11,W179&gt;Inputs!$B$12,AC179&lt;Inputs!$B$19,AD179&lt;Inputs!$B$19,P179&lt;Inputs!$B$7,P179&gt;Inputs!$B$8),"CHECK","OK"))</f>
        <v/>
      </c>
      <c r="AF179" s="4" t="n"/>
      <c r="AG179" s="4">
        <f>IF(A179="","",(1/Inputs!$B$9)*(PI()*(Inputs!$F$5/1000)^2/4)*((Inputs!$F$5/1000/4)^(2/3))*SQRT(P179))</f>
        <v/>
      </c>
      <c r="AH179" s="4">
        <f>IF(A179="","",(1/Inputs!$B$9)*(PI()*(Inputs!$F$6/1000)^2/4)*((Inputs!$F$6/1000/4)^(2/3))*SQRT(P179))</f>
        <v/>
      </c>
      <c r="AI179" s="4">
        <f>IF(A179="","",(1/Inputs!$B$9)*(PI()*(Inputs!$F$7/1000)^2/4)*((Inputs!$F$7/1000/4)^(2/3))*SQRT(P179))</f>
        <v/>
      </c>
      <c r="AJ179" s="4">
        <f>IF(A179="","",(1/Inputs!$B$9)*(PI()*(Inputs!$F$8/1000)^2/4)*((Inputs!$F$8/1000/4)^(2/3))*SQRT(P179))</f>
        <v/>
      </c>
      <c r="AK179" s="4">
        <f>IF(A179="","",(1/Inputs!$B$9)*(PI()*(Inputs!$F$9/1000)^2/4)*((Inputs!$F$9/1000/4)^(2/3))*SQRT(P179))</f>
        <v/>
      </c>
      <c r="AL179" s="4">
        <f>IF(A179="","",(1/Inputs!$B$9)*(PI()*(Inputs!$F$10/1000)^2/4)*((Inputs!$F$10/1000/4)^(2/3))*SQRT(P179))</f>
        <v/>
      </c>
      <c r="AM179" s="4">
        <f>IF(A179="","",(1/Inputs!$B$9)*(PI()*(Inputs!$F$11/1000)^2/4)*((Inputs!$F$11/1000/4)^(2/3))*SQRT(P179))</f>
        <v/>
      </c>
      <c r="AN179" s="4">
        <f>IF(A179="","",(1/Inputs!$B$9)*(PI()*(Inputs!$F$12/1000)^2/4)*((Inputs!$F$12/1000/4)^(2/3))*SQRT(P179))</f>
        <v/>
      </c>
      <c r="AO179" s="4">
        <f>IF(A179="","",(1/Inputs!$B$9)*(PI()*(Inputs!$F$13/1000)^2/4)*((Inputs!$F$13/1000/4)^(2/3))*SQRT(P179))</f>
        <v/>
      </c>
      <c r="AP179" s="4">
        <f>IF(A179="","",(1/Inputs!$B$9)*(PI()*(Inputs!$F$14/1000)^2/4)*((Inputs!$F$14/1000/4)^(2/3))*SQRT(P179))</f>
        <v/>
      </c>
    </row>
    <row r="180">
      <c r="A180" s="4" t="n"/>
      <c r="B180" s="4" t="n"/>
      <c r="C180" s="4" t="n"/>
      <c r="D180" s="4" t="n"/>
      <c r="E180" s="8" t="n"/>
      <c r="F180" s="8" t="n"/>
      <c r="G180" s="8">
        <f>SUMIFS(CB_plan!$C:$C,CB_plan!$B:$B,$A180)</f>
        <v/>
      </c>
      <c r="H180" s="8">
        <f>IF(F180="",G180,F180)</f>
        <v/>
      </c>
      <c r="I180" s="4" t="n"/>
      <c r="J180" s="8" t="n"/>
      <c r="K180" s="8">
        <f>IF(A180="","",Inputs!$B$13/((IF(J180="",Inputs!$B$18,J180)+Inputs!$B$14)^Inputs!$B$15))</f>
        <v/>
      </c>
      <c r="L180" s="8">
        <f>IF(A180="","",0.00278*IF(I180="",Inputs!$B$17,I180)*H180*K180)</f>
        <v/>
      </c>
      <c r="M180" s="8">
        <f>IF(A180="","",SUMIFS($N$4:$N$203,$D$4:$D$203,$A180))</f>
        <v/>
      </c>
      <c r="N180" s="8">
        <f>IF(A180="","",(L180+M180)*Inputs!$B$16)</f>
        <v/>
      </c>
      <c r="O180" s="8" t="n"/>
      <c r="P180" s="8">
        <f>IF(A180="","",IF(O180="",Inputs!$B$7,O180))</f>
        <v/>
      </c>
      <c r="Q180" s="4">
        <f>IF(A180="","",IF(N180/Inputs!$B$10&lt;=AG180,Inputs!$F$5,IF(N180/Inputs!$B$10&gt;AP180,"OVERSIZE",INDEX(Inputs!$F$5:$F$14,MATCH(N180/Inputs!$B$10,AG180:AP180,1)+1))))</f>
        <v/>
      </c>
      <c r="R180" s="4" t="n"/>
      <c r="S180" s="4">
        <f>IF(A180="","",IF(R180="",Q180,R180))</f>
        <v/>
      </c>
      <c r="T180" s="8">
        <f>IF(OR(S180="",S180="OVERSIZE"),"",S180/1000)</f>
        <v/>
      </c>
      <c r="U180" s="8">
        <f>IF(T180="","",(1/Inputs!$B$9)*(PI()*T180^2/4)*((T180/4)^(2/3))*SQRT(P180))</f>
        <v/>
      </c>
      <c r="V180" s="8">
        <f>IF(OR(U180="",N180=""),"",N180/(U180*Inputs!$B$10))</f>
        <v/>
      </c>
      <c r="W180" s="8">
        <f>IF(OR(T180="",N180=""),"",4*N180/(PI()*T180^2))</f>
        <v/>
      </c>
      <c r="X180" s="8" t="n"/>
      <c r="Y180" s="8">
        <f>IF(A180="","",IF(A180=Inputs!$B$6,Inputs!$B$22,IF(D180="","",IFERROR(INDEX($Z$4:$Z$203,MATCH(D180,$A$4:$A$203,0))+IF(X180="",Inputs!$B$20,X180),""))))</f>
        <v/>
      </c>
      <c r="Z180" s="8">
        <f>IF(OR(Y180="",P180="",E180=""),"",Y180+P180*E180)</f>
        <v/>
      </c>
      <c r="AA180" s="8">
        <f>IF(C180="","",IFERROR(INDEX(Noeuds_plan!$C$4:$C$200,MATCH(C180,Noeuds_plan!$A$4:$A$200,0)),""))</f>
        <v/>
      </c>
      <c r="AB180" s="8">
        <f>IF(B180="","",IFERROR(INDEX(Noeuds_plan!$C$4:$C$200,MATCH(B180,Noeuds_plan!$A$4:$A$200,0)),""))</f>
        <v/>
      </c>
      <c r="AC180" s="8">
        <f>IF(OR(AA180="",Y180=""),"",AA180-Y180)</f>
        <v/>
      </c>
      <c r="AD180" s="8">
        <f>IF(OR(AB180="",Z180=""),"",AB180-Z180)</f>
        <v/>
      </c>
      <c r="AE180" s="4">
        <f>IF(A180="","",IF(OR(V180&gt;1,W180&lt;Inputs!$B$11,W180&gt;Inputs!$B$12,AC180&lt;Inputs!$B$19,AD180&lt;Inputs!$B$19,P180&lt;Inputs!$B$7,P180&gt;Inputs!$B$8),"CHECK","OK"))</f>
        <v/>
      </c>
      <c r="AF180" s="4" t="n"/>
      <c r="AG180" s="4">
        <f>IF(A180="","",(1/Inputs!$B$9)*(PI()*(Inputs!$F$5/1000)^2/4)*((Inputs!$F$5/1000/4)^(2/3))*SQRT(P180))</f>
        <v/>
      </c>
      <c r="AH180" s="4">
        <f>IF(A180="","",(1/Inputs!$B$9)*(PI()*(Inputs!$F$6/1000)^2/4)*((Inputs!$F$6/1000/4)^(2/3))*SQRT(P180))</f>
        <v/>
      </c>
      <c r="AI180" s="4">
        <f>IF(A180="","",(1/Inputs!$B$9)*(PI()*(Inputs!$F$7/1000)^2/4)*((Inputs!$F$7/1000/4)^(2/3))*SQRT(P180))</f>
        <v/>
      </c>
      <c r="AJ180" s="4">
        <f>IF(A180="","",(1/Inputs!$B$9)*(PI()*(Inputs!$F$8/1000)^2/4)*((Inputs!$F$8/1000/4)^(2/3))*SQRT(P180))</f>
        <v/>
      </c>
      <c r="AK180" s="4">
        <f>IF(A180="","",(1/Inputs!$B$9)*(PI()*(Inputs!$F$9/1000)^2/4)*((Inputs!$F$9/1000/4)^(2/3))*SQRT(P180))</f>
        <v/>
      </c>
      <c r="AL180" s="4">
        <f>IF(A180="","",(1/Inputs!$B$9)*(PI()*(Inputs!$F$10/1000)^2/4)*((Inputs!$F$10/1000/4)^(2/3))*SQRT(P180))</f>
        <v/>
      </c>
      <c r="AM180" s="4">
        <f>IF(A180="","",(1/Inputs!$B$9)*(PI()*(Inputs!$F$11/1000)^2/4)*((Inputs!$F$11/1000/4)^(2/3))*SQRT(P180))</f>
        <v/>
      </c>
      <c r="AN180" s="4">
        <f>IF(A180="","",(1/Inputs!$B$9)*(PI()*(Inputs!$F$12/1000)^2/4)*((Inputs!$F$12/1000/4)^(2/3))*SQRT(P180))</f>
        <v/>
      </c>
      <c r="AO180" s="4">
        <f>IF(A180="","",(1/Inputs!$B$9)*(PI()*(Inputs!$F$13/1000)^2/4)*((Inputs!$F$13/1000/4)^(2/3))*SQRT(P180))</f>
        <v/>
      </c>
      <c r="AP180" s="4">
        <f>IF(A180="","",(1/Inputs!$B$9)*(PI()*(Inputs!$F$14/1000)^2/4)*((Inputs!$F$14/1000/4)^(2/3))*SQRT(P180))</f>
        <v/>
      </c>
    </row>
    <row r="181">
      <c r="A181" s="4" t="n"/>
      <c r="B181" s="4" t="n"/>
      <c r="C181" s="4" t="n"/>
      <c r="D181" s="4" t="n"/>
      <c r="E181" s="8" t="n"/>
      <c r="F181" s="8" t="n"/>
      <c r="G181" s="8">
        <f>SUMIFS(CB_plan!$C:$C,CB_plan!$B:$B,$A181)</f>
        <v/>
      </c>
      <c r="H181" s="8">
        <f>IF(F181="",G181,F181)</f>
        <v/>
      </c>
      <c r="I181" s="4" t="n"/>
      <c r="J181" s="8" t="n"/>
      <c r="K181" s="8">
        <f>IF(A181="","",Inputs!$B$13/((IF(J181="",Inputs!$B$18,J181)+Inputs!$B$14)^Inputs!$B$15))</f>
        <v/>
      </c>
      <c r="L181" s="8">
        <f>IF(A181="","",0.00278*IF(I181="",Inputs!$B$17,I181)*H181*K181)</f>
        <v/>
      </c>
      <c r="M181" s="8">
        <f>IF(A181="","",SUMIFS($N$4:$N$203,$D$4:$D$203,$A181))</f>
        <v/>
      </c>
      <c r="N181" s="8">
        <f>IF(A181="","",(L181+M181)*Inputs!$B$16)</f>
        <v/>
      </c>
      <c r="O181" s="8" t="n"/>
      <c r="P181" s="8">
        <f>IF(A181="","",IF(O181="",Inputs!$B$7,O181))</f>
        <v/>
      </c>
      <c r="Q181" s="4">
        <f>IF(A181="","",IF(N181/Inputs!$B$10&lt;=AG181,Inputs!$F$5,IF(N181/Inputs!$B$10&gt;AP181,"OVERSIZE",INDEX(Inputs!$F$5:$F$14,MATCH(N181/Inputs!$B$10,AG181:AP181,1)+1))))</f>
        <v/>
      </c>
      <c r="R181" s="4" t="n"/>
      <c r="S181" s="4">
        <f>IF(A181="","",IF(R181="",Q181,R181))</f>
        <v/>
      </c>
      <c r="T181" s="8">
        <f>IF(OR(S181="",S181="OVERSIZE"),"",S181/1000)</f>
        <v/>
      </c>
      <c r="U181" s="8">
        <f>IF(T181="","",(1/Inputs!$B$9)*(PI()*T181^2/4)*((T181/4)^(2/3))*SQRT(P181))</f>
        <v/>
      </c>
      <c r="V181" s="8">
        <f>IF(OR(U181="",N181=""),"",N181/(U181*Inputs!$B$10))</f>
        <v/>
      </c>
      <c r="W181" s="8">
        <f>IF(OR(T181="",N181=""),"",4*N181/(PI()*T181^2))</f>
        <v/>
      </c>
      <c r="X181" s="8" t="n"/>
      <c r="Y181" s="8">
        <f>IF(A181="","",IF(A181=Inputs!$B$6,Inputs!$B$22,IF(D181="","",IFERROR(INDEX($Z$4:$Z$203,MATCH(D181,$A$4:$A$203,0))+IF(X181="",Inputs!$B$20,X181),""))))</f>
        <v/>
      </c>
      <c r="Z181" s="8">
        <f>IF(OR(Y181="",P181="",E181=""),"",Y181+P181*E181)</f>
        <v/>
      </c>
      <c r="AA181" s="8">
        <f>IF(C181="","",IFERROR(INDEX(Noeuds_plan!$C$4:$C$200,MATCH(C181,Noeuds_plan!$A$4:$A$200,0)),""))</f>
        <v/>
      </c>
      <c r="AB181" s="8">
        <f>IF(B181="","",IFERROR(INDEX(Noeuds_plan!$C$4:$C$200,MATCH(B181,Noeuds_plan!$A$4:$A$200,0)),""))</f>
        <v/>
      </c>
      <c r="AC181" s="8">
        <f>IF(OR(AA181="",Y181=""),"",AA181-Y181)</f>
        <v/>
      </c>
      <c r="AD181" s="8">
        <f>IF(OR(AB181="",Z181=""),"",AB181-Z181)</f>
        <v/>
      </c>
      <c r="AE181" s="4">
        <f>IF(A181="","",IF(OR(V181&gt;1,W181&lt;Inputs!$B$11,W181&gt;Inputs!$B$12,AC181&lt;Inputs!$B$19,AD181&lt;Inputs!$B$19,P181&lt;Inputs!$B$7,P181&gt;Inputs!$B$8),"CHECK","OK"))</f>
        <v/>
      </c>
      <c r="AF181" s="4" t="n"/>
      <c r="AG181" s="4">
        <f>IF(A181="","",(1/Inputs!$B$9)*(PI()*(Inputs!$F$5/1000)^2/4)*((Inputs!$F$5/1000/4)^(2/3))*SQRT(P181))</f>
        <v/>
      </c>
      <c r="AH181" s="4">
        <f>IF(A181="","",(1/Inputs!$B$9)*(PI()*(Inputs!$F$6/1000)^2/4)*((Inputs!$F$6/1000/4)^(2/3))*SQRT(P181))</f>
        <v/>
      </c>
      <c r="AI181" s="4">
        <f>IF(A181="","",(1/Inputs!$B$9)*(PI()*(Inputs!$F$7/1000)^2/4)*((Inputs!$F$7/1000/4)^(2/3))*SQRT(P181))</f>
        <v/>
      </c>
      <c r="AJ181" s="4">
        <f>IF(A181="","",(1/Inputs!$B$9)*(PI()*(Inputs!$F$8/1000)^2/4)*((Inputs!$F$8/1000/4)^(2/3))*SQRT(P181))</f>
        <v/>
      </c>
      <c r="AK181" s="4">
        <f>IF(A181="","",(1/Inputs!$B$9)*(PI()*(Inputs!$F$9/1000)^2/4)*((Inputs!$F$9/1000/4)^(2/3))*SQRT(P181))</f>
        <v/>
      </c>
      <c r="AL181" s="4">
        <f>IF(A181="","",(1/Inputs!$B$9)*(PI()*(Inputs!$F$10/1000)^2/4)*((Inputs!$F$10/1000/4)^(2/3))*SQRT(P181))</f>
        <v/>
      </c>
      <c r="AM181" s="4">
        <f>IF(A181="","",(1/Inputs!$B$9)*(PI()*(Inputs!$F$11/1000)^2/4)*((Inputs!$F$11/1000/4)^(2/3))*SQRT(P181))</f>
        <v/>
      </c>
      <c r="AN181" s="4">
        <f>IF(A181="","",(1/Inputs!$B$9)*(PI()*(Inputs!$F$12/1000)^2/4)*((Inputs!$F$12/1000/4)^(2/3))*SQRT(P181))</f>
        <v/>
      </c>
      <c r="AO181" s="4">
        <f>IF(A181="","",(1/Inputs!$B$9)*(PI()*(Inputs!$F$13/1000)^2/4)*((Inputs!$F$13/1000/4)^(2/3))*SQRT(P181))</f>
        <v/>
      </c>
      <c r="AP181" s="4">
        <f>IF(A181="","",(1/Inputs!$B$9)*(PI()*(Inputs!$F$14/1000)^2/4)*((Inputs!$F$14/1000/4)^(2/3))*SQRT(P181))</f>
        <v/>
      </c>
    </row>
    <row r="182">
      <c r="A182" s="4" t="n"/>
      <c r="B182" s="4" t="n"/>
      <c r="C182" s="4" t="n"/>
      <c r="D182" s="4" t="n"/>
      <c r="E182" s="8" t="n"/>
      <c r="F182" s="8" t="n"/>
      <c r="G182" s="8">
        <f>SUMIFS(CB_plan!$C:$C,CB_plan!$B:$B,$A182)</f>
        <v/>
      </c>
      <c r="H182" s="8">
        <f>IF(F182="",G182,F182)</f>
        <v/>
      </c>
      <c r="I182" s="4" t="n"/>
      <c r="J182" s="8" t="n"/>
      <c r="K182" s="8">
        <f>IF(A182="","",Inputs!$B$13/((IF(J182="",Inputs!$B$18,J182)+Inputs!$B$14)^Inputs!$B$15))</f>
        <v/>
      </c>
      <c r="L182" s="8">
        <f>IF(A182="","",0.00278*IF(I182="",Inputs!$B$17,I182)*H182*K182)</f>
        <v/>
      </c>
      <c r="M182" s="8">
        <f>IF(A182="","",SUMIFS($N$4:$N$203,$D$4:$D$203,$A182))</f>
        <v/>
      </c>
      <c r="N182" s="8">
        <f>IF(A182="","",(L182+M182)*Inputs!$B$16)</f>
        <v/>
      </c>
      <c r="O182" s="8" t="n"/>
      <c r="P182" s="8">
        <f>IF(A182="","",IF(O182="",Inputs!$B$7,O182))</f>
        <v/>
      </c>
      <c r="Q182" s="4">
        <f>IF(A182="","",IF(N182/Inputs!$B$10&lt;=AG182,Inputs!$F$5,IF(N182/Inputs!$B$10&gt;AP182,"OVERSIZE",INDEX(Inputs!$F$5:$F$14,MATCH(N182/Inputs!$B$10,AG182:AP182,1)+1))))</f>
        <v/>
      </c>
      <c r="R182" s="4" t="n"/>
      <c r="S182" s="4">
        <f>IF(A182="","",IF(R182="",Q182,R182))</f>
        <v/>
      </c>
      <c r="T182" s="8">
        <f>IF(OR(S182="",S182="OVERSIZE"),"",S182/1000)</f>
        <v/>
      </c>
      <c r="U182" s="8">
        <f>IF(T182="","",(1/Inputs!$B$9)*(PI()*T182^2/4)*((T182/4)^(2/3))*SQRT(P182))</f>
        <v/>
      </c>
      <c r="V182" s="8">
        <f>IF(OR(U182="",N182=""),"",N182/(U182*Inputs!$B$10))</f>
        <v/>
      </c>
      <c r="W182" s="8">
        <f>IF(OR(T182="",N182=""),"",4*N182/(PI()*T182^2))</f>
        <v/>
      </c>
      <c r="X182" s="8" t="n"/>
      <c r="Y182" s="8">
        <f>IF(A182="","",IF(A182=Inputs!$B$6,Inputs!$B$22,IF(D182="","",IFERROR(INDEX($Z$4:$Z$203,MATCH(D182,$A$4:$A$203,0))+IF(X182="",Inputs!$B$20,X182),""))))</f>
        <v/>
      </c>
      <c r="Z182" s="8">
        <f>IF(OR(Y182="",P182="",E182=""),"",Y182+P182*E182)</f>
        <v/>
      </c>
      <c r="AA182" s="8">
        <f>IF(C182="","",IFERROR(INDEX(Noeuds_plan!$C$4:$C$200,MATCH(C182,Noeuds_plan!$A$4:$A$200,0)),""))</f>
        <v/>
      </c>
      <c r="AB182" s="8">
        <f>IF(B182="","",IFERROR(INDEX(Noeuds_plan!$C$4:$C$200,MATCH(B182,Noeuds_plan!$A$4:$A$200,0)),""))</f>
        <v/>
      </c>
      <c r="AC182" s="8">
        <f>IF(OR(AA182="",Y182=""),"",AA182-Y182)</f>
        <v/>
      </c>
      <c r="AD182" s="8">
        <f>IF(OR(AB182="",Z182=""),"",AB182-Z182)</f>
        <v/>
      </c>
      <c r="AE182" s="4">
        <f>IF(A182="","",IF(OR(V182&gt;1,W182&lt;Inputs!$B$11,W182&gt;Inputs!$B$12,AC182&lt;Inputs!$B$19,AD182&lt;Inputs!$B$19,P182&lt;Inputs!$B$7,P182&gt;Inputs!$B$8),"CHECK","OK"))</f>
        <v/>
      </c>
      <c r="AF182" s="4" t="n"/>
      <c r="AG182" s="4">
        <f>IF(A182="","",(1/Inputs!$B$9)*(PI()*(Inputs!$F$5/1000)^2/4)*((Inputs!$F$5/1000/4)^(2/3))*SQRT(P182))</f>
        <v/>
      </c>
      <c r="AH182" s="4">
        <f>IF(A182="","",(1/Inputs!$B$9)*(PI()*(Inputs!$F$6/1000)^2/4)*((Inputs!$F$6/1000/4)^(2/3))*SQRT(P182))</f>
        <v/>
      </c>
      <c r="AI182" s="4">
        <f>IF(A182="","",(1/Inputs!$B$9)*(PI()*(Inputs!$F$7/1000)^2/4)*((Inputs!$F$7/1000/4)^(2/3))*SQRT(P182))</f>
        <v/>
      </c>
      <c r="AJ182" s="4">
        <f>IF(A182="","",(1/Inputs!$B$9)*(PI()*(Inputs!$F$8/1000)^2/4)*((Inputs!$F$8/1000/4)^(2/3))*SQRT(P182))</f>
        <v/>
      </c>
      <c r="AK182" s="4">
        <f>IF(A182="","",(1/Inputs!$B$9)*(PI()*(Inputs!$F$9/1000)^2/4)*((Inputs!$F$9/1000/4)^(2/3))*SQRT(P182))</f>
        <v/>
      </c>
      <c r="AL182" s="4">
        <f>IF(A182="","",(1/Inputs!$B$9)*(PI()*(Inputs!$F$10/1000)^2/4)*((Inputs!$F$10/1000/4)^(2/3))*SQRT(P182))</f>
        <v/>
      </c>
      <c r="AM182" s="4">
        <f>IF(A182="","",(1/Inputs!$B$9)*(PI()*(Inputs!$F$11/1000)^2/4)*((Inputs!$F$11/1000/4)^(2/3))*SQRT(P182))</f>
        <v/>
      </c>
      <c r="AN182" s="4">
        <f>IF(A182="","",(1/Inputs!$B$9)*(PI()*(Inputs!$F$12/1000)^2/4)*((Inputs!$F$12/1000/4)^(2/3))*SQRT(P182))</f>
        <v/>
      </c>
      <c r="AO182" s="4">
        <f>IF(A182="","",(1/Inputs!$B$9)*(PI()*(Inputs!$F$13/1000)^2/4)*((Inputs!$F$13/1000/4)^(2/3))*SQRT(P182))</f>
        <v/>
      </c>
      <c r="AP182" s="4">
        <f>IF(A182="","",(1/Inputs!$B$9)*(PI()*(Inputs!$F$14/1000)^2/4)*((Inputs!$F$14/1000/4)^(2/3))*SQRT(P182))</f>
        <v/>
      </c>
    </row>
    <row r="183">
      <c r="A183" s="4" t="n"/>
      <c r="B183" s="4" t="n"/>
      <c r="C183" s="4" t="n"/>
      <c r="D183" s="4" t="n"/>
      <c r="E183" s="8" t="n"/>
      <c r="F183" s="8" t="n"/>
      <c r="G183" s="8">
        <f>SUMIFS(CB_plan!$C:$C,CB_plan!$B:$B,$A183)</f>
        <v/>
      </c>
      <c r="H183" s="8">
        <f>IF(F183="",G183,F183)</f>
        <v/>
      </c>
      <c r="I183" s="4" t="n"/>
      <c r="J183" s="8" t="n"/>
      <c r="K183" s="8">
        <f>IF(A183="","",Inputs!$B$13/((IF(J183="",Inputs!$B$18,J183)+Inputs!$B$14)^Inputs!$B$15))</f>
        <v/>
      </c>
      <c r="L183" s="8">
        <f>IF(A183="","",0.00278*IF(I183="",Inputs!$B$17,I183)*H183*K183)</f>
        <v/>
      </c>
      <c r="M183" s="8">
        <f>IF(A183="","",SUMIFS($N$4:$N$203,$D$4:$D$203,$A183))</f>
        <v/>
      </c>
      <c r="N183" s="8">
        <f>IF(A183="","",(L183+M183)*Inputs!$B$16)</f>
        <v/>
      </c>
      <c r="O183" s="8" t="n"/>
      <c r="P183" s="8">
        <f>IF(A183="","",IF(O183="",Inputs!$B$7,O183))</f>
        <v/>
      </c>
      <c r="Q183" s="4">
        <f>IF(A183="","",IF(N183/Inputs!$B$10&lt;=AG183,Inputs!$F$5,IF(N183/Inputs!$B$10&gt;AP183,"OVERSIZE",INDEX(Inputs!$F$5:$F$14,MATCH(N183/Inputs!$B$10,AG183:AP183,1)+1))))</f>
        <v/>
      </c>
      <c r="R183" s="4" t="n"/>
      <c r="S183" s="4">
        <f>IF(A183="","",IF(R183="",Q183,R183))</f>
        <v/>
      </c>
      <c r="T183" s="8">
        <f>IF(OR(S183="",S183="OVERSIZE"),"",S183/1000)</f>
        <v/>
      </c>
      <c r="U183" s="8">
        <f>IF(T183="","",(1/Inputs!$B$9)*(PI()*T183^2/4)*((T183/4)^(2/3))*SQRT(P183))</f>
        <v/>
      </c>
      <c r="V183" s="8">
        <f>IF(OR(U183="",N183=""),"",N183/(U183*Inputs!$B$10))</f>
        <v/>
      </c>
      <c r="W183" s="8">
        <f>IF(OR(T183="",N183=""),"",4*N183/(PI()*T183^2))</f>
        <v/>
      </c>
      <c r="X183" s="8" t="n"/>
      <c r="Y183" s="8">
        <f>IF(A183="","",IF(A183=Inputs!$B$6,Inputs!$B$22,IF(D183="","",IFERROR(INDEX($Z$4:$Z$203,MATCH(D183,$A$4:$A$203,0))+IF(X183="",Inputs!$B$20,X183),""))))</f>
        <v/>
      </c>
      <c r="Z183" s="8">
        <f>IF(OR(Y183="",P183="",E183=""),"",Y183+P183*E183)</f>
        <v/>
      </c>
      <c r="AA183" s="8">
        <f>IF(C183="","",IFERROR(INDEX(Noeuds_plan!$C$4:$C$200,MATCH(C183,Noeuds_plan!$A$4:$A$200,0)),""))</f>
        <v/>
      </c>
      <c r="AB183" s="8">
        <f>IF(B183="","",IFERROR(INDEX(Noeuds_plan!$C$4:$C$200,MATCH(B183,Noeuds_plan!$A$4:$A$200,0)),""))</f>
        <v/>
      </c>
      <c r="AC183" s="8">
        <f>IF(OR(AA183="",Y183=""),"",AA183-Y183)</f>
        <v/>
      </c>
      <c r="AD183" s="8">
        <f>IF(OR(AB183="",Z183=""),"",AB183-Z183)</f>
        <v/>
      </c>
      <c r="AE183" s="4">
        <f>IF(A183="","",IF(OR(V183&gt;1,W183&lt;Inputs!$B$11,W183&gt;Inputs!$B$12,AC183&lt;Inputs!$B$19,AD183&lt;Inputs!$B$19,P183&lt;Inputs!$B$7,P183&gt;Inputs!$B$8),"CHECK","OK"))</f>
        <v/>
      </c>
      <c r="AF183" s="4" t="n"/>
      <c r="AG183" s="4">
        <f>IF(A183="","",(1/Inputs!$B$9)*(PI()*(Inputs!$F$5/1000)^2/4)*((Inputs!$F$5/1000/4)^(2/3))*SQRT(P183))</f>
        <v/>
      </c>
      <c r="AH183" s="4">
        <f>IF(A183="","",(1/Inputs!$B$9)*(PI()*(Inputs!$F$6/1000)^2/4)*((Inputs!$F$6/1000/4)^(2/3))*SQRT(P183))</f>
        <v/>
      </c>
      <c r="AI183" s="4">
        <f>IF(A183="","",(1/Inputs!$B$9)*(PI()*(Inputs!$F$7/1000)^2/4)*((Inputs!$F$7/1000/4)^(2/3))*SQRT(P183))</f>
        <v/>
      </c>
      <c r="AJ183" s="4">
        <f>IF(A183="","",(1/Inputs!$B$9)*(PI()*(Inputs!$F$8/1000)^2/4)*((Inputs!$F$8/1000/4)^(2/3))*SQRT(P183))</f>
        <v/>
      </c>
      <c r="AK183" s="4">
        <f>IF(A183="","",(1/Inputs!$B$9)*(PI()*(Inputs!$F$9/1000)^2/4)*((Inputs!$F$9/1000/4)^(2/3))*SQRT(P183))</f>
        <v/>
      </c>
      <c r="AL183" s="4">
        <f>IF(A183="","",(1/Inputs!$B$9)*(PI()*(Inputs!$F$10/1000)^2/4)*((Inputs!$F$10/1000/4)^(2/3))*SQRT(P183))</f>
        <v/>
      </c>
      <c r="AM183" s="4">
        <f>IF(A183="","",(1/Inputs!$B$9)*(PI()*(Inputs!$F$11/1000)^2/4)*((Inputs!$F$11/1000/4)^(2/3))*SQRT(P183))</f>
        <v/>
      </c>
      <c r="AN183" s="4">
        <f>IF(A183="","",(1/Inputs!$B$9)*(PI()*(Inputs!$F$12/1000)^2/4)*((Inputs!$F$12/1000/4)^(2/3))*SQRT(P183))</f>
        <v/>
      </c>
      <c r="AO183" s="4">
        <f>IF(A183="","",(1/Inputs!$B$9)*(PI()*(Inputs!$F$13/1000)^2/4)*((Inputs!$F$13/1000/4)^(2/3))*SQRT(P183))</f>
        <v/>
      </c>
      <c r="AP183" s="4">
        <f>IF(A183="","",(1/Inputs!$B$9)*(PI()*(Inputs!$F$14/1000)^2/4)*((Inputs!$F$14/1000/4)^(2/3))*SQRT(P183))</f>
        <v/>
      </c>
    </row>
    <row r="184">
      <c r="A184" s="4" t="n"/>
      <c r="B184" s="4" t="n"/>
      <c r="C184" s="4" t="n"/>
      <c r="D184" s="4" t="n"/>
      <c r="E184" s="8" t="n"/>
      <c r="F184" s="8" t="n"/>
      <c r="G184" s="8">
        <f>SUMIFS(CB_plan!$C:$C,CB_plan!$B:$B,$A184)</f>
        <v/>
      </c>
      <c r="H184" s="8">
        <f>IF(F184="",G184,F184)</f>
        <v/>
      </c>
      <c r="I184" s="4" t="n"/>
      <c r="J184" s="8" t="n"/>
      <c r="K184" s="8">
        <f>IF(A184="","",Inputs!$B$13/((IF(J184="",Inputs!$B$18,J184)+Inputs!$B$14)^Inputs!$B$15))</f>
        <v/>
      </c>
      <c r="L184" s="8">
        <f>IF(A184="","",0.00278*IF(I184="",Inputs!$B$17,I184)*H184*K184)</f>
        <v/>
      </c>
      <c r="M184" s="8">
        <f>IF(A184="","",SUMIFS($N$4:$N$203,$D$4:$D$203,$A184))</f>
        <v/>
      </c>
      <c r="N184" s="8">
        <f>IF(A184="","",(L184+M184)*Inputs!$B$16)</f>
        <v/>
      </c>
      <c r="O184" s="8" t="n"/>
      <c r="P184" s="8">
        <f>IF(A184="","",IF(O184="",Inputs!$B$7,O184))</f>
        <v/>
      </c>
      <c r="Q184" s="4">
        <f>IF(A184="","",IF(N184/Inputs!$B$10&lt;=AG184,Inputs!$F$5,IF(N184/Inputs!$B$10&gt;AP184,"OVERSIZE",INDEX(Inputs!$F$5:$F$14,MATCH(N184/Inputs!$B$10,AG184:AP184,1)+1))))</f>
        <v/>
      </c>
      <c r="R184" s="4" t="n"/>
      <c r="S184" s="4">
        <f>IF(A184="","",IF(R184="",Q184,R184))</f>
        <v/>
      </c>
      <c r="T184" s="8">
        <f>IF(OR(S184="",S184="OVERSIZE"),"",S184/1000)</f>
        <v/>
      </c>
      <c r="U184" s="8">
        <f>IF(T184="","",(1/Inputs!$B$9)*(PI()*T184^2/4)*((T184/4)^(2/3))*SQRT(P184))</f>
        <v/>
      </c>
      <c r="V184" s="8">
        <f>IF(OR(U184="",N184=""),"",N184/(U184*Inputs!$B$10))</f>
        <v/>
      </c>
      <c r="W184" s="8">
        <f>IF(OR(T184="",N184=""),"",4*N184/(PI()*T184^2))</f>
        <v/>
      </c>
      <c r="X184" s="8" t="n"/>
      <c r="Y184" s="8">
        <f>IF(A184="","",IF(A184=Inputs!$B$6,Inputs!$B$22,IF(D184="","",IFERROR(INDEX($Z$4:$Z$203,MATCH(D184,$A$4:$A$203,0))+IF(X184="",Inputs!$B$20,X184),""))))</f>
        <v/>
      </c>
      <c r="Z184" s="8">
        <f>IF(OR(Y184="",P184="",E184=""),"",Y184+P184*E184)</f>
        <v/>
      </c>
      <c r="AA184" s="8">
        <f>IF(C184="","",IFERROR(INDEX(Noeuds_plan!$C$4:$C$200,MATCH(C184,Noeuds_plan!$A$4:$A$200,0)),""))</f>
        <v/>
      </c>
      <c r="AB184" s="8">
        <f>IF(B184="","",IFERROR(INDEX(Noeuds_plan!$C$4:$C$200,MATCH(B184,Noeuds_plan!$A$4:$A$200,0)),""))</f>
        <v/>
      </c>
      <c r="AC184" s="8">
        <f>IF(OR(AA184="",Y184=""),"",AA184-Y184)</f>
        <v/>
      </c>
      <c r="AD184" s="8">
        <f>IF(OR(AB184="",Z184=""),"",AB184-Z184)</f>
        <v/>
      </c>
      <c r="AE184" s="4">
        <f>IF(A184="","",IF(OR(V184&gt;1,W184&lt;Inputs!$B$11,W184&gt;Inputs!$B$12,AC184&lt;Inputs!$B$19,AD184&lt;Inputs!$B$19,P184&lt;Inputs!$B$7,P184&gt;Inputs!$B$8),"CHECK","OK"))</f>
        <v/>
      </c>
      <c r="AF184" s="4" t="n"/>
      <c r="AG184" s="4">
        <f>IF(A184="","",(1/Inputs!$B$9)*(PI()*(Inputs!$F$5/1000)^2/4)*((Inputs!$F$5/1000/4)^(2/3))*SQRT(P184))</f>
        <v/>
      </c>
      <c r="AH184" s="4">
        <f>IF(A184="","",(1/Inputs!$B$9)*(PI()*(Inputs!$F$6/1000)^2/4)*((Inputs!$F$6/1000/4)^(2/3))*SQRT(P184))</f>
        <v/>
      </c>
      <c r="AI184" s="4">
        <f>IF(A184="","",(1/Inputs!$B$9)*(PI()*(Inputs!$F$7/1000)^2/4)*((Inputs!$F$7/1000/4)^(2/3))*SQRT(P184))</f>
        <v/>
      </c>
      <c r="AJ184" s="4">
        <f>IF(A184="","",(1/Inputs!$B$9)*(PI()*(Inputs!$F$8/1000)^2/4)*((Inputs!$F$8/1000/4)^(2/3))*SQRT(P184))</f>
        <v/>
      </c>
      <c r="AK184" s="4">
        <f>IF(A184="","",(1/Inputs!$B$9)*(PI()*(Inputs!$F$9/1000)^2/4)*((Inputs!$F$9/1000/4)^(2/3))*SQRT(P184))</f>
        <v/>
      </c>
      <c r="AL184" s="4">
        <f>IF(A184="","",(1/Inputs!$B$9)*(PI()*(Inputs!$F$10/1000)^2/4)*((Inputs!$F$10/1000/4)^(2/3))*SQRT(P184))</f>
        <v/>
      </c>
      <c r="AM184" s="4">
        <f>IF(A184="","",(1/Inputs!$B$9)*(PI()*(Inputs!$F$11/1000)^2/4)*((Inputs!$F$11/1000/4)^(2/3))*SQRT(P184))</f>
        <v/>
      </c>
      <c r="AN184" s="4">
        <f>IF(A184="","",(1/Inputs!$B$9)*(PI()*(Inputs!$F$12/1000)^2/4)*((Inputs!$F$12/1000/4)^(2/3))*SQRT(P184))</f>
        <v/>
      </c>
      <c r="AO184" s="4">
        <f>IF(A184="","",(1/Inputs!$B$9)*(PI()*(Inputs!$F$13/1000)^2/4)*((Inputs!$F$13/1000/4)^(2/3))*SQRT(P184))</f>
        <v/>
      </c>
      <c r="AP184" s="4">
        <f>IF(A184="","",(1/Inputs!$B$9)*(PI()*(Inputs!$F$14/1000)^2/4)*((Inputs!$F$14/1000/4)^(2/3))*SQRT(P184))</f>
        <v/>
      </c>
    </row>
    <row r="185">
      <c r="A185" s="4" t="n"/>
      <c r="B185" s="4" t="n"/>
      <c r="C185" s="4" t="n"/>
      <c r="D185" s="4" t="n"/>
      <c r="E185" s="8" t="n"/>
      <c r="F185" s="8" t="n"/>
      <c r="G185" s="8">
        <f>SUMIFS(CB_plan!$C:$C,CB_plan!$B:$B,$A185)</f>
        <v/>
      </c>
      <c r="H185" s="8">
        <f>IF(F185="",G185,F185)</f>
        <v/>
      </c>
      <c r="I185" s="4" t="n"/>
      <c r="J185" s="8" t="n"/>
      <c r="K185" s="8">
        <f>IF(A185="","",Inputs!$B$13/((IF(J185="",Inputs!$B$18,J185)+Inputs!$B$14)^Inputs!$B$15))</f>
        <v/>
      </c>
      <c r="L185" s="8">
        <f>IF(A185="","",0.00278*IF(I185="",Inputs!$B$17,I185)*H185*K185)</f>
        <v/>
      </c>
      <c r="M185" s="8">
        <f>IF(A185="","",SUMIFS($N$4:$N$203,$D$4:$D$203,$A185))</f>
        <v/>
      </c>
      <c r="N185" s="8">
        <f>IF(A185="","",(L185+M185)*Inputs!$B$16)</f>
        <v/>
      </c>
      <c r="O185" s="8" t="n"/>
      <c r="P185" s="8">
        <f>IF(A185="","",IF(O185="",Inputs!$B$7,O185))</f>
        <v/>
      </c>
      <c r="Q185" s="4">
        <f>IF(A185="","",IF(N185/Inputs!$B$10&lt;=AG185,Inputs!$F$5,IF(N185/Inputs!$B$10&gt;AP185,"OVERSIZE",INDEX(Inputs!$F$5:$F$14,MATCH(N185/Inputs!$B$10,AG185:AP185,1)+1))))</f>
        <v/>
      </c>
      <c r="R185" s="4" t="n"/>
      <c r="S185" s="4">
        <f>IF(A185="","",IF(R185="",Q185,R185))</f>
        <v/>
      </c>
      <c r="T185" s="8">
        <f>IF(OR(S185="",S185="OVERSIZE"),"",S185/1000)</f>
        <v/>
      </c>
      <c r="U185" s="8">
        <f>IF(T185="","",(1/Inputs!$B$9)*(PI()*T185^2/4)*((T185/4)^(2/3))*SQRT(P185))</f>
        <v/>
      </c>
      <c r="V185" s="8">
        <f>IF(OR(U185="",N185=""),"",N185/(U185*Inputs!$B$10))</f>
        <v/>
      </c>
      <c r="W185" s="8">
        <f>IF(OR(T185="",N185=""),"",4*N185/(PI()*T185^2))</f>
        <v/>
      </c>
      <c r="X185" s="8" t="n"/>
      <c r="Y185" s="8">
        <f>IF(A185="","",IF(A185=Inputs!$B$6,Inputs!$B$22,IF(D185="","",IFERROR(INDEX($Z$4:$Z$203,MATCH(D185,$A$4:$A$203,0))+IF(X185="",Inputs!$B$20,X185),""))))</f>
        <v/>
      </c>
      <c r="Z185" s="8">
        <f>IF(OR(Y185="",P185="",E185=""),"",Y185+P185*E185)</f>
        <v/>
      </c>
      <c r="AA185" s="8">
        <f>IF(C185="","",IFERROR(INDEX(Noeuds_plan!$C$4:$C$200,MATCH(C185,Noeuds_plan!$A$4:$A$200,0)),""))</f>
        <v/>
      </c>
      <c r="AB185" s="8">
        <f>IF(B185="","",IFERROR(INDEX(Noeuds_plan!$C$4:$C$200,MATCH(B185,Noeuds_plan!$A$4:$A$200,0)),""))</f>
        <v/>
      </c>
      <c r="AC185" s="8">
        <f>IF(OR(AA185="",Y185=""),"",AA185-Y185)</f>
        <v/>
      </c>
      <c r="AD185" s="8">
        <f>IF(OR(AB185="",Z185=""),"",AB185-Z185)</f>
        <v/>
      </c>
      <c r="AE185" s="4">
        <f>IF(A185="","",IF(OR(V185&gt;1,W185&lt;Inputs!$B$11,W185&gt;Inputs!$B$12,AC185&lt;Inputs!$B$19,AD185&lt;Inputs!$B$19,P185&lt;Inputs!$B$7,P185&gt;Inputs!$B$8),"CHECK","OK"))</f>
        <v/>
      </c>
      <c r="AF185" s="4" t="n"/>
      <c r="AG185" s="4">
        <f>IF(A185="","",(1/Inputs!$B$9)*(PI()*(Inputs!$F$5/1000)^2/4)*((Inputs!$F$5/1000/4)^(2/3))*SQRT(P185))</f>
        <v/>
      </c>
      <c r="AH185" s="4">
        <f>IF(A185="","",(1/Inputs!$B$9)*(PI()*(Inputs!$F$6/1000)^2/4)*((Inputs!$F$6/1000/4)^(2/3))*SQRT(P185))</f>
        <v/>
      </c>
      <c r="AI185" s="4">
        <f>IF(A185="","",(1/Inputs!$B$9)*(PI()*(Inputs!$F$7/1000)^2/4)*((Inputs!$F$7/1000/4)^(2/3))*SQRT(P185))</f>
        <v/>
      </c>
      <c r="AJ185" s="4">
        <f>IF(A185="","",(1/Inputs!$B$9)*(PI()*(Inputs!$F$8/1000)^2/4)*((Inputs!$F$8/1000/4)^(2/3))*SQRT(P185))</f>
        <v/>
      </c>
      <c r="AK185" s="4">
        <f>IF(A185="","",(1/Inputs!$B$9)*(PI()*(Inputs!$F$9/1000)^2/4)*((Inputs!$F$9/1000/4)^(2/3))*SQRT(P185))</f>
        <v/>
      </c>
      <c r="AL185" s="4">
        <f>IF(A185="","",(1/Inputs!$B$9)*(PI()*(Inputs!$F$10/1000)^2/4)*((Inputs!$F$10/1000/4)^(2/3))*SQRT(P185))</f>
        <v/>
      </c>
      <c r="AM185" s="4">
        <f>IF(A185="","",(1/Inputs!$B$9)*(PI()*(Inputs!$F$11/1000)^2/4)*((Inputs!$F$11/1000/4)^(2/3))*SQRT(P185))</f>
        <v/>
      </c>
      <c r="AN185" s="4">
        <f>IF(A185="","",(1/Inputs!$B$9)*(PI()*(Inputs!$F$12/1000)^2/4)*((Inputs!$F$12/1000/4)^(2/3))*SQRT(P185))</f>
        <v/>
      </c>
      <c r="AO185" s="4">
        <f>IF(A185="","",(1/Inputs!$B$9)*(PI()*(Inputs!$F$13/1000)^2/4)*((Inputs!$F$13/1000/4)^(2/3))*SQRT(P185))</f>
        <v/>
      </c>
      <c r="AP185" s="4">
        <f>IF(A185="","",(1/Inputs!$B$9)*(PI()*(Inputs!$F$14/1000)^2/4)*((Inputs!$F$14/1000/4)^(2/3))*SQRT(P185))</f>
        <v/>
      </c>
    </row>
    <row r="186">
      <c r="A186" s="4" t="n"/>
      <c r="B186" s="4" t="n"/>
      <c r="C186" s="4" t="n"/>
      <c r="D186" s="4" t="n"/>
      <c r="E186" s="8" t="n"/>
      <c r="F186" s="8" t="n"/>
      <c r="G186" s="8">
        <f>SUMIFS(CB_plan!$C:$C,CB_plan!$B:$B,$A186)</f>
        <v/>
      </c>
      <c r="H186" s="8">
        <f>IF(F186="",G186,F186)</f>
        <v/>
      </c>
      <c r="I186" s="4" t="n"/>
      <c r="J186" s="8" t="n"/>
      <c r="K186" s="8">
        <f>IF(A186="","",Inputs!$B$13/((IF(J186="",Inputs!$B$18,J186)+Inputs!$B$14)^Inputs!$B$15))</f>
        <v/>
      </c>
      <c r="L186" s="8">
        <f>IF(A186="","",0.00278*IF(I186="",Inputs!$B$17,I186)*H186*K186)</f>
        <v/>
      </c>
      <c r="M186" s="8">
        <f>IF(A186="","",SUMIFS($N$4:$N$203,$D$4:$D$203,$A186))</f>
        <v/>
      </c>
      <c r="N186" s="8">
        <f>IF(A186="","",(L186+M186)*Inputs!$B$16)</f>
        <v/>
      </c>
      <c r="O186" s="8" t="n"/>
      <c r="P186" s="8">
        <f>IF(A186="","",IF(O186="",Inputs!$B$7,O186))</f>
        <v/>
      </c>
      <c r="Q186" s="4">
        <f>IF(A186="","",IF(N186/Inputs!$B$10&lt;=AG186,Inputs!$F$5,IF(N186/Inputs!$B$10&gt;AP186,"OVERSIZE",INDEX(Inputs!$F$5:$F$14,MATCH(N186/Inputs!$B$10,AG186:AP186,1)+1))))</f>
        <v/>
      </c>
      <c r="R186" s="4" t="n"/>
      <c r="S186" s="4">
        <f>IF(A186="","",IF(R186="",Q186,R186))</f>
        <v/>
      </c>
      <c r="T186" s="8">
        <f>IF(OR(S186="",S186="OVERSIZE"),"",S186/1000)</f>
        <v/>
      </c>
      <c r="U186" s="8">
        <f>IF(T186="","",(1/Inputs!$B$9)*(PI()*T186^2/4)*((T186/4)^(2/3))*SQRT(P186))</f>
        <v/>
      </c>
      <c r="V186" s="8">
        <f>IF(OR(U186="",N186=""),"",N186/(U186*Inputs!$B$10))</f>
        <v/>
      </c>
      <c r="W186" s="8">
        <f>IF(OR(T186="",N186=""),"",4*N186/(PI()*T186^2))</f>
        <v/>
      </c>
      <c r="X186" s="8" t="n"/>
      <c r="Y186" s="8">
        <f>IF(A186="","",IF(A186=Inputs!$B$6,Inputs!$B$22,IF(D186="","",IFERROR(INDEX($Z$4:$Z$203,MATCH(D186,$A$4:$A$203,0))+IF(X186="",Inputs!$B$20,X186),""))))</f>
        <v/>
      </c>
      <c r="Z186" s="8">
        <f>IF(OR(Y186="",P186="",E186=""),"",Y186+P186*E186)</f>
        <v/>
      </c>
      <c r="AA186" s="8">
        <f>IF(C186="","",IFERROR(INDEX(Noeuds_plan!$C$4:$C$200,MATCH(C186,Noeuds_plan!$A$4:$A$200,0)),""))</f>
        <v/>
      </c>
      <c r="AB186" s="8">
        <f>IF(B186="","",IFERROR(INDEX(Noeuds_plan!$C$4:$C$200,MATCH(B186,Noeuds_plan!$A$4:$A$200,0)),""))</f>
        <v/>
      </c>
      <c r="AC186" s="8">
        <f>IF(OR(AA186="",Y186=""),"",AA186-Y186)</f>
        <v/>
      </c>
      <c r="AD186" s="8">
        <f>IF(OR(AB186="",Z186=""),"",AB186-Z186)</f>
        <v/>
      </c>
      <c r="AE186" s="4">
        <f>IF(A186="","",IF(OR(V186&gt;1,W186&lt;Inputs!$B$11,W186&gt;Inputs!$B$12,AC186&lt;Inputs!$B$19,AD186&lt;Inputs!$B$19,P186&lt;Inputs!$B$7,P186&gt;Inputs!$B$8),"CHECK","OK"))</f>
        <v/>
      </c>
      <c r="AF186" s="4" t="n"/>
      <c r="AG186" s="4">
        <f>IF(A186="","",(1/Inputs!$B$9)*(PI()*(Inputs!$F$5/1000)^2/4)*((Inputs!$F$5/1000/4)^(2/3))*SQRT(P186))</f>
        <v/>
      </c>
      <c r="AH186" s="4">
        <f>IF(A186="","",(1/Inputs!$B$9)*(PI()*(Inputs!$F$6/1000)^2/4)*((Inputs!$F$6/1000/4)^(2/3))*SQRT(P186))</f>
        <v/>
      </c>
      <c r="AI186" s="4">
        <f>IF(A186="","",(1/Inputs!$B$9)*(PI()*(Inputs!$F$7/1000)^2/4)*((Inputs!$F$7/1000/4)^(2/3))*SQRT(P186))</f>
        <v/>
      </c>
      <c r="AJ186" s="4">
        <f>IF(A186="","",(1/Inputs!$B$9)*(PI()*(Inputs!$F$8/1000)^2/4)*((Inputs!$F$8/1000/4)^(2/3))*SQRT(P186))</f>
        <v/>
      </c>
      <c r="AK186" s="4">
        <f>IF(A186="","",(1/Inputs!$B$9)*(PI()*(Inputs!$F$9/1000)^2/4)*((Inputs!$F$9/1000/4)^(2/3))*SQRT(P186))</f>
        <v/>
      </c>
      <c r="AL186" s="4">
        <f>IF(A186="","",(1/Inputs!$B$9)*(PI()*(Inputs!$F$10/1000)^2/4)*((Inputs!$F$10/1000/4)^(2/3))*SQRT(P186))</f>
        <v/>
      </c>
      <c r="AM186" s="4">
        <f>IF(A186="","",(1/Inputs!$B$9)*(PI()*(Inputs!$F$11/1000)^2/4)*((Inputs!$F$11/1000/4)^(2/3))*SQRT(P186))</f>
        <v/>
      </c>
      <c r="AN186" s="4">
        <f>IF(A186="","",(1/Inputs!$B$9)*(PI()*(Inputs!$F$12/1000)^2/4)*((Inputs!$F$12/1000/4)^(2/3))*SQRT(P186))</f>
        <v/>
      </c>
      <c r="AO186" s="4">
        <f>IF(A186="","",(1/Inputs!$B$9)*(PI()*(Inputs!$F$13/1000)^2/4)*((Inputs!$F$13/1000/4)^(2/3))*SQRT(P186))</f>
        <v/>
      </c>
      <c r="AP186" s="4">
        <f>IF(A186="","",(1/Inputs!$B$9)*(PI()*(Inputs!$F$14/1000)^2/4)*((Inputs!$F$14/1000/4)^(2/3))*SQRT(P186))</f>
        <v/>
      </c>
    </row>
    <row r="187">
      <c r="A187" s="4" t="n"/>
      <c r="B187" s="4" t="n"/>
      <c r="C187" s="4" t="n"/>
      <c r="D187" s="4" t="n"/>
      <c r="E187" s="8" t="n"/>
      <c r="F187" s="8" t="n"/>
      <c r="G187" s="8">
        <f>SUMIFS(CB_plan!$C:$C,CB_plan!$B:$B,$A187)</f>
        <v/>
      </c>
      <c r="H187" s="8">
        <f>IF(F187="",G187,F187)</f>
        <v/>
      </c>
      <c r="I187" s="4" t="n"/>
      <c r="J187" s="8" t="n"/>
      <c r="K187" s="8">
        <f>IF(A187="","",Inputs!$B$13/((IF(J187="",Inputs!$B$18,J187)+Inputs!$B$14)^Inputs!$B$15))</f>
        <v/>
      </c>
      <c r="L187" s="8">
        <f>IF(A187="","",0.00278*IF(I187="",Inputs!$B$17,I187)*H187*K187)</f>
        <v/>
      </c>
      <c r="M187" s="8">
        <f>IF(A187="","",SUMIFS($N$4:$N$203,$D$4:$D$203,$A187))</f>
        <v/>
      </c>
      <c r="N187" s="8">
        <f>IF(A187="","",(L187+M187)*Inputs!$B$16)</f>
        <v/>
      </c>
      <c r="O187" s="8" t="n"/>
      <c r="P187" s="8">
        <f>IF(A187="","",IF(O187="",Inputs!$B$7,O187))</f>
        <v/>
      </c>
      <c r="Q187" s="4">
        <f>IF(A187="","",IF(N187/Inputs!$B$10&lt;=AG187,Inputs!$F$5,IF(N187/Inputs!$B$10&gt;AP187,"OVERSIZE",INDEX(Inputs!$F$5:$F$14,MATCH(N187/Inputs!$B$10,AG187:AP187,1)+1))))</f>
        <v/>
      </c>
      <c r="R187" s="4" t="n"/>
      <c r="S187" s="4">
        <f>IF(A187="","",IF(R187="",Q187,R187))</f>
        <v/>
      </c>
      <c r="T187" s="8">
        <f>IF(OR(S187="",S187="OVERSIZE"),"",S187/1000)</f>
        <v/>
      </c>
      <c r="U187" s="8">
        <f>IF(T187="","",(1/Inputs!$B$9)*(PI()*T187^2/4)*((T187/4)^(2/3))*SQRT(P187))</f>
        <v/>
      </c>
      <c r="V187" s="8">
        <f>IF(OR(U187="",N187=""),"",N187/(U187*Inputs!$B$10))</f>
        <v/>
      </c>
      <c r="W187" s="8">
        <f>IF(OR(T187="",N187=""),"",4*N187/(PI()*T187^2))</f>
        <v/>
      </c>
      <c r="X187" s="8" t="n"/>
      <c r="Y187" s="8">
        <f>IF(A187="","",IF(A187=Inputs!$B$6,Inputs!$B$22,IF(D187="","",IFERROR(INDEX($Z$4:$Z$203,MATCH(D187,$A$4:$A$203,0))+IF(X187="",Inputs!$B$20,X187),""))))</f>
        <v/>
      </c>
      <c r="Z187" s="8">
        <f>IF(OR(Y187="",P187="",E187=""),"",Y187+P187*E187)</f>
        <v/>
      </c>
      <c r="AA187" s="8">
        <f>IF(C187="","",IFERROR(INDEX(Noeuds_plan!$C$4:$C$200,MATCH(C187,Noeuds_plan!$A$4:$A$200,0)),""))</f>
        <v/>
      </c>
      <c r="AB187" s="8">
        <f>IF(B187="","",IFERROR(INDEX(Noeuds_plan!$C$4:$C$200,MATCH(B187,Noeuds_plan!$A$4:$A$200,0)),""))</f>
        <v/>
      </c>
      <c r="AC187" s="8">
        <f>IF(OR(AA187="",Y187=""),"",AA187-Y187)</f>
        <v/>
      </c>
      <c r="AD187" s="8">
        <f>IF(OR(AB187="",Z187=""),"",AB187-Z187)</f>
        <v/>
      </c>
      <c r="AE187" s="4">
        <f>IF(A187="","",IF(OR(V187&gt;1,W187&lt;Inputs!$B$11,W187&gt;Inputs!$B$12,AC187&lt;Inputs!$B$19,AD187&lt;Inputs!$B$19,P187&lt;Inputs!$B$7,P187&gt;Inputs!$B$8),"CHECK","OK"))</f>
        <v/>
      </c>
      <c r="AF187" s="4" t="n"/>
      <c r="AG187" s="4">
        <f>IF(A187="","",(1/Inputs!$B$9)*(PI()*(Inputs!$F$5/1000)^2/4)*((Inputs!$F$5/1000/4)^(2/3))*SQRT(P187))</f>
        <v/>
      </c>
      <c r="AH187" s="4">
        <f>IF(A187="","",(1/Inputs!$B$9)*(PI()*(Inputs!$F$6/1000)^2/4)*((Inputs!$F$6/1000/4)^(2/3))*SQRT(P187))</f>
        <v/>
      </c>
      <c r="AI187" s="4">
        <f>IF(A187="","",(1/Inputs!$B$9)*(PI()*(Inputs!$F$7/1000)^2/4)*((Inputs!$F$7/1000/4)^(2/3))*SQRT(P187))</f>
        <v/>
      </c>
      <c r="AJ187" s="4">
        <f>IF(A187="","",(1/Inputs!$B$9)*(PI()*(Inputs!$F$8/1000)^2/4)*((Inputs!$F$8/1000/4)^(2/3))*SQRT(P187))</f>
        <v/>
      </c>
      <c r="AK187" s="4">
        <f>IF(A187="","",(1/Inputs!$B$9)*(PI()*(Inputs!$F$9/1000)^2/4)*((Inputs!$F$9/1000/4)^(2/3))*SQRT(P187))</f>
        <v/>
      </c>
      <c r="AL187" s="4">
        <f>IF(A187="","",(1/Inputs!$B$9)*(PI()*(Inputs!$F$10/1000)^2/4)*((Inputs!$F$10/1000/4)^(2/3))*SQRT(P187))</f>
        <v/>
      </c>
      <c r="AM187" s="4">
        <f>IF(A187="","",(1/Inputs!$B$9)*(PI()*(Inputs!$F$11/1000)^2/4)*((Inputs!$F$11/1000/4)^(2/3))*SQRT(P187))</f>
        <v/>
      </c>
      <c r="AN187" s="4">
        <f>IF(A187="","",(1/Inputs!$B$9)*(PI()*(Inputs!$F$12/1000)^2/4)*((Inputs!$F$12/1000/4)^(2/3))*SQRT(P187))</f>
        <v/>
      </c>
      <c r="AO187" s="4">
        <f>IF(A187="","",(1/Inputs!$B$9)*(PI()*(Inputs!$F$13/1000)^2/4)*((Inputs!$F$13/1000/4)^(2/3))*SQRT(P187))</f>
        <v/>
      </c>
      <c r="AP187" s="4">
        <f>IF(A187="","",(1/Inputs!$B$9)*(PI()*(Inputs!$F$14/1000)^2/4)*((Inputs!$F$14/1000/4)^(2/3))*SQRT(P187))</f>
        <v/>
      </c>
    </row>
    <row r="188">
      <c r="A188" s="4" t="n"/>
      <c r="B188" s="4" t="n"/>
      <c r="C188" s="4" t="n"/>
      <c r="D188" s="4" t="n"/>
      <c r="E188" s="8" t="n"/>
      <c r="F188" s="8" t="n"/>
      <c r="G188" s="8">
        <f>SUMIFS(CB_plan!$C:$C,CB_plan!$B:$B,$A188)</f>
        <v/>
      </c>
      <c r="H188" s="8">
        <f>IF(F188="",G188,F188)</f>
        <v/>
      </c>
      <c r="I188" s="4" t="n"/>
      <c r="J188" s="8" t="n"/>
      <c r="K188" s="8">
        <f>IF(A188="","",Inputs!$B$13/((IF(J188="",Inputs!$B$18,J188)+Inputs!$B$14)^Inputs!$B$15))</f>
        <v/>
      </c>
      <c r="L188" s="8">
        <f>IF(A188="","",0.00278*IF(I188="",Inputs!$B$17,I188)*H188*K188)</f>
        <v/>
      </c>
      <c r="M188" s="8">
        <f>IF(A188="","",SUMIFS($N$4:$N$203,$D$4:$D$203,$A188))</f>
        <v/>
      </c>
      <c r="N188" s="8">
        <f>IF(A188="","",(L188+M188)*Inputs!$B$16)</f>
        <v/>
      </c>
      <c r="O188" s="8" t="n"/>
      <c r="P188" s="8">
        <f>IF(A188="","",IF(O188="",Inputs!$B$7,O188))</f>
        <v/>
      </c>
      <c r="Q188" s="4">
        <f>IF(A188="","",IF(N188/Inputs!$B$10&lt;=AG188,Inputs!$F$5,IF(N188/Inputs!$B$10&gt;AP188,"OVERSIZE",INDEX(Inputs!$F$5:$F$14,MATCH(N188/Inputs!$B$10,AG188:AP188,1)+1))))</f>
        <v/>
      </c>
      <c r="R188" s="4" t="n"/>
      <c r="S188" s="4">
        <f>IF(A188="","",IF(R188="",Q188,R188))</f>
        <v/>
      </c>
      <c r="T188" s="8">
        <f>IF(OR(S188="",S188="OVERSIZE"),"",S188/1000)</f>
        <v/>
      </c>
      <c r="U188" s="8">
        <f>IF(T188="","",(1/Inputs!$B$9)*(PI()*T188^2/4)*((T188/4)^(2/3))*SQRT(P188))</f>
        <v/>
      </c>
      <c r="V188" s="8">
        <f>IF(OR(U188="",N188=""),"",N188/(U188*Inputs!$B$10))</f>
        <v/>
      </c>
      <c r="W188" s="8">
        <f>IF(OR(T188="",N188=""),"",4*N188/(PI()*T188^2))</f>
        <v/>
      </c>
      <c r="X188" s="8" t="n"/>
      <c r="Y188" s="8">
        <f>IF(A188="","",IF(A188=Inputs!$B$6,Inputs!$B$22,IF(D188="","",IFERROR(INDEX($Z$4:$Z$203,MATCH(D188,$A$4:$A$203,0))+IF(X188="",Inputs!$B$20,X188),""))))</f>
        <v/>
      </c>
      <c r="Z188" s="8">
        <f>IF(OR(Y188="",P188="",E188=""),"",Y188+P188*E188)</f>
        <v/>
      </c>
      <c r="AA188" s="8">
        <f>IF(C188="","",IFERROR(INDEX(Noeuds_plan!$C$4:$C$200,MATCH(C188,Noeuds_plan!$A$4:$A$200,0)),""))</f>
        <v/>
      </c>
      <c r="AB188" s="8">
        <f>IF(B188="","",IFERROR(INDEX(Noeuds_plan!$C$4:$C$200,MATCH(B188,Noeuds_plan!$A$4:$A$200,0)),""))</f>
        <v/>
      </c>
      <c r="AC188" s="8">
        <f>IF(OR(AA188="",Y188=""),"",AA188-Y188)</f>
        <v/>
      </c>
      <c r="AD188" s="8">
        <f>IF(OR(AB188="",Z188=""),"",AB188-Z188)</f>
        <v/>
      </c>
      <c r="AE188" s="4">
        <f>IF(A188="","",IF(OR(V188&gt;1,W188&lt;Inputs!$B$11,W188&gt;Inputs!$B$12,AC188&lt;Inputs!$B$19,AD188&lt;Inputs!$B$19,P188&lt;Inputs!$B$7,P188&gt;Inputs!$B$8),"CHECK","OK"))</f>
        <v/>
      </c>
      <c r="AF188" s="4" t="n"/>
      <c r="AG188" s="4">
        <f>IF(A188="","",(1/Inputs!$B$9)*(PI()*(Inputs!$F$5/1000)^2/4)*((Inputs!$F$5/1000/4)^(2/3))*SQRT(P188))</f>
        <v/>
      </c>
      <c r="AH188" s="4">
        <f>IF(A188="","",(1/Inputs!$B$9)*(PI()*(Inputs!$F$6/1000)^2/4)*((Inputs!$F$6/1000/4)^(2/3))*SQRT(P188))</f>
        <v/>
      </c>
      <c r="AI188" s="4">
        <f>IF(A188="","",(1/Inputs!$B$9)*(PI()*(Inputs!$F$7/1000)^2/4)*((Inputs!$F$7/1000/4)^(2/3))*SQRT(P188))</f>
        <v/>
      </c>
      <c r="AJ188" s="4">
        <f>IF(A188="","",(1/Inputs!$B$9)*(PI()*(Inputs!$F$8/1000)^2/4)*((Inputs!$F$8/1000/4)^(2/3))*SQRT(P188))</f>
        <v/>
      </c>
      <c r="AK188" s="4">
        <f>IF(A188="","",(1/Inputs!$B$9)*(PI()*(Inputs!$F$9/1000)^2/4)*((Inputs!$F$9/1000/4)^(2/3))*SQRT(P188))</f>
        <v/>
      </c>
      <c r="AL188" s="4">
        <f>IF(A188="","",(1/Inputs!$B$9)*(PI()*(Inputs!$F$10/1000)^2/4)*((Inputs!$F$10/1000/4)^(2/3))*SQRT(P188))</f>
        <v/>
      </c>
      <c r="AM188" s="4">
        <f>IF(A188="","",(1/Inputs!$B$9)*(PI()*(Inputs!$F$11/1000)^2/4)*((Inputs!$F$11/1000/4)^(2/3))*SQRT(P188))</f>
        <v/>
      </c>
      <c r="AN188" s="4">
        <f>IF(A188="","",(1/Inputs!$B$9)*(PI()*(Inputs!$F$12/1000)^2/4)*((Inputs!$F$12/1000/4)^(2/3))*SQRT(P188))</f>
        <v/>
      </c>
      <c r="AO188" s="4">
        <f>IF(A188="","",(1/Inputs!$B$9)*(PI()*(Inputs!$F$13/1000)^2/4)*((Inputs!$F$13/1000/4)^(2/3))*SQRT(P188))</f>
        <v/>
      </c>
      <c r="AP188" s="4">
        <f>IF(A188="","",(1/Inputs!$B$9)*(PI()*(Inputs!$F$14/1000)^2/4)*((Inputs!$F$14/1000/4)^(2/3))*SQRT(P188))</f>
        <v/>
      </c>
    </row>
    <row r="189">
      <c r="A189" s="4" t="n"/>
      <c r="B189" s="4" t="n"/>
      <c r="C189" s="4" t="n"/>
      <c r="D189" s="4" t="n"/>
      <c r="E189" s="8" t="n"/>
      <c r="F189" s="8" t="n"/>
      <c r="G189" s="8">
        <f>SUMIFS(CB_plan!$C:$C,CB_plan!$B:$B,$A189)</f>
        <v/>
      </c>
      <c r="H189" s="8">
        <f>IF(F189="",G189,F189)</f>
        <v/>
      </c>
      <c r="I189" s="4" t="n"/>
      <c r="J189" s="8" t="n"/>
      <c r="K189" s="8">
        <f>IF(A189="","",Inputs!$B$13/((IF(J189="",Inputs!$B$18,J189)+Inputs!$B$14)^Inputs!$B$15))</f>
        <v/>
      </c>
      <c r="L189" s="8">
        <f>IF(A189="","",0.00278*IF(I189="",Inputs!$B$17,I189)*H189*K189)</f>
        <v/>
      </c>
      <c r="M189" s="8">
        <f>IF(A189="","",SUMIFS($N$4:$N$203,$D$4:$D$203,$A189))</f>
        <v/>
      </c>
      <c r="N189" s="8">
        <f>IF(A189="","",(L189+M189)*Inputs!$B$16)</f>
        <v/>
      </c>
      <c r="O189" s="8" t="n"/>
      <c r="P189" s="8">
        <f>IF(A189="","",IF(O189="",Inputs!$B$7,O189))</f>
        <v/>
      </c>
      <c r="Q189" s="4">
        <f>IF(A189="","",IF(N189/Inputs!$B$10&lt;=AG189,Inputs!$F$5,IF(N189/Inputs!$B$10&gt;AP189,"OVERSIZE",INDEX(Inputs!$F$5:$F$14,MATCH(N189/Inputs!$B$10,AG189:AP189,1)+1))))</f>
        <v/>
      </c>
      <c r="R189" s="4" t="n"/>
      <c r="S189" s="4">
        <f>IF(A189="","",IF(R189="",Q189,R189))</f>
        <v/>
      </c>
      <c r="T189" s="8">
        <f>IF(OR(S189="",S189="OVERSIZE"),"",S189/1000)</f>
        <v/>
      </c>
      <c r="U189" s="8">
        <f>IF(T189="","",(1/Inputs!$B$9)*(PI()*T189^2/4)*((T189/4)^(2/3))*SQRT(P189))</f>
        <v/>
      </c>
      <c r="V189" s="8">
        <f>IF(OR(U189="",N189=""),"",N189/(U189*Inputs!$B$10))</f>
        <v/>
      </c>
      <c r="W189" s="8">
        <f>IF(OR(T189="",N189=""),"",4*N189/(PI()*T189^2))</f>
        <v/>
      </c>
      <c r="X189" s="8" t="n"/>
      <c r="Y189" s="8">
        <f>IF(A189="","",IF(A189=Inputs!$B$6,Inputs!$B$22,IF(D189="","",IFERROR(INDEX($Z$4:$Z$203,MATCH(D189,$A$4:$A$203,0))+IF(X189="",Inputs!$B$20,X189),""))))</f>
        <v/>
      </c>
      <c r="Z189" s="8">
        <f>IF(OR(Y189="",P189="",E189=""),"",Y189+P189*E189)</f>
        <v/>
      </c>
      <c r="AA189" s="8">
        <f>IF(C189="","",IFERROR(INDEX(Noeuds_plan!$C$4:$C$200,MATCH(C189,Noeuds_plan!$A$4:$A$200,0)),""))</f>
        <v/>
      </c>
      <c r="AB189" s="8">
        <f>IF(B189="","",IFERROR(INDEX(Noeuds_plan!$C$4:$C$200,MATCH(B189,Noeuds_plan!$A$4:$A$200,0)),""))</f>
        <v/>
      </c>
      <c r="AC189" s="8">
        <f>IF(OR(AA189="",Y189=""),"",AA189-Y189)</f>
        <v/>
      </c>
      <c r="AD189" s="8">
        <f>IF(OR(AB189="",Z189=""),"",AB189-Z189)</f>
        <v/>
      </c>
      <c r="AE189" s="4">
        <f>IF(A189="","",IF(OR(V189&gt;1,W189&lt;Inputs!$B$11,W189&gt;Inputs!$B$12,AC189&lt;Inputs!$B$19,AD189&lt;Inputs!$B$19,P189&lt;Inputs!$B$7,P189&gt;Inputs!$B$8),"CHECK","OK"))</f>
        <v/>
      </c>
      <c r="AF189" s="4" t="n"/>
      <c r="AG189" s="4">
        <f>IF(A189="","",(1/Inputs!$B$9)*(PI()*(Inputs!$F$5/1000)^2/4)*((Inputs!$F$5/1000/4)^(2/3))*SQRT(P189))</f>
        <v/>
      </c>
      <c r="AH189" s="4">
        <f>IF(A189="","",(1/Inputs!$B$9)*(PI()*(Inputs!$F$6/1000)^2/4)*((Inputs!$F$6/1000/4)^(2/3))*SQRT(P189))</f>
        <v/>
      </c>
      <c r="AI189" s="4">
        <f>IF(A189="","",(1/Inputs!$B$9)*(PI()*(Inputs!$F$7/1000)^2/4)*((Inputs!$F$7/1000/4)^(2/3))*SQRT(P189))</f>
        <v/>
      </c>
      <c r="AJ189" s="4">
        <f>IF(A189="","",(1/Inputs!$B$9)*(PI()*(Inputs!$F$8/1000)^2/4)*((Inputs!$F$8/1000/4)^(2/3))*SQRT(P189))</f>
        <v/>
      </c>
      <c r="AK189" s="4">
        <f>IF(A189="","",(1/Inputs!$B$9)*(PI()*(Inputs!$F$9/1000)^2/4)*((Inputs!$F$9/1000/4)^(2/3))*SQRT(P189))</f>
        <v/>
      </c>
      <c r="AL189" s="4">
        <f>IF(A189="","",(1/Inputs!$B$9)*(PI()*(Inputs!$F$10/1000)^2/4)*((Inputs!$F$10/1000/4)^(2/3))*SQRT(P189))</f>
        <v/>
      </c>
      <c r="AM189" s="4">
        <f>IF(A189="","",(1/Inputs!$B$9)*(PI()*(Inputs!$F$11/1000)^2/4)*((Inputs!$F$11/1000/4)^(2/3))*SQRT(P189))</f>
        <v/>
      </c>
      <c r="AN189" s="4">
        <f>IF(A189="","",(1/Inputs!$B$9)*(PI()*(Inputs!$F$12/1000)^2/4)*((Inputs!$F$12/1000/4)^(2/3))*SQRT(P189))</f>
        <v/>
      </c>
      <c r="AO189" s="4">
        <f>IF(A189="","",(1/Inputs!$B$9)*(PI()*(Inputs!$F$13/1000)^2/4)*((Inputs!$F$13/1000/4)^(2/3))*SQRT(P189))</f>
        <v/>
      </c>
      <c r="AP189" s="4">
        <f>IF(A189="","",(1/Inputs!$B$9)*(PI()*(Inputs!$F$14/1000)^2/4)*((Inputs!$F$14/1000/4)^(2/3))*SQRT(P189))</f>
        <v/>
      </c>
    </row>
    <row r="190">
      <c r="A190" s="4" t="n"/>
      <c r="B190" s="4" t="n"/>
      <c r="C190" s="4" t="n"/>
      <c r="D190" s="4" t="n"/>
      <c r="E190" s="8" t="n"/>
      <c r="F190" s="8" t="n"/>
      <c r="G190" s="8">
        <f>SUMIFS(CB_plan!$C:$C,CB_plan!$B:$B,$A190)</f>
        <v/>
      </c>
      <c r="H190" s="8">
        <f>IF(F190="",G190,F190)</f>
        <v/>
      </c>
      <c r="I190" s="4" t="n"/>
      <c r="J190" s="8" t="n"/>
      <c r="K190" s="8">
        <f>IF(A190="","",Inputs!$B$13/((IF(J190="",Inputs!$B$18,J190)+Inputs!$B$14)^Inputs!$B$15))</f>
        <v/>
      </c>
      <c r="L190" s="8">
        <f>IF(A190="","",0.00278*IF(I190="",Inputs!$B$17,I190)*H190*K190)</f>
        <v/>
      </c>
      <c r="M190" s="8">
        <f>IF(A190="","",SUMIFS($N$4:$N$203,$D$4:$D$203,$A190))</f>
        <v/>
      </c>
      <c r="N190" s="8">
        <f>IF(A190="","",(L190+M190)*Inputs!$B$16)</f>
        <v/>
      </c>
      <c r="O190" s="8" t="n"/>
      <c r="P190" s="8">
        <f>IF(A190="","",IF(O190="",Inputs!$B$7,O190))</f>
        <v/>
      </c>
      <c r="Q190" s="4">
        <f>IF(A190="","",IF(N190/Inputs!$B$10&lt;=AG190,Inputs!$F$5,IF(N190/Inputs!$B$10&gt;AP190,"OVERSIZE",INDEX(Inputs!$F$5:$F$14,MATCH(N190/Inputs!$B$10,AG190:AP190,1)+1))))</f>
        <v/>
      </c>
      <c r="R190" s="4" t="n"/>
      <c r="S190" s="4">
        <f>IF(A190="","",IF(R190="",Q190,R190))</f>
        <v/>
      </c>
      <c r="T190" s="8">
        <f>IF(OR(S190="",S190="OVERSIZE"),"",S190/1000)</f>
        <v/>
      </c>
      <c r="U190" s="8">
        <f>IF(T190="","",(1/Inputs!$B$9)*(PI()*T190^2/4)*((T190/4)^(2/3))*SQRT(P190))</f>
        <v/>
      </c>
      <c r="V190" s="8">
        <f>IF(OR(U190="",N190=""),"",N190/(U190*Inputs!$B$10))</f>
        <v/>
      </c>
      <c r="W190" s="8">
        <f>IF(OR(T190="",N190=""),"",4*N190/(PI()*T190^2))</f>
        <v/>
      </c>
      <c r="X190" s="8" t="n"/>
      <c r="Y190" s="8">
        <f>IF(A190="","",IF(A190=Inputs!$B$6,Inputs!$B$22,IF(D190="","",IFERROR(INDEX($Z$4:$Z$203,MATCH(D190,$A$4:$A$203,0))+IF(X190="",Inputs!$B$20,X190),""))))</f>
        <v/>
      </c>
      <c r="Z190" s="8">
        <f>IF(OR(Y190="",P190="",E190=""),"",Y190+P190*E190)</f>
        <v/>
      </c>
      <c r="AA190" s="8">
        <f>IF(C190="","",IFERROR(INDEX(Noeuds_plan!$C$4:$C$200,MATCH(C190,Noeuds_plan!$A$4:$A$200,0)),""))</f>
        <v/>
      </c>
      <c r="AB190" s="8">
        <f>IF(B190="","",IFERROR(INDEX(Noeuds_plan!$C$4:$C$200,MATCH(B190,Noeuds_plan!$A$4:$A$200,0)),""))</f>
        <v/>
      </c>
      <c r="AC190" s="8">
        <f>IF(OR(AA190="",Y190=""),"",AA190-Y190)</f>
        <v/>
      </c>
      <c r="AD190" s="8">
        <f>IF(OR(AB190="",Z190=""),"",AB190-Z190)</f>
        <v/>
      </c>
      <c r="AE190" s="4">
        <f>IF(A190="","",IF(OR(V190&gt;1,W190&lt;Inputs!$B$11,W190&gt;Inputs!$B$12,AC190&lt;Inputs!$B$19,AD190&lt;Inputs!$B$19,P190&lt;Inputs!$B$7,P190&gt;Inputs!$B$8),"CHECK","OK"))</f>
        <v/>
      </c>
      <c r="AF190" s="4" t="n"/>
      <c r="AG190" s="4">
        <f>IF(A190="","",(1/Inputs!$B$9)*(PI()*(Inputs!$F$5/1000)^2/4)*((Inputs!$F$5/1000/4)^(2/3))*SQRT(P190))</f>
        <v/>
      </c>
      <c r="AH190" s="4">
        <f>IF(A190="","",(1/Inputs!$B$9)*(PI()*(Inputs!$F$6/1000)^2/4)*((Inputs!$F$6/1000/4)^(2/3))*SQRT(P190))</f>
        <v/>
      </c>
      <c r="AI190" s="4">
        <f>IF(A190="","",(1/Inputs!$B$9)*(PI()*(Inputs!$F$7/1000)^2/4)*((Inputs!$F$7/1000/4)^(2/3))*SQRT(P190))</f>
        <v/>
      </c>
      <c r="AJ190" s="4">
        <f>IF(A190="","",(1/Inputs!$B$9)*(PI()*(Inputs!$F$8/1000)^2/4)*((Inputs!$F$8/1000/4)^(2/3))*SQRT(P190))</f>
        <v/>
      </c>
      <c r="AK190" s="4">
        <f>IF(A190="","",(1/Inputs!$B$9)*(PI()*(Inputs!$F$9/1000)^2/4)*((Inputs!$F$9/1000/4)^(2/3))*SQRT(P190))</f>
        <v/>
      </c>
      <c r="AL190" s="4">
        <f>IF(A190="","",(1/Inputs!$B$9)*(PI()*(Inputs!$F$10/1000)^2/4)*((Inputs!$F$10/1000/4)^(2/3))*SQRT(P190))</f>
        <v/>
      </c>
      <c r="AM190" s="4">
        <f>IF(A190="","",(1/Inputs!$B$9)*(PI()*(Inputs!$F$11/1000)^2/4)*((Inputs!$F$11/1000/4)^(2/3))*SQRT(P190))</f>
        <v/>
      </c>
      <c r="AN190" s="4">
        <f>IF(A190="","",(1/Inputs!$B$9)*(PI()*(Inputs!$F$12/1000)^2/4)*((Inputs!$F$12/1000/4)^(2/3))*SQRT(P190))</f>
        <v/>
      </c>
      <c r="AO190" s="4">
        <f>IF(A190="","",(1/Inputs!$B$9)*(PI()*(Inputs!$F$13/1000)^2/4)*((Inputs!$F$13/1000/4)^(2/3))*SQRT(P190))</f>
        <v/>
      </c>
      <c r="AP190" s="4">
        <f>IF(A190="","",(1/Inputs!$B$9)*(PI()*(Inputs!$F$14/1000)^2/4)*((Inputs!$F$14/1000/4)^(2/3))*SQRT(P190))</f>
        <v/>
      </c>
    </row>
    <row r="191">
      <c r="A191" s="4" t="n"/>
      <c r="B191" s="4" t="n"/>
      <c r="C191" s="4" t="n"/>
      <c r="D191" s="4" t="n"/>
      <c r="E191" s="8" t="n"/>
      <c r="F191" s="8" t="n"/>
      <c r="G191" s="8">
        <f>SUMIFS(CB_plan!$C:$C,CB_plan!$B:$B,$A191)</f>
        <v/>
      </c>
      <c r="H191" s="8">
        <f>IF(F191="",G191,F191)</f>
        <v/>
      </c>
      <c r="I191" s="4" t="n"/>
      <c r="J191" s="8" t="n"/>
      <c r="K191" s="8">
        <f>IF(A191="","",Inputs!$B$13/((IF(J191="",Inputs!$B$18,J191)+Inputs!$B$14)^Inputs!$B$15))</f>
        <v/>
      </c>
      <c r="L191" s="8">
        <f>IF(A191="","",0.00278*IF(I191="",Inputs!$B$17,I191)*H191*K191)</f>
        <v/>
      </c>
      <c r="M191" s="8">
        <f>IF(A191="","",SUMIFS($N$4:$N$203,$D$4:$D$203,$A191))</f>
        <v/>
      </c>
      <c r="N191" s="8">
        <f>IF(A191="","",(L191+M191)*Inputs!$B$16)</f>
        <v/>
      </c>
      <c r="O191" s="8" t="n"/>
      <c r="P191" s="8">
        <f>IF(A191="","",IF(O191="",Inputs!$B$7,O191))</f>
        <v/>
      </c>
      <c r="Q191" s="4">
        <f>IF(A191="","",IF(N191/Inputs!$B$10&lt;=AG191,Inputs!$F$5,IF(N191/Inputs!$B$10&gt;AP191,"OVERSIZE",INDEX(Inputs!$F$5:$F$14,MATCH(N191/Inputs!$B$10,AG191:AP191,1)+1))))</f>
        <v/>
      </c>
      <c r="R191" s="4" t="n"/>
      <c r="S191" s="4">
        <f>IF(A191="","",IF(R191="",Q191,R191))</f>
        <v/>
      </c>
      <c r="T191" s="8">
        <f>IF(OR(S191="",S191="OVERSIZE"),"",S191/1000)</f>
        <v/>
      </c>
      <c r="U191" s="8">
        <f>IF(T191="","",(1/Inputs!$B$9)*(PI()*T191^2/4)*((T191/4)^(2/3))*SQRT(P191))</f>
        <v/>
      </c>
      <c r="V191" s="8">
        <f>IF(OR(U191="",N191=""),"",N191/(U191*Inputs!$B$10))</f>
        <v/>
      </c>
      <c r="W191" s="8">
        <f>IF(OR(T191="",N191=""),"",4*N191/(PI()*T191^2))</f>
        <v/>
      </c>
      <c r="X191" s="8" t="n"/>
      <c r="Y191" s="8">
        <f>IF(A191="","",IF(A191=Inputs!$B$6,Inputs!$B$22,IF(D191="","",IFERROR(INDEX($Z$4:$Z$203,MATCH(D191,$A$4:$A$203,0))+IF(X191="",Inputs!$B$20,X191),""))))</f>
        <v/>
      </c>
      <c r="Z191" s="8">
        <f>IF(OR(Y191="",P191="",E191=""),"",Y191+P191*E191)</f>
        <v/>
      </c>
      <c r="AA191" s="8">
        <f>IF(C191="","",IFERROR(INDEX(Noeuds_plan!$C$4:$C$200,MATCH(C191,Noeuds_plan!$A$4:$A$200,0)),""))</f>
        <v/>
      </c>
      <c r="AB191" s="8">
        <f>IF(B191="","",IFERROR(INDEX(Noeuds_plan!$C$4:$C$200,MATCH(B191,Noeuds_plan!$A$4:$A$200,0)),""))</f>
        <v/>
      </c>
      <c r="AC191" s="8">
        <f>IF(OR(AA191="",Y191=""),"",AA191-Y191)</f>
        <v/>
      </c>
      <c r="AD191" s="8">
        <f>IF(OR(AB191="",Z191=""),"",AB191-Z191)</f>
        <v/>
      </c>
      <c r="AE191" s="4">
        <f>IF(A191="","",IF(OR(V191&gt;1,W191&lt;Inputs!$B$11,W191&gt;Inputs!$B$12,AC191&lt;Inputs!$B$19,AD191&lt;Inputs!$B$19,P191&lt;Inputs!$B$7,P191&gt;Inputs!$B$8),"CHECK","OK"))</f>
        <v/>
      </c>
      <c r="AF191" s="4" t="n"/>
      <c r="AG191" s="4">
        <f>IF(A191="","",(1/Inputs!$B$9)*(PI()*(Inputs!$F$5/1000)^2/4)*((Inputs!$F$5/1000/4)^(2/3))*SQRT(P191))</f>
        <v/>
      </c>
      <c r="AH191" s="4">
        <f>IF(A191="","",(1/Inputs!$B$9)*(PI()*(Inputs!$F$6/1000)^2/4)*((Inputs!$F$6/1000/4)^(2/3))*SQRT(P191))</f>
        <v/>
      </c>
      <c r="AI191" s="4">
        <f>IF(A191="","",(1/Inputs!$B$9)*(PI()*(Inputs!$F$7/1000)^2/4)*((Inputs!$F$7/1000/4)^(2/3))*SQRT(P191))</f>
        <v/>
      </c>
      <c r="AJ191" s="4">
        <f>IF(A191="","",(1/Inputs!$B$9)*(PI()*(Inputs!$F$8/1000)^2/4)*((Inputs!$F$8/1000/4)^(2/3))*SQRT(P191))</f>
        <v/>
      </c>
      <c r="AK191" s="4">
        <f>IF(A191="","",(1/Inputs!$B$9)*(PI()*(Inputs!$F$9/1000)^2/4)*((Inputs!$F$9/1000/4)^(2/3))*SQRT(P191))</f>
        <v/>
      </c>
      <c r="AL191" s="4">
        <f>IF(A191="","",(1/Inputs!$B$9)*(PI()*(Inputs!$F$10/1000)^2/4)*((Inputs!$F$10/1000/4)^(2/3))*SQRT(P191))</f>
        <v/>
      </c>
      <c r="AM191" s="4">
        <f>IF(A191="","",(1/Inputs!$B$9)*(PI()*(Inputs!$F$11/1000)^2/4)*((Inputs!$F$11/1000/4)^(2/3))*SQRT(P191))</f>
        <v/>
      </c>
      <c r="AN191" s="4">
        <f>IF(A191="","",(1/Inputs!$B$9)*(PI()*(Inputs!$F$12/1000)^2/4)*((Inputs!$F$12/1000/4)^(2/3))*SQRT(P191))</f>
        <v/>
      </c>
      <c r="AO191" s="4">
        <f>IF(A191="","",(1/Inputs!$B$9)*(PI()*(Inputs!$F$13/1000)^2/4)*((Inputs!$F$13/1000/4)^(2/3))*SQRT(P191))</f>
        <v/>
      </c>
      <c r="AP191" s="4">
        <f>IF(A191="","",(1/Inputs!$B$9)*(PI()*(Inputs!$F$14/1000)^2/4)*((Inputs!$F$14/1000/4)^(2/3))*SQRT(P191))</f>
        <v/>
      </c>
    </row>
    <row r="192">
      <c r="A192" s="4" t="n"/>
      <c r="B192" s="4" t="n"/>
      <c r="C192" s="4" t="n"/>
      <c r="D192" s="4" t="n"/>
      <c r="E192" s="8" t="n"/>
      <c r="F192" s="8" t="n"/>
      <c r="G192" s="8">
        <f>SUMIFS(CB_plan!$C:$C,CB_plan!$B:$B,$A192)</f>
        <v/>
      </c>
      <c r="H192" s="8">
        <f>IF(F192="",G192,F192)</f>
        <v/>
      </c>
      <c r="I192" s="4" t="n"/>
      <c r="J192" s="8" t="n"/>
      <c r="K192" s="8">
        <f>IF(A192="","",Inputs!$B$13/((IF(J192="",Inputs!$B$18,J192)+Inputs!$B$14)^Inputs!$B$15))</f>
        <v/>
      </c>
      <c r="L192" s="8">
        <f>IF(A192="","",0.00278*IF(I192="",Inputs!$B$17,I192)*H192*K192)</f>
        <v/>
      </c>
      <c r="M192" s="8">
        <f>IF(A192="","",SUMIFS($N$4:$N$203,$D$4:$D$203,$A192))</f>
        <v/>
      </c>
      <c r="N192" s="8">
        <f>IF(A192="","",(L192+M192)*Inputs!$B$16)</f>
        <v/>
      </c>
      <c r="O192" s="8" t="n"/>
      <c r="P192" s="8">
        <f>IF(A192="","",IF(O192="",Inputs!$B$7,O192))</f>
        <v/>
      </c>
      <c r="Q192" s="4">
        <f>IF(A192="","",IF(N192/Inputs!$B$10&lt;=AG192,Inputs!$F$5,IF(N192/Inputs!$B$10&gt;AP192,"OVERSIZE",INDEX(Inputs!$F$5:$F$14,MATCH(N192/Inputs!$B$10,AG192:AP192,1)+1))))</f>
        <v/>
      </c>
      <c r="R192" s="4" t="n"/>
      <c r="S192" s="4">
        <f>IF(A192="","",IF(R192="",Q192,R192))</f>
        <v/>
      </c>
      <c r="T192" s="8">
        <f>IF(OR(S192="",S192="OVERSIZE"),"",S192/1000)</f>
        <v/>
      </c>
      <c r="U192" s="8">
        <f>IF(T192="","",(1/Inputs!$B$9)*(PI()*T192^2/4)*((T192/4)^(2/3))*SQRT(P192))</f>
        <v/>
      </c>
      <c r="V192" s="8">
        <f>IF(OR(U192="",N192=""),"",N192/(U192*Inputs!$B$10))</f>
        <v/>
      </c>
      <c r="W192" s="8">
        <f>IF(OR(T192="",N192=""),"",4*N192/(PI()*T192^2))</f>
        <v/>
      </c>
      <c r="X192" s="8" t="n"/>
      <c r="Y192" s="8">
        <f>IF(A192="","",IF(A192=Inputs!$B$6,Inputs!$B$22,IF(D192="","",IFERROR(INDEX($Z$4:$Z$203,MATCH(D192,$A$4:$A$203,0))+IF(X192="",Inputs!$B$20,X192),""))))</f>
        <v/>
      </c>
      <c r="Z192" s="8">
        <f>IF(OR(Y192="",P192="",E192=""),"",Y192+P192*E192)</f>
        <v/>
      </c>
      <c r="AA192" s="8">
        <f>IF(C192="","",IFERROR(INDEX(Noeuds_plan!$C$4:$C$200,MATCH(C192,Noeuds_plan!$A$4:$A$200,0)),""))</f>
        <v/>
      </c>
      <c r="AB192" s="8">
        <f>IF(B192="","",IFERROR(INDEX(Noeuds_plan!$C$4:$C$200,MATCH(B192,Noeuds_plan!$A$4:$A$200,0)),""))</f>
        <v/>
      </c>
      <c r="AC192" s="8">
        <f>IF(OR(AA192="",Y192=""),"",AA192-Y192)</f>
        <v/>
      </c>
      <c r="AD192" s="8">
        <f>IF(OR(AB192="",Z192=""),"",AB192-Z192)</f>
        <v/>
      </c>
      <c r="AE192" s="4">
        <f>IF(A192="","",IF(OR(V192&gt;1,W192&lt;Inputs!$B$11,W192&gt;Inputs!$B$12,AC192&lt;Inputs!$B$19,AD192&lt;Inputs!$B$19,P192&lt;Inputs!$B$7,P192&gt;Inputs!$B$8),"CHECK","OK"))</f>
        <v/>
      </c>
      <c r="AF192" s="4" t="n"/>
      <c r="AG192" s="4">
        <f>IF(A192="","",(1/Inputs!$B$9)*(PI()*(Inputs!$F$5/1000)^2/4)*((Inputs!$F$5/1000/4)^(2/3))*SQRT(P192))</f>
        <v/>
      </c>
      <c r="AH192" s="4">
        <f>IF(A192="","",(1/Inputs!$B$9)*(PI()*(Inputs!$F$6/1000)^2/4)*((Inputs!$F$6/1000/4)^(2/3))*SQRT(P192))</f>
        <v/>
      </c>
      <c r="AI192" s="4">
        <f>IF(A192="","",(1/Inputs!$B$9)*(PI()*(Inputs!$F$7/1000)^2/4)*((Inputs!$F$7/1000/4)^(2/3))*SQRT(P192))</f>
        <v/>
      </c>
      <c r="AJ192" s="4">
        <f>IF(A192="","",(1/Inputs!$B$9)*(PI()*(Inputs!$F$8/1000)^2/4)*((Inputs!$F$8/1000/4)^(2/3))*SQRT(P192))</f>
        <v/>
      </c>
      <c r="AK192" s="4">
        <f>IF(A192="","",(1/Inputs!$B$9)*(PI()*(Inputs!$F$9/1000)^2/4)*((Inputs!$F$9/1000/4)^(2/3))*SQRT(P192))</f>
        <v/>
      </c>
      <c r="AL192" s="4">
        <f>IF(A192="","",(1/Inputs!$B$9)*(PI()*(Inputs!$F$10/1000)^2/4)*((Inputs!$F$10/1000/4)^(2/3))*SQRT(P192))</f>
        <v/>
      </c>
      <c r="AM192" s="4">
        <f>IF(A192="","",(1/Inputs!$B$9)*(PI()*(Inputs!$F$11/1000)^2/4)*((Inputs!$F$11/1000/4)^(2/3))*SQRT(P192))</f>
        <v/>
      </c>
      <c r="AN192" s="4">
        <f>IF(A192="","",(1/Inputs!$B$9)*(PI()*(Inputs!$F$12/1000)^2/4)*((Inputs!$F$12/1000/4)^(2/3))*SQRT(P192))</f>
        <v/>
      </c>
      <c r="AO192" s="4">
        <f>IF(A192="","",(1/Inputs!$B$9)*(PI()*(Inputs!$F$13/1000)^2/4)*((Inputs!$F$13/1000/4)^(2/3))*SQRT(P192))</f>
        <v/>
      </c>
      <c r="AP192" s="4">
        <f>IF(A192="","",(1/Inputs!$B$9)*(PI()*(Inputs!$F$14/1000)^2/4)*((Inputs!$F$14/1000/4)^(2/3))*SQRT(P192))</f>
        <v/>
      </c>
    </row>
    <row r="193">
      <c r="A193" s="4" t="n"/>
      <c r="B193" s="4" t="n"/>
      <c r="C193" s="4" t="n"/>
      <c r="D193" s="4" t="n"/>
      <c r="E193" s="8" t="n"/>
      <c r="F193" s="8" t="n"/>
      <c r="G193" s="8">
        <f>SUMIFS(CB_plan!$C:$C,CB_plan!$B:$B,$A193)</f>
        <v/>
      </c>
      <c r="H193" s="8">
        <f>IF(F193="",G193,F193)</f>
        <v/>
      </c>
      <c r="I193" s="4" t="n"/>
      <c r="J193" s="8" t="n"/>
      <c r="K193" s="8">
        <f>IF(A193="","",Inputs!$B$13/((IF(J193="",Inputs!$B$18,J193)+Inputs!$B$14)^Inputs!$B$15))</f>
        <v/>
      </c>
      <c r="L193" s="8">
        <f>IF(A193="","",0.00278*IF(I193="",Inputs!$B$17,I193)*H193*K193)</f>
        <v/>
      </c>
      <c r="M193" s="8">
        <f>IF(A193="","",SUMIFS($N$4:$N$203,$D$4:$D$203,$A193))</f>
        <v/>
      </c>
      <c r="N193" s="8">
        <f>IF(A193="","",(L193+M193)*Inputs!$B$16)</f>
        <v/>
      </c>
      <c r="O193" s="8" t="n"/>
      <c r="P193" s="8">
        <f>IF(A193="","",IF(O193="",Inputs!$B$7,O193))</f>
        <v/>
      </c>
      <c r="Q193" s="4">
        <f>IF(A193="","",IF(N193/Inputs!$B$10&lt;=AG193,Inputs!$F$5,IF(N193/Inputs!$B$10&gt;AP193,"OVERSIZE",INDEX(Inputs!$F$5:$F$14,MATCH(N193/Inputs!$B$10,AG193:AP193,1)+1))))</f>
        <v/>
      </c>
      <c r="R193" s="4" t="n"/>
      <c r="S193" s="4">
        <f>IF(A193="","",IF(R193="",Q193,R193))</f>
        <v/>
      </c>
      <c r="T193" s="8">
        <f>IF(OR(S193="",S193="OVERSIZE"),"",S193/1000)</f>
        <v/>
      </c>
      <c r="U193" s="8">
        <f>IF(T193="","",(1/Inputs!$B$9)*(PI()*T193^2/4)*((T193/4)^(2/3))*SQRT(P193))</f>
        <v/>
      </c>
      <c r="V193" s="8">
        <f>IF(OR(U193="",N193=""),"",N193/(U193*Inputs!$B$10))</f>
        <v/>
      </c>
      <c r="W193" s="8">
        <f>IF(OR(T193="",N193=""),"",4*N193/(PI()*T193^2))</f>
        <v/>
      </c>
      <c r="X193" s="8" t="n"/>
      <c r="Y193" s="8">
        <f>IF(A193="","",IF(A193=Inputs!$B$6,Inputs!$B$22,IF(D193="","",IFERROR(INDEX($Z$4:$Z$203,MATCH(D193,$A$4:$A$203,0))+IF(X193="",Inputs!$B$20,X193),""))))</f>
        <v/>
      </c>
      <c r="Z193" s="8">
        <f>IF(OR(Y193="",P193="",E193=""),"",Y193+P193*E193)</f>
        <v/>
      </c>
      <c r="AA193" s="8">
        <f>IF(C193="","",IFERROR(INDEX(Noeuds_plan!$C$4:$C$200,MATCH(C193,Noeuds_plan!$A$4:$A$200,0)),""))</f>
        <v/>
      </c>
      <c r="AB193" s="8">
        <f>IF(B193="","",IFERROR(INDEX(Noeuds_plan!$C$4:$C$200,MATCH(B193,Noeuds_plan!$A$4:$A$200,0)),""))</f>
        <v/>
      </c>
      <c r="AC193" s="8">
        <f>IF(OR(AA193="",Y193=""),"",AA193-Y193)</f>
        <v/>
      </c>
      <c r="AD193" s="8">
        <f>IF(OR(AB193="",Z193=""),"",AB193-Z193)</f>
        <v/>
      </c>
      <c r="AE193" s="4">
        <f>IF(A193="","",IF(OR(V193&gt;1,W193&lt;Inputs!$B$11,W193&gt;Inputs!$B$12,AC193&lt;Inputs!$B$19,AD193&lt;Inputs!$B$19,P193&lt;Inputs!$B$7,P193&gt;Inputs!$B$8),"CHECK","OK"))</f>
        <v/>
      </c>
      <c r="AF193" s="4" t="n"/>
      <c r="AG193" s="4">
        <f>IF(A193="","",(1/Inputs!$B$9)*(PI()*(Inputs!$F$5/1000)^2/4)*((Inputs!$F$5/1000/4)^(2/3))*SQRT(P193))</f>
        <v/>
      </c>
      <c r="AH193" s="4">
        <f>IF(A193="","",(1/Inputs!$B$9)*(PI()*(Inputs!$F$6/1000)^2/4)*((Inputs!$F$6/1000/4)^(2/3))*SQRT(P193))</f>
        <v/>
      </c>
      <c r="AI193" s="4">
        <f>IF(A193="","",(1/Inputs!$B$9)*(PI()*(Inputs!$F$7/1000)^2/4)*((Inputs!$F$7/1000/4)^(2/3))*SQRT(P193))</f>
        <v/>
      </c>
      <c r="AJ193" s="4">
        <f>IF(A193="","",(1/Inputs!$B$9)*(PI()*(Inputs!$F$8/1000)^2/4)*((Inputs!$F$8/1000/4)^(2/3))*SQRT(P193))</f>
        <v/>
      </c>
      <c r="AK193" s="4">
        <f>IF(A193="","",(1/Inputs!$B$9)*(PI()*(Inputs!$F$9/1000)^2/4)*((Inputs!$F$9/1000/4)^(2/3))*SQRT(P193))</f>
        <v/>
      </c>
      <c r="AL193" s="4">
        <f>IF(A193="","",(1/Inputs!$B$9)*(PI()*(Inputs!$F$10/1000)^2/4)*((Inputs!$F$10/1000/4)^(2/3))*SQRT(P193))</f>
        <v/>
      </c>
      <c r="AM193" s="4">
        <f>IF(A193="","",(1/Inputs!$B$9)*(PI()*(Inputs!$F$11/1000)^2/4)*((Inputs!$F$11/1000/4)^(2/3))*SQRT(P193))</f>
        <v/>
      </c>
      <c r="AN193" s="4">
        <f>IF(A193="","",(1/Inputs!$B$9)*(PI()*(Inputs!$F$12/1000)^2/4)*((Inputs!$F$12/1000/4)^(2/3))*SQRT(P193))</f>
        <v/>
      </c>
      <c r="AO193" s="4">
        <f>IF(A193="","",(1/Inputs!$B$9)*(PI()*(Inputs!$F$13/1000)^2/4)*((Inputs!$F$13/1000/4)^(2/3))*SQRT(P193))</f>
        <v/>
      </c>
      <c r="AP193" s="4">
        <f>IF(A193="","",(1/Inputs!$B$9)*(PI()*(Inputs!$F$14/1000)^2/4)*((Inputs!$F$14/1000/4)^(2/3))*SQRT(P193))</f>
        <v/>
      </c>
    </row>
    <row r="194">
      <c r="A194" s="4" t="n"/>
      <c r="B194" s="4" t="n"/>
      <c r="C194" s="4" t="n"/>
      <c r="D194" s="4" t="n"/>
      <c r="E194" s="8" t="n"/>
      <c r="F194" s="8" t="n"/>
      <c r="G194" s="8">
        <f>SUMIFS(CB_plan!$C:$C,CB_plan!$B:$B,$A194)</f>
        <v/>
      </c>
      <c r="H194" s="8">
        <f>IF(F194="",G194,F194)</f>
        <v/>
      </c>
      <c r="I194" s="4" t="n"/>
      <c r="J194" s="8" t="n"/>
      <c r="K194" s="8">
        <f>IF(A194="","",Inputs!$B$13/((IF(J194="",Inputs!$B$18,J194)+Inputs!$B$14)^Inputs!$B$15))</f>
        <v/>
      </c>
      <c r="L194" s="8">
        <f>IF(A194="","",0.00278*IF(I194="",Inputs!$B$17,I194)*H194*K194)</f>
        <v/>
      </c>
      <c r="M194" s="8">
        <f>IF(A194="","",SUMIFS($N$4:$N$203,$D$4:$D$203,$A194))</f>
        <v/>
      </c>
      <c r="N194" s="8">
        <f>IF(A194="","",(L194+M194)*Inputs!$B$16)</f>
        <v/>
      </c>
      <c r="O194" s="8" t="n"/>
      <c r="P194" s="8">
        <f>IF(A194="","",IF(O194="",Inputs!$B$7,O194))</f>
        <v/>
      </c>
      <c r="Q194" s="4">
        <f>IF(A194="","",IF(N194/Inputs!$B$10&lt;=AG194,Inputs!$F$5,IF(N194/Inputs!$B$10&gt;AP194,"OVERSIZE",INDEX(Inputs!$F$5:$F$14,MATCH(N194/Inputs!$B$10,AG194:AP194,1)+1))))</f>
        <v/>
      </c>
      <c r="R194" s="4" t="n"/>
      <c r="S194" s="4">
        <f>IF(A194="","",IF(R194="",Q194,R194))</f>
        <v/>
      </c>
      <c r="T194" s="8">
        <f>IF(OR(S194="",S194="OVERSIZE"),"",S194/1000)</f>
        <v/>
      </c>
      <c r="U194" s="8">
        <f>IF(T194="","",(1/Inputs!$B$9)*(PI()*T194^2/4)*((T194/4)^(2/3))*SQRT(P194))</f>
        <v/>
      </c>
      <c r="V194" s="8">
        <f>IF(OR(U194="",N194=""),"",N194/(U194*Inputs!$B$10))</f>
        <v/>
      </c>
      <c r="W194" s="8">
        <f>IF(OR(T194="",N194=""),"",4*N194/(PI()*T194^2))</f>
        <v/>
      </c>
      <c r="X194" s="8" t="n"/>
      <c r="Y194" s="8">
        <f>IF(A194="","",IF(A194=Inputs!$B$6,Inputs!$B$22,IF(D194="","",IFERROR(INDEX($Z$4:$Z$203,MATCH(D194,$A$4:$A$203,0))+IF(X194="",Inputs!$B$20,X194),""))))</f>
        <v/>
      </c>
      <c r="Z194" s="8">
        <f>IF(OR(Y194="",P194="",E194=""),"",Y194+P194*E194)</f>
        <v/>
      </c>
      <c r="AA194" s="8">
        <f>IF(C194="","",IFERROR(INDEX(Noeuds_plan!$C$4:$C$200,MATCH(C194,Noeuds_plan!$A$4:$A$200,0)),""))</f>
        <v/>
      </c>
      <c r="AB194" s="8">
        <f>IF(B194="","",IFERROR(INDEX(Noeuds_plan!$C$4:$C$200,MATCH(B194,Noeuds_plan!$A$4:$A$200,0)),""))</f>
        <v/>
      </c>
      <c r="AC194" s="8">
        <f>IF(OR(AA194="",Y194=""),"",AA194-Y194)</f>
        <v/>
      </c>
      <c r="AD194" s="8">
        <f>IF(OR(AB194="",Z194=""),"",AB194-Z194)</f>
        <v/>
      </c>
      <c r="AE194" s="4">
        <f>IF(A194="","",IF(OR(V194&gt;1,W194&lt;Inputs!$B$11,W194&gt;Inputs!$B$12,AC194&lt;Inputs!$B$19,AD194&lt;Inputs!$B$19,P194&lt;Inputs!$B$7,P194&gt;Inputs!$B$8),"CHECK","OK"))</f>
        <v/>
      </c>
      <c r="AF194" s="4" t="n"/>
      <c r="AG194" s="4">
        <f>IF(A194="","",(1/Inputs!$B$9)*(PI()*(Inputs!$F$5/1000)^2/4)*((Inputs!$F$5/1000/4)^(2/3))*SQRT(P194))</f>
        <v/>
      </c>
      <c r="AH194" s="4">
        <f>IF(A194="","",(1/Inputs!$B$9)*(PI()*(Inputs!$F$6/1000)^2/4)*((Inputs!$F$6/1000/4)^(2/3))*SQRT(P194))</f>
        <v/>
      </c>
      <c r="AI194" s="4">
        <f>IF(A194="","",(1/Inputs!$B$9)*(PI()*(Inputs!$F$7/1000)^2/4)*((Inputs!$F$7/1000/4)^(2/3))*SQRT(P194))</f>
        <v/>
      </c>
      <c r="AJ194" s="4">
        <f>IF(A194="","",(1/Inputs!$B$9)*(PI()*(Inputs!$F$8/1000)^2/4)*((Inputs!$F$8/1000/4)^(2/3))*SQRT(P194))</f>
        <v/>
      </c>
      <c r="AK194" s="4">
        <f>IF(A194="","",(1/Inputs!$B$9)*(PI()*(Inputs!$F$9/1000)^2/4)*((Inputs!$F$9/1000/4)^(2/3))*SQRT(P194))</f>
        <v/>
      </c>
      <c r="AL194" s="4">
        <f>IF(A194="","",(1/Inputs!$B$9)*(PI()*(Inputs!$F$10/1000)^2/4)*((Inputs!$F$10/1000/4)^(2/3))*SQRT(P194))</f>
        <v/>
      </c>
      <c r="AM194" s="4">
        <f>IF(A194="","",(1/Inputs!$B$9)*(PI()*(Inputs!$F$11/1000)^2/4)*((Inputs!$F$11/1000/4)^(2/3))*SQRT(P194))</f>
        <v/>
      </c>
      <c r="AN194" s="4">
        <f>IF(A194="","",(1/Inputs!$B$9)*(PI()*(Inputs!$F$12/1000)^2/4)*((Inputs!$F$12/1000/4)^(2/3))*SQRT(P194))</f>
        <v/>
      </c>
      <c r="AO194" s="4">
        <f>IF(A194="","",(1/Inputs!$B$9)*(PI()*(Inputs!$F$13/1000)^2/4)*((Inputs!$F$13/1000/4)^(2/3))*SQRT(P194))</f>
        <v/>
      </c>
      <c r="AP194" s="4">
        <f>IF(A194="","",(1/Inputs!$B$9)*(PI()*(Inputs!$F$14/1000)^2/4)*((Inputs!$F$14/1000/4)^(2/3))*SQRT(P194))</f>
        <v/>
      </c>
    </row>
    <row r="195">
      <c r="A195" s="4" t="n"/>
      <c r="B195" s="4" t="n"/>
      <c r="C195" s="4" t="n"/>
      <c r="D195" s="4" t="n"/>
      <c r="E195" s="8" t="n"/>
      <c r="F195" s="8" t="n"/>
      <c r="G195" s="8">
        <f>SUMIFS(CB_plan!$C:$C,CB_plan!$B:$B,$A195)</f>
        <v/>
      </c>
      <c r="H195" s="8">
        <f>IF(F195="",G195,F195)</f>
        <v/>
      </c>
      <c r="I195" s="4" t="n"/>
      <c r="J195" s="8" t="n"/>
      <c r="K195" s="8">
        <f>IF(A195="","",Inputs!$B$13/((IF(J195="",Inputs!$B$18,J195)+Inputs!$B$14)^Inputs!$B$15))</f>
        <v/>
      </c>
      <c r="L195" s="8">
        <f>IF(A195="","",0.00278*IF(I195="",Inputs!$B$17,I195)*H195*K195)</f>
        <v/>
      </c>
      <c r="M195" s="8">
        <f>IF(A195="","",SUMIFS($N$4:$N$203,$D$4:$D$203,$A195))</f>
        <v/>
      </c>
      <c r="N195" s="8">
        <f>IF(A195="","",(L195+M195)*Inputs!$B$16)</f>
        <v/>
      </c>
      <c r="O195" s="8" t="n"/>
      <c r="P195" s="8">
        <f>IF(A195="","",IF(O195="",Inputs!$B$7,O195))</f>
        <v/>
      </c>
      <c r="Q195" s="4">
        <f>IF(A195="","",IF(N195/Inputs!$B$10&lt;=AG195,Inputs!$F$5,IF(N195/Inputs!$B$10&gt;AP195,"OVERSIZE",INDEX(Inputs!$F$5:$F$14,MATCH(N195/Inputs!$B$10,AG195:AP195,1)+1))))</f>
        <v/>
      </c>
      <c r="R195" s="4" t="n"/>
      <c r="S195" s="4">
        <f>IF(A195="","",IF(R195="",Q195,R195))</f>
        <v/>
      </c>
      <c r="T195" s="8">
        <f>IF(OR(S195="",S195="OVERSIZE"),"",S195/1000)</f>
        <v/>
      </c>
      <c r="U195" s="8">
        <f>IF(T195="","",(1/Inputs!$B$9)*(PI()*T195^2/4)*((T195/4)^(2/3))*SQRT(P195))</f>
        <v/>
      </c>
      <c r="V195" s="8">
        <f>IF(OR(U195="",N195=""),"",N195/(U195*Inputs!$B$10))</f>
        <v/>
      </c>
      <c r="W195" s="8">
        <f>IF(OR(T195="",N195=""),"",4*N195/(PI()*T195^2))</f>
        <v/>
      </c>
      <c r="X195" s="8" t="n"/>
      <c r="Y195" s="8">
        <f>IF(A195="","",IF(A195=Inputs!$B$6,Inputs!$B$22,IF(D195="","",IFERROR(INDEX($Z$4:$Z$203,MATCH(D195,$A$4:$A$203,0))+IF(X195="",Inputs!$B$20,X195),""))))</f>
        <v/>
      </c>
      <c r="Z195" s="8">
        <f>IF(OR(Y195="",P195="",E195=""),"",Y195+P195*E195)</f>
        <v/>
      </c>
      <c r="AA195" s="8">
        <f>IF(C195="","",IFERROR(INDEX(Noeuds_plan!$C$4:$C$200,MATCH(C195,Noeuds_plan!$A$4:$A$200,0)),""))</f>
        <v/>
      </c>
      <c r="AB195" s="8">
        <f>IF(B195="","",IFERROR(INDEX(Noeuds_plan!$C$4:$C$200,MATCH(B195,Noeuds_plan!$A$4:$A$200,0)),""))</f>
        <v/>
      </c>
      <c r="AC195" s="8">
        <f>IF(OR(AA195="",Y195=""),"",AA195-Y195)</f>
        <v/>
      </c>
      <c r="AD195" s="8">
        <f>IF(OR(AB195="",Z195=""),"",AB195-Z195)</f>
        <v/>
      </c>
      <c r="AE195" s="4">
        <f>IF(A195="","",IF(OR(V195&gt;1,W195&lt;Inputs!$B$11,W195&gt;Inputs!$B$12,AC195&lt;Inputs!$B$19,AD195&lt;Inputs!$B$19,P195&lt;Inputs!$B$7,P195&gt;Inputs!$B$8),"CHECK","OK"))</f>
        <v/>
      </c>
      <c r="AF195" s="4" t="n"/>
      <c r="AG195" s="4">
        <f>IF(A195="","",(1/Inputs!$B$9)*(PI()*(Inputs!$F$5/1000)^2/4)*((Inputs!$F$5/1000/4)^(2/3))*SQRT(P195))</f>
        <v/>
      </c>
      <c r="AH195" s="4">
        <f>IF(A195="","",(1/Inputs!$B$9)*(PI()*(Inputs!$F$6/1000)^2/4)*((Inputs!$F$6/1000/4)^(2/3))*SQRT(P195))</f>
        <v/>
      </c>
      <c r="AI195" s="4">
        <f>IF(A195="","",(1/Inputs!$B$9)*(PI()*(Inputs!$F$7/1000)^2/4)*((Inputs!$F$7/1000/4)^(2/3))*SQRT(P195))</f>
        <v/>
      </c>
      <c r="AJ195" s="4">
        <f>IF(A195="","",(1/Inputs!$B$9)*(PI()*(Inputs!$F$8/1000)^2/4)*((Inputs!$F$8/1000/4)^(2/3))*SQRT(P195))</f>
        <v/>
      </c>
      <c r="AK195" s="4">
        <f>IF(A195="","",(1/Inputs!$B$9)*(PI()*(Inputs!$F$9/1000)^2/4)*((Inputs!$F$9/1000/4)^(2/3))*SQRT(P195))</f>
        <v/>
      </c>
      <c r="AL195" s="4">
        <f>IF(A195="","",(1/Inputs!$B$9)*(PI()*(Inputs!$F$10/1000)^2/4)*((Inputs!$F$10/1000/4)^(2/3))*SQRT(P195))</f>
        <v/>
      </c>
      <c r="AM195" s="4">
        <f>IF(A195="","",(1/Inputs!$B$9)*(PI()*(Inputs!$F$11/1000)^2/4)*((Inputs!$F$11/1000/4)^(2/3))*SQRT(P195))</f>
        <v/>
      </c>
      <c r="AN195" s="4">
        <f>IF(A195="","",(1/Inputs!$B$9)*(PI()*(Inputs!$F$12/1000)^2/4)*((Inputs!$F$12/1000/4)^(2/3))*SQRT(P195))</f>
        <v/>
      </c>
      <c r="AO195" s="4">
        <f>IF(A195="","",(1/Inputs!$B$9)*(PI()*(Inputs!$F$13/1000)^2/4)*((Inputs!$F$13/1000/4)^(2/3))*SQRT(P195))</f>
        <v/>
      </c>
      <c r="AP195" s="4">
        <f>IF(A195="","",(1/Inputs!$B$9)*(PI()*(Inputs!$F$14/1000)^2/4)*((Inputs!$F$14/1000/4)^(2/3))*SQRT(P195))</f>
        <v/>
      </c>
    </row>
    <row r="196">
      <c r="A196" s="4" t="n"/>
      <c r="B196" s="4" t="n"/>
      <c r="C196" s="4" t="n"/>
      <c r="D196" s="4" t="n"/>
      <c r="E196" s="8" t="n"/>
      <c r="F196" s="8" t="n"/>
      <c r="G196" s="8">
        <f>SUMIFS(CB_plan!$C:$C,CB_plan!$B:$B,$A196)</f>
        <v/>
      </c>
      <c r="H196" s="8">
        <f>IF(F196="",G196,F196)</f>
        <v/>
      </c>
      <c r="I196" s="4" t="n"/>
      <c r="J196" s="8" t="n"/>
      <c r="K196" s="8">
        <f>IF(A196="","",Inputs!$B$13/((IF(J196="",Inputs!$B$18,J196)+Inputs!$B$14)^Inputs!$B$15))</f>
        <v/>
      </c>
      <c r="L196" s="8">
        <f>IF(A196="","",0.00278*IF(I196="",Inputs!$B$17,I196)*H196*K196)</f>
        <v/>
      </c>
      <c r="M196" s="8">
        <f>IF(A196="","",SUMIFS($N$4:$N$203,$D$4:$D$203,$A196))</f>
        <v/>
      </c>
      <c r="N196" s="8">
        <f>IF(A196="","",(L196+M196)*Inputs!$B$16)</f>
        <v/>
      </c>
      <c r="O196" s="8" t="n"/>
      <c r="P196" s="8">
        <f>IF(A196="","",IF(O196="",Inputs!$B$7,O196))</f>
        <v/>
      </c>
      <c r="Q196" s="4">
        <f>IF(A196="","",IF(N196/Inputs!$B$10&lt;=AG196,Inputs!$F$5,IF(N196/Inputs!$B$10&gt;AP196,"OVERSIZE",INDEX(Inputs!$F$5:$F$14,MATCH(N196/Inputs!$B$10,AG196:AP196,1)+1))))</f>
        <v/>
      </c>
      <c r="R196" s="4" t="n"/>
      <c r="S196" s="4">
        <f>IF(A196="","",IF(R196="",Q196,R196))</f>
        <v/>
      </c>
      <c r="T196" s="8">
        <f>IF(OR(S196="",S196="OVERSIZE"),"",S196/1000)</f>
        <v/>
      </c>
      <c r="U196" s="8">
        <f>IF(T196="","",(1/Inputs!$B$9)*(PI()*T196^2/4)*((T196/4)^(2/3))*SQRT(P196))</f>
        <v/>
      </c>
      <c r="V196" s="8">
        <f>IF(OR(U196="",N196=""),"",N196/(U196*Inputs!$B$10))</f>
        <v/>
      </c>
      <c r="W196" s="8">
        <f>IF(OR(T196="",N196=""),"",4*N196/(PI()*T196^2))</f>
        <v/>
      </c>
      <c r="X196" s="8" t="n"/>
      <c r="Y196" s="8">
        <f>IF(A196="","",IF(A196=Inputs!$B$6,Inputs!$B$22,IF(D196="","",IFERROR(INDEX($Z$4:$Z$203,MATCH(D196,$A$4:$A$203,0))+IF(X196="",Inputs!$B$20,X196),""))))</f>
        <v/>
      </c>
      <c r="Z196" s="8">
        <f>IF(OR(Y196="",P196="",E196=""),"",Y196+P196*E196)</f>
        <v/>
      </c>
      <c r="AA196" s="8">
        <f>IF(C196="","",IFERROR(INDEX(Noeuds_plan!$C$4:$C$200,MATCH(C196,Noeuds_plan!$A$4:$A$200,0)),""))</f>
        <v/>
      </c>
      <c r="AB196" s="8">
        <f>IF(B196="","",IFERROR(INDEX(Noeuds_plan!$C$4:$C$200,MATCH(B196,Noeuds_plan!$A$4:$A$200,0)),""))</f>
        <v/>
      </c>
      <c r="AC196" s="8">
        <f>IF(OR(AA196="",Y196=""),"",AA196-Y196)</f>
        <v/>
      </c>
      <c r="AD196" s="8">
        <f>IF(OR(AB196="",Z196=""),"",AB196-Z196)</f>
        <v/>
      </c>
      <c r="AE196" s="4">
        <f>IF(A196="","",IF(OR(V196&gt;1,W196&lt;Inputs!$B$11,W196&gt;Inputs!$B$12,AC196&lt;Inputs!$B$19,AD196&lt;Inputs!$B$19,P196&lt;Inputs!$B$7,P196&gt;Inputs!$B$8),"CHECK","OK"))</f>
        <v/>
      </c>
      <c r="AF196" s="4" t="n"/>
      <c r="AG196" s="4">
        <f>IF(A196="","",(1/Inputs!$B$9)*(PI()*(Inputs!$F$5/1000)^2/4)*((Inputs!$F$5/1000/4)^(2/3))*SQRT(P196))</f>
        <v/>
      </c>
      <c r="AH196" s="4">
        <f>IF(A196="","",(1/Inputs!$B$9)*(PI()*(Inputs!$F$6/1000)^2/4)*((Inputs!$F$6/1000/4)^(2/3))*SQRT(P196))</f>
        <v/>
      </c>
      <c r="AI196" s="4">
        <f>IF(A196="","",(1/Inputs!$B$9)*(PI()*(Inputs!$F$7/1000)^2/4)*((Inputs!$F$7/1000/4)^(2/3))*SQRT(P196))</f>
        <v/>
      </c>
      <c r="AJ196" s="4">
        <f>IF(A196="","",(1/Inputs!$B$9)*(PI()*(Inputs!$F$8/1000)^2/4)*((Inputs!$F$8/1000/4)^(2/3))*SQRT(P196))</f>
        <v/>
      </c>
      <c r="AK196" s="4">
        <f>IF(A196="","",(1/Inputs!$B$9)*(PI()*(Inputs!$F$9/1000)^2/4)*((Inputs!$F$9/1000/4)^(2/3))*SQRT(P196))</f>
        <v/>
      </c>
      <c r="AL196" s="4">
        <f>IF(A196="","",(1/Inputs!$B$9)*(PI()*(Inputs!$F$10/1000)^2/4)*((Inputs!$F$10/1000/4)^(2/3))*SQRT(P196))</f>
        <v/>
      </c>
      <c r="AM196" s="4">
        <f>IF(A196="","",(1/Inputs!$B$9)*(PI()*(Inputs!$F$11/1000)^2/4)*((Inputs!$F$11/1000/4)^(2/3))*SQRT(P196))</f>
        <v/>
      </c>
      <c r="AN196" s="4">
        <f>IF(A196="","",(1/Inputs!$B$9)*(PI()*(Inputs!$F$12/1000)^2/4)*((Inputs!$F$12/1000/4)^(2/3))*SQRT(P196))</f>
        <v/>
      </c>
      <c r="AO196" s="4">
        <f>IF(A196="","",(1/Inputs!$B$9)*(PI()*(Inputs!$F$13/1000)^2/4)*((Inputs!$F$13/1000/4)^(2/3))*SQRT(P196))</f>
        <v/>
      </c>
      <c r="AP196" s="4">
        <f>IF(A196="","",(1/Inputs!$B$9)*(PI()*(Inputs!$F$14/1000)^2/4)*((Inputs!$F$14/1000/4)^(2/3))*SQRT(P196))</f>
        <v/>
      </c>
    </row>
    <row r="197">
      <c r="A197" s="4" t="n"/>
      <c r="B197" s="4" t="n"/>
      <c r="C197" s="4" t="n"/>
      <c r="D197" s="4" t="n"/>
      <c r="E197" s="8" t="n"/>
      <c r="F197" s="8" t="n"/>
      <c r="G197" s="8">
        <f>SUMIFS(CB_plan!$C:$C,CB_plan!$B:$B,$A197)</f>
        <v/>
      </c>
      <c r="H197" s="8">
        <f>IF(F197="",G197,F197)</f>
        <v/>
      </c>
      <c r="I197" s="4" t="n"/>
      <c r="J197" s="8" t="n"/>
      <c r="K197" s="8">
        <f>IF(A197="","",Inputs!$B$13/((IF(J197="",Inputs!$B$18,J197)+Inputs!$B$14)^Inputs!$B$15))</f>
        <v/>
      </c>
      <c r="L197" s="8">
        <f>IF(A197="","",0.00278*IF(I197="",Inputs!$B$17,I197)*H197*K197)</f>
        <v/>
      </c>
      <c r="M197" s="8">
        <f>IF(A197="","",SUMIFS($N$4:$N$203,$D$4:$D$203,$A197))</f>
        <v/>
      </c>
      <c r="N197" s="8">
        <f>IF(A197="","",(L197+M197)*Inputs!$B$16)</f>
        <v/>
      </c>
      <c r="O197" s="8" t="n"/>
      <c r="P197" s="8">
        <f>IF(A197="","",IF(O197="",Inputs!$B$7,O197))</f>
        <v/>
      </c>
      <c r="Q197" s="4">
        <f>IF(A197="","",IF(N197/Inputs!$B$10&lt;=AG197,Inputs!$F$5,IF(N197/Inputs!$B$10&gt;AP197,"OVERSIZE",INDEX(Inputs!$F$5:$F$14,MATCH(N197/Inputs!$B$10,AG197:AP197,1)+1))))</f>
        <v/>
      </c>
      <c r="R197" s="4" t="n"/>
      <c r="S197" s="4">
        <f>IF(A197="","",IF(R197="",Q197,R197))</f>
        <v/>
      </c>
      <c r="T197" s="8">
        <f>IF(OR(S197="",S197="OVERSIZE"),"",S197/1000)</f>
        <v/>
      </c>
      <c r="U197" s="8">
        <f>IF(T197="","",(1/Inputs!$B$9)*(PI()*T197^2/4)*((T197/4)^(2/3))*SQRT(P197))</f>
        <v/>
      </c>
      <c r="V197" s="8">
        <f>IF(OR(U197="",N197=""),"",N197/(U197*Inputs!$B$10))</f>
        <v/>
      </c>
      <c r="W197" s="8">
        <f>IF(OR(T197="",N197=""),"",4*N197/(PI()*T197^2))</f>
        <v/>
      </c>
      <c r="X197" s="8" t="n"/>
      <c r="Y197" s="8">
        <f>IF(A197="","",IF(A197=Inputs!$B$6,Inputs!$B$22,IF(D197="","",IFERROR(INDEX($Z$4:$Z$203,MATCH(D197,$A$4:$A$203,0))+IF(X197="",Inputs!$B$20,X197),""))))</f>
        <v/>
      </c>
      <c r="Z197" s="8">
        <f>IF(OR(Y197="",P197="",E197=""),"",Y197+P197*E197)</f>
        <v/>
      </c>
      <c r="AA197" s="8">
        <f>IF(C197="","",IFERROR(INDEX(Noeuds_plan!$C$4:$C$200,MATCH(C197,Noeuds_plan!$A$4:$A$200,0)),""))</f>
        <v/>
      </c>
      <c r="AB197" s="8">
        <f>IF(B197="","",IFERROR(INDEX(Noeuds_plan!$C$4:$C$200,MATCH(B197,Noeuds_plan!$A$4:$A$200,0)),""))</f>
        <v/>
      </c>
      <c r="AC197" s="8">
        <f>IF(OR(AA197="",Y197=""),"",AA197-Y197)</f>
        <v/>
      </c>
      <c r="AD197" s="8">
        <f>IF(OR(AB197="",Z197=""),"",AB197-Z197)</f>
        <v/>
      </c>
      <c r="AE197" s="4">
        <f>IF(A197="","",IF(OR(V197&gt;1,W197&lt;Inputs!$B$11,W197&gt;Inputs!$B$12,AC197&lt;Inputs!$B$19,AD197&lt;Inputs!$B$19,P197&lt;Inputs!$B$7,P197&gt;Inputs!$B$8),"CHECK","OK"))</f>
        <v/>
      </c>
      <c r="AF197" s="4" t="n"/>
      <c r="AG197" s="4">
        <f>IF(A197="","",(1/Inputs!$B$9)*(PI()*(Inputs!$F$5/1000)^2/4)*((Inputs!$F$5/1000/4)^(2/3))*SQRT(P197))</f>
        <v/>
      </c>
      <c r="AH197" s="4">
        <f>IF(A197="","",(1/Inputs!$B$9)*(PI()*(Inputs!$F$6/1000)^2/4)*((Inputs!$F$6/1000/4)^(2/3))*SQRT(P197))</f>
        <v/>
      </c>
      <c r="AI197" s="4">
        <f>IF(A197="","",(1/Inputs!$B$9)*(PI()*(Inputs!$F$7/1000)^2/4)*((Inputs!$F$7/1000/4)^(2/3))*SQRT(P197))</f>
        <v/>
      </c>
      <c r="AJ197" s="4">
        <f>IF(A197="","",(1/Inputs!$B$9)*(PI()*(Inputs!$F$8/1000)^2/4)*((Inputs!$F$8/1000/4)^(2/3))*SQRT(P197))</f>
        <v/>
      </c>
      <c r="AK197" s="4">
        <f>IF(A197="","",(1/Inputs!$B$9)*(PI()*(Inputs!$F$9/1000)^2/4)*((Inputs!$F$9/1000/4)^(2/3))*SQRT(P197))</f>
        <v/>
      </c>
      <c r="AL197" s="4">
        <f>IF(A197="","",(1/Inputs!$B$9)*(PI()*(Inputs!$F$10/1000)^2/4)*((Inputs!$F$10/1000/4)^(2/3))*SQRT(P197))</f>
        <v/>
      </c>
      <c r="AM197" s="4">
        <f>IF(A197="","",(1/Inputs!$B$9)*(PI()*(Inputs!$F$11/1000)^2/4)*((Inputs!$F$11/1000/4)^(2/3))*SQRT(P197))</f>
        <v/>
      </c>
      <c r="AN197" s="4">
        <f>IF(A197="","",(1/Inputs!$B$9)*(PI()*(Inputs!$F$12/1000)^2/4)*((Inputs!$F$12/1000/4)^(2/3))*SQRT(P197))</f>
        <v/>
      </c>
      <c r="AO197" s="4">
        <f>IF(A197="","",(1/Inputs!$B$9)*(PI()*(Inputs!$F$13/1000)^2/4)*((Inputs!$F$13/1000/4)^(2/3))*SQRT(P197))</f>
        <v/>
      </c>
      <c r="AP197" s="4">
        <f>IF(A197="","",(1/Inputs!$B$9)*(PI()*(Inputs!$F$14/1000)^2/4)*((Inputs!$F$14/1000/4)^(2/3))*SQRT(P197))</f>
        <v/>
      </c>
    </row>
    <row r="198">
      <c r="A198" s="4" t="n"/>
      <c r="B198" s="4" t="n"/>
      <c r="C198" s="4" t="n"/>
      <c r="D198" s="4" t="n"/>
      <c r="E198" s="8" t="n"/>
      <c r="F198" s="8" t="n"/>
      <c r="G198" s="8">
        <f>SUMIFS(CB_plan!$C:$C,CB_plan!$B:$B,$A198)</f>
        <v/>
      </c>
      <c r="H198" s="8">
        <f>IF(F198="",G198,F198)</f>
        <v/>
      </c>
      <c r="I198" s="4" t="n"/>
      <c r="J198" s="8" t="n"/>
      <c r="K198" s="8">
        <f>IF(A198="","",Inputs!$B$13/((IF(J198="",Inputs!$B$18,J198)+Inputs!$B$14)^Inputs!$B$15))</f>
        <v/>
      </c>
      <c r="L198" s="8">
        <f>IF(A198="","",0.00278*IF(I198="",Inputs!$B$17,I198)*H198*K198)</f>
        <v/>
      </c>
      <c r="M198" s="8">
        <f>IF(A198="","",SUMIFS($N$4:$N$203,$D$4:$D$203,$A198))</f>
        <v/>
      </c>
      <c r="N198" s="8">
        <f>IF(A198="","",(L198+M198)*Inputs!$B$16)</f>
        <v/>
      </c>
      <c r="O198" s="8" t="n"/>
      <c r="P198" s="8">
        <f>IF(A198="","",IF(O198="",Inputs!$B$7,O198))</f>
        <v/>
      </c>
      <c r="Q198" s="4">
        <f>IF(A198="","",IF(N198/Inputs!$B$10&lt;=AG198,Inputs!$F$5,IF(N198/Inputs!$B$10&gt;AP198,"OVERSIZE",INDEX(Inputs!$F$5:$F$14,MATCH(N198/Inputs!$B$10,AG198:AP198,1)+1))))</f>
        <v/>
      </c>
      <c r="R198" s="4" t="n"/>
      <c r="S198" s="4">
        <f>IF(A198="","",IF(R198="",Q198,R198))</f>
        <v/>
      </c>
      <c r="T198" s="8">
        <f>IF(OR(S198="",S198="OVERSIZE"),"",S198/1000)</f>
        <v/>
      </c>
      <c r="U198" s="8">
        <f>IF(T198="","",(1/Inputs!$B$9)*(PI()*T198^2/4)*((T198/4)^(2/3))*SQRT(P198))</f>
        <v/>
      </c>
      <c r="V198" s="8">
        <f>IF(OR(U198="",N198=""),"",N198/(U198*Inputs!$B$10))</f>
        <v/>
      </c>
      <c r="W198" s="8">
        <f>IF(OR(T198="",N198=""),"",4*N198/(PI()*T198^2))</f>
        <v/>
      </c>
      <c r="X198" s="8" t="n"/>
      <c r="Y198" s="8">
        <f>IF(A198="","",IF(A198=Inputs!$B$6,Inputs!$B$22,IF(D198="","",IFERROR(INDEX($Z$4:$Z$203,MATCH(D198,$A$4:$A$203,0))+IF(X198="",Inputs!$B$20,X198),""))))</f>
        <v/>
      </c>
      <c r="Z198" s="8">
        <f>IF(OR(Y198="",P198="",E198=""),"",Y198+P198*E198)</f>
        <v/>
      </c>
      <c r="AA198" s="8">
        <f>IF(C198="","",IFERROR(INDEX(Noeuds_plan!$C$4:$C$200,MATCH(C198,Noeuds_plan!$A$4:$A$200,0)),""))</f>
        <v/>
      </c>
      <c r="AB198" s="8">
        <f>IF(B198="","",IFERROR(INDEX(Noeuds_plan!$C$4:$C$200,MATCH(B198,Noeuds_plan!$A$4:$A$200,0)),""))</f>
        <v/>
      </c>
      <c r="AC198" s="8">
        <f>IF(OR(AA198="",Y198=""),"",AA198-Y198)</f>
        <v/>
      </c>
      <c r="AD198" s="8">
        <f>IF(OR(AB198="",Z198=""),"",AB198-Z198)</f>
        <v/>
      </c>
      <c r="AE198" s="4">
        <f>IF(A198="","",IF(OR(V198&gt;1,W198&lt;Inputs!$B$11,W198&gt;Inputs!$B$12,AC198&lt;Inputs!$B$19,AD198&lt;Inputs!$B$19,P198&lt;Inputs!$B$7,P198&gt;Inputs!$B$8),"CHECK","OK"))</f>
        <v/>
      </c>
      <c r="AF198" s="4" t="n"/>
      <c r="AG198" s="4">
        <f>IF(A198="","",(1/Inputs!$B$9)*(PI()*(Inputs!$F$5/1000)^2/4)*((Inputs!$F$5/1000/4)^(2/3))*SQRT(P198))</f>
        <v/>
      </c>
      <c r="AH198" s="4">
        <f>IF(A198="","",(1/Inputs!$B$9)*(PI()*(Inputs!$F$6/1000)^2/4)*((Inputs!$F$6/1000/4)^(2/3))*SQRT(P198))</f>
        <v/>
      </c>
      <c r="AI198" s="4">
        <f>IF(A198="","",(1/Inputs!$B$9)*(PI()*(Inputs!$F$7/1000)^2/4)*((Inputs!$F$7/1000/4)^(2/3))*SQRT(P198))</f>
        <v/>
      </c>
      <c r="AJ198" s="4">
        <f>IF(A198="","",(1/Inputs!$B$9)*(PI()*(Inputs!$F$8/1000)^2/4)*((Inputs!$F$8/1000/4)^(2/3))*SQRT(P198))</f>
        <v/>
      </c>
      <c r="AK198" s="4">
        <f>IF(A198="","",(1/Inputs!$B$9)*(PI()*(Inputs!$F$9/1000)^2/4)*((Inputs!$F$9/1000/4)^(2/3))*SQRT(P198))</f>
        <v/>
      </c>
      <c r="AL198" s="4">
        <f>IF(A198="","",(1/Inputs!$B$9)*(PI()*(Inputs!$F$10/1000)^2/4)*((Inputs!$F$10/1000/4)^(2/3))*SQRT(P198))</f>
        <v/>
      </c>
      <c r="AM198" s="4">
        <f>IF(A198="","",(1/Inputs!$B$9)*(PI()*(Inputs!$F$11/1000)^2/4)*((Inputs!$F$11/1000/4)^(2/3))*SQRT(P198))</f>
        <v/>
      </c>
      <c r="AN198" s="4">
        <f>IF(A198="","",(1/Inputs!$B$9)*(PI()*(Inputs!$F$12/1000)^2/4)*((Inputs!$F$12/1000/4)^(2/3))*SQRT(P198))</f>
        <v/>
      </c>
      <c r="AO198" s="4">
        <f>IF(A198="","",(1/Inputs!$B$9)*(PI()*(Inputs!$F$13/1000)^2/4)*((Inputs!$F$13/1000/4)^(2/3))*SQRT(P198))</f>
        <v/>
      </c>
      <c r="AP198" s="4">
        <f>IF(A198="","",(1/Inputs!$B$9)*(PI()*(Inputs!$F$14/1000)^2/4)*((Inputs!$F$14/1000/4)^(2/3))*SQRT(P198))</f>
        <v/>
      </c>
    </row>
    <row r="199">
      <c r="A199" s="4" t="n"/>
      <c r="B199" s="4" t="n"/>
      <c r="C199" s="4" t="n"/>
      <c r="D199" s="4" t="n"/>
      <c r="E199" s="8" t="n"/>
      <c r="F199" s="8" t="n"/>
      <c r="G199" s="8">
        <f>SUMIFS(CB_plan!$C:$C,CB_plan!$B:$B,$A199)</f>
        <v/>
      </c>
      <c r="H199" s="8">
        <f>IF(F199="",G199,F199)</f>
        <v/>
      </c>
      <c r="I199" s="4" t="n"/>
      <c r="J199" s="8" t="n"/>
      <c r="K199" s="8">
        <f>IF(A199="","",Inputs!$B$13/((IF(J199="",Inputs!$B$18,J199)+Inputs!$B$14)^Inputs!$B$15))</f>
        <v/>
      </c>
      <c r="L199" s="8">
        <f>IF(A199="","",0.00278*IF(I199="",Inputs!$B$17,I199)*H199*K199)</f>
        <v/>
      </c>
      <c r="M199" s="8">
        <f>IF(A199="","",SUMIFS($N$4:$N$203,$D$4:$D$203,$A199))</f>
        <v/>
      </c>
      <c r="N199" s="8">
        <f>IF(A199="","",(L199+M199)*Inputs!$B$16)</f>
        <v/>
      </c>
      <c r="O199" s="8" t="n"/>
      <c r="P199" s="8">
        <f>IF(A199="","",IF(O199="",Inputs!$B$7,O199))</f>
        <v/>
      </c>
      <c r="Q199" s="4">
        <f>IF(A199="","",IF(N199/Inputs!$B$10&lt;=AG199,Inputs!$F$5,IF(N199/Inputs!$B$10&gt;AP199,"OVERSIZE",INDEX(Inputs!$F$5:$F$14,MATCH(N199/Inputs!$B$10,AG199:AP199,1)+1))))</f>
        <v/>
      </c>
      <c r="R199" s="4" t="n"/>
      <c r="S199" s="4">
        <f>IF(A199="","",IF(R199="",Q199,R199))</f>
        <v/>
      </c>
      <c r="T199" s="8">
        <f>IF(OR(S199="",S199="OVERSIZE"),"",S199/1000)</f>
        <v/>
      </c>
      <c r="U199" s="8">
        <f>IF(T199="","",(1/Inputs!$B$9)*(PI()*T199^2/4)*((T199/4)^(2/3))*SQRT(P199))</f>
        <v/>
      </c>
      <c r="V199" s="8">
        <f>IF(OR(U199="",N199=""),"",N199/(U199*Inputs!$B$10))</f>
        <v/>
      </c>
      <c r="W199" s="8">
        <f>IF(OR(T199="",N199=""),"",4*N199/(PI()*T199^2))</f>
        <v/>
      </c>
      <c r="X199" s="8" t="n"/>
      <c r="Y199" s="8">
        <f>IF(A199="","",IF(A199=Inputs!$B$6,Inputs!$B$22,IF(D199="","",IFERROR(INDEX($Z$4:$Z$203,MATCH(D199,$A$4:$A$203,0))+IF(X199="",Inputs!$B$20,X199),""))))</f>
        <v/>
      </c>
      <c r="Z199" s="8">
        <f>IF(OR(Y199="",P199="",E199=""),"",Y199+P199*E199)</f>
        <v/>
      </c>
      <c r="AA199" s="8">
        <f>IF(C199="","",IFERROR(INDEX(Noeuds_plan!$C$4:$C$200,MATCH(C199,Noeuds_plan!$A$4:$A$200,0)),""))</f>
        <v/>
      </c>
      <c r="AB199" s="8">
        <f>IF(B199="","",IFERROR(INDEX(Noeuds_plan!$C$4:$C$200,MATCH(B199,Noeuds_plan!$A$4:$A$200,0)),""))</f>
        <v/>
      </c>
      <c r="AC199" s="8">
        <f>IF(OR(AA199="",Y199=""),"",AA199-Y199)</f>
        <v/>
      </c>
      <c r="AD199" s="8">
        <f>IF(OR(AB199="",Z199=""),"",AB199-Z199)</f>
        <v/>
      </c>
      <c r="AE199" s="4">
        <f>IF(A199="","",IF(OR(V199&gt;1,W199&lt;Inputs!$B$11,W199&gt;Inputs!$B$12,AC199&lt;Inputs!$B$19,AD199&lt;Inputs!$B$19,P199&lt;Inputs!$B$7,P199&gt;Inputs!$B$8),"CHECK","OK"))</f>
        <v/>
      </c>
      <c r="AF199" s="4" t="n"/>
      <c r="AG199" s="4">
        <f>IF(A199="","",(1/Inputs!$B$9)*(PI()*(Inputs!$F$5/1000)^2/4)*((Inputs!$F$5/1000/4)^(2/3))*SQRT(P199))</f>
        <v/>
      </c>
      <c r="AH199" s="4">
        <f>IF(A199="","",(1/Inputs!$B$9)*(PI()*(Inputs!$F$6/1000)^2/4)*((Inputs!$F$6/1000/4)^(2/3))*SQRT(P199))</f>
        <v/>
      </c>
      <c r="AI199" s="4">
        <f>IF(A199="","",(1/Inputs!$B$9)*(PI()*(Inputs!$F$7/1000)^2/4)*((Inputs!$F$7/1000/4)^(2/3))*SQRT(P199))</f>
        <v/>
      </c>
      <c r="AJ199" s="4">
        <f>IF(A199="","",(1/Inputs!$B$9)*(PI()*(Inputs!$F$8/1000)^2/4)*((Inputs!$F$8/1000/4)^(2/3))*SQRT(P199))</f>
        <v/>
      </c>
      <c r="AK199" s="4">
        <f>IF(A199="","",(1/Inputs!$B$9)*(PI()*(Inputs!$F$9/1000)^2/4)*((Inputs!$F$9/1000/4)^(2/3))*SQRT(P199))</f>
        <v/>
      </c>
      <c r="AL199" s="4">
        <f>IF(A199="","",(1/Inputs!$B$9)*(PI()*(Inputs!$F$10/1000)^2/4)*((Inputs!$F$10/1000/4)^(2/3))*SQRT(P199))</f>
        <v/>
      </c>
      <c r="AM199" s="4">
        <f>IF(A199="","",(1/Inputs!$B$9)*(PI()*(Inputs!$F$11/1000)^2/4)*((Inputs!$F$11/1000/4)^(2/3))*SQRT(P199))</f>
        <v/>
      </c>
      <c r="AN199" s="4">
        <f>IF(A199="","",(1/Inputs!$B$9)*(PI()*(Inputs!$F$12/1000)^2/4)*((Inputs!$F$12/1000/4)^(2/3))*SQRT(P199))</f>
        <v/>
      </c>
      <c r="AO199" s="4">
        <f>IF(A199="","",(1/Inputs!$B$9)*(PI()*(Inputs!$F$13/1000)^2/4)*((Inputs!$F$13/1000/4)^(2/3))*SQRT(P199))</f>
        <v/>
      </c>
      <c r="AP199" s="4">
        <f>IF(A199="","",(1/Inputs!$B$9)*(PI()*(Inputs!$F$14/1000)^2/4)*((Inputs!$F$14/1000/4)^(2/3))*SQRT(P199))</f>
        <v/>
      </c>
    </row>
    <row r="200">
      <c r="A200" s="4" t="n"/>
      <c r="B200" s="4" t="n"/>
      <c r="C200" s="4" t="n"/>
      <c r="D200" s="4" t="n"/>
      <c r="E200" s="8" t="n"/>
      <c r="F200" s="8" t="n"/>
      <c r="G200" s="8">
        <f>SUMIFS(CB_plan!$C:$C,CB_plan!$B:$B,$A200)</f>
        <v/>
      </c>
      <c r="H200" s="8">
        <f>IF(F200="",G200,F200)</f>
        <v/>
      </c>
      <c r="I200" s="4" t="n"/>
      <c r="J200" s="8" t="n"/>
      <c r="K200" s="8">
        <f>IF(A200="","",Inputs!$B$13/((IF(J200="",Inputs!$B$18,J200)+Inputs!$B$14)^Inputs!$B$15))</f>
        <v/>
      </c>
      <c r="L200" s="8">
        <f>IF(A200="","",0.00278*IF(I200="",Inputs!$B$17,I200)*H200*K200)</f>
        <v/>
      </c>
      <c r="M200" s="8">
        <f>IF(A200="","",SUMIFS($N$4:$N$203,$D$4:$D$203,$A200))</f>
        <v/>
      </c>
      <c r="N200" s="8">
        <f>IF(A200="","",(L200+M200)*Inputs!$B$16)</f>
        <v/>
      </c>
      <c r="O200" s="8" t="n"/>
      <c r="P200" s="8">
        <f>IF(A200="","",IF(O200="",Inputs!$B$7,O200))</f>
        <v/>
      </c>
      <c r="Q200" s="4">
        <f>IF(A200="","",IF(N200/Inputs!$B$10&lt;=AG200,Inputs!$F$5,IF(N200/Inputs!$B$10&gt;AP200,"OVERSIZE",INDEX(Inputs!$F$5:$F$14,MATCH(N200/Inputs!$B$10,AG200:AP200,1)+1))))</f>
        <v/>
      </c>
      <c r="R200" s="4" t="n"/>
      <c r="S200" s="4">
        <f>IF(A200="","",IF(R200="",Q200,R200))</f>
        <v/>
      </c>
      <c r="T200" s="8">
        <f>IF(OR(S200="",S200="OVERSIZE"),"",S200/1000)</f>
        <v/>
      </c>
      <c r="U200" s="8">
        <f>IF(T200="","",(1/Inputs!$B$9)*(PI()*T200^2/4)*((T200/4)^(2/3))*SQRT(P200))</f>
        <v/>
      </c>
      <c r="V200" s="8">
        <f>IF(OR(U200="",N200=""),"",N200/(U200*Inputs!$B$10))</f>
        <v/>
      </c>
      <c r="W200" s="8">
        <f>IF(OR(T200="",N200=""),"",4*N200/(PI()*T200^2))</f>
        <v/>
      </c>
      <c r="X200" s="8" t="n"/>
      <c r="Y200" s="8">
        <f>IF(A200="","",IF(A200=Inputs!$B$6,Inputs!$B$22,IF(D200="","",IFERROR(INDEX($Z$4:$Z$203,MATCH(D200,$A$4:$A$203,0))+IF(X200="",Inputs!$B$20,X200),""))))</f>
        <v/>
      </c>
      <c r="Z200" s="8">
        <f>IF(OR(Y200="",P200="",E200=""),"",Y200+P200*E200)</f>
        <v/>
      </c>
      <c r="AA200" s="8">
        <f>IF(C200="","",IFERROR(INDEX(Noeuds_plan!$C$4:$C$200,MATCH(C200,Noeuds_plan!$A$4:$A$200,0)),""))</f>
        <v/>
      </c>
      <c r="AB200" s="8">
        <f>IF(B200="","",IFERROR(INDEX(Noeuds_plan!$C$4:$C$200,MATCH(B200,Noeuds_plan!$A$4:$A$200,0)),""))</f>
        <v/>
      </c>
      <c r="AC200" s="8">
        <f>IF(OR(AA200="",Y200=""),"",AA200-Y200)</f>
        <v/>
      </c>
      <c r="AD200" s="8">
        <f>IF(OR(AB200="",Z200=""),"",AB200-Z200)</f>
        <v/>
      </c>
      <c r="AE200" s="4">
        <f>IF(A200="","",IF(OR(V200&gt;1,W200&lt;Inputs!$B$11,W200&gt;Inputs!$B$12,AC200&lt;Inputs!$B$19,AD200&lt;Inputs!$B$19,P200&lt;Inputs!$B$7,P200&gt;Inputs!$B$8),"CHECK","OK"))</f>
        <v/>
      </c>
      <c r="AF200" s="4" t="n"/>
      <c r="AG200" s="4">
        <f>IF(A200="","",(1/Inputs!$B$9)*(PI()*(Inputs!$F$5/1000)^2/4)*((Inputs!$F$5/1000/4)^(2/3))*SQRT(P200))</f>
        <v/>
      </c>
      <c r="AH200" s="4">
        <f>IF(A200="","",(1/Inputs!$B$9)*(PI()*(Inputs!$F$6/1000)^2/4)*((Inputs!$F$6/1000/4)^(2/3))*SQRT(P200))</f>
        <v/>
      </c>
      <c r="AI200" s="4">
        <f>IF(A200="","",(1/Inputs!$B$9)*(PI()*(Inputs!$F$7/1000)^2/4)*((Inputs!$F$7/1000/4)^(2/3))*SQRT(P200))</f>
        <v/>
      </c>
      <c r="AJ200" s="4">
        <f>IF(A200="","",(1/Inputs!$B$9)*(PI()*(Inputs!$F$8/1000)^2/4)*((Inputs!$F$8/1000/4)^(2/3))*SQRT(P200))</f>
        <v/>
      </c>
      <c r="AK200" s="4">
        <f>IF(A200="","",(1/Inputs!$B$9)*(PI()*(Inputs!$F$9/1000)^2/4)*((Inputs!$F$9/1000/4)^(2/3))*SQRT(P200))</f>
        <v/>
      </c>
      <c r="AL200" s="4">
        <f>IF(A200="","",(1/Inputs!$B$9)*(PI()*(Inputs!$F$10/1000)^2/4)*((Inputs!$F$10/1000/4)^(2/3))*SQRT(P200))</f>
        <v/>
      </c>
      <c r="AM200" s="4">
        <f>IF(A200="","",(1/Inputs!$B$9)*(PI()*(Inputs!$F$11/1000)^2/4)*((Inputs!$F$11/1000/4)^(2/3))*SQRT(P200))</f>
        <v/>
      </c>
      <c r="AN200" s="4">
        <f>IF(A200="","",(1/Inputs!$B$9)*(PI()*(Inputs!$F$12/1000)^2/4)*((Inputs!$F$12/1000/4)^(2/3))*SQRT(P200))</f>
        <v/>
      </c>
      <c r="AO200" s="4">
        <f>IF(A200="","",(1/Inputs!$B$9)*(PI()*(Inputs!$F$13/1000)^2/4)*((Inputs!$F$13/1000/4)^(2/3))*SQRT(P200))</f>
        <v/>
      </c>
      <c r="AP200" s="4">
        <f>IF(A200="","",(1/Inputs!$B$9)*(PI()*(Inputs!$F$14/1000)^2/4)*((Inputs!$F$14/1000/4)^(2/3))*SQRT(P200))</f>
        <v/>
      </c>
    </row>
    <row r="201">
      <c r="A201" s="4" t="n"/>
      <c r="B201" s="4" t="n"/>
      <c r="C201" s="4" t="n"/>
      <c r="D201" s="4" t="n"/>
      <c r="E201" s="8" t="n"/>
      <c r="F201" s="8" t="n"/>
      <c r="G201" s="8">
        <f>SUMIFS(CB_plan!$C:$C,CB_plan!$B:$B,$A201)</f>
        <v/>
      </c>
      <c r="H201" s="8">
        <f>IF(F201="",G201,F201)</f>
        <v/>
      </c>
      <c r="I201" s="4" t="n"/>
      <c r="J201" s="8" t="n"/>
      <c r="K201" s="8">
        <f>IF(A201="","",Inputs!$B$13/((IF(J201="",Inputs!$B$18,J201)+Inputs!$B$14)^Inputs!$B$15))</f>
        <v/>
      </c>
      <c r="L201" s="8">
        <f>IF(A201="","",0.00278*IF(I201="",Inputs!$B$17,I201)*H201*K201)</f>
        <v/>
      </c>
      <c r="M201" s="8">
        <f>IF(A201="","",SUMIFS($N$4:$N$203,$D$4:$D$203,$A201))</f>
        <v/>
      </c>
      <c r="N201" s="8">
        <f>IF(A201="","",(L201+M201)*Inputs!$B$16)</f>
        <v/>
      </c>
      <c r="O201" s="8" t="n"/>
      <c r="P201" s="8">
        <f>IF(A201="","",IF(O201="",Inputs!$B$7,O201))</f>
        <v/>
      </c>
      <c r="Q201" s="4">
        <f>IF(A201="","",IF(N201/Inputs!$B$10&lt;=AG201,Inputs!$F$5,IF(N201/Inputs!$B$10&gt;AP201,"OVERSIZE",INDEX(Inputs!$F$5:$F$14,MATCH(N201/Inputs!$B$10,AG201:AP201,1)+1))))</f>
        <v/>
      </c>
      <c r="R201" s="4" t="n"/>
      <c r="S201" s="4">
        <f>IF(A201="","",IF(R201="",Q201,R201))</f>
        <v/>
      </c>
      <c r="T201" s="8">
        <f>IF(OR(S201="",S201="OVERSIZE"),"",S201/1000)</f>
        <v/>
      </c>
      <c r="U201" s="8">
        <f>IF(T201="","",(1/Inputs!$B$9)*(PI()*T201^2/4)*((T201/4)^(2/3))*SQRT(P201))</f>
        <v/>
      </c>
      <c r="V201" s="8">
        <f>IF(OR(U201="",N201=""),"",N201/(U201*Inputs!$B$10))</f>
        <v/>
      </c>
      <c r="W201" s="8">
        <f>IF(OR(T201="",N201=""),"",4*N201/(PI()*T201^2))</f>
        <v/>
      </c>
      <c r="X201" s="8" t="n"/>
      <c r="Y201" s="8">
        <f>IF(A201="","",IF(A201=Inputs!$B$6,Inputs!$B$22,IF(D201="","",IFERROR(INDEX($Z$4:$Z$203,MATCH(D201,$A$4:$A$203,0))+IF(X201="",Inputs!$B$20,X201),""))))</f>
        <v/>
      </c>
      <c r="Z201" s="8">
        <f>IF(OR(Y201="",P201="",E201=""),"",Y201+P201*E201)</f>
        <v/>
      </c>
      <c r="AA201" s="8">
        <f>IF(C201="","",IFERROR(INDEX(Noeuds_plan!$C$4:$C$200,MATCH(C201,Noeuds_plan!$A$4:$A$200,0)),""))</f>
        <v/>
      </c>
      <c r="AB201" s="8">
        <f>IF(B201="","",IFERROR(INDEX(Noeuds_plan!$C$4:$C$200,MATCH(B201,Noeuds_plan!$A$4:$A$200,0)),""))</f>
        <v/>
      </c>
      <c r="AC201" s="8">
        <f>IF(OR(AA201="",Y201=""),"",AA201-Y201)</f>
        <v/>
      </c>
      <c r="AD201" s="8">
        <f>IF(OR(AB201="",Z201=""),"",AB201-Z201)</f>
        <v/>
      </c>
      <c r="AE201" s="4">
        <f>IF(A201="","",IF(OR(V201&gt;1,W201&lt;Inputs!$B$11,W201&gt;Inputs!$B$12,AC201&lt;Inputs!$B$19,AD201&lt;Inputs!$B$19,P201&lt;Inputs!$B$7,P201&gt;Inputs!$B$8),"CHECK","OK"))</f>
        <v/>
      </c>
      <c r="AF201" s="4" t="n"/>
      <c r="AG201" s="4">
        <f>IF(A201="","",(1/Inputs!$B$9)*(PI()*(Inputs!$F$5/1000)^2/4)*((Inputs!$F$5/1000/4)^(2/3))*SQRT(P201))</f>
        <v/>
      </c>
      <c r="AH201" s="4">
        <f>IF(A201="","",(1/Inputs!$B$9)*(PI()*(Inputs!$F$6/1000)^2/4)*((Inputs!$F$6/1000/4)^(2/3))*SQRT(P201))</f>
        <v/>
      </c>
      <c r="AI201" s="4">
        <f>IF(A201="","",(1/Inputs!$B$9)*(PI()*(Inputs!$F$7/1000)^2/4)*((Inputs!$F$7/1000/4)^(2/3))*SQRT(P201))</f>
        <v/>
      </c>
      <c r="AJ201" s="4">
        <f>IF(A201="","",(1/Inputs!$B$9)*(PI()*(Inputs!$F$8/1000)^2/4)*((Inputs!$F$8/1000/4)^(2/3))*SQRT(P201))</f>
        <v/>
      </c>
      <c r="AK201" s="4">
        <f>IF(A201="","",(1/Inputs!$B$9)*(PI()*(Inputs!$F$9/1000)^2/4)*((Inputs!$F$9/1000/4)^(2/3))*SQRT(P201))</f>
        <v/>
      </c>
      <c r="AL201" s="4">
        <f>IF(A201="","",(1/Inputs!$B$9)*(PI()*(Inputs!$F$10/1000)^2/4)*((Inputs!$F$10/1000/4)^(2/3))*SQRT(P201))</f>
        <v/>
      </c>
      <c r="AM201" s="4">
        <f>IF(A201="","",(1/Inputs!$B$9)*(PI()*(Inputs!$F$11/1000)^2/4)*((Inputs!$F$11/1000/4)^(2/3))*SQRT(P201))</f>
        <v/>
      </c>
      <c r="AN201" s="4">
        <f>IF(A201="","",(1/Inputs!$B$9)*(PI()*(Inputs!$F$12/1000)^2/4)*((Inputs!$F$12/1000/4)^(2/3))*SQRT(P201))</f>
        <v/>
      </c>
      <c r="AO201" s="4">
        <f>IF(A201="","",(1/Inputs!$B$9)*(PI()*(Inputs!$F$13/1000)^2/4)*((Inputs!$F$13/1000/4)^(2/3))*SQRT(P201))</f>
        <v/>
      </c>
      <c r="AP201" s="4">
        <f>IF(A201="","",(1/Inputs!$B$9)*(PI()*(Inputs!$F$14/1000)^2/4)*((Inputs!$F$14/1000/4)^(2/3))*SQRT(P201))</f>
        <v/>
      </c>
    </row>
    <row r="202">
      <c r="A202" s="4" t="n"/>
      <c r="B202" s="4" t="n"/>
      <c r="C202" s="4" t="n"/>
      <c r="D202" s="4" t="n"/>
      <c r="E202" s="8" t="n"/>
      <c r="F202" s="8" t="n"/>
      <c r="G202" s="8">
        <f>SUMIFS(CB_plan!$C:$C,CB_plan!$B:$B,$A202)</f>
        <v/>
      </c>
      <c r="H202" s="8">
        <f>IF(F202="",G202,F202)</f>
        <v/>
      </c>
      <c r="I202" s="4" t="n"/>
      <c r="J202" s="8" t="n"/>
      <c r="K202" s="8">
        <f>IF(A202="","",Inputs!$B$13/((IF(J202="",Inputs!$B$18,J202)+Inputs!$B$14)^Inputs!$B$15))</f>
        <v/>
      </c>
      <c r="L202" s="8">
        <f>IF(A202="","",0.00278*IF(I202="",Inputs!$B$17,I202)*H202*K202)</f>
        <v/>
      </c>
      <c r="M202" s="8">
        <f>IF(A202="","",SUMIFS($N$4:$N$203,$D$4:$D$203,$A202))</f>
        <v/>
      </c>
      <c r="N202" s="8">
        <f>IF(A202="","",(L202+M202)*Inputs!$B$16)</f>
        <v/>
      </c>
      <c r="O202" s="8" t="n"/>
      <c r="P202" s="8">
        <f>IF(A202="","",IF(O202="",Inputs!$B$7,O202))</f>
        <v/>
      </c>
      <c r="Q202" s="4">
        <f>IF(A202="","",IF(N202/Inputs!$B$10&lt;=AG202,Inputs!$F$5,IF(N202/Inputs!$B$10&gt;AP202,"OVERSIZE",INDEX(Inputs!$F$5:$F$14,MATCH(N202/Inputs!$B$10,AG202:AP202,1)+1))))</f>
        <v/>
      </c>
      <c r="R202" s="4" t="n"/>
      <c r="S202" s="4">
        <f>IF(A202="","",IF(R202="",Q202,R202))</f>
        <v/>
      </c>
      <c r="T202" s="8">
        <f>IF(OR(S202="",S202="OVERSIZE"),"",S202/1000)</f>
        <v/>
      </c>
      <c r="U202" s="8">
        <f>IF(T202="","",(1/Inputs!$B$9)*(PI()*T202^2/4)*((T202/4)^(2/3))*SQRT(P202))</f>
        <v/>
      </c>
      <c r="V202" s="8">
        <f>IF(OR(U202="",N202=""),"",N202/(U202*Inputs!$B$10))</f>
        <v/>
      </c>
      <c r="W202" s="8">
        <f>IF(OR(T202="",N202=""),"",4*N202/(PI()*T202^2))</f>
        <v/>
      </c>
      <c r="X202" s="8" t="n"/>
      <c r="Y202" s="8">
        <f>IF(A202="","",IF(A202=Inputs!$B$6,Inputs!$B$22,IF(D202="","",IFERROR(INDEX($Z$4:$Z$203,MATCH(D202,$A$4:$A$203,0))+IF(X202="",Inputs!$B$20,X202),""))))</f>
        <v/>
      </c>
      <c r="Z202" s="8">
        <f>IF(OR(Y202="",P202="",E202=""),"",Y202+P202*E202)</f>
        <v/>
      </c>
      <c r="AA202" s="8">
        <f>IF(C202="","",IFERROR(INDEX(Noeuds_plan!$C$4:$C$200,MATCH(C202,Noeuds_plan!$A$4:$A$200,0)),""))</f>
        <v/>
      </c>
      <c r="AB202" s="8">
        <f>IF(B202="","",IFERROR(INDEX(Noeuds_plan!$C$4:$C$200,MATCH(B202,Noeuds_plan!$A$4:$A$200,0)),""))</f>
        <v/>
      </c>
      <c r="AC202" s="8">
        <f>IF(OR(AA202="",Y202=""),"",AA202-Y202)</f>
        <v/>
      </c>
      <c r="AD202" s="8">
        <f>IF(OR(AB202="",Z202=""),"",AB202-Z202)</f>
        <v/>
      </c>
      <c r="AE202" s="4">
        <f>IF(A202="","",IF(OR(V202&gt;1,W202&lt;Inputs!$B$11,W202&gt;Inputs!$B$12,AC202&lt;Inputs!$B$19,AD202&lt;Inputs!$B$19,P202&lt;Inputs!$B$7,P202&gt;Inputs!$B$8),"CHECK","OK"))</f>
        <v/>
      </c>
      <c r="AF202" s="4" t="n"/>
      <c r="AG202" s="4">
        <f>IF(A202="","",(1/Inputs!$B$9)*(PI()*(Inputs!$F$5/1000)^2/4)*((Inputs!$F$5/1000/4)^(2/3))*SQRT(P202))</f>
        <v/>
      </c>
      <c r="AH202" s="4">
        <f>IF(A202="","",(1/Inputs!$B$9)*(PI()*(Inputs!$F$6/1000)^2/4)*((Inputs!$F$6/1000/4)^(2/3))*SQRT(P202))</f>
        <v/>
      </c>
      <c r="AI202" s="4">
        <f>IF(A202="","",(1/Inputs!$B$9)*(PI()*(Inputs!$F$7/1000)^2/4)*((Inputs!$F$7/1000/4)^(2/3))*SQRT(P202))</f>
        <v/>
      </c>
      <c r="AJ202" s="4">
        <f>IF(A202="","",(1/Inputs!$B$9)*(PI()*(Inputs!$F$8/1000)^2/4)*((Inputs!$F$8/1000/4)^(2/3))*SQRT(P202))</f>
        <v/>
      </c>
      <c r="AK202" s="4">
        <f>IF(A202="","",(1/Inputs!$B$9)*(PI()*(Inputs!$F$9/1000)^2/4)*((Inputs!$F$9/1000/4)^(2/3))*SQRT(P202))</f>
        <v/>
      </c>
      <c r="AL202" s="4">
        <f>IF(A202="","",(1/Inputs!$B$9)*(PI()*(Inputs!$F$10/1000)^2/4)*((Inputs!$F$10/1000/4)^(2/3))*SQRT(P202))</f>
        <v/>
      </c>
      <c r="AM202" s="4">
        <f>IF(A202="","",(1/Inputs!$B$9)*(PI()*(Inputs!$F$11/1000)^2/4)*((Inputs!$F$11/1000/4)^(2/3))*SQRT(P202))</f>
        <v/>
      </c>
      <c r="AN202" s="4">
        <f>IF(A202="","",(1/Inputs!$B$9)*(PI()*(Inputs!$F$12/1000)^2/4)*((Inputs!$F$12/1000/4)^(2/3))*SQRT(P202))</f>
        <v/>
      </c>
      <c r="AO202" s="4">
        <f>IF(A202="","",(1/Inputs!$B$9)*(PI()*(Inputs!$F$13/1000)^2/4)*((Inputs!$F$13/1000/4)^(2/3))*SQRT(P202))</f>
        <v/>
      </c>
      <c r="AP202" s="4">
        <f>IF(A202="","",(1/Inputs!$B$9)*(PI()*(Inputs!$F$14/1000)^2/4)*((Inputs!$F$14/1000/4)^(2/3))*SQRT(P202))</f>
        <v/>
      </c>
    </row>
    <row r="203">
      <c r="A203" s="4" t="n"/>
      <c r="B203" s="4" t="n"/>
      <c r="C203" s="4" t="n"/>
      <c r="D203" s="4" t="n"/>
      <c r="E203" s="8" t="n"/>
      <c r="F203" s="8" t="n"/>
      <c r="G203" s="8">
        <f>SUMIFS(CB_plan!$C:$C,CB_plan!$B:$B,$A203)</f>
        <v/>
      </c>
      <c r="H203" s="8">
        <f>IF(F203="",G203,F203)</f>
        <v/>
      </c>
      <c r="I203" s="4" t="n"/>
      <c r="J203" s="8" t="n"/>
      <c r="K203" s="8">
        <f>IF(A203="","",Inputs!$B$13/((IF(J203="",Inputs!$B$18,J203)+Inputs!$B$14)^Inputs!$B$15))</f>
        <v/>
      </c>
      <c r="L203" s="8">
        <f>IF(A203="","",0.00278*IF(I203="",Inputs!$B$17,I203)*H203*K203)</f>
        <v/>
      </c>
      <c r="M203" s="8">
        <f>IF(A203="","",SUMIFS($N$4:$N$203,$D$4:$D$203,$A203))</f>
        <v/>
      </c>
      <c r="N203" s="8">
        <f>IF(A203="","",(L203+M203)*Inputs!$B$16)</f>
        <v/>
      </c>
      <c r="O203" s="8" t="n"/>
      <c r="P203" s="8">
        <f>IF(A203="","",IF(O203="",Inputs!$B$7,O203))</f>
        <v/>
      </c>
      <c r="Q203" s="4">
        <f>IF(A203="","",IF(N203/Inputs!$B$10&lt;=AG203,Inputs!$F$5,IF(N203/Inputs!$B$10&gt;AP203,"OVERSIZE",INDEX(Inputs!$F$5:$F$14,MATCH(N203/Inputs!$B$10,AG203:AP203,1)+1))))</f>
        <v/>
      </c>
      <c r="R203" s="4" t="n"/>
      <c r="S203" s="4">
        <f>IF(A203="","",IF(R203="",Q203,R203))</f>
        <v/>
      </c>
      <c r="T203" s="8">
        <f>IF(OR(S203="",S203="OVERSIZE"),"",S203/1000)</f>
        <v/>
      </c>
      <c r="U203" s="8">
        <f>IF(T203="","",(1/Inputs!$B$9)*(PI()*T203^2/4)*((T203/4)^(2/3))*SQRT(P203))</f>
        <v/>
      </c>
      <c r="V203" s="8">
        <f>IF(OR(U203="",N203=""),"",N203/(U203*Inputs!$B$10))</f>
        <v/>
      </c>
      <c r="W203" s="8">
        <f>IF(OR(T203="",N203=""),"",4*N203/(PI()*T203^2))</f>
        <v/>
      </c>
      <c r="X203" s="8" t="n"/>
      <c r="Y203" s="8">
        <f>IF(A203="","",IF(A203=Inputs!$B$6,Inputs!$B$22,IF(D203="","",IFERROR(INDEX($Z$4:$Z$203,MATCH(D203,$A$4:$A$203,0))+IF(X203="",Inputs!$B$20,X203),""))))</f>
        <v/>
      </c>
      <c r="Z203" s="8">
        <f>IF(OR(Y203="",P203="",E203=""),"",Y203+P203*E203)</f>
        <v/>
      </c>
      <c r="AA203" s="8">
        <f>IF(C203="","",IFERROR(INDEX(Noeuds_plan!$C$4:$C$200,MATCH(C203,Noeuds_plan!$A$4:$A$200,0)),""))</f>
        <v/>
      </c>
      <c r="AB203" s="8">
        <f>IF(B203="","",IFERROR(INDEX(Noeuds_plan!$C$4:$C$200,MATCH(B203,Noeuds_plan!$A$4:$A$200,0)),""))</f>
        <v/>
      </c>
      <c r="AC203" s="8">
        <f>IF(OR(AA203="",Y203=""),"",AA203-Y203)</f>
        <v/>
      </c>
      <c r="AD203" s="8">
        <f>IF(OR(AB203="",Z203=""),"",AB203-Z203)</f>
        <v/>
      </c>
      <c r="AE203" s="4">
        <f>IF(A203="","",IF(OR(V203&gt;1,W203&lt;Inputs!$B$11,W203&gt;Inputs!$B$12,AC203&lt;Inputs!$B$19,AD203&lt;Inputs!$B$19,P203&lt;Inputs!$B$7,P203&gt;Inputs!$B$8),"CHECK","OK"))</f>
        <v/>
      </c>
      <c r="AF203" s="4" t="n"/>
      <c r="AG203" s="4">
        <f>IF(A203="","",(1/Inputs!$B$9)*(PI()*(Inputs!$F$5/1000)^2/4)*((Inputs!$F$5/1000/4)^(2/3))*SQRT(P203))</f>
        <v/>
      </c>
      <c r="AH203" s="4">
        <f>IF(A203="","",(1/Inputs!$B$9)*(PI()*(Inputs!$F$6/1000)^2/4)*((Inputs!$F$6/1000/4)^(2/3))*SQRT(P203))</f>
        <v/>
      </c>
      <c r="AI203" s="4">
        <f>IF(A203="","",(1/Inputs!$B$9)*(PI()*(Inputs!$F$7/1000)^2/4)*((Inputs!$F$7/1000/4)^(2/3))*SQRT(P203))</f>
        <v/>
      </c>
      <c r="AJ203" s="4">
        <f>IF(A203="","",(1/Inputs!$B$9)*(PI()*(Inputs!$F$8/1000)^2/4)*((Inputs!$F$8/1000/4)^(2/3))*SQRT(P203))</f>
        <v/>
      </c>
      <c r="AK203" s="4">
        <f>IF(A203="","",(1/Inputs!$B$9)*(PI()*(Inputs!$F$9/1000)^2/4)*((Inputs!$F$9/1000/4)^(2/3))*SQRT(P203))</f>
        <v/>
      </c>
      <c r="AL203" s="4">
        <f>IF(A203="","",(1/Inputs!$B$9)*(PI()*(Inputs!$F$10/1000)^2/4)*((Inputs!$F$10/1000/4)^(2/3))*SQRT(P203))</f>
        <v/>
      </c>
      <c r="AM203" s="4">
        <f>IF(A203="","",(1/Inputs!$B$9)*(PI()*(Inputs!$F$11/1000)^2/4)*((Inputs!$F$11/1000/4)^(2/3))*SQRT(P203))</f>
        <v/>
      </c>
      <c r="AN203" s="4">
        <f>IF(A203="","",(1/Inputs!$B$9)*(PI()*(Inputs!$F$12/1000)^2/4)*((Inputs!$F$12/1000/4)^(2/3))*SQRT(P203))</f>
        <v/>
      </c>
      <c r="AO203" s="4">
        <f>IF(A203="","",(1/Inputs!$B$9)*(PI()*(Inputs!$F$13/1000)^2/4)*((Inputs!$F$13/1000/4)^(2/3))*SQRT(P203))</f>
        <v/>
      </c>
      <c r="AP203" s="4">
        <f>IF(A203="","",(1/Inputs!$B$9)*(PI()*(Inputs!$F$14/1000)^2/4)*((Inputs!$F$14/1000/4)^(2/3))*SQRT(P203))</f>
        <v/>
      </c>
    </row>
  </sheetData>
  <mergeCells count="1">
    <mergeCell ref="A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2026-06-26T08:18:13Z</dcterms:created>
  <dcterms:modified xsi:type="dcterms:W3CDTF">2026-06-26T08:50:29Z</dcterms:modified>
</cp:coreProperties>
</file>