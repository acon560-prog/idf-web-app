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wrapText="1"/>
    </xf>
    <xf numFmtId="0" fontId="2" fillId="6" borderId="1" applyAlignment="1" pivotButton="0" quotePrefix="0" xfId="0">
      <alignment horizontal="center" wrapText="1"/>
    </xf>
    <xf numFmtId="0" fontId="2" fillId="7" borderId="1" applyAlignment="1" pivotButton="0" quotePrefix="0" xfId="0">
      <alignment horizontal="center" wrapText="1"/>
    </xf>
    <xf numFmtId="0" fontId="2" fillId="5" borderId="1" applyAlignment="1" pivotButton="0" quotePrefix="0" xfId="0">
      <alignment horizontal="center" wrapText="1"/>
    </xf>
    <xf numFmtId="0" fontId="2" fillId="8" borderId="1" applyAlignment="1" pivotButton="0" quotePrefix="0" xfId="0">
      <alignment horizontal="center" wrapText="1"/>
    </xf>
    <xf numFmtId="164" fontId="0" fillId="6" borderId="1" pivotButton="0" quotePrefix="0" xfId="0"/>
    <xf numFmtId="164" fontId="0" fillId="7" borderId="1" pivotButton="0" quotePrefix="0" xfId="0"/>
    <xf numFmtId="164" fontId="0" fillId="8" borderId="1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three velocities are now calculated in conduites tabs.</t>
        </is>
      </c>
    </row>
    <row r="41">
      <c r="A41" t="inlineStr">
        <is>
          <t>Design: V=Q/A; Manning full: V=(1/n)*(R^(2/3))*sqrt(S); Partial: iterative Manning free-surface depth.</t>
        </is>
      </c>
    </row>
    <row r="42">
      <c r="A42" t="inlineStr">
        <is>
          <t>Select criterion with Inputs!B24: DESIGN, MANNING, PARTIAL, or MAX (conservative).</t>
        </is>
      </c>
    </row>
    <row r="43">
      <c r="A43" t="inlineStr">
        <is>
          <t>New area typing: CB_plan and CB_Tributaires now use B-E for Roof/Pavement/Grass/Other areas.</t>
        </is>
      </c>
    </row>
    <row r="44">
      <c r="A44" t="inlineStr">
        <is>
          <t>Runoff accumulation uses weighted C from surface types and auto-aggregates total/effective area by pipe.</t>
        </is>
      </c>
    </row>
    <row r="45">
      <c r="A45" t="inlineStr">
        <is>
          <t>Clarity update: dominant surface + input status columns added in CB_plan and CB_Tributaires.</t>
        </is>
      </c>
    </row>
    <row r="46">
      <c r="A46" t="inlineStr">
        <is>
          <t>Status turns red when B/C/D/E split is missing or inconsistent (negative/zero/invalid).</t>
        </is>
      </c>
    </row>
    <row r="47">
      <c r="A47" t="inlineStr">
        <is>
          <t>Prefill added in CB_plan for zones A..O: initial best-guess split roof/pavement/grass/other.</t>
        </is>
      </c>
    </row>
    <row r="48">
      <c r="A48" t="inlineStr">
        <is>
          <t>These are starting assumptions only; verify and adjust with site details before final sizing.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PARTIAL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PARTIAL=iterative Manning partial depth; MAX=most conservative.</t>
        </is>
      </c>
    </row>
    <row r="25">
      <c r="A25" s="4" t="inlineStr">
        <is>
          <t>C_roof_default</t>
        </is>
      </c>
      <c r="B25" s="5" t="n">
        <v>0.95</v>
      </c>
      <c r="C25" s="4" t="inlineStr">
        <is>
          <t>-</t>
        </is>
      </c>
      <c r="D25" s="4" t="inlineStr">
        <is>
          <t>Typical impervious roof runoff coefficient.</t>
        </is>
      </c>
    </row>
    <row r="26">
      <c r="A26" s="4" t="inlineStr">
        <is>
          <t>C_pavement_default</t>
        </is>
      </c>
      <c r="B26" s="5" t="n">
        <v>0.9</v>
      </c>
      <c r="C26" s="4" t="inlineStr">
        <is>
          <t>-</t>
        </is>
      </c>
      <c r="D26" s="4" t="inlineStr">
        <is>
          <t>Typical impervious pavement/asphalt coefficient.</t>
        </is>
      </c>
    </row>
    <row r="27">
      <c r="A27" s="4" t="inlineStr">
        <is>
          <t>C_grass_default</t>
        </is>
      </c>
      <c r="B27" s="5" t="n">
        <v>0.25</v>
      </c>
      <c r="C27" s="4" t="inlineStr">
        <is>
          <t>-</t>
        </is>
      </c>
      <c r="D27" s="4" t="inlineStr">
        <is>
          <t>Typical pervious grass/landscaped coefficient.</t>
        </is>
      </c>
    </row>
    <row r="28">
      <c r="A28" s="4" t="inlineStr">
        <is>
          <t>C_other_default</t>
        </is>
      </c>
      <c r="B28" s="5" t="n">
        <v>0.6</v>
      </c>
      <c r="C28" s="4" t="inlineStr">
        <is>
          <t>-</t>
        </is>
      </c>
      <c r="D28" s="4" t="inlineStr">
        <is>
          <t>Other surface coefficient (user-adjustable).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6" customWidth="1" min="8" max="8"/>
    <col width="13" customWidth="1" min="9" max="9"/>
    <col width="34" customWidth="1" min="10" max="10"/>
    <col width="14" customWidth="1" min="11" max="11"/>
    <col width="18" customWidth="1" min="12" max="12"/>
  </cols>
  <sheetData>
    <row r="1">
      <c r="A1" s="1" t="inlineStr">
        <is>
          <t>CATCH BASIN / TRIBUTARY AREAS BY SURFACE TYPE (B/C/D/E) - EXPLICIT SPLIT</t>
        </is>
      </c>
    </row>
    <row r="2">
      <c r="A2" s="6" t="inlineStr">
        <is>
          <t>Enter areas in B/C/D/E: roof, pavement, grass, other. Pipe receiver is in F.</t>
        </is>
      </c>
    </row>
    <row r="3">
      <c r="A3" s="23" t="inlineStr">
        <is>
          <t>CB_ID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Notes</t>
        </is>
      </c>
      <c r="K3" s="23" t="inlineStr">
        <is>
          <t>Dominant_surface</t>
        </is>
      </c>
      <c r="L3" s="23" t="inlineStr">
        <is>
          <t>Surface_input_status</t>
        </is>
      </c>
    </row>
    <row r="4">
      <c r="A4" s="4" t="n"/>
      <c r="B4" s="28" t="n"/>
      <c r="C4" s="29" t="n"/>
      <c r="D4" s="7" t="n"/>
      <c r="E4" s="30" t="n"/>
      <c r="F4" s="4" t="n"/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n"/>
      <c r="K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L4" s="4">
        <f>IF(A4="","",IF(COUNT(B4:E4)=0,"MISSING_SPLIT",IF(MIN(B4:E4)&lt;0,"INVALID_NEGATIVE",IF(SUM(B4:E4)=0,"ZERO_TOTAL",IF(I4="","NO_WEIGHTED_C","OK")))))</f>
        <v/>
      </c>
    </row>
    <row r="5">
      <c r="A5" s="4" t="n"/>
      <c r="B5" s="28" t="n"/>
      <c r="C5" s="29" t="n"/>
      <c r="D5" s="7" t="n"/>
      <c r="E5" s="30" t="n"/>
      <c r="F5" s="4" t="n"/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n"/>
      <c r="K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L5" s="4">
        <f>IF(A5="","",IF(COUNT(B5:E5)=0,"MISSING_SPLIT",IF(MIN(B5:E5)&lt;0,"INVALID_NEGATIVE",IF(SUM(B5:E5)=0,"ZERO_TOTAL",IF(I5="","NO_WEIGHTED_C","OK")))))</f>
        <v/>
      </c>
    </row>
    <row r="6">
      <c r="A6" s="4" t="n"/>
      <c r="B6" s="28" t="n"/>
      <c r="C6" s="29" t="n"/>
      <c r="D6" s="7" t="n"/>
      <c r="E6" s="30" t="n"/>
      <c r="F6" s="4" t="n"/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n"/>
      <c r="K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L6" s="4">
        <f>IF(A6="","",IF(COUNT(B6:E6)=0,"MISSING_SPLIT",IF(MIN(B6:E6)&lt;0,"INVALID_NEGATIVE",IF(SUM(B6:E6)=0,"ZERO_TOTAL",IF(I6="","NO_WEIGHTED_C","OK")))))</f>
        <v/>
      </c>
    </row>
    <row r="7">
      <c r="A7" s="4" t="n"/>
      <c r="B7" s="28" t="n"/>
      <c r="C7" s="29" t="n"/>
      <c r="D7" s="7" t="n"/>
      <c r="E7" s="30" t="n"/>
      <c r="F7" s="4" t="n"/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n"/>
      <c r="K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L7" s="4">
        <f>IF(A7="","",IF(COUNT(B7:E7)=0,"MISSING_SPLIT",IF(MIN(B7:E7)&lt;0,"INVALID_NEGATIVE",IF(SUM(B7:E7)=0,"ZERO_TOTAL",IF(I7="","NO_WEIGHTED_C","OK")))))</f>
        <v/>
      </c>
    </row>
    <row r="8">
      <c r="A8" s="4" t="n"/>
      <c r="B8" s="28" t="n"/>
      <c r="C8" s="29" t="n"/>
      <c r="D8" s="7" t="n"/>
      <c r="E8" s="30" t="n"/>
      <c r="F8" s="4" t="n"/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n"/>
      <c r="K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L8" s="4">
        <f>IF(A8="","",IF(COUNT(B8:E8)=0,"MISSING_SPLIT",IF(MIN(B8:E8)&lt;0,"INVALID_NEGATIVE",IF(SUM(B8:E8)=0,"ZERO_TOTAL",IF(I8="","NO_WEIGHTED_C","OK")))))</f>
        <v/>
      </c>
    </row>
    <row r="9">
      <c r="A9" s="4" t="n"/>
      <c r="B9" s="28" t="n"/>
      <c r="C9" s="29" t="n"/>
      <c r="D9" s="7" t="n"/>
      <c r="E9" s="30" t="n"/>
      <c r="F9" s="4" t="n"/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n"/>
      <c r="K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L9" s="4">
        <f>IF(A9="","",IF(COUNT(B9:E9)=0,"MISSING_SPLIT",IF(MIN(B9:E9)&lt;0,"INVALID_NEGATIVE",IF(SUM(B9:E9)=0,"ZERO_TOTAL",IF(I9="","NO_WEIGHTED_C","OK")))))</f>
        <v/>
      </c>
    </row>
    <row r="10">
      <c r="A10" s="4" t="n"/>
      <c r="B10" s="28" t="n"/>
      <c r="C10" s="29" t="n"/>
      <c r="D10" s="7" t="n"/>
      <c r="E10" s="30" t="n"/>
      <c r="F10" s="4" t="n"/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n"/>
      <c r="K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L10" s="4">
        <f>IF(A10="","",IF(COUNT(B10:E10)=0,"MISSING_SPLIT",IF(MIN(B10:E10)&lt;0,"INVALID_NEGATIVE",IF(SUM(B10:E10)=0,"ZERO_TOTAL",IF(I10="","NO_WEIGHTED_C","OK")))))</f>
        <v/>
      </c>
    </row>
    <row r="11">
      <c r="A11" s="4" t="n"/>
      <c r="B11" s="28" t="n"/>
      <c r="C11" s="29" t="n"/>
      <c r="D11" s="7" t="n"/>
      <c r="E11" s="30" t="n"/>
      <c r="F11" s="4" t="n"/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n"/>
      <c r="K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L11" s="4">
        <f>IF(A11="","",IF(COUNT(B11:E11)=0,"MISSING_SPLIT",IF(MIN(B11:E11)&lt;0,"INVALID_NEGATIVE",IF(SUM(B11:E11)=0,"ZERO_TOTAL",IF(I11="","NO_WEIGHTED_C","OK")))))</f>
        <v/>
      </c>
    </row>
    <row r="12">
      <c r="A12" s="4" t="n"/>
      <c r="B12" s="28" t="n"/>
      <c r="C12" s="29" t="n"/>
      <c r="D12" s="7" t="n"/>
      <c r="E12" s="30" t="n"/>
      <c r="F12" s="4" t="n"/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n"/>
      <c r="K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L12" s="4">
        <f>IF(A12="","",IF(COUNT(B12:E12)=0,"MISSING_SPLIT",IF(MIN(B12:E12)&lt;0,"INVALID_NEGATIVE",IF(SUM(B12:E12)=0,"ZERO_TOTAL",IF(I12="","NO_WEIGHTED_C","OK")))))</f>
        <v/>
      </c>
    </row>
    <row r="13">
      <c r="A13" s="4" t="n"/>
      <c r="B13" s="28" t="n"/>
      <c r="C13" s="29" t="n"/>
      <c r="D13" s="7" t="n"/>
      <c r="E13" s="30" t="n"/>
      <c r="F13" s="4" t="n"/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n"/>
      <c r="K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L13" s="4">
        <f>IF(A13="","",IF(COUNT(B13:E13)=0,"MISSING_SPLIT",IF(MIN(B13:E13)&lt;0,"INVALID_NEGATIVE",IF(SUM(B13:E13)=0,"ZERO_TOTAL",IF(I13="","NO_WEIGHTED_C","OK")))))</f>
        <v/>
      </c>
    </row>
    <row r="14">
      <c r="A14" s="4" t="n"/>
      <c r="B14" s="28" t="n"/>
      <c r="C14" s="29" t="n"/>
      <c r="D14" s="7" t="n"/>
      <c r="E14" s="30" t="n"/>
      <c r="F14" s="4" t="n"/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n"/>
      <c r="K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L14" s="4">
        <f>IF(A14="","",IF(COUNT(B14:E14)=0,"MISSING_SPLIT",IF(MIN(B14:E14)&lt;0,"INVALID_NEGATIVE",IF(SUM(B14:E14)=0,"ZERO_TOTAL",IF(I14="","NO_WEIGHTED_C","OK")))))</f>
        <v/>
      </c>
    </row>
    <row r="15">
      <c r="A15" s="4" t="n"/>
      <c r="B15" s="28" t="n"/>
      <c r="C15" s="29" t="n"/>
      <c r="D15" s="7" t="n"/>
      <c r="E15" s="30" t="n"/>
      <c r="F15" s="4" t="n"/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n"/>
      <c r="K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L15" s="4">
        <f>IF(A15="","",IF(COUNT(B15:E15)=0,"MISSING_SPLIT",IF(MIN(B15:E15)&lt;0,"INVALID_NEGATIVE",IF(SUM(B15:E15)=0,"ZERO_TOTAL",IF(I15="","NO_WEIGHTED_C","OK")))))</f>
        <v/>
      </c>
    </row>
    <row r="16">
      <c r="A16" s="4" t="n"/>
      <c r="B16" s="28" t="n"/>
      <c r="C16" s="29" t="n"/>
      <c r="D16" s="7" t="n"/>
      <c r="E16" s="30" t="n"/>
      <c r="F16" s="4" t="n"/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n"/>
      <c r="K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L16" s="4">
        <f>IF(A16="","",IF(COUNT(B16:E16)=0,"MISSING_SPLIT",IF(MIN(B16:E16)&lt;0,"INVALID_NEGATIVE",IF(SUM(B16:E16)=0,"ZERO_TOTAL",IF(I16="","NO_WEIGHTED_C","OK")))))</f>
        <v/>
      </c>
    </row>
    <row r="17">
      <c r="A17" s="4" t="n"/>
      <c r="B17" s="28" t="n"/>
      <c r="C17" s="29" t="n"/>
      <c r="D17" s="7" t="n"/>
      <c r="E17" s="30" t="n"/>
      <c r="F17" s="4" t="n"/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n"/>
      <c r="K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L17" s="4">
        <f>IF(A17="","",IF(COUNT(B17:E17)=0,"MISSING_SPLIT",IF(MIN(B17:E17)&lt;0,"INVALID_NEGATIVE",IF(SUM(B17:E17)=0,"ZERO_TOTAL",IF(I17="","NO_WEIGHTED_C","OK")))))</f>
        <v/>
      </c>
    </row>
    <row r="18">
      <c r="A18" s="4" t="n"/>
      <c r="B18" s="28" t="n"/>
      <c r="C18" s="29" t="n"/>
      <c r="D18" s="7" t="n"/>
      <c r="E18" s="30" t="n"/>
      <c r="F18" s="4" t="n"/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n"/>
      <c r="K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L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L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L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L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L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L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L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L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L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L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L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L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L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L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L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L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L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L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L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L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L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L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L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L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L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L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L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L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L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L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L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L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L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L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L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L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L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L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L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L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L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L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L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L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L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L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L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L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L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L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L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L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L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L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L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L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L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L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L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L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L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L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L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L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L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L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L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L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L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L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L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L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L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L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L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L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L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L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L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L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L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L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L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L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L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L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L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L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L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L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L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L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L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L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L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L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L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L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L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L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L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L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L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L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L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L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L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L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L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L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L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L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L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L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L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L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L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L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L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L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L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L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L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L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L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L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L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L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L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L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L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L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L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L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L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L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L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L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L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L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L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L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L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L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L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L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L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L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L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L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L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L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L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L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L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L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L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L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L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L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L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L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L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L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L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L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L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L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L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L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L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L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L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L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L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L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L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L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L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L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L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L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L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L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L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L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L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J1"/>
    <mergeCell ref="A2:L2"/>
    <mergeCell ref="A1:L1"/>
  </mergeCells>
  <conditionalFormatting sqref="L4:L204">
    <cfRule type="expression" priority="1" dxfId="0">
      <formula>=AND($L4&lt;&gt;"",$L4&lt;&gt;"OK")</formula>
    </cfRule>
  </conditionalFormatting>
  <conditionalFormatting sqref="K4:K204">
    <cfRule type="expression" priority="2" dxfId="0">
      <formula>=OR($K4="MISSING",$K4="INVALID_NEG",$K4="ZERO_TOTAL")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  <col width="14" customWidth="1" min="49" max="49"/>
    <col width="18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  <c r="AW3" s="12" t="inlineStr">
        <is>
          <t>Depth_partial_iter_m</t>
        </is>
      </c>
      <c r="AX3" s="12" t="inlineStr">
        <is>
          <t>Velocity_partial_iter_mps</t>
        </is>
      </c>
      <c r="AY3" s="3" t="inlineStr">
        <is>
          <t>Q_target_partial_m3s</t>
        </is>
      </c>
      <c r="AZ3" s="3" t="inlineStr">
        <is>
          <t>Q_cap_open_0p94D_m3s</t>
        </is>
      </c>
      <c r="BA3" s="3" t="inlineStr">
        <is>
          <t>low0</t>
        </is>
      </c>
      <c r="BB3" s="3" t="inlineStr">
        <is>
          <t>high0</t>
        </is>
      </c>
      <c r="BC3" s="3" t="inlineStr">
        <is>
          <t>mid1</t>
        </is>
      </c>
      <c r="BD3" s="3" t="inlineStr">
        <is>
          <t>q1</t>
        </is>
      </c>
      <c r="BE3" s="3" t="inlineStr">
        <is>
          <t>low1</t>
        </is>
      </c>
      <c r="BF3" s="3" t="inlineStr">
        <is>
          <t>high1</t>
        </is>
      </c>
      <c r="BG3" s="3" t="inlineStr">
        <is>
          <t>mid2</t>
        </is>
      </c>
      <c r="BH3" s="3" t="inlineStr">
        <is>
          <t>q2</t>
        </is>
      </c>
      <c r="BI3" s="3" t="inlineStr">
        <is>
          <t>low2</t>
        </is>
      </c>
      <c r="BJ3" s="3" t="inlineStr">
        <is>
          <t>high2</t>
        </is>
      </c>
      <c r="BK3" s="3" t="inlineStr">
        <is>
          <t>mid3</t>
        </is>
      </c>
      <c r="BL3" s="3" t="inlineStr">
        <is>
          <t>q3</t>
        </is>
      </c>
      <c r="BM3" s="3" t="inlineStr">
        <is>
          <t>low3</t>
        </is>
      </c>
      <c r="BN3" s="3" t="inlineStr">
        <is>
          <t>high3</t>
        </is>
      </c>
      <c r="BO3" s="3" t="inlineStr">
        <is>
          <t>mid4</t>
        </is>
      </c>
      <c r="BP3" s="3" t="inlineStr">
        <is>
          <t>q4</t>
        </is>
      </c>
      <c r="BQ3" s="3" t="inlineStr">
        <is>
          <t>low4</t>
        </is>
      </c>
      <c r="BR3" s="3" t="inlineStr">
        <is>
          <t>high4</t>
        </is>
      </c>
      <c r="BS3" s="3" t="inlineStr">
        <is>
          <t>mid5</t>
        </is>
      </c>
      <c r="BT3" s="3" t="inlineStr">
        <is>
          <t>q5</t>
        </is>
      </c>
      <c r="BU3" s="3" t="inlineStr">
        <is>
          <t>low5</t>
        </is>
      </c>
      <c r="BV3" s="3" t="inlineStr">
        <is>
          <t>high5</t>
        </is>
      </c>
      <c r="BW3" s="3" t="inlineStr">
        <is>
          <t>mid6</t>
        </is>
      </c>
      <c r="BX3" s="3" t="inlineStr">
        <is>
          <t>q6</t>
        </is>
      </c>
      <c r="BY3" s="3" t="inlineStr">
        <is>
          <t>low6</t>
        </is>
      </c>
      <c r="BZ3" s="3" t="inlineStr">
        <is>
          <t>high6</t>
        </is>
      </c>
      <c r="CA3" s="3" t="inlineStr">
        <is>
          <t>mid7</t>
        </is>
      </c>
      <c r="CB3" s="3" t="inlineStr">
        <is>
          <t>q7</t>
        </is>
      </c>
      <c r="CC3" s="3" t="inlineStr">
        <is>
          <t>low7</t>
        </is>
      </c>
      <c r="CD3" s="3" t="inlineStr">
        <is>
          <t>high7</t>
        </is>
      </c>
      <c r="CE3" s="3" t="inlineStr">
        <is>
          <t>mid8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SUMIFS(CB_Tributaires!$G:$G,CB_Tributaires!$F:$F,$A4)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IF(A4="","",IF(F4="","",2.78E-7*IF(G4&lt;&gt;"",G4,IFERROR(SUMIFS(CB_Tributaires!$H:$H,CB_Tributaires!$F:$F,$A4)/SUMIFS(CB_Tributaires!$G:$G,CB_Tributaires!$F:$F,$A4),Inputs!$B$17))*F4*I4))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/>
      </c>
      <c r="AW4" s="7">
        <f>IF(AY4="","",CE4)</f>
        <v/>
      </c>
      <c r="AX4" s="7">
        <f>IF(OR(AY4="",AW4="",R4="",R4&lt;=0,AW4&lt;=0),"",AY4/((R4^2/8)*(2*ACOS(1-2*AW4/R4)-SIN(2*ACOS(1-2*AW4/R4)))))</f>
        <v/>
      </c>
      <c r="AY4" s="4">
        <f>IF(OR(L4="",AZ4=""),"",MIN(L4,AZ4))</f>
        <v/>
      </c>
      <c r="AZ4" s="4">
        <f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/>
      </c>
      <c r="BA4" s="4">
        <f>IF(AY4="","",0.001*R4)</f>
        <v/>
      </c>
      <c r="BB4" s="4">
        <f>IF(AY4="","",0.94*R4)</f>
        <v/>
      </c>
      <c r="BC4" s="4">
        <f>IF(AY4="","",(BA4+BB4)/2)</f>
        <v/>
      </c>
      <c r="BD4" s="4">
        <f>IF(OR(R4="",N4="",BC4="",R4&lt;=0,BC4&lt;=0),"",(1/Inputs!$B$9)*((R4^2/8)*((2*ACOS(1-2*BC4/R4))-SIN((2*ACOS(1-2*BC4/R4)))))*((((R4^2/8)*((2*ACOS(1-2*BC4/R4))-SIN((2*ACOS(1-2*BC4/R4)))))/((R4/2)*((2*ACOS(1-2*BC4/R4)))))^(2/3))*SQRT(N4))</f>
        <v/>
      </c>
      <c r="BE4" s="4">
        <f>IF(AY4="","",IF(BD4&lt;AY4,BC4,BA4))</f>
        <v/>
      </c>
      <c r="BF4" s="4">
        <f>IF(AY4="","",IF(BD4&lt;AY4,BB4,BC4))</f>
        <v/>
      </c>
      <c r="BG4" s="4">
        <f>IF(AY4="","",(BE4+BF4)/2)</f>
        <v/>
      </c>
      <c r="BH4" s="4">
        <f>IF(OR(R4="",N4="",BG4="",R4&lt;=0,BG4&lt;=0),"",(1/Inputs!$B$9)*((R4^2/8)*((2*ACOS(1-2*BG4/R4))-SIN((2*ACOS(1-2*BG4/R4)))))*((((R4^2/8)*((2*ACOS(1-2*BG4/R4))-SIN((2*ACOS(1-2*BG4/R4)))))/((R4/2)*((2*ACOS(1-2*BG4/R4)))))^(2/3))*SQRT(N4))</f>
        <v/>
      </c>
      <c r="BI4" s="4">
        <f>IF(AY4="","",IF(BH4&lt;AY4,BG4,BE4))</f>
        <v/>
      </c>
      <c r="BJ4" s="4">
        <f>IF(AY4="","",IF(BH4&lt;AY4,BF4,BG4))</f>
        <v/>
      </c>
      <c r="BK4" s="4">
        <f>IF(AY4="","",(BI4+BJ4)/2)</f>
        <v/>
      </c>
      <c r="BL4" s="4">
        <f>IF(OR(R4="",N4="",BK4="",R4&lt;=0,BK4&lt;=0),"",(1/Inputs!$B$9)*((R4^2/8)*((2*ACOS(1-2*BK4/R4))-SIN((2*ACOS(1-2*BK4/R4)))))*((((R4^2/8)*((2*ACOS(1-2*BK4/R4))-SIN((2*ACOS(1-2*BK4/R4)))))/((R4/2)*((2*ACOS(1-2*BK4/R4)))))^(2/3))*SQRT(N4))</f>
        <v/>
      </c>
      <c r="BM4" s="4">
        <f>IF(AY4="","",IF(BL4&lt;AY4,BK4,BI4))</f>
        <v/>
      </c>
      <c r="BN4" s="4">
        <f>IF(AY4="","",IF(BL4&lt;AY4,BJ4,BK4))</f>
        <v/>
      </c>
      <c r="BO4" s="4">
        <f>IF(AY4="","",(BM4+BN4)/2)</f>
        <v/>
      </c>
      <c r="BP4" s="4">
        <f>IF(OR(R4="",N4="",BO4="",R4&lt;=0,BO4&lt;=0),"",(1/Inputs!$B$9)*((R4^2/8)*((2*ACOS(1-2*BO4/R4))-SIN((2*ACOS(1-2*BO4/R4)))))*((((R4^2/8)*((2*ACOS(1-2*BO4/R4))-SIN((2*ACOS(1-2*BO4/R4)))))/((R4/2)*((2*ACOS(1-2*BO4/R4)))))^(2/3))*SQRT(N4))</f>
        <v/>
      </c>
      <c r="BQ4" s="4">
        <f>IF(AY4="","",IF(BP4&lt;AY4,BO4,BM4))</f>
        <v/>
      </c>
      <c r="BR4" s="4">
        <f>IF(AY4="","",IF(BP4&lt;AY4,BN4,BO4))</f>
        <v/>
      </c>
      <c r="BS4" s="4">
        <f>IF(AY4="","",(BQ4+BR4)/2)</f>
        <v/>
      </c>
      <c r="BT4" s="4">
        <f>IF(OR(R4="",N4="",BS4="",R4&lt;=0,BS4&lt;=0),"",(1/Inputs!$B$9)*((R4^2/8)*((2*ACOS(1-2*BS4/R4))-SIN((2*ACOS(1-2*BS4/R4)))))*((((R4^2/8)*((2*ACOS(1-2*BS4/R4))-SIN((2*ACOS(1-2*BS4/R4)))))/((R4/2)*((2*ACOS(1-2*BS4/R4)))))^(2/3))*SQRT(N4))</f>
        <v/>
      </c>
      <c r="BU4" s="4">
        <f>IF(AY4="","",IF(BT4&lt;AY4,BS4,BQ4))</f>
        <v/>
      </c>
      <c r="BV4" s="4">
        <f>IF(AY4="","",IF(BT4&lt;AY4,BR4,BS4))</f>
        <v/>
      </c>
      <c r="BW4" s="4">
        <f>IF(AY4="","",(BU4+BV4)/2)</f>
        <v/>
      </c>
      <c r="BX4" s="4">
        <f>IF(OR(R4="",N4="",BW4="",R4&lt;=0,BW4&lt;=0),"",(1/Inputs!$B$9)*((R4^2/8)*((2*ACOS(1-2*BW4/R4))-SIN((2*ACOS(1-2*BW4/R4)))))*((((R4^2/8)*((2*ACOS(1-2*BW4/R4))-SIN((2*ACOS(1-2*BW4/R4)))))/((R4/2)*((2*ACOS(1-2*BW4/R4)))))^(2/3))*SQRT(N4))</f>
        <v/>
      </c>
      <c r="BY4" s="4">
        <f>IF(AY4="","",IF(BX4&lt;AY4,BW4,BU4))</f>
        <v/>
      </c>
      <c r="BZ4" s="4">
        <f>IF(AY4="","",IF(BX4&lt;AY4,BV4,BW4))</f>
        <v/>
      </c>
      <c r="CA4" s="4">
        <f>IF(AY4="","",(BY4+BZ4)/2)</f>
        <v/>
      </c>
      <c r="CB4" s="4">
        <f>IF(OR(R4="",N4="",CA4="",R4&lt;=0,CA4&lt;=0),"",(1/Inputs!$B$9)*((R4^2/8)*((2*ACOS(1-2*CA4/R4))-SIN((2*ACOS(1-2*CA4/R4)))))*((((R4^2/8)*((2*ACOS(1-2*CA4/R4))-SIN((2*ACOS(1-2*CA4/R4)))))/((R4/2)*((2*ACOS(1-2*CA4/R4)))))^(2/3))*SQRT(N4))</f>
        <v/>
      </c>
      <c r="CC4" s="4">
        <f>IF(AY4="","",IF(CB4&lt;AY4,CA4,BY4))</f>
        <v/>
      </c>
      <c r="CD4" s="4">
        <f>IF(AY4="","",IF(CB4&lt;AY4,BZ4,CA4))</f>
        <v/>
      </c>
      <c r="CE4" s="4">
        <f>IF(AY4="","",(CC4+CD4)/2)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SUMIFS(CB_Tributaires!$G:$G,CB_Tributaires!$F:$F,$A5)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IF(A5="","",IF(F5="","",2.78E-7*IF(G5&lt;&gt;"",G5,IFERROR(SUMIFS(CB_Tributaires!$H:$H,CB_Tributaires!$F:$F,$A5)/SUMIFS(CB_Tributaires!$G:$G,CB_Tributaires!$F:$F,$A5),Inputs!$B$17))*F5*I5))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/>
      </c>
      <c r="AW5" s="7">
        <f>IF(AY5="","",CE5)</f>
        <v/>
      </c>
      <c r="AX5" s="7">
        <f>IF(OR(AY5="",AW5="",R5="",R5&lt;=0,AW5&lt;=0),"",AY5/((R5^2/8)*(2*ACOS(1-2*AW5/R5)-SIN(2*ACOS(1-2*AW5/R5)))))</f>
        <v/>
      </c>
      <c r="AY5" s="4">
        <f>IF(OR(L5="",AZ5=""),"",MIN(L5,AZ5))</f>
        <v/>
      </c>
      <c r="AZ5" s="4">
        <f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/>
      </c>
      <c r="BA5" s="4">
        <f>IF(AY5="","",0.001*R5)</f>
        <v/>
      </c>
      <c r="BB5" s="4">
        <f>IF(AY5="","",0.94*R5)</f>
        <v/>
      </c>
      <c r="BC5" s="4">
        <f>IF(AY5="","",(BA5+BB5)/2)</f>
        <v/>
      </c>
      <c r="BD5" s="4">
        <f>IF(OR(R5="",N5="",BC5="",R5&lt;=0,BC5&lt;=0),"",(1/Inputs!$B$9)*((R5^2/8)*((2*ACOS(1-2*BC5/R5))-SIN((2*ACOS(1-2*BC5/R5)))))*((((R5^2/8)*((2*ACOS(1-2*BC5/R5))-SIN((2*ACOS(1-2*BC5/R5)))))/((R5/2)*((2*ACOS(1-2*BC5/R5)))))^(2/3))*SQRT(N5))</f>
        <v/>
      </c>
      <c r="BE5" s="4">
        <f>IF(AY5="","",IF(BD5&lt;AY5,BC5,BA5))</f>
        <v/>
      </c>
      <c r="BF5" s="4">
        <f>IF(AY5="","",IF(BD5&lt;AY5,BB5,BC5))</f>
        <v/>
      </c>
      <c r="BG5" s="4">
        <f>IF(AY5="","",(BE5+BF5)/2)</f>
        <v/>
      </c>
      <c r="BH5" s="4">
        <f>IF(OR(R5="",N5="",BG5="",R5&lt;=0,BG5&lt;=0),"",(1/Inputs!$B$9)*((R5^2/8)*((2*ACOS(1-2*BG5/R5))-SIN((2*ACOS(1-2*BG5/R5)))))*((((R5^2/8)*((2*ACOS(1-2*BG5/R5))-SIN((2*ACOS(1-2*BG5/R5)))))/((R5/2)*((2*ACOS(1-2*BG5/R5)))))^(2/3))*SQRT(N5))</f>
        <v/>
      </c>
      <c r="BI5" s="4">
        <f>IF(AY5="","",IF(BH5&lt;AY5,BG5,BE5))</f>
        <v/>
      </c>
      <c r="BJ5" s="4">
        <f>IF(AY5="","",IF(BH5&lt;AY5,BF5,BG5))</f>
        <v/>
      </c>
      <c r="BK5" s="4">
        <f>IF(AY5="","",(BI5+BJ5)/2)</f>
        <v/>
      </c>
      <c r="BL5" s="4">
        <f>IF(OR(R5="",N5="",BK5="",R5&lt;=0,BK5&lt;=0),"",(1/Inputs!$B$9)*((R5^2/8)*((2*ACOS(1-2*BK5/R5))-SIN((2*ACOS(1-2*BK5/R5)))))*((((R5^2/8)*((2*ACOS(1-2*BK5/R5))-SIN((2*ACOS(1-2*BK5/R5)))))/((R5/2)*((2*ACOS(1-2*BK5/R5)))))^(2/3))*SQRT(N5))</f>
        <v/>
      </c>
      <c r="BM5" s="4">
        <f>IF(AY5="","",IF(BL5&lt;AY5,BK5,BI5))</f>
        <v/>
      </c>
      <c r="BN5" s="4">
        <f>IF(AY5="","",IF(BL5&lt;AY5,BJ5,BK5))</f>
        <v/>
      </c>
      <c r="BO5" s="4">
        <f>IF(AY5="","",(BM5+BN5)/2)</f>
        <v/>
      </c>
      <c r="BP5" s="4">
        <f>IF(OR(R5="",N5="",BO5="",R5&lt;=0,BO5&lt;=0),"",(1/Inputs!$B$9)*((R5^2/8)*((2*ACOS(1-2*BO5/R5))-SIN((2*ACOS(1-2*BO5/R5)))))*((((R5^2/8)*((2*ACOS(1-2*BO5/R5))-SIN((2*ACOS(1-2*BO5/R5)))))/((R5/2)*((2*ACOS(1-2*BO5/R5)))))^(2/3))*SQRT(N5))</f>
        <v/>
      </c>
      <c r="BQ5" s="4">
        <f>IF(AY5="","",IF(BP5&lt;AY5,BO5,BM5))</f>
        <v/>
      </c>
      <c r="BR5" s="4">
        <f>IF(AY5="","",IF(BP5&lt;AY5,BN5,BO5))</f>
        <v/>
      </c>
      <c r="BS5" s="4">
        <f>IF(AY5="","",(BQ5+BR5)/2)</f>
        <v/>
      </c>
      <c r="BT5" s="4">
        <f>IF(OR(R5="",N5="",BS5="",R5&lt;=0,BS5&lt;=0),"",(1/Inputs!$B$9)*((R5^2/8)*((2*ACOS(1-2*BS5/R5))-SIN((2*ACOS(1-2*BS5/R5)))))*((((R5^2/8)*((2*ACOS(1-2*BS5/R5))-SIN((2*ACOS(1-2*BS5/R5)))))/((R5/2)*((2*ACOS(1-2*BS5/R5)))))^(2/3))*SQRT(N5))</f>
        <v/>
      </c>
      <c r="BU5" s="4">
        <f>IF(AY5="","",IF(BT5&lt;AY5,BS5,BQ5))</f>
        <v/>
      </c>
      <c r="BV5" s="4">
        <f>IF(AY5="","",IF(BT5&lt;AY5,BR5,BS5))</f>
        <v/>
      </c>
      <c r="BW5" s="4">
        <f>IF(AY5="","",(BU5+BV5)/2)</f>
        <v/>
      </c>
      <c r="BX5" s="4">
        <f>IF(OR(R5="",N5="",BW5="",R5&lt;=0,BW5&lt;=0),"",(1/Inputs!$B$9)*((R5^2/8)*((2*ACOS(1-2*BW5/R5))-SIN((2*ACOS(1-2*BW5/R5)))))*((((R5^2/8)*((2*ACOS(1-2*BW5/R5))-SIN((2*ACOS(1-2*BW5/R5)))))/((R5/2)*((2*ACOS(1-2*BW5/R5)))))^(2/3))*SQRT(N5))</f>
        <v/>
      </c>
      <c r="BY5" s="4">
        <f>IF(AY5="","",IF(BX5&lt;AY5,BW5,BU5))</f>
        <v/>
      </c>
      <c r="BZ5" s="4">
        <f>IF(AY5="","",IF(BX5&lt;AY5,BV5,BW5))</f>
        <v/>
      </c>
      <c r="CA5" s="4">
        <f>IF(AY5="","",(BY5+BZ5)/2)</f>
        <v/>
      </c>
      <c r="CB5" s="4">
        <f>IF(OR(R5="",N5="",CA5="",R5&lt;=0,CA5&lt;=0),"",(1/Inputs!$B$9)*((R5^2/8)*((2*ACOS(1-2*CA5/R5))-SIN((2*ACOS(1-2*CA5/R5)))))*((((R5^2/8)*((2*ACOS(1-2*CA5/R5))-SIN((2*ACOS(1-2*CA5/R5)))))/((R5/2)*((2*ACOS(1-2*CA5/R5)))))^(2/3))*SQRT(N5))</f>
        <v/>
      </c>
      <c r="CC5" s="4">
        <f>IF(AY5="","",IF(CB5&lt;AY5,CA5,BY5))</f>
        <v/>
      </c>
      <c r="CD5" s="4">
        <f>IF(AY5="","",IF(CB5&lt;AY5,BZ5,CA5))</f>
        <v/>
      </c>
      <c r="CE5" s="4">
        <f>IF(AY5="","",(CC5+CD5)/2)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SUMIFS(CB_Tributaires!$G:$G,CB_Tributaires!$F:$F,$A6)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IF(A6="","",IF(F6="","",2.78E-7*IF(G6&lt;&gt;"",G6,IFERROR(SUMIFS(CB_Tributaires!$H:$H,CB_Tributaires!$F:$F,$A6)/SUMIFS(CB_Tributaires!$G:$G,CB_Tributaires!$F:$F,$A6),Inputs!$B$17))*F6*I6))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/>
      </c>
      <c r="AW6" s="7">
        <f>IF(AY6="","",CE6)</f>
        <v/>
      </c>
      <c r="AX6" s="7">
        <f>IF(OR(AY6="",AW6="",R6="",R6&lt;=0,AW6&lt;=0),"",AY6/((R6^2/8)*(2*ACOS(1-2*AW6/R6)-SIN(2*ACOS(1-2*AW6/R6)))))</f>
        <v/>
      </c>
      <c r="AY6" s="4">
        <f>IF(OR(L6="",AZ6=""),"",MIN(L6,AZ6))</f>
        <v/>
      </c>
      <c r="AZ6" s="4">
        <f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/>
      </c>
      <c r="BA6" s="4">
        <f>IF(AY6="","",0.001*R6)</f>
        <v/>
      </c>
      <c r="BB6" s="4">
        <f>IF(AY6="","",0.94*R6)</f>
        <v/>
      </c>
      <c r="BC6" s="4">
        <f>IF(AY6="","",(BA6+BB6)/2)</f>
        <v/>
      </c>
      <c r="BD6" s="4">
        <f>IF(OR(R6="",N6="",BC6="",R6&lt;=0,BC6&lt;=0),"",(1/Inputs!$B$9)*((R6^2/8)*((2*ACOS(1-2*BC6/R6))-SIN((2*ACOS(1-2*BC6/R6)))))*((((R6^2/8)*((2*ACOS(1-2*BC6/R6))-SIN((2*ACOS(1-2*BC6/R6)))))/((R6/2)*((2*ACOS(1-2*BC6/R6)))))^(2/3))*SQRT(N6))</f>
        <v/>
      </c>
      <c r="BE6" s="4">
        <f>IF(AY6="","",IF(BD6&lt;AY6,BC6,BA6))</f>
        <v/>
      </c>
      <c r="BF6" s="4">
        <f>IF(AY6="","",IF(BD6&lt;AY6,BB6,BC6))</f>
        <v/>
      </c>
      <c r="BG6" s="4">
        <f>IF(AY6="","",(BE6+BF6)/2)</f>
        <v/>
      </c>
      <c r="BH6" s="4">
        <f>IF(OR(R6="",N6="",BG6="",R6&lt;=0,BG6&lt;=0),"",(1/Inputs!$B$9)*((R6^2/8)*((2*ACOS(1-2*BG6/R6))-SIN((2*ACOS(1-2*BG6/R6)))))*((((R6^2/8)*((2*ACOS(1-2*BG6/R6))-SIN((2*ACOS(1-2*BG6/R6)))))/((R6/2)*((2*ACOS(1-2*BG6/R6)))))^(2/3))*SQRT(N6))</f>
        <v/>
      </c>
      <c r="BI6" s="4">
        <f>IF(AY6="","",IF(BH6&lt;AY6,BG6,BE6))</f>
        <v/>
      </c>
      <c r="BJ6" s="4">
        <f>IF(AY6="","",IF(BH6&lt;AY6,BF6,BG6))</f>
        <v/>
      </c>
      <c r="BK6" s="4">
        <f>IF(AY6="","",(BI6+BJ6)/2)</f>
        <v/>
      </c>
      <c r="BL6" s="4">
        <f>IF(OR(R6="",N6="",BK6="",R6&lt;=0,BK6&lt;=0),"",(1/Inputs!$B$9)*((R6^2/8)*((2*ACOS(1-2*BK6/R6))-SIN((2*ACOS(1-2*BK6/R6)))))*((((R6^2/8)*((2*ACOS(1-2*BK6/R6))-SIN((2*ACOS(1-2*BK6/R6)))))/((R6/2)*((2*ACOS(1-2*BK6/R6)))))^(2/3))*SQRT(N6))</f>
        <v/>
      </c>
      <c r="BM6" s="4">
        <f>IF(AY6="","",IF(BL6&lt;AY6,BK6,BI6))</f>
        <v/>
      </c>
      <c r="BN6" s="4">
        <f>IF(AY6="","",IF(BL6&lt;AY6,BJ6,BK6))</f>
        <v/>
      </c>
      <c r="BO6" s="4">
        <f>IF(AY6="","",(BM6+BN6)/2)</f>
        <v/>
      </c>
      <c r="BP6" s="4">
        <f>IF(OR(R6="",N6="",BO6="",R6&lt;=0,BO6&lt;=0),"",(1/Inputs!$B$9)*((R6^2/8)*((2*ACOS(1-2*BO6/R6))-SIN((2*ACOS(1-2*BO6/R6)))))*((((R6^2/8)*((2*ACOS(1-2*BO6/R6))-SIN((2*ACOS(1-2*BO6/R6)))))/((R6/2)*((2*ACOS(1-2*BO6/R6)))))^(2/3))*SQRT(N6))</f>
        <v/>
      </c>
      <c r="BQ6" s="4">
        <f>IF(AY6="","",IF(BP6&lt;AY6,BO6,BM6))</f>
        <v/>
      </c>
      <c r="BR6" s="4">
        <f>IF(AY6="","",IF(BP6&lt;AY6,BN6,BO6))</f>
        <v/>
      </c>
      <c r="BS6" s="4">
        <f>IF(AY6="","",(BQ6+BR6)/2)</f>
        <v/>
      </c>
      <c r="BT6" s="4">
        <f>IF(OR(R6="",N6="",BS6="",R6&lt;=0,BS6&lt;=0),"",(1/Inputs!$B$9)*((R6^2/8)*((2*ACOS(1-2*BS6/R6))-SIN((2*ACOS(1-2*BS6/R6)))))*((((R6^2/8)*((2*ACOS(1-2*BS6/R6))-SIN((2*ACOS(1-2*BS6/R6)))))/((R6/2)*((2*ACOS(1-2*BS6/R6)))))^(2/3))*SQRT(N6))</f>
        <v/>
      </c>
      <c r="BU6" s="4">
        <f>IF(AY6="","",IF(BT6&lt;AY6,BS6,BQ6))</f>
        <v/>
      </c>
      <c r="BV6" s="4">
        <f>IF(AY6="","",IF(BT6&lt;AY6,BR6,BS6))</f>
        <v/>
      </c>
      <c r="BW6" s="4">
        <f>IF(AY6="","",(BU6+BV6)/2)</f>
        <v/>
      </c>
      <c r="BX6" s="4">
        <f>IF(OR(R6="",N6="",BW6="",R6&lt;=0,BW6&lt;=0),"",(1/Inputs!$B$9)*((R6^2/8)*((2*ACOS(1-2*BW6/R6))-SIN((2*ACOS(1-2*BW6/R6)))))*((((R6^2/8)*((2*ACOS(1-2*BW6/R6))-SIN((2*ACOS(1-2*BW6/R6)))))/((R6/2)*((2*ACOS(1-2*BW6/R6)))))^(2/3))*SQRT(N6))</f>
        <v/>
      </c>
      <c r="BY6" s="4">
        <f>IF(AY6="","",IF(BX6&lt;AY6,BW6,BU6))</f>
        <v/>
      </c>
      <c r="BZ6" s="4">
        <f>IF(AY6="","",IF(BX6&lt;AY6,BV6,BW6))</f>
        <v/>
      </c>
      <c r="CA6" s="4">
        <f>IF(AY6="","",(BY6+BZ6)/2)</f>
        <v/>
      </c>
      <c r="CB6" s="4">
        <f>IF(OR(R6="",N6="",CA6="",R6&lt;=0,CA6&lt;=0),"",(1/Inputs!$B$9)*((R6^2/8)*((2*ACOS(1-2*CA6/R6))-SIN((2*ACOS(1-2*CA6/R6)))))*((((R6^2/8)*((2*ACOS(1-2*CA6/R6))-SIN((2*ACOS(1-2*CA6/R6)))))/((R6/2)*((2*ACOS(1-2*CA6/R6)))))^(2/3))*SQRT(N6))</f>
        <v/>
      </c>
      <c r="CC6" s="4">
        <f>IF(AY6="","",IF(CB6&lt;AY6,CA6,BY6))</f>
        <v/>
      </c>
      <c r="CD6" s="4">
        <f>IF(AY6="","",IF(CB6&lt;AY6,BZ6,CA6))</f>
        <v/>
      </c>
      <c r="CE6" s="4">
        <f>IF(AY6="","",(CC6+CD6)/2)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SUMIFS(CB_Tributaires!$G:$G,CB_Tributaires!$F:$F,$A7)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IF(A7="","",IF(F7="","",2.78E-7*IF(G7&lt;&gt;"",G7,IFERROR(SUMIFS(CB_Tributaires!$H:$H,CB_Tributaires!$F:$F,$A7)/SUMIFS(CB_Tributaires!$G:$G,CB_Tributaires!$F:$F,$A7),Inputs!$B$17))*F7*I7))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/>
      </c>
      <c r="AW7" s="7">
        <f>IF(AY7="","",CE7)</f>
        <v/>
      </c>
      <c r="AX7" s="7">
        <f>IF(OR(AY7="",AW7="",R7="",R7&lt;=0,AW7&lt;=0),"",AY7/((R7^2/8)*(2*ACOS(1-2*AW7/R7)-SIN(2*ACOS(1-2*AW7/R7)))))</f>
        <v/>
      </c>
      <c r="AY7" s="4">
        <f>IF(OR(L7="",AZ7=""),"",MIN(L7,AZ7))</f>
        <v/>
      </c>
      <c r="AZ7" s="4">
        <f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/>
      </c>
      <c r="BA7" s="4">
        <f>IF(AY7="","",0.001*R7)</f>
        <v/>
      </c>
      <c r="BB7" s="4">
        <f>IF(AY7="","",0.94*R7)</f>
        <v/>
      </c>
      <c r="BC7" s="4">
        <f>IF(AY7="","",(BA7+BB7)/2)</f>
        <v/>
      </c>
      <c r="BD7" s="4">
        <f>IF(OR(R7="",N7="",BC7="",R7&lt;=0,BC7&lt;=0),"",(1/Inputs!$B$9)*((R7^2/8)*((2*ACOS(1-2*BC7/R7))-SIN((2*ACOS(1-2*BC7/R7)))))*((((R7^2/8)*((2*ACOS(1-2*BC7/R7))-SIN((2*ACOS(1-2*BC7/R7)))))/((R7/2)*((2*ACOS(1-2*BC7/R7)))))^(2/3))*SQRT(N7))</f>
        <v/>
      </c>
      <c r="BE7" s="4">
        <f>IF(AY7="","",IF(BD7&lt;AY7,BC7,BA7))</f>
        <v/>
      </c>
      <c r="BF7" s="4">
        <f>IF(AY7="","",IF(BD7&lt;AY7,BB7,BC7))</f>
        <v/>
      </c>
      <c r="BG7" s="4">
        <f>IF(AY7="","",(BE7+BF7)/2)</f>
        <v/>
      </c>
      <c r="BH7" s="4">
        <f>IF(OR(R7="",N7="",BG7="",R7&lt;=0,BG7&lt;=0),"",(1/Inputs!$B$9)*((R7^2/8)*((2*ACOS(1-2*BG7/R7))-SIN((2*ACOS(1-2*BG7/R7)))))*((((R7^2/8)*((2*ACOS(1-2*BG7/R7))-SIN((2*ACOS(1-2*BG7/R7)))))/((R7/2)*((2*ACOS(1-2*BG7/R7)))))^(2/3))*SQRT(N7))</f>
        <v/>
      </c>
      <c r="BI7" s="4">
        <f>IF(AY7="","",IF(BH7&lt;AY7,BG7,BE7))</f>
        <v/>
      </c>
      <c r="BJ7" s="4">
        <f>IF(AY7="","",IF(BH7&lt;AY7,BF7,BG7))</f>
        <v/>
      </c>
      <c r="BK7" s="4">
        <f>IF(AY7="","",(BI7+BJ7)/2)</f>
        <v/>
      </c>
      <c r="BL7" s="4">
        <f>IF(OR(R7="",N7="",BK7="",R7&lt;=0,BK7&lt;=0),"",(1/Inputs!$B$9)*((R7^2/8)*((2*ACOS(1-2*BK7/R7))-SIN((2*ACOS(1-2*BK7/R7)))))*((((R7^2/8)*((2*ACOS(1-2*BK7/R7))-SIN((2*ACOS(1-2*BK7/R7)))))/((R7/2)*((2*ACOS(1-2*BK7/R7)))))^(2/3))*SQRT(N7))</f>
        <v/>
      </c>
      <c r="BM7" s="4">
        <f>IF(AY7="","",IF(BL7&lt;AY7,BK7,BI7))</f>
        <v/>
      </c>
      <c r="BN7" s="4">
        <f>IF(AY7="","",IF(BL7&lt;AY7,BJ7,BK7))</f>
        <v/>
      </c>
      <c r="BO7" s="4">
        <f>IF(AY7="","",(BM7+BN7)/2)</f>
        <v/>
      </c>
      <c r="BP7" s="4">
        <f>IF(OR(R7="",N7="",BO7="",R7&lt;=0,BO7&lt;=0),"",(1/Inputs!$B$9)*((R7^2/8)*((2*ACOS(1-2*BO7/R7))-SIN((2*ACOS(1-2*BO7/R7)))))*((((R7^2/8)*((2*ACOS(1-2*BO7/R7))-SIN((2*ACOS(1-2*BO7/R7)))))/((R7/2)*((2*ACOS(1-2*BO7/R7)))))^(2/3))*SQRT(N7))</f>
        <v/>
      </c>
      <c r="BQ7" s="4">
        <f>IF(AY7="","",IF(BP7&lt;AY7,BO7,BM7))</f>
        <v/>
      </c>
      <c r="BR7" s="4">
        <f>IF(AY7="","",IF(BP7&lt;AY7,BN7,BO7))</f>
        <v/>
      </c>
      <c r="BS7" s="4">
        <f>IF(AY7="","",(BQ7+BR7)/2)</f>
        <v/>
      </c>
      <c r="BT7" s="4">
        <f>IF(OR(R7="",N7="",BS7="",R7&lt;=0,BS7&lt;=0),"",(1/Inputs!$B$9)*((R7^2/8)*((2*ACOS(1-2*BS7/R7))-SIN((2*ACOS(1-2*BS7/R7)))))*((((R7^2/8)*((2*ACOS(1-2*BS7/R7))-SIN((2*ACOS(1-2*BS7/R7)))))/((R7/2)*((2*ACOS(1-2*BS7/R7)))))^(2/3))*SQRT(N7))</f>
        <v/>
      </c>
      <c r="BU7" s="4">
        <f>IF(AY7="","",IF(BT7&lt;AY7,BS7,BQ7))</f>
        <v/>
      </c>
      <c r="BV7" s="4">
        <f>IF(AY7="","",IF(BT7&lt;AY7,BR7,BS7))</f>
        <v/>
      </c>
      <c r="BW7" s="4">
        <f>IF(AY7="","",(BU7+BV7)/2)</f>
        <v/>
      </c>
      <c r="BX7" s="4">
        <f>IF(OR(R7="",N7="",BW7="",R7&lt;=0,BW7&lt;=0),"",(1/Inputs!$B$9)*((R7^2/8)*((2*ACOS(1-2*BW7/R7))-SIN((2*ACOS(1-2*BW7/R7)))))*((((R7^2/8)*((2*ACOS(1-2*BW7/R7))-SIN((2*ACOS(1-2*BW7/R7)))))/((R7/2)*((2*ACOS(1-2*BW7/R7)))))^(2/3))*SQRT(N7))</f>
        <v/>
      </c>
      <c r="BY7" s="4">
        <f>IF(AY7="","",IF(BX7&lt;AY7,BW7,BU7))</f>
        <v/>
      </c>
      <c r="BZ7" s="4">
        <f>IF(AY7="","",IF(BX7&lt;AY7,BV7,BW7))</f>
        <v/>
      </c>
      <c r="CA7" s="4">
        <f>IF(AY7="","",(BY7+BZ7)/2)</f>
        <v/>
      </c>
      <c r="CB7" s="4">
        <f>IF(OR(R7="",N7="",CA7="",R7&lt;=0,CA7&lt;=0),"",(1/Inputs!$B$9)*((R7^2/8)*((2*ACOS(1-2*CA7/R7))-SIN((2*ACOS(1-2*CA7/R7)))))*((((R7^2/8)*((2*ACOS(1-2*CA7/R7))-SIN((2*ACOS(1-2*CA7/R7)))))/((R7/2)*((2*ACOS(1-2*CA7/R7)))))^(2/3))*SQRT(N7))</f>
        <v/>
      </c>
      <c r="CC7" s="4">
        <f>IF(AY7="","",IF(CB7&lt;AY7,CA7,BY7))</f>
        <v/>
      </c>
      <c r="CD7" s="4">
        <f>IF(AY7="","",IF(CB7&lt;AY7,BZ7,CA7))</f>
        <v/>
      </c>
      <c r="CE7" s="4">
        <f>IF(AY7="","",(CC7+CD7)/2)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SUMIFS(CB_Tributaires!$G:$G,CB_Tributaires!$F:$F,$A8)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IF(A8="","",IF(F8="","",2.78E-7*IF(G8&lt;&gt;"",G8,IFERROR(SUMIFS(CB_Tributaires!$H:$H,CB_Tributaires!$F:$F,$A8)/SUMIFS(CB_Tributaires!$G:$G,CB_Tributaires!$F:$F,$A8),Inputs!$B$17))*F8*I8))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/>
      </c>
      <c r="AW8" s="7">
        <f>IF(AY8="","",CE8)</f>
        <v/>
      </c>
      <c r="AX8" s="7">
        <f>IF(OR(AY8="",AW8="",R8="",R8&lt;=0,AW8&lt;=0),"",AY8/((R8^2/8)*(2*ACOS(1-2*AW8/R8)-SIN(2*ACOS(1-2*AW8/R8)))))</f>
        <v/>
      </c>
      <c r="AY8" s="4">
        <f>IF(OR(L8="",AZ8=""),"",MIN(L8,AZ8))</f>
        <v/>
      </c>
      <c r="AZ8" s="4">
        <f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/>
      </c>
      <c r="BA8" s="4">
        <f>IF(AY8="","",0.001*R8)</f>
        <v/>
      </c>
      <c r="BB8" s="4">
        <f>IF(AY8="","",0.94*R8)</f>
        <v/>
      </c>
      <c r="BC8" s="4">
        <f>IF(AY8="","",(BA8+BB8)/2)</f>
        <v/>
      </c>
      <c r="BD8" s="4">
        <f>IF(OR(R8="",N8="",BC8="",R8&lt;=0,BC8&lt;=0),"",(1/Inputs!$B$9)*((R8^2/8)*((2*ACOS(1-2*BC8/R8))-SIN((2*ACOS(1-2*BC8/R8)))))*((((R8^2/8)*((2*ACOS(1-2*BC8/R8))-SIN((2*ACOS(1-2*BC8/R8)))))/((R8/2)*((2*ACOS(1-2*BC8/R8)))))^(2/3))*SQRT(N8))</f>
        <v/>
      </c>
      <c r="BE8" s="4">
        <f>IF(AY8="","",IF(BD8&lt;AY8,BC8,BA8))</f>
        <v/>
      </c>
      <c r="BF8" s="4">
        <f>IF(AY8="","",IF(BD8&lt;AY8,BB8,BC8))</f>
        <v/>
      </c>
      <c r="BG8" s="4">
        <f>IF(AY8="","",(BE8+BF8)/2)</f>
        <v/>
      </c>
      <c r="BH8" s="4">
        <f>IF(OR(R8="",N8="",BG8="",R8&lt;=0,BG8&lt;=0),"",(1/Inputs!$B$9)*((R8^2/8)*((2*ACOS(1-2*BG8/R8))-SIN((2*ACOS(1-2*BG8/R8)))))*((((R8^2/8)*((2*ACOS(1-2*BG8/R8))-SIN((2*ACOS(1-2*BG8/R8)))))/((R8/2)*((2*ACOS(1-2*BG8/R8)))))^(2/3))*SQRT(N8))</f>
        <v/>
      </c>
      <c r="BI8" s="4">
        <f>IF(AY8="","",IF(BH8&lt;AY8,BG8,BE8))</f>
        <v/>
      </c>
      <c r="BJ8" s="4">
        <f>IF(AY8="","",IF(BH8&lt;AY8,BF8,BG8))</f>
        <v/>
      </c>
      <c r="BK8" s="4">
        <f>IF(AY8="","",(BI8+BJ8)/2)</f>
        <v/>
      </c>
      <c r="BL8" s="4">
        <f>IF(OR(R8="",N8="",BK8="",R8&lt;=0,BK8&lt;=0),"",(1/Inputs!$B$9)*((R8^2/8)*((2*ACOS(1-2*BK8/R8))-SIN((2*ACOS(1-2*BK8/R8)))))*((((R8^2/8)*((2*ACOS(1-2*BK8/R8))-SIN((2*ACOS(1-2*BK8/R8)))))/((R8/2)*((2*ACOS(1-2*BK8/R8)))))^(2/3))*SQRT(N8))</f>
        <v/>
      </c>
      <c r="BM8" s="4">
        <f>IF(AY8="","",IF(BL8&lt;AY8,BK8,BI8))</f>
        <v/>
      </c>
      <c r="BN8" s="4">
        <f>IF(AY8="","",IF(BL8&lt;AY8,BJ8,BK8))</f>
        <v/>
      </c>
      <c r="BO8" s="4">
        <f>IF(AY8="","",(BM8+BN8)/2)</f>
        <v/>
      </c>
      <c r="BP8" s="4">
        <f>IF(OR(R8="",N8="",BO8="",R8&lt;=0,BO8&lt;=0),"",(1/Inputs!$B$9)*((R8^2/8)*((2*ACOS(1-2*BO8/R8))-SIN((2*ACOS(1-2*BO8/R8)))))*((((R8^2/8)*((2*ACOS(1-2*BO8/R8))-SIN((2*ACOS(1-2*BO8/R8)))))/((R8/2)*((2*ACOS(1-2*BO8/R8)))))^(2/3))*SQRT(N8))</f>
        <v/>
      </c>
      <c r="BQ8" s="4">
        <f>IF(AY8="","",IF(BP8&lt;AY8,BO8,BM8))</f>
        <v/>
      </c>
      <c r="BR8" s="4">
        <f>IF(AY8="","",IF(BP8&lt;AY8,BN8,BO8))</f>
        <v/>
      </c>
      <c r="BS8" s="4">
        <f>IF(AY8="","",(BQ8+BR8)/2)</f>
        <v/>
      </c>
      <c r="BT8" s="4">
        <f>IF(OR(R8="",N8="",BS8="",R8&lt;=0,BS8&lt;=0),"",(1/Inputs!$B$9)*((R8^2/8)*((2*ACOS(1-2*BS8/R8))-SIN((2*ACOS(1-2*BS8/R8)))))*((((R8^2/8)*((2*ACOS(1-2*BS8/R8))-SIN((2*ACOS(1-2*BS8/R8)))))/((R8/2)*((2*ACOS(1-2*BS8/R8)))))^(2/3))*SQRT(N8))</f>
        <v/>
      </c>
      <c r="BU8" s="4">
        <f>IF(AY8="","",IF(BT8&lt;AY8,BS8,BQ8))</f>
        <v/>
      </c>
      <c r="BV8" s="4">
        <f>IF(AY8="","",IF(BT8&lt;AY8,BR8,BS8))</f>
        <v/>
      </c>
      <c r="BW8" s="4">
        <f>IF(AY8="","",(BU8+BV8)/2)</f>
        <v/>
      </c>
      <c r="BX8" s="4">
        <f>IF(OR(R8="",N8="",BW8="",R8&lt;=0,BW8&lt;=0),"",(1/Inputs!$B$9)*((R8^2/8)*((2*ACOS(1-2*BW8/R8))-SIN((2*ACOS(1-2*BW8/R8)))))*((((R8^2/8)*((2*ACOS(1-2*BW8/R8))-SIN((2*ACOS(1-2*BW8/R8)))))/((R8/2)*((2*ACOS(1-2*BW8/R8)))))^(2/3))*SQRT(N8))</f>
        <v/>
      </c>
      <c r="BY8" s="4">
        <f>IF(AY8="","",IF(BX8&lt;AY8,BW8,BU8))</f>
        <v/>
      </c>
      <c r="BZ8" s="4">
        <f>IF(AY8="","",IF(BX8&lt;AY8,BV8,BW8))</f>
        <v/>
      </c>
      <c r="CA8" s="4">
        <f>IF(AY8="","",(BY8+BZ8)/2)</f>
        <v/>
      </c>
      <c r="CB8" s="4">
        <f>IF(OR(R8="",N8="",CA8="",R8&lt;=0,CA8&lt;=0),"",(1/Inputs!$B$9)*((R8^2/8)*((2*ACOS(1-2*CA8/R8))-SIN((2*ACOS(1-2*CA8/R8)))))*((((R8^2/8)*((2*ACOS(1-2*CA8/R8))-SIN((2*ACOS(1-2*CA8/R8)))))/((R8/2)*((2*ACOS(1-2*CA8/R8)))))^(2/3))*SQRT(N8))</f>
        <v/>
      </c>
      <c r="CC8" s="4">
        <f>IF(AY8="","",IF(CB8&lt;AY8,CA8,BY8))</f>
        <v/>
      </c>
      <c r="CD8" s="4">
        <f>IF(AY8="","",IF(CB8&lt;AY8,BZ8,CA8))</f>
        <v/>
      </c>
      <c r="CE8" s="4">
        <f>IF(AY8="","",(CC8+CD8)/2)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SUMIFS(CB_Tributaires!$G:$G,CB_Tributaires!$F:$F,$A9)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IF(A9="","",IF(F9="","",2.78E-7*IF(G9&lt;&gt;"",G9,IFERROR(SUMIFS(CB_Tributaires!$H:$H,CB_Tributaires!$F:$F,$A9)/SUMIFS(CB_Tributaires!$G:$G,CB_Tributaires!$F:$F,$A9),Inputs!$B$17))*F9*I9))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/>
      </c>
      <c r="AW9" s="7">
        <f>IF(AY9="","",CE9)</f>
        <v/>
      </c>
      <c r="AX9" s="7">
        <f>IF(OR(AY9="",AW9="",R9="",R9&lt;=0,AW9&lt;=0),"",AY9/((R9^2/8)*(2*ACOS(1-2*AW9/R9)-SIN(2*ACOS(1-2*AW9/R9)))))</f>
        <v/>
      </c>
      <c r="AY9" s="4">
        <f>IF(OR(L9="",AZ9=""),"",MIN(L9,AZ9))</f>
        <v/>
      </c>
      <c r="AZ9" s="4">
        <f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/>
      </c>
      <c r="BA9" s="4">
        <f>IF(AY9="","",0.001*R9)</f>
        <v/>
      </c>
      <c r="BB9" s="4">
        <f>IF(AY9="","",0.94*R9)</f>
        <v/>
      </c>
      <c r="BC9" s="4">
        <f>IF(AY9="","",(BA9+BB9)/2)</f>
        <v/>
      </c>
      <c r="BD9" s="4">
        <f>IF(OR(R9="",N9="",BC9="",R9&lt;=0,BC9&lt;=0),"",(1/Inputs!$B$9)*((R9^2/8)*((2*ACOS(1-2*BC9/R9))-SIN((2*ACOS(1-2*BC9/R9)))))*((((R9^2/8)*((2*ACOS(1-2*BC9/R9))-SIN((2*ACOS(1-2*BC9/R9)))))/((R9/2)*((2*ACOS(1-2*BC9/R9)))))^(2/3))*SQRT(N9))</f>
        <v/>
      </c>
      <c r="BE9" s="4">
        <f>IF(AY9="","",IF(BD9&lt;AY9,BC9,BA9))</f>
        <v/>
      </c>
      <c r="BF9" s="4">
        <f>IF(AY9="","",IF(BD9&lt;AY9,BB9,BC9))</f>
        <v/>
      </c>
      <c r="BG9" s="4">
        <f>IF(AY9="","",(BE9+BF9)/2)</f>
        <v/>
      </c>
      <c r="BH9" s="4">
        <f>IF(OR(R9="",N9="",BG9="",R9&lt;=0,BG9&lt;=0),"",(1/Inputs!$B$9)*((R9^2/8)*((2*ACOS(1-2*BG9/R9))-SIN((2*ACOS(1-2*BG9/R9)))))*((((R9^2/8)*((2*ACOS(1-2*BG9/R9))-SIN((2*ACOS(1-2*BG9/R9)))))/((R9/2)*((2*ACOS(1-2*BG9/R9)))))^(2/3))*SQRT(N9))</f>
        <v/>
      </c>
      <c r="BI9" s="4">
        <f>IF(AY9="","",IF(BH9&lt;AY9,BG9,BE9))</f>
        <v/>
      </c>
      <c r="BJ9" s="4">
        <f>IF(AY9="","",IF(BH9&lt;AY9,BF9,BG9))</f>
        <v/>
      </c>
      <c r="BK9" s="4">
        <f>IF(AY9="","",(BI9+BJ9)/2)</f>
        <v/>
      </c>
      <c r="BL9" s="4">
        <f>IF(OR(R9="",N9="",BK9="",R9&lt;=0,BK9&lt;=0),"",(1/Inputs!$B$9)*((R9^2/8)*((2*ACOS(1-2*BK9/R9))-SIN((2*ACOS(1-2*BK9/R9)))))*((((R9^2/8)*((2*ACOS(1-2*BK9/R9))-SIN((2*ACOS(1-2*BK9/R9)))))/((R9/2)*((2*ACOS(1-2*BK9/R9)))))^(2/3))*SQRT(N9))</f>
        <v/>
      </c>
      <c r="BM9" s="4">
        <f>IF(AY9="","",IF(BL9&lt;AY9,BK9,BI9))</f>
        <v/>
      </c>
      <c r="BN9" s="4">
        <f>IF(AY9="","",IF(BL9&lt;AY9,BJ9,BK9))</f>
        <v/>
      </c>
      <c r="BO9" s="4">
        <f>IF(AY9="","",(BM9+BN9)/2)</f>
        <v/>
      </c>
      <c r="BP9" s="4">
        <f>IF(OR(R9="",N9="",BO9="",R9&lt;=0,BO9&lt;=0),"",(1/Inputs!$B$9)*((R9^2/8)*((2*ACOS(1-2*BO9/R9))-SIN((2*ACOS(1-2*BO9/R9)))))*((((R9^2/8)*((2*ACOS(1-2*BO9/R9))-SIN((2*ACOS(1-2*BO9/R9)))))/((R9/2)*((2*ACOS(1-2*BO9/R9)))))^(2/3))*SQRT(N9))</f>
        <v/>
      </c>
      <c r="BQ9" s="4">
        <f>IF(AY9="","",IF(BP9&lt;AY9,BO9,BM9))</f>
        <v/>
      </c>
      <c r="BR9" s="4">
        <f>IF(AY9="","",IF(BP9&lt;AY9,BN9,BO9))</f>
        <v/>
      </c>
      <c r="BS9" s="4">
        <f>IF(AY9="","",(BQ9+BR9)/2)</f>
        <v/>
      </c>
      <c r="BT9" s="4">
        <f>IF(OR(R9="",N9="",BS9="",R9&lt;=0,BS9&lt;=0),"",(1/Inputs!$B$9)*((R9^2/8)*((2*ACOS(1-2*BS9/R9))-SIN((2*ACOS(1-2*BS9/R9)))))*((((R9^2/8)*((2*ACOS(1-2*BS9/R9))-SIN((2*ACOS(1-2*BS9/R9)))))/((R9/2)*((2*ACOS(1-2*BS9/R9)))))^(2/3))*SQRT(N9))</f>
        <v/>
      </c>
      <c r="BU9" s="4">
        <f>IF(AY9="","",IF(BT9&lt;AY9,BS9,BQ9))</f>
        <v/>
      </c>
      <c r="BV9" s="4">
        <f>IF(AY9="","",IF(BT9&lt;AY9,BR9,BS9))</f>
        <v/>
      </c>
      <c r="BW9" s="4">
        <f>IF(AY9="","",(BU9+BV9)/2)</f>
        <v/>
      </c>
      <c r="BX9" s="4">
        <f>IF(OR(R9="",N9="",BW9="",R9&lt;=0,BW9&lt;=0),"",(1/Inputs!$B$9)*((R9^2/8)*((2*ACOS(1-2*BW9/R9))-SIN((2*ACOS(1-2*BW9/R9)))))*((((R9^2/8)*((2*ACOS(1-2*BW9/R9))-SIN((2*ACOS(1-2*BW9/R9)))))/((R9/2)*((2*ACOS(1-2*BW9/R9)))))^(2/3))*SQRT(N9))</f>
        <v/>
      </c>
      <c r="BY9" s="4">
        <f>IF(AY9="","",IF(BX9&lt;AY9,BW9,BU9))</f>
        <v/>
      </c>
      <c r="BZ9" s="4">
        <f>IF(AY9="","",IF(BX9&lt;AY9,BV9,BW9))</f>
        <v/>
      </c>
      <c r="CA9" s="4">
        <f>IF(AY9="","",(BY9+BZ9)/2)</f>
        <v/>
      </c>
      <c r="CB9" s="4">
        <f>IF(OR(R9="",N9="",CA9="",R9&lt;=0,CA9&lt;=0),"",(1/Inputs!$B$9)*((R9^2/8)*((2*ACOS(1-2*CA9/R9))-SIN((2*ACOS(1-2*CA9/R9)))))*((((R9^2/8)*((2*ACOS(1-2*CA9/R9))-SIN((2*ACOS(1-2*CA9/R9)))))/((R9/2)*((2*ACOS(1-2*CA9/R9)))))^(2/3))*SQRT(N9))</f>
        <v/>
      </c>
      <c r="CC9" s="4">
        <f>IF(AY9="","",IF(CB9&lt;AY9,CA9,BY9))</f>
        <v/>
      </c>
      <c r="CD9" s="4">
        <f>IF(AY9="","",IF(CB9&lt;AY9,BZ9,CA9))</f>
        <v/>
      </c>
      <c r="CE9" s="4">
        <f>IF(AY9="","",(CC9+CD9)/2)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SUMIFS(CB_Tributaires!$G:$G,CB_Tributaires!$F:$F,$A10)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IF(A10="","",IF(F10="","",2.78E-7*IF(G10&lt;&gt;"",G10,IFERROR(SUMIFS(CB_Tributaires!$H:$H,CB_Tributaires!$F:$F,$A10)/SUMIFS(CB_Tributaires!$G:$G,CB_Tributaires!$F:$F,$A10),Inputs!$B$17))*F10*I10))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/>
      </c>
      <c r="AW10" s="7">
        <f>IF(AY10="","",CE10)</f>
        <v/>
      </c>
      <c r="AX10" s="7">
        <f>IF(OR(AY10="",AW10="",R10="",R10&lt;=0,AW10&lt;=0),"",AY10/((R10^2/8)*(2*ACOS(1-2*AW10/R10)-SIN(2*ACOS(1-2*AW10/R10)))))</f>
        <v/>
      </c>
      <c r="AY10" s="4">
        <f>IF(OR(L10="",AZ10=""),"",MIN(L10,AZ10))</f>
        <v/>
      </c>
      <c r="AZ10" s="4">
        <f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/>
      </c>
      <c r="BA10" s="4">
        <f>IF(AY10="","",0.001*R10)</f>
        <v/>
      </c>
      <c r="BB10" s="4">
        <f>IF(AY10="","",0.94*R10)</f>
        <v/>
      </c>
      <c r="BC10" s="4">
        <f>IF(AY10="","",(BA10+BB10)/2)</f>
        <v/>
      </c>
      <c r="BD10" s="4">
        <f>IF(OR(R10="",N10="",BC10="",R10&lt;=0,BC10&lt;=0),"",(1/Inputs!$B$9)*((R10^2/8)*((2*ACOS(1-2*BC10/R10))-SIN((2*ACOS(1-2*BC10/R10)))))*((((R10^2/8)*((2*ACOS(1-2*BC10/R10))-SIN((2*ACOS(1-2*BC10/R10)))))/((R10/2)*((2*ACOS(1-2*BC10/R10)))))^(2/3))*SQRT(N10))</f>
        <v/>
      </c>
      <c r="BE10" s="4">
        <f>IF(AY10="","",IF(BD10&lt;AY10,BC10,BA10))</f>
        <v/>
      </c>
      <c r="BF10" s="4">
        <f>IF(AY10="","",IF(BD10&lt;AY10,BB10,BC10))</f>
        <v/>
      </c>
      <c r="BG10" s="4">
        <f>IF(AY10="","",(BE10+BF10)/2)</f>
        <v/>
      </c>
      <c r="BH10" s="4">
        <f>IF(OR(R10="",N10="",BG10="",R10&lt;=0,BG10&lt;=0),"",(1/Inputs!$B$9)*((R10^2/8)*((2*ACOS(1-2*BG10/R10))-SIN((2*ACOS(1-2*BG10/R10)))))*((((R10^2/8)*((2*ACOS(1-2*BG10/R10))-SIN((2*ACOS(1-2*BG10/R10)))))/((R10/2)*((2*ACOS(1-2*BG10/R10)))))^(2/3))*SQRT(N10))</f>
        <v/>
      </c>
      <c r="BI10" s="4">
        <f>IF(AY10="","",IF(BH10&lt;AY10,BG10,BE10))</f>
        <v/>
      </c>
      <c r="BJ10" s="4">
        <f>IF(AY10="","",IF(BH10&lt;AY10,BF10,BG10))</f>
        <v/>
      </c>
      <c r="BK10" s="4">
        <f>IF(AY10="","",(BI10+BJ10)/2)</f>
        <v/>
      </c>
      <c r="BL10" s="4">
        <f>IF(OR(R10="",N10="",BK10="",R10&lt;=0,BK10&lt;=0),"",(1/Inputs!$B$9)*((R10^2/8)*((2*ACOS(1-2*BK10/R10))-SIN((2*ACOS(1-2*BK10/R10)))))*((((R10^2/8)*((2*ACOS(1-2*BK10/R10))-SIN((2*ACOS(1-2*BK10/R10)))))/((R10/2)*((2*ACOS(1-2*BK10/R10)))))^(2/3))*SQRT(N10))</f>
        <v/>
      </c>
      <c r="BM10" s="4">
        <f>IF(AY10="","",IF(BL10&lt;AY10,BK10,BI10))</f>
        <v/>
      </c>
      <c r="BN10" s="4">
        <f>IF(AY10="","",IF(BL10&lt;AY10,BJ10,BK10))</f>
        <v/>
      </c>
      <c r="BO10" s="4">
        <f>IF(AY10="","",(BM10+BN10)/2)</f>
        <v/>
      </c>
      <c r="BP10" s="4">
        <f>IF(OR(R10="",N10="",BO10="",R10&lt;=0,BO10&lt;=0),"",(1/Inputs!$B$9)*((R10^2/8)*((2*ACOS(1-2*BO10/R10))-SIN((2*ACOS(1-2*BO10/R10)))))*((((R10^2/8)*((2*ACOS(1-2*BO10/R10))-SIN((2*ACOS(1-2*BO10/R10)))))/((R10/2)*((2*ACOS(1-2*BO10/R10)))))^(2/3))*SQRT(N10))</f>
        <v/>
      </c>
      <c r="BQ10" s="4">
        <f>IF(AY10="","",IF(BP10&lt;AY10,BO10,BM10))</f>
        <v/>
      </c>
      <c r="BR10" s="4">
        <f>IF(AY10="","",IF(BP10&lt;AY10,BN10,BO10))</f>
        <v/>
      </c>
      <c r="BS10" s="4">
        <f>IF(AY10="","",(BQ10+BR10)/2)</f>
        <v/>
      </c>
      <c r="BT10" s="4">
        <f>IF(OR(R10="",N10="",BS10="",R10&lt;=0,BS10&lt;=0),"",(1/Inputs!$B$9)*((R10^2/8)*((2*ACOS(1-2*BS10/R10))-SIN((2*ACOS(1-2*BS10/R10)))))*((((R10^2/8)*((2*ACOS(1-2*BS10/R10))-SIN((2*ACOS(1-2*BS10/R10)))))/((R10/2)*((2*ACOS(1-2*BS10/R10)))))^(2/3))*SQRT(N10))</f>
        <v/>
      </c>
      <c r="BU10" s="4">
        <f>IF(AY10="","",IF(BT10&lt;AY10,BS10,BQ10))</f>
        <v/>
      </c>
      <c r="BV10" s="4">
        <f>IF(AY10="","",IF(BT10&lt;AY10,BR10,BS10))</f>
        <v/>
      </c>
      <c r="BW10" s="4">
        <f>IF(AY10="","",(BU10+BV10)/2)</f>
        <v/>
      </c>
      <c r="BX10" s="4">
        <f>IF(OR(R10="",N10="",BW10="",R10&lt;=0,BW10&lt;=0),"",(1/Inputs!$B$9)*((R10^2/8)*((2*ACOS(1-2*BW10/R10))-SIN((2*ACOS(1-2*BW10/R10)))))*((((R10^2/8)*((2*ACOS(1-2*BW10/R10))-SIN((2*ACOS(1-2*BW10/R10)))))/((R10/2)*((2*ACOS(1-2*BW10/R10)))))^(2/3))*SQRT(N10))</f>
        <v/>
      </c>
      <c r="BY10" s="4">
        <f>IF(AY10="","",IF(BX10&lt;AY10,BW10,BU10))</f>
        <v/>
      </c>
      <c r="BZ10" s="4">
        <f>IF(AY10="","",IF(BX10&lt;AY10,BV10,BW10))</f>
        <v/>
      </c>
      <c r="CA10" s="4">
        <f>IF(AY10="","",(BY10+BZ10)/2)</f>
        <v/>
      </c>
      <c r="CB10" s="4">
        <f>IF(OR(R10="",N10="",CA10="",R10&lt;=0,CA10&lt;=0),"",(1/Inputs!$B$9)*((R10^2/8)*((2*ACOS(1-2*CA10/R10))-SIN((2*ACOS(1-2*CA10/R10)))))*((((R10^2/8)*((2*ACOS(1-2*CA10/R10))-SIN((2*ACOS(1-2*CA10/R10)))))/((R10/2)*((2*ACOS(1-2*CA10/R10)))))^(2/3))*SQRT(N10))</f>
        <v/>
      </c>
      <c r="CC10" s="4">
        <f>IF(AY10="","",IF(CB10&lt;AY10,CA10,BY10))</f>
        <v/>
      </c>
      <c r="CD10" s="4">
        <f>IF(AY10="","",IF(CB10&lt;AY10,BZ10,CA10))</f>
        <v/>
      </c>
      <c r="CE10" s="4">
        <f>IF(AY10="","",(CC10+CD10)/2)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SUMIFS(CB_Tributaires!$G:$G,CB_Tributaires!$F:$F,$A11)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IF(A11="","",IF(F11="","",2.78E-7*IF(G11&lt;&gt;"",G11,IFERROR(SUMIFS(CB_Tributaires!$H:$H,CB_Tributaires!$F:$F,$A11)/SUMIFS(CB_Tributaires!$G:$G,CB_Tributaires!$F:$F,$A11),Inputs!$B$17))*F11*I11))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/>
      </c>
      <c r="AW11" s="7">
        <f>IF(AY11="","",CE11)</f>
        <v/>
      </c>
      <c r="AX11" s="7">
        <f>IF(OR(AY11="",AW11="",R11="",R11&lt;=0,AW11&lt;=0),"",AY11/((R11^2/8)*(2*ACOS(1-2*AW11/R11)-SIN(2*ACOS(1-2*AW11/R11)))))</f>
        <v/>
      </c>
      <c r="AY11" s="4">
        <f>IF(OR(L11="",AZ11=""),"",MIN(L11,AZ11))</f>
        <v/>
      </c>
      <c r="AZ11" s="4">
        <f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/>
      </c>
      <c r="BA11" s="4">
        <f>IF(AY11="","",0.001*R11)</f>
        <v/>
      </c>
      <c r="BB11" s="4">
        <f>IF(AY11="","",0.94*R11)</f>
        <v/>
      </c>
      <c r="BC11" s="4">
        <f>IF(AY11="","",(BA11+BB11)/2)</f>
        <v/>
      </c>
      <c r="BD11" s="4">
        <f>IF(OR(R11="",N11="",BC11="",R11&lt;=0,BC11&lt;=0),"",(1/Inputs!$B$9)*((R11^2/8)*((2*ACOS(1-2*BC11/R11))-SIN((2*ACOS(1-2*BC11/R11)))))*((((R11^2/8)*((2*ACOS(1-2*BC11/R11))-SIN((2*ACOS(1-2*BC11/R11)))))/((R11/2)*((2*ACOS(1-2*BC11/R11)))))^(2/3))*SQRT(N11))</f>
        <v/>
      </c>
      <c r="BE11" s="4">
        <f>IF(AY11="","",IF(BD11&lt;AY11,BC11,BA11))</f>
        <v/>
      </c>
      <c r="BF11" s="4">
        <f>IF(AY11="","",IF(BD11&lt;AY11,BB11,BC11))</f>
        <v/>
      </c>
      <c r="BG11" s="4">
        <f>IF(AY11="","",(BE11+BF11)/2)</f>
        <v/>
      </c>
      <c r="BH11" s="4">
        <f>IF(OR(R11="",N11="",BG11="",R11&lt;=0,BG11&lt;=0),"",(1/Inputs!$B$9)*((R11^2/8)*((2*ACOS(1-2*BG11/R11))-SIN((2*ACOS(1-2*BG11/R11)))))*((((R11^2/8)*((2*ACOS(1-2*BG11/R11))-SIN((2*ACOS(1-2*BG11/R11)))))/((R11/2)*((2*ACOS(1-2*BG11/R11)))))^(2/3))*SQRT(N11))</f>
        <v/>
      </c>
      <c r="BI11" s="4">
        <f>IF(AY11="","",IF(BH11&lt;AY11,BG11,BE11))</f>
        <v/>
      </c>
      <c r="BJ11" s="4">
        <f>IF(AY11="","",IF(BH11&lt;AY11,BF11,BG11))</f>
        <v/>
      </c>
      <c r="BK11" s="4">
        <f>IF(AY11="","",(BI11+BJ11)/2)</f>
        <v/>
      </c>
      <c r="BL11" s="4">
        <f>IF(OR(R11="",N11="",BK11="",R11&lt;=0,BK11&lt;=0),"",(1/Inputs!$B$9)*((R11^2/8)*((2*ACOS(1-2*BK11/R11))-SIN((2*ACOS(1-2*BK11/R11)))))*((((R11^2/8)*((2*ACOS(1-2*BK11/R11))-SIN((2*ACOS(1-2*BK11/R11)))))/((R11/2)*((2*ACOS(1-2*BK11/R11)))))^(2/3))*SQRT(N11))</f>
        <v/>
      </c>
      <c r="BM11" s="4">
        <f>IF(AY11="","",IF(BL11&lt;AY11,BK11,BI11))</f>
        <v/>
      </c>
      <c r="BN11" s="4">
        <f>IF(AY11="","",IF(BL11&lt;AY11,BJ11,BK11))</f>
        <v/>
      </c>
      <c r="BO11" s="4">
        <f>IF(AY11="","",(BM11+BN11)/2)</f>
        <v/>
      </c>
      <c r="BP11" s="4">
        <f>IF(OR(R11="",N11="",BO11="",R11&lt;=0,BO11&lt;=0),"",(1/Inputs!$B$9)*((R11^2/8)*((2*ACOS(1-2*BO11/R11))-SIN((2*ACOS(1-2*BO11/R11)))))*((((R11^2/8)*((2*ACOS(1-2*BO11/R11))-SIN((2*ACOS(1-2*BO11/R11)))))/((R11/2)*((2*ACOS(1-2*BO11/R11)))))^(2/3))*SQRT(N11))</f>
        <v/>
      </c>
      <c r="BQ11" s="4">
        <f>IF(AY11="","",IF(BP11&lt;AY11,BO11,BM11))</f>
        <v/>
      </c>
      <c r="BR11" s="4">
        <f>IF(AY11="","",IF(BP11&lt;AY11,BN11,BO11))</f>
        <v/>
      </c>
      <c r="BS11" s="4">
        <f>IF(AY11="","",(BQ11+BR11)/2)</f>
        <v/>
      </c>
      <c r="BT11" s="4">
        <f>IF(OR(R11="",N11="",BS11="",R11&lt;=0,BS11&lt;=0),"",(1/Inputs!$B$9)*((R11^2/8)*((2*ACOS(1-2*BS11/R11))-SIN((2*ACOS(1-2*BS11/R11)))))*((((R11^2/8)*((2*ACOS(1-2*BS11/R11))-SIN((2*ACOS(1-2*BS11/R11)))))/((R11/2)*((2*ACOS(1-2*BS11/R11)))))^(2/3))*SQRT(N11))</f>
        <v/>
      </c>
      <c r="BU11" s="4">
        <f>IF(AY11="","",IF(BT11&lt;AY11,BS11,BQ11))</f>
        <v/>
      </c>
      <c r="BV11" s="4">
        <f>IF(AY11="","",IF(BT11&lt;AY11,BR11,BS11))</f>
        <v/>
      </c>
      <c r="BW11" s="4">
        <f>IF(AY11="","",(BU11+BV11)/2)</f>
        <v/>
      </c>
      <c r="BX11" s="4">
        <f>IF(OR(R11="",N11="",BW11="",R11&lt;=0,BW11&lt;=0),"",(1/Inputs!$B$9)*((R11^2/8)*((2*ACOS(1-2*BW11/R11))-SIN((2*ACOS(1-2*BW11/R11)))))*((((R11^2/8)*((2*ACOS(1-2*BW11/R11))-SIN((2*ACOS(1-2*BW11/R11)))))/((R11/2)*((2*ACOS(1-2*BW11/R11)))))^(2/3))*SQRT(N11))</f>
        <v/>
      </c>
      <c r="BY11" s="4">
        <f>IF(AY11="","",IF(BX11&lt;AY11,BW11,BU11))</f>
        <v/>
      </c>
      <c r="BZ11" s="4">
        <f>IF(AY11="","",IF(BX11&lt;AY11,BV11,BW11))</f>
        <v/>
      </c>
      <c r="CA11" s="4">
        <f>IF(AY11="","",(BY11+BZ11)/2)</f>
        <v/>
      </c>
      <c r="CB11" s="4">
        <f>IF(OR(R11="",N11="",CA11="",R11&lt;=0,CA11&lt;=0),"",(1/Inputs!$B$9)*((R11^2/8)*((2*ACOS(1-2*CA11/R11))-SIN((2*ACOS(1-2*CA11/R11)))))*((((R11^2/8)*((2*ACOS(1-2*CA11/R11))-SIN((2*ACOS(1-2*CA11/R11)))))/((R11/2)*((2*ACOS(1-2*CA11/R11)))))^(2/3))*SQRT(N11))</f>
        <v/>
      </c>
      <c r="CC11" s="4">
        <f>IF(AY11="","",IF(CB11&lt;AY11,CA11,BY11))</f>
        <v/>
      </c>
      <c r="CD11" s="4">
        <f>IF(AY11="","",IF(CB11&lt;AY11,BZ11,CA11))</f>
        <v/>
      </c>
      <c r="CE11" s="4">
        <f>IF(AY11="","",(CC11+CD11)/2)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SUMIFS(CB_Tributaires!$G:$G,CB_Tributaires!$F:$F,$A12)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IF(A12="","",IF(F12="","",2.78E-7*IF(G12&lt;&gt;"",G12,IFERROR(SUMIFS(CB_Tributaires!$H:$H,CB_Tributaires!$F:$F,$A12)/SUMIFS(CB_Tributaires!$G:$G,CB_Tributaires!$F:$F,$A12),Inputs!$B$17))*F12*I12))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/>
      </c>
      <c r="AW12" s="7">
        <f>IF(AY12="","",CE12)</f>
        <v/>
      </c>
      <c r="AX12" s="7">
        <f>IF(OR(AY12="",AW12="",R12="",R12&lt;=0,AW12&lt;=0),"",AY12/((R12^2/8)*(2*ACOS(1-2*AW12/R12)-SIN(2*ACOS(1-2*AW12/R12)))))</f>
        <v/>
      </c>
      <c r="AY12" s="4">
        <f>IF(OR(L12="",AZ12=""),"",MIN(L12,AZ12))</f>
        <v/>
      </c>
      <c r="AZ12" s="4">
        <f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/>
      </c>
      <c r="BA12" s="4">
        <f>IF(AY12="","",0.001*R12)</f>
        <v/>
      </c>
      <c r="BB12" s="4">
        <f>IF(AY12="","",0.94*R12)</f>
        <v/>
      </c>
      <c r="BC12" s="4">
        <f>IF(AY12="","",(BA12+BB12)/2)</f>
        <v/>
      </c>
      <c r="BD12" s="4">
        <f>IF(OR(R12="",N12="",BC12="",R12&lt;=0,BC12&lt;=0),"",(1/Inputs!$B$9)*((R12^2/8)*((2*ACOS(1-2*BC12/R12))-SIN((2*ACOS(1-2*BC12/R12)))))*((((R12^2/8)*((2*ACOS(1-2*BC12/R12))-SIN((2*ACOS(1-2*BC12/R12)))))/((R12/2)*((2*ACOS(1-2*BC12/R12)))))^(2/3))*SQRT(N12))</f>
        <v/>
      </c>
      <c r="BE12" s="4">
        <f>IF(AY12="","",IF(BD12&lt;AY12,BC12,BA12))</f>
        <v/>
      </c>
      <c r="BF12" s="4">
        <f>IF(AY12="","",IF(BD12&lt;AY12,BB12,BC12))</f>
        <v/>
      </c>
      <c r="BG12" s="4">
        <f>IF(AY12="","",(BE12+BF12)/2)</f>
        <v/>
      </c>
      <c r="BH12" s="4">
        <f>IF(OR(R12="",N12="",BG12="",R12&lt;=0,BG12&lt;=0),"",(1/Inputs!$B$9)*((R12^2/8)*((2*ACOS(1-2*BG12/R12))-SIN((2*ACOS(1-2*BG12/R12)))))*((((R12^2/8)*((2*ACOS(1-2*BG12/R12))-SIN((2*ACOS(1-2*BG12/R12)))))/((R12/2)*((2*ACOS(1-2*BG12/R12)))))^(2/3))*SQRT(N12))</f>
        <v/>
      </c>
      <c r="BI12" s="4">
        <f>IF(AY12="","",IF(BH12&lt;AY12,BG12,BE12))</f>
        <v/>
      </c>
      <c r="BJ12" s="4">
        <f>IF(AY12="","",IF(BH12&lt;AY12,BF12,BG12))</f>
        <v/>
      </c>
      <c r="BK12" s="4">
        <f>IF(AY12="","",(BI12+BJ12)/2)</f>
        <v/>
      </c>
      <c r="BL12" s="4">
        <f>IF(OR(R12="",N12="",BK12="",R12&lt;=0,BK12&lt;=0),"",(1/Inputs!$B$9)*((R12^2/8)*((2*ACOS(1-2*BK12/R12))-SIN((2*ACOS(1-2*BK12/R12)))))*((((R12^2/8)*((2*ACOS(1-2*BK12/R12))-SIN((2*ACOS(1-2*BK12/R12)))))/((R12/2)*((2*ACOS(1-2*BK12/R12)))))^(2/3))*SQRT(N12))</f>
        <v/>
      </c>
      <c r="BM12" s="4">
        <f>IF(AY12="","",IF(BL12&lt;AY12,BK12,BI12))</f>
        <v/>
      </c>
      <c r="BN12" s="4">
        <f>IF(AY12="","",IF(BL12&lt;AY12,BJ12,BK12))</f>
        <v/>
      </c>
      <c r="BO12" s="4">
        <f>IF(AY12="","",(BM12+BN12)/2)</f>
        <v/>
      </c>
      <c r="BP12" s="4">
        <f>IF(OR(R12="",N12="",BO12="",R12&lt;=0,BO12&lt;=0),"",(1/Inputs!$B$9)*((R12^2/8)*((2*ACOS(1-2*BO12/R12))-SIN((2*ACOS(1-2*BO12/R12)))))*((((R12^2/8)*((2*ACOS(1-2*BO12/R12))-SIN((2*ACOS(1-2*BO12/R12)))))/((R12/2)*((2*ACOS(1-2*BO12/R12)))))^(2/3))*SQRT(N12))</f>
        <v/>
      </c>
      <c r="BQ12" s="4">
        <f>IF(AY12="","",IF(BP12&lt;AY12,BO12,BM12))</f>
        <v/>
      </c>
      <c r="BR12" s="4">
        <f>IF(AY12="","",IF(BP12&lt;AY12,BN12,BO12))</f>
        <v/>
      </c>
      <c r="BS12" s="4">
        <f>IF(AY12="","",(BQ12+BR12)/2)</f>
        <v/>
      </c>
      <c r="BT12" s="4">
        <f>IF(OR(R12="",N12="",BS12="",R12&lt;=0,BS12&lt;=0),"",(1/Inputs!$B$9)*((R12^2/8)*((2*ACOS(1-2*BS12/R12))-SIN((2*ACOS(1-2*BS12/R12)))))*((((R12^2/8)*((2*ACOS(1-2*BS12/R12))-SIN((2*ACOS(1-2*BS12/R12)))))/((R12/2)*((2*ACOS(1-2*BS12/R12)))))^(2/3))*SQRT(N12))</f>
        <v/>
      </c>
      <c r="BU12" s="4">
        <f>IF(AY12="","",IF(BT12&lt;AY12,BS12,BQ12))</f>
        <v/>
      </c>
      <c r="BV12" s="4">
        <f>IF(AY12="","",IF(BT12&lt;AY12,BR12,BS12))</f>
        <v/>
      </c>
      <c r="BW12" s="4">
        <f>IF(AY12="","",(BU12+BV12)/2)</f>
        <v/>
      </c>
      <c r="BX12" s="4">
        <f>IF(OR(R12="",N12="",BW12="",R12&lt;=0,BW12&lt;=0),"",(1/Inputs!$B$9)*((R12^2/8)*((2*ACOS(1-2*BW12/R12))-SIN((2*ACOS(1-2*BW12/R12)))))*((((R12^2/8)*((2*ACOS(1-2*BW12/R12))-SIN((2*ACOS(1-2*BW12/R12)))))/((R12/2)*((2*ACOS(1-2*BW12/R12)))))^(2/3))*SQRT(N12))</f>
        <v/>
      </c>
      <c r="BY12" s="4">
        <f>IF(AY12="","",IF(BX12&lt;AY12,BW12,BU12))</f>
        <v/>
      </c>
      <c r="BZ12" s="4">
        <f>IF(AY12="","",IF(BX12&lt;AY12,BV12,BW12))</f>
        <v/>
      </c>
      <c r="CA12" s="4">
        <f>IF(AY12="","",(BY12+BZ12)/2)</f>
        <v/>
      </c>
      <c r="CB12" s="4">
        <f>IF(OR(R12="",N12="",CA12="",R12&lt;=0,CA12&lt;=0),"",(1/Inputs!$B$9)*((R12^2/8)*((2*ACOS(1-2*CA12/R12))-SIN((2*ACOS(1-2*CA12/R12)))))*((((R12^2/8)*((2*ACOS(1-2*CA12/R12))-SIN((2*ACOS(1-2*CA12/R12)))))/((R12/2)*((2*ACOS(1-2*CA12/R12)))))^(2/3))*SQRT(N12))</f>
        <v/>
      </c>
      <c r="CC12" s="4">
        <f>IF(AY12="","",IF(CB12&lt;AY12,CA12,BY12))</f>
        <v/>
      </c>
      <c r="CD12" s="4">
        <f>IF(AY12="","",IF(CB12&lt;AY12,BZ12,CA12))</f>
        <v/>
      </c>
      <c r="CE12" s="4">
        <f>IF(AY12="","",(CC12+CD12)/2)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SUMIFS(CB_Tributaires!$G:$G,CB_Tributaires!$F:$F,$A13)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IF(A13="","",IF(F13="","",2.78E-7*IF(G13&lt;&gt;"",G13,IFERROR(SUMIFS(CB_Tributaires!$H:$H,CB_Tributaires!$F:$F,$A13)/SUMIFS(CB_Tributaires!$G:$G,CB_Tributaires!$F:$F,$A13),Inputs!$B$17))*F13*I13))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/>
      </c>
      <c r="AW13" s="7">
        <f>IF(AY13="","",CE13)</f>
        <v/>
      </c>
      <c r="AX13" s="7">
        <f>IF(OR(AY13="",AW13="",R13="",R13&lt;=0,AW13&lt;=0),"",AY13/((R13^2/8)*(2*ACOS(1-2*AW13/R13)-SIN(2*ACOS(1-2*AW13/R13)))))</f>
        <v/>
      </c>
      <c r="AY13" s="4">
        <f>IF(OR(L13="",AZ13=""),"",MIN(L13,AZ13))</f>
        <v/>
      </c>
      <c r="AZ13" s="4">
        <f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/>
      </c>
      <c r="BA13" s="4">
        <f>IF(AY13="","",0.001*R13)</f>
        <v/>
      </c>
      <c r="BB13" s="4">
        <f>IF(AY13="","",0.94*R13)</f>
        <v/>
      </c>
      <c r="BC13" s="4">
        <f>IF(AY13="","",(BA13+BB13)/2)</f>
        <v/>
      </c>
      <c r="BD13" s="4">
        <f>IF(OR(R13="",N13="",BC13="",R13&lt;=0,BC13&lt;=0),"",(1/Inputs!$B$9)*((R13^2/8)*((2*ACOS(1-2*BC13/R13))-SIN((2*ACOS(1-2*BC13/R13)))))*((((R13^2/8)*((2*ACOS(1-2*BC13/R13))-SIN((2*ACOS(1-2*BC13/R13)))))/((R13/2)*((2*ACOS(1-2*BC13/R13)))))^(2/3))*SQRT(N13))</f>
        <v/>
      </c>
      <c r="BE13" s="4">
        <f>IF(AY13="","",IF(BD13&lt;AY13,BC13,BA13))</f>
        <v/>
      </c>
      <c r="BF13" s="4">
        <f>IF(AY13="","",IF(BD13&lt;AY13,BB13,BC13))</f>
        <v/>
      </c>
      <c r="BG13" s="4">
        <f>IF(AY13="","",(BE13+BF13)/2)</f>
        <v/>
      </c>
      <c r="BH13" s="4">
        <f>IF(OR(R13="",N13="",BG13="",R13&lt;=0,BG13&lt;=0),"",(1/Inputs!$B$9)*((R13^2/8)*((2*ACOS(1-2*BG13/R13))-SIN((2*ACOS(1-2*BG13/R13)))))*((((R13^2/8)*((2*ACOS(1-2*BG13/R13))-SIN((2*ACOS(1-2*BG13/R13)))))/((R13/2)*((2*ACOS(1-2*BG13/R13)))))^(2/3))*SQRT(N13))</f>
        <v/>
      </c>
      <c r="BI13" s="4">
        <f>IF(AY13="","",IF(BH13&lt;AY13,BG13,BE13))</f>
        <v/>
      </c>
      <c r="BJ13" s="4">
        <f>IF(AY13="","",IF(BH13&lt;AY13,BF13,BG13))</f>
        <v/>
      </c>
      <c r="BK13" s="4">
        <f>IF(AY13="","",(BI13+BJ13)/2)</f>
        <v/>
      </c>
      <c r="BL13" s="4">
        <f>IF(OR(R13="",N13="",BK13="",R13&lt;=0,BK13&lt;=0),"",(1/Inputs!$B$9)*((R13^2/8)*((2*ACOS(1-2*BK13/R13))-SIN((2*ACOS(1-2*BK13/R13)))))*((((R13^2/8)*((2*ACOS(1-2*BK13/R13))-SIN((2*ACOS(1-2*BK13/R13)))))/((R13/2)*((2*ACOS(1-2*BK13/R13)))))^(2/3))*SQRT(N13))</f>
        <v/>
      </c>
      <c r="BM13" s="4">
        <f>IF(AY13="","",IF(BL13&lt;AY13,BK13,BI13))</f>
        <v/>
      </c>
      <c r="BN13" s="4">
        <f>IF(AY13="","",IF(BL13&lt;AY13,BJ13,BK13))</f>
        <v/>
      </c>
      <c r="BO13" s="4">
        <f>IF(AY13="","",(BM13+BN13)/2)</f>
        <v/>
      </c>
      <c r="BP13" s="4">
        <f>IF(OR(R13="",N13="",BO13="",R13&lt;=0,BO13&lt;=0),"",(1/Inputs!$B$9)*((R13^2/8)*((2*ACOS(1-2*BO13/R13))-SIN((2*ACOS(1-2*BO13/R13)))))*((((R13^2/8)*((2*ACOS(1-2*BO13/R13))-SIN((2*ACOS(1-2*BO13/R13)))))/((R13/2)*((2*ACOS(1-2*BO13/R13)))))^(2/3))*SQRT(N13))</f>
        <v/>
      </c>
      <c r="BQ13" s="4">
        <f>IF(AY13="","",IF(BP13&lt;AY13,BO13,BM13))</f>
        <v/>
      </c>
      <c r="BR13" s="4">
        <f>IF(AY13="","",IF(BP13&lt;AY13,BN13,BO13))</f>
        <v/>
      </c>
      <c r="BS13" s="4">
        <f>IF(AY13="","",(BQ13+BR13)/2)</f>
        <v/>
      </c>
      <c r="BT13" s="4">
        <f>IF(OR(R13="",N13="",BS13="",R13&lt;=0,BS13&lt;=0),"",(1/Inputs!$B$9)*((R13^2/8)*((2*ACOS(1-2*BS13/R13))-SIN((2*ACOS(1-2*BS13/R13)))))*((((R13^2/8)*((2*ACOS(1-2*BS13/R13))-SIN((2*ACOS(1-2*BS13/R13)))))/((R13/2)*((2*ACOS(1-2*BS13/R13)))))^(2/3))*SQRT(N13))</f>
        <v/>
      </c>
      <c r="BU13" s="4">
        <f>IF(AY13="","",IF(BT13&lt;AY13,BS13,BQ13))</f>
        <v/>
      </c>
      <c r="BV13" s="4">
        <f>IF(AY13="","",IF(BT13&lt;AY13,BR13,BS13))</f>
        <v/>
      </c>
      <c r="BW13" s="4">
        <f>IF(AY13="","",(BU13+BV13)/2)</f>
        <v/>
      </c>
      <c r="BX13" s="4">
        <f>IF(OR(R13="",N13="",BW13="",R13&lt;=0,BW13&lt;=0),"",(1/Inputs!$B$9)*((R13^2/8)*((2*ACOS(1-2*BW13/R13))-SIN((2*ACOS(1-2*BW13/R13)))))*((((R13^2/8)*((2*ACOS(1-2*BW13/R13))-SIN((2*ACOS(1-2*BW13/R13)))))/((R13/2)*((2*ACOS(1-2*BW13/R13)))))^(2/3))*SQRT(N13))</f>
        <v/>
      </c>
      <c r="BY13" s="4">
        <f>IF(AY13="","",IF(BX13&lt;AY13,BW13,BU13))</f>
        <v/>
      </c>
      <c r="BZ13" s="4">
        <f>IF(AY13="","",IF(BX13&lt;AY13,BV13,BW13))</f>
        <v/>
      </c>
      <c r="CA13" s="4">
        <f>IF(AY13="","",(BY13+BZ13)/2)</f>
        <v/>
      </c>
      <c r="CB13" s="4">
        <f>IF(OR(R13="",N13="",CA13="",R13&lt;=0,CA13&lt;=0),"",(1/Inputs!$B$9)*((R13^2/8)*((2*ACOS(1-2*CA13/R13))-SIN((2*ACOS(1-2*CA13/R13)))))*((((R13^2/8)*((2*ACOS(1-2*CA13/R13))-SIN((2*ACOS(1-2*CA13/R13)))))/((R13/2)*((2*ACOS(1-2*CA13/R13)))))^(2/3))*SQRT(N13))</f>
        <v/>
      </c>
      <c r="CC13" s="4">
        <f>IF(AY13="","",IF(CB13&lt;AY13,CA13,BY13))</f>
        <v/>
      </c>
      <c r="CD13" s="4">
        <f>IF(AY13="","",IF(CB13&lt;AY13,BZ13,CA13))</f>
        <v/>
      </c>
      <c r="CE13" s="4">
        <f>IF(AY13="","",(CC13+CD13)/2)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SUMIFS(CB_Tributaires!$G:$G,CB_Tributaires!$F:$F,$A14)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IF(A14="","",IF(F14="","",2.78E-7*IF(G14&lt;&gt;"",G14,IFERROR(SUMIFS(CB_Tributaires!$H:$H,CB_Tributaires!$F:$F,$A14)/SUMIFS(CB_Tributaires!$G:$G,CB_Tributaires!$F:$F,$A14),Inputs!$B$17))*F14*I14))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/>
      </c>
      <c r="AW14" s="7">
        <f>IF(AY14="","",CE14)</f>
        <v/>
      </c>
      <c r="AX14" s="7">
        <f>IF(OR(AY14="",AW14="",R14="",R14&lt;=0,AW14&lt;=0),"",AY14/((R14^2/8)*(2*ACOS(1-2*AW14/R14)-SIN(2*ACOS(1-2*AW14/R14)))))</f>
        <v/>
      </c>
      <c r="AY14" s="4">
        <f>IF(OR(L14="",AZ14=""),"",MIN(L14,AZ14))</f>
        <v/>
      </c>
      <c r="AZ14" s="4">
        <f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/>
      </c>
      <c r="BA14" s="4">
        <f>IF(AY14="","",0.001*R14)</f>
        <v/>
      </c>
      <c r="BB14" s="4">
        <f>IF(AY14="","",0.94*R14)</f>
        <v/>
      </c>
      <c r="BC14" s="4">
        <f>IF(AY14="","",(BA14+BB14)/2)</f>
        <v/>
      </c>
      <c r="BD14" s="4">
        <f>IF(OR(R14="",N14="",BC14="",R14&lt;=0,BC14&lt;=0),"",(1/Inputs!$B$9)*((R14^2/8)*((2*ACOS(1-2*BC14/R14))-SIN((2*ACOS(1-2*BC14/R14)))))*((((R14^2/8)*((2*ACOS(1-2*BC14/R14))-SIN((2*ACOS(1-2*BC14/R14)))))/((R14/2)*((2*ACOS(1-2*BC14/R14)))))^(2/3))*SQRT(N14))</f>
        <v/>
      </c>
      <c r="BE14" s="4">
        <f>IF(AY14="","",IF(BD14&lt;AY14,BC14,BA14))</f>
        <v/>
      </c>
      <c r="BF14" s="4">
        <f>IF(AY14="","",IF(BD14&lt;AY14,BB14,BC14))</f>
        <v/>
      </c>
      <c r="BG14" s="4">
        <f>IF(AY14="","",(BE14+BF14)/2)</f>
        <v/>
      </c>
      <c r="BH14" s="4">
        <f>IF(OR(R14="",N14="",BG14="",R14&lt;=0,BG14&lt;=0),"",(1/Inputs!$B$9)*((R14^2/8)*((2*ACOS(1-2*BG14/R14))-SIN((2*ACOS(1-2*BG14/R14)))))*((((R14^2/8)*((2*ACOS(1-2*BG14/R14))-SIN((2*ACOS(1-2*BG14/R14)))))/((R14/2)*((2*ACOS(1-2*BG14/R14)))))^(2/3))*SQRT(N14))</f>
        <v/>
      </c>
      <c r="BI14" s="4">
        <f>IF(AY14="","",IF(BH14&lt;AY14,BG14,BE14))</f>
        <v/>
      </c>
      <c r="BJ14" s="4">
        <f>IF(AY14="","",IF(BH14&lt;AY14,BF14,BG14))</f>
        <v/>
      </c>
      <c r="BK14" s="4">
        <f>IF(AY14="","",(BI14+BJ14)/2)</f>
        <v/>
      </c>
      <c r="BL14" s="4">
        <f>IF(OR(R14="",N14="",BK14="",R14&lt;=0,BK14&lt;=0),"",(1/Inputs!$B$9)*((R14^2/8)*((2*ACOS(1-2*BK14/R14))-SIN((2*ACOS(1-2*BK14/R14)))))*((((R14^2/8)*((2*ACOS(1-2*BK14/R14))-SIN((2*ACOS(1-2*BK14/R14)))))/((R14/2)*((2*ACOS(1-2*BK14/R14)))))^(2/3))*SQRT(N14))</f>
        <v/>
      </c>
      <c r="BM14" s="4">
        <f>IF(AY14="","",IF(BL14&lt;AY14,BK14,BI14))</f>
        <v/>
      </c>
      <c r="BN14" s="4">
        <f>IF(AY14="","",IF(BL14&lt;AY14,BJ14,BK14))</f>
        <v/>
      </c>
      <c r="BO14" s="4">
        <f>IF(AY14="","",(BM14+BN14)/2)</f>
        <v/>
      </c>
      <c r="BP14" s="4">
        <f>IF(OR(R14="",N14="",BO14="",R14&lt;=0,BO14&lt;=0),"",(1/Inputs!$B$9)*((R14^2/8)*((2*ACOS(1-2*BO14/R14))-SIN((2*ACOS(1-2*BO14/R14)))))*((((R14^2/8)*((2*ACOS(1-2*BO14/R14))-SIN((2*ACOS(1-2*BO14/R14)))))/((R14/2)*((2*ACOS(1-2*BO14/R14)))))^(2/3))*SQRT(N14))</f>
        <v/>
      </c>
      <c r="BQ14" s="4">
        <f>IF(AY14="","",IF(BP14&lt;AY14,BO14,BM14))</f>
        <v/>
      </c>
      <c r="BR14" s="4">
        <f>IF(AY14="","",IF(BP14&lt;AY14,BN14,BO14))</f>
        <v/>
      </c>
      <c r="BS14" s="4">
        <f>IF(AY14="","",(BQ14+BR14)/2)</f>
        <v/>
      </c>
      <c r="BT14" s="4">
        <f>IF(OR(R14="",N14="",BS14="",R14&lt;=0,BS14&lt;=0),"",(1/Inputs!$B$9)*((R14^2/8)*((2*ACOS(1-2*BS14/R14))-SIN((2*ACOS(1-2*BS14/R14)))))*((((R14^2/8)*((2*ACOS(1-2*BS14/R14))-SIN((2*ACOS(1-2*BS14/R14)))))/((R14/2)*((2*ACOS(1-2*BS14/R14)))))^(2/3))*SQRT(N14))</f>
        <v/>
      </c>
      <c r="BU14" s="4">
        <f>IF(AY14="","",IF(BT14&lt;AY14,BS14,BQ14))</f>
        <v/>
      </c>
      <c r="BV14" s="4">
        <f>IF(AY14="","",IF(BT14&lt;AY14,BR14,BS14))</f>
        <v/>
      </c>
      <c r="BW14" s="4">
        <f>IF(AY14="","",(BU14+BV14)/2)</f>
        <v/>
      </c>
      <c r="BX14" s="4">
        <f>IF(OR(R14="",N14="",BW14="",R14&lt;=0,BW14&lt;=0),"",(1/Inputs!$B$9)*((R14^2/8)*((2*ACOS(1-2*BW14/R14))-SIN((2*ACOS(1-2*BW14/R14)))))*((((R14^2/8)*((2*ACOS(1-2*BW14/R14))-SIN((2*ACOS(1-2*BW14/R14)))))/((R14/2)*((2*ACOS(1-2*BW14/R14)))))^(2/3))*SQRT(N14))</f>
        <v/>
      </c>
      <c r="BY14" s="4">
        <f>IF(AY14="","",IF(BX14&lt;AY14,BW14,BU14))</f>
        <v/>
      </c>
      <c r="BZ14" s="4">
        <f>IF(AY14="","",IF(BX14&lt;AY14,BV14,BW14))</f>
        <v/>
      </c>
      <c r="CA14" s="4">
        <f>IF(AY14="","",(BY14+BZ14)/2)</f>
        <v/>
      </c>
      <c r="CB14" s="4">
        <f>IF(OR(R14="",N14="",CA14="",R14&lt;=0,CA14&lt;=0),"",(1/Inputs!$B$9)*((R14^2/8)*((2*ACOS(1-2*CA14/R14))-SIN((2*ACOS(1-2*CA14/R14)))))*((((R14^2/8)*((2*ACOS(1-2*CA14/R14))-SIN((2*ACOS(1-2*CA14/R14)))))/((R14/2)*((2*ACOS(1-2*CA14/R14)))))^(2/3))*SQRT(N14))</f>
        <v/>
      </c>
      <c r="CC14" s="4">
        <f>IF(AY14="","",IF(CB14&lt;AY14,CA14,BY14))</f>
        <v/>
      </c>
      <c r="CD14" s="4">
        <f>IF(AY14="","",IF(CB14&lt;AY14,BZ14,CA14))</f>
        <v/>
      </c>
      <c r="CE14" s="4">
        <f>IF(AY14="","",(CC14+CD14)/2)</f>
        <v/>
      </c>
    </row>
    <row r="15">
      <c r="A15" s="4" t="n"/>
      <c r="B15" s="4" t="n"/>
      <c r="C15" s="8" t="n"/>
      <c r="D15" s="8" t="n"/>
      <c r="E15" s="8">
        <f>SUMIFS(CB_Tributaires!$G:$G,CB_Tributaires!$F:$F,$A15)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IF(A15="","",IF(F15="","",2.78E-7*IF(G15&lt;&gt;"",G15,IFERROR(SUMIFS(CB_Tributaires!$H:$H,CB_Tributaires!$F:$F,$A15)/SUMIFS(CB_Tributaires!$G:$G,CB_Tributaires!$F:$F,$A15),Inputs!$B$17))*F15*I15))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7">
        <f>IF(AY15="","",CE15)</f>
        <v/>
      </c>
      <c r="AX15" s="7">
        <f>IF(OR(AY15="",AW15="",R15="",R15&lt;=0,AW15&lt;=0),"",AY15/((R15^2/8)*(2*ACOS(1-2*AW15/R15)-SIN(2*ACOS(1-2*AW15/R15)))))</f>
        <v/>
      </c>
      <c r="AY15" s="4">
        <f>IF(OR(L15="",AZ15=""),"",MIN(L15,AZ15))</f>
        <v/>
      </c>
      <c r="AZ15" s="4">
        <f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4">
        <f>IF(AY15="","",0.001*R15)</f>
        <v/>
      </c>
      <c r="BB15" s="4">
        <f>IF(AY15="","",0.94*R15)</f>
        <v/>
      </c>
      <c r="BC15" s="4">
        <f>IF(AY15="","",(BA15+BB15)/2)</f>
        <v/>
      </c>
      <c r="BD15" s="4">
        <f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4">
        <f>IF(AY15="","",IF(BD15&lt;AY15,BC15,BA15))</f>
        <v/>
      </c>
      <c r="BF15" s="4">
        <f>IF(AY15="","",IF(BD15&lt;AY15,BB15,BC15))</f>
        <v/>
      </c>
      <c r="BG15" s="4">
        <f>IF(AY15="","",(BE15+BF15)/2)</f>
        <v/>
      </c>
      <c r="BH15" s="4">
        <f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4">
        <f>IF(AY15="","",IF(BH15&lt;AY15,BG15,BE15))</f>
        <v/>
      </c>
      <c r="BJ15" s="4">
        <f>IF(AY15="","",IF(BH15&lt;AY15,BF15,BG15))</f>
        <v/>
      </c>
      <c r="BK15" s="4">
        <f>IF(AY15="","",(BI15+BJ15)/2)</f>
        <v/>
      </c>
      <c r="BL15" s="4">
        <f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4">
        <f>IF(AY15="","",IF(BL15&lt;AY15,BK15,BI15))</f>
        <v/>
      </c>
      <c r="BN15" s="4">
        <f>IF(AY15="","",IF(BL15&lt;AY15,BJ15,BK15))</f>
        <v/>
      </c>
      <c r="BO15" s="4">
        <f>IF(AY15="","",(BM15+BN15)/2)</f>
        <v/>
      </c>
      <c r="BP15" s="4">
        <f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4">
        <f>IF(AY15="","",IF(BP15&lt;AY15,BO15,BM15))</f>
        <v/>
      </c>
      <c r="BR15" s="4">
        <f>IF(AY15="","",IF(BP15&lt;AY15,BN15,BO15))</f>
        <v/>
      </c>
      <c r="BS15" s="4">
        <f>IF(AY15="","",(BQ15+BR15)/2)</f>
        <v/>
      </c>
      <c r="BT15" s="4">
        <f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4">
        <f>IF(AY15="","",IF(BT15&lt;AY15,BS15,BQ15))</f>
        <v/>
      </c>
      <c r="BV15" s="4">
        <f>IF(AY15="","",IF(BT15&lt;AY15,BR15,BS15))</f>
        <v/>
      </c>
      <c r="BW15" s="4">
        <f>IF(AY15="","",(BU15+BV15)/2)</f>
        <v/>
      </c>
      <c r="BX15" s="4">
        <f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4">
        <f>IF(AY15="","",IF(BX15&lt;AY15,BW15,BU15))</f>
        <v/>
      </c>
      <c r="BZ15" s="4">
        <f>IF(AY15="","",IF(BX15&lt;AY15,BV15,BW15))</f>
        <v/>
      </c>
      <c r="CA15" s="4">
        <f>IF(AY15="","",(BY15+BZ15)/2)</f>
        <v/>
      </c>
      <c r="CB15" s="4">
        <f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4">
        <f>IF(AY15="","",IF(CB15&lt;AY15,CA15,BY15))</f>
        <v/>
      </c>
      <c r="CD15" s="4">
        <f>IF(AY15="","",IF(CB15&lt;AY15,BZ15,CA15))</f>
        <v/>
      </c>
      <c r="CE15" s="4">
        <f>IF(AY15="","",(CC15+CD15)/2)</f>
        <v/>
      </c>
    </row>
    <row r="16">
      <c r="A16" s="4" t="n"/>
      <c r="B16" s="4" t="n"/>
      <c r="C16" s="8" t="n"/>
      <c r="D16" s="8" t="n"/>
      <c r="E16" s="8">
        <f>SUMIFS(CB_Tributaires!$G:$G,CB_Tributaires!$F:$F,$A16)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IF(A16="","",IF(F16="","",2.78E-7*IF(G16&lt;&gt;"",G16,IFERROR(SUMIFS(CB_Tributaires!$H:$H,CB_Tributaires!$F:$F,$A16)/SUMIFS(CB_Tributaires!$G:$G,CB_Tributaires!$F:$F,$A16),Inputs!$B$17))*F16*I16))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7">
        <f>IF(AY16="","",CE16)</f>
        <v/>
      </c>
      <c r="AX16" s="7">
        <f>IF(OR(AY16="",AW16="",R16="",R16&lt;=0,AW16&lt;=0),"",AY16/((R16^2/8)*(2*ACOS(1-2*AW16/R16)-SIN(2*ACOS(1-2*AW16/R16)))))</f>
        <v/>
      </c>
      <c r="AY16" s="4">
        <f>IF(OR(L16="",AZ16=""),"",MIN(L16,AZ16))</f>
        <v/>
      </c>
      <c r="AZ16" s="4">
        <f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4">
        <f>IF(AY16="","",0.001*R16)</f>
        <v/>
      </c>
      <c r="BB16" s="4">
        <f>IF(AY16="","",0.94*R16)</f>
        <v/>
      </c>
      <c r="BC16" s="4">
        <f>IF(AY16="","",(BA16+BB16)/2)</f>
        <v/>
      </c>
      <c r="BD16" s="4">
        <f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4">
        <f>IF(AY16="","",IF(BD16&lt;AY16,BC16,BA16))</f>
        <v/>
      </c>
      <c r="BF16" s="4">
        <f>IF(AY16="","",IF(BD16&lt;AY16,BB16,BC16))</f>
        <v/>
      </c>
      <c r="BG16" s="4">
        <f>IF(AY16="","",(BE16+BF16)/2)</f>
        <v/>
      </c>
      <c r="BH16" s="4">
        <f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4">
        <f>IF(AY16="","",IF(BH16&lt;AY16,BG16,BE16))</f>
        <v/>
      </c>
      <c r="BJ16" s="4">
        <f>IF(AY16="","",IF(BH16&lt;AY16,BF16,BG16))</f>
        <v/>
      </c>
      <c r="BK16" s="4">
        <f>IF(AY16="","",(BI16+BJ16)/2)</f>
        <v/>
      </c>
      <c r="BL16" s="4">
        <f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4">
        <f>IF(AY16="","",IF(BL16&lt;AY16,BK16,BI16))</f>
        <v/>
      </c>
      <c r="BN16" s="4">
        <f>IF(AY16="","",IF(BL16&lt;AY16,BJ16,BK16))</f>
        <v/>
      </c>
      <c r="BO16" s="4">
        <f>IF(AY16="","",(BM16+BN16)/2)</f>
        <v/>
      </c>
      <c r="BP16" s="4">
        <f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4">
        <f>IF(AY16="","",IF(BP16&lt;AY16,BO16,BM16))</f>
        <v/>
      </c>
      <c r="BR16" s="4">
        <f>IF(AY16="","",IF(BP16&lt;AY16,BN16,BO16))</f>
        <v/>
      </c>
      <c r="BS16" s="4">
        <f>IF(AY16="","",(BQ16+BR16)/2)</f>
        <v/>
      </c>
      <c r="BT16" s="4">
        <f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4">
        <f>IF(AY16="","",IF(BT16&lt;AY16,BS16,BQ16))</f>
        <v/>
      </c>
      <c r="BV16" s="4">
        <f>IF(AY16="","",IF(BT16&lt;AY16,BR16,BS16))</f>
        <v/>
      </c>
      <c r="BW16" s="4">
        <f>IF(AY16="","",(BU16+BV16)/2)</f>
        <v/>
      </c>
      <c r="BX16" s="4">
        <f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4">
        <f>IF(AY16="","",IF(BX16&lt;AY16,BW16,BU16))</f>
        <v/>
      </c>
      <c r="BZ16" s="4">
        <f>IF(AY16="","",IF(BX16&lt;AY16,BV16,BW16))</f>
        <v/>
      </c>
      <c r="CA16" s="4">
        <f>IF(AY16="","",(BY16+BZ16)/2)</f>
        <v/>
      </c>
      <c r="CB16" s="4">
        <f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4">
        <f>IF(AY16="","",IF(CB16&lt;AY16,CA16,BY16))</f>
        <v/>
      </c>
      <c r="CD16" s="4">
        <f>IF(AY16="","",IF(CB16&lt;AY16,BZ16,CA16))</f>
        <v/>
      </c>
      <c r="CE16" s="4">
        <f>IF(AY16="","",(CC16+CD16)/2)</f>
        <v/>
      </c>
    </row>
    <row r="17">
      <c r="A17" s="4" t="n"/>
      <c r="B17" s="4" t="n"/>
      <c r="C17" s="8" t="n"/>
      <c r="D17" s="8" t="n"/>
      <c r="E17" s="8">
        <f>SUMIFS(CB_Tributaires!$G:$G,CB_Tributaires!$F:$F,$A17)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IF(A17="","",IF(F17="","",2.78E-7*IF(G17&lt;&gt;"",G17,IFERROR(SUMIFS(CB_Tributaires!$H:$H,CB_Tributaires!$F:$F,$A17)/SUMIFS(CB_Tributaires!$G:$G,CB_Tributaires!$F:$F,$A17),Inputs!$B$17))*F17*I17))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7">
        <f>IF(AY17="","",CE17)</f>
        <v/>
      </c>
      <c r="AX17" s="7">
        <f>IF(OR(AY17="",AW17="",R17="",R17&lt;=0,AW17&lt;=0),"",AY17/((R17^2/8)*(2*ACOS(1-2*AW17/R17)-SIN(2*ACOS(1-2*AW17/R17)))))</f>
        <v/>
      </c>
      <c r="AY17" s="4">
        <f>IF(OR(L17="",AZ17=""),"",MIN(L17,AZ17))</f>
        <v/>
      </c>
      <c r="AZ17" s="4">
        <f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4">
        <f>IF(AY17="","",0.001*R17)</f>
        <v/>
      </c>
      <c r="BB17" s="4">
        <f>IF(AY17="","",0.94*R17)</f>
        <v/>
      </c>
      <c r="BC17" s="4">
        <f>IF(AY17="","",(BA17+BB17)/2)</f>
        <v/>
      </c>
      <c r="BD17" s="4">
        <f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4">
        <f>IF(AY17="","",IF(BD17&lt;AY17,BC17,BA17))</f>
        <v/>
      </c>
      <c r="BF17" s="4">
        <f>IF(AY17="","",IF(BD17&lt;AY17,BB17,BC17))</f>
        <v/>
      </c>
      <c r="BG17" s="4">
        <f>IF(AY17="","",(BE17+BF17)/2)</f>
        <v/>
      </c>
      <c r="BH17" s="4">
        <f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4">
        <f>IF(AY17="","",IF(BH17&lt;AY17,BG17,BE17))</f>
        <v/>
      </c>
      <c r="BJ17" s="4">
        <f>IF(AY17="","",IF(BH17&lt;AY17,BF17,BG17))</f>
        <v/>
      </c>
      <c r="BK17" s="4">
        <f>IF(AY17="","",(BI17+BJ17)/2)</f>
        <v/>
      </c>
      <c r="BL17" s="4">
        <f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4">
        <f>IF(AY17="","",IF(BL17&lt;AY17,BK17,BI17))</f>
        <v/>
      </c>
      <c r="BN17" s="4">
        <f>IF(AY17="","",IF(BL17&lt;AY17,BJ17,BK17))</f>
        <v/>
      </c>
      <c r="BO17" s="4">
        <f>IF(AY17="","",(BM17+BN17)/2)</f>
        <v/>
      </c>
      <c r="BP17" s="4">
        <f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4">
        <f>IF(AY17="","",IF(BP17&lt;AY17,BO17,BM17))</f>
        <v/>
      </c>
      <c r="BR17" s="4">
        <f>IF(AY17="","",IF(BP17&lt;AY17,BN17,BO17))</f>
        <v/>
      </c>
      <c r="BS17" s="4">
        <f>IF(AY17="","",(BQ17+BR17)/2)</f>
        <v/>
      </c>
      <c r="BT17" s="4">
        <f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4">
        <f>IF(AY17="","",IF(BT17&lt;AY17,BS17,BQ17))</f>
        <v/>
      </c>
      <c r="BV17" s="4">
        <f>IF(AY17="","",IF(BT17&lt;AY17,BR17,BS17))</f>
        <v/>
      </c>
      <c r="BW17" s="4">
        <f>IF(AY17="","",(BU17+BV17)/2)</f>
        <v/>
      </c>
      <c r="BX17" s="4">
        <f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4">
        <f>IF(AY17="","",IF(BX17&lt;AY17,BW17,BU17))</f>
        <v/>
      </c>
      <c r="BZ17" s="4">
        <f>IF(AY17="","",IF(BX17&lt;AY17,BV17,BW17))</f>
        <v/>
      </c>
      <c r="CA17" s="4">
        <f>IF(AY17="","",(BY17+BZ17)/2)</f>
        <v/>
      </c>
      <c r="CB17" s="4">
        <f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4">
        <f>IF(AY17="","",IF(CB17&lt;AY17,CA17,BY17))</f>
        <v/>
      </c>
      <c r="CD17" s="4">
        <f>IF(AY17="","",IF(CB17&lt;AY17,BZ17,CA17))</f>
        <v/>
      </c>
      <c r="CE17" s="4">
        <f>IF(AY17="","",(CC17+CD17)/2)</f>
        <v/>
      </c>
    </row>
    <row r="18">
      <c r="A18" s="4" t="n"/>
      <c r="B18" s="4" t="n"/>
      <c r="C18" s="8" t="n"/>
      <c r="D18" s="8" t="n"/>
      <c r="E18" s="8">
        <f>SUMIFS(CB_Tributaires!$G:$G,CB_Tributaires!$F:$F,$A18)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IF(A18="","",IF(F18="","",2.78E-7*IF(G18&lt;&gt;"",G18,IFERROR(SUMIFS(CB_Tributaires!$H:$H,CB_Tributaires!$F:$F,$A18)/SUMIFS(CB_Tributaires!$G:$G,CB_Tributaires!$F:$F,$A18),Inputs!$B$17))*F18*I18))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7">
        <f>IF(AY18="","",CE18)</f>
        <v/>
      </c>
      <c r="AX18" s="7">
        <f>IF(OR(AY18="",AW18="",R18="",R18&lt;=0,AW18&lt;=0),"",AY18/((R18^2/8)*(2*ACOS(1-2*AW18/R18)-SIN(2*ACOS(1-2*AW18/R18)))))</f>
        <v/>
      </c>
      <c r="AY18" s="4">
        <f>IF(OR(L18="",AZ18=""),"",MIN(L18,AZ18))</f>
        <v/>
      </c>
      <c r="AZ18" s="4">
        <f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4">
        <f>IF(AY18="","",0.001*R18)</f>
        <v/>
      </c>
      <c r="BB18" s="4">
        <f>IF(AY18="","",0.94*R18)</f>
        <v/>
      </c>
      <c r="BC18" s="4">
        <f>IF(AY18="","",(BA18+BB18)/2)</f>
        <v/>
      </c>
      <c r="BD18" s="4">
        <f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4">
        <f>IF(AY18="","",IF(BD18&lt;AY18,BC18,BA18))</f>
        <v/>
      </c>
      <c r="BF18" s="4">
        <f>IF(AY18="","",IF(BD18&lt;AY18,BB18,BC18))</f>
        <v/>
      </c>
      <c r="BG18" s="4">
        <f>IF(AY18="","",(BE18+BF18)/2)</f>
        <v/>
      </c>
      <c r="BH18" s="4">
        <f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4">
        <f>IF(AY18="","",IF(BH18&lt;AY18,BG18,BE18))</f>
        <v/>
      </c>
      <c r="BJ18" s="4">
        <f>IF(AY18="","",IF(BH18&lt;AY18,BF18,BG18))</f>
        <v/>
      </c>
      <c r="BK18" s="4">
        <f>IF(AY18="","",(BI18+BJ18)/2)</f>
        <v/>
      </c>
      <c r="BL18" s="4">
        <f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4">
        <f>IF(AY18="","",IF(BL18&lt;AY18,BK18,BI18))</f>
        <v/>
      </c>
      <c r="BN18" s="4">
        <f>IF(AY18="","",IF(BL18&lt;AY18,BJ18,BK18))</f>
        <v/>
      </c>
      <c r="BO18" s="4">
        <f>IF(AY18="","",(BM18+BN18)/2)</f>
        <v/>
      </c>
      <c r="BP18" s="4">
        <f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4">
        <f>IF(AY18="","",IF(BP18&lt;AY18,BO18,BM18))</f>
        <v/>
      </c>
      <c r="BR18" s="4">
        <f>IF(AY18="","",IF(BP18&lt;AY18,BN18,BO18))</f>
        <v/>
      </c>
      <c r="BS18" s="4">
        <f>IF(AY18="","",(BQ18+BR18)/2)</f>
        <v/>
      </c>
      <c r="BT18" s="4">
        <f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4">
        <f>IF(AY18="","",IF(BT18&lt;AY18,BS18,BQ18))</f>
        <v/>
      </c>
      <c r="BV18" s="4">
        <f>IF(AY18="","",IF(BT18&lt;AY18,BR18,BS18))</f>
        <v/>
      </c>
      <c r="BW18" s="4">
        <f>IF(AY18="","",(BU18+BV18)/2)</f>
        <v/>
      </c>
      <c r="BX18" s="4">
        <f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4">
        <f>IF(AY18="","",IF(BX18&lt;AY18,BW18,BU18))</f>
        <v/>
      </c>
      <c r="BZ18" s="4">
        <f>IF(AY18="","",IF(BX18&lt;AY18,BV18,BW18))</f>
        <v/>
      </c>
      <c r="CA18" s="4">
        <f>IF(AY18="","",(BY18+BZ18)/2)</f>
        <v/>
      </c>
      <c r="CB18" s="4">
        <f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4">
        <f>IF(AY18="","",IF(CB18&lt;AY18,CA18,BY18))</f>
        <v/>
      </c>
      <c r="CD18" s="4">
        <f>IF(AY18="","",IF(CB18&lt;AY18,BZ18,CA18))</f>
        <v/>
      </c>
      <c r="CE18" s="4">
        <f>IF(AY18="","",(CC18+CD18)/2)</f>
        <v/>
      </c>
    </row>
    <row r="19">
      <c r="A19" s="4" t="n"/>
      <c r="B19" s="4" t="n"/>
      <c r="C19" s="8" t="n"/>
      <c r="D19" s="8" t="n"/>
      <c r="E19" s="8">
        <f>SUMIFS(CB_Tributaires!$G:$G,CB_Tributaires!$F:$F,$A19)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IF(A19="","",IF(F19="","",2.78E-7*IF(G19&lt;&gt;"",G19,IFERROR(SUMIFS(CB_Tributaires!$H:$H,CB_Tributaires!$F:$F,$A19)/SUMIFS(CB_Tributaires!$G:$G,CB_Tributaires!$F:$F,$A19),Inputs!$B$17))*F19*I19))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7">
        <f>IF(AY19="","",CE19)</f>
        <v/>
      </c>
      <c r="AX19" s="7">
        <f>IF(OR(AY19="",AW19="",R19="",R19&lt;=0,AW19&lt;=0),"",AY19/((R19^2/8)*(2*ACOS(1-2*AW19/R19)-SIN(2*ACOS(1-2*AW19/R19)))))</f>
        <v/>
      </c>
      <c r="AY19" s="4">
        <f>IF(OR(L19="",AZ19=""),"",MIN(L19,AZ19))</f>
        <v/>
      </c>
      <c r="AZ19" s="4">
        <f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4">
        <f>IF(AY19="","",0.001*R19)</f>
        <v/>
      </c>
      <c r="BB19" s="4">
        <f>IF(AY19="","",0.94*R19)</f>
        <v/>
      </c>
      <c r="BC19" s="4">
        <f>IF(AY19="","",(BA19+BB19)/2)</f>
        <v/>
      </c>
      <c r="BD19" s="4">
        <f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4">
        <f>IF(AY19="","",IF(BD19&lt;AY19,BC19,BA19))</f>
        <v/>
      </c>
      <c r="BF19" s="4">
        <f>IF(AY19="","",IF(BD19&lt;AY19,BB19,BC19))</f>
        <v/>
      </c>
      <c r="BG19" s="4">
        <f>IF(AY19="","",(BE19+BF19)/2)</f>
        <v/>
      </c>
      <c r="BH19" s="4">
        <f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4">
        <f>IF(AY19="","",IF(BH19&lt;AY19,BG19,BE19))</f>
        <v/>
      </c>
      <c r="BJ19" s="4">
        <f>IF(AY19="","",IF(BH19&lt;AY19,BF19,BG19))</f>
        <v/>
      </c>
      <c r="BK19" s="4">
        <f>IF(AY19="","",(BI19+BJ19)/2)</f>
        <v/>
      </c>
      <c r="BL19" s="4">
        <f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4">
        <f>IF(AY19="","",IF(BL19&lt;AY19,BK19,BI19))</f>
        <v/>
      </c>
      <c r="BN19" s="4">
        <f>IF(AY19="","",IF(BL19&lt;AY19,BJ19,BK19))</f>
        <v/>
      </c>
      <c r="BO19" s="4">
        <f>IF(AY19="","",(BM19+BN19)/2)</f>
        <v/>
      </c>
      <c r="BP19" s="4">
        <f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4">
        <f>IF(AY19="","",IF(BP19&lt;AY19,BO19,BM19))</f>
        <v/>
      </c>
      <c r="BR19" s="4">
        <f>IF(AY19="","",IF(BP19&lt;AY19,BN19,BO19))</f>
        <v/>
      </c>
      <c r="BS19" s="4">
        <f>IF(AY19="","",(BQ19+BR19)/2)</f>
        <v/>
      </c>
      <c r="BT19" s="4">
        <f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4">
        <f>IF(AY19="","",IF(BT19&lt;AY19,BS19,BQ19))</f>
        <v/>
      </c>
      <c r="BV19" s="4">
        <f>IF(AY19="","",IF(BT19&lt;AY19,BR19,BS19))</f>
        <v/>
      </c>
      <c r="BW19" s="4">
        <f>IF(AY19="","",(BU19+BV19)/2)</f>
        <v/>
      </c>
      <c r="BX19" s="4">
        <f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4">
        <f>IF(AY19="","",IF(BX19&lt;AY19,BW19,BU19))</f>
        <v/>
      </c>
      <c r="BZ19" s="4">
        <f>IF(AY19="","",IF(BX19&lt;AY19,BV19,BW19))</f>
        <v/>
      </c>
      <c r="CA19" s="4">
        <f>IF(AY19="","",(BY19+BZ19)/2)</f>
        <v/>
      </c>
      <c r="CB19" s="4">
        <f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4">
        <f>IF(AY19="","",IF(CB19&lt;AY19,CA19,BY19))</f>
        <v/>
      </c>
      <c r="CD19" s="4">
        <f>IF(AY19="","",IF(CB19&lt;AY19,BZ19,CA19))</f>
        <v/>
      </c>
      <c r="CE19" s="4">
        <f>IF(AY19="","",(CC19+CD19)/2)</f>
        <v/>
      </c>
    </row>
    <row r="20">
      <c r="A20" s="4" t="n"/>
      <c r="B20" s="4" t="n"/>
      <c r="C20" s="8" t="n"/>
      <c r="D20" s="8" t="n"/>
      <c r="E20" s="8">
        <f>SUMIFS(CB_Tributaires!$G:$G,CB_Tributaires!$F:$F,$A20)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IF(A20="","",IF(F20="","",2.78E-7*IF(G20&lt;&gt;"",G20,IFERROR(SUMIFS(CB_Tributaires!$H:$H,CB_Tributaires!$F:$F,$A20)/SUMIFS(CB_Tributaires!$G:$G,CB_Tributaires!$F:$F,$A20),Inputs!$B$17))*F20*I20))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7">
        <f>IF(AY20="","",CE20)</f>
        <v/>
      </c>
      <c r="AX20" s="7">
        <f>IF(OR(AY20="",AW20="",R20="",R20&lt;=0,AW20&lt;=0),"",AY20/((R20^2/8)*(2*ACOS(1-2*AW20/R20)-SIN(2*ACOS(1-2*AW20/R20)))))</f>
        <v/>
      </c>
      <c r="AY20" s="4">
        <f>IF(OR(L20="",AZ20=""),"",MIN(L20,AZ20))</f>
        <v/>
      </c>
      <c r="AZ20" s="4">
        <f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4">
        <f>IF(AY20="","",0.001*R20)</f>
        <v/>
      </c>
      <c r="BB20" s="4">
        <f>IF(AY20="","",0.94*R20)</f>
        <v/>
      </c>
      <c r="BC20" s="4">
        <f>IF(AY20="","",(BA20+BB20)/2)</f>
        <v/>
      </c>
      <c r="BD20" s="4">
        <f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4">
        <f>IF(AY20="","",IF(BD20&lt;AY20,BC20,BA20))</f>
        <v/>
      </c>
      <c r="BF20" s="4">
        <f>IF(AY20="","",IF(BD20&lt;AY20,BB20,BC20))</f>
        <v/>
      </c>
      <c r="BG20" s="4">
        <f>IF(AY20="","",(BE20+BF20)/2)</f>
        <v/>
      </c>
      <c r="BH20" s="4">
        <f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4">
        <f>IF(AY20="","",IF(BH20&lt;AY20,BG20,BE20))</f>
        <v/>
      </c>
      <c r="BJ20" s="4">
        <f>IF(AY20="","",IF(BH20&lt;AY20,BF20,BG20))</f>
        <v/>
      </c>
      <c r="BK20" s="4">
        <f>IF(AY20="","",(BI20+BJ20)/2)</f>
        <v/>
      </c>
      <c r="BL20" s="4">
        <f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4">
        <f>IF(AY20="","",IF(BL20&lt;AY20,BK20,BI20))</f>
        <v/>
      </c>
      <c r="BN20" s="4">
        <f>IF(AY20="","",IF(BL20&lt;AY20,BJ20,BK20))</f>
        <v/>
      </c>
      <c r="BO20" s="4">
        <f>IF(AY20="","",(BM20+BN20)/2)</f>
        <v/>
      </c>
      <c r="BP20" s="4">
        <f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4">
        <f>IF(AY20="","",IF(BP20&lt;AY20,BO20,BM20))</f>
        <v/>
      </c>
      <c r="BR20" s="4">
        <f>IF(AY20="","",IF(BP20&lt;AY20,BN20,BO20))</f>
        <v/>
      </c>
      <c r="BS20" s="4">
        <f>IF(AY20="","",(BQ20+BR20)/2)</f>
        <v/>
      </c>
      <c r="BT20" s="4">
        <f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4">
        <f>IF(AY20="","",IF(BT20&lt;AY20,BS20,BQ20))</f>
        <v/>
      </c>
      <c r="BV20" s="4">
        <f>IF(AY20="","",IF(BT20&lt;AY20,BR20,BS20))</f>
        <v/>
      </c>
      <c r="BW20" s="4">
        <f>IF(AY20="","",(BU20+BV20)/2)</f>
        <v/>
      </c>
      <c r="BX20" s="4">
        <f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4">
        <f>IF(AY20="","",IF(BX20&lt;AY20,BW20,BU20))</f>
        <v/>
      </c>
      <c r="BZ20" s="4">
        <f>IF(AY20="","",IF(BX20&lt;AY20,BV20,BW20))</f>
        <v/>
      </c>
      <c r="CA20" s="4">
        <f>IF(AY20="","",(BY20+BZ20)/2)</f>
        <v/>
      </c>
      <c r="CB20" s="4">
        <f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4">
        <f>IF(AY20="","",IF(CB20&lt;AY20,CA20,BY20))</f>
        <v/>
      </c>
      <c r="CD20" s="4">
        <f>IF(AY20="","",IF(CB20&lt;AY20,BZ20,CA20))</f>
        <v/>
      </c>
      <c r="CE20" s="4">
        <f>IF(AY20="","",(CC20+CD20)/2)</f>
        <v/>
      </c>
    </row>
    <row r="21">
      <c r="A21" s="4" t="n"/>
      <c r="B21" s="4" t="n"/>
      <c r="C21" s="8" t="n"/>
      <c r="D21" s="8" t="n"/>
      <c r="E21" s="8">
        <f>SUMIFS(CB_Tributaires!$G:$G,CB_Tributaires!$F:$F,$A21)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IF(A21="","",IF(F21="","",2.78E-7*IF(G21&lt;&gt;"",G21,IFERROR(SUMIFS(CB_Tributaires!$H:$H,CB_Tributaires!$F:$F,$A21)/SUMIFS(CB_Tributaires!$G:$G,CB_Tributaires!$F:$F,$A21),Inputs!$B$17))*F21*I21))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7">
        <f>IF(AY21="","",CE21)</f>
        <v/>
      </c>
      <c r="AX21" s="7">
        <f>IF(OR(AY21="",AW21="",R21="",R21&lt;=0,AW21&lt;=0),"",AY21/((R21^2/8)*(2*ACOS(1-2*AW21/R21)-SIN(2*ACOS(1-2*AW21/R21)))))</f>
        <v/>
      </c>
      <c r="AY21" s="4">
        <f>IF(OR(L21="",AZ21=""),"",MIN(L21,AZ21))</f>
        <v/>
      </c>
      <c r="AZ21" s="4">
        <f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4">
        <f>IF(AY21="","",0.001*R21)</f>
        <v/>
      </c>
      <c r="BB21" s="4">
        <f>IF(AY21="","",0.94*R21)</f>
        <v/>
      </c>
      <c r="BC21" s="4">
        <f>IF(AY21="","",(BA21+BB21)/2)</f>
        <v/>
      </c>
      <c r="BD21" s="4">
        <f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4">
        <f>IF(AY21="","",IF(BD21&lt;AY21,BC21,BA21))</f>
        <v/>
      </c>
      <c r="BF21" s="4">
        <f>IF(AY21="","",IF(BD21&lt;AY21,BB21,BC21))</f>
        <v/>
      </c>
      <c r="BG21" s="4">
        <f>IF(AY21="","",(BE21+BF21)/2)</f>
        <v/>
      </c>
      <c r="BH21" s="4">
        <f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4">
        <f>IF(AY21="","",IF(BH21&lt;AY21,BG21,BE21))</f>
        <v/>
      </c>
      <c r="BJ21" s="4">
        <f>IF(AY21="","",IF(BH21&lt;AY21,BF21,BG21))</f>
        <v/>
      </c>
      <c r="BK21" s="4">
        <f>IF(AY21="","",(BI21+BJ21)/2)</f>
        <v/>
      </c>
      <c r="BL21" s="4">
        <f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4">
        <f>IF(AY21="","",IF(BL21&lt;AY21,BK21,BI21))</f>
        <v/>
      </c>
      <c r="BN21" s="4">
        <f>IF(AY21="","",IF(BL21&lt;AY21,BJ21,BK21))</f>
        <v/>
      </c>
      <c r="BO21" s="4">
        <f>IF(AY21="","",(BM21+BN21)/2)</f>
        <v/>
      </c>
      <c r="BP21" s="4">
        <f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4">
        <f>IF(AY21="","",IF(BP21&lt;AY21,BO21,BM21))</f>
        <v/>
      </c>
      <c r="BR21" s="4">
        <f>IF(AY21="","",IF(BP21&lt;AY21,BN21,BO21))</f>
        <v/>
      </c>
      <c r="BS21" s="4">
        <f>IF(AY21="","",(BQ21+BR21)/2)</f>
        <v/>
      </c>
      <c r="BT21" s="4">
        <f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4">
        <f>IF(AY21="","",IF(BT21&lt;AY21,BS21,BQ21))</f>
        <v/>
      </c>
      <c r="BV21" s="4">
        <f>IF(AY21="","",IF(BT21&lt;AY21,BR21,BS21))</f>
        <v/>
      </c>
      <c r="BW21" s="4">
        <f>IF(AY21="","",(BU21+BV21)/2)</f>
        <v/>
      </c>
      <c r="BX21" s="4">
        <f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4">
        <f>IF(AY21="","",IF(BX21&lt;AY21,BW21,BU21))</f>
        <v/>
      </c>
      <c r="BZ21" s="4">
        <f>IF(AY21="","",IF(BX21&lt;AY21,BV21,BW21))</f>
        <v/>
      </c>
      <c r="CA21" s="4">
        <f>IF(AY21="","",(BY21+BZ21)/2)</f>
        <v/>
      </c>
      <c r="CB21" s="4">
        <f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4">
        <f>IF(AY21="","",IF(CB21&lt;AY21,CA21,BY21))</f>
        <v/>
      </c>
      <c r="CD21" s="4">
        <f>IF(AY21="","",IF(CB21&lt;AY21,BZ21,CA21))</f>
        <v/>
      </c>
      <c r="CE21" s="4">
        <f>IF(AY21="","",(CC21+CD21)/2)</f>
        <v/>
      </c>
    </row>
    <row r="22">
      <c r="A22" s="4" t="n"/>
      <c r="B22" s="4" t="n"/>
      <c r="C22" s="8" t="n"/>
      <c r="D22" s="8" t="n"/>
      <c r="E22" s="8">
        <f>SUMIFS(CB_Tributaires!$G:$G,CB_Tributaires!$F:$F,$A22)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IF(A22="","",IF(F22="","",2.78E-7*IF(G22&lt;&gt;"",G22,IFERROR(SUMIFS(CB_Tributaires!$H:$H,CB_Tributaires!$F:$F,$A22)/SUMIFS(CB_Tributaires!$G:$G,CB_Tributaires!$F:$F,$A22),Inputs!$B$17))*F22*I22))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7">
        <f>IF(AY22="","",CE22)</f>
        <v/>
      </c>
      <c r="AX22" s="7">
        <f>IF(OR(AY22="",AW22="",R22="",R22&lt;=0,AW22&lt;=0),"",AY22/((R22^2/8)*(2*ACOS(1-2*AW22/R22)-SIN(2*ACOS(1-2*AW22/R22)))))</f>
        <v/>
      </c>
      <c r="AY22" s="4">
        <f>IF(OR(L22="",AZ22=""),"",MIN(L22,AZ22))</f>
        <v/>
      </c>
      <c r="AZ22" s="4">
        <f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4">
        <f>IF(AY22="","",0.001*R22)</f>
        <v/>
      </c>
      <c r="BB22" s="4">
        <f>IF(AY22="","",0.94*R22)</f>
        <v/>
      </c>
      <c r="BC22" s="4">
        <f>IF(AY22="","",(BA22+BB22)/2)</f>
        <v/>
      </c>
      <c r="BD22" s="4">
        <f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4">
        <f>IF(AY22="","",IF(BD22&lt;AY22,BC22,BA22))</f>
        <v/>
      </c>
      <c r="BF22" s="4">
        <f>IF(AY22="","",IF(BD22&lt;AY22,BB22,BC22))</f>
        <v/>
      </c>
      <c r="BG22" s="4">
        <f>IF(AY22="","",(BE22+BF22)/2)</f>
        <v/>
      </c>
      <c r="BH22" s="4">
        <f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4">
        <f>IF(AY22="","",IF(BH22&lt;AY22,BG22,BE22))</f>
        <v/>
      </c>
      <c r="BJ22" s="4">
        <f>IF(AY22="","",IF(BH22&lt;AY22,BF22,BG22))</f>
        <v/>
      </c>
      <c r="BK22" s="4">
        <f>IF(AY22="","",(BI22+BJ22)/2)</f>
        <v/>
      </c>
      <c r="BL22" s="4">
        <f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4">
        <f>IF(AY22="","",IF(BL22&lt;AY22,BK22,BI22))</f>
        <v/>
      </c>
      <c r="BN22" s="4">
        <f>IF(AY22="","",IF(BL22&lt;AY22,BJ22,BK22))</f>
        <v/>
      </c>
      <c r="BO22" s="4">
        <f>IF(AY22="","",(BM22+BN22)/2)</f>
        <v/>
      </c>
      <c r="BP22" s="4">
        <f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4">
        <f>IF(AY22="","",IF(BP22&lt;AY22,BO22,BM22))</f>
        <v/>
      </c>
      <c r="BR22" s="4">
        <f>IF(AY22="","",IF(BP22&lt;AY22,BN22,BO22))</f>
        <v/>
      </c>
      <c r="BS22" s="4">
        <f>IF(AY22="","",(BQ22+BR22)/2)</f>
        <v/>
      </c>
      <c r="BT22" s="4">
        <f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4">
        <f>IF(AY22="","",IF(BT22&lt;AY22,BS22,BQ22))</f>
        <v/>
      </c>
      <c r="BV22" s="4">
        <f>IF(AY22="","",IF(BT22&lt;AY22,BR22,BS22))</f>
        <v/>
      </c>
      <c r="BW22" s="4">
        <f>IF(AY22="","",(BU22+BV22)/2)</f>
        <v/>
      </c>
      <c r="BX22" s="4">
        <f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4">
        <f>IF(AY22="","",IF(BX22&lt;AY22,BW22,BU22))</f>
        <v/>
      </c>
      <c r="BZ22" s="4">
        <f>IF(AY22="","",IF(BX22&lt;AY22,BV22,BW22))</f>
        <v/>
      </c>
      <c r="CA22" s="4">
        <f>IF(AY22="","",(BY22+BZ22)/2)</f>
        <v/>
      </c>
      <c r="CB22" s="4">
        <f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4">
        <f>IF(AY22="","",IF(CB22&lt;AY22,CA22,BY22))</f>
        <v/>
      </c>
      <c r="CD22" s="4">
        <f>IF(AY22="","",IF(CB22&lt;AY22,BZ22,CA22))</f>
        <v/>
      </c>
      <c r="CE22" s="4">
        <f>IF(AY22="","",(CC22+CD22)/2)</f>
        <v/>
      </c>
    </row>
    <row r="23">
      <c r="A23" s="4" t="n"/>
      <c r="B23" s="4" t="n"/>
      <c r="C23" s="8" t="n"/>
      <c r="D23" s="8" t="n"/>
      <c r="E23" s="8">
        <f>SUMIFS(CB_Tributaires!$G:$G,CB_Tributaires!$F:$F,$A23)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IF(A23="","",IF(F23="","",2.78E-7*IF(G23&lt;&gt;"",G23,IFERROR(SUMIFS(CB_Tributaires!$H:$H,CB_Tributaires!$F:$F,$A23)/SUMIFS(CB_Tributaires!$G:$G,CB_Tributaires!$F:$F,$A23),Inputs!$B$17))*F23*I23))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7">
        <f>IF(AY23="","",CE23)</f>
        <v/>
      </c>
      <c r="AX23" s="7">
        <f>IF(OR(AY23="",AW23="",R23="",R23&lt;=0,AW23&lt;=0),"",AY23/((R23^2/8)*(2*ACOS(1-2*AW23/R23)-SIN(2*ACOS(1-2*AW23/R23)))))</f>
        <v/>
      </c>
      <c r="AY23" s="4">
        <f>IF(OR(L23="",AZ23=""),"",MIN(L23,AZ23))</f>
        <v/>
      </c>
      <c r="AZ23" s="4">
        <f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4">
        <f>IF(AY23="","",0.001*R23)</f>
        <v/>
      </c>
      <c r="BB23" s="4">
        <f>IF(AY23="","",0.94*R23)</f>
        <v/>
      </c>
      <c r="BC23" s="4">
        <f>IF(AY23="","",(BA23+BB23)/2)</f>
        <v/>
      </c>
      <c r="BD23" s="4">
        <f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4">
        <f>IF(AY23="","",IF(BD23&lt;AY23,BC23,BA23))</f>
        <v/>
      </c>
      <c r="BF23" s="4">
        <f>IF(AY23="","",IF(BD23&lt;AY23,BB23,BC23))</f>
        <v/>
      </c>
      <c r="BG23" s="4">
        <f>IF(AY23="","",(BE23+BF23)/2)</f>
        <v/>
      </c>
      <c r="BH23" s="4">
        <f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4">
        <f>IF(AY23="","",IF(BH23&lt;AY23,BG23,BE23))</f>
        <v/>
      </c>
      <c r="BJ23" s="4">
        <f>IF(AY23="","",IF(BH23&lt;AY23,BF23,BG23))</f>
        <v/>
      </c>
      <c r="BK23" s="4">
        <f>IF(AY23="","",(BI23+BJ23)/2)</f>
        <v/>
      </c>
      <c r="BL23" s="4">
        <f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4">
        <f>IF(AY23="","",IF(BL23&lt;AY23,BK23,BI23))</f>
        <v/>
      </c>
      <c r="BN23" s="4">
        <f>IF(AY23="","",IF(BL23&lt;AY23,BJ23,BK23))</f>
        <v/>
      </c>
      <c r="BO23" s="4">
        <f>IF(AY23="","",(BM23+BN23)/2)</f>
        <v/>
      </c>
      <c r="BP23" s="4">
        <f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4">
        <f>IF(AY23="","",IF(BP23&lt;AY23,BO23,BM23))</f>
        <v/>
      </c>
      <c r="BR23" s="4">
        <f>IF(AY23="","",IF(BP23&lt;AY23,BN23,BO23))</f>
        <v/>
      </c>
      <c r="BS23" s="4">
        <f>IF(AY23="","",(BQ23+BR23)/2)</f>
        <v/>
      </c>
      <c r="BT23" s="4">
        <f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4">
        <f>IF(AY23="","",IF(BT23&lt;AY23,BS23,BQ23))</f>
        <v/>
      </c>
      <c r="BV23" s="4">
        <f>IF(AY23="","",IF(BT23&lt;AY23,BR23,BS23))</f>
        <v/>
      </c>
      <c r="BW23" s="4">
        <f>IF(AY23="","",(BU23+BV23)/2)</f>
        <v/>
      </c>
      <c r="BX23" s="4">
        <f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4">
        <f>IF(AY23="","",IF(BX23&lt;AY23,BW23,BU23))</f>
        <v/>
      </c>
      <c r="BZ23" s="4">
        <f>IF(AY23="","",IF(BX23&lt;AY23,BV23,BW23))</f>
        <v/>
      </c>
      <c r="CA23" s="4">
        <f>IF(AY23="","",(BY23+BZ23)/2)</f>
        <v/>
      </c>
      <c r="CB23" s="4">
        <f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4">
        <f>IF(AY23="","",IF(CB23&lt;AY23,CA23,BY23))</f>
        <v/>
      </c>
      <c r="CD23" s="4">
        <f>IF(AY23="","",IF(CB23&lt;AY23,BZ23,CA23))</f>
        <v/>
      </c>
      <c r="CE23" s="4">
        <f>IF(AY23="","",(CC23+CD23)/2)</f>
        <v/>
      </c>
    </row>
    <row r="24">
      <c r="A24" s="4" t="n"/>
      <c r="B24" s="4" t="n"/>
      <c r="C24" s="8" t="n"/>
      <c r="D24" s="8" t="n"/>
      <c r="E24" s="8">
        <f>SUMIFS(CB_Tributaires!$G:$G,CB_Tributaires!$F:$F,$A24)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IF(A24="","",IF(F24="","",2.78E-7*IF(G24&lt;&gt;"",G24,IFERROR(SUMIFS(CB_Tributaires!$H:$H,CB_Tributaires!$F:$F,$A24)/SUMIFS(CB_Tributaires!$G:$G,CB_Tributaires!$F:$F,$A24),Inputs!$B$17))*F24*I24))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7">
        <f>IF(AY24="","",CE24)</f>
        <v/>
      </c>
      <c r="AX24" s="7">
        <f>IF(OR(AY24="",AW24="",R24="",R24&lt;=0,AW24&lt;=0),"",AY24/((R24^2/8)*(2*ACOS(1-2*AW24/R24)-SIN(2*ACOS(1-2*AW24/R24)))))</f>
        <v/>
      </c>
      <c r="AY24" s="4">
        <f>IF(OR(L24="",AZ24=""),"",MIN(L24,AZ24))</f>
        <v/>
      </c>
      <c r="AZ24" s="4">
        <f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4">
        <f>IF(AY24="","",0.001*R24)</f>
        <v/>
      </c>
      <c r="BB24" s="4">
        <f>IF(AY24="","",0.94*R24)</f>
        <v/>
      </c>
      <c r="BC24" s="4">
        <f>IF(AY24="","",(BA24+BB24)/2)</f>
        <v/>
      </c>
      <c r="BD24" s="4">
        <f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4">
        <f>IF(AY24="","",IF(BD24&lt;AY24,BC24,BA24))</f>
        <v/>
      </c>
      <c r="BF24" s="4">
        <f>IF(AY24="","",IF(BD24&lt;AY24,BB24,BC24))</f>
        <v/>
      </c>
      <c r="BG24" s="4">
        <f>IF(AY24="","",(BE24+BF24)/2)</f>
        <v/>
      </c>
      <c r="BH24" s="4">
        <f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4">
        <f>IF(AY24="","",IF(BH24&lt;AY24,BG24,BE24))</f>
        <v/>
      </c>
      <c r="BJ24" s="4">
        <f>IF(AY24="","",IF(BH24&lt;AY24,BF24,BG24))</f>
        <v/>
      </c>
      <c r="BK24" s="4">
        <f>IF(AY24="","",(BI24+BJ24)/2)</f>
        <v/>
      </c>
      <c r="BL24" s="4">
        <f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4">
        <f>IF(AY24="","",IF(BL24&lt;AY24,BK24,BI24))</f>
        <v/>
      </c>
      <c r="BN24" s="4">
        <f>IF(AY24="","",IF(BL24&lt;AY24,BJ24,BK24))</f>
        <v/>
      </c>
      <c r="BO24" s="4">
        <f>IF(AY24="","",(BM24+BN24)/2)</f>
        <v/>
      </c>
      <c r="BP24" s="4">
        <f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4">
        <f>IF(AY24="","",IF(BP24&lt;AY24,BO24,BM24))</f>
        <v/>
      </c>
      <c r="BR24" s="4">
        <f>IF(AY24="","",IF(BP24&lt;AY24,BN24,BO24))</f>
        <v/>
      </c>
      <c r="BS24" s="4">
        <f>IF(AY24="","",(BQ24+BR24)/2)</f>
        <v/>
      </c>
      <c r="BT24" s="4">
        <f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4">
        <f>IF(AY24="","",IF(BT24&lt;AY24,BS24,BQ24))</f>
        <v/>
      </c>
      <c r="BV24" s="4">
        <f>IF(AY24="","",IF(BT24&lt;AY24,BR24,BS24))</f>
        <v/>
      </c>
      <c r="BW24" s="4">
        <f>IF(AY24="","",(BU24+BV24)/2)</f>
        <v/>
      </c>
      <c r="BX24" s="4">
        <f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4">
        <f>IF(AY24="","",IF(BX24&lt;AY24,BW24,BU24))</f>
        <v/>
      </c>
      <c r="BZ24" s="4">
        <f>IF(AY24="","",IF(BX24&lt;AY24,BV24,BW24))</f>
        <v/>
      </c>
      <c r="CA24" s="4">
        <f>IF(AY24="","",(BY24+BZ24)/2)</f>
        <v/>
      </c>
      <c r="CB24" s="4">
        <f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4">
        <f>IF(AY24="","",IF(CB24&lt;AY24,CA24,BY24))</f>
        <v/>
      </c>
      <c r="CD24" s="4">
        <f>IF(AY24="","",IF(CB24&lt;AY24,BZ24,CA24))</f>
        <v/>
      </c>
      <c r="CE24" s="4">
        <f>IF(AY24="","",(CC24+CD24)/2)</f>
        <v/>
      </c>
    </row>
    <row r="25">
      <c r="A25" s="4" t="n"/>
      <c r="B25" s="4" t="n"/>
      <c r="C25" s="8" t="n"/>
      <c r="D25" s="8" t="n"/>
      <c r="E25" s="8">
        <f>SUMIFS(CB_Tributaires!$G:$G,CB_Tributaires!$F:$F,$A25)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IF(A25="","",IF(F25="","",2.78E-7*IF(G25&lt;&gt;"",G25,IFERROR(SUMIFS(CB_Tributaires!$H:$H,CB_Tributaires!$F:$F,$A25)/SUMIFS(CB_Tributaires!$G:$G,CB_Tributaires!$F:$F,$A25),Inputs!$B$17))*F25*I25))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7">
        <f>IF(AY25="","",CE25)</f>
        <v/>
      </c>
      <c r="AX25" s="7">
        <f>IF(OR(AY25="",AW25="",R25="",R25&lt;=0,AW25&lt;=0),"",AY25/((R25^2/8)*(2*ACOS(1-2*AW25/R25)-SIN(2*ACOS(1-2*AW25/R25)))))</f>
        <v/>
      </c>
      <c r="AY25" s="4">
        <f>IF(OR(L25="",AZ25=""),"",MIN(L25,AZ25))</f>
        <v/>
      </c>
      <c r="AZ25" s="4">
        <f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4">
        <f>IF(AY25="","",0.001*R25)</f>
        <v/>
      </c>
      <c r="BB25" s="4">
        <f>IF(AY25="","",0.94*R25)</f>
        <v/>
      </c>
      <c r="BC25" s="4">
        <f>IF(AY25="","",(BA25+BB25)/2)</f>
        <v/>
      </c>
      <c r="BD25" s="4">
        <f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4">
        <f>IF(AY25="","",IF(BD25&lt;AY25,BC25,BA25))</f>
        <v/>
      </c>
      <c r="BF25" s="4">
        <f>IF(AY25="","",IF(BD25&lt;AY25,BB25,BC25))</f>
        <v/>
      </c>
      <c r="BG25" s="4">
        <f>IF(AY25="","",(BE25+BF25)/2)</f>
        <v/>
      </c>
      <c r="BH25" s="4">
        <f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4">
        <f>IF(AY25="","",IF(BH25&lt;AY25,BG25,BE25))</f>
        <v/>
      </c>
      <c r="BJ25" s="4">
        <f>IF(AY25="","",IF(BH25&lt;AY25,BF25,BG25))</f>
        <v/>
      </c>
      <c r="BK25" s="4">
        <f>IF(AY25="","",(BI25+BJ25)/2)</f>
        <v/>
      </c>
      <c r="BL25" s="4">
        <f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4">
        <f>IF(AY25="","",IF(BL25&lt;AY25,BK25,BI25))</f>
        <v/>
      </c>
      <c r="BN25" s="4">
        <f>IF(AY25="","",IF(BL25&lt;AY25,BJ25,BK25))</f>
        <v/>
      </c>
      <c r="BO25" s="4">
        <f>IF(AY25="","",(BM25+BN25)/2)</f>
        <v/>
      </c>
      <c r="BP25" s="4">
        <f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4">
        <f>IF(AY25="","",IF(BP25&lt;AY25,BO25,BM25))</f>
        <v/>
      </c>
      <c r="BR25" s="4">
        <f>IF(AY25="","",IF(BP25&lt;AY25,BN25,BO25))</f>
        <v/>
      </c>
      <c r="BS25" s="4">
        <f>IF(AY25="","",(BQ25+BR25)/2)</f>
        <v/>
      </c>
      <c r="BT25" s="4">
        <f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4">
        <f>IF(AY25="","",IF(BT25&lt;AY25,BS25,BQ25))</f>
        <v/>
      </c>
      <c r="BV25" s="4">
        <f>IF(AY25="","",IF(BT25&lt;AY25,BR25,BS25))</f>
        <v/>
      </c>
      <c r="BW25" s="4">
        <f>IF(AY25="","",(BU25+BV25)/2)</f>
        <v/>
      </c>
      <c r="BX25" s="4">
        <f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4">
        <f>IF(AY25="","",IF(BX25&lt;AY25,BW25,BU25))</f>
        <v/>
      </c>
      <c r="BZ25" s="4">
        <f>IF(AY25="","",IF(BX25&lt;AY25,BV25,BW25))</f>
        <v/>
      </c>
      <c r="CA25" s="4">
        <f>IF(AY25="","",(BY25+BZ25)/2)</f>
        <v/>
      </c>
      <c r="CB25" s="4">
        <f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4">
        <f>IF(AY25="","",IF(CB25&lt;AY25,CA25,BY25))</f>
        <v/>
      </c>
      <c r="CD25" s="4">
        <f>IF(AY25="","",IF(CB25&lt;AY25,BZ25,CA25))</f>
        <v/>
      </c>
      <c r="CE25" s="4">
        <f>IF(AY25="","",(CC25+CD25)/2)</f>
        <v/>
      </c>
    </row>
    <row r="26">
      <c r="A26" s="4" t="n"/>
      <c r="B26" s="4" t="n"/>
      <c r="C26" s="8" t="n"/>
      <c r="D26" s="8" t="n"/>
      <c r="E26" s="8">
        <f>SUMIFS(CB_Tributaires!$G:$G,CB_Tributaires!$F:$F,$A26)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IF(A26="","",IF(F26="","",2.78E-7*IF(G26&lt;&gt;"",G26,IFERROR(SUMIFS(CB_Tributaires!$H:$H,CB_Tributaires!$F:$F,$A26)/SUMIFS(CB_Tributaires!$G:$G,CB_Tributaires!$F:$F,$A26),Inputs!$B$17))*F26*I26))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7">
        <f>IF(AY26="","",CE26)</f>
        <v/>
      </c>
      <c r="AX26" s="7">
        <f>IF(OR(AY26="",AW26="",R26="",R26&lt;=0,AW26&lt;=0),"",AY26/((R26^2/8)*(2*ACOS(1-2*AW26/R26)-SIN(2*ACOS(1-2*AW26/R26)))))</f>
        <v/>
      </c>
      <c r="AY26" s="4">
        <f>IF(OR(L26="",AZ26=""),"",MIN(L26,AZ26))</f>
        <v/>
      </c>
      <c r="AZ26" s="4">
        <f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4">
        <f>IF(AY26="","",0.001*R26)</f>
        <v/>
      </c>
      <c r="BB26" s="4">
        <f>IF(AY26="","",0.94*R26)</f>
        <v/>
      </c>
      <c r="BC26" s="4">
        <f>IF(AY26="","",(BA26+BB26)/2)</f>
        <v/>
      </c>
      <c r="BD26" s="4">
        <f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4">
        <f>IF(AY26="","",IF(BD26&lt;AY26,BC26,BA26))</f>
        <v/>
      </c>
      <c r="BF26" s="4">
        <f>IF(AY26="","",IF(BD26&lt;AY26,BB26,BC26))</f>
        <v/>
      </c>
      <c r="BG26" s="4">
        <f>IF(AY26="","",(BE26+BF26)/2)</f>
        <v/>
      </c>
      <c r="BH26" s="4">
        <f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4">
        <f>IF(AY26="","",IF(BH26&lt;AY26,BG26,BE26))</f>
        <v/>
      </c>
      <c r="BJ26" s="4">
        <f>IF(AY26="","",IF(BH26&lt;AY26,BF26,BG26))</f>
        <v/>
      </c>
      <c r="BK26" s="4">
        <f>IF(AY26="","",(BI26+BJ26)/2)</f>
        <v/>
      </c>
      <c r="BL26" s="4">
        <f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4">
        <f>IF(AY26="","",IF(BL26&lt;AY26,BK26,BI26))</f>
        <v/>
      </c>
      <c r="BN26" s="4">
        <f>IF(AY26="","",IF(BL26&lt;AY26,BJ26,BK26))</f>
        <v/>
      </c>
      <c r="BO26" s="4">
        <f>IF(AY26="","",(BM26+BN26)/2)</f>
        <v/>
      </c>
      <c r="BP26" s="4">
        <f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4">
        <f>IF(AY26="","",IF(BP26&lt;AY26,BO26,BM26))</f>
        <v/>
      </c>
      <c r="BR26" s="4">
        <f>IF(AY26="","",IF(BP26&lt;AY26,BN26,BO26))</f>
        <v/>
      </c>
      <c r="BS26" s="4">
        <f>IF(AY26="","",(BQ26+BR26)/2)</f>
        <v/>
      </c>
      <c r="BT26" s="4">
        <f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4">
        <f>IF(AY26="","",IF(BT26&lt;AY26,BS26,BQ26))</f>
        <v/>
      </c>
      <c r="BV26" s="4">
        <f>IF(AY26="","",IF(BT26&lt;AY26,BR26,BS26))</f>
        <v/>
      </c>
      <c r="BW26" s="4">
        <f>IF(AY26="","",(BU26+BV26)/2)</f>
        <v/>
      </c>
      <c r="BX26" s="4">
        <f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4">
        <f>IF(AY26="","",IF(BX26&lt;AY26,BW26,BU26))</f>
        <v/>
      </c>
      <c r="BZ26" s="4">
        <f>IF(AY26="","",IF(BX26&lt;AY26,BV26,BW26))</f>
        <v/>
      </c>
      <c r="CA26" s="4">
        <f>IF(AY26="","",(BY26+BZ26)/2)</f>
        <v/>
      </c>
      <c r="CB26" s="4">
        <f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4">
        <f>IF(AY26="","",IF(CB26&lt;AY26,CA26,BY26))</f>
        <v/>
      </c>
      <c r="CD26" s="4">
        <f>IF(AY26="","",IF(CB26&lt;AY26,BZ26,CA26))</f>
        <v/>
      </c>
      <c r="CE26" s="4">
        <f>IF(AY26="","",(CC26+CD26)/2)</f>
        <v/>
      </c>
    </row>
    <row r="27">
      <c r="A27" s="4" t="n"/>
      <c r="B27" s="4" t="n"/>
      <c r="C27" s="8" t="n"/>
      <c r="D27" s="8" t="n"/>
      <c r="E27" s="8">
        <f>SUMIFS(CB_Tributaires!$G:$G,CB_Tributaires!$F:$F,$A27)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IF(A27="","",IF(F27="","",2.78E-7*IF(G27&lt;&gt;"",G27,IFERROR(SUMIFS(CB_Tributaires!$H:$H,CB_Tributaires!$F:$F,$A27)/SUMIFS(CB_Tributaires!$G:$G,CB_Tributaires!$F:$F,$A27),Inputs!$B$17))*F27*I27))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7">
        <f>IF(AY27="","",CE27)</f>
        <v/>
      </c>
      <c r="AX27" s="7">
        <f>IF(OR(AY27="",AW27="",R27="",R27&lt;=0,AW27&lt;=0),"",AY27/((R27^2/8)*(2*ACOS(1-2*AW27/R27)-SIN(2*ACOS(1-2*AW27/R27)))))</f>
        <v/>
      </c>
      <c r="AY27" s="4">
        <f>IF(OR(L27="",AZ27=""),"",MIN(L27,AZ27))</f>
        <v/>
      </c>
      <c r="AZ27" s="4">
        <f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4">
        <f>IF(AY27="","",0.001*R27)</f>
        <v/>
      </c>
      <c r="BB27" s="4">
        <f>IF(AY27="","",0.94*R27)</f>
        <v/>
      </c>
      <c r="BC27" s="4">
        <f>IF(AY27="","",(BA27+BB27)/2)</f>
        <v/>
      </c>
      <c r="BD27" s="4">
        <f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4">
        <f>IF(AY27="","",IF(BD27&lt;AY27,BC27,BA27))</f>
        <v/>
      </c>
      <c r="BF27" s="4">
        <f>IF(AY27="","",IF(BD27&lt;AY27,BB27,BC27))</f>
        <v/>
      </c>
      <c r="BG27" s="4">
        <f>IF(AY27="","",(BE27+BF27)/2)</f>
        <v/>
      </c>
      <c r="BH27" s="4">
        <f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4">
        <f>IF(AY27="","",IF(BH27&lt;AY27,BG27,BE27))</f>
        <v/>
      </c>
      <c r="BJ27" s="4">
        <f>IF(AY27="","",IF(BH27&lt;AY27,BF27,BG27))</f>
        <v/>
      </c>
      <c r="BK27" s="4">
        <f>IF(AY27="","",(BI27+BJ27)/2)</f>
        <v/>
      </c>
      <c r="BL27" s="4">
        <f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4">
        <f>IF(AY27="","",IF(BL27&lt;AY27,BK27,BI27))</f>
        <v/>
      </c>
      <c r="BN27" s="4">
        <f>IF(AY27="","",IF(BL27&lt;AY27,BJ27,BK27))</f>
        <v/>
      </c>
      <c r="BO27" s="4">
        <f>IF(AY27="","",(BM27+BN27)/2)</f>
        <v/>
      </c>
      <c r="BP27" s="4">
        <f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4">
        <f>IF(AY27="","",IF(BP27&lt;AY27,BO27,BM27))</f>
        <v/>
      </c>
      <c r="BR27" s="4">
        <f>IF(AY27="","",IF(BP27&lt;AY27,BN27,BO27))</f>
        <v/>
      </c>
      <c r="BS27" s="4">
        <f>IF(AY27="","",(BQ27+BR27)/2)</f>
        <v/>
      </c>
      <c r="BT27" s="4">
        <f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4">
        <f>IF(AY27="","",IF(BT27&lt;AY27,BS27,BQ27))</f>
        <v/>
      </c>
      <c r="BV27" s="4">
        <f>IF(AY27="","",IF(BT27&lt;AY27,BR27,BS27))</f>
        <v/>
      </c>
      <c r="BW27" s="4">
        <f>IF(AY27="","",(BU27+BV27)/2)</f>
        <v/>
      </c>
      <c r="BX27" s="4">
        <f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4">
        <f>IF(AY27="","",IF(BX27&lt;AY27,BW27,BU27))</f>
        <v/>
      </c>
      <c r="BZ27" s="4">
        <f>IF(AY27="","",IF(BX27&lt;AY27,BV27,BW27))</f>
        <v/>
      </c>
      <c r="CA27" s="4">
        <f>IF(AY27="","",(BY27+BZ27)/2)</f>
        <v/>
      </c>
      <c r="CB27" s="4">
        <f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4">
        <f>IF(AY27="","",IF(CB27&lt;AY27,CA27,BY27))</f>
        <v/>
      </c>
      <c r="CD27" s="4">
        <f>IF(AY27="","",IF(CB27&lt;AY27,BZ27,CA27))</f>
        <v/>
      </c>
      <c r="CE27" s="4">
        <f>IF(AY27="","",(CC27+CD27)/2)</f>
        <v/>
      </c>
    </row>
    <row r="28">
      <c r="A28" s="4" t="n"/>
      <c r="B28" s="4" t="n"/>
      <c r="C28" s="8" t="n"/>
      <c r="D28" s="8" t="n"/>
      <c r="E28" s="8">
        <f>SUMIFS(CB_Tributaires!$G:$G,CB_Tributaires!$F:$F,$A28)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IF(A28="","",IF(F28="","",2.78E-7*IF(G28&lt;&gt;"",G28,IFERROR(SUMIFS(CB_Tributaires!$H:$H,CB_Tributaires!$F:$F,$A28)/SUMIFS(CB_Tributaires!$G:$G,CB_Tributaires!$F:$F,$A28),Inputs!$B$17))*F28*I28))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7">
        <f>IF(AY28="","",CE28)</f>
        <v/>
      </c>
      <c r="AX28" s="7">
        <f>IF(OR(AY28="",AW28="",R28="",R28&lt;=0,AW28&lt;=0),"",AY28/((R28^2/8)*(2*ACOS(1-2*AW28/R28)-SIN(2*ACOS(1-2*AW28/R28)))))</f>
        <v/>
      </c>
      <c r="AY28" s="4">
        <f>IF(OR(L28="",AZ28=""),"",MIN(L28,AZ28))</f>
        <v/>
      </c>
      <c r="AZ28" s="4">
        <f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4">
        <f>IF(AY28="","",0.001*R28)</f>
        <v/>
      </c>
      <c r="BB28" s="4">
        <f>IF(AY28="","",0.94*R28)</f>
        <v/>
      </c>
      <c r="BC28" s="4">
        <f>IF(AY28="","",(BA28+BB28)/2)</f>
        <v/>
      </c>
      <c r="BD28" s="4">
        <f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4">
        <f>IF(AY28="","",IF(BD28&lt;AY28,BC28,BA28))</f>
        <v/>
      </c>
      <c r="BF28" s="4">
        <f>IF(AY28="","",IF(BD28&lt;AY28,BB28,BC28))</f>
        <v/>
      </c>
      <c r="BG28" s="4">
        <f>IF(AY28="","",(BE28+BF28)/2)</f>
        <v/>
      </c>
      <c r="BH28" s="4">
        <f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4">
        <f>IF(AY28="","",IF(BH28&lt;AY28,BG28,BE28))</f>
        <v/>
      </c>
      <c r="BJ28" s="4">
        <f>IF(AY28="","",IF(BH28&lt;AY28,BF28,BG28))</f>
        <v/>
      </c>
      <c r="BK28" s="4">
        <f>IF(AY28="","",(BI28+BJ28)/2)</f>
        <v/>
      </c>
      <c r="BL28" s="4">
        <f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4">
        <f>IF(AY28="","",IF(BL28&lt;AY28,BK28,BI28))</f>
        <v/>
      </c>
      <c r="BN28" s="4">
        <f>IF(AY28="","",IF(BL28&lt;AY28,BJ28,BK28))</f>
        <v/>
      </c>
      <c r="BO28" s="4">
        <f>IF(AY28="","",(BM28+BN28)/2)</f>
        <v/>
      </c>
      <c r="BP28" s="4">
        <f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4">
        <f>IF(AY28="","",IF(BP28&lt;AY28,BO28,BM28))</f>
        <v/>
      </c>
      <c r="BR28" s="4">
        <f>IF(AY28="","",IF(BP28&lt;AY28,BN28,BO28))</f>
        <v/>
      </c>
      <c r="BS28" s="4">
        <f>IF(AY28="","",(BQ28+BR28)/2)</f>
        <v/>
      </c>
      <c r="BT28" s="4">
        <f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4">
        <f>IF(AY28="","",IF(BT28&lt;AY28,BS28,BQ28))</f>
        <v/>
      </c>
      <c r="BV28" s="4">
        <f>IF(AY28="","",IF(BT28&lt;AY28,BR28,BS28))</f>
        <v/>
      </c>
      <c r="BW28" s="4">
        <f>IF(AY28="","",(BU28+BV28)/2)</f>
        <v/>
      </c>
      <c r="BX28" s="4">
        <f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4">
        <f>IF(AY28="","",IF(BX28&lt;AY28,BW28,BU28))</f>
        <v/>
      </c>
      <c r="BZ28" s="4">
        <f>IF(AY28="","",IF(BX28&lt;AY28,BV28,BW28))</f>
        <v/>
      </c>
      <c r="CA28" s="4">
        <f>IF(AY28="","",(BY28+BZ28)/2)</f>
        <v/>
      </c>
      <c r="CB28" s="4">
        <f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4">
        <f>IF(AY28="","",IF(CB28&lt;AY28,CA28,BY28))</f>
        <v/>
      </c>
      <c r="CD28" s="4">
        <f>IF(AY28="","",IF(CB28&lt;AY28,BZ28,CA28))</f>
        <v/>
      </c>
      <c r="CE28" s="4">
        <f>IF(AY28="","",(CC28+CD28)/2)</f>
        <v/>
      </c>
    </row>
    <row r="29">
      <c r="A29" s="4" t="n"/>
      <c r="B29" s="4" t="n"/>
      <c r="C29" s="8" t="n"/>
      <c r="D29" s="8" t="n"/>
      <c r="E29" s="8">
        <f>SUMIFS(CB_Tributaires!$G:$G,CB_Tributaires!$F:$F,$A29)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IF(A29="","",IF(F29="","",2.78E-7*IF(G29&lt;&gt;"",G29,IFERROR(SUMIFS(CB_Tributaires!$H:$H,CB_Tributaires!$F:$F,$A29)/SUMIFS(CB_Tributaires!$G:$G,CB_Tributaires!$F:$F,$A29),Inputs!$B$17))*F29*I29))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7">
        <f>IF(AY29="","",CE29)</f>
        <v/>
      </c>
      <c r="AX29" s="7">
        <f>IF(OR(AY29="",AW29="",R29="",R29&lt;=0,AW29&lt;=0),"",AY29/((R29^2/8)*(2*ACOS(1-2*AW29/R29)-SIN(2*ACOS(1-2*AW29/R29)))))</f>
        <v/>
      </c>
      <c r="AY29" s="4">
        <f>IF(OR(L29="",AZ29=""),"",MIN(L29,AZ29))</f>
        <v/>
      </c>
      <c r="AZ29" s="4">
        <f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4">
        <f>IF(AY29="","",0.001*R29)</f>
        <v/>
      </c>
      <c r="BB29" s="4">
        <f>IF(AY29="","",0.94*R29)</f>
        <v/>
      </c>
      <c r="BC29" s="4">
        <f>IF(AY29="","",(BA29+BB29)/2)</f>
        <v/>
      </c>
      <c r="BD29" s="4">
        <f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4">
        <f>IF(AY29="","",IF(BD29&lt;AY29,BC29,BA29))</f>
        <v/>
      </c>
      <c r="BF29" s="4">
        <f>IF(AY29="","",IF(BD29&lt;AY29,BB29,BC29))</f>
        <v/>
      </c>
      <c r="BG29" s="4">
        <f>IF(AY29="","",(BE29+BF29)/2)</f>
        <v/>
      </c>
      <c r="BH29" s="4">
        <f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4">
        <f>IF(AY29="","",IF(BH29&lt;AY29,BG29,BE29))</f>
        <v/>
      </c>
      <c r="BJ29" s="4">
        <f>IF(AY29="","",IF(BH29&lt;AY29,BF29,BG29))</f>
        <v/>
      </c>
      <c r="BK29" s="4">
        <f>IF(AY29="","",(BI29+BJ29)/2)</f>
        <v/>
      </c>
      <c r="BL29" s="4">
        <f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4">
        <f>IF(AY29="","",IF(BL29&lt;AY29,BK29,BI29))</f>
        <v/>
      </c>
      <c r="BN29" s="4">
        <f>IF(AY29="","",IF(BL29&lt;AY29,BJ29,BK29))</f>
        <v/>
      </c>
      <c r="BO29" s="4">
        <f>IF(AY29="","",(BM29+BN29)/2)</f>
        <v/>
      </c>
      <c r="BP29" s="4">
        <f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4">
        <f>IF(AY29="","",IF(BP29&lt;AY29,BO29,BM29))</f>
        <v/>
      </c>
      <c r="BR29" s="4">
        <f>IF(AY29="","",IF(BP29&lt;AY29,BN29,BO29))</f>
        <v/>
      </c>
      <c r="BS29" s="4">
        <f>IF(AY29="","",(BQ29+BR29)/2)</f>
        <v/>
      </c>
      <c r="BT29" s="4">
        <f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4">
        <f>IF(AY29="","",IF(BT29&lt;AY29,BS29,BQ29))</f>
        <v/>
      </c>
      <c r="BV29" s="4">
        <f>IF(AY29="","",IF(BT29&lt;AY29,BR29,BS29))</f>
        <v/>
      </c>
      <c r="BW29" s="4">
        <f>IF(AY29="","",(BU29+BV29)/2)</f>
        <v/>
      </c>
      <c r="BX29" s="4">
        <f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4">
        <f>IF(AY29="","",IF(BX29&lt;AY29,BW29,BU29))</f>
        <v/>
      </c>
      <c r="BZ29" s="4">
        <f>IF(AY29="","",IF(BX29&lt;AY29,BV29,BW29))</f>
        <v/>
      </c>
      <c r="CA29" s="4">
        <f>IF(AY29="","",(BY29+BZ29)/2)</f>
        <v/>
      </c>
      <c r="CB29" s="4">
        <f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4">
        <f>IF(AY29="","",IF(CB29&lt;AY29,CA29,BY29))</f>
        <v/>
      </c>
      <c r="CD29" s="4">
        <f>IF(AY29="","",IF(CB29&lt;AY29,BZ29,CA29))</f>
        <v/>
      </c>
      <c r="CE29" s="4">
        <f>IF(AY29="","",(CC29+CD29)/2)</f>
        <v/>
      </c>
    </row>
    <row r="30">
      <c r="A30" s="4" t="n"/>
      <c r="B30" s="4" t="n"/>
      <c r="C30" s="8" t="n"/>
      <c r="D30" s="8" t="n"/>
      <c r="E30" s="8">
        <f>SUMIFS(CB_Tributaires!$G:$G,CB_Tributaires!$F:$F,$A30)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IF(A30="","",IF(F30="","",2.78E-7*IF(G30&lt;&gt;"",G30,IFERROR(SUMIFS(CB_Tributaires!$H:$H,CB_Tributaires!$F:$F,$A30)/SUMIFS(CB_Tributaires!$G:$G,CB_Tributaires!$F:$F,$A30),Inputs!$B$17))*F30*I30))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7">
        <f>IF(AY30="","",CE30)</f>
        <v/>
      </c>
      <c r="AX30" s="7">
        <f>IF(OR(AY30="",AW30="",R30="",R30&lt;=0,AW30&lt;=0),"",AY30/((R30^2/8)*(2*ACOS(1-2*AW30/R30)-SIN(2*ACOS(1-2*AW30/R30)))))</f>
        <v/>
      </c>
      <c r="AY30" s="4">
        <f>IF(OR(L30="",AZ30=""),"",MIN(L30,AZ30))</f>
        <v/>
      </c>
      <c r="AZ30" s="4">
        <f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4">
        <f>IF(AY30="","",0.001*R30)</f>
        <v/>
      </c>
      <c r="BB30" s="4">
        <f>IF(AY30="","",0.94*R30)</f>
        <v/>
      </c>
      <c r="BC30" s="4">
        <f>IF(AY30="","",(BA30+BB30)/2)</f>
        <v/>
      </c>
      <c r="BD30" s="4">
        <f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4">
        <f>IF(AY30="","",IF(BD30&lt;AY30,BC30,BA30))</f>
        <v/>
      </c>
      <c r="BF30" s="4">
        <f>IF(AY30="","",IF(BD30&lt;AY30,BB30,BC30))</f>
        <v/>
      </c>
      <c r="BG30" s="4">
        <f>IF(AY30="","",(BE30+BF30)/2)</f>
        <v/>
      </c>
      <c r="BH30" s="4">
        <f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4">
        <f>IF(AY30="","",IF(BH30&lt;AY30,BG30,BE30))</f>
        <v/>
      </c>
      <c r="BJ30" s="4">
        <f>IF(AY30="","",IF(BH30&lt;AY30,BF30,BG30))</f>
        <v/>
      </c>
      <c r="BK30" s="4">
        <f>IF(AY30="","",(BI30+BJ30)/2)</f>
        <v/>
      </c>
      <c r="BL30" s="4">
        <f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4">
        <f>IF(AY30="","",IF(BL30&lt;AY30,BK30,BI30))</f>
        <v/>
      </c>
      <c r="BN30" s="4">
        <f>IF(AY30="","",IF(BL30&lt;AY30,BJ30,BK30))</f>
        <v/>
      </c>
      <c r="BO30" s="4">
        <f>IF(AY30="","",(BM30+BN30)/2)</f>
        <v/>
      </c>
      <c r="BP30" s="4">
        <f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4">
        <f>IF(AY30="","",IF(BP30&lt;AY30,BO30,BM30))</f>
        <v/>
      </c>
      <c r="BR30" s="4">
        <f>IF(AY30="","",IF(BP30&lt;AY30,BN30,BO30))</f>
        <v/>
      </c>
      <c r="BS30" s="4">
        <f>IF(AY30="","",(BQ30+BR30)/2)</f>
        <v/>
      </c>
      <c r="BT30" s="4">
        <f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4">
        <f>IF(AY30="","",IF(BT30&lt;AY30,BS30,BQ30))</f>
        <v/>
      </c>
      <c r="BV30" s="4">
        <f>IF(AY30="","",IF(BT30&lt;AY30,BR30,BS30))</f>
        <v/>
      </c>
      <c r="BW30" s="4">
        <f>IF(AY30="","",(BU30+BV30)/2)</f>
        <v/>
      </c>
      <c r="BX30" s="4">
        <f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4">
        <f>IF(AY30="","",IF(BX30&lt;AY30,BW30,BU30))</f>
        <v/>
      </c>
      <c r="BZ30" s="4">
        <f>IF(AY30="","",IF(BX30&lt;AY30,BV30,BW30))</f>
        <v/>
      </c>
      <c r="CA30" s="4">
        <f>IF(AY30="","",(BY30+BZ30)/2)</f>
        <v/>
      </c>
      <c r="CB30" s="4">
        <f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4">
        <f>IF(AY30="","",IF(CB30&lt;AY30,CA30,BY30))</f>
        <v/>
      </c>
      <c r="CD30" s="4">
        <f>IF(AY30="","",IF(CB30&lt;AY30,BZ30,CA30))</f>
        <v/>
      </c>
      <c r="CE30" s="4">
        <f>IF(AY30="","",(CC30+CD30)/2)</f>
        <v/>
      </c>
    </row>
    <row r="31">
      <c r="A31" s="4" t="n"/>
      <c r="B31" s="4" t="n"/>
      <c r="C31" s="8" t="n"/>
      <c r="D31" s="8" t="n"/>
      <c r="E31" s="8">
        <f>SUMIFS(CB_Tributaires!$G:$G,CB_Tributaires!$F:$F,$A31)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IF(A31="","",IF(F31="","",2.78E-7*IF(G31&lt;&gt;"",G31,IFERROR(SUMIFS(CB_Tributaires!$H:$H,CB_Tributaires!$F:$F,$A31)/SUMIFS(CB_Tributaires!$G:$G,CB_Tributaires!$F:$F,$A31),Inputs!$B$17))*F31*I31))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7">
        <f>IF(AY31="","",CE31)</f>
        <v/>
      </c>
      <c r="AX31" s="7">
        <f>IF(OR(AY31="",AW31="",R31="",R31&lt;=0,AW31&lt;=0),"",AY31/((R31^2/8)*(2*ACOS(1-2*AW31/R31)-SIN(2*ACOS(1-2*AW31/R31)))))</f>
        <v/>
      </c>
      <c r="AY31" s="4">
        <f>IF(OR(L31="",AZ31=""),"",MIN(L31,AZ31))</f>
        <v/>
      </c>
      <c r="AZ31" s="4">
        <f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4">
        <f>IF(AY31="","",0.001*R31)</f>
        <v/>
      </c>
      <c r="BB31" s="4">
        <f>IF(AY31="","",0.94*R31)</f>
        <v/>
      </c>
      <c r="BC31" s="4">
        <f>IF(AY31="","",(BA31+BB31)/2)</f>
        <v/>
      </c>
      <c r="BD31" s="4">
        <f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4">
        <f>IF(AY31="","",IF(BD31&lt;AY31,BC31,BA31))</f>
        <v/>
      </c>
      <c r="BF31" s="4">
        <f>IF(AY31="","",IF(BD31&lt;AY31,BB31,BC31))</f>
        <v/>
      </c>
      <c r="BG31" s="4">
        <f>IF(AY31="","",(BE31+BF31)/2)</f>
        <v/>
      </c>
      <c r="BH31" s="4">
        <f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4">
        <f>IF(AY31="","",IF(BH31&lt;AY31,BG31,BE31))</f>
        <v/>
      </c>
      <c r="BJ31" s="4">
        <f>IF(AY31="","",IF(BH31&lt;AY31,BF31,BG31))</f>
        <v/>
      </c>
      <c r="BK31" s="4">
        <f>IF(AY31="","",(BI31+BJ31)/2)</f>
        <v/>
      </c>
      <c r="BL31" s="4">
        <f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4">
        <f>IF(AY31="","",IF(BL31&lt;AY31,BK31,BI31))</f>
        <v/>
      </c>
      <c r="BN31" s="4">
        <f>IF(AY31="","",IF(BL31&lt;AY31,BJ31,BK31))</f>
        <v/>
      </c>
      <c r="BO31" s="4">
        <f>IF(AY31="","",(BM31+BN31)/2)</f>
        <v/>
      </c>
      <c r="BP31" s="4">
        <f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4">
        <f>IF(AY31="","",IF(BP31&lt;AY31,BO31,BM31))</f>
        <v/>
      </c>
      <c r="BR31" s="4">
        <f>IF(AY31="","",IF(BP31&lt;AY31,BN31,BO31))</f>
        <v/>
      </c>
      <c r="BS31" s="4">
        <f>IF(AY31="","",(BQ31+BR31)/2)</f>
        <v/>
      </c>
      <c r="BT31" s="4">
        <f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4">
        <f>IF(AY31="","",IF(BT31&lt;AY31,BS31,BQ31))</f>
        <v/>
      </c>
      <c r="BV31" s="4">
        <f>IF(AY31="","",IF(BT31&lt;AY31,BR31,BS31))</f>
        <v/>
      </c>
      <c r="BW31" s="4">
        <f>IF(AY31="","",(BU31+BV31)/2)</f>
        <v/>
      </c>
      <c r="BX31" s="4">
        <f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4">
        <f>IF(AY31="","",IF(BX31&lt;AY31,BW31,BU31))</f>
        <v/>
      </c>
      <c r="BZ31" s="4">
        <f>IF(AY31="","",IF(BX31&lt;AY31,BV31,BW31))</f>
        <v/>
      </c>
      <c r="CA31" s="4">
        <f>IF(AY31="","",(BY31+BZ31)/2)</f>
        <v/>
      </c>
      <c r="CB31" s="4">
        <f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4">
        <f>IF(AY31="","",IF(CB31&lt;AY31,CA31,BY31))</f>
        <v/>
      </c>
      <c r="CD31" s="4">
        <f>IF(AY31="","",IF(CB31&lt;AY31,BZ31,CA31))</f>
        <v/>
      </c>
      <c r="CE31" s="4">
        <f>IF(AY31="","",(CC31+CD31)/2)</f>
        <v/>
      </c>
    </row>
    <row r="32">
      <c r="A32" s="4" t="n"/>
      <c r="B32" s="4" t="n"/>
      <c r="C32" s="8" t="n"/>
      <c r="D32" s="8" t="n"/>
      <c r="E32" s="8">
        <f>SUMIFS(CB_Tributaires!$G:$G,CB_Tributaires!$F:$F,$A32)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IF(A32="","",IF(F32="","",2.78E-7*IF(G32&lt;&gt;"",G32,IFERROR(SUMIFS(CB_Tributaires!$H:$H,CB_Tributaires!$F:$F,$A32)/SUMIFS(CB_Tributaires!$G:$G,CB_Tributaires!$F:$F,$A32),Inputs!$B$17))*F32*I32))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7">
        <f>IF(AY32="","",CE32)</f>
        <v/>
      </c>
      <c r="AX32" s="7">
        <f>IF(OR(AY32="",AW32="",R32="",R32&lt;=0,AW32&lt;=0),"",AY32/((R32^2/8)*(2*ACOS(1-2*AW32/R32)-SIN(2*ACOS(1-2*AW32/R32)))))</f>
        <v/>
      </c>
      <c r="AY32" s="4">
        <f>IF(OR(L32="",AZ32=""),"",MIN(L32,AZ32))</f>
        <v/>
      </c>
      <c r="AZ32" s="4">
        <f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4">
        <f>IF(AY32="","",0.001*R32)</f>
        <v/>
      </c>
      <c r="BB32" s="4">
        <f>IF(AY32="","",0.94*R32)</f>
        <v/>
      </c>
      <c r="BC32" s="4">
        <f>IF(AY32="","",(BA32+BB32)/2)</f>
        <v/>
      </c>
      <c r="BD32" s="4">
        <f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4">
        <f>IF(AY32="","",IF(BD32&lt;AY32,BC32,BA32))</f>
        <v/>
      </c>
      <c r="BF32" s="4">
        <f>IF(AY32="","",IF(BD32&lt;AY32,BB32,BC32))</f>
        <v/>
      </c>
      <c r="BG32" s="4">
        <f>IF(AY32="","",(BE32+BF32)/2)</f>
        <v/>
      </c>
      <c r="BH32" s="4">
        <f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4">
        <f>IF(AY32="","",IF(BH32&lt;AY32,BG32,BE32))</f>
        <v/>
      </c>
      <c r="BJ32" s="4">
        <f>IF(AY32="","",IF(BH32&lt;AY32,BF32,BG32))</f>
        <v/>
      </c>
      <c r="BK32" s="4">
        <f>IF(AY32="","",(BI32+BJ32)/2)</f>
        <v/>
      </c>
      <c r="BL32" s="4">
        <f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4">
        <f>IF(AY32="","",IF(BL32&lt;AY32,BK32,BI32))</f>
        <v/>
      </c>
      <c r="BN32" s="4">
        <f>IF(AY32="","",IF(BL32&lt;AY32,BJ32,BK32))</f>
        <v/>
      </c>
      <c r="BO32" s="4">
        <f>IF(AY32="","",(BM32+BN32)/2)</f>
        <v/>
      </c>
      <c r="BP32" s="4">
        <f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4">
        <f>IF(AY32="","",IF(BP32&lt;AY32,BO32,BM32))</f>
        <v/>
      </c>
      <c r="BR32" s="4">
        <f>IF(AY32="","",IF(BP32&lt;AY32,BN32,BO32))</f>
        <v/>
      </c>
      <c r="BS32" s="4">
        <f>IF(AY32="","",(BQ32+BR32)/2)</f>
        <v/>
      </c>
      <c r="BT32" s="4">
        <f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4">
        <f>IF(AY32="","",IF(BT32&lt;AY32,BS32,BQ32))</f>
        <v/>
      </c>
      <c r="BV32" s="4">
        <f>IF(AY32="","",IF(BT32&lt;AY32,BR32,BS32))</f>
        <v/>
      </c>
      <c r="BW32" s="4">
        <f>IF(AY32="","",(BU32+BV32)/2)</f>
        <v/>
      </c>
      <c r="BX32" s="4">
        <f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4">
        <f>IF(AY32="","",IF(BX32&lt;AY32,BW32,BU32))</f>
        <v/>
      </c>
      <c r="BZ32" s="4">
        <f>IF(AY32="","",IF(BX32&lt;AY32,BV32,BW32))</f>
        <v/>
      </c>
      <c r="CA32" s="4">
        <f>IF(AY32="","",(BY32+BZ32)/2)</f>
        <v/>
      </c>
      <c r="CB32" s="4">
        <f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4">
        <f>IF(AY32="","",IF(CB32&lt;AY32,CA32,BY32))</f>
        <v/>
      </c>
      <c r="CD32" s="4">
        <f>IF(AY32="","",IF(CB32&lt;AY32,BZ32,CA32))</f>
        <v/>
      </c>
      <c r="CE32" s="4">
        <f>IF(AY32="","",(CC32+CD32)/2)</f>
        <v/>
      </c>
    </row>
    <row r="33">
      <c r="A33" s="4" t="n"/>
      <c r="B33" s="4" t="n"/>
      <c r="C33" s="8" t="n"/>
      <c r="D33" s="8" t="n"/>
      <c r="E33" s="8">
        <f>SUMIFS(CB_Tributaires!$G:$G,CB_Tributaires!$F:$F,$A33)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IF(A33="","",IF(F33="","",2.78E-7*IF(G33&lt;&gt;"",G33,IFERROR(SUMIFS(CB_Tributaires!$H:$H,CB_Tributaires!$F:$F,$A33)/SUMIFS(CB_Tributaires!$G:$G,CB_Tributaires!$F:$F,$A33),Inputs!$B$17))*F33*I33))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7">
        <f>IF(AY33="","",CE33)</f>
        <v/>
      </c>
      <c r="AX33" s="7">
        <f>IF(OR(AY33="",AW33="",R33="",R33&lt;=0,AW33&lt;=0),"",AY33/((R33^2/8)*(2*ACOS(1-2*AW33/R33)-SIN(2*ACOS(1-2*AW33/R33)))))</f>
        <v/>
      </c>
      <c r="AY33" s="4">
        <f>IF(OR(L33="",AZ33=""),"",MIN(L33,AZ33))</f>
        <v/>
      </c>
      <c r="AZ33" s="4">
        <f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4">
        <f>IF(AY33="","",0.001*R33)</f>
        <v/>
      </c>
      <c r="BB33" s="4">
        <f>IF(AY33="","",0.94*R33)</f>
        <v/>
      </c>
      <c r="BC33" s="4">
        <f>IF(AY33="","",(BA33+BB33)/2)</f>
        <v/>
      </c>
      <c r="BD33" s="4">
        <f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4">
        <f>IF(AY33="","",IF(BD33&lt;AY33,BC33,BA33))</f>
        <v/>
      </c>
      <c r="BF33" s="4">
        <f>IF(AY33="","",IF(BD33&lt;AY33,BB33,BC33))</f>
        <v/>
      </c>
      <c r="BG33" s="4">
        <f>IF(AY33="","",(BE33+BF33)/2)</f>
        <v/>
      </c>
      <c r="BH33" s="4">
        <f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4">
        <f>IF(AY33="","",IF(BH33&lt;AY33,BG33,BE33))</f>
        <v/>
      </c>
      <c r="BJ33" s="4">
        <f>IF(AY33="","",IF(BH33&lt;AY33,BF33,BG33))</f>
        <v/>
      </c>
      <c r="BK33" s="4">
        <f>IF(AY33="","",(BI33+BJ33)/2)</f>
        <v/>
      </c>
      <c r="BL33" s="4">
        <f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4">
        <f>IF(AY33="","",IF(BL33&lt;AY33,BK33,BI33))</f>
        <v/>
      </c>
      <c r="BN33" s="4">
        <f>IF(AY33="","",IF(BL33&lt;AY33,BJ33,BK33))</f>
        <v/>
      </c>
      <c r="BO33" s="4">
        <f>IF(AY33="","",(BM33+BN33)/2)</f>
        <v/>
      </c>
      <c r="BP33" s="4">
        <f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4">
        <f>IF(AY33="","",IF(BP33&lt;AY33,BO33,BM33))</f>
        <v/>
      </c>
      <c r="BR33" s="4">
        <f>IF(AY33="","",IF(BP33&lt;AY33,BN33,BO33))</f>
        <v/>
      </c>
      <c r="BS33" s="4">
        <f>IF(AY33="","",(BQ33+BR33)/2)</f>
        <v/>
      </c>
      <c r="BT33" s="4">
        <f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4">
        <f>IF(AY33="","",IF(BT33&lt;AY33,BS33,BQ33))</f>
        <v/>
      </c>
      <c r="BV33" s="4">
        <f>IF(AY33="","",IF(BT33&lt;AY33,BR33,BS33))</f>
        <v/>
      </c>
      <c r="BW33" s="4">
        <f>IF(AY33="","",(BU33+BV33)/2)</f>
        <v/>
      </c>
      <c r="BX33" s="4">
        <f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4">
        <f>IF(AY33="","",IF(BX33&lt;AY33,BW33,BU33))</f>
        <v/>
      </c>
      <c r="BZ33" s="4">
        <f>IF(AY33="","",IF(BX33&lt;AY33,BV33,BW33))</f>
        <v/>
      </c>
      <c r="CA33" s="4">
        <f>IF(AY33="","",(BY33+BZ33)/2)</f>
        <v/>
      </c>
      <c r="CB33" s="4">
        <f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4">
        <f>IF(AY33="","",IF(CB33&lt;AY33,CA33,BY33))</f>
        <v/>
      </c>
      <c r="CD33" s="4">
        <f>IF(AY33="","",IF(CB33&lt;AY33,BZ33,CA33))</f>
        <v/>
      </c>
      <c r="CE33" s="4">
        <f>IF(AY33="","",(CC33+CD33)/2)</f>
        <v/>
      </c>
    </row>
    <row r="34">
      <c r="A34" s="4" t="n"/>
      <c r="B34" s="4" t="n"/>
      <c r="C34" s="8" t="n"/>
      <c r="D34" s="8" t="n"/>
      <c r="E34" s="8">
        <f>SUMIFS(CB_Tributaires!$G:$G,CB_Tributaires!$F:$F,$A34)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IF(A34="","",IF(F34="","",2.78E-7*IF(G34&lt;&gt;"",G34,IFERROR(SUMIFS(CB_Tributaires!$H:$H,CB_Tributaires!$F:$F,$A34)/SUMIFS(CB_Tributaires!$G:$G,CB_Tributaires!$F:$F,$A34),Inputs!$B$17))*F34*I34))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7">
        <f>IF(AY34="","",CE34)</f>
        <v/>
      </c>
      <c r="AX34" s="7">
        <f>IF(OR(AY34="",AW34="",R34="",R34&lt;=0,AW34&lt;=0),"",AY34/((R34^2/8)*(2*ACOS(1-2*AW34/R34)-SIN(2*ACOS(1-2*AW34/R34)))))</f>
        <v/>
      </c>
      <c r="AY34" s="4">
        <f>IF(OR(L34="",AZ34=""),"",MIN(L34,AZ34))</f>
        <v/>
      </c>
      <c r="AZ34" s="4">
        <f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4">
        <f>IF(AY34="","",0.001*R34)</f>
        <v/>
      </c>
      <c r="BB34" s="4">
        <f>IF(AY34="","",0.94*R34)</f>
        <v/>
      </c>
      <c r="BC34" s="4">
        <f>IF(AY34="","",(BA34+BB34)/2)</f>
        <v/>
      </c>
      <c r="BD34" s="4">
        <f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4">
        <f>IF(AY34="","",IF(BD34&lt;AY34,BC34,BA34))</f>
        <v/>
      </c>
      <c r="BF34" s="4">
        <f>IF(AY34="","",IF(BD34&lt;AY34,BB34,BC34))</f>
        <v/>
      </c>
      <c r="BG34" s="4">
        <f>IF(AY34="","",(BE34+BF34)/2)</f>
        <v/>
      </c>
      <c r="BH34" s="4">
        <f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4">
        <f>IF(AY34="","",IF(BH34&lt;AY34,BG34,BE34))</f>
        <v/>
      </c>
      <c r="BJ34" s="4">
        <f>IF(AY34="","",IF(BH34&lt;AY34,BF34,BG34))</f>
        <v/>
      </c>
      <c r="BK34" s="4">
        <f>IF(AY34="","",(BI34+BJ34)/2)</f>
        <v/>
      </c>
      <c r="BL34" s="4">
        <f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4">
        <f>IF(AY34="","",IF(BL34&lt;AY34,BK34,BI34))</f>
        <v/>
      </c>
      <c r="BN34" s="4">
        <f>IF(AY34="","",IF(BL34&lt;AY34,BJ34,BK34))</f>
        <v/>
      </c>
      <c r="BO34" s="4">
        <f>IF(AY34="","",(BM34+BN34)/2)</f>
        <v/>
      </c>
      <c r="BP34" s="4">
        <f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4">
        <f>IF(AY34="","",IF(BP34&lt;AY34,BO34,BM34))</f>
        <v/>
      </c>
      <c r="BR34" s="4">
        <f>IF(AY34="","",IF(BP34&lt;AY34,BN34,BO34))</f>
        <v/>
      </c>
      <c r="BS34" s="4">
        <f>IF(AY34="","",(BQ34+BR34)/2)</f>
        <v/>
      </c>
      <c r="BT34" s="4">
        <f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4">
        <f>IF(AY34="","",IF(BT34&lt;AY34,BS34,BQ34))</f>
        <v/>
      </c>
      <c r="BV34" s="4">
        <f>IF(AY34="","",IF(BT34&lt;AY34,BR34,BS34))</f>
        <v/>
      </c>
      <c r="BW34" s="4">
        <f>IF(AY34="","",(BU34+BV34)/2)</f>
        <v/>
      </c>
      <c r="BX34" s="4">
        <f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4">
        <f>IF(AY34="","",IF(BX34&lt;AY34,BW34,BU34))</f>
        <v/>
      </c>
      <c r="BZ34" s="4">
        <f>IF(AY34="","",IF(BX34&lt;AY34,BV34,BW34))</f>
        <v/>
      </c>
      <c r="CA34" s="4">
        <f>IF(AY34="","",(BY34+BZ34)/2)</f>
        <v/>
      </c>
      <c r="CB34" s="4">
        <f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4">
        <f>IF(AY34="","",IF(CB34&lt;AY34,CA34,BY34))</f>
        <v/>
      </c>
      <c r="CD34" s="4">
        <f>IF(AY34="","",IF(CB34&lt;AY34,BZ34,CA34))</f>
        <v/>
      </c>
      <c r="CE34" s="4">
        <f>IF(AY34="","",(CC34+CD34)/2)</f>
        <v/>
      </c>
    </row>
    <row r="35">
      <c r="A35" s="4" t="n"/>
      <c r="B35" s="4" t="n"/>
      <c r="C35" s="8" t="n"/>
      <c r="D35" s="8" t="n"/>
      <c r="E35" s="8">
        <f>SUMIFS(CB_Tributaires!$G:$G,CB_Tributaires!$F:$F,$A35)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IF(A35="","",IF(F35="","",2.78E-7*IF(G35&lt;&gt;"",G35,IFERROR(SUMIFS(CB_Tributaires!$H:$H,CB_Tributaires!$F:$F,$A35)/SUMIFS(CB_Tributaires!$G:$G,CB_Tributaires!$F:$F,$A35),Inputs!$B$17))*F35*I35))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7">
        <f>IF(AY35="","",CE35)</f>
        <v/>
      </c>
      <c r="AX35" s="7">
        <f>IF(OR(AY35="",AW35="",R35="",R35&lt;=0,AW35&lt;=0),"",AY35/((R35^2/8)*(2*ACOS(1-2*AW35/R35)-SIN(2*ACOS(1-2*AW35/R35)))))</f>
        <v/>
      </c>
      <c r="AY35" s="4">
        <f>IF(OR(L35="",AZ35=""),"",MIN(L35,AZ35))</f>
        <v/>
      </c>
      <c r="AZ35" s="4">
        <f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4">
        <f>IF(AY35="","",0.001*R35)</f>
        <v/>
      </c>
      <c r="BB35" s="4">
        <f>IF(AY35="","",0.94*R35)</f>
        <v/>
      </c>
      <c r="BC35" s="4">
        <f>IF(AY35="","",(BA35+BB35)/2)</f>
        <v/>
      </c>
      <c r="BD35" s="4">
        <f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4">
        <f>IF(AY35="","",IF(BD35&lt;AY35,BC35,BA35))</f>
        <v/>
      </c>
      <c r="BF35" s="4">
        <f>IF(AY35="","",IF(BD35&lt;AY35,BB35,BC35))</f>
        <v/>
      </c>
      <c r="BG35" s="4">
        <f>IF(AY35="","",(BE35+BF35)/2)</f>
        <v/>
      </c>
      <c r="BH35" s="4">
        <f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4">
        <f>IF(AY35="","",IF(BH35&lt;AY35,BG35,BE35))</f>
        <v/>
      </c>
      <c r="BJ35" s="4">
        <f>IF(AY35="","",IF(BH35&lt;AY35,BF35,BG35))</f>
        <v/>
      </c>
      <c r="BK35" s="4">
        <f>IF(AY35="","",(BI35+BJ35)/2)</f>
        <v/>
      </c>
      <c r="BL35" s="4">
        <f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4">
        <f>IF(AY35="","",IF(BL35&lt;AY35,BK35,BI35))</f>
        <v/>
      </c>
      <c r="BN35" s="4">
        <f>IF(AY35="","",IF(BL35&lt;AY35,BJ35,BK35))</f>
        <v/>
      </c>
      <c r="BO35" s="4">
        <f>IF(AY35="","",(BM35+BN35)/2)</f>
        <v/>
      </c>
      <c r="BP35" s="4">
        <f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4">
        <f>IF(AY35="","",IF(BP35&lt;AY35,BO35,BM35))</f>
        <v/>
      </c>
      <c r="BR35" s="4">
        <f>IF(AY35="","",IF(BP35&lt;AY35,BN35,BO35))</f>
        <v/>
      </c>
      <c r="BS35" s="4">
        <f>IF(AY35="","",(BQ35+BR35)/2)</f>
        <v/>
      </c>
      <c r="BT35" s="4">
        <f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4">
        <f>IF(AY35="","",IF(BT35&lt;AY35,BS35,BQ35))</f>
        <v/>
      </c>
      <c r="BV35" s="4">
        <f>IF(AY35="","",IF(BT35&lt;AY35,BR35,BS35))</f>
        <v/>
      </c>
      <c r="BW35" s="4">
        <f>IF(AY35="","",(BU35+BV35)/2)</f>
        <v/>
      </c>
      <c r="BX35" s="4">
        <f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4">
        <f>IF(AY35="","",IF(BX35&lt;AY35,BW35,BU35))</f>
        <v/>
      </c>
      <c r="BZ35" s="4">
        <f>IF(AY35="","",IF(BX35&lt;AY35,BV35,BW35))</f>
        <v/>
      </c>
      <c r="CA35" s="4">
        <f>IF(AY35="","",(BY35+BZ35)/2)</f>
        <v/>
      </c>
      <c r="CB35" s="4">
        <f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4">
        <f>IF(AY35="","",IF(CB35&lt;AY35,CA35,BY35))</f>
        <v/>
      </c>
      <c r="CD35" s="4">
        <f>IF(AY35="","",IF(CB35&lt;AY35,BZ35,CA35))</f>
        <v/>
      </c>
      <c r="CE35" s="4">
        <f>IF(AY35="","",(CC35+CD35)/2)</f>
        <v/>
      </c>
    </row>
    <row r="36">
      <c r="A36" s="4" t="n"/>
      <c r="B36" s="4" t="n"/>
      <c r="C36" s="8" t="n"/>
      <c r="D36" s="8" t="n"/>
      <c r="E36" s="8">
        <f>SUMIFS(CB_Tributaires!$G:$G,CB_Tributaires!$F:$F,$A36)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IF(A36="","",IF(F36="","",2.78E-7*IF(G36&lt;&gt;"",G36,IFERROR(SUMIFS(CB_Tributaires!$H:$H,CB_Tributaires!$F:$F,$A36)/SUMIFS(CB_Tributaires!$G:$G,CB_Tributaires!$F:$F,$A36),Inputs!$B$17))*F36*I36))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7">
        <f>IF(AY36="","",CE36)</f>
        <v/>
      </c>
      <c r="AX36" s="7">
        <f>IF(OR(AY36="",AW36="",R36="",R36&lt;=0,AW36&lt;=0),"",AY36/((R36^2/8)*(2*ACOS(1-2*AW36/R36)-SIN(2*ACOS(1-2*AW36/R36)))))</f>
        <v/>
      </c>
      <c r="AY36" s="4">
        <f>IF(OR(L36="",AZ36=""),"",MIN(L36,AZ36))</f>
        <v/>
      </c>
      <c r="AZ36" s="4">
        <f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4">
        <f>IF(AY36="","",0.001*R36)</f>
        <v/>
      </c>
      <c r="BB36" s="4">
        <f>IF(AY36="","",0.94*R36)</f>
        <v/>
      </c>
      <c r="BC36" s="4">
        <f>IF(AY36="","",(BA36+BB36)/2)</f>
        <v/>
      </c>
      <c r="BD36" s="4">
        <f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4">
        <f>IF(AY36="","",IF(BD36&lt;AY36,BC36,BA36))</f>
        <v/>
      </c>
      <c r="BF36" s="4">
        <f>IF(AY36="","",IF(BD36&lt;AY36,BB36,BC36))</f>
        <v/>
      </c>
      <c r="BG36" s="4">
        <f>IF(AY36="","",(BE36+BF36)/2)</f>
        <v/>
      </c>
      <c r="BH36" s="4">
        <f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4">
        <f>IF(AY36="","",IF(BH36&lt;AY36,BG36,BE36))</f>
        <v/>
      </c>
      <c r="BJ36" s="4">
        <f>IF(AY36="","",IF(BH36&lt;AY36,BF36,BG36))</f>
        <v/>
      </c>
      <c r="BK36" s="4">
        <f>IF(AY36="","",(BI36+BJ36)/2)</f>
        <v/>
      </c>
      <c r="BL36" s="4">
        <f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4">
        <f>IF(AY36="","",IF(BL36&lt;AY36,BK36,BI36))</f>
        <v/>
      </c>
      <c r="BN36" s="4">
        <f>IF(AY36="","",IF(BL36&lt;AY36,BJ36,BK36))</f>
        <v/>
      </c>
      <c r="BO36" s="4">
        <f>IF(AY36="","",(BM36+BN36)/2)</f>
        <v/>
      </c>
      <c r="BP36" s="4">
        <f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4">
        <f>IF(AY36="","",IF(BP36&lt;AY36,BO36,BM36))</f>
        <v/>
      </c>
      <c r="BR36" s="4">
        <f>IF(AY36="","",IF(BP36&lt;AY36,BN36,BO36))</f>
        <v/>
      </c>
      <c r="BS36" s="4">
        <f>IF(AY36="","",(BQ36+BR36)/2)</f>
        <v/>
      </c>
      <c r="BT36" s="4">
        <f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4">
        <f>IF(AY36="","",IF(BT36&lt;AY36,BS36,BQ36))</f>
        <v/>
      </c>
      <c r="BV36" s="4">
        <f>IF(AY36="","",IF(BT36&lt;AY36,BR36,BS36))</f>
        <v/>
      </c>
      <c r="BW36" s="4">
        <f>IF(AY36="","",(BU36+BV36)/2)</f>
        <v/>
      </c>
      <c r="BX36" s="4">
        <f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4">
        <f>IF(AY36="","",IF(BX36&lt;AY36,BW36,BU36))</f>
        <v/>
      </c>
      <c r="BZ36" s="4">
        <f>IF(AY36="","",IF(BX36&lt;AY36,BV36,BW36))</f>
        <v/>
      </c>
      <c r="CA36" s="4">
        <f>IF(AY36="","",(BY36+BZ36)/2)</f>
        <v/>
      </c>
      <c r="CB36" s="4">
        <f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4">
        <f>IF(AY36="","",IF(CB36&lt;AY36,CA36,BY36))</f>
        <v/>
      </c>
      <c r="CD36" s="4">
        <f>IF(AY36="","",IF(CB36&lt;AY36,BZ36,CA36))</f>
        <v/>
      </c>
      <c r="CE36" s="4">
        <f>IF(AY36="","",(CC36+CD36)/2)</f>
        <v/>
      </c>
    </row>
    <row r="37">
      <c r="A37" s="4" t="n"/>
      <c r="B37" s="4" t="n"/>
      <c r="C37" s="8" t="n"/>
      <c r="D37" s="8" t="n"/>
      <c r="E37" s="8">
        <f>SUMIFS(CB_Tributaires!$G:$G,CB_Tributaires!$F:$F,$A37)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IF(A37="","",IF(F37="","",2.78E-7*IF(G37&lt;&gt;"",G37,IFERROR(SUMIFS(CB_Tributaires!$H:$H,CB_Tributaires!$F:$F,$A37)/SUMIFS(CB_Tributaires!$G:$G,CB_Tributaires!$F:$F,$A37),Inputs!$B$17))*F37*I37))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7">
        <f>IF(AY37="","",CE37)</f>
        <v/>
      </c>
      <c r="AX37" s="7">
        <f>IF(OR(AY37="",AW37="",R37="",R37&lt;=0,AW37&lt;=0),"",AY37/((R37^2/8)*(2*ACOS(1-2*AW37/R37)-SIN(2*ACOS(1-2*AW37/R37)))))</f>
        <v/>
      </c>
      <c r="AY37" s="4">
        <f>IF(OR(L37="",AZ37=""),"",MIN(L37,AZ37))</f>
        <v/>
      </c>
      <c r="AZ37" s="4">
        <f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4">
        <f>IF(AY37="","",0.001*R37)</f>
        <v/>
      </c>
      <c r="BB37" s="4">
        <f>IF(AY37="","",0.94*R37)</f>
        <v/>
      </c>
      <c r="BC37" s="4">
        <f>IF(AY37="","",(BA37+BB37)/2)</f>
        <v/>
      </c>
      <c r="BD37" s="4">
        <f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4">
        <f>IF(AY37="","",IF(BD37&lt;AY37,BC37,BA37))</f>
        <v/>
      </c>
      <c r="BF37" s="4">
        <f>IF(AY37="","",IF(BD37&lt;AY37,BB37,BC37))</f>
        <v/>
      </c>
      <c r="BG37" s="4">
        <f>IF(AY37="","",(BE37+BF37)/2)</f>
        <v/>
      </c>
      <c r="BH37" s="4">
        <f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4">
        <f>IF(AY37="","",IF(BH37&lt;AY37,BG37,BE37))</f>
        <v/>
      </c>
      <c r="BJ37" s="4">
        <f>IF(AY37="","",IF(BH37&lt;AY37,BF37,BG37))</f>
        <v/>
      </c>
      <c r="BK37" s="4">
        <f>IF(AY37="","",(BI37+BJ37)/2)</f>
        <v/>
      </c>
      <c r="BL37" s="4">
        <f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4">
        <f>IF(AY37="","",IF(BL37&lt;AY37,BK37,BI37))</f>
        <v/>
      </c>
      <c r="BN37" s="4">
        <f>IF(AY37="","",IF(BL37&lt;AY37,BJ37,BK37))</f>
        <v/>
      </c>
      <c r="BO37" s="4">
        <f>IF(AY37="","",(BM37+BN37)/2)</f>
        <v/>
      </c>
      <c r="BP37" s="4">
        <f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4">
        <f>IF(AY37="","",IF(BP37&lt;AY37,BO37,BM37))</f>
        <v/>
      </c>
      <c r="BR37" s="4">
        <f>IF(AY37="","",IF(BP37&lt;AY37,BN37,BO37))</f>
        <v/>
      </c>
      <c r="BS37" s="4">
        <f>IF(AY37="","",(BQ37+BR37)/2)</f>
        <v/>
      </c>
      <c r="BT37" s="4">
        <f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4">
        <f>IF(AY37="","",IF(BT37&lt;AY37,BS37,BQ37))</f>
        <v/>
      </c>
      <c r="BV37" s="4">
        <f>IF(AY37="","",IF(BT37&lt;AY37,BR37,BS37))</f>
        <v/>
      </c>
      <c r="BW37" s="4">
        <f>IF(AY37="","",(BU37+BV37)/2)</f>
        <v/>
      </c>
      <c r="BX37" s="4">
        <f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4">
        <f>IF(AY37="","",IF(BX37&lt;AY37,BW37,BU37))</f>
        <v/>
      </c>
      <c r="BZ37" s="4">
        <f>IF(AY37="","",IF(BX37&lt;AY37,BV37,BW37))</f>
        <v/>
      </c>
      <c r="CA37" s="4">
        <f>IF(AY37="","",(BY37+BZ37)/2)</f>
        <v/>
      </c>
      <c r="CB37" s="4">
        <f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4">
        <f>IF(AY37="","",IF(CB37&lt;AY37,CA37,BY37))</f>
        <v/>
      </c>
      <c r="CD37" s="4">
        <f>IF(AY37="","",IF(CB37&lt;AY37,BZ37,CA37))</f>
        <v/>
      </c>
      <c r="CE37" s="4">
        <f>IF(AY37="","",(CC37+CD37)/2)</f>
        <v/>
      </c>
    </row>
    <row r="38">
      <c r="A38" s="4" t="n"/>
      <c r="B38" s="4" t="n"/>
      <c r="C38" s="8" t="n"/>
      <c r="D38" s="8" t="n"/>
      <c r="E38" s="8">
        <f>SUMIFS(CB_Tributaires!$G:$G,CB_Tributaires!$F:$F,$A38)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IF(A38="","",IF(F38="","",2.78E-7*IF(G38&lt;&gt;"",G38,IFERROR(SUMIFS(CB_Tributaires!$H:$H,CB_Tributaires!$F:$F,$A38)/SUMIFS(CB_Tributaires!$G:$G,CB_Tributaires!$F:$F,$A38),Inputs!$B$17))*F38*I38))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7">
        <f>IF(AY38="","",CE38)</f>
        <v/>
      </c>
      <c r="AX38" s="7">
        <f>IF(OR(AY38="",AW38="",R38="",R38&lt;=0,AW38&lt;=0),"",AY38/((R38^2/8)*(2*ACOS(1-2*AW38/R38)-SIN(2*ACOS(1-2*AW38/R38)))))</f>
        <v/>
      </c>
      <c r="AY38" s="4">
        <f>IF(OR(L38="",AZ38=""),"",MIN(L38,AZ38))</f>
        <v/>
      </c>
      <c r="AZ38" s="4">
        <f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4">
        <f>IF(AY38="","",0.001*R38)</f>
        <v/>
      </c>
      <c r="BB38" s="4">
        <f>IF(AY38="","",0.94*R38)</f>
        <v/>
      </c>
      <c r="BC38" s="4">
        <f>IF(AY38="","",(BA38+BB38)/2)</f>
        <v/>
      </c>
      <c r="BD38" s="4">
        <f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4">
        <f>IF(AY38="","",IF(BD38&lt;AY38,BC38,BA38))</f>
        <v/>
      </c>
      <c r="BF38" s="4">
        <f>IF(AY38="","",IF(BD38&lt;AY38,BB38,BC38))</f>
        <v/>
      </c>
      <c r="BG38" s="4">
        <f>IF(AY38="","",(BE38+BF38)/2)</f>
        <v/>
      </c>
      <c r="BH38" s="4">
        <f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4">
        <f>IF(AY38="","",IF(BH38&lt;AY38,BG38,BE38))</f>
        <v/>
      </c>
      <c r="BJ38" s="4">
        <f>IF(AY38="","",IF(BH38&lt;AY38,BF38,BG38))</f>
        <v/>
      </c>
      <c r="BK38" s="4">
        <f>IF(AY38="","",(BI38+BJ38)/2)</f>
        <v/>
      </c>
      <c r="BL38" s="4">
        <f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4">
        <f>IF(AY38="","",IF(BL38&lt;AY38,BK38,BI38))</f>
        <v/>
      </c>
      <c r="BN38" s="4">
        <f>IF(AY38="","",IF(BL38&lt;AY38,BJ38,BK38))</f>
        <v/>
      </c>
      <c r="BO38" s="4">
        <f>IF(AY38="","",(BM38+BN38)/2)</f>
        <v/>
      </c>
      <c r="BP38" s="4">
        <f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4">
        <f>IF(AY38="","",IF(BP38&lt;AY38,BO38,BM38))</f>
        <v/>
      </c>
      <c r="BR38" s="4">
        <f>IF(AY38="","",IF(BP38&lt;AY38,BN38,BO38))</f>
        <v/>
      </c>
      <c r="BS38" s="4">
        <f>IF(AY38="","",(BQ38+BR38)/2)</f>
        <v/>
      </c>
      <c r="BT38" s="4">
        <f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4">
        <f>IF(AY38="","",IF(BT38&lt;AY38,BS38,BQ38))</f>
        <v/>
      </c>
      <c r="BV38" s="4">
        <f>IF(AY38="","",IF(BT38&lt;AY38,BR38,BS38))</f>
        <v/>
      </c>
      <c r="BW38" s="4">
        <f>IF(AY38="","",(BU38+BV38)/2)</f>
        <v/>
      </c>
      <c r="BX38" s="4">
        <f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4">
        <f>IF(AY38="","",IF(BX38&lt;AY38,BW38,BU38))</f>
        <v/>
      </c>
      <c r="BZ38" s="4">
        <f>IF(AY38="","",IF(BX38&lt;AY38,BV38,BW38))</f>
        <v/>
      </c>
      <c r="CA38" s="4">
        <f>IF(AY38="","",(BY38+BZ38)/2)</f>
        <v/>
      </c>
      <c r="CB38" s="4">
        <f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4">
        <f>IF(AY38="","",IF(CB38&lt;AY38,CA38,BY38))</f>
        <v/>
      </c>
      <c r="CD38" s="4">
        <f>IF(AY38="","",IF(CB38&lt;AY38,BZ38,CA38))</f>
        <v/>
      </c>
      <c r="CE38" s="4">
        <f>IF(AY38="","",(CC38+CD38)/2)</f>
        <v/>
      </c>
    </row>
    <row r="39">
      <c r="A39" s="4" t="n"/>
      <c r="B39" s="4" t="n"/>
      <c r="C39" s="8" t="n"/>
      <c r="D39" s="8" t="n"/>
      <c r="E39" s="8">
        <f>SUMIFS(CB_Tributaires!$G:$G,CB_Tributaires!$F:$F,$A39)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IF(A39="","",IF(F39="","",2.78E-7*IF(G39&lt;&gt;"",G39,IFERROR(SUMIFS(CB_Tributaires!$H:$H,CB_Tributaires!$F:$F,$A39)/SUMIFS(CB_Tributaires!$G:$G,CB_Tributaires!$F:$F,$A39),Inputs!$B$17))*F39*I39))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7">
        <f>IF(AY39="","",CE39)</f>
        <v/>
      </c>
      <c r="AX39" s="7">
        <f>IF(OR(AY39="",AW39="",R39="",R39&lt;=0,AW39&lt;=0),"",AY39/((R39^2/8)*(2*ACOS(1-2*AW39/R39)-SIN(2*ACOS(1-2*AW39/R39)))))</f>
        <v/>
      </c>
      <c r="AY39" s="4">
        <f>IF(OR(L39="",AZ39=""),"",MIN(L39,AZ39))</f>
        <v/>
      </c>
      <c r="AZ39" s="4">
        <f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4">
        <f>IF(AY39="","",0.001*R39)</f>
        <v/>
      </c>
      <c r="BB39" s="4">
        <f>IF(AY39="","",0.94*R39)</f>
        <v/>
      </c>
      <c r="BC39" s="4">
        <f>IF(AY39="","",(BA39+BB39)/2)</f>
        <v/>
      </c>
      <c r="BD39" s="4">
        <f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4">
        <f>IF(AY39="","",IF(BD39&lt;AY39,BC39,BA39))</f>
        <v/>
      </c>
      <c r="BF39" s="4">
        <f>IF(AY39="","",IF(BD39&lt;AY39,BB39,BC39))</f>
        <v/>
      </c>
      <c r="BG39" s="4">
        <f>IF(AY39="","",(BE39+BF39)/2)</f>
        <v/>
      </c>
      <c r="BH39" s="4">
        <f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4">
        <f>IF(AY39="","",IF(BH39&lt;AY39,BG39,BE39))</f>
        <v/>
      </c>
      <c r="BJ39" s="4">
        <f>IF(AY39="","",IF(BH39&lt;AY39,BF39,BG39))</f>
        <v/>
      </c>
      <c r="BK39" s="4">
        <f>IF(AY39="","",(BI39+BJ39)/2)</f>
        <v/>
      </c>
      <c r="BL39" s="4">
        <f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4">
        <f>IF(AY39="","",IF(BL39&lt;AY39,BK39,BI39))</f>
        <v/>
      </c>
      <c r="BN39" s="4">
        <f>IF(AY39="","",IF(BL39&lt;AY39,BJ39,BK39))</f>
        <v/>
      </c>
      <c r="BO39" s="4">
        <f>IF(AY39="","",(BM39+BN39)/2)</f>
        <v/>
      </c>
      <c r="BP39" s="4">
        <f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4">
        <f>IF(AY39="","",IF(BP39&lt;AY39,BO39,BM39))</f>
        <v/>
      </c>
      <c r="BR39" s="4">
        <f>IF(AY39="","",IF(BP39&lt;AY39,BN39,BO39))</f>
        <v/>
      </c>
      <c r="BS39" s="4">
        <f>IF(AY39="","",(BQ39+BR39)/2)</f>
        <v/>
      </c>
      <c r="BT39" s="4">
        <f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4">
        <f>IF(AY39="","",IF(BT39&lt;AY39,BS39,BQ39))</f>
        <v/>
      </c>
      <c r="BV39" s="4">
        <f>IF(AY39="","",IF(BT39&lt;AY39,BR39,BS39))</f>
        <v/>
      </c>
      <c r="BW39" s="4">
        <f>IF(AY39="","",(BU39+BV39)/2)</f>
        <v/>
      </c>
      <c r="BX39" s="4">
        <f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4">
        <f>IF(AY39="","",IF(BX39&lt;AY39,BW39,BU39))</f>
        <v/>
      </c>
      <c r="BZ39" s="4">
        <f>IF(AY39="","",IF(BX39&lt;AY39,BV39,BW39))</f>
        <v/>
      </c>
      <c r="CA39" s="4">
        <f>IF(AY39="","",(BY39+BZ39)/2)</f>
        <v/>
      </c>
      <c r="CB39" s="4">
        <f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4">
        <f>IF(AY39="","",IF(CB39&lt;AY39,CA39,BY39))</f>
        <v/>
      </c>
      <c r="CD39" s="4">
        <f>IF(AY39="","",IF(CB39&lt;AY39,BZ39,CA39))</f>
        <v/>
      </c>
      <c r="CE39" s="4">
        <f>IF(AY39="","",(CC39+CD39)/2)</f>
        <v/>
      </c>
    </row>
    <row r="40">
      <c r="A40" s="4" t="n"/>
      <c r="B40" s="4" t="n"/>
      <c r="C40" s="8" t="n"/>
      <c r="D40" s="8" t="n"/>
      <c r="E40" s="8">
        <f>SUMIFS(CB_Tributaires!$G:$G,CB_Tributaires!$F:$F,$A40)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IF(A40="","",IF(F40="","",2.78E-7*IF(G40&lt;&gt;"",G40,IFERROR(SUMIFS(CB_Tributaires!$H:$H,CB_Tributaires!$F:$F,$A40)/SUMIFS(CB_Tributaires!$G:$G,CB_Tributaires!$F:$F,$A40),Inputs!$B$17))*F40*I40))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7">
        <f>IF(AY40="","",CE40)</f>
        <v/>
      </c>
      <c r="AX40" s="7">
        <f>IF(OR(AY40="",AW40="",R40="",R40&lt;=0,AW40&lt;=0),"",AY40/((R40^2/8)*(2*ACOS(1-2*AW40/R40)-SIN(2*ACOS(1-2*AW40/R40)))))</f>
        <v/>
      </c>
      <c r="AY40" s="4">
        <f>IF(OR(L40="",AZ40=""),"",MIN(L40,AZ40))</f>
        <v/>
      </c>
      <c r="AZ40" s="4">
        <f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4">
        <f>IF(AY40="","",0.001*R40)</f>
        <v/>
      </c>
      <c r="BB40" s="4">
        <f>IF(AY40="","",0.94*R40)</f>
        <v/>
      </c>
      <c r="BC40" s="4">
        <f>IF(AY40="","",(BA40+BB40)/2)</f>
        <v/>
      </c>
      <c r="BD40" s="4">
        <f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4">
        <f>IF(AY40="","",IF(BD40&lt;AY40,BC40,BA40))</f>
        <v/>
      </c>
      <c r="BF40" s="4">
        <f>IF(AY40="","",IF(BD40&lt;AY40,BB40,BC40))</f>
        <v/>
      </c>
      <c r="BG40" s="4">
        <f>IF(AY40="","",(BE40+BF40)/2)</f>
        <v/>
      </c>
      <c r="BH40" s="4">
        <f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4">
        <f>IF(AY40="","",IF(BH40&lt;AY40,BG40,BE40))</f>
        <v/>
      </c>
      <c r="BJ40" s="4">
        <f>IF(AY40="","",IF(BH40&lt;AY40,BF40,BG40))</f>
        <v/>
      </c>
      <c r="BK40" s="4">
        <f>IF(AY40="","",(BI40+BJ40)/2)</f>
        <v/>
      </c>
      <c r="BL40" s="4">
        <f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4">
        <f>IF(AY40="","",IF(BL40&lt;AY40,BK40,BI40))</f>
        <v/>
      </c>
      <c r="BN40" s="4">
        <f>IF(AY40="","",IF(BL40&lt;AY40,BJ40,BK40))</f>
        <v/>
      </c>
      <c r="BO40" s="4">
        <f>IF(AY40="","",(BM40+BN40)/2)</f>
        <v/>
      </c>
      <c r="BP40" s="4">
        <f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4">
        <f>IF(AY40="","",IF(BP40&lt;AY40,BO40,BM40))</f>
        <v/>
      </c>
      <c r="BR40" s="4">
        <f>IF(AY40="","",IF(BP40&lt;AY40,BN40,BO40))</f>
        <v/>
      </c>
      <c r="BS40" s="4">
        <f>IF(AY40="","",(BQ40+BR40)/2)</f>
        <v/>
      </c>
      <c r="BT40" s="4">
        <f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4">
        <f>IF(AY40="","",IF(BT40&lt;AY40,BS40,BQ40))</f>
        <v/>
      </c>
      <c r="BV40" s="4">
        <f>IF(AY40="","",IF(BT40&lt;AY40,BR40,BS40))</f>
        <v/>
      </c>
      <c r="BW40" s="4">
        <f>IF(AY40="","",(BU40+BV40)/2)</f>
        <v/>
      </c>
      <c r="BX40" s="4">
        <f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4">
        <f>IF(AY40="","",IF(BX40&lt;AY40,BW40,BU40))</f>
        <v/>
      </c>
      <c r="BZ40" s="4">
        <f>IF(AY40="","",IF(BX40&lt;AY40,BV40,BW40))</f>
        <v/>
      </c>
      <c r="CA40" s="4">
        <f>IF(AY40="","",(BY40+BZ40)/2)</f>
        <v/>
      </c>
      <c r="CB40" s="4">
        <f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4">
        <f>IF(AY40="","",IF(CB40&lt;AY40,CA40,BY40))</f>
        <v/>
      </c>
      <c r="CD40" s="4">
        <f>IF(AY40="","",IF(CB40&lt;AY40,BZ40,CA40))</f>
        <v/>
      </c>
      <c r="CE40" s="4">
        <f>IF(AY40="","",(CC40+CD40)/2)</f>
        <v/>
      </c>
    </row>
    <row r="41">
      <c r="A41" s="4" t="n"/>
      <c r="B41" s="4" t="n"/>
      <c r="C41" s="8" t="n"/>
      <c r="D41" s="8" t="n"/>
      <c r="E41" s="8">
        <f>SUMIFS(CB_Tributaires!$G:$G,CB_Tributaires!$F:$F,$A41)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IF(A41="","",IF(F41="","",2.78E-7*IF(G41&lt;&gt;"",G41,IFERROR(SUMIFS(CB_Tributaires!$H:$H,CB_Tributaires!$F:$F,$A41)/SUMIFS(CB_Tributaires!$G:$G,CB_Tributaires!$F:$F,$A41),Inputs!$B$17))*F41*I41))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7">
        <f>IF(AY41="","",CE41)</f>
        <v/>
      </c>
      <c r="AX41" s="7">
        <f>IF(OR(AY41="",AW41="",R41="",R41&lt;=0,AW41&lt;=0),"",AY41/((R41^2/8)*(2*ACOS(1-2*AW41/R41)-SIN(2*ACOS(1-2*AW41/R41)))))</f>
        <v/>
      </c>
      <c r="AY41" s="4">
        <f>IF(OR(L41="",AZ41=""),"",MIN(L41,AZ41))</f>
        <v/>
      </c>
      <c r="AZ41" s="4">
        <f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4">
        <f>IF(AY41="","",0.001*R41)</f>
        <v/>
      </c>
      <c r="BB41" s="4">
        <f>IF(AY41="","",0.94*R41)</f>
        <v/>
      </c>
      <c r="BC41" s="4">
        <f>IF(AY41="","",(BA41+BB41)/2)</f>
        <v/>
      </c>
      <c r="BD41" s="4">
        <f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4">
        <f>IF(AY41="","",IF(BD41&lt;AY41,BC41,BA41))</f>
        <v/>
      </c>
      <c r="BF41" s="4">
        <f>IF(AY41="","",IF(BD41&lt;AY41,BB41,BC41))</f>
        <v/>
      </c>
      <c r="BG41" s="4">
        <f>IF(AY41="","",(BE41+BF41)/2)</f>
        <v/>
      </c>
      <c r="BH41" s="4">
        <f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4">
        <f>IF(AY41="","",IF(BH41&lt;AY41,BG41,BE41))</f>
        <v/>
      </c>
      <c r="BJ41" s="4">
        <f>IF(AY41="","",IF(BH41&lt;AY41,BF41,BG41))</f>
        <v/>
      </c>
      <c r="BK41" s="4">
        <f>IF(AY41="","",(BI41+BJ41)/2)</f>
        <v/>
      </c>
      <c r="BL41" s="4">
        <f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4">
        <f>IF(AY41="","",IF(BL41&lt;AY41,BK41,BI41))</f>
        <v/>
      </c>
      <c r="BN41" s="4">
        <f>IF(AY41="","",IF(BL41&lt;AY41,BJ41,BK41))</f>
        <v/>
      </c>
      <c r="BO41" s="4">
        <f>IF(AY41="","",(BM41+BN41)/2)</f>
        <v/>
      </c>
      <c r="BP41" s="4">
        <f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4">
        <f>IF(AY41="","",IF(BP41&lt;AY41,BO41,BM41))</f>
        <v/>
      </c>
      <c r="BR41" s="4">
        <f>IF(AY41="","",IF(BP41&lt;AY41,BN41,BO41))</f>
        <v/>
      </c>
      <c r="BS41" s="4">
        <f>IF(AY41="","",(BQ41+BR41)/2)</f>
        <v/>
      </c>
      <c r="BT41" s="4">
        <f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4">
        <f>IF(AY41="","",IF(BT41&lt;AY41,BS41,BQ41))</f>
        <v/>
      </c>
      <c r="BV41" s="4">
        <f>IF(AY41="","",IF(BT41&lt;AY41,BR41,BS41))</f>
        <v/>
      </c>
      <c r="BW41" s="4">
        <f>IF(AY41="","",(BU41+BV41)/2)</f>
        <v/>
      </c>
      <c r="BX41" s="4">
        <f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4">
        <f>IF(AY41="","",IF(BX41&lt;AY41,BW41,BU41))</f>
        <v/>
      </c>
      <c r="BZ41" s="4">
        <f>IF(AY41="","",IF(BX41&lt;AY41,BV41,BW41))</f>
        <v/>
      </c>
      <c r="CA41" s="4">
        <f>IF(AY41="","",(BY41+BZ41)/2)</f>
        <v/>
      </c>
      <c r="CB41" s="4">
        <f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4">
        <f>IF(AY41="","",IF(CB41&lt;AY41,CA41,BY41))</f>
        <v/>
      </c>
      <c r="CD41" s="4">
        <f>IF(AY41="","",IF(CB41&lt;AY41,BZ41,CA41))</f>
        <v/>
      </c>
      <c r="CE41" s="4">
        <f>IF(AY41="","",(CC41+CD41)/2)</f>
        <v/>
      </c>
    </row>
    <row r="42">
      <c r="A42" s="4" t="n"/>
      <c r="B42" s="4" t="n"/>
      <c r="C42" s="8" t="n"/>
      <c r="D42" s="8" t="n"/>
      <c r="E42" s="8">
        <f>SUMIFS(CB_Tributaires!$G:$G,CB_Tributaires!$F:$F,$A42)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IF(A42="","",IF(F42="","",2.78E-7*IF(G42&lt;&gt;"",G42,IFERROR(SUMIFS(CB_Tributaires!$H:$H,CB_Tributaires!$F:$F,$A42)/SUMIFS(CB_Tributaires!$G:$G,CB_Tributaires!$F:$F,$A42),Inputs!$B$17))*F42*I42))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7">
        <f>IF(AY42="","",CE42)</f>
        <v/>
      </c>
      <c r="AX42" s="7">
        <f>IF(OR(AY42="",AW42="",R42="",R42&lt;=0,AW42&lt;=0),"",AY42/((R42^2/8)*(2*ACOS(1-2*AW42/R42)-SIN(2*ACOS(1-2*AW42/R42)))))</f>
        <v/>
      </c>
      <c r="AY42" s="4">
        <f>IF(OR(L42="",AZ42=""),"",MIN(L42,AZ42))</f>
        <v/>
      </c>
      <c r="AZ42" s="4">
        <f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4">
        <f>IF(AY42="","",0.001*R42)</f>
        <v/>
      </c>
      <c r="BB42" s="4">
        <f>IF(AY42="","",0.94*R42)</f>
        <v/>
      </c>
      <c r="BC42" s="4">
        <f>IF(AY42="","",(BA42+BB42)/2)</f>
        <v/>
      </c>
      <c r="BD42" s="4">
        <f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4">
        <f>IF(AY42="","",IF(BD42&lt;AY42,BC42,BA42))</f>
        <v/>
      </c>
      <c r="BF42" s="4">
        <f>IF(AY42="","",IF(BD42&lt;AY42,BB42,BC42))</f>
        <v/>
      </c>
      <c r="BG42" s="4">
        <f>IF(AY42="","",(BE42+BF42)/2)</f>
        <v/>
      </c>
      <c r="BH42" s="4">
        <f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4">
        <f>IF(AY42="","",IF(BH42&lt;AY42,BG42,BE42))</f>
        <v/>
      </c>
      <c r="BJ42" s="4">
        <f>IF(AY42="","",IF(BH42&lt;AY42,BF42,BG42))</f>
        <v/>
      </c>
      <c r="BK42" s="4">
        <f>IF(AY42="","",(BI42+BJ42)/2)</f>
        <v/>
      </c>
      <c r="BL42" s="4">
        <f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4">
        <f>IF(AY42="","",IF(BL42&lt;AY42,BK42,BI42))</f>
        <v/>
      </c>
      <c r="BN42" s="4">
        <f>IF(AY42="","",IF(BL42&lt;AY42,BJ42,BK42))</f>
        <v/>
      </c>
      <c r="BO42" s="4">
        <f>IF(AY42="","",(BM42+BN42)/2)</f>
        <v/>
      </c>
      <c r="BP42" s="4">
        <f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4">
        <f>IF(AY42="","",IF(BP42&lt;AY42,BO42,BM42))</f>
        <v/>
      </c>
      <c r="BR42" s="4">
        <f>IF(AY42="","",IF(BP42&lt;AY42,BN42,BO42))</f>
        <v/>
      </c>
      <c r="BS42" s="4">
        <f>IF(AY42="","",(BQ42+BR42)/2)</f>
        <v/>
      </c>
      <c r="BT42" s="4">
        <f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4">
        <f>IF(AY42="","",IF(BT42&lt;AY42,BS42,BQ42))</f>
        <v/>
      </c>
      <c r="BV42" s="4">
        <f>IF(AY42="","",IF(BT42&lt;AY42,BR42,BS42))</f>
        <v/>
      </c>
      <c r="BW42" s="4">
        <f>IF(AY42="","",(BU42+BV42)/2)</f>
        <v/>
      </c>
      <c r="BX42" s="4">
        <f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4">
        <f>IF(AY42="","",IF(BX42&lt;AY42,BW42,BU42))</f>
        <v/>
      </c>
      <c r="BZ42" s="4">
        <f>IF(AY42="","",IF(BX42&lt;AY42,BV42,BW42))</f>
        <v/>
      </c>
      <c r="CA42" s="4">
        <f>IF(AY42="","",(BY42+BZ42)/2)</f>
        <v/>
      </c>
      <c r="CB42" s="4">
        <f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4">
        <f>IF(AY42="","",IF(CB42&lt;AY42,CA42,BY42))</f>
        <v/>
      </c>
      <c r="CD42" s="4">
        <f>IF(AY42="","",IF(CB42&lt;AY42,BZ42,CA42))</f>
        <v/>
      </c>
      <c r="CE42" s="4">
        <f>IF(AY42="","",(CC42+CD42)/2)</f>
        <v/>
      </c>
    </row>
    <row r="43">
      <c r="A43" s="4" t="n"/>
      <c r="B43" s="4" t="n"/>
      <c r="C43" s="8" t="n"/>
      <c r="D43" s="8" t="n"/>
      <c r="E43" s="8">
        <f>SUMIFS(CB_Tributaires!$G:$G,CB_Tributaires!$F:$F,$A43)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IF(A43="","",IF(F43="","",2.78E-7*IF(G43&lt;&gt;"",G43,IFERROR(SUMIFS(CB_Tributaires!$H:$H,CB_Tributaires!$F:$F,$A43)/SUMIFS(CB_Tributaires!$G:$G,CB_Tributaires!$F:$F,$A43),Inputs!$B$17))*F43*I43))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7">
        <f>IF(AY43="","",CE43)</f>
        <v/>
      </c>
      <c r="AX43" s="7">
        <f>IF(OR(AY43="",AW43="",R43="",R43&lt;=0,AW43&lt;=0),"",AY43/((R43^2/8)*(2*ACOS(1-2*AW43/R43)-SIN(2*ACOS(1-2*AW43/R43)))))</f>
        <v/>
      </c>
      <c r="AY43" s="4">
        <f>IF(OR(L43="",AZ43=""),"",MIN(L43,AZ43))</f>
        <v/>
      </c>
      <c r="AZ43" s="4">
        <f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4">
        <f>IF(AY43="","",0.001*R43)</f>
        <v/>
      </c>
      <c r="BB43" s="4">
        <f>IF(AY43="","",0.94*R43)</f>
        <v/>
      </c>
      <c r="BC43" s="4">
        <f>IF(AY43="","",(BA43+BB43)/2)</f>
        <v/>
      </c>
      <c r="BD43" s="4">
        <f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4">
        <f>IF(AY43="","",IF(BD43&lt;AY43,BC43,BA43))</f>
        <v/>
      </c>
      <c r="BF43" s="4">
        <f>IF(AY43="","",IF(BD43&lt;AY43,BB43,BC43))</f>
        <v/>
      </c>
      <c r="BG43" s="4">
        <f>IF(AY43="","",(BE43+BF43)/2)</f>
        <v/>
      </c>
      <c r="BH43" s="4">
        <f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4">
        <f>IF(AY43="","",IF(BH43&lt;AY43,BG43,BE43))</f>
        <v/>
      </c>
      <c r="BJ43" s="4">
        <f>IF(AY43="","",IF(BH43&lt;AY43,BF43,BG43))</f>
        <v/>
      </c>
      <c r="BK43" s="4">
        <f>IF(AY43="","",(BI43+BJ43)/2)</f>
        <v/>
      </c>
      <c r="BL43" s="4">
        <f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4">
        <f>IF(AY43="","",IF(BL43&lt;AY43,BK43,BI43))</f>
        <v/>
      </c>
      <c r="BN43" s="4">
        <f>IF(AY43="","",IF(BL43&lt;AY43,BJ43,BK43))</f>
        <v/>
      </c>
      <c r="BO43" s="4">
        <f>IF(AY43="","",(BM43+BN43)/2)</f>
        <v/>
      </c>
      <c r="BP43" s="4">
        <f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4">
        <f>IF(AY43="","",IF(BP43&lt;AY43,BO43,BM43))</f>
        <v/>
      </c>
      <c r="BR43" s="4">
        <f>IF(AY43="","",IF(BP43&lt;AY43,BN43,BO43))</f>
        <v/>
      </c>
      <c r="BS43" s="4">
        <f>IF(AY43="","",(BQ43+BR43)/2)</f>
        <v/>
      </c>
      <c r="BT43" s="4">
        <f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4">
        <f>IF(AY43="","",IF(BT43&lt;AY43,BS43,BQ43))</f>
        <v/>
      </c>
      <c r="BV43" s="4">
        <f>IF(AY43="","",IF(BT43&lt;AY43,BR43,BS43))</f>
        <v/>
      </c>
      <c r="BW43" s="4">
        <f>IF(AY43="","",(BU43+BV43)/2)</f>
        <v/>
      </c>
      <c r="BX43" s="4">
        <f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4">
        <f>IF(AY43="","",IF(BX43&lt;AY43,BW43,BU43))</f>
        <v/>
      </c>
      <c r="BZ43" s="4">
        <f>IF(AY43="","",IF(BX43&lt;AY43,BV43,BW43))</f>
        <v/>
      </c>
      <c r="CA43" s="4">
        <f>IF(AY43="","",(BY43+BZ43)/2)</f>
        <v/>
      </c>
      <c r="CB43" s="4">
        <f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4">
        <f>IF(AY43="","",IF(CB43&lt;AY43,CA43,BY43))</f>
        <v/>
      </c>
      <c r="CD43" s="4">
        <f>IF(AY43="","",IF(CB43&lt;AY43,BZ43,CA43))</f>
        <v/>
      </c>
      <c r="CE43" s="4">
        <f>IF(AY43="","",(CC43+CD43)/2)</f>
        <v/>
      </c>
    </row>
    <row r="44">
      <c r="A44" s="4" t="n"/>
      <c r="B44" s="4" t="n"/>
      <c r="C44" s="8" t="n"/>
      <c r="D44" s="8" t="n"/>
      <c r="E44" s="8">
        <f>SUMIFS(CB_Tributaires!$G:$G,CB_Tributaires!$F:$F,$A44)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IF(A44="","",IF(F44="","",2.78E-7*IF(G44&lt;&gt;"",G44,IFERROR(SUMIFS(CB_Tributaires!$H:$H,CB_Tributaires!$F:$F,$A44)/SUMIFS(CB_Tributaires!$G:$G,CB_Tributaires!$F:$F,$A44),Inputs!$B$17))*F44*I44))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7">
        <f>IF(AY44="","",CE44)</f>
        <v/>
      </c>
      <c r="AX44" s="7">
        <f>IF(OR(AY44="",AW44="",R44="",R44&lt;=0,AW44&lt;=0),"",AY44/((R44^2/8)*(2*ACOS(1-2*AW44/R44)-SIN(2*ACOS(1-2*AW44/R44)))))</f>
        <v/>
      </c>
      <c r="AY44" s="4">
        <f>IF(OR(L44="",AZ44=""),"",MIN(L44,AZ44))</f>
        <v/>
      </c>
      <c r="AZ44" s="4">
        <f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4">
        <f>IF(AY44="","",0.001*R44)</f>
        <v/>
      </c>
      <c r="BB44" s="4">
        <f>IF(AY44="","",0.94*R44)</f>
        <v/>
      </c>
      <c r="BC44" s="4">
        <f>IF(AY44="","",(BA44+BB44)/2)</f>
        <v/>
      </c>
      <c r="BD44" s="4">
        <f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4">
        <f>IF(AY44="","",IF(BD44&lt;AY44,BC44,BA44))</f>
        <v/>
      </c>
      <c r="BF44" s="4">
        <f>IF(AY44="","",IF(BD44&lt;AY44,BB44,BC44))</f>
        <v/>
      </c>
      <c r="BG44" s="4">
        <f>IF(AY44="","",(BE44+BF44)/2)</f>
        <v/>
      </c>
      <c r="BH44" s="4">
        <f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4">
        <f>IF(AY44="","",IF(BH44&lt;AY44,BG44,BE44))</f>
        <v/>
      </c>
      <c r="BJ44" s="4">
        <f>IF(AY44="","",IF(BH44&lt;AY44,BF44,BG44))</f>
        <v/>
      </c>
      <c r="BK44" s="4">
        <f>IF(AY44="","",(BI44+BJ44)/2)</f>
        <v/>
      </c>
      <c r="BL44" s="4">
        <f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4">
        <f>IF(AY44="","",IF(BL44&lt;AY44,BK44,BI44))</f>
        <v/>
      </c>
      <c r="BN44" s="4">
        <f>IF(AY44="","",IF(BL44&lt;AY44,BJ44,BK44))</f>
        <v/>
      </c>
      <c r="BO44" s="4">
        <f>IF(AY44="","",(BM44+BN44)/2)</f>
        <v/>
      </c>
      <c r="BP44" s="4">
        <f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4">
        <f>IF(AY44="","",IF(BP44&lt;AY44,BO44,BM44))</f>
        <v/>
      </c>
      <c r="BR44" s="4">
        <f>IF(AY44="","",IF(BP44&lt;AY44,BN44,BO44))</f>
        <v/>
      </c>
      <c r="BS44" s="4">
        <f>IF(AY44="","",(BQ44+BR44)/2)</f>
        <v/>
      </c>
      <c r="BT44" s="4">
        <f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4">
        <f>IF(AY44="","",IF(BT44&lt;AY44,BS44,BQ44))</f>
        <v/>
      </c>
      <c r="BV44" s="4">
        <f>IF(AY44="","",IF(BT44&lt;AY44,BR44,BS44))</f>
        <v/>
      </c>
      <c r="BW44" s="4">
        <f>IF(AY44="","",(BU44+BV44)/2)</f>
        <v/>
      </c>
      <c r="BX44" s="4">
        <f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4">
        <f>IF(AY44="","",IF(BX44&lt;AY44,BW44,BU44))</f>
        <v/>
      </c>
      <c r="BZ44" s="4">
        <f>IF(AY44="","",IF(BX44&lt;AY44,BV44,BW44))</f>
        <v/>
      </c>
      <c r="CA44" s="4">
        <f>IF(AY44="","",(BY44+BZ44)/2)</f>
        <v/>
      </c>
      <c r="CB44" s="4">
        <f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4">
        <f>IF(AY44="","",IF(CB44&lt;AY44,CA44,BY44))</f>
        <v/>
      </c>
      <c r="CD44" s="4">
        <f>IF(AY44="","",IF(CB44&lt;AY44,BZ44,CA44))</f>
        <v/>
      </c>
      <c r="CE44" s="4">
        <f>IF(AY44="","",(CC44+CD44)/2)</f>
        <v/>
      </c>
    </row>
    <row r="45">
      <c r="A45" s="4" t="n"/>
      <c r="B45" s="4" t="n"/>
      <c r="C45" s="8" t="n"/>
      <c r="D45" s="8" t="n"/>
      <c r="E45" s="8">
        <f>SUMIFS(CB_Tributaires!$G:$G,CB_Tributaires!$F:$F,$A45)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IF(A45="","",IF(F45="","",2.78E-7*IF(G45&lt;&gt;"",G45,IFERROR(SUMIFS(CB_Tributaires!$H:$H,CB_Tributaires!$F:$F,$A45)/SUMIFS(CB_Tributaires!$G:$G,CB_Tributaires!$F:$F,$A45),Inputs!$B$17))*F45*I45))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7">
        <f>IF(AY45="","",CE45)</f>
        <v/>
      </c>
      <c r="AX45" s="7">
        <f>IF(OR(AY45="",AW45="",R45="",R45&lt;=0,AW45&lt;=0),"",AY45/((R45^2/8)*(2*ACOS(1-2*AW45/R45)-SIN(2*ACOS(1-2*AW45/R45)))))</f>
        <v/>
      </c>
      <c r="AY45" s="4">
        <f>IF(OR(L45="",AZ45=""),"",MIN(L45,AZ45))</f>
        <v/>
      </c>
      <c r="AZ45" s="4">
        <f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4">
        <f>IF(AY45="","",0.001*R45)</f>
        <v/>
      </c>
      <c r="BB45" s="4">
        <f>IF(AY45="","",0.94*R45)</f>
        <v/>
      </c>
      <c r="BC45" s="4">
        <f>IF(AY45="","",(BA45+BB45)/2)</f>
        <v/>
      </c>
      <c r="BD45" s="4">
        <f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4">
        <f>IF(AY45="","",IF(BD45&lt;AY45,BC45,BA45))</f>
        <v/>
      </c>
      <c r="BF45" s="4">
        <f>IF(AY45="","",IF(BD45&lt;AY45,BB45,BC45))</f>
        <v/>
      </c>
      <c r="BG45" s="4">
        <f>IF(AY45="","",(BE45+BF45)/2)</f>
        <v/>
      </c>
      <c r="BH45" s="4">
        <f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4">
        <f>IF(AY45="","",IF(BH45&lt;AY45,BG45,BE45))</f>
        <v/>
      </c>
      <c r="BJ45" s="4">
        <f>IF(AY45="","",IF(BH45&lt;AY45,BF45,BG45))</f>
        <v/>
      </c>
      <c r="BK45" s="4">
        <f>IF(AY45="","",(BI45+BJ45)/2)</f>
        <v/>
      </c>
      <c r="BL45" s="4">
        <f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4">
        <f>IF(AY45="","",IF(BL45&lt;AY45,BK45,BI45))</f>
        <v/>
      </c>
      <c r="BN45" s="4">
        <f>IF(AY45="","",IF(BL45&lt;AY45,BJ45,BK45))</f>
        <v/>
      </c>
      <c r="BO45" s="4">
        <f>IF(AY45="","",(BM45+BN45)/2)</f>
        <v/>
      </c>
      <c r="BP45" s="4">
        <f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4">
        <f>IF(AY45="","",IF(BP45&lt;AY45,BO45,BM45))</f>
        <v/>
      </c>
      <c r="BR45" s="4">
        <f>IF(AY45="","",IF(BP45&lt;AY45,BN45,BO45))</f>
        <v/>
      </c>
      <c r="BS45" s="4">
        <f>IF(AY45="","",(BQ45+BR45)/2)</f>
        <v/>
      </c>
      <c r="BT45" s="4">
        <f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4">
        <f>IF(AY45="","",IF(BT45&lt;AY45,BS45,BQ45))</f>
        <v/>
      </c>
      <c r="BV45" s="4">
        <f>IF(AY45="","",IF(BT45&lt;AY45,BR45,BS45))</f>
        <v/>
      </c>
      <c r="BW45" s="4">
        <f>IF(AY45="","",(BU45+BV45)/2)</f>
        <v/>
      </c>
      <c r="BX45" s="4">
        <f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4">
        <f>IF(AY45="","",IF(BX45&lt;AY45,BW45,BU45))</f>
        <v/>
      </c>
      <c r="BZ45" s="4">
        <f>IF(AY45="","",IF(BX45&lt;AY45,BV45,BW45))</f>
        <v/>
      </c>
      <c r="CA45" s="4">
        <f>IF(AY45="","",(BY45+BZ45)/2)</f>
        <v/>
      </c>
      <c r="CB45" s="4">
        <f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4">
        <f>IF(AY45="","",IF(CB45&lt;AY45,CA45,BY45))</f>
        <v/>
      </c>
      <c r="CD45" s="4">
        <f>IF(AY45="","",IF(CB45&lt;AY45,BZ45,CA45))</f>
        <v/>
      </c>
      <c r="CE45" s="4">
        <f>IF(AY45="","",(CC45+CD45)/2)</f>
        <v/>
      </c>
    </row>
    <row r="46">
      <c r="A46" s="4" t="n"/>
      <c r="B46" s="4" t="n"/>
      <c r="C46" s="8" t="n"/>
      <c r="D46" s="8" t="n"/>
      <c r="E46" s="8">
        <f>SUMIFS(CB_Tributaires!$G:$G,CB_Tributaires!$F:$F,$A46)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IF(A46="","",IF(F46="","",2.78E-7*IF(G46&lt;&gt;"",G46,IFERROR(SUMIFS(CB_Tributaires!$H:$H,CB_Tributaires!$F:$F,$A46)/SUMIFS(CB_Tributaires!$G:$G,CB_Tributaires!$F:$F,$A46),Inputs!$B$17))*F46*I46))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7">
        <f>IF(AY46="","",CE46)</f>
        <v/>
      </c>
      <c r="AX46" s="7">
        <f>IF(OR(AY46="",AW46="",R46="",R46&lt;=0,AW46&lt;=0),"",AY46/((R46^2/8)*(2*ACOS(1-2*AW46/R46)-SIN(2*ACOS(1-2*AW46/R46)))))</f>
        <v/>
      </c>
      <c r="AY46" s="4">
        <f>IF(OR(L46="",AZ46=""),"",MIN(L46,AZ46))</f>
        <v/>
      </c>
      <c r="AZ46" s="4">
        <f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4">
        <f>IF(AY46="","",0.001*R46)</f>
        <v/>
      </c>
      <c r="BB46" s="4">
        <f>IF(AY46="","",0.94*R46)</f>
        <v/>
      </c>
      <c r="BC46" s="4">
        <f>IF(AY46="","",(BA46+BB46)/2)</f>
        <v/>
      </c>
      <c r="BD46" s="4">
        <f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4">
        <f>IF(AY46="","",IF(BD46&lt;AY46,BC46,BA46))</f>
        <v/>
      </c>
      <c r="BF46" s="4">
        <f>IF(AY46="","",IF(BD46&lt;AY46,BB46,BC46))</f>
        <v/>
      </c>
      <c r="BG46" s="4">
        <f>IF(AY46="","",(BE46+BF46)/2)</f>
        <v/>
      </c>
      <c r="BH46" s="4">
        <f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4">
        <f>IF(AY46="","",IF(BH46&lt;AY46,BG46,BE46))</f>
        <v/>
      </c>
      <c r="BJ46" s="4">
        <f>IF(AY46="","",IF(BH46&lt;AY46,BF46,BG46))</f>
        <v/>
      </c>
      <c r="BK46" s="4">
        <f>IF(AY46="","",(BI46+BJ46)/2)</f>
        <v/>
      </c>
      <c r="BL46" s="4">
        <f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4">
        <f>IF(AY46="","",IF(BL46&lt;AY46,BK46,BI46))</f>
        <v/>
      </c>
      <c r="BN46" s="4">
        <f>IF(AY46="","",IF(BL46&lt;AY46,BJ46,BK46))</f>
        <v/>
      </c>
      <c r="BO46" s="4">
        <f>IF(AY46="","",(BM46+BN46)/2)</f>
        <v/>
      </c>
      <c r="BP46" s="4">
        <f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4">
        <f>IF(AY46="","",IF(BP46&lt;AY46,BO46,BM46))</f>
        <v/>
      </c>
      <c r="BR46" s="4">
        <f>IF(AY46="","",IF(BP46&lt;AY46,BN46,BO46))</f>
        <v/>
      </c>
      <c r="BS46" s="4">
        <f>IF(AY46="","",(BQ46+BR46)/2)</f>
        <v/>
      </c>
      <c r="BT46" s="4">
        <f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4">
        <f>IF(AY46="","",IF(BT46&lt;AY46,BS46,BQ46))</f>
        <v/>
      </c>
      <c r="BV46" s="4">
        <f>IF(AY46="","",IF(BT46&lt;AY46,BR46,BS46))</f>
        <v/>
      </c>
      <c r="BW46" s="4">
        <f>IF(AY46="","",(BU46+BV46)/2)</f>
        <v/>
      </c>
      <c r="BX46" s="4">
        <f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4">
        <f>IF(AY46="","",IF(BX46&lt;AY46,BW46,BU46))</f>
        <v/>
      </c>
      <c r="BZ46" s="4">
        <f>IF(AY46="","",IF(BX46&lt;AY46,BV46,BW46))</f>
        <v/>
      </c>
      <c r="CA46" s="4">
        <f>IF(AY46="","",(BY46+BZ46)/2)</f>
        <v/>
      </c>
      <c r="CB46" s="4">
        <f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4">
        <f>IF(AY46="","",IF(CB46&lt;AY46,CA46,BY46))</f>
        <v/>
      </c>
      <c r="CD46" s="4">
        <f>IF(AY46="","",IF(CB46&lt;AY46,BZ46,CA46))</f>
        <v/>
      </c>
      <c r="CE46" s="4">
        <f>IF(AY46="","",(CC46+CD46)/2)</f>
        <v/>
      </c>
    </row>
    <row r="47">
      <c r="A47" s="4" t="n"/>
      <c r="B47" s="4" t="n"/>
      <c r="C47" s="8" t="n"/>
      <c r="D47" s="8" t="n"/>
      <c r="E47" s="8">
        <f>SUMIFS(CB_Tributaires!$G:$G,CB_Tributaires!$F:$F,$A47)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IF(A47="","",IF(F47="","",2.78E-7*IF(G47&lt;&gt;"",G47,IFERROR(SUMIFS(CB_Tributaires!$H:$H,CB_Tributaires!$F:$F,$A47)/SUMIFS(CB_Tributaires!$G:$G,CB_Tributaires!$F:$F,$A47),Inputs!$B$17))*F47*I47))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7">
        <f>IF(AY47="","",CE47)</f>
        <v/>
      </c>
      <c r="AX47" s="7">
        <f>IF(OR(AY47="",AW47="",R47="",R47&lt;=0,AW47&lt;=0),"",AY47/((R47^2/8)*(2*ACOS(1-2*AW47/R47)-SIN(2*ACOS(1-2*AW47/R47)))))</f>
        <v/>
      </c>
      <c r="AY47" s="4">
        <f>IF(OR(L47="",AZ47=""),"",MIN(L47,AZ47))</f>
        <v/>
      </c>
      <c r="AZ47" s="4">
        <f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4">
        <f>IF(AY47="","",0.001*R47)</f>
        <v/>
      </c>
      <c r="BB47" s="4">
        <f>IF(AY47="","",0.94*R47)</f>
        <v/>
      </c>
      <c r="BC47" s="4">
        <f>IF(AY47="","",(BA47+BB47)/2)</f>
        <v/>
      </c>
      <c r="BD47" s="4">
        <f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4">
        <f>IF(AY47="","",IF(BD47&lt;AY47,BC47,BA47))</f>
        <v/>
      </c>
      <c r="BF47" s="4">
        <f>IF(AY47="","",IF(BD47&lt;AY47,BB47,BC47))</f>
        <v/>
      </c>
      <c r="BG47" s="4">
        <f>IF(AY47="","",(BE47+BF47)/2)</f>
        <v/>
      </c>
      <c r="BH47" s="4">
        <f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4">
        <f>IF(AY47="","",IF(BH47&lt;AY47,BG47,BE47))</f>
        <v/>
      </c>
      <c r="BJ47" s="4">
        <f>IF(AY47="","",IF(BH47&lt;AY47,BF47,BG47))</f>
        <v/>
      </c>
      <c r="BK47" s="4">
        <f>IF(AY47="","",(BI47+BJ47)/2)</f>
        <v/>
      </c>
      <c r="BL47" s="4">
        <f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4">
        <f>IF(AY47="","",IF(BL47&lt;AY47,BK47,BI47))</f>
        <v/>
      </c>
      <c r="BN47" s="4">
        <f>IF(AY47="","",IF(BL47&lt;AY47,BJ47,BK47))</f>
        <v/>
      </c>
      <c r="BO47" s="4">
        <f>IF(AY47="","",(BM47+BN47)/2)</f>
        <v/>
      </c>
      <c r="BP47" s="4">
        <f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4">
        <f>IF(AY47="","",IF(BP47&lt;AY47,BO47,BM47))</f>
        <v/>
      </c>
      <c r="BR47" s="4">
        <f>IF(AY47="","",IF(BP47&lt;AY47,BN47,BO47))</f>
        <v/>
      </c>
      <c r="BS47" s="4">
        <f>IF(AY47="","",(BQ47+BR47)/2)</f>
        <v/>
      </c>
      <c r="BT47" s="4">
        <f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4">
        <f>IF(AY47="","",IF(BT47&lt;AY47,BS47,BQ47))</f>
        <v/>
      </c>
      <c r="BV47" s="4">
        <f>IF(AY47="","",IF(BT47&lt;AY47,BR47,BS47))</f>
        <v/>
      </c>
      <c r="BW47" s="4">
        <f>IF(AY47="","",(BU47+BV47)/2)</f>
        <v/>
      </c>
      <c r="BX47" s="4">
        <f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4">
        <f>IF(AY47="","",IF(BX47&lt;AY47,BW47,BU47))</f>
        <v/>
      </c>
      <c r="BZ47" s="4">
        <f>IF(AY47="","",IF(BX47&lt;AY47,BV47,BW47))</f>
        <v/>
      </c>
      <c r="CA47" s="4">
        <f>IF(AY47="","",(BY47+BZ47)/2)</f>
        <v/>
      </c>
      <c r="CB47" s="4">
        <f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4">
        <f>IF(AY47="","",IF(CB47&lt;AY47,CA47,BY47))</f>
        <v/>
      </c>
      <c r="CD47" s="4">
        <f>IF(AY47="","",IF(CB47&lt;AY47,BZ47,CA47))</f>
        <v/>
      </c>
      <c r="CE47" s="4">
        <f>IF(AY47="","",(CC47+CD47)/2)</f>
        <v/>
      </c>
    </row>
    <row r="48">
      <c r="A48" s="4" t="n"/>
      <c r="B48" s="4" t="n"/>
      <c r="C48" s="8" t="n"/>
      <c r="D48" s="8" t="n"/>
      <c r="E48" s="8">
        <f>SUMIFS(CB_Tributaires!$G:$G,CB_Tributaires!$F:$F,$A48)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IF(A48="","",IF(F48="","",2.78E-7*IF(G48&lt;&gt;"",G48,IFERROR(SUMIFS(CB_Tributaires!$H:$H,CB_Tributaires!$F:$F,$A48)/SUMIFS(CB_Tributaires!$G:$G,CB_Tributaires!$F:$F,$A48),Inputs!$B$17))*F48*I48))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7">
        <f>IF(AY48="","",CE48)</f>
        <v/>
      </c>
      <c r="AX48" s="7">
        <f>IF(OR(AY48="",AW48="",R48="",R48&lt;=0,AW48&lt;=0),"",AY48/((R48^2/8)*(2*ACOS(1-2*AW48/R48)-SIN(2*ACOS(1-2*AW48/R48)))))</f>
        <v/>
      </c>
      <c r="AY48" s="4">
        <f>IF(OR(L48="",AZ48=""),"",MIN(L48,AZ48))</f>
        <v/>
      </c>
      <c r="AZ48" s="4">
        <f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4">
        <f>IF(AY48="","",0.001*R48)</f>
        <v/>
      </c>
      <c r="BB48" s="4">
        <f>IF(AY48="","",0.94*R48)</f>
        <v/>
      </c>
      <c r="BC48" s="4">
        <f>IF(AY48="","",(BA48+BB48)/2)</f>
        <v/>
      </c>
      <c r="BD48" s="4">
        <f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4">
        <f>IF(AY48="","",IF(BD48&lt;AY48,BC48,BA48))</f>
        <v/>
      </c>
      <c r="BF48" s="4">
        <f>IF(AY48="","",IF(BD48&lt;AY48,BB48,BC48))</f>
        <v/>
      </c>
      <c r="BG48" s="4">
        <f>IF(AY48="","",(BE48+BF48)/2)</f>
        <v/>
      </c>
      <c r="BH48" s="4">
        <f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4">
        <f>IF(AY48="","",IF(BH48&lt;AY48,BG48,BE48))</f>
        <v/>
      </c>
      <c r="BJ48" s="4">
        <f>IF(AY48="","",IF(BH48&lt;AY48,BF48,BG48))</f>
        <v/>
      </c>
      <c r="BK48" s="4">
        <f>IF(AY48="","",(BI48+BJ48)/2)</f>
        <v/>
      </c>
      <c r="BL48" s="4">
        <f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4">
        <f>IF(AY48="","",IF(BL48&lt;AY48,BK48,BI48))</f>
        <v/>
      </c>
      <c r="BN48" s="4">
        <f>IF(AY48="","",IF(BL48&lt;AY48,BJ48,BK48))</f>
        <v/>
      </c>
      <c r="BO48" s="4">
        <f>IF(AY48="","",(BM48+BN48)/2)</f>
        <v/>
      </c>
      <c r="BP48" s="4">
        <f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4">
        <f>IF(AY48="","",IF(BP48&lt;AY48,BO48,BM48))</f>
        <v/>
      </c>
      <c r="BR48" s="4">
        <f>IF(AY48="","",IF(BP48&lt;AY48,BN48,BO48))</f>
        <v/>
      </c>
      <c r="BS48" s="4">
        <f>IF(AY48="","",(BQ48+BR48)/2)</f>
        <v/>
      </c>
      <c r="BT48" s="4">
        <f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4">
        <f>IF(AY48="","",IF(BT48&lt;AY48,BS48,BQ48))</f>
        <v/>
      </c>
      <c r="BV48" s="4">
        <f>IF(AY48="","",IF(BT48&lt;AY48,BR48,BS48))</f>
        <v/>
      </c>
      <c r="BW48" s="4">
        <f>IF(AY48="","",(BU48+BV48)/2)</f>
        <v/>
      </c>
      <c r="BX48" s="4">
        <f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4">
        <f>IF(AY48="","",IF(BX48&lt;AY48,BW48,BU48))</f>
        <v/>
      </c>
      <c r="BZ48" s="4">
        <f>IF(AY48="","",IF(BX48&lt;AY48,BV48,BW48))</f>
        <v/>
      </c>
      <c r="CA48" s="4">
        <f>IF(AY48="","",(BY48+BZ48)/2)</f>
        <v/>
      </c>
      <c r="CB48" s="4">
        <f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4">
        <f>IF(AY48="","",IF(CB48&lt;AY48,CA48,BY48))</f>
        <v/>
      </c>
      <c r="CD48" s="4">
        <f>IF(AY48="","",IF(CB48&lt;AY48,BZ48,CA48))</f>
        <v/>
      </c>
      <c r="CE48" s="4">
        <f>IF(AY48="","",(CC48+CD48)/2)</f>
        <v/>
      </c>
    </row>
    <row r="49">
      <c r="A49" s="4" t="n"/>
      <c r="B49" s="4" t="n"/>
      <c r="C49" s="8" t="n"/>
      <c r="D49" s="8" t="n"/>
      <c r="E49" s="8">
        <f>SUMIFS(CB_Tributaires!$G:$G,CB_Tributaires!$F:$F,$A49)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IF(A49="","",IF(F49="","",2.78E-7*IF(G49&lt;&gt;"",G49,IFERROR(SUMIFS(CB_Tributaires!$H:$H,CB_Tributaires!$F:$F,$A49)/SUMIFS(CB_Tributaires!$G:$G,CB_Tributaires!$F:$F,$A49),Inputs!$B$17))*F49*I49))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7">
        <f>IF(AY49="","",CE49)</f>
        <v/>
      </c>
      <c r="AX49" s="7">
        <f>IF(OR(AY49="",AW49="",R49="",R49&lt;=0,AW49&lt;=0),"",AY49/((R49^2/8)*(2*ACOS(1-2*AW49/R49)-SIN(2*ACOS(1-2*AW49/R49)))))</f>
        <v/>
      </c>
      <c r="AY49" s="4">
        <f>IF(OR(L49="",AZ49=""),"",MIN(L49,AZ49))</f>
        <v/>
      </c>
      <c r="AZ49" s="4">
        <f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4">
        <f>IF(AY49="","",0.001*R49)</f>
        <v/>
      </c>
      <c r="BB49" s="4">
        <f>IF(AY49="","",0.94*R49)</f>
        <v/>
      </c>
      <c r="BC49" s="4">
        <f>IF(AY49="","",(BA49+BB49)/2)</f>
        <v/>
      </c>
      <c r="BD49" s="4">
        <f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4">
        <f>IF(AY49="","",IF(BD49&lt;AY49,BC49,BA49))</f>
        <v/>
      </c>
      <c r="BF49" s="4">
        <f>IF(AY49="","",IF(BD49&lt;AY49,BB49,BC49))</f>
        <v/>
      </c>
      <c r="BG49" s="4">
        <f>IF(AY49="","",(BE49+BF49)/2)</f>
        <v/>
      </c>
      <c r="BH49" s="4">
        <f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4">
        <f>IF(AY49="","",IF(BH49&lt;AY49,BG49,BE49))</f>
        <v/>
      </c>
      <c r="BJ49" s="4">
        <f>IF(AY49="","",IF(BH49&lt;AY49,BF49,BG49))</f>
        <v/>
      </c>
      <c r="BK49" s="4">
        <f>IF(AY49="","",(BI49+BJ49)/2)</f>
        <v/>
      </c>
      <c r="BL49" s="4">
        <f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4">
        <f>IF(AY49="","",IF(BL49&lt;AY49,BK49,BI49))</f>
        <v/>
      </c>
      <c r="BN49" s="4">
        <f>IF(AY49="","",IF(BL49&lt;AY49,BJ49,BK49))</f>
        <v/>
      </c>
      <c r="BO49" s="4">
        <f>IF(AY49="","",(BM49+BN49)/2)</f>
        <v/>
      </c>
      <c r="BP49" s="4">
        <f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4">
        <f>IF(AY49="","",IF(BP49&lt;AY49,BO49,BM49))</f>
        <v/>
      </c>
      <c r="BR49" s="4">
        <f>IF(AY49="","",IF(BP49&lt;AY49,BN49,BO49))</f>
        <v/>
      </c>
      <c r="BS49" s="4">
        <f>IF(AY49="","",(BQ49+BR49)/2)</f>
        <v/>
      </c>
      <c r="BT49" s="4">
        <f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4">
        <f>IF(AY49="","",IF(BT49&lt;AY49,BS49,BQ49))</f>
        <v/>
      </c>
      <c r="BV49" s="4">
        <f>IF(AY49="","",IF(BT49&lt;AY49,BR49,BS49))</f>
        <v/>
      </c>
      <c r="BW49" s="4">
        <f>IF(AY49="","",(BU49+BV49)/2)</f>
        <v/>
      </c>
      <c r="BX49" s="4">
        <f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4">
        <f>IF(AY49="","",IF(BX49&lt;AY49,BW49,BU49))</f>
        <v/>
      </c>
      <c r="BZ49" s="4">
        <f>IF(AY49="","",IF(BX49&lt;AY49,BV49,BW49))</f>
        <v/>
      </c>
      <c r="CA49" s="4">
        <f>IF(AY49="","",(BY49+BZ49)/2)</f>
        <v/>
      </c>
      <c r="CB49" s="4">
        <f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4">
        <f>IF(AY49="","",IF(CB49&lt;AY49,CA49,BY49))</f>
        <v/>
      </c>
      <c r="CD49" s="4">
        <f>IF(AY49="","",IF(CB49&lt;AY49,BZ49,CA49))</f>
        <v/>
      </c>
      <c r="CE49" s="4">
        <f>IF(AY49="","",(CC49+CD49)/2)</f>
        <v/>
      </c>
    </row>
    <row r="50">
      <c r="A50" s="4" t="n"/>
      <c r="B50" s="4" t="n"/>
      <c r="C50" s="8" t="n"/>
      <c r="D50" s="8" t="n"/>
      <c r="E50" s="8">
        <f>SUMIFS(CB_Tributaires!$G:$G,CB_Tributaires!$F:$F,$A50)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IF(A50="","",IF(F50="","",2.78E-7*IF(G50&lt;&gt;"",G50,IFERROR(SUMIFS(CB_Tributaires!$H:$H,CB_Tributaires!$F:$F,$A50)/SUMIFS(CB_Tributaires!$G:$G,CB_Tributaires!$F:$F,$A50),Inputs!$B$17))*F50*I50))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7">
        <f>IF(AY50="","",CE50)</f>
        <v/>
      </c>
      <c r="AX50" s="7">
        <f>IF(OR(AY50="",AW50="",R50="",R50&lt;=0,AW50&lt;=0),"",AY50/((R50^2/8)*(2*ACOS(1-2*AW50/R50)-SIN(2*ACOS(1-2*AW50/R50)))))</f>
        <v/>
      </c>
      <c r="AY50" s="4">
        <f>IF(OR(L50="",AZ50=""),"",MIN(L50,AZ50))</f>
        <v/>
      </c>
      <c r="AZ50" s="4">
        <f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4">
        <f>IF(AY50="","",0.001*R50)</f>
        <v/>
      </c>
      <c r="BB50" s="4">
        <f>IF(AY50="","",0.94*R50)</f>
        <v/>
      </c>
      <c r="BC50" s="4">
        <f>IF(AY50="","",(BA50+BB50)/2)</f>
        <v/>
      </c>
      <c r="BD50" s="4">
        <f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4">
        <f>IF(AY50="","",IF(BD50&lt;AY50,BC50,BA50))</f>
        <v/>
      </c>
      <c r="BF50" s="4">
        <f>IF(AY50="","",IF(BD50&lt;AY50,BB50,BC50))</f>
        <v/>
      </c>
      <c r="BG50" s="4">
        <f>IF(AY50="","",(BE50+BF50)/2)</f>
        <v/>
      </c>
      <c r="BH50" s="4">
        <f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4">
        <f>IF(AY50="","",IF(BH50&lt;AY50,BG50,BE50))</f>
        <v/>
      </c>
      <c r="BJ50" s="4">
        <f>IF(AY50="","",IF(BH50&lt;AY50,BF50,BG50))</f>
        <v/>
      </c>
      <c r="BK50" s="4">
        <f>IF(AY50="","",(BI50+BJ50)/2)</f>
        <v/>
      </c>
      <c r="BL50" s="4">
        <f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4">
        <f>IF(AY50="","",IF(BL50&lt;AY50,BK50,BI50))</f>
        <v/>
      </c>
      <c r="BN50" s="4">
        <f>IF(AY50="","",IF(BL50&lt;AY50,BJ50,BK50))</f>
        <v/>
      </c>
      <c r="BO50" s="4">
        <f>IF(AY50="","",(BM50+BN50)/2)</f>
        <v/>
      </c>
      <c r="BP50" s="4">
        <f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4">
        <f>IF(AY50="","",IF(BP50&lt;AY50,BO50,BM50))</f>
        <v/>
      </c>
      <c r="BR50" s="4">
        <f>IF(AY50="","",IF(BP50&lt;AY50,BN50,BO50))</f>
        <v/>
      </c>
      <c r="BS50" s="4">
        <f>IF(AY50="","",(BQ50+BR50)/2)</f>
        <v/>
      </c>
      <c r="BT50" s="4">
        <f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4">
        <f>IF(AY50="","",IF(BT50&lt;AY50,BS50,BQ50))</f>
        <v/>
      </c>
      <c r="BV50" s="4">
        <f>IF(AY50="","",IF(BT50&lt;AY50,BR50,BS50))</f>
        <v/>
      </c>
      <c r="BW50" s="4">
        <f>IF(AY50="","",(BU50+BV50)/2)</f>
        <v/>
      </c>
      <c r="BX50" s="4">
        <f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4">
        <f>IF(AY50="","",IF(BX50&lt;AY50,BW50,BU50))</f>
        <v/>
      </c>
      <c r="BZ50" s="4">
        <f>IF(AY50="","",IF(BX50&lt;AY50,BV50,BW50))</f>
        <v/>
      </c>
      <c r="CA50" s="4">
        <f>IF(AY50="","",(BY50+BZ50)/2)</f>
        <v/>
      </c>
      <c r="CB50" s="4">
        <f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4">
        <f>IF(AY50="","",IF(CB50&lt;AY50,CA50,BY50))</f>
        <v/>
      </c>
      <c r="CD50" s="4">
        <f>IF(AY50="","",IF(CB50&lt;AY50,BZ50,CA50))</f>
        <v/>
      </c>
      <c r="CE50" s="4">
        <f>IF(AY50="","",(CC50+CD50)/2)</f>
        <v/>
      </c>
    </row>
    <row r="51">
      <c r="A51" s="4" t="n"/>
      <c r="B51" s="4" t="n"/>
      <c r="C51" s="8" t="n"/>
      <c r="D51" s="8" t="n"/>
      <c r="E51" s="8">
        <f>SUMIFS(CB_Tributaires!$G:$G,CB_Tributaires!$F:$F,$A51)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IF(A51="","",IF(F51="","",2.78E-7*IF(G51&lt;&gt;"",G51,IFERROR(SUMIFS(CB_Tributaires!$H:$H,CB_Tributaires!$F:$F,$A51)/SUMIFS(CB_Tributaires!$G:$G,CB_Tributaires!$F:$F,$A51),Inputs!$B$17))*F51*I51))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7">
        <f>IF(AY51="","",CE51)</f>
        <v/>
      </c>
      <c r="AX51" s="7">
        <f>IF(OR(AY51="",AW51="",R51="",R51&lt;=0,AW51&lt;=0),"",AY51/((R51^2/8)*(2*ACOS(1-2*AW51/R51)-SIN(2*ACOS(1-2*AW51/R51)))))</f>
        <v/>
      </c>
      <c r="AY51" s="4">
        <f>IF(OR(L51="",AZ51=""),"",MIN(L51,AZ51))</f>
        <v/>
      </c>
      <c r="AZ51" s="4">
        <f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4">
        <f>IF(AY51="","",0.001*R51)</f>
        <v/>
      </c>
      <c r="BB51" s="4">
        <f>IF(AY51="","",0.94*R51)</f>
        <v/>
      </c>
      <c r="BC51" s="4">
        <f>IF(AY51="","",(BA51+BB51)/2)</f>
        <v/>
      </c>
      <c r="BD51" s="4">
        <f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4">
        <f>IF(AY51="","",IF(BD51&lt;AY51,BC51,BA51))</f>
        <v/>
      </c>
      <c r="BF51" s="4">
        <f>IF(AY51="","",IF(BD51&lt;AY51,BB51,BC51))</f>
        <v/>
      </c>
      <c r="BG51" s="4">
        <f>IF(AY51="","",(BE51+BF51)/2)</f>
        <v/>
      </c>
      <c r="BH51" s="4">
        <f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4">
        <f>IF(AY51="","",IF(BH51&lt;AY51,BG51,BE51))</f>
        <v/>
      </c>
      <c r="BJ51" s="4">
        <f>IF(AY51="","",IF(BH51&lt;AY51,BF51,BG51))</f>
        <v/>
      </c>
      <c r="BK51" s="4">
        <f>IF(AY51="","",(BI51+BJ51)/2)</f>
        <v/>
      </c>
      <c r="BL51" s="4">
        <f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4">
        <f>IF(AY51="","",IF(BL51&lt;AY51,BK51,BI51))</f>
        <v/>
      </c>
      <c r="BN51" s="4">
        <f>IF(AY51="","",IF(BL51&lt;AY51,BJ51,BK51))</f>
        <v/>
      </c>
      <c r="BO51" s="4">
        <f>IF(AY51="","",(BM51+BN51)/2)</f>
        <v/>
      </c>
      <c r="BP51" s="4">
        <f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4">
        <f>IF(AY51="","",IF(BP51&lt;AY51,BO51,BM51))</f>
        <v/>
      </c>
      <c r="BR51" s="4">
        <f>IF(AY51="","",IF(BP51&lt;AY51,BN51,BO51))</f>
        <v/>
      </c>
      <c r="BS51" s="4">
        <f>IF(AY51="","",(BQ51+BR51)/2)</f>
        <v/>
      </c>
      <c r="BT51" s="4">
        <f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4">
        <f>IF(AY51="","",IF(BT51&lt;AY51,BS51,BQ51))</f>
        <v/>
      </c>
      <c r="BV51" s="4">
        <f>IF(AY51="","",IF(BT51&lt;AY51,BR51,BS51))</f>
        <v/>
      </c>
      <c r="BW51" s="4">
        <f>IF(AY51="","",(BU51+BV51)/2)</f>
        <v/>
      </c>
      <c r="BX51" s="4">
        <f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4">
        <f>IF(AY51="","",IF(BX51&lt;AY51,BW51,BU51))</f>
        <v/>
      </c>
      <c r="BZ51" s="4">
        <f>IF(AY51="","",IF(BX51&lt;AY51,BV51,BW51))</f>
        <v/>
      </c>
      <c r="CA51" s="4">
        <f>IF(AY51="","",(BY51+BZ51)/2)</f>
        <v/>
      </c>
      <c r="CB51" s="4">
        <f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4">
        <f>IF(AY51="","",IF(CB51&lt;AY51,CA51,BY51))</f>
        <v/>
      </c>
      <c r="CD51" s="4">
        <f>IF(AY51="","",IF(CB51&lt;AY51,BZ51,CA51))</f>
        <v/>
      </c>
      <c r="CE51" s="4">
        <f>IF(AY51="","",(CC51+CD51)/2)</f>
        <v/>
      </c>
    </row>
    <row r="52">
      <c r="A52" s="4" t="n"/>
      <c r="B52" s="4" t="n"/>
      <c r="C52" s="8" t="n"/>
      <c r="D52" s="8" t="n"/>
      <c r="E52" s="8">
        <f>SUMIFS(CB_Tributaires!$G:$G,CB_Tributaires!$F:$F,$A52)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IF(A52="","",IF(F52="","",2.78E-7*IF(G52&lt;&gt;"",G52,IFERROR(SUMIFS(CB_Tributaires!$H:$H,CB_Tributaires!$F:$F,$A52)/SUMIFS(CB_Tributaires!$G:$G,CB_Tributaires!$F:$F,$A52),Inputs!$B$17))*F52*I52))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7">
        <f>IF(AY52="","",CE52)</f>
        <v/>
      </c>
      <c r="AX52" s="7">
        <f>IF(OR(AY52="",AW52="",R52="",R52&lt;=0,AW52&lt;=0),"",AY52/((R52^2/8)*(2*ACOS(1-2*AW52/R52)-SIN(2*ACOS(1-2*AW52/R52)))))</f>
        <v/>
      </c>
      <c r="AY52" s="4">
        <f>IF(OR(L52="",AZ52=""),"",MIN(L52,AZ52))</f>
        <v/>
      </c>
      <c r="AZ52" s="4">
        <f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4">
        <f>IF(AY52="","",0.001*R52)</f>
        <v/>
      </c>
      <c r="BB52" s="4">
        <f>IF(AY52="","",0.94*R52)</f>
        <v/>
      </c>
      <c r="BC52" s="4">
        <f>IF(AY52="","",(BA52+BB52)/2)</f>
        <v/>
      </c>
      <c r="BD52" s="4">
        <f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4">
        <f>IF(AY52="","",IF(BD52&lt;AY52,BC52,BA52))</f>
        <v/>
      </c>
      <c r="BF52" s="4">
        <f>IF(AY52="","",IF(BD52&lt;AY52,BB52,BC52))</f>
        <v/>
      </c>
      <c r="BG52" s="4">
        <f>IF(AY52="","",(BE52+BF52)/2)</f>
        <v/>
      </c>
      <c r="BH52" s="4">
        <f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4">
        <f>IF(AY52="","",IF(BH52&lt;AY52,BG52,BE52))</f>
        <v/>
      </c>
      <c r="BJ52" s="4">
        <f>IF(AY52="","",IF(BH52&lt;AY52,BF52,BG52))</f>
        <v/>
      </c>
      <c r="BK52" s="4">
        <f>IF(AY52="","",(BI52+BJ52)/2)</f>
        <v/>
      </c>
      <c r="BL52" s="4">
        <f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4">
        <f>IF(AY52="","",IF(BL52&lt;AY52,BK52,BI52))</f>
        <v/>
      </c>
      <c r="BN52" s="4">
        <f>IF(AY52="","",IF(BL52&lt;AY52,BJ52,BK52))</f>
        <v/>
      </c>
      <c r="BO52" s="4">
        <f>IF(AY52="","",(BM52+BN52)/2)</f>
        <v/>
      </c>
      <c r="BP52" s="4">
        <f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4">
        <f>IF(AY52="","",IF(BP52&lt;AY52,BO52,BM52))</f>
        <v/>
      </c>
      <c r="BR52" s="4">
        <f>IF(AY52="","",IF(BP52&lt;AY52,BN52,BO52))</f>
        <v/>
      </c>
      <c r="BS52" s="4">
        <f>IF(AY52="","",(BQ52+BR52)/2)</f>
        <v/>
      </c>
      <c r="BT52" s="4">
        <f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4">
        <f>IF(AY52="","",IF(BT52&lt;AY52,BS52,BQ52))</f>
        <v/>
      </c>
      <c r="BV52" s="4">
        <f>IF(AY52="","",IF(BT52&lt;AY52,BR52,BS52))</f>
        <v/>
      </c>
      <c r="BW52" s="4">
        <f>IF(AY52="","",(BU52+BV52)/2)</f>
        <v/>
      </c>
      <c r="BX52" s="4">
        <f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4">
        <f>IF(AY52="","",IF(BX52&lt;AY52,BW52,BU52))</f>
        <v/>
      </c>
      <c r="BZ52" s="4">
        <f>IF(AY52="","",IF(BX52&lt;AY52,BV52,BW52))</f>
        <v/>
      </c>
      <c r="CA52" s="4">
        <f>IF(AY52="","",(BY52+BZ52)/2)</f>
        <v/>
      </c>
      <c r="CB52" s="4">
        <f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4">
        <f>IF(AY52="","",IF(CB52&lt;AY52,CA52,BY52))</f>
        <v/>
      </c>
      <c r="CD52" s="4">
        <f>IF(AY52="","",IF(CB52&lt;AY52,BZ52,CA52))</f>
        <v/>
      </c>
      <c r="CE52" s="4">
        <f>IF(AY52="","",(CC52+CD52)/2)</f>
        <v/>
      </c>
    </row>
    <row r="53">
      <c r="A53" s="4" t="n"/>
      <c r="B53" s="4" t="n"/>
      <c r="C53" s="8" t="n"/>
      <c r="D53" s="8" t="n"/>
      <c r="E53" s="8">
        <f>SUMIFS(CB_Tributaires!$G:$G,CB_Tributaires!$F:$F,$A53)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IF(A53="","",IF(F53="","",2.78E-7*IF(G53&lt;&gt;"",G53,IFERROR(SUMIFS(CB_Tributaires!$H:$H,CB_Tributaires!$F:$F,$A53)/SUMIFS(CB_Tributaires!$G:$G,CB_Tributaires!$F:$F,$A53),Inputs!$B$17))*F53*I53))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7">
        <f>IF(AY53="","",CE53)</f>
        <v/>
      </c>
      <c r="AX53" s="7">
        <f>IF(OR(AY53="",AW53="",R53="",R53&lt;=0,AW53&lt;=0),"",AY53/((R53^2/8)*(2*ACOS(1-2*AW53/R53)-SIN(2*ACOS(1-2*AW53/R53)))))</f>
        <v/>
      </c>
      <c r="AY53" s="4">
        <f>IF(OR(L53="",AZ53=""),"",MIN(L53,AZ53))</f>
        <v/>
      </c>
      <c r="AZ53" s="4">
        <f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4">
        <f>IF(AY53="","",0.001*R53)</f>
        <v/>
      </c>
      <c r="BB53" s="4">
        <f>IF(AY53="","",0.94*R53)</f>
        <v/>
      </c>
      <c r="BC53" s="4">
        <f>IF(AY53="","",(BA53+BB53)/2)</f>
        <v/>
      </c>
      <c r="BD53" s="4">
        <f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4">
        <f>IF(AY53="","",IF(BD53&lt;AY53,BC53,BA53))</f>
        <v/>
      </c>
      <c r="BF53" s="4">
        <f>IF(AY53="","",IF(BD53&lt;AY53,BB53,BC53))</f>
        <v/>
      </c>
      <c r="BG53" s="4">
        <f>IF(AY53="","",(BE53+BF53)/2)</f>
        <v/>
      </c>
      <c r="BH53" s="4">
        <f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4">
        <f>IF(AY53="","",IF(BH53&lt;AY53,BG53,BE53))</f>
        <v/>
      </c>
      <c r="BJ53" s="4">
        <f>IF(AY53="","",IF(BH53&lt;AY53,BF53,BG53))</f>
        <v/>
      </c>
      <c r="BK53" s="4">
        <f>IF(AY53="","",(BI53+BJ53)/2)</f>
        <v/>
      </c>
      <c r="BL53" s="4">
        <f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4">
        <f>IF(AY53="","",IF(BL53&lt;AY53,BK53,BI53))</f>
        <v/>
      </c>
      <c r="BN53" s="4">
        <f>IF(AY53="","",IF(BL53&lt;AY53,BJ53,BK53))</f>
        <v/>
      </c>
      <c r="BO53" s="4">
        <f>IF(AY53="","",(BM53+BN53)/2)</f>
        <v/>
      </c>
      <c r="BP53" s="4">
        <f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4">
        <f>IF(AY53="","",IF(BP53&lt;AY53,BO53,BM53))</f>
        <v/>
      </c>
      <c r="BR53" s="4">
        <f>IF(AY53="","",IF(BP53&lt;AY53,BN53,BO53))</f>
        <v/>
      </c>
      <c r="BS53" s="4">
        <f>IF(AY53="","",(BQ53+BR53)/2)</f>
        <v/>
      </c>
      <c r="BT53" s="4">
        <f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4">
        <f>IF(AY53="","",IF(BT53&lt;AY53,BS53,BQ53))</f>
        <v/>
      </c>
      <c r="BV53" s="4">
        <f>IF(AY53="","",IF(BT53&lt;AY53,BR53,BS53))</f>
        <v/>
      </c>
      <c r="BW53" s="4">
        <f>IF(AY53="","",(BU53+BV53)/2)</f>
        <v/>
      </c>
      <c r="BX53" s="4">
        <f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4">
        <f>IF(AY53="","",IF(BX53&lt;AY53,BW53,BU53))</f>
        <v/>
      </c>
      <c r="BZ53" s="4">
        <f>IF(AY53="","",IF(BX53&lt;AY53,BV53,BW53))</f>
        <v/>
      </c>
      <c r="CA53" s="4">
        <f>IF(AY53="","",(BY53+BZ53)/2)</f>
        <v/>
      </c>
      <c r="CB53" s="4">
        <f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4">
        <f>IF(AY53="","",IF(CB53&lt;AY53,CA53,BY53))</f>
        <v/>
      </c>
      <c r="CD53" s="4">
        <f>IF(AY53="","",IF(CB53&lt;AY53,BZ53,CA53))</f>
        <v/>
      </c>
      <c r="CE53" s="4">
        <f>IF(AY53="","",(CC53+CD53)/2)</f>
        <v/>
      </c>
    </row>
    <row r="54">
      <c r="A54" s="4" t="n"/>
      <c r="B54" s="4" t="n"/>
      <c r="C54" s="8" t="n"/>
      <c r="D54" s="8" t="n"/>
      <c r="E54" s="8">
        <f>SUMIFS(CB_Tributaires!$G:$G,CB_Tributaires!$F:$F,$A54)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IF(A54="","",IF(F54="","",2.78E-7*IF(G54&lt;&gt;"",G54,IFERROR(SUMIFS(CB_Tributaires!$H:$H,CB_Tributaires!$F:$F,$A54)/SUMIFS(CB_Tributaires!$G:$G,CB_Tributaires!$F:$F,$A54),Inputs!$B$17))*F54*I54))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7">
        <f>IF(AY54="","",CE54)</f>
        <v/>
      </c>
      <c r="AX54" s="7">
        <f>IF(OR(AY54="",AW54="",R54="",R54&lt;=0,AW54&lt;=0),"",AY54/((R54^2/8)*(2*ACOS(1-2*AW54/R54)-SIN(2*ACOS(1-2*AW54/R54)))))</f>
        <v/>
      </c>
      <c r="AY54" s="4">
        <f>IF(OR(L54="",AZ54=""),"",MIN(L54,AZ54))</f>
        <v/>
      </c>
      <c r="AZ54" s="4">
        <f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4">
        <f>IF(AY54="","",0.001*R54)</f>
        <v/>
      </c>
      <c r="BB54" s="4">
        <f>IF(AY54="","",0.94*R54)</f>
        <v/>
      </c>
      <c r="BC54" s="4">
        <f>IF(AY54="","",(BA54+BB54)/2)</f>
        <v/>
      </c>
      <c r="BD54" s="4">
        <f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4">
        <f>IF(AY54="","",IF(BD54&lt;AY54,BC54,BA54))</f>
        <v/>
      </c>
      <c r="BF54" s="4">
        <f>IF(AY54="","",IF(BD54&lt;AY54,BB54,BC54))</f>
        <v/>
      </c>
      <c r="BG54" s="4">
        <f>IF(AY54="","",(BE54+BF54)/2)</f>
        <v/>
      </c>
      <c r="BH54" s="4">
        <f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4">
        <f>IF(AY54="","",IF(BH54&lt;AY54,BG54,BE54))</f>
        <v/>
      </c>
      <c r="BJ54" s="4">
        <f>IF(AY54="","",IF(BH54&lt;AY54,BF54,BG54))</f>
        <v/>
      </c>
      <c r="BK54" s="4">
        <f>IF(AY54="","",(BI54+BJ54)/2)</f>
        <v/>
      </c>
      <c r="BL54" s="4">
        <f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4">
        <f>IF(AY54="","",IF(BL54&lt;AY54,BK54,BI54))</f>
        <v/>
      </c>
      <c r="BN54" s="4">
        <f>IF(AY54="","",IF(BL54&lt;AY54,BJ54,BK54))</f>
        <v/>
      </c>
      <c r="BO54" s="4">
        <f>IF(AY54="","",(BM54+BN54)/2)</f>
        <v/>
      </c>
      <c r="BP54" s="4">
        <f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4">
        <f>IF(AY54="","",IF(BP54&lt;AY54,BO54,BM54))</f>
        <v/>
      </c>
      <c r="BR54" s="4">
        <f>IF(AY54="","",IF(BP54&lt;AY54,BN54,BO54))</f>
        <v/>
      </c>
      <c r="BS54" s="4">
        <f>IF(AY54="","",(BQ54+BR54)/2)</f>
        <v/>
      </c>
      <c r="BT54" s="4">
        <f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4">
        <f>IF(AY54="","",IF(BT54&lt;AY54,BS54,BQ54))</f>
        <v/>
      </c>
      <c r="BV54" s="4">
        <f>IF(AY54="","",IF(BT54&lt;AY54,BR54,BS54))</f>
        <v/>
      </c>
      <c r="BW54" s="4">
        <f>IF(AY54="","",(BU54+BV54)/2)</f>
        <v/>
      </c>
      <c r="BX54" s="4">
        <f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4">
        <f>IF(AY54="","",IF(BX54&lt;AY54,BW54,BU54))</f>
        <v/>
      </c>
      <c r="BZ54" s="4">
        <f>IF(AY54="","",IF(BX54&lt;AY54,BV54,BW54))</f>
        <v/>
      </c>
      <c r="CA54" s="4">
        <f>IF(AY54="","",(BY54+BZ54)/2)</f>
        <v/>
      </c>
      <c r="CB54" s="4">
        <f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4">
        <f>IF(AY54="","",IF(CB54&lt;AY54,CA54,BY54))</f>
        <v/>
      </c>
      <c r="CD54" s="4">
        <f>IF(AY54="","",IF(CB54&lt;AY54,BZ54,CA54))</f>
        <v/>
      </c>
      <c r="CE54" s="4">
        <f>IF(AY54="","",(CC54+CD54)/2)</f>
        <v/>
      </c>
    </row>
    <row r="55">
      <c r="A55" s="4" t="n"/>
      <c r="B55" s="4" t="n"/>
      <c r="C55" s="8" t="n"/>
      <c r="D55" s="8" t="n"/>
      <c r="E55" s="8">
        <f>SUMIFS(CB_Tributaires!$G:$G,CB_Tributaires!$F:$F,$A55)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IF(A55="","",IF(F55="","",2.78E-7*IF(G55&lt;&gt;"",G55,IFERROR(SUMIFS(CB_Tributaires!$H:$H,CB_Tributaires!$F:$F,$A55)/SUMIFS(CB_Tributaires!$G:$G,CB_Tributaires!$F:$F,$A55),Inputs!$B$17))*F55*I55))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7">
        <f>IF(AY55="","",CE55)</f>
        <v/>
      </c>
      <c r="AX55" s="7">
        <f>IF(OR(AY55="",AW55="",R55="",R55&lt;=0,AW55&lt;=0),"",AY55/((R55^2/8)*(2*ACOS(1-2*AW55/R55)-SIN(2*ACOS(1-2*AW55/R55)))))</f>
        <v/>
      </c>
      <c r="AY55" s="4">
        <f>IF(OR(L55="",AZ55=""),"",MIN(L55,AZ55))</f>
        <v/>
      </c>
      <c r="AZ55" s="4">
        <f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4">
        <f>IF(AY55="","",0.001*R55)</f>
        <v/>
      </c>
      <c r="BB55" s="4">
        <f>IF(AY55="","",0.94*R55)</f>
        <v/>
      </c>
      <c r="BC55" s="4">
        <f>IF(AY55="","",(BA55+BB55)/2)</f>
        <v/>
      </c>
      <c r="BD55" s="4">
        <f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4">
        <f>IF(AY55="","",IF(BD55&lt;AY55,BC55,BA55))</f>
        <v/>
      </c>
      <c r="BF55" s="4">
        <f>IF(AY55="","",IF(BD55&lt;AY55,BB55,BC55))</f>
        <v/>
      </c>
      <c r="BG55" s="4">
        <f>IF(AY55="","",(BE55+BF55)/2)</f>
        <v/>
      </c>
      <c r="BH55" s="4">
        <f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4">
        <f>IF(AY55="","",IF(BH55&lt;AY55,BG55,BE55))</f>
        <v/>
      </c>
      <c r="BJ55" s="4">
        <f>IF(AY55="","",IF(BH55&lt;AY55,BF55,BG55))</f>
        <v/>
      </c>
      <c r="BK55" s="4">
        <f>IF(AY55="","",(BI55+BJ55)/2)</f>
        <v/>
      </c>
      <c r="BL55" s="4">
        <f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4">
        <f>IF(AY55="","",IF(BL55&lt;AY55,BK55,BI55))</f>
        <v/>
      </c>
      <c r="BN55" s="4">
        <f>IF(AY55="","",IF(BL55&lt;AY55,BJ55,BK55))</f>
        <v/>
      </c>
      <c r="BO55" s="4">
        <f>IF(AY55="","",(BM55+BN55)/2)</f>
        <v/>
      </c>
      <c r="BP55" s="4">
        <f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4">
        <f>IF(AY55="","",IF(BP55&lt;AY55,BO55,BM55))</f>
        <v/>
      </c>
      <c r="BR55" s="4">
        <f>IF(AY55="","",IF(BP55&lt;AY55,BN55,BO55))</f>
        <v/>
      </c>
      <c r="BS55" s="4">
        <f>IF(AY55="","",(BQ55+BR55)/2)</f>
        <v/>
      </c>
      <c r="BT55" s="4">
        <f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4">
        <f>IF(AY55="","",IF(BT55&lt;AY55,BS55,BQ55))</f>
        <v/>
      </c>
      <c r="BV55" s="4">
        <f>IF(AY55="","",IF(BT55&lt;AY55,BR55,BS55))</f>
        <v/>
      </c>
      <c r="BW55" s="4">
        <f>IF(AY55="","",(BU55+BV55)/2)</f>
        <v/>
      </c>
      <c r="BX55" s="4">
        <f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4">
        <f>IF(AY55="","",IF(BX55&lt;AY55,BW55,BU55))</f>
        <v/>
      </c>
      <c r="BZ55" s="4">
        <f>IF(AY55="","",IF(BX55&lt;AY55,BV55,BW55))</f>
        <v/>
      </c>
      <c r="CA55" s="4">
        <f>IF(AY55="","",(BY55+BZ55)/2)</f>
        <v/>
      </c>
      <c r="CB55" s="4">
        <f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4">
        <f>IF(AY55="","",IF(CB55&lt;AY55,CA55,BY55))</f>
        <v/>
      </c>
      <c r="CD55" s="4">
        <f>IF(AY55="","",IF(CB55&lt;AY55,BZ55,CA55))</f>
        <v/>
      </c>
      <c r="CE55" s="4">
        <f>IF(AY55="","",(CC55+CD55)/2)</f>
        <v/>
      </c>
    </row>
    <row r="56">
      <c r="A56" s="4" t="n"/>
      <c r="B56" s="4" t="n"/>
      <c r="C56" s="8" t="n"/>
      <c r="D56" s="8" t="n"/>
      <c r="E56" s="8">
        <f>SUMIFS(CB_Tributaires!$G:$G,CB_Tributaires!$F:$F,$A56)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IF(A56="","",IF(F56="","",2.78E-7*IF(G56&lt;&gt;"",G56,IFERROR(SUMIFS(CB_Tributaires!$H:$H,CB_Tributaires!$F:$F,$A56)/SUMIFS(CB_Tributaires!$G:$G,CB_Tributaires!$F:$F,$A56),Inputs!$B$17))*F56*I56))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7">
        <f>IF(AY56="","",CE56)</f>
        <v/>
      </c>
      <c r="AX56" s="7">
        <f>IF(OR(AY56="",AW56="",R56="",R56&lt;=0,AW56&lt;=0),"",AY56/((R56^2/8)*(2*ACOS(1-2*AW56/R56)-SIN(2*ACOS(1-2*AW56/R56)))))</f>
        <v/>
      </c>
      <c r="AY56" s="4">
        <f>IF(OR(L56="",AZ56=""),"",MIN(L56,AZ56))</f>
        <v/>
      </c>
      <c r="AZ56" s="4">
        <f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4">
        <f>IF(AY56="","",0.001*R56)</f>
        <v/>
      </c>
      <c r="BB56" s="4">
        <f>IF(AY56="","",0.94*R56)</f>
        <v/>
      </c>
      <c r="BC56" s="4">
        <f>IF(AY56="","",(BA56+BB56)/2)</f>
        <v/>
      </c>
      <c r="BD56" s="4">
        <f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4">
        <f>IF(AY56="","",IF(BD56&lt;AY56,BC56,BA56))</f>
        <v/>
      </c>
      <c r="BF56" s="4">
        <f>IF(AY56="","",IF(BD56&lt;AY56,BB56,BC56))</f>
        <v/>
      </c>
      <c r="BG56" s="4">
        <f>IF(AY56="","",(BE56+BF56)/2)</f>
        <v/>
      </c>
      <c r="BH56" s="4">
        <f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4">
        <f>IF(AY56="","",IF(BH56&lt;AY56,BG56,BE56))</f>
        <v/>
      </c>
      <c r="BJ56" s="4">
        <f>IF(AY56="","",IF(BH56&lt;AY56,BF56,BG56))</f>
        <v/>
      </c>
      <c r="BK56" s="4">
        <f>IF(AY56="","",(BI56+BJ56)/2)</f>
        <v/>
      </c>
      <c r="BL56" s="4">
        <f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4">
        <f>IF(AY56="","",IF(BL56&lt;AY56,BK56,BI56))</f>
        <v/>
      </c>
      <c r="BN56" s="4">
        <f>IF(AY56="","",IF(BL56&lt;AY56,BJ56,BK56))</f>
        <v/>
      </c>
      <c r="BO56" s="4">
        <f>IF(AY56="","",(BM56+BN56)/2)</f>
        <v/>
      </c>
      <c r="BP56" s="4">
        <f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4">
        <f>IF(AY56="","",IF(BP56&lt;AY56,BO56,BM56))</f>
        <v/>
      </c>
      <c r="BR56" s="4">
        <f>IF(AY56="","",IF(BP56&lt;AY56,BN56,BO56))</f>
        <v/>
      </c>
      <c r="BS56" s="4">
        <f>IF(AY56="","",(BQ56+BR56)/2)</f>
        <v/>
      </c>
      <c r="BT56" s="4">
        <f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4">
        <f>IF(AY56="","",IF(BT56&lt;AY56,BS56,BQ56))</f>
        <v/>
      </c>
      <c r="BV56" s="4">
        <f>IF(AY56="","",IF(BT56&lt;AY56,BR56,BS56))</f>
        <v/>
      </c>
      <c r="BW56" s="4">
        <f>IF(AY56="","",(BU56+BV56)/2)</f>
        <v/>
      </c>
      <c r="BX56" s="4">
        <f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4">
        <f>IF(AY56="","",IF(BX56&lt;AY56,BW56,BU56))</f>
        <v/>
      </c>
      <c r="BZ56" s="4">
        <f>IF(AY56="","",IF(BX56&lt;AY56,BV56,BW56))</f>
        <v/>
      </c>
      <c r="CA56" s="4">
        <f>IF(AY56="","",(BY56+BZ56)/2)</f>
        <v/>
      </c>
      <c r="CB56" s="4">
        <f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4">
        <f>IF(AY56="","",IF(CB56&lt;AY56,CA56,BY56))</f>
        <v/>
      </c>
      <c r="CD56" s="4">
        <f>IF(AY56="","",IF(CB56&lt;AY56,BZ56,CA56))</f>
        <v/>
      </c>
      <c r="CE56" s="4">
        <f>IF(AY56="","",(CC56+CD56)/2)</f>
        <v/>
      </c>
    </row>
    <row r="57">
      <c r="A57" s="4" t="n"/>
      <c r="B57" s="4" t="n"/>
      <c r="C57" s="8" t="n"/>
      <c r="D57" s="8" t="n"/>
      <c r="E57" s="8">
        <f>SUMIFS(CB_Tributaires!$G:$G,CB_Tributaires!$F:$F,$A57)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IF(A57="","",IF(F57="","",2.78E-7*IF(G57&lt;&gt;"",G57,IFERROR(SUMIFS(CB_Tributaires!$H:$H,CB_Tributaires!$F:$F,$A57)/SUMIFS(CB_Tributaires!$G:$G,CB_Tributaires!$F:$F,$A57),Inputs!$B$17))*F57*I57))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7">
        <f>IF(AY57="","",CE57)</f>
        <v/>
      </c>
      <c r="AX57" s="7">
        <f>IF(OR(AY57="",AW57="",R57="",R57&lt;=0,AW57&lt;=0),"",AY57/((R57^2/8)*(2*ACOS(1-2*AW57/R57)-SIN(2*ACOS(1-2*AW57/R57)))))</f>
        <v/>
      </c>
      <c r="AY57" s="4">
        <f>IF(OR(L57="",AZ57=""),"",MIN(L57,AZ57))</f>
        <v/>
      </c>
      <c r="AZ57" s="4">
        <f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4">
        <f>IF(AY57="","",0.001*R57)</f>
        <v/>
      </c>
      <c r="BB57" s="4">
        <f>IF(AY57="","",0.94*R57)</f>
        <v/>
      </c>
      <c r="BC57" s="4">
        <f>IF(AY57="","",(BA57+BB57)/2)</f>
        <v/>
      </c>
      <c r="BD57" s="4">
        <f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4">
        <f>IF(AY57="","",IF(BD57&lt;AY57,BC57,BA57))</f>
        <v/>
      </c>
      <c r="BF57" s="4">
        <f>IF(AY57="","",IF(BD57&lt;AY57,BB57,BC57))</f>
        <v/>
      </c>
      <c r="BG57" s="4">
        <f>IF(AY57="","",(BE57+BF57)/2)</f>
        <v/>
      </c>
      <c r="BH57" s="4">
        <f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4">
        <f>IF(AY57="","",IF(BH57&lt;AY57,BG57,BE57))</f>
        <v/>
      </c>
      <c r="BJ57" s="4">
        <f>IF(AY57="","",IF(BH57&lt;AY57,BF57,BG57))</f>
        <v/>
      </c>
      <c r="BK57" s="4">
        <f>IF(AY57="","",(BI57+BJ57)/2)</f>
        <v/>
      </c>
      <c r="BL57" s="4">
        <f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4">
        <f>IF(AY57="","",IF(BL57&lt;AY57,BK57,BI57))</f>
        <v/>
      </c>
      <c r="BN57" s="4">
        <f>IF(AY57="","",IF(BL57&lt;AY57,BJ57,BK57))</f>
        <v/>
      </c>
      <c r="BO57" s="4">
        <f>IF(AY57="","",(BM57+BN57)/2)</f>
        <v/>
      </c>
      <c r="BP57" s="4">
        <f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4">
        <f>IF(AY57="","",IF(BP57&lt;AY57,BO57,BM57))</f>
        <v/>
      </c>
      <c r="BR57" s="4">
        <f>IF(AY57="","",IF(BP57&lt;AY57,BN57,BO57))</f>
        <v/>
      </c>
      <c r="BS57" s="4">
        <f>IF(AY57="","",(BQ57+BR57)/2)</f>
        <v/>
      </c>
      <c r="BT57" s="4">
        <f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4">
        <f>IF(AY57="","",IF(BT57&lt;AY57,BS57,BQ57))</f>
        <v/>
      </c>
      <c r="BV57" s="4">
        <f>IF(AY57="","",IF(BT57&lt;AY57,BR57,BS57))</f>
        <v/>
      </c>
      <c r="BW57" s="4">
        <f>IF(AY57="","",(BU57+BV57)/2)</f>
        <v/>
      </c>
      <c r="BX57" s="4">
        <f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4">
        <f>IF(AY57="","",IF(BX57&lt;AY57,BW57,BU57))</f>
        <v/>
      </c>
      <c r="BZ57" s="4">
        <f>IF(AY57="","",IF(BX57&lt;AY57,BV57,BW57))</f>
        <v/>
      </c>
      <c r="CA57" s="4">
        <f>IF(AY57="","",(BY57+BZ57)/2)</f>
        <v/>
      </c>
      <c r="CB57" s="4">
        <f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4">
        <f>IF(AY57="","",IF(CB57&lt;AY57,CA57,BY57))</f>
        <v/>
      </c>
      <c r="CD57" s="4">
        <f>IF(AY57="","",IF(CB57&lt;AY57,BZ57,CA57))</f>
        <v/>
      </c>
      <c r="CE57" s="4">
        <f>IF(AY57="","",(CC57+CD57)/2)</f>
        <v/>
      </c>
    </row>
    <row r="58">
      <c r="A58" s="4" t="n"/>
      <c r="B58" s="4" t="n"/>
      <c r="C58" s="8" t="n"/>
      <c r="D58" s="8" t="n"/>
      <c r="E58" s="8">
        <f>SUMIFS(CB_Tributaires!$G:$G,CB_Tributaires!$F:$F,$A58)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IF(A58="","",IF(F58="","",2.78E-7*IF(G58&lt;&gt;"",G58,IFERROR(SUMIFS(CB_Tributaires!$H:$H,CB_Tributaires!$F:$F,$A58)/SUMIFS(CB_Tributaires!$G:$G,CB_Tributaires!$F:$F,$A58),Inputs!$B$17))*F58*I58))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7">
        <f>IF(AY58="","",CE58)</f>
        <v/>
      </c>
      <c r="AX58" s="7">
        <f>IF(OR(AY58="",AW58="",R58="",R58&lt;=0,AW58&lt;=0),"",AY58/((R58^2/8)*(2*ACOS(1-2*AW58/R58)-SIN(2*ACOS(1-2*AW58/R58)))))</f>
        <v/>
      </c>
      <c r="AY58" s="4">
        <f>IF(OR(L58="",AZ58=""),"",MIN(L58,AZ58))</f>
        <v/>
      </c>
      <c r="AZ58" s="4">
        <f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4">
        <f>IF(AY58="","",0.001*R58)</f>
        <v/>
      </c>
      <c r="BB58" s="4">
        <f>IF(AY58="","",0.94*R58)</f>
        <v/>
      </c>
      <c r="BC58" s="4">
        <f>IF(AY58="","",(BA58+BB58)/2)</f>
        <v/>
      </c>
      <c r="BD58" s="4">
        <f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4">
        <f>IF(AY58="","",IF(BD58&lt;AY58,BC58,BA58))</f>
        <v/>
      </c>
      <c r="BF58" s="4">
        <f>IF(AY58="","",IF(BD58&lt;AY58,BB58,BC58))</f>
        <v/>
      </c>
      <c r="BG58" s="4">
        <f>IF(AY58="","",(BE58+BF58)/2)</f>
        <v/>
      </c>
      <c r="BH58" s="4">
        <f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4">
        <f>IF(AY58="","",IF(BH58&lt;AY58,BG58,BE58))</f>
        <v/>
      </c>
      <c r="BJ58" s="4">
        <f>IF(AY58="","",IF(BH58&lt;AY58,BF58,BG58))</f>
        <v/>
      </c>
      <c r="BK58" s="4">
        <f>IF(AY58="","",(BI58+BJ58)/2)</f>
        <v/>
      </c>
      <c r="BL58" s="4">
        <f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4">
        <f>IF(AY58="","",IF(BL58&lt;AY58,BK58,BI58))</f>
        <v/>
      </c>
      <c r="BN58" s="4">
        <f>IF(AY58="","",IF(BL58&lt;AY58,BJ58,BK58))</f>
        <v/>
      </c>
      <c r="BO58" s="4">
        <f>IF(AY58="","",(BM58+BN58)/2)</f>
        <v/>
      </c>
      <c r="BP58" s="4">
        <f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4">
        <f>IF(AY58="","",IF(BP58&lt;AY58,BO58,BM58))</f>
        <v/>
      </c>
      <c r="BR58" s="4">
        <f>IF(AY58="","",IF(BP58&lt;AY58,BN58,BO58))</f>
        <v/>
      </c>
      <c r="BS58" s="4">
        <f>IF(AY58="","",(BQ58+BR58)/2)</f>
        <v/>
      </c>
      <c r="BT58" s="4">
        <f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4">
        <f>IF(AY58="","",IF(BT58&lt;AY58,BS58,BQ58))</f>
        <v/>
      </c>
      <c r="BV58" s="4">
        <f>IF(AY58="","",IF(BT58&lt;AY58,BR58,BS58))</f>
        <v/>
      </c>
      <c r="BW58" s="4">
        <f>IF(AY58="","",(BU58+BV58)/2)</f>
        <v/>
      </c>
      <c r="BX58" s="4">
        <f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4">
        <f>IF(AY58="","",IF(BX58&lt;AY58,BW58,BU58))</f>
        <v/>
      </c>
      <c r="BZ58" s="4">
        <f>IF(AY58="","",IF(BX58&lt;AY58,BV58,BW58))</f>
        <v/>
      </c>
      <c r="CA58" s="4">
        <f>IF(AY58="","",(BY58+BZ58)/2)</f>
        <v/>
      </c>
      <c r="CB58" s="4">
        <f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4">
        <f>IF(AY58="","",IF(CB58&lt;AY58,CA58,BY58))</f>
        <v/>
      </c>
      <c r="CD58" s="4">
        <f>IF(AY58="","",IF(CB58&lt;AY58,BZ58,CA58))</f>
        <v/>
      </c>
      <c r="CE58" s="4">
        <f>IF(AY58="","",(CC58+CD58)/2)</f>
        <v/>
      </c>
    </row>
    <row r="59">
      <c r="A59" s="4" t="n"/>
      <c r="B59" s="4" t="n"/>
      <c r="C59" s="8" t="n"/>
      <c r="D59" s="8" t="n"/>
      <c r="E59" s="8">
        <f>SUMIFS(CB_Tributaires!$G:$G,CB_Tributaires!$F:$F,$A59)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IF(A59="","",IF(F59="","",2.78E-7*IF(G59&lt;&gt;"",G59,IFERROR(SUMIFS(CB_Tributaires!$H:$H,CB_Tributaires!$F:$F,$A59)/SUMIFS(CB_Tributaires!$G:$G,CB_Tributaires!$F:$F,$A59),Inputs!$B$17))*F59*I59))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7">
        <f>IF(AY59="","",CE59)</f>
        <v/>
      </c>
      <c r="AX59" s="7">
        <f>IF(OR(AY59="",AW59="",R59="",R59&lt;=0,AW59&lt;=0),"",AY59/((R59^2/8)*(2*ACOS(1-2*AW59/R59)-SIN(2*ACOS(1-2*AW59/R59)))))</f>
        <v/>
      </c>
      <c r="AY59" s="4">
        <f>IF(OR(L59="",AZ59=""),"",MIN(L59,AZ59))</f>
        <v/>
      </c>
      <c r="AZ59" s="4">
        <f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4">
        <f>IF(AY59="","",0.001*R59)</f>
        <v/>
      </c>
      <c r="BB59" s="4">
        <f>IF(AY59="","",0.94*R59)</f>
        <v/>
      </c>
      <c r="BC59" s="4">
        <f>IF(AY59="","",(BA59+BB59)/2)</f>
        <v/>
      </c>
      <c r="BD59" s="4">
        <f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4">
        <f>IF(AY59="","",IF(BD59&lt;AY59,BC59,BA59))</f>
        <v/>
      </c>
      <c r="BF59" s="4">
        <f>IF(AY59="","",IF(BD59&lt;AY59,BB59,BC59))</f>
        <v/>
      </c>
      <c r="BG59" s="4">
        <f>IF(AY59="","",(BE59+BF59)/2)</f>
        <v/>
      </c>
      <c r="BH59" s="4">
        <f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4">
        <f>IF(AY59="","",IF(BH59&lt;AY59,BG59,BE59))</f>
        <v/>
      </c>
      <c r="BJ59" s="4">
        <f>IF(AY59="","",IF(BH59&lt;AY59,BF59,BG59))</f>
        <v/>
      </c>
      <c r="BK59" s="4">
        <f>IF(AY59="","",(BI59+BJ59)/2)</f>
        <v/>
      </c>
      <c r="BL59" s="4">
        <f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4">
        <f>IF(AY59="","",IF(BL59&lt;AY59,BK59,BI59))</f>
        <v/>
      </c>
      <c r="BN59" s="4">
        <f>IF(AY59="","",IF(BL59&lt;AY59,BJ59,BK59))</f>
        <v/>
      </c>
      <c r="BO59" s="4">
        <f>IF(AY59="","",(BM59+BN59)/2)</f>
        <v/>
      </c>
      <c r="BP59" s="4">
        <f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4">
        <f>IF(AY59="","",IF(BP59&lt;AY59,BO59,BM59))</f>
        <v/>
      </c>
      <c r="BR59" s="4">
        <f>IF(AY59="","",IF(BP59&lt;AY59,BN59,BO59))</f>
        <v/>
      </c>
      <c r="BS59" s="4">
        <f>IF(AY59="","",(BQ59+BR59)/2)</f>
        <v/>
      </c>
      <c r="BT59" s="4">
        <f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4">
        <f>IF(AY59="","",IF(BT59&lt;AY59,BS59,BQ59))</f>
        <v/>
      </c>
      <c r="BV59" s="4">
        <f>IF(AY59="","",IF(BT59&lt;AY59,BR59,BS59))</f>
        <v/>
      </c>
      <c r="BW59" s="4">
        <f>IF(AY59="","",(BU59+BV59)/2)</f>
        <v/>
      </c>
      <c r="BX59" s="4">
        <f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4">
        <f>IF(AY59="","",IF(BX59&lt;AY59,BW59,BU59))</f>
        <v/>
      </c>
      <c r="BZ59" s="4">
        <f>IF(AY59="","",IF(BX59&lt;AY59,BV59,BW59))</f>
        <v/>
      </c>
      <c r="CA59" s="4">
        <f>IF(AY59="","",(BY59+BZ59)/2)</f>
        <v/>
      </c>
      <c r="CB59" s="4">
        <f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4">
        <f>IF(AY59="","",IF(CB59&lt;AY59,CA59,BY59))</f>
        <v/>
      </c>
      <c r="CD59" s="4">
        <f>IF(AY59="","",IF(CB59&lt;AY59,BZ59,CA59))</f>
        <v/>
      </c>
      <c r="CE59" s="4">
        <f>IF(AY59="","",(CC59+CD59)/2)</f>
        <v/>
      </c>
    </row>
    <row r="60">
      <c r="A60" s="4" t="n"/>
      <c r="B60" s="4" t="n"/>
      <c r="C60" s="8" t="n"/>
      <c r="D60" s="8" t="n"/>
      <c r="E60" s="8">
        <f>SUMIFS(CB_Tributaires!$G:$G,CB_Tributaires!$F:$F,$A60)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IF(A60="","",IF(F60="","",2.78E-7*IF(G60&lt;&gt;"",G60,IFERROR(SUMIFS(CB_Tributaires!$H:$H,CB_Tributaires!$F:$F,$A60)/SUMIFS(CB_Tributaires!$G:$G,CB_Tributaires!$F:$F,$A60),Inputs!$B$17))*F60*I60))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7">
        <f>IF(AY60="","",CE60)</f>
        <v/>
      </c>
      <c r="AX60" s="7">
        <f>IF(OR(AY60="",AW60="",R60="",R60&lt;=0,AW60&lt;=0),"",AY60/((R60^2/8)*(2*ACOS(1-2*AW60/R60)-SIN(2*ACOS(1-2*AW60/R60)))))</f>
        <v/>
      </c>
      <c r="AY60" s="4">
        <f>IF(OR(L60="",AZ60=""),"",MIN(L60,AZ60))</f>
        <v/>
      </c>
      <c r="AZ60" s="4">
        <f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4">
        <f>IF(AY60="","",0.001*R60)</f>
        <v/>
      </c>
      <c r="BB60" s="4">
        <f>IF(AY60="","",0.94*R60)</f>
        <v/>
      </c>
      <c r="BC60" s="4">
        <f>IF(AY60="","",(BA60+BB60)/2)</f>
        <v/>
      </c>
      <c r="BD60" s="4">
        <f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4">
        <f>IF(AY60="","",IF(BD60&lt;AY60,BC60,BA60))</f>
        <v/>
      </c>
      <c r="BF60" s="4">
        <f>IF(AY60="","",IF(BD60&lt;AY60,BB60,BC60))</f>
        <v/>
      </c>
      <c r="BG60" s="4">
        <f>IF(AY60="","",(BE60+BF60)/2)</f>
        <v/>
      </c>
      <c r="BH60" s="4">
        <f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4">
        <f>IF(AY60="","",IF(BH60&lt;AY60,BG60,BE60))</f>
        <v/>
      </c>
      <c r="BJ60" s="4">
        <f>IF(AY60="","",IF(BH60&lt;AY60,BF60,BG60))</f>
        <v/>
      </c>
      <c r="BK60" s="4">
        <f>IF(AY60="","",(BI60+BJ60)/2)</f>
        <v/>
      </c>
      <c r="BL60" s="4">
        <f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4">
        <f>IF(AY60="","",IF(BL60&lt;AY60,BK60,BI60))</f>
        <v/>
      </c>
      <c r="BN60" s="4">
        <f>IF(AY60="","",IF(BL60&lt;AY60,BJ60,BK60))</f>
        <v/>
      </c>
      <c r="BO60" s="4">
        <f>IF(AY60="","",(BM60+BN60)/2)</f>
        <v/>
      </c>
      <c r="BP60" s="4">
        <f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4">
        <f>IF(AY60="","",IF(BP60&lt;AY60,BO60,BM60))</f>
        <v/>
      </c>
      <c r="BR60" s="4">
        <f>IF(AY60="","",IF(BP60&lt;AY60,BN60,BO60))</f>
        <v/>
      </c>
      <c r="BS60" s="4">
        <f>IF(AY60="","",(BQ60+BR60)/2)</f>
        <v/>
      </c>
      <c r="BT60" s="4">
        <f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4">
        <f>IF(AY60="","",IF(BT60&lt;AY60,BS60,BQ60))</f>
        <v/>
      </c>
      <c r="BV60" s="4">
        <f>IF(AY60="","",IF(BT60&lt;AY60,BR60,BS60))</f>
        <v/>
      </c>
      <c r="BW60" s="4">
        <f>IF(AY60="","",(BU60+BV60)/2)</f>
        <v/>
      </c>
      <c r="BX60" s="4">
        <f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4">
        <f>IF(AY60="","",IF(BX60&lt;AY60,BW60,BU60))</f>
        <v/>
      </c>
      <c r="BZ60" s="4">
        <f>IF(AY60="","",IF(BX60&lt;AY60,BV60,BW60))</f>
        <v/>
      </c>
      <c r="CA60" s="4">
        <f>IF(AY60="","",(BY60+BZ60)/2)</f>
        <v/>
      </c>
      <c r="CB60" s="4">
        <f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4">
        <f>IF(AY60="","",IF(CB60&lt;AY60,CA60,BY60))</f>
        <v/>
      </c>
      <c r="CD60" s="4">
        <f>IF(AY60="","",IF(CB60&lt;AY60,BZ60,CA60))</f>
        <v/>
      </c>
      <c r="CE60" s="4">
        <f>IF(AY60="","",(CC60+CD60)/2)</f>
        <v/>
      </c>
    </row>
    <row r="61">
      <c r="A61" s="4" t="n"/>
      <c r="B61" s="4" t="n"/>
      <c r="C61" s="8" t="n"/>
      <c r="D61" s="8" t="n"/>
      <c r="E61" s="8">
        <f>SUMIFS(CB_Tributaires!$G:$G,CB_Tributaires!$F:$F,$A61)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IF(A61="","",IF(F61="","",2.78E-7*IF(G61&lt;&gt;"",G61,IFERROR(SUMIFS(CB_Tributaires!$H:$H,CB_Tributaires!$F:$F,$A61)/SUMIFS(CB_Tributaires!$G:$G,CB_Tributaires!$F:$F,$A61),Inputs!$B$17))*F61*I61))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7">
        <f>IF(AY61="","",CE61)</f>
        <v/>
      </c>
      <c r="AX61" s="7">
        <f>IF(OR(AY61="",AW61="",R61="",R61&lt;=0,AW61&lt;=0),"",AY61/((R61^2/8)*(2*ACOS(1-2*AW61/R61)-SIN(2*ACOS(1-2*AW61/R61)))))</f>
        <v/>
      </c>
      <c r="AY61" s="4">
        <f>IF(OR(L61="",AZ61=""),"",MIN(L61,AZ61))</f>
        <v/>
      </c>
      <c r="AZ61" s="4">
        <f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4">
        <f>IF(AY61="","",0.001*R61)</f>
        <v/>
      </c>
      <c r="BB61" s="4">
        <f>IF(AY61="","",0.94*R61)</f>
        <v/>
      </c>
      <c r="BC61" s="4">
        <f>IF(AY61="","",(BA61+BB61)/2)</f>
        <v/>
      </c>
      <c r="BD61" s="4">
        <f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4">
        <f>IF(AY61="","",IF(BD61&lt;AY61,BC61,BA61))</f>
        <v/>
      </c>
      <c r="BF61" s="4">
        <f>IF(AY61="","",IF(BD61&lt;AY61,BB61,BC61))</f>
        <v/>
      </c>
      <c r="BG61" s="4">
        <f>IF(AY61="","",(BE61+BF61)/2)</f>
        <v/>
      </c>
      <c r="BH61" s="4">
        <f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4">
        <f>IF(AY61="","",IF(BH61&lt;AY61,BG61,BE61))</f>
        <v/>
      </c>
      <c r="BJ61" s="4">
        <f>IF(AY61="","",IF(BH61&lt;AY61,BF61,BG61))</f>
        <v/>
      </c>
      <c r="BK61" s="4">
        <f>IF(AY61="","",(BI61+BJ61)/2)</f>
        <v/>
      </c>
      <c r="BL61" s="4">
        <f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4">
        <f>IF(AY61="","",IF(BL61&lt;AY61,BK61,BI61))</f>
        <v/>
      </c>
      <c r="BN61" s="4">
        <f>IF(AY61="","",IF(BL61&lt;AY61,BJ61,BK61))</f>
        <v/>
      </c>
      <c r="BO61" s="4">
        <f>IF(AY61="","",(BM61+BN61)/2)</f>
        <v/>
      </c>
      <c r="BP61" s="4">
        <f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4">
        <f>IF(AY61="","",IF(BP61&lt;AY61,BO61,BM61))</f>
        <v/>
      </c>
      <c r="BR61" s="4">
        <f>IF(AY61="","",IF(BP61&lt;AY61,BN61,BO61))</f>
        <v/>
      </c>
      <c r="BS61" s="4">
        <f>IF(AY61="","",(BQ61+BR61)/2)</f>
        <v/>
      </c>
      <c r="BT61" s="4">
        <f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4">
        <f>IF(AY61="","",IF(BT61&lt;AY61,BS61,BQ61))</f>
        <v/>
      </c>
      <c r="BV61" s="4">
        <f>IF(AY61="","",IF(BT61&lt;AY61,BR61,BS61))</f>
        <v/>
      </c>
      <c r="BW61" s="4">
        <f>IF(AY61="","",(BU61+BV61)/2)</f>
        <v/>
      </c>
      <c r="BX61" s="4">
        <f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4">
        <f>IF(AY61="","",IF(BX61&lt;AY61,BW61,BU61))</f>
        <v/>
      </c>
      <c r="BZ61" s="4">
        <f>IF(AY61="","",IF(BX61&lt;AY61,BV61,BW61))</f>
        <v/>
      </c>
      <c r="CA61" s="4">
        <f>IF(AY61="","",(BY61+BZ61)/2)</f>
        <v/>
      </c>
      <c r="CB61" s="4">
        <f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4">
        <f>IF(AY61="","",IF(CB61&lt;AY61,CA61,BY61))</f>
        <v/>
      </c>
      <c r="CD61" s="4">
        <f>IF(AY61="","",IF(CB61&lt;AY61,BZ61,CA61))</f>
        <v/>
      </c>
      <c r="CE61" s="4">
        <f>IF(AY61="","",(CC61+CD61)/2)</f>
        <v/>
      </c>
    </row>
    <row r="62">
      <c r="A62" s="4" t="n"/>
      <c r="B62" s="4" t="n"/>
      <c r="C62" s="8" t="n"/>
      <c r="D62" s="8" t="n"/>
      <c r="E62" s="8">
        <f>SUMIFS(CB_Tributaires!$G:$G,CB_Tributaires!$F:$F,$A62)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IF(A62="","",IF(F62="","",2.78E-7*IF(G62&lt;&gt;"",G62,IFERROR(SUMIFS(CB_Tributaires!$H:$H,CB_Tributaires!$F:$F,$A62)/SUMIFS(CB_Tributaires!$G:$G,CB_Tributaires!$F:$F,$A62),Inputs!$B$17))*F62*I62))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7">
        <f>IF(AY62="","",CE62)</f>
        <v/>
      </c>
      <c r="AX62" s="7">
        <f>IF(OR(AY62="",AW62="",R62="",R62&lt;=0,AW62&lt;=0),"",AY62/((R62^2/8)*(2*ACOS(1-2*AW62/R62)-SIN(2*ACOS(1-2*AW62/R62)))))</f>
        <v/>
      </c>
      <c r="AY62" s="4">
        <f>IF(OR(L62="",AZ62=""),"",MIN(L62,AZ62))</f>
        <v/>
      </c>
      <c r="AZ62" s="4">
        <f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4">
        <f>IF(AY62="","",0.001*R62)</f>
        <v/>
      </c>
      <c r="BB62" s="4">
        <f>IF(AY62="","",0.94*R62)</f>
        <v/>
      </c>
      <c r="BC62" s="4">
        <f>IF(AY62="","",(BA62+BB62)/2)</f>
        <v/>
      </c>
      <c r="BD62" s="4">
        <f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4">
        <f>IF(AY62="","",IF(BD62&lt;AY62,BC62,BA62))</f>
        <v/>
      </c>
      <c r="BF62" s="4">
        <f>IF(AY62="","",IF(BD62&lt;AY62,BB62,BC62))</f>
        <v/>
      </c>
      <c r="BG62" s="4">
        <f>IF(AY62="","",(BE62+BF62)/2)</f>
        <v/>
      </c>
      <c r="BH62" s="4">
        <f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4">
        <f>IF(AY62="","",IF(BH62&lt;AY62,BG62,BE62))</f>
        <v/>
      </c>
      <c r="BJ62" s="4">
        <f>IF(AY62="","",IF(BH62&lt;AY62,BF62,BG62))</f>
        <v/>
      </c>
      <c r="BK62" s="4">
        <f>IF(AY62="","",(BI62+BJ62)/2)</f>
        <v/>
      </c>
      <c r="BL62" s="4">
        <f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4">
        <f>IF(AY62="","",IF(BL62&lt;AY62,BK62,BI62))</f>
        <v/>
      </c>
      <c r="BN62" s="4">
        <f>IF(AY62="","",IF(BL62&lt;AY62,BJ62,BK62))</f>
        <v/>
      </c>
      <c r="BO62" s="4">
        <f>IF(AY62="","",(BM62+BN62)/2)</f>
        <v/>
      </c>
      <c r="BP62" s="4">
        <f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4">
        <f>IF(AY62="","",IF(BP62&lt;AY62,BO62,BM62))</f>
        <v/>
      </c>
      <c r="BR62" s="4">
        <f>IF(AY62="","",IF(BP62&lt;AY62,BN62,BO62))</f>
        <v/>
      </c>
      <c r="BS62" s="4">
        <f>IF(AY62="","",(BQ62+BR62)/2)</f>
        <v/>
      </c>
      <c r="BT62" s="4">
        <f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4">
        <f>IF(AY62="","",IF(BT62&lt;AY62,BS62,BQ62))</f>
        <v/>
      </c>
      <c r="BV62" s="4">
        <f>IF(AY62="","",IF(BT62&lt;AY62,BR62,BS62))</f>
        <v/>
      </c>
      <c r="BW62" s="4">
        <f>IF(AY62="","",(BU62+BV62)/2)</f>
        <v/>
      </c>
      <c r="BX62" s="4">
        <f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4">
        <f>IF(AY62="","",IF(BX62&lt;AY62,BW62,BU62))</f>
        <v/>
      </c>
      <c r="BZ62" s="4">
        <f>IF(AY62="","",IF(BX62&lt;AY62,BV62,BW62))</f>
        <v/>
      </c>
      <c r="CA62" s="4">
        <f>IF(AY62="","",(BY62+BZ62)/2)</f>
        <v/>
      </c>
      <c r="CB62" s="4">
        <f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4">
        <f>IF(AY62="","",IF(CB62&lt;AY62,CA62,BY62))</f>
        <v/>
      </c>
      <c r="CD62" s="4">
        <f>IF(AY62="","",IF(CB62&lt;AY62,BZ62,CA62))</f>
        <v/>
      </c>
      <c r="CE62" s="4">
        <f>IF(AY62="","",(CC62+CD62)/2)</f>
        <v/>
      </c>
    </row>
    <row r="63">
      <c r="A63" s="4" t="n"/>
      <c r="B63" s="4" t="n"/>
      <c r="C63" s="8" t="n"/>
      <c r="D63" s="8" t="n"/>
      <c r="E63" s="8">
        <f>SUMIFS(CB_Tributaires!$G:$G,CB_Tributaires!$F:$F,$A63)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IF(A63="","",IF(F63="","",2.78E-7*IF(G63&lt;&gt;"",G63,IFERROR(SUMIFS(CB_Tributaires!$H:$H,CB_Tributaires!$F:$F,$A63)/SUMIFS(CB_Tributaires!$G:$G,CB_Tributaires!$F:$F,$A63),Inputs!$B$17))*F63*I63))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7">
        <f>IF(AY63="","",CE63)</f>
        <v/>
      </c>
      <c r="AX63" s="7">
        <f>IF(OR(AY63="",AW63="",R63="",R63&lt;=0,AW63&lt;=0),"",AY63/((R63^2/8)*(2*ACOS(1-2*AW63/R63)-SIN(2*ACOS(1-2*AW63/R63)))))</f>
        <v/>
      </c>
      <c r="AY63" s="4">
        <f>IF(OR(L63="",AZ63=""),"",MIN(L63,AZ63))</f>
        <v/>
      </c>
      <c r="AZ63" s="4">
        <f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4">
        <f>IF(AY63="","",0.001*R63)</f>
        <v/>
      </c>
      <c r="BB63" s="4">
        <f>IF(AY63="","",0.94*R63)</f>
        <v/>
      </c>
      <c r="BC63" s="4">
        <f>IF(AY63="","",(BA63+BB63)/2)</f>
        <v/>
      </c>
      <c r="BD63" s="4">
        <f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4">
        <f>IF(AY63="","",IF(BD63&lt;AY63,BC63,BA63))</f>
        <v/>
      </c>
      <c r="BF63" s="4">
        <f>IF(AY63="","",IF(BD63&lt;AY63,BB63,BC63))</f>
        <v/>
      </c>
      <c r="BG63" s="4">
        <f>IF(AY63="","",(BE63+BF63)/2)</f>
        <v/>
      </c>
      <c r="BH63" s="4">
        <f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4">
        <f>IF(AY63="","",IF(BH63&lt;AY63,BG63,BE63))</f>
        <v/>
      </c>
      <c r="BJ63" s="4">
        <f>IF(AY63="","",IF(BH63&lt;AY63,BF63,BG63))</f>
        <v/>
      </c>
      <c r="BK63" s="4">
        <f>IF(AY63="","",(BI63+BJ63)/2)</f>
        <v/>
      </c>
      <c r="BL63" s="4">
        <f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4">
        <f>IF(AY63="","",IF(BL63&lt;AY63,BK63,BI63))</f>
        <v/>
      </c>
      <c r="BN63" s="4">
        <f>IF(AY63="","",IF(BL63&lt;AY63,BJ63,BK63))</f>
        <v/>
      </c>
      <c r="BO63" s="4">
        <f>IF(AY63="","",(BM63+BN63)/2)</f>
        <v/>
      </c>
      <c r="BP63" s="4">
        <f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4">
        <f>IF(AY63="","",IF(BP63&lt;AY63,BO63,BM63))</f>
        <v/>
      </c>
      <c r="BR63" s="4">
        <f>IF(AY63="","",IF(BP63&lt;AY63,BN63,BO63))</f>
        <v/>
      </c>
      <c r="BS63" s="4">
        <f>IF(AY63="","",(BQ63+BR63)/2)</f>
        <v/>
      </c>
      <c r="BT63" s="4">
        <f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4">
        <f>IF(AY63="","",IF(BT63&lt;AY63,BS63,BQ63))</f>
        <v/>
      </c>
      <c r="BV63" s="4">
        <f>IF(AY63="","",IF(BT63&lt;AY63,BR63,BS63))</f>
        <v/>
      </c>
      <c r="BW63" s="4">
        <f>IF(AY63="","",(BU63+BV63)/2)</f>
        <v/>
      </c>
      <c r="BX63" s="4">
        <f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4">
        <f>IF(AY63="","",IF(BX63&lt;AY63,BW63,BU63))</f>
        <v/>
      </c>
      <c r="BZ63" s="4">
        <f>IF(AY63="","",IF(BX63&lt;AY63,BV63,BW63))</f>
        <v/>
      </c>
      <c r="CA63" s="4">
        <f>IF(AY63="","",(BY63+BZ63)/2)</f>
        <v/>
      </c>
      <c r="CB63" s="4">
        <f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4">
        <f>IF(AY63="","",IF(CB63&lt;AY63,CA63,BY63))</f>
        <v/>
      </c>
      <c r="CD63" s="4">
        <f>IF(AY63="","",IF(CB63&lt;AY63,BZ63,CA63))</f>
        <v/>
      </c>
      <c r="CE63" s="4">
        <f>IF(AY63="","",(CC63+CD63)/2)</f>
        <v/>
      </c>
    </row>
    <row r="64">
      <c r="A64" s="4" t="n"/>
      <c r="B64" s="4" t="n"/>
      <c r="C64" s="8" t="n"/>
      <c r="D64" s="8" t="n"/>
      <c r="E64" s="8">
        <f>SUMIFS(CB_Tributaires!$G:$G,CB_Tributaires!$F:$F,$A64)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IF(A64="","",IF(F64="","",2.78E-7*IF(G64&lt;&gt;"",G64,IFERROR(SUMIFS(CB_Tributaires!$H:$H,CB_Tributaires!$F:$F,$A64)/SUMIFS(CB_Tributaires!$G:$G,CB_Tributaires!$F:$F,$A64),Inputs!$B$17))*F64*I64))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7">
        <f>IF(AY64="","",CE64)</f>
        <v/>
      </c>
      <c r="AX64" s="7">
        <f>IF(OR(AY64="",AW64="",R64="",R64&lt;=0,AW64&lt;=0),"",AY64/((R64^2/8)*(2*ACOS(1-2*AW64/R64)-SIN(2*ACOS(1-2*AW64/R64)))))</f>
        <v/>
      </c>
      <c r="AY64" s="4">
        <f>IF(OR(L64="",AZ64=""),"",MIN(L64,AZ64))</f>
        <v/>
      </c>
      <c r="AZ64" s="4">
        <f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4">
        <f>IF(AY64="","",0.001*R64)</f>
        <v/>
      </c>
      <c r="BB64" s="4">
        <f>IF(AY64="","",0.94*R64)</f>
        <v/>
      </c>
      <c r="BC64" s="4">
        <f>IF(AY64="","",(BA64+BB64)/2)</f>
        <v/>
      </c>
      <c r="BD64" s="4">
        <f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4">
        <f>IF(AY64="","",IF(BD64&lt;AY64,BC64,BA64))</f>
        <v/>
      </c>
      <c r="BF64" s="4">
        <f>IF(AY64="","",IF(BD64&lt;AY64,BB64,BC64))</f>
        <v/>
      </c>
      <c r="BG64" s="4">
        <f>IF(AY64="","",(BE64+BF64)/2)</f>
        <v/>
      </c>
      <c r="BH64" s="4">
        <f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4">
        <f>IF(AY64="","",IF(BH64&lt;AY64,BG64,BE64))</f>
        <v/>
      </c>
      <c r="BJ64" s="4">
        <f>IF(AY64="","",IF(BH64&lt;AY64,BF64,BG64))</f>
        <v/>
      </c>
      <c r="BK64" s="4">
        <f>IF(AY64="","",(BI64+BJ64)/2)</f>
        <v/>
      </c>
      <c r="BL64" s="4">
        <f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4">
        <f>IF(AY64="","",IF(BL64&lt;AY64,BK64,BI64))</f>
        <v/>
      </c>
      <c r="BN64" s="4">
        <f>IF(AY64="","",IF(BL64&lt;AY64,BJ64,BK64))</f>
        <v/>
      </c>
      <c r="BO64" s="4">
        <f>IF(AY64="","",(BM64+BN64)/2)</f>
        <v/>
      </c>
      <c r="BP64" s="4">
        <f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4">
        <f>IF(AY64="","",IF(BP64&lt;AY64,BO64,BM64))</f>
        <v/>
      </c>
      <c r="BR64" s="4">
        <f>IF(AY64="","",IF(BP64&lt;AY64,BN64,BO64))</f>
        <v/>
      </c>
      <c r="BS64" s="4">
        <f>IF(AY64="","",(BQ64+BR64)/2)</f>
        <v/>
      </c>
      <c r="BT64" s="4">
        <f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4">
        <f>IF(AY64="","",IF(BT64&lt;AY64,BS64,BQ64))</f>
        <v/>
      </c>
      <c r="BV64" s="4">
        <f>IF(AY64="","",IF(BT64&lt;AY64,BR64,BS64))</f>
        <v/>
      </c>
      <c r="BW64" s="4">
        <f>IF(AY64="","",(BU64+BV64)/2)</f>
        <v/>
      </c>
      <c r="BX64" s="4">
        <f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4">
        <f>IF(AY64="","",IF(BX64&lt;AY64,BW64,BU64))</f>
        <v/>
      </c>
      <c r="BZ64" s="4">
        <f>IF(AY64="","",IF(BX64&lt;AY64,BV64,BW64))</f>
        <v/>
      </c>
      <c r="CA64" s="4">
        <f>IF(AY64="","",(BY64+BZ64)/2)</f>
        <v/>
      </c>
      <c r="CB64" s="4">
        <f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4">
        <f>IF(AY64="","",IF(CB64&lt;AY64,CA64,BY64))</f>
        <v/>
      </c>
      <c r="CD64" s="4">
        <f>IF(AY64="","",IF(CB64&lt;AY64,BZ64,CA64))</f>
        <v/>
      </c>
      <c r="CE64" s="4">
        <f>IF(AY64="","",(CC64+CD64)/2)</f>
        <v/>
      </c>
    </row>
    <row r="65">
      <c r="A65" s="4" t="n"/>
      <c r="B65" s="4" t="n"/>
      <c r="C65" s="8" t="n"/>
      <c r="D65" s="8" t="n"/>
      <c r="E65" s="8">
        <f>SUMIFS(CB_Tributaires!$G:$G,CB_Tributaires!$F:$F,$A65)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IF(A65="","",IF(F65="","",2.78E-7*IF(G65&lt;&gt;"",G65,IFERROR(SUMIFS(CB_Tributaires!$H:$H,CB_Tributaires!$F:$F,$A65)/SUMIFS(CB_Tributaires!$G:$G,CB_Tributaires!$F:$F,$A65),Inputs!$B$17))*F65*I65))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7">
        <f>IF(AY65="","",CE65)</f>
        <v/>
      </c>
      <c r="AX65" s="7">
        <f>IF(OR(AY65="",AW65="",R65="",R65&lt;=0,AW65&lt;=0),"",AY65/((R65^2/8)*(2*ACOS(1-2*AW65/R65)-SIN(2*ACOS(1-2*AW65/R65)))))</f>
        <v/>
      </c>
      <c r="AY65" s="4">
        <f>IF(OR(L65="",AZ65=""),"",MIN(L65,AZ65))</f>
        <v/>
      </c>
      <c r="AZ65" s="4">
        <f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4">
        <f>IF(AY65="","",0.001*R65)</f>
        <v/>
      </c>
      <c r="BB65" s="4">
        <f>IF(AY65="","",0.94*R65)</f>
        <v/>
      </c>
      <c r="BC65" s="4">
        <f>IF(AY65="","",(BA65+BB65)/2)</f>
        <v/>
      </c>
      <c r="BD65" s="4">
        <f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4">
        <f>IF(AY65="","",IF(BD65&lt;AY65,BC65,BA65))</f>
        <v/>
      </c>
      <c r="BF65" s="4">
        <f>IF(AY65="","",IF(BD65&lt;AY65,BB65,BC65))</f>
        <v/>
      </c>
      <c r="BG65" s="4">
        <f>IF(AY65="","",(BE65+BF65)/2)</f>
        <v/>
      </c>
      <c r="BH65" s="4">
        <f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4">
        <f>IF(AY65="","",IF(BH65&lt;AY65,BG65,BE65))</f>
        <v/>
      </c>
      <c r="BJ65" s="4">
        <f>IF(AY65="","",IF(BH65&lt;AY65,BF65,BG65))</f>
        <v/>
      </c>
      <c r="BK65" s="4">
        <f>IF(AY65="","",(BI65+BJ65)/2)</f>
        <v/>
      </c>
      <c r="BL65" s="4">
        <f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4">
        <f>IF(AY65="","",IF(BL65&lt;AY65,BK65,BI65))</f>
        <v/>
      </c>
      <c r="BN65" s="4">
        <f>IF(AY65="","",IF(BL65&lt;AY65,BJ65,BK65))</f>
        <v/>
      </c>
      <c r="BO65" s="4">
        <f>IF(AY65="","",(BM65+BN65)/2)</f>
        <v/>
      </c>
      <c r="BP65" s="4">
        <f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4">
        <f>IF(AY65="","",IF(BP65&lt;AY65,BO65,BM65))</f>
        <v/>
      </c>
      <c r="BR65" s="4">
        <f>IF(AY65="","",IF(BP65&lt;AY65,BN65,BO65))</f>
        <v/>
      </c>
      <c r="BS65" s="4">
        <f>IF(AY65="","",(BQ65+BR65)/2)</f>
        <v/>
      </c>
      <c r="BT65" s="4">
        <f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4">
        <f>IF(AY65="","",IF(BT65&lt;AY65,BS65,BQ65))</f>
        <v/>
      </c>
      <c r="BV65" s="4">
        <f>IF(AY65="","",IF(BT65&lt;AY65,BR65,BS65))</f>
        <v/>
      </c>
      <c r="BW65" s="4">
        <f>IF(AY65="","",(BU65+BV65)/2)</f>
        <v/>
      </c>
      <c r="BX65" s="4">
        <f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4">
        <f>IF(AY65="","",IF(BX65&lt;AY65,BW65,BU65))</f>
        <v/>
      </c>
      <c r="BZ65" s="4">
        <f>IF(AY65="","",IF(BX65&lt;AY65,BV65,BW65))</f>
        <v/>
      </c>
      <c r="CA65" s="4">
        <f>IF(AY65="","",(BY65+BZ65)/2)</f>
        <v/>
      </c>
      <c r="CB65" s="4">
        <f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4">
        <f>IF(AY65="","",IF(CB65&lt;AY65,CA65,BY65))</f>
        <v/>
      </c>
      <c r="CD65" s="4">
        <f>IF(AY65="","",IF(CB65&lt;AY65,BZ65,CA65))</f>
        <v/>
      </c>
      <c r="CE65" s="4">
        <f>IF(AY65="","",(CC65+CD65)/2)</f>
        <v/>
      </c>
    </row>
    <row r="66">
      <c r="A66" s="4" t="n"/>
      <c r="B66" s="4" t="n"/>
      <c r="C66" s="8" t="n"/>
      <c r="D66" s="8" t="n"/>
      <c r="E66" s="8">
        <f>SUMIFS(CB_Tributaires!$G:$G,CB_Tributaires!$F:$F,$A66)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IF(A66="","",IF(F66="","",2.78E-7*IF(G66&lt;&gt;"",G66,IFERROR(SUMIFS(CB_Tributaires!$H:$H,CB_Tributaires!$F:$F,$A66)/SUMIFS(CB_Tributaires!$G:$G,CB_Tributaires!$F:$F,$A66),Inputs!$B$17))*F66*I66))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7">
        <f>IF(AY66="","",CE66)</f>
        <v/>
      </c>
      <c r="AX66" s="7">
        <f>IF(OR(AY66="",AW66="",R66="",R66&lt;=0,AW66&lt;=0),"",AY66/((R66^2/8)*(2*ACOS(1-2*AW66/R66)-SIN(2*ACOS(1-2*AW66/R66)))))</f>
        <v/>
      </c>
      <c r="AY66" s="4">
        <f>IF(OR(L66="",AZ66=""),"",MIN(L66,AZ66))</f>
        <v/>
      </c>
      <c r="AZ66" s="4">
        <f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4">
        <f>IF(AY66="","",0.001*R66)</f>
        <v/>
      </c>
      <c r="BB66" s="4">
        <f>IF(AY66="","",0.94*R66)</f>
        <v/>
      </c>
      <c r="BC66" s="4">
        <f>IF(AY66="","",(BA66+BB66)/2)</f>
        <v/>
      </c>
      <c r="BD66" s="4">
        <f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4">
        <f>IF(AY66="","",IF(BD66&lt;AY66,BC66,BA66))</f>
        <v/>
      </c>
      <c r="BF66" s="4">
        <f>IF(AY66="","",IF(BD66&lt;AY66,BB66,BC66))</f>
        <v/>
      </c>
      <c r="BG66" s="4">
        <f>IF(AY66="","",(BE66+BF66)/2)</f>
        <v/>
      </c>
      <c r="BH66" s="4">
        <f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4">
        <f>IF(AY66="","",IF(BH66&lt;AY66,BG66,BE66))</f>
        <v/>
      </c>
      <c r="BJ66" s="4">
        <f>IF(AY66="","",IF(BH66&lt;AY66,BF66,BG66))</f>
        <v/>
      </c>
      <c r="BK66" s="4">
        <f>IF(AY66="","",(BI66+BJ66)/2)</f>
        <v/>
      </c>
      <c r="BL66" s="4">
        <f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4">
        <f>IF(AY66="","",IF(BL66&lt;AY66,BK66,BI66))</f>
        <v/>
      </c>
      <c r="BN66" s="4">
        <f>IF(AY66="","",IF(BL66&lt;AY66,BJ66,BK66))</f>
        <v/>
      </c>
      <c r="BO66" s="4">
        <f>IF(AY66="","",(BM66+BN66)/2)</f>
        <v/>
      </c>
      <c r="BP66" s="4">
        <f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4">
        <f>IF(AY66="","",IF(BP66&lt;AY66,BO66,BM66))</f>
        <v/>
      </c>
      <c r="BR66" s="4">
        <f>IF(AY66="","",IF(BP66&lt;AY66,BN66,BO66))</f>
        <v/>
      </c>
      <c r="BS66" s="4">
        <f>IF(AY66="","",(BQ66+BR66)/2)</f>
        <v/>
      </c>
      <c r="BT66" s="4">
        <f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4">
        <f>IF(AY66="","",IF(BT66&lt;AY66,BS66,BQ66))</f>
        <v/>
      </c>
      <c r="BV66" s="4">
        <f>IF(AY66="","",IF(BT66&lt;AY66,BR66,BS66))</f>
        <v/>
      </c>
      <c r="BW66" s="4">
        <f>IF(AY66="","",(BU66+BV66)/2)</f>
        <v/>
      </c>
      <c r="BX66" s="4">
        <f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4">
        <f>IF(AY66="","",IF(BX66&lt;AY66,BW66,BU66))</f>
        <v/>
      </c>
      <c r="BZ66" s="4">
        <f>IF(AY66="","",IF(BX66&lt;AY66,BV66,BW66))</f>
        <v/>
      </c>
      <c r="CA66" s="4">
        <f>IF(AY66="","",(BY66+BZ66)/2)</f>
        <v/>
      </c>
      <c r="CB66" s="4">
        <f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4">
        <f>IF(AY66="","",IF(CB66&lt;AY66,CA66,BY66))</f>
        <v/>
      </c>
      <c r="CD66" s="4">
        <f>IF(AY66="","",IF(CB66&lt;AY66,BZ66,CA66))</f>
        <v/>
      </c>
      <c r="CE66" s="4">
        <f>IF(AY66="","",(CC66+CD66)/2)</f>
        <v/>
      </c>
    </row>
    <row r="67">
      <c r="A67" s="4" t="n"/>
      <c r="B67" s="4" t="n"/>
      <c r="C67" s="8" t="n"/>
      <c r="D67" s="8" t="n"/>
      <c r="E67" s="8">
        <f>SUMIFS(CB_Tributaires!$G:$G,CB_Tributaires!$F:$F,$A67)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IF(A67="","",IF(F67="","",2.78E-7*IF(G67&lt;&gt;"",G67,IFERROR(SUMIFS(CB_Tributaires!$H:$H,CB_Tributaires!$F:$F,$A67)/SUMIFS(CB_Tributaires!$G:$G,CB_Tributaires!$F:$F,$A67),Inputs!$B$17))*F67*I67))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7">
        <f>IF(AY67="","",CE67)</f>
        <v/>
      </c>
      <c r="AX67" s="7">
        <f>IF(OR(AY67="",AW67="",R67="",R67&lt;=0,AW67&lt;=0),"",AY67/((R67^2/8)*(2*ACOS(1-2*AW67/R67)-SIN(2*ACOS(1-2*AW67/R67)))))</f>
        <v/>
      </c>
      <c r="AY67" s="4">
        <f>IF(OR(L67="",AZ67=""),"",MIN(L67,AZ67))</f>
        <v/>
      </c>
      <c r="AZ67" s="4">
        <f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4">
        <f>IF(AY67="","",0.001*R67)</f>
        <v/>
      </c>
      <c r="BB67" s="4">
        <f>IF(AY67="","",0.94*R67)</f>
        <v/>
      </c>
      <c r="BC67" s="4">
        <f>IF(AY67="","",(BA67+BB67)/2)</f>
        <v/>
      </c>
      <c r="BD67" s="4">
        <f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4">
        <f>IF(AY67="","",IF(BD67&lt;AY67,BC67,BA67))</f>
        <v/>
      </c>
      <c r="BF67" s="4">
        <f>IF(AY67="","",IF(BD67&lt;AY67,BB67,BC67))</f>
        <v/>
      </c>
      <c r="BG67" s="4">
        <f>IF(AY67="","",(BE67+BF67)/2)</f>
        <v/>
      </c>
      <c r="BH67" s="4">
        <f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4">
        <f>IF(AY67="","",IF(BH67&lt;AY67,BG67,BE67))</f>
        <v/>
      </c>
      <c r="BJ67" s="4">
        <f>IF(AY67="","",IF(BH67&lt;AY67,BF67,BG67))</f>
        <v/>
      </c>
      <c r="BK67" s="4">
        <f>IF(AY67="","",(BI67+BJ67)/2)</f>
        <v/>
      </c>
      <c r="BL67" s="4">
        <f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4">
        <f>IF(AY67="","",IF(BL67&lt;AY67,BK67,BI67))</f>
        <v/>
      </c>
      <c r="BN67" s="4">
        <f>IF(AY67="","",IF(BL67&lt;AY67,BJ67,BK67))</f>
        <v/>
      </c>
      <c r="BO67" s="4">
        <f>IF(AY67="","",(BM67+BN67)/2)</f>
        <v/>
      </c>
      <c r="BP67" s="4">
        <f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4">
        <f>IF(AY67="","",IF(BP67&lt;AY67,BO67,BM67))</f>
        <v/>
      </c>
      <c r="BR67" s="4">
        <f>IF(AY67="","",IF(BP67&lt;AY67,BN67,BO67))</f>
        <v/>
      </c>
      <c r="BS67" s="4">
        <f>IF(AY67="","",(BQ67+BR67)/2)</f>
        <v/>
      </c>
      <c r="BT67" s="4">
        <f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4">
        <f>IF(AY67="","",IF(BT67&lt;AY67,BS67,BQ67))</f>
        <v/>
      </c>
      <c r="BV67" s="4">
        <f>IF(AY67="","",IF(BT67&lt;AY67,BR67,BS67))</f>
        <v/>
      </c>
      <c r="BW67" s="4">
        <f>IF(AY67="","",(BU67+BV67)/2)</f>
        <v/>
      </c>
      <c r="BX67" s="4">
        <f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4">
        <f>IF(AY67="","",IF(BX67&lt;AY67,BW67,BU67))</f>
        <v/>
      </c>
      <c r="BZ67" s="4">
        <f>IF(AY67="","",IF(BX67&lt;AY67,BV67,BW67))</f>
        <v/>
      </c>
      <c r="CA67" s="4">
        <f>IF(AY67="","",(BY67+BZ67)/2)</f>
        <v/>
      </c>
      <c r="CB67" s="4">
        <f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4">
        <f>IF(AY67="","",IF(CB67&lt;AY67,CA67,BY67))</f>
        <v/>
      </c>
      <c r="CD67" s="4">
        <f>IF(AY67="","",IF(CB67&lt;AY67,BZ67,CA67))</f>
        <v/>
      </c>
      <c r="CE67" s="4">
        <f>IF(AY67="","",(CC67+CD67)/2)</f>
        <v/>
      </c>
    </row>
    <row r="68">
      <c r="A68" s="4" t="n"/>
      <c r="B68" s="4" t="n"/>
      <c r="C68" s="8" t="n"/>
      <c r="D68" s="8" t="n"/>
      <c r="E68" s="8">
        <f>SUMIFS(CB_Tributaires!$G:$G,CB_Tributaires!$F:$F,$A68)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IF(A68="","",IF(F68="","",2.78E-7*IF(G68&lt;&gt;"",G68,IFERROR(SUMIFS(CB_Tributaires!$H:$H,CB_Tributaires!$F:$F,$A68)/SUMIFS(CB_Tributaires!$G:$G,CB_Tributaires!$F:$F,$A68),Inputs!$B$17))*F68*I68))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7">
        <f>IF(AY68="","",CE68)</f>
        <v/>
      </c>
      <c r="AX68" s="7">
        <f>IF(OR(AY68="",AW68="",R68="",R68&lt;=0,AW68&lt;=0),"",AY68/((R68^2/8)*(2*ACOS(1-2*AW68/R68)-SIN(2*ACOS(1-2*AW68/R68)))))</f>
        <v/>
      </c>
      <c r="AY68" s="4">
        <f>IF(OR(L68="",AZ68=""),"",MIN(L68,AZ68))</f>
        <v/>
      </c>
      <c r="AZ68" s="4">
        <f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4">
        <f>IF(AY68="","",0.001*R68)</f>
        <v/>
      </c>
      <c r="BB68" s="4">
        <f>IF(AY68="","",0.94*R68)</f>
        <v/>
      </c>
      <c r="BC68" s="4">
        <f>IF(AY68="","",(BA68+BB68)/2)</f>
        <v/>
      </c>
      <c r="BD68" s="4">
        <f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4">
        <f>IF(AY68="","",IF(BD68&lt;AY68,BC68,BA68))</f>
        <v/>
      </c>
      <c r="BF68" s="4">
        <f>IF(AY68="","",IF(BD68&lt;AY68,BB68,BC68))</f>
        <v/>
      </c>
      <c r="BG68" s="4">
        <f>IF(AY68="","",(BE68+BF68)/2)</f>
        <v/>
      </c>
      <c r="BH68" s="4">
        <f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4">
        <f>IF(AY68="","",IF(BH68&lt;AY68,BG68,BE68))</f>
        <v/>
      </c>
      <c r="BJ68" s="4">
        <f>IF(AY68="","",IF(BH68&lt;AY68,BF68,BG68))</f>
        <v/>
      </c>
      <c r="BK68" s="4">
        <f>IF(AY68="","",(BI68+BJ68)/2)</f>
        <v/>
      </c>
      <c r="BL68" s="4">
        <f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4">
        <f>IF(AY68="","",IF(BL68&lt;AY68,BK68,BI68))</f>
        <v/>
      </c>
      <c r="BN68" s="4">
        <f>IF(AY68="","",IF(BL68&lt;AY68,BJ68,BK68))</f>
        <v/>
      </c>
      <c r="BO68" s="4">
        <f>IF(AY68="","",(BM68+BN68)/2)</f>
        <v/>
      </c>
      <c r="BP68" s="4">
        <f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4">
        <f>IF(AY68="","",IF(BP68&lt;AY68,BO68,BM68))</f>
        <v/>
      </c>
      <c r="BR68" s="4">
        <f>IF(AY68="","",IF(BP68&lt;AY68,BN68,BO68))</f>
        <v/>
      </c>
      <c r="BS68" s="4">
        <f>IF(AY68="","",(BQ68+BR68)/2)</f>
        <v/>
      </c>
      <c r="BT68" s="4">
        <f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4">
        <f>IF(AY68="","",IF(BT68&lt;AY68,BS68,BQ68))</f>
        <v/>
      </c>
      <c r="BV68" s="4">
        <f>IF(AY68="","",IF(BT68&lt;AY68,BR68,BS68))</f>
        <v/>
      </c>
      <c r="BW68" s="4">
        <f>IF(AY68="","",(BU68+BV68)/2)</f>
        <v/>
      </c>
      <c r="BX68" s="4">
        <f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4">
        <f>IF(AY68="","",IF(BX68&lt;AY68,BW68,BU68))</f>
        <v/>
      </c>
      <c r="BZ68" s="4">
        <f>IF(AY68="","",IF(BX68&lt;AY68,BV68,BW68))</f>
        <v/>
      </c>
      <c r="CA68" s="4">
        <f>IF(AY68="","",(BY68+BZ68)/2)</f>
        <v/>
      </c>
      <c r="CB68" s="4">
        <f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4">
        <f>IF(AY68="","",IF(CB68&lt;AY68,CA68,BY68))</f>
        <v/>
      </c>
      <c r="CD68" s="4">
        <f>IF(AY68="","",IF(CB68&lt;AY68,BZ68,CA68))</f>
        <v/>
      </c>
      <c r="CE68" s="4">
        <f>IF(AY68="","",(CC68+CD68)/2)</f>
        <v/>
      </c>
    </row>
    <row r="69">
      <c r="A69" s="4" t="n"/>
      <c r="B69" s="4" t="n"/>
      <c r="C69" s="8" t="n"/>
      <c r="D69" s="8" t="n"/>
      <c r="E69" s="8">
        <f>SUMIFS(CB_Tributaires!$G:$G,CB_Tributaires!$F:$F,$A69)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IF(A69="","",IF(F69="","",2.78E-7*IF(G69&lt;&gt;"",G69,IFERROR(SUMIFS(CB_Tributaires!$H:$H,CB_Tributaires!$F:$F,$A69)/SUMIFS(CB_Tributaires!$G:$G,CB_Tributaires!$F:$F,$A69),Inputs!$B$17))*F69*I69))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7">
        <f>IF(AY69="","",CE69)</f>
        <v/>
      </c>
      <c r="AX69" s="7">
        <f>IF(OR(AY69="",AW69="",R69="",R69&lt;=0,AW69&lt;=0),"",AY69/((R69^2/8)*(2*ACOS(1-2*AW69/R69)-SIN(2*ACOS(1-2*AW69/R69)))))</f>
        <v/>
      </c>
      <c r="AY69" s="4">
        <f>IF(OR(L69="",AZ69=""),"",MIN(L69,AZ69))</f>
        <v/>
      </c>
      <c r="AZ69" s="4">
        <f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4">
        <f>IF(AY69="","",0.001*R69)</f>
        <v/>
      </c>
      <c r="BB69" s="4">
        <f>IF(AY69="","",0.94*R69)</f>
        <v/>
      </c>
      <c r="BC69" s="4">
        <f>IF(AY69="","",(BA69+BB69)/2)</f>
        <v/>
      </c>
      <c r="BD69" s="4">
        <f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4">
        <f>IF(AY69="","",IF(BD69&lt;AY69,BC69,BA69))</f>
        <v/>
      </c>
      <c r="BF69" s="4">
        <f>IF(AY69="","",IF(BD69&lt;AY69,BB69,BC69))</f>
        <v/>
      </c>
      <c r="BG69" s="4">
        <f>IF(AY69="","",(BE69+BF69)/2)</f>
        <v/>
      </c>
      <c r="BH69" s="4">
        <f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4">
        <f>IF(AY69="","",IF(BH69&lt;AY69,BG69,BE69))</f>
        <v/>
      </c>
      <c r="BJ69" s="4">
        <f>IF(AY69="","",IF(BH69&lt;AY69,BF69,BG69))</f>
        <v/>
      </c>
      <c r="BK69" s="4">
        <f>IF(AY69="","",(BI69+BJ69)/2)</f>
        <v/>
      </c>
      <c r="BL69" s="4">
        <f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4">
        <f>IF(AY69="","",IF(BL69&lt;AY69,BK69,BI69))</f>
        <v/>
      </c>
      <c r="BN69" s="4">
        <f>IF(AY69="","",IF(BL69&lt;AY69,BJ69,BK69))</f>
        <v/>
      </c>
      <c r="BO69" s="4">
        <f>IF(AY69="","",(BM69+BN69)/2)</f>
        <v/>
      </c>
      <c r="BP69" s="4">
        <f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4">
        <f>IF(AY69="","",IF(BP69&lt;AY69,BO69,BM69))</f>
        <v/>
      </c>
      <c r="BR69" s="4">
        <f>IF(AY69="","",IF(BP69&lt;AY69,BN69,BO69))</f>
        <v/>
      </c>
      <c r="BS69" s="4">
        <f>IF(AY69="","",(BQ69+BR69)/2)</f>
        <v/>
      </c>
      <c r="BT69" s="4">
        <f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4">
        <f>IF(AY69="","",IF(BT69&lt;AY69,BS69,BQ69))</f>
        <v/>
      </c>
      <c r="BV69" s="4">
        <f>IF(AY69="","",IF(BT69&lt;AY69,BR69,BS69))</f>
        <v/>
      </c>
      <c r="BW69" s="4">
        <f>IF(AY69="","",(BU69+BV69)/2)</f>
        <v/>
      </c>
      <c r="BX69" s="4">
        <f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4">
        <f>IF(AY69="","",IF(BX69&lt;AY69,BW69,BU69))</f>
        <v/>
      </c>
      <c r="BZ69" s="4">
        <f>IF(AY69="","",IF(BX69&lt;AY69,BV69,BW69))</f>
        <v/>
      </c>
      <c r="CA69" s="4">
        <f>IF(AY69="","",(BY69+BZ69)/2)</f>
        <v/>
      </c>
      <c r="CB69" s="4">
        <f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4">
        <f>IF(AY69="","",IF(CB69&lt;AY69,CA69,BY69))</f>
        <v/>
      </c>
      <c r="CD69" s="4">
        <f>IF(AY69="","",IF(CB69&lt;AY69,BZ69,CA69))</f>
        <v/>
      </c>
      <c r="CE69" s="4">
        <f>IF(AY69="","",(CC69+CD69)/2)</f>
        <v/>
      </c>
    </row>
    <row r="70">
      <c r="A70" s="4" t="n"/>
      <c r="B70" s="4" t="n"/>
      <c r="C70" s="8" t="n"/>
      <c r="D70" s="8" t="n"/>
      <c r="E70" s="8">
        <f>SUMIFS(CB_Tributaires!$G:$G,CB_Tributaires!$F:$F,$A70)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IF(A70="","",IF(F70="","",2.78E-7*IF(G70&lt;&gt;"",G70,IFERROR(SUMIFS(CB_Tributaires!$H:$H,CB_Tributaires!$F:$F,$A70)/SUMIFS(CB_Tributaires!$G:$G,CB_Tributaires!$F:$F,$A70),Inputs!$B$17))*F70*I70))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7">
        <f>IF(AY70="","",CE70)</f>
        <v/>
      </c>
      <c r="AX70" s="7">
        <f>IF(OR(AY70="",AW70="",R70="",R70&lt;=0,AW70&lt;=0),"",AY70/((R70^2/8)*(2*ACOS(1-2*AW70/R70)-SIN(2*ACOS(1-2*AW70/R70)))))</f>
        <v/>
      </c>
      <c r="AY70" s="4">
        <f>IF(OR(L70="",AZ70=""),"",MIN(L70,AZ70))</f>
        <v/>
      </c>
      <c r="AZ70" s="4">
        <f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4">
        <f>IF(AY70="","",0.001*R70)</f>
        <v/>
      </c>
      <c r="BB70" s="4">
        <f>IF(AY70="","",0.94*R70)</f>
        <v/>
      </c>
      <c r="BC70" s="4">
        <f>IF(AY70="","",(BA70+BB70)/2)</f>
        <v/>
      </c>
      <c r="BD70" s="4">
        <f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4">
        <f>IF(AY70="","",IF(BD70&lt;AY70,BC70,BA70))</f>
        <v/>
      </c>
      <c r="BF70" s="4">
        <f>IF(AY70="","",IF(BD70&lt;AY70,BB70,BC70))</f>
        <v/>
      </c>
      <c r="BG70" s="4">
        <f>IF(AY70="","",(BE70+BF70)/2)</f>
        <v/>
      </c>
      <c r="BH70" s="4">
        <f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4">
        <f>IF(AY70="","",IF(BH70&lt;AY70,BG70,BE70))</f>
        <v/>
      </c>
      <c r="BJ70" s="4">
        <f>IF(AY70="","",IF(BH70&lt;AY70,BF70,BG70))</f>
        <v/>
      </c>
      <c r="BK70" s="4">
        <f>IF(AY70="","",(BI70+BJ70)/2)</f>
        <v/>
      </c>
      <c r="BL70" s="4">
        <f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4">
        <f>IF(AY70="","",IF(BL70&lt;AY70,BK70,BI70))</f>
        <v/>
      </c>
      <c r="BN70" s="4">
        <f>IF(AY70="","",IF(BL70&lt;AY70,BJ70,BK70))</f>
        <v/>
      </c>
      <c r="BO70" s="4">
        <f>IF(AY70="","",(BM70+BN70)/2)</f>
        <v/>
      </c>
      <c r="BP70" s="4">
        <f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4">
        <f>IF(AY70="","",IF(BP70&lt;AY70,BO70,BM70))</f>
        <v/>
      </c>
      <c r="BR70" s="4">
        <f>IF(AY70="","",IF(BP70&lt;AY70,BN70,BO70))</f>
        <v/>
      </c>
      <c r="BS70" s="4">
        <f>IF(AY70="","",(BQ70+BR70)/2)</f>
        <v/>
      </c>
      <c r="BT70" s="4">
        <f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4">
        <f>IF(AY70="","",IF(BT70&lt;AY70,BS70,BQ70))</f>
        <v/>
      </c>
      <c r="BV70" s="4">
        <f>IF(AY70="","",IF(BT70&lt;AY70,BR70,BS70))</f>
        <v/>
      </c>
      <c r="BW70" s="4">
        <f>IF(AY70="","",(BU70+BV70)/2)</f>
        <v/>
      </c>
      <c r="BX70" s="4">
        <f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4">
        <f>IF(AY70="","",IF(BX70&lt;AY70,BW70,BU70))</f>
        <v/>
      </c>
      <c r="BZ70" s="4">
        <f>IF(AY70="","",IF(BX70&lt;AY70,BV70,BW70))</f>
        <v/>
      </c>
      <c r="CA70" s="4">
        <f>IF(AY70="","",(BY70+BZ70)/2)</f>
        <v/>
      </c>
      <c r="CB70" s="4">
        <f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4">
        <f>IF(AY70="","",IF(CB70&lt;AY70,CA70,BY70))</f>
        <v/>
      </c>
      <c r="CD70" s="4">
        <f>IF(AY70="","",IF(CB70&lt;AY70,BZ70,CA70))</f>
        <v/>
      </c>
      <c r="CE70" s="4">
        <f>IF(AY70="","",(CC70+CD70)/2)</f>
        <v/>
      </c>
    </row>
    <row r="71">
      <c r="A71" s="4" t="n"/>
      <c r="B71" s="4" t="n"/>
      <c r="C71" s="8" t="n"/>
      <c r="D71" s="8" t="n"/>
      <c r="E71" s="8">
        <f>SUMIFS(CB_Tributaires!$G:$G,CB_Tributaires!$F:$F,$A71)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IF(A71="","",IF(F71="","",2.78E-7*IF(G71&lt;&gt;"",G71,IFERROR(SUMIFS(CB_Tributaires!$H:$H,CB_Tributaires!$F:$F,$A71)/SUMIFS(CB_Tributaires!$G:$G,CB_Tributaires!$F:$F,$A71),Inputs!$B$17))*F71*I71))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7">
        <f>IF(AY71="","",CE71)</f>
        <v/>
      </c>
      <c r="AX71" s="7">
        <f>IF(OR(AY71="",AW71="",R71="",R71&lt;=0,AW71&lt;=0),"",AY71/((R71^2/8)*(2*ACOS(1-2*AW71/R71)-SIN(2*ACOS(1-2*AW71/R71)))))</f>
        <v/>
      </c>
      <c r="AY71" s="4">
        <f>IF(OR(L71="",AZ71=""),"",MIN(L71,AZ71))</f>
        <v/>
      </c>
      <c r="AZ71" s="4">
        <f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4">
        <f>IF(AY71="","",0.001*R71)</f>
        <v/>
      </c>
      <c r="BB71" s="4">
        <f>IF(AY71="","",0.94*R71)</f>
        <v/>
      </c>
      <c r="BC71" s="4">
        <f>IF(AY71="","",(BA71+BB71)/2)</f>
        <v/>
      </c>
      <c r="BD71" s="4">
        <f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4">
        <f>IF(AY71="","",IF(BD71&lt;AY71,BC71,BA71))</f>
        <v/>
      </c>
      <c r="BF71" s="4">
        <f>IF(AY71="","",IF(BD71&lt;AY71,BB71,BC71))</f>
        <v/>
      </c>
      <c r="BG71" s="4">
        <f>IF(AY71="","",(BE71+BF71)/2)</f>
        <v/>
      </c>
      <c r="BH71" s="4">
        <f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4">
        <f>IF(AY71="","",IF(BH71&lt;AY71,BG71,BE71))</f>
        <v/>
      </c>
      <c r="BJ71" s="4">
        <f>IF(AY71="","",IF(BH71&lt;AY71,BF71,BG71))</f>
        <v/>
      </c>
      <c r="BK71" s="4">
        <f>IF(AY71="","",(BI71+BJ71)/2)</f>
        <v/>
      </c>
      <c r="BL71" s="4">
        <f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4">
        <f>IF(AY71="","",IF(BL71&lt;AY71,BK71,BI71))</f>
        <v/>
      </c>
      <c r="BN71" s="4">
        <f>IF(AY71="","",IF(BL71&lt;AY71,BJ71,BK71))</f>
        <v/>
      </c>
      <c r="BO71" s="4">
        <f>IF(AY71="","",(BM71+BN71)/2)</f>
        <v/>
      </c>
      <c r="BP71" s="4">
        <f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4">
        <f>IF(AY71="","",IF(BP71&lt;AY71,BO71,BM71))</f>
        <v/>
      </c>
      <c r="BR71" s="4">
        <f>IF(AY71="","",IF(BP71&lt;AY71,BN71,BO71))</f>
        <v/>
      </c>
      <c r="BS71" s="4">
        <f>IF(AY71="","",(BQ71+BR71)/2)</f>
        <v/>
      </c>
      <c r="BT71" s="4">
        <f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4">
        <f>IF(AY71="","",IF(BT71&lt;AY71,BS71,BQ71))</f>
        <v/>
      </c>
      <c r="BV71" s="4">
        <f>IF(AY71="","",IF(BT71&lt;AY71,BR71,BS71))</f>
        <v/>
      </c>
      <c r="BW71" s="4">
        <f>IF(AY71="","",(BU71+BV71)/2)</f>
        <v/>
      </c>
      <c r="BX71" s="4">
        <f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4">
        <f>IF(AY71="","",IF(BX71&lt;AY71,BW71,BU71))</f>
        <v/>
      </c>
      <c r="BZ71" s="4">
        <f>IF(AY71="","",IF(BX71&lt;AY71,BV71,BW71))</f>
        <v/>
      </c>
      <c r="CA71" s="4">
        <f>IF(AY71="","",(BY71+BZ71)/2)</f>
        <v/>
      </c>
      <c r="CB71" s="4">
        <f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4">
        <f>IF(AY71="","",IF(CB71&lt;AY71,CA71,BY71))</f>
        <v/>
      </c>
      <c r="CD71" s="4">
        <f>IF(AY71="","",IF(CB71&lt;AY71,BZ71,CA71))</f>
        <v/>
      </c>
      <c r="CE71" s="4">
        <f>IF(AY71="","",(CC71+CD71)/2)</f>
        <v/>
      </c>
    </row>
    <row r="72">
      <c r="A72" s="4" t="n"/>
      <c r="B72" s="4" t="n"/>
      <c r="C72" s="8" t="n"/>
      <c r="D72" s="8" t="n"/>
      <c r="E72" s="8">
        <f>SUMIFS(CB_Tributaires!$G:$G,CB_Tributaires!$F:$F,$A72)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IF(A72="","",IF(F72="","",2.78E-7*IF(G72&lt;&gt;"",G72,IFERROR(SUMIFS(CB_Tributaires!$H:$H,CB_Tributaires!$F:$F,$A72)/SUMIFS(CB_Tributaires!$G:$G,CB_Tributaires!$F:$F,$A72),Inputs!$B$17))*F72*I72))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7">
        <f>IF(AY72="","",CE72)</f>
        <v/>
      </c>
      <c r="AX72" s="7">
        <f>IF(OR(AY72="",AW72="",R72="",R72&lt;=0,AW72&lt;=0),"",AY72/((R72^2/8)*(2*ACOS(1-2*AW72/R72)-SIN(2*ACOS(1-2*AW72/R72)))))</f>
        <v/>
      </c>
      <c r="AY72" s="4">
        <f>IF(OR(L72="",AZ72=""),"",MIN(L72,AZ72))</f>
        <v/>
      </c>
      <c r="AZ72" s="4">
        <f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4">
        <f>IF(AY72="","",0.001*R72)</f>
        <v/>
      </c>
      <c r="BB72" s="4">
        <f>IF(AY72="","",0.94*R72)</f>
        <v/>
      </c>
      <c r="BC72" s="4">
        <f>IF(AY72="","",(BA72+BB72)/2)</f>
        <v/>
      </c>
      <c r="BD72" s="4">
        <f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4">
        <f>IF(AY72="","",IF(BD72&lt;AY72,BC72,BA72))</f>
        <v/>
      </c>
      <c r="BF72" s="4">
        <f>IF(AY72="","",IF(BD72&lt;AY72,BB72,BC72))</f>
        <v/>
      </c>
      <c r="BG72" s="4">
        <f>IF(AY72="","",(BE72+BF72)/2)</f>
        <v/>
      </c>
      <c r="BH72" s="4">
        <f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4">
        <f>IF(AY72="","",IF(BH72&lt;AY72,BG72,BE72))</f>
        <v/>
      </c>
      <c r="BJ72" s="4">
        <f>IF(AY72="","",IF(BH72&lt;AY72,BF72,BG72))</f>
        <v/>
      </c>
      <c r="BK72" s="4">
        <f>IF(AY72="","",(BI72+BJ72)/2)</f>
        <v/>
      </c>
      <c r="BL72" s="4">
        <f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4">
        <f>IF(AY72="","",IF(BL72&lt;AY72,BK72,BI72))</f>
        <v/>
      </c>
      <c r="BN72" s="4">
        <f>IF(AY72="","",IF(BL72&lt;AY72,BJ72,BK72))</f>
        <v/>
      </c>
      <c r="BO72" s="4">
        <f>IF(AY72="","",(BM72+BN72)/2)</f>
        <v/>
      </c>
      <c r="BP72" s="4">
        <f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4">
        <f>IF(AY72="","",IF(BP72&lt;AY72,BO72,BM72))</f>
        <v/>
      </c>
      <c r="BR72" s="4">
        <f>IF(AY72="","",IF(BP72&lt;AY72,BN72,BO72))</f>
        <v/>
      </c>
      <c r="BS72" s="4">
        <f>IF(AY72="","",(BQ72+BR72)/2)</f>
        <v/>
      </c>
      <c r="BT72" s="4">
        <f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4">
        <f>IF(AY72="","",IF(BT72&lt;AY72,BS72,BQ72))</f>
        <v/>
      </c>
      <c r="BV72" s="4">
        <f>IF(AY72="","",IF(BT72&lt;AY72,BR72,BS72))</f>
        <v/>
      </c>
      <c r="BW72" s="4">
        <f>IF(AY72="","",(BU72+BV72)/2)</f>
        <v/>
      </c>
      <c r="BX72" s="4">
        <f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4">
        <f>IF(AY72="","",IF(BX72&lt;AY72,BW72,BU72))</f>
        <v/>
      </c>
      <c r="BZ72" s="4">
        <f>IF(AY72="","",IF(BX72&lt;AY72,BV72,BW72))</f>
        <v/>
      </c>
      <c r="CA72" s="4">
        <f>IF(AY72="","",(BY72+BZ72)/2)</f>
        <v/>
      </c>
      <c r="CB72" s="4">
        <f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4">
        <f>IF(AY72="","",IF(CB72&lt;AY72,CA72,BY72))</f>
        <v/>
      </c>
      <c r="CD72" s="4">
        <f>IF(AY72="","",IF(CB72&lt;AY72,BZ72,CA72))</f>
        <v/>
      </c>
      <c r="CE72" s="4">
        <f>IF(AY72="","",(CC72+CD72)/2)</f>
        <v/>
      </c>
    </row>
    <row r="73">
      <c r="A73" s="4" t="n"/>
      <c r="B73" s="4" t="n"/>
      <c r="C73" s="8" t="n"/>
      <c r="D73" s="8" t="n"/>
      <c r="E73" s="8">
        <f>SUMIFS(CB_Tributaires!$G:$G,CB_Tributaires!$F:$F,$A73)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IF(A73="","",IF(F73="","",2.78E-7*IF(G73&lt;&gt;"",G73,IFERROR(SUMIFS(CB_Tributaires!$H:$H,CB_Tributaires!$F:$F,$A73)/SUMIFS(CB_Tributaires!$G:$G,CB_Tributaires!$F:$F,$A73),Inputs!$B$17))*F73*I73))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7">
        <f>IF(AY73="","",CE73)</f>
        <v/>
      </c>
      <c r="AX73" s="7">
        <f>IF(OR(AY73="",AW73="",R73="",R73&lt;=0,AW73&lt;=0),"",AY73/((R73^2/8)*(2*ACOS(1-2*AW73/R73)-SIN(2*ACOS(1-2*AW73/R73)))))</f>
        <v/>
      </c>
      <c r="AY73" s="4">
        <f>IF(OR(L73="",AZ73=""),"",MIN(L73,AZ73))</f>
        <v/>
      </c>
      <c r="AZ73" s="4">
        <f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4">
        <f>IF(AY73="","",0.001*R73)</f>
        <v/>
      </c>
      <c r="BB73" s="4">
        <f>IF(AY73="","",0.94*R73)</f>
        <v/>
      </c>
      <c r="BC73" s="4">
        <f>IF(AY73="","",(BA73+BB73)/2)</f>
        <v/>
      </c>
      <c r="BD73" s="4">
        <f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4">
        <f>IF(AY73="","",IF(BD73&lt;AY73,BC73,BA73))</f>
        <v/>
      </c>
      <c r="BF73" s="4">
        <f>IF(AY73="","",IF(BD73&lt;AY73,BB73,BC73))</f>
        <v/>
      </c>
      <c r="BG73" s="4">
        <f>IF(AY73="","",(BE73+BF73)/2)</f>
        <v/>
      </c>
      <c r="BH73" s="4">
        <f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4">
        <f>IF(AY73="","",IF(BH73&lt;AY73,BG73,BE73))</f>
        <v/>
      </c>
      <c r="BJ73" s="4">
        <f>IF(AY73="","",IF(BH73&lt;AY73,BF73,BG73))</f>
        <v/>
      </c>
      <c r="BK73" s="4">
        <f>IF(AY73="","",(BI73+BJ73)/2)</f>
        <v/>
      </c>
      <c r="BL73" s="4">
        <f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4">
        <f>IF(AY73="","",IF(BL73&lt;AY73,BK73,BI73))</f>
        <v/>
      </c>
      <c r="BN73" s="4">
        <f>IF(AY73="","",IF(BL73&lt;AY73,BJ73,BK73))</f>
        <v/>
      </c>
      <c r="BO73" s="4">
        <f>IF(AY73="","",(BM73+BN73)/2)</f>
        <v/>
      </c>
      <c r="BP73" s="4">
        <f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4">
        <f>IF(AY73="","",IF(BP73&lt;AY73,BO73,BM73))</f>
        <v/>
      </c>
      <c r="BR73" s="4">
        <f>IF(AY73="","",IF(BP73&lt;AY73,BN73,BO73))</f>
        <v/>
      </c>
      <c r="BS73" s="4">
        <f>IF(AY73="","",(BQ73+BR73)/2)</f>
        <v/>
      </c>
      <c r="BT73" s="4">
        <f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4">
        <f>IF(AY73="","",IF(BT73&lt;AY73,BS73,BQ73))</f>
        <v/>
      </c>
      <c r="BV73" s="4">
        <f>IF(AY73="","",IF(BT73&lt;AY73,BR73,BS73))</f>
        <v/>
      </c>
      <c r="BW73" s="4">
        <f>IF(AY73="","",(BU73+BV73)/2)</f>
        <v/>
      </c>
      <c r="BX73" s="4">
        <f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4">
        <f>IF(AY73="","",IF(BX73&lt;AY73,BW73,BU73))</f>
        <v/>
      </c>
      <c r="BZ73" s="4">
        <f>IF(AY73="","",IF(BX73&lt;AY73,BV73,BW73))</f>
        <v/>
      </c>
      <c r="CA73" s="4">
        <f>IF(AY73="","",(BY73+BZ73)/2)</f>
        <v/>
      </c>
      <c r="CB73" s="4">
        <f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4">
        <f>IF(AY73="","",IF(CB73&lt;AY73,CA73,BY73))</f>
        <v/>
      </c>
      <c r="CD73" s="4">
        <f>IF(AY73="","",IF(CB73&lt;AY73,BZ73,CA73))</f>
        <v/>
      </c>
      <c r="CE73" s="4">
        <f>IF(AY73="","",(CC73+CD73)/2)</f>
        <v/>
      </c>
    </row>
    <row r="74">
      <c r="A74" s="4" t="n"/>
      <c r="B74" s="4" t="n"/>
      <c r="C74" s="8" t="n"/>
      <c r="D74" s="8" t="n"/>
      <c r="E74" s="8">
        <f>SUMIFS(CB_Tributaires!$G:$G,CB_Tributaires!$F:$F,$A74)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IF(A74="","",IF(F74="","",2.78E-7*IF(G74&lt;&gt;"",G74,IFERROR(SUMIFS(CB_Tributaires!$H:$H,CB_Tributaires!$F:$F,$A74)/SUMIFS(CB_Tributaires!$G:$G,CB_Tributaires!$F:$F,$A74),Inputs!$B$17))*F74*I74))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7">
        <f>IF(AY74="","",CE74)</f>
        <v/>
      </c>
      <c r="AX74" s="7">
        <f>IF(OR(AY74="",AW74="",R74="",R74&lt;=0,AW74&lt;=0),"",AY74/((R74^2/8)*(2*ACOS(1-2*AW74/R74)-SIN(2*ACOS(1-2*AW74/R74)))))</f>
        <v/>
      </c>
      <c r="AY74" s="4">
        <f>IF(OR(L74="",AZ74=""),"",MIN(L74,AZ74))</f>
        <v/>
      </c>
      <c r="AZ74" s="4">
        <f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4">
        <f>IF(AY74="","",0.001*R74)</f>
        <v/>
      </c>
      <c r="BB74" s="4">
        <f>IF(AY74="","",0.94*R74)</f>
        <v/>
      </c>
      <c r="BC74" s="4">
        <f>IF(AY74="","",(BA74+BB74)/2)</f>
        <v/>
      </c>
      <c r="BD74" s="4">
        <f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4">
        <f>IF(AY74="","",IF(BD74&lt;AY74,BC74,BA74))</f>
        <v/>
      </c>
      <c r="BF74" s="4">
        <f>IF(AY74="","",IF(BD74&lt;AY74,BB74,BC74))</f>
        <v/>
      </c>
      <c r="BG74" s="4">
        <f>IF(AY74="","",(BE74+BF74)/2)</f>
        <v/>
      </c>
      <c r="BH74" s="4">
        <f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4">
        <f>IF(AY74="","",IF(BH74&lt;AY74,BG74,BE74))</f>
        <v/>
      </c>
      <c r="BJ74" s="4">
        <f>IF(AY74="","",IF(BH74&lt;AY74,BF74,BG74))</f>
        <v/>
      </c>
      <c r="BK74" s="4">
        <f>IF(AY74="","",(BI74+BJ74)/2)</f>
        <v/>
      </c>
      <c r="BL74" s="4">
        <f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4">
        <f>IF(AY74="","",IF(BL74&lt;AY74,BK74,BI74))</f>
        <v/>
      </c>
      <c r="BN74" s="4">
        <f>IF(AY74="","",IF(BL74&lt;AY74,BJ74,BK74))</f>
        <v/>
      </c>
      <c r="BO74" s="4">
        <f>IF(AY74="","",(BM74+BN74)/2)</f>
        <v/>
      </c>
      <c r="BP74" s="4">
        <f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4">
        <f>IF(AY74="","",IF(BP74&lt;AY74,BO74,BM74))</f>
        <v/>
      </c>
      <c r="BR74" s="4">
        <f>IF(AY74="","",IF(BP74&lt;AY74,BN74,BO74))</f>
        <v/>
      </c>
      <c r="BS74" s="4">
        <f>IF(AY74="","",(BQ74+BR74)/2)</f>
        <v/>
      </c>
      <c r="BT74" s="4">
        <f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4">
        <f>IF(AY74="","",IF(BT74&lt;AY74,BS74,BQ74))</f>
        <v/>
      </c>
      <c r="BV74" s="4">
        <f>IF(AY74="","",IF(BT74&lt;AY74,BR74,BS74))</f>
        <v/>
      </c>
      <c r="BW74" s="4">
        <f>IF(AY74="","",(BU74+BV74)/2)</f>
        <v/>
      </c>
      <c r="BX74" s="4">
        <f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4">
        <f>IF(AY74="","",IF(BX74&lt;AY74,BW74,BU74))</f>
        <v/>
      </c>
      <c r="BZ74" s="4">
        <f>IF(AY74="","",IF(BX74&lt;AY74,BV74,BW74))</f>
        <v/>
      </c>
      <c r="CA74" s="4">
        <f>IF(AY74="","",(BY74+BZ74)/2)</f>
        <v/>
      </c>
      <c r="CB74" s="4">
        <f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4">
        <f>IF(AY74="","",IF(CB74&lt;AY74,CA74,BY74))</f>
        <v/>
      </c>
      <c r="CD74" s="4">
        <f>IF(AY74="","",IF(CB74&lt;AY74,BZ74,CA74))</f>
        <v/>
      </c>
      <c r="CE74" s="4">
        <f>IF(AY74="","",(CC74+CD74)/2)</f>
        <v/>
      </c>
    </row>
    <row r="75">
      <c r="A75" s="4" t="n"/>
      <c r="B75" s="4" t="n"/>
      <c r="C75" s="8" t="n"/>
      <c r="D75" s="8" t="n"/>
      <c r="E75" s="8">
        <f>SUMIFS(CB_Tributaires!$G:$G,CB_Tributaires!$F:$F,$A75)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IF(A75="","",IF(F75="","",2.78E-7*IF(G75&lt;&gt;"",G75,IFERROR(SUMIFS(CB_Tributaires!$H:$H,CB_Tributaires!$F:$F,$A75)/SUMIFS(CB_Tributaires!$G:$G,CB_Tributaires!$F:$F,$A75),Inputs!$B$17))*F75*I75))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7">
        <f>IF(AY75="","",CE75)</f>
        <v/>
      </c>
      <c r="AX75" s="7">
        <f>IF(OR(AY75="",AW75="",R75="",R75&lt;=0,AW75&lt;=0),"",AY75/((R75^2/8)*(2*ACOS(1-2*AW75/R75)-SIN(2*ACOS(1-2*AW75/R75)))))</f>
        <v/>
      </c>
      <c r="AY75" s="4">
        <f>IF(OR(L75="",AZ75=""),"",MIN(L75,AZ75))</f>
        <v/>
      </c>
      <c r="AZ75" s="4">
        <f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4">
        <f>IF(AY75="","",0.001*R75)</f>
        <v/>
      </c>
      <c r="BB75" s="4">
        <f>IF(AY75="","",0.94*R75)</f>
        <v/>
      </c>
      <c r="BC75" s="4">
        <f>IF(AY75="","",(BA75+BB75)/2)</f>
        <v/>
      </c>
      <c r="BD75" s="4">
        <f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4">
        <f>IF(AY75="","",IF(BD75&lt;AY75,BC75,BA75))</f>
        <v/>
      </c>
      <c r="BF75" s="4">
        <f>IF(AY75="","",IF(BD75&lt;AY75,BB75,BC75))</f>
        <v/>
      </c>
      <c r="BG75" s="4">
        <f>IF(AY75="","",(BE75+BF75)/2)</f>
        <v/>
      </c>
      <c r="BH75" s="4">
        <f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4">
        <f>IF(AY75="","",IF(BH75&lt;AY75,BG75,BE75))</f>
        <v/>
      </c>
      <c r="BJ75" s="4">
        <f>IF(AY75="","",IF(BH75&lt;AY75,BF75,BG75))</f>
        <v/>
      </c>
      <c r="BK75" s="4">
        <f>IF(AY75="","",(BI75+BJ75)/2)</f>
        <v/>
      </c>
      <c r="BL75" s="4">
        <f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4">
        <f>IF(AY75="","",IF(BL75&lt;AY75,BK75,BI75))</f>
        <v/>
      </c>
      <c r="BN75" s="4">
        <f>IF(AY75="","",IF(BL75&lt;AY75,BJ75,BK75))</f>
        <v/>
      </c>
      <c r="BO75" s="4">
        <f>IF(AY75="","",(BM75+BN75)/2)</f>
        <v/>
      </c>
      <c r="BP75" s="4">
        <f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4">
        <f>IF(AY75="","",IF(BP75&lt;AY75,BO75,BM75))</f>
        <v/>
      </c>
      <c r="BR75" s="4">
        <f>IF(AY75="","",IF(BP75&lt;AY75,BN75,BO75))</f>
        <v/>
      </c>
      <c r="BS75" s="4">
        <f>IF(AY75="","",(BQ75+BR75)/2)</f>
        <v/>
      </c>
      <c r="BT75" s="4">
        <f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4">
        <f>IF(AY75="","",IF(BT75&lt;AY75,BS75,BQ75))</f>
        <v/>
      </c>
      <c r="BV75" s="4">
        <f>IF(AY75="","",IF(BT75&lt;AY75,BR75,BS75))</f>
        <v/>
      </c>
      <c r="BW75" s="4">
        <f>IF(AY75="","",(BU75+BV75)/2)</f>
        <v/>
      </c>
      <c r="BX75" s="4">
        <f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4">
        <f>IF(AY75="","",IF(BX75&lt;AY75,BW75,BU75))</f>
        <v/>
      </c>
      <c r="BZ75" s="4">
        <f>IF(AY75="","",IF(BX75&lt;AY75,BV75,BW75))</f>
        <v/>
      </c>
      <c r="CA75" s="4">
        <f>IF(AY75="","",(BY75+BZ75)/2)</f>
        <v/>
      </c>
      <c r="CB75" s="4">
        <f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4">
        <f>IF(AY75="","",IF(CB75&lt;AY75,CA75,BY75))</f>
        <v/>
      </c>
      <c r="CD75" s="4">
        <f>IF(AY75="","",IF(CB75&lt;AY75,BZ75,CA75))</f>
        <v/>
      </c>
      <c r="CE75" s="4">
        <f>IF(AY75="","",(CC75+CD75)/2)</f>
        <v/>
      </c>
    </row>
    <row r="76">
      <c r="A76" s="4" t="n"/>
      <c r="B76" s="4" t="n"/>
      <c r="C76" s="8" t="n"/>
      <c r="D76" s="8" t="n"/>
      <c r="E76" s="8">
        <f>SUMIFS(CB_Tributaires!$G:$G,CB_Tributaires!$F:$F,$A76)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IF(A76="","",IF(F76="","",2.78E-7*IF(G76&lt;&gt;"",G76,IFERROR(SUMIFS(CB_Tributaires!$H:$H,CB_Tributaires!$F:$F,$A76)/SUMIFS(CB_Tributaires!$G:$G,CB_Tributaires!$F:$F,$A76),Inputs!$B$17))*F76*I76))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7">
        <f>IF(AY76="","",CE76)</f>
        <v/>
      </c>
      <c r="AX76" s="7">
        <f>IF(OR(AY76="",AW76="",R76="",R76&lt;=0,AW76&lt;=0),"",AY76/((R76^2/8)*(2*ACOS(1-2*AW76/R76)-SIN(2*ACOS(1-2*AW76/R76)))))</f>
        <v/>
      </c>
      <c r="AY76" s="4">
        <f>IF(OR(L76="",AZ76=""),"",MIN(L76,AZ76))</f>
        <v/>
      </c>
      <c r="AZ76" s="4">
        <f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4">
        <f>IF(AY76="","",0.001*R76)</f>
        <v/>
      </c>
      <c r="BB76" s="4">
        <f>IF(AY76="","",0.94*R76)</f>
        <v/>
      </c>
      <c r="BC76" s="4">
        <f>IF(AY76="","",(BA76+BB76)/2)</f>
        <v/>
      </c>
      <c r="BD76" s="4">
        <f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4">
        <f>IF(AY76="","",IF(BD76&lt;AY76,BC76,BA76))</f>
        <v/>
      </c>
      <c r="BF76" s="4">
        <f>IF(AY76="","",IF(BD76&lt;AY76,BB76,BC76))</f>
        <v/>
      </c>
      <c r="BG76" s="4">
        <f>IF(AY76="","",(BE76+BF76)/2)</f>
        <v/>
      </c>
      <c r="BH76" s="4">
        <f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4">
        <f>IF(AY76="","",IF(BH76&lt;AY76,BG76,BE76))</f>
        <v/>
      </c>
      <c r="BJ76" s="4">
        <f>IF(AY76="","",IF(BH76&lt;AY76,BF76,BG76))</f>
        <v/>
      </c>
      <c r="BK76" s="4">
        <f>IF(AY76="","",(BI76+BJ76)/2)</f>
        <v/>
      </c>
      <c r="BL76" s="4">
        <f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4">
        <f>IF(AY76="","",IF(BL76&lt;AY76,BK76,BI76))</f>
        <v/>
      </c>
      <c r="BN76" s="4">
        <f>IF(AY76="","",IF(BL76&lt;AY76,BJ76,BK76))</f>
        <v/>
      </c>
      <c r="BO76" s="4">
        <f>IF(AY76="","",(BM76+BN76)/2)</f>
        <v/>
      </c>
      <c r="BP76" s="4">
        <f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4">
        <f>IF(AY76="","",IF(BP76&lt;AY76,BO76,BM76))</f>
        <v/>
      </c>
      <c r="BR76" s="4">
        <f>IF(AY76="","",IF(BP76&lt;AY76,BN76,BO76))</f>
        <v/>
      </c>
      <c r="BS76" s="4">
        <f>IF(AY76="","",(BQ76+BR76)/2)</f>
        <v/>
      </c>
      <c r="BT76" s="4">
        <f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4">
        <f>IF(AY76="","",IF(BT76&lt;AY76,BS76,BQ76))</f>
        <v/>
      </c>
      <c r="BV76" s="4">
        <f>IF(AY76="","",IF(BT76&lt;AY76,BR76,BS76))</f>
        <v/>
      </c>
      <c r="BW76" s="4">
        <f>IF(AY76="","",(BU76+BV76)/2)</f>
        <v/>
      </c>
      <c r="BX76" s="4">
        <f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4">
        <f>IF(AY76="","",IF(BX76&lt;AY76,BW76,BU76))</f>
        <v/>
      </c>
      <c r="BZ76" s="4">
        <f>IF(AY76="","",IF(BX76&lt;AY76,BV76,BW76))</f>
        <v/>
      </c>
      <c r="CA76" s="4">
        <f>IF(AY76="","",(BY76+BZ76)/2)</f>
        <v/>
      </c>
      <c r="CB76" s="4">
        <f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4">
        <f>IF(AY76="","",IF(CB76&lt;AY76,CA76,BY76))</f>
        <v/>
      </c>
      <c r="CD76" s="4">
        <f>IF(AY76="","",IF(CB76&lt;AY76,BZ76,CA76))</f>
        <v/>
      </c>
      <c r="CE76" s="4">
        <f>IF(AY76="","",(CC76+CD76)/2)</f>
        <v/>
      </c>
    </row>
    <row r="77">
      <c r="A77" s="4" t="n"/>
      <c r="B77" s="4" t="n"/>
      <c r="C77" s="8" t="n"/>
      <c r="D77" s="8" t="n"/>
      <c r="E77" s="8">
        <f>SUMIFS(CB_Tributaires!$G:$G,CB_Tributaires!$F:$F,$A77)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IF(A77="","",IF(F77="","",2.78E-7*IF(G77&lt;&gt;"",G77,IFERROR(SUMIFS(CB_Tributaires!$H:$H,CB_Tributaires!$F:$F,$A77)/SUMIFS(CB_Tributaires!$G:$G,CB_Tributaires!$F:$F,$A77),Inputs!$B$17))*F77*I77))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7">
        <f>IF(AY77="","",CE77)</f>
        <v/>
      </c>
      <c r="AX77" s="7">
        <f>IF(OR(AY77="",AW77="",R77="",R77&lt;=0,AW77&lt;=0),"",AY77/((R77^2/8)*(2*ACOS(1-2*AW77/R77)-SIN(2*ACOS(1-2*AW77/R77)))))</f>
        <v/>
      </c>
      <c r="AY77" s="4">
        <f>IF(OR(L77="",AZ77=""),"",MIN(L77,AZ77))</f>
        <v/>
      </c>
      <c r="AZ77" s="4">
        <f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4">
        <f>IF(AY77="","",0.001*R77)</f>
        <v/>
      </c>
      <c r="BB77" s="4">
        <f>IF(AY77="","",0.94*R77)</f>
        <v/>
      </c>
      <c r="BC77" s="4">
        <f>IF(AY77="","",(BA77+BB77)/2)</f>
        <v/>
      </c>
      <c r="BD77" s="4">
        <f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4">
        <f>IF(AY77="","",IF(BD77&lt;AY77,BC77,BA77))</f>
        <v/>
      </c>
      <c r="BF77" s="4">
        <f>IF(AY77="","",IF(BD77&lt;AY77,BB77,BC77))</f>
        <v/>
      </c>
      <c r="BG77" s="4">
        <f>IF(AY77="","",(BE77+BF77)/2)</f>
        <v/>
      </c>
      <c r="BH77" s="4">
        <f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4">
        <f>IF(AY77="","",IF(BH77&lt;AY77,BG77,BE77))</f>
        <v/>
      </c>
      <c r="BJ77" s="4">
        <f>IF(AY77="","",IF(BH77&lt;AY77,BF77,BG77))</f>
        <v/>
      </c>
      <c r="BK77" s="4">
        <f>IF(AY77="","",(BI77+BJ77)/2)</f>
        <v/>
      </c>
      <c r="BL77" s="4">
        <f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4">
        <f>IF(AY77="","",IF(BL77&lt;AY77,BK77,BI77))</f>
        <v/>
      </c>
      <c r="BN77" s="4">
        <f>IF(AY77="","",IF(BL77&lt;AY77,BJ77,BK77))</f>
        <v/>
      </c>
      <c r="BO77" s="4">
        <f>IF(AY77="","",(BM77+BN77)/2)</f>
        <v/>
      </c>
      <c r="BP77" s="4">
        <f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4">
        <f>IF(AY77="","",IF(BP77&lt;AY77,BO77,BM77))</f>
        <v/>
      </c>
      <c r="BR77" s="4">
        <f>IF(AY77="","",IF(BP77&lt;AY77,BN77,BO77))</f>
        <v/>
      </c>
      <c r="BS77" s="4">
        <f>IF(AY77="","",(BQ77+BR77)/2)</f>
        <v/>
      </c>
      <c r="BT77" s="4">
        <f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4">
        <f>IF(AY77="","",IF(BT77&lt;AY77,BS77,BQ77))</f>
        <v/>
      </c>
      <c r="BV77" s="4">
        <f>IF(AY77="","",IF(BT77&lt;AY77,BR77,BS77))</f>
        <v/>
      </c>
      <c r="BW77" s="4">
        <f>IF(AY77="","",(BU77+BV77)/2)</f>
        <v/>
      </c>
      <c r="BX77" s="4">
        <f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4">
        <f>IF(AY77="","",IF(BX77&lt;AY77,BW77,BU77))</f>
        <v/>
      </c>
      <c r="BZ77" s="4">
        <f>IF(AY77="","",IF(BX77&lt;AY77,BV77,BW77))</f>
        <v/>
      </c>
      <c r="CA77" s="4">
        <f>IF(AY77="","",(BY77+BZ77)/2)</f>
        <v/>
      </c>
      <c r="CB77" s="4">
        <f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4">
        <f>IF(AY77="","",IF(CB77&lt;AY77,CA77,BY77))</f>
        <v/>
      </c>
      <c r="CD77" s="4">
        <f>IF(AY77="","",IF(CB77&lt;AY77,BZ77,CA77))</f>
        <v/>
      </c>
      <c r="CE77" s="4">
        <f>IF(AY77="","",(CC77+CD77)/2)</f>
        <v/>
      </c>
    </row>
    <row r="78">
      <c r="A78" s="4" t="n"/>
      <c r="B78" s="4" t="n"/>
      <c r="C78" s="8" t="n"/>
      <c r="D78" s="8" t="n"/>
      <c r="E78" s="8">
        <f>SUMIFS(CB_Tributaires!$G:$G,CB_Tributaires!$F:$F,$A78)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IF(A78="","",IF(F78="","",2.78E-7*IF(G78&lt;&gt;"",G78,IFERROR(SUMIFS(CB_Tributaires!$H:$H,CB_Tributaires!$F:$F,$A78)/SUMIFS(CB_Tributaires!$G:$G,CB_Tributaires!$F:$F,$A78),Inputs!$B$17))*F78*I78))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7">
        <f>IF(AY78="","",CE78)</f>
        <v/>
      </c>
      <c r="AX78" s="7">
        <f>IF(OR(AY78="",AW78="",R78="",R78&lt;=0,AW78&lt;=0),"",AY78/((R78^2/8)*(2*ACOS(1-2*AW78/R78)-SIN(2*ACOS(1-2*AW78/R78)))))</f>
        <v/>
      </c>
      <c r="AY78" s="4">
        <f>IF(OR(L78="",AZ78=""),"",MIN(L78,AZ78))</f>
        <v/>
      </c>
      <c r="AZ78" s="4">
        <f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4">
        <f>IF(AY78="","",0.001*R78)</f>
        <v/>
      </c>
      <c r="BB78" s="4">
        <f>IF(AY78="","",0.94*R78)</f>
        <v/>
      </c>
      <c r="BC78" s="4">
        <f>IF(AY78="","",(BA78+BB78)/2)</f>
        <v/>
      </c>
      <c r="BD78" s="4">
        <f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4">
        <f>IF(AY78="","",IF(BD78&lt;AY78,BC78,BA78))</f>
        <v/>
      </c>
      <c r="BF78" s="4">
        <f>IF(AY78="","",IF(BD78&lt;AY78,BB78,BC78))</f>
        <v/>
      </c>
      <c r="BG78" s="4">
        <f>IF(AY78="","",(BE78+BF78)/2)</f>
        <v/>
      </c>
      <c r="BH78" s="4">
        <f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4">
        <f>IF(AY78="","",IF(BH78&lt;AY78,BG78,BE78))</f>
        <v/>
      </c>
      <c r="BJ78" s="4">
        <f>IF(AY78="","",IF(BH78&lt;AY78,BF78,BG78))</f>
        <v/>
      </c>
      <c r="BK78" s="4">
        <f>IF(AY78="","",(BI78+BJ78)/2)</f>
        <v/>
      </c>
      <c r="BL78" s="4">
        <f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4">
        <f>IF(AY78="","",IF(BL78&lt;AY78,BK78,BI78))</f>
        <v/>
      </c>
      <c r="BN78" s="4">
        <f>IF(AY78="","",IF(BL78&lt;AY78,BJ78,BK78))</f>
        <v/>
      </c>
      <c r="BO78" s="4">
        <f>IF(AY78="","",(BM78+BN78)/2)</f>
        <v/>
      </c>
      <c r="BP78" s="4">
        <f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4">
        <f>IF(AY78="","",IF(BP78&lt;AY78,BO78,BM78))</f>
        <v/>
      </c>
      <c r="BR78" s="4">
        <f>IF(AY78="","",IF(BP78&lt;AY78,BN78,BO78))</f>
        <v/>
      </c>
      <c r="BS78" s="4">
        <f>IF(AY78="","",(BQ78+BR78)/2)</f>
        <v/>
      </c>
      <c r="BT78" s="4">
        <f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4">
        <f>IF(AY78="","",IF(BT78&lt;AY78,BS78,BQ78))</f>
        <v/>
      </c>
      <c r="BV78" s="4">
        <f>IF(AY78="","",IF(BT78&lt;AY78,BR78,BS78))</f>
        <v/>
      </c>
      <c r="BW78" s="4">
        <f>IF(AY78="","",(BU78+BV78)/2)</f>
        <v/>
      </c>
      <c r="BX78" s="4">
        <f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4">
        <f>IF(AY78="","",IF(BX78&lt;AY78,BW78,BU78))</f>
        <v/>
      </c>
      <c r="BZ78" s="4">
        <f>IF(AY78="","",IF(BX78&lt;AY78,BV78,BW78))</f>
        <v/>
      </c>
      <c r="CA78" s="4">
        <f>IF(AY78="","",(BY78+BZ78)/2)</f>
        <v/>
      </c>
      <c r="CB78" s="4">
        <f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4">
        <f>IF(AY78="","",IF(CB78&lt;AY78,CA78,BY78))</f>
        <v/>
      </c>
      <c r="CD78" s="4">
        <f>IF(AY78="","",IF(CB78&lt;AY78,BZ78,CA78))</f>
        <v/>
      </c>
      <c r="CE78" s="4">
        <f>IF(AY78="","",(CC78+CD78)/2)</f>
        <v/>
      </c>
    </row>
    <row r="79">
      <c r="A79" s="4" t="n"/>
      <c r="B79" s="4" t="n"/>
      <c r="C79" s="8" t="n"/>
      <c r="D79" s="8" t="n"/>
      <c r="E79" s="8">
        <f>SUMIFS(CB_Tributaires!$G:$G,CB_Tributaires!$F:$F,$A79)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IF(A79="","",IF(F79="","",2.78E-7*IF(G79&lt;&gt;"",G79,IFERROR(SUMIFS(CB_Tributaires!$H:$H,CB_Tributaires!$F:$F,$A79)/SUMIFS(CB_Tributaires!$G:$G,CB_Tributaires!$F:$F,$A79),Inputs!$B$17))*F79*I79))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7">
        <f>IF(AY79="","",CE79)</f>
        <v/>
      </c>
      <c r="AX79" s="7">
        <f>IF(OR(AY79="",AW79="",R79="",R79&lt;=0,AW79&lt;=0),"",AY79/((R79^2/8)*(2*ACOS(1-2*AW79/R79)-SIN(2*ACOS(1-2*AW79/R79)))))</f>
        <v/>
      </c>
      <c r="AY79" s="4">
        <f>IF(OR(L79="",AZ79=""),"",MIN(L79,AZ79))</f>
        <v/>
      </c>
      <c r="AZ79" s="4">
        <f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4">
        <f>IF(AY79="","",0.001*R79)</f>
        <v/>
      </c>
      <c r="BB79" s="4">
        <f>IF(AY79="","",0.94*R79)</f>
        <v/>
      </c>
      <c r="BC79" s="4">
        <f>IF(AY79="","",(BA79+BB79)/2)</f>
        <v/>
      </c>
      <c r="BD79" s="4">
        <f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4">
        <f>IF(AY79="","",IF(BD79&lt;AY79,BC79,BA79))</f>
        <v/>
      </c>
      <c r="BF79" s="4">
        <f>IF(AY79="","",IF(BD79&lt;AY79,BB79,BC79))</f>
        <v/>
      </c>
      <c r="BG79" s="4">
        <f>IF(AY79="","",(BE79+BF79)/2)</f>
        <v/>
      </c>
      <c r="BH79" s="4">
        <f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4">
        <f>IF(AY79="","",IF(BH79&lt;AY79,BG79,BE79))</f>
        <v/>
      </c>
      <c r="BJ79" s="4">
        <f>IF(AY79="","",IF(BH79&lt;AY79,BF79,BG79))</f>
        <v/>
      </c>
      <c r="BK79" s="4">
        <f>IF(AY79="","",(BI79+BJ79)/2)</f>
        <v/>
      </c>
      <c r="BL79" s="4">
        <f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4">
        <f>IF(AY79="","",IF(BL79&lt;AY79,BK79,BI79))</f>
        <v/>
      </c>
      <c r="BN79" s="4">
        <f>IF(AY79="","",IF(BL79&lt;AY79,BJ79,BK79))</f>
        <v/>
      </c>
      <c r="BO79" s="4">
        <f>IF(AY79="","",(BM79+BN79)/2)</f>
        <v/>
      </c>
      <c r="BP79" s="4">
        <f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4">
        <f>IF(AY79="","",IF(BP79&lt;AY79,BO79,BM79))</f>
        <v/>
      </c>
      <c r="BR79" s="4">
        <f>IF(AY79="","",IF(BP79&lt;AY79,BN79,BO79))</f>
        <v/>
      </c>
      <c r="BS79" s="4">
        <f>IF(AY79="","",(BQ79+BR79)/2)</f>
        <v/>
      </c>
      <c r="BT79" s="4">
        <f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4">
        <f>IF(AY79="","",IF(BT79&lt;AY79,BS79,BQ79))</f>
        <v/>
      </c>
      <c r="BV79" s="4">
        <f>IF(AY79="","",IF(BT79&lt;AY79,BR79,BS79))</f>
        <v/>
      </c>
      <c r="BW79" s="4">
        <f>IF(AY79="","",(BU79+BV79)/2)</f>
        <v/>
      </c>
      <c r="BX79" s="4">
        <f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4">
        <f>IF(AY79="","",IF(BX79&lt;AY79,BW79,BU79))</f>
        <v/>
      </c>
      <c r="BZ79" s="4">
        <f>IF(AY79="","",IF(BX79&lt;AY79,BV79,BW79))</f>
        <v/>
      </c>
      <c r="CA79" s="4">
        <f>IF(AY79="","",(BY79+BZ79)/2)</f>
        <v/>
      </c>
      <c r="CB79" s="4">
        <f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4">
        <f>IF(AY79="","",IF(CB79&lt;AY79,CA79,BY79))</f>
        <v/>
      </c>
      <c r="CD79" s="4">
        <f>IF(AY79="","",IF(CB79&lt;AY79,BZ79,CA79))</f>
        <v/>
      </c>
      <c r="CE79" s="4">
        <f>IF(AY79="","",(CC79+CD79)/2)</f>
        <v/>
      </c>
    </row>
    <row r="80">
      <c r="A80" s="4" t="n"/>
      <c r="B80" s="4" t="n"/>
      <c r="C80" s="8" t="n"/>
      <c r="D80" s="8" t="n"/>
      <c r="E80" s="8">
        <f>SUMIFS(CB_Tributaires!$G:$G,CB_Tributaires!$F:$F,$A80)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IF(A80="","",IF(F80="","",2.78E-7*IF(G80&lt;&gt;"",G80,IFERROR(SUMIFS(CB_Tributaires!$H:$H,CB_Tributaires!$F:$F,$A80)/SUMIFS(CB_Tributaires!$G:$G,CB_Tributaires!$F:$F,$A80),Inputs!$B$17))*F80*I80))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7">
        <f>IF(AY80="","",CE80)</f>
        <v/>
      </c>
      <c r="AX80" s="7">
        <f>IF(OR(AY80="",AW80="",R80="",R80&lt;=0,AW80&lt;=0),"",AY80/((R80^2/8)*(2*ACOS(1-2*AW80/R80)-SIN(2*ACOS(1-2*AW80/R80)))))</f>
        <v/>
      </c>
      <c r="AY80" s="4">
        <f>IF(OR(L80="",AZ80=""),"",MIN(L80,AZ80))</f>
        <v/>
      </c>
      <c r="AZ80" s="4">
        <f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4">
        <f>IF(AY80="","",0.001*R80)</f>
        <v/>
      </c>
      <c r="BB80" s="4">
        <f>IF(AY80="","",0.94*R80)</f>
        <v/>
      </c>
      <c r="BC80" s="4">
        <f>IF(AY80="","",(BA80+BB80)/2)</f>
        <v/>
      </c>
      <c r="BD80" s="4">
        <f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4">
        <f>IF(AY80="","",IF(BD80&lt;AY80,BC80,BA80))</f>
        <v/>
      </c>
      <c r="BF80" s="4">
        <f>IF(AY80="","",IF(BD80&lt;AY80,BB80,BC80))</f>
        <v/>
      </c>
      <c r="BG80" s="4">
        <f>IF(AY80="","",(BE80+BF80)/2)</f>
        <v/>
      </c>
      <c r="BH80" s="4">
        <f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4">
        <f>IF(AY80="","",IF(BH80&lt;AY80,BG80,BE80))</f>
        <v/>
      </c>
      <c r="BJ80" s="4">
        <f>IF(AY80="","",IF(BH80&lt;AY80,BF80,BG80))</f>
        <v/>
      </c>
      <c r="BK80" s="4">
        <f>IF(AY80="","",(BI80+BJ80)/2)</f>
        <v/>
      </c>
      <c r="BL80" s="4">
        <f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4">
        <f>IF(AY80="","",IF(BL80&lt;AY80,BK80,BI80))</f>
        <v/>
      </c>
      <c r="BN80" s="4">
        <f>IF(AY80="","",IF(BL80&lt;AY80,BJ80,BK80))</f>
        <v/>
      </c>
      <c r="BO80" s="4">
        <f>IF(AY80="","",(BM80+BN80)/2)</f>
        <v/>
      </c>
      <c r="BP80" s="4">
        <f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4">
        <f>IF(AY80="","",IF(BP80&lt;AY80,BO80,BM80))</f>
        <v/>
      </c>
      <c r="BR80" s="4">
        <f>IF(AY80="","",IF(BP80&lt;AY80,BN80,BO80))</f>
        <v/>
      </c>
      <c r="BS80" s="4">
        <f>IF(AY80="","",(BQ80+BR80)/2)</f>
        <v/>
      </c>
      <c r="BT80" s="4">
        <f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4">
        <f>IF(AY80="","",IF(BT80&lt;AY80,BS80,BQ80))</f>
        <v/>
      </c>
      <c r="BV80" s="4">
        <f>IF(AY80="","",IF(BT80&lt;AY80,BR80,BS80))</f>
        <v/>
      </c>
      <c r="BW80" s="4">
        <f>IF(AY80="","",(BU80+BV80)/2)</f>
        <v/>
      </c>
      <c r="BX80" s="4">
        <f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4">
        <f>IF(AY80="","",IF(BX80&lt;AY80,BW80,BU80))</f>
        <v/>
      </c>
      <c r="BZ80" s="4">
        <f>IF(AY80="","",IF(BX80&lt;AY80,BV80,BW80))</f>
        <v/>
      </c>
      <c r="CA80" s="4">
        <f>IF(AY80="","",(BY80+BZ80)/2)</f>
        <v/>
      </c>
      <c r="CB80" s="4">
        <f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4">
        <f>IF(AY80="","",IF(CB80&lt;AY80,CA80,BY80))</f>
        <v/>
      </c>
      <c r="CD80" s="4">
        <f>IF(AY80="","",IF(CB80&lt;AY80,BZ80,CA80))</f>
        <v/>
      </c>
      <c r="CE80" s="4">
        <f>IF(AY80="","",(CC80+CD80)/2)</f>
        <v/>
      </c>
    </row>
    <row r="81">
      <c r="A81" s="4" t="n"/>
      <c r="B81" s="4" t="n"/>
      <c r="C81" s="8" t="n"/>
      <c r="D81" s="8" t="n"/>
      <c r="E81" s="8">
        <f>SUMIFS(CB_Tributaires!$G:$G,CB_Tributaires!$F:$F,$A81)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IF(A81="","",IF(F81="","",2.78E-7*IF(G81&lt;&gt;"",G81,IFERROR(SUMIFS(CB_Tributaires!$H:$H,CB_Tributaires!$F:$F,$A81)/SUMIFS(CB_Tributaires!$G:$G,CB_Tributaires!$F:$F,$A81),Inputs!$B$17))*F81*I81))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7">
        <f>IF(AY81="","",CE81)</f>
        <v/>
      </c>
      <c r="AX81" s="7">
        <f>IF(OR(AY81="",AW81="",R81="",R81&lt;=0,AW81&lt;=0),"",AY81/((R81^2/8)*(2*ACOS(1-2*AW81/R81)-SIN(2*ACOS(1-2*AW81/R81)))))</f>
        <v/>
      </c>
      <c r="AY81" s="4">
        <f>IF(OR(L81="",AZ81=""),"",MIN(L81,AZ81))</f>
        <v/>
      </c>
      <c r="AZ81" s="4">
        <f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4">
        <f>IF(AY81="","",0.001*R81)</f>
        <v/>
      </c>
      <c r="BB81" s="4">
        <f>IF(AY81="","",0.94*R81)</f>
        <v/>
      </c>
      <c r="BC81" s="4">
        <f>IF(AY81="","",(BA81+BB81)/2)</f>
        <v/>
      </c>
      <c r="BD81" s="4">
        <f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4">
        <f>IF(AY81="","",IF(BD81&lt;AY81,BC81,BA81))</f>
        <v/>
      </c>
      <c r="BF81" s="4">
        <f>IF(AY81="","",IF(BD81&lt;AY81,BB81,BC81))</f>
        <v/>
      </c>
      <c r="BG81" s="4">
        <f>IF(AY81="","",(BE81+BF81)/2)</f>
        <v/>
      </c>
      <c r="BH81" s="4">
        <f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4">
        <f>IF(AY81="","",IF(BH81&lt;AY81,BG81,BE81))</f>
        <v/>
      </c>
      <c r="BJ81" s="4">
        <f>IF(AY81="","",IF(BH81&lt;AY81,BF81,BG81))</f>
        <v/>
      </c>
      <c r="BK81" s="4">
        <f>IF(AY81="","",(BI81+BJ81)/2)</f>
        <v/>
      </c>
      <c r="BL81" s="4">
        <f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4">
        <f>IF(AY81="","",IF(BL81&lt;AY81,BK81,BI81))</f>
        <v/>
      </c>
      <c r="BN81" s="4">
        <f>IF(AY81="","",IF(BL81&lt;AY81,BJ81,BK81))</f>
        <v/>
      </c>
      <c r="BO81" s="4">
        <f>IF(AY81="","",(BM81+BN81)/2)</f>
        <v/>
      </c>
      <c r="BP81" s="4">
        <f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4">
        <f>IF(AY81="","",IF(BP81&lt;AY81,BO81,BM81))</f>
        <v/>
      </c>
      <c r="BR81" s="4">
        <f>IF(AY81="","",IF(BP81&lt;AY81,BN81,BO81))</f>
        <v/>
      </c>
      <c r="BS81" s="4">
        <f>IF(AY81="","",(BQ81+BR81)/2)</f>
        <v/>
      </c>
      <c r="BT81" s="4">
        <f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4">
        <f>IF(AY81="","",IF(BT81&lt;AY81,BS81,BQ81))</f>
        <v/>
      </c>
      <c r="BV81" s="4">
        <f>IF(AY81="","",IF(BT81&lt;AY81,BR81,BS81))</f>
        <v/>
      </c>
      <c r="BW81" s="4">
        <f>IF(AY81="","",(BU81+BV81)/2)</f>
        <v/>
      </c>
      <c r="BX81" s="4">
        <f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4">
        <f>IF(AY81="","",IF(BX81&lt;AY81,BW81,BU81))</f>
        <v/>
      </c>
      <c r="BZ81" s="4">
        <f>IF(AY81="","",IF(BX81&lt;AY81,BV81,BW81))</f>
        <v/>
      </c>
      <c r="CA81" s="4">
        <f>IF(AY81="","",(BY81+BZ81)/2)</f>
        <v/>
      </c>
      <c r="CB81" s="4">
        <f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4">
        <f>IF(AY81="","",IF(CB81&lt;AY81,CA81,BY81))</f>
        <v/>
      </c>
      <c r="CD81" s="4">
        <f>IF(AY81="","",IF(CB81&lt;AY81,BZ81,CA81))</f>
        <v/>
      </c>
      <c r="CE81" s="4">
        <f>IF(AY81="","",(CC81+CD81)/2)</f>
        <v/>
      </c>
    </row>
    <row r="82">
      <c r="A82" s="4" t="n"/>
      <c r="B82" s="4" t="n"/>
      <c r="C82" s="8" t="n"/>
      <c r="D82" s="8" t="n"/>
      <c r="E82" s="8">
        <f>SUMIFS(CB_Tributaires!$G:$G,CB_Tributaires!$F:$F,$A82)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IF(A82="","",IF(F82="","",2.78E-7*IF(G82&lt;&gt;"",G82,IFERROR(SUMIFS(CB_Tributaires!$H:$H,CB_Tributaires!$F:$F,$A82)/SUMIFS(CB_Tributaires!$G:$G,CB_Tributaires!$F:$F,$A82),Inputs!$B$17))*F82*I82))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7">
        <f>IF(AY82="","",CE82)</f>
        <v/>
      </c>
      <c r="AX82" s="7">
        <f>IF(OR(AY82="",AW82="",R82="",R82&lt;=0,AW82&lt;=0),"",AY82/((R82^2/8)*(2*ACOS(1-2*AW82/R82)-SIN(2*ACOS(1-2*AW82/R82)))))</f>
        <v/>
      </c>
      <c r="AY82" s="4">
        <f>IF(OR(L82="",AZ82=""),"",MIN(L82,AZ82))</f>
        <v/>
      </c>
      <c r="AZ82" s="4">
        <f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4">
        <f>IF(AY82="","",0.001*R82)</f>
        <v/>
      </c>
      <c r="BB82" s="4">
        <f>IF(AY82="","",0.94*R82)</f>
        <v/>
      </c>
      <c r="BC82" s="4">
        <f>IF(AY82="","",(BA82+BB82)/2)</f>
        <v/>
      </c>
      <c r="BD82" s="4">
        <f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4">
        <f>IF(AY82="","",IF(BD82&lt;AY82,BC82,BA82))</f>
        <v/>
      </c>
      <c r="BF82" s="4">
        <f>IF(AY82="","",IF(BD82&lt;AY82,BB82,BC82))</f>
        <v/>
      </c>
      <c r="BG82" s="4">
        <f>IF(AY82="","",(BE82+BF82)/2)</f>
        <v/>
      </c>
      <c r="BH82" s="4">
        <f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4">
        <f>IF(AY82="","",IF(BH82&lt;AY82,BG82,BE82))</f>
        <v/>
      </c>
      <c r="BJ82" s="4">
        <f>IF(AY82="","",IF(BH82&lt;AY82,BF82,BG82))</f>
        <v/>
      </c>
      <c r="BK82" s="4">
        <f>IF(AY82="","",(BI82+BJ82)/2)</f>
        <v/>
      </c>
      <c r="BL82" s="4">
        <f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4">
        <f>IF(AY82="","",IF(BL82&lt;AY82,BK82,BI82))</f>
        <v/>
      </c>
      <c r="BN82" s="4">
        <f>IF(AY82="","",IF(BL82&lt;AY82,BJ82,BK82))</f>
        <v/>
      </c>
      <c r="BO82" s="4">
        <f>IF(AY82="","",(BM82+BN82)/2)</f>
        <v/>
      </c>
      <c r="BP82" s="4">
        <f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4">
        <f>IF(AY82="","",IF(BP82&lt;AY82,BO82,BM82))</f>
        <v/>
      </c>
      <c r="BR82" s="4">
        <f>IF(AY82="","",IF(BP82&lt;AY82,BN82,BO82))</f>
        <v/>
      </c>
      <c r="BS82" s="4">
        <f>IF(AY82="","",(BQ82+BR82)/2)</f>
        <v/>
      </c>
      <c r="BT82" s="4">
        <f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4">
        <f>IF(AY82="","",IF(BT82&lt;AY82,BS82,BQ82))</f>
        <v/>
      </c>
      <c r="BV82" s="4">
        <f>IF(AY82="","",IF(BT82&lt;AY82,BR82,BS82))</f>
        <v/>
      </c>
      <c r="BW82" s="4">
        <f>IF(AY82="","",(BU82+BV82)/2)</f>
        <v/>
      </c>
      <c r="BX82" s="4">
        <f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4">
        <f>IF(AY82="","",IF(BX82&lt;AY82,BW82,BU82))</f>
        <v/>
      </c>
      <c r="BZ82" s="4">
        <f>IF(AY82="","",IF(BX82&lt;AY82,BV82,BW82))</f>
        <v/>
      </c>
      <c r="CA82" s="4">
        <f>IF(AY82="","",(BY82+BZ82)/2)</f>
        <v/>
      </c>
      <c r="CB82" s="4">
        <f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4">
        <f>IF(AY82="","",IF(CB82&lt;AY82,CA82,BY82))</f>
        <v/>
      </c>
      <c r="CD82" s="4">
        <f>IF(AY82="","",IF(CB82&lt;AY82,BZ82,CA82))</f>
        <v/>
      </c>
      <c r="CE82" s="4">
        <f>IF(AY82="","",(CC82+CD82)/2)</f>
        <v/>
      </c>
    </row>
    <row r="83">
      <c r="A83" s="4" t="n"/>
      <c r="B83" s="4" t="n"/>
      <c r="C83" s="8" t="n"/>
      <c r="D83" s="8" t="n"/>
      <c r="E83" s="8">
        <f>SUMIFS(CB_Tributaires!$G:$G,CB_Tributaires!$F:$F,$A83)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IF(A83="","",IF(F83="","",2.78E-7*IF(G83&lt;&gt;"",G83,IFERROR(SUMIFS(CB_Tributaires!$H:$H,CB_Tributaires!$F:$F,$A83)/SUMIFS(CB_Tributaires!$G:$G,CB_Tributaires!$F:$F,$A83),Inputs!$B$17))*F83*I83))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7">
        <f>IF(AY83="","",CE83)</f>
        <v/>
      </c>
      <c r="AX83" s="7">
        <f>IF(OR(AY83="",AW83="",R83="",R83&lt;=0,AW83&lt;=0),"",AY83/((R83^2/8)*(2*ACOS(1-2*AW83/R83)-SIN(2*ACOS(1-2*AW83/R83)))))</f>
        <v/>
      </c>
      <c r="AY83" s="4">
        <f>IF(OR(L83="",AZ83=""),"",MIN(L83,AZ83))</f>
        <v/>
      </c>
      <c r="AZ83" s="4">
        <f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4">
        <f>IF(AY83="","",0.001*R83)</f>
        <v/>
      </c>
      <c r="BB83" s="4">
        <f>IF(AY83="","",0.94*R83)</f>
        <v/>
      </c>
      <c r="BC83" s="4">
        <f>IF(AY83="","",(BA83+BB83)/2)</f>
        <v/>
      </c>
      <c r="BD83" s="4">
        <f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4">
        <f>IF(AY83="","",IF(BD83&lt;AY83,BC83,BA83))</f>
        <v/>
      </c>
      <c r="BF83" s="4">
        <f>IF(AY83="","",IF(BD83&lt;AY83,BB83,BC83))</f>
        <v/>
      </c>
      <c r="BG83" s="4">
        <f>IF(AY83="","",(BE83+BF83)/2)</f>
        <v/>
      </c>
      <c r="BH83" s="4">
        <f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4">
        <f>IF(AY83="","",IF(BH83&lt;AY83,BG83,BE83))</f>
        <v/>
      </c>
      <c r="BJ83" s="4">
        <f>IF(AY83="","",IF(BH83&lt;AY83,BF83,BG83))</f>
        <v/>
      </c>
      <c r="BK83" s="4">
        <f>IF(AY83="","",(BI83+BJ83)/2)</f>
        <v/>
      </c>
      <c r="BL83" s="4">
        <f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4">
        <f>IF(AY83="","",IF(BL83&lt;AY83,BK83,BI83))</f>
        <v/>
      </c>
      <c r="BN83" s="4">
        <f>IF(AY83="","",IF(BL83&lt;AY83,BJ83,BK83))</f>
        <v/>
      </c>
      <c r="BO83" s="4">
        <f>IF(AY83="","",(BM83+BN83)/2)</f>
        <v/>
      </c>
      <c r="BP83" s="4">
        <f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4">
        <f>IF(AY83="","",IF(BP83&lt;AY83,BO83,BM83))</f>
        <v/>
      </c>
      <c r="BR83" s="4">
        <f>IF(AY83="","",IF(BP83&lt;AY83,BN83,BO83))</f>
        <v/>
      </c>
      <c r="BS83" s="4">
        <f>IF(AY83="","",(BQ83+BR83)/2)</f>
        <v/>
      </c>
      <c r="BT83" s="4">
        <f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4">
        <f>IF(AY83="","",IF(BT83&lt;AY83,BS83,BQ83))</f>
        <v/>
      </c>
      <c r="BV83" s="4">
        <f>IF(AY83="","",IF(BT83&lt;AY83,BR83,BS83))</f>
        <v/>
      </c>
      <c r="BW83" s="4">
        <f>IF(AY83="","",(BU83+BV83)/2)</f>
        <v/>
      </c>
      <c r="BX83" s="4">
        <f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4">
        <f>IF(AY83="","",IF(BX83&lt;AY83,BW83,BU83))</f>
        <v/>
      </c>
      <c r="BZ83" s="4">
        <f>IF(AY83="","",IF(BX83&lt;AY83,BV83,BW83))</f>
        <v/>
      </c>
      <c r="CA83" s="4">
        <f>IF(AY83="","",(BY83+BZ83)/2)</f>
        <v/>
      </c>
      <c r="CB83" s="4">
        <f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4">
        <f>IF(AY83="","",IF(CB83&lt;AY83,CA83,BY83))</f>
        <v/>
      </c>
      <c r="CD83" s="4">
        <f>IF(AY83="","",IF(CB83&lt;AY83,BZ83,CA83))</f>
        <v/>
      </c>
      <c r="CE83" s="4">
        <f>IF(AY83="","",(CC83+CD83)/2)</f>
        <v/>
      </c>
    </row>
    <row r="84">
      <c r="A84" s="4" t="n"/>
      <c r="B84" s="4" t="n"/>
      <c r="C84" s="8" t="n"/>
      <c r="D84" s="8" t="n"/>
      <c r="E84" s="8">
        <f>SUMIFS(CB_Tributaires!$G:$G,CB_Tributaires!$F:$F,$A84)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IF(A84="","",IF(F84="","",2.78E-7*IF(G84&lt;&gt;"",G84,IFERROR(SUMIFS(CB_Tributaires!$H:$H,CB_Tributaires!$F:$F,$A84)/SUMIFS(CB_Tributaires!$G:$G,CB_Tributaires!$F:$F,$A84),Inputs!$B$17))*F84*I84))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7">
        <f>IF(AY84="","",CE84)</f>
        <v/>
      </c>
      <c r="AX84" s="7">
        <f>IF(OR(AY84="",AW84="",R84="",R84&lt;=0,AW84&lt;=0),"",AY84/((R84^2/8)*(2*ACOS(1-2*AW84/R84)-SIN(2*ACOS(1-2*AW84/R84)))))</f>
        <v/>
      </c>
      <c r="AY84" s="4">
        <f>IF(OR(L84="",AZ84=""),"",MIN(L84,AZ84))</f>
        <v/>
      </c>
      <c r="AZ84" s="4">
        <f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4">
        <f>IF(AY84="","",0.001*R84)</f>
        <v/>
      </c>
      <c r="BB84" s="4">
        <f>IF(AY84="","",0.94*R84)</f>
        <v/>
      </c>
      <c r="BC84" s="4">
        <f>IF(AY84="","",(BA84+BB84)/2)</f>
        <v/>
      </c>
      <c r="BD84" s="4">
        <f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4">
        <f>IF(AY84="","",IF(BD84&lt;AY84,BC84,BA84))</f>
        <v/>
      </c>
      <c r="BF84" s="4">
        <f>IF(AY84="","",IF(BD84&lt;AY84,BB84,BC84))</f>
        <v/>
      </c>
      <c r="BG84" s="4">
        <f>IF(AY84="","",(BE84+BF84)/2)</f>
        <v/>
      </c>
      <c r="BH84" s="4">
        <f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4">
        <f>IF(AY84="","",IF(BH84&lt;AY84,BG84,BE84))</f>
        <v/>
      </c>
      <c r="BJ84" s="4">
        <f>IF(AY84="","",IF(BH84&lt;AY84,BF84,BG84))</f>
        <v/>
      </c>
      <c r="BK84" s="4">
        <f>IF(AY84="","",(BI84+BJ84)/2)</f>
        <v/>
      </c>
      <c r="BL84" s="4">
        <f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4">
        <f>IF(AY84="","",IF(BL84&lt;AY84,BK84,BI84))</f>
        <v/>
      </c>
      <c r="BN84" s="4">
        <f>IF(AY84="","",IF(BL84&lt;AY84,BJ84,BK84))</f>
        <v/>
      </c>
      <c r="BO84" s="4">
        <f>IF(AY84="","",(BM84+BN84)/2)</f>
        <v/>
      </c>
      <c r="BP84" s="4">
        <f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4">
        <f>IF(AY84="","",IF(BP84&lt;AY84,BO84,BM84))</f>
        <v/>
      </c>
      <c r="BR84" s="4">
        <f>IF(AY84="","",IF(BP84&lt;AY84,BN84,BO84))</f>
        <v/>
      </c>
      <c r="BS84" s="4">
        <f>IF(AY84="","",(BQ84+BR84)/2)</f>
        <v/>
      </c>
      <c r="BT84" s="4">
        <f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4">
        <f>IF(AY84="","",IF(BT84&lt;AY84,BS84,BQ84))</f>
        <v/>
      </c>
      <c r="BV84" s="4">
        <f>IF(AY84="","",IF(BT84&lt;AY84,BR84,BS84))</f>
        <v/>
      </c>
      <c r="BW84" s="4">
        <f>IF(AY84="","",(BU84+BV84)/2)</f>
        <v/>
      </c>
      <c r="BX84" s="4">
        <f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4">
        <f>IF(AY84="","",IF(BX84&lt;AY84,BW84,BU84))</f>
        <v/>
      </c>
      <c r="BZ84" s="4">
        <f>IF(AY84="","",IF(BX84&lt;AY84,BV84,BW84))</f>
        <v/>
      </c>
      <c r="CA84" s="4">
        <f>IF(AY84="","",(BY84+BZ84)/2)</f>
        <v/>
      </c>
      <c r="CB84" s="4">
        <f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4">
        <f>IF(AY84="","",IF(CB84&lt;AY84,CA84,BY84))</f>
        <v/>
      </c>
      <c r="CD84" s="4">
        <f>IF(AY84="","",IF(CB84&lt;AY84,BZ84,CA84))</f>
        <v/>
      </c>
      <c r="CE84" s="4">
        <f>IF(AY84="","",(CC84+CD84)/2)</f>
        <v/>
      </c>
    </row>
    <row r="85">
      <c r="A85" s="4" t="n"/>
      <c r="B85" s="4" t="n"/>
      <c r="C85" s="8" t="n"/>
      <c r="D85" s="8" t="n"/>
      <c r="E85" s="8">
        <f>SUMIFS(CB_Tributaires!$G:$G,CB_Tributaires!$F:$F,$A85)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IF(A85="","",IF(F85="","",2.78E-7*IF(G85&lt;&gt;"",G85,IFERROR(SUMIFS(CB_Tributaires!$H:$H,CB_Tributaires!$F:$F,$A85)/SUMIFS(CB_Tributaires!$G:$G,CB_Tributaires!$F:$F,$A85),Inputs!$B$17))*F85*I85))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7">
        <f>IF(AY85="","",CE85)</f>
        <v/>
      </c>
      <c r="AX85" s="7">
        <f>IF(OR(AY85="",AW85="",R85="",R85&lt;=0,AW85&lt;=0),"",AY85/((R85^2/8)*(2*ACOS(1-2*AW85/R85)-SIN(2*ACOS(1-2*AW85/R85)))))</f>
        <v/>
      </c>
      <c r="AY85" s="4">
        <f>IF(OR(L85="",AZ85=""),"",MIN(L85,AZ85))</f>
        <v/>
      </c>
      <c r="AZ85" s="4">
        <f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4">
        <f>IF(AY85="","",0.001*R85)</f>
        <v/>
      </c>
      <c r="BB85" s="4">
        <f>IF(AY85="","",0.94*R85)</f>
        <v/>
      </c>
      <c r="BC85" s="4">
        <f>IF(AY85="","",(BA85+BB85)/2)</f>
        <v/>
      </c>
      <c r="BD85" s="4">
        <f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4">
        <f>IF(AY85="","",IF(BD85&lt;AY85,BC85,BA85))</f>
        <v/>
      </c>
      <c r="BF85" s="4">
        <f>IF(AY85="","",IF(BD85&lt;AY85,BB85,BC85))</f>
        <v/>
      </c>
      <c r="BG85" s="4">
        <f>IF(AY85="","",(BE85+BF85)/2)</f>
        <v/>
      </c>
      <c r="BH85" s="4">
        <f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4">
        <f>IF(AY85="","",IF(BH85&lt;AY85,BG85,BE85))</f>
        <v/>
      </c>
      <c r="BJ85" s="4">
        <f>IF(AY85="","",IF(BH85&lt;AY85,BF85,BG85))</f>
        <v/>
      </c>
      <c r="BK85" s="4">
        <f>IF(AY85="","",(BI85+BJ85)/2)</f>
        <v/>
      </c>
      <c r="BL85" s="4">
        <f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4">
        <f>IF(AY85="","",IF(BL85&lt;AY85,BK85,BI85))</f>
        <v/>
      </c>
      <c r="BN85" s="4">
        <f>IF(AY85="","",IF(BL85&lt;AY85,BJ85,BK85))</f>
        <v/>
      </c>
      <c r="BO85" s="4">
        <f>IF(AY85="","",(BM85+BN85)/2)</f>
        <v/>
      </c>
      <c r="BP85" s="4">
        <f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4">
        <f>IF(AY85="","",IF(BP85&lt;AY85,BO85,BM85))</f>
        <v/>
      </c>
      <c r="BR85" s="4">
        <f>IF(AY85="","",IF(BP85&lt;AY85,BN85,BO85))</f>
        <v/>
      </c>
      <c r="BS85" s="4">
        <f>IF(AY85="","",(BQ85+BR85)/2)</f>
        <v/>
      </c>
      <c r="BT85" s="4">
        <f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4">
        <f>IF(AY85="","",IF(BT85&lt;AY85,BS85,BQ85))</f>
        <v/>
      </c>
      <c r="BV85" s="4">
        <f>IF(AY85="","",IF(BT85&lt;AY85,BR85,BS85))</f>
        <v/>
      </c>
      <c r="BW85" s="4">
        <f>IF(AY85="","",(BU85+BV85)/2)</f>
        <v/>
      </c>
      <c r="BX85" s="4">
        <f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4">
        <f>IF(AY85="","",IF(BX85&lt;AY85,BW85,BU85))</f>
        <v/>
      </c>
      <c r="BZ85" s="4">
        <f>IF(AY85="","",IF(BX85&lt;AY85,BV85,BW85))</f>
        <v/>
      </c>
      <c r="CA85" s="4">
        <f>IF(AY85="","",(BY85+BZ85)/2)</f>
        <v/>
      </c>
      <c r="CB85" s="4">
        <f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4">
        <f>IF(AY85="","",IF(CB85&lt;AY85,CA85,BY85))</f>
        <v/>
      </c>
      <c r="CD85" s="4">
        <f>IF(AY85="","",IF(CB85&lt;AY85,BZ85,CA85))</f>
        <v/>
      </c>
      <c r="CE85" s="4">
        <f>IF(AY85="","",(CC85+CD85)/2)</f>
        <v/>
      </c>
    </row>
    <row r="86">
      <c r="A86" s="4" t="n"/>
      <c r="B86" s="4" t="n"/>
      <c r="C86" s="8" t="n"/>
      <c r="D86" s="8" t="n"/>
      <c r="E86" s="8">
        <f>SUMIFS(CB_Tributaires!$G:$G,CB_Tributaires!$F:$F,$A86)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IF(A86="","",IF(F86="","",2.78E-7*IF(G86&lt;&gt;"",G86,IFERROR(SUMIFS(CB_Tributaires!$H:$H,CB_Tributaires!$F:$F,$A86)/SUMIFS(CB_Tributaires!$G:$G,CB_Tributaires!$F:$F,$A86),Inputs!$B$17))*F86*I86))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7">
        <f>IF(AY86="","",CE86)</f>
        <v/>
      </c>
      <c r="AX86" s="7">
        <f>IF(OR(AY86="",AW86="",R86="",R86&lt;=0,AW86&lt;=0),"",AY86/((R86^2/8)*(2*ACOS(1-2*AW86/R86)-SIN(2*ACOS(1-2*AW86/R86)))))</f>
        <v/>
      </c>
      <c r="AY86" s="4">
        <f>IF(OR(L86="",AZ86=""),"",MIN(L86,AZ86))</f>
        <v/>
      </c>
      <c r="AZ86" s="4">
        <f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4">
        <f>IF(AY86="","",0.001*R86)</f>
        <v/>
      </c>
      <c r="BB86" s="4">
        <f>IF(AY86="","",0.94*R86)</f>
        <v/>
      </c>
      <c r="BC86" s="4">
        <f>IF(AY86="","",(BA86+BB86)/2)</f>
        <v/>
      </c>
      <c r="BD86" s="4">
        <f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4">
        <f>IF(AY86="","",IF(BD86&lt;AY86,BC86,BA86))</f>
        <v/>
      </c>
      <c r="BF86" s="4">
        <f>IF(AY86="","",IF(BD86&lt;AY86,BB86,BC86))</f>
        <v/>
      </c>
      <c r="BG86" s="4">
        <f>IF(AY86="","",(BE86+BF86)/2)</f>
        <v/>
      </c>
      <c r="BH86" s="4">
        <f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4">
        <f>IF(AY86="","",IF(BH86&lt;AY86,BG86,BE86))</f>
        <v/>
      </c>
      <c r="BJ86" s="4">
        <f>IF(AY86="","",IF(BH86&lt;AY86,BF86,BG86))</f>
        <v/>
      </c>
      <c r="BK86" s="4">
        <f>IF(AY86="","",(BI86+BJ86)/2)</f>
        <v/>
      </c>
      <c r="BL86" s="4">
        <f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4">
        <f>IF(AY86="","",IF(BL86&lt;AY86,BK86,BI86))</f>
        <v/>
      </c>
      <c r="BN86" s="4">
        <f>IF(AY86="","",IF(BL86&lt;AY86,BJ86,BK86))</f>
        <v/>
      </c>
      <c r="BO86" s="4">
        <f>IF(AY86="","",(BM86+BN86)/2)</f>
        <v/>
      </c>
      <c r="BP86" s="4">
        <f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4">
        <f>IF(AY86="","",IF(BP86&lt;AY86,BO86,BM86))</f>
        <v/>
      </c>
      <c r="BR86" s="4">
        <f>IF(AY86="","",IF(BP86&lt;AY86,BN86,BO86))</f>
        <v/>
      </c>
      <c r="BS86" s="4">
        <f>IF(AY86="","",(BQ86+BR86)/2)</f>
        <v/>
      </c>
      <c r="BT86" s="4">
        <f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4">
        <f>IF(AY86="","",IF(BT86&lt;AY86,BS86,BQ86))</f>
        <v/>
      </c>
      <c r="BV86" s="4">
        <f>IF(AY86="","",IF(BT86&lt;AY86,BR86,BS86))</f>
        <v/>
      </c>
      <c r="BW86" s="4">
        <f>IF(AY86="","",(BU86+BV86)/2)</f>
        <v/>
      </c>
      <c r="BX86" s="4">
        <f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4">
        <f>IF(AY86="","",IF(BX86&lt;AY86,BW86,BU86))</f>
        <v/>
      </c>
      <c r="BZ86" s="4">
        <f>IF(AY86="","",IF(BX86&lt;AY86,BV86,BW86))</f>
        <v/>
      </c>
      <c r="CA86" s="4">
        <f>IF(AY86="","",(BY86+BZ86)/2)</f>
        <v/>
      </c>
      <c r="CB86" s="4">
        <f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4">
        <f>IF(AY86="","",IF(CB86&lt;AY86,CA86,BY86))</f>
        <v/>
      </c>
      <c r="CD86" s="4">
        <f>IF(AY86="","",IF(CB86&lt;AY86,BZ86,CA86))</f>
        <v/>
      </c>
      <c r="CE86" s="4">
        <f>IF(AY86="","",(CC86+CD86)/2)</f>
        <v/>
      </c>
    </row>
    <row r="87">
      <c r="A87" s="4" t="n"/>
      <c r="B87" s="4" t="n"/>
      <c r="C87" s="8" t="n"/>
      <c r="D87" s="8" t="n"/>
      <c r="E87" s="8">
        <f>SUMIFS(CB_Tributaires!$G:$G,CB_Tributaires!$F:$F,$A87)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IF(A87="","",IF(F87="","",2.78E-7*IF(G87&lt;&gt;"",G87,IFERROR(SUMIFS(CB_Tributaires!$H:$H,CB_Tributaires!$F:$F,$A87)/SUMIFS(CB_Tributaires!$G:$G,CB_Tributaires!$F:$F,$A87),Inputs!$B$17))*F87*I87))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7">
        <f>IF(AY87="","",CE87)</f>
        <v/>
      </c>
      <c r="AX87" s="7">
        <f>IF(OR(AY87="",AW87="",R87="",R87&lt;=0,AW87&lt;=0),"",AY87/((R87^2/8)*(2*ACOS(1-2*AW87/R87)-SIN(2*ACOS(1-2*AW87/R87)))))</f>
        <v/>
      </c>
      <c r="AY87" s="4">
        <f>IF(OR(L87="",AZ87=""),"",MIN(L87,AZ87))</f>
        <v/>
      </c>
      <c r="AZ87" s="4">
        <f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4">
        <f>IF(AY87="","",0.001*R87)</f>
        <v/>
      </c>
      <c r="BB87" s="4">
        <f>IF(AY87="","",0.94*R87)</f>
        <v/>
      </c>
      <c r="BC87" s="4">
        <f>IF(AY87="","",(BA87+BB87)/2)</f>
        <v/>
      </c>
      <c r="BD87" s="4">
        <f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4">
        <f>IF(AY87="","",IF(BD87&lt;AY87,BC87,BA87))</f>
        <v/>
      </c>
      <c r="BF87" s="4">
        <f>IF(AY87="","",IF(BD87&lt;AY87,BB87,BC87))</f>
        <v/>
      </c>
      <c r="BG87" s="4">
        <f>IF(AY87="","",(BE87+BF87)/2)</f>
        <v/>
      </c>
      <c r="BH87" s="4">
        <f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4">
        <f>IF(AY87="","",IF(BH87&lt;AY87,BG87,BE87))</f>
        <v/>
      </c>
      <c r="BJ87" s="4">
        <f>IF(AY87="","",IF(BH87&lt;AY87,BF87,BG87))</f>
        <v/>
      </c>
      <c r="BK87" s="4">
        <f>IF(AY87="","",(BI87+BJ87)/2)</f>
        <v/>
      </c>
      <c r="BL87" s="4">
        <f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4">
        <f>IF(AY87="","",IF(BL87&lt;AY87,BK87,BI87))</f>
        <v/>
      </c>
      <c r="BN87" s="4">
        <f>IF(AY87="","",IF(BL87&lt;AY87,BJ87,BK87))</f>
        <v/>
      </c>
      <c r="BO87" s="4">
        <f>IF(AY87="","",(BM87+BN87)/2)</f>
        <v/>
      </c>
      <c r="BP87" s="4">
        <f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4">
        <f>IF(AY87="","",IF(BP87&lt;AY87,BO87,BM87))</f>
        <v/>
      </c>
      <c r="BR87" s="4">
        <f>IF(AY87="","",IF(BP87&lt;AY87,BN87,BO87))</f>
        <v/>
      </c>
      <c r="BS87" s="4">
        <f>IF(AY87="","",(BQ87+BR87)/2)</f>
        <v/>
      </c>
      <c r="BT87" s="4">
        <f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4">
        <f>IF(AY87="","",IF(BT87&lt;AY87,BS87,BQ87))</f>
        <v/>
      </c>
      <c r="BV87" s="4">
        <f>IF(AY87="","",IF(BT87&lt;AY87,BR87,BS87))</f>
        <v/>
      </c>
      <c r="BW87" s="4">
        <f>IF(AY87="","",(BU87+BV87)/2)</f>
        <v/>
      </c>
      <c r="BX87" s="4">
        <f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4">
        <f>IF(AY87="","",IF(BX87&lt;AY87,BW87,BU87))</f>
        <v/>
      </c>
      <c r="BZ87" s="4">
        <f>IF(AY87="","",IF(BX87&lt;AY87,BV87,BW87))</f>
        <v/>
      </c>
      <c r="CA87" s="4">
        <f>IF(AY87="","",(BY87+BZ87)/2)</f>
        <v/>
      </c>
      <c r="CB87" s="4">
        <f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4">
        <f>IF(AY87="","",IF(CB87&lt;AY87,CA87,BY87))</f>
        <v/>
      </c>
      <c r="CD87" s="4">
        <f>IF(AY87="","",IF(CB87&lt;AY87,BZ87,CA87))</f>
        <v/>
      </c>
      <c r="CE87" s="4">
        <f>IF(AY87="","",(CC87+CD87)/2)</f>
        <v/>
      </c>
    </row>
    <row r="88">
      <c r="A88" s="4" t="n"/>
      <c r="B88" s="4" t="n"/>
      <c r="C88" s="8" t="n"/>
      <c r="D88" s="8" t="n"/>
      <c r="E88" s="8">
        <f>SUMIFS(CB_Tributaires!$G:$G,CB_Tributaires!$F:$F,$A88)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IF(A88="","",IF(F88="","",2.78E-7*IF(G88&lt;&gt;"",G88,IFERROR(SUMIFS(CB_Tributaires!$H:$H,CB_Tributaires!$F:$F,$A88)/SUMIFS(CB_Tributaires!$G:$G,CB_Tributaires!$F:$F,$A88),Inputs!$B$17))*F88*I88))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7">
        <f>IF(AY88="","",CE88)</f>
        <v/>
      </c>
      <c r="AX88" s="7">
        <f>IF(OR(AY88="",AW88="",R88="",R88&lt;=0,AW88&lt;=0),"",AY88/((R88^2/8)*(2*ACOS(1-2*AW88/R88)-SIN(2*ACOS(1-2*AW88/R88)))))</f>
        <v/>
      </c>
      <c r="AY88" s="4">
        <f>IF(OR(L88="",AZ88=""),"",MIN(L88,AZ88))</f>
        <v/>
      </c>
      <c r="AZ88" s="4">
        <f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4">
        <f>IF(AY88="","",0.001*R88)</f>
        <v/>
      </c>
      <c r="BB88" s="4">
        <f>IF(AY88="","",0.94*R88)</f>
        <v/>
      </c>
      <c r="BC88" s="4">
        <f>IF(AY88="","",(BA88+BB88)/2)</f>
        <v/>
      </c>
      <c r="BD88" s="4">
        <f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4">
        <f>IF(AY88="","",IF(BD88&lt;AY88,BC88,BA88))</f>
        <v/>
      </c>
      <c r="BF88" s="4">
        <f>IF(AY88="","",IF(BD88&lt;AY88,BB88,BC88))</f>
        <v/>
      </c>
      <c r="BG88" s="4">
        <f>IF(AY88="","",(BE88+BF88)/2)</f>
        <v/>
      </c>
      <c r="BH88" s="4">
        <f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4">
        <f>IF(AY88="","",IF(BH88&lt;AY88,BG88,BE88))</f>
        <v/>
      </c>
      <c r="BJ88" s="4">
        <f>IF(AY88="","",IF(BH88&lt;AY88,BF88,BG88))</f>
        <v/>
      </c>
      <c r="BK88" s="4">
        <f>IF(AY88="","",(BI88+BJ88)/2)</f>
        <v/>
      </c>
      <c r="BL88" s="4">
        <f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4">
        <f>IF(AY88="","",IF(BL88&lt;AY88,BK88,BI88))</f>
        <v/>
      </c>
      <c r="BN88" s="4">
        <f>IF(AY88="","",IF(BL88&lt;AY88,BJ88,BK88))</f>
        <v/>
      </c>
      <c r="BO88" s="4">
        <f>IF(AY88="","",(BM88+BN88)/2)</f>
        <v/>
      </c>
      <c r="BP88" s="4">
        <f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4">
        <f>IF(AY88="","",IF(BP88&lt;AY88,BO88,BM88))</f>
        <v/>
      </c>
      <c r="BR88" s="4">
        <f>IF(AY88="","",IF(BP88&lt;AY88,BN88,BO88))</f>
        <v/>
      </c>
      <c r="BS88" s="4">
        <f>IF(AY88="","",(BQ88+BR88)/2)</f>
        <v/>
      </c>
      <c r="BT88" s="4">
        <f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4">
        <f>IF(AY88="","",IF(BT88&lt;AY88,BS88,BQ88))</f>
        <v/>
      </c>
      <c r="BV88" s="4">
        <f>IF(AY88="","",IF(BT88&lt;AY88,BR88,BS88))</f>
        <v/>
      </c>
      <c r="BW88" s="4">
        <f>IF(AY88="","",(BU88+BV88)/2)</f>
        <v/>
      </c>
      <c r="BX88" s="4">
        <f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4">
        <f>IF(AY88="","",IF(BX88&lt;AY88,BW88,BU88))</f>
        <v/>
      </c>
      <c r="BZ88" s="4">
        <f>IF(AY88="","",IF(BX88&lt;AY88,BV88,BW88))</f>
        <v/>
      </c>
      <c r="CA88" s="4">
        <f>IF(AY88="","",(BY88+BZ88)/2)</f>
        <v/>
      </c>
      <c r="CB88" s="4">
        <f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4">
        <f>IF(AY88="","",IF(CB88&lt;AY88,CA88,BY88))</f>
        <v/>
      </c>
      <c r="CD88" s="4">
        <f>IF(AY88="","",IF(CB88&lt;AY88,BZ88,CA88))</f>
        <v/>
      </c>
      <c r="CE88" s="4">
        <f>IF(AY88="","",(CC88+CD88)/2)</f>
        <v/>
      </c>
    </row>
    <row r="89">
      <c r="A89" s="4" t="n"/>
      <c r="B89" s="4" t="n"/>
      <c r="C89" s="8" t="n"/>
      <c r="D89" s="8" t="n"/>
      <c r="E89" s="8">
        <f>SUMIFS(CB_Tributaires!$G:$G,CB_Tributaires!$F:$F,$A89)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IF(A89="","",IF(F89="","",2.78E-7*IF(G89&lt;&gt;"",G89,IFERROR(SUMIFS(CB_Tributaires!$H:$H,CB_Tributaires!$F:$F,$A89)/SUMIFS(CB_Tributaires!$G:$G,CB_Tributaires!$F:$F,$A89),Inputs!$B$17))*F89*I89))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7">
        <f>IF(AY89="","",CE89)</f>
        <v/>
      </c>
      <c r="AX89" s="7">
        <f>IF(OR(AY89="",AW89="",R89="",R89&lt;=0,AW89&lt;=0),"",AY89/((R89^2/8)*(2*ACOS(1-2*AW89/R89)-SIN(2*ACOS(1-2*AW89/R89)))))</f>
        <v/>
      </c>
      <c r="AY89" s="4">
        <f>IF(OR(L89="",AZ89=""),"",MIN(L89,AZ89))</f>
        <v/>
      </c>
      <c r="AZ89" s="4">
        <f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4">
        <f>IF(AY89="","",0.001*R89)</f>
        <v/>
      </c>
      <c r="BB89" s="4">
        <f>IF(AY89="","",0.94*R89)</f>
        <v/>
      </c>
      <c r="BC89" s="4">
        <f>IF(AY89="","",(BA89+BB89)/2)</f>
        <v/>
      </c>
      <c r="BD89" s="4">
        <f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4">
        <f>IF(AY89="","",IF(BD89&lt;AY89,BC89,BA89))</f>
        <v/>
      </c>
      <c r="BF89" s="4">
        <f>IF(AY89="","",IF(BD89&lt;AY89,BB89,BC89))</f>
        <v/>
      </c>
      <c r="BG89" s="4">
        <f>IF(AY89="","",(BE89+BF89)/2)</f>
        <v/>
      </c>
      <c r="BH89" s="4">
        <f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4">
        <f>IF(AY89="","",IF(BH89&lt;AY89,BG89,BE89))</f>
        <v/>
      </c>
      <c r="BJ89" s="4">
        <f>IF(AY89="","",IF(BH89&lt;AY89,BF89,BG89))</f>
        <v/>
      </c>
      <c r="BK89" s="4">
        <f>IF(AY89="","",(BI89+BJ89)/2)</f>
        <v/>
      </c>
      <c r="BL89" s="4">
        <f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4">
        <f>IF(AY89="","",IF(BL89&lt;AY89,BK89,BI89))</f>
        <v/>
      </c>
      <c r="BN89" s="4">
        <f>IF(AY89="","",IF(BL89&lt;AY89,BJ89,BK89))</f>
        <v/>
      </c>
      <c r="BO89" s="4">
        <f>IF(AY89="","",(BM89+BN89)/2)</f>
        <v/>
      </c>
      <c r="BP89" s="4">
        <f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4">
        <f>IF(AY89="","",IF(BP89&lt;AY89,BO89,BM89))</f>
        <v/>
      </c>
      <c r="BR89" s="4">
        <f>IF(AY89="","",IF(BP89&lt;AY89,BN89,BO89))</f>
        <v/>
      </c>
      <c r="BS89" s="4">
        <f>IF(AY89="","",(BQ89+BR89)/2)</f>
        <v/>
      </c>
      <c r="BT89" s="4">
        <f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4">
        <f>IF(AY89="","",IF(BT89&lt;AY89,BS89,BQ89))</f>
        <v/>
      </c>
      <c r="BV89" s="4">
        <f>IF(AY89="","",IF(BT89&lt;AY89,BR89,BS89))</f>
        <v/>
      </c>
      <c r="BW89" s="4">
        <f>IF(AY89="","",(BU89+BV89)/2)</f>
        <v/>
      </c>
      <c r="BX89" s="4">
        <f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4">
        <f>IF(AY89="","",IF(BX89&lt;AY89,BW89,BU89))</f>
        <v/>
      </c>
      <c r="BZ89" s="4">
        <f>IF(AY89="","",IF(BX89&lt;AY89,BV89,BW89))</f>
        <v/>
      </c>
      <c r="CA89" s="4">
        <f>IF(AY89="","",(BY89+BZ89)/2)</f>
        <v/>
      </c>
      <c r="CB89" s="4">
        <f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4">
        <f>IF(AY89="","",IF(CB89&lt;AY89,CA89,BY89))</f>
        <v/>
      </c>
      <c r="CD89" s="4">
        <f>IF(AY89="","",IF(CB89&lt;AY89,BZ89,CA89))</f>
        <v/>
      </c>
      <c r="CE89" s="4">
        <f>IF(AY89="","",(CC89+CD89)/2)</f>
        <v/>
      </c>
    </row>
    <row r="90">
      <c r="A90" s="4" t="n"/>
      <c r="B90" s="4" t="n"/>
      <c r="C90" s="8" t="n"/>
      <c r="D90" s="8" t="n"/>
      <c r="E90" s="8">
        <f>SUMIFS(CB_Tributaires!$G:$G,CB_Tributaires!$F:$F,$A90)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IF(A90="","",IF(F90="","",2.78E-7*IF(G90&lt;&gt;"",G90,IFERROR(SUMIFS(CB_Tributaires!$H:$H,CB_Tributaires!$F:$F,$A90)/SUMIFS(CB_Tributaires!$G:$G,CB_Tributaires!$F:$F,$A90),Inputs!$B$17))*F90*I90))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7">
        <f>IF(AY90="","",CE90)</f>
        <v/>
      </c>
      <c r="AX90" s="7">
        <f>IF(OR(AY90="",AW90="",R90="",R90&lt;=0,AW90&lt;=0),"",AY90/((R90^2/8)*(2*ACOS(1-2*AW90/R90)-SIN(2*ACOS(1-2*AW90/R90)))))</f>
        <v/>
      </c>
      <c r="AY90" s="4">
        <f>IF(OR(L90="",AZ90=""),"",MIN(L90,AZ90))</f>
        <v/>
      </c>
      <c r="AZ90" s="4">
        <f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4">
        <f>IF(AY90="","",0.001*R90)</f>
        <v/>
      </c>
      <c r="BB90" s="4">
        <f>IF(AY90="","",0.94*R90)</f>
        <v/>
      </c>
      <c r="BC90" s="4">
        <f>IF(AY90="","",(BA90+BB90)/2)</f>
        <v/>
      </c>
      <c r="BD90" s="4">
        <f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4">
        <f>IF(AY90="","",IF(BD90&lt;AY90,BC90,BA90))</f>
        <v/>
      </c>
      <c r="BF90" s="4">
        <f>IF(AY90="","",IF(BD90&lt;AY90,BB90,BC90))</f>
        <v/>
      </c>
      <c r="BG90" s="4">
        <f>IF(AY90="","",(BE90+BF90)/2)</f>
        <v/>
      </c>
      <c r="BH90" s="4">
        <f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4">
        <f>IF(AY90="","",IF(BH90&lt;AY90,BG90,BE90))</f>
        <v/>
      </c>
      <c r="BJ90" s="4">
        <f>IF(AY90="","",IF(BH90&lt;AY90,BF90,BG90))</f>
        <v/>
      </c>
      <c r="BK90" s="4">
        <f>IF(AY90="","",(BI90+BJ90)/2)</f>
        <v/>
      </c>
      <c r="BL90" s="4">
        <f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4">
        <f>IF(AY90="","",IF(BL90&lt;AY90,BK90,BI90))</f>
        <v/>
      </c>
      <c r="BN90" s="4">
        <f>IF(AY90="","",IF(BL90&lt;AY90,BJ90,BK90))</f>
        <v/>
      </c>
      <c r="BO90" s="4">
        <f>IF(AY90="","",(BM90+BN90)/2)</f>
        <v/>
      </c>
      <c r="BP90" s="4">
        <f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4">
        <f>IF(AY90="","",IF(BP90&lt;AY90,BO90,BM90))</f>
        <v/>
      </c>
      <c r="BR90" s="4">
        <f>IF(AY90="","",IF(BP90&lt;AY90,BN90,BO90))</f>
        <v/>
      </c>
      <c r="BS90" s="4">
        <f>IF(AY90="","",(BQ90+BR90)/2)</f>
        <v/>
      </c>
      <c r="BT90" s="4">
        <f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4">
        <f>IF(AY90="","",IF(BT90&lt;AY90,BS90,BQ90))</f>
        <v/>
      </c>
      <c r="BV90" s="4">
        <f>IF(AY90="","",IF(BT90&lt;AY90,BR90,BS90))</f>
        <v/>
      </c>
      <c r="BW90" s="4">
        <f>IF(AY90="","",(BU90+BV90)/2)</f>
        <v/>
      </c>
      <c r="BX90" s="4">
        <f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4">
        <f>IF(AY90="","",IF(BX90&lt;AY90,BW90,BU90))</f>
        <v/>
      </c>
      <c r="BZ90" s="4">
        <f>IF(AY90="","",IF(BX90&lt;AY90,BV90,BW90))</f>
        <v/>
      </c>
      <c r="CA90" s="4">
        <f>IF(AY90="","",(BY90+BZ90)/2)</f>
        <v/>
      </c>
      <c r="CB90" s="4">
        <f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4">
        <f>IF(AY90="","",IF(CB90&lt;AY90,CA90,BY90))</f>
        <v/>
      </c>
      <c r="CD90" s="4">
        <f>IF(AY90="","",IF(CB90&lt;AY90,BZ90,CA90))</f>
        <v/>
      </c>
      <c r="CE90" s="4">
        <f>IF(AY90="","",(CC90+CD90)/2)</f>
        <v/>
      </c>
    </row>
    <row r="91">
      <c r="A91" s="4" t="n"/>
      <c r="B91" s="4" t="n"/>
      <c r="C91" s="8" t="n"/>
      <c r="D91" s="8" t="n"/>
      <c r="E91" s="8">
        <f>SUMIFS(CB_Tributaires!$G:$G,CB_Tributaires!$F:$F,$A91)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IF(A91="","",IF(F91="","",2.78E-7*IF(G91&lt;&gt;"",G91,IFERROR(SUMIFS(CB_Tributaires!$H:$H,CB_Tributaires!$F:$F,$A91)/SUMIFS(CB_Tributaires!$G:$G,CB_Tributaires!$F:$F,$A91),Inputs!$B$17))*F91*I91))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7">
        <f>IF(AY91="","",CE91)</f>
        <v/>
      </c>
      <c r="AX91" s="7">
        <f>IF(OR(AY91="",AW91="",R91="",R91&lt;=0,AW91&lt;=0),"",AY91/((R91^2/8)*(2*ACOS(1-2*AW91/R91)-SIN(2*ACOS(1-2*AW91/R91)))))</f>
        <v/>
      </c>
      <c r="AY91" s="4">
        <f>IF(OR(L91="",AZ91=""),"",MIN(L91,AZ91))</f>
        <v/>
      </c>
      <c r="AZ91" s="4">
        <f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4">
        <f>IF(AY91="","",0.001*R91)</f>
        <v/>
      </c>
      <c r="BB91" s="4">
        <f>IF(AY91="","",0.94*R91)</f>
        <v/>
      </c>
      <c r="BC91" s="4">
        <f>IF(AY91="","",(BA91+BB91)/2)</f>
        <v/>
      </c>
      <c r="BD91" s="4">
        <f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4">
        <f>IF(AY91="","",IF(BD91&lt;AY91,BC91,BA91))</f>
        <v/>
      </c>
      <c r="BF91" s="4">
        <f>IF(AY91="","",IF(BD91&lt;AY91,BB91,BC91))</f>
        <v/>
      </c>
      <c r="BG91" s="4">
        <f>IF(AY91="","",(BE91+BF91)/2)</f>
        <v/>
      </c>
      <c r="BH91" s="4">
        <f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4">
        <f>IF(AY91="","",IF(BH91&lt;AY91,BG91,BE91))</f>
        <v/>
      </c>
      <c r="BJ91" s="4">
        <f>IF(AY91="","",IF(BH91&lt;AY91,BF91,BG91))</f>
        <v/>
      </c>
      <c r="BK91" s="4">
        <f>IF(AY91="","",(BI91+BJ91)/2)</f>
        <v/>
      </c>
      <c r="BL91" s="4">
        <f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4">
        <f>IF(AY91="","",IF(BL91&lt;AY91,BK91,BI91))</f>
        <v/>
      </c>
      <c r="BN91" s="4">
        <f>IF(AY91="","",IF(BL91&lt;AY91,BJ91,BK91))</f>
        <v/>
      </c>
      <c r="BO91" s="4">
        <f>IF(AY91="","",(BM91+BN91)/2)</f>
        <v/>
      </c>
      <c r="BP91" s="4">
        <f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4">
        <f>IF(AY91="","",IF(BP91&lt;AY91,BO91,BM91))</f>
        <v/>
      </c>
      <c r="BR91" s="4">
        <f>IF(AY91="","",IF(BP91&lt;AY91,BN91,BO91))</f>
        <v/>
      </c>
      <c r="BS91" s="4">
        <f>IF(AY91="","",(BQ91+BR91)/2)</f>
        <v/>
      </c>
      <c r="BT91" s="4">
        <f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4">
        <f>IF(AY91="","",IF(BT91&lt;AY91,BS91,BQ91))</f>
        <v/>
      </c>
      <c r="BV91" s="4">
        <f>IF(AY91="","",IF(BT91&lt;AY91,BR91,BS91))</f>
        <v/>
      </c>
      <c r="BW91" s="4">
        <f>IF(AY91="","",(BU91+BV91)/2)</f>
        <v/>
      </c>
      <c r="BX91" s="4">
        <f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4">
        <f>IF(AY91="","",IF(BX91&lt;AY91,BW91,BU91))</f>
        <v/>
      </c>
      <c r="BZ91" s="4">
        <f>IF(AY91="","",IF(BX91&lt;AY91,BV91,BW91))</f>
        <v/>
      </c>
      <c r="CA91" s="4">
        <f>IF(AY91="","",(BY91+BZ91)/2)</f>
        <v/>
      </c>
      <c r="CB91" s="4">
        <f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4">
        <f>IF(AY91="","",IF(CB91&lt;AY91,CA91,BY91))</f>
        <v/>
      </c>
      <c r="CD91" s="4">
        <f>IF(AY91="","",IF(CB91&lt;AY91,BZ91,CA91))</f>
        <v/>
      </c>
      <c r="CE91" s="4">
        <f>IF(AY91="","",(CC91+CD91)/2)</f>
        <v/>
      </c>
    </row>
    <row r="92">
      <c r="A92" s="4" t="n"/>
      <c r="B92" s="4" t="n"/>
      <c r="C92" s="8" t="n"/>
      <c r="D92" s="8" t="n"/>
      <c r="E92" s="8">
        <f>SUMIFS(CB_Tributaires!$G:$G,CB_Tributaires!$F:$F,$A92)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IF(A92="","",IF(F92="","",2.78E-7*IF(G92&lt;&gt;"",G92,IFERROR(SUMIFS(CB_Tributaires!$H:$H,CB_Tributaires!$F:$F,$A92)/SUMIFS(CB_Tributaires!$G:$G,CB_Tributaires!$F:$F,$A92),Inputs!$B$17))*F92*I92))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7">
        <f>IF(AY92="","",CE92)</f>
        <v/>
      </c>
      <c r="AX92" s="7">
        <f>IF(OR(AY92="",AW92="",R92="",R92&lt;=0,AW92&lt;=0),"",AY92/((R92^2/8)*(2*ACOS(1-2*AW92/R92)-SIN(2*ACOS(1-2*AW92/R92)))))</f>
        <v/>
      </c>
      <c r="AY92" s="4">
        <f>IF(OR(L92="",AZ92=""),"",MIN(L92,AZ92))</f>
        <v/>
      </c>
      <c r="AZ92" s="4">
        <f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4">
        <f>IF(AY92="","",0.001*R92)</f>
        <v/>
      </c>
      <c r="BB92" s="4">
        <f>IF(AY92="","",0.94*R92)</f>
        <v/>
      </c>
      <c r="BC92" s="4">
        <f>IF(AY92="","",(BA92+BB92)/2)</f>
        <v/>
      </c>
      <c r="BD92" s="4">
        <f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4">
        <f>IF(AY92="","",IF(BD92&lt;AY92,BC92,BA92))</f>
        <v/>
      </c>
      <c r="BF92" s="4">
        <f>IF(AY92="","",IF(BD92&lt;AY92,BB92,BC92))</f>
        <v/>
      </c>
      <c r="BG92" s="4">
        <f>IF(AY92="","",(BE92+BF92)/2)</f>
        <v/>
      </c>
      <c r="BH92" s="4">
        <f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4">
        <f>IF(AY92="","",IF(BH92&lt;AY92,BG92,BE92))</f>
        <v/>
      </c>
      <c r="BJ92" s="4">
        <f>IF(AY92="","",IF(BH92&lt;AY92,BF92,BG92))</f>
        <v/>
      </c>
      <c r="BK92" s="4">
        <f>IF(AY92="","",(BI92+BJ92)/2)</f>
        <v/>
      </c>
      <c r="BL92" s="4">
        <f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4">
        <f>IF(AY92="","",IF(BL92&lt;AY92,BK92,BI92))</f>
        <v/>
      </c>
      <c r="BN92" s="4">
        <f>IF(AY92="","",IF(BL92&lt;AY92,BJ92,BK92))</f>
        <v/>
      </c>
      <c r="BO92" s="4">
        <f>IF(AY92="","",(BM92+BN92)/2)</f>
        <v/>
      </c>
      <c r="BP92" s="4">
        <f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4">
        <f>IF(AY92="","",IF(BP92&lt;AY92,BO92,BM92))</f>
        <v/>
      </c>
      <c r="BR92" s="4">
        <f>IF(AY92="","",IF(BP92&lt;AY92,BN92,BO92))</f>
        <v/>
      </c>
      <c r="BS92" s="4">
        <f>IF(AY92="","",(BQ92+BR92)/2)</f>
        <v/>
      </c>
      <c r="BT92" s="4">
        <f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4">
        <f>IF(AY92="","",IF(BT92&lt;AY92,BS92,BQ92))</f>
        <v/>
      </c>
      <c r="BV92" s="4">
        <f>IF(AY92="","",IF(BT92&lt;AY92,BR92,BS92))</f>
        <v/>
      </c>
      <c r="BW92" s="4">
        <f>IF(AY92="","",(BU92+BV92)/2)</f>
        <v/>
      </c>
      <c r="BX92" s="4">
        <f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4">
        <f>IF(AY92="","",IF(BX92&lt;AY92,BW92,BU92))</f>
        <v/>
      </c>
      <c r="BZ92" s="4">
        <f>IF(AY92="","",IF(BX92&lt;AY92,BV92,BW92))</f>
        <v/>
      </c>
      <c r="CA92" s="4">
        <f>IF(AY92="","",(BY92+BZ92)/2)</f>
        <v/>
      </c>
      <c r="CB92" s="4">
        <f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4">
        <f>IF(AY92="","",IF(CB92&lt;AY92,CA92,BY92))</f>
        <v/>
      </c>
      <c r="CD92" s="4">
        <f>IF(AY92="","",IF(CB92&lt;AY92,BZ92,CA92))</f>
        <v/>
      </c>
      <c r="CE92" s="4">
        <f>IF(AY92="","",(CC92+CD92)/2)</f>
        <v/>
      </c>
    </row>
    <row r="93">
      <c r="A93" s="4" t="n"/>
      <c r="B93" s="4" t="n"/>
      <c r="C93" s="8" t="n"/>
      <c r="D93" s="8" t="n"/>
      <c r="E93" s="8">
        <f>SUMIFS(CB_Tributaires!$G:$G,CB_Tributaires!$F:$F,$A93)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IF(A93="","",IF(F93="","",2.78E-7*IF(G93&lt;&gt;"",G93,IFERROR(SUMIFS(CB_Tributaires!$H:$H,CB_Tributaires!$F:$F,$A93)/SUMIFS(CB_Tributaires!$G:$G,CB_Tributaires!$F:$F,$A93),Inputs!$B$17))*F93*I93))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7">
        <f>IF(AY93="","",CE93)</f>
        <v/>
      </c>
      <c r="AX93" s="7">
        <f>IF(OR(AY93="",AW93="",R93="",R93&lt;=0,AW93&lt;=0),"",AY93/((R93^2/8)*(2*ACOS(1-2*AW93/R93)-SIN(2*ACOS(1-2*AW93/R93)))))</f>
        <v/>
      </c>
      <c r="AY93" s="4">
        <f>IF(OR(L93="",AZ93=""),"",MIN(L93,AZ93))</f>
        <v/>
      </c>
      <c r="AZ93" s="4">
        <f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4">
        <f>IF(AY93="","",0.001*R93)</f>
        <v/>
      </c>
      <c r="BB93" s="4">
        <f>IF(AY93="","",0.94*R93)</f>
        <v/>
      </c>
      <c r="BC93" s="4">
        <f>IF(AY93="","",(BA93+BB93)/2)</f>
        <v/>
      </c>
      <c r="BD93" s="4">
        <f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4">
        <f>IF(AY93="","",IF(BD93&lt;AY93,BC93,BA93))</f>
        <v/>
      </c>
      <c r="BF93" s="4">
        <f>IF(AY93="","",IF(BD93&lt;AY93,BB93,BC93))</f>
        <v/>
      </c>
      <c r="BG93" s="4">
        <f>IF(AY93="","",(BE93+BF93)/2)</f>
        <v/>
      </c>
      <c r="BH93" s="4">
        <f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4">
        <f>IF(AY93="","",IF(BH93&lt;AY93,BG93,BE93))</f>
        <v/>
      </c>
      <c r="BJ93" s="4">
        <f>IF(AY93="","",IF(BH93&lt;AY93,BF93,BG93))</f>
        <v/>
      </c>
      <c r="BK93" s="4">
        <f>IF(AY93="","",(BI93+BJ93)/2)</f>
        <v/>
      </c>
      <c r="BL93" s="4">
        <f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4">
        <f>IF(AY93="","",IF(BL93&lt;AY93,BK93,BI93))</f>
        <v/>
      </c>
      <c r="BN93" s="4">
        <f>IF(AY93="","",IF(BL93&lt;AY93,BJ93,BK93))</f>
        <v/>
      </c>
      <c r="BO93" s="4">
        <f>IF(AY93="","",(BM93+BN93)/2)</f>
        <v/>
      </c>
      <c r="BP93" s="4">
        <f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4">
        <f>IF(AY93="","",IF(BP93&lt;AY93,BO93,BM93))</f>
        <v/>
      </c>
      <c r="BR93" s="4">
        <f>IF(AY93="","",IF(BP93&lt;AY93,BN93,BO93))</f>
        <v/>
      </c>
      <c r="BS93" s="4">
        <f>IF(AY93="","",(BQ93+BR93)/2)</f>
        <v/>
      </c>
      <c r="BT93" s="4">
        <f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4">
        <f>IF(AY93="","",IF(BT93&lt;AY93,BS93,BQ93))</f>
        <v/>
      </c>
      <c r="BV93" s="4">
        <f>IF(AY93="","",IF(BT93&lt;AY93,BR93,BS93))</f>
        <v/>
      </c>
      <c r="BW93" s="4">
        <f>IF(AY93="","",(BU93+BV93)/2)</f>
        <v/>
      </c>
      <c r="BX93" s="4">
        <f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4">
        <f>IF(AY93="","",IF(BX93&lt;AY93,BW93,BU93))</f>
        <v/>
      </c>
      <c r="BZ93" s="4">
        <f>IF(AY93="","",IF(BX93&lt;AY93,BV93,BW93))</f>
        <v/>
      </c>
      <c r="CA93" s="4">
        <f>IF(AY93="","",(BY93+BZ93)/2)</f>
        <v/>
      </c>
      <c r="CB93" s="4">
        <f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4">
        <f>IF(AY93="","",IF(CB93&lt;AY93,CA93,BY93))</f>
        <v/>
      </c>
      <c r="CD93" s="4">
        <f>IF(AY93="","",IF(CB93&lt;AY93,BZ93,CA93))</f>
        <v/>
      </c>
      <c r="CE93" s="4">
        <f>IF(AY93="","",(CC93+CD93)/2)</f>
        <v/>
      </c>
    </row>
    <row r="94">
      <c r="A94" s="4" t="n"/>
      <c r="B94" s="4" t="n"/>
      <c r="C94" s="8" t="n"/>
      <c r="D94" s="8" t="n"/>
      <c r="E94" s="8">
        <f>SUMIFS(CB_Tributaires!$G:$G,CB_Tributaires!$F:$F,$A94)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IF(A94="","",IF(F94="","",2.78E-7*IF(G94&lt;&gt;"",G94,IFERROR(SUMIFS(CB_Tributaires!$H:$H,CB_Tributaires!$F:$F,$A94)/SUMIFS(CB_Tributaires!$G:$G,CB_Tributaires!$F:$F,$A94),Inputs!$B$17))*F94*I94))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7">
        <f>IF(AY94="","",CE94)</f>
        <v/>
      </c>
      <c r="AX94" s="7">
        <f>IF(OR(AY94="",AW94="",R94="",R94&lt;=0,AW94&lt;=0),"",AY94/((R94^2/8)*(2*ACOS(1-2*AW94/R94)-SIN(2*ACOS(1-2*AW94/R94)))))</f>
        <v/>
      </c>
      <c r="AY94" s="4">
        <f>IF(OR(L94="",AZ94=""),"",MIN(L94,AZ94))</f>
        <v/>
      </c>
      <c r="AZ94" s="4">
        <f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4">
        <f>IF(AY94="","",0.001*R94)</f>
        <v/>
      </c>
      <c r="BB94" s="4">
        <f>IF(AY94="","",0.94*R94)</f>
        <v/>
      </c>
      <c r="BC94" s="4">
        <f>IF(AY94="","",(BA94+BB94)/2)</f>
        <v/>
      </c>
      <c r="BD94" s="4">
        <f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4">
        <f>IF(AY94="","",IF(BD94&lt;AY94,BC94,BA94))</f>
        <v/>
      </c>
      <c r="BF94" s="4">
        <f>IF(AY94="","",IF(BD94&lt;AY94,BB94,BC94))</f>
        <v/>
      </c>
      <c r="BG94" s="4">
        <f>IF(AY94="","",(BE94+BF94)/2)</f>
        <v/>
      </c>
      <c r="BH94" s="4">
        <f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4">
        <f>IF(AY94="","",IF(BH94&lt;AY94,BG94,BE94))</f>
        <v/>
      </c>
      <c r="BJ94" s="4">
        <f>IF(AY94="","",IF(BH94&lt;AY94,BF94,BG94))</f>
        <v/>
      </c>
      <c r="BK94" s="4">
        <f>IF(AY94="","",(BI94+BJ94)/2)</f>
        <v/>
      </c>
      <c r="BL94" s="4">
        <f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4">
        <f>IF(AY94="","",IF(BL94&lt;AY94,BK94,BI94))</f>
        <v/>
      </c>
      <c r="BN94" s="4">
        <f>IF(AY94="","",IF(BL94&lt;AY94,BJ94,BK94))</f>
        <v/>
      </c>
      <c r="BO94" s="4">
        <f>IF(AY94="","",(BM94+BN94)/2)</f>
        <v/>
      </c>
      <c r="BP94" s="4">
        <f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4">
        <f>IF(AY94="","",IF(BP94&lt;AY94,BO94,BM94))</f>
        <v/>
      </c>
      <c r="BR94" s="4">
        <f>IF(AY94="","",IF(BP94&lt;AY94,BN94,BO94))</f>
        <v/>
      </c>
      <c r="BS94" s="4">
        <f>IF(AY94="","",(BQ94+BR94)/2)</f>
        <v/>
      </c>
      <c r="BT94" s="4">
        <f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4">
        <f>IF(AY94="","",IF(BT94&lt;AY94,BS94,BQ94))</f>
        <v/>
      </c>
      <c r="BV94" s="4">
        <f>IF(AY94="","",IF(BT94&lt;AY94,BR94,BS94))</f>
        <v/>
      </c>
      <c r="BW94" s="4">
        <f>IF(AY94="","",(BU94+BV94)/2)</f>
        <v/>
      </c>
      <c r="BX94" s="4">
        <f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4">
        <f>IF(AY94="","",IF(BX94&lt;AY94,BW94,BU94))</f>
        <v/>
      </c>
      <c r="BZ94" s="4">
        <f>IF(AY94="","",IF(BX94&lt;AY94,BV94,BW94))</f>
        <v/>
      </c>
      <c r="CA94" s="4">
        <f>IF(AY94="","",(BY94+BZ94)/2)</f>
        <v/>
      </c>
      <c r="CB94" s="4">
        <f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4">
        <f>IF(AY94="","",IF(CB94&lt;AY94,CA94,BY94))</f>
        <v/>
      </c>
      <c r="CD94" s="4">
        <f>IF(AY94="","",IF(CB94&lt;AY94,BZ94,CA94))</f>
        <v/>
      </c>
      <c r="CE94" s="4">
        <f>IF(AY94="","",(CC94+CD94)/2)</f>
        <v/>
      </c>
    </row>
    <row r="95">
      <c r="A95" s="4" t="n"/>
      <c r="B95" s="4" t="n"/>
      <c r="C95" s="8" t="n"/>
      <c r="D95" s="8" t="n"/>
      <c r="E95" s="8">
        <f>SUMIFS(CB_Tributaires!$G:$G,CB_Tributaires!$F:$F,$A95)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IF(A95="","",IF(F95="","",2.78E-7*IF(G95&lt;&gt;"",G95,IFERROR(SUMIFS(CB_Tributaires!$H:$H,CB_Tributaires!$F:$F,$A95)/SUMIFS(CB_Tributaires!$G:$G,CB_Tributaires!$F:$F,$A95),Inputs!$B$17))*F95*I95))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7">
        <f>IF(AY95="","",CE95)</f>
        <v/>
      </c>
      <c r="AX95" s="7">
        <f>IF(OR(AY95="",AW95="",R95="",R95&lt;=0,AW95&lt;=0),"",AY95/((R95^2/8)*(2*ACOS(1-2*AW95/R95)-SIN(2*ACOS(1-2*AW95/R95)))))</f>
        <v/>
      </c>
      <c r="AY95" s="4">
        <f>IF(OR(L95="",AZ95=""),"",MIN(L95,AZ95))</f>
        <v/>
      </c>
      <c r="AZ95" s="4">
        <f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4">
        <f>IF(AY95="","",0.001*R95)</f>
        <v/>
      </c>
      <c r="BB95" s="4">
        <f>IF(AY95="","",0.94*R95)</f>
        <v/>
      </c>
      <c r="BC95" s="4">
        <f>IF(AY95="","",(BA95+BB95)/2)</f>
        <v/>
      </c>
      <c r="BD95" s="4">
        <f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4">
        <f>IF(AY95="","",IF(BD95&lt;AY95,BC95,BA95))</f>
        <v/>
      </c>
      <c r="BF95" s="4">
        <f>IF(AY95="","",IF(BD95&lt;AY95,BB95,BC95))</f>
        <v/>
      </c>
      <c r="BG95" s="4">
        <f>IF(AY95="","",(BE95+BF95)/2)</f>
        <v/>
      </c>
      <c r="BH95" s="4">
        <f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4">
        <f>IF(AY95="","",IF(BH95&lt;AY95,BG95,BE95))</f>
        <v/>
      </c>
      <c r="BJ95" s="4">
        <f>IF(AY95="","",IF(BH95&lt;AY95,BF95,BG95))</f>
        <v/>
      </c>
      <c r="BK95" s="4">
        <f>IF(AY95="","",(BI95+BJ95)/2)</f>
        <v/>
      </c>
      <c r="BL95" s="4">
        <f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4">
        <f>IF(AY95="","",IF(BL95&lt;AY95,BK95,BI95))</f>
        <v/>
      </c>
      <c r="BN95" s="4">
        <f>IF(AY95="","",IF(BL95&lt;AY95,BJ95,BK95))</f>
        <v/>
      </c>
      <c r="BO95" s="4">
        <f>IF(AY95="","",(BM95+BN95)/2)</f>
        <v/>
      </c>
      <c r="BP95" s="4">
        <f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4">
        <f>IF(AY95="","",IF(BP95&lt;AY95,BO95,BM95))</f>
        <v/>
      </c>
      <c r="BR95" s="4">
        <f>IF(AY95="","",IF(BP95&lt;AY95,BN95,BO95))</f>
        <v/>
      </c>
      <c r="BS95" s="4">
        <f>IF(AY95="","",(BQ95+BR95)/2)</f>
        <v/>
      </c>
      <c r="BT95" s="4">
        <f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4">
        <f>IF(AY95="","",IF(BT95&lt;AY95,BS95,BQ95))</f>
        <v/>
      </c>
      <c r="BV95" s="4">
        <f>IF(AY95="","",IF(BT95&lt;AY95,BR95,BS95))</f>
        <v/>
      </c>
      <c r="BW95" s="4">
        <f>IF(AY95="","",(BU95+BV95)/2)</f>
        <v/>
      </c>
      <c r="BX95" s="4">
        <f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4">
        <f>IF(AY95="","",IF(BX95&lt;AY95,BW95,BU95))</f>
        <v/>
      </c>
      <c r="BZ95" s="4">
        <f>IF(AY95="","",IF(BX95&lt;AY95,BV95,BW95))</f>
        <v/>
      </c>
      <c r="CA95" s="4">
        <f>IF(AY95="","",(BY95+BZ95)/2)</f>
        <v/>
      </c>
      <c r="CB95" s="4">
        <f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4">
        <f>IF(AY95="","",IF(CB95&lt;AY95,CA95,BY95))</f>
        <v/>
      </c>
      <c r="CD95" s="4">
        <f>IF(AY95="","",IF(CB95&lt;AY95,BZ95,CA95))</f>
        <v/>
      </c>
      <c r="CE95" s="4">
        <f>IF(AY95="","",(CC95+CD95)/2)</f>
        <v/>
      </c>
    </row>
    <row r="96">
      <c r="A96" s="4" t="n"/>
      <c r="B96" s="4" t="n"/>
      <c r="C96" s="8" t="n"/>
      <c r="D96" s="8" t="n"/>
      <c r="E96" s="8">
        <f>SUMIFS(CB_Tributaires!$G:$G,CB_Tributaires!$F:$F,$A96)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IF(A96="","",IF(F96="","",2.78E-7*IF(G96&lt;&gt;"",G96,IFERROR(SUMIFS(CB_Tributaires!$H:$H,CB_Tributaires!$F:$F,$A96)/SUMIFS(CB_Tributaires!$G:$G,CB_Tributaires!$F:$F,$A96),Inputs!$B$17))*F96*I96))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7">
        <f>IF(AY96="","",CE96)</f>
        <v/>
      </c>
      <c r="AX96" s="7">
        <f>IF(OR(AY96="",AW96="",R96="",R96&lt;=0,AW96&lt;=0),"",AY96/((R96^2/8)*(2*ACOS(1-2*AW96/R96)-SIN(2*ACOS(1-2*AW96/R96)))))</f>
        <v/>
      </c>
      <c r="AY96" s="4">
        <f>IF(OR(L96="",AZ96=""),"",MIN(L96,AZ96))</f>
        <v/>
      </c>
      <c r="AZ96" s="4">
        <f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4">
        <f>IF(AY96="","",0.001*R96)</f>
        <v/>
      </c>
      <c r="BB96" s="4">
        <f>IF(AY96="","",0.94*R96)</f>
        <v/>
      </c>
      <c r="BC96" s="4">
        <f>IF(AY96="","",(BA96+BB96)/2)</f>
        <v/>
      </c>
      <c r="BD96" s="4">
        <f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4">
        <f>IF(AY96="","",IF(BD96&lt;AY96,BC96,BA96))</f>
        <v/>
      </c>
      <c r="BF96" s="4">
        <f>IF(AY96="","",IF(BD96&lt;AY96,BB96,BC96))</f>
        <v/>
      </c>
      <c r="BG96" s="4">
        <f>IF(AY96="","",(BE96+BF96)/2)</f>
        <v/>
      </c>
      <c r="BH96" s="4">
        <f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4">
        <f>IF(AY96="","",IF(BH96&lt;AY96,BG96,BE96))</f>
        <v/>
      </c>
      <c r="BJ96" s="4">
        <f>IF(AY96="","",IF(BH96&lt;AY96,BF96,BG96))</f>
        <v/>
      </c>
      <c r="BK96" s="4">
        <f>IF(AY96="","",(BI96+BJ96)/2)</f>
        <v/>
      </c>
      <c r="BL96" s="4">
        <f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4">
        <f>IF(AY96="","",IF(BL96&lt;AY96,BK96,BI96))</f>
        <v/>
      </c>
      <c r="BN96" s="4">
        <f>IF(AY96="","",IF(BL96&lt;AY96,BJ96,BK96))</f>
        <v/>
      </c>
      <c r="BO96" s="4">
        <f>IF(AY96="","",(BM96+BN96)/2)</f>
        <v/>
      </c>
      <c r="BP96" s="4">
        <f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4">
        <f>IF(AY96="","",IF(BP96&lt;AY96,BO96,BM96))</f>
        <v/>
      </c>
      <c r="BR96" s="4">
        <f>IF(AY96="","",IF(BP96&lt;AY96,BN96,BO96))</f>
        <v/>
      </c>
      <c r="BS96" s="4">
        <f>IF(AY96="","",(BQ96+BR96)/2)</f>
        <v/>
      </c>
      <c r="BT96" s="4">
        <f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4">
        <f>IF(AY96="","",IF(BT96&lt;AY96,BS96,BQ96))</f>
        <v/>
      </c>
      <c r="BV96" s="4">
        <f>IF(AY96="","",IF(BT96&lt;AY96,BR96,BS96))</f>
        <v/>
      </c>
      <c r="BW96" s="4">
        <f>IF(AY96="","",(BU96+BV96)/2)</f>
        <v/>
      </c>
      <c r="BX96" s="4">
        <f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4">
        <f>IF(AY96="","",IF(BX96&lt;AY96,BW96,BU96))</f>
        <v/>
      </c>
      <c r="BZ96" s="4">
        <f>IF(AY96="","",IF(BX96&lt;AY96,BV96,BW96))</f>
        <v/>
      </c>
      <c r="CA96" s="4">
        <f>IF(AY96="","",(BY96+BZ96)/2)</f>
        <v/>
      </c>
      <c r="CB96" s="4">
        <f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4">
        <f>IF(AY96="","",IF(CB96&lt;AY96,CA96,BY96))</f>
        <v/>
      </c>
      <c r="CD96" s="4">
        <f>IF(AY96="","",IF(CB96&lt;AY96,BZ96,CA96))</f>
        <v/>
      </c>
      <c r="CE96" s="4">
        <f>IF(AY96="","",(CC96+CD96)/2)</f>
        <v/>
      </c>
    </row>
    <row r="97">
      <c r="A97" s="4" t="n"/>
      <c r="B97" s="4" t="n"/>
      <c r="C97" s="8" t="n"/>
      <c r="D97" s="8" t="n"/>
      <c r="E97" s="8">
        <f>SUMIFS(CB_Tributaires!$G:$G,CB_Tributaires!$F:$F,$A97)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IF(A97="","",IF(F97="","",2.78E-7*IF(G97&lt;&gt;"",G97,IFERROR(SUMIFS(CB_Tributaires!$H:$H,CB_Tributaires!$F:$F,$A97)/SUMIFS(CB_Tributaires!$G:$G,CB_Tributaires!$F:$F,$A97),Inputs!$B$17))*F97*I97))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7">
        <f>IF(AY97="","",CE97)</f>
        <v/>
      </c>
      <c r="AX97" s="7">
        <f>IF(OR(AY97="",AW97="",R97="",R97&lt;=0,AW97&lt;=0),"",AY97/((R97^2/8)*(2*ACOS(1-2*AW97/R97)-SIN(2*ACOS(1-2*AW97/R97)))))</f>
        <v/>
      </c>
      <c r="AY97" s="4">
        <f>IF(OR(L97="",AZ97=""),"",MIN(L97,AZ97))</f>
        <v/>
      </c>
      <c r="AZ97" s="4">
        <f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4">
        <f>IF(AY97="","",0.001*R97)</f>
        <v/>
      </c>
      <c r="BB97" s="4">
        <f>IF(AY97="","",0.94*R97)</f>
        <v/>
      </c>
      <c r="BC97" s="4">
        <f>IF(AY97="","",(BA97+BB97)/2)</f>
        <v/>
      </c>
      <c r="BD97" s="4">
        <f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4">
        <f>IF(AY97="","",IF(BD97&lt;AY97,BC97,BA97))</f>
        <v/>
      </c>
      <c r="BF97" s="4">
        <f>IF(AY97="","",IF(BD97&lt;AY97,BB97,BC97))</f>
        <v/>
      </c>
      <c r="BG97" s="4">
        <f>IF(AY97="","",(BE97+BF97)/2)</f>
        <v/>
      </c>
      <c r="BH97" s="4">
        <f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4">
        <f>IF(AY97="","",IF(BH97&lt;AY97,BG97,BE97))</f>
        <v/>
      </c>
      <c r="BJ97" s="4">
        <f>IF(AY97="","",IF(BH97&lt;AY97,BF97,BG97))</f>
        <v/>
      </c>
      <c r="BK97" s="4">
        <f>IF(AY97="","",(BI97+BJ97)/2)</f>
        <v/>
      </c>
      <c r="BL97" s="4">
        <f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4">
        <f>IF(AY97="","",IF(BL97&lt;AY97,BK97,BI97))</f>
        <v/>
      </c>
      <c r="BN97" s="4">
        <f>IF(AY97="","",IF(BL97&lt;AY97,BJ97,BK97))</f>
        <v/>
      </c>
      <c r="BO97" s="4">
        <f>IF(AY97="","",(BM97+BN97)/2)</f>
        <v/>
      </c>
      <c r="BP97" s="4">
        <f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4">
        <f>IF(AY97="","",IF(BP97&lt;AY97,BO97,BM97))</f>
        <v/>
      </c>
      <c r="BR97" s="4">
        <f>IF(AY97="","",IF(BP97&lt;AY97,BN97,BO97))</f>
        <v/>
      </c>
      <c r="BS97" s="4">
        <f>IF(AY97="","",(BQ97+BR97)/2)</f>
        <v/>
      </c>
      <c r="BT97" s="4">
        <f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4">
        <f>IF(AY97="","",IF(BT97&lt;AY97,BS97,BQ97))</f>
        <v/>
      </c>
      <c r="BV97" s="4">
        <f>IF(AY97="","",IF(BT97&lt;AY97,BR97,BS97))</f>
        <v/>
      </c>
      <c r="BW97" s="4">
        <f>IF(AY97="","",(BU97+BV97)/2)</f>
        <v/>
      </c>
      <c r="BX97" s="4">
        <f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4">
        <f>IF(AY97="","",IF(BX97&lt;AY97,BW97,BU97))</f>
        <v/>
      </c>
      <c r="BZ97" s="4">
        <f>IF(AY97="","",IF(BX97&lt;AY97,BV97,BW97))</f>
        <v/>
      </c>
      <c r="CA97" s="4">
        <f>IF(AY97="","",(BY97+BZ97)/2)</f>
        <v/>
      </c>
      <c r="CB97" s="4">
        <f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4">
        <f>IF(AY97="","",IF(CB97&lt;AY97,CA97,BY97))</f>
        <v/>
      </c>
      <c r="CD97" s="4">
        <f>IF(AY97="","",IF(CB97&lt;AY97,BZ97,CA97))</f>
        <v/>
      </c>
      <c r="CE97" s="4">
        <f>IF(AY97="","",(CC97+CD97)/2)</f>
        <v/>
      </c>
    </row>
    <row r="98">
      <c r="A98" s="4" t="n"/>
      <c r="B98" s="4" t="n"/>
      <c r="C98" s="8" t="n"/>
      <c r="D98" s="8" t="n"/>
      <c r="E98" s="8">
        <f>SUMIFS(CB_Tributaires!$G:$G,CB_Tributaires!$F:$F,$A98)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IF(A98="","",IF(F98="","",2.78E-7*IF(G98&lt;&gt;"",G98,IFERROR(SUMIFS(CB_Tributaires!$H:$H,CB_Tributaires!$F:$F,$A98)/SUMIFS(CB_Tributaires!$G:$G,CB_Tributaires!$F:$F,$A98),Inputs!$B$17))*F98*I98))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7">
        <f>IF(AY98="","",CE98)</f>
        <v/>
      </c>
      <c r="AX98" s="7">
        <f>IF(OR(AY98="",AW98="",R98="",R98&lt;=0,AW98&lt;=0),"",AY98/((R98^2/8)*(2*ACOS(1-2*AW98/R98)-SIN(2*ACOS(1-2*AW98/R98)))))</f>
        <v/>
      </c>
      <c r="AY98" s="4">
        <f>IF(OR(L98="",AZ98=""),"",MIN(L98,AZ98))</f>
        <v/>
      </c>
      <c r="AZ98" s="4">
        <f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4">
        <f>IF(AY98="","",0.001*R98)</f>
        <v/>
      </c>
      <c r="BB98" s="4">
        <f>IF(AY98="","",0.94*R98)</f>
        <v/>
      </c>
      <c r="BC98" s="4">
        <f>IF(AY98="","",(BA98+BB98)/2)</f>
        <v/>
      </c>
      <c r="BD98" s="4">
        <f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4">
        <f>IF(AY98="","",IF(BD98&lt;AY98,BC98,BA98))</f>
        <v/>
      </c>
      <c r="BF98" s="4">
        <f>IF(AY98="","",IF(BD98&lt;AY98,BB98,BC98))</f>
        <v/>
      </c>
      <c r="BG98" s="4">
        <f>IF(AY98="","",(BE98+BF98)/2)</f>
        <v/>
      </c>
      <c r="BH98" s="4">
        <f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4">
        <f>IF(AY98="","",IF(BH98&lt;AY98,BG98,BE98))</f>
        <v/>
      </c>
      <c r="BJ98" s="4">
        <f>IF(AY98="","",IF(BH98&lt;AY98,BF98,BG98))</f>
        <v/>
      </c>
      <c r="BK98" s="4">
        <f>IF(AY98="","",(BI98+BJ98)/2)</f>
        <v/>
      </c>
      <c r="BL98" s="4">
        <f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4">
        <f>IF(AY98="","",IF(BL98&lt;AY98,BK98,BI98))</f>
        <v/>
      </c>
      <c r="BN98" s="4">
        <f>IF(AY98="","",IF(BL98&lt;AY98,BJ98,BK98))</f>
        <v/>
      </c>
      <c r="BO98" s="4">
        <f>IF(AY98="","",(BM98+BN98)/2)</f>
        <v/>
      </c>
      <c r="BP98" s="4">
        <f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4">
        <f>IF(AY98="","",IF(BP98&lt;AY98,BO98,BM98))</f>
        <v/>
      </c>
      <c r="BR98" s="4">
        <f>IF(AY98="","",IF(BP98&lt;AY98,BN98,BO98))</f>
        <v/>
      </c>
      <c r="BS98" s="4">
        <f>IF(AY98="","",(BQ98+BR98)/2)</f>
        <v/>
      </c>
      <c r="BT98" s="4">
        <f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4">
        <f>IF(AY98="","",IF(BT98&lt;AY98,BS98,BQ98))</f>
        <v/>
      </c>
      <c r="BV98" s="4">
        <f>IF(AY98="","",IF(BT98&lt;AY98,BR98,BS98))</f>
        <v/>
      </c>
      <c r="BW98" s="4">
        <f>IF(AY98="","",(BU98+BV98)/2)</f>
        <v/>
      </c>
      <c r="BX98" s="4">
        <f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4">
        <f>IF(AY98="","",IF(BX98&lt;AY98,BW98,BU98))</f>
        <v/>
      </c>
      <c r="BZ98" s="4">
        <f>IF(AY98="","",IF(BX98&lt;AY98,BV98,BW98))</f>
        <v/>
      </c>
      <c r="CA98" s="4">
        <f>IF(AY98="","",(BY98+BZ98)/2)</f>
        <v/>
      </c>
      <c r="CB98" s="4">
        <f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4">
        <f>IF(AY98="","",IF(CB98&lt;AY98,CA98,BY98))</f>
        <v/>
      </c>
      <c r="CD98" s="4">
        <f>IF(AY98="","",IF(CB98&lt;AY98,BZ98,CA98))</f>
        <v/>
      </c>
      <c r="CE98" s="4">
        <f>IF(AY98="","",(CC98+CD98)/2)</f>
        <v/>
      </c>
    </row>
    <row r="99">
      <c r="A99" s="4" t="n"/>
      <c r="B99" s="4" t="n"/>
      <c r="C99" s="8" t="n"/>
      <c r="D99" s="8" t="n"/>
      <c r="E99" s="8">
        <f>SUMIFS(CB_Tributaires!$G:$G,CB_Tributaires!$F:$F,$A99)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IF(A99="","",IF(F99="","",2.78E-7*IF(G99&lt;&gt;"",G99,IFERROR(SUMIFS(CB_Tributaires!$H:$H,CB_Tributaires!$F:$F,$A99)/SUMIFS(CB_Tributaires!$G:$G,CB_Tributaires!$F:$F,$A99),Inputs!$B$17))*F99*I99))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7">
        <f>IF(AY99="","",CE99)</f>
        <v/>
      </c>
      <c r="AX99" s="7">
        <f>IF(OR(AY99="",AW99="",R99="",R99&lt;=0,AW99&lt;=0),"",AY99/((R99^2/8)*(2*ACOS(1-2*AW99/R99)-SIN(2*ACOS(1-2*AW99/R99)))))</f>
        <v/>
      </c>
      <c r="AY99" s="4">
        <f>IF(OR(L99="",AZ99=""),"",MIN(L99,AZ99))</f>
        <v/>
      </c>
      <c r="AZ99" s="4">
        <f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4">
        <f>IF(AY99="","",0.001*R99)</f>
        <v/>
      </c>
      <c r="BB99" s="4">
        <f>IF(AY99="","",0.94*R99)</f>
        <v/>
      </c>
      <c r="BC99" s="4">
        <f>IF(AY99="","",(BA99+BB99)/2)</f>
        <v/>
      </c>
      <c r="BD99" s="4">
        <f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4">
        <f>IF(AY99="","",IF(BD99&lt;AY99,BC99,BA99))</f>
        <v/>
      </c>
      <c r="BF99" s="4">
        <f>IF(AY99="","",IF(BD99&lt;AY99,BB99,BC99))</f>
        <v/>
      </c>
      <c r="BG99" s="4">
        <f>IF(AY99="","",(BE99+BF99)/2)</f>
        <v/>
      </c>
      <c r="BH99" s="4">
        <f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4">
        <f>IF(AY99="","",IF(BH99&lt;AY99,BG99,BE99))</f>
        <v/>
      </c>
      <c r="BJ99" s="4">
        <f>IF(AY99="","",IF(BH99&lt;AY99,BF99,BG99))</f>
        <v/>
      </c>
      <c r="BK99" s="4">
        <f>IF(AY99="","",(BI99+BJ99)/2)</f>
        <v/>
      </c>
      <c r="BL99" s="4">
        <f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4">
        <f>IF(AY99="","",IF(BL99&lt;AY99,BK99,BI99))</f>
        <v/>
      </c>
      <c r="BN99" s="4">
        <f>IF(AY99="","",IF(BL99&lt;AY99,BJ99,BK99))</f>
        <v/>
      </c>
      <c r="BO99" s="4">
        <f>IF(AY99="","",(BM99+BN99)/2)</f>
        <v/>
      </c>
      <c r="BP99" s="4">
        <f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4">
        <f>IF(AY99="","",IF(BP99&lt;AY99,BO99,BM99))</f>
        <v/>
      </c>
      <c r="BR99" s="4">
        <f>IF(AY99="","",IF(BP99&lt;AY99,BN99,BO99))</f>
        <v/>
      </c>
      <c r="BS99" s="4">
        <f>IF(AY99="","",(BQ99+BR99)/2)</f>
        <v/>
      </c>
      <c r="BT99" s="4">
        <f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4">
        <f>IF(AY99="","",IF(BT99&lt;AY99,BS99,BQ99))</f>
        <v/>
      </c>
      <c r="BV99" s="4">
        <f>IF(AY99="","",IF(BT99&lt;AY99,BR99,BS99))</f>
        <v/>
      </c>
      <c r="BW99" s="4">
        <f>IF(AY99="","",(BU99+BV99)/2)</f>
        <v/>
      </c>
      <c r="BX99" s="4">
        <f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4">
        <f>IF(AY99="","",IF(BX99&lt;AY99,BW99,BU99))</f>
        <v/>
      </c>
      <c r="BZ99" s="4">
        <f>IF(AY99="","",IF(BX99&lt;AY99,BV99,BW99))</f>
        <v/>
      </c>
      <c r="CA99" s="4">
        <f>IF(AY99="","",(BY99+BZ99)/2)</f>
        <v/>
      </c>
      <c r="CB99" s="4">
        <f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4">
        <f>IF(AY99="","",IF(CB99&lt;AY99,CA99,BY99))</f>
        <v/>
      </c>
      <c r="CD99" s="4">
        <f>IF(AY99="","",IF(CB99&lt;AY99,BZ99,CA99))</f>
        <v/>
      </c>
      <c r="CE99" s="4">
        <f>IF(AY99="","",(CC99+CD99)/2)</f>
        <v/>
      </c>
    </row>
    <row r="100">
      <c r="A100" s="4" t="n"/>
      <c r="B100" s="4" t="n"/>
      <c r="C100" s="8" t="n"/>
      <c r="D100" s="8" t="n"/>
      <c r="E100" s="8">
        <f>SUMIFS(CB_Tributaires!$G:$G,CB_Tributaires!$F:$F,$A100)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IF(A100="","",IF(F100="","",2.78E-7*IF(G100&lt;&gt;"",G100,IFERROR(SUMIFS(CB_Tributaires!$H:$H,CB_Tributaires!$F:$F,$A100)/SUMIFS(CB_Tributaires!$G:$G,CB_Tributaires!$F:$F,$A100),Inputs!$B$17))*F100*I100))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7">
        <f>IF(AY100="","",CE100)</f>
        <v/>
      </c>
      <c r="AX100" s="7">
        <f>IF(OR(AY100="",AW100="",R100="",R100&lt;=0,AW100&lt;=0),"",AY100/((R100^2/8)*(2*ACOS(1-2*AW100/R100)-SIN(2*ACOS(1-2*AW100/R100)))))</f>
        <v/>
      </c>
      <c r="AY100" s="4">
        <f>IF(OR(L100="",AZ100=""),"",MIN(L100,AZ100))</f>
        <v/>
      </c>
      <c r="AZ100" s="4">
        <f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4">
        <f>IF(AY100="","",0.001*R100)</f>
        <v/>
      </c>
      <c r="BB100" s="4">
        <f>IF(AY100="","",0.94*R100)</f>
        <v/>
      </c>
      <c r="BC100" s="4">
        <f>IF(AY100="","",(BA100+BB100)/2)</f>
        <v/>
      </c>
      <c r="BD100" s="4">
        <f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4">
        <f>IF(AY100="","",IF(BD100&lt;AY100,BC100,BA100))</f>
        <v/>
      </c>
      <c r="BF100" s="4">
        <f>IF(AY100="","",IF(BD100&lt;AY100,BB100,BC100))</f>
        <v/>
      </c>
      <c r="BG100" s="4">
        <f>IF(AY100="","",(BE100+BF100)/2)</f>
        <v/>
      </c>
      <c r="BH100" s="4">
        <f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4">
        <f>IF(AY100="","",IF(BH100&lt;AY100,BG100,BE100))</f>
        <v/>
      </c>
      <c r="BJ100" s="4">
        <f>IF(AY100="","",IF(BH100&lt;AY100,BF100,BG100))</f>
        <v/>
      </c>
      <c r="BK100" s="4">
        <f>IF(AY100="","",(BI100+BJ100)/2)</f>
        <v/>
      </c>
      <c r="BL100" s="4">
        <f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4">
        <f>IF(AY100="","",IF(BL100&lt;AY100,BK100,BI100))</f>
        <v/>
      </c>
      <c r="BN100" s="4">
        <f>IF(AY100="","",IF(BL100&lt;AY100,BJ100,BK100))</f>
        <v/>
      </c>
      <c r="BO100" s="4">
        <f>IF(AY100="","",(BM100+BN100)/2)</f>
        <v/>
      </c>
      <c r="BP100" s="4">
        <f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4">
        <f>IF(AY100="","",IF(BP100&lt;AY100,BO100,BM100))</f>
        <v/>
      </c>
      <c r="BR100" s="4">
        <f>IF(AY100="","",IF(BP100&lt;AY100,BN100,BO100))</f>
        <v/>
      </c>
      <c r="BS100" s="4">
        <f>IF(AY100="","",(BQ100+BR100)/2)</f>
        <v/>
      </c>
      <c r="BT100" s="4">
        <f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4">
        <f>IF(AY100="","",IF(BT100&lt;AY100,BS100,BQ100))</f>
        <v/>
      </c>
      <c r="BV100" s="4">
        <f>IF(AY100="","",IF(BT100&lt;AY100,BR100,BS100))</f>
        <v/>
      </c>
      <c r="BW100" s="4">
        <f>IF(AY100="","",(BU100+BV100)/2)</f>
        <v/>
      </c>
      <c r="BX100" s="4">
        <f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4">
        <f>IF(AY100="","",IF(BX100&lt;AY100,BW100,BU100))</f>
        <v/>
      </c>
      <c r="BZ100" s="4">
        <f>IF(AY100="","",IF(BX100&lt;AY100,BV100,BW100))</f>
        <v/>
      </c>
      <c r="CA100" s="4">
        <f>IF(AY100="","",(BY100+BZ100)/2)</f>
        <v/>
      </c>
      <c r="CB100" s="4">
        <f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4">
        <f>IF(AY100="","",IF(CB100&lt;AY100,CA100,BY100))</f>
        <v/>
      </c>
      <c r="CD100" s="4">
        <f>IF(AY100="","",IF(CB100&lt;AY100,BZ100,CA100))</f>
        <v/>
      </c>
      <c r="CE100" s="4">
        <f>IF(AY100="","",(CC100+CD100)/2)</f>
        <v/>
      </c>
    </row>
    <row r="101">
      <c r="A101" s="4" t="n"/>
      <c r="B101" s="4" t="n"/>
      <c r="C101" s="8" t="n"/>
      <c r="D101" s="8" t="n"/>
      <c r="E101" s="8">
        <f>SUMIFS(CB_Tributaires!$G:$G,CB_Tributaires!$F:$F,$A101)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IF(A101="","",IF(F101="","",2.78E-7*IF(G101&lt;&gt;"",G101,IFERROR(SUMIFS(CB_Tributaires!$H:$H,CB_Tributaires!$F:$F,$A101)/SUMIFS(CB_Tributaires!$G:$G,CB_Tributaires!$F:$F,$A101),Inputs!$B$17))*F101*I101))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7">
        <f>IF(AY101="","",CE101)</f>
        <v/>
      </c>
      <c r="AX101" s="7">
        <f>IF(OR(AY101="",AW101="",R101="",R101&lt;=0,AW101&lt;=0),"",AY101/((R101^2/8)*(2*ACOS(1-2*AW101/R101)-SIN(2*ACOS(1-2*AW101/R101)))))</f>
        <v/>
      </c>
      <c r="AY101" s="4">
        <f>IF(OR(L101="",AZ101=""),"",MIN(L101,AZ101))</f>
        <v/>
      </c>
      <c r="AZ101" s="4">
        <f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4">
        <f>IF(AY101="","",0.001*R101)</f>
        <v/>
      </c>
      <c r="BB101" s="4">
        <f>IF(AY101="","",0.94*R101)</f>
        <v/>
      </c>
      <c r="BC101" s="4">
        <f>IF(AY101="","",(BA101+BB101)/2)</f>
        <v/>
      </c>
      <c r="BD101" s="4">
        <f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4">
        <f>IF(AY101="","",IF(BD101&lt;AY101,BC101,BA101))</f>
        <v/>
      </c>
      <c r="BF101" s="4">
        <f>IF(AY101="","",IF(BD101&lt;AY101,BB101,BC101))</f>
        <v/>
      </c>
      <c r="BG101" s="4">
        <f>IF(AY101="","",(BE101+BF101)/2)</f>
        <v/>
      </c>
      <c r="BH101" s="4">
        <f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4">
        <f>IF(AY101="","",IF(BH101&lt;AY101,BG101,BE101))</f>
        <v/>
      </c>
      <c r="BJ101" s="4">
        <f>IF(AY101="","",IF(BH101&lt;AY101,BF101,BG101))</f>
        <v/>
      </c>
      <c r="BK101" s="4">
        <f>IF(AY101="","",(BI101+BJ101)/2)</f>
        <v/>
      </c>
      <c r="BL101" s="4">
        <f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4">
        <f>IF(AY101="","",IF(BL101&lt;AY101,BK101,BI101))</f>
        <v/>
      </c>
      <c r="BN101" s="4">
        <f>IF(AY101="","",IF(BL101&lt;AY101,BJ101,BK101))</f>
        <v/>
      </c>
      <c r="BO101" s="4">
        <f>IF(AY101="","",(BM101+BN101)/2)</f>
        <v/>
      </c>
      <c r="BP101" s="4">
        <f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4">
        <f>IF(AY101="","",IF(BP101&lt;AY101,BO101,BM101))</f>
        <v/>
      </c>
      <c r="BR101" s="4">
        <f>IF(AY101="","",IF(BP101&lt;AY101,BN101,BO101))</f>
        <v/>
      </c>
      <c r="BS101" s="4">
        <f>IF(AY101="","",(BQ101+BR101)/2)</f>
        <v/>
      </c>
      <c r="BT101" s="4">
        <f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4">
        <f>IF(AY101="","",IF(BT101&lt;AY101,BS101,BQ101))</f>
        <v/>
      </c>
      <c r="BV101" s="4">
        <f>IF(AY101="","",IF(BT101&lt;AY101,BR101,BS101))</f>
        <v/>
      </c>
      <c r="BW101" s="4">
        <f>IF(AY101="","",(BU101+BV101)/2)</f>
        <v/>
      </c>
      <c r="BX101" s="4">
        <f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4">
        <f>IF(AY101="","",IF(BX101&lt;AY101,BW101,BU101))</f>
        <v/>
      </c>
      <c r="BZ101" s="4">
        <f>IF(AY101="","",IF(BX101&lt;AY101,BV101,BW101))</f>
        <v/>
      </c>
      <c r="CA101" s="4">
        <f>IF(AY101="","",(BY101+BZ101)/2)</f>
        <v/>
      </c>
      <c r="CB101" s="4">
        <f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4">
        <f>IF(AY101="","",IF(CB101&lt;AY101,CA101,BY101))</f>
        <v/>
      </c>
      <c r="CD101" s="4">
        <f>IF(AY101="","",IF(CB101&lt;AY101,BZ101,CA101))</f>
        <v/>
      </c>
      <c r="CE101" s="4">
        <f>IF(AY101="","",(CC101+CD101)/2)</f>
        <v/>
      </c>
    </row>
    <row r="102">
      <c r="A102" s="4" t="n"/>
      <c r="B102" s="4" t="n"/>
      <c r="C102" s="8" t="n"/>
      <c r="D102" s="8" t="n"/>
      <c r="E102" s="8">
        <f>SUMIFS(CB_Tributaires!$G:$G,CB_Tributaires!$F:$F,$A102)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IF(A102="","",IF(F102="","",2.78E-7*IF(G102&lt;&gt;"",G102,IFERROR(SUMIFS(CB_Tributaires!$H:$H,CB_Tributaires!$F:$F,$A102)/SUMIFS(CB_Tributaires!$G:$G,CB_Tributaires!$F:$F,$A102),Inputs!$B$17))*F102*I102))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7">
        <f>IF(AY102="","",CE102)</f>
        <v/>
      </c>
      <c r="AX102" s="7">
        <f>IF(OR(AY102="",AW102="",R102="",R102&lt;=0,AW102&lt;=0),"",AY102/((R102^2/8)*(2*ACOS(1-2*AW102/R102)-SIN(2*ACOS(1-2*AW102/R102)))))</f>
        <v/>
      </c>
      <c r="AY102" s="4">
        <f>IF(OR(L102="",AZ102=""),"",MIN(L102,AZ102))</f>
        <v/>
      </c>
      <c r="AZ102" s="4">
        <f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4">
        <f>IF(AY102="","",0.001*R102)</f>
        <v/>
      </c>
      <c r="BB102" s="4">
        <f>IF(AY102="","",0.94*R102)</f>
        <v/>
      </c>
      <c r="BC102" s="4">
        <f>IF(AY102="","",(BA102+BB102)/2)</f>
        <v/>
      </c>
      <c r="BD102" s="4">
        <f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4">
        <f>IF(AY102="","",IF(BD102&lt;AY102,BC102,BA102))</f>
        <v/>
      </c>
      <c r="BF102" s="4">
        <f>IF(AY102="","",IF(BD102&lt;AY102,BB102,BC102))</f>
        <v/>
      </c>
      <c r="BG102" s="4">
        <f>IF(AY102="","",(BE102+BF102)/2)</f>
        <v/>
      </c>
      <c r="BH102" s="4">
        <f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4">
        <f>IF(AY102="","",IF(BH102&lt;AY102,BG102,BE102))</f>
        <v/>
      </c>
      <c r="BJ102" s="4">
        <f>IF(AY102="","",IF(BH102&lt;AY102,BF102,BG102))</f>
        <v/>
      </c>
      <c r="BK102" s="4">
        <f>IF(AY102="","",(BI102+BJ102)/2)</f>
        <v/>
      </c>
      <c r="BL102" s="4">
        <f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4">
        <f>IF(AY102="","",IF(BL102&lt;AY102,BK102,BI102))</f>
        <v/>
      </c>
      <c r="BN102" s="4">
        <f>IF(AY102="","",IF(BL102&lt;AY102,BJ102,BK102))</f>
        <v/>
      </c>
      <c r="BO102" s="4">
        <f>IF(AY102="","",(BM102+BN102)/2)</f>
        <v/>
      </c>
      <c r="BP102" s="4">
        <f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4">
        <f>IF(AY102="","",IF(BP102&lt;AY102,BO102,BM102))</f>
        <v/>
      </c>
      <c r="BR102" s="4">
        <f>IF(AY102="","",IF(BP102&lt;AY102,BN102,BO102))</f>
        <v/>
      </c>
      <c r="BS102" s="4">
        <f>IF(AY102="","",(BQ102+BR102)/2)</f>
        <v/>
      </c>
      <c r="BT102" s="4">
        <f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4">
        <f>IF(AY102="","",IF(BT102&lt;AY102,BS102,BQ102))</f>
        <v/>
      </c>
      <c r="BV102" s="4">
        <f>IF(AY102="","",IF(BT102&lt;AY102,BR102,BS102))</f>
        <v/>
      </c>
      <c r="BW102" s="4">
        <f>IF(AY102="","",(BU102+BV102)/2)</f>
        <v/>
      </c>
      <c r="BX102" s="4">
        <f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4">
        <f>IF(AY102="","",IF(BX102&lt;AY102,BW102,BU102))</f>
        <v/>
      </c>
      <c r="BZ102" s="4">
        <f>IF(AY102="","",IF(BX102&lt;AY102,BV102,BW102))</f>
        <v/>
      </c>
      <c r="CA102" s="4">
        <f>IF(AY102="","",(BY102+BZ102)/2)</f>
        <v/>
      </c>
      <c r="CB102" s="4">
        <f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4">
        <f>IF(AY102="","",IF(CB102&lt;AY102,CA102,BY102))</f>
        <v/>
      </c>
      <c r="CD102" s="4">
        <f>IF(AY102="","",IF(CB102&lt;AY102,BZ102,CA102))</f>
        <v/>
      </c>
      <c r="CE102" s="4">
        <f>IF(AY102="","",(CC102+CD102)/2)</f>
        <v/>
      </c>
    </row>
    <row r="103">
      <c r="A103" s="4" t="n"/>
      <c r="B103" s="4" t="n"/>
      <c r="C103" s="8" t="n"/>
      <c r="D103" s="8" t="n"/>
      <c r="E103" s="8">
        <f>SUMIFS(CB_Tributaires!$G:$G,CB_Tributaires!$F:$F,$A103)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IF(A103="","",IF(F103="","",2.78E-7*IF(G103&lt;&gt;"",G103,IFERROR(SUMIFS(CB_Tributaires!$H:$H,CB_Tributaires!$F:$F,$A103)/SUMIFS(CB_Tributaires!$G:$G,CB_Tributaires!$F:$F,$A103),Inputs!$B$17))*F103*I103))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7">
        <f>IF(AY103="","",CE103)</f>
        <v/>
      </c>
      <c r="AX103" s="7">
        <f>IF(OR(AY103="",AW103="",R103="",R103&lt;=0,AW103&lt;=0),"",AY103/((R103^2/8)*(2*ACOS(1-2*AW103/R103)-SIN(2*ACOS(1-2*AW103/R103)))))</f>
        <v/>
      </c>
      <c r="AY103" s="4">
        <f>IF(OR(L103="",AZ103=""),"",MIN(L103,AZ103))</f>
        <v/>
      </c>
      <c r="AZ103" s="4">
        <f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4">
        <f>IF(AY103="","",0.001*R103)</f>
        <v/>
      </c>
      <c r="BB103" s="4">
        <f>IF(AY103="","",0.94*R103)</f>
        <v/>
      </c>
      <c r="BC103" s="4">
        <f>IF(AY103="","",(BA103+BB103)/2)</f>
        <v/>
      </c>
      <c r="BD103" s="4">
        <f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4">
        <f>IF(AY103="","",IF(BD103&lt;AY103,BC103,BA103))</f>
        <v/>
      </c>
      <c r="BF103" s="4">
        <f>IF(AY103="","",IF(BD103&lt;AY103,BB103,BC103))</f>
        <v/>
      </c>
      <c r="BG103" s="4">
        <f>IF(AY103="","",(BE103+BF103)/2)</f>
        <v/>
      </c>
      <c r="BH103" s="4">
        <f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4">
        <f>IF(AY103="","",IF(BH103&lt;AY103,BG103,BE103))</f>
        <v/>
      </c>
      <c r="BJ103" s="4">
        <f>IF(AY103="","",IF(BH103&lt;AY103,BF103,BG103))</f>
        <v/>
      </c>
      <c r="BK103" s="4">
        <f>IF(AY103="","",(BI103+BJ103)/2)</f>
        <v/>
      </c>
      <c r="BL103" s="4">
        <f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4">
        <f>IF(AY103="","",IF(BL103&lt;AY103,BK103,BI103))</f>
        <v/>
      </c>
      <c r="BN103" s="4">
        <f>IF(AY103="","",IF(BL103&lt;AY103,BJ103,BK103))</f>
        <v/>
      </c>
      <c r="BO103" s="4">
        <f>IF(AY103="","",(BM103+BN103)/2)</f>
        <v/>
      </c>
      <c r="BP103" s="4">
        <f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4">
        <f>IF(AY103="","",IF(BP103&lt;AY103,BO103,BM103))</f>
        <v/>
      </c>
      <c r="BR103" s="4">
        <f>IF(AY103="","",IF(BP103&lt;AY103,BN103,BO103))</f>
        <v/>
      </c>
      <c r="BS103" s="4">
        <f>IF(AY103="","",(BQ103+BR103)/2)</f>
        <v/>
      </c>
      <c r="BT103" s="4">
        <f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4">
        <f>IF(AY103="","",IF(BT103&lt;AY103,BS103,BQ103))</f>
        <v/>
      </c>
      <c r="BV103" s="4">
        <f>IF(AY103="","",IF(BT103&lt;AY103,BR103,BS103))</f>
        <v/>
      </c>
      <c r="BW103" s="4">
        <f>IF(AY103="","",(BU103+BV103)/2)</f>
        <v/>
      </c>
      <c r="BX103" s="4">
        <f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4">
        <f>IF(AY103="","",IF(BX103&lt;AY103,BW103,BU103))</f>
        <v/>
      </c>
      <c r="BZ103" s="4">
        <f>IF(AY103="","",IF(BX103&lt;AY103,BV103,BW103))</f>
        <v/>
      </c>
      <c r="CA103" s="4">
        <f>IF(AY103="","",(BY103+BZ103)/2)</f>
        <v/>
      </c>
      <c r="CB103" s="4">
        <f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4">
        <f>IF(AY103="","",IF(CB103&lt;AY103,CA103,BY103))</f>
        <v/>
      </c>
      <c r="CD103" s="4">
        <f>IF(AY103="","",IF(CB103&lt;AY103,BZ103,CA103))</f>
        <v/>
      </c>
      <c r="CE103" s="4">
        <f>IF(AY103="","",(CC103+CD103)/2)</f>
        <v/>
      </c>
    </row>
    <row r="104">
      <c r="A104" s="4" t="n"/>
      <c r="B104" s="4" t="n"/>
      <c r="C104" s="8" t="n"/>
      <c r="D104" s="8" t="n"/>
      <c r="E104" s="8">
        <f>SUMIFS(CB_Tributaires!$G:$G,CB_Tributaires!$F:$F,$A104)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IF(A104="","",IF(F104="","",2.78E-7*IF(G104&lt;&gt;"",G104,IFERROR(SUMIFS(CB_Tributaires!$H:$H,CB_Tributaires!$F:$F,$A104)/SUMIFS(CB_Tributaires!$G:$G,CB_Tributaires!$F:$F,$A104),Inputs!$B$17))*F104*I104))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7">
        <f>IF(AY104="","",CE104)</f>
        <v/>
      </c>
      <c r="AX104" s="7">
        <f>IF(OR(AY104="",AW104="",R104="",R104&lt;=0,AW104&lt;=0),"",AY104/((R104^2/8)*(2*ACOS(1-2*AW104/R104)-SIN(2*ACOS(1-2*AW104/R104)))))</f>
        <v/>
      </c>
      <c r="AY104" s="4">
        <f>IF(OR(L104="",AZ104=""),"",MIN(L104,AZ104))</f>
        <v/>
      </c>
      <c r="AZ104" s="4">
        <f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4">
        <f>IF(AY104="","",0.001*R104)</f>
        <v/>
      </c>
      <c r="BB104" s="4">
        <f>IF(AY104="","",0.94*R104)</f>
        <v/>
      </c>
      <c r="BC104" s="4">
        <f>IF(AY104="","",(BA104+BB104)/2)</f>
        <v/>
      </c>
      <c r="BD104" s="4">
        <f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4">
        <f>IF(AY104="","",IF(BD104&lt;AY104,BC104,BA104))</f>
        <v/>
      </c>
      <c r="BF104" s="4">
        <f>IF(AY104="","",IF(BD104&lt;AY104,BB104,BC104))</f>
        <v/>
      </c>
      <c r="BG104" s="4">
        <f>IF(AY104="","",(BE104+BF104)/2)</f>
        <v/>
      </c>
      <c r="BH104" s="4">
        <f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4">
        <f>IF(AY104="","",IF(BH104&lt;AY104,BG104,BE104))</f>
        <v/>
      </c>
      <c r="BJ104" s="4">
        <f>IF(AY104="","",IF(BH104&lt;AY104,BF104,BG104))</f>
        <v/>
      </c>
      <c r="BK104" s="4">
        <f>IF(AY104="","",(BI104+BJ104)/2)</f>
        <v/>
      </c>
      <c r="BL104" s="4">
        <f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4">
        <f>IF(AY104="","",IF(BL104&lt;AY104,BK104,BI104))</f>
        <v/>
      </c>
      <c r="BN104" s="4">
        <f>IF(AY104="","",IF(BL104&lt;AY104,BJ104,BK104))</f>
        <v/>
      </c>
      <c r="BO104" s="4">
        <f>IF(AY104="","",(BM104+BN104)/2)</f>
        <v/>
      </c>
      <c r="BP104" s="4">
        <f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4">
        <f>IF(AY104="","",IF(BP104&lt;AY104,BO104,BM104))</f>
        <v/>
      </c>
      <c r="BR104" s="4">
        <f>IF(AY104="","",IF(BP104&lt;AY104,BN104,BO104))</f>
        <v/>
      </c>
      <c r="BS104" s="4">
        <f>IF(AY104="","",(BQ104+BR104)/2)</f>
        <v/>
      </c>
      <c r="BT104" s="4">
        <f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4">
        <f>IF(AY104="","",IF(BT104&lt;AY104,BS104,BQ104))</f>
        <v/>
      </c>
      <c r="BV104" s="4">
        <f>IF(AY104="","",IF(BT104&lt;AY104,BR104,BS104))</f>
        <v/>
      </c>
      <c r="BW104" s="4">
        <f>IF(AY104="","",(BU104+BV104)/2)</f>
        <v/>
      </c>
      <c r="BX104" s="4">
        <f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4">
        <f>IF(AY104="","",IF(BX104&lt;AY104,BW104,BU104))</f>
        <v/>
      </c>
      <c r="BZ104" s="4">
        <f>IF(AY104="","",IF(BX104&lt;AY104,BV104,BW104))</f>
        <v/>
      </c>
      <c r="CA104" s="4">
        <f>IF(AY104="","",(BY104+BZ104)/2)</f>
        <v/>
      </c>
      <c r="CB104" s="4">
        <f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4">
        <f>IF(AY104="","",IF(CB104&lt;AY104,CA104,BY104))</f>
        <v/>
      </c>
      <c r="CD104" s="4">
        <f>IF(AY104="","",IF(CB104&lt;AY104,BZ104,CA104))</f>
        <v/>
      </c>
      <c r="CE104" s="4">
        <f>IF(AY104="","",(CC104+CD104)/2)</f>
        <v/>
      </c>
    </row>
    <row r="105">
      <c r="A105" s="4" t="n"/>
      <c r="B105" s="4" t="n"/>
      <c r="C105" s="8" t="n"/>
      <c r="D105" s="8" t="n"/>
      <c r="E105" s="8">
        <f>SUMIFS(CB_Tributaires!$G:$G,CB_Tributaires!$F:$F,$A105)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IF(A105="","",IF(F105="","",2.78E-7*IF(G105&lt;&gt;"",G105,IFERROR(SUMIFS(CB_Tributaires!$H:$H,CB_Tributaires!$F:$F,$A105)/SUMIFS(CB_Tributaires!$G:$G,CB_Tributaires!$F:$F,$A105),Inputs!$B$17))*F105*I105))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7">
        <f>IF(AY105="","",CE105)</f>
        <v/>
      </c>
      <c r="AX105" s="7">
        <f>IF(OR(AY105="",AW105="",R105="",R105&lt;=0,AW105&lt;=0),"",AY105/((R105^2/8)*(2*ACOS(1-2*AW105/R105)-SIN(2*ACOS(1-2*AW105/R105)))))</f>
        <v/>
      </c>
      <c r="AY105" s="4">
        <f>IF(OR(L105="",AZ105=""),"",MIN(L105,AZ105))</f>
        <v/>
      </c>
      <c r="AZ105" s="4">
        <f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4">
        <f>IF(AY105="","",0.001*R105)</f>
        <v/>
      </c>
      <c r="BB105" s="4">
        <f>IF(AY105="","",0.94*R105)</f>
        <v/>
      </c>
      <c r="BC105" s="4">
        <f>IF(AY105="","",(BA105+BB105)/2)</f>
        <v/>
      </c>
      <c r="BD105" s="4">
        <f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4">
        <f>IF(AY105="","",IF(BD105&lt;AY105,BC105,BA105))</f>
        <v/>
      </c>
      <c r="BF105" s="4">
        <f>IF(AY105="","",IF(BD105&lt;AY105,BB105,BC105))</f>
        <v/>
      </c>
      <c r="BG105" s="4">
        <f>IF(AY105="","",(BE105+BF105)/2)</f>
        <v/>
      </c>
      <c r="BH105" s="4">
        <f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4">
        <f>IF(AY105="","",IF(BH105&lt;AY105,BG105,BE105))</f>
        <v/>
      </c>
      <c r="BJ105" s="4">
        <f>IF(AY105="","",IF(BH105&lt;AY105,BF105,BG105))</f>
        <v/>
      </c>
      <c r="BK105" s="4">
        <f>IF(AY105="","",(BI105+BJ105)/2)</f>
        <v/>
      </c>
      <c r="BL105" s="4">
        <f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4">
        <f>IF(AY105="","",IF(BL105&lt;AY105,BK105,BI105))</f>
        <v/>
      </c>
      <c r="BN105" s="4">
        <f>IF(AY105="","",IF(BL105&lt;AY105,BJ105,BK105))</f>
        <v/>
      </c>
      <c r="BO105" s="4">
        <f>IF(AY105="","",(BM105+BN105)/2)</f>
        <v/>
      </c>
      <c r="BP105" s="4">
        <f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4">
        <f>IF(AY105="","",IF(BP105&lt;AY105,BO105,BM105))</f>
        <v/>
      </c>
      <c r="BR105" s="4">
        <f>IF(AY105="","",IF(BP105&lt;AY105,BN105,BO105))</f>
        <v/>
      </c>
      <c r="BS105" s="4">
        <f>IF(AY105="","",(BQ105+BR105)/2)</f>
        <v/>
      </c>
      <c r="BT105" s="4">
        <f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4">
        <f>IF(AY105="","",IF(BT105&lt;AY105,BS105,BQ105))</f>
        <v/>
      </c>
      <c r="BV105" s="4">
        <f>IF(AY105="","",IF(BT105&lt;AY105,BR105,BS105))</f>
        <v/>
      </c>
      <c r="BW105" s="4">
        <f>IF(AY105="","",(BU105+BV105)/2)</f>
        <v/>
      </c>
      <c r="BX105" s="4">
        <f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4">
        <f>IF(AY105="","",IF(BX105&lt;AY105,BW105,BU105))</f>
        <v/>
      </c>
      <c r="BZ105" s="4">
        <f>IF(AY105="","",IF(BX105&lt;AY105,BV105,BW105))</f>
        <v/>
      </c>
      <c r="CA105" s="4">
        <f>IF(AY105="","",(BY105+BZ105)/2)</f>
        <v/>
      </c>
      <c r="CB105" s="4">
        <f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4">
        <f>IF(AY105="","",IF(CB105&lt;AY105,CA105,BY105))</f>
        <v/>
      </c>
      <c r="CD105" s="4">
        <f>IF(AY105="","",IF(CB105&lt;AY105,BZ105,CA105))</f>
        <v/>
      </c>
      <c r="CE105" s="4">
        <f>IF(AY105="","",(CC105+CD105)/2)</f>
        <v/>
      </c>
    </row>
    <row r="106">
      <c r="A106" s="4" t="n"/>
      <c r="B106" s="4" t="n"/>
      <c r="C106" s="8" t="n"/>
      <c r="D106" s="8" t="n"/>
      <c r="E106" s="8">
        <f>SUMIFS(CB_Tributaires!$G:$G,CB_Tributaires!$F:$F,$A106)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IF(A106="","",IF(F106="","",2.78E-7*IF(G106&lt;&gt;"",G106,IFERROR(SUMIFS(CB_Tributaires!$H:$H,CB_Tributaires!$F:$F,$A106)/SUMIFS(CB_Tributaires!$G:$G,CB_Tributaires!$F:$F,$A106),Inputs!$B$17))*F106*I106))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7">
        <f>IF(AY106="","",CE106)</f>
        <v/>
      </c>
      <c r="AX106" s="7">
        <f>IF(OR(AY106="",AW106="",R106="",R106&lt;=0,AW106&lt;=0),"",AY106/((R106^2/8)*(2*ACOS(1-2*AW106/R106)-SIN(2*ACOS(1-2*AW106/R106)))))</f>
        <v/>
      </c>
      <c r="AY106" s="4">
        <f>IF(OR(L106="",AZ106=""),"",MIN(L106,AZ106))</f>
        <v/>
      </c>
      <c r="AZ106" s="4">
        <f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4">
        <f>IF(AY106="","",0.001*R106)</f>
        <v/>
      </c>
      <c r="BB106" s="4">
        <f>IF(AY106="","",0.94*R106)</f>
        <v/>
      </c>
      <c r="BC106" s="4">
        <f>IF(AY106="","",(BA106+BB106)/2)</f>
        <v/>
      </c>
      <c r="BD106" s="4">
        <f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4">
        <f>IF(AY106="","",IF(BD106&lt;AY106,BC106,BA106))</f>
        <v/>
      </c>
      <c r="BF106" s="4">
        <f>IF(AY106="","",IF(BD106&lt;AY106,BB106,BC106))</f>
        <v/>
      </c>
      <c r="BG106" s="4">
        <f>IF(AY106="","",(BE106+BF106)/2)</f>
        <v/>
      </c>
      <c r="BH106" s="4">
        <f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4">
        <f>IF(AY106="","",IF(BH106&lt;AY106,BG106,BE106))</f>
        <v/>
      </c>
      <c r="BJ106" s="4">
        <f>IF(AY106="","",IF(BH106&lt;AY106,BF106,BG106))</f>
        <v/>
      </c>
      <c r="BK106" s="4">
        <f>IF(AY106="","",(BI106+BJ106)/2)</f>
        <v/>
      </c>
      <c r="BL106" s="4">
        <f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4">
        <f>IF(AY106="","",IF(BL106&lt;AY106,BK106,BI106))</f>
        <v/>
      </c>
      <c r="BN106" s="4">
        <f>IF(AY106="","",IF(BL106&lt;AY106,BJ106,BK106))</f>
        <v/>
      </c>
      <c r="BO106" s="4">
        <f>IF(AY106="","",(BM106+BN106)/2)</f>
        <v/>
      </c>
      <c r="BP106" s="4">
        <f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4">
        <f>IF(AY106="","",IF(BP106&lt;AY106,BO106,BM106))</f>
        <v/>
      </c>
      <c r="BR106" s="4">
        <f>IF(AY106="","",IF(BP106&lt;AY106,BN106,BO106))</f>
        <v/>
      </c>
      <c r="BS106" s="4">
        <f>IF(AY106="","",(BQ106+BR106)/2)</f>
        <v/>
      </c>
      <c r="BT106" s="4">
        <f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4">
        <f>IF(AY106="","",IF(BT106&lt;AY106,BS106,BQ106))</f>
        <v/>
      </c>
      <c r="BV106" s="4">
        <f>IF(AY106="","",IF(BT106&lt;AY106,BR106,BS106))</f>
        <v/>
      </c>
      <c r="BW106" s="4">
        <f>IF(AY106="","",(BU106+BV106)/2)</f>
        <v/>
      </c>
      <c r="BX106" s="4">
        <f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4">
        <f>IF(AY106="","",IF(BX106&lt;AY106,BW106,BU106))</f>
        <v/>
      </c>
      <c r="BZ106" s="4">
        <f>IF(AY106="","",IF(BX106&lt;AY106,BV106,BW106))</f>
        <v/>
      </c>
      <c r="CA106" s="4">
        <f>IF(AY106="","",(BY106+BZ106)/2)</f>
        <v/>
      </c>
      <c r="CB106" s="4">
        <f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4">
        <f>IF(AY106="","",IF(CB106&lt;AY106,CA106,BY106))</f>
        <v/>
      </c>
      <c r="CD106" s="4">
        <f>IF(AY106="","",IF(CB106&lt;AY106,BZ106,CA106))</f>
        <v/>
      </c>
      <c r="CE106" s="4">
        <f>IF(AY106="","",(CC106+CD106)/2)</f>
        <v/>
      </c>
    </row>
    <row r="107">
      <c r="A107" s="4" t="n"/>
      <c r="B107" s="4" t="n"/>
      <c r="C107" s="8" t="n"/>
      <c r="D107" s="8" t="n"/>
      <c r="E107" s="8">
        <f>SUMIFS(CB_Tributaires!$G:$G,CB_Tributaires!$F:$F,$A107)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IF(A107="","",IF(F107="","",2.78E-7*IF(G107&lt;&gt;"",G107,IFERROR(SUMIFS(CB_Tributaires!$H:$H,CB_Tributaires!$F:$F,$A107)/SUMIFS(CB_Tributaires!$G:$G,CB_Tributaires!$F:$F,$A107),Inputs!$B$17))*F107*I107))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7">
        <f>IF(AY107="","",CE107)</f>
        <v/>
      </c>
      <c r="AX107" s="7">
        <f>IF(OR(AY107="",AW107="",R107="",R107&lt;=0,AW107&lt;=0),"",AY107/((R107^2/8)*(2*ACOS(1-2*AW107/R107)-SIN(2*ACOS(1-2*AW107/R107)))))</f>
        <v/>
      </c>
      <c r="AY107" s="4">
        <f>IF(OR(L107="",AZ107=""),"",MIN(L107,AZ107))</f>
        <v/>
      </c>
      <c r="AZ107" s="4">
        <f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4">
        <f>IF(AY107="","",0.001*R107)</f>
        <v/>
      </c>
      <c r="BB107" s="4">
        <f>IF(AY107="","",0.94*R107)</f>
        <v/>
      </c>
      <c r="BC107" s="4">
        <f>IF(AY107="","",(BA107+BB107)/2)</f>
        <v/>
      </c>
      <c r="BD107" s="4">
        <f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4">
        <f>IF(AY107="","",IF(BD107&lt;AY107,BC107,BA107))</f>
        <v/>
      </c>
      <c r="BF107" s="4">
        <f>IF(AY107="","",IF(BD107&lt;AY107,BB107,BC107))</f>
        <v/>
      </c>
      <c r="BG107" s="4">
        <f>IF(AY107="","",(BE107+BF107)/2)</f>
        <v/>
      </c>
      <c r="BH107" s="4">
        <f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4">
        <f>IF(AY107="","",IF(BH107&lt;AY107,BG107,BE107))</f>
        <v/>
      </c>
      <c r="BJ107" s="4">
        <f>IF(AY107="","",IF(BH107&lt;AY107,BF107,BG107))</f>
        <v/>
      </c>
      <c r="BK107" s="4">
        <f>IF(AY107="","",(BI107+BJ107)/2)</f>
        <v/>
      </c>
      <c r="BL107" s="4">
        <f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4">
        <f>IF(AY107="","",IF(BL107&lt;AY107,BK107,BI107))</f>
        <v/>
      </c>
      <c r="BN107" s="4">
        <f>IF(AY107="","",IF(BL107&lt;AY107,BJ107,BK107))</f>
        <v/>
      </c>
      <c r="BO107" s="4">
        <f>IF(AY107="","",(BM107+BN107)/2)</f>
        <v/>
      </c>
      <c r="BP107" s="4">
        <f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4">
        <f>IF(AY107="","",IF(BP107&lt;AY107,BO107,BM107))</f>
        <v/>
      </c>
      <c r="BR107" s="4">
        <f>IF(AY107="","",IF(BP107&lt;AY107,BN107,BO107))</f>
        <v/>
      </c>
      <c r="BS107" s="4">
        <f>IF(AY107="","",(BQ107+BR107)/2)</f>
        <v/>
      </c>
      <c r="BT107" s="4">
        <f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4">
        <f>IF(AY107="","",IF(BT107&lt;AY107,BS107,BQ107))</f>
        <v/>
      </c>
      <c r="BV107" s="4">
        <f>IF(AY107="","",IF(BT107&lt;AY107,BR107,BS107))</f>
        <v/>
      </c>
      <c r="BW107" s="4">
        <f>IF(AY107="","",(BU107+BV107)/2)</f>
        <v/>
      </c>
      <c r="BX107" s="4">
        <f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4">
        <f>IF(AY107="","",IF(BX107&lt;AY107,BW107,BU107))</f>
        <v/>
      </c>
      <c r="BZ107" s="4">
        <f>IF(AY107="","",IF(BX107&lt;AY107,BV107,BW107))</f>
        <v/>
      </c>
      <c r="CA107" s="4">
        <f>IF(AY107="","",(BY107+BZ107)/2)</f>
        <v/>
      </c>
      <c r="CB107" s="4">
        <f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4">
        <f>IF(AY107="","",IF(CB107&lt;AY107,CA107,BY107))</f>
        <v/>
      </c>
      <c r="CD107" s="4">
        <f>IF(AY107="","",IF(CB107&lt;AY107,BZ107,CA107))</f>
        <v/>
      </c>
      <c r="CE107" s="4">
        <f>IF(AY107="","",(CC107+CD107)/2)</f>
        <v/>
      </c>
    </row>
    <row r="108">
      <c r="A108" s="4" t="n"/>
      <c r="B108" s="4" t="n"/>
      <c r="C108" s="8" t="n"/>
      <c r="D108" s="8" t="n"/>
      <c r="E108" s="8">
        <f>SUMIFS(CB_Tributaires!$G:$G,CB_Tributaires!$F:$F,$A108)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IF(A108="","",IF(F108="","",2.78E-7*IF(G108&lt;&gt;"",G108,IFERROR(SUMIFS(CB_Tributaires!$H:$H,CB_Tributaires!$F:$F,$A108)/SUMIFS(CB_Tributaires!$G:$G,CB_Tributaires!$F:$F,$A108),Inputs!$B$17))*F108*I108))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7">
        <f>IF(AY108="","",CE108)</f>
        <v/>
      </c>
      <c r="AX108" s="7">
        <f>IF(OR(AY108="",AW108="",R108="",R108&lt;=0,AW108&lt;=0),"",AY108/((R108^2/8)*(2*ACOS(1-2*AW108/R108)-SIN(2*ACOS(1-2*AW108/R108)))))</f>
        <v/>
      </c>
      <c r="AY108" s="4">
        <f>IF(OR(L108="",AZ108=""),"",MIN(L108,AZ108))</f>
        <v/>
      </c>
      <c r="AZ108" s="4">
        <f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4">
        <f>IF(AY108="","",0.001*R108)</f>
        <v/>
      </c>
      <c r="BB108" s="4">
        <f>IF(AY108="","",0.94*R108)</f>
        <v/>
      </c>
      <c r="BC108" s="4">
        <f>IF(AY108="","",(BA108+BB108)/2)</f>
        <v/>
      </c>
      <c r="BD108" s="4">
        <f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4">
        <f>IF(AY108="","",IF(BD108&lt;AY108,BC108,BA108))</f>
        <v/>
      </c>
      <c r="BF108" s="4">
        <f>IF(AY108="","",IF(BD108&lt;AY108,BB108,BC108))</f>
        <v/>
      </c>
      <c r="BG108" s="4">
        <f>IF(AY108="","",(BE108+BF108)/2)</f>
        <v/>
      </c>
      <c r="BH108" s="4">
        <f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4">
        <f>IF(AY108="","",IF(BH108&lt;AY108,BG108,BE108))</f>
        <v/>
      </c>
      <c r="BJ108" s="4">
        <f>IF(AY108="","",IF(BH108&lt;AY108,BF108,BG108))</f>
        <v/>
      </c>
      <c r="BK108" s="4">
        <f>IF(AY108="","",(BI108+BJ108)/2)</f>
        <v/>
      </c>
      <c r="BL108" s="4">
        <f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4">
        <f>IF(AY108="","",IF(BL108&lt;AY108,BK108,BI108))</f>
        <v/>
      </c>
      <c r="BN108" s="4">
        <f>IF(AY108="","",IF(BL108&lt;AY108,BJ108,BK108))</f>
        <v/>
      </c>
      <c r="BO108" s="4">
        <f>IF(AY108="","",(BM108+BN108)/2)</f>
        <v/>
      </c>
      <c r="BP108" s="4">
        <f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4">
        <f>IF(AY108="","",IF(BP108&lt;AY108,BO108,BM108))</f>
        <v/>
      </c>
      <c r="BR108" s="4">
        <f>IF(AY108="","",IF(BP108&lt;AY108,BN108,BO108))</f>
        <v/>
      </c>
      <c r="BS108" s="4">
        <f>IF(AY108="","",(BQ108+BR108)/2)</f>
        <v/>
      </c>
      <c r="BT108" s="4">
        <f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4">
        <f>IF(AY108="","",IF(BT108&lt;AY108,BS108,BQ108))</f>
        <v/>
      </c>
      <c r="BV108" s="4">
        <f>IF(AY108="","",IF(BT108&lt;AY108,BR108,BS108))</f>
        <v/>
      </c>
      <c r="BW108" s="4">
        <f>IF(AY108="","",(BU108+BV108)/2)</f>
        <v/>
      </c>
      <c r="BX108" s="4">
        <f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4">
        <f>IF(AY108="","",IF(BX108&lt;AY108,BW108,BU108))</f>
        <v/>
      </c>
      <c r="BZ108" s="4">
        <f>IF(AY108="","",IF(BX108&lt;AY108,BV108,BW108))</f>
        <v/>
      </c>
      <c r="CA108" s="4">
        <f>IF(AY108="","",(BY108+BZ108)/2)</f>
        <v/>
      </c>
      <c r="CB108" s="4">
        <f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4">
        <f>IF(AY108="","",IF(CB108&lt;AY108,CA108,BY108))</f>
        <v/>
      </c>
      <c r="CD108" s="4">
        <f>IF(AY108="","",IF(CB108&lt;AY108,BZ108,CA108))</f>
        <v/>
      </c>
      <c r="CE108" s="4">
        <f>IF(AY108="","",(CC108+CD108)/2)</f>
        <v/>
      </c>
    </row>
    <row r="109">
      <c r="A109" s="4" t="n"/>
      <c r="B109" s="4" t="n"/>
      <c r="C109" s="8" t="n"/>
      <c r="D109" s="8" t="n"/>
      <c r="E109" s="8">
        <f>SUMIFS(CB_Tributaires!$G:$G,CB_Tributaires!$F:$F,$A109)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IF(A109="","",IF(F109="","",2.78E-7*IF(G109&lt;&gt;"",G109,IFERROR(SUMIFS(CB_Tributaires!$H:$H,CB_Tributaires!$F:$F,$A109)/SUMIFS(CB_Tributaires!$G:$G,CB_Tributaires!$F:$F,$A109),Inputs!$B$17))*F109*I109))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7">
        <f>IF(AY109="","",CE109)</f>
        <v/>
      </c>
      <c r="AX109" s="7">
        <f>IF(OR(AY109="",AW109="",R109="",R109&lt;=0,AW109&lt;=0),"",AY109/((R109^2/8)*(2*ACOS(1-2*AW109/R109)-SIN(2*ACOS(1-2*AW109/R109)))))</f>
        <v/>
      </c>
      <c r="AY109" s="4">
        <f>IF(OR(L109="",AZ109=""),"",MIN(L109,AZ109))</f>
        <v/>
      </c>
      <c r="AZ109" s="4">
        <f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4">
        <f>IF(AY109="","",0.001*R109)</f>
        <v/>
      </c>
      <c r="BB109" s="4">
        <f>IF(AY109="","",0.94*R109)</f>
        <v/>
      </c>
      <c r="BC109" s="4">
        <f>IF(AY109="","",(BA109+BB109)/2)</f>
        <v/>
      </c>
      <c r="BD109" s="4">
        <f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4">
        <f>IF(AY109="","",IF(BD109&lt;AY109,BC109,BA109))</f>
        <v/>
      </c>
      <c r="BF109" s="4">
        <f>IF(AY109="","",IF(BD109&lt;AY109,BB109,BC109))</f>
        <v/>
      </c>
      <c r="BG109" s="4">
        <f>IF(AY109="","",(BE109+BF109)/2)</f>
        <v/>
      </c>
      <c r="BH109" s="4">
        <f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4">
        <f>IF(AY109="","",IF(BH109&lt;AY109,BG109,BE109))</f>
        <v/>
      </c>
      <c r="BJ109" s="4">
        <f>IF(AY109="","",IF(BH109&lt;AY109,BF109,BG109))</f>
        <v/>
      </c>
      <c r="BK109" s="4">
        <f>IF(AY109="","",(BI109+BJ109)/2)</f>
        <v/>
      </c>
      <c r="BL109" s="4">
        <f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4">
        <f>IF(AY109="","",IF(BL109&lt;AY109,BK109,BI109))</f>
        <v/>
      </c>
      <c r="BN109" s="4">
        <f>IF(AY109="","",IF(BL109&lt;AY109,BJ109,BK109))</f>
        <v/>
      </c>
      <c r="BO109" s="4">
        <f>IF(AY109="","",(BM109+BN109)/2)</f>
        <v/>
      </c>
      <c r="BP109" s="4">
        <f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4">
        <f>IF(AY109="","",IF(BP109&lt;AY109,BO109,BM109))</f>
        <v/>
      </c>
      <c r="BR109" s="4">
        <f>IF(AY109="","",IF(BP109&lt;AY109,BN109,BO109))</f>
        <v/>
      </c>
      <c r="BS109" s="4">
        <f>IF(AY109="","",(BQ109+BR109)/2)</f>
        <v/>
      </c>
      <c r="BT109" s="4">
        <f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4">
        <f>IF(AY109="","",IF(BT109&lt;AY109,BS109,BQ109))</f>
        <v/>
      </c>
      <c r="BV109" s="4">
        <f>IF(AY109="","",IF(BT109&lt;AY109,BR109,BS109))</f>
        <v/>
      </c>
      <c r="BW109" s="4">
        <f>IF(AY109="","",(BU109+BV109)/2)</f>
        <v/>
      </c>
      <c r="BX109" s="4">
        <f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4">
        <f>IF(AY109="","",IF(BX109&lt;AY109,BW109,BU109))</f>
        <v/>
      </c>
      <c r="BZ109" s="4">
        <f>IF(AY109="","",IF(BX109&lt;AY109,BV109,BW109))</f>
        <v/>
      </c>
      <c r="CA109" s="4">
        <f>IF(AY109="","",(BY109+BZ109)/2)</f>
        <v/>
      </c>
      <c r="CB109" s="4">
        <f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4">
        <f>IF(AY109="","",IF(CB109&lt;AY109,CA109,BY109))</f>
        <v/>
      </c>
      <c r="CD109" s="4">
        <f>IF(AY109="","",IF(CB109&lt;AY109,BZ109,CA109))</f>
        <v/>
      </c>
      <c r="CE109" s="4">
        <f>IF(AY109="","",(CC109+CD109)/2)</f>
        <v/>
      </c>
    </row>
    <row r="110">
      <c r="A110" s="4" t="n"/>
      <c r="B110" s="4" t="n"/>
      <c r="C110" s="8" t="n"/>
      <c r="D110" s="8" t="n"/>
      <c r="E110" s="8">
        <f>SUMIFS(CB_Tributaires!$G:$G,CB_Tributaires!$F:$F,$A110)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IF(A110="","",IF(F110="","",2.78E-7*IF(G110&lt;&gt;"",G110,IFERROR(SUMIFS(CB_Tributaires!$H:$H,CB_Tributaires!$F:$F,$A110)/SUMIFS(CB_Tributaires!$G:$G,CB_Tributaires!$F:$F,$A110),Inputs!$B$17))*F110*I110))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7">
        <f>IF(AY110="","",CE110)</f>
        <v/>
      </c>
      <c r="AX110" s="7">
        <f>IF(OR(AY110="",AW110="",R110="",R110&lt;=0,AW110&lt;=0),"",AY110/((R110^2/8)*(2*ACOS(1-2*AW110/R110)-SIN(2*ACOS(1-2*AW110/R110)))))</f>
        <v/>
      </c>
      <c r="AY110" s="4">
        <f>IF(OR(L110="",AZ110=""),"",MIN(L110,AZ110))</f>
        <v/>
      </c>
      <c r="AZ110" s="4">
        <f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4">
        <f>IF(AY110="","",0.001*R110)</f>
        <v/>
      </c>
      <c r="BB110" s="4">
        <f>IF(AY110="","",0.94*R110)</f>
        <v/>
      </c>
      <c r="BC110" s="4">
        <f>IF(AY110="","",(BA110+BB110)/2)</f>
        <v/>
      </c>
      <c r="BD110" s="4">
        <f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4">
        <f>IF(AY110="","",IF(BD110&lt;AY110,BC110,BA110))</f>
        <v/>
      </c>
      <c r="BF110" s="4">
        <f>IF(AY110="","",IF(BD110&lt;AY110,BB110,BC110))</f>
        <v/>
      </c>
      <c r="BG110" s="4">
        <f>IF(AY110="","",(BE110+BF110)/2)</f>
        <v/>
      </c>
      <c r="BH110" s="4">
        <f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4">
        <f>IF(AY110="","",IF(BH110&lt;AY110,BG110,BE110))</f>
        <v/>
      </c>
      <c r="BJ110" s="4">
        <f>IF(AY110="","",IF(BH110&lt;AY110,BF110,BG110))</f>
        <v/>
      </c>
      <c r="BK110" s="4">
        <f>IF(AY110="","",(BI110+BJ110)/2)</f>
        <v/>
      </c>
      <c r="BL110" s="4">
        <f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4">
        <f>IF(AY110="","",IF(BL110&lt;AY110,BK110,BI110))</f>
        <v/>
      </c>
      <c r="BN110" s="4">
        <f>IF(AY110="","",IF(BL110&lt;AY110,BJ110,BK110))</f>
        <v/>
      </c>
      <c r="BO110" s="4">
        <f>IF(AY110="","",(BM110+BN110)/2)</f>
        <v/>
      </c>
      <c r="BP110" s="4">
        <f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4">
        <f>IF(AY110="","",IF(BP110&lt;AY110,BO110,BM110))</f>
        <v/>
      </c>
      <c r="BR110" s="4">
        <f>IF(AY110="","",IF(BP110&lt;AY110,BN110,BO110))</f>
        <v/>
      </c>
      <c r="BS110" s="4">
        <f>IF(AY110="","",(BQ110+BR110)/2)</f>
        <v/>
      </c>
      <c r="BT110" s="4">
        <f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4">
        <f>IF(AY110="","",IF(BT110&lt;AY110,BS110,BQ110))</f>
        <v/>
      </c>
      <c r="BV110" s="4">
        <f>IF(AY110="","",IF(BT110&lt;AY110,BR110,BS110))</f>
        <v/>
      </c>
      <c r="BW110" s="4">
        <f>IF(AY110="","",(BU110+BV110)/2)</f>
        <v/>
      </c>
      <c r="BX110" s="4">
        <f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4">
        <f>IF(AY110="","",IF(BX110&lt;AY110,BW110,BU110))</f>
        <v/>
      </c>
      <c r="BZ110" s="4">
        <f>IF(AY110="","",IF(BX110&lt;AY110,BV110,BW110))</f>
        <v/>
      </c>
      <c r="CA110" s="4">
        <f>IF(AY110="","",(BY110+BZ110)/2)</f>
        <v/>
      </c>
      <c r="CB110" s="4">
        <f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4">
        <f>IF(AY110="","",IF(CB110&lt;AY110,CA110,BY110))</f>
        <v/>
      </c>
      <c r="CD110" s="4">
        <f>IF(AY110="","",IF(CB110&lt;AY110,BZ110,CA110))</f>
        <v/>
      </c>
      <c r="CE110" s="4">
        <f>IF(AY110="","",(CC110+CD110)/2)</f>
        <v/>
      </c>
    </row>
    <row r="111">
      <c r="A111" s="4" t="n"/>
      <c r="B111" s="4" t="n"/>
      <c r="C111" s="8" t="n"/>
      <c r="D111" s="8" t="n"/>
      <c r="E111" s="8">
        <f>SUMIFS(CB_Tributaires!$G:$G,CB_Tributaires!$F:$F,$A111)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IF(A111="","",IF(F111="","",2.78E-7*IF(G111&lt;&gt;"",G111,IFERROR(SUMIFS(CB_Tributaires!$H:$H,CB_Tributaires!$F:$F,$A111)/SUMIFS(CB_Tributaires!$G:$G,CB_Tributaires!$F:$F,$A111),Inputs!$B$17))*F111*I111))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7">
        <f>IF(AY111="","",CE111)</f>
        <v/>
      </c>
      <c r="AX111" s="7">
        <f>IF(OR(AY111="",AW111="",R111="",R111&lt;=0,AW111&lt;=0),"",AY111/((R111^2/8)*(2*ACOS(1-2*AW111/R111)-SIN(2*ACOS(1-2*AW111/R111)))))</f>
        <v/>
      </c>
      <c r="AY111" s="4">
        <f>IF(OR(L111="",AZ111=""),"",MIN(L111,AZ111))</f>
        <v/>
      </c>
      <c r="AZ111" s="4">
        <f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4">
        <f>IF(AY111="","",0.001*R111)</f>
        <v/>
      </c>
      <c r="BB111" s="4">
        <f>IF(AY111="","",0.94*R111)</f>
        <v/>
      </c>
      <c r="BC111" s="4">
        <f>IF(AY111="","",(BA111+BB111)/2)</f>
        <v/>
      </c>
      <c r="BD111" s="4">
        <f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4">
        <f>IF(AY111="","",IF(BD111&lt;AY111,BC111,BA111))</f>
        <v/>
      </c>
      <c r="BF111" s="4">
        <f>IF(AY111="","",IF(BD111&lt;AY111,BB111,BC111))</f>
        <v/>
      </c>
      <c r="BG111" s="4">
        <f>IF(AY111="","",(BE111+BF111)/2)</f>
        <v/>
      </c>
      <c r="BH111" s="4">
        <f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4">
        <f>IF(AY111="","",IF(BH111&lt;AY111,BG111,BE111))</f>
        <v/>
      </c>
      <c r="BJ111" s="4">
        <f>IF(AY111="","",IF(BH111&lt;AY111,BF111,BG111))</f>
        <v/>
      </c>
      <c r="BK111" s="4">
        <f>IF(AY111="","",(BI111+BJ111)/2)</f>
        <v/>
      </c>
      <c r="BL111" s="4">
        <f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4">
        <f>IF(AY111="","",IF(BL111&lt;AY111,BK111,BI111))</f>
        <v/>
      </c>
      <c r="BN111" s="4">
        <f>IF(AY111="","",IF(BL111&lt;AY111,BJ111,BK111))</f>
        <v/>
      </c>
      <c r="BO111" s="4">
        <f>IF(AY111="","",(BM111+BN111)/2)</f>
        <v/>
      </c>
      <c r="BP111" s="4">
        <f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4">
        <f>IF(AY111="","",IF(BP111&lt;AY111,BO111,BM111))</f>
        <v/>
      </c>
      <c r="BR111" s="4">
        <f>IF(AY111="","",IF(BP111&lt;AY111,BN111,BO111))</f>
        <v/>
      </c>
      <c r="BS111" s="4">
        <f>IF(AY111="","",(BQ111+BR111)/2)</f>
        <v/>
      </c>
      <c r="BT111" s="4">
        <f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4">
        <f>IF(AY111="","",IF(BT111&lt;AY111,BS111,BQ111))</f>
        <v/>
      </c>
      <c r="BV111" s="4">
        <f>IF(AY111="","",IF(BT111&lt;AY111,BR111,BS111))</f>
        <v/>
      </c>
      <c r="BW111" s="4">
        <f>IF(AY111="","",(BU111+BV111)/2)</f>
        <v/>
      </c>
      <c r="BX111" s="4">
        <f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4">
        <f>IF(AY111="","",IF(BX111&lt;AY111,BW111,BU111))</f>
        <v/>
      </c>
      <c r="BZ111" s="4">
        <f>IF(AY111="","",IF(BX111&lt;AY111,BV111,BW111))</f>
        <v/>
      </c>
      <c r="CA111" s="4">
        <f>IF(AY111="","",(BY111+BZ111)/2)</f>
        <v/>
      </c>
      <c r="CB111" s="4">
        <f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4">
        <f>IF(AY111="","",IF(CB111&lt;AY111,CA111,BY111))</f>
        <v/>
      </c>
      <c r="CD111" s="4">
        <f>IF(AY111="","",IF(CB111&lt;AY111,BZ111,CA111))</f>
        <v/>
      </c>
      <c r="CE111" s="4">
        <f>IF(AY111="","",(CC111+CD111)/2)</f>
        <v/>
      </c>
    </row>
    <row r="112">
      <c r="A112" s="4" t="n"/>
      <c r="B112" s="4" t="n"/>
      <c r="C112" s="8" t="n"/>
      <c r="D112" s="8" t="n"/>
      <c r="E112" s="8">
        <f>SUMIFS(CB_Tributaires!$G:$G,CB_Tributaires!$F:$F,$A112)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IF(A112="","",IF(F112="","",2.78E-7*IF(G112&lt;&gt;"",G112,IFERROR(SUMIFS(CB_Tributaires!$H:$H,CB_Tributaires!$F:$F,$A112)/SUMIFS(CB_Tributaires!$G:$G,CB_Tributaires!$F:$F,$A112),Inputs!$B$17))*F112*I112))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7">
        <f>IF(AY112="","",CE112)</f>
        <v/>
      </c>
      <c r="AX112" s="7">
        <f>IF(OR(AY112="",AW112="",R112="",R112&lt;=0,AW112&lt;=0),"",AY112/((R112^2/8)*(2*ACOS(1-2*AW112/R112)-SIN(2*ACOS(1-2*AW112/R112)))))</f>
        <v/>
      </c>
      <c r="AY112" s="4">
        <f>IF(OR(L112="",AZ112=""),"",MIN(L112,AZ112))</f>
        <v/>
      </c>
      <c r="AZ112" s="4">
        <f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4">
        <f>IF(AY112="","",0.001*R112)</f>
        <v/>
      </c>
      <c r="BB112" s="4">
        <f>IF(AY112="","",0.94*R112)</f>
        <v/>
      </c>
      <c r="BC112" s="4">
        <f>IF(AY112="","",(BA112+BB112)/2)</f>
        <v/>
      </c>
      <c r="BD112" s="4">
        <f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4">
        <f>IF(AY112="","",IF(BD112&lt;AY112,BC112,BA112))</f>
        <v/>
      </c>
      <c r="BF112" s="4">
        <f>IF(AY112="","",IF(BD112&lt;AY112,BB112,BC112))</f>
        <v/>
      </c>
      <c r="BG112" s="4">
        <f>IF(AY112="","",(BE112+BF112)/2)</f>
        <v/>
      </c>
      <c r="BH112" s="4">
        <f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4">
        <f>IF(AY112="","",IF(BH112&lt;AY112,BG112,BE112))</f>
        <v/>
      </c>
      <c r="BJ112" s="4">
        <f>IF(AY112="","",IF(BH112&lt;AY112,BF112,BG112))</f>
        <v/>
      </c>
      <c r="BK112" s="4">
        <f>IF(AY112="","",(BI112+BJ112)/2)</f>
        <v/>
      </c>
      <c r="BL112" s="4">
        <f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4">
        <f>IF(AY112="","",IF(BL112&lt;AY112,BK112,BI112))</f>
        <v/>
      </c>
      <c r="BN112" s="4">
        <f>IF(AY112="","",IF(BL112&lt;AY112,BJ112,BK112))</f>
        <v/>
      </c>
      <c r="BO112" s="4">
        <f>IF(AY112="","",(BM112+BN112)/2)</f>
        <v/>
      </c>
      <c r="BP112" s="4">
        <f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4">
        <f>IF(AY112="","",IF(BP112&lt;AY112,BO112,BM112))</f>
        <v/>
      </c>
      <c r="BR112" s="4">
        <f>IF(AY112="","",IF(BP112&lt;AY112,BN112,BO112))</f>
        <v/>
      </c>
      <c r="BS112" s="4">
        <f>IF(AY112="","",(BQ112+BR112)/2)</f>
        <v/>
      </c>
      <c r="BT112" s="4">
        <f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4">
        <f>IF(AY112="","",IF(BT112&lt;AY112,BS112,BQ112))</f>
        <v/>
      </c>
      <c r="BV112" s="4">
        <f>IF(AY112="","",IF(BT112&lt;AY112,BR112,BS112))</f>
        <v/>
      </c>
      <c r="BW112" s="4">
        <f>IF(AY112="","",(BU112+BV112)/2)</f>
        <v/>
      </c>
      <c r="BX112" s="4">
        <f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4">
        <f>IF(AY112="","",IF(BX112&lt;AY112,BW112,BU112))</f>
        <v/>
      </c>
      <c r="BZ112" s="4">
        <f>IF(AY112="","",IF(BX112&lt;AY112,BV112,BW112))</f>
        <v/>
      </c>
      <c r="CA112" s="4">
        <f>IF(AY112="","",(BY112+BZ112)/2)</f>
        <v/>
      </c>
      <c r="CB112" s="4">
        <f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4">
        <f>IF(AY112="","",IF(CB112&lt;AY112,CA112,BY112))</f>
        <v/>
      </c>
      <c r="CD112" s="4">
        <f>IF(AY112="","",IF(CB112&lt;AY112,BZ112,CA112))</f>
        <v/>
      </c>
      <c r="CE112" s="4">
        <f>IF(AY112="","",(CC112+CD112)/2)</f>
        <v/>
      </c>
    </row>
    <row r="113">
      <c r="A113" s="4" t="n"/>
      <c r="B113" s="4" t="n"/>
      <c r="C113" s="8" t="n"/>
      <c r="D113" s="8" t="n"/>
      <c r="E113" s="8">
        <f>SUMIFS(CB_Tributaires!$G:$G,CB_Tributaires!$F:$F,$A113)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IF(A113="","",IF(F113="","",2.78E-7*IF(G113&lt;&gt;"",G113,IFERROR(SUMIFS(CB_Tributaires!$H:$H,CB_Tributaires!$F:$F,$A113)/SUMIFS(CB_Tributaires!$G:$G,CB_Tributaires!$F:$F,$A113),Inputs!$B$17))*F113*I113))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7">
        <f>IF(AY113="","",CE113)</f>
        <v/>
      </c>
      <c r="AX113" s="7">
        <f>IF(OR(AY113="",AW113="",R113="",R113&lt;=0,AW113&lt;=0),"",AY113/((R113^2/8)*(2*ACOS(1-2*AW113/R113)-SIN(2*ACOS(1-2*AW113/R113)))))</f>
        <v/>
      </c>
      <c r="AY113" s="4">
        <f>IF(OR(L113="",AZ113=""),"",MIN(L113,AZ113))</f>
        <v/>
      </c>
      <c r="AZ113" s="4">
        <f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4">
        <f>IF(AY113="","",0.001*R113)</f>
        <v/>
      </c>
      <c r="BB113" s="4">
        <f>IF(AY113="","",0.94*R113)</f>
        <v/>
      </c>
      <c r="BC113" s="4">
        <f>IF(AY113="","",(BA113+BB113)/2)</f>
        <v/>
      </c>
      <c r="BD113" s="4">
        <f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4">
        <f>IF(AY113="","",IF(BD113&lt;AY113,BC113,BA113))</f>
        <v/>
      </c>
      <c r="BF113" s="4">
        <f>IF(AY113="","",IF(BD113&lt;AY113,BB113,BC113))</f>
        <v/>
      </c>
      <c r="BG113" s="4">
        <f>IF(AY113="","",(BE113+BF113)/2)</f>
        <v/>
      </c>
      <c r="BH113" s="4">
        <f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4">
        <f>IF(AY113="","",IF(BH113&lt;AY113,BG113,BE113))</f>
        <v/>
      </c>
      <c r="BJ113" s="4">
        <f>IF(AY113="","",IF(BH113&lt;AY113,BF113,BG113))</f>
        <v/>
      </c>
      <c r="BK113" s="4">
        <f>IF(AY113="","",(BI113+BJ113)/2)</f>
        <v/>
      </c>
      <c r="BL113" s="4">
        <f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4">
        <f>IF(AY113="","",IF(BL113&lt;AY113,BK113,BI113))</f>
        <v/>
      </c>
      <c r="BN113" s="4">
        <f>IF(AY113="","",IF(BL113&lt;AY113,BJ113,BK113))</f>
        <v/>
      </c>
      <c r="BO113" s="4">
        <f>IF(AY113="","",(BM113+BN113)/2)</f>
        <v/>
      </c>
      <c r="BP113" s="4">
        <f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4">
        <f>IF(AY113="","",IF(BP113&lt;AY113,BO113,BM113))</f>
        <v/>
      </c>
      <c r="BR113" s="4">
        <f>IF(AY113="","",IF(BP113&lt;AY113,BN113,BO113))</f>
        <v/>
      </c>
      <c r="BS113" s="4">
        <f>IF(AY113="","",(BQ113+BR113)/2)</f>
        <v/>
      </c>
      <c r="BT113" s="4">
        <f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4">
        <f>IF(AY113="","",IF(BT113&lt;AY113,BS113,BQ113))</f>
        <v/>
      </c>
      <c r="BV113" s="4">
        <f>IF(AY113="","",IF(BT113&lt;AY113,BR113,BS113))</f>
        <v/>
      </c>
      <c r="BW113" s="4">
        <f>IF(AY113="","",(BU113+BV113)/2)</f>
        <v/>
      </c>
      <c r="BX113" s="4">
        <f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4">
        <f>IF(AY113="","",IF(BX113&lt;AY113,BW113,BU113))</f>
        <v/>
      </c>
      <c r="BZ113" s="4">
        <f>IF(AY113="","",IF(BX113&lt;AY113,BV113,BW113))</f>
        <v/>
      </c>
      <c r="CA113" s="4">
        <f>IF(AY113="","",(BY113+BZ113)/2)</f>
        <v/>
      </c>
      <c r="CB113" s="4">
        <f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4">
        <f>IF(AY113="","",IF(CB113&lt;AY113,CA113,BY113))</f>
        <v/>
      </c>
      <c r="CD113" s="4">
        <f>IF(AY113="","",IF(CB113&lt;AY113,BZ113,CA113))</f>
        <v/>
      </c>
      <c r="CE113" s="4">
        <f>IF(AY113="","",(CC113+CD113)/2)</f>
        <v/>
      </c>
    </row>
    <row r="114">
      <c r="A114" s="4" t="n"/>
      <c r="B114" s="4" t="n"/>
      <c r="C114" s="8" t="n"/>
      <c r="D114" s="8" t="n"/>
      <c r="E114" s="8">
        <f>SUMIFS(CB_Tributaires!$G:$G,CB_Tributaires!$F:$F,$A114)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IF(A114="","",IF(F114="","",2.78E-7*IF(G114&lt;&gt;"",G114,IFERROR(SUMIFS(CB_Tributaires!$H:$H,CB_Tributaires!$F:$F,$A114)/SUMIFS(CB_Tributaires!$G:$G,CB_Tributaires!$F:$F,$A114),Inputs!$B$17))*F114*I114))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7">
        <f>IF(AY114="","",CE114)</f>
        <v/>
      </c>
      <c r="AX114" s="7">
        <f>IF(OR(AY114="",AW114="",R114="",R114&lt;=0,AW114&lt;=0),"",AY114/((R114^2/8)*(2*ACOS(1-2*AW114/R114)-SIN(2*ACOS(1-2*AW114/R114)))))</f>
        <v/>
      </c>
      <c r="AY114" s="4">
        <f>IF(OR(L114="",AZ114=""),"",MIN(L114,AZ114))</f>
        <v/>
      </c>
      <c r="AZ114" s="4">
        <f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4">
        <f>IF(AY114="","",0.001*R114)</f>
        <v/>
      </c>
      <c r="BB114" s="4">
        <f>IF(AY114="","",0.94*R114)</f>
        <v/>
      </c>
      <c r="BC114" s="4">
        <f>IF(AY114="","",(BA114+BB114)/2)</f>
        <v/>
      </c>
      <c r="BD114" s="4">
        <f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4">
        <f>IF(AY114="","",IF(BD114&lt;AY114,BC114,BA114))</f>
        <v/>
      </c>
      <c r="BF114" s="4">
        <f>IF(AY114="","",IF(BD114&lt;AY114,BB114,BC114))</f>
        <v/>
      </c>
      <c r="BG114" s="4">
        <f>IF(AY114="","",(BE114+BF114)/2)</f>
        <v/>
      </c>
      <c r="BH114" s="4">
        <f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4">
        <f>IF(AY114="","",IF(BH114&lt;AY114,BG114,BE114))</f>
        <v/>
      </c>
      <c r="BJ114" s="4">
        <f>IF(AY114="","",IF(BH114&lt;AY114,BF114,BG114))</f>
        <v/>
      </c>
      <c r="BK114" s="4">
        <f>IF(AY114="","",(BI114+BJ114)/2)</f>
        <v/>
      </c>
      <c r="BL114" s="4">
        <f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4">
        <f>IF(AY114="","",IF(BL114&lt;AY114,BK114,BI114))</f>
        <v/>
      </c>
      <c r="BN114" s="4">
        <f>IF(AY114="","",IF(BL114&lt;AY114,BJ114,BK114))</f>
        <v/>
      </c>
      <c r="BO114" s="4">
        <f>IF(AY114="","",(BM114+BN114)/2)</f>
        <v/>
      </c>
      <c r="BP114" s="4">
        <f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4">
        <f>IF(AY114="","",IF(BP114&lt;AY114,BO114,BM114))</f>
        <v/>
      </c>
      <c r="BR114" s="4">
        <f>IF(AY114="","",IF(BP114&lt;AY114,BN114,BO114))</f>
        <v/>
      </c>
      <c r="BS114" s="4">
        <f>IF(AY114="","",(BQ114+BR114)/2)</f>
        <v/>
      </c>
      <c r="BT114" s="4">
        <f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4">
        <f>IF(AY114="","",IF(BT114&lt;AY114,BS114,BQ114))</f>
        <v/>
      </c>
      <c r="BV114" s="4">
        <f>IF(AY114="","",IF(BT114&lt;AY114,BR114,BS114))</f>
        <v/>
      </c>
      <c r="BW114" s="4">
        <f>IF(AY114="","",(BU114+BV114)/2)</f>
        <v/>
      </c>
      <c r="BX114" s="4">
        <f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4">
        <f>IF(AY114="","",IF(BX114&lt;AY114,BW114,BU114))</f>
        <v/>
      </c>
      <c r="BZ114" s="4">
        <f>IF(AY114="","",IF(BX114&lt;AY114,BV114,BW114))</f>
        <v/>
      </c>
      <c r="CA114" s="4">
        <f>IF(AY114="","",(BY114+BZ114)/2)</f>
        <v/>
      </c>
      <c r="CB114" s="4">
        <f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4">
        <f>IF(AY114="","",IF(CB114&lt;AY114,CA114,BY114))</f>
        <v/>
      </c>
      <c r="CD114" s="4">
        <f>IF(AY114="","",IF(CB114&lt;AY114,BZ114,CA114))</f>
        <v/>
      </c>
      <c r="CE114" s="4">
        <f>IF(AY114="","",(CC114+CD114)/2)</f>
        <v/>
      </c>
    </row>
    <row r="115">
      <c r="A115" s="4" t="n"/>
      <c r="B115" s="4" t="n"/>
      <c r="C115" s="8" t="n"/>
      <c r="D115" s="8" t="n"/>
      <c r="E115" s="8">
        <f>SUMIFS(CB_Tributaires!$G:$G,CB_Tributaires!$F:$F,$A115)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IF(A115="","",IF(F115="","",2.78E-7*IF(G115&lt;&gt;"",G115,IFERROR(SUMIFS(CB_Tributaires!$H:$H,CB_Tributaires!$F:$F,$A115)/SUMIFS(CB_Tributaires!$G:$G,CB_Tributaires!$F:$F,$A115),Inputs!$B$17))*F115*I115))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7">
        <f>IF(AY115="","",CE115)</f>
        <v/>
      </c>
      <c r="AX115" s="7">
        <f>IF(OR(AY115="",AW115="",R115="",R115&lt;=0,AW115&lt;=0),"",AY115/((R115^2/8)*(2*ACOS(1-2*AW115/R115)-SIN(2*ACOS(1-2*AW115/R115)))))</f>
        <v/>
      </c>
      <c r="AY115" s="4">
        <f>IF(OR(L115="",AZ115=""),"",MIN(L115,AZ115))</f>
        <v/>
      </c>
      <c r="AZ115" s="4">
        <f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4">
        <f>IF(AY115="","",0.001*R115)</f>
        <v/>
      </c>
      <c r="BB115" s="4">
        <f>IF(AY115="","",0.94*R115)</f>
        <v/>
      </c>
      <c r="BC115" s="4">
        <f>IF(AY115="","",(BA115+BB115)/2)</f>
        <v/>
      </c>
      <c r="BD115" s="4">
        <f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4">
        <f>IF(AY115="","",IF(BD115&lt;AY115,BC115,BA115))</f>
        <v/>
      </c>
      <c r="BF115" s="4">
        <f>IF(AY115="","",IF(BD115&lt;AY115,BB115,BC115))</f>
        <v/>
      </c>
      <c r="BG115" s="4">
        <f>IF(AY115="","",(BE115+BF115)/2)</f>
        <v/>
      </c>
      <c r="BH115" s="4">
        <f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4">
        <f>IF(AY115="","",IF(BH115&lt;AY115,BG115,BE115))</f>
        <v/>
      </c>
      <c r="BJ115" s="4">
        <f>IF(AY115="","",IF(BH115&lt;AY115,BF115,BG115))</f>
        <v/>
      </c>
      <c r="BK115" s="4">
        <f>IF(AY115="","",(BI115+BJ115)/2)</f>
        <v/>
      </c>
      <c r="BL115" s="4">
        <f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4">
        <f>IF(AY115="","",IF(BL115&lt;AY115,BK115,BI115))</f>
        <v/>
      </c>
      <c r="BN115" s="4">
        <f>IF(AY115="","",IF(BL115&lt;AY115,BJ115,BK115))</f>
        <v/>
      </c>
      <c r="BO115" s="4">
        <f>IF(AY115="","",(BM115+BN115)/2)</f>
        <v/>
      </c>
      <c r="BP115" s="4">
        <f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4">
        <f>IF(AY115="","",IF(BP115&lt;AY115,BO115,BM115))</f>
        <v/>
      </c>
      <c r="BR115" s="4">
        <f>IF(AY115="","",IF(BP115&lt;AY115,BN115,BO115))</f>
        <v/>
      </c>
      <c r="BS115" s="4">
        <f>IF(AY115="","",(BQ115+BR115)/2)</f>
        <v/>
      </c>
      <c r="BT115" s="4">
        <f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4">
        <f>IF(AY115="","",IF(BT115&lt;AY115,BS115,BQ115))</f>
        <v/>
      </c>
      <c r="BV115" s="4">
        <f>IF(AY115="","",IF(BT115&lt;AY115,BR115,BS115))</f>
        <v/>
      </c>
      <c r="BW115" s="4">
        <f>IF(AY115="","",(BU115+BV115)/2)</f>
        <v/>
      </c>
      <c r="BX115" s="4">
        <f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4">
        <f>IF(AY115="","",IF(BX115&lt;AY115,BW115,BU115))</f>
        <v/>
      </c>
      <c r="BZ115" s="4">
        <f>IF(AY115="","",IF(BX115&lt;AY115,BV115,BW115))</f>
        <v/>
      </c>
      <c r="CA115" s="4">
        <f>IF(AY115="","",(BY115+BZ115)/2)</f>
        <v/>
      </c>
      <c r="CB115" s="4">
        <f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4">
        <f>IF(AY115="","",IF(CB115&lt;AY115,CA115,BY115))</f>
        <v/>
      </c>
      <c r="CD115" s="4">
        <f>IF(AY115="","",IF(CB115&lt;AY115,BZ115,CA115))</f>
        <v/>
      </c>
      <c r="CE115" s="4">
        <f>IF(AY115="","",(CC115+CD115)/2)</f>
        <v/>
      </c>
    </row>
    <row r="116">
      <c r="A116" s="4" t="n"/>
      <c r="B116" s="4" t="n"/>
      <c r="C116" s="8" t="n"/>
      <c r="D116" s="8" t="n"/>
      <c r="E116" s="8">
        <f>SUMIFS(CB_Tributaires!$G:$G,CB_Tributaires!$F:$F,$A116)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IF(A116="","",IF(F116="","",2.78E-7*IF(G116&lt;&gt;"",G116,IFERROR(SUMIFS(CB_Tributaires!$H:$H,CB_Tributaires!$F:$F,$A116)/SUMIFS(CB_Tributaires!$G:$G,CB_Tributaires!$F:$F,$A116),Inputs!$B$17))*F116*I116))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7">
        <f>IF(AY116="","",CE116)</f>
        <v/>
      </c>
      <c r="AX116" s="7">
        <f>IF(OR(AY116="",AW116="",R116="",R116&lt;=0,AW116&lt;=0),"",AY116/((R116^2/8)*(2*ACOS(1-2*AW116/R116)-SIN(2*ACOS(1-2*AW116/R116)))))</f>
        <v/>
      </c>
      <c r="AY116" s="4">
        <f>IF(OR(L116="",AZ116=""),"",MIN(L116,AZ116))</f>
        <v/>
      </c>
      <c r="AZ116" s="4">
        <f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4">
        <f>IF(AY116="","",0.001*R116)</f>
        <v/>
      </c>
      <c r="BB116" s="4">
        <f>IF(AY116="","",0.94*R116)</f>
        <v/>
      </c>
      <c r="BC116" s="4">
        <f>IF(AY116="","",(BA116+BB116)/2)</f>
        <v/>
      </c>
      <c r="BD116" s="4">
        <f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4">
        <f>IF(AY116="","",IF(BD116&lt;AY116,BC116,BA116))</f>
        <v/>
      </c>
      <c r="BF116" s="4">
        <f>IF(AY116="","",IF(BD116&lt;AY116,BB116,BC116))</f>
        <v/>
      </c>
      <c r="BG116" s="4">
        <f>IF(AY116="","",(BE116+BF116)/2)</f>
        <v/>
      </c>
      <c r="BH116" s="4">
        <f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4">
        <f>IF(AY116="","",IF(BH116&lt;AY116,BG116,BE116))</f>
        <v/>
      </c>
      <c r="BJ116" s="4">
        <f>IF(AY116="","",IF(BH116&lt;AY116,BF116,BG116))</f>
        <v/>
      </c>
      <c r="BK116" s="4">
        <f>IF(AY116="","",(BI116+BJ116)/2)</f>
        <v/>
      </c>
      <c r="BL116" s="4">
        <f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4">
        <f>IF(AY116="","",IF(BL116&lt;AY116,BK116,BI116))</f>
        <v/>
      </c>
      <c r="BN116" s="4">
        <f>IF(AY116="","",IF(BL116&lt;AY116,BJ116,BK116))</f>
        <v/>
      </c>
      <c r="BO116" s="4">
        <f>IF(AY116="","",(BM116+BN116)/2)</f>
        <v/>
      </c>
      <c r="BP116" s="4">
        <f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4">
        <f>IF(AY116="","",IF(BP116&lt;AY116,BO116,BM116))</f>
        <v/>
      </c>
      <c r="BR116" s="4">
        <f>IF(AY116="","",IF(BP116&lt;AY116,BN116,BO116))</f>
        <v/>
      </c>
      <c r="BS116" s="4">
        <f>IF(AY116="","",(BQ116+BR116)/2)</f>
        <v/>
      </c>
      <c r="BT116" s="4">
        <f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4">
        <f>IF(AY116="","",IF(BT116&lt;AY116,BS116,BQ116))</f>
        <v/>
      </c>
      <c r="BV116" s="4">
        <f>IF(AY116="","",IF(BT116&lt;AY116,BR116,BS116))</f>
        <v/>
      </c>
      <c r="BW116" s="4">
        <f>IF(AY116="","",(BU116+BV116)/2)</f>
        <v/>
      </c>
      <c r="BX116" s="4">
        <f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4">
        <f>IF(AY116="","",IF(BX116&lt;AY116,BW116,BU116))</f>
        <v/>
      </c>
      <c r="BZ116" s="4">
        <f>IF(AY116="","",IF(BX116&lt;AY116,BV116,BW116))</f>
        <v/>
      </c>
      <c r="CA116" s="4">
        <f>IF(AY116="","",(BY116+BZ116)/2)</f>
        <v/>
      </c>
      <c r="CB116" s="4">
        <f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4">
        <f>IF(AY116="","",IF(CB116&lt;AY116,CA116,BY116))</f>
        <v/>
      </c>
      <c r="CD116" s="4">
        <f>IF(AY116="","",IF(CB116&lt;AY116,BZ116,CA116))</f>
        <v/>
      </c>
      <c r="CE116" s="4">
        <f>IF(AY116="","",(CC116+CD116)/2)</f>
        <v/>
      </c>
    </row>
    <row r="117">
      <c r="A117" s="4" t="n"/>
      <c r="B117" s="4" t="n"/>
      <c r="C117" s="8" t="n"/>
      <c r="D117" s="8" t="n"/>
      <c r="E117" s="8">
        <f>SUMIFS(CB_Tributaires!$G:$G,CB_Tributaires!$F:$F,$A117)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IF(A117="","",IF(F117="","",2.78E-7*IF(G117&lt;&gt;"",G117,IFERROR(SUMIFS(CB_Tributaires!$H:$H,CB_Tributaires!$F:$F,$A117)/SUMIFS(CB_Tributaires!$G:$G,CB_Tributaires!$F:$F,$A117),Inputs!$B$17))*F117*I117))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7">
        <f>IF(AY117="","",CE117)</f>
        <v/>
      </c>
      <c r="AX117" s="7">
        <f>IF(OR(AY117="",AW117="",R117="",R117&lt;=0,AW117&lt;=0),"",AY117/((R117^2/8)*(2*ACOS(1-2*AW117/R117)-SIN(2*ACOS(1-2*AW117/R117)))))</f>
        <v/>
      </c>
      <c r="AY117" s="4">
        <f>IF(OR(L117="",AZ117=""),"",MIN(L117,AZ117))</f>
        <v/>
      </c>
      <c r="AZ117" s="4">
        <f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4">
        <f>IF(AY117="","",0.001*R117)</f>
        <v/>
      </c>
      <c r="BB117" s="4">
        <f>IF(AY117="","",0.94*R117)</f>
        <v/>
      </c>
      <c r="BC117" s="4">
        <f>IF(AY117="","",(BA117+BB117)/2)</f>
        <v/>
      </c>
      <c r="BD117" s="4">
        <f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4">
        <f>IF(AY117="","",IF(BD117&lt;AY117,BC117,BA117))</f>
        <v/>
      </c>
      <c r="BF117" s="4">
        <f>IF(AY117="","",IF(BD117&lt;AY117,BB117,BC117))</f>
        <v/>
      </c>
      <c r="BG117" s="4">
        <f>IF(AY117="","",(BE117+BF117)/2)</f>
        <v/>
      </c>
      <c r="BH117" s="4">
        <f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4">
        <f>IF(AY117="","",IF(BH117&lt;AY117,BG117,BE117))</f>
        <v/>
      </c>
      <c r="BJ117" s="4">
        <f>IF(AY117="","",IF(BH117&lt;AY117,BF117,BG117))</f>
        <v/>
      </c>
      <c r="BK117" s="4">
        <f>IF(AY117="","",(BI117+BJ117)/2)</f>
        <v/>
      </c>
      <c r="BL117" s="4">
        <f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4">
        <f>IF(AY117="","",IF(BL117&lt;AY117,BK117,BI117))</f>
        <v/>
      </c>
      <c r="BN117" s="4">
        <f>IF(AY117="","",IF(BL117&lt;AY117,BJ117,BK117))</f>
        <v/>
      </c>
      <c r="BO117" s="4">
        <f>IF(AY117="","",(BM117+BN117)/2)</f>
        <v/>
      </c>
      <c r="BP117" s="4">
        <f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4">
        <f>IF(AY117="","",IF(BP117&lt;AY117,BO117,BM117))</f>
        <v/>
      </c>
      <c r="BR117" s="4">
        <f>IF(AY117="","",IF(BP117&lt;AY117,BN117,BO117))</f>
        <v/>
      </c>
      <c r="BS117" s="4">
        <f>IF(AY117="","",(BQ117+BR117)/2)</f>
        <v/>
      </c>
      <c r="BT117" s="4">
        <f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4">
        <f>IF(AY117="","",IF(BT117&lt;AY117,BS117,BQ117))</f>
        <v/>
      </c>
      <c r="BV117" s="4">
        <f>IF(AY117="","",IF(BT117&lt;AY117,BR117,BS117))</f>
        <v/>
      </c>
      <c r="BW117" s="4">
        <f>IF(AY117="","",(BU117+BV117)/2)</f>
        <v/>
      </c>
      <c r="BX117" s="4">
        <f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4">
        <f>IF(AY117="","",IF(BX117&lt;AY117,BW117,BU117))</f>
        <v/>
      </c>
      <c r="BZ117" s="4">
        <f>IF(AY117="","",IF(BX117&lt;AY117,BV117,BW117))</f>
        <v/>
      </c>
      <c r="CA117" s="4">
        <f>IF(AY117="","",(BY117+BZ117)/2)</f>
        <v/>
      </c>
      <c r="CB117" s="4">
        <f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4">
        <f>IF(AY117="","",IF(CB117&lt;AY117,CA117,BY117))</f>
        <v/>
      </c>
      <c r="CD117" s="4">
        <f>IF(AY117="","",IF(CB117&lt;AY117,BZ117,CA117))</f>
        <v/>
      </c>
      <c r="CE117" s="4">
        <f>IF(AY117="","",(CC117+CD117)/2)</f>
        <v/>
      </c>
    </row>
    <row r="118">
      <c r="A118" s="4" t="n"/>
      <c r="B118" s="4" t="n"/>
      <c r="C118" s="8" t="n"/>
      <c r="D118" s="8" t="n"/>
      <c r="E118" s="8">
        <f>SUMIFS(CB_Tributaires!$G:$G,CB_Tributaires!$F:$F,$A118)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IF(A118="","",IF(F118="","",2.78E-7*IF(G118&lt;&gt;"",G118,IFERROR(SUMIFS(CB_Tributaires!$H:$H,CB_Tributaires!$F:$F,$A118)/SUMIFS(CB_Tributaires!$G:$G,CB_Tributaires!$F:$F,$A118),Inputs!$B$17))*F118*I118))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7">
        <f>IF(AY118="","",CE118)</f>
        <v/>
      </c>
      <c r="AX118" s="7">
        <f>IF(OR(AY118="",AW118="",R118="",R118&lt;=0,AW118&lt;=0),"",AY118/((R118^2/8)*(2*ACOS(1-2*AW118/R118)-SIN(2*ACOS(1-2*AW118/R118)))))</f>
        <v/>
      </c>
      <c r="AY118" s="4">
        <f>IF(OR(L118="",AZ118=""),"",MIN(L118,AZ118))</f>
        <v/>
      </c>
      <c r="AZ118" s="4">
        <f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4">
        <f>IF(AY118="","",0.001*R118)</f>
        <v/>
      </c>
      <c r="BB118" s="4">
        <f>IF(AY118="","",0.94*R118)</f>
        <v/>
      </c>
      <c r="BC118" s="4">
        <f>IF(AY118="","",(BA118+BB118)/2)</f>
        <v/>
      </c>
      <c r="BD118" s="4">
        <f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4">
        <f>IF(AY118="","",IF(BD118&lt;AY118,BC118,BA118))</f>
        <v/>
      </c>
      <c r="BF118" s="4">
        <f>IF(AY118="","",IF(BD118&lt;AY118,BB118,BC118))</f>
        <v/>
      </c>
      <c r="BG118" s="4">
        <f>IF(AY118="","",(BE118+BF118)/2)</f>
        <v/>
      </c>
      <c r="BH118" s="4">
        <f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4">
        <f>IF(AY118="","",IF(BH118&lt;AY118,BG118,BE118))</f>
        <v/>
      </c>
      <c r="BJ118" s="4">
        <f>IF(AY118="","",IF(BH118&lt;AY118,BF118,BG118))</f>
        <v/>
      </c>
      <c r="BK118" s="4">
        <f>IF(AY118="","",(BI118+BJ118)/2)</f>
        <v/>
      </c>
      <c r="BL118" s="4">
        <f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4">
        <f>IF(AY118="","",IF(BL118&lt;AY118,BK118,BI118))</f>
        <v/>
      </c>
      <c r="BN118" s="4">
        <f>IF(AY118="","",IF(BL118&lt;AY118,BJ118,BK118))</f>
        <v/>
      </c>
      <c r="BO118" s="4">
        <f>IF(AY118="","",(BM118+BN118)/2)</f>
        <v/>
      </c>
      <c r="BP118" s="4">
        <f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4">
        <f>IF(AY118="","",IF(BP118&lt;AY118,BO118,BM118))</f>
        <v/>
      </c>
      <c r="BR118" s="4">
        <f>IF(AY118="","",IF(BP118&lt;AY118,BN118,BO118))</f>
        <v/>
      </c>
      <c r="BS118" s="4">
        <f>IF(AY118="","",(BQ118+BR118)/2)</f>
        <v/>
      </c>
      <c r="BT118" s="4">
        <f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4">
        <f>IF(AY118="","",IF(BT118&lt;AY118,BS118,BQ118))</f>
        <v/>
      </c>
      <c r="BV118" s="4">
        <f>IF(AY118="","",IF(BT118&lt;AY118,BR118,BS118))</f>
        <v/>
      </c>
      <c r="BW118" s="4">
        <f>IF(AY118="","",(BU118+BV118)/2)</f>
        <v/>
      </c>
      <c r="BX118" s="4">
        <f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4">
        <f>IF(AY118="","",IF(BX118&lt;AY118,BW118,BU118))</f>
        <v/>
      </c>
      <c r="BZ118" s="4">
        <f>IF(AY118="","",IF(BX118&lt;AY118,BV118,BW118))</f>
        <v/>
      </c>
      <c r="CA118" s="4">
        <f>IF(AY118="","",(BY118+BZ118)/2)</f>
        <v/>
      </c>
      <c r="CB118" s="4">
        <f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4">
        <f>IF(AY118="","",IF(CB118&lt;AY118,CA118,BY118))</f>
        <v/>
      </c>
      <c r="CD118" s="4">
        <f>IF(AY118="","",IF(CB118&lt;AY118,BZ118,CA118))</f>
        <v/>
      </c>
      <c r="CE118" s="4">
        <f>IF(AY118="","",(CC118+CD118)/2)</f>
        <v/>
      </c>
    </row>
    <row r="119">
      <c r="A119" s="4" t="n"/>
      <c r="B119" s="4" t="n"/>
      <c r="C119" s="8" t="n"/>
      <c r="D119" s="8" t="n"/>
      <c r="E119" s="8">
        <f>SUMIFS(CB_Tributaires!$G:$G,CB_Tributaires!$F:$F,$A119)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IF(A119="","",IF(F119="","",2.78E-7*IF(G119&lt;&gt;"",G119,IFERROR(SUMIFS(CB_Tributaires!$H:$H,CB_Tributaires!$F:$F,$A119)/SUMIFS(CB_Tributaires!$G:$G,CB_Tributaires!$F:$F,$A119),Inputs!$B$17))*F119*I119))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7">
        <f>IF(AY119="","",CE119)</f>
        <v/>
      </c>
      <c r="AX119" s="7">
        <f>IF(OR(AY119="",AW119="",R119="",R119&lt;=0,AW119&lt;=0),"",AY119/((R119^2/8)*(2*ACOS(1-2*AW119/R119)-SIN(2*ACOS(1-2*AW119/R119)))))</f>
        <v/>
      </c>
      <c r="AY119" s="4">
        <f>IF(OR(L119="",AZ119=""),"",MIN(L119,AZ119))</f>
        <v/>
      </c>
      <c r="AZ119" s="4">
        <f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4">
        <f>IF(AY119="","",0.001*R119)</f>
        <v/>
      </c>
      <c r="BB119" s="4">
        <f>IF(AY119="","",0.94*R119)</f>
        <v/>
      </c>
      <c r="BC119" s="4">
        <f>IF(AY119="","",(BA119+BB119)/2)</f>
        <v/>
      </c>
      <c r="BD119" s="4">
        <f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4">
        <f>IF(AY119="","",IF(BD119&lt;AY119,BC119,BA119))</f>
        <v/>
      </c>
      <c r="BF119" s="4">
        <f>IF(AY119="","",IF(BD119&lt;AY119,BB119,BC119))</f>
        <v/>
      </c>
      <c r="BG119" s="4">
        <f>IF(AY119="","",(BE119+BF119)/2)</f>
        <v/>
      </c>
      <c r="BH119" s="4">
        <f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4">
        <f>IF(AY119="","",IF(BH119&lt;AY119,BG119,BE119))</f>
        <v/>
      </c>
      <c r="BJ119" s="4">
        <f>IF(AY119="","",IF(BH119&lt;AY119,BF119,BG119))</f>
        <v/>
      </c>
      <c r="BK119" s="4">
        <f>IF(AY119="","",(BI119+BJ119)/2)</f>
        <v/>
      </c>
      <c r="BL119" s="4">
        <f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4">
        <f>IF(AY119="","",IF(BL119&lt;AY119,BK119,BI119))</f>
        <v/>
      </c>
      <c r="BN119" s="4">
        <f>IF(AY119="","",IF(BL119&lt;AY119,BJ119,BK119))</f>
        <v/>
      </c>
      <c r="BO119" s="4">
        <f>IF(AY119="","",(BM119+BN119)/2)</f>
        <v/>
      </c>
      <c r="BP119" s="4">
        <f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4">
        <f>IF(AY119="","",IF(BP119&lt;AY119,BO119,BM119))</f>
        <v/>
      </c>
      <c r="BR119" s="4">
        <f>IF(AY119="","",IF(BP119&lt;AY119,BN119,BO119))</f>
        <v/>
      </c>
      <c r="BS119" s="4">
        <f>IF(AY119="","",(BQ119+BR119)/2)</f>
        <v/>
      </c>
      <c r="BT119" s="4">
        <f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4">
        <f>IF(AY119="","",IF(BT119&lt;AY119,BS119,BQ119))</f>
        <v/>
      </c>
      <c r="BV119" s="4">
        <f>IF(AY119="","",IF(BT119&lt;AY119,BR119,BS119))</f>
        <v/>
      </c>
      <c r="BW119" s="4">
        <f>IF(AY119="","",(BU119+BV119)/2)</f>
        <v/>
      </c>
      <c r="BX119" s="4">
        <f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4">
        <f>IF(AY119="","",IF(BX119&lt;AY119,BW119,BU119))</f>
        <v/>
      </c>
      <c r="BZ119" s="4">
        <f>IF(AY119="","",IF(BX119&lt;AY119,BV119,BW119))</f>
        <v/>
      </c>
      <c r="CA119" s="4">
        <f>IF(AY119="","",(BY119+BZ119)/2)</f>
        <v/>
      </c>
      <c r="CB119" s="4">
        <f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4">
        <f>IF(AY119="","",IF(CB119&lt;AY119,CA119,BY119))</f>
        <v/>
      </c>
      <c r="CD119" s="4">
        <f>IF(AY119="","",IF(CB119&lt;AY119,BZ119,CA119))</f>
        <v/>
      </c>
      <c r="CE119" s="4">
        <f>IF(AY119="","",(CC119+CD119)/2)</f>
        <v/>
      </c>
    </row>
    <row r="120">
      <c r="A120" s="4" t="n"/>
      <c r="B120" s="4" t="n"/>
      <c r="C120" s="8" t="n"/>
      <c r="D120" s="8" t="n"/>
      <c r="E120" s="8">
        <f>SUMIFS(CB_Tributaires!$G:$G,CB_Tributaires!$F:$F,$A120)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IF(A120="","",IF(F120="","",2.78E-7*IF(G120&lt;&gt;"",G120,IFERROR(SUMIFS(CB_Tributaires!$H:$H,CB_Tributaires!$F:$F,$A120)/SUMIFS(CB_Tributaires!$G:$G,CB_Tributaires!$F:$F,$A120),Inputs!$B$17))*F120*I120))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7">
        <f>IF(AY120="","",CE120)</f>
        <v/>
      </c>
      <c r="AX120" s="7">
        <f>IF(OR(AY120="",AW120="",R120="",R120&lt;=0,AW120&lt;=0),"",AY120/((R120^2/8)*(2*ACOS(1-2*AW120/R120)-SIN(2*ACOS(1-2*AW120/R120)))))</f>
        <v/>
      </c>
      <c r="AY120" s="4">
        <f>IF(OR(L120="",AZ120=""),"",MIN(L120,AZ120))</f>
        <v/>
      </c>
      <c r="AZ120" s="4">
        <f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4">
        <f>IF(AY120="","",0.001*R120)</f>
        <v/>
      </c>
      <c r="BB120" s="4">
        <f>IF(AY120="","",0.94*R120)</f>
        <v/>
      </c>
      <c r="BC120" s="4">
        <f>IF(AY120="","",(BA120+BB120)/2)</f>
        <v/>
      </c>
      <c r="BD120" s="4">
        <f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4">
        <f>IF(AY120="","",IF(BD120&lt;AY120,BC120,BA120))</f>
        <v/>
      </c>
      <c r="BF120" s="4">
        <f>IF(AY120="","",IF(BD120&lt;AY120,BB120,BC120))</f>
        <v/>
      </c>
      <c r="BG120" s="4">
        <f>IF(AY120="","",(BE120+BF120)/2)</f>
        <v/>
      </c>
      <c r="BH120" s="4">
        <f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4">
        <f>IF(AY120="","",IF(BH120&lt;AY120,BG120,BE120))</f>
        <v/>
      </c>
      <c r="BJ120" s="4">
        <f>IF(AY120="","",IF(BH120&lt;AY120,BF120,BG120))</f>
        <v/>
      </c>
      <c r="BK120" s="4">
        <f>IF(AY120="","",(BI120+BJ120)/2)</f>
        <v/>
      </c>
      <c r="BL120" s="4">
        <f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4">
        <f>IF(AY120="","",IF(BL120&lt;AY120,BK120,BI120))</f>
        <v/>
      </c>
      <c r="BN120" s="4">
        <f>IF(AY120="","",IF(BL120&lt;AY120,BJ120,BK120))</f>
        <v/>
      </c>
      <c r="BO120" s="4">
        <f>IF(AY120="","",(BM120+BN120)/2)</f>
        <v/>
      </c>
      <c r="BP120" s="4">
        <f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4">
        <f>IF(AY120="","",IF(BP120&lt;AY120,BO120,BM120))</f>
        <v/>
      </c>
      <c r="BR120" s="4">
        <f>IF(AY120="","",IF(BP120&lt;AY120,BN120,BO120))</f>
        <v/>
      </c>
      <c r="BS120" s="4">
        <f>IF(AY120="","",(BQ120+BR120)/2)</f>
        <v/>
      </c>
      <c r="BT120" s="4">
        <f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4">
        <f>IF(AY120="","",IF(BT120&lt;AY120,BS120,BQ120))</f>
        <v/>
      </c>
      <c r="BV120" s="4">
        <f>IF(AY120="","",IF(BT120&lt;AY120,BR120,BS120))</f>
        <v/>
      </c>
      <c r="BW120" s="4">
        <f>IF(AY120="","",(BU120+BV120)/2)</f>
        <v/>
      </c>
      <c r="BX120" s="4">
        <f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4">
        <f>IF(AY120="","",IF(BX120&lt;AY120,BW120,BU120))</f>
        <v/>
      </c>
      <c r="BZ120" s="4">
        <f>IF(AY120="","",IF(BX120&lt;AY120,BV120,BW120))</f>
        <v/>
      </c>
      <c r="CA120" s="4">
        <f>IF(AY120="","",(BY120+BZ120)/2)</f>
        <v/>
      </c>
      <c r="CB120" s="4">
        <f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4">
        <f>IF(AY120="","",IF(CB120&lt;AY120,CA120,BY120))</f>
        <v/>
      </c>
      <c r="CD120" s="4">
        <f>IF(AY120="","",IF(CB120&lt;AY120,BZ120,CA120))</f>
        <v/>
      </c>
      <c r="CE120" s="4">
        <f>IF(AY120="","",(CC120+CD120)/2)</f>
        <v/>
      </c>
    </row>
    <row r="121">
      <c r="A121" s="4" t="n"/>
      <c r="B121" s="4" t="n"/>
      <c r="C121" s="8" t="n"/>
      <c r="D121" s="8" t="n"/>
      <c r="E121" s="8">
        <f>SUMIFS(CB_Tributaires!$G:$G,CB_Tributaires!$F:$F,$A121)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IF(A121="","",IF(F121="","",2.78E-7*IF(G121&lt;&gt;"",G121,IFERROR(SUMIFS(CB_Tributaires!$H:$H,CB_Tributaires!$F:$F,$A121)/SUMIFS(CB_Tributaires!$G:$G,CB_Tributaires!$F:$F,$A121),Inputs!$B$17))*F121*I121))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7">
        <f>IF(AY121="","",CE121)</f>
        <v/>
      </c>
      <c r="AX121" s="7">
        <f>IF(OR(AY121="",AW121="",R121="",R121&lt;=0,AW121&lt;=0),"",AY121/((R121^2/8)*(2*ACOS(1-2*AW121/R121)-SIN(2*ACOS(1-2*AW121/R121)))))</f>
        <v/>
      </c>
      <c r="AY121" s="4">
        <f>IF(OR(L121="",AZ121=""),"",MIN(L121,AZ121))</f>
        <v/>
      </c>
      <c r="AZ121" s="4">
        <f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4">
        <f>IF(AY121="","",0.001*R121)</f>
        <v/>
      </c>
      <c r="BB121" s="4">
        <f>IF(AY121="","",0.94*R121)</f>
        <v/>
      </c>
      <c r="BC121" s="4">
        <f>IF(AY121="","",(BA121+BB121)/2)</f>
        <v/>
      </c>
      <c r="BD121" s="4">
        <f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4">
        <f>IF(AY121="","",IF(BD121&lt;AY121,BC121,BA121))</f>
        <v/>
      </c>
      <c r="BF121" s="4">
        <f>IF(AY121="","",IF(BD121&lt;AY121,BB121,BC121))</f>
        <v/>
      </c>
      <c r="BG121" s="4">
        <f>IF(AY121="","",(BE121+BF121)/2)</f>
        <v/>
      </c>
      <c r="BH121" s="4">
        <f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4">
        <f>IF(AY121="","",IF(BH121&lt;AY121,BG121,BE121))</f>
        <v/>
      </c>
      <c r="BJ121" s="4">
        <f>IF(AY121="","",IF(BH121&lt;AY121,BF121,BG121))</f>
        <v/>
      </c>
      <c r="BK121" s="4">
        <f>IF(AY121="","",(BI121+BJ121)/2)</f>
        <v/>
      </c>
      <c r="BL121" s="4">
        <f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4">
        <f>IF(AY121="","",IF(BL121&lt;AY121,BK121,BI121))</f>
        <v/>
      </c>
      <c r="BN121" s="4">
        <f>IF(AY121="","",IF(BL121&lt;AY121,BJ121,BK121))</f>
        <v/>
      </c>
      <c r="BO121" s="4">
        <f>IF(AY121="","",(BM121+BN121)/2)</f>
        <v/>
      </c>
      <c r="BP121" s="4">
        <f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4">
        <f>IF(AY121="","",IF(BP121&lt;AY121,BO121,BM121))</f>
        <v/>
      </c>
      <c r="BR121" s="4">
        <f>IF(AY121="","",IF(BP121&lt;AY121,BN121,BO121))</f>
        <v/>
      </c>
      <c r="BS121" s="4">
        <f>IF(AY121="","",(BQ121+BR121)/2)</f>
        <v/>
      </c>
      <c r="BT121" s="4">
        <f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4">
        <f>IF(AY121="","",IF(BT121&lt;AY121,BS121,BQ121))</f>
        <v/>
      </c>
      <c r="BV121" s="4">
        <f>IF(AY121="","",IF(BT121&lt;AY121,BR121,BS121))</f>
        <v/>
      </c>
      <c r="BW121" s="4">
        <f>IF(AY121="","",(BU121+BV121)/2)</f>
        <v/>
      </c>
      <c r="BX121" s="4">
        <f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4">
        <f>IF(AY121="","",IF(BX121&lt;AY121,BW121,BU121))</f>
        <v/>
      </c>
      <c r="BZ121" s="4">
        <f>IF(AY121="","",IF(BX121&lt;AY121,BV121,BW121))</f>
        <v/>
      </c>
      <c r="CA121" s="4">
        <f>IF(AY121="","",(BY121+BZ121)/2)</f>
        <v/>
      </c>
      <c r="CB121" s="4">
        <f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4">
        <f>IF(AY121="","",IF(CB121&lt;AY121,CA121,BY121))</f>
        <v/>
      </c>
      <c r="CD121" s="4">
        <f>IF(AY121="","",IF(CB121&lt;AY121,BZ121,CA121))</f>
        <v/>
      </c>
      <c r="CE121" s="4">
        <f>IF(AY121="","",(CC121+CD121)/2)</f>
        <v/>
      </c>
    </row>
    <row r="122">
      <c r="A122" s="4" t="n"/>
      <c r="B122" s="4" t="n"/>
      <c r="C122" s="8" t="n"/>
      <c r="D122" s="8" t="n"/>
      <c r="E122" s="8">
        <f>SUMIFS(CB_Tributaires!$G:$G,CB_Tributaires!$F:$F,$A122)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IF(A122="","",IF(F122="","",2.78E-7*IF(G122&lt;&gt;"",G122,IFERROR(SUMIFS(CB_Tributaires!$H:$H,CB_Tributaires!$F:$F,$A122)/SUMIFS(CB_Tributaires!$G:$G,CB_Tributaires!$F:$F,$A122),Inputs!$B$17))*F122*I122))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7">
        <f>IF(AY122="","",CE122)</f>
        <v/>
      </c>
      <c r="AX122" s="7">
        <f>IF(OR(AY122="",AW122="",R122="",R122&lt;=0,AW122&lt;=0),"",AY122/((R122^2/8)*(2*ACOS(1-2*AW122/R122)-SIN(2*ACOS(1-2*AW122/R122)))))</f>
        <v/>
      </c>
      <c r="AY122" s="4">
        <f>IF(OR(L122="",AZ122=""),"",MIN(L122,AZ122))</f>
        <v/>
      </c>
      <c r="AZ122" s="4">
        <f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4">
        <f>IF(AY122="","",0.001*R122)</f>
        <v/>
      </c>
      <c r="BB122" s="4">
        <f>IF(AY122="","",0.94*R122)</f>
        <v/>
      </c>
      <c r="BC122" s="4">
        <f>IF(AY122="","",(BA122+BB122)/2)</f>
        <v/>
      </c>
      <c r="BD122" s="4">
        <f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4">
        <f>IF(AY122="","",IF(BD122&lt;AY122,BC122,BA122))</f>
        <v/>
      </c>
      <c r="BF122" s="4">
        <f>IF(AY122="","",IF(BD122&lt;AY122,BB122,BC122))</f>
        <v/>
      </c>
      <c r="BG122" s="4">
        <f>IF(AY122="","",(BE122+BF122)/2)</f>
        <v/>
      </c>
      <c r="BH122" s="4">
        <f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4">
        <f>IF(AY122="","",IF(BH122&lt;AY122,BG122,BE122))</f>
        <v/>
      </c>
      <c r="BJ122" s="4">
        <f>IF(AY122="","",IF(BH122&lt;AY122,BF122,BG122))</f>
        <v/>
      </c>
      <c r="BK122" s="4">
        <f>IF(AY122="","",(BI122+BJ122)/2)</f>
        <v/>
      </c>
      <c r="BL122" s="4">
        <f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4">
        <f>IF(AY122="","",IF(BL122&lt;AY122,BK122,BI122))</f>
        <v/>
      </c>
      <c r="BN122" s="4">
        <f>IF(AY122="","",IF(BL122&lt;AY122,BJ122,BK122))</f>
        <v/>
      </c>
      <c r="BO122" s="4">
        <f>IF(AY122="","",(BM122+BN122)/2)</f>
        <v/>
      </c>
      <c r="BP122" s="4">
        <f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4">
        <f>IF(AY122="","",IF(BP122&lt;AY122,BO122,BM122))</f>
        <v/>
      </c>
      <c r="BR122" s="4">
        <f>IF(AY122="","",IF(BP122&lt;AY122,BN122,BO122))</f>
        <v/>
      </c>
      <c r="BS122" s="4">
        <f>IF(AY122="","",(BQ122+BR122)/2)</f>
        <v/>
      </c>
      <c r="BT122" s="4">
        <f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4">
        <f>IF(AY122="","",IF(BT122&lt;AY122,BS122,BQ122))</f>
        <v/>
      </c>
      <c r="BV122" s="4">
        <f>IF(AY122="","",IF(BT122&lt;AY122,BR122,BS122))</f>
        <v/>
      </c>
      <c r="BW122" s="4">
        <f>IF(AY122="","",(BU122+BV122)/2)</f>
        <v/>
      </c>
      <c r="BX122" s="4">
        <f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4">
        <f>IF(AY122="","",IF(BX122&lt;AY122,BW122,BU122))</f>
        <v/>
      </c>
      <c r="BZ122" s="4">
        <f>IF(AY122="","",IF(BX122&lt;AY122,BV122,BW122))</f>
        <v/>
      </c>
      <c r="CA122" s="4">
        <f>IF(AY122="","",(BY122+BZ122)/2)</f>
        <v/>
      </c>
      <c r="CB122" s="4">
        <f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4">
        <f>IF(AY122="","",IF(CB122&lt;AY122,CA122,BY122))</f>
        <v/>
      </c>
      <c r="CD122" s="4">
        <f>IF(AY122="","",IF(CB122&lt;AY122,BZ122,CA122))</f>
        <v/>
      </c>
      <c r="CE122" s="4">
        <f>IF(AY122="","",(CC122+CD122)/2)</f>
        <v/>
      </c>
    </row>
    <row r="123">
      <c r="A123" s="4" t="n"/>
      <c r="B123" s="4" t="n"/>
      <c r="C123" s="8" t="n"/>
      <c r="D123" s="8" t="n"/>
      <c r="E123" s="8">
        <f>SUMIFS(CB_Tributaires!$G:$G,CB_Tributaires!$F:$F,$A123)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IF(A123="","",IF(F123="","",2.78E-7*IF(G123&lt;&gt;"",G123,IFERROR(SUMIFS(CB_Tributaires!$H:$H,CB_Tributaires!$F:$F,$A123)/SUMIFS(CB_Tributaires!$G:$G,CB_Tributaires!$F:$F,$A123),Inputs!$B$17))*F123*I123))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7">
        <f>IF(AY123="","",CE123)</f>
        <v/>
      </c>
      <c r="AX123" s="7">
        <f>IF(OR(AY123="",AW123="",R123="",R123&lt;=0,AW123&lt;=0),"",AY123/((R123^2/8)*(2*ACOS(1-2*AW123/R123)-SIN(2*ACOS(1-2*AW123/R123)))))</f>
        <v/>
      </c>
      <c r="AY123" s="4">
        <f>IF(OR(L123="",AZ123=""),"",MIN(L123,AZ123))</f>
        <v/>
      </c>
      <c r="AZ123" s="4">
        <f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4">
        <f>IF(AY123="","",0.001*R123)</f>
        <v/>
      </c>
      <c r="BB123" s="4">
        <f>IF(AY123="","",0.94*R123)</f>
        <v/>
      </c>
      <c r="BC123" s="4">
        <f>IF(AY123="","",(BA123+BB123)/2)</f>
        <v/>
      </c>
      <c r="BD123" s="4">
        <f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4">
        <f>IF(AY123="","",IF(BD123&lt;AY123,BC123,BA123))</f>
        <v/>
      </c>
      <c r="BF123" s="4">
        <f>IF(AY123="","",IF(BD123&lt;AY123,BB123,BC123))</f>
        <v/>
      </c>
      <c r="BG123" s="4">
        <f>IF(AY123="","",(BE123+BF123)/2)</f>
        <v/>
      </c>
      <c r="BH123" s="4">
        <f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4">
        <f>IF(AY123="","",IF(BH123&lt;AY123,BG123,BE123))</f>
        <v/>
      </c>
      <c r="BJ123" s="4">
        <f>IF(AY123="","",IF(BH123&lt;AY123,BF123,BG123))</f>
        <v/>
      </c>
      <c r="BK123" s="4">
        <f>IF(AY123="","",(BI123+BJ123)/2)</f>
        <v/>
      </c>
      <c r="BL123" s="4">
        <f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4">
        <f>IF(AY123="","",IF(BL123&lt;AY123,BK123,BI123))</f>
        <v/>
      </c>
      <c r="BN123" s="4">
        <f>IF(AY123="","",IF(BL123&lt;AY123,BJ123,BK123))</f>
        <v/>
      </c>
      <c r="BO123" s="4">
        <f>IF(AY123="","",(BM123+BN123)/2)</f>
        <v/>
      </c>
      <c r="BP123" s="4">
        <f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4">
        <f>IF(AY123="","",IF(BP123&lt;AY123,BO123,BM123))</f>
        <v/>
      </c>
      <c r="BR123" s="4">
        <f>IF(AY123="","",IF(BP123&lt;AY123,BN123,BO123))</f>
        <v/>
      </c>
      <c r="BS123" s="4">
        <f>IF(AY123="","",(BQ123+BR123)/2)</f>
        <v/>
      </c>
      <c r="BT123" s="4">
        <f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4">
        <f>IF(AY123="","",IF(BT123&lt;AY123,BS123,BQ123))</f>
        <v/>
      </c>
      <c r="BV123" s="4">
        <f>IF(AY123="","",IF(BT123&lt;AY123,BR123,BS123))</f>
        <v/>
      </c>
      <c r="BW123" s="4">
        <f>IF(AY123="","",(BU123+BV123)/2)</f>
        <v/>
      </c>
      <c r="BX123" s="4">
        <f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4">
        <f>IF(AY123="","",IF(BX123&lt;AY123,BW123,BU123))</f>
        <v/>
      </c>
      <c r="BZ123" s="4">
        <f>IF(AY123="","",IF(BX123&lt;AY123,BV123,BW123))</f>
        <v/>
      </c>
      <c r="CA123" s="4">
        <f>IF(AY123="","",(BY123+BZ123)/2)</f>
        <v/>
      </c>
      <c r="CB123" s="4">
        <f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4">
        <f>IF(AY123="","",IF(CB123&lt;AY123,CA123,BY123))</f>
        <v/>
      </c>
      <c r="CD123" s="4">
        <f>IF(AY123="","",IF(CB123&lt;AY123,BZ123,CA123))</f>
        <v/>
      </c>
      <c r="CE123" s="4">
        <f>IF(AY123="","",(CC123+CD123)/2)</f>
        <v/>
      </c>
    </row>
    <row r="124">
      <c r="A124" s="4" t="n"/>
      <c r="B124" s="4" t="n"/>
      <c r="C124" s="8" t="n"/>
      <c r="D124" s="8" t="n"/>
      <c r="E124" s="8">
        <f>SUMIFS(CB_Tributaires!$G:$G,CB_Tributaires!$F:$F,$A124)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IF(A124="","",IF(F124="","",2.78E-7*IF(G124&lt;&gt;"",G124,IFERROR(SUMIFS(CB_Tributaires!$H:$H,CB_Tributaires!$F:$F,$A124)/SUMIFS(CB_Tributaires!$G:$G,CB_Tributaires!$F:$F,$A124),Inputs!$B$17))*F124*I124))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7">
        <f>IF(AY124="","",CE124)</f>
        <v/>
      </c>
      <c r="AX124" s="7">
        <f>IF(OR(AY124="",AW124="",R124="",R124&lt;=0,AW124&lt;=0),"",AY124/((R124^2/8)*(2*ACOS(1-2*AW124/R124)-SIN(2*ACOS(1-2*AW124/R124)))))</f>
        <v/>
      </c>
      <c r="AY124" s="4">
        <f>IF(OR(L124="",AZ124=""),"",MIN(L124,AZ124))</f>
        <v/>
      </c>
      <c r="AZ124" s="4">
        <f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4">
        <f>IF(AY124="","",0.001*R124)</f>
        <v/>
      </c>
      <c r="BB124" s="4">
        <f>IF(AY124="","",0.94*R124)</f>
        <v/>
      </c>
      <c r="BC124" s="4">
        <f>IF(AY124="","",(BA124+BB124)/2)</f>
        <v/>
      </c>
      <c r="BD124" s="4">
        <f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4">
        <f>IF(AY124="","",IF(BD124&lt;AY124,BC124,BA124))</f>
        <v/>
      </c>
      <c r="BF124" s="4">
        <f>IF(AY124="","",IF(BD124&lt;AY124,BB124,BC124))</f>
        <v/>
      </c>
      <c r="BG124" s="4">
        <f>IF(AY124="","",(BE124+BF124)/2)</f>
        <v/>
      </c>
      <c r="BH124" s="4">
        <f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4">
        <f>IF(AY124="","",IF(BH124&lt;AY124,BG124,BE124))</f>
        <v/>
      </c>
      <c r="BJ124" s="4">
        <f>IF(AY124="","",IF(BH124&lt;AY124,BF124,BG124))</f>
        <v/>
      </c>
      <c r="BK124" s="4">
        <f>IF(AY124="","",(BI124+BJ124)/2)</f>
        <v/>
      </c>
      <c r="BL124" s="4">
        <f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4">
        <f>IF(AY124="","",IF(BL124&lt;AY124,BK124,BI124))</f>
        <v/>
      </c>
      <c r="BN124" s="4">
        <f>IF(AY124="","",IF(BL124&lt;AY124,BJ124,BK124))</f>
        <v/>
      </c>
      <c r="BO124" s="4">
        <f>IF(AY124="","",(BM124+BN124)/2)</f>
        <v/>
      </c>
      <c r="BP124" s="4">
        <f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4">
        <f>IF(AY124="","",IF(BP124&lt;AY124,BO124,BM124))</f>
        <v/>
      </c>
      <c r="BR124" s="4">
        <f>IF(AY124="","",IF(BP124&lt;AY124,BN124,BO124))</f>
        <v/>
      </c>
      <c r="BS124" s="4">
        <f>IF(AY124="","",(BQ124+BR124)/2)</f>
        <v/>
      </c>
      <c r="BT124" s="4">
        <f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4">
        <f>IF(AY124="","",IF(BT124&lt;AY124,BS124,BQ124))</f>
        <v/>
      </c>
      <c r="BV124" s="4">
        <f>IF(AY124="","",IF(BT124&lt;AY124,BR124,BS124))</f>
        <v/>
      </c>
      <c r="BW124" s="4">
        <f>IF(AY124="","",(BU124+BV124)/2)</f>
        <v/>
      </c>
      <c r="BX124" s="4">
        <f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4">
        <f>IF(AY124="","",IF(BX124&lt;AY124,BW124,BU124))</f>
        <v/>
      </c>
      <c r="BZ124" s="4">
        <f>IF(AY124="","",IF(BX124&lt;AY124,BV124,BW124))</f>
        <v/>
      </c>
      <c r="CA124" s="4">
        <f>IF(AY124="","",(BY124+BZ124)/2)</f>
        <v/>
      </c>
      <c r="CB124" s="4">
        <f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4">
        <f>IF(AY124="","",IF(CB124&lt;AY124,CA124,BY124))</f>
        <v/>
      </c>
      <c r="CD124" s="4">
        <f>IF(AY124="","",IF(CB124&lt;AY124,BZ124,CA124))</f>
        <v/>
      </c>
      <c r="CE124" s="4">
        <f>IF(AY124="","",(CC124+CD124)/2)</f>
        <v/>
      </c>
    </row>
    <row r="125">
      <c r="A125" s="4" t="n"/>
      <c r="B125" s="4" t="n"/>
      <c r="C125" s="8" t="n"/>
      <c r="D125" s="8" t="n"/>
      <c r="E125" s="8">
        <f>SUMIFS(CB_Tributaires!$G:$G,CB_Tributaires!$F:$F,$A125)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IF(A125="","",IF(F125="","",2.78E-7*IF(G125&lt;&gt;"",G125,IFERROR(SUMIFS(CB_Tributaires!$H:$H,CB_Tributaires!$F:$F,$A125)/SUMIFS(CB_Tributaires!$G:$G,CB_Tributaires!$F:$F,$A125),Inputs!$B$17))*F125*I125))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7">
        <f>IF(AY125="","",CE125)</f>
        <v/>
      </c>
      <c r="AX125" s="7">
        <f>IF(OR(AY125="",AW125="",R125="",R125&lt;=0,AW125&lt;=0),"",AY125/((R125^2/8)*(2*ACOS(1-2*AW125/R125)-SIN(2*ACOS(1-2*AW125/R125)))))</f>
        <v/>
      </c>
      <c r="AY125" s="4">
        <f>IF(OR(L125="",AZ125=""),"",MIN(L125,AZ125))</f>
        <v/>
      </c>
      <c r="AZ125" s="4">
        <f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4">
        <f>IF(AY125="","",0.001*R125)</f>
        <v/>
      </c>
      <c r="BB125" s="4">
        <f>IF(AY125="","",0.94*R125)</f>
        <v/>
      </c>
      <c r="BC125" s="4">
        <f>IF(AY125="","",(BA125+BB125)/2)</f>
        <v/>
      </c>
      <c r="BD125" s="4">
        <f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4">
        <f>IF(AY125="","",IF(BD125&lt;AY125,BC125,BA125))</f>
        <v/>
      </c>
      <c r="BF125" s="4">
        <f>IF(AY125="","",IF(BD125&lt;AY125,BB125,BC125))</f>
        <v/>
      </c>
      <c r="BG125" s="4">
        <f>IF(AY125="","",(BE125+BF125)/2)</f>
        <v/>
      </c>
      <c r="BH125" s="4">
        <f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4">
        <f>IF(AY125="","",IF(BH125&lt;AY125,BG125,BE125))</f>
        <v/>
      </c>
      <c r="BJ125" s="4">
        <f>IF(AY125="","",IF(BH125&lt;AY125,BF125,BG125))</f>
        <v/>
      </c>
      <c r="BK125" s="4">
        <f>IF(AY125="","",(BI125+BJ125)/2)</f>
        <v/>
      </c>
      <c r="BL125" s="4">
        <f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4">
        <f>IF(AY125="","",IF(BL125&lt;AY125,BK125,BI125))</f>
        <v/>
      </c>
      <c r="BN125" s="4">
        <f>IF(AY125="","",IF(BL125&lt;AY125,BJ125,BK125))</f>
        <v/>
      </c>
      <c r="BO125" s="4">
        <f>IF(AY125="","",(BM125+BN125)/2)</f>
        <v/>
      </c>
      <c r="BP125" s="4">
        <f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4">
        <f>IF(AY125="","",IF(BP125&lt;AY125,BO125,BM125))</f>
        <v/>
      </c>
      <c r="BR125" s="4">
        <f>IF(AY125="","",IF(BP125&lt;AY125,BN125,BO125))</f>
        <v/>
      </c>
      <c r="BS125" s="4">
        <f>IF(AY125="","",(BQ125+BR125)/2)</f>
        <v/>
      </c>
      <c r="BT125" s="4">
        <f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4">
        <f>IF(AY125="","",IF(BT125&lt;AY125,BS125,BQ125))</f>
        <v/>
      </c>
      <c r="BV125" s="4">
        <f>IF(AY125="","",IF(BT125&lt;AY125,BR125,BS125))</f>
        <v/>
      </c>
      <c r="BW125" s="4">
        <f>IF(AY125="","",(BU125+BV125)/2)</f>
        <v/>
      </c>
      <c r="BX125" s="4">
        <f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4">
        <f>IF(AY125="","",IF(BX125&lt;AY125,BW125,BU125))</f>
        <v/>
      </c>
      <c r="BZ125" s="4">
        <f>IF(AY125="","",IF(BX125&lt;AY125,BV125,BW125))</f>
        <v/>
      </c>
      <c r="CA125" s="4">
        <f>IF(AY125="","",(BY125+BZ125)/2)</f>
        <v/>
      </c>
      <c r="CB125" s="4">
        <f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4">
        <f>IF(AY125="","",IF(CB125&lt;AY125,CA125,BY125))</f>
        <v/>
      </c>
      <c r="CD125" s="4">
        <f>IF(AY125="","",IF(CB125&lt;AY125,BZ125,CA125))</f>
        <v/>
      </c>
      <c r="CE125" s="4">
        <f>IF(AY125="","",(CC125+CD125)/2)</f>
        <v/>
      </c>
    </row>
    <row r="126">
      <c r="A126" s="4" t="n"/>
      <c r="B126" s="4" t="n"/>
      <c r="C126" s="8" t="n"/>
      <c r="D126" s="8" t="n"/>
      <c r="E126" s="8">
        <f>SUMIFS(CB_Tributaires!$G:$G,CB_Tributaires!$F:$F,$A126)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IF(A126="","",IF(F126="","",2.78E-7*IF(G126&lt;&gt;"",G126,IFERROR(SUMIFS(CB_Tributaires!$H:$H,CB_Tributaires!$F:$F,$A126)/SUMIFS(CB_Tributaires!$G:$G,CB_Tributaires!$F:$F,$A126),Inputs!$B$17))*F126*I126))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7">
        <f>IF(AY126="","",CE126)</f>
        <v/>
      </c>
      <c r="AX126" s="7">
        <f>IF(OR(AY126="",AW126="",R126="",R126&lt;=0,AW126&lt;=0),"",AY126/((R126^2/8)*(2*ACOS(1-2*AW126/R126)-SIN(2*ACOS(1-2*AW126/R126)))))</f>
        <v/>
      </c>
      <c r="AY126" s="4">
        <f>IF(OR(L126="",AZ126=""),"",MIN(L126,AZ126))</f>
        <v/>
      </c>
      <c r="AZ126" s="4">
        <f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4">
        <f>IF(AY126="","",0.001*R126)</f>
        <v/>
      </c>
      <c r="BB126" s="4">
        <f>IF(AY126="","",0.94*R126)</f>
        <v/>
      </c>
      <c r="BC126" s="4">
        <f>IF(AY126="","",(BA126+BB126)/2)</f>
        <v/>
      </c>
      <c r="BD126" s="4">
        <f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4">
        <f>IF(AY126="","",IF(BD126&lt;AY126,BC126,BA126))</f>
        <v/>
      </c>
      <c r="BF126" s="4">
        <f>IF(AY126="","",IF(BD126&lt;AY126,BB126,BC126))</f>
        <v/>
      </c>
      <c r="BG126" s="4">
        <f>IF(AY126="","",(BE126+BF126)/2)</f>
        <v/>
      </c>
      <c r="BH126" s="4">
        <f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4">
        <f>IF(AY126="","",IF(BH126&lt;AY126,BG126,BE126))</f>
        <v/>
      </c>
      <c r="BJ126" s="4">
        <f>IF(AY126="","",IF(BH126&lt;AY126,BF126,BG126))</f>
        <v/>
      </c>
      <c r="BK126" s="4">
        <f>IF(AY126="","",(BI126+BJ126)/2)</f>
        <v/>
      </c>
      <c r="BL126" s="4">
        <f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4">
        <f>IF(AY126="","",IF(BL126&lt;AY126,BK126,BI126))</f>
        <v/>
      </c>
      <c r="BN126" s="4">
        <f>IF(AY126="","",IF(BL126&lt;AY126,BJ126,BK126))</f>
        <v/>
      </c>
      <c r="BO126" s="4">
        <f>IF(AY126="","",(BM126+BN126)/2)</f>
        <v/>
      </c>
      <c r="BP126" s="4">
        <f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4">
        <f>IF(AY126="","",IF(BP126&lt;AY126,BO126,BM126))</f>
        <v/>
      </c>
      <c r="BR126" s="4">
        <f>IF(AY126="","",IF(BP126&lt;AY126,BN126,BO126))</f>
        <v/>
      </c>
      <c r="BS126" s="4">
        <f>IF(AY126="","",(BQ126+BR126)/2)</f>
        <v/>
      </c>
      <c r="BT126" s="4">
        <f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4">
        <f>IF(AY126="","",IF(BT126&lt;AY126,BS126,BQ126))</f>
        <v/>
      </c>
      <c r="BV126" s="4">
        <f>IF(AY126="","",IF(BT126&lt;AY126,BR126,BS126))</f>
        <v/>
      </c>
      <c r="BW126" s="4">
        <f>IF(AY126="","",(BU126+BV126)/2)</f>
        <v/>
      </c>
      <c r="BX126" s="4">
        <f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4">
        <f>IF(AY126="","",IF(BX126&lt;AY126,BW126,BU126))</f>
        <v/>
      </c>
      <c r="BZ126" s="4">
        <f>IF(AY126="","",IF(BX126&lt;AY126,BV126,BW126))</f>
        <v/>
      </c>
      <c r="CA126" s="4">
        <f>IF(AY126="","",(BY126+BZ126)/2)</f>
        <v/>
      </c>
      <c r="CB126" s="4">
        <f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4">
        <f>IF(AY126="","",IF(CB126&lt;AY126,CA126,BY126))</f>
        <v/>
      </c>
      <c r="CD126" s="4">
        <f>IF(AY126="","",IF(CB126&lt;AY126,BZ126,CA126))</f>
        <v/>
      </c>
      <c r="CE126" s="4">
        <f>IF(AY126="","",(CC126+CD126)/2)</f>
        <v/>
      </c>
    </row>
    <row r="127">
      <c r="A127" s="4" t="n"/>
      <c r="B127" s="4" t="n"/>
      <c r="C127" s="8" t="n"/>
      <c r="D127" s="8" t="n"/>
      <c r="E127" s="8">
        <f>SUMIFS(CB_Tributaires!$G:$G,CB_Tributaires!$F:$F,$A127)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IF(A127="","",IF(F127="","",2.78E-7*IF(G127&lt;&gt;"",G127,IFERROR(SUMIFS(CB_Tributaires!$H:$H,CB_Tributaires!$F:$F,$A127)/SUMIFS(CB_Tributaires!$G:$G,CB_Tributaires!$F:$F,$A127),Inputs!$B$17))*F127*I127))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7">
        <f>IF(AY127="","",CE127)</f>
        <v/>
      </c>
      <c r="AX127" s="7">
        <f>IF(OR(AY127="",AW127="",R127="",R127&lt;=0,AW127&lt;=0),"",AY127/((R127^2/8)*(2*ACOS(1-2*AW127/R127)-SIN(2*ACOS(1-2*AW127/R127)))))</f>
        <v/>
      </c>
      <c r="AY127" s="4">
        <f>IF(OR(L127="",AZ127=""),"",MIN(L127,AZ127))</f>
        <v/>
      </c>
      <c r="AZ127" s="4">
        <f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4">
        <f>IF(AY127="","",0.001*R127)</f>
        <v/>
      </c>
      <c r="BB127" s="4">
        <f>IF(AY127="","",0.94*R127)</f>
        <v/>
      </c>
      <c r="BC127" s="4">
        <f>IF(AY127="","",(BA127+BB127)/2)</f>
        <v/>
      </c>
      <c r="BD127" s="4">
        <f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4">
        <f>IF(AY127="","",IF(BD127&lt;AY127,BC127,BA127))</f>
        <v/>
      </c>
      <c r="BF127" s="4">
        <f>IF(AY127="","",IF(BD127&lt;AY127,BB127,BC127))</f>
        <v/>
      </c>
      <c r="BG127" s="4">
        <f>IF(AY127="","",(BE127+BF127)/2)</f>
        <v/>
      </c>
      <c r="BH127" s="4">
        <f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4">
        <f>IF(AY127="","",IF(BH127&lt;AY127,BG127,BE127))</f>
        <v/>
      </c>
      <c r="BJ127" s="4">
        <f>IF(AY127="","",IF(BH127&lt;AY127,BF127,BG127))</f>
        <v/>
      </c>
      <c r="BK127" s="4">
        <f>IF(AY127="","",(BI127+BJ127)/2)</f>
        <v/>
      </c>
      <c r="BL127" s="4">
        <f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4">
        <f>IF(AY127="","",IF(BL127&lt;AY127,BK127,BI127))</f>
        <v/>
      </c>
      <c r="BN127" s="4">
        <f>IF(AY127="","",IF(BL127&lt;AY127,BJ127,BK127))</f>
        <v/>
      </c>
      <c r="BO127" s="4">
        <f>IF(AY127="","",(BM127+BN127)/2)</f>
        <v/>
      </c>
      <c r="BP127" s="4">
        <f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4">
        <f>IF(AY127="","",IF(BP127&lt;AY127,BO127,BM127))</f>
        <v/>
      </c>
      <c r="BR127" s="4">
        <f>IF(AY127="","",IF(BP127&lt;AY127,BN127,BO127))</f>
        <v/>
      </c>
      <c r="BS127" s="4">
        <f>IF(AY127="","",(BQ127+BR127)/2)</f>
        <v/>
      </c>
      <c r="BT127" s="4">
        <f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4">
        <f>IF(AY127="","",IF(BT127&lt;AY127,BS127,BQ127))</f>
        <v/>
      </c>
      <c r="BV127" s="4">
        <f>IF(AY127="","",IF(BT127&lt;AY127,BR127,BS127))</f>
        <v/>
      </c>
      <c r="BW127" s="4">
        <f>IF(AY127="","",(BU127+BV127)/2)</f>
        <v/>
      </c>
      <c r="BX127" s="4">
        <f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4">
        <f>IF(AY127="","",IF(BX127&lt;AY127,BW127,BU127))</f>
        <v/>
      </c>
      <c r="BZ127" s="4">
        <f>IF(AY127="","",IF(BX127&lt;AY127,BV127,BW127))</f>
        <v/>
      </c>
      <c r="CA127" s="4">
        <f>IF(AY127="","",(BY127+BZ127)/2)</f>
        <v/>
      </c>
      <c r="CB127" s="4">
        <f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4">
        <f>IF(AY127="","",IF(CB127&lt;AY127,CA127,BY127))</f>
        <v/>
      </c>
      <c r="CD127" s="4">
        <f>IF(AY127="","",IF(CB127&lt;AY127,BZ127,CA127))</f>
        <v/>
      </c>
      <c r="CE127" s="4">
        <f>IF(AY127="","",(CC127+CD127)/2)</f>
        <v/>
      </c>
    </row>
    <row r="128">
      <c r="A128" s="4" t="n"/>
      <c r="B128" s="4" t="n"/>
      <c r="C128" s="8" t="n"/>
      <c r="D128" s="8" t="n"/>
      <c r="E128" s="8">
        <f>SUMIFS(CB_Tributaires!$G:$G,CB_Tributaires!$F:$F,$A128)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IF(A128="","",IF(F128="","",2.78E-7*IF(G128&lt;&gt;"",G128,IFERROR(SUMIFS(CB_Tributaires!$H:$H,CB_Tributaires!$F:$F,$A128)/SUMIFS(CB_Tributaires!$G:$G,CB_Tributaires!$F:$F,$A128),Inputs!$B$17))*F128*I128))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7">
        <f>IF(AY128="","",CE128)</f>
        <v/>
      </c>
      <c r="AX128" s="7">
        <f>IF(OR(AY128="",AW128="",R128="",R128&lt;=0,AW128&lt;=0),"",AY128/((R128^2/8)*(2*ACOS(1-2*AW128/R128)-SIN(2*ACOS(1-2*AW128/R128)))))</f>
        <v/>
      </c>
      <c r="AY128" s="4">
        <f>IF(OR(L128="",AZ128=""),"",MIN(L128,AZ128))</f>
        <v/>
      </c>
      <c r="AZ128" s="4">
        <f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4">
        <f>IF(AY128="","",0.001*R128)</f>
        <v/>
      </c>
      <c r="BB128" s="4">
        <f>IF(AY128="","",0.94*R128)</f>
        <v/>
      </c>
      <c r="BC128" s="4">
        <f>IF(AY128="","",(BA128+BB128)/2)</f>
        <v/>
      </c>
      <c r="BD128" s="4">
        <f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4">
        <f>IF(AY128="","",IF(BD128&lt;AY128,BC128,BA128))</f>
        <v/>
      </c>
      <c r="BF128" s="4">
        <f>IF(AY128="","",IF(BD128&lt;AY128,BB128,BC128))</f>
        <v/>
      </c>
      <c r="BG128" s="4">
        <f>IF(AY128="","",(BE128+BF128)/2)</f>
        <v/>
      </c>
      <c r="BH128" s="4">
        <f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4">
        <f>IF(AY128="","",IF(BH128&lt;AY128,BG128,BE128))</f>
        <v/>
      </c>
      <c r="BJ128" s="4">
        <f>IF(AY128="","",IF(BH128&lt;AY128,BF128,BG128))</f>
        <v/>
      </c>
      <c r="BK128" s="4">
        <f>IF(AY128="","",(BI128+BJ128)/2)</f>
        <v/>
      </c>
      <c r="BL128" s="4">
        <f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4">
        <f>IF(AY128="","",IF(BL128&lt;AY128,BK128,BI128))</f>
        <v/>
      </c>
      <c r="BN128" s="4">
        <f>IF(AY128="","",IF(BL128&lt;AY128,BJ128,BK128))</f>
        <v/>
      </c>
      <c r="BO128" s="4">
        <f>IF(AY128="","",(BM128+BN128)/2)</f>
        <v/>
      </c>
      <c r="BP128" s="4">
        <f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4">
        <f>IF(AY128="","",IF(BP128&lt;AY128,BO128,BM128))</f>
        <v/>
      </c>
      <c r="BR128" s="4">
        <f>IF(AY128="","",IF(BP128&lt;AY128,BN128,BO128))</f>
        <v/>
      </c>
      <c r="BS128" s="4">
        <f>IF(AY128="","",(BQ128+BR128)/2)</f>
        <v/>
      </c>
      <c r="BT128" s="4">
        <f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4">
        <f>IF(AY128="","",IF(BT128&lt;AY128,BS128,BQ128))</f>
        <v/>
      </c>
      <c r="BV128" s="4">
        <f>IF(AY128="","",IF(BT128&lt;AY128,BR128,BS128))</f>
        <v/>
      </c>
      <c r="BW128" s="4">
        <f>IF(AY128="","",(BU128+BV128)/2)</f>
        <v/>
      </c>
      <c r="BX128" s="4">
        <f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4">
        <f>IF(AY128="","",IF(BX128&lt;AY128,BW128,BU128))</f>
        <v/>
      </c>
      <c r="BZ128" s="4">
        <f>IF(AY128="","",IF(BX128&lt;AY128,BV128,BW128))</f>
        <v/>
      </c>
      <c r="CA128" s="4">
        <f>IF(AY128="","",(BY128+BZ128)/2)</f>
        <v/>
      </c>
      <c r="CB128" s="4">
        <f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4">
        <f>IF(AY128="","",IF(CB128&lt;AY128,CA128,BY128))</f>
        <v/>
      </c>
      <c r="CD128" s="4">
        <f>IF(AY128="","",IF(CB128&lt;AY128,BZ128,CA128))</f>
        <v/>
      </c>
      <c r="CE128" s="4">
        <f>IF(AY128="","",(CC128+CD128)/2)</f>
        <v/>
      </c>
    </row>
    <row r="129">
      <c r="A129" s="4" t="n"/>
      <c r="B129" s="4" t="n"/>
      <c r="C129" s="8" t="n"/>
      <c r="D129" s="8" t="n"/>
      <c r="E129" s="8">
        <f>SUMIFS(CB_Tributaires!$G:$G,CB_Tributaires!$F:$F,$A129)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IF(A129="","",IF(F129="","",2.78E-7*IF(G129&lt;&gt;"",G129,IFERROR(SUMIFS(CB_Tributaires!$H:$H,CB_Tributaires!$F:$F,$A129)/SUMIFS(CB_Tributaires!$G:$G,CB_Tributaires!$F:$F,$A129),Inputs!$B$17))*F129*I129))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7">
        <f>IF(AY129="","",CE129)</f>
        <v/>
      </c>
      <c r="AX129" s="7">
        <f>IF(OR(AY129="",AW129="",R129="",R129&lt;=0,AW129&lt;=0),"",AY129/((R129^2/8)*(2*ACOS(1-2*AW129/R129)-SIN(2*ACOS(1-2*AW129/R129)))))</f>
        <v/>
      </c>
      <c r="AY129" s="4">
        <f>IF(OR(L129="",AZ129=""),"",MIN(L129,AZ129))</f>
        <v/>
      </c>
      <c r="AZ129" s="4">
        <f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4">
        <f>IF(AY129="","",0.001*R129)</f>
        <v/>
      </c>
      <c r="BB129" s="4">
        <f>IF(AY129="","",0.94*R129)</f>
        <v/>
      </c>
      <c r="BC129" s="4">
        <f>IF(AY129="","",(BA129+BB129)/2)</f>
        <v/>
      </c>
      <c r="BD129" s="4">
        <f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4">
        <f>IF(AY129="","",IF(BD129&lt;AY129,BC129,BA129))</f>
        <v/>
      </c>
      <c r="BF129" s="4">
        <f>IF(AY129="","",IF(BD129&lt;AY129,BB129,BC129))</f>
        <v/>
      </c>
      <c r="BG129" s="4">
        <f>IF(AY129="","",(BE129+BF129)/2)</f>
        <v/>
      </c>
      <c r="BH129" s="4">
        <f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4">
        <f>IF(AY129="","",IF(BH129&lt;AY129,BG129,BE129))</f>
        <v/>
      </c>
      <c r="BJ129" s="4">
        <f>IF(AY129="","",IF(BH129&lt;AY129,BF129,BG129))</f>
        <v/>
      </c>
      <c r="BK129" s="4">
        <f>IF(AY129="","",(BI129+BJ129)/2)</f>
        <v/>
      </c>
      <c r="BL129" s="4">
        <f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4">
        <f>IF(AY129="","",IF(BL129&lt;AY129,BK129,BI129))</f>
        <v/>
      </c>
      <c r="BN129" s="4">
        <f>IF(AY129="","",IF(BL129&lt;AY129,BJ129,BK129))</f>
        <v/>
      </c>
      <c r="BO129" s="4">
        <f>IF(AY129="","",(BM129+BN129)/2)</f>
        <v/>
      </c>
      <c r="BP129" s="4">
        <f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4">
        <f>IF(AY129="","",IF(BP129&lt;AY129,BO129,BM129))</f>
        <v/>
      </c>
      <c r="BR129" s="4">
        <f>IF(AY129="","",IF(BP129&lt;AY129,BN129,BO129))</f>
        <v/>
      </c>
      <c r="BS129" s="4">
        <f>IF(AY129="","",(BQ129+BR129)/2)</f>
        <v/>
      </c>
      <c r="BT129" s="4">
        <f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4">
        <f>IF(AY129="","",IF(BT129&lt;AY129,BS129,BQ129))</f>
        <v/>
      </c>
      <c r="BV129" s="4">
        <f>IF(AY129="","",IF(BT129&lt;AY129,BR129,BS129))</f>
        <v/>
      </c>
      <c r="BW129" s="4">
        <f>IF(AY129="","",(BU129+BV129)/2)</f>
        <v/>
      </c>
      <c r="BX129" s="4">
        <f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4">
        <f>IF(AY129="","",IF(BX129&lt;AY129,BW129,BU129))</f>
        <v/>
      </c>
      <c r="BZ129" s="4">
        <f>IF(AY129="","",IF(BX129&lt;AY129,BV129,BW129))</f>
        <v/>
      </c>
      <c r="CA129" s="4">
        <f>IF(AY129="","",(BY129+BZ129)/2)</f>
        <v/>
      </c>
      <c r="CB129" s="4">
        <f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4">
        <f>IF(AY129="","",IF(CB129&lt;AY129,CA129,BY129))</f>
        <v/>
      </c>
      <c r="CD129" s="4">
        <f>IF(AY129="","",IF(CB129&lt;AY129,BZ129,CA129))</f>
        <v/>
      </c>
      <c r="CE129" s="4">
        <f>IF(AY129="","",(CC129+CD129)/2)</f>
        <v/>
      </c>
    </row>
    <row r="130">
      <c r="A130" s="4" t="n"/>
      <c r="B130" s="4" t="n"/>
      <c r="C130" s="8" t="n"/>
      <c r="D130" s="8" t="n"/>
      <c r="E130" s="8">
        <f>SUMIFS(CB_Tributaires!$G:$G,CB_Tributaires!$F:$F,$A130)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IF(A130="","",IF(F130="","",2.78E-7*IF(G130&lt;&gt;"",G130,IFERROR(SUMIFS(CB_Tributaires!$H:$H,CB_Tributaires!$F:$F,$A130)/SUMIFS(CB_Tributaires!$G:$G,CB_Tributaires!$F:$F,$A130),Inputs!$B$17))*F130*I130))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7">
        <f>IF(AY130="","",CE130)</f>
        <v/>
      </c>
      <c r="AX130" s="7">
        <f>IF(OR(AY130="",AW130="",R130="",R130&lt;=0,AW130&lt;=0),"",AY130/((R130^2/8)*(2*ACOS(1-2*AW130/R130)-SIN(2*ACOS(1-2*AW130/R130)))))</f>
        <v/>
      </c>
      <c r="AY130" s="4">
        <f>IF(OR(L130="",AZ130=""),"",MIN(L130,AZ130))</f>
        <v/>
      </c>
      <c r="AZ130" s="4">
        <f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4">
        <f>IF(AY130="","",0.001*R130)</f>
        <v/>
      </c>
      <c r="BB130" s="4">
        <f>IF(AY130="","",0.94*R130)</f>
        <v/>
      </c>
      <c r="BC130" s="4">
        <f>IF(AY130="","",(BA130+BB130)/2)</f>
        <v/>
      </c>
      <c r="BD130" s="4">
        <f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4">
        <f>IF(AY130="","",IF(BD130&lt;AY130,BC130,BA130))</f>
        <v/>
      </c>
      <c r="BF130" s="4">
        <f>IF(AY130="","",IF(BD130&lt;AY130,BB130,BC130))</f>
        <v/>
      </c>
      <c r="BG130" s="4">
        <f>IF(AY130="","",(BE130+BF130)/2)</f>
        <v/>
      </c>
      <c r="BH130" s="4">
        <f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4">
        <f>IF(AY130="","",IF(BH130&lt;AY130,BG130,BE130))</f>
        <v/>
      </c>
      <c r="BJ130" s="4">
        <f>IF(AY130="","",IF(BH130&lt;AY130,BF130,BG130))</f>
        <v/>
      </c>
      <c r="BK130" s="4">
        <f>IF(AY130="","",(BI130+BJ130)/2)</f>
        <v/>
      </c>
      <c r="BL130" s="4">
        <f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4">
        <f>IF(AY130="","",IF(BL130&lt;AY130,BK130,BI130))</f>
        <v/>
      </c>
      <c r="BN130" s="4">
        <f>IF(AY130="","",IF(BL130&lt;AY130,BJ130,BK130))</f>
        <v/>
      </c>
      <c r="BO130" s="4">
        <f>IF(AY130="","",(BM130+BN130)/2)</f>
        <v/>
      </c>
      <c r="BP130" s="4">
        <f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4">
        <f>IF(AY130="","",IF(BP130&lt;AY130,BO130,BM130))</f>
        <v/>
      </c>
      <c r="BR130" s="4">
        <f>IF(AY130="","",IF(BP130&lt;AY130,BN130,BO130))</f>
        <v/>
      </c>
      <c r="BS130" s="4">
        <f>IF(AY130="","",(BQ130+BR130)/2)</f>
        <v/>
      </c>
      <c r="BT130" s="4">
        <f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4">
        <f>IF(AY130="","",IF(BT130&lt;AY130,BS130,BQ130))</f>
        <v/>
      </c>
      <c r="BV130" s="4">
        <f>IF(AY130="","",IF(BT130&lt;AY130,BR130,BS130))</f>
        <v/>
      </c>
      <c r="BW130" s="4">
        <f>IF(AY130="","",(BU130+BV130)/2)</f>
        <v/>
      </c>
      <c r="BX130" s="4">
        <f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4">
        <f>IF(AY130="","",IF(BX130&lt;AY130,BW130,BU130))</f>
        <v/>
      </c>
      <c r="BZ130" s="4">
        <f>IF(AY130="","",IF(BX130&lt;AY130,BV130,BW130))</f>
        <v/>
      </c>
      <c r="CA130" s="4">
        <f>IF(AY130="","",(BY130+BZ130)/2)</f>
        <v/>
      </c>
      <c r="CB130" s="4">
        <f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4">
        <f>IF(AY130="","",IF(CB130&lt;AY130,CA130,BY130))</f>
        <v/>
      </c>
      <c r="CD130" s="4">
        <f>IF(AY130="","",IF(CB130&lt;AY130,BZ130,CA130))</f>
        <v/>
      </c>
      <c r="CE130" s="4">
        <f>IF(AY130="","",(CC130+CD130)/2)</f>
        <v/>
      </c>
    </row>
    <row r="131">
      <c r="A131" s="4" t="n"/>
      <c r="B131" s="4" t="n"/>
      <c r="C131" s="8" t="n"/>
      <c r="D131" s="8" t="n"/>
      <c r="E131" s="8">
        <f>SUMIFS(CB_Tributaires!$G:$G,CB_Tributaires!$F:$F,$A131)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IF(A131="","",IF(F131="","",2.78E-7*IF(G131&lt;&gt;"",G131,IFERROR(SUMIFS(CB_Tributaires!$H:$H,CB_Tributaires!$F:$F,$A131)/SUMIFS(CB_Tributaires!$G:$G,CB_Tributaires!$F:$F,$A131),Inputs!$B$17))*F131*I131))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7">
        <f>IF(AY131="","",CE131)</f>
        <v/>
      </c>
      <c r="AX131" s="7">
        <f>IF(OR(AY131="",AW131="",R131="",R131&lt;=0,AW131&lt;=0),"",AY131/((R131^2/8)*(2*ACOS(1-2*AW131/R131)-SIN(2*ACOS(1-2*AW131/R131)))))</f>
        <v/>
      </c>
      <c r="AY131" s="4">
        <f>IF(OR(L131="",AZ131=""),"",MIN(L131,AZ131))</f>
        <v/>
      </c>
      <c r="AZ131" s="4">
        <f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4">
        <f>IF(AY131="","",0.001*R131)</f>
        <v/>
      </c>
      <c r="BB131" s="4">
        <f>IF(AY131="","",0.94*R131)</f>
        <v/>
      </c>
      <c r="BC131" s="4">
        <f>IF(AY131="","",(BA131+BB131)/2)</f>
        <v/>
      </c>
      <c r="BD131" s="4">
        <f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4">
        <f>IF(AY131="","",IF(BD131&lt;AY131,BC131,BA131))</f>
        <v/>
      </c>
      <c r="BF131" s="4">
        <f>IF(AY131="","",IF(BD131&lt;AY131,BB131,BC131))</f>
        <v/>
      </c>
      <c r="BG131" s="4">
        <f>IF(AY131="","",(BE131+BF131)/2)</f>
        <v/>
      </c>
      <c r="BH131" s="4">
        <f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4">
        <f>IF(AY131="","",IF(BH131&lt;AY131,BG131,BE131))</f>
        <v/>
      </c>
      <c r="BJ131" s="4">
        <f>IF(AY131="","",IF(BH131&lt;AY131,BF131,BG131))</f>
        <v/>
      </c>
      <c r="BK131" s="4">
        <f>IF(AY131="","",(BI131+BJ131)/2)</f>
        <v/>
      </c>
      <c r="BL131" s="4">
        <f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4">
        <f>IF(AY131="","",IF(BL131&lt;AY131,BK131,BI131))</f>
        <v/>
      </c>
      <c r="BN131" s="4">
        <f>IF(AY131="","",IF(BL131&lt;AY131,BJ131,BK131))</f>
        <v/>
      </c>
      <c r="BO131" s="4">
        <f>IF(AY131="","",(BM131+BN131)/2)</f>
        <v/>
      </c>
      <c r="BP131" s="4">
        <f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4">
        <f>IF(AY131="","",IF(BP131&lt;AY131,BO131,BM131))</f>
        <v/>
      </c>
      <c r="BR131" s="4">
        <f>IF(AY131="","",IF(BP131&lt;AY131,BN131,BO131))</f>
        <v/>
      </c>
      <c r="BS131" s="4">
        <f>IF(AY131="","",(BQ131+BR131)/2)</f>
        <v/>
      </c>
      <c r="BT131" s="4">
        <f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4">
        <f>IF(AY131="","",IF(BT131&lt;AY131,BS131,BQ131))</f>
        <v/>
      </c>
      <c r="BV131" s="4">
        <f>IF(AY131="","",IF(BT131&lt;AY131,BR131,BS131))</f>
        <v/>
      </c>
      <c r="BW131" s="4">
        <f>IF(AY131="","",(BU131+BV131)/2)</f>
        <v/>
      </c>
      <c r="BX131" s="4">
        <f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4">
        <f>IF(AY131="","",IF(BX131&lt;AY131,BW131,BU131))</f>
        <v/>
      </c>
      <c r="BZ131" s="4">
        <f>IF(AY131="","",IF(BX131&lt;AY131,BV131,BW131))</f>
        <v/>
      </c>
      <c r="CA131" s="4">
        <f>IF(AY131="","",(BY131+BZ131)/2)</f>
        <v/>
      </c>
      <c r="CB131" s="4">
        <f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4">
        <f>IF(AY131="","",IF(CB131&lt;AY131,CA131,BY131))</f>
        <v/>
      </c>
      <c r="CD131" s="4">
        <f>IF(AY131="","",IF(CB131&lt;AY131,BZ131,CA131))</f>
        <v/>
      </c>
      <c r="CE131" s="4">
        <f>IF(AY131="","",(CC131+CD131)/2)</f>
        <v/>
      </c>
    </row>
    <row r="132">
      <c r="A132" s="4" t="n"/>
      <c r="B132" s="4" t="n"/>
      <c r="C132" s="8" t="n"/>
      <c r="D132" s="8" t="n"/>
      <c r="E132" s="8">
        <f>SUMIFS(CB_Tributaires!$G:$G,CB_Tributaires!$F:$F,$A132)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IF(A132="","",IF(F132="","",2.78E-7*IF(G132&lt;&gt;"",G132,IFERROR(SUMIFS(CB_Tributaires!$H:$H,CB_Tributaires!$F:$F,$A132)/SUMIFS(CB_Tributaires!$G:$G,CB_Tributaires!$F:$F,$A132),Inputs!$B$17))*F132*I132))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7">
        <f>IF(AY132="","",CE132)</f>
        <v/>
      </c>
      <c r="AX132" s="7">
        <f>IF(OR(AY132="",AW132="",R132="",R132&lt;=0,AW132&lt;=0),"",AY132/((R132^2/8)*(2*ACOS(1-2*AW132/R132)-SIN(2*ACOS(1-2*AW132/R132)))))</f>
        <v/>
      </c>
      <c r="AY132" s="4">
        <f>IF(OR(L132="",AZ132=""),"",MIN(L132,AZ132))</f>
        <v/>
      </c>
      <c r="AZ132" s="4">
        <f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4">
        <f>IF(AY132="","",0.001*R132)</f>
        <v/>
      </c>
      <c r="BB132" s="4">
        <f>IF(AY132="","",0.94*R132)</f>
        <v/>
      </c>
      <c r="BC132" s="4">
        <f>IF(AY132="","",(BA132+BB132)/2)</f>
        <v/>
      </c>
      <c r="BD132" s="4">
        <f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4">
        <f>IF(AY132="","",IF(BD132&lt;AY132,BC132,BA132))</f>
        <v/>
      </c>
      <c r="BF132" s="4">
        <f>IF(AY132="","",IF(BD132&lt;AY132,BB132,BC132))</f>
        <v/>
      </c>
      <c r="BG132" s="4">
        <f>IF(AY132="","",(BE132+BF132)/2)</f>
        <v/>
      </c>
      <c r="BH132" s="4">
        <f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4">
        <f>IF(AY132="","",IF(BH132&lt;AY132,BG132,BE132))</f>
        <v/>
      </c>
      <c r="BJ132" s="4">
        <f>IF(AY132="","",IF(BH132&lt;AY132,BF132,BG132))</f>
        <v/>
      </c>
      <c r="BK132" s="4">
        <f>IF(AY132="","",(BI132+BJ132)/2)</f>
        <v/>
      </c>
      <c r="BL132" s="4">
        <f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4">
        <f>IF(AY132="","",IF(BL132&lt;AY132,BK132,BI132))</f>
        <v/>
      </c>
      <c r="BN132" s="4">
        <f>IF(AY132="","",IF(BL132&lt;AY132,BJ132,BK132))</f>
        <v/>
      </c>
      <c r="BO132" s="4">
        <f>IF(AY132="","",(BM132+BN132)/2)</f>
        <v/>
      </c>
      <c r="BP132" s="4">
        <f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4">
        <f>IF(AY132="","",IF(BP132&lt;AY132,BO132,BM132))</f>
        <v/>
      </c>
      <c r="BR132" s="4">
        <f>IF(AY132="","",IF(BP132&lt;AY132,BN132,BO132))</f>
        <v/>
      </c>
      <c r="BS132" s="4">
        <f>IF(AY132="","",(BQ132+BR132)/2)</f>
        <v/>
      </c>
      <c r="BT132" s="4">
        <f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4">
        <f>IF(AY132="","",IF(BT132&lt;AY132,BS132,BQ132))</f>
        <v/>
      </c>
      <c r="BV132" s="4">
        <f>IF(AY132="","",IF(BT132&lt;AY132,BR132,BS132))</f>
        <v/>
      </c>
      <c r="BW132" s="4">
        <f>IF(AY132="","",(BU132+BV132)/2)</f>
        <v/>
      </c>
      <c r="BX132" s="4">
        <f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4">
        <f>IF(AY132="","",IF(BX132&lt;AY132,BW132,BU132))</f>
        <v/>
      </c>
      <c r="BZ132" s="4">
        <f>IF(AY132="","",IF(BX132&lt;AY132,BV132,BW132))</f>
        <v/>
      </c>
      <c r="CA132" s="4">
        <f>IF(AY132="","",(BY132+BZ132)/2)</f>
        <v/>
      </c>
      <c r="CB132" s="4">
        <f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4">
        <f>IF(AY132="","",IF(CB132&lt;AY132,CA132,BY132))</f>
        <v/>
      </c>
      <c r="CD132" s="4">
        <f>IF(AY132="","",IF(CB132&lt;AY132,BZ132,CA132))</f>
        <v/>
      </c>
      <c r="CE132" s="4">
        <f>IF(AY132="","",(CC132+CD132)/2)</f>
        <v/>
      </c>
    </row>
    <row r="133">
      <c r="A133" s="4" t="n"/>
      <c r="B133" s="4" t="n"/>
      <c r="C133" s="8" t="n"/>
      <c r="D133" s="8" t="n"/>
      <c r="E133" s="8">
        <f>SUMIFS(CB_Tributaires!$G:$G,CB_Tributaires!$F:$F,$A133)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IF(A133="","",IF(F133="","",2.78E-7*IF(G133&lt;&gt;"",G133,IFERROR(SUMIFS(CB_Tributaires!$H:$H,CB_Tributaires!$F:$F,$A133)/SUMIFS(CB_Tributaires!$G:$G,CB_Tributaires!$F:$F,$A133),Inputs!$B$17))*F133*I133))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7">
        <f>IF(AY133="","",CE133)</f>
        <v/>
      </c>
      <c r="AX133" s="7">
        <f>IF(OR(AY133="",AW133="",R133="",R133&lt;=0,AW133&lt;=0),"",AY133/((R133^2/8)*(2*ACOS(1-2*AW133/R133)-SIN(2*ACOS(1-2*AW133/R133)))))</f>
        <v/>
      </c>
      <c r="AY133" s="4">
        <f>IF(OR(L133="",AZ133=""),"",MIN(L133,AZ133))</f>
        <v/>
      </c>
      <c r="AZ133" s="4">
        <f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4">
        <f>IF(AY133="","",0.001*R133)</f>
        <v/>
      </c>
      <c r="BB133" s="4">
        <f>IF(AY133="","",0.94*R133)</f>
        <v/>
      </c>
      <c r="BC133" s="4">
        <f>IF(AY133="","",(BA133+BB133)/2)</f>
        <v/>
      </c>
      <c r="BD133" s="4">
        <f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4">
        <f>IF(AY133="","",IF(BD133&lt;AY133,BC133,BA133))</f>
        <v/>
      </c>
      <c r="BF133" s="4">
        <f>IF(AY133="","",IF(BD133&lt;AY133,BB133,BC133))</f>
        <v/>
      </c>
      <c r="BG133" s="4">
        <f>IF(AY133="","",(BE133+BF133)/2)</f>
        <v/>
      </c>
      <c r="BH133" s="4">
        <f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4">
        <f>IF(AY133="","",IF(BH133&lt;AY133,BG133,BE133))</f>
        <v/>
      </c>
      <c r="BJ133" s="4">
        <f>IF(AY133="","",IF(BH133&lt;AY133,BF133,BG133))</f>
        <v/>
      </c>
      <c r="BK133" s="4">
        <f>IF(AY133="","",(BI133+BJ133)/2)</f>
        <v/>
      </c>
      <c r="BL133" s="4">
        <f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4">
        <f>IF(AY133="","",IF(BL133&lt;AY133,BK133,BI133))</f>
        <v/>
      </c>
      <c r="BN133" s="4">
        <f>IF(AY133="","",IF(BL133&lt;AY133,BJ133,BK133))</f>
        <v/>
      </c>
      <c r="BO133" s="4">
        <f>IF(AY133="","",(BM133+BN133)/2)</f>
        <v/>
      </c>
      <c r="BP133" s="4">
        <f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4">
        <f>IF(AY133="","",IF(BP133&lt;AY133,BO133,BM133))</f>
        <v/>
      </c>
      <c r="BR133" s="4">
        <f>IF(AY133="","",IF(BP133&lt;AY133,BN133,BO133))</f>
        <v/>
      </c>
      <c r="BS133" s="4">
        <f>IF(AY133="","",(BQ133+BR133)/2)</f>
        <v/>
      </c>
      <c r="BT133" s="4">
        <f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4">
        <f>IF(AY133="","",IF(BT133&lt;AY133,BS133,BQ133))</f>
        <v/>
      </c>
      <c r="BV133" s="4">
        <f>IF(AY133="","",IF(BT133&lt;AY133,BR133,BS133))</f>
        <v/>
      </c>
      <c r="BW133" s="4">
        <f>IF(AY133="","",(BU133+BV133)/2)</f>
        <v/>
      </c>
      <c r="BX133" s="4">
        <f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4">
        <f>IF(AY133="","",IF(BX133&lt;AY133,BW133,BU133))</f>
        <v/>
      </c>
      <c r="BZ133" s="4">
        <f>IF(AY133="","",IF(BX133&lt;AY133,BV133,BW133))</f>
        <v/>
      </c>
      <c r="CA133" s="4">
        <f>IF(AY133="","",(BY133+BZ133)/2)</f>
        <v/>
      </c>
      <c r="CB133" s="4">
        <f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4">
        <f>IF(AY133="","",IF(CB133&lt;AY133,CA133,BY133))</f>
        <v/>
      </c>
      <c r="CD133" s="4">
        <f>IF(AY133="","",IF(CB133&lt;AY133,BZ133,CA133))</f>
        <v/>
      </c>
      <c r="CE133" s="4">
        <f>IF(AY133="","",(CC133+CD133)/2)</f>
        <v/>
      </c>
    </row>
    <row r="134">
      <c r="A134" s="4" t="n"/>
      <c r="B134" s="4" t="n"/>
      <c r="C134" s="8" t="n"/>
      <c r="D134" s="8" t="n"/>
      <c r="E134" s="8">
        <f>SUMIFS(CB_Tributaires!$G:$G,CB_Tributaires!$F:$F,$A134)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IF(A134="","",IF(F134="","",2.78E-7*IF(G134&lt;&gt;"",G134,IFERROR(SUMIFS(CB_Tributaires!$H:$H,CB_Tributaires!$F:$F,$A134)/SUMIFS(CB_Tributaires!$G:$G,CB_Tributaires!$F:$F,$A134),Inputs!$B$17))*F134*I134))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7">
        <f>IF(AY134="","",CE134)</f>
        <v/>
      </c>
      <c r="AX134" s="7">
        <f>IF(OR(AY134="",AW134="",R134="",R134&lt;=0,AW134&lt;=0),"",AY134/((R134^2/8)*(2*ACOS(1-2*AW134/R134)-SIN(2*ACOS(1-2*AW134/R134)))))</f>
        <v/>
      </c>
      <c r="AY134" s="4">
        <f>IF(OR(L134="",AZ134=""),"",MIN(L134,AZ134))</f>
        <v/>
      </c>
      <c r="AZ134" s="4">
        <f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4">
        <f>IF(AY134="","",0.001*R134)</f>
        <v/>
      </c>
      <c r="BB134" s="4">
        <f>IF(AY134="","",0.94*R134)</f>
        <v/>
      </c>
      <c r="BC134" s="4">
        <f>IF(AY134="","",(BA134+BB134)/2)</f>
        <v/>
      </c>
      <c r="BD134" s="4">
        <f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4">
        <f>IF(AY134="","",IF(BD134&lt;AY134,BC134,BA134))</f>
        <v/>
      </c>
      <c r="BF134" s="4">
        <f>IF(AY134="","",IF(BD134&lt;AY134,BB134,BC134))</f>
        <v/>
      </c>
      <c r="BG134" s="4">
        <f>IF(AY134="","",(BE134+BF134)/2)</f>
        <v/>
      </c>
      <c r="BH134" s="4">
        <f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4">
        <f>IF(AY134="","",IF(BH134&lt;AY134,BG134,BE134))</f>
        <v/>
      </c>
      <c r="BJ134" s="4">
        <f>IF(AY134="","",IF(BH134&lt;AY134,BF134,BG134))</f>
        <v/>
      </c>
      <c r="BK134" s="4">
        <f>IF(AY134="","",(BI134+BJ134)/2)</f>
        <v/>
      </c>
      <c r="BL134" s="4">
        <f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4">
        <f>IF(AY134="","",IF(BL134&lt;AY134,BK134,BI134))</f>
        <v/>
      </c>
      <c r="BN134" s="4">
        <f>IF(AY134="","",IF(BL134&lt;AY134,BJ134,BK134))</f>
        <v/>
      </c>
      <c r="BO134" s="4">
        <f>IF(AY134="","",(BM134+BN134)/2)</f>
        <v/>
      </c>
      <c r="BP134" s="4">
        <f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4">
        <f>IF(AY134="","",IF(BP134&lt;AY134,BO134,BM134))</f>
        <v/>
      </c>
      <c r="BR134" s="4">
        <f>IF(AY134="","",IF(BP134&lt;AY134,BN134,BO134))</f>
        <v/>
      </c>
      <c r="BS134" s="4">
        <f>IF(AY134="","",(BQ134+BR134)/2)</f>
        <v/>
      </c>
      <c r="BT134" s="4">
        <f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4">
        <f>IF(AY134="","",IF(BT134&lt;AY134,BS134,BQ134))</f>
        <v/>
      </c>
      <c r="BV134" s="4">
        <f>IF(AY134="","",IF(BT134&lt;AY134,BR134,BS134))</f>
        <v/>
      </c>
      <c r="BW134" s="4">
        <f>IF(AY134="","",(BU134+BV134)/2)</f>
        <v/>
      </c>
      <c r="BX134" s="4">
        <f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4">
        <f>IF(AY134="","",IF(BX134&lt;AY134,BW134,BU134))</f>
        <v/>
      </c>
      <c r="BZ134" s="4">
        <f>IF(AY134="","",IF(BX134&lt;AY134,BV134,BW134))</f>
        <v/>
      </c>
      <c r="CA134" s="4">
        <f>IF(AY134="","",(BY134+BZ134)/2)</f>
        <v/>
      </c>
      <c r="CB134" s="4">
        <f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4">
        <f>IF(AY134="","",IF(CB134&lt;AY134,CA134,BY134))</f>
        <v/>
      </c>
      <c r="CD134" s="4">
        <f>IF(AY134="","",IF(CB134&lt;AY134,BZ134,CA134))</f>
        <v/>
      </c>
      <c r="CE134" s="4">
        <f>IF(AY134="","",(CC134+CD134)/2)</f>
        <v/>
      </c>
    </row>
    <row r="135">
      <c r="A135" s="4" t="n"/>
      <c r="B135" s="4" t="n"/>
      <c r="C135" s="8" t="n"/>
      <c r="D135" s="8" t="n"/>
      <c r="E135" s="8">
        <f>SUMIFS(CB_Tributaires!$G:$G,CB_Tributaires!$F:$F,$A135)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IF(A135="","",IF(F135="","",2.78E-7*IF(G135&lt;&gt;"",G135,IFERROR(SUMIFS(CB_Tributaires!$H:$H,CB_Tributaires!$F:$F,$A135)/SUMIFS(CB_Tributaires!$G:$G,CB_Tributaires!$F:$F,$A135),Inputs!$B$17))*F135*I135))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7">
        <f>IF(AY135="","",CE135)</f>
        <v/>
      </c>
      <c r="AX135" s="7">
        <f>IF(OR(AY135="",AW135="",R135="",R135&lt;=0,AW135&lt;=0),"",AY135/((R135^2/8)*(2*ACOS(1-2*AW135/R135)-SIN(2*ACOS(1-2*AW135/R135)))))</f>
        <v/>
      </c>
      <c r="AY135" s="4">
        <f>IF(OR(L135="",AZ135=""),"",MIN(L135,AZ135))</f>
        <v/>
      </c>
      <c r="AZ135" s="4">
        <f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4">
        <f>IF(AY135="","",0.001*R135)</f>
        <v/>
      </c>
      <c r="BB135" s="4">
        <f>IF(AY135="","",0.94*R135)</f>
        <v/>
      </c>
      <c r="BC135" s="4">
        <f>IF(AY135="","",(BA135+BB135)/2)</f>
        <v/>
      </c>
      <c r="BD135" s="4">
        <f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4">
        <f>IF(AY135="","",IF(BD135&lt;AY135,BC135,BA135))</f>
        <v/>
      </c>
      <c r="BF135" s="4">
        <f>IF(AY135="","",IF(BD135&lt;AY135,BB135,BC135))</f>
        <v/>
      </c>
      <c r="BG135" s="4">
        <f>IF(AY135="","",(BE135+BF135)/2)</f>
        <v/>
      </c>
      <c r="BH135" s="4">
        <f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4">
        <f>IF(AY135="","",IF(BH135&lt;AY135,BG135,BE135))</f>
        <v/>
      </c>
      <c r="BJ135" s="4">
        <f>IF(AY135="","",IF(BH135&lt;AY135,BF135,BG135))</f>
        <v/>
      </c>
      <c r="BK135" s="4">
        <f>IF(AY135="","",(BI135+BJ135)/2)</f>
        <v/>
      </c>
      <c r="BL135" s="4">
        <f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4">
        <f>IF(AY135="","",IF(BL135&lt;AY135,BK135,BI135))</f>
        <v/>
      </c>
      <c r="BN135" s="4">
        <f>IF(AY135="","",IF(BL135&lt;AY135,BJ135,BK135))</f>
        <v/>
      </c>
      <c r="BO135" s="4">
        <f>IF(AY135="","",(BM135+BN135)/2)</f>
        <v/>
      </c>
      <c r="BP135" s="4">
        <f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4">
        <f>IF(AY135="","",IF(BP135&lt;AY135,BO135,BM135))</f>
        <v/>
      </c>
      <c r="BR135" s="4">
        <f>IF(AY135="","",IF(BP135&lt;AY135,BN135,BO135))</f>
        <v/>
      </c>
      <c r="BS135" s="4">
        <f>IF(AY135="","",(BQ135+BR135)/2)</f>
        <v/>
      </c>
      <c r="BT135" s="4">
        <f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4">
        <f>IF(AY135="","",IF(BT135&lt;AY135,BS135,BQ135))</f>
        <v/>
      </c>
      <c r="BV135" s="4">
        <f>IF(AY135="","",IF(BT135&lt;AY135,BR135,BS135))</f>
        <v/>
      </c>
      <c r="BW135" s="4">
        <f>IF(AY135="","",(BU135+BV135)/2)</f>
        <v/>
      </c>
      <c r="BX135" s="4">
        <f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4">
        <f>IF(AY135="","",IF(BX135&lt;AY135,BW135,BU135))</f>
        <v/>
      </c>
      <c r="BZ135" s="4">
        <f>IF(AY135="","",IF(BX135&lt;AY135,BV135,BW135))</f>
        <v/>
      </c>
      <c r="CA135" s="4">
        <f>IF(AY135="","",(BY135+BZ135)/2)</f>
        <v/>
      </c>
      <c r="CB135" s="4">
        <f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4">
        <f>IF(AY135="","",IF(CB135&lt;AY135,CA135,BY135))</f>
        <v/>
      </c>
      <c r="CD135" s="4">
        <f>IF(AY135="","",IF(CB135&lt;AY135,BZ135,CA135))</f>
        <v/>
      </c>
      <c r="CE135" s="4">
        <f>IF(AY135="","",(CC135+CD135)/2)</f>
        <v/>
      </c>
    </row>
    <row r="136">
      <c r="A136" s="4" t="n"/>
      <c r="B136" s="4" t="n"/>
      <c r="C136" s="8" t="n"/>
      <c r="D136" s="8" t="n"/>
      <c r="E136" s="8">
        <f>SUMIFS(CB_Tributaires!$G:$G,CB_Tributaires!$F:$F,$A136)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IF(A136="","",IF(F136="","",2.78E-7*IF(G136&lt;&gt;"",G136,IFERROR(SUMIFS(CB_Tributaires!$H:$H,CB_Tributaires!$F:$F,$A136)/SUMIFS(CB_Tributaires!$G:$G,CB_Tributaires!$F:$F,$A136),Inputs!$B$17))*F136*I136))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7">
        <f>IF(AY136="","",CE136)</f>
        <v/>
      </c>
      <c r="AX136" s="7">
        <f>IF(OR(AY136="",AW136="",R136="",R136&lt;=0,AW136&lt;=0),"",AY136/((R136^2/8)*(2*ACOS(1-2*AW136/R136)-SIN(2*ACOS(1-2*AW136/R136)))))</f>
        <v/>
      </c>
      <c r="AY136" s="4">
        <f>IF(OR(L136="",AZ136=""),"",MIN(L136,AZ136))</f>
        <v/>
      </c>
      <c r="AZ136" s="4">
        <f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4">
        <f>IF(AY136="","",0.001*R136)</f>
        <v/>
      </c>
      <c r="BB136" s="4">
        <f>IF(AY136="","",0.94*R136)</f>
        <v/>
      </c>
      <c r="BC136" s="4">
        <f>IF(AY136="","",(BA136+BB136)/2)</f>
        <v/>
      </c>
      <c r="BD136" s="4">
        <f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4">
        <f>IF(AY136="","",IF(BD136&lt;AY136,BC136,BA136))</f>
        <v/>
      </c>
      <c r="BF136" s="4">
        <f>IF(AY136="","",IF(BD136&lt;AY136,BB136,BC136))</f>
        <v/>
      </c>
      <c r="BG136" s="4">
        <f>IF(AY136="","",(BE136+BF136)/2)</f>
        <v/>
      </c>
      <c r="BH136" s="4">
        <f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4">
        <f>IF(AY136="","",IF(BH136&lt;AY136,BG136,BE136))</f>
        <v/>
      </c>
      <c r="BJ136" s="4">
        <f>IF(AY136="","",IF(BH136&lt;AY136,BF136,BG136))</f>
        <v/>
      </c>
      <c r="BK136" s="4">
        <f>IF(AY136="","",(BI136+BJ136)/2)</f>
        <v/>
      </c>
      <c r="BL136" s="4">
        <f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4">
        <f>IF(AY136="","",IF(BL136&lt;AY136,BK136,BI136))</f>
        <v/>
      </c>
      <c r="BN136" s="4">
        <f>IF(AY136="","",IF(BL136&lt;AY136,BJ136,BK136))</f>
        <v/>
      </c>
      <c r="BO136" s="4">
        <f>IF(AY136="","",(BM136+BN136)/2)</f>
        <v/>
      </c>
      <c r="BP136" s="4">
        <f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4">
        <f>IF(AY136="","",IF(BP136&lt;AY136,BO136,BM136))</f>
        <v/>
      </c>
      <c r="BR136" s="4">
        <f>IF(AY136="","",IF(BP136&lt;AY136,BN136,BO136))</f>
        <v/>
      </c>
      <c r="BS136" s="4">
        <f>IF(AY136="","",(BQ136+BR136)/2)</f>
        <v/>
      </c>
      <c r="BT136" s="4">
        <f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4">
        <f>IF(AY136="","",IF(BT136&lt;AY136,BS136,BQ136))</f>
        <v/>
      </c>
      <c r="BV136" s="4">
        <f>IF(AY136="","",IF(BT136&lt;AY136,BR136,BS136))</f>
        <v/>
      </c>
      <c r="BW136" s="4">
        <f>IF(AY136="","",(BU136+BV136)/2)</f>
        <v/>
      </c>
      <c r="BX136" s="4">
        <f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4">
        <f>IF(AY136="","",IF(BX136&lt;AY136,BW136,BU136))</f>
        <v/>
      </c>
      <c r="BZ136" s="4">
        <f>IF(AY136="","",IF(BX136&lt;AY136,BV136,BW136))</f>
        <v/>
      </c>
      <c r="CA136" s="4">
        <f>IF(AY136="","",(BY136+BZ136)/2)</f>
        <v/>
      </c>
      <c r="CB136" s="4">
        <f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4">
        <f>IF(AY136="","",IF(CB136&lt;AY136,CA136,BY136))</f>
        <v/>
      </c>
      <c r="CD136" s="4">
        <f>IF(AY136="","",IF(CB136&lt;AY136,BZ136,CA136))</f>
        <v/>
      </c>
      <c r="CE136" s="4">
        <f>IF(AY136="","",(CC136+CD136)/2)</f>
        <v/>
      </c>
    </row>
    <row r="137">
      <c r="A137" s="4" t="n"/>
      <c r="B137" s="4" t="n"/>
      <c r="C137" s="8" t="n"/>
      <c r="D137" s="8" t="n"/>
      <c r="E137" s="8">
        <f>SUMIFS(CB_Tributaires!$G:$G,CB_Tributaires!$F:$F,$A137)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IF(A137="","",IF(F137="","",2.78E-7*IF(G137&lt;&gt;"",G137,IFERROR(SUMIFS(CB_Tributaires!$H:$H,CB_Tributaires!$F:$F,$A137)/SUMIFS(CB_Tributaires!$G:$G,CB_Tributaires!$F:$F,$A137),Inputs!$B$17))*F137*I137))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7">
        <f>IF(AY137="","",CE137)</f>
        <v/>
      </c>
      <c r="AX137" s="7">
        <f>IF(OR(AY137="",AW137="",R137="",R137&lt;=0,AW137&lt;=0),"",AY137/((R137^2/8)*(2*ACOS(1-2*AW137/R137)-SIN(2*ACOS(1-2*AW137/R137)))))</f>
        <v/>
      </c>
      <c r="AY137" s="4">
        <f>IF(OR(L137="",AZ137=""),"",MIN(L137,AZ137))</f>
        <v/>
      </c>
      <c r="AZ137" s="4">
        <f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4">
        <f>IF(AY137="","",0.001*R137)</f>
        <v/>
      </c>
      <c r="BB137" s="4">
        <f>IF(AY137="","",0.94*R137)</f>
        <v/>
      </c>
      <c r="BC137" s="4">
        <f>IF(AY137="","",(BA137+BB137)/2)</f>
        <v/>
      </c>
      <c r="BD137" s="4">
        <f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4">
        <f>IF(AY137="","",IF(BD137&lt;AY137,BC137,BA137))</f>
        <v/>
      </c>
      <c r="BF137" s="4">
        <f>IF(AY137="","",IF(BD137&lt;AY137,BB137,BC137))</f>
        <v/>
      </c>
      <c r="BG137" s="4">
        <f>IF(AY137="","",(BE137+BF137)/2)</f>
        <v/>
      </c>
      <c r="BH137" s="4">
        <f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4">
        <f>IF(AY137="","",IF(BH137&lt;AY137,BG137,BE137))</f>
        <v/>
      </c>
      <c r="BJ137" s="4">
        <f>IF(AY137="","",IF(BH137&lt;AY137,BF137,BG137))</f>
        <v/>
      </c>
      <c r="BK137" s="4">
        <f>IF(AY137="","",(BI137+BJ137)/2)</f>
        <v/>
      </c>
      <c r="BL137" s="4">
        <f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4">
        <f>IF(AY137="","",IF(BL137&lt;AY137,BK137,BI137))</f>
        <v/>
      </c>
      <c r="BN137" s="4">
        <f>IF(AY137="","",IF(BL137&lt;AY137,BJ137,BK137))</f>
        <v/>
      </c>
      <c r="BO137" s="4">
        <f>IF(AY137="","",(BM137+BN137)/2)</f>
        <v/>
      </c>
      <c r="BP137" s="4">
        <f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4">
        <f>IF(AY137="","",IF(BP137&lt;AY137,BO137,BM137))</f>
        <v/>
      </c>
      <c r="BR137" s="4">
        <f>IF(AY137="","",IF(BP137&lt;AY137,BN137,BO137))</f>
        <v/>
      </c>
      <c r="BS137" s="4">
        <f>IF(AY137="","",(BQ137+BR137)/2)</f>
        <v/>
      </c>
      <c r="BT137" s="4">
        <f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4">
        <f>IF(AY137="","",IF(BT137&lt;AY137,BS137,BQ137))</f>
        <v/>
      </c>
      <c r="BV137" s="4">
        <f>IF(AY137="","",IF(BT137&lt;AY137,BR137,BS137))</f>
        <v/>
      </c>
      <c r="BW137" s="4">
        <f>IF(AY137="","",(BU137+BV137)/2)</f>
        <v/>
      </c>
      <c r="BX137" s="4">
        <f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4">
        <f>IF(AY137="","",IF(BX137&lt;AY137,BW137,BU137))</f>
        <v/>
      </c>
      <c r="BZ137" s="4">
        <f>IF(AY137="","",IF(BX137&lt;AY137,BV137,BW137))</f>
        <v/>
      </c>
      <c r="CA137" s="4">
        <f>IF(AY137="","",(BY137+BZ137)/2)</f>
        <v/>
      </c>
      <c r="CB137" s="4">
        <f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4">
        <f>IF(AY137="","",IF(CB137&lt;AY137,CA137,BY137))</f>
        <v/>
      </c>
      <c r="CD137" s="4">
        <f>IF(AY137="","",IF(CB137&lt;AY137,BZ137,CA137))</f>
        <v/>
      </c>
      <c r="CE137" s="4">
        <f>IF(AY137="","",(CC137+CD137)/2)</f>
        <v/>
      </c>
    </row>
    <row r="138">
      <c r="A138" s="4" t="n"/>
      <c r="B138" s="4" t="n"/>
      <c r="C138" s="8" t="n"/>
      <c r="D138" s="8" t="n"/>
      <c r="E138" s="8">
        <f>SUMIFS(CB_Tributaires!$G:$G,CB_Tributaires!$F:$F,$A138)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IF(A138="","",IF(F138="","",2.78E-7*IF(G138&lt;&gt;"",G138,IFERROR(SUMIFS(CB_Tributaires!$H:$H,CB_Tributaires!$F:$F,$A138)/SUMIFS(CB_Tributaires!$G:$G,CB_Tributaires!$F:$F,$A138),Inputs!$B$17))*F138*I138))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7">
        <f>IF(AY138="","",CE138)</f>
        <v/>
      </c>
      <c r="AX138" s="7">
        <f>IF(OR(AY138="",AW138="",R138="",R138&lt;=0,AW138&lt;=0),"",AY138/((R138^2/8)*(2*ACOS(1-2*AW138/R138)-SIN(2*ACOS(1-2*AW138/R138)))))</f>
        <v/>
      </c>
      <c r="AY138" s="4">
        <f>IF(OR(L138="",AZ138=""),"",MIN(L138,AZ138))</f>
        <v/>
      </c>
      <c r="AZ138" s="4">
        <f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4">
        <f>IF(AY138="","",0.001*R138)</f>
        <v/>
      </c>
      <c r="BB138" s="4">
        <f>IF(AY138="","",0.94*R138)</f>
        <v/>
      </c>
      <c r="BC138" s="4">
        <f>IF(AY138="","",(BA138+BB138)/2)</f>
        <v/>
      </c>
      <c r="BD138" s="4">
        <f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4">
        <f>IF(AY138="","",IF(BD138&lt;AY138,BC138,BA138))</f>
        <v/>
      </c>
      <c r="BF138" s="4">
        <f>IF(AY138="","",IF(BD138&lt;AY138,BB138,BC138))</f>
        <v/>
      </c>
      <c r="BG138" s="4">
        <f>IF(AY138="","",(BE138+BF138)/2)</f>
        <v/>
      </c>
      <c r="BH138" s="4">
        <f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4">
        <f>IF(AY138="","",IF(BH138&lt;AY138,BG138,BE138))</f>
        <v/>
      </c>
      <c r="BJ138" s="4">
        <f>IF(AY138="","",IF(BH138&lt;AY138,BF138,BG138))</f>
        <v/>
      </c>
      <c r="BK138" s="4">
        <f>IF(AY138="","",(BI138+BJ138)/2)</f>
        <v/>
      </c>
      <c r="BL138" s="4">
        <f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4">
        <f>IF(AY138="","",IF(BL138&lt;AY138,BK138,BI138))</f>
        <v/>
      </c>
      <c r="BN138" s="4">
        <f>IF(AY138="","",IF(BL138&lt;AY138,BJ138,BK138))</f>
        <v/>
      </c>
      <c r="BO138" s="4">
        <f>IF(AY138="","",(BM138+BN138)/2)</f>
        <v/>
      </c>
      <c r="BP138" s="4">
        <f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4">
        <f>IF(AY138="","",IF(BP138&lt;AY138,BO138,BM138))</f>
        <v/>
      </c>
      <c r="BR138" s="4">
        <f>IF(AY138="","",IF(BP138&lt;AY138,BN138,BO138))</f>
        <v/>
      </c>
      <c r="BS138" s="4">
        <f>IF(AY138="","",(BQ138+BR138)/2)</f>
        <v/>
      </c>
      <c r="BT138" s="4">
        <f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4">
        <f>IF(AY138="","",IF(BT138&lt;AY138,BS138,BQ138))</f>
        <v/>
      </c>
      <c r="BV138" s="4">
        <f>IF(AY138="","",IF(BT138&lt;AY138,BR138,BS138))</f>
        <v/>
      </c>
      <c r="BW138" s="4">
        <f>IF(AY138="","",(BU138+BV138)/2)</f>
        <v/>
      </c>
      <c r="BX138" s="4">
        <f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4">
        <f>IF(AY138="","",IF(BX138&lt;AY138,BW138,BU138))</f>
        <v/>
      </c>
      <c r="BZ138" s="4">
        <f>IF(AY138="","",IF(BX138&lt;AY138,BV138,BW138))</f>
        <v/>
      </c>
      <c r="CA138" s="4">
        <f>IF(AY138="","",(BY138+BZ138)/2)</f>
        <v/>
      </c>
      <c r="CB138" s="4">
        <f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4">
        <f>IF(AY138="","",IF(CB138&lt;AY138,CA138,BY138))</f>
        <v/>
      </c>
      <c r="CD138" s="4">
        <f>IF(AY138="","",IF(CB138&lt;AY138,BZ138,CA138))</f>
        <v/>
      </c>
      <c r="CE138" s="4">
        <f>IF(AY138="","",(CC138+CD138)/2)</f>
        <v/>
      </c>
    </row>
    <row r="139">
      <c r="A139" s="4" t="n"/>
      <c r="B139" s="4" t="n"/>
      <c r="C139" s="8" t="n"/>
      <c r="D139" s="8" t="n"/>
      <c r="E139" s="8">
        <f>SUMIFS(CB_Tributaires!$G:$G,CB_Tributaires!$F:$F,$A139)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IF(A139="","",IF(F139="","",2.78E-7*IF(G139&lt;&gt;"",G139,IFERROR(SUMIFS(CB_Tributaires!$H:$H,CB_Tributaires!$F:$F,$A139)/SUMIFS(CB_Tributaires!$G:$G,CB_Tributaires!$F:$F,$A139),Inputs!$B$17))*F139*I139))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7">
        <f>IF(AY139="","",CE139)</f>
        <v/>
      </c>
      <c r="AX139" s="7">
        <f>IF(OR(AY139="",AW139="",R139="",R139&lt;=0,AW139&lt;=0),"",AY139/((R139^2/8)*(2*ACOS(1-2*AW139/R139)-SIN(2*ACOS(1-2*AW139/R139)))))</f>
        <v/>
      </c>
      <c r="AY139" s="4">
        <f>IF(OR(L139="",AZ139=""),"",MIN(L139,AZ139))</f>
        <v/>
      </c>
      <c r="AZ139" s="4">
        <f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4">
        <f>IF(AY139="","",0.001*R139)</f>
        <v/>
      </c>
      <c r="BB139" s="4">
        <f>IF(AY139="","",0.94*R139)</f>
        <v/>
      </c>
      <c r="BC139" s="4">
        <f>IF(AY139="","",(BA139+BB139)/2)</f>
        <v/>
      </c>
      <c r="BD139" s="4">
        <f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4">
        <f>IF(AY139="","",IF(BD139&lt;AY139,BC139,BA139))</f>
        <v/>
      </c>
      <c r="BF139" s="4">
        <f>IF(AY139="","",IF(BD139&lt;AY139,BB139,BC139))</f>
        <v/>
      </c>
      <c r="BG139" s="4">
        <f>IF(AY139="","",(BE139+BF139)/2)</f>
        <v/>
      </c>
      <c r="BH139" s="4">
        <f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4">
        <f>IF(AY139="","",IF(BH139&lt;AY139,BG139,BE139))</f>
        <v/>
      </c>
      <c r="BJ139" s="4">
        <f>IF(AY139="","",IF(BH139&lt;AY139,BF139,BG139))</f>
        <v/>
      </c>
      <c r="BK139" s="4">
        <f>IF(AY139="","",(BI139+BJ139)/2)</f>
        <v/>
      </c>
      <c r="BL139" s="4">
        <f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4">
        <f>IF(AY139="","",IF(BL139&lt;AY139,BK139,BI139))</f>
        <v/>
      </c>
      <c r="BN139" s="4">
        <f>IF(AY139="","",IF(BL139&lt;AY139,BJ139,BK139))</f>
        <v/>
      </c>
      <c r="BO139" s="4">
        <f>IF(AY139="","",(BM139+BN139)/2)</f>
        <v/>
      </c>
      <c r="BP139" s="4">
        <f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4">
        <f>IF(AY139="","",IF(BP139&lt;AY139,BO139,BM139))</f>
        <v/>
      </c>
      <c r="BR139" s="4">
        <f>IF(AY139="","",IF(BP139&lt;AY139,BN139,BO139))</f>
        <v/>
      </c>
      <c r="BS139" s="4">
        <f>IF(AY139="","",(BQ139+BR139)/2)</f>
        <v/>
      </c>
      <c r="BT139" s="4">
        <f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4">
        <f>IF(AY139="","",IF(BT139&lt;AY139,BS139,BQ139))</f>
        <v/>
      </c>
      <c r="BV139" s="4">
        <f>IF(AY139="","",IF(BT139&lt;AY139,BR139,BS139))</f>
        <v/>
      </c>
      <c r="BW139" s="4">
        <f>IF(AY139="","",(BU139+BV139)/2)</f>
        <v/>
      </c>
      <c r="BX139" s="4">
        <f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4">
        <f>IF(AY139="","",IF(BX139&lt;AY139,BW139,BU139))</f>
        <v/>
      </c>
      <c r="BZ139" s="4">
        <f>IF(AY139="","",IF(BX139&lt;AY139,BV139,BW139))</f>
        <v/>
      </c>
      <c r="CA139" s="4">
        <f>IF(AY139="","",(BY139+BZ139)/2)</f>
        <v/>
      </c>
      <c r="CB139" s="4">
        <f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4">
        <f>IF(AY139="","",IF(CB139&lt;AY139,CA139,BY139))</f>
        <v/>
      </c>
      <c r="CD139" s="4">
        <f>IF(AY139="","",IF(CB139&lt;AY139,BZ139,CA139))</f>
        <v/>
      </c>
      <c r="CE139" s="4">
        <f>IF(AY139="","",(CC139+CD139)/2)</f>
        <v/>
      </c>
    </row>
    <row r="140">
      <c r="A140" s="4" t="n"/>
      <c r="B140" s="4" t="n"/>
      <c r="C140" s="8" t="n"/>
      <c r="D140" s="8" t="n"/>
      <c r="E140" s="8">
        <f>SUMIFS(CB_Tributaires!$G:$G,CB_Tributaires!$F:$F,$A140)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IF(A140="","",IF(F140="","",2.78E-7*IF(G140&lt;&gt;"",G140,IFERROR(SUMIFS(CB_Tributaires!$H:$H,CB_Tributaires!$F:$F,$A140)/SUMIFS(CB_Tributaires!$G:$G,CB_Tributaires!$F:$F,$A140),Inputs!$B$17))*F140*I140))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7">
        <f>IF(AY140="","",CE140)</f>
        <v/>
      </c>
      <c r="AX140" s="7">
        <f>IF(OR(AY140="",AW140="",R140="",R140&lt;=0,AW140&lt;=0),"",AY140/((R140^2/8)*(2*ACOS(1-2*AW140/R140)-SIN(2*ACOS(1-2*AW140/R140)))))</f>
        <v/>
      </c>
      <c r="AY140" s="4">
        <f>IF(OR(L140="",AZ140=""),"",MIN(L140,AZ140))</f>
        <v/>
      </c>
      <c r="AZ140" s="4">
        <f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4">
        <f>IF(AY140="","",0.001*R140)</f>
        <v/>
      </c>
      <c r="BB140" s="4">
        <f>IF(AY140="","",0.94*R140)</f>
        <v/>
      </c>
      <c r="BC140" s="4">
        <f>IF(AY140="","",(BA140+BB140)/2)</f>
        <v/>
      </c>
      <c r="BD140" s="4">
        <f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4">
        <f>IF(AY140="","",IF(BD140&lt;AY140,BC140,BA140))</f>
        <v/>
      </c>
      <c r="BF140" s="4">
        <f>IF(AY140="","",IF(BD140&lt;AY140,BB140,BC140))</f>
        <v/>
      </c>
      <c r="BG140" s="4">
        <f>IF(AY140="","",(BE140+BF140)/2)</f>
        <v/>
      </c>
      <c r="BH140" s="4">
        <f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4">
        <f>IF(AY140="","",IF(BH140&lt;AY140,BG140,BE140))</f>
        <v/>
      </c>
      <c r="BJ140" s="4">
        <f>IF(AY140="","",IF(BH140&lt;AY140,BF140,BG140))</f>
        <v/>
      </c>
      <c r="BK140" s="4">
        <f>IF(AY140="","",(BI140+BJ140)/2)</f>
        <v/>
      </c>
      <c r="BL140" s="4">
        <f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4">
        <f>IF(AY140="","",IF(BL140&lt;AY140,BK140,BI140))</f>
        <v/>
      </c>
      <c r="BN140" s="4">
        <f>IF(AY140="","",IF(BL140&lt;AY140,BJ140,BK140))</f>
        <v/>
      </c>
      <c r="BO140" s="4">
        <f>IF(AY140="","",(BM140+BN140)/2)</f>
        <v/>
      </c>
      <c r="BP140" s="4">
        <f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4">
        <f>IF(AY140="","",IF(BP140&lt;AY140,BO140,BM140))</f>
        <v/>
      </c>
      <c r="BR140" s="4">
        <f>IF(AY140="","",IF(BP140&lt;AY140,BN140,BO140))</f>
        <v/>
      </c>
      <c r="BS140" s="4">
        <f>IF(AY140="","",(BQ140+BR140)/2)</f>
        <v/>
      </c>
      <c r="BT140" s="4">
        <f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4">
        <f>IF(AY140="","",IF(BT140&lt;AY140,BS140,BQ140))</f>
        <v/>
      </c>
      <c r="BV140" s="4">
        <f>IF(AY140="","",IF(BT140&lt;AY140,BR140,BS140))</f>
        <v/>
      </c>
      <c r="BW140" s="4">
        <f>IF(AY140="","",(BU140+BV140)/2)</f>
        <v/>
      </c>
      <c r="BX140" s="4">
        <f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4">
        <f>IF(AY140="","",IF(BX140&lt;AY140,BW140,BU140))</f>
        <v/>
      </c>
      <c r="BZ140" s="4">
        <f>IF(AY140="","",IF(BX140&lt;AY140,BV140,BW140))</f>
        <v/>
      </c>
      <c r="CA140" s="4">
        <f>IF(AY140="","",(BY140+BZ140)/2)</f>
        <v/>
      </c>
      <c r="CB140" s="4">
        <f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4">
        <f>IF(AY140="","",IF(CB140&lt;AY140,CA140,BY140))</f>
        <v/>
      </c>
      <c r="CD140" s="4">
        <f>IF(AY140="","",IF(CB140&lt;AY140,BZ140,CA140))</f>
        <v/>
      </c>
      <c r="CE140" s="4">
        <f>IF(AY140="","",(CC140+CD140)/2)</f>
        <v/>
      </c>
    </row>
    <row r="141">
      <c r="A141" s="4" t="n"/>
      <c r="B141" s="4" t="n"/>
      <c r="C141" s="8" t="n"/>
      <c r="D141" s="8" t="n"/>
      <c r="E141" s="8">
        <f>SUMIFS(CB_Tributaires!$G:$G,CB_Tributaires!$F:$F,$A141)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IF(A141="","",IF(F141="","",2.78E-7*IF(G141&lt;&gt;"",G141,IFERROR(SUMIFS(CB_Tributaires!$H:$H,CB_Tributaires!$F:$F,$A141)/SUMIFS(CB_Tributaires!$G:$G,CB_Tributaires!$F:$F,$A141),Inputs!$B$17))*F141*I141))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7">
        <f>IF(AY141="","",CE141)</f>
        <v/>
      </c>
      <c r="AX141" s="7">
        <f>IF(OR(AY141="",AW141="",R141="",R141&lt;=0,AW141&lt;=0),"",AY141/((R141^2/8)*(2*ACOS(1-2*AW141/R141)-SIN(2*ACOS(1-2*AW141/R141)))))</f>
        <v/>
      </c>
      <c r="AY141" s="4">
        <f>IF(OR(L141="",AZ141=""),"",MIN(L141,AZ141))</f>
        <v/>
      </c>
      <c r="AZ141" s="4">
        <f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4">
        <f>IF(AY141="","",0.001*R141)</f>
        <v/>
      </c>
      <c r="BB141" s="4">
        <f>IF(AY141="","",0.94*R141)</f>
        <v/>
      </c>
      <c r="BC141" s="4">
        <f>IF(AY141="","",(BA141+BB141)/2)</f>
        <v/>
      </c>
      <c r="BD141" s="4">
        <f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4">
        <f>IF(AY141="","",IF(BD141&lt;AY141,BC141,BA141))</f>
        <v/>
      </c>
      <c r="BF141" s="4">
        <f>IF(AY141="","",IF(BD141&lt;AY141,BB141,BC141))</f>
        <v/>
      </c>
      <c r="BG141" s="4">
        <f>IF(AY141="","",(BE141+BF141)/2)</f>
        <v/>
      </c>
      <c r="BH141" s="4">
        <f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4">
        <f>IF(AY141="","",IF(BH141&lt;AY141,BG141,BE141))</f>
        <v/>
      </c>
      <c r="BJ141" s="4">
        <f>IF(AY141="","",IF(BH141&lt;AY141,BF141,BG141))</f>
        <v/>
      </c>
      <c r="BK141" s="4">
        <f>IF(AY141="","",(BI141+BJ141)/2)</f>
        <v/>
      </c>
      <c r="BL141" s="4">
        <f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4">
        <f>IF(AY141="","",IF(BL141&lt;AY141,BK141,BI141))</f>
        <v/>
      </c>
      <c r="BN141" s="4">
        <f>IF(AY141="","",IF(BL141&lt;AY141,BJ141,BK141))</f>
        <v/>
      </c>
      <c r="BO141" s="4">
        <f>IF(AY141="","",(BM141+BN141)/2)</f>
        <v/>
      </c>
      <c r="BP141" s="4">
        <f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4">
        <f>IF(AY141="","",IF(BP141&lt;AY141,BO141,BM141))</f>
        <v/>
      </c>
      <c r="BR141" s="4">
        <f>IF(AY141="","",IF(BP141&lt;AY141,BN141,BO141))</f>
        <v/>
      </c>
      <c r="BS141" s="4">
        <f>IF(AY141="","",(BQ141+BR141)/2)</f>
        <v/>
      </c>
      <c r="BT141" s="4">
        <f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4">
        <f>IF(AY141="","",IF(BT141&lt;AY141,BS141,BQ141))</f>
        <v/>
      </c>
      <c r="BV141" s="4">
        <f>IF(AY141="","",IF(BT141&lt;AY141,BR141,BS141))</f>
        <v/>
      </c>
      <c r="BW141" s="4">
        <f>IF(AY141="","",(BU141+BV141)/2)</f>
        <v/>
      </c>
      <c r="BX141" s="4">
        <f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4">
        <f>IF(AY141="","",IF(BX141&lt;AY141,BW141,BU141))</f>
        <v/>
      </c>
      <c r="BZ141" s="4">
        <f>IF(AY141="","",IF(BX141&lt;AY141,BV141,BW141))</f>
        <v/>
      </c>
      <c r="CA141" s="4">
        <f>IF(AY141="","",(BY141+BZ141)/2)</f>
        <v/>
      </c>
      <c r="CB141" s="4">
        <f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4">
        <f>IF(AY141="","",IF(CB141&lt;AY141,CA141,BY141))</f>
        <v/>
      </c>
      <c r="CD141" s="4">
        <f>IF(AY141="","",IF(CB141&lt;AY141,BZ141,CA141))</f>
        <v/>
      </c>
      <c r="CE141" s="4">
        <f>IF(AY141="","",(CC141+CD141)/2)</f>
        <v/>
      </c>
    </row>
    <row r="142">
      <c r="A142" s="4" t="n"/>
      <c r="B142" s="4" t="n"/>
      <c r="C142" s="8" t="n"/>
      <c r="D142" s="8" t="n"/>
      <c r="E142" s="8">
        <f>SUMIFS(CB_Tributaires!$G:$G,CB_Tributaires!$F:$F,$A142)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IF(A142="","",IF(F142="","",2.78E-7*IF(G142&lt;&gt;"",G142,IFERROR(SUMIFS(CB_Tributaires!$H:$H,CB_Tributaires!$F:$F,$A142)/SUMIFS(CB_Tributaires!$G:$G,CB_Tributaires!$F:$F,$A142),Inputs!$B$17))*F142*I142))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7">
        <f>IF(AY142="","",CE142)</f>
        <v/>
      </c>
      <c r="AX142" s="7">
        <f>IF(OR(AY142="",AW142="",R142="",R142&lt;=0,AW142&lt;=0),"",AY142/((R142^2/8)*(2*ACOS(1-2*AW142/R142)-SIN(2*ACOS(1-2*AW142/R142)))))</f>
        <v/>
      </c>
      <c r="AY142" s="4">
        <f>IF(OR(L142="",AZ142=""),"",MIN(L142,AZ142))</f>
        <v/>
      </c>
      <c r="AZ142" s="4">
        <f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4">
        <f>IF(AY142="","",0.001*R142)</f>
        <v/>
      </c>
      <c r="BB142" s="4">
        <f>IF(AY142="","",0.94*R142)</f>
        <v/>
      </c>
      <c r="BC142" s="4">
        <f>IF(AY142="","",(BA142+BB142)/2)</f>
        <v/>
      </c>
      <c r="BD142" s="4">
        <f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4">
        <f>IF(AY142="","",IF(BD142&lt;AY142,BC142,BA142))</f>
        <v/>
      </c>
      <c r="BF142" s="4">
        <f>IF(AY142="","",IF(BD142&lt;AY142,BB142,BC142))</f>
        <v/>
      </c>
      <c r="BG142" s="4">
        <f>IF(AY142="","",(BE142+BF142)/2)</f>
        <v/>
      </c>
      <c r="BH142" s="4">
        <f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4">
        <f>IF(AY142="","",IF(BH142&lt;AY142,BG142,BE142))</f>
        <v/>
      </c>
      <c r="BJ142" s="4">
        <f>IF(AY142="","",IF(BH142&lt;AY142,BF142,BG142))</f>
        <v/>
      </c>
      <c r="BK142" s="4">
        <f>IF(AY142="","",(BI142+BJ142)/2)</f>
        <v/>
      </c>
      <c r="BL142" s="4">
        <f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4">
        <f>IF(AY142="","",IF(BL142&lt;AY142,BK142,BI142))</f>
        <v/>
      </c>
      <c r="BN142" s="4">
        <f>IF(AY142="","",IF(BL142&lt;AY142,BJ142,BK142))</f>
        <v/>
      </c>
      <c r="BO142" s="4">
        <f>IF(AY142="","",(BM142+BN142)/2)</f>
        <v/>
      </c>
      <c r="BP142" s="4">
        <f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4">
        <f>IF(AY142="","",IF(BP142&lt;AY142,BO142,BM142))</f>
        <v/>
      </c>
      <c r="BR142" s="4">
        <f>IF(AY142="","",IF(BP142&lt;AY142,BN142,BO142))</f>
        <v/>
      </c>
      <c r="BS142" s="4">
        <f>IF(AY142="","",(BQ142+BR142)/2)</f>
        <v/>
      </c>
      <c r="BT142" s="4">
        <f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4">
        <f>IF(AY142="","",IF(BT142&lt;AY142,BS142,BQ142))</f>
        <v/>
      </c>
      <c r="BV142" s="4">
        <f>IF(AY142="","",IF(BT142&lt;AY142,BR142,BS142))</f>
        <v/>
      </c>
      <c r="BW142" s="4">
        <f>IF(AY142="","",(BU142+BV142)/2)</f>
        <v/>
      </c>
      <c r="BX142" s="4">
        <f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4">
        <f>IF(AY142="","",IF(BX142&lt;AY142,BW142,BU142))</f>
        <v/>
      </c>
      <c r="BZ142" s="4">
        <f>IF(AY142="","",IF(BX142&lt;AY142,BV142,BW142))</f>
        <v/>
      </c>
      <c r="CA142" s="4">
        <f>IF(AY142="","",(BY142+BZ142)/2)</f>
        <v/>
      </c>
      <c r="CB142" s="4">
        <f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4">
        <f>IF(AY142="","",IF(CB142&lt;AY142,CA142,BY142))</f>
        <v/>
      </c>
      <c r="CD142" s="4">
        <f>IF(AY142="","",IF(CB142&lt;AY142,BZ142,CA142))</f>
        <v/>
      </c>
      <c r="CE142" s="4">
        <f>IF(AY142="","",(CC142+CD142)/2)</f>
        <v/>
      </c>
    </row>
    <row r="143">
      <c r="A143" s="4" t="n"/>
      <c r="B143" s="4" t="n"/>
      <c r="C143" s="8" t="n"/>
      <c r="D143" s="8" t="n"/>
      <c r="E143" s="8">
        <f>SUMIFS(CB_Tributaires!$G:$G,CB_Tributaires!$F:$F,$A143)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IF(A143="","",IF(F143="","",2.78E-7*IF(G143&lt;&gt;"",G143,IFERROR(SUMIFS(CB_Tributaires!$H:$H,CB_Tributaires!$F:$F,$A143)/SUMIFS(CB_Tributaires!$G:$G,CB_Tributaires!$F:$F,$A143),Inputs!$B$17))*F143*I143))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7">
        <f>IF(AY143="","",CE143)</f>
        <v/>
      </c>
      <c r="AX143" s="7">
        <f>IF(OR(AY143="",AW143="",R143="",R143&lt;=0,AW143&lt;=0),"",AY143/((R143^2/8)*(2*ACOS(1-2*AW143/R143)-SIN(2*ACOS(1-2*AW143/R143)))))</f>
        <v/>
      </c>
      <c r="AY143" s="4">
        <f>IF(OR(L143="",AZ143=""),"",MIN(L143,AZ143))</f>
        <v/>
      </c>
      <c r="AZ143" s="4">
        <f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4">
        <f>IF(AY143="","",0.001*R143)</f>
        <v/>
      </c>
      <c r="BB143" s="4">
        <f>IF(AY143="","",0.94*R143)</f>
        <v/>
      </c>
      <c r="BC143" s="4">
        <f>IF(AY143="","",(BA143+BB143)/2)</f>
        <v/>
      </c>
      <c r="BD143" s="4">
        <f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4">
        <f>IF(AY143="","",IF(BD143&lt;AY143,BC143,BA143))</f>
        <v/>
      </c>
      <c r="BF143" s="4">
        <f>IF(AY143="","",IF(BD143&lt;AY143,BB143,BC143))</f>
        <v/>
      </c>
      <c r="BG143" s="4">
        <f>IF(AY143="","",(BE143+BF143)/2)</f>
        <v/>
      </c>
      <c r="BH143" s="4">
        <f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4">
        <f>IF(AY143="","",IF(BH143&lt;AY143,BG143,BE143))</f>
        <v/>
      </c>
      <c r="BJ143" s="4">
        <f>IF(AY143="","",IF(BH143&lt;AY143,BF143,BG143))</f>
        <v/>
      </c>
      <c r="BK143" s="4">
        <f>IF(AY143="","",(BI143+BJ143)/2)</f>
        <v/>
      </c>
      <c r="BL143" s="4">
        <f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4">
        <f>IF(AY143="","",IF(BL143&lt;AY143,BK143,BI143))</f>
        <v/>
      </c>
      <c r="BN143" s="4">
        <f>IF(AY143="","",IF(BL143&lt;AY143,BJ143,BK143))</f>
        <v/>
      </c>
      <c r="BO143" s="4">
        <f>IF(AY143="","",(BM143+BN143)/2)</f>
        <v/>
      </c>
      <c r="BP143" s="4">
        <f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4">
        <f>IF(AY143="","",IF(BP143&lt;AY143,BO143,BM143))</f>
        <v/>
      </c>
      <c r="BR143" s="4">
        <f>IF(AY143="","",IF(BP143&lt;AY143,BN143,BO143))</f>
        <v/>
      </c>
      <c r="BS143" s="4">
        <f>IF(AY143="","",(BQ143+BR143)/2)</f>
        <v/>
      </c>
      <c r="BT143" s="4">
        <f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4">
        <f>IF(AY143="","",IF(BT143&lt;AY143,BS143,BQ143))</f>
        <v/>
      </c>
      <c r="BV143" s="4">
        <f>IF(AY143="","",IF(BT143&lt;AY143,BR143,BS143))</f>
        <v/>
      </c>
      <c r="BW143" s="4">
        <f>IF(AY143="","",(BU143+BV143)/2)</f>
        <v/>
      </c>
      <c r="BX143" s="4">
        <f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4">
        <f>IF(AY143="","",IF(BX143&lt;AY143,BW143,BU143))</f>
        <v/>
      </c>
      <c r="BZ143" s="4">
        <f>IF(AY143="","",IF(BX143&lt;AY143,BV143,BW143))</f>
        <v/>
      </c>
      <c r="CA143" s="4">
        <f>IF(AY143="","",(BY143+BZ143)/2)</f>
        <v/>
      </c>
      <c r="CB143" s="4">
        <f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4">
        <f>IF(AY143="","",IF(CB143&lt;AY143,CA143,BY143))</f>
        <v/>
      </c>
      <c r="CD143" s="4">
        <f>IF(AY143="","",IF(CB143&lt;AY143,BZ143,CA143))</f>
        <v/>
      </c>
      <c r="CE143" s="4">
        <f>IF(AY143="","",(CC143+CD143)/2)</f>
        <v/>
      </c>
    </row>
    <row r="144">
      <c r="A144" s="4" t="n"/>
      <c r="B144" s="4" t="n"/>
      <c r="C144" s="8" t="n"/>
      <c r="D144" s="8" t="n"/>
      <c r="E144" s="8">
        <f>SUMIFS(CB_Tributaires!$G:$G,CB_Tributaires!$F:$F,$A144)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IF(A144="","",IF(F144="","",2.78E-7*IF(G144&lt;&gt;"",G144,IFERROR(SUMIFS(CB_Tributaires!$H:$H,CB_Tributaires!$F:$F,$A144)/SUMIFS(CB_Tributaires!$G:$G,CB_Tributaires!$F:$F,$A144),Inputs!$B$17))*F144*I144))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7">
        <f>IF(AY144="","",CE144)</f>
        <v/>
      </c>
      <c r="AX144" s="7">
        <f>IF(OR(AY144="",AW144="",R144="",R144&lt;=0,AW144&lt;=0),"",AY144/((R144^2/8)*(2*ACOS(1-2*AW144/R144)-SIN(2*ACOS(1-2*AW144/R144)))))</f>
        <v/>
      </c>
      <c r="AY144" s="4">
        <f>IF(OR(L144="",AZ144=""),"",MIN(L144,AZ144))</f>
        <v/>
      </c>
      <c r="AZ144" s="4">
        <f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4">
        <f>IF(AY144="","",0.001*R144)</f>
        <v/>
      </c>
      <c r="BB144" s="4">
        <f>IF(AY144="","",0.94*R144)</f>
        <v/>
      </c>
      <c r="BC144" s="4">
        <f>IF(AY144="","",(BA144+BB144)/2)</f>
        <v/>
      </c>
      <c r="BD144" s="4">
        <f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4">
        <f>IF(AY144="","",IF(BD144&lt;AY144,BC144,BA144))</f>
        <v/>
      </c>
      <c r="BF144" s="4">
        <f>IF(AY144="","",IF(BD144&lt;AY144,BB144,BC144))</f>
        <v/>
      </c>
      <c r="BG144" s="4">
        <f>IF(AY144="","",(BE144+BF144)/2)</f>
        <v/>
      </c>
      <c r="BH144" s="4">
        <f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4">
        <f>IF(AY144="","",IF(BH144&lt;AY144,BG144,BE144))</f>
        <v/>
      </c>
      <c r="BJ144" s="4">
        <f>IF(AY144="","",IF(BH144&lt;AY144,BF144,BG144))</f>
        <v/>
      </c>
      <c r="BK144" s="4">
        <f>IF(AY144="","",(BI144+BJ144)/2)</f>
        <v/>
      </c>
      <c r="BL144" s="4">
        <f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4">
        <f>IF(AY144="","",IF(BL144&lt;AY144,BK144,BI144))</f>
        <v/>
      </c>
      <c r="BN144" s="4">
        <f>IF(AY144="","",IF(BL144&lt;AY144,BJ144,BK144))</f>
        <v/>
      </c>
      <c r="BO144" s="4">
        <f>IF(AY144="","",(BM144+BN144)/2)</f>
        <v/>
      </c>
      <c r="BP144" s="4">
        <f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4">
        <f>IF(AY144="","",IF(BP144&lt;AY144,BO144,BM144))</f>
        <v/>
      </c>
      <c r="BR144" s="4">
        <f>IF(AY144="","",IF(BP144&lt;AY144,BN144,BO144))</f>
        <v/>
      </c>
      <c r="BS144" s="4">
        <f>IF(AY144="","",(BQ144+BR144)/2)</f>
        <v/>
      </c>
      <c r="BT144" s="4">
        <f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4">
        <f>IF(AY144="","",IF(BT144&lt;AY144,BS144,BQ144))</f>
        <v/>
      </c>
      <c r="BV144" s="4">
        <f>IF(AY144="","",IF(BT144&lt;AY144,BR144,BS144))</f>
        <v/>
      </c>
      <c r="BW144" s="4">
        <f>IF(AY144="","",(BU144+BV144)/2)</f>
        <v/>
      </c>
      <c r="BX144" s="4">
        <f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4">
        <f>IF(AY144="","",IF(BX144&lt;AY144,BW144,BU144))</f>
        <v/>
      </c>
      <c r="BZ144" s="4">
        <f>IF(AY144="","",IF(BX144&lt;AY144,BV144,BW144))</f>
        <v/>
      </c>
      <c r="CA144" s="4">
        <f>IF(AY144="","",(BY144+BZ144)/2)</f>
        <v/>
      </c>
      <c r="CB144" s="4">
        <f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4">
        <f>IF(AY144="","",IF(CB144&lt;AY144,CA144,BY144))</f>
        <v/>
      </c>
      <c r="CD144" s="4">
        <f>IF(AY144="","",IF(CB144&lt;AY144,BZ144,CA144))</f>
        <v/>
      </c>
      <c r="CE144" s="4">
        <f>IF(AY144="","",(CC144+CD144)/2)</f>
        <v/>
      </c>
    </row>
    <row r="145">
      <c r="A145" s="4" t="n"/>
      <c r="B145" s="4" t="n"/>
      <c r="C145" s="8" t="n"/>
      <c r="D145" s="8" t="n"/>
      <c r="E145" s="8">
        <f>SUMIFS(CB_Tributaires!$G:$G,CB_Tributaires!$F:$F,$A145)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IF(A145="","",IF(F145="","",2.78E-7*IF(G145&lt;&gt;"",G145,IFERROR(SUMIFS(CB_Tributaires!$H:$H,CB_Tributaires!$F:$F,$A145)/SUMIFS(CB_Tributaires!$G:$G,CB_Tributaires!$F:$F,$A145),Inputs!$B$17))*F145*I145))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7">
        <f>IF(AY145="","",CE145)</f>
        <v/>
      </c>
      <c r="AX145" s="7">
        <f>IF(OR(AY145="",AW145="",R145="",R145&lt;=0,AW145&lt;=0),"",AY145/((R145^2/8)*(2*ACOS(1-2*AW145/R145)-SIN(2*ACOS(1-2*AW145/R145)))))</f>
        <v/>
      </c>
      <c r="AY145" s="4">
        <f>IF(OR(L145="",AZ145=""),"",MIN(L145,AZ145))</f>
        <v/>
      </c>
      <c r="AZ145" s="4">
        <f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4">
        <f>IF(AY145="","",0.001*R145)</f>
        <v/>
      </c>
      <c r="BB145" s="4">
        <f>IF(AY145="","",0.94*R145)</f>
        <v/>
      </c>
      <c r="BC145" s="4">
        <f>IF(AY145="","",(BA145+BB145)/2)</f>
        <v/>
      </c>
      <c r="BD145" s="4">
        <f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4">
        <f>IF(AY145="","",IF(BD145&lt;AY145,BC145,BA145))</f>
        <v/>
      </c>
      <c r="BF145" s="4">
        <f>IF(AY145="","",IF(BD145&lt;AY145,BB145,BC145))</f>
        <v/>
      </c>
      <c r="BG145" s="4">
        <f>IF(AY145="","",(BE145+BF145)/2)</f>
        <v/>
      </c>
      <c r="BH145" s="4">
        <f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4">
        <f>IF(AY145="","",IF(BH145&lt;AY145,BG145,BE145))</f>
        <v/>
      </c>
      <c r="BJ145" s="4">
        <f>IF(AY145="","",IF(BH145&lt;AY145,BF145,BG145))</f>
        <v/>
      </c>
      <c r="BK145" s="4">
        <f>IF(AY145="","",(BI145+BJ145)/2)</f>
        <v/>
      </c>
      <c r="BL145" s="4">
        <f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4">
        <f>IF(AY145="","",IF(BL145&lt;AY145,BK145,BI145))</f>
        <v/>
      </c>
      <c r="BN145" s="4">
        <f>IF(AY145="","",IF(BL145&lt;AY145,BJ145,BK145))</f>
        <v/>
      </c>
      <c r="BO145" s="4">
        <f>IF(AY145="","",(BM145+BN145)/2)</f>
        <v/>
      </c>
      <c r="BP145" s="4">
        <f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4">
        <f>IF(AY145="","",IF(BP145&lt;AY145,BO145,BM145))</f>
        <v/>
      </c>
      <c r="BR145" s="4">
        <f>IF(AY145="","",IF(BP145&lt;AY145,BN145,BO145))</f>
        <v/>
      </c>
      <c r="BS145" s="4">
        <f>IF(AY145="","",(BQ145+BR145)/2)</f>
        <v/>
      </c>
      <c r="BT145" s="4">
        <f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4">
        <f>IF(AY145="","",IF(BT145&lt;AY145,BS145,BQ145))</f>
        <v/>
      </c>
      <c r="BV145" s="4">
        <f>IF(AY145="","",IF(BT145&lt;AY145,BR145,BS145))</f>
        <v/>
      </c>
      <c r="BW145" s="4">
        <f>IF(AY145="","",(BU145+BV145)/2)</f>
        <v/>
      </c>
      <c r="BX145" s="4">
        <f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4">
        <f>IF(AY145="","",IF(BX145&lt;AY145,BW145,BU145))</f>
        <v/>
      </c>
      <c r="BZ145" s="4">
        <f>IF(AY145="","",IF(BX145&lt;AY145,BV145,BW145))</f>
        <v/>
      </c>
      <c r="CA145" s="4">
        <f>IF(AY145="","",(BY145+BZ145)/2)</f>
        <v/>
      </c>
      <c r="CB145" s="4">
        <f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4">
        <f>IF(AY145="","",IF(CB145&lt;AY145,CA145,BY145))</f>
        <v/>
      </c>
      <c r="CD145" s="4">
        <f>IF(AY145="","",IF(CB145&lt;AY145,BZ145,CA145))</f>
        <v/>
      </c>
      <c r="CE145" s="4">
        <f>IF(AY145="","",(CC145+CD145)/2)</f>
        <v/>
      </c>
    </row>
    <row r="146">
      <c r="A146" s="4" t="n"/>
      <c r="B146" s="4" t="n"/>
      <c r="C146" s="8" t="n"/>
      <c r="D146" s="8" t="n"/>
      <c r="E146" s="8">
        <f>SUMIFS(CB_Tributaires!$G:$G,CB_Tributaires!$F:$F,$A146)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IF(A146="","",IF(F146="","",2.78E-7*IF(G146&lt;&gt;"",G146,IFERROR(SUMIFS(CB_Tributaires!$H:$H,CB_Tributaires!$F:$F,$A146)/SUMIFS(CB_Tributaires!$G:$G,CB_Tributaires!$F:$F,$A146),Inputs!$B$17))*F146*I146))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7">
        <f>IF(AY146="","",CE146)</f>
        <v/>
      </c>
      <c r="AX146" s="7">
        <f>IF(OR(AY146="",AW146="",R146="",R146&lt;=0,AW146&lt;=0),"",AY146/((R146^2/8)*(2*ACOS(1-2*AW146/R146)-SIN(2*ACOS(1-2*AW146/R146)))))</f>
        <v/>
      </c>
      <c r="AY146" s="4">
        <f>IF(OR(L146="",AZ146=""),"",MIN(L146,AZ146))</f>
        <v/>
      </c>
      <c r="AZ146" s="4">
        <f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4">
        <f>IF(AY146="","",0.001*R146)</f>
        <v/>
      </c>
      <c r="BB146" s="4">
        <f>IF(AY146="","",0.94*R146)</f>
        <v/>
      </c>
      <c r="BC146" s="4">
        <f>IF(AY146="","",(BA146+BB146)/2)</f>
        <v/>
      </c>
      <c r="BD146" s="4">
        <f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4">
        <f>IF(AY146="","",IF(BD146&lt;AY146,BC146,BA146))</f>
        <v/>
      </c>
      <c r="BF146" s="4">
        <f>IF(AY146="","",IF(BD146&lt;AY146,BB146,BC146))</f>
        <v/>
      </c>
      <c r="BG146" s="4">
        <f>IF(AY146="","",(BE146+BF146)/2)</f>
        <v/>
      </c>
      <c r="BH146" s="4">
        <f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4">
        <f>IF(AY146="","",IF(BH146&lt;AY146,BG146,BE146))</f>
        <v/>
      </c>
      <c r="BJ146" s="4">
        <f>IF(AY146="","",IF(BH146&lt;AY146,BF146,BG146))</f>
        <v/>
      </c>
      <c r="BK146" s="4">
        <f>IF(AY146="","",(BI146+BJ146)/2)</f>
        <v/>
      </c>
      <c r="BL146" s="4">
        <f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4">
        <f>IF(AY146="","",IF(BL146&lt;AY146,BK146,BI146))</f>
        <v/>
      </c>
      <c r="BN146" s="4">
        <f>IF(AY146="","",IF(BL146&lt;AY146,BJ146,BK146))</f>
        <v/>
      </c>
      <c r="BO146" s="4">
        <f>IF(AY146="","",(BM146+BN146)/2)</f>
        <v/>
      </c>
      <c r="BP146" s="4">
        <f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4">
        <f>IF(AY146="","",IF(BP146&lt;AY146,BO146,BM146))</f>
        <v/>
      </c>
      <c r="BR146" s="4">
        <f>IF(AY146="","",IF(BP146&lt;AY146,BN146,BO146))</f>
        <v/>
      </c>
      <c r="BS146" s="4">
        <f>IF(AY146="","",(BQ146+BR146)/2)</f>
        <v/>
      </c>
      <c r="BT146" s="4">
        <f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4">
        <f>IF(AY146="","",IF(BT146&lt;AY146,BS146,BQ146))</f>
        <v/>
      </c>
      <c r="BV146" s="4">
        <f>IF(AY146="","",IF(BT146&lt;AY146,BR146,BS146))</f>
        <v/>
      </c>
      <c r="BW146" s="4">
        <f>IF(AY146="","",(BU146+BV146)/2)</f>
        <v/>
      </c>
      <c r="BX146" s="4">
        <f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4">
        <f>IF(AY146="","",IF(BX146&lt;AY146,BW146,BU146))</f>
        <v/>
      </c>
      <c r="BZ146" s="4">
        <f>IF(AY146="","",IF(BX146&lt;AY146,BV146,BW146))</f>
        <v/>
      </c>
      <c r="CA146" s="4">
        <f>IF(AY146="","",(BY146+BZ146)/2)</f>
        <v/>
      </c>
      <c r="CB146" s="4">
        <f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4">
        <f>IF(AY146="","",IF(CB146&lt;AY146,CA146,BY146))</f>
        <v/>
      </c>
      <c r="CD146" s="4">
        <f>IF(AY146="","",IF(CB146&lt;AY146,BZ146,CA146))</f>
        <v/>
      </c>
      <c r="CE146" s="4">
        <f>IF(AY146="","",(CC146+CD146)/2)</f>
        <v/>
      </c>
    </row>
    <row r="147">
      <c r="A147" s="4" t="n"/>
      <c r="B147" s="4" t="n"/>
      <c r="C147" s="8" t="n"/>
      <c r="D147" s="8" t="n"/>
      <c r="E147" s="8">
        <f>SUMIFS(CB_Tributaires!$G:$G,CB_Tributaires!$F:$F,$A147)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IF(A147="","",IF(F147="","",2.78E-7*IF(G147&lt;&gt;"",G147,IFERROR(SUMIFS(CB_Tributaires!$H:$H,CB_Tributaires!$F:$F,$A147)/SUMIFS(CB_Tributaires!$G:$G,CB_Tributaires!$F:$F,$A147),Inputs!$B$17))*F147*I147))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7">
        <f>IF(AY147="","",CE147)</f>
        <v/>
      </c>
      <c r="AX147" s="7">
        <f>IF(OR(AY147="",AW147="",R147="",R147&lt;=0,AW147&lt;=0),"",AY147/((R147^2/8)*(2*ACOS(1-2*AW147/R147)-SIN(2*ACOS(1-2*AW147/R147)))))</f>
        <v/>
      </c>
      <c r="AY147" s="4">
        <f>IF(OR(L147="",AZ147=""),"",MIN(L147,AZ147))</f>
        <v/>
      </c>
      <c r="AZ147" s="4">
        <f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4">
        <f>IF(AY147="","",0.001*R147)</f>
        <v/>
      </c>
      <c r="BB147" s="4">
        <f>IF(AY147="","",0.94*R147)</f>
        <v/>
      </c>
      <c r="BC147" s="4">
        <f>IF(AY147="","",(BA147+BB147)/2)</f>
        <v/>
      </c>
      <c r="BD147" s="4">
        <f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4">
        <f>IF(AY147="","",IF(BD147&lt;AY147,BC147,BA147))</f>
        <v/>
      </c>
      <c r="BF147" s="4">
        <f>IF(AY147="","",IF(BD147&lt;AY147,BB147,BC147))</f>
        <v/>
      </c>
      <c r="BG147" s="4">
        <f>IF(AY147="","",(BE147+BF147)/2)</f>
        <v/>
      </c>
      <c r="BH147" s="4">
        <f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4">
        <f>IF(AY147="","",IF(BH147&lt;AY147,BG147,BE147))</f>
        <v/>
      </c>
      <c r="BJ147" s="4">
        <f>IF(AY147="","",IF(BH147&lt;AY147,BF147,BG147))</f>
        <v/>
      </c>
      <c r="BK147" s="4">
        <f>IF(AY147="","",(BI147+BJ147)/2)</f>
        <v/>
      </c>
      <c r="BL147" s="4">
        <f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4">
        <f>IF(AY147="","",IF(BL147&lt;AY147,BK147,BI147))</f>
        <v/>
      </c>
      <c r="BN147" s="4">
        <f>IF(AY147="","",IF(BL147&lt;AY147,BJ147,BK147))</f>
        <v/>
      </c>
      <c r="BO147" s="4">
        <f>IF(AY147="","",(BM147+BN147)/2)</f>
        <v/>
      </c>
      <c r="BP147" s="4">
        <f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4">
        <f>IF(AY147="","",IF(BP147&lt;AY147,BO147,BM147))</f>
        <v/>
      </c>
      <c r="BR147" s="4">
        <f>IF(AY147="","",IF(BP147&lt;AY147,BN147,BO147))</f>
        <v/>
      </c>
      <c r="BS147" s="4">
        <f>IF(AY147="","",(BQ147+BR147)/2)</f>
        <v/>
      </c>
      <c r="BT147" s="4">
        <f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4">
        <f>IF(AY147="","",IF(BT147&lt;AY147,BS147,BQ147))</f>
        <v/>
      </c>
      <c r="BV147" s="4">
        <f>IF(AY147="","",IF(BT147&lt;AY147,BR147,BS147))</f>
        <v/>
      </c>
      <c r="BW147" s="4">
        <f>IF(AY147="","",(BU147+BV147)/2)</f>
        <v/>
      </c>
      <c r="BX147" s="4">
        <f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4">
        <f>IF(AY147="","",IF(BX147&lt;AY147,BW147,BU147))</f>
        <v/>
      </c>
      <c r="BZ147" s="4">
        <f>IF(AY147="","",IF(BX147&lt;AY147,BV147,BW147))</f>
        <v/>
      </c>
      <c r="CA147" s="4">
        <f>IF(AY147="","",(BY147+BZ147)/2)</f>
        <v/>
      </c>
      <c r="CB147" s="4">
        <f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4">
        <f>IF(AY147="","",IF(CB147&lt;AY147,CA147,BY147))</f>
        <v/>
      </c>
      <c r="CD147" s="4">
        <f>IF(AY147="","",IF(CB147&lt;AY147,BZ147,CA147))</f>
        <v/>
      </c>
      <c r="CE147" s="4">
        <f>IF(AY147="","",(CC147+CD147)/2)</f>
        <v/>
      </c>
    </row>
    <row r="148">
      <c r="A148" s="4" t="n"/>
      <c r="B148" s="4" t="n"/>
      <c r="C148" s="8" t="n"/>
      <c r="D148" s="8" t="n"/>
      <c r="E148" s="8">
        <f>SUMIFS(CB_Tributaires!$G:$G,CB_Tributaires!$F:$F,$A148)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IF(A148="","",IF(F148="","",2.78E-7*IF(G148&lt;&gt;"",G148,IFERROR(SUMIFS(CB_Tributaires!$H:$H,CB_Tributaires!$F:$F,$A148)/SUMIFS(CB_Tributaires!$G:$G,CB_Tributaires!$F:$F,$A148),Inputs!$B$17))*F148*I148))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7">
        <f>IF(AY148="","",CE148)</f>
        <v/>
      </c>
      <c r="AX148" s="7">
        <f>IF(OR(AY148="",AW148="",R148="",R148&lt;=0,AW148&lt;=0),"",AY148/((R148^2/8)*(2*ACOS(1-2*AW148/R148)-SIN(2*ACOS(1-2*AW148/R148)))))</f>
        <v/>
      </c>
      <c r="AY148" s="4">
        <f>IF(OR(L148="",AZ148=""),"",MIN(L148,AZ148))</f>
        <v/>
      </c>
      <c r="AZ148" s="4">
        <f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4">
        <f>IF(AY148="","",0.001*R148)</f>
        <v/>
      </c>
      <c r="BB148" s="4">
        <f>IF(AY148="","",0.94*R148)</f>
        <v/>
      </c>
      <c r="BC148" s="4">
        <f>IF(AY148="","",(BA148+BB148)/2)</f>
        <v/>
      </c>
      <c r="BD148" s="4">
        <f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4">
        <f>IF(AY148="","",IF(BD148&lt;AY148,BC148,BA148))</f>
        <v/>
      </c>
      <c r="BF148" s="4">
        <f>IF(AY148="","",IF(BD148&lt;AY148,BB148,BC148))</f>
        <v/>
      </c>
      <c r="BG148" s="4">
        <f>IF(AY148="","",(BE148+BF148)/2)</f>
        <v/>
      </c>
      <c r="BH148" s="4">
        <f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4">
        <f>IF(AY148="","",IF(BH148&lt;AY148,BG148,BE148))</f>
        <v/>
      </c>
      <c r="BJ148" s="4">
        <f>IF(AY148="","",IF(BH148&lt;AY148,BF148,BG148))</f>
        <v/>
      </c>
      <c r="BK148" s="4">
        <f>IF(AY148="","",(BI148+BJ148)/2)</f>
        <v/>
      </c>
      <c r="BL148" s="4">
        <f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4">
        <f>IF(AY148="","",IF(BL148&lt;AY148,BK148,BI148))</f>
        <v/>
      </c>
      <c r="BN148" s="4">
        <f>IF(AY148="","",IF(BL148&lt;AY148,BJ148,BK148))</f>
        <v/>
      </c>
      <c r="BO148" s="4">
        <f>IF(AY148="","",(BM148+BN148)/2)</f>
        <v/>
      </c>
      <c r="BP148" s="4">
        <f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4">
        <f>IF(AY148="","",IF(BP148&lt;AY148,BO148,BM148))</f>
        <v/>
      </c>
      <c r="BR148" s="4">
        <f>IF(AY148="","",IF(BP148&lt;AY148,BN148,BO148))</f>
        <v/>
      </c>
      <c r="BS148" s="4">
        <f>IF(AY148="","",(BQ148+BR148)/2)</f>
        <v/>
      </c>
      <c r="BT148" s="4">
        <f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4">
        <f>IF(AY148="","",IF(BT148&lt;AY148,BS148,BQ148))</f>
        <v/>
      </c>
      <c r="BV148" s="4">
        <f>IF(AY148="","",IF(BT148&lt;AY148,BR148,BS148))</f>
        <v/>
      </c>
      <c r="BW148" s="4">
        <f>IF(AY148="","",(BU148+BV148)/2)</f>
        <v/>
      </c>
      <c r="BX148" s="4">
        <f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4">
        <f>IF(AY148="","",IF(BX148&lt;AY148,BW148,BU148))</f>
        <v/>
      </c>
      <c r="BZ148" s="4">
        <f>IF(AY148="","",IF(BX148&lt;AY148,BV148,BW148))</f>
        <v/>
      </c>
      <c r="CA148" s="4">
        <f>IF(AY148="","",(BY148+BZ148)/2)</f>
        <v/>
      </c>
      <c r="CB148" s="4">
        <f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4">
        <f>IF(AY148="","",IF(CB148&lt;AY148,CA148,BY148))</f>
        <v/>
      </c>
      <c r="CD148" s="4">
        <f>IF(AY148="","",IF(CB148&lt;AY148,BZ148,CA148))</f>
        <v/>
      </c>
      <c r="CE148" s="4">
        <f>IF(AY148="","",(CC148+CD148)/2)</f>
        <v/>
      </c>
    </row>
    <row r="149">
      <c r="A149" s="4" t="n"/>
      <c r="B149" s="4" t="n"/>
      <c r="C149" s="8" t="n"/>
      <c r="D149" s="8" t="n"/>
      <c r="E149" s="8">
        <f>SUMIFS(CB_Tributaires!$G:$G,CB_Tributaires!$F:$F,$A149)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IF(A149="","",IF(F149="","",2.78E-7*IF(G149&lt;&gt;"",G149,IFERROR(SUMIFS(CB_Tributaires!$H:$H,CB_Tributaires!$F:$F,$A149)/SUMIFS(CB_Tributaires!$G:$G,CB_Tributaires!$F:$F,$A149),Inputs!$B$17))*F149*I149))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7">
        <f>IF(AY149="","",CE149)</f>
        <v/>
      </c>
      <c r="AX149" s="7">
        <f>IF(OR(AY149="",AW149="",R149="",R149&lt;=0,AW149&lt;=0),"",AY149/((R149^2/8)*(2*ACOS(1-2*AW149/R149)-SIN(2*ACOS(1-2*AW149/R149)))))</f>
        <v/>
      </c>
      <c r="AY149" s="4">
        <f>IF(OR(L149="",AZ149=""),"",MIN(L149,AZ149))</f>
        <v/>
      </c>
      <c r="AZ149" s="4">
        <f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4">
        <f>IF(AY149="","",0.001*R149)</f>
        <v/>
      </c>
      <c r="BB149" s="4">
        <f>IF(AY149="","",0.94*R149)</f>
        <v/>
      </c>
      <c r="BC149" s="4">
        <f>IF(AY149="","",(BA149+BB149)/2)</f>
        <v/>
      </c>
      <c r="BD149" s="4">
        <f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4">
        <f>IF(AY149="","",IF(BD149&lt;AY149,BC149,BA149))</f>
        <v/>
      </c>
      <c r="BF149" s="4">
        <f>IF(AY149="","",IF(BD149&lt;AY149,BB149,BC149))</f>
        <v/>
      </c>
      <c r="BG149" s="4">
        <f>IF(AY149="","",(BE149+BF149)/2)</f>
        <v/>
      </c>
      <c r="BH149" s="4">
        <f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4">
        <f>IF(AY149="","",IF(BH149&lt;AY149,BG149,BE149))</f>
        <v/>
      </c>
      <c r="BJ149" s="4">
        <f>IF(AY149="","",IF(BH149&lt;AY149,BF149,BG149))</f>
        <v/>
      </c>
      <c r="BK149" s="4">
        <f>IF(AY149="","",(BI149+BJ149)/2)</f>
        <v/>
      </c>
      <c r="BL149" s="4">
        <f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4">
        <f>IF(AY149="","",IF(BL149&lt;AY149,BK149,BI149))</f>
        <v/>
      </c>
      <c r="BN149" s="4">
        <f>IF(AY149="","",IF(BL149&lt;AY149,BJ149,BK149))</f>
        <v/>
      </c>
      <c r="BO149" s="4">
        <f>IF(AY149="","",(BM149+BN149)/2)</f>
        <v/>
      </c>
      <c r="BP149" s="4">
        <f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4">
        <f>IF(AY149="","",IF(BP149&lt;AY149,BO149,BM149))</f>
        <v/>
      </c>
      <c r="BR149" s="4">
        <f>IF(AY149="","",IF(BP149&lt;AY149,BN149,BO149))</f>
        <v/>
      </c>
      <c r="BS149" s="4">
        <f>IF(AY149="","",(BQ149+BR149)/2)</f>
        <v/>
      </c>
      <c r="BT149" s="4">
        <f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4">
        <f>IF(AY149="","",IF(BT149&lt;AY149,BS149,BQ149))</f>
        <v/>
      </c>
      <c r="BV149" s="4">
        <f>IF(AY149="","",IF(BT149&lt;AY149,BR149,BS149))</f>
        <v/>
      </c>
      <c r="BW149" s="4">
        <f>IF(AY149="","",(BU149+BV149)/2)</f>
        <v/>
      </c>
      <c r="BX149" s="4">
        <f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4">
        <f>IF(AY149="","",IF(BX149&lt;AY149,BW149,BU149))</f>
        <v/>
      </c>
      <c r="BZ149" s="4">
        <f>IF(AY149="","",IF(BX149&lt;AY149,BV149,BW149))</f>
        <v/>
      </c>
      <c r="CA149" s="4">
        <f>IF(AY149="","",(BY149+BZ149)/2)</f>
        <v/>
      </c>
      <c r="CB149" s="4">
        <f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4">
        <f>IF(AY149="","",IF(CB149&lt;AY149,CA149,BY149))</f>
        <v/>
      </c>
      <c r="CD149" s="4">
        <f>IF(AY149="","",IF(CB149&lt;AY149,BZ149,CA149))</f>
        <v/>
      </c>
      <c r="CE149" s="4">
        <f>IF(AY149="","",(CC149+CD149)/2)</f>
        <v/>
      </c>
    </row>
    <row r="150">
      <c r="A150" s="4" t="n"/>
      <c r="B150" s="4" t="n"/>
      <c r="C150" s="8" t="n"/>
      <c r="D150" s="8" t="n"/>
      <c r="E150" s="8">
        <f>SUMIFS(CB_Tributaires!$G:$G,CB_Tributaires!$F:$F,$A150)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IF(A150="","",IF(F150="","",2.78E-7*IF(G150&lt;&gt;"",G150,IFERROR(SUMIFS(CB_Tributaires!$H:$H,CB_Tributaires!$F:$F,$A150)/SUMIFS(CB_Tributaires!$G:$G,CB_Tributaires!$F:$F,$A150),Inputs!$B$17))*F150*I150))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7">
        <f>IF(AY150="","",CE150)</f>
        <v/>
      </c>
      <c r="AX150" s="7">
        <f>IF(OR(AY150="",AW150="",R150="",R150&lt;=0,AW150&lt;=0),"",AY150/((R150^2/8)*(2*ACOS(1-2*AW150/R150)-SIN(2*ACOS(1-2*AW150/R150)))))</f>
        <v/>
      </c>
      <c r="AY150" s="4">
        <f>IF(OR(L150="",AZ150=""),"",MIN(L150,AZ150))</f>
        <v/>
      </c>
      <c r="AZ150" s="4">
        <f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4">
        <f>IF(AY150="","",0.001*R150)</f>
        <v/>
      </c>
      <c r="BB150" s="4">
        <f>IF(AY150="","",0.94*R150)</f>
        <v/>
      </c>
      <c r="BC150" s="4">
        <f>IF(AY150="","",(BA150+BB150)/2)</f>
        <v/>
      </c>
      <c r="BD150" s="4">
        <f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4">
        <f>IF(AY150="","",IF(BD150&lt;AY150,BC150,BA150))</f>
        <v/>
      </c>
      <c r="BF150" s="4">
        <f>IF(AY150="","",IF(BD150&lt;AY150,BB150,BC150))</f>
        <v/>
      </c>
      <c r="BG150" s="4">
        <f>IF(AY150="","",(BE150+BF150)/2)</f>
        <v/>
      </c>
      <c r="BH150" s="4">
        <f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4">
        <f>IF(AY150="","",IF(BH150&lt;AY150,BG150,BE150))</f>
        <v/>
      </c>
      <c r="BJ150" s="4">
        <f>IF(AY150="","",IF(BH150&lt;AY150,BF150,BG150))</f>
        <v/>
      </c>
      <c r="BK150" s="4">
        <f>IF(AY150="","",(BI150+BJ150)/2)</f>
        <v/>
      </c>
      <c r="BL150" s="4">
        <f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4">
        <f>IF(AY150="","",IF(BL150&lt;AY150,BK150,BI150))</f>
        <v/>
      </c>
      <c r="BN150" s="4">
        <f>IF(AY150="","",IF(BL150&lt;AY150,BJ150,BK150))</f>
        <v/>
      </c>
      <c r="BO150" s="4">
        <f>IF(AY150="","",(BM150+BN150)/2)</f>
        <v/>
      </c>
      <c r="BP150" s="4">
        <f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4">
        <f>IF(AY150="","",IF(BP150&lt;AY150,BO150,BM150))</f>
        <v/>
      </c>
      <c r="BR150" s="4">
        <f>IF(AY150="","",IF(BP150&lt;AY150,BN150,BO150))</f>
        <v/>
      </c>
      <c r="BS150" s="4">
        <f>IF(AY150="","",(BQ150+BR150)/2)</f>
        <v/>
      </c>
      <c r="BT150" s="4">
        <f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4">
        <f>IF(AY150="","",IF(BT150&lt;AY150,BS150,BQ150))</f>
        <v/>
      </c>
      <c r="BV150" s="4">
        <f>IF(AY150="","",IF(BT150&lt;AY150,BR150,BS150))</f>
        <v/>
      </c>
      <c r="BW150" s="4">
        <f>IF(AY150="","",(BU150+BV150)/2)</f>
        <v/>
      </c>
      <c r="BX150" s="4">
        <f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4">
        <f>IF(AY150="","",IF(BX150&lt;AY150,BW150,BU150))</f>
        <v/>
      </c>
      <c r="BZ150" s="4">
        <f>IF(AY150="","",IF(BX150&lt;AY150,BV150,BW150))</f>
        <v/>
      </c>
      <c r="CA150" s="4">
        <f>IF(AY150="","",(BY150+BZ150)/2)</f>
        <v/>
      </c>
      <c r="CB150" s="4">
        <f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4">
        <f>IF(AY150="","",IF(CB150&lt;AY150,CA150,BY150))</f>
        <v/>
      </c>
      <c r="CD150" s="4">
        <f>IF(AY150="","",IF(CB150&lt;AY150,BZ150,CA150))</f>
        <v/>
      </c>
      <c r="CE150" s="4">
        <f>IF(AY150="","",(CC150+CD150)/2)</f>
        <v/>
      </c>
    </row>
    <row r="151">
      <c r="A151" s="4" t="n"/>
      <c r="B151" s="4" t="n"/>
      <c r="C151" s="8" t="n"/>
      <c r="D151" s="8" t="n"/>
      <c r="E151" s="8">
        <f>SUMIFS(CB_Tributaires!$G:$G,CB_Tributaires!$F:$F,$A151)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IF(A151="","",IF(F151="","",2.78E-7*IF(G151&lt;&gt;"",G151,IFERROR(SUMIFS(CB_Tributaires!$H:$H,CB_Tributaires!$F:$F,$A151)/SUMIFS(CB_Tributaires!$G:$G,CB_Tributaires!$F:$F,$A151),Inputs!$B$17))*F151*I151))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7">
        <f>IF(AY151="","",CE151)</f>
        <v/>
      </c>
      <c r="AX151" s="7">
        <f>IF(OR(AY151="",AW151="",R151="",R151&lt;=0,AW151&lt;=0),"",AY151/((R151^2/8)*(2*ACOS(1-2*AW151/R151)-SIN(2*ACOS(1-2*AW151/R151)))))</f>
        <v/>
      </c>
      <c r="AY151" s="4">
        <f>IF(OR(L151="",AZ151=""),"",MIN(L151,AZ151))</f>
        <v/>
      </c>
      <c r="AZ151" s="4">
        <f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4">
        <f>IF(AY151="","",0.001*R151)</f>
        <v/>
      </c>
      <c r="BB151" s="4">
        <f>IF(AY151="","",0.94*R151)</f>
        <v/>
      </c>
      <c r="BC151" s="4">
        <f>IF(AY151="","",(BA151+BB151)/2)</f>
        <v/>
      </c>
      <c r="BD151" s="4">
        <f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4">
        <f>IF(AY151="","",IF(BD151&lt;AY151,BC151,BA151))</f>
        <v/>
      </c>
      <c r="BF151" s="4">
        <f>IF(AY151="","",IF(BD151&lt;AY151,BB151,BC151))</f>
        <v/>
      </c>
      <c r="BG151" s="4">
        <f>IF(AY151="","",(BE151+BF151)/2)</f>
        <v/>
      </c>
      <c r="BH151" s="4">
        <f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4">
        <f>IF(AY151="","",IF(BH151&lt;AY151,BG151,BE151))</f>
        <v/>
      </c>
      <c r="BJ151" s="4">
        <f>IF(AY151="","",IF(BH151&lt;AY151,BF151,BG151))</f>
        <v/>
      </c>
      <c r="BK151" s="4">
        <f>IF(AY151="","",(BI151+BJ151)/2)</f>
        <v/>
      </c>
      <c r="BL151" s="4">
        <f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4">
        <f>IF(AY151="","",IF(BL151&lt;AY151,BK151,BI151))</f>
        <v/>
      </c>
      <c r="BN151" s="4">
        <f>IF(AY151="","",IF(BL151&lt;AY151,BJ151,BK151))</f>
        <v/>
      </c>
      <c r="BO151" s="4">
        <f>IF(AY151="","",(BM151+BN151)/2)</f>
        <v/>
      </c>
      <c r="BP151" s="4">
        <f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4">
        <f>IF(AY151="","",IF(BP151&lt;AY151,BO151,BM151))</f>
        <v/>
      </c>
      <c r="BR151" s="4">
        <f>IF(AY151="","",IF(BP151&lt;AY151,BN151,BO151))</f>
        <v/>
      </c>
      <c r="BS151" s="4">
        <f>IF(AY151="","",(BQ151+BR151)/2)</f>
        <v/>
      </c>
      <c r="BT151" s="4">
        <f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4">
        <f>IF(AY151="","",IF(BT151&lt;AY151,BS151,BQ151))</f>
        <v/>
      </c>
      <c r="BV151" s="4">
        <f>IF(AY151="","",IF(BT151&lt;AY151,BR151,BS151))</f>
        <v/>
      </c>
      <c r="BW151" s="4">
        <f>IF(AY151="","",(BU151+BV151)/2)</f>
        <v/>
      </c>
      <c r="BX151" s="4">
        <f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4">
        <f>IF(AY151="","",IF(BX151&lt;AY151,BW151,BU151))</f>
        <v/>
      </c>
      <c r="BZ151" s="4">
        <f>IF(AY151="","",IF(BX151&lt;AY151,BV151,BW151))</f>
        <v/>
      </c>
      <c r="CA151" s="4">
        <f>IF(AY151="","",(BY151+BZ151)/2)</f>
        <v/>
      </c>
      <c r="CB151" s="4">
        <f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4">
        <f>IF(AY151="","",IF(CB151&lt;AY151,CA151,BY151))</f>
        <v/>
      </c>
      <c r="CD151" s="4">
        <f>IF(AY151="","",IF(CB151&lt;AY151,BZ151,CA151))</f>
        <v/>
      </c>
      <c r="CE151" s="4">
        <f>IF(AY151="","",(CC151+CD151)/2)</f>
        <v/>
      </c>
    </row>
    <row r="152">
      <c r="A152" s="4" t="n"/>
      <c r="B152" s="4" t="n"/>
      <c r="C152" s="8" t="n"/>
      <c r="D152" s="8" t="n"/>
      <c r="E152" s="8">
        <f>SUMIFS(CB_Tributaires!$G:$G,CB_Tributaires!$F:$F,$A152)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IF(A152="","",IF(F152="","",2.78E-7*IF(G152&lt;&gt;"",G152,IFERROR(SUMIFS(CB_Tributaires!$H:$H,CB_Tributaires!$F:$F,$A152)/SUMIFS(CB_Tributaires!$G:$G,CB_Tributaires!$F:$F,$A152),Inputs!$B$17))*F152*I152))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7">
        <f>IF(AY152="","",CE152)</f>
        <v/>
      </c>
      <c r="AX152" s="7">
        <f>IF(OR(AY152="",AW152="",R152="",R152&lt;=0,AW152&lt;=0),"",AY152/((R152^2/8)*(2*ACOS(1-2*AW152/R152)-SIN(2*ACOS(1-2*AW152/R152)))))</f>
        <v/>
      </c>
      <c r="AY152" s="4">
        <f>IF(OR(L152="",AZ152=""),"",MIN(L152,AZ152))</f>
        <v/>
      </c>
      <c r="AZ152" s="4">
        <f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4">
        <f>IF(AY152="","",0.001*R152)</f>
        <v/>
      </c>
      <c r="BB152" s="4">
        <f>IF(AY152="","",0.94*R152)</f>
        <v/>
      </c>
      <c r="BC152" s="4">
        <f>IF(AY152="","",(BA152+BB152)/2)</f>
        <v/>
      </c>
      <c r="BD152" s="4">
        <f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4">
        <f>IF(AY152="","",IF(BD152&lt;AY152,BC152,BA152))</f>
        <v/>
      </c>
      <c r="BF152" s="4">
        <f>IF(AY152="","",IF(BD152&lt;AY152,BB152,BC152))</f>
        <v/>
      </c>
      <c r="BG152" s="4">
        <f>IF(AY152="","",(BE152+BF152)/2)</f>
        <v/>
      </c>
      <c r="BH152" s="4">
        <f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4">
        <f>IF(AY152="","",IF(BH152&lt;AY152,BG152,BE152))</f>
        <v/>
      </c>
      <c r="BJ152" s="4">
        <f>IF(AY152="","",IF(BH152&lt;AY152,BF152,BG152))</f>
        <v/>
      </c>
      <c r="BK152" s="4">
        <f>IF(AY152="","",(BI152+BJ152)/2)</f>
        <v/>
      </c>
      <c r="BL152" s="4">
        <f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4">
        <f>IF(AY152="","",IF(BL152&lt;AY152,BK152,BI152))</f>
        <v/>
      </c>
      <c r="BN152" s="4">
        <f>IF(AY152="","",IF(BL152&lt;AY152,BJ152,BK152))</f>
        <v/>
      </c>
      <c r="BO152" s="4">
        <f>IF(AY152="","",(BM152+BN152)/2)</f>
        <v/>
      </c>
      <c r="BP152" s="4">
        <f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4">
        <f>IF(AY152="","",IF(BP152&lt;AY152,BO152,BM152))</f>
        <v/>
      </c>
      <c r="BR152" s="4">
        <f>IF(AY152="","",IF(BP152&lt;AY152,BN152,BO152))</f>
        <v/>
      </c>
      <c r="BS152" s="4">
        <f>IF(AY152="","",(BQ152+BR152)/2)</f>
        <v/>
      </c>
      <c r="BT152" s="4">
        <f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4">
        <f>IF(AY152="","",IF(BT152&lt;AY152,BS152,BQ152))</f>
        <v/>
      </c>
      <c r="BV152" s="4">
        <f>IF(AY152="","",IF(BT152&lt;AY152,BR152,BS152))</f>
        <v/>
      </c>
      <c r="BW152" s="4">
        <f>IF(AY152="","",(BU152+BV152)/2)</f>
        <v/>
      </c>
      <c r="BX152" s="4">
        <f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4">
        <f>IF(AY152="","",IF(BX152&lt;AY152,BW152,BU152))</f>
        <v/>
      </c>
      <c r="BZ152" s="4">
        <f>IF(AY152="","",IF(BX152&lt;AY152,BV152,BW152))</f>
        <v/>
      </c>
      <c r="CA152" s="4">
        <f>IF(AY152="","",(BY152+BZ152)/2)</f>
        <v/>
      </c>
      <c r="CB152" s="4">
        <f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4">
        <f>IF(AY152="","",IF(CB152&lt;AY152,CA152,BY152))</f>
        <v/>
      </c>
      <c r="CD152" s="4">
        <f>IF(AY152="","",IF(CB152&lt;AY152,BZ152,CA152))</f>
        <v/>
      </c>
      <c r="CE152" s="4">
        <f>IF(AY152="","",(CC152+CD152)/2)</f>
        <v/>
      </c>
    </row>
    <row r="153">
      <c r="A153" s="4" t="n"/>
      <c r="B153" s="4" t="n"/>
      <c r="C153" s="8" t="n"/>
      <c r="D153" s="8" t="n"/>
      <c r="E153" s="8">
        <f>SUMIFS(CB_Tributaires!$G:$G,CB_Tributaires!$F:$F,$A153)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IF(A153="","",IF(F153="","",2.78E-7*IF(G153&lt;&gt;"",G153,IFERROR(SUMIFS(CB_Tributaires!$H:$H,CB_Tributaires!$F:$F,$A153)/SUMIFS(CB_Tributaires!$G:$G,CB_Tributaires!$F:$F,$A153),Inputs!$B$17))*F153*I153))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7">
        <f>IF(AY153="","",CE153)</f>
        <v/>
      </c>
      <c r="AX153" s="7">
        <f>IF(OR(AY153="",AW153="",R153="",R153&lt;=0,AW153&lt;=0),"",AY153/((R153^2/8)*(2*ACOS(1-2*AW153/R153)-SIN(2*ACOS(1-2*AW153/R153)))))</f>
        <v/>
      </c>
      <c r="AY153" s="4">
        <f>IF(OR(L153="",AZ153=""),"",MIN(L153,AZ153))</f>
        <v/>
      </c>
      <c r="AZ153" s="4">
        <f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4">
        <f>IF(AY153="","",0.001*R153)</f>
        <v/>
      </c>
      <c r="BB153" s="4">
        <f>IF(AY153="","",0.94*R153)</f>
        <v/>
      </c>
      <c r="BC153" s="4">
        <f>IF(AY153="","",(BA153+BB153)/2)</f>
        <v/>
      </c>
      <c r="BD153" s="4">
        <f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4">
        <f>IF(AY153="","",IF(BD153&lt;AY153,BC153,BA153))</f>
        <v/>
      </c>
      <c r="BF153" s="4">
        <f>IF(AY153="","",IF(BD153&lt;AY153,BB153,BC153))</f>
        <v/>
      </c>
      <c r="BG153" s="4">
        <f>IF(AY153="","",(BE153+BF153)/2)</f>
        <v/>
      </c>
      <c r="BH153" s="4">
        <f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4">
        <f>IF(AY153="","",IF(BH153&lt;AY153,BG153,BE153))</f>
        <v/>
      </c>
      <c r="BJ153" s="4">
        <f>IF(AY153="","",IF(BH153&lt;AY153,BF153,BG153))</f>
        <v/>
      </c>
      <c r="BK153" s="4">
        <f>IF(AY153="","",(BI153+BJ153)/2)</f>
        <v/>
      </c>
      <c r="BL153" s="4">
        <f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4">
        <f>IF(AY153="","",IF(BL153&lt;AY153,BK153,BI153))</f>
        <v/>
      </c>
      <c r="BN153" s="4">
        <f>IF(AY153="","",IF(BL153&lt;AY153,BJ153,BK153))</f>
        <v/>
      </c>
      <c r="BO153" s="4">
        <f>IF(AY153="","",(BM153+BN153)/2)</f>
        <v/>
      </c>
      <c r="BP153" s="4">
        <f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4">
        <f>IF(AY153="","",IF(BP153&lt;AY153,BO153,BM153))</f>
        <v/>
      </c>
      <c r="BR153" s="4">
        <f>IF(AY153="","",IF(BP153&lt;AY153,BN153,BO153))</f>
        <v/>
      </c>
      <c r="BS153" s="4">
        <f>IF(AY153="","",(BQ153+BR153)/2)</f>
        <v/>
      </c>
      <c r="BT153" s="4">
        <f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4">
        <f>IF(AY153="","",IF(BT153&lt;AY153,BS153,BQ153))</f>
        <v/>
      </c>
      <c r="BV153" s="4">
        <f>IF(AY153="","",IF(BT153&lt;AY153,BR153,BS153))</f>
        <v/>
      </c>
      <c r="BW153" s="4">
        <f>IF(AY153="","",(BU153+BV153)/2)</f>
        <v/>
      </c>
      <c r="BX153" s="4">
        <f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4">
        <f>IF(AY153="","",IF(BX153&lt;AY153,BW153,BU153))</f>
        <v/>
      </c>
      <c r="BZ153" s="4">
        <f>IF(AY153="","",IF(BX153&lt;AY153,BV153,BW153))</f>
        <v/>
      </c>
      <c r="CA153" s="4">
        <f>IF(AY153="","",(BY153+BZ153)/2)</f>
        <v/>
      </c>
      <c r="CB153" s="4">
        <f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4">
        <f>IF(AY153="","",IF(CB153&lt;AY153,CA153,BY153))</f>
        <v/>
      </c>
      <c r="CD153" s="4">
        <f>IF(AY153="","",IF(CB153&lt;AY153,BZ153,CA153))</f>
        <v/>
      </c>
      <c r="CE153" s="4">
        <f>IF(AY153="","",(CC153+CD153)/2)</f>
        <v/>
      </c>
    </row>
    <row r="154">
      <c r="A154" s="4" t="n"/>
      <c r="B154" s="4" t="n"/>
      <c r="C154" s="8" t="n"/>
      <c r="D154" s="8" t="n"/>
      <c r="E154" s="8">
        <f>SUMIFS(CB_Tributaires!$G:$G,CB_Tributaires!$F:$F,$A154)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IF(A154="","",IF(F154="","",2.78E-7*IF(G154&lt;&gt;"",G154,IFERROR(SUMIFS(CB_Tributaires!$H:$H,CB_Tributaires!$F:$F,$A154)/SUMIFS(CB_Tributaires!$G:$G,CB_Tributaires!$F:$F,$A154),Inputs!$B$17))*F154*I154))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7">
        <f>IF(AY154="","",CE154)</f>
        <v/>
      </c>
      <c r="AX154" s="7">
        <f>IF(OR(AY154="",AW154="",R154="",R154&lt;=0,AW154&lt;=0),"",AY154/((R154^2/8)*(2*ACOS(1-2*AW154/R154)-SIN(2*ACOS(1-2*AW154/R154)))))</f>
        <v/>
      </c>
      <c r="AY154" s="4">
        <f>IF(OR(L154="",AZ154=""),"",MIN(L154,AZ154))</f>
        <v/>
      </c>
      <c r="AZ154" s="4">
        <f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4">
        <f>IF(AY154="","",0.001*R154)</f>
        <v/>
      </c>
      <c r="BB154" s="4">
        <f>IF(AY154="","",0.94*R154)</f>
        <v/>
      </c>
      <c r="BC154" s="4">
        <f>IF(AY154="","",(BA154+BB154)/2)</f>
        <v/>
      </c>
      <c r="BD154" s="4">
        <f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4">
        <f>IF(AY154="","",IF(BD154&lt;AY154,BC154,BA154))</f>
        <v/>
      </c>
      <c r="BF154" s="4">
        <f>IF(AY154="","",IF(BD154&lt;AY154,BB154,BC154))</f>
        <v/>
      </c>
      <c r="BG154" s="4">
        <f>IF(AY154="","",(BE154+BF154)/2)</f>
        <v/>
      </c>
      <c r="BH154" s="4">
        <f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4">
        <f>IF(AY154="","",IF(BH154&lt;AY154,BG154,BE154))</f>
        <v/>
      </c>
      <c r="BJ154" s="4">
        <f>IF(AY154="","",IF(BH154&lt;AY154,BF154,BG154))</f>
        <v/>
      </c>
      <c r="BK154" s="4">
        <f>IF(AY154="","",(BI154+BJ154)/2)</f>
        <v/>
      </c>
      <c r="BL154" s="4">
        <f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4">
        <f>IF(AY154="","",IF(BL154&lt;AY154,BK154,BI154))</f>
        <v/>
      </c>
      <c r="BN154" s="4">
        <f>IF(AY154="","",IF(BL154&lt;AY154,BJ154,BK154))</f>
        <v/>
      </c>
      <c r="BO154" s="4">
        <f>IF(AY154="","",(BM154+BN154)/2)</f>
        <v/>
      </c>
      <c r="BP154" s="4">
        <f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4">
        <f>IF(AY154="","",IF(BP154&lt;AY154,BO154,BM154))</f>
        <v/>
      </c>
      <c r="BR154" s="4">
        <f>IF(AY154="","",IF(BP154&lt;AY154,BN154,BO154))</f>
        <v/>
      </c>
      <c r="BS154" s="4">
        <f>IF(AY154="","",(BQ154+BR154)/2)</f>
        <v/>
      </c>
      <c r="BT154" s="4">
        <f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4">
        <f>IF(AY154="","",IF(BT154&lt;AY154,BS154,BQ154))</f>
        <v/>
      </c>
      <c r="BV154" s="4">
        <f>IF(AY154="","",IF(BT154&lt;AY154,BR154,BS154))</f>
        <v/>
      </c>
      <c r="BW154" s="4">
        <f>IF(AY154="","",(BU154+BV154)/2)</f>
        <v/>
      </c>
      <c r="BX154" s="4">
        <f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4">
        <f>IF(AY154="","",IF(BX154&lt;AY154,BW154,BU154))</f>
        <v/>
      </c>
      <c r="BZ154" s="4">
        <f>IF(AY154="","",IF(BX154&lt;AY154,BV154,BW154))</f>
        <v/>
      </c>
      <c r="CA154" s="4">
        <f>IF(AY154="","",(BY154+BZ154)/2)</f>
        <v/>
      </c>
      <c r="CB154" s="4">
        <f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4">
        <f>IF(AY154="","",IF(CB154&lt;AY154,CA154,BY154))</f>
        <v/>
      </c>
      <c r="CD154" s="4">
        <f>IF(AY154="","",IF(CB154&lt;AY154,BZ154,CA154))</f>
        <v/>
      </c>
      <c r="CE154" s="4">
        <f>IF(AY154="","",(CC154+CD154)/2)</f>
        <v/>
      </c>
    </row>
    <row r="155">
      <c r="A155" s="4" t="n"/>
      <c r="B155" s="4" t="n"/>
      <c r="C155" s="8" t="n"/>
      <c r="D155" s="8" t="n"/>
      <c r="E155" s="8">
        <f>SUMIFS(CB_Tributaires!$G:$G,CB_Tributaires!$F:$F,$A155)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IF(A155="","",IF(F155="","",2.78E-7*IF(G155&lt;&gt;"",G155,IFERROR(SUMIFS(CB_Tributaires!$H:$H,CB_Tributaires!$F:$F,$A155)/SUMIFS(CB_Tributaires!$G:$G,CB_Tributaires!$F:$F,$A155),Inputs!$B$17))*F155*I155))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7">
        <f>IF(AY155="","",CE155)</f>
        <v/>
      </c>
      <c r="AX155" s="7">
        <f>IF(OR(AY155="",AW155="",R155="",R155&lt;=0,AW155&lt;=0),"",AY155/((R155^2/8)*(2*ACOS(1-2*AW155/R155)-SIN(2*ACOS(1-2*AW155/R155)))))</f>
        <v/>
      </c>
      <c r="AY155" s="4">
        <f>IF(OR(L155="",AZ155=""),"",MIN(L155,AZ155))</f>
        <v/>
      </c>
      <c r="AZ155" s="4">
        <f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4">
        <f>IF(AY155="","",0.001*R155)</f>
        <v/>
      </c>
      <c r="BB155" s="4">
        <f>IF(AY155="","",0.94*R155)</f>
        <v/>
      </c>
      <c r="BC155" s="4">
        <f>IF(AY155="","",(BA155+BB155)/2)</f>
        <v/>
      </c>
      <c r="BD155" s="4">
        <f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4">
        <f>IF(AY155="","",IF(BD155&lt;AY155,BC155,BA155))</f>
        <v/>
      </c>
      <c r="BF155" s="4">
        <f>IF(AY155="","",IF(BD155&lt;AY155,BB155,BC155))</f>
        <v/>
      </c>
      <c r="BG155" s="4">
        <f>IF(AY155="","",(BE155+BF155)/2)</f>
        <v/>
      </c>
      <c r="BH155" s="4">
        <f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4">
        <f>IF(AY155="","",IF(BH155&lt;AY155,BG155,BE155))</f>
        <v/>
      </c>
      <c r="BJ155" s="4">
        <f>IF(AY155="","",IF(BH155&lt;AY155,BF155,BG155))</f>
        <v/>
      </c>
      <c r="BK155" s="4">
        <f>IF(AY155="","",(BI155+BJ155)/2)</f>
        <v/>
      </c>
      <c r="BL155" s="4">
        <f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4">
        <f>IF(AY155="","",IF(BL155&lt;AY155,BK155,BI155))</f>
        <v/>
      </c>
      <c r="BN155" s="4">
        <f>IF(AY155="","",IF(BL155&lt;AY155,BJ155,BK155))</f>
        <v/>
      </c>
      <c r="BO155" s="4">
        <f>IF(AY155="","",(BM155+BN155)/2)</f>
        <v/>
      </c>
      <c r="BP155" s="4">
        <f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4">
        <f>IF(AY155="","",IF(BP155&lt;AY155,BO155,BM155))</f>
        <v/>
      </c>
      <c r="BR155" s="4">
        <f>IF(AY155="","",IF(BP155&lt;AY155,BN155,BO155))</f>
        <v/>
      </c>
      <c r="BS155" s="4">
        <f>IF(AY155="","",(BQ155+BR155)/2)</f>
        <v/>
      </c>
      <c r="BT155" s="4">
        <f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4">
        <f>IF(AY155="","",IF(BT155&lt;AY155,BS155,BQ155))</f>
        <v/>
      </c>
      <c r="BV155" s="4">
        <f>IF(AY155="","",IF(BT155&lt;AY155,BR155,BS155))</f>
        <v/>
      </c>
      <c r="BW155" s="4">
        <f>IF(AY155="","",(BU155+BV155)/2)</f>
        <v/>
      </c>
      <c r="BX155" s="4">
        <f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4">
        <f>IF(AY155="","",IF(BX155&lt;AY155,BW155,BU155))</f>
        <v/>
      </c>
      <c r="BZ155" s="4">
        <f>IF(AY155="","",IF(BX155&lt;AY155,BV155,BW155))</f>
        <v/>
      </c>
      <c r="CA155" s="4">
        <f>IF(AY155="","",(BY155+BZ155)/2)</f>
        <v/>
      </c>
      <c r="CB155" s="4">
        <f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4">
        <f>IF(AY155="","",IF(CB155&lt;AY155,CA155,BY155))</f>
        <v/>
      </c>
      <c r="CD155" s="4">
        <f>IF(AY155="","",IF(CB155&lt;AY155,BZ155,CA155))</f>
        <v/>
      </c>
      <c r="CE155" s="4">
        <f>IF(AY155="","",(CC155+CD155)/2)</f>
        <v/>
      </c>
    </row>
    <row r="156">
      <c r="A156" s="4" t="n"/>
      <c r="B156" s="4" t="n"/>
      <c r="C156" s="8" t="n"/>
      <c r="D156" s="8" t="n"/>
      <c r="E156" s="8">
        <f>SUMIFS(CB_Tributaires!$G:$G,CB_Tributaires!$F:$F,$A156)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IF(A156="","",IF(F156="","",2.78E-7*IF(G156&lt;&gt;"",G156,IFERROR(SUMIFS(CB_Tributaires!$H:$H,CB_Tributaires!$F:$F,$A156)/SUMIFS(CB_Tributaires!$G:$G,CB_Tributaires!$F:$F,$A156),Inputs!$B$17))*F156*I156))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7">
        <f>IF(AY156="","",CE156)</f>
        <v/>
      </c>
      <c r="AX156" s="7">
        <f>IF(OR(AY156="",AW156="",R156="",R156&lt;=0,AW156&lt;=0),"",AY156/((R156^2/8)*(2*ACOS(1-2*AW156/R156)-SIN(2*ACOS(1-2*AW156/R156)))))</f>
        <v/>
      </c>
      <c r="AY156" s="4">
        <f>IF(OR(L156="",AZ156=""),"",MIN(L156,AZ156))</f>
        <v/>
      </c>
      <c r="AZ156" s="4">
        <f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4">
        <f>IF(AY156="","",0.001*R156)</f>
        <v/>
      </c>
      <c r="BB156" s="4">
        <f>IF(AY156="","",0.94*R156)</f>
        <v/>
      </c>
      <c r="BC156" s="4">
        <f>IF(AY156="","",(BA156+BB156)/2)</f>
        <v/>
      </c>
      <c r="BD156" s="4">
        <f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4">
        <f>IF(AY156="","",IF(BD156&lt;AY156,BC156,BA156))</f>
        <v/>
      </c>
      <c r="BF156" s="4">
        <f>IF(AY156="","",IF(BD156&lt;AY156,BB156,BC156))</f>
        <v/>
      </c>
      <c r="BG156" s="4">
        <f>IF(AY156="","",(BE156+BF156)/2)</f>
        <v/>
      </c>
      <c r="BH156" s="4">
        <f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4">
        <f>IF(AY156="","",IF(BH156&lt;AY156,BG156,BE156))</f>
        <v/>
      </c>
      <c r="BJ156" s="4">
        <f>IF(AY156="","",IF(BH156&lt;AY156,BF156,BG156))</f>
        <v/>
      </c>
      <c r="BK156" s="4">
        <f>IF(AY156="","",(BI156+BJ156)/2)</f>
        <v/>
      </c>
      <c r="BL156" s="4">
        <f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4">
        <f>IF(AY156="","",IF(BL156&lt;AY156,BK156,BI156))</f>
        <v/>
      </c>
      <c r="BN156" s="4">
        <f>IF(AY156="","",IF(BL156&lt;AY156,BJ156,BK156))</f>
        <v/>
      </c>
      <c r="BO156" s="4">
        <f>IF(AY156="","",(BM156+BN156)/2)</f>
        <v/>
      </c>
      <c r="BP156" s="4">
        <f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4">
        <f>IF(AY156="","",IF(BP156&lt;AY156,BO156,BM156))</f>
        <v/>
      </c>
      <c r="BR156" s="4">
        <f>IF(AY156="","",IF(BP156&lt;AY156,BN156,BO156))</f>
        <v/>
      </c>
      <c r="BS156" s="4">
        <f>IF(AY156="","",(BQ156+BR156)/2)</f>
        <v/>
      </c>
      <c r="BT156" s="4">
        <f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4">
        <f>IF(AY156="","",IF(BT156&lt;AY156,BS156,BQ156))</f>
        <v/>
      </c>
      <c r="BV156" s="4">
        <f>IF(AY156="","",IF(BT156&lt;AY156,BR156,BS156))</f>
        <v/>
      </c>
      <c r="BW156" s="4">
        <f>IF(AY156="","",(BU156+BV156)/2)</f>
        <v/>
      </c>
      <c r="BX156" s="4">
        <f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4">
        <f>IF(AY156="","",IF(BX156&lt;AY156,BW156,BU156))</f>
        <v/>
      </c>
      <c r="BZ156" s="4">
        <f>IF(AY156="","",IF(BX156&lt;AY156,BV156,BW156))</f>
        <v/>
      </c>
      <c r="CA156" s="4">
        <f>IF(AY156="","",(BY156+BZ156)/2)</f>
        <v/>
      </c>
      <c r="CB156" s="4">
        <f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4">
        <f>IF(AY156="","",IF(CB156&lt;AY156,CA156,BY156))</f>
        <v/>
      </c>
      <c r="CD156" s="4">
        <f>IF(AY156="","",IF(CB156&lt;AY156,BZ156,CA156))</f>
        <v/>
      </c>
      <c r="CE156" s="4">
        <f>IF(AY156="","",(CC156+CD156)/2)</f>
        <v/>
      </c>
    </row>
    <row r="157">
      <c r="A157" s="4" t="n"/>
      <c r="B157" s="4" t="n"/>
      <c r="C157" s="8" t="n"/>
      <c r="D157" s="8" t="n"/>
      <c r="E157" s="8">
        <f>SUMIFS(CB_Tributaires!$G:$G,CB_Tributaires!$F:$F,$A157)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IF(A157="","",IF(F157="","",2.78E-7*IF(G157&lt;&gt;"",G157,IFERROR(SUMIFS(CB_Tributaires!$H:$H,CB_Tributaires!$F:$F,$A157)/SUMIFS(CB_Tributaires!$G:$G,CB_Tributaires!$F:$F,$A157),Inputs!$B$17))*F157*I157))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7">
        <f>IF(AY157="","",CE157)</f>
        <v/>
      </c>
      <c r="AX157" s="7">
        <f>IF(OR(AY157="",AW157="",R157="",R157&lt;=0,AW157&lt;=0),"",AY157/((R157^2/8)*(2*ACOS(1-2*AW157/R157)-SIN(2*ACOS(1-2*AW157/R157)))))</f>
        <v/>
      </c>
      <c r="AY157" s="4">
        <f>IF(OR(L157="",AZ157=""),"",MIN(L157,AZ157))</f>
        <v/>
      </c>
      <c r="AZ157" s="4">
        <f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4">
        <f>IF(AY157="","",0.001*R157)</f>
        <v/>
      </c>
      <c r="BB157" s="4">
        <f>IF(AY157="","",0.94*R157)</f>
        <v/>
      </c>
      <c r="BC157" s="4">
        <f>IF(AY157="","",(BA157+BB157)/2)</f>
        <v/>
      </c>
      <c r="BD157" s="4">
        <f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4">
        <f>IF(AY157="","",IF(BD157&lt;AY157,BC157,BA157))</f>
        <v/>
      </c>
      <c r="BF157" s="4">
        <f>IF(AY157="","",IF(BD157&lt;AY157,BB157,BC157))</f>
        <v/>
      </c>
      <c r="BG157" s="4">
        <f>IF(AY157="","",(BE157+BF157)/2)</f>
        <v/>
      </c>
      <c r="BH157" s="4">
        <f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4">
        <f>IF(AY157="","",IF(BH157&lt;AY157,BG157,BE157))</f>
        <v/>
      </c>
      <c r="BJ157" s="4">
        <f>IF(AY157="","",IF(BH157&lt;AY157,BF157,BG157))</f>
        <v/>
      </c>
      <c r="BK157" s="4">
        <f>IF(AY157="","",(BI157+BJ157)/2)</f>
        <v/>
      </c>
      <c r="BL157" s="4">
        <f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4">
        <f>IF(AY157="","",IF(BL157&lt;AY157,BK157,BI157))</f>
        <v/>
      </c>
      <c r="BN157" s="4">
        <f>IF(AY157="","",IF(BL157&lt;AY157,BJ157,BK157))</f>
        <v/>
      </c>
      <c r="BO157" s="4">
        <f>IF(AY157="","",(BM157+BN157)/2)</f>
        <v/>
      </c>
      <c r="BP157" s="4">
        <f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4">
        <f>IF(AY157="","",IF(BP157&lt;AY157,BO157,BM157))</f>
        <v/>
      </c>
      <c r="BR157" s="4">
        <f>IF(AY157="","",IF(BP157&lt;AY157,BN157,BO157))</f>
        <v/>
      </c>
      <c r="BS157" s="4">
        <f>IF(AY157="","",(BQ157+BR157)/2)</f>
        <v/>
      </c>
      <c r="BT157" s="4">
        <f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4">
        <f>IF(AY157="","",IF(BT157&lt;AY157,BS157,BQ157))</f>
        <v/>
      </c>
      <c r="BV157" s="4">
        <f>IF(AY157="","",IF(BT157&lt;AY157,BR157,BS157))</f>
        <v/>
      </c>
      <c r="BW157" s="4">
        <f>IF(AY157="","",(BU157+BV157)/2)</f>
        <v/>
      </c>
      <c r="BX157" s="4">
        <f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4">
        <f>IF(AY157="","",IF(BX157&lt;AY157,BW157,BU157))</f>
        <v/>
      </c>
      <c r="BZ157" s="4">
        <f>IF(AY157="","",IF(BX157&lt;AY157,BV157,BW157))</f>
        <v/>
      </c>
      <c r="CA157" s="4">
        <f>IF(AY157="","",(BY157+BZ157)/2)</f>
        <v/>
      </c>
      <c r="CB157" s="4">
        <f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4">
        <f>IF(AY157="","",IF(CB157&lt;AY157,CA157,BY157))</f>
        <v/>
      </c>
      <c r="CD157" s="4">
        <f>IF(AY157="","",IF(CB157&lt;AY157,BZ157,CA157))</f>
        <v/>
      </c>
      <c r="CE157" s="4">
        <f>IF(AY157="","",(CC157+CD157)/2)</f>
        <v/>
      </c>
    </row>
    <row r="158">
      <c r="A158" s="4" t="n"/>
      <c r="B158" s="4" t="n"/>
      <c r="C158" s="8" t="n"/>
      <c r="D158" s="8" t="n"/>
      <c r="E158" s="8">
        <f>SUMIFS(CB_Tributaires!$G:$G,CB_Tributaires!$F:$F,$A158)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IF(A158="","",IF(F158="","",2.78E-7*IF(G158&lt;&gt;"",G158,IFERROR(SUMIFS(CB_Tributaires!$H:$H,CB_Tributaires!$F:$F,$A158)/SUMIFS(CB_Tributaires!$G:$G,CB_Tributaires!$F:$F,$A158),Inputs!$B$17))*F158*I158))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7">
        <f>IF(AY158="","",CE158)</f>
        <v/>
      </c>
      <c r="AX158" s="7">
        <f>IF(OR(AY158="",AW158="",R158="",R158&lt;=0,AW158&lt;=0),"",AY158/((R158^2/8)*(2*ACOS(1-2*AW158/R158)-SIN(2*ACOS(1-2*AW158/R158)))))</f>
        <v/>
      </c>
      <c r="AY158" s="4">
        <f>IF(OR(L158="",AZ158=""),"",MIN(L158,AZ158))</f>
        <v/>
      </c>
      <c r="AZ158" s="4">
        <f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4">
        <f>IF(AY158="","",0.001*R158)</f>
        <v/>
      </c>
      <c r="BB158" s="4">
        <f>IF(AY158="","",0.94*R158)</f>
        <v/>
      </c>
      <c r="BC158" s="4">
        <f>IF(AY158="","",(BA158+BB158)/2)</f>
        <v/>
      </c>
      <c r="BD158" s="4">
        <f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4">
        <f>IF(AY158="","",IF(BD158&lt;AY158,BC158,BA158))</f>
        <v/>
      </c>
      <c r="BF158" s="4">
        <f>IF(AY158="","",IF(BD158&lt;AY158,BB158,BC158))</f>
        <v/>
      </c>
      <c r="BG158" s="4">
        <f>IF(AY158="","",(BE158+BF158)/2)</f>
        <v/>
      </c>
      <c r="BH158" s="4">
        <f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4">
        <f>IF(AY158="","",IF(BH158&lt;AY158,BG158,BE158))</f>
        <v/>
      </c>
      <c r="BJ158" s="4">
        <f>IF(AY158="","",IF(BH158&lt;AY158,BF158,BG158))</f>
        <v/>
      </c>
      <c r="BK158" s="4">
        <f>IF(AY158="","",(BI158+BJ158)/2)</f>
        <v/>
      </c>
      <c r="BL158" s="4">
        <f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4">
        <f>IF(AY158="","",IF(BL158&lt;AY158,BK158,BI158))</f>
        <v/>
      </c>
      <c r="BN158" s="4">
        <f>IF(AY158="","",IF(BL158&lt;AY158,BJ158,BK158))</f>
        <v/>
      </c>
      <c r="BO158" s="4">
        <f>IF(AY158="","",(BM158+BN158)/2)</f>
        <v/>
      </c>
      <c r="BP158" s="4">
        <f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4">
        <f>IF(AY158="","",IF(BP158&lt;AY158,BO158,BM158))</f>
        <v/>
      </c>
      <c r="BR158" s="4">
        <f>IF(AY158="","",IF(BP158&lt;AY158,BN158,BO158))</f>
        <v/>
      </c>
      <c r="BS158" s="4">
        <f>IF(AY158="","",(BQ158+BR158)/2)</f>
        <v/>
      </c>
      <c r="BT158" s="4">
        <f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4">
        <f>IF(AY158="","",IF(BT158&lt;AY158,BS158,BQ158))</f>
        <v/>
      </c>
      <c r="BV158" s="4">
        <f>IF(AY158="","",IF(BT158&lt;AY158,BR158,BS158))</f>
        <v/>
      </c>
      <c r="BW158" s="4">
        <f>IF(AY158="","",(BU158+BV158)/2)</f>
        <v/>
      </c>
      <c r="BX158" s="4">
        <f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4">
        <f>IF(AY158="","",IF(BX158&lt;AY158,BW158,BU158))</f>
        <v/>
      </c>
      <c r="BZ158" s="4">
        <f>IF(AY158="","",IF(BX158&lt;AY158,BV158,BW158))</f>
        <v/>
      </c>
      <c r="CA158" s="4">
        <f>IF(AY158="","",(BY158+BZ158)/2)</f>
        <v/>
      </c>
      <c r="CB158" s="4">
        <f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4">
        <f>IF(AY158="","",IF(CB158&lt;AY158,CA158,BY158))</f>
        <v/>
      </c>
      <c r="CD158" s="4">
        <f>IF(AY158="","",IF(CB158&lt;AY158,BZ158,CA158))</f>
        <v/>
      </c>
      <c r="CE158" s="4">
        <f>IF(AY158="","",(CC158+CD158)/2)</f>
        <v/>
      </c>
    </row>
    <row r="159">
      <c r="A159" s="4" t="n"/>
      <c r="B159" s="4" t="n"/>
      <c r="C159" s="8" t="n"/>
      <c r="D159" s="8" t="n"/>
      <c r="E159" s="8">
        <f>SUMIFS(CB_Tributaires!$G:$G,CB_Tributaires!$F:$F,$A159)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IF(A159="","",IF(F159="","",2.78E-7*IF(G159&lt;&gt;"",G159,IFERROR(SUMIFS(CB_Tributaires!$H:$H,CB_Tributaires!$F:$F,$A159)/SUMIFS(CB_Tributaires!$G:$G,CB_Tributaires!$F:$F,$A159),Inputs!$B$17))*F159*I159))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7">
        <f>IF(AY159="","",CE159)</f>
        <v/>
      </c>
      <c r="AX159" s="7">
        <f>IF(OR(AY159="",AW159="",R159="",R159&lt;=0,AW159&lt;=0),"",AY159/((R159^2/8)*(2*ACOS(1-2*AW159/R159)-SIN(2*ACOS(1-2*AW159/R159)))))</f>
        <v/>
      </c>
      <c r="AY159" s="4">
        <f>IF(OR(L159="",AZ159=""),"",MIN(L159,AZ159))</f>
        <v/>
      </c>
      <c r="AZ159" s="4">
        <f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4">
        <f>IF(AY159="","",0.001*R159)</f>
        <v/>
      </c>
      <c r="BB159" s="4">
        <f>IF(AY159="","",0.94*R159)</f>
        <v/>
      </c>
      <c r="BC159" s="4">
        <f>IF(AY159="","",(BA159+BB159)/2)</f>
        <v/>
      </c>
      <c r="BD159" s="4">
        <f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4">
        <f>IF(AY159="","",IF(BD159&lt;AY159,BC159,BA159))</f>
        <v/>
      </c>
      <c r="BF159" s="4">
        <f>IF(AY159="","",IF(BD159&lt;AY159,BB159,BC159))</f>
        <v/>
      </c>
      <c r="BG159" s="4">
        <f>IF(AY159="","",(BE159+BF159)/2)</f>
        <v/>
      </c>
      <c r="BH159" s="4">
        <f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4">
        <f>IF(AY159="","",IF(BH159&lt;AY159,BG159,BE159))</f>
        <v/>
      </c>
      <c r="BJ159" s="4">
        <f>IF(AY159="","",IF(BH159&lt;AY159,BF159,BG159))</f>
        <v/>
      </c>
      <c r="BK159" s="4">
        <f>IF(AY159="","",(BI159+BJ159)/2)</f>
        <v/>
      </c>
      <c r="BL159" s="4">
        <f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4">
        <f>IF(AY159="","",IF(BL159&lt;AY159,BK159,BI159))</f>
        <v/>
      </c>
      <c r="BN159" s="4">
        <f>IF(AY159="","",IF(BL159&lt;AY159,BJ159,BK159))</f>
        <v/>
      </c>
      <c r="BO159" s="4">
        <f>IF(AY159="","",(BM159+BN159)/2)</f>
        <v/>
      </c>
      <c r="BP159" s="4">
        <f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4">
        <f>IF(AY159="","",IF(BP159&lt;AY159,BO159,BM159))</f>
        <v/>
      </c>
      <c r="BR159" s="4">
        <f>IF(AY159="","",IF(BP159&lt;AY159,BN159,BO159))</f>
        <v/>
      </c>
      <c r="BS159" s="4">
        <f>IF(AY159="","",(BQ159+BR159)/2)</f>
        <v/>
      </c>
      <c r="BT159" s="4">
        <f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4">
        <f>IF(AY159="","",IF(BT159&lt;AY159,BS159,BQ159))</f>
        <v/>
      </c>
      <c r="BV159" s="4">
        <f>IF(AY159="","",IF(BT159&lt;AY159,BR159,BS159))</f>
        <v/>
      </c>
      <c r="BW159" s="4">
        <f>IF(AY159="","",(BU159+BV159)/2)</f>
        <v/>
      </c>
      <c r="BX159" s="4">
        <f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4">
        <f>IF(AY159="","",IF(BX159&lt;AY159,BW159,BU159))</f>
        <v/>
      </c>
      <c r="BZ159" s="4">
        <f>IF(AY159="","",IF(BX159&lt;AY159,BV159,BW159))</f>
        <v/>
      </c>
      <c r="CA159" s="4">
        <f>IF(AY159="","",(BY159+BZ159)/2)</f>
        <v/>
      </c>
      <c r="CB159" s="4">
        <f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4">
        <f>IF(AY159="","",IF(CB159&lt;AY159,CA159,BY159))</f>
        <v/>
      </c>
      <c r="CD159" s="4">
        <f>IF(AY159="","",IF(CB159&lt;AY159,BZ159,CA159))</f>
        <v/>
      </c>
      <c r="CE159" s="4">
        <f>IF(AY159="","",(CC159+CD159)/2)</f>
        <v/>
      </c>
    </row>
    <row r="160">
      <c r="A160" s="4" t="n"/>
      <c r="B160" s="4" t="n"/>
      <c r="C160" s="8" t="n"/>
      <c r="D160" s="8" t="n"/>
      <c r="E160" s="8">
        <f>SUMIFS(CB_Tributaires!$G:$G,CB_Tributaires!$F:$F,$A160)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IF(A160="","",IF(F160="","",2.78E-7*IF(G160&lt;&gt;"",G160,IFERROR(SUMIFS(CB_Tributaires!$H:$H,CB_Tributaires!$F:$F,$A160)/SUMIFS(CB_Tributaires!$G:$G,CB_Tributaires!$F:$F,$A160),Inputs!$B$17))*F160*I160))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7">
        <f>IF(AY160="","",CE160)</f>
        <v/>
      </c>
      <c r="AX160" s="7">
        <f>IF(OR(AY160="",AW160="",R160="",R160&lt;=0,AW160&lt;=0),"",AY160/((R160^2/8)*(2*ACOS(1-2*AW160/R160)-SIN(2*ACOS(1-2*AW160/R160)))))</f>
        <v/>
      </c>
      <c r="AY160" s="4">
        <f>IF(OR(L160="",AZ160=""),"",MIN(L160,AZ160))</f>
        <v/>
      </c>
      <c r="AZ160" s="4">
        <f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4">
        <f>IF(AY160="","",0.001*R160)</f>
        <v/>
      </c>
      <c r="BB160" s="4">
        <f>IF(AY160="","",0.94*R160)</f>
        <v/>
      </c>
      <c r="BC160" s="4">
        <f>IF(AY160="","",(BA160+BB160)/2)</f>
        <v/>
      </c>
      <c r="BD160" s="4">
        <f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4">
        <f>IF(AY160="","",IF(BD160&lt;AY160,BC160,BA160))</f>
        <v/>
      </c>
      <c r="BF160" s="4">
        <f>IF(AY160="","",IF(BD160&lt;AY160,BB160,BC160))</f>
        <v/>
      </c>
      <c r="BG160" s="4">
        <f>IF(AY160="","",(BE160+BF160)/2)</f>
        <v/>
      </c>
      <c r="BH160" s="4">
        <f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4">
        <f>IF(AY160="","",IF(BH160&lt;AY160,BG160,BE160))</f>
        <v/>
      </c>
      <c r="BJ160" s="4">
        <f>IF(AY160="","",IF(BH160&lt;AY160,BF160,BG160))</f>
        <v/>
      </c>
      <c r="BK160" s="4">
        <f>IF(AY160="","",(BI160+BJ160)/2)</f>
        <v/>
      </c>
      <c r="BL160" s="4">
        <f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4">
        <f>IF(AY160="","",IF(BL160&lt;AY160,BK160,BI160))</f>
        <v/>
      </c>
      <c r="BN160" s="4">
        <f>IF(AY160="","",IF(BL160&lt;AY160,BJ160,BK160))</f>
        <v/>
      </c>
      <c r="BO160" s="4">
        <f>IF(AY160="","",(BM160+BN160)/2)</f>
        <v/>
      </c>
      <c r="BP160" s="4">
        <f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4">
        <f>IF(AY160="","",IF(BP160&lt;AY160,BO160,BM160))</f>
        <v/>
      </c>
      <c r="BR160" s="4">
        <f>IF(AY160="","",IF(BP160&lt;AY160,BN160,BO160))</f>
        <v/>
      </c>
      <c r="BS160" s="4">
        <f>IF(AY160="","",(BQ160+BR160)/2)</f>
        <v/>
      </c>
      <c r="BT160" s="4">
        <f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4">
        <f>IF(AY160="","",IF(BT160&lt;AY160,BS160,BQ160))</f>
        <v/>
      </c>
      <c r="BV160" s="4">
        <f>IF(AY160="","",IF(BT160&lt;AY160,BR160,BS160))</f>
        <v/>
      </c>
      <c r="BW160" s="4">
        <f>IF(AY160="","",(BU160+BV160)/2)</f>
        <v/>
      </c>
      <c r="BX160" s="4">
        <f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4">
        <f>IF(AY160="","",IF(BX160&lt;AY160,BW160,BU160))</f>
        <v/>
      </c>
      <c r="BZ160" s="4">
        <f>IF(AY160="","",IF(BX160&lt;AY160,BV160,BW160))</f>
        <v/>
      </c>
      <c r="CA160" s="4">
        <f>IF(AY160="","",(BY160+BZ160)/2)</f>
        <v/>
      </c>
      <c r="CB160" s="4">
        <f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4">
        <f>IF(AY160="","",IF(CB160&lt;AY160,CA160,BY160))</f>
        <v/>
      </c>
      <c r="CD160" s="4">
        <f>IF(AY160="","",IF(CB160&lt;AY160,BZ160,CA160))</f>
        <v/>
      </c>
      <c r="CE160" s="4">
        <f>IF(AY160="","",(CC160+CD160)/2)</f>
        <v/>
      </c>
    </row>
    <row r="161">
      <c r="A161" s="4" t="n"/>
      <c r="B161" s="4" t="n"/>
      <c r="C161" s="8" t="n"/>
      <c r="D161" s="8" t="n"/>
      <c r="E161" s="8">
        <f>SUMIFS(CB_Tributaires!$G:$G,CB_Tributaires!$F:$F,$A161)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IF(A161="","",IF(F161="","",2.78E-7*IF(G161&lt;&gt;"",G161,IFERROR(SUMIFS(CB_Tributaires!$H:$H,CB_Tributaires!$F:$F,$A161)/SUMIFS(CB_Tributaires!$G:$G,CB_Tributaires!$F:$F,$A161),Inputs!$B$17))*F161*I161))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7">
        <f>IF(AY161="","",CE161)</f>
        <v/>
      </c>
      <c r="AX161" s="7">
        <f>IF(OR(AY161="",AW161="",R161="",R161&lt;=0,AW161&lt;=0),"",AY161/((R161^2/8)*(2*ACOS(1-2*AW161/R161)-SIN(2*ACOS(1-2*AW161/R161)))))</f>
        <v/>
      </c>
      <c r="AY161" s="4">
        <f>IF(OR(L161="",AZ161=""),"",MIN(L161,AZ161))</f>
        <v/>
      </c>
      <c r="AZ161" s="4">
        <f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4">
        <f>IF(AY161="","",0.001*R161)</f>
        <v/>
      </c>
      <c r="BB161" s="4">
        <f>IF(AY161="","",0.94*R161)</f>
        <v/>
      </c>
      <c r="BC161" s="4">
        <f>IF(AY161="","",(BA161+BB161)/2)</f>
        <v/>
      </c>
      <c r="BD161" s="4">
        <f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4">
        <f>IF(AY161="","",IF(BD161&lt;AY161,BC161,BA161))</f>
        <v/>
      </c>
      <c r="BF161" s="4">
        <f>IF(AY161="","",IF(BD161&lt;AY161,BB161,BC161))</f>
        <v/>
      </c>
      <c r="BG161" s="4">
        <f>IF(AY161="","",(BE161+BF161)/2)</f>
        <v/>
      </c>
      <c r="BH161" s="4">
        <f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4">
        <f>IF(AY161="","",IF(BH161&lt;AY161,BG161,BE161))</f>
        <v/>
      </c>
      <c r="BJ161" s="4">
        <f>IF(AY161="","",IF(BH161&lt;AY161,BF161,BG161))</f>
        <v/>
      </c>
      <c r="BK161" s="4">
        <f>IF(AY161="","",(BI161+BJ161)/2)</f>
        <v/>
      </c>
      <c r="BL161" s="4">
        <f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4">
        <f>IF(AY161="","",IF(BL161&lt;AY161,BK161,BI161))</f>
        <v/>
      </c>
      <c r="BN161" s="4">
        <f>IF(AY161="","",IF(BL161&lt;AY161,BJ161,BK161))</f>
        <v/>
      </c>
      <c r="BO161" s="4">
        <f>IF(AY161="","",(BM161+BN161)/2)</f>
        <v/>
      </c>
      <c r="BP161" s="4">
        <f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4">
        <f>IF(AY161="","",IF(BP161&lt;AY161,BO161,BM161))</f>
        <v/>
      </c>
      <c r="BR161" s="4">
        <f>IF(AY161="","",IF(BP161&lt;AY161,BN161,BO161))</f>
        <v/>
      </c>
      <c r="BS161" s="4">
        <f>IF(AY161="","",(BQ161+BR161)/2)</f>
        <v/>
      </c>
      <c r="BT161" s="4">
        <f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4">
        <f>IF(AY161="","",IF(BT161&lt;AY161,BS161,BQ161))</f>
        <v/>
      </c>
      <c r="BV161" s="4">
        <f>IF(AY161="","",IF(BT161&lt;AY161,BR161,BS161))</f>
        <v/>
      </c>
      <c r="BW161" s="4">
        <f>IF(AY161="","",(BU161+BV161)/2)</f>
        <v/>
      </c>
      <c r="BX161" s="4">
        <f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4">
        <f>IF(AY161="","",IF(BX161&lt;AY161,BW161,BU161))</f>
        <v/>
      </c>
      <c r="BZ161" s="4">
        <f>IF(AY161="","",IF(BX161&lt;AY161,BV161,BW161))</f>
        <v/>
      </c>
      <c r="CA161" s="4">
        <f>IF(AY161="","",(BY161+BZ161)/2)</f>
        <v/>
      </c>
      <c r="CB161" s="4">
        <f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4">
        <f>IF(AY161="","",IF(CB161&lt;AY161,CA161,BY161))</f>
        <v/>
      </c>
      <c r="CD161" s="4">
        <f>IF(AY161="","",IF(CB161&lt;AY161,BZ161,CA161))</f>
        <v/>
      </c>
      <c r="CE161" s="4">
        <f>IF(AY161="","",(CC161+CD161)/2)</f>
        <v/>
      </c>
    </row>
    <row r="162">
      <c r="A162" s="4" t="n"/>
      <c r="B162" s="4" t="n"/>
      <c r="C162" s="8" t="n"/>
      <c r="D162" s="8" t="n"/>
      <c r="E162" s="8">
        <f>SUMIFS(CB_Tributaires!$G:$G,CB_Tributaires!$F:$F,$A162)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IF(A162="","",IF(F162="","",2.78E-7*IF(G162&lt;&gt;"",G162,IFERROR(SUMIFS(CB_Tributaires!$H:$H,CB_Tributaires!$F:$F,$A162)/SUMIFS(CB_Tributaires!$G:$G,CB_Tributaires!$F:$F,$A162),Inputs!$B$17))*F162*I162))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7">
        <f>IF(AY162="","",CE162)</f>
        <v/>
      </c>
      <c r="AX162" s="7">
        <f>IF(OR(AY162="",AW162="",R162="",R162&lt;=0,AW162&lt;=0),"",AY162/((R162^2/8)*(2*ACOS(1-2*AW162/R162)-SIN(2*ACOS(1-2*AW162/R162)))))</f>
        <v/>
      </c>
      <c r="AY162" s="4">
        <f>IF(OR(L162="",AZ162=""),"",MIN(L162,AZ162))</f>
        <v/>
      </c>
      <c r="AZ162" s="4">
        <f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4">
        <f>IF(AY162="","",0.001*R162)</f>
        <v/>
      </c>
      <c r="BB162" s="4">
        <f>IF(AY162="","",0.94*R162)</f>
        <v/>
      </c>
      <c r="BC162" s="4">
        <f>IF(AY162="","",(BA162+BB162)/2)</f>
        <v/>
      </c>
      <c r="BD162" s="4">
        <f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4">
        <f>IF(AY162="","",IF(BD162&lt;AY162,BC162,BA162))</f>
        <v/>
      </c>
      <c r="BF162" s="4">
        <f>IF(AY162="","",IF(BD162&lt;AY162,BB162,BC162))</f>
        <v/>
      </c>
      <c r="BG162" s="4">
        <f>IF(AY162="","",(BE162+BF162)/2)</f>
        <v/>
      </c>
      <c r="BH162" s="4">
        <f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4">
        <f>IF(AY162="","",IF(BH162&lt;AY162,BG162,BE162))</f>
        <v/>
      </c>
      <c r="BJ162" s="4">
        <f>IF(AY162="","",IF(BH162&lt;AY162,BF162,BG162))</f>
        <v/>
      </c>
      <c r="BK162" s="4">
        <f>IF(AY162="","",(BI162+BJ162)/2)</f>
        <v/>
      </c>
      <c r="BL162" s="4">
        <f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4">
        <f>IF(AY162="","",IF(BL162&lt;AY162,BK162,BI162))</f>
        <v/>
      </c>
      <c r="BN162" s="4">
        <f>IF(AY162="","",IF(BL162&lt;AY162,BJ162,BK162))</f>
        <v/>
      </c>
      <c r="BO162" s="4">
        <f>IF(AY162="","",(BM162+BN162)/2)</f>
        <v/>
      </c>
      <c r="BP162" s="4">
        <f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4">
        <f>IF(AY162="","",IF(BP162&lt;AY162,BO162,BM162))</f>
        <v/>
      </c>
      <c r="BR162" s="4">
        <f>IF(AY162="","",IF(BP162&lt;AY162,BN162,BO162))</f>
        <v/>
      </c>
      <c r="BS162" s="4">
        <f>IF(AY162="","",(BQ162+BR162)/2)</f>
        <v/>
      </c>
      <c r="BT162" s="4">
        <f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4">
        <f>IF(AY162="","",IF(BT162&lt;AY162,BS162,BQ162))</f>
        <v/>
      </c>
      <c r="BV162" s="4">
        <f>IF(AY162="","",IF(BT162&lt;AY162,BR162,BS162))</f>
        <v/>
      </c>
      <c r="BW162" s="4">
        <f>IF(AY162="","",(BU162+BV162)/2)</f>
        <v/>
      </c>
      <c r="BX162" s="4">
        <f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4">
        <f>IF(AY162="","",IF(BX162&lt;AY162,BW162,BU162))</f>
        <v/>
      </c>
      <c r="BZ162" s="4">
        <f>IF(AY162="","",IF(BX162&lt;AY162,BV162,BW162))</f>
        <v/>
      </c>
      <c r="CA162" s="4">
        <f>IF(AY162="","",(BY162+BZ162)/2)</f>
        <v/>
      </c>
      <c r="CB162" s="4">
        <f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4">
        <f>IF(AY162="","",IF(CB162&lt;AY162,CA162,BY162))</f>
        <v/>
      </c>
      <c r="CD162" s="4">
        <f>IF(AY162="","",IF(CB162&lt;AY162,BZ162,CA162))</f>
        <v/>
      </c>
      <c r="CE162" s="4">
        <f>IF(AY162="","",(CC162+CD162)/2)</f>
        <v/>
      </c>
    </row>
    <row r="163">
      <c r="A163" s="4" t="n"/>
      <c r="B163" s="4" t="n"/>
      <c r="C163" s="8" t="n"/>
      <c r="D163" s="8" t="n"/>
      <c r="E163" s="8">
        <f>SUMIFS(CB_Tributaires!$G:$G,CB_Tributaires!$F:$F,$A163)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IF(A163="","",IF(F163="","",2.78E-7*IF(G163&lt;&gt;"",G163,IFERROR(SUMIFS(CB_Tributaires!$H:$H,CB_Tributaires!$F:$F,$A163)/SUMIFS(CB_Tributaires!$G:$G,CB_Tributaires!$F:$F,$A163),Inputs!$B$17))*F163*I163))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7">
        <f>IF(AY163="","",CE163)</f>
        <v/>
      </c>
      <c r="AX163" s="7">
        <f>IF(OR(AY163="",AW163="",R163="",R163&lt;=0,AW163&lt;=0),"",AY163/((R163^2/8)*(2*ACOS(1-2*AW163/R163)-SIN(2*ACOS(1-2*AW163/R163)))))</f>
        <v/>
      </c>
      <c r="AY163" s="4">
        <f>IF(OR(L163="",AZ163=""),"",MIN(L163,AZ163))</f>
        <v/>
      </c>
      <c r="AZ163" s="4">
        <f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4">
        <f>IF(AY163="","",0.001*R163)</f>
        <v/>
      </c>
      <c r="BB163" s="4">
        <f>IF(AY163="","",0.94*R163)</f>
        <v/>
      </c>
      <c r="BC163" s="4">
        <f>IF(AY163="","",(BA163+BB163)/2)</f>
        <v/>
      </c>
      <c r="BD163" s="4">
        <f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4">
        <f>IF(AY163="","",IF(BD163&lt;AY163,BC163,BA163))</f>
        <v/>
      </c>
      <c r="BF163" s="4">
        <f>IF(AY163="","",IF(BD163&lt;AY163,BB163,BC163))</f>
        <v/>
      </c>
      <c r="BG163" s="4">
        <f>IF(AY163="","",(BE163+BF163)/2)</f>
        <v/>
      </c>
      <c r="BH163" s="4">
        <f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4">
        <f>IF(AY163="","",IF(BH163&lt;AY163,BG163,BE163))</f>
        <v/>
      </c>
      <c r="BJ163" s="4">
        <f>IF(AY163="","",IF(BH163&lt;AY163,BF163,BG163))</f>
        <v/>
      </c>
      <c r="BK163" s="4">
        <f>IF(AY163="","",(BI163+BJ163)/2)</f>
        <v/>
      </c>
      <c r="BL163" s="4">
        <f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4">
        <f>IF(AY163="","",IF(BL163&lt;AY163,BK163,BI163))</f>
        <v/>
      </c>
      <c r="BN163" s="4">
        <f>IF(AY163="","",IF(BL163&lt;AY163,BJ163,BK163))</f>
        <v/>
      </c>
      <c r="BO163" s="4">
        <f>IF(AY163="","",(BM163+BN163)/2)</f>
        <v/>
      </c>
      <c r="BP163" s="4">
        <f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4">
        <f>IF(AY163="","",IF(BP163&lt;AY163,BO163,BM163))</f>
        <v/>
      </c>
      <c r="BR163" s="4">
        <f>IF(AY163="","",IF(BP163&lt;AY163,BN163,BO163))</f>
        <v/>
      </c>
      <c r="BS163" s="4">
        <f>IF(AY163="","",(BQ163+BR163)/2)</f>
        <v/>
      </c>
      <c r="BT163" s="4">
        <f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4">
        <f>IF(AY163="","",IF(BT163&lt;AY163,BS163,BQ163))</f>
        <v/>
      </c>
      <c r="BV163" s="4">
        <f>IF(AY163="","",IF(BT163&lt;AY163,BR163,BS163))</f>
        <v/>
      </c>
      <c r="BW163" s="4">
        <f>IF(AY163="","",(BU163+BV163)/2)</f>
        <v/>
      </c>
      <c r="BX163" s="4">
        <f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4">
        <f>IF(AY163="","",IF(BX163&lt;AY163,BW163,BU163))</f>
        <v/>
      </c>
      <c r="BZ163" s="4">
        <f>IF(AY163="","",IF(BX163&lt;AY163,BV163,BW163))</f>
        <v/>
      </c>
      <c r="CA163" s="4">
        <f>IF(AY163="","",(BY163+BZ163)/2)</f>
        <v/>
      </c>
      <c r="CB163" s="4">
        <f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4">
        <f>IF(AY163="","",IF(CB163&lt;AY163,CA163,BY163))</f>
        <v/>
      </c>
      <c r="CD163" s="4">
        <f>IF(AY163="","",IF(CB163&lt;AY163,BZ163,CA163))</f>
        <v/>
      </c>
      <c r="CE163" s="4">
        <f>IF(AY163="","",(CC163+CD163)/2)</f>
        <v/>
      </c>
    </row>
    <row r="164">
      <c r="A164" s="4" t="n"/>
      <c r="B164" s="4" t="n"/>
      <c r="C164" s="8" t="n"/>
      <c r="D164" s="8" t="n"/>
      <c r="E164" s="8">
        <f>SUMIFS(CB_Tributaires!$G:$G,CB_Tributaires!$F:$F,$A164)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IF(A164="","",IF(F164="","",2.78E-7*IF(G164&lt;&gt;"",G164,IFERROR(SUMIFS(CB_Tributaires!$H:$H,CB_Tributaires!$F:$F,$A164)/SUMIFS(CB_Tributaires!$G:$G,CB_Tributaires!$F:$F,$A164),Inputs!$B$17))*F164*I164))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7">
        <f>IF(AY164="","",CE164)</f>
        <v/>
      </c>
      <c r="AX164" s="7">
        <f>IF(OR(AY164="",AW164="",R164="",R164&lt;=0,AW164&lt;=0),"",AY164/((R164^2/8)*(2*ACOS(1-2*AW164/R164)-SIN(2*ACOS(1-2*AW164/R164)))))</f>
        <v/>
      </c>
      <c r="AY164" s="4">
        <f>IF(OR(L164="",AZ164=""),"",MIN(L164,AZ164))</f>
        <v/>
      </c>
      <c r="AZ164" s="4">
        <f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4">
        <f>IF(AY164="","",0.001*R164)</f>
        <v/>
      </c>
      <c r="BB164" s="4">
        <f>IF(AY164="","",0.94*R164)</f>
        <v/>
      </c>
      <c r="BC164" s="4">
        <f>IF(AY164="","",(BA164+BB164)/2)</f>
        <v/>
      </c>
      <c r="BD164" s="4">
        <f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4">
        <f>IF(AY164="","",IF(BD164&lt;AY164,BC164,BA164))</f>
        <v/>
      </c>
      <c r="BF164" s="4">
        <f>IF(AY164="","",IF(BD164&lt;AY164,BB164,BC164))</f>
        <v/>
      </c>
      <c r="BG164" s="4">
        <f>IF(AY164="","",(BE164+BF164)/2)</f>
        <v/>
      </c>
      <c r="BH164" s="4">
        <f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4">
        <f>IF(AY164="","",IF(BH164&lt;AY164,BG164,BE164))</f>
        <v/>
      </c>
      <c r="BJ164" s="4">
        <f>IF(AY164="","",IF(BH164&lt;AY164,BF164,BG164))</f>
        <v/>
      </c>
      <c r="BK164" s="4">
        <f>IF(AY164="","",(BI164+BJ164)/2)</f>
        <v/>
      </c>
      <c r="BL164" s="4">
        <f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4">
        <f>IF(AY164="","",IF(BL164&lt;AY164,BK164,BI164))</f>
        <v/>
      </c>
      <c r="BN164" s="4">
        <f>IF(AY164="","",IF(BL164&lt;AY164,BJ164,BK164))</f>
        <v/>
      </c>
      <c r="BO164" s="4">
        <f>IF(AY164="","",(BM164+BN164)/2)</f>
        <v/>
      </c>
      <c r="BP164" s="4">
        <f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4">
        <f>IF(AY164="","",IF(BP164&lt;AY164,BO164,BM164))</f>
        <v/>
      </c>
      <c r="BR164" s="4">
        <f>IF(AY164="","",IF(BP164&lt;AY164,BN164,BO164))</f>
        <v/>
      </c>
      <c r="BS164" s="4">
        <f>IF(AY164="","",(BQ164+BR164)/2)</f>
        <v/>
      </c>
      <c r="BT164" s="4">
        <f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4">
        <f>IF(AY164="","",IF(BT164&lt;AY164,BS164,BQ164))</f>
        <v/>
      </c>
      <c r="BV164" s="4">
        <f>IF(AY164="","",IF(BT164&lt;AY164,BR164,BS164))</f>
        <v/>
      </c>
      <c r="BW164" s="4">
        <f>IF(AY164="","",(BU164+BV164)/2)</f>
        <v/>
      </c>
      <c r="BX164" s="4">
        <f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4">
        <f>IF(AY164="","",IF(BX164&lt;AY164,BW164,BU164))</f>
        <v/>
      </c>
      <c r="BZ164" s="4">
        <f>IF(AY164="","",IF(BX164&lt;AY164,BV164,BW164))</f>
        <v/>
      </c>
      <c r="CA164" s="4">
        <f>IF(AY164="","",(BY164+BZ164)/2)</f>
        <v/>
      </c>
      <c r="CB164" s="4">
        <f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4">
        <f>IF(AY164="","",IF(CB164&lt;AY164,CA164,BY164))</f>
        <v/>
      </c>
      <c r="CD164" s="4">
        <f>IF(AY164="","",IF(CB164&lt;AY164,BZ164,CA164))</f>
        <v/>
      </c>
      <c r="CE164" s="4">
        <f>IF(AY164="","",(CC164+CD164)/2)</f>
        <v/>
      </c>
    </row>
    <row r="165">
      <c r="A165" s="4" t="n"/>
      <c r="B165" s="4" t="n"/>
      <c r="C165" s="8" t="n"/>
      <c r="D165" s="8" t="n"/>
      <c r="E165" s="8">
        <f>SUMIFS(CB_Tributaires!$G:$G,CB_Tributaires!$F:$F,$A165)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IF(A165="","",IF(F165="","",2.78E-7*IF(G165&lt;&gt;"",G165,IFERROR(SUMIFS(CB_Tributaires!$H:$H,CB_Tributaires!$F:$F,$A165)/SUMIFS(CB_Tributaires!$G:$G,CB_Tributaires!$F:$F,$A165),Inputs!$B$17))*F165*I165))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7">
        <f>IF(AY165="","",CE165)</f>
        <v/>
      </c>
      <c r="AX165" s="7">
        <f>IF(OR(AY165="",AW165="",R165="",R165&lt;=0,AW165&lt;=0),"",AY165/((R165^2/8)*(2*ACOS(1-2*AW165/R165)-SIN(2*ACOS(1-2*AW165/R165)))))</f>
        <v/>
      </c>
      <c r="AY165" s="4">
        <f>IF(OR(L165="",AZ165=""),"",MIN(L165,AZ165))</f>
        <v/>
      </c>
      <c r="AZ165" s="4">
        <f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4">
        <f>IF(AY165="","",0.001*R165)</f>
        <v/>
      </c>
      <c r="BB165" s="4">
        <f>IF(AY165="","",0.94*R165)</f>
        <v/>
      </c>
      <c r="BC165" s="4">
        <f>IF(AY165="","",(BA165+BB165)/2)</f>
        <v/>
      </c>
      <c r="BD165" s="4">
        <f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4">
        <f>IF(AY165="","",IF(BD165&lt;AY165,BC165,BA165))</f>
        <v/>
      </c>
      <c r="BF165" s="4">
        <f>IF(AY165="","",IF(BD165&lt;AY165,BB165,BC165))</f>
        <v/>
      </c>
      <c r="BG165" s="4">
        <f>IF(AY165="","",(BE165+BF165)/2)</f>
        <v/>
      </c>
      <c r="BH165" s="4">
        <f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4">
        <f>IF(AY165="","",IF(BH165&lt;AY165,BG165,BE165))</f>
        <v/>
      </c>
      <c r="BJ165" s="4">
        <f>IF(AY165="","",IF(BH165&lt;AY165,BF165,BG165))</f>
        <v/>
      </c>
      <c r="BK165" s="4">
        <f>IF(AY165="","",(BI165+BJ165)/2)</f>
        <v/>
      </c>
      <c r="BL165" s="4">
        <f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4">
        <f>IF(AY165="","",IF(BL165&lt;AY165,BK165,BI165))</f>
        <v/>
      </c>
      <c r="BN165" s="4">
        <f>IF(AY165="","",IF(BL165&lt;AY165,BJ165,BK165))</f>
        <v/>
      </c>
      <c r="BO165" s="4">
        <f>IF(AY165="","",(BM165+BN165)/2)</f>
        <v/>
      </c>
      <c r="BP165" s="4">
        <f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4">
        <f>IF(AY165="","",IF(BP165&lt;AY165,BO165,BM165))</f>
        <v/>
      </c>
      <c r="BR165" s="4">
        <f>IF(AY165="","",IF(BP165&lt;AY165,BN165,BO165))</f>
        <v/>
      </c>
      <c r="BS165" s="4">
        <f>IF(AY165="","",(BQ165+BR165)/2)</f>
        <v/>
      </c>
      <c r="BT165" s="4">
        <f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4">
        <f>IF(AY165="","",IF(BT165&lt;AY165,BS165,BQ165))</f>
        <v/>
      </c>
      <c r="BV165" s="4">
        <f>IF(AY165="","",IF(BT165&lt;AY165,BR165,BS165))</f>
        <v/>
      </c>
      <c r="BW165" s="4">
        <f>IF(AY165="","",(BU165+BV165)/2)</f>
        <v/>
      </c>
      <c r="BX165" s="4">
        <f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4">
        <f>IF(AY165="","",IF(BX165&lt;AY165,BW165,BU165))</f>
        <v/>
      </c>
      <c r="BZ165" s="4">
        <f>IF(AY165="","",IF(BX165&lt;AY165,BV165,BW165))</f>
        <v/>
      </c>
      <c r="CA165" s="4">
        <f>IF(AY165="","",(BY165+BZ165)/2)</f>
        <v/>
      </c>
      <c r="CB165" s="4">
        <f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4">
        <f>IF(AY165="","",IF(CB165&lt;AY165,CA165,BY165))</f>
        <v/>
      </c>
      <c r="CD165" s="4">
        <f>IF(AY165="","",IF(CB165&lt;AY165,BZ165,CA165))</f>
        <v/>
      </c>
      <c r="CE165" s="4">
        <f>IF(AY165="","",(CC165+CD165)/2)</f>
        <v/>
      </c>
    </row>
    <row r="166">
      <c r="A166" s="4" t="n"/>
      <c r="B166" s="4" t="n"/>
      <c r="C166" s="8" t="n"/>
      <c r="D166" s="8" t="n"/>
      <c r="E166" s="8">
        <f>SUMIFS(CB_Tributaires!$G:$G,CB_Tributaires!$F:$F,$A166)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IF(A166="","",IF(F166="","",2.78E-7*IF(G166&lt;&gt;"",G166,IFERROR(SUMIFS(CB_Tributaires!$H:$H,CB_Tributaires!$F:$F,$A166)/SUMIFS(CB_Tributaires!$G:$G,CB_Tributaires!$F:$F,$A166),Inputs!$B$17))*F166*I166))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7">
        <f>IF(AY166="","",CE166)</f>
        <v/>
      </c>
      <c r="AX166" s="7">
        <f>IF(OR(AY166="",AW166="",R166="",R166&lt;=0,AW166&lt;=0),"",AY166/((R166^2/8)*(2*ACOS(1-2*AW166/R166)-SIN(2*ACOS(1-2*AW166/R166)))))</f>
        <v/>
      </c>
      <c r="AY166" s="4">
        <f>IF(OR(L166="",AZ166=""),"",MIN(L166,AZ166))</f>
        <v/>
      </c>
      <c r="AZ166" s="4">
        <f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4">
        <f>IF(AY166="","",0.001*R166)</f>
        <v/>
      </c>
      <c r="BB166" s="4">
        <f>IF(AY166="","",0.94*R166)</f>
        <v/>
      </c>
      <c r="BC166" s="4">
        <f>IF(AY166="","",(BA166+BB166)/2)</f>
        <v/>
      </c>
      <c r="BD166" s="4">
        <f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4">
        <f>IF(AY166="","",IF(BD166&lt;AY166,BC166,BA166))</f>
        <v/>
      </c>
      <c r="BF166" s="4">
        <f>IF(AY166="","",IF(BD166&lt;AY166,BB166,BC166))</f>
        <v/>
      </c>
      <c r="BG166" s="4">
        <f>IF(AY166="","",(BE166+BF166)/2)</f>
        <v/>
      </c>
      <c r="BH166" s="4">
        <f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4">
        <f>IF(AY166="","",IF(BH166&lt;AY166,BG166,BE166))</f>
        <v/>
      </c>
      <c r="BJ166" s="4">
        <f>IF(AY166="","",IF(BH166&lt;AY166,BF166,BG166))</f>
        <v/>
      </c>
      <c r="BK166" s="4">
        <f>IF(AY166="","",(BI166+BJ166)/2)</f>
        <v/>
      </c>
      <c r="BL166" s="4">
        <f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4">
        <f>IF(AY166="","",IF(BL166&lt;AY166,BK166,BI166))</f>
        <v/>
      </c>
      <c r="BN166" s="4">
        <f>IF(AY166="","",IF(BL166&lt;AY166,BJ166,BK166))</f>
        <v/>
      </c>
      <c r="BO166" s="4">
        <f>IF(AY166="","",(BM166+BN166)/2)</f>
        <v/>
      </c>
      <c r="BP166" s="4">
        <f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4">
        <f>IF(AY166="","",IF(BP166&lt;AY166,BO166,BM166))</f>
        <v/>
      </c>
      <c r="BR166" s="4">
        <f>IF(AY166="","",IF(BP166&lt;AY166,BN166,BO166))</f>
        <v/>
      </c>
      <c r="BS166" s="4">
        <f>IF(AY166="","",(BQ166+BR166)/2)</f>
        <v/>
      </c>
      <c r="BT166" s="4">
        <f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4">
        <f>IF(AY166="","",IF(BT166&lt;AY166,BS166,BQ166))</f>
        <v/>
      </c>
      <c r="BV166" s="4">
        <f>IF(AY166="","",IF(BT166&lt;AY166,BR166,BS166))</f>
        <v/>
      </c>
      <c r="BW166" s="4">
        <f>IF(AY166="","",(BU166+BV166)/2)</f>
        <v/>
      </c>
      <c r="BX166" s="4">
        <f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4">
        <f>IF(AY166="","",IF(BX166&lt;AY166,BW166,BU166))</f>
        <v/>
      </c>
      <c r="BZ166" s="4">
        <f>IF(AY166="","",IF(BX166&lt;AY166,BV166,BW166))</f>
        <v/>
      </c>
      <c r="CA166" s="4">
        <f>IF(AY166="","",(BY166+BZ166)/2)</f>
        <v/>
      </c>
      <c r="CB166" s="4">
        <f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4">
        <f>IF(AY166="","",IF(CB166&lt;AY166,CA166,BY166))</f>
        <v/>
      </c>
      <c r="CD166" s="4">
        <f>IF(AY166="","",IF(CB166&lt;AY166,BZ166,CA166))</f>
        <v/>
      </c>
      <c r="CE166" s="4">
        <f>IF(AY166="","",(CC166+CD166)/2)</f>
        <v/>
      </c>
    </row>
    <row r="167">
      <c r="A167" s="4" t="n"/>
      <c r="B167" s="4" t="n"/>
      <c r="C167" s="8" t="n"/>
      <c r="D167" s="8" t="n"/>
      <c r="E167" s="8">
        <f>SUMIFS(CB_Tributaires!$G:$G,CB_Tributaires!$F:$F,$A167)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IF(A167="","",IF(F167="","",2.78E-7*IF(G167&lt;&gt;"",G167,IFERROR(SUMIFS(CB_Tributaires!$H:$H,CB_Tributaires!$F:$F,$A167)/SUMIFS(CB_Tributaires!$G:$G,CB_Tributaires!$F:$F,$A167),Inputs!$B$17))*F167*I167))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7">
        <f>IF(AY167="","",CE167)</f>
        <v/>
      </c>
      <c r="AX167" s="7">
        <f>IF(OR(AY167="",AW167="",R167="",R167&lt;=0,AW167&lt;=0),"",AY167/((R167^2/8)*(2*ACOS(1-2*AW167/R167)-SIN(2*ACOS(1-2*AW167/R167)))))</f>
        <v/>
      </c>
      <c r="AY167" s="4">
        <f>IF(OR(L167="",AZ167=""),"",MIN(L167,AZ167))</f>
        <v/>
      </c>
      <c r="AZ167" s="4">
        <f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4">
        <f>IF(AY167="","",0.001*R167)</f>
        <v/>
      </c>
      <c r="BB167" s="4">
        <f>IF(AY167="","",0.94*R167)</f>
        <v/>
      </c>
      <c r="BC167" s="4">
        <f>IF(AY167="","",(BA167+BB167)/2)</f>
        <v/>
      </c>
      <c r="BD167" s="4">
        <f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4">
        <f>IF(AY167="","",IF(BD167&lt;AY167,BC167,BA167))</f>
        <v/>
      </c>
      <c r="BF167" s="4">
        <f>IF(AY167="","",IF(BD167&lt;AY167,BB167,BC167))</f>
        <v/>
      </c>
      <c r="BG167" s="4">
        <f>IF(AY167="","",(BE167+BF167)/2)</f>
        <v/>
      </c>
      <c r="BH167" s="4">
        <f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4">
        <f>IF(AY167="","",IF(BH167&lt;AY167,BG167,BE167))</f>
        <v/>
      </c>
      <c r="BJ167" s="4">
        <f>IF(AY167="","",IF(BH167&lt;AY167,BF167,BG167))</f>
        <v/>
      </c>
      <c r="BK167" s="4">
        <f>IF(AY167="","",(BI167+BJ167)/2)</f>
        <v/>
      </c>
      <c r="BL167" s="4">
        <f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4">
        <f>IF(AY167="","",IF(BL167&lt;AY167,BK167,BI167))</f>
        <v/>
      </c>
      <c r="BN167" s="4">
        <f>IF(AY167="","",IF(BL167&lt;AY167,BJ167,BK167))</f>
        <v/>
      </c>
      <c r="BO167" s="4">
        <f>IF(AY167="","",(BM167+BN167)/2)</f>
        <v/>
      </c>
      <c r="BP167" s="4">
        <f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4">
        <f>IF(AY167="","",IF(BP167&lt;AY167,BO167,BM167))</f>
        <v/>
      </c>
      <c r="BR167" s="4">
        <f>IF(AY167="","",IF(BP167&lt;AY167,BN167,BO167))</f>
        <v/>
      </c>
      <c r="BS167" s="4">
        <f>IF(AY167="","",(BQ167+BR167)/2)</f>
        <v/>
      </c>
      <c r="BT167" s="4">
        <f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4">
        <f>IF(AY167="","",IF(BT167&lt;AY167,BS167,BQ167))</f>
        <v/>
      </c>
      <c r="BV167" s="4">
        <f>IF(AY167="","",IF(BT167&lt;AY167,BR167,BS167))</f>
        <v/>
      </c>
      <c r="BW167" s="4">
        <f>IF(AY167="","",(BU167+BV167)/2)</f>
        <v/>
      </c>
      <c r="BX167" s="4">
        <f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4">
        <f>IF(AY167="","",IF(BX167&lt;AY167,BW167,BU167))</f>
        <v/>
      </c>
      <c r="BZ167" s="4">
        <f>IF(AY167="","",IF(BX167&lt;AY167,BV167,BW167))</f>
        <v/>
      </c>
      <c r="CA167" s="4">
        <f>IF(AY167="","",(BY167+BZ167)/2)</f>
        <v/>
      </c>
      <c r="CB167" s="4">
        <f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4">
        <f>IF(AY167="","",IF(CB167&lt;AY167,CA167,BY167))</f>
        <v/>
      </c>
      <c r="CD167" s="4">
        <f>IF(AY167="","",IF(CB167&lt;AY167,BZ167,CA167))</f>
        <v/>
      </c>
      <c r="CE167" s="4">
        <f>IF(AY167="","",(CC167+CD167)/2)</f>
        <v/>
      </c>
    </row>
    <row r="168">
      <c r="A168" s="4" t="n"/>
      <c r="B168" s="4" t="n"/>
      <c r="C168" s="8" t="n"/>
      <c r="D168" s="8" t="n"/>
      <c r="E168" s="8">
        <f>SUMIFS(CB_Tributaires!$G:$G,CB_Tributaires!$F:$F,$A168)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IF(A168="","",IF(F168="","",2.78E-7*IF(G168&lt;&gt;"",G168,IFERROR(SUMIFS(CB_Tributaires!$H:$H,CB_Tributaires!$F:$F,$A168)/SUMIFS(CB_Tributaires!$G:$G,CB_Tributaires!$F:$F,$A168),Inputs!$B$17))*F168*I168))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7">
        <f>IF(AY168="","",CE168)</f>
        <v/>
      </c>
      <c r="AX168" s="7">
        <f>IF(OR(AY168="",AW168="",R168="",R168&lt;=0,AW168&lt;=0),"",AY168/((R168^2/8)*(2*ACOS(1-2*AW168/R168)-SIN(2*ACOS(1-2*AW168/R168)))))</f>
        <v/>
      </c>
      <c r="AY168" s="4">
        <f>IF(OR(L168="",AZ168=""),"",MIN(L168,AZ168))</f>
        <v/>
      </c>
      <c r="AZ168" s="4">
        <f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4">
        <f>IF(AY168="","",0.001*R168)</f>
        <v/>
      </c>
      <c r="BB168" s="4">
        <f>IF(AY168="","",0.94*R168)</f>
        <v/>
      </c>
      <c r="BC168" s="4">
        <f>IF(AY168="","",(BA168+BB168)/2)</f>
        <v/>
      </c>
      <c r="BD168" s="4">
        <f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4">
        <f>IF(AY168="","",IF(BD168&lt;AY168,BC168,BA168))</f>
        <v/>
      </c>
      <c r="BF168" s="4">
        <f>IF(AY168="","",IF(BD168&lt;AY168,BB168,BC168))</f>
        <v/>
      </c>
      <c r="BG168" s="4">
        <f>IF(AY168="","",(BE168+BF168)/2)</f>
        <v/>
      </c>
      <c r="BH168" s="4">
        <f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4">
        <f>IF(AY168="","",IF(BH168&lt;AY168,BG168,BE168))</f>
        <v/>
      </c>
      <c r="BJ168" s="4">
        <f>IF(AY168="","",IF(BH168&lt;AY168,BF168,BG168))</f>
        <v/>
      </c>
      <c r="BK168" s="4">
        <f>IF(AY168="","",(BI168+BJ168)/2)</f>
        <v/>
      </c>
      <c r="BL168" s="4">
        <f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4">
        <f>IF(AY168="","",IF(BL168&lt;AY168,BK168,BI168))</f>
        <v/>
      </c>
      <c r="BN168" s="4">
        <f>IF(AY168="","",IF(BL168&lt;AY168,BJ168,BK168))</f>
        <v/>
      </c>
      <c r="BO168" s="4">
        <f>IF(AY168="","",(BM168+BN168)/2)</f>
        <v/>
      </c>
      <c r="BP168" s="4">
        <f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4">
        <f>IF(AY168="","",IF(BP168&lt;AY168,BO168,BM168))</f>
        <v/>
      </c>
      <c r="BR168" s="4">
        <f>IF(AY168="","",IF(BP168&lt;AY168,BN168,BO168))</f>
        <v/>
      </c>
      <c r="BS168" s="4">
        <f>IF(AY168="","",(BQ168+BR168)/2)</f>
        <v/>
      </c>
      <c r="BT168" s="4">
        <f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4">
        <f>IF(AY168="","",IF(BT168&lt;AY168,BS168,BQ168))</f>
        <v/>
      </c>
      <c r="BV168" s="4">
        <f>IF(AY168="","",IF(BT168&lt;AY168,BR168,BS168))</f>
        <v/>
      </c>
      <c r="BW168" s="4">
        <f>IF(AY168="","",(BU168+BV168)/2)</f>
        <v/>
      </c>
      <c r="BX168" s="4">
        <f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4">
        <f>IF(AY168="","",IF(BX168&lt;AY168,BW168,BU168))</f>
        <v/>
      </c>
      <c r="BZ168" s="4">
        <f>IF(AY168="","",IF(BX168&lt;AY168,BV168,BW168))</f>
        <v/>
      </c>
      <c r="CA168" s="4">
        <f>IF(AY168="","",(BY168+BZ168)/2)</f>
        <v/>
      </c>
      <c r="CB168" s="4">
        <f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4">
        <f>IF(AY168="","",IF(CB168&lt;AY168,CA168,BY168))</f>
        <v/>
      </c>
      <c r="CD168" s="4">
        <f>IF(AY168="","",IF(CB168&lt;AY168,BZ168,CA168))</f>
        <v/>
      </c>
      <c r="CE168" s="4">
        <f>IF(AY168="","",(CC168+CD168)/2)</f>
        <v/>
      </c>
    </row>
    <row r="169">
      <c r="A169" s="4" t="n"/>
      <c r="B169" s="4" t="n"/>
      <c r="C169" s="8" t="n"/>
      <c r="D169" s="8" t="n"/>
      <c r="E169" s="8">
        <f>SUMIFS(CB_Tributaires!$G:$G,CB_Tributaires!$F:$F,$A169)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IF(A169="","",IF(F169="","",2.78E-7*IF(G169&lt;&gt;"",G169,IFERROR(SUMIFS(CB_Tributaires!$H:$H,CB_Tributaires!$F:$F,$A169)/SUMIFS(CB_Tributaires!$G:$G,CB_Tributaires!$F:$F,$A169),Inputs!$B$17))*F169*I169))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7">
        <f>IF(AY169="","",CE169)</f>
        <v/>
      </c>
      <c r="AX169" s="7">
        <f>IF(OR(AY169="",AW169="",R169="",R169&lt;=0,AW169&lt;=0),"",AY169/((R169^2/8)*(2*ACOS(1-2*AW169/R169)-SIN(2*ACOS(1-2*AW169/R169)))))</f>
        <v/>
      </c>
      <c r="AY169" s="4">
        <f>IF(OR(L169="",AZ169=""),"",MIN(L169,AZ169))</f>
        <v/>
      </c>
      <c r="AZ169" s="4">
        <f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4">
        <f>IF(AY169="","",0.001*R169)</f>
        <v/>
      </c>
      <c r="BB169" s="4">
        <f>IF(AY169="","",0.94*R169)</f>
        <v/>
      </c>
      <c r="BC169" s="4">
        <f>IF(AY169="","",(BA169+BB169)/2)</f>
        <v/>
      </c>
      <c r="BD169" s="4">
        <f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4">
        <f>IF(AY169="","",IF(BD169&lt;AY169,BC169,BA169))</f>
        <v/>
      </c>
      <c r="BF169" s="4">
        <f>IF(AY169="","",IF(BD169&lt;AY169,BB169,BC169))</f>
        <v/>
      </c>
      <c r="BG169" s="4">
        <f>IF(AY169="","",(BE169+BF169)/2)</f>
        <v/>
      </c>
      <c r="BH169" s="4">
        <f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4">
        <f>IF(AY169="","",IF(BH169&lt;AY169,BG169,BE169))</f>
        <v/>
      </c>
      <c r="BJ169" s="4">
        <f>IF(AY169="","",IF(BH169&lt;AY169,BF169,BG169))</f>
        <v/>
      </c>
      <c r="BK169" s="4">
        <f>IF(AY169="","",(BI169+BJ169)/2)</f>
        <v/>
      </c>
      <c r="BL169" s="4">
        <f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4">
        <f>IF(AY169="","",IF(BL169&lt;AY169,BK169,BI169))</f>
        <v/>
      </c>
      <c r="BN169" s="4">
        <f>IF(AY169="","",IF(BL169&lt;AY169,BJ169,BK169))</f>
        <v/>
      </c>
      <c r="BO169" s="4">
        <f>IF(AY169="","",(BM169+BN169)/2)</f>
        <v/>
      </c>
      <c r="BP169" s="4">
        <f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4">
        <f>IF(AY169="","",IF(BP169&lt;AY169,BO169,BM169))</f>
        <v/>
      </c>
      <c r="BR169" s="4">
        <f>IF(AY169="","",IF(BP169&lt;AY169,BN169,BO169))</f>
        <v/>
      </c>
      <c r="BS169" s="4">
        <f>IF(AY169="","",(BQ169+BR169)/2)</f>
        <v/>
      </c>
      <c r="BT169" s="4">
        <f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4">
        <f>IF(AY169="","",IF(BT169&lt;AY169,BS169,BQ169))</f>
        <v/>
      </c>
      <c r="BV169" s="4">
        <f>IF(AY169="","",IF(BT169&lt;AY169,BR169,BS169))</f>
        <v/>
      </c>
      <c r="BW169" s="4">
        <f>IF(AY169="","",(BU169+BV169)/2)</f>
        <v/>
      </c>
      <c r="BX169" s="4">
        <f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4">
        <f>IF(AY169="","",IF(BX169&lt;AY169,BW169,BU169))</f>
        <v/>
      </c>
      <c r="BZ169" s="4">
        <f>IF(AY169="","",IF(BX169&lt;AY169,BV169,BW169))</f>
        <v/>
      </c>
      <c r="CA169" s="4">
        <f>IF(AY169="","",(BY169+BZ169)/2)</f>
        <v/>
      </c>
      <c r="CB169" s="4">
        <f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4">
        <f>IF(AY169="","",IF(CB169&lt;AY169,CA169,BY169))</f>
        <v/>
      </c>
      <c r="CD169" s="4">
        <f>IF(AY169="","",IF(CB169&lt;AY169,BZ169,CA169))</f>
        <v/>
      </c>
      <c r="CE169" s="4">
        <f>IF(AY169="","",(CC169+CD169)/2)</f>
        <v/>
      </c>
    </row>
    <row r="170">
      <c r="A170" s="4" t="n"/>
      <c r="B170" s="4" t="n"/>
      <c r="C170" s="8" t="n"/>
      <c r="D170" s="8" t="n"/>
      <c r="E170" s="8">
        <f>SUMIFS(CB_Tributaires!$G:$G,CB_Tributaires!$F:$F,$A170)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IF(A170="","",IF(F170="","",2.78E-7*IF(G170&lt;&gt;"",G170,IFERROR(SUMIFS(CB_Tributaires!$H:$H,CB_Tributaires!$F:$F,$A170)/SUMIFS(CB_Tributaires!$G:$G,CB_Tributaires!$F:$F,$A170),Inputs!$B$17))*F170*I170))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7">
        <f>IF(AY170="","",CE170)</f>
        <v/>
      </c>
      <c r="AX170" s="7">
        <f>IF(OR(AY170="",AW170="",R170="",R170&lt;=0,AW170&lt;=0),"",AY170/((R170^2/8)*(2*ACOS(1-2*AW170/R170)-SIN(2*ACOS(1-2*AW170/R170)))))</f>
        <v/>
      </c>
      <c r="AY170" s="4">
        <f>IF(OR(L170="",AZ170=""),"",MIN(L170,AZ170))</f>
        <v/>
      </c>
      <c r="AZ170" s="4">
        <f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4">
        <f>IF(AY170="","",0.001*R170)</f>
        <v/>
      </c>
      <c r="BB170" s="4">
        <f>IF(AY170="","",0.94*R170)</f>
        <v/>
      </c>
      <c r="BC170" s="4">
        <f>IF(AY170="","",(BA170+BB170)/2)</f>
        <v/>
      </c>
      <c r="BD170" s="4">
        <f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4">
        <f>IF(AY170="","",IF(BD170&lt;AY170,BC170,BA170))</f>
        <v/>
      </c>
      <c r="BF170" s="4">
        <f>IF(AY170="","",IF(BD170&lt;AY170,BB170,BC170))</f>
        <v/>
      </c>
      <c r="BG170" s="4">
        <f>IF(AY170="","",(BE170+BF170)/2)</f>
        <v/>
      </c>
      <c r="BH170" s="4">
        <f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4">
        <f>IF(AY170="","",IF(BH170&lt;AY170,BG170,BE170))</f>
        <v/>
      </c>
      <c r="BJ170" s="4">
        <f>IF(AY170="","",IF(BH170&lt;AY170,BF170,BG170))</f>
        <v/>
      </c>
      <c r="BK170" s="4">
        <f>IF(AY170="","",(BI170+BJ170)/2)</f>
        <v/>
      </c>
      <c r="BL170" s="4">
        <f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4">
        <f>IF(AY170="","",IF(BL170&lt;AY170,BK170,BI170))</f>
        <v/>
      </c>
      <c r="BN170" s="4">
        <f>IF(AY170="","",IF(BL170&lt;AY170,BJ170,BK170))</f>
        <v/>
      </c>
      <c r="BO170" s="4">
        <f>IF(AY170="","",(BM170+BN170)/2)</f>
        <v/>
      </c>
      <c r="BP170" s="4">
        <f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4">
        <f>IF(AY170="","",IF(BP170&lt;AY170,BO170,BM170))</f>
        <v/>
      </c>
      <c r="BR170" s="4">
        <f>IF(AY170="","",IF(BP170&lt;AY170,BN170,BO170))</f>
        <v/>
      </c>
      <c r="BS170" s="4">
        <f>IF(AY170="","",(BQ170+BR170)/2)</f>
        <v/>
      </c>
      <c r="BT170" s="4">
        <f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4">
        <f>IF(AY170="","",IF(BT170&lt;AY170,BS170,BQ170))</f>
        <v/>
      </c>
      <c r="BV170" s="4">
        <f>IF(AY170="","",IF(BT170&lt;AY170,BR170,BS170))</f>
        <v/>
      </c>
      <c r="BW170" s="4">
        <f>IF(AY170="","",(BU170+BV170)/2)</f>
        <v/>
      </c>
      <c r="BX170" s="4">
        <f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4">
        <f>IF(AY170="","",IF(BX170&lt;AY170,BW170,BU170))</f>
        <v/>
      </c>
      <c r="BZ170" s="4">
        <f>IF(AY170="","",IF(BX170&lt;AY170,BV170,BW170))</f>
        <v/>
      </c>
      <c r="CA170" s="4">
        <f>IF(AY170="","",(BY170+BZ170)/2)</f>
        <v/>
      </c>
      <c r="CB170" s="4">
        <f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4">
        <f>IF(AY170="","",IF(CB170&lt;AY170,CA170,BY170))</f>
        <v/>
      </c>
      <c r="CD170" s="4">
        <f>IF(AY170="","",IF(CB170&lt;AY170,BZ170,CA170))</f>
        <v/>
      </c>
      <c r="CE170" s="4">
        <f>IF(AY170="","",(CC170+CD170)/2)</f>
        <v/>
      </c>
    </row>
    <row r="171">
      <c r="A171" s="4" t="n"/>
      <c r="B171" s="4" t="n"/>
      <c r="C171" s="8" t="n"/>
      <c r="D171" s="8" t="n"/>
      <c r="E171" s="8">
        <f>SUMIFS(CB_Tributaires!$G:$G,CB_Tributaires!$F:$F,$A171)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IF(A171="","",IF(F171="","",2.78E-7*IF(G171&lt;&gt;"",G171,IFERROR(SUMIFS(CB_Tributaires!$H:$H,CB_Tributaires!$F:$F,$A171)/SUMIFS(CB_Tributaires!$G:$G,CB_Tributaires!$F:$F,$A171),Inputs!$B$17))*F171*I171))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7">
        <f>IF(AY171="","",CE171)</f>
        <v/>
      </c>
      <c r="AX171" s="7">
        <f>IF(OR(AY171="",AW171="",R171="",R171&lt;=0,AW171&lt;=0),"",AY171/((R171^2/8)*(2*ACOS(1-2*AW171/R171)-SIN(2*ACOS(1-2*AW171/R171)))))</f>
        <v/>
      </c>
      <c r="AY171" s="4">
        <f>IF(OR(L171="",AZ171=""),"",MIN(L171,AZ171))</f>
        <v/>
      </c>
      <c r="AZ171" s="4">
        <f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4">
        <f>IF(AY171="","",0.001*R171)</f>
        <v/>
      </c>
      <c r="BB171" s="4">
        <f>IF(AY171="","",0.94*R171)</f>
        <v/>
      </c>
      <c r="BC171" s="4">
        <f>IF(AY171="","",(BA171+BB171)/2)</f>
        <v/>
      </c>
      <c r="BD171" s="4">
        <f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4">
        <f>IF(AY171="","",IF(BD171&lt;AY171,BC171,BA171))</f>
        <v/>
      </c>
      <c r="BF171" s="4">
        <f>IF(AY171="","",IF(BD171&lt;AY171,BB171,BC171))</f>
        <v/>
      </c>
      <c r="BG171" s="4">
        <f>IF(AY171="","",(BE171+BF171)/2)</f>
        <v/>
      </c>
      <c r="BH171" s="4">
        <f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4">
        <f>IF(AY171="","",IF(BH171&lt;AY171,BG171,BE171))</f>
        <v/>
      </c>
      <c r="BJ171" s="4">
        <f>IF(AY171="","",IF(BH171&lt;AY171,BF171,BG171))</f>
        <v/>
      </c>
      <c r="BK171" s="4">
        <f>IF(AY171="","",(BI171+BJ171)/2)</f>
        <v/>
      </c>
      <c r="BL171" s="4">
        <f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4">
        <f>IF(AY171="","",IF(BL171&lt;AY171,BK171,BI171))</f>
        <v/>
      </c>
      <c r="BN171" s="4">
        <f>IF(AY171="","",IF(BL171&lt;AY171,BJ171,BK171))</f>
        <v/>
      </c>
      <c r="BO171" s="4">
        <f>IF(AY171="","",(BM171+BN171)/2)</f>
        <v/>
      </c>
      <c r="BP171" s="4">
        <f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4">
        <f>IF(AY171="","",IF(BP171&lt;AY171,BO171,BM171))</f>
        <v/>
      </c>
      <c r="BR171" s="4">
        <f>IF(AY171="","",IF(BP171&lt;AY171,BN171,BO171))</f>
        <v/>
      </c>
      <c r="BS171" s="4">
        <f>IF(AY171="","",(BQ171+BR171)/2)</f>
        <v/>
      </c>
      <c r="BT171" s="4">
        <f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4">
        <f>IF(AY171="","",IF(BT171&lt;AY171,BS171,BQ171))</f>
        <v/>
      </c>
      <c r="BV171" s="4">
        <f>IF(AY171="","",IF(BT171&lt;AY171,BR171,BS171))</f>
        <v/>
      </c>
      <c r="BW171" s="4">
        <f>IF(AY171="","",(BU171+BV171)/2)</f>
        <v/>
      </c>
      <c r="BX171" s="4">
        <f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4">
        <f>IF(AY171="","",IF(BX171&lt;AY171,BW171,BU171))</f>
        <v/>
      </c>
      <c r="BZ171" s="4">
        <f>IF(AY171="","",IF(BX171&lt;AY171,BV171,BW171))</f>
        <v/>
      </c>
      <c r="CA171" s="4">
        <f>IF(AY171="","",(BY171+BZ171)/2)</f>
        <v/>
      </c>
      <c r="CB171" s="4">
        <f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4">
        <f>IF(AY171="","",IF(CB171&lt;AY171,CA171,BY171))</f>
        <v/>
      </c>
      <c r="CD171" s="4">
        <f>IF(AY171="","",IF(CB171&lt;AY171,BZ171,CA171))</f>
        <v/>
      </c>
      <c r="CE171" s="4">
        <f>IF(AY171="","",(CC171+CD171)/2)</f>
        <v/>
      </c>
    </row>
    <row r="172">
      <c r="A172" s="4" t="n"/>
      <c r="B172" s="4" t="n"/>
      <c r="C172" s="8" t="n"/>
      <c r="D172" s="8" t="n"/>
      <c r="E172" s="8">
        <f>SUMIFS(CB_Tributaires!$G:$G,CB_Tributaires!$F:$F,$A172)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IF(A172="","",IF(F172="","",2.78E-7*IF(G172&lt;&gt;"",G172,IFERROR(SUMIFS(CB_Tributaires!$H:$H,CB_Tributaires!$F:$F,$A172)/SUMIFS(CB_Tributaires!$G:$G,CB_Tributaires!$F:$F,$A172),Inputs!$B$17))*F172*I172))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7">
        <f>IF(AY172="","",CE172)</f>
        <v/>
      </c>
      <c r="AX172" s="7">
        <f>IF(OR(AY172="",AW172="",R172="",R172&lt;=0,AW172&lt;=0),"",AY172/((R172^2/8)*(2*ACOS(1-2*AW172/R172)-SIN(2*ACOS(1-2*AW172/R172)))))</f>
        <v/>
      </c>
      <c r="AY172" s="4">
        <f>IF(OR(L172="",AZ172=""),"",MIN(L172,AZ172))</f>
        <v/>
      </c>
      <c r="AZ172" s="4">
        <f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4">
        <f>IF(AY172="","",0.001*R172)</f>
        <v/>
      </c>
      <c r="BB172" s="4">
        <f>IF(AY172="","",0.94*R172)</f>
        <v/>
      </c>
      <c r="BC172" s="4">
        <f>IF(AY172="","",(BA172+BB172)/2)</f>
        <v/>
      </c>
      <c r="BD172" s="4">
        <f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4">
        <f>IF(AY172="","",IF(BD172&lt;AY172,BC172,BA172))</f>
        <v/>
      </c>
      <c r="BF172" s="4">
        <f>IF(AY172="","",IF(BD172&lt;AY172,BB172,BC172))</f>
        <v/>
      </c>
      <c r="BG172" s="4">
        <f>IF(AY172="","",(BE172+BF172)/2)</f>
        <v/>
      </c>
      <c r="BH172" s="4">
        <f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4">
        <f>IF(AY172="","",IF(BH172&lt;AY172,BG172,BE172))</f>
        <v/>
      </c>
      <c r="BJ172" s="4">
        <f>IF(AY172="","",IF(BH172&lt;AY172,BF172,BG172))</f>
        <v/>
      </c>
      <c r="BK172" s="4">
        <f>IF(AY172="","",(BI172+BJ172)/2)</f>
        <v/>
      </c>
      <c r="BL172" s="4">
        <f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4">
        <f>IF(AY172="","",IF(BL172&lt;AY172,BK172,BI172))</f>
        <v/>
      </c>
      <c r="BN172" s="4">
        <f>IF(AY172="","",IF(BL172&lt;AY172,BJ172,BK172))</f>
        <v/>
      </c>
      <c r="BO172" s="4">
        <f>IF(AY172="","",(BM172+BN172)/2)</f>
        <v/>
      </c>
      <c r="BP172" s="4">
        <f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4">
        <f>IF(AY172="","",IF(BP172&lt;AY172,BO172,BM172))</f>
        <v/>
      </c>
      <c r="BR172" s="4">
        <f>IF(AY172="","",IF(BP172&lt;AY172,BN172,BO172))</f>
        <v/>
      </c>
      <c r="BS172" s="4">
        <f>IF(AY172="","",(BQ172+BR172)/2)</f>
        <v/>
      </c>
      <c r="BT172" s="4">
        <f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4">
        <f>IF(AY172="","",IF(BT172&lt;AY172,BS172,BQ172))</f>
        <v/>
      </c>
      <c r="BV172" s="4">
        <f>IF(AY172="","",IF(BT172&lt;AY172,BR172,BS172))</f>
        <v/>
      </c>
      <c r="BW172" s="4">
        <f>IF(AY172="","",(BU172+BV172)/2)</f>
        <v/>
      </c>
      <c r="BX172" s="4">
        <f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4">
        <f>IF(AY172="","",IF(BX172&lt;AY172,BW172,BU172))</f>
        <v/>
      </c>
      <c r="BZ172" s="4">
        <f>IF(AY172="","",IF(BX172&lt;AY172,BV172,BW172))</f>
        <v/>
      </c>
      <c r="CA172" s="4">
        <f>IF(AY172="","",(BY172+BZ172)/2)</f>
        <v/>
      </c>
      <c r="CB172" s="4">
        <f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4">
        <f>IF(AY172="","",IF(CB172&lt;AY172,CA172,BY172))</f>
        <v/>
      </c>
      <c r="CD172" s="4">
        <f>IF(AY172="","",IF(CB172&lt;AY172,BZ172,CA172))</f>
        <v/>
      </c>
      <c r="CE172" s="4">
        <f>IF(AY172="","",(CC172+CD172)/2)</f>
        <v/>
      </c>
    </row>
    <row r="173">
      <c r="A173" s="4" t="n"/>
      <c r="B173" s="4" t="n"/>
      <c r="C173" s="8" t="n"/>
      <c r="D173" s="8" t="n"/>
      <c r="E173" s="8">
        <f>SUMIFS(CB_Tributaires!$G:$G,CB_Tributaires!$F:$F,$A173)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IF(A173="","",IF(F173="","",2.78E-7*IF(G173&lt;&gt;"",G173,IFERROR(SUMIFS(CB_Tributaires!$H:$H,CB_Tributaires!$F:$F,$A173)/SUMIFS(CB_Tributaires!$G:$G,CB_Tributaires!$F:$F,$A173),Inputs!$B$17))*F173*I173))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7">
        <f>IF(AY173="","",CE173)</f>
        <v/>
      </c>
      <c r="AX173" s="7">
        <f>IF(OR(AY173="",AW173="",R173="",R173&lt;=0,AW173&lt;=0),"",AY173/((R173^2/8)*(2*ACOS(1-2*AW173/R173)-SIN(2*ACOS(1-2*AW173/R173)))))</f>
        <v/>
      </c>
      <c r="AY173" s="4">
        <f>IF(OR(L173="",AZ173=""),"",MIN(L173,AZ173))</f>
        <v/>
      </c>
      <c r="AZ173" s="4">
        <f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4">
        <f>IF(AY173="","",0.001*R173)</f>
        <v/>
      </c>
      <c r="BB173" s="4">
        <f>IF(AY173="","",0.94*R173)</f>
        <v/>
      </c>
      <c r="BC173" s="4">
        <f>IF(AY173="","",(BA173+BB173)/2)</f>
        <v/>
      </c>
      <c r="BD173" s="4">
        <f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4">
        <f>IF(AY173="","",IF(BD173&lt;AY173,BC173,BA173))</f>
        <v/>
      </c>
      <c r="BF173" s="4">
        <f>IF(AY173="","",IF(BD173&lt;AY173,BB173,BC173))</f>
        <v/>
      </c>
      <c r="BG173" s="4">
        <f>IF(AY173="","",(BE173+BF173)/2)</f>
        <v/>
      </c>
      <c r="BH173" s="4">
        <f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4">
        <f>IF(AY173="","",IF(BH173&lt;AY173,BG173,BE173))</f>
        <v/>
      </c>
      <c r="BJ173" s="4">
        <f>IF(AY173="","",IF(BH173&lt;AY173,BF173,BG173))</f>
        <v/>
      </c>
      <c r="BK173" s="4">
        <f>IF(AY173="","",(BI173+BJ173)/2)</f>
        <v/>
      </c>
      <c r="BL173" s="4">
        <f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4">
        <f>IF(AY173="","",IF(BL173&lt;AY173,BK173,BI173))</f>
        <v/>
      </c>
      <c r="BN173" s="4">
        <f>IF(AY173="","",IF(BL173&lt;AY173,BJ173,BK173))</f>
        <v/>
      </c>
      <c r="BO173" s="4">
        <f>IF(AY173="","",(BM173+BN173)/2)</f>
        <v/>
      </c>
      <c r="BP173" s="4">
        <f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4">
        <f>IF(AY173="","",IF(BP173&lt;AY173,BO173,BM173))</f>
        <v/>
      </c>
      <c r="BR173" s="4">
        <f>IF(AY173="","",IF(BP173&lt;AY173,BN173,BO173))</f>
        <v/>
      </c>
      <c r="BS173" s="4">
        <f>IF(AY173="","",(BQ173+BR173)/2)</f>
        <v/>
      </c>
      <c r="BT173" s="4">
        <f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4">
        <f>IF(AY173="","",IF(BT173&lt;AY173,BS173,BQ173))</f>
        <v/>
      </c>
      <c r="BV173" s="4">
        <f>IF(AY173="","",IF(BT173&lt;AY173,BR173,BS173))</f>
        <v/>
      </c>
      <c r="BW173" s="4">
        <f>IF(AY173="","",(BU173+BV173)/2)</f>
        <v/>
      </c>
      <c r="BX173" s="4">
        <f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4">
        <f>IF(AY173="","",IF(BX173&lt;AY173,BW173,BU173))</f>
        <v/>
      </c>
      <c r="BZ173" s="4">
        <f>IF(AY173="","",IF(BX173&lt;AY173,BV173,BW173))</f>
        <v/>
      </c>
      <c r="CA173" s="4">
        <f>IF(AY173="","",(BY173+BZ173)/2)</f>
        <v/>
      </c>
      <c r="CB173" s="4">
        <f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4">
        <f>IF(AY173="","",IF(CB173&lt;AY173,CA173,BY173))</f>
        <v/>
      </c>
      <c r="CD173" s="4">
        <f>IF(AY173="","",IF(CB173&lt;AY173,BZ173,CA173))</f>
        <v/>
      </c>
      <c r="CE173" s="4">
        <f>IF(AY173="","",(CC173+CD173)/2)</f>
        <v/>
      </c>
    </row>
    <row r="174">
      <c r="A174" s="4" t="n"/>
      <c r="B174" s="4" t="n"/>
      <c r="C174" s="8" t="n"/>
      <c r="D174" s="8" t="n"/>
      <c r="E174" s="8">
        <f>SUMIFS(CB_Tributaires!$G:$G,CB_Tributaires!$F:$F,$A174)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IF(A174="","",IF(F174="","",2.78E-7*IF(G174&lt;&gt;"",G174,IFERROR(SUMIFS(CB_Tributaires!$H:$H,CB_Tributaires!$F:$F,$A174)/SUMIFS(CB_Tributaires!$G:$G,CB_Tributaires!$F:$F,$A174),Inputs!$B$17))*F174*I174))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7">
        <f>IF(AY174="","",CE174)</f>
        <v/>
      </c>
      <c r="AX174" s="7">
        <f>IF(OR(AY174="",AW174="",R174="",R174&lt;=0,AW174&lt;=0),"",AY174/((R174^2/8)*(2*ACOS(1-2*AW174/R174)-SIN(2*ACOS(1-2*AW174/R174)))))</f>
        <v/>
      </c>
      <c r="AY174" s="4">
        <f>IF(OR(L174="",AZ174=""),"",MIN(L174,AZ174))</f>
        <v/>
      </c>
      <c r="AZ174" s="4">
        <f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4">
        <f>IF(AY174="","",0.001*R174)</f>
        <v/>
      </c>
      <c r="BB174" s="4">
        <f>IF(AY174="","",0.94*R174)</f>
        <v/>
      </c>
      <c r="BC174" s="4">
        <f>IF(AY174="","",(BA174+BB174)/2)</f>
        <v/>
      </c>
      <c r="BD174" s="4">
        <f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4">
        <f>IF(AY174="","",IF(BD174&lt;AY174,BC174,BA174))</f>
        <v/>
      </c>
      <c r="BF174" s="4">
        <f>IF(AY174="","",IF(BD174&lt;AY174,BB174,BC174))</f>
        <v/>
      </c>
      <c r="BG174" s="4">
        <f>IF(AY174="","",(BE174+BF174)/2)</f>
        <v/>
      </c>
      <c r="BH174" s="4">
        <f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4">
        <f>IF(AY174="","",IF(BH174&lt;AY174,BG174,BE174))</f>
        <v/>
      </c>
      <c r="BJ174" s="4">
        <f>IF(AY174="","",IF(BH174&lt;AY174,BF174,BG174))</f>
        <v/>
      </c>
      <c r="BK174" s="4">
        <f>IF(AY174="","",(BI174+BJ174)/2)</f>
        <v/>
      </c>
      <c r="BL174" s="4">
        <f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4">
        <f>IF(AY174="","",IF(BL174&lt;AY174,BK174,BI174))</f>
        <v/>
      </c>
      <c r="BN174" s="4">
        <f>IF(AY174="","",IF(BL174&lt;AY174,BJ174,BK174))</f>
        <v/>
      </c>
      <c r="BO174" s="4">
        <f>IF(AY174="","",(BM174+BN174)/2)</f>
        <v/>
      </c>
      <c r="BP174" s="4">
        <f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4">
        <f>IF(AY174="","",IF(BP174&lt;AY174,BO174,BM174))</f>
        <v/>
      </c>
      <c r="BR174" s="4">
        <f>IF(AY174="","",IF(BP174&lt;AY174,BN174,BO174))</f>
        <v/>
      </c>
      <c r="BS174" s="4">
        <f>IF(AY174="","",(BQ174+BR174)/2)</f>
        <v/>
      </c>
      <c r="BT174" s="4">
        <f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4">
        <f>IF(AY174="","",IF(BT174&lt;AY174,BS174,BQ174))</f>
        <v/>
      </c>
      <c r="BV174" s="4">
        <f>IF(AY174="","",IF(BT174&lt;AY174,BR174,BS174))</f>
        <v/>
      </c>
      <c r="BW174" s="4">
        <f>IF(AY174="","",(BU174+BV174)/2)</f>
        <v/>
      </c>
      <c r="BX174" s="4">
        <f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4">
        <f>IF(AY174="","",IF(BX174&lt;AY174,BW174,BU174))</f>
        <v/>
      </c>
      <c r="BZ174" s="4">
        <f>IF(AY174="","",IF(BX174&lt;AY174,BV174,BW174))</f>
        <v/>
      </c>
      <c r="CA174" s="4">
        <f>IF(AY174="","",(BY174+BZ174)/2)</f>
        <v/>
      </c>
      <c r="CB174" s="4">
        <f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4">
        <f>IF(AY174="","",IF(CB174&lt;AY174,CA174,BY174))</f>
        <v/>
      </c>
      <c r="CD174" s="4">
        <f>IF(AY174="","",IF(CB174&lt;AY174,BZ174,CA174))</f>
        <v/>
      </c>
      <c r="CE174" s="4">
        <f>IF(AY174="","",(CC174+CD174)/2)</f>
        <v/>
      </c>
    </row>
    <row r="175">
      <c r="A175" s="4" t="n"/>
      <c r="B175" s="4" t="n"/>
      <c r="C175" s="8" t="n"/>
      <c r="D175" s="8" t="n"/>
      <c r="E175" s="8">
        <f>SUMIFS(CB_Tributaires!$G:$G,CB_Tributaires!$F:$F,$A175)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IF(A175="","",IF(F175="","",2.78E-7*IF(G175&lt;&gt;"",G175,IFERROR(SUMIFS(CB_Tributaires!$H:$H,CB_Tributaires!$F:$F,$A175)/SUMIFS(CB_Tributaires!$G:$G,CB_Tributaires!$F:$F,$A175),Inputs!$B$17))*F175*I175))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7">
        <f>IF(AY175="","",CE175)</f>
        <v/>
      </c>
      <c r="AX175" s="7">
        <f>IF(OR(AY175="",AW175="",R175="",R175&lt;=0,AW175&lt;=0),"",AY175/((R175^2/8)*(2*ACOS(1-2*AW175/R175)-SIN(2*ACOS(1-2*AW175/R175)))))</f>
        <v/>
      </c>
      <c r="AY175" s="4">
        <f>IF(OR(L175="",AZ175=""),"",MIN(L175,AZ175))</f>
        <v/>
      </c>
      <c r="AZ175" s="4">
        <f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4">
        <f>IF(AY175="","",0.001*R175)</f>
        <v/>
      </c>
      <c r="BB175" s="4">
        <f>IF(AY175="","",0.94*R175)</f>
        <v/>
      </c>
      <c r="BC175" s="4">
        <f>IF(AY175="","",(BA175+BB175)/2)</f>
        <v/>
      </c>
      <c r="BD175" s="4">
        <f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4">
        <f>IF(AY175="","",IF(BD175&lt;AY175,BC175,BA175))</f>
        <v/>
      </c>
      <c r="BF175" s="4">
        <f>IF(AY175="","",IF(BD175&lt;AY175,BB175,BC175))</f>
        <v/>
      </c>
      <c r="BG175" s="4">
        <f>IF(AY175="","",(BE175+BF175)/2)</f>
        <v/>
      </c>
      <c r="BH175" s="4">
        <f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4">
        <f>IF(AY175="","",IF(BH175&lt;AY175,BG175,BE175))</f>
        <v/>
      </c>
      <c r="BJ175" s="4">
        <f>IF(AY175="","",IF(BH175&lt;AY175,BF175,BG175))</f>
        <v/>
      </c>
      <c r="BK175" s="4">
        <f>IF(AY175="","",(BI175+BJ175)/2)</f>
        <v/>
      </c>
      <c r="BL175" s="4">
        <f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4">
        <f>IF(AY175="","",IF(BL175&lt;AY175,BK175,BI175))</f>
        <v/>
      </c>
      <c r="BN175" s="4">
        <f>IF(AY175="","",IF(BL175&lt;AY175,BJ175,BK175))</f>
        <v/>
      </c>
      <c r="BO175" s="4">
        <f>IF(AY175="","",(BM175+BN175)/2)</f>
        <v/>
      </c>
      <c r="BP175" s="4">
        <f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4">
        <f>IF(AY175="","",IF(BP175&lt;AY175,BO175,BM175))</f>
        <v/>
      </c>
      <c r="BR175" s="4">
        <f>IF(AY175="","",IF(BP175&lt;AY175,BN175,BO175))</f>
        <v/>
      </c>
      <c r="BS175" s="4">
        <f>IF(AY175="","",(BQ175+BR175)/2)</f>
        <v/>
      </c>
      <c r="BT175" s="4">
        <f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4">
        <f>IF(AY175="","",IF(BT175&lt;AY175,BS175,BQ175))</f>
        <v/>
      </c>
      <c r="BV175" s="4">
        <f>IF(AY175="","",IF(BT175&lt;AY175,BR175,BS175))</f>
        <v/>
      </c>
      <c r="BW175" s="4">
        <f>IF(AY175="","",(BU175+BV175)/2)</f>
        <v/>
      </c>
      <c r="BX175" s="4">
        <f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4">
        <f>IF(AY175="","",IF(BX175&lt;AY175,BW175,BU175))</f>
        <v/>
      </c>
      <c r="BZ175" s="4">
        <f>IF(AY175="","",IF(BX175&lt;AY175,BV175,BW175))</f>
        <v/>
      </c>
      <c r="CA175" s="4">
        <f>IF(AY175="","",(BY175+BZ175)/2)</f>
        <v/>
      </c>
      <c r="CB175" s="4">
        <f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4">
        <f>IF(AY175="","",IF(CB175&lt;AY175,CA175,BY175))</f>
        <v/>
      </c>
      <c r="CD175" s="4">
        <f>IF(AY175="","",IF(CB175&lt;AY175,BZ175,CA175))</f>
        <v/>
      </c>
      <c r="CE175" s="4">
        <f>IF(AY175="","",(CC175+CD175)/2)</f>
        <v/>
      </c>
    </row>
    <row r="176">
      <c r="A176" s="4" t="n"/>
      <c r="B176" s="4" t="n"/>
      <c r="C176" s="8" t="n"/>
      <c r="D176" s="8" t="n"/>
      <c r="E176" s="8">
        <f>SUMIFS(CB_Tributaires!$G:$G,CB_Tributaires!$F:$F,$A176)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IF(A176="","",IF(F176="","",2.78E-7*IF(G176&lt;&gt;"",G176,IFERROR(SUMIFS(CB_Tributaires!$H:$H,CB_Tributaires!$F:$F,$A176)/SUMIFS(CB_Tributaires!$G:$G,CB_Tributaires!$F:$F,$A176),Inputs!$B$17))*F176*I176))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7">
        <f>IF(AY176="","",CE176)</f>
        <v/>
      </c>
      <c r="AX176" s="7">
        <f>IF(OR(AY176="",AW176="",R176="",R176&lt;=0,AW176&lt;=0),"",AY176/((R176^2/8)*(2*ACOS(1-2*AW176/R176)-SIN(2*ACOS(1-2*AW176/R176)))))</f>
        <v/>
      </c>
      <c r="AY176" s="4">
        <f>IF(OR(L176="",AZ176=""),"",MIN(L176,AZ176))</f>
        <v/>
      </c>
      <c r="AZ176" s="4">
        <f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4">
        <f>IF(AY176="","",0.001*R176)</f>
        <v/>
      </c>
      <c r="BB176" s="4">
        <f>IF(AY176="","",0.94*R176)</f>
        <v/>
      </c>
      <c r="BC176" s="4">
        <f>IF(AY176="","",(BA176+BB176)/2)</f>
        <v/>
      </c>
      <c r="BD176" s="4">
        <f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4">
        <f>IF(AY176="","",IF(BD176&lt;AY176,BC176,BA176))</f>
        <v/>
      </c>
      <c r="BF176" s="4">
        <f>IF(AY176="","",IF(BD176&lt;AY176,BB176,BC176))</f>
        <v/>
      </c>
      <c r="BG176" s="4">
        <f>IF(AY176="","",(BE176+BF176)/2)</f>
        <v/>
      </c>
      <c r="BH176" s="4">
        <f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4">
        <f>IF(AY176="","",IF(BH176&lt;AY176,BG176,BE176))</f>
        <v/>
      </c>
      <c r="BJ176" s="4">
        <f>IF(AY176="","",IF(BH176&lt;AY176,BF176,BG176))</f>
        <v/>
      </c>
      <c r="BK176" s="4">
        <f>IF(AY176="","",(BI176+BJ176)/2)</f>
        <v/>
      </c>
      <c r="BL176" s="4">
        <f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4">
        <f>IF(AY176="","",IF(BL176&lt;AY176,BK176,BI176))</f>
        <v/>
      </c>
      <c r="BN176" s="4">
        <f>IF(AY176="","",IF(BL176&lt;AY176,BJ176,BK176))</f>
        <v/>
      </c>
      <c r="BO176" s="4">
        <f>IF(AY176="","",(BM176+BN176)/2)</f>
        <v/>
      </c>
      <c r="BP176" s="4">
        <f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4">
        <f>IF(AY176="","",IF(BP176&lt;AY176,BO176,BM176))</f>
        <v/>
      </c>
      <c r="BR176" s="4">
        <f>IF(AY176="","",IF(BP176&lt;AY176,BN176,BO176))</f>
        <v/>
      </c>
      <c r="BS176" s="4">
        <f>IF(AY176="","",(BQ176+BR176)/2)</f>
        <v/>
      </c>
      <c r="BT176" s="4">
        <f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4">
        <f>IF(AY176="","",IF(BT176&lt;AY176,BS176,BQ176))</f>
        <v/>
      </c>
      <c r="BV176" s="4">
        <f>IF(AY176="","",IF(BT176&lt;AY176,BR176,BS176))</f>
        <v/>
      </c>
      <c r="BW176" s="4">
        <f>IF(AY176="","",(BU176+BV176)/2)</f>
        <v/>
      </c>
      <c r="BX176" s="4">
        <f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4">
        <f>IF(AY176="","",IF(BX176&lt;AY176,BW176,BU176))</f>
        <v/>
      </c>
      <c r="BZ176" s="4">
        <f>IF(AY176="","",IF(BX176&lt;AY176,BV176,BW176))</f>
        <v/>
      </c>
      <c r="CA176" s="4">
        <f>IF(AY176="","",(BY176+BZ176)/2)</f>
        <v/>
      </c>
      <c r="CB176" s="4">
        <f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4">
        <f>IF(AY176="","",IF(CB176&lt;AY176,CA176,BY176))</f>
        <v/>
      </c>
      <c r="CD176" s="4">
        <f>IF(AY176="","",IF(CB176&lt;AY176,BZ176,CA176))</f>
        <v/>
      </c>
      <c r="CE176" s="4">
        <f>IF(AY176="","",(CC176+CD176)/2)</f>
        <v/>
      </c>
    </row>
    <row r="177">
      <c r="A177" s="4" t="n"/>
      <c r="B177" s="4" t="n"/>
      <c r="C177" s="8" t="n"/>
      <c r="D177" s="8" t="n"/>
      <c r="E177" s="8">
        <f>SUMIFS(CB_Tributaires!$G:$G,CB_Tributaires!$F:$F,$A177)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IF(A177="","",IF(F177="","",2.78E-7*IF(G177&lt;&gt;"",G177,IFERROR(SUMIFS(CB_Tributaires!$H:$H,CB_Tributaires!$F:$F,$A177)/SUMIFS(CB_Tributaires!$G:$G,CB_Tributaires!$F:$F,$A177),Inputs!$B$17))*F177*I177))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7">
        <f>IF(AY177="","",CE177)</f>
        <v/>
      </c>
      <c r="AX177" s="7">
        <f>IF(OR(AY177="",AW177="",R177="",R177&lt;=0,AW177&lt;=0),"",AY177/((R177^2/8)*(2*ACOS(1-2*AW177/R177)-SIN(2*ACOS(1-2*AW177/R177)))))</f>
        <v/>
      </c>
      <c r="AY177" s="4">
        <f>IF(OR(L177="",AZ177=""),"",MIN(L177,AZ177))</f>
        <v/>
      </c>
      <c r="AZ177" s="4">
        <f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4">
        <f>IF(AY177="","",0.001*R177)</f>
        <v/>
      </c>
      <c r="BB177" s="4">
        <f>IF(AY177="","",0.94*R177)</f>
        <v/>
      </c>
      <c r="BC177" s="4">
        <f>IF(AY177="","",(BA177+BB177)/2)</f>
        <v/>
      </c>
      <c r="BD177" s="4">
        <f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4">
        <f>IF(AY177="","",IF(BD177&lt;AY177,BC177,BA177))</f>
        <v/>
      </c>
      <c r="BF177" s="4">
        <f>IF(AY177="","",IF(BD177&lt;AY177,BB177,BC177))</f>
        <v/>
      </c>
      <c r="BG177" s="4">
        <f>IF(AY177="","",(BE177+BF177)/2)</f>
        <v/>
      </c>
      <c r="BH177" s="4">
        <f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4">
        <f>IF(AY177="","",IF(BH177&lt;AY177,BG177,BE177))</f>
        <v/>
      </c>
      <c r="BJ177" s="4">
        <f>IF(AY177="","",IF(BH177&lt;AY177,BF177,BG177))</f>
        <v/>
      </c>
      <c r="BK177" s="4">
        <f>IF(AY177="","",(BI177+BJ177)/2)</f>
        <v/>
      </c>
      <c r="BL177" s="4">
        <f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4">
        <f>IF(AY177="","",IF(BL177&lt;AY177,BK177,BI177))</f>
        <v/>
      </c>
      <c r="BN177" s="4">
        <f>IF(AY177="","",IF(BL177&lt;AY177,BJ177,BK177))</f>
        <v/>
      </c>
      <c r="BO177" s="4">
        <f>IF(AY177="","",(BM177+BN177)/2)</f>
        <v/>
      </c>
      <c r="BP177" s="4">
        <f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4">
        <f>IF(AY177="","",IF(BP177&lt;AY177,BO177,BM177))</f>
        <v/>
      </c>
      <c r="BR177" s="4">
        <f>IF(AY177="","",IF(BP177&lt;AY177,BN177,BO177))</f>
        <v/>
      </c>
      <c r="BS177" s="4">
        <f>IF(AY177="","",(BQ177+BR177)/2)</f>
        <v/>
      </c>
      <c r="BT177" s="4">
        <f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4">
        <f>IF(AY177="","",IF(BT177&lt;AY177,BS177,BQ177))</f>
        <v/>
      </c>
      <c r="BV177" s="4">
        <f>IF(AY177="","",IF(BT177&lt;AY177,BR177,BS177))</f>
        <v/>
      </c>
      <c r="BW177" s="4">
        <f>IF(AY177="","",(BU177+BV177)/2)</f>
        <v/>
      </c>
      <c r="BX177" s="4">
        <f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4">
        <f>IF(AY177="","",IF(BX177&lt;AY177,BW177,BU177))</f>
        <v/>
      </c>
      <c r="BZ177" s="4">
        <f>IF(AY177="","",IF(BX177&lt;AY177,BV177,BW177))</f>
        <v/>
      </c>
      <c r="CA177" s="4">
        <f>IF(AY177="","",(BY177+BZ177)/2)</f>
        <v/>
      </c>
      <c r="CB177" s="4">
        <f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4">
        <f>IF(AY177="","",IF(CB177&lt;AY177,CA177,BY177))</f>
        <v/>
      </c>
      <c r="CD177" s="4">
        <f>IF(AY177="","",IF(CB177&lt;AY177,BZ177,CA177))</f>
        <v/>
      </c>
      <c r="CE177" s="4">
        <f>IF(AY177="","",(CC177+CD177)/2)</f>
        <v/>
      </c>
    </row>
    <row r="178">
      <c r="A178" s="4" t="n"/>
      <c r="B178" s="4" t="n"/>
      <c r="C178" s="8" t="n"/>
      <c r="D178" s="8" t="n"/>
      <c r="E178" s="8">
        <f>SUMIFS(CB_Tributaires!$G:$G,CB_Tributaires!$F:$F,$A178)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IF(A178="","",IF(F178="","",2.78E-7*IF(G178&lt;&gt;"",G178,IFERROR(SUMIFS(CB_Tributaires!$H:$H,CB_Tributaires!$F:$F,$A178)/SUMIFS(CB_Tributaires!$G:$G,CB_Tributaires!$F:$F,$A178),Inputs!$B$17))*F178*I178))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7">
        <f>IF(AY178="","",CE178)</f>
        <v/>
      </c>
      <c r="AX178" s="7">
        <f>IF(OR(AY178="",AW178="",R178="",R178&lt;=0,AW178&lt;=0),"",AY178/((R178^2/8)*(2*ACOS(1-2*AW178/R178)-SIN(2*ACOS(1-2*AW178/R178)))))</f>
        <v/>
      </c>
      <c r="AY178" s="4">
        <f>IF(OR(L178="",AZ178=""),"",MIN(L178,AZ178))</f>
        <v/>
      </c>
      <c r="AZ178" s="4">
        <f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4">
        <f>IF(AY178="","",0.001*R178)</f>
        <v/>
      </c>
      <c r="BB178" s="4">
        <f>IF(AY178="","",0.94*R178)</f>
        <v/>
      </c>
      <c r="BC178" s="4">
        <f>IF(AY178="","",(BA178+BB178)/2)</f>
        <v/>
      </c>
      <c r="BD178" s="4">
        <f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4">
        <f>IF(AY178="","",IF(BD178&lt;AY178,BC178,BA178))</f>
        <v/>
      </c>
      <c r="BF178" s="4">
        <f>IF(AY178="","",IF(BD178&lt;AY178,BB178,BC178))</f>
        <v/>
      </c>
      <c r="BG178" s="4">
        <f>IF(AY178="","",(BE178+BF178)/2)</f>
        <v/>
      </c>
      <c r="BH178" s="4">
        <f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4">
        <f>IF(AY178="","",IF(BH178&lt;AY178,BG178,BE178))</f>
        <v/>
      </c>
      <c r="BJ178" s="4">
        <f>IF(AY178="","",IF(BH178&lt;AY178,BF178,BG178))</f>
        <v/>
      </c>
      <c r="BK178" s="4">
        <f>IF(AY178="","",(BI178+BJ178)/2)</f>
        <v/>
      </c>
      <c r="BL178" s="4">
        <f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4">
        <f>IF(AY178="","",IF(BL178&lt;AY178,BK178,BI178))</f>
        <v/>
      </c>
      <c r="BN178" s="4">
        <f>IF(AY178="","",IF(BL178&lt;AY178,BJ178,BK178))</f>
        <v/>
      </c>
      <c r="BO178" s="4">
        <f>IF(AY178="","",(BM178+BN178)/2)</f>
        <v/>
      </c>
      <c r="BP178" s="4">
        <f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4">
        <f>IF(AY178="","",IF(BP178&lt;AY178,BO178,BM178))</f>
        <v/>
      </c>
      <c r="BR178" s="4">
        <f>IF(AY178="","",IF(BP178&lt;AY178,BN178,BO178))</f>
        <v/>
      </c>
      <c r="BS178" s="4">
        <f>IF(AY178="","",(BQ178+BR178)/2)</f>
        <v/>
      </c>
      <c r="BT178" s="4">
        <f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4">
        <f>IF(AY178="","",IF(BT178&lt;AY178,BS178,BQ178))</f>
        <v/>
      </c>
      <c r="BV178" s="4">
        <f>IF(AY178="","",IF(BT178&lt;AY178,BR178,BS178))</f>
        <v/>
      </c>
      <c r="BW178" s="4">
        <f>IF(AY178="","",(BU178+BV178)/2)</f>
        <v/>
      </c>
      <c r="BX178" s="4">
        <f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4">
        <f>IF(AY178="","",IF(BX178&lt;AY178,BW178,BU178))</f>
        <v/>
      </c>
      <c r="BZ178" s="4">
        <f>IF(AY178="","",IF(BX178&lt;AY178,BV178,BW178))</f>
        <v/>
      </c>
      <c r="CA178" s="4">
        <f>IF(AY178="","",(BY178+BZ178)/2)</f>
        <v/>
      </c>
      <c r="CB178" s="4">
        <f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4">
        <f>IF(AY178="","",IF(CB178&lt;AY178,CA178,BY178))</f>
        <v/>
      </c>
      <c r="CD178" s="4">
        <f>IF(AY178="","",IF(CB178&lt;AY178,BZ178,CA178))</f>
        <v/>
      </c>
      <c r="CE178" s="4">
        <f>IF(AY178="","",(CC178+CD178)/2)</f>
        <v/>
      </c>
    </row>
    <row r="179">
      <c r="A179" s="4" t="n"/>
      <c r="B179" s="4" t="n"/>
      <c r="C179" s="8" t="n"/>
      <c r="D179" s="8" t="n"/>
      <c r="E179" s="8">
        <f>SUMIFS(CB_Tributaires!$G:$G,CB_Tributaires!$F:$F,$A179)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IF(A179="","",IF(F179="","",2.78E-7*IF(G179&lt;&gt;"",G179,IFERROR(SUMIFS(CB_Tributaires!$H:$H,CB_Tributaires!$F:$F,$A179)/SUMIFS(CB_Tributaires!$G:$G,CB_Tributaires!$F:$F,$A179),Inputs!$B$17))*F179*I179))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7">
        <f>IF(AY179="","",CE179)</f>
        <v/>
      </c>
      <c r="AX179" s="7">
        <f>IF(OR(AY179="",AW179="",R179="",R179&lt;=0,AW179&lt;=0),"",AY179/((R179^2/8)*(2*ACOS(1-2*AW179/R179)-SIN(2*ACOS(1-2*AW179/R179)))))</f>
        <v/>
      </c>
      <c r="AY179" s="4">
        <f>IF(OR(L179="",AZ179=""),"",MIN(L179,AZ179))</f>
        <v/>
      </c>
      <c r="AZ179" s="4">
        <f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4">
        <f>IF(AY179="","",0.001*R179)</f>
        <v/>
      </c>
      <c r="BB179" s="4">
        <f>IF(AY179="","",0.94*R179)</f>
        <v/>
      </c>
      <c r="BC179" s="4">
        <f>IF(AY179="","",(BA179+BB179)/2)</f>
        <v/>
      </c>
      <c r="BD179" s="4">
        <f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4">
        <f>IF(AY179="","",IF(BD179&lt;AY179,BC179,BA179))</f>
        <v/>
      </c>
      <c r="BF179" s="4">
        <f>IF(AY179="","",IF(BD179&lt;AY179,BB179,BC179))</f>
        <v/>
      </c>
      <c r="BG179" s="4">
        <f>IF(AY179="","",(BE179+BF179)/2)</f>
        <v/>
      </c>
      <c r="BH179" s="4">
        <f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4">
        <f>IF(AY179="","",IF(BH179&lt;AY179,BG179,BE179))</f>
        <v/>
      </c>
      <c r="BJ179" s="4">
        <f>IF(AY179="","",IF(BH179&lt;AY179,BF179,BG179))</f>
        <v/>
      </c>
      <c r="BK179" s="4">
        <f>IF(AY179="","",(BI179+BJ179)/2)</f>
        <v/>
      </c>
      <c r="BL179" s="4">
        <f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4">
        <f>IF(AY179="","",IF(BL179&lt;AY179,BK179,BI179))</f>
        <v/>
      </c>
      <c r="BN179" s="4">
        <f>IF(AY179="","",IF(BL179&lt;AY179,BJ179,BK179))</f>
        <v/>
      </c>
      <c r="BO179" s="4">
        <f>IF(AY179="","",(BM179+BN179)/2)</f>
        <v/>
      </c>
      <c r="BP179" s="4">
        <f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4">
        <f>IF(AY179="","",IF(BP179&lt;AY179,BO179,BM179))</f>
        <v/>
      </c>
      <c r="BR179" s="4">
        <f>IF(AY179="","",IF(BP179&lt;AY179,BN179,BO179))</f>
        <v/>
      </c>
      <c r="BS179" s="4">
        <f>IF(AY179="","",(BQ179+BR179)/2)</f>
        <v/>
      </c>
      <c r="BT179" s="4">
        <f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4">
        <f>IF(AY179="","",IF(BT179&lt;AY179,BS179,BQ179))</f>
        <v/>
      </c>
      <c r="BV179" s="4">
        <f>IF(AY179="","",IF(BT179&lt;AY179,BR179,BS179))</f>
        <v/>
      </c>
      <c r="BW179" s="4">
        <f>IF(AY179="","",(BU179+BV179)/2)</f>
        <v/>
      </c>
      <c r="BX179" s="4">
        <f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4">
        <f>IF(AY179="","",IF(BX179&lt;AY179,BW179,BU179))</f>
        <v/>
      </c>
      <c r="BZ179" s="4">
        <f>IF(AY179="","",IF(BX179&lt;AY179,BV179,BW179))</f>
        <v/>
      </c>
      <c r="CA179" s="4">
        <f>IF(AY179="","",(BY179+BZ179)/2)</f>
        <v/>
      </c>
      <c r="CB179" s="4">
        <f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4">
        <f>IF(AY179="","",IF(CB179&lt;AY179,CA179,BY179))</f>
        <v/>
      </c>
      <c r="CD179" s="4">
        <f>IF(AY179="","",IF(CB179&lt;AY179,BZ179,CA179))</f>
        <v/>
      </c>
      <c r="CE179" s="4">
        <f>IF(AY179="","",(CC179+CD179)/2)</f>
        <v/>
      </c>
    </row>
    <row r="180">
      <c r="A180" s="4" t="n"/>
      <c r="B180" s="4" t="n"/>
      <c r="C180" s="8" t="n"/>
      <c r="D180" s="8" t="n"/>
      <c r="E180" s="8">
        <f>SUMIFS(CB_Tributaires!$G:$G,CB_Tributaires!$F:$F,$A180)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IF(A180="","",IF(F180="","",2.78E-7*IF(G180&lt;&gt;"",G180,IFERROR(SUMIFS(CB_Tributaires!$H:$H,CB_Tributaires!$F:$F,$A180)/SUMIFS(CB_Tributaires!$G:$G,CB_Tributaires!$F:$F,$A180),Inputs!$B$17))*F180*I180))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7">
        <f>IF(AY180="","",CE180)</f>
        <v/>
      </c>
      <c r="AX180" s="7">
        <f>IF(OR(AY180="",AW180="",R180="",R180&lt;=0,AW180&lt;=0),"",AY180/((R180^2/8)*(2*ACOS(1-2*AW180/R180)-SIN(2*ACOS(1-2*AW180/R180)))))</f>
        <v/>
      </c>
      <c r="AY180" s="4">
        <f>IF(OR(L180="",AZ180=""),"",MIN(L180,AZ180))</f>
        <v/>
      </c>
      <c r="AZ180" s="4">
        <f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4">
        <f>IF(AY180="","",0.001*R180)</f>
        <v/>
      </c>
      <c r="BB180" s="4">
        <f>IF(AY180="","",0.94*R180)</f>
        <v/>
      </c>
      <c r="BC180" s="4">
        <f>IF(AY180="","",(BA180+BB180)/2)</f>
        <v/>
      </c>
      <c r="BD180" s="4">
        <f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4">
        <f>IF(AY180="","",IF(BD180&lt;AY180,BC180,BA180))</f>
        <v/>
      </c>
      <c r="BF180" s="4">
        <f>IF(AY180="","",IF(BD180&lt;AY180,BB180,BC180))</f>
        <v/>
      </c>
      <c r="BG180" s="4">
        <f>IF(AY180="","",(BE180+BF180)/2)</f>
        <v/>
      </c>
      <c r="BH180" s="4">
        <f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4">
        <f>IF(AY180="","",IF(BH180&lt;AY180,BG180,BE180))</f>
        <v/>
      </c>
      <c r="BJ180" s="4">
        <f>IF(AY180="","",IF(BH180&lt;AY180,BF180,BG180))</f>
        <v/>
      </c>
      <c r="BK180" s="4">
        <f>IF(AY180="","",(BI180+BJ180)/2)</f>
        <v/>
      </c>
      <c r="BL180" s="4">
        <f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4">
        <f>IF(AY180="","",IF(BL180&lt;AY180,BK180,BI180))</f>
        <v/>
      </c>
      <c r="BN180" s="4">
        <f>IF(AY180="","",IF(BL180&lt;AY180,BJ180,BK180))</f>
        <v/>
      </c>
      <c r="BO180" s="4">
        <f>IF(AY180="","",(BM180+BN180)/2)</f>
        <v/>
      </c>
      <c r="BP180" s="4">
        <f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4">
        <f>IF(AY180="","",IF(BP180&lt;AY180,BO180,BM180))</f>
        <v/>
      </c>
      <c r="BR180" s="4">
        <f>IF(AY180="","",IF(BP180&lt;AY180,BN180,BO180))</f>
        <v/>
      </c>
      <c r="BS180" s="4">
        <f>IF(AY180="","",(BQ180+BR180)/2)</f>
        <v/>
      </c>
      <c r="BT180" s="4">
        <f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4">
        <f>IF(AY180="","",IF(BT180&lt;AY180,BS180,BQ180))</f>
        <v/>
      </c>
      <c r="BV180" s="4">
        <f>IF(AY180="","",IF(BT180&lt;AY180,BR180,BS180))</f>
        <v/>
      </c>
      <c r="BW180" s="4">
        <f>IF(AY180="","",(BU180+BV180)/2)</f>
        <v/>
      </c>
      <c r="BX180" s="4">
        <f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4">
        <f>IF(AY180="","",IF(BX180&lt;AY180,BW180,BU180))</f>
        <v/>
      </c>
      <c r="BZ180" s="4">
        <f>IF(AY180="","",IF(BX180&lt;AY180,BV180,BW180))</f>
        <v/>
      </c>
      <c r="CA180" s="4">
        <f>IF(AY180="","",(BY180+BZ180)/2)</f>
        <v/>
      </c>
      <c r="CB180" s="4">
        <f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4">
        <f>IF(AY180="","",IF(CB180&lt;AY180,CA180,BY180))</f>
        <v/>
      </c>
      <c r="CD180" s="4">
        <f>IF(AY180="","",IF(CB180&lt;AY180,BZ180,CA180))</f>
        <v/>
      </c>
      <c r="CE180" s="4">
        <f>IF(AY180="","",(CC180+CD180)/2)</f>
        <v/>
      </c>
    </row>
    <row r="181">
      <c r="A181" s="4" t="n"/>
      <c r="B181" s="4" t="n"/>
      <c r="C181" s="8" t="n"/>
      <c r="D181" s="8" t="n"/>
      <c r="E181" s="8">
        <f>SUMIFS(CB_Tributaires!$G:$G,CB_Tributaires!$F:$F,$A181)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IF(A181="","",IF(F181="","",2.78E-7*IF(G181&lt;&gt;"",G181,IFERROR(SUMIFS(CB_Tributaires!$H:$H,CB_Tributaires!$F:$F,$A181)/SUMIFS(CB_Tributaires!$G:$G,CB_Tributaires!$F:$F,$A181),Inputs!$B$17))*F181*I181))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7">
        <f>IF(AY181="","",CE181)</f>
        <v/>
      </c>
      <c r="AX181" s="7">
        <f>IF(OR(AY181="",AW181="",R181="",R181&lt;=0,AW181&lt;=0),"",AY181/((R181^2/8)*(2*ACOS(1-2*AW181/R181)-SIN(2*ACOS(1-2*AW181/R181)))))</f>
        <v/>
      </c>
      <c r="AY181" s="4">
        <f>IF(OR(L181="",AZ181=""),"",MIN(L181,AZ181))</f>
        <v/>
      </c>
      <c r="AZ181" s="4">
        <f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4">
        <f>IF(AY181="","",0.001*R181)</f>
        <v/>
      </c>
      <c r="BB181" s="4">
        <f>IF(AY181="","",0.94*R181)</f>
        <v/>
      </c>
      <c r="BC181" s="4">
        <f>IF(AY181="","",(BA181+BB181)/2)</f>
        <v/>
      </c>
      <c r="BD181" s="4">
        <f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4">
        <f>IF(AY181="","",IF(BD181&lt;AY181,BC181,BA181))</f>
        <v/>
      </c>
      <c r="BF181" s="4">
        <f>IF(AY181="","",IF(BD181&lt;AY181,BB181,BC181))</f>
        <v/>
      </c>
      <c r="BG181" s="4">
        <f>IF(AY181="","",(BE181+BF181)/2)</f>
        <v/>
      </c>
      <c r="BH181" s="4">
        <f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4">
        <f>IF(AY181="","",IF(BH181&lt;AY181,BG181,BE181))</f>
        <v/>
      </c>
      <c r="BJ181" s="4">
        <f>IF(AY181="","",IF(BH181&lt;AY181,BF181,BG181))</f>
        <v/>
      </c>
      <c r="BK181" s="4">
        <f>IF(AY181="","",(BI181+BJ181)/2)</f>
        <v/>
      </c>
      <c r="BL181" s="4">
        <f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4">
        <f>IF(AY181="","",IF(BL181&lt;AY181,BK181,BI181))</f>
        <v/>
      </c>
      <c r="BN181" s="4">
        <f>IF(AY181="","",IF(BL181&lt;AY181,BJ181,BK181))</f>
        <v/>
      </c>
      <c r="BO181" s="4">
        <f>IF(AY181="","",(BM181+BN181)/2)</f>
        <v/>
      </c>
      <c r="BP181" s="4">
        <f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4">
        <f>IF(AY181="","",IF(BP181&lt;AY181,BO181,BM181))</f>
        <v/>
      </c>
      <c r="BR181" s="4">
        <f>IF(AY181="","",IF(BP181&lt;AY181,BN181,BO181))</f>
        <v/>
      </c>
      <c r="BS181" s="4">
        <f>IF(AY181="","",(BQ181+BR181)/2)</f>
        <v/>
      </c>
      <c r="BT181" s="4">
        <f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4">
        <f>IF(AY181="","",IF(BT181&lt;AY181,BS181,BQ181))</f>
        <v/>
      </c>
      <c r="BV181" s="4">
        <f>IF(AY181="","",IF(BT181&lt;AY181,BR181,BS181))</f>
        <v/>
      </c>
      <c r="BW181" s="4">
        <f>IF(AY181="","",(BU181+BV181)/2)</f>
        <v/>
      </c>
      <c r="BX181" s="4">
        <f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4">
        <f>IF(AY181="","",IF(BX181&lt;AY181,BW181,BU181))</f>
        <v/>
      </c>
      <c r="BZ181" s="4">
        <f>IF(AY181="","",IF(BX181&lt;AY181,BV181,BW181))</f>
        <v/>
      </c>
      <c r="CA181" s="4">
        <f>IF(AY181="","",(BY181+BZ181)/2)</f>
        <v/>
      </c>
      <c r="CB181" s="4">
        <f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4">
        <f>IF(AY181="","",IF(CB181&lt;AY181,CA181,BY181))</f>
        <v/>
      </c>
      <c r="CD181" s="4">
        <f>IF(AY181="","",IF(CB181&lt;AY181,BZ181,CA181))</f>
        <v/>
      </c>
      <c r="CE181" s="4">
        <f>IF(AY181="","",(CC181+CD181)/2)</f>
        <v/>
      </c>
    </row>
    <row r="182">
      <c r="A182" s="4" t="n"/>
      <c r="B182" s="4" t="n"/>
      <c r="C182" s="8" t="n"/>
      <c r="D182" s="8" t="n"/>
      <c r="E182" s="8">
        <f>SUMIFS(CB_Tributaires!$G:$G,CB_Tributaires!$F:$F,$A182)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IF(A182="","",IF(F182="","",2.78E-7*IF(G182&lt;&gt;"",G182,IFERROR(SUMIFS(CB_Tributaires!$H:$H,CB_Tributaires!$F:$F,$A182)/SUMIFS(CB_Tributaires!$G:$G,CB_Tributaires!$F:$F,$A182),Inputs!$B$17))*F182*I182))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7">
        <f>IF(AY182="","",CE182)</f>
        <v/>
      </c>
      <c r="AX182" s="7">
        <f>IF(OR(AY182="",AW182="",R182="",R182&lt;=0,AW182&lt;=0),"",AY182/((R182^2/8)*(2*ACOS(1-2*AW182/R182)-SIN(2*ACOS(1-2*AW182/R182)))))</f>
        <v/>
      </c>
      <c r="AY182" s="4">
        <f>IF(OR(L182="",AZ182=""),"",MIN(L182,AZ182))</f>
        <v/>
      </c>
      <c r="AZ182" s="4">
        <f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4">
        <f>IF(AY182="","",0.001*R182)</f>
        <v/>
      </c>
      <c r="BB182" s="4">
        <f>IF(AY182="","",0.94*R182)</f>
        <v/>
      </c>
      <c r="BC182" s="4">
        <f>IF(AY182="","",(BA182+BB182)/2)</f>
        <v/>
      </c>
      <c r="BD182" s="4">
        <f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4">
        <f>IF(AY182="","",IF(BD182&lt;AY182,BC182,BA182))</f>
        <v/>
      </c>
      <c r="BF182" s="4">
        <f>IF(AY182="","",IF(BD182&lt;AY182,BB182,BC182))</f>
        <v/>
      </c>
      <c r="BG182" s="4">
        <f>IF(AY182="","",(BE182+BF182)/2)</f>
        <v/>
      </c>
      <c r="BH182" s="4">
        <f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4">
        <f>IF(AY182="","",IF(BH182&lt;AY182,BG182,BE182))</f>
        <v/>
      </c>
      <c r="BJ182" s="4">
        <f>IF(AY182="","",IF(BH182&lt;AY182,BF182,BG182))</f>
        <v/>
      </c>
      <c r="BK182" s="4">
        <f>IF(AY182="","",(BI182+BJ182)/2)</f>
        <v/>
      </c>
      <c r="BL182" s="4">
        <f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4">
        <f>IF(AY182="","",IF(BL182&lt;AY182,BK182,BI182))</f>
        <v/>
      </c>
      <c r="BN182" s="4">
        <f>IF(AY182="","",IF(BL182&lt;AY182,BJ182,BK182))</f>
        <v/>
      </c>
      <c r="BO182" s="4">
        <f>IF(AY182="","",(BM182+BN182)/2)</f>
        <v/>
      </c>
      <c r="BP182" s="4">
        <f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4">
        <f>IF(AY182="","",IF(BP182&lt;AY182,BO182,BM182))</f>
        <v/>
      </c>
      <c r="BR182" s="4">
        <f>IF(AY182="","",IF(BP182&lt;AY182,BN182,BO182))</f>
        <v/>
      </c>
      <c r="BS182" s="4">
        <f>IF(AY182="","",(BQ182+BR182)/2)</f>
        <v/>
      </c>
      <c r="BT182" s="4">
        <f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4">
        <f>IF(AY182="","",IF(BT182&lt;AY182,BS182,BQ182))</f>
        <v/>
      </c>
      <c r="BV182" s="4">
        <f>IF(AY182="","",IF(BT182&lt;AY182,BR182,BS182))</f>
        <v/>
      </c>
      <c r="BW182" s="4">
        <f>IF(AY182="","",(BU182+BV182)/2)</f>
        <v/>
      </c>
      <c r="BX182" s="4">
        <f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4">
        <f>IF(AY182="","",IF(BX182&lt;AY182,BW182,BU182))</f>
        <v/>
      </c>
      <c r="BZ182" s="4">
        <f>IF(AY182="","",IF(BX182&lt;AY182,BV182,BW182))</f>
        <v/>
      </c>
      <c r="CA182" s="4">
        <f>IF(AY182="","",(BY182+BZ182)/2)</f>
        <v/>
      </c>
      <c r="CB182" s="4">
        <f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4">
        <f>IF(AY182="","",IF(CB182&lt;AY182,CA182,BY182))</f>
        <v/>
      </c>
      <c r="CD182" s="4">
        <f>IF(AY182="","",IF(CB182&lt;AY182,BZ182,CA182))</f>
        <v/>
      </c>
      <c r="CE182" s="4">
        <f>IF(AY182="","",(CC182+CD182)/2)</f>
        <v/>
      </c>
    </row>
    <row r="183">
      <c r="A183" s="4" t="n"/>
      <c r="B183" s="4" t="n"/>
      <c r="C183" s="8" t="n"/>
      <c r="D183" s="8" t="n"/>
      <c r="E183" s="8">
        <f>SUMIFS(CB_Tributaires!$G:$G,CB_Tributaires!$F:$F,$A183)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IF(A183="","",IF(F183="","",2.78E-7*IF(G183&lt;&gt;"",G183,IFERROR(SUMIFS(CB_Tributaires!$H:$H,CB_Tributaires!$F:$F,$A183)/SUMIFS(CB_Tributaires!$G:$G,CB_Tributaires!$F:$F,$A183),Inputs!$B$17))*F183*I183))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7">
        <f>IF(AY183="","",CE183)</f>
        <v/>
      </c>
      <c r="AX183" s="7">
        <f>IF(OR(AY183="",AW183="",R183="",R183&lt;=0,AW183&lt;=0),"",AY183/((R183^2/8)*(2*ACOS(1-2*AW183/R183)-SIN(2*ACOS(1-2*AW183/R183)))))</f>
        <v/>
      </c>
      <c r="AY183" s="4">
        <f>IF(OR(L183="",AZ183=""),"",MIN(L183,AZ183))</f>
        <v/>
      </c>
      <c r="AZ183" s="4">
        <f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4">
        <f>IF(AY183="","",0.001*R183)</f>
        <v/>
      </c>
      <c r="BB183" s="4">
        <f>IF(AY183="","",0.94*R183)</f>
        <v/>
      </c>
      <c r="BC183" s="4">
        <f>IF(AY183="","",(BA183+BB183)/2)</f>
        <v/>
      </c>
      <c r="BD183" s="4">
        <f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4">
        <f>IF(AY183="","",IF(BD183&lt;AY183,BC183,BA183))</f>
        <v/>
      </c>
      <c r="BF183" s="4">
        <f>IF(AY183="","",IF(BD183&lt;AY183,BB183,BC183))</f>
        <v/>
      </c>
      <c r="BG183" s="4">
        <f>IF(AY183="","",(BE183+BF183)/2)</f>
        <v/>
      </c>
      <c r="BH183" s="4">
        <f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4">
        <f>IF(AY183="","",IF(BH183&lt;AY183,BG183,BE183))</f>
        <v/>
      </c>
      <c r="BJ183" s="4">
        <f>IF(AY183="","",IF(BH183&lt;AY183,BF183,BG183))</f>
        <v/>
      </c>
      <c r="BK183" s="4">
        <f>IF(AY183="","",(BI183+BJ183)/2)</f>
        <v/>
      </c>
      <c r="BL183" s="4">
        <f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4">
        <f>IF(AY183="","",IF(BL183&lt;AY183,BK183,BI183))</f>
        <v/>
      </c>
      <c r="BN183" s="4">
        <f>IF(AY183="","",IF(BL183&lt;AY183,BJ183,BK183))</f>
        <v/>
      </c>
      <c r="BO183" s="4">
        <f>IF(AY183="","",(BM183+BN183)/2)</f>
        <v/>
      </c>
      <c r="BP183" s="4">
        <f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4">
        <f>IF(AY183="","",IF(BP183&lt;AY183,BO183,BM183))</f>
        <v/>
      </c>
      <c r="BR183" s="4">
        <f>IF(AY183="","",IF(BP183&lt;AY183,BN183,BO183))</f>
        <v/>
      </c>
      <c r="BS183" s="4">
        <f>IF(AY183="","",(BQ183+BR183)/2)</f>
        <v/>
      </c>
      <c r="BT183" s="4">
        <f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4">
        <f>IF(AY183="","",IF(BT183&lt;AY183,BS183,BQ183))</f>
        <v/>
      </c>
      <c r="BV183" s="4">
        <f>IF(AY183="","",IF(BT183&lt;AY183,BR183,BS183))</f>
        <v/>
      </c>
      <c r="BW183" s="4">
        <f>IF(AY183="","",(BU183+BV183)/2)</f>
        <v/>
      </c>
      <c r="BX183" s="4">
        <f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4">
        <f>IF(AY183="","",IF(BX183&lt;AY183,BW183,BU183))</f>
        <v/>
      </c>
      <c r="BZ183" s="4">
        <f>IF(AY183="","",IF(BX183&lt;AY183,BV183,BW183))</f>
        <v/>
      </c>
      <c r="CA183" s="4">
        <f>IF(AY183="","",(BY183+BZ183)/2)</f>
        <v/>
      </c>
      <c r="CB183" s="4">
        <f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4">
        <f>IF(AY183="","",IF(CB183&lt;AY183,CA183,BY183))</f>
        <v/>
      </c>
      <c r="CD183" s="4">
        <f>IF(AY183="","",IF(CB183&lt;AY183,BZ183,CA183))</f>
        <v/>
      </c>
      <c r="CE183" s="4">
        <f>IF(AY183="","",(CC183+CD183)/2)</f>
        <v/>
      </c>
    </row>
    <row r="184">
      <c r="A184" s="4" t="n"/>
      <c r="B184" s="4" t="n"/>
      <c r="C184" s="8" t="n"/>
      <c r="D184" s="8" t="n"/>
      <c r="E184" s="8">
        <f>SUMIFS(CB_Tributaires!$G:$G,CB_Tributaires!$F:$F,$A184)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IF(A184="","",IF(F184="","",2.78E-7*IF(G184&lt;&gt;"",G184,IFERROR(SUMIFS(CB_Tributaires!$H:$H,CB_Tributaires!$F:$F,$A184)/SUMIFS(CB_Tributaires!$G:$G,CB_Tributaires!$F:$F,$A184),Inputs!$B$17))*F184*I184))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7">
        <f>IF(AY184="","",CE184)</f>
        <v/>
      </c>
      <c r="AX184" s="7">
        <f>IF(OR(AY184="",AW184="",R184="",R184&lt;=0,AW184&lt;=0),"",AY184/((R184^2/8)*(2*ACOS(1-2*AW184/R184)-SIN(2*ACOS(1-2*AW184/R184)))))</f>
        <v/>
      </c>
      <c r="AY184" s="4">
        <f>IF(OR(L184="",AZ184=""),"",MIN(L184,AZ184))</f>
        <v/>
      </c>
      <c r="AZ184" s="4">
        <f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4">
        <f>IF(AY184="","",0.001*R184)</f>
        <v/>
      </c>
      <c r="BB184" s="4">
        <f>IF(AY184="","",0.94*R184)</f>
        <v/>
      </c>
      <c r="BC184" s="4">
        <f>IF(AY184="","",(BA184+BB184)/2)</f>
        <v/>
      </c>
      <c r="BD184" s="4">
        <f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4">
        <f>IF(AY184="","",IF(BD184&lt;AY184,BC184,BA184))</f>
        <v/>
      </c>
      <c r="BF184" s="4">
        <f>IF(AY184="","",IF(BD184&lt;AY184,BB184,BC184))</f>
        <v/>
      </c>
      <c r="BG184" s="4">
        <f>IF(AY184="","",(BE184+BF184)/2)</f>
        <v/>
      </c>
      <c r="BH184" s="4">
        <f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4">
        <f>IF(AY184="","",IF(BH184&lt;AY184,BG184,BE184))</f>
        <v/>
      </c>
      <c r="BJ184" s="4">
        <f>IF(AY184="","",IF(BH184&lt;AY184,BF184,BG184))</f>
        <v/>
      </c>
      <c r="BK184" s="4">
        <f>IF(AY184="","",(BI184+BJ184)/2)</f>
        <v/>
      </c>
      <c r="BL184" s="4">
        <f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4">
        <f>IF(AY184="","",IF(BL184&lt;AY184,BK184,BI184))</f>
        <v/>
      </c>
      <c r="BN184" s="4">
        <f>IF(AY184="","",IF(BL184&lt;AY184,BJ184,BK184))</f>
        <v/>
      </c>
      <c r="BO184" s="4">
        <f>IF(AY184="","",(BM184+BN184)/2)</f>
        <v/>
      </c>
      <c r="BP184" s="4">
        <f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4">
        <f>IF(AY184="","",IF(BP184&lt;AY184,BO184,BM184))</f>
        <v/>
      </c>
      <c r="BR184" s="4">
        <f>IF(AY184="","",IF(BP184&lt;AY184,BN184,BO184))</f>
        <v/>
      </c>
      <c r="BS184" s="4">
        <f>IF(AY184="","",(BQ184+BR184)/2)</f>
        <v/>
      </c>
      <c r="BT184" s="4">
        <f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4">
        <f>IF(AY184="","",IF(BT184&lt;AY184,BS184,BQ184))</f>
        <v/>
      </c>
      <c r="BV184" s="4">
        <f>IF(AY184="","",IF(BT184&lt;AY184,BR184,BS184))</f>
        <v/>
      </c>
      <c r="BW184" s="4">
        <f>IF(AY184="","",(BU184+BV184)/2)</f>
        <v/>
      </c>
      <c r="BX184" s="4">
        <f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4">
        <f>IF(AY184="","",IF(BX184&lt;AY184,BW184,BU184))</f>
        <v/>
      </c>
      <c r="BZ184" s="4">
        <f>IF(AY184="","",IF(BX184&lt;AY184,BV184,BW184))</f>
        <v/>
      </c>
      <c r="CA184" s="4">
        <f>IF(AY184="","",(BY184+BZ184)/2)</f>
        <v/>
      </c>
      <c r="CB184" s="4">
        <f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4">
        <f>IF(AY184="","",IF(CB184&lt;AY184,CA184,BY184))</f>
        <v/>
      </c>
      <c r="CD184" s="4">
        <f>IF(AY184="","",IF(CB184&lt;AY184,BZ184,CA184))</f>
        <v/>
      </c>
      <c r="CE184" s="4">
        <f>IF(AY184="","",(CC184+CD184)/2)</f>
        <v/>
      </c>
    </row>
    <row r="185">
      <c r="A185" s="4" t="n"/>
      <c r="B185" s="4" t="n"/>
      <c r="C185" s="8" t="n"/>
      <c r="D185" s="8" t="n"/>
      <c r="E185" s="8">
        <f>SUMIFS(CB_Tributaires!$G:$G,CB_Tributaires!$F:$F,$A185)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IF(A185="","",IF(F185="","",2.78E-7*IF(G185&lt;&gt;"",G185,IFERROR(SUMIFS(CB_Tributaires!$H:$H,CB_Tributaires!$F:$F,$A185)/SUMIFS(CB_Tributaires!$G:$G,CB_Tributaires!$F:$F,$A185),Inputs!$B$17))*F185*I185))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7">
        <f>IF(AY185="","",CE185)</f>
        <v/>
      </c>
      <c r="AX185" s="7">
        <f>IF(OR(AY185="",AW185="",R185="",R185&lt;=0,AW185&lt;=0),"",AY185/((R185^2/8)*(2*ACOS(1-2*AW185/R185)-SIN(2*ACOS(1-2*AW185/R185)))))</f>
        <v/>
      </c>
      <c r="AY185" s="4">
        <f>IF(OR(L185="",AZ185=""),"",MIN(L185,AZ185))</f>
        <v/>
      </c>
      <c r="AZ185" s="4">
        <f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4">
        <f>IF(AY185="","",0.001*R185)</f>
        <v/>
      </c>
      <c r="BB185" s="4">
        <f>IF(AY185="","",0.94*R185)</f>
        <v/>
      </c>
      <c r="BC185" s="4">
        <f>IF(AY185="","",(BA185+BB185)/2)</f>
        <v/>
      </c>
      <c r="BD185" s="4">
        <f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4">
        <f>IF(AY185="","",IF(BD185&lt;AY185,BC185,BA185))</f>
        <v/>
      </c>
      <c r="BF185" s="4">
        <f>IF(AY185="","",IF(BD185&lt;AY185,BB185,BC185))</f>
        <v/>
      </c>
      <c r="BG185" s="4">
        <f>IF(AY185="","",(BE185+BF185)/2)</f>
        <v/>
      </c>
      <c r="BH185" s="4">
        <f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4">
        <f>IF(AY185="","",IF(BH185&lt;AY185,BG185,BE185))</f>
        <v/>
      </c>
      <c r="BJ185" s="4">
        <f>IF(AY185="","",IF(BH185&lt;AY185,BF185,BG185))</f>
        <v/>
      </c>
      <c r="BK185" s="4">
        <f>IF(AY185="","",(BI185+BJ185)/2)</f>
        <v/>
      </c>
      <c r="BL185" s="4">
        <f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4">
        <f>IF(AY185="","",IF(BL185&lt;AY185,BK185,BI185))</f>
        <v/>
      </c>
      <c r="BN185" s="4">
        <f>IF(AY185="","",IF(BL185&lt;AY185,BJ185,BK185))</f>
        <v/>
      </c>
      <c r="BO185" s="4">
        <f>IF(AY185="","",(BM185+BN185)/2)</f>
        <v/>
      </c>
      <c r="BP185" s="4">
        <f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4">
        <f>IF(AY185="","",IF(BP185&lt;AY185,BO185,BM185))</f>
        <v/>
      </c>
      <c r="BR185" s="4">
        <f>IF(AY185="","",IF(BP185&lt;AY185,BN185,BO185))</f>
        <v/>
      </c>
      <c r="BS185" s="4">
        <f>IF(AY185="","",(BQ185+BR185)/2)</f>
        <v/>
      </c>
      <c r="BT185" s="4">
        <f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4">
        <f>IF(AY185="","",IF(BT185&lt;AY185,BS185,BQ185))</f>
        <v/>
      </c>
      <c r="BV185" s="4">
        <f>IF(AY185="","",IF(BT185&lt;AY185,BR185,BS185))</f>
        <v/>
      </c>
      <c r="BW185" s="4">
        <f>IF(AY185="","",(BU185+BV185)/2)</f>
        <v/>
      </c>
      <c r="BX185" s="4">
        <f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4">
        <f>IF(AY185="","",IF(BX185&lt;AY185,BW185,BU185))</f>
        <v/>
      </c>
      <c r="BZ185" s="4">
        <f>IF(AY185="","",IF(BX185&lt;AY185,BV185,BW185))</f>
        <v/>
      </c>
      <c r="CA185" s="4">
        <f>IF(AY185="","",(BY185+BZ185)/2)</f>
        <v/>
      </c>
      <c r="CB185" s="4">
        <f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4">
        <f>IF(AY185="","",IF(CB185&lt;AY185,CA185,BY185))</f>
        <v/>
      </c>
      <c r="CD185" s="4">
        <f>IF(AY185="","",IF(CB185&lt;AY185,BZ185,CA185))</f>
        <v/>
      </c>
      <c r="CE185" s="4">
        <f>IF(AY185="","",(CC185+CD185)/2)</f>
        <v/>
      </c>
    </row>
    <row r="186">
      <c r="A186" s="4" t="n"/>
      <c r="B186" s="4" t="n"/>
      <c r="C186" s="8" t="n"/>
      <c r="D186" s="8" t="n"/>
      <c r="E186" s="8">
        <f>SUMIFS(CB_Tributaires!$G:$G,CB_Tributaires!$F:$F,$A186)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IF(A186="","",IF(F186="","",2.78E-7*IF(G186&lt;&gt;"",G186,IFERROR(SUMIFS(CB_Tributaires!$H:$H,CB_Tributaires!$F:$F,$A186)/SUMIFS(CB_Tributaires!$G:$G,CB_Tributaires!$F:$F,$A186),Inputs!$B$17))*F186*I186))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7">
        <f>IF(AY186="","",CE186)</f>
        <v/>
      </c>
      <c r="AX186" s="7">
        <f>IF(OR(AY186="",AW186="",R186="",R186&lt;=0,AW186&lt;=0),"",AY186/((R186^2/8)*(2*ACOS(1-2*AW186/R186)-SIN(2*ACOS(1-2*AW186/R186)))))</f>
        <v/>
      </c>
      <c r="AY186" s="4">
        <f>IF(OR(L186="",AZ186=""),"",MIN(L186,AZ186))</f>
        <v/>
      </c>
      <c r="AZ186" s="4">
        <f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4">
        <f>IF(AY186="","",0.001*R186)</f>
        <v/>
      </c>
      <c r="BB186" s="4">
        <f>IF(AY186="","",0.94*R186)</f>
        <v/>
      </c>
      <c r="BC186" s="4">
        <f>IF(AY186="","",(BA186+BB186)/2)</f>
        <v/>
      </c>
      <c r="BD186" s="4">
        <f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4">
        <f>IF(AY186="","",IF(BD186&lt;AY186,BC186,BA186))</f>
        <v/>
      </c>
      <c r="BF186" s="4">
        <f>IF(AY186="","",IF(BD186&lt;AY186,BB186,BC186))</f>
        <v/>
      </c>
      <c r="BG186" s="4">
        <f>IF(AY186="","",(BE186+BF186)/2)</f>
        <v/>
      </c>
      <c r="BH186" s="4">
        <f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4">
        <f>IF(AY186="","",IF(BH186&lt;AY186,BG186,BE186))</f>
        <v/>
      </c>
      <c r="BJ186" s="4">
        <f>IF(AY186="","",IF(BH186&lt;AY186,BF186,BG186))</f>
        <v/>
      </c>
      <c r="BK186" s="4">
        <f>IF(AY186="","",(BI186+BJ186)/2)</f>
        <v/>
      </c>
      <c r="BL186" s="4">
        <f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4">
        <f>IF(AY186="","",IF(BL186&lt;AY186,BK186,BI186))</f>
        <v/>
      </c>
      <c r="BN186" s="4">
        <f>IF(AY186="","",IF(BL186&lt;AY186,BJ186,BK186))</f>
        <v/>
      </c>
      <c r="BO186" s="4">
        <f>IF(AY186="","",(BM186+BN186)/2)</f>
        <v/>
      </c>
      <c r="BP186" s="4">
        <f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4">
        <f>IF(AY186="","",IF(BP186&lt;AY186,BO186,BM186))</f>
        <v/>
      </c>
      <c r="BR186" s="4">
        <f>IF(AY186="","",IF(BP186&lt;AY186,BN186,BO186))</f>
        <v/>
      </c>
      <c r="BS186" s="4">
        <f>IF(AY186="","",(BQ186+BR186)/2)</f>
        <v/>
      </c>
      <c r="BT186" s="4">
        <f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4">
        <f>IF(AY186="","",IF(BT186&lt;AY186,BS186,BQ186))</f>
        <v/>
      </c>
      <c r="BV186" s="4">
        <f>IF(AY186="","",IF(BT186&lt;AY186,BR186,BS186))</f>
        <v/>
      </c>
      <c r="BW186" s="4">
        <f>IF(AY186="","",(BU186+BV186)/2)</f>
        <v/>
      </c>
      <c r="BX186" s="4">
        <f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4">
        <f>IF(AY186="","",IF(BX186&lt;AY186,BW186,BU186))</f>
        <v/>
      </c>
      <c r="BZ186" s="4">
        <f>IF(AY186="","",IF(BX186&lt;AY186,BV186,BW186))</f>
        <v/>
      </c>
      <c r="CA186" s="4">
        <f>IF(AY186="","",(BY186+BZ186)/2)</f>
        <v/>
      </c>
      <c r="CB186" s="4">
        <f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4">
        <f>IF(AY186="","",IF(CB186&lt;AY186,CA186,BY186))</f>
        <v/>
      </c>
      <c r="CD186" s="4">
        <f>IF(AY186="","",IF(CB186&lt;AY186,BZ186,CA186))</f>
        <v/>
      </c>
      <c r="CE186" s="4">
        <f>IF(AY186="","",(CC186+CD186)/2)</f>
        <v/>
      </c>
    </row>
    <row r="187">
      <c r="A187" s="4" t="n"/>
      <c r="B187" s="4" t="n"/>
      <c r="C187" s="8" t="n"/>
      <c r="D187" s="8" t="n"/>
      <c r="E187" s="8">
        <f>SUMIFS(CB_Tributaires!$G:$G,CB_Tributaires!$F:$F,$A187)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IF(A187="","",IF(F187="","",2.78E-7*IF(G187&lt;&gt;"",G187,IFERROR(SUMIFS(CB_Tributaires!$H:$H,CB_Tributaires!$F:$F,$A187)/SUMIFS(CB_Tributaires!$G:$G,CB_Tributaires!$F:$F,$A187),Inputs!$B$17))*F187*I187))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7">
        <f>IF(AY187="","",CE187)</f>
        <v/>
      </c>
      <c r="AX187" s="7">
        <f>IF(OR(AY187="",AW187="",R187="",R187&lt;=0,AW187&lt;=0),"",AY187/((R187^2/8)*(2*ACOS(1-2*AW187/R187)-SIN(2*ACOS(1-2*AW187/R187)))))</f>
        <v/>
      </c>
      <c r="AY187" s="4">
        <f>IF(OR(L187="",AZ187=""),"",MIN(L187,AZ187))</f>
        <v/>
      </c>
      <c r="AZ187" s="4">
        <f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4">
        <f>IF(AY187="","",0.001*R187)</f>
        <v/>
      </c>
      <c r="BB187" s="4">
        <f>IF(AY187="","",0.94*R187)</f>
        <v/>
      </c>
      <c r="BC187" s="4">
        <f>IF(AY187="","",(BA187+BB187)/2)</f>
        <v/>
      </c>
      <c r="BD187" s="4">
        <f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4">
        <f>IF(AY187="","",IF(BD187&lt;AY187,BC187,BA187))</f>
        <v/>
      </c>
      <c r="BF187" s="4">
        <f>IF(AY187="","",IF(BD187&lt;AY187,BB187,BC187))</f>
        <v/>
      </c>
      <c r="BG187" s="4">
        <f>IF(AY187="","",(BE187+BF187)/2)</f>
        <v/>
      </c>
      <c r="BH187" s="4">
        <f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4">
        <f>IF(AY187="","",IF(BH187&lt;AY187,BG187,BE187))</f>
        <v/>
      </c>
      <c r="BJ187" s="4">
        <f>IF(AY187="","",IF(BH187&lt;AY187,BF187,BG187))</f>
        <v/>
      </c>
      <c r="BK187" s="4">
        <f>IF(AY187="","",(BI187+BJ187)/2)</f>
        <v/>
      </c>
      <c r="BL187" s="4">
        <f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4">
        <f>IF(AY187="","",IF(BL187&lt;AY187,BK187,BI187))</f>
        <v/>
      </c>
      <c r="BN187" s="4">
        <f>IF(AY187="","",IF(BL187&lt;AY187,BJ187,BK187))</f>
        <v/>
      </c>
      <c r="BO187" s="4">
        <f>IF(AY187="","",(BM187+BN187)/2)</f>
        <v/>
      </c>
      <c r="BP187" s="4">
        <f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4">
        <f>IF(AY187="","",IF(BP187&lt;AY187,BO187,BM187))</f>
        <v/>
      </c>
      <c r="BR187" s="4">
        <f>IF(AY187="","",IF(BP187&lt;AY187,BN187,BO187))</f>
        <v/>
      </c>
      <c r="BS187" s="4">
        <f>IF(AY187="","",(BQ187+BR187)/2)</f>
        <v/>
      </c>
      <c r="BT187" s="4">
        <f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4">
        <f>IF(AY187="","",IF(BT187&lt;AY187,BS187,BQ187))</f>
        <v/>
      </c>
      <c r="BV187" s="4">
        <f>IF(AY187="","",IF(BT187&lt;AY187,BR187,BS187))</f>
        <v/>
      </c>
      <c r="BW187" s="4">
        <f>IF(AY187="","",(BU187+BV187)/2)</f>
        <v/>
      </c>
      <c r="BX187" s="4">
        <f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4">
        <f>IF(AY187="","",IF(BX187&lt;AY187,BW187,BU187))</f>
        <v/>
      </c>
      <c r="BZ187" s="4">
        <f>IF(AY187="","",IF(BX187&lt;AY187,BV187,BW187))</f>
        <v/>
      </c>
      <c r="CA187" s="4">
        <f>IF(AY187="","",(BY187+BZ187)/2)</f>
        <v/>
      </c>
      <c r="CB187" s="4">
        <f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4">
        <f>IF(AY187="","",IF(CB187&lt;AY187,CA187,BY187))</f>
        <v/>
      </c>
      <c r="CD187" s="4">
        <f>IF(AY187="","",IF(CB187&lt;AY187,BZ187,CA187))</f>
        <v/>
      </c>
      <c r="CE187" s="4">
        <f>IF(AY187="","",(CC187+CD187)/2)</f>
        <v/>
      </c>
    </row>
    <row r="188">
      <c r="A188" s="4" t="n"/>
      <c r="B188" s="4" t="n"/>
      <c r="C188" s="8" t="n"/>
      <c r="D188" s="8" t="n"/>
      <c r="E188" s="8">
        <f>SUMIFS(CB_Tributaires!$G:$G,CB_Tributaires!$F:$F,$A188)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IF(A188="","",IF(F188="","",2.78E-7*IF(G188&lt;&gt;"",G188,IFERROR(SUMIFS(CB_Tributaires!$H:$H,CB_Tributaires!$F:$F,$A188)/SUMIFS(CB_Tributaires!$G:$G,CB_Tributaires!$F:$F,$A188),Inputs!$B$17))*F188*I188))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7">
        <f>IF(AY188="","",CE188)</f>
        <v/>
      </c>
      <c r="AX188" s="7">
        <f>IF(OR(AY188="",AW188="",R188="",R188&lt;=0,AW188&lt;=0),"",AY188/((R188^2/8)*(2*ACOS(1-2*AW188/R188)-SIN(2*ACOS(1-2*AW188/R188)))))</f>
        <v/>
      </c>
      <c r="AY188" s="4">
        <f>IF(OR(L188="",AZ188=""),"",MIN(L188,AZ188))</f>
        <v/>
      </c>
      <c r="AZ188" s="4">
        <f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4">
        <f>IF(AY188="","",0.001*R188)</f>
        <v/>
      </c>
      <c r="BB188" s="4">
        <f>IF(AY188="","",0.94*R188)</f>
        <v/>
      </c>
      <c r="BC188" s="4">
        <f>IF(AY188="","",(BA188+BB188)/2)</f>
        <v/>
      </c>
      <c r="BD188" s="4">
        <f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4">
        <f>IF(AY188="","",IF(BD188&lt;AY188,BC188,BA188))</f>
        <v/>
      </c>
      <c r="BF188" s="4">
        <f>IF(AY188="","",IF(BD188&lt;AY188,BB188,BC188))</f>
        <v/>
      </c>
      <c r="BG188" s="4">
        <f>IF(AY188="","",(BE188+BF188)/2)</f>
        <v/>
      </c>
      <c r="BH188" s="4">
        <f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4">
        <f>IF(AY188="","",IF(BH188&lt;AY188,BG188,BE188))</f>
        <v/>
      </c>
      <c r="BJ188" s="4">
        <f>IF(AY188="","",IF(BH188&lt;AY188,BF188,BG188))</f>
        <v/>
      </c>
      <c r="BK188" s="4">
        <f>IF(AY188="","",(BI188+BJ188)/2)</f>
        <v/>
      </c>
      <c r="BL188" s="4">
        <f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4">
        <f>IF(AY188="","",IF(BL188&lt;AY188,BK188,BI188))</f>
        <v/>
      </c>
      <c r="BN188" s="4">
        <f>IF(AY188="","",IF(BL188&lt;AY188,BJ188,BK188))</f>
        <v/>
      </c>
      <c r="BO188" s="4">
        <f>IF(AY188="","",(BM188+BN188)/2)</f>
        <v/>
      </c>
      <c r="BP188" s="4">
        <f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4">
        <f>IF(AY188="","",IF(BP188&lt;AY188,BO188,BM188))</f>
        <v/>
      </c>
      <c r="BR188" s="4">
        <f>IF(AY188="","",IF(BP188&lt;AY188,BN188,BO188))</f>
        <v/>
      </c>
      <c r="BS188" s="4">
        <f>IF(AY188="","",(BQ188+BR188)/2)</f>
        <v/>
      </c>
      <c r="BT188" s="4">
        <f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4">
        <f>IF(AY188="","",IF(BT188&lt;AY188,BS188,BQ188))</f>
        <v/>
      </c>
      <c r="BV188" s="4">
        <f>IF(AY188="","",IF(BT188&lt;AY188,BR188,BS188))</f>
        <v/>
      </c>
      <c r="BW188" s="4">
        <f>IF(AY188="","",(BU188+BV188)/2)</f>
        <v/>
      </c>
      <c r="BX188" s="4">
        <f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4">
        <f>IF(AY188="","",IF(BX188&lt;AY188,BW188,BU188))</f>
        <v/>
      </c>
      <c r="BZ188" s="4">
        <f>IF(AY188="","",IF(BX188&lt;AY188,BV188,BW188))</f>
        <v/>
      </c>
      <c r="CA188" s="4">
        <f>IF(AY188="","",(BY188+BZ188)/2)</f>
        <v/>
      </c>
      <c r="CB188" s="4">
        <f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4">
        <f>IF(AY188="","",IF(CB188&lt;AY188,CA188,BY188))</f>
        <v/>
      </c>
      <c r="CD188" s="4">
        <f>IF(AY188="","",IF(CB188&lt;AY188,BZ188,CA188))</f>
        <v/>
      </c>
      <c r="CE188" s="4">
        <f>IF(AY188="","",(CC188+CD188)/2)</f>
        <v/>
      </c>
    </row>
    <row r="189">
      <c r="A189" s="4" t="n"/>
      <c r="B189" s="4" t="n"/>
      <c r="C189" s="8" t="n"/>
      <c r="D189" s="8" t="n"/>
      <c r="E189" s="8">
        <f>SUMIFS(CB_Tributaires!$G:$G,CB_Tributaires!$F:$F,$A189)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IF(A189="","",IF(F189="","",2.78E-7*IF(G189&lt;&gt;"",G189,IFERROR(SUMIFS(CB_Tributaires!$H:$H,CB_Tributaires!$F:$F,$A189)/SUMIFS(CB_Tributaires!$G:$G,CB_Tributaires!$F:$F,$A189),Inputs!$B$17))*F189*I189))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7">
        <f>IF(AY189="","",CE189)</f>
        <v/>
      </c>
      <c r="AX189" s="7">
        <f>IF(OR(AY189="",AW189="",R189="",R189&lt;=0,AW189&lt;=0),"",AY189/((R189^2/8)*(2*ACOS(1-2*AW189/R189)-SIN(2*ACOS(1-2*AW189/R189)))))</f>
        <v/>
      </c>
      <c r="AY189" s="4">
        <f>IF(OR(L189="",AZ189=""),"",MIN(L189,AZ189))</f>
        <v/>
      </c>
      <c r="AZ189" s="4">
        <f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4">
        <f>IF(AY189="","",0.001*R189)</f>
        <v/>
      </c>
      <c r="BB189" s="4">
        <f>IF(AY189="","",0.94*R189)</f>
        <v/>
      </c>
      <c r="BC189" s="4">
        <f>IF(AY189="","",(BA189+BB189)/2)</f>
        <v/>
      </c>
      <c r="BD189" s="4">
        <f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4">
        <f>IF(AY189="","",IF(BD189&lt;AY189,BC189,BA189))</f>
        <v/>
      </c>
      <c r="BF189" s="4">
        <f>IF(AY189="","",IF(BD189&lt;AY189,BB189,BC189))</f>
        <v/>
      </c>
      <c r="BG189" s="4">
        <f>IF(AY189="","",(BE189+BF189)/2)</f>
        <v/>
      </c>
      <c r="BH189" s="4">
        <f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4">
        <f>IF(AY189="","",IF(BH189&lt;AY189,BG189,BE189))</f>
        <v/>
      </c>
      <c r="BJ189" s="4">
        <f>IF(AY189="","",IF(BH189&lt;AY189,BF189,BG189))</f>
        <v/>
      </c>
      <c r="BK189" s="4">
        <f>IF(AY189="","",(BI189+BJ189)/2)</f>
        <v/>
      </c>
      <c r="BL189" s="4">
        <f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4">
        <f>IF(AY189="","",IF(BL189&lt;AY189,BK189,BI189))</f>
        <v/>
      </c>
      <c r="BN189" s="4">
        <f>IF(AY189="","",IF(BL189&lt;AY189,BJ189,BK189))</f>
        <v/>
      </c>
      <c r="BO189" s="4">
        <f>IF(AY189="","",(BM189+BN189)/2)</f>
        <v/>
      </c>
      <c r="BP189" s="4">
        <f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4">
        <f>IF(AY189="","",IF(BP189&lt;AY189,BO189,BM189))</f>
        <v/>
      </c>
      <c r="BR189" s="4">
        <f>IF(AY189="","",IF(BP189&lt;AY189,BN189,BO189))</f>
        <v/>
      </c>
      <c r="BS189" s="4">
        <f>IF(AY189="","",(BQ189+BR189)/2)</f>
        <v/>
      </c>
      <c r="BT189" s="4">
        <f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4">
        <f>IF(AY189="","",IF(BT189&lt;AY189,BS189,BQ189))</f>
        <v/>
      </c>
      <c r="BV189" s="4">
        <f>IF(AY189="","",IF(BT189&lt;AY189,BR189,BS189))</f>
        <v/>
      </c>
      <c r="BW189" s="4">
        <f>IF(AY189="","",(BU189+BV189)/2)</f>
        <v/>
      </c>
      <c r="BX189" s="4">
        <f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4">
        <f>IF(AY189="","",IF(BX189&lt;AY189,BW189,BU189))</f>
        <v/>
      </c>
      <c r="BZ189" s="4">
        <f>IF(AY189="","",IF(BX189&lt;AY189,BV189,BW189))</f>
        <v/>
      </c>
      <c r="CA189" s="4">
        <f>IF(AY189="","",(BY189+BZ189)/2)</f>
        <v/>
      </c>
      <c r="CB189" s="4">
        <f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4">
        <f>IF(AY189="","",IF(CB189&lt;AY189,CA189,BY189))</f>
        <v/>
      </c>
      <c r="CD189" s="4">
        <f>IF(AY189="","",IF(CB189&lt;AY189,BZ189,CA189))</f>
        <v/>
      </c>
      <c r="CE189" s="4">
        <f>IF(AY189="","",(CC189+CD189)/2)</f>
        <v/>
      </c>
    </row>
    <row r="190">
      <c r="A190" s="4" t="n"/>
      <c r="B190" s="4" t="n"/>
      <c r="C190" s="8" t="n"/>
      <c r="D190" s="8" t="n"/>
      <c r="E190" s="8">
        <f>SUMIFS(CB_Tributaires!$G:$G,CB_Tributaires!$F:$F,$A190)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IF(A190="","",IF(F190="","",2.78E-7*IF(G190&lt;&gt;"",G190,IFERROR(SUMIFS(CB_Tributaires!$H:$H,CB_Tributaires!$F:$F,$A190)/SUMIFS(CB_Tributaires!$G:$G,CB_Tributaires!$F:$F,$A190),Inputs!$B$17))*F190*I190))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7">
        <f>IF(AY190="","",CE190)</f>
        <v/>
      </c>
      <c r="AX190" s="7">
        <f>IF(OR(AY190="",AW190="",R190="",R190&lt;=0,AW190&lt;=0),"",AY190/((R190^2/8)*(2*ACOS(1-2*AW190/R190)-SIN(2*ACOS(1-2*AW190/R190)))))</f>
        <v/>
      </c>
      <c r="AY190" s="4">
        <f>IF(OR(L190="",AZ190=""),"",MIN(L190,AZ190))</f>
        <v/>
      </c>
      <c r="AZ190" s="4">
        <f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4">
        <f>IF(AY190="","",0.001*R190)</f>
        <v/>
      </c>
      <c r="BB190" s="4">
        <f>IF(AY190="","",0.94*R190)</f>
        <v/>
      </c>
      <c r="BC190" s="4">
        <f>IF(AY190="","",(BA190+BB190)/2)</f>
        <v/>
      </c>
      <c r="BD190" s="4">
        <f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4">
        <f>IF(AY190="","",IF(BD190&lt;AY190,BC190,BA190))</f>
        <v/>
      </c>
      <c r="BF190" s="4">
        <f>IF(AY190="","",IF(BD190&lt;AY190,BB190,BC190))</f>
        <v/>
      </c>
      <c r="BG190" s="4">
        <f>IF(AY190="","",(BE190+BF190)/2)</f>
        <v/>
      </c>
      <c r="BH190" s="4">
        <f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4">
        <f>IF(AY190="","",IF(BH190&lt;AY190,BG190,BE190))</f>
        <v/>
      </c>
      <c r="BJ190" s="4">
        <f>IF(AY190="","",IF(BH190&lt;AY190,BF190,BG190))</f>
        <v/>
      </c>
      <c r="BK190" s="4">
        <f>IF(AY190="","",(BI190+BJ190)/2)</f>
        <v/>
      </c>
      <c r="BL190" s="4">
        <f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4">
        <f>IF(AY190="","",IF(BL190&lt;AY190,BK190,BI190))</f>
        <v/>
      </c>
      <c r="BN190" s="4">
        <f>IF(AY190="","",IF(BL190&lt;AY190,BJ190,BK190))</f>
        <v/>
      </c>
      <c r="BO190" s="4">
        <f>IF(AY190="","",(BM190+BN190)/2)</f>
        <v/>
      </c>
      <c r="BP190" s="4">
        <f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4">
        <f>IF(AY190="","",IF(BP190&lt;AY190,BO190,BM190))</f>
        <v/>
      </c>
      <c r="BR190" s="4">
        <f>IF(AY190="","",IF(BP190&lt;AY190,BN190,BO190))</f>
        <v/>
      </c>
      <c r="BS190" s="4">
        <f>IF(AY190="","",(BQ190+BR190)/2)</f>
        <v/>
      </c>
      <c r="BT190" s="4">
        <f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4">
        <f>IF(AY190="","",IF(BT190&lt;AY190,BS190,BQ190))</f>
        <v/>
      </c>
      <c r="BV190" s="4">
        <f>IF(AY190="","",IF(BT190&lt;AY190,BR190,BS190))</f>
        <v/>
      </c>
      <c r="BW190" s="4">
        <f>IF(AY190="","",(BU190+BV190)/2)</f>
        <v/>
      </c>
      <c r="BX190" s="4">
        <f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4">
        <f>IF(AY190="","",IF(BX190&lt;AY190,BW190,BU190))</f>
        <v/>
      </c>
      <c r="BZ190" s="4">
        <f>IF(AY190="","",IF(BX190&lt;AY190,BV190,BW190))</f>
        <v/>
      </c>
      <c r="CA190" s="4">
        <f>IF(AY190="","",(BY190+BZ190)/2)</f>
        <v/>
      </c>
      <c r="CB190" s="4">
        <f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4">
        <f>IF(AY190="","",IF(CB190&lt;AY190,CA190,BY190))</f>
        <v/>
      </c>
      <c r="CD190" s="4">
        <f>IF(AY190="","",IF(CB190&lt;AY190,BZ190,CA190))</f>
        <v/>
      </c>
      <c r="CE190" s="4">
        <f>IF(AY190="","",(CC190+CD190)/2)</f>
        <v/>
      </c>
    </row>
    <row r="191">
      <c r="A191" s="4" t="n"/>
      <c r="B191" s="4" t="n"/>
      <c r="C191" s="8" t="n"/>
      <c r="D191" s="8" t="n"/>
      <c r="E191" s="8">
        <f>SUMIFS(CB_Tributaires!$G:$G,CB_Tributaires!$F:$F,$A191)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IF(A191="","",IF(F191="","",2.78E-7*IF(G191&lt;&gt;"",G191,IFERROR(SUMIFS(CB_Tributaires!$H:$H,CB_Tributaires!$F:$F,$A191)/SUMIFS(CB_Tributaires!$G:$G,CB_Tributaires!$F:$F,$A191),Inputs!$B$17))*F191*I191))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7">
        <f>IF(AY191="","",CE191)</f>
        <v/>
      </c>
      <c r="AX191" s="7">
        <f>IF(OR(AY191="",AW191="",R191="",R191&lt;=0,AW191&lt;=0),"",AY191/((R191^2/8)*(2*ACOS(1-2*AW191/R191)-SIN(2*ACOS(1-2*AW191/R191)))))</f>
        <v/>
      </c>
      <c r="AY191" s="4">
        <f>IF(OR(L191="",AZ191=""),"",MIN(L191,AZ191))</f>
        <v/>
      </c>
      <c r="AZ191" s="4">
        <f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4">
        <f>IF(AY191="","",0.001*R191)</f>
        <v/>
      </c>
      <c r="BB191" s="4">
        <f>IF(AY191="","",0.94*R191)</f>
        <v/>
      </c>
      <c r="BC191" s="4">
        <f>IF(AY191="","",(BA191+BB191)/2)</f>
        <v/>
      </c>
      <c r="BD191" s="4">
        <f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4">
        <f>IF(AY191="","",IF(BD191&lt;AY191,BC191,BA191))</f>
        <v/>
      </c>
      <c r="BF191" s="4">
        <f>IF(AY191="","",IF(BD191&lt;AY191,BB191,BC191))</f>
        <v/>
      </c>
      <c r="BG191" s="4">
        <f>IF(AY191="","",(BE191+BF191)/2)</f>
        <v/>
      </c>
      <c r="BH191" s="4">
        <f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4">
        <f>IF(AY191="","",IF(BH191&lt;AY191,BG191,BE191))</f>
        <v/>
      </c>
      <c r="BJ191" s="4">
        <f>IF(AY191="","",IF(BH191&lt;AY191,BF191,BG191))</f>
        <v/>
      </c>
      <c r="BK191" s="4">
        <f>IF(AY191="","",(BI191+BJ191)/2)</f>
        <v/>
      </c>
      <c r="BL191" s="4">
        <f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4">
        <f>IF(AY191="","",IF(BL191&lt;AY191,BK191,BI191))</f>
        <v/>
      </c>
      <c r="BN191" s="4">
        <f>IF(AY191="","",IF(BL191&lt;AY191,BJ191,BK191))</f>
        <v/>
      </c>
      <c r="BO191" s="4">
        <f>IF(AY191="","",(BM191+BN191)/2)</f>
        <v/>
      </c>
      <c r="BP191" s="4">
        <f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4">
        <f>IF(AY191="","",IF(BP191&lt;AY191,BO191,BM191))</f>
        <v/>
      </c>
      <c r="BR191" s="4">
        <f>IF(AY191="","",IF(BP191&lt;AY191,BN191,BO191))</f>
        <v/>
      </c>
      <c r="BS191" s="4">
        <f>IF(AY191="","",(BQ191+BR191)/2)</f>
        <v/>
      </c>
      <c r="BT191" s="4">
        <f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4">
        <f>IF(AY191="","",IF(BT191&lt;AY191,BS191,BQ191))</f>
        <v/>
      </c>
      <c r="BV191" s="4">
        <f>IF(AY191="","",IF(BT191&lt;AY191,BR191,BS191))</f>
        <v/>
      </c>
      <c r="BW191" s="4">
        <f>IF(AY191="","",(BU191+BV191)/2)</f>
        <v/>
      </c>
      <c r="BX191" s="4">
        <f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4">
        <f>IF(AY191="","",IF(BX191&lt;AY191,BW191,BU191))</f>
        <v/>
      </c>
      <c r="BZ191" s="4">
        <f>IF(AY191="","",IF(BX191&lt;AY191,BV191,BW191))</f>
        <v/>
      </c>
      <c r="CA191" s="4">
        <f>IF(AY191="","",(BY191+BZ191)/2)</f>
        <v/>
      </c>
      <c r="CB191" s="4">
        <f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4">
        <f>IF(AY191="","",IF(CB191&lt;AY191,CA191,BY191))</f>
        <v/>
      </c>
      <c r="CD191" s="4">
        <f>IF(AY191="","",IF(CB191&lt;AY191,BZ191,CA191))</f>
        <v/>
      </c>
      <c r="CE191" s="4">
        <f>IF(AY191="","",(CC191+CD191)/2)</f>
        <v/>
      </c>
    </row>
    <row r="192">
      <c r="A192" s="4" t="n"/>
      <c r="B192" s="4" t="n"/>
      <c r="C192" s="8" t="n"/>
      <c r="D192" s="8" t="n"/>
      <c r="E192" s="8">
        <f>SUMIFS(CB_Tributaires!$G:$G,CB_Tributaires!$F:$F,$A192)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IF(A192="","",IF(F192="","",2.78E-7*IF(G192&lt;&gt;"",G192,IFERROR(SUMIFS(CB_Tributaires!$H:$H,CB_Tributaires!$F:$F,$A192)/SUMIFS(CB_Tributaires!$G:$G,CB_Tributaires!$F:$F,$A192),Inputs!$B$17))*F192*I192))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7">
        <f>IF(AY192="","",CE192)</f>
        <v/>
      </c>
      <c r="AX192" s="7">
        <f>IF(OR(AY192="",AW192="",R192="",R192&lt;=0,AW192&lt;=0),"",AY192/((R192^2/8)*(2*ACOS(1-2*AW192/R192)-SIN(2*ACOS(1-2*AW192/R192)))))</f>
        <v/>
      </c>
      <c r="AY192" s="4">
        <f>IF(OR(L192="",AZ192=""),"",MIN(L192,AZ192))</f>
        <v/>
      </c>
      <c r="AZ192" s="4">
        <f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4">
        <f>IF(AY192="","",0.001*R192)</f>
        <v/>
      </c>
      <c r="BB192" s="4">
        <f>IF(AY192="","",0.94*R192)</f>
        <v/>
      </c>
      <c r="BC192" s="4">
        <f>IF(AY192="","",(BA192+BB192)/2)</f>
        <v/>
      </c>
      <c r="BD192" s="4">
        <f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4">
        <f>IF(AY192="","",IF(BD192&lt;AY192,BC192,BA192))</f>
        <v/>
      </c>
      <c r="BF192" s="4">
        <f>IF(AY192="","",IF(BD192&lt;AY192,BB192,BC192))</f>
        <v/>
      </c>
      <c r="BG192" s="4">
        <f>IF(AY192="","",(BE192+BF192)/2)</f>
        <v/>
      </c>
      <c r="BH192" s="4">
        <f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4">
        <f>IF(AY192="","",IF(BH192&lt;AY192,BG192,BE192))</f>
        <v/>
      </c>
      <c r="BJ192" s="4">
        <f>IF(AY192="","",IF(BH192&lt;AY192,BF192,BG192))</f>
        <v/>
      </c>
      <c r="BK192" s="4">
        <f>IF(AY192="","",(BI192+BJ192)/2)</f>
        <v/>
      </c>
      <c r="BL192" s="4">
        <f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4">
        <f>IF(AY192="","",IF(BL192&lt;AY192,BK192,BI192))</f>
        <v/>
      </c>
      <c r="BN192" s="4">
        <f>IF(AY192="","",IF(BL192&lt;AY192,BJ192,BK192))</f>
        <v/>
      </c>
      <c r="BO192" s="4">
        <f>IF(AY192="","",(BM192+BN192)/2)</f>
        <v/>
      </c>
      <c r="BP192" s="4">
        <f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4">
        <f>IF(AY192="","",IF(BP192&lt;AY192,BO192,BM192))</f>
        <v/>
      </c>
      <c r="BR192" s="4">
        <f>IF(AY192="","",IF(BP192&lt;AY192,BN192,BO192))</f>
        <v/>
      </c>
      <c r="BS192" s="4">
        <f>IF(AY192="","",(BQ192+BR192)/2)</f>
        <v/>
      </c>
      <c r="BT192" s="4">
        <f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4">
        <f>IF(AY192="","",IF(BT192&lt;AY192,BS192,BQ192))</f>
        <v/>
      </c>
      <c r="BV192" s="4">
        <f>IF(AY192="","",IF(BT192&lt;AY192,BR192,BS192))</f>
        <v/>
      </c>
      <c r="BW192" s="4">
        <f>IF(AY192="","",(BU192+BV192)/2)</f>
        <v/>
      </c>
      <c r="BX192" s="4">
        <f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4">
        <f>IF(AY192="","",IF(BX192&lt;AY192,BW192,BU192))</f>
        <v/>
      </c>
      <c r="BZ192" s="4">
        <f>IF(AY192="","",IF(BX192&lt;AY192,BV192,BW192))</f>
        <v/>
      </c>
      <c r="CA192" s="4">
        <f>IF(AY192="","",(BY192+BZ192)/2)</f>
        <v/>
      </c>
      <c r="CB192" s="4">
        <f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4">
        <f>IF(AY192="","",IF(CB192&lt;AY192,CA192,BY192))</f>
        <v/>
      </c>
      <c r="CD192" s="4">
        <f>IF(AY192="","",IF(CB192&lt;AY192,BZ192,CA192))</f>
        <v/>
      </c>
      <c r="CE192" s="4">
        <f>IF(AY192="","",(CC192+CD192)/2)</f>
        <v/>
      </c>
    </row>
    <row r="193">
      <c r="A193" s="4" t="n"/>
      <c r="B193" s="4" t="n"/>
      <c r="C193" s="8" t="n"/>
      <c r="D193" s="8" t="n"/>
      <c r="E193" s="8">
        <f>SUMIFS(CB_Tributaires!$G:$G,CB_Tributaires!$F:$F,$A193)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IF(A193="","",IF(F193="","",2.78E-7*IF(G193&lt;&gt;"",G193,IFERROR(SUMIFS(CB_Tributaires!$H:$H,CB_Tributaires!$F:$F,$A193)/SUMIFS(CB_Tributaires!$G:$G,CB_Tributaires!$F:$F,$A193),Inputs!$B$17))*F193*I193))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7">
        <f>IF(AY193="","",CE193)</f>
        <v/>
      </c>
      <c r="AX193" s="7">
        <f>IF(OR(AY193="",AW193="",R193="",R193&lt;=0,AW193&lt;=0),"",AY193/((R193^2/8)*(2*ACOS(1-2*AW193/R193)-SIN(2*ACOS(1-2*AW193/R193)))))</f>
        <v/>
      </c>
      <c r="AY193" s="4">
        <f>IF(OR(L193="",AZ193=""),"",MIN(L193,AZ193))</f>
        <v/>
      </c>
      <c r="AZ193" s="4">
        <f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4">
        <f>IF(AY193="","",0.001*R193)</f>
        <v/>
      </c>
      <c r="BB193" s="4">
        <f>IF(AY193="","",0.94*R193)</f>
        <v/>
      </c>
      <c r="BC193" s="4">
        <f>IF(AY193="","",(BA193+BB193)/2)</f>
        <v/>
      </c>
      <c r="BD193" s="4">
        <f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4">
        <f>IF(AY193="","",IF(BD193&lt;AY193,BC193,BA193))</f>
        <v/>
      </c>
      <c r="BF193" s="4">
        <f>IF(AY193="","",IF(BD193&lt;AY193,BB193,BC193))</f>
        <v/>
      </c>
      <c r="BG193" s="4">
        <f>IF(AY193="","",(BE193+BF193)/2)</f>
        <v/>
      </c>
      <c r="BH193" s="4">
        <f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4">
        <f>IF(AY193="","",IF(BH193&lt;AY193,BG193,BE193))</f>
        <v/>
      </c>
      <c r="BJ193" s="4">
        <f>IF(AY193="","",IF(BH193&lt;AY193,BF193,BG193))</f>
        <v/>
      </c>
      <c r="BK193" s="4">
        <f>IF(AY193="","",(BI193+BJ193)/2)</f>
        <v/>
      </c>
      <c r="BL193" s="4">
        <f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4">
        <f>IF(AY193="","",IF(BL193&lt;AY193,BK193,BI193))</f>
        <v/>
      </c>
      <c r="BN193" s="4">
        <f>IF(AY193="","",IF(BL193&lt;AY193,BJ193,BK193))</f>
        <v/>
      </c>
      <c r="BO193" s="4">
        <f>IF(AY193="","",(BM193+BN193)/2)</f>
        <v/>
      </c>
      <c r="BP193" s="4">
        <f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4">
        <f>IF(AY193="","",IF(BP193&lt;AY193,BO193,BM193))</f>
        <v/>
      </c>
      <c r="BR193" s="4">
        <f>IF(AY193="","",IF(BP193&lt;AY193,BN193,BO193))</f>
        <v/>
      </c>
      <c r="BS193" s="4">
        <f>IF(AY193="","",(BQ193+BR193)/2)</f>
        <v/>
      </c>
      <c r="BT193" s="4">
        <f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4">
        <f>IF(AY193="","",IF(BT193&lt;AY193,BS193,BQ193))</f>
        <v/>
      </c>
      <c r="BV193" s="4">
        <f>IF(AY193="","",IF(BT193&lt;AY193,BR193,BS193))</f>
        <v/>
      </c>
      <c r="BW193" s="4">
        <f>IF(AY193="","",(BU193+BV193)/2)</f>
        <v/>
      </c>
      <c r="BX193" s="4">
        <f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4">
        <f>IF(AY193="","",IF(BX193&lt;AY193,BW193,BU193))</f>
        <v/>
      </c>
      <c r="BZ193" s="4">
        <f>IF(AY193="","",IF(BX193&lt;AY193,BV193,BW193))</f>
        <v/>
      </c>
      <c r="CA193" s="4">
        <f>IF(AY193="","",(BY193+BZ193)/2)</f>
        <v/>
      </c>
      <c r="CB193" s="4">
        <f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4">
        <f>IF(AY193="","",IF(CB193&lt;AY193,CA193,BY193))</f>
        <v/>
      </c>
      <c r="CD193" s="4">
        <f>IF(AY193="","",IF(CB193&lt;AY193,BZ193,CA193))</f>
        <v/>
      </c>
      <c r="CE193" s="4">
        <f>IF(AY193="","",(CC193+CD193)/2)</f>
        <v/>
      </c>
    </row>
    <row r="194">
      <c r="A194" s="4" t="n"/>
      <c r="B194" s="4" t="n"/>
      <c r="C194" s="8" t="n"/>
      <c r="D194" s="8" t="n"/>
      <c r="E194" s="8">
        <f>SUMIFS(CB_Tributaires!$G:$G,CB_Tributaires!$F:$F,$A194)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IF(A194="","",IF(F194="","",2.78E-7*IF(G194&lt;&gt;"",G194,IFERROR(SUMIFS(CB_Tributaires!$H:$H,CB_Tributaires!$F:$F,$A194)/SUMIFS(CB_Tributaires!$G:$G,CB_Tributaires!$F:$F,$A194),Inputs!$B$17))*F194*I194))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7">
        <f>IF(AY194="","",CE194)</f>
        <v/>
      </c>
      <c r="AX194" s="7">
        <f>IF(OR(AY194="",AW194="",R194="",R194&lt;=0,AW194&lt;=0),"",AY194/((R194^2/8)*(2*ACOS(1-2*AW194/R194)-SIN(2*ACOS(1-2*AW194/R194)))))</f>
        <v/>
      </c>
      <c r="AY194" s="4">
        <f>IF(OR(L194="",AZ194=""),"",MIN(L194,AZ194))</f>
        <v/>
      </c>
      <c r="AZ194" s="4">
        <f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4">
        <f>IF(AY194="","",0.001*R194)</f>
        <v/>
      </c>
      <c r="BB194" s="4">
        <f>IF(AY194="","",0.94*R194)</f>
        <v/>
      </c>
      <c r="BC194" s="4">
        <f>IF(AY194="","",(BA194+BB194)/2)</f>
        <v/>
      </c>
      <c r="BD194" s="4">
        <f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4">
        <f>IF(AY194="","",IF(BD194&lt;AY194,BC194,BA194))</f>
        <v/>
      </c>
      <c r="BF194" s="4">
        <f>IF(AY194="","",IF(BD194&lt;AY194,BB194,BC194))</f>
        <v/>
      </c>
      <c r="BG194" s="4">
        <f>IF(AY194="","",(BE194+BF194)/2)</f>
        <v/>
      </c>
      <c r="BH194" s="4">
        <f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4">
        <f>IF(AY194="","",IF(BH194&lt;AY194,BG194,BE194))</f>
        <v/>
      </c>
      <c r="BJ194" s="4">
        <f>IF(AY194="","",IF(BH194&lt;AY194,BF194,BG194))</f>
        <v/>
      </c>
      <c r="BK194" s="4">
        <f>IF(AY194="","",(BI194+BJ194)/2)</f>
        <v/>
      </c>
      <c r="BL194" s="4">
        <f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4">
        <f>IF(AY194="","",IF(BL194&lt;AY194,BK194,BI194))</f>
        <v/>
      </c>
      <c r="BN194" s="4">
        <f>IF(AY194="","",IF(BL194&lt;AY194,BJ194,BK194))</f>
        <v/>
      </c>
      <c r="BO194" s="4">
        <f>IF(AY194="","",(BM194+BN194)/2)</f>
        <v/>
      </c>
      <c r="BP194" s="4">
        <f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4">
        <f>IF(AY194="","",IF(BP194&lt;AY194,BO194,BM194))</f>
        <v/>
      </c>
      <c r="BR194" s="4">
        <f>IF(AY194="","",IF(BP194&lt;AY194,BN194,BO194))</f>
        <v/>
      </c>
      <c r="BS194" s="4">
        <f>IF(AY194="","",(BQ194+BR194)/2)</f>
        <v/>
      </c>
      <c r="BT194" s="4">
        <f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4">
        <f>IF(AY194="","",IF(BT194&lt;AY194,BS194,BQ194))</f>
        <v/>
      </c>
      <c r="BV194" s="4">
        <f>IF(AY194="","",IF(BT194&lt;AY194,BR194,BS194))</f>
        <v/>
      </c>
      <c r="BW194" s="4">
        <f>IF(AY194="","",(BU194+BV194)/2)</f>
        <v/>
      </c>
      <c r="BX194" s="4">
        <f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4">
        <f>IF(AY194="","",IF(BX194&lt;AY194,BW194,BU194))</f>
        <v/>
      </c>
      <c r="BZ194" s="4">
        <f>IF(AY194="","",IF(BX194&lt;AY194,BV194,BW194))</f>
        <v/>
      </c>
      <c r="CA194" s="4">
        <f>IF(AY194="","",(BY194+BZ194)/2)</f>
        <v/>
      </c>
      <c r="CB194" s="4">
        <f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4">
        <f>IF(AY194="","",IF(CB194&lt;AY194,CA194,BY194))</f>
        <v/>
      </c>
      <c r="CD194" s="4">
        <f>IF(AY194="","",IF(CB194&lt;AY194,BZ194,CA194))</f>
        <v/>
      </c>
      <c r="CE194" s="4">
        <f>IF(AY194="","",(CC194+CD194)/2)</f>
        <v/>
      </c>
    </row>
    <row r="195">
      <c r="A195" s="4" t="n"/>
      <c r="B195" s="4" t="n"/>
      <c r="C195" s="8" t="n"/>
      <c r="D195" s="8" t="n"/>
      <c r="E195" s="8">
        <f>SUMIFS(CB_Tributaires!$G:$G,CB_Tributaires!$F:$F,$A195)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IF(A195="","",IF(F195="","",2.78E-7*IF(G195&lt;&gt;"",G195,IFERROR(SUMIFS(CB_Tributaires!$H:$H,CB_Tributaires!$F:$F,$A195)/SUMIFS(CB_Tributaires!$G:$G,CB_Tributaires!$F:$F,$A195),Inputs!$B$17))*F195*I195))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7">
        <f>IF(AY195="","",CE195)</f>
        <v/>
      </c>
      <c r="AX195" s="7">
        <f>IF(OR(AY195="",AW195="",R195="",R195&lt;=0,AW195&lt;=0),"",AY195/((R195^2/8)*(2*ACOS(1-2*AW195/R195)-SIN(2*ACOS(1-2*AW195/R195)))))</f>
        <v/>
      </c>
      <c r="AY195" s="4">
        <f>IF(OR(L195="",AZ195=""),"",MIN(L195,AZ195))</f>
        <v/>
      </c>
      <c r="AZ195" s="4">
        <f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4">
        <f>IF(AY195="","",0.001*R195)</f>
        <v/>
      </c>
      <c r="BB195" s="4">
        <f>IF(AY195="","",0.94*R195)</f>
        <v/>
      </c>
      <c r="BC195" s="4">
        <f>IF(AY195="","",(BA195+BB195)/2)</f>
        <v/>
      </c>
      <c r="BD195" s="4">
        <f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4">
        <f>IF(AY195="","",IF(BD195&lt;AY195,BC195,BA195))</f>
        <v/>
      </c>
      <c r="BF195" s="4">
        <f>IF(AY195="","",IF(BD195&lt;AY195,BB195,BC195))</f>
        <v/>
      </c>
      <c r="BG195" s="4">
        <f>IF(AY195="","",(BE195+BF195)/2)</f>
        <v/>
      </c>
      <c r="BH195" s="4">
        <f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4">
        <f>IF(AY195="","",IF(BH195&lt;AY195,BG195,BE195))</f>
        <v/>
      </c>
      <c r="BJ195" s="4">
        <f>IF(AY195="","",IF(BH195&lt;AY195,BF195,BG195))</f>
        <v/>
      </c>
      <c r="BK195" s="4">
        <f>IF(AY195="","",(BI195+BJ195)/2)</f>
        <v/>
      </c>
      <c r="BL195" s="4">
        <f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4">
        <f>IF(AY195="","",IF(BL195&lt;AY195,BK195,BI195))</f>
        <v/>
      </c>
      <c r="BN195" s="4">
        <f>IF(AY195="","",IF(BL195&lt;AY195,BJ195,BK195))</f>
        <v/>
      </c>
      <c r="BO195" s="4">
        <f>IF(AY195="","",(BM195+BN195)/2)</f>
        <v/>
      </c>
      <c r="BP195" s="4">
        <f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4">
        <f>IF(AY195="","",IF(BP195&lt;AY195,BO195,BM195))</f>
        <v/>
      </c>
      <c r="BR195" s="4">
        <f>IF(AY195="","",IF(BP195&lt;AY195,BN195,BO195))</f>
        <v/>
      </c>
      <c r="BS195" s="4">
        <f>IF(AY195="","",(BQ195+BR195)/2)</f>
        <v/>
      </c>
      <c r="BT195" s="4">
        <f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4">
        <f>IF(AY195="","",IF(BT195&lt;AY195,BS195,BQ195))</f>
        <v/>
      </c>
      <c r="BV195" s="4">
        <f>IF(AY195="","",IF(BT195&lt;AY195,BR195,BS195))</f>
        <v/>
      </c>
      <c r="BW195" s="4">
        <f>IF(AY195="","",(BU195+BV195)/2)</f>
        <v/>
      </c>
      <c r="BX195" s="4">
        <f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4">
        <f>IF(AY195="","",IF(BX195&lt;AY195,BW195,BU195))</f>
        <v/>
      </c>
      <c r="BZ195" s="4">
        <f>IF(AY195="","",IF(BX195&lt;AY195,BV195,BW195))</f>
        <v/>
      </c>
      <c r="CA195" s="4">
        <f>IF(AY195="","",(BY195+BZ195)/2)</f>
        <v/>
      </c>
      <c r="CB195" s="4">
        <f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4">
        <f>IF(AY195="","",IF(CB195&lt;AY195,CA195,BY195))</f>
        <v/>
      </c>
      <c r="CD195" s="4">
        <f>IF(AY195="","",IF(CB195&lt;AY195,BZ195,CA195))</f>
        <v/>
      </c>
      <c r="CE195" s="4">
        <f>IF(AY195="","",(CC195+CD195)/2)</f>
        <v/>
      </c>
    </row>
    <row r="196">
      <c r="A196" s="4" t="n"/>
      <c r="B196" s="4" t="n"/>
      <c r="C196" s="8" t="n"/>
      <c r="D196" s="8" t="n"/>
      <c r="E196" s="8">
        <f>SUMIFS(CB_Tributaires!$G:$G,CB_Tributaires!$F:$F,$A196)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IF(A196="","",IF(F196="","",2.78E-7*IF(G196&lt;&gt;"",G196,IFERROR(SUMIFS(CB_Tributaires!$H:$H,CB_Tributaires!$F:$F,$A196)/SUMIFS(CB_Tributaires!$G:$G,CB_Tributaires!$F:$F,$A196),Inputs!$B$17))*F196*I196))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7">
        <f>IF(AY196="","",CE196)</f>
        <v/>
      </c>
      <c r="AX196" s="7">
        <f>IF(OR(AY196="",AW196="",R196="",R196&lt;=0,AW196&lt;=0),"",AY196/((R196^2/8)*(2*ACOS(1-2*AW196/R196)-SIN(2*ACOS(1-2*AW196/R196)))))</f>
        <v/>
      </c>
      <c r="AY196" s="4">
        <f>IF(OR(L196="",AZ196=""),"",MIN(L196,AZ196))</f>
        <v/>
      </c>
      <c r="AZ196" s="4">
        <f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4">
        <f>IF(AY196="","",0.001*R196)</f>
        <v/>
      </c>
      <c r="BB196" s="4">
        <f>IF(AY196="","",0.94*R196)</f>
        <v/>
      </c>
      <c r="BC196" s="4">
        <f>IF(AY196="","",(BA196+BB196)/2)</f>
        <v/>
      </c>
      <c r="BD196" s="4">
        <f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4">
        <f>IF(AY196="","",IF(BD196&lt;AY196,BC196,BA196))</f>
        <v/>
      </c>
      <c r="BF196" s="4">
        <f>IF(AY196="","",IF(BD196&lt;AY196,BB196,BC196))</f>
        <v/>
      </c>
      <c r="BG196" s="4">
        <f>IF(AY196="","",(BE196+BF196)/2)</f>
        <v/>
      </c>
      <c r="BH196" s="4">
        <f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4">
        <f>IF(AY196="","",IF(BH196&lt;AY196,BG196,BE196))</f>
        <v/>
      </c>
      <c r="BJ196" s="4">
        <f>IF(AY196="","",IF(BH196&lt;AY196,BF196,BG196))</f>
        <v/>
      </c>
      <c r="BK196" s="4">
        <f>IF(AY196="","",(BI196+BJ196)/2)</f>
        <v/>
      </c>
      <c r="BL196" s="4">
        <f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4">
        <f>IF(AY196="","",IF(BL196&lt;AY196,BK196,BI196))</f>
        <v/>
      </c>
      <c r="BN196" s="4">
        <f>IF(AY196="","",IF(BL196&lt;AY196,BJ196,BK196))</f>
        <v/>
      </c>
      <c r="BO196" s="4">
        <f>IF(AY196="","",(BM196+BN196)/2)</f>
        <v/>
      </c>
      <c r="BP196" s="4">
        <f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4">
        <f>IF(AY196="","",IF(BP196&lt;AY196,BO196,BM196))</f>
        <v/>
      </c>
      <c r="BR196" s="4">
        <f>IF(AY196="","",IF(BP196&lt;AY196,BN196,BO196))</f>
        <v/>
      </c>
      <c r="BS196" s="4">
        <f>IF(AY196="","",(BQ196+BR196)/2)</f>
        <v/>
      </c>
      <c r="BT196" s="4">
        <f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4">
        <f>IF(AY196="","",IF(BT196&lt;AY196,BS196,BQ196))</f>
        <v/>
      </c>
      <c r="BV196" s="4">
        <f>IF(AY196="","",IF(BT196&lt;AY196,BR196,BS196))</f>
        <v/>
      </c>
      <c r="BW196" s="4">
        <f>IF(AY196="","",(BU196+BV196)/2)</f>
        <v/>
      </c>
      <c r="BX196" s="4">
        <f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4">
        <f>IF(AY196="","",IF(BX196&lt;AY196,BW196,BU196))</f>
        <v/>
      </c>
      <c r="BZ196" s="4">
        <f>IF(AY196="","",IF(BX196&lt;AY196,BV196,BW196))</f>
        <v/>
      </c>
      <c r="CA196" s="4">
        <f>IF(AY196="","",(BY196+BZ196)/2)</f>
        <v/>
      </c>
      <c r="CB196" s="4">
        <f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4">
        <f>IF(AY196="","",IF(CB196&lt;AY196,CA196,BY196))</f>
        <v/>
      </c>
      <c r="CD196" s="4">
        <f>IF(AY196="","",IF(CB196&lt;AY196,BZ196,CA196))</f>
        <v/>
      </c>
      <c r="CE196" s="4">
        <f>IF(AY196="","",(CC196+CD196)/2)</f>
        <v/>
      </c>
    </row>
    <row r="197">
      <c r="A197" s="4" t="n"/>
      <c r="B197" s="4" t="n"/>
      <c r="C197" s="8" t="n"/>
      <c r="D197" s="8" t="n"/>
      <c r="E197" s="8">
        <f>SUMIFS(CB_Tributaires!$G:$G,CB_Tributaires!$F:$F,$A197)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IF(A197="","",IF(F197="","",2.78E-7*IF(G197&lt;&gt;"",G197,IFERROR(SUMIFS(CB_Tributaires!$H:$H,CB_Tributaires!$F:$F,$A197)/SUMIFS(CB_Tributaires!$G:$G,CB_Tributaires!$F:$F,$A197),Inputs!$B$17))*F197*I197))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7">
        <f>IF(AY197="","",CE197)</f>
        <v/>
      </c>
      <c r="AX197" s="7">
        <f>IF(OR(AY197="",AW197="",R197="",R197&lt;=0,AW197&lt;=0),"",AY197/((R197^2/8)*(2*ACOS(1-2*AW197/R197)-SIN(2*ACOS(1-2*AW197/R197)))))</f>
        <v/>
      </c>
      <c r="AY197" s="4">
        <f>IF(OR(L197="",AZ197=""),"",MIN(L197,AZ197))</f>
        <v/>
      </c>
      <c r="AZ197" s="4">
        <f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4">
        <f>IF(AY197="","",0.001*R197)</f>
        <v/>
      </c>
      <c r="BB197" s="4">
        <f>IF(AY197="","",0.94*R197)</f>
        <v/>
      </c>
      <c r="BC197" s="4">
        <f>IF(AY197="","",(BA197+BB197)/2)</f>
        <v/>
      </c>
      <c r="BD197" s="4">
        <f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4">
        <f>IF(AY197="","",IF(BD197&lt;AY197,BC197,BA197))</f>
        <v/>
      </c>
      <c r="BF197" s="4">
        <f>IF(AY197="","",IF(BD197&lt;AY197,BB197,BC197))</f>
        <v/>
      </c>
      <c r="BG197" s="4">
        <f>IF(AY197="","",(BE197+BF197)/2)</f>
        <v/>
      </c>
      <c r="BH197" s="4">
        <f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4">
        <f>IF(AY197="","",IF(BH197&lt;AY197,BG197,BE197))</f>
        <v/>
      </c>
      <c r="BJ197" s="4">
        <f>IF(AY197="","",IF(BH197&lt;AY197,BF197,BG197))</f>
        <v/>
      </c>
      <c r="BK197" s="4">
        <f>IF(AY197="","",(BI197+BJ197)/2)</f>
        <v/>
      </c>
      <c r="BL197" s="4">
        <f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4">
        <f>IF(AY197="","",IF(BL197&lt;AY197,BK197,BI197))</f>
        <v/>
      </c>
      <c r="BN197" s="4">
        <f>IF(AY197="","",IF(BL197&lt;AY197,BJ197,BK197))</f>
        <v/>
      </c>
      <c r="BO197" s="4">
        <f>IF(AY197="","",(BM197+BN197)/2)</f>
        <v/>
      </c>
      <c r="BP197" s="4">
        <f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4">
        <f>IF(AY197="","",IF(BP197&lt;AY197,BO197,BM197))</f>
        <v/>
      </c>
      <c r="BR197" s="4">
        <f>IF(AY197="","",IF(BP197&lt;AY197,BN197,BO197))</f>
        <v/>
      </c>
      <c r="BS197" s="4">
        <f>IF(AY197="","",(BQ197+BR197)/2)</f>
        <v/>
      </c>
      <c r="BT197" s="4">
        <f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4">
        <f>IF(AY197="","",IF(BT197&lt;AY197,BS197,BQ197))</f>
        <v/>
      </c>
      <c r="BV197" s="4">
        <f>IF(AY197="","",IF(BT197&lt;AY197,BR197,BS197))</f>
        <v/>
      </c>
      <c r="BW197" s="4">
        <f>IF(AY197="","",(BU197+BV197)/2)</f>
        <v/>
      </c>
      <c r="BX197" s="4">
        <f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4">
        <f>IF(AY197="","",IF(BX197&lt;AY197,BW197,BU197))</f>
        <v/>
      </c>
      <c r="BZ197" s="4">
        <f>IF(AY197="","",IF(BX197&lt;AY197,BV197,BW197))</f>
        <v/>
      </c>
      <c r="CA197" s="4">
        <f>IF(AY197="","",(BY197+BZ197)/2)</f>
        <v/>
      </c>
      <c r="CB197" s="4">
        <f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4">
        <f>IF(AY197="","",IF(CB197&lt;AY197,CA197,BY197))</f>
        <v/>
      </c>
      <c r="CD197" s="4">
        <f>IF(AY197="","",IF(CB197&lt;AY197,BZ197,CA197))</f>
        <v/>
      </c>
      <c r="CE197" s="4">
        <f>IF(AY197="","",(CC197+CD197)/2)</f>
        <v/>
      </c>
    </row>
    <row r="198">
      <c r="A198" s="4" t="n"/>
      <c r="B198" s="4" t="n"/>
      <c r="C198" s="8" t="n"/>
      <c r="D198" s="8" t="n"/>
      <c r="E198" s="8">
        <f>SUMIFS(CB_Tributaires!$G:$G,CB_Tributaires!$F:$F,$A198)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IF(A198="","",IF(F198="","",2.78E-7*IF(G198&lt;&gt;"",G198,IFERROR(SUMIFS(CB_Tributaires!$H:$H,CB_Tributaires!$F:$F,$A198)/SUMIFS(CB_Tributaires!$G:$G,CB_Tributaires!$F:$F,$A198),Inputs!$B$17))*F198*I198))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7">
        <f>IF(AY198="","",CE198)</f>
        <v/>
      </c>
      <c r="AX198" s="7">
        <f>IF(OR(AY198="",AW198="",R198="",R198&lt;=0,AW198&lt;=0),"",AY198/((R198^2/8)*(2*ACOS(1-2*AW198/R198)-SIN(2*ACOS(1-2*AW198/R198)))))</f>
        <v/>
      </c>
      <c r="AY198" s="4">
        <f>IF(OR(L198="",AZ198=""),"",MIN(L198,AZ198))</f>
        <v/>
      </c>
      <c r="AZ198" s="4">
        <f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4">
        <f>IF(AY198="","",0.001*R198)</f>
        <v/>
      </c>
      <c r="BB198" s="4">
        <f>IF(AY198="","",0.94*R198)</f>
        <v/>
      </c>
      <c r="BC198" s="4">
        <f>IF(AY198="","",(BA198+BB198)/2)</f>
        <v/>
      </c>
      <c r="BD198" s="4">
        <f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4">
        <f>IF(AY198="","",IF(BD198&lt;AY198,BC198,BA198))</f>
        <v/>
      </c>
      <c r="BF198" s="4">
        <f>IF(AY198="","",IF(BD198&lt;AY198,BB198,BC198))</f>
        <v/>
      </c>
      <c r="BG198" s="4">
        <f>IF(AY198="","",(BE198+BF198)/2)</f>
        <v/>
      </c>
      <c r="BH198" s="4">
        <f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4">
        <f>IF(AY198="","",IF(BH198&lt;AY198,BG198,BE198))</f>
        <v/>
      </c>
      <c r="BJ198" s="4">
        <f>IF(AY198="","",IF(BH198&lt;AY198,BF198,BG198))</f>
        <v/>
      </c>
      <c r="BK198" s="4">
        <f>IF(AY198="","",(BI198+BJ198)/2)</f>
        <v/>
      </c>
      <c r="BL198" s="4">
        <f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4">
        <f>IF(AY198="","",IF(BL198&lt;AY198,BK198,BI198))</f>
        <v/>
      </c>
      <c r="BN198" s="4">
        <f>IF(AY198="","",IF(BL198&lt;AY198,BJ198,BK198))</f>
        <v/>
      </c>
      <c r="BO198" s="4">
        <f>IF(AY198="","",(BM198+BN198)/2)</f>
        <v/>
      </c>
      <c r="BP198" s="4">
        <f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4">
        <f>IF(AY198="","",IF(BP198&lt;AY198,BO198,BM198))</f>
        <v/>
      </c>
      <c r="BR198" s="4">
        <f>IF(AY198="","",IF(BP198&lt;AY198,BN198,BO198))</f>
        <v/>
      </c>
      <c r="BS198" s="4">
        <f>IF(AY198="","",(BQ198+BR198)/2)</f>
        <v/>
      </c>
      <c r="BT198" s="4">
        <f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4">
        <f>IF(AY198="","",IF(BT198&lt;AY198,BS198,BQ198))</f>
        <v/>
      </c>
      <c r="BV198" s="4">
        <f>IF(AY198="","",IF(BT198&lt;AY198,BR198,BS198))</f>
        <v/>
      </c>
      <c r="BW198" s="4">
        <f>IF(AY198="","",(BU198+BV198)/2)</f>
        <v/>
      </c>
      <c r="BX198" s="4">
        <f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4">
        <f>IF(AY198="","",IF(BX198&lt;AY198,BW198,BU198))</f>
        <v/>
      </c>
      <c r="BZ198" s="4">
        <f>IF(AY198="","",IF(BX198&lt;AY198,BV198,BW198))</f>
        <v/>
      </c>
      <c r="CA198" s="4">
        <f>IF(AY198="","",(BY198+BZ198)/2)</f>
        <v/>
      </c>
      <c r="CB198" s="4">
        <f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4">
        <f>IF(AY198="","",IF(CB198&lt;AY198,CA198,BY198))</f>
        <v/>
      </c>
      <c r="CD198" s="4">
        <f>IF(AY198="","",IF(CB198&lt;AY198,BZ198,CA198))</f>
        <v/>
      </c>
      <c r="CE198" s="4">
        <f>IF(AY198="","",(CC198+CD198)/2)</f>
        <v/>
      </c>
    </row>
    <row r="199">
      <c r="A199" s="4" t="n"/>
      <c r="B199" s="4" t="n"/>
      <c r="C199" s="8" t="n"/>
      <c r="D199" s="8" t="n"/>
      <c r="E199" s="8">
        <f>SUMIFS(CB_Tributaires!$G:$G,CB_Tributaires!$F:$F,$A199)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IF(A199="","",IF(F199="","",2.78E-7*IF(G199&lt;&gt;"",G199,IFERROR(SUMIFS(CB_Tributaires!$H:$H,CB_Tributaires!$F:$F,$A199)/SUMIFS(CB_Tributaires!$G:$G,CB_Tributaires!$F:$F,$A199),Inputs!$B$17))*F199*I199))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7">
        <f>IF(AY199="","",CE199)</f>
        <v/>
      </c>
      <c r="AX199" s="7">
        <f>IF(OR(AY199="",AW199="",R199="",R199&lt;=0,AW199&lt;=0),"",AY199/((R199^2/8)*(2*ACOS(1-2*AW199/R199)-SIN(2*ACOS(1-2*AW199/R199)))))</f>
        <v/>
      </c>
      <c r="AY199" s="4">
        <f>IF(OR(L199="",AZ199=""),"",MIN(L199,AZ199))</f>
        <v/>
      </c>
      <c r="AZ199" s="4">
        <f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4">
        <f>IF(AY199="","",0.001*R199)</f>
        <v/>
      </c>
      <c r="BB199" s="4">
        <f>IF(AY199="","",0.94*R199)</f>
        <v/>
      </c>
      <c r="BC199" s="4">
        <f>IF(AY199="","",(BA199+BB199)/2)</f>
        <v/>
      </c>
      <c r="BD199" s="4">
        <f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4">
        <f>IF(AY199="","",IF(BD199&lt;AY199,BC199,BA199))</f>
        <v/>
      </c>
      <c r="BF199" s="4">
        <f>IF(AY199="","",IF(BD199&lt;AY199,BB199,BC199))</f>
        <v/>
      </c>
      <c r="BG199" s="4">
        <f>IF(AY199="","",(BE199+BF199)/2)</f>
        <v/>
      </c>
      <c r="BH199" s="4">
        <f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4">
        <f>IF(AY199="","",IF(BH199&lt;AY199,BG199,BE199))</f>
        <v/>
      </c>
      <c r="BJ199" s="4">
        <f>IF(AY199="","",IF(BH199&lt;AY199,BF199,BG199))</f>
        <v/>
      </c>
      <c r="BK199" s="4">
        <f>IF(AY199="","",(BI199+BJ199)/2)</f>
        <v/>
      </c>
      <c r="BL199" s="4">
        <f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4">
        <f>IF(AY199="","",IF(BL199&lt;AY199,BK199,BI199))</f>
        <v/>
      </c>
      <c r="BN199" s="4">
        <f>IF(AY199="","",IF(BL199&lt;AY199,BJ199,BK199))</f>
        <v/>
      </c>
      <c r="BO199" s="4">
        <f>IF(AY199="","",(BM199+BN199)/2)</f>
        <v/>
      </c>
      <c r="BP199" s="4">
        <f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4">
        <f>IF(AY199="","",IF(BP199&lt;AY199,BO199,BM199))</f>
        <v/>
      </c>
      <c r="BR199" s="4">
        <f>IF(AY199="","",IF(BP199&lt;AY199,BN199,BO199))</f>
        <v/>
      </c>
      <c r="BS199" s="4">
        <f>IF(AY199="","",(BQ199+BR199)/2)</f>
        <v/>
      </c>
      <c r="BT199" s="4">
        <f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4">
        <f>IF(AY199="","",IF(BT199&lt;AY199,BS199,BQ199))</f>
        <v/>
      </c>
      <c r="BV199" s="4">
        <f>IF(AY199="","",IF(BT199&lt;AY199,BR199,BS199))</f>
        <v/>
      </c>
      <c r="BW199" s="4">
        <f>IF(AY199="","",(BU199+BV199)/2)</f>
        <v/>
      </c>
      <c r="BX199" s="4">
        <f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4">
        <f>IF(AY199="","",IF(BX199&lt;AY199,BW199,BU199))</f>
        <v/>
      </c>
      <c r="BZ199" s="4">
        <f>IF(AY199="","",IF(BX199&lt;AY199,BV199,BW199))</f>
        <v/>
      </c>
      <c r="CA199" s="4">
        <f>IF(AY199="","",(BY199+BZ199)/2)</f>
        <v/>
      </c>
      <c r="CB199" s="4">
        <f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4">
        <f>IF(AY199="","",IF(CB199&lt;AY199,CA199,BY199))</f>
        <v/>
      </c>
      <c r="CD199" s="4">
        <f>IF(AY199="","",IF(CB199&lt;AY199,BZ199,CA199))</f>
        <v/>
      </c>
      <c r="CE199" s="4">
        <f>IF(AY199="","",(CC199+CD199)/2)</f>
        <v/>
      </c>
    </row>
    <row r="200">
      <c r="A200" s="4" t="n"/>
      <c r="B200" s="4" t="n"/>
      <c r="C200" s="8" t="n"/>
      <c r="D200" s="8" t="n"/>
      <c r="E200" s="8">
        <f>SUMIFS(CB_Tributaires!$G:$G,CB_Tributaires!$F:$F,$A200)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IF(A200="","",IF(F200="","",2.78E-7*IF(G200&lt;&gt;"",G200,IFERROR(SUMIFS(CB_Tributaires!$H:$H,CB_Tributaires!$F:$F,$A200)/SUMIFS(CB_Tributaires!$G:$G,CB_Tributaires!$F:$F,$A200),Inputs!$B$17))*F200*I200))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7">
        <f>IF(AY200="","",CE200)</f>
        <v/>
      </c>
      <c r="AX200" s="7">
        <f>IF(OR(AY200="",AW200="",R200="",R200&lt;=0,AW200&lt;=0),"",AY200/((R200^2/8)*(2*ACOS(1-2*AW200/R200)-SIN(2*ACOS(1-2*AW200/R200)))))</f>
        <v/>
      </c>
      <c r="AY200" s="4">
        <f>IF(OR(L200="",AZ200=""),"",MIN(L200,AZ200))</f>
        <v/>
      </c>
      <c r="AZ200" s="4">
        <f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4">
        <f>IF(AY200="","",0.001*R200)</f>
        <v/>
      </c>
      <c r="BB200" s="4">
        <f>IF(AY200="","",0.94*R200)</f>
        <v/>
      </c>
      <c r="BC200" s="4">
        <f>IF(AY200="","",(BA200+BB200)/2)</f>
        <v/>
      </c>
      <c r="BD200" s="4">
        <f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4">
        <f>IF(AY200="","",IF(BD200&lt;AY200,BC200,BA200))</f>
        <v/>
      </c>
      <c r="BF200" s="4">
        <f>IF(AY200="","",IF(BD200&lt;AY200,BB200,BC200))</f>
        <v/>
      </c>
      <c r="BG200" s="4">
        <f>IF(AY200="","",(BE200+BF200)/2)</f>
        <v/>
      </c>
      <c r="BH200" s="4">
        <f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4">
        <f>IF(AY200="","",IF(BH200&lt;AY200,BG200,BE200))</f>
        <v/>
      </c>
      <c r="BJ200" s="4">
        <f>IF(AY200="","",IF(BH200&lt;AY200,BF200,BG200))</f>
        <v/>
      </c>
      <c r="BK200" s="4">
        <f>IF(AY200="","",(BI200+BJ200)/2)</f>
        <v/>
      </c>
      <c r="BL200" s="4">
        <f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4">
        <f>IF(AY200="","",IF(BL200&lt;AY200,BK200,BI200))</f>
        <v/>
      </c>
      <c r="BN200" s="4">
        <f>IF(AY200="","",IF(BL200&lt;AY200,BJ200,BK200))</f>
        <v/>
      </c>
      <c r="BO200" s="4">
        <f>IF(AY200="","",(BM200+BN200)/2)</f>
        <v/>
      </c>
      <c r="BP200" s="4">
        <f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4">
        <f>IF(AY200="","",IF(BP200&lt;AY200,BO200,BM200))</f>
        <v/>
      </c>
      <c r="BR200" s="4">
        <f>IF(AY200="","",IF(BP200&lt;AY200,BN200,BO200))</f>
        <v/>
      </c>
      <c r="BS200" s="4">
        <f>IF(AY200="","",(BQ200+BR200)/2)</f>
        <v/>
      </c>
      <c r="BT200" s="4">
        <f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4">
        <f>IF(AY200="","",IF(BT200&lt;AY200,BS200,BQ200))</f>
        <v/>
      </c>
      <c r="BV200" s="4">
        <f>IF(AY200="","",IF(BT200&lt;AY200,BR200,BS200))</f>
        <v/>
      </c>
      <c r="BW200" s="4">
        <f>IF(AY200="","",(BU200+BV200)/2)</f>
        <v/>
      </c>
      <c r="BX200" s="4">
        <f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4">
        <f>IF(AY200="","",IF(BX200&lt;AY200,BW200,BU200))</f>
        <v/>
      </c>
      <c r="BZ200" s="4">
        <f>IF(AY200="","",IF(BX200&lt;AY200,BV200,BW200))</f>
        <v/>
      </c>
      <c r="CA200" s="4">
        <f>IF(AY200="","",(BY200+BZ200)/2)</f>
        <v/>
      </c>
      <c r="CB200" s="4">
        <f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4">
        <f>IF(AY200="","",IF(CB200&lt;AY200,CA200,BY200))</f>
        <v/>
      </c>
      <c r="CD200" s="4">
        <f>IF(AY200="","",IF(CB200&lt;AY200,BZ200,CA200))</f>
        <v/>
      </c>
      <c r="CE200" s="4">
        <f>IF(AY200="","",(CC200+CD200)/2)</f>
        <v/>
      </c>
    </row>
    <row r="201">
      <c r="A201" s="4" t="n"/>
      <c r="B201" s="4" t="n"/>
      <c r="C201" s="8" t="n"/>
      <c r="D201" s="8" t="n"/>
      <c r="E201" s="8">
        <f>SUMIFS(CB_Tributaires!$G:$G,CB_Tributaires!$F:$F,$A201)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IF(A201="","",IF(F201="","",2.78E-7*IF(G201&lt;&gt;"",G201,IFERROR(SUMIFS(CB_Tributaires!$H:$H,CB_Tributaires!$F:$F,$A201)/SUMIFS(CB_Tributaires!$G:$G,CB_Tributaires!$F:$F,$A201),Inputs!$B$17))*F201*I201))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7">
        <f>IF(AY201="","",CE201)</f>
        <v/>
      </c>
      <c r="AX201" s="7">
        <f>IF(OR(AY201="",AW201="",R201="",R201&lt;=0,AW201&lt;=0),"",AY201/((R201^2/8)*(2*ACOS(1-2*AW201/R201)-SIN(2*ACOS(1-2*AW201/R201)))))</f>
        <v/>
      </c>
      <c r="AY201" s="4">
        <f>IF(OR(L201="",AZ201=""),"",MIN(L201,AZ201))</f>
        <v/>
      </c>
      <c r="AZ201" s="4">
        <f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4">
        <f>IF(AY201="","",0.001*R201)</f>
        <v/>
      </c>
      <c r="BB201" s="4">
        <f>IF(AY201="","",0.94*R201)</f>
        <v/>
      </c>
      <c r="BC201" s="4">
        <f>IF(AY201="","",(BA201+BB201)/2)</f>
        <v/>
      </c>
      <c r="BD201" s="4">
        <f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4">
        <f>IF(AY201="","",IF(BD201&lt;AY201,BC201,BA201))</f>
        <v/>
      </c>
      <c r="BF201" s="4">
        <f>IF(AY201="","",IF(BD201&lt;AY201,BB201,BC201))</f>
        <v/>
      </c>
      <c r="BG201" s="4">
        <f>IF(AY201="","",(BE201+BF201)/2)</f>
        <v/>
      </c>
      <c r="BH201" s="4">
        <f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4">
        <f>IF(AY201="","",IF(BH201&lt;AY201,BG201,BE201))</f>
        <v/>
      </c>
      <c r="BJ201" s="4">
        <f>IF(AY201="","",IF(BH201&lt;AY201,BF201,BG201))</f>
        <v/>
      </c>
      <c r="BK201" s="4">
        <f>IF(AY201="","",(BI201+BJ201)/2)</f>
        <v/>
      </c>
      <c r="BL201" s="4">
        <f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4">
        <f>IF(AY201="","",IF(BL201&lt;AY201,BK201,BI201))</f>
        <v/>
      </c>
      <c r="BN201" s="4">
        <f>IF(AY201="","",IF(BL201&lt;AY201,BJ201,BK201))</f>
        <v/>
      </c>
      <c r="BO201" s="4">
        <f>IF(AY201="","",(BM201+BN201)/2)</f>
        <v/>
      </c>
      <c r="BP201" s="4">
        <f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4">
        <f>IF(AY201="","",IF(BP201&lt;AY201,BO201,BM201))</f>
        <v/>
      </c>
      <c r="BR201" s="4">
        <f>IF(AY201="","",IF(BP201&lt;AY201,BN201,BO201))</f>
        <v/>
      </c>
      <c r="BS201" s="4">
        <f>IF(AY201="","",(BQ201+BR201)/2)</f>
        <v/>
      </c>
      <c r="BT201" s="4">
        <f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4">
        <f>IF(AY201="","",IF(BT201&lt;AY201,BS201,BQ201))</f>
        <v/>
      </c>
      <c r="BV201" s="4">
        <f>IF(AY201="","",IF(BT201&lt;AY201,BR201,BS201))</f>
        <v/>
      </c>
      <c r="BW201" s="4">
        <f>IF(AY201="","",(BU201+BV201)/2)</f>
        <v/>
      </c>
      <c r="BX201" s="4">
        <f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4">
        <f>IF(AY201="","",IF(BX201&lt;AY201,BW201,BU201))</f>
        <v/>
      </c>
      <c r="BZ201" s="4">
        <f>IF(AY201="","",IF(BX201&lt;AY201,BV201,BW201))</f>
        <v/>
      </c>
      <c r="CA201" s="4">
        <f>IF(AY201="","",(BY201+BZ201)/2)</f>
        <v/>
      </c>
      <c r="CB201" s="4">
        <f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4">
        <f>IF(AY201="","",IF(CB201&lt;AY201,CA201,BY201))</f>
        <v/>
      </c>
      <c r="CD201" s="4">
        <f>IF(AY201="","",IF(CB201&lt;AY201,BZ201,CA201))</f>
        <v/>
      </c>
      <c r="CE201" s="4">
        <f>IF(AY201="","",(CC201+CD201)/2)</f>
        <v/>
      </c>
    </row>
    <row r="202">
      <c r="A202" s="4" t="n"/>
      <c r="B202" s="4" t="n"/>
      <c r="C202" s="8" t="n"/>
      <c r="D202" s="8" t="n"/>
      <c r="E202" s="8">
        <f>SUMIFS(CB_Tributaires!$G:$G,CB_Tributaires!$F:$F,$A202)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IF(A202="","",IF(F202="","",2.78E-7*IF(G202&lt;&gt;"",G202,IFERROR(SUMIFS(CB_Tributaires!$H:$H,CB_Tributaires!$F:$F,$A202)/SUMIFS(CB_Tributaires!$G:$G,CB_Tributaires!$F:$F,$A202),Inputs!$B$17))*F202*I202))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7">
        <f>IF(AY202="","",CE202)</f>
        <v/>
      </c>
      <c r="AX202" s="7">
        <f>IF(OR(AY202="",AW202="",R202="",R202&lt;=0,AW202&lt;=0),"",AY202/((R202^2/8)*(2*ACOS(1-2*AW202/R202)-SIN(2*ACOS(1-2*AW202/R202)))))</f>
        <v/>
      </c>
      <c r="AY202" s="4">
        <f>IF(OR(L202="",AZ202=""),"",MIN(L202,AZ202))</f>
        <v/>
      </c>
      <c r="AZ202" s="4">
        <f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4">
        <f>IF(AY202="","",0.001*R202)</f>
        <v/>
      </c>
      <c r="BB202" s="4">
        <f>IF(AY202="","",0.94*R202)</f>
        <v/>
      </c>
      <c r="BC202" s="4">
        <f>IF(AY202="","",(BA202+BB202)/2)</f>
        <v/>
      </c>
      <c r="BD202" s="4">
        <f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4">
        <f>IF(AY202="","",IF(BD202&lt;AY202,BC202,BA202))</f>
        <v/>
      </c>
      <c r="BF202" s="4">
        <f>IF(AY202="","",IF(BD202&lt;AY202,BB202,BC202))</f>
        <v/>
      </c>
      <c r="BG202" s="4">
        <f>IF(AY202="","",(BE202+BF202)/2)</f>
        <v/>
      </c>
      <c r="BH202" s="4">
        <f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4">
        <f>IF(AY202="","",IF(BH202&lt;AY202,BG202,BE202))</f>
        <v/>
      </c>
      <c r="BJ202" s="4">
        <f>IF(AY202="","",IF(BH202&lt;AY202,BF202,BG202))</f>
        <v/>
      </c>
      <c r="BK202" s="4">
        <f>IF(AY202="","",(BI202+BJ202)/2)</f>
        <v/>
      </c>
      <c r="BL202" s="4">
        <f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4">
        <f>IF(AY202="","",IF(BL202&lt;AY202,BK202,BI202))</f>
        <v/>
      </c>
      <c r="BN202" s="4">
        <f>IF(AY202="","",IF(BL202&lt;AY202,BJ202,BK202))</f>
        <v/>
      </c>
      <c r="BO202" s="4">
        <f>IF(AY202="","",(BM202+BN202)/2)</f>
        <v/>
      </c>
      <c r="BP202" s="4">
        <f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4">
        <f>IF(AY202="","",IF(BP202&lt;AY202,BO202,BM202))</f>
        <v/>
      </c>
      <c r="BR202" s="4">
        <f>IF(AY202="","",IF(BP202&lt;AY202,BN202,BO202))</f>
        <v/>
      </c>
      <c r="BS202" s="4">
        <f>IF(AY202="","",(BQ202+BR202)/2)</f>
        <v/>
      </c>
      <c r="BT202" s="4">
        <f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4">
        <f>IF(AY202="","",IF(BT202&lt;AY202,BS202,BQ202))</f>
        <v/>
      </c>
      <c r="BV202" s="4">
        <f>IF(AY202="","",IF(BT202&lt;AY202,BR202,BS202))</f>
        <v/>
      </c>
      <c r="BW202" s="4">
        <f>IF(AY202="","",(BU202+BV202)/2)</f>
        <v/>
      </c>
      <c r="BX202" s="4">
        <f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4">
        <f>IF(AY202="","",IF(BX202&lt;AY202,BW202,BU202))</f>
        <v/>
      </c>
      <c r="BZ202" s="4">
        <f>IF(AY202="","",IF(BX202&lt;AY202,BV202,BW202))</f>
        <v/>
      </c>
      <c r="CA202" s="4">
        <f>IF(AY202="","",(BY202+BZ202)/2)</f>
        <v/>
      </c>
      <c r="CB202" s="4">
        <f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4">
        <f>IF(AY202="","",IF(CB202&lt;AY202,CA202,BY202))</f>
        <v/>
      </c>
      <c r="CD202" s="4">
        <f>IF(AY202="","",IF(CB202&lt;AY202,BZ202,CA202))</f>
        <v/>
      </c>
      <c r="CE202" s="4">
        <f>IF(AY202="","",(CC202+CD202)/2)</f>
        <v/>
      </c>
    </row>
    <row r="203">
      <c r="A203" s="4" t="n"/>
      <c r="B203" s="4" t="n"/>
      <c r="C203" s="8" t="n"/>
      <c r="D203" s="8" t="n"/>
      <c r="E203" s="8">
        <f>SUMIFS(CB_Tributaires!$G:$G,CB_Tributaires!$F:$F,$A203)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IF(A203="","",IF(F203="","",2.78E-7*IF(G203&lt;&gt;"",G203,IFERROR(SUMIFS(CB_Tributaires!$H:$H,CB_Tributaires!$F:$F,$A203)/SUMIFS(CB_Tributaires!$G:$G,CB_Tributaires!$F:$F,$A203),Inputs!$B$17))*F203*I203))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7">
        <f>IF(AY203="","",CE203)</f>
        <v/>
      </c>
      <c r="AX203" s="7">
        <f>IF(OR(AY203="",AW203="",R203="",R203&lt;=0,AW203&lt;=0),"",AY203/((R203^2/8)*(2*ACOS(1-2*AW203/R203)-SIN(2*ACOS(1-2*AW203/R203)))))</f>
        <v/>
      </c>
      <c r="AY203" s="4">
        <f>IF(OR(L203="",AZ203=""),"",MIN(L203,AZ203))</f>
        <v/>
      </c>
      <c r="AZ203" s="4">
        <f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4">
        <f>IF(AY203="","",0.001*R203)</f>
        <v/>
      </c>
      <c r="BB203" s="4">
        <f>IF(AY203="","",0.94*R203)</f>
        <v/>
      </c>
      <c r="BC203" s="4">
        <f>IF(AY203="","",(BA203+BB203)/2)</f>
        <v/>
      </c>
      <c r="BD203" s="4">
        <f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4">
        <f>IF(AY203="","",IF(BD203&lt;AY203,BC203,BA203))</f>
        <v/>
      </c>
      <c r="BF203" s="4">
        <f>IF(AY203="","",IF(BD203&lt;AY203,BB203,BC203))</f>
        <v/>
      </c>
      <c r="BG203" s="4">
        <f>IF(AY203="","",(BE203+BF203)/2)</f>
        <v/>
      </c>
      <c r="BH203" s="4">
        <f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4">
        <f>IF(AY203="","",IF(BH203&lt;AY203,BG203,BE203))</f>
        <v/>
      </c>
      <c r="BJ203" s="4">
        <f>IF(AY203="","",IF(BH203&lt;AY203,BF203,BG203))</f>
        <v/>
      </c>
      <c r="BK203" s="4">
        <f>IF(AY203="","",(BI203+BJ203)/2)</f>
        <v/>
      </c>
      <c r="BL203" s="4">
        <f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4">
        <f>IF(AY203="","",IF(BL203&lt;AY203,BK203,BI203))</f>
        <v/>
      </c>
      <c r="BN203" s="4">
        <f>IF(AY203="","",IF(BL203&lt;AY203,BJ203,BK203))</f>
        <v/>
      </c>
      <c r="BO203" s="4">
        <f>IF(AY203="","",(BM203+BN203)/2)</f>
        <v/>
      </c>
      <c r="BP203" s="4">
        <f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4">
        <f>IF(AY203="","",IF(BP203&lt;AY203,BO203,BM203))</f>
        <v/>
      </c>
      <c r="BR203" s="4">
        <f>IF(AY203="","",IF(BP203&lt;AY203,BN203,BO203))</f>
        <v/>
      </c>
      <c r="BS203" s="4">
        <f>IF(AY203="","",(BQ203+BR203)/2)</f>
        <v/>
      </c>
      <c r="BT203" s="4">
        <f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4">
        <f>IF(AY203="","",IF(BT203&lt;AY203,BS203,BQ203))</f>
        <v/>
      </c>
      <c r="BV203" s="4">
        <f>IF(AY203="","",IF(BT203&lt;AY203,BR203,BS203))</f>
        <v/>
      </c>
      <c r="BW203" s="4">
        <f>IF(AY203="","",(BU203+BV203)/2)</f>
        <v/>
      </c>
      <c r="BX203" s="4">
        <f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4">
        <f>IF(AY203="","",IF(BX203&lt;AY203,BW203,BU203))</f>
        <v/>
      </c>
      <c r="BZ203" s="4">
        <f>IF(AY203="","",IF(BX203&lt;AY203,BV203,BW203))</f>
        <v/>
      </c>
      <c r="CA203" s="4">
        <f>IF(AY203="","",(BY203+BZ203)/2)</f>
        <v/>
      </c>
      <c r="CB203" s="4">
        <f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4">
        <f>IF(AY203="","",IF(CB203&lt;AY203,CA203,BY203))</f>
        <v/>
      </c>
      <c r="CD203" s="4">
        <f>IF(AY203="","",IF(CB203&lt;AY203,BZ203,CA203))</f>
        <v/>
      </c>
      <c r="CE203" s="4">
        <f>IF(AY203="","",(CC203+CD203)/2)</f>
        <v/>
      </c>
    </row>
  </sheetData>
  <mergeCells count="1">
    <mergeCell ref="A1:AM1"/>
  </mergeCells>
  <conditionalFormatting sqref="AC4:AC203">
    <cfRule type="expression" priority="10" dxfId="0">
      <formula>$AC4="CHECK"</formula>
    </cfRule>
  </conditionalFormatting>
  <conditionalFormatting sqref="T4:T203">
    <cfRule type="cellIs" priority="11" operator="greaterThan" dxfId="0">
      <formula>1</formula>
    </cfRule>
  </conditionalFormatting>
  <conditionalFormatting sqref="AA4:AA203">
    <cfRule type="expression" priority="12" dxfId="0">
      <formula>$AA4&lt;Inputs!$B$19</formula>
    </cfRule>
  </conditionalFormatting>
  <conditionalFormatting sqref="AB4:AB203">
    <cfRule type="expression" priority="13" dxfId="0">
      <formula>$AB4&lt;Inputs!$B$19</formula>
    </cfRule>
  </conditionalFormatting>
  <conditionalFormatting sqref="N4:N203">
    <cfRule type="expression" priority="14" dxfId="0">
      <formula>$N4&lt;Inputs!$B$7</formula>
    </cfRule>
    <cfRule type="expression" priority="15" dxfId="0">
      <formula>$N4&gt;Inputs!$B$8</formula>
    </cfRule>
  </conditionalFormatting>
  <conditionalFormatting sqref="U4:U203">
    <cfRule type="expression" priority="16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7" dxfId="0">
      <formula>=AND(OR(UPPER(TRIM(Inputs!$B$24))="MANNING",UPPER(TRIM(Inputs!$B$24))="M"),OR($AU4&lt;Inputs!$B$11,$AU4&gt;Inputs!$B$12))</formula>
    </cfRule>
  </conditionalFormatting>
  <conditionalFormatting sqref="AX4:AX203">
    <cfRule type="expression" priority="18" dxfId="0">
      <formula>=AND(OR(UPPER(TRIM(Inputs!$B$24))="PARTIAL",UPPER(TRIM(Inputs!$B$24))="P"),OR($AX4&lt;Inputs!$B$11,$AX4&gt;Inputs!$B$12))</formula>
    </cfRule>
  </conditionalFormatting>
  <conditionalFormatting sqref="AV4:AV203">
    <cfRule type="expression" priority="19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7" customWidth="1" min="8" max="8"/>
    <col width="13" customWidth="1" min="9" max="9"/>
    <col width="14" customWidth="1" min="10" max="10"/>
    <col width="38" customWidth="1" min="11" max="11"/>
    <col width="16" customWidth="1" min="12" max="12"/>
    <col width="14" customWidth="1" min="13" max="13"/>
    <col width="14" customWidth="1" min="14" max="14"/>
    <col width="14" customWidth="1" min="15" max="15"/>
    <col width="18" customWidth="1" min="16" max="16"/>
  </cols>
  <sheetData>
    <row r="1">
      <c r="A1" s="1" t="inlineStr">
        <is>
          <t>SOUS-BASSINS PAR TYPE DE SURFACE (B/C/D/E) - REPARTITION EXPLICITE REQUISE</t>
        </is>
      </c>
    </row>
    <row r="2">
      <c r="A2" s="6" t="inlineStr">
        <is>
          <t>Saisir les aires en B/C/D/E: toiture, pavage, gazon, autre. La conduite receptrice est en F.</t>
        </is>
      </c>
    </row>
    <row r="3">
      <c r="A3" s="23" t="inlineStr">
        <is>
          <t>CB_or_Zone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Node_hint</t>
        </is>
      </c>
      <c r="K3" s="23" t="inlineStr">
        <is>
          <t>Notes</t>
        </is>
      </c>
      <c r="L3" s="23" t="inlineStr">
        <is>
          <t>Impervious_area_m2</t>
        </is>
      </c>
      <c r="M3" s="23" t="inlineStr">
        <is>
          <t>Pervious_area_m2</t>
        </is>
      </c>
      <c r="N3" s="23" t="inlineStr">
        <is>
          <t>Impervious_fraction</t>
        </is>
      </c>
      <c r="O3" s="23" t="inlineStr">
        <is>
          <t>Dominant_surface</t>
        </is>
      </c>
      <c r="P3" s="23" t="inlineStr">
        <is>
          <t>Surface_input_status</t>
        </is>
      </c>
    </row>
    <row r="4">
      <c r="A4" s="4" t="inlineStr">
        <is>
          <t>A</t>
        </is>
      </c>
      <c r="B4" s="28" t="n">
        <v>15.61</v>
      </c>
      <c r="C4" s="29" t="n">
        <v>101.45</v>
      </c>
      <c r="D4" s="7" t="n">
        <v>39.02</v>
      </c>
      <c r="E4" s="30" t="n">
        <v>0</v>
      </c>
      <c r="F4" s="4" t="inlineStr">
        <is>
          <t>L01_P01_P02</t>
        </is>
      </c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inlineStr">
        <is>
          <t>P01</t>
        </is>
      </c>
      <c r="K4" s="4" t="inlineStr">
        <is>
          <t>From annotated plan.; Prefill 2026-06-28: best-guess surfaces (verify).</t>
        </is>
      </c>
      <c r="L4" s="7">
        <f>IF(A4="","",B4+C4+E4)</f>
        <v/>
      </c>
      <c r="M4" s="7">
        <f>IF(A4="","",D4)</f>
        <v/>
      </c>
      <c r="N4" s="7">
        <f>IF(OR(G4="",G4=0),"",L4/G4)</f>
        <v/>
      </c>
      <c r="O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P4" s="4">
        <f>IF(A4="","",IF(COUNT(B4:E4)=0,"MISSING_SPLIT",IF(MIN(B4:E4)&lt;0,"INVALID_NEGATIVE",IF(SUM(B4:E4)=0,"ZERO_TOTAL",IF(I4="","NO_WEIGHTED_C","OK")))))</f>
        <v/>
      </c>
    </row>
    <row r="5">
      <c r="A5" s="4" t="inlineStr">
        <is>
          <t>B</t>
        </is>
      </c>
      <c r="B5" s="28" t="n">
        <v>48.53</v>
      </c>
      <c r="C5" s="29" t="n">
        <v>97.06999999999999</v>
      </c>
      <c r="D5" s="7" t="n">
        <v>16.18</v>
      </c>
      <c r="E5" s="30" t="n">
        <v>0</v>
      </c>
      <c r="F5" s="4" t="inlineStr">
        <is>
          <t>L02_P02_P03</t>
        </is>
      </c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inlineStr">
        <is>
          <t>P02</t>
        </is>
      </c>
      <c r="K5" s="4" t="inlineStr">
        <is>
          <t>From annotated plan.; Prefill 2026-06-28: best-guess surfaces (verify).</t>
        </is>
      </c>
      <c r="L5" s="7">
        <f>IF(A5="","",B5+C5+E5)</f>
        <v/>
      </c>
      <c r="M5" s="7">
        <f>IF(A5="","",D5)</f>
        <v/>
      </c>
      <c r="N5" s="7">
        <f>IF(OR(G5="",G5=0),"",L5/G5)</f>
        <v/>
      </c>
      <c r="O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P5" s="4">
        <f>IF(A5="","",IF(COUNT(B5:E5)=0,"MISSING_SPLIT",IF(MIN(B5:E5)&lt;0,"INVALID_NEGATIVE",IF(SUM(B5:E5)=0,"ZERO_TOTAL",IF(I5="","NO_WEIGHTED_C","OK")))))</f>
        <v/>
      </c>
    </row>
    <row r="6">
      <c r="A6" s="4" t="inlineStr">
        <is>
          <t>C</t>
        </is>
      </c>
      <c r="B6" s="28" t="n">
        <v>35.65</v>
      </c>
      <c r="C6" s="29" t="n">
        <v>92.68000000000001</v>
      </c>
      <c r="D6" s="7" t="n">
        <v>14.26</v>
      </c>
      <c r="E6" s="30" t="n">
        <v>0</v>
      </c>
      <c r="F6" s="4" t="inlineStr">
        <is>
          <t>L03_P03_RP100</t>
        </is>
      </c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inlineStr">
        <is>
          <t>P03</t>
        </is>
      </c>
      <c r="K6" s="4" t="inlineStr">
        <is>
          <t>From annotated plan.; Prefill 2026-06-28: best-guess surfaces (verify).</t>
        </is>
      </c>
      <c r="L6" s="7">
        <f>IF(A6="","",B6+C6+E6)</f>
        <v/>
      </c>
      <c r="M6" s="7">
        <f>IF(A6="","",D6)</f>
        <v/>
      </c>
      <c r="N6" s="7">
        <f>IF(OR(G6="",G6=0),"",L6/G6)</f>
        <v/>
      </c>
      <c r="O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P6" s="4">
        <f>IF(A6="","",IF(COUNT(B6:E6)=0,"MISSING_SPLIT",IF(MIN(B6:E6)&lt;0,"INVALID_NEGATIVE",IF(SUM(B6:E6)=0,"ZERO_TOTAL",IF(I6="","NO_WEIGHTED_C","OK")))))</f>
        <v/>
      </c>
    </row>
    <row r="7">
      <c r="A7" s="4" t="inlineStr">
        <is>
          <t>D</t>
        </is>
      </c>
      <c r="B7" s="28" t="n">
        <v>6.15</v>
      </c>
      <c r="C7" s="29" t="n">
        <v>30.74</v>
      </c>
      <c r="D7" s="7" t="n">
        <v>24.6</v>
      </c>
      <c r="E7" s="30" t="n">
        <v>0</v>
      </c>
      <c r="F7" s="4" t="inlineStr">
        <is>
          <t>L04_P04_P05</t>
        </is>
      </c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inlineStr">
        <is>
          <t>P04</t>
        </is>
      </c>
      <c r="K7" s="4" t="inlineStr">
        <is>
          <t>From annotated plan.; Prefill 2026-06-28: best-guess surfaces (verify).</t>
        </is>
      </c>
      <c r="L7" s="7">
        <f>IF(A7="","",B7+C7+E7)</f>
        <v/>
      </c>
      <c r="M7" s="7">
        <f>IF(A7="","",D7)</f>
        <v/>
      </c>
      <c r="N7" s="7">
        <f>IF(OR(G7="",G7=0),"",L7/G7)</f>
        <v/>
      </c>
      <c r="O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P7" s="4">
        <f>IF(A7="","",IF(COUNT(B7:E7)=0,"MISSING_SPLIT",IF(MIN(B7:E7)&lt;0,"INVALID_NEGATIVE",IF(SUM(B7:E7)=0,"ZERO_TOTAL",IF(I7="","NO_WEIGHTED_C","OK")))))</f>
        <v/>
      </c>
    </row>
    <row r="8">
      <c r="A8" s="4" t="inlineStr">
        <is>
          <t>E</t>
        </is>
      </c>
      <c r="B8" s="28" t="n">
        <v>46.88</v>
      </c>
      <c r="C8" s="29" t="n">
        <v>73.68000000000001</v>
      </c>
      <c r="D8" s="7" t="n">
        <v>13.39</v>
      </c>
      <c r="E8" s="30" t="n">
        <v>0</v>
      </c>
      <c r="F8" s="4" t="inlineStr">
        <is>
          <t>L04_P04_P05</t>
        </is>
      </c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inlineStr">
        <is>
          <t>P04-P05</t>
        </is>
      </c>
      <c r="K8" s="4" t="inlineStr">
        <is>
          <t>From annotated plan.; Prefill 2026-06-28: best-guess surfaces (verify).</t>
        </is>
      </c>
      <c r="L8" s="7">
        <f>IF(A8="","",B8+C8+E8)</f>
        <v/>
      </c>
      <c r="M8" s="7">
        <f>IF(A8="","",D8)</f>
        <v/>
      </c>
      <c r="N8" s="7">
        <f>IF(OR(G8="",G8=0),"",L8/G8)</f>
        <v/>
      </c>
      <c r="O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P8" s="4">
        <f>IF(A8="","",IF(COUNT(B8:E8)=0,"MISSING_SPLIT",IF(MIN(B8:E8)&lt;0,"INVALID_NEGATIVE",IF(SUM(B8:E8)=0,"ZERO_TOTAL",IF(I8="","NO_WEIGHTED_C","OK")))))</f>
        <v/>
      </c>
    </row>
    <row r="9">
      <c r="A9" s="4" t="inlineStr">
        <is>
          <t>F</t>
        </is>
      </c>
      <c r="B9" s="28" t="n">
        <v>66.92</v>
      </c>
      <c r="C9" s="29" t="n">
        <v>92.02</v>
      </c>
      <c r="D9" s="7" t="n">
        <v>8.369999999999999</v>
      </c>
      <c r="E9" s="30" t="n">
        <v>0</v>
      </c>
      <c r="F9" s="4" t="inlineStr">
        <is>
          <t>L05_P05_P06</t>
        </is>
      </c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inlineStr">
        <is>
          <t>P05-P06</t>
        </is>
      </c>
      <c r="K9" s="4" t="inlineStr">
        <is>
          <t>From annotated plan.; Prefill 2026-06-28: best-guess surfaces (verify).</t>
        </is>
      </c>
      <c r="L9" s="7">
        <f>IF(A9="","",B9+C9+E9)</f>
        <v/>
      </c>
      <c r="M9" s="7">
        <f>IF(A9="","",D9)</f>
        <v/>
      </c>
      <c r="N9" s="7">
        <f>IF(OR(G9="",G9=0),"",L9/G9)</f>
        <v/>
      </c>
      <c r="O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P9" s="4">
        <f>IF(A9="","",IF(COUNT(B9:E9)=0,"MISSING_SPLIT",IF(MIN(B9:E9)&lt;0,"INVALID_NEGATIVE",IF(SUM(B9:E9)=0,"ZERO_TOTAL",IF(I9="","NO_WEIGHTED_C","OK")))))</f>
        <v/>
      </c>
    </row>
    <row r="10">
      <c r="A10" s="4" t="inlineStr">
        <is>
          <t>G</t>
        </is>
      </c>
      <c r="B10" s="28" t="inlineStr"/>
      <c r="C10" s="29" t="n"/>
      <c r="D10" s="7" t="inlineStr"/>
      <c r="E10" s="30" t="inlineStr"/>
      <c r="F10" s="4" t="inlineStr">
        <is>
          <t>L06_P06_RP100</t>
        </is>
      </c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inlineStr">
        <is>
          <t>P06</t>
        </is>
      </c>
      <c r="K10" s="4" t="inlineStr">
        <is>
          <t>From annotated plan; verify blanks (G/J/K) if needed.</t>
        </is>
      </c>
      <c r="L10" s="7">
        <f>IF(A10="","",B10+C10+E10)</f>
        <v/>
      </c>
      <c r="M10" s="7">
        <f>IF(A10="","",D10)</f>
        <v/>
      </c>
      <c r="N10" s="7">
        <f>IF(OR(G10="",G10=0),"",L10/G10)</f>
        <v/>
      </c>
      <c r="O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P10" s="4">
        <f>IF(A10="","",IF(COUNT(B10:E10)=0,"MISSING_SPLIT",IF(MIN(B10:E10)&lt;0,"INVALID_NEGATIVE",IF(SUM(B10:E10)=0,"ZERO_TOTAL",IF(I10="","NO_WEIGHTED_C","OK")))))</f>
        <v/>
      </c>
    </row>
    <row r="11">
      <c r="A11" s="4" t="inlineStr">
        <is>
          <t>H</t>
        </is>
      </c>
      <c r="B11" s="28" t="n">
        <v>9.449999999999999</v>
      </c>
      <c r="C11" s="29" t="n">
        <v>28.33</v>
      </c>
      <c r="D11" s="7" t="n">
        <v>25.19</v>
      </c>
      <c r="E11" s="30" t="n">
        <v>0</v>
      </c>
      <c r="F11" s="4" t="inlineStr">
        <is>
          <t>L07_P07_P08</t>
        </is>
      </c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inlineStr">
        <is>
          <t>P07</t>
        </is>
      </c>
      <c r="K11" s="4" t="inlineStr">
        <is>
          <t>From annotated plan.; Prefill 2026-06-28: best-guess surfaces (verify).</t>
        </is>
      </c>
      <c r="L11" s="7">
        <f>IF(A11="","",B11+C11+E11)</f>
        <v/>
      </c>
      <c r="M11" s="7">
        <f>IF(A11="","",D11)</f>
        <v/>
      </c>
      <c r="N11" s="7">
        <f>IF(OR(G11="",G11=0),"",L11/G11)</f>
        <v/>
      </c>
      <c r="O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P11" s="4">
        <f>IF(A11="","",IF(COUNT(B11:E11)=0,"MISSING_SPLIT",IF(MIN(B11:E11)&lt;0,"INVALID_NEGATIVE",IF(SUM(B11:E11)=0,"ZERO_TOTAL",IF(I11="","NO_WEIGHTED_C","OK")))))</f>
        <v/>
      </c>
    </row>
    <row r="12">
      <c r="A12" s="4" t="inlineStr">
        <is>
          <t>I</t>
        </is>
      </c>
      <c r="B12" s="28" t="n">
        <v>71.84</v>
      </c>
      <c r="C12" s="29" t="n">
        <v>79.81999999999999</v>
      </c>
      <c r="D12" s="7" t="n">
        <v>7.98</v>
      </c>
      <c r="E12" s="30" t="n">
        <v>0</v>
      </c>
      <c r="F12" s="4" t="inlineStr">
        <is>
          <t>L08_P08_P09</t>
        </is>
      </c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inlineStr">
        <is>
          <t>P08</t>
        </is>
      </c>
      <c r="K12" s="4" t="inlineStr">
        <is>
          <t>From annotated plan.; Prefill 2026-06-28: best-guess surfaces (verify).</t>
        </is>
      </c>
      <c r="L12" s="7">
        <f>IF(A12="","",B12+C12+E12)</f>
        <v/>
      </c>
      <c r="M12" s="7">
        <f>IF(A12="","",D12)</f>
        <v/>
      </c>
      <c r="N12" s="7">
        <f>IF(OR(G12="",G12=0),"",L12/G12)</f>
        <v/>
      </c>
      <c r="O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P12" s="4">
        <f>IF(A12="","",IF(COUNT(B12:E12)=0,"MISSING_SPLIT",IF(MIN(B12:E12)&lt;0,"INVALID_NEGATIVE",IF(SUM(B12:E12)=0,"ZERO_TOTAL",IF(I12="","NO_WEIGHTED_C","OK")))))</f>
        <v/>
      </c>
    </row>
    <row r="13">
      <c r="A13" s="4" t="inlineStr">
        <is>
          <t>J</t>
        </is>
      </c>
      <c r="B13" s="28" t="inlineStr"/>
      <c r="C13" s="29" t="n"/>
      <c r="D13" s="7" t="inlineStr"/>
      <c r="E13" s="30" t="inlineStr"/>
      <c r="F13" s="4" t="inlineStr">
        <is>
          <t>L09_P09_P06</t>
        </is>
      </c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inlineStr">
        <is>
          <t>P09</t>
        </is>
      </c>
      <c r="K13" s="4" t="inlineStr">
        <is>
          <t>From annotated plan; verify blanks (G/J/K) if needed.</t>
        </is>
      </c>
      <c r="L13" s="7">
        <f>IF(A13="","",B13+C13+E13)</f>
        <v/>
      </c>
      <c r="M13" s="7">
        <f>IF(A13="","",D13)</f>
        <v/>
      </c>
      <c r="N13" s="7">
        <f>IF(OR(G13="",G13=0),"",L13/G13)</f>
        <v/>
      </c>
      <c r="O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P13" s="4">
        <f>IF(A13="","",IF(COUNT(B13:E13)=0,"MISSING_SPLIT",IF(MIN(B13:E13)&lt;0,"INVALID_NEGATIVE",IF(SUM(B13:E13)=0,"ZERO_TOTAL",IF(I13="","NO_WEIGHTED_C","OK")))))</f>
        <v/>
      </c>
    </row>
    <row r="14">
      <c r="A14" s="4" t="inlineStr">
        <is>
          <t>K</t>
        </is>
      </c>
      <c r="B14" s="28" t="inlineStr"/>
      <c r="C14" s="29" t="n"/>
      <c r="D14" s="7" t="inlineStr"/>
      <c r="E14" s="30" t="inlineStr"/>
      <c r="F14" s="4" t="inlineStr">
        <is>
          <t>L09_P09_P06</t>
        </is>
      </c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inlineStr">
        <is>
          <t>P06/P09 flank</t>
        </is>
      </c>
      <c r="K14" s="4" t="inlineStr">
        <is>
          <t>From annotated plan; verify blanks (G/J/K) if needed.</t>
        </is>
      </c>
      <c r="L14" s="7">
        <f>IF(A14="","",B14+C14+E14)</f>
        <v/>
      </c>
      <c r="M14" s="7">
        <f>IF(A14="","",D14)</f>
        <v/>
      </c>
      <c r="N14" s="7">
        <f>IF(OR(G14="",G14=0),"",L14/G14)</f>
        <v/>
      </c>
      <c r="O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P14" s="4">
        <f>IF(A14="","",IF(COUNT(B14:E14)=0,"MISSING_SPLIT",IF(MIN(B14:E14)&lt;0,"INVALID_NEGATIVE",IF(SUM(B14:E14)=0,"ZERO_TOTAL",IF(I14="","NO_WEIGHTED_C","OK")))))</f>
        <v/>
      </c>
    </row>
    <row r="15">
      <c r="A15" s="4" t="inlineStr">
        <is>
          <t>L</t>
        </is>
      </c>
      <c r="B15" s="28" t="n">
        <v>2.13</v>
      </c>
      <c r="C15" s="29" t="n">
        <v>10.64</v>
      </c>
      <c r="D15" s="7" t="n">
        <v>29.78</v>
      </c>
      <c r="E15" s="30" t="n">
        <v>0</v>
      </c>
      <c r="F15" s="4" t="inlineStr">
        <is>
          <t>L10_P010_P07</t>
        </is>
      </c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inlineStr">
        <is>
          <t>P010</t>
        </is>
      </c>
      <c r="K15" s="4" t="inlineStr">
        <is>
          <t>From annotated plan.; Prefill 2026-06-28: best-guess surfaces (verify).</t>
        </is>
      </c>
      <c r="L15" s="7">
        <f>IF(A15="","",B15+C15+E15)</f>
        <v/>
      </c>
      <c r="M15" s="7">
        <f>IF(A15="","",D15)</f>
        <v/>
      </c>
      <c r="N15" s="7">
        <f>IF(OR(G15="",G15=0),"",L15/G15)</f>
        <v/>
      </c>
      <c r="O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P15" s="4">
        <f>IF(A15="","",IF(COUNT(B15:E15)=0,"MISSING_SPLIT",IF(MIN(B15:E15)&lt;0,"INVALID_NEGATIVE",IF(SUM(B15:E15)=0,"ZERO_TOTAL",IF(I15="","NO_WEIGHTED_C","OK")))))</f>
        <v/>
      </c>
    </row>
    <row r="16">
      <c r="A16" s="4" t="inlineStr">
        <is>
          <t>M</t>
        </is>
      </c>
      <c r="B16" s="28" t="n">
        <v>13.99</v>
      </c>
      <c r="C16" s="29" t="n">
        <v>38.47</v>
      </c>
      <c r="D16" s="7" t="n">
        <v>17.48</v>
      </c>
      <c r="E16" s="30" t="n">
        <v>0</v>
      </c>
      <c r="F16" s="4" t="inlineStr">
        <is>
          <t>L07_P07_P08</t>
        </is>
      </c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inlineStr">
        <is>
          <t>P07-P08</t>
        </is>
      </c>
      <c r="K16" s="4" t="inlineStr">
        <is>
          <t>From annotated plan.; Prefill 2026-06-28: best-guess surfaces (verify).</t>
        </is>
      </c>
      <c r="L16" s="7">
        <f>IF(A16="","",B16+C16+E16)</f>
        <v/>
      </c>
      <c r="M16" s="7">
        <f>IF(A16="","",D16)</f>
        <v/>
      </c>
      <c r="N16" s="7">
        <f>IF(OR(G16="",G16=0),"",L16/G16)</f>
        <v/>
      </c>
      <c r="O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P16" s="4">
        <f>IF(A16="","",IF(COUNT(B16:E16)=0,"MISSING_SPLIT",IF(MIN(B16:E16)&lt;0,"INVALID_NEGATIVE",IF(SUM(B16:E16)=0,"ZERO_TOTAL",IF(I16="","NO_WEIGHTED_C","OK")))))</f>
        <v/>
      </c>
    </row>
    <row r="17">
      <c r="A17" s="4" t="inlineStr">
        <is>
          <t>N</t>
        </is>
      </c>
      <c r="B17" s="28" t="n">
        <v>33.12</v>
      </c>
      <c r="C17" s="29" t="n">
        <v>66.23</v>
      </c>
      <c r="D17" s="7" t="n">
        <v>11.04</v>
      </c>
      <c r="E17" s="30" t="n">
        <v>0</v>
      </c>
      <c r="F17" s="4" t="inlineStr">
        <is>
          <t>L08_P08_P09</t>
        </is>
      </c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inlineStr">
        <is>
          <t>P08-P09</t>
        </is>
      </c>
      <c r="K17" s="4" t="inlineStr">
        <is>
          <t>From annotated plan.; Prefill 2026-06-28: best-guess surfaces (verify).</t>
        </is>
      </c>
      <c r="L17" s="7">
        <f>IF(A17="","",B17+C17+E17)</f>
        <v/>
      </c>
      <c r="M17" s="7">
        <f>IF(A17="","",D17)</f>
        <v/>
      </c>
      <c r="N17" s="7">
        <f>IF(OR(G17="",G17=0),"",L17/G17)</f>
        <v/>
      </c>
      <c r="O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P17" s="4">
        <f>IF(A17="","",IF(COUNT(B17:E17)=0,"MISSING_SPLIT",IF(MIN(B17:E17)&lt;0,"INVALID_NEGATIVE",IF(SUM(B17:E17)=0,"ZERO_TOTAL",IF(I17="","NO_WEIGHTED_C","OK")))))</f>
        <v/>
      </c>
    </row>
    <row r="18">
      <c r="A18" s="4" t="inlineStr">
        <is>
          <t>O</t>
        </is>
      </c>
      <c r="B18" s="28" t="n">
        <v>8.27</v>
      </c>
      <c r="C18" s="29" t="n">
        <v>33.1</v>
      </c>
      <c r="D18" s="7" t="n">
        <v>124.1</v>
      </c>
      <c r="E18" s="30" t="n">
        <v>0</v>
      </c>
      <c r="F18" s="4" t="inlineStr">
        <is>
          <t>L10_P010_P07</t>
        </is>
      </c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inlineStr">
        <is>
          <t>P010 corridor</t>
        </is>
      </c>
      <c r="K18" s="4" t="inlineStr">
        <is>
          <t>From annotated plan.; Prefill 2026-06-28: best-guess surfaces (verify).</t>
        </is>
      </c>
      <c r="L18" s="7">
        <f>IF(A18="","",B18+C18+E18)</f>
        <v/>
      </c>
      <c r="M18" s="7">
        <f>IF(A18="","",D18)</f>
        <v/>
      </c>
      <c r="N18" s="7">
        <f>IF(OR(G18="",G18=0),"",L18/G18)</f>
        <v/>
      </c>
      <c r="O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P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 t="n"/>
      <c r="L19" s="7">
        <f>IF(A19="","",B19+C19+E19)</f>
        <v/>
      </c>
      <c r="M19" s="7">
        <f>IF(A19="","",D19)</f>
        <v/>
      </c>
      <c r="N19" s="7">
        <f>IF(OR(G19="",G19=0),"",L19/G19)</f>
        <v/>
      </c>
      <c r="O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P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 t="n"/>
      <c r="L20" s="7">
        <f>IF(A20="","",B20+C20+E20)</f>
        <v/>
      </c>
      <c r="M20" s="7">
        <f>IF(A20="","",D20)</f>
        <v/>
      </c>
      <c r="N20" s="7">
        <f>IF(OR(G20="",G20=0),"",L20/G20)</f>
        <v/>
      </c>
      <c r="O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P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 t="n"/>
      <c r="L21" s="7">
        <f>IF(A21="","",B21+C21+E21)</f>
        <v/>
      </c>
      <c r="M21" s="7">
        <f>IF(A21="","",D21)</f>
        <v/>
      </c>
      <c r="N21" s="7">
        <f>IF(OR(G21="",G21=0),"",L21/G21)</f>
        <v/>
      </c>
      <c r="O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P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 t="n"/>
      <c r="L22" s="7">
        <f>IF(A22="","",B22+C22+E22)</f>
        <v/>
      </c>
      <c r="M22" s="7">
        <f>IF(A22="","",D22)</f>
        <v/>
      </c>
      <c r="N22" s="7">
        <f>IF(OR(G22="",G22=0),"",L22/G22)</f>
        <v/>
      </c>
      <c r="O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P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 t="n"/>
      <c r="L23" s="7">
        <f>IF(A23="","",B23+C23+E23)</f>
        <v/>
      </c>
      <c r="M23" s="7">
        <f>IF(A23="","",D23)</f>
        <v/>
      </c>
      <c r="N23" s="7">
        <f>IF(OR(G23="",G23=0),"",L23/G23)</f>
        <v/>
      </c>
      <c r="O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P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 t="n"/>
      <c r="L24" s="7">
        <f>IF(A24="","",B24+C24+E24)</f>
        <v/>
      </c>
      <c r="M24" s="7">
        <f>IF(A24="","",D24)</f>
        <v/>
      </c>
      <c r="N24" s="7">
        <f>IF(OR(G24="",G24=0),"",L24/G24)</f>
        <v/>
      </c>
      <c r="O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P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 t="n"/>
      <c r="L25" s="7">
        <f>IF(A25="","",B25+C25+E25)</f>
        <v/>
      </c>
      <c r="M25" s="7">
        <f>IF(A25="","",D25)</f>
        <v/>
      </c>
      <c r="N25" s="7">
        <f>IF(OR(G25="",G25=0),"",L25/G25)</f>
        <v/>
      </c>
      <c r="O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P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 t="n"/>
      <c r="L26" s="7">
        <f>IF(A26="","",B26+C26+E26)</f>
        <v/>
      </c>
      <c r="M26" s="7">
        <f>IF(A26="","",D26)</f>
        <v/>
      </c>
      <c r="N26" s="7">
        <f>IF(OR(G26="",G26=0),"",L26/G26)</f>
        <v/>
      </c>
      <c r="O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P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 t="n"/>
      <c r="L27" s="7">
        <f>IF(A27="","",B27+C27+E27)</f>
        <v/>
      </c>
      <c r="M27" s="7">
        <f>IF(A27="","",D27)</f>
        <v/>
      </c>
      <c r="N27" s="7">
        <f>IF(OR(G27="",G27=0),"",L27/G27)</f>
        <v/>
      </c>
      <c r="O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P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 t="n"/>
      <c r="L28" s="7">
        <f>IF(A28="","",B28+C28+E28)</f>
        <v/>
      </c>
      <c r="M28" s="7">
        <f>IF(A28="","",D28)</f>
        <v/>
      </c>
      <c r="N28" s="7">
        <f>IF(OR(G28="",G28=0),"",L28/G28)</f>
        <v/>
      </c>
      <c r="O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P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 t="n"/>
      <c r="L29" s="7">
        <f>IF(A29="","",B29+C29+E29)</f>
        <v/>
      </c>
      <c r="M29" s="7">
        <f>IF(A29="","",D29)</f>
        <v/>
      </c>
      <c r="N29" s="7">
        <f>IF(OR(G29="",G29=0),"",L29/G29)</f>
        <v/>
      </c>
      <c r="O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P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 t="n"/>
      <c r="L30" s="7">
        <f>IF(A30="","",B30+C30+E30)</f>
        <v/>
      </c>
      <c r="M30" s="7">
        <f>IF(A30="","",D30)</f>
        <v/>
      </c>
      <c r="N30" s="7">
        <f>IF(OR(G30="",G30=0),"",L30/G30)</f>
        <v/>
      </c>
      <c r="O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P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 t="n"/>
      <c r="L31" s="7">
        <f>IF(A31="","",B31+C31+E31)</f>
        <v/>
      </c>
      <c r="M31" s="7">
        <f>IF(A31="","",D31)</f>
        <v/>
      </c>
      <c r="N31" s="7">
        <f>IF(OR(G31="",G31=0),"",L31/G31)</f>
        <v/>
      </c>
      <c r="O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P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 t="n"/>
      <c r="L32" s="7">
        <f>IF(A32="","",B32+C32+E32)</f>
        <v/>
      </c>
      <c r="M32" s="7">
        <f>IF(A32="","",D32)</f>
        <v/>
      </c>
      <c r="N32" s="7">
        <f>IF(OR(G32="",G32=0),"",L32/G32)</f>
        <v/>
      </c>
      <c r="O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P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 t="n"/>
      <c r="L33" s="7">
        <f>IF(A33="","",B33+C33+E33)</f>
        <v/>
      </c>
      <c r="M33" s="7">
        <f>IF(A33="","",D33)</f>
        <v/>
      </c>
      <c r="N33" s="7">
        <f>IF(OR(G33="",G33=0),"",L33/G33)</f>
        <v/>
      </c>
      <c r="O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P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 t="n"/>
      <c r="L34" s="7">
        <f>IF(A34="","",B34+C34+E34)</f>
        <v/>
      </c>
      <c r="M34" s="7">
        <f>IF(A34="","",D34)</f>
        <v/>
      </c>
      <c r="N34" s="7">
        <f>IF(OR(G34="",G34=0),"",L34/G34)</f>
        <v/>
      </c>
      <c r="O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P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 t="n"/>
      <c r="L35" s="7">
        <f>IF(A35="","",B35+C35+E35)</f>
        <v/>
      </c>
      <c r="M35" s="7">
        <f>IF(A35="","",D35)</f>
        <v/>
      </c>
      <c r="N35" s="7">
        <f>IF(OR(G35="",G35=0),"",L35/G35)</f>
        <v/>
      </c>
      <c r="O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P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 t="n"/>
      <c r="L36" s="7">
        <f>IF(A36="","",B36+C36+E36)</f>
        <v/>
      </c>
      <c r="M36" s="7">
        <f>IF(A36="","",D36)</f>
        <v/>
      </c>
      <c r="N36" s="7">
        <f>IF(OR(G36="",G36=0),"",L36/G36)</f>
        <v/>
      </c>
      <c r="O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P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 t="n"/>
      <c r="L37" s="7">
        <f>IF(A37="","",B37+C37+E37)</f>
        <v/>
      </c>
      <c r="M37" s="7">
        <f>IF(A37="","",D37)</f>
        <v/>
      </c>
      <c r="N37" s="7">
        <f>IF(OR(G37="",G37=0),"",L37/G37)</f>
        <v/>
      </c>
      <c r="O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P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 t="n"/>
      <c r="L38" s="7">
        <f>IF(A38="","",B38+C38+E38)</f>
        <v/>
      </c>
      <c r="M38" s="7">
        <f>IF(A38="","",D38)</f>
        <v/>
      </c>
      <c r="N38" s="7">
        <f>IF(OR(G38="",G38=0),"",L38/G38)</f>
        <v/>
      </c>
      <c r="O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P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 t="n"/>
      <c r="L39" s="7">
        <f>IF(A39="","",B39+C39+E39)</f>
        <v/>
      </c>
      <c r="M39" s="7">
        <f>IF(A39="","",D39)</f>
        <v/>
      </c>
      <c r="N39" s="7">
        <f>IF(OR(G39="",G39=0),"",L39/G39)</f>
        <v/>
      </c>
      <c r="O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P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 t="n"/>
      <c r="L40" s="7">
        <f>IF(A40="","",B40+C40+E40)</f>
        <v/>
      </c>
      <c r="M40" s="7">
        <f>IF(A40="","",D40)</f>
        <v/>
      </c>
      <c r="N40" s="7">
        <f>IF(OR(G40="",G40=0),"",L40/G40)</f>
        <v/>
      </c>
      <c r="O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P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 t="n"/>
      <c r="L41" s="7">
        <f>IF(A41="","",B41+C41+E41)</f>
        <v/>
      </c>
      <c r="M41" s="7">
        <f>IF(A41="","",D41)</f>
        <v/>
      </c>
      <c r="N41" s="7">
        <f>IF(OR(G41="",G41=0),"",L41/G41)</f>
        <v/>
      </c>
      <c r="O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P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 t="n"/>
      <c r="L42" s="7">
        <f>IF(A42="","",B42+C42+E42)</f>
        <v/>
      </c>
      <c r="M42" s="7">
        <f>IF(A42="","",D42)</f>
        <v/>
      </c>
      <c r="N42" s="7">
        <f>IF(OR(G42="",G42=0),"",L42/G42)</f>
        <v/>
      </c>
      <c r="O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P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 t="n"/>
      <c r="L43" s="7">
        <f>IF(A43="","",B43+C43+E43)</f>
        <v/>
      </c>
      <c r="M43" s="7">
        <f>IF(A43="","",D43)</f>
        <v/>
      </c>
      <c r="N43" s="7">
        <f>IF(OR(G43="",G43=0),"",L43/G43)</f>
        <v/>
      </c>
      <c r="O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P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 t="n"/>
      <c r="L44" s="7">
        <f>IF(A44="","",B44+C44+E44)</f>
        <v/>
      </c>
      <c r="M44" s="7">
        <f>IF(A44="","",D44)</f>
        <v/>
      </c>
      <c r="N44" s="7">
        <f>IF(OR(G44="",G44=0),"",L44/G44)</f>
        <v/>
      </c>
      <c r="O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P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 t="n"/>
      <c r="L45" s="7">
        <f>IF(A45="","",B45+C45+E45)</f>
        <v/>
      </c>
      <c r="M45" s="7">
        <f>IF(A45="","",D45)</f>
        <v/>
      </c>
      <c r="N45" s="7">
        <f>IF(OR(G45="",G45=0),"",L45/G45)</f>
        <v/>
      </c>
      <c r="O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P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 t="n"/>
      <c r="L46" s="7">
        <f>IF(A46="","",B46+C46+E46)</f>
        <v/>
      </c>
      <c r="M46" s="7">
        <f>IF(A46="","",D46)</f>
        <v/>
      </c>
      <c r="N46" s="7">
        <f>IF(OR(G46="",G46=0),"",L46/G46)</f>
        <v/>
      </c>
      <c r="O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P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 t="n"/>
      <c r="L47" s="7">
        <f>IF(A47="","",B47+C47+E47)</f>
        <v/>
      </c>
      <c r="M47" s="7">
        <f>IF(A47="","",D47)</f>
        <v/>
      </c>
      <c r="N47" s="7">
        <f>IF(OR(G47="",G47=0),"",L47/G47)</f>
        <v/>
      </c>
      <c r="O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P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 t="n"/>
      <c r="L48" s="7">
        <f>IF(A48="","",B48+C48+E48)</f>
        <v/>
      </c>
      <c r="M48" s="7">
        <f>IF(A48="","",D48)</f>
        <v/>
      </c>
      <c r="N48" s="7">
        <f>IF(OR(G48="",G48=0),"",L48/G48)</f>
        <v/>
      </c>
      <c r="O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P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 t="n"/>
      <c r="L49" s="7">
        <f>IF(A49="","",B49+C49+E49)</f>
        <v/>
      </c>
      <c r="M49" s="7">
        <f>IF(A49="","",D49)</f>
        <v/>
      </c>
      <c r="N49" s="7">
        <f>IF(OR(G49="",G49=0),"",L49/G49)</f>
        <v/>
      </c>
      <c r="O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P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 t="n"/>
      <c r="L50" s="7">
        <f>IF(A50="","",B50+C50+E50)</f>
        <v/>
      </c>
      <c r="M50" s="7">
        <f>IF(A50="","",D50)</f>
        <v/>
      </c>
      <c r="N50" s="7">
        <f>IF(OR(G50="",G50=0),"",L50/G50)</f>
        <v/>
      </c>
      <c r="O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P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 t="n"/>
      <c r="L51" s="7">
        <f>IF(A51="","",B51+C51+E51)</f>
        <v/>
      </c>
      <c r="M51" s="7">
        <f>IF(A51="","",D51)</f>
        <v/>
      </c>
      <c r="N51" s="7">
        <f>IF(OR(G51="",G51=0),"",L51/G51)</f>
        <v/>
      </c>
      <c r="O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P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 t="n"/>
      <c r="L52" s="7">
        <f>IF(A52="","",B52+C52+E52)</f>
        <v/>
      </c>
      <c r="M52" s="7">
        <f>IF(A52="","",D52)</f>
        <v/>
      </c>
      <c r="N52" s="7">
        <f>IF(OR(G52="",G52=0),"",L52/G52)</f>
        <v/>
      </c>
      <c r="O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P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 t="n"/>
      <c r="L53" s="7">
        <f>IF(A53="","",B53+C53+E53)</f>
        <v/>
      </c>
      <c r="M53" s="7">
        <f>IF(A53="","",D53)</f>
        <v/>
      </c>
      <c r="N53" s="7">
        <f>IF(OR(G53="",G53=0),"",L53/G53)</f>
        <v/>
      </c>
      <c r="O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P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 t="n"/>
      <c r="L54" s="7">
        <f>IF(A54="","",B54+C54+E54)</f>
        <v/>
      </c>
      <c r="M54" s="7">
        <f>IF(A54="","",D54)</f>
        <v/>
      </c>
      <c r="N54" s="7">
        <f>IF(OR(G54="",G54=0),"",L54/G54)</f>
        <v/>
      </c>
      <c r="O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P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 t="n"/>
      <c r="L55" s="7">
        <f>IF(A55="","",B55+C55+E55)</f>
        <v/>
      </c>
      <c r="M55" s="7">
        <f>IF(A55="","",D55)</f>
        <v/>
      </c>
      <c r="N55" s="7">
        <f>IF(OR(G55="",G55=0),"",L55/G55)</f>
        <v/>
      </c>
      <c r="O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P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 t="n"/>
      <c r="L56" s="7">
        <f>IF(A56="","",B56+C56+E56)</f>
        <v/>
      </c>
      <c r="M56" s="7">
        <f>IF(A56="","",D56)</f>
        <v/>
      </c>
      <c r="N56" s="7">
        <f>IF(OR(G56="",G56=0),"",L56/G56)</f>
        <v/>
      </c>
      <c r="O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P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 t="n"/>
      <c r="L57" s="7">
        <f>IF(A57="","",B57+C57+E57)</f>
        <v/>
      </c>
      <c r="M57" s="7">
        <f>IF(A57="","",D57)</f>
        <v/>
      </c>
      <c r="N57" s="7">
        <f>IF(OR(G57="",G57=0),"",L57/G57)</f>
        <v/>
      </c>
      <c r="O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P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 t="n"/>
      <c r="L58" s="7">
        <f>IF(A58="","",B58+C58+E58)</f>
        <v/>
      </c>
      <c r="M58" s="7">
        <f>IF(A58="","",D58)</f>
        <v/>
      </c>
      <c r="N58" s="7">
        <f>IF(OR(G58="",G58=0),"",L58/G58)</f>
        <v/>
      </c>
      <c r="O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P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 t="n"/>
      <c r="L59" s="7">
        <f>IF(A59="","",B59+C59+E59)</f>
        <v/>
      </c>
      <c r="M59" s="7">
        <f>IF(A59="","",D59)</f>
        <v/>
      </c>
      <c r="N59" s="7">
        <f>IF(OR(G59="",G59=0),"",L59/G59)</f>
        <v/>
      </c>
      <c r="O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P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 t="n"/>
      <c r="L60" s="7">
        <f>IF(A60="","",B60+C60+E60)</f>
        <v/>
      </c>
      <c r="M60" s="7">
        <f>IF(A60="","",D60)</f>
        <v/>
      </c>
      <c r="N60" s="7">
        <f>IF(OR(G60="",G60=0),"",L60/G60)</f>
        <v/>
      </c>
      <c r="O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P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 t="n"/>
      <c r="L61" s="7">
        <f>IF(A61="","",B61+C61+E61)</f>
        <v/>
      </c>
      <c r="M61" s="7">
        <f>IF(A61="","",D61)</f>
        <v/>
      </c>
      <c r="N61" s="7">
        <f>IF(OR(G61="",G61=0),"",L61/G61)</f>
        <v/>
      </c>
      <c r="O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P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 t="n"/>
      <c r="L62" s="7">
        <f>IF(A62="","",B62+C62+E62)</f>
        <v/>
      </c>
      <c r="M62" s="7">
        <f>IF(A62="","",D62)</f>
        <v/>
      </c>
      <c r="N62" s="7">
        <f>IF(OR(G62="",G62=0),"",L62/G62)</f>
        <v/>
      </c>
      <c r="O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P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 t="n"/>
      <c r="L63" s="7">
        <f>IF(A63="","",B63+C63+E63)</f>
        <v/>
      </c>
      <c r="M63" s="7">
        <f>IF(A63="","",D63)</f>
        <v/>
      </c>
      <c r="N63" s="7">
        <f>IF(OR(G63="",G63=0),"",L63/G63)</f>
        <v/>
      </c>
      <c r="O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P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 t="n"/>
      <c r="L64" s="7">
        <f>IF(A64="","",B64+C64+E64)</f>
        <v/>
      </c>
      <c r="M64" s="7">
        <f>IF(A64="","",D64)</f>
        <v/>
      </c>
      <c r="N64" s="7">
        <f>IF(OR(G64="",G64=0),"",L64/G64)</f>
        <v/>
      </c>
      <c r="O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P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 t="n"/>
      <c r="L65" s="7">
        <f>IF(A65="","",B65+C65+E65)</f>
        <v/>
      </c>
      <c r="M65" s="7">
        <f>IF(A65="","",D65)</f>
        <v/>
      </c>
      <c r="N65" s="7">
        <f>IF(OR(G65="",G65=0),"",L65/G65)</f>
        <v/>
      </c>
      <c r="O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P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 t="n"/>
      <c r="L66" s="7">
        <f>IF(A66="","",B66+C66+E66)</f>
        <v/>
      </c>
      <c r="M66" s="7">
        <f>IF(A66="","",D66)</f>
        <v/>
      </c>
      <c r="N66" s="7">
        <f>IF(OR(G66="",G66=0),"",L66/G66)</f>
        <v/>
      </c>
      <c r="O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P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 t="n"/>
      <c r="L67" s="7">
        <f>IF(A67="","",B67+C67+E67)</f>
        <v/>
      </c>
      <c r="M67" s="7">
        <f>IF(A67="","",D67)</f>
        <v/>
      </c>
      <c r="N67" s="7">
        <f>IF(OR(G67="",G67=0),"",L67/G67)</f>
        <v/>
      </c>
      <c r="O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P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 t="n"/>
      <c r="L68" s="7">
        <f>IF(A68="","",B68+C68+E68)</f>
        <v/>
      </c>
      <c r="M68" s="7">
        <f>IF(A68="","",D68)</f>
        <v/>
      </c>
      <c r="N68" s="7">
        <f>IF(OR(G68="",G68=0),"",L68/G68)</f>
        <v/>
      </c>
      <c r="O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P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 t="n"/>
      <c r="L69" s="7">
        <f>IF(A69="","",B69+C69+E69)</f>
        <v/>
      </c>
      <c r="M69" s="7">
        <f>IF(A69="","",D69)</f>
        <v/>
      </c>
      <c r="N69" s="7">
        <f>IF(OR(G69="",G69=0),"",L69/G69)</f>
        <v/>
      </c>
      <c r="O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P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 t="n"/>
      <c r="L70" s="7">
        <f>IF(A70="","",B70+C70+E70)</f>
        <v/>
      </c>
      <c r="M70" s="7">
        <f>IF(A70="","",D70)</f>
        <v/>
      </c>
      <c r="N70" s="7">
        <f>IF(OR(G70="",G70=0),"",L70/G70)</f>
        <v/>
      </c>
      <c r="O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P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 t="n"/>
      <c r="L71" s="7">
        <f>IF(A71="","",B71+C71+E71)</f>
        <v/>
      </c>
      <c r="M71" s="7">
        <f>IF(A71="","",D71)</f>
        <v/>
      </c>
      <c r="N71" s="7">
        <f>IF(OR(G71="",G71=0),"",L71/G71)</f>
        <v/>
      </c>
      <c r="O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P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 t="n"/>
      <c r="L72" s="7">
        <f>IF(A72="","",B72+C72+E72)</f>
        <v/>
      </c>
      <c r="M72" s="7">
        <f>IF(A72="","",D72)</f>
        <v/>
      </c>
      <c r="N72" s="7">
        <f>IF(OR(G72="",G72=0),"",L72/G72)</f>
        <v/>
      </c>
      <c r="O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P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 t="n"/>
      <c r="L73" s="7">
        <f>IF(A73="","",B73+C73+E73)</f>
        <v/>
      </c>
      <c r="M73" s="7">
        <f>IF(A73="","",D73)</f>
        <v/>
      </c>
      <c r="N73" s="7">
        <f>IF(OR(G73="",G73=0),"",L73/G73)</f>
        <v/>
      </c>
      <c r="O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P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 t="n"/>
      <c r="L74" s="7">
        <f>IF(A74="","",B74+C74+E74)</f>
        <v/>
      </c>
      <c r="M74" s="7">
        <f>IF(A74="","",D74)</f>
        <v/>
      </c>
      <c r="N74" s="7">
        <f>IF(OR(G74="",G74=0),"",L74/G74)</f>
        <v/>
      </c>
      <c r="O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P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 t="n"/>
      <c r="L75" s="7">
        <f>IF(A75="","",B75+C75+E75)</f>
        <v/>
      </c>
      <c r="M75" s="7">
        <f>IF(A75="","",D75)</f>
        <v/>
      </c>
      <c r="N75" s="7">
        <f>IF(OR(G75="",G75=0),"",L75/G75)</f>
        <v/>
      </c>
      <c r="O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P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 t="n"/>
      <c r="L76" s="7">
        <f>IF(A76="","",B76+C76+E76)</f>
        <v/>
      </c>
      <c r="M76" s="7">
        <f>IF(A76="","",D76)</f>
        <v/>
      </c>
      <c r="N76" s="7">
        <f>IF(OR(G76="",G76=0),"",L76/G76)</f>
        <v/>
      </c>
      <c r="O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P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 t="n"/>
      <c r="L77" s="7">
        <f>IF(A77="","",B77+C77+E77)</f>
        <v/>
      </c>
      <c r="M77" s="7">
        <f>IF(A77="","",D77)</f>
        <v/>
      </c>
      <c r="N77" s="7">
        <f>IF(OR(G77="",G77=0),"",L77/G77)</f>
        <v/>
      </c>
      <c r="O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P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 t="n"/>
      <c r="L78" s="7">
        <f>IF(A78="","",B78+C78+E78)</f>
        <v/>
      </c>
      <c r="M78" s="7">
        <f>IF(A78="","",D78)</f>
        <v/>
      </c>
      <c r="N78" s="7">
        <f>IF(OR(G78="",G78=0),"",L78/G78)</f>
        <v/>
      </c>
      <c r="O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P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 t="n"/>
      <c r="L79" s="7">
        <f>IF(A79="","",B79+C79+E79)</f>
        <v/>
      </c>
      <c r="M79" s="7">
        <f>IF(A79="","",D79)</f>
        <v/>
      </c>
      <c r="N79" s="7">
        <f>IF(OR(G79="",G79=0),"",L79/G79)</f>
        <v/>
      </c>
      <c r="O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P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 t="n"/>
      <c r="L80" s="7">
        <f>IF(A80="","",B80+C80+E80)</f>
        <v/>
      </c>
      <c r="M80" s="7">
        <f>IF(A80="","",D80)</f>
        <v/>
      </c>
      <c r="N80" s="7">
        <f>IF(OR(G80="",G80=0),"",L80/G80)</f>
        <v/>
      </c>
      <c r="O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P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 t="n"/>
      <c r="L81" s="7">
        <f>IF(A81="","",B81+C81+E81)</f>
        <v/>
      </c>
      <c r="M81" s="7">
        <f>IF(A81="","",D81)</f>
        <v/>
      </c>
      <c r="N81" s="7">
        <f>IF(OR(G81="",G81=0),"",L81/G81)</f>
        <v/>
      </c>
      <c r="O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P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 t="n"/>
      <c r="L82" s="7">
        <f>IF(A82="","",B82+C82+E82)</f>
        <v/>
      </c>
      <c r="M82" s="7">
        <f>IF(A82="","",D82)</f>
        <v/>
      </c>
      <c r="N82" s="7">
        <f>IF(OR(G82="",G82=0),"",L82/G82)</f>
        <v/>
      </c>
      <c r="O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P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 t="n"/>
      <c r="L83" s="7">
        <f>IF(A83="","",B83+C83+E83)</f>
        <v/>
      </c>
      <c r="M83" s="7">
        <f>IF(A83="","",D83)</f>
        <v/>
      </c>
      <c r="N83" s="7">
        <f>IF(OR(G83="",G83=0),"",L83/G83)</f>
        <v/>
      </c>
      <c r="O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P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 t="n"/>
      <c r="L84" s="7">
        <f>IF(A84="","",B84+C84+E84)</f>
        <v/>
      </c>
      <c r="M84" s="7">
        <f>IF(A84="","",D84)</f>
        <v/>
      </c>
      <c r="N84" s="7">
        <f>IF(OR(G84="",G84=0),"",L84/G84)</f>
        <v/>
      </c>
      <c r="O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P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 t="n"/>
      <c r="L85" s="7">
        <f>IF(A85="","",B85+C85+E85)</f>
        <v/>
      </c>
      <c r="M85" s="7">
        <f>IF(A85="","",D85)</f>
        <v/>
      </c>
      <c r="N85" s="7">
        <f>IF(OR(G85="",G85=0),"",L85/G85)</f>
        <v/>
      </c>
      <c r="O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P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 t="n"/>
      <c r="L86" s="7">
        <f>IF(A86="","",B86+C86+E86)</f>
        <v/>
      </c>
      <c r="M86" s="7">
        <f>IF(A86="","",D86)</f>
        <v/>
      </c>
      <c r="N86" s="7">
        <f>IF(OR(G86="",G86=0),"",L86/G86)</f>
        <v/>
      </c>
      <c r="O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P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 t="n"/>
      <c r="L87" s="7">
        <f>IF(A87="","",B87+C87+E87)</f>
        <v/>
      </c>
      <c r="M87" s="7">
        <f>IF(A87="","",D87)</f>
        <v/>
      </c>
      <c r="N87" s="7">
        <f>IF(OR(G87="",G87=0),"",L87/G87)</f>
        <v/>
      </c>
      <c r="O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P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 t="n"/>
      <c r="L88" s="7">
        <f>IF(A88="","",B88+C88+E88)</f>
        <v/>
      </c>
      <c r="M88" s="7">
        <f>IF(A88="","",D88)</f>
        <v/>
      </c>
      <c r="N88" s="7">
        <f>IF(OR(G88="",G88=0),"",L88/G88)</f>
        <v/>
      </c>
      <c r="O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P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 t="n"/>
      <c r="L89" s="7">
        <f>IF(A89="","",B89+C89+E89)</f>
        <v/>
      </c>
      <c r="M89" s="7">
        <f>IF(A89="","",D89)</f>
        <v/>
      </c>
      <c r="N89" s="7">
        <f>IF(OR(G89="",G89=0),"",L89/G89)</f>
        <v/>
      </c>
      <c r="O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P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 t="n"/>
      <c r="L90" s="7">
        <f>IF(A90="","",B90+C90+E90)</f>
        <v/>
      </c>
      <c r="M90" s="7">
        <f>IF(A90="","",D90)</f>
        <v/>
      </c>
      <c r="N90" s="7">
        <f>IF(OR(G90="",G90=0),"",L90/G90)</f>
        <v/>
      </c>
      <c r="O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P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 t="n"/>
      <c r="L91" s="7">
        <f>IF(A91="","",B91+C91+E91)</f>
        <v/>
      </c>
      <c r="M91" s="7">
        <f>IF(A91="","",D91)</f>
        <v/>
      </c>
      <c r="N91" s="7">
        <f>IF(OR(G91="",G91=0),"",L91/G91)</f>
        <v/>
      </c>
      <c r="O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P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 t="n"/>
      <c r="L92" s="7">
        <f>IF(A92="","",B92+C92+E92)</f>
        <v/>
      </c>
      <c r="M92" s="7">
        <f>IF(A92="","",D92)</f>
        <v/>
      </c>
      <c r="N92" s="7">
        <f>IF(OR(G92="",G92=0),"",L92/G92)</f>
        <v/>
      </c>
      <c r="O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P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 t="n"/>
      <c r="L93" s="7">
        <f>IF(A93="","",B93+C93+E93)</f>
        <v/>
      </c>
      <c r="M93" s="7">
        <f>IF(A93="","",D93)</f>
        <v/>
      </c>
      <c r="N93" s="7">
        <f>IF(OR(G93="",G93=0),"",L93/G93)</f>
        <v/>
      </c>
      <c r="O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P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 t="n"/>
      <c r="L94" s="7">
        <f>IF(A94="","",B94+C94+E94)</f>
        <v/>
      </c>
      <c r="M94" s="7">
        <f>IF(A94="","",D94)</f>
        <v/>
      </c>
      <c r="N94" s="7">
        <f>IF(OR(G94="",G94=0),"",L94/G94)</f>
        <v/>
      </c>
      <c r="O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P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 t="n"/>
      <c r="L95" s="7">
        <f>IF(A95="","",B95+C95+E95)</f>
        <v/>
      </c>
      <c r="M95" s="7">
        <f>IF(A95="","",D95)</f>
        <v/>
      </c>
      <c r="N95" s="7">
        <f>IF(OR(G95="",G95=0),"",L95/G95)</f>
        <v/>
      </c>
      <c r="O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P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 t="n"/>
      <c r="L96" s="7">
        <f>IF(A96="","",B96+C96+E96)</f>
        <v/>
      </c>
      <c r="M96" s="7">
        <f>IF(A96="","",D96)</f>
        <v/>
      </c>
      <c r="N96" s="7">
        <f>IF(OR(G96="",G96=0),"",L96/G96)</f>
        <v/>
      </c>
      <c r="O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P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 t="n"/>
      <c r="L97" s="7">
        <f>IF(A97="","",B97+C97+E97)</f>
        <v/>
      </c>
      <c r="M97" s="7">
        <f>IF(A97="","",D97)</f>
        <v/>
      </c>
      <c r="N97" s="7">
        <f>IF(OR(G97="",G97=0),"",L97/G97)</f>
        <v/>
      </c>
      <c r="O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P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 t="n"/>
      <c r="L98" s="7">
        <f>IF(A98="","",B98+C98+E98)</f>
        <v/>
      </c>
      <c r="M98" s="7">
        <f>IF(A98="","",D98)</f>
        <v/>
      </c>
      <c r="N98" s="7">
        <f>IF(OR(G98="",G98=0),"",L98/G98)</f>
        <v/>
      </c>
      <c r="O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P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 t="n"/>
      <c r="L99" s="7">
        <f>IF(A99="","",B99+C99+E99)</f>
        <v/>
      </c>
      <c r="M99" s="7">
        <f>IF(A99="","",D99)</f>
        <v/>
      </c>
      <c r="N99" s="7">
        <f>IF(OR(G99="",G99=0),"",L99/G99)</f>
        <v/>
      </c>
      <c r="O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P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 t="n"/>
      <c r="L100" s="7">
        <f>IF(A100="","",B100+C100+E100)</f>
        <v/>
      </c>
      <c r="M100" s="7">
        <f>IF(A100="","",D100)</f>
        <v/>
      </c>
      <c r="N100" s="7">
        <f>IF(OR(G100="",G100=0),"",L100/G100)</f>
        <v/>
      </c>
      <c r="O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P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 t="n"/>
      <c r="L101" s="7">
        <f>IF(A101="","",B101+C101+E101)</f>
        <v/>
      </c>
      <c r="M101" s="7">
        <f>IF(A101="","",D101)</f>
        <v/>
      </c>
      <c r="N101" s="7">
        <f>IF(OR(G101="",G101=0),"",L101/G101)</f>
        <v/>
      </c>
      <c r="O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P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 t="n"/>
      <c r="L102" s="7">
        <f>IF(A102="","",B102+C102+E102)</f>
        <v/>
      </c>
      <c r="M102" s="7">
        <f>IF(A102="","",D102)</f>
        <v/>
      </c>
      <c r="N102" s="7">
        <f>IF(OR(G102="",G102=0),"",L102/G102)</f>
        <v/>
      </c>
      <c r="O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P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 t="n"/>
      <c r="L103" s="7">
        <f>IF(A103="","",B103+C103+E103)</f>
        <v/>
      </c>
      <c r="M103" s="7">
        <f>IF(A103="","",D103)</f>
        <v/>
      </c>
      <c r="N103" s="7">
        <f>IF(OR(G103="",G103=0),"",L103/G103)</f>
        <v/>
      </c>
      <c r="O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P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 t="n"/>
      <c r="L104" s="7">
        <f>IF(A104="","",B104+C104+E104)</f>
        <v/>
      </c>
      <c r="M104" s="7">
        <f>IF(A104="","",D104)</f>
        <v/>
      </c>
      <c r="N104" s="7">
        <f>IF(OR(G104="",G104=0),"",L104/G104)</f>
        <v/>
      </c>
      <c r="O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P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 t="n"/>
      <c r="L105" s="7">
        <f>IF(A105="","",B105+C105+E105)</f>
        <v/>
      </c>
      <c r="M105" s="7">
        <f>IF(A105="","",D105)</f>
        <v/>
      </c>
      <c r="N105" s="7">
        <f>IF(OR(G105="",G105=0),"",L105/G105)</f>
        <v/>
      </c>
      <c r="O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P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 t="n"/>
      <c r="L106" s="7">
        <f>IF(A106="","",B106+C106+E106)</f>
        <v/>
      </c>
      <c r="M106" s="7">
        <f>IF(A106="","",D106)</f>
        <v/>
      </c>
      <c r="N106" s="7">
        <f>IF(OR(G106="",G106=0),"",L106/G106)</f>
        <v/>
      </c>
      <c r="O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P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 t="n"/>
      <c r="L107" s="7">
        <f>IF(A107="","",B107+C107+E107)</f>
        <v/>
      </c>
      <c r="M107" s="7">
        <f>IF(A107="","",D107)</f>
        <v/>
      </c>
      <c r="N107" s="7">
        <f>IF(OR(G107="",G107=0),"",L107/G107)</f>
        <v/>
      </c>
      <c r="O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P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 t="n"/>
      <c r="L108" s="7">
        <f>IF(A108="","",B108+C108+E108)</f>
        <v/>
      </c>
      <c r="M108" s="7">
        <f>IF(A108="","",D108)</f>
        <v/>
      </c>
      <c r="N108" s="7">
        <f>IF(OR(G108="",G108=0),"",L108/G108)</f>
        <v/>
      </c>
      <c r="O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P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 t="n"/>
      <c r="L109" s="7">
        <f>IF(A109="","",B109+C109+E109)</f>
        <v/>
      </c>
      <c r="M109" s="7">
        <f>IF(A109="","",D109)</f>
        <v/>
      </c>
      <c r="N109" s="7">
        <f>IF(OR(G109="",G109=0),"",L109/G109)</f>
        <v/>
      </c>
      <c r="O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P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 t="n"/>
      <c r="L110" s="7">
        <f>IF(A110="","",B110+C110+E110)</f>
        <v/>
      </c>
      <c r="M110" s="7">
        <f>IF(A110="","",D110)</f>
        <v/>
      </c>
      <c r="N110" s="7">
        <f>IF(OR(G110="",G110=0),"",L110/G110)</f>
        <v/>
      </c>
      <c r="O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P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 t="n"/>
      <c r="L111" s="7">
        <f>IF(A111="","",B111+C111+E111)</f>
        <v/>
      </c>
      <c r="M111" s="7">
        <f>IF(A111="","",D111)</f>
        <v/>
      </c>
      <c r="N111" s="7">
        <f>IF(OR(G111="",G111=0),"",L111/G111)</f>
        <v/>
      </c>
      <c r="O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P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 t="n"/>
      <c r="L112" s="7">
        <f>IF(A112="","",B112+C112+E112)</f>
        <v/>
      </c>
      <c r="M112" s="7">
        <f>IF(A112="","",D112)</f>
        <v/>
      </c>
      <c r="N112" s="7">
        <f>IF(OR(G112="",G112=0),"",L112/G112)</f>
        <v/>
      </c>
      <c r="O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P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 t="n"/>
      <c r="L113" s="7">
        <f>IF(A113="","",B113+C113+E113)</f>
        <v/>
      </c>
      <c r="M113" s="7">
        <f>IF(A113="","",D113)</f>
        <v/>
      </c>
      <c r="N113" s="7">
        <f>IF(OR(G113="",G113=0),"",L113/G113)</f>
        <v/>
      </c>
      <c r="O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P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 t="n"/>
      <c r="L114" s="7">
        <f>IF(A114="","",B114+C114+E114)</f>
        <v/>
      </c>
      <c r="M114" s="7">
        <f>IF(A114="","",D114)</f>
        <v/>
      </c>
      <c r="N114" s="7">
        <f>IF(OR(G114="",G114=0),"",L114/G114)</f>
        <v/>
      </c>
      <c r="O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P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 t="n"/>
      <c r="L115" s="7">
        <f>IF(A115="","",B115+C115+E115)</f>
        <v/>
      </c>
      <c r="M115" s="7">
        <f>IF(A115="","",D115)</f>
        <v/>
      </c>
      <c r="N115" s="7">
        <f>IF(OR(G115="",G115=0),"",L115/G115)</f>
        <v/>
      </c>
      <c r="O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P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 t="n"/>
      <c r="L116" s="7">
        <f>IF(A116="","",B116+C116+E116)</f>
        <v/>
      </c>
      <c r="M116" s="7">
        <f>IF(A116="","",D116)</f>
        <v/>
      </c>
      <c r="N116" s="7">
        <f>IF(OR(G116="",G116=0),"",L116/G116)</f>
        <v/>
      </c>
      <c r="O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P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 t="n"/>
      <c r="L117" s="7">
        <f>IF(A117="","",B117+C117+E117)</f>
        <v/>
      </c>
      <c r="M117" s="7">
        <f>IF(A117="","",D117)</f>
        <v/>
      </c>
      <c r="N117" s="7">
        <f>IF(OR(G117="",G117=0),"",L117/G117)</f>
        <v/>
      </c>
      <c r="O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P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 t="n"/>
      <c r="L118" s="7">
        <f>IF(A118="","",B118+C118+E118)</f>
        <v/>
      </c>
      <c r="M118" s="7">
        <f>IF(A118="","",D118)</f>
        <v/>
      </c>
      <c r="N118" s="7">
        <f>IF(OR(G118="",G118=0),"",L118/G118)</f>
        <v/>
      </c>
      <c r="O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P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 t="n"/>
      <c r="L119" s="7">
        <f>IF(A119="","",B119+C119+E119)</f>
        <v/>
      </c>
      <c r="M119" s="7">
        <f>IF(A119="","",D119)</f>
        <v/>
      </c>
      <c r="N119" s="7">
        <f>IF(OR(G119="",G119=0),"",L119/G119)</f>
        <v/>
      </c>
      <c r="O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P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 t="n"/>
      <c r="L120" s="7">
        <f>IF(A120="","",B120+C120+E120)</f>
        <v/>
      </c>
      <c r="M120" s="7">
        <f>IF(A120="","",D120)</f>
        <v/>
      </c>
      <c r="N120" s="7">
        <f>IF(OR(G120="",G120=0),"",L120/G120)</f>
        <v/>
      </c>
      <c r="O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P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 t="n"/>
      <c r="L121" s="7">
        <f>IF(A121="","",B121+C121+E121)</f>
        <v/>
      </c>
      <c r="M121" s="7">
        <f>IF(A121="","",D121)</f>
        <v/>
      </c>
      <c r="N121" s="7">
        <f>IF(OR(G121="",G121=0),"",L121/G121)</f>
        <v/>
      </c>
      <c r="O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P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 t="n"/>
      <c r="L122" s="7">
        <f>IF(A122="","",B122+C122+E122)</f>
        <v/>
      </c>
      <c r="M122" s="7">
        <f>IF(A122="","",D122)</f>
        <v/>
      </c>
      <c r="N122" s="7">
        <f>IF(OR(G122="",G122=0),"",L122/G122)</f>
        <v/>
      </c>
      <c r="O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P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 t="n"/>
      <c r="L123" s="7">
        <f>IF(A123="","",B123+C123+E123)</f>
        <v/>
      </c>
      <c r="M123" s="7">
        <f>IF(A123="","",D123)</f>
        <v/>
      </c>
      <c r="N123" s="7">
        <f>IF(OR(G123="",G123=0),"",L123/G123)</f>
        <v/>
      </c>
      <c r="O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P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 t="n"/>
      <c r="L124" s="7">
        <f>IF(A124="","",B124+C124+E124)</f>
        <v/>
      </c>
      <c r="M124" s="7">
        <f>IF(A124="","",D124)</f>
        <v/>
      </c>
      <c r="N124" s="7">
        <f>IF(OR(G124="",G124=0),"",L124/G124)</f>
        <v/>
      </c>
      <c r="O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P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 t="n"/>
      <c r="L125" s="7">
        <f>IF(A125="","",B125+C125+E125)</f>
        <v/>
      </c>
      <c r="M125" s="7">
        <f>IF(A125="","",D125)</f>
        <v/>
      </c>
      <c r="N125" s="7">
        <f>IF(OR(G125="",G125=0),"",L125/G125)</f>
        <v/>
      </c>
      <c r="O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P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 t="n"/>
      <c r="L126" s="7">
        <f>IF(A126="","",B126+C126+E126)</f>
        <v/>
      </c>
      <c r="M126" s="7">
        <f>IF(A126="","",D126)</f>
        <v/>
      </c>
      <c r="N126" s="7">
        <f>IF(OR(G126="",G126=0),"",L126/G126)</f>
        <v/>
      </c>
      <c r="O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P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 t="n"/>
      <c r="L127" s="7">
        <f>IF(A127="","",B127+C127+E127)</f>
        <v/>
      </c>
      <c r="M127" s="7">
        <f>IF(A127="","",D127)</f>
        <v/>
      </c>
      <c r="N127" s="7">
        <f>IF(OR(G127="",G127=0),"",L127/G127)</f>
        <v/>
      </c>
      <c r="O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P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 t="n"/>
      <c r="L128" s="7">
        <f>IF(A128="","",B128+C128+E128)</f>
        <v/>
      </c>
      <c r="M128" s="7">
        <f>IF(A128="","",D128)</f>
        <v/>
      </c>
      <c r="N128" s="7">
        <f>IF(OR(G128="",G128=0),"",L128/G128)</f>
        <v/>
      </c>
      <c r="O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P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 t="n"/>
      <c r="L129" s="7">
        <f>IF(A129="","",B129+C129+E129)</f>
        <v/>
      </c>
      <c r="M129" s="7">
        <f>IF(A129="","",D129)</f>
        <v/>
      </c>
      <c r="N129" s="7">
        <f>IF(OR(G129="",G129=0),"",L129/G129)</f>
        <v/>
      </c>
      <c r="O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P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 t="n"/>
      <c r="L130" s="7">
        <f>IF(A130="","",B130+C130+E130)</f>
        <v/>
      </c>
      <c r="M130" s="7">
        <f>IF(A130="","",D130)</f>
        <v/>
      </c>
      <c r="N130" s="7">
        <f>IF(OR(G130="",G130=0),"",L130/G130)</f>
        <v/>
      </c>
      <c r="O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P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 t="n"/>
      <c r="L131" s="7">
        <f>IF(A131="","",B131+C131+E131)</f>
        <v/>
      </c>
      <c r="M131" s="7">
        <f>IF(A131="","",D131)</f>
        <v/>
      </c>
      <c r="N131" s="7">
        <f>IF(OR(G131="",G131=0),"",L131/G131)</f>
        <v/>
      </c>
      <c r="O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P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 t="n"/>
      <c r="L132" s="7">
        <f>IF(A132="","",B132+C132+E132)</f>
        <v/>
      </c>
      <c r="M132" s="7">
        <f>IF(A132="","",D132)</f>
        <v/>
      </c>
      <c r="N132" s="7">
        <f>IF(OR(G132="",G132=0),"",L132/G132)</f>
        <v/>
      </c>
      <c r="O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P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 t="n"/>
      <c r="L133" s="7">
        <f>IF(A133="","",B133+C133+E133)</f>
        <v/>
      </c>
      <c r="M133" s="7">
        <f>IF(A133="","",D133)</f>
        <v/>
      </c>
      <c r="N133" s="7">
        <f>IF(OR(G133="",G133=0),"",L133/G133)</f>
        <v/>
      </c>
      <c r="O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P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 t="n"/>
      <c r="L134" s="7">
        <f>IF(A134="","",B134+C134+E134)</f>
        <v/>
      </c>
      <c r="M134" s="7">
        <f>IF(A134="","",D134)</f>
        <v/>
      </c>
      <c r="N134" s="7">
        <f>IF(OR(G134="",G134=0),"",L134/G134)</f>
        <v/>
      </c>
      <c r="O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P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 t="n"/>
      <c r="L135" s="7">
        <f>IF(A135="","",B135+C135+E135)</f>
        <v/>
      </c>
      <c r="M135" s="7">
        <f>IF(A135="","",D135)</f>
        <v/>
      </c>
      <c r="N135" s="7">
        <f>IF(OR(G135="",G135=0),"",L135/G135)</f>
        <v/>
      </c>
      <c r="O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P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 t="n"/>
      <c r="L136" s="7">
        <f>IF(A136="","",B136+C136+E136)</f>
        <v/>
      </c>
      <c r="M136" s="7">
        <f>IF(A136="","",D136)</f>
        <v/>
      </c>
      <c r="N136" s="7">
        <f>IF(OR(G136="",G136=0),"",L136/G136)</f>
        <v/>
      </c>
      <c r="O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P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 t="n"/>
      <c r="L137" s="7">
        <f>IF(A137="","",B137+C137+E137)</f>
        <v/>
      </c>
      <c r="M137" s="7">
        <f>IF(A137="","",D137)</f>
        <v/>
      </c>
      <c r="N137" s="7">
        <f>IF(OR(G137="",G137=0),"",L137/G137)</f>
        <v/>
      </c>
      <c r="O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P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 t="n"/>
      <c r="L138" s="7">
        <f>IF(A138="","",B138+C138+E138)</f>
        <v/>
      </c>
      <c r="M138" s="7">
        <f>IF(A138="","",D138)</f>
        <v/>
      </c>
      <c r="N138" s="7">
        <f>IF(OR(G138="",G138=0),"",L138/G138)</f>
        <v/>
      </c>
      <c r="O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P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 t="n"/>
      <c r="L139" s="7">
        <f>IF(A139="","",B139+C139+E139)</f>
        <v/>
      </c>
      <c r="M139" s="7">
        <f>IF(A139="","",D139)</f>
        <v/>
      </c>
      <c r="N139" s="7">
        <f>IF(OR(G139="",G139=0),"",L139/G139)</f>
        <v/>
      </c>
      <c r="O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P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 t="n"/>
      <c r="L140" s="7">
        <f>IF(A140="","",B140+C140+E140)</f>
        <v/>
      </c>
      <c r="M140" s="7">
        <f>IF(A140="","",D140)</f>
        <v/>
      </c>
      <c r="N140" s="7">
        <f>IF(OR(G140="",G140=0),"",L140/G140)</f>
        <v/>
      </c>
      <c r="O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P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 t="n"/>
      <c r="L141" s="7">
        <f>IF(A141="","",B141+C141+E141)</f>
        <v/>
      </c>
      <c r="M141" s="7">
        <f>IF(A141="","",D141)</f>
        <v/>
      </c>
      <c r="N141" s="7">
        <f>IF(OR(G141="",G141=0),"",L141/G141)</f>
        <v/>
      </c>
      <c r="O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P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 t="n"/>
      <c r="L142" s="7">
        <f>IF(A142="","",B142+C142+E142)</f>
        <v/>
      </c>
      <c r="M142" s="7">
        <f>IF(A142="","",D142)</f>
        <v/>
      </c>
      <c r="N142" s="7">
        <f>IF(OR(G142="",G142=0),"",L142/G142)</f>
        <v/>
      </c>
      <c r="O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P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 t="n"/>
      <c r="L143" s="7">
        <f>IF(A143="","",B143+C143+E143)</f>
        <v/>
      </c>
      <c r="M143" s="7">
        <f>IF(A143="","",D143)</f>
        <v/>
      </c>
      <c r="N143" s="7">
        <f>IF(OR(G143="",G143=0),"",L143/G143)</f>
        <v/>
      </c>
      <c r="O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P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 t="n"/>
      <c r="L144" s="7">
        <f>IF(A144="","",B144+C144+E144)</f>
        <v/>
      </c>
      <c r="M144" s="7">
        <f>IF(A144="","",D144)</f>
        <v/>
      </c>
      <c r="N144" s="7">
        <f>IF(OR(G144="",G144=0),"",L144/G144)</f>
        <v/>
      </c>
      <c r="O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P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 t="n"/>
      <c r="L145" s="7">
        <f>IF(A145="","",B145+C145+E145)</f>
        <v/>
      </c>
      <c r="M145" s="7">
        <f>IF(A145="","",D145)</f>
        <v/>
      </c>
      <c r="N145" s="7">
        <f>IF(OR(G145="",G145=0),"",L145/G145)</f>
        <v/>
      </c>
      <c r="O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P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 t="n"/>
      <c r="L146" s="7">
        <f>IF(A146="","",B146+C146+E146)</f>
        <v/>
      </c>
      <c r="M146" s="7">
        <f>IF(A146="","",D146)</f>
        <v/>
      </c>
      <c r="N146" s="7">
        <f>IF(OR(G146="",G146=0),"",L146/G146)</f>
        <v/>
      </c>
      <c r="O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P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 t="n"/>
      <c r="L147" s="7">
        <f>IF(A147="","",B147+C147+E147)</f>
        <v/>
      </c>
      <c r="M147" s="7">
        <f>IF(A147="","",D147)</f>
        <v/>
      </c>
      <c r="N147" s="7">
        <f>IF(OR(G147="",G147=0),"",L147/G147)</f>
        <v/>
      </c>
      <c r="O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P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 t="n"/>
      <c r="L148" s="7">
        <f>IF(A148="","",B148+C148+E148)</f>
        <v/>
      </c>
      <c r="M148" s="7">
        <f>IF(A148="","",D148)</f>
        <v/>
      </c>
      <c r="N148" s="7">
        <f>IF(OR(G148="",G148=0),"",L148/G148)</f>
        <v/>
      </c>
      <c r="O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P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 t="n"/>
      <c r="L149" s="7">
        <f>IF(A149="","",B149+C149+E149)</f>
        <v/>
      </c>
      <c r="M149" s="7">
        <f>IF(A149="","",D149)</f>
        <v/>
      </c>
      <c r="N149" s="7">
        <f>IF(OR(G149="",G149=0),"",L149/G149)</f>
        <v/>
      </c>
      <c r="O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P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 t="n"/>
      <c r="L150" s="7">
        <f>IF(A150="","",B150+C150+E150)</f>
        <v/>
      </c>
      <c r="M150" s="7">
        <f>IF(A150="","",D150)</f>
        <v/>
      </c>
      <c r="N150" s="7">
        <f>IF(OR(G150="",G150=0),"",L150/G150)</f>
        <v/>
      </c>
      <c r="O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P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 t="n"/>
      <c r="L151" s="7">
        <f>IF(A151="","",B151+C151+E151)</f>
        <v/>
      </c>
      <c r="M151" s="7">
        <f>IF(A151="","",D151)</f>
        <v/>
      </c>
      <c r="N151" s="7">
        <f>IF(OR(G151="",G151=0),"",L151/G151)</f>
        <v/>
      </c>
      <c r="O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P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 t="n"/>
      <c r="L152" s="7">
        <f>IF(A152="","",B152+C152+E152)</f>
        <v/>
      </c>
      <c r="M152" s="7">
        <f>IF(A152="","",D152)</f>
        <v/>
      </c>
      <c r="N152" s="7">
        <f>IF(OR(G152="",G152=0),"",L152/G152)</f>
        <v/>
      </c>
      <c r="O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P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 t="n"/>
      <c r="L153" s="7">
        <f>IF(A153="","",B153+C153+E153)</f>
        <v/>
      </c>
      <c r="M153" s="7">
        <f>IF(A153="","",D153)</f>
        <v/>
      </c>
      <c r="N153" s="7">
        <f>IF(OR(G153="",G153=0),"",L153/G153)</f>
        <v/>
      </c>
      <c r="O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P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 t="n"/>
      <c r="L154" s="7">
        <f>IF(A154="","",B154+C154+E154)</f>
        <v/>
      </c>
      <c r="M154" s="7">
        <f>IF(A154="","",D154)</f>
        <v/>
      </c>
      <c r="N154" s="7">
        <f>IF(OR(G154="",G154=0),"",L154/G154)</f>
        <v/>
      </c>
      <c r="O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P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 t="n"/>
      <c r="L155" s="7">
        <f>IF(A155="","",B155+C155+E155)</f>
        <v/>
      </c>
      <c r="M155" s="7">
        <f>IF(A155="","",D155)</f>
        <v/>
      </c>
      <c r="N155" s="7">
        <f>IF(OR(G155="",G155=0),"",L155/G155)</f>
        <v/>
      </c>
      <c r="O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P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 t="n"/>
      <c r="L156" s="7">
        <f>IF(A156="","",B156+C156+E156)</f>
        <v/>
      </c>
      <c r="M156" s="7">
        <f>IF(A156="","",D156)</f>
        <v/>
      </c>
      <c r="N156" s="7">
        <f>IF(OR(G156="",G156=0),"",L156/G156)</f>
        <v/>
      </c>
      <c r="O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P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 t="n"/>
      <c r="L157" s="7">
        <f>IF(A157="","",B157+C157+E157)</f>
        <v/>
      </c>
      <c r="M157" s="7">
        <f>IF(A157="","",D157)</f>
        <v/>
      </c>
      <c r="N157" s="7">
        <f>IF(OR(G157="",G157=0),"",L157/G157)</f>
        <v/>
      </c>
      <c r="O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P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 t="n"/>
      <c r="L158" s="7">
        <f>IF(A158="","",B158+C158+E158)</f>
        <v/>
      </c>
      <c r="M158" s="7">
        <f>IF(A158="","",D158)</f>
        <v/>
      </c>
      <c r="N158" s="7">
        <f>IF(OR(G158="",G158=0),"",L158/G158)</f>
        <v/>
      </c>
      <c r="O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P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 t="n"/>
      <c r="L159" s="7">
        <f>IF(A159="","",B159+C159+E159)</f>
        <v/>
      </c>
      <c r="M159" s="7">
        <f>IF(A159="","",D159)</f>
        <v/>
      </c>
      <c r="N159" s="7">
        <f>IF(OR(G159="",G159=0),"",L159/G159)</f>
        <v/>
      </c>
      <c r="O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P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 t="n"/>
      <c r="L160" s="7">
        <f>IF(A160="","",B160+C160+E160)</f>
        <v/>
      </c>
      <c r="M160" s="7">
        <f>IF(A160="","",D160)</f>
        <v/>
      </c>
      <c r="N160" s="7">
        <f>IF(OR(G160="",G160=0),"",L160/G160)</f>
        <v/>
      </c>
      <c r="O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P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 t="n"/>
      <c r="L161" s="7">
        <f>IF(A161="","",B161+C161+E161)</f>
        <v/>
      </c>
      <c r="M161" s="7">
        <f>IF(A161="","",D161)</f>
        <v/>
      </c>
      <c r="N161" s="7">
        <f>IF(OR(G161="",G161=0),"",L161/G161)</f>
        <v/>
      </c>
      <c r="O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P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 t="n"/>
      <c r="L162" s="7">
        <f>IF(A162="","",B162+C162+E162)</f>
        <v/>
      </c>
      <c r="M162" s="7">
        <f>IF(A162="","",D162)</f>
        <v/>
      </c>
      <c r="N162" s="7">
        <f>IF(OR(G162="",G162=0),"",L162/G162)</f>
        <v/>
      </c>
      <c r="O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P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 t="n"/>
      <c r="L163" s="7">
        <f>IF(A163="","",B163+C163+E163)</f>
        <v/>
      </c>
      <c r="M163" s="7">
        <f>IF(A163="","",D163)</f>
        <v/>
      </c>
      <c r="N163" s="7">
        <f>IF(OR(G163="",G163=0),"",L163/G163)</f>
        <v/>
      </c>
      <c r="O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P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 t="n"/>
      <c r="L164" s="7">
        <f>IF(A164="","",B164+C164+E164)</f>
        <v/>
      </c>
      <c r="M164" s="7">
        <f>IF(A164="","",D164)</f>
        <v/>
      </c>
      <c r="N164" s="7">
        <f>IF(OR(G164="",G164=0),"",L164/G164)</f>
        <v/>
      </c>
      <c r="O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P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 t="n"/>
      <c r="L165" s="7">
        <f>IF(A165="","",B165+C165+E165)</f>
        <v/>
      </c>
      <c r="M165" s="7">
        <f>IF(A165="","",D165)</f>
        <v/>
      </c>
      <c r="N165" s="7">
        <f>IF(OR(G165="",G165=0),"",L165/G165)</f>
        <v/>
      </c>
      <c r="O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P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 t="n"/>
      <c r="L166" s="7">
        <f>IF(A166="","",B166+C166+E166)</f>
        <v/>
      </c>
      <c r="M166" s="7">
        <f>IF(A166="","",D166)</f>
        <v/>
      </c>
      <c r="N166" s="7">
        <f>IF(OR(G166="",G166=0),"",L166/G166)</f>
        <v/>
      </c>
      <c r="O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P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 t="n"/>
      <c r="L167" s="7">
        <f>IF(A167="","",B167+C167+E167)</f>
        <v/>
      </c>
      <c r="M167" s="7">
        <f>IF(A167="","",D167)</f>
        <v/>
      </c>
      <c r="N167" s="7">
        <f>IF(OR(G167="",G167=0),"",L167/G167)</f>
        <v/>
      </c>
      <c r="O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P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 t="n"/>
      <c r="L168" s="7">
        <f>IF(A168="","",B168+C168+E168)</f>
        <v/>
      </c>
      <c r="M168" s="7">
        <f>IF(A168="","",D168)</f>
        <v/>
      </c>
      <c r="N168" s="7">
        <f>IF(OR(G168="",G168=0),"",L168/G168)</f>
        <v/>
      </c>
      <c r="O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P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 t="n"/>
      <c r="L169" s="7">
        <f>IF(A169="","",B169+C169+E169)</f>
        <v/>
      </c>
      <c r="M169" s="7">
        <f>IF(A169="","",D169)</f>
        <v/>
      </c>
      <c r="N169" s="7">
        <f>IF(OR(G169="",G169=0),"",L169/G169)</f>
        <v/>
      </c>
      <c r="O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P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 t="n"/>
      <c r="L170" s="7">
        <f>IF(A170="","",B170+C170+E170)</f>
        <v/>
      </c>
      <c r="M170" s="7">
        <f>IF(A170="","",D170)</f>
        <v/>
      </c>
      <c r="N170" s="7">
        <f>IF(OR(G170="",G170=0),"",L170/G170)</f>
        <v/>
      </c>
      <c r="O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P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 t="n"/>
      <c r="L171" s="7">
        <f>IF(A171="","",B171+C171+E171)</f>
        <v/>
      </c>
      <c r="M171" s="7">
        <f>IF(A171="","",D171)</f>
        <v/>
      </c>
      <c r="N171" s="7">
        <f>IF(OR(G171="",G171=0),"",L171/G171)</f>
        <v/>
      </c>
      <c r="O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P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 t="n"/>
      <c r="L172" s="7">
        <f>IF(A172="","",B172+C172+E172)</f>
        <v/>
      </c>
      <c r="M172" s="7">
        <f>IF(A172="","",D172)</f>
        <v/>
      </c>
      <c r="N172" s="7">
        <f>IF(OR(G172="",G172=0),"",L172/G172)</f>
        <v/>
      </c>
      <c r="O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P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 t="n"/>
      <c r="L173" s="7">
        <f>IF(A173="","",B173+C173+E173)</f>
        <v/>
      </c>
      <c r="M173" s="7">
        <f>IF(A173="","",D173)</f>
        <v/>
      </c>
      <c r="N173" s="7">
        <f>IF(OR(G173="",G173=0),"",L173/G173)</f>
        <v/>
      </c>
      <c r="O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P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 t="n"/>
      <c r="L174" s="7">
        <f>IF(A174="","",B174+C174+E174)</f>
        <v/>
      </c>
      <c r="M174" s="7">
        <f>IF(A174="","",D174)</f>
        <v/>
      </c>
      <c r="N174" s="7">
        <f>IF(OR(G174="",G174=0),"",L174/G174)</f>
        <v/>
      </c>
      <c r="O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P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 t="n"/>
      <c r="L175" s="7">
        <f>IF(A175="","",B175+C175+E175)</f>
        <v/>
      </c>
      <c r="M175" s="7">
        <f>IF(A175="","",D175)</f>
        <v/>
      </c>
      <c r="N175" s="7">
        <f>IF(OR(G175="",G175=0),"",L175/G175)</f>
        <v/>
      </c>
      <c r="O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P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 t="n"/>
      <c r="L176" s="7">
        <f>IF(A176="","",B176+C176+E176)</f>
        <v/>
      </c>
      <c r="M176" s="7">
        <f>IF(A176="","",D176)</f>
        <v/>
      </c>
      <c r="N176" s="7">
        <f>IF(OR(G176="",G176=0),"",L176/G176)</f>
        <v/>
      </c>
      <c r="O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P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 t="n"/>
      <c r="L177" s="7">
        <f>IF(A177="","",B177+C177+E177)</f>
        <v/>
      </c>
      <c r="M177" s="7">
        <f>IF(A177="","",D177)</f>
        <v/>
      </c>
      <c r="N177" s="7">
        <f>IF(OR(G177="",G177=0),"",L177/G177)</f>
        <v/>
      </c>
      <c r="O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P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 t="n"/>
      <c r="L178" s="7">
        <f>IF(A178="","",B178+C178+E178)</f>
        <v/>
      </c>
      <c r="M178" s="7">
        <f>IF(A178="","",D178)</f>
        <v/>
      </c>
      <c r="N178" s="7">
        <f>IF(OR(G178="",G178=0),"",L178/G178)</f>
        <v/>
      </c>
      <c r="O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P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 t="n"/>
      <c r="L179" s="7">
        <f>IF(A179="","",B179+C179+E179)</f>
        <v/>
      </c>
      <c r="M179" s="7">
        <f>IF(A179="","",D179)</f>
        <v/>
      </c>
      <c r="N179" s="7">
        <f>IF(OR(G179="",G179=0),"",L179/G179)</f>
        <v/>
      </c>
      <c r="O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P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 t="n"/>
      <c r="L180" s="7">
        <f>IF(A180="","",B180+C180+E180)</f>
        <v/>
      </c>
      <c r="M180" s="7">
        <f>IF(A180="","",D180)</f>
        <v/>
      </c>
      <c r="N180" s="7">
        <f>IF(OR(G180="",G180=0),"",L180/G180)</f>
        <v/>
      </c>
      <c r="O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P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 t="n"/>
      <c r="L181" s="7">
        <f>IF(A181="","",B181+C181+E181)</f>
        <v/>
      </c>
      <c r="M181" s="7">
        <f>IF(A181="","",D181)</f>
        <v/>
      </c>
      <c r="N181" s="7">
        <f>IF(OR(G181="",G181=0),"",L181/G181)</f>
        <v/>
      </c>
      <c r="O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P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 t="n"/>
      <c r="L182" s="7">
        <f>IF(A182="","",B182+C182+E182)</f>
        <v/>
      </c>
      <c r="M182" s="7">
        <f>IF(A182="","",D182)</f>
        <v/>
      </c>
      <c r="N182" s="7">
        <f>IF(OR(G182="",G182=0),"",L182/G182)</f>
        <v/>
      </c>
      <c r="O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P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 t="n"/>
      <c r="L183" s="7">
        <f>IF(A183="","",B183+C183+E183)</f>
        <v/>
      </c>
      <c r="M183" s="7">
        <f>IF(A183="","",D183)</f>
        <v/>
      </c>
      <c r="N183" s="7">
        <f>IF(OR(G183="",G183=0),"",L183/G183)</f>
        <v/>
      </c>
      <c r="O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P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 t="n"/>
      <c r="L184" s="7">
        <f>IF(A184="","",B184+C184+E184)</f>
        <v/>
      </c>
      <c r="M184" s="7">
        <f>IF(A184="","",D184)</f>
        <v/>
      </c>
      <c r="N184" s="7">
        <f>IF(OR(G184="",G184=0),"",L184/G184)</f>
        <v/>
      </c>
      <c r="O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P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 t="n"/>
      <c r="L185" s="7">
        <f>IF(A185="","",B185+C185+E185)</f>
        <v/>
      </c>
      <c r="M185" s="7">
        <f>IF(A185="","",D185)</f>
        <v/>
      </c>
      <c r="N185" s="7">
        <f>IF(OR(G185="",G185=0),"",L185/G185)</f>
        <v/>
      </c>
      <c r="O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P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 t="n"/>
      <c r="L186" s="7">
        <f>IF(A186="","",B186+C186+E186)</f>
        <v/>
      </c>
      <c r="M186" s="7">
        <f>IF(A186="","",D186)</f>
        <v/>
      </c>
      <c r="N186" s="7">
        <f>IF(OR(G186="",G186=0),"",L186/G186)</f>
        <v/>
      </c>
      <c r="O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P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 t="n"/>
      <c r="L187" s="7">
        <f>IF(A187="","",B187+C187+E187)</f>
        <v/>
      </c>
      <c r="M187" s="7">
        <f>IF(A187="","",D187)</f>
        <v/>
      </c>
      <c r="N187" s="7">
        <f>IF(OR(G187="",G187=0),"",L187/G187)</f>
        <v/>
      </c>
      <c r="O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P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 t="n"/>
      <c r="L188" s="7">
        <f>IF(A188="","",B188+C188+E188)</f>
        <v/>
      </c>
      <c r="M188" s="7">
        <f>IF(A188="","",D188)</f>
        <v/>
      </c>
      <c r="N188" s="7">
        <f>IF(OR(G188="",G188=0),"",L188/G188)</f>
        <v/>
      </c>
      <c r="O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P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 t="n"/>
      <c r="L189" s="7">
        <f>IF(A189="","",B189+C189+E189)</f>
        <v/>
      </c>
      <c r="M189" s="7">
        <f>IF(A189="","",D189)</f>
        <v/>
      </c>
      <c r="N189" s="7">
        <f>IF(OR(G189="",G189=0),"",L189/G189)</f>
        <v/>
      </c>
      <c r="O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P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 t="n"/>
      <c r="L190" s="7">
        <f>IF(A190="","",B190+C190+E190)</f>
        <v/>
      </c>
      <c r="M190" s="7">
        <f>IF(A190="","",D190)</f>
        <v/>
      </c>
      <c r="N190" s="7">
        <f>IF(OR(G190="",G190=0),"",L190/G190)</f>
        <v/>
      </c>
      <c r="O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P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 t="n"/>
      <c r="L191" s="7">
        <f>IF(A191="","",B191+C191+E191)</f>
        <v/>
      </c>
      <c r="M191" s="7">
        <f>IF(A191="","",D191)</f>
        <v/>
      </c>
      <c r="N191" s="7">
        <f>IF(OR(G191="",G191=0),"",L191/G191)</f>
        <v/>
      </c>
      <c r="O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P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 t="n"/>
      <c r="L192" s="7">
        <f>IF(A192="","",B192+C192+E192)</f>
        <v/>
      </c>
      <c r="M192" s="7">
        <f>IF(A192="","",D192)</f>
        <v/>
      </c>
      <c r="N192" s="7">
        <f>IF(OR(G192="",G192=0),"",L192/G192)</f>
        <v/>
      </c>
      <c r="O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P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 t="n"/>
      <c r="L193" s="7">
        <f>IF(A193="","",B193+C193+E193)</f>
        <v/>
      </c>
      <c r="M193" s="7">
        <f>IF(A193="","",D193)</f>
        <v/>
      </c>
      <c r="N193" s="7">
        <f>IF(OR(G193="",G193=0),"",L193/G193)</f>
        <v/>
      </c>
      <c r="O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P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 t="n"/>
      <c r="L194" s="7">
        <f>IF(A194="","",B194+C194+E194)</f>
        <v/>
      </c>
      <c r="M194" s="7">
        <f>IF(A194="","",D194)</f>
        <v/>
      </c>
      <c r="N194" s="7">
        <f>IF(OR(G194="",G194=0),"",L194/G194)</f>
        <v/>
      </c>
      <c r="O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P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 t="n"/>
      <c r="L195" s="7">
        <f>IF(A195="","",B195+C195+E195)</f>
        <v/>
      </c>
      <c r="M195" s="7">
        <f>IF(A195="","",D195)</f>
        <v/>
      </c>
      <c r="N195" s="7">
        <f>IF(OR(G195="",G195=0),"",L195/G195)</f>
        <v/>
      </c>
      <c r="O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P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 t="n"/>
      <c r="L196" s="7">
        <f>IF(A196="","",B196+C196+E196)</f>
        <v/>
      </c>
      <c r="M196" s="7">
        <f>IF(A196="","",D196)</f>
        <v/>
      </c>
      <c r="N196" s="7">
        <f>IF(OR(G196="",G196=0),"",L196/G196)</f>
        <v/>
      </c>
      <c r="O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P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 t="n"/>
      <c r="L197" s="7">
        <f>IF(A197="","",B197+C197+E197)</f>
        <v/>
      </c>
      <c r="M197" s="7">
        <f>IF(A197="","",D197)</f>
        <v/>
      </c>
      <c r="N197" s="7">
        <f>IF(OR(G197="",G197=0),"",L197/G197)</f>
        <v/>
      </c>
      <c r="O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P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 t="n"/>
      <c r="L198" s="7">
        <f>IF(A198="","",B198+C198+E198)</f>
        <v/>
      </c>
      <c r="M198" s="7">
        <f>IF(A198="","",D198)</f>
        <v/>
      </c>
      <c r="N198" s="7">
        <f>IF(OR(G198="",G198=0),"",L198/G198)</f>
        <v/>
      </c>
      <c r="O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P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 t="n"/>
      <c r="L199" s="7">
        <f>IF(A199="","",B199+C199+E199)</f>
        <v/>
      </c>
      <c r="M199" s="7">
        <f>IF(A199="","",D199)</f>
        <v/>
      </c>
      <c r="N199" s="7">
        <f>IF(OR(G199="",G199=0),"",L199/G199)</f>
        <v/>
      </c>
      <c r="O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P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 t="n"/>
      <c r="L200" s="7">
        <f>IF(A200="","",B200+C200+E200)</f>
        <v/>
      </c>
      <c r="M200" s="7">
        <f>IF(A200="","",D200)</f>
        <v/>
      </c>
      <c r="N200" s="7">
        <f>IF(OR(G200="",G200=0),"",L200/G200)</f>
        <v/>
      </c>
      <c r="O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P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 t="n"/>
      <c r="L201" s="7">
        <f>IF(A201="","",B201+C201+E201)</f>
        <v/>
      </c>
      <c r="M201" s="7">
        <f>IF(A201="","",D201)</f>
        <v/>
      </c>
      <c r="N201" s="7">
        <f>IF(OR(G201="",G201=0),"",L201/G201)</f>
        <v/>
      </c>
      <c r="O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P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 t="n"/>
      <c r="L202" s="7">
        <f>IF(A202="","",B202+C202+E202)</f>
        <v/>
      </c>
      <c r="M202" s="7">
        <f>IF(A202="","",D202)</f>
        <v/>
      </c>
      <c r="N202" s="7">
        <f>IF(OR(G202="",G202=0),"",L202/G202)</f>
        <v/>
      </c>
      <c r="O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P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 t="n"/>
      <c r="L203" s="7">
        <f>IF(A203="","",B203+C203+E203)</f>
        <v/>
      </c>
      <c r="M203" s="7">
        <f>IF(A203="","",D203)</f>
        <v/>
      </c>
      <c r="N203" s="7">
        <f>IF(OR(G203="",G203=0),"",L203/G203)</f>
        <v/>
      </c>
      <c r="O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P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 t="n"/>
      <c r="L204" s="7">
        <f>IF(A204="","",B204+C204+E204)</f>
        <v/>
      </c>
      <c r="M204" s="7">
        <f>IF(A204="","",D204)</f>
        <v/>
      </c>
      <c r="N204" s="7">
        <f>IF(OR(G204="",G204=0),"",L204/G204)</f>
        <v/>
      </c>
      <c r="O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P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P1"/>
    <mergeCell ref="A2:P2"/>
    <mergeCell ref="A1:N1"/>
  </mergeCells>
  <conditionalFormatting sqref="P4:P204">
    <cfRule type="expression" priority="1" dxfId="0">
      <formula>=AND($P4&lt;&gt;"",$P4&lt;&gt;"OK")</formula>
    </cfRule>
  </conditionalFormatting>
  <conditionalFormatting sqref="O4:O204">
    <cfRule type="expression" priority="2" dxfId="0">
      <formula>=OR($O4="MISSING",$O4="INVALID_NEG",$O4="ZERO_TOTAL")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  <col width="14" customWidth="1" min="52" max="52"/>
    <col width="18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  <c r="AZ3" s="12" t="inlineStr">
        <is>
          <t>Depth_partial_iter_m</t>
        </is>
      </c>
      <c r="BA3" s="12" t="inlineStr">
        <is>
          <t>Velocity_partial_iter_mps</t>
        </is>
      </c>
      <c r="BB3" s="3" t="inlineStr">
        <is>
          <t>Q_target_partial_m3s</t>
        </is>
      </c>
      <c r="BC3" s="3" t="inlineStr">
        <is>
          <t>Q_cap_open_0p94D_m3s</t>
        </is>
      </c>
      <c r="BD3" s="3" t="inlineStr">
        <is>
          <t>low0</t>
        </is>
      </c>
      <c r="BE3" s="3" t="inlineStr">
        <is>
          <t>high0</t>
        </is>
      </c>
      <c r="BF3" s="3" t="inlineStr">
        <is>
          <t>mid1</t>
        </is>
      </c>
      <c r="BG3" s="3" t="inlineStr">
        <is>
          <t>q1</t>
        </is>
      </c>
      <c r="BH3" s="3" t="inlineStr">
        <is>
          <t>low1</t>
        </is>
      </c>
      <c r="BI3" s="3" t="inlineStr">
        <is>
          <t>high1</t>
        </is>
      </c>
      <c r="BJ3" s="3" t="inlineStr">
        <is>
          <t>mid2</t>
        </is>
      </c>
      <c r="BK3" s="3" t="inlineStr">
        <is>
          <t>q2</t>
        </is>
      </c>
      <c r="BL3" s="3" t="inlineStr">
        <is>
          <t>low2</t>
        </is>
      </c>
      <c r="BM3" s="3" t="inlineStr">
        <is>
          <t>high2</t>
        </is>
      </c>
      <c r="BN3" s="3" t="inlineStr">
        <is>
          <t>mid3</t>
        </is>
      </c>
      <c r="BO3" s="3" t="inlineStr">
        <is>
          <t>q3</t>
        </is>
      </c>
      <c r="BP3" s="3" t="inlineStr">
        <is>
          <t>low3</t>
        </is>
      </c>
      <c r="BQ3" s="3" t="inlineStr">
        <is>
          <t>high3</t>
        </is>
      </c>
      <c r="BR3" s="3" t="inlineStr">
        <is>
          <t>mid4</t>
        </is>
      </c>
      <c r="BS3" s="3" t="inlineStr">
        <is>
          <t>q4</t>
        </is>
      </c>
      <c r="BT3" s="3" t="inlineStr">
        <is>
          <t>low4</t>
        </is>
      </c>
      <c r="BU3" s="3" t="inlineStr">
        <is>
          <t>high4</t>
        </is>
      </c>
      <c r="BV3" s="3" t="inlineStr">
        <is>
          <t>mid5</t>
        </is>
      </c>
      <c r="BW3" s="3" t="inlineStr">
        <is>
          <t>q5</t>
        </is>
      </c>
      <c r="BX3" s="3" t="inlineStr">
        <is>
          <t>low5</t>
        </is>
      </c>
      <c r="BY3" s="3" t="inlineStr">
        <is>
          <t>high5</t>
        </is>
      </c>
      <c r="BZ3" s="3" t="inlineStr">
        <is>
          <t>mid6</t>
        </is>
      </c>
      <c r="CA3" s="3" t="inlineStr">
        <is>
          <t>q6</t>
        </is>
      </c>
      <c r="CB3" s="3" t="inlineStr">
        <is>
          <t>low6</t>
        </is>
      </c>
      <c r="CC3" s="3" t="inlineStr">
        <is>
          <t>high6</t>
        </is>
      </c>
      <c r="CD3" s="3" t="inlineStr">
        <is>
          <t>mid7</t>
        </is>
      </c>
      <c r="CE3" s="3" t="inlineStr">
        <is>
          <t>q7</t>
        </is>
      </c>
      <c r="CF3" s="3" t="inlineStr">
        <is>
          <t>low7</t>
        </is>
      </c>
      <c r="CG3" s="3" t="inlineStr">
        <is>
          <t>high7</t>
        </is>
      </c>
      <c r="CH3" s="3" t="inlineStr">
        <is>
          <t>mid8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SUMIFS(CB_plan!$G:$G,CB_plan!$F:$F,$A4)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IF(A4="","",IF(H4="","",2.78E-7*IF(I4&lt;&gt;"",I4,IFERROR(SUMIFS(CB_plan!$H:$H,CB_plan!$F:$F,$A4)/SUMIFS(CB_plan!$G:$G,CB_plan!$F:$F,$A4),Inputs!$B$17))*H4*K4))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/>
      </c>
      <c r="AZ4" s="7">
        <f>IF(BB4="","",CH4)</f>
        <v/>
      </c>
      <c r="BA4" s="7">
        <f>IF(OR(BB4="",AZ4="",T4="",T4&lt;=0,AZ4&lt;=0),"",BB4/((T4^2/8)*(2*ACOS(1-2*AZ4/T4)-SIN(2*ACOS(1-2*AZ4/T4)))))</f>
        <v/>
      </c>
      <c r="BB4" s="4">
        <f>IF(OR(N4="",BC4=""),"",MIN(N4,BC4))</f>
        <v/>
      </c>
      <c r="BC4" s="4">
        <f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/>
      </c>
      <c r="BD4" s="4">
        <f>IF(BB4="","",0.001*T4)</f>
        <v/>
      </c>
      <c r="BE4" s="4">
        <f>IF(BB4="","",0.94*T4)</f>
        <v/>
      </c>
      <c r="BF4" s="4">
        <f>IF(BB4="","",(BD4+BE4)/2)</f>
        <v/>
      </c>
      <c r="BG4" s="4">
        <f>IF(OR(T4="",P4="",BF4="",T4&lt;=0,BF4&lt;=0),"",(1/Inputs!$B$9)*((T4^2/8)*((2*ACOS(1-2*BF4/T4))-SIN((2*ACOS(1-2*BF4/T4)))))*((((T4^2/8)*((2*ACOS(1-2*BF4/T4))-SIN((2*ACOS(1-2*BF4/T4)))))/((T4/2)*((2*ACOS(1-2*BF4/T4)))))^(2/3))*SQRT(P4))</f>
        <v/>
      </c>
      <c r="BH4" s="4">
        <f>IF(BB4="","",IF(BG4&lt;BB4,BF4,BD4))</f>
        <v/>
      </c>
      <c r="BI4" s="4">
        <f>IF(BB4="","",IF(BG4&lt;BB4,BE4,BF4))</f>
        <v/>
      </c>
      <c r="BJ4" s="4">
        <f>IF(BB4="","",(BH4+BI4)/2)</f>
        <v/>
      </c>
      <c r="BK4" s="4">
        <f>IF(OR(T4="",P4="",BJ4="",T4&lt;=0,BJ4&lt;=0),"",(1/Inputs!$B$9)*((T4^2/8)*((2*ACOS(1-2*BJ4/T4))-SIN((2*ACOS(1-2*BJ4/T4)))))*((((T4^2/8)*((2*ACOS(1-2*BJ4/T4))-SIN((2*ACOS(1-2*BJ4/T4)))))/((T4/2)*((2*ACOS(1-2*BJ4/T4)))))^(2/3))*SQRT(P4))</f>
        <v/>
      </c>
      <c r="BL4" s="4">
        <f>IF(BB4="","",IF(BK4&lt;BB4,BJ4,BH4))</f>
        <v/>
      </c>
      <c r="BM4" s="4">
        <f>IF(BB4="","",IF(BK4&lt;BB4,BI4,BJ4))</f>
        <v/>
      </c>
      <c r="BN4" s="4">
        <f>IF(BB4="","",(BL4+BM4)/2)</f>
        <v/>
      </c>
      <c r="BO4" s="4">
        <f>IF(OR(T4="",P4="",BN4="",T4&lt;=0,BN4&lt;=0),"",(1/Inputs!$B$9)*((T4^2/8)*((2*ACOS(1-2*BN4/T4))-SIN((2*ACOS(1-2*BN4/T4)))))*((((T4^2/8)*((2*ACOS(1-2*BN4/T4))-SIN((2*ACOS(1-2*BN4/T4)))))/((T4/2)*((2*ACOS(1-2*BN4/T4)))))^(2/3))*SQRT(P4))</f>
        <v/>
      </c>
      <c r="BP4" s="4">
        <f>IF(BB4="","",IF(BO4&lt;BB4,BN4,BL4))</f>
        <v/>
      </c>
      <c r="BQ4" s="4">
        <f>IF(BB4="","",IF(BO4&lt;BB4,BM4,BN4))</f>
        <v/>
      </c>
      <c r="BR4" s="4">
        <f>IF(BB4="","",(BP4+BQ4)/2)</f>
        <v/>
      </c>
      <c r="BS4" s="4">
        <f>IF(OR(T4="",P4="",BR4="",T4&lt;=0,BR4&lt;=0),"",(1/Inputs!$B$9)*((T4^2/8)*((2*ACOS(1-2*BR4/T4))-SIN((2*ACOS(1-2*BR4/T4)))))*((((T4^2/8)*((2*ACOS(1-2*BR4/T4))-SIN((2*ACOS(1-2*BR4/T4)))))/((T4/2)*((2*ACOS(1-2*BR4/T4)))))^(2/3))*SQRT(P4))</f>
        <v/>
      </c>
      <c r="BT4" s="4">
        <f>IF(BB4="","",IF(BS4&lt;BB4,BR4,BP4))</f>
        <v/>
      </c>
      <c r="BU4" s="4">
        <f>IF(BB4="","",IF(BS4&lt;BB4,BQ4,BR4))</f>
        <v/>
      </c>
      <c r="BV4" s="4">
        <f>IF(BB4="","",(BT4+BU4)/2)</f>
        <v/>
      </c>
      <c r="BW4" s="4">
        <f>IF(OR(T4="",P4="",BV4="",T4&lt;=0,BV4&lt;=0),"",(1/Inputs!$B$9)*((T4^2/8)*((2*ACOS(1-2*BV4/T4))-SIN((2*ACOS(1-2*BV4/T4)))))*((((T4^2/8)*((2*ACOS(1-2*BV4/T4))-SIN((2*ACOS(1-2*BV4/T4)))))/((T4/2)*((2*ACOS(1-2*BV4/T4)))))^(2/3))*SQRT(P4))</f>
        <v/>
      </c>
      <c r="BX4" s="4">
        <f>IF(BB4="","",IF(BW4&lt;BB4,BV4,BT4))</f>
        <v/>
      </c>
      <c r="BY4" s="4">
        <f>IF(BB4="","",IF(BW4&lt;BB4,BU4,BV4))</f>
        <v/>
      </c>
      <c r="BZ4" s="4">
        <f>IF(BB4="","",(BX4+BY4)/2)</f>
        <v/>
      </c>
      <c r="CA4" s="4">
        <f>IF(OR(T4="",P4="",BZ4="",T4&lt;=0,BZ4&lt;=0),"",(1/Inputs!$B$9)*((T4^2/8)*((2*ACOS(1-2*BZ4/T4))-SIN((2*ACOS(1-2*BZ4/T4)))))*((((T4^2/8)*((2*ACOS(1-2*BZ4/T4))-SIN((2*ACOS(1-2*BZ4/T4)))))/((T4/2)*((2*ACOS(1-2*BZ4/T4)))))^(2/3))*SQRT(P4))</f>
        <v/>
      </c>
      <c r="CB4" s="4">
        <f>IF(BB4="","",IF(CA4&lt;BB4,BZ4,BX4))</f>
        <v/>
      </c>
      <c r="CC4" s="4">
        <f>IF(BB4="","",IF(CA4&lt;BB4,BY4,BZ4))</f>
        <v/>
      </c>
      <c r="CD4" s="4">
        <f>IF(BB4="","",(CB4+CC4)/2)</f>
        <v/>
      </c>
      <c r="CE4" s="4">
        <f>IF(OR(T4="",P4="",CD4="",T4&lt;=0,CD4&lt;=0),"",(1/Inputs!$B$9)*((T4^2/8)*((2*ACOS(1-2*CD4/T4))-SIN((2*ACOS(1-2*CD4/T4)))))*((((T4^2/8)*((2*ACOS(1-2*CD4/T4))-SIN((2*ACOS(1-2*CD4/T4)))))/((T4/2)*((2*ACOS(1-2*CD4/T4)))))^(2/3))*SQRT(P4))</f>
        <v/>
      </c>
      <c r="CF4" s="4">
        <f>IF(BB4="","",IF(CE4&lt;BB4,CD4,CB4))</f>
        <v/>
      </c>
      <c r="CG4" s="4">
        <f>IF(BB4="","",IF(CE4&lt;BB4,CC4,CD4))</f>
        <v/>
      </c>
      <c r="CH4" s="4">
        <f>IF(BB4="","",(CF4+CG4)/2)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SUMIFS(CB_plan!$G:$G,CB_plan!$F:$F,$A5)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IF(A5="","",IF(H5="","",2.78E-7*IF(I5&lt;&gt;"",I5,IFERROR(SUMIFS(CB_plan!$H:$H,CB_plan!$F:$F,$A5)/SUMIFS(CB_plan!$G:$G,CB_plan!$F:$F,$A5),Inputs!$B$17))*H5*K5))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/>
      </c>
      <c r="AZ5" s="7">
        <f>IF(BB5="","",CH5)</f>
        <v/>
      </c>
      <c r="BA5" s="7">
        <f>IF(OR(BB5="",AZ5="",T5="",T5&lt;=0,AZ5&lt;=0),"",BB5/((T5^2/8)*(2*ACOS(1-2*AZ5/T5)-SIN(2*ACOS(1-2*AZ5/T5)))))</f>
        <v/>
      </c>
      <c r="BB5" s="4">
        <f>IF(OR(N5="",BC5=""),"",MIN(N5,BC5))</f>
        <v/>
      </c>
      <c r="BC5" s="4">
        <f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/>
      </c>
      <c r="BD5" s="4">
        <f>IF(BB5="","",0.001*T5)</f>
        <v/>
      </c>
      <c r="BE5" s="4">
        <f>IF(BB5="","",0.94*T5)</f>
        <v/>
      </c>
      <c r="BF5" s="4">
        <f>IF(BB5="","",(BD5+BE5)/2)</f>
        <v/>
      </c>
      <c r="BG5" s="4">
        <f>IF(OR(T5="",P5="",BF5="",T5&lt;=0,BF5&lt;=0),"",(1/Inputs!$B$9)*((T5^2/8)*((2*ACOS(1-2*BF5/T5))-SIN((2*ACOS(1-2*BF5/T5)))))*((((T5^2/8)*((2*ACOS(1-2*BF5/T5))-SIN((2*ACOS(1-2*BF5/T5)))))/((T5/2)*((2*ACOS(1-2*BF5/T5)))))^(2/3))*SQRT(P5))</f>
        <v/>
      </c>
      <c r="BH5" s="4">
        <f>IF(BB5="","",IF(BG5&lt;BB5,BF5,BD5))</f>
        <v/>
      </c>
      <c r="BI5" s="4">
        <f>IF(BB5="","",IF(BG5&lt;BB5,BE5,BF5))</f>
        <v/>
      </c>
      <c r="BJ5" s="4">
        <f>IF(BB5="","",(BH5+BI5)/2)</f>
        <v/>
      </c>
      <c r="BK5" s="4">
        <f>IF(OR(T5="",P5="",BJ5="",T5&lt;=0,BJ5&lt;=0),"",(1/Inputs!$B$9)*((T5^2/8)*((2*ACOS(1-2*BJ5/T5))-SIN((2*ACOS(1-2*BJ5/T5)))))*((((T5^2/8)*((2*ACOS(1-2*BJ5/T5))-SIN((2*ACOS(1-2*BJ5/T5)))))/((T5/2)*((2*ACOS(1-2*BJ5/T5)))))^(2/3))*SQRT(P5))</f>
        <v/>
      </c>
      <c r="BL5" s="4">
        <f>IF(BB5="","",IF(BK5&lt;BB5,BJ5,BH5))</f>
        <v/>
      </c>
      <c r="BM5" s="4">
        <f>IF(BB5="","",IF(BK5&lt;BB5,BI5,BJ5))</f>
        <v/>
      </c>
      <c r="BN5" s="4">
        <f>IF(BB5="","",(BL5+BM5)/2)</f>
        <v/>
      </c>
      <c r="BO5" s="4">
        <f>IF(OR(T5="",P5="",BN5="",T5&lt;=0,BN5&lt;=0),"",(1/Inputs!$B$9)*((T5^2/8)*((2*ACOS(1-2*BN5/T5))-SIN((2*ACOS(1-2*BN5/T5)))))*((((T5^2/8)*((2*ACOS(1-2*BN5/T5))-SIN((2*ACOS(1-2*BN5/T5)))))/((T5/2)*((2*ACOS(1-2*BN5/T5)))))^(2/3))*SQRT(P5))</f>
        <v/>
      </c>
      <c r="BP5" s="4">
        <f>IF(BB5="","",IF(BO5&lt;BB5,BN5,BL5))</f>
        <v/>
      </c>
      <c r="BQ5" s="4">
        <f>IF(BB5="","",IF(BO5&lt;BB5,BM5,BN5))</f>
        <v/>
      </c>
      <c r="BR5" s="4">
        <f>IF(BB5="","",(BP5+BQ5)/2)</f>
        <v/>
      </c>
      <c r="BS5" s="4">
        <f>IF(OR(T5="",P5="",BR5="",T5&lt;=0,BR5&lt;=0),"",(1/Inputs!$B$9)*((T5^2/8)*((2*ACOS(1-2*BR5/T5))-SIN((2*ACOS(1-2*BR5/T5)))))*((((T5^2/8)*((2*ACOS(1-2*BR5/T5))-SIN((2*ACOS(1-2*BR5/T5)))))/((T5/2)*((2*ACOS(1-2*BR5/T5)))))^(2/3))*SQRT(P5))</f>
        <v/>
      </c>
      <c r="BT5" s="4">
        <f>IF(BB5="","",IF(BS5&lt;BB5,BR5,BP5))</f>
        <v/>
      </c>
      <c r="BU5" s="4">
        <f>IF(BB5="","",IF(BS5&lt;BB5,BQ5,BR5))</f>
        <v/>
      </c>
      <c r="BV5" s="4">
        <f>IF(BB5="","",(BT5+BU5)/2)</f>
        <v/>
      </c>
      <c r="BW5" s="4">
        <f>IF(OR(T5="",P5="",BV5="",T5&lt;=0,BV5&lt;=0),"",(1/Inputs!$B$9)*((T5^2/8)*((2*ACOS(1-2*BV5/T5))-SIN((2*ACOS(1-2*BV5/T5)))))*((((T5^2/8)*((2*ACOS(1-2*BV5/T5))-SIN((2*ACOS(1-2*BV5/T5)))))/((T5/2)*((2*ACOS(1-2*BV5/T5)))))^(2/3))*SQRT(P5))</f>
        <v/>
      </c>
      <c r="BX5" s="4">
        <f>IF(BB5="","",IF(BW5&lt;BB5,BV5,BT5))</f>
        <v/>
      </c>
      <c r="BY5" s="4">
        <f>IF(BB5="","",IF(BW5&lt;BB5,BU5,BV5))</f>
        <v/>
      </c>
      <c r="BZ5" s="4">
        <f>IF(BB5="","",(BX5+BY5)/2)</f>
        <v/>
      </c>
      <c r="CA5" s="4">
        <f>IF(OR(T5="",P5="",BZ5="",T5&lt;=0,BZ5&lt;=0),"",(1/Inputs!$B$9)*((T5^2/8)*((2*ACOS(1-2*BZ5/T5))-SIN((2*ACOS(1-2*BZ5/T5)))))*((((T5^2/8)*((2*ACOS(1-2*BZ5/T5))-SIN((2*ACOS(1-2*BZ5/T5)))))/((T5/2)*((2*ACOS(1-2*BZ5/T5)))))^(2/3))*SQRT(P5))</f>
        <v/>
      </c>
      <c r="CB5" s="4">
        <f>IF(BB5="","",IF(CA5&lt;BB5,BZ5,BX5))</f>
        <v/>
      </c>
      <c r="CC5" s="4">
        <f>IF(BB5="","",IF(CA5&lt;BB5,BY5,BZ5))</f>
        <v/>
      </c>
      <c r="CD5" s="4">
        <f>IF(BB5="","",(CB5+CC5)/2)</f>
        <v/>
      </c>
      <c r="CE5" s="4">
        <f>IF(OR(T5="",P5="",CD5="",T5&lt;=0,CD5&lt;=0),"",(1/Inputs!$B$9)*((T5^2/8)*((2*ACOS(1-2*CD5/T5))-SIN((2*ACOS(1-2*CD5/T5)))))*((((T5^2/8)*((2*ACOS(1-2*CD5/T5))-SIN((2*ACOS(1-2*CD5/T5)))))/((T5/2)*((2*ACOS(1-2*CD5/T5)))))^(2/3))*SQRT(P5))</f>
        <v/>
      </c>
      <c r="CF5" s="4">
        <f>IF(BB5="","",IF(CE5&lt;BB5,CD5,CB5))</f>
        <v/>
      </c>
      <c r="CG5" s="4">
        <f>IF(BB5="","",IF(CE5&lt;BB5,CC5,CD5))</f>
        <v/>
      </c>
      <c r="CH5" s="4">
        <f>IF(BB5="","",(CF5+CG5)/2)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SUMIFS(CB_plan!$G:$G,CB_plan!$F:$F,$A6)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IF(A6="","",IF(H6="","",2.78E-7*IF(I6&lt;&gt;"",I6,IFERROR(SUMIFS(CB_plan!$H:$H,CB_plan!$F:$F,$A6)/SUMIFS(CB_plan!$G:$G,CB_plan!$F:$F,$A6),Inputs!$B$17))*H6*K6))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/>
      </c>
      <c r="AZ6" s="7">
        <f>IF(BB6="","",CH6)</f>
        <v/>
      </c>
      <c r="BA6" s="7">
        <f>IF(OR(BB6="",AZ6="",T6="",T6&lt;=0,AZ6&lt;=0),"",BB6/((T6^2/8)*(2*ACOS(1-2*AZ6/T6)-SIN(2*ACOS(1-2*AZ6/T6)))))</f>
        <v/>
      </c>
      <c r="BB6" s="4">
        <f>IF(OR(N6="",BC6=""),"",MIN(N6,BC6))</f>
        <v/>
      </c>
      <c r="BC6" s="4">
        <f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/>
      </c>
      <c r="BD6" s="4">
        <f>IF(BB6="","",0.001*T6)</f>
        <v/>
      </c>
      <c r="BE6" s="4">
        <f>IF(BB6="","",0.94*T6)</f>
        <v/>
      </c>
      <c r="BF6" s="4">
        <f>IF(BB6="","",(BD6+BE6)/2)</f>
        <v/>
      </c>
      <c r="BG6" s="4">
        <f>IF(OR(T6="",P6="",BF6="",T6&lt;=0,BF6&lt;=0),"",(1/Inputs!$B$9)*((T6^2/8)*((2*ACOS(1-2*BF6/T6))-SIN((2*ACOS(1-2*BF6/T6)))))*((((T6^2/8)*((2*ACOS(1-2*BF6/T6))-SIN((2*ACOS(1-2*BF6/T6)))))/((T6/2)*((2*ACOS(1-2*BF6/T6)))))^(2/3))*SQRT(P6))</f>
        <v/>
      </c>
      <c r="BH6" s="4">
        <f>IF(BB6="","",IF(BG6&lt;BB6,BF6,BD6))</f>
        <v/>
      </c>
      <c r="BI6" s="4">
        <f>IF(BB6="","",IF(BG6&lt;BB6,BE6,BF6))</f>
        <v/>
      </c>
      <c r="BJ6" s="4">
        <f>IF(BB6="","",(BH6+BI6)/2)</f>
        <v/>
      </c>
      <c r="BK6" s="4">
        <f>IF(OR(T6="",P6="",BJ6="",T6&lt;=0,BJ6&lt;=0),"",(1/Inputs!$B$9)*((T6^2/8)*((2*ACOS(1-2*BJ6/T6))-SIN((2*ACOS(1-2*BJ6/T6)))))*((((T6^2/8)*((2*ACOS(1-2*BJ6/T6))-SIN((2*ACOS(1-2*BJ6/T6)))))/((T6/2)*((2*ACOS(1-2*BJ6/T6)))))^(2/3))*SQRT(P6))</f>
        <v/>
      </c>
      <c r="BL6" s="4">
        <f>IF(BB6="","",IF(BK6&lt;BB6,BJ6,BH6))</f>
        <v/>
      </c>
      <c r="BM6" s="4">
        <f>IF(BB6="","",IF(BK6&lt;BB6,BI6,BJ6))</f>
        <v/>
      </c>
      <c r="BN6" s="4">
        <f>IF(BB6="","",(BL6+BM6)/2)</f>
        <v/>
      </c>
      <c r="BO6" s="4">
        <f>IF(OR(T6="",P6="",BN6="",T6&lt;=0,BN6&lt;=0),"",(1/Inputs!$B$9)*((T6^2/8)*((2*ACOS(1-2*BN6/T6))-SIN((2*ACOS(1-2*BN6/T6)))))*((((T6^2/8)*((2*ACOS(1-2*BN6/T6))-SIN((2*ACOS(1-2*BN6/T6)))))/((T6/2)*((2*ACOS(1-2*BN6/T6)))))^(2/3))*SQRT(P6))</f>
        <v/>
      </c>
      <c r="BP6" s="4">
        <f>IF(BB6="","",IF(BO6&lt;BB6,BN6,BL6))</f>
        <v/>
      </c>
      <c r="BQ6" s="4">
        <f>IF(BB6="","",IF(BO6&lt;BB6,BM6,BN6))</f>
        <v/>
      </c>
      <c r="BR6" s="4">
        <f>IF(BB6="","",(BP6+BQ6)/2)</f>
        <v/>
      </c>
      <c r="BS6" s="4">
        <f>IF(OR(T6="",P6="",BR6="",T6&lt;=0,BR6&lt;=0),"",(1/Inputs!$B$9)*((T6^2/8)*((2*ACOS(1-2*BR6/T6))-SIN((2*ACOS(1-2*BR6/T6)))))*((((T6^2/8)*((2*ACOS(1-2*BR6/T6))-SIN((2*ACOS(1-2*BR6/T6)))))/((T6/2)*((2*ACOS(1-2*BR6/T6)))))^(2/3))*SQRT(P6))</f>
        <v/>
      </c>
      <c r="BT6" s="4">
        <f>IF(BB6="","",IF(BS6&lt;BB6,BR6,BP6))</f>
        <v/>
      </c>
      <c r="BU6" s="4">
        <f>IF(BB6="","",IF(BS6&lt;BB6,BQ6,BR6))</f>
        <v/>
      </c>
      <c r="BV6" s="4">
        <f>IF(BB6="","",(BT6+BU6)/2)</f>
        <v/>
      </c>
      <c r="BW6" s="4">
        <f>IF(OR(T6="",P6="",BV6="",T6&lt;=0,BV6&lt;=0),"",(1/Inputs!$B$9)*((T6^2/8)*((2*ACOS(1-2*BV6/T6))-SIN((2*ACOS(1-2*BV6/T6)))))*((((T6^2/8)*((2*ACOS(1-2*BV6/T6))-SIN((2*ACOS(1-2*BV6/T6)))))/((T6/2)*((2*ACOS(1-2*BV6/T6)))))^(2/3))*SQRT(P6))</f>
        <v/>
      </c>
      <c r="BX6" s="4">
        <f>IF(BB6="","",IF(BW6&lt;BB6,BV6,BT6))</f>
        <v/>
      </c>
      <c r="BY6" s="4">
        <f>IF(BB6="","",IF(BW6&lt;BB6,BU6,BV6))</f>
        <v/>
      </c>
      <c r="BZ6" s="4">
        <f>IF(BB6="","",(BX6+BY6)/2)</f>
        <v/>
      </c>
      <c r="CA6" s="4">
        <f>IF(OR(T6="",P6="",BZ6="",T6&lt;=0,BZ6&lt;=0),"",(1/Inputs!$B$9)*((T6^2/8)*((2*ACOS(1-2*BZ6/T6))-SIN((2*ACOS(1-2*BZ6/T6)))))*((((T6^2/8)*((2*ACOS(1-2*BZ6/T6))-SIN((2*ACOS(1-2*BZ6/T6)))))/((T6/2)*((2*ACOS(1-2*BZ6/T6)))))^(2/3))*SQRT(P6))</f>
        <v/>
      </c>
      <c r="CB6" s="4">
        <f>IF(BB6="","",IF(CA6&lt;BB6,BZ6,BX6))</f>
        <v/>
      </c>
      <c r="CC6" s="4">
        <f>IF(BB6="","",IF(CA6&lt;BB6,BY6,BZ6))</f>
        <v/>
      </c>
      <c r="CD6" s="4">
        <f>IF(BB6="","",(CB6+CC6)/2)</f>
        <v/>
      </c>
      <c r="CE6" s="4">
        <f>IF(OR(T6="",P6="",CD6="",T6&lt;=0,CD6&lt;=0),"",(1/Inputs!$B$9)*((T6^2/8)*((2*ACOS(1-2*CD6/T6))-SIN((2*ACOS(1-2*CD6/T6)))))*((((T6^2/8)*((2*ACOS(1-2*CD6/T6))-SIN((2*ACOS(1-2*CD6/T6)))))/((T6/2)*((2*ACOS(1-2*CD6/T6)))))^(2/3))*SQRT(P6))</f>
        <v/>
      </c>
      <c r="CF6" s="4">
        <f>IF(BB6="","",IF(CE6&lt;BB6,CD6,CB6))</f>
        <v/>
      </c>
      <c r="CG6" s="4">
        <f>IF(BB6="","",IF(CE6&lt;BB6,CC6,CD6))</f>
        <v/>
      </c>
      <c r="CH6" s="4">
        <f>IF(BB6="","",(CF6+CG6)/2)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SUMIFS(CB_plan!$G:$G,CB_plan!$F:$F,$A7)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IF(A7="","",IF(H7="","",2.78E-7*IF(I7&lt;&gt;"",I7,IFERROR(SUMIFS(CB_plan!$H:$H,CB_plan!$F:$F,$A7)/SUMIFS(CB_plan!$G:$G,CB_plan!$F:$F,$A7),Inputs!$B$17))*H7*K7))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/>
      </c>
      <c r="AZ7" s="7">
        <f>IF(BB7="","",CH7)</f>
        <v/>
      </c>
      <c r="BA7" s="7">
        <f>IF(OR(BB7="",AZ7="",T7="",T7&lt;=0,AZ7&lt;=0),"",BB7/((T7^2/8)*(2*ACOS(1-2*AZ7/T7)-SIN(2*ACOS(1-2*AZ7/T7)))))</f>
        <v/>
      </c>
      <c r="BB7" s="4">
        <f>IF(OR(N7="",BC7=""),"",MIN(N7,BC7))</f>
        <v/>
      </c>
      <c r="BC7" s="4">
        <f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/>
      </c>
      <c r="BD7" s="4">
        <f>IF(BB7="","",0.001*T7)</f>
        <v/>
      </c>
      <c r="BE7" s="4">
        <f>IF(BB7="","",0.94*T7)</f>
        <v/>
      </c>
      <c r="BF7" s="4">
        <f>IF(BB7="","",(BD7+BE7)/2)</f>
        <v/>
      </c>
      <c r="BG7" s="4">
        <f>IF(OR(T7="",P7="",BF7="",T7&lt;=0,BF7&lt;=0),"",(1/Inputs!$B$9)*((T7^2/8)*((2*ACOS(1-2*BF7/T7))-SIN((2*ACOS(1-2*BF7/T7)))))*((((T7^2/8)*((2*ACOS(1-2*BF7/T7))-SIN((2*ACOS(1-2*BF7/T7)))))/((T7/2)*((2*ACOS(1-2*BF7/T7)))))^(2/3))*SQRT(P7))</f>
        <v/>
      </c>
      <c r="BH7" s="4">
        <f>IF(BB7="","",IF(BG7&lt;BB7,BF7,BD7))</f>
        <v/>
      </c>
      <c r="BI7" s="4">
        <f>IF(BB7="","",IF(BG7&lt;BB7,BE7,BF7))</f>
        <v/>
      </c>
      <c r="BJ7" s="4">
        <f>IF(BB7="","",(BH7+BI7)/2)</f>
        <v/>
      </c>
      <c r="BK7" s="4">
        <f>IF(OR(T7="",P7="",BJ7="",T7&lt;=0,BJ7&lt;=0),"",(1/Inputs!$B$9)*((T7^2/8)*((2*ACOS(1-2*BJ7/T7))-SIN((2*ACOS(1-2*BJ7/T7)))))*((((T7^2/8)*((2*ACOS(1-2*BJ7/T7))-SIN((2*ACOS(1-2*BJ7/T7)))))/((T7/2)*((2*ACOS(1-2*BJ7/T7)))))^(2/3))*SQRT(P7))</f>
        <v/>
      </c>
      <c r="BL7" s="4">
        <f>IF(BB7="","",IF(BK7&lt;BB7,BJ7,BH7))</f>
        <v/>
      </c>
      <c r="BM7" s="4">
        <f>IF(BB7="","",IF(BK7&lt;BB7,BI7,BJ7))</f>
        <v/>
      </c>
      <c r="BN7" s="4">
        <f>IF(BB7="","",(BL7+BM7)/2)</f>
        <v/>
      </c>
      <c r="BO7" s="4">
        <f>IF(OR(T7="",P7="",BN7="",T7&lt;=0,BN7&lt;=0),"",(1/Inputs!$B$9)*((T7^2/8)*((2*ACOS(1-2*BN7/T7))-SIN((2*ACOS(1-2*BN7/T7)))))*((((T7^2/8)*((2*ACOS(1-2*BN7/T7))-SIN((2*ACOS(1-2*BN7/T7)))))/((T7/2)*((2*ACOS(1-2*BN7/T7)))))^(2/3))*SQRT(P7))</f>
        <v/>
      </c>
      <c r="BP7" s="4">
        <f>IF(BB7="","",IF(BO7&lt;BB7,BN7,BL7))</f>
        <v/>
      </c>
      <c r="BQ7" s="4">
        <f>IF(BB7="","",IF(BO7&lt;BB7,BM7,BN7))</f>
        <v/>
      </c>
      <c r="BR7" s="4">
        <f>IF(BB7="","",(BP7+BQ7)/2)</f>
        <v/>
      </c>
      <c r="BS7" s="4">
        <f>IF(OR(T7="",P7="",BR7="",T7&lt;=0,BR7&lt;=0),"",(1/Inputs!$B$9)*((T7^2/8)*((2*ACOS(1-2*BR7/T7))-SIN((2*ACOS(1-2*BR7/T7)))))*((((T7^2/8)*((2*ACOS(1-2*BR7/T7))-SIN((2*ACOS(1-2*BR7/T7)))))/((T7/2)*((2*ACOS(1-2*BR7/T7)))))^(2/3))*SQRT(P7))</f>
        <v/>
      </c>
      <c r="BT7" s="4">
        <f>IF(BB7="","",IF(BS7&lt;BB7,BR7,BP7))</f>
        <v/>
      </c>
      <c r="BU7" s="4">
        <f>IF(BB7="","",IF(BS7&lt;BB7,BQ7,BR7))</f>
        <v/>
      </c>
      <c r="BV7" s="4">
        <f>IF(BB7="","",(BT7+BU7)/2)</f>
        <v/>
      </c>
      <c r="BW7" s="4">
        <f>IF(OR(T7="",P7="",BV7="",T7&lt;=0,BV7&lt;=0),"",(1/Inputs!$B$9)*((T7^2/8)*((2*ACOS(1-2*BV7/T7))-SIN((2*ACOS(1-2*BV7/T7)))))*((((T7^2/8)*((2*ACOS(1-2*BV7/T7))-SIN((2*ACOS(1-2*BV7/T7)))))/((T7/2)*((2*ACOS(1-2*BV7/T7)))))^(2/3))*SQRT(P7))</f>
        <v/>
      </c>
      <c r="BX7" s="4">
        <f>IF(BB7="","",IF(BW7&lt;BB7,BV7,BT7))</f>
        <v/>
      </c>
      <c r="BY7" s="4">
        <f>IF(BB7="","",IF(BW7&lt;BB7,BU7,BV7))</f>
        <v/>
      </c>
      <c r="BZ7" s="4">
        <f>IF(BB7="","",(BX7+BY7)/2)</f>
        <v/>
      </c>
      <c r="CA7" s="4">
        <f>IF(OR(T7="",P7="",BZ7="",T7&lt;=0,BZ7&lt;=0),"",(1/Inputs!$B$9)*((T7^2/8)*((2*ACOS(1-2*BZ7/T7))-SIN((2*ACOS(1-2*BZ7/T7)))))*((((T7^2/8)*((2*ACOS(1-2*BZ7/T7))-SIN((2*ACOS(1-2*BZ7/T7)))))/((T7/2)*((2*ACOS(1-2*BZ7/T7)))))^(2/3))*SQRT(P7))</f>
        <v/>
      </c>
      <c r="CB7" s="4">
        <f>IF(BB7="","",IF(CA7&lt;BB7,BZ7,BX7))</f>
        <v/>
      </c>
      <c r="CC7" s="4">
        <f>IF(BB7="","",IF(CA7&lt;BB7,BY7,BZ7))</f>
        <v/>
      </c>
      <c r="CD7" s="4">
        <f>IF(BB7="","",(CB7+CC7)/2)</f>
        <v/>
      </c>
      <c r="CE7" s="4">
        <f>IF(OR(T7="",P7="",CD7="",T7&lt;=0,CD7&lt;=0),"",(1/Inputs!$B$9)*((T7^2/8)*((2*ACOS(1-2*CD7/T7))-SIN((2*ACOS(1-2*CD7/T7)))))*((((T7^2/8)*((2*ACOS(1-2*CD7/T7))-SIN((2*ACOS(1-2*CD7/T7)))))/((T7/2)*((2*ACOS(1-2*CD7/T7)))))^(2/3))*SQRT(P7))</f>
        <v/>
      </c>
      <c r="CF7" s="4">
        <f>IF(BB7="","",IF(CE7&lt;BB7,CD7,CB7))</f>
        <v/>
      </c>
      <c r="CG7" s="4">
        <f>IF(BB7="","",IF(CE7&lt;BB7,CC7,CD7))</f>
        <v/>
      </c>
      <c r="CH7" s="4">
        <f>IF(BB7="","",(CF7+CG7)/2)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SUMIFS(CB_plan!$G:$G,CB_plan!$F:$F,$A8)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IF(A8="","",IF(H8="","",2.78E-7*IF(I8&lt;&gt;"",I8,IFERROR(SUMIFS(CB_plan!$H:$H,CB_plan!$F:$F,$A8)/SUMIFS(CB_plan!$G:$G,CB_plan!$F:$F,$A8),Inputs!$B$17))*H8*K8))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/>
      </c>
      <c r="AZ8" s="7">
        <f>IF(BB8="","",CH8)</f>
        <v/>
      </c>
      <c r="BA8" s="7">
        <f>IF(OR(BB8="",AZ8="",T8="",T8&lt;=0,AZ8&lt;=0),"",BB8/((T8^2/8)*(2*ACOS(1-2*AZ8/T8)-SIN(2*ACOS(1-2*AZ8/T8)))))</f>
        <v/>
      </c>
      <c r="BB8" s="4">
        <f>IF(OR(N8="",BC8=""),"",MIN(N8,BC8))</f>
        <v/>
      </c>
      <c r="BC8" s="4">
        <f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/>
      </c>
      <c r="BD8" s="4">
        <f>IF(BB8="","",0.001*T8)</f>
        <v/>
      </c>
      <c r="BE8" s="4">
        <f>IF(BB8="","",0.94*T8)</f>
        <v/>
      </c>
      <c r="BF8" s="4">
        <f>IF(BB8="","",(BD8+BE8)/2)</f>
        <v/>
      </c>
      <c r="BG8" s="4">
        <f>IF(OR(T8="",P8="",BF8="",T8&lt;=0,BF8&lt;=0),"",(1/Inputs!$B$9)*((T8^2/8)*((2*ACOS(1-2*BF8/T8))-SIN((2*ACOS(1-2*BF8/T8)))))*((((T8^2/8)*((2*ACOS(1-2*BF8/T8))-SIN((2*ACOS(1-2*BF8/T8)))))/((T8/2)*((2*ACOS(1-2*BF8/T8)))))^(2/3))*SQRT(P8))</f>
        <v/>
      </c>
      <c r="BH8" s="4">
        <f>IF(BB8="","",IF(BG8&lt;BB8,BF8,BD8))</f>
        <v/>
      </c>
      <c r="BI8" s="4">
        <f>IF(BB8="","",IF(BG8&lt;BB8,BE8,BF8))</f>
        <v/>
      </c>
      <c r="BJ8" s="4">
        <f>IF(BB8="","",(BH8+BI8)/2)</f>
        <v/>
      </c>
      <c r="BK8" s="4">
        <f>IF(OR(T8="",P8="",BJ8="",T8&lt;=0,BJ8&lt;=0),"",(1/Inputs!$B$9)*((T8^2/8)*((2*ACOS(1-2*BJ8/T8))-SIN((2*ACOS(1-2*BJ8/T8)))))*((((T8^2/8)*((2*ACOS(1-2*BJ8/T8))-SIN((2*ACOS(1-2*BJ8/T8)))))/((T8/2)*((2*ACOS(1-2*BJ8/T8)))))^(2/3))*SQRT(P8))</f>
        <v/>
      </c>
      <c r="BL8" s="4">
        <f>IF(BB8="","",IF(BK8&lt;BB8,BJ8,BH8))</f>
        <v/>
      </c>
      <c r="BM8" s="4">
        <f>IF(BB8="","",IF(BK8&lt;BB8,BI8,BJ8))</f>
        <v/>
      </c>
      <c r="BN8" s="4">
        <f>IF(BB8="","",(BL8+BM8)/2)</f>
        <v/>
      </c>
      <c r="BO8" s="4">
        <f>IF(OR(T8="",P8="",BN8="",T8&lt;=0,BN8&lt;=0),"",(1/Inputs!$B$9)*((T8^2/8)*((2*ACOS(1-2*BN8/T8))-SIN((2*ACOS(1-2*BN8/T8)))))*((((T8^2/8)*((2*ACOS(1-2*BN8/T8))-SIN((2*ACOS(1-2*BN8/T8)))))/((T8/2)*((2*ACOS(1-2*BN8/T8)))))^(2/3))*SQRT(P8))</f>
        <v/>
      </c>
      <c r="BP8" s="4">
        <f>IF(BB8="","",IF(BO8&lt;BB8,BN8,BL8))</f>
        <v/>
      </c>
      <c r="BQ8" s="4">
        <f>IF(BB8="","",IF(BO8&lt;BB8,BM8,BN8))</f>
        <v/>
      </c>
      <c r="BR8" s="4">
        <f>IF(BB8="","",(BP8+BQ8)/2)</f>
        <v/>
      </c>
      <c r="BS8" s="4">
        <f>IF(OR(T8="",P8="",BR8="",T8&lt;=0,BR8&lt;=0),"",(1/Inputs!$B$9)*((T8^2/8)*((2*ACOS(1-2*BR8/T8))-SIN((2*ACOS(1-2*BR8/T8)))))*((((T8^2/8)*((2*ACOS(1-2*BR8/T8))-SIN((2*ACOS(1-2*BR8/T8)))))/((T8/2)*((2*ACOS(1-2*BR8/T8)))))^(2/3))*SQRT(P8))</f>
        <v/>
      </c>
      <c r="BT8" s="4">
        <f>IF(BB8="","",IF(BS8&lt;BB8,BR8,BP8))</f>
        <v/>
      </c>
      <c r="BU8" s="4">
        <f>IF(BB8="","",IF(BS8&lt;BB8,BQ8,BR8))</f>
        <v/>
      </c>
      <c r="BV8" s="4">
        <f>IF(BB8="","",(BT8+BU8)/2)</f>
        <v/>
      </c>
      <c r="BW8" s="4">
        <f>IF(OR(T8="",P8="",BV8="",T8&lt;=0,BV8&lt;=0),"",(1/Inputs!$B$9)*((T8^2/8)*((2*ACOS(1-2*BV8/T8))-SIN((2*ACOS(1-2*BV8/T8)))))*((((T8^2/8)*((2*ACOS(1-2*BV8/T8))-SIN((2*ACOS(1-2*BV8/T8)))))/((T8/2)*((2*ACOS(1-2*BV8/T8)))))^(2/3))*SQRT(P8))</f>
        <v/>
      </c>
      <c r="BX8" s="4">
        <f>IF(BB8="","",IF(BW8&lt;BB8,BV8,BT8))</f>
        <v/>
      </c>
      <c r="BY8" s="4">
        <f>IF(BB8="","",IF(BW8&lt;BB8,BU8,BV8))</f>
        <v/>
      </c>
      <c r="BZ8" s="4">
        <f>IF(BB8="","",(BX8+BY8)/2)</f>
        <v/>
      </c>
      <c r="CA8" s="4">
        <f>IF(OR(T8="",P8="",BZ8="",T8&lt;=0,BZ8&lt;=0),"",(1/Inputs!$B$9)*((T8^2/8)*((2*ACOS(1-2*BZ8/T8))-SIN((2*ACOS(1-2*BZ8/T8)))))*((((T8^2/8)*((2*ACOS(1-2*BZ8/T8))-SIN((2*ACOS(1-2*BZ8/T8)))))/((T8/2)*((2*ACOS(1-2*BZ8/T8)))))^(2/3))*SQRT(P8))</f>
        <v/>
      </c>
      <c r="CB8" s="4">
        <f>IF(BB8="","",IF(CA8&lt;BB8,BZ8,BX8))</f>
        <v/>
      </c>
      <c r="CC8" s="4">
        <f>IF(BB8="","",IF(CA8&lt;BB8,BY8,BZ8))</f>
        <v/>
      </c>
      <c r="CD8" s="4">
        <f>IF(BB8="","",(CB8+CC8)/2)</f>
        <v/>
      </c>
      <c r="CE8" s="4">
        <f>IF(OR(T8="",P8="",CD8="",T8&lt;=0,CD8&lt;=0),"",(1/Inputs!$B$9)*((T8^2/8)*((2*ACOS(1-2*CD8/T8))-SIN((2*ACOS(1-2*CD8/T8)))))*((((T8^2/8)*((2*ACOS(1-2*CD8/T8))-SIN((2*ACOS(1-2*CD8/T8)))))/((T8/2)*((2*ACOS(1-2*CD8/T8)))))^(2/3))*SQRT(P8))</f>
        <v/>
      </c>
      <c r="CF8" s="4">
        <f>IF(BB8="","",IF(CE8&lt;BB8,CD8,CB8))</f>
        <v/>
      </c>
      <c r="CG8" s="4">
        <f>IF(BB8="","",IF(CE8&lt;BB8,CC8,CD8))</f>
        <v/>
      </c>
      <c r="CH8" s="4">
        <f>IF(BB8="","",(CF8+CG8)/2)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SUMIFS(CB_plan!$G:$G,CB_plan!$F:$F,$A9)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IF(A9="","",IF(H9="","",2.78E-7*IF(I9&lt;&gt;"",I9,IFERROR(SUMIFS(CB_plan!$H:$H,CB_plan!$F:$F,$A9)/SUMIFS(CB_plan!$G:$G,CB_plan!$F:$F,$A9),Inputs!$B$17))*H9*K9))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/>
      </c>
      <c r="AZ9" s="7">
        <f>IF(BB9="","",CH9)</f>
        <v/>
      </c>
      <c r="BA9" s="7">
        <f>IF(OR(BB9="",AZ9="",T9="",T9&lt;=0,AZ9&lt;=0),"",BB9/((T9^2/8)*(2*ACOS(1-2*AZ9/T9)-SIN(2*ACOS(1-2*AZ9/T9)))))</f>
        <v/>
      </c>
      <c r="BB9" s="4">
        <f>IF(OR(N9="",BC9=""),"",MIN(N9,BC9))</f>
        <v/>
      </c>
      <c r="BC9" s="4">
        <f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/>
      </c>
      <c r="BD9" s="4">
        <f>IF(BB9="","",0.001*T9)</f>
        <v/>
      </c>
      <c r="BE9" s="4">
        <f>IF(BB9="","",0.94*T9)</f>
        <v/>
      </c>
      <c r="BF9" s="4">
        <f>IF(BB9="","",(BD9+BE9)/2)</f>
        <v/>
      </c>
      <c r="BG9" s="4">
        <f>IF(OR(T9="",P9="",BF9="",T9&lt;=0,BF9&lt;=0),"",(1/Inputs!$B$9)*((T9^2/8)*((2*ACOS(1-2*BF9/T9))-SIN((2*ACOS(1-2*BF9/T9)))))*((((T9^2/8)*((2*ACOS(1-2*BF9/T9))-SIN((2*ACOS(1-2*BF9/T9)))))/((T9/2)*((2*ACOS(1-2*BF9/T9)))))^(2/3))*SQRT(P9))</f>
        <v/>
      </c>
      <c r="BH9" s="4">
        <f>IF(BB9="","",IF(BG9&lt;BB9,BF9,BD9))</f>
        <v/>
      </c>
      <c r="BI9" s="4">
        <f>IF(BB9="","",IF(BG9&lt;BB9,BE9,BF9))</f>
        <v/>
      </c>
      <c r="BJ9" s="4">
        <f>IF(BB9="","",(BH9+BI9)/2)</f>
        <v/>
      </c>
      <c r="BK9" s="4">
        <f>IF(OR(T9="",P9="",BJ9="",T9&lt;=0,BJ9&lt;=0),"",(1/Inputs!$B$9)*((T9^2/8)*((2*ACOS(1-2*BJ9/T9))-SIN((2*ACOS(1-2*BJ9/T9)))))*((((T9^2/8)*((2*ACOS(1-2*BJ9/T9))-SIN((2*ACOS(1-2*BJ9/T9)))))/((T9/2)*((2*ACOS(1-2*BJ9/T9)))))^(2/3))*SQRT(P9))</f>
        <v/>
      </c>
      <c r="BL9" s="4">
        <f>IF(BB9="","",IF(BK9&lt;BB9,BJ9,BH9))</f>
        <v/>
      </c>
      <c r="BM9" s="4">
        <f>IF(BB9="","",IF(BK9&lt;BB9,BI9,BJ9))</f>
        <v/>
      </c>
      <c r="BN9" s="4">
        <f>IF(BB9="","",(BL9+BM9)/2)</f>
        <v/>
      </c>
      <c r="BO9" s="4">
        <f>IF(OR(T9="",P9="",BN9="",T9&lt;=0,BN9&lt;=0),"",(1/Inputs!$B$9)*((T9^2/8)*((2*ACOS(1-2*BN9/T9))-SIN((2*ACOS(1-2*BN9/T9)))))*((((T9^2/8)*((2*ACOS(1-2*BN9/T9))-SIN((2*ACOS(1-2*BN9/T9)))))/((T9/2)*((2*ACOS(1-2*BN9/T9)))))^(2/3))*SQRT(P9))</f>
        <v/>
      </c>
      <c r="BP9" s="4">
        <f>IF(BB9="","",IF(BO9&lt;BB9,BN9,BL9))</f>
        <v/>
      </c>
      <c r="BQ9" s="4">
        <f>IF(BB9="","",IF(BO9&lt;BB9,BM9,BN9))</f>
        <v/>
      </c>
      <c r="BR9" s="4">
        <f>IF(BB9="","",(BP9+BQ9)/2)</f>
        <v/>
      </c>
      <c r="BS9" s="4">
        <f>IF(OR(T9="",P9="",BR9="",T9&lt;=0,BR9&lt;=0),"",(1/Inputs!$B$9)*((T9^2/8)*((2*ACOS(1-2*BR9/T9))-SIN((2*ACOS(1-2*BR9/T9)))))*((((T9^2/8)*((2*ACOS(1-2*BR9/T9))-SIN((2*ACOS(1-2*BR9/T9)))))/((T9/2)*((2*ACOS(1-2*BR9/T9)))))^(2/3))*SQRT(P9))</f>
        <v/>
      </c>
      <c r="BT9" s="4">
        <f>IF(BB9="","",IF(BS9&lt;BB9,BR9,BP9))</f>
        <v/>
      </c>
      <c r="BU9" s="4">
        <f>IF(BB9="","",IF(BS9&lt;BB9,BQ9,BR9))</f>
        <v/>
      </c>
      <c r="BV9" s="4">
        <f>IF(BB9="","",(BT9+BU9)/2)</f>
        <v/>
      </c>
      <c r="BW9" s="4">
        <f>IF(OR(T9="",P9="",BV9="",T9&lt;=0,BV9&lt;=0),"",(1/Inputs!$B$9)*((T9^2/8)*((2*ACOS(1-2*BV9/T9))-SIN((2*ACOS(1-2*BV9/T9)))))*((((T9^2/8)*((2*ACOS(1-2*BV9/T9))-SIN((2*ACOS(1-2*BV9/T9)))))/((T9/2)*((2*ACOS(1-2*BV9/T9)))))^(2/3))*SQRT(P9))</f>
        <v/>
      </c>
      <c r="BX9" s="4">
        <f>IF(BB9="","",IF(BW9&lt;BB9,BV9,BT9))</f>
        <v/>
      </c>
      <c r="BY9" s="4">
        <f>IF(BB9="","",IF(BW9&lt;BB9,BU9,BV9))</f>
        <v/>
      </c>
      <c r="BZ9" s="4">
        <f>IF(BB9="","",(BX9+BY9)/2)</f>
        <v/>
      </c>
      <c r="CA9" s="4">
        <f>IF(OR(T9="",P9="",BZ9="",T9&lt;=0,BZ9&lt;=0),"",(1/Inputs!$B$9)*((T9^2/8)*((2*ACOS(1-2*BZ9/T9))-SIN((2*ACOS(1-2*BZ9/T9)))))*((((T9^2/8)*((2*ACOS(1-2*BZ9/T9))-SIN((2*ACOS(1-2*BZ9/T9)))))/((T9/2)*((2*ACOS(1-2*BZ9/T9)))))^(2/3))*SQRT(P9))</f>
        <v/>
      </c>
      <c r="CB9" s="4">
        <f>IF(BB9="","",IF(CA9&lt;BB9,BZ9,BX9))</f>
        <v/>
      </c>
      <c r="CC9" s="4">
        <f>IF(BB9="","",IF(CA9&lt;BB9,BY9,BZ9))</f>
        <v/>
      </c>
      <c r="CD9" s="4">
        <f>IF(BB9="","",(CB9+CC9)/2)</f>
        <v/>
      </c>
      <c r="CE9" s="4">
        <f>IF(OR(T9="",P9="",CD9="",T9&lt;=0,CD9&lt;=0),"",(1/Inputs!$B$9)*((T9^2/8)*((2*ACOS(1-2*CD9/T9))-SIN((2*ACOS(1-2*CD9/T9)))))*((((T9^2/8)*((2*ACOS(1-2*CD9/T9))-SIN((2*ACOS(1-2*CD9/T9)))))/((T9/2)*((2*ACOS(1-2*CD9/T9)))))^(2/3))*SQRT(P9))</f>
        <v/>
      </c>
      <c r="CF9" s="4">
        <f>IF(BB9="","",IF(CE9&lt;BB9,CD9,CB9))</f>
        <v/>
      </c>
      <c r="CG9" s="4">
        <f>IF(BB9="","",IF(CE9&lt;BB9,CC9,CD9))</f>
        <v/>
      </c>
      <c r="CH9" s="4">
        <f>IF(BB9="","",(CF9+CG9)/2)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SUMIFS(CB_plan!$G:$G,CB_plan!$F:$F,$A10)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IF(A10="","",IF(H10="","",2.78E-7*IF(I10&lt;&gt;"",I10,IFERROR(SUMIFS(CB_plan!$H:$H,CB_plan!$F:$F,$A10)/SUMIFS(CB_plan!$G:$G,CB_plan!$F:$F,$A10),Inputs!$B$17))*H10*K10))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/>
      </c>
      <c r="AZ10" s="7">
        <f>IF(BB10="","",CH10)</f>
        <v/>
      </c>
      <c r="BA10" s="7">
        <f>IF(OR(BB10="",AZ10="",T10="",T10&lt;=0,AZ10&lt;=0),"",BB10/((T10^2/8)*(2*ACOS(1-2*AZ10/T10)-SIN(2*ACOS(1-2*AZ10/T10)))))</f>
        <v/>
      </c>
      <c r="BB10" s="4">
        <f>IF(OR(N10="",BC10=""),"",MIN(N10,BC10))</f>
        <v/>
      </c>
      <c r="BC10" s="4">
        <f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/>
      </c>
      <c r="BD10" s="4">
        <f>IF(BB10="","",0.001*T10)</f>
        <v/>
      </c>
      <c r="BE10" s="4">
        <f>IF(BB10="","",0.94*T10)</f>
        <v/>
      </c>
      <c r="BF10" s="4">
        <f>IF(BB10="","",(BD10+BE10)/2)</f>
        <v/>
      </c>
      <c r="BG10" s="4">
        <f>IF(OR(T10="",P10="",BF10="",T10&lt;=0,BF10&lt;=0),"",(1/Inputs!$B$9)*((T10^2/8)*((2*ACOS(1-2*BF10/T10))-SIN((2*ACOS(1-2*BF10/T10)))))*((((T10^2/8)*((2*ACOS(1-2*BF10/T10))-SIN((2*ACOS(1-2*BF10/T10)))))/((T10/2)*((2*ACOS(1-2*BF10/T10)))))^(2/3))*SQRT(P10))</f>
        <v/>
      </c>
      <c r="BH10" s="4">
        <f>IF(BB10="","",IF(BG10&lt;BB10,BF10,BD10))</f>
        <v/>
      </c>
      <c r="BI10" s="4">
        <f>IF(BB10="","",IF(BG10&lt;BB10,BE10,BF10))</f>
        <v/>
      </c>
      <c r="BJ10" s="4">
        <f>IF(BB10="","",(BH10+BI10)/2)</f>
        <v/>
      </c>
      <c r="BK10" s="4">
        <f>IF(OR(T10="",P10="",BJ10="",T10&lt;=0,BJ10&lt;=0),"",(1/Inputs!$B$9)*((T10^2/8)*((2*ACOS(1-2*BJ10/T10))-SIN((2*ACOS(1-2*BJ10/T10)))))*((((T10^2/8)*((2*ACOS(1-2*BJ10/T10))-SIN((2*ACOS(1-2*BJ10/T10)))))/((T10/2)*((2*ACOS(1-2*BJ10/T10)))))^(2/3))*SQRT(P10))</f>
        <v/>
      </c>
      <c r="BL10" s="4">
        <f>IF(BB10="","",IF(BK10&lt;BB10,BJ10,BH10))</f>
        <v/>
      </c>
      <c r="BM10" s="4">
        <f>IF(BB10="","",IF(BK10&lt;BB10,BI10,BJ10))</f>
        <v/>
      </c>
      <c r="BN10" s="4">
        <f>IF(BB10="","",(BL10+BM10)/2)</f>
        <v/>
      </c>
      <c r="BO10" s="4">
        <f>IF(OR(T10="",P10="",BN10="",T10&lt;=0,BN10&lt;=0),"",(1/Inputs!$B$9)*((T10^2/8)*((2*ACOS(1-2*BN10/T10))-SIN((2*ACOS(1-2*BN10/T10)))))*((((T10^2/8)*((2*ACOS(1-2*BN10/T10))-SIN((2*ACOS(1-2*BN10/T10)))))/((T10/2)*((2*ACOS(1-2*BN10/T10)))))^(2/3))*SQRT(P10))</f>
        <v/>
      </c>
      <c r="BP10" s="4">
        <f>IF(BB10="","",IF(BO10&lt;BB10,BN10,BL10))</f>
        <v/>
      </c>
      <c r="BQ10" s="4">
        <f>IF(BB10="","",IF(BO10&lt;BB10,BM10,BN10))</f>
        <v/>
      </c>
      <c r="BR10" s="4">
        <f>IF(BB10="","",(BP10+BQ10)/2)</f>
        <v/>
      </c>
      <c r="BS10" s="4">
        <f>IF(OR(T10="",P10="",BR10="",T10&lt;=0,BR10&lt;=0),"",(1/Inputs!$B$9)*((T10^2/8)*((2*ACOS(1-2*BR10/T10))-SIN((2*ACOS(1-2*BR10/T10)))))*((((T10^2/8)*((2*ACOS(1-2*BR10/T10))-SIN((2*ACOS(1-2*BR10/T10)))))/((T10/2)*((2*ACOS(1-2*BR10/T10)))))^(2/3))*SQRT(P10))</f>
        <v/>
      </c>
      <c r="BT10" s="4">
        <f>IF(BB10="","",IF(BS10&lt;BB10,BR10,BP10))</f>
        <v/>
      </c>
      <c r="BU10" s="4">
        <f>IF(BB10="","",IF(BS10&lt;BB10,BQ10,BR10))</f>
        <v/>
      </c>
      <c r="BV10" s="4">
        <f>IF(BB10="","",(BT10+BU10)/2)</f>
        <v/>
      </c>
      <c r="BW10" s="4">
        <f>IF(OR(T10="",P10="",BV10="",T10&lt;=0,BV10&lt;=0),"",(1/Inputs!$B$9)*((T10^2/8)*((2*ACOS(1-2*BV10/T10))-SIN((2*ACOS(1-2*BV10/T10)))))*((((T10^2/8)*((2*ACOS(1-2*BV10/T10))-SIN((2*ACOS(1-2*BV10/T10)))))/((T10/2)*((2*ACOS(1-2*BV10/T10)))))^(2/3))*SQRT(P10))</f>
        <v/>
      </c>
      <c r="BX10" s="4">
        <f>IF(BB10="","",IF(BW10&lt;BB10,BV10,BT10))</f>
        <v/>
      </c>
      <c r="BY10" s="4">
        <f>IF(BB10="","",IF(BW10&lt;BB10,BU10,BV10))</f>
        <v/>
      </c>
      <c r="BZ10" s="4">
        <f>IF(BB10="","",(BX10+BY10)/2)</f>
        <v/>
      </c>
      <c r="CA10" s="4">
        <f>IF(OR(T10="",P10="",BZ10="",T10&lt;=0,BZ10&lt;=0),"",(1/Inputs!$B$9)*((T10^2/8)*((2*ACOS(1-2*BZ10/T10))-SIN((2*ACOS(1-2*BZ10/T10)))))*((((T10^2/8)*((2*ACOS(1-2*BZ10/T10))-SIN((2*ACOS(1-2*BZ10/T10)))))/((T10/2)*((2*ACOS(1-2*BZ10/T10)))))^(2/3))*SQRT(P10))</f>
        <v/>
      </c>
      <c r="CB10" s="4">
        <f>IF(BB10="","",IF(CA10&lt;BB10,BZ10,BX10))</f>
        <v/>
      </c>
      <c r="CC10" s="4">
        <f>IF(BB10="","",IF(CA10&lt;BB10,BY10,BZ10))</f>
        <v/>
      </c>
      <c r="CD10" s="4">
        <f>IF(BB10="","",(CB10+CC10)/2)</f>
        <v/>
      </c>
      <c r="CE10" s="4">
        <f>IF(OR(T10="",P10="",CD10="",T10&lt;=0,CD10&lt;=0),"",(1/Inputs!$B$9)*((T10^2/8)*((2*ACOS(1-2*CD10/T10))-SIN((2*ACOS(1-2*CD10/T10)))))*((((T10^2/8)*((2*ACOS(1-2*CD10/T10))-SIN((2*ACOS(1-2*CD10/T10)))))/((T10/2)*((2*ACOS(1-2*CD10/T10)))))^(2/3))*SQRT(P10))</f>
        <v/>
      </c>
      <c r="CF10" s="4">
        <f>IF(BB10="","",IF(CE10&lt;BB10,CD10,CB10))</f>
        <v/>
      </c>
      <c r="CG10" s="4">
        <f>IF(BB10="","",IF(CE10&lt;BB10,CC10,CD10))</f>
        <v/>
      </c>
      <c r="CH10" s="4">
        <f>IF(BB10="","",(CF10+CG10)/2)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SUMIFS(CB_plan!$G:$G,CB_plan!$F:$F,$A11)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IF(A11="","",IF(H11="","",2.78E-7*IF(I11&lt;&gt;"",I11,IFERROR(SUMIFS(CB_plan!$H:$H,CB_plan!$F:$F,$A11)/SUMIFS(CB_plan!$G:$G,CB_plan!$F:$F,$A11),Inputs!$B$17))*H11*K11))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/>
      </c>
      <c r="AZ11" s="7">
        <f>IF(BB11="","",CH11)</f>
        <v/>
      </c>
      <c r="BA11" s="7">
        <f>IF(OR(BB11="",AZ11="",T11="",T11&lt;=0,AZ11&lt;=0),"",BB11/((T11^2/8)*(2*ACOS(1-2*AZ11/T11)-SIN(2*ACOS(1-2*AZ11/T11)))))</f>
        <v/>
      </c>
      <c r="BB11" s="4">
        <f>IF(OR(N11="",BC11=""),"",MIN(N11,BC11))</f>
        <v/>
      </c>
      <c r="BC11" s="4">
        <f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/>
      </c>
      <c r="BD11" s="4">
        <f>IF(BB11="","",0.001*T11)</f>
        <v/>
      </c>
      <c r="BE11" s="4">
        <f>IF(BB11="","",0.94*T11)</f>
        <v/>
      </c>
      <c r="BF11" s="4">
        <f>IF(BB11="","",(BD11+BE11)/2)</f>
        <v/>
      </c>
      <c r="BG11" s="4">
        <f>IF(OR(T11="",P11="",BF11="",T11&lt;=0,BF11&lt;=0),"",(1/Inputs!$B$9)*((T11^2/8)*((2*ACOS(1-2*BF11/T11))-SIN((2*ACOS(1-2*BF11/T11)))))*((((T11^2/8)*((2*ACOS(1-2*BF11/T11))-SIN((2*ACOS(1-2*BF11/T11)))))/((T11/2)*((2*ACOS(1-2*BF11/T11)))))^(2/3))*SQRT(P11))</f>
        <v/>
      </c>
      <c r="BH11" s="4">
        <f>IF(BB11="","",IF(BG11&lt;BB11,BF11,BD11))</f>
        <v/>
      </c>
      <c r="BI11" s="4">
        <f>IF(BB11="","",IF(BG11&lt;BB11,BE11,BF11))</f>
        <v/>
      </c>
      <c r="BJ11" s="4">
        <f>IF(BB11="","",(BH11+BI11)/2)</f>
        <v/>
      </c>
      <c r="BK11" s="4">
        <f>IF(OR(T11="",P11="",BJ11="",T11&lt;=0,BJ11&lt;=0),"",(1/Inputs!$B$9)*((T11^2/8)*((2*ACOS(1-2*BJ11/T11))-SIN((2*ACOS(1-2*BJ11/T11)))))*((((T11^2/8)*((2*ACOS(1-2*BJ11/T11))-SIN((2*ACOS(1-2*BJ11/T11)))))/((T11/2)*((2*ACOS(1-2*BJ11/T11)))))^(2/3))*SQRT(P11))</f>
        <v/>
      </c>
      <c r="BL11" s="4">
        <f>IF(BB11="","",IF(BK11&lt;BB11,BJ11,BH11))</f>
        <v/>
      </c>
      <c r="BM11" s="4">
        <f>IF(BB11="","",IF(BK11&lt;BB11,BI11,BJ11))</f>
        <v/>
      </c>
      <c r="BN11" s="4">
        <f>IF(BB11="","",(BL11+BM11)/2)</f>
        <v/>
      </c>
      <c r="BO11" s="4">
        <f>IF(OR(T11="",P11="",BN11="",T11&lt;=0,BN11&lt;=0),"",(1/Inputs!$B$9)*((T11^2/8)*((2*ACOS(1-2*BN11/T11))-SIN((2*ACOS(1-2*BN11/T11)))))*((((T11^2/8)*((2*ACOS(1-2*BN11/T11))-SIN((2*ACOS(1-2*BN11/T11)))))/((T11/2)*((2*ACOS(1-2*BN11/T11)))))^(2/3))*SQRT(P11))</f>
        <v/>
      </c>
      <c r="BP11" s="4">
        <f>IF(BB11="","",IF(BO11&lt;BB11,BN11,BL11))</f>
        <v/>
      </c>
      <c r="BQ11" s="4">
        <f>IF(BB11="","",IF(BO11&lt;BB11,BM11,BN11))</f>
        <v/>
      </c>
      <c r="BR11" s="4">
        <f>IF(BB11="","",(BP11+BQ11)/2)</f>
        <v/>
      </c>
      <c r="BS11" s="4">
        <f>IF(OR(T11="",P11="",BR11="",T11&lt;=0,BR11&lt;=0),"",(1/Inputs!$B$9)*((T11^2/8)*((2*ACOS(1-2*BR11/T11))-SIN((2*ACOS(1-2*BR11/T11)))))*((((T11^2/8)*((2*ACOS(1-2*BR11/T11))-SIN((2*ACOS(1-2*BR11/T11)))))/((T11/2)*((2*ACOS(1-2*BR11/T11)))))^(2/3))*SQRT(P11))</f>
        <v/>
      </c>
      <c r="BT11" s="4">
        <f>IF(BB11="","",IF(BS11&lt;BB11,BR11,BP11))</f>
        <v/>
      </c>
      <c r="BU11" s="4">
        <f>IF(BB11="","",IF(BS11&lt;BB11,BQ11,BR11))</f>
        <v/>
      </c>
      <c r="BV11" s="4">
        <f>IF(BB11="","",(BT11+BU11)/2)</f>
        <v/>
      </c>
      <c r="BW11" s="4">
        <f>IF(OR(T11="",P11="",BV11="",T11&lt;=0,BV11&lt;=0),"",(1/Inputs!$B$9)*((T11^2/8)*((2*ACOS(1-2*BV11/T11))-SIN((2*ACOS(1-2*BV11/T11)))))*((((T11^2/8)*((2*ACOS(1-2*BV11/T11))-SIN((2*ACOS(1-2*BV11/T11)))))/((T11/2)*((2*ACOS(1-2*BV11/T11)))))^(2/3))*SQRT(P11))</f>
        <v/>
      </c>
      <c r="BX11" s="4">
        <f>IF(BB11="","",IF(BW11&lt;BB11,BV11,BT11))</f>
        <v/>
      </c>
      <c r="BY11" s="4">
        <f>IF(BB11="","",IF(BW11&lt;BB11,BU11,BV11))</f>
        <v/>
      </c>
      <c r="BZ11" s="4">
        <f>IF(BB11="","",(BX11+BY11)/2)</f>
        <v/>
      </c>
      <c r="CA11" s="4">
        <f>IF(OR(T11="",P11="",BZ11="",T11&lt;=0,BZ11&lt;=0),"",(1/Inputs!$B$9)*((T11^2/8)*((2*ACOS(1-2*BZ11/T11))-SIN((2*ACOS(1-2*BZ11/T11)))))*((((T11^2/8)*((2*ACOS(1-2*BZ11/T11))-SIN((2*ACOS(1-2*BZ11/T11)))))/((T11/2)*((2*ACOS(1-2*BZ11/T11)))))^(2/3))*SQRT(P11))</f>
        <v/>
      </c>
      <c r="CB11" s="4">
        <f>IF(BB11="","",IF(CA11&lt;BB11,BZ11,BX11))</f>
        <v/>
      </c>
      <c r="CC11" s="4">
        <f>IF(BB11="","",IF(CA11&lt;BB11,BY11,BZ11))</f>
        <v/>
      </c>
      <c r="CD11" s="4">
        <f>IF(BB11="","",(CB11+CC11)/2)</f>
        <v/>
      </c>
      <c r="CE11" s="4">
        <f>IF(OR(T11="",P11="",CD11="",T11&lt;=0,CD11&lt;=0),"",(1/Inputs!$B$9)*((T11^2/8)*((2*ACOS(1-2*CD11/T11))-SIN((2*ACOS(1-2*CD11/T11)))))*((((T11^2/8)*((2*ACOS(1-2*CD11/T11))-SIN((2*ACOS(1-2*CD11/T11)))))/((T11/2)*((2*ACOS(1-2*CD11/T11)))))^(2/3))*SQRT(P11))</f>
        <v/>
      </c>
      <c r="CF11" s="4">
        <f>IF(BB11="","",IF(CE11&lt;BB11,CD11,CB11))</f>
        <v/>
      </c>
      <c r="CG11" s="4">
        <f>IF(BB11="","",IF(CE11&lt;BB11,CC11,CD11))</f>
        <v/>
      </c>
      <c r="CH11" s="4">
        <f>IF(BB11="","",(CF11+CG11)/2)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SUMIFS(CB_plan!$G:$G,CB_plan!$F:$F,$A12)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IF(A12="","",IF(H12="","",2.78E-7*IF(I12&lt;&gt;"",I12,IFERROR(SUMIFS(CB_plan!$H:$H,CB_plan!$F:$F,$A12)/SUMIFS(CB_plan!$G:$G,CB_plan!$F:$F,$A12),Inputs!$B$17))*H12*K12))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/>
      </c>
      <c r="AZ12" s="7">
        <f>IF(BB12="","",CH12)</f>
        <v/>
      </c>
      <c r="BA12" s="7">
        <f>IF(OR(BB12="",AZ12="",T12="",T12&lt;=0,AZ12&lt;=0),"",BB12/((T12^2/8)*(2*ACOS(1-2*AZ12/T12)-SIN(2*ACOS(1-2*AZ12/T12)))))</f>
        <v/>
      </c>
      <c r="BB12" s="4">
        <f>IF(OR(N12="",BC12=""),"",MIN(N12,BC12))</f>
        <v/>
      </c>
      <c r="BC12" s="4">
        <f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/>
      </c>
      <c r="BD12" s="4">
        <f>IF(BB12="","",0.001*T12)</f>
        <v/>
      </c>
      <c r="BE12" s="4">
        <f>IF(BB12="","",0.94*T12)</f>
        <v/>
      </c>
      <c r="BF12" s="4">
        <f>IF(BB12="","",(BD12+BE12)/2)</f>
        <v/>
      </c>
      <c r="BG12" s="4">
        <f>IF(OR(T12="",P12="",BF12="",T12&lt;=0,BF12&lt;=0),"",(1/Inputs!$B$9)*((T12^2/8)*((2*ACOS(1-2*BF12/T12))-SIN((2*ACOS(1-2*BF12/T12)))))*((((T12^2/8)*((2*ACOS(1-2*BF12/T12))-SIN((2*ACOS(1-2*BF12/T12)))))/((T12/2)*((2*ACOS(1-2*BF12/T12)))))^(2/3))*SQRT(P12))</f>
        <v/>
      </c>
      <c r="BH12" s="4">
        <f>IF(BB12="","",IF(BG12&lt;BB12,BF12,BD12))</f>
        <v/>
      </c>
      <c r="BI12" s="4">
        <f>IF(BB12="","",IF(BG12&lt;BB12,BE12,BF12))</f>
        <v/>
      </c>
      <c r="BJ12" s="4">
        <f>IF(BB12="","",(BH12+BI12)/2)</f>
        <v/>
      </c>
      <c r="BK12" s="4">
        <f>IF(OR(T12="",P12="",BJ12="",T12&lt;=0,BJ12&lt;=0),"",(1/Inputs!$B$9)*((T12^2/8)*((2*ACOS(1-2*BJ12/T12))-SIN((2*ACOS(1-2*BJ12/T12)))))*((((T12^2/8)*((2*ACOS(1-2*BJ12/T12))-SIN((2*ACOS(1-2*BJ12/T12)))))/((T12/2)*((2*ACOS(1-2*BJ12/T12)))))^(2/3))*SQRT(P12))</f>
        <v/>
      </c>
      <c r="BL12" s="4">
        <f>IF(BB12="","",IF(BK12&lt;BB12,BJ12,BH12))</f>
        <v/>
      </c>
      <c r="BM12" s="4">
        <f>IF(BB12="","",IF(BK12&lt;BB12,BI12,BJ12))</f>
        <v/>
      </c>
      <c r="BN12" s="4">
        <f>IF(BB12="","",(BL12+BM12)/2)</f>
        <v/>
      </c>
      <c r="BO12" s="4">
        <f>IF(OR(T12="",P12="",BN12="",T12&lt;=0,BN12&lt;=0),"",(1/Inputs!$B$9)*((T12^2/8)*((2*ACOS(1-2*BN12/T12))-SIN((2*ACOS(1-2*BN12/T12)))))*((((T12^2/8)*((2*ACOS(1-2*BN12/T12))-SIN((2*ACOS(1-2*BN12/T12)))))/((T12/2)*((2*ACOS(1-2*BN12/T12)))))^(2/3))*SQRT(P12))</f>
        <v/>
      </c>
      <c r="BP12" s="4">
        <f>IF(BB12="","",IF(BO12&lt;BB12,BN12,BL12))</f>
        <v/>
      </c>
      <c r="BQ12" s="4">
        <f>IF(BB12="","",IF(BO12&lt;BB12,BM12,BN12))</f>
        <v/>
      </c>
      <c r="BR12" s="4">
        <f>IF(BB12="","",(BP12+BQ12)/2)</f>
        <v/>
      </c>
      <c r="BS12" s="4">
        <f>IF(OR(T12="",P12="",BR12="",T12&lt;=0,BR12&lt;=0),"",(1/Inputs!$B$9)*((T12^2/8)*((2*ACOS(1-2*BR12/T12))-SIN((2*ACOS(1-2*BR12/T12)))))*((((T12^2/8)*((2*ACOS(1-2*BR12/T12))-SIN((2*ACOS(1-2*BR12/T12)))))/((T12/2)*((2*ACOS(1-2*BR12/T12)))))^(2/3))*SQRT(P12))</f>
        <v/>
      </c>
      <c r="BT12" s="4">
        <f>IF(BB12="","",IF(BS12&lt;BB12,BR12,BP12))</f>
        <v/>
      </c>
      <c r="BU12" s="4">
        <f>IF(BB12="","",IF(BS12&lt;BB12,BQ12,BR12))</f>
        <v/>
      </c>
      <c r="BV12" s="4">
        <f>IF(BB12="","",(BT12+BU12)/2)</f>
        <v/>
      </c>
      <c r="BW12" s="4">
        <f>IF(OR(T12="",P12="",BV12="",T12&lt;=0,BV12&lt;=0),"",(1/Inputs!$B$9)*((T12^2/8)*((2*ACOS(1-2*BV12/T12))-SIN((2*ACOS(1-2*BV12/T12)))))*((((T12^2/8)*((2*ACOS(1-2*BV12/T12))-SIN((2*ACOS(1-2*BV12/T12)))))/((T12/2)*((2*ACOS(1-2*BV12/T12)))))^(2/3))*SQRT(P12))</f>
        <v/>
      </c>
      <c r="BX12" s="4">
        <f>IF(BB12="","",IF(BW12&lt;BB12,BV12,BT12))</f>
        <v/>
      </c>
      <c r="BY12" s="4">
        <f>IF(BB12="","",IF(BW12&lt;BB12,BU12,BV12))</f>
        <v/>
      </c>
      <c r="BZ12" s="4">
        <f>IF(BB12="","",(BX12+BY12)/2)</f>
        <v/>
      </c>
      <c r="CA12" s="4">
        <f>IF(OR(T12="",P12="",BZ12="",T12&lt;=0,BZ12&lt;=0),"",(1/Inputs!$B$9)*((T12^2/8)*((2*ACOS(1-2*BZ12/T12))-SIN((2*ACOS(1-2*BZ12/T12)))))*((((T12^2/8)*((2*ACOS(1-2*BZ12/T12))-SIN((2*ACOS(1-2*BZ12/T12)))))/((T12/2)*((2*ACOS(1-2*BZ12/T12)))))^(2/3))*SQRT(P12))</f>
        <v/>
      </c>
      <c r="CB12" s="4">
        <f>IF(BB12="","",IF(CA12&lt;BB12,BZ12,BX12))</f>
        <v/>
      </c>
      <c r="CC12" s="4">
        <f>IF(BB12="","",IF(CA12&lt;BB12,BY12,BZ12))</f>
        <v/>
      </c>
      <c r="CD12" s="4">
        <f>IF(BB12="","",(CB12+CC12)/2)</f>
        <v/>
      </c>
      <c r="CE12" s="4">
        <f>IF(OR(T12="",P12="",CD12="",T12&lt;=0,CD12&lt;=0),"",(1/Inputs!$B$9)*((T12^2/8)*((2*ACOS(1-2*CD12/T12))-SIN((2*ACOS(1-2*CD12/T12)))))*((((T12^2/8)*((2*ACOS(1-2*CD12/T12))-SIN((2*ACOS(1-2*CD12/T12)))))/((T12/2)*((2*ACOS(1-2*CD12/T12)))))^(2/3))*SQRT(P12))</f>
        <v/>
      </c>
      <c r="CF12" s="4">
        <f>IF(BB12="","",IF(CE12&lt;BB12,CD12,CB12))</f>
        <v/>
      </c>
      <c r="CG12" s="4">
        <f>IF(BB12="","",IF(CE12&lt;BB12,CC12,CD12))</f>
        <v/>
      </c>
      <c r="CH12" s="4">
        <f>IF(BB12="","",(CF12+CG12)/2)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SUMIFS(CB_plan!$G:$G,CB_plan!$F:$F,$A13)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IF(A13="","",IF(H13="","",2.78E-7*IF(I13&lt;&gt;"",I13,IFERROR(SUMIFS(CB_plan!$H:$H,CB_plan!$F:$F,$A13)/SUMIFS(CB_plan!$G:$G,CB_plan!$F:$F,$A13),Inputs!$B$17))*H13*K13))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/>
      </c>
      <c r="AZ13" s="7">
        <f>IF(BB13="","",CH13)</f>
        <v/>
      </c>
      <c r="BA13" s="7">
        <f>IF(OR(BB13="",AZ13="",T13="",T13&lt;=0,AZ13&lt;=0),"",BB13/((T13^2/8)*(2*ACOS(1-2*AZ13/T13)-SIN(2*ACOS(1-2*AZ13/T13)))))</f>
        <v/>
      </c>
      <c r="BB13" s="4">
        <f>IF(OR(N13="",BC13=""),"",MIN(N13,BC13))</f>
        <v/>
      </c>
      <c r="BC13" s="4">
        <f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/>
      </c>
      <c r="BD13" s="4">
        <f>IF(BB13="","",0.001*T13)</f>
        <v/>
      </c>
      <c r="BE13" s="4">
        <f>IF(BB13="","",0.94*T13)</f>
        <v/>
      </c>
      <c r="BF13" s="4">
        <f>IF(BB13="","",(BD13+BE13)/2)</f>
        <v/>
      </c>
      <c r="BG13" s="4">
        <f>IF(OR(T13="",P13="",BF13="",T13&lt;=0,BF13&lt;=0),"",(1/Inputs!$B$9)*((T13^2/8)*((2*ACOS(1-2*BF13/T13))-SIN((2*ACOS(1-2*BF13/T13)))))*((((T13^2/8)*((2*ACOS(1-2*BF13/T13))-SIN((2*ACOS(1-2*BF13/T13)))))/((T13/2)*((2*ACOS(1-2*BF13/T13)))))^(2/3))*SQRT(P13))</f>
        <v/>
      </c>
      <c r="BH13" s="4">
        <f>IF(BB13="","",IF(BG13&lt;BB13,BF13,BD13))</f>
        <v/>
      </c>
      <c r="BI13" s="4">
        <f>IF(BB13="","",IF(BG13&lt;BB13,BE13,BF13))</f>
        <v/>
      </c>
      <c r="BJ13" s="4">
        <f>IF(BB13="","",(BH13+BI13)/2)</f>
        <v/>
      </c>
      <c r="BK13" s="4">
        <f>IF(OR(T13="",P13="",BJ13="",T13&lt;=0,BJ13&lt;=0),"",(1/Inputs!$B$9)*((T13^2/8)*((2*ACOS(1-2*BJ13/T13))-SIN((2*ACOS(1-2*BJ13/T13)))))*((((T13^2/8)*((2*ACOS(1-2*BJ13/T13))-SIN((2*ACOS(1-2*BJ13/T13)))))/((T13/2)*((2*ACOS(1-2*BJ13/T13)))))^(2/3))*SQRT(P13))</f>
        <v/>
      </c>
      <c r="BL13" s="4">
        <f>IF(BB13="","",IF(BK13&lt;BB13,BJ13,BH13))</f>
        <v/>
      </c>
      <c r="BM13" s="4">
        <f>IF(BB13="","",IF(BK13&lt;BB13,BI13,BJ13))</f>
        <v/>
      </c>
      <c r="BN13" s="4">
        <f>IF(BB13="","",(BL13+BM13)/2)</f>
        <v/>
      </c>
      <c r="BO13" s="4">
        <f>IF(OR(T13="",P13="",BN13="",T13&lt;=0,BN13&lt;=0),"",(1/Inputs!$B$9)*((T13^2/8)*((2*ACOS(1-2*BN13/T13))-SIN((2*ACOS(1-2*BN13/T13)))))*((((T13^2/8)*((2*ACOS(1-2*BN13/T13))-SIN((2*ACOS(1-2*BN13/T13)))))/((T13/2)*((2*ACOS(1-2*BN13/T13)))))^(2/3))*SQRT(P13))</f>
        <v/>
      </c>
      <c r="BP13" s="4">
        <f>IF(BB13="","",IF(BO13&lt;BB13,BN13,BL13))</f>
        <v/>
      </c>
      <c r="BQ13" s="4">
        <f>IF(BB13="","",IF(BO13&lt;BB13,BM13,BN13))</f>
        <v/>
      </c>
      <c r="BR13" s="4">
        <f>IF(BB13="","",(BP13+BQ13)/2)</f>
        <v/>
      </c>
      <c r="BS13" s="4">
        <f>IF(OR(T13="",P13="",BR13="",T13&lt;=0,BR13&lt;=0),"",(1/Inputs!$B$9)*((T13^2/8)*((2*ACOS(1-2*BR13/T13))-SIN((2*ACOS(1-2*BR13/T13)))))*((((T13^2/8)*((2*ACOS(1-2*BR13/T13))-SIN((2*ACOS(1-2*BR13/T13)))))/((T13/2)*((2*ACOS(1-2*BR13/T13)))))^(2/3))*SQRT(P13))</f>
        <v/>
      </c>
      <c r="BT13" s="4">
        <f>IF(BB13="","",IF(BS13&lt;BB13,BR13,BP13))</f>
        <v/>
      </c>
      <c r="BU13" s="4">
        <f>IF(BB13="","",IF(BS13&lt;BB13,BQ13,BR13))</f>
        <v/>
      </c>
      <c r="BV13" s="4">
        <f>IF(BB13="","",(BT13+BU13)/2)</f>
        <v/>
      </c>
      <c r="BW13" s="4">
        <f>IF(OR(T13="",P13="",BV13="",T13&lt;=0,BV13&lt;=0),"",(1/Inputs!$B$9)*((T13^2/8)*((2*ACOS(1-2*BV13/T13))-SIN((2*ACOS(1-2*BV13/T13)))))*((((T13^2/8)*((2*ACOS(1-2*BV13/T13))-SIN((2*ACOS(1-2*BV13/T13)))))/((T13/2)*((2*ACOS(1-2*BV13/T13)))))^(2/3))*SQRT(P13))</f>
        <v/>
      </c>
      <c r="BX13" s="4">
        <f>IF(BB13="","",IF(BW13&lt;BB13,BV13,BT13))</f>
        <v/>
      </c>
      <c r="BY13" s="4">
        <f>IF(BB13="","",IF(BW13&lt;BB13,BU13,BV13))</f>
        <v/>
      </c>
      <c r="BZ13" s="4">
        <f>IF(BB13="","",(BX13+BY13)/2)</f>
        <v/>
      </c>
      <c r="CA13" s="4">
        <f>IF(OR(T13="",P13="",BZ13="",T13&lt;=0,BZ13&lt;=0),"",(1/Inputs!$B$9)*((T13^2/8)*((2*ACOS(1-2*BZ13/T13))-SIN((2*ACOS(1-2*BZ13/T13)))))*((((T13^2/8)*((2*ACOS(1-2*BZ13/T13))-SIN((2*ACOS(1-2*BZ13/T13)))))/((T13/2)*((2*ACOS(1-2*BZ13/T13)))))^(2/3))*SQRT(P13))</f>
        <v/>
      </c>
      <c r="CB13" s="4">
        <f>IF(BB13="","",IF(CA13&lt;BB13,BZ13,BX13))</f>
        <v/>
      </c>
      <c r="CC13" s="4">
        <f>IF(BB13="","",IF(CA13&lt;BB13,BY13,BZ13))</f>
        <v/>
      </c>
      <c r="CD13" s="4">
        <f>IF(BB13="","",(CB13+CC13)/2)</f>
        <v/>
      </c>
      <c r="CE13" s="4">
        <f>IF(OR(T13="",P13="",CD13="",T13&lt;=0,CD13&lt;=0),"",(1/Inputs!$B$9)*((T13^2/8)*((2*ACOS(1-2*CD13/T13))-SIN((2*ACOS(1-2*CD13/T13)))))*((((T13^2/8)*((2*ACOS(1-2*CD13/T13))-SIN((2*ACOS(1-2*CD13/T13)))))/((T13/2)*((2*ACOS(1-2*CD13/T13)))))^(2/3))*SQRT(P13))</f>
        <v/>
      </c>
      <c r="CF13" s="4">
        <f>IF(BB13="","",IF(CE13&lt;BB13,CD13,CB13))</f>
        <v/>
      </c>
      <c r="CG13" s="4">
        <f>IF(BB13="","",IF(CE13&lt;BB13,CC13,CD13))</f>
        <v/>
      </c>
      <c r="CH13" s="4">
        <f>IF(BB13="","",(CF13+CG13)/2)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SUMIFS(CB_plan!$G:$G,CB_plan!$F:$F,$A14)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IF(A14="","",IF(H14="","",2.78E-7*IF(I14&lt;&gt;"",I14,IFERROR(SUMIFS(CB_plan!$H:$H,CB_plan!$F:$F,$A14)/SUMIFS(CB_plan!$G:$G,CB_plan!$F:$F,$A14),Inputs!$B$17))*H14*K14))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/>
      </c>
      <c r="AZ14" s="7">
        <f>IF(BB14="","",CH14)</f>
        <v/>
      </c>
      <c r="BA14" s="7">
        <f>IF(OR(BB14="",AZ14="",T14="",T14&lt;=0,AZ14&lt;=0),"",BB14/((T14^2/8)*(2*ACOS(1-2*AZ14/T14)-SIN(2*ACOS(1-2*AZ14/T14)))))</f>
        <v/>
      </c>
      <c r="BB14" s="4">
        <f>IF(OR(N14="",BC14=""),"",MIN(N14,BC14))</f>
        <v/>
      </c>
      <c r="BC14" s="4">
        <f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/>
      </c>
      <c r="BD14" s="4">
        <f>IF(BB14="","",0.001*T14)</f>
        <v/>
      </c>
      <c r="BE14" s="4">
        <f>IF(BB14="","",0.94*T14)</f>
        <v/>
      </c>
      <c r="BF14" s="4">
        <f>IF(BB14="","",(BD14+BE14)/2)</f>
        <v/>
      </c>
      <c r="BG14" s="4">
        <f>IF(OR(T14="",P14="",BF14="",T14&lt;=0,BF14&lt;=0),"",(1/Inputs!$B$9)*((T14^2/8)*((2*ACOS(1-2*BF14/T14))-SIN((2*ACOS(1-2*BF14/T14)))))*((((T14^2/8)*((2*ACOS(1-2*BF14/T14))-SIN((2*ACOS(1-2*BF14/T14)))))/((T14/2)*((2*ACOS(1-2*BF14/T14)))))^(2/3))*SQRT(P14))</f>
        <v/>
      </c>
      <c r="BH14" s="4">
        <f>IF(BB14="","",IF(BG14&lt;BB14,BF14,BD14))</f>
        <v/>
      </c>
      <c r="BI14" s="4">
        <f>IF(BB14="","",IF(BG14&lt;BB14,BE14,BF14))</f>
        <v/>
      </c>
      <c r="BJ14" s="4">
        <f>IF(BB14="","",(BH14+BI14)/2)</f>
        <v/>
      </c>
      <c r="BK14" s="4">
        <f>IF(OR(T14="",P14="",BJ14="",T14&lt;=0,BJ14&lt;=0),"",(1/Inputs!$B$9)*((T14^2/8)*((2*ACOS(1-2*BJ14/T14))-SIN((2*ACOS(1-2*BJ14/T14)))))*((((T14^2/8)*((2*ACOS(1-2*BJ14/T14))-SIN((2*ACOS(1-2*BJ14/T14)))))/((T14/2)*((2*ACOS(1-2*BJ14/T14)))))^(2/3))*SQRT(P14))</f>
        <v/>
      </c>
      <c r="BL14" s="4">
        <f>IF(BB14="","",IF(BK14&lt;BB14,BJ14,BH14))</f>
        <v/>
      </c>
      <c r="BM14" s="4">
        <f>IF(BB14="","",IF(BK14&lt;BB14,BI14,BJ14))</f>
        <v/>
      </c>
      <c r="BN14" s="4">
        <f>IF(BB14="","",(BL14+BM14)/2)</f>
        <v/>
      </c>
      <c r="BO14" s="4">
        <f>IF(OR(T14="",P14="",BN14="",T14&lt;=0,BN14&lt;=0),"",(1/Inputs!$B$9)*((T14^2/8)*((2*ACOS(1-2*BN14/T14))-SIN((2*ACOS(1-2*BN14/T14)))))*((((T14^2/8)*((2*ACOS(1-2*BN14/T14))-SIN((2*ACOS(1-2*BN14/T14)))))/((T14/2)*((2*ACOS(1-2*BN14/T14)))))^(2/3))*SQRT(P14))</f>
        <v/>
      </c>
      <c r="BP14" s="4">
        <f>IF(BB14="","",IF(BO14&lt;BB14,BN14,BL14))</f>
        <v/>
      </c>
      <c r="BQ14" s="4">
        <f>IF(BB14="","",IF(BO14&lt;BB14,BM14,BN14))</f>
        <v/>
      </c>
      <c r="BR14" s="4">
        <f>IF(BB14="","",(BP14+BQ14)/2)</f>
        <v/>
      </c>
      <c r="BS14" s="4">
        <f>IF(OR(T14="",P14="",BR14="",T14&lt;=0,BR14&lt;=0),"",(1/Inputs!$B$9)*((T14^2/8)*((2*ACOS(1-2*BR14/T14))-SIN((2*ACOS(1-2*BR14/T14)))))*((((T14^2/8)*((2*ACOS(1-2*BR14/T14))-SIN((2*ACOS(1-2*BR14/T14)))))/((T14/2)*((2*ACOS(1-2*BR14/T14)))))^(2/3))*SQRT(P14))</f>
        <v/>
      </c>
      <c r="BT14" s="4">
        <f>IF(BB14="","",IF(BS14&lt;BB14,BR14,BP14))</f>
        <v/>
      </c>
      <c r="BU14" s="4">
        <f>IF(BB14="","",IF(BS14&lt;BB14,BQ14,BR14))</f>
        <v/>
      </c>
      <c r="BV14" s="4">
        <f>IF(BB14="","",(BT14+BU14)/2)</f>
        <v/>
      </c>
      <c r="BW14" s="4">
        <f>IF(OR(T14="",P14="",BV14="",T14&lt;=0,BV14&lt;=0),"",(1/Inputs!$B$9)*((T14^2/8)*((2*ACOS(1-2*BV14/T14))-SIN((2*ACOS(1-2*BV14/T14)))))*((((T14^2/8)*((2*ACOS(1-2*BV14/T14))-SIN((2*ACOS(1-2*BV14/T14)))))/((T14/2)*((2*ACOS(1-2*BV14/T14)))))^(2/3))*SQRT(P14))</f>
        <v/>
      </c>
      <c r="BX14" s="4">
        <f>IF(BB14="","",IF(BW14&lt;BB14,BV14,BT14))</f>
        <v/>
      </c>
      <c r="BY14" s="4">
        <f>IF(BB14="","",IF(BW14&lt;BB14,BU14,BV14))</f>
        <v/>
      </c>
      <c r="BZ14" s="4">
        <f>IF(BB14="","",(BX14+BY14)/2)</f>
        <v/>
      </c>
      <c r="CA14" s="4">
        <f>IF(OR(T14="",P14="",BZ14="",T14&lt;=0,BZ14&lt;=0),"",(1/Inputs!$B$9)*((T14^2/8)*((2*ACOS(1-2*BZ14/T14))-SIN((2*ACOS(1-2*BZ14/T14)))))*((((T14^2/8)*((2*ACOS(1-2*BZ14/T14))-SIN((2*ACOS(1-2*BZ14/T14)))))/((T14/2)*((2*ACOS(1-2*BZ14/T14)))))^(2/3))*SQRT(P14))</f>
        <v/>
      </c>
      <c r="CB14" s="4">
        <f>IF(BB14="","",IF(CA14&lt;BB14,BZ14,BX14))</f>
        <v/>
      </c>
      <c r="CC14" s="4">
        <f>IF(BB14="","",IF(CA14&lt;BB14,BY14,BZ14))</f>
        <v/>
      </c>
      <c r="CD14" s="4">
        <f>IF(BB14="","",(CB14+CC14)/2)</f>
        <v/>
      </c>
      <c r="CE14" s="4">
        <f>IF(OR(T14="",P14="",CD14="",T14&lt;=0,CD14&lt;=0),"",(1/Inputs!$B$9)*((T14^2/8)*((2*ACOS(1-2*CD14/T14))-SIN((2*ACOS(1-2*CD14/T14)))))*((((T14^2/8)*((2*ACOS(1-2*CD14/T14))-SIN((2*ACOS(1-2*CD14/T14)))))/((T14/2)*((2*ACOS(1-2*CD14/T14)))))^(2/3))*SQRT(P14))</f>
        <v/>
      </c>
      <c r="CF14" s="4">
        <f>IF(BB14="","",IF(CE14&lt;BB14,CD14,CB14))</f>
        <v/>
      </c>
      <c r="CG14" s="4">
        <f>IF(BB14="","",IF(CE14&lt;BB14,CC14,CD14))</f>
        <v/>
      </c>
      <c r="CH14" s="4">
        <f>IF(BB14="","",(CF14+CG14)/2)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SUMIFS(CB_plan!$G:$G,CB_plan!$F:$F,$A15)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IF(A15="","",IF(H15="","",2.78E-7*IF(I15&lt;&gt;"",I15,IFERROR(SUMIFS(CB_plan!$H:$H,CB_plan!$F:$F,$A15)/SUMIFS(CB_plan!$G:$G,CB_plan!$F:$F,$A15),Inputs!$B$17))*H15*K15))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/>
      </c>
      <c r="AZ15" s="7">
        <f>IF(BB15="","",CH15)</f>
        <v/>
      </c>
      <c r="BA15" s="7">
        <f>IF(OR(BB15="",AZ15="",T15="",T15&lt;=0,AZ15&lt;=0),"",BB15/((T15^2/8)*(2*ACOS(1-2*AZ15/T15)-SIN(2*ACOS(1-2*AZ15/T15)))))</f>
        <v/>
      </c>
      <c r="BB15" s="4">
        <f>IF(OR(N15="",BC15=""),"",MIN(N15,BC15))</f>
        <v/>
      </c>
      <c r="BC15" s="4">
        <f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/>
      </c>
      <c r="BD15" s="4">
        <f>IF(BB15="","",0.001*T15)</f>
        <v/>
      </c>
      <c r="BE15" s="4">
        <f>IF(BB15="","",0.94*T15)</f>
        <v/>
      </c>
      <c r="BF15" s="4">
        <f>IF(BB15="","",(BD15+BE15)/2)</f>
        <v/>
      </c>
      <c r="BG15" s="4">
        <f>IF(OR(T15="",P15="",BF15="",T15&lt;=0,BF15&lt;=0),"",(1/Inputs!$B$9)*((T15^2/8)*((2*ACOS(1-2*BF15/T15))-SIN((2*ACOS(1-2*BF15/T15)))))*((((T15^2/8)*((2*ACOS(1-2*BF15/T15))-SIN((2*ACOS(1-2*BF15/T15)))))/((T15/2)*((2*ACOS(1-2*BF15/T15)))))^(2/3))*SQRT(P15))</f>
        <v/>
      </c>
      <c r="BH15" s="4">
        <f>IF(BB15="","",IF(BG15&lt;BB15,BF15,BD15))</f>
        <v/>
      </c>
      <c r="BI15" s="4">
        <f>IF(BB15="","",IF(BG15&lt;BB15,BE15,BF15))</f>
        <v/>
      </c>
      <c r="BJ15" s="4">
        <f>IF(BB15="","",(BH15+BI15)/2)</f>
        <v/>
      </c>
      <c r="BK15" s="4">
        <f>IF(OR(T15="",P15="",BJ15="",T15&lt;=0,BJ15&lt;=0),"",(1/Inputs!$B$9)*((T15^2/8)*((2*ACOS(1-2*BJ15/T15))-SIN((2*ACOS(1-2*BJ15/T15)))))*((((T15^2/8)*((2*ACOS(1-2*BJ15/T15))-SIN((2*ACOS(1-2*BJ15/T15)))))/((T15/2)*((2*ACOS(1-2*BJ15/T15)))))^(2/3))*SQRT(P15))</f>
        <v/>
      </c>
      <c r="BL15" s="4">
        <f>IF(BB15="","",IF(BK15&lt;BB15,BJ15,BH15))</f>
        <v/>
      </c>
      <c r="BM15" s="4">
        <f>IF(BB15="","",IF(BK15&lt;BB15,BI15,BJ15))</f>
        <v/>
      </c>
      <c r="BN15" s="4">
        <f>IF(BB15="","",(BL15+BM15)/2)</f>
        <v/>
      </c>
      <c r="BO15" s="4">
        <f>IF(OR(T15="",P15="",BN15="",T15&lt;=0,BN15&lt;=0),"",(1/Inputs!$B$9)*((T15^2/8)*((2*ACOS(1-2*BN15/T15))-SIN((2*ACOS(1-2*BN15/T15)))))*((((T15^2/8)*((2*ACOS(1-2*BN15/T15))-SIN((2*ACOS(1-2*BN15/T15)))))/((T15/2)*((2*ACOS(1-2*BN15/T15)))))^(2/3))*SQRT(P15))</f>
        <v/>
      </c>
      <c r="BP15" s="4">
        <f>IF(BB15="","",IF(BO15&lt;BB15,BN15,BL15))</f>
        <v/>
      </c>
      <c r="BQ15" s="4">
        <f>IF(BB15="","",IF(BO15&lt;BB15,BM15,BN15))</f>
        <v/>
      </c>
      <c r="BR15" s="4">
        <f>IF(BB15="","",(BP15+BQ15)/2)</f>
        <v/>
      </c>
      <c r="BS15" s="4">
        <f>IF(OR(T15="",P15="",BR15="",T15&lt;=0,BR15&lt;=0),"",(1/Inputs!$B$9)*((T15^2/8)*((2*ACOS(1-2*BR15/T15))-SIN((2*ACOS(1-2*BR15/T15)))))*((((T15^2/8)*((2*ACOS(1-2*BR15/T15))-SIN((2*ACOS(1-2*BR15/T15)))))/((T15/2)*((2*ACOS(1-2*BR15/T15)))))^(2/3))*SQRT(P15))</f>
        <v/>
      </c>
      <c r="BT15" s="4">
        <f>IF(BB15="","",IF(BS15&lt;BB15,BR15,BP15))</f>
        <v/>
      </c>
      <c r="BU15" s="4">
        <f>IF(BB15="","",IF(BS15&lt;BB15,BQ15,BR15))</f>
        <v/>
      </c>
      <c r="BV15" s="4">
        <f>IF(BB15="","",(BT15+BU15)/2)</f>
        <v/>
      </c>
      <c r="BW15" s="4">
        <f>IF(OR(T15="",P15="",BV15="",T15&lt;=0,BV15&lt;=0),"",(1/Inputs!$B$9)*((T15^2/8)*((2*ACOS(1-2*BV15/T15))-SIN((2*ACOS(1-2*BV15/T15)))))*((((T15^2/8)*((2*ACOS(1-2*BV15/T15))-SIN((2*ACOS(1-2*BV15/T15)))))/((T15/2)*((2*ACOS(1-2*BV15/T15)))))^(2/3))*SQRT(P15))</f>
        <v/>
      </c>
      <c r="BX15" s="4">
        <f>IF(BB15="","",IF(BW15&lt;BB15,BV15,BT15))</f>
        <v/>
      </c>
      <c r="BY15" s="4">
        <f>IF(BB15="","",IF(BW15&lt;BB15,BU15,BV15))</f>
        <v/>
      </c>
      <c r="BZ15" s="4">
        <f>IF(BB15="","",(BX15+BY15)/2)</f>
        <v/>
      </c>
      <c r="CA15" s="4">
        <f>IF(OR(T15="",P15="",BZ15="",T15&lt;=0,BZ15&lt;=0),"",(1/Inputs!$B$9)*((T15^2/8)*((2*ACOS(1-2*BZ15/T15))-SIN((2*ACOS(1-2*BZ15/T15)))))*((((T15^2/8)*((2*ACOS(1-2*BZ15/T15))-SIN((2*ACOS(1-2*BZ15/T15)))))/((T15/2)*((2*ACOS(1-2*BZ15/T15)))))^(2/3))*SQRT(P15))</f>
        <v/>
      </c>
      <c r="CB15" s="4">
        <f>IF(BB15="","",IF(CA15&lt;BB15,BZ15,BX15))</f>
        <v/>
      </c>
      <c r="CC15" s="4">
        <f>IF(BB15="","",IF(CA15&lt;BB15,BY15,BZ15))</f>
        <v/>
      </c>
      <c r="CD15" s="4">
        <f>IF(BB15="","",(CB15+CC15)/2)</f>
        <v/>
      </c>
      <c r="CE15" s="4">
        <f>IF(OR(T15="",P15="",CD15="",T15&lt;=0,CD15&lt;=0),"",(1/Inputs!$B$9)*((T15^2/8)*((2*ACOS(1-2*CD15/T15))-SIN((2*ACOS(1-2*CD15/T15)))))*((((T15^2/8)*((2*ACOS(1-2*CD15/T15))-SIN((2*ACOS(1-2*CD15/T15)))))/((T15/2)*((2*ACOS(1-2*CD15/T15)))))^(2/3))*SQRT(P15))</f>
        <v/>
      </c>
      <c r="CF15" s="4">
        <f>IF(BB15="","",IF(CE15&lt;BB15,CD15,CB15))</f>
        <v/>
      </c>
      <c r="CG15" s="4">
        <f>IF(BB15="","",IF(CE15&lt;BB15,CC15,CD15))</f>
        <v/>
      </c>
      <c r="CH15" s="4">
        <f>IF(BB15="","",(CF15+CG15)/2)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SUMIFS(CB_plan!$G:$G,CB_plan!$F:$F,$A16)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IF(A16="","",IF(H16="","",2.78E-7*IF(I16&lt;&gt;"",I16,IFERROR(SUMIFS(CB_plan!$H:$H,CB_plan!$F:$F,$A16)/SUMIFS(CB_plan!$G:$G,CB_plan!$F:$F,$A16),Inputs!$B$17))*H16*K16))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7">
        <f>IF(BB16="","",CH16)</f>
        <v/>
      </c>
      <c r="BA16" s="7">
        <f>IF(OR(BB16="",AZ16="",T16="",T16&lt;=0,AZ16&lt;=0),"",BB16/((T16^2/8)*(2*ACOS(1-2*AZ16/T16)-SIN(2*ACOS(1-2*AZ16/T16)))))</f>
        <v/>
      </c>
      <c r="BB16" s="4">
        <f>IF(OR(N16="",BC16=""),"",MIN(N16,BC16))</f>
        <v/>
      </c>
      <c r="BC16" s="4">
        <f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4">
        <f>IF(BB16="","",0.001*T16)</f>
        <v/>
      </c>
      <c r="BE16" s="4">
        <f>IF(BB16="","",0.94*T16)</f>
        <v/>
      </c>
      <c r="BF16" s="4">
        <f>IF(BB16="","",(BD16+BE16)/2)</f>
        <v/>
      </c>
      <c r="BG16" s="4">
        <f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4">
        <f>IF(BB16="","",IF(BG16&lt;BB16,BF16,BD16))</f>
        <v/>
      </c>
      <c r="BI16" s="4">
        <f>IF(BB16="","",IF(BG16&lt;BB16,BE16,BF16))</f>
        <v/>
      </c>
      <c r="BJ16" s="4">
        <f>IF(BB16="","",(BH16+BI16)/2)</f>
        <v/>
      </c>
      <c r="BK16" s="4">
        <f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4">
        <f>IF(BB16="","",IF(BK16&lt;BB16,BJ16,BH16))</f>
        <v/>
      </c>
      <c r="BM16" s="4">
        <f>IF(BB16="","",IF(BK16&lt;BB16,BI16,BJ16))</f>
        <v/>
      </c>
      <c r="BN16" s="4">
        <f>IF(BB16="","",(BL16+BM16)/2)</f>
        <v/>
      </c>
      <c r="BO16" s="4">
        <f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4">
        <f>IF(BB16="","",IF(BO16&lt;BB16,BN16,BL16))</f>
        <v/>
      </c>
      <c r="BQ16" s="4">
        <f>IF(BB16="","",IF(BO16&lt;BB16,BM16,BN16))</f>
        <v/>
      </c>
      <c r="BR16" s="4">
        <f>IF(BB16="","",(BP16+BQ16)/2)</f>
        <v/>
      </c>
      <c r="BS16" s="4">
        <f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4">
        <f>IF(BB16="","",IF(BS16&lt;BB16,BR16,BP16))</f>
        <v/>
      </c>
      <c r="BU16" s="4">
        <f>IF(BB16="","",IF(BS16&lt;BB16,BQ16,BR16))</f>
        <v/>
      </c>
      <c r="BV16" s="4">
        <f>IF(BB16="","",(BT16+BU16)/2)</f>
        <v/>
      </c>
      <c r="BW16" s="4">
        <f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4">
        <f>IF(BB16="","",IF(BW16&lt;BB16,BV16,BT16))</f>
        <v/>
      </c>
      <c r="BY16" s="4">
        <f>IF(BB16="","",IF(BW16&lt;BB16,BU16,BV16))</f>
        <v/>
      </c>
      <c r="BZ16" s="4">
        <f>IF(BB16="","",(BX16+BY16)/2)</f>
        <v/>
      </c>
      <c r="CA16" s="4">
        <f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4">
        <f>IF(BB16="","",IF(CA16&lt;BB16,BZ16,BX16))</f>
        <v/>
      </c>
      <c r="CC16" s="4">
        <f>IF(BB16="","",IF(CA16&lt;BB16,BY16,BZ16))</f>
        <v/>
      </c>
      <c r="CD16" s="4">
        <f>IF(BB16="","",(CB16+CC16)/2)</f>
        <v/>
      </c>
      <c r="CE16" s="4">
        <f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4">
        <f>IF(BB16="","",IF(CE16&lt;BB16,CD16,CB16))</f>
        <v/>
      </c>
      <c r="CG16" s="4">
        <f>IF(BB16="","",IF(CE16&lt;BB16,CC16,CD16))</f>
        <v/>
      </c>
      <c r="CH16" s="4">
        <f>IF(BB16="","",(CF16+CG16)/2)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SUMIFS(CB_plan!$G:$G,CB_plan!$F:$F,$A17)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IF(A17="","",IF(H17="","",2.78E-7*IF(I17&lt;&gt;"",I17,IFERROR(SUMIFS(CB_plan!$H:$H,CB_plan!$F:$F,$A17)/SUMIFS(CB_plan!$G:$G,CB_plan!$F:$F,$A17),Inputs!$B$17))*H17*K17))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7">
        <f>IF(BB17="","",CH17)</f>
        <v/>
      </c>
      <c r="BA17" s="7">
        <f>IF(OR(BB17="",AZ17="",T17="",T17&lt;=0,AZ17&lt;=0),"",BB17/((T17^2/8)*(2*ACOS(1-2*AZ17/T17)-SIN(2*ACOS(1-2*AZ17/T17)))))</f>
        <v/>
      </c>
      <c r="BB17" s="4">
        <f>IF(OR(N17="",BC17=""),"",MIN(N17,BC17))</f>
        <v/>
      </c>
      <c r="BC17" s="4">
        <f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4">
        <f>IF(BB17="","",0.001*T17)</f>
        <v/>
      </c>
      <c r="BE17" s="4">
        <f>IF(BB17="","",0.94*T17)</f>
        <v/>
      </c>
      <c r="BF17" s="4">
        <f>IF(BB17="","",(BD17+BE17)/2)</f>
        <v/>
      </c>
      <c r="BG17" s="4">
        <f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4">
        <f>IF(BB17="","",IF(BG17&lt;BB17,BF17,BD17))</f>
        <v/>
      </c>
      <c r="BI17" s="4">
        <f>IF(BB17="","",IF(BG17&lt;BB17,BE17,BF17))</f>
        <v/>
      </c>
      <c r="BJ17" s="4">
        <f>IF(BB17="","",(BH17+BI17)/2)</f>
        <v/>
      </c>
      <c r="BK17" s="4">
        <f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4">
        <f>IF(BB17="","",IF(BK17&lt;BB17,BJ17,BH17))</f>
        <v/>
      </c>
      <c r="BM17" s="4">
        <f>IF(BB17="","",IF(BK17&lt;BB17,BI17,BJ17))</f>
        <v/>
      </c>
      <c r="BN17" s="4">
        <f>IF(BB17="","",(BL17+BM17)/2)</f>
        <v/>
      </c>
      <c r="BO17" s="4">
        <f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4">
        <f>IF(BB17="","",IF(BO17&lt;BB17,BN17,BL17))</f>
        <v/>
      </c>
      <c r="BQ17" s="4">
        <f>IF(BB17="","",IF(BO17&lt;BB17,BM17,BN17))</f>
        <v/>
      </c>
      <c r="BR17" s="4">
        <f>IF(BB17="","",(BP17+BQ17)/2)</f>
        <v/>
      </c>
      <c r="BS17" s="4">
        <f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4">
        <f>IF(BB17="","",IF(BS17&lt;BB17,BR17,BP17))</f>
        <v/>
      </c>
      <c r="BU17" s="4">
        <f>IF(BB17="","",IF(BS17&lt;BB17,BQ17,BR17))</f>
        <v/>
      </c>
      <c r="BV17" s="4">
        <f>IF(BB17="","",(BT17+BU17)/2)</f>
        <v/>
      </c>
      <c r="BW17" s="4">
        <f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4">
        <f>IF(BB17="","",IF(BW17&lt;BB17,BV17,BT17))</f>
        <v/>
      </c>
      <c r="BY17" s="4">
        <f>IF(BB17="","",IF(BW17&lt;BB17,BU17,BV17))</f>
        <v/>
      </c>
      <c r="BZ17" s="4">
        <f>IF(BB17="","",(BX17+BY17)/2)</f>
        <v/>
      </c>
      <c r="CA17" s="4">
        <f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4">
        <f>IF(BB17="","",IF(CA17&lt;BB17,BZ17,BX17))</f>
        <v/>
      </c>
      <c r="CC17" s="4">
        <f>IF(BB17="","",IF(CA17&lt;BB17,BY17,BZ17))</f>
        <v/>
      </c>
      <c r="CD17" s="4">
        <f>IF(BB17="","",(CB17+CC17)/2)</f>
        <v/>
      </c>
      <c r="CE17" s="4">
        <f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4">
        <f>IF(BB17="","",IF(CE17&lt;BB17,CD17,CB17))</f>
        <v/>
      </c>
      <c r="CG17" s="4">
        <f>IF(BB17="","",IF(CE17&lt;BB17,CC17,CD17))</f>
        <v/>
      </c>
      <c r="CH17" s="4">
        <f>IF(BB17="","",(CF17+CG17)/2)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SUMIFS(CB_plan!$G:$G,CB_plan!$F:$F,$A18)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IF(A18="","",IF(H18="","",2.78E-7*IF(I18&lt;&gt;"",I18,IFERROR(SUMIFS(CB_plan!$H:$H,CB_plan!$F:$F,$A18)/SUMIFS(CB_plan!$G:$G,CB_plan!$F:$F,$A18),Inputs!$B$17))*H18*K18))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7">
        <f>IF(BB18="","",CH18)</f>
        <v/>
      </c>
      <c r="BA18" s="7">
        <f>IF(OR(BB18="",AZ18="",T18="",T18&lt;=0,AZ18&lt;=0),"",BB18/((T18^2/8)*(2*ACOS(1-2*AZ18/T18)-SIN(2*ACOS(1-2*AZ18/T18)))))</f>
        <v/>
      </c>
      <c r="BB18" s="4">
        <f>IF(OR(N18="",BC18=""),"",MIN(N18,BC18))</f>
        <v/>
      </c>
      <c r="BC18" s="4">
        <f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4">
        <f>IF(BB18="","",0.001*T18)</f>
        <v/>
      </c>
      <c r="BE18" s="4">
        <f>IF(BB18="","",0.94*T18)</f>
        <v/>
      </c>
      <c r="BF18" s="4">
        <f>IF(BB18="","",(BD18+BE18)/2)</f>
        <v/>
      </c>
      <c r="BG18" s="4">
        <f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4">
        <f>IF(BB18="","",IF(BG18&lt;BB18,BF18,BD18))</f>
        <v/>
      </c>
      <c r="BI18" s="4">
        <f>IF(BB18="","",IF(BG18&lt;BB18,BE18,BF18))</f>
        <v/>
      </c>
      <c r="BJ18" s="4">
        <f>IF(BB18="","",(BH18+BI18)/2)</f>
        <v/>
      </c>
      <c r="BK18" s="4">
        <f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4">
        <f>IF(BB18="","",IF(BK18&lt;BB18,BJ18,BH18))</f>
        <v/>
      </c>
      <c r="BM18" s="4">
        <f>IF(BB18="","",IF(BK18&lt;BB18,BI18,BJ18))</f>
        <v/>
      </c>
      <c r="BN18" s="4">
        <f>IF(BB18="","",(BL18+BM18)/2)</f>
        <v/>
      </c>
      <c r="BO18" s="4">
        <f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4">
        <f>IF(BB18="","",IF(BO18&lt;BB18,BN18,BL18))</f>
        <v/>
      </c>
      <c r="BQ18" s="4">
        <f>IF(BB18="","",IF(BO18&lt;BB18,BM18,BN18))</f>
        <v/>
      </c>
      <c r="BR18" s="4">
        <f>IF(BB18="","",(BP18+BQ18)/2)</f>
        <v/>
      </c>
      <c r="BS18" s="4">
        <f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4">
        <f>IF(BB18="","",IF(BS18&lt;BB18,BR18,BP18))</f>
        <v/>
      </c>
      <c r="BU18" s="4">
        <f>IF(BB18="","",IF(BS18&lt;BB18,BQ18,BR18))</f>
        <v/>
      </c>
      <c r="BV18" s="4">
        <f>IF(BB18="","",(BT18+BU18)/2)</f>
        <v/>
      </c>
      <c r="BW18" s="4">
        <f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4">
        <f>IF(BB18="","",IF(BW18&lt;BB18,BV18,BT18))</f>
        <v/>
      </c>
      <c r="BY18" s="4">
        <f>IF(BB18="","",IF(BW18&lt;BB18,BU18,BV18))</f>
        <v/>
      </c>
      <c r="BZ18" s="4">
        <f>IF(BB18="","",(BX18+BY18)/2)</f>
        <v/>
      </c>
      <c r="CA18" s="4">
        <f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4">
        <f>IF(BB18="","",IF(CA18&lt;BB18,BZ18,BX18))</f>
        <v/>
      </c>
      <c r="CC18" s="4">
        <f>IF(BB18="","",IF(CA18&lt;BB18,BY18,BZ18))</f>
        <v/>
      </c>
      <c r="CD18" s="4">
        <f>IF(BB18="","",(CB18+CC18)/2)</f>
        <v/>
      </c>
      <c r="CE18" s="4">
        <f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4">
        <f>IF(BB18="","",IF(CE18&lt;BB18,CD18,CB18))</f>
        <v/>
      </c>
      <c r="CG18" s="4">
        <f>IF(BB18="","",IF(CE18&lt;BB18,CC18,CD18))</f>
        <v/>
      </c>
      <c r="CH18" s="4">
        <f>IF(BB18="","",(CF18+CG18)/2)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SUMIFS(CB_plan!$G:$G,CB_plan!$F:$F,$A19)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IF(A19="","",IF(H19="","",2.78E-7*IF(I19&lt;&gt;"",I19,IFERROR(SUMIFS(CB_plan!$H:$H,CB_plan!$F:$F,$A19)/SUMIFS(CB_plan!$G:$G,CB_plan!$F:$F,$A19),Inputs!$B$17))*H19*K19))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7">
        <f>IF(BB19="","",CH19)</f>
        <v/>
      </c>
      <c r="BA19" s="7">
        <f>IF(OR(BB19="",AZ19="",T19="",T19&lt;=0,AZ19&lt;=0),"",BB19/((T19^2/8)*(2*ACOS(1-2*AZ19/T19)-SIN(2*ACOS(1-2*AZ19/T19)))))</f>
        <v/>
      </c>
      <c r="BB19" s="4">
        <f>IF(OR(N19="",BC19=""),"",MIN(N19,BC19))</f>
        <v/>
      </c>
      <c r="BC19" s="4">
        <f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4">
        <f>IF(BB19="","",0.001*T19)</f>
        <v/>
      </c>
      <c r="BE19" s="4">
        <f>IF(BB19="","",0.94*T19)</f>
        <v/>
      </c>
      <c r="BF19" s="4">
        <f>IF(BB19="","",(BD19+BE19)/2)</f>
        <v/>
      </c>
      <c r="BG19" s="4">
        <f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4">
        <f>IF(BB19="","",IF(BG19&lt;BB19,BF19,BD19))</f>
        <v/>
      </c>
      <c r="BI19" s="4">
        <f>IF(BB19="","",IF(BG19&lt;BB19,BE19,BF19))</f>
        <v/>
      </c>
      <c r="BJ19" s="4">
        <f>IF(BB19="","",(BH19+BI19)/2)</f>
        <v/>
      </c>
      <c r="BK19" s="4">
        <f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4">
        <f>IF(BB19="","",IF(BK19&lt;BB19,BJ19,BH19))</f>
        <v/>
      </c>
      <c r="BM19" s="4">
        <f>IF(BB19="","",IF(BK19&lt;BB19,BI19,BJ19))</f>
        <v/>
      </c>
      <c r="BN19" s="4">
        <f>IF(BB19="","",(BL19+BM19)/2)</f>
        <v/>
      </c>
      <c r="BO19" s="4">
        <f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4">
        <f>IF(BB19="","",IF(BO19&lt;BB19,BN19,BL19))</f>
        <v/>
      </c>
      <c r="BQ19" s="4">
        <f>IF(BB19="","",IF(BO19&lt;BB19,BM19,BN19))</f>
        <v/>
      </c>
      <c r="BR19" s="4">
        <f>IF(BB19="","",(BP19+BQ19)/2)</f>
        <v/>
      </c>
      <c r="BS19" s="4">
        <f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4">
        <f>IF(BB19="","",IF(BS19&lt;BB19,BR19,BP19))</f>
        <v/>
      </c>
      <c r="BU19" s="4">
        <f>IF(BB19="","",IF(BS19&lt;BB19,BQ19,BR19))</f>
        <v/>
      </c>
      <c r="BV19" s="4">
        <f>IF(BB19="","",(BT19+BU19)/2)</f>
        <v/>
      </c>
      <c r="BW19" s="4">
        <f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4">
        <f>IF(BB19="","",IF(BW19&lt;BB19,BV19,BT19))</f>
        <v/>
      </c>
      <c r="BY19" s="4">
        <f>IF(BB19="","",IF(BW19&lt;BB19,BU19,BV19))</f>
        <v/>
      </c>
      <c r="BZ19" s="4">
        <f>IF(BB19="","",(BX19+BY19)/2)</f>
        <v/>
      </c>
      <c r="CA19" s="4">
        <f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4">
        <f>IF(BB19="","",IF(CA19&lt;BB19,BZ19,BX19))</f>
        <v/>
      </c>
      <c r="CC19" s="4">
        <f>IF(BB19="","",IF(CA19&lt;BB19,BY19,BZ19))</f>
        <v/>
      </c>
      <c r="CD19" s="4">
        <f>IF(BB19="","",(CB19+CC19)/2)</f>
        <v/>
      </c>
      <c r="CE19" s="4">
        <f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4">
        <f>IF(BB19="","",IF(CE19&lt;BB19,CD19,CB19))</f>
        <v/>
      </c>
      <c r="CG19" s="4">
        <f>IF(BB19="","",IF(CE19&lt;BB19,CC19,CD19))</f>
        <v/>
      </c>
      <c r="CH19" s="4">
        <f>IF(BB19="","",(CF19+CG19)/2)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SUMIFS(CB_plan!$G:$G,CB_plan!$F:$F,$A20)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IF(A20="","",IF(H20="","",2.78E-7*IF(I20&lt;&gt;"",I20,IFERROR(SUMIFS(CB_plan!$H:$H,CB_plan!$F:$F,$A20)/SUMIFS(CB_plan!$G:$G,CB_plan!$F:$F,$A20),Inputs!$B$17))*H20*K20))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7">
        <f>IF(BB20="","",CH20)</f>
        <v/>
      </c>
      <c r="BA20" s="7">
        <f>IF(OR(BB20="",AZ20="",T20="",T20&lt;=0,AZ20&lt;=0),"",BB20/((T20^2/8)*(2*ACOS(1-2*AZ20/T20)-SIN(2*ACOS(1-2*AZ20/T20)))))</f>
        <v/>
      </c>
      <c r="BB20" s="4">
        <f>IF(OR(N20="",BC20=""),"",MIN(N20,BC20))</f>
        <v/>
      </c>
      <c r="BC20" s="4">
        <f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4">
        <f>IF(BB20="","",0.001*T20)</f>
        <v/>
      </c>
      <c r="BE20" s="4">
        <f>IF(BB20="","",0.94*T20)</f>
        <v/>
      </c>
      <c r="BF20" s="4">
        <f>IF(BB20="","",(BD20+BE20)/2)</f>
        <v/>
      </c>
      <c r="BG20" s="4">
        <f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4">
        <f>IF(BB20="","",IF(BG20&lt;BB20,BF20,BD20))</f>
        <v/>
      </c>
      <c r="BI20" s="4">
        <f>IF(BB20="","",IF(BG20&lt;BB20,BE20,BF20))</f>
        <v/>
      </c>
      <c r="BJ20" s="4">
        <f>IF(BB20="","",(BH20+BI20)/2)</f>
        <v/>
      </c>
      <c r="BK20" s="4">
        <f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4">
        <f>IF(BB20="","",IF(BK20&lt;BB20,BJ20,BH20))</f>
        <v/>
      </c>
      <c r="BM20" s="4">
        <f>IF(BB20="","",IF(BK20&lt;BB20,BI20,BJ20))</f>
        <v/>
      </c>
      <c r="BN20" s="4">
        <f>IF(BB20="","",(BL20+BM20)/2)</f>
        <v/>
      </c>
      <c r="BO20" s="4">
        <f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4">
        <f>IF(BB20="","",IF(BO20&lt;BB20,BN20,BL20))</f>
        <v/>
      </c>
      <c r="BQ20" s="4">
        <f>IF(BB20="","",IF(BO20&lt;BB20,BM20,BN20))</f>
        <v/>
      </c>
      <c r="BR20" s="4">
        <f>IF(BB20="","",(BP20+BQ20)/2)</f>
        <v/>
      </c>
      <c r="BS20" s="4">
        <f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4">
        <f>IF(BB20="","",IF(BS20&lt;BB20,BR20,BP20))</f>
        <v/>
      </c>
      <c r="BU20" s="4">
        <f>IF(BB20="","",IF(BS20&lt;BB20,BQ20,BR20))</f>
        <v/>
      </c>
      <c r="BV20" s="4">
        <f>IF(BB20="","",(BT20+BU20)/2)</f>
        <v/>
      </c>
      <c r="BW20" s="4">
        <f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4">
        <f>IF(BB20="","",IF(BW20&lt;BB20,BV20,BT20))</f>
        <v/>
      </c>
      <c r="BY20" s="4">
        <f>IF(BB20="","",IF(BW20&lt;BB20,BU20,BV20))</f>
        <v/>
      </c>
      <c r="BZ20" s="4">
        <f>IF(BB20="","",(BX20+BY20)/2)</f>
        <v/>
      </c>
      <c r="CA20" s="4">
        <f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4">
        <f>IF(BB20="","",IF(CA20&lt;BB20,BZ20,BX20))</f>
        <v/>
      </c>
      <c r="CC20" s="4">
        <f>IF(BB20="","",IF(CA20&lt;BB20,BY20,BZ20))</f>
        <v/>
      </c>
      <c r="CD20" s="4">
        <f>IF(BB20="","",(CB20+CC20)/2)</f>
        <v/>
      </c>
      <c r="CE20" s="4">
        <f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4">
        <f>IF(BB20="","",IF(CE20&lt;BB20,CD20,CB20))</f>
        <v/>
      </c>
      <c r="CG20" s="4">
        <f>IF(BB20="","",IF(CE20&lt;BB20,CC20,CD20))</f>
        <v/>
      </c>
      <c r="CH20" s="4">
        <f>IF(BB20="","",(CF20+CG20)/2)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SUMIFS(CB_plan!$G:$G,CB_plan!$F:$F,$A21)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IF(A21="","",IF(H21="","",2.78E-7*IF(I21&lt;&gt;"",I21,IFERROR(SUMIFS(CB_plan!$H:$H,CB_plan!$F:$F,$A21)/SUMIFS(CB_plan!$G:$G,CB_plan!$F:$F,$A21),Inputs!$B$17))*H21*K21))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7">
        <f>IF(BB21="","",CH21)</f>
        <v/>
      </c>
      <c r="BA21" s="7">
        <f>IF(OR(BB21="",AZ21="",T21="",T21&lt;=0,AZ21&lt;=0),"",BB21/((T21^2/8)*(2*ACOS(1-2*AZ21/T21)-SIN(2*ACOS(1-2*AZ21/T21)))))</f>
        <v/>
      </c>
      <c r="BB21" s="4">
        <f>IF(OR(N21="",BC21=""),"",MIN(N21,BC21))</f>
        <v/>
      </c>
      <c r="BC21" s="4">
        <f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4">
        <f>IF(BB21="","",0.001*T21)</f>
        <v/>
      </c>
      <c r="BE21" s="4">
        <f>IF(BB21="","",0.94*T21)</f>
        <v/>
      </c>
      <c r="BF21" s="4">
        <f>IF(BB21="","",(BD21+BE21)/2)</f>
        <v/>
      </c>
      <c r="BG21" s="4">
        <f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4">
        <f>IF(BB21="","",IF(BG21&lt;BB21,BF21,BD21))</f>
        <v/>
      </c>
      <c r="BI21" s="4">
        <f>IF(BB21="","",IF(BG21&lt;BB21,BE21,BF21))</f>
        <v/>
      </c>
      <c r="BJ21" s="4">
        <f>IF(BB21="","",(BH21+BI21)/2)</f>
        <v/>
      </c>
      <c r="BK21" s="4">
        <f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4">
        <f>IF(BB21="","",IF(BK21&lt;BB21,BJ21,BH21))</f>
        <v/>
      </c>
      <c r="BM21" s="4">
        <f>IF(BB21="","",IF(BK21&lt;BB21,BI21,BJ21))</f>
        <v/>
      </c>
      <c r="BN21" s="4">
        <f>IF(BB21="","",(BL21+BM21)/2)</f>
        <v/>
      </c>
      <c r="BO21" s="4">
        <f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4">
        <f>IF(BB21="","",IF(BO21&lt;BB21,BN21,BL21))</f>
        <v/>
      </c>
      <c r="BQ21" s="4">
        <f>IF(BB21="","",IF(BO21&lt;BB21,BM21,BN21))</f>
        <v/>
      </c>
      <c r="BR21" s="4">
        <f>IF(BB21="","",(BP21+BQ21)/2)</f>
        <v/>
      </c>
      <c r="BS21" s="4">
        <f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4">
        <f>IF(BB21="","",IF(BS21&lt;BB21,BR21,BP21))</f>
        <v/>
      </c>
      <c r="BU21" s="4">
        <f>IF(BB21="","",IF(BS21&lt;BB21,BQ21,BR21))</f>
        <v/>
      </c>
      <c r="BV21" s="4">
        <f>IF(BB21="","",(BT21+BU21)/2)</f>
        <v/>
      </c>
      <c r="BW21" s="4">
        <f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4">
        <f>IF(BB21="","",IF(BW21&lt;BB21,BV21,BT21))</f>
        <v/>
      </c>
      <c r="BY21" s="4">
        <f>IF(BB21="","",IF(BW21&lt;BB21,BU21,BV21))</f>
        <v/>
      </c>
      <c r="BZ21" s="4">
        <f>IF(BB21="","",(BX21+BY21)/2)</f>
        <v/>
      </c>
      <c r="CA21" s="4">
        <f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4">
        <f>IF(BB21="","",IF(CA21&lt;BB21,BZ21,BX21))</f>
        <v/>
      </c>
      <c r="CC21" s="4">
        <f>IF(BB21="","",IF(CA21&lt;BB21,BY21,BZ21))</f>
        <v/>
      </c>
      <c r="CD21" s="4">
        <f>IF(BB21="","",(CB21+CC21)/2)</f>
        <v/>
      </c>
      <c r="CE21" s="4">
        <f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4">
        <f>IF(BB21="","",IF(CE21&lt;BB21,CD21,CB21))</f>
        <v/>
      </c>
      <c r="CG21" s="4">
        <f>IF(BB21="","",IF(CE21&lt;BB21,CC21,CD21))</f>
        <v/>
      </c>
      <c r="CH21" s="4">
        <f>IF(BB21="","",(CF21+CG21)/2)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SUMIFS(CB_plan!$G:$G,CB_plan!$F:$F,$A22)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IF(A22="","",IF(H22="","",2.78E-7*IF(I22&lt;&gt;"",I22,IFERROR(SUMIFS(CB_plan!$H:$H,CB_plan!$F:$F,$A22)/SUMIFS(CB_plan!$G:$G,CB_plan!$F:$F,$A22),Inputs!$B$17))*H22*K22))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7">
        <f>IF(BB22="","",CH22)</f>
        <v/>
      </c>
      <c r="BA22" s="7">
        <f>IF(OR(BB22="",AZ22="",T22="",T22&lt;=0,AZ22&lt;=0),"",BB22/((T22^2/8)*(2*ACOS(1-2*AZ22/T22)-SIN(2*ACOS(1-2*AZ22/T22)))))</f>
        <v/>
      </c>
      <c r="BB22" s="4">
        <f>IF(OR(N22="",BC22=""),"",MIN(N22,BC22))</f>
        <v/>
      </c>
      <c r="BC22" s="4">
        <f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4">
        <f>IF(BB22="","",0.001*T22)</f>
        <v/>
      </c>
      <c r="BE22" s="4">
        <f>IF(BB22="","",0.94*T22)</f>
        <v/>
      </c>
      <c r="BF22" s="4">
        <f>IF(BB22="","",(BD22+BE22)/2)</f>
        <v/>
      </c>
      <c r="BG22" s="4">
        <f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4">
        <f>IF(BB22="","",IF(BG22&lt;BB22,BF22,BD22))</f>
        <v/>
      </c>
      <c r="BI22" s="4">
        <f>IF(BB22="","",IF(BG22&lt;BB22,BE22,BF22))</f>
        <v/>
      </c>
      <c r="BJ22" s="4">
        <f>IF(BB22="","",(BH22+BI22)/2)</f>
        <v/>
      </c>
      <c r="BK22" s="4">
        <f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4">
        <f>IF(BB22="","",IF(BK22&lt;BB22,BJ22,BH22))</f>
        <v/>
      </c>
      <c r="BM22" s="4">
        <f>IF(BB22="","",IF(BK22&lt;BB22,BI22,BJ22))</f>
        <v/>
      </c>
      <c r="BN22" s="4">
        <f>IF(BB22="","",(BL22+BM22)/2)</f>
        <v/>
      </c>
      <c r="BO22" s="4">
        <f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4">
        <f>IF(BB22="","",IF(BO22&lt;BB22,BN22,BL22))</f>
        <v/>
      </c>
      <c r="BQ22" s="4">
        <f>IF(BB22="","",IF(BO22&lt;BB22,BM22,BN22))</f>
        <v/>
      </c>
      <c r="BR22" s="4">
        <f>IF(BB22="","",(BP22+BQ22)/2)</f>
        <v/>
      </c>
      <c r="BS22" s="4">
        <f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4">
        <f>IF(BB22="","",IF(BS22&lt;BB22,BR22,BP22))</f>
        <v/>
      </c>
      <c r="BU22" s="4">
        <f>IF(BB22="","",IF(BS22&lt;BB22,BQ22,BR22))</f>
        <v/>
      </c>
      <c r="BV22" s="4">
        <f>IF(BB22="","",(BT22+BU22)/2)</f>
        <v/>
      </c>
      <c r="BW22" s="4">
        <f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4">
        <f>IF(BB22="","",IF(BW22&lt;BB22,BV22,BT22))</f>
        <v/>
      </c>
      <c r="BY22" s="4">
        <f>IF(BB22="","",IF(BW22&lt;BB22,BU22,BV22))</f>
        <v/>
      </c>
      <c r="BZ22" s="4">
        <f>IF(BB22="","",(BX22+BY22)/2)</f>
        <v/>
      </c>
      <c r="CA22" s="4">
        <f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4">
        <f>IF(BB22="","",IF(CA22&lt;BB22,BZ22,BX22))</f>
        <v/>
      </c>
      <c r="CC22" s="4">
        <f>IF(BB22="","",IF(CA22&lt;BB22,BY22,BZ22))</f>
        <v/>
      </c>
      <c r="CD22" s="4">
        <f>IF(BB22="","",(CB22+CC22)/2)</f>
        <v/>
      </c>
      <c r="CE22" s="4">
        <f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4">
        <f>IF(BB22="","",IF(CE22&lt;BB22,CD22,CB22))</f>
        <v/>
      </c>
      <c r="CG22" s="4">
        <f>IF(BB22="","",IF(CE22&lt;BB22,CC22,CD22))</f>
        <v/>
      </c>
      <c r="CH22" s="4">
        <f>IF(BB22="","",(CF22+CG22)/2)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SUMIFS(CB_plan!$G:$G,CB_plan!$F:$F,$A23)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IF(A23="","",IF(H23="","",2.78E-7*IF(I23&lt;&gt;"",I23,IFERROR(SUMIFS(CB_plan!$H:$H,CB_plan!$F:$F,$A23)/SUMIFS(CB_plan!$G:$G,CB_plan!$F:$F,$A23),Inputs!$B$17))*H23*K23))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7">
        <f>IF(BB23="","",CH23)</f>
        <v/>
      </c>
      <c r="BA23" s="7">
        <f>IF(OR(BB23="",AZ23="",T23="",T23&lt;=0,AZ23&lt;=0),"",BB23/((T23^2/8)*(2*ACOS(1-2*AZ23/T23)-SIN(2*ACOS(1-2*AZ23/T23)))))</f>
        <v/>
      </c>
      <c r="BB23" s="4">
        <f>IF(OR(N23="",BC23=""),"",MIN(N23,BC23))</f>
        <v/>
      </c>
      <c r="BC23" s="4">
        <f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4">
        <f>IF(BB23="","",0.001*T23)</f>
        <v/>
      </c>
      <c r="BE23" s="4">
        <f>IF(BB23="","",0.94*T23)</f>
        <v/>
      </c>
      <c r="BF23" s="4">
        <f>IF(BB23="","",(BD23+BE23)/2)</f>
        <v/>
      </c>
      <c r="BG23" s="4">
        <f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4">
        <f>IF(BB23="","",IF(BG23&lt;BB23,BF23,BD23))</f>
        <v/>
      </c>
      <c r="BI23" s="4">
        <f>IF(BB23="","",IF(BG23&lt;BB23,BE23,BF23))</f>
        <v/>
      </c>
      <c r="BJ23" s="4">
        <f>IF(BB23="","",(BH23+BI23)/2)</f>
        <v/>
      </c>
      <c r="BK23" s="4">
        <f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4">
        <f>IF(BB23="","",IF(BK23&lt;BB23,BJ23,BH23))</f>
        <v/>
      </c>
      <c r="BM23" s="4">
        <f>IF(BB23="","",IF(BK23&lt;BB23,BI23,BJ23))</f>
        <v/>
      </c>
      <c r="BN23" s="4">
        <f>IF(BB23="","",(BL23+BM23)/2)</f>
        <v/>
      </c>
      <c r="BO23" s="4">
        <f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4">
        <f>IF(BB23="","",IF(BO23&lt;BB23,BN23,BL23))</f>
        <v/>
      </c>
      <c r="BQ23" s="4">
        <f>IF(BB23="","",IF(BO23&lt;BB23,BM23,BN23))</f>
        <v/>
      </c>
      <c r="BR23" s="4">
        <f>IF(BB23="","",(BP23+BQ23)/2)</f>
        <v/>
      </c>
      <c r="BS23" s="4">
        <f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4">
        <f>IF(BB23="","",IF(BS23&lt;BB23,BR23,BP23))</f>
        <v/>
      </c>
      <c r="BU23" s="4">
        <f>IF(BB23="","",IF(BS23&lt;BB23,BQ23,BR23))</f>
        <v/>
      </c>
      <c r="BV23" s="4">
        <f>IF(BB23="","",(BT23+BU23)/2)</f>
        <v/>
      </c>
      <c r="BW23" s="4">
        <f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4">
        <f>IF(BB23="","",IF(BW23&lt;BB23,BV23,BT23))</f>
        <v/>
      </c>
      <c r="BY23" s="4">
        <f>IF(BB23="","",IF(BW23&lt;BB23,BU23,BV23))</f>
        <v/>
      </c>
      <c r="BZ23" s="4">
        <f>IF(BB23="","",(BX23+BY23)/2)</f>
        <v/>
      </c>
      <c r="CA23" s="4">
        <f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4">
        <f>IF(BB23="","",IF(CA23&lt;BB23,BZ23,BX23))</f>
        <v/>
      </c>
      <c r="CC23" s="4">
        <f>IF(BB23="","",IF(CA23&lt;BB23,BY23,BZ23))</f>
        <v/>
      </c>
      <c r="CD23" s="4">
        <f>IF(BB23="","",(CB23+CC23)/2)</f>
        <v/>
      </c>
      <c r="CE23" s="4">
        <f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4">
        <f>IF(BB23="","",IF(CE23&lt;BB23,CD23,CB23))</f>
        <v/>
      </c>
      <c r="CG23" s="4">
        <f>IF(BB23="","",IF(CE23&lt;BB23,CC23,CD23))</f>
        <v/>
      </c>
      <c r="CH23" s="4">
        <f>IF(BB23="","",(CF23+CG23)/2)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SUMIFS(CB_plan!$G:$G,CB_plan!$F:$F,$A24)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IF(A24="","",IF(H24="","",2.78E-7*IF(I24&lt;&gt;"",I24,IFERROR(SUMIFS(CB_plan!$H:$H,CB_plan!$F:$F,$A24)/SUMIFS(CB_plan!$G:$G,CB_plan!$F:$F,$A24),Inputs!$B$17))*H24*K24))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7">
        <f>IF(BB24="","",CH24)</f>
        <v/>
      </c>
      <c r="BA24" s="7">
        <f>IF(OR(BB24="",AZ24="",T24="",T24&lt;=0,AZ24&lt;=0),"",BB24/((T24^2/8)*(2*ACOS(1-2*AZ24/T24)-SIN(2*ACOS(1-2*AZ24/T24)))))</f>
        <v/>
      </c>
      <c r="BB24" s="4">
        <f>IF(OR(N24="",BC24=""),"",MIN(N24,BC24))</f>
        <v/>
      </c>
      <c r="BC24" s="4">
        <f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4">
        <f>IF(BB24="","",0.001*T24)</f>
        <v/>
      </c>
      <c r="BE24" s="4">
        <f>IF(BB24="","",0.94*T24)</f>
        <v/>
      </c>
      <c r="BF24" s="4">
        <f>IF(BB24="","",(BD24+BE24)/2)</f>
        <v/>
      </c>
      <c r="BG24" s="4">
        <f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4">
        <f>IF(BB24="","",IF(BG24&lt;BB24,BF24,BD24))</f>
        <v/>
      </c>
      <c r="BI24" s="4">
        <f>IF(BB24="","",IF(BG24&lt;BB24,BE24,BF24))</f>
        <v/>
      </c>
      <c r="BJ24" s="4">
        <f>IF(BB24="","",(BH24+BI24)/2)</f>
        <v/>
      </c>
      <c r="BK24" s="4">
        <f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4">
        <f>IF(BB24="","",IF(BK24&lt;BB24,BJ24,BH24))</f>
        <v/>
      </c>
      <c r="BM24" s="4">
        <f>IF(BB24="","",IF(BK24&lt;BB24,BI24,BJ24))</f>
        <v/>
      </c>
      <c r="BN24" s="4">
        <f>IF(BB24="","",(BL24+BM24)/2)</f>
        <v/>
      </c>
      <c r="BO24" s="4">
        <f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4">
        <f>IF(BB24="","",IF(BO24&lt;BB24,BN24,BL24))</f>
        <v/>
      </c>
      <c r="BQ24" s="4">
        <f>IF(BB24="","",IF(BO24&lt;BB24,BM24,BN24))</f>
        <v/>
      </c>
      <c r="BR24" s="4">
        <f>IF(BB24="","",(BP24+BQ24)/2)</f>
        <v/>
      </c>
      <c r="BS24" s="4">
        <f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4">
        <f>IF(BB24="","",IF(BS24&lt;BB24,BR24,BP24))</f>
        <v/>
      </c>
      <c r="BU24" s="4">
        <f>IF(BB24="","",IF(BS24&lt;BB24,BQ24,BR24))</f>
        <v/>
      </c>
      <c r="BV24" s="4">
        <f>IF(BB24="","",(BT24+BU24)/2)</f>
        <v/>
      </c>
      <c r="BW24" s="4">
        <f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4">
        <f>IF(BB24="","",IF(BW24&lt;BB24,BV24,BT24))</f>
        <v/>
      </c>
      <c r="BY24" s="4">
        <f>IF(BB24="","",IF(BW24&lt;BB24,BU24,BV24))</f>
        <v/>
      </c>
      <c r="BZ24" s="4">
        <f>IF(BB24="","",(BX24+BY24)/2)</f>
        <v/>
      </c>
      <c r="CA24" s="4">
        <f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4">
        <f>IF(BB24="","",IF(CA24&lt;BB24,BZ24,BX24))</f>
        <v/>
      </c>
      <c r="CC24" s="4">
        <f>IF(BB24="","",IF(CA24&lt;BB24,BY24,BZ24))</f>
        <v/>
      </c>
      <c r="CD24" s="4">
        <f>IF(BB24="","",(CB24+CC24)/2)</f>
        <v/>
      </c>
      <c r="CE24" s="4">
        <f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4">
        <f>IF(BB24="","",IF(CE24&lt;BB24,CD24,CB24))</f>
        <v/>
      </c>
      <c r="CG24" s="4">
        <f>IF(BB24="","",IF(CE24&lt;BB24,CC24,CD24))</f>
        <v/>
      </c>
      <c r="CH24" s="4">
        <f>IF(BB24="","",(CF24+CG24)/2)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SUMIFS(CB_plan!$G:$G,CB_plan!$F:$F,$A25)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IF(A25="","",IF(H25="","",2.78E-7*IF(I25&lt;&gt;"",I25,IFERROR(SUMIFS(CB_plan!$H:$H,CB_plan!$F:$F,$A25)/SUMIFS(CB_plan!$G:$G,CB_plan!$F:$F,$A25),Inputs!$B$17))*H25*K25))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7">
        <f>IF(BB25="","",CH25)</f>
        <v/>
      </c>
      <c r="BA25" s="7">
        <f>IF(OR(BB25="",AZ25="",T25="",T25&lt;=0,AZ25&lt;=0),"",BB25/((T25^2/8)*(2*ACOS(1-2*AZ25/T25)-SIN(2*ACOS(1-2*AZ25/T25)))))</f>
        <v/>
      </c>
      <c r="BB25" s="4">
        <f>IF(OR(N25="",BC25=""),"",MIN(N25,BC25))</f>
        <v/>
      </c>
      <c r="BC25" s="4">
        <f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4">
        <f>IF(BB25="","",0.001*T25)</f>
        <v/>
      </c>
      <c r="BE25" s="4">
        <f>IF(BB25="","",0.94*T25)</f>
        <v/>
      </c>
      <c r="BF25" s="4">
        <f>IF(BB25="","",(BD25+BE25)/2)</f>
        <v/>
      </c>
      <c r="BG25" s="4">
        <f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4">
        <f>IF(BB25="","",IF(BG25&lt;BB25,BF25,BD25))</f>
        <v/>
      </c>
      <c r="BI25" s="4">
        <f>IF(BB25="","",IF(BG25&lt;BB25,BE25,BF25))</f>
        <v/>
      </c>
      <c r="BJ25" s="4">
        <f>IF(BB25="","",(BH25+BI25)/2)</f>
        <v/>
      </c>
      <c r="BK25" s="4">
        <f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4">
        <f>IF(BB25="","",IF(BK25&lt;BB25,BJ25,BH25))</f>
        <v/>
      </c>
      <c r="BM25" s="4">
        <f>IF(BB25="","",IF(BK25&lt;BB25,BI25,BJ25))</f>
        <v/>
      </c>
      <c r="BN25" s="4">
        <f>IF(BB25="","",(BL25+BM25)/2)</f>
        <v/>
      </c>
      <c r="BO25" s="4">
        <f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4">
        <f>IF(BB25="","",IF(BO25&lt;BB25,BN25,BL25))</f>
        <v/>
      </c>
      <c r="BQ25" s="4">
        <f>IF(BB25="","",IF(BO25&lt;BB25,BM25,BN25))</f>
        <v/>
      </c>
      <c r="BR25" s="4">
        <f>IF(BB25="","",(BP25+BQ25)/2)</f>
        <v/>
      </c>
      <c r="BS25" s="4">
        <f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4">
        <f>IF(BB25="","",IF(BS25&lt;BB25,BR25,BP25))</f>
        <v/>
      </c>
      <c r="BU25" s="4">
        <f>IF(BB25="","",IF(BS25&lt;BB25,BQ25,BR25))</f>
        <v/>
      </c>
      <c r="BV25" s="4">
        <f>IF(BB25="","",(BT25+BU25)/2)</f>
        <v/>
      </c>
      <c r="BW25" s="4">
        <f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4">
        <f>IF(BB25="","",IF(BW25&lt;BB25,BV25,BT25))</f>
        <v/>
      </c>
      <c r="BY25" s="4">
        <f>IF(BB25="","",IF(BW25&lt;BB25,BU25,BV25))</f>
        <v/>
      </c>
      <c r="BZ25" s="4">
        <f>IF(BB25="","",(BX25+BY25)/2)</f>
        <v/>
      </c>
      <c r="CA25" s="4">
        <f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4">
        <f>IF(BB25="","",IF(CA25&lt;BB25,BZ25,BX25))</f>
        <v/>
      </c>
      <c r="CC25" s="4">
        <f>IF(BB25="","",IF(CA25&lt;BB25,BY25,BZ25))</f>
        <v/>
      </c>
      <c r="CD25" s="4">
        <f>IF(BB25="","",(CB25+CC25)/2)</f>
        <v/>
      </c>
      <c r="CE25" s="4">
        <f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4">
        <f>IF(BB25="","",IF(CE25&lt;BB25,CD25,CB25))</f>
        <v/>
      </c>
      <c r="CG25" s="4">
        <f>IF(BB25="","",IF(CE25&lt;BB25,CC25,CD25))</f>
        <v/>
      </c>
      <c r="CH25" s="4">
        <f>IF(BB25="","",(CF25+CG25)/2)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SUMIFS(CB_plan!$G:$G,CB_plan!$F:$F,$A26)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IF(A26="","",IF(H26="","",2.78E-7*IF(I26&lt;&gt;"",I26,IFERROR(SUMIFS(CB_plan!$H:$H,CB_plan!$F:$F,$A26)/SUMIFS(CB_plan!$G:$G,CB_plan!$F:$F,$A26),Inputs!$B$17))*H26*K26))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7">
        <f>IF(BB26="","",CH26)</f>
        <v/>
      </c>
      <c r="BA26" s="7">
        <f>IF(OR(BB26="",AZ26="",T26="",T26&lt;=0,AZ26&lt;=0),"",BB26/((T26^2/8)*(2*ACOS(1-2*AZ26/T26)-SIN(2*ACOS(1-2*AZ26/T26)))))</f>
        <v/>
      </c>
      <c r="BB26" s="4">
        <f>IF(OR(N26="",BC26=""),"",MIN(N26,BC26))</f>
        <v/>
      </c>
      <c r="BC26" s="4">
        <f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4">
        <f>IF(BB26="","",0.001*T26)</f>
        <v/>
      </c>
      <c r="BE26" s="4">
        <f>IF(BB26="","",0.94*T26)</f>
        <v/>
      </c>
      <c r="BF26" s="4">
        <f>IF(BB26="","",(BD26+BE26)/2)</f>
        <v/>
      </c>
      <c r="BG26" s="4">
        <f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4">
        <f>IF(BB26="","",IF(BG26&lt;BB26,BF26,BD26))</f>
        <v/>
      </c>
      <c r="BI26" s="4">
        <f>IF(BB26="","",IF(BG26&lt;BB26,BE26,BF26))</f>
        <v/>
      </c>
      <c r="BJ26" s="4">
        <f>IF(BB26="","",(BH26+BI26)/2)</f>
        <v/>
      </c>
      <c r="BK26" s="4">
        <f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4">
        <f>IF(BB26="","",IF(BK26&lt;BB26,BJ26,BH26))</f>
        <v/>
      </c>
      <c r="BM26" s="4">
        <f>IF(BB26="","",IF(BK26&lt;BB26,BI26,BJ26))</f>
        <v/>
      </c>
      <c r="BN26" s="4">
        <f>IF(BB26="","",(BL26+BM26)/2)</f>
        <v/>
      </c>
      <c r="BO26" s="4">
        <f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4">
        <f>IF(BB26="","",IF(BO26&lt;BB26,BN26,BL26))</f>
        <v/>
      </c>
      <c r="BQ26" s="4">
        <f>IF(BB26="","",IF(BO26&lt;BB26,BM26,BN26))</f>
        <v/>
      </c>
      <c r="BR26" s="4">
        <f>IF(BB26="","",(BP26+BQ26)/2)</f>
        <v/>
      </c>
      <c r="BS26" s="4">
        <f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4">
        <f>IF(BB26="","",IF(BS26&lt;BB26,BR26,BP26))</f>
        <v/>
      </c>
      <c r="BU26" s="4">
        <f>IF(BB26="","",IF(BS26&lt;BB26,BQ26,BR26))</f>
        <v/>
      </c>
      <c r="BV26" s="4">
        <f>IF(BB26="","",(BT26+BU26)/2)</f>
        <v/>
      </c>
      <c r="BW26" s="4">
        <f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4">
        <f>IF(BB26="","",IF(BW26&lt;BB26,BV26,BT26))</f>
        <v/>
      </c>
      <c r="BY26" s="4">
        <f>IF(BB26="","",IF(BW26&lt;BB26,BU26,BV26))</f>
        <v/>
      </c>
      <c r="BZ26" s="4">
        <f>IF(BB26="","",(BX26+BY26)/2)</f>
        <v/>
      </c>
      <c r="CA26" s="4">
        <f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4">
        <f>IF(BB26="","",IF(CA26&lt;BB26,BZ26,BX26))</f>
        <v/>
      </c>
      <c r="CC26" s="4">
        <f>IF(BB26="","",IF(CA26&lt;BB26,BY26,BZ26))</f>
        <v/>
      </c>
      <c r="CD26" s="4">
        <f>IF(BB26="","",(CB26+CC26)/2)</f>
        <v/>
      </c>
      <c r="CE26" s="4">
        <f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4">
        <f>IF(BB26="","",IF(CE26&lt;BB26,CD26,CB26))</f>
        <v/>
      </c>
      <c r="CG26" s="4">
        <f>IF(BB26="","",IF(CE26&lt;BB26,CC26,CD26))</f>
        <v/>
      </c>
      <c r="CH26" s="4">
        <f>IF(BB26="","",(CF26+CG26)/2)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SUMIFS(CB_plan!$G:$G,CB_plan!$F:$F,$A27)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IF(A27="","",IF(H27="","",2.78E-7*IF(I27&lt;&gt;"",I27,IFERROR(SUMIFS(CB_plan!$H:$H,CB_plan!$F:$F,$A27)/SUMIFS(CB_plan!$G:$G,CB_plan!$F:$F,$A27),Inputs!$B$17))*H27*K27))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7">
        <f>IF(BB27="","",CH27)</f>
        <v/>
      </c>
      <c r="BA27" s="7">
        <f>IF(OR(BB27="",AZ27="",T27="",T27&lt;=0,AZ27&lt;=0),"",BB27/((T27^2/8)*(2*ACOS(1-2*AZ27/T27)-SIN(2*ACOS(1-2*AZ27/T27)))))</f>
        <v/>
      </c>
      <c r="BB27" s="4">
        <f>IF(OR(N27="",BC27=""),"",MIN(N27,BC27))</f>
        <v/>
      </c>
      <c r="BC27" s="4">
        <f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4">
        <f>IF(BB27="","",0.001*T27)</f>
        <v/>
      </c>
      <c r="BE27" s="4">
        <f>IF(BB27="","",0.94*T27)</f>
        <v/>
      </c>
      <c r="BF27" s="4">
        <f>IF(BB27="","",(BD27+BE27)/2)</f>
        <v/>
      </c>
      <c r="BG27" s="4">
        <f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4">
        <f>IF(BB27="","",IF(BG27&lt;BB27,BF27,BD27))</f>
        <v/>
      </c>
      <c r="BI27" s="4">
        <f>IF(BB27="","",IF(BG27&lt;BB27,BE27,BF27))</f>
        <v/>
      </c>
      <c r="BJ27" s="4">
        <f>IF(BB27="","",(BH27+BI27)/2)</f>
        <v/>
      </c>
      <c r="BK27" s="4">
        <f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4">
        <f>IF(BB27="","",IF(BK27&lt;BB27,BJ27,BH27))</f>
        <v/>
      </c>
      <c r="BM27" s="4">
        <f>IF(BB27="","",IF(BK27&lt;BB27,BI27,BJ27))</f>
        <v/>
      </c>
      <c r="BN27" s="4">
        <f>IF(BB27="","",(BL27+BM27)/2)</f>
        <v/>
      </c>
      <c r="BO27" s="4">
        <f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4">
        <f>IF(BB27="","",IF(BO27&lt;BB27,BN27,BL27))</f>
        <v/>
      </c>
      <c r="BQ27" s="4">
        <f>IF(BB27="","",IF(BO27&lt;BB27,BM27,BN27))</f>
        <v/>
      </c>
      <c r="BR27" s="4">
        <f>IF(BB27="","",(BP27+BQ27)/2)</f>
        <v/>
      </c>
      <c r="BS27" s="4">
        <f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4">
        <f>IF(BB27="","",IF(BS27&lt;BB27,BR27,BP27))</f>
        <v/>
      </c>
      <c r="BU27" s="4">
        <f>IF(BB27="","",IF(BS27&lt;BB27,BQ27,BR27))</f>
        <v/>
      </c>
      <c r="BV27" s="4">
        <f>IF(BB27="","",(BT27+BU27)/2)</f>
        <v/>
      </c>
      <c r="BW27" s="4">
        <f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4">
        <f>IF(BB27="","",IF(BW27&lt;BB27,BV27,BT27))</f>
        <v/>
      </c>
      <c r="BY27" s="4">
        <f>IF(BB27="","",IF(BW27&lt;BB27,BU27,BV27))</f>
        <v/>
      </c>
      <c r="BZ27" s="4">
        <f>IF(BB27="","",(BX27+BY27)/2)</f>
        <v/>
      </c>
      <c r="CA27" s="4">
        <f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4">
        <f>IF(BB27="","",IF(CA27&lt;BB27,BZ27,BX27))</f>
        <v/>
      </c>
      <c r="CC27" s="4">
        <f>IF(BB27="","",IF(CA27&lt;BB27,BY27,BZ27))</f>
        <v/>
      </c>
      <c r="CD27" s="4">
        <f>IF(BB27="","",(CB27+CC27)/2)</f>
        <v/>
      </c>
      <c r="CE27" s="4">
        <f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4">
        <f>IF(BB27="","",IF(CE27&lt;BB27,CD27,CB27))</f>
        <v/>
      </c>
      <c r="CG27" s="4">
        <f>IF(BB27="","",IF(CE27&lt;BB27,CC27,CD27))</f>
        <v/>
      </c>
      <c r="CH27" s="4">
        <f>IF(BB27="","",(CF27+CG27)/2)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SUMIFS(CB_plan!$G:$G,CB_plan!$F:$F,$A28)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IF(A28="","",IF(H28="","",2.78E-7*IF(I28&lt;&gt;"",I28,IFERROR(SUMIFS(CB_plan!$H:$H,CB_plan!$F:$F,$A28)/SUMIFS(CB_plan!$G:$G,CB_plan!$F:$F,$A28),Inputs!$B$17))*H28*K28))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7">
        <f>IF(BB28="","",CH28)</f>
        <v/>
      </c>
      <c r="BA28" s="7">
        <f>IF(OR(BB28="",AZ28="",T28="",T28&lt;=0,AZ28&lt;=0),"",BB28/((T28^2/8)*(2*ACOS(1-2*AZ28/T28)-SIN(2*ACOS(1-2*AZ28/T28)))))</f>
        <v/>
      </c>
      <c r="BB28" s="4">
        <f>IF(OR(N28="",BC28=""),"",MIN(N28,BC28))</f>
        <v/>
      </c>
      <c r="BC28" s="4">
        <f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4">
        <f>IF(BB28="","",0.001*T28)</f>
        <v/>
      </c>
      <c r="BE28" s="4">
        <f>IF(BB28="","",0.94*T28)</f>
        <v/>
      </c>
      <c r="BF28" s="4">
        <f>IF(BB28="","",(BD28+BE28)/2)</f>
        <v/>
      </c>
      <c r="BG28" s="4">
        <f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4">
        <f>IF(BB28="","",IF(BG28&lt;BB28,BF28,BD28))</f>
        <v/>
      </c>
      <c r="BI28" s="4">
        <f>IF(BB28="","",IF(BG28&lt;BB28,BE28,BF28))</f>
        <v/>
      </c>
      <c r="BJ28" s="4">
        <f>IF(BB28="","",(BH28+BI28)/2)</f>
        <v/>
      </c>
      <c r="BK28" s="4">
        <f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4">
        <f>IF(BB28="","",IF(BK28&lt;BB28,BJ28,BH28))</f>
        <v/>
      </c>
      <c r="BM28" s="4">
        <f>IF(BB28="","",IF(BK28&lt;BB28,BI28,BJ28))</f>
        <v/>
      </c>
      <c r="BN28" s="4">
        <f>IF(BB28="","",(BL28+BM28)/2)</f>
        <v/>
      </c>
      <c r="BO28" s="4">
        <f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4">
        <f>IF(BB28="","",IF(BO28&lt;BB28,BN28,BL28))</f>
        <v/>
      </c>
      <c r="BQ28" s="4">
        <f>IF(BB28="","",IF(BO28&lt;BB28,BM28,BN28))</f>
        <v/>
      </c>
      <c r="BR28" s="4">
        <f>IF(BB28="","",(BP28+BQ28)/2)</f>
        <v/>
      </c>
      <c r="BS28" s="4">
        <f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4">
        <f>IF(BB28="","",IF(BS28&lt;BB28,BR28,BP28))</f>
        <v/>
      </c>
      <c r="BU28" s="4">
        <f>IF(BB28="","",IF(BS28&lt;BB28,BQ28,BR28))</f>
        <v/>
      </c>
      <c r="BV28" s="4">
        <f>IF(BB28="","",(BT28+BU28)/2)</f>
        <v/>
      </c>
      <c r="BW28" s="4">
        <f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4">
        <f>IF(BB28="","",IF(BW28&lt;BB28,BV28,BT28))</f>
        <v/>
      </c>
      <c r="BY28" s="4">
        <f>IF(BB28="","",IF(BW28&lt;BB28,BU28,BV28))</f>
        <v/>
      </c>
      <c r="BZ28" s="4">
        <f>IF(BB28="","",(BX28+BY28)/2)</f>
        <v/>
      </c>
      <c r="CA28" s="4">
        <f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4">
        <f>IF(BB28="","",IF(CA28&lt;BB28,BZ28,BX28))</f>
        <v/>
      </c>
      <c r="CC28" s="4">
        <f>IF(BB28="","",IF(CA28&lt;BB28,BY28,BZ28))</f>
        <v/>
      </c>
      <c r="CD28" s="4">
        <f>IF(BB28="","",(CB28+CC28)/2)</f>
        <v/>
      </c>
      <c r="CE28" s="4">
        <f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4">
        <f>IF(BB28="","",IF(CE28&lt;BB28,CD28,CB28))</f>
        <v/>
      </c>
      <c r="CG28" s="4">
        <f>IF(BB28="","",IF(CE28&lt;BB28,CC28,CD28))</f>
        <v/>
      </c>
      <c r="CH28" s="4">
        <f>IF(BB28="","",(CF28+CG28)/2)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SUMIFS(CB_plan!$G:$G,CB_plan!$F:$F,$A29)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IF(A29="","",IF(H29="","",2.78E-7*IF(I29&lt;&gt;"",I29,IFERROR(SUMIFS(CB_plan!$H:$H,CB_plan!$F:$F,$A29)/SUMIFS(CB_plan!$G:$G,CB_plan!$F:$F,$A29),Inputs!$B$17))*H29*K29))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7">
        <f>IF(BB29="","",CH29)</f>
        <v/>
      </c>
      <c r="BA29" s="7">
        <f>IF(OR(BB29="",AZ29="",T29="",T29&lt;=0,AZ29&lt;=0),"",BB29/((T29^2/8)*(2*ACOS(1-2*AZ29/T29)-SIN(2*ACOS(1-2*AZ29/T29)))))</f>
        <v/>
      </c>
      <c r="BB29" s="4">
        <f>IF(OR(N29="",BC29=""),"",MIN(N29,BC29))</f>
        <v/>
      </c>
      <c r="BC29" s="4">
        <f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4">
        <f>IF(BB29="","",0.001*T29)</f>
        <v/>
      </c>
      <c r="BE29" s="4">
        <f>IF(BB29="","",0.94*T29)</f>
        <v/>
      </c>
      <c r="BF29" s="4">
        <f>IF(BB29="","",(BD29+BE29)/2)</f>
        <v/>
      </c>
      <c r="BG29" s="4">
        <f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4">
        <f>IF(BB29="","",IF(BG29&lt;BB29,BF29,BD29))</f>
        <v/>
      </c>
      <c r="BI29" s="4">
        <f>IF(BB29="","",IF(BG29&lt;BB29,BE29,BF29))</f>
        <v/>
      </c>
      <c r="BJ29" s="4">
        <f>IF(BB29="","",(BH29+BI29)/2)</f>
        <v/>
      </c>
      <c r="BK29" s="4">
        <f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4">
        <f>IF(BB29="","",IF(BK29&lt;BB29,BJ29,BH29))</f>
        <v/>
      </c>
      <c r="BM29" s="4">
        <f>IF(BB29="","",IF(BK29&lt;BB29,BI29,BJ29))</f>
        <v/>
      </c>
      <c r="BN29" s="4">
        <f>IF(BB29="","",(BL29+BM29)/2)</f>
        <v/>
      </c>
      <c r="BO29" s="4">
        <f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4">
        <f>IF(BB29="","",IF(BO29&lt;BB29,BN29,BL29))</f>
        <v/>
      </c>
      <c r="BQ29" s="4">
        <f>IF(BB29="","",IF(BO29&lt;BB29,BM29,BN29))</f>
        <v/>
      </c>
      <c r="BR29" s="4">
        <f>IF(BB29="","",(BP29+BQ29)/2)</f>
        <v/>
      </c>
      <c r="BS29" s="4">
        <f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4">
        <f>IF(BB29="","",IF(BS29&lt;BB29,BR29,BP29))</f>
        <v/>
      </c>
      <c r="BU29" s="4">
        <f>IF(BB29="","",IF(BS29&lt;BB29,BQ29,BR29))</f>
        <v/>
      </c>
      <c r="BV29" s="4">
        <f>IF(BB29="","",(BT29+BU29)/2)</f>
        <v/>
      </c>
      <c r="BW29" s="4">
        <f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4">
        <f>IF(BB29="","",IF(BW29&lt;BB29,BV29,BT29))</f>
        <v/>
      </c>
      <c r="BY29" s="4">
        <f>IF(BB29="","",IF(BW29&lt;BB29,BU29,BV29))</f>
        <v/>
      </c>
      <c r="BZ29" s="4">
        <f>IF(BB29="","",(BX29+BY29)/2)</f>
        <v/>
      </c>
      <c r="CA29" s="4">
        <f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4">
        <f>IF(BB29="","",IF(CA29&lt;BB29,BZ29,BX29))</f>
        <v/>
      </c>
      <c r="CC29" s="4">
        <f>IF(BB29="","",IF(CA29&lt;BB29,BY29,BZ29))</f>
        <v/>
      </c>
      <c r="CD29" s="4">
        <f>IF(BB29="","",(CB29+CC29)/2)</f>
        <v/>
      </c>
      <c r="CE29" s="4">
        <f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4">
        <f>IF(BB29="","",IF(CE29&lt;BB29,CD29,CB29))</f>
        <v/>
      </c>
      <c r="CG29" s="4">
        <f>IF(BB29="","",IF(CE29&lt;BB29,CC29,CD29))</f>
        <v/>
      </c>
      <c r="CH29" s="4">
        <f>IF(BB29="","",(CF29+CG29)/2)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SUMIFS(CB_plan!$G:$G,CB_plan!$F:$F,$A30)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IF(A30="","",IF(H30="","",2.78E-7*IF(I30&lt;&gt;"",I30,IFERROR(SUMIFS(CB_plan!$H:$H,CB_plan!$F:$F,$A30)/SUMIFS(CB_plan!$G:$G,CB_plan!$F:$F,$A30),Inputs!$B$17))*H30*K30))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7">
        <f>IF(BB30="","",CH30)</f>
        <v/>
      </c>
      <c r="BA30" s="7">
        <f>IF(OR(BB30="",AZ30="",T30="",T30&lt;=0,AZ30&lt;=0),"",BB30/((T30^2/8)*(2*ACOS(1-2*AZ30/T30)-SIN(2*ACOS(1-2*AZ30/T30)))))</f>
        <v/>
      </c>
      <c r="BB30" s="4">
        <f>IF(OR(N30="",BC30=""),"",MIN(N30,BC30))</f>
        <v/>
      </c>
      <c r="BC30" s="4">
        <f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4">
        <f>IF(BB30="","",0.001*T30)</f>
        <v/>
      </c>
      <c r="BE30" s="4">
        <f>IF(BB30="","",0.94*T30)</f>
        <v/>
      </c>
      <c r="BF30" s="4">
        <f>IF(BB30="","",(BD30+BE30)/2)</f>
        <v/>
      </c>
      <c r="BG30" s="4">
        <f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4">
        <f>IF(BB30="","",IF(BG30&lt;BB30,BF30,BD30))</f>
        <v/>
      </c>
      <c r="BI30" s="4">
        <f>IF(BB30="","",IF(BG30&lt;BB30,BE30,BF30))</f>
        <v/>
      </c>
      <c r="BJ30" s="4">
        <f>IF(BB30="","",(BH30+BI30)/2)</f>
        <v/>
      </c>
      <c r="BK30" s="4">
        <f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4">
        <f>IF(BB30="","",IF(BK30&lt;BB30,BJ30,BH30))</f>
        <v/>
      </c>
      <c r="BM30" s="4">
        <f>IF(BB30="","",IF(BK30&lt;BB30,BI30,BJ30))</f>
        <v/>
      </c>
      <c r="BN30" s="4">
        <f>IF(BB30="","",(BL30+BM30)/2)</f>
        <v/>
      </c>
      <c r="BO30" s="4">
        <f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4">
        <f>IF(BB30="","",IF(BO30&lt;BB30,BN30,BL30))</f>
        <v/>
      </c>
      <c r="BQ30" s="4">
        <f>IF(BB30="","",IF(BO30&lt;BB30,BM30,BN30))</f>
        <v/>
      </c>
      <c r="BR30" s="4">
        <f>IF(BB30="","",(BP30+BQ30)/2)</f>
        <v/>
      </c>
      <c r="BS30" s="4">
        <f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4">
        <f>IF(BB30="","",IF(BS30&lt;BB30,BR30,BP30))</f>
        <v/>
      </c>
      <c r="BU30" s="4">
        <f>IF(BB30="","",IF(BS30&lt;BB30,BQ30,BR30))</f>
        <v/>
      </c>
      <c r="BV30" s="4">
        <f>IF(BB30="","",(BT30+BU30)/2)</f>
        <v/>
      </c>
      <c r="BW30" s="4">
        <f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4">
        <f>IF(BB30="","",IF(BW30&lt;BB30,BV30,BT30))</f>
        <v/>
      </c>
      <c r="BY30" s="4">
        <f>IF(BB30="","",IF(BW30&lt;BB30,BU30,BV30))</f>
        <v/>
      </c>
      <c r="BZ30" s="4">
        <f>IF(BB30="","",(BX30+BY30)/2)</f>
        <v/>
      </c>
      <c r="CA30" s="4">
        <f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4">
        <f>IF(BB30="","",IF(CA30&lt;BB30,BZ30,BX30))</f>
        <v/>
      </c>
      <c r="CC30" s="4">
        <f>IF(BB30="","",IF(CA30&lt;BB30,BY30,BZ30))</f>
        <v/>
      </c>
      <c r="CD30" s="4">
        <f>IF(BB30="","",(CB30+CC30)/2)</f>
        <v/>
      </c>
      <c r="CE30" s="4">
        <f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4">
        <f>IF(BB30="","",IF(CE30&lt;BB30,CD30,CB30))</f>
        <v/>
      </c>
      <c r="CG30" s="4">
        <f>IF(BB30="","",IF(CE30&lt;BB30,CC30,CD30))</f>
        <v/>
      </c>
      <c r="CH30" s="4">
        <f>IF(BB30="","",(CF30+CG30)/2)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SUMIFS(CB_plan!$G:$G,CB_plan!$F:$F,$A31)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IF(A31="","",IF(H31="","",2.78E-7*IF(I31&lt;&gt;"",I31,IFERROR(SUMIFS(CB_plan!$H:$H,CB_plan!$F:$F,$A31)/SUMIFS(CB_plan!$G:$G,CB_plan!$F:$F,$A31),Inputs!$B$17))*H31*K31))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7">
        <f>IF(BB31="","",CH31)</f>
        <v/>
      </c>
      <c r="BA31" s="7">
        <f>IF(OR(BB31="",AZ31="",T31="",T31&lt;=0,AZ31&lt;=0),"",BB31/((T31^2/8)*(2*ACOS(1-2*AZ31/T31)-SIN(2*ACOS(1-2*AZ31/T31)))))</f>
        <v/>
      </c>
      <c r="BB31" s="4">
        <f>IF(OR(N31="",BC31=""),"",MIN(N31,BC31))</f>
        <v/>
      </c>
      <c r="BC31" s="4">
        <f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4">
        <f>IF(BB31="","",0.001*T31)</f>
        <v/>
      </c>
      <c r="BE31" s="4">
        <f>IF(BB31="","",0.94*T31)</f>
        <v/>
      </c>
      <c r="BF31" s="4">
        <f>IF(BB31="","",(BD31+BE31)/2)</f>
        <v/>
      </c>
      <c r="BG31" s="4">
        <f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4">
        <f>IF(BB31="","",IF(BG31&lt;BB31,BF31,BD31))</f>
        <v/>
      </c>
      <c r="BI31" s="4">
        <f>IF(BB31="","",IF(BG31&lt;BB31,BE31,BF31))</f>
        <v/>
      </c>
      <c r="BJ31" s="4">
        <f>IF(BB31="","",(BH31+BI31)/2)</f>
        <v/>
      </c>
      <c r="BK31" s="4">
        <f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4">
        <f>IF(BB31="","",IF(BK31&lt;BB31,BJ31,BH31))</f>
        <v/>
      </c>
      <c r="BM31" s="4">
        <f>IF(BB31="","",IF(BK31&lt;BB31,BI31,BJ31))</f>
        <v/>
      </c>
      <c r="BN31" s="4">
        <f>IF(BB31="","",(BL31+BM31)/2)</f>
        <v/>
      </c>
      <c r="BO31" s="4">
        <f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4">
        <f>IF(BB31="","",IF(BO31&lt;BB31,BN31,BL31))</f>
        <v/>
      </c>
      <c r="BQ31" s="4">
        <f>IF(BB31="","",IF(BO31&lt;BB31,BM31,BN31))</f>
        <v/>
      </c>
      <c r="BR31" s="4">
        <f>IF(BB31="","",(BP31+BQ31)/2)</f>
        <v/>
      </c>
      <c r="BS31" s="4">
        <f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4">
        <f>IF(BB31="","",IF(BS31&lt;BB31,BR31,BP31))</f>
        <v/>
      </c>
      <c r="BU31" s="4">
        <f>IF(BB31="","",IF(BS31&lt;BB31,BQ31,BR31))</f>
        <v/>
      </c>
      <c r="BV31" s="4">
        <f>IF(BB31="","",(BT31+BU31)/2)</f>
        <v/>
      </c>
      <c r="BW31" s="4">
        <f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4">
        <f>IF(BB31="","",IF(BW31&lt;BB31,BV31,BT31))</f>
        <v/>
      </c>
      <c r="BY31" s="4">
        <f>IF(BB31="","",IF(BW31&lt;BB31,BU31,BV31))</f>
        <v/>
      </c>
      <c r="BZ31" s="4">
        <f>IF(BB31="","",(BX31+BY31)/2)</f>
        <v/>
      </c>
      <c r="CA31" s="4">
        <f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4">
        <f>IF(BB31="","",IF(CA31&lt;BB31,BZ31,BX31))</f>
        <v/>
      </c>
      <c r="CC31" s="4">
        <f>IF(BB31="","",IF(CA31&lt;BB31,BY31,BZ31))</f>
        <v/>
      </c>
      <c r="CD31" s="4">
        <f>IF(BB31="","",(CB31+CC31)/2)</f>
        <v/>
      </c>
      <c r="CE31" s="4">
        <f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4">
        <f>IF(BB31="","",IF(CE31&lt;BB31,CD31,CB31))</f>
        <v/>
      </c>
      <c r="CG31" s="4">
        <f>IF(BB31="","",IF(CE31&lt;BB31,CC31,CD31))</f>
        <v/>
      </c>
      <c r="CH31" s="4">
        <f>IF(BB31="","",(CF31+CG31)/2)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SUMIFS(CB_plan!$G:$G,CB_plan!$F:$F,$A32)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IF(A32="","",IF(H32="","",2.78E-7*IF(I32&lt;&gt;"",I32,IFERROR(SUMIFS(CB_plan!$H:$H,CB_plan!$F:$F,$A32)/SUMIFS(CB_plan!$G:$G,CB_plan!$F:$F,$A32),Inputs!$B$17))*H32*K32))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7">
        <f>IF(BB32="","",CH32)</f>
        <v/>
      </c>
      <c r="BA32" s="7">
        <f>IF(OR(BB32="",AZ32="",T32="",T32&lt;=0,AZ32&lt;=0),"",BB32/((T32^2/8)*(2*ACOS(1-2*AZ32/T32)-SIN(2*ACOS(1-2*AZ32/T32)))))</f>
        <v/>
      </c>
      <c r="BB32" s="4">
        <f>IF(OR(N32="",BC32=""),"",MIN(N32,BC32))</f>
        <v/>
      </c>
      <c r="BC32" s="4">
        <f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4">
        <f>IF(BB32="","",0.001*T32)</f>
        <v/>
      </c>
      <c r="BE32" s="4">
        <f>IF(BB32="","",0.94*T32)</f>
        <v/>
      </c>
      <c r="BF32" s="4">
        <f>IF(BB32="","",(BD32+BE32)/2)</f>
        <v/>
      </c>
      <c r="BG32" s="4">
        <f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4">
        <f>IF(BB32="","",IF(BG32&lt;BB32,BF32,BD32))</f>
        <v/>
      </c>
      <c r="BI32" s="4">
        <f>IF(BB32="","",IF(BG32&lt;BB32,BE32,BF32))</f>
        <v/>
      </c>
      <c r="BJ32" s="4">
        <f>IF(BB32="","",(BH32+BI32)/2)</f>
        <v/>
      </c>
      <c r="BK32" s="4">
        <f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4">
        <f>IF(BB32="","",IF(BK32&lt;BB32,BJ32,BH32))</f>
        <v/>
      </c>
      <c r="BM32" s="4">
        <f>IF(BB32="","",IF(BK32&lt;BB32,BI32,BJ32))</f>
        <v/>
      </c>
      <c r="BN32" s="4">
        <f>IF(BB32="","",(BL32+BM32)/2)</f>
        <v/>
      </c>
      <c r="BO32" s="4">
        <f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4">
        <f>IF(BB32="","",IF(BO32&lt;BB32,BN32,BL32))</f>
        <v/>
      </c>
      <c r="BQ32" s="4">
        <f>IF(BB32="","",IF(BO32&lt;BB32,BM32,BN32))</f>
        <v/>
      </c>
      <c r="BR32" s="4">
        <f>IF(BB32="","",(BP32+BQ32)/2)</f>
        <v/>
      </c>
      <c r="BS32" s="4">
        <f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4">
        <f>IF(BB32="","",IF(BS32&lt;BB32,BR32,BP32))</f>
        <v/>
      </c>
      <c r="BU32" s="4">
        <f>IF(BB32="","",IF(BS32&lt;BB32,BQ32,BR32))</f>
        <v/>
      </c>
      <c r="BV32" s="4">
        <f>IF(BB32="","",(BT32+BU32)/2)</f>
        <v/>
      </c>
      <c r="BW32" s="4">
        <f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4">
        <f>IF(BB32="","",IF(BW32&lt;BB32,BV32,BT32))</f>
        <v/>
      </c>
      <c r="BY32" s="4">
        <f>IF(BB32="","",IF(BW32&lt;BB32,BU32,BV32))</f>
        <v/>
      </c>
      <c r="BZ32" s="4">
        <f>IF(BB32="","",(BX32+BY32)/2)</f>
        <v/>
      </c>
      <c r="CA32" s="4">
        <f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4">
        <f>IF(BB32="","",IF(CA32&lt;BB32,BZ32,BX32))</f>
        <v/>
      </c>
      <c r="CC32" s="4">
        <f>IF(BB32="","",IF(CA32&lt;BB32,BY32,BZ32))</f>
        <v/>
      </c>
      <c r="CD32" s="4">
        <f>IF(BB32="","",(CB32+CC32)/2)</f>
        <v/>
      </c>
      <c r="CE32" s="4">
        <f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4">
        <f>IF(BB32="","",IF(CE32&lt;BB32,CD32,CB32))</f>
        <v/>
      </c>
      <c r="CG32" s="4">
        <f>IF(BB32="","",IF(CE32&lt;BB32,CC32,CD32))</f>
        <v/>
      </c>
      <c r="CH32" s="4">
        <f>IF(BB32="","",(CF32+CG32)/2)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SUMIFS(CB_plan!$G:$G,CB_plan!$F:$F,$A33)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IF(A33="","",IF(H33="","",2.78E-7*IF(I33&lt;&gt;"",I33,IFERROR(SUMIFS(CB_plan!$H:$H,CB_plan!$F:$F,$A33)/SUMIFS(CB_plan!$G:$G,CB_plan!$F:$F,$A33),Inputs!$B$17))*H33*K33))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7">
        <f>IF(BB33="","",CH33)</f>
        <v/>
      </c>
      <c r="BA33" s="7">
        <f>IF(OR(BB33="",AZ33="",T33="",T33&lt;=0,AZ33&lt;=0),"",BB33/((T33^2/8)*(2*ACOS(1-2*AZ33/T33)-SIN(2*ACOS(1-2*AZ33/T33)))))</f>
        <v/>
      </c>
      <c r="BB33" s="4">
        <f>IF(OR(N33="",BC33=""),"",MIN(N33,BC33))</f>
        <v/>
      </c>
      <c r="BC33" s="4">
        <f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4">
        <f>IF(BB33="","",0.001*T33)</f>
        <v/>
      </c>
      <c r="BE33" s="4">
        <f>IF(BB33="","",0.94*T33)</f>
        <v/>
      </c>
      <c r="BF33" s="4">
        <f>IF(BB33="","",(BD33+BE33)/2)</f>
        <v/>
      </c>
      <c r="BG33" s="4">
        <f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4">
        <f>IF(BB33="","",IF(BG33&lt;BB33,BF33,BD33))</f>
        <v/>
      </c>
      <c r="BI33" s="4">
        <f>IF(BB33="","",IF(BG33&lt;BB33,BE33,BF33))</f>
        <v/>
      </c>
      <c r="BJ33" s="4">
        <f>IF(BB33="","",(BH33+BI33)/2)</f>
        <v/>
      </c>
      <c r="BK33" s="4">
        <f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4">
        <f>IF(BB33="","",IF(BK33&lt;BB33,BJ33,BH33))</f>
        <v/>
      </c>
      <c r="BM33" s="4">
        <f>IF(BB33="","",IF(BK33&lt;BB33,BI33,BJ33))</f>
        <v/>
      </c>
      <c r="BN33" s="4">
        <f>IF(BB33="","",(BL33+BM33)/2)</f>
        <v/>
      </c>
      <c r="BO33" s="4">
        <f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4">
        <f>IF(BB33="","",IF(BO33&lt;BB33,BN33,BL33))</f>
        <v/>
      </c>
      <c r="BQ33" s="4">
        <f>IF(BB33="","",IF(BO33&lt;BB33,BM33,BN33))</f>
        <v/>
      </c>
      <c r="BR33" s="4">
        <f>IF(BB33="","",(BP33+BQ33)/2)</f>
        <v/>
      </c>
      <c r="BS33" s="4">
        <f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4">
        <f>IF(BB33="","",IF(BS33&lt;BB33,BR33,BP33))</f>
        <v/>
      </c>
      <c r="BU33" s="4">
        <f>IF(BB33="","",IF(BS33&lt;BB33,BQ33,BR33))</f>
        <v/>
      </c>
      <c r="BV33" s="4">
        <f>IF(BB33="","",(BT33+BU33)/2)</f>
        <v/>
      </c>
      <c r="BW33" s="4">
        <f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4">
        <f>IF(BB33="","",IF(BW33&lt;BB33,BV33,BT33))</f>
        <v/>
      </c>
      <c r="BY33" s="4">
        <f>IF(BB33="","",IF(BW33&lt;BB33,BU33,BV33))</f>
        <v/>
      </c>
      <c r="BZ33" s="4">
        <f>IF(BB33="","",(BX33+BY33)/2)</f>
        <v/>
      </c>
      <c r="CA33" s="4">
        <f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4">
        <f>IF(BB33="","",IF(CA33&lt;BB33,BZ33,BX33))</f>
        <v/>
      </c>
      <c r="CC33" s="4">
        <f>IF(BB33="","",IF(CA33&lt;BB33,BY33,BZ33))</f>
        <v/>
      </c>
      <c r="CD33" s="4">
        <f>IF(BB33="","",(CB33+CC33)/2)</f>
        <v/>
      </c>
      <c r="CE33" s="4">
        <f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4">
        <f>IF(BB33="","",IF(CE33&lt;BB33,CD33,CB33))</f>
        <v/>
      </c>
      <c r="CG33" s="4">
        <f>IF(BB33="","",IF(CE33&lt;BB33,CC33,CD33))</f>
        <v/>
      </c>
      <c r="CH33" s="4">
        <f>IF(BB33="","",(CF33+CG33)/2)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SUMIFS(CB_plan!$G:$G,CB_plan!$F:$F,$A34)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IF(A34="","",IF(H34="","",2.78E-7*IF(I34&lt;&gt;"",I34,IFERROR(SUMIFS(CB_plan!$H:$H,CB_plan!$F:$F,$A34)/SUMIFS(CB_plan!$G:$G,CB_plan!$F:$F,$A34),Inputs!$B$17))*H34*K34))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7">
        <f>IF(BB34="","",CH34)</f>
        <v/>
      </c>
      <c r="BA34" s="7">
        <f>IF(OR(BB34="",AZ34="",T34="",T34&lt;=0,AZ34&lt;=0),"",BB34/((T34^2/8)*(2*ACOS(1-2*AZ34/T34)-SIN(2*ACOS(1-2*AZ34/T34)))))</f>
        <v/>
      </c>
      <c r="BB34" s="4">
        <f>IF(OR(N34="",BC34=""),"",MIN(N34,BC34))</f>
        <v/>
      </c>
      <c r="BC34" s="4">
        <f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4">
        <f>IF(BB34="","",0.001*T34)</f>
        <v/>
      </c>
      <c r="BE34" s="4">
        <f>IF(BB34="","",0.94*T34)</f>
        <v/>
      </c>
      <c r="BF34" s="4">
        <f>IF(BB34="","",(BD34+BE34)/2)</f>
        <v/>
      </c>
      <c r="BG34" s="4">
        <f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4">
        <f>IF(BB34="","",IF(BG34&lt;BB34,BF34,BD34))</f>
        <v/>
      </c>
      <c r="BI34" s="4">
        <f>IF(BB34="","",IF(BG34&lt;BB34,BE34,BF34))</f>
        <v/>
      </c>
      <c r="BJ34" s="4">
        <f>IF(BB34="","",(BH34+BI34)/2)</f>
        <v/>
      </c>
      <c r="BK34" s="4">
        <f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4">
        <f>IF(BB34="","",IF(BK34&lt;BB34,BJ34,BH34))</f>
        <v/>
      </c>
      <c r="BM34" s="4">
        <f>IF(BB34="","",IF(BK34&lt;BB34,BI34,BJ34))</f>
        <v/>
      </c>
      <c r="BN34" s="4">
        <f>IF(BB34="","",(BL34+BM34)/2)</f>
        <v/>
      </c>
      <c r="BO34" s="4">
        <f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4">
        <f>IF(BB34="","",IF(BO34&lt;BB34,BN34,BL34))</f>
        <v/>
      </c>
      <c r="BQ34" s="4">
        <f>IF(BB34="","",IF(BO34&lt;BB34,BM34,BN34))</f>
        <v/>
      </c>
      <c r="BR34" s="4">
        <f>IF(BB34="","",(BP34+BQ34)/2)</f>
        <v/>
      </c>
      <c r="BS34" s="4">
        <f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4">
        <f>IF(BB34="","",IF(BS34&lt;BB34,BR34,BP34))</f>
        <v/>
      </c>
      <c r="BU34" s="4">
        <f>IF(BB34="","",IF(BS34&lt;BB34,BQ34,BR34))</f>
        <v/>
      </c>
      <c r="BV34" s="4">
        <f>IF(BB34="","",(BT34+BU34)/2)</f>
        <v/>
      </c>
      <c r="BW34" s="4">
        <f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4">
        <f>IF(BB34="","",IF(BW34&lt;BB34,BV34,BT34))</f>
        <v/>
      </c>
      <c r="BY34" s="4">
        <f>IF(BB34="","",IF(BW34&lt;BB34,BU34,BV34))</f>
        <v/>
      </c>
      <c r="BZ34" s="4">
        <f>IF(BB34="","",(BX34+BY34)/2)</f>
        <v/>
      </c>
      <c r="CA34" s="4">
        <f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4">
        <f>IF(BB34="","",IF(CA34&lt;BB34,BZ34,BX34))</f>
        <v/>
      </c>
      <c r="CC34" s="4">
        <f>IF(BB34="","",IF(CA34&lt;BB34,BY34,BZ34))</f>
        <v/>
      </c>
      <c r="CD34" s="4">
        <f>IF(BB34="","",(CB34+CC34)/2)</f>
        <v/>
      </c>
      <c r="CE34" s="4">
        <f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4">
        <f>IF(BB34="","",IF(CE34&lt;BB34,CD34,CB34))</f>
        <v/>
      </c>
      <c r="CG34" s="4">
        <f>IF(BB34="","",IF(CE34&lt;BB34,CC34,CD34))</f>
        <v/>
      </c>
      <c r="CH34" s="4">
        <f>IF(BB34="","",(CF34+CG34)/2)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SUMIFS(CB_plan!$G:$G,CB_plan!$F:$F,$A35)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IF(A35="","",IF(H35="","",2.78E-7*IF(I35&lt;&gt;"",I35,IFERROR(SUMIFS(CB_plan!$H:$H,CB_plan!$F:$F,$A35)/SUMIFS(CB_plan!$G:$G,CB_plan!$F:$F,$A35),Inputs!$B$17))*H35*K35))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7">
        <f>IF(BB35="","",CH35)</f>
        <v/>
      </c>
      <c r="BA35" s="7">
        <f>IF(OR(BB35="",AZ35="",T35="",T35&lt;=0,AZ35&lt;=0),"",BB35/((T35^2/8)*(2*ACOS(1-2*AZ35/T35)-SIN(2*ACOS(1-2*AZ35/T35)))))</f>
        <v/>
      </c>
      <c r="BB35" s="4">
        <f>IF(OR(N35="",BC35=""),"",MIN(N35,BC35))</f>
        <v/>
      </c>
      <c r="BC35" s="4">
        <f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4">
        <f>IF(BB35="","",0.001*T35)</f>
        <v/>
      </c>
      <c r="BE35" s="4">
        <f>IF(BB35="","",0.94*T35)</f>
        <v/>
      </c>
      <c r="BF35" s="4">
        <f>IF(BB35="","",(BD35+BE35)/2)</f>
        <v/>
      </c>
      <c r="BG35" s="4">
        <f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4">
        <f>IF(BB35="","",IF(BG35&lt;BB35,BF35,BD35))</f>
        <v/>
      </c>
      <c r="BI35" s="4">
        <f>IF(BB35="","",IF(BG35&lt;BB35,BE35,BF35))</f>
        <v/>
      </c>
      <c r="BJ35" s="4">
        <f>IF(BB35="","",(BH35+BI35)/2)</f>
        <v/>
      </c>
      <c r="BK35" s="4">
        <f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4">
        <f>IF(BB35="","",IF(BK35&lt;BB35,BJ35,BH35))</f>
        <v/>
      </c>
      <c r="BM35" s="4">
        <f>IF(BB35="","",IF(BK35&lt;BB35,BI35,BJ35))</f>
        <v/>
      </c>
      <c r="BN35" s="4">
        <f>IF(BB35="","",(BL35+BM35)/2)</f>
        <v/>
      </c>
      <c r="BO35" s="4">
        <f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4">
        <f>IF(BB35="","",IF(BO35&lt;BB35,BN35,BL35))</f>
        <v/>
      </c>
      <c r="BQ35" s="4">
        <f>IF(BB35="","",IF(BO35&lt;BB35,BM35,BN35))</f>
        <v/>
      </c>
      <c r="BR35" s="4">
        <f>IF(BB35="","",(BP35+BQ35)/2)</f>
        <v/>
      </c>
      <c r="BS35" s="4">
        <f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4">
        <f>IF(BB35="","",IF(BS35&lt;BB35,BR35,BP35))</f>
        <v/>
      </c>
      <c r="BU35" s="4">
        <f>IF(BB35="","",IF(BS35&lt;BB35,BQ35,BR35))</f>
        <v/>
      </c>
      <c r="BV35" s="4">
        <f>IF(BB35="","",(BT35+BU35)/2)</f>
        <v/>
      </c>
      <c r="BW35" s="4">
        <f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4">
        <f>IF(BB35="","",IF(BW35&lt;BB35,BV35,BT35))</f>
        <v/>
      </c>
      <c r="BY35" s="4">
        <f>IF(BB35="","",IF(BW35&lt;BB35,BU35,BV35))</f>
        <v/>
      </c>
      <c r="BZ35" s="4">
        <f>IF(BB35="","",(BX35+BY35)/2)</f>
        <v/>
      </c>
      <c r="CA35" s="4">
        <f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4">
        <f>IF(BB35="","",IF(CA35&lt;BB35,BZ35,BX35))</f>
        <v/>
      </c>
      <c r="CC35" s="4">
        <f>IF(BB35="","",IF(CA35&lt;BB35,BY35,BZ35))</f>
        <v/>
      </c>
      <c r="CD35" s="4">
        <f>IF(BB35="","",(CB35+CC35)/2)</f>
        <v/>
      </c>
      <c r="CE35" s="4">
        <f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4">
        <f>IF(BB35="","",IF(CE35&lt;BB35,CD35,CB35))</f>
        <v/>
      </c>
      <c r="CG35" s="4">
        <f>IF(BB35="","",IF(CE35&lt;BB35,CC35,CD35))</f>
        <v/>
      </c>
      <c r="CH35" s="4">
        <f>IF(BB35="","",(CF35+CG35)/2)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SUMIFS(CB_plan!$G:$G,CB_plan!$F:$F,$A36)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IF(A36="","",IF(H36="","",2.78E-7*IF(I36&lt;&gt;"",I36,IFERROR(SUMIFS(CB_plan!$H:$H,CB_plan!$F:$F,$A36)/SUMIFS(CB_plan!$G:$G,CB_plan!$F:$F,$A36),Inputs!$B$17))*H36*K36))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7">
        <f>IF(BB36="","",CH36)</f>
        <v/>
      </c>
      <c r="BA36" s="7">
        <f>IF(OR(BB36="",AZ36="",T36="",T36&lt;=0,AZ36&lt;=0),"",BB36/((T36^2/8)*(2*ACOS(1-2*AZ36/T36)-SIN(2*ACOS(1-2*AZ36/T36)))))</f>
        <v/>
      </c>
      <c r="BB36" s="4">
        <f>IF(OR(N36="",BC36=""),"",MIN(N36,BC36))</f>
        <v/>
      </c>
      <c r="BC36" s="4">
        <f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4">
        <f>IF(BB36="","",0.001*T36)</f>
        <v/>
      </c>
      <c r="BE36" s="4">
        <f>IF(BB36="","",0.94*T36)</f>
        <v/>
      </c>
      <c r="BF36" s="4">
        <f>IF(BB36="","",(BD36+BE36)/2)</f>
        <v/>
      </c>
      <c r="BG36" s="4">
        <f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4">
        <f>IF(BB36="","",IF(BG36&lt;BB36,BF36,BD36))</f>
        <v/>
      </c>
      <c r="BI36" s="4">
        <f>IF(BB36="","",IF(BG36&lt;BB36,BE36,BF36))</f>
        <v/>
      </c>
      <c r="BJ36" s="4">
        <f>IF(BB36="","",(BH36+BI36)/2)</f>
        <v/>
      </c>
      <c r="BK36" s="4">
        <f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4">
        <f>IF(BB36="","",IF(BK36&lt;BB36,BJ36,BH36))</f>
        <v/>
      </c>
      <c r="BM36" s="4">
        <f>IF(BB36="","",IF(BK36&lt;BB36,BI36,BJ36))</f>
        <v/>
      </c>
      <c r="BN36" s="4">
        <f>IF(BB36="","",(BL36+BM36)/2)</f>
        <v/>
      </c>
      <c r="BO36" s="4">
        <f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4">
        <f>IF(BB36="","",IF(BO36&lt;BB36,BN36,BL36))</f>
        <v/>
      </c>
      <c r="BQ36" s="4">
        <f>IF(BB36="","",IF(BO36&lt;BB36,BM36,BN36))</f>
        <v/>
      </c>
      <c r="BR36" s="4">
        <f>IF(BB36="","",(BP36+BQ36)/2)</f>
        <v/>
      </c>
      <c r="BS36" s="4">
        <f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4">
        <f>IF(BB36="","",IF(BS36&lt;BB36,BR36,BP36))</f>
        <v/>
      </c>
      <c r="BU36" s="4">
        <f>IF(BB36="","",IF(BS36&lt;BB36,BQ36,BR36))</f>
        <v/>
      </c>
      <c r="BV36" s="4">
        <f>IF(BB36="","",(BT36+BU36)/2)</f>
        <v/>
      </c>
      <c r="BW36" s="4">
        <f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4">
        <f>IF(BB36="","",IF(BW36&lt;BB36,BV36,BT36))</f>
        <v/>
      </c>
      <c r="BY36" s="4">
        <f>IF(BB36="","",IF(BW36&lt;BB36,BU36,BV36))</f>
        <v/>
      </c>
      <c r="BZ36" s="4">
        <f>IF(BB36="","",(BX36+BY36)/2)</f>
        <v/>
      </c>
      <c r="CA36" s="4">
        <f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4">
        <f>IF(BB36="","",IF(CA36&lt;BB36,BZ36,BX36))</f>
        <v/>
      </c>
      <c r="CC36" s="4">
        <f>IF(BB36="","",IF(CA36&lt;BB36,BY36,BZ36))</f>
        <v/>
      </c>
      <c r="CD36" s="4">
        <f>IF(BB36="","",(CB36+CC36)/2)</f>
        <v/>
      </c>
      <c r="CE36" s="4">
        <f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4">
        <f>IF(BB36="","",IF(CE36&lt;BB36,CD36,CB36))</f>
        <v/>
      </c>
      <c r="CG36" s="4">
        <f>IF(BB36="","",IF(CE36&lt;BB36,CC36,CD36))</f>
        <v/>
      </c>
      <c r="CH36" s="4">
        <f>IF(BB36="","",(CF36+CG36)/2)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SUMIFS(CB_plan!$G:$G,CB_plan!$F:$F,$A37)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IF(A37="","",IF(H37="","",2.78E-7*IF(I37&lt;&gt;"",I37,IFERROR(SUMIFS(CB_plan!$H:$H,CB_plan!$F:$F,$A37)/SUMIFS(CB_plan!$G:$G,CB_plan!$F:$F,$A37),Inputs!$B$17))*H37*K37))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7">
        <f>IF(BB37="","",CH37)</f>
        <v/>
      </c>
      <c r="BA37" s="7">
        <f>IF(OR(BB37="",AZ37="",T37="",T37&lt;=0,AZ37&lt;=0),"",BB37/((T37^2/8)*(2*ACOS(1-2*AZ37/T37)-SIN(2*ACOS(1-2*AZ37/T37)))))</f>
        <v/>
      </c>
      <c r="BB37" s="4">
        <f>IF(OR(N37="",BC37=""),"",MIN(N37,BC37))</f>
        <v/>
      </c>
      <c r="BC37" s="4">
        <f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4">
        <f>IF(BB37="","",0.001*T37)</f>
        <v/>
      </c>
      <c r="BE37" s="4">
        <f>IF(BB37="","",0.94*T37)</f>
        <v/>
      </c>
      <c r="BF37" s="4">
        <f>IF(BB37="","",(BD37+BE37)/2)</f>
        <v/>
      </c>
      <c r="BG37" s="4">
        <f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4">
        <f>IF(BB37="","",IF(BG37&lt;BB37,BF37,BD37))</f>
        <v/>
      </c>
      <c r="BI37" s="4">
        <f>IF(BB37="","",IF(BG37&lt;BB37,BE37,BF37))</f>
        <v/>
      </c>
      <c r="BJ37" s="4">
        <f>IF(BB37="","",(BH37+BI37)/2)</f>
        <v/>
      </c>
      <c r="BK37" s="4">
        <f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4">
        <f>IF(BB37="","",IF(BK37&lt;BB37,BJ37,BH37))</f>
        <v/>
      </c>
      <c r="BM37" s="4">
        <f>IF(BB37="","",IF(BK37&lt;BB37,BI37,BJ37))</f>
        <v/>
      </c>
      <c r="BN37" s="4">
        <f>IF(BB37="","",(BL37+BM37)/2)</f>
        <v/>
      </c>
      <c r="BO37" s="4">
        <f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4">
        <f>IF(BB37="","",IF(BO37&lt;BB37,BN37,BL37))</f>
        <v/>
      </c>
      <c r="BQ37" s="4">
        <f>IF(BB37="","",IF(BO37&lt;BB37,BM37,BN37))</f>
        <v/>
      </c>
      <c r="BR37" s="4">
        <f>IF(BB37="","",(BP37+BQ37)/2)</f>
        <v/>
      </c>
      <c r="BS37" s="4">
        <f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4">
        <f>IF(BB37="","",IF(BS37&lt;BB37,BR37,BP37))</f>
        <v/>
      </c>
      <c r="BU37" s="4">
        <f>IF(BB37="","",IF(BS37&lt;BB37,BQ37,BR37))</f>
        <v/>
      </c>
      <c r="BV37" s="4">
        <f>IF(BB37="","",(BT37+BU37)/2)</f>
        <v/>
      </c>
      <c r="BW37" s="4">
        <f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4">
        <f>IF(BB37="","",IF(BW37&lt;BB37,BV37,BT37))</f>
        <v/>
      </c>
      <c r="BY37" s="4">
        <f>IF(BB37="","",IF(BW37&lt;BB37,BU37,BV37))</f>
        <v/>
      </c>
      <c r="BZ37" s="4">
        <f>IF(BB37="","",(BX37+BY37)/2)</f>
        <v/>
      </c>
      <c r="CA37" s="4">
        <f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4">
        <f>IF(BB37="","",IF(CA37&lt;BB37,BZ37,BX37))</f>
        <v/>
      </c>
      <c r="CC37" s="4">
        <f>IF(BB37="","",IF(CA37&lt;BB37,BY37,BZ37))</f>
        <v/>
      </c>
      <c r="CD37" s="4">
        <f>IF(BB37="","",(CB37+CC37)/2)</f>
        <v/>
      </c>
      <c r="CE37" s="4">
        <f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4">
        <f>IF(BB37="","",IF(CE37&lt;BB37,CD37,CB37))</f>
        <v/>
      </c>
      <c r="CG37" s="4">
        <f>IF(BB37="","",IF(CE37&lt;BB37,CC37,CD37))</f>
        <v/>
      </c>
      <c r="CH37" s="4">
        <f>IF(BB37="","",(CF37+CG37)/2)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SUMIFS(CB_plan!$G:$G,CB_plan!$F:$F,$A38)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IF(A38="","",IF(H38="","",2.78E-7*IF(I38&lt;&gt;"",I38,IFERROR(SUMIFS(CB_plan!$H:$H,CB_plan!$F:$F,$A38)/SUMIFS(CB_plan!$G:$G,CB_plan!$F:$F,$A38),Inputs!$B$17))*H38*K38))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7">
        <f>IF(BB38="","",CH38)</f>
        <v/>
      </c>
      <c r="BA38" s="7">
        <f>IF(OR(BB38="",AZ38="",T38="",T38&lt;=0,AZ38&lt;=0),"",BB38/((T38^2/8)*(2*ACOS(1-2*AZ38/T38)-SIN(2*ACOS(1-2*AZ38/T38)))))</f>
        <v/>
      </c>
      <c r="BB38" s="4">
        <f>IF(OR(N38="",BC38=""),"",MIN(N38,BC38))</f>
        <v/>
      </c>
      <c r="BC38" s="4">
        <f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4">
        <f>IF(BB38="","",0.001*T38)</f>
        <v/>
      </c>
      <c r="BE38" s="4">
        <f>IF(BB38="","",0.94*T38)</f>
        <v/>
      </c>
      <c r="BF38" s="4">
        <f>IF(BB38="","",(BD38+BE38)/2)</f>
        <v/>
      </c>
      <c r="BG38" s="4">
        <f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4">
        <f>IF(BB38="","",IF(BG38&lt;BB38,BF38,BD38))</f>
        <v/>
      </c>
      <c r="BI38" s="4">
        <f>IF(BB38="","",IF(BG38&lt;BB38,BE38,BF38))</f>
        <v/>
      </c>
      <c r="BJ38" s="4">
        <f>IF(BB38="","",(BH38+BI38)/2)</f>
        <v/>
      </c>
      <c r="BK38" s="4">
        <f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4">
        <f>IF(BB38="","",IF(BK38&lt;BB38,BJ38,BH38))</f>
        <v/>
      </c>
      <c r="BM38" s="4">
        <f>IF(BB38="","",IF(BK38&lt;BB38,BI38,BJ38))</f>
        <v/>
      </c>
      <c r="BN38" s="4">
        <f>IF(BB38="","",(BL38+BM38)/2)</f>
        <v/>
      </c>
      <c r="BO38" s="4">
        <f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4">
        <f>IF(BB38="","",IF(BO38&lt;BB38,BN38,BL38))</f>
        <v/>
      </c>
      <c r="BQ38" s="4">
        <f>IF(BB38="","",IF(BO38&lt;BB38,BM38,BN38))</f>
        <v/>
      </c>
      <c r="BR38" s="4">
        <f>IF(BB38="","",(BP38+BQ38)/2)</f>
        <v/>
      </c>
      <c r="BS38" s="4">
        <f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4">
        <f>IF(BB38="","",IF(BS38&lt;BB38,BR38,BP38))</f>
        <v/>
      </c>
      <c r="BU38" s="4">
        <f>IF(BB38="","",IF(BS38&lt;BB38,BQ38,BR38))</f>
        <v/>
      </c>
      <c r="BV38" s="4">
        <f>IF(BB38="","",(BT38+BU38)/2)</f>
        <v/>
      </c>
      <c r="BW38" s="4">
        <f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4">
        <f>IF(BB38="","",IF(BW38&lt;BB38,BV38,BT38))</f>
        <v/>
      </c>
      <c r="BY38" s="4">
        <f>IF(BB38="","",IF(BW38&lt;BB38,BU38,BV38))</f>
        <v/>
      </c>
      <c r="BZ38" s="4">
        <f>IF(BB38="","",(BX38+BY38)/2)</f>
        <v/>
      </c>
      <c r="CA38" s="4">
        <f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4">
        <f>IF(BB38="","",IF(CA38&lt;BB38,BZ38,BX38))</f>
        <v/>
      </c>
      <c r="CC38" s="4">
        <f>IF(BB38="","",IF(CA38&lt;BB38,BY38,BZ38))</f>
        <v/>
      </c>
      <c r="CD38" s="4">
        <f>IF(BB38="","",(CB38+CC38)/2)</f>
        <v/>
      </c>
      <c r="CE38" s="4">
        <f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4">
        <f>IF(BB38="","",IF(CE38&lt;BB38,CD38,CB38))</f>
        <v/>
      </c>
      <c r="CG38" s="4">
        <f>IF(BB38="","",IF(CE38&lt;BB38,CC38,CD38))</f>
        <v/>
      </c>
      <c r="CH38" s="4">
        <f>IF(BB38="","",(CF38+CG38)/2)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SUMIFS(CB_plan!$G:$G,CB_plan!$F:$F,$A39)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IF(A39="","",IF(H39="","",2.78E-7*IF(I39&lt;&gt;"",I39,IFERROR(SUMIFS(CB_plan!$H:$H,CB_plan!$F:$F,$A39)/SUMIFS(CB_plan!$G:$G,CB_plan!$F:$F,$A39),Inputs!$B$17))*H39*K39))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7">
        <f>IF(BB39="","",CH39)</f>
        <v/>
      </c>
      <c r="BA39" s="7">
        <f>IF(OR(BB39="",AZ39="",T39="",T39&lt;=0,AZ39&lt;=0),"",BB39/((T39^2/8)*(2*ACOS(1-2*AZ39/T39)-SIN(2*ACOS(1-2*AZ39/T39)))))</f>
        <v/>
      </c>
      <c r="BB39" s="4">
        <f>IF(OR(N39="",BC39=""),"",MIN(N39,BC39))</f>
        <v/>
      </c>
      <c r="BC39" s="4">
        <f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4">
        <f>IF(BB39="","",0.001*T39)</f>
        <v/>
      </c>
      <c r="BE39" s="4">
        <f>IF(BB39="","",0.94*T39)</f>
        <v/>
      </c>
      <c r="BF39" s="4">
        <f>IF(BB39="","",(BD39+BE39)/2)</f>
        <v/>
      </c>
      <c r="BG39" s="4">
        <f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4">
        <f>IF(BB39="","",IF(BG39&lt;BB39,BF39,BD39))</f>
        <v/>
      </c>
      <c r="BI39" s="4">
        <f>IF(BB39="","",IF(BG39&lt;BB39,BE39,BF39))</f>
        <v/>
      </c>
      <c r="BJ39" s="4">
        <f>IF(BB39="","",(BH39+BI39)/2)</f>
        <v/>
      </c>
      <c r="BK39" s="4">
        <f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4">
        <f>IF(BB39="","",IF(BK39&lt;BB39,BJ39,BH39))</f>
        <v/>
      </c>
      <c r="BM39" s="4">
        <f>IF(BB39="","",IF(BK39&lt;BB39,BI39,BJ39))</f>
        <v/>
      </c>
      <c r="BN39" s="4">
        <f>IF(BB39="","",(BL39+BM39)/2)</f>
        <v/>
      </c>
      <c r="BO39" s="4">
        <f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4">
        <f>IF(BB39="","",IF(BO39&lt;BB39,BN39,BL39))</f>
        <v/>
      </c>
      <c r="BQ39" s="4">
        <f>IF(BB39="","",IF(BO39&lt;BB39,BM39,BN39))</f>
        <v/>
      </c>
      <c r="BR39" s="4">
        <f>IF(BB39="","",(BP39+BQ39)/2)</f>
        <v/>
      </c>
      <c r="BS39" s="4">
        <f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4">
        <f>IF(BB39="","",IF(BS39&lt;BB39,BR39,BP39))</f>
        <v/>
      </c>
      <c r="BU39" s="4">
        <f>IF(BB39="","",IF(BS39&lt;BB39,BQ39,BR39))</f>
        <v/>
      </c>
      <c r="BV39" s="4">
        <f>IF(BB39="","",(BT39+BU39)/2)</f>
        <v/>
      </c>
      <c r="BW39" s="4">
        <f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4">
        <f>IF(BB39="","",IF(BW39&lt;BB39,BV39,BT39))</f>
        <v/>
      </c>
      <c r="BY39" s="4">
        <f>IF(BB39="","",IF(BW39&lt;BB39,BU39,BV39))</f>
        <v/>
      </c>
      <c r="BZ39" s="4">
        <f>IF(BB39="","",(BX39+BY39)/2)</f>
        <v/>
      </c>
      <c r="CA39" s="4">
        <f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4">
        <f>IF(BB39="","",IF(CA39&lt;BB39,BZ39,BX39))</f>
        <v/>
      </c>
      <c r="CC39" s="4">
        <f>IF(BB39="","",IF(CA39&lt;BB39,BY39,BZ39))</f>
        <v/>
      </c>
      <c r="CD39" s="4">
        <f>IF(BB39="","",(CB39+CC39)/2)</f>
        <v/>
      </c>
      <c r="CE39" s="4">
        <f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4">
        <f>IF(BB39="","",IF(CE39&lt;BB39,CD39,CB39))</f>
        <v/>
      </c>
      <c r="CG39" s="4">
        <f>IF(BB39="","",IF(CE39&lt;BB39,CC39,CD39))</f>
        <v/>
      </c>
      <c r="CH39" s="4">
        <f>IF(BB39="","",(CF39+CG39)/2)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SUMIFS(CB_plan!$G:$G,CB_plan!$F:$F,$A40)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IF(A40="","",IF(H40="","",2.78E-7*IF(I40&lt;&gt;"",I40,IFERROR(SUMIFS(CB_plan!$H:$H,CB_plan!$F:$F,$A40)/SUMIFS(CB_plan!$G:$G,CB_plan!$F:$F,$A40),Inputs!$B$17))*H40*K40))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7">
        <f>IF(BB40="","",CH40)</f>
        <v/>
      </c>
      <c r="BA40" s="7">
        <f>IF(OR(BB40="",AZ40="",T40="",T40&lt;=0,AZ40&lt;=0),"",BB40/((T40^2/8)*(2*ACOS(1-2*AZ40/T40)-SIN(2*ACOS(1-2*AZ40/T40)))))</f>
        <v/>
      </c>
      <c r="BB40" s="4">
        <f>IF(OR(N40="",BC40=""),"",MIN(N40,BC40))</f>
        <v/>
      </c>
      <c r="BC40" s="4">
        <f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4">
        <f>IF(BB40="","",0.001*T40)</f>
        <v/>
      </c>
      <c r="BE40" s="4">
        <f>IF(BB40="","",0.94*T40)</f>
        <v/>
      </c>
      <c r="BF40" s="4">
        <f>IF(BB40="","",(BD40+BE40)/2)</f>
        <v/>
      </c>
      <c r="BG40" s="4">
        <f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4">
        <f>IF(BB40="","",IF(BG40&lt;BB40,BF40,BD40))</f>
        <v/>
      </c>
      <c r="BI40" s="4">
        <f>IF(BB40="","",IF(BG40&lt;BB40,BE40,BF40))</f>
        <v/>
      </c>
      <c r="BJ40" s="4">
        <f>IF(BB40="","",(BH40+BI40)/2)</f>
        <v/>
      </c>
      <c r="BK40" s="4">
        <f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4">
        <f>IF(BB40="","",IF(BK40&lt;BB40,BJ40,BH40))</f>
        <v/>
      </c>
      <c r="BM40" s="4">
        <f>IF(BB40="","",IF(BK40&lt;BB40,BI40,BJ40))</f>
        <v/>
      </c>
      <c r="BN40" s="4">
        <f>IF(BB40="","",(BL40+BM40)/2)</f>
        <v/>
      </c>
      <c r="BO40" s="4">
        <f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4">
        <f>IF(BB40="","",IF(BO40&lt;BB40,BN40,BL40))</f>
        <v/>
      </c>
      <c r="BQ40" s="4">
        <f>IF(BB40="","",IF(BO40&lt;BB40,BM40,BN40))</f>
        <v/>
      </c>
      <c r="BR40" s="4">
        <f>IF(BB40="","",(BP40+BQ40)/2)</f>
        <v/>
      </c>
      <c r="BS40" s="4">
        <f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4">
        <f>IF(BB40="","",IF(BS40&lt;BB40,BR40,BP40))</f>
        <v/>
      </c>
      <c r="BU40" s="4">
        <f>IF(BB40="","",IF(BS40&lt;BB40,BQ40,BR40))</f>
        <v/>
      </c>
      <c r="BV40" s="4">
        <f>IF(BB40="","",(BT40+BU40)/2)</f>
        <v/>
      </c>
      <c r="BW40" s="4">
        <f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4">
        <f>IF(BB40="","",IF(BW40&lt;BB40,BV40,BT40))</f>
        <v/>
      </c>
      <c r="BY40" s="4">
        <f>IF(BB40="","",IF(BW40&lt;BB40,BU40,BV40))</f>
        <v/>
      </c>
      <c r="BZ40" s="4">
        <f>IF(BB40="","",(BX40+BY40)/2)</f>
        <v/>
      </c>
      <c r="CA40" s="4">
        <f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4">
        <f>IF(BB40="","",IF(CA40&lt;BB40,BZ40,BX40))</f>
        <v/>
      </c>
      <c r="CC40" s="4">
        <f>IF(BB40="","",IF(CA40&lt;BB40,BY40,BZ40))</f>
        <v/>
      </c>
      <c r="CD40" s="4">
        <f>IF(BB40="","",(CB40+CC40)/2)</f>
        <v/>
      </c>
      <c r="CE40" s="4">
        <f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4">
        <f>IF(BB40="","",IF(CE40&lt;BB40,CD40,CB40))</f>
        <v/>
      </c>
      <c r="CG40" s="4">
        <f>IF(BB40="","",IF(CE40&lt;BB40,CC40,CD40))</f>
        <v/>
      </c>
      <c r="CH40" s="4">
        <f>IF(BB40="","",(CF40+CG40)/2)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SUMIFS(CB_plan!$G:$G,CB_plan!$F:$F,$A41)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IF(A41="","",IF(H41="","",2.78E-7*IF(I41&lt;&gt;"",I41,IFERROR(SUMIFS(CB_plan!$H:$H,CB_plan!$F:$F,$A41)/SUMIFS(CB_plan!$G:$G,CB_plan!$F:$F,$A41),Inputs!$B$17))*H41*K41))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7">
        <f>IF(BB41="","",CH41)</f>
        <v/>
      </c>
      <c r="BA41" s="7">
        <f>IF(OR(BB41="",AZ41="",T41="",T41&lt;=0,AZ41&lt;=0),"",BB41/((T41^2/8)*(2*ACOS(1-2*AZ41/T41)-SIN(2*ACOS(1-2*AZ41/T41)))))</f>
        <v/>
      </c>
      <c r="BB41" s="4">
        <f>IF(OR(N41="",BC41=""),"",MIN(N41,BC41))</f>
        <v/>
      </c>
      <c r="BC41" s="4">
        <f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4">
        <f>IF(BB41="","",0.001*T41)</f>
        <v/>
      </c>
      <c r="BE41" s="4">
        <f>IF(BB41="","",0.94*T41)</f>
        <v/>
      </c>
      <c r="BF41" s="4">
        <f>IF(BB41="","",(BD41+BE41)/2)</f>
        <v/>
      </c>
      <c r="BG41" s="4">
        <f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4">
        <f>IF(BB41="","",IF(BG41&lt;BB41,BF41,BD41))</f>
        <v/>
      </c>
      <c r="BI41" s="4">
        <f>IF(BB41="","",IF(BG41&lt;BB41,BE41,BF41))</f>
        <v/>
      </c>
      <c r="BJ41" s="4">
        <f>IF(BB41="","",(BH41+BI41)/2)</f>
        <v/>
      </c>
      <c r="BK41" s="4">
        <f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4">
        <f>IF(BB41="","",IF(BK41&lt;BB41,BJ41,BH41))</f>
        <v/>
      </c>
      <c r="BM41" s="4">
        <f>IF(BB41="","",IF(BK41&lt;BB41,BI41,BJ41))</f>
        <v/>
      </c>
      <c r="BN41" s="4">
        <f>IF(BB41="","",(BL41+BM41)/2)</f>
        <v/>
      </c>
      <c r="BO41" s="4">
        <f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4">
        <f>IF(BB41="","",IF(BO41&lt;BB41,BN41,BL41))</f>
        <v/>
      </c>
      <c r="BQ41" s="4">
        <f>IF(BB41="","",IF(BO41&lt;BB41,BM41,BN41))</f>
        <v/>
      </c>
      <c r="BR41" s="4">
        <f>IF(BB41="","",(BP41+BQ41)/2)</f>
        <v/>
      </c>
      <c r="BS41" s="4">
        <f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4">
        <f>IF(BB41="","",IF(BS41&lt;BB41,BR41,BP41))</f>
        <v/>
      </c>
      <c r="BU41" s="4">
        <f>IF(BB41="","",IF(BS41&lt;BB41,BQ41,BR41))</f>
        <v/>
      </c>
      <c r="BV41" s="4">
        <f>IF(BB41="","",(BT41+BU41)/2)</f>
        <v/>
      </c>
      <c r="BW41" s="4">
        <f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4">
        <f>IF(BB41="","",IF(BW41&lt;BB41,BV41,BT41))</f>
        <v/>
      </c>
      <c r="BY41" s="4">
        <f>IF(BB41="","",IF(BW41&lt;BB41,BU41,BV41))</f>
        <v/>
      </c>
      <c r="BZ41" s="4">
        <f>IF(BB41="","",(BX41+BY41)/2)</f>
        <v/>
      </c>
      <c r="CA41" s="4">
        <f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4">
        <f>IF(BB41="","",IF(CA41&lt;BB41,BZ41,BX41))</f>
        <v/>
      </c>
      <c r="CC41" s="4">
        <f>IF(BB41="","",IF(CA41&lt;BB41,BY41,BZ41))</f>
        <v/>
      </c>
      <c r="CD41" s="4">
        <f>IF(BB41="","",(CB41+CC41)/2)</f>
        <v/>
      </c>
      <c r="CE41" s="4">
        <f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4">
        <f>IF(BB41="","",IF(CE41&lt;BB41,CD41,CB41))</f>
        <v/>
      </c>
      <c r="CG41" s="4">
        <f>IF(BB41="","",IF(CE41&lt;BB41,CC41,CD41))</f>
        <v/>
      </c>
      <c r="CH41" s="4">
        <f>IF(BB41="","",(CF41+CG41)/2)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SUMIFS(CB_plan!$G:$G,CB_plan!$F:$F,$A42)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IF(A42="","",IF(H42="","",2.78E-7*IF(I42&lt;&gt;"",I42,IFERROR(SUMIFS(CB_plan!$H:$H,CB_plan!$F:$F,$A42)/SUMIFS(CB_plan!$G:$G,CB_plan!$F:$F,$A42),Inputs!$B$17))*H42*K42))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7">
        <f>IF(BB42="","",CH42)</f>
        <v/>
      </c>
      <c r="BA42" s="7">
        <f>IF(OR(BB42="",AZ42="",T42="",T42&lt;=0,AZ42&lt;=0),"",BB42/((T42^2/8)*(2*ACOS(1-2*AZ42/T42)-SIN(2*ACOS(1-2*AZ42/T42)))))</f>
        <v/>
      </c>
      <c r="BB42" s="4">
        <f>IF(OR(N42="",BC42=""),"",MIN(N42,BC42))</f>
        <v/>
      </c>
      <c r="BC42" s="4">
        <f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4">
        <f>IF(BB42="","",0.001*T42)</f>
        <v/>
      </c>
      <c r="BE42" s="4">
        <f>IF(BB42="","",0.94*T42)</f>
        <v/>
      </c>
      <c r="BF42" s="4">
        <f>IF(BB42="","",(BD42+BE42)/2)</f>
        <v/>
      </c>
      <c r="BG42" s="4">
        <f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4">
        <f>IF(BB42="","",IF(BG42&lt;BB42,BF42,BD42))</f>
        <v/>
      </c>
      <c r="BI42" s="4">
        <f>IF(BB42="","",IF(BG42&lt;BB42,BE42,BF42))</f>
        <v/>
      </c>
      <c r="BJ42" s="4">
        <f>IF(BB42="","",(BH42+BI42)/2)</f>
        <v/>
      </c>
      <c r="BK42" s="4">
        <f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4">
        <f>IF(BB42="","",IF(BK42&lt;BB42,BJ42,BH42))</f>
        <v/>
      </c>
      <c r="BM42" s="4">
        <f>IF(BB42="","",IF(BK42&lt;BB42,BI42,BJ42))</f>
        <v/>
      </c>
      <c r="BN42" s="4">
        <f>IF(BB42="","",(BL42+BM42)/2)</f>
        <v/>
      </c>
      <c r="BO42" s="4">
        <f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4">
        <f>IF(BB42="","",IF(BO42&lt;BB42,BN42,BL42))</f>
        <v/>
      </c>
      <c r="BQ42" s="4">
        <f>IF(BB42="","",IF(BO42&lt;BB42,BM42,BN42))</f>
        <v/>
      </c>
      <c r="BR42" s="4">
        <f>IF(BB42="","",(BP42+BQ42)/2)</f>
        <v/>
      </c>
      <c r="BS42" s="4">
        <f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4">
        <f>IF(BB42="","",IF(BS42&lt;BB42,BR42,BP42))</f>
        <v/>
      </c>
      <c r="BU42" s="4">
        <f>IF(BB42="","",IF(BS42&lt;BB42,BQ42,BR42))</f>
        <v/>
      </c>
      <c r="BV42" s="4">
        <f>IF(BB42="","",(BT42+BU42)/2)</f>
        <v/>
      </c>
      <c r="BW42" s="4">
        <f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4">
        <f>IF(BB42="","",IF(BW42&lt;BB42,BV42,BT42))</f>
        <v/>
      </c>
      <c r="BY42" s="4">
        <f>IF(BB42="","",IF(BW42&lt;BB42,BU42,BV42))</f>
        <v/>
      </c>
      <c r="BZ42" s="4">
        <f>IF(BB42="","",(BX42+BY42)/2)</f>
        <v/>
      </c>
      <c r="CA42" s="4">
        <f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4">
        <f>IF(BB42="","",IF(CA42&lt;BB42,BZ42,BX42))</f>
        <v/>
      </c>
      <c r="CC42" s="4">
        <f>IF(BB42="","",IF(CA42&lt;BB42,BY42,BZ42))</f>
        <v/>
      </c>
      <c r="CD42" s="4">
        <f>IF(BB42="","",(CB42+CC42)/2)</f>
        <v/>
      </c>
      <c r="CE42" s="4">
        <f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4">
        <f>IF(BB42="","",IF(CE42&lt;BB42,CD42,CB42))</f>
        <v/>
      </c>
      <c r="CG42" s="4">
        <f>IF(BB42="","",IF(CE42&lt;BB42,CC42,CD42))</f>
        <v/>
      </c>
      <c r="CH42" s="4">
        <f>IF(BB42="","",(CF42+CG42)/2)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SUMIFS(CB_plan!$G:$G,CB_plan!$F:$F,$A43)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IF(A43="","",IF(H43="","",2.78E-7*IF(I43&lt;&gt;"",I43,IFERROR(SUMIFS(CB_plan!$H:$H,CB_plan!$F:$F,$A43)/SUMIFS(CB_plan!$G:$G,CB_plan!$F:$F,$A43),Inputs!$B$17))*H43*K43))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7">
        <f>IF(BB43="","",CH43)</f>
        <v/>
      </c>
      <c r="BA43" s="7">
        <f>IF(OR(BB43="",AZ43="",T43="",T43&lt;=0,AZ43&lt;=0),"",BB43/((T43^2/8)*(2*ACOS(1-2*AZ43/T43)-SIN(2*ACOS(1-2*AZ43/T43)))))</f>
        <v/>
      </c>
      <c r="BB43" s="4">
        <f>IF(OR(N43="",BC43=""),"",MIN(N43,BC43))</f>
        <v/>
      </c>
      <c r="BC43" s="4">
        <f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4">
        <f>IF(BB43="","",0.001*T43)</f>
        <v/>
      </c>
      <c r="BE43" s="4">
        <f>IF(BB43="","",0.94*T43)</f>
        <v/>
      </c>
      <c r="BF43" s="4">
        <f>IF(BB43="","",(BD43+BE43)/2)</f>
        <v/>
      </c>
      <c r="BG43" s="4">
        <f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4">
        <f>IF(BB43="","",IF(BG43&lt;BB43,BF43,BD43))</f>
        <v/>
      </c>
      <c r="BI43" s="4">
        <f>IF(BB43="","",IF(BG43&lt;BB43,BE43,BF43))</f>
        <v/>
      </c>
      <c r="BJ43" s="4">
        <f>IF(BB43="","",(BH43+BI43)/2)</f>
        <v/>
      </c>
      <c r="BK43" s="4">
        <f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4">
        <f>IF(BB43="","",IF(BK43&lt;BB43,BJ43,BH43))</f>
        <v/>
      </c>
      <c r="BM43" s="4">
        <f>IF(BB43="","",IF(BK43&lt;BB43,BI43,BJ43))</f>
        <v/>
      </c>
      <c r="BN43" s="4">
        <f>IF(BB43="","",(BL43+BM43)/2)</f>
        <v/>
      </c>
      <c r="BO43" s="4">
        <f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4">
        <f>IF(BB43="","",IF(BO43&lt;BB43,BN43,BL43))</f>
        <v/>
      </c>
      <c r="BQ43" s="4">
        <f>IF(BB43="","",IF(BO43&lt;BB43,BM43,BN43))</f>
        <v/>
      </c>
      <c r="BR43" s="4">
        <f>IF(BB43="","",(BP43+BQ43)/2)</f>
        <v/>
      </c>
      <c r="BS43" s="4">
        <f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4">
        <f>IF(BB43="","",IF(BS43&lt;BB43,BR43,BP43))</f>
        <v/>
      </c>
      <c r="BU43" s="4">
        <f>IF(BB43="","",IF(BS43&lt;BB43,BQ43,BR43))</f>
        <v/>
      </c>
      <c r="BV43" s="4">
        <f>IF(BB43="","",(BT43+BU43)/2)</f>
        <v/>
      </c>
      <c r="BW43" s="4">
        <f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4">
        <f>IF(BB43="","",IF(BW43&lt;BB43,BV43,BT43))</f>
        <v/>
      </c>
      <c r="BY43" s="4">
        <f>IF(BB43="","",IF(BW43&lt;BB43,BU43,BV43))</f>
        <v/>
      </c>
      <c r="BZ43" s="4">
        <f>IF(BB43="","",(BX43+BY43)/2)</f>
        <v/>
      </c>
      <c r="CA43" s="4">
        <f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4">
        <f>IF(BB43="","",IF(CA43&lt;BB43,BZ43,BX43))</f>
        <v/>
      </c>
      <c r="CC43" s="4">
        <f>IF(BB43="","",IF(CA43&lt;BB43,BY43,BZ43))</f>
        <v/>
      </c>
      <c r="CD43" s="4">
        <f>IF(BB43="","",(CB43+CC43)/2)</f>
        <v/>
      </c>
      <c r="CE43" s="4">
        <f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4">
        <f>IF(BB43="","",IF(CE43&lt;BB43,CD43,CB43))</f>
        <v/>
      </c>
      <c r="CG43" s="4">
        <f>IF(BB43="","",IF(CE43&lt;BB43,CC43,CD43))</f>
        <v/>
      </c>
      <c r="CH43" s="4">
        <f>IF(BB43="","",(CF43+CG43)/2)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SUMIFS(CB_plan!$G:$G,CB_plan!$F:$F,$A44)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IF(A44="","",IF(H44="","",2.78E-7*IF(I44&lt;&gt;"",I44,IFERROR(SUMIFS(CB_plan!$H:$H,CB_plan!$F:$F,$A44)/SUMIFS(CB_plan!$G:$G,CB_plan!$F:$F,$A44),Inputs!$B$17))*H44*K44))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7">
        <f>IF(BB44="","",CH44)</f>
        <v/>
      </c>
      <c r="BA44" s="7">
        <f>IF(OR(BB44="",AZ44="",T44="",T44&lt;=0,AZ44&lt;=0),"",BB44/((T44^2/8)*(2*ACOS(1-2*AZ44/T44)-SIN(2*ACOS(1-2*AZ44/T44)))))</f>
        <v/>
      </c>
      <c r="BB44" s="4">
        <f>IF(OR(N44="",BC44=""),"",MIN(N44,BC44))</f>
        <v/>
      </c>
      <c r="BC44" s="4">
        <f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4">
        <f>IF(BB44="","",0.001*T44)</f>
        <v/>
      </c>
      <c r="BE44" s="4">
        <f>IF(BB44="","",0.94*T44)</f>
        <v/>
      </c>
      <c r="BF44" s="4">
        <f>IF(BB44="","",(BD44+BE44)/2)</f>
        <v/>
      </c>
      <c r="BG44" s="4">
        <f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4">
        <f>IF(BB44="","",IF(BG44&lt;BB44,BF44,BD44))</f>
        <v/>
      </c>
      <c r="BI44" s="4">
        <f>IF(BB44="","",IF(BG44&lt;BB44,BE44,BF44))</f>
        <v/>
      </c>
      <c r="BJ44" s="4">
        <f>IF(BB44="","",(BH44+BI44)/2)</f>
        <v/>
      </c>
      <c r="BK44" s="4">
        <f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4">
        <f>IF(BB44="","",IF(BK44&lt;BB44,BJ44,BH44))</f>
        <v/>
      </c>
      <c r="BM44" s="4">
        <f>IF(BB44="","",IF(BK44&lt;BB44,BI44,BJ44))</f>
        <v/>
      </c>
      <c r="BN44" s="4">
        <f>IF(BB44="","",(BL44+BM44)/2)</f>
        <v/>
      </c>
      <c r="BO44" s="4">
        <f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4">
        <f>IF(BB44="","",IF(BO44&lt;BB44,BN44,BL44))</f>
        <v/>
      </c>
      <c r="BQ44" s="4">
        <f>IF(BB44="","",IF(BO44&lt;BB44,BM44,BN44))</f>
        <v/>
      </c>
      <c r="BR44" s="4">
        <f>IF(BB44="","",(BP44+BQ44)/2)</f>
        <v/>
      </c>
      <c r="BS44" s="4">
        <f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4">
        <f>IF(BB44="","",IF(BS44&lt;BB44,BR44,BP44))</f>
        <v/>
      </c>
      <c r="BU44" s="4">
        <f>IF(BB44="","",IF(BS44&lt;BB44,BQ44,BR44))</f>
        <v/>
      </c>
      <c r="BV44" s="4">
        <f>IF(BB44="","",(BT44+BU44)/2)</f>
        <v/>
      </c>
      <c r="BW44" s="4">
        <f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4">
        <f>IF(BB44="","",IF(BW44&lt;BB44,BV44,BT44))</f>
        <v/>
      </c>
      <c r="BY44" s="4">
        <f>IF(BB44="","",IF(BW44&lt;BB44,BU44,BV44))</f>
        <v/>
      </c>
      <c r="BZ44" s="4">
        <f>IF(BB44="","",(BX44+BY44)/2)</f>
        <v/>
      </c>
      <c r="CA44" s="4">
        <f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4">
        <f>IF(BB44="","",IF(CA44&lt;BB44,BZ44,BX44))</f>
        <v/>
      </c>
      <c r="CC44" s="4">
        <f>IF(BB44="","",IF(CA44&lt;BB44,BY44,BZ44))</f>
        <v/>
      </c>
      <c r="CD44" s="4">
        <f>IF(BB44="","",(CB44+CC44)/2)</f>
        <v/>
      </c>
      <c r="CE44" s="4">
        <f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4">
        <f>IF(BB44="","",IF(CE44&lt;BB44,CD44,CB44))</f>
        <v/>
      </c>
      <c r="CG44" s="4">
        <f>IF(BB44="","",IF(CE44&lt;BB44,CC44,CD44))</f>
        <v/>
      </c>
      <c r="CH44" s="4">
        <f>IF(BB44="","",(CF44+CG44)/2)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SUMIFS(CB_plan!$G:$G,CB_plan!$F:$F,$A45)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IF(A45="","",IF(H45="","",2.78E-7*IF(I45&lt;&gt;"",I45,IFERROR(SUMIFS(CB_plan!$H:$H,CB_plan!$F:$F,$A45)/SUMIFS(CB_plan!$G:$G,CB_plan!$F:$F,$A45),Inputs!$B$17))*H45*K45))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7">
        <f>IF(BB45="","",CH45)</f>
        <v/>
      </c>
      <c r="BA45" s="7">
        <f>IF(OR(BB45="",AZ45="",T45="",T45&lt;=0,AZ45&lt;=0),"",BB45/((T45^2/8)*(2*ACOS(1-2*AZ45/T45)-SIN(2*ACOS(1-2*AZ45/T45)))))</f>
        <v/>
      </c>
      <c r="BB45" s="4">
        <f>IF(OR(N45="",BC45=""),"",MIN(N45,BC45))</f>
        <v/>
      </c>
      <c r="BC45" s="4">
        <f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4">
        <f>IF(BB45="","",0.001*T45)</f>
        <v/>
      </c>
      <c r="BE45" s="4">
        <f>IF(BB45="","",0.94*T45)</f>
        <v/>
      </c>
      <c r="BF45" s="4">
        <f>IF(BB45="","",(BD45+BE45)/2)</f>
        <v/>
      </c>
      <c r="BG45" s="4">
        <f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4">
        <f>IF(BB45="","",IF(BG45&lt;BB45,BF45,BD45))</f>
        <v/>
      </c>
      <c r="BI45" s="4">
        <f>IF(BB45="","",IF(BG45&lt;BB45,BE45,BF45))</f>
        <v/>
      </c>
      <c r="BJ45" s="4">
        <f>IF(BB45="","",(BH45+BI45)/2)</f>
        <v/>
      </c>
      <c r="BK45" s="4">
        <f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4">
        <f>IF(BB45="","",IF(BK45&lt;BB45,BJ45,BH45))</f>
        <v/>
      </c>
      <c r="BM45" s="4">
        <f>IF(BB45="","",IF(BK45&lt;BB45,BI45,BJ45))</f>
        <v/>
      </c>
      <c r="BN45" s="4">
        <f>IF(BB45="","",(BL45+BM45)/2)</f>
        <v/>
      </c>
      <c r="BO45" s="4">
        <f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4">
        <f>IF(BB45="","",IF(BO45&lt;BB45,BN45,BL45))</f>
        <v/>
      </c>
      <c r="BQ45" s="4">
        <f>IF(BB45="","",IF(BO45&lt;BB45,BM45,BN45))</f>
        <v/>
      </c>
      <c r="BR45" s="4">
        <f>IF(BB45="","",(BP45+BQ45)/2)</f>
        <v/>
      </c>
      <c r="BS45" s="4">
        <f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4">
        <f>IF(BB45="","",IF(BS45&lt;BB45,BR45,BP45))</f>
        <v/>
      </c>
      <c r="BU45" s="4">
        <f>IF(BB45="","",IF(BS45&lt;BB45,BQ45,BR45))</f>
        <v/>
      </c>
      <c r="BV45" s="4">
        <f>IF(BB45="","",(BT45+BU45)/2)</f>
        <v/>
      </c>
      <c r="BW45" s="4">
        <f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4">
        <f>IF(BB45="","",IF(BW45&lt;BB45,BV45,BT45))</f>
        <v/>
      </c>
      <c r="BY45" s="4">
        <f>IF(BB45="","",IF(BW45&lt;BB45,BU45,BV45))</f>
        <v/>
      </c>
      <c r="BZ45" s="4">
        <f>IF(BB45="","",(BX45+BY45)/2)</f>
        <v/>
      </c>
      <c r="CA45" s="4">
        <f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4">
        <f>IF(BB45="","",IF(CA45&lt;BB45,BZ45,BX45))</f>
        <v/>
      </c>
      <c r="CC45" s="4">
        <f>IF(BB45="","",IF(CA45&lt;BB45,BY45,BZ45))</f>
        <v/>
      </c>
      <c r="CD45" s="4">
        <f>IF(BB45="","",(CB45+CC45)/2)</f>
        <v/>
      </c>
      <c r="CE45" s="4">
        <f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4">
        <f>IF(BB45="","",IF(CE45&lt;BB45,CD45,CB45))</f>
        <v/>
      </c>
      <c r="CG45" s="4">
        <f>IF(BB45="","",IF(CE45&lt;BB45,CC45,CD45))</f>
        <v/>
      </c>
      <c r="CH45" s="4">
        <f>IF(BB45="","",(CF45+CG45)/2)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SUMIFS(CB_plan!$G:$G,CB_plan!$F:$F,$A46)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IF(A46="","",IF(H46="","",2.78E-7*IF(I46&lt;&gt;"",I46,IFERROR(SUMIFS(CB_plan!$H:$H,CB_plan!$F:$F,$A46)/SUMIFS(CB_plan!$G:$G,CB_plan!$F:$F,$A46),Inputs!$B$17))*H46*K46))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7">
        <f>IF(BB46="","",CH46)</f>
        <v/>
      </c>
      <c r="BA46" s="7">
        <f>IF(OR(BB46="",AZ46="",T46="",T46&lt;=0,AZ46&lt;=0),"",BB46/((T46^2/8)*(2*ACOS(1-2*AZ46/T46)-SIN(2*ACOS(1-2*AZ46/T46)))))</f>
        <v/>
      </c>
      <c r="BB46" s="4">
        <f>IF(OR(N46="",BC46=""),"",MIN(N46,BC46))</f>
        <v/>
      </c>
      <c r="BC46" s="4">
        <f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4">
        <f>IF(BB46="","",0.001*T46)</f>
        <v/>
      </c>
      <c r="BE46" s="4">
        <f>IF(BB46="","",0.94*T46)</f>
        <v/>
      </c>
      <c r="BF46" s="4">
        <f>IF(BB46="","",(BD46+BE46)/2)</f>
        <v/>
      </c>
      <c r="BG46" s="4">
        <f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4">
        <f>IF(BB46="","",IF(BG46&lt;BB46,BF46,BD46))</f>
        <v/>
      </c>
      <c r="BI46" s="4">
        <f>IF(BB46="","",IF(BG46&lt;BB46,BE46,BF46))</f>
        <v/>
      </c>
      <c r="BJ46" s="4">
        <f>IF(BB46="","",(BH46+BI46)/2)</f>
        <v/>
      </c>
      <c r="BK46" s="4">
        <f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4">
        <f>IF(BB46="","",IF(BK46&lt;BB46,BJ46,BH46))</f>
        <v/>
      </c>
      <c r="BM46" s="4">
        <f>IF(BB46="","",IF(BK46&lt;BB46,BI46,BJ46))</f>
        <v/>
      </c>
      <c r="BN46" s="4">
        <f>IF(BB46="","",(BL46+BM46)/2)</f>
        <v/>
      </c>
      <c r="BO46" s="4">
        <f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4">
        <f>IF(BB46="","",IF(BO46&lt;BB46,BN46,BL46))</f>
        <v/>
      </c>
      <c r="BQ46" s="4">
        <f>IF(BB46="","",IF(BO46&lt;BB46,BM46,BN46))</f>
        <v/>
      </c>
      <c r="BR46" s="4">
        <f>IF(BB46="","",(BP46+BQ46)/2)</f>
        <v/>
      </c>
      <c r="BS46" s="4">
        <f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4">
        <f>IF(BB46="","",IF(BS46&lt;BB46,BR46,BP46))</f>
        <v/>
      </c>
      <c r="BU46" s="4">
        <f>IF(BB46="","",IF(BS46&lt;BB46,BQ46,BR46))</f>
        <v/>
      </c>
      <c r="BV46" s="4">
        <f>IF(BB46="","",(BT46+BU46)/2)</f>
        <v/>
      </c>
      <c r="BW46" s="4">
        <f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4">
        <f>IF(BB46="","",IF(BW46&lt;BB46,BV46,BT46))</f>
        <v/>
      </c>
      <c r="BY46" s="4">
        <f>IF(BB46="","",IF(BW46&lt;BB46,BU46,BV46))</f>
        <v/>
      </c>
      <c r="BZ46" s="4">
        <f>IF(BB46="","",(BX46+BY46)/2)</f>
        <v/>
      </c>
      <c r="CA46" s="4">
        <f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4">
        <f>IF(BB46="","",IF(CA46&lt;BB46,BZ46,BX46))</f>
        <v/>
      </c>
      <c r="CC46" s="4">
        <f>IF(BB46="","",IF(CA46&lt;BB46,BY46,BZ46))</f>
        <v/>
      </c>
      <c r="CD46" s="4">
        <f>IF(BB46="","",(CB46+CC46)/2)</f>
        <v/>
      </c>
      <c r="CE46" s="4">
        <f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4">
        <f>IF(BB46="","",IF(CE46&lt;BB46,CD46,CB46))</f>
        <v/>
      </c>
      <c r="CG46" s="4">
        <f>IF(BB46="","",IF(CE46&lt;BB46,CC46,CD46))</f>
        <v/>
      </c>
      <c r="CH46" s="4">
        <f>IF(BB46="","",(CF46+CG46)/2)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SUMIFS(CB_plan!$G:$G,CB_plan!$F:$F,$A47)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IF(A47="","",IF(H47="","",2.78E-7*IF(I47&lt;&gt;"",I47,IFERROR(SUMIFS(CB_plan!$H:$H,CB_plan!$F:$F,$A47)/SUMIFS(CB_plan!$G:$G,CB_plan!$F:$F,$A47),Inputs!$B$17))*H47*K47))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7">
        <f>IF(BB47="","",CH47)</f>
        <v/>
      </c>
      <c r="BA47" s="7">
        <f>IF(OR(BB47="",AZ47="",T47="",T47&lt;=0,AZ47&lt;=0),"",BB47/((T47^2/8)*(2*ACOS(1-2*AZ47/T47)-SIN(2*ACOS(1-2*AZ47/T47)))))</f>
        <v/>
      </c>
      <c r="BB47" s="4">
        <f>IF(OR(N47="",BC47=""),"",MIN(N47,BC47))</f>
        <v/>
      </c>
      <c r="BC47" s="4">
        <f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4">
        <f>IF(BB47="","",0.001*T47)</f>
        <v/>
      </c>
      <c r="BE47" s="4">
        <f>IF(BB47="","",0.94*T47)</f>
        <v/>
      </c>
      <c r="BF47" s="4">
        <f>IF(BB47="","",(BD47+BE47)/2)</f>
        <v/>
      </c>
      <c r="BG47" s="4">
        <f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4">
        <f>IF(BB47="","",IF(BG47&lt;BB47,BF47,BD47))</f>
        <v/>
      </c>
      <c r="BI47" s="4">
        <f>IF(BB47="","",IF(BG47&lt;BB47,BE47,BF47))</f>
        <v/>
      </c>
      <c r="BJ47" s="4">
        <f>IF(BB47="","",(BH47+BI47)/2)</f>
        <v/>
      </c>
      <c r="BK47" s="4">
        <f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4">
        <f>IF(BB47="","",IF(BK47&lt;BB47,BJ47,BH47))</f>
        <v/>
      </c>
      <c r="BM47" s="4">
        <f>IF(BB47="","",IF(BK47&lt;BB47,BI47,BJ47))</f>
        <v/>
      </c>
      <c r="BN47" s="4">
        <f>IF(BB47="","",(BL47+BM47)/2)</f>
        <v/>
      </c>
      <c r="BO47" s="4">
        <f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4">
        <f>IF(BB47="","",IF(BO47&lt;BB47,BN47,BL47))</f>
        <v/>
      </c>
      <c r="BQ47" s="4">
        <f>IF(BB47="","",IF(BO47&lt;BB47,BM47,BN47))</f>
        <v/>
      </c>
      <c r="BR47" s="4">
        <f>IF(BB47="","",(BP47+BQ47)/2)</f>
        <v/>
      </c>
      <c r="BS47" s="4">
        <f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4">
        <f>IF(BB47="","",IF(BS47&lt;BB47,BR47,BP47))</f>
        <v/>
      </c>
      <c r="BU47" s="4">
        <f>IF(BB47="","",IF(BS47&lt;BB47,BQ47,BR47))</f>
        <v/>
      </c>
      <c r="BV47" s="4">
        <f>IF(BB47="","",(BT47+BU47)/2)</f>
        <v/>
      </c>
      <c r="BW47" s="4">
        <f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4">
        <f>IF(BB47="","",IF(BW47&lt;BB47,BV47,BT47))</f>
        <v/>
      </c>
      <c r="BY47" s="4">
        <f>IF(BB47="","",IF(BW47&lt;BB47,BU47,BV47))</f>
        <v/>
      </c>
      <c r="BZ47" s="4">
        <f>IF(BB47="","",(BX47+BY47)/2)</f>
        <v/>
      </c>
      <c r="CA47" s="4">
        <f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4">
        <f>IF(BB47="","",IF(CA47&lt;BB47,BZ47,BX47))</f>
        <v/>
      </c>
      <c r="CC47" s="4">
        <f>IF(BB47="","",IF(CA47&lt;BB47,BY47,BZ47))</f>
        <v/>
      </c>
      <c r="CD47" s="4">
        <f>IF(BB47="","",(CB47+CC47)/2)</f>
        <v/>
      </c>
      <c r="CE47" s="4">
        <f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4">
        <f>IF(BB47="","",IF(CE47&lt;BB47,CD47,CB47))</f>
        <v/>
      </c>
      <c r="CG47" s="4">
        <f>IF(BB47="","",IF(CE47&lt;BB47,CC47,CD47))</f>
        <v/>
      </c>
      <c r="CH47" s="4">
        <f>IF(BB47="","",(CF47+CG47)/2)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SUMIFS(CB_plan!$G:$G,CB_plan!$F:$F,$A48)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IF(A48="","",IF(H48="","",2.78E-7*IF(I48&lt;&gt;"",I48,IFERROR(SUMIFS(CB_plan!$H:$H,CB_plan!$F:$F,$A48)/SUMIFS(CB_plan!$G:$G,CB_plan!$F:$F,$A48),Inputs!$B$17))*H48*K48))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7">
        <f>IF(BB48="","",CH48)</f>
        <v/>
      </c>
      <c r="BA48" s="7">
        <f>IF(OR(BB48="",AZ48="",T48="",T48&lt;=0,AZ48&lt;=0),"",BB48/((T48^2/8)*(2*ACOS(1-2*AZ48/T48)-SIN(2*ACOS(1-2*AZ48/T48)))))</f>
        <v/>
      </c>
      <c r="BB48" s="4">
        <f>IF(OR(N48="",BC48=""),"",MIN(N48,BC48))</f>
        <v/>
      </c>
      <c r="BC48" s="4">
        <f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4">
        <f>IF(BB48="","",0.001*T48)</f>
        <v/>
      </c>
      <c r="BE48" s="4">
        <f>IF(BB48="","",0.94*T48)</f>
        <v/>
      </c>
      <c r="BF48" s="4">
        <f>IF(BB48="","",(BD48+BE48)/2)</f>
        <v/>
      </c>
      <c r="BG48" s="4">
        <f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4">
        <f>IF(BB48="","",IF(BG48&lt;BB48,BF48,BD48))</f>
        <v/>
      </c>
      <c r="BI48" s="4">
        <f>IF(BB48="","",IF(BG48&lt;BB48,BE48,BF48))</f>
        <v/>
      </c>
      <c r="BJ48" s="4">
        <f>IF(BB48="","",(BH48+BI48)/2)</f>
        <v/>
      </c>
      <c r="BK48" s="4">
        <f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4">
        <f>IF(BB48="","",IF(BK48&lt;BB48,BJ48,BH48))</f>
        <v/>
      </c>
      <c r="BM48" s="4">
        <f>IF(BB48="","",IF(BK48&lt;BB48,BI48,BJ48))</f>
        <v/>
      </c>
      <c r="BN48" s="4">
        <f>IF(BB48="","",(BL48+BM48)/2)</f>
        <v/>
      </c>
      <c r="BO48" s="4">
        <f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4">
        <f>IF(BB48="","",IF(BO48&lt;BB48,BN48,BL48))</f>
        <v/>
      </c>
      <c r="BQ48" s="4">
        <f>IF(BB48="","",IF(BO48&lt;BB48,BM48,BN48))</f>
        <v/>
      </c>
      <c r="BR48" s="4">
        <f>IF(BB48="","",(BP48+BQ48)/2)</f>
        <v/>
      </c>
      <c r="BS48" s="4">
        <f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4">
        <f>IF(BB48="","",IF(BS48&lt;BB48,BR48,BP48))</f>
        <v/>
      </c>
      <c r="BU48" s="4">
        <f>IF(BB48="","",IF(BS48&lt;BB48,BQ48,BR48))</f>
        <v/>
      </c>
      <c r="BV48" s="4">
        <f>IF(BB48="","",(BT48+BU48)/2)</f>
        <v/>
      </c>
      <c r="BW48" s="4">
        <f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4">
        <f>IF(BB48="","",IF(BW48&lt;BB48,BV48,BT48))</f>
        <v/>
      </c>
      <c r="BY48" s="4">
        <f>IF(BB48="","",IF(BW48&lt;BB48,BU48,BV48))</f>
        <v/>
      </c>
      <c r="BZ48" s="4">
        <f>IF(BB48="","",(BX48+BY48)/2)</f>
        <v/>
      </c>
      <c r="CA48" s="4">
        <f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4">
        <f>IF(BB48="","",IF(CA48&lt;BB48,BZ48,BX48))</f>
        <v/>
      </c>
      <c r="CC48" s="4">
        <f>IF(BB48="","",IF(CA48&lt;BB48,BY48,BZ48))</f>
        <v/>
      </c>
      <c r="CD48" s="4">
        <f>IF(BB48="","",(CB48+CC48)/2)</f>
        <v/>
      </c>
      <c r="CE48" s="4">
        <f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4">
        <f>IF(BB48="","",IF(CE48&lt;BB48,CD48,CB48))</f>
        <v/>
      </c>
      <c r="CG48" s="4">
        <f>IF(BB48="","",IF(CE48&lt;BB48,CC48,CD48))</f>
        <v/>
      </c>
      <c r="CH48" s="4">
        <f>IF(BB48="","",(CF48+CG48)/2)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SUMIFS(CB_plan!$G:$G,CB_plan!$F:$F,$A49)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IF(A49="","",IF(H49="","",2.78E-7*IF(I49&lt;&gt;"",I49,IFERROR(SUMIFS(CB_plan!$H:$H,CB_plan!$F:$F,$A49)/SUMIFS(CB_plan!$G:$G,CB_plan!$F:$F,$A49),Inputs!$B$17))*H49*K49))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7">
        <f>IF(BB49="","",CH49)</f>
        <v/>
      </c>
      <c r="BA49" s="7">
        <f>IF(OR(BB49="",AZ49="",T49="",T49&lt;=0,AZ49&lt;=0),"",BB49/((T49^2/8)*(2*ACOS(1-2*AZ49/T49)-SIN(2*ACOS(1-2*AZ49/T49)))))</f>
        <v/>
      </c>
      <c r="BB49" s="4">
        <f>IF(OR(N49="",BC49=""),"",MIN(N49,BC49))</f>
        <v/>
      </c>
      <c r="BC49" s="4">
        <f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4">
        <f>IF(BB49="","",0.001*T49)</f>
        <v/>
      </c>
      <c r="BE49" s="4">
        <f>IF(BB49="","",0.94*T49)</f>
        <v/>
      </c>
      <c r="BF49" s="4">
        <f>IF(BB49="","",(BD49+BE49)/2)</f>
        <v/>
      </c>
      <c r="BG49" s="4">
        <f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4">
        <f>IF(BB49="","",IF(BG49&lt;BB49,BF49,BD49))</f>
        <v/>
      </c>
      <c r="BI49" s="4">
        <f>IF(BB49="","",IF(BG49&lt;BB49,BE49,BF49))</f>
        <v/>
      </c>
      <c r="BJ49" s="4">
        <f>IF(BB49="","",(BH49+BI49)/2)</f>
        <v/>
      </c>
      <c r="BK49" s="4">
        <f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4">
        <f>IF(BB49="","",IF(BK49&lt;BB49,BJ49,BH49))</f>
        <v/>
      </c>
      <c r="BM49" s="4">
        <f>IF(BB49="","",IF(BK49&lt;BB49,BI49,BJ49))</f>
        <v/>
      </c>
      <c r="BN49" s="4">
        <f>IF(BB49="","",(BL49+BM49)/2)</f>
        <v/>
      </c>
      <c r="BO49" s="4">
        <f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4">
        <f>IF(BB49="","",IF(BO49&lt;BB49,BN49,BL49))</f>
        <v/>
      </c>
      <c r="BQ49" s="4">
        <f>IF(BB49="","",IF(BO49&lt;BB49,BM49,BN49))</f>
        <v/>
      </c>
      <c r="BR49" s="4">
        <f>IF(BB49="","",(BP49+BQ49)/2)</f>
        <v/>
      </c>
      <c r="BS49" s="4">
        <f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4">
        <f>IF(BB49="","",IF(BS49&lt;BB49,BR49,BP49))</f>
        <v/>
      </c>
      <c r="BU49" s="4">
        <f>IF(BB49="","",IF(BS49&lt;BB49,BQ49,BR49))</f>
        <v/>
      </c>
      <c r="BV49" s="4">
        <f>IF(BB49="","",(BT49+BU49)/2)</f>
        <v/>
      </c>
      <c r="BW49" s="4">
        <f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4">
        <f>IF(BB49="","",IF(BW49&lt;BB49,BV49,BT49))</f>
        <v/>
      </c>
      <c r="BY49" s="4">
        <f>IF(BB49="","",IF(BW49&lt;BB49,BU49,BV49))</f>
        <v/>
      </c>
      <c r="BZ49" s="4">
        <f>IF(BB49="","",(BX49+BY49)/2)</f>
        <v/>
      </c>
      <c r="CA49" s="4">
        <f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4">
        <f>IF(BB49="","",IF(CA49&lt;BB49,BZ49,BX49))</f>
        <v/>
      </c>
      <c r="CC49" s="4">
        <f>IF(BB49="","",IF(CA49&lt;BB49,BY49,BZ49))</f>
        <v/>
      </c>
      <c r="CD49" s="4">
        <f>IF(BB49="","",(CB49+CC49)/2)</f>
        <v/>
      </c>
      <c r="CE49" s="4">
        <f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4">
        <f>IF(BB49="","",IF(CE49&lt;BB49,CD49,CB49))</f>
        <v/>
      </c>
      <c r="CG49" s="4">
        <f>IF(BB49="","",IF(CE49&lt;BB49,CC49,CD49))</f>
        <v/>
      </c>
      <c r="CH49" s="4">
        <f>IF(BB49="","",(CF49+CG49)/2)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SUMIFS(CB_plan!$G:$G,CB_plan!$F:$F,$A50)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IF(A50="","",IF(H50="","",2.78E-7*IF(I50&lt;&gt;"",I50,IFERROR(SUMIFS(CB_plan!$H:$H,CB_plan!$F:$F,$A50)/SUMIFS(CB_plan!$G:$G,CB_plan!$F:$F,$A50),Inputs!$B$17))*H50*K50))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7">
        <f>IF(BB50="","",CH50)</f>
        <v/>
      </c>
      <c r="BA50" s="7">
        <f>IF(OR(BB50="",AZ50="",T50="",T50&lt;=0,AZ50&lt;=0),"",BB50/((T50^2/8)*(2*ACOS(1-2*AZ50/T50)-SIN(2*ACOS(1-2*AZ50/T50)))))</f>
        <v/>
      </c>
      <c r="BB50" s="4">
        <f>IF(OR(N50="",BC50=""),"",MIN(N50,BC50))</f>
        <v/>
      </c>
      <c r="BC50" s="4">
        <f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4">
        <f>IF(BB50="","",0.001*T50)</f>
        <v/>
      </c>
      <c r="BE50" s="4">
        <f>IF(BB50="","",0.94*T50)</f>
        <v/>
      </c>
      <c r="BF50" s="4">
        <f>IF(BB50="","",(BD50+BE50)/2)</f>
        <v/>
      </c>
      <c r="BG50" s="4">
        <f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4">
        <f>IF(BB50="","",IF(BG50&lt;BB50,BF50,BD50))</f>
        <v/>
      </c>
      <c r="BI50" s="4">
        <f>IF(BB50="","",IF(BG50&lt;BB50,BE50,BF50))</f>
        <v/>
      </c>
      <c r="BJ50" s="4">
        <f>IF(BB50="","",(BH50+BI50)/2)</f>
        <v/>
      </c>
      <c r="BK50" s="4">
        <f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4">
        <f>IF(BB50="","",IF(BK50&lt;BB50,BJ50,BH50))</f>
        <v/>
      </c>
      <c r="BM50" s="4">
        <f>IF(BB50="","",IF(BK50&lt;BB50,BI50,BJ50))</f>
        <v/>
      </c>
      <c r="BN50" s="4">
        <f>IF(BB50="","",(BL50+BM50)/2)</f>
        <v/>
      </c>
      <c r="BO50" s="4">
        <f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4">
        <f>IF(BB50="","",IF(BO50&lt;BB50,BN50,BL50))</f>
        <v/>
      </c>
      <c r="BQ50" s="4">
        <f>IF(BB50="","",IF(BO50&lt;BB50,BM50,BN50))</f>
        <v/>
      </c>
      <c r="BR50" s="4">
        <f>IF(BB50="","",(BP50+BQ50)/2)</f>
        <v/>
      </c>
      <c r="BS50" s="4">
        <f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4">
        <f>IF(BB50="","",IF(BS50&lt;BB50,BR50,BP50))</f>
        <v/>
      </c>
      <c r="BU50" s="4">
        <f>IF(BB50="","",IF(BS50&lt;BB50,BQ50,BR50))</f>
        <v/>
      </c>
      <c r="BV50" s="4">
        <f>IF(BB50="","",(BT50+BU50)/2)</f>
        <v/>
      </c>
      <c r="BW50" s="4">
        <f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4">
        <f>IF(BB50="","",IF(BW50&lt;BB50,BV50,BT50))</f>
        <v/>
      </c>
      <c r="BY50" s="4">
        <f>IF(BB50="","",IF(BW50&lt;BB50,BU50,BV50))</f>
        <v/>
      </c>
      <c r="BZ50" s="4">
        <f>IF(BB50="","",(BX50+BY50)/2)</f>
        <v/>
      </c>
      <c r="CA50" s="4">
        <f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4">
        <f>IF(BB50="","",IF(CA50&lt;BB50,BZ50,BX50))</f>
        <v/>
      </c>
      <c r="CC50" s="4">
        <f>IF(BB50="","",IF(CA50&lt;BB50,BY50,BZ50))</f>
        <v/>
      </c>
      <c r="CD50" s="4">
        <f>IF(BB50="","",(CB50+CC50)/2)</f>
        <v/>
      </c>
      <c r="CE50" s="4">
        <f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4">
        <f>IF(BB50="","",IF(CE50&lt;BB50,CD50,CB50))</f>
        <v/>
      </c>
      <c r="CG50" s="4">
        <f>IF(BB50="","",IF(CE50&lt;BB50,CC50,CD50))</f>
        <v/>
      </c>
      <c r="CH50" s="4">
        <f>IF(BB50="","",(CF50+CG50)/2)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SUMIFS(CB_plan!$G:$G,CB_plan!$F:$F,$A51)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IF(A51="","",IF(H51="","",2.78E-7*IF(I51&lt;&gt;"",I51,IFERROR(SUMIFS(CB_plan!$H:$H,CB_plan!$F:$F,$A51)/SUMIFS(CB_plan!$G:$G,CB_plan!$F:$F,$A51),Inputs!$B$17))*H51*K51))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7">
        <f>IF(BB51="","",CH51)</f>
        <v/>
      </c>
      <c r="BA51" s="7">
        <f>IF(OR(BB51="",AZ51="",T51="",T51&lt;=0,AZ51&lt;=0),"",BB51/((T51^2/8)*(2*ACOS(1-2*AZ51/T51)-SIN(2*ACOS(1-2*AZ51/T51)))))</f>
        <v/>
      </c>
      <c r="BB51" s="4">
        <f>IF(OR(N51="",BC51=""),"",MIN(N51,BC51))</f>
        <v/>
      </c>
      <c r="BC51" s="4">
        <f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4">
        <f>IF(BB51="","",0.001*T51)</f>
        <v/>
      </c>
      <c r="BE51" s="4">
        <f>IF(BB51="","",0.94*T51)</f>
        <v/>
      </c>
      <c r="BF51" s="4">
        <f>IF(BB51="","",(BD51+BE51)/2)</f>
        <v/>
      </c>
      <c r="BG51" s="4">
        <f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4">
        <f>IF(BB51="","",IF(BG51&lt;BB51,BF51,BD51))</f>
        <v/>
      </c>
      <c r="BI51" s="4">
        <f>IF(BB51="","",IF(BG51&lt;BB51,BE51,BF51))</f>
        <v/>
      </c>
      <c r="BJ51" s="4">
        <f>IF(BB51="","",(BH51+BI51)/2)</f>
        <v/>
      </c>
      <c r="BK51" s="4">
        <f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4">
        <f>IF(BB51="","",IF(BK51&lt;BB51,BJ51,BH51))</f>
        <v/>
      </c>
      <c r="BM51" s="4">
        <f>IF(BB51="","",IF(BK51&lt;BB51,BI51,BJ51))</f>
        <v/>
      </c>
      <c r="BN51" s="4">
        <f>IF(BB51="","",(BL51+BM51)/2)</f>
        <v/>
      </c>
      <c r="BO51" s="4">
        <f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4">
        <f>IF(BB51="","",IF(BO51&lt;BB51,BN51,BL51))</f>
        <v/>
      </c>
      <c r="BQ51" s="4">
        <f>IF(BB51="","",IF(BO51&lt;BB51,BM51,BN51))</f>
        <v/>
      </c>
      <c r="BR51" s="4">
        <f>IF(BB51="","",(BP51+BQ51)/2)</f>
        <v/>
      </c>
      <c r="BS51" s="4">
        <f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4">
        <f>IF(BB51="","",IF(BS51&lt;BB51,BR51,BP51))</f>
        <v/>
      </c>
      <c r="BU51" s="4">
        <f>IF(BB51="","",IF(BS51&lt;BB51,BQ51,BR51))</f>
        <v/>
      </c>
      <c r="BV51" s="4">
        <f>IF(BB51="","",(BT51+BU51)/2)</f>
        <v/>
      </c>
      <c r="BW51" s="4">
        <f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4">
        <f>IF(BB51="","",IF(BW51&lt;BB51,BV51,BT51))</f>
        <v/>
      </c>
      <c r="BY51" s="4">
        <f>IF(BB51="","",IF(BW51&lt;BB51,BU51,BV51))</f>
        <v/>
      </c>
      <c r="BZ51" s="4">
        <f>IF(BB51="","",(BX51+BY51)/2)</f>
        <v/>
      </c>
      <c r="CA51" s="4">
        <f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4">
        <f>IF(BB51="","",IF(CA51&lt;BB51,BZ51,BX51))</f>
        <v/>
      </c>
      <c r="CC51" s="4">
        <f>IF(BB51="","",IF(CA51&lt;BB51,BY51,BZ51))</f>
        <v/>
      </c>
      <c r="CD51" s="4">
        <f>IF(BB51="","",(CB51+CC51)/2)</f>
        <v/>
      </c>
      <c r="CE51" s="4">
        <f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4">
        <f>IF(BB51="","",IF(CE51&lt;BB51,CD51,CB51))</f>
        <v/>
      </c>
      <c r="CG51" s="4">
        <f>IF(BB51="","",IF(CE51&lt;BB51,CC51,CD51))</f>
        <v/>
      </c>
      <c r="CH51" s="4">
        <f>IF(BB51="","",(CF51+CG51)/2)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SUMIFS(CB_plan!$G:$G,CB_plan!$F:$F,$A52)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IF(A52="","",IF(H52="","",2.78E-7*IF(I52&lt;&gt;"",I52,IFERROR(SUMIFS(CB_plan!$H:$H,CB_plan!$F:$F,$A52)/SUMIFS(CB_plan!$G:$G,CB_plan!$F:$F,$A52),Inputs!$B$17))*H52*K52))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7">
        <f>IF(BB52="","",CH52)</f>
        <v/>
      </c>
      <c r="BA52" s="7">
        <f>IF(OR(BB52="",AZ52="",T52="",T52&lt;=0,AZ52&lt;=0),"",BB52/((T52^2/8)*(2*ACOS(1-2*AZ52/T52)-SIN(2*ACOS(1-2*AZ52/T52)))))</f>
        <v/>
      </c>
      <c r="BB52" s="4">
        <f>IF(OR(N52="",BC52=""),"",MIN(N52,BC52))</f>
        <v/>
      </c>
      <c r="BC52" s="4">
        <f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4">
        <f>IF(BB52="","",0.001*T52)</f>
        <v/>
      </c>
      <c r="BE52" s="4">
        <f>IF(BB52="","",0.94*T52)</f>
        <v/>
      </c>
      <c r="BF52" s="4">
        <f>IF(BB52="","",(BD52+BE52)/2)</f>
        <v/>
      </c>
      <c r="BG52" s="4">
        <f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4">
        <f>IF(BB52="","",IF(BG52&lt;BB52,BF52,BD52))</f>
        <v/>
      </c>
      <c r="BI52" s="4">
        <f>IF(BB52="","",IF(BG52&lt;BB52,BE52,BF52))</f>
        <v/>
      </c>
      <c r="BJ52" s="4">
        <f>IF(BB52="","",(BH52+BI52)/2)</f>
        <v/>
      </c>
      <c r="BK52" s="4">
        <f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4">
        <f>IF(BB52="","",IF(BK52&lt;BB52,BJ52,BH52))</f>
        <v/>
      </c>
      <c r="BM52" s="4">
        <f>IF(BB52="","",IF(BK52&lt;BB52,BI52,BJ52))</f>
        <v/>
      </c>
      <c r="BN52" s="4">
        <f>IF(BB52="","",(BL52+BM52)/2)</f>
        <v/>
      </c>
      <c r="BO52" s="4">
        <f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4">
        <f>IF(BB52="","",IF(BO52&lt;BB52,BN52,BL52))</f>
        <v/>
      </c>
      <c r="BQ52" s="4">
        <f>IF(BB52="","",IF(BO52&lt;BB52,BM52,BN52))</f>
        <v/>
      </c>
      <c r="BR52" s="4">
        <f>IF(BB52="","",(BP52+BQ52)/2)</f>
        <v/>
      </c>
      <c r="BS52" s="4">
        <f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4">
        <f>IF(BB52="","",IF(BS52&lt;BB52,BR52,BP52))</f>
        <v/>
      </c>
      <c r="BU52" s="4">
        <f>IF(BB52="","",IF(BS52&lt;BB52,BQ52,BR52))</f>
        <v/>
      </c>
      <c r="BV52" s="4">
        <f>IF(BB52="","",(BT52+BU52)/2)</f>
        <v/>
      </c>
      <c r="BW52" s="4">
        <f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4">
        <f>IF(BB52="","",IF(BW52&lt;BB52,BV52,BT52))</f>
        <v/>
      </c>
      <c r="BY52" s="4">
        <f>IF(BB52="","",IF(BW52&lt;BB52,BU52,BV52))</f>
        <v/>
      </c>
      <c r="BZ52" s="4">
        <f>IF(BB52="","",(BX52+BY52)/2)</f>
        <v/>
      </c>
      <c r="CA52" s="4">
        <f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4">
        <f>IF(BB52="","",IF(CA52&lt;BB52,BZ52,BX52))</f>
        <v/>
      </c>
      <c r="CC52" s="4">
        <f>IF(BB52="","",IF(CA52&lt;BB52,BY52,BZ52))</f>
        <v/>
      </c>
      <c r="CD52" s="4">
        <f>IF(BB52="","",(CB52+CC52)/2)</f>
        <v/>
      </c>
      <c r="CE52" s="4">
        <f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4">
        <f>IF(BB52="","",IF(CE52&lt;BB52,CD52,CB52))</f>
        <v/>
      </c>
      <c r="CG52" s="4">
        <f>IF(BB52="","",IF(CE52&lt;BB52,CC52,CD52))</f>
        <v/>
      </c>
      <c r="CH52" s="4">
        <f>IF(BB52="","",(CF52+CG52)/2)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SUMIFS(CB_plan!$G:$G,CB_plan!$F:$F,$A53)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IF(A53="","",IF(H53="","",2.78E-7*IF(I53&lt;&gt;"",I53,IFERROR(SUMIFS(CB_plan!$H:$H,CB_plan!$F:$F,$A53)/SUMIFS(CB_plan!$G:$G,CB_plan!$F:$F,$A53),Inputs!$B$17))*H53*K53))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7">
        <f>IF(BB53="","",CH53)</f>
        <v/>
      </c>
      <c r="BA53" s="7">
        <f>IF(OR(BB53="",AZ53="",T53="",T53&lt;=0,AZ53&lt;=0),"",BB53/((T53^2/8)*(2*ACOS(1-2*AZ53/T53)-SIN(2*ACOS(1-2*AZ53/T53)))))</f>
        <v/>
      </c>
      <c r="BB53" s="4">
        <f>IF(OR(N53="",BC53=""),"",MIN(N53,BC53))</f>
        <v/>
      </c>
      <c r="BC53" s="4">
        <f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4">
        <f>IF(BB53="","",0.001*T53)</f>
        <v/>
      </c>
      <c r="BE53" s="4">
        <f>IF(BB53="","",0.94*T53)</f>
        <v/>
      </c>
      <c r="BF53" s="4">
        <f>IF(BB53="","",(BD53+BE53)/2)</f>
        <v/>
      </c>
      <c r="BG53" s="4">
        <f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4">
        <f>IF(BB53="","",IF(BG53&lt;BB53,BF53,BD53))</f>
        <v/>
      </c>
      <c r="BI53" s="4">
        <f>IF(BB53="","",IF(BG53&lt;BB53,BE53,BF53))</f>
        <v/>
      </c>
      <c r="BJ53" s="4">
        <f>IF(BB53="","",(BH53+BI53)/2)</f>
        <v/>
      </c>
      <c r="BK53" s="4">
        <f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4">
        <f>IF(BB53="","",IF(BK53&lt;BB53,BJ53,BH53))</f>
        <v/>
      </c>
      <c r="BM53" s="4">
        <f>IF(BB53="","",IF(BK53&lt;BB53,BI53,BJ53))</f>
        <v/>
      </c>
      <c r="BN53" s="4">
        <f>IF(BB53="","",(BL53+BM53)/2)</f>
        <v/>
      </c>
      <c r="BO53" s="4">
        <f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4">
        <f>IF(BB53="","",IF(BO53&lt;BB53,BN53,BL53))</f>
        <v/>
      </c>
      <c r="BQ53" s="4">
        <f>IF(BB53="","",IF(BO53&lt;BB53,BM53,BN53))</f>
        <v/>
      </c>
      <c r="BR53" s="4">
        <f>IF(BB53="","",(BP53+BQ53)/2)</f>
        <v/>
      </c>
      <c r="BS53" s="4">
        <f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4">
        <f>IF(BB53="","",IF(BS53&lt;BB53,BR53,BP53))</f>
        <v/>
      </c>
      <c r="BU53" s="4">
        <f>IF(BB53="","",IF(BS53&lt;BB53,BQ53,BR53))</f>
        <v/>
      </c>
      <c r="BV53" s="4">
        <f>IF(BB53="","",(BT53+BU53)/2)</f>
        <v/>
      </c>
      <c r="BW53" s="4">
        <f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4">
        <f>IF(BB53="","",IF(BW53&lt;BB53,BV53,BT53))</f>
        <v/>
      </c>
      <c r="BY53" s="4">
        <f>IF(BB53="","",IF(BW53&lt;BB53,BU53,BV53))</f>
        <v/>
      </c>
      <c r="BZ53" s="4">
        <f>IF(BB53="","",(BX53+BY53)/2)</f>
        <v/>
      </c>
      <c r="CA53" s="4">
        <f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4">
        <f>IF(BB53="","",IF(CA53&lt;BB53,BZ53,BX53))</f>
        <v/>
      </c>
      <c r="CC53" s="4">
        <f>IF(BB53="","",IF(CA53&lt;BB53,BY53,BZ53))</f>
        <v/>
      </c>
      <c r="CD53" s="4">
        <f>IF(BB53="","",(CB53+CC53)/2)</f>
        <v/>
      </c>
      <c r="CE53" s="4">
        <f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4">
        <f>IF(BB53="","",IF(CE53&lt;BB53,CD53,CB53))</f>
        <v/>
      </c>
      <c r="CG53" s="4">
        <f>IF(BB53="","",IF(CE53&lt;BB53,CC53,CD53))</f>
        <v/>
      </c>
      <c r="CH53" s="4">
        <f>IF(BB53="","",(CF53+CG53)/2)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SUMIFS(CB_plan!$G:$G,CB_plan!$F:$F,$A54)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IF(A54="","",IF(H54="","",2.78E-7*IF(I54&lt;&gt;"",I54,IFERROR(SUMIFS(CB_plan!$H:$H,CB_plan!$F:$F,$A54)/SUMIFS(CB_plan!$G:$G,CB_plan!$F:$F,$A54),Inputs!$B$17))*H54*K54))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7">
        <f>IF(BB54="","",CH54)</f>
        <v/>
      </c>
      <c r="BA54" s="7">
        <f>IF(OR(BB54="",AZ54="",T54="",T54&lt;=0,AZ54&lt;=0),"",BB54/((T54^2/8)*(2*ACOS(1-2*AZ54/T54)-SIN(2*ACOS(1-2*AZ54/T54)))))</f>
        <v/>
      </c>
      <c r="BB54" s="4">
        <f>IF(OR(N54="",BC54=""),"",MIN(N54,BC54))</f>
        <v/>
      </c>
      <c r="BC54" s="4">
        <f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4">
        <f>IF(BB54="","",0.001*T54)</f>
        <v/>
      </c>
      <c r="BE54" s="4">
        <f>IF(BB54="","",0.94*T54)</f>
        <v/>
      </c>
      <c r="BF54" s="4">
        <f>IF(BB54="","",(BD54+BE54)/2)</f>
        <v/>
      </c>
      <c r="BG54" s="4">
        <f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4">
        <f>IF(BB54="","",IF(BG54&lt;BB54,BF54,BD54))</f>
        <v/>
      </c>
      <c r="BI54" s="4">
        <f>IF(BB54="","",IF(BG54&lt;BB54,BE54,BF54))</f>
        <v/>
      </c>
      <c r="BJ54" s="4">
        <f>IF(BB54="","",(BH54+BI54)/2)</f>
        <v/>
      </c>
      <c r="BK54" s="4">
        <f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4">
        <f>IF(BB54="","",IF(BK54&lt;BB54,BJ54,BH54))</f>
        <v/>
      </c>
      <c r="BM54" s="4">
        <f>IF(BB54="","",IF(BK54&lt;BB54,BI54,BJ54))</f>
        <v/>
      </c>
      <c r="BN54" s="4">
        <f>IF(BB54="","",(BL54+BM54)/2)</f>
        <v/>
      </c>
      <c r="BO54" s="4">
        <f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4">
        <f>IF(BB54="","",IF(BO54&lt;BB54,BN54,BL54))</f>
        <v/>
      </c>
      <c r="BQ54" s="4">
        <f>IF(BB54="","",IF(BO54&lt;BB54,BM54,BN54))</f>
        <v/>
      </c>
      <c r="BR54" s="4">
        <f>IF(BB54="","",(BP54+BQ54)/2)</f>
        <v/>
      </c>
      <c r="BS54" s="4">
        <f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4">
        <f>IF(BB54="","",IF(BS54&lt;BB54,BR54,BP54))</f>
        <v/>
      </c>
      <c r="BU54" s="4">
        <f>IF(BB54="","",IF(BS54&lt;BB54,BQ54,BR54))</f>
        <v/>
      </c>
      <c r="BV54" s="4">
        <f>IF(BB54="","",(BT54+BU54)/2)</f>
        <v/>
      </c>
      <c r="BW54" s="4">
        <f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4">
        <f>IF(BB54="","",IF(BW54&lt;BB54,BV54,BT54))</f>
        <v/>
      </c>
      <c r="BY54" s="4">
        <f>IF(BB54="","",IF(BW54&lt;BB54,BU54,BV54))</f>
        <v/>
      </c>
      <c r="BZ54" s="4">
        <f>IF(BB54="","",(BX54+BY54)/2)</f>
        <v/>
      </c>
      <c r="CA54" s="4">
        <f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4">
        <f>IF(BB54="","",IF(CA54&lt;BB54,BZ54,BX54))</f>
        <v/>
      </c>
      <c r="CC54" s="4">
        <f>IF(BB54="","",IF(CA54&lt;BB54,BY54,BZ54))</f>
        <v/>
      </c>
      <c r="CD54" s="4">
        <f>IF(BB54="","",(CB54+CC54)/2)</f>
        <v/>
      </c>
      <c r="CE54" s="4">
        <f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4">
        <f>IF(BB54="","",IF(CE54&lt;BB54,CD54,CB54))</f>
        <v/>
      </c>
      <c r="CG54" s="4">
        <f>IF(BB54="","",IF(CE54&lt;BB54,CC54,CD54))</f>
        <v/>
      </c>
      <c r="CH54" s="4">
        <f>IF(BB54="","",(CF54+CG54)/2)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SUMIFS(CB_plan!$G:$G,CB_plan!$F:$F,$A55)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IF(A55="","",IF(H55="","",2.78E-7*IF(I55&lt;&gt;"",I55,IFERROR(SUMIFS(CB_plan!$H:$H,CB_plan!$F:$F,$A55)/SUMIFS(CB_plan!$G:$G,CB_plan!$F:$F,$A55),Inputs!$B$17))*H55*K55))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7">
        <f>IF(BB55="","",CH55)</f>
        <v/>
      </c>
      <c r="BA55" s="7">
        <f>IF(OR(BB55="",AZ55="",T55="",T55&lt;=0,AZ55&lt;=0),"",BB55/((T55^2/8)*(2*ACOS(1-2*AZ55/T55)-SIN(2*ACOS(1-2*AZ55/T55)))))</f>
        <v/>
      </c>
      <c r="BB55" s="4">
        <f>IF(OR(N55="",BC55=""),"",MIN(N55,BC55))</f>
        <v/>
      </c>
      <c r="BC55" s="4">
        <f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4">
        <f>IF(BB55="","",0.001*T55)</f>
        <v/>
      </c>
      <c r="BE55" s="4">
        <f>IF(BB55="","",0.94*T55)</f>
        <v/>
      </c>
      <c r="BF55" s="4">
        <f>IF(BB55="","",(BD55+BE55)/2)</f>
        <v/>
      </c>
      <c r="BG55" s="4">
        <f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4">
        <f>IF(BB55="","",IF(BG55&lt;BB55,BF55,BD55))</f>
        <v/>
      </c>
      <c r="BI55" s="4">
        <f>IF(BB55="","",IF(BG55&lt;BB55,BE55,BF55))</f>
        <v/>
      </c>
      <c r="BJ55" s="4">
        <f>IF(BB55="","",(BH55+BI55)/2)</f>
        <v/>
      </c>
      <c r="BK55" s="4">
        <f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4">
        <f>IF(BB55="","",IF(BK55&lt;BB55,BJ55,BH55))</f>
        <v/>
      </c>
      <c r="BM55" s="4">
        <f>IF(BB55="","",IF(BK55&lt;BB55,BI55,BJ55))</f>
        <v/>
      </c>
      <c r="BN55" s="4">
        <f>IF(BB55="","",(BL55+BM55)/2)</f>
        <v/>
      </c>
      <c r="BO55" s="4">
        <f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4">
        <f>IF(BB55="","",IF(BO55&lt;BB55,BN55,BL55))</f>
        <v/>
      </c>
      <c r="BQ55" s="4">
        <f>IF(BB55="","",IF(BO55&lt;BB55,BM55,BN55))</f>
        <v/>
      </c>
      <c r="BR55" s="4">
        <f>IF(BB55="","",(BP55+BQ55)/2)</f>
        <v/>
      </c>
      <c r="BS55" s="4">
        <f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4">
        <f>IF(BB55="","",IF(BS55&lt;BB55,BR55,BP55))</f>
        <v/>
      </c>
      <c r="BU55" s="4">
        <f>IF(BB55="","",IF(BS55&lt;BB55,BQ55,BR55))</f>
        <v/>
      </c>
      <c r="BV55" s="4">
        <f>IF(BB55="","",(BT55+BU55)/2)</f>
        <v/>
      </c>
      <c r="BW55" s="4">
        <f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4">
        <f>IF(BB55="","",IF(BW55&lt;BB55,BV55,BT55))</f>
        <v/>
      </c>
      <c r="BY55" s="4">
        <f>IF(BB55="","",IF(BW55&lt;BB55,BU55,BV55))</f>
        <v/>
      </c>
      <c r="BZ55" s="4">
        <f>IF(BB55="","",(BX55+BY55)/2)</f>
        <v/>
      </c>
      <c r="CA55" s="4">
        <f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4">
        <f>IF(BB55="","",IF(CA55&lt;BB55,BZ55,BX55))</f>
        <v/>
      </c>
      <c r="CC55" s="4">
        <f>IF(BB55="","",IF(CA55&lt;BB55,BY55,BZ55))</f>
        <v/>
      </c>
      <c r="CD55" s="4">
        <f>IF(BB55="","",(CB55+CC55)/2)</f>
        <v/>
      </c>
      <c r="CE55" s="4">
        <f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4">
        <f>IF(BB55="","",IF(CE55&lt;BB55,CD55,CB55))</f>
        <v/>
      </c>
      <c r="CG55" s="4">
        <f>IF(BB55="","",IF(CE55&lt;BB55,CC55,CD55))</f>
        <v/>
      </c>
      <c r="CH55" s="4">
        <f>IF(BB55="","",(CF55+CG55)/2)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SUMIFS(CB_plan!$G:$G,CB_plan!$F:$F,$A56)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IF(A56="","",IF(H56="","",2.78E-7*IF(I56&lt;&gt;"",I56,IFERROR(SUMIFS(CB_plan!$H:$H,CB_plan!$F:$F,$A56)/SUMIFS(CB_plan!$G:$G,CB_plan!$F:$F,$A56),Inputs!$B$17))*H56*K56))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7">
        <f>IF(BB56="","",CH56)</f>
        <v/>
      </c>
      <c r="BA56" s="7">
        <f>IF(OR(BB56="",AZ56="",T56="",T56&lt;=0,AZ56&lt;=0),"",BB56/((T56^2/8)*(2*ACOS(1-2*AZ56/T56)-SIN(2*ACOS(1-2*AZ56/T56)))))</f>
        <v/>
      </c>
      <c r="BB56" s="4">
        <f>IF(OR(N56="",BC56=""),"",MIN(N56,BC56))</f>
        <v/>
      </c>
      <c r="BC56" s="4">
        <f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4">
        <f>IF(BB56="","",0.001*T56)</f>
        <v/>
      </c>
      <c r="BE56" s="4">
        <f>IF(BB56="","",0.94*T56)</f>
        <v/>
      </c>
      <c r="BF56" s="4">
        <f>IF(BB56="","",(BD56+BE56)/2)</f>
        <v/>
      </c>
      <c r="BG56" s="4">
        <f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4">
        <f>IF(BB56="","",IF(BG56&lt;BB56,BF56,BD56))</f>
        <v/>
      </c>
      <c r="BI56" s="4">
        <f>IF(BB56="","",IF(BG56&lt;BB56,BE56,BF56))</f>
        <v/>
      </c>
      <c r="BJ56" s="4">
        <f>IF(BB56="","",(BH56+BI56)/2)</f>
        <v/>
      </c>
      <c r="BK56" s="4">
        <f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4">
        <f>IF(BB56="","",IF(BK56&lt;BB56,BJ56,BH56))</f>
        <v/>
      </c>
      <c r="BM56" s="4">
        <f>IF(BB56="","",IF(BK56&lt;BB56,BI56,BJ56))</f>
        <v/>
      </c>
      <c r="BN56" s="4">
        <f>IF(BB56="","",(BL56+BM56)/2)</f>
        <v/>
      </c>
      <c r="BO56" s="4">
        <f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4">
        <f>IF(BB56="","",IF(BO56&lt;BB56,BN56,BL56))</f>
        <v/>
      </c>
      <c r="BQ56" s="4">
        <f>IF(BB56="","",IF(BO56&lt;BB56,BM56,BN56))</f>
        <v/>
      </c>
      <c r="BR56" s="4">
        <f>IF(BB56="","",(BP56+BQ56)/2)</f>
        <v/>
      </c>
      <c r="BS56" s="4">
        <f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4">
        <f>IF(BB56="","",IF(BS56&lt;BB56,BR56,BP56))</f>
        <v/>
      </c>
      <c r="BU56" s="4">
        <f>IF(BB56="","",IF(BS56&lt;BB56,BQ56,BR56))</f>
        <v/>
      </c>
      <c r="BV56" s="4">
        <f>IF(BB56="","",(BT56+BU56)/2)</f>
        <v/>
      </c>
      <c r="BW56" s="4">
        <f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4">
        <f>IF(BB56="","",IF(BW56&lt;BB56,BV56,BT56))</f>
        <v/>
      </c>
      <c r="BY56" s="4">
        <f>IF(BB56="","",IF(BW56&lt;BB56,BU56,BV56))</f>
        <v/>
      </c>
      <c r="BZ56" s="4">
        <f>IF(BB56="","",(BX56+BY56)/2)</f>
        <v/>
      </c>
      <c r="CA56" s="4">
        <f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4">
        <f>IF(BB56="","",IF(CA56&lt;BB56,BZ56,BX56))</f>
        <v/>
      </c>
      <c r="CC56" s="4">
        <f>IF(BB56="","",IF(CA56&lt;BB56,BY56,BZ56))</f>
        <v/>
      </c>
      <c r="CD56" s="4">
        <f>IF(BB56="","",(CB56+CC56)/2)</f>
        <v/>
      </c>
      <c r="CE56" s="4">
        <f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4">
        <f>IF(BB56="","",IF(CE56&lt;BB56,CD56,CB56))</f>
        <v/>
      </c>
      <c r="CG56" s="4">
        <f>IF(BB56="","",IF(CE56&lt;BB56,CC56,CD56))</f>
        <v/>
      </c>
      <c r="CH56" s="4">
        <f>IF(BB56="","",(CF56+CG56)/2)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SUMIFS(CB_plan!$G:$G,CB_plan!$F:$F,$A57)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IF(A57="","",IF(H57="","",2.78E-7*IF(I57&lt;&gt;"",I57,IFERROR(SUMIFS(CB_plan!$H:$H,CB_plan!$F:$F,$A57)/SUMIFS(CB_plan!$G:$G,CB_plan!$F:$F,$A57),Inputs!$B$17))*H57*K57))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7">
        <f>IF(BB57="","",CH57)</f>
        <v/>
      </c>
      <c r="BA57" s="7">
        <f>IF(OR(BB57="",AZ57="",T57="",T57&lt;=0,AZ57&lt;=0),"",BB57/((T57^2/8)*(2*ACOS(1-2*AZ57/T57)-SIN(2*ACOS(1-2*AZ57/T57)))))</f>
        <v/>
      </c>
      <c r="BB57" s="4">
        <f>IF(OR(N57="",BC57=""),"",MIN(N57,BC57))</f>
        <v/>
      </c>
      <c r="BC57" s="4">
        <f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4">
        <f>IF(BB57="","",0.001*T57)</f>
        <v/>
      </c>
      <c r="BE57" s="4">
        <f>IF(BB57="","",0.94*T57)</f>
        <v/>
      </c>
      <c r="BF57" s="4">
        <f>IF(BB57="","",(BD57+BE57)/2)</f>
        <v/>
      </c>
      <c r="BG57" s="4">
        <f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4">
        <f>IF(BB57="","",IF(BG57&lt;BB57,BF57,BD57))</f>
        <v/>
      </c>
      <c r="BI57" s="4">
        <f>IF(BB57="","",IF(BG57&lt;BB57,BE57,BF57))</f>
        <v/>
      </c>
      <c r="BJ57" s="4">
        <f>IF(BB57="","",(BH57+BI57)/2)</f>
        <v/>
      </c>
      <c r="BK57" s="4">
        <f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4">
        <f>IF(BB57="","",IF(BK57&lt;BB57,BJ57,BH57))</f>
        <v/>
      </c>
      <c r="BM57" s="4">
        <f>IF(BB57="","",IF(BK57&lt;BB57,BI57,BJ57))</f>
        <v/>
      </c>
      <c r="BN57" s="4">
        <f>IF(BB57="","",(BL57+BM57)/2)</f>
        <v/>
      </c>
      <c r="BO57" s="4">
        <f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4">
        <f>IF(BB57="","",IF(BO57&lt;BB57,BN57,BL57))</f>
        <v/>
      </c>
      <c r="BQ57" s="4">
        <f>IF(BB57="","",IF(BO57&lt;BB57,BM57,BN57))</f>
        <v/>
      </c>
      <c r="BR57" s="4">
        <f>IF(BB57="","",(BP57+BQ57)/2)</f>
        <v/>
      </c>
      <c r="BS57" s="4">
        <f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4">
        <f>IF(BB57="","",IF(BS57&lt;BB57,BR57,BP57))</f>
        <v/>
      </c>
      <c r="BU57" s="4">
        <f>IF(BB57="","",IF(BS57&lt;BB57,BQ57,BR57))</f>
        <v/>
      </c>
      <c r="BV57" s="4">
        <f>IF(BB57="","",(BT57+BU57)/2)</f>
        <v/>
      </c>
      <c r="BW57" s="4">
        <f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4">
        <f>IF(BB57="","",IF(BW57&lt;BB57,BV57,BT57))</f>
        <v/>
      </c>
      <c r="BY57" s="4">
        <f>IF(BB57="","",IF(BW57&lt;BB57,BU57,BV57))</f>
        <v/>
      </c>
      <c r="BZ57" s="4">
        <f>IF(BB57="","",(BX57+BY57)/2)</f>
        <v/>
      </c>
      <c r="CA57" s="4">
        <f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4">
        <f>IF(BB57="","",IF(CA57&lt;BB57,BZ57,BX57))</f>
        <v/>
      </c>
      <c r="CC57" s="4">
        <f>IF(BB57="","",IF(CA57&lt;BB57,BY57,BZ57))</f>
        <v/>
      </c>
      <c r="CD57" s="4">
        <f>IF(BB57="","",(CB57+CC57)/2)</f>
        <v/>
      </c>
      <c r="CE57" s="4">
        <f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4">
        <f>IF(BB57="","",IF(CE57&lt;BB57,CD57,CB57))</f>
        <v/>
      </c>
      <c r="CG57" s="4">
        <f>IF(BB57="","",IF(CE57&lt;BB57,CC57,CD57))</f>
        <v/>
      </c>
      <c r="CH57" s="4">
        <f>IF(BB57="","",(CF57+CG57)/2)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SUMIFS(CB_plan!$G:$G,CB_plan!$F:$F,$A58)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IF(A58="","",IF(H58="","",2.78E-7*IF(I58&lt;&gt;"",I58,IFERROR(SUMIFS(CB_plan!$H:$H,CB_plan!$F:$F,$A58)/SUMIFS(CB_plan!$G:$G,CB_plan!$F:$F,$A58),Inputs!$B$17))*H58*K58))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7">
        <f>IF(BB58="","",CH58)</f>
        <v/>
      </c>
      <c r="BA58" s="7">
        <f>IF(OR(BB58="",AZ58="",T58="",T58&lt;=0,AZ58&lt;=0),"",BB58/((T58^2/8)*(2*ACOS(1-2*AZ58/T58)-SIN(2*ACOS(1-2*AZ58/T58)))))</f>
        <v/>
      </c>
      <c r="BB58" s="4">
        <f>IF(OR(N58="",BC58=""),"",MIN(N58,BC58))</f>
        <v/>
      </c>
      <c r="BC58" s="4">
        <f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4">
        <f>IF(BB58="","",0.001*T58)</f>
        <v/>
      </c>
      <c r="BE58" s="4">
        <f>IF(BB58="","",0.94*T58)</f>
        <v/>
      </c>
      <c r="BF58" s="4">
        <f>IF(BB58="","",(BD58+BE58)/2)</f>
        <v/>
      </c>
      <c r="BG58" s="4">
        <f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4">
        <f>IF(BB58="","",IF(BG58&lt;BB58,BF58,BD58))</f>
        <v/>
      </c>
      <c r="BI58" s="4">
        <f>IF(BB58="","",IF(BG58&lt;BB58,BE58,BF58))</f>
        <v/>
      </c>
      <c r="BJ58" s="4">
        <f>IF(BB58="","",(BH58+BI58)/2)</f>
        <v/>
      </c>
      <c r="BK58" s="4">
        <f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4">
        <f>IF(BB58="","",IF(BK58&lt;BB58,BJ58,BH58))</f>
        <v/>
      </c>
      <c r="BM58" s="4">
        <f>IF(BB58="","",IF(BK58&lt;BB58,BI58,BJ58))</f>
        <v/>
      </c>
      <c r="BN58" s="4">
        <f>IF(BB58="","",(BL58+BM58)/2)</f>
        <v/>
      </c>
      <c r="BO58" s="4">
        <f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4">
        <f>IF(BB58="","",IF(BO58&lt;BB58,BN58,BL58))</f>
        <v/>
      </c>
      <c r="BQ58" s="4">
        <f>IF(BB58="","",IF(BO58&lt;BB58,BM58,BN58))</f>
        <v/>
      </c>
      <c r="BR58" s="4">
        <f>IF(BB58="","",(BP58+BQ58)/2)</f>
        <v/>
      </c>
      <c r="BS58" s="4">
        <f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4">
        <f>IF(BB58="","",IF(BS58&lt;BB58,BR58,BP58))</f>
        <v/>
      </c>
      <c r="BU58" s="4">
        <f>IF(BB58="","",IF(BS58&lt;BB58,BQ58,BR58))</f>
        <v/>
      </c>
      <c r="BV58" s="4">
        <f>IF(BB58="","",(BT58+BU58)/2)</f>
        <v/>
      </c>
      <c r="BW58" s="4">
        <f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4">
        <f>IF(BB58="","",IF(BW58&lt;BB58,BV58,BT58))</f>
        <v/>
      </c>
      <c r="BY58" s="4">
        <f>IF(BB58="","",IF(BW58&lt;BB58,BU58,BV58))</f>
        <v/>
      </c>
      <c r="BZ58" s="4">
        <f>IF(BB58="","",(BX58+BY58)/2)</f>
        <v/>
      </c>
      <c r="CA58" s="4">
        <f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4">
        <f>IF(BB58="","",IF(CA58&lt;BB58,BZ58,BX58))</f>
        <v/>
      </c>
      <c r="CC58" s="4">
        <f>IF(BB58="","",IF(CA58&lt;BB58,BY58,BZ58))</f>
        <v/>
      </c>
      <c r="CD58" s="4">
        <f>IF(BB58="","",(CB58+CC58)/2)</f>
        <v/>
      </c>
      <c r="CE58" s="4">
        <f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4">
        <f>IF(BB58="","",IF(CE58&lt;BB58,CD58,CB58))</f>
        <v/>
      </c>
      <c r="CG58" s="4">
        <f>IF(BB58="","",IF(CE58&lt;BB58,CC58,CD58))</f>
        <v/>
      </c>
      <c r="CH58" s="4">
        <f>IF(BB58="","",(CF58+CG58)/2)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SUMIFS(CB_plan!$G:$G,CB_plan!$F:$F,$A59)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IF(A59="","",IF(H59="","",2.78E-7*IF(I59&lt;&gt;"",I59,IFERROR(SUMIFS(CB_plan!$H:$H,CB_plan!$F:$F,$A59)/SUMIFS(CB_plan!$G:$G,CB_plan!$F:$F,$A59),Inputs!$B$17))*H59*K59))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7">
        <f>IF(BB59="","",CH59)</f>
        <v/>
      </c>
      <c r="BA59" s="7">
        <f>IF(OR(BB59="",AZ59="",T59="",T59&lt;=0,AZ59&lt;=0),"",BB59/((T59^2/8)*(2*ACOS(1-2*AZ59/T59)-SIN(2*ACOS(1-2*AZ59/T59)))))</f>
        <v/>
      </c>
      <c r="BB59" s="4">
        <f>IF(OR(N59="",BC59=""),"",MIN(N59,BC59))</f>
        <v/>
      </c>
      <c r="BC59" s="4">
        <f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4">
        <f>IF(BB59="","",0.001*T59)</f>
        <v/>
      </c>
      <c r="BE59" s="4">
        <f>IF(BB59="","",0.94*T59)</f>
        <v/>
      </c>
      <c r="BF59" s="4">
        <f>IF(BB59="","",(BD59+BE59)/2)</f>
        <v/>
      </c>
      <c r="BG59" s="4">
        <f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4">
        <f>IF(BB59="","",IF(BG59&lt;BB59,BF59,BD59))</f>
        <v/>
      </c>
      <c r="BI59" s="4">
        <f>IF(BB59="","",IF(BG59&lt;BB59,BE59,BF59))</f>
        <v/>
      </c>
      <c r="BJ59" s="4">
        <f>IF(BB59="","",(BH59+BI59)/2)</f>
        <v/>
      </c>
      <c r="BK59" s="4">
        <f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4">
        <f>IF(BB59="","",IF(BK59&lt;BB59,BJ59,BH59))</f>
        <v/>
      </c>
      <c r="BM59" s="4">
        <f>IF(BB59="","",IF(BK59&lt;BB59,BI59,BJ59))</f>
        <v/>
      </c>
      <c r="BN59" s="4">
        <f>IF(BB59="","",(BL59+BM59)/2)</f>
        <v/>
      </c>
      <c r="BO59" s="4">
        <f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4">
        <f>IF(BB59="","",IF(BO59&lt;BB59,BN59,BL59))</f>
        <v/>
      </c>
      <c r="BQ59" s="4">
        <f>IF(BB59="","",IF(BO59&lt;BB59,BM59,BN59))</f>
        <v/>
      </c>
      <c r="BR59" s="4">
        <f>IF(BB59="","",(BP59+BQ59)/2)</f>
        <v/>
      </c>
      <c r="BS59" s="4">
        <f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4">
        <f>IF(BB59="","",IF(BS59&lt;BB59,BR59,BP59))</f>
        <v/>
      </c>
      <c r="BU59" s="4">
        <f>IF(BB59="","",IF(BS59&lt;BB59,BQ59,BR59))</f>
        <v/>
      </c>
      <c r="BV59" s="4">
        <f>IF(BB59="","",(BT59+BU59)/2)</f>
        <v/>
      </c>
      <c r="BW59" s="4">
        <f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4">
        <f>IF(BB59="","",IF(BW59&lt;BB59,BV59,BT59))</f>
        <v/>
      </c>
      <c r="BY59" s="4">
        <f>IF(BB59="","",IF(BW59&lt;BB59,BU59,BV59))</f>
        <v/>
      </c>
      <c r="BZ59" s="4">
        <f>IF(BB59="","",(BX59+BY59)/2)</f>
        <v/>
      </c>
      <c r="CA59" s="4">
        <f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4">
        <f>IF(BB59="","",IF(CA59&lt;BB59,BZ59,BX59))</f>
        <v/>
      </c>
      <c r="CC59" s="4">
        <f>IF(BB59="","",IF(CA59&lt;BB59,BY59,BZ59))</f>
        <v/>
      </c>
      <c r="CD59" s="4">
        <f>IF(BB59="","",(CB59+CC59)/2)</f>
        <v/>
      </c>
      <c r="CE59" s="4">
        <f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4">
        <f>IF(BB59="","",IF(CE59&lt;BB59,CD59,CB59))</f>
        <v/>
      </c>
      <c r="CG59" s="4">
        <f>IF(BB59="","",IF(CE59&lt;BB59,CC59,CD59))</f>
        <v/>
      </c>
      <c r="CH59" s="4">
        <f>IF(BB59="","",(CF59+CG59)/2)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SUMIFS(CB_plan!$G:$G,CB_plan!$F:$F,$A60)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IF(A60="","",IF(H60="","",2.78E-7*IF(I60&lt;&gt;"",I60,IFERROR(SUMIFS(CB_plan!$H:$H,CB_plan!$F:$F,$A60)/SUMIFS(CB_plan!$G:$G,CB_plan!$F:$F,$A60),Inputs!$B$17))*H60*K60))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7">
        <f>IF(BB60="","",CH60)</f>
        <v/>
      </c>
      <c r="BA60" s="7">
        <f>IF(OR(BB60="",AZ60="",T60="",T60&lt;=0,AZ60&lt;=0),"",BB60/((T60^2/8)*(2*ACOS(1-2*AZ60/T60)-SIN(2*ACOS(1-2*AZ60/T60)))))</f>
        <v/>
      </c>
      <c r="BB60" s="4">
        <f>IF(OR(N60="",BC60=""),"",MIN(N60,BC60))</f>
        <v/>
      </c>
      <c r="BC60" s="4">
        <f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4">
        <f>IF(BB60="","",0.001*T60)</f>
        <v/>
      </c>
      <c r="BE60" s="4">
        <f>IF(BB60="","",0.94*T60)</f>
        <v/>
      </c>
      <c r="BF60" s="4">
        <f>IF(BB60="","",(BD60+BE60)/2)</f>
        <v/>
      </c>
      <c r="BG60" s="4">
        <f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4">
        <f>IF(BB60="","",IF(BG60&lt;BB60,BF60,BD60))</f>
        <v/>
      </c>
      <c r="BI60" s="4">
        <f>IF(BB60="","",IF(BG60&lt;BB60,BE60,BF60))</f>
        <v/>
      </c>
      <c r="BJ60" s="4">
        <f>IF(BB60="","",(BH60+BI60)/2)</f>
        <v/>
      </c>
      <c r="BK60" s="4">
        <f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4">
        <f>IF(BB60="","",IF(BK60&lt;BB60,BJ60,BH60))</f>
        <v/>
      </c>
      <c r="BM60" s="4">
        <f>IF(BB60="","",IF(BK60&lt;BB60,BI60,BJ60))</f>
        <v/>
      </c>
      <c r="BN60" s="4">
        <f>IF(BB60="","",(BL60+BM60)/2)</f>
        <v/>
      </c>
      <c r="BO60" s="4">
        <f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4">
        <f>IF(BB60="","",IF(BO60&lt;BB60,BN60,BL60))</f>
        <v/>
      </c>
      <c r="BQ60" s="4">
        <f>IF(BB60="","",IF(BO60&lt;BB60,BM60,BN60))</f>
        <v/>
      </c>
      <c r="BR60" s="4">
        <f>IF(BB60="","",(BP60+BQ60)/2)</f>
        <v/>
      </c>
      <c r="BS60" s="4">
        <f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4">
        <f>IF(BB60="","",IF(BS60&lt;BB60,BR60,BP60))</f>
        <v/>
      </c>
      <c r="BU60" s="4">
        <f>IF(BB60="","",IF(BS60&lt;BB60,BQ60,BR60))</f>
        <v/>
      </c>
      <c r="BV60" s="4">
        <f>IF(BB60="","",(BT60+BU60)/2)</f>
        <v/>
      </c>
      <c r="BW60" s="4">
        <f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4">
        <f>IF(BB60="","",IF(BW60&lt;BB60,BV60,BT60))</f>
        <v/>
      </c>
      <c r="BY60" s="4">
        <f>IF(BB60="","",IF(BW60&lt;BB60,BU60,BV60))</f>
        <v/>
      </c>
      <c r="BZ60" s="4">
        <f>IF(BB60="","",(BX60+BY60)/2)</f>
        <v/>
      </c>
      <c r="CA60" s="4">
        <f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4">
        <f>IF(BB60="","",IF(CA60&lt;BB60,BZ60,BX60))</f>
        <v/>
      </c>
      <c r="CC60" s="4">
        <f>IF(BB60="","",IF(CA60&lt;BB60,BY60,BZ60))</f>
        <v/>
      </c>
      <c r="CD60" s="4">
        <f>IF(BB60="","",(CB60+CC60)/2)</f>
        <v/>
      </c>
      <c r="CE60" s="4">
        <f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4">
        <f>IF(BB60="","",IF(CE60&lt;BB60,CD60,CB60))</f>
        <v/>
      </c>
      <c r="CG60" s="4">
        <f>IF(BB60="","",IF(CE60&lt;BB60,CC60,CD60))</f>
        <v/>
      </c>
      <c r="CH60" s="4">
        <f>IF(BB60="","",(CF60+CG60)/2)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SUMIFS(CB_plan!$G:$G,CB_plan!$F:$F,$A61)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IF(A61="","",IF(H61="","",2.78E-7*IF(I61&lt;&gt;"",I61,IFERROR(SUMIFS(CB_plan!$H:$H,CB_plan!$F:$F,$A61)/SUMIFS(CB_plan!$G:$G,CB_plan!$F:$F,$A61),Inputs!$B$17))*H61*K61))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7">
        <f>IF(BB61="","",CH61)</f>
        <v/>
      </c>
      <c r="BA61" s="7">
        <f>IF(OR(BB61="",AZ61="",T61="",T61&lt;=0,AZ61&lt;=0),"",BB61/((T61^2/8)*(2*ACOS(1-2*AZ61/T61)-SIN(2*ACOS(1-2*AZ61/T61)))))</f>
        <v/>
      </c>
      <c r="BB61" s="4">
        <f>IF(OR(N61="",BC61=""),"",MIN(N61,BC61))</f>
        <v/>
      </c>
      <c r="BC61" s="4">
        <f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4">
        <f>IF(BB61="","",0.001*T61)</f>
        <v/>
      </c>
      <c r="BE61" s="4">
        <f>IF(BB61="","",0.94*T61)</f>
        <v/>
      </c>
      <c r="BF61" s="4">
        <f>IF(BB61="","",(BD61+BE61)/2)</f>
        <v/>
      </c>
      <c r="BG61" s="4">
        <f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4">
        <f>IF(BB61="","",IF(BG61&lt;BB61,BF61,BD61))</f>
        <v/>
      </c>
      <c r="BI61" s="4">
        <f>IF(BB61="","",IF(BG61&lt;BB61,BE61,BF61))</f>
        <v/>
      </c>
      <c r="BJ61" s="4">
        <f>IF(BB61="","",(BH61+BI61)/2)</f>
        <v/>
      </c>
      <c r="BK61" s="4">
        <f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4">
        <f>IF(BB61="","",IF(BK61&lt;BB61,BJ61,BH61))</f>
        <v/>
      </c>
      <c r="BM61" s="4">
        <f>IF(BB61="","",IF(BK61&lt;BB61,BI61,BJ61))</f>
        <v/>
      </c>
      <c r="BN61" s="4">
        <f>IF(BB61="","",(BL61+BM61)/2)</f>
        <v/>
      </c>
      <c r="BO61" s="4">
        <f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4">
        <f>IF(BB61="","",IF(BO61&lt;BB61,BN61,BL61))</f>
        <v/>
      </c>
      <c r="BQ61" s="4">
        <f>IF(BB61="","",IF(BO61&lt;BB61,BM61,BN61))</f>
        <v/>
      </c>
      <c r="BR61" s="4">
        <f>IF(BB61="","",(BP61+BQ61)/2)</f>
        <v/>
      </c>
      <c r="BS61" s="4">
        <f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4">
        <f>IF(BB61="","",IF(BS61&lt;BB61,BR61,BP61))</f>
        <v/>
      </c>
      <c r="BU61" s="4">
        <f>IF(BB61="","",IF(BS61&lt;BB61,BQ61,BR61))</f>
        <v/>
      </c>
      <c r="BV61" s="4">
        <f>IF(BB61="","",(BT61+BU61)/2)</f>
        <v/>
      </c>
      <c r="BW61" s="4">
        <f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4">
        <f>IF(BB61="","",IF(BW61&lt;BB61,BV61,BT61))</f>
        <v/>
      </c>
      <c r="BY61" s="4">
        <f>IF(BB61="","",IF(BW61&lt;BB61,BU61,BV61))</f>
        <v/>
      </c>
      <c r="BZ61" s="4">
        <f>IF(BB61="","",(BX61+BY61)/2)</f>
        <v/>
      </c>
      <c r="CA61" s="4">
        <f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4">
        <f>IF(BB61="","",IF(CA61&lt;BB61,BZ61,BX61))</f>
        <v/>
      </c>
      <c r="CC61" s="4">
        <f>IF(BB61="","",IF(CA61&lt;BB61,BY61,BZ61))</f>
        <v/>
      </c>
      <c r="CD61" s="4">
        <f>IF(BB61="","",(CB61+CC61)/2)</f>
        <v/>
      </c>
      <c r="CE61" s="4">
        <f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4">
        <f>IF(BB61="","",IF(CE61&lt;BB61,CD61,CB61))</f>
        <v/>
      </c>
      <c r="CG61" s="4">
        <f>IF(BB61="","",IF(CE61&lt;BB61,CC61,CD61))</f>
        <v/>
      </c>
      <c r="CH61" s="4">
        <f>IF(BB61="","",(CF61+CG61)/2)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SUMIFS(CB_plan!$G:$G,CB_plan!$F:$F,$A62)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IF(A62="","",IF(H62="","",2.78E-7*IF(I62&lt;&gt;"",I62,IFERROR(SUMIFS(CB_plan!$H:$H,CB_plan!$F:$F,$A62)/SUMIFS(CB_plan!$G:$G,CB_plan!$F:$F,$A62),Inputs!$B$17))*H62*K62))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7">
        <f>IF(BB62="","",CH62)</f>
        <v/>
      </c>
      <c r="BA62" s="7">
        <f>IF(OR(BB62="",AZ62="",T62="",T62&lt;=0,AZ62&lt;=0),"",BB62/((T62^2/8)*(2*ACOS(1-2*AZ62/T62)-SIN(2*ACOS(1-2*AZ62/T62)))))</f>
        <v/>
      </c>
      <c r="BB62" s="4">
        <f>IF(OR(N62="",BC62=""),"",MIN(N62,BC62))</f>
        <v/>
      </c>
      <c r="BC62" s="4">
        <f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4">
        <f>IF(BB62="","",0.001*T62)</f>
        <v/>
      </c>
      <c r="BE62" s="4">
        <f>IF(BB62="","",0.94*T62)</f>
        <v/>
      </c>
      <c r="BF62" s="4">
        <f>IF(BB62="","",(BD62+BE62)/2)</f>
        <v/>
      </c>
      <c r="BG62" s="4">
        <f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4">
        <f>IF(BB62="","",IF(BG62&lt;BB62,BF62,BD62))</f>
        <v/>
      </c>
      <c r="BI62" s="4">
        <f>IF(BB62="","",IF(BG62&lt;BB62,BE62,BF62))</f>
        <v/>
      </c>
      <c r="BJ62" s="4">
        <f>IF(BB62="","",(BH62+BI62)/2)</f>
        <v/>
      </c>
      <c r="BK62" s="4">
        <f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4">
        <f>IF(BB62="","",IF(BK62&lt;BB62,BJ62,BH62))</f>
        <v/>
      </c>
      <c r="BM62" s="4">
        <f>IF(BB62="","",IF(BK62&lt;BB62,BI62,BJ62))</f>
        <v/>
      </c>
      <c r="BN62" s="4">
        <f>IF(BB62="","",(BL62+BM62)/2)</f>
        <v/>
      </c>
      <c r="BO62" s="4">
        <f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4">
        <f>IF(BB62="","",IF(BO62&lt;BB62,BN62,BL62))</f>
        <v/>
      </c>
      <c r="BQ62" s="4">
        <f>IF(BB62="","",IF(BO62&lt;BB62,BM62,BN62))</f>
        <v/>
      </c>
      <c r="BR62" s="4">
        <f>IF(BB62="","",(BP62+BQ62)/2)</f>
        <v/>
      </c>
      <c r="BS62" s="4">
        <f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4">
        <f>IF(BB62="","",IF(BS62&lt;BB62,BR62,BP62))</f>
        <v/>
      </c>
      <c r="BU62" s="4">
        <f>IF(BB62="","",IF(BS62&lt;BB62,BQ62,BR62))</f>
        <v/>
      </c>
      <c r="BV62" s="4">
        <f>IF(BB62="","",(BT62+BU62)/2)</f>
        <v/>
      </c>
      <c r="BW62" s="4">
        <f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4">
        <f>IF(BB62="","",IF(BW62&lt;BB62,BV62,BT62))</f>
        <v/>
      </c>
      <c r="BY62" s="4">
        <f>IF(BB62="","",IF(BW62&lt;BB62,BU62,BV62))</f>
        <v/>
      </c>
      <c r="BZ62" s="4">
        <f>IF(BB62="","",(BX62+BY62)/2)</f>
        <v/>
      </c>
      <c r="CA62" s="4">
        <f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4">
        <f>IF(BB62="","",IF(CA62&lt;BB62,BZ62,BX62))</f>
        <v/>
      </c>
      <c r="CC62" s="4">
        <f>IF(BB62="","",IF(CA62&lt;BB62,BY62,BZ62))</f>
        <v/>
      </c>
      <c r="CD62" s="4">
        <f>IF(BB62="","",(CB62+CC62)/2)</f>
        <v/>
      </c>
      <c r="CE62" s="4">
        <f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4">
        <f>IF(BB62="","",IF(CE62&lt;BB62,CD62,CB62))</f>
        <v/>
      </c>
      <c r="CG62" s="4">
        <f>IF(BB62="","",IF(CE62&lt;BB62,CC62,CD62))</f>
        <v/>
      </c>
      <c r="CH62" s="4">
        <f>IF(BB62="","",(CF62+CG62)/2)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SUMIFS(CB_plan!$G:$G,CB_plan!$F:$F,$A63)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IF(A63="","",IF(H63="","",2.78E-7*IF(I63&lt;&gt;"",I63,IFERROR(SUMIFS(CB_plan!$H:$H,CB_plan!$F:$F,$A63)/SUMIFS(CB_plan!$G:$G,CB_plan!$F:$F,$A63),Inputs!$B$17))*H63*K63))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7">
        <f>IF(BB63="","",CH63)</f>
        <v/>
      </c>
      <c r="BA63" s="7">
        <f>IF(OR(BB63="",AZ63="",T63="",T63&lt;=0,AZ63&lt;=0),"",BB63/((T63^2/8)*(2*ACOS(1-2*AZ63/T63)-SIN(2*ACOS(1-2*AZ63/T63)))))</f>
        <v/>
      </c>
      <c r="BB63" s="4">
        <f>IF(OR(N63="",BC63=""),"",MIN(N63,BC63))</f>
        <v/>
      </c>
      <c r="BC63" s="4">
        <f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4">
        <f>IF(BB63="","",0.001*T63)</f>
        <v/>
      </c>
      <c r="BE63" s="4">
        <f>IF(BB63="","",0.94*T63)</f>
        <v/>
      </c>
      <c r="BF63" s="4">
        <f>IF(BB63="","",(BD63+BE63)/2)</f>
        <v/>
      </c>
      <c r="BG63" s="4">
        <f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4">
        <f>IF(BB63="","",IF(BG63&lt;BB63,BF63,BD63))</f>
        <v/>
      </c>
      <c r="BI63" s="4">
        <f>IF(BB63="","",IF(BG63&lt;BB63,BE63,BF63))</f>
        <v/>
      </c>
      <c r="BJ63" s="4">
        <f>IF(BB63="","",(BH63+BI63)/2)</f>
        <v/>
      </c>
      <c r="BK63" s="4">
        <f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4">
        <f>IF(BB63="","",IF(BK63&lt;BB63,BJ63,BH63))</f>
        <v/>
      </c>
      <c r="BM63" s="4">
        <f>IF(BB63="","",IF(BK63&lt;BB63,BI63,BJ63))</f>
        <v/>
      </c>
      <c r="BN63" s="4">
        <f>IF(BB63="","",(BL63+BM63)/2)</f>
        <v/>
      </c>
      <c r="BO63" s="4">
        <f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4">
        <f>IF(BB63="","",IF(BO63&lt;BB63,BN63,BL63))</f>
        <v/>
      </c>
      <c r="BQ63" s="4">
        <f>IF(BB63="","",IF(BO63&lt;BB63,BM63,BN63))</f>
        <v/>
      </c>
      <c r="BR63" s="4">
        <f>IF(BB63="","",(BP63+BQ63)/2)</f>
        <v/>
      </c>
      <c r="BS63" s="4">
        <f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4">
        <f>IF(BB63="","",IF(BS63&lt;BB63,BR63,BP63))</f>
        <v/>
      </c>
      <c r="BU63" s="4">
        <f>IF(BB63="","",IF(BS63&lt;BB63,BQ63,BR63))</f>
        <v/>
      </c>
      <c r="BV63" s="4">
        <f>IF(BB63="","",(BT63+BU63)/2)</f>
        <v/>
      </c>
      <c r="BW63" s="4">
        <f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4">
        <f>IF(BB63="","",IF(BW63&lt;BB63,BV63,BT63))</f>
        <v/>
      </c>
      <c r="BY63" s="4">
        <f>IF(BB63="","",IF(BW63&lt;BB63,BU63,BV63))</f>
        <v/>
      </c>
      <c r="BZ63" s="4">
        <f>IF(BB63="","",(BX63+BY63)/2)</f>
        <v/>
      </c>
      <c r="CA63" s="4">
        <f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4">
        <f>IF(BB63="","",IF(CA63&lt;BB63,BZ63,BX63))</f>
        <v/>
      </c>
      <c r="CC63" s="4">
        <f>IF(BB63="","",IF(CA63&lt;BB63,BY63,BZ63))</f>
        <v/>
      </c>
      <c r="CD63" s="4">
        <f>IF(BB63="","",(CB63+CC63)/2)</f>
        <v/>
      </c>
      <c r="CE63" s="4">
        <f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4">
        <f>IF(BB63="","",IF(CE63&lt;BB63,CD63,CB63))</f>
        <v/>
      </c>
      <c r="CG63" s="4">
        <f>IF(BB63="","",IF(CE63&lt;BB63,CC63,CD63))</f>
        <v/>
      </c>
      <c r="CH63" s="4">
        <f>IF(BB63="","",(CF63+CG63)/2)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SUMIFS(CB_plan!$G:$G,CB_plan!$F:$F,$A64)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IF(A64="","",IF(H64="","",2.78E-7*IF(I64&lt;&gt;"",I64,IFERROR(SUMIFS(CB_plan!$H:$H,CB_plan!$F:$F,$A64)/SUMIFS(CB_plan!$G:$G,CB_plan!$F:$F,$A64),Inputs!$B$17))*H64*K64))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7">
        <f>IF(BB64="","",CH64)</f>
        <v/>
      </c>
      <c r="BA64" s="7">
        <f>IF(OR(BB64="",AZ64="",T64="",T64&lt;=0,AZ64&lt;=0),"",BB64/((T64^2/8)*(2*ACOS(1-2*AZ64/T64)-SIN(2*ACOS(1-2*AZ64/T64)))))</f>
        <v/>
      </c>
      <c r="BB64" s="4">
        <f>IF(OR(N64="",BC64=""),"",MIN(N64,BC64))</f>
        <v/>
      </c>
      <c r="BC64" s="4">
        <f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4">
        <f>IF(BB64="","",0.001*T64)</f>
        <v/>
      </c>
      <c r="BE64" s="4">
        <f>IF(BB64="","",0.94*T64)</f>
        <v/>
      </c>
      <c r="BF64" s="4">
        <f>IF(BB64="","",(BD64+BE64)/2)</f>
        <v/>
      </c>
      <c r="BG64" s="4">
        <f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4">
        <f>IF(BB64="","",IF(BG64&lt;BB64,BF64,BD64))</f>
        <v/>
      </c>
      <c r="BI64" s="4">
        <f>IF(BB64="","",IF(BG64&lt;BB64,BE64,BF64))</f>
        <v/>
      </c>
      <c r="BJ64" s="4">
        <f>IF(BB64="","",(BH64+BI64)/2)</f>
        <v/>
      </c>
      <c r="BK64" s="4">
        <f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4">
        <f>IF(BB64="","",IF(BK64&lt;BB64,BJ64,BH64))</f>
        <v/>
      </c>
      <c r="BM64" s="4">
        <f>IF(BB64="","",IF(BK64&lt;BB64,BI64,BJ64))</f>
        <v/>
      </c>
      <c r="BN64" s="4">
        <f>IF(BB64="","",(BL64+BM64)/2)</f>
        <v/>
      </c>
      <c r="BO64" s="4">
        <f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4">
        <f>IF(BB64="","",IF(BO64&lt;BB64,BN64,BL64))</f>
        <v/>
      </c>
      <c r="BQ64" s="4">
        <f>IF(BB64="","",IF(BO64&lt;BB64,BM64,BN64))</f>
        <v/>
      </c>
      <c r="BR64" s="4">
        <f>IF(BB64="","",(BP64+BQ64)/2)</f>
        <v/>
      </c>
      <c r="BS64" s="4">
        <f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4">
        <f>IF(BB64="","",IF(BS64&lt;BB64,BR64,BP64))</f>
        <v/>
      </c>
      <c r="BU64" s="4">
        <f>IF(BB64="","",IF(BS64&lt;BB64,BQ64,BR64))</f>
        <v/>
      </c>
      <c r="BV64" s="4">
        <f>IF(BB64="","",(BT64+BU64)/2)</f>
        <v/>
      </c>
      <c r="BW64" s="4">
        <f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4">
        <f>IF(BB64="","",IF(BW64&lt;BB64,BV64,BT64))</f>
        <v/>
      </c>
      <c r="BY64" s="4">
        <f>IF(BB64="","",IF(BW64&lt;BB64,BU64,BV64))</f>
        <v/>
      </c>
      <c r="BZ64" s="4">
        <f>IF(BB64="","",(BX64+BY64)/2)</f>
        <v/>
      </c>
      <c r="CA64" s="4">
        <f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4">
        <f>IF(BB64="","",IF(CA64&lt;BB64,BZ64,BX64))</f>
        <v/>
      </c>
      <c r="CC64" s="4">
        <f>IF(BB64="","",IF(CA64&lt;BB64,BY64,BZ64))</f>
        <v/>
      </c>
      <c r="CD64" s="4">
        <f>IF(BB64="","",(CB64+CC64)/2)</f>
        <v/>
      </c>
      <c r="CE64" s="4">
        <f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4">
        <f>IF(BB64="","",IF(CE64&lt;BB64,CD64,CB64))</f>
        <v/>
      </c>
      <c r="CG64" s="4">
        <f>IF(BB64="","",IF(CE64&lt;BB64,CC64,CD64))</f>
        <v/>
      </c>
      <c r="CH64" s="4">
        <f>IF(BB64="","",(CF64+CG64)/2)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SUMIFS(CB_plan!$G:$G,CB_plan!$F:$F,$A65)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IF(A65="","",IF(H65="","",2.78E-7*IF(I65&lt;&gt;"",I65,IFERROR(SUMIFS(CB_plan!$H:$H,CB_plan!$F:$F,$A65)/SUMIFS(CB_plan!$G:$G,CB_plan!$F:$F,$A65),Inputs!$B$17))*H65*K65))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7">
        <f>IF(BB65="","",CH65)</f>
        <v/>
      </c>
      <c r="BA65" s="7">
        <f>IF(OR(BB65="",AZ65="",T65="",T65&lt;=0,AZ65&lt;=0),"",BB65/((T65^2/8)*(2*ACOS(1-2*AZ65/T65)-SIN(2*ACOS(1-2*AZ65/T65)))))</f>
        <v/>
      </c>
      <c r="BB65" s="4">
        <f>IF(OR(N65="",BC65=""),"",MIN(N65,BC65))</f>
        <v/>
      </c>
      <c r="BC65" s="4">
        <f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4">
        <f>IF(BB65="","",0.001*T65)</f>
        <v/>
      </c>
      <c r="BE65" s="4">
        <f>IF(BB65="","",0.94*T65)</f>
        <v/>
      </c>
      <c r="BF65" s="4">
        <f>IF(BB65="","",(BD65+BE65)/2)</f>
        <v/>
      </c>
      <c r="BG65" s="4">
        <f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4">
        <f>IF(BB65="","",IF(BG65&lt;BB65,BF65,BD65))</f>
        <v/>
      </c>
      <c r="BI65" s="4">
        <f>IF(BB65="","",IF(BG65&lt;BB65,BE65,BF65))</f>
        <v/>
      </c>
      <c r="BJ65" s="4">
        <f>IF(BB65="","",(BH65+BI65)/2)</f>
        <v/>
      </c>
      <c r="BK65" s="4">
        <f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4">
        <f>IF(BB65="","",IF(BK65&lt;BB65,BJ65,BH65))</f>
        <v/>
      </c>
      <c r="BM65" s="4">
        <f>IF(BB65="","",IF(BK65&lt;BB65,BI65,BJ65))</f>
        <v/>
      </c>
      <c r="BN65" s="4">
        <f>IF(BB65="","",(BL65+BM65)/2)</f>
        <v/>
      </c>
      <c r="BO65" s="4">
        <f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4">
        <f>IF(BB65="","",IF(BO65&lt;BB65,BN65,BL65))</f>
        <v/>
      </c>
      <c r="BQ65" s="4">
        <f>IF(BB65="","",IF(BO65&lt;BB65,BM65,BN65))</f>
        <v/>
      </c>
      <c r="BR65" s="4">
        <f>IF(BB65="","",(BP65+BQ65)/2)</f>
        <v/>
      </c>
      <c r="BS65" s="4">
        <f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4">
        <f>IF(BB65="","",IF(BS65&lt;BB65,BR65,BP65))</f>
        <v/>
      </c>
      <c r="BU65" s="4">
        <f>IF(BB65="","",IF(BS65&lt;BB65,BQ65,BR65))</f>
        <v/>
      </c>
      <c r="BV65" s="4">
        <f>IF(BB65="","",(BT65+BU65)/2)</f>
        <v/>
      </c>
      <c r="BW65" s="4">
        <f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4">
        <f>IF(BB65="","",IF(BW65&lt;BB65,BV65,BT65))</f>
        <v/>
      </c>
      <c r="BY65" s="4">
        <f>IF(BB65="","",IF(BW65&lt;BB65,BU65,BV65))</f>
        <v/>
      </c>
      <c r="BZ65" s="4">
        <f>IF(BB65="","",(BX65+BY65)/2)</f>
        <v/>
      </c>
      <c r="CA65" s="4">
        <f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4">
        <f>IF(BB65="","",IF(CA65&lt;BB65,BZ65,BX65))</f>
        <v/>
      </c>
      <c r="CC65" s="4">
        <f>IF(BB65="","",IF(CA65&lt;BB65,BY65,BZ65))</f>
        <v/>
      </c>
      <c r="CD65" s="4">
        <f>IF(BB65="","",(CB65+CC65)/2)</f>
        <v/>
      </c>
      <c r="CE65" s="4">
        <f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4">
        <f>IF(BB65="","",IF(CE65&lt;BB65,CD65,CB65))</f>
        <v/>
      </c>
      <c r="CG65" s="4">
        <f>IF(BB65="","",IF(CE65&lt;BB65,CC65,CD65))</f>
        <v/>
      </c>
      <c r="CH65" s="4">
        <f>IF(BB65="","",(CF65+CG65)/2)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SUMIFS(CB_plan!$G:$G,CB_plan!$F:$F,$A66)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IF(A66="","",IF(H66="","",2.78E-7*IF(I66&lt;&gt;"",I66,IFERROR(SUMIFS(CB_plan!$H:$H,CB_plan!$F:$F,$A66)/SUMIFS(CB_plan!$G:$G,CB_plan!$F:$F,$A66),Inputs!$B$17))*H66*K66))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7">
        <f>IF(BB66="","",CH66)</f>
        <v/>
      </c>
      <c r="BA66" s="7">
        <f>IF(OR(BB66="",AZ66="",T66="",T66&lt;=0,AZ66&lt;=0),"",BB66/((T66^2/8)*(2*ACOS(1-2*AZ66/T66)-SIN(2*ACOS(1-2*AZ66/T66)))))</f>
        <v/>
      </c>
      <c r="BB66" s="4">
        <f>IF(OR(N66="",BC66=""),"",MIN(N66,BC66))</f>
        <v/>
      </c>
      <c r="BC66" s="4">
        <f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4">
        <f>IF(BB66="","",0.001*T66)</f>
        <v/>
      </c>
      <c r="BE66" s="4">
        <f>IF(BB66="","",0.94*T66)</f>
        <v/>
      </c>
      <c r="BF66" s="4">
        <f>IF(BB66="","",(BD66+BE66)/2)</f>
        <v/>
      </c>
      <c r="BG66" s="4">
        <f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4">
        <f>IF(BB66="","",IF(BG66&lt;BB66,BF66,BD66))</f>
        <v/>
      </c>
      <c r="BI66" s="4">
        <f>IF(BB66="","",IF(BG66&lt;BB66,BE66,BF66))</f>
        <v/>
      </c>
      <c r="BJ66" s="4">
        <f>IF(BB66="","",(BH66+BI66)/2)</f>
        <v/>
      </c>
      <c r="BK66" s="4">
        <f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4">
        <f>IF(BB66="","",IF(BK66&lt;BB66,BJ66,BH66))</f>
        <v/>
      </c>
      <c r="BM66" s="4">
        <f>IF(BB66="","",IF(BK66&lt;BB66,BI66,BJ66))</f>
        <v/>
      </c>
      <c r="BN66" s="4">
        <f>IF(BB66="","",(BL66+BM66)/2)</f>
        <v/>
      </c>
      <c r="BO66" s="4">
        <f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4">
        <f>IF(BB66="","",IF(BO66&lt;BB66,BN66,BL66))</f>
        <v/>
      </c>
      <c r="BQ66" s="4">
        <f>IF(BB66="","",IF(BO66&lt;BB66,BM66,BN66))</f>
        <v/>
      </c>
      <c r="BR66" s="4">
        <f>IF(BB66="","",(BP66+BQ66)/2)</f>
        <v/>
      </c>
      <c r="BS66" s="4">
        <f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4">
        <f>IF(BB66="","",IF(BS66&lt;BB66,BR66,BP66))</f>
        <v/>
      </c>
      <c r="BU66" s="4">
        <f>IF(BB66="","",IF(BS66&lt;BB66,BQ66,BR66))</f>
        <v/>
      </c>
      <c r="BV66" s="4">
        <f>IF(BB66="","",(BT66+BU66)/2)</f>
        <v/>
      </c>
      <c r="BW66" s="4">
        <f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4">
        <f>IF(BB66="","",IF(BW66&lt;BB66,BV66,BT66))</f>
        <v/>
      </c>
      <c r="BY66" s="4">
        <f>IF(BB66="","",IF(BW66&lt;BB66,BU66,BV66))</f>
        <v/>
      </c>
      <c r="BZ66" s="4">
        <f>IF(BB66="","",(BX66+BY66)/2)</f>
        <v/>
      </c>
      <c r="CA66" s="4">
        <f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4">
        <f>IF(BB66="","",IF(CA66&lt;BB66,BZ66,BX66))</f>
        <v/>
      </c>
      <c r="CC66" s="4">
        <f>IF(BB66="","",IF(CA66&lt;BB66,BY66,BZ66))</f>
        <v/>
      </c>
      <c r="CD66" s="4">
        <f>IF(BB66="","",(CB66+CC66)/2)</f>
        <v/>
      </c>
      <c r="CE66" s="4">
        <f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4">
        <f>IF(BB66="","",IF(CE66&lt;BB66,CD66,CB66))</f>
        <v/>
      </c>
      <c r="CG66" s="4">
        <f>IF(BB66="","",IF(CE66&lt;BB66,CC66,CD66))</f>
        <v/>
      </c>
      <c r="CH66" s="4">
        <f>IF(BB66="","",(CF66+CG66)/2)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SUMIFS(CB_plan!$G:$G,CB_plan!$F:$F,$A67)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IF(A67="","",IF(H67="","",2.78E-7*IF(I67&lt;&gt;"",I67,IFERROR(SUMIFS(CB_plan!$H:$H,CB_plan!$F:$F,$A67)/SUMIFS(CB_plan!$G:$G,CB_plan!$F:$F,$A67),Inputs!$B$17))*H67*K67))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7">
        <f>IF(BB67="","",CH67)</f>
        <v/>
      </c>
      <c r="BA67" s="7">
        <f>IF(OR(BB67="",AZ67="",T67="",T67&lt;=0,AZ67&lt;=0),"",BB67/((T67^2/8)*(2*ACOS(1-2*AZ67/T67)-SIN(2*ACOS(1-2*AZ67/T67)))))</f>
        <v/>
      </c>
      <c r="BB67" s="4">
        <f>IF(OR(N67="",BC67=""),"",MIN(N67,BC67))</f>
        <v/>
      </c>
      <c r="BC67" s="4">
        <f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4">
        <f>IF(BB67="","",0.001*T67)</f>
        <v/>
      </c>
      <c r="BE67" s="4">
        <f>IF(BB67="","",0.94*T67)</f>
        <v/>
      </c>
      <c r="BF67" s="4">
        <f>IF(BB67="","",(BD67+BE67)/2)</f>
        <v/>
      </c>
      <c r="BG67" s="4">
        <f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4">
        <f>IF(BB67="","",IF(BG67&lt;BB67,BF67,BD67))</f>
        <v/>
      </c>
      <c r="BI67" s="4">
        <f>IF(BB67="","",IF(BG67&lt;BB67,BE67,BF67))</f>
        <v/>
      </c>
      <c r="BJ67" s="4">
        <f>IF(BB67="","",(BH67+BI67)/2)</f>
        <v/>
      </c>
      <c r="BK67" s="4">
        <f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4">
        <f>IF(BB67="","",IF(BK67&lt;BB67,BJ67,BH67))</f>
        <v/>
      </c>
      <c r="BM67" s="4">
        <f>IF(BB67="","",IF(BK67&lt;BB67,BI67,BJ67))</f>
        <v/>
      </c>
      <c r="BN67" s="4">
        <f>IF(BB67="","",(BL67+BM67)/2)</f>
        <v/>
      </c>
      <c r="BO67" s="4">
        <f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4">
        <f>IF(BB67="","",IF(BO67&lt;BB67,BN67,BL67))</f>
        <v/>
      </c>
      <c r="BQ67" s="4">
        <f>IF(BB67="","",IF(BO67&lt;BB67,BM67,BN67))</f>
        <v/>
      </c>
      <c r="BR67" s="4">
        <f>IF(BB67="","",(BP67+BQ67)/2)</f>
        <v/>
      </c>
      <c r="BS67" s="4">
        <f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4">
        <f>IF(BB67="","",IF(BS67&lt;BB67,BR67,BP67))</f>
        <v/>
      </c>
      <c r="BU67" s="4">
        <f>IF(BB67="","",IF(BS67&lt;BB67,BQ67,BR67))</f>
        <v/>
      </c>
      <c r="BV67" s="4">
        <f>IF(BB67="","",(BT67+BU67)/2)</f>
        <v/>
      </c>
      <c r="BW67" s="4">
        <f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4">
        <f>IF(BB67="","",IF(BW67&lt;BB67,BV67,BT67))</f>
        <v/>
      </c>
      <c r="BY67" s="4">
        <f>IF(BB67="","",IF(BW67&lt;BB67,BU67,BV67))</f>
        <v/>
      </c>
      <c r="BZ67" s="4">
        <f>IF(BB67="","",(BX67+BY67)/2)</f>
        <v/>
      </c>
      <c r="CA67" s="4">
        <f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4">
        <f>IF(BB67="","",IF(CA67&lt;BB67,BZ67,BX67))</f>
        <v/>
      </c>
      <c r="CC67" s="4">
        <f>IF(BB67="","",IF(CA67&lt;BB67,BY67,BZ67))</f>
        <v/>
      </c>
      <c r="CD67" s="4">
        <f>IF(BB67="","",(CB67+CC67)/2)</f>
        <v/>
      </c>
      <c r="CE67" s="4">
        <f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4">
        <f>IF(BB67="","",IF(CE67&lt;BB67,CD67,CB67))</f>
        <v/>
      </c>
      <c r="CG67" s="4">
        <f>IF(BB67="","",IF(CE67&lt;BB67,CC67,CD67))</f>
        <v/>
      </c>
      <c r="CH67" s="4">
        <f>IF(BB67="","",(CF67+CG67)/2)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SUMIFS(CB_plan!$G:$G,CB_plan!$F:$F,$A68)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IF(A68="","",IF(H68="","",2.78E-7*IF(I68&lt;&gt;"",I68,IFERROR(SUMIFS(CB_plan!$H:$H,CB_plan!$F:$F,$A68)/SUMIFS(CB_plan!$G:$G,CB_plan!$F:$F,$A68),Inputs!$B$17))*H68*K68))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7">
        <f>IF(BB68="","",CH68)</f>
        <v/>
      </c>
      <c r="BA68" s="7">
        <f>IF(OR(BB68="",AZ68="",T68="",T68&lt;=0,AZ68&lt;=0),"",BB68/((T68^2/8)*(2*ACOS(1-2*AZ68/T68)-SIN(2*ACOS(1-2*AZ68/T68)))))</f>
        <v/>
      </c>
      <c r="BB68" s="4">
        <f>IF(OR(N68="",BC68=""),"",MIN(N68,BC68))</f>
        <v/>
      </c>
      <c r="BC68" s="4">
        <f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4">
        <f>IF(BB68="","",0.001*T68)</f>
        <v/>
      </c>
      <c r="BE68" s="4">
        <f>IF(BB68="","",0.94*T68)</f>
        <v/>
      </c>
      <c r="BF68" s="4">
        <f>IF(BB68="","",(BD68+BE68)/2)</f>
        <v/>
      </c>
      <c r="BG68" s="4">
        <f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4">
        <f>IF(BB68="","",IF(BG68&lt;BB68,BF68,BD68))</f>
        <v/>
      </c>
      <c r="BI68" s="4">
        <f>IF(BB68="","",IF(BG68&lt;BB68,BE68,BF68))</f>
        <v/>
      </c>
      <c r="BJ68" s="4">
        <f>IF(BB68="","",(BH68+BI68)/2)</f>
        <v/>
      </c>
      <c r="BK68" s="4">
        <f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4">
        <f>IF(BB68="","",IF(BK68&lt;BB68,BJ68,BH68))</f>
        <v/>
      </c>
      <c r="BM68" s="4">
        <f>IF(BB68="","",IF(BK68&lt;BB68,BI68,BJ68))</f>
        <v/>
      </c>
      <c r="BN68" s="4">
        <f>IF(BB68="","",(BL68+BM68)/2)</f>
        <v/>
      </c>
      <c r="BO68" s="4">
        <f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4">
        <f>IF(BB68="","",IF(BO68&lt;BB68,BN68,BL68))</f>
        <v/>
      </c>
      <c r="BQ68" s="4">
        <f>IF(BB68="","",IF(BO68&lt;BB68,BM68,BN68))</f>
        <v/>
      </c>
      <c r="BR68" s="4">
        <f>IF(BB68="","",(BP68+BQ68)/2)</f>
        <v/>
      </c>
      <c r="BS68" s="4">
        <f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4">
        <f>IF(BB68="","",IF(BS68&lt;BB68,BR68,BP68))</f>
        <v/>
      </c>
      <c r="BU68" s="4">
        <f>IF(BB68="","",IF(BS68&lt;BB68,BQ68,BR68))</f>
        <v/>
      </c>
      <c r="BV68" s="4">
        <f>IF(BB68="","",(BT68+BU68)/2)</f>
        <v/>
      </c>
      <c r="BW68" s="4">
        <f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4">
        <f>IF(BB68="","",IF(BW68&lt;BB68,BV68,BT68))</f>
        <v/>
      </c>
      <c r="BY68" s="4">
        <f>IF(BB68="","",IF(BW68&lt;BB68,BU68,BV68))</f>
        <v/>
      </c>
      <c r="BZ68" s="4">
        <f>IF(BB68="","",(BX68+BY68)/2)</f>
        <v/>
      </c>
      <c r="CA68" s="4">
        <f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4">
        <f>IF(BB68="","",IF(CA68&lt;BB68,BZ68,BX68))</f>
        <v/>
      </c>
      <c r="CC68" s="4">
        <f>IF(BB68="","",IF(CA68&lt;BB68,BY68,BZ68))</f>
        <v/>
      </c>
      <c r="CD68" s="4">
        <f>IF(BB68="","",(CB68+CC68)/2)</f>
        <v/>
      </c>
      <c r="CE68" s="4">
        <f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4">
        <f>IF(BB68="","",IF(CE68&lt;BB68,CD68,CB68))</f>
        <v/>
      </c>
      <c r="CG68" s="4">
        <f>IF(BB68="","",IF(CE68&lt;BB68,CC68,CD68))</f>
        <v/>
      </c>
      <c r="CH68" s="4">
        <f>IF(BB68="","",(CF68+CG68)/2)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SUMIFS(CB_plan!$G:$G,CB_plan!$F:$F,$A69)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IF(A69="","",IF(H69="","",2.78E-7*IF(I69&lt;&gt;"",I69,IFERROR(SUMIFS(CB_plan!$H:$H,CB_plan!$F:$F,$A69)/SUMIFS(CB_plan!$G:$G,CB_plan!$F:$F,$A69),Inputs!$B$17))*H69*K69))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7">
        <f>IF(BB69="","",CH69)</f>
        <v/>
      </c>
      <c r="BA69" s="7">
        <f>IF(OR(BB69="",AZ69="",T69="",T69&lt;=0,AZ69&lt;=0),"",BB69/((T69^2/8)*(2*ACOS(1-2*AZ69/T69)-SIN(2*ACOS(1-2*AZ69/T69)))))</f>
        <v/>
      </c>
      <c r="BB69" s="4">
        <f>IF(OR(N69="",BC69=""),"",MIN(N69,BC69))</f>
        <v/>
      </c>
      <c r="BC69" s="4">
        <f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4">
        <f>IF(BB69="","",0.001*T69)</f>
        <v/>
      </c>
      <c r="BE69" s="4">
        <f>IF(BB69="","",0.94*T69)</f>
        <v/>
      </c>
      <c r="BF69" s="4">
        <f>IF(BB69="","",(BD69+BE69)/2)</f>
        <v/>
      </c>
      <c r="BG69" s="4">
        <f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4">
        <f>IF(BB69="","",IF(BG69&lt;BB69,BF69,BD69))</f>
        <v/>
      </c>
      <c r="BI69" s="4">
        <f>IF(BB69="","",IF(BG69&lt;BB69,BE69,BF69))</f>
        <v/>
      </c>
      <c r="BJ69" s="4">
        <f>IF(BB69="","",(BH69+BI69)/2)</f>
        <v/>
      </c>
      <c r="BK69" s="4">
        <f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4">
        <f>IF(BB69="","",IF(BK69&lt;BB69,BJ69,BH69))</f>
        <v/>
      </c>
      <c r="BM69" s="4">
        <f>IF(BB69="","",IF(BK69&lt;BB69,BI69,BJ69))</f>
        <v/>
      </c>
      <c r="BN69" s="4">
        <f>IF(BB69="","",(BL69+BM69)/2)</f>
        <v/>
      </c>
      <c r="BO69" s="4">
        <f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4">
        <f>IF(BB69="","",IF(BO69&lt;BB69,BN69,BL69))</f>
        <v/>
      </c>
      <c r="BQ69" s="4">
        <f>IF(BB69="","",IF(BO69&lt;BB69,BM69,BN69))</f>
        <v/>
      </c>
      <c r="BR69" s="4">
        <f>IF(BB69="","",(BP69+BQ69)/2)</f>
        <v/>
      </c>
      <c r="BS69" s="4">
        <f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4">
        <f>IF(BB69="","",IF(BS69&lt;BB69,BR69,BP69))</f>
        <v/>
      </c>
      <c r="BU69" s="4">
        <f>IF(BB69="","",IF(BS69&lt;BB69,BQ69,BR69))</f>
        <v/>
      </c>
      <c r="BV69" s="4">
        <f>IF(BB69="","",(BT69+BU69)/2)</f>
        <v/>
      </c>
      <c r="BW69" s="4">
        <f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4">
        <f>IF(BB69="","",IF(BW69&lt;BB69,BV69,BT69))</f>
        <v/>
      </c>
      <c r="BY69" s="4">
        <f>IF(BB69="","",IF(BW69&lt;BB69,BU69,BV69))</f>
        <v/>
      </c>
      <c r="BZ69" s="4">
        <f>IF(BB69="","",(BX69+BY69)/2)</f>
        <v/>
      </c>
      <c r="CA69" s="4">
        <f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4">
        <f>IF(BB69="","",IF(CA69&lt;BB69,BZ69,BX69))</f>
        <v/>
      </c>
      <c r="CC69" s="4">
        <f>IF(BB69="","",IF(CA69&lt;BB69,BY69,BZ69))</f>
        <v/>
      </c>
      <c r="CD69" s="4">
        <f>IF(BB69="","",(CB69+CC69)/2)</f>
        <v/>
      </c>
      <c r="CE69" s="4">
        <f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4">
        <f>IF(BB69="","",IF(CE69&lt;BB69,CD69,CB69))</f>
        <v/>
      </c>
      <c r="CG69" s="4">
        <f>IF(BB69="","",IF(CE69&lt;BB69,CC69,CD69))</f>
        <v/>
      </c>
      <c r="CH69" s="4">
        <f>IF(BB69="","",(CF69+CG69)/2)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SUMIFS(CB_plan!$G:$G,CB_plan!$F:$F,$A70)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IF(A70="","",IF(H70="","",2.78E-7*IF(I70&lt;&gt;"",I70,IFERROR(SUMIFS(CB_plan!$H:$H,CB_plan!$F:$F,$A70)/SUMIFS(CB_plan!$G:$G,CB_plan!$F:$F,$A70),Inputs!$B$17))*H70*K70))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7">
        <f>IF(BB70="","",CH70)</f>
        <v/>
      </c>
      <c r="BA70" s="7">
        <f>IF(OR(BB70="",AZ70="",T70="",T70&lt;=0,AZ70&lt;=0),"",BB70/((T70^2/8)*(2*ACOS(1-2*AZ70/T70)-SIN(2*ACOS(1-2*AZ70/T70)))))</f>
        <v/>
      </c>
      <c r="BB70" s="4">
        <f>IF(OR(N70="",BC70=""),"",MIN(N70,BC70))</f>
        <v/>
      </c>
      <c r="BC70" s="4">
        <f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4">
        <f>IF(BB70="","",0.001*T70)</f>
        <v/>
      </c>
      <c r="BE70" s="4">
        <f>IF(BB70="","",0.94*T70)</f>
        <v/>
      </c>
      <c r="BF70" s="4">
        <f>IF(BB70="","",(BD70+BE70)/2)</f>
        <v/>
      </c>
      <c r="BG70" s="4">
        <f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4">
        <f>IF(BB70="","",IF(BG70&lt;BB70,BF70,BD70))</f>
        <v/>
      </c>
      <c r="BI70" s="4">
        <f>IF(BB70="","",IF(BG70&lt;BB70,BE70,BF70))</f>
        <v/>
      </c>
      <c r="BJ70" s="4">
        <f>IF(BB70="","",(BH70+BI70)/2)</f>
        <v/>
      </c>
      <c r="BK70" s="4">
        <f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4">
        <f>IF(BB70="","",IF(BK70&lt;BB70,BJ70,BH70))</f>
        <v/>
      </c>
      <c r="BM70" s="4">
        <f>IF(BB70="","",IF(BK70&lt;BB70,BI70,BJ70))</f>
        <v/>
      </c>
      <c r="BN70" s="4">
        <f>IF(BB70="","",(BL70+BM70)/2)</f>
        <v/>
      </c>
      <c r="BO70" s="4">
        <f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4">
        <f>IF(BB70="","",IF(BO70&lt;BB70,BN70,BL70))</f>
        <v/>
      </c>
      <c r="BQ70" s="4">
        <f>IF(BB70="","",IF(BO70&lt;BB70,BM70,BN70))</f>
        <v/>
      </c>
      <c r="BR70" s="4">
        <f>IF(BB70="","",(BP70+BQ70)/2)</f>
        <v/>
      </c>
      <c r="BS70" s="4">
        <f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4">
        <f>IF(BB70="","",IF(BS70&lt;BB70,BR70,BP70))</f>
        <v/>
      </c>
      <c r="BU70" s="4">
        <f>IF(BB70="","",IF(BS70&lt;BB70,BQ70,BR70))</f>
        <v/>
      </c>
      <c r="BV70" s="4">
        <f>IF(BB70="","",(BT70+BU70)/2)</f>
        <v/>
      </c>
      <c r="BW70" s="4">
        <f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4">
        <f>IF(BB70="","",IF(BW70&lt;BB70,BV70,BT70))</f>
        <v/>
      </c>
      <c r="BY70" s="4">
        <f>IF(BB70="","",IF(BW70&lt;BB70,BU70,BV70))</f>
        <v/>
      </c>
      <c r="BZ70" s="4">
        <f>IF(BB70="","",(BX70+BY70)/2)</f>
        <v/>
      </c>
      <c r="CA70" s="4">
        <f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4">
        <f>IF(BB70="","",IF(CA70&lt;BB70,BZ70,BX70))</f>
        <v/>
      </c>
      <c r="CC70" s="4">
        <f>IF(BB70="","",IF(CA70&lt;BB70,BY70,BZ70))</f>
        <v/>
      </c>
      <c r="CD70" s="4">
        <f>IF(BB70="","",(CB70+CC70)/2)</f>
        <v/>
      </c>
      <c r="CE70" s="4">
        <f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4">
        <f>IF(BB70="","",IF(CE70&lt;BB70,CD70,CB70))</f>
        <v/>
      </c>
      <c r="CG70" s="4">
        <f>IF(BB70="","",IF(CE70&lt;BB70,CC70,CD70))</f>
        <v/>
      </c>
      <c r="CH70" s="4">
        <f>IF(BB70="","",(CF70+CG70)/2)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SUMIFS(CB_plan!$G:$G,CB_plan!$F:$F,$A71)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IF(A71="","",IF(H71="","",2.78E-7*IF(I71&lt;&gt;"",I71,IFERROR(SUMIFS(CB_plan!$H:$H,CB_plan!$F:$F,$A71)/SUMIFS(CB_plan!$G:$G,CB_plan!$F:$F,$A71),Inputs!$B$17))*H71*K71))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7">
        <f>IF(BB71="","",CH71)</f>
        <v/>
      </c>
      <c r="BA71" s="7">
        <f>IF(OR(BB71="",AZ71="",T71="",T71&lt;=0,AZ71&lt;=0),"",BB71/((T71^2/8)*(2*ACOS(1-2*AZ71/T71)-SIN(2*ACOS(1-2*AZ71/T71)))))</f>
        <v/>
      </c>
      <c r="BB71" s="4">
        <f>IF(OR(N71="",BC71=""),"",MIN(N71,BC71))</f>
        <v/>
      </c>
      <c r="BC71" s="4">
        <f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4">
        <f>IF(BB71="","",0.001*T71)</f>
        <v/>
      </c>
      <c r="BE71" s="4">
        <f>IF(BB71="","",0.94*T71)</f>
        <v/>
      </c>
      <c r="BF71" s="4">
        <f>IF(BB71="","",(BD71+BE71)/2)</f>
        <v/>
      </c>
      <c r="BG71" s="4">
        <f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4">
        <f>IF(BB71="","",IF(BG71&lt;BB71,BF71,BD71))</f>
        <v/>
      </c>
      <c r="BI71" s="4">
        <f>IF(BB71="","",IF(BG71&lt;BB71,BE71,BF71))</f>
        <v/>
      </c>
      <c r="BJ71" s="4">
        <f>IF(BB71="","",(BH71+BI71)/2)</f>
        <v/>
      </c>
      <c r="BK71" s="4">
        <f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4">
        <f>IF(BB71="","",IF(BK71&lt;BB71,BJ71,BH71))</f>
        <v/>
      </c>
      <c r="BM71" s="4">
        <f>IF(BB71="","",IF(BK71&lt;BB71,BI71,BJ71))</f>
        <v/>
      </c>
      <c r="BN71" s="4">
        <f>IF(BB71="","",(BL71+BM71)/2)</f>
        <v/>
      </c>
      <c r="BO71" s="4">
        <f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4">
        <f>IF(BB71="","",IF(BO71&lt;BB71,BN71,BL71))</f>
        <v/>
      </c>
      <c r="BQ71" s="4">
        <f>IF(BB71="","",IF(BO71&lt;BB71,BM71,BN71))</f>
        <v/>
      </c>
      <c r="BR71" s="4">
        <f>IF(BB71="","",(BP71+BQ71)/2)</f>
        <v/>
      </c>
      <c r="BS71" s="4">
        <f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4">
        <f>IF(BB71="","",IF(BS71&lt;BB71,BR71,BP71))</f>
        <v/>
      </c>
      <c r="BU71" s="4">
        <f>IF(BB71="","",IF(BS71&lt;BB71,BQ71,BR71))</f>
        <v/>
      </c>
      <c r="BV71" s="4">
        <f>IF(BB71="","",(BT71+BU71)/2)</f>
        <v/>
      </c>
      <c r="BW71" s="4">
        <f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4">
        <f>IF(BB71="","",IF(BW71&lt;BB71,BV71,BT71))</f>
        <v/>
      </c>
      <c r="BY71" s="4">
        <f>IF(BB71="","",IF(BW71&lt;BB71,BU71,BV71))</f>
        <v/>
      </c>
      <c r="BZ71" s="4">
        <f>IF(BB71="","",(BX71+BY71)/2)</f>
        <v/>
      </c>
      <c r="CA71" s="4">
        <f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4">
        <f>IF(BB71="","",IF(CA71&lt;BB71,BZ71,BX71))</f>
        <v/>
      </c>
      <c r="CC71" s="4">
        <f>IF(BB71="","",IF(CA71&lt;BB71,BY71,BZ71))</f>
        <v/>
      </c>
      <c r="CD71" s="4">
        <f>IF(BB71="","",(CB71+CC71)/2)</f>
        <v/>
      </c>
      <c r="CE71" s="4">
        <f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4">
        <f>IF(BB71="","",IF(CE71&lt;BB71,CD71,CB71))</f>
        <v/>
      </c>
      <c r="CG71" s="4">
        <f>IF(BB71="","",IF(CE71&lt;BB71,CC71,CD71))</f>
        <v/>
      </c>
      <c r="CH71" s="4">
        <f>IF(BB71="","",(CF71+CG71)/2)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SUMIFS(CB_plan!$G:$G,CB_plan!$F:$F,$A72)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IF(A72="","",IF(H72="","",2.78E-7*IF(I72&lt;&gt;"",I72,IFERROR(SUMIFS(CB_plan!$H:$H,CB_plan!$F:$F,$A72)/SUMIFS(CB_plan!$G:$G,CB_plan!$F:$F,$A72),Inputs!$B$17))*H72*K72))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7">
        <f>IF(BB72="","",CH72)</f>
        <v/>
      </c>
      <c r="BA72" s="7">
        <f>IF(OR(BB72="",AZ72="",T72="",T72&lt;=0,AZ72&lt;=0),"",BB72/((T72^2/8)*(2*ACOS(1-2*AZ72/T72)-SIN(2*ACOS(1-2*AZ72/T72)))))</f>
        <v/>
      </c>
      <c r="BB72" s="4">
        <f>IF(OR(N72="",BC72=""),"",MIN(N72,BC72))</f>
        <v/>
      </c>
      <c r="BC72" s="4">
        <f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4">
        <f>IF(BB72="","",0.001*T72)</f>
        <v/>
      </c>
      <c r="BE72" s="4">
        <f>IF(BB72="","",0.94*T72)</f>
        <v/>
      </c>
      <c r="BF72" s="4">
        <f>IF(BB72="","",(BD72+BE72)/2)</f>
        <v/>
      </c>
      <c r="BG72" s="4">
        <f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4">
        <f>IF(BB72="","",IF(BG72&lt;BB72,BF72,BD72))</f>
        <v/>
      </c>
      <c r="BI72" s="4">
        <f>IF(BB72="","",IF(BG72&lt;BB72,BE72,BF72))</f>
        <v/>
      </c>
      <c r="BJ72" s="4">
        <f>IF(BB72="","",(BH72+BI72)/2)</f>
        <v/>
      </c>
      <c r="BK72" s="4">
        <f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4">
        <f>IF(BB72="","",IF(BK72&lt;BB72,BJ72,BH72))</f>
        <v/>
      </c>
      <c r="BM72" s="4">
        <f>IF(BB72="","",IF(BK72&lt;BB72,BI72,BJ72))</f>
        <v/>
      </c>
      <c r="BN72" s="4">
        <f>IF(BB72="","",(BL72+BM72)/2)</f>
        <v/>
      </c>
      <c r="BO72" s="4">
        <f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4">
        <f>IF(BB72="","",IF(BO72&lt;BB72,BN72,BL72))</f>
        <v/>
      </c>
      <c r="BQ72" s="4">
        <f>IF(BB72="","",IF(BO72&lt;BB72,BM72,BN72))</f>
        <v/>
      </c>
      <c r="BR72" s="4">
        <f>IF(BB72="","",(BP72+BQ72)/2)</f>
        <v/>
      </c>
      <c r="BS72" s="4">
        <f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4">
        <f>IF(BB72="","",IF(BS72&lt;BB72,BR72,BP72))</f>
        <v/>
      </c>
      <c r="BU72" s="4">
        <f>IF(BB72="","",IF(BS72&lt;BB72,BQ72,BR72))</f>
        <v/>
      </c>
      <c r="BV72" s="4">
        <f>IF(BB72="","",(BT72+BU72)/2)</f>
        <v/>
      </c>
      <c r="BW72" s="4">
        <f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4">
        <f>IF(BB72="","",IF(BW72&lt;BB72,BV72,BT72))</f>
        <v/>
      </c>
      <c r="BY72" s="4">
        <f>IF(BB72="","",IF(BW72&lt;BB72,BU72,BV72))</f>
        <v/>
      </c>
      <c r="BZ72" s="4">
        <f>IF(BB72="","",(BX72+BY72)/2)</f>
        <v/>
      </c>
      <c r="CA72" s="4">
        <f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4">
        <f>IF(BB72="","",IF(CA72&lt;BB72,BZ72,BX72))</f>
        <v/>
      </c>
      <c r="CC72" s="4">
        <f>IF(BB72="","",IF(CA72&lt;BB72,BY72,BZ72))</f>
        <v/>
      </c>
      <c r="CD72" s="4">
        <f>IF(BB72="","",(CB72+CC72)/2)</f>
        <v/>
      </c>
      <c r="CE72" s="4">
        <f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4">
        <f>IF(BB72="","",IF(CE72&lt;BB72,CD72,CB72))</f>
        <v/>
      </c>
      <c r="CG72" s="4">
        <f>IF(BB72="","",IF(CE72&lt;BB72,CC72,CD72))</f>
        <v/>
      </c>
      <c r="CH72" s="4">
        <f>IF(BB72="","",(CF72+CG72)/2)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SUMIFS(CB_plan!$G:$G,CB_plan!$F:$F,$A73)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IF(A73="","",IF(H73="","",2.78E-7*IF(I73&lt;&gt;"",I73,IFERROR(SUMIFS(CB_plan!$H:$H,CB_plan!$F:$F,$A73)/SUMIFS(CB_plan!$G:$G,CB_plan!$F:$F,$A73),Inputs!$B$17))*H73*K73))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7">
        <f>IF(BB73="","",CH73)</f>
        <v/>
      </c>
      <c r="BA73" s="7">
        <f>IF(OR(BB73="",AZ73="",T73="",T73&lt;=0,AZ73&lt;=0),"",BB73/((T73^2/8)*(2*ACOS(1-2*AZ73/T73)-SIN(2*ACOS(1-2*AZ73/T73)))))</f>
        <v/>
      </c>
      <c r="BB73" s="4">
        <f>IF(OR(N73="",BC73=""),"",MIN(N73,BC73))</f>
        <v/>
      </c>
      <c r="BC73" s="4">
        <f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4">
        <f>IF(BB73="","",0.001*T73)</f>
        <v/>
      </c>
      <c r="BE73" s="4">
        <f>IF(BB73="","",0.94*T73)</f>
        <v/>
      </c>
      <c r="BF73" s="4">
        <f>IF(BB73="","",(BD73+BE73)/2)</f>
        <v/>
      </c>
      <c r="BG73" s="4">
        <f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4">
        <f>IF(BB73="","",IF(BG73&lt;BB73,BF73,BD73))</f>
        <v/>
      </c>
      <c r="BI73" s="4">
        <f>IF(BB73="","",IF(BG73&lt;BB73,BE73,BF73))</f>
        <v/>
      </c>
      <c r="BJ73" s="4">
        <f>IF(BB73="","",(BH73+BI73)/2)</f>
        <v/>
      </c>
      <c r="BK73" s="4">
        <f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4">
        <f>IF(BB73="","",IF(BK73&lt;BB73,BJ73,BH73))</f>
        <v/>
      </c>
      <c r="BM73" s="4">
        <f>IF(BB73="","",IF(BK73&lt;BB73,BI73,BJ73))</f>
        <v/>
      </c>
      <c r="BN73" s="4">
        <f>IF(BB73="","",(BL73+BM73)/2)</f>
        <v/>
      </c>
      <c r="BO73" s="4">
        <f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4">
        <f>IF(BB73="","",IF(BO73&lt;BB73,BN73,BL73))</f>
        <v/>
      </c>
      <c r="BQ73" s="4">
        <f>IF(BB73="","",IF(BO73&lt;BB73,BM73,BN73))</f>
        <v/>
      </c>
      <c r="BR73" s="4">
        <f>IF(BB73="","",(BP73+BQ73)/2)</f>
        <v/>
      </c>
      <c r="BS73" s="4">
        <f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4">
        <f>IF(BB73="","",IF(BS73&lt;BB73,BR73,BP73))</f>
        <v/>
      </c>
      <c r="BU73" s="4">
        <f>IF(BB73="","",IF(BS73&lt;BB73,BQ73,BR73))</f>
        <v/>
      </c>
      <c r="BV73" s="4">
        <f>IF(BB73="","",(BT73+BU73)/2)</f>
        <v/>
      </c>
      <c r="BW73" s="4">
        <f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4">
        <f>IF(BB73="","",IF(BW73&lt;BB73,BV73,BT73))</f>
        <v/>
      </c>
      <c r="BY73" s="4">
        <f>IF(BB73="","",IF(BW73&lt;BB73,BU73,BV73))</f>
        <v/>
      </c>
      <c r="BZ73" s="4">
        <f>IF(BB73="","",(BX73+BY73)/2)</f>
        <v/>
      </c>
      <c r="CA73" s="4">
        <f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4">
        <f>IF(BB73="","",IF(CA73&lt;BB73,BZ73,BX73))</f>
        <v/>
      </c>
      <c r="CC73" s="4">
        <f>IF(BB73="","",IF(CA73&lt;BB73,BY73,BZ73))</f>
        <v/>
      </c>
      <c r="CD73" s="4">
        <f>IF(BB73="","",(CB73+CC73)/2)</f>
        <v/>
      </c>
      <c r="CE73" s="4">
        <f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4">
        <f>IF(BB73="","",IF(CE73&lt;BB73,CD73,CB73))</f>
        <v/>
      </c>
      <c r="CG73" s="4">
        <f>IF(BB73="","",IF(CE73&lt;BB73,CC73,CD73))</f>
        <v/>
      </c>
      <c r="CH73" s="4">
        <f>IF(BB73="","",(CF73+CG73)/2)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SUMIFS(CB_plan!$G:$G,CB_plan!$F:$F,$A74)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IF(A74="","",IF(H74="","",2.78E-7*IF(I74&lt;&gt;"",I74,IFERROR(SUMIFS(CB_plan!$H:$H,CB_plan!$F:$F,$A74)/SUMIFS(CB_plan!$G:$G,CB_plan!$F:$F,$A74),Inputs!$B$17))*H74*K74))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7">
        <f>IF(BB74="","",CH74)</f>
        <v/>
      </c>
      <c r="BA74" s="7">
        <f>IF(OR(BB74="",AZ74="",T74="",T74&lt;=0,AZ74&lt;=0),"",BB74/((T74^2/8)*(2*ACOS(1-2*AZ74/T74)-SIN(2*ACOS(1-2*AZ74/T74)))))</f>
        <v/>
      </c>
      <c r="BB74" s="4">
        <f>IF(OR(N74="",BC74=""),"",MIN(N74,BC74))</f>
        <v/>
      </c>
      <c r="BC74" s="4">
        <f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4">
        <f>IF(BB74="","",0.001*T74)</f>
        <v/>
      </c>
      <c r="BE74" s="4">
        <f>IF(BB74="","",0.94*T74)</f>
        <v/>
      </c>
      <c r="BF74" s="4">
        <f>IF(BB74="","",(BD74+BE74)/2)</f>
        <v/>
      </c>
      <c r="BG74" s="4">
        <f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4">
        <f>IF(BB74="","",IF(BG74&lt;BB74,BF74,BD74))</f>
        <v/>
      </c>
      <c r="BI74" s="4">
        <f>IF(BB74="","",IF(BG74&lt;BB74,BE74,BF74))</f>
        <v/>
      </c>
      <c r="BJ74" s="4">
        <f>IF(BB74="","",(BH74+BI74)/2)</f>
        <v/>
      </c>
      <c r="BK74" s="4">
        <f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4">
        <f>IF(BB74="","",IF(BK74&lt;BB74,BJ74,BH74))</f>
        <v/>
      </c>
      <c r="BM74" s="4">
        <f>IF(BB74="","",IF(BK74&lt;BB74,BI74,BJ74))</f>
        <v/>
      </c>
      <c r="BN74" s="4">
        <f>IF(BB74="","",(BL74+BM74)/2)</f>
        <v/>
      </c>
      <c r="BO74" s="4">
        <f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4">
        <f>IF(BB74="","",IF(BO74&lt;BB74,BN74,BL74))</f>
        <v/>
      </c>
      <c r="BQ74" s="4">
        <f>IF(BB74="","",IF(BO74&lt;BB74,BM74,BN74))</f>
        <v/>
      </c>
      <c r="BR74" s="4">
        <f>IF(BB74="","",(BP74+BQ74)/2)</f>
        <v/>
      </c>
      <c r="BS74" s="4">
        <f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4">
        <f>IF(BB74="","",IF(BS74&lt;BB74,BR74,BP74))</f>
        <v/>
      </c>
      <c r="BU74" s="4">
        <f>IF(BB74="","",IF(BS74&lt;BB74,BQ74,BR74))</f>
        <v/>
      </c>
      <c r="BV74" s="4">
        <f>IF(BB74="","",(BT74+BU74)/2)</f>
        <v/>
      </c>
      <c r="BW74" s="4">
        <f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4">
        <f>IF(BB74="","",IF(BW74&lt;BB74,BV74,BT74))</f>
        <v/>
      </c>
      <c r="BY74" s="4">
        <f>IF(BB74="","",IF(BW74&lt;BB74,BU74,BV74))</f>
        <v/>
      </c>
      <c r="BZ74" s="4">
        <f>IF(BB74="","",(BX74+BY74)/2)</f>
        <v/>
      </c>
      <c r="CA74" s="4">
        <f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4">
        <f>IF(BB74="","",IF(CA74&lt;BB74,BZ74,BX74))</f>
        <v/>
      </c>
      <c r="CC74" s="4">
        <f>IF(BB74="","",IF(CA74&lt;BB74,BY74,BZ74))</f>
        <v/>
      </c>
      <c r="CD74" s="4">
        <f>IF(BB74="","",(CB74+CC74)/2)</f>
        <v/>
      </c>
      <c r="CE74" s="4">
        <f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4">
        <f>IF(BB74="","",IF(CE74&lt;BB74,CD74,CB74))</f>
        <v/>
      </c>
      <c r="CG74" s="4">
        <f>IF(BB74="","",IF(CE74&lt;BB74,CC74,CD74))</f>
        <v/>
      </c>
      <c r="CH74" s="4">
        <f>IF(BB74="","",(CF74+CG74)/2)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SUMIFS(CB_plan!$G:$G,CB_plan!$F:$F,$A75)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IF(A75="","",IF(H75="","",2.78E-7*IF(I75&lt;&gt;"",I75,IFERROR(SUMIFS(CB_plan!$H:$H,CB_plan!$F:$F,$A75)/SUMIFS(CB_plan!$G:$G,CB_plan!$F:$F,$A75),Inputs!$B$17))*H75*K75))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7">
        <f>IF(BB75="","",CH75)</f>
        <v/>
      </c>
      <c r="BA75" s="7">
        <f>IF(OR(BB75="",AZ75="",T75="",T75&lt;=0,AZ75&lt;=0),"",BB75/((T75^2/8)*(2*ACOS(1-2*AZ75/T75)-SIN(2*ACOS(1-2*AZ75/T75)))))</f>
        <v/>
      </c>
      <c r="BB75" s="4">
        <f>IF(OR(N75="",BC75=""),"",MIN(N75,BC75))</f>
        <v/>
      </c>
      <c r="BC75" s="4">
        <f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4">
        <f>IF(BB75="","",0.001*T75)</f>
        <v/>
      </c>
      <c r="BE75" s="4">
        <f>IF(BB75="","",0.94*T75)</f>
        <v/>
      </c>
      <c r="BF75" s="4">
        <f>IF(BB75="","",(BD75+BE75)/2)</f>
        <v/>
      </c>
      <c r="BG75" s="4">
        <f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4">
        <f>IF(BB75="","",IF(BG75&lt;BB75,BF75,BD75))</f>
        <v/>
      </c>
      <c r="BI75" s="4">
        <f>IF(BB75="","",IF(BG75&lt;BB75,BE75,BF75))</f>
        <v/>
      </c>
      <c r="BJ75" s="4">
        <f>IF(BB75="","",(BH75+BI75)/2)</f>
        <v/>
      </c>
      <c r="BK75" s="4">
        <f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4">
        <f>IF(BB75="","",IF(BK75&lt;BB75,BJ75,BH75))</f>
        <v/>
      </c>
      <c r="BM75" s="4">
        <f>IF(BB75="","",IF(BK75&lt;BB75,BI75,BJ75))</f>
        <v/>
      </c>
      <c r="BN75" s="4">
        <f>IF(BB75="","",(BL75+BM75)/2)</f>
        <v/>
      </c>
      <c r="BO75" s="4">
        <f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4">
        <f>IF(BB75="","",IF(BO75&lt;BB75,BN75,BL75))</f>
        <v/>
      </c>
      <c r="BQ75" s="4">
        <f>IF(BB75="","",IF(BO75&lt;BB75,BM75,BN75))</f>
        <v/>
      </c>
      <c r="BR75" s="4">
        <f>IF(BB75="","",(BP75+BQ75)/2)</f>
        <v/>
      </c>
      <c r="BS75" s="4">
        <f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4">
        <f>IF(BB75="","",IF(BS75&lt;BB75,BR75,BP75))</f>
        <v/>
      </c>
      <c r="BU75" s="4">
        <f>IF(BB75="","",IF(BS75&lt;BB75,BQ75,BR75))</f>
        <v/>
      </c>
      <c r="BV75" s="4">
        <f>IF(BB75="","",(BT75+BU75)/2)</f>
        <v/>
      </c>
      <c r="BW75" s="4">
        <f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4">
        <f>IF(BB75="","",IF(BW75&lt;BB75,BV75,BT75))</f>
        <v/>
      </c>
      <c r="BY75" s="4">
        <f>IF(BB75="","",IF(BW75&lt;BB75,BU75,BV75))</f>
        <v/>
      </c>
      <c r="BZ75" s="4">
        <f>IF(BB75="","",(BX75+BY75)/2)</f>
        <v/>
      </c>
      <c r="CA75" s="4">
        <f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4">
        <f>IF(BB75="","",IF(CA75&lt;BB75,BZ75,BX75))</f>
        <v/>
      </c>
      <c r="CC75" s="4">
        <f>IF(BB75="","",IF(CA75&lt;BB75,BY75,BZ75))</f>
        <v/>
      </c>
      <c r="CD75" s="4">
        <f>IF(BB75="","",(CB75+CC75)/2)</f>
        <v/>
      </c>
      <c r="CE75" s="4">
        <f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4">
        <f>IF(BB75="","",IF(CE75&lt;BB75,CD75,CB75))</f>
        <v/>
      </c>
      <c r="CG75" s="4">
        <f>IF(BB75="","",IF(CE75&lt;BB75,CC75,CD75))</f>
        <v/>
      </c>
      <c r="CH75" s="4">
        <f>IF(BB75="","",(CF75+CG75)/2)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SUMIFS(CB_plan!$G:$G,CB_plan!$F:$F,$A76)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IF(A76="","",IF(H76="","",2.78E-7*IF(I76&lt;&gt;"",I76,IFERROR(SUMIFS(CB_plan!$H:$H,CB_plan!$F:$F,$A76)/SUMIFS(CB_plan!$G:$G,CB_plan!$F:$F,$A76),Inputs!$B$17))*H76*K76))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7">
        <f>IF(BB76="","",CH76)</f>
        <v/>
      </c>
      <c r="BA76" s="7">
        <f>IF(OR(BB76="",AZ76="",T76="",T76&lt;=0,AZ76&lt;=0),"",BB76/((T76^2/8)*(2*ACOS(1-2*AZ76/T76)-SIN(2*ACOS(1-2*AZ76/T76)))))</f>
        <v/>
      </c>
      <c r="BB76" s="4">
        <f>IF(OR(N76="",BC76=""),"",MIN(N76,BC76))</f>
        <v/>
      </c>
      <c r="BC76" s="4">
        <f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4">
        <f>IF(BB76="","",0.001*T76)</f>
        <v/>
      </c>
      <c r="BE76" s="4">
        <f>IF(BB76="","",0.94*T76)</f>
        <v/>
      </c>
      <c r="BF76" s="4">
        <f>IF(BB76="","",(BD76+BE76)/2)</f>
        <v/>
      </c>
      <c r="BG76" s="4">
        <f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4">
        <f>IF(BB76="","",IF(BG76&lt;BB76,BF76,BD76))</f>
        <v/>
      </c>
      <c r="BI76" s="4">
        <f>IF(BB76="","",IF(BG76&lt;BB76,BE76,BF76))</f>
        <v/>
      </c>
      <c r="BJ76" s="4">
        <f>IF(BB76="","",(BH76+BI76)/2)</f>
        <v/>
      </c>
      <c r="BK76" s="4">
        <f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4">
        <f>IF(BB76="","",IF(BK76&lt;BB76,BJ76,BH76))</f>
        <v/>
      </c>
      <c r="BM76" s="4">
        <f>IF(BB76="","",IF(BK76&lt;BB76,BI76,BJ76))</f>
        <v/>
      </c>
      <c r="BN76" s="4">
        <f>IF(BB76="","",(BL76+BM76)/2)</f>
        <v/>
      </c>
      <c r="BO76" s="4">
        <f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4">
        <f>IF(BB76="","",IF(BO76&lt;BB76,BN76,BL76))</f>
        <v/>
      </c>
      <c r="BQ76" s="4">
        <f>IF(BB76="","",IF(BO76&lt;BB76,BM76,BN76))</f>
        <v/>
      </c>
      <c r="BR76" s="4">
        <f>IF(BB76="","",(BP76+BQ76)/2)</f>
        <v/>
      </c>
      <c r="BS76" s="4">
        <f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4">
        <f>IF(BB76="","",IF(BS76&lt;BB76,BR76,BP76))</f>
        <v/>
      </c>
      <c r="BU76" s="4">
        <f>IF(BB76="","",IF(BS76&lt;BB76,BQ76,BR76))</f>
        <v/>
      </c>
      <c r="BV76" s="4">
        <f>IF(BB76="","",(BT76+BU76)/2)</f>
        <v/>
      </c>
      <c r="BW76" s="4">
        <f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4">
        <f>IF(BB76="","",IF(BW76&lt;BB76,BV76,BT76))</f>
        <v/>
      </c>
      <c r="BY76" s="4">
        <f>IF(BB76="","",IF(BW76&lt;BB76,BU76,BV76))</f>
        <v/>
      </c>
      <c r="BZ76" s="4">
        <f>IF(BB76="","",(BX76+BY76)/2)</f>
        <v/>
      </c>
      <c r="CA76" s="4">
        <f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4">
        <f>IF(BB76="","",IF(CA76&lt;BB76,BZ76,BX76))</f>
        <v/>
      </c>
      <c r="CC76" s="4">
        <f>IF(BB76="","",IF(CA76&lt;BB76,BY76,BZ76))</f>
        <v/>
      </c>
      <c r="CD76" s="4">
        <f>IF(BB76="","",(CB76+CC76)/2)</f>
        <v/>
      </c>
      <c r="CE76" s="4">
        <f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4">
        <f>IF(BB76="","",IF(CE76&lt;BB76,CD76,CB76))</f>
        <v/>
      </c>
      <c r="CG76" s="4">
        <f>IF(BB76="","",IF(CE76&lt;BB76,CC76,CD76))</f>
        <v/>
      </c>
      <c r="CH76" s="4">
        <f>IF(BB76="","",(CF76+CG76)/2)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SUMIFS(CB_plan!$G:$G,CB_plan!$F:$F,$A77)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IF(A77="","",IF(H77="","",2.78E-7*IF(I77&lt;&gt;"",I77,IFERROR(SUMIFS(CB_plan!$H:$H,CB_plan!$F:$F,$A77)/SUMIFS(CB_plan!$G:$G,CB_plan!$F:$F,$A77),Inputs!$B$17))*H77*K77))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7">
        <f>IF(BB77="","",CH77)</f>
        <v/>
      </c>
      <c r="BA77" s="7">
        <f>IF(OR(BB77="",AZ77="",T77="",T77&lt;=0,AZ77&lt;=0),"",BB77/((T77^2/8)*(2*ACOS(1-2*AZ77/T77)-SIN(2*ACOS(1-2*AZ77/T77)))))</f>
        <v/>
      </c>
      <c r="BB77" s="4">
        <f>IF(OR(N77="",BC77=""),"",MIN(N77,BC77))</f>
        <v/>
      </c>
      <c r="BC77" s="4">
        <f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4">
        <f>IF(BB77="","",0.001*T77)</f>
        <v/>
      </c>
      <c r="BE77" s="4">
        <f>IF(BB77="","",0.94*T77)</f>
        <v/>
      </c>
      <c r="BF77" s="4">
        <f>IF(BB77="","",(BD77+BE77)/2)</f>
        <v/>
      </c>
      <c r="BG77" s="4">
        <f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4">
        <f>IF(BB77="","",IF(BG77&lt;BB77,BF77,BD77))</f>
        <v/>
      </c>
      <c r="BI77" s="4">
        <f>IF(BB77="","",IF(BG77&lt;BB77,BE77,BF77))</f>
        <v/>
      </c>
      <c r="BJ77" s="4">
        <f>IF(BB77="","",(BH77+BI77)/2)</f>
        <v/>
      </c>
      <c r="BK77" s="4">
        <f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4">
        <f>IF(BB77="","",IF(BK77&lt;BB77,BJ77,BH77))</f>
        <v/>
      </c>
      <c r="BM77" s="4">
        <f>IF(BB77="","",IF(BK77&lt;BB77,BI77,BJ77))</f>
        <v/>
      </c>
      <c r="BN77" s="4">
        <f>IF(BB77="","",(BL77+BM77)/2)</f>
        <v/>
      </c>
      <c r="BO77" s="4">
        <f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4">
        <f>IF(BB77="","",IF(BO77&lt;BB77,BN77,BL77))</f>
        <v/>
      </c>
      <c r="BQ77" s="4">
        <f>IF(BB77="","",IF(BO77&lt;BB77,BM77,BN77))</f>
        <v/>
      </c>
      <c r="BR77" s="4">
        <f>IF(BB77="","",(BP77+BQ77)/2)</f>
        <v/>
      </c>
      <c r="BS77" s="4">
        <f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4">
        <f>IF(BB77="","",IF(BS77&lt;BB77,BR77,BP77))</f>
        <v/>
      </c>
      <c r="BU77" s="4">
        <f>IF(BB77="","",IF(BS77&lt;BB77,BQ77,BR77))</f>
        <v/>
      </c>
      <c r="BV77" s="4">
        <f>IF(BB77="","",(BT77+BU77)/2)</f>
        <v/>
      </c>
      <c r="BW77" s="4">
        <f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4">
        <f>IF(BB77="","",IF(BW77&lt;BB77,BV77,BT77))</f>
        <v/>
      </c>
      <c r="BY77" s="4">
        <f>IF(BB77="","",IF(BW77&lt;BB77,BU77,BV77))</f>
        <v/>
      </c>
      <c r="BZ77" s="4">
        <f>IF(BB77="","",(BX77+BY77)/2)</f>
        <v/>
      </c>
      <c r="CA77" s="4">
        <f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4">
        <f>IF(BB77="","",IF(CA77&lt;BB77,BZ77,BX77))</f>
        <v/>
      </c>
      <c r="CC77" s="4">
        <f>IF(BB77="","",IF(CA77&lt;BB77,BY77,BZ77))</f>
        <v/>
      </c>
      <c r="CD77" s="4">
        <f>IF(BB77="","",(CB77+CC77)/2)</f>
        <v/>
      </c>
      <c r="CE77" s="4">
        <f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4">
        <f>IF(BB77="","",IF(CE77&lt;BB77,CD77,CB77))</f>
        <v/>
      </c>
      <c r="CG77" s="4">
        <f>IF(BB77="","",IF(CE77&lt;BB77,CC77,CD77))</f>
        <v/>
      </c>
      <c r="CH77" s="4">
        <f>IF(BB77="","",(CF77+CG77)/2)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SUMIFS(CB_plan!$G:$G,CB_plan!$F:$F,$A78)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IF(A78="","",IF(H78="","",2.78E-7*IF(I78&lt;&gt;"",I78,IFERROR(SUMIFS(CB_plan!$H:$H,CB_plan!$F:$F,$A78)/SUMIFS(CB_plan!$G:$G,CB_plan!$F:$F,$A78),Inputs!$B$17))*H78*K78))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7">
        <f>IF(BB78="","",CH78)</f>
        <v/>
      </c>
      <c r="BA78" s="7">
        <f>IF(OR(BB78="",AZ78="",T78="",T78&lt;=0,AZ78&lt;=0),"",BB78/((T78^2/8)*(2*ACOS(1-2*AZ78/T78)-SIN(2*ACOS(1-2*AZ78/T78)))))</f>
        <v/>
      </c>
      <c r="BB78" s="4">
        <f>IF(OR(N78="",BC78=""),"",MIN(N78,BC78))</f>
        <v/>
      </c>
      <c r="BC78" s="4">
        <f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4">
        <f>IF(BB78="","",0.001*T78)</f>
        <v/>
      </c>
      <c r="BE78" s="4">
        <f>IF(BB78="","",0.94*T78)</f>
        <v/>
      </c>
      <c r="BF78" s="4">
        <f>IF(BB78="","",(BD78+BE78)/2)</f>
        <v/>
      </c>
      <c r="BG78" s="4">
        <f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4">
        <f>IF(BB78="","",IF(BG78&lt;BB78,BF78,BD78))</f>
        <v/>
      </c>
      <c r="BI78" s="4">
        <f>IF(BB78="","",IF(BG78&lt;BB78,BE78,BF78))</f>
        <v/>
      </c>
      <c r="BJ78" s="4">
        <f>IF(BB78="","",(BH78+BI78)/2)</f>
        <v/>
      </c>
      <c r="BK78" s="4">
        <f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4">
        <f>IF(BB78="","",IF(BK78&lt;BB78,BJ78,BH78))</f>
        <v/>
      </c>
      <c r="BM78" s="4">
        <f>IF(BB78="","",IF(BK78&lt;BB78,BI78,BJ78))</f>
        <v/>
      </c>
      <c r="BN78" s="4">
        <f>IF(BB78="","",(BL78+BM78)/2)</f>
        <v/>
      </c>
      <c r="BO78" s="4">
        <f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4">
        <f>IF(BB78="","",IF(BO78&lt;BB78,BN78,BL78))</f>
        <v/>
      </c>
      <c r="BQ78" s="4">
        <f>IF(BB78="","",IF(BO78&lt;BB78,BM78,BN78))</f>
        <v/>
      </c>
      <c r="BR78" s="4">
        <f>IF(BB78="","",(BP78+BQ78)/2)</f>
        <v/>
      </c>
      <c r="BS78" s="4">
        <f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4">
        <f>IF(BB78="","",IF(BS78&lt;BB78,BR78,BP78))</f>
        <v/>
      </c>
      <c r="BU78" s="4">
        <f>IF(BB78="","",IF(BS78&lt;BB78,BQ78,BR78))</f>
        <v/>
      </c>
      <c r="BV78" s="4">
        <f>IF(BB78="","",(BT78+BU78)/2)</f>
        <v/>
      </c>
      <c r="BW78" s="4">
        <f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4">
        <f>IF(BB78="","",IF(BW78&lt;BB78,BV78,BT78))</f>
        <v/>
      </c>
      <c r="BY78" s="4">
        <f>IF(BB78="","",IF(BW78&lt;BB78,BU78,BV78))</f>
        <v/>
      </c>
      <c r="BZ78" s="4">
        <f>IF(BB78="","",(BX78+BY78)/2)</f>
        <v/>
      </c>
      <c r="CA78" s="4">
        <f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4">
        <f>IF(BB78="","",IF(CA78&lt;BB78,BZ78,BX78))</f>
        <v/>
      </c>
      <c r="CC78" s="4">
        <f>IF(BB78="","",IF(CA78&lt;BB78,BY78,BZ78))</f>
        <v/>
      </c>
      <c r="CD78" s="4">
        <f>IF(BB78="","",(CB78+CC78)/2)</f>
        <v/>
      </c>
      <c r="CE78" s="4">
        <f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4">
        <f>IF(BB78="","",IF(CE78&lt;BB78,CD78,CB78))</f>
        <v/>
      </c>
      <c r="CG78" s="4">
        <f>IF(BB78="","",IF(CE78&lt;BB78,CC78,CD78))</f>
        <v/>
      </c>
      <c r="CH78" s="4">
        <f>IF(BB78="","",(CF78+CG78)/2)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SUMIFS(CB_plan!$G:$G,CB_plan!$F:$F,$A79)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IF(A79="","",IF(H79="","",2.78E-7*IF(I79&lt;&gt;"",I79,IFERROR(SUMIFS(CB_plan!$H:$H,CB_plan!$F:$F,$A79)/SUMIFS(CB_plan!$G:$G,CB_plan!$F:$F,$A79),Inputs!$B$17))*H79*K79))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7">
        <f>IF(BB79="","",CH79)</f>
        <v/>
      </c>
      <c r="BA79" s="7">
        <f>IF(OR(BB79="",AZ79="",T79="",T79&lt;=0,AZ79&lt;=0),"",BB79/((T79^2/8)*(2*ACOS(1-2*AZ79/T79)-SIN(2*ACOS(1-2*AZ79/T79)))))</f>
        <v/>
      </c>
      <c r="BB79" s="4">
        <f>IF(OR(N79="",BC79=""),"",MIN(N79,BC79))</f>
        <v/>
      </c>
      <c r="BC79" s="4">
        <f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4">
        <f>IF(BB79="","",0.001*T79)</f>
        <v/>
      </c>
      <c r="BE79" s="4">
        <f>IF(BB79="","",0.94*T79)</f>
        <v/>
      </c>
      <c r="BF79" s="4">
        <f>IF(BB79="","",(BD79+BE79)/2)</f>
        <v/>
      </c>
      <c r="BG79" s="4">
        <f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4">
        <f>IF(BB79="","",IF(BG79&lt;BB79,BF79,BD79))</f>
        <v/>
      </c>
      <c r="BI79" s="4">
        <f>IF(BB79="","",IF(BG79&lt;BB79,BE79,BF79))</f>
        <v/>
      </c>
      <c r="BJ79" s="4">
        <f>IF(BB79="","",(BH79+BI79)/2)</f>
        <v/>
      </c>
      <c r="BK79" s="4">
        <f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4">
        <f>IF(BB79="","",IF(BK79&lt;BB79,BJ79,BH79))</f>
        <v/>
      </c>
      <c r="BM79" s="4">
        <f>IF(BB79="","",IF(BK79&lt;BB79,BI79,BJ79))</f>
        <v/>
      </c>
      <c r="BN79" s="4">
        <f>IF(BB79="","",(BL79+BM79)/2)</f>
        <v/>
      </c>
      <c r="BO79" s="4">
        <f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4">
        <f>IF(BB79="","",IF(BO79&lt;BB79,BN79,BL79))</f>
        <v/>
      </c>
      <c r="BQ79" s="4">
        <f>IF(BB79="","",IF(BO79&lt;BB79,BM79,BN79))</f>
        <v/>
      </c>
      <c r="BR79" s="4">
        <f>IF(BB79="","",(BP79+BQ79)/2)</f>
        <v/>
      </c>
      <c r="BS79" s="4">
        <f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4">
        <f>IF(BB79="","",IF(BS79&lt;BB79,BR79,BP79))</f>
        <v/>
      </c>
      <c r="BU79" s="4">
        <f>IF(BB79="","",IF(BS79&lt;BB79,BQ79,BR79))</f>
        <v/>
      </c>
      <c r="BV79" s="4">
        <f>IF(BB79="","",(BT79+BU79)/2)</f>
        <v/>
      </c>
      <c r="BW79" s="4">
        <f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4">
        <f>IF(BB79="","",IF(BW79&lt;BB79,BV79,BT79))</f>
        <v/>
      </c>
      <c r="BY79" s="4">
        <f>IF(BB79="","",IF(BW79&lt;BB79,BU79,BV79))</f>
        <v/>
      </c>
      <c r="BZ79" s="4">
        <f>IF(BB79="","",(BX79+BY79)/2)</f>
        <v/>
      </c>
      <c r="CA79" s="4">
        <f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4">
        <f>IF(BB79="","",IF(CA79&lt;BB79,BZ79,BX79))</f>
        <v/>
      </c>
      <c r="CC79" s="4">
        <f>IF(BB79="","",IF(CA79&lt;BB79,BY79,BZ79))</f>
        <v/>
      </c>
      <c r="CD79" s="4">
        <f>IF(BB79="","",(CB79+CC79)/2)</f>
        <v/>
      </c>
      <c r="CE79" s="4">
        <f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4">
        <f>IF(BB79="","",IF(CE79&lt;BB79,CD79,CB79))</f>
        <v/>
      </c>
      <c r="CG79" s="4">
        <f>IF(BB79="","",IF(CE79&lt;BB79,CC79,CD79))</f>
        <v/>
      </c>
      <c r="CH79" s="4">
        <f>IF(BB79="","",(CF79+CG79)/2)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SUMIFS(CB_plan!$G:$G,CB_plan!$F:$F,$A80)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IF(A80="","",IF(H80="","",2.78E-7*IF(I80&lt;&gt;"",I80,IFERROR(SUMIFS(CB_plan!$H:$H,CB_plan!$F:$F,$A80)/SUMIFS(CB_plan!$G:$G,CB_plan!$F:$F,$A80),Inputs!$B$17))*H80*K80))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7">
        <f>IF(BB80="","",CH80)</f>
        <v/>
      </c>
      <c r="BA80" s="7">
        <f>IF(OR(BB80="",AZ80="",T80="",T80&lt;=0,AZ80&lt;=0),"",BB80/((T80^2/8)*(2*ACOS(1-2*AZ80/T80)-SIN(2*ACOS(1-2*AZ80/T80)))))</f>
        <v/>
      </c>
      <c r="BB80" s="4">
        <f>IF(OR(N80="",BC80=""),"",MIN(N80,BC80))</f>
        <v/>
      </c>
      <c r="BC80" s="4">
        <f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4">
        <f>IF(BB80="","",0.001*T80)</f>
        <v/>
      </c>
      <c r="BE80" s="4">
        <f>IF(BB80="","",0.94*T80)</f>
        <v/>
      </c>
      <c r="BF80" s="4">
        <f>IF(BB80="","",(BD80+BE80)/2)</f>
        <v/>
      </c>
      <c r="BG80" s="4">
        <f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4">
        <f>IF(BB80="","",IF(BG80&lt;BB80,BF80,BD80))</f>
        <v/>
      </c>
      <c r="BI80" s="4">
        <f>IF(BB80="","",IF(BG80&lt;BB80,BE80,BF80))</f>
        <v/>
      </c>
      <c r="BJ80" s="4">
        <f>IF(BB80="","",(BH80+BI80)/2)</f>
        <v/>
      </c>
      <c r="BK80" s="4">
        <f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4">
        <f>IF(BB80="","",IF(BK80&lt;BB80,BJ80,BH80))</f>
        <v/>
      </c>
      <c r="BM80" s="4">
        <f>IF(BB80="","",IF(BK80&lt;BB80,BI80,BJ80))</f>
        <v/>
      </c>
      <c r="BN80" s="4">
        <f>IF(BB80="","",(BL80+BM80)/2)</f>
        <v/>
      </c>
      <c r="BO80" s="4">
        <f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4">
        <f>IF(BB80="","",IF(BO80&lt;BB80,BN80,BL80))</f>
        <v/>
      </c>
      <c r="BQ80" s="4">
        <f>IF(BB80="","",IF(BO80&lt;BB80,BM80,BN80))</f>
        <v/>
      </c>
      <c r="BR80" s="4">
        <f>IF(BB80="","",(BP80+BQ80)/2)</f>
        <v/>
      </c>
      <c r="BS80" s="4">
        <f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4">
        <f>IF(BB80="","",IF(BS80&lt;BB80,BR80,BP80))</f>
        <v/>
      </c>
      <c r="BU80" s="4">
        <f>IF(BB80="","",IF(BS80&lt;BB80,BQ80,BR80))</f>
        <v/>
      </c>
      <c r="BV80" s="4">
        <f>IF(BB80="","",(BT80+BU80)/2)</f>
        <v/>
      </c>
      <c r="BW80" s="4">
        <f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4">
        <f>IF(BB80="","",IF(BW80&lt;BB80,BV80,BT80))</f>
        <v/>
      </c>
      <c r="BY80" s="4">
        <f>IF(BB80="","",IF(BW80&lt;BB80,BU80,BV80))</f>
        <v/>
      </c>
      <c r="BZ80" s="4">
        <f>IF(BB80="","",(BX80+BY80)/2)</f>
        <v/>
      </c>
      <c r="CA80" s="4">
        <f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4">
        <f>IF(BB80="","",IF(CA80&lt;BB80,BZ80,BX80))</f>
        <v/>
      </c>
      <c r="CC80" s="4">
        <f>IF(BB80="","",IF(CA80&lt;BB80,BY80,BZ80))</f>
        <v/>
      </c>
      <c r="CD80" s="4">
        <f>IF(BB80="","",(CB80+CC80)/2)</f>
        <v/>
      </c>
      <c r="CE80" s="4">
        <f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4">
        <f>IF(BB80="","",IF(CE80&lt;BB80,CD80,CB80))</f>
        <v/>
      </c>
      <c r="CG80" s="4">
        <f>IF(BB80="","",IF(CE80&lt;BB80,CC80,CD80))</f>
        <v/>
      </c>
      <c r="CH80" s="4">
        <f>IF(BB80="","",(CF80+CG80)/2)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SUMIFS(CB_plan!$G:$G,CB_plan!$F:$F,$A81)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IF(A81="","",IF(H81="","",2.78E-7*IF(I81&lt;&gt;"",I81,IFERROR(SUMIFS(CB_plan!$H:$H,CB_plan!$F:$F,$A81)/SUMIFS(CB_plan!$G:$G,CB_plan!$F:$F,$A81),Inputs!$B$17))*H81*K81))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7">
        <f>IF(BB81="","",CH81)</f>
        <v/>
      </c>
      <c r="BA81" s="7">
        <f>IF(OR(BB81="",AZ81="",T81="",T81&lt;=0,AZ81&lt;=0),"",BB81/((T81^2/8)*(2*ACOS(1-2*AZ81/T81)-SIN(2*ACOS(1-2*AZ81/T81)))))</f>
        <v/>
      </c>
      <c r="BB81" s="4">
        <f>IF(OR(N81="",BC81=""),"",MIN(N81,BC81))</f>
        <v/>
      </c>
      <c r="BC81" s="4">
        <f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4">
        <f>IF(BB81="","",0.001*T81)</f>
        <v/>
      </c>
      <c r="BE81" s="4">
        <f>IF(BB81="","",0.94*T81)</f>
        <v/>
      </c>
      <c r="BF81" s="4">
        <f>IF(BB81="","",(BD81+BE81)/2)</f>
        <v/>
      </c>
      <c r="BG81" s="4">
        <f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4">
        <f>IF(BB81="","",IF(BG81&lt;BB81,BF81,BD81))</f>
        <v/>
      </c>
      <c r="BI81" s="4">
        <f>IF(BB81="","",IF(BG81&lt;BB81,BE81,BF81))</f>
        <v/>
      </c>
      <c r="BJ81" s="4">
        <f>IF(BB81="","",(BH81+BI81)/2)</f>
        <v/>
      </c>
      <c r="BK81" s="4">
        <f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4">
        <f>IF(BB81="","",IF(BK81&lt;BB81,BJ81,BH81))</f>
        <v/>
      </c>
      <c r="BM81" s="4">
        <f>IF(BB81="","",IF(BK81&lt;BB81,BI81,BJ81))</f>
        <v/>
      </c>
      <c r="BN81" s="4">
        <f>IF(BB81="","",(BL81+BM81)/2)</f>
        <v/>
      </c>
      <c r="BO81" s="4">
        <f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4">
        <f>IF(BB81="","",IF(BO81&lt;BB81,BN81,BL81))</f>
        <v/>
      </c>
      <c r="BQ81" s="4">
        <f>IF(BB81="","",IF(BO81&lt;BB81,BM81,BN81))</f>
        <v/>
      </c>
      <c r="BR81" s="4">
        <f>IF(BB81="","",(BP81+BQ81)/2)</f>
        <v/>
      </c>
      <c r="BS81" s="4">
        <f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4">
        <f>IF(BB81="","",IF(BS81&lt;BB81,BR81,BP81))</f>
        <v/>
      </c>
      <c r="BU81" s="4">
        <f>IF(BB81="","",IF(BS81&lt;BB81,BQ81,BR81))</f>
        <v/>
      </c>
      <c r="BV81" s="4">
        <f>IF(BB81="","",(BT81+BU81)/2)</f>
        <v/>
      </c>
      <c r="BW81" s="4">
        <f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4">
        <f>IF(BB81="","",IF(BW81&lt;BB81,BV81,BT81))</f>
        <v/>
      </c>
      <c r="BY81" s="4">
        <f>IF(BB81="","",IF(BW81&lt;BB81,BU81,BV81))</f>
        <v/>
      </c>
      <c r="BZ81" s="4">
        <f>IF(BB81="","",(BX81+BY81)/2)</f>
        <v/>
      </c>
      <c r="CA81" s="4">
        <f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4">
        <f>IF(BB81="","",IF(CA81&lt;BB81,BZ81,BX81))</f>
        <v/>
      </c>
      <c r="CC81" s="4">
        <f>IF(BB81="","",IF(CA81&lt;BB81,BY81,BZ81))</f>
        <v/>
      </c>
      <c r="CD81" s="4">
        <f>IF(BB81="","",(CB81+CC81)/2)</f>
        <v/>
      </c>
      <c r="CE81" s="4">
        <f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4">
        <f>IF(BB81="","",IF(CE81&lt;BB81,CD81,CB81))</f>
        <v/>
      </c>
      <c r="CG81" s="4">
        <f>IF(BB81="","",IF(CE81&lt;BB81,CC81,CD81))</f>
        <v/>
      </c>
      <c r="CH81" s="4">
        <f>IF(BB81="","",(CF81+CG81)/2)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SUMIFS(CB_plan!$G:$G,CB_plan!$F:$F,$A82)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IF(A82="","",IF(H82="","",2.78E-7*IF(I82&lt;&gt;"",I82,IFERROR(SUMIFS(CB_plan!$H:$H,CB_plan!$F:$F,$A82)/SUMIFS(CB_plan!$G:$G,CB_plan!$F:$F,$A82),Inputs!$B$17))*H82*K82))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7">
        <f>IF(BB82="","",CH82)</f>
        <v/>
      </c>
      <c r="BA82" s="7">
        <f>IF(OR(BB82="",AZ82="",T82="",T82&lt;=0,AZ82&lt;=0),"",BB82/((T82^2/8)*(2*ACOS(1-2*AZ82/T82)-SIN(2*ACOS(1-2*AZ82/T82)))))</f>
        <v/>
      </c>
      <c r="BB82" s="4">
        <f>IF(OR(N82="",BC82=""),"",MIN(N82,BC82))</f>
        <v/>
      </c>
      <c r="BC82" s="4">
        <f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4">
        <f>IF(BB82="","",0.001*T82)</f>
        <v/>
      </c>
      <c r="BE82" s="4">
        <f>IF(BB82="","",0.94*T82)</f>
        <v/>
      </c>
      <c r="BF82" s="4">
        <f>IF(BB82="","",(BD82+BE82)/2)</f>
        <v/>
      </c>
      <c r="BG82" s="4">
        <f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4">
        <f>IF(BB82="","",IF(BG82&lt;BB82,BF82,BD82))</f>
        <v/>
      </c>
      <c r="BI82" s="4">
        <f>IF(BB82="","",IF(BG82&lt;BB82,BE82,BF82))</f>
        <v/>
      </c>
      <c r="BJ82" s="4">
        <f>IF(BB82="","",(BH82+BI82)/2)</f>
        <v/>
      </c>
      <c r="BK82" s="4">
        <f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4">
        <f>IF(BB82="","",IF(BK82&lt;BB82,BJ82,BH82))</f>
        <v/>
      </c>
      <c r="BM82" s="4">
        <f>IF(BB82="","",IF(BK82&lt;BB82,BI82,BJ82))</f>
        <v/>
      </c>
      <c r="BN82" s="4">
        <f>IF(BB82="","",(BL82+BM82)/2)</f>
        <v/>
      </c>
      <c r="BO82" s="4">
        <f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4">
        <f>IF(BB82="","",IF(BO82&lt;BB82,BN82,BL82))</f>
        <v/>
      </c>
      <c r="BQ82" s="4">
        <f>IF(BB82="","",IF(BO82&lt;BB82,BM82,BN82))</f>
        <v/>
      </c>
      <c r="BR82" s="4">
        <f>IF(BB82="","",(BP82+BQ82)/2)</f>
        <v/>
      </c>
      <c r="BS82" s="4">
        <f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4">
        <f>IF(BB82="","",IF(BS82&lt;BB82,BR82,BP82))</f>
        <v/>
      </c>
      <c r="BU82" s="4">
        <f>IF(BB82="","",IF(BS82&lt;BB82,BQ82,BR82))</f>
        <v/>
      </c>
      <c r="BV82" s="4">
        <f>IF(BB82="","",(BT82+BU82)/2)</f>
        <v/>
      </c>
      <c r="BW82" s="4">
        <f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4">
        <f>IF(BB82="","",IF(BW82&lt;BB82,BV82,BT82))</f>
        <v/>
      </c>
      <c r="BY82" s="4">
        <f>IF(BB82="","",IF(BW82&lt;BB82,BU82,BV82))</f>
        <v/>
      </c>
      <c r="BZ82" s="4">
        <f>IF(BB82="","",(BX82+BY82)/2)</f>
        <v/>
      </c>
      <c r="CA82" s="4">
        <f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4">
        <f>IF(BB82="","",IF(CA82&lt;BB82,BZ82,BX82))</f>
        <v/>
      </c>
      <c r="CC82" s="4">
        <f>IF(BB82="","",IF(CA82&lt;BB82,BY82,BZ82))</f>
        <v/>
      </c>
      <c r="CD82" s="4">
        <f>IF(BB82="","",(CB82+CC82)/2)</f>
        <v/>
      </c>
      <c r="CE82" s="4">
        <f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4">
        <f>IF(BB82="","",IF(CE82&lt;BB82,CD82,CB82))</f>
        <v/>
      </c>
      <c r="CG82" s="4">
        <f>IF(BB82="","",IF(CE82&lt;BB82,CC82,CD82))</f>
        <v/>
      </c>
      <c r="CH82" s="4">
        <f>IF(BB82="","",(CF82+CG82)/2)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SUMIFS(CB_plan!$G:$G,CB_plan!$F:$F,$A83)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IF(A83="","",IF(H83="","",2.78E-7*IF(I83&lt;&gt;"",I83,IFERROR(SUMIFS(CB_plan!$H:$H,CB_plan!$F:$F,$A83)/SUMIFS(CB_plan!$G:$G,CB_plan!$F:$F,$A83),Inputs!$B$17))*H83*K83))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7">
        <f>IF(BB83="","",CH83)</f>
        <v/>
      </c>
      <c r="BA83" s="7">
        <f>IF(OR(BB83="",AZ83="",T83="",T83&lt;=0,AZ83&lt;=0),"",BB83/((T83^2/8)*(2*ACOS(1-2*AZ83/T83)-SIN(2*ACOS(1-2*AZ83/T83)))))</f>
        <v/>
      </c>
      <c r="BB83" s="4">
        <f>IF(OR(N83="",BC83=""),"",MIN(N83,BC83))</f>
        <v/>
      </c>
      <c r="BC83" s="4">
        <f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4">
        <f>IF(BB83="","",0.001*T83)</f>
        <v/>
      </c>
      <c r="BE83" s="4">
        <f>IF(BB83="","",0.94*T83)</f>
        <v/>
      </c>
      <c r="BF83" s="4">
        <f>IF(BB83="","",(BD83+BE83)/2)</f>
        <v/>
      </c>
      <c r="BG83" s="4">
        <f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4">
        <f>IF(BB83="","",IF(BG83&lt;BB83,BF83,BD83))</f>
        <v/>
      </c>
      <c r="BI83" s="4">
        <f>IF(BB83="","",IF(BG83&lt;BB83,BE83,BF83))</f>
        <v/>
      </c>
      <c r="BJ83" s="4">
        <f>IF(BB83="","",(BH83+BI83)/2)</f>
        <v/>
      </c>
      <c r="BK83" s="4">
        <f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4">
        <f>IF(BB83="","",IF(BK83&lt;BB83,BJ83,BH83))</f>
        <v/>
      </c>
      <c r="BM83" s="4">
        <f>IF(BB83="","",IF(BK83&lt;BB83,BI83,BJ83))</f>
        <v/>
      </c>
      <c r="BN83" s="4">
        <f>IF(BB83="","",(BL83+BM83)/2)</f>
        <v/>
      </c>
      <c r="BO83" s="4">
        <f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4">
        <f>IF(BB83="","",IF(BO83&lt;BB83,BN83,BL83))</f>
        <v/>
      </c>
      <c r="BQ83" s="4">
        <f>IF(BB83="","",IF(BO83&lt;BB83,BM83,BN83))</f>
        <v/>
      </c>
      <c r="BR83" s="4">
        <f>IF(BB83="","",(BP83+BQ83)/2)</f>
        <v/>
      </c>
      <c r="BS83" s="4">
        <f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4">
        <f>IF(BB83="","",IF(BS83&lt;BB83,BR83,BP83))</f>
        <v/>
      </c>
      <c r="BU83" s="4">
        <f>IF(BB83="","",IF(BS83&lt;BB83,BQ83,BR83))</f>
        <v/>
      </c>
      <c r="BV83" s="4">
        <f>IF(BB83="","",(BT83+BU83)/2)</f>
        <v/>
      </c>
      <c r="BW83" s="4">
        <f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4">
        <f>IF(BB83="","",IF(BW83&lt;BB83,BV83,BT83))</f>
        <v/>
      </c>
      <c r="BY83" s="4">
        <f>IF(BB83="","",IF(BW83&lt;BB83,BU83,BV83))</f>
        <v/>
      </c>
      <c r="BZ83" s="4">
        <f>IF(BB83="","",(BX83+BY83)/2)</f>
        <v/>
      </c>
      <c r="CA83" s="4">
        <f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4">
        <f>IF(BB83="","",IF(CA83&lt;BB83,BZ83,BX83))</f>
        <v/>
      </c>
      <c r="CC83" s="4">
        <f>IF(BB83="","",IF(CA83&lt;BB83,BY83,BZ83))</f>
        <v/>
      </c>
      <c r="CD83" s="4">
        <f>IF(BB83="","",(CB83+CC83)/2)</f>
        <v/>
      </c>
      <c r="CE83" s="4">
        <f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4">
        <f>IF(BB83="","",IF(CE83&lt;BB83,CD83,CB83))</f>
        <v/>
      </c>
      <c r="CG83" s="4">
        <f>IF(BB83="","",IF(CE83&lt;BB83,CC83,CD83))</f>
        <v/>
      </c>
      <c r="CH83" s="4">
        <f>IF(BB83="","",(CF83+CG83)/2)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SUMIFS(CB_plan!$G:$G,CB_plan!$F:$F,$A84)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IF(A84="","",IF(H84="","",2.78E-7*IF(I84&lt;&gt;"",I84,IFERROR(SUMIFS(CB_plan!$H:$H,CB_plan!$F:$F,$A84)/SUMIFS(CB_plan!$G:$G,CB_plan!$F:$F,$A84),Inputs!$B$17))*H84*K84))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7">
        <f>IF(BB84="","",CH84)</f>
        <v/>
      </c>
      <c r="BA84" s="7">
        <f>IF(OR(BB84="",AZ84="",T84="",T84&lt;=0,AZ84&lt;=0),"",BB84/((T84^2/8)*(2*ACOS(1-2*AZ84/T84)-SIN(2*ACOS(1-2*AZ84/T84)))))</f>
        <v/>
      </c>
      <c r="BB84" s="4">
        <f>IF(OR(N84="",BC84=""),"",MIN(N84,BC84))</f>
        <v/>
      </c>
      <c r="BC84" s="4">
        <f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4">
        <f>IF(BB84="","",0.001*T84)</f>
        <v/>
      </c>
      <c r="BE84" s="4">
        <f>IF(BB84="","",0.94*T84)</f>
        <v/>
      </c>
      <c r="BF84" s="4">
        <f>IF(BB84="","",(BD84+BE84)/2)</f>
        <v/>
      </c>
      <c r="BG84" s="4">
        <f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4">
        <f>IF(BB84="","",IF(BG84&lt;BB84,BF84,BD84))</f>
        <v/>
      </c>
      <c r="BI84" s="4">
        <f>IF(BB84="","",IF(BG84&lt;BB84,BE84,BF84))</f>
        <v/>
      </c>
      <c r="BJ84" s="4">
        <f>IF(BB84="","",(BH84+BI84)/2)</f>
        <v/>
      </c>
      <c r="BK84" s="4">
        <f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4">
        <f>IF(BB84="","",IF(BK84&lt;BB84,BJ84,BH84))</f>
        <v/>
      </c>
      <c r="BM84" s="4">
        <f>IF(BB84="","",IF(BK84&lt;BB84,BI84,BJ84))</f>
        <v/>
      </c>
      <c r="BN84" s="4">
        <f>IF(BB84="","",(BL84+BM84)/2)</f>
        <v/>
      </c>
      <c r="BO84" s="4">
        <f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4">
        <f>IF(BB84="","",IF(BO84&lt;BB84,BN84,BL84))</f>
        <v/>
      </c>
      <c r="BQ84" s="4">
        <f>IF(BB84="","",IF(BO84&lt;BB84,BM84,BN84))</f>
        <v/>
      </c>
      <c r="BR84" s="4">
        <f>IF(BB84="","",(BP84+BQ84)/2)</f>
        <v/>
      </c>
      <c r="BS84" s="4">
        <f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4">
        <f>IF(BB84="","",IF(BS84&lt;BB84,BR84,BP84))</f>
        <v/>
      </c>
      <c r="BU84" s="4">
        <f>IF(BB84="","",IF(BS84&lt;BB84,BQ84,BR84))</f>
        <v/>
      </c>
      <c r="BV84" s="4">
        <f>IF(BB84="","",(BT84+BU84)/2)</f>
        <v/>
      </c>
      <c r="BW84" s="4">
        <f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4">
        <f>IF(BB84="","",IF(BW84&lt;BB84,BV84,BT84))</f>
        <v/>
      </c>
      <c r="BY84" s="4">
        <f>IF(BB84="","",IF(BW84&lt;BB84,BU84,BV84))</f>
        <v/>
      </c>
      <c r="BZ84" s="4">
        <f>IF(BB84="","",(BX84+BY84)/2)</f>
        <v/>
      </c>
      <c r="CA84" s="4">
        <f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4">
        <f>IF(BB84="","",IF(CA84&lt;BB84,BZ84,BX84))</f>
        <v/>
      </c>
      <c r="CC84" s="4">
        <f>IF(BB84="","",IF(CA84&lt;BB84,BY84,BZ84))</f>
        <v/>
      </c>
      <c r="CD84" s="4">
        <f>IF(BB84="","",(CB84+CC84)/2)</f>
        <v/>
      </c>
      <c r="CE84" s="4">
        <f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4">
        <f>IF(BB84="","",IF(CE84&lt;BB84,CD84,CB84))</f>
        <v/>
      </c>
      <c r="CG84" s="4">
        <f>IF(BB84="","",IF(CE84&lt;BB84,CC84,CD84))</f>
        <v/>
      </c>
      <c r="CH84" s="4">
        <f>IF(BB84="","",(CF84+CG84)/2)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SUMIFS(CB_plan!$G:$G,CB_plan!$F:$F,$A85)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IF(A85="","",IF(H85="","",2.78E-7*IF(I85&lt;&gt;"",I85,IFERROR(SUMIFS(CB_plan!$H:$H,CB_plan!$F:$F,$A85)/SUMIFS(CB_plan!$G:$G,CB_plan!$F:$F,$A85),Inputs!$B$17))*H85*K85))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7">
        <f>IF(BB85="","",CH85)</f>
        <v/>
      </c>
      <c r="BA85" s="7">
        <f>IF(OR(BB85="",AZ85="",T85="",T85&lt;=0,AZ85&lt;=0),"",BB85/((T85^2/8)*(2*ACOS(1-2*AZ85/T85)-SIN(2*ACOS(1-2*AZ85/T85)))))</f>
        <v/>
      </c>
      <c r="BB85" s="4">
        <f>IF(OR(N85="",BC85=""),"",MIN(N85,BC85))</f>
        <v/>
      </c>
      <c r="BC85" s="4">
        <f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4">
        <f>IF(BB85="","",0.001*T85)</f>
        <v/>
      </c>
      <c r="BE85" s="4">
        <f>IF(BB85="","",0.94*T85)</f>
        <v/>
      </c>
      <c r="BF85" s="4">
        <f>IF(BB85="","",(BD85+BE85)/2)</f>
        <v/>
      </c>
      <c r="BG85" s="4">
        <f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4">
        <f>IF(BB85="","",IF(BG85&lt;BB85,BF85,BD85))</f>
        <v/>
      </c>
      <c r="BI85" s="4">
        <f>IF(BB85="","",IF(BG85&lt;BB85,BE85,BF85))</f>
        <v/>
      </c>
      <c r="BJ85" s="4">
        <f>IF(BB85="","",(BH85+BI85)/2)</f>
        <v/>
      </c>
      <c r="BK85" s="4">
        <f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4">
        <f>IF(BB85="","",IF(BK85&lt;BB85,BJ85,BH85))</f>
        <v/>
      </c>
      <c r="BM85" s="4">
        <f>IF(BB85="","",IF(BK85&lt;BB85,BI85,BJ85))</f>
        <v/>
      </c>
      <c r="BN85" s="4">
        <f>IF(BB85="","",(BL85+BM85)/2)</f>
        <v/>
      </c>
      <c r="BO85" s="4">
        <f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4">
        <f>IF(BB85="","",IF(BO85&lt;BB85,BN85,BL85))</f>
        <v/>
      </c>
      <c r="BQ85" s="4">
        <f>IF(BB85="","",IF(BO85&lt;BB85,BM85,BN85))</f>
        <v/>
      </c>
      <c r="BR85" s="4">
        <f>IF(BB85="","",(BP85+BQ85)/2)</f>
        <v/>
      </c>
      <c r="BS85" s="4">
        <f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4">
        <f>IF(BB85="","",IF(BS85&lt;BB85,BR85,BP85))</f>
        <v/>
      </c>
      <c r="BU85" s="4">
        <f>IF(BB85="","",IF(BS85&lt;BB85,BQ85,BR85))</f>
        <v/>
      </c>
      <c r="BV85" s="4">
        <f>IF(BB85="","",(BT85+BU85)/2)</f>
        <v/>
      </c>
      <c r="BW85" s="4">
        <f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4">
        <f>IF(BB85="","",IF(BW85&lt;BB85,BV85,BT85))</f>
        <v/>
      </c>
      <c r="BY85" s="4">
        <f>IF(BB85="","",IF(BW85&lt;BB85,BU85,BV85))</f>
        <v/>
      </c>
      <c r="BZ85" s="4">
        <f>IF(BB85="","",(BX85+BY85)/2)</f>
        <v/>
      </c>
      <c r="CA85" s="4">
        <f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4">
        <f>IF(BB85="","",IF(CA85&lt;BB85,BZ85,BX85))</f>
        <v/>
      </c>
      <c r="CC85" s="4">
        <f>IF(BB85="","",IF(CA85&lt;BB85,BY85,BZ85))</f>
        <v/>
      </c>
      <c r="CD85" s="4">
        <f>IF(BB85="","",(CB85+CC85)/2)</f>
        <v/>
      </c>
      <c r="CE85" s="4">
        <f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4">
        <f>IF(BB85="","",IF(CE85&lt;BB85,CD85,CB85))</f>
        <v/>
      </c>
      <c r="CG85" s="4">
        <f>IF(BB85="","",IF(CE85&lt;BB85,CC85,CD85))</f>
        <v/>
      </c>
      <c r="CH85" s="4">
        <f>IF(BB85="","",(CF85+CG85)/2)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SUMIFS(CB_plan!$G:$G,CB_plan!$F:$F,$A86)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IF(A86="","",IF(H86="","",2.78E-7*IF(I86&lt;&gt;"",I86,IFERROR(SUMIFS(CB_plan!$H:$H,CB_plan!$F:$F,$A86)/SUMIFS(CB_plan!$G:$G,CB_plan!$F:$F,$A86),Inputs!$B$17))*H86*K86))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7">
        <f>IF(BB86="","",CH86)</f>
        <v/>
      </c>
      <c r="BA86" s="7">
        <f>IF(OR(BB86="",AZ86="",T86="",T86&lt;=0,AZ86&lt;=0),"",BB86/((T86^2/8)*(2*ACOS(1-2*AZ86/T86)-SIN(2*ACOS(1-2*AZ86/T86)))))</f>
        <v/>
      </c>
      <c r="BB86" s="4">
        <f>IF(OR(N86="",BC86=""),"",MIN(N86,BC86))</f>
        <v/>
      </c>
      <c r="BC86" s="4">
        <f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4">
        <f>IF(BB86="","",0.001*T86)</f>
        <v/>
      </c>
      <c r="BE86" s="4">
        <f>IF(BB86="","",0.94*T86)</f>
        <v/>
      </c>
      <c r="BF86" s="4">
        <f>IF(BB86="","",(BD86+BE86)/2)</f>
        <v/>
      </c>
      <c r="BG86" s="4">
        <f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4">
        <f>IF(BB86="","",IF(BG86&lt;BB86,BF86,BD86))</f>
        <v/>
      </c>
      <c r="BI86" s="4">
        <f>IF(BB86="","",IF(BG86&lt;BB86,BE86,BF86))</f>
        <v/>
      </c>
      <c r="BJ86" s="4">
        <f>IF(BB86="","",(BH86+BI86)/2)</f>
        <v/>
      </c>
      <c r="BK86" s="4">
        <f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4">
        <f>IF(BB86="","",IF(BK86&lt;BB86,BJ86,BH86))</f>
        <v/>
      </c>
      <c r="BM86" s="4">
        <f>IF(BB86="","",IF(BK86&lt;BB86,BI86,BJ86))</f>
        <v/>
      </c>
      <c r="BN86" s="4">
        <f>IF(BB86="","",(BL86+BM86)/2)</f>
        <v/>
      </c>
      <c r="BO86" s="4">
        <f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4">
        <f>IF(BB86="","",IF(BO86&lt;BB86,BN86,BL86))</f>
        <v/>
      </c>
      <c r="BQ86" s="4">
        <f>IF(BB86="","",IF(BO86&lt;BB86,BM86,BN86))</f>
        <v/>
      </c>
      <c r="BR86" s="4">
        <f>IF(BB86="","",(BP86+BQ86)/2)</f>
        <v/>
      </c>
      <c r="BS86" s="4">
        <f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4">
        <f>IF(BB86="","",IF(BS86&lt;BB86,BR86,BP86))</f>
        <v/>
      </c>
      <c r="BU86" s="4">
        <f>IF(BB86="","",IF(BS86&lt;BB86,BQ86,BR86))</f>
        <v/>
      </c>
      <c r="BV86" s="4">
        <f>IF(BB86="","",(BT86+BU86)/2)</f>
        <v/>
      </c>
      <c r="BW86" s="4">
        <f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4">
        <f>IF(BB86="","",IF(BW86&lt;BB86,BV86,BT86))</f>
        <v/>
      </c>
      <c r="BY86" s="4">
        <f>IF(BB86="","",IF(BW86&lt;BB86,BU86,BV86))</f>
        <v/>
      </c>
      <c r="BZ86" s="4">
        <f>IF(BB86="","",(BX86+BY86)/2)</f>
        <v/>
      </c>
      <c r="CA86" s="4">
        <f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4">
        <f>IF(BB86="","",IF(CA86&lt;BB86,BZ86,BX86))</f>
        <v/>
      </c>
      <c r="CC86" s="4">
        <f>IF(BB86="","",IF(CA86&lt;BB86,BY86,BZ86))</f>
        <v/>
      </c>
      <c r="CD86" s="4">
        <f>IF(BB86="","",(CB86+CC86)/2)</f>
        <v/>
      </c>
      <c r="CE86" s="4">
        <f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4">
        <f>IF(BB86="","",IF(CE86&lt;BB86,CD86,CB86))</f>
        <v/>
      </c>
      <c r="CG86" s="4">
        <f>IF(BB86="","",IF(CE86&lt;BB86,CC86,CD86))</f>
        <v/>
      </c>
      <c r="CH86" s="4">
        <f>IF(BB86="","",(CF86+CG86)/2)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SUMIFS(CB_plan!$G:$G,CB_plan!$F:$F,$A87)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IF(A87="","",IF(H87="","",2.78E-7*IF(I87&lt;&gt;"",I87,IFERROR(SUMIFS(CB_plan!$H:$H,CB_plan!$F:$F,$A87)/SUMIFS(CB_plan!$G:$G,CB_plan!$F:$F,$A87),Inputs!$B$17))*H87*K87))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7">
        <f>IF(BB87="","",CH87)</f>
        <v/>
      </c>
      <c r="BA87" s="7">
        <f>IF(OR(BB87="",AZ87="",T87="",T87&lt;=0,AZ87&lt;=0),"",BB87/((T87^2/8)*(2*ACOS(1-2*AZ87/T87)-SIN(2*ACOS(1-2*AZ87/T87)))))</f>
        <v/>
      </c>
      <c r="BB87" s="4">
        <f>IF(OR(N87="",BC87=""),"",MIN(N87,BC87))</f>
        <v/>
      </c>
      <c r="BC87" s="4">
        <f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4">
        <f>IF(BB87="","",0.001*T87)</f>
        <v/>
      </c>
      <c r="BE87" s="4">
        <f>IF(BB87="","",0.94*T87)</f>
        <v/>
      </c>
      <c r="BF87" s="4">
        <f>IF(BB87="","",(BD87+BE87)/2)</f>
        <v/>
      </c>
      <c r="BG87" s="4">
        <f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4">
        <f>IF(BB87="","",IF(BG87&lt;BB87,BF87,BD87))</f>
        <v/>
      </c>
      <c r="BI87" s="4">
        <f>IF(BB87="","",IF(BG87&lt;BB87,BE87,BF87))</f>
        <v/>
      </c>
      <c r="BJ87" s="4">
        <f>IF(BB87="","",(BH87+BI87)/2)</f>
        <v/>
      </c>
      <c r="BK87" s="4">
        <f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4">
        <f>IF(BB87="","",IF(BK87&lt;BB87,BJ87,BH87))</f>
        <v/>
      </c>
      <c r="BM87" s="4">
        <f>IF(BB87="","",IF(BK87&lt;BB87,BI87,BJ87))</f>
        <v/>
      </c>
      <c r="BN87" s="4">
        <f>IF(BB87="","",(BL87+BM87)/2)</f>
        <v/>
      </c>
      <c r="BO87" s="4">
        <f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4">
        <f>IF(BB87="","",IF(BO87&lt;BB87,BN87,BL87))</f>
        <v/>
      </c>
      <c r="BQ87" s="4">
        <f>IF(BB87="","",IF(BO87&lt;BB87,BM87,BN87))</f>
        <v/>
      </c>
      <c r="BR87" s="4">
        <f>IF(BB87="","",(BP87+BQ87)/2)</f>
        <v/>
      </c>
      <c r="BS87" s="4">
        <f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4">
        <f>IF(BB87="","",IF(BS87&lt;BB87,BR87,BP87))</f>
        <v/>
      </c>
      <c r="BU87" s="4">
        <f>IF(BB87="","",IF(BS87&lt;BB87,BQ87,BR87))</f>
        <v/>
      </c>
      <c r="BV87" s="4">
        <f>IF(BB87="","",(BT87+BU87)/2)</f>
        <v/>
      </c>
      <c r="BW87" s="4">
        <f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4">
        <f>IF(BB87="","",IF(BW87&lt;BB87,BV87,BT87))</f>
        <v/>
      </c>
      <c r="BY87" s="4">
        <f>IF(BB87="","",IF(BW87&lt;BB87,BU87,BV87))</f>
        <v/>
      </c>
      <c r="BZ87" s="4">
        <f>IF(BB87="","",(BX87+BY87)/2)</f>
        <v/>
      </c>
      <c r="CA87" s="4">
        <f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4">
        <f>IF(BB87="","",IF(CA87&lt;BB87,BZ87,BX87))</f>
        <v/>
      </c>
      <c r="CC87" s="4">
        <f>IF(BB87="","",IF(CA87&lt;BB87,BY87,BZ87))</f>
        <v/>
      </c>
      <c r="CD87" s="4">
        <f>IF(BB87="","",(CB87+CC87)/2)</f>
        <v/>
      </c>
      <c r="CE87" s="4">
        <f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4">
        <f>IF(BB87="","",IF(CE87&lt;BB87,CD87,CB87))</f>
        <v/>
      </c>
      <c r="CG87" s="4">
        <f>IF(BB87="","",IF(CE87&lt;BB87,CC87,CD87))</f>
        <v/>
      </c>
      <c r="CH87" s="4">
        <f>IF(BB87="","",(CF87+CG87)/2)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SUMIFS(CB_plan!$G:$G,CB_plan!$F:$F,$A88)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IF(A88="","",IF(H88="","",2.78E-7*IF(I88&lt;&gt;"",I88,IFERROR(SUMIFS(CB_plan!$H:$H,CB_plan!$F:$F,$A88)/SUMIFS(CB_plan!$G:$G,CB_plan!$F:$F,$A88),Inputs!$B$17))*H88*K88))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7">
        <f>IF(BB88="","",CH88)</f>
        <v/>
      </c>
      <c r="BA88" s="7">
        <f>IF(OR(BB88="",AZ88="",T88="",T88&lt;=0,AZ88&lt;=0),"",BB88/((T88^2/8)*(2*ACOS(1-2*AZ88/T88)-SIN(2*ACOS(1-2*AZ88/T88)))))</f>
        <v/>
      </c>
      <c r="BB88" s="4">
        <f>IF(OR(N88="",BC88=""),"",MIN(N88,BC88))</f>
        <v/>
      </c>
      <c r="BC88" s="4">
        <f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4">
        <f>IF(BB88="","",0.001*T88)</f>
        <v/>
      </c>
      <c r="BE88" s="4">
        <f>IF(BB88="","",0.94*T88)</f>
        <v/>
      </c>
      <c r="BF88" s="4">
        <f>IF(BB88="","",(BD88+BE88)/2)</f>
        <v/>
      </c>
      <c r="BG88" s="4">
        <f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4">
        <f>IF(BB88="","",IF(BG88&lt;BB88,BF88,BD88))</f>
        <v/>
      </c>
      <c r="BI88" s="4">
        <f>IF(BB88="","",IF(BG88&lt;BB88,BE88,BF88))</f>
        <v/>
      </c>
      <c r="BJ88" s="4">
        <f>IF(BB88="","",(BH88+BI88)/2)</f>
        <v/>
      </c>
      <c r="BK88" s="4">
        <f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4">
        <f>IF(BB88="","",IF(BK88&lt;BB88,BJ88,BH88))</f>
        <v/>
      </c>
      <c r="BM88" s="4">
        <f>IF(BB88="","",IF(BK88&lt;BB88,BI88,BJ88))</f>
        <v/>
      </c>
      <c r="BN88" s="4">
        <f>IF(BB88="","",(BL88+BM88)/2)</f>
        <v/>
      </c>
      <c r="BO88" s="4">
        <f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4">
        <f>IF(BB88="","",IF(BO88&lt;BB88,BN88,BL88))</f>
        <v/>
      </c>
      <c r="BQ88" s="4">
        <f>IF(BB88="","",IF(BO88&lt;BB88,BM88,BN88))</f>
        <v/>
      </c>
      <c r="BR88" s="4">
        <f>IF(BB88="","",(BP88+BQ88)/2)</f>
        <v/>
      </c>
      <c r="BS88" s="4">
        <f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4">
        <f>IF(BB88="","",IF(BS88&lt;BB88,BR88,BP88))</f>
        <v/>
      </c>
      <c r="BU88" s="4">
        <f>IF(BB88="","",IF(BS88&lt;BB88,BQ88,BR88))</f>
        <v/>
      </c>
      <c r="BV88" s="4">
        <f>IF(BB88="","",(BT88+BU88)/2)</f>
        <v/>
      </c>
      <c r="BW88" s="4">
        <f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4">
        <f>IF(BB88="","",IF(BW88&lt;BB88,BV88,BT88))</f>
        <v/>
      </c>
      <c r="BY88" s="4">
        <f>IF(BB88="","",IF(BW88&lt;BB88,BU88,BV88))</f>
        <v/>
      </c>
      <c r="BZ88" s="4">
        <f>IF(BB88="","",(BX88+BY88)/2)</f>
        <v/>
      </c>
      <c r="CA88" s="4">
        <f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4">
        <f>IF(BB88="","",IF(CA88&lt;BB88,BZ88,BX88))</f>
        <v/>
      </c>
      <c r="CC88" s="4">
        <f>IF(BB88="","",IF(CA88&lt;BB88,BY88,BZ88))</f>
        <v/>
      </c>
      <c r="CD88" s="4">
        <f>IF(BB88="","",(CB88+CC88)/2)</f>
        <v/>
      </c>
      <c r="CE88" s="4">
        <f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4">
        <f>IF(BB88="","",IF(CE88&lt;BB88,CD88,CB88))</f>
        <v/>
      </c>
      <c r="CG88" s="4">
        <f>IF(BB88="","",IF(CE88&lt;BB88,CC88,CD88))</f>
        <v/>
      </c>
      <c r="CH88" s="4">
        <f>IF(BB88="","",(CF88+CG88)/2)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SUMIFS(CB_plan!$G:$G,CB_plan!$F:$F,$A89)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IF(A89="","",IF(H89="","",2.78E-7*IF(I89&lt;&gt;"",I89,IFERROR(SUMIFS(CB_plan!$H:$H,CB_plan!$F:$F,$A89)/SUMIFS(CB_plan!$G:$G,CB_plan!$F:$F,$A89),Inputs!$B$17))*H89*K89))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7">
        <f>IF(BB89="","",CH89)</f>
        <v/>
      </c>
      <c r="BA89" s="7">
        <f>IF(OR(BB89="",AZ89="",T89="",T89&lt;=0,AZ89&lt;=0),"",BB89/((T89^2/8)*(2*ACOS(1-2*AZ89/T89)-SIN(2*ACOS(1-2*AZ89/T89)))))</f>
        <v/>
      </c>
      <c r="BB89" s="4">
        <f>IF(OR(N89="",BC89=""),"",MIN(N89,BC89))</f>
        <v/>
      </c>
      <c r="BC89" s="4">
        <f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4">
        <f>IF(BB89="","",0.001*T89)</f>
        <v/>
      </c>
      <c r="BE89" s="4">
        <f>IF(BB89="","",0.94*T89)</f>
        <v/>
      </c>
      <c r="BF89" s="4">
        <f>IF(BB89="","",(BD89+BE89)/2)</f>
        <v/>
      </c>
      <c r="BG89" s="4">
        <f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4">
        <f>IF(BB89="","",IF(BG89&lt;BB89,BF89,BD89))</f>
        <v/>
      </c>
      <c r="BI89" s="4">
        <f>IF(BB89="","",IF(BG89&lt;BB89,BE89,BF89))</f>
        <v/>
      </c>
      <c r="BJ89" s="4">
        <f>IF(BB89="","",(BH89+BI89)/2)</f>
        <v/>
      </c>
      <c r="BK89" s="4">
        <f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4">
        <f>IF(BB89="","",IF(BK89&lt;BB89,BJ89,BH89))</f>
        <v/>
      </c>
      <c r="BM89" s="4">
        <f>IF(BB89="","",IF(BK89&lt;BB89,BI89,BJ89))</f>
        <v/>
      </c>
      <c r="BN89" s="4">
        <f>IF(BB89="","",(BL89+BM89)/2)</f>
        <v/>
      </c>
      <c r="BO89" s="4">
        <f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4">
        <f>IF(BB89="","",IF(BO89&lt;BB89,BN89,BL89))</f>
        <v/>
      </c>
      <c r="BQ89" s="4">
        <f>IF(BB89="","",IF(BO89&lt;BB89,BM89,BN89))</f>
        <v/>
      </c>
      <c r="BR89" s="4">
        <f>IF(BB89="","",(BP89+BQ89)/2)</f>
        <v/>
      </c>
      <c r="BS89" s="4">
        <f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4">
        <f>IF(BB89="","",IF(BS89&lt;BB89,BR89,BP89))</f>
        <v/>
      </c>
      <c r="BU89" s="4">
        <f>IF(BB89="","",IF(BS89&lt;BB89,BQ89,BR89))</f>
        <v/>
      </c>
      <c r="BV89" s="4">
        <f>IF(BB89="","",(BT89+BU89)/2)</f>
        <v/>
      </c>
      <c r="BW89" s="4">
        <f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4">
        <f>IF(BB89="","",IF(BW89&lt;BB89,BV89,BT89))</f>
        <v/>
      </c>
      <c r="BY89" s="4">
        <f>IF(BB89="","",IF(BW89&lt;BB89,BU89,BV89))</f>
        <v/>
      </c>
      <c r="BZ89" s="4">
        <f>IF(BB89="","",(BX89+BY89)/2)</f>
        <v/>
      </c>
      <c r="CA89" s="4">
        <f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4">
        <f>IF(BB89="","",IF(CA89&lt;BB89,BZ89,BX89))</f>
        <v/>
      </c>
      <c r="CC89" s="4">
        <f>IF(BB89="","",IF(CA89&lt;BB89,BY89,BZ89))</f>
        <v/>
      </c>
      <c r="CD89" s="4">
        <f>IF(BB89="","",(CB89+CC89)/2)</f>
        <v/>
      </c>
      <c r="CE89" s="4">
        <f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4">
        <f>IF(BB89="","",IF(CE89&lt;BB89,CD89,CB89))</f>
        <v/>
      </c>
      <c r="CG89" s="4">
        <f>IF(BB89="","",IF(CE89&lt;BB89,CC89,CD89))</f>
        <v/>
      </c>
      <c r="CH89" s="4">
        <f>IF(BB89="","",(CF89+CG89)/2)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SUMIFS(CB_plan!$G:$G,CB_plan!$F:$F,$A90)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IF(A90="","",IF(H90="","",2.78E-7*IF(I90&lt;&gt;"",I90,IFERROR(SUMIFS(CB_plan!$H:$H,CB_plan!$F:$F,$A90)/SUMIFS(CB_plan!$G:$G,CB_plan!$F:$F,$A90),Inputs!$B$17))*H90*K90))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7">
        <f>IF(BB90="","",CH90)</f>
        <v/>
      </c>
      <c r="BA90" s="7">
        <f>IF(OR(BB90="",AZ90="",T90="",T90&lt;=0,AZ90&lt;=0),"",BB90/((T90^2/8)*(2*ACOS(1-2*AZ90/T90)-SIN(2*ACOS(1-2*AZ90/T90)))))</f>
        <v/>
      </c>
      <c r="BB90" s="4">
        <f>IF(OR(N90="",BC90=""),"",MIN(N90,BC90))</f>
        <v/>
      </c>
      <c r="BC90" s="4">
        <f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4">
        <f>IF(BB90="","",0.001*T90)</f>
        <v/>
      </c>
      <c r="BE90" s="4">
        <f>IF(BB90="","",0.94*T90)</f>
        <v/>
      </c>
      <c r="BF90" s="4">
        <f>IF(BB90="","",(BD90+BE90)/2)</f>
        <v/>
      </c>
      <c r="BG90" s="4">
        <f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4">
        <f>IF(BB90="","",IF(BG90&lt;BB90,BF90,BD90))</f>
        <v/>
      </c>
      <c r="BI90" s="4">
        <f>IF(BB90="","",IF(BG90&lt;BB90,BE90,BF90))</f>
        <v/>
      </c>
      <c r="BJ90" s="4">
        <f>IF(BB90="","",(BH90+BI90)/2)</f>
        <v/>
      </c>
      <c r="BK90" s="4">
        <f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4">
        <f>IF(BB90="","",IF(BK90&lt;BB90,BJ90,BH90))</f>
        <v/>
      </c>
      <c r="BM90" s="4">
        <f>IF(BB90="","",IF(BK90&lt;BB90,BI90,BJ90))</f>
        <v/>
      </c>
      <c r="BN90" s="4">
        <f>IF(BB90="","",(BL90+BM90)/2)</f>
        <v/>
      </c>
      <c r="BO90" s="4">
        <f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4">
        <f>IF(BB90="","",IF(BO90&lt;BB90,BN90,BL90))</f>
        <v/>
      </c>
      <c r="BQ90" s="4">
        <f>IF(BB90="","",IF(BO90&lt;BB90,BM90,BN90))</f>
        <v/>
      </c>
      <c r="BR90" s="4">
        <f>IF(BB90="","",(BP90+BQ90)/2)</f>
        <v/>
      </c>
      <c r="BS90" s="4">
        <f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4">
        <f>IF(BB90="","",IF(BS90&lt;BB90,BR90,BP90))</f>
        <v/>
      </c>
      <c r="BU90" s="4">
        <f>IF(BB90="","",IF(BS90&lt;BB90,BQ90,BR90))</f>
        <v/>
      </c>
      <c r="BV90" s="4">
        <f>IF(BB90="","",(BT90+BU90)/2)</f>
        <v/>
      </c>
      <c r="BW90" s="4">
        <f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4">
        <f>IF(BB90="","",IF(BW90&lt;BB90,BV90,BT90))</f>
        <v/>
      </c>
      <c r="BY90" s="4">
        <f>IF(BB90="","",IF(BW90&lt;BB90,BU90,BV90))</f>
        <v/>
      </c>
      <c r="BZ90" s="4">
        <f>IF(BB90="","",(BX90+BY90)/2)</f>
        <v/>
      </c>
      <c r="CA90" s="4">
        <f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4">
        <f>IF(BB90="","",IF(CA90&lt;BB90,BZ90,BX90))</f>
        <v/>
      </c>
      <c r="CC90" s="4">
        <f>IF(BB90="","",IF(CA90&lt;BB90,BY90,BZ90))</f>
        <v/>
      </c>
      <c r="CD90" s="4">
        <f>IF(BB90="","",(CB90+CC90)/2)</f>
        <v/>
      </c>
      <c r="CE90" s="4">
        <f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4">
        <f>IF(BB90="","",IF(CE90&lt;BB90,CD90,CB90))</f>
        <v/>
      </c>
      <c r="CG90" s="4">
        <f>IF(BB90="","",IF(CE90&lt;BB90,CC90,CD90))</f>
        <v/>
      </c>
      <c r="CH90" s="4">
        <f>IF(BB90="","",(CF90+CG90)/2)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SUMIFS(CB_plan!$G:$G,CB_plan!$F:$F,$A91)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IF(A91="","",IF(H91="","",2.78E-7*IF(I91&lt;&gt;"",I91,IFERROR(SUMIFS(CB_plan!$H:$H,CB_plan!$F:$F,$A91)/SUMIFS(CB_plan!$G:$G,CB_plan!$F:$F,$A91),Inputs!$B$17))*H91*K91))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7">
        <f>IF(BB91="","",CH91)</f>
        <v/>
      </c>
      <c r="BA91" s="7">
        <f>IF(OR(BB91="",AZ91="",T91="",T91&lt;=0,AZ91&lt;=0),"",BB91/((T91^2/8)*(2*ACOS(1-2*AZ91/T91)-SIN(2*ACOS(1-2*AZ91/T91)))))</f>
        <v/>
      </c>
      <c r="BB91" s="4">
        <f>IF(OR(N91="",BC91=""),"",MIN(N91,BC91))</f>
        <v/>
      </c>
      <c r="BC91" s="4">
        <f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4">
        <f>IF(BB91="","",0.001*T91)</f>
        <v/>
      </c>
      <c r="BE91" s="4">
        <f>IF(BB91="","",0.94*T91)</f>
        <v/>
      </c>
      <c r="BF91" s="4">
        <f>IF(BB91="","",(BD91+BE91)/2)</f>
        <v/>
      </c>
      <c r="BG91" s="4">
        <f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4">
        <f>IF(BB91="","",IF(BG91&lt;BB91,BF91,BD91))</f>
        <v/>
      </c>
      <c r="BI91" s="4">
        <f>IF(BB91="","",IF(BG91&lt;BB91,BE91,BF91))</f>
        <v/>
      </c>
      <c r="BJ91" s="4">
        <f>IF(BB91="","",(BH91+BI91)/2)</f>
        <v/>
      </c>
      <c r="BK91" s="4">
        <f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4">
        <f>IF(BB91="","",IF(BK91&lt;BB91,BJ91,BH91))</f>
        <v/>
      </c>
      <c r="BM91" s="4">
        <f>IF(BB91="","",IF(BK91&lt;BB91,BI91,BJ91))</f>
        <v/>
      </c>
      <c r="BN91" s="4">
        <f>IF(BB91="","",(BL91+BM91)/2)</f>
        <v/>
      </c>
      <c r="BO91" s="4">
        <f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4">
        <f>IF(BB91="","",IF(BO91&lt;BB91,BN91,BL91))</f>
        <v/>
      </c>
      <c r="BQ91" s="4">
        <f>IF(BB91="","",IF(BO91&lt;BB91,BM91,BN91))</f>
        <v/>
      </c>
      <c r="BR91" s="4">
        <f>IF(BB91="","",(BP91+BQ91)/2)</f>
        <v/>
      </c>
      <c r="BS91" s="4">
        <f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4">
        <f>IF(BB91="","",IF(BS91&lt;BB91,BR91,BP91))</f>
        <v/>
      </c>
      <c r="BU91" s="4">
        <f>IF(BB91="","",IF(BS91&lt;BB91,BQ91,BR91))</f>
        <v/>
      </c>
      <c r="BV91" s="4">
        <f>IF(BB91="","",(BT91+BU91)/2)</f>
        <v/>
      </c>
      <c r="BW91" s="4">
        <f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4">
        <f>IF(BB91="","",IF(BW91&lt;BB91,BV91,BT91))</f>
        <v/>
      </c>
      <c r="BY91" s="4">
        <f>IF(BB91="","",IF(BW91&lt;BB91,BU91,BV91))</f>
        <v/>
      </c>
      <c r="BZ91" s="4">
        <f>IF(BB91="","",(BX91+BY91)/2)</f>
        <v/>
      </c>
      <c r="CA91" s="4">
        <f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4">
        <f>IF(BB91="","",IF(CA91&lt;BB91,BZ91,BX91))</f>
        <v/>
      </c>
      <c r="CC91" s="4">
        <f>IF(BB91="","",IF(CA91&lt;BB91,BY91,BZ91))</f>
        <v/>
      </c>
      <c r="CD91" s="4">
        <f>IF(BB91="","",(CB91+CC91)/2)</f>
        <v/>
      </c>
      <c r="CE91" s="4">
        <f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4">
        <f>IF(BB91="","",IF(CE91&lt;BB91,CD91,CB91))</f>
        <v/>
      </c>
      <c r="CG91" s="4">
        <f>IF(BB91="","",IF(CE91&lt;BB91,CC91,CD91))</f>
        <v/>
      </c>
      <c r="CH91" s="4">
        <f>IF(BB91="","",(CF91+CG91)/2)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SUMIFS(CB_plan!$G:$G,CB_plan!$F:$F,$A92)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IF(A92="","",IF(H92="","",2.78E-7*IF(I92&lt;&gt;"",I92,IFERROR(SUMIFS(CB_plan!$H:$H,CB_plan!$F:$F,$A92)/SUMIFS(CB_plan!$G:$G,CB_plan!$F:$F,$A92),Inputs!$B$17))*H92*K92))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7">
        <f>IF(BB92="","",CH92)</f>
        <v/>
      </c>
      <c r="BA92" s="7">
        <f>IF(OR(BB92="",AZ92="",T92="",T92&lt;=0,AZ92&lt;=0),"",BB92/((T92^2/8)*(2*ACOS(1-2*AZ92/T92)-SIN(2*ACOS(1-2*AZ92/T92)))))</f>
        <v/>
      </c>
      <c r="BB92" s="4">
        <f>IF(OR(N92="",BC92=""),"",MIN(N92,BC92))</f>
        <v/>
      </c>
      <c r="BC92" s="4">
        <f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4">
        <f>IF(BB92="","",0.001*T92)</f>
        <v/>
      </c>
      <c r="BE92" s="4">
        <f>IF(BB92="","",0.94*T92)</f>
        <v/>
      </c>
      <c r="BF92" s="4">
        <f>IF(BB92="","",(BD92+BE92)/2)</f>
        <v/>
      </c>
      <c r="BG92" s="4">
        <f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4">
        <f>IF(BB92="","",IF(BG92&lt;BB92,BF92,BD92))</f>
        <v/>
      </c>
      <c r="BI92" s="4">
        <f>IF(BB92="","",IF(BG92&lt;BB92,BE92,BF92))</f>
        <v/>
      </c>
      <c r="BJ92" s="4">
        <f>IF(BB92="","",(BH92+BI92)/2)</f>
        <v/>
      </c>
      <c r="BK92" s="4">
        <f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4">
        <f>IF(BB92="","",IF(BK92&lt;BB92,BJ92,BH92))</f>
        <v/>
      </c>
      <c r="BM92" s="4">
        <f>IF(BB92="","",IF(BK92&lt;BB92,BI92,BJ92))</f>
        <v/>
      </c>
      <c r="BN92" s="4">
        <f>IF(BB92="","",(BL92+BM92)/2)</f>
        <v/>
      </c>
      <c r="BO92" s="4">
        <f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4">
        <f>IF(BB92="","",IF(BO92&lt;BB92,BN92,BL92))</f>
        <v/>
      </c>
      <c r="BQ92" s="4">
        <f>IF(BB92="","",IF(BO92&lt;BB92,BM92,BN92))</f>
        <v/>
      </c>
      <c r="BR92" s="4">
        <f>IF(BB92="","",(BP92+BQ92)/2)</f>
        <v/>
      </c>
      <c r="BS92" s="4">
        <f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4">
        <f>IF(BB92="","",IF(BS92&lt;BB92,BR92,BP92))</f>
        <v/>
      </c>
      <c r="BU92" s="4">
        <f>IF(BB92="","",IF(BS92&lt;BB92,BQ92,BR92))</f>
        <v/>
      </c>
      <c r="BV92" s="4">
        <f>IF(BB92="","",(BT92+BU92)/2)</f>
        <v/>
      </c>
      <c r="BW92" s="4">
        <f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4">
        <f>IF(BB92="","",IF(BW92&lt;BB92,BV92,BT92))</f>
        <v/>
      </c>
      <c r="BY92" s="4">
        <f>IF(BB92="","",IF(BW92&lt;BB92,BU92,BV92))</f>
        <v/>
      </c>
      <c r="BZ92" s="4">
        <f>IF(BB92="","",(BX92+BY92)/2)</f>
        <v/>
      </c>
      <c r="CA92" s="4">
        <f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4">
        <f>IF(BB92="","",IF(CA92&lt;BB92,BZ92,BX92))</f>
        <v/>
      </c>
      <c r="CC92" s="4">
        <f>IF(BB92="","",IF(CA92&lt;BB92,BY92,BZ92))</f>
        <v/>
      </c>
      <c r="CD92" s="4">
        <f>IF(BB92="","",(CB92+CC92)/2)</f>
        <v/>
      </c>
      <c r="CE92" s="4">
        <f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4">
        <f>IF(BB92="","",IF(CE92&lt;BB92,CD92,CB92))</f>
        <v/>
      </c>
      <c r="CG92" s="4">
        <f>IF(BB92="","",IF(CE92&lt;BB92,CC92,CD92))</f>
        <v/>
      </c>
      <c r="CH92" s="4">
        <f>IF(BB92="","",(CF92+CG92)/2)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SUMIFS(CB_plan!$G:$G,CB_plan!$F:$F,$A93)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IF(A93="","",IF(H93="","",2.78E-7*IF(I93&lt;&gt;"",I93,IFERROR(SUMIFS(CB_plan!$H:$H,CB_plan!$F:$F,$A93)/SUMIFS(CB_plan!$G:$G,CB_plan!$F:$F,$A93),Inputs!$B$17))*H93*K93))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7">
        <f>IF(BB93="","",CH93)</f>
        <v/>
      </c>
      <c r="BA93" s="7">
        <f>IF(OR(BB93="",AZ93="",T93="",T93&lt;=0,AZ93&lt;=0),"",BB93/((T93^2/8)*(2*ACOS(1-2*AZ93/T93)-SIN(2*ACOS(1-2*AZ93/T93)))))</f>
        <v/>
      </c>
      <c r="BB93" s="4">
        <f>IF(OR(N93="",BC93=""),"",MIN(N93,BC93))</f>
        <v/>
      </c>
      <c r="BC93" s="4">
        <f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4">
        <f>IF(BB93="","",0.001*T93)</f>
        <v/>
      </c>
      <c r="BE93" s="4">
        <f>IF(BB93="","",0.94*T93)</f>
        <v/>
      </c>
      <c r="BF93" s="4">
        <f>IF(BB93="","",(BD93+BE93)/2)</f>
        <v/>
      </c>
      <c r="BG93" s="4">
        <f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4">
        <f>IF(BB93="","",IF(BG93&lt;BB93,BF93,BD93))</f>
        <v/>
      </c>
      <c r="BI93" s="4">
        <f>IF(BB93="","",IF(BG93&lt;BB93,BE93,BF93))</f>
        <v/>
      </c>
      <c r="BJ93" s="4">
        <f>IF(BB93="","",(BH93+BI93)/2)</f>
        <v/>
      </c>
      <c r="BK93" s="4">
        <f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4">
        <f>IF(BB93="","",IF(BK93&lt;BB93,BJ93,BH93))</f>
        <v/>
      </c>
      <c r="BM93" s="4">
        <f>IF(BB93="","",IF(BK93&lt;BB93,BI93,BJ93))</f>
        <v/>
      </c>
      <c r="BN93" s="4">
        <f>IF(BB93="","",(BL93+BM93)/2)</f>
        <v/>
      </c>
      <c r="BO93" s="4">
        <f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4">
        <f>IF(BB93="","",IF(BO93&lt;BB93,BN93,BL93))</f>
        <v/>
      </c>
      <c r="BQ93" s="4">
        <f>IF(BB93="","",IF(BO93&lt;BB93,BM93,BN93))</f>
        <v/>
      </c>
      <c r="BR93" s="4">
        <f>IF(BB93="","",(BP93+BQ93)/2)</f>
        <v/>
      </c>
      <c r="BS93" s="4">
        <f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4">
        <f>IF(BB93="","",IF(BS93&lt;BB93,BR93,BP93))</f>
        <v/>
      </c>
      <c r="BU93" s="4">
        <f>IF(BB93="","",IF(BS93&lt;BB93,BQ93,BR93))</f>
        <v/>
      </c>
      <c r="BV93" s="4">
        <f>IF(BB93="","",(BT93+BU93)/2)</f>
        <v/>
      </c>
      <c r="BW93" s="4">
        <f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4">
        <f>IF(BB93="","",IF(BW93&lt;BB93,BV93,BT93))</f>
        <v/>
      </c>
      <c r="BY93" s="4">
        <f>IF(BB93="","",IF(BW93&lt;BB93,BU93,BV93))</f>
        <v/>
      </c>
      <c r="BZ93" s="4">
        <f>IF(BB93="","",(BX93+BY93)/2)</f>
        <v/>
      </c>
      <c r="CA93" s="4">
        <f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4">
        <f>IF(BB93="","",IF(CA93&lt;BB93,BZ93,BX93))</f>
        <v/>
      </c>
      <c r="CC93" s="4">
        <f>IF(BB93="","",IF(CA93&lt;BB93,BY93,BZ93))</f>
        <v/>
      </c>
      <c r="CD93" s="4">
        <f>IF(BB93="","",(CB93+CC93)/2)</f>
        <v/>
      </c>
      <c r="CE93" s="4">
        <f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4">
        <f>IF(BB93="","",IF(CE93&lt;BB93,CD93,CB93))</f>
        <v/>
      </c>
      <c r="CG93" s="4">
        <f>IF(BB93="","",IF(CE93&lt;BB93,CC93,CD93))</f>
        <v/>
      </c>
      <c r="CH93" s="4">
        <f>IF(BB93="","",(CF93+CG93)/2)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SUMIFS(CB_plan!$G:$G,CB_plan!$F:$F,$A94)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IF(A94="","",IF(H94="","",2.78E-7*IF(I94&lt;&gt;"",I94,IFERROR(SUMIFS(CB_plan!$H:$H,CB_plan!$F:$F,$A94)/SUMIFS(CB_plan!$G:$G,CB_plan!$F:$F,$A94),Inputs!$B$17))*H94*K94))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7">
        <f>IF(BB94="","",CH94)</f>
        <v/>
      </c>
      <c r="BA94" s="7">
        <f>IF(OR(BB94="",AZ94="",T94="",T94&lt;=0,AZ94&lt;=0),"",BB94/((T94^2/8)*(2*ACOS(1-2*AZ94/T94)-SIN(2*ACOS(1-2*AZ94/T94)))))</f>
        <v/>
      </c>
      <c r="BB94" s="4">
        <f>IF(OR(N94="",BC94=""),"",MIN(N94,BC94))</f>
        <v/>
      </c>
      <c r="BC94" s="4">
        <f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4">
        <f>IF(BB94="","",0.001*T94)</f>
        <v/>
      </c>
      <c r="BE94" s="4">
        <f>IF(BB94="","",0.94*T94)</f>
        <v/>
      </c>
      <c r="BF94" s="4">
        <f>IF(BB94="","",(BD94+BE94)/2)</f>
        <v/>
      </c>
      <c r="BG94" s="4">
        <f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4">
        <f>IF(BB94="","",IF(BG94&lt;BB94,BF94,BD94))</f>
        <v/>
      </c>
      <c r="BI94" s="4">
        <f>IF(BB94="","",IF(BG94&lt;BB94,BE94,BF94))</f>
        <v/>
      </c>
      <c r="BJ94" s="4">
        <f>IF(BB94="","",(BH94+BI94)/2)</f>
        <v/>
      </c>
      <c r="BK94" s="4">
        <f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4">
        <f>IF(BB94="","",IF(BK94&lt;BB94,BJ94,BH94))</f>
        <v/>
      </c>
      <c r="BM94" s="4">
        <f>IF(BB94="","",IF(BK94&lt;BB94,BI94,BJ94))</f>
        <v/>
      </c>
      <c r="BN94" s="4">
        <f>IF(BB94="","",(BL94+BM94)/2)</f>
        <v/>
      </c>
      <c r="BO94" s="4">
        <f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4">
        <f>IF(BB94="","",IF(BO94&lt;BB94,BN94,BL94))</f>
        <v/>
      </c>
      <c r="BQ94" s="4">
        <f>IF(BB94="","",IF(BO94&lt;BB94,BM94,BN94))</f>
        <v/>
      </c>
      <c r="BR94" s="4">
        <f>IF(BB94="","",(BP94+BQ94)/2)</f>
        <v/>
      </c>
      <c r="BS94" s="4">
        <f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4">
        <f>IF(BB94="","",IF(BS94&lt;BB94,BR94,BP94))</f>
        <v/>
      </c>
      <c r="BU94" s="4">
        <f>IF(BB94="","",IF(BS94&lt;BB94,BQ94,BR94))</f>
        <v/>
      </c>
      <c r="BV94" s="4">
        <f>IF(BB94="","",(BT94+BU94)/2)</f>
        <v/>
      </c>
      <c r="BW94" s="4">
        <f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4">
        <f>IF(BB94="","",IF(BW94&lt;BB94,BV94,BT94))</f>
        <v/>
      </c>
      <c r="BY94" s="4">
        <f>IF(BB94="","",IF(BW94&lt;BB94,BU94,BV94))</f>
        <v/>
      </c>
      <c r="BZ94" s="4">
        <f>IF(BB94="","",(BX94+BY94)/2)</f>
        <v/>
      </c>
      <c r="CA94" s="4">
        <f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4">
        <f>IF(BB94="","",IF(CA94&lt;BB94,BZ94,BX94))</f>
        <v/>
      </c>
      <c r="CC94" s="4">
        <f>IF(BB94="","",IF(CA94&lt;BB94,BY94,BZ94))</f>
        <v/>
      </c>
      <c r="CD94" s="4">
        <f>IF(BB94="","",(CB94+CC94)/2)</f>
        <v/>
      </c>
      <c r="CE94" s="4">
        <f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4">
        <f>IF(BB94="","",IF(CE94&lt;BB94,CD94,CB94))</f>
        <v/>
      </c>
      <c r="CG94" s="4">
        <f>IF(BB94="","",IF(CE94&lt;BB94,CC94,CD94))</f>
        <v/>
      </c>
      <c r="CH94" s="4">
        <f>IF(BB94="","",(CF94+CG94)/2)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SUMIFS(CB_plan!$G:$G,CB_plan!$F:$F,$A95)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IF(A95="","",IF(H95="","",2.78E-7*IF(I95&lt;&gt;"",I95,IFERROR(SUMIFS(CB_plan!$H:$H,CB_plan!$F:$F,$A95)/SUMIFS(CB_plan!$G:$G,CB_plan!$F:$F,$A95),Inputs!$B$17))*H95*K95))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7">
        <f>IF(BB95="","",CH95)</f>
        <v/>
      </c>
      <c r="BA95" s="7">
        <f>IF(OR(BB95="",AZ95="",T95="",T95&lt;=0,AZ95&lt;=0),"",BB95/((T95^2/8)*(2*ACOS(1-2*AZ95/T95)-SIN(2*ACOS(1-2*AZ95/T95)))))</f>
        <v/>
      </c>
      <c r="BB95" s="4">
        <f>IF(OR(N95="",BC95=""),"",MIN(N95,BC95))</f>
        <v/>
      </c>
      <c r="BC95" s="4">
        <f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4">
        <f>IF(BB95="","",0.001*T95)</f>
        <v/>
      </c>
      <c r="BE95" s="4">
        <f>IF(BB95="","",0.94*T95)</f>
        <v/>
      </c>
      <c r="BF95" s="4">
        <f>IF(BB95="","",(BD95+BE95)/2)</f>
        <v/>
      </c>
      <c r="BG95" s="4">
        <f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4">
        <f>IF(BB95="","",IF(BG95&lt;BB95,BF95,BD95))</f>
        <v/>
      </c>
      <c r="BI95" s="4">
        <f>IF(BB95="","",IF(BG95&lt;BB95,BE95,BF95))</f>
        <v/>
      </c>
      <c r="BJ95" s="4">
        <f>IF(BB95="","",(BH95+BI95)/2)</f>
        <v/>
      </c>
      <c r="BK95" s="4">
        <f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4">
        <f>IF(BB95="","",IF(BK95&lt;BB95,BJ95,BH95))</f>
        <v/>
      </c>
      <c r="BM95" s="4">
        <f>IF(BB95="","",IF(BK95&lt;BB95,BI95,BJ95))</f>
        <v/>
      </c>
      <c r="BN95" s="4">
        <f>IF(BB95="","",(BL95+BM95)/2)</f>
        <v/>
      </c>
      <c r="BO95" s="4">
        <f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4">
        <f>IF(BB95="","",IF(BO95&lt;BB95,BN95,BL95))</f>
        <v/>
      </c>
      <c r="BQ95" s="4">
        <f>IF(BB95="","",IF(BO95&lt;BB95,BM95,BN95))</f>
        <v/>
      </c>
      <c r="BR95" s="4">
        <f>IF(BB95="","",(BP95+BQ95)/2)</f>
        <v/>
      </c>
      <c r="BS95" s="4">
        <f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4">
        <f>IF(BB95="","",IF(BS95&lt;BB95,BR95,BP95))</f>
        <v/>
      </c>
      <c r="BU95" s="4">
        <f>IF(BB95="","",IF(BS95&lt;BB95,BQ95,BR95))</f>
        <v/>
      </c>
      <c r="BV95" s="4">
        <f>IF(BB95="","",(BT95+BU95)/2)</f>
        <v/>
      </c>
      <c r="BW95" s="4">
        <f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4">
        <f>IF(BB95="","",IF(BW95&lt;BB95,BV95,BT95))</f>
        <v/>
      </c>
      <c r="BY95" s="4">
        <f>IF(BB95="","",IF(BW95&lt;BB95,BU95,BV95))</f>
        <v/>
      </c>
      <c r="BZ95" s="4">
        <f>IF(BB95="","",(BX95+BY95)/2)</f>
        <v/>
      </c>
      <c r="CA95" s="4">
        <f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4">
        <f>IF(BB95="","",IF(CA95&lt;BB95,BZ95,BX95))</f>
        <v/>
      </c>
      <c r="CC95" s="4">
        <f>IF(BB95="","",IF(CA95&lt;BB95,BY95,BZ95))</f>
        <v/>
      </c>
      <c r="CD95" s="4">
        <f>IF(BB95="","",(CB95+CC95)/2)</f>
        <v/>
      </c>
      <c r="CE95" s="4">
        <f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4">
        <f>IF(BB95="","",IF(CE95&lt;BB95,CD95,CB95))</f>
        <v/>
      </c>
      <c r="CG95" s="4">
        <f>IF(BB95="","",IF(CE95&lt;BB95,CC95,CD95))</f>
        <v/>
      </c>
      <c r="CH95" s="4">
        <f>IF(BB95="","",(CF95+CG95)/2)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SUMIFS(CB_plan!$G:$G,CB_plan!$F:$F,$A96)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IF(A96="","",IF(H96="","",2.78E-7*IF(I96&lt;&gt;"",I96,IFERROR(SUMIFS(CB_plan!$H:$H,CB_plan!$F:$F,$A96)/SUMIFS(CB_plan!$G:$G,CB_plan!$F:$F,$A96),Inputs!$B$17))*H96*K96))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7">
        <f>IF(BB96="","",CH96)</f>
        <v/>
      </c>
      <c r="BA96" s="7">
        <f>IF(OR(BB96="",AZ96="",T96="",T96&lt;=0,AZ96&lt;=0),"",BB96/((T96^2/8)*(2*ACOS(1-2*AZ96/T96)-SIN(2*ACOS(1-2*AZ96/T96)))))</f>
        <v/>
      </c>
      <c r="BB96" s="4">
        <f>IF(OR(N96="",BC96=""),"",MIN(N96,BC96))</f>
        <v/>
      </c>
      <c r="BC96" s="4">
        <f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4">
        <f>IF(BB96="","",0.001*T96)</f>
        <v/>
      </c>
      <c r="BE96" s="4">
        <f>IF(BB96="","",0.94*T96)</f>
        <v/>
      </c>
      <c r="BF96" s="4">
        <f>IF(BB96="","",(BD96+BE96)/2)</f>
        <v/>
      </c>
      <c r="BG96" s="4">
        <f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4">
        <f>IF(BB96="","",IF(BG96&lt;BB96,BF96,BD96))</f>
        <v/>
      </c>
      <c r="BI96" s="4">
        <f>IF(BB96="","",IF(BG96&lt;BB96,BE96,BF96))</f>
        <v/>
      </c>
      <c r="BJ96" s="4">
        <f>IF(BB96="","",(BH96+BI96)/2)</f>
        <v/>
      </c>
      <c r="BK96" s="4">
        <f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4">
        <f>IF(BB96="","",IF(BK96&lt;BB96,BJ96,BH96))</f>
        <v/>
      </c>
      <c r="BM96" s="4">
        <f>IF(BB96="","",IF(BK96&lt;BB96,BI96,BJ96))</f>
        <v/>
      </c>
      <c r="BN96" s="4">
        <f>IF(BB96="","",(BL96+BM96)/2)</f>
        <v/>
      </c>
      <c r="BO96" s="4">
        <f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4">
        <f>IF(BB96="","",IF(BO96&lt;BB96,BN96,BL96))</f>
        <v/>
      </c>
      <c r="BQ96" s="4">
        <f>IF(BB96="","",IF(BO96&lt;BB96,BM96,BN96))</f>
        <v/>
      </c>
      <c r="BR96" s="4">
        <f>IF(BB96="","",(BP96+BQ96)/2)</f>
        <v/>
      </c>
      <c r="BS96" s="4">
        <f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4">
        <f>IF(BB96="","",IF(BS96&lt;BB96,BR96,BP96))</f>
        <v/>
      </c>
      <c r="BU96" s="4">
        <f>IF(BB96="","",IF(BS96&lt;BB96,BQ96,BR96))</f>
        <v/>
      </c>
      <c r="BV96" s="4">
        <f>IF(BB96="","",(BT96+BU96)/2)</f>
        <v/>
      </c>
      <c r="BW96" s="4">
        <f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4">
        <f>IF(BB96="","",IF(BW96&lt;BB96,BV96,BT96))</f>
        <v/>
      </c>
      <c r="BY96" s="4">
        <f>IF(BB96="","",IF(BW96&lt;BB96,BU96,BV96))</f>
        <v/>
      </c>
      <c r="BZ96" s="4">
        <f>IF(BB96="","",(BX96+BY96)/2)</f>
        <v/>
      </c>
      <c r="CA96" s="4">
        <f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4">
        <f>IF(BB96="","",IF(CA96&lt;BB96,BZ96,BX96))</f>
        <v/>
      </c>
      <c r="CC96" s="4">
        <f>IF(BB96="","",IF(CA96&lt;BB96,BY96,BZ96))</f>
        <v/>
      </c>
      <c r="CD96" s="4">
        <f>IF(BB96="","",(CB96+CC96)/2)</f>
        <v/>
      </c>
      <c r="CE96" s="4">
        <f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4">
        <f>IF(BB96="","",IF(CE96&lt;BB96,CD96,CB96))</f>
        <v/>
      </c>
      <c r="CG96" s="4">
        <f>IF(BB96="","",IF(CE96&lt;BB96,CC96,CD96))</f>
        <v/>
      </c>
      <c r="CH96" s="4">
        <f>IF(BB96="","",(CF96+CG96)/2)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SUMIFS(CB_plan!$G:$G,CB_plan!$F:$F,$A97)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IF(A97="","",IF(H97="","",2.78E-7*IF(I97&lt;&gt;"",I97,IFERROR(SUMIFS(CB_plan!$H:$H,CB_plan!$F:$F,$A97)/SUMIFS(CB_plan!$G:$G,CB_plan!$F:$F,$A97),Inputs!$B$17))*H97*K97))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7">
        <f>IF(BB97="","",CH97)</f>
        <v/>
      </c>
      <c r="BA97" s="7">
        <f>IF(OR(BB97="",AZ97="",T97="",T97&lt;=0,AZ97&lt;=0),"",BB97/((T97^2/8)*(2*ACOS(1-2*AZ97/T97)-SIN(2*ACOS(1-2*AZ97/T97)))))</f>
        <v/>
      </c>
      <c r="BB97" s="4">
        <f>IF(OR(N97="",BC97=""),"",MIN(N97,BC97))</f>
        <v/>
      </c>
      <c r="BC97" s="4">
        <f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4">
        <f>IF(BB97="","",0.001*T97)</f>
        <v/>
      </c>
      <c r="BE97" s="4">
        <f>IF(BB97="","",0.94*T97)</f>
        <v/>
      </c>
      <c r="BF97" s="4">
        <f>IF(BB97="","",(BD97+BE97)/2)</f>
        <v/>
      </c>
      <c r="BG97" s="4">
        <f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4">
        <f>IF(BB97="","",IF(BG97&lt;BB97,BF97,BD97))</f>
        <v/>
      </c>
      <c r="BI97" s="4">
        <f>IF(BB97="","",IF(BG97&lt;BB97,BE97,BF97))</f>
        <v/>
      </c>
      <c r="BJ97" s="4">
        <f>IF(BB97="","",(BH97+BI97)/2)</f>
        <v/>
      </c>
      <c r="BK97" s="4">
        <f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4">
        <f>IF(BB97="","",IF(BK97&lt;BB97,BJ97,BH97))</f>
        <v/>
      </c>
      <c r="BM97" s="4">
        <f>IF(BB97="","",IF(BK97&lt;BB97,BI97,BJ97))</f>
        <v/>
      </c>
      <c r="BN97" s="4">
        <f>IF(BB97="","",(BL97+BM97)/2)</f>
        <v/>
      </c>
      <c r="BO97" s="4">
        <f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4">
        <f>IF(BB97="","",IF(BO97&lt;BB97,BN97,BL97))</f>
        <v/>
      </c>
      <c r="BQ97" s="4">
        <f>IF(BB97="","",IF(BO97&lt;BB97,BM97,BN97))</f>
        <v/>
      </c>
      <c r="BR97" s="4">
        <f>IF(BB97="","",(BP97+BQ97)/2)</f>
        <v/>
      </c>
      <c r="BS97" s="4">
        <f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4">
        <f>IF(BB97="","",IF(BS97&lt;BB97,BR97,BP97))</f>
        <v/>
      </c>
      <c r="BU97" s="4">
        <f>IF(BB97="","",IF(BS97&lt;BB97,BQ97,BR97))</f>
        <v/>
      </c>
      <c r="BV97" s="4">
        <f>IF(BB97="","",(BT97+BU97)/2)</f>
        <v/>
      </c>
      <c r="BW97" s="4">
        <f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4">
        <f>IF(BB97="","",IF(BW97&lt;BB97,BV97,BT97))</f>
        <v/>
      </c>
      <c r="BY97" s="4">
        <f>IF(BB97="","",IF(BW97&lt;BB97,BU97,BV97))</f>
        <v/>
      </c>
      <c r="BZ97" s="4">
        <f>IF(BB97="","",(BX97+BY97)/2)</f>
        <v/>
      </c>
      <c r="CA97" s="4">
        <f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4">
        <f>IF(BB97="","",IF(CA97&lt;BB97,BZ97,BX97))</f>
        <v/>
      </c>
      <c r="CC97" s="4">
        <f>IF(BB97="","",IF(CA97&lt;BB97,BY97,BZ97))</f>
        <v/>
      </c>
      <c r="CD97" s="4">
        <f>IF(BB97="","",(CB97+CC97)/2)</f>
        <v/>
      </c>
      <c r="CE97" s="4">
        <f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4">
        <f>IF(BB97="","",IF(CE97&lt;BB97,CD97,CB97))</f>
        <v/>
      </c>
      <c r="CG97" s="4">
        <f>IF(BB97="","",IF(CE97&lt;BB97,CC97,CD97))</f>
        <v/>
      </c>
      <c r="CH97" s="4">
        <f>IF(BB97="","",(CF97+CG97)/2)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SUMIFS(CB_plan!$G:$G,CB_plan!$F:$F,$A98)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IF(A98="","",IF(H98="","",2.78E-7*IF(I98&lt;&gt;"",I98,IFERROR(SUMIFS(CB_plan!$H:$H,CB_plan!$F:$F,$A98)/SUMIFS(CB_plan!$G:$G,CB_plan!$F:$F,$A98),Inputs!$B$17))*H98*K98))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7">
        <f>IF(BB98="","",CH98)</f>
        <v/>
      </c>
      <c r="BA98" s="7">
        <f>IF(OR(BB98="",AZ98="",T98="",T98&lt;=0,AZ98&lt;=0),"",BB98/((T98^2/8)*(2*ACOS(1-2*AZ98/T98)-SIN(2*ACOS(1-2*AZ98/T98)))))</f>
        <v/>
      </c>
      <c r="BB98" s="4">
        <f>IF(OR(N98="",BC98=""),"",MIN(N98,BC98))</f>
        <v/>
      </c>
      <c r="BC98" s="4">
        <f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4">
        <f>IF(BB98="","",0.001*T98)</f>
        <v/>
      </c>
      <c r="BE98" s="4">
        <f>IF(BB98="","",0.94*T98)</f>
        <v/>
      </c>
      <c r="BF98" s="4">
        <f>IF(BB98="","",(BD98+BE98)/2)</f>
        <v/>
      </c>
      <c r="BG98" s="4">
        <f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4">
        <f>IF(BB98="","",IF(BG98&lt;BB98,BF98,BD98))</f>
        <v/>
      </c>
      <c r="BI98" s="4">
        <f>IF(BB98="","",IF(BG98&lt;BB98,BE98,BF98))</f>
        <v/>
      </c>
      <c r="BJ98" s="4">
        <f>IF(BB98="","",(BH98+BI98)/2)</f>
        <v/>
      </c>
      <c r="BK98" s="4">
        <f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4">
        <f>IF(BB98="","",IF(BK98&lt;BB98,BJ98,BH98))</f>
        <v/>
      </c>
      <c r="BM98" s="4">
        <f>IF(BB98="","",IF(BK98&lt;BB98,BI98,BJ98))</f>
        <v/>
      </c>
      <c r="BN98" s="4">
        <f>IF(BB98="","",(BL98+BM98)/2)</f>
        <v/>
      </c>
      <c r="BO98" s="4">
        <f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4">
        <f>IF(BB98="","",IF(BO98&lt;BB98,BN98,BL98))</f>
        <v/>
      </c>
      <c r="BQ98" s="4">
        <f>IF(BB98="","",IF(BO98&lt;BB98,BM98,BN98))</f>
        <v/>
      </c>
      <c r="BR98" s="4">
        <f>IF(BB98="","",(BP98+BQ98)/2)</f>
        <v/>
      </c>
      <c r="BS98" s="4">
        <f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4">
        <f>IF(BB98="","",IF(BS98&lt;BB98,BR98,BP98))</f>
        <v/>
      </c>
      <c r="BU98" s="4">
        <f>IF(BB98="","",IF(BS98&lt;BB98,BQ98,BR98))</f>
        <v/>
      </c>
      <c r="BV98" s="4">
        <f>IF(BB98="","",(BT98+BU98)/2)</f>
        <v/>
      </c>
      <c r="BW98" s="4">
        <f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4">
        <f>IF(BB98="","",IF(BW98&lt;BB98,BV98,BT98))</f>
        <v/>
      </c>
      <c r="BY98" s="4">
        <f>IF(BB98="","",IF(BW98&lt;BB98,BU98,BV98))</f>
        <v/>
      </c>
      <c r="BZ98" s="4">
        <f>IF(BB98="","",(BX98+BY98)/2)</f>
        <v/>
      </c>
      <c r="CA98" s="4">
        <f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4">
        <f>IF(BB98="","",IF(CA98&lt;BB98,BZ98,BX98))</f>
        <v/>
      </c>
      <c r="CC98" s="4">
        <f>IF(BB98="","",IF(CA98&lt;BB98,BY98,BZ98))</f>
        <v/>
      </c>
      <c r="CD98" s="4">
        <f>IF(BB98="","",(CB98+CC98)/2)</f>
        <v/>
      </c>
      <c r="CE98" s="4">
        <f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4">
        <f>IF(BB98="","",IF(CE98&lt;BB98,CD98,CB98))</f>
        <v/>
      </c>
      <c r="CG98" s="4">
        <f>IF(BB98="","",IF(CE98&lt;BB98,CC98,CD98))</f>
        <v/>
      </c>
      <c r="CH98" s="4">
        <f>IF(BB98="","",(CF98+CG98)/2)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SUMIFS(CB_plan!$G:$G,CB_plan!$F:$F,$A99)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IF(A99="","",IF(H99="","",2.78E-7*IF(I99&lt;&gt;"",I99,IFERROR(SUMIFS(CB_plan!$H:$H,CB_plan!$F:$F,$A99)/SUMIFS(CB_plan!$G:$G,CB_plan!$F:$F,$A99),Inputs!$B$17))*H99*K99))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7">
        <f>IF(BB99="","",CH99)</f>
        <v/>
      </c>
      <c r="BA99" s="7">
        <f>IF(OR(BB99="",AZ99="",T99="",T99&lt;=0,AZ99&lt;=0),"",BB99/((T99^2/8)*(2*ACOS(1-2*AZ99/T99)-SIN(2*ACOS(1-2*AZ99/T99)))))</f>
        <v/>
      </c>
      <c r="BB99" s="4">
        <f>IF(OR(N99="",BC99=""),"",MIN(N99,BC99))</f>
        <v/>
      </c>
      <c r="BC99" s="4">
        <f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4">
        <f>IF(BB99="","",0.001*T99)</f>
        <v/>
      </c>
      <c r="BE99" s="4">
        <f>IF(BB99="","",0.94*T99)</f>
        <v/>
      </c>
      <c r="BF99" s="4">
        <f>IF(BB99="","",(BD99+BE99)/2)</f>
        <v/>
      </c>
      <c r="BG99" s="4">
        <f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4">
        <f>IF(BB99="","",IF(BG99&lt;BB99,BF99,BD99))</f>
        <v/>
      </c>
      <c r="BI99" s="4">
        <f>IF(BB99="","",IF(BG99&lt;BB99,BE99,BF99))</f>
        <v/>
      </c>
      <c r="BJ99" s="4">
        <f>IF(BB99="","",(BH99+BI99)/2)</f>
        <v/>
      </c>
      <c r="BK99" s="4">
        <f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4">
        <f>IF(BB99="","",IF(BK99&lt;BB99,BJ99,BH99))</f>
        <v/>
      </c>
      <c r="BM99" s="4">
        <f>IF(BB99="","",IF(BK99&lt;BB99,BI99,BJ99))</f>
        <v/>
      </c>
      <c r="BN99" s="4">
        <f>IF(BB99="","",(BL99+BM99)/2)</f>
        <v/>
      </c>
      <c r="BO99" s="4">
        <f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4">
        <f>IF(BB99="","",IF(BO99&lt;BB99,BN99,BL99))</f>
        <v/>
      </c>
      <c r="BQ99" s="4">
        <f>IF(BB99="","",IF(BO99&lt;BB99,BM99,BN99))</f>
        <v/>
      </c>
      <c r="BR99" s="4">
        <f>IF(BB99="","",(BP99+BQ99)/2)</f>
        <v/>
      </c>
      <c r="BS99" s="4">
        <f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4">
        <f>IF(BB99="","",IF(BS99&lt;BB99,BR99,BP99))</f>
        <v/>
      </c>
      <c r="BU99" s="4">
        <f>IF(BB99="","",IF(BS99&lt;BB99,BQ99,BR99))</f>
        <v/>
      </c>
      <c r="BV99" s="4">
        <f>IF(BB99="","",(BT99+BU99)/2)</f>
        <v/>
      </c>
      <c r="BW99" s="4">
        <f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4">
        <f>IF(BB99="","",IF(BW99&lt;BB99,BV99,BT99))</f>
        <v/>
      </c>
      <c r="BY99" s="4">
        <f>IF(BB99="","",IF(BW99&lt;BB99,BU99,BV99))</f>
        <v/>
      </c>
      <c r="BZ99" s="4">
        <f>IF(BB99="","",(BX99+BY99)/2)</f>
        <v/>
      </c>
      <c r="CA99" s="4">
        <f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4">
        <f>IF(BB99="","",IF(CA99&lt;BB99,BZ99,BX99))</f>
        <v/>
      </c>
      <c r="CC99" s="4">
        <f>IF(BB99="","",IF(CA99&lt;BB99,BY99,BZ99))</f>
        <v/>
      </c>
      <c r="CD99" s="4">
        <f>IF(BB99="","",(CB99+CC99)/2)</f>
        <v/>
      </c>
      <c r="CE99" s="4">
        <f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4">
        <f>IF(BB99="","",IF(CE99&lt;BB99,CD99,CB99))</f>
        <v/>
      </c>
      <c r="CG99" s="4">
        <f>IF(BB99="","",IF(CE99&lt;BB99,CC99,CD99))</f>
        <v/>
      </c>
      <c r="CH99" s="4">
        <f>IF(BB99="","",(CF99+CG99)/2)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SUMIFS(CB_plan!$G:$G,CB_plan!$F:$F,$A100)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IF(A100="","",IF(H100="","",2.78E-7*IF(I100&lt;&gt;"",I100,IFERROR(SUMIFS(CB_plan!$H:$H,CB_plan!$F:$F,$A100)/SUMIFS(CB_plan!$G:$G,CB_plan!$F:$F,$A100),Inputs!$B$17))*H100*K100))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7">
        <f>IF(BB100="","",CH100)</f>
        <v/>
      </c>
      <c r="BA100" s="7">
        <f>IF(OR(BB100="",AZ100="",T100="",T100&lt;=0,AZ100&lt;=0),"",BB100/((T100^2/8)*(2*ACOS(1-2*AZ100/T100)-SIN(2*ACOS(1-2*AZ100/T100)))))</f>
        <v/>
      </c>
      <c r="BB100" s="4">
        <f>IF(OR(N100="",BC100=""),"",MIN(N100,BC100))</f>
        <v/>
      </c>
      <c r="BC100" s="4">
        <f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4">
        <f>IF(BB100="","",0.001*T100)</f>
        <v/>
      </c>
      <c r="BE100" s="4">
        <f>IF(BB100="","",0.94*T100)</f>
        <v/>
      </c>
      <c r="BF100" s="4">
        <f>IF(BB100="","",(BD100+BE100)/2)</f>
        <v/>
      </c>
      <c r="BG100" s="4">
        <f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4">
        <f>IF(BB100="","",IF(BG100&lt;BB100,BF100,BD100))</f>
        <v/>
      </c>
      <c r="BI100" s="4">
        <f>IF(BB100="","",IF(BG100&lt;BB100,BE100,BF100))</f>
        <v/>
      </c>
      <c r="BJ100" s="4">
        <f>IF(BB100="","",(BH100+BI100)/2)</f>
        <v/>
      </c>
      <c r="BK100" s="4">
        <f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4">
        <f>IF(BB100="","",IF(BK100&lt;BB100,BJ100,BH100))</f>
        <v/>
      </c>
      <c r="BM100" s="4">
        <f>IF(BB100="","",IF(BK100&lt;BB100,BI100,BJ100))</f>
        <v/>
      </c>
      <c r="BN100" s="4">
        <f>IF(BB100="","",(BL100+BM100)/2)</f>
        <v/>
      </c>
      <c r="BO100" s="4">
        <f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4">
        <f>IF(BB100="","",IF(BO100&lt;BB100,BN100,BL100))</f>
        <v/>
      </c>
      <c r="BQ100" s="4">
        <f>IF(BB100="","",IF(BO100&lt;BB100,BM100,BN100))</f>
        <v/>
      </c>
      <c r="BR100" s="4">
        <f>IF(BB100="","",(BP100+BQ100)/2)</f>
        <v/>
      </c>
      <c r="BS100" s="4">
        <f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4">
        <f>IF(BB100="","",IF(BS100&lt;BB100,BR100,BP100))</f>
        <v/>
      </c>
      <c r="BU100" s="4">
        <f>IF(BB100="","",IF(BS100&lt;BB100,BQ100,BR100))</f>
        <v/>
      </c>
      <c r="BV100" s="4">
        <f>IF(BB100="","",(BT100+BU100)/2)</f>
        <v/>
      </c>
      <c r="BW100" s="4">
        <f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4">
        <f>IF(BB100="","",IF(BW100&lt;BB100,BV100,BT100))</f>
        <v/>
      </c>
      <c r="BY100" s="4">
        <f>IF(BB100="","",IF(BW100&lt;BB100,BU100,BV100))</f>
        <v/>
      </c>
      <c r="BZ100" s="4">
        <f>IF(BB100="","",(BX100+BY100)/2)</f>
        <v/>
      </c>
      <c r="CA100" s="4">
        <f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4">
        <f>IF(BB100="","",IF(CA100&lt;BB100,BZ100,BX100))</f>
        <v/>
      </c>
      <c r="CC100" s="4">
        <f>IF(BB100="","",IF(CA100&lt;BB100,BY100,BZ100))</f>
        <v/>
      </c>
      <c r="CD100" s="4">
        <f>IF(BB100="","",(CB100+CC100)/2)</f>
        <v/>
      </c>
      <c r="CE100" s="4">
        <f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4">
        <f>IF(BB100="","",IF(CE100&lt;BB100,CD100,CB100))</f>
        <v/>
      </c>
      <c r="CG100" s="4">
        <f>IF(BB100="","",IF(CE100&lt;BB100,CC100,CD100))</f>
        <v/>
      </c>
      <c r="CH100" s="4">
        <f>IF(BB100="","",(CF100+CG100)/2)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SUMIFS(CB_plan!$G:$G,CB_plan!$F:$F,$A101)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IF(A101="","",IF(H101="","",2.78E-7*IF(I101&lt;&gt;"",I101,IFERROR(SUMIFS(CB_plan!$H:$H,CB_plan!$F:$F,$A101)/SUMIFS(CB_plan!$G:$G,CB_plan!$F:$F,$A101),Inputs!$B$17))*H101*K101))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7">
        <f>IF(BB101="","",CH101)</f>
        <v/>
      </c>
      <c r="BA101" s="7">
        <f>IF(OR(BB101="",AZ101="",T101="",T101&lt;=0,AZ101&lt;=0),"",BB101/((T101^2/8)*(2*ACOS(1-2*AZ101/T101)-SIN(2*ACOS(1-2*AZ101/T101)))))</f>
        <v/>
      </c>
      <c r="BB101" s="4">
        <f>IF(OR(N101="",BC101=""),"",MIN(N101,BC101))</f>
        <v/>
      </c>
      <c r="BC101" s="4">
        <f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4">
        <f>IF(BB101="","",0.001*T101)</f>
        <v/>
      </c>
      <c r="BE101" s="4">
        <f>IF(BB101="","",0.94*T101)</f>
        <v/>
      </c>
      <c r="BF101" s="4">
        <f>IF(BB101="","",(BD101+BE101)/2)</f>
        <v/>
      </c>
      <c r="BG101" s="4">
        <f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4">
        <f>IF(BB101="","",IF(BG101&lt;BB101,BF101,BD101))</f>
        <v/>
      </c>
      <c r="BI101" s="4">
        <f>IF(BB101="","",IF(BG101&lt;BB101,BE101,BF101))</f>
        <v/>
      </c>
      <c r="BJ101" s="4">
        <f>IF(BB101="","",(BH101+BI101)/2)</f>
        <v/>
      </c>
      <c r="BK101" s="4">
        <f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4">
        <f>IF(BB101="","",IF(BK101&lt;BB101,BJ101,BH101))</f>
        <v/>
      </c>
      <c r="BM101" s="4">
        <f>IF(BB101="","",IF(BK101&lt;BB101,BI101,BJ101))</f>
        <v/>
      </c>
      <c r="BN101" s="4">
        <f>IF(BB101="","",(BL101+BM101)/2)</f>
        <v/>
      </c>
      <c r="BO101" s="4">
        <f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4">
        <f>IF(BB101="","",IF(BO101&lt;BB101,BN101,BL101))</f>
        <v/>
      </c>
      <c r="BQ101" s="4">
        <f>IF(BB101="","",IF(BO101&lt;BB101,BM101,BN101))</f>
        <v/>
      </c>
      <c r="BR101" s="4">
        <f>IF(BB101="","",(BP101+BQ101)/2)</f>
        <v/>
      </c>
      <c r="BS101" s="4">
        <f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4">
        <f>IF(BB101="","",IF(BS101&lt;BB101,BR101,BP101))</f>
        <v/>
      </c>
      <c r="BU101" s="4">
        <f>IF(BB101="","",IF(BS101&lt;BB101,BQ101,BR101))</f>
        <v/>
      </c>
      <c r="BV101" s="4">
        <f>IF(BB101="","",(BT101+BU101)/2)</f>
        <v/>
      </c>
      <c r="BW101" s="4">
        <f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4">
        <f>IF(BB101="","",IF(BW101&lt;BB101,BV101,BT101))</f>
        <v/>
      </c>
      <c r="BY101" s="4">
        <f>IF(BB101="","",IF(BW101&lt;BB101,BU101,BV101))</f>
        <v/>
      </c>
      <c r="BZ101" s="4">
        <f>IF(BB101="","",(BX101+BY101)/2)</f>
        <v/>
      </c>
      <c r="CA101" s="4">
        <f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4">
        <f>IF(BB101="","",IF(CA101&lt;BB101,BZ101,BX101))</f>
        <v/>
      </c>
      <c r="CC101" s="4">
        <f>IF(BB101="","",IF(CA101&lt;BB101,BY101,BZ101))</f>
        <v/>
      </c>
      <c r="CD101" s="4">
        <f>IF(BB101="","",(CB101+CC101)/2)</f>
        <v/>
      </c>
      <c r="CE101" s="4">
        <f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4">
        <f>IF(BB101="","",IF(CE101&lt;BB101,CD101,CB101))</f>
        <v/>
      </c>
      <c r="CG101" s="4">
        <f>IF(BB101="","",IF(CE101&lt;BB101,CC101,CD101))</f>
        <v/>
      </c>
      <c r="CH101" s="4">
        <f>IF(BB101="","",(CF101+CG101)/2)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SUMIFS(CB_plan!$G:$G,CB_plan!$F:$F,$A102)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IF(A102="","",IF(H102="","",2.78E-7*IF(I102&lt;&gt;"",I102,IFERROR(SUMIFS(CB_plan!$H:$H,CB_plan!$F:$F,$A102)/SUMIFS(CB_plan!$G:$G,CB_plan!$F:$F,$A102),Inputs!$B$17))*H102*K102))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7">
        <f>IF(BB102="","",CH102)</f>
        <v/>
      </c>
      <c r="BA102" s="7">
        <f>IF(OR(BB102="",AZ102="",T102="",T102&lt;=0,AZ102&lt;=0),"",BB102/((T102^2/8)*(2*ACOS(1-2*AZ102/T102)-SIN(2*ACOS(1-2*AZ102/T102)))))</f>
        <v/>
      </c>
      <c r="BB102" s="4">
        <f>IF(OR(N102="",BC102=""),"",MIN(N102,BC102))</f>
        <v/>
      </c>
      <c r="BC102" s="4">
        <f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4">
        <f>IF(BB102="","",0.001*T102)</f>
        <v/>
      </c>
      <c r="BE102" s="4">
        <f>IF(BB102="","",0.94*T102)</f>
        <v/>
      </c>
      <c r="BF102" s="4">
        <f>IF(BB102="","",(BD102+BE102)/2)</f>
        <v/>
      </c>
      <c r="BG102" s="4">
        <f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4">
        <f>IF(BB102="","",IF(BG102&lt;BB102,BF102,BD102))</f>
        <v/>
      </c>
      <c r="BI102" s="4">
        <f>IF(BB102="","",IF(BG102&lt;BB102,BE102,BF102))</f>
        <v/>
      </c>
      <c r="BJ102" s="4">
        <f>IF(BB102="","",(BH102+BI102)/2)</f>
        <v/>
      </c>
      <c r="BK102" s="4">
        <f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4">
        <f>IF(BB102="","",IF(BK102&lt;BB102,BJ102,BH102))</f>
        <v/>
      </c>
      <c r="BM102" s="4">
        <f>IF(BB102="","",IF(BK102&lt;BB102,BI102,BJ102))</f>
        <v/>
      </c>
      <c r="BN102" s="4">
        <f>IF(BB102="","",(BL102+BM102)/2)</f>
        <v/>
      </c>
      <c r="BO102" s="4">
        <f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4">
        <f>IF(BB102="","",IF(BO102&lt;BB102,BN102,BL102))</f>
        <v/>
      </c>
      <c r="BQ102" s="4">
        <f>IF(BB102="","",IF(BO102&lt;BB102,BM102,BN102))</f>
        <v/>
      </c>
      <c r="BR102" s="4">
        <f>IF(BB102="","",(BP102+BQ102)/2)</f>
        <v/>
      </c>
      <c r="BS102" s="4">
        <f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4">
        <f>IF(BB102="","",IF(BS102&lt;BB102,BR102,BP102))</f>
        <v/>
      </c>
      <c r="BU102" s="4">
        <f>IF(BB102="","",IF(BS102&lt;BB102,BQ102,BR102))</f>
        <v/>
      </c>
      <c r="BV102" s="4">
        <f>IF(BB102="","",(BT102+BU102)/2)</f>
        <v/>
      </c>
      <c r="BW102" s="4">
        <f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4">
        <f>IF(BB102="","",IF(BW102&lt;BB102,BV102,BT102))</f>
        <v/>
      </c>
      <c r="BY102" s="4">
        <f>IF(BB102="","",IF(BW102&lt;BB102,BU102,BV102))</f>
        <v/>
      </c>
      <c r="BZ102" s="4">
        <f>IF(BB102="","",(BX102+BY102)/2)</f>
        <v/>
      </c>
      <c r="CA102" s="4">
        <f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4">
        <f>IF(BB102="","",IF(CA102&lt;BB102,BZ102,BX102))</f>
        <v/>
      </c>
      <c r="CC102" s="4">
        <f>IF(BB102="","",IF(CA102&lt;BB102,BY102,BZ102))</f>
        <v/>
      </c>
      <c r="CD102" s="4">
        <f>IF(BB102="","",(CB102+CC102)/2)</f>
        <v/>
      </c>
      <c r="CE102" s="4">
        <f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4">
        <f>IF(BB102="","",IF(CE102&lt;BB102,CD102,CB102))</f>
        <v/>
      </c>
      <c r="CG102" s="4">
        <f>IF(BB102="","",IF(CE102&lt;BB102,CC102,CD102))</f>
        <v/>
      </c>
      <c r="CH102" s="4">
        <f>IF(BB102="","",(CF102+CG102)/2)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SUMIFS(CB_plan!$G:$G,CB_plan!$F:$F,$A103)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IF(A103="","",IF(H103="","",2.78E-7*IF(I103&lt;&gt;"",I103,IFERROR(SUMIFS(CB_plan!$H:$H,CB_plan!$F:$F,$A103)/SUMIFS(CB_plan!$G:$G,CB_plan!$F:$F,$A103),Inputs!$B$17))*H103*K103))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7">
        <f>IF(BB103="","",CH103)</f>
        <v/>
      </c>
      <c r="BA103" s="7">
        <f>IF(OR(BB103="",AZ103="",T103="",T103&lt;=0,AZ103&lt;=0),"",BB103/((T103^2/8)*(2*ACOS(1-2*AZ103/T103)-SIN(2*ACOS(1-2*AZ103/T103)))))</f>
        <v/>
      </c>
      <c r="BB103" s="4">
        <f>IF(OR(N103="",BC103=""),"",MIN(N103,BC103))</f>
        <v/>
      </c>
      <c r="BC103" s="4">
        <f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4">
        <f>IF(BB103="","",0.001*T103)</f>
        <v/>
      </c>
      <c r="BE103" s="4">
        <f>IF(BB103="","",0.94*T103)</f>
        <v/>
      </c>
      <c r="BF103" s="4">
        <f>IF(BB103="","",(BD103+BE103)/2)</f>
        <v/>
      </c>
      <c r="BG103" s="4">
        <f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4">
        <f>IF(BB103="","",IF(BG103&lt;BB103,BF103,BD103))</f>
        <v/>
      </c>
      <c r="BI103" s="4">
        <f>IF(BB103="","",IF(BG103&lt;BB103,BE103,BF103))</f>
        <v/>
      </c>
      <c r="BJ103" s="4">
        <f>IF(BB103="","",(BH103+BI103)/2)</f>
        <v/>
      </c>
      <c r="BK103" s="4">
        <f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4">
        <f>IF(BB103="","",IF(BK103&lt;BB103,BJ103,BH103))</f>
        <v/>
      </c>
      <c r="BM103" s="4">
        <f>IF(BB103="","",IF(BK103&lt;BB103,BI103,BJ103))</f>
        <v/>
      </c>
      <c r="BN103" s="4">
        <f>IF(BB103="","",(BL103+BM103)/2)</f>
        <v/>
      </c>
      <c r="BO103" s="4">
        <f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4">
        <f>IF(BB103="","",IF(BO103&lt;BB103,BN103,BL103))</f>
        <v/>
      </c>
      <c r="BQ103" s="4">
        <f>IF(BB103="","",IF(BO103&lt;BB103,BM103,BN103))</f>
        <v/>
      </c>
      <c r="BR103" s="4">
        <f>IF(BB103="","",(BP103+BQ103)/2)</f>
        <v/>
      </c>
      <c r="BS103" s="4">
        <f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4">
        <f>IF(BB103="","",IF(BS103&lt;BB103,BR103,BP103))</f>
        <v/>
      </c>
      <c r="BU103" s="4">
        <f>IF(BB103="","",IF(BS103&lt;BB103,BQ103,BR103))</f>
        <v/>
      </c>
      <c r="BV103" s="4">
        <f>IF(BB103="","",(BT103+BU103)/2)</f>
        <v/>
      </c>
      <c r="BW103" s="4">
        <f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4">
        <f>IF(BB103="","",IF(BW103&lt;BB103,BV103,BT103))</f>
        <v/>
      </c>
      <c r="BY103" s="4">
        <f>IF(BB103="","",IF(BW103&lt;BB103,BU103,BV103))</f>
        <v/>
      </c>
      <c r="BZ103" s="4">
        <f>IF(BB103="","",(BX103+BY103)/2)</f>
        <v/>
      </c>
      <c r="CA103" s="4">
        <f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4">
        <f>IF(BB103="","",IF(CA103&lt;BB103,BZ103,BX103))</f>
        <v/>
      </c>
      <c r="CC103" s="4">
        <f>IF(BB103="","",IF(CA103&lt;BB103,BY103,BZ103))</f>
        <v/>
      </c>
      <c r="CD103" s="4">
        <f>IF(BB103="","",(CB103+CC103)/2)</f>
        <v/>
      </c>
      <c r="CE103" s="4">
        <f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4">
        <f>IF(BB103="","",IF(CE103&lt;BB103,CD103,CB103))</f>
        <v/>
      </c>
      <c r="CG103" s="4">
        <f>IF(BB103="","",IF(CE103&lt;BB103,CC103,CD103))</f>
        <v/>
      </c>
      <c r="CH103" s="4">
        <f>IF(BB103="","",(CF103+CG103)/2)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SUMIFS(CB_plan!$G:$G,CB_plan!$F:$F,$A104)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IF(A104="","",IF(H104="","",2.78E-7*IF(I104&lt;&gt;"",I104,IFERROR(SUMIFS(CB_plan!$H:$H,CB_plan!$F:$F,$A104)/SUMIFS(CB_plan!$G:$G,CB_plan!$F:$F,$A104),Inputs!$B$17))*H104*K104))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7">
        <f>IF(BB104="","",CH104)</f>
        <v/>
      </c>
      <c r="BA104" s="7">
        <f>IF(OR(BB104="",AZ104="",T104="",T104&lt;=0,AZ104&lt;=0),"",BB104/((T104^2/8)*(2*ACOS(1-2*AZ104/T104)-SIN(2*ACOS(1-2*AZ104/T104)))))</f>
        <v/>
      </c>
      <c r="BB104" s="4">
        <f>IF(OR(N104="",BC104=""),"",MIN(N104,BC104))</f>
        <v/>
      </c>
      <c r="BC104" s="4">
        <f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4">
        <f>IF(BB104="","",0.001*T104)</f>
        <v/>
      </c>
      <c r="BE104" s="4">
        <f>IF(BB104="","",0.94*T104)</f>
        <v/>
      </c>
      <c r="BF104" s="4">
        <f>IF(BB104="","",(BD104+BE104)/2)</f>
        <v/>
      </c>
      <c r="BG104" s="4">
        <f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4">
        <f>IF(BB104="","",IF(BG104&lt;BB104,BF104,BD104))</f>
        <v/>
      </c>
      <c r="BI104" s="4">
        <f>IF(BB104="","",IF(BG104&lt;BB104,BE104,BF104))</f>
        <v/>
      </c>
      <c r="BJ104" s="4">
        <f>IF(BB104="","",(BH104+BI104)/2)</f>
        <v/>
      </c>
      <c r="BK104" s="4">
        <f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4">
        <f>IF(BB104="","",IF(BK104&lt;BB104,BJ104,BH104))</f>
        <v/>
      </c>
      <c r="BM104" s="4">
        <f>IF(BB104="","",IF(BK104&lt;BB104,BI104,BJ104))</f>
        <v/>
      </c>
      <c r="BN104" s="4">
        <f>IF(BB104="","",(BL104+BM104)/2)</f>
        <v/>
      </c>
      <c r="BO104" s="4">
        <f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4">
        <f>IF(BB104="","",IF(BO104&lt;BB104,BN104,BL104))</f>
        <v/>
      </c>
      <c r="BQ104" s="4">
        <f>IF(BB104="","",IF(BO104&lt;BB104,BM104,BN104))</f>
        <v/>
      </c>
      <c r="BR104" s="4">
        <f>IF(BB104="","",(BP104+BQ104)/2)</f>
        <v/>
      </c>
      <c r="BS104" s="4">
        <f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4">
        <f>IF(BB104="","",IF(BS104&lt;BB104,BR104,BP104))</f>
        <v/>
      </c>
      <c r="BU104" s="4">
        <f>IF(BB104="","",IF(BS104&lt;BB104,BQ104,BR104))</f>
        <v/>
      </c>
      <c r="BV104" s="4">
        <f>IF(BB104="","",(BT104+BU104)/2)</f>
        <v/>
      </c>
      <c r="BW104" s="4">
        <f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4">
        <f>IF(BB104="","",IF(BW104&lt;BB104,BV104,BT104))</f>
        <v/>
      </c>
      <c r="BY104" s="4">
        <f>IF(BB104="","",IF(BW104&lt;BB104,BU104,BV104))</f>
        <v/>
      </c>
      <c r="BZ104" s="4">
        <f>IF(BB104="","",(BX104+BY104)/2)</f>
        <v/>
      </c>
      <c r="CA104" s="4">
        <f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4">
        <f>IF(BB104="","",IF(CA104&lt;BB104,BZ104,BX104))</f>
        <v/>
      </c>
      <c r="CC104" s="4">
        <f>IF(BB104="","",IF(CA104&lt;BB104,BY104,BZ104))</f>
        <v/>
      </c>
      <c r="CD104" s="4">
        <f>IF(BB104="","",(CB104+CC104)/2)</f>
        <v/>
      </c>
      <c r="CE104" s="4">
        <f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4">
        <f>IF(BB104="","",IF(CE104&lt;BB104,CD104,CB104))</f>
        <v/>
      </c>
      <c r="CG104" s="4">
        <f>IF(BB104="","",IF(CE104&lt;BB104,CC104,CD104))</f>
        <v/>
      </c>
      <c r="CH104" s="4">
        <f>IF(BB104="","",(CF104+CG104)/2)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SUMIFS(CB_plan!$G:$G,CB_plan!$F:$F,$A105)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IF(A105="","",IF(H105="","",2.78E-7*IF(I105&lt;&gt;"",I105,IFERROR(SUMIFS(CB_plan!$H:$H,CB_plan!$F:$F,$A105)/SUMIFS(CB_plan!$G:$G,CB_plan!$F:$F,$A105),Inputs!$B$17))*H105*K105))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7">
        <f>IF(BB105="","",CH105)</f>
        <v/>
      </c>
      <c r="BA105" s="7">
        <f>IF(OR(BB105="",AZ105="",T105="",T105&lt;=0,AZ105&lt;=0),"",BB105/((T105^2/8)*(2*ACOS(1-2*AZ105/T105)-SIN(2*ACOS(1-2*AZ105/T105)))))</f>
        <v/>
      </c>
      <c r="BB105" s="4">
        <f>IF(OR(N105="",BC105=""),"",MIN(N105,BC105))</f>
        <v/>
      </c>
      <c r="BC105" s="4">
        <f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4">
        <f>IF(BB105="","",0.001*T105)</f>
        <v/>
      </c>
      <c r="BE105" s="4">
        <f>IF(BB105="","",0.94*T105)</f>
        <v/>
      </c>
      <c r="BF105" s="4">
        <f>IF(BB105="","",(BD105+BE105)/2)</f>
        <v/>
      </c>
      <c r="BG105" s="4">
        <f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4">
        <f>IF(BB105="","",IF(BG105&lt;BB105,BF105,BD105))</f>
        <v/>
      </c>
      <c r="BI105" s="4">
        <f>IF(BB105="","",IF(BG105&lt;BB105,BE105,BF105))</f>
        <v/>
      </c>
      <c r="BJ105" s="4">
        <f>IF(BB105="","",(BH105+BI105)/2)</f>
        <v/>
      </c>
      <c r="BK105" s="4">
        <f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4">
        <f>IF(BB105="","",IF(BK105&lt;BB105,BJ105,BH105))</f>
        <v/>
      </c>
      <c r="BM105" s="4">
        <f>IF(BB105="","",IF(BK105&lt;BB105,BI105,BJ105))</f>
        <v/>
      </c>
      <c r="BN105" s="4">
        <f>IF(BB105="","",(BL105+BM105)/2)</f>
        <v/>
      </c>
      <c r="BO105" s="4">
        <f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4">
        <f>IF(BB105="","",IF(BO105&lt;BB105,BN105,BL105))</f>
        <v/>
      </c>
      <c r="BQ105" s="4">
        <f>IF(BB105="","",IF(BO105&lt;BB105,BM105,BN105))</f>
        <v/>
      </c>
      <c r="BR105" s="4">
        <f>IF(BB105="","",(BP105+BQ105)/2)</f>
        <v/>
      </c>
      <c r="BS105" s="4">
        <f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4">
        <f>IF(BB105="","",IF(BS105&lt;BB105,BR105,BP105))</f>
        <v/>
      </c>
      <c r="BU105" s="4">
        <f>IF(BB105="","",IF(BS105&lt;BB105,BQ105,BR105))</f>
        <v/>
      </c>
      <c r="BV105" s="4">
        <f>IF(BB105="","",(BT105+BU105)/2)</f>
        <v/>
      </c>
      <c r="BW105" s="4">
        <f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4">
        <f>IF(BB105="","",IF(BW105&lt;BB105,BV105,BT105))</f>
        <v/>
      </c>
      <c r="BY105" s="4">
        <f>IF(BB105="","",IF(BW105&lt;BB105,BU105,BV105))</f>
        <v/>
      </c>
      <c r="BZ105" s="4">
        <f>IF(BB105="","",(BX105+BY105)/2)</f>
        <v/>
      </c>
      <c r="CA105" s="4">
        <f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4">
        <f>IF(BB105="","",IF(CA105&lt;BB105,BZ105,BX105))</f>
        <v/>
      </c>
      <c r="CC105" s="4">
        <f>IF(BB105="","",IF(CA105&lt;BB105,BY105,BZ105))</f>
        <v/>
      </c>
      <c r="CD105" s="4">
        <f>IF(BB105="","",(CB105+CC105)/2)</f>
        <v/>
      </c>
      <c r="CE105" s="4">
        <f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4">
        <f>IF(BB105="","",IF(CE105&lt;BB105,CD105,CB105))</f>
        <v/>
      </c>
      <c r="CG105" s="4">
        <f>IF(BB105="","",IF(CE105&lt;BB105,CC105,CD105))</f>
        <v/>
      </c>
      <c r="CH105" s="4">
        <f>IF(BB105="","",(CF105+CG105)/2)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SUMIFS(CB_plan!$G:$G,CB_plan!$F:$F,$A106)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IF(A106="","",IF(H106="","",2.78E-7*IF(I106&lt;&gt;"",I106,IFERROR(SUMIFS(CB_plan!$H:$H,CB_plan!$F:$F,$A106)/SUMIFS(CB_plan!$G:$G,CB_plan!$F:$F,$A106),Inputs!$B$17))*H106*K106))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7">
        <f>IF(BB106="","",CH106)</f>
        <v/>
      </c>
      <c r="BA106" s="7">
        <f>IF(OR(BB106="",AZ106="",T106="",T106&lt;=0,AZ106&lt;=0),"",BB106/((T106^2/8)*(2*ACOS(1-2*AZ106/T106)-SIN(2*ACOS(1-2*AZ106/T106)))))</f>
        <v/>
      </c>
      <c r="BB106" s="4">
        <f>IF(OR(N106="",BC106=""),"",MIN(N106,BC106))</f>
        <v/>
      </c>
      <c r="BC106" s="4">
        <f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4">
        <f>IF(BB106="","",0.001*T106)</f>
        <v/>
      </c>
      <c r="BE106" s="4">
        <f>IF(BB106="","",0.94*T106)</f>
        <v/>
      </c>
      <c r="BF106" s="4">
        <f>IF(BB106="","",(BD106+BE106)/2)</f>
        <v/>
      </c>
      <c r="BG106" s="4">
        <f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4">
        <f>IF(BB106="","",IF(BG106&lt;BB106,BF106,BD106))</f>
        <v/>
      </c>
      <c r="BI106" s="4">
        <f>IF(BB106="","",IF(BG106&lt;BB106,BE106,BF106))</f>
        <v/>
      </c>
      <c r="BJ106" s="4">
        <f>IF(BB106="","",(BH106+BI106)/2)</f>
        <v/>
      </c>
      <c r="BK106" s="4">
        <f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4">
        <f>IF(BB106="","",IF(BK106&lt;BB106,BJ106,BH106))</f>
        <v/>
      </c>
      <c r="BM106" s="4">
        <f>IF(BB106="","",IF(BK106&lt;BB106,BI106,BJ106))</f>
        <v/>
      </c>
      <c r="BN106" s="4">
        <f>IF(BB106="","",(BL106+BM106)/2)</f>
        <v/>
      </c>
      <c r="BO106" s="4">
        <f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4">
        <f>IF(BB106="","",IF(BO106&lt;BB106,BN106,BL106))</f>
        <v/>
      </c>
      <c r="BQ106" s="4">
        <f>IF(BB106="","",IF(BO106&lt;BB106,BM106,BN106))</f>
        <v/>
      </c>
      <c r="BR106" s="4">
        <f>IF(BB106="","",(BP106+BQ106)/2)</f>
        <v/>
      </c>
      <c r="BS106" s="4">
        <f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4">
        <f>IF(BB106="","",IF(BS106&lt;BB106,BR106,BP106))</f>
        <v/>
      </c>
      <c r="BU106" s="4">
        <f>IF(BB106="","",IF(BS106&lt;BB106,BQ106,BR106))</f>
        <v/>
      </c>
      <c r="BV106" s="4">
        <f>IF(BB106="","",(BT106+BU106)/2)</f>
        <v/>
      </c>
      <c r="BW106" s="4">
        <f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4">
        <f>IF(BB106="","",IF(BW106&lt;BB106,BV106,BT106))</f>
        <v/>
      </c>
      <c r="BY106" s="4">
        <f>IF(BB106="","",IF(BW106&lt;BB106,BU106,BV106))</f>
        <v/>
      </c>
      <c r="BZ106" s="4">
        <f>IF(BB106="","",(BX106+BY106)/2)</f>
        <v/>
      </c>
      <c r="CA106" s="4">
        <f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4">
        <f>IF(BB106="","",IF(CA106&lt;BB106,BZ106,BX106))</f>
        <v/>
      </c>
      <c r="CC106" s="4">
        <f>IF(BB106="","",IF(CA106&lt;BB106,BY106,BZ106))</f>
        <v/>
      </c>
      <c r="CD106" s="4">
        <f>IF(BB106="","",(CB106+CC106)/2)</f>
        <v/>
      </c>
      <c r="CE106" s="4">
        <f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4">
        <f>IF(BB106="","",IF(CE106&lt;BB106,CD106,CB106))</f>
        <v/>
      </c>
      <c r="CG106" s="4">
        <f>IF(BB106="","",IF(CE106&lt;BB106,CC106,CD106))</f>
        <v/>
      </c>
      <c r="CH106" s="4">
        <f>IF(BB106="","",(CF106+CG106)/2)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SUMIFS(CB_plan!$G:$G,CB_plan!$F:$F,$A107)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IF(A107="","",IF(H107="","",2.78E-7*IF(I107&lt;&gt;"",I107,IFERROR(SUMIFS(CB_plan!$H:$H,CB_plan!$F:$F,$A107)/SUMIFS(CB_plan!$G:$G,CB_plan!$F:$F,$A107),Inputs!$B$17))*H107*K107))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7">
        <f>IF(BB107="","",CH107)</f>
        <v/>
      </c>
      <c r="BA107" s="7">
        <f>IF(OR(BB107="",AZ107="",T107="",T107&lt;=0,AZ107&lt;=0),"",BB107/((T107^2/8)*(2*ACOS(1-2*AZ107/T107)-SIN(2*ACOS(1-2*AZ107/T107)))))</f>
        <v/>
      </c>
      <c r="BB107" s="4">
        <f>IF(OR(N107="",BC107=""),"",MIN(N107,BC107))</f>
        <v/>
      </c>
      <c r="BC107" s="4">
        <f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4">
        <f>IF(BB107="","",0.001*T107)</f>
        <v/>
      </c>
      <c r="BE107" s="4">
        <f>IF(BB107="","",0.94*T107)</f>
        <v/>
      </c>
      <c r="BF107" s="4">
        <f>IF(BB107="","",(BD107+BE107)/2)</f>
        <v/>
      </c>
      <c r="BG107" s="4">
        <f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4">
        <f>IF(BB107="","",IF(BG107&lt;BB107,BF107,BD107))</f>
        <v/>
      </c>
      <c r="BI107" s="4">
        <f>IF(BB107="","",IF(BG107&lt;BB107,BE107,BF107))</f>
        <v/>
      </c>
      <c r="BJ107" s="4">
        <f>IF(BB107="","",(BH107+BI107)/2)</f>
        <v/>
      </c>
      <c r="BK107" s="4">
        <f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4">
        <f>IF(BB107="","",IF(BK107&lt;BB107,BJ107,BH107))</f>
        <v/>
      </c>
      <c r="BM107" s="4">
        <f>IF(BB107="","",IF(BK107&lt;BB107,BI107,BJ107))</f>
        <v/>
      </c>
      <c r="BN107" s="4">
        <f>IF(BB107="","",(BL107+BM107)/2)</f>
        <v/>
      </c>
      <c r="BO107" s="4">
        <f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4">
        <f>IF(BB107="","",IF(BO107&lt;BB107,BN107,BL107))</f>
        <v/>
      </c>
      <c r="BQ107" s="4">
        <f>IF(BB107="","",IF(BO107&lt;BB107,BM107,BN107))</f>
        <v/>
      </c>
      <c r="BR107" s="4">
        <f>IF(BB107="","",(BP107+BQ107)/2)</f>
        <v/>
      </c>
      <c r="BS107" s="4">
        <f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4">
        <f>IF(BB107="","",IF(BS107&lt;BB107,BR107,BP107))</f>
        <v/>
      </c>
      <c r="BU107" s="4">
        <f>IF(BB107="","",IF(BS107&lt;BB107,BQ107,BR107))</f>
        <v/>
      </c>
      <c r="BV107" s="4">
        <f>IF(BB107="","",(BT107+BU107)/2)</f>
        <v/>
      </c>
      <c r="BW107" s="4">
        <f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4">
        <f>IF(BB107="","",IF(BW107&lt;BB107,BV107,BT107))</f>
        <v/>
      </c>
      <c r="BY107" s="4">
        <f>IF(BB107="","",IF(BW107&lt;BB107,BU107,BV107))</f>
        <v/>
      </c>
      <c r="BZ107" s="4">
        <f>IF(BB107="","",(BX107+BY107)/2)</f>
        <v/>
      </c>
      <c r="CA107" s="4">
        <f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4">
        <f>IF(BB107="","",IF(CA107&lt;BB107,BZ107,BX107))</f>
        <v/>
      </c>
      <c r="CC107" s="4">
        <f>IF(BB107="","",IF(CA107&lt;BB107,BY107,BZ107))</f>
        <v/>
      </c>
      <c r="CD107" s="4">
        <f>IF(BB107="","",(CB107+CC107)/2)</f>
        <v/>
      </c>
      <c r="CE107" s="4">
        <f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4">
        <f>IF(BB107="","",IF(CE107&lt;BB107,CD107,CB107))</f>
        <v/>
      </c>
      <c r="CG107" s="4">
        <f>IF(BB107="","",IF(CE107&lt;BB107,CC107,CD107))</f>
        <v/>
      </c>
      <c r="CH107" s="4">
        <f>IF(BB107="","",(CF107+CG107)/2)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SUMIFS(CB_plan!$G:$G,CB_plan!$F:$F,$A108)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IF(A108="","",IF(H108="","",2.78E-7*IF(I108&lt;&gt;"",I108,IFERROR(SUMIFS(CB_plan!$H:$H,CB_plan!$F:$F,$A108)/SUMIFS(CB_plan!$G:$G,CB_plan!$F:$F,$A108),Inputs!$B$17))*H108*K108))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7">
        <f>IF(BB108="","",CH108)</f>
        <v/>
      </c>
      <c r="BA108" s="7">
        <f>IF(OR(BB108="",AZ108="",T108="",T108&lt;=0,AZ108&lt;=0),"",BB108/((T108^2/8)*(2*ACOS(1-2*AZ108/T108)-SIN(2*ACOS(1-2*AZ108/T108)))))</f>
        <v/>
      </c>
      <c r="BB108" s="4">
        <f>IF(OR(N108="",BC108=""),"",MIN(N108,BC108))</f>
        <v/>
      </c>
      <c r="BC108" s="4">
        <f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4">
        <f>IF(BB108="","",0.001*T108)</f>
        <v/>
      </c>
      <c r="BE108" s="4">
        <f>IF(BB108="","",0.94*T108)</f>
        <v/>
      </c>
      <c r="BF108" s="4">
        <f>IF(BB108="","",(BD108+BE108)/2)</f>
        <v/>
      </c>
      <c r="BG108" s="4">
        <f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4">
        <f>IF(BB108="","",IF(BG108&lt;BB108,BF108,BD108))</f>
        <v/>
      </c>
      <c r="BI108" s="4">
        <f>IF(BB108="","",IF(BG108&lt;BB108,BE108,BF108))</f>
        <v/>
      </c>
      <c r="BJ108" s="4">
        <f>IF(BB108="","",(BH108+BI108)/2)</f>
        <v/>
      </c>
      <c r="BK108" s="4">
        <f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4">
        <f>IF(BB108="","",IF(BK108&lt;BB108,BJ108,BH108))</f>
        <v/>
      </c>
      <c r="BM108" s="4">
        <f>IF(BB108="","",IF(BK108&lt;BB108,BI108,BJ108))</f>
        <v/>
      </c>
      <c r="BN108" s="4">
        <f>IF(BB108="","",(BL108+BM108)/2)</f>
        <v/>
      </c>
      <c r="BO108" s="4">
        <f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4">
        <f>IF(BB108="","",IF(BO108&lt;BB108,BN108,BL108))</f>
        <v/>
      </c>
      <c r="BQ108" s="4">
        <f>IF(BB108="","",IF(BO108&lt;BB108,BM108,BN108))</f>
        <v/>
      </c>
      <c r="BR108" s="4">
        <f>IF(BB108="","",(BP108+BQ108)/2)</f>
        <v/>
      </c>
      <c r="BS108" s="4">
        <f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4">
        <f>IF(BB108="","",IF(BS108&lt;BB108,BR108,BP108))</f>
        <v/>
      </c>
      <c r="BU108" s="4">
        <f>IF(BB108="","",IF(BS108&lt;BB108,BQ108,BR108))</f>
        <v/>
      </c>
      <c r="BV108" s="4">
        <f>IF(BB108="","",(BT108+BU108)/2)</f>
        <v/>
      </c>
      <c r="BW108" s="4">
        <f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4">
        <f>IF(BB108="","",IF(BW108&lt;BB108,BV108,BT108))</f>
        <v/>
      </c>
      <c r="BY108" s="4">
        <f>IF(BB108="","",IF(BW108&lt;BB108,BU108,BV108))</f>
        <v/>
      </c>
      <c r="BZ108" s="4">
        <f>IF(BB108="","",(BX108+BY108)/2)</f>
        <v/>
      </c>
      <c r="CA108" s="4">
        <f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4">
        <f>IF(BB108="","",IF(CA108&lt;BB108,BZ108,BX108))</f>
        <v/>
      </c>
      <c r="CC108" s="4">
        <f>IF(BB108="","",IF(CA108&lt;BB108,BY108,BZ108))</f>
        <v/>
      </c>
      <c r="CD108" s="4">
        <f>IF(BB108="","",(CB108+CC108)/2)</f>
        <v/>
      </c>
      <c r="CE108" s="4">
        <f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4">
        <f>IF(BB108="","",IF(CE108&lt;BB108,CD108,CB108))</f>
        <v/>
      </c>
      <c r="CG108" s="4">
        <f>IF(BB108="","",IF(CE108&lt;BB108,CC108,CD108))</f>
        <v/>
      </c>
      <c r="CH108" s="4">
        <f>IF(BB108="","",(CF108+CG108)/2)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SUMIFS(CB_plan!$G:$G,CB_plan!$F:$F,$A109)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IF(A109="","",IF(H109="","",2.78E-7*IF(I109&lt;&gt;"",I109,IFERROR(SUMIFS(CB_plan!$H:$H,CB_plan!$F:$F,$A109)/SUMIFS(CB_plan!$G:$G,CB_plan!$F:$F,$A109),Inputs!$B$17))*H109*K109))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7">
        <f>IF(BB109="","",CH109)</f>
        <v/>
      </c>
      <c r="BA109" s="7">
        <f>IF(OR(BB109="",AZ109="",T109="",T109&lt;=0,AZ109&lt;=0),"",BB109/((T109^2/8)*(2*ACOS(1-2*AZ109/T109)-SIN(2*ACOS(1-2*AZ109/T109)))))</f>
        <v/>
      </c>
      <c r="BB109" s="4">
        <f>IF(OR(N109="",BC109=""),"",MIN(N109,BC109))</f>
        <v/>
      </c>
      <c r="BC109" s="4">
        <f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4">
        <f>IF(BB109="","",0.001*T109)</f>
        <v/>
      </c>
      <c r="BE109" s="4">
        <f>IF(BB109="","",0.94*T109)</f>
        <v/>
      </c>
      <c r="BF109" s="4">
        <f>IF(BB109="","",(BD109+BE109)/2)</f>
        <v/>
      </c>
      <c r="BG109" s="4">
        <f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4">
        <f>IF(BB109="","",IF(BG109&lt;BB109,BF109,BD109))</f>
        <v/>
      </c>
      <c r="BI109" s="4">
        <f>IF(BB109="","",IF(BG109&lt;BB109,BE109,BF109))</f>
        <v/>
      </c>
      <c r="BJ109" s="4">
        <f>IF(BB109="","",(BH109+BI109)/2)</f>
        <v/>
      </c>
      <c r="BK109" s="4">
        <f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4">
        <f>IF(BB109="","",IF(BK109&lt;BB109,BJ109,BH109))</f>
        <v/>
      </c>
      <c r="BM109" s="4">
        <f>IF(BB109="","",IF(BK109&lt;BB109,BI109,BJ109))</f>
        <v/>
      </c>
      <c r="BN109" s="4">
        <f>IF(BB109="","",(BL109+BM109)/2)</f>
        <v/>
      </c>
      <c r="BO109" s="4">
        <f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4">
        <f>IF(BB109="","",IF(BO109&lt;BB109,BN109,BL109))</f>
        <v/>
      </c>
      <c r="BQ109" s="4">
        <f>IF(BB109="","",IF(BO109&lt;BB109,BM109,BN109))</f>
        <v/>
      </c>
      <c r="BR109" s="4">
        <f>IF(BB109="","",(BP109+BQ109)/2)</f>
        <v/>
      </c>
      <c r="BS109" s="4">
        <f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4">
        <f>IF(BB109="","",IF(BS109&lt;BB109,BR109,BP109))</f>
        <v/>
      </c>
      <c r="BU109" s="4">
        <f>IF(BB109="","",IF(BS109&lt;BB109,BQ109,BR109))</f>
        <v/>
      </c>
      <c r="BV109" s="4">
        <f>IF(BB109="","",(BT109+BU109)/2)</f>
        <v/>
      </c>
      <c r="BW109" s="4">
        <f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4">
        <f>IF(BB109="","",IF(BW109&lt;BB109,BV109,BT109))</f>
        <v/>
      </c>
      <c r="BY109" s="4">
        <f>IF(BB109="","",IF(BW109&lt;BB109,BU109,BV109))</f>
        <v/>
      </c>
      <c r="BZ109" s="4">
        <f>IF(BB109="","",(BX109+BY109)/2)</f>
        <v/>
      </c>
      <c r="CA109" s="4">
        <f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4">
        <f>IF(BB109="","",IF(CA109&lt;BB109,BZ109,BX109))</f>
        <v/>
      </c>
      <c r="CC109" s="4">
        <f>IF(BB109="","",IF(CA109&lt;BB109,BY109,BZ109))</f>
        <v/>
      </c>
      <c r="CD109" s="4">
        <f>IF(BB109="","",(CB109+CC109)/2)</f>
        <v/>
      </c>
      <c r="CE109" s="4">
        <f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4">
        <f>IF(BB109="","",IF(CE109&lt;BB109,CD109,CB109))</f>
        <v/>
      </c>
      <c r="CG109" s="4">
        <f>IF(BB109="","",IF(CE109&lt;BB109,CC109,CD109))</f>
        <v/>
      </c>
      <c r="CH109" s="4">
        <f>IF(BB109="","",(CF109+CG109)/2)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SUMIFS(CB_plan!$G:$G,CB_plan!$F:$F,$A110)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IF(A110="","",IF(H110="","",2.78E-7*IF(I110&lt;&gt;"",I110,IFERROR(SUMIFS(CB_plan!$H:$H,CB_plan!$F:$F,$A110)/SUMIFS(CB_plan!$G:$G,CB_plan!$F:$F,$A110),Inputs!$B$17))*H110*K110))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7">
        <f>IF(BB110="","",CH110)</f>
        <v/>
      </c>
      <c r="BA110" s="7">
        <f>IF(OR(BB110="",AZ110="",T110="",T110&lt;=0,AZ110&lt;=0),"",BB110/((T110^2/8)*(2*ACOS(1-2*AZ110/T110)-SIN(2*ACOS(1-2*AZ110/T110)))))</f>
        <v/>
      </c>
      <c r="BB110" s="4">
        <f>IF(OR(N110="",BC110=""),"",MIN(N110,BC110))</f>
        <v/>
      </c>
      <c r="BC110" s="4">
        <f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4">
        <f>IF(BB110="","",0.001*T110)</f>
        <v/>
      </c>
      <c r="BE110" s="4">
        <f>IF(BB110="","",0.94*T110)</f>
        <v/>
      </c>
      <c r="BF110" s="4">
        <f>IF(BB110="","",(BD110+BE110)/2)</f>
        <v/>
      </c>
      <c r="BG110" s="4">
        <f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4">
        <f>IF(BB110="","",IF(BG110&lt;BB110,BF110,BD110))</f>
        <v/>
      </c>
      <c r="BI110" s="4">
        <f>IF(BB110="","",IF(BG110&lt;BB110,BE110,BF110))</f>
        <v/>
      </c>
      <c r="BJ110" s="4">
        <f>IF(BB110="","",(BH110+BI110)/2)</f>
        <v/>
      </c>
      <c r="BK110" s="4">
        <f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4">
        <f>IF(BB110="","",IF(BK110&lt;BB110,BJ110,BH110))</f>
        <v/>
      </c>
      <c r="BM110" s="4">
        <f>IF(BB110="","",IF(BK110&lt;BB110,BI110,BJ110))</f>
        <v/>
      </c>
      <c r="BN110" s="4">
        <f>IF(BB110="","",(BL110+BM110)/2)</f>
        <v/>
      </c>
      <c r="BO110" s="4">
        <f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4">
        <f>IF(BB110="","",IF(BO110&lt;BB110,BN110,BL110))</f>
        <v/>
      </c>
      <c r="BQ110" s="4">
        <f>IF(BB110="","",IF(BO110&lt;BB110,BM110,BN110))</f>
        <v/>
      </c>
      <c r="BR110" s="4">
        <f>IF(BB110="","",(BP110+BQ110)/2)</f>
        <v/>
      </c>
      <c r="BS110" s="4">
        <f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4">
        <f>IF(BB110="","",IF(BS110&lt;BB110,BR110,BP110))</f>
        <v/>
      </c>
      <c r="BU110" s="4">
        <f>IF(BB110="","",IF(BS110&lt;BB110,BQ110,BR110))</f>
        <v/>
      </c>
      <c r="BV110" s="4">
        <f>IF(BB110="","",(BT110+BU110)/2)</f>
        <v/>
      </c>
      <c r="BW110" s="4">
        <f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4">
        <f>IF(BB110="","",IF(BW110&lt;BB110,BV110,BT110))</f>
        <v/>
      </c>
      <c r="BY110" s="4">
        <f>IF(BB110="","",IF(BW110&lt;BB110,BU110,BV110))</f>
        <v/>
      </c>
      <c r="BZ110" s="4">
        <f>IF(BB110="","",(BX110+BY110)/2)</f>
        <v/>
      </c>
      <c r="CA110" s="4">
        <f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4">
        <f>IF(BB110="","",IF(CA110&lt;BB110,BZ110,BX110))</f>
        <v/>
      </c>
      <c r="CC110" s="4">
        <f>IF(BB110="","",IF(CA110&lt;BB110,BY110,BZ110))</f>
        <v/>
      </c>
      <c r="CD110" s="4">
        <f>IF(BB110="","",(CB110+CC110)/2)</f>
        <v/>
      </c>
      <c r="CE110" s="4">
        <f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4">
        <f>IF(BB110="","",IF(CE110&lt;BB110,CD110,CB110))</f>
        <v/>
      </c>
      <c r="CG110" s="4">
        <f>IF(BB110="","",IF(CE110&lt;BB110,CC110,CD110))</f>
        <v/>
      </c>
      <c r="CH110" s="4">
        <f>IF(BB110="","",(CF110+CG110)/2)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SUMIFS(CB_plan!$G:$G,CB_plan!$F:$F,$A111)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IF(A111="","",IF(H111="","",2.78E-7*IF(I111&lt;&gt;"",I111,IFERROR(SUMIFS(CB_plan!$H:$H,CB_plan!$F:$F,$A111)/SUMIFS(CB_plan!$G:$G,CB_plan!$F:$F,$A111),Inputs!$B$17))*H111*K111))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7">
        <f>IF(BB111="","",CH111)</f>
        <v/>
      </c>
      <c r="BA111" s="7">
        <f>IF(OR(BB111="",AZ111="",T111="",T111&lt;=0,AZ111&lt;=0),"",BB111/((T111^2/8)*(2*ACOS(1-2*AZ111/T111)-SIN(2*ACOS(1-2*AZ111/T111)))))</f>
        <v/>
      </c>
      <c r="BB111" s="4">
        <f>IF(OR(N111="",BC111=""),"",MIN(N111,BC111))</f>
        <v/>
      </c>
      <c r="BC111" s="4">
        <f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4">
        <f>IF(BB111="","",0.001*T111)</f>
        <v/>
      </c>
      <c r="BE111" s="4">
        <f>IF(BB111="","",0.94*T111)</f>
        <v/>
      </c>
      <c r="BF111" s="4">
        <f>IF(BB111="","",(BD111+BE111)/2)</f>
        <v/>
      </c>
      <c r="BG111" s="4">
        <f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4">
        <f>IF(BB111="","",IF(BG111&lt;BB111,BF111,BD111))</f>
        <v/>
      </c>
      <c r="BI111" s="4">
        <f>IF(BB111="","",IF(BG111&lt;BB111,BE111,BF111))</f>
        <v/>
      </c>
      <c r="BJ111" s="4">
        <f>IF(BB111="","",(BH111+BI111)/2)</f>
        <v/>
      </c>
      <c r="BK111" s="4">
        <f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4">
        <f>IF(BB111="","",IF(BK111&lt;BB111,BJ111,BH111))</f>
        <v/>
      </c>
      <c r="BM111" s="4">
        <f>IF(BB111="","",IF(BK111&lt;BB111,BI111,BJ111))</f>
        <v/>
      </c>
      <c r="BN111" s="4">
        <f>IF(BB111="","",(BL111+BM111)/2)</f>
        <v/>
      </c>
      <c r="BO111" s="4">
        <f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4">
        <f>IF(BB111="","",IF(BO111&lt;BB111,BN111,BL111))</f>
        <v/>
      </c>
      <c r="BQ111" s="4">
        <f>IF(BB111="","",IF(BO111&lt;BB111,BM111,BN111))</f>
        <v/>
      </c>
      <c r="BR111" s="4">
        <f>IF(BB111="","",(BP111+BQ111)/2)</f>
        <v/>
      </c>
      <c r="BS111" s="4">
        <f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4">
        <f>IF(BB111="","",IF(BS111&lt;BB111,BR111,BP111))</f>
        <v/>
      </c>
      <c r="BU111" s="4">
        <f>IF(BB111="","",IF(BS111&lt;BB111,BQ111,BR111))</f>
        <v/>
      </c>
      <c r="BV111" s="4">
        <f>IF(BB111="","",(BT111+BU111)/2)</f>
        <v/>
      </c>
      <c r="BW111" s="4">
        <f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4">
        <f>IF(BB111="","",IF(BW111&lt;BB111,BV111,BT111))</f>
        <v/>
      </c>
      <c r="BY111" s="4">
        <f>IF(BB111="","",IF(BW111&lt;BB111,BU111,BV111))</f>
        <v/>
      </c>
      <c r="BZ111" s="4">
        <f>IF(BB111="","",(BX111+BY111)/2)</f>
        <v/>
      </c>
      <c r="CA111" s="4">
        <f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4">
        <f>IF(BB111="","",IF(CA111&lt;BB111,BZ111,BX111))</f>
        <v/>
      </c>
      <c r="CC111" s="4">
        <f>IF(BB111="","",IF(CA111&lt;BB111,BY111,BZ111))</f>
        <v/>
      </c>
      <c r="CD111" s="4">
        <f>IF(BB111="","",(CB111+CC111)/2)</f>
        <v/>
      </c>
      <c r="CE111" s="4">
        <f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4">
        <f>IF(BB111="","",IF(CE111&lt;BB111,CD111,CB111))</f>
        <v/>
      </c>
      <c r="CG111" s="4">
        <f>IF(BB111="","",IF(CE111&lt;BB111,CC111,CD111))</f>
        <v/>
      </c>
      <c r="CH111" s="4">
        <f>IF(BB111="","",(CF111+CG111)/2)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SUMIFS(CB_plan!$G:$G,CB_plan!$F:$F,$A112)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IF(A112="","",IF(H112="","",2.78E-7*IF(I112&lt;&gt;"",I112,IFERROR(SUMIFS(CB_plan!$H:$H,CB_plan!$F:$F,$A112)/SUMIFS(CB_plan!$G:$G,CB_plan!$F:$F,$A112),Inputs!$B$17))*H112*K112))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7">
        <f>IF(BB112="","",CH112)</f>
        <v/>
      </c>
      <c r="BA112" s="7">
        <f>IF(OR(BB112="",AZ112="",T112="",T112&lt;=0,AZ112&lt;=0),"",BB112/((T112^2/8)*(2*ACOS(1-2*AZ112/T112)-SIN(2*ACOS(1-2*AZ112/T112)))))</f>
        <v/>
      </c>
      <c r="BB112" s="4">
        <f>IF(OR(N112="",BC112=""),"",MIN(N112,BC112))</f>
        <v/>
      </c>
      <c r="BC112" s="4">
        <f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4">
        <f>IF(BB112="","",0.001*T112)</f>
        <v/>
      </c>
      <c r="BE112" s="4">
        <f>IF(BB112="","",0.94*T112)</f>
        <v/>
      </c>
      <c r="BF112" s="4">
        <f>IF(BB112="","",(BD112+BE112)/2)</f>
        <v/>
      </c>
      <c r="BG112" s="4">
        <f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4">
        <f>IF(BB112="","",IF(BG112&lt;BB112,BF112,BD112))</f>
        <v/>
      </c>
      <c r="BI112" s="4">
        <f>IF(BB112="","",IF(BG112&lt;BB112,BE112,BF112))</f>
        <v/>
      </c>
      <c r="BJ112" s="4">
        <f>IF(BB112="","",(BH112+BI112)/2)</f>
        <v/>
      </c>
      <c r="BK112" s="4">
        <f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4">
        <f>IF(BB112="","",IF(BK112&lt;BB112,BJ112,BH112))</f>
        <v/>
      </c>
      <c r="BM112" s="4">
        <f>IF(BB112="","",IF(BK112&lt;BB112,BI112,BJ112))</f>
        <v/>
      </c>
      <c r="BN112" s="4">
        <f>IF(BB112="","",(BL112+BM112)/2)</f>
        <v/>
      </c>
      <c r="BO112" s="4">
        <f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4">
        <f>IF(BB112="","",IF(BO112&lt;BB112,BN112,BL112))</f>
        <v/>
      </c>
      <c r="BQ112" s="4">
        <f>IF(BB112="","",IF(BO112&lt;BB112,BM112,BN112))</f>
        <v/>
      </c>
      <c r="BR112" s="4">
        <f>IF(BB112="","",(BP112+BQ112)/2)</f>
        <v/>
      </c>
      <c r="BS112" s="4">
        <f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4">
        <f>IF(BB112="","",IF(BS112&lt;BB112,BR112,BP112))</f>
        <v/>
      </c>
      <c r="BU112" s="4">
        <f>IF(BB112="","",IF(BS112&lt;BB112,BQ112,BR112))</f>
        <v/>
      </c>
      <c r="BV112" s="4">
        <f>IF(BB112="","",(BT112+BU112)/2)</f>
        <v/>
      </c>
      <c r="BW112" s="4">
        <f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4">
        <f>IF(BB112="","",IF(BW112&lt;BB112,BV112,BT112))</f>
        <v/>
      </c>
      <c r="BY112" s="4">
        <f>IF(BB112="","",IF(BW112&lt;BB112,BU112,BV112))</f>
        <v/>
      </c>
      <c r="BZ112" s="4">
        <f>IF(BB112="","",(BX112+BY112)/2)</f>
        <v/>
      </c>
      <c r="CA112" s="4">
        <f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4">
        <f>IF(BB112="","",IF(CA112&lt;BB112,BZ112,BX112))</f>
        <v/>
      </c>
      <c r="CC112" s="4">
        <f>IF(BB112="","",IF(CA112&lt;BB112,BY112,BZ112))</f>
        <v/>
      </c>
      <c r="CD112" s="4">
        <f>IF(BB112="","",(CB112+CC112)/2)</f>
        <v/>
      </c>
      <c r="CE112" s="4">
        <f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4">
        <f>IF(BB112="","",IF(CE112&lt;BB112,CD112,CB112))</f>
        <v/>
      </c>
      <c r="CG112" s="4">
        <f>IF(BB112="","",IF(CE112&lt;BB112,CC112,CD112))</f>
        <v/>
      </c>
      <c r="CH112" s="4">
        <f>IF(BB112="","",(CF112+CG112)/2)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SUMIFS(CB_plan!$G:$G,CB_plan!$F:$F,$A113)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IF(A113="","",IF(H113="","",2.78E-7*IF(I113&lt;&gt;"",I113,IFERROR(SUMIFS(CB_plan!$H:$H,CB_plan!$F:$F,$A113)/SUMIFS(CB_plan!$G:$G,CB_plan!$F:$F,$A113),Inputs!$B$17))*H113*K113))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7">
        <f>IF(BB113="","",CH113)</f>
        <v/>
      </c>
      <c r="BA113" s="7">
        <f>IF(OR(BB113="",AZ113="",T113="",T113&lt;=0,AZ113&lt;=0),"",BB113/((T113^2/8)*(2*ACOS(1-2*AZ113/T113)-SIN(2*ACOS(1-2*AZ113/T113)))))</f>
        <v/>
      </c>
      <c r="BB113" s="4">
        <f>IF(OR(N113="",BC113=""),"",MIN(N113,BC113))</f>
        <v/>
      </c>
      <c r="BC113" s="4">
        <f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4">
        <f>IF(BB113="","",0.001*T113)</f>
        <v/>
      </c>
      <c r="BE113" s="4">
        <f>IF(BB113="","",0.94*T113)</f>
        <v/>
      </c>
      <c r="BF113" s="4">
        <f>IF(BB113="","",(BD113+BE113)/2)</f>
        <v/>
      </c>
      <c r="BG113" s="4">
        <f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4">
        <f>IF(BB113="","",IF(BG113&lt;BB113,BF113,BD113))</f>
        <v/>
      </c>
      <c r="BI113" s="4">
        <f>IF(BB113="","",IF(BG113&lt;BB113,BE113,BF113))</f>
        <v/>
      </c>
      <c r="BJ113" s="4">
        <f>IF(BB113="","",(BH113+BI113)/2)</f>
        <v/>
      </c>
      <c r="BK113" s="4">
        <f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4">
        <f>IF(BB113="","",IF(BK113&lt;BB113,BJ113,BH113))</f>
        <v/>
      </c>
      <c r="BM113" s="4">
        <f>IF(BB113="","",IF(BK113&lt;BB113,BI113,BJ113))</f>
        <v/>
      </c>
      <c r="BN113" s="4">
        <f>IF(BB113="","",(BL113+BM113)/2)</f>
        <v/>
      </c>
      <c r="BO113" s="4">
        <f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4">
        <f>IF(BB113="","",IF(BO113&lt;BB113,BN113,BL113))</f>
        <v/>
      </c>
      <c r="BQ113" s="4">
        <f>IF(BB113="","",IF(BO113&lt;BB113,BM113,BN113))</f>
        <v/>
      </c>
      <c r="BR113" s="4">
        <f>IF(BB113="","",(BP113+BQ113)/2)</f>
        <v/>
      </c>
      <c r="BS113" s="4">
        <f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4">
        <f>IF(BB113="","",IF(BS113&lt;BB113,BR113,BP113))</f>
        <v/>
      </c>
      <c r="BU113" s="4">
        <f>IF(BB113="","",IF(BS113&lt;BB113,BQ113,BR113))</f>
        <v/>
      </c>
      <c r="BV113" s="4">
        <f>IF(BB113="","",(BT113+BU113)/2)</f>
        <v/>
      </c>
      <c r="BW113" s="4">
        <f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4">
        <f>IF(BB113="","",IF(BW113&lt;BB113,BV113,BT113))</f>
        <v/>
      </c>
      <c r="BY113" s="4">
        <f>IF(BB113="","",IF(BW113&lt;BB113,BU113,BV113))</f>
        <v/>
      </c>
      <c r="BZ113" s="4">
        <f>IF(BB113="","",(BX113+BY113)/2)</f>
        <v/>
      </c>
      <c r="CA113" s="4">
        <f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4">
        <f>IF(BB113="","",IF(CA113&lt;BB113,BZ113,BX113))</f>
        <v/>
      </c>
      <c r="CC113" s="4">
        <f>IF(BB113="","",IF(CA113&lt;BB113,BY113,BZ113))</f>
        <v/>
      </c>
      <c r="CD113" s="4">
        <f>IF(BB113="","",(CB113+CC113)/2)</f>
        <v/>
      </c>
      <c r="CE113" s="4">
        <f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4">
        <f>IF(BB113="","",IF(CE113&lt;BB113,CD113,CB113))</f>
        <v/>
      </c>
      <c r="CG113" s="4">
        <f>IF(BB113="","",IF(CE113&lt;BB113,CC113,CD113))</f>
        <v/>
      </c>
      <c r="CH113" s="4">
        <f>IF(BB113="","",(CF113+CG113)/2)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SUMIFS(CB_plan!$G:$G,CB_plan!$F:$F,$A114)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IF(A114="","",IF(H114="","",2.78E-7*IF(I114&lt;&gt;"",I114,IFERROR(SUMIFS(CB_plan!$H:$H,CB_plan!$F:$F,$A114)/SUMIFS(CB_plan!$G:$G,CB_plan!$F:$F,$A114),Inputs!$B$17))*H114*K114))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7">
        <f>IF(BB114="","",CH114)</f>
        <v/>
      </c>
      <c r="BA114" s="7">
        <f>IF(OR(BB114="",AZ114="",T114="",T114&lt;=0,AZ114&lt;=0),"",BB114/((T114^2/8)*(2*ACOS(1-2*AZ114/T114)-SIN(2*ACOS(1-2*AZ114/T114)))))</f>
        <v/>
      </c>
      <c r="BB114" s="4">
        <f>IF(OR(N114="",BC114=""),"",MIN(N114,BC114))</f>
        <v/>
      </c>
      <c r="BC114" s="4">
        <f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4">
        <f>IF(BB114="","",0.001*T114)</f>
        <v/>
      </c>
      <c r="BE114" s="4">
        <f>IF(BB114="","",0.94*T114)</f>
        <v/>
      </c>
      <c r="BF114" s="4">
        <f>IF(BB114="","",(BD114+BE114)/2)</f>
        <v/>
      </c>
      <c r="BG114" s="4">
        <f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4">
        <f>IF(BB114="","",IF(BG114&lt;BB114,BF114,BD114))</f>
        <v/>
      </c>
      <c r="BI114" s="4">
        <f>IF(BB114="","",IF(BG114&lt;BB114,BE114,BF114))</f>
        <v/>
      </c>
      <c r="BJ114" s="4">
        <f>IF(BB114="","",(BH114+BI114)/2)</f>
        <v/>
      </c>
      <c r="BK114" s="4">
        <f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4">
        <f>IF(BB114="","",IF(BK114&lt;BB114,BJ114,BH114))</f>
        <v/>
      </c>
      <c r="BM114" s="4">
        <f>IF(BB114="","",IF(BK114&lt;BB114,BI114,BJ114))</f>
        <v/>
      </c>
      <c r="BN114" s="4">
        <f>IF(BB114="","",(BL114+BM114)/2)</f>
        <v/>
      </c>
      <c r="BO114" s="4">
        <f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4">
        <f>IF(BB114="","",IF(BO114&lt;BB114,BN114,BL114))</f>
        <v/>
      </c>
      <c r="BQ114" s="4">
        <f>IF(BB114="","",IF(BO114&lt;BB114,BM114,BN114))</f>
        <v/>
      </c>
      <c r="BR114" s="4">
        <f>IF(BB114="","",(BP114+BQ114)/2)</f>
        <v/>
      </c>
      <c r="BS114" s="4">
        <f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4">
        <f>IF(BB114="","",IF(BS114&lt;BB114,BR114,BP114))</f>
        <v/>
      </c>
      <c r="BU114" s="4">
        <f>IF(BB114="","",IF(BS114&lt;BB114,BQ114,BR114))</f>
        <v/>
      </c>
      <c r="BV114" s="4">
        <f>IF(BB114="","",(BT114+BU114)/2)</f>
        <v/>
      </c>
      <c r="BW114" s="4">
        <f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4">
        <f>IF(BB114="","",IF(BW114&lt;BB114,BV114,BT114))</f>
        <v/>
      </c>
      <c r="BY114" s="4">
        <f>IF(BB114="","",IF(BW114&lt;BB114,BU114,BV114))</f>
        <v/>
      </c>
      <c r="BZ114" s="4">
        <f>IF(BB114="","",(BX114+BY114)/2)</f>
        <v/>
      </c>
      <c r="CA114" s="4">
        <f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4">
        <f>IF(BB114="","",IF(CA114&lt;BB114,BZ114,BX114))</f>
        <v/>
      </c>
      <c r="CC114" s="4">
        <f>IF(BB114="","",IF(CA114&lt;BB114,BY114,BZ114))</f>
        <v/>
      </c>
      <c r="CD114" s="4">
        <f>IF(BB114="","",(CB114+CC114)/2)</f>
        <v/>
      </c>
      <c r="CE114" s="4">
        <f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4">
        <f>IF(BB114="","",IF(CE114&lt;BB114,CD114,CB114))</f>
        <v/>
      </c>
      <c r="CG114" s="4">
        <f>IF(BB114="","",IF(CE114&lt;BB114,CC114,CD114))</f>
        <v/>
      </c>
      <c r="CH114" s="4">
        <f>IF(BB114="","",(CF114+CG114)/2)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SUMIFS(CB_plan!$G:$G,CB_plan!$F:$F,$A115)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IF(A115="","",IF(H115="","",2.78E-7*IF(I115&lt;&gt;"",I115,IFERROR(SUMIFS(CB_plan!$H:$H,CB_plan!$F:$F,$A115)/SUMIFS(CB_plan!$G:$G,CB_plan!$F:$F,$A115),Inputs!$B$17))*H115*K115))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7">
        <f>IF(BB115="","",CH115)</f>
        <v/>
      </c>
      <c r="BA115" s="7">
        <f>IF(OR(BB115="",AZ115="",T115="",T115&lt;=0,AZ115&lt;=0),"",BB115/((T115^2/8)*(2*ACOS(1-2*AZ115/T115)-SIN(2*ACOS(1-2*AZ115/T115)))))</f>
        <v/>
      </c>
      <c r="BB115" s="4">
        <f>IF(OR(N115="",BC115=""),"",MIN(N115,BC115))</f>
        <v/>
      </c>
      <c r="BC115" s="4">
        <f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4">
        <f>IF(BB115="","",0.001*T115)</f>
        <v/>
      </c>
      <c r="BE115" s="4">
        <f>IF(BB115="","",0.94*T115)</f>
        <v/>
      </c>
      <c r="BF115" s="4">
        <f>IF(BB115="","",(BD115+BE115)/2)</f>
        <v/>
      </c>
      <c r="BG115" s="4">
        <f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4">
        <f>IF(BB115="","",IF(BG115&lt;BB115,BF115,BD115))</f>
        <v/>
      </c>
      <c r="BI115" s="4">
        <f>IF(BB115="","",IF(BG115&lt;BB115,BE115,BF115))</f>
        <v/>
      </c>
      <c r="BJ115" s="4">
        <f>IF(BB115="","",(BH115+BI115)/2)</f>
        <v/>
      </c>
      <c r="BK115" s="4">
        <f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4">
        <f>IF(BB115="","",IF(BK115&lt;BB115,BJ115,BH115))</f>
        <v/>
      </c>
      <c r="BM115" s="4">
        <f>IF(BB115="","",IF(BK115&lt;BB115,BI115,BJ115))</f>
        <v/>
      </c>
      <c r="BN115" s="4">
        <f>IF(BB115="","",(BL115+BM115)/2)</f>
        <v/>
      </c>
      <c r="BO115" s="4">
        <f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4">
        <f>IF(BB115="","",IF(BO115&lt;BB115,BN115,BL115))</f>
        <v/>
      </c>
      <c r="BQ115" s="4">
        <f>IF(BB115="","",IF(BO115&lt;BB115,BM115,BN115))</f>
        <v/>
      </c>
      <c r="BR115" s="4">
        <f>IF(BB115="","",(BP115+BQ115)/2)</f>
        <v/>
      </c>
      <c r="BS115" s="4">
        <f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4">
        <f>IF(BB115="","",IF(BS115&lt;BB115,BR115,BP115))</f>
        <v/>
      </c>
      <c r="BU115" s="4">
        <f>IF(BB115="","",IF(BS115&lt;BB115,BQ115,BR115))</f>
        <v/>
      </c>
      <c r="BV115" s="4">
        <f>IF(BB115="","",(BT115+BU115)/2)</f>
        <v/>
      </c>
      <c r="BW115" s="4">
        <f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4">
        <f>IF(BB115="","",IF(BW115&lt;BB115,BV115,BT115))</f>
        <v/>
      </c>
      <c r="BY115" s="4">
        <f>IF(BB115="","",IF(BW115&lt;BB115,BU115,BV115))</f>
        <v/>
      </c>
      <c r="BZ115" s="4">
        <f>IF(BB115="","",(BX115+BY115)/2)</f>
        <v/>
      </c>
      <c r="CA115" s="4">
        <f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4">
        <f>IF(BB115="","",IF(CA115&lt;BB115,BZ115,BX115))</f>
        <v/>
      </c>
      <c r="CC115" s="4">
        <f>IF(BB115="","",IF(CA115&lt;BB115,BY115,BZ115))</f>
        <v/>
      </c>
      <c r="CD115" s="4">
        <f>IF(BB115="","",(CB115+CC115)/2)</f>
        <v/>
      </c>
      <c r="CE115" s="4">
        <f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4">
        <f>IF(BB115="","",IF(CE115&lt;BB115,CD115,CB115))</f>
        <v/>
      </c>
      <c r="CG115" s="4">
        <f>IF(BB115="","",IF(CE115&lt;BB115,CC115,CD115))</f>
        <v/>
      </c>
      <c r="CH115" s="4">
        <f>IF(BB115="","",(CF115+CG115)/2)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SUMIFS(CB_plan!$G:$G,CB_plan!$F:$F,$A116)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IF(A116="","",IF(H116="","",2.78E-7*IF(I116&lt;&gt;"",I116,IFERROR(SUMIFS(CB_plan!$H:$H,CB_plan!$F:$F,$A116)/SUMIFS(CB_plan!$G:$G,CB_plan!$F:$F,$A116),Inputs!$B$17))*H116*K116))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7">
        <f>IF(BB116="","",CH116)</f>
        <v/>
      </c>
      <c r="BA116" s="7">
        <f>IF(OR(BB116="",AZ116="",T116="",T116&lt;=0,AZ116&lt;=0),"",BB116/((T116^2/8)*(2*ACOS(1-2*AZ116/T116)-SIN(2*ACOS(1-2*AZ116/T116)))))</f>
        <v/>
      </c>
      <c r="BB116" s="4">
        <f>IF(OR(N116="",BC116=""),"",MIN(N116,BC116))</f>
        <v/>
      </c>
      <c r="BC116" s="4">
        <f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4">
        <f>IF(BB116="","",0.001*T116)</f>
        <v/>
      </c>
      <c r="BE116" s="4">
        <f>IF(BB116="","",0.94*T116)</f>
        <v/>
      </c>
      <c r="BF116" s="4">
        <f>IF(BB116="","",(BD116+BE116)/2)</f>
        <v/>
      </c>
      <c r="BG116" s="4">
        <f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4">
        <f>IF(BB116="","",IF(BG116&lt;BB116,BF116,BD116))</f>
        <v/>
      </c>
      <c r="BI116" s="4">
        <f>IF(BB116="","",IF(BG116&lt;BB116,BE116,BF116))</f>
        <v/>
      </c>
      <c r="BJ116" s="4">
        <f>IF(BB116="","",(BH116+BI116)/2)</f>
        <v/>
      </c>
      <c r="BK116" s="4">
        <f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4">
        <f>IF(BB116="","",IF(BK116&lt;BB116,BJ116,BH116))</f>
        <v/>
      </c>
      <c r="BM116" s="4">
        <f>IF(BB116="","",IF(BK116&lt;BB116,BI116,BJ116))</f>
        <v/>
      </c>
      <c r="BN116" s="4">
        <f>IF(BB116="","",(BL116+BM116)/2)</f>
        <v/>
      </c>
      <c r="BO116" s="4">
        <f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4">
        <f>IF(BB116="","",IF(BO116&lt;BB116,BN116,BL116))</f>
        <v/>
      </c>
      <c r="BQ116" s="4">
        <f>IF(BB116="","",IF(BO116&lt;BB116,BM116,BN116))</f>
        <v/>
      </c>
      <c r="BR116" s="4">
        <f>IF(BB116="","",(BP116+BQ116)/2)</f>
        <v/>
      </c>
      <c r="BS116" s="4">
        <f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4">
        <f>IF(BB116="","",IF(BS116&lt;BB116,BR116,BP116))</f>
        <v/>
      </c>
      <c r="BU116" s="4">
        <f>IF(BB116="","",IF(BS116&lt;BB116,BQ116,BR116))</f>
        <v/>
      </c>
      <c r="BV116" s="4">
        <f>IF(BB116="","",(BT116+BU116)/2)</f>
        <v/>
      </c>
      <c r="BW116" s="4">
        <f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4">
        <f>IF(BB116="","",IF(BW116&lt;BB116,BV116,BT116))</f>
        <v/>
      </c>
      <c r="BY116" s="4">
        <f>IF(BB116="","",IF(BW116&lt;BB116,BU116,BV116))</f>
        <v/>
      </c>
      <c r="BZ116" s="4">
        <f>IF(BB116="","",(BX116+BY116)/2)</f>
        <v/>
      </c>
      <c r="CA116" s="4">
        <f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4">
        <f>IF(BB116="","",IF(CA116&lt;BB116,BZ116,BX116))</f>
        <v/>
      </c>
      <c r="CC116" s="4">
        <f>IF(BB116="","",IF(CA116&lt;BB116,BY116,BZ116))</f>
        <v/>
      </c>
      <c r="CD116" s="4">
        <f>IF(BB116="","",(CB116+CC116)/2)</f>
        <v/>
      </c>
      <c r="CE116" s="4">
        <f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4">
        <f>IF(BB116="","",IF(CE116&lt;BB116,CD116,CB116))</f>
        <v/>
      </c>
      <c r="CG116" s="4">
        <f>IF(BB116="","",IF(CE116&lt;BB116,CC116,CD116))</f>
        <v/>
      </c>
      <c r="CH116" s="4">
        <f>IF(BB116="","",(CF116+CG116)/2)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SUMIFS(CB_plan!$G:$G,CB_plan!$F:$F,$A117)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IF(A117="","",IF(H117="","",2.78E-7*IF(I117&lt;&gt;"",I117,IFERROR(SUMIFS(CB_plan!$H:$H,CB_plan!$F:$F,$A117)/SUMIFS(CB_plan!$G:$G,CB_plan!$F:$F,$A117),Inputs!$B$17))*H117*K117))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7">
        <f>IF(BB117="","",CH117)</f>
        <v/>
      </c>
      <c r="BA117" s="7">
        <f>IF(OR(BB117="",AZ117="",T117="",T117&lt;=0,AZ117&lt;=0),"",BB117/((T117^2/8)*(2*ACOS(1-2*AZ117/T117)-SIN(2*ACOS(1-2*AZ117/T117)))))</f>
        <v/>
      </c>
      <c r="BB117" s="4">
        <f>IF(OR(N117="",BC117=""),"",MIN(N117,BC117))</f>
        <v/>
      </c>
      <c r="BC117" s="4">
        <f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4">
        <f>IF(BB117="","",0.001*T117)</f>
        <v/>
      </c>
      <c r="BE117" s="4">
        <f>IF(BB117="","",0.94*T117)</f>
        <v/>
      </c>
      <c r="BF117" s="4">
        <f>IF(BB117="","",(BD117+BE117)/2)</f>
        <v/>
      </c>
      <c r="BG117" s="4">
        <f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4">
        <f>IF(BB117="","",IF(BG117&lt;BB117,BF117,BD117))</f>
        <v/>
      </c>
      <c r="BI117" s="4">
        <f>IF(BB117="","",IF(BG117&lt;BB117,BE117,BF117))</f>
        <v/>
      </c>
      <c r="BJ117" s="4">
        <f>IF(BB117="","",(BH117+BI117)/2)</f>
        <v/>
      </c>
      <c r="BK117" s="4">
        <f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4">
        <f>IF(BB117="","",IF(BK117&lt;BB117,BJ117,BH117))</f>
        <v/>
      </c>
      <c r="BM117" s="4">
        <f>IF(BB117="","",IF(BK117&lt;BB117,BI117,BJ117))</f>
        <v/>
      </c>
      <c r="BN117" s="4">
        <f>IF(BB117="","",(BL117+BM117)/2)</f>
        <v/>
      </c>
      <c r="BO117" s="4">
        <f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4">
        <f>IF(BB117="","",IF(BO117&lt;BB117,BN117,BL117))</f>
        <v/>
      </c>
      <c r="BQ117" s="4">
        <f>IF(BB117="","",IF(BO117&lt;BB117,BM117,BN117))</f>
        <v/>
      </c>
      <c r="BR117" s="4">
        <f>IF(BB117="","",(BP117+BQ117)/2)</f>
        <v/>
      </c>
      <c r="BS117" s="4">
        <f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4">
        <f>IF(BB117="","",IF(BS117&lt;BB117,BR117,BP117))</f>
        <v/>
      </c>
      <c r="BU117" s="4">
        <f>IF(BB117="","",IF(BS117&lt;BB117,BQ117,BR117))</f>
        <v/>
      </c>
      <c r="BV117" s="4">
        <f>IF(BB117="","",(BT117+BU117)/2)</f>
        <v/>
      </c>
      <c r="BW117" s="4">
        <f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4">
        <f>IF(BB117="","",IF(BW117&lt;BB117,BV117,BT117))</f>
        <v/>
      </c>
      <c r="BY117" s="4">
        <f>IF(BB117="","",IF(BW117&lt;BB117,BU117,BV117))</f>
        <v/>
      </c>
      <c r="BZ117" s="4">
        <f>IF(BB117="","",(BX117+BY117)/2)</f>
        <v/>
      </c>
      <c r="CA117" s="4">
        <f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4">
        <f>IF(BB117="","",IF(CA117&lt;BB117,BZ117,BX117))</f>
        <v/>
      </c>
      <c r="CC117" s="4">
        <f>IF(BB117="","",IF(CA117&lt;BB117,BY117,BZ117))</f>
        <v/>
      </c>
      <c r="CD117" s="4">
        <f>IF(BB117="","",(CB117+CC117)/2)</f>
        <v/>
      </c>
      <c r="CE117" s="4">
        <f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4">
        <f>IF(BB117="","",IF(CE117&lt;BB117,CD117,CB117))</f>
        <v/>
      </c>
      <c r="CG117" s="4">
        <f>IF(BB117="","",IF(CE117&lt;BB117,CC117,CD117))</f>
        <v/>
      </c>
      <c r="CH117" s="4">
        <f>IF(BB117="","",(CF117+CG117)/2)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SUMIFS(CB_plan!$G:$G,CB_plan!$F:$F,$A118)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IF(A118="","",IF(H118="","",2.78E-7*IF(I118&lt;&gt;"",I118,IFERROR(SUMIFS(CB_plan!$H:$H,CB_plan!$F:$F,$A118)/SUMIFS(CB_plan!$G:$G,CB_plan!$F:$F,$A118),Inputs!$B$17))*H118*K118))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7">
        <f>IF(BB118="","",CH118)</f>
        <v/>
      </c>
      <c r="BA118" s="7">
        <f>IF(OR(BB118="",AZ118="",T118="",T118&lt;=0,AZ118&lt;=0),"",BB118/((T118^2/8)*(2*ACOS(1-2*AZ118/T118)-SIN(2*ACOS(1-2*AZ118/T118)))))</f>
        <v/>
      </c>
      <c r="BB118" s="4">
        <f>IF(OR(N118="",BC118=""),"",MIN(N118,BC118))</f>
        <v/>
      </c>
      <c r="BC118" s="4">
        <f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4">
        <f>IF(BB118="","",0.001*T118)</f>
        <v/>
      </c>
      <c r="BE118" s="4">
        <f>IF(BB118="","",0.94*T118)</f>
        <v/>
      </c>
      <c r="BF118" s="4">
        <f>IF(BB118="","",(BD118+BE118)/2)</f>
        <v/>
      </c>
      <c r="BG118" s="4">
        <f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4">
        <f>IF(BB118="","",IF(BG118&lt;BB118,BF118,BD118))</f>
        <v/>
      </c>
      <c r="BI118" s="4">
        <f>IF(BB118="","",IF(BG118&lt;BB118,BE118,BF118))</f>
        <v/>
      </c>
      <c r="BJ118" s="4">
        <f>IF(BB118="","",(BH118+BI118)/2)</f>
        <v/>
      </c>
      <c r="BK118" s="4">
        <f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4">
        <f>IF(BB118="","",IF(BK118&lt;BB118,BJ118,BH118))</f>
        <v/>
      </c>
      <c r="BM118" s="4">
        <f>IF(BB118="","",IF(BK118&lt;BB118,BI118,BJ118))</f>
        <v/>
      </c>
      <c r="BN118" s="4">
        <f>IF(BB118="","",(BL118+BM118)/2)</f>
        <v/>
      </c>
      <c r="BO118" s="4">
        <f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4">
        <f>IF(BB118="","",IF(BO118&lt;BB118,BN118,BL118))</f>
        <v/>
      </c>
      <c r="BQ118" s="4">
        <f>IF(BB118="","",IF(BO118&lt;BB118,BM118,BN118))</f>
        <v/>
      </c>
      <c r="BR118" s="4">
        <f>IF(BB118="","",(BP118+BQ118)/2)</f>
        <v/>
      </c>
      <c r="BS118" s="4">
        <f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4">
        <f>IF(BB118="","",IF(BS118&lt;BB118,BR118,BP118))</f>
        <v/>
      </c>
      <c r="BU118" s="4">
        <f>IF(BB118="","",IF(BS118&lt;BB118,BQ118,BR118))</f>
        <v/>
      </c>
      <c r="BV118" s="4">
        <f>IF(BB118="","",(BT118+BU118)/2)</f>
        <v/>
      </c>
      <c r="BW118" s="4">
        <f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4">
        <f>IF(BB118="","",IF(BW118&lt;BB118,BV118,BT118))</f>
        <v/>
      </c>
      <c r="BY118" s="4">
        <f>IF(BB118="","",IF(BW118&lt;BB118,BU118,BV118))</f>
        <v/>
      </c>
      <c r="BZ118" s="4">
        <f>IF(BB118="","",(BX118+BY118)/2)</f>
        <v/>
      </c>
      <c r="CA118" s="4">
        <f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4">
        <f>IF(BB118="","",IF(CA118&lt;BB118,BZ118,BX118))</f>
        <v/>
      </c>
      <c r="CC118" s="4">
        <f>IF(BB118="","",IF(CA118&lt;BB118,BY118,BZ118))</f>
        <v/>
      </c>
      <c r="CD118" s="4">
        <f>IF(BB118="","",(CB118+CC118)/2)</f>
        <v/>
      </c>
      <c r="CE118" s="4">
        <f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4">
        <f>IF(BB118="","",IF(CE118&lt;BB118,CD118,CB118))</f>
        <v/>
      </c>
      <c r="CG118" s="4">
        <f>IF(BB118="","",IF(CE118&lt;BB118,CC118,CD118))</f>
        <v/>
      </c>
      <c r="CH118" s="4">
        <f>IF(BB118="","",(CF118+CG118)/2)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SUMIFS(CB_plan!$G:$G,CB_plan!$F:$F,$A119)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IF(A119="","",IF(H119="","",2.78E-7*IF(I119&lt;&gt;"",I119,IFERROR(SUMIFS(CB_plan!$H:$H,CB_plan!$F:$F,$A119)/SUMIFS(CB_plan!$G:$G,CB_plan!$F:$F,$A119),Inputs!$B$17))*H119*K119))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7">
        <f>IF(BB119="","",CH119)</f>
        <v/>
      </c>
      <c r="BA119" s="7">
        <f>IF(OR(BB119="",AZ119="",T119="",T119&lt;=0,AZ119&lt;=0),"",BB119/((T119^2/8)*(2*ACOS(1-2*AZ119/T119)-SIN(2*ACOS(1-2*AZ119/T119)))))</f>
        <v/>
      </c>
      <c r="BB119" s="4">
        <f>IF(OR(N119="",BC119=""),"",MIN(N119,BC119))</f>
        <v/>
      </c>
      <c r="BC119" s="4">
        <f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4">
        <f>IF(BB119="","",0.001*T119)</f>
        <v/>
      </c>
      <c r="BE119" s="4">
        <f>IF(BB119="","",0.94*T119)</f>
        <v/>
      </c>
      <c r="BF119" s="4">
        <f>IF(BB119="","",(BD119+BE119)/2)</f>
        <v/>
      </c>
      <c r="BG119" s="4">
        <f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4">
        <f>IF(BB119="","",IF(BG119&lt;BB119,BF119,BD119))</f>
        <v/>
      </c>
      <c r="BI119" s="4">
        <f>IF(BB119="","",IF(BG119&lt;BB119,BE119,BF119))</f>
        <v/>
      </c>
      <c r="BJ119" s="4">
        <f>IF(BB119="","",(BH119+BI119)/2)</f>
        <v/>
      </c>
      <c r="BK119" s="4">
        <f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4">
        <f>IF(BB119="","",IF(BK119&lt;BB119,BJ119,BH119))</f>
        <v/>
      </c>
      <c r="BM119" s="4">
        <f>IF(BB119="","",IF(BK119&lt;BB119,BI119,BJ119))</f>
        <v/>
      </c>
      <c r="BN119" s="4">
        <f>IF(BB119="","",(BL119+BM119)/2)</f>
        <v/>
      </c>
      <c r="BO119" s="4">
        <f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4">
        <f>IF(BB119="","",IF(BO119&lt;BB119,BN119,BL119))</f>
        <v/>
      </c>
      <c r="BQ119" s="4">
        <f>IF(BB119="","",IF(BO119&lt;BB119,BM119,BN119))</f>
        <v/>
      </c>
      <c r="BR119" s="4">
        <f>IF(BB119="","",(BP119+BQ119)/2)</f>
        <v/>
      </c>
      <c r="BS119" s="4">
        <f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4">
        <f>IF(BB119="","",IF(BS119&lt;BB119,BR119,BP119))</f>
        <v/>
      </c>
      <c r="BU119" s="4">
        <f>IF(BB119="","",IF(BS119&lt;BB119,BQ119,BR119))</f>
        <v/>
      </c>
      <c r="BV119" s="4">
        <f>IF(BB119="","",(BT119+BU119)/2)</f>
        <v/>
      </c>
      <c r="BW119" s="4">
        <f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4">
        <f>IF(BB119="","",IF(BW119&lt;BB119,BV119,BT119))</f>
        <v/>
      </c>
      <c r="BY119" s="4">
        <f>IF(BB119="","",IF(BW119&lt;BB119,BU119,BV119))</f>
        <v/>
      </c>
      <c r="BZ119" s="4">
        <f>IF(BB119="","",(BX119+BY119)/2)</f>
        <v/>
      </c>
      <c r="CA119" s="4">
        <f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4">
        <f>IF(BB119="","",IF(CA119&lt;BB119,BZ119,BX119))</f>
        <v/>
      </c>
      <c r="CC119" s="4">
        <f>IF(BB119="","",IF(CA119&lt;BB119,BY119,BZ119))</f>
        <v/>
      </c>
      <c r="CD119" s="4">
        <f>IF(BB119="","",(CB119+CC119)/2)</f>
        <v/>
      </c>
      <c r="CE119" s="4">
        <f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4">
        <f>IF(BB119="","",IF(CE119&lt;BB119,CD119,CB119))</f>
        <v/>
      </c>
      <c r="CG119" s="4">
        <f>IF(BB119="","",IF(CE119&lt;BB119,CC119,CD119))</f>
        <v/>
      </c>
      <c r="CH119" s="4">
        <f>IF(BB119="","",(CF119+CG119)/2)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SUMIFS(CB_plan!$G:$G,CB_plan!$F:$F,$A120)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IF(A120="","",IF(H120="","",2.78E-7*IF(I120&lt;&gt;"",I120,IFERROR(SUMIFS(CB_plan!$H:$H,CB_plan!$F:$F,$A120)/SUMIFS(CB_plan!$G:$G,CB_plan!$F:$F,$A120),Inputs!$B$17))*H120*K120))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7">
        <f>IF(BB120="","",CH120)</f>
        <v/>
      </c>
      <c r="BA120" s="7">
        <f>IF(OR(BB120="",AZ120="",T120="",T120&lt;=0,AZ120&lt;=0),"",BB120/((T120^2/8)*(2*ACOS(1-2*AZ120/T120)-SIN(2*ACOS(1-2*AZ120/T120)))))</f>
        <v/>
      </c>
      <c r="BB120" s="4">
        <f>IF(OR(N120="",BC120=""),"",MIN(N120,BC120))</f>
        <v/>
      </c>
      <c r="BC120" s="4">
        <f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4">
        <f>IF(BB120="","",0.001*T120)</f>
        <v/>
      </c>
      <c r="BE120" s="4">
        <f>IF(BB120="","",0.94*T120)</f>
        <v/>
      </c>
      <c r="BF120" s="4">
        <f>IF(BB120="","",(BD120+BE120)/2)</f>
        <v/>
      </c>
      <c r="BG120" s="4">
        <f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4">
        <f>IF(BB120="","",IF(BG120&lt;BB120,BF120,BD120))</f>
        <v/>
      </c>
      <c r="BI120" s="4">
        <f>IF(BB120="","",IF(BG120&lt;BB120,BE120,BF120))</f>
        <v/>
      </c>
      <c r="BJ120" s="4">
        <f>IF(BB120="","",(BH120+BI120)/2)</f>
        <v/>
      </c>
      <c r="BK120" s="4">
        <f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4">
        <f>IF(BB120="","",IF(BK120&lt;BB120,BJ120,BH120))</f>
        <v/>
      </c>
      <c r="BM120" s="4">
        <f>IF(BB120="","",IF(BK120&lt;BB120,BI120,BJ120))</f>
        <v/>
      </c>
      <c r="BN120" s="4">
        <f>IF(BB120="","",(BL120+BM120)/2)</f>
        <v/>
      </c>
      <c r="BO120" s="4">
        <f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4">
        <f>IF(BB120="","",IF(BO120&lt;BB120,BN120,BL120))</f>
        <v/>
      </c>
      <c r="BQ120" s="4">
        <f>IF(BB120="","",IF(BO120&lt;BB120,BM120,BN120))</f>
        <v/>
      </c>
      <c r="BR120" s="4">
        <f>IF(BB120="","",(BP120+BQ120)/2)</f>
        <v/>
      </c>
      <c r="BS120" s="4">
        <f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4">
        <f>IF(BB120="","",IF(BS120&lt;BB120,BR120,BP120))</f>
        <v/>
      </c>
      <c r="BU120" s="4">
        <f>IF(BB120="","",IF(BS120&lt;BB120,BQ120,BR120))</f>
        <v/>
      </c>
      <c r="BV120" s="4">
        <f>IF(BB120="","",(BT120+BU120)/2)</f>
        <v/>
      </c>
      <c r="BW120" s="4">
        <f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4">
        <f>IF(BB120="","",IF(BW120&lt;BB120,BV120,BT120))</f>
        <v/>
      </c>
      <c r="BY120" s="4">
        <f>IF(BB120="","",IF(BW120&lt;BB120,BU120,BV120))</f>
        <v/>
      </c>
      <c r="BZ120" s="4">
        <f>IF(BB120="","",(BX120+BY120)/2)</f>
        <v/>
      </c>
      <c r="CA120" s="4">
        <f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4">
        <f>IF(BB120="","",IF(CA120&lt;BB120,BZ120,BX120))</f>
        <v/>
      </c>
      <c r="CC120" s="4">
        <f>IF(BB120="","",IF(CA120&lt;BB120,BY120,BZ120))</f>
        <v/>
      </c>
      <c r="CD120" s="4">
        <f>IF(BB120="","",(CB120+CC120)/2)</f>
        <v/>
      </c>
      <c r="CE120" s="4">
        <f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4">
        <f>IF(BB120="","",IF(CE120&lt;BB120,CD120,CB120))</f>
        <v/>
      </c>
      <c r="CG120" s="4">
        <f>IF(BB120="","",IF(CE120&lt;BB120,CC120,CD120))</f>
        <v/>
      </c>
      <c r="CH120" s="4">
        <f>IF(BB120="","",(CF120+CG120)/2)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SUMIFS(CB_plan!$G:$G,CB_plan!$F:$F,$A121)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IF(A121="","",IF(H121="","",2.78E-7*IF(I121&lt;&gt;"",I121,IFERROR(SUMIFS(CB_plan!$H:$H,CB_plan!$F:$F,$A121)/SUMIFS(CB_plan!$G:$G,CB_plan!$F:$F,$A121),Inputs!$B$17))*H121*K121))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7">
        <f>IF(BB121="","",CH121)</f>
        <v/>
      </c>
      <c r="BA121" s="7">
        <f>IF(OR(BB121="",AZ121="",T121="",T121&lt;=0,AZ121&lt;=0),"",BB121/((T121^2/8)*(2*ACOS(1-2*AZ121/T121)-SIN(2*ACOS(1-2*AZ121/T121)))))</f>
        <v/>
      </c>
      <c r="BB121" s="4">
        <f>IF(OR(N121="",BC121=""),"",MIN(N121,BC121))</f>
        <v/>
      </c>
      <c r="BC121" s="4">
        <f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4">
        <f>IF(BB121="","",0.001*T121)</f>
        <v/>
      </c>
      <c r="BE121" s="4">
        <f>IF(BB121="","",0.94*T121)</f>
        <v/>
      </c>
      <c r="BF121" s="4">
        <f>IF(BB121="","",(BD121+BE121)/2)</f>
        <v/>
      </c>
      <c r="BG121" s="4">
        <f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4">
        <f>IF(BB121="","",IF(BG121&lt;BB121,BF121,BD121))</f>
        <v/>
      </c>
      <c r="BI121" s="4">
        <f>IF(BB121="","",IF(BG121&lt;BB121,BE121,BF121))</f>
        <v/>
      </c>
      <c r="BJ121" s="4">
        <f>IF(BB121="","",(BH121+BI121)/2)</f>
        <v/>
      </c>
      <c r="BK121" s="4">
        <f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4">
        <f>IF(BB121="","",IF(BK121&lt;BB121,BJ121,BH121))</f>
        <v/>
      </c>
      <c r="BM121" s="4">
        <f>IF(BB121="","",IF(BK121&lt;BB121,BI121,BJ121))</f>
        <v/>
      </c>
      <c r="BN121" s="4">
        <f>IF(BB121="","",(BL121+BM121)/2)</f>
        <v/>
      </c>
      <c r="BO121" s="4">
        <f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4">
        <f>IF(BB121="","",IF(BO121&lt;BB121,BN121,BL121))</f>
        <v/>
      </c>
      <c r="BQ121" s="4">
        <f>IF(BB121="","",IF(BO121&lt;BB121,BM121,BN121))</f>
        <v/>
      </c>
      <c r="BR121" s="4">
        <f>IF(BB121="","",(BP121+BQ121)/2)</f>
        <v/>
      </c>
      <c r="BS121" s="4">
        <f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4">
        <f>IF(BB121="","",IF(BS121&lt;BB121,BR121,BP121))</f>
        <v/>
      </c>
      <c r="BU121" s="4">
        <f>IF(BB121="","",IF(BS121&lt;BB121,BQ121,BR121))</f>
        <v/>
      </c>
      <c r="BV121" s="4">
        <f>IF(BB121="","",(BT121+BU121)/2)</f>
        <v/>
      </c>
      <c r="BW121" s="4">
        <f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4">
        <f>IF(BB121="","",IF(BW121&lt;BB121,BV121,BT121))</f>
        <v/>
      </c>
      <c r="BY121" s="4">
        <f>IF(BB121="","",IF(BW121&lt;BB121,BU121,BV121))</f>
        <v/>
      </c>
      <c r="BZ121" s="4">
        <f>IF(BB121="","",(BX121+BY121)/2)</f>
        <v/>
      </c>
      <c r="CA121" s="4">
        <f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4">
        <f>IF(BB121="","",IF(CA121&lt;BB121,BZ121,BX121))</f>
        <v/>
      </c>
      <c r="CC121" s="4">
        <f>IF(BB121="","",IF(CA121&lt;BB121,BY121,BZ121))</f>
        <v/>
      </c>
      <c r="CD121" s="4">
        <f>IF(BB121="","",(CB121+CC121)/2)</f>
        <v/>
      </c>
      <c r="CE121" s="4">
        <f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4">
        <f>IF(BB121="","",IF(CE121&lt;BB121,CD121,CB121))</f>
        <v/>
      </c>
      <c r="CG121" s="4">
        <f>IF(BB121="","",IF(CE121&lt;BB121,CC121,CD121))</f>
        <v/>
      </c>
      <c r="CH121" s="4">
        <f>IF(BB121="","",(CF121+CG121)/2)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SUMIFS(CB_plan!$G:$G,CB_plan!$F:$F,$A122)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IF(A122="","",IF(H122="","",2.78E-7*IF(I122&lt;&gt;"",I122,IFERROR(SUMIFS(CB_plan!$H:$H,CB_plan!$F:$F,$A122)/SUMIFS(CB_plan!$G:$G,CB_plan!$F:$F,$A122),Inputs!$B$17))*H122*K122))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7">
        <f>IF(BB122="","",CH122)</f>
        <v/>
      </c>
      <c r="BA122" s="7">
        <f>IF(OR(BB122="",AZ122="",T122="",T122&lt;=0,AZ122&lt;=0),"",BB122/((T122^2/8)*(2*ACOS(1-2*AZ122/T122)-SIN(2*ACOS(1-2*AZ122/T122)))))</f>
        <v/>
      </c>
      <c r="BB122" s="4">
        <f>IF(OR(N122="",BC122=""),"",MIN(N122,BC122))</f>
        <v/>
      </c>
      <c r="BC122" s="4">
        <f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4">
        <f>IF(BB122="","",0.001*T122)</f>
        <v/>
      </c>
      <c r="BE122" s="4">
        <f>IF(BB122="","",0.94*T122)</f>
        <v/>
      </c>
      <c r="BF122" s="4">
        <f>IF(BB122="","",(BD122+BE122)/2)</f>
        <v/>
      </c>
      <c r="BG122" s="4">
        <f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4">
        <f>IF(BB122="","",IF(BG122&lt;BB122,BF122,BD122))</f>
        <v/>
      </c>
      <c r="BI122" s="4">
        <f>IF(BB122="","",IF(BG122&lt;BB122,BE122,BF122))</f>
        <v/>
      </c>
      <c r="BJ122" s="4">
        <f>IF(BB122="","",(BH122+BI122)/2)</f>
        <v/>
      </c>
      <c r="BK122" s="4">
        <f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4">
        <f>IF(BB122="","",IF(BK122&lt;BB122,BJ122,BH122))</f>
        <v/>
      </c>
      <c r="BM122" s="4">
        <f>IF(BB122="","",IF(BK122&lt;BB122,BI122,BJ122))</f>
        <v/>
      </c>
      <c r="BN122" s="4">
        <f>IF(BB122="","",(BL122+BM122)/2)</f>
        <v/>
      </c>
      <c r="BO122" s="4">
        <f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4">
        <f>IF(BB122="","",IF(BO122&lt;BB122,BN122,BL122))</f>
        <v/>
      </c>
      <c r="BQ122" s="4">
        <f>IF(BB122="","",IF(BO122&lt;BB122,BM122,BN122))</f>
        <v/>
      </c>
      <c r="BR122" s="4">
        <f>IF(BB122="","",(BP122+BQ122)/2)</f>
        <v/>
      </c>
      <c r="BS122" s="4">
        <f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4">
        <f>IF(BB122="","",IF(BS122&lt;BB122,BR122,BP122))</f>
        <v/>
      </c>
      <c r="BU122" s="4">
        <f>IF(BB122="","",IF(BS122&lt;BB122,BQ122,BR122))</f>
        <v/>
      </c>
      <c r="BV122" s="4">
        <f>IF(BB122="","",(BT122+BU122)/2)</f>
        <v/>
      </c>
      <c r="BW122" s="4">
        <f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4">
        <f>IF(BB122="","",IF(BW122&lt;BB122,BV122,BT122))</f>
        <v/>
      </c>
      <c r="BY122" s="4">
        <f>IF(BB122="","",IF(BW122&lt;BB122,BU122,BV122))</f>
        <v/>
      </c>
      <c r="BZ122" s="4">
        <f>IF(BB122="","",(BX122+BY122)/2)</f>
        <v/>
      </c>
      <c r="CA122" s="4">
        <f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4">
        <f>IF(BB122="","",IF(CA122&lt;BB122,BZ122,BX122))</f>
        <v/>
      </c>
      <c r="CC122" s="4">
        <f>IF(BB122="","",IF(CA122&lt;BB122,BY122,BZ122))</f>
        <v/>
      </c>
      <c r="CD122" s="4">
        <f>IF(BB122="","",(CB122+CC122)/2)</f>
        <v/>
      </c>
      <c r="CE122" s="4">
        <f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4">
        <f>IF(BB122="","",IF(CE122&lt;BB122,CD122,CB122))</f>
        <v/>
      </c>
      <c r="CG122" s="4">
        <f>IF(BB122="","",IF(CE122&lt;BB122,CC122,CD122))</f>
        <v/>
      </c>
      <c r="CH122" s="4">
        <f>IF(BB122="","",(CF122+CG122)/2)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SUMIFS(CB_plan!$G:$G,CB_plan!$F:$F,$A123)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IF(A123="","",IF(H123="","",2.78E-7*IF(I123&lt;&gt;"",I123,IFERROR(SUMIFS(CB_plan!$H:$H,CB_plan!$F:$F,$A123)/SUMIFS(CB_plan!$G:$G,CB_plan!$F:$F,$A123),Inputs!$B$17))*H123*K123))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7">
        <f>IF(BB123="","",CH123)</f>
        <v/>
      </c>
      <c r="BA123" s="7">
        <f>IF(OR(BB123="",AZ123="",T123="",T123&lt;=0,AZ123&lt;=0),"",BB123/((T123^2/8)*(2*ACOS(1-2*AZ123/T123)-SIN(2*ACOS(1-2*AZ123/T123)))))</f>
        <v/>
      </c>
      <c r="BB123" s="4">
        <f>IF(OR(N123="",BC123=""),"",MIN(N123,BC123))</f>
        <v/>
      </c>
      <c r="BC123" s="4">
        <f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4">
        <f>IF(BB123="","",0.001*T123)</f>
        <v/>
      </c>
      <c r="BE123" s="4">
        <f>IF(BB123="","",0.94*T123)</f>
        <v/>
      </c>
      <c r="BF123" s="4">
        <f>IF(BB123="","",(BD123+BE123)/2)</f>
        <v/>
      </c>
      <c r="BG123" s="4">
        <f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4">
        <f>IF(BB123="","",IF(BG123&lt;BB123,BF123,BD123))</f>
        <v/>
      </c>
      <c r="BI123" s="4">
        <f>IF(BB123="","",IF(BG123&lt;BB123,BE123,BF123))</f>
        <v/>
      </c>
      <c r="BJ123" s="4">
        <f>IF(BB123="","",(BH123+BI123)/2)</f>
        <v/>
      </c>
      <c r="BK123" s="4">
        <f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4">
        <f>IF(BB123="","",IF(BK123&lt;BB123,BJ123,BH123))</f>
        <v/>
      </c>
      <c r="BM123" s="4">
        <f>IF(BB123="","",IF(BK123&lt;BB123,BI123,BJ123))</f>
        <v/>
      </c>
      <c r="BN123" s="4">
        <f>IF(BB123="","",(BL123+BM123)/2)</f>
        <v/>
      </c>
      <c r="BO123" s="4">
        <f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4">
        <f>IF(BB123="","",IF(BO123&lt;BB123,BN123,BL123))</f>
        <v/>
      </c>
      <c r="BQ123" s="4">
        <f>IF(BB123="","",IF(BO123&lt;BB123,BM123,BN123))</f>
        <v/>
      </c>
      <c r="BR123" s="4">
        <f>IF(BB123="","",(BP123+BQ123)/2)</f>
        <v/>
      </c>
      <c r="BS123" s="4">
        <f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4">
        <f>IF(BB123="","",IF(BS123&lt;BB123,BR123,BP123))</f>
        <v/>
      </c>
      <c r="BU123" s="4">
        <f>IF(BB123="","",IF(BS123&lt;BB123,BQ123,BR123))</f>
        <v/>
      </c>
      <c r="BV123" s="4">
        <f>IF(BB123="","",(BT123+BU123)/2)</f>
        <v/>
      </c>
      <c r="BW123" s="4">
        <f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4">
        <f>IF(BB123="","",IF(BW123&lt;BB123,BV123,BT123))</f>
        <v/>
      </c>
      <c r="BY123" s="4">
        <f>IF(BB123="","",IF(BW123&lt;BB123,BU123,BV123))</f>
        <v/>
      </c>
      <c r="BZ123" s="4">
        <f>IF(BB123="","",(BX123+BY123)/2)</f>
        <v/>
      </c>
      <c r="CA123" s="4">
        <f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4">
        <f>IF(BB123="","",IF(CA123&lt;BB123,BZ123,BX123))</f>
        <v/>
      </c>
      <c r="CC123" s="4">
        <f>IF(BB123="","",IF(CA123&lt;BB123,BY123,BZ123))</f>
        <v/>
      </c>
      <c r="CD123" s="4">
        <f>IF(BB123="","",(CB123+CC123)/2)</f>
        <v/>
      </c>
      <c r="CE123" s="4">
        <f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4">
        <f>IF(BB123="","",IF(CE123&lt;BB123,CD123,CB123))</f>
        <v/>
      </c>
      <c r="CG123" s="4">
        <f>IF(BB123="","",IF(CE123&lt;BB123,CC123,CD123))</f>
        <v/>
      </c>
      <c r="CH123" s="4">
        <f>IF(BB123="","",(CF123+CG123)/2)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SUMIFS(CB_plan!$G:$G,CB_plan!$F:$F,$A124)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IF(A124="","",IF(H124="","",2.78E-7*IF(I124&lt;&gt;"",I124,IFERROR(SUMIFS(CB_plan!$H:$H,CB_plan!$F:$F,$A124)/SUMIFS(CB_plan!$G:$G,CB_plan!$F:$F,$A124),Inputs!$B$17))*H124*K124))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7">
        <f>IF(BB124="","",CH124)</f>
        <v/>
      </c>
      <c r="BA124" s="7">
        <f>IF(OR(BB124="",AZ124="",T124="",T124&lt;=0,AZ124&lt;=0),"",BB124/((T124^2/8)*(2*ACOS(1-2*AZ124/T124)-SIN(2*ACOS(1-2*AZ124/T124)))))</f>
        <v/>
      </c>
      <c r="BB124" s="4">
        <f>IF(OR(N124="",BC124=""),"",MIN(N124,BC124))</f>
        <v/>
      </c>
      <c r="BC124" s="4">
        <f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4">
        <f>IF(BB124="","",0.001*T124)</f>
        <v/>
      </c>
      <c r="BE124" s="4">
        <f>IF(BB124="","",0.94*T124)</f>
        <v/>
      </c>
      <c r="BF124" s="4">
        <f>IF(BB124="","",(BD124+BE124)/2)</f>
        <v/>
      </c>
      <c r="BG124" s="4">
        <f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4">
        <f>IF(BB124="","",IF(BG124&lt;BB124,BF124,BD124))</f>
        <v/>
      </c>
      <c r="BI124" s="4">
        <f>IF(BB124="","",IF(BG124&lt;BB124,BE124,BF124))</f>
        <v/>
      </c>
      <c r="BJ124" s="4">
        <f>IF(BB124="","",(BH124+BI124)/2)</f>
        <v/>
      </c>
      <c r="BK124" s="4">
        <f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4">
        <f>IF(BB124="","",IF(BK124&lt;BB124,BJ124,BH124))</f>
        <v/>
      </c>
      <c r="BM124" s="4">
        <f>IF(BB124="","",IF(BK124&lt;BB124,BI124,BJ124))</f>
        <v/>
      </c>
      <c r="BN124" s="4">
        <f>IF(BB124="","",(BL124+BM124)/2)</f>
        <v/>
      </c>
      <c r="BO124" s="4">
        <f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4">
        <f>IF(BB124="","",IF(BO124&lt;BB124,BN124,BL124))</f>
        <v/>
      </c>
      <c r="BQ124" s="4">
        <f>IF(BB124="","",IF(BO124&lt;BB124,BM124,BN124))</f>
        <v/>
      </c>
      <c r="BR124" s="4">
        <f>IF(BB124="","",(BP124+BQ124)/2)</f>
        <v/>
      </c>
      <c r="BS124" s="4">
        <f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4">
        <f>IF(BB124="","",IF(BS124&lt;BB124,BR124,BP124))</f>
        <v/>
      </c>
      <c r="BU124" s="4">
        <f>IF(BB124="","",IF(BS124&lt;BB124,BQ124,BR124))</f>
        <v/>
      </c>
      <c r="BV124" s="4">
        <f>IF(BB124="","",(BT124+BU124)/2)</f>
        <v/>
      </c>
      <c r="BW124" s="4">
        <f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4">
        <f>IF(BB124="","",IF(BW124&lt;BB124,BV124,BT124))</f>
        <v/>
      </c>
      <c r="BY124" s="4">
        <f>IF(BB124="","",IF(BW124&lt;BB124,BU124,BV124))</f>
        <v/>
      </c>
      <c r="BZ124" s="4">
        <f>IF(BB124="","",(BX124+BY124)/2)</f>
        <v/>
      </c>
      <c r="CA124" s="4">
        <f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4">
        <f>IF(BB124="","",IF(CA124&lt;BB124,BZ124,BX124))</f>
        <v/>
      </c>
      <c r="CC124" s="4">
        <f>IF(BB124="","",IF(CA124&lt;BB124,BY124,BZ124))</f>
        <v/>
      </c>
      <c r="CD124" s="4">
        <f>IF(BB124="","",(CB124+CC124)/2)</f>
        <v/>
      </c>
      <c r="CE124" s="4">
        <f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4">
        <f>IF(BB124="","",IF(CE124&lt;BB124,CD124,CB124))</f>
        <v/>
      </c>
      <c r="CG124" s="4">
        <f>IF(BB124="","",IF(CE124&lt;BB124,CC124,CD124))</f>
        <v/>
      </c>
      <c r="CH124" s="4">
        <f>IF(BB124="","",(CF124+CG124)/2)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SUMIFS(CB_plan!$G:$G,CB_plan!$F:$F,$A125)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IF(A125="","",IF(H125="","",2.78E-7*IF(I125&lt;&gt;"",I125,IFERROR(SUMIFS(CB_plan!$H:$H,CB_plan!$F:$F,$A125)/SUMIFS(CB_plan!$G:$G,CB_plan!$F:$F,$A125),Inputs!$B$17))*H125*K125))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7">
        <f>IF(BB125="","",CH125)</f>
        <v/>
      </c>
      <c r="BA125" s="7">
        <f>IF(OR(BB125="",AZ125="",T125="",T125&lt;=0,AZ125&lt;=0),"",BB125/((T125^2/8)*(2*ACOS(1-2*AZ125/T125)-SIN(2*ACOS(1-2*AZ125/T125)))))</f>
        <v/>
      </c>
      <c r="BB125" s="4">
        <f>IF(OR(N125="",BC125=""),"",MIN(N125,BC125))</f>
        <v/>
      </c>
      <c r="BC125" s="4">
        <f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4">
        <f>IF(BB125="","",0.001*T125)</f>
        <v/>
      </c>
      <c r="BE125" s="4">
        <f>IF(BB125="","",0.94*T125)</f>
        <v/>
      </c>
      <c r="BF125" s="4">
        <f>IF(BB125="","",(BD125+BE125)/2)</f>
        <v/>
      </c>
      <c r="BG125" s="4">
        <f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4">
        <f>IF(BB125="","",IF(BG125&lt;BB125,BF125,BD125))</f>
        <v/>
      </c>
      <c r="BI125" s="4">
        <f>IF(BB125="","",IF(BG125&lt;BB125,BE125,BF125))</f>
        <v/>
      </c>
      <c r="BJ125" s="4">
        <f>IF(BB125="","",(BH125+BI125)/2)</f>
        <v/>
      </c>
      <c r="BK125" s="4">
        <f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4">
        <f>IF(BB125="","",IF(BK125&lt;BB125,BJ125,BH125))</f>
        <v/>
      </c>
      <c r="BM125" s="4">
        <f>IF(BB125="","",IF(BK125&lt;BB125,BI125,BJ125))</f>
        <v/>
      </c>
      <c r="BN125" s="4">
        <f>IF(BB125="","",(BL125+BM125)/2)</f>
        <v/>
      </c>
      <c r="BO125" s="4">
        <f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4">
        <f>IF(BB125="","",IF(BO125&lt;BB125,BN125,BL125))</f>
        <v/>
      </c>
      <c r="BQ125" s="4">
        <f>IF(BB125="","",IF(BO125&lt;BB125,BM125,BN125))</f>
        <v/>
      </c>
      <c r="BR125" s="4">
        <f>IF(BB125="","",(BP125+BQ125)/2)</f>
        <v/>
      </c>
      <c r="BS125" s="4">
        <f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4">
        <f>IF(BB125="","",IF(BS125&lt;BB125,BR125,BP125))</f>
        <v/>
      </c>
      <c r="BU125" s="4">
        <f>IF(BB125="","",IF(BS125&lt;BB125,BQ125,BR125))</f>
        <v/>
      </c>
      <c r="BV125" s="4">
        <f>IF(BB125="","",(BT125+BU125)/2)</f>
        <v/>
      </c>
      <c r="BW125" s="4">
        <f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4">
        <f>IF(BB125="","",IF(BW125&lt;BB125,BV125,BT125))</f>
        <v/>
      </c>
      <c r="BY125" s="4">
        <f>IF(BB125="","",IF(BW125&lt;BB125,BU125,BV125))</f>
        <v/>
      </c>
      <c r="BZ125" s="4">
        <f>IF(BB125="","",(BX125+BY125)/2)</f>
        <v/>
      </c>
      <c r="CA125" s="4">
        <f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4">
        <f>IF(BB125="","",IF(CA125&lt;BB125,BZ125,BX125))</f>
        <v/>
      </c>
      <c r="CC125" s="4">
        <f>IF(BB125="","",IF(CA125&lt;BB125,BY125,BZ125))</f>
        <v/>
      </c>
      <c r="CD125" s="4">
        <f>IF(BB125="","",(CB125+CC125)/2)</f>
        <v/>
      </c>
      <c r="CE125" s="4">
        <f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4">
        <f>IF(BB125="","",IF(CE125&lt;BB125,CD125,CB125))</f>
        <v/>
      </c>
      <c r="CG125" s="4">
        <f>IF(BB125="","",IF(CE125&lt;BB125,CC125,CD125))</f>
        <v/>
      </c>
      <c r="CH125" s="4">
        <f>IF(BB125="","",(CF125+CG125)/2)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SUMIFS(CB_plan!$G:$G,CB_plan!$F:$F,$A126)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IF(A126="","",IF(H126="","",2.78E-7*IF(I126&lt;&gt;"",I126,IFERROR(SUMIFS(CB_plan!$H:$H,CB_plan!$F:$F,$A126)/SUMIFS(CB_plan!$G:$G,CB_plan!$F:$F,$A126),Inputs!$B$17))*H126*K126))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7">
        <f>IF(BB126="","",CH126)</f>
        <v/>
      </c>
      <c r="BA126" s="7">
        <f>IF(OR(BB126="",AZ126="",T126="",T126&lt;=0,AZ126&lt;=0),"",BB126/((T126^2/8)*(2*ACOS(1-2*AZ126/T126)-SIN(2*ACOS(1-2*AZ126/T126)))))</f>
        <v/>
      </c>
      <c r="BB126" s="4">
        <f>IF(OR(N126="",BC126=""),"",MIN(N126,BC126))</f>
        <v/>
      </c>
      <c r="BC126" s="4">
        <f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4">
        <f>IF(BB126="","",0.001*T126)</f>
        <v/>
      </c>
      <c r="BE126" s="4">
        <f>IF(BB126="","",0.94*T126)</f>
        <v/>
      </c>
      <c r="BF126" s="4">
        <f>IF(BB126="","",(BD126+BE126)/2)</f>
        <v/>
      </c>
      <c r="BG126" s="4">
        <f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4">
        <f>IF(BB126="","",IF(BG126&lt;BB126,BF126,BD126))</f>
        <v/>
      </c>
      <c r="BI126" s="4">
        <f>IF(BB126="","",IF(BG126&lt;BB126,BE126,BF126))</f>
        <v/>
      </c>
      <c r="BJ126" s="4">
        <f>IF(BB126="","",(BH126+BI126)/2)</f>
        <v/>
      </c>
      <c r="BK126" s="4">
        <f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4">
        <f>IF(BB126="","",IF(BK126&lt;BB126,BJ126,BH126))</f>
        <v/>
      </c>
      <c r="BM126" s="4">
        <f>IF(BB126="","",IF(BK126&lt;BB126,BI126,BJ126))</f>
        <v/>
      </c>
      <c r="BN126" s="4">
        <f>IF(BB126="","",(BL126+BM126)/2)</f>
        <v/>
      </c>
      <c r="BO126" s="4">
        <f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4">
        <f>IF(BB126="","",IF(BO126&lt;BB126,BN126,BL126))</f>
        <v/>
      </c>
      <c r="BQ126" s="4">
        <f>IF(BB126="","",IF(BO126&lt;BB126,BM126,BN126))</f>
        <v/>
      </c>
      <c r="BR126" s="4">
        <f>IF(BB126="","",(BP126+BQ126)/2)</f>
        <v/>
      </c>
      <c r="BS126" s="4">
        <f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4">
        <f>IF(BB126="","",IF(BS126&lt;BB126,BR126,BP126))</f>
        <v/>
      </c>
      <c r="BU126" s="4">
        <f>IF(BB126="","",IF(BS126&lt;BB126,BQ126,BR126))</f>
        <v/>
      </c>
      <c r="BV126" s="4">
        <f>IF(BB126="","",(BT126+BU126)/2)</f>
        <v/>
      </c>
      <c r="BW126" s="4">
        <f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4">
        <f>IF(BB126="","",IF(BW126&lt;BB126,BV126,BT126))</f>
        <v/>
      </c>
      <c r="BY126" s="4">
        <f>IF(BB126="","",IF(BW126&lt;BB126,BU126,BV126))</f>
        <v/>
      </c>
      <c r="BZ126" s="4">
        <f>IF(BB126="","",(BX126+BY126)/2)</f>
        <v/>
      </c>
      <c r="CA126" s="4">
        <f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4">
        <f>IF(BB126="","",IF(CA126&lt;BB126,BZ126,BX126))</f>
        <v/>
      </c>
      <c r="CC126" s="4">
        <f>IF(BB126="","",IF(CA126&lt;BB126,BY126,BZ126))</f>
        <v/>
      </c>
      <c r="CD126" s="4">
        <f>IF(BB126="","",(CB126+CC126)/2)</f>
        <v/>
      </c>
      <c r="CE126" s="4">
        <f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4">
        <f>IF(BB126="","",IF(CE126&lt;BB126,CD126,CB126))</f>
        <v/>
      </c>
      <c r="CG126" s="4">
        <f>IF(BB126="","",IF(CE126&lt;BB126,CC126,CD126))</f>
        <v/>
      </c>
      <c r="CH126" s="4">
        <f>IF(BB126="","",(CF126+CG126)/2)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SUMIFS(CB_plan!$G:$G,CB_plan!$F:$F,$A127)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IF(A127="","",IF(H127="","",2.78E-7*IF(I127&lt;&gt;"",I127,IFERROR(SUMIFS(CB_plan!$H:$H,CB_plan!$F:$F,$A127)/SUMIFS(CB_plan!$G:$G,CB_plan!$F:$F,$A127),Inputs!$B$17))*H127*K127))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7">
        <f>IF(BB127="","",CH127)</f>
        <v/>
      </c>
      <c r="BA127" s="7">
        <f>IF(OR(BB127="",AZ127="",T127="",T127&lt;=0,AZ127&lt;=0),"",BB127/((T127^2/8)*(2*ACOS(1-2*AZ127/T127)-SIN(2*ACOS(1-2*AZ127/T127)))))</f>
        <v/>
      </c>
      <c r="BB127" s="4">
        <f>IF(OR(N127="",BC127=""),"",MIN(N127,BC127))</f>
        <v/>
      </c>
      <c r="BC127" s="4">
        <f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4">
        <f>IF(BB127="","",0.001*T127)</f>
        <v/>
      </c>
      <c r="BE127" s="4">
        <f>IF(BB127="","",0.94*T127)</f>
        <v/>
      </c>
      <c r="BF127" s="4">
        <f>IF(BB127="","",(BD127+BE127)/2)</f>
        <v/>
      </c>
      <c r="BG127" s="4">
        <f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4">
        <f>IF(BB127="","",IF(BG127&lt;BB127,BF127,BD127))</f>
        <v/>
      </c>
      <c r="BI127" s="4">
        <f>IF(BB127="","",IF(BG127&lt;BB127,BE127,BF127))</f>
        <v/>
      </c>
      <c r="BJ127" s="4">
        <f>IF(BB127="","",(BH127+BI127)/2)</f>
        <v/>
      </c>
      <c r="BK127" s="4">
        <f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4">
        <f>IF(BB127="","",IF(BK127&lt;BB127,BJ127,BH127))</f>
        <v/>
      </c>
      <c r="BM127" s="4">
        <f>IF(BB127="","",IF(BK127&lt;BB127,BI127,BJ127))</f>
        <v/>
      </c>
      <c r="BN127" s="4">
        <f>IF(BB127="","",(BL127+BM127)/2)</f>
        <v/>
      </c>
      <c r="BO127" s="4">
        <f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4">
        <f>IF(BB127="","",IF(BO127&lt;BB127,BN127,BL127))</f>
        <v/>
      </c>
      <c r="BQ127" s="4">
        <f>IF(BB127="","",IF(BO127&lt;BB127,BM127,BN127))</f>
        <v/>
      </c>
      <c r="BR127" s="4">
        <f>IF(BB127="","",(BP127+BQ127)/2)</f>
        <v/>
      </c>
      <c r="BS127" s="4">
        <f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4">
        <f>IF(BB127="","",IF(BS127&lt;BB127,BR127,BP127))</f>
        <v/>
      </c>
      <c r="BU127" s="4">
        <f>IF(BB127="","",IF(BS127&lt;BB127,BQ127,BR127))</f>
        <v/>
      </c>
      <c r="BV127" s="4">
        <f>IF(BB127="","",(BT127+BU127)/2)</f>
        <v/>
      </c>
      <c r="BW127" s="4">
        <f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4">
        <f>IF(BB127="","",IF(BW127&lt;BB127,BV127,BT127))</f>
        <v/>
      </c>
      <c r="BY127" s="4">
        <f>IF(BB127="","",IF(BW127&lt;BB127,BU127,BV127))</f>
        <v/>
      </c>
      <c r="BZ127" s="4">
        <f>IF(BB127="","",(BX127+BY127)/2)</f>
        <v/>
      </c>
      <c r="CA127" s="4">
        <f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4">
        <f>IF(BB127="","",IF(CA127&lt;BB127,BZ127,BX127))</f>
        <v/>
      </c>
      <c r="CC127" s="4">
        <f>IF(BB127="","",IF(CA127&lt;BB127,BY127,BZ127))</f>
        <v/>
      </c>
      <c r="CD127" s="4">
        <f>IF(BB127="","",(CB127+CC127)/2)</f>
        <v/>
      </c>
      <c r="CE127" s="4">
        <f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4">
        <f>IF(BB127="","",IF(CE127&lt;BB127,CD127,CB127))</f>
        <v/>
      </c>
      <c r="CG127" s="4">
        <f>IF(BB127="","",IF(CE127&lt;BB127,CC127,CD127))</f>
        <v/>
      </c>
      <c r="CH127" s="4">
        <f>IF(BB127="","",(CF127+CG127)/2)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SUMIFS(CB_plan!$G:$G,CB_plan!$F:$F,$A128)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IF(A128="","",IF(H128="","",2.78E-7*IF(I128&lt;&gt;"",I128,IFERROR(SUMIFS(CB_plan!$H:$H,CB_plan!$F:$F,$A128)/SUMIFS(CB_plan!$G:$G,CB_plan!$F:$F,$A128),Inputs!$B$17))*H128*K128))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7">
        <f>IF(BB128="","",CH128)</f>
        <v/>
      </c>
      <c r="BA128" s="7">
        <f>IF(OR(BB128="",AZ128="",T128="",T128&lt;=0,AZ128&lt;=0),"",BB128/((T128^2/8)*(2*ACOS(1-2*AZ128/T128)-SIN(2*ACOS(1-2*AZ128/T128)))))</f>
        <v/>
      </c>
      <c r="BB128" s="4">
        <f>IF(OR(N128="",BC128=""),"",MIN(N128,BC128))</f>
        <v/>
      </c>
      <c r="BC128" s="4">
        <f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4">
        <f>IF(BB128="","",0.001*T128)</f>
        <v/>
      </c>
      <c r="BE128" s="4">
        <f>IF(BB128="","",0.94*T128)</f>
        <v/>
      </c>
      <c r="BF128" s="4">
        <f>IF(BB128="","",(BD128+BE128)/2)</f>
        <v/>
      </c>
      <c r="BG128" s="4">
        <f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4">
        <f>IF(BB128="","",IF(BG128&lt;BB128,BF128,BD128))</f>
        <v/>
      </c>
      <c r="BI128" s="4">
        <f>IF(BB128="","",IF(BG128&lt;BB128,BE128,BF128))</f>
        <v/>
      </c>
      <c r="BJ128" s="4">
        <f>IF(BB128="","",(BH128+BI128)/2)</f>
        <v/>
      </c>
      <c r="BK128" s="4">
        <f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4">
        <f>IF(BB128="","",IF(BK128&lt;BB128,BJ128,BH128))</f>
        <v/>
      </c>
      <c r="BM128" s="4">
        <f>IF(BB128="","",IF(BK128&lt;BB128,BI128,BJ128))</f>
        <v/>
      </c>
      <c r="BN128" s="4">
        <f>IF(BB128="","",(BL128+BM128)/2)</f>
        <v/>
      </c>
      <c r="BO128" s="4">
        <f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4">
        <f>IF(BB128="","",IF(BO128&lt;BB128,BN128,BL128))</f>
        <v/>
      </c>
      <c r="BQ128" s="4">
        <f>IF(BB128="","",IF(BO128&lt;BB128,BM128,BN128))</f>
        <v/>
      </c>
      <c r="BR128" s="4">
        <f>IF(BB128="","",(BP128+BQ128)/2)</f>
        <v/>
      </c>
      <c r="BS128" s="4">
        <f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4">
        <f>IF(BB128="","",IF(BS128&lt;BB128,BR128,BP128))</f>
        <v/>
      </c>
      <c r="BU128" s="4">
        <f>IF(BB128="","",IF(BS128&lt;BB128,BQ128,BR128))</f>
        <v/>
      </c>
      <c r="BV128" s="4">
        <f>IF(BB128="","",(BT128+BU128)/2)</f>
        <v/>
      </c>
      <c r="BW128" s="4">
        <f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4">
        <f>IF(BB128="","",IF(BW128&lt;BB128,BV128,BT128))</f>
        <v/>
      </c>
      <c r="BY128" s="4">
        <f>IF(BB128="","",IF(BW128&lt;BB128,BU128,BV128))</f>
        <v/>
      </c>
      <c r="BZ128" s="4">
        <f>IF(BB128="","",(BX128+BY128)/2)</f>
        <v/>
      </c>
      <c r="CA128" s="4">
        <f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4">
        <f>IF(BB128="","",IF(CA128&lt;BB128,BZ128,BX128))</f>
        <v/>
      </c>
      <c r="CC128" s="4">
        <f>IF(BB128="","",IF(CA128&lt;BB128,BY128,BZ128))</f>
        <v/>
      </c>
      <c r="CD128" s="4">
        <f>IF(BB128="","",(CB128+CC128)/2)</f>
        <v/>
      </c>
      <c r="CE128" s="4">
        <f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4">
        <f>IF(BB128="","",IF(CE128&lt;BB128,CD128,CB128))</f>
        <v/>
      </c>
      <c r="CG128" s="4">
        <f>IF(BB128="","",IF(CE128&lt;BB128,CC128,CD128))</f>
        <v/>
      </c>
      <c r="CH128" s="4">
        <f>IF(BB128="","",(CF128+CG128)/2)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SUMIFS(CB_plan!$G:$G,CB_plan!$F:$F,$A129)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IF(A129="","",IF(H129="","",2.78E-7*IF(I129&lt;&gt;"",I129,IFERROR(SUMIFS(CB_plan!$H:$H,CB_plan!$F:$F,$A129)/SUMIFS(CB_plan!$G:$G,CB_plan!$F:$F,$A129),Inputs!$B$17))*H129*K129))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7">
        <f>IF(BB129="","",CH129)</f>
        <v/>
      </c>
      <c r="BA129" s="7">
        <f>IF(OR(BB129="",AZ129="",T129="",T129&lt;=0,AZ129&lt;=0),"",BB129/((T129^2/8)*(2*ACOS(1-2*AZ129/T129)-SIN(2*ACOS(1-2*AZ129/T129)))))</f>
        <v/>
      </c>
      <c r="BB129" s="4">
        <f>IF(OR(N129="",BC129=""),"",MIN(N129,BC129))</f>
        <v/>
      </c>
      <c r="BC129" s="4">
        <f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4">
        <f>IF(BB129="","",0.001*T129)</f>
        <v/>
      </c>
      <c r="BE129" s="4">
        <f>IF(BB129="","",0.94*T129)</f>
        <v/>
      </c>
      <c r="BF129" s="4">
        <f>IF(BB129="","",(BD129+BE129)/2)</f>
        <v/>
      </c>
      <c r="BG129" s="4">
        <f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4">
        <f>IF(BB129="","",IF(BG129&lt;BB129,BF129,BD129))</f>
        <v/>
      </c>
      <c r="BI129" s="4">
        <f>IF(BB129="","",IF(BG129&lt;BB129,BE129,BF129))</f>
        <v/>
      </c>
      <c r="BJ129" s="4">
        <f>IF(BB129="","",(BH129+BI129)/2)</f>
        <v/>
      </c>
      <c r="BK129" s="4">
        <f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4">
        <f>IF(BB129="","",IF(BK129&lt;BB129,BJ129,BH129))</f>
        <v/>
      </c>
      <c r="BM129" s="4">
        <f>IF(BB129="","",IF(BK129&lt;BB129,BI129,BJ129))</f>
        <v/>
      </c>
      <c r="BN129" s="4">
        <f>IF(BB129="","",(BL129+BM129)/2)</f>
        <v/>
      </c>
      <c r="BO129" s="4">
        <f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4">
        <f>IF(BB129="","",IF(BO129&lt;BB129,BN129,BL129))</f>
        <v/>
      </c>
      <c r="BQ129" s="4">
        <f>IF(BB129="","",IF(BO129&lt;BB129,BM129,BN129))</f>
        <v/>
      </c>
      <c r="BR129" s="4">
        <f>IF(BB129="","",(BP129+BQ129)/2)</f>
        <v/>
      </c>
      <c r="BS129" s="4">
        <f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4">
        <f>IF(BB129="","",IF(BS129&lt;BB129,BR129,BP129))</f>
        <v/>
      </c>
      <c r="BU129" s="4">
        <f>IF(BB129="","",IF(BS129&lt;BB129,BQ129,BR129))</f>
        <v/>
      </c>
      <c r="BV129" s="4">
        <f>IF(BB129="","",(BT129+BU129)/2)</f>
        <v/>
      </c>
      <c r="BW129" s="4">
        <f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4">
        <f>IF(BB129="","",IF(BW129&lt;BB129,BV129,BT129))</f>
        <v/>
      </c>
      <c r="BY129" s="4">
        <f>IF(BB129="","",IF(BW129&lt;BB129,BU129,BV129))</f>
        <v/>
      </c>
      <c r="BZ129" s="4">
        <f>IF(BB129="","",(BX129+BY129)/2)</f>
        <v/>
      </c>
      <c r="CA129" s="4">
        <f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4">
        <f>IF(BB129="","",IF(CA129&lt;BB129,BZ129,BX129))</f>
        <v/>
      </c>
      <c r="CC129" s="4">
        <f>IF(BB129="","",IF(CA129&lt;BB129,BY129,BZ129))</f>
        <v/>
      </c>
      <c r="CD129" s="4">
        <f>IF(BB129="","",(CB129+CC129)/2)</f>
        <v/>
      </c>
      <c r="CE129" s="4">
        <f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4">
        <f>IF(BB129="","",IF(CE129&lt;BB129,CD129,CB129))</f>
        <v/>
      </c>
      <c r="CG129" s="4">
        <f>IF(BB129="","",IF(CE129&lt;BB129,CC129,CD129))</f>
        <v/>
      </c>
      <c r="CH129" s="4">
        <f>IF(BB129="","",(CF129+CG129)/2)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SUMIFS(CB_plan!$G:$G,CB_plan!$F:$F,$A130)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IF(A130="","",IF(H130="","",2.78E-7*IF(I130&lt;&gt;"",I130,IFERROR(SUMIFS(CB_plan!$H:$H,CB_plan!$F:$F,$A130)/SUMIFS(CB_plan!$G:$G,CB_plan!$F:$F,$A130),Inputs!$B$17))*H130*K130))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7">
        <f>IF(BB130="","",CH130)</f>
        <v/>
      </c>
      <c r="BA130" s="7">
        <f>IF(OR(BB130="",AZ130="",T130="",T130&lt;=0,AZ130&lt;=0),"",BB130/((T130^2/8)*(2*ACOS(1-2*AZ130/T130)-SIN(2*ACOS(1-2*AZ130/T130)))))</f>
        <v/>
      </c>
      <c r="BB130" s="4">
        <f>IF(OR(N130="",BC130=""),"",MIN(N130,BC130))</f>
        <v/>
      </c>
      <c r="BC130" s="4">
        <f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4">
        <f>IF(BB130="","",0.001*T130)</f>
        <v/>
      </c>
      <c r="BE130" s="4">
        <f>IF(BB130="","",0.94*T130)</f>
        <v/>
      </c>
      <c r="BF130" s="4">
        <f>IF(BB130="","",(BD130+BE130)/2)</f>
        <v/>
      </c>
      <c r="BG130" s="4">
        <f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4">
        <f>IF(BB130="","",IF(BG130&lt;BB130,BF130,BD130))</f>
        <v/>
      </c>
      <c r="BI130" s="4">
        <f>IF(BB130="","",IF(BG130&lt;BB130,BE130,BF130))</f>
        <v/>
      </c>
      <c r="BJ130" s="4">
        <f>IF(BB130="","",(BH130+BI130)/2)</f>
        <v/>
      </c>
      <c r="BK130" s="4">
        <f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4">
        <f>IF(BB130="","",IF(BK130&lt;BB130,BJ130,BH130))</f>
        <v/>
      </c>
      <c r="BM130" s="4">
        <f>IF(BB130="","",IF(BK130&lt;BB130,BI130,BJ130))</f>
        <v/>
      </c>
      <c r="BN130" s="4">
        <f>IF(BB130="","",(BL130+BM130)/2)</f>
        <v/>
      </c>
      <c r="BO130" s="4">
        <f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4">
        <f>IF(BB130="","",IF(BO130&lt;BB130,BN130,BL130))</f>
        <v/>
      </c>
      <c r="BQ130" s="4">
        <f>IF(BB130="","",IF(BO130&lt;BB130,BM130,BN130))</f>
        <v/>
      </c>
      <c r="BR130" s="4">
        <f>IF(BB130="","",(BP130+BQ130)/2)</f>
        <v/>
      </c>
      <c r="BS130" s="4">
        <f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4">
        <f>IF(BB130="","",IF(BS130&lt;BB130,BR130,BP130))</f>
        <v/>
      </c>
      <c r="BU130" s="4">
        <f>IF(BB130="","",IF(BS130&lt;BB130,BQ130,BR130))</f>
        <v/>
      </c>
      <c r="BV130" s="4">
        <f>IF(BB130="","",(BT130+BU130)/2)</f>
        <v/>
      </c>
      <c r="BW130" s="4">
        <f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4">
        <f>IF(BB130="","",IF(BW130&lt;BB130,BV130,BT130))</f>
        <v/>
      </c>
      <c r="BY130" s="4">
        <f>IF(BB130="","",IF(BW130&lt;BB130,BU130,BV130))</f>
        <v/>
      </c>
      <c r="BZ130" s="4">
        <f>IF(BB130="","",(BX130+BY130)/2)</f>
        <v/>
      </c>
      <c r="CA130" s="4">
        <f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4">
        <f>IF(BB130="","",IF(CA130&lt;BB130,BZ130,BX130))</f>
        <v/>
      </c>
      <c r="CC130" s="4">
        <f>IF(BB130="","",IF(CA130&lt;BB130,BY130,BZ130))</f>
        <v/>
      </c>
      <c r="CD130" s="4">
        <f>IF(BB130="","",(CB130+CC130)/2)</f>
        <v/>
      </c>
      <c r="CE130" s="4">
        <f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4">
        <f>IF(BB130="","",IF(CE130&lt;BB130,CD130,CB130))</f>
        <v/>
      </c>
      <c r="CG130" s="4">
        <f>IF(BB130="","",IF(CE130&lt;BB130,CC130,CD130))</f>
        <v/>
      </c>
      <c r="CH130" s="4">
        <f>IF(BB130="","",(CF130+CG130)/2)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SUMIFS(CB_plan!$G:$G,CB_plan!$F:$F,$A131)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IF(A131="","",IF(H131="","",2.78E-7*IF(I131&lt;&gt;"",I131,IFERROR(SUMIFS(CB_plan!$H:$H,CB_plan!$F:$F,$A131)/SUMIFS(CB_plan!$G:$G,CB_plan!$F:$F,$A131),Inputs!$B$17))*H131*K131))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7">
        <f>IF(BB131="","",CH131)</f>
        <v/>
      </c>
      <c r="BA131" s="7">
        <f>IF(OR(BB131="",AZ131="",T131="",T131&lt;=0,AZ131&lt;=0),"",BB131/((T131^2/8)*(2*ACOS(1-2*AZ131/T131)-SIN(2*ACOS(1-2*AZ131/T131)))))</f>
        <v/>
      </c>
      <c r="BB131" s="4">
        <f>IF(OR(N131="",BC131=""),"",MIN(N131,BC131))</f>
        <v/>
      </c>
      <c r="BC131" s="4">
        <f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4">
        <f>IF(BB131="","",0.001*T131)</f>
        <v/>
      </c>
      <c r="BE131" s="4">
        <f>IF(BB131="","",0.94*T131)</f>
        <v/>
      </c>
      <c r="BF131" s="4">
        <f>IF(BB131="","",(BD131+BE131)/2)</f>
        <v/>
      </c>
      <c r="BG131" s="4">
        <f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4">
        <f>IF(BB131="","",IF(BG131&lt;BB131,BF131,BD131))</f>
        <v/>
      </c>
      <c r="BI131" s="4">
        <f>IF(BB131="","",IF(BG131&lt;BB131,BE131,BF131))</f>
        <v/>
      </c>
      <c r="BJ131" s="4">
        <f>IF(BB131="","",(BH131+BI131)/2)</f>
        <v/>
      </c>
      <c r="BK131" s="4">
        <f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4">
        <f>IF(BB131="","",IF(BK131&lt;BB131,BJ131,BH131))</f>
        <v/>
      </c>
      <c r="BM131" s="4">
        <f>IF(BB131="","",IF(BK131&lt;BB131,BI131,BJ131))</f>
        <v/>
      </c>
      <c r="BN131" s="4">
        <f>IF(BB131="","",(BL131+BM131)/2)</f>
        <v/>
      </c>
      <c r="BO131" s="4">
        <f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4">
        <f>IF(BB131="","",IF(BO131&lt;BB131,BN131,BL131))</f>
        <v/>
      </c>
      <c r="BQ131" s="4">
        <f>IF(BB131="","",IF(BO131&lt;BB131,BM131,BN131))</f>
        <v/>
      </c>
      <c r="BR131" s="4">
        <f>IF(BB131="","",(BP131+BQ131)/2)</f>
        <v/>
      </c>
      <c r="BS131" s="4">
        <f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4">
        <f>IF(BB131="","",IF(BS131&lt;BB131,BR131,BP131))</f>
        <v/>
      </c>
      <c r="BU131" s="4">
        <f>IF(BB131="","",IF(BS131&lt;BB131,BQ131,BR131))</f>
        <v/>
      </c>
      <c r="BV131" s="4">
        <f>IF(BB131="","",(BT131+BU131)/2)</f>
        <v/>
      </c>
      <c r="BW131" s="4">
        <f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4">
        <f>IF(BB131="","",IF(BW131&lt;BB131,BV131,BT131))</f>
        <v/>
      </c>
      <c r="BY131" s="4">
        <f>IF(BB131="","",IF(BW131&lt;BB131,BU131,BV131))</f>
        <v/>
      </c>
      <c r="BZ131" s="4">
        <f>IF(BB131="","",(BX131+BY131)/2)</f>
        <v/>
      </c>
      <c r="CA131" s="4">
        <f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4">
        <f>IF(BB131="","",IF(CA131&lt;BB131,BZ131,BX131))</f>
        <v/>
      </c>
      <c r="CC131" s="4">
        <f>IF(BB131="","",IF(CA131&lt;BB131,BY131,BZ131))</f>
        <v/>
      </c>
      <c r="CD131" s="4">
        <f>IF(BB131="","",(CB131+CC131)/2)</f>
        <v/>
      </c>
      <c r="CE131" s="4">
        <f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4">
        <f>IF(BB131="","",IF(CE131&lt;BB131,CD131,CB131))</f>
        <v/>
      </c>
      <c r="CG131" s="4">
        <f>IF(BB131="","",IF(CE131&lt;BB131,CC131,CD131))</f>
        <v/>
      </c>
      <c r="CH131" s="4">
        <f>IF(BB131="","",(CF131+CG131)/2)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SUMIFS(CB_plan!$G:$G,CB_plan!$F:$F,$A132)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IF(A132="","",IF(H132="","",2.78E-7*IF(I132&lt;&gt;"",I132,IFERROR(SUMIFS(CB_plan!$H:$H,CB_plan!$F:$F,$A132)/SUMIFS(CB_plan!$G:$G,CB_plan!$F:$F,$A132),Inputs!$B$17))*H132*K132))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7">
        <f>IF(BB132="","",CH132)</f>
        <v/>
      </c>
      <c r="BA132" s="7">
        <f>IF(OR(BB132="",AZ132="",T132="",T132&lt;=0,AZ132&lt;=0),"",BB132/((T132^2/8)*(2*ACOS(1-2*AZ132/T132)-SIN(2*ACOS(1-2*AZ132/T132)))))</f>
        <v/>
      </c>
      <c r="BB132" s="4">
        <f>IF(OR(N132="",BC132=""),"",MIN(N132,BC132))</f>
        <v/>
      </c>
      <c r="BC132" s="4">
        <f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4">
        <f>IF(BB132="","",0.001*T132)</f>
        <v/>
      </c>
      <c r="BE132" s="4">
        <f>IF(BB132="","",0.94*T132)</f>
        <v/>
      </c>
      <c r="BF132" s="4">
        <f>IF(BB132="","",(BD132+BE132)/2)</f>
        <v/>
      </c>
      <c r="BG132" s="4">
        <f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4">
        <f>IF(BB132="","",IF(BG132&lt;BB132,BF132,BD132))</f>
        <v/>
      </c>
      <c r="BI132" s="4">
        <f>IF(BB132="","",IF(BG132&lt;BB132,BE132,BF132))</f>
        <v/>
      </c>
      <c r="BJ132" s="4">
        <f>IF(BB132="","",(BH132+BI132)/2)</f>
        <v/>
      </c>
      <c r="BK132" s="4">
        <f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4">
        <f>IF(BB132="","",IF(BK132&lt;BB132,BJ132,BH132))</f>
        <v/>
      </c>
      <c r="BM132" s="4">
        <f>IF(BB132="","",IF(BK132&lt;BB132,BI132,BJ132))</f>
        <v/>
      </c>
      <c r="BN132" s="4">
        <f>IF(BB132="","",(BL132+BM132)/2)</f>
        <v/>
      </c>
      <c r="BO132" s="4">
        <f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4">
        <f>IF(BB132="","",IF(BO132&lt;BB132,BN132,BL132))</f>
        <v/>
      </c>
      <c r="BQ132" s="4">
        <f>IF(BB132="","",IF(BO132&lt;BB132,BM132,BN132))</f>
        <v/>
      </c>
      <c r="BR132" s="4">
        <f>IF(BB132="","",(BP132+BQ132)/2)</f>
        <v/>
      </c>
      <c r="BS132" s="4">
        <f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4">
        <f>IF(BB132="","",IF(BS132&lt;BB132,BR132,BP132))</f>
        <v/>
      </c>
      <c r="BU132" s="4">
        <f>IF(BB132="","",IF(BS132&lt;BB132,BQ132,BR132))</f>
        <v/>
      </c>
      <c r="BV132" s="4">
        <f>IF(BB132="","",(BT132+BU132)/2)</f>
        <v/>
      </c>
      <c r="BW132" s="4">
        <f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4">
        <f>IF(BB132="","",IF(BW132&lt;BB132,BV132,BT132))</f>
        <v/>
      </c>
      <c r="BY132" s="4">
        <f>IF(BB132="","",IF(BW132&lt;BB132,BU132,BV132))</f>
        <v/>
      </c>
      <c r="BZ132" s="4">
        <f>IF(BB132="","",(BX132+BY132)/2)</f>
        <v/>
      </c>
      <c r="CA132" s="4">
        <f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4">
        <f>IF(BB132="","",IF(CA132&lt;BB132,BZ132,BX132))</f>
        <v/>
      </c>
      <c r="CC132" s="4">
        <f>IF(BB132="","",IF(CA132&lt;BB132,BY132,BZ132))</f>
        <v/>
      </c>
      <c r="CD132" s="4">
        <f>IF(BB132="","",(CB132+CC132)/2)</f>
        <v/>
      </c>
      <c r="CE132" s="4">
        <f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4">
        <f>IF(BB132="","",IF(CE132&lt;BB132,CD132,CB132))</f>
        <v/>
      </c>
      <c r="CG132" s="4">
        <f>IF(BB132="","",IF(CE132&lt;BB132,CC132,CD132))</f>
        <v/>
      </c>
      <c r="CH132" s="4">
        <f>IF(BB132="","",(CF132+CG132)/2)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SUMIFS(CB_plan!$G:$G,CB_plan!$F:$F,$A133)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IF(A133="","",IF(H133="","",2.78E-7*IF(I133&lt;&gt;"",I133,IFERROR(SUMIFS(CB_plan!$H:$H,CB_plan!$F:$F,$A133)/SUMIFS(CB_plan!$G:$G,CB_plan!$F:$F,$A133),Inputs!$B$17))*H133*K133))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7">
        <f>IF(BB133="","",CH133)</f>
        <v/>
      </c>
      <c r="BA133" s="7">
        <f>IF(OR(BB133="",AZ133="",T133="",T133&lt;=0,AZ133&lt;=0),"",BB133/((T133^2/8)*(2*ACOS(1-2*AZ133/T133)-SIN(2*ACOS(1-2*AZ133/T133)))))</f>
        <v/>
      </c>
      <c r="BB133" s="4">
        <f>IF(OR(N133="",BC133=""),"",MIN(N133,BC133))</f>
        <v/>
      </c>
      <c r="BC133" s="4">
        <f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4">
        <f>IF(BB133="","",0.001*T133)</f>
        <v/>
      </c>
      <c r="BE133" s="4">
        <f>IF(BB133="","",0.94*T133)</f>
        <v/>
      </c>
      <c r="BF133" s="4">
        <f>IF(BB133="","",(BD133+BE133)/2)</f>
        <v/>
      </c>
      <c r="BG133" s="4">
        <f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4">
        <f>IF(BB133="","",IF(BG133&lt;BB133,BF133,BD133))</f>
        <v/>
      </c>
      <c r="BI133" s="4">
        <f>IF(BB133="","",IF(BG133&lt;BB133,BE133,BF133))</f>
        <v/>
      </c>
      <c r="BJ133" s="4">
        <f>IF(BB133="","",(BH133+BI133)/2)</f>
        <v/>
      </c>
      <c r="BK133" s="4">
        <f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4">
        <f>IF(BB133="","",IF(BK133&lt;BB133,BJ133,BH133))</f>
        <v/>
      </c>
      <c r="BM133" s="4">
        <f>IF(BB133="","",IF(BK133&lt;BB133,BI133,BJ133))</f>
        <v/>
      </c>
      <c r="BN133" s="4">
        <f>IF(BB133="","",(BL133+BM133)/2)</f>
        <v/>
      </c>
      <c r="BO133" s="4">
        <f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4">
        <f>IF(BB133="","",IF(BO133&lt;BB133,BN133,BL133))</f>
        <v/>
      </c>
      <c r="BQ133" s="4">
        <f>IF(BB133="","",IF(BO133&lt;BB133,BM133,BN133))</f>
        <v/>
      </c>
      <c r="BR133" s="4">
        <f>IF(BB133="","",(BP133+BQ133)/2)</f>
        <v/>
      </c>
      <c r="BS133" s="4">
        <f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4">
        <f>IF(BB133="","",IF(BS133&lt;BB133,BR133,BP133))</f>
        <v/>
      </c>
      <c r="BU133" s="4">
        <f>IF(BB133="","",IF(BS133&lt;BB133,BQ133,BR133))</f>
        <v/>
      </c>
      <c r="BV133" s="4">
        <f>IF(BB133="","",(BT133+BU133)/2)</f>
        <v/>
      </c>
      <c r="BW133" s="4">
        <f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4">
        <f>IF(BB133="","",IF(BW133&lt;BB133,BV133,BT133))</f>
        <v/>
      </c>
      <c r="BY133" s="4">
        <f>IF(BB133="","",IF(BW133&lt;BB133,BU133,BV133))</f>
        <v/>
      </c>
      <c r="BZ133" s="4">
        <f>IF(BB133="","",(BX133+BY133)/2)</f>
        <v/>
      </c>
      <c r="CA133" s="4">
        <f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4">
        <f>IF(BB133="","",IF(CA133&lt;BB133,BZ133,BX133))</f>
        <v/>
      </c>
      <c r="CC133" s="4">
        <f>IF(BB133="","",IF(CA133&lt;BB133,BY133,BZ133))</f>
        <v/>
      </c>
      <c r="CD133" s="4">
        <f>IF(BB133="","",(CB133+CC133)/2)</f>
        <v/>
      </c>
      <c r="CE133" s="4">
        <f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4">
        <f>IF(BB133="","",IF(CE133&lt;BB133,CD133,CB133))</f>
        <v/>
      </c>
      <c r="CG133" s="4">
        <f>IF(BB133="","",IF(CE133&lt;BB133,CC133,CD133))</f>
        <v/>
      </c>
      <c r="CH133" s="4">
        <f>IF(BB133="","",(CF133+CG133)/2)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SUMIFS(CB_plan!$G:$G,CB_plan!$F:$F,$A134)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IF(A134="","",IF(H134="","",2.78E-7*IF(I134&lt;&gt;"",I134,IFERROR(SUMIFS(CB_plan!$H:$H,CB_plan!$F:$F,$A134)/SUMIFS(CB_plan!$G:$G,CB_plan!$F:$F,$A134),Inputs!$B$17))*H134*K134))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7">
        <f>IF(BB134="","",CH134)</f>
        <v/>
      </c>
      <c r="BA134" s="7">
        <f>IF(OR(BB134="",AZ134="",T134="",T134&lt;=0,AZ134&lt;=0),"",BB134/((T134^2/8)*(2*ACOS(1-2*AZ134/T134)-SIN(2*ACOS(1-2*AZ134/T134)))))</f>
        <v/>
      </c>
      <c r="BB134" s="4">
        <f>IF(OR(N134="",BC134=""),"",MIN(N134,BC134))</f>
        <v/>
      </c>
      <c r="BC134" s="4">
        <f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4">
        <f>IF(BB134="","",0.001*T134)</f>
        <v/>
      </c>
      <c r="BE134" s="4">
        <f>IF(BB134="","",0.94*T134)</f>
        <v/>
      </c>
      <c r="BF134" s="4">
        <f>IF(BB134="","",(BD134+BE134)/2)</f>
        <v/>
      </c>
      <c r="BG134" s="4">
        <f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4">
        <f>IF(BB134="","",IF(BG134&lt;BB134,BF134,BD134))</f>
        <v/>
      </c>
      <c r="BI134" s="4">
        <f>IF(BB134="","",IF(BG134&lt;BB134,BE134,BF134))</f>
        <v/>
      </c>
      <c r="BJ134" s="4">
        <f>IF(BB134="","",(BH134+BI134)/2)</f>
        <v/>
      </c>
      <c r="BK134" s="4">
        <f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4">
        <f>IF(BB134="","",IF(BK134&lt;BB134,BJ134,BH134))</f>
        <v/>
      </c>
      <c r="BM134" s="4">
        <f>IF(BB134="","",IF(BK134&lt;BB134,BI134,BJ134))</f>
        <v/>
      </c>
      <c r="BN134" s="4">
        <f>IF(BB134="","",(BL134+BM134)/2)</f>
        <v/>
      </c>
      <c r="BO134" s="4">
        <f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4">
        <f>IF(BB134="","",IF(BO134&lt;BB134,BN134,BL134))</f>
        <v/>
      </c>
      <c r="BQ134" s="4">
        <f>IF(BB134="","",IF(BO134&lt;BB134,BM134,BN134))</f>
        <v/>
      </c>
      <c r="BR134" s="4">
        <f>IF(BB134="","",(BP134+BQ134)/2)</f>
        <v/>
      </c>
      <c r="BS134" s="4">
        <f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4">
        <f>IF(BB134="","",IF(BS134&lt;BB134,BR134,BP134))</f>
        <v/>
      </c>
      <c r="BU134" s="4">
        <f>IF(BB134="","",IF(BS134&lt;BB134,BQ134,BR134))</f>
        <v/>
      </c>
      <c r="BV134" s="4">
        <f>IF(BB134="","",(BT134+BU134)/2)</f>
        <v/>
      </c>
      <c r="BW134" s="4">
        <f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4">
        <f>IF(BB134="","",IF(BW134&lt;BB134,BV134,BT134))</f>
        <v/>
      </c>
      <c r="BY134" s="4">
        <f>IF(BB134="","",IF(BW134&lt;BB134,BU134,BV134))</f>
        <v/>
      </c>
      <c r="BZ134" s="4">
        <f>IF(BB134="","",(BX134+BY134)/2)</f>
        <v/>
      </c>
      <c r="CA134" s="4">
        <f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4">
        <f>IF(BB134="","",IF(CA134&lt;BB134,BZ134,BX134))</f>
        <v/>
      </c>
      <c r="CC134" s="4">
        <f>IF(BB134="","",IF(CA134&lt;BB134,BY134,BZ134))</f>
        <v/>
      </c>
      <c r="CD134" s="4">
        <f>IF(BB134="","",(CB134+CC134)/2)</f>
        <v/>
      </c>
      <c r="CE134" s="4">
        <f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4">
        <f>IF(BB134="","",IF(CE134&lt;BB134,CD134,CB134))</f>
        <v/>
      </c>
      <c r="CG134" s="4">
        <f>IF(BB134="","",IF(CE134&lt;BB134,CC134,CD134))</f>
        <v/>
      </c>
      <c r="CH134" s="4">
        <f>IF(BB134="","",(CF134+CG134)/2)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SUMIFS(CB_plan!$G:$G,CB_plan!$F:$F,$A135)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IF(A135="","",IF(H135="","",2.78E-7*IF(I135&lt;&gt;"",I135,IFERROR(SUMIFS(CB_plan!$H:$H,CB_plan!$F:$F,$A135)/SUMIFS(CB_plan!$G:$G,CB_plan!$F:$F,$A135),Inputs!$B$17))*H135*K135))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7">
        <f>IF(BB135="","",CH135)</f>
        <v/>
      </c>
      <c r="BA135" s="7">
        <f>IF(OR(BB135="",AZ135="",T135="",T135&lt;=0,AZ135&lt;=0),"",BB135/((T135^2/8)*(2*ACOS(1-2*AZ135/T135)-SIN(2*ACOS(1-2*AZ135/T135)))))</f>
        <v/>
      </c>
      <c r="BB135" s="4">
        <f>IF(OR(N135="",BC135=""),"",MIN(N135,BC135))</f>
        <v/>
      </c>
      <c r="BC135" s="4">
        <f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4">
        <f>IF(BB135="","",0.001*T135)</f>
        <v/>
      </c>
      <c r="BE135" s="4">
        <f>IF(BB135="","",0.94*T135)</f>
        <v/>
      </c>
      <c r="BF135" s="4">
        <f>IF(BB135="","",(BD135+BE135)/2)</f>
        <v/>
      </c>
      <c r="BG135" s="4">
        <f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4">
        <f>IF(BB135="","",IF(BG135&lt;BB135,BF135,BD135))</f>
        <v/>
      </c>
      <c r="BI135" s="4">
        <f>IF(BB135="","",IF(BG135&lt;BB135,BE135,BF135))</f>
        <v/>
      </c>
      <c r="BJ135" s="4">
        <f>IF(BB135="","",(BH135+BI135)/2)</f>
        <v/>
      </c>
      <c r="BK135" s="4">
        <f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4">
        <f>IF(BB135="","",IF(BK135&lt;BB135,BJ135,BH135))</f>
        <v/>
      </c>
      <c r="BM135" s="4">
        <f>IF(BB135="","",IF(BK135&lt;BB135,BI135,BJ135))</f>
        <v/>
      </c>
      <c r="BN135" s="4">
        <f>IF(BB135="","",(BL135+BM135)/2)</f>
        <v/>
      </c>
      <c r="BO135" s="4">
        <f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4">
        <f>IF(BB135="","",IF(BO135&lt;BB135,BN135,BL135))</f>
        <v/>
      </c>
      <c r="BQ135" s="4">
        <f>IF(BB135="","",IF(BO135&lt;BB135,BM135,BN135))</f>
        <v/>
      </c>
      <c r="BR135" s="4">
        <f>IF(BB135="","",(BP135+BQ135)/2)</f>
        <v/>
      </c>
      <c r="BS135" s="4">
        <f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4">
        <f>IF(BB135="","",IF(BS135&lt;BB135,BR135,BP135))</f>
        <v/>
      </c>
      <c r="BU135" s="4">
        <f>IF(BB135="","",IF(BS135&lt;BB135,BQ135,BR135))</f>
        <v/>
      </c>
      <c r="BV135" s="4">
        <f>IF(BB135="","",(BT135+BU135)/2)</f>
        <v/>
      </c>
      <c r="BW135" s="4">
        <f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4">
        <f>IF(BB135="","",IF(BW135&lt;BB135,BV135,BT135))</f>
        <v/>
      </c>
      <c r="BY135" s="4">
        <f>IF(BB135="","",IF(BW135&lt;BB135,BU135,BV135))</f>
        <v/>
      </c>
      <c r="BZ135" s="4">
        <f>IF(BB135="","",(BX135+BY135)/2)</f>
        <v/>
      </c>
      <c r="CA135" s="4">
        <f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4">
        <f>IF(BB135="","",IF(CA135&lt;BB135,BZ135,BX135))</f>
        <v/>
      </c>
      <c r="CC135" s="4">
        <f>IF(BB135="","",IF(CA135&lt;BB135,BY135,BZ135))</f>
        <v/>
      </c>
      <c r="CD135" s="4">
        <f>IF(BB135="","",(CB135+CC135)/2)</f>
        <v/>
      </c>
      <c r="CE135" s="4">
        <f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4">
        <f>IF(BB135="","",IF(CE135&lt;BB135,CD135,CB135))</f>
        <v/>
      </c>
      <c r="CG135" s="4">
        <f>IF(BB135="","",IF(CE135&lt;BB135,CC135,CD135))</f>
        <v/>
      </c>
      <c r="CH135" s="4">
        <f>IF(BB135="","",(CF135+CG135)/2)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SUMIFS(CB_plan!$G:$G,CB_plan!$F:$F,$A136)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IF(A136="","",IF(H136="","",2.78E-7*IF(I136&lt;&gt;"",I136,IFERROR(SUMIFS(CB_plan!$H:$H,CB_plan!$F:$F,$A136)/SUMIFS(CB_plan!$G:$G,CB_plan!$F:$F,$A136),Inputs!$B$17))*H136*K136))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7">
        <f>IF(BB136="","",CH136)</f>
        <v/>
      </c>
      <c r="BA136" s="7">
        <f>IF(OR(BB136="",AZ136="",T136="",T136&lt;=0,AZ136&lt;=0),"",BB136/((T136^2/8)*(2*ACOS(1-2*AZ136/T136)-SIN(2*ACOS(1-2*AZ136/T136)))))</f>
        <v/>
      </c>
      <c r="BB136" s="4">
        <f>IF(OR(N136="",BC136=""),"",MIN(N136,BC136))</f>
        <v/>
      </c>
      <c r="BC136" s="4">
        <f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4">
        <f>IF(BB136="","",0.001*T136)</f>
        <v/>
      </c>
      <c r="BE136" s="4">
        <f>IF(BB136="","",0.94*T136)</f>
        <v/>
      </c>
      <c r="BF136" s="4">
        <f>IF(BB136="","",(BD136+BE136)/2)</f>
        <v/>
      </c>
      <c r="BG136" s="4">
        <f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4">
        <f>IF(BB136="","",IF(BG136&lt;BB136,BF136,BD136))</f>
        <v/>
      </c>
      <c r="BI136" s="4">
        <f>IF(BB136="","",IF(BG136&lt;BB136,BE136,BF136))</f>
        <v/>
      </c>
      <c r="BJ136" s="4">
        <f>IF(BB136="","",(BH136+BI136)/2)</f>
        <v/>
      </c>
      <c r="BK136" s="4">
        <f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4">
        <f>IF(BB136="","",IF(BK136&lt;BB136,BJ136,BH136))</f>
        <v/>
      </c>
      <c r="BM136" s="4">
        <f>IF(BB136="","",IF(BK136&lt;BB136,BI136,BJ136))</f>
        <v/>
      </c>
      <c r="BN136" s="4">
        <f>IF(BB136="","",(BL136+BM136)/2)</f>
        <v/>
      </c>
      <c r="BO136" s="4">
        <f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4">
        <f>IF(BB136="","",IF(BO136&lt;BB136,BN136,BL136))</f>
        <v/>
      </c>
      <c r="BQ136" s="4">
        <f>IF(BB136="","",IF(BO136&lt;BB136,BM136,BN136))</f>
        <v/>
      </c>
      <c r="BR136" s="4">
        <f>IF(BB136="","",(BP136+BQ136)/2)</f>
        <v/>
      </c>
      <c r="BS136" s="4">
        <f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4">
        <f>IF(BB136="","",IF(BS136&lt;BB136,BR136,BP136))</f>
        <v/>
      </c>
      <c r="BU136" s="4">
        <f>IF(BB136="","",IF(BS136&lt;BB136,BQ136,BR136))</f>
        <v/>
      </c>
      <c r="BV136" s="4">
        <f>IF(BB136="","",(BT136+BU136)/2)</f>
        <v/>
      </c>
      <c r="BW136" s="4">
        <f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4">
        <f>IF(BB136="","",IF(BW136&lt;BB136,BV136,BT136))</f>
        <v/>
      </c>
      <c r="BY136" s="4">
        <f>IF(BB136="","",IF(BW136&lt;BB136,BU136,BV136))</f>
        <v/>
      </c>
      <c r="BZ136" s="4">
        <f>IF(BB136="","",(BX136+BY136)/2)</f>
        <v/>
      </c>
      <c r="CA136" s="4">
        <f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4">
        <f>IF(BB136="","",IF(CA136&lt;BB136,BZ136,BX136))</f>
        <v/>
      </c>
      <c r="CC136" s="4">
        <f>IF(BB136="","",IF(CA136&lt;BB136,BY136,BZ136))</f>
        <v/>
      </c>
      <c r="CD136" s="4">
        <f>IF(BB136="","",(CB136+CC136)/2)</f>
        <v/>
      </c>
      <c r="CE136" s="4">
        <f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4">
        <f>IF(BB136="","",IF(CE136&lt;BB136,CD136,CB136))</f>
        <v/>
      </c>
      <c r="CG136" s="4">
        <f>IF(BB136="","",IF(CE136&lt;BB136,CC136,CD136))</f>
        <v/>
      </c>
      <c r="CH136" s="4">
        <f>IF(BB136="","",(CF136+CG136)/2)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SUMIFS(CB_plan!$G:$G,CB_plan!$F:$F,$A137)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IF(A137="","",IF(H137="","",2.78E-7*IF(I137&lt;&gt;"",I137,IFERROR(SUMIFS(CB_plan!$H:$H,CB_plan!$F:$F,$A137)/SUMIFS(CB_plan!$G:$G,CB_plan!$F:$F,$A137),Inputs!$B$17))*H137*K137))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7">
        <f>IF(BB137="","",CH137)</f>
        <v/>
      </c>
      <c r="BA137" s="7">
        <f>IF(OR(BB137="",AZ137="",T137="",T137&lt;=0,AZ137&lt;=0),"",BB137/((T137^2/8)*(2*ACOS(1-2*AZ137/T137)-SIN(2*ACOS(1-2*AZ137/T137)))))</f>
        <v/>
      </c>
      <c r="BB137" s="4">
        <f>IF(OR(N137="",BC137=""),"",MIN(N137,BC137))</f>
        <v/>
      </c>
      <c r="BC137" s="4">
        <f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4">
        <f>IF(BB137="","",0.001*T137)</f>
        <v/>
      </c>
      <c r="BE137" s="4">
        <f>IF(BB137="","",0.94*T137)</f>
        <v/>
      </c>
      <c r="BF137" s="4">
        <f>IF(BB137="","",(BD137+BE137)/2)</f>
        <v/>
      </c>
      <c r="BG137" s="4">
        <f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4">
        <f>IF(BB137="","",IF(BG137&lt;BB137,BF137,BD137))</f>
        <v/>
      </c>
      <c r="BI137" s="4">
        <f>IF(BB137="","",IF(BG137&lt;BB137,BE137,BF137))</f>
        <v/>
      </c>
      <c r="BJ137" s="4">
        <f>IF(BB137="","",(BH137+BI137)/2)</f>
        <v/>
      </c>
      <c r="BK137" s="4">
        <f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4">
        <f>IF(BB137="","",IF(BK137&lt;BB137,BJ137,BH137))</f>
        <v/>
      </c>
      <c r="BM137" s="4">
        <f>IF(BB137="","",IF(BK137&lt;BB137,BI137,BJ137))</f>
        <v/>
      </c>
      <c r="BN137" s="4">
        <f>IF(BB137="","",(BL137+BM137)/2)</f>
        <v/>
      </c>
      <c r="BO137" s="4">
        <f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4">
        <f>IF(BB137="","",IF(BO137&lt;BB137,BN137,BL137))</f>
        <v/>
      </c>
      <c r="BQ137" s="4">
        <f>IF(BB137="","",IF(BO137&lt;BB137,BM137,BN137))</f>
        <v/>
      </c>
      <c r="BR137" s="4">
        <f>IF(BB137="","",(BP137+BQ137)/2)</f>
        <v/>
      </c>
      <c r="BS137" s="4">
        <f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4">
        <f>IF(BB137="","",IF(BS137&lt;BB137,BR137,BP137))</f>
        <v/>
      </c>
      <c r="BU137" s="4">
        <f>IF(BB137="","",IF(BS137&lt;BB137,BQ137,BR137))</f>
        <v/>
      </c>
      <c r="BV137" s="4">
        <f>IF(BB137="","",(BT137+BU137)/2)</f>
        <v/>
      </c>
      <c r="BW137" s="4">
        <f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4">
        <f>IF(BB137="","",IF(BW137&lt;BB137,BV137,BT137))</f>
        <v/>
      </c>
      <c r="BY137" s="4">
        <f>IF(BB137="","",IF(BW137&lt;BB137,BU137,BV137))</f>
        <v/>
      </c>
      <c r="BZ137" s="4">
        <f>IF(BB137="","",(BX137+BY137)/2)</f>
        <v/>
      </c>
      <c r="CA137" s="4">
        <f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4">
        <f>IF(BB137="","",IF(CA137&lt;BB137,BZ137,BX137))</f>
        <v/>
      </c>
      <c r="CC137" s="4">
        <f>IF(BB137="","",IF(CA137&lt;BB137,BY137,BZ137))</f>
        <v/>
      </c>
      <c r="CD137" s="4">
        <f>IF(BB137="","",(CB137+CC137)/2)</f>
        <v/>
      </c>
      <c r="CE137" s="4">
        <f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4">
        <f>IF(BB137="","",IF(CE137&lt;BB137,CD137,CB137))</f>
        <v/>
      </c>
      <c r="CG137" s="4">
        <f>IF(BB137="","",IF(CE137&lt;BB137,CC137,CD137))</f>
        <v/>
      </c>
      <c r="CH137" s="4">
        <f>IF(BB137="","",(CF137+CG137)/2)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SUMIFS(CB_plan!$G:$G,CB_plan!$F:$F,$A138)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IF(A138="","",IF(H138="","",2.78E-7*IF(I138&lt;&gt;"",I138,IFERROR(SUMIFS(CB_plan!$H:$H,CB_plan!$F:$F,$A138)/SUMIFS(CB_plan!$G:$G,CB_plan!$F:$F,$A138),Inputs!$B$17))*H138*K138))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7">
        <f>IF(BB138="","",CH138)</f>
        <v/>
      </c>
      <c r="BA138" s="7">
        <f>IF(OR(BB138="",AZ138="",T138="",T138&lt;=0,AZ138&lt;=0),"",BB138/((T138^2/8)*(2*ACOS(1-2*AZ138/T138)-SIN(2*ACOS(1-2*AZ138/T138)))))</f>
        <v/>
      </c>
      <c r="BB138" s="4">
        <f>IF(OR(N138="",BC138=""),"",MIN(N138,BC138))</f>
        <v/>
      </c>
      <c r="BC138" s="4">
        <f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4">
        <f>IF(BB138="","",0.001*T138)</f>
        <v/>
      </c>
      <c r="BE138" s="4">
        <f>IF(BB138="","",0.94*T138)</f>
        <v/>
      </c>
      <c r="BF138" s="4">
        <f>IF(BB138="","",(BD138+BE138)/2)</f>
        <v/>
      </c>
      <c r="BG138" s="4">
        <f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4">
        <f>IF(BB138="","",IF(BG138&lt;BB138,BF138,BD138))</f>
        <v/>
      </c>
      <c r="BI138" s="4">
        <f>IF(BB138="","",IF(BG138&lt;BB138,BE138,BF138))</f>
        <v/>
      </c>
      <c r="BJ138" s="4">
        <f>IF(BB138="","",(BH138+BI138)/2)</f>
        <v/>
      </c>
      <c r="BK138" s="4">
        <f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4">
        <f>IF(BB138="","",IF(BK138&lt;BB138,BJ138,BH138))</f>
        <v/>
      </c>
      <c r="BM138" s="4">
        <f>IF(BB138="","",IF(BK138&lt;BB138,BI138,BJ138))</f>
        <v/>
      </c>
      <c r="BN138" s="4">
        <f>IF(BB138="","",(BL138+BM138)/2)</f>
        <v/>
      </c>
      <c r="BO138" s="4">
        <f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4">
        <f>IF(BB138="","",IF(BO138&lt;BB138,BN138,BL138))</f>
        <v/>
      </c>
      <c r="BQ138" s="4">
        <f>IF(BB138="","",IF(BO138&lt;BB138,BM138,BN138))</f>
        <v/>
      </c>
      <c r="BR138" s="4">
        <f>IF(BB138="","",(BP138+BQ138)/2)</f>
        <v/>
      </c>
      <c r="BS138" s="4">
        <f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4">
        <f>IF(BB138="","",IF(BS138&lt;BB138,BR138,BP138))</f>
        <v/>
      </c>
      <c r="BU138" s="4">
        <f>IF(BB138="","",IF(BS138&lt;BB138,BQ138,BR138))</f>
        <v/>
      </c>
      <c r="BV138" s="4">
        <f>IF(BB138="","",(BT138+BU138)/2)</f>
        <v/>
      </c>
      <c r="BW138" s="4">
        <f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4">
        <f>IF(BB138="","",IF(BW138&lt;BB138,BV138,BT138))</f>
        <v/>
      </c>
      <c r="BY138" s="4">
        <f>IF(BB138="","",IF(BW138&lt;BB138,BU138,BV138))</f>
        <v/>
      </c>
      <c r="BZ138" s="4">
        <f>IF(BB138="","",(BX138+BY138)/2)</f>
        <v/>
      </c>
      <c r="CA138" s="4">
        <f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4">
        <f>IF(BB138="","",IF(CA138&lt;BB138,BZ138,BX138))</f>
        <v/>
      </c>
      <c r="CC138" s="4">
        <f>IF(BB138="","",IF(CA138&lt;BB138,BY138,BZ138))</f>
        <v/>
      </c>
      <c r="CD138" s="4">
        <f>IF(BB138="","",(CB138+CC138)/2)</f>
        <v/>
      </c>
      <c r="CE138" s="4">
        <f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4">
        <f>IF(BB138="","",IF(CE138&lt;BB138,CD138,CB138))</f>
        <v/>
      </c>
      <c r="CG138" s="4">
        <f>IF(BB138="","",IF(CE138&lt;BB138,CC138,CD138))</f>
        <v/>
      </c>
      <c r="CH138" s="4">
        <f>IF(BB138="","",(CF138+CG138)/2)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SUMIFS(CB_plan!$G:$G,CB_plan!$F:$F,$A139)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IF(A139="","",IF(H139="","",2.78E-7*IF(I139&lt;&gt;"",I139,IFERROR(SUMIFS(CB_plan!$H:$H,CB_plan!$F:$F,$A139)/SUMIFS(CB_plan!$G:$G,CB_plan!$F:$F,$A139),Inputs!$B$17))*H139*K139))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7">
        <f>IF(BB139="","",CH139)</f>
        <v/>
      </c>
      <c r="BA139" s="7">
        <f>IF(OR(BB139="",AZ139="",T139="",T139&lt;=0,AZ139&lt;=0),"",BB139/((T139^2/8)*(2*ACOS(1-2*AZ139/T139)-SIN(2*ACOS(1-2*AZ139/T139)))))</f>
        <v/>
      </c>
      <c r="BB139" s="4">
        <f>IF(OR(N139="",BC139=""),"",MIN(N139,BC139))</f>
        <v/>
      </c>
      <c r="BC139" s="4">
        <f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4">
        <f>IF(BB139="","",0.001*T139)</f>
        <v/>
      </c>
      <c r="BE139" s="4">
        <f>IF(BB139="","",0.94*T139)</f>
        <v/>
      </c>
      <c r="BF139" s="4">
        <f>IF(BB139="","",(BD139+BE139)/2)</f>
        <v/>
      </c>
      <c r="BG139" s="4">
        <f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4">
        <f>IF(BB139="","",IF(BG139&lt;BB139,BF139,BD139))</f>
        <v/>
      </c>
      <c r="BI139" s="4">
        <f>IF(BB139="","",IF(BG139&lt;BB139,BE139,BF139))</f>
        <v/>
      </c>
      <c r="BJ139" s="4">
        <f>IF(BB139="","",(BH139+BI139)/2)</f>
        <v/>
      </c>
      <c r="BK139" s="4">
        <f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4">
        <f>IF(BB139="","",IF(BK139&lt;BB139,BJ139,BH139))</f>
        <v/>
      </c>
      <c r="BM139" s="4">
        <f>IF(BB139="","",IF(BK139&lt;BB139,BI139,BJ139))</f>
        <v/>
      </c>
      <c r="BN139" s="4">
        <f>IF(BB139="","",(BL139+BM139)/2)</f>
        <v/>
      </c>
      <c r="BO139" s="4">
        <f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4">
        <f>IF(BB139="","",IF(BO139&lt;BB139,BN139,BL139))</f>
        <v/>
      </c>
      <c r="BQ139" s="4">
        <f>IF(BB139="","",IF(BO139&lt;BB139,BM139,BN139))</f>
        <v/>
      </c>
      <c r="BR139" s="4">
        <f>IF(BB139="","",(BP139+BQ139)/2)</f>
        <v/>
      </c>
      <c r="BS139" s="4">
        <f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4">
        <f>IF(BB139="","",IF(BS139&lt;BB139,BR139,BP139))</f>
        <v/>
      </c>
      <c r="BU139" s="4">
        <f>IF(BB139="","",IF(BS139&lt;BB139,BQ139,BR139))</f>
        <v/>
      </c>
      <c r="BV139" s="4">
        <f>IF(BB139="","",(BT139+BU139)/2)</f>
        <v/>
      </c>
      <c r="BW139" s="4">
        <f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4">
        <f>IF(BB139="","",IF(BW139&lt;BB139,BV139,BT139))</f>
        <v/>
      </c>
      <c r="BY139" s="4">
        <f>IF(BB139="","",IF(BW139&lt;BB139,BU139,BV139))</f>
        <v/>
      </c>
      <c r="BZ139" s="4">
        <f>IF(BB139="","",(BX139+BY139)/2)</f>
        <v/>
      </c>
      <c r="CA139" s="4">
        <f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4">
        <f>IF(BB139="","",IF(CA139&lt;BB139,BZ139,BX139))</f>
        <v/>
      </c>
      <c r="CC139" s="4">
        <f>IF(BB139="","",IF(CA139&lt;BB139,BY139,BZ139))</f>
        <v/>
      </c>
      <c r="CD139" s="4">
        <f>IF(BB139="","",(CB139+CC139)/2)</f>
        <v/>
      </c>
      <c r="CE139" s="4">
        <f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4">
        <f>IF(BB139="","",IF(CE139&lt;BB139,CD139,CB139))</f>
        <v/>
      </c>
      <c r="CG139" s="4">
        <f>IF(BB139="","",IF(CE139&lt;BB139,CC139,CD139))</f>
        <v/>
      </c>
      <c r="CH139" s="4">
        <f>IF(BB139="","",(CF139+CG139)/2)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SUMIFS(CB_plan!$G:$G,CB_plan!$F:$F,$A140)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IF(A140="","",IF(H140="","",2.78E-7*IF(I140&lt;&gt;"",I140,IFERROR(SUMIFS(CB_plan!$H:$H,CB_plan!$F:$F,$A140)/SUMIFS(CB_plan!$G:$G,CB_plan!$F:$F,$A140),Inputs!$B$17))*H140*K140))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7">
        <f>IF(BB140="","",CH140)</f>
        <v/>
      </c>
      <c r="BA140" s="7">
        <f>IF(OR(BB140="",AZ140="",T140="",T140&lt;=0,AZ140&lt;=0),"",BB140/((T140^2/8)*(2*ACOS(1-2*AZ140/T140)-SIN(2*ACOS(1-2*AZ140/T140)))))</f>
        <v/>
      </c>
      <c r="BB140" s="4">
        <f>IF(OR(N140="",BC140=""),"",MIN(N140,BC140))</f>
        <v/>
      </c>
      <c r="BC140" s="4">
        <f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4">
        <f>IF(BB140="","",0.001*T140)</f>
        <v/>
      </c>
      <c r="BE140" s="4">
        <f>IF(BB140="","",0.94*T140)</f>
        <v/>
      </c>
      <c r="BF140" s="4">
        <f>IF(BB140="","",(BD140+BE140)/2)</f>
        <v/>
      </c>
      <c r="BG140" s="4">
        <f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4">
        <f>IF(BB140="","",IF(BG140&lt;BB140,BF140,BD140))</f>
        <v/>
      </c>
      <c r="BI140" s="4">
        <f>IF(BB140="","",IF(BG140&lt;BB140,BE140,BF140))</f>
        <v/>
      </c>
      <c r="BJ140" s="4">
        <f>IF(BB140="","",(BH140+BI140)/2)</f>
        <v/>
      </c>
      <c r="BK140" s="4">
        <f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4">
        <f>IF(BB140="","",IF(BK140&lt;BB140,BJ140,BH140))</f>
        <v/>
      </c>
      <c r="BM140" s="4">
        <f>IF(BB140="","",IF(BK140&lt;BB140,BI140,BJ140))</f>
        <v/>
      </c>
      <c r="BN140" s="4">
        <f>IF(BB140="","",(BL140+BM140)/2)</f>
        <v/>
      </c>
      <c r="BO140" s="4">
        <f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4">
        <f>IF(BB140="","",IF(BO140&lt;BB140,BN140,BL140))</f>
        <v/>
      </c>
      <c r="BQ140" s="4">
        <f>IF(BB140="","",IF(BO140&lt;BB140,BM140,BN140))</f>
        <v/>
      </c>
      <c r="BR140" s="4">
        <f>IF(BB140="","",(BP140+BQ140)/2)</f>
        <v/>
      </c>
      <c r="BS140" s="4">
        <f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4">
        <f>IF(BB140="","",IF(BS140&lt;BB140,BR140,BP140))</f>
        <v/>
      </c>
      <c r="BU140" s="4">
        <f>IF(BB140="","",IF(BS140&lt;BB140,BQ140,BR140))</f>
        <v/>
      </c>
      <c r="BV140" s="4">
        <f>IF(BB140="","",(BT140+BU140)/2)</f>
        <v/>
      </c>
      <c r="BW140" s="4">
        <f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4">
        <f>IF(BB140="","",IF(BW140&lt;BB140,BV140,BT140))</f>
        <v/>
      </c>
      <c r="BY140" s="4">
        <f>IF(BB140="","",IF(BW140&lt;BB140,BU140,BV140))</f>
        <v/>
      </c>
      <c r="BZ140" s="4">
        <f>IF(BB140="","",(BX140+BY140)/2)</f>
        <v/>
      </c>
      <c r="CA140" s="4">
        <f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4">
        <f>IF(BB140="","",IF(CA140&lt;BB140,BZ140,BX140))</f>
        <v/>
      </c>
      <c r="CC140" s="4">
        <f>IF(BB140="","",IF(CA140&lt;BB140,BY140,BZ140))</f>
        <v/>
      </c>
      <c r="CD140" s="4">
        <f>IF(BB140="","",(CB140+CC140)/2)</f>
        <v/>
      </c>
      <c r="CE140" s="4">
        <f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4">
        <f>IF(BB140="","",IF(CE140&lt;BB140,CD140,CB140))</f>
        <v/>
      </c>
      <c r="CG140" s="4">
        <f>IF(BB140="","",IF(CE140&lt;BB140,CC140,CD140))</f>
        <v/>
      </c>
      <c r="CH140" s="4">
        <f>IF(BB140="","",(CF140+CG140)/2)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SUMIFS(CB_plan!$G:$G,CB_plan!$F:$F,$A141)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IF(A141="","",IF(H141="","",2.78E-7*IF(I141&lt;&gt;"",I141,IFERROR(SUMIFS(CB_plan!$H:$H,CB_plan!$F:$F,$A141)/SUMIFS(CB_plan!$G:$G,CB_plan!$F:$F,$A141),Inputs!$B$17))*H141*K141))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7">
        <f>IF(BB141="","",CH141)</f>
        <v/>
      </c>
      <c r="BA141" s="7">
        <f>IF(OR(BB141="",AZ141="",T141="",T141&lt;=0,AZ141&lt;=0),"",BB141/((T141^2/8)*(2*ACOS(1-2*AZ141/T141)-SIN(2*ACOS(1-2*AZ141/T141)))))</f>
        <v/>
      </c>
      <c r="BB141" s="4">
        <f>IF(OR(N141="",BC141=""),"",MIN(N141,BC141))</f>
        <v/>
      </c>
      <c r="BC141" s="4">
        <f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4">
        <f>IF(BB141="","",0.001*T141)</f>
        <v/>
      </c>
      <c r="BE141" s="4">
        <f>IF(BB141="","",0.94*T141)</f>
        <v/>
      </c>
      <c r="BF141" s="4">
        <f>IF(BB141="","",(BD141+BE141)/2)</f>
        <v/>
      </c>
      <c r="BG141" s="4">
        <f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4">
        <f>IF(BB141="","",IF(BG141&lt;BB141,BF141,BD141))</f>
        <v/>
      </c>
      <c r="BI141" s="4">
        <f>IF(BB141="","",IF(BG141&lt;BB141,BE141,BF141))</f>
        <v/>
      </c>
      <c r="BJ141" s="4">
        <f>IF(BB141="","",(BH141+BI141)/2)</f>
        <v/>
      </c>
      <c r="BK141" s="4">
        <f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4">
        <f>IF(BB141="","",IF(BK141&lt;BB141,BJ141,BH141))</f>
        <v/>
      </c>
      <c r="BM141" s="4">
        <f>IF(BB141="","",IF(BK141&lt;BB141,BI141,BJ141))</f>
        <v/>
      </c>
      <c r="BN141" s="4">
        <f>IF(BB141="","",(BL141+BM141)/2)</f>
        <v/>
      </c>
      <c r="BO141" s="4">
        <f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4">
        <f>IF(BB141="","",IF(BO141&lt;BB141,BN141,BL141))</f>
        <v/>
      </c>
      <c r="BQ141" s="4">
        <f>IF(BB141="","",IF(BO141&lt;BB141,BM141,BN141))</f>
        <v/>
      </c>
      <c r="BR141" s="4">
        <f>IF(BB141="","",(BP141+BQ141)/2)</f>
        <v/>
      </c>
      <c r="BS141" s="4">
        <f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4">
        <f>IF(BB141="","",IF(BS141&lt;BB141,BR141,BP141))</f>
        <v/>
      </c>
      <c r="BU141" s="4">
        <f>IF(BB141="","",IF(BS141&lt;BB141,BQ141,BR141))</f>
        <v/>
      </c>
      <c r="BV141" s="4">
        <f>IF(BB141="","",(BT141+BU141)/2)</f>
        <v/>
      </c>
      <c r="BW141" s="4">
        <f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4">
        <f>IF(BB141="","",IF(BW141&lt;BB141,BV141,BT141))</f>
        <v/>
      </c>
      <c r="BY141" s="4">
        <f>IF(BB141="","",IF(BW141&lt;BB141,BU141,BV141))</f>
        <v/>
      </c>
      <c r="BZ141" s="4">
        <f>IF(BB141="","",(BX141+BY141)/2)</f>
        <v/>
      </c>
      <c r="CA141" s="4">
        <f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4">
        <f>IF(BB141="","",IF(CA141&lt;BB141,BZ141,BX141))</f>
        <v/>
      </c>
      <c r="CC141" s="4">
        <f>IF(BB141="","",IF(CA141&lt;BB141,BY141,BZ141))</f>
        <v/>
      </c>
      <c r="CD141" s="4">
        <f>IF(BB141="","",(CB141+CC141)/2)</f>
        <v/>
      </c>
      <c r="CE141" s="4">
        <f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4">
        <f>IF(BB141="","",IF(CE141&lt;BB141,CD141,CB141))</f>
        <v/>
      </c>
      <c r="CG141" s="4">
        <f>IF(BB141="","",IF(CE141&lt;BB141,CC141,CD141))</f>
        <v/>
      </c>
      <c r="CH141" s="4">
        <f>IF(BB141="","",(CF141+CG141)/2)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SUMIFS(CB_plan!$G:$G,CB_plan!$F:$F,$A142)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IF(A142="","",IF(H142="","",2.78E-7*IF(I142&lt;&gt;"",I142,IFERROR(SUMIFS(CB_plan!$H:$H,CB_plan!$F:$F,$A142)/SUMIFS(CB_plan!$G:$G,CB_plan!$F:$F,$A142),Inputs!$B$17))*H142*K142))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7">
        <f>IF(BB142="","",CH142)</f>
        <v/>
      </c>
      <c r="BA142" s="7">
        <f>IF(OR(BB142="",AZ142="",T142="",T142&lt;=0,AZ142&lt;=0),"",BB142/((T142^2/8)*(2*ACOS(1-2*AZ142/T142)-SIN(2*ACOS(1-2*AZ142/T142)))))</f>
        <v/>
      </c>
      <c r="BB142" s="4">
        <f>IF(OR(N142="",BC142=""),"",MIN(N142,BC142))</f>
        <v/>
      </c>
      <c r="BC142" s="4">
        <f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4">
        <f>IF(BB142="","",0.001*T142)</f>
        <v/>
      </c>
      <c r="BE142" s="4">
        <f>IF(BB142="","",0.94*T142)</f>
        <v/>
      </c>
      <c r="BF142" s="4">
        <f>IF(BB142="","",(BD142+BE142)/2)</f>
        <v/>
      </c>
      <c r="BG142" s="4">
        <f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4">
        <f>IF(BB142="","",IF(BG142&lt;BB142,BF142,BD142))</f>
        <v/>
      </c>
      <c r="BI142" s="4">
        <f>IF(BB142="","",IF(BG142&lt;BB142,BE142,BF142))</f>
        <v/>
      </c>
      <c r="BJ142" s="4">
        <f>IF(BB142="","",(BH142+BI142)/2)</f>
        <v/>
      </c>
      <c r="BK142" s="4">
        <f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4">
        <f>IF(BB142="","",IF(BK142&lt;BB142,BJ142,BH142))</f>
        <v/>
      </c>
      <c r="BM142" s="4">
        <f>IF(BB142="","",IF(BK142&lt;BB142,BI142,BJ142))</f>
        <v/>
      </c>
      <c r="BN142" s="4">
        <f>IF(BB142="","",(BL142+BM142)/2)</f>
        <v/>
      </c>
      <c r="BO142" s="4">
        <f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4">
        <f>IF(BB142="","",IF(BO142&lt;BB142,BN142,BL142))</f>
        <v/>
      </c>
      <c r="BQ142" s="4">
        <f>IF(BB142="","",IF(BO142&lt;BB142,BM142,BN142))</f>
        <v/>
      </c>
      <c r="BR142" s="4">
        <f>IF(BB142="","",(BP142+BQ142)/2)</f>
        <v/>
      </c>
      <c r="BS142" s="4">
        <f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4">
        <f>IF(BB142="","",IF(BS142&lt;BB142,BR142,BP142))</f>
        <v/>
      </c>
      <c r="BU142" s="4">
        <f>IF(BB142="","",IF(BS142&lt;BB142,BQ142,BR142))</f>
        <v/>
      </c>
      <c r="BV142" s="4">
        <f>IF(BB142="","",(BT142+BU142)/2)</f>
        <v/>
      </c>
      <c r="BW142" s="4">
        <f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4">
        <f>IF(BB142="","",IF(BW142&lt;BB142,BV142,BT142))</f>
        <v/>
      </c>
      <c r="BY142" s="4">
        <f>IF(BB142="","",IF(BW142&lt;BB142,BU142,BV142))</f>
        <v/>
      </c>
      <c r="BZ142" s="4">
        <f>IF(BB142="","",(BX142+BY142)/2)</f>
        <v/>
      </c>
      <c r="CA142" s="4">
        <f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4">
        <f>IF(BB142="","",IF(CA142&lt;BB142,BZ142,BX142))</f>
        <v/>
      </c>
      <c r="CC142" s="4">
        <f>IF(BB142="","",IF(CA142&lt;BB142,BY142,BZ142))</f>
        <v/>
      </c>
      <c r="CD142" s="4">
        <f>IF(BB142="","",(CB142+CC142)/2)</f>
        <v/>
      </c>
      <c r="CE142" s="4">
        <f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4">
        <f>IF(BB142="","",IF(CE142&lt;BB142,CD142,CB142))</f>
        <v/>
      </c>
      <c r="CG142" s="4">
        <f>IF(BB142="","",IF(CE142&lt;BB142,CC142,CD142))</f>
        <v/>
      </c>
      <c r="CH142" s="4">
        <f>IF(BB142="","",(CF142+CG142)/2)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SUMIFS(CB_plan!$G:$G,CB_plan!$F:$F,$A143)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IF(A143="","",IF(H143="","",2.78E-7*IF(I143&lt;&gt;"",I143,IFERROR(SUMIFS(CB_plan!$H:$H,CB_plan!$F:$F,$A143)/SUMIFS(CB_plan!$G:$G,CB_plan!$F:$F,$A143),Inputs!$B$17))*H143*K143))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7">
        <f>IF(BB143="","",CH143)</f>
        <v/>
      </c>
      <c r="BA143" s="7">
        <f>IF(OR(BB143="",AZ143="",T143="",T143&lt;=0,AZ143&lt;=0),"",BB143/((T143^2/8)*(2*ACOS(1-2*AZ143/T143)-SIN(2*ACOS(1-2*AZ143/T143)))))</f>
        <v/>
      </c>
      <c r="BB143" s="4">
        <f>IF(OR(N143="",BC143=""),"",MIN(N143,BC143))</f>
        <v/>
      </c>
      <c r="BC143" s="4">
        <f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4">
        <f>IF(BB143="","",0.001*T143)</f>
        <v/>
      </c>
      <c r="BE143" s="4">
        <f>IF(BB143="","",0.94*T143)</f>
        <v/>
      </c>
      <c r="BF143" s="4">
        <f>IF(BB143="","",(BD143+BE143)/2)</f>
        <v/>
      </c>
      <c r="BG143" s="4">
        <f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4">
        <f>IF(BB143="","",IF(BG143&lt;BB143,BF143,BD143))</f>
        <v/>
      </c>
      <c r="BI143" s="4">
        <f>IF(BB143="","",IF(BG143&lt;BB143,BE143,BF143))</f>
        <v/>
      </c>
      <c r="BJ143" s="4">
        <f>IF(BB143="","",(BH143+BI143)/2)</f>
        <v/>
      </c>
      <c r="BK143" s="4">
        <f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4">
        <f>IF(BB143="","",IF(BK143&lt;BB143,BJ143,BH143))</f>
        <v/>
      </c>
      <c r="BM143" s="4">
        <f>IF(BB143="","",IF(BK143&lt;BB143,BI143,BJ143))</f>
        <v/>
      </c>
      <c r="BN143" s="4">
        <f>IF(BB143="","",(BL143+BM143)/2)</f>
        <v/>
      </c>
      <c r="BO143" s="4">
        <f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4">
        <f>IF(BB143="","",IF(BO143&lt;BB143,BN143,BL143))</f>
        <v/>
      </c>
      <c r="BQ143" s="4">
        <f>IF(BB143="","",IF(BO143&lt;BB143,BM143,BN143))</f>
        <v/>
      </c>
      <c r="BR143" s="4">
        <f>IF(BB143="","",(BP143+BQ143)/2)</f>
        <v/>
      </c>
      <c r="BS143" s="4">
        <f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4">
        <f>IF(BB143="","",IF(BS143&lt;BB143,BR143,BP143))</f>
        <v/>
      </c>
      <c r="BU143" s="4">
        <f>IF(BB143="","",IF(BS143&lt;BB143,BQ143,BR143))</f>
        <v/>
      </c>
      <c r="BV143" s="4">
        <f>IF(BB143="","",(BT143+BU143)/2)</f>
        <v/>
      </c>
      <c r="BW143" s="4">
        <f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4">
        <f>IF(BB143="","",IF(BW143&lt;BB143,BV143,BT143))</f>
        <v/>
      </c>
      <c r="BY143" s="4">
        <f>IF(BB143="","",IF(BW143&lt;BB143,BU143,BV143))</f>
        <v/>
      </c>
      <c r="BZ143" s="4">
        <f>IF(BB143="","",(BX143+BY143)/2)</f>
        <v/>
      </c>
      <c r="CA143" s="4">
        <f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4">
        <f>IF(BB143="","",IF(CA143&lt;BB143,BZ143,BX143))</f>
        <v/>
      </c>
      <c r="CC143" s="4">
        <f>IF(BB143="","",IF(CA143&lt;BB143,BY143,BZ143))</f>
        <v/>
      </c>
      <c r="CD143" s="4">
        <f>IF(BB143="","",(CB143+CC143)/2)</f>
        <v/>
      </c>
      <c r="CE143" s="4">
        <f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4">
        <f>IF(BB143="","",IF(CE143&lt;BB143,CD143,CB143))</f>
        <v/>
      </c>
      <c r="CG143" s="4">
        <f>IF(BB143="","",IF(CE143&lt;BB143,CC143,CD143))</f>
        <v/>
      </c>
      <c r="CH143" s="4">
        <f>IF(BB143="","",(CF143+CG143)/2)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SUMIFS(CB_plan!$G:$G,CB_plan!$F:$F,$A144)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IF(A144="","",IF(H144="","",2.78E-7*IF(I144&lt;&gt;"",I144,IFERROR(SUMIFS(CB_plan!$H:$H,CB_plan!$F:$F,$A144)/SUMIFS(CB_plan!$G:$G,CB_plan!$F:$F,$A144),Inputs!$B$17))*H144*K144))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7">
        <f>IF(BB144="","",CH144)</f>
        <v/>
      </c>
      <c r="BA144" s="7">
        <f>IF(OR(BB144="",AZ144="",T144="",T144&lt;=0,AZ144&lt;=0),"",BB144/((T144^2/8)*(2*ACOS(1-2*AZ144/T144)-SIN(2*ACOS(1-2*AZ144/T144)))))</f>
        <v/>
      </c>
      <c r="BB144" s="4">
        <f>IF(OR(N144="",BC144=""),"",MIN(N144,BC144))</f>
        <v/>
      </c>
      <c r="BC144" s="4">
        <f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4">
        <f>IF(BB144="","",0.001*T144)</f>
        <v/>
      </c>
      <c r="BE144" s="4">
        <f>IF(BB144="","",0.94*T144)</f>
        <v/>
      </c>
      <c r="BF144" s="4">
        <f>IF(BB144="","",(BD144+BE144)/2)</f>
        <v/>
      </c>
      <c r="BG144" s="4">
        <f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4">
        <f>IF(BB144="","",IF(BG144&lt;BB144,BF144,BD144))</f>
        <v/>
      </c>
      <c r="BI144" s="4">
        <f>IF(BB144="","",IF(BG144&lt;BB144,BE144,BF144))</f>
        <v/>
      </c>
      <c r="BJ144" s="4">
        <f>IF(BB144="","",(BH144+BI144)/2)</f>
        <v/>
      </c>
      <c r="BK144" s="4">
        <f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4">
        <f>IF(BB144="","",IF(BK144&lt;BB144,BJ144,BH144))</f>
        <v/>
      </c>
      <c r="BM144" s="4">
        <f>IF(BB144="","",IF(BK144&lt;BB144,BI144,BJ144))</f>
        <v/>
      </c>
      <c r="BN144" s="4">
        <f>IF(BB144="","",(BL144+BM144)/2)</f>
        <v/>
      </c>
      <c r="BO144" s="4">
        <f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4">
        <f>IF(BB144="","",IF(BO144&lt;BB144,BN144,BL144))</f>
        <v/>
      </c>
      <c r="BQ144" s="4">
        <f>IF(BB144="","",IF(BO144&lt;BB144,BM144,BN144))</f>
        <v/>
      </c>
      <c r="BR144" s="4">
        <f>IF(BB144="","",(BP144+BQ144)/2)</f>
        <v/>
      </c>
      <c r="BS144" s="4">
        <f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4">
        <f>IF(BB144="","",IF(BS144&lt;BB144,BR144,BP144))</f>
        <v/>
      </c>
      <c r="BU144" s="4">
        <f>IF(BB144="","",IF(BS144&lt;BB144,BQ144,BR144))</f>
        <v/>
      </c>
      <c r="BV144" s="4">
        <f>IF(BB144="","",(BT144+BU144)/2)</f>
        <v/>
      </c>
      <c r="BW144" s="4">
        <f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4">
        <f>IF(BB144="","",IF(BW144&lt;BB144,BV144,BT144))</f>
        <v/>
      </c>
      <c r="BY144" s="4">
        <f>IF(BB144="","",IF(BW144&lt;BB144,BU144,BV144))</f>
        <v/>
      </c>
      <c r="BZ144" s="4">
        <f>IF(BB144="","",(BX144+BY144)/2)</f>
        <v/>
      </c>
      <c r="CA144" s="4">
        <f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4">
        <f>IF(BB144="","",IF(CA144&lt;BB144,BZ144,BX144))</f>
        <v/>
      </c>
      <c r="CC144" s="4">
        <f>IF(BB144="","",IF(CA144&lt;BB144,BY144,BZ144))</f>
        <v/>
      </c>
      <c r="CD144" s="4">
        <f>IF(BB144="","",(CB144+CC144)/2)</f>
        <v/>
      </c>
      <c r="CE144" s="4">
        <f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4">
        <f>IF(BB144="","",IF(CE144&lt;BB144,CD144,CB144))</f>
        <v/>
      </c>
      <c r="CG144" s="4">
        <f>IF(BB144="","",IF(CE144&lt;BB144,CC144,CD144))</f>
        <v/>
      </c>
      <c r="CH144" s="4">
        <f>IF(BB144="","",(CF144+CG144)/2)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SUMIFS(CB_plan!$G:$G,CB_plan!$F:$F,$A145)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IF(A145="","",IF(H145="","",2.78E-7*IF(I145&lt;&gt;"",I145,IFERROR(SUMIFS(CB_plan!$H:$H,CB_plan!$F:$F,$A145)/SUMIFS(CB_plan!$G:$G,CB_plan!$F:$F,$A145),Inputs!$B$17))*H145*K145))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7">
        <f>IF(BB145="","",CH145)</f>
        <v/>
      </c>
      <c r="BA145" s="7">
        <f>IF(OR(BB145="",AZ145="",T145="",T145&lt;=0,AZ145&lt;=0),"",BB145/((T145^2/8)*(2*ACOS(1-2*AZ145/T145)-SIN(2*ACOS(1-2*AZ145/T145)))))</f>
        <v/>
      </c>
      <c r="BB145" s="4">
        <f>IF(OR(N145="",BC145=""),"",MIN(N145,BC145))</f>
        <v/>
      </c>
      <c r="BC145" s="4">
        <f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4">
        <f>IF(BB145="","",0.001*T145)</f>
        <v/>
      </c>
      <c r="BE145" s="4">
        <f>IF(BB145="","",0.94*T145)</f>
        <v/>
      </c>
      <c r="BF145" s="4">
        <f>IF(BB145="","",(BD145+BE145)/2)</f>
        <v/>
      </c>
      <c r="BG145" s="4">
        <f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4">
        <f>IF(BB145="","",IF(BG145&lt;BB145,BF145,BD145))</f>
        <v/>
      </c>
      <c r="BI145" s="4">
        <f>IF(BB145="","",IF(BG145&lt;BB145,BE145,BF145))</f>
        <v/>
      </c>
      <c r="BJ145" s="4">
        <f>IF(BB145="","",(BH145+BI145)/2)</f>
        <v/>
      </c>
      <c r="BK145" s="4">
        <f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4">
        <f>IF(BB145="","",IF(BK145&lt;BB145,BJ145,BH145))</f>
        <v/>
      </c>
      <c r="BM145" s="4">
        <f>IF(BB145="","",IF(BK145&lt;BB145,BI145,BJ145))</f>
        <v/>
      </c>
      <c r="BN145" s="4">
        <f>IF(BB145="","",(BL145+BM145)/2)</f>
        <v/>
      </c>
      <c r="BO145" s="4">
        <f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4">
        <f>IF(BB145="","",IF(BO145&lt;BB145,BN145,BL145))</f>
        <v/>
      </c>
      <c r="BQ145" s="4">
        <f>IF(BB145="","",IF(BO145&lt;BB145,BM145,BN145))</f>
        <v/>
      </c>
      <c r="BR145" s="4">
        <f>IF(BB145="","",(BP145+BQ145)/2)</f>
        <v/>
      </c>
      <c r="BS145" s="4">
        <f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4">
        <f>IF(BB145="","",IF(BS145&lt;BB145,BR145,BP145))</f>
        <v/>
      </c>
      <c r="BU145" s="4">
        <f>IF(BB145="","",IF(BS145&lt;BB145,BQ145,BR145))</f>
        <v/>
      </c>
      <c r="BV145" s="4">
        <f>IF(BB145="","",(BT145+BU145)/2)</f>
        <v/>
      </c>
      <c r="BW145" s="4">
        <f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4">
        <f>IF(BB145="","",IF(BW145&lt;BB145,BV145,BT145))</f>
        <v/>
      </c>
      <c r="BY145" s="4">
        <f>IF(BB145="","",IF(BW145&lt;BB145,BU145,BV145))</f>
        <v/>
      </c>
      <c r="BZ145" s="4">
        <f>IF(BB145="","",(BX145+BY145)/2)</f>
        <v/>
      </c>
      <c r="CA145" s="4">
        <f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4">
        <f>IF(BB145="","",IF(CA145&lt;BB145,BZ145,BX145))</f>
        <v/>
      </c>
      <c r="CC145" s="4">
        <f>IF(BB145="","",IF(CA145&lt;BB145,BY145,BZ145))</f>
        <v/>
      </c>
      <c r="CD145" s="4">
        <f>IF(BB145="","",(CB145+CC145)/2)</f>
        <v/>
      </c>
      <c r="CE145" s="4">
        <f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4">
        <f>IF(BB145="","",IF(CE145&lt;BB145,CD145,CB145))</f>
        <v/>
      </c>
      <c r="CG145" s="4">
        <f>IF(BB145="","",IF(CE145&lt;BB145,CC145,CD145))</f>
        <v/>
      </c>
      <c r="CH145" s="4">
        <f>IF(BB145="","",(CF145+CG145)/2)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SUMIFS(CB_plan!$G:$G,CB_plan!$F:$F,$A146)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IF(A146="","",IF(H146="","",2.78E-7*IF(I146&lt;&gt;"",I146,IFERROR(SUMIFS(CB_plan!$H:$H,CB_plan!$F:$F,$A146)/SUMIFS(CB_plan!$G:$G,CB_plan!$F:$F,$A146),Inputs!$B$17))*H146*K146))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7">
        <f>IF(BB146="","",CH146)</f>
        <v/>
      </c>
      <c r="BA146" s="7">
        <f>IF(OR(BB146="",AZ146="",T146="",T146&lt;=0,AZ146&lt;=0),"",BB146/((T146^2/8)*(2*ACOS(1-2*AZ146/T146)-SIN(2*ACOS(1-2*AZ146/T146)))))</f>
        <v/>
      </c>
      <c r="BB146" s="4">
        <f>IF(OR(N146="",BC146=""),"",MIN(N146,BC146))</f>
        <v/>
      </c>
      <c r="BC146" s="4">
        <f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4">
        <f>IF(BB146="","",0.001*T146)</f>
        <v/>
      </c>
      <c r="BE146" s="4">
        <f>IF(BB146="","",0.94*T146)</f>
        <v/>
      </c>
      <c r="BF146" s="4">
        <f>IF(BB146="","",(BD146+BE146)/2)</f>
        <v/>
      </c>
      <c r="BG146" s="4">
        <f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4">
        <f>IF(BB146="","",IF(BG146&lt;BB146,BF146,BD146))</f>
        <v/>
      </c>
      <c r="BI146" s="4">
        <f>IF(BB146="","",IF(BG146&lt;BB146,BE146,BF146))</f>
        <v/>
      </c>
      <c r="BJ146" s="4">
        <f>IF(BB146="","",(BH146+BI146)/2)</f>
        <v/>
      </c>
      <c r="BK146" s="4">
        <f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4">
        <f>IF(BB146="","",IF(BK146&lt;BB146,BJ146,BH146))</f>
        <v/>
      </c>
      <c r="BM146" s="4">
        <f>IF(BB146="","",IF(BK146&lt;BB146,BI146,BJ146))</f>
        <v/>
      </c>
      <c r="BN146" s="4">
        <f>IF(BB146="","",(BL146+BM146)/2)</f>
        <v/>
      </c>
      <c r="BO146" s="4">
        <f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4">
        <f>IF(BB146="","",IF(BO146&lt;BB146,BN146,BL146))</f>
        <v/>
      </c>
      <c r="BQ146" s="4">
        <f>IF(BB146="","",IF(BO146&lt;BB146,BM146,BN146))</f>
        <v/>
      </c>
      <c r="BR146" s="4">
        <f>IF(BB146="","",(BP146+BQ146)/2)</f>
        <v/>
      </c>
      <c r="BS146" s="4">
        <f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4">
        <f>IF(BB146="","",IF(BS146&lt;BB146,BR146,BP146))</f>
        <v/>
      </c>
      <c r="BU146" s="4">
        <f>IF(BB146="","",IF(BS146&lt;BB146,BQ146,BR146))</f>
        <v/>
      </c>
      <c r="BV146" s="4">
        <f>IF(BB146="","",(BT146+BU146)/2)</f>
        <v/>
      </c>
      <c r="BW146" s="4">
        <f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4">
        <f>IF(BB146="","",IF(BW146&lt;BB146,BV146,BT146))</f>
        <v/>
      </c>
      <c r="BY146" s="4">
        <f>IF(BB146="","",IF(BW146&lt;BB146,BU146,BV146))</f>
        <v/>
      </c>
      <c r="BZ146" s="4">
        <f>IF(BB146="","",(BX146+BY146)/2)</f>
        <v/>
      </c>
      <c r="CA146" s="4">
        <f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4">
        <f>IF(BB146="","",IF(CA146&lt;BB146,BZ146,BX146))</f>
        <v/>
      </c>
      <c r="CC146" s="4">
        <f>IF(BB146="","",IF(CA146&lt;BB146,BY146,BZ146))</f>
        <v/>
      </c>
      <c r="CD146" s="4">
        <f>IF(BB146="","",(CB146+CC146)/2)</f>
        <v/>
      </c>
      <c r="CE146" s="4">
        <f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4">
        <f>IF(BB146="","",IF(CE146&lt;BB146,CD146,CB146))</f>
        <v/>
      </c>
      <c r="CG146" s="4">
        <f>IF(BB146="","",IF(CE146&lt;BB146,CC146,CD146))</f>
        <v/>
      </c>
      <c r="CH146" s="4">
        <f>IF(BB146="","",(CF146+CG146)/2)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SUMIFS(CB_plan!$G:$G,CB_plan!$F:$F,$A147)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IF(A147="","",IF(H147="","",2.78E-7*IF(I147&lt;&gt;"",I147,IFERROR(SUMIFS(CB_plan!$H:$H,CB_plan!$F:$F,$A147)/SUMIFS(CB_plan!$G:$G,CB_plan!$F:$F,$A147),Inputs!$B$17))*H147*K147))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7">
        <f>IF(BB147="","",CH147)</f>
        <v/>
      </c>
      <c r="BA147" s="7">
        <f>IF(OR(BB147="",AZ147="",T147="",T147&lt;=0,AZ147&lt;=0),"",BB147/((T147^2/8)*(2*ACOS(1-2*AZ147/T147)-SIN(2*ACOS(1-2*AZ147/T147)))))</f>
        <v/>
      </c>
      <c r="BB147" s="4">
        <f>IF(OR(N147="",BC147=""),"",MIN(N147,BC147))</f>
        <v/>
      </c>
      <c r="BC147" s="4">
        <f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4">
        <f>IF(BB147="","",0.001*T147)</f>
        <v/>
      </c>
      <c r="BE147" s="4">
        <f>IF(BB147="","",0.94*T147)</f>
        <v/>
      </c>
      <c r="BF147" s="4">
        <f>IF(BB147="","",(BD147+BE147)/2)</f>
        <v/>
      </c>
      <c r="BG147" s="4">
        <f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4">
        <f>IF(BB147="","",IF(BG147&lt;BB147,BF147,BD147))</f>
        <v/>
      </c>
      <c r="BI147" s="4">
        <f>IF(BB147="","",IF(BG147&lt;BB147,BE147,BF147))</f>
        <v/>
      </c>
      <c r="BJ147" s="4">
        <f>IF(BB147="","",(BH147+BI147)/2)</f>
        <v/>
      </c>
      <c r="BK147" s="4">
        <f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4">
        <f>IF(BB147="","",IF(BK147&lt;BB147,BJ147,BH147))</f>
        <v/>
      </c>
      <c r="BM147" s="4">
        <f>IF(BB147="","",IF(BK147&lt;BB147,BI147,BJ147))</f>
        <v/>
      </c>
      <c r="BN147" s="4">
        <f>IF(BB147="","",(BL147+BM147)/2)</f>
        <v/>
      </c>
      <c r="BO147" s="4">
        <f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4">
        <f>IF(BB147="","",IF(BO147&lt;BB147,BN147,BL147))</f>
        <v/>
      </c>
      <c r="BQ147" s="4">
        <f>IF(BB147="","",IF(BO147&lt;BB147,BM147,BN147))</f>
        <v/>
      </c>
      <c r="BR147" s="4">
        <f>IF(BB147="","",(BP147+BQ147)/2)</f>
        <v/>
      </c>
      <c r="BS147" s="4">
        <f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4">
        <f>IF(BB147="","",IF(BS147&lt;BB147,BR147,BP147))</f>
        <v/>
      </c>
      <c r="BU147" s="4">
        <f>IF(BB147="","",IF(BS147&lt;BB147,BQ147,BR147))</f>
        <v/>
      </c>
      <c r="BV147" s="4">
        <f>IF(BB147="","",(BT147+BU147)/2)</f>
        <v/>
      </c>
      <c r="BW147" s="4">
        <f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4">
        <f>IF(BB147="","",IF(BW147&lt;BB147,BV147,BT147))</f>
        <v/>
      </c>
      <c r="BY147" s="4">
        <f>IF(BB147="","",IF(BW147&lt;BB147,BU147,BV147))</f>
        <v/>
      </c>
      <c r="BZ147" s="4">
        <f>IF(BB147="","",(BX147+BY147)/2)</f>
        <v/>
      </c>
      <c r="CA147" s="4">
        <f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4">
        <f>IF(BB147="","",IF(CA147&lt;BB147,BZ147,BX147))</f>
        <v/>
      </c>
      <c r="CC147" s="4">
        <f>IF(BB147="","",IF(CA147&lt;BB147,BY147,BZ147))</f>
        <v/>
      </c>
      <c r="CD147" s="4">
        <f>IF(BB147="","",(CB147+CC147)/2)</f>
        <v/>
      </c>
      <c r="CE147" s="4">
        <f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4">
        <f>IF(BB147="","",IF(CE147&lt;BB147,CD147,CB147))</f>
        <v/>
      </c>
      <c r="CG147" s="4">
        <f>IF(BB147="","",IF(CE147&lt;BB147,CC147,CD147))</f>
        <v/>
      </c>
      <c r="CH147" s="4">
        <f>IF(BB147="","",(CF147+CG147)/2)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SUMIFS(CB_plan!$G:$G,CB_plan!$F:$F,$A148)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IF(A148="","",IF(H148="","",2.78E-7*IF(I148&lt;&gt;"",I148,IFERROR(SUMIFS(CB_plan!$H:$H,CB_plan!$F:$F,$A148)/SUMIFS(CB_plan!$G:$G,CB_plan!$F:$F,$A148),Inputs!$B$17))*H148*K148))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7">
        <f>IF(BB148="","",CH148)</f>
        <v/>
      </c>
      <c r="BA148" s="7">
        <f>IF(OR(BB148="",AZ148="",T148="",T148&lt;=0,AZ148&lt;=0),"",BB148/((T148^2/8)*(2*ACOS(1-2*AZ148/T148)-SIN(2*ACOS(1-2*AZ148/T148)))))</f>
        <v/>
      </c>
      <c r="BB148" s="4">
        <f>IF(OR(N148="",BC148=""),"",MIN(N148,BC148))</f>
        <v/>
      </c>
      <c r="BC148" s="4">
        <f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4">
        <f>IF(BB148="","",0.001*T148)</f>
        <v/>
      </c>
      <c r="BE148" s="4">
        <f>IF(BB148="","",0.94*T148)</f>
        <v/>
      </c>
      <c r="BF148" s="4">
        <f>IF(BB148="","",(BD148+BE148)/2)</f>
        <v/>
      </c>
      <c r="BG148" s="4">
        <f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4">
        <f>IF(BB148="","",IF(BG148&lt;BB148,BF148,BD148))</f>
        <v/>
      </c>
      <c r="BI148" s="4">
        <f>IF(BB148="","",IF(BG148&lt;BB148,BE148,BF148))</f>
        <v/>
      </c>
      <c r="BJ148" s="4">
        <f>IF(BB148="","",(BH148+BI148)/2)</f>
        <v/>
      </c>
      <c r="BK148" s="4">
        <f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4">
        <f>IF(BB148="","",IF(BK148&lt;BB148,BJ148,BH148))</f>
        <v/>
      </c>
      <c r="BM148" s="4">
        <f>IF(BB148="","",IF(BK148&lt;BB148,BI148,BJ148))</f>
        <v/>
      </c>
      <c r="BN148" s="4">
        <f>IF(BB148="","",(BL148+BM148)/2)</f>
        <v/>
      </c>
      <c r="BO148" s="4">
        <f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4">
        <f>IF(BB148="","",IF(BO148&lt;BB148,BN148,BL148))</f>
        <v/>
      </c>
      <c r="BQ148" s="4">
        <f>IF(BB148="","",IF(BO148&lt;BB148,BM148,BN148))</f>
        <v/>
      </c>
      <c r="BR148" s="4">
        <f>IF(BB148="","",(BP148+BQ148)/2)</f>
        <v/>
      </c>
      <c r="BS148" s="4">
        <f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4">
        <f>IF(BB148="","",IF(BS148&lt;BB148,BR148,BP148))</f>
        <v/>
      </c>
      <c r="BU148" s="4">
        <f>IF(BB148="","",IF(BS148&lt;BB148,BQ148,BR148))</f>
        <v/>
      </c>
      <c r="BV148" s="4">
        <f>IF(BB148="","",(BT148+BU148)/2)</f>
        <v/>
      </c>
      <c r="BW148" s="4">
        <f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4">
        <f>IF(BB148="","",IF(BW148&lt;BB148,BV148,BT148))</f>
        <v/>
      </c>
      <c r="BY148" s="4">
        <f>IF(BB148="","",IF(BW148&lt;BB148,BU148,BV148))</f>
        <v/>
      </c>
      <c r="BZ148" s="4">
        <f>IF(BB148="","",(BX148+BY148)/2)</f>
        <v/>
      </c>
      <c r="CA148" s="4">
        <f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4">
        <f>IF(BB148="","",IF(CA148&lt;BB148,BZ148,BX148))</f>
        <v/>
      </c>
      <c r="CC148" s="4">
        <f>IF(BB148="","",IF(CA148&lt;BB148,BY148,BZ148))</f>
        <v/>
      </c>
      <c r="CD148" s="4">
        <f>IF(BB148="","",(CB148+CC148)/2)</f>
        <v/>
      </c>
      <c r="CE148" s="4">
        <f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4">
        <f>IF(BB148="","",IF(CE148&lt;BB148,CD148,CB148))</f>
        <v/>
      </c>
      <c r="CG148" s="4">
        <f>IF(BB148="","",IF(CE148&lt;BB148,CC148,CD148))</f>
        <v/>
      </c>
      <c r="CH148" s="4">
        <f>IF(BB148="","",(CF148+CG148)/2)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SUMIFS(CB_plan!$G:$G,CB_plan!$F:$F,$A149)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IF(A149="","",IF(H149="","",2.78E-7*IF(I149&lt;&gt;"",I149,IFERROR(SUMIFS(CB_plan!$H:$H,CB_plan!$F:$F,$A149)/SUMIFS(CB_plan!$G:$G,CB_plan!$F:$F,$A149),Inputs!$B$17))*H149*K149))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7">
        <f>IF(BB149="","",CH149)</f>
        <v/>
      </c>
      <c r="BA149" s="7">
        <f>IF(OR(BB149="",AZ149="",T149="",T149&lt;=0,AZ149&lt;=0),"",BB149/((T149^2/8)*(2*ACOS(1-2*AZ149/T149)-SIN(2*ACOS(1-2*AZ149/T149)))))</f>
        <v/>
      </c>
      <c r="BB149" s="4">
        <f>IF(OR(N149="",BC149=""),"",MIN(N149,BC149))</f>
        <v/>
      </c>
      <c r="BC149" s="4">
        <f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4">
        <f>IF(BB149="","",0.001*T149)</f>
        <v/>
      </c>
      <c r="BE149" s="4">
        <f>IF(BB149="","",0.94*T149)</f>
        <v/>
      </c>
      <c r="BF149" s="4">
        <f>IF(BB149="","",(BD149+BE149)/2)</f>
        <v/>
      </c>
      <c r="BG149" s="4">
        <f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4">
        <f>IF(BB149="","",IF(BG149&lt;BB149,BF149,BD149))</f>
        <v/>
      </c>
      <c r="BI149" s="4">
        <f>IF(BB149="","",IF(BG149&lt;BB149,BE149,BF149))</f>
        <v/>
      </c>
      <c r="BJ149" s="4">
        <f>IF(BB149="","",(BH149+BI149)/2)</f>
        <v/>
      </c>
      <c r="BK149" s="4">
        <f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4">
        <f>IF(BB149="","",IF(BK149&lt;BB149,BJ149,BH149))</f>
        <v/>
      </c>
      <c r="BM149" s="4">
        <f>IF(BB149="","",IF(BK149&lt;BB149,BI149,BJ149))</f>
        <v/>
      </c>
      <c r="BN149" s="4">
        <f>IF(BB149="","",(BL149+BM149)/2)</f>
        <v/>
      </c>
      <c r="BO149" s="4">
        <f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4">
        <f>IF(BB149="","",IF(BO149&lt;BB149,BN149,BL149))</f>
        <v/>
      </c>
      <c r="BQ149" s="4">
        <f>IF(BB149="","",IF(BO149&lt;BB149,BM149,BN149))</f>
        <v/>
      </c>
      <c r="BR149" s="4">
        <f>IF(BB149="","",(BP149+BQ149)/2)</f>
        <v/>
      </c>
      <c r="BS149" s="4">
        <f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4">
        <f>IF(BB149="","",IF(BS149&lt;BB149,BR149,BP149))</f>
        <v/>
      </c>
      <c r="BU149" s="4">
        <f>IF(BB149="","",IF(BS149&lt;BB149,BQ149,BR149))</f>
        <v/>
      </c>
      <c r="BV149" s="4">
        <f>IF(BB149="","",(BT149+BU149)/2)</f>
        <v/>
      </c>
      <c r="BW149" s="4">
        <f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4">
        <f>IF(BB149="","",IF(BW149&lt;BB149,BV149,BT149))</f>
        <v/>
      </c>
      <c r="BY149" s="4">
        <f>IF(BB149="","",IF(BW149&lt;BB149,BU149,BV149))</f>
        <v/>
      </c>
      <c r="BZ149" s="4">
        <f>IF(BB149="","",(BX149+BY149)/2)</f>
        <v/>
      </c>
      <c r="CA149" s="4">
        <f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4">
        <f>IF(BB149="","",IF(CA149&lt;BB149,BZ149,BX149))</f>
        <v/>
      </c>
      <c r="CC149" s="4">
        <f>IF(BB149="","",IF(CA149&lt;BB149,BY149,BZ149))</f>
        <v/>
      </c>
      <c r="CD149" s="4">
        <f>IF(BB149="","",(CB149+CC149)/2)</f>
        <v/>
      </c>
      <c r="CE149" s="4">
        <f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4">
        <f>IF(BB149="","",IF(CE149&lt;BB149,CD149,CB149))</f>
        <v/>
      </c>
      <c r="CG149" s="4">
        <f>IF(BB149="","",IF(CE149&lt;BB149,CC149,CD149))</f>
        <v/>
      </c>
      <c r="CH149" s="4">
        <f>IF(BB149="","",(CF149+CG149)/2)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SUMIFS(CB_plan!$G:$G,CB_plan!$F:$F,$A150)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IF(A150="","",IF(H150="","",2.78E-7*IF(I150&lt;&gt;"",I150,IFERROR(SUMIFS(CB_plan!$H:$H,CB_plan!$F:$F,$A150)/SUMIFS(CB_plan!$G:$G,CB_plan!$F:$F,$A150),Inputs!$B$17))*H150*K150))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7">
        <f>IF(BB150="","",CH150)</f>
        <v/>
      </c>
      <c r="BA150" s="7">
        <f>IF(OR(BB150="",AZ150="",T150="",T150&lt;=0,AZ150&lt;=0),"",BB150/((T150^2/8)*(2*ACOS(1-2*AZ150/T150)-SIN(2*ACOS(1-2*AZ150/T150)))))</f>
        <v/>
      </c>
      <c r="BB150" s="4">
        <f>IF(OR(N150="",BC150=""),"",MIN(N150,BC150))</f>
        <v/>
      </c>
      <c r="BC150" s="4">
        <f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4">
        <f>IF(BB150="","",0.001*T150)</f>
        <v/>
      </c>
      <c r="BE150" s="4">
        <f>IF(BB150="","",0.94*T150)</f>
        <v/>
      </c>
      <c r="BF150" s="4">
        <f>IF(BB150="","",(BD150+BE150)/2)</f>
        <v/>
      </c>
      <c r="BG150" s="4">
        <f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4">
        <f>IF(BB150="","",IF(BG150&lt;BB150,BF150,BD150))</f>
        <v/>
      </c>
      <c r="BI150" s="4">
        <f>IF(BB150="","",IF(BG150&lt;BB150,BE150,BF150))</f>
        <v/>
      </c>
      <c r="BJ150" s="4">
        <f>IF(BB150="","",(BH150+BI150)/2)</f>
        <v/>
      </c>
      <c r="BK150" s="4">
        <f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4">
        <f>IF(BB150="","",IF(BK150&lt;BB150,BJ150,BH150))</f>
        <v/>
      </c>
      <c r="BM150" s="4">
        <f>IF(BB150="","",IF(BK150&lt;BB150,BI150,BJ150))</f>
        <v/>
      </c>
      <c r="BN150" s="4">
        <f>IF(BB150="","",(BL150+BM150)/2)</f>
        <v/>
      </c>
      <c r="BO150" s="4">
        <f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4">
        <f>IF(BB150="","",IF(BO150&lt;BB150,BN150,BL150))</f>
        <v/>
      </c>
      <c r="BQ150" s="4">
        <f>IF(BB150="","",IF(BO150&lt;BB150,BM150,BN150))</f>
        <v/>
      </c>
      <c r="BR150" s="4">
        <f>IF(BB150="","",(BP150+BQ150)/2)</f>
        <v/>
      </c>
      <c r="BS150" s="4">
        <f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4">
        <f>IF(BB150="","",IF(BS150&lt;BB150,BR150,BP150))</f>
        <v/>
      </c>
      <c r="BU150" s="4">
        <f>IF(BB150="","",IF(BS150&lt;BB150,BQ150,BR150))</f>
        <v/>
      </c>
      <c r="BV150" s="4">
        <f>IF(BB150="","",(BT150+BU150)/2)</f>
        <v/>
      </c>
      <c r="BW150" s="4">
        <f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4">
        <f>IF(BB150="","",IF(BW150&lt;BB150,BV150,BT150))</f>
        <v/>
      </c>
      <c r="BY150" s="4">
        <f>IF(BB150="","",IF(BW150&lt;BB150,BU150,BV150))</f>
        <v/>
      </c>
      <c r="BZ150" s="4">
        <f>IF(BB150="","",(BX150+BY150)/2)</f>
        <v/>
      </c>
      <c r="CA150" s="4">
        <f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4">
        <f>IF(BB150="","",IF(CA150&lt;BB150,BZ150,BX150))</f>
        <v/>
      </c>
      <c r="CC150" s="4">
        <f>IF(BB150="","",IF(CA150&lt;BB150,BY150,BZ150))</f>
        <v/>
      </c>
      <c r="CD150" s="4">
        <f>IF(BB150="","",(CB150+CC150)/2)</f>
        <v/>
      </c>
      <c r="CE150" s="4">
        <f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4">
        <f>IF(BB150="","",IF(CE150&lt;BB150,CD150,CB150))</f>
        <v/>
      </c>
      <c r="CG150" s="4">
        <f>IF(BB150="","",IF(CE150&lt;BB150,CC150,CD150))</f>
        <v/>
      </c>
      <c r="CH150" s="4">
        <f>IF(BB150="","",(CF150+CG150)/2)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SUMIFS(CB_plan!$G:$G,CB_plan!$F:$F,$A151)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IF(A151="","",IF(H151="","",2.78E-7*IF(I151&lt;&gt;"",I151,IFERROR(SUMIFS(CB_plan!$H:$H,CB_plan!$F:$F,$A151)/SUMIFS(CB_plan!$G:$G,CB_plan!$F:$F,$A151),Inputs!$B$17))*H151*K151))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7">
        <f>IF(BB151="","",CH151)</f>
        <v/>
      </c>
      <c r="BA151" s="7">
        <f>IF(OR(BB151="",AZ151="",T151="",T151&lt;=0,AZ151&lt;=0),"",BB151/((T151^2/8)*(2*ACOS(1-2*AZ151/T151)-SIN(2*ACOS(1-2*AZ151/T151)))))</f>
        <v/>
      </c>
      <c r="BB151" s="4">
        <f>IF(OR(N151="",BC151=""),"",MIN(N151,BC151))</f>
        <v/>
      </c>
      <c r="BC151" s="4">
        <f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4">
        <f>IF(BB151="","",0.001*T151)</f>
        <v/>
      </c>
      <c r="BE151" s="4">
        <f>IF(BB151="","",0.94*T151)</f>
        <v/>
      </c>
      <c r="BF151" s="4">
        <f>IF(BB151="","",(BD151+BE151)/2)</f>
        <v/>
      </c>
      <c r="BG151" s="4">
        <f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4">
        <f>IF(BB151="","",IF(BG151&lt;BB151,BF151,BD151))</f>
        <v/>
      </c>
      <c r="BI151" s="4">
        <f>IF(BB151="","",IF(BG151&lt;BB151,BE151,BF151))</f>
        <v/>
      </c>
      <c r="BJ151" s="4">
        <f>IF(BB151="","",(BH151+BI151)/2)</f>
        <v/>
      </c>
      <c r="BK151" s="4">
        <f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4">
        <f>IF(BB151="","",IF(BK151&lt;BB151,BJ151,BH151))</f>
        <v/>
      </c>
      <c r="BM151" s="4">
        <f>IF(BB151="","",IF(BK151&lt;BB151,BI151,BJ151))</f>
        <v/>
      </c>
      <c r="BN151" s="4">
        <f>IF(BB151="","",(BL151+BM151)/2)</f>
        <v/>
      </c>
      <c r="BO151" s="4">
        <f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4">
        <f>IF(BB151="","",IF(BO151&lt;BB151,BN151,BL151))</f>
        <v/>
      </c>
      <c r="BQ151" s="4">
        <f>IF(BB151="","",IF(BO151&lt;BB151,BM151,BN151))</f>
        <v/>
      </c>
      <c r="BR151" s="4">
        <f>IF(BB151="","",(BP151+BQ151)/2)</f>
        <v/>
      </c>
      <c r="BS151" s="4">
        <f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4">
        <f>IF(BB151="","",IF(BS151&lt;BB151,BR151,BP151))</f>
        <v/>
      </c>
      <c r="BU151" s="4">
        <f>IF(BB151="","",IF(BS151&lt;BB151,BQ151,BR151))</f>
        <v/>
      </c>
      <c r="BV151" s="4">
        <f>IF(BB151="","",(BT151+BU151)/2)</f>
        <v/>
      </c>
      <c r="BW151" s="4">
        <f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4">
        <f>IF(BB151="","",IF(BW151&lt;BB151,BV151,BT151))</f>
        <v/>
      </c>
      <c r="BY151" s="4">
        <f>IF(BB151="","",IF(BW151&lt;BB151,BU151,BV151))</f>
        <v/>
      </c>
      <c r="BZ151" s="4">
        <f>IF(BB151="","",(BX151+BY151)/2)</f>
        <v/>
      </c>
      <c r="CA151" s="4">
        <f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4">
        <f>IF(BB151="","",IF(CA151&lt;BB151,BZ151,BX151))</f>
        <v/>
      </c>
      <c r="CC151" s="4">
        <f>IF(BB151="","",IF(CA151&lt;BB151,BY151,BZ151))</f>
        <v/>
      </c>
      <c r="CD151" s="4">
        <f>IF(BB151="","",(CB151+CC151)/2)</f>
        <v/>
      </c>
      <c r="CE151" s="4">
        <f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4">
        <f>IF(BB151="","",IF(CE151&lt;BB151,CD151,CB151))</f>
        <v/>
      </c>
      <c r="CG151" s="4">
        <f>IF(BB151="","",IF(CE151&lt;BB151,CC151,CD151))</f>
        <v/>
      </c>
      <c r="CH151" s="4">
        <f>IF(BB151="","",(CF151+CG151)/2)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SUMIFS(CB_plan!$G:$G,CB_plan!$F:$F,$A152)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IF(A152="","",IF(H152="","",2.78E-7*IF(I152&lt;&gt;"",I152,IFERROR(SUMIFS(CB_plan!$H:$H,CB_plan!$F:$F,$A152)/SUMIFS(CB_plan!$G:$G,CB_plan!$F:$F,$A152),Inputs!$B$17))*H152*K152))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7">
        <f>IF(BB152="","",CH152)</f>
        <v/>
      </c>
      <c r="BA152" s="7">
        <f>IF(OR(BB152="",AZ152="",T152="",T152&lt;=0,AZ152&lt;=0),"",BB152/((T152^2/8)*(2*ACOS(1-2*AZ152/T152)-SIN(2*ACOS(1-2*AZ152/T152)))))</f>
        <v/>
      </c>
      <c r="BB152" s="4">
        <f>IF(OR(N152="",BC152=""),"",MIN(N152,BC152))</f>
        <v/>
      </c>
      <c r="BC152" s="4">
        <f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4">
        <f>IF(BB152="","",0.001*T152)</f>
        <v/>
      </c>
      <c r="BE152" s="4">
        <f>IF(BB152="","",0.94*T152)</f>
        <v/>
      </c>
      <c r="BF152" s="4">
        <f>IF(BB152="","",(BD152+BE152)/2)</f>
        <v/>
      </c>
      <c r="BG152" s="4">
        <f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4">
        <f>IF(BB152="","",IF(BG152&lt;BB152,BF152,BD152))</f>
        <v/>
      </c>
      <c r="BI152" s="4">
        <f>IF(BB152="","",IF(BG152&lt;BB152,BE152,BF152))</f>
        <v/>
      </c>
      <c r="BJ152" s="4">
        <f>IF(BB152="","",(BH152+BI152)/2)</f>
        <v/>
      </c>
      <c r="BK152" s="4">
        <f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4">
        <f>IF(BB152="","",IF(BK152&lt;BB152,BJ152,BH152))</f>
        <v/>
      </c>
      <c r="BM152" s="4">
        <f>IF(BB152="","",IF(BK152&lt;BB152,BI152,BJ152))</f>
        <v/>
      </c>
      <c r="BN152" s="4">
        <f>IF(BB152="","",(BL152+BM152)/2)</f>
        <v/>
      </c>
      <c r="BO152" s="4">
        <f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4">
        <f>IF(BB152="","",IF(BO152&lt;BB152,BN152,BL152))</f>
        <v/>
      </c>
      <c r="BQ152" s="4">
        <f>IF(BB152="","",IF(BO152&lt;BB152,BM152,BN152))</f>
        <v/>
      </c>
      <c r="BR152" s="4">
        <f>IF(BB152="","",(BP152+BQ152)/2)</f>
        <v/>
      </c>
      <c r="BS152" s="4">
        <f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4">
        <f>IF(BB152="","",IF(BS152&lt;BB152,BR152,BP152))</f>
        <v/>
      </c>
      <c r="BU152" s="4">
        <f>IF(BB152="","",IF(BS152&lt;BB152,BQ152,BR152))</f>
        <v/>
      </c>
      <c r="BV152" s="4">
        <f>IF(BB152="","",(BT152+BU152)/2)</f>
        <v/>
      </c>
      <c r="BW152" s="4">
        <f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4">
        <f>IF(BB152="","",IF(BW152&lt;BB152,BV152,BT152))</f>
        <v/>
      </c>
      <c r="BY152" s="4">
        <f>IF(BB152="","",IF(BW152&lt;BB152,BU152,BV152))</f>
        <v/>
      </c>
      <c r="BZ152" s="4">
        <f>IF(BB152="","",(BX152+BY152)/2)</f>
        <v/>
      </c>
      <c r="CA152" s="4">
        <f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4">
        <f>IF(BB152="","",IF(CA152&lt;BB152,BZ152,BX152))</f>
        <v/>
      </c>
      <c r="CC152" s="4">
        <f>IF(BB152="","",IF(CA152&lt;BB152,BY152,BZ152))</f>
        <v/>
      </c>
      <c r="CD152" s="4">
        <f>IF(BB152="","",(CB152+CC152)/2)</f>
        <v/>
      </c>
      <c r="CE152" s="4">
        <f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4">
        <f>IF(BB152="","",IF(CE152&lt;BB152,CD152,CB152))</f>
        <v/>
      </c>
      <c r="CG152" s="4">
        <f>IF(BB152="","",IF(CE152&lt;BB152,CC152,CD152))</f>
        <v/>
      </c>
      <c r="CH152" s="4">
        <f>IF(BB152="","",(CF152+CG152)/2)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SUMIFS(CB_plan!$G:$G,CB_plan!$F:$F,$A153)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IF(A153="","",IF(H153="","",2.78E-7*IF(I153&lt;&gt;"",I153,IFERROR(SUMIFS(CB_plan!$H:$H,CB_plan!$F:$F,$A153)/SUMIFS(CB_plan!$G:$G,CB_plan!$F:$F,$A153),Inputs!$B$17))*H153*K153))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7">
        <f>IF(BB153="","",CH153)</f>
        <v/>
      </c>
      <c r="BA153" s="7">
        <f>IF(OR(BB153="",AZ153="",T153="",T153&lt;=0,AZ153&lt;=0),"",BB153/((T153^2/8)*(2*ACOS(1-2*AZ153/T153)-SIN(2*ACOS(1-2*AZ153/T153)))))</f>
        <v/>
      </c>
      <c r="BB153" s="4">
        <f>IF(OR(N153="",BC153=""),"",MIN(N153,BC153))</f>
        <v/>
      </c>
      <c r="BC153" s="4">
        <f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4">
        <f>IF(BB153="","",0.001*T153)</f>
        <v/>
      </c>
      <c r="BE153" s="4">
        <f>IF(BB153="","",0.94*T153)</f>
        <v/>
      </c>
      <c r="BF153" s="4">
        <f>IF(BB153="","",(BD153+BE153)/2)</f>
        <v/>
      </c>
      <c r="BG153" s="4">
        <f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4">
        <f>IF(BB153="","",IF(BG153&lt;BB153,BF153,BD153))</f>
        <v/>
      </c>
      <c r="BI153" s="4">
        <f>IF(BB153="","",IF(BG153&lt;BB153,BE153,BF153))</f>
        <v/>
      </c>
      <c r="BJ153" s="4">
        <f>IF(BB153="","",(BH153+BI153)/2)</f>
        <v/>
      </c>
      <c r="BK153" s="4">
        <f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4">
        <f>IF(BB153="","",IF(BK153&lt;BB153,BJ153,BH153))</f>
        <v/>
      </c>
      <c r="BM153" s="4">
        <f>IF(BB153="","",IF(BK153&lt;BB153,BI153,BJ153))</f>
        <v/>
      </c>
      <c r="BN153" s="4">
        <f>IF(BB153="","",(BL153+BM153)/2)</f>
        <v/>
      </c>
      <c r="BO153" s="4">
        <f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4">
        <f>IF(BB153="","",IF(BO153&lt;BB153,BN153,BL153))</f>
        <v/>
      </c>
      <c r="BQ153" s="4">
        <f>IF(BB153="","",IF(BO153&lt;BB153,BM153,BN153))</f>
        <v/>
      </c>
      <c r="BR153" s="4">
        <f>IF(BB153="","",(BP153+BQ153)/2)</f>
        <v/>
      </c>
      <c r="BS153" s="4">
        <f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4">
        <f>IF(BB153="","",IF(BS153&lt;BB153,BR153,BP153))</f>
        <v/>
      </c>
      <c r="BU153" s="4">
        <f>IF(BB153="","",IF(BS153&lt;BB153,BQ153,BR153))</f>
        <v/>
      </c>
      <c r="BV153" s="4">
        <f>IF(BB153="","",(BT153+BU153)/2)</f>
        <v/>
      </c>
      <c r="BW153" s="4">
        <f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4">
        <f>IF(BB153="","",IF(BW153&lt;BB153,BV153,BT153))</f>
        <v/>
      </c>
      <c r="BY153" s="4">
        <f>IF(BB153="","",IF(BW153&lt;BB153,BU153,BV153))</f>
        <v/>
      </c>
      <c r="BZ153" s="4">
        <f>IF(BB153="","",(BX153+BY153)/2)</f>
        <v/>
      </c>
      <c r="CA153" s="4">
        <f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4">
        <f>IF(BB153="","",IF(CA153&lt;BB153,BZ153,BX153))</f>
        <v/>
      </c>
      <c r="CC153" s="4">
        <f>IF(BB153="","",IF(CA153&lt;BB153,BY153,BZ153))</f>
        <v/>
      </c>
      <c r="CD153" s="4">
        <f>IF(BB153="","",(CB153+CC153)/2)</f>
        <v/>
      </c>
      <c r="CE153" s="4">
        <f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4">
        <f>IF(BB153="","",IF(CE153&lt;BB153,CD153,CB153))</f>
        <v/>
      </c>
      <c r="CG153" s="4">
        <f>IF(BB153="","",IF(CE153&lt;BB153,CC153,CD153))</f>
        <v/>
      </c>
      <c r="CH153" s="4">
        <f>IF(BB153="","",(CF153+CG153)/2)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SUMIFS(CB_plan!$G:$G,CB_plan!$F:$F,$A154)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IF(A154="","",IF(H154="","",2.78E-7*IF(I154&lt;&gt;"",I154,IFERROR(SUMIFS(CB_plan!$H:$H,CB_plan!$F:$F,$A154)/SUMIFS(CB_plan!$G:$G,CB_plan!$F:$F,$A154),Inputs!$B$17))*H154*K154))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7">
        <f>IF(BB154="","",CH154)</f>
        <v/>
      </c>
      <c r="BA154" s="7">
        <f>IF(OR(BB154="",AZ154="",T154="",T154&lt;=0,AZ154&lt;=0),"",BB154/((T154^2/8)*(2*ACOS(1-2*AZ154/T154)-SIN(2*ACOS(1-2*AZ154/T154)))))</f>
        <v/>
      </c>
      <c r="BB154" s="4">
        <f>IF(OR(N154="",BC154=""),"",MIN(N154,BC154))</f>
        <v/>
      </c>
      <c r="BC154" s="4">
        <f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4">
        <f>IF(BB154="","",0.001*T154)</f>
        <v/>
      </c>
      <c r="BE154" s="4">
        <f>IF(BB154="","",0.94*T154)</f>
        <v/>
      </c>
      <c r="BF154" s="4">
        <f>IF(BB154="","",(BD154+BE154)/2)</f>
        <v/>
      </c>
      <c r="BG154" s="4">
        <f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4">
        <f>IF(BB154="","",IF(BG154&lt;BB154,BF154,BD154))</f>
        <v/>
      </c>
      <c r="BI154" s="4">
        <f>IF(BB154="","",IF(BG154&lt;BB154,BE154,BF154))</f>
        <v/>
      </c>
      <c r="BJ154" s="4">
        <f>IF(BB154="","",(BH154+BI154)/2)</f>
        <v/>
      </c>
      <c r="BK154" s="4">
        <f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4">
        <f>IF(BB154="","",IF(BK154&lt;BB154,BJ154,BH154))</f>
        <v/>
      </c>
      <c r="BM154" s="4">
        <f>IF(BB154="","",IF(BK154&lt;BB154,BI154,BJ154))</f>
        <v/>
      </c>
      <c r="BN154" s="4">
        <f>IF(BB154="","",(BL154+BM154)/2)</f>
        <v/>
      </c>
      <c r="BO154" s="4">
        <f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4">
        <f>IF(BB154="","",IF(BO154&lt;BB154,BN154,BL154))</f>
        <v/>
      </c>
      <c r="BQ154" s="4">
        <f>IF(BB154="","",IF(BO154&lt;BB154,BM154,BN154))</f>
        <v/>
      </c>
      <c r="BR154" s="4">
        <f>IF(BB154="","",(BP154+BQ154)/2)</f>
        <v/>
      </c>
      <c r="BS154" s="4">
        <f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4">
        <f>IF(BB154="","",IF(BS154&lt;BB154,BR154,BP154))</f>
        <v/>
      </c>
      <c r="BU154" s="4">
        <f>IF(BB154="","",IF(BS154&lt;BB154,BQ154,BR154))</f>
        <v/>
      </c>
      <c r="BV154" s="4">
        <f>IF(BB154="","",(BT154+BU154)/2)</f>
        <v/>
      </c>
      <c r="BW154" s="4">
        <f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4">
        <f>IF(BB154="","",IF(BW154&lt;BB154,BV154,BT154))</f>
        <v/>
      </c>
      <c r="BY154" s="4">
        <f>IF(BB154="","",IF(BW154&lt;BB154,BU154,BV154))</f>
        <v/>
      </c>
      <c r="BZ154" s="4">
        <f>IF(BB154="","",(BX154+BY154)/2)</f>
        <v/>
      </c>
      <c r="CA154" s="4">
        <f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4">
        <f>IF(BB154="","",IF(CA154&lt;BB154,BZ154,BX154))</f>
        <v/>
      </c>
      <c r="CC154" s="4">
        <f>IF(BB154="","",IF(CA154&lt;BB154,BY154,BZ154))</f>
        <v/>
      </c>
      <c r="CD154" s="4">
        <f>IF(BB154="","",(CB154+CC154)/2)</f>
        <v/>
      </c>
      <c r="CE154" s="4">
        <f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4">
        <f>IF(BB154="","",IF(CE154&lt;BB154,CD154,CB154))</f>
        <v/>
      </c>
      <c r="CG154" s="4">
        <f>IF(BB154="","",IF(CE154&lt;BB154,CC154,CD154))</f>
        <v/>
      </c>
      <c r="CH154" s="4">
        <f>IF(BB154="","",(CF154+CG154)/2)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SUMIFS(CB_plan!$G:$G,CB_plan!$F:$F,$A155)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IF(A155="","",IF(H155="","",2.78E-7*IF(I155&lt;&gt;"",I155,IFERROR(SUMIFS(CB_plan!$H:$H,CB_plan!$F:$F,$A155)/SUMIFS(CB_plan!$G:$G,CB_plan!$F:$F,$A155),Inputs!$B$17))*H155*K155))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7">
        <f>IF(BB155="","",CH155)</f>
        <v/>
      </c>
      <c r="BA155" s="7">
        <f>IF(OR(BB155="",AZ155="",T155="",T155&lt;=0,AZ155&lt;=0),"",BB155/((T155^2/8)*(2*ACOS(1-2*AZ155/T155)-SIN(2*ACOS(1-2*AZ155/T155)))))</f>
        <v/>
      </c>
      <c r="BB155" s="4">
        <f>IF(OR(N155="",BC155=""),"",MIN(N155,BC155))</f>
        <v/>
      </c>
      <c r="BC155" s="4">
        <f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4">
        <f>IF(BB155="","",0.001*T155)</f>
        <v/>
      </c>
      <c r="BE155" s="4">
        <f>IF(BB155="","",0.94*T155)</f>
        <v/>
      </c>
      <c r="BF155" s="4">
        <f>IF(BB155="","",(BD155+BE155)/2)</f>
        <v/>
      </c>
      <c r="BG155" s="4">
        <f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4">
        <f>IF(BB155="","",IF(BG155&lt;BB155,BF155,BD155))</f>
        <v/>
      </c>
      <c r="BI155" s="4">
        <f>IF(BB155="","",IF(BG155&lt;BB155,BE155,BF155))</f>
        <v/>
      </c>
      <c r="BJ155" s="4">
        <f>IF(BB155="","",(BH155+BI155)/2)</f>
        <v/>
      </c>
      <c r="BK155" s="4">
        <f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4">
        <f>IF(BB155="","",IF(BK155&lt;BB155,BJ155,BH155))</f>
        <v/>
      </c>
      <c r="BM155" s="4">
        <f>IF(BB155="","",IF(BK155&lt;BB155,BI155,BJ155))</f>
        <v/>
      </c>
      <c r="BN155" s="4">
        <f>IF(BB155="","",(BL155+BM155)/2)</f>
        <v/>
      </c>
      <c r="BO155" s="4">
        <f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4">
        <f>IF(BB155="","",IF(BO155&lt;BB155,BN155,BL155))</f>
        <v/>
      </c>
      <c r="BQ155" s="4">
        <f>IF(BB155="","",IF(BO155&lt;BB155,BM155,BN155))</f>
        <v/>
      </c>
      <c r="BR155" s="4">
        <f>IF(BB155="","",(BP155+BQ155)/2)</f>
        <v/>
      </c>
      <c r="BS155" s="4">
        <f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4">
        <f>IF(BB155="","",IF(BS155&lt;BB155,BR155,BP155))</f>
        <v/>
      </c>
      <c r="BU155" s="4">
        <f>IF(BB155="","",IF(BS155&lt;BB155,BQ155,BR155))</f>
        <v/>
      </c>
      <c r="BV155" s="4">
        <f>IF(BB155="","",(BT155+BU155)/2)</f>
        <v/>
      </c>
      <c r="BW155" s="4">
        <f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4">
        <f>IF(BB155="","",IF(BW155&lt;BB155,BV155,BT155))</f>
        <v/>
      </c>
      <c r="BY155" s="4">
        <f>IF(BB155="","",IF(BW155&lt;BB155,BU155,BV155))</f>
        <v/>
      </c>
      <c r="BZ155" s="4">
        <f>IF(BB155="","",(BX155+BY155)/2)</f>
        <v/>
      </c>
      <c r="CA155" s="4">
        <f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4">
        <f>IF(BB155="","",IF(CA155&lt;BB155,BZ155,BX155))</f>
        <v/>
      </c>
      <c r="CC155" s="4">
        <f>IF(BB155="","",IF(CA155&lt;BB155,BY155,BZ155))</f>
        <v/>
      </c>
      <c r="CD155" s="4">
        <f>IF(BB155="","",(CB155+CC155)/2)</f>
        <v/>
      </c>
      <c r="CE155" s="4">
        <f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4">
        <f>IF(BB155="","",IF(CE155&lt;BB155,CD155,CB155))</f>
        <v/>
      </c>
      <c r="CG155" s="4">
        <f>IF(BB155="","",IF(CE155&lt;BB155,CC155,CD155))</f>
        <v/>
      </c>
      <c r="CH155" s="4">
        <f>IF(BB155="","",(CF155+CG155)/2)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SUMIFS(CB_plan!$G:$G,CB_plan!$F:$F,$A156)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IF(A156="","",IF(H156="","",2.78E-7*IF(I156&lt;&gt;"",I156,IFERROR(SUMIFS(CB_plan!$H:$H,CB_plan!$F:$F,$A156)/SUMIFS(CB_plan!$G:$G,CB_plan!$F:$F,$A156),Inputs!$B$17))*H156*K156))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7">
        <f>IF(BB156="","",CH156)</f>
        <v/>
      </c>
      <c r="BA156" s="7">
        <f>IF(OR(BB156="",AZ156="",T156="",T156&lt;=0,AZ156&lt;=0),"",BB156/((T156^2/8)*(2*ACOS(1-2*AZ156/T156)-SIN(2*ACOS(1-2*AZ156/T156)))))</f>
        <v/>
      </c>
      <c r="BB156" s="4">
        <f>IF(OR(N156="",BC156=""),"",MIN(N156,BC156))</f>
        <v/>
      </c>
      <c r="BC156" s="4">
        <f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4">
        <f>IF(BB156="","",0.001*T156)</f>
        <v/>
      </c>
      <c r="BE156" s="4">
        <f>IF(BB156="","",0.94*T156)</f>
        <v/>
      </c>
      <c r="BF156" s="4">
        <f>IF(BB156="","",(BD156+BE156)/2)</f>
        <v/>
      </c>
      <c r="BG156" s="4">
        <f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4">
        <f>IF(BB156="","",IF(BG156&lt;BB156,BF156,BD156))</f>
        <v/>
      </c>
      <c r="BI156" s="4">
        <f>IF(BB156="","",IF(BG156&lt;BB156,BE156,BF156))</f>
        <v/>
      </c>
      <c r="BJ156" s="4">
        <f>IF(BB156="","",(BH156+BI156)/2)</f>
        <v/>
      </c>
      <c r="BK156" s="4">
        <f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4">
        <f>IF(BB156="","",IF(BK156&lt;BB156,BJ156,BH156))</f>
        <v/>
      </c>
      <c r="BM156" s="4">
        <f>IF(BB156="","",IF(BK156&lt;BB156,BI156,BJ156))</f>
        <v/>
      </c>
      <c r="BN156" s="4">
        <f>IF(BB156="","",(BL156+BM156)/2)</f>
        <v/>
      </c>
      <c r="BO156" s="4">
        <f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4">
        <f>IF(BB156="","",IF(BO156&lt;BB156,BN156,BL156))</f>
        <v/>
      </c>
      <c r="BQ156" s="4">
        <f>IF(BB156="","",IF(BO156&lt;BB156,BM156,BN156))</f>
        <v/>
      </c>
      <c r="BR156" s="4">
        <f>IF(BB156="","",(BP156+BQ156)/2)</f>
        <v/>
      </c>
      <c r="BS156" s="4">
        <f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4">
        <f>IF(BB156="","",IF(BS156&lt;BB156,BR156,BP156))</f>
        <v/>
      </c>
      <c r="BU156" s="4">
        <f>IF(BB156="","",IF(BS156&lt;BB156,BQ156,BR156))</f>
        <v/>
      </c>
      <c r="BV156" s="4">
        <f>IF(BB156="","",(BT156+BU156)/2)</f>
        <v/>
      </c>
      <c r="BW156" s="4">
        <f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4">
        <f>IF(BB156="","",IF(BW156&lt;BB156,BV156,BT156))</f>
        <v/>
      </c>
      <c r="BY156" s="4">
        <f>IF(BB156="","",IF(BW156&lt;BB156,BU156,BV156))</f>
        <v/>
      </c>
      <c r="BZ156" s="4">
        <f>IF(BB156="","",(BX156+BY156)/2)</f>
        <v/>
      </c>
      <c r="CA156" s="4">
        <f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4">
        <f>IF(BB156="","",IF(CA156&lt;BB156,BZ156,BX156))</f>
        <v/>
      </c>
      <c r="CC156" s="4">
        <f>IF(BB156="","",IF(CA156&lt;BB156,BY156,BZ156))</f>
        <v/>
      </c>
      <c r="CD156" s="4">
        <f>IF(BB156="","",(CB156+CC156)/2)</f>
        <v/>
      </c>
      <c r="CE156" s="4">
        <f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4">
        <f>IF(BB156="","",IF(CE156&lt;BB156,CD156,CB156))</f>
        <v/>
      </c>
      <c r="CG156" s="4">
        <f>IF(BB156="","",IF(CE156&lt;BB156,CC156,CD156))</f>
        <v/>
      </c>
      <c r="CH156" s="4">
        <f>IF(BB156="","",(CF156+CG156)/2)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SUMIFS(CB_plan!$G:$G,CB_plan!$F:$F,$A157)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IF(A157="","",IF(H157="","",2.78E-7*IF(I157&lt;&gt;"",I157,IFERROR(SUMIFS(CB_plan!$H:$H,CB_plan!$F:$F,$A157)/SUMIFS(CB_plan!$G:$G,CB_plan!$F:$F,$A157),Inputs!$B$17))*H157*K157))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7">
        <f>IF(BB157="","",CH157)</f>
        <v/>
      </c>
      <c r="BA157" s="7">
        <f>IF(OR(BB157="",AZ157="",T157="",T157&lt;=0,AZ157&lt;=0),"",BB157/((T157^2/8)*(2*ACOS(1-2*AZ157/T157)-SIN(2*ACOS(1-2*AZ157/T157)))))</f>
        <v/>
      </c>
      <c r="BB157" s="4">
        <f>IF(OR(N157="",BC157=""),"",MIN(N157,BC157))</f>
        <v/>
      </c>
      <c r="BC157" s="4">
        <f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4">
        <f>IF(BB157="","",0.001*T157)</f>
        <v/>
      </c>
      <c r="BE157" s="4">
        <f>IF(BB157="","",0.94*T157)</f>
        <v/>
      </c>
      <c r="BF157" s="4">
        <f>IF(BB157="","",(BD157+BE157)/2)</f>
        <v/>
      </c>
      <c r="BG157" s="4">
        <f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4">
        <f>IF(BB157="","",IF(BG157&lt;BB157,BF157,BD157))</f>
        <v/>
      </c>
      <c r="BI157" s="4">
        <f>IF(BB157="","",IF(BG157&lt;BB157,BE157,BF157))</f>
        <v/>
      </c>
      <c r="BJ157" s="4">
        <f>IF(BB157="","",(BH157+BI157)/2)</f>
        <v/>
      </c>
      <c r="BK157" s="4">
        <f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4">
        <f>IF(BB157="","",IF(BK157&lt;BB157,BJ157,BH157))</f>
        <v/>
      </c>
      <c r="BM157" s="4">
        <f>IF(BB157="","",IF(BK157&lt;BB157,BI157,BJ157))</f>
        <v/>
      </c>
      <c r="BN157" s="4">
        <f>IF(BB157="","",(BL157+BM157)/2)</f>
        <v/>
      </c>
      <c r="BO157" s="4">
        <f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4">
        <f>IF(BB157="","",IF(BO157&lt;BB157,BN157,BL157))</f>
        <v/>
      </c>
      <c r="BQ157" s="4">
        <f>IF(BB157="","",IF(BO157&lt;BB157,BM157,BN157))</f>
        <v/>
      </c>
      <c r="BR157" s="4">
        <f>IF(BB157="","",(BP157+BQ157)/2)</f>
        <v/>
      </c>
      <c r="BS157" s="4">
        <f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4">
        <f>IF(BB157="","",IF(BS157&lt;BB157,BR157,BP157))</f>
        <v/>
      </c>
      <c r="BU157" s="4">
        <f>IF(BB157="","",IF(BS157&lt;BB157,BQ157,BR157))</f>
        <v/>
      </c>
      <c r="BV157" s="4">
        <f>IF(BB157="","",(BT157+BU157)/2)</f>
        <v/>
      </c>
      <c r="BW157" s="4">
        <f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4">
        <f>IF(BB157="","",IF(BW157&lt;BB157,BV157,BT157))</f>
        <v/>
      </c>
      <c r="BY157" s="4">
        <f>IF(BB157="","",IF(BW157&lt;BB157,BU157,BV157))</f>
        <v/>
      </c>
      <c r="BZ157" s="4">
        <f>IF(BB157="","",(BX157+BY157)/2)</f>
        <v/>
      </c>
      <c r="CA157" s="4">
        <f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4">
        <f>IF(BB157="","",IF(CA157&lt;BB157,BZ157,BX157))</f>
        <v/>
      </c>
      <c r="CC157" s="4">
        <f>IF(BB157="","",IF(CA157&lt;BB157,BY157,BZ157))</f>
        <v/>
      </c>
      <c r="CD157" s="4">
        <f>IF(BB157="","",(CB157+CC157)/2)</f>
        <v/>
      </c>
      <c r="CE157" s="4">
        <f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4">
        <f>IF(BB157="","",IF(CE157&lt;BB157,CD157,CB157))</f>
        <v/>
      </c>
      <c r="CG157" s="4">
        <f>IF(BB157="","",IF(CE157&lt;BB157,CC157,CD157))</f>
        <v/>
      </c>
      <c r="CH157" s="4">
        <f>IF(BB157="","",(CF157+CG157)/2)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SUMIFS(CB_plan!$G:$G,CB_plan!$F:$F,$A158)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IF(A158="","",IF(H158="","",2.78E-7*IF(I158&lt;&gt;"",I158,IFERROR(SUMIFS(CB_plan!$H:$H,CB_plan!$F:$F,$A158)/SUMIFS(CB_plan!$G:$G,CB_plan!$F:$F,$A158),Inputs!$B$17))*H158*K158))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7">
        <f>IF(BB158="","",CH158)</f>
        <v/>
      </c>
      <c r="BA158" s="7">
        <f>IF(OR(BB158="",AZ158="",T158="",T158&lt;=0,AZ158&lt;=0),"",BB158/((T158^2/8)*(2*ACOS(1-2*AZ158/T158)-SIN(2*ACOS(1-2*AZ158/T158)))))</f>
        <v/>
      </c>
      <c r="BB158" s="4">
        <f>IF(OR(N158="",BC158=""),"",MIN(N158,BC158))</f>
        <v/>
      </c>
      <c r="BC158" s="4">
        <f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4">
        <f>IF(BB158="","",0.001*T158)</f>
        <v/>
      </c>
      <c r="BE158" s="4">
        <f>IF(BB158="","",0.94*T158)</f>
        <v/>
      </c>
      <c r="BF158" s="4">
        <f>IF(BB158="","",(BD158+BE158)/2)</f>
        <v/>
      </c>
      <c r="BG158" s="4">
        <f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4">
        <f>IF(BB158="","",IF(BG158&lt;BB158,BF158,BD158))</f>
        <v/>
      </c>
      <c r="BI158" s="4">
        <f>IF(BB158="","",IF(BG158&lt;BB158,BE158,BF158))</f>
        <v/>
      </c>
      <c r="BJ158" s="4">
        <f>IF(BB158="","",(BH158+BI158)/2)</f>
        <v/>
      </c>
      <c r="BK158" s="4">
        <f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4">
        <f>IF(BB158="","",IF(BK158&lt;BB158,BJ158,BH158))</f>
        <v/>
      </c>
      <c r="BM158" s="4">
        <f>IF(BB158="","",IF(BK158&lt;BB158,BI158,BJ158))</f>
        <v/>
      </c>
      <c r="BN158" s="4">
        <f>IF(BB158="","",(BL158+BM158)/2)</f>
        <v/>
      </c>
      <c r="BO158" s="4">
        <f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4">
        <f>IF(BB158="","",IF(BO158&lt;BB158,BN158,BL158))</f>
        <v/>
      </c>
      <c r="BQ158" s="4">
        <f>IF(BB158="","",IF(BO158&lt;BB158,BM158,BN158))</f>
        <v/>
      </c>
      <c r="BR158" s="4">
        <f>IF(BB158="","",(BP158+BQ158)/2)</f>
        <v/>
      </c>
      <c r="BS158" s="4">
        <f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4">
        <f>IF(BB158="","",IF(BS158&lt;BB158,BR158,BP158))</f>
        <v/>
      </c>
      <c r="BU158" s="4">
        <f>IF(BB158="","",IF(BS158&lt;BB158,BQ158,BR158))</f>
        <v/>
      </c>
      <c r="BV158" s="4">
        <f>IF(BB158="","",(BT158+BU158)/2)</f>
        <v/>
      </c>
      <c r="BW158" s="4">
        <f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4">
        <f>IF(BB158="","",IF(BW158&lt;BB158,BV158,BT158))</f>
        <v/>
      </c>
      <c r="BY158" s="4">
        <f>IF(BB158="","",IF(BW158&lt;BB158,BU158,BV158))</f>
        <v/>
      </c>
      <c r="BZ158" s="4">
        <f>IF(BB158="","",(BX158+BY158)/2)</f>
        <v/>
      </c>
      <c r="CA158" s="4">
        <f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4">
        <f>IF(BB158="","",IF(CA158&lt;BB158,BZ158,BX158))</f>
        <v/>
      </c>
      <c r="CC158" s="4">
        <f>IF(BB158="","",IF(CA158&lt;BB158,BY158,BZ158))</f>
        <v/>
      </c>
      <c r="CD158" s="4">
        <f>IF(BB158="","",(CB158+CC158)/2)</f>
        <v/>
      </c>
      <c r="CE158" s="4">
        <f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4">
        <f>IF(BB158="","",IF(CE158&lt;BB158,CD158,CB158))</f>
        <v/>
      </c>
      <c r="CG158" s="4">
        <f>IF(BB158="","",IF(CE158&lt;BB158,CC158,CD158))</f>
        <v/>
      </c>
      <c r="CH158" s="4">
        <f>IF(BB158="","",(CF158+CG158)/2)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SUMIFS(CB_plan!$G:$G,CB_plan!$F:$F,$A159)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IF(A159="","",IF(H159="","",2.78E-7*IF(I159&lt;&gt;"",I159,IFERROR(SUMIFS(CB_plan!$H:$H,CB_plan!$F:$F,$A159)/SUMIFS(CB_plan!$G:$G,CB_plan!$F:$F,$A159),Inputs!$B$17))*H159*K159))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7">
        <f>IF(BB159="","",CH159)</f>
        <v/>
      </c>
      <c r="BA159" s="7">
        <f>IF(OR(BB159="",AZ159="",T159="",T159&lt;=0,AZ159&lt;=0),"",BB159/((T159^2/8)*(2*ACOS(1-2*AZ159/T159)-SIN(2*ACOS(1-2*AZ159/T159)))))</f>
        <v/>
      </c>
      <c r="BB159" s="4">
        <f>IF(OR(N159="",BC159=""),"",MIN(N159,BC159))</f>
        <v/>
      </c>
      <c r="BC159" s="4">
        <f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4">
        <f>IF(BB159="","",0.001*T159)</f>
        <v/>
      </c>
      <c r="BE159" s="4">
        <f>IF(BB159="","",0.94*T159)</f>
        <v/>
      </c>
      <c r="BF159" s="4">
        <f>IF(BB159="","",(BD159+BE159)/2)</f>
        <v/>
      </c>
      <c r="BG159" s="4">
        <f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4">
        <f>IF(BB159="","",IF(BG159&lt;BB159,BF159,BD159))</f>
        <v/>
      </c>
      <c r="BI159" s="4">
        <f>IF(BB159="","",IF(BG159&lt;BB159,BE159,BF159))</f>
        <v/>
      </c>
      <c r="BJ159" s="4">
        <f>IF(BB159="","",(BH159+BI159)/2)</f>
        <v/>
      </c>
      <c r="BK159" s="4">
        <f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4">
        <f>IF(BB159="","",IF(BK159&lt;BB159,BJ159,BH159))</f>
        <v/>
      </c>
      <c r="BM159" s="4">
        <f>IF(BB159="","",IF(BK159&lt;BB159,BI159,BJ159))</f>
        <v/>
      </c>
      <c r="BN159" s="4">
        <f>IF(BB159="","",(BL159+BM159)/2)</f>
        <v/>
      </c>
      <c r="BO159" s="4">
        <f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4">
        <f>IF(BB159="","",IF(BO159&lt;BB159,BN159,BL159))</f>
        <v/>
      </c>
      <c r="BQ159" s="4">
        <f>IF(BB159="","",IF(BO159&lt;BB159,BM159,BN159))</f>
        <v/>
      </c>
      <c r="BR159" s="4">
        <f>IF(BB159="","",(BP159+BQ159)/2)</f>
        <v/>
      </c>
      <c r="BS159" s="4">
        <f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4">
        <f>IF(BB159="","",IF(BS159&lt;BB159,BR159,BP159))</f>
        <v/>
      </c>
      <c r="BU159" s="4">
        <f>IF(BB159="","",IF(BS159&lt;BB159,BQ159,BR159))</f>
        <v/>
      </c>
      <c r="BV159" s="4">
        <f>IF(BB159="","",(BT159+BU159)/2)</f>
        <v/>
      </c>
      <c r="BW159" s="4">
        <f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4">
        <f>IF(BB159="","",IF(BW159&lt;BB159,BV159,BT159))</f>
        <v/>
      </c>
      <c r="BY159" s="4">
        <f>IF(BB159="","",IF(BW159&lt;BB159,BU159,BV159))</f>
        <v/>
      </c>
      <c r="BZ159" s="4">
        <f>IF(BB159="","",(BX159+BY159)/2)</f>
        <v/>
      </c>
      <c r="CA159" s="4">
        <f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4">
        <f>IF(BB159="","",IF(CA159&lt;BB159,BZ159,BX159))</f>
        <v/>
      </c>
      <c r="CC159" s="4">
        <f>IF(BB159="","",IF(CA159&lt;BB159,BY159,BZ159))</f>
        <v/>
      </c>
      <c r="CD159" s="4">
        <f>IF(BB159="","",(CB159+CC159)/2)</f>
        <v/>
      </c>
      <c r="CE159" s="4">
        <f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4">
        <f>IF(BB159="","",IF(CE159&lt;BB159,CD159,CB159))</f>
        <v/>
      </c>
      <c r="CG159" s="4">
        <f>IF(BB159="","",IF(CE159&lt;BB159,CC159,CD159))</f>
        <v/>
      </c>
      <c r="CH159" s="4">
        <f>IF(BB159="","",(CF159+CG159)/2)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SUMIFS(CB_plan!$G:$G,CB_plan!$F:$F,$A160)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IF(A160="","",IF(H160="","",2.78E-7*IF(I160&lt;&gt;"",I160,IFERROR(SUMIFS(CB_plan!$H:$H,CB_plan!$F:$F,$A160)/SUMIFS(CB_plan!$G:$G,CB_plan!$F:$F,$A160),Inputs!$B$17))*H160*K160))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7">
        <f>IF(BB160="","",CH160)</f>
        <v/>
      </c>
      <c r="BA160" s="7">
        <f>IF(OR(BB160="",AZ160="",T160="",T160&lt;=0,AZ160&lt;=0),"",BB160/((T160^2/8)*(2*ACOS(1-2*AZ160/T160)-SIN(2*ACOS(1-2*AZ160/T160)))))</f>
        <v/>
      </c>
      <c r="BB160" s="4">
        <f>IF(OR(N160="",BC160=""),"",MIN(N160,BC160))</f>
        <v/>
      </c>
      <c r="BC160" s="4">
        <f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4">
        <f>IF(BB160="","",0.001*T160)</f>
        <v/>
      </c>
      <c r="BE160" s="4">
        <f>IF(BB160="","",0.94*T160)</f>
        <v/>
      </c>
      <c r="BF160" s="4">
        <f>IF(BB160="","",(BD160+BE160)/2)</f>
        <v/>
      </c>
      <c r="BG160" s="4">
        <f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4">
        <f>IF(BB160="","",IF(BG160&lt;BB160,BF160,BD160))</f>
        <v/>
      </c>
      <c r="BI160" s="4">
        <f>IF(BB160="","",IF(BG160&lt;BB160,BE160,BF160))</f>
        <v/>
      </c>
      <c r="BJ160" s="4">
        <f>IF(BB160="","",(BH160+BI160)/2)</f>
        <v/>
      </c>
      <c r="BK160" s="4">
        <f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4">
        <f>IF(BB160="","",IF(BK160&lt;BB160,BJ160,BH160))</f>
        <v/>
      </c>
      <c r="BM160" s="4">
        <f>IF(BB160="","",IF(BK160&lt;BB160,BI160,BJ160))</f>
        <v/>
      </c>
      <c r="BN160" s="4">
        <f>IF(BB160="","",(BL160+BM160)/2)</f>
        <v/>
      </c>
      <c r="BO160" s="4">
        <f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4">
        <f>IF(BB160="","",IF(BO160&lt;BB160,BN160,BL160))</f>
        <v/>
      </c>
      <c r="BQ160" s="4">
        <f>IF(BB160="","",IF(BO160&lt;BB160,BM160,BN160))</f>
        <v/>
      </c>
      <c r="BR160" s="4">
        <f>IF(BB160="","",(BP160+BQ160)/2)</f>
        <v/>
      </c>
      <c r="BS160" s="4">
        <f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4">
        <f>IF(BB160="","",IF(BS160&lt;BB160,BR160,BP160))</f>
        <v/>
      </c>
      <c r="BU160" s="4">
        <f>IF(BB160="","",IF(BS160&lt;BB160,BQ160,BR160))</f>
        <v/>
      </c>
      <c r="BV160" s="4">
        <f>IF(BB160="","",(BT160+BU160)/2)</f>
        <v/>
      </c>
      <c r="BW160" s="4">
        <f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4">
        <f>IF(BB160="","",IF(BW160&lt;BB160,BV160,BT160))</f>
        <v/>
      </c>
      <c r="BY160" s="4">
        <f>IF(BB160="","",IF(BW160&lt;BB160,BU160,BV160))</f>
        <v/>
      </c>
      <c r="BZ160" s="4">
        <f>IF(BB160="","",(BX160+BY160)/2)</f>
        <v/>
      </c>
      <c r="CA160" s="4">
        <f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4">
        <f>IF(BB160="","",IF(CA160&lt;BB160,BZ160,BX160))</f>
        <v/>
      </c>
      <c r="CC160" s="4">
        <f>IF(BB160="","",IF(CA160&lt;BB160,BY160,BZ160))</f>
        <v/>
      </c>
      <c r="CD160" s="4">
        <f>IF(BB160="","",(CB160+CC160)/2)</f>
        <v/>
      </c>
      <c r="CE160" s="4">
        <f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4">
        <f>IF(BB160="","",IF(CE160&lt;BB160,CD160,CB160))</f>
        <v/>
      </c>
      <c r="CG160" s="4">
        <f>IF(BB160="","",IF(CE160&lt;BB160,CC160,CD160))</f>
        <v/>
      </c>
      <c r="CH160" s="4">
        <f>IF(BB160="","",(CF160+CG160)/2)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SUMIFS(CB_plan!$G:$G,CB_plan!$F:$F,$A161)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IF(A161="","",IF(H161="","",2.78E-7*IF(I161&lt;&gt;"",I161,IFERROR(SUMIFS(CB_plan!$H:$H,CB_plan!$F:$F,$A161)/SUMIFS(CB_plan!$G:$G,CB_plan!$F:$F,$A161),Inputs!$B$17))*H161*K161))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7">
        <f>IF(BB161="","",CH161)</f>
        <v/>
      </c>
      <c r="BA161" s="7">
        <f>IF(OR(BB161="",AZ161="",T161="",T161&lt;=0,AZ161&lt;=0),"",BB161/((T161^2/8)*(2*ACOS(1-2*AZ161/T161)-SIN(2*ACOS(1-2*AZ161/T161)))))</f>
        <v/>
      </c>
      <c r="BB161" s="4">
        <f>IF(OR(N161="",BC161=""),"",MIN(N161,BC161))</f>
        <v/>
      </c>
      <c r="BC161" s="4">
        <f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4">
        <f>IF(BB161="","",0.001*T161)</f>
        <v/>
      </c>
      <c r="BE161" s="4">
        <f>IF(BB161="","",0.94*T161)</f>
        <v/>
      </c>
      <c r="BF161" s="4">
        <f>IF(BB161="","",(BD161+BE161)/2)</f>
        <v/>
      </c>
      <c r="BG161" s="4">
        <f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4">
        <f>IF(BB161="","",IF(BG161&lt;BB161,BF161,BD161))</f>
        <v/>
      </c>
      <c r="BI161" s="4">
        <f>IF(BB161="","",IF(BG161&lt;BB161,BE161,BF161))</f>
        <v/>
      </c>
      <c r="BJ161" s="4">
        <f>IF(BB161="","",(BH161+BI161)/2)</f>
        <v/>
      </c>
      <c r="BK161" s="4">
        <f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4">
        <f>IF(BB161="","",IF(BK161&lt;BB161,BJ161,BH161))</f>
        <v/>
      </c>
      <c r="BM161" s="4">
        <f>IF(BB161="","",IF(BK161&lt;BB161,BI161,BJ161))</f>
        <v/>
      </c>
      <c r="BN161" s="4">
        <f>IF(BB161="","",(BL161+BM161)/2)</f>
        <v/>
      </c>
      <c r="BO161" s="4">
        <f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4">
        <f>IF(BB161="","",IF(BO161&lt;BB161,BN161,BL161))</f>
        <v/>
      </c>
      <c r="BQ161" s="4">
        <f>IF(BB161="","",IF(BO161&lt;BB161,BM161,BN161))</f>
        <v/>
      </c>
      <c r="BR161" s="4">
        <f>IF(BB161="","",(BP161+BQ161)/2)</f>
        <v/>
      </c>
      <c r="BS161" s="4">
        <f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4">
        <f>IF(BB161="","",IF(BS161&lt;BB161,BR161,BP161))</f>
        <v/>
      </c>
      <c r="BU161" s="4">
        <f>IF(BB161="","",IF(BS161&lt;BB161,BQ161,BR161))</f>
        <v/>
      </c>
      <c r="BV161" s="4">
        <f>IF(BB161="","",(BT161+BU161)/2)</f>
        <v/>
      </c>
      <c r="BW161" s="4">
        <f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4">
        <f>IF(BB161="","",IF(BW161&lt;BB161,BV161,BT161))</f>
        <v/>
      </c>
      <c r="BY161" s="4">
        <f>IF(BB161="","",IF(BW161&lt;BB161,BU161,BV161))</f>
        <v/>
      </c>
      <c r="BZ161" s="4">
        <f>IF(BB161="","",(BX161+BY161)/2)</f>
        <v/>
      </c>
      <c r="CA161" s="4">
        <f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4">
        <f>IF(BB161="","",IF(CA161&lt;BB161,BZ161,BX161))</f>
        <v/>
      </c>
      <c r="CC161" s="4">
        <f>IF(BB161="","",IF(CA161&lt;BB161,BY161,BZ161))</f>
        <v/>
      </c>
      <c r="CD161" s="4">
        <f>IF(BB161="","",(CB161+CC161)/2)</f>
        <v/>
      </c>
      <c r="CE161" s="4">
        <f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4">
        <f>IF(BB161="","",IF(CE161&lt;BB161,CD161,CB161))</f>
        <v/>
      </c>
      <c r="CG161" s="4">
        <f>IF(BB161="","",IF(CE161&lt;BB161,CC161,CD161))</f>
        <v/>
      </c>
      <c r="CH161" s="4">
        <f>IF(BB161="","",(CF161+CG161)/2)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SUMIFS(CB_plan!$G:$G,CB_plan!$F:$F,$A162)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IF(A162="","",IF(H162="","",2.78E-7*IF(I162&lt;&gt;"",I162,IFERROR(SUMIFS(CB_plan!$H:$H,CB_plan!$F:$F,$A162)/SUMIFS(CB_plan!$G:$G,CB_plan!$F:$F,$A162),Inputs!$B$17))*H162*K162))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7">
        <f>IF(BB162="","",CH162)</f>
        <v/>
      </c>
      <c r="BA162" s="7">
        <f>IF(OR(BB162="",AZ162="",T162="",T162&lt;=0,AZ162&lt;=0),"",BB162/((T162^2/8)*(2*ACOS(1-2*AZ162/T162)-SIN(2*ACOS(1-2*AZ162/T162)))))</f>
        <v/>
      </c>
      <c r="BB162" s="4">
        <f>IF(OR(N162="",BC162=""),"",MIN(N162,BC162))</f>
        <v/>
      </c>
      <c r="BC162" s="4">
        <f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4">
        <f>IF(BB162="","",0.001*T162)</f>
        <v/>
      </c>
      <c r="BE162" s="4">
        <f>IF(BB162="","",0.94*T162)</f>
        <v/>
      </c>
      <c r="BF162" s="4">
        <f>IF(BB162="","",(BD162+BE162)/2)</f>
        <v/>
      </c>
      <c r="BG162" s="4">
        <f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4">
        <f>IF(BB162="","",IF(BG162&lt;BB162,BF162,BD162))</f>
        <v/>
      </c>
      <c r="BI162" s="4">
        <f>IF(BB162="","",IF(BG162&lt;BB162,BE162,BF162))</f>
        <v/>
      </c>
      <c r="BJ162" s="4">
        <f>IF(BB162="","",(BH162+BI162)/2)</f>
        <v/>
      </c>
      <c r="BK162" s="4">
        <f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4">
        <f>IF(BB162="","",IF(BK162&lt;BB162,BJ162,BH162))</f>
        <v/>
      </c>
      <c r="BM162" s="4">
        <f>IF(BB162="","",IF(BK162&lt;BB162,BI162,BJ162))</f>
        <v/>
      </c>
      <c r="BN162" s="4">
        <f>IF(BB162="","",(BL162+BM162)/2)</f>
        <v/>
      </c>
      <c r="BO162" s="4">
        <f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4">
        <f>IF(BB162="","",IF(BO162&lt;BB162,BN162,BL162))</f>
        <v/>
      </c>
      <c r="BQ162" s="4">
        <f>IF(BB162="","",IF(BO162&lt;BB162,BM162,BN162))</f>
        <v/>
      </c>
      <c r="BR162" s="4">
        <f>IF(BB162="","",(BP162+BQ162)/2)</f>
        <v/>
      </c>
      <c r="BS162" s="4">
        <f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4">
        <f>IF(BB162="","",IF(BS162&lt;BB162,BR162,BP162))</f>
        <v/>
      </c>
      <c r="BU162" s="4">
        <f>IF(BB162="","",IF(BS162&lt;BB162,BQ162,BR162))</f>
        <v/>
      </c>
      <c r="BV162" s="4">
        <f>IF(BB162="","",(BT162+BU162)/2)</f>
        <v/>
      </c>
      <c r="BW162" s="4">
        <f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4">
        <f>IF(BB162="","",IF(BW162&lt;BB162,BV162,BT162))</f>
        <v/>
      </c>
      <c r="BY162" s="4">
        <f>IF(BB162="","",IF(BW162&lt;BB162,BU162,BV162))</f>
        <v/>
      </c>
      <c r="BZ162" s="4">
        <f>IF(BB162="","",(BX162+BY162)/2)</f>
        <v/>
      </c>
      <c r="CA162" s="4">
        <f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4">
        <f>IF(BB162="","",IF(CA162&lt;BB162,BZ162,BX162))</f>
        <v/>
      </c>
      <c r="CC162" s="4">
        <f>IF(BB162="","",IF(CA162&lt;BB162,BY162,BZ162))</f>
        <v/>
      </c>
      <c r="CD162" s="4">
        <f>IF(BB162="","",(CB162+CC162)/2)</f>
        <v/>
      </c>
      <c r="CE162" s="4">
        <f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4">
        <f>IF(BB162="","",IF(CE162&lt;BB162,CD162,CB162))</f>
        <v/>
      </c>
      <c r="CG162" s="4">
        <f>IF(BB162="","",IF(CE162&lt;BB162,CC162,CD162))</f>
        <v/>
      </c>
      <c r="CH162" s="4">
        <f>IF(BB162="","",(CF162+CG162)/2)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SUMIFS(CB_plan!$G:$G,CB_plan!$F:$F,$A163)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IF(A163="","",IF(H163="","",2.78E-7*IF(I163&lt;&gt;"",I163,IFERROR(SUMIFS(CB_plan!$H:$H,CB_plan!$F:$F,$A163)/SUMIFS(CB_plan!$G:$G,CB_plan!$F:$F,$A163),Inputs!$B$17))*H163*K163))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7">
        <f>IF(BB163="","",CH163)</f>
        <v/>
      </c>
      <c r="BA163" s="7">
        <f>IF(OR(BB163="",AZ163="",T163="",T163&lt;=0,AZ163&lt;=0),"",BB163/((T163^2/8)*(2*ACOS(1-2*AZ163/T163)-SIN(2*ACOS(1-2*AZ163/T163)))))</f>
        <v/>
      </c>
      <c r="BB163" s="4">
        <f>IF(OR(N163="",BC163=""),"",MIN(N163,BC163))</f>
        <v/>
      </c>
      <c r="BC163" s="4">
        <f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4">
        <f>IF(BB163="","",0.001*T163)</f>
        <v/>
      </c>
      <c r="BE163" s="4">
        <f>IF(BB163="","",0.94*T163)</f>
        <v/>
      </c>
      <c r="BF163" s="4">
        <f>IF(BB163="","",(BD163+BE163)/2)</f>
        <v/>
      </c>
      <c r="BG163" s="4">
        <f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4">
        <f>IF(BB163="","",IF(BG163&lt;BB163,BF163,BD163))</f>
        <v/>
      </c>
      <c r="BI163" s="4">
        <f>IF(BB163="","",IF(BG163&lt;BB163,BE163,BF163))</f>
        <v/>
      </c>
      <c r="BJ163" s="4">
        <f>IF(BB163="","",(BH163+BI163)/2)</f>
        <v/>
      </c>
      <c r="BK163" s="4">
        <f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4">
        <f>IF(BB163="","",IF(BK163&lt;BB163,BJ163,BH163))</f>
        <v/>
      </c>
      <c r="BM163" s="4">
        <f>IF(BB163="","",IF(BK163&lt;BB163,BI163,BJ163))</f>
        <v/>
      </c>
      <c r="BN163" s="4">
        <f>IF(BB163="","",(BL163+BM163)/2)</f>
        <v/>
      </c>
      <c r="BO163" s="4">
        <f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4">
        <f>IF(BB163="","",IF(BO163&lt;BB163,BN163,BL163))</f>
        <v/>
      </c>
      <c r="BQ163" s="4">
        <f>IF(BB163="","",IF(BO163&lt;BB163,BM163,BN163))</f>
        <v/>
      </c>
      <c r="BR163" s="4">
        <f>IF(BB163="","",(BP163+BQ163)/2)</f>
        <v/>
      </c>
      <c r="BS163" s="4">
        <f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4">
        <f>IF(BB163="","",IF(BS163&lt;BB163,BR163,BP163))</f>
        <v/>
      </c>
      <c r="BU163" s="4">
        <f>IF(BB163="","",IF(BS163&lt;BB163,BQ163,BR163))</f>
        <v/>
      </c>
      <c r="BV163" s="4">
        <f>IF(BB163="","",(BT163+BU163)/2)</f>
        <v/>
      </c>
      <c r="BW163" s="4">
        <f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4">
        <f>IF(BB163="","",IF(BW163&lt;BB163,BV163,BT163))</f>
        <v/>
      </c>
      <c r="BY163" s="4">
        <f>IF(BB163="","",IF(BW163&lt;BB163,BU163,BV163))</f>
        <v/>
      </c>
      <c r="BZ163" s="4">
        <f>IF(BB163="","",(BX163+BY163)/2)</f>
        <v/>
      </c>
      <c r="CA163" s="4">
        <f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4">
        <f>IF(BB163="","",IF(CA163&lt;BB163,BZ163,BX163))</f>
        <v/>
      </c>
      <c r="CC163" s="4">
        <f>IF(BB163="","",IF(CA163&lt;BB163,BY163,BZ163))</f>
        <v/>
      </c>
      <c r="CD163" s="4">
        <f>IF(BB163="","",(CB163+CC163)/2)</f>
        <v/>
      </c>
      <c r="CE163" s="4">
        <f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4">
        <f>IF(BB163="","",IF(CE163&lt;BB163,CD163,CB163))</f>
        <v/>
      </c>
      <c r="CG163" s="4">
        <f>IF(BB163="","",IF(CE163&lt;BB163,CC163,CD163))</f>
        <v/>
      </c>
      <c r="CH163" s="4">
        <f>IF(BB163="","",(CF163+CG163)/2)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SUMIFS(CB_plan!$G:$G,CB_plan!$F:$F,$A164)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IF(A164="","",IF(H164="","",2.78E-7*IF(I164&lt;&gt;"",I164,IFERROR(SUMIFS(CB_plan!$H:$H,CB_plan!$F:$F,$A164)/SUMIFS(CB_plan!$G:$G,CB_plan!$F:$F,$A164),Inputs!$B$17))*H164*K164))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7">
        <f>IF(BB164="","",CH164)</f>
        <v/>
      </c>
      <c r="BA164" s="7">
        <f>IF(OR(BB164="",AZ164="",T164="",T164&lt;=0,AZ164&lt;=0),"",BB164/((T164^2/8)*(2*ACOS(1-2*AZ164/T164)-SIN(2*ACOS(1-2*AZ164/T164)))))</f>
        <v/>
      </c>
      <c r="BB164" s="4">
        <f>IF(OR(N164="",BC164=""),"",MIN(N164,BC164))</f>
        <v/>
      </c>
      <c r="BC164" s="4">
        <f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4">
        <f>IF(BB164="","",0.001*T164)</f>
        <v/>
      </c>
      <c r="BE164" s="4">
        <f>IF(BB164="","",0.94*T164)</f>
        <v/>
      </c>
      <c r="BF164" s="4">
        <f>IF(BB164="","",(BD164+BE164)/2)</f>
        <v/>
      </c>
      <c r="BG164" s="4">
        <f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4">
        <f>IF(BB164="","",IF(BG164&lt;BB164,BF164,BD164))</f>
        <v/>
      </c>
      <c r="BI164" s="4">
        <f>IF(BB164="","",IF(BG164&lt;BB164,BE164,BF164))</f>
        <v/>
      </c>
      <c r="BJ164" s="4">
        <f>IF(BB164="","",(BH164+BI164)/2)</f>
        <v/>
      </c>
      <c r="BK164" s="4">
        <f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4">
        <f>IF(BB164="","",IF(BK164&lt;BB164,BJ164,BH164))</f>
        <v/>
      </c>
      <c r="BM164" s="4">
        <f>IF(BB164="","",IF(BK164&lt;BB164,BI164,BJ164))</f>
        <v/>
      </c>
      <c r="BN164" s="4">
        <f>IF(BB164="","",(BL164+BM164)/2)</f>
        <v/>
      </c>
      <c r="BO164" s="4">
        <f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4">
        <f>IF(BB164="","",IF(BO164&lt;BB164,BN164,BL164))</f>
        <v/>
      </c>
      <c r="BQ164" s="4">
        <f>IF(BB164="","",IF(BO164&lt;BB164,BM164,BN164))</f>
        <v/>
      </c>
      <c r="BR164" s="4">
        <f>IF(BB164="","",(BP164+BQ164)/2)</f>
        <v/>
      </c>
      <c r="BS164" s="4">
        <f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4">
        <f>IF(BB164="","",IF(BS164&lt;BB164,BR164,BP164))</f>
        <v/>
      </c>
      <c r="BU164" s="4">
        <f>IF(BB164="","",IF(BS164&lt;BB164,BQ164,BR164))</f>
        <v/>
      </c>
      <c r="BV164" s="4">
        <f>IF(BB164="","",(BT164+BU164)/2)</f>
        <v/>
      </c>
      <c r="BW164" s="4">
        <f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4">
        <f>IF(BB164="","",IF(BW164&lt;BB164,BV164,BT164))</f>
        <v/>
      </c>
      <c r="BY164" s="4">
        <f>IF(BB164="","",IF(BW164&lt;BB164,BU164,BV164))</f>
        <v/>
      </c>
      <c r="BZ164" s="4">
        <f>IF(BB164="","",(BX164+BY164)/2)</f>
        <v/>
      </c>
      <c r="CA164" s="4">
        <f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4">
        <f>IF(BB164="","",IF(CA164&lt;BB164,BZ164,BX164))</f>
        <v/>
      </c>
      <c r="CC164" s="4">
        <f>IF(BB164="","",IF(CA164&lt;BB164,BY164,BZ164))</f>
        <v/>
      </c>
      <c r="CD164" s="4">
        <f>IF(BB164="","",(CB164+CC164)/2)</f>
        <v/>
      </c>
      <c r="CE164" s="4">
        <f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4">
        <f>IF(BB164="","",IF(CE164&lt;BB164,CD164,CB164))</f>
        <v/>
      </c>
      <c r="CG164" s="4">
        <f>IF(BB164="","",IF(CE164&lt;BB164,CC164,CD164))</f>
        <v/>
      </c>
      <c r="CH164" s="4">
        <f>IF(BB164="","",(CF164+CG164)/2)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SUMIFS(CB_plan!$G:$G,CB_plan!$F:$F,$A165)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IF(A165="","",IF(H165="","",2.78E-7*IF(I165&lt;&gt;"",I165,IFERROR(SUMIFS(CB_plan!$H:$H,CB_plan!$F:$F,$A165)/SUMIFS(CB_plan!$G:$G,CB_plan!$F:$F,$A165),Inputs!$B$17))*H165*K165))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7">
        <f>IF(BB165="","",CH165)</f>
        <v/>
      </c>
      <c r="BA165" s="7">
        <f>IF(OR(BB165="",AZ165="",T165="",T165&lt;=0,AZ165&lt;=0),"",BB165/((T165^2/8)*(2*ACOS(1-2*AZ165/T165)-SIN(2*ACOS(1-2*AZ165/T165)))))</f>
        <v/>
      </c>
      <c r="BB165" s="4">
        <f>IF(OR(N165="",BC165=""),"",MIN(N165,BC165))</f>
        <v/>
      </c>
      <c r="BC165" s="4">
        <f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4">
        <f>IF(BB165="","",0.001*T165)</f>
        <v/>
      </c>
      <c r="BE165" s="4">
        <f>IF(BB165="","",0.94*T165)</f>
        <v/>
      </c>
      <c r="BF165" s="4">
        <f>IF(BB165="","",(BD165+BE165)/2)</f>
        <v/>
      </c>
      <c r="BG165" s="4">
        <f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4">
        <f>IF(BB165="","",IF(BG165&lt;BB165,BF165,BD165))</f>
        <v/>
      </c>
      <c r="BI165" s="4">
        <f>IF(BB165="","",IF(BG165&lt;BB165,BE165,BF165))</f>
        <v/>
      </c>
      <c r="BJ165" s="4">
        <f>IF(BB165="","",(BH165+BI165)/2)</f>
        <v/>
      </c>
      <c r="BK165" s="4">
        <f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4">
        <f>IF(BB165="","",IF(BK165&lt;BB165,BJ165,BH165))</f>
        <v/>
      </c>
      <c r="BM165" s="4">
        <f>IF(BB165="","",IF(BK165&lt;BB165,BI165,BJ165))</f>
        <v/>
      </c>
      <c r="BN165" s="4">
        <f>IF(BB165="","",(BL165+BM165)/2)</f>
        <v/>
      </c>
      <c r="BO165" s="4">
        <f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4">
        <f>IF(BB165="","",IF(BO165&lt;BB165,BN165,BL165))</f>
        <v/>
      </c>
      <c r="BQ165" s="4">
        <f>IF(BB165="","",IF(BO165&lt;BB165,BM165,BN165))</f>
        <v/>
      </c>
      <c r="BR165" s="4">
        <f>IF(BB165="","",(BP165+BQ165)/2)</f>
        <v/>
      </c>
      <c r="BS165" s="4">
        <f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4">
        <f>IF(BB165="","",IF(BS165&lt;BB165,BR165,BP165))</f>
        <v/>
      </c>
      <c r="BU165" s="4">
        <f>IF(BB165="","",IF(BS165&lt;BB165,BQ165,BR165))</f>
        <v/>
      </c>
      <c r="BV165" s="4">
        <f>IF(BB165="","",(BT165+BU165)/2)</f>
        <v/>
      </c>
      <c r="BW165" s="4">
        <f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4">
        <f>IF(BB165="","",IF(BW165&lt;BB165,BV165,BT165))</f>
        <v/>
      </c>
      <c r="BY165" s="4">
        <f>IF(BB165="","",IF(BW165&lt;BB165,BU165,BV165))</f>
        <v/>
      </c>
      <c r="BZ165" s="4">
        <f>IF(BB165="","",(BX165+BY165)/2)</f>
        <v/>
      </c>
      <c r="CA165" s="4">
        <f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4">
        <f>IF(BB165="","",IF(CA165&lt;BB165,BZ165,BX165))</f>
        <v/>
      </c>
      <c r="CC165" s="4">
        <f>IF(BB165="","",IF(CA165&lt;BB165,BY165,BZ165))</f>
        <v/>
      </c>
      <c r="CD165" s="4">
        <f>IF(BB165="","",(CB165+CC165)/2)</f>
        <v/>
      </c>
      <c r="CE165" s="4">
        <f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4">
        <f>IF(BB165="","",IF(CE165&lt;BB165,CD165,CB165))</f>
        <v/>
      </c>
      <c r="CG165" s="4">
        <f>IF(BB165="","",IF(CE165&lt;BB165,CC165,CD165))</f>
        <v/>
      </c>
      <c r="CH165" s="4">
        <f>IF(BB165="","",(CF165+CG165)/2)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SUMIFS(CB_plan!$G:$G,CB_plan!$F:$F,$A166)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IF(A166="","",IF(H166="","",2.78E-7*IF(I166&lt;&gt;"",I166,IFERROR(SUMIFS(CB_plan!$H:$H,CB_plan!$F:$F,$A166)/SUMIFS(CB_plan!$G:$G,CB_plan!$F:$F,$A166),Inputs!$B$17))*H166*K166))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7">
        <f>IF(BB166="","",CH166)</f>
        <v/>
      </c>
      <c r="BA166" s="7">
        <f>IF(OR(BB166="",AZ166="",T166="",T166&lt;=0,AZ166&lt;=0),"",BB166/((T166^2/8)*(2*ACOS(1-2*AZ166/T166)-SIN(2*ACOS(1-2*AZ166/T166)))))</f>
        <v/>
      </c>
      <c r="BB166" s="4">
        <f>IF(OR(N166="",BC166=""),"",MIN(N166,BC166))</f>
        <v/>
      </c>
      <c r="BC166" s="4">
        <f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4">
        <f>IF(BB166="","",0.001*T166)</f>
        <v/>
      </c>
      <c r="BE166" s="4">
        <f>IF(BB166="","",0.94*T166)</f>
        <v/>
      </c>
      <c r="BF166" s="4">
        <f>IF(BB166="","",(BD166+BE166)/2)</f>
        <v/>
      </c>
      <c r="BG166" s="4">
        <f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4">
        <f>IF(BB166="","",IF(BG166&lt;BB166,BF166,BD166))</f>
        <v/>
      </c>
      <c r="BI166" s="4">
        <f>IF(BB166="","",IF(BG166&lt;BB166,BE166,BF166))</f>
        <v/>
      </c>
      <c r="BJ166" s="4">
        <f>IF(BB166="","",(BH166+BI166)/2)</f>
        <v/>
      </c>
      <c r="BK166" s="4">
        <f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4">
        <f>IF(BB166="","",IF(BK166&lt;BB166,BJ166,BH166))</f>
        <v/>
      </c>
      <c r="BM166" s="4">
        <f>IF(BB166="","",IF(BK166&lt;BB166,BI166,BJ166))</f>
        <v/>
      </c>
      <c r="BN166" s="4">
        <f>IF(BB166="","",(BL166+BM166)/2)</f>
        <v/>
      </c>
      <c r="BO166" s="4">
        <f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4">
        <f>IF(BB166="","",IF(BO166&lt;BB166,BN166,BL166))</f>
        <v/>
      </c>
      <c r="BQ166" s="4">
        <f>IF(BB166="","",IF(BO166&lt;BB166,BM166,BN166))</f>
        <v/>
      </c>
      <c r="BR166" s="4">
        <f>IF(BB166="","",(BP166+BQ166)/2)</f>
        <v/>
      </c>
      <c r="BS166" s="4">
        <f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4">
        <f>IF(BB166="","",IF(BS166&lt;BB166,BR166,BP166))</f>
        <v/>
      </c>
      <c r="BU166" s="4">
        <f>IF(BB166="","",IF(BS166&lt;BB166,BQ166,BR166))</f>
        <v/>
      </c>
      <c r="BV166" s="4">
        <f>IF(BB166="","",(BT166+BU166)/2)</f>
        <v/>
      </c>
      <c r="BW166" s="4">
        <f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4">
        <f>IF(BB166="","",IF(BW166&lt;BB166,BV166,BT166))</f>
        <v/>
      </c>
      <c r="BY166" s="4">
        <f>IF(BB166="","",IF(BW166&lt;BB166,BU166,BV166))</f>
        <v/>
      </c>
      <c r="BZ166" s="4">
        <f>IF(BB166="","",(BX166+BY166)/2)</f>
        <v/>
      </c>
      <c r="CA166" s="4">
        <f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4">
        <f>IF(BB166="","",IF(CA166&lt;BB166,BZ166,BX166))</f>
        <v/>
      </c>
      <c r="CC166" s="4">
        <f>IF(BB166="","",IF(CA166&lt;BB166,BY166,BZ166))</f>
        <v/>
      </c>
      <c r="CD166" s="4">
        <f>IF(BB166="","",(CB166+CC166)/2)</f>
        <v/>
      </c>
      <c r="CE166" s="4">
        <f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4">
        <f>IF(BB166="","",IF(CE166&lt;BB166,CD166,CB166))</f>
        <v/>
      </c>
      <c r="CG166" s="4">
        <f>IF(BB166="","",IF(CE166&lt;BB166,CC166,CD166))</f>
        <v/>
      </c>
      <c r="CH166" s="4">
        <f>IF(BB166="","",(CF166+CG166)/2)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SUMIFS(CB_plan!$G:$G,CB_plan!$F:$F,$A167)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IF(A167="","",IF(H167="","",2.78E-7*IF(I167&lt;&gt;"",I167,IFERROR(SUMIFS(CB_plan!$H:$H,CB_plan!$F:$F,$A167)/SUMIFS(CB_plan!$G:$G,CB_plan!$F:$F,$A167),Inputs!$B$17))*H167*K167))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7">
        <f>IF(BB167="","",CH167)</f>
        <v/>
      </c>
      <c r="BA167" s="7">
        <f>IF(OR(BB167="",AZ167="",T167="",T167&lt;=0,AZ167&lt;=0),"",BB167/((T167^2/8)*(2*ACOS(1-2*AZ167/T167)-SIN(2*ACOS(1-2*AZ167/T167)))))</f>
        <v/>
      </c>
      <c r="BB167" s="4">
        <f>IF(OR(N167="",BC167=""),"",MIN(N167,BC167))</f>
        <v/>
      </c>
      <c r="BC167" s="4">
        <f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4">
        <f>IF(BB167="","",0.001*T167)</f>
        <v/>
      </c>
      <c r="BE167" s="4">
        <f>IF(BB167="","",0.94*T167)</f>
        <v/>
      </c>
      <c r="BF167" s="4">
        <f>IF(BB167="","",(BD167+BE167)/2)</f>
        <v/>
      </c>
      <c r="BG167" s="4">
        <f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4">
        <f>IF(BB167="","",IF(BG167&lt;BB167,BF167,BD167))</f>
        <v/>
      </c>
      <c r="BI167" s="4">
        <f>IF(BB167="","",IF(BG167&lt;BB167,BE167,BF167))</f>
        <v/>
      </c>
      <c r="BJ167" s="4">
        <f>IF(BB167="","",(BH167+BI167)/2)</f>
        <v/>
      </c>
      <c r="BK167" s="4">
        <f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4">
        <f>IF(BB167="","",IF(BK167&lt;BB167,BJ167,BH167))</f>
        <v/>
      </c>
      <c r="BM167" s="4">
        <f>IF(BB167="","",IF(BK167&lt;BB167,BI167,BJ167))</f>
        <v/>
      </c>
      <c r="BN167" s="4">
        <f>IF(BB167="","",(BL167+BM167)/2)</f>
        <v/>
      </c>
      <c r="BO167" s="4">
        <f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4">
        <f>IF(BB167="","",IF(BO167&lt;BB167,BN167,BL167))</f>
        <v/>
      </c>
      <c r="BQ167" s="4">
        <f>IF(BB167="","",IF(BO167&lt;BB167,BM167,BN167))</f>
        <v/>
      </c>
      <c r="BR167" s="4">
        <f>IF(BB167="","",(BP167+BQ167)/2)</f>
        <v/>
      </c>
      <c r="BS167" s="4">
        <f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4">
        <f>IF(BB167="","",IF(BS167&lt;BB167,BR167,BP167))</f>
        <v/>
      </c>
      <c r="BU167" s="4">
        <f>IF(BB167="","",IF(BS167&lt;BB167,BQ167,BR167))</f>
        <v/>
      </c>
      <c r="BV167" s="4">
        <f>IF(BB167="","",(BT167+BU167)/2)</f>
        <v/>
      </c>
      <c r="BW167" s="4">
        <f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4">
        <f>IF(BB167="","",IF(BW167&lt;BB167,BV167,BT167))</f>
        <v/>
      </c>
      <c r="BY167" s="4">
        <f>IF(BB167="","",IF(BW167&lt;BB167,BU167,BV167))</f>
        <v/>
      </c>
      <c r="BZ167" s="4">
        <f>IF(BB167="","",(BX167+BY167)/2)</f>
        <v/>
      </c>
      <c r="CA167" s="4">
        <f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4">
        <f>IF(BB167="","",IF(CA167&lt;BB167,BZ167,BX167))</f>
        <v/>
      </c>
      <c r="CC167" s="4">
        <f>IF(BB167="","",IF(CA167&lt;BB167,BY167,BZ167))</f>
        <v/>
      </c>
      <c r="CD167" s="4">
        <f>IF(BB167="","",(CB167+CC167)/2)</f>
        <v/>
      </c>
      <c r="CE167" s="4">
        <f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4">
        <f>IF(BB167="","",IF(CE167&lt;BB167,CD167,CB167))</f>
        <v/>
      </c>
      <c r="CG167" s="4">
        <f>IF(BB167="","",IF(CE167&lt;BB167,CC167,CD167))</f>
        <v/>
      </c>
      <c r="CH167" s="4">
        <f>IF(BB167="","",(CF167+CG167)/2)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SUMIFS(CB_plan!$G:$G,CB_plan!$F:$F,$A168)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IF(A168="","",IF(H168="","",2.78E-7*IF(I168&lt;&gt;"",I168,IFERROR(SUMIFS(CB_plan!$H:$H,CB_plan!$F:$F,$A168)/SUMIFS(CB_plan!$G:$G,CB_plan!$F:$F,$A168),Inputs!$B$17))*H168*K168))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7">
        <f>IF(BB168="","",CH168)</f>
        <v/>
      </c>
      <c r="BA168" s="7">
        <f>IF(OR(BB168="",AZ168="",T168="",T168&lt;=0,AZ168&lt;=0),"",BB168/((T168^2/8)*(2*ACOS(1-2*AZ168/T168)-SIN(2*ACOS(1-2*AZ168/T168)))))</f>
        <v/>
      </c>
      <c r="BB168" s="4">
        <f>IF(OR(N168="",BC168=""),"",MIN(N168,BC168))</f>
        <v/>
      </c>
      <c r="BC168" s="4">
        <f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4">
        <f>IF(BB168="","",0.001*T168)</f>
        <v/>
      </c>
      <c r="BE168" s="4">
        <f>IF(BB168="","",0.94*T168)</f>
        <v/>
      </c>
      <c r="BF168" s="4">
        <f>IF(BB168="","",(BD168+BE168)/2)</f>
        <v/>
      </c>
      <c r="BG168" s="4">
        <f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4">
        <f>IF(BB168="","",IF(BG168&lt;BB168,BF168,BD168))</f>
        <v/>
      </c>
      <c r="BI168" s="4">
        <f>IF(BB168="","",IF(BG168&lt;BB168,BE168,BF168))</f>
        <v/>
      </c>
      <c r="BJ168" s="4">
        <f>IF(BB168="","",(BH168+BI168)/2)</f>
        <v/>
      </c>
      <c r="BK168" s="4">
        <f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4">
        <f>IF(BB168="","",IF(BK168&lt;BB168,BJ168,BH168))</f>
        <v/>
      </c>
      <c r="BM168" s="4">
        <f>IF(BB168="","",IF(BK168&lt;BB168,BI168,BJ168))</f>
        <v/>
      </c>
      <c r="BN168" s="4">
        <f>IF(BB168="","",(BL168+BM168)/2)</f>
        <v/>
      </c>
      <c r="BO168" s="4">
        <f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4">
        <f>IF(BB168="","",IF(BO168&lt;BB168,BN168,BL168))</f>
        <v/>
      </c>
      <c r="BQ168" s="4">
        <f>IF(BB168="","",IF(BO168&lt;BB168,BM168,BN168))</f>
        <v/>
      </c>
      <c r="BR168" s="4">
        <f>IF(BB168="","",(BP168+BQ168)/2)</f>
        <v/>
      </c>
      <c r="BS168" s="4">
        <f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4">
        <f>IF(BB168="","",IF(BS168&lt;BB168,BR168,BP168))</f>
        <v/>
      </c>
      <c r="BU168" s="4">
        <f>IF(BB168="","",IF(BS168&lt;BB168,BQ168,BR168))</f>
        <v/>
      </c>
      <c r="BV168" s="4">
        <f>IF(BB168="","",(BT168+BU168)/2)</f>
        <v/>
      </c>
      <c r="BW168" s="4">
        <f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4">
        <f>IF(BB168="","",IF(BW168&lt;BB168,BV168,BT168))</f>
        <v/>
      </c>
      <c r="BY168" s="4">
        <f>IF(BB168="","",IF(BW168&lt;BB168,BU168,BV168))</f>
        <v/>
      </c>
      <c r="BZ168" s="4">
        <f>IF(BB168="","",(BX168+BY168)/2)</f>
        <v/>
      </c>
      <c r="CA168" s="4">
        <f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4">
        <f>IF(BB168="","",IF(CA168&lt;BB168,BZ168,BX168))</f>
        <v/>
      </c>
      <c r="CC168" s="4">
        <f>IF(BB168="","",IF(CA168&lt;BB168,BY168,BZ168))</f>
        <v/>
      </c>
      <c r="CD168" s="4">
        <f>IF(BB168="","",(CB168+CC168)/2)</f>
        <v/>
      </c>
      <c r="CE168" s="4">
        <f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4">
        <f>IF(BB168="","",IF(CE168&lt;BB168,CD168,CB168))</f>
        <v/>
      </c>
      <c r="CG168" s="4">
        <f>IF(BB168="","",IF(CE168&lt;BB168,CC168,CD168))</f>
        <v/>
      </c>
      <c r="CH168" s="4">
        <f>IF(BB168="","",(CF168+CG168)/2)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SUMIFS(CB_plan!$G:$G,CB_plan!$F:$F,$A169)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IF(A169="","",IF(H169="","",2.78E-7*IF(I169&lt;&gt;"",I169,IFERROR(SUMIFS(CB_plan!$H:$H,CB_plan!$F:$F,$A169)/SUMIFS(CB_plan!$G:$G,CB_plan!$F:$F,$A169),Inputs!$B$17))*H169*K169))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7">
        <f>IF(BB169="","",CH169)</f>
        <v/>
      </c>
      <c r="BA169" s="7">
        <f>IF(OR(BB169="",AZ169="",T169="",T169&lt;=0,AZ169&lt;=0),"",BB169/((T169^2/8)*(2*ACOS(1-2*AZ169/T169)-SIN(2*ACOS(1-2*AZ169/T169)))))</f>
        <v/>
      </c>
      <c r="BB169" s="4">
        <f>IF(OR(N169="",BC169=""),"",MIN(N169,BC169))</f>
        <v/>
      </c>
      <c r="BC169" s="4">
        <f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4">
        <f>IF(BB169="","",0.001*T169)</f>
        <v/>
      </c>
      <c r="BE169" s="4">
        <f>IF(BB169="","",0.94*T169)</f>
        <v/>
      </c>
      <c r="BF169" s="4">
        <f>IF(BB169="","",(BD169+BE169)/2)</f>
        <v/>
      </c>
      <c r="BG169" s="4">
        <f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4">
        <f>IF(BB169="","",IF(BG169&lt;BB169,BF169,BD169))</f>
        <v/>
      </c>
      <c r="BI169" s="4">
        <f>IF(BB169="","",IF(BG169&lt;BB169,BE169,BF169))</f>
        <v/>
      </c>
      <c r="BJ169" s="4">
        <f>IF(BB169="","",(BH169+BI169)/2)</f>
        <v/>
      </c>
      <c r="BK169" s="4">
        <f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4">
        <f>IF(BB169="","",IF(BK169&lt;BB169,BJ169,BH169))</f>
        <v/>
      </c>
      <c r="BM169" s="4">
        <f>IF(BB169="","",IF(BK169&lt;BB169,BI169,BJ169))</f>
        <v/>
      </c>
      <c r="BN169" s="4">
        <f>IF(BB169="","",(BL169+BM169)/2)</f>
        <v/>
      </c>
      <c r="BO169" s="4">
        <f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4">
        <f>IF(BB169="","",IF(BO169&lt;BB169,BN169,BL169))</f>
        <v/>
      </c>
      <c r="BQ169" s="4">
        <f>IF(BB169="","",IF(BO169&lt;BB169,BM169,BN169))</f>
        <v/>
      </c>
      <c r="BR169" s="4">
        <f>IF(BB169="","",(BP169+BQ169)/2)</f>
        <v/>
      </c>
      <c r="BS169" s="4">
        <f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4">
        <f>IF(BB169="","",IF(BS169&lt;BB169,BR169,BP169))</f>
        <v/>
      </c>
      <c r="BU169" s="4">
        <f>IF(BB169="","",IF(BS169&lt;BB169,BQ169,BR169))</f>
        <v/>
      </c>
      <c r="BV169" s="4">
        <f>IF(BB169="","",(BT169+BU169)/2)</f>
        <v/>
      </c>
      <c r="BW169" s="4">
        <f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4">
        <f>IF(BB169="","",IF(BW169&lt;BB169,BV169,BT169))</f>
        <v/>
      </c>
      <c r="BY169" s="4">
        <f>IF(BB169="","",IF(BW169&lt;BB169,BU169,BV169))</f>
        <v/>
      </c>
      <c r="BZ169" s="4">
        <f>IF(BB169="","",(BX169+BY169)/2)</f>
        <v/>
      </c>
      <c r="CA169" s="4">
        <f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4">
        <f>IF(BB169="","",IF(CA169&lt;BB169,BZ169,BX169))</f>
        <v/>
      </c>
      <c r="CC169" s="4">
        <f>IF(BB169="","",IF(CA169&lt;BB169,BY169,BZ169))</f>
        <v/>
      </c>
      <c r="CD169" s="4">
        <f>IF(BB169="","",(CB169+CC169)/2)</f>
        <v/>
      </c>
      <c r="CE169" s="4">
        <f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4">
        <f>IF(BB169="","",IF(CE169&lt;BB169,CD169,CB169))</f>
        <v/>
      </c>
      <c r="CG169" s="4">
        <f>IF(BB169="","",IF(CE169&lt;BB169,CC169,CD169))</f>
        <v/>
      </c>
      <c r="CH169" s="4">
        <f>IF(BB169="","",(CF169+CG169)/2)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SUMIFS(CB_plan!$G:$G,CB_plan!$F:$F,$A170)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IF(A170="","",IF(H170="","",2.78E-7*IF(I170&lt;&gt;"",I170,IFERROR(SUMIFS(CB_plan!$H:$H,CB_plan!$F:$F,$A170)/SUMIFS(CB_plan!$G:$G,CB_plan!$F:$F,$A170),Inputs!$B$17))*H170*K170))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7">
        <f>IF(BB170="","",CH170)</f>
        <v/>
      </c>
      <c r="BA170" s="7">
        <f>IF(OR(BB170="",AZ170="",T170="",T170&lt;=0,AZ170&lt;=0),"",BB170/((T170^2/8)*(2*ACOS(1-2*AZ170/T170)-SIN(2*ACOS(1-2*AZ170/T170)))))</f>
        <v/>
      </c>
      <c r="BB170" s="4">
        <f>IF(OR(N170="",BC170=""),"",MIN(N170,BC170))</f>
        <v/>
      </c>
      <c r="BC170" s="4">
        <f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4">
        <f>IF(BB170="","",0.001*T170)</f>
        <v/>
      </c>
      <c r="BE170" s="4">
        <f>IF(BB170="","",0.94*T170)</f>
        <v/>
      </c>
      <c r="BF170" s="4">
        <f>IF(BB170="","",(BD170+BE170)/2)</f>
        <v/>
      </c>
      <c r="BG170" s="4">
        <f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4">
        <f>IF(BB170="","",IF(BG170&lt;BB170,BF170,BD170))</f>
        <v/>
      </c>
      <c r="BI170" s="4">
        <f>IF(BB170="","",IF(BG170&lt;BB170,BE170,BF170))</f>
        <v/>
      </c>
      <c r="BJ170" s="4">
        <f>IF(BB170="","",(BH170+BI170)/2)</f>
        <v/>
      </c>
      <c r="BK170" s="4">
        <f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4">
        <f>IF(BB170="","",IF(BK170&lt;BB170,BJ170,BH170))</f>
        <v/>
      </c>
      <c r="BM170" s="4">
        <f>IF(BB170="","",IF(BK170&lt;BB170,BI170,BJ170))</f>
        <v/>
      </c>
      <c r="BN170" s="4">
        <f>IF(BB170="","",(BL170+BM170)/2)</f>
        <v/>
      </c>
      <c r="BO170" s="4">
        <f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4">
        <f>IF(BB170="","",IF(BO170&lt;BB170,BN170,BL170))</f>
        <v/>
      </c>
      <c r="BQ170" s="4">
        <f>IF(BB170="","",IF(BO170&lt;BB170,BM170,BN170))</f>
        <v/>
      </c>
      <c r="BR170" s="4">
        <f>IF(BB170="","",(BP170+BQ170)/2)</f>
        <v/>
      </c>
      <c r="BS170" s="4">
        <f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4">
        <f>IF(BB170="","",IF(BS170&lt;BB170,BR170,BP170))</f>
        <v/>
      </c>
      <c r="BU170" s="4">
        <f>IF(BB170="","",IF(BS170&lt;BB170,BQ170,BR170))</f>
        <v/>
      </c>
      <c r="BV170" s="4">
        <f>IF(BB170="","",(BT170+BU170)/2)</f>
        <v/>
      </c>
      <c r="BW170" s="4">
        <f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4">
        <f>IF(BB170="","",IF(BW170&lt;BB170,BV170,BT170))</f>
        <v/>
      </c>
      <c r="BY170" s="4">
        <f>IF(BB170="","",IF(BW170&lt;BB170,BU170,BV170))</f>
        <v/>
      </c>
      <c r="BZ170" s="4">
        <f>IF(BB170="","",(BX170+BY170)/2)</f>
        <v/>
      </c>
      <c r="CA170" s="4">
        <f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4">
        <f>IF(BB170="","",IF(CA170&lt;BB170,BZ170,BX170))</f>
        <v/>
      </c>
      <c r="CC170" s="4">
        <f>IF(BB170="","",IF(CA170&lt;BB170,BY170,BZ170))</f>
        <v/>
      </c>
      <c r="CD170" s="4">
        <f>IF(BB170="","",(CB170+CC170)/2)</f>
        <v/>
      </c>
      <c r="CE170" s="4">
        <f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4">
        <f>IF(BB170="","",IF(CE170&lt;BB170,CD170,CB170))</f>
        <v/>
      </c>
      <c r="CG170" s="4">
        <f>IF(BB170="","",IF(CE170&lt;BB170,CC170,CD170))</f>
        <v/>
      </c>
      <c r="CH170" s="4">
        <f>IF(BB170="","",(CF170+CG170)/2)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SUMIFS(CB_plan!$G:$G,CB_plan!$F:$F,$A171)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IF(A171="","",IF(H171="","",2.78E-7*IF(I171&lt;&gt;"",I171,IFERROR(SUMIFS(CB_plan!$H:$H,CB_plan!$F:$F,$A171)/SUMIFS(CB_plan!$G:$G,CB_plan!$F:$F,$A171),Inputs!$B$17))*H171*K171))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7">
        <f>IF(BB171="","",CH171)</f>
        <v/>
      </c>
      <c r="BA171" s="7">
        <f>IF(OR(BB171="",AZ171="",T171="",T171&lt;=0,AZ171&lt;=0),"",BB171/((T171^2/8)*(2*ACOS(1-2*AZ171/T171)-SIN(2*ACOS(1-2*AZ171/T171)))))</f>
        <v/>
      </c>
      <c r="BB171" s="4">
        <f>IF(OR(N171="",BC171=""),"",MIN(N171,BC171))</f>
        <v/>
      </c>
      <c r="BC171" s="4">
        <f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4">
        <f>IF(BB171="","",0.001*T171)</f>
        <v/>
      </c>
      <c r="BE171" s="4">
        <f>IF(BB171="","",0.94*T171)</f>
        <v/>
      </c>
      <c r="BF171" s="4">
        <f>IF(BB171="","",(BD171+BE171)/2)</f>
        <v/>
      </c>
      <c r="BG171" s="4">
        <f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4">
        <f>IF(BB171="","",IF(BG171&lt;BB171,BF171,BD171))</f>
        <v/>
      </c>
      <c r="BI171" s="4">
        <f>IF(BB171="","",IF(BG171&lt;BB171,BE171,BF171))</f>
        <v/>
      </c>
      <c r="BJ171" s="4">
        <f>IF(BB171="","",(BH171+BI171)/2)</f>
        <v/>
      </c>
      <c r="BK171" s="4">
        <f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4">
        <f>IF(BB171="","",IF(BK171&lt;BB171,BJ171,BH171))</f>
        <v/>
      </c>
      <c r="BM171" s="4">
        <f>IF(BB171="","",IF(BK171&lt;BB171,BI171,BJ171))</f>
        <v/>
      </c>
      <c r="BN171" s="4">
        <f>IF(BB171="","",(BL171+BM171)/2)</f>
        <v/>
      </c>
      <c r="BO171" s="4">
        <f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4">
        <f>IF(BB171="","",IF(BO171&lt;BB171,BN171,BL171))</f>
        <v/>
      </c>
      <c r="BQ171" s="4">
        <f>IF(BB171="","",IF(BO171&lt;BB171,BM171,BN171))</f>
        <v/>
      </c>
      <c r="BR171" s="4">
        <f>IF(BB171="","",(BP171+BQ171)/2)</f>
        <v/>
      </c>
      <c r="BS171" s="4">
        <f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4">
        <f>IF(BB171="","",IF(BS171&lt;BB171,BR171,BP171))</f>
        <v/>
      </c>
      <c r="BU171" s="4">
        <f>IF(BB171="","",IF(BS171&lt;BB171,BQ171,BR171))</f>
        <v/>
      </c>
      <c r="BV171" s="4">
        <f>IF(BB171="","",(BT171+BU171)/2)</f>
        <v/>
      </c>
      <c r="BW171" s="4">
        <f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4">
        <f>IF(BB171="","",IF(BW171&lt;BB171,BV171,BT171))</f>
        <v/>
      </c>
      <c r="BY171" s="4">
        <f>IF(BB171="","",IF(BW171&lt;BB171,BU171,BV171))</f>
        <v/>
      </c>
      <c r="BZ171" s="4">
        <f>IF(BB171="","",(BX171+BY171)/2)</f>
        <v/>
      </c>
      <c r="CA171" s="4">
        <f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4">
        <f>IF(BB171="","",IF(CA171&lt;BB171,BZ171,BX171))</f>
        <v/>
      </c>
      <c r="CC171" s="4">
        <f>IF(BB171="","",IF(CA171&lt;BB171,BY171,BZ171))</f>
        <v/>
      </c>
      <c r="CD171" s="4">
        <f>IF(BB171="","",(CB171+CC171)/2)</f>
        <v/>
      </c>
      <c r="CE171" s="4">
        <f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4">
        <f>IF(BB171="","",IF(CE171&lt;BB171,CD171,CB171))</f>
        <v/>
      </c>
      <c r="CG171" s="4">
        <f>IF(BB171="","",IF(CE171&lt;BB171,CC171,CD171))</f>
        <v/>
      </c>
      <c r="CH171" s="4">
        <f>IF(BB171="","",(CF171+CG171)/2)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SUMIFS(CB_plan!$G:$G,CB_plan!$F:$F,$A172)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IF(A172="","",IF(H172="","",2.78E-7*IF(I172&lt;&gt;"",I172,IFERROR(SUMIFS(CB_plan!$H:$H,CB_plan!$F:$F,$A172)/SUMIFS(CB_plan!$G:$G,CB_plan!$F:$F,$A172),Inputs!$B$17))*H172*K172))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7">
        <f>IF(BB172="","",CH172)</f>
        <v/>
      </c>
      <c r="BA172" s="7">
        <f>IF(OR(BB172="",AZ172="",T172="",T172&lt;=0,AZ172&lt;=0),"",BB172/((T172^2/8)*(2*ACOS(1-2*AZ172/T172)-SIN(2*ACOS(1-2*AZ172/T172)))))</f>
        <v/>
      </c>
      <c r="BB172" s="4">
        <f>IF(OR(N172="",BC172=""),"",MIN(N172,BC172))</f>
        <v/>
      </c>
      <c r="BC172" s="4">
        <f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4">
        <f>IF(BB172="","",0.001*T172)</f>
        <v/>
      </c>
      <c r="BE172" s="4">
        <f>IF(BB172="","",0.94*T172)</f>
        <v/>
      </c>
      <c r="BF172" s="4">
        <f>IF(BB172="","",(BD172+BE172)/2)</f>
        <v/>
      </c>
      <c r="BG172" s="4">
        <f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4">
        <f>IF(BB172="","",IF(BG172&lt;BB172,BF172,BD172))</f>
        <v/>
      </c>
      <c r="BI172" s="4">
        <f>IF(BB172="","",IF(BG172&lt;BB172,BE172,BF172))</f>
        <v/>
      </c>
      <c r="BJ172" s="4">
        <f>IF(BB172="","",(BH172+BI172)/2)</f>
        <v/>
      </c>
      <c r="BK172" s="4">
        <f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4">
        <f>IF(BB172="","",IF(BK172&lt;BB172,BJ172,BH172))</f>
        <v/>
      </c>
      <c r="BM172" s="4">
        <f>IF(BB172="","",IF(BK172&lt;BB172,BI172,BJ172))</f>
        <v/>
      </c>
      <c r="BN172" s="4">
        <f>IF(BB172="","",(BL172+BM172)/2)</f>
        <v/>
      </c>
      <c r="BO172" s="4">
        <f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4">
        <f>IF(BB172="","",IF(BO172&lt;BB172,BN172,BL172))</f>
        <v/>
      </c>
      <c r="BQ172" s="4">
        <f>IF(BB172="","",IF(BO172&lt;BB172,BM172,BN172))</f>
        <v/>
      </c>
      <c r="BR172" s="4">
        <f>IF(BB172="","",(BP172+BQ172)/2)</f>
        <v/>
      </c>
      <c r="BS172" s="4">
        <f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4">
        <f>IF(BB172="","",IF(BS172&lt;BB172,BR172,BP172))</f>
        <v/>
      </c>
      <c r="BU172" s="4">
        <f>IF(BB172="","",IF(BS172&lt;BB172,BQ172,BR172))</f>
        <v/>
      </c>
      <c r="BV172" s="4">
        <f>IF(BB172="","",(BT172+BU172)/2)</f>
        <v/>
      </c>
      <c r="BW172" s="4">
        <f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4">
        <f>IF(BB172="","",IF(BW172&lt;BB172,BV172,BT172))</f>
        <v/>
      </c>
      <c r="BY172" s="4">
        <f>IF(BB172="","",IF(BW172&lt;BB172,BU172,BV172))</f>
        <v/>
      </c>
      <c r="BZ172" s="4">
        <f>IF(BB172="","",(BX172+BY172)/2)</f>
        <v/>
      </c>
      <c r="CA172" s="4">
        <f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4">
        <f>IF(BB172="","",IF(CA172&lt;BB172,BZ172,BX172))</f>
        <v/>
      </c>
      <c r="CC172" s="4">
        <f>IF(BB172="","",IF(CA172&lt;BB172,BY172,BZ172))</f>
        <v/>
      </c>
      <c r="CD172" s="4">
        <f>IF(BB172="","",(CB172+CC172)/2)</f>
        <v/>
      </c>
      <c r="CE172" s="4">
        <f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4">
        <f>IF(BB172="","",IF(CE172&lt;BB172,CD172,CB172))</f>
        <v/>
      </c>
      <c r="CG172" s="4">
        <f>IF(BB172="","",IF(CE172&lt;BB172,CC172,CD172))</f>
        <v/>
      </c>
      <c r="CH172" s="4">
        <f>IF(BB172="","",(CF172+CG172)/2)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SUMIFS(CB_plan!$G:$G,CB_plan!$F:$F,$A173)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IF(A173="","",IF(H173="","",2.78E-7*IF(I173&lt;&gt;"",I173,IFERROR(SUMIFS(CB_plan!$H:$H,CB_plan!$F:$F,$A173)/SUMIFS(CB_plan!$G:$G,CB_plan!$F:$F,$A173),Inputs!$B$17))*H173*K173))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7">
        <f>IF(BB173="","",CH173)</f>
        <v/>
      </c>
      <c r="BA173" s="7">
        <f>IF(OR(BB173="",AZ173="",T173="",T173&lt;=0,AZ173&lt;=0),"",BB173/((T173^2/8)*(2*ACOS(1-2*AZ173/T173)-SIN(2*ACOS(1-2*AZ173/T173)))))</f>
        <v/>
      </c>
      <c r="BB173" s="4">
        <f>IF(OR(N173="",BC173=""),"",MIN(N173,BC173))</f>
        <v/>
      </c>
      <c r="BC173" s="4">
        <f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4">
        <f>IF(BB173="","",0.001*T173)</f>
        <v/>
      </c>
      <c r="BE173" s="4">
        <f>IF(BB173="","",0.94*T173)</f>
        <v/>
      </c>
      <c r="BF173" s="4">
        <f>IF(BB173="","",(BD173+BE173)/2)</f>
        <v/>
      </c>
      <c r="BG173" s="4">
        <f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4">
        <f>IF(BB173="","",IF(BG173&lt;BB173,BF173,BD173))</f>
        <v/>
      </c>
      <c r="BI173" s="4">
        <f>IF(BB173="","",IF(BG173&lt;BB173,BE173,BF173))</f>
        <v/>
      </c>
      <c r="BJ173" s="4">
        <f>IF(BB173="","",(BH173+BI173)/2)</f>
        <v/>
      </c>
      <c r="BK173" s="4">
        <f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4">
        <f>IF(BB173="","",IF(BK173&lt;BB173,BJ173,BH173))</f>
        <v/>
      </c>
      <c r="BM173" s="4">
        <f>IF(BB173="","",IF(BK173&lt;BB173,BI173,BJ173))</f>
        <v/>
      </c>
      <c r="BN173" s="4">
        <f>IF(BB173="","",(BL173+BM173)/2)</f>
        <v/>
      </c>
      <c r="BO173" s="4">
        <f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4">
        <f>IF(BB173="","",IF(BO173&lt;BB173,BN173,BL173))</f>
        <v/>
      </c>
      <c r="BQ173" s="4">
        <f>IF(BB173="","",IF(BO173&lt;BB173,BM173,BN173))</f>
        <v/>
      </c>
      <c r="BR173" s="4">
        <f>IF(BB173="","",(BP173+BQ173)/2)</f>
        <v/>
      </c>
      <c r="BS173" s="4">
        <f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4">
        <f>IF(BB173="","",IF(BS173&lt;BB173,BR173,BP173))</f>
        <v/>
      </c>
      <c r="BU173" s="4">
        <f>IF(BB173="","",IF(BS173&lt;BB173,BQ173,BR173))</f>
        <v/>
      </c>
      <c r="BV173" s="4">
        <f>IF(BB173="","",(BT173+BU173)/2)</f>
        <v/>
      </c>
      <c r="BW173" s="4">
        <f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4">
        <f>IF(BB173="","",IF(BW173&lt;BB173,BV173,BT173))</f>
        <v/>
      </c>
      <c r="BY173" s="4">
        <f>IF(BB173="","",IF(BW173&lt;BB173,BU173,BV173))</f>
        <v/>
      </c>
      <c r="BZ173" s="4">
        <f>IF(BB173="","",(BX173+BY173)/2)</f>
        <v/>
      </c>
      <c r="CA173" s="4">
        <f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4">
        <f>IF(BB173="","",IF(CA173&lt;BB173,BZ173,BX173))</f>
        <v/>
      </c>
      <c r="CC173" s="4">
        <f>IF(BB173="","",IF(CA173&lt;BB173,BY173,BZ173))</f>
        <v/>
      </c>
      <c r="CD173" s="4">
        <f>IF(BB173="","",(CB173+CC173)/2)</f>
        <v/>
      </c>
      <c r="CE173" s="4">
        <f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4">
        <f>IF(BB173="","",IF(CE173&lt;BB173,CD173,CB173))</f>
        <v/>
      </c>
      <c r="CG173" s="4">
        <f>IF(BB173="","",IF(CE173&lt;BB173,CC173,CD173))</f>
        <v/>
      </c>
      <c r="CH173" s="4">
        <f>IF(BB173="","",(CF173+CG173)/2)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SUMIFS(CB_plan!$G:$G,CB_plan!$F:$F,$A174)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IF(A174="","",IF(H174="","",2.78E-7*IF(I174&lt;&gt;"",I174,IFERROR(SUMIFS(CB_plan!$H:$H,CB_plan!$F:$F,$A174)/SUMIFS(CB_plan!$G:$G,CB_plan!$F:$F,$A174),Inputs!$B$17))*H174*K174))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7">
        <f>IF(BB174="","",CH174)</f>
        <v/>
      </c>
      <c r="BA174" s="7">
        <f>IF(OR(BB174="",AZ174="",T174="",T174&lt;=0,AZ174&lt;=0),"",BB174/((T174^2/8)*(2*ACOS(1-2*AZ174/T174)-SIN(2*ACOS(1-2*AZ174/T174)))))</f>
        <v/>
      </c>
      <c r="BB174" s="4">
        <f>IF(OR(N174="",BC174=""),"",MIN(N174,BC174))</f>
        <v/>
      </c>
      <c r="BC174" s="4">
        <f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4">
        <f>IF(BB174="","",0.001*T174)</f>
        <v/>
      </c>
      <c r="BE174" s="4">
        <f>IF(BB174="","",0.94*T174)</f>
        <v/>
      </c>
      <c r="BF174" s="4">
        <f>IF(BB174="","",(BD174+BE174)/2)</f>
        <v/>
      </c>
      <c r="BG174" s="4">
        <f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4">
        <f>IF(BB174="","",IF(BG174&lt;BB174,BF174,BD174))</f>
        <v/>
      </c>
      <c r="BI174" s="4">
        <f>IF(BB174="","",IF(BG174&lt;BB174,BE174,BF174))</f>
        <v/>
      </c>
      <c r="BJ174" s="4">
        <f>IF(BB174="","",(BH174+BI174)/2)</f>
        <v/>
      </c>
      <c r="BK174" s="4">
        <f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4">
        <f>IF(BB174="","",IF(BK174&lt;BB174,BJ174,BH174))</f>
        <v/>
      </c>
      <c r="BM174" s="4">
        <f>IF(BB174="","",IF(BK174&lt;BB174,BI174,BJ174))</f>
        <v/>
      </c>
      <c r="BN174" s="4">
        <f>IF(BB174="","",(BL174+BM174)/2)</f>
        <v/>
      </c>
      <c r="BO174" s="4">
        <f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4">
        <f>IF(BB174="","",IF(BO174&lt;BB174,BN174,BL174))</f>
        <v/>
      </c>
      <c r="BQ174" s="4">
        <f>IF(BB174="","",IF(BO174&lt;BB174,BM174,BN174))</f>
        <v/>
      </c>
      <c r="BR174" s="4">
        <f>IF(BB174="","",(BP174+BQ174)/2)</f>
        <v/>
      </c>
      <c r="BS174" s="4">
        <f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4">
        <f>IF(BB174="","",IF(BS174&lt;BB174,BR174,BP174))</f>
        <v/>
      </c>
      <c r="BU174" s="4">
        <f>IF(BB174="","",IF(BS174&lt;BB174,BQ174,BR174))</f>
        <v/>
      </c>
      <c r="BV174" s="4">
        <f>IF(BB174="","",(BT174+BU174)/2)</f>
        <v/>
      </c>
      <c r="BW174" s="4">
        <f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4">
        <f>IF(BB174="","",IF(BW174&lt;BB174,BV174,BT174))</f>
        <v/>
      </c>
      <c r="BY174" s="4">
        <f>IF(BB174="","",IF(BW174&lt;BB174,BU174,BV174))</f>
        <v/>
      </c>
      <c r="BZ174" s="4">
        <f>IF(BB174="","",(BX174+BY174)/2)</f>
        <v/>
      </c>
      <c r="CA174" s="4">
        <f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4">
        <f>IF(BB174="","",IF(CA174&lt;BB174,BZ174,BX174))</f>
        <v/>
      </c>
      <c r="CC174" s="4">
        <f>IF(BB174="","",IF(CA174&lt;BB174,BY174,BZ174))</f>
        <v/>
      </c>
      <c r="CD174" s="4">
        <f>IF(BB174="","",(CB174+CC174)/2)</f>
        <v/>
      </c>
      <c r="CE174" s="4">
        <f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4">
        <f>IF(BB174="","",IF(CE174&lt;BB174,CD174,CB174))</f>
        <v/>
      </c>
      <c r="CG174" s="4">
        <f>IF(BB174="","",IF(CE174&lt;BB174,CC174,CD174))</f>
        <v/>
      </c>
      <c r="CH174" s="4">
        <f>IF(BB174="","",(CF174+CG174)/2)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SUMIFS(CB_plan!$G:$G,CB_plan!$F:$F,$A175)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IF(A175="","",IF(H175="","",2.78E-7*IF(I175&lt;&gt;"",I175,IFERROR(SUMIFS(CB_plan!$H:$H,CB_plan!$F:$F,$A175)/SUMIFS(CB_plan!$G:$G,CB_plan!$F:$F,$A175),Inputs!$B$17))*H175*K175))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7">
        <f>IF(BB175="","",CH175)</f>
        <v/>
      </c>
      <c r="BA175" s="7">
        <f>IF(OR(BB175="",AZ175="",T175="",T175&lt;=0,AZ175&lt;=0),"",BB175/((T175^2/8)*(2*ACOS(1-2*AZ175/T175)-SIN(2*ACOS(1-2*AZ175/T175)))))</f>
        <v/>
      </c>
      <c r="BB175" s="4">
        <f>IF(OR(N175="",BC175=""),"",MIN(N175,BC175))</f>
        <v/>
      </c>
      <c r="BC175" s="4">
        <f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4">
        <f>IF(BB175="","",0.001*T175)</f>
        <v/>
      </c>
      <c r="BE175" s="4">
        <f>IF(BB175="","",0.94*T175)</f>
        <v/>
      </c>
      <c r="BF175" s="4">
        <f>IF(BB175="","",(BD175+BE175)/2)</f>
        <v/>
      </c>
      <c r="BG175" s="4">
        <f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4">
        <f>IF(BB175="","",IF(BG175&lt;BB175,BF175,BD175))</f>
        <v/>
      </c>
      <c r="BI175" s="4">
        <f>IF(BB175="","",IF(BG175&lt;BB175,BE175,BF175))</f>
        <v/>
      </c>
      <c r="BJ175" s="4">
        <f>IF(BB175="","",(BH175+BI175)/2)</f>
        <v/>
      </c>
      <c r="BK175" s="4">
        <f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4">
        <f>IF(BB175="","",IF(BK175&lt;BB175,BJ175,BH175))</f>
        <v/>
      </c>
      <c r="BM175" s="4">
        <f>IF(BB175="","",IF(BK175&lt;BB175,BI175,BJ175))</f>
        <v/>
      </c>
      <c r="BN175" s="4">
        <f>IF(BB175="","",(BL175+BM175)/2)</f>
        <v/>
      </c>
      <c r="BO175" s="4">
        <f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4">
        <f>IF(BB175="","",IF(BO175&lt;BB175,BN175,BL175))</f>
        <v/>
      </c>
      <c r="BQ175" s="4">
        <f>IF(BB175="","",IF(BO175&lt;BB175,BM175,BN175))</f>
        <v/>
      </c>
      <c r="BR175" s="4">
        <f>IF(BB175="","",(BP175+BQ175)/2)</f>
        <v/>
      </c>
      <c r="BS175" s="4">
        <f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4">
        <f>IF(BB175="","",IF(BS175&lt;BB175,BR175,BP175))</f>
        <v/>
      </c>
      <c r="BU175" s="4">
        <f>IF(BB175="","",IF(BS175&lt;BB175,BQ175,BR175))</f>
        <v/>
      </c>
      <c r="BV175" s="4">
        <f>IF(BB175="","",(BT175+BU175)/2)</f>
        <v/>
      </c>
      <c r="BW175" s="4">
        <f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4">
        <f>IF(BB175="","",IF(BW175&lt;BB175,BV175,BT175))</f>
        <v/>
      </c>
      <c r="BY175" s="4">
        <f>IF(BB175="","",IF(BW175&lt;BB175,BU175,BV175))</f>
        <v/>
      </c>
      <c r="BZ175" s="4">
        <f>IF(BB175="","",(BX175+BY175)/2)</f>
        <v/>
      </c>
      <c r="CA175" s="4">
        <f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4">
        <f>IF(BB175="","",IF(CA175&lt;BB175,BZ175,BX175))</f>
        <v/>
      </c>
      <c r="CC175" s="4">
        <f>IF(BB175="","",IF(CA175&lt;BB175,BY175,BZ175))</f>
        <v/>
      </c>
      <c r="CD175" s="4">
        <f>IF(BB175="","",(CB175+CC175)/2)</f>
        <v/>
      </c>
      <c r="CE175" s="4">
        <f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4">
        <f>IF(BB175="","",IF(CE175&lt;BB175,CD175,CB175))</f>
        <v/>
      </c>
      <c r="CG175" s="4">
        <f>IF(BB175="","",IF(CE175&lt;BB175,CC175,CD175))</f>
        <v/>
      </c>
      <c r="CH175" s="4">
        <f>IF(BB175="","",(CF175+CG175)/2)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SUMIFS(CB_plan!$G:$G,CB_plan!$F:$F,$A176)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IF(A176="","",IF(H176="","",2.78E-7*IF(I176&lt;&gt;"",I176,IFERROR(SUMIFS(CB_plan!$H:$H,CB_plan!$F:$F,$A176)/SUMIFS(CB_plan!$G:$G,CB_plan!$F:$F,$A176),Inputs!$B$17))*H176*K176))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7">
        <f>IF(BB176="","",CH176)</f>
        <v/>
      </c>
      <c r="BA176" s="7">
        <f>IF(OR(BB176="",AZ176="",T176="",T176&lt;=0,AZ176&lt;=0),"",BB176/((T176^2/8)*(2*ACOS(1-2*AZ176/T176)-SIN(2*ACOS(1-2*AZ176/T176)))))</f>
        <v/>
      </c>
      <c r="BB176" s="4">
        <f>IF(OR(N176="",BC176=""),"",MIN(N176,BC176))</f>
        <v/>
      </c>
      <c r="BC176" s="4">
        <f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4">
        <f>IF(BB176="","",0.001*T176)</f>
        <v/>
      </c>
      <c r="BE176" s="4">
        <f>IF(BB176="","",0.94*T176)</f>
        <v/>
      </c>
      <c r="BF176" s="4">
        <f>IF(BB176="","",(BD176+BE176)/2)</f>
        <v/>
      </c>
      <c r="BG176" s="4">
        <f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4">
        <f>IF(BB176="","",IF(BG176&lt;BB176,BF176,BD176))</f>
        <v/>
      </c>
      <c r="BI176" s="4">
        <f>IF(BB176="","",IF(BG176&lt;BB176,BE176,BF176))</f>
        <v/>
      </c>
      <c r="BJ176" s="4">
        <f>IF(BB176="","",(BH176+BI176)/2)</f>
        <v/>
      </c>
      <c r="BK176" s="4">
        <f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4">
        <f>IF(BB176="","",IF(BK176&lt;BB176,BJ176,BH176))</f>
        <v/>
      </c>
      <c r="BM176" s="4">
        <f>IF(BB176="","",IF(BK176&lt;BB176,BI176,BJ176))</f>
        <v/>
      </c>
      <c r="BN176" s="4">
        <f>IF(BB176="","",(BL176+BM176)/2)</f>
        <v/>
      </c>
      <c r="BO176" s="4">
        <f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4">
        <f>IF(BB176="","",IF(BO176&lt;BB176,BN176,BL176))</f>
        <v/>
      </c>
      <c r="BQ176" s="4">
        <f>IF(BB176="","",IF(BO176&lt;BB176,BM176,BN176))</f>
        <v/>
      </c>
      <c r="BR176" s="4">
        <f>IF(BB176="","",(BP176+BQ176)/2)</f>
        <v/>
      </c>
      <c r="BS176" s="4">
        <f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4">
        <f>IF(BB176="","",IF(BS176&lt;BB176,BR176,BP176))</f>
        <v/>
      </c>
      <c r="BU176" s="4">
        <f>IF(BB176="","",IF(BS176&lt;BB176,BQ176,BR176))</f>
        <v/>
      </c>
      <c r="BV176" s="4">
        <f>IF(BB176="","",(BT176+BU176)/2)</f>
        <v/>
      </c>
      <c r="BW176" s="4">
        <f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4">
        <f>IF(BB176="","",IF(BW176&lt;BB176,BV176,BT176))</f>
        <v/>
      </c>
      <c r="BY176" s="4">
        <f>IF(BB176="","",IF(BW176&lt;BB176,BU176,BV176))</f>
        <v/>
      </c>
      <c r="BZ176" s="4">
        <f>IF(BB176="","",(BX176+BY176)/2)</f>
        <v/>
      </c>
      <c r="CA176" s="4">
        <f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4">
        <f>IF(BB176="","",IF(CA176&lt;BB176,BZ176,BX176))</f>
        <v/>
      </c>
      <c r="CC176" s="4">
        <f>IF(BB176="","",IF(CA176&lt;BB176,BY176,BZ176))</f>
        <v/>
      </c>
      <c r="CD176" s="4">
        <f>IF(BB176="","",(CB176+CC176)/2)</f>
        <v/>
      </c>
      <c r="CE176" s="4">
        <f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4">
        <f>IF(BB176="","",IF(CE176&lt;BB176,CD176,CB176))</f>
        <v/>
      </c>
      <c r="CG176" s="4">
        <f>IF(BB176="","",IF(CE176&lt;BB176,CC176,CD176))</f>
        <v/>
      </c>
      <c r="CH176" s="4">
        <f>IF(BB176="","",(CF176+CG176)/2)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SUMIFS(CB_plan!$G:$G,CB_plan!$F:$F,$A177)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IF(A177="","",IF(H177="","",2.78E-7*IF(I177&lt;&gt;"",I177,IFERROR(SUMIFS(CB_plan!$H:$H,CB_plan!$F:$F,$A177)/SUMIFS(CB_plan!$G:$G,CB_plan!$F:$F,$A177),Inputs!$B$17))*H177*K177))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7">
        <f>IF(BB177="","",CH177)</f>
        <v/>
      </c>
      <c r="BA177" s="7">
        <f>IF(OR(BB177="",AZ177="",T177="",T177&lt;=0,AZ177&lt;=0),"",BB177/((T177^2/8)*(2*ACOS(1-2*AZ177/T177)-SIN(2*ACOS(1-2*AZ177/T177)))))</f>
        <v/>
      </c>
      <c r="BB177" s="4">
        <f>IF(OR(N177="",BC177=""),"",MIN(N177,BC177))</f>
        <v/>
      </c>
      <c r="BC177" s="4">
        <f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4">
        <f>IF(BB177="","",0.001*T177)</f>
        <v/>
      </c>
      <c r="BE177" s="4">
        <f>IF(BB177="","",0.94*T177)</f>
        <v/>
      </c>
      <c r="BF177" s="4">
        <f>IF(BB177="","",(BD177+BE177)/2)</f>
        <v/>
      </c>
      <c r="BG177" s="4">
        <f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4">
        <f>IF(BB177="","",IF(BG177&lt;BB177,BF177,BD177))</f>
        <v/>
      </c>
      <c r="BI177" s="4">
        <f>IF(BB177="","",IF(BG177&lt;BB177,BE177,BF177))</f>
        <v/>
      </c>
      <c r="BJ177" s="4">
        <f>IF(BB177="","",(BH177+BI177)/2)</f>
        <v/>
      </c>
      <c r="BK177" s="4">
        <f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4">
        <f>IF(BB177="","",IF(BK177&lt;BB177,BJ177,BH177))</f>
        <v/>
      </c>
      <c r="BM177" s="4">
        <f>IF(BB177="","",IF(BK177&lt;BB177,BI177,BJ177))</f>
        <v/>
      </c>
      <c r="BN177" s="4">
        <f>IF(BB177="","",(BL177+BM177)/2)</f>
        <v/>
      </c>
      <c r="BO177" s="4">
        <f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4">
        <f>IF(BB177="","",IF(BO177&lt;BB177,BN177,BL177))</f>
        <v/>
      </c>
      <c r="BQ177" s="4">
        <f>IF(BB177="","",IF(BO177&lt;BB177,BM177,BN177))</f>
        <v/>
      </c>
      <c r="BR177" s="4">
        <f>IF(BB177="","",(BP177+BQ177)/2)</f>
        <v/>
      </c>
      <c r="BS177" s="4">
        <f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4">
        <f>IF(BB177="","",IF(BS177&lt;BB177,BR177,BP177))</f>
        <v/>
      </c>
      <c r="BU177" s="4">
        <f>IF(BB177="","",IF(BS177&lt;BB177,BQ177,BR177))</f>
        <v/>
      </c>
      <c r="BV177" s="4">
        <f>IF(BB177="","",(BT177+BU177)/2)</f>
        <v/>
      </c>
      <c r="BW177" s="4">
        <f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4">
        <f>IF(BB177="","",IF(BW177&lt;BB177,BV177,BT177))</f>
        <v/>
      </c>
      <c r="BY177" s="4">
        <f>IF(BB177="","",IF(BW177&lt;BB177,BU177,BV177))</f>
        <v/>
      </c>
      <c r="BZ177" s="4">
        <f>IF(BB177="","",(BX177+BY177)/2)</f>
        <v/>
      </c>
      <c r="CA177" s="4">
        <f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4">
        <f>IF(BB177="","",IF(CA177&lt;BB177,BZ177,BX177))</f>
        <v/>
      </c>
      <c r="CC177" s="4">
        <f>IF(BB177="","",IF(CA177&lt;BB177,BY177,BZ177))</f>
        <v/>
      </c>
      <c r="CD177" s="4">
        <f>IF(BB177="","",(CB177+CC177)/2)</f>
        <v/>
      </c>
      <c r="CE177" s="4">
        <f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4">
        <f>IF(BB177="","",IF(CE177&lt;BB177,CD177,CB177))</f>
        <v/>
      </c>
      <c r="CG177" s="4">
        <f>IF(BB177="","",IF(CE177&lt;BB177,CC177,CD177))</f>
        <v/>
      </c>
      <c r="CH177" s="4">
        <f>IF(BB177="","",(CF177+CG177)/2)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SUMIFS(CB_plan!$G:$G,CB_plan!$F:$F,$A178)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IF(A178="","",IF(H178="","",2.78E-7*IF(I178&lt;&gt;"",I178,IFERROR(SUMIFS(CB_plan!$H:$H,CB_plan!$F:$F,$A178)/SUMIFS(CB_plan!$G:$G,CB_plan!$F:$F,$A178),Inputs!$B$17))*H178*K178))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7">
        <f>IF(BB178="","",CH178)</f>
        <v/>
      </c>
      <c r="BA178" s="7">
        <f>IF(OR(BB178="",AZ178="",T178="",T178&lt;=0,AZ178&lt;=0),"",BB178/((T178^2/8)*(2*ACOS(1-2*AZ178/T178)-SIN(2*ACOS(1-2*AZ178/T178)))))</f>
        <v/>
      </c>
      <c r="BB178" s="4">
        <f>IF(OR(N178="",BC178=""),"",MIN(N178,BC178))</f>
        <v/>
      </c>
      <c r="BC178" s="4">
        <f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4">
        <f>IF(BB178="","",0.001*T178)</f>
        <v/>
      </c>
      <c r="BE178" s="4">
        <f>IF(BB178="","",0.94*T178)</f>
        <v/>
      </c>
      <c r="BF178" s="4">
        <f>IF(BB178="","",(BD178+BE178)/2)</f>
        <v/>
      </c>
      <c r="BG178" s="4">
        <f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4">
        <f>IF(BB178="","",IF(BG178&lt;BB178,BF178,BD178))</f>
        <v/>
      </c>
      <c r="BI178" s="4">
        <f>IF(BB178="","",IF(BG178&lt;BB178,BE178,BF178))</f>
        <v/>
      </c>
      <c r="BJ178" s="4">
        <f>IF(BB178="","",(BH178+BI178)/2)</f>
        <v/>
      </c>
      <c r="BK178" s="4">
        <f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4">
        <f>IF(BB178="","",IF(BK178&lt;BB178,BJ178,BH178))</f>
        <v/>
      </c>
      <c r="BM178" s="4">
        <f>IF(BB178="","",IF(BK178&lt;BB178,BI178,BJ178))</f>
        <v/>
      </c>
      <c r="BN178" s="4">
        <f>IF(BB178="","",(BL178+BM178)/2)</f>
        <v/>
      </c>
      <c r="BO178" s="4">
        <f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4">
        <f>IF(BB178="","",IF(BO178&lt;BB178,BN178,BL178))</f>
        <v/>
      </c>
      <c r="BQ178" s="4">
        <f>IF(BB178="","",IF(BO178&lt;BB178,BM178,BN178))</f>
        <v/>
      </c>
      <c r="BR178" s="4">
        <f>IF(BB178="","",(BP178+BQ178)/2)</f>
        <v/>
      </c>
      <c r="BS178" s="4">
        <f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4">
        <f>IF(BB178="","",IF(BS178&lt;BB178,BR178,BP178))</f>
        <v/>
      </c>
      <c r="BU178" s="4">
        <f>IF(BB178="","",IF(BS178&lt;BB178,BQ178,BR178))</f>
        <v/>
      </c>
      <c r="BV178" s="4">
        <f>IF(BB178="","",(BT178+BU178)/2)</f>
        <v/>
      </c>
      <c r="BW178" s="4">
        <f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4">
        <f>IF(BB178="","",IF(BW178&lt;BB178,BV178,BT178))</f>
        <v/>
      </c>
      <c r="BY178" s="4">
        <f>IF(BB178="","",IF(BW178&lt;BB178,BU178,BV178))</f>
        <v/>
      </c>
      <c r="BZ178" s="4">
        <f>IF(BB178="","",(BX178+BY178)/2)</f>
        <v/>
      </c>
      <c r="CA178" s="4">
        <f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4">
        <f>IF(BB178="","",IF(CA178&lt;BB178,BZ178,BX178))</f>
        <v/>
      </c>
      <c r="CC178" s="4">
        <f>IF(BB178="","",IF(CA178&lt;BB178,BY178,BZ178))</f>
        <v/>
      </c>
      <c r="CD178" s="4">
        <f>IF(BB178="","",(CB178+CC178)/2)</f>
        <v/>
      </c>
      <c r="CE178" s="4">
        <f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4">
        <f>IF(BB178="","",IF(CE178&lt;BB178,CD178,CB178))</f>
        <v/>
      </c>
      <c r="CG178" s="4">
        <f>IF(BB178="","",IF(CE178&lt;BB178,CC178,CD178))</f>
        <v/>
      </c>
      <c r="CH178" s="4">
        <f>IF(BB178="","",(CF178+CG178)/2)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SUMIFS(CB_plan!$G:$G,CB_plan!$F:$F,$A179)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IF(A179="","",IF(H179="","",2.78E-7*IF(I179&lt;&gt;"",I179,IFERROR(SUMIFS(CB_plan!$H:$H,CB_plan!$F:$F,$A179)/SUMIFS(CB_plan!$G:$G,CB_plan!$F:$F,$A179),Inputs!$B$17))*H179*K179))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7">
        <f>IF(BB179="","",CH179)</f>
        <v/>
      </c>
      <c r="BA179" s="7">
        <f>IF(OR(BB179="",AZ179="",T179="",T179&lt;=0,AZ179&lt;=0),"",BB179/((T179^2/8)*(2*ACOS(1-2*AZ179/T179)-SIN(2*ACOS(1-2*AZ179/T179)))))</f>
        <v/>
      </c>
      <c r="BB179" s="4">
        <f>IF(OR(N179="",BC179=""),"",MIN(N179,BC179))</f>
        <v/>
      </c>
      <c r="BC179" s="4">
        <f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4">
        <f>IF(BB179="","",0.001*T179)</f>
        <v/>
      </c>
      <c r="BE179" s="4">
        <f>IF(BB179="","",0.94*T179)</f>
        <v/>
      </c>
      <c r="BF179" s="4">
        <f>IF(BB179="","",(BD179+BE179)/2)</f>
        <v/>
      </c>
      <c r="BG179" s="4">
        <f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4">
        <f>IF(BB179="","",IF(BG179&lt;BB179,BF179,BD179))</f>
        <v/>
      </c>
      <c r="BI179" s="4">
        <f>IF(BB179="","",IF(BG179&lt;BB179,BE179,BF179))</f>
        <v/>
      </c>
      <c r="BJ179" s="4">
        <f>IF(BB179="","",(BH179+BI179)/2)</f>
        <v/>
      </c>
      <c r="BK179" s="4">
        <f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4">
        <f>IF(BB179="","",IF(BK179&lt;BB179,BJ179,BH179))</f>
        <v/>
      </c>
      <c r="BM179" s="4">
        <f>IF(BB179="","",IF(BK179&lt;BB179,BI179,BJ179))</f>
        <v/>
      </c>
      <c r="BN179" s="4">
        <f>IF(BB179="","",(BL179+BM179)/2)</f>
        <v/>
      </c>
      <c r="BO179" s="4">
        <f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4">
        <f>IF(BB179="","",IF(BO179&lt;BB179,BN179,BL179))</f>
        <v/>
      </c>
      <c r="BQ179" s="4">
        <f>IF(BB179="","",IF(BO179&lt;BB179,BM179,BN179))</f>
        <v/>
      </c>
      <c r="BR179" s="4">
        <f>IF(BB179="","",(BP179+BQ179)/2)</f>
        <v/>
      </c>
      <c r="BS179" s="4">
        <f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4">
        <f>IF(BB179="","",IF(BS179&lt;BB179,BR179,BP179))</f>
        <v/>
      </c>
      <c r="BU179" s="4">
        <f>IF(BB179="","",IF(BS179&lt;BB179,BQ179,BR179))</f>
        <v/>
      </c>
      <c r="BV179" s="4">
        <f>IF(BB179="","",(BT179+BU179)/2)</f>
        <v/>
      </c>
      <c r="BW179" s="4">
        <f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4">
        <f>IF(BB179="","",IF(BW179&lt;BB179,BV179,BT179))</f>
        <v/>
      </c>
      <c r="BY179" s="4">
        <f>IF(BB179="","",IF(BW179&lt;BB179,BU179,BV179))</f>
        <v/>
      </c>
      <c r="BZ179" s="4">
        <f>IF(BB179="","",(BX179+BY179)/2)</f>
        <v/>
      </c>
      <c r="CA179" s="4">
        <f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4">
        <f>IF(BB179="","",IF(CA179&lt;BB179,BZ179,BX179))</f>
        <v/>
      </c>
      <c r="CC179" s="4">
        <f>IF(BB179="","",IF(CA179&lt;BB179,BY179,BZ179))</f>
        <v/>
      </c>
      <c r="CD179" s="4">
        <f>IF(BB179="","",(CB179+CC179)/2)</f>
        <v/>
      </c>
      <c r="CE179" s="4">
        <f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4">
        <f>IF(BB179="","",IF(CE179&lt;BB179,CD179,CB179))</f>
        <v/>
      </c>
      <c r="CG179" s="4">
        <f>IF(BB179="","",IF(CE179&lt;BB179,CC179,CD179))</f>
        <v/>
      </c>
      <c r="CH179" s="4">
        <f>IF(BB179="","",(CF179+CG179)/2)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SUMIFS(CB_plan!$G:$G,CB_plan!$F:$F,$A180)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IF(A180="","",IF(H180="","",2.78E-7*IF(I180&lt;&gt;"",I180,IFERROR(SUMIFS(CB_plan!$H:$H,CB_plan!$F:$F,$A180)/SUMIFS(CB_plan!$G:$G,CB_plan!$F:$F,$A180),Inputs!$B$17))*H180*K180))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7">
        <f>IF(BB180="","",CH180)</f>
        <v/>
      </c>
      <c r="BA180" s="7">
        <f>IF(OR(BB180="",AZ180="",T180="",T180&lt;=0,AZ180&lt;=0),"",BB180/((T180^2/8)*(2*ACOS(1-2*AZ180/T180)-SIN(2*ACOS(1-2*AZ180/T180)))))</f>
        <v/>
      </c>
      <c r="BB180" s="4">
        <f>IF(OR(N180="",BC180=""),"",MIN(N180,BC180))</f>
        <v/>
      </c>
      <c r="BC180" s="4">
        <f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4">
        <f>IF(BB180="","",0.001*T180)</f>
        <v/>
      </c>
      <c r="BE180" s="4">
        <f>IF(BB180="","",0.94*T180)</f>
        <v/>
      </c>
      <c r="BF180" s="4">
        <f>IF(BB180="","",(BD180+BE180)/2)</f>
        <v/>
      </c>
      <c r="BG180" s="4">
        <f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4">
        <f>IF(BB180="","",IF(BG180&lt;BB180,BF180,BD180))</f>
        <v/>
      </c>
      <c r="BI180" s="4">
        <f>IF(BB180="","",IF(BG180&lt;BB180,BE180,BF180))</f>
        <v/>
      </c>
      <c r="BJ180" s="4">
        <f>IF(BB180="","",(BH180+BI180)/2)</f>
        <v/>
      </c>
      <c r="BK180" s="4">
        <f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4">
        <f>IF(BB180="","",IF(BK180&lt;BB180,BJ180,BH180))</f>
        <v/>
      </c>
      <c r="BM180" s="4">
        <f>IF(BB180="","",IF(BK180&lt;BB180,BI180,BJ180))</f>
        <v/>
      </c>
      <c r="BN180" s="4">
        <f>IF(BB180="","",(BL180+BM180)/2)</f>
        <v/>
      </c>
      <c r="BO180" s="4">
        <f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4">
        <f>IF(BB180="","",IF(BO180&lt;BB180,BN180,BL180))</f>
        <v/>
      </c>
      <c r="BQ180" s="4">
        <f>IF(BB180="","",IF(BO180&lt;BB180,BM180,BN180))</f>
        <v/>
      </c>
      <c r="BR180" s="4">
        <f>IF(BB180="","",(BP180+BQ180)/2)</f>
        <v/>
      </c>
      <c r="BS180" s="4">
        <f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4">
        <f>IF(BB180="","",IF(BS180&lt;BB180,BR180,BP180))</f>
        <v/>
      </c>
      <c r="BU180" s="4">
        <f>IF(BB180="","",IF(BS180&lt;BB180,BQ180,BR180))</f>
        <v/>
      </c>
      <c r="BV180" s="4">
        <f>IF(BB180="","",(BT180+BU180)/2)</f>
        <v/>
      </c>
      <c r="BW180" s="4">
        <f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4">
        <f>IF(BB180="","",IF(BW180&lt;BB180,BV180,BT180))</f>
        <v/>
      </c>
      <c r="BY180" s="4">
        <f>IF(BB180="","",IF(BW180&lt;BB180,BU180,BV180))</f>
        <v/>
      </c>
      <c r="BZ180" s="4">
        <f>IF(BB180="","",(BX180+BY180)/2)</f>
        <v/>
      </c>
      <c r="CA180" s="4">
        <f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4">
        <f>IF(BB180="","",IF(CA180&lt;BB180,BZ180,BX180))</f>
        <v/>
      </c>
      <c r="CC180" s="4">
        <f>IF(BB180="","",IF(CA180&lt;BB180,BY180,BZ180))</f>
        <v/>
      </c>
      <c r="CD180" s="4">
        <f>IF(BB180="","",(CB180+CC180)/2)</f>
        <v/>
      </c>
      <c r="CE180" s="4">
        <f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4">
        <f>IF(BB180="","",IF(CE180&lt;BB180,CD180,CB180))</f>
        <v/>
      </c>
      <c r="CG180" s="4">
        <f>IF(BB180="","",IF(CE180&lt;BB180,CC180,CD180))</f>
        <v/>
      </c>
      <c r="CH180" s="4">
        <f>IF(BB180="","",(CF180+CG180)/2)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SUMIFS(CB_plan!$G:$G,CB_plan!$F:$F,$A181)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IF(A181="","",IF(H181="","",2.78E-7*IF(I181&lt;&gt;"",I181,IFERROR(SUMIFS(CB_plan!$H:$H,CB_plan!$F:$F,$A181)/SUMIFS(CB_plan!$G:$G,CB_plan!$F:$F,$A181),Inputs!$B$17))*H181*K181))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7">
        <f>IF(BB181="","",CH181)</f>
        <v/>
      </c>
      <c r="BA181" s="7">
        <f>IF(OR(BB181="",AZ181="",T181="",T181&lt;=0,AZ181&lt;=0),"",BB181/((T181^2/8)*(2*ACOS(1-2*AZ181/T181)-SIN(2*ACOS(1-2*AZ181/T181)))))</f>
        <v/>
      </c>
      <c r="BB181" s="4">
        <f>IF(OR(N181="",BC181=""),"",MIN(N181,BC181))</f>
        <v/>
      </c>
      <c r="BC181" s="4">
        <f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4">
        <f>IF(BB181="","",0.001*T181)</f>
        <v/>
      </c>
      <c r="BE181" s="4">
        <f>IF(BB181="","",0.94*T181)</f>
        <v/>
      </c>
      <c r="BF181" s="4">
        <f>IF(BB181="","",(BD181+BE181)/2)</f>
        <v/>
      </c>
      <c r="BG181" s="4">
        <f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4">
        <f>IF(BB181="","",IF(BG181&lt;BB181,BF181,BD181))</f>
        <v/>
      </c>
      <c r="BI181" s="4">
        <f>IF(BB181="","",IF(BG181&lt;BB181,BE181,BF181))</f>
        <v/>
      </c>
      <c r="BJ181" s="4">
        <f>IF(BB181="","",(BH181+BI181)/2)</f>
        <v/>
      </c>
      <c r="BK181" s="4">
        <f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4">
        <f>IF(BB181="","",IF(BK181&lt;BB181,BJ181,BH181))</f>
        <v/>
      </c>
      <c r="BM181" s="4">
        <f>IF(BB181="","",IF(BK181&lt;BB181,BI181,BJ181))</f>
        <v/>
      </c>
      <c r="BN181" s="4">
        <f>IF(BB181="","",(BL181+BM181)/2)</f>
        <v/>
      </c>
      <c r="BO181" s="4">
        <f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4">
        <f>IF(BB181="","",IF(BO181&lt;BB181,BN181,BL181))</f>
        <v/>
      </c>
      <c r="BQ181" s="4">
        <f>IF(BB181="","",IF(BO181&lt;BB181,BM181,BN181))</f>
        <v/>
      </c>
      <c r="BR181" s="4">
        <f>IF(BB181="","",(BP181+BQ181)/2)</f>
        <v/>
      </c>
      <c r="BS181" s="4">
        <f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4">
        <f>IF(BB181="","",IF(BS181&lt;BB181,BR181,BP181))</f>
        <v/>
      </c>
      <c r="BU181" s="4">
        <f>IF(BB181="","",IF(BS181&lt;BB181,BQ181,BR181))</f>
        <v/>
      </c>
      <c r="BV181" s="4">
        <f>IF(BB181="","",(BT181+BU181)/2)</f>
        <v/>
      </c>
      <c r="BW181" s="4">
        <f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4">
        <f>IF(BB181="","",IF(BW181&lt;BB181,BV181,BT181))</f>
        <v/>
      </c>
      <c r="BY181" s="4">
        <f>IF(BB181="","",IF(BW181&lt;BB181,BU181,BV181))</f>
        <v/>
      </c>
      <c r="BZ181" s="4">
        <f>IF(BB181="","",(BX181+BY181)/2)</f>
        <v/>
      </c>
      <c r="CA181" s="4">
        <f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4">
        <f>IF(BB181="","",IF(CA181&lt;BB181,BZ181,BX181))</f>
        <v/>
      </c>
      <c r="CC181" s="4">
        <f>IF(BB181="","",IF(CA181&lt;BB181,BY181,BZ181))</f>
        <v/>
      </c>
      <c r="CD181" s="4">
        <f>IF(BB181="","",(CB181+CC181)/2)</f>
        <v/>
      </c>
      <c r="CE181" s="4">
        <f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4">
        <f>IF(BB181="","",IF(CE181&lt;BB181,CD181,CB181))</f>
        <v/>
      </c>
      <c r="CG181" s="4">
        <f>IF(BB181="","",IF(CE181&lt;BB181,CC181,CD181))</f>
        <v/>
      </c>
      <c r="CH181" s="4">
        <f>IF(BB181="","",(CF181+CG181)/2)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SUMIFS(CB_plan!$G:$G,CB_plan!$F:$F,$A182)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IF(A182="","",IF(H182="","",2.78E-7*IF(I182&lt;&gt;"",I182,IFERROR(SUMIFS(CB_plan!$H:$H,CB_plan!$F:$F,$A182)/SUMIFS(CB_plan!$G:$G,CB_plan!$F:$F,$A182),Inputs!$B$17))*H182*K182))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7">
        <f>IF(BB182="","",CH182)</f>
        <v/>
      </c>
      <c r="BA182" s="7">
        <f>IF(OR(BB182="",AZ182="",T182="",T182&lt;=0,AZ182&lt;=0),"",BB182/((T182^2/8)*(2*ACOS(1-2*AZ182/T182)-SIN(2*ACOS(1-2*AZ182/T182)))))</f>
        <v/>
      </c>
      <c r="BB182" s="4">
        <f>IF(OR(N182="",BC182=""),"",MIN(N182,BC182))</f>
        <v/>
      </c>
      <c r="BC182" s="4">
        <f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4">
        <f>IF(BB182="","",0.001*T182)</f>
        <v/>
      </c>
      <c r="BE182" s="4">
        <f>IF(BB182="","",0.94*T182)</f>
        <v/>
      </c>
      <c r="BF182" s="4">
        <f>IF(BB182="","",(BD182+BE182)/2)</f>
        <v/>
      </c>
      <c r="BG182" s="4">
        <f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4">
        <f>IF(BB182="","",IF(BG182&lt;BB182,BF182,BD182))</f>
        <v/>
      </c>
      <c r="BI182" s="4">
        <f>IF(BB182="","",IF(BG182&lt;BB182,BE182,BF182))</f>
        <v/>
      </c>
      <c r="BJ182" s="4">
        <f>IF(BB182="","",(BH182+BI182)/2)</f>
        <v/>
      </c>
      <c r="BK182" s="4">
        <f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4">
        <f>IF(BB182="","",IF(BK182&lt;BB182,BJ182,BH182))</f>
        <v/>
      </c>
      <c r="BM182" s="4">
        <f>IF(BB182="","",IF(BK182&lt;BB182,BI182,BJ182))</f>
        <v/>
      </c>
      <c r="BN182" s="4">
        <f>IF(BB182="","",(BL182+BM182)/2)</f>
        <v/>
      </c>
      <c r="BO182" s="4">
        <f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4">
        <f>IF(BB182="","",IF(BO182&lt;BB182,BN182,BL182))</f>
        <v/>
      </c>
      <c r="BQ182" s="4">
        <f>IF(BB182="","",IF(BO182&lt;BB182,BM182,BN182))</f>
        <v/>
      </c>
      <c r="BR182" s="4">
        <f>IF(BB182="","",(BP182+BQ182)/2)</f>
        <v/>
      </c>
      <c r="BS182" s="4">
        <f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4">
        <f>IF(BB182="","",IF(BS182&lt;BB182,BR182,BP182))</f>
        <v/>
      </c>
      <c r="BU182" s="4">
        <f>IF(BB182="","",IF(BS182&lt;BB182,BQ182,BR182))</f>
        <v/>
      </c>
      <c r="BV182" s="4">
        <f>IF(BB182="","",(BT182+BU182)/2)</f>
        <v/>
      </c>
      <c r="BW182" s="4">
        <f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4">
        <f>IF(BB182="","",IF(BW182&lt;BB182,BV182,BT182))</f>
        <v/>
      </c>
      <c r="BY182" s="4">
        <f>IF(BB182="","",IF(BW182&lt;BB182,BU182,BV182))</f>
        <v/>
      </c>
      <c r="BZ182" s="4">
        <f>IF(BB182="","",(BX182+BY182)/2)</f>
        <v/>
      </c>
      <c r="CA182" s="4">
        <f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4">
        <f>IF(BB182="","",IF(CA182&lt;BB182,BZ182,BX182))</f>
        <v/>
      </c>
      <c r="CC182" s="4">
        <f>IF(BB182="","",IF(CA182&lt;BB182,BY182,BZ182))</f>
        <v/>
      </c>
      <c r="CD182" s="4">
        <f>IF(BB182="","",(CB182+CC182)/2)</f>
        <v/>
      </c>
      <c r="CE182" s="4">
        <f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4">
        <f>IF(BB182="","",IF(CE182&lt;BB182,CD182,CB182))</f>
        <v/>
      </c>
      <c r="CG182" s="4">
        <f>IF(BB182="","",IF(CE182&lt;BB182,CC182,CD182))</f>
        <v/>
      </c>
      <c r="CH182" s="4">
        <f>IF(BB182="","",(CF182+CG182)/2)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SUMIFS(CB_plan!$G:$G,CB_plan!$F:$F,$A183)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IF(A183="","",IF(H183="","",2.78E-7*IF(I183&lt;&gt;"",I183,IFERROR(SUMIFS(CB_plan!$H:$H,CB_plan!$F:$F,$A183)/SUMIFS(CB_plan!$G:$G,CB_plan!$F:$F,$A183),Inputs!$B$17))*H183*K183))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7">
        <f>IF(BB183="","",CH183)</f>
        <v/>
      </c>
      <c r="BA183" s="7">
        <f>IF(OR(BB183="",AZ183="",T183="",T183&lt;=0,AZ183&lt;=0),"",BB183/((T183^2/8)*(2*ACOS(1-2*AZ183/T183)-SIN(2*ACOS(1-2*AZ183/T183)))))</f>
        <v/>
      </c>
      <c r="BB183" s="4">
        <f>IF(OR(N183="",BC183=""),"",MIN(N183,BC183))</f>
        <v/>
      </c>
      <c r="BC183" s="4">
        <f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4">
        <f>IF(BB183="","",0.001*T183)</f>
        <v/>
      </c>
      <c r="BE183" s="4">
        <f>IF(BB183="","",0.94*T183)</f>
        <v/>
      </c>
      <c r="BF183" s="4">
        <f>IF(BB183="","",(BD183+BE183)/2)</f>
        <v/>
      </c>
      <c r="BG183" s="4">
        <f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4">
        <f>IF(BB183="","",IF(BG183&lt;BB183,BF183,BD183))</f>
        <v/>
      </c>
      <c r="BI183" s="4">
        <f>IF(BB183="","",IF(BG183&lt;BB183,BE183,BF183))</f>
        <v/>
      </c>
      <c r="BJ183" s="4">
        <f>IF(BB183="","",(BH183+BI183)/2)</f>
        <v/>
      </c>
      <c r="BK183" s="4">
        <f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4">
        <f>IF(BB183="","",IF(BK183&lt;BB183,BJ183,BH183))</f>
        <v/>
      </c>
      <c r="BM183" s="4">
        <f>IF(BB183="","",IF(BK183&lt;BB183,BI183,BJ183))</f>
        <v/>
      </c>
      <c r="BN183" s="4">
        <f>IF(BB183="","",(BL183+BM183)/2)</f>
        <v/>
      </c>
      <c r="BO183" s="4">
        <f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4">
        <f>IF(BB183="","",IF(BO183&lt;BB183,BN183,BL183))</f>
        <v/>
      </c>
      <c r="BQ183" s="4">
        <f>IF(BB183="","",IF(BO183&lt;BB183,BM183,BN183))</f>
        <v/>
      </c>
      <c r="BR183" s="4">
        <f>IF(BB183="","",(BP183+BQ183)/2)</f>
        <v/>
      </c>
      <c r="BS183" s="4">
        <f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4">
        <f>IF(BB183="","",IF(BS183&lt;BB183,BR183,BP183))</f>
        <v/>
      </c>
      <c r="BU183" s="4">
        <f>IF(BB183="","",IF(BS183&lt;BB183,BQ183,BR183))</f>
        <v/>
      </c>
      <c r="BV183" s="4">
        <f>IF(BB183="","",(BT183+BU183)/2)</f>
        <v/>
      </c>
      <c r="BW183" s="4">
        <f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4">
        <f>IF(BB183="","",IF(BW183&lt;BB183,BV183,BT183))</f>
        <v/>
      </c>
      <c r="BY183" s="4">
        <f>IF(BB183="","",IF(BW183&lt;BB183,BU183,BV183))</f>
        <v/>
      </c>
      <c r="BZ183" s="4">
        <f>IF(BB183="","",(BX183+BY183)/2)</f>
        <v/>
      </c>
      <c r="CA183" s="4">
        <f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4">
        <f>IF(BB183="","",IF(CA183&lt;BB183,BZ183,BX183))</f>
        <v/>
      </c>
      <c r="CC183" s="4">
        <f>IF(BB183="","",IF(CA183&lt;BB183,BY183,BZ183))</f>
        <v/>
      </c>
      <c r="CD183" s="4">
        <f>IF(BB183="","",(CB183+CC183)/2)</f>
        <v/>
      </c>
      <c r="CE183" s="4">
        <f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4">
        <f>IF(BB183="","",IF(CE183&lt;BB183,CD183,CB183))</f>
        <v/>
      </c>
      <c r="CG183" s="4">
        <f>IF(BB183="","",IF(CE183&lt;BB183,CC183,CD183))</f>
        <v/>
      </c>
      <c r="CH183" s="4">
        <f>IF(BB183="","",(CF183+CG183)/2)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SUMIFS(CB_plan!$G:$G,CB_plan!$F:$F,$A184)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IF(A184="","",IF(H184="","",2.78E-7*IF(I184&lt;&gt;"",I184,IFERROR(SUMIFS(CB_plan!$H:$H,CB_plan!$F:$F,$A184)/SUMIFS(CB_plan!$G:$G,CB_plan!$F:$F,$A184),Inputs!$B$17))*H184*K184))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7">
        <f>IF(BB184="","",CH184)</f>
        <v/>
      </c>
      <c r="BA184" s="7">
        <f>IF(OR(BB184="",AZ184="",T184="",T184&lt;=0,AZ184&lt;=0),"",BB184/((T184^2/8)*(2*ACOS(1-2*AZ184/T184)-SIN(2*ACOS(1-2*AZ184/T184)))))</f>
        <v/>
      </c>
      <c r="BB184" s="4">
        <f>IF(OR(N184="",BC184=""),"",MIN(N184,BC184))</f>
        <v/>
      </c>
      <c r="BC184" s="4">
        <f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4">
        <f>IF(BB184="","",0.001*T184)</f>
        <v/>
      </c>
      <c r="BE184" s="4">
        <f>IF(BB184="","",0.94*T184)</f>
        <v/>
      </c>
      <c r="BF184" s="4">
        <f>IF(BB184="","",(BD184+BE184)/2)</f>
        <v/>
      </c>
      <c r="BG184" s="4">
        <f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4">
        <f>IF(BB184="","",IF(BG184&lt;BB184,BF184,BD184))</f>
        <v/>
      </c>
      <c r="BI184" s="4">
        <f>IF(BB184="","",IF(BG184&lt;BB184,BE184,BF184))</f>
        <v/>
      </c>
      <c r="BJ184" s="4">
        <f>IF(BB184="","",(BH184+BI184)/2)</f>
        <v/>
      </c>
      <c r="BK184" s="4">
        <f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4">
        <f>IF(BB184="","",IF(BK184&lt;BB184,BJ184,BH184))</f>
        <v/>
      </c>
      <c r="BM184" s="4">
        <f>IF(BB184="","",IF(BK184&lt;BB184,BI184,BJ184))</f>
        <v/>
      </c>
      <c r="BN184" s="4">
        <f>IF(BB184="","",(BL184+BM184)/2)</f>
        <v/>
      </c>
      <c r="BO184" s="4">
        <f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4">
        <f>IF(BB184="","",IF(BO184&lt;BB184,BN184,BL184))</f>
        <v/>
      </c>
      <c r="BQ184" s="4">
        <f>IF(BB184="","",IF(BO184&lt;BB184,BM184,BN184))</f>
        <v/>
      </c>
      <c r="BR184" s="4">
        <f>IF(BB184="","",(BP184+BQ184)/2)</f>
        <v/>
      </c>
      <c r="BS184" s="4">
        <f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4">
        <f>IF(BB184="","",IF(BS184&lt;BB184,BR184,BP184))</f>
        <v/>
      </c>
      <c r="BU184" s="4">
        <f>IF(BB184="","",IF(BS184&lt;BB184,BQ184,BR184))</f>
        <v/>
      </c>
      <c r="BV184" s="4">
        <f>IF(BB184="","",(BT184+BU184)/2)</f>
        <v/>
      </c>
      <c r="BW184" s="4">
        <f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4">
        <f>IF(BB184="","",IF(BW184&lt;BB184,BV184,BT184))</f>
        <v/>
      </c>
      <c r="BY184" s="4">
        <f>IF(BB184="","",IF(BW184&lt;BB184,BU184,BV184))</f>
        <v/>
      </c>
      <c r="BZ184" s="4">
        <f>IF(BB184="","",(BX184+BY184)/2)</f>
        <v/>
      </c>
      <c r="CA184" s="4">
        <f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4">
        <f>IF(BB184="","",IF(CA184&lt;BB184,BZ184,BX184))</f>
        <v/>
      </c>
      <c r="CC184" s="4">
        <f>IF(BB184="","",IF(CA184&lt;BB184,BY184,BZ184))</f>
        <v/>
      </c>
      <c r="CD184" s="4">
        <f>IF(BB184="","",(CB184+CC184)/2)</f>
        <v/>
      </c>
      <c r="CE184" s="4">
        <f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4">
        <f>IF(BB184="","",IF(CE184&lt;BB184,CD184,CB184))</f>
        <v/>
      </c>
      <c r="CG184" s="4">
        <f>IF(BB184="","",IF(CE184&lt;BB184,CC184,CD184))</f>
        <v/>
      </c>
      <c r="CH184" s="4">
        <f>IF(BB184="","",(CF184+CG184)/2)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SUMIFS(CB_plan!$G:$G,CB_plan!$F:$F,$A185)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IF(A185="","",IF(H185="","",2.78E-7*IF(I185&lt;&gt;"",I185,IFERROR(SUMIFS(CB_plan!$H:$H,CB_plan!$F:$F,$A185)/SUMIFS(CB_plan!$G:$G,CB_plan!$F:$F,$A185),Inputs!$B$17))*H185*K185))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7">
        <f>IF(BB185="","",CH185)</f>
        <v/>
      </c>
      <c r="BA185" s="7">
        <f>IF(OR(BB185="",AZ185="",T185="",T185&lt;=0,AZ185&lt;=0),"",BB185/((T185^2/8)*(2*ACOS(1-2*AZ185/T185)-SIN(2*ACOS(1-2*AZ185/T185)))))</f>
        <v/>
      </c>
      <c r="BB185" s="4">
        <f>IF(OR(N185="",BC185=""),"",MIN(N185,BC185))</f>
        <v/>
      </c>
      <c r="BC185" s="4">
        <f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4">
        <f>IF(BB185="","",0.001*T185)</f>
        <v/>
      </c>
      <c r="BE185" s="4">
        <f>IF(BB185="","",0.94*T185)</f>
        <v/>
      </c>
      <c r="BF185" s="4">
        <f>IF(BB185="","",(BD185+BE185)/2)</f>
        <v/>
      </c>
      <c r="BG185" s="4">
        <f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4">
        <f>IF(BB185="","",IF(BG185&lt;BB185,BF185,BD185))</f>
        <v/>
      </c>
      <c r="BI185" s="4">
        <f>IF(BB185="","",IF(BG185&lt;BB185,BE185,BF185))</f>
        <v/>
      </c>
      <c r="BJ185" s="4">
        <f>IF(BB185="","",(BH185+BI185)/2)</f>
        <v/>
      </c>
      <c r="BK185" s="4">
        <f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4">
        <f>IF(BB185="","",IF(BK185&lt;BB185,BJ185,BH185))</f>
        <v/>
      </c>
      <c r="BM185" s="4">
        <f>IF(BB185="","",IF(BK185&lt;BB185,BI185,BJ185))</f>
        <v/>
      </c>
      <c r="BN185" s="4">
        <f>IF(BB185="","",(BL185+BM185)/2)</f>
        <v/>
      </c>
      <c r="BO185" s="4">
        <f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4">
        <f>IF(BB185="","",IF(BO185&lt;BB185,BN185,BL185))</f>
        <v/>
      </c>
      <c r="BQ185" s="4">
        <f>IF(BB185="","",IF(BO185&lt;BB185,BM185,BN185))</f>
        <v/>
      </c>
      <c r="BR185" s="4">
        <f>IF(BB185="","",(BP185+BQ185)/2)</f>
        <v/>
      </c>
      <c r="BS185" s="4">
        <f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4">
        <f>IF(BB185="","",IF(BS185&lt;BB185,BR185,BP185))</f>
        <v/>
      </c>
      <c r="BU185" s="4">
        <f>IF(BB185="","",IF(BS185&lt;BB185,BQ185,BR185))</f>
        <v/>
      </c>
      <c r="BV185" s="4">
        <f>IF(BB185="","",(BT185+BU185)/2)</f>
        <v/>
      </c>
      <c r="BW185" s="4">
        <f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4">
        <f>IF(BB185="","",IF(BW185&lt;BB185,BV185,BT185))</f>
        <v/>
      </c>
      <c r="BY185" s="4">
        <f>IF(BB185="","",IF(BW185&lt;BB185,BU185,BV185))</f>
        <v/>
      </c>
      <c r="BZ185" s="4">
        <f>IF(BB185="","",(BX185+BY185)/2)</f>
        <v/>
      </c>
      <c r="CA185" s="4">
        <f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4">
        <f>IF(BB185="","",IF(CA185&lt;BB185,BZ185,BX185))</f>
        <v/>
      </c>
      <c r="CC185" s="4">
        <f>IF(BB185="","",IF(CA185&lt;BB185,BY185,BZ185))</f>
        <v/>
      </c>
      <c r="CD185" s="4">
        <f>IF(BB185="","",(CB185+CC185)/2)</f>
        <v/>
      </c>
      <c r="CE185" s="4">
        <f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4">
        <f>IF(BB185="","",IF(CE185&lt;BB185,CD185,CB185))</f>
        <v/>
      </c>
      <c r="CG185" s="4">
        <f>IF(BB185="","",IF(CE185&lt;BB185,CC185,CD185))</f>
        <v/>
      </c>
      <c r="CH185" s="4">
        <f>IF(BB185="","",(CF185+CG185)/2)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SUMIFS(CB_plan!$G:$G,CB_plan!$F:$F,$A186)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IF(A186="","",IF(H186="","",2.78E-7*IF(I186&lt;&gt;"",I186,IFERROR(SUMIFS(CB_plan!$H:$H,CB_plan!$F:$F,$A186)/SUMIFS(CB_plan!$G:$G,CB_plan!$F:$F,$A186),Inputs!$B$17))*H186*K186))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7">
        <f>IF(BB186="","",CH186)</f>
        <v/>
      </c>
      <c r="BA186" s="7">
        <f>IF(OR(BB186="",AZ186="",T186="",T186&lt;=0,AZ186&lt;=0),"",BB186/((T186^2/8)*(2*ACOS(1-2*AZ186/T186)-SIN(2*ACOS(1-2*AZ186/T186)))))</f>
        <v/>
      </c>
      <c r="BB186" s="4">
        <f>IF(OR(N186="",BC186=""),"",MIN(N186,BC186))</f>
        <v/>
      </c>
      <c r="BC186" s="4">
        <f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4">
        <f>IF(BB186="","",0.001*T186)</f>
        <v/>
      </c>
      <c r="BE186" s="4">
        <f>IF(BB186="","",0.94*T186)</f>
        <v/>
      </c>
      <c r="BF186" s="4">
        <f>IF(BB186="","",(BD186+BE186)/2)</f>
        <v/>
      </c>
      <c r="BG186" s="4">
        <f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4">
        <f>IF(BB186="","",IF(BG186&lt;BB186,BF186,BD186))</f>
        <v/>
      </c>
      <c r="BI186" s="4">
        <f>IF(BB186="","",IF(BG186&lt;BB186,BE186,BF186))</f>
        <v/>
      </c>
      <c r="BJ186" s="4">
        <f>IF(BB186="","",(BH186+BI186)/2)</f>
        <v/>
      </c>
      <c r="BK186" s="4">
        <f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4">
        <f>IF(BB186="","",IF(BK186&lt;BB186,BJ186,BH186))</f>
        <v/>
      </c>
      <c r="BM186" s="4">
        <f>IF(BB186="","",IF(BK186&lt;BB186,BI186,BJ186))</f>
        <v/>
      </c>
      <c r="BN186" s="4">
        <f>IF(BB186="","",(BL186+BM186)/2)</f>
        <v/>
      </c>
      <c r="BO186" s="4">
        <f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4">
        <f>IF(BB186="","",IF(BO186&lt;BB186,BN186,BL186))</f>
        <v/>
      </c>
      <c r="BQ186" s="4">
        <f>IF(BB186="","",IF(BO186&lt;BB186,BM186,BN186))</f>
        <v/>
      </c>
      <c r="BR186" s="4">
        <f>IF(BB186="","",(BP186+BQ186)/2)</f>
        <v/>
      </c>
      <c r="BS186" s="4">
        <f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4">
        <f>IF(BB186="","",IF(BS186&lt;BB186,BR186,BP186))</f>
        <v/>
      </c>
      <c r="BU186" s="4">
        <f>IF(BB186="","",IF(BS186&lt;BB186,BQ186,BR186))</f>
        <v/>
      </c>
      <c r="BV186" s="4">
        <f>IF(BB186="","",(BT186+BU186)/2)</f>
        <v/>
      </c>
      <c r="BW186" s="4">
        <f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4">
        <f>IF(BB186="","",IF(BW186&lt;BB186,BV186,BT186))</f>
        <v/>
      </c>
      <c r="BY186" s="4">
        <f>IF(BB186="","",IF(BW186&lt;BB186,BU186,BV186))</f>
        <v/>
      </c>
      <c r="BZ186" s="4">
        <f>IF(BB186="","",(BX186+BY186)/2)</f>
        <v/>
      </c>
      <c r="CA186" s="4">
        <f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4">
        <f>IF(BB186="","",IF(CA186&lt;BB186,BZ186,BX186))</f>
        <v/>
      </c>
      <c r="CC186" s="4">
        <f>IF(BB186="","",IF(CA186&lt;BB186,BY186,BZ186))</f>
        <v/>
      </c>
      <c r="CD186" s="4">
        <f>IF(BB186="","",(CB186+CC186)/2)</f>
        <v/>
      </c>
      <c r="CE186" s="4">
        <f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4">
        <f>IF(BB186="","",IF(CE186&lt;BB186,CD186,CB186))</f>
        <v/>
      </c>
      <c r="CG186" s="4">
        <f>IF(BB186="","",IF(CE186&lt;BB186,CC186,CD186))</f>
        <v/>
      </c>
      <c r="CH186" s="4">
        <f>IF(BB186="","",(CF186+CG186)/2)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SUMIFS(CB_plan!$G:$G,CB_plan!$F:$F,$A187)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IF(A187="","",IF(H187="","",2.78E-7*IF(I187&lt;&gt;"",I187,IFERROR(SUMIFS(CB_plan!$H:$H,CB_plan!$F:$F,$A187)/SUMIFS(CB_plan!$G:$G,CB_plan!$F:$F,$A187),Inputs!$B$17))*H187*K187))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7">
        <f>IF(BB187="","",CH187)</f>
        <v/>
      </c>
      <c r="BA187" s="7">
        <f>IF(OR(BB187="",AZ187="",T187="",T187&lt;=0,AZ187&lt;=0),"",BB187/((T187^2/8)*(2*ACOS(1-2*AZ187/T187)-SIN(2*ACOS(1-2*AZ187/T187)))))</f>
        <v/>
      </c>
      <c r="BB187" s="4">
        <f>IF(OR(N187="",BC187=""),"",MIN(N187,BC187))</f>
        <v/>
      </c>
      <c r="BC187" s="4">
        <f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4">
        <f>IF(BB187="","",0.001*T187)</f>
        <v/>
      </c>
      <c r="BE187" s="4">
        <f>IF(BB187="","",0.94*T187)</f>
        <v/>
      </c>
      <c r="BF187" s="4">
        <f>IF(BB187="","",(BD187+BE187)/2)</f>
        <v/>
      </c>
      <c r="BG187" s="4">
        <f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4">
        <f>IF(BB187="","",IF(BG187&lt;BB187,BF187,BD187))</f>
        <v/>
      </c>
      <c r="BI187" s="4">
        <f>IF(BB187="","",IF(BG187&lt;BB187,BE187,BF187))</f>
        <v/>
      </c>
      <c r="BJ187" s="4">
        <f>IF(BB187="","",(BH187+BI187)/2)</f>
        <v/>
      </c>
      <c r="BK187" s="4">
        <f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4">
        <f>IF(BB187="","",IF(BK187&lt;BB187,BJ187,BH187))</f>
        <v/>
      </c>
      <c r="BM187" s="4">
        <f>IF(BB187="","",IF(BK187&lt;BB187,BI187,BJ187))</f>
        <v/>
      </c>
      <c r="BN187" s="4">
        <f>IF(BB187="","",(BL187+BM187)/2)</f>
        <v/>
      </c>
      <c r="BO187" s="4">
        <f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4">
        <f>IF(BB187="","",IF(BO187&lt;BB187,BN187,BL187))</f>
        <v/>
      </c>
      <c r="BQ187" s="4">
        <f>IF(BB187="","",IF(BO187&lt;BB187,BM187,BN187))</f>
        <v/>
      </c>
      <c r="BR187" s="4">
        <f>IF(BB187="","",(BP187+BQ187)/2)</f>
        <v/>
      </c>
      <c r="BS187" s="4">
        <f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4">
        <f>IF(BB187="","",IF(BS187&lt;BB187,BR187,BP187))</f>
        <v/>
      </c>
      <c r="BU187" s="4">
        <f>IF(BB187="","",IF(BS187&lt;BB187,BQ187,BR187))</f>
        <v/>
      </c>
      <c r="BV187" s="4">
        <f>IF(BB187="","",(BT187+BU187)/2)</f>
        <v/>
      </c>
      <c r="BW187" s="4">
        <f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4">
        <f>IF(BB187="","",IF(BW187&lt;BB187,BV187,BT187))</f>
        <v/>
      </c>
      <c r="BY187" s="4">
        <f>IF(BB187="","",IF(BW187&lt;BB187,BU187,BV187))</f>
        <v/>
      </c>
      <c r="BZ187" s="4">
        <f>IF(BB187="","",(BX187+BY187)/2)</f>
        <v/>
      </c>
      <c r="CA187" s="4">
        <f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4">
        <f>IF(BB187="","",IF(CA187&lt;BB187,BZ187,BX187))</f>
        <v/>
      </c>
      <c r="CC187" s="4">
        <f>IF(BB187="","",IF(CA187&lt;BB187,BY187,BZ187))</f>
        <v/>
      </c>
      <c r="CD187" s="4">
        <f>IF(BB187="","",(CB187+CC187)/2)</f>
        <v/>
      </c>
      <c r="CE187" s="4">
        <f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4">
        <f>IF(BB187="","",IF(CE187&lt;BB187,CD187,CB187))</f>
        <v/>
      </c>
      <c r="CG187" s="4">
        <f>IF(BB187="","",IF(CE187&lt;BB187,CC187,CD187))</f>
        <v/>
      </c>
      <c r="CH187" s="4">
        <f>IF(BB187="","",(CF187+CG187)/2)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SUMIFS(CB_plan!$G:$G,CB_plan!$F:$F,$A188)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IF(A188="","",IF(H188="","",2.78E-7*IF(I188&lt;&gt;"",I188,IFERROR(SUMIFS(CB_plan!$H:$H,CB_plan!$F:$F,$A188)/SUMIFS(CB_plan!$G:$G,CB_plan!$F:$F,$A188),Inputs!$B$17))*H188*K188))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7">
        <f>IF(BB188="","",CH188)</f>
        <v/>
      </c>
      <c r="BA188" s="7">
        <f>IF(OR(BB188="",AZ188="",T188="",T188&lt;=0,AZ188&lt;=0),"",BB188/((T188^2/8)*(2*ACOS(1-2*AZ188/T188)-SIN(2*ACOS(1-2*AZ188/T188)))))</f>
        <v/>
      </c>
      <c r="BB188" s="4">
        <f>IF(OR(N188="",BC188=""),"",MIN(N188,BC188))</f>
        <v/>
      </c>
      <c r="BC188" s="4">
        <f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4">
        <f>IF(BB188="","",0.001*T188)</f>
        <v/>
      </c>
      <c r="BE188" s="4">
        <f>IF(BB188="","",0.94*T188)</f>
        <v/>
      </c>
      <c r="BF188" s="4">
        <f>IF(BB188="","",(BD188+BE188)/2)</f>
        <v/>
      </c>
      <c r="BG188" s="4">
        <f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4">
        <f>IF(BB188="","",IF(BG188&lt;BB188,BF188,BD188))</f>
        <v/>
      </c>
      <c r="BI188" s="4">
        <f>IF(BB188="","",IF(BG188&lt;BB188,BE188,BF188))</f>
        <v/>
      </c>
      <c r="BJ188" s="4">
        <f>IF(BB188="","",(BH188+BI188)/2)</f>
        <v/>
      </c>
      <c r="BK188" s="4">
        <f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4">
        <f>IF(BB188="","",IF(BK188&lt;BB188,BJ188,BH188))</f>
        <v/>
      </c>
      <c r="BM188" s="4">
        <f>IF(BB188="","",IF(BK188&lt;BB188,BI188,BJ188))</f>
        <v/>
      </c>
      <c r="BN188" s="4">
        <f>IF(BB188="","",(BL188+BM188)/2)</f>
        <v/>
      </c>
      <c r="BO188" s="4">
        <f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4">
        <f>IF(BB188="","",IF(BO188&lt;BB188,BN188,BL188))</f>
        <v/>
      </c>
      <c r="BQ188" s="4">
        <f>IF(BB188="","",IF(BO188&lt;BB188,BM188,BN188))</f>
        <v/>
      </c>
      <c r="BR188" s="4">
        <f>IF(BB188="","",(BP188+BQ188)/2)</f>
        <v/>
      </c>
      <c r="BS188" s="4">
        <f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4">
        <f>IF(BB188="","",IF(BS188&lt;BB188,BR188,BP188))</f>
        <v/>
      </c>
      <c r="BU188" s="4">
        <f>IF(BB188="","",IF(BS188&lt;BB188,BQ188,BR188))</f>
        <v/>
      </c>
      <c r="BV188" s="4">
        <f>IF(BB188="","",(BT188+BU188)/2)</f>
        <v/>
      </c>
      <c r="BW188" s="4">
        <f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4">
        <f>IF(BB188="","",IF(BW188&lt;BB188,BV188,BT188))</f>
        <v/>
      </c>
      <c r="BY188" s="4">
        <f>IF(BB188="","",IF(BW188&lt;BB188,BU188,BV188))</f>
        <v/>
      </c>
      <c r="BZ188" s="4">
        <f>IF(BB188="","",(BX188+BY188)/2)</f>
        <v/>
      </c>
      <c r="CA188" s="4">
        <f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4">
        <f>IF(BB188="","",IF(CA188&lt;BB188,BZ188,BX188))</f>
        <v/>
      </c>
      <c r="CC188" s="4">
        <f>IF(BB188="","",IF(CA188&lt;BB188,BY188,BZ188))</f>
        <v/>
      </c>
      <c r="CD188" s="4">
        <f>IF(BB188="","",(CB188+CC188)/2)</f>
        <v/>
      </c>
      <c r="CE188" s="4">
        <f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4">
        <f>IF(BB188="","",IF(CE188&lt;BB188,CD188,CB188))</f>
        <v/>
      </c>
      <c r="CG188" s="4">
        <f>IF(BB188="","",IF(CE188&lt;BB188,CC188,CD188))</f>
        <v/>
      </c>
      <c r="CH188" s="4">
        <f>IF(BB188="","",(CF188+CG188)/2)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SUMIFS(CB_plan!$G:$G,CB_plan!$F:$F,$A189)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IF(A189="","",IF(H189="","",2.78E-7*IF(I189&lt;&gt;"",I189,IFERROR(SUMIFS(CB_plan!$H:$H,CB_plan!$F:$F,$A189)/SUMIFS(CB_plan!$G:$G,CB_plan!$F:$F,$A189),Inputs!$B$17))*H189*K189))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7">
        <f>IF(BB189="","",CH189)</f>
        <v/>
      </c>
      <c r="BA189" s="7">
        <f>IF(OR(BB189="",AZ189="",T189="",T189&lt;=0,AZ189&lt;=0),"",BB189/((T189^2/8)*(2*ACOS(1-2*AZ189/T189)-SIN(2*ACOS(1-2*AZ189/T189)))))</f>
        <v/>
      </c>
      <c r="BB189" s="4">
        <f>IF(OR(N189="",BC189=""),"",MIN(N189,BC189))</f>
        <v/>
      </c>
      <c r="BC189" s="4">
        <f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4">
        <f>IF(BB189="","",0.001*T189)</f>
        <v/>
      </c>
      <c r="BE189" s="4">
        <f>IF(BB189="","",0.94*T189)</f>
        <v/>
      </c>
      <c r="BF189" s="4">
        <f>IF(BB189="","",(BD189+BE189)/2)</f>
        <v/>
      </c>
      <c r="BG189" s="4">
        <f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4">
        <f>IF(BB189="","",IF(BG189&lt;BB189,BF189,BD189))</f>
        <v/>
      </c>
      <c r="BI189" s="4">
        <f>IF(BB189="","",IF(BG189&lt;BB189,BE189,BF189))</f>
        <v/>
      </c>
      <c r="BJ189" s="4">
        <f>IF(BB189="","",(BH189+BI189)/2)</f>
        <v/>
      </c>
      <c r="BK189" s="4">
        <f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4">
        <f>IF(BB189="","",IF(BK189&lt;BB189,BJ189,BH189))</f>
        <v/>
      </c>
      <c r="BM189" s="4">
        <f>IF(BB189="","",IF(BK189&lt;BB189,BI189,BJ189))</f>
        <v/>
      </c>
      <c r="BN189" s="4">
        <f>IF(BB189="","",(BL189+BM189)/2)</f>
        <v/>
      </c>
      <c r="BO189" s="4">
        <f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4">
        <f>IF(BB189="","",IF(BO189&lt;BB189,BN189,BL189))</f>
        <v/>
      </c>
      <c r="BQ189" s="4">
        <f>IF(BB189="","",IF(BO189&lt;BB189,BM189,BN189))</f>
        <v/>
      </c>
      <c r="BR189" s="4">
        <f>IF(BB189="","",(BP189+BQ189)/2)</f>
        <v/>
      </c>
      <c r="BS189" s="4">
        <f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4">
        <f>IF(BB189="","",IF(BS189&lt;BB189,BR189,BP189))</f>
        <v/>
      </c>
      <c r="BU189" s="4">
        <f>IF(BB189="","",IF(BS189&lt;BB189,BQ189,BR189))</f>
        <v/>
      </c>
      <c r="BV189" s="4">
        <f>IF(BB189="","",(BT189+BU189)/2)</f>
        <v/>
      </c>
      <c r="BW189" s="4">
        <f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4">
        <f>IF(BB189="","",IF(BW189&lt;BB189,BV189,BT189))</f>
        <v/>
      </c>
      <c r="BY189" s="4">
        <f>IF(BB189="","",IF(BW189&lt;BB189,BU189,BV189))</f>
        <v/>
      </c>
      <c r="BZ189" s="4">
        <f>IF(BB189="","",(BX189+BY189)/2)</f>
        <v/>
      </c>
      <c r="CA189" s="4">
        <f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4">
        <f>IF(BB189="","",IF(CA189&lt;BB189,BZ189,BX189))</f>
        <v/>
      </c>
      <c r="CC189" s="4">
        <f>IF(BB189="","",IF(CA189&lt;BB189,BY189,BZ189))</f>
        <v/>
      </c>
      <c r="CD189" s="4">
        <f>IF(BB189="","",(CB189+CC189)/2)</f>
        <v/>
      </c>
      <c r="CE189" s="4">
        <f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4">
        <f>IF(BB189="","",IF(CE189&lt;BB189,CD189,CB189))</f>
        <v/>
      </c>
      <c r="CG189" s="4">
        <f>IF(BB189="","",IF(CE189&lt;BB189,CC189,CD189))</f>
        <v/>
      </c>
      <c r="CH189" s="4">
        <f>IF(BB189="","",(CF189+CG189)/2)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SUMIFS(CB_plan!$G:$G,CB_plan!$F:$F,$A190)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IF(A190="","",IF(H190="","",2.78E-7*IF(I190&lt;&gt;"",I190,IFERROR(SUMIFS(CB_plan!$H:$H,CB_plan!$F:$F,$A190)/SUMIFS(CB_plan!$G:$G,CB_plan!$F:$F,$A190),Inputs!$B$17))*H190*K190))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7">
        <f>IF(BB190="","",CH190)</f>
        <v/>
      </c>
      <c r="BA190" s="7">
        <f>IF(OR(BB190="",AZ190="",T190="",T190&lt;=0,AZ190&lt;=0),"",BB190/((T190^2/8)*(2*ACOS(1-2*AZ190/T190)-SIN(2*ACOS(1-2*AZ190/T190)))))</f>
        <v/>
      </c>
      <c r="BB190" s="4">
        <f>IF(OR(N190="",BC190=""),"",MIN(N190,BC190))</f>
        <v/>
      </c>
      <c r="BC190" s="4">
        <f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4">
        <f>IF(BB190="","",0.001*T190)</f>
        <v/>
      </c>
      <c r="BE190" s="4">
        <f>IF(BB190="","",0.94*T190)</f>
        <v/>
      </c>
      <c r="BF190" s="4">
        <f>IF(BB190="","",(BD190+BE190)/2)</f>
        <v/>
      </c>
      <c r="BG190" s="4">
        <f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4">
        <f>IF(BB190="","",IF(BG190&lt;BB190,BF190,BD190))</f>
        <v/>
      </c>
      <c r="BI190" s="4">
        <f>IF(BB190="","",IF(BG190&lt;BB190,BE190,BF190))</f>
        <v/>
      </c>
      <c r="BJ190" s="4">
        <f>IF(BB190="","",(BH190+BI190)/2)</f>
        <v/>
      </c>
      <c r="BK190" s="4">
        <f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4">
        <f>IF(BB190="","",IF(BK190&lt;BB190,BJ190,BH190))</f>
        <v/>
      </c>
      <c r="BM190" s="4">
        <f>IF(BB190="","",IF(BK190&lt;BB190,BI190,BJ190))</f>
        <v/>
      </c>
      <c r="BN190" s="4">
        <f>IF(BB190="","",(BL190+BM190)/2)</f>
        <v/>
      </c>
      <c r="BO190" s="4">
        <f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4">
        <f>IF(BB190="","",IF(BO190&lt;BB190,BN190,BL190))</f>
        <v/>
      </c>
      <c r="BQ190" s="4">
        <f>IF(BB190="","",IF(BO190&lt;BB190,BM190,BN190))</f>
        <v/>
      </c>
      <c r="BR190" s="4">
        <f>IF(BB190="","",(BP190+BQ190)/2)</f>
        <v/>
      </c>
      <c r="BS190" s="4">
        <f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4">
        <f>IF(BB190="","",IF(BS190&lt;BB190,BR190,BP190))</f>
        <v/>
      </c>
      <c r="BU190" s="4">
        <f>IF(BB190="","",IF(BS190&lt;BB190,BQ190,BR190))</f>
        <v/>
      </c>
      <c r="BV190" s="4">
        <f>IF(BB190="","",(BT190+BU190)/2)</f>
        <v/>
      </c>
      <c r="BW190" s="4">
        <f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4">
        <f>IF(BB190="","",IF(BW190&lt;BB190,BV190,BT190))</f>
        <v/>
      </c>
      <c r="BY190" s="4">
        <f>IF(BB190="","",IF(BW190&lt;BB190,BU190,BV190))</f>
        <v/>
      </c>
      <c r="BZ190" s="4">
        <f>IF(BB190="","",(BX190+BY190)/2)</f>
        <v/>
      </c>
      <c r="CA190" s="4">
        <f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4">
        <f>IF(BB190="","",IF(CA190&lt;BB190,BZ190,BX190))</f>
        <v/>
      </c>
      <c r="CC190" s="4">
        <f>IF(BB190="","",IF(CA190&lt;BB190,BY190,BZ190))</f>
        <v/>
      </c>
      <c r="CD190" s="4">
        <f>IF(BB190="","",(CB190+CC190)/2)</f>
        <v/>
      </c>
      <c r="CE190" s="4">
        <f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4">
        <f>IF(BB190="","",IF(CE190&lt;BB190,CD190,CB190))</f>
        <v/>
      </c>
      <c r="CG190" s="4">
        <f>IF(BB190="","",IF(CE190&lt;BB190,CC190,CD190))</f>
        <v/>
      </c>
      <c r="CH190" s="4">
        <f>IF(BB190="","",(CF190+CG190)/2)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SUMIFS(CB_plan!$G:$G,CB_plan!$F:$F,$A191)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IF(A191="","",IF(H191="","",2.78E-7*IF(I191&lt;&gt;"",I191,IFERROR(SUMIFS(CB_plan!$H:$H,CB_plan!$F:$F,$A191)/SUMIFS(CB_plan!$G:$G,CB_plan!$F:$F,$A191),Inputs!$B$17))*H191*K191))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7">
        <f>IF(BB191="","",CH191)</f>
        <v/>
      </c>
      <c r="BA191" s="7">
        <f>IF(OR(BB191="",AZ191="",T191="",T191&lt;=0,AZ191&lt;=0),"",BB191/((T191^2/8)*(2*ACOS(1-2*AZ191/T191)-SIN(2*ACOS(1-2*AZ191/T191)))))</f>
        <v/>
      </c>
      <c r="BB191" s="4">
        <f>IF(OR(N191="",BC191=""),"",MIN(N191,BC191))</f>
        <v/>
      </c>
      <c r="BC191" s="4">
        <f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4">
        <f>IF(BB191="","",0.001*T191)</f>
        <v/>
      </c>
      <c r="BE191" s="4">
        <f>IF(BB191="","",0.94*T191)</f>
        <v/>
      </c>
      <c r="BF191" s="4">
        <f>IF(BB191="","",(BD191+BE191)/2)</f>
        <v/>
      </c>
      <c r="BG191" s="4">
        <f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4">
        <f>IF(BB191="","",IF(BG191&lt;BB191,BF191,BD191))</f>
        <v/>
      </c>
      <c r="BI191" s="4">
        <f>IF(BB191="","",IF(BG191&lt;BB191,BE191,BF191))</f>
        <v/>
      </c>
      <c r="BJ191" s="4">
        <f>IF(BB191="","",(BH191+BI191)/2)</f>
        <v/>
      </c>
      <c r="BK191" s="4">
        <f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4">
        <f>IF(BB191="","",IF(BK191&lt;BB191,BJ191,BH191))</f>
        <v/>
      </c>
      <c r="BM191" s="4">
        <f>IF(BB191="","",IF(BK191&lt;BB191,BI191,BJ191))</f>
        <v/>
      </c>
      <c r="BN191" s="4">
        <f>IF(BB191="","",(BL191+BM191)/2)</f>
        <v/>
      </c>
      <c r="BO191" s="4">
        <f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4">
        <f>IF(BB191="","",IF(BO191&lt;BB191,BN191,BL191))</f>
        <v/>
      </c>
      <c r="BQ191" s="4">
        <f>IF(BB191="","",IF(BO191&lt;BB191,BM191,BN191))</f>
        <v/>
      </c>
      <c r="BR191" s="4">
        <f>IF(BB191="","",(BP191+BQ191)/2)</f>
        <v/>
      </c>
      <c r="BS191" s="4">
        <f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4">
        <f>IF(BB191="","",IF(BS191&lt;BB191,BR191,BP191))</f>
        <v/>
      </c>
      <c r="BU191" s="4">
        <f>IF(BB191="","",IF(BS191&lt;BB191,BQ191,BR191))</f>
        <v/>
      </c>
      <c r="BV191" s="4">
        <f>IF(BB191="","",(BT191+BU191)/2)</f>
        <v/>
      </c>
      <c r="BW191" s="4">
        <f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4">
        <f>IF(BB191="","",IF(BW191&lt;BB191,BV191,BT191))</f>
        <v/>
      </c>
      <c r="BY191" s="4">
        <f>IF(BB191="","",IF(BW191&lt;BB191,BU191,BV191))</f>
        <v/>
      </c>
      <c r="BZ191" s="4">
        <f>IF(BB191="","",(BX191+BY191)/2)</f>
        <v/>
      </c>
      <c r="CA191" s="4">
        <f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4">
        <f>IF(BB191="","",IF(CA191&lt;BB191,BZ191,BX191))</f>
        <v/>
      </c>
      <c r="CC191" s="4">
        <f>IF(BB191="","",IF(CA191&lt;BB191,BY191,BZ191))</f>
        <v/>
      </c>
      <c r="CD191" s="4">
        <f>IF(BB191="","",(CB191+CC191)/2)</f>
        <v/>
      </c>
      <c r="CE191" s="4">
        <f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4">
        <f>IF(BB191="","",IF(CE191&lt;BB191,CD191,CB191))</f>
        <v/>
      </c>
      <c r="CG191" s="4">
        <f>IF(BB191="","",IF(CE191&lt;BB191,CC191,CD191))</f>
        <v/>
      </c>
      <c r="CH191" s="4">
        <f>IF(BB191="","",(CF191+CG191)/2)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SUMIFS(CB_plan!$G:$G,CB_plan!$F:$F,$A192)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IF(A192="","",IF(H192="","",2.78E-7*IF(I192&lt;&gt;"",I192,IFERROR(SUMIFS(CB_plan!$H:$H,CB_plan!$F:$F,$A192)/SUMIFS(CB_plan!$G:$G,CB_plan!$F:$F,$A192),Inputs!$B$17))*H192*K192))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7">
        <f>IF(BB192="","",CH192)</f>
        <v/>
      </c>
      <c r="BA192" s="7">
        <f>IF(OR(BB192="",AZ192="",T192="",T192&lt;=0,AZ192&lt;=0),"",BB192/((T192^2/8)*(2*ACOS(1-2*AZ192/T192)-SIN(2*ACOS(1-2*AZ192/T192)))))</f>
        <v/>
      </c>
      <c r="BB192" s="4">
        <f>IF(OR(N192="",BC192=""),"",MIN(N192,BC192))</f>
        <v/>
      </c>
      <c r="BC192" s="4">
        <f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4">
        <f>IF(BB192="","",0.001*T192)</f>
        <v/>
      </c>
      <c r="BE192" s="4">
        <f>IF(BB192="","",0.94*T192)</f>
        <v/>
      </c>
      <c r="BF192" s="4">
        <f>IF(BB192="","",(BD192+BE192)/2)</f>
        <v/>
      </c>
      <c r="BG192" s="4">
        <f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4">
        <f>IF(BB192="","",IF(BG192&lt;BB192,BF192,BD192))</f>
        <v/>
      </c>
      <c r="BI192" s="4">
        <f>IF(BB192="","",IF(BG192&lt;BB192,BE192,BF192))</f>
        <v/>
      </c>
      <c r="BJ192" s="4">
        <f>IF(BB192="","",(BH192+BI192)/2)</f>
        <v/>
      </c>
      <c r="BK192" s="4">
        <f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4">
        <f>IF(BB192="","",IF(BK192&lt;BB192,BJ192,BH192))</f>
        <v/>
      </c>
      <c r="BM192" s="4">
        <f>IF(BB192="","",IF(BK192&lt;BB192,BI192,BJ192))</f>
        <v/>
      </c>
      <c r="BN192" s="4">
        <f>IF(BB192="","",(BL192+BM192)/2)</f>
        <v/>
      </c>
      <c r="BO192" s="4">
        <f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4">
        <f>IF(BB192="","",IF(BO192&lt;BB192,BN192,BL192))</f>
        <v/>
      </c>
      <c r="BQ192" s="4">
        <f>IF(BB192="","",IF(BO192&lt;BB192,BM192,BN192))</f>
        <v/>
      </c>
      <c r="BR192" s="4">
        <f>IF(BB192="","",(BP192+BQ192)/2)</f>
        <v/>
      </c>
      <c r="BS192" s="4">
        <f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4">
        <f>IF(BB192="","",IF(BS192&lt;BB192,BR192,BP192))</f>
        <v/>
      </c>
      <c r="BU192" s="4">
        <f>IF(BB192="","",IF(BS192&lt;BB192,BQ192,BR192))</f>
        <v/>
      </c>
      <c r="BV192" s="4">
        <f>IF(BB192="","",(BT192+BU192)/2)</f>
        <v/>
      </c>
      <c r="BW192" s="4">
        <f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4">
        <f>IF(BB192="","",IF(BW192&lt;BB192,BV192,BT192))</f>
        <v/>
      </c>
      <c r="BY192" s="4">
        <f>IF(BB192="","",IF(BW192&lt;BB192,BU192,BV192))</f>
        <v/>
      </c>
      <c r="BZ192" s="4">
        <f>IF(BB192="","",(BX192+BY192)/2)</f>
        <v/>
      </c>
      <c r="CA192" s="4">
        <f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4">
        <f>IF(BB192="","",IF(CA192&lt;BB192,BZ192,BX192))</f>
        <v/>
      </c>
      <c r="CC192" s="4">
        <f>IF(BB192="","",IF(CA192&lt;BB192,BY192,BZ192))</f>
        <v/>
      </c>
      <c r="CD192" s="4">
        <f>IF(BB192="","",(CB192+CC192)/2)</f>
        <v/>
      </c>
      <c r="CE192" s="4">
        <f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4">
        <f>IF(BB192="","",IF(CE192&lt;BB192,CD192,CB192))</f>
        <v/>
      </c>
      <c r="CG192" s="4">
        <f>IF(BB192="","",IF(CE192&lt;BB192,CC192,CD192))</f>
        <v/>
      </c>
      <c r="CH192" s="4">
        <f>IF(BB192="","",(CF192+CG192)/2)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SUMIFS(CB_plan!$G:$G,CB_plan!$F:$F,$A193)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IF(A193="","",IF(H193="","",2.78E-7*IF(I193&lt;&gt;"",I193,IFERROR(SUMIFS(CB_plan!$H:$H,CB_plan!$F:$F,$A193)/SUMIFS(CB_plan!$G:$G,CB_plan!$F:$F,$A193),Inputs!$B$17))*H193*K193))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7">
        <f>IF(BB193="","",CH193)</f>
        <v/>
      </c>
      <c r="BA193" s="7">
        <f>IF(OR(BB193="",AZ193="",T193="",T193&lt;=0,AZ193&lt;=0),"",BB193/((T193^2/8)*(2*ACOS(1-2*AZ193/T193)-SIN(2*ACOS(1-2*AZ193/T193)))))</f>
        <v/>
      </c>
      <c r="BB193" s="4">
        <f>IF(OR(N193="",BC193=""),"",MIN(N193,BC193))</f>
        <v/>
      </c>
      <c r="BC193" s="4">
        <f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4">
        <f>IF(BB193="","",0.001*T193)</f>
        <v/>
      </c>
      <c r="BE193" s="4">
        <f>IF(BB193="","",0.94*T193)</f>
        <v/>
      </c>
      <c r="BF193" s="4">
        <f>IF(BB193="","",(BD193+BE193)/2)</f>
        <v/>
      </c>
      <c r="BG193" s="4">
        <f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4">
        <f>IF(BB193="","",IF(BG193&lt;BB193,BF193,BD193))</f>
        <v/>
      </c>
      <c r="BI193" s="4">
        <f>IF(BB193="","",IF(BG193&lt;BB193,BE193,BF193))</f>
        <v/>
      </c>
      <c r="BJ193" s="4">
        <f>IF(BB193="","",(BH193+BI193)/2)</f>
        <v/>
      </c>
      <c r="BK193" s="4">
        <f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4">
        <f>IF(BB193="","",IF(BK193&lt;BB193,BJ193,BH193))</f>
        <v/>
      </c>
      <c r="BM193" s="4">
        <f>IF(BB193="","",IF(BK193&lt;BB193,BI193,BJ193))</f>
        <v/>
      </c>
      <c r="BN193" s="4">
        <f>IF(BB193="","",(BL193+BM193)/2)</f>
        <v/>
      </c>
      <c r="BO193" s="4">
        <f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4">
        <f>IF(BB193="","",IF(BO193&lt;BB193,BN193,BL193))</f>
        <v/>
      </c>
      <c r="BQ193" s="4">
        <f>IF(BB193="","",IF(BO193&lt;BB193,BM193,BN193))</f>
        <v/>
      </c>
      <c r="BR193" s="4">
        <f>IF(BB193="","",(BP193+BQ193)/2)</f>
        <v/>
      </c>
      <c r="BS193" s="4">
        <f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4">
        <f>IF(BB193="","",IF(BS193&lt;BB193,BR193,BP193))</f>
        <v/>
      </c>
      <c r="BU193" s="4">
        <f>IF(BB193="","",IF(BS193&lt;BB193,BQ193,BR193))</f>
        <v/>
      </c>
      <c r="BV193" s="4">
        <f>IF(BB193="","",(BT193+BU193)/2)</f>
        <v/>
      </c>
      <c r="BW193" s="4">
        <f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4">
        <f>IF(BB193="","",IF(BW193&lt;BB193,BV193,BT193))</f>
        <v/>
      </c>
      <c r="BY193" s="4">
        <f>IF(BB193="","",IF(BW193&lt;BB193,BU193,BV193))</f>
        <v/>
      </c>
      <c r="BZ193" s="4">
        <f>IF(BB193="","",(BX193+BY193)/2)</f>
        <v/>
      </c>
      <c r="CA193" s="4">
        <f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4">
        <f>IF(BB193="","",IF(CA193&lt;BB193,BZ193,BX193))</f>
        <v/>
      </c>
      <c r="CC193" s="4">
        <f>IF(BB193="","",IF(CA193&lt;BB193,BY193,BZ193))</f>
        <v/>
      </c>
      <c r="CD193" s="4">
        <f>IF(BB193="","",(CB193+CC193)/2)</f>
        <v/>
      </c>
      <c r="CE193" s="4">
        <f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4">
        <f>IF(BB193="","",IF(CE193&lt;BB193,CD193,CB193))</f>
        <v/>
      </c>
      <c r="CG193" s="4">
        <f>IF(BB193="","",IF(CE193&lt;BB193,CC193,CD193))</f>
        <v/>
      </c>
      <c r="CH193" s="4">
        <f>IF(BB193="","",(CF193+CG193)/2)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SUMIFS(CB_plan!$G:$G,CB_plan!$F:$F,$A194)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IF(A194="","",IF(H194="","",2.78E-7*IF(I194&lt;&gt;"",I194,IFERROR(SUMIFS(CB_plan!$H:$H,CB_plan!$F:$F,$A194)/SUMIFS(CB_plan!$G:$G,CB_plan!$F:$F,$A194),Inputs!$B$17))*H194*K194))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7">
        <f>IF(BB194="","",CH194)</f>
        <v/>
      </c>
      <c r="BA194" s="7">
        <f>IF(OR(BB194="",AZ194="",T194="",T194&lt;=0,AZ194&lt;=0),"",BB194/((T194^2/8)*(2*ACOS(1-2*AZ194/T194)-SIN(2*ACOS(1-2*AZ194/T194)))))</f>
        <v/>
      </c>
      <c r="BB194" s="4">
        <f>IF(OR(N194="",BC194=""),"",MIN(N194,BC194))</f>
        <v/>
      </c>
      <c r="BC194" s="4">
        <f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4">
        <f>IF(BB194="","",0.001*T194)</f>
        <v/>
      </c>
      <c r="BE194" s="4">
        <f>IF(BB194="","",0.94*T194)</f>
        <v/>
      </c>
      <c r="BF194" s="4">
        <f>IF(BB194="","",(BD194+BE194)/2)</f>
        <v/>
      </c>
      <c r="BG194" s="4">
        <f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4">
        <f>IF(BB194="","",IF(BG194&lt;BB194,BF194,BD194))</f>
        <v/>
      </c>
      <c r="BI194" s="4">
        <f>IF(BB194="","",IF(BG194&lt;BB194,BE194,BF194))</f>
        <v/>
      </c>
      <c r="BJ194" s="4">
        <f>IF(BB194="","",(BH194+BI194)/2)</f>
        <v/>
      </c>
      <c r="BK194" s="4">
        <f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4">
        <f>IF(BB194="","",IF(BK194&lt;BB194,BJ194,BH194))</f>
        <v/>
      </c>
      <c r="BM194" s="4">
        <f>IF(BB194="","",IF(BK194&lt;BB194,BI194,BJ194))</f>
        <v/>
      </c>
      <c r="BN194" s="4">
        <f>IF(BB194="","",(BL194+BM194)/2)</f>
        <v/>
      </c>
      <c r="BO194" s="4">
        <f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4">
        <f>IF(BB194="","",IF(BO194&lt;BB194,BN194,BL194))</f>
        <v/>
      </c>
      <c r="BQ194" s="4">
        <f>IF(BB194="","",IF(BO194&lt;BB194,BM194,BN194))</f>
        <v/>
      </c>
      <c r="BR194" s="4">
        <f>IF(BB194="","",(BP194+BQ194)/2)</f>
        <v/>
      </c>
      <c r="BS194" s="4">
        <f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4">
        <f>IF(BB194="","",IF(BS194&lt;BB194,BR194,BP194))</f>
        <v/>
      </c>
      <c r="BU194" s="4">
        <f>IF(BB194="","",IF(BS194&lt;BB194,BQ194,BR194))</f>
        <v/>
      </c>
      <c r="BV194" s="4">
        <f>IF(BB194="","",(BT194+BU194)/2)</f>
        <v/>
      </c>
      <c r="BW194" s="4">
        <f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4">
        <f>IF(BB194="","",IF(BW194&lt;BB194,BV194,BT194))</f>
        <v/>
      </c>
      <c r="BY194" s="4">
        <f>IF(BB194="","",IF(BW194&lt;BB194,BU194,BV194))</f>
        <v/>
      </c>
      <c r="BZ194" s="4">
        <f>IF(BB194="","",(BX194+BY194)/2)</f>
        <v/>
      </c>
      <c r="CA194" s="4">
        <f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4">
        <f>IF(BB194="","",IF(CA194&lt;BB194,BZ194,BX194))</f>
        <v/>
      </c>
      <c r="CC194" s="4">
        <f>IF(BB194="","",IF(CA194&lt;BB194,BY194,BZ194))</f>
        <v/>
      </c>
      <c r="CD194" s="4">
        <f>IF(BB194="","",(CB194+CC194)/2)</f>
        <v/>
      </c>
      <c r="CE194" s="4">
        <f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4">
        <f>IF(BB194="","",IF(CE194&lt;BB194,CD194,CB194))</f>
        <v/>
      </c>
      <c r="CG194" s="4">
        <f>IF(BB194="","",IF(CE194&lt;BB194,CC194,CD194))</f>
        <v/>
      </c>
      <c r="CH194" s="4">
        <f>IF(BB194="","",(CF194+CG194)/2)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SUMIFS(CB_plan!$G:$G,CB_plan!$F:$F,$A195)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IF(A195="","",IF(H195="","",2.78E-7*IF(I195&lt;&gt;"",I195,IFERROR(SUMIFS(CB_plan!$H:$H,CB_plan!$F:$F,$A195)/SUMIFS(CB_plan!$G:$G,CB_plan!$F:$F,$A195),Inputs!$B$17))*H195*K195))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7">
        <f>IF(BB195="","",CH195)</f>
        <v/>
      </c>
      <c r="BA195" s="7">
        <f>IF(OR(BB195="",AZ195="",T195="",T195&lt;=0,AZ195&lt;=0),"",BB195/((T195^2/8)*(2*ACOS(1-2*AZ195/T195)-SIN(2*ACOS(1-2*AZ195/T195)))))</f>
        <v/>
      </c>
      <c r="BB195" s="4">
        <f>IF(OR(N195="",BC195=""),"",MIN(N195,BC195))</f>
        <v/>
      </c>
      <c r="BC195" s="4">
        <f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4">
        <f>IF(BB195="","",0.001*T195)</f>
        <v/>
      </c>
      <c r="BE195" s="4">
        <f>IF(BB195="","",0.94*T195)</f>
        <v/>
      </c>
      <c r="BF195" s="4">
        <f>IF(BB195="","",(BD195+BE195)/2)</f>
        <v/>
      </c>
      <c r="BG195" s="4">
        <f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4">
        <f>IF(BB195="","",IF(BG195&lt;BB195,BF195,BD195))</f>
        <v/>
      </c>
      <c r="BI195" s="4">
        <f>IF(BB195="","",IF(BG195&lt;BB195,BE195,BF195))</f>
        <v/>
      </c>
      <c r="BJ195" s="4">
        <f>IF(BB195="","",(BH195+BI195)/2)</f>
        <v/>
      </c>
      <c r="BK195" s="4">
        <f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4">
        <f>IF(BB195="","",IF(BK195&lt;BB195,BJ195,BH195))</f>
        <v/>
      </c>
      <c r="BM195" s="4">
        <f>IF(BB195="","",IF(BK195&lt;BB195,BI195,BJ195))</f>
        <v/>
      </c>
      <c r="BN195" s="4">
        <f>IF(BB195="","",(BL195+BM195)/2)</f>
        <v/>
      </c>
      <c r="BO195" s="4">
        <f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4">
        <f>IF(BB195="","",IF(BO195&lt;BB195,BN195,BL195))</f>
        <v/>
      </c>
      <c r="BQ195" s="4">
        <f>IF(BB195="","",IF(BO195&lt;BB195,BM195,BN195))</f>
        <v/>
      </c>
      <c r="BR195" s="4">
        <f>IF(BB195="","",(BP195+BQ195)/2)</f>
        <v/>
      </c>
      <c r="BS195" s="4">
        <f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4">
        <f>IF(BB195="","",IF(BS195&lt;BB195,BR195,BP195))</f>
        <v/>
      </c>
      <c r="BU195" s="4">
        <f>IF(BB195="","",IF(BS195&lt;BB195,BQ195,BR195))</f>
        <v/>
      </c>
      <c r="BV195" s="4">
        <f>IF(BB195="","",(BT195+BU195)/2)</f>
        <v/>
      </c>
      <c r="BW195" s="4">
        <f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4">
        <f>IF(BB195="","",IF(BW195&lt;BB195,BV195,BT195))</f>
        <v/>
      </c>
      <c r="BY195" s="4">
        <f>IF(BB195="","",IF(BW195&lt;BB195,BU195,BV195))</f>
        <v/>
      </c>
      <c r="BZ195" s="4">
        <f>IF(BB195="","",(BX195+BY195)/2)</f>
        <v/>
      </c>
      <c r="CA195" s="4">
        <f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4">
        <f>IF(BB195="","",IF(CA195&lt;BB195,BZ195,BX195))</f>
        <v/>
      </c>
      <c r="CC195" s="4">
        <f>IF(BB195="","",IF(CA195&lt;BB195,BY195,BZ195))</f>
        <v/>
      </c>
      <c r="CD195" s="4">
        <f>IF(BB195="","",(CB195+CC195)/2)</f>
        <v/>
      </c>
      <c r="CE195" s="4">
        <f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4">
        <f>IF(BB195="","",IF(CE195&lt;BB195,CD195,CB195))</f>
        <v/>
      </c>
      <c r="CG195" s="4">
        <f>IF(BB195="","",IF(CE195&lt;BB195,CC195,CD195))</f>
        <v/>
      </c>
      <c r="CH195" s="4">
        <f>IF(BB195="","",(CF195+CG195)/2)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SUMIFS(CB_plan!$G:$G,CB_plan!$F:$F,$A196)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IF(A196="","",IF(H196="","",2.78E-7*IF(I196&lt;&gt;"",I196,IFERROR(SUMIFS(CB_plan!$H:$H,CB_plan!$F:$F,$A196)/SUMIFS(CB_plan!$G:$G,CB_plan!$F:$F,$A196),Inputs!$B$17))*H196*K196))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7">
        <f>IF(BB196="","",CH196)</f>
        <v/>
      </c>
      <c r="BA196" s="7">
        <f>IF(OR(BB196="",AZ196="",T196="",T196&lt;=0,AZ196&lt;=0),"",BB196/((T196^2/8)*(2*ACOS(1-2*AZ196/T196)-SIN(2*ACOS(1-2*AZ196/T196)))))</f>
        <v/>
      </c>
      <c r="BB196" s="4">
        <f>IF(OR(N196="",BC196=""),"",MIN(N196,BC196))</f>
        <v/>
      </c>
      <c r="BC196" s="4">
        <f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4">
        <f>IF(BB196="","",0.001*T196)</f>
        <v/>
      </c>
      <c r="BE196" s="4">
        <f>IF(BB196="","",0.94*T196)</f>
        <v/>
      </c>
      <c r="BF196" s="4">
        <f>IF(BB196="","",(BD196+BE196)/2)</f>
        <v/>
      </c>
      <c r="BG196" s="4">
        <f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4">
        <f>IF(BB196="","",IF(BG196&lt;BB196,BF196,BD196))</f>
        <v/>
      </c>
      <c r="BI196" s="4">
        <f>IF(BB196="","",IF(BG196&lt;BB196,BE196,BF196))</f>
        <v/>
      </c>
      <c r="BJ196" s="4">
        <f>IF(BB196="","",(BH196+BI196)/2)</f>
        <v/>
      </c>
      <c r="BK196" s="4">
        <f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4">
        <f>IF(BB196="","",IF(BK196&lt;BB196,BJ196,BH196))</f>
        <v/>
      </c>
      <c r="BM196" s="4">
        <f>IF(BB196="","",IF(BK196&lt;BB196,BI196,BJ196))</f>
        <v/>
      </c>
      <c r="BN196" s="4">
        <f>IF(BB196="","",(BL196+BM196)/2)</f>
        <v/>
      </c>
      <c r="BO196" s="4">
        <f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4">
        <f>IF(BB196="","",IF(BO196&lt;BB196,BN196,BL196))</f>
        <v/>
      </c>
      <c r="BQ196" s="4">
        <f>IF(BB196="","",IF(BO196&lt;BB196,BM196,BN196))</f>
        <v/>
      </c>
      <c r="BR196" s="4">
        <f>IF(BB196="","",(BP196+BQ196)/2)</f>
        <v/>
      </c>
      <c r="BS196" s="4">
        <f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4">
        <f>IF(BB196="","",IF(BS196&lt;BB196,BR196,BP196))</f>
        <v/>
      </c>
      <c r="BU196" s="4">
        <f>IF(BB196="","",IF(BS196&lt;BB196,BQ196,BR196))</f>
        <v/>
      </c>
      <c r="BV196" s="4">
        <f>IF(BB196="","",(BT196+BU196)/2)</f>
        <v/>
      </c>
      <c r="BW196" s="4">
        <f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4">
        <f>IF(BB196="","",IF(BW196&lt;BB196,BV196,BT196))</f>
        <v/>
      </c>
      <c r="BY196" s="4">
        <f>IF(BB196="","",IF(BW196&lt;BB196,BU196,BV196))</f>
        <v/>
      </c>
      <c r="BZ196" s="4">
        <f>IF(BB196="","",(BX196+BY196)/2)</f>
        <v/>
      </c>
      <c r="CA196" s="4">
        <f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4">
        <f>IF(BB196="","",IF(CA196&lt;BB196,BZ196,BX196))</f>
        <v/>
      </c>
      <c r="CC196" s="4">
        <f>IF(BB196="","",IF(CA196&lt;BB196,BY196,BZ196))</f>
        <v/>
      </c>
      <c r="CD196" s="4">
        <f>IF(BB196="","",(CB196+CC196)/2)</f>
        <v/>
      </c>
      <c r="CE196" s="4">
        <f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4">
        <f>IF(BB196="","",IF(CE196&lt;BB196,CD196,CB196))</f>
        <v/>
      </c>
      <c r="CG196" s="4">
        <f>IF(BB196="","",IF(CE196&lt;BB196,CC196,CD196))</f>
        <v/>
      </c>
      <c r="CH196" s="4">
        <f>IF(BB196="","",(CF196+CG196)/2)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SUMIFS(CB_plan!$G:$G,CB_plan!$F:$F,$A197)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IF(A197="","",IF(H197="","",2.78E-7*IF(I197&lt;&gt;"",I197,IFERROR(SUMIFS(CB_plan!$H:$H,CB_plan!$F:$F,$A197)/SUMIFS(CB_plan!$G:$G,CB_plan!$F:$F,$A197),Inputs!$B$17))*H197*K197))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7">
        <f>IF(BB197="","",CH197)</f>
        <v/>
      </c>
      <c r="BA197" s="7">
        <f>IF(OR(BB197="",AZ197="",T197="",T197&lt;=0,AZ197&lt;=0),"",BB197/((T197^2/8)*(2*ACOS(1-2*AZ197/T197)-SIN(2*ACOS(1-2*AZ197/T197)))))</f>
        <v/>
      </c>
      <c r="BB197" s="4">
        <f>IF(OR(N197="",BC197=""),"",MIN(N197,BC197))</f>
        <v/>
      </c>
      <c r="BC197" s="4">
        <f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4">
        <f>IF(BB197="","",0.001*T197)</f>
        <v/>
      </c>
      <c r="BE197" s="4">
        <f>IF(BB197="","",0.94*T197)</f>
        <v/>
      </c>
      <c r="BF197" s="4">
        <f>IF(BB197="","",(BD197+BE197)/2)</f>
        <v/>
      </c>
      <c r="BG197" s="4">
        <f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4">
        <f>IF(BB197="","",IF(BG197&lt;BB197,BF197,BD197))</f>
        <v/>
      </c>
      <c r="BI197" s="4">
        <f>IF(BB197="","",IF(BG197&lt;BB197,BE197,BF197))</f>
        <v/>
      </c>
      <c r="BJ197" s="4">
        <f>IF(BB197="","",(BH197+BI197)/2)</f>
        <v/>
      </c>
      <c r="BK197" s="4">
        <f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4">
        <f>IF(BB197="","",IF(BK197&lt;BB197,BJ197,BH197))</f>
        <v/>
      </c>
      <c r="BM197" s="4">
        <f>IF(BB197="","",IF(BK197&lt;BB197,BI197,BJ197))</f>
        <v/>
      </c>
      <c r="BN197" s="4">
        <f>IF(BB197="","",(BL197+BM197)/2)</f>
        <v/>
      </c>
      <c r="BO197" s="4">
        <f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4">
        <f>IF(BB197="","",IF(BO197&lt;BB197,BN197,BL197))</f>
        <v/>
      </c>
      <c r="BQ197" s="4">
        <f>IF(BB197="","",IF(BO197&lt;BB197,BM197,BN197))</f>
        <v/>
      </c>
      <c r="BR197" s="4">
        <f>IF(BB197="","",(BP197+BQ197)/2)</f>
        <v/>
      </c>
      <c r="BS197" s="4">
        <f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4">
        <f>IF(BB197="","",IF(BS197&lt;BB197,BR197,BP197))</f>
        <v/>
      </c>
      <c r="BU197" s="4">
        <f>IF(BB197="","",IF(BS197&lt;BB197,BQ197,BR197))</f>
        <v/>
      </c>
      <c r="BV197" s="4">
        <f>IF(BB197="","",(BT197+BU197)/2)</f>
        <v/>
      </c>
      <c r="BW197" s="4">
        <f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4">
        <f>IF(BB197="","",IF(BW197&lt;BB197,BV197,BT197))</f>
        <v/>
      </c>
      <c r="BY197" s="4">
        <f>IF(BB197="","",IF(BW197&lt;BB197,BU197,BV197))</f>
        <v/>
      </c>
      <c r="BZ197" s="4">
        <f>IF(BB197="","",(BX197+BY197)/2)</f>
        <v/>
      </c>
      <c r="CA197" s="4">
        <f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4">
        <f>IF(BB197="","",IF(CA197&lt;BB197,BZ197,BX197))</f>
        <v/>
      </c>
      <c r="CC197" s="4">
        <f>IF(BB197="","",IF(CA197&lt;BB197,BY197,BZ197))</f>
        <v/>
      </c>
      <c r="CD197" s="4">
        <f>IF(BB197="","",(CB197+CC197)/2)</f>
        <v/>
      </c>
      <c r="CE197" s="4">
        <f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4">
        <f>IF(BB197="","",IF(CE197&lt;BB197,CD197,CB197))</f>
        <v/>
      </c>
      <c r="CG197" s="4">
        <f>IF(BB197="","",IF(CE197&lt;BB197,CC197,CD197))</f>
        <v/>
      </c>
      <c r="CH197" s="4">
        <f>IF(BB197="","",(CF197+CG197)/2)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SUMIFS(CB_plan!$G:$G,CB_plan!$F:$F,$A198)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IF(A198="","",IF(H198="","",2.78E-7*IF(I198&lt;&gt;"",I198,IFERROR(SUMIFS(CB_plan!$H:$H,CB_plan!$F:$F,$A198)/SUMIFS(CB_plan!$G:$G,CB_plan!$F:$F,$A198),Inputs!$B$17))*H198*K198))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7">
        <f>IF(BB198="","",CH198)</f>
        <v/>
      </c>
      <c r="BA198" s="7">
        <f>IF(OR(BB198="",AZ198="",T198="",T198&lt;=0,AZ198&lt;=0),"",BB198/((T198^2/8)*(2*ACOS(1-2*AZ198/T198)-SIN(2*ACOS(1-2*AZ198/T198)))))</f>
        <v/>
      </c>
      <c r="BB198" s="4">
        <f>IF(OR(N198="",BC198=""),"",MIN(N198,BC198))</f>
        <v/>
      </c>
      <c r="BC198" s="4">
        <f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4">
        <f>IF(BB198="","",0.001*T198)</f>
        <v/>
      </c>
      <c r="BE198" s="4">
        <f>IF(BB198="","",0.94*T198)</f>
        <v/>
      </c>
      <c r="BF198" s="4">
        <f>IF(BB198="","",(BD198+BE198)/2)</f>
        <v/>
      </c>
      <c r="BG198" s="4">
        <f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4">
        <f>IF(BB198="","",IF(BG198&lt;BB198,BF198,BD198))</f>
        <v/>
      </c>
      <c r="BI198" s="4">
        <f>IF(BB198="","",IF(BG198&lt;BB198,BE198,BF198))</f>
        <v/>
      </c>
      <c r="BJ198" s="4">
        <f>IF(BB198="","",(BH198+BI198)/2)</f>
        <v/>
      </c>
      <c r="BK198" s="4">
        <f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4">
        <f>IF(BB198="","",IF(BK198&lt;BB198,BJ198,BH198))</f>
        <v/>
      </c>
      <c r="BM198" s="4">
        <f>IF(BB198="","",IF(BK198&lt;BB198,BI198,BJ198))</f>
        <v/>
      </c>
      <c r="BN198" s="4">
        <f>IF(BB198="","",(BL198+BM198)/2)</f>
        <v/>
      </c>
      <c r="BO198" s="4">
        <f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4">
        <f>IF(BB198="","",IF(BO198&lt;BB198,BN198,BL198))</f>
        <v/>
      </c>
      <c r="BQ198" s="4">
        <f>IF(BB198="","",IF(BO198&lt;BB198,BM198,BN198))</f>
        <v/>
      </c>
      <c r="BR198" s="4">
        <f>IF(BB198="","",(BP198+BQ198)/2)</f>
        <v/>
      </c>
      <c r="BS198" s="4">
        <f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4">
        <f>IF(BB198="","",IF(BS198&lt;BB198,BR198,BP198))</f>
        <v/>
      </c>
      <c r="BU198" s="4">
        <f>IF(BB198="","",IF(BS198&lt;BB198,BQ198,BR198))</f>
        <v/>
      </c>
      <c r="BV198" s="4">
        <f>IF(BB198="","",(BT198+BU198)/2)</f>
        <v/>
      </c>
      <c r="BW198" s="4">
        <f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4">
        <f>IF(BB198="","",IF(BW198&lt;BB198,BV198,BT198))</f>
        <v/>
      </c>
      <c r="BY198" s="4">
        <f>IF(BB198="","",IF(BW198&lt;BB198,BU198,BV198))</f>
        <v/>
      </c>
      <c r="BZ198" s="4">
        <f>IF(BB198="","",(BX198+BY198)/2)</f>
        <v/>
      </c>
      <c r="CA198" s="4">
        <f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4">
        <f>IF(BB198="","",IF(CA198&lt;BB198,BZ198,BX198))</f>
        <v/>
      </c>
      <c r="CC198" s="4">
        <f>IF(BB198="","",IF(CA198&lt;BB198,BY198,BZ198))</f>
        <v/>
      </c>
      <c r="CD198" s="4">
        <f>IF(BB198="","",(CB198+CC198)/2)</f>
        <v/>
      </c>
      <c r="CE198" s="4">
        <f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4">
        <f>IF(BB198="","",IF(CE198&lt;BB198,CD198,CB198))</f>
        <v/>
      </c>
      <c r="CG198" s="4">
        <f>IF(BB198="","",IF(CE198&lt;BB198,CC198,CD198))</f>
        <v/>
      </c>
      <c r="CH198" s="4">
        <f>IF(BB198="","",(CF198+CG198)/2)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SUMIFS(CB_plan!$G:$G,CB_plan!$F:$F,$A199)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IF(A199="","",IF(H199="","",2.78E-7*IF(I199&lt;&gt;"",I199,IFERROR(SUMIFS(CB_plan!$H:$H,CB_plan!$F:$F,$A199)/SUMIFS(CB_plan!$G:$G,CB_plan!$F:$F,$A199),Inputs!$B$17))*H199*K199))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7">
        <f>IF(BB199="","",CH199)</f>
        <v/>
      </c>
      <c r="BA199" s="7">
        <f>IF(OR(BB199="",AZ199="",T199="",T199&lt;=0,AZ199&lt;=0),"",BB199/((T199^2/8)*(2*ACOS(1-2*AZ199/T199)-SIN(2*ACOS(1-2*AZ199/T199)))))</f>
        <v/>
      </c>
      <c r="BB199" s="4">
        <f>IF(OR(N199="",BC199=""),"",MIN(N199,BC199))</f>
        <v/>
      </c>
      <c r="BC199" s="4">
        <f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4">
        <f>IF(BB199="","",0.001*T199)</f>
        <v/>
      </c>
      <c r="BE199" s="4">
        <f>IF(BB199="","",0.94*T199)</f>
        <v/>
      </c>
      <c r="BF199" s="4">
        <f>IF(BB199="","",(BD199+BE199)/2)</f>
        <v/>
      </c>
      <c r="BG199" s="4">
        <f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4">
        <f>IF(BB199="","",IF(BG199&lt;BB199,BF199,BD199))</f>
        <v/>
      </c>
      <c r="BI199" s="4">
        <f>IF(BB199="","",IF(BG199&lt;BB199,BE199,BF199))</f>
        <v/>
      </c>
      <c r="BJ199" s="4">
        <f>IF(BB199="","",(BH199+BI199)/2)</f>
        <v/>
      </c>
      <c r="BK199" s="4">
        <f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4">
        <f>IF(BB199="","",IF(BK199&lt;BB199,BJ199,BH199))</f>
        <v/>
      </c>
      <c r="BM199" s="4">
        <f>IF(BB199="","",IF(BK199&lt;BB199,BI199,BJ199))</f>
        <v/>
      </c>
      <c r="BN199" s="4">
        <f>IF(BB199="","",(BL199+BM199)/2)</f>
        <v/>
      </c>
      <c r="BO199" s="4">
        <f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4">
        <f>IF(BB199="","",IF(BO199&lt;BB199,BN199,BL199))</f>
        <v/>
      </c>
      <c r="BQ199" s="4">
        <f>IF(BB199="","",IF(BO199&lt;BB199,BM199,BN199))</f>
        <v/>
      </c>
      <c r="BR199" s="4">
        <f>IF(BB199="","",(BP199+BQ199)/2)</f>
        <v/>
      </c>
      <c r="BS199" s="4">
        <f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4">
        <f>IF(BB199="","",IF(BS199&lt;BB199,BR199,BP199))</f>
        <v/>
      </c>
      <c r="BU199" s="4">
        <f>IF(BB199="","",IF(BS199&lt;BB199,BQ199,BR199))</f>
        <v/>
      </c>
      <c r="BV199" s="4">
        <f>IF(BB199="","",(BT199+BU199)/2)</f>
        <v/>
      </c>
      <c r="BW199" s="4">
        <f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4">
        <f>IF(BB199="","",IF(BW199&lt;BB199,BV199,BT199))</f>
        <v/>
      </c>
      <c r="BY199" s="4">
        <f>IF(BB199="","",IF(BW199&lt;BB199,BU199,BV199))</f>
        <v/>
      </c>
      <c r="BZ199" s="4">
        <f>IF(BB199="","",(BX199+BY199)/2)</f>
        <v/>
      </c>
      <c r="CA199" s="4">
        <f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4">
        <f>IF(BB199="","",IF(CA199&lt;BB199,BZ199,BX199))</f>
        <v/>
      </c>
      <c r="CC199" s="4">
        <f>IF(BB199="","",IF(CA199&lt;BB199,BY199,BZ199))</f>
        <v/>
      </c>
      <c r="CD199" s="4">
        <f>IF(BB199="","",(CB199+CC199)/2)</f>
        <v/>
      </c>
      <c r="CE199" s="4">
        <f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4">
        <f>IF(BB199="","",IF(CE199&lt;BB199,CD199,CB199))</f>
        <v/>
      </c>
      <c r="CG199" s="4">
        <f>IF(BB199="","",IF(CE199&lt;BB199,CC199,CD199))</f>
        <v/>
      </c>
      <c r="CH199" s="4">
        <f>IF(BB199="","",(CF199+CG199)/2)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SUMIFS(CB_plan!$G:$G,CB_plan!$F:$F,$A200)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IF(A200="","",IF(H200="","",2.78E-7*IF(I200&lt;&gt;"",I200,IFERROR(SUMIFS(CB_plan!$H:$H,CB_plan!$F:$F,$A200)/SUMIFS(CB_plan!$G:$G,CB_plan!$F:$F,$A200),Inputs!$B$17))*H200*K200))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7">
        <f>IF(BB200="","",CH200)</f>
        <v/>
      </c>
      <c r="BA200" s="7">
        <f>IF(OR(BB200="",AZ200="",T200="",T200&lt;=0,AZ200&lt;=0),"",BB200/((T200^2/8)*(2*ACOS(1-2*AZ200/T200)-SIN(2*ACOS(1-2*AZ200/T200)))))</f>
        <v/>
      </c>
      <c r="BB200" s="4">
        <f>IF(OR(N200="",BC200=""),"",MIN(N200,BC200))</f>
        <v/>
      </c>
      <c r="BC200" s="4">
        <f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4">
        <f>IF(BB200="","",0.001*T200)</f>
        <v/>
      </c>
      <c r="BE200" s="4">
        <f>IF(BB200="","",0.94*T200)</f>
        <v/>
      </c>
      <c r="BF200" s="4">
        <f>IF(BB200="","",(BD200+BE200)/2)</f>
        <v/>
      </c>
      <c r="BG200" s="4">
        <f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4">
        <f>IF(BB200="","",IF(BG200&lt;BB200,BF200,BD200))</f>
        <v/>
      </c>
      <c r="BI200" s="4">
        <f>IF(BB200="","",IF(BG200&lt;BB200,BE200,BF200))</f>
        <v/>
      </c>
      <c r="BJ200" s="4">
        <f>IF(BB200="","",(BH200+BI200)/2)</f>
        <v/>
      </c>
      <c r="BK200" s="4">
        <f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4">
        <f>IF(BB200="","",IF(BK200&lt;BB200,BJ200,BH200))</f>
        <v/>
      </c>
      <c r="BM200" s="4">
        <f>IF(BB200="","",IF(BK200&lt;BB200,BI200,BJ200))</f>
        <v/>
      </c>
      <c r="BN200" s="4">
        <f>IF(BB200="","",(BL200+BM200)/2)</f>
        <v/>
      </c>
      <c r="BO200" s="4">
        <f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4">
        <f>IF(BB200="","",IF(BO200&lt;BB200,BN200,BL200))</f>
        <v/>
      </c>
      <c r="BQ200" s="4">
        <f>IF(BB200="","",IF(BO200&lt;BB200,BM200,BN200))</f>
        <v/>
      </c>
      <c r="BR200" s="4">
        <f>IF(BB200="","",(BP200+BQ200)/2)</f>
        <v/>
      </c>
      <c r="BS200" s="4">
        <f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4">
        <f>IF(BB200="","",IF(BS200&lt;BB200,BR200,BP200))</f>
        <v/>
      </c>
      <c r="BU200" s="4">
        <f>IF(BB200="","",IF(BS200&lt;BB200,BQ200,BR200))</f>
        <v/>
      </c>
      <c r="BV200" s="4">
        <f>IF(BB200="","",(BT200+BU200)/2)</f>
        <v/>
      </c>
      <c r="BW200" s="4">
        <f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4">
        <f>IF(BB200="","",IF(BW200&lt;BB200,BV200,BT200))</f>
        <v/>
      </c>
      <c r="BY200" s="4">
        <f>IF(BB200="","",IF(BW200&lt;BB200,BU200,BV200))</f>
        <v/>
      </c>
      <c r="BZ200" s="4">
        <f>IF(BB200="","",(BX200+BY200)/2)</f>
        <v/>
      </c>
      <c r="CA200" s="4">
        <f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4">
        <f>IF(BB200="","",IF(CA200&lt;BB200,BZ200,BX200))</f>
        <v/>
      </c>
      <c r="CC200" s="4">
        <f>IF(BB200="","",IF(CA200&lt;BB200,BY200,BZ200))</f>
        <v/>
      </c>
      <c r="CD200" s="4">
        <f>IF(BB200="","",(CB200+CC200)/2)</f>
        <v/>
      </c>
      <c r="CE200" s="4">
        <f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4">
        <f>IF(BB200="","",IF(CE200&lt;BB200,CD200,CB200))</f>
        <v/>
      </c>
      <c r="CG200" s="4">
        <f>IF(BB200="","",IF(CE200&lt;BB200,CC200,CD200))</f>
        <v/>
      </c>
      <c r="CH200" s="4">
        <f>IF(BB200="","",(CF200+CG200)/2)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SUMIFS(CB_plan!$G:$G,CB_plan!$F:$F,$A201)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IF(A201="","",IF(H201="","",2.78E-7*IF(I201&lt;&gt;"",I201,IFERROR(SUMIFS(CB_plan!$H:$H,CB_plan!$F:$F,$A201)/SUMIFS(CB_plan!$G:$G,CB_plan!$F:$F,$A201),Inputs!$B$17))*H201*K201))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7">
        <f>IF(BB201="","",CH201)</f>
        <v/>
      </c>
      <c r="BA201" s="7">
        <f>IF(OR(BB201="",AZ201="",T201="",T201&lt;=0,AZ201&lt;=0),"",BB201/((T201^2/8)*(2*ACOS(1-2*AZ201/T201)-SIN(2*ACOS(1-2*AZ201/T201)))))</f>
        <v/>
      </c>
      <c r="BB201" s="4">
        <f>IF(OR(N201="",BC201=""),"",MIN(N201,BC201))</f>
        <v/>
      </c>
      <c r="BC201" s="4">
        <f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4">
        <f>IF(BB201="","",0.001*T201)</f>
        <v/>
      </c>
      <c r="BE201" s="4">
        <f>IF(BB201="","",0.94*T201)</f>
        <v/>
      </c>
      <c r="BF201" s="4">
        <f>IF(BB201="","",(BD201+BE201)/2)</f>
        <v/>
      </c>
      <c r="BG201" s="4">
        <f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4">
        <f>IF(BB201="","",IF(BG201&lt;BB201,BF201,BD201))</f>
        <v/>
      </c>
      <c r="BI201" s="4">
        <f>IF(BB201="","",IF(BG201&lt;BB201,BE201,BF201))</f>
        <v/>
      </c>
      <c r="BJ201" s="4">
        <f>IF(BB201="","",(BH201+BI201)/2)</f>
        <v/>
      </c>
      <c r="BK201" s="4">
        <f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4">
        <f>IF(BB201="","",IF(BK201&lt;BB201,BJ201,BH201))</f>
        <v/>
      </c>
      <c r="BM201" s="4">
        <f>IF(BB201="","",IF(BK201&lt;BB201,BI201,BJ201))</f>
        <v/>
      </c>
      <c r="BN201" s="4">
        <f>IF(BB201="","",(BL201+BM201)/2)</f>
        <v/>
      </c>
      <c r="BO201" s="4">
        <f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4">
        <f>IF(BB201="","",IF(BO201&lt;BB201,BN201,BL201))</f>
        <v/>
      </c>
      <c r="BQ201" s="4">
        <f>IF(BB201="","",IF(BO201&lt;BB201,BM201,BN201))</f>
        <v/>
      </c>
      <c r="BR201" s="4">
        <f>IF(BB201="","",(BP201+BQ201)/2)</f>
        <v/>
      </c>
      <c r="BS201" s="4">
        <f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4">
        <f>IF(BB201="","",IF(BS201&lt;BB201,BR201,BP201))</f>
        <v/>
      </c>
      <c r="BU201" s="4">
        <f>IF(BB201="","",IF(BS201&lt;BB201,BQ201,BR201))</f>
        <v/>
      </c>
      <c r="BV201" s="4">
        <f>IF(BB201="","",(BT201+BU201)/2)</f>
        <v/>
      </c>
      <c r="BW201" s="4">
        <f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4">
        <f>IF(BB201="","",IF(BW201&lt;BB201,BV201,BT201))</f>
        <v/>
      </c>
      <c r="BY201" s="4">
        <f>IF(BB201="","",IF(BW201&lt;BB201,BU201,BV201))</f>
        <v/>
      </c>
      <c r="BZ201" s="4">
        <f>IF(BB201="","",(BX201+BY201)/2)</f>
        <v/>
      </c>
      <c r="CA201" s="4">
        <f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4">
        <f>IF(BB201="","",IF(CA201&lt;BB201,BZ201,BX201))</f>
        <v/>
      </c>
      <c r="CC201" s="4">
        <f>IF(BB201="","",IF(CA201&lt;BB201,BY201,BZ201))</f>
        <v/>
      </c>
      <c r="CD201" s="4">
        <f>IF(BB201="","",(CB201+CC201)/2)</f>
        <v/>
      </c>
      <c r="CE201" s="4">
        <f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4">
        <f>IF(BB201="","",IF(CE201&lt;BB201,CD201,CB201))</f>
        <v/>
      </c>
      <c r="CG201" s="4">
        <f>IF(BB201="","",IF(CE201&lt;BB201,CC201,CD201))</f>
        <v/>
      </c>
      <c r="CH201" s="4">
        <f>IF(BB201="","",(CF201+CG201)/2)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SUMIFS(CB_plan!$G:$G,CB_plan!$F:$F,$A202)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IF(A202="","",IF(H202="","",2.78E-7*IF(I202&lt;&gt;"",I202,IFERROR(SUMIFS(CB_plan!$H:$H,CB_plan!$F:$F,$A202)/SUMIFS(CB_plan!$G:$G,CB_plan!$F:$F,$A202),Inputs!$B$17))*H202*K202))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7">
        <f>IF(BB202="","",CH202)</f>
        <v/>
      </c>
      <c r="BA202" s="7">
        <f>IF(OR(BB202="",AZ202="",T202="",T202&lt;=0,AZ202&lt;=0),"",BB202/((T202^2/8)*(2*ACOS(1-2*AZ202/T202)-SIN(2*ACOS(1-2*AZ202/T202)))))</f>
        <v/>
      </c>
      <c r="BB202" s="4">
        <f>IF(OR(N202="",BC202=""),"",MIN(N202,BC202))</f>
        <v/>
      </c>
      <c r="BC202" s="4">
        <f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4">
        <f>IF(BB202="","",0.001*T202)</f>
        <v/>
      </c>
      <c r="BE202" s="4">
        <f>IF(BB202="","",0.94*T202)</f>
        <v/>
      </c>
      <c r="BF202" s="4">
        <f>IF(BB202="","",(BD202+BE202)/2)</f>
        <v/>
      </c>
      <c r="BG202" s="4">
        <f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4">
        <f>IF(BB202="","",IF(BG202&lt;BB202,BF202,BD202))</f>
        <v/>
      </c>
      <c r="BI202" s="4">
        <f>IF(BB202="","",IF(BG202&lt;BB202,BE202,BF202))</f>
        <v/>
      </c>
      <c r="BJ202" s="4">
        <f>IF(BB202="","",(BH202+BI202)/2)</f>
        <v/>
      </c>
      <c r="BK202" s="4">
        <f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4">
        <f>IF(BB202="","",IF(BK202&lt;BB202,BJ202,BH202))</f>
        <v/>
      </c>
      <c r="BM202" s="4">
        <f>IF(BB202="","",IF(BK202&lt;BB202,BI202,BJ202))</f>
        <v/>
      </c>
      <c r="BN202" s="4">
        <f>IF(BB202="","",(BL202+BM202)/2)</f>
        <v/>
      </c>
      <c r="BO202" s="4">
        <f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4">
        <f>IF(BB202="","",IF(BO202&lt;BB202,BN202,BL202))</f>
        <v/>
      </c>
      <c r="BQ202" s="4">
        <f>IF(BB202="","",IF(BO202&lt;BB202,BM202,BN202))</f>
        <v/>
      </c>
      <c r="BR202" s="4">
        <f>IF(BB202="","",(BP202+BQ202)/2)</f>
        <v/>
      </c>
      <c r="BS202" s="4">
        <f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4">
        <f>IF(BB202="","",IF(BS202&lt;BB202,BR202,BP202))</f>
        <v/>
      </c>
      <c r="BU202" s="4">
        <f>IF(BB202="","",IF(BS202&lt;BB202,BQ202,BR202))</f>
        <v/>
      </c>
      <c r="BV202" s="4">
        <f>IF(BB202="","",(BT202+BU202)/2)</f>
        <v/>
      </c>
      <c r="BW202" s="4">
        <f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4">
        <f>IF(BB202="","",IF(BW202&lt;BB202,BV202,BT202))</f>
        <v/>
      </c>
      <c r="BY202" s="4">
        <f>IF(BB202="","",IF(BW202&lt;BB202,BU202,BV202))</f>
        <v/>
      </c>
      <c r="BZ202" s="4">
        <f>IF(BB202="","",(BX202+BY202)/2)</f>
        <v/>
      </c>
      <c r="CA202" s="4">
        <f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4">
        <f>IF(BB202="","",IF(CA202&lt;BB202,BZ202,BX202))</f>
        <v/>
      </c>
      <c r="CC202" s="4">
        <f>IF(BB202="","",IF(CA202&lt;BB202,BY202,BZ202))</f>
        <v/>
      </c>
      <c r="CD202" s="4">
        <f>IF(BB202="","",(CB202+CC202)/2)</f>
        <v/>
      </c>
      <c r="CE202" s="4">
        <f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4">
        <f>IF(BB202="","",IF(CE202&lt;BB202,CD202,CB202))</f>
        <v/>
      </c>
      <c r="CG202" s="4">
        <f>IF(BB202="","",IF(CE202&lt;BB202,CC202,CD202))</f>
        <v/>
      </c>
      <c r="CH202" s="4">
        <f>IF(BB202="","",(CF202+CG202)/2)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SUMIFS(CB_plan!$G:$G,CB_plan!$F:$F,$A203)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IF(A203="","",IF(H203="","",2.78E-7*IF(I203&lt;&gt;"",I203,IFERROR(SUMIFS(CB_plan!$H:$H,CB_plan!$F:$F,$A203)/SUMIFS(CB_plan!$G:$G,CB_plan!$F:$F,$A203),Inputs!$B$17))*H203*K203))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7">
        <f>IF(BB203="","",CH203)</f>
        <v/>
      </c>
      <c r="BA203" s="7">
        <f>IF(OR(BB203="",AZ203="",T203="",T203&lt;=0,AZ203&lt;=0),"",BB203/((T203^2/8)*(2*ACOS(1-2*AZ203/T203)-SIN(2*ACOS(1-2*AZ203/T203)))))</f>
        <v/>
      </c>
      <c r="BB203" s="4">
        <f>IF(OR(N203="",BC203=""),"",MIN(N203,BC203))</f>
        <v/>
      </c>
      <c r="BC203" s="4">
        <f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4">
        <f>IF(BB203="","",0.001*T203)</f>
        <v/>
      </c>
      <c r="BE203" s="4">
        <f>IF(BB203="","",0.94*T203)</f>
        <v/>
      </c>
      <c r="BF203" s="4">
        <f>IF(BB203="","",(BD203+BE203)/2)</f>
        <v/>
      </c>
      <c r="BG203" s="4">
        <f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4">
        <f>IF(BB203="","",IF(BG203&lt;BB203,BF203,BD203))</f>
        <v/>
      </c>
      <c r="BI203" s="4">
        <f>IF(BB203="","",IF(BG203&lt;BB203,BE203,BF203))</f>
        <v/>
      </c>
      <c r="BJ203" s="4">
        <f>IF(BB203="","",(BH203+BI203)/2)</f>
        <v/>
      </c>
      <c r="BK203" s="4">
        <f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4">
        <f>IF(BB203="","",IF(BK203&lt;BB203,BJ203,BH203))</f>
        <v/>
      </c>
      <c r="BM203" s="4">
        <f>IF(BB203="","",IF(BK203&lt;BB203,BI203,BJ203))</f>
        <v/>
      </c>
      <c r="BN203" s="4">
        <f>IF(BB203="","",(BL203+BM203)/2)</f>
        <v/>
      </c>
      <c r="BO203" s="4">
        <f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4">
        <f>IF(BB203="","",IF(BO203&lt;BB203,BN203,BL203))</f>
        <v/>
      </c>
      <c r="BQ203" s="4">
        <f>IF(BB203="","",IF(BO203&lt;BB203,BM203,BN203))</f>
        <v/>
      </c>
      <c r="BR203" s="4">
        <f>IF(BB203="","",(BP203+BQ203)/2)</f>
        <v/>
      </c>
      <c r="BS203" s="4">
        <f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4">
        <f>IF(BB203="","",IF(BS203&lt;BB203,BR203,BP203))</f>
        <v/>
      </c>
      <c r="BU203" s="4">
        <f>IF(BB203="","",IF(BS203&lt;BB203,BQ203,BR203))</f>
        <v/>
      </c>
      <c r="BV203" s="4">
        <f>IF(BB203="","",(BT203+BU203)/2)</f>
        <v/>
      </c>
      <c r="BW203" s="4">
        <f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4">
        <f>IF(BB203="","",IF(BW203&lt;BB203,BV203,BT203))</f>
        <v/>
      </c>
      <c r="BY203" s="4">
        <f>IF(BB203="","",IF(BW203&lt;BB203,BU203,BV203))</f>
        <v/>
      </c>
      <c r="BZ203" s="4">
        <f>IF(BB203="","",(BX203+BY203)/2)</f>
        <v/>
      </c>
      <c r="CA203" s="4">
        <f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4">
        <f>IF(BB203="","",IF(CA203&lt;BB203,BZ203,BX203))</f>
        <v/>
      </c>
      <c r="CC203" s="4">
        <f>IF(BB203="","",IF(CA203&lt;BB203,BY203,BZ203))</f>
        <v/>
      </c>
      <c r="CD203" s="4">
        <f>IF(BB203="","",(CB203+CC203)/2)</f>
        <v/>
      </c>
      <c r="CE203" s="4">
        <f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4">
        <f>IF(BB203="","",IF(CE203&lt;BB203,CD203,CB203))</f>
        <v/>
      </c>
      <c r="CG203" s="4">
        <f>IF(BB203="","",IF(CE203&lt;BB203,CC203,CD203))</f>
        <v/>
      </c>
      <c r="CH203" s="4">
        <f>IF(BB203="","",(CF203+CG203)/2)</f>
        <v/>
      </c>
    </row>
  </sheetData>
  <mergeCells count="1">
    <mergeCell ref="A1:AV1"/>
  </mergeCells>
  <conditionalFormatting sqref="AE4:AE203">
    <cfRule type="expression" priority="10" dxfId="0">
      <formula>$AE4="CHECK"</formula>
    </cfRule>
  </conditionalFormatting>
  <conditionalFormatting sqref="V4:V203">
    <cfRule type="cellIs" priority="11" operator="greaterThan" dxfId="0">
      <formula>1</formula>
    </cfRule>
  </conditionalFormatting>
  <conditionalFormatting sqref="AC4:AC203">
    <cfRule type="expression" priority="12" dxfId="0">
      <formula>$AC4&lt;Inputs!$B$19</formula>
    </cfRule>
  </conditionalFormatting>
  <conditionalFormatting sqref="AD4:AD203">
    <cfRule type="expression" priority="13" dxfId="0">
      <formula>$AD4&lt;Inputs!$B$19</formula>
    </cfRule>
  </conditionalFormatting>
  <conditionalFormatting sqref="P4:P203">
    <cfRule type="expression" priority="14" dxfId="0">
      <formula>$P4&lt;Inputs!$B$7</formula>
    </cfRule>
    <cfRule type="expression" priority="15" dxfId="0">
      <formula>$P4&gt;Inputs!$B$8</formula>
    </cfRule>
  </conditionalFormatting>
  <conditionalFormatting sqref="W4:W203">
    <cfRule type="expression" priority="16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7" dxfId="0">
      <formula>=AND(OR(UPPER(TRIM(Inputs!$B$24))="MANNING",UPPER(TRIM(Inputs!$B$24))="M"),OR($AX4&lt;Inputs!$B$11,$AX4&gt;Inputs!$B$12))</formula>
    </cfRule>
  </conditionalFormatting>
  <conditionalFormatting sqref="BA4:BA203">
    <cfRule type="expression" priority="18" dxfId="0">
      <formula>=AND(OR(UPPER(TRIM(Inputs!$B$24))="PARTIAL",UPPER(TRIM(Inputs!$B$24))="P"),OR($BA4&lt;Inputs!$B$11,$BA4&gt;Inputs!$B$12))</formula>
    </cfRule>
  </conditionalFormatting>
  <conditionalFormatting sqref="AY4:AY203">
    <cfRule type="expression" priority="19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2026-06-28T23:14:52Z</dcterms:modified>
</cp:coreProperties>
</file>