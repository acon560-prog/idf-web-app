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8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Guide" sheetId="1" state="visible" r:id="rId3"/>
    <sheet name="Inputs" sheetId="2" state="visible" r:id="rId4"/>
    <sheet name="CB_Tributaires" sheetId="3" state="visible" r:id="rId5"/>
    <sheet name="Conduites" sheetId="4" state="visible" r:id="rId6"/>
    <sheet name="Noeuds_plan" sheetId="5" state="visible" r:id="rId7"/>
    <sheet name="CB_plan" sheetId="6" state="visible" r:id="rId8"/>
    <sheet name="Conduites_plan_noeuds" sheetId="7" state="visible" r:id="rId9"/>
    <sheet name="Profils_RP100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<sst xmlns="http://schemas.openxmlformats.org/spreadsheetml/2006/main" count="547" uniqueCount="284">
  <si>
    <t xml:space="preserve">RESEAU PLUVIAL - METHODE AVEC ELEVATION DE REFERENCE (EXUTOIRE DROITE)</t>
  </si>
  <si>
    <t xml:space="preserve">But: dimensionner diametres, pentes et radiers meme si le radier du reseau public aval est inconnu.</t>
  </si>
  <si>
    <t xml:space="preserve">Principe: choisir une elevation de reference a l exutoire (radier connu ou surface connue + profondeur de couverture).</t>
  </si>
  <si>
    <t xml:space="preserve">Onglet Inputs: definir les hypotheses hydrauliques, IDF et la liste de diametres disponibles.</t>
  </si>
  <si>
    <t xml:space="preserve">Onglet CB_Tributaires: entrer les surfaces de chaque puisard/catch basin et le Pipe_ID qui les recoit.</t>
  </si>
  <si>
    <t xml:space="preserve">Onglet Conduites: entrer Pipe_ID, pipe receveur aval, longueur, C, tc, pente manuelle (si connue), terrain amont/aval.</t>
  </si>
  <si>
    <t xml:space="preserve">Propagation des radiers: le pipe exutoire prend Inputs!B22; les pipes amont prennent le radier amont du pipe aval + chute de regard.</t>
  </si>
  <si>
    <t xml:space="preserve">Dimensionnement: Q_local (rationnelle) + Q amont cumulee -&gt; Q_total_design -&gt; diametre recommande par Manning.</t>
  </si>
  <si>
    <t xml:space="preserve">Controle: capacite, vitesse, pentes min/max, recouvrement mini.</t>
  </si>
  <si>
    <t xml:space="preserve">Important: les references Receives_into_Pipe_ID doivent pointer vers l aval (vers P_OUT).</t>
  </si>
  <si>
    <t xml:space="preserve">Utiliser d abord SURFACE si reseau public inconnu, puis recalibrer quand les radiers municipaux seront disponibles.</t>
  </si>
  <si>
    <t xml:space="preserve">Formules cle (texte simple):</t>
  </si>
  <si>
    <t xml:space="preserve">Q_local = 0.00278 * C * Area(m2) * i(mm/h)</t>
  </si>
  <si>
    <t xml:space="preserve">Q_total = (Q_local + somme Q amont) * facteur de securite</t>
  </si>
  <si>
    <t xml:space="preserve">Q_capacity = (1/n) * A * R^(2/3) * sqrt(S) (Manning, conduite pleine)</t>
  </si>
  <si>
    <t xml:space="preserve">radier_aval_exutoire = reference (radier) OU surface - profondeur de couverture</t>
  </si>
  <si>
    <t xml:space="preserve">Version 2 added: use Noeuds_plan + CB_plan + Conduites_plan_noeuds for node-by-node workflow.</t>
  </si>
  <si>
    <t xml:space="preserve">Workflow: (1) paste elevations in Noeuds_plan!C, (2) paste areas in CB_plan!C, (3) review lengths blanks in Conduites_plan_noeuds!E.</t>
  </si>
  <si>
    <t xml:space="preserve">New Tc logic: Tc_used = max(upstream Tc_used) + (Length / Tc_travel_velocity_mps).</t>
  </si>
  <si>
    <t xml:space="preserve">Start pipes are auto-detected when Upstream_pipe_count = 0; continuous pipes use upstream cumulative Tc.</t>
  </si>
  <si>
    <t xml:space="preserve">Set Tc_travel_velocity_mps in Inputs!B23 (default 1.0 m/s).</t>
  </si>
  <si>
    <t xml:space="preserve">Topology update (2026-06-26): P03 and P06 connect to RP100; RP100 discharges to public network.</t>
  </si>
  <si>
    <t xml:space="preserve">Removed wrong links: no P01-P04, no P04-P07, no P05-P08.</t>
  </si>
  <si>
    <t xml:space="preserve">Flow unit fix applied: Q_local uses 2.78E-7 with Area in m2.</t>
  </si>
  <si>
    <t xml:space="preserve">New tab Profils_RP100: branch profiles to RP100/PUB with Ground, Invert, Crown and EGL (approx).</t>
  </si>
  <si>
    <t xml:space="preserve">Conduites_plan_noeuds now highlights non-compliant inputs in red (V/W/AC/AD/P and CHECK status).</t>
  </si>
  <si>
    <t xml:space="preserve">ENCADRE REGLEMENTAIRE - VILLE DE SOREL-TRACY (REFERENCE PROJET)</t>
  </si>
  <si>
    <t xml:space="preserve">Source: Reglement no 2098 - branchements a l egout (document municipal public).</t>
  </si>
  <si>
    <t xml:space="preserve">Art. 14 (branchement gravitaire): couverture minimale de 2,15 m sous le terrain fini a l emprise de rue.</t>
  </si>
  <si>
    <t xml:space="preserve">Art. 10: le proprietaire doit demander a la Ville la profondeur et la localisation exactes de la canalisation municipale.</t>
  </si>
  <si>
    <t xml:space="preserve">Interpretation pratique pour ce classeur: utiliser 2,15 m comme garde minimale initiale de branchement, puis confirmer avec le Service du genie/Travaux publics.</t>
  </si>
  <si>
    <t xml:space="preserve">Important: les valeurs finales de radiers/profils doivent toujours etre validees par les donnees officielles de la Ville (plans/as-built/TQC).</t>
  </si>
  <si>
    <t xml:space="preserve">Note modelisation: Inputs!B19 reste parametre de projet; pour branchement Sorel-Tracy, verifier si 2,15 m doit s appliquer au segment considere.</t>
  </si>
  <si>
    <t xml:space="preserve">Velocity criteria update: three velocities are now calculated in conduites tabs.</t>
  </si>
  <si>
    <t xml:space="preserve">Design: V=Q/A; Manning full: V=(1/n)*(R^(2/3))*sqrt(S); Partial: iterative Manning free-surface depth.</t>
  </si>
  <si>
    <t xml:space="preserve">Select criterion with Inputs!B24: DESIGN, MANNING, PARTIAL, or MAX (conservative).</t>
  </si>
  <si>
    <t xml:space="preserve">INPUTS</t>
  </si>
  <si>
    <t xml:space="preserve">Parametre</t>
  </si>
  <si>
    <t xml:space="preserve">Valeur</t>
  </si>
  <si>
    <t xml:space="preserve">Unite</t>
  </si>
  <si>
    <t xml:space="preserve">Commentaire</t>
  </si>
  <si>
    <t xml:space="preserve">Reference_Type (INVERT or SURFACE)</t>
  </si>
  <si>
    <t xml:space="preserve">SURFACE</t>
  </si>
  <si>
    <t xml:space="preserve">-</t>
  </si>
  <si>
    <t xml:space="preserve">SURFACE quand radier reseau public inconnu.</t>
  </si>
  <si>
    <t xml:space="preserve">Diametres disponibles (mm)</t>
  </si>
  <si>
    <t xml:space="preserve">Outfall_reference_elevation_m</t>
  </si>
  <si>
    <t xml:space="preserve">m</t>
  </si>
  <si>
    <t xml:space="preserve">Si SURFACE: niveau terrain exutoire. Si INVERT: radier exutoire.</t>
  </si>
  <si>
    <t xml:space="preserve">Outfall_cover_depth_if_surface_m</t>
  </si>
  <si>
    <t xml:space="preserve">Profondeur terrain-&gt;radier a l exutoire (si SURFACE).</t>
  </si>
  <si>
    <t xml:space="preserve">Outfall_pipe_ID</t>
  </si>
  <si>
    <t xml:space="preserve">L11_RP100_PUB</t>
  </si>
  <si>
    <t xml:space="preserve">Pipe qui se connecte au reseau public (droite).</t>
  </si>
  <si>
    <t xml:space="preserve">Min_slope_m_per_m</t>
  </si>
  <si>
    <t xml:space="preserve">m/m</t>
  </si>
  <si>
    <t xml:space="preserve">Pente minimale de controle.</t>
  </si>
  <si>
    <t xml:space="preserve">Max_slope_m_per_m</t>
  </si>
  <si>
    <t xml:space="preserve">Pente maximale de controle.</t>
  </si>
  <si>
    <t xml:space="preserve">Manning_n</t>
  </si>
  <si>
    <t xml:space="preserve">Rugosite Manning.</t>
  </si>
  <si>
    <t xml:space="preserve">Design_fill_ratio_limit</t>
  </si>
  <si>
    <t xml:space="preserve">Q/(Q pleine) admissible.</t>
  </si>
  <si>
    <t xml:space="preserve">Min_velocity_mps</t>
  </si>
  <si>
    <t xml:space="preserve">m/s</t>
  </si>
  <si>
    <t xml:space="preserve">Vitesse minimale souhaitee.</t>
  </si>
  <si>
    <t xml:space="preserve">Max_velocity_mps</t>
  </si>
  <si>
    <t xml:space="preserve">Vitesse maximale souhaitee.</t>
  </si>
  <si>
    <t xml:space="preserve">IDF_a</t>
  </si>
  <si>
    <t xml:space="preserve">i = a/(tc+b)^c</t>
  </si>
  <si>
    <t xml:space="preserve">IDF_b</t>
  </si>
  <si>
    <t xml:space="preserve">min</t>
  </si>
  <si>
    <t xml:space="preserve">Parametre IDF b.</t>
  </si>
  <si>
    <t xml:space="preserve">IDF_c</t>
  </si>
  <si>
    <t xml:space="preserve">Parametre IDF c.</t>
  </si>
  <si>
    <t xml:space="preserve">Flow_safety_factor</t>
  </si>
  <si>
    <t xml:space="preserve">Facteur applique a Q total.</t>
  </si>
  <si>
    <t xml:space="preserve">Default_runoff_C</t>
  </si>
  <si>
    <t xml:space="preserve">Utilise si C local non renseigne.</t>
  </si>
  <si>
    <t xml:space="preserve">Default_tc_min</t>
  </si>
  <si>
    <t xml:space="preserve">Utilise si tc local non renseigne.</t>
  </si>
  <si>
    <t xml:space="preserve">Min_cover_depth_m</t>
  </si>
  <si>
    <t xml:space="preserve">Recouvrement mini de controle.</t>
  </si>
  <si>
    <t xml:space="preserve">Default_junction_drop_m</t>
  </si>
  <si>
    <t xml:space="preserve">Chute de regard par defaut.</t>
  </si>
  <si>
    <t xml:space="preserve">Outfall_invert_derived_m</t>
  </si>
  <si>
    <t xml:space="preserve">Tc_travel_velocity_mps</t>
  </si>
  <si>
    <t xml:space="preserve">Velocity used to compute travel time per pipe for cumulative Tc logic.</t>
  </si>
  <si>
    <t xml:space="preserve">Velocity_check_method (DESIGN / MANNING / PARTIAL / MAX)</t>
  </si>
  <si>
    <t xml:space="preserve">MAX</t>
  </si>
  <si>
    <t xml:space="preserve">DESIGN=Q/A; MANNING=V full via Manning; PARTIAL=iterative Manning partial depth; MAX=most conservative.</t>
  </si>
  <si>
    <t xml:space="preserve">AREAS TRIBUTAIRES PAR CATCH BASIN</t>
  </si>
  <si>
    <t xml:space="preserve">CB_ID</t>
  </si>
  <si>
    <t xml:space="preserve">Receives_into_Pipe_ID</t>
  </si>
  <si>
    <t xml:space="preserve">Area_m2</t>
  </si>
  <si>
    <t xml:space="preserve">Runoff_C</t>
  </si>
  <si>
    <t xml:space="preserve">Area_x_C</t>
  </si>
  <si>
    <t xml:space="preserve">Notes</t>
  </si>
  <si>
    <t xml:space="preserve">DIMENSIONNEMENT ET PROFIL - CONDUITES VERS EXUTOIRE DROITE</t>
  </si>
  <si>
    <t xml:space="preserve">Network_status</t>
  </si>
  <si>
    <t xml:space="preserve">Pipes_with_checks</t>
  </si>
  <si>
    <t xml:space="preserve">Pipe_ID</t>
  </si>
  <si>
    <t xml:space="preserve">Length_m</t>
  </si>
  <si>
    <t xml:space="preserve">Area_local_override_m2</t>
  </si>
  <si>
    <t xml:space="preserve">Area_from_CB_m2</t>
  </si>
  <si>
    <t xml:space="preserve">Area_used_m2</t>
  </si>
  <si>
    <t xml:space="preserve">C_local</t>
  </si>
  <si>
    <t xml:space="preserve">Tc_local_min</t>
  </si>
  <si>
    <t xml:space="preserve">Intensity_mmh</t>
  </si>
  <si>
    <t xml:space="preserve">Q_local_m3s</t>
  </si>
  <si>
    <t xml:space="preserve">Q_from_upstream_m3s</t>
  </si>
  <si>
    <t xml:space="preserve">Q_total_design_m3s</t>
  </si>
  <si>
    <t xml:space="preserve">Slope_manual_m/m</t>
  </si>
  <si>
    <t xml:space="preserve">Slope_used_m/m</t>
  </si>
  <si>
    <t xml:space="preserve">Dia_recommended_mm</t>
  </si>
  <si>
    <t xml:space="preserve">Dia_override_mm</t>
  </si>
  <si>
    <t xml:space="preserve">Dia_used_mm</t>
  </si>
  <si>
    <t xml:space="preserve">Dia_used_m</t>
  </si>
  <si>
    <t xml:space="preserve">Capacity_full_m3s</t>
  </si>
  <si>
    <t xml:space="preserve">Q_over_capacity_ratio</t>
  </si>
  <si>
    <t xml:space="preserve">Velocity_design_QA_mps</t>
  </si>
  <si>
    <t xml:space="preserve">Junction_drop_m</t>
  </si>
  <si>
    <t xml:space="preserve">Invert_down_m</t>
  </si>
  <si>
    <t xml:space="preserve">Invert_up_m</t>
  </si>
  <si>
    <t xml:space="preserve">Ground_down_m</t>
  </si>
  <si>
    <t xml:space="preserve">Ground_up_m</t>
  </si>
  <si>
    <t xml:space="preserve">Cover_down_m</t>
  </si>
  <si>
    <t xml:space="preserve">Cover_up_m</t>
  </si>
  <si>
    <t xml:space="preserve">Checks</t>
  </si>
  <si>
    <t xml:space="preserve">Cap_5</t>
  </si>
  <si>
    <t xml:space="preserve">Cap_6</t>
  </si>
  <si>
    <t xml:space="preserve">Cap_7</t>
  </si>
  <si>
    <t xml:space="preserve">Cap_8</t>
  </si>
  <si>
    <t xml:space="preserve">Cap_9</t>
  </si>
  <si>
    <t xml:space="preserve">Cap_10</t>
  </si>
  <si>
    <t xml:space="preserve">Cap_11</t>
  </si>
  <si>
    <t xml:space="preserve">Cap_12</t>
  </si>
  <si>
    <t xml:space="preserve">Cap_13</t>
  </si>
  <si>
    <t xml:space="preserve">Cap_14</t>
  </si>
  <si>
    <t xml:space="preserve">Upstream_pipe_count</t>
  </si>
  <si>
    <t xml:space="preserve">Pipe_role</t>
  </si>
  <si>
    <t xml:space="preserve">Tc_start_base_min</t>
  </si>
  <si>
    <t xml:space="preserve">Tc_prev_upstream_max_min</t>
  </si>
  <si>
    <t xml:space="preserve">t_travel_pipe_min</t>
  </si>
  <si>
    <t xml:space="preserve">Tc_used_min</t>
  </si>
  <si>
    <t xml:space="preserve">Velocity_design_QA_mps_copy</t>
  </si>
  <si>
    <t xml:space="preserve">Velocity_manning_full_mps</t>
  </si>
  <si>
    <t xml:space="preserve">Velocity_used_for_check_mps</t>
  </si>
  <si>
    <t xml:space="preserve">Depth_partial_iter_m</t>
  </si>
  <si>
    <t xml:space="preserve">Velocity_partial_iter_mps</t>
  </si>
  <si>
    <t xml:space="preserve">Q_target_partial_m3s</t>
  </si>
  <si>
    <t xml:space="preserve">Q_cap_open_0p94D_m3s</t>
  </si>
  <si>
    <t xml:space="preserve">low0</t>
  </si>
  <si>
    <t xml:space="preserve">high0</t>
  </si>
  <si>
    <t xml:space="preserve">mid1</t>
  </si>
  <si>
    <t xml:space="preserve">q1</t>
  </si>
  <si>
    <t xml:space="preserve">low1</t>
  </si>
  <si>
    <t xml:space="preserve">high1</t>
  </si>
  <si>
    <t xml:space="preserve">mid2</t>
  </si>
  <si>
    <t xml:space="preserve">q2</t>
  </si>
  <si>
    <t xml:space="preserve">low2</t>
  </si>
  <si>
    <t xml:space="preserve">high2</t>
  </si>
  <si>
    <t xml:space="preserve">mid3</t>
  </si>
  <si>
    <t xml:space="preserve">q3</t>
  </si>
  <si>
    <t xml:space="preserve">low3</t>
  </si>
  <si>
    <t xml:space="preserve">high3</t>
  </si>
  <si>
    <t xml:space="preserve">mid4</t>
  </si>
  <si>
    <t xml:space="preserve">q4</t>
  </si>
  <si>
    <t xml:space="preserve">low4</t>
  </si>
  <si>
    <t xml:space="preserve">high4</t>
  </si>
  <si>
    <t xml:space="preserve">mid5</t>
  </si>
  <si>
    <t xml:space="preserve">q5</t>
  </si>
  <si>
    <t xml:space="preserve">low5</t>
  </si>
  <si>
    <t xml:space="preserve">high5</t>
  </si>
  <si>
    <t xml:space="preserve">mid6</t>
  </si>
  <si>
    <t xml:space="preserve">q6</t>
  </si>
  <si>
    <t xml:space="preserve">low6</t>
  </si>
  <si>
    <t xml:space="preserve">high6</t>
  </si>
  <si>
    <t xml:space="preserve">mid7</t>
  </si>
  <si>
    <t xml:space="preserve">q7</t>
  </si>
  <si>
    <t xml:space="preserve">low7</t>
  </si>
  <si>
    <t xml:space="preserve">high7</t>
  </si>
  <si>
    <t xml:space="preserve">mid8</t>
  </si>
  <si>
    <t xml:space="preserve">P01</t>
  </si>
  <si>
    <t xml:space="preserve">P02</t>
  </si>
  <si>
    <t xml:space="preserve">P06</t>
  </si>
  <si>
    <t xml:space="preserve">P03</t>
  </si>
  <si>
    <t xml:space="preserve">P04</t>
  </si>
  <si>
    <t xml:space="preserve">P05</t>
  </si>
  <si>
    <t xml:space="preserve">P07</t>
  </si>
  <si>
    <t xml:space="preserve">P08</t>
  </si>
  <si>
    <t xml:space="preserve">P09</t>
  </si>
  <si>
    <t xml:space="preserve">P10</t>
  </si>
  <si>
    <t xml:space="preserve">P_OUT</t>
  </si>
  <si>
    <t xml:space="preserve">NOEUDS PLAN (TOPOLOGIE CORRIGEE)</t>
  </si>
  <si>
    <t xml:space="preserve">Node_ID</t>
  </si>
  <si>
    <t xml:space="preserve">Downstream_Node_ID</t>
  </si>
  <si>
    <t xml:space="preserve">Ground_elev_m (input)</t>
  </si>
  <si>
    <t xml:space="preserve">Target_cover_depth_m</t>
  </si>
  <si>
    <t xml:space="preserve">Invert_if_manual_m</t>
  </si>
  <si>
    <t xml:space="preserve">Top-left</t>
  </si>
  <si>
    <t xml:space="preserve">Top-center; also branch to P05 (pipe L12)</t>
  </si>
  <si>
    <t xml:space="preserve">RP100</t>
  </si>
  <si>
    <t xml:space="preserve">Top-right to RP-100</t>
  </si>
  <si>
    <t xml:space="preserve">Mid-left</t>
  </si>
  <si>
    <t xml:space="preserve">Mid-center</t>
  </si>
  <si>
    <t xml:space="preserve">Mid-right to RP-100</t>
  </si>
  <si>
    <t xml:space="preserve">Lower-left</t>
  </si>
  <si>
    <t xml:space="preserve">Lower-center</t>
  </si>
  <si>
    <t xml:space="preserve">Lower-right up to P06</t>
  </si>
  <si>
    <t xml:space="preserve">P010</t>
  </si>
  <si>
    <t xml:space="preserve">Bottom-left to P07</t>
  </si>
  <si>
    <t xml:space="preserve">PUB</t>
  </si>
  <si>
    <t xml:space="preserve">Junction node before public network</t>
  </si>
  <si>
    <t xml:space="preserve">Public network tie-in</t>
  </si>
  <si>
    <t xml:space="preserve">SOUS-BASSINS (A..O) - AIRES PRECHARGEES IMAGE MODIFIEE</t>
  </si>
  <si>
    <t xml:space="preserve">CB_or_Zone</t>
  </si>
  <si>
    <t xml:space="preserve">Area_m2 (input)</t>
  </si>
  <si>
    <t xml:space="preserve">Runoff_C (input)</t>
  </si>
  <si>
    <t xml:space="preserve">Node_hint</t>
  </si>
  <si>
    <t xml:space="preserve">A</t>
  </si>
  <si>
    <t xml:space="preserve">L01_P01_P02</t>
  </si>
  <si>
    <t xml:space="preserve">From annotated plan.</t>
  </si>
  <si>
    <t xml:space="preserve">B</t>
  </si>
  <si>
    <t xml:space="preserve">L02_P02_P03</t>
  </si>
  <si>
    <t xml:space="preserve">C</t>
  </si>
  <si>
    <t xml:space="preserve">L03_P03_RP100</t>
  </si>
  <si>
    <t xml:space="preserve">D</t>
  </si>
  <si>
    <t xml:space="preserve">L04_P04_P05</t>
  </si>
  <si>
    <t xml:space="preserve">E</t>
  </si>
  <si>
    <t xml:space="preserve">P04-P05</t>
  </si>
  <si>
    <t xml:space="preserve">F</t>
  </si>
  <si>
    <t xml:space="preserve">L05_P05_P06</t>
  </si>
  <si>
    <t xml:space="preserve">P05-P06</t>
  </si>
  <si>
    <t xml:space="preserve">G</t>
  </si>
  <si>
    <t xml:space="preserve">L06_P06_RP100</t>
  </si>
  <si>
    <t xml:space="preserve">From annotated plan; verify blanks (G/J/K) if needed.</t>
  </si>
  <si>
    <t xml:space="preserve">H</t>
  </si>
  <si>
    <t xml:space="preserve">L07_P07_P08</t>
  </si>
  <si>
    <t xml:space="preserve">I</t>
  </si>
  <si>
    <t xml:space="preserve">L08_P08_P09</t>
  </si>
  <si>
    <t xml:space="preserve">J</t>
  </si>
  <si>
    <t xml:space="preserve">L09_P09_P06</t>
  </si>
  <si>
    <t xml:space="preserve">K</t>
  </si>
  <si>
    <t xml:space="preserve">P06/P09 flank</t>
  </si>
  <si>
    <t xml:space="preserve">L</t>
  </si>
  <si>
    <t xml:space="preserve">L10_P010_P07</t>
  </si>
  <si>
    <t xml:space="preserve">M</t>
  </si>
  <si>
    <t xml:space="preserve">P07-P08</t>
  </si>
  <si>
    <t xml:space="preserve">N</t>
  </si>
  <si>
    <t xml:space="preserve">P08-P09</t>
  </si>
  <si>
    <t xml:space="preserve">O</t>
  </si>
  <si>
    <t xml:space="preserve">P010 corridor</t>
  </si>
  <si>
    <t xml:space="preserve">CONDUITES PLAN NOEUD-PAR-NOEUD (TOPOLOGIE CORRIGEE + Tc CUMULE)</t>
  </si>
  <si>
    <t xml:space="preserve">From_Node</t>
  </si>
  <si>
    <t xml:space="preserve">To_Node</t>
  </si>
  <si>
    <t xml:space="preserve">Area_override_m2</t>
  </si>
  <si>
    <t xml:space="preserve">Top horizontal</t>
  </si>
  <si>
    <t xml:space="preserve">Top horizontal (from image)</t>
  </si>
  <si>
    <t xml:space="preserve">Connection P03 -&gt; RP100 (from image)</t>
  </si>
  <si>
    <t xml:space="preserve">Middle horizontal</t>
  </si>
  <si>
    <t xml:space="preserve">Connection P06 -&gt; RP100 (verify if needed)</t>
  </si>
  <si>
    <t xml:space="preserve">Lower horizontal</t>
  </si>
  <si>
    <t xml:space="preserve">Vertical/right connector (fill length)</t>
  </si>
  <si>
    <t xml:space="preserve">P010 to P07 connection (fill length)</t>
  </si>
  <si>
    <t xml:space="preserve">RP100 to public network</t>
  </si>
  <si>
    <t xml:space="preserve">L12_P02_P05</t>
  </si>
  <si>
    <t xml:space="preserve">Center vertical connector if present</t>
  </si>
  <si>
    <t xml:space="preserve">PROFILS HYDRAULIQUES VERS RP100 ET RACCORDEMENT RESEAU PUBLIC</t>
  </si>
  <si>
    <t xml:space="preserve">EGL approximation in this tab: EGL = Invert + 0.8*Dia + V^2/(2*g), g=9.81 m/s2.</t>
  </si>
  <si>
    <t xml:space="preserve">Use Conduites_plan_noeuds as master calculations; these plots are auto-linked for visual review.</t>
  </si>
  <si>
    <t xml:space="preserve">Branche 1: P01 -&gt; P02 -&gt; P03 -&gt; RP100 -&gt; PUB</t>
  </si>
  <si>
    <t xml:space="preserve">Point</t>
  </si>
  <si>
    <t xml:space="preserve">Node</t>
  </si>
  <si>
    <t xml:space="preserve">Sta_m</t>
  </si>
  <si>
    <t xml:space="preserve">Ground_m</t>
  </si>
  <si>
    <t xml:space="preserve">Invert_m</t>
  </si>
  <si>
    <t xml:space="preserve">Crown_m</t>
  </si>
  <si>
    <t xml:space="preserve">EGL_m</t>
  </si>
  <si>
    <t xml:space="preserve">Pipe_ref</t>
  </si>
  <si>
    <t xml:space="preserve">Vel_mps</t>
  </si>
  <si>
    <t xml:space="preserve">Dia_m</t>
  </si>
  <si>
    <t xml:space="preserve">Branche 2: P04 -&gt; P05 -&gt; P06 -&gt; RP100 -&gt; PUB</t>
  </si>
  <si>
    <t xml:space="preserve">Branche 3: P010 -&gt; P07 -&gt; P08 -&gt; P09 -&gt; P06 -&gt; RP100 -&gt; PUB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</si>
</sst>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&lt;1]0.000;0.00"/>
    <numFmt numFmtId="166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i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9D9D9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D9E1F2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9E1F2"/>
      <rgbColor rgb="FF660066"/>
      <rgbColor rgb="FFFF8080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339966"/>
      <rgbColor rgb="FF003300"/>
      <rgbColor rgb="FF333300"/>
      <rgbColor rgb="FFD62728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1: P01 -&gt; P02 -&gt; P03 -&gt;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Profils_RP100!$D$9:$D$13</c:f>
              <c:numCache>
                <c:formatCode>[&lt;1]0.000;0.00</c:formatCode>
                <c:ptCount val="5"/>
                <c:pt idx="0">
                  <c:v>104</c:v>
                </c:pt>
                <c:pt idx="1">
                  <c:v>104</c:v>
                </c:pt>
                <c:pt idx="2">
                  <c:v>103.95</c:v>
                </c:pt>
                <c:pt idx="3">
                  <c:v>104</c:v>
                </c:pt>
                <c:pt idx="4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Profils_RP100!$E$9:$E$13</c:f>
              <c:numCache>
                <c:formatCode>[&lt;1]0.000;0.00</c:formatCode>
                <c:ptCount val="5"/>
                <c:pt idx="0">
                  <c:v>101.7592</c:v>
                </c:pt>
                <c:pt idx="1">
                  <c:v>101.6892</c:v>
                </c:pt>
                <c:pt idx="2">
                  <c:v>101.57173</c:v>
                </c:pt>
                <c:pt idx="3">
                  <c:v>101.4822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Profils_RP100!$C$9:$C$13</c:f>
              <c:numCache>
                <c:formatCode>[&lt;1]0.000;0.00</c:formatCode>
                <c:ptCount val="5"/>
                <c:pt idx="0">
                  <c:v>0</c:v>
                </c:pt>
                <c:pt idx="1">
                  <c:v>7</c:v>
                </c:pt>
                <c:pt idx="2">
                  <c:v>16.747</c:v>
                </c:pt>
                <c:pt idx="3">
                  <c:v>23.7</c:v>
                </c:pt>
                <c:pt idx="4">
                  <c:v>29.92</c:v>
                </c:pt>
              </c:numCache>
            </c:numRef>
          </c:xVal>
          <c:yVal>
            <c:numRef>
              <c:f>Profils_RP100!$G$9:$G$13</c:f>
              <c:numCache>
                <c:formatCode>[&lt;1]0.000;0.00</c:formatCode>
                <c:ptCount val="5"/>
                <c:pt idx="0">
                  <c:v>101.921003061597</c:v>
                </c:pt>
                <c:pt idx="1">
                  <c:v>101.851003061597</c:v>
                </c:pt>
                <c:pt idx="2">
                  <c:v>101.739926559077</c:v>
                </c:pt>
                <c:pt idx="3">
                  <c:v>101.66135002362</c:v>
                </c:pt>
                <c:pt idx="4">
                  <c:v>101.721636626216</c:v>
                </c:pt>
              </c:numCache>
            </c:numRef>
          </c:yVal>
          <c:smooth val="1"/>
        </c:ser>
        <c:axId val="23514304"/>
        <c:axId val="79859015"/>
      </c:scatterChart>
      <c:valAx>
        <c:axId val="2351430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859015"/>
        <c:crosses val="autoZero"/>
        <c:crossBetween val="midCat"/>
      </c:valAx>
      <c:valAx>
        <c:axId val="798590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514304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2: P04 -&gt; P05 -&gt;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Profils_RP100!$D$32:$D$36</c:f>
              <c:numCache>
                <c:formatCode>[&lt;1]0.000;0.00</c:formatCode>
                <c:ptCount val="5"/>
                <c:pt idx="0">
                  <c:v>104.32</c:v>
                </c:pt>
                <c:pt idx="1">
                  <c:v>104</c:v>
                </c:pt>
                <c:pt idx="2">
                  <c:v>104.2</c:v>
                </c:pt>
                <c:pt idx="3">
                  <c:v>104</c:v>
                </c:pt>
                <c:pt idx="4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Profils_RP100!$E$32:$E$36</c:f>
              <c:numCache>
                <c:formatCode>[&lt;1]0.000;0.00</c:formatCode>
                <c:ptCount val="5"/>
                <c:pt idx="0">
                  <c:v>102.17185</c:v>
                </c:pt>
                <c:pt idx="1">
                  <c:v>102.05645</c:v>
                </c:pt>
                <c:pt idx="2">
                  <c:v>101.8892</c:v>
                </c:pt>
                <c:pt idx="3">
                  <c:v>101.4822</c:v>
                </c:pt>
                <c:pt idx="4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Profils_RP100!$C$32:$C$36</c:f>
              <c:numCache>
                <c:formatCode>[&lt;1]0.000;0.00</c:formatCode>
                <c:ptCount val="5"/>
                <c:pt idx="0">
                  <c:v>0</c:v>
                </c:pt>
                <c:pt idx="1">
                  <c:v>11.54</c:v>
                </c:pt>
                <c:pt idx="2">
                  <c:v>26.265</c:v>
                </c:pt>
                <c:pt idx="3">
                  <c:v>64.965</c:v>
                </c:pt>
                <c:pt idx="4">
                  <c:v>71.185</c:v>
                </c:pt>
              </c:numCache>
            </c:numRef>
          </c:xVal>
          <c:yVal>
            <c:numRef>
              <c:f>Profils_RP100!$G$32:$G$36</c:f>
              <c:numCache>
                <c:formatCode>[&lt;1]0.000;0.00</c:formatCode>
                <c:ptCount val="5"/>
                <c:pt idx="0">
                  <c:v>102.334637664814</c:v>
                </c:pt>
                <c:pt idx="1">
                  <c:v>102.219237664814</c:v>
                </c:pt>
                <c:pt idx="2">
                  <c:v>102.059820696219</c:v>
                </c:pt>
                <c:pt idx="3">
                  <c:v>101.727274878284</c:v>
                </c:pt>
                <c:pt idx="4">
                  <c:v>101.721636626216</c:v>
                </c:pt>
              </c:numCache>
            </c:numRef>
          </c:yVal>
          <c:smooth val="1"/>
        </c:ser>
        <c:axId val="81681711"/>
        <c:axId val="9007958"/>
      </c:scatterChart>
      <c:valAx>
        <c:axId val="81681711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07958"/>
        <c:crosses val="autoZero"/>
        <c:crossBetween val="midCat"/>
      </c:valAx>
      <c:valAx>
        <c:axId val="90079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68171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Branche 3: P010 -&gt; P07 -&gt; P08 -&gt; P09 -&gt; P06 -&gt; RP100 -&gt; PUB (Profil)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"Ground"</c:f>
              <c:strCache>
                <c:ptCount val="1"/>
                <c:pt idx="0">
                  <c:v>Ground</c:v>
                </c:pt>
              </c:strCache>
            </c:strRef>
          </c:tx>
          <c:spPr>
            <a:solidFill>
              <a:srgbClr val="7f7f7f"/>
            </a:solidFill>
            <a:ln w="28440">
              <a:solidFill>
                <a:srgbClr val="7f7f7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Profils_RP100!$D$55:$D$61</c:f>
              <c:numCache>
                <c:formatCode>[&lt;1]0.000;0.00</c:formatCode>
                <c:ptCount val="7"/>
                <c:pt idx="0">
                  <c:v>104</c:v>
                </c:pt>
                <c:pt idx="1">
                  <c:v>104</c:v>
                </c:pt>
                <c:pt idx="2">
                  <c:v>104</c:v>
                </c:pt>
                <c:pt idx="3">
                  <c:v>104.3</c:v>
                </c:pt>
                <c:pt idx="4">
                  <c:v>104.2</c:v>
                </c:pt>
                <c:pt idx="5">
                  <c:v>104</c:v>
                </c:pt>
                <c:pt idx="6">
                  <c:v>104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"Invert"</c:f>
              <c:strCache>
                <c:ptCount val="1"/>
                <c:pt idx="0">
                  <c:v>Invert</c:v>
                </c:pt>
              </c:strCache>
            </c:strRef>
          </c:tx>
          <c:spPr>
            <a:solidFill>
              <a:srgbClr val="1f77b4"/>
            </a:solidFill>
            <a:ln w="2844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Profils_RP100!$E$55:$E$61</c:f>
              <c:numCache>
                <c:formatCode>[&lt;1]0.000;0.00</c:formatCode>
                <c:ptCount val="7"/>
                <c:pt idx="0">
                  <c:v>102.3878</c:v>
                </c:pt>
                <c:pt idx="1">
                  <c:v>102.2653</c:v>
                </c:pt>
                <c:pt idx="2">
                  <c:v>102.1212</c:v>
                </c:pt>
                <c:pt idx="3">
                  <c:v>101.9995</c:v>
                </c:pt>
                <c:pt idx="4">
                  <c:v>101.8892</c:v>
                </c:pt>
                <c:pt idx="5">
                  <c:v>101.4822</c:v>
                </c:pt>
                <c:pt idx="6">
                  <c:v>101.4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"EGL (approx)"</c:f>
              <c:strCache>
                <c:ptCount val="1"/>
                <c:pt idx="0">
                  <c:v>EGL (approx)</c:v>
                </c:pt>
              </c:strCache>
            </c:strRef>
          </c:tx>
          <c:spPr>
            <a:solidFill>
              <a:srgbClr val="d62728"/>
            </a:solidFill>
            <a:ln w="2844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Profils_RP100!$C$55:$C$61</c:f>
              <c:numCache>
                <c:formatCode>[&lt;1]0.000;0.00</c:formatCode>
                <c:ptCount val="7"/>
                <c:pt idx="0">
                  <c:v>0</c:v>
                </c:pt>
                <c:pt idx="1">
                  <c:v>12.25</c:v>
                </c:pt>
                <c:pt idx="2">
                  <c:v>24.66</c:v>
                </c:pt>
                <c:pt idx="3">
                  <c:v>34.83</c:v>
                </c:pt>
                <c:pt idx="4">
                  <c:v>43.86</c:v>
                </c:pt>
                <c:pt idx="5">
                  <c:v>82.56</c:v>
                </c:pt>
                <c:pt idx="6">
                  <c:v>88.78</c:v>
                </c:pt>
              </c:numCache>
            </c:numRef>
          </c:xVal>
          <c:yVal>
            <c:numRef>
              <c:f>Profils_RP100!$G$55:$G$61</c:f>
              <c:numCache>
                <c:formatCode>[&lt;1]0.000;0.00</c:formatCode>
                <c:ptCount val="7"/>
                <c:pt idx="0">
                  <c:v>102.55095119189</c:v>
                </c:pt>
                <c:pt idx="1">
                  <c:v>102.42845119189</c:v>
                </c:pt>
                <c:pt idx="2">
                  <c:v>102.290727084746</c:v>
                </c:pt>
                <c:pt idx="3">
                  <c:v>102.192069664326</c:v>
                </c:pt>
                <c:pt idx="4">
                  <c:v>102.105342046755</c:v>
                </c:pt>
                <c:pt idx="5">
                  <c:v>101.727274878284</c:v>
                </c:pt>
                <c:pt idx="6">
                  <c:v>101.721636626216</c:v>
                </c:pt>
              </c:numCache>
            </c:numRef>
          </c:yVal>
          <c:smooth val="1"/>
        </c:ser>
        <c:axId val="19651476"/>
        <c:axId val="78198814"/>
      </c:scatterChart>
      <c:valAx>
        <c:axId val="19651476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Station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198814"/>
        <c:crosses val="autoZero"/>
        <c:crossBetween val="midCat"/>
      </c:valAx>
      <c:valAx>
        <c:axId val="781988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Elevation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1]0.0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65147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7</xdr:row>
      <xdr:rowOff>0</xdr:rowOff>
    </xdr:from>
    <xdr:to>
      <xdr:col>18</xdr:col>
      <xdr:colOff>438840</xdr:colOff>
      <xdr:row>20</xdr:row>
      <xdr:rowOff>43200</xdr:rowOff>
    </xdr:to>
    <xdr:graphicFrame>
      <xdr:nvGraphicFramePr>
        <xdr:cNvPr id="0" name="Chart 1"/>
        <xdr:cNvGraphicFramePr/>
      </xdr:nvGraphicFramePr>
      <xdr:xfrm>
        <a:off x="8669520" y="13334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30</xdr:row>
      <xdr:rowOff>0</xdr:rowOff>
    </xdr:from>
    <xdr:to>
      <xdr:col>18</xdr:col>
      <xdr:colOff>438840</xdr:colOff>
      <xdr:row>43</xdr:row>
      <xdr:rowOff>43200</xdr:rowOff>
    </xdr:to>
    <xdr:graphicFrame>
      <xdr:nvGraphicFramePr>
        <xdr:cNvPr id="1" name="Chart 2"/>
        <xdr:cNvGraphicFramePr/>
      </xdr:nvGraphicFramePr>
      <xdr:xfrm>
        <a:off x="8669520" y="571500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53</xdr:row>
      <xdr:rowOff>0</xdr:rowOff>
    </xdr:from>
    <xdr:to>
      <xdr:col>18</xdr:col>
      <xdr:colOff>438840</xdr:colOff>
      <xdr:row>66</xdr:row>
      <xdr:rowOff>43200</xdr:rowOff>
    </xdr:to>
    <xdr:graphicFrame>
      <xdr:nvGraphicFramePr>
        <xdr:cNvPr id="2" name="Chart 3"/>
        <xdr:cNvGraphicFramePr/>
      </xdr:nvGraphicFramePr>
      <xdr:xfrm>
        <a:off x="8669520" y="1009656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38" activeCellId="0" sqref="A3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5"/>
    <col collapsed="false" customWidth="true" hidden="false" outlineLevel="0" max="8" min="2" style="0" width="20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0" t="s">
        <v>1</v>
      </c>
    </row>
    <row r="4" customFormat="false" ht="15" hidden="false" customHeight="false" outlineLevel="0" collapsed="false">
      <c r="A4" s="0" t="s">
        <v>2</v>
      </c>
    </row>
    <row r="5" customFormat="false" ht="15" hidden="false" customHeight="false" outlineLevel="0" collapsed="false">
      <c r="A5" s="0" t="s">
        <v>3</v>
      </c>
    </row>
    <row r="6" customFormat="false" ht="15" hidden="false" customHeight="false" outlineLevel="0" collapsed="false">
      <c r="A6" s="0" t="s">
        <v>4</v>
      </c>
    </row>
    <row r="7" customFormat="false" ht="15" hidden="false" customHeight="false" outlineLevel="0" collapsed="false">
      <c r="A7" s="0" t="s">
        <v>5</v>
      </c>
    </row>
    <row r="8" customFormat="false" ht="15" hidden="false" customHeight="false" outlineLevel="0" collapsed="false">
      <c r="A8" s="0" t="s">
        <v>6</v>
      </c>
    </row>
    <row r="9" customFormat="false" ht="15" hidden="false" customHeight="false" outlineLevel="0" collapsed="false">
      <c r="A9" s="0" t="s">
        <v>7</v>
      </c>
    </row>
    <row r="10" customFormat="false" ht="15" hidden="false" customHeight="false" outlineLevel="0" collapsed="false">
      <c r="A10" s="0" t="s">
        <v>8</v>
      </c>
    </row>
    <row r="11" customFormat="false" ht="15" hidden="false" customHeight="false" outlineLevel="0" collapsed="false">
      <c r="A11" s="0" t="s">
        <v>9</v>
      </c>
    </row>
    <row r="12" customFormat="false" ht="15" hidden="false" customHeight="false" outlineLevel="0" collapsed="false">
      <c r="A12" s="0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0" t="s">
        <v>12</v>
      </c>
    </row>
    <row r="17" customFormat="false" ht="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">
        <v>15</v>
      </c>
    </row>
    <row r="21" customFormat="false" ht="15" hidden="false" customHeight="false" outlineLevel="0" collapsed="false">
      <c r="A21" s="0" t="s">
        <v>16</v>
      </c>
    </row>
    <row r="22" customFormat="false" ht="15" hidden="false" customHeight="false" outlineLevel="0" collapsed="false">
      <c r="A22" s="0" t="s">
        <v>17</v>
      </c>
    </row>
    <row r="24" customFormat="false" ht="15" hidden="false" customHeight="false" outlineLevel="0" collapsed="false">
      <c r="A24" s="0" t="s">
        <v>18</v>
      </c>
    </row>
    <row r="25" customFormat="false" ht="15" hidden="false" customHeight="false" outlineLevel="0" collapsed="false">
      <c r="A25" s="0" t="s">
        <v>19</v>
      </c>
    </row>
    <row r="26" customFormat="false" ht="15" hidden="false" customHeight="false" outlineLevel="0" collapsed="false">
      <c r="A26" s="0" t="s">
        <v>20</v>
      </c>
    </row>
    <row r="27" customFormat="false" ht="15" hidden="false" customHeight="false" outlineLevel="0" collapsed="false">
      <c r="A27" s="0" t="s">
        <v>21</v>
      </c>
    </row>
    <row r="28" customFormat="false" ht="15" hidden="false" customHeight="false" outlineLevel="0" collapsed="false">
      <c r="A28" s="0" t="s">
        <v>22</v>
      </c>
    </row>
    <row r="29" customFormat="false" ht="15" hidden="false" customHeight="false" outlineLevel="0" collapsed="false">
      <c r="A29" s="0" t="s">
        <v>23</v>
      </c>
    </row>
    <row r="30" customFormat="false" ht="15" hidden="false" customHeight="false" outlineLevel="0" collapsed="false">
      <c r="A30" s="0" t="s">
        <v>24</v>
      </c>
    </row>
    <row r="31" customFormat="false" ht="15" hidden="false" customHeight="false" outlineLevel="0" collapsed="false">
      <c r="A31" s="0" t="s">
        <v>25</v>
      </c>
    </row>
    <row r="32" customFormat="false" ht="15" hidden="false" customHeight="false" outlineLevel="0" collapsed="false">
      <c r="A32" s="3" t="s">
        <v>26</v>
      </c>
      <c r="B32" s="3"/>
      <c r="C32" s="3"/>
      <c r="D32" s="3"/>
      <c r="E32" s="3"/>
      <c r="F32" s="3"/>
      <c r="G32" s="3"/>
      <c r="H32" s="3"/>
    </row>
    <row r="33" customFormat="false" ht="15" hidden="false" customHeight="true" outlineLevel="0" collapsed="false">
      <c r="A33" s="4" t="s">
        <v>27</v>
      </c>
      <c r="B33" s="4"/>
      <c r="C33" s="4"/>
      <c r="D33" s="4"/>
      <c r="E33" s="4"/>
      <c r="F33" s="4"/>
      <c r="G33" s="4"/>
      <c r="H33" s="4"/>
    </row>
    <row r="34" customFormat="false" ht="15" hidden="false" customHeight="true" outlineLevel="0" collapsed="false">
      <c r="A34" s="5" t="s">
        <v>28</v>
      </c>
      <c r="B34" s="5"/>
      <c r="C34" s="5"/>
      <c r="D34" s="5"/>
      <c r="E34" s="5"/>
      <c r="F34" s="5"/>
      <c r="G34" s="5"/>
      <c r="H34" s="5"/>
    </row>
    <row r="35" customFormat="false" ht="15" hidden="false" customHeight="true" outlineLevel="0" collapsed="false">
      <c r="A35" s="6" t="s">
        <v>29</v>
      </c>
      <c r="B35" s="6"/>
      <c r="C35" s="6"/>
      <c r="D35" s="6"/>
      <c r="E35" s="6"/>
      <c r="F35" s="6"/>
      <c r="G35" s="6"/>
      <c r="H35" s="6"/>
    </row>
    <row r="36" customFormat="false" ht="15" hidden="false" customHeight="true" outlineLevel="0" collapsed="false">
      <c r="A36" s="4" t="s">
        <v>30</v>
      </c>
      <c r="B36" s="4"/>
      <c r="C36" s="4"/>
      <c r="D36" s="4"/>
      <c r="E36" s="4"/>
      <c r="F36" s="4"/>
      <c r="G36" s="4"/>
      <c r="H36" s="4"/>
    </row>
    <row r="37" customFormat="false" ht="15" hidden="false" customHeight="true" outlineLevel="0" collapsed="false">
      <c r="A37" s="4" t="s">
        <v>31</v>
      </c>
      <c r="B37" s="4"/>
      <c r="C37" s="4"/>
      <c r="D37" s="4"/>
      <c r="E37" s="4"/>
      <c r="F37" s="4"/>
      <c r="G37" s="4"/>
      <c r="H37" s="4"/>
    </row>
    <row r="39" customFormat="false" ht="15" hidden="false" customHeight="true" outlineLevel="0" collapsed="false">
      <c r="A39" s="7" t="s">
        <v>32</v>
      </c>
      <c r="B39" s="7"/>
      <c r="C39" s="7"/>
      <c r="D39" s="7"/>
      <c r="E39" s="7"/>
      <c r="F39" s="7"/>
      <c r="G39" s="7"/>
      <c r="H39" s="7"/>
    </row>
    <row r="40" customFormat="false" ht="15" hidden="false" customHeight="false" outlineLevel="0" collapsed="false">
      <c r="A40" s="0" t="s">
        <v>33</v>
      </c>
    </row>
    <row r="41" customFormat="false" ht="15" hidden="false" customHeight="false" outlineLevel="0" collapsed="false">
      <c r="A41" s="0" t="s">
        <v>34</v>
      </c>
    </row>
    <row r="42" customFormat="false" ht="15" hidden="false" customHeight="false" outlineLevel="0" collapsed="false">
      <c r="A42" s="0" t="s">
        <v>35</v>
      </c>
    </row>
  </sheetData>
  <mergeCells count="8">
    <mergeCell ref="A1:H1"/>
    <mergeCell ref="A32:H32"/>
    <mergeCell ref="A33:H33"/>
    <mergeCell ref="A34:H34"/>
    <mergeCell ref="A35:H35"/>
    <mergeCell ref="A36:H36"/>
    <mergeCell ref="A37:H37"/>
    <mergeCell ref="A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B8" activeCellId="0" sqref="B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  <col collapsed="false" customWidth="true" hidden="false" outlineLevel="0" max="5" min="5" style="0" width="4"/>
    <col collapsed="false" customWidth="true" hidden="false" outlineLevel="0" max="6" min="6" style="0" width="26"/>
    <col collapsed="false" customWidth="true" hidden="false" outlineLevel="0" max="8" min="7" style="0" width="12"/>
  </cols>
  <sheetData>
    <row r="1" customFormat="false" ht="15" hidden="false" customHeight="false" outlineLevel="0" collapsed="false">
      <c r="A1" s="1" t="s">
        <v>36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8" t="s">
        <v>37</v>
      </c>
      <c r="B2" s="8" t="s">
        <v>38</v>
      </c>
      <c r="C2" s="8" t="s">
        <v>39</v>
      </c>
      <c r="D2" s="8" t="s">
        <v>40</v>
      </c>
    </row>
    <row r="3" customFormat="false" ht="15" hidden="false" customHeight="false" outlineLevel="0" collapsed="false">
      <c r="A3" s="9" t="s">
        <v>41</v>
      </c>
      <c r="B3" s="10" t="s">
        <v>42</v>
      </c>
      <c r="C3" s="9" t="s">
        <v>43</v>
      </c>
      <c r="D3" s="9" t="s">
        <v>44</v>
      </c>
      <c r="F3" s="11" t="s">
        <v>45</v>
      </c>
    </row>
    <row r="4" customFormat="false" ht="15" hidden="false" customHeight="false" outlineLevel="0" collapsed="false">
      <c r="A4" s="9" t="s">
        <v>46</v>
      </c>
      <c r="B4" s="10" t="n">
        <v>103.2</v>
      </c>
      <c r="C4" s="9" t="s">
        <v>47</v>
      </c>
      <c r="D4" s="9" t="s">
        <v>48</v>
      </c>
    </row>
    <row r="5" customFormat="false" ht="15" hidden="false" customHeight="false" outlineLevel="0" collapsed="false">
      <c r="A5" s="9" t="s">
        <v>49</v>
      </c>
      <c r="B5" s="10" t="n">
        <v>1.8</v>
      </c>
      <c r="C5" s="9" t="s">
        <v>47</v>
      </c>
      <c r="D5" s="9" t="s">
        <v>50</v>
      </c>
      <c r="F5" s="10" t="n">
        <v>200</v>
      </c>
    </row>
    <row r="6" customFormat="false" ht="15" hidden="false" customHeight="false" outlineLevel="0" collapsed="false">
      <c r="A6" s="9" t="s">
        <v>51</v>
      </c>
      <c r="B6" s="10" t="s">
        <v>52</v>
      </c>
      <c r="C6" s="9" t="s">
        <v>43</v>
      </c>
      <c r="D6" s="9" t="s">
        <v>53</v>
      </c>
      <c r="F6" s="10" t="n">
        <v>250</v>
      </c>
    </row>
    <row r="7" customFormat="false" ht="15" hidden="false" customHeight="false" outlineLevel="0" collapsed="false">
      <c r="A7" s="9" t="s">
        <v>54</v>
      </c>
      <c r="B7" s="12" t="n">
        <v>0.01</v>
      </c>
      <c r="C7" s="9" t="s">
        <v>55</v>
      </c>
      <c r="D7" s="9" t="s">
        <v>56</v>
      </c>
      <c r="F7" s="10" t="n">
        <v>300</v>
      </c>
    </row>
    <row r="8" customFormat="false" ht="15" hidden="false" customHeight="false" outlineLevel="0" collapsed="false">
      <c r="A8" s="9" t="s">
        <v>57</v>
      </c>
      <c r="B8" s="12" t="n">
        <v>0.05</v>
      </c>
      <c r="C8" s="9" t="s">
        <v>55</v>
      </c>
      <c r="D8" s="9" t="s">
        <v>58</v>
      </c>
      <c r="F8" s="10" t="n">
        <v>375</v>
      </c>
    </row>
    <row r="9" customFormat="false" ht="15" hidden="false" customHeight="false" outlineLevel="0" collapsed="false">
      <c r="A9" s="9" t="s">
        <v>59</v>
      </c>
      <c r="B9" s="12" t="n">
        <v>0.013</v>
      </c>
      <c r="C9" s="9" t="s">
        <v>43</v>
      </c>
      <c r="D9" s="9" t="s">
        <v>60</v>
      </c>
      <c r="F9" s="10" t="n">
        <v>450</v>
      </c>
    </row>
    <row r="10" customFormat="false" ht="15" hidden="false" customHeight="false" outlineLevel="0" collapsed="false">
      <c r="A10" s="9" t="s">
        <v>61</v>
      </c>
      <c r="B10" s="12" t="n">
        <v>0.8</v>
      </c>
      <c r="C10" s="9" t="s">
        <v>43</v>
      </c>
      <c r="D10" s="9" t="s">
        <v>62</v>
      </c>
      <c r="F10" s="10" t="n">
        <v>525</v>
      </c>
    </row>
    <row r="11" customFormat="false" ht="15" hidden="false" customHeight="false" outlineLevel="0" collapsed="false">
      <c r="A11" s="9" t="s">
        <v>63</v>
      </c>
      <c r="B11" s="12" t="n">
        <v>0.6</v>
      </c>
      <c r="C11" s="9" t="s">
        <v>64</v>
      </c>
      <c r="D11" s="9" t="s">
        <v>65</v>
      </c>
      <c r="F11" s="10" t="n">
        <v>600</v>
      </c>
    </row>
    <row r="12" customFormat="false" ht="15" hidden="false" customHeight="false" outlineLevel="0" collapsed="false">
      <c r="A12" s="9" t="s">
        <v>66</v>
      </c>
      <c r="B12" s="12" t="n">
        <v>3</v>
      </c>
      <c r="C12" s="9" t="s">
        <v>64</v>
      </c>
      <c r="D12" s="9" t="s">
        <v>67</v>
      </c>
      <c r="F12" s="10" t="n">
        <v>675</v>
      </c>
    </row>
    <row r="13" customFormat="false" ht="15" hidden="false" customHeight="false" outlineLevel="0" collapsed="false">
      <c r="A13" s="9" t="s">
        <v>68</v>
      </c>
      <c r="B13" s="12" t="n">
        <v>599</v>
      </c>
      <c r="C13" s="9" t="s">
        <v>43</v>
      </c>
      <c r="D13" s="9" t="s">
        <v>69</v>
      </c>
      <c r="F13" s="10" t="n">
        <v>750</v>
      </c>
    </row>
    <row r="14" customFormat="false" ht="15" hidden="false" customHeight="false" outlineLevel="0" collapsed="false">
      <c r="A14" s="9" t="s">
        <v>70</v>
      </c>
      <c r="B14" s="12" t="n">
        <v>2.6</v>
      </c>
      <c r="C14" s="9" t="s">
        <v>71</v>
      </c>
      <c r="D14" s="9" t="s">
        <v>72</v>
      </c>
      <c r="F14" s="10" t="n">
        <v>900</v>
      </c>
    </row>
    <row r="15" customFormat="false" ht="15" hidden="false" customHeight="false" outlineLevel="0" collapsed="false">
      <c r="A15" s="9" t="s">
        <v>73</v>
      </c>
      <c r="B15" s="12" t="n">
        <v>0.72</v>
      </c>
      <c r="C15" s="9" t="s">
        <v>43</v>
      </c>
      <c r="D15" s="9" t="s">
        <v>74</v>
      </c>
    </row>
    <row r="16" customFormat="false" ht="15" hidden="false" customHeight="false" outlineLevel="0" collapsed="false">
      <c r="A16" s="9" t="s">
        <v>75</v>
      </c>
      <c r="B16" s="12" t="n">
        <v>1.1</v>
      </c>
      <c r="C16" s="9" t="s">
        <v>43</v>
      </c>
      <c r="D16" s="9" t="s">
        <v>76</v>
      </c>
    </row>
    <row r="17" customFormat="false" ht="15" hidden="false" customHeight="false" outlineLevel="0" collapsed="false">
      <c r="A17" s="9" t="s">
        <v>77</v>
      </c>
      <c r="B17" s="12" t="n">
        <v>0.9</v>
      </c>
      <c r="C17" s="9" t="s">
        <v>43</v>
      </c>
      <c r="D17" s="9" t="s">
        <v>78</v>
      </c>
    </row>
    <row r="18" customFormat="false" ht="15" hidden="false" customHeight="false" outlineLevel="0" collapsed="false">
      <c r="A18" s="9" t="s">
        <v>79</v>
      </c>
      <c r="B18" s="12" t="n">
        <v>5</v>
      </c>
      <c r="C18" s="9" t="s">
        <v>71</v>
      </c>
      <c r="D18" s="9" t="s">
        <v>80</v>
      </c>
    </row>
    <row r="19" customFormat="false" ht="15" hidden="false" customHeight="false" outlineLevel="0" collapsed="false">
      <c r="A19" s="9" t="s">
        <v>81</v>
      </c>
      <c r="B19" s="12" t="n">
        <v>2.15</v>
      </c>
      <c r="C19" s="9" t="s">
        <v>47</v>
      </c>
      <c r="D19" s="9" t="s">
        <v>82</v>
      </c>
    </row>
    <row r="20" customFormat="false" ht="15" hidden="false" customHeight="false" outlineLevel="0" collapsed="false">
      <c r="A20" s="9" t="s">
        <v>83</v>
      </c>
      <c r="B20" s="12" t="n">
        <v>0.02</v>
      </c>
      <c r="C20" s="9" t="s">
        <v>47</v>
      </c>
      <c r="D20" s="9" t="s">
        <v>84</v>
      </c>
    </row>
    <row r="22" customFormat="false" ht="15" hidden="false" customHeight="false" outlineLevel="0" collapsed="false">
      <c r="A22" s="2" t="s">
        <v>85</v>
      </c>
      <c r="B22" s="13" t="n">
        <f aca="false">IF(UPPER(TRIM(B3))="SURFACE",B4-B5,B4)</f>
        <v>101.4</v>
      </c>
    </row>
    <row r="23" customFormat="false" ht="15" hidden="false" customHeight="false" outlineLevel="0" collapsed="false">
      <c r="A23" s="9" t="s">
        <v>86</v>
      </c>
      <c r="B23" s="10" t="n">
        <v>1</v>
      </c>
      <c r="C23" s="9" t="s">
        <v>64</v>
      </c>
      <c r="D23" s="9" t="s">
        <v>87</v>
      </c>
    </row>
    <row r="24" customFormat="false" ht="15" hidden="false" customHeight="false" outlineLevel="0" collapsed="false">
      <c r="A24" s="9" t="s">
        <v>88</v>
      </c>
      <c r="B24" s="10" t="s">
        <v>89</v>
      </c>
      <c r="C24" s="9" t="s">
        <v>43</v>
      </c>
      <c r="D24" s="9" t="s">
        <v>90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44"/>
  </cols>
  <sheetData>
    <row r="1" customFormat="false" ht="15" hidden="false" customHeight="false" outlineLevel="0" collapsed="false">
      <c r="A1" s="1" t="s">
        <v>91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8" t="s">
        <v>92</v>
      </c>
      <c r="B3" s="8" t="s">
        <v>93</v>
      </c>
      <c r="C3" s="8" t="s">
        <v>94</v>
      </c>
      <c r="D3" s="8" t="s">
        <v>95</v>
      </c>
      <c r="E3" s="8" t="s">
        <v>96</v>
      </c>
      <c r="F3" s="8" t="s">
        <v>97</v>
      </c>
    </row>
    <row r="4" customFormat="false" ht="15" hidden="false" customHeight="false" outlineLevel="0" collapsed="false">
      <c r="A4" s="9"/>
      <c r="B4" s="9"/>
      <c r="C4" s="14"/>
      <c r="D4" s="15"/>
      <c r="E4" s="14" t="str">
        <f aca="false">IF(OR(C4="",D4=""),"",C4*D4)</f>
        <v/>
      </c>
      <c r="F4" s="9"/>
    </row>
    <row r="5" customFormat="false" ht="15" hidden="false" customHeight="false" outlineLevel="0" collapsed="false">
      <c r="A5" s="9"/>
      <c r="B5" s="9"/>
      <c r="C5" s="14"/>
      <c r="D5" s="15"/>
      <c r="E5" s="14" t="str">
        <f aca="false">IF(OR(C5="",D5=""),"",C5*D5)</f>
        <v/>
      </c>
      <c r="F5" s="9"/>
    </row>
    <row r="6" customFormat="false" ht="15" hidden="false" customHeight="false" outlineLevel="0" collapsed="false">
      <c r="A6" s="9"/>
      <c r="B6" s="9"/>
      <c r="C6" s="14"/>
      <c r="D6" s="15"/>
      <c r="E6" s="14" t="str">
        <f aca="false">IF(OR(C6="",D6=""),"",C6*D6)</f>
        <v/>
      </c>
      <c r="F6" s="9"/>
    </row>
    <row r="7" customFormat="false" ht="15" hidden="false" customHeight="false" outlineLevel="0" collapsed="false">
      <c r="A7" s="9"/>
      <c r="B7" s="9"/>
      <c r="C7" s="14"/>
      <c r="D7" s="15"/>
      <c r="E7" s="14" t="str">
        <f aca="false">IF(OR(C7="",D7=""),"",C7*D7)</f>
        <v/>
      </c>
      <c r="F7" s="9"/>
    </row>
    <row r="8" customFormat="false" ht="15" hidden="false" customHeight="false" outlineLevel="0" collapsed="false">
      <c r="A8" s="9"/>
      <c r="B8" s="9"/>
      <c r="C8" s="14"/>
      <c r="D8" s="15"/>
      <c r="E8" s="14" t="str">
        <f aca="false">IF(OR(C8="",D8=""),"",C8*D8)</f>
        <v/>
      </c>
      <c r="F8" s="9"/>
    </row>
    <row r="9" customFormat="false" ht="15" hidden="false" customHeight="false" outlineLevel="0" collapsed="false">
      <c r="A9" s="9"/>
      <c r="B9" s="9"/>
      <c r="C9" s="14"/>
      <c r="D9" s="15"/>
      <c r="E9" s="14" t="str">
        <f aca="false">IF(OR(C9="",D9=""),"",C9*D9)</f>
        <v/>
      </c>
      <c r="F9" s="9"/>
    </row>
    <row r="10" customFormat="false" ht="15" hidden="false" customHeight="false" outlineLevel="0" collapsed="false">
      <c r="A10" s="9"/>
      <c r="B10" s="9"/>
      <c r="C10" s="14"/>
      <c r="D10" s="15"/>
      <c r="E10" s="14" t="str">
        <f aca="false">IF(OR(C10="",D10=""),"",C10*D10)</f>
        <v/>
      </c>
      <c r="F10" s="9"/>
    </row>
    <row r="11" customFormat="false" ht="15" hidden="false" customHeight="false" outlineLevel="0" collapsed="false">
      <c r="A11" s="9"/>
      <c r="B11" s="9"/>
      <c r="C11" s="14"/>
      <c r="D11" s="15"/>
      <c r="E11" s="14" t="str">
        <f aca="false">IF(OR(C11="",D11=""),"",C11*D11)</f>
        <v/>
      </c>
      <c r="F11" s="9"/>
    </row>
    <row r="12" customFormat="false" ht="15" hidden="false" customHeight="false" outlineLevel="0" collapsed="false">
      <c r="A12" s="9"/>
      <c r="B12" s="9"/>
      <c r="C12" s="14"/>
      <c r="D12" s="15"/>
      <c r="E12" s="14" t="str">
        <f aca="false">IF(OR(C12="",D12=""),"",C12*D12)</f>
        <v/>
      </c>
      <c r="F12" s="9"/>
    </row>
    <row r="13" customFormat="false" ht="15" hidden="false" customHeight="false" outlineLevel="0" collapsed="false">
      <c r="A13" s="9"/>
      <c r="B13" s="9"/>
      <c r="C13" s="14"/>
      <c r="D13" s="15"/>
      <c r="E13" s="14" t="str">
        <f aca="false">IF(OR(C13="",D13=""),"",C13*D13)</f>
        <v/>
      </c>
      <c r="F13" s="9"/>
    </row>
    <row r="14" customFormat="false" ht="15" hidden="false" customHeight="false" outlineLevel="0" collapsed="false">
      <c r="A14" s="9"/>
      <c r="B14" s="9"/>
      <c r="C14" s="14"/>
      <c r="D14" s="15"/>
      <c r="E14" s="14" t="str">
        <f aca="false">IF(OR(C14="",D14=""),"",C14*D14)</f>
        <v/>
      </c>
      <c r="F14" s="9"/>
    </row>
    <row r="15" customFormat="false" ht="15" hidden="false" customHeight="false" outlineLevel="0" collapsed="false">
      <c r="A15" s="9"/>
      <c r="B15" s="9"/>
      <c r="C15" s="14"/>
      <c r="D15" s="15"/>
      <c r="E15" s="14" t="str">
        <f aca="false">IF(OR(C15="",D15=""),"",C15*D15)</f>
        <v/>
      </c>
      <c r="F15" s="9"/>
    </row>
    <row r="16" customFormat="false" ht="15" hidden="false" customHeight="false" outlineLevel="0" collapsed="false">
      <c r="A16" s="9"/>
      <c r="B16" s="9"/>
      <c r="C16" s="14"/>
      <c r="D16" s="15"/>
      <c r="E16" s="14" t="str">
        <f aca="false">IF(OR(C16="",D16=""),"",C16*D16)</f>
        <v/>
      </c>
      <c r="F16" s="9"/>
    </row>
    <row r="17" customFormat="false" ht="15" hidden="false" customHeight="false" outlineLevel="0" collapsed="false">
      <c r="A17" s="9"/>
      <c r="B17" s="9"/>
      <c r="C17" s="14"/>
      <c r="D17" s="15"/>
      <c r="E17" s="14" t="str">
        <f aca="false">IF(OR(C17="",D17=""),"",C17*D17)</f>
        <v/>
      </c>
      <c r="F17" s="9"/>
    </row>
    <row r="18" customFormat="false" ht="15" hidden="false" customHeight="false" outlineLevel="0" collapsed="false">
      <c r="A18" s="9"/>
      <c r="B18" s="9"/>
      <c r="C18" s="14"/>
      <c r="D18" s="15"/>
      <c r="E18" s="14" t="str">
        <f aca="false">IF(OR(C18="",D18=""),"",C18*D18)</f>
        <v/>
      </c>
      <c r="F18" s="9"/>
    </row>
    <row r="19" customFormat="false" ht="15" hidden="false" customHeight="false" outlineLevel="0" collapsed="false">
      <c r="A19" s="9"/>
      <c r="B19" s="9"/>
      <c r="C19" s="14"/>
      <c r="D19" s="15"/>
      <c r="E19" s="14" t="str">
        <f aca="false">IF(OR(C19="",D19=""),"",C19*D19)</f>
        <v/>
      </c>
      <c r="F19" s="9"/>
    </row>
    <row r="20" customFormat="false" ht="15" hidden="false" customHeight="false" outlineLevel="0" collapsed="false">
      <c r="A20" s="9"/>
      <c r="B20" s="9"/>
      <c r="C20" s="14"/>
      <c r="D20" s="15"/>
      <c r="E20" s="14" t="str">
        <f aca="false">IF(OR(C20="",D20=""),"",C20*D20)</f>
        <v/>
      </c>
      <c r="F20" s="9"/>
    </row>
    <row r="21" customFormat="false" ht="15" hidden="false" customHeight="false" outlineLevel="0" collapsed="false">
      <c r="A21" s="9"/>
      <c r="B21" s="9"/>
      <c r="C21" s="14"/>
      <c r="D21" s="15"/>
      <c r="E21" s="14" t="str">
        <f aca="false">IF(OR(C21="",D21=""),"",C21*D21)</f>
        <v/>
      </c>
      <c r="F21" s="9"/>
    </row>
    <row r="22" customFormat="false" ht="15" hidden="false" customHeight="false" outlineLevel="0" collapsed="false">
      <c r="A22" s="9"/>
      <c r="B22" s="9"/>
      <c r="C22" s="14"/>
      <c r="D22" s="15"/>
      <c r="E22" s="14" t="str">
        <f aca="false">IF(OR(C22="",D22=""),"",C22*D22)</f>
        <v/>
      </c>
      <c r="F22" s="9"/>
    </row>
    <row r="23" customFormat="false" ht="15" hidden="false" customHeight="false" outlineLevel="0" collapsed="false">
      <c r="A23" s="9"/>
      <c r="B23" s="9"/>
      <c r="C23" s="14"/>
      <c r="D23" s="15"/>
      <c r="E23" s="14" t="str">
        <f aca="false">IF(OR(C23="",D23=""),"",C23*D23)</f>
        <v/>
      </c>
      <c r="F23" s="9"/>
    </row>
    <row r="24" customFormat="false" ht="15" hidden="false" customHeight="false" outlineLevel="0" collapsed="false">
      <c r="A24" s="9"/>
      <c r="B24" s="9"/>
      <c r="C24" s="14"/>
      <c r="D24" s="15"/>
      <c r="E24" s="14" t="str">
        <f aca="false">IF(OR(C24="",D24=""),"",C24*D24)</f>
        <v/>
      </c>
      <c r="F24" s="9"/>
    </row>
    <row r="25" customFormat="false" ht="15" hidden="false" customHeight="false" outlineLevel="0" collapsed="false">
      <c r="A25" s="9"/>
      <c r="B25" s="9"/>
      <c r="C25" s="14"/>
      <c r="D25" s="15"/>
      <c r="E25" s="14" t="str">
        <f aca="false">IF(OR(C25="",D25=""),"",C25*D25)</f>
        <v/>
      </c>
      <c r="F25" s="9"/>
    </row>
    <row r="26" customFormat="false" ht="15" hidden="false" customHeight="false" outlineLevel="0" collapsed="false">
      <c r="A26" s="9"/>
      <c r="B26" s="9"/>
      <c r="C26" s="14"/>
      <c r="D26" s="15"/>
      <c r="E26" s="14" t="str">
        <f aca="false">IF(OR(C26="",D26=""),"",C26*D26)</f>
        <v/>
      </c>
      <c r="F26" s="9"/>
    </row>
    <row r="27" customFormat="false" ht="15" hidden="false" customHeight="false" outlineLevel="0" collapsed="false">
      <c r="A27" s="9"/>
      <c r="B27" s="9"/>
      <c r="C27" s="14"/>
      <c r="D27" s="15"/>
      <c r="E27" s="14" t="str">
        <f aca="false">IF(OR(C27="",D27=""),"",C27*D27)</f>
        <v/>
      </c>
      <c r="F27" s="9"/>
    </row>
    <row r="28" customFormat="false" ht="15" hidden="false" customHeight="false" outlineLevel="0" collapsed="false">
      <c r="A28" s="9"/>
      <c r="B28" s="9"/>
      <c r="C28" s="14"/>
      <c r="D28" s="15"/>
      <c r="E28" s="14" t="str">
        <f aca="false">IF(OR(C28="",D28=""),"",C28*D28)</f>
        <v/>
      </c>
      <c r="F28" s="9"/>
    </row>
    <row r="29" customFormat="false" ht="15" hidden="false" customHeight="false" outlineLevel="0" collapsed="false">
      <c r="A29" s="9"/>
      <c r="B29" s="9"/>
      <c r="C29" s="14"/>
      <c r="D29" s="15"/>
      <c r="E29" s="14" t="str">
        <f aca="false">IF(OR(C29="",D29=""),"",C29*D29)</f>
        <v/>
      </c>
      <c r="F29" s="9"/>
    </row>
    <row r="30" customFormat="false" ht="15" hidden="false" customHeight="false" outlineLevel="0" collapsed="false">
      <c r="A30" s="9"/>
      <c r="B30" s="9"/>
      <c r="C30" s="14"/>
      <c r="D30" s="15"/>
      <c r="E30" s="14" t="str">
        <f aca="false">IF(OR(C30="",D30=""),"",C30*D30)</f>
        <v/>
      </c>
      <c r="F30" s="9"/>
    </row>
    <row r="31" customFormat="false" ht="15" hidden="false" customHeight="false" outlineLevel="0" collapsed="false">
      <c r="A31" s="9"/>
      <c r="B31" s="9"/>
      <c r="C31" s="14"/>
      <c r="D31" s="15"/>
      <c r="E31" s="14" t="str">
        <f aca="false">IF(OR(C31="",D31=""),"",C31*D31)</f>
        <v/>
      </c>
      <c r="F31" s="9"/>
    </row>
    <row r="32" customFormat="false" ht="15" hidden="false" customHeight="false" outlineLevel="0" collapsed="false">
      <c r="A32" s="9"/>
      <c r="B32" s="9"/>
      <c r="C32" s="14"/>
      <c r="D32" s="15"/>
      <c r="E32" s="14" t="str">
        <f aca="false">IF(OR(C32="",D32=""),"",C32*D32)</f>
        <v/>
      </c>
      <c r="F32" s="9"/>
    </row>
    <row r="33" customFormat="false" ht="15" hidden="false" customHeight="false" outlineLevel="0" collapsed="false">
      <c r="A33" s="9"/>
      <c r="B33" s="9"/>
      <c r="C33" s="14"/>
      <c r="D33" s="15"/>
      <c r="E33" s="14" t="str">
        <f aca="false">IF(OR(C33="",D33=""),"",C33*D33)</f>
        <v/>
      </c>
      <c r="F33" s="9"/>
    </row>
    <row r="34" customFormat="false" ht="15" hidden="false" customHeight="false" outlineLevel="0" collapsed="false">
      <c r="A34" s="9"/>
      <c r="B34" s="9"/>
      <c r="C34" s="14"/>
      <c r="D34" s="15"/>
      <c r="E34" s="14" t="str">
        <f aca="false">IF(OR(C34="",D34=""),"",C34*D34)</f>
        <v/>
      </c>
      <c r="F34" s="9"/>
    </row>
    <row r="35" customFormat="false" ht="15" hidden="false" customHeight="false" outlineLevel="0" collapsed="false">
      <c r="A35" s="9"/>
      <c r="B35" s="9"/>
      <c r="C35" s="14"/>
      <c r="D35" s="15"/>
      <c r="E35" s="14" t="str">
        <f aca="false">IF(OR(C35="",D35=""),"",C35*D35)</f>
        <v/>
      </c>
      <c r="F35" s="9"/>
    </row>
    <row r="36" customFormat="false" ht="15" hidden="false" customHeight="false" outlineLevel="0" collapsed="false">
      <c r="A36" s="9"/>
      <c r="B36" s="9"/>
      <c r="C36" s="14"/>
      <c r="D36" s="15"/>
      <c r="E36" s="14" t="str">
        <f aca="false">IF(OR(C36="",D36=""),"",C36*D36)</f>
        <v/>
      </c>
      <c r="F36" s="9"/>
    </row>
    <row r="37" customFormat="false" ht="15" hidden="false" customHeight="false" outlineLevel="0" collapsed="false">
      <c r="A37" s="9"/>
      <c r="B37" s="9"/>
      <c r="C37" s="14"/>
      <c r="D37" s="15"/>
      <c r="E37" s="14" t="str">
        <f aca="false">IF(OR(C37="",D37=""),"",C37*D37)</f>
        <v/>
      </c>
      <c r="F37" s="9"/>
    </row>
    <row r="38" customFormat="false" ht="15" hidden="false" customHeight="false" outlineLevel="0" collapsed="false">
      <c r="A38" s="9"/>
      <c r="B38" s="9"/>
      <c r="C38" s="14"/>
      <c r="D38" s="15"/>
      <c r="E38" s="14" t="str">
        <f aca="false">IF(OR(C38="",D38=""),"",C38*D38)</f>
        <v/>
      </c>
      <c r="F38" s="9"/>
    </row>
    <row r="39" customFormat="false" ht="15" hidden="false" customHeight="false" outlineLevel="0" collapsed="false">
      <c r="A39" s="9"/>
      <c r="B39" s="9"/>
      <c r="C39" s="14"/>
      <c r="D39" s="15"/>
      <c r="E39" s="14" t="str">
        <f aca="false">IF(OR(C39="",D39=""),"",C39*D39)</f>
        <v/>
      </c>
      <c r="F39" s="9"/>
    </row>
    <row r="40" customFormat="false" ht="15" hidden="false" customHeight="false" outlineLevel="0" collapsed="false">
      <c r="A40" s="9"/>
      <c r="B40" s="9"/>
      <c r="C40" s="14"/>
      <c r="D40" s="15"/>
      <c r="E40" s="14" t="str">
        <f aca="false">IF(OR(C40="",D40=""),"",C40*D40)</f>
        <v/>
      </c>
      <c r="F40" s="9"/>
    </row>
    <row r="41" customFormat="false" ht="15" hidden="false" customHeight="false" outlineLevel="0" collapsed="false">
      <c r="A41" s="9"/>
      <c r="B41" s="9"/>
      <c r="C41" s="14"/>
      <c r="D41" s="15"/>
      <c r="E41" s="14" t="str">
        <f aca="false">IF(OR(C41="",D41=""),"",C41*D41)</f>
        <v/>
      </c>
      <c r="F41" s="9"/>
    </row>
    <row r="42" customFormat="false" ht="15" hidden="false" customHeight="false" outlineLevel="0" collapsed="false">
      <c r="A42" s="9"/>
      <c r="B42" s="9"/>
      <c r="C42" s="14"/>
      <c r="D42" s="15"/>
      <c r="E42" s="14" t="str">
        <f aca="false">IF(OR(C42="",D42=""),"",C42*D42)</f>
        <v/>
      </c>
      <c r="F42" s="9"/>
    </row>
    <row r="43" customFormat="false" ht="15" hidden="false" customHeight="false" outlineLevel="0" collapsed="false">
      <c r="A43" s="9"/>
      <c r="B43" s="9"/>
      <c r="C43" s="14"/>
      <c r="D43" s="15"/>
      <c r="E43" s="14" t="str">
        <f aca="false">IF(OR(C43="",D43=""),"",C43*D43)</f>
        <v/>
      </c>
      <c r="F43" s="9"/>
    </row>
    <row r="44" customFormat="false" ht="15" hidden="false" customHeight="false" outlineLevel="0" collapsed="false">
      <c r="A44" s="9"/>
      <c r="B44" s="9"/>
      <c r="C44" s="14"/>
      <c r="D44" s="15"/>
      <c r="E44" s="14" t="str">
        <f aca="false">IF(OR(C44="",D44=""),"",C44*D44)</f>
        <v/>
      </c>
      <c r="F44" s="9"/>
    </row>
    <row r="45" customFormat="false" ht="15" hidden="false" customHeight="false" outlineLevel="0" collapsed="false">
      <c r="A45" s="9"/>
      <c r="B45" s="9"/>
      <c r="C45" s="14"/>
      <c r="D45" s="15"/>
      <c r="E45" s="14" t="str">
        <f aca="false">IF(OR(C45="",D45=""),"",C45*D45)</f>
        <v/>
      </c>
      <c r="F45" s="9"/>
    </row>
    <row r="46" customFormat="false" ht="15" hidden="false" customHeight="false" outlineLevel="0" collapsed="false">
      <c r="A46" s="9"/>
      <c r="B46" s="9"/>
      <c r="C46" s="14"/>
      <c r="D46" s="15"/>
      <c r="E46" s="14" t="str">
        <f aca="false">IF(OR(C46="",D46=""),"",C46*D46)</f>
        <v/>
      </c>
      <c r="F46" s="9"/>
    </row>
    <row r="47" customFormat="false" ht="15" hidden="false" customHeight="false" outlineLevel="0" collapsed="false">
      <c r="A47" s="9"/>
      <c r="B47" s="9"/>
      <c r="C47" s="14"/>
      <c r="D47" s="15"/>
      <c r="E47" s="14" t="str">
        <f aca="false">IF(OR(C47="",D47=""),"",C47*D47)</f>
        <v/>
      </c>
      <c r="F47" s="9"/>
    </row>
    <row r="48" customFormat="false" ht="15" hidden="false" customHeight="false" outlineLevel="0" collapsed="false">
      <c r="A48" s="9"/>
      <c r="B48" s="9"/>
      <c r="C48" s="14"/>
      <c r="D48" s="15"/>
      <c r="E48" s="14" t="str">
        <f aca="false">IF(OR(C48="",D48=""),"",C48*D48)</f>
        <v/>
      </c>
      <c r="F48" s="9"/>
    </row>
    <row r="49" customFormat="false" ht="15" hidden="false" customHeight="false" outlineLevel="0" collapsed="false">
      <c r="A49" s="9"/>
      <c r="B49" s="9"/>
      <c r="C49" s="14"/>
      <c r="D49" s="15"/>
      <c r="E49" s="14" t="str">
        <f aca="false">IF(OR(C49="",D49=""),"",C49*D49)</f>
        <v/>
      </c>
      <c r="F49" s="9"/>
    </row>
    <row r="50" customFormat="false" ht="15" hidden="false" customHeight="false" outlineLevel="0" collapsed="false">
      <c r="A50" s="9"/>
      <c r="B50" s="9"/>
      <c r="C50" s="14"/>
      <c r="D50" s="15"/>
      <c r="E50" s="14" t="str">
        <f aca="false">IF(OR(C50="",D50=""),"",C50*D50)</f>
        <v/>
      </c>
      <c r="F50" s="9"/>
    </row>
    <row r="51" customFormat="false" ht="15" hidden="false" customHeight="false" outlineLevel="0" collapsed="false">
      <c r="A51" s="9"/>
      <c r="B51" s="9"/>
      <c r="C51" s="14"/>
      <c r="D51" s="15"/>
      <c r="E51" s="14" t="str">
        <f aca="false">IF(OR(C51="",D51=""),"",C51*D51)</f>
        <v/>
      </c>
      <c r="F51" s="9"/>
    </row>
    <row r="52" customFormat="false" ht="15" hidden="false" customHeight="false" outlineLevel="0" collapsed="false">
      <c r="A52" s="9"/>
      <c r="B52" s="9"/>
      <c r="C52" s="14"/>
      <c r="D52" s="15"/>
      <c r="E52" s="14" t="str">
        <f aca="false">IF(OR(C52="",D52=""),"",C52*D52)</f>
        <v/>
      </c>
      <c r="F52" s="9"/>
    </row>
    <row r="53" customFormat="false" ht="15" hidden="false" customHeight="false" outlineLevel="0" collapsed="false">
      <c r="A53" s="9"/>
      <c r="B53" s="9"/>
      <c r="C53" s="14"/>
      <c r="D53" s="15"/>
      <c r="E53" s="14" t="str">
        <f aca="false">IF(OR(C53="",D53=""),"",C53*D53)</f>
        <v/>
      </c>
      <c r="F53" s="9"/>
    </row>
    <row r="54" customFormat="false" ht="15" hidden="false" customHeight="false" outlineLevel="0" collapsed="false">
      <c r="A54" s="9"/>
      <c r="B54" s="9"/>
      <c r="C54" s="14"/>
      <c r="D54" s="15"/>
      <c r="E54" s="14" t="str">
        <f aca="false">IF(OR(C54="",D54=""),"",C54*D54)</f>
        <v/>
      </c>
      <c r="F54" s="9"/>
    </row>
    <row r="55" customFormat="false" ht="15" hidden="false" customHeight="false" outlineLevel="0" collapsed="false">
      <c r="A55" s="9"/>
      <c r="B55" s="9"/>
      <c r="C55" s="14"/>
      <c r="D55" s="15"/>
      <c r="E55" s="14" t="str">
        <f aca="false">IF(OR(C55="",D55=""),"",C55*D55)</f>
        <v/>
      </c>
      <c r="F55" s="9"/>
    </row>
    <row r="56" customFormat="false" ht="15" hidden="false" customHeight="false" outlineLevel="0" collapsed="false">
      <c r="A56" s="9"/>
      <c r="B56" s="9"/>
      <c r="C56" s="14"/>
      <c r="D56" s="15"/>
      <c r="E56" s="14" t="str">
        <f aca="false">IF(OR(C56="",D56=""),"",C56*D56)</f>
        <v/>
      </c>
      <c r="F56" s="9"/>
    </row>
    <row r="57" customFormat="false" ht="15" hidden="false" customHeight="false" outlineLevel="0" collapsed="false">
      <c r="A57" s="9"/>
      <c r="B57" s="9"/>
      <c r="C57" s="14"/>
      <c r="D57" s="15"/>
      <c r="E57" s="14" t="str">
        <f aca="false">IF(OR(C57="",D57=""),"",C57*D57)</f>
        <v/>
      </c>
      <c r="F57" s="9"/>
    </row>
    <row r="58" customFormat="false" ht="15" hidden="false" customHeight="false" outlineLevel="0" collapsed="false">
      <c r="A58" s="9"/>
      <c r="B58" s="9"/>
      <c r="C58" s="14"/>
      <c r="D58" s="15"/>
      <c r="E58" s="14" t="str">
        <f aca="false">IF(OR(C58="",D58=""),"",C58*D58)</f>
        <v/>
      </c>
      <c r="F58" s="9"/>
    </row>
    <row r="59" customFormat="false" ht="15" hidden="false" customHeight="false" outlineLevel="0" collapsed="false">
      <c r="A59" s="9"/>
      <c r="B59" s="9"/>
      <c r="C59" s="14"/>
      <c r="D59" s="15"/>
      <c r="E59" s="14" t="str">
        <f aca="false">IF(OR(C59="",D59=""),"",C59*D59)</f>
        <v/>
      </c>
      <c r="F59" s="9"/>
    </row>
    <row r="60" customFormat="false" ht="15" hidden="false" customHeight="false" outlineLevel="0" collapsed="false">
      <c r="A60" s="9"/>
      <c r="B60" s="9"/>
      <c r="C60" s="14"/>
      <c r="D60" s="15"/>
      <c r="E60" s="14" t="str">
        <f aca="false">IF(OR(C60="",D60=""),"",C60*D60)</f>
        <v/>
      </c>
      <c r="F60" s="9"/>
    </row>
    <row r="61" customFormat="false" ht="15" hidden="false" customHeight="false" outlineLevel="0" collapsed="false">
      <c r="A61" s="9"/>
      <c r="B61" s="9"/>
      <c r="C61" s="14"/>
      <c r="D61" s="15"/>
      <c r="E61" s="14" t="str">
        <f aca="false">IF(OR(C61="",D61=""),"",C61*D61)</f>
        <v/>
      </c>
      <c r="F61" s="9"/>
    </row>
    <row r="62" customFormat="false" ht="15" hidden="false" customHeight="false" outlineLevel="0" collapsed="false">
      <c r="A62" s="9"/>
      <c r="B62" s="9"/>
      <c r="C62" s="14"/>
      <c r="D62" s="15"/>
      <c r="E62" s="14" t="str">
        <f aca="false">IF(OR(C62="",D62=""),"",C62*D62)</f>
        <v/>
      </c>
      <c r="F62" s="9"/>
    </row>
    <row r="63" customFormat="false" ht="15" hidden="false" customHeight="false" outlineLevel="0" collapsed="false">
      <c r="A63" s="9"/>
      <c r="B63" s="9"/>
      <c r="C63" s="14"/>
      <c r="D63" s="15"/>
      <c r="E63" s="14" t="str">
        <f aca="false">IF(OR(C63="",D63=""),"",C63*D63)</f>
        <v/>
      </c>
      <c r="F63" s="9"/>
    </row>
    <row r="64" customFormat="false" ht="15" hidden="false" customHeight="false" outlineLevel="0" collapsed="false">
      <c r="A64" s="9"/>
      <c r="B64" s="9"/>
      <c r="C64" s="14"/>
      <c r="D64" s="15"/>
      <c r="E64" s="14" t="str">
        <f aca="false">IF(OR(C64="",D64=""),"",C64*D64)</f>
        <v/>
      </c>
      <c r="F64" s="9"/>
    </row>
    <row r="65" customFormat="false" ht="15" hidden="false" customHeight="false" outlineLevel="0" collapsed="false">
      <c r="A65" s="9"/>
      <c r="B65" s="9"/>
      <c r="C65" s="14"/>
      <c r="D65" s="15"/>
      <c r="E65" s="14" t="str">
        <f aca="false">IF(OR(C65="",D65=""),"",C65*D65)</f>
        <v/>
      </c>
      <c r="F65" s="9"/>
    </row>
    <row r="66" customFormat="false" ht="15" hidden="false" customHeight="false" outlineLevel="0" collapsed="false">
      <c r="A66" s="9"/>
      <c r="B66" s="9"/>
      <c r="C66" s="14"/>
      <c r="D66" s="15"/>
      <c r="E66" s="14" t="str">
        <f aca="false">IF(OR(C66="",D66=""),"",C66*D66)</f>
        <v/>
      </c>
      <c r="F66" s="9"/>
    </row>
    <row r="67" customFormat="false" ht="15" hidden="false" customHeight="false" outlineLevel="0" collapsed="false">
      <c r="A67" s="9"/>
      <c r="B67" s="9"/>
      <c r="C67" s="14"/>
      <c r="D67" s="15"/>
      <c r="E67" s="14" t="str">
        <f aca="false">IF(OR(C67="",D67=""),"",C67*D67)</f>
        <v/>
      </c>
      <c r="F67" s="9"/>
    </row>
    <row r="68" customFormat="false" ht="15" hidden="false" customHeight="false" outlineLevel="0" collapsed="false">
      <c r="A68" s="9"/>
      <c r="B68" s="9"/>
      <c r="C68" s="14"/>
      <c r="D68" s="15"/>
      <c r="E68" s="14" t="str">
        <f aca="false">IF(OR(C68="",D68=""),"",C68*D68)</f>
        <v/>
      </c>
      <c r="F68" s="9"/>
    </row>
    <row r="69" customFormat="false" ht="15" hidden="false" customHeight="false" outlineLevel="0" collapsed="false">
      <c r="A69" s="9"/>
      <c r="B69" s="9"/>
      <c r="C69" s="14"/>
      <c r="D69" s="15"/>
      <c r="E69" s="14" t="str">
        <f aca="false">IF(OR(C69="",D69=""),"",C69*D69)</f>
        <v/>
      </c>
      <c r="F69" s="9"/>
    </row>
    <row r="70" customFormat="false" ht="15" hidden="false" customHeight="false" outlineLevel="0" collapsed="false">
      <c r="A70" s="9"/>
      <c r="B70" s="9"/>
      <c r="C70" s="14"/>
      <c r="D70" s="15"/>
      <c r="E70" s="14" t="str">
        <f aca="false">IF(OR(C70="",D70=""),"",C70*D70)</f>
        <v/>
      </c>
      <c r="F70" s="9"/>
    </row>
    <row r="71" customFormat="false" ht="15" hidden="false" customHeight="false" outlineLevel="0" collapsed="false">
      <c r="A71" s="9"/>
      <c r="B71" s="9"/>
      <c r="C71" s="14"/>
      <c r="D71" s="15"/>
      <c r="E71" s="14" t="str">
        <f aca="false">IF(OR(C71="",D71=""),"",C71*D71)</f>
        <v/>
      </c>
      <c r="F71" s="9"/>
    </row>
    <row r="72" customFormat="false" ht="15" hidden="false" customHeight="false" outlineLevel="0" collapsed="false">
      <c r="A72" s="9"/>
      <c r="B72" s="9"/>
      <c r="C72" s="14"/>
      <c r="D72" s="15"/>
      <c r="E72" s="14" t="str">
        <f aca="false">IF(OR(C72="",D72=""),"",C72*D72)</f>
        <v/>
      </c>
      <c r="F72" s="9"/>
    </row>
    <row r="73" customFormat="false" ht="15" hidden="false" customHeight="false" outlineLevel="0" collapsed="false">
      <c r="A73" s="9"/>
      <c r="B73" s="9"/>
      <c r="C73" s="14"/>
      <c r="D73" s="15"/>
      <c r="E73" s="14" t="str">
        <f aca="false">IF(OR(C73="",D73=""),"",C73*D73)</f>
        <v/>
      </c>
      <c r="F73" s="9"/>
    </row>
    <row r="74" customFormat="false" ht="15" hidden="false" customHeight="false" outlineLevel="0" collapsed="false">
      <c r="A74" s="9"/>
      <c r="B74" s="9"/>
      <c r="C74" s="14"/>
      <c r="D74" s="15"/>
      <c r="E74" s="14" t="str">
        <f aca="false">IF(OR(C74="",D74=""),"",C74*D74)</f>
        <v/>
      </c>
      <c r="F74" s="9"/>
    </row>
    <row r="75" customFormat="false" ht="15" hidden="false" customHeight="false" outlineLevel="0" collapsed="false">
      <c r="A75" s="9"/>
      <c r="B75" s="9"/>
      <c r="C75" s="14"/>
      <c r="D75" s="15"/>
      <c r="E75" s="14" t="str">
        <f aca="false">IF(OR(C75="",D75=""),"",C75*D75)</f>
        <v/>
      </c>
      <c r="F75" s="9"/>
    </row>
    <row r="76" customFormat="false" ht="15" hidden="false" customHeight="false" outlineLevel="0" collapsed="false">
      <c r="A76" s="9"/>
      <c r="B76" s="9"/>
      <c r="C76" s="14"/>
      <c r="D76" s="15"/>
      <c r="E76" s="14" t="str">
        <f aca="false">IF(OR(C76="",D76=""),"",C76*D76)</f>
        <v/>
      </c>
      <c r="F76" s="9"/>
    </row>
    <row r="77" customFormat="false" ht="15" hidden="false" customHeight="false" outlineLevel="0" collapsed="false">
      <c r="A77" s="9"/>
      <c r="B77" s="9"/>
      <c r="C77" s="14"/>
      <c r="D77" s="15"/>
      <c r="E77" s="14" t="str">
        <f aca="false">IF(OR(C77="",D77=""),"",C77*D77)</f>
        <v/>
      </c>
      <c r="F77" s="9"/>
    </row>
    <row r="78" customFormat="false" ht="15" hidden="false" customHeight="false" outlineLevel="0" collapsed="false">
      <c r="A78" s="9"/>
      <c r="B78" s="9"/>
      <c r="C78" s="14"/>
      <c r="D78" s="15"/>
      <c r="E78" s="14" t="str">
        <f aca="false">IF(OR(C78="",D78=""),"",C78*D78)</f>
        <v/>
      </c>
      <c r="F78" s="9"/>
    </row>
    <row r="79" customFormat="false" ht="15" hidden="false" customHeight="false" outlineLevel="0" collapsed="false">
      <c r="A79" s="9"/>
      <c r="B79" s="9"/>
      <c r="C79" s="14"/>
      <c r="D79" s="15"/>
      <c r="E79" s="14" t="str">
        <f aca="false">IF(OR(C79="",D79=""),"",C79*D79)</f>
        <v/>
      </c>
      <c r="F79" s="9"/>
    </row>
    <row r="80" customFormat="false" ht="15" hidden="false" customHeight="false" outlineLevel="0" collapsed="false">
      <c r="A80" s="9"/>
      <c r="B80" s="9"/>
      <c r="C80" s="14"/>
      <c r="D80" s="15"/>
      <c r="E80" s="14" t="str">
        <f aca="false">IF(OR(C80="",D80=""),"",C80*D80)</f>
        <v/>
      </c>
      <c r="F80" s="9"/>
    </row>
    <row r="81" customFormat="false" ht="15" hidden="false" customHeight="false" outlineLevel="0" collapsed="false">
      <c r="A81" s="9"/>
      <c r="B81" s="9"/>
      <c r="C81" s="14"/>
      <c r="D81" s="15"/>
      <c r="E81" s="14" t="str">
        <f aca="false">IF(OR(C81="",D81=""),"",C81*D81)</f>
        <v/>
      </c>
      <c r="F81" s="9"/>
    </row>
    <row r="82" customFormat="false" ht="15" hidden="false" customHeight="false" outlineLevel="0" collapsed="false">
      <c r="A82" s="9"/>
      <c r="B82" s="9"/>
      <c r="C82" s="14"/>
      <c r="D82" s="15"/>
      <c r="E82" s="14" t="str">
        <f aca="false">IF(OR(C82="",D82=""),"",C82*D82)</f>
        <v/>
      </c>
      <c r="F82" s="9"/>
    </row>
    <row r="83" customFormat="false" ht="15" hidden="false" customHeight="false" outlineLevel="0" collapsed="false">
      <c r="A83" s="9"/>
      <c r="B83" s="9"/>
      <c r="C83" s="14"/>
      <c r="D83" s="15"/>
      <c r="E83" s="14" t="str">
        <f aca="false">IF(OR(C83="",D83=""),"",C83*D83)</f>
        <v/>
      </c>
      <c r="F83" s="9"/>
    </row>
    <row r="84" customFormat="false" ht="15" hidden="false" customHeight="false" outlineLevel="0" collapsed="false">
      <c r="A84" s="9"/>
      <c r="B84" s="9"/>
      <c r="C84" s="14"/>
      <c r="D84" s="15"/>
      <c r="E84" s="14" t="str">
        <f aca="false">IF(OR(C84="",D84=""),"",C84*D84)</f>
        <v/>
      </c>
      <c r="F84" s="9"/>
    </row>
    <row r="85" customFormat="false" ht="15" hidden="false" customHeight="false" outlineLevel="0" collapsed="false">
      <c r="A85" s="9"/>
      <c r="B85" s="9"/>
      <c r="C85" s="14"/>
      <c r="D85" s="15"/>
      <c r="E85" s="14" t="str">
        <f aca="false">IF(OR(C85="",D85=""),"",C85*D85)</f>
        <v/>
      </c>
      <c r="F85" s="9"/>
    </row>
    <row r="86" customFormat="false" ht="15" hidden="false" customHeight="false" outlineLevel="0" collapsed="false">
      <c r="A86" s="9"/>
      <c r="B86" s="9"/>
      <c r="C86" s="14"/>
      <c r="D86" s="15"/>
      <c r="E86" s="14" t="str">
        <f aca="false">IF(OR(C86="",D86=""),"",C86*D86)</f>
        <v/>
      </c>
      <c r="F86" s="9"/>
    </row>
    <row r="87" customFormat="false" ht="15" hidden="false" customHeight="false" outlineLevel="0" collapsed="false">
      <c r="A87" s="9"/>
      <c r="B87" s="9"/>
      <c r="C87" s="14"/>
      <c r="D87" s="15"/>
      <c r="E87" s="14" t="str">
        <f aca="false">IF(OR(C87="",D87=""),"",C87*D87)</f>
        <v/>
      </c>
      <c r="F87" s="9"/>
    </row>
    <row r="88" customFormat="false" ht="15" hidden="false" customHeight="false" outlineLevel="0" collapsed="false">
      <c r="A88" s="9"/>
      <c r="B88" s="9"/>
      <c r="C88" s="14"/>
      <c r="D88" s="15"/>
      <c r="E88" s="14" t="str">
        <f aca="false">IF(OR(C88="",D88=""),"",C88*D88)</f>
        <v/>
      </c>
      <c r="F88" s="9"/>
    </row>
    <row r="89" customFormat="false" ht="15" hidden="false" customHeight="false" outlineLevel="0" collapsed="false">
      <c r="A89" s="9"/>
      <c r="B89" s="9"/>
      <c r="C89" s="14"/>
      <c r="D89" s="15"/>
      <c r="E89" s="14" t="str">
        <f aca="false">IF(OR(C89="",D89=""),"",C89*D89)</f>
        <v/>
      </c>
      <c r="F89" s="9"/>
    </row>
    <row r="90" customFormat="false" ht="15" hidden="false" customHeight="false" outlineLevel="0" collapsed="false">
      <c r="A90" s="9"/>
      <c r="B90" s="9"/>
      <c r="C90" s="14"/>
      <c r="D90" s="15"/>
      <c r="E90" s="14" t="str">
        <f aca="false">IF(OR(C90="",D90=""),"",C90*D90)</f>
        <v/>
      </c>
      <c r="F90" s="9"/>
    </row>
    <row r="91" customFormat="false" ht="15" hidden="false" customHeight="false" outlineLevel="0" collapsed="false">
      <c r="A91" s="9"/>
      <c r="B91" s="9"/>
      <c r="C91" s="14"/>
      <c r="D91" s="15"/>
      <c r="E91" s="14" t="str">
        <f aca="false">IF(OR(C91="",D91=""),"",C91*D91)</f>
        <v/>
      </c>
      <c r="F91" s="9"/>
    </row>
    <row r="92" customFormat="false" ht="15" hidden="false" customHeight="false" outlineLevel="0" collapsed="false">
      <c r="A92" s="9"/>
      <c r="B92" s="9"/>
      <c r="C92" s="14"/>
      <c r="D92" s="15"/>
      <c r="E92" s="14" t="str">
        <f aca="false">IF(OR(C92="",D92=""),"",C92*D92)</f>
        <v/>
      </c>
      <c r="F92" s="9"/>
    </row>
    <row r="93" customFormat="false" ht="15" hidden="false" customHeight="false" outlineLevel="0" collapsed="false">
      <c r="A93" s="9"/>
      <c r="B93" s="9"/>
      <c r="C93" s="14"/>
      <c r="D93" s="15"/>
      <c r="E93" s="14" t="str">
        <f aca="false">IF(OR(C93="",D93=""),"",C93*D93)</f>
        <v/>
      </c>
      <c r="F93" s="9"/>
    </row>
    <row r="94" customFormat="false" ht="15" hidden="false" customHeight="false" outlineLevel="0" collapsed="false">
      <c r="A94" s="9"/>
      <c r="B94" s="9"/>
      <c r="C94" s="14"/>
      <c r="D94" s="15"/>
      <c r="E94" s="14" t="str">
        <f aca="false">IF(OR(C94="",D94=""),"",C94*D94)</f>
        <v/>
      </c>
      <c r="F94" s="9"/>
    </row>
    <row r="95" customFormat="false" ht="15" hidden="false" customHeight="false" outlineLevel="0" collapsed="false">
      <c r="A95" s="9"/>
      <c r="B95" s="9"/>
      <c r="C95" s="14"/>
      <c r="D95" s="15"/>
      <c r="E95" s="14" t="str">
        <f aca="false">IF(OR(C95="",D95=""),"",C95*D95)</f>
        <v/>
      </c>
      <c r="F95" s="9"/>
    </row>
    <row r="96" customFormat="false" ht="15" hidden="false" customHeight="false" outlineLevel="0" collapsed="false">
      <c r="A96" s="9"/>
      <c r="B96" s="9"/>
      <c r="C96" s="14"/>
      <c r="D96" s="15"/>
      <c r="E96" s="14" t="str">
        <f aca="false">IF(OR(C96="",D96=""),"",C96*D96)</f>
        <v/>
      </c>
      <c r="F96" s="9"/>
    </row>
    <row r="97" customFormat="false" ht="15" hidden="false" customHeight="false" outlineLevel="0" collapsed="false">
      <c r="A97" s="9"/>
      <c r="B97" s="9"/>
      <c r="C97" s="14"/>
      <c r="D97" s="15"/>
      <c r="E97" s="14" t="str">
        <f aca="false">IF(OR(C97="",D97=""),"",C97*D97)</f>
        <v/>
      </c>
      <c r="F97" s="9"/>
    </row>
    <row r="98" customFormat="false" ht="15" hidden="false" customHeight="false" outlineLevel="0" collapsed="false">
      <c r="A98" s="9"/>
      <c r="B98" s="9"/>
      <c r="C98" s="14"/>
      <c r="D98" s="15"/>
      <c r="E98" s="14" t="str">
        <f aca="false">IF(OR(C98="",D98=""),"",C98*D98)</f>
        <v/>
      </c>
      <c r="F98" s="9"/>
    </row>
    <row r="99" customFormat="false" ht="15" hidden="false" customHeight="false" outlineLevel="0" collapsed="false">
      <c r="A99" s="9"/>
      <c r="B99" s="9"/>
      <c r="C99" s="14"/>
      <c r="D99" s="15"/>
      <c r="E99" s="14" t="str">
        <f aca="false">IF(OR(C99="",D99=""),"",C99*D99)</f>
        <v/>
      </c>
      <c r="F99" s="9"/>
    </row>
    <row r="100" customFormat="false" ht="15" hidden="false" customHeight="false" outlineLevel="0" collapsed="false">
      <c r="A100" s="9"/>
      <c r="B100" s="9"/>
      <c r="C100" s="14"/>
      <c r="D100" s="15"/>
      <c r="E100" s="14" t="str">
        <f aca="false">IF(OR(C100="",D100=""),"",C100*D100)</f>
        <v/>
      </c>
      <c r="F100" s="9"/>
    </row>
    <row r="101" customFormat="false" ht="15" hidden="false" customHeight="false" outlineLevel="0" collapsed="false">
      <c r="A101" s="9"/>
      <c r="B101" s="9"/>
      <c r="C101" s="14"/>
      <c r="D101" s="15"/>
      <c r="E101" s="14" t="str">
        <f aca="false">IF(OR(C101="",D101=""),"",C101*D101)</f>
        <v/>
      </c>
      <c r="F101" s="9"/>
    </row>
    <row r="102" customFormat="false" ht="15" hidden="false" customHeight="false" outlineLevel="0" collapsed="false">
      <c r="A102" s="9"/>
      <c r="B102" s="9"/>
      <c r="C102" s="14"/>
      <c r="D102" s="15"/>
      <c r="E102" s="14" t="str">
        <f aca="false">IF(OR(C102="",D102=""),"",C102*D102)</f>
        <v/>
      </c>
      <c r="F102" s="9"/>
    </row>
    <row r="103" customFormat="false" ht="15" hidden="false" customHeight="false" outlineLevel="0" collapsed="false">
      <c r="A103" s="9"/>
      <c r="B103" s="9"/>
      <c r="C103" s="14"/>
      <c r="D103" s="15"/>
      <c r="E103" s="14" t="str">
        <f aca="false">IF(OR(C103="",D103=""),"",C103*D103)</f>
        <v/>
      </c>
      <c r="F103" s="9"/>
    </row>
    <row r="104" customFormat="false" ht="15" hidden="false" customHeight="false" outlineLevel="0" collapsed="false">
      <c r="A104" s="9"/>
      <c r="B104" s="9"/>
      <c r="C104" s="14"/>
      <c r="D104" s="15"/>
      <c r="E104" s="14" t="str">
        <f aca="false">IF(OR(C104="",D104=""),"",C104*D104)</f>
        <v/>
      </c>
      <c r="F104" s="9"/>
    </row>
    <row r="105" customFormat="false" ht="15" hidden="false" customHeight="false" outlineLevel="0" collapsed="false">
      <c r="A105" s="9"/>
      <c r="B105" s="9"/>
      <c r="C105" s="14"/>
      <c r="D105" s="15"/>
      <c r="E105" s="14" t="str">
        <f aca="false">IF(OR(C105="",D105=""),"",C105*D105)</f>
        <v/>
      </c>
      <c r="F105" s="9"/>
    </row>
    <row r="106" customFormat="false" ht="15" hidden="false" customHeight="false" outlineLevel="0" collapsed="false">
      <c r="A106" s="9"/>
      <c r="B106" s="9"/>
      <c r="C106" s="14"/>
      <c r="D106" s="15"/>
      <c r="E106" s="14" t="str">
        <f aca="false">IF(OR(C106="",D106=""),"",C106*D106)</f>
        <v/>
      </c>
      <c r="F106" s="9"/>
    </row>
    <row r="107" customFormat="false" ht="15" hidden="false" customHeight="false" outlineLevel="0" collapsed="false">
      <c r="A107" s="9"/>
      <c r="B107" s="9"/>
      <c r="C107" s="14"/>
      <c r="D107" s="15"/>
      <c r="E107" s="14" t="str">
        <f aca="false">IF(OR(C107="",D107=""),"",C107*D107)</f>
        <v/>
      </c>
      <c r="F107" s="9"/>
    </row>
    <row r="108" customFormat="false" ht="15" hidden="false" customHeight="false" outlineLevel="0" collapsed="false">
      <c r="A108" s="9"/>
      <c r="B108" s="9"/>
      <c r="C108" s="14"/>
      <c r="D108" s="15"/>
      <c r="E108" s="14" t="str">
        <f aca="false">IF(OR(C108="",D108=""),"",C108*D108)</f>
        <v/>
      </c>
      <c r="F108" s="9"/>
    </row>
    <row r="109" customFormat="false" ht="15" hidden="false" customHeight="false" outlineLevel="0" collapsed="false">
      <c r="A109" s="9"/>
      <c r="B109" s="9"/>
      <c r="C109" s="14"/>
      <c r="D109" s="15"/>
      <c r="E109" s="14" t="str">
        <f aca="false">IF(OR(C109="",D109=""),"",C109*D109)</f>
        <v/>
      </c>
      <c r="F109" s="9"/>
    </row>
    <row r="110" customFormat="false" ht="15" hidden="false" customHeight="false" outlineLevel="0" collapsed="false">
      <c r="A110" s="9"/>
      <c r="B110" s="9"/>
      <c r="C110" s="14"/>
      <c r="D110" s="15"/>
      <c r="E110" s="14" t="str">
        <f aca="false">IF(OR(C110="",D110=""),"",C110*D110)</f>
        <v/>
      </c>
      <c r="F110" s="9"/>
    </row>
    <row r="111" customFormat="false" ht="15" hidden="false" customHeight="false" outlineLevel="0" collapsed="false">
      <c r="A111" s="9"/>
      <c r="B111" s="9"/>
      <c r="C111" s="14"/>
      <c r="D111" s="15"/>
      <c r="E111" s="14" t="str">
        <f aca="false">IF(OR(C111="",D111=""),"",C111*D111)</f>
        <v/>
      </c>
      <c r="F111" s="9"/>
    </row>
    <row r="112" customFormat="false" ht="15" hidden="false" customHeight="false" outlineLevel="0" collapsed="false">
      <c r="A112" s="9"/>
      <c r="B112" s="9"/>
      <c r="C112" s="14"/>
      <c r="D112" s="15"/>
      <c r="E112" s="14" t="str">
        <f aca="false">IF(OR(C112="",D112=""),"",C112*D112)</f>
        <v/>
      </c>
      <c r="F112" s="9"/>
    </row>
    <row r="113" customFormat="false" ht="15" hidden="false" customHeight="false" outlineLevel="0" collapsed="false">
      <c r="A113" s="9"/>
      <c r="B113" s="9"/>
      <c r="C113" s="14"/>
      <c r="D113" s="15"/>
      <c r="E113" s="14" t="str">
        <f aca="false">IF(OR(C113="",D113=""),"",C113*D113)</f>
        <v/>
      </c>
      <c r="F113" s="9"/>
    </row>
    <row r="114" customFormat="false" ht="15" hidden="false" customHeight="false" outlineLevel="0" collapsed="false">
      <c r="A114" s="9"/>
      <c r="B114" s="9"/>
      <c r="C114" s="14"/>
      <c r="D114" s="15"/>
      <c r="E114" s="14" t="str">
        <f aca="false">IF(OR(C114="",D114=""),"",C114*D114)</f>
        <v/>
      </c>
      <c r="F114" s="9"/>
    </row>
    <row r="115" customFormat="false" ht="15" hidden="false" customHeight="false" outlineLevel="0" collapsed="false">
      <c r="A115" s="9"/>
      <c r="B115" s="9"/>
      <c r="C115" s="14"/>
      <c r="D115" s="15"/>
      <c r="E115" s="14" t="str">
        <f aca="false">IF(OR(C115="",D115=""),"",C115*D115)</f>
        <v/>
      </c>
      <c r="F115" s="9"/>
    </row>
    <row r="116" customFormat="false" ht="15" hidden="false" customHeight="false" outlineLevel="0" collapsed="false">
      <c r="A116" s="9"/>
      <c r="B116" s="9"/>
      <c r="C116" s="14"/>
      <c r="D116" s="15"/>
      <c r="E116" s="14" t="str">
        <f aca="false">IF(OR(C116="",D116=""),"",C116*D116)</f>
        <v/>
      </c>
      <c r="F116" s="9"/>
    </row>
    <row r="117" customFormat="false" ht="15" hidden="false" customHeight="false" outlineLevel="0" collapsed="false">
      <c r="A117" s="9"/>
      <c r="B117" s="9"/>
      <c r="C117" s="14"/>
      <c r="D117" s="15"/>
      <c r="E117" s="14" t="str">
        <f aca="false">IF(OR(C117="",D117=""),"",C117*D117)</f>
        <v/>
      </c>
      <c r="F117" s="9"/>
    </row>
    <row r="118" customFormat="false" ht="15" hidden="false" customHeight="false" outlineLevel="0" collapsed="false">
      <c r="A118" s="9"/>
      <c r="B118" s="9"/>
      <c r="C118" s="14"/>
      <c r="D118" s="15"/>
      <c r="E118" s="14" t="str">
        <f aca="false">IF(OR(C118="",D118=""),"",C118*D118)</f>
        <v/>
      </c>
      <c r="F118" s="9"/>
    </row>
    <row r="119" customFormat="false" ht="15" hidden="false" customHeight="false" outlineLevel="0" collapsed="false">
      <c r="A119" s="9"/>
      <c r="B119" s="9"/>
      <c r="C119" s="14"/>
      <c r="D119" s="15"/>
      <c r="E119" s="14" t="str">
        <f aca="false">IF(OR(C119="",D119=""),"",C119*D119)</f>
        <v/>
      </c>
      <c r="F119" s="9"/>
    </row>
    <row r="120" customFormat="false" ht="15" hidden="false" customHeight="false" outlineLevel="0" collapsed="false">
      <c r="A120" s="9"/>
      <c r="B120" s="9"/>
      <c r="C120" s="14"/>
      <c r="D120" s="15"/>
      <c r="E120" s="14" t="str">
        <f aca="false">IF(OR(C120="",D120=""),"",C120*D120)</f>
        <v/>
      </c>
      <c r="F120" s="9"/>
    </row>
    <row r="121" customFormat="false" ht="15" hidden="false" customHeight="false" outlineLevel="0" collapsed="false">
      <c r="A121" s="9"/>
      <c r="B121" s="9"/>
      <c r="C121" s="14"/>
      <c r="D121" s="15"/>
      <c r="E121" s="14" t="str">
        <f aca="false">IF(OR(C121="",D121=""),"",C121*D121)</f>
        <v/>
      </c>
      <c r="F121" s="9"/>
    </row>
    <row r="122" customFormat="false" ht="15" hidden="false" customHeight="false" outlineLevel="0" collapsed="false">
      <c r="A122" s="9"/>
      <c r="B122" s="9"/>
      <c r="C122" s="14"/>
      <c r="D122" s="15"/>
      <c r="E122" s="14" t="str">
        <f aca="false">IF(OR(C122="",D122=""),"",C122*D122)</f>
        <v/>
      </c>
      <c r="F122" s="9"/>
    </row>
    <row r="123" customFormat="false" ht="15" hidden="false" customHeight="false" outlineLevel="0" collapsed="false">
      <c r="A123" s="9"/>
      <c r="B123" s="9"/>
      <c r="C123" s="14"/>
      <c r="D123" s="15"/>
      <c r="E123" s="14" t="str">
        <f aca="false">IF(OR(C123="",D123=""),"",C123*D123)</f>
        <v/>
      </c>
      <c r="F123" s="9"/>
    </row>
    <row r="124" customFormat="false" ht="15" hidden="false" customHeight="false" outlineLevel="0" collapsed="false">
      <c r="A124" s="9"/>
      <c r="B124" s="9"/>
      <c r="C124" s="14"/>
      <c r="D124" s="15"/>
      <c r="E124" s="14" t="str">
        <f aca="false">IF(OR(C124="",D124=""),"",C124*D124)</f>
        <v/>
      </c>
      <c r="F124" s="9"/>
    </row>
    <row r="125" customFormat="false" ht="15" hidden="false" customHeight="false" outlineLevel="0" collapsed="false">
      <c r="A125" s="9"/>
      <c r="B125" s="9"/>
      <c r="C125" s="14"/>
      <c r="D125" s="15"/>
      <c r="E125" s="14" t="str">
        <f aca="false">IF(OR(C125="",D125=""),"",C125*D125)</f>
        <v/>
      </c>
      <c r="F125" s="9"/>
    </row>
    <row r="126" customFormat="false" ht="15" hidden="false" customHeight="false" outlineLevel="0" collapsed="false">
      <c r="A126" s="9"/>
      <c r="B126" s="9"/>
      <c r="C126" s="14"/>
      <c r="D126" s="15"/>
      <c r="E126" s="14" t="str">
        <f aca="false">IF(OR(C126="",D126=""),"",C126*D126)</f>
        <v/>
      </c>
      <c r="F126" s="9"/>
    </row>
    <row r="127" customFormat="false" ht="15" hidden="false" customHeight="false" outlineLevel="0" collapsed="false">
      <c r="A127" s="9"/>
      <c r="B127" s="9"/>
      <c r="C127" s="14"/>
      <c r="D127" s="15"/>
      <c r="E127" s="14" t="str">
        <f aca="false">IF(OR(C127="",D127=""),"",C127*D127)</f>
        <v/>
      </c>
      <c r="F127" s="9"/>
    </row>
    <row r="128" customFormat="false" ht="15" hidden="false" customHeight="false" outlineLevel="0" collapsed="false">
      <c r="A128" s="9"/>
      <c r="B128" s="9"/>
      <c r="C128" s="14"/>
      <c r="D128" s="15"/>
      <c r="E128" s="14" t="str">
        <f aca="false">IF(OR(C128="",D128=""),"",C128*D128)</f>
        <v/>
      </c>
      <c r="F128" s="9"/>
    </row>
    <row r="129" customFormat="false" ht="15" hidden="false" customHeight="false" outlineLevel="0" collapsed="false">
      <c r="A129" s="9"/>
      <c r="B129" s="9"/>
      <c r="C129" s="14"/>
      <c r="D129" s="15"/>
      <c r="E129" s="14" t="str">
        <f aca="false">IF(OR(C129="",D129=""),"",C129*D129)</f>
        <v/>
      </c>
      <c r="F129" s="9"/>
    </row>
    <row r="130" customFormat="false" ht="15" hidden="false" customHeight="false" outlineLevel="0" collapsed="false">
      <c r="A130" s="9"/>
      <c r="B130" s="9"/>
      <c r="C130" s="14"/>
      <c r="D130" s="15"/>
      <c r="E130" s="14" t="str">
        <f aca="false">IF(OR(C130="",D130=""),"",C130*D130)</f>
        <v/>
      </c>
      <c r="F130" s="9"/>
    </row>
    <row r="131" customFormat="false" ht="15" hidden="false" customHeight="false" outlineLevel="0" collapsed="false">
      <c r="A131" s="9"/>
      <c r="B131" s="9"/>
      <c r="C131" s="14"/>
      <c r="D131" s="15"/>
      <c r="E131" s="14" t="str">
        <f aca="false">IF(OR(C131="",D131=""),"",C131*D131)</f>
        <v/>
      </c>
      <c r="F131" s="9"/>
    </row>
    <row r="132" customFormat="false" ht="15" hidden="false" customHeight="false" outlineLevel="0" collapsed="false">
      <c r="A132" s="9"/>
      <c r="B132" s="9"/>
      <c r="C132" s="14"/>
      <c r="D132" s="15"/>
      <c r="E132" s="14" t="str">
        <f aca="false">IF(OR(C132="",D132=""),"",C132*D132)</f>
        <v/>
      </c>
      <c r="F132" s="9"/>
    </row>
    <row r="133" customFormat="false" ht="15" hidden="false" customHeight="false" outlineLevel="0" collapsed="false">
      <c r="A133" s="9"/>
      <c r="B133" s="9"/>
      <c r="C133" s="14"/>
      <c r="D133" s="15"/>
      <c r="E133" s="14" t="str">
        <f aca="false">IF(OR(C133="",D133=""),"",C133*D133)</f>
        <v/>
      </c>
      <c r="F133" s="9"/>
    </row>
    <row r="134" customFormat="false" ht="15" hidden="false" customHeight="false" outlineLevel="0" collapsed="false">
      <c r="A134" s="9"/>
      <c r="B134" s="9"/>
      <c r="C134" s="14"/>
      <c r="D134" s="15"/>
      <c r="E134" s="14" t="str">
        <f aca="false">IF(OR(C134="",D134=""),"",C134*D134)</f>
        <v/>
      </c>
      <c r="F134" s="9"/>
    </row>
    <row r="135" customFormat="false" ht="15" hidden="false" customHeight="false" outlineLevel="0" collapsed="false">
      <c r="A135" s="9"/>
      <c r="B135" s="9"/>
      <c r="C135" s="14"/>
      <c r="D135" s="15"/>
      <c r="E135" s="14" t="str">
        <f aca="false">IF(OR(C135="",D135=""),"",C135*D135)</f>
        <v/>
      </c>
      <c r="F135" s="9"/>
    </row>
    <row r="136" customFormat="false" ht="15" hidden="false" customHeight="false" outlineLevel="0" collapsed="false">
      <c r="A136" s="9"/>
      <c r="B136" s="9"/>
      <c r="C136" s="14"/>
      <c r="D136" s="15"/>
      <c r="E136" s="14" t="str">
        <f aca="false">IF(OR(C136="",D136=""),"",C136*D136)</f>
        <v/>
      </c>
      <c r="F136" s="9"/>
    </row>
    <row r="137" customFormat="false" ht="15" hidden="false" customHeight="false" outlineLevel="0" collapsed="false">
      <c r="A137" s="9"/>
      <c r="B137" s="9"/>
      <c r="C137" s="14"/>
      <c r="D137" s="15"/>
      <c r="E137" s="14" t="str">
        <f aca="false">IF(OR(C137="",D137=""),"",C137*D137)</f>
        <v/>
      </c>
      <c r="F137" s="9"/>
    </row>
    <row r="138" customFormat="false" ht="15" hidden="false" customHeight="false" outlineLevel="0" collapsed="false">
      <c r="A138" s="9"/>
      <c r="B138" s="9"/>
      <c r="C138" s="14"/>
      <c r="D138" s="15"/>
      <c r="E138" s="14" t="str">
        <f aca="false">IF(OR(C138="",D138=""),"",C138*D138)</f>
        <v/>
      </c>
      <c r="F138" s="9"/>
    </row>
    <row r="139" customFormat="false" ht="15" hidden="false" customHeight="false" outlineLevel="0" collapsed="false">
      <c r="A139" s="9"/>
      <c r="B139" s="9"/>
      <c r="C139" s="14"/>
      <c r="D139" s="15"/>
      <c r="E139" s="14" t="str">
        <f aca="false">IF(OR(C139="",D139=""),"",C139*D139)</f>
        <v/>
      </c>
      <c r="F139" s="9"/>
    </row>
    <row r="140" customFormat="false" ht="15" hidden="false" customHeight="false" outlineLevel="0" collapsed="false">
      <c r="A140" s="9"/>
      <c r="B140" s="9"/>
      <c r="C140" s="14"/>
      <c r="D140" s="15"/>
      <c r="E140" s="14" t="str">
        <f aca="false">IF(OR(C140="",D140=""),"",C140*D140)</f>
        <v/>
      </c>
      <c r="F140" s="9"/>
    </row>
    <row r="141" customFormat="false" ht="15" hidden="false" customHeight="false" outlineLevel="0" collapsed="false">
      <c r="A141" s="9"/>
      <c r="B141" s="9"/>
      <c r="C141" s="14"/>
      <c r="D141" s="15"/>
      <c r="E141" s="14" t="str">
        <f aca="false">IF(OR(C141="",D141=""),"",C141*D141)</f>
        <v/>
      </c>
      <c r="F141" s="9"/>
    </row>
    <row r="142" customFormat="false" ht="15" hidden="false" customHeight="false" outlineLevel="0" collapsed="false">
      <c r="A142" s="9"/>
      <c r="B142" s="9"/>
      <c r="C142" s="14"/>
      <c r="D142" s="15"/>
      <c r="E142" s="14" t="str">
        <f aca="false">IF(OR(C142="",D142=""),"",C142*D142)</f>
        <v/>
      </c>
      <c r="F142" s="9"/>
    </row>
    <row r="143" customFormat="false" ht="15" hidden="false" customHeight="false" outlineLevel="0" collapsed="false">
      <c r="A143" s="9"/>
      <c r="B143" s="9"/>
      <c r="C143" s="14"/>
      <c r="D143" s="15"/>
      <c r="E143" s="14" t="str">
        <f aca="false">IF(OR(C143="",D143=""),"",C143*D143)</f>
        <v/>
      </c>
      <c r="F143" s="9"/>
    </row>
    <row r="144" customFormat="false" ht="15" hidden="false" customHeight="false" outlineLevel="0" collapsed="false">
      <c r="A144" s="9"/>
      <c r="B144" s="9"/>
      <c r="C144" s="14"/>
      <c r="D144" s="15"/>
      <c r="E144" s="14" t="str">
        <f aca="false">IF(OR(C144="",D144=""),"",C144*D144)</f>
        <v/>
      </c>
      <c r="F144" s="9"/>
    </row>
    <row r="145" customFormat="false" ht="15" hidden="false" customHeight="false" outlineLevel="0" collapsed="false">
      <c r="A145" s="9"/>
      <c r="B145" s="9"/>
      <c r="C145" s="14"/>
      <c r="D145" s="15"/>
      <c r="E145" s="14" t="str">
        <f aca="false">IF(OR(C145="",D145=""),"",C145*D145)</f>
        <v/>
      </c>
      <c r="F145" s="9"/>
    </row>
    <row r="146" customFormat="false" ht="15" hidden="false" customHeight="false" outlineLevel="0" collapsed="false">
      <c r="A146" s="9"/>
      <c r="B146" s="9"/>
      <c r="C146" s="14"/>
      <c r="D146" s="15"/>
      <c r="E146" s="14" t="str">
        <f aca="false">IF(OR(C146="",D146=""),"",C146*D146)</f>
        <v/>
      </c>
      <c r="F146" s="9"/>
    </row>
    <row r="147" customFormat="false" ht="15" hidden="false" customHeight="false" outlineLevel="0" collapsed="false">
      <c r="A147" s="9"/>
      <c r="B147" s="9"/>
      <c r="C147" s="14"/>
      <c r="D147" s="15"/>
      <c r="E147" s="14" t="str">
        <f aca="false">IF(OR(C147="",D147=""),"",C147*D147)</f>
        <v/>
      </c>
      <c r="F147" s="9"/>
    </row>
    <row r="148" customFormat="false" ht="15" hidden="false" customHeight="false" outlineLevel="0" collapsed="false">
      <c r="A148" s="9"/>
      <c r="B148" s="9"/>
      <c r="C148" s="14"/>
      <c r="D148" s="15"/>
      <c r="E148" s="14" t="str">
        <f aca="false">IF(OR(C148="",D148=""),"",C148*D148)</f>
        <v/>
      </c>
      <c r="F148" s="9"/>
    </row>
    <row r="149" customFormat="false" ht="15" hidden="false" customHeight="false" outlineLevel="0" collapsed="false">
      <c r="A149" s="9"/>
      <c r="B149" s="9"/>
      <c r="C149" s="14"/>
      <c r="D149" s="15"/>
      <c r="E149" s="14" t="str">
        <f aca="false">IF(OR(C149="",D149=""),"",C149*D149)</f>
        <v/>
      </c>
      <c r="F149" s="9"/>
    </row>
    <row r="150" customFormat="false" ht="15" hidden="false" customHeight="false" outlineLevel="0" collapsed="false">
      <c r="A150" s="9"/>
      <c r="B150" s="9"/>
      <c r="C150" s="14"/>
      <c r="D150" s="15"/>
      <c r="E150" s="14" t="str">
        <f aca="false">IF(OR(C150="",D150=""),"",C150*D150)</f>
        <v/>
      </c>
      <c r="F150" s="9"/>
    </row>
    <row r="151" customFormat="false" ht="15" hidden="false" customHeight="false" outlineLevel="0" collapsed="false">
      <c r="A151" s="9"/>
      <c r="B151" s="9"/>
      <c r="C151" s="14"/>
      <c r="D151" s="15"/>
      <c r="E151" s="14" t="str">
        <f aca="false">IF(OR(C151="",D151=""),"",C151*D151)</f>
        <v/>
      </c>
      <c r="F151" s="9"/>
    </row>
    <row r="152" customFormat="false" ht="15" hidden="false" customHeight="false" outlineLevel="0" collapsed="false">
      <c r="A152" s="9"/>
      <c r="B152" s="9"/>
      <c r="C152" s="14"/>
      <c r="D152" s="15"/>
      <c r="E152" s="14" t="str">
        <f aca="false">IF(OR(C152="",D152=""),"",C152*D152)</f>
        <v/>
      </c>
      <c r="F152" s="9"/>
    </row>
    <row r="153" customFormat="false" ht="15" hidden="false" customHeight="false" outlineLevel="0" collapsed="false">
      <c r="A153" s="9"/>
      <c r="B153" s="9"/>
      <c r="C153" s="14"/>
      <c r="D153" s="15"/>
      <c r="E153" s="14" t="str">
        <f aca="false">IF(OR(C153="",D153=""),"",C153*D153)</f>
        <v/>
      </c>
      <c r="F153" s="9"/>
    </row>
    <row r="154" customFormat="false" ht="15" hidden="false" customHeight="false" outlineLevel="0" collapsed="false">
      <c r="A154" s="9"/>
      <c r="B154" s="9"/>
      <c r="C154" s="14"/>
      <c r="D154" s="15"/>
      <c r="E154" s="14" t="str">
        <f aca="false">IF(OR(C154="",D154=""),"",C154*D154)</f>
        <v/>
      </c>
      <c r="F154" s="9"/>
    </row>
    <row r="155" customFormat="false" ht="15" hidden="false" customHeight="false" outlineLevel="0" collapsed="false">
      <c r="A155" s="9"/>
      <c r="B155" s="9"/>
      <c r="C155" s="14"/>
      <c r="D155" s="15"/>
      <c r="E155" s="14" t="str">
        <f aca="false">IF(OR(C155="",D155=""),"",C155*D155)</f>
        <v/>
      </c>
      <c r="F155" s="9"/>
    </row>
    <row r="156" customFormat="false" ht="15" hidden="false" customHeight="false" outlineLevel="0" collapsed="false">
      <c r="A156" s="9"/>
      <c r="B156" s="9"/>
      <c r="C156" s="14"/>
      <c r="D156" s="15"/>
      <c r="E156" s="14" t="str">
        <f aca="false">IF(OR(C156="",D156=""),"",C156*D156)</f>
        <v/>
      </c>
      <c r="F156" s="9"/>
    </row>
    <row r="157" customFormat="false" ht="15" hidden="false" customHeight="false" outlineLevel="0" collapsed="false">
      <c r="A157" s="9"/>
      <c r="B157" s="9"/>
      <c r="C157" s="14"/>
      <c r="D157" s="15"/>
      <c r="E157" s="14" t="str">
        <f aca="false">IF(OR(C157="",D157=""),"",C157*D157)</f>
        <v/>
      </c>
      <c r="F157" s="9"/>
    </row>
    <row r="158" customFormat="false" ht="15" hidden="false" customHeight="false" outlineLevel="0" collapsed="false">
      <c r="A158" s="9"/>
      <c r="B158" s="9"/>
      <c r="C158" s="14"/>
      <c r="D158" s="15"/>
      <c r="E158" s="14" t="str">
        <f aca="false">IF(OR(C158="",D158=""),"",C158*D158)</f>
        <v/>
      </c>
      <c r="F158" s="9"/>
    </row>
    <row r="159" customFormat="false" ht="15" hidden="false" customHeight="false" outlineLevel="0" collapsed="false">
      <c r="A159" s="9"/>
      <c r="B159" s="9"/>
      <c r="C159" s="14"/>
      <c r="D159" s="15"/>
      <c r="E159" s="14" t="str">
        <f aca="false">IF(OR(C159="",D159=""),"",C159*D159)</f>
        <v/>
      </c>
      <c r="F159" s="9"/>
    </row>
    <row r="160" customFormat="false" ht="15" hidden="false" customHeight="false" outlineLevel="0" collapsed="false">
      <c r="A160" s="9"/>
      <c r="B160" s="9"/>
      <c r="C160" s="14"/>
      <c r="D160" s="15"/>
      <c r="E160" s="14" t="str">
        <f aca="false">IF(OR(C160="",D160=""),"",C160*D160)</f>
        <v/>
      </c>
      <c r="F160" s="9"/>
    </row>
    <row r="161" customFormat="false" ht="15" hidden="false" customHeight="false" outlineLevel="0" collapsed="false">
      <c r="A161" s="9"/>
      <c r="B161" s="9"/>
      <c r="C161" s="14"/>
      <c r="D161" s="15"/>
      <c r="E161" s="14" t="str">
        <f aca="false">IF(OR(C161="",D161=""),"",C161*D161)</f>
        <v/>
      </c>
      <c r="F161" s="9"/>
    </row>
    <row r="162" customFormat="false" ht="15" hidden="false" customHeight="false" outlineLevel="0" collapsed="false">
      <c r="A162" s="9"/>
      <c r="B162" s="9"/>
      <c r="C162" s="14"/>
      <c r="D162" s="15"/>
      <c r="E162" s="14" t="str">
        <f aca="false">IF(OR(C162="",D162=""),"",C162*D162)</f>
        <v/>
      </c>
      <c r="F162" s="9"/>
    </row>
    <row r="163" customFormat="false" ht="15" hidden="false" customHeight="false" outlineLevel="0" collapsed="false">
      <c r="A163" s="9"/>
      <c r="B163" s="9"/>
      <c r="C163" s="14"/>
      <c r="D163" s="15"/>
      <c r="E163" s="14" t="str">
        <f aca="false">IF(OR(C163="",D163=""),"",C163*D163)</f>
        <v/>
      </c>
      <c r="F163" s="9"/>
    </row>
    <row r="164" customFormat="false" ht="15" hidden="false" customHeight="false" outlineLevel="0" collapsed="false">
      <c r="A164" s="9"/>
      <c r="B164" s="9"/>
      <c r="C164" s="14"/>
      <c r="D164" s="15"/>
      <c r="E164" s="14" t="str">
        <f aca="false">IF(OR(C164="",D164=""),"",C164*D164)</f>
        <v/>
      </c>
      <c r="F164" s="9"/>
    </row>
    <row r="165" customFormat="false" ht="15" hidden="false" customHeight="false" outlineLevel="0" collapsed="false">
      <c r="A165" s="9"/>
      <c r="B165" s="9"/>
      <c r="C165" s="14"/>
      <c r="D165" s="15"/>
      <c r="E165" s="14" t="str">
        <f aca="false">IF(OR(C165="",D165=""),"",C165*D165)</f>
        <v/>
      </c>
      <c r="F165" s="9"/>
    </row>
    <row r="166" customFormat="false" ht="15" hidden="false" customHeight="false" outlineLevel="0" collapsed="false">
      <c r="A166" s="9"/>
      <c r="B166" s="9"/>
      <c r="C166" s="14"/>
      <c r="D166" s="15"/>
      <c r="E166" s="14" t="str">
        <f aca="false">IF(OR(C166="",D166=""),"",C166*D166)</f>
        <v/>
      </c>
      <c r="F166" s="9"/>
    </row>
    <row r="167" customFormat="false" ht="15" hidden="false" customHeight="false" outlineLevel="0" collapsed="false">
      <c r="A167" s="9"/>
      <c r="B167" s="9"/>
      <c r="C167" s="14"/>
      <c r="D167" s="15"/>
      <c r="E167" s="14" t="str">
        <f aca="false">IF(OR(C167="",D167=""),"",C167*D167)</f>
        <v/>
      </c>
      <c r="F167" s="9"/>
    </row>
    <row r="168" customFormat="false" ht="15" hidden="false" customHeight="false" outlineLevel="0" collapsed="false">
      <c r="A168" s="9"/>
      <c r="B168" s="9"/>
      <c r="C168" s="14"/>
      <c r="D168" s="15"/>
      <c r="E168" s="14" t="str">
        <f aca="false">IF(OR(C168="",D168=""),"",C168*D168)</f>
        <v/>
      </c>
      <c r="F168" s="9"/>
    </row>
    <row r="169" customFormat="false" ht="15" hidden="false" customHeight="false" outlineLevel="0" collapsed="false">
      <c r="A169" s="9"/>
      <c r="B169" s="9"/>
      <c r="C169" s="14"/>
      <c r="D169" s="15"/>
      <c r="E169" s="14" t="str">
        <f aca="false">IF(OR(C169="",D169=""),"",C169*D169)</f>
        <v/>
      </c>
      <c r="F169" s="9"/>
    </row>
    <row r="170" customFormat="false" ht="15" hidden="false" customHeight="false" outlineLevel="0" collapsed="false">
      <c r="A170" s="9"/>
      <c r="B170" s="9"/>
      <c r="C170" s="14"/>
      <c r="D170" s="15"/>
      <c r="E170" s="14" t="str">
        <f aca="false">IF(OR(C170="",D170=""),"",C170*D170)</f>
        <v/>
      </c>
      <c r="F170" s="9"/>
    </row>
    <row r="171" customFormat="false" ht="15" hidden="false" customHeight="false" outlineLevel="0" collapsed="false">
      <c r="A171" s="9"/>
      <c r="B171" s="9"/>
      <c r="C171" s="14"/>
      <c r="D171" s="15"/>
      <c r="E171" s="14" t="str">
        <f aca="false">IF(OR(C171="",D171=""),"",C171*D171)</f>
        <v/>
      </c>
      <c r="F171" s="9"/>
    </row>
    <row r="172" customFormat="false" ht="15" hidden="false" customHeight="false" outlineLevel="0" collapsed="false">
      <c r="A172" s="9"/>
      <c r="B172" s="9"/>
      <c r="C172" s="14"/>
      <c r="D172" s="15"/>
      <c r="E172" s="14" t="str">
        <f aca="false">IF(OR(C172="",D172=""),"",C172*D172)</f>
        <v/>
      </c>
      <c r="F172" s="9"/>
    </row>
    <row r="173" customFormat="false" ht="15" hidden="false" customHeight="false" outlineLevel="0" collapsed="false">
      <c r="A173" s="9"/>
      <c r="B173" s="9"/>
      <c r="C173" s="14"/>
      <c r="D173" s="15"/>
      <c r="E173" s="14" t="str">
        <f aca="false">IF(OR(C173="",D173=""),"",C173*D173)</f>
        <v/>
      </c>
      <c r="F173" s="9"/>
    </row>
    <row r="174" customFormat="false" ht="15" hidden="false" customHeight="false" outlineLevel="0" collapsed="false">
      <c r="A174" s="9"/>
      <c r="B174" s="9"/>
      <c r="C174" s="14"/>
      <c r="D174" s="15"/>
      <c r="E174" s="14" t="str">
        <f aca="false">IF(OR(C174="",D174=""),"",C174*D174)</f>
        <v/>
      </c>
      <c r="F174" s="9"/>
    </row>
    <row r="175" customFormat="false" ht="15" hidden="false" customHeight="false" outlineLevel="0" collapsed="false">
      <c r="A175" s="9"/>
      <c r="B175" s="9"/>
      <c r="C175" s="14"/>
      <c r="D175" s="15"/>
      <c r="E175" s="14" t="str">
        <f aca="false">IF(OR(C175="",D175=""),"",C175*D175)</f>
        <v/>
      </c>
      <c r="F175" s="9"/>
    </row>
    <row r="176" customFormat="false" ht="15" hidden="false" customHeight="false" outlineLevel="0" collapsed="false">
      <c r="A176" s="9"/>
      <c r="B176" s="9"/>
      <c r="C176" s="14"/>
      <c r="D176" s="15"/>
      <c r="E176" s="14" t="str">
        <f aca="false">IF(OR(C176="",D176=""),"",C176*D176)</f>
        <v/>
      </c>
      <c r="F176" s="9"/>
    </row>
    <row r="177" customFormat="false" ht="15" hidden="false" customHeight="false" outlineLevel="0" collapsed="false">
      <c r="A177" s="9"/>
      <c r="B177" s="9"/>
      <c r="C177" s="14"/>
      <c r="D177" s="15"/>
      <c r="E177" s="14" t="str">
        <f aca="false">IF(OR(C177="",D177=""),"",C177*D177)</f>
        <v/>
      </c>
      <c r="F177" s="9"/>
    </row>
    <row r="178" customFormat="false" ht="15" hidden="false" customHeight="false" outlineLevel="0" collapsed="false">
      <c r="A178" s="9"/>
      <c r="B178" s="9"/>
      <c r="C178" s="14"/>
      <c r="D178" s="15"/>
      <c r="E178" s="14" t="str">
        <f aca="false">IF(OR(C178="",D178=""),"",C178*D178)</f>
        <v/>
      </c>
      <c r="F178" s="9"/>
    </row>
    <row r="179" customFormat="false" ht="15" hidden="false" customHeight="false" outlineLevel="0" collapsed="false">
      <c r="A179" s="9"/>
      <c r="B179" s="9"/>
      <c r="C179" s="14"/>
      <c r="D179" s="15"/>
      <c r="E179" s="14" t="str">
        <f aca="false">IF(OR(C179="",D179=""),"",C179*D179)</f>
        <v/>
      </c>
      <c r="F179" s="9"/>
    </row>
    <row r="180" customFormat="false" ht="15" hidden="false" customHeight="false" outlineLevel="0" collapsed="false">
      <c r="A180" s="9"/>
      <c r="B180" s="9"/>
      <c r="C180" s="14"/>
      <c r="D180" s="15"/>
      <c r="E180" s="14" t="str">
        <f aca="false">IF(OR(C180="",D180=""),"",C180*D180)</f>
        <v/>
      </c>
      <c r="F180" s="9"/>
    </row>
    <row r="181" customFormat="false" ht="15" hidden="false" customHeight="false" outlineLevel="0" collapsed="false">
      <c r="A181" s="9"/>
      <c r="B181" s="9"/>
      <c r="C181" s="14"/>
      <c r="D181" s="15"/>
      <c r="E181" s="14" t="str">
        <f aca="false">IF(OR(C181="",D181=""),"",C181*D181)</f>
        <v/>
      </c>
      <c r="F181" s="9"/>
    </row>
    <row r="182" customFormat="false" ht="15" hidden="false" customHeight="false" outlineLevel="0" collapsed="false">
      <c r="A182" s="9"/>
      <c r="B182" s="9"/>
      <c r="C182" s="14"/>
      <c r="D182" s="15"/>
      <c r="E182" s="14" t="str">
        <f aca="false">IF(OR(C182="",D182=""),"",C182*D182)</f>
        <v/>
      </c>
      <c r="F182" s="9"/>
    </row>
    <row r="183" customFormat="false" ht="15" hidden="false" customHeight="false" outlineLevel="0" collapsed="false">
      <c r="A183" s="9"/>
      <c r="B183" s="9"/>
      <c r="C183" s="14"/>
      <c r="D183" s="15"/>
      <c r="E183" s="14" t="str">
        <f aca="false">IF(OR(C183="",D183=""),"",C183*D183)</f>
        <v/>
      </c>
      <c r="F183" s="9"/>
    </row>
    <row r="184" customFormat="false" ht="15" hidden="false" customHeight="false" outlineLevel="0" collapsed="false">
      <c r="A184" s="9"/>
      <c r="B184" s="9"/>
      <c r="C184" s="14"/>
      <c r="D184" s="15"/>
      <c r="E184" s="14" t="str">
        <f aca="false">IF(OR(C184="",D184=""),"",C184*D184)</f>
        <v/>
      </c>
      <c r="F184" s="9"/>
    </row>
    <row r="185" customFormat="false" ht="15" hidden="false" customHeight="false" outlineLevel="0" collapsed="false">
      <c r="A185" s="9"/>
      <c r="B185" s="9"/>
      <c r="C185" s="14"/>
      <c r="D185" s="15"/>
      <c r="E185" s="14" t="str">
        <f aca="false">IF(OR(C185="",D185=""),"",C185*D185)</f>
        <v/>
      </c>
      <c r="F185" s="9"/>
    </row>
    <row r="186" customFormat="false" ht="15" hidden="false" customHeight="false" outlineLevel="0" collapsed="false">
      <c r="A186" s="9"/>
      <c r="B186" s="9"/>
      <c r="C186" s="14"/>
      <c r="D186" s="15"/>
      <c r="E186" s="14" t="str">
        <f aca="false">IF(OR(C186="",D186=""),"",C186*D186)</f>
        <v/>
      </c>
      <c r="F186" s="9"/>
    </row>
    <row r="187" customFormat="false" ht="15" hidden="false" customHeight="false" outlineLevel="0" collapsed="false">
      <c r="A187" s="9"/>
      <c r="B187" s="9"/>
      <c r="C187" s="14"/>
      <c r="D187" s="15"/>
      <c r="E187" s="14" t="str">
        <f aca="false">IF(OR(C187="",D187=""),"",C187*D187)</f>
        <v/>
      </c>
      <c r="F187" s="9"/>
    </row>
    <row r="188" customFormat="false" ht="15" hidden="false" customHeight="false" outlineLevel="0" collapsed="false">
      <c r="A188" s="9"/>
      <c r="B188" s="9"/>
      <c r="C188" s="14"/>
      <c r="D188" s="15"/>
      <c r="E188" s="14" t="str">
        <f aca="false">IF(OR(C188="",D188=""),"",C188*D188)</f>
        <v/>
      </c>
      <c r="F188" s="9"/>
    </row>
    <row r="189" customFormat="false" ht="15" hidden="false" customHeight="false" outlineLevel="0" collapsed="false">
      <c r="A189" s="9"/>
      <c r="B189" s="9"/>
      <c r="C189" s="14"/>
      <c r="D189" s="15"/>
      <c r="E189" s="14" t="str">
        <f aca="false">IF(OR(C189="",D189=""),"",C189*D189)</f>
        <v/>
      </c>
      <c r="F189" s="9"/>
    </row>
    <row r="190" customFormat="false" ht="15" hidden="false" customHeight="false" outlineLevel="0" collapsed="false">
      <c r="A190" s="9"/>
      <c r="B190" s="9"/>
      <c r="C190" s="14"/>
      <c r="D190" s="15"/>
      <c r="E190" s="14" t="str">
        <f aca="false">IF(OR(C190="",D190=""),"",C190*D190)</f>
        <v/>
      </c>
      <c r="F190" s="9"/>
    </row>
    <row r="191" customFormat="false" ht="15" hidden="false" customHeight="false" outlineLevel="0" collapsed="false">
      <c r="A191" s="9"/>
      <c r="B191" s="9"/>
      <c r="C191" s="14"/>
      <c r="D191" s="15"/>
      <c r="E191" s="14" t="str">
        <f aca="false">IF(OR(C191="",D191=""),"",C191*D191)</f>
        <v/>
      </c>
      <c r="F191" s="9"/>
    </row>
    <row r="192" customFormat="false" ht="15" hidden="false" customHeight="false" outlineLevel="0" collapsed="false">
      <c r="A192" s="9"/>
      <c r="B192" s="9"/>
      <c r="C192" s="14"/>
      <c r="D192" s="15"/>
      <c r="E192" s="14" t="str">
        <f aca="false">IF(OR(C192="",D192=""),"",C192*D192)</f>
        <v/>
      </c>
      <c r="F192" s="9"/>
    </row>
    <row r="193" customFormat="false" ht="15" hidden="false" customHeight="false" outlineLevel="0" collapsed="false">
      <c r="A193" s="9"/>
      <c r="B193" s="9"/>
      <c r="C193" s="14"/>
      <c r="D193" s="15"/>
      <c r="E193" s="14" t="str">
        <f aca="false">IF(OR(C193="",D193=""),"",C193*D193)</f>
        <v/>
      </c>
      <c r="F193" s="9"/>
    </row>
    <row r="194" customFormat="false" ht="15" hidden="false" customHeight="false" outlineLevel="0" collapsed="false">
      <c r="A194" s="9"/>
      <c r="B194" s="9"/>
      <c r="C194" s="14"/>
      <c r="D194" s="15"/>
      <c r="E194" s="14" t="str">
        <f aca="false">IF(OR(C194="",D194=""),"",C194*D194)</f>
        <v/>
      </c>
      <c r="F194" s="9"/>
    </row>
    <row r="195" customFormat="false" ht="15" hidden="false" customHeight="false" outlineLevel="0" collapsed="false">
      <c r="A195" s="9"/>
      <c r="B195" s="9"/>
      <c r="C195" s="14"/>
      <c r="D195" s="15"/>
      <c r="E195" s="14" t="str">
        <f aca="false">IF(OR(C195="",D195=""),"",C195*D195)</f>
        <v/>
      </c>
      <c r="F195" s="9"/>
    </row>
    <row r="196" customFormat="false" ht="15" hidden="false" customHeight="false" outlineLevel="0" collapsed="false">
      <c r="A196" s="9"/>
      <c r="B196" s="9"/>
      <c r="C196" s="14"/>
      <c r="D196" s="15"/>
      <c r="E196" s="14" t="str">
        <f aca="false">IF(OR(C196="",D196=""),"",C196*D196)</f>
        <v/>
      </c>
      <c r="F196" s="9"/>
    </row>
    <row r="197" customFormat="false" ht="15" hidden="false" customHeight="false" outlineLevel="0" collapsed="false">
      <c r="A197" s="9"/>
      <c r="B197" s="9"/>
      <c r="C197" s="14"/>
      <c r="D197" s="15"/>
      <c r="E197" s="14" t="str">
        <f aca="false">IF(OR(C197="",D197=""),"",C197*D197)</f>
        <v/>
      </c>
      <c r="F197" s="9"/>
    </row>
    <row r="198" customFormat="false" ht="15" hidden="false" customHeight="false" outlineLevel="0" collapsed="false">
      <c r="A198" s="9"/>
      <c r="B198" s="9"/>
      <c r="C198" s="14"/>
      <c r="D198" s="15"/>
      <c r="E198" s="14" t="str">
        <f aca="false">IF(OR(C198="",D198=""),"",C198*D198)</f>
        <v/>
      </c>
      <c r="F198" s="9"/>
    </row>
    <row r="199" customFormat="false" ht="15" hidden="false" customHeight="false" outlineLevel="0" collapsed="false">
      <c r="A199" s="9"/>
      <c r="B199" s="9"/>
      <c r="C199" s="14"/>
      <c r="D199" s="15"/>
      <c r="E199" s="14" t="str">
        <f aca="false">IF(OR(C199="",D199=""),"",C199*D199)</f>
        <v/>
      </c>
      <c r="F199" s="9"/>
    </row>
    <row r="200" customFormat="false" ht="15" hidden="false" customHeight="false" outlineLevel="0" collapsed="false">
      <c r="A200" s="9"/>
      <c r="B200" s="9"/>
      <c r="C200" s="14"/>
      <c r="D200" s="15"/>
      <c r="E200" s="14" t="str">
        <f aca="false">IF(OR(C200="",D200=""),"",C200*D200)</f>
        <v/>
      </c>
      <c r="F200" s="9"/>
    </row>
    <row r="201" customFormat="false" ht="15" hidden="false" customHeight="false" outlineLevel="0" collapsed="false">
      <c r="A201" s="9"/>
      <c r="B201" s="9"/>
      <c r="C201" s="14"/>
      <c r="D201" s="15"/>
      <c r="E201" s="14" t="str">
        <f aca="false">IF(OR(C201="",D201=""),"",C201*D201)</f>
        <v/>
      </c>
      <c r="F201" s="9"/>
    </row>
    <row r="202" customFormat="false" ht="15" hidden="false" customHeight="false" outlineLevel="0" collapsed="false">
      <c r="A202" s="9"/>
      <c r="B202" s="9"/>
      <c r="C202" s="14"/>
      <c r="D202" s="15"/>
      <c r="E202" s="14" t="str">
        <f aca="false">IF(OR(C202="",D202=""),"",C202*D202)</f>
        <v/>
      </c>
      <c r="F202" s="9"/>
    </row>
    <row r="203" customFormat="false" ht="15" hidden="false" customHeight="false" outlineLevel="0" collapsed="false">
      <c r="A203" s="9"/>
      <c r="B203" s="9"/>
      <c r="C203" s="14"/>
      <c r="D203" s="15"/>
      <c r="E203" s="14" t="str">
        <f aca="false">IF(OR(C203="",D203=""),"",C203*D203)</f>
        <v/>
      </c>
      <c r="F203" s="9"/>
    </row>
    <row r="204" customFormat="false" ht="15" hidden="false" customHeight="false" outlineLevel="0" collapsed="false">
      <c r="A204" s="9"/>
      <c r="B204" s="9"/>
      <c r="C204" s="14"/>
      <c r="D204" s="15"/>
      <c r="E204" s="14" t="str">
        <f aca="false">IF(OR(C204="",D204=""),"",C204*D204)</f>
        <v/>
      </c>
      <c r="F204" s="9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E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3" min="12" style="0" width="12"/>
    <col collapsed="false" customWidth="true" hidden="false" outlineLevel="0" max="14" min="14" style="0" width="11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20" min="19" style="0" width="12"/>
    <col collapsed="false" customWidth="true" hidden="false" outlineLevel="0" max="21" min="21" style="0" width="10"/>
    <col collapsed="false" customWidth="true" hidden="false" outlineLevel="0" max="22" min="22" style="0" width="12"/>
    <col collapsed="false" customWidth="true" hidden="false" outlineLevel="0" max="28" min="23" style="0" width="11"/>
    <col collapsed="false" customWidth="true" hidden="false" outlineLevel="0" max="29" min="29" style="0" width="10"/>
    <col collapsed="false" customWidth="true" hidden="true" outlineLevel="0" max="39" min="30" style="0" width="13"/>
    <col collapsed="false" customWidth="true" hidden="false" outlineLevel="0" max="40" min="40" style="0" width="15"/>
    <col collapsed="false" customWidth="true" hidden="false" outlineLevel="0" max="41" min="41" style="0" width="13"/>
    <col collapsed="false" customWidth="true" hidden="false" outlineLevel="0" max="42" min="42" style="0" width="14"/>
    <col collapsed="false" customWidth="true" hidden="false" outlineLevel="0" max="43" min="43" style="0" width="19"/>
    <col collapsed="false" customWidth="true" hidden="false" outlineLevel="0" max="44" min="44" style="0" width="14"/>
    <col collapsed="false" customWidth="true" hidden="false" outlineLevel="0" max="45" min="45" style="0" width="12"/>
    <col collapsed="false" customWidth="true" hidden="false" outlineLevel="0" max="46" min="46" style="0" width="18"/>
    <col collapsed="false" customWidth="true" hidden="false" outlineLevel="0" max="47" min="47" style="0" width="17"/>
    <col collapsed="false" customWidth="true" hidden="false" outlineLevel="0" max="48" min="48" style="0" width="19"/>
    <col collapsed="false" customWidth="true" hidden="false" outlineLevel="0" max="49" min="49" style="0" width="14"/>
    <col collapsed="false" customWidth="true" hidden="false" outlineLevel="0" max="50" min="50" style="0" width="18"/>
    <col collapsed="false" customWidth="true" hidden="true" outlineLevel="0" max="83" min="51" style="0" width="13"/>
  </cols>
  <sheetData>
    <row r="1" customFormat="false" ht="15" hidden="false" customHeight="false" outlineLevel="0" collapsed="false">
      <c r="A1" s="1" t="s">
        <v>98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5" hidden="false" customHeight="false" outlineLevel="0" collapsed="false">
      <c r="A2" s="0" t="s">
        <v>99</v>
      </c>
      <c r="B2" s="16" t="str">
        <f aca="false">IF(COUNTIF(AC4:AC203,"CHECK")&gt;0,"CHECK","OK")</f>
        <v>OK</v>
      </c>
      <c r="D2" s="0" t="s">
        <v>100</v>
      </c>
      <c r="E2" s="17" t="n">
        <f aca="false">COUNTIF(AC4:AC203,"CHECK")</f>
        <v>0</v>
      </c>
    </row>
    <row r="3" customFormat="false" ht="39.55" hidden="false" customHeight="false" outlineLevel="0" collapsed="false">
      <c r="A3" s="18" t="s">
        <v>101</v>
      </c>
      <c r="B3" s="18" t="s">
        <v>93</v>
      </c>
      <c r="C3" s="18" t="s">
        <v>102</v>
      </c>
      <c r="D3" s="18" t="s">
        <v>103</v>
      </c>
      <c r="E3" s="18" t="s">
        <v>104</v>
      </c>
      <c r="F3" s="18" t="s">
        <v>105</v>
      </c>
      <c r="G3" s="18" t="s">
        <v>106</v>
      </c>
      <c r="H3" s="18" t="s">
        <v>107</v>
      </c>
      <c r="I3" s="18" t="s">
        <v>108</v>
      </c>
      <c r="J3" s="18" t="s">
        <v>109</v>
      </c>
      <c r="K3" s="18" t="s">
        <v>110</v>
      </c>
      <c r="L3" s="18" t="s">
        <v>111</v>
      </c>
      <c r="M3" s="18" t="s">
        <v>112</v>
      </c>
      <c r="N3" s="18" t="s">
        <v>113</v>
      </c>
      <c r="O3" s="18" t="s">
        <v>114</v>
      </c>
      <c r="P3" s="18" t="s">
        <v>115</v>
      </c>
      <c r="Q3" s="18" t="s">
        <v>116</v>
      </c>
      <c r="R3" s="18" t="s">
        <v>117</v>
      </c>
      <c r="S3" s="18" t="s">
        <v>118</v>
      </c>
      <c r="T3" s="18" t="s">
        <v>119</v>
      </c>
      <c r="U3" s="18" t="s">
        <v>120</v>
      </c>
      <c r="V3" s="18" t="s">
        <v>121</v>
      </c>
      <c r="W3" s="18" t="s">
        <v>122</v>
      </c>
      <c r="X3" s="18" t="s">
        <v>123</v>
      </c>
      <c r="Y3" s="18" t="s">
        <v>124</v>
      </c>
      <c r="Z3" s="18" t="s">
        <v>125</v>
      </c>
      <c r="AA3" s="18" t="s">
        <v>126</v>
      </c>
      <c r="AB3" s="18" t="s">
        <v>127</v>
      </c>
      <c r="AC3" s="18" t="s">
        <v>128</v>
      </c>
      <c r="AD3" s="8" t="s">
        <v>129</v>
      </c>
      <c r="AE3" s="8" t="s">
        <v>130</v>
      </c>
      <c r="AF3" s="8" t="s">
        <v>131</v>
      </c>
      <c r="AG3" s="8" t="s">
        <v>132</v>
      </c>
      <c r="AH3" s="8" t="s">
        <v>133</v>
      </c>
      <c r="AI3" s="8" t="s">
        <v>134</v>
      </c>
      <c r="AJ3" s="8" t="s">
        <v>135</v>
      </c>
      <c r="AK3" s="8" t="s">
        <v>136</v>
      </c>
      <c r="AL3" s="8" t="s">
        <v>137</v>
      </c>
      <c r="AM3" s="8" t="s">
        <v>138</v>
      </c>
      <c r="AN3" s="18" t="s">
        <v>139</v>
      </c>
      <c r="AO3" s="18" t="s">
        <v>140</v>
      </c>
      <c r="AP3" s="18" t="s">
        <v>141</v>
      </c>
      <c r="AQ3" s="18" t="s">
        <v>142</v>
      </c>
      <c r="AR3" s="18" t="s">
        <v>143</v>
      </c>
      <c r="AS3" s="18" t="s">
        <v>144</v>
      </c>
      <c r="AT3" s="18" t="s">
        <v>145</v>
      </c>
      <c r="AU3" s="18" t="s">
        <v>146</v>
      </c>
      <c r="AV3" s="18" t="s">
        <v>147</v>
      </c>
      <c r="AW3" s="18" t="s">
        <v>148</v>
      </c>
      <c r="AX3" s="18" t="s">
        <v>149</v>
      </c>
      <c r="AY3" s="8" t="s">
        <v>150</v>
      </c>
      <c r="AZ3" s="8" t="s">
        <v>151</v>
      </c>
      <c r="BA3" s="8" t="s">
        <v>152</v>
      </c>
      <c r="BB3" s="8" t="s">
        <v>153</v>
      </c>
      <c r="BC3" s="8" t="s">
        <v>154</v>
      </c>
      <c r="BD3" s="8" t="s">
        <v>155</v>
      </c>
      <c r="BE3" s="8" t="s">
        <v>156</v>
      </c>
      <c r="BF3" s="8" t="s">
        <v>157</v>
      </c>
      <c r="BG3" s="8" t="s">
        <v>158</v>
      </c>
      <c r="BH3" s="8" t="s">
        <v>159</v>
      </c>
      <c r="BI3" s="8" t="s">
        <v>160</v>
      </c>
      <c r="BJ3" s="8" t="s">
        <v>161</v>
      </c>
      <c r="BK3" s="8" t="s">
        <v>162</v>
      </c>
      <c r="BL3" s="8" t="s">
        <v>163</v>
      </c>
      <c r="BM3" s="8" t="s">
        <v>164</v>
      </c>
      <c r="BN3" s="8" t="s">
        <v>165</v>
      </c>
      <c r="BO3" s="8" t="s">
        <v>166</v>
      </c>
      <c r="BP3" s="8" t="s">
        <v>167</v>
      </c>
      <c r="BQ3" s="8" t="s">
        <v>168</v>
      </c>
      <c r="BR3" s="8" t="s">
        <v>169</v>
      </c>
      <c r="BS3" s="8" t="s">
        <v>170</v>
      </c>
      <c r="BT3" s="8" t="s">
        <v>171</v>
      </c>
      <c r="BU3" s="8" t="s">
        <v>172</v>
      </c>
      <c r="BV3" s="8" t="s">
        <v>173</v>
      </c>
      <c r="BW3" s="8" t="s">
        <v>174</v>
      </c>
      <c r="BX3" s="8" t="s">
        <v>175</v>
      </c>
      <c r="BY3" s="8" t="s">
        <v>176</v>
      </c>
      <c r="BZ3" s="8" t="s">
        <v>177</v>
      </c>
      <c r="CA3" s="8" t="s">
        <v>178</v>
      </c>
      <c r="CB3" s="8" t="s">
        <v>179</v>
      </c>
      <c r="CC3" s="8" t="s">
        <v>180</v>
      </c>
      <c r="CD3" s="8" t="s">
        <v>181</v>
      </c>
      <c r="CE3" s="8" t="s">
        <v>182</v>
      </c>
    </row>
    <row r="4" customFormat="false" ht="15" hidden="false" customHeight="false" outlineLevel="0" collapsed="false">
      <c r="A4" s="9" t="s">
        <v>183</v>
      </c>
      <c r="B4" s="9" t="s">
        <v>184</v>
      </c>
      <c r="C4" s="14" t="n">
        <v>7</v>
      </c>
      <c r="D4" s="14"/>
      <c r="E4" s="14" t="n">
        <f aca="false">SUMIFS(CB_Tributaires!$C:$C,CB_Tributaires!$B:$B,$A4)</f>
        <v>0</v>
      </c>
      <c r="F4" s="14" t="n">
        <f aca="false">IF(D4="",E4,D4)</f>
        <v>0</v>
      </c>
      <c r="G4" s="9"/>
      <c r="H4" s="14"/>
      <c r="I4" s="14" t="n">
        <f aca="false">IF(A4="","",Inputs!$B$13/((IF(AS4="",Inputs!$B$18,AS4)+Inputs!$B$14)^Inputs!$B$15))</f>
        <v>137.555325571793</v>
      </c>
      <c r="J4" s="14" t="n">
        <f aca="false">IF(A4="","",0.000000278*IF(G4="",Inputs!$B$17,G4)*F4*I4)</f>
        <v>0</v>
      </c>
      <c r="K4" s="14" t="n">
        <f aca="false">IF(A4="","",SUMIFS($L$4:$L$203,$B$4:$B$203,$A4))</f>
        <v>0</v>
      </c>
      <c r="L4" s="14" t="n">
        <f aca="false">IF(A4="","",(J4+K4)*Inputs!$B$16)</f>
        <v>0</v>
      </c>
      <c r="M4" s="14"/>
      <c r="N4" s="14" t="n">
        <f aca="false">IF(A4="","",IF(M4="",Inputs!$B$7,M4))</f>
        <v>0.01</v>
      </c>
      <c r="O4" s="9" t="n">
        <f aca="false">IF(A4="","",IF(L4/Inputs!$B$10&lt;=AD4,Inputs!$F$5,IF(L4/Inputs!$B$10&gt;AM4,"OVERSIZE",INDEX(Inputs!$F$5:$F$14,MATCH(L4/Inputs!$B$10,AD4:AM4,1)+1))))</f>
        <v>200</v>
      </c>
      <c r="P4" s="9"/>
      <c r="Q4" s="9" t="n">
        <f aca="false">IF(A4="","",IF(P4="",O4,P4))</f>
        <v>200</v>
      </c>
      <c r="R4" s="14" t="n">
        <f aca="false">IF(OR(Q4="",Q4="OVERSIZE"),"",Q4/1000)</f>
        <v>0.2</v>
      </c>
      <c r="S4" s="14" t="n">
        <f aca="false">IF(R4="","",(1/Inputs!$B$9)*(PI()*R4^2/4)*((R4/4)^(2/3))*SQRT(N4))</f>
        <v>0.0327984401656511</v>
      </c>
      <c r="T4" s="14" t="n">
        <f aca="false">IF(OR(S4="",L4=""),"",L4/(S4*Inputs!$B$10))</f>
        <v>0</v>
      </c>
      <c r="U4" s="14" t="n">
        <f aca="false">IF(OR(R4="",L4=""),"",4*L4/(PI()*R4^2))</f>
        <v>0</v>
      </c>
      <c r="V4" s="14"/>
      <c r="W4" s="14" t="str">
        <f aca="false">IF(A4="","",IF(A4=Inputs!$B$6,Inputs!$B$22,IF(B4="","",IFERROR(INDEX($X$4:$X$203,MATCH(B4,$A$4:$A$203,0))+IF(V4="",Inputs!$B$20,V4),""))))</f>
        <v/>
      </c>
      <c r="X4" s="14" t="str">
        <f aca="false">IF(OR(W4="",N4="",C4=""),"",W4+N4*C4)</f>
        <v/>
      </c>
      <c r="Y4" s="14"/>
      <c r="Z4" s="14"/>
      <c r="AA4" s="14" t="str">
        <f aca="false">IF(OR(Y4="",W4=""),"",Y4-W4)</f>
        <v/>
      </c>
      <c r="AB4" s="14" t="str">
        <f aca="false">IF(OR(Z4="",X4=""),"",Z4-X4)</f>
        <v/>
      </c>
      <c r="AC4" s="19" t="str">
        <f aca="false">IF(A4="","",IF(OR(T4&gt;1,AND(AV4&lt;&gt;"",AV4&lt;Inputs!$B$11),AND(AV4&lt;&gt;"",AV4&gt;Inputs!$B$12),AA4&lt;Inputs!$B$19,AB4&lt;Inputs!$B$19,N4&lt;Inputs!$B$7,N4&gt;Inputs!$B$8),"CHECK","OK"))</f>
        <v>OK</v>
      </c>
      <c r="AD4" s="9" t="n">
        <f aca="false">IF(A4="","",(1/Inputs!$B$9)*(PI()*(Inputs!$F$5/1000)^2/4)*((Inputs!$F$5/1000/4)^(2/3))*SQRT(N4))</f>
        <v>0.0327984401656511</v>
      </c>
      <c r="AE4" s="9" t="n">
        <f aca="false">IF(A4="","",(1/Inputs!$B$9)*(PI()*(Inputs!$F$6/1000)^2/4)*((Inputs!$F$6/1000/4)^(2/3))*SQRT(N4))</f>
        <v>0.0594675287628136</v>
      </c>
      <c r="AF4" s="9" t="n">
        <f aca="false">IF(A4="","",(1/Inputs!$B$9)*(PI()*(Inputs!$F$7/1000)^2/4)*((Inputs!$F$7/1000/4)^(2/3))*SQRT(N4))</f>
        <v>0.0967007585335561</v>
      </c>
      <c r="AG4" s="9" t="n">
        <f aca="false">IF(A4="","",(1/Inputs!$B$9)*(PI()*(Inputs!$F$8/1000)^2/4)*((Inputs!$F$8/1000/4)^(2/3))*SQRT(N4))</f>
        <v>0.175330141020016</v>
      </c>
      <c r="AH4" s="9" t="n">
        <f aca="false">IF(A4="","",(1/Inputs!$B$9)*(PI()*(Inputs!$F$9/1000)^2/4)*((Inputs!$F$9/1000/4)^(2/3))*SQRT(N4))</f>
        <v>0.285106140832826</v>
      </c>
      <c r="AI4" s="9" t="n">
        <f aca="false">IF(A4="","",(1/Inputs!$B$9)*(PI()*(Inputs!$F$10/1000)^2/4)*((Inputs!$F$10/1000/4)^(2/3))*SQRT(N4))</f>
        <v>0.430062270986421</v>
      </c>
      <c r="AJ4" s="9" t="n">
        <f aca="false">IF(A4="","",(1/Inputs!$B$9)*(PI()*(Inputs!$F$11/1000)^2/4)*((Inputs!$F$11/1000/4)^(2/3))*SQRT(N4))</f>
        <v>0.614011543289159</v>
      </c>
      <c r="AK4" s="9" t="n">
        <f aca="false">IF(A4="","",(1/Inputs!$B$9)*(PI()*(Inputs!$F$12/1000)^2/4)*((Inputs!$F$12/1000/4)^(2/3))*SQRT(N4))</f>
        <v>0.840588148151706</v>
      </c>
      <c r="AL4" s="9" t="n">
        <f aca="false">IF(A4="","",(1/Inputs!$B$9)*(PI()*(Inputs!$F$13/1000)^2/4)*((Inputs!$F$13/1000/4)^(2/3))*SQRT(N4))</f>
        <v>1.11327700118762</v>
      </c>
      <c r="AM4" s="9" t="n">
        <f aca="false">IF(A4="","",(1/Inputs!$B$9)*(PI()*(Inputs!$F$14/1000)^2/4)*((Inputs!$F$14/1000/4)^(2/3))*SQRT(N4))</f>
        <v>1.81031115152249</v>
      </c>
      <c r="AN4" s="9" t="n">
        <f aca="false">IF(A4="","",COUNTIF($B$4:$B$203,$A4))</f>
        <v>0</v>
      </c>
      <c r="AO4" s="9" t="str">
        <f aca="false">IF(A4="","",IF(AN4=0,"START","CONTINUOUS"))</f>
        <v>START</v>
      </c>
      <c r="AP4" s="13" t="n">
        <f aca="false">IF(A4="","",IF(H4="",Inputs!$B$18,H4))</f>
        <v>5</v>
      </c>
      <c r="AQ4" s="13" t="str">
        <f aca="false">IF(A4="","",IFERROR(maxifs($AS$4:$AS$203,$B$4:$B$203,$A4),""))</f>
        <v/>
      </c>
      <c r="AR4" s="13" t="n">
        <f aca="false">IF(A4="","",IF(OR(C4="",Inputs!$B$23=""),"",C4/(Inputs!$B$23*60)))</f>
        <v>0.116666666666667</v>
      </c>
      <c r="AS4" s="13" t="n">
        <f aca="false">IF(A4="","",IF(AN4=0,AP4+AR4,IF(AQ4="",AP4+AR4,AQ4+AR4)))</f>
        <v>5.11666666666667</v>
      </c>
      <c r="AT4" s="13" t="n">
        <f aca="false">IF(A4="","",U4)</f>
        <v>0</v>
      </c>
      <c r="AU4" s="13" t="n">
        <f aca="false">IF(OR(R4="",N4=""),"",(1/Inputs!$B$9)*((R4/4)^(2/3))*SQRT(N4))</f>
        <v>1.04400677561343</v>
      </c>
      <c r="AV4" s="13" t="n">
        <f aca="false">IF(A4="","",IF(AND(AT4="",AU4="",AX4=""),"",IF(OR(UPPER(TRIM(Inputs!$B$24))="MANNING",UPPER(TRIM(Inputs!$B$24))="M"),AU4,IF(OR(UPPER(TRIM(Inputs!$B$24))="PARTIAL",UPPER(TRIM(Inputs!$B$24))="P"),AX4,IF(OR(UPPER(TRIM(Inputs!$B$24))="MAX",UPPER(TRIM(Inputs!$B$24))="X"),MAX(IF(AT4="",0,AT4),IF(AU4="",0,AU4),IF(AX4="",0,AX4)),AT4)))))</f>
        <v>1.04400677561343</v>
      </c>
      <c r="AW4" s="13" t="n">
        <f aca="false">IF(AY4="","",CE4)</f>
        <v>0.00093359375</v>
      </c>
      <c r="AX4" s="13" t="n">
        <f aca="false">IF(OR(AY4="",AW4="",R4="",R4&lt;=0,AW4&lt;=0),"",AY4/((R4^2/8)*(2*ACOS(1-2*AW4/R4)-SIN(2*ACOS(1-2*AW4/R4)))))</f>
        <v>0</v>
      </c>
      <c r="AY4" s="9" t="n">
        <f aca="false">IF(OR(L4="",AZ4=""),"",MIN(L4,AZ4))</f>
        <v>0</v>
      </c>
      <c r="AZ4" s="9" t="n">
        <f aca="false">IF(OR(L4="",R4="",N4=""),"",IF(OR(R4="",N4="",(0.94*R4)="",R4&lt;=0,(0.94*R4)&lt;=0),"",(1/Inputs!$B$9)*((R4^2/8)*((2*ACOS(1-2*(0.94*R4)/R4))-SIN((2*ACOS(1-2*(0.94*R4)/R4)))))*((((R4^2/8)*((2*ACOS(1-2*(0.94*R4)/R4))-SIN((2*ACOS(1-2*(0.94*R4)/R4)))))/((R4/2)*((2*ACOS(1-2*(0.94*R4)/R4)))))^(2/3))*SQRT(N4)))</f>
        <v>0.0352806077891244</v>
      </c>
      <c r="BA4" s="9" t="n">
        <f aca="false">IF(AY4="","",0.001*R4)</f>
        <v>0.0002</v>
      </c>
      <c r="BB4" s="9" t="n">
        <f aca="false">IF(AY4="","",0.94*R4)</f>
        <v>0.188</v>
      </c>
      <c r="BC4" s="9" t="n">
        <f aca="false">IF(AY4="","",(BA4+BB4)/2)</f>
        <v>0.0941</v>
      </c>
      <c r="BD4" s="9" t="n">
        <f aca="false">IF(OR(R4="",N4="",BC4="",R4&lt;=0,BC4&lt;=0),"",(1/Inputs!$B$9)*((R4^2/8)*((2*ACOS(1-2*BC4/R4))-SIN((2*ACOS(1-2*BC4/R4)))))*((((R4^2/8)*((2*ACOS(1-2*BC4/R4))-SIN((2*ACOS(1-2*BC4/R4)))))/((R4/2)*((2*ACOS(1-2*BC4/R4)))))^(2/3))*SQRT(N4))</f>
        <v>0.0147714469807598</v>
      </c>
      <c r="BE4" s="9" t="n">
        <f aca="false">IF(AY4="","",IF(BD4&lt;AY4,BC4,BA4))</f>
        <v>0.0002</v>
      </c>
      <c r="BF4" s="9" t="n">
        <f aca="false">IF(AY4="","",IF(BD4&lt;AY4,BB4,BC4))</f>
        <v>0.0941</v>
      </c>
      <c r="BG4" s="9" t="n">
        <f aca="false">IF(AY4="","",(BE4+BF4)/2)</f>
        <v>0.04715</v>
      </c>
      <c r="BH4" s="9" t="n">
        <f aca="false">IF(OR(R4="",N4="",BG4="",R4&lt;=0,BG4&lt;=0),"",(1/Inputs!$B$9)*((R4^2/8)*((2*ACOS(1-2*BG4/R4))-SIN((2*ACOS(1-2*BG4/R4)))))*((((R4^2/8)*((2*ACOS(1-2*BG4/R4))-SIN((2*ACOS(1-2*BG4/R4)))))/((R4/2)*((2*ACOS(1-2*BG4/R4)))))^(2/3))*SQRT(N4))</f>
        <v>0.00399781890601551</v>
      </c>
      <c r="BI4" s="9" t="n">
        <f aca="false">IF(AY4="","",IF(BH4&lt;AY4,BG4,BE4))</f>
        <v>0.0002</v>
      </c>
      <c r="BJ4" s="9" t="n">
        <f aca="false">IF(AY4="","",IF(BH4&lt;AY4,BF4,BG4))</f>
        <v>0.04715</v>
      </c>
      <c r="BK4" s="9" t="n">
        <f aca="false">IF(AY4="","",(BI4+BJ4)/2)</f>
        <v>0.023675</v>
      </c>
      <c r="BL4" s="9" t="n">
        <f aca="false">IF(OR(R4="",N4="",BK4="",R4&lt;=0,BK4&lt;=0),"",(1/Inputs!$B$9)*((R4^2/8)*((2*ACOS(1-2*BK4/R4))-SIN((2*ACOS(1-2*BK4/R4)))))*((((R4^2/8)*((2*ACOS(1-2*BK4/R4))-SIN((2*ACOS(1-2*BK4/R4)))))/((R4/2)*((2*ACOS(1-2*BK4/R4)))))^(2/3))*SQRT(N4))</f>
        <v>0.000974997048119399</v>
      </c>
      <c r="BM4" s="9" t="n">
        <f aca="false">IF(AY4="","",IF(BL4&lt;AY4,BK4,BI4))</f>
        <v>0.0002</v>
      </c>
      <c r="BN4" s="9" t="n">
        <f aca="false">IF(AY4="","",IF(BL4&lt;AY4,BJ4,BK4))</f>
        <v>0.023675</v>
      </c>
      <c r="BO4" s="9" t="n">
        <f aca="false">IF(AY4="","",(BM4+BN4)/2)</f>
        <v>0.0119375</v>
      </c>
      <c r="BP4" s="9" t="n">
        <f aca="false">IF(OR(R4="",N4="",BO4="",R4&lt;=0,BO4&lt;=0),"",(1/Inputs!$B$9)*((R4^2/8)*((2*ACOS(1-2*BO4/R4))-SIN((2*ACOS(1-2*BO4/R4)))))*((((R4^2/8)*((2*ACOS(1-2*BO4/R4))-SIN((2*ACOS(1-2*BO4/R4)))))/((R4/2)*((2*ACOS(1-2*BO4/R4)))))^(2/3))*SQRT(N4))</f>
        <v>0.000229752722071521</v>
      </c>
      <c r="BQ4" s="9" t="n">
        <f aca="false">IF(AY4="","",IF(BP4&lt;AY4,BO4,BM4))</f>
        <v>0.0002</v>
      </c>
      <c r="BR4" s="9" t="n">
        <f aca="false">IF(AY4="","",IF(BP4&lt;AY4,BN4,BO4))</f>
        <v>0.0119375</v>
      </c>
      <c r="BS4" s="9" t="n">
        <f aca="false">IF(AY4="","",(BQ4+BR4)/2)</f>
        <v>0.00606875</v>
      </c>
      <c r="BT4" s="9" t="n">
        <f aca="false">IF(OR(R4="",N4="",BS4="",R4&lt;=0,BS4&lt;=0),"",(1/Inputs!$B$9)*((R4^2/8)*((2*ACOS(1-2*BS4/R4))-SIN((2*ACOS(1-2*BS4/R4)))))*((((R4^2/8)*((2*ACOS(1-2*BS4/R4))-SIN((2*ACOS(1-2*BS4/R4)))))/((R4/2)*((2*ACOS(1-2*BS4/R4)))))^(2/3))*SQRT(N4))</f>
        <v>5.40374368332601E-005</v>
      </c>
      <c r="BU4" s="9" t="n">
        <f aca="false">IF(AY4="","",IF(BT4&lt;AY4,BS4,BQ4))</f>
        <v>0.0002</v>
      </c>
      <c r="BV4" s="9" t="n">
        <f aca="false">IF(AY4="","",IF(BT4&lt;AY4,BR4,BS4))</f>
        <v>0.00606875</v>
      </c>
      <c r="BW4" s="9" t="n">
        <f aca="false">IF(AY4="","",(BU4+BV4)/2)</f>
        <v>0.003134375</v>
      </c>
      <c r="BX4" s="9" t="n">
        <f aca="false">IF(OR(R4="",N4="",BW4="",R4&lt;=0,BW4&lt;=0),"",(1/Inputs!$B$9)*((R4^2/8)*((2*ACOS(1-2*BW4/R4))-SIN((2*ACOS(1-2*BW4/R4)))))*((((R4^2/8)*((2*ACOS(1-2*BW4/R4))-SIN((2*ACOS(1-2*BW4/R4)))))/((R4/2)*((2*ACOS(1-2*BW4/R4)))))^(2/3))*SQRT(N4))</f>
        <v>1.30295242489464E-005</v>
      </c>
      <c r="BY4" s="9" t="n">
        <f aca="false">IF(AY4="","",IF(BX4&lt;AY4,BW4,BU4))</f>
        <v>0.0002</v>
      </c>
      <c r="BZ4" s="9" t="n">
        <f aca="false">IF(AY4="","",IF(BX4&lt;AY4,BV4,BW4))</f>
        <v>0.003134375</v>
      </c>
      <c r="CA4" s="9" t="n">
        <f aca="false">IF(AY4="","",(BY4+BZ4)/2)</f>
        <v>0.0016671875</v>
      </c>
      <c r="CB4" s="9" t="n">
        <f aca="false">IF(OR(R4="",N4="",CA4="",R4&lt;=0,CA4&lt;=0),"",(1/Inputs!$B$9)*((R4^2/8)*((2*ACOS(1-2*CA4/R4))-SIN((2*ACOS(1-2*CA4/R4)))))*((((R4^2/8)*((2*ACOS(1-2*CA4/R4))-SIN((2*ACOS(1-2*CA4/R4)))))/((R4/2)*((2*ACOS(1-2*CA4/R4)))))^(2/3))*SQRT(N4))</f>
        <v>3.3332195434217E-006</v>
      </c>
      <c r="CC4" s="9" t="n">
        <f aca="false">IF(AY4="","",IF(CB4&lt;AY4,CA4,BY4))</f>
        <v>0.0002</v>
      </c>
      <c r="CD4" s="9" t="n">
        <f aca="false">IF(AY4="","",IF(CB4&lt;AY4,BZ4,CA4))</f>
        <v>0.0016671875</v>
      </c>
      <c r="CE4" s="9" t="n">
        <f aca="false">IF(AY4="","",(CC4+CD4)/2)</f>
        <v>0.00093359375</v>
      </c>
    </row>
    <row r="5" customFormat="false" ht="15" hidden="false" customHeight="false" outlineLevel="0" collapsed="false">
      <c r="A5" s="9" t="s">
        <v>184</v>
      </c>
      <c r="B5" s="9" t="s">
        <v>185</v>
      </c>
      <c r="C5" s="14" t="n">
        <v>9.6</v>
      </c>
      <c r="D5" s="14"/>
      <c r="E5" s="14" t="n">
        <f aca="false">SUMIFS(CB_Tributaires!$C:$C,CB_Tributaires!$B:$B,$A5)</f>
        <v>0</v>
      </c>
      <c r="F5" s="14" t="n">
        <f aca="false">IF(D5="",E5,D5)</f>
        <v>0</v>
      </c>
      <c r="G5" s="9"/>
      <c r="H5" s="14"/>
      <c r="I5" s="14" t="n">
        <f aca="false">IF(A5="","",Inputs!$B$13/((IF(AS5="",Inputs!$B$18,AS5)+Inputs!$B$14)^Inputs!$B$15))</f>
        <v>137.001834670641</v>
      </c>
      <c r="J5" s="14" t="n">
        <f aca="false">IF(A5="","",0.000000278*IF(G5="",Inputs!$B$17,G5)*F5*I5)</f>
        <v>0</v>
      </c>
      <c r="K5" s="14" t="n">
        <f aca="false">IF(A5="","",SUMIFS($L$4:$L$203,$B$4:$B$203,$A5))</f>
        <v>0</v>
      </c>
      <c r="L5" s="14" t="n">
        <f aca="false">IF(A5="","",(J5+K5)*Inputs!$B$16)</f>
        <v>0</v>
      </c>
      <c r="M5" s="14"/>
      <c r="N5" s="14" t="n">
        <f aca="false">IF(A5="","",IF(M5="",Inputs!$B$7,M5))</f>
        <v>0.01</v>
      </c>
      <c r="O5" s="9" t="n">
        <f aca="false">IF(A5="","",IF(L5/Inputs!$B$10&lt;=AD5,Inputs!$F$5,IF(L5/Inputs!$B$10&gt;AM5,"OVERSIZE",INDEX(Inputs!$F$5:$F$14,MATCH(L5/Inputs!$B$10,AD5:AM5,1)+1))))</f>
        <v>200</v>
      </c>
      <c r="P5" s="9"/>
      <c r="Q5" s="9" t="n">
        <f aca="false">IF(A5="","",IF(P5="",O5,P5))</f>
        <v>200</v>
      </c>
      <c r="R5" s="14" t="n">
        <f aca="false">IF(OR(Q5="",Q5="OVERSIZE"),"",Q5/1000)</f>
        <v>0.2</v>
      </c>
      <c r="S5" s="14" t="n">
        <f aca="false">IF(R5="","",(1/Inputs!$B$9)*(PI()*R5^2/4)*((R5/4)^(2/3))*SQRT(N5))</f>
        <v>0.0327984401656511</v>
      </c>
      <c r="T5" s="14" t="n">
        <f aca="false">IF(OR(S5="",L5=""),"",L5/(S5*Inputs!$B$10))</f>
        <v>0</v>
      </c>
      <c r="U5" s="14" t="n">
        <f aca="false">IF(OR(R5="",L5=""),"",4*L5/(PI()*R5^2))</f>
        <v>0</v>
      </c>
      <c r="V5" s="14"/>
      <c r="W5" s="14" t="str">
        <f aca="false">IF(A5="","",IF(A5=Inputs!$B$6,Inputs!$B$22,IF(B5="","",IFERROR(INDEX($X$4:$X$203,MATCH(B5,$A$4:$A$203,0))+IF(V5="",Inputs!$B$20,V5),""))))</f>
        <v/>
      </c>
      <c r="X5" s="14" t="str">
        <f aca="false">IF(OR(W5="",N5="",C5=""),"",W5+N5*C5)</f>
        <v/>
      </c>
      <c r="Y5" s="14"/>
      <c r="Z5" s="14"/>
      <c r="AA5" s="14" t="str">
        <f aca="false">IF(OR(Y5="",W5=""),"",Y5-W5)</f>
        <v/>
      </c>
      <c r="AB5" s="14" t="str">
        <f aca="false">IF(OR(Z5="",X5=""),"",Z5-X5)</f>
        <v/>
      </c>
      <c r="AC5" s="19" t="str">
        <f aca="false">IF(A5="","",IF(OR(T5&gt;1,AND(AV5&lt;&gt;"",AV5&lt;Inputs!$B$11),AND(AV5&lt;&gt;"",AV5&gt;Inputs!$B$12),AA5&lt;Inputs!$B$19,AB5&lt;Inputs!$B$19,N5&lt;Inputs!$B$7,N5&gt;Inputs!$B$8),"CHECK","OK"))</f>
        <v>OK</v>
      </c>
      <c r="AD5" s="9" t="n">
        <f aca="false">IF(A5="","",(1/Inputs!$B$9)*(PI()*(Inputs!$F$5/1000)^2/4)*((Inputs!$F$5/1000/4)^(2/3))*SQRT(N5))</f>
        <v>0.0327984401656511</v>
      </c>
      <c r="AE5" s="9" t="n">
        <f aca="false">IF(A5="","",(1/Inputs!$B$9)*(PI()*(Inputs!$F$6/1000)^2/4)*((Inputs!$F$6/1000/4)^(2/3))*SQRT(N5))</f>
        <v>0.0594675287628136</v>
      </c>
      <c r="AF5" s="9" t="n">
        <f aca="false">IF(A5="","",(1/Inputs!$B$9)*(PI()*(Inputs!$F$7/1000)^2/4)*((Inputs!$F$7/1000/4)^(2/3))*SQRT(N5))</f>
        <v>0.0967007585335561</v>
      </c>
      <c r="AG5" s="9" t="n">
        <f aca="false">IF(A5="","",(1/Inputs!$B$9)*(PI()*(Inputs!$F$8/1000)^2/4)*((Inputs!$F$8/1000/4)^(2/3))*SQRT(N5))</f>
        <v>0.175330141020016</v>
      </c>
      <c r="AH5" s="9" t="n">
        <f aca="false">IF(A5="","",(1/Inputs!$B$9)*(PI()*(Inputs!$F$9/1000)^2/4)*((Inputs!$F$9/1000/4)^(2/3))*SQRT(N5))</f>
        <v>0.285106140832826</v>
      </c>
      <c r="AI5" s="9" t="n">
        <f aca="false">IF(A5="","",(1/Inputs!$B$9)*(PI()*(Inputs!$F$10/1000)^2/4)*((Inputs!$F$10/1000/4)^(2/3))*SQRT(N5))</f>
        <v>0.430062270986421</v>
      </c>
      <c r="AJ5" s="9" t="n">
        <f aca="false">IF(A5="","",(1/Inputs!$B$9)*(PI()*(Inputs!$F$11/1000)^2/4)*((Inputs!$F$11/1000/4)^(2/3))*SQRT(N5))</f>
        <v>0.614011543289159</v>
      </c>
      <c r="AK5" s="9" t="n">
        <f aca="false">IF(A5="","",(1/Inputs!$B$9)*(PI()*(Inputs!$F$12/1000)^2/4)*((Inputs!$F$12/1000/4)^(2/3))*SQRT(N5))</f>
        <v>0.840588148151706</v>
      </c>
      <c r="AL5" s="9" t="n">
        <f aca="false">IF(A5="","",(1/Inputs!$B$9)*(PI()*(Inputs!$F$13/1000)^2/4)*((Inputs!$F$13/1000/4)^(2/3))*SQRT(N5))</f>
        <v>1.11327700118762</v>
      </c>
      <c r="AM5" s="9" t="n">
        <f aca="false">IF(A5="","",(1/Inputs!$B$9)*(PI()*(Inputs!$F$14/1000)^2/4)*((Inputs!$F$14/1000/4)^(2/3))*SQRT(N5))</f>
        <v>1.81031115152249</v>
      </c>
      <c r="AN5" s="9" t="n">
        <f aca="false">IF(A5="","",COUNTIF($B$4:$B$203,$A5))</f>
        <v>1</v>
      </c>
      <c r="AO5" s="9" t="str">
        <f aca="false">IF(A5="","",IF(AN5=0,"START","CONTINUOUS"))</f>
        <v>CONTINUOUS</v>
      </c>
      <c r="AP5" s="13" t="n">
        <f aca="false">IF(A5="","",IF(H5="",Inputs!$B$18,H5))</f>
        <v>5</v>
      </c>
      <c r="AQ5" s="13" t="str">
        <f aca="false">IF(A5="","",IFERROR(maxifs($AS$4:$AS$203,$B$4:$B$203,$A5),""))</f>
        <v/>
      </c>
      <c r="AR5" s="13" t="n">
        <f aca="false">IF(A5="","",IF(OR(C5="",Inputs!$B$23=""),"",C5/(Inputs!$B$23*60)))</f>
        <v>0.16</v>
      </c>
      <c r="AS5" s="13" t="n">
        <f aca="false">IF(A5="","",IF(AN5=0,AP5+AR5,IF(AQ5="",AP5+AR5,AQ5+AR5)))</f>
        <v>5.16</v>
      </c>
      <c r="AT5" s="13" t="n">
        <f aca="false">IF(A5="","",U5)</f>
        <v>0</v>
      </c>
      <c r="AU5" s="13" t="n">
        <f aca="false">IF(OR(R5="",N5=""),"",(1/Inputs!$B$9)*((R5/4)^(2/3))*SQRT(N5))</f>
        <v>1.04400677561343</v>
      </c>
      <c r="AV5" s="13" t="n">
        <f aca="false">IF(A5="","",IF(AND(AT5="",AU5="",AX5=""),"",IF(OR(UPPER(TRIM(Inputs!$B$24))="MANNING",UPPER(TRIM(Inputs!$B$24))="M"),AU5,IF(OR(UPPER(TRIM(Inputs!$B$24))="PARTIAL",UPPER(TRIM(Inputs!$B$24))="P"),AX5,IF(OR(UPPER(TRIM(Inputs!$B$24))="MAX",UPPER(TRIM(Inputs!$B$24))="X"),MAX(IF(AT5="",0,AT5),IF(AU5="",0,AU5),IF(AX5="",0,AX5)),AT5)))))</f>
        <v>1.04400677561343</v>
      </c>
      <c r="AW5" s="13" t="n">
        <f aca="false">IF(AY5="","",CE5)</f>
        <v>0.00093359375</v>
      </c>
      <c r="AX5" s="13" t="n">
        <f aca="false">IF(OR(AY5="",AW5="",R5="",R5&lt;=0,AW5&lt;=0),"",AY5/((R5^2/8)*(2*ACOS(1-2*AW5/R5)-SIN(2*ACOS(1-2*AW5/R5)))))</f>
        <v>0</v>
      </c>
      <c r="AY5" s="9" t="n">
        <f aca="false">IF(OR(L5="",AZ5=""),"",MIN(L5,AZ5))</f>
        <v>0</v>
      </c>
      <c r="AZ5" s="9" t="n">
        <f aca="false">IF(OR(L5="",R5="",N5=""),"",IF(OR(R5="",N5="",(0.94*R5)="",R5&lt;=0,(0.94*R5)&lt;=0),"",(1/Inputs!$B$9)*((R5^2/8)*((2*ACOS(1-2*(0.94*R5)/R5))-SIN((2*ACOS(1-2*(0.94*R5)/R5)))))*((((R5^2/8)*((2*ACOS(1-2*(0.94*R5)/R5))-SIN((2*ACOS(1-2*(0.94*R5)/R5)))))/((R5/2)*((2*ACOS(1-2*(0.94*R5)/R5)))))^(2/3))*SQRT(N5)))</f>
        <v>0.0352806077891244</v>
      </c>
      <c r="BA5" s="9" t="n">
        <f aca="false">IF(AY5="","",0.001*R5)</f>
        <v>0.0002</v>
      </c>
      <c r="BB5" s="9" t="n">
        <f aca="false">IF(AY5="","",0.94*R5)</f>
        <v>0.188</v>
      </c>
      <c r="BC5" s="9" t="n">
        <f aca="false">IF(AY5="","",(BA5+BB5)/2)</f>
        <v>0.0941</v>
      </c>
      <c r="BD5" s="9" t="n">
        <f aca="false">IF(OR(R5="",N5="",BC5="",R5&lt;=0,BC5&lt;=0),"",(1/Inputs!$B$9)*((R5^2/8)*((2*ACOS(1-2*BC5/R5))-SIN((2*ACOS(1-2*BC5/R5)))))*((((R5^2/8)*((2*ACOS(1-2*BC5/R5))-SIN((2*ACOS(1-2*BC5/R5)))))/((R5/2)*((2*ACOS(1-2*BC5/R5)))))^(2/3))*SQRT(N5))</f>
        <v>0.0147714469807598</v>
      </c>
      <c r="BE5" s="9" t="n">
        <f aca="false">IF(AY5="","",IF(BD5&lt;AY5,BC5,BA5))</f>
        <v>0.0002</v>
      </c>
      <c r="BF5" s="9" t="n">
        <f aca="false">IF(AY5="","",IF(BD5&lt;AY5,BB5,BC5))</f>
        <v>0.0941</v>
      </c>
      <c r="BG5" s="9" t="n">
        <f aca="false">IF(AY5="","",(BE5+BF5)/2)</f>
        <v>0.04715</v>
      </c>
      <c r="BH5" s="9" t="n">
        <f aca="false">IF(OR(R5="",N5="",BG5="",R5&lt;=0,BG5&lt;=0),"",(1/Inputs!$B$9)*((R5^2/8)*((2*ACOS(1-2*BG5/R5))-SIN((2*ACOS(1-2*BG5/R5)))))*((((R5^2/8)*((2*ACOS(1-2*BG5/R5))-SIN((2*ACOS(1-2*BG5/R5)))))/((R5/2)*((2*ACOS(1-2*BG5/R5)))))^(2/3))*SQRT(N5))</f>
        <v>0.00399781890601551</v>
      </c>
      <c r="BI5" s="9" t="n">
        <f aca="false">IF(AY5="","",IF(BH5&lt;AY5,BG5,BE5))</f>
        <v>0.0002</v>
      </c>
      <c r="BJ5" s="9" t="n">
        <f aca="false">IF(AY5="","",IF(BH5&lt;AY5,BF5,BG5))</f>
        <v>0.04715</v>
      </c>
      <c r="BK5" s="9" t="n">
        <f aca="false">IF(AY5="","",(BI5+BJ5)/2)</f>
        <v>0.023675</v>
      </c>
      <c r="BL5" s="9" t="n">
        <f aca="false">IF(OR(R5="",N5="",BK5="",R5&lt;=0,BK5&lt;=0),"",(1/Inputs!$B$9)*((R5^2/8)*((2*ACOS(1-2*BK5/R5))-SIN((2*ACOS(1-2*BK5/R5)))))*((((R5^2/8)*((2*ACOS(1-2*BK5/R5))-SIN((2*ACOS(1-2*BK5/R5)))))/((R5/2)*((2*ACOS(1-2*BK5/R5)))))^(2/3))*SQRT(N5))</f>
        <v>0.000974997048119399</v>
      </c>
      <c r="BM5" s="9" t="n">
        <f aca="false">IF(AY5="","",IF(BL5&lt;AY5,BK5,BI5))</f>
        <v>0.0002</v>
      </c>
      <c r="BN5" s="9" t="n">
        <f aca="false">IF(AY5="","",IF(BL5&lt;AY5,BJ5,BK5))</f>
        <v>0.023675</v>
      </c>
      <c r="BO5" s="9" t="n">
        <f aca="false">IF(AY5="","",(BM5+BN5)/2)</f>
        <v>0.0119375</v>
      </c>
      <c r="BP5" s="9" t="n">
        <f aca="false">IF(OR(R5="",N5="",BO5="",R5&lt;=0,BO5&lt;=0),"",(1/Inputs!$B$9)*((R5^2/8)*((2*ACOS(1-2*BO5/R5))-SIN((2*ACOS(1-2*BO5/R5)))))*((((R5^2/8)*((2*ACOS(1-2*BO5/R5))-SIN((2*ACOS(1-2*BO5/R5)))))/((R5/2)*((2*ACOS(1-2*BO5/R5)))))^(2/3))*SQRT(N5))</f>
        <v>0.000229752722071521</v>
      </c>
      <c r="BQ5" s="9" t="n">
        <f aca="false">IF(AY5="","",IF(BP5&lt;AY5,BO5,BM5))</f>
        <v>0.0002</v>
      </c>
      <c r="BR5" s="9" t="n">
        <f aca="false">IF(AY5="","",IF(BP5&lt;AY5,BN5,BO5))</f>
        <v>0.0119375</v>
      </c>
      <c r="BS5" s="9" t="n">
        <f aca="false">IF(AY5="","",(BQ5+BR5)/2)</f>
        <v>0.00606875</v>
      </c>
      <c r="BT5" s="9" t="n">
        <f aca="false">IF(OR(R5="",N5="",BS5="",R5&lt;=0,BS5&lt;=0),"",(1/Inputs!$B$9)*((R5^2/8)*((2*ACOS(1-2*BS5/R5))-SIN((2*ACOS(1-2*BS5/R5)))))*((((R5^2/8)*((2*ACOS(1-2*BS5/R5))-SIN((2*ACOS(1-2*BS5/R5)))))/((R5/2)*((2*ACOS(1-2*BS5/R5)))))^(2/3))*SQRT(N5))</f>
        <v>5.40374368332601E-005</v>
      </c>
      <c r="BU5" s="9" t="n">
        <f aca="false">IF(AY5="","",IF(BT5&lt;AY5,BS5,BQ5))</f>
        <v>0.0002</v>
      </c>
      <c r="BV5" s="9" t="n">
        <f aca="false">IF(AY5="","",IF(BT5&lt;AY5,BR5,BS5))</f>
        <v>0.00606875</v>
      </c>
      <c r="BW5" s="9" t="n">
        <f aca="false">IF(AY5="","",(BU5+BV5)/2)</f>
        <v>0.003134375</v>
      </c>
      <c r="BX5" s="9" t="n">
        <f aca="false">IF(OR(R5="",N5="",BW5="",R5&lt;=0,BW5&lt;=0),"",(1/Inputs!$B$9)*((R5^2/8)*((2*ACOS(1-2*BW5/R5))-SIN((2*ACOS(1-2*BW5/R5)))))*((((R5^2/8)*((2*ACOS(1-2*BW5/R5))-SIN((2*ACOS(1-2*BW5/R5)))))/((R5/2)*((2*ACOS(1-2*BW5/R5)))))^(2/3))*SQRT(N5))</f>
        <v>1.30295242489464E-005</v>
      </c>
      <c r="BY5" s="9" t="n">
        <f aca="false">IF(AY5="","",IF(BX5&lt;AY5,BW5,BU5))</f>
        <v>0.0002</v>
      </c>
      <c r="BZ5" s="9" t="n">
        <f aca="false">IF(AY5="","",IF(BX5&lt;AY5,BV5,BW5))</f>
        <v>0.003134375</v>
      </c>
      <c r="CA5" s="9" t="n">
        <f aca="false">IF(AY5="","",(BY5+BZ5)/2)</f>
        <v>0.0016671875</v>
      </c>
      <c r="CB5" s="9" t="n">
        <f aca="false">IF(OR(R5="",N5="",CA5="",R5&lt;=0,CA5&lt;=0),"",(1/Inputs!$B$9)*((R5^2/8)*((2*ACOS(1-2*CA5/R5))-SIN((2*ACOS(1-2*CA5/R5)))))*((((R5^2/8)*((2*ACOS(1-2*CA5/R5))-SIN((2*ACOS(1-2*CA5/R5)))))/((R5/2)*((2*ACOS(1-2*CA5/R5)))))^(2/3))*SQRT(N5))</f>
        <v>3.3332195434217E-006</v>
      </c>
      <c r="CC5" s="9" t="n">
        <f aca="false">IF(AY5="","",IF(CB5&lt;AY5,CA5,BY5))</f>
        <v>0.0002</v>
      </c>
      <c r="CD5" s="9" t="n">
        <f aca="false">IF(AY5="","",IF(CB5&lt;AY5,BZ5,CA5))</f>
        <v>0.0016671875</v>
      </c>
      <c r="CE5" s="9" t="n">
        <f aca="false">IF(AY5="","",(CC5+CD5)/2)</f>
        <v>0.00093359375</v>
      </c>
    </row>
    <row r="6" customFormat="false" ht="15" hidden="false" customHeight="false" outlineLevel="0" collapsed="false">
      <c r="A6" s="9" t="s">
        <v>186</v>
      </c>
      <c r="B6" s="9" t="s">
        <v>185</v>
      </c>
      <c r="C6" s="14" t="n">
        <v>6.95</v>
      </c>
      <c r="D6" s="14"/>
      <c r="E6" s="14" t="n">
        <f aca="false">SUMIFS(CB_Tributaires!$C:$C,CB_Tributaires!$B:$B,$A6)</f>
        <v>0</v>
      </c>
      <c r="F6" s="14" t="n">
        <f aca="false">IF(D6="",E6,D6)</f>
        <v>0</v>
      </c>
      <c r="G6" s="9"/>
      <c r="H6" s="14"/>
      <c r="I6" s="14" t="n">
        <f aca="false">IF(A6="","",Inputs!$B$13/((IF(AS6="",Inputs!$B$18,AS6)+Inputs!$B$14)^Inputs!$B$15))</f>
        <v>137.566022011685</v>
      </c>
      <c r="J6" s="14" t="n">
        <f aca="false">IF(A6="","",0.000000278*IF(G6="",Inputs!$B$17,G6)*F6*I6)</f>
        <v>0</v>
      </c>
      <c r="K6" s="14" t="n">
        <f aca="false">IF(A6="","",SUMIFS($L$4:$L$203,$B$4:$B$203,$A6))</f>
        <v>0</v>
      </c>
      <c r="L6" s="14" t="n">
        <f aca="false">IF(A6="","",(J6+K6)*Inputs!$B$16)</f>
        <v>0</v>
      </c>
      <c r="M6" s="14"/>
      <c r="N6" s="14" t="n">
        <f aca="false">IF(A6="","",IF(M6="",Inputs!$B$7,M6))</f>
        <v>0.01</v>
      </c>
      <c r="O6" s="9" t="n">
        <f aca="false">IF(A6="","",IF(L6/Inputs!$B$10&lt;=AD6,Inputs!$F$5,IF(L6/Inputs!$B$10&gt;AM6,"OVERSIZE",INDEX(Inputs!$F$5:$F$14,MATCH(L6/Inputs!$B$10,AD6:AM6,1)+1))))</f>
        <v>200</v>
      </c>
      <c r="P6" s="9"/>
      <c r="Q6" s="9" t="n">
        <f aca="false">IF(A6="","",IF(P6="",O6,P6))</f>
        <v>200</v>
      </c>
      <c r="R6" s="14" t="n">
        <f aca="false">IF(OR(Q6="",Q6="OVERSIZE"),"",Q6/1000)</f>
        <v>0.2</v>
      </c>
      <c r="S6" s="14" t="n">
        <f aca="false">IF(R6="","",(1/Inputs!$B$9)*(PI()*R6^2/4)*((R6/4)^(2/3))*SQRT(N6))</f>
        <v>0.0327984401656511</v>
      </c>
      <c r="T6" s="14" t="n">
        <f aca="false">IF(OR(S6="",L6=""),"",L6/(S6*Inputs!$B$10))</f>
        <v>0</v>
      </c>
      <c r="U6" s="14" t="n">
        <f aca="false">IF(OR(R6="",L6=""),"",4*L6/(PI()*R6^2))</f>
        <v>0</v>
      </c>
      <c r="V6" s="14"/>
      <c r="W6" s="14" t="str">
        <f aca="false">IF(A6="","",IF(A6=Inputs!$B$6,Inputs!$B$22,IF(B6="","",IFERROR(INDEX($X$4:$X$203,MATCH(B6,$A$4:$A$203,0))+IF(V6="",Inputs!$B$20,V6),""))))</f>
        <v/>
      </c>
      <c r="X6" s="14" t="str">
        <f aca="false">IF(OR(W6="",N6="",C6=""),"",W6+N6*C6)</f>
        <v/>
      </c>
      <c r="Y6" s="14"/>
      <c r="Z6" s="14"/>
      <c r="AA6" s="14" t="str">
        <f aca="false">IF(OR(Y6="",W6=""),"",Y6-W6)</f>
        <v/>
      </c>
      <c r="AB6" s="14" t="str">
        <f aca="false">IF(OR(Z6="",X6=""),"",Z6-X6)</f>
        <v/>
      </c>
      <c r="AC6" s="19" t="str">
        <f aca="false">IF(A6="","",IF(OR(T6&gt;1,AND(AV6&lt;&gt;"",AV6&lt;Inputs!$B$11),AND(AV6&lt;&gt;"",AV6&gt;Inputs!$B$12),AA6&lt;Inputs!$B$19,AB6&lt;Inputs!$B$19,N6&lt;Inputs!$B$7,N6&gt;Inputs!$B$8),"CHECK","OK"))</f>
        <v>OK</v>
      </c>
      <c r="AD6" s="9" t="n">
        <f aca="false">IF(A6="","",(1/Inputs!$B$9)*(PI()*(Inputs!$F$5/1000)^2/4)*((Inputs!$F$5/1000/4)^(2/3))*SQRT(N6))</f>
        <v>0.0327984401656511</v>
      </c>
      <c r="AE6" s="9" t="n">
        <f aca="false">IF(A6="","",(1/Inputs!$B$9)*(PI()*(Inputs!$F$6/1000)^2/4)*((Inputs!$F$6/1000/4)^(2/3))*SQRT(N6))</f>
        <v>0.0594675287628136</v>
      </c>
      <c r="AF6" s="9" t="n">
        <f aca="false">IF(A6="","",(1/Inputs!$B$9)*(PI()*(Inputs!$F$7/1000)^2/4)*((Inputs!$F$7/1000/4)^(2/3))*SQRT(N6))</f>
        <v>0.0967007585335561</v>
      </c>
      <c r="AG6" s="9" t="n">
        <f aca="false">IF(A6="","",(1/Inputs!$B$9)*(PI()*(Inputs!$F$8/1000)^2/4)*((Inputs!$F$8/1000/4)^(2/3))*SQRT(N6))</f>
        <v>0.175330141020016</v>
      </c>
      <c r="AH6" s="9" t="n">
        <f aca="false">IF(A6="","",(1/Inputs!$B$9)*(PI()*(Inputs!$F$9/1000)^2/4)*((Inputs!$F$9/1000/4)^(2/3))*SQRT(N6))</f>
        <v>0.285106140832826</v>
      </c>
      <c r="AI6" s="9" t="n">
        <f aca="false">IF(A6="","",(1/Inputs!$B$9)*(PI()*(Inputs!$F$10/1000)^2/4)*((Inputs!$F$10/1000/4)^(2/3))*SQRT(N6))</f>
        <v>0.430062270986421</v>
      </c>
      <c r="AJ6" s="9" t="n">
        <f aca="false">IF(A6="","",(1/Inputs!$B$9)*(PI()*(Inputs!$F$11/1000)^2/4)*((Inputs!$F$11/1000/4)^(2/3))*SQRT(N6))</f>
        <v>0.614011543289159</v>
      </c>
      <c r="AK6" s="9" t="n">
        <f aca="false">IF(A6="","",(1/Inputs!$B$9)*(PI()*(Inputs!$F$12/1000)^2/4)*((Inputs!$F$12/1000/4)^(2/3))*SQRT(N6))</f>
        <v>0.840588148151706</v>
      </c>
      <c r="AL6" s="9" t="n">
        <f aca="false">IF(A6="","",(1/Inputs!$B$9)*(PI()*(Inputs!$F$13/1000)^2/4)*((Inputs!$F$13/1000/4)^(2/3))*SQRT(N6))</f>
        <v>1.11327700118762</v>
      </c>
      <c r="AM6" s="9" t="n">
        <f aca="false">IF(A6="","",(1/Inputs!$B$9)*(PI()*(Inputs!$F$14/1000)^2/4)*((Inputs!$F$14/1000/4)^(2/3))*SQRT(N6))</f>
        <v>1.81031115152249</v>
      </c>
      <c r="AN6" s="9" t="n">
        <f aca="false">IF(A6="","",COUNTIF($B$4:$B$203,$A6))</f>
        <v>0</v>
      </c>
      <c r="AO6" s="9" t="str">
        <f aca="false">IF(A6="","",IF(AN6=0,"START","CONTINUOUS"))</f>
        <v>START</v>
      </c>
      <c r="AP6" s="13" t="n">
        <f aca="false">IF(A6="","",IF(H6="",Inputs!$B$18,H6))</f>
        <v>5</v>
      </c>
      <c r="AQ6" s="13" t="str">
        <f aca="false">IF(A6="","",IFERROR(maxifs($AS$4:$AS$203,$B$4:$B$203,$A6),""))</f>
        <v/>
      </c>
      <c r="AR6" s="13" t="n">
        <f aca="false">IF(A6="","",IF(OR(C6="",Inputs!$B$23=""),"",C6/(Inputs!$B$23*60)))</f>
        <v>0.115833333333333</v>
      </c>
      <c r="AS6" s="13" t="n">
        <f aca="false">IF(A6="","",IF(AN6=0,AP6+AR6,IF(AQ6="",AP6+AR6,AQ6+AR6)))</f>
        <v>5.11583333333333</v>
      </c>
      <c r="AT6" s="13" t="n">
        <f aca="false">IF(A6="","",U6)</f>
        <v>0</v>
      </c>
      <c r="AU6" s="13" t="n">
        <f aca="false">IF(OR(R6="",N6=""),"",(1/Inputs!$B$9)*((R6/4)^(2/3))*SQRT(N6))</f>
        <v>1.04400677561343</v>
      </c>
      <c r="AV6" s="13" t="n">
        <f aca="false">IF(A6="","",IF(AND(AT6="",AU6="",AX6=""),"",IF(OR(UPPER(TRIM(Inputs!$B$24))="MANNING",UPPER(TRIM(Inputs!$B$24))="M"),AU6,IF(OR(UPPER(TRIM(Inputs!$B$24))="PARTIAL",UPPER(TRIM(Inputs!$B$24))="P"),AX6,IF(OR(UPPER(TRIM(Inputs!$B$24))="MAX",UPPER(TRIM(Inputs!$B$24))="X"),MAX(IF(AT6="",0,AT6),IF(AU6="",0,AU6),IF(AX6="",0,AX6)),AT6)))))</f>
        <v>1.04400677561343</v>
      </c>
      <c r="AW6" s="13" t="n">
        <f aca="false">IF(AY6="","",CE6)</f>
        <v>0.00093359375</v>
      </c>
      <c r="AX6" s="13" t="n">
        <f aca="false">IF(OR(AY6="",AW6="",R6="",R6&lt;=0,AW6&lt;=0),"",AY6/((R6^2/8)*(2*ACOS(1-2*AW6/R6)-SIN(2*ACOS(1-2*AW6/R6)))))</f>
        <v>0</v>
      </c>
      <c r="AY6" s="9" t="n">
        <f aca="false">IF(OR(L6="",AZ6=""),"",MIN(L6,AZ6))</f>
        <v>0</v>
      </c>
      <c r="AZ6" s="9" t="n">
        <f aca="false">IF(OR(L6="",R6="",N6=""),"",IF(OR(R6="",N6="",(0.94*R6)="",R6&lt;=0,(0.94*R6)&lt;=0),"",(1/Inputs!$B$9)*((R6^2/8)*((2*ACOS(1-2*(0.94*R6)/R6))-SIN((2*ACOS(1-2*(0.94*R6)/R6)))))*((((R6^2/8)*((2*ACOS(1-2*(0.94*R6)/R6))-SIN((2*ACOS(1-2*(0.94*R6)/R6)))))/((R6/2)*((2*ACOS(1-2*(0.94*R6)/R6)))))^(2/3))*SQRT(N6)))</f>
        <v>0.0352806077891244</v>
      </c>
      <c r="BA6" s="9" t="n">
        <f aca="false">IF(AY6="","",0.001*R6)</f>
        <v>0.0002</v>
      </c>
      <c r="BB6" s="9" t="n">
        <f aca="false">IF(AY6="","",0.94*R6)</f>
        <v>0.188</v>
      </c>
      <c r="BC6" s="9" t="n">
        <f aca="false">IF(AY6="","",(BA6+BB6)/2)</f>
        <v>0.0941</v>
      </c>
      <c r="BD6" s="9" t="n">
        <f aca="false">IF(OR(R6="",N6="",BC6="",R6&lt;=0,BC6&lt;=0),"",(1/Inputs!$B$9)*((R6^2/8)*((2*ACOS(1-2*BC6/R6))-SIN((2*ACOS(1-2*BC6/R6)))))*((((R6^2/8)*((2*ACOS(1-2*BC6/R6))-SIN((2*ACOS(1-2*BC6/R6)))))/((R6/2)*((2*ACOS(1-2*BC6/R6)))))^(2/3))*SQRT(N6))</f>
        <v>0.0147714469807598</v>
      </c>
      <c r="BE6" s="9" t="n">
        <f aca="false">IF(AY6="","",IF(BD6&lt;AY6,BC6,BA6))</f>
        <v>0.0002</v>
      </c>
      <c r="BF6" s="9" t="n">
        <f aca="false">IF(AY6="","",IF(BD6&lt;AY6,BB6,BC6))</f>
        <v>0.0941</v>
      </c>
      <c r="BG6" s="9" t="n">
        <f aca="false">IF(AY6="","",(BE6+BF6)/2)</f>
        <v>0.04715</v>
      </c>
      <c r="BH6" s="9" t="n">
        <f aca="false">IF(OR(R6="",N6="",BG6="",R6&lt;=0,BG6&lt;=0),"",(1/Inputs!$B$9)*((R6^2/8)*((2*ACOS(1-2*BG6/R6))-SIN((2*ACOS(1-2*BG6/R6)))))*((((R6^2/8)*((2*ACOS(1-2*BG6/R6))-SIN((2*ACOS(1-2*BG6/R6)))))/((R6/2)*((2*ACOS(1-2*BG6/R6)))))^(2/3))*SQRT(N6))</f>
        <v>0.00399781890601551</v>
      </c>
      <c r="BI6" s="9" t="n">
        <f aca="false">IF(AY6="","",IF(BH6&lt;AY6,BG6,BE6))</f>
        <v>0.0002</v>
      </c>
      <c r="BJ6" s="9" t="n">
        <f aca="false">IF(AY6="","",IF(BH6&lt;AY6,BF6,BG6))</f>
        <v>0.04715</v>
      </c>
      <c r="BK6" s="9" t="n">
        <f aca="false">IF(AY6="","",(BI6+BJ6)/2)</f>
        <v>0.023675</v>
      </c>
      <c r="BL6" s="9" t="n">
        <f aca="false">IF(OR(R6="",N6="",BK6="",R6&lt;=0,BK6&lt;=0),"",(1/Inputs!$B$9)*((R6^2/8)*((2*ACOS(1-2*BK6/R6))-SIN((2*ACOS(1-2*BK6/R6)))))*((((R6^2/8)*((2*ACOS(1-2*BK6/R6))-SIN((2*ACOS(1-2*BK6/R6)))))/((R6/2)*((2*ACOS(1-2*BK6/R6)))))^(2/3))*SQRT(N6))</f>
        <v>0.000974997048119399</v>
      </c>
      <c r="BM6" s="9" t="n">
        <f aca="false">IF(AY6="","",IF(BL6&lt;AY6,BK6,BI6))</f>
        <v>0.0002</v>
      </c>
      <c r="BN6" s="9" t="n">
        <f aca="false">IF(AY6="","",IF(BL6&lt;AY6,BJ6,BK6))</f>
        <v>0.023675</v>
      </c>
      <c r="BO6" s="9" t="n">
        <f aca="false">IF(AY6="","",(BM6+BN6)/2)</f>
        <v>0.0119375</v>
      </c>
      <c r="BP6" s="9" t="n">
        <f aca="false">IF(OR(R6="",N6="",BO6="",R6&lt;=0,BO6&lt;=0),"",(1/Inputs!$B$9)*((R6^2/8)*((2*ACOS(1-2*BO6/R6))-SIN((2*ACOS(1-2*BO6/R6)))))*((((R6^2/8)*((2*ACOS(1-2*BO6/R6))-SIN((2*ACOS(1-2*BO6/R6)))))/((R6/2)*((2*ACOS(1-2*BO6/R6)))))^(2/3))*SQRT(N6))</f>
        <v>0.000229752722071521</v>
      </c>
      <c r="BQ6" s="9" t="n">
        <f aca="false">IF(AY6="","",IF(BP6&lt;AY6,BO6,BM6))</f>
        <v>0.0002</v>
      </c>
      <c r="BR6" s="9" t="n">
        <f aca="false">IF(AY6="","",IF(BP6&lt;AY6,BN6,BO6))</f>
        <v>0.0119375</v>
      </c>
      <c r="BS6" s="9" t="n">
        <f aca="false">IF(AY6="","",(BQ6+BR6)/2)</f>
        <v>0.00606875</v>
      </c>
      <c r="BT6" s="9" t="n">
        <f aca="false">IF(OR(R6="",N6="",BS6="",R6&lt;=0,BS6&lt;=0),"",(1/Inputs!$B$9)*((R6^2/8)*((2*ACOS(1-2*BS6/R6))-SIN((2*ACOS(1-2*BS6/R6)))))*((((R6^2/8)*((2*ACOS(1-2*BS6/R6))-SIN((2*ACOS(1-2*BS6/R6)))))/((R6/2)*((2*ACOS(1-2*BS6/R6)))))^(2/3))*SQRT(N6))</f>
        <v>5.40374368332601E-005</v>
      </c>
      <c r="BU6" s="9" t="n">
        <f aca="false">IF(AY6="","",IF(BT6&lt;AY6,BS6,BQ6))</f>
        <v>0.0002</v>
      </c>
      <c r="BV6" s="9" t="n">
        <f aca="false">IF(AY6="","",IF(BT6&lt;AY6,BR6,BS6))</f>
        <v>0.00606875</v>
      </c>
      <c r="BW6" s="9" t="n">
        <f aca="false">IF(AY6="","",(BU6+BV6)/2)</f>
        <v>0.003134375</v>
      </c>
      <c r="BX6" s="9" t="n">
        <f aca="false">IF(OR(R6="",N6="",BW6="",R6&lt;=0,BW6&lt;=0),"",(1/Inputs!$B$9)*((R6^2/8)*((2*ACOS(1-2*BW6/R6))-SIN((2*ACOS(1-2*BW6/R6)))))*((((R6^2/8)*((2*ACOS(1-2*BW6/R6))-SIN((2*ACOS(1-2*BW6/R6)))))/((R6/2)*((2*ACOS(1-2*BW6/R6)))))^(2/3))*SQRT(N6))</f>
        <v>1.30295242489464E-005</v>
      </c>
      <c r="BY6" s="9" t="n">
        <f aca="false">IF(AY6="","",IF(BX6&lt;AY6,BW6,BU6))</f>
        <v>0.0002</v>
      </c>
      <c r="BZ6" s="9" t="n">
        <f aca="false">IF(AY6="","",IF(BX6&lt;AY6,BV6,BW6))</f>
        <v>0.003134375</v>
      </c>
      <c r="CA6" s="9" t="n">
        <f aca="false">IF(AY6="","",(BY6+BZ6)/2)</f>
        <v>0.0016671875</v>
      </c>
      <c r="CB6" s="9" t="n">
        <f aca="false">IF(OR(R6="",N6="",CA6="",R6&lt;=0,CA6&lt;=0),"",(1/Inputs!$B$9)*((R6^2/8)*((2*ACOS(1-2*CA6/R6))-SIN((2*ACOS(1-2*CA6/R6)))))*((((R6^2/8)*((2*ACOS(1-2*CA6/R6))-SIN((2*ACOS(1-2*CA6/R6)))))/((R6/2)*((2*ACOS(1-2*CA6/R6)))))^(2/3))*SQRT(N6))</f>
        <v>3.3332195434217E-006</v>
      </c>
      <c r="CC6" s="9" t="n">
        <f aca="false">IF(AY6="","",IF(CB6&lt;AY6,CA6,BY6))</f>
        <v>0.0002</v>
      </c>
      <c r="CD6" s="9" t="n">
        <f aca="false">IF(AY6="","",IF(CB6&lt;AY6,BZ6,CA6))</f>
        <v>0.0016671875</v>
      </c>
      <c r="CE6" s="9" t="n">
        <f aca="false">IF(AY6="","",(CC6+CD6)/2)</f>
        <v>0.00093359375</v>
      </c>
    </row>
    <row r="7" customFormat="false" ht="15" hidden="false" customHeight="false" outlineLevel="0" collapsed="false">
      <c r="A7" s="9" t="s">
        <v>187</v>
      </c>
      <c r="B7" s="9" t="s">
        <v>188</v>
      </c>
      <c r="C7" s="14" t="n">
        <v>11.54</v>
      </c>
      <c r="D7" s="14"/>
      <c r="E7" s="14" t="n">
        <f aca="false">SUMIFS(CB_Tributaires!$C:$C,CB_Tributaires!$B:$B,$A7)</f>
        <v>0</v>
      </c>
      <c r="F7" s="14" t="n">
        <f aca="false">IF(D7="",E7,D7)</f>
        <v>0</v>
      </c>
      <c r="G7" s="9"/>
      <c r="H7" s="14"/>
      <c r="I7" s="14" t="n">
        <f aca="false">IF(A7="","",Inputs!$B$13/((IF(AS7="",Inputs!$B$18,AS7)+Inputs!$B$14)^Inputs!$B$15))</f>
        <v>136.59229639403</v>
      </c>
      <c r="J7" s="14" t="n">
        <f aca="false">IF(A7="","",0.000000278*IF(G7="",Inputs!$B$17,G7)*F7*I7)</f>
        <v>0</v>
      </c>
      <c r="K7" s="14" t="n">
        <f aca="false">IF(A7="","",SUMIFS($L$4:$L$203,$B$4:$B$203,$A7))</f>
        <v>0</v>
      </c>
      <c r="L7" s="14" t="n">
        <f aca="false">IF(A7="","",(J7+K7)*Inputs!$B$16)</f>
        <v>0</v>
      </c>
      <c r="M7" s="14"/>
      <c r="N7" s="14" t="n">
        <f aca="false">IF(A7="","",IF(M7="",Inputs!$B$7,M7))</f>
        <v>0.01</v>
      </c>
      <c r="O7" s="9" t="n">
        <f aca="false">IF(A7="","",IF(L7/Inputs!$B$10&lt;=AD7,Inputs!$F$5,IF(L7/Inputs!$B$10&gt;AM7,"OVERSIZE",INDEX(Inputs!$F$5:$F$14,MATCH(L7/Inputs!$B$10,AD7:AM7,1)+1))))</f>
        <v>200</v>
      </c>
      <c r="P7" s="9"/>
      <c r="Q7" s="9" t="n">
        <f aca="false">IF(A7="","",IF(P7="",O7,P7))</f>
        <v>200</v>
      </c>
      <c r="R7" s="14" t="n">
        <f aca="false">IF(OR(Q7="",Q7="OVERSIZE"),"",Q7/1000)</f>
        <v>0.2</v>
      </c>
      <c r="S7" s="14" t="n">
        <f aca="false">IF(R7="","",(1/Inputs!$B$9)*(PI()*R7^2/4)*((R7/4)^(2/3))*SQRT(N7))</f>
        <v>0.0327984401656511</v>
      </c>
      <c r="T7" s="14" t="n">
        <f aca="false">IF(OR(S7="",L7=""),"",L7/(S7*Inputs!$B$10))</f>
        <v>0</v>
      </c>
      <c r="U7" s="14" t="n">
        <f aca="false">IF(OR(R7="",L7=""),"",4*L7/(PI()*R7^2))</f>
        <v>0</v>
      </c>
      <c r="V7" s="14"/>
      <c r="W7" s="14" t="str">
        <f aca="false">IF(A7="","",IF(A7=Inputs!$B$6,Inputs!$B$22,IF(B7="","",IFERROR(INDEX($X$4:$X$203,MATCH(B7,$A$4:$A$203,0))+IF(V7="",Inputs!$B$20,V7),""))))</f>
        <v/>
      </c>
      <c r="X7" s="14" t="str">
        <f aca="false">IF(OR(W7="",N7="",C7=""),"",W7+N7*C7)</f>
        <v/>
      </c>
      <c r="Y7" s="14"/>
      <c r="Z7" s="14"/>
      <c r="AA7" s="14" t="str">
        <f aca="false">IF(OR(Y7="",W7=""),"",Y7-W7)</f>
        <v/>
      </c>
      <c r="AB7" s="14" t="str">
        <f aca="false">IF(OR(Z7="",X7=""),"",Z7-X7)</f>
        <v/>
      </c>
      <c r="AC7" s="19" t="str">
        <f aca="false">IF(A7="","",IF(OR(T7&gt;1,AND(AV7&lt;&gt;"",AV7&lt;Inputs!$B$11),AND(AV7&lt;&gt;"",AV7&gt;Inputs!$B$12),AA7&lt;Inputs!$B$19,AB7&lt;Inputs!$B$19,N7&lt;Inputs!$B$7,N7&gt;Inputs!$B$8),"CHECK","OK"))</f>
        <v>OK</v>
      </c>
      <c r="AD7" s="9" t="n">
        <f aca="false">IF(A7="","",(1/Inputs!$B$9)*(PI()*(Inputs!$F$5/1000)^2/4)*((Inputs!$F$5/1000/4)^(2/3))*SQRT(N7))</f>
        <v>0.0327984401656511</v>
      </c>
      <c r="AE7" s="9" t="n">
        <f aca="false">IF(A7="","",(1/Inputs!$B$9)*(PI()*(Inputs!$F$6/1000)^2/4)*((Inputs!$F$6/1000/4)^(2/3))*SQRT(N7))</f>
        <v>0.0594675287628136</v>
      </c>
      <c r="AF7" s="9" t="n">
        <f aca="false">IF(A7="","",(1/Inputs!$B$9)*(PI()*(Inputs!$F$7/1000)^2/4)*((Inputs!$F$7/1000/4)^(2/3))*SQRT(N7))</f>
        <v>0.0967007585335561</v>
      </c>
      <c r="AG7" s="9" t="n">
        <f aca="false">IF(A7="","",(1/Inputs!$B$9)*(PI()*(Inputs!$F$8/1000)^2/4)*((Inputs!$F$8/1000/4)^(2/3))*SQRT(N7))</f>
        <v>0.175330141020016</v>
      </c>
      <c r="AH7" s="9" t="n">
        <f aca="false">IF(A7="","",(1/Inputs!$B$9)*(PI()*(Inputs!$F$9/1000)^2/4)*((Inputs!$F$9/1000/4)^(2/3))*SQRT(N7))</f>
        <v>0.285106140832826</v>
      </c>
      <c r="AI7" s="9" t="n">
        <f aca="false">IF(A7="","",(1/Inputs!$B$9)*(PI()*(Inputs!$F$10/1000)^2/4)*((Inputs!$F$10/1000/4)^(2/3))*SQRT(N7))</f>
        <v>0.430062270986421</v>
      </c>
      <c r="AJ7" s="9" t="n">
        <f aca="false">IF(A7="","",(1/Inputs!$B$9)*(PI()*(Inputs!$F$11/1000)^2/4)*((Inputs!$F$11/1000/4)^(2/3))*SQRT(N7))</f>
        <v>0.614011543289159</v>
      </c>
      <c r="AK7" s="9" t="n">
        <f aca="false">IF(A7="","",(1/Inputs!$B$9)*(PI()*(Inputs!$F$12/1000)^2/4)*((Inputs!$F$12/1000/4)^(2/3))*SQRT(N7))</f>
        <v>0.840588148151706</v>
      </c>
      <c r="AL7" s="9" t="n">
        <f aca="false">IF(A7="","",(1/Inputs!$B$9)*(PI()*(Inputs!$F$13/1000)^2/4)*((Inputs!$F$13/1000/4)^(2/3))*SQRT(N7))</f>
        <v>1.11327700118762</v>
      </c>
      <c r="AM7" s="9" t="n">
        <f aca="false">IF(A7="","",(1/Inputs!$B$9)*(PI()*(Inputs!$F$14/1000)^2/4)*((Inputs!$F$14/1000/4)^(2/3))*SQRT(N7))</f>
        <v>1.81031115152249</v>
      </c>
      <c r="AN7" s="9" t="n">
        <f aca="false">IF(A7="","",COUNTIF($B$4:$B$203,$A7))</f>
        <v>0</v>
      </c>
      <c r="AO7" s="9" t="str">
        <f aca="false">IF(A7="","",IF(AN7=0,"START","CONTINUOUS"))</f>
        <v>START</v>
      </c>
      <c r="AP7" s="13" t="n">
        <f aca="false">IF(A7="","",IF(H7="",Inputs!$B$18,H7))</f>
        <v>5</v>
      </c>
      <c r="AQ7" s="13" t="str">
        <f aca="false">IF(A7="","",IFERROR(maxifs($AS$4:$AS$203,$B$4:$B$203,$A7),""))</f>
        <v/>
      </c>
      <c r="AR7" s="13" t="n">
        <f aca="false">IF(A7="","",IF(OR(C7="",Inputs!$B$23=""),"",C7/(Inputs!$B$23*60)))</f>
        <v>0.192333333333333</v>
      </c>
      <c r="AS7" s="13" t="n">
        <f aca="false">IF(A7="","",IF(AN7=0,AP7+AR7,IF(AQ7="",AP7+AR7,AQ7+AR7)))</f>
        <v>5.19233333333333</v>
      </c>
      <c r="AT7" s="13" t="n">
        <f aca="false">IF(A7="","",U7)</f>
        <v>0</v>
      </c>
      <c r="AU7" s="13" t="n">
        <f aca="false">IF(OR(R7="",N7=""),"",(1/Inputs!$B$9)*((R7/4)^(2/3))*SQRT(N7))</f>
        <v>1.04400677561343</v>
      </c>
      <c r="AV7" s="13" t="n">
        <f aca="false">IF(A7="","",IF(AND(AT7="",AU7="",AX7=""),"",IF(OR(UPPER(TRIM(Inputs!$B$24))="MANNING",UPPER(TRIM(Inputs!$B$24))="M"),AU7,IF(OR(UPPER(TRIM(Inputs!$B$24))="PARTIAL",UPPER(TRIM(Inputs!$B$24))="P"),AX7,IF(OR(UPPER(TRIM(Inputs!$B$24))="MAX",UPPER(TRIM(Inputs!$B$24))="X"),MAX(IF(AT7="",0,AT7),IF(AU7="",0,AU7),IF(AX7="",0,AX7)),AT7)))))</f>
        <v>1.04400677561343</v>
      </c>
      <c r="AW7" s="13" t="n">
        <f aca="false">IF(AY7="","",CE7)</f>
        <v>0.00093359375</v>
      </c>
      <c r="AX7" s="13" t="n">
        <f aca="false">IF(OR(AY7="",AW7="",R7="",R7&lt;=0,AW7&lt;=0),"",AY7/((R7^2/8)*(2*ACOS(1-2*AW7/R7)-SIN(2*ACOS(1-2*AW7/R7)))))</f>
        <v>0</v>
      </c>
      <c r="AY7" s="9" t="n">
        <f aca="false">IF(OR(L7="",AZ7=""),"",MIN(L7,AZ7))</f>
        <v>0</v>
      </c>
      <c r="AZ7" s="9" t="n">
        <f aca="false">IF(OR(L7="",R7="",N7=""),"",IF(OR(R7="",N7="",(0.94*R7)="",R7&lt;=0,(0.94*R7)&lt;=0),"",(1/Inputs!$B$9)*((R7^2/8)*((2*ACOS(1-2*(0.94*R7)/R7))-SIN((2*ACOS(1-2*(0.94*R7)/R7)))))*((((R7^2/8)*((2*ACOS(1-2*(0.94*R7)/R7))-SIN((2*ACOS(1-2*(0.94*R7)/R7)))))/((R7/2)*((2*ACOS(1-2*(0.94*R7)/R7)))))^(2/3))*SQRT(N7)))</f>
        <v>0.0352806077891244</v>
      </c>
      <c r="BA7" s="9" t="n">
        <f aca="false">IF(AY7="","",0.001*R7)</f>
        <v>0.0002</v>
      </c>
      <c r="BB7" s="9" t="n">
        <f aca="false">IF(AY7="","",0.94*R7)</f>
        <v>0.188</v>
      </c>
      <c r="BC7" s="9" t="n">
        <f aca="false">IF(AY7="","",(BA7+BB7)/2)</f>
        <v>0.0941</v>
      </c>
      <c r="BD7" s="9" t="n">
        <f aca="false">IF(OR(R7="",N7="",BC7="",R7&lt;=0,BC7&lt;=0),"",(1/Inputs!$B$9)*((R7^2/8)*((2*ACOS(1-2*BC7/R7))-SIN((2*ACOS(1-2*BC7/R7)))))*((((R7^2/8)*((2*ACOS(1-2*BC7/R7))-SIN((2*ACOS(1-2*BC7/R7)))))/((R7/2)*((2*ACOS(1-2*BC7/R7)))))^(2/3))*SQRT(N7))</f>
        <v>0.0147714469807598</v>
      </c>
      <c r="BE7" s="9" t="n">
        <f aca="false">IF(AY7="","",IF(BD7&lt;AY7,BC7,BA7))</f>
        <v>0.0002</v>
      </c>
      <c r="BF7" s="9" t="n">
        <f aca="false">IF(AY7="","",IF(BD7&lt;AY7,BB7,BC7))</f>
        <v>0.0941</v>
      </c>
      <c r="BG7" s="9" t="n">
        <f aca="false">IF(AY7="","",(BE7+BF7)/2)</f>
        <v>0.04715</v>
      </c>
      <c r="BH7" s="9" t="n">
        <f aca="false">IF(OR(R7="",N7="",BG7="",R7&lt;=0,BG7&lt;=0),"",(1/Inputs!$B$9)*((R7^2/8)*((2*ACOS(1-2*BG7/R7))-SIN((2*ACOS(1-2*BG7/R7)))))*((((R7^2/8)*((2*ACOS(1-2*BG7/R7))-SIN((2*ACOS(1-2*BG7/R7)))))/((R7/2)*((2*ACOS(1-2*BG7/R7)))))^(2/3))*SQRT(N7))</f>
        <v>0.00399781890601551</v>
      </c>
      <c r="BI7" s="9" t="n">
        <f aca="false">IF(AY7="","",IF(BH7&lt;AY7,BG7,BE7))</f>
        <v>0.0002</v>
      </c>
      <c r="BJ7" s="9" t="n">
        <f aca="false">IF(AY7="","",IF(BH7&lt;AY7,BF7,BG7))</f>
        <v>0.04715</v>
      </c>
      <c r="BK7" s="9" t="n">
        <f aca="false">IF(AY7="","",(BI7+BJ7)/2)</f>
        <v>0.023675</v>
      </c>
      <c r="BL7" s="9" t="n">
        <f aca="false">IF(OR(R7="",N7="",BK7="",R7&lt;=0,BK7&lt;=0),"",(1/Inputs!$B$9)*((R7^2/8)*((2*ACOS(1-2*BK7/R7))-SIN((2*ACOS(1-2*BK7/R7)))))*((((R7^2/8)*((2*ACOS(1-2*BK7/R7))-SIN((2*ACOS(1-2*BK7/R7)))))/((R7/2)*((2*ACOS(1-2*BK7/R7)))))^(2/3))*SQRT(N7))</f>
        <v>0.000974997048119399</v>
      </c>
      <c r="BM7" s="9" t="n">
        <f aca="false">IF(AY7="","",IF(BL7&lt;AY7,BK7,BI7))</f>
        <v>0.0002</v>
      </c>
      <c r="BN7" s="9" t="n">
        <f aca="false">IF(AY7="","",IF(BL7&lt;AY7,BJ7,BK7))</f>
        <v>0.023675</v>
      </c>
      <c r="BO7" s="9" t="n">
        <f aca="false">IF(AY7="","",(BM7+BN7)/2)</f>
        <v>0.0119375</v>
      </c>
      <c r="BP7" s="9" t="n">
        <f aca="false">IF(OR(R7="",N7="",BO7="",R7&lt;=0,BO7&lt;=0),"",(1/Inputs!$B$9)*((R7^2/8)*((2*ACOS(1-2*BO7/R7))-SIN((2*ACOS(1-2*BO7/R7)))))*((((R7^2/8)*((2*ACOS(1-2*BO7/R7))-SIN((2*ACOS(1-2*BO7/R7)))))/((R7/2)*((2*ACOS(1-2*BO7/R7)))))^(2/3))*SQRT(N7))</f>
        <v>0.000229752722071521</v>
      </c>
      <c r="BQ7" s="9" t="n">
        <f aca="false">IF(AY7="","",IF(BP7&lt;AY7,BO7,BM7))</f>
        <v>0.0002</v>
      </c>
      <c r="BR7" s="9" t="n">
        <f aca="false">IF(AY7="","",IF(BP7&lt;AY7,BN7,BO7))</f>
        <v>0.0119375</v>
      </c>
      <c r="BS7" s="9" t="n">
        <f aca="false">IF(AY7="","",(BQ7+BR7)/2)</f>
        <v>0.00606875</v>
      </c>
      <c r="BT7" s="9" t="n">
        <f aca="false">IF(OR(R7="",N7="",BS7="",R7&lt;=0,BS7&lt;=0),"",(1/Inputs!$B$9)*((R7^2/8)*((2*ACOS(1-2*BS7/R7))-SIN((2*ACOS(1-2*BS7/R7)))))*((((R7^2/8)*((2*ACOS(1-2*BS7/R7))-SIN((2*ACOS(1-2*BS7/R7)))))/((R7/2)*((2*ACOS(1-2*BS7/R7)))))^(2/3))*SQRT(N7))</f>
        <v>5.40374368332601E-005</v>
      </c>
      <c r="BU7" s="9" t="n">
        <f aca="false">IF(AY7="","",IF(BT7&lt;AY7,BS7,BQ7))</f>
        <v>0.0002</v>
      </c>
      <c r="BV7" s="9" t="n">
        <f aca="false">IF(AY7="","",IF(BT7&lt;AY7,BR7,BS7))</f>
        <v>0.00606875</v>
      </c>
      <c r="BW7" s="9" t="n">
        <f aca="false">IF(AY7="","",(BU7+BV7)/2)</f>
        <v>0.003134375</v>
      </c>
      <c r="BX7" s="9" t="n">
        <f aca="false">IF(OR(R7="",N7="",BW7="",R7&lt;=0,BW7&lt;=0),"",(1/Inputs!$B$9)*((R7^2/8)*((2*ACOS(1-2*BW7/R7))-SIN((2*ACOS(1-2*BW7/R7)))))*((((R7^2/8)*((2*ACOS(1-2*BW7/R7))-SIN((2*ACOS(1-2*BW7/R7)))))/((R7/2)*((2*ACOS(1-2*BW7/R7)))))^(2/3))*SQRT(N7))</f>
        <v>1.30295242489464E-005</v>
      </c>
      <c r="BY7" s="9" t="n">
        <f aca="false">IF(AY7="","",IF(BX7&lt;AY7,BW7,BU7))</f>
        <v>0.0002</v>
      </c>
      <c r="BZ7" s="9" t="n">
        <f aca="false">IF(AY7="","",IF(BX7&lt;AY7,BV7,BW7))</f>
        <v>0.003134375</v>
      </c>
      <c r="CA7" s="9" t="n">
        <f aca="false">IF(AY7="","",(BY7+BZ7)/2)</f>
        <v>0.0016671875</v>
      </c>
      <c r="CB7" s="9" t="n">
        <f aca="false">IF(OR(R7="",N7="",CA7="",R7&lt;=0,CA7&lt;=0),"",(1/Inputs!$B$9)*((R7^2/8)*((2*ACOS(1-2*CA7/R7))-SIN((2*ACOS(1-2*CA7/R7)))))*((((R7^2/8)*((2*ACOS(1-2*CA7/R7))-SIN((2*ACOS(1-2*CA7/R7)))))/((R7/2)*((2*ACOS(1-2*CA7/R7)))))^(2/3))*SQRT(N7))</f>
        <v>3.3332195434217E-006</v>
      </c>
      <c r="CC7" s="9" t="n">
        <f aca="false">IF(AY7="","",IF(CB7&lt;AY7,CA7,BY7))</f>
        <v>0.0002</v>
      </c>
      <c r="CD7" s="9" t="n">
        <f aca="false">IF(AY7="","",IF(CB7&lt;AY7,BZ7,CA7))</f>
        <v>0.0016671875</v>
      </c>
      <c r="CE7" s="9" t="n">
        <f aca="false">IF(AY7="","",(CC7+CD7)/2)</f>
        <v>0.00093359375</v>
      </c>
    </row>
    <row r="8" customFormat="false" ht="15" hidden="false" customHeight="false" outlineLevel="0" collapsed="false">
      <c r="A8" s="9" t="s">
        <v>188</v>
      </c>
      <c r="B8" s="9" t="s">
        <v>185</v>
      </c>
      <c r="C8" s="14" t="n">
        <v>14.25</v>
      </c>
      <c r="D8" s="14"/>
      <c r="E8" s="14" t="n">
        <f aca="false">SUMIFS(CB_Tributaires!$C:$C,CB_Tributaires!$B:$B,$A8)</f>
        <v>0</v>
      </c>
      <c r="F8" s="14" t="n">
        <f aca="false">IF(D8="",E8,D8)</f>
        <v>0</v>
      </c>
      <c r="G8" s="9"/>
      <c r="H8" s="14"/>
      <c r="I8" s="14" t="n">
        <f aca="false">IF(A8="","",Inputs!$B$13/((IF(AS8="",Inputs!$B$18,AS8)+Inputs!$B$14)^Inputs!$B$15))</f>
        <v>136.02507800396</v>
      </c>
      <c r="J8" s="14" t="n">
        <f aca="false">IF(A8="","",0.000000278*IF(G8="",Inputs!$B$17,G8)*F8*I8)</f>
        <v>0</v>
      </c>
      <c r="K8" s="14" t="n">
        <f aca="false">IF(A8="","",SUMIFS($L$4:$L$203,$B$4:$B$203,$A8))</f>
        <v>0</v>
      </c>
      <c r="L8" s="14" t="n">
        <f aca="false">IF(A8="","",(J8+K8)*Inputs!$B$16)</f>
        <v>0</v>
      </c>
      <c r="M8" s="14"/>
      <c r="N8" s="14" t="n">
        <f aca="false">IF(A8="","",IF(M8="",Inputs!$B$7,M8))</f>
        <v>0.01</v>
      </c>
      <c r="O8" s="9" t="n">
        <f aca="false">IF(A8="","",IF(L8/Inputs!$B$10&lt;=AD8,Inputs!$F$5,IF(L8/Inputs!$B$10&gt;AM8,"OVERSIZE",INDEX(Inputs!$F$5:$F$14,MATCH(L8/Inputs!$B$10,AD8:AM8,1)+1))))</f>
        <v>200</v>
      </c>
      <c r="P8" s="9"/>
      <c r="Q8" s="9" t="n">
        <f aca="false">IF(A8="","",IF(P8="",O8,P8))</f>
        <v>200</v>
      </c>
      <c r="R8" s="14" t="n">
        <f aca="false">IF(OR(Q8="",Q8="OVERSIZE"),"",Q8/1000)</f>
        <v>0.2</v>
      </c>
      <c r="S8" s="14" t="n">
        <f aca="false">IF(R8="","",(1/Inputs!$B$9)*(PI()*R8^2/4)*((R8/4)^(2/3))*SQRT(N8))</f>
        <v>0.0327984401656511</v>
      </c>
      <c r="T8" s="14" t="n">
        <f aca="false">IF(OR(S8="",L8=""),"",L8/(S8*Inputs!$B$10))</f>
        <v>0</v>
      </c>
      <c r="U8" s="14" t="n">
        <f aca="false">IF(OR(R8="",L8=""),"",4*L8/(PI()*R8^2))</f>
        <v>0</v>
      </c>
      <c r="V8" s="14"/>
      <c r="W8" s="14" t="str">
        <f aca="false">IF(A8="","",IF(A8=Inputs!$B$6,Inputs!$B$22,IF(B8="","",IFERROR(INDEX($X$4:$X$203,MATCH(B8,$A$4:$A$203,0))+IF(V8="",Inputs!$B$20,V8),""))))</f>
        <v/>
      </c>
      <c r="X8" s="14" t="str">
        <f aca="false">IF(OR(W8="",N8="",C8=""),"",W8+N8*C8)</f>
        <v/>
      </c>
      <c r="Y8" s="14"/>
      <c r="Z8" s="14"/>
      <c r="AA8" s="14" t="str">
        <f aca="false">IF(OR(Y8="",W8=""),"",Y8-W8)</f>
        <v/>
      </c>
      <c r="AB8" s="14" t="str">
        <f aca="false">IF(OR(Z8="",X8=""),"",Z8-X8)</f>
        <v/>
      </c>
      <c r="AC8" s="19" t="str">
        <f aca="false">IF(A8="","",IF(OR(T8&gt;1,AND(AV8&lt;&gt;"",AV8&lt;Inputs!$B$11),AND(AV8&lt;&gt;"",AV8&gt;Inputs!$B$12),AA8&lt;Inputs!$B$19,AB8&lt;Inputs!$B$19,N8&lt;Inputs!$B$7,N8&gt;Inputs!$B$8),"CHECK","OK"))</f>
        <v>OK</v>
      </c>
      <c r="AD8" s="9" t="n">
        <f aca="false">IF(A8="","",(1/Inputs!$B$9)*(PI()*(Inputs!$F$5/1000)^2/4)*((Inputs!$F$5/1000/4)^(2/3))*SQRT(N8))</f>
        <v>0.0327984401656511</v>
      </c>
      <c r="AE8" s="9" t="n">
        <f aca="false">IF(A8="","",(1/Inputs!$B$9)*(PI()*(Inputs!$F$6/1000)^2/4)*((Inputs!$F$6/1000/4)^(2/3))*SQRT(N8))</f>
        <v>0.0594675287628136</v>
      </c>
      <c r="AF8" s="9" t="n">
        <f aca="false">IF(A8="","",(1/Inputs!$B$9)*(PI()*(Inputs!$F$7/1000)^2/4)*((Inputs!$F$7/1000/4)^(2/3))*SQRT(N8))</f>
        <v>0.0967007585335561</v>
      </c>
      <c r="AG8" s="9" t="n">
        <f aca="false">IF(A8="","",(1/Inputs!$B$9)*(PI()*(Inputs!$F$8/1000)^2/4)*((Inputs!$F$8/1000/4)^(2/3))*SQRT(N8))</f>
        <v>0.175330141020016</v>
      </c>
      <c r="AH8" s="9" t="n">
        <f aca="false">IF(A8="","",(1/Inputs!$B$9)*(PI()*(Inputs!$F$9/1000)^2/4)*((Inputs!$F$9/1000/4)^(2/3))*SQRT(N8))</f>
        <v>0.285106140832826</v>
      </c>
      <c r="AI8" s="9" t="n">
        <f aca="false">IF(A8="","",(1/Inputs!$B$9)*(PI()*(Inputs!$F$10/1000)^2/4)*((Inputs!$F$10/1000/4)^(2/3))*SQRT(N8))</f>
        <v>0.430062270986421</v>
      </c>
      <c r="AJ8" s="9" t="n">
        <f aca="false">IF(A8="","",(1/Inputs!$B$9)*(PI()*(Inputs!$F$11/1000)^2/4)*((Inputs!$F$11/1000/4)^(2/3))*SQRT(N8))</f>
        <v>0.614011543289159</v>
      </c>
      <c r="AK8" s="9" t="n">
        <f aca="false">IF(A8="","",(1/Inputs!$B$9)*(PI()*(Inputs!$F$12/1000)^2/4)*((Inputs!$F$12/1000/4)^(2/3))*SQRT(N8))</f>
        <v>0.840588148151706</v>
      </c>
      <c r="AL8" s="9" t="n">
        <f aca="false">IF(A8="","",(1/Inputs!$B$9)*(PI()*(Inputs!$F$13/1000)^2/4)*((Inputs!$F$13/1000/4)^(2/3))*SQRT(N8))</f>
        <v>1.11327700118762</v>
      </c>
      <c r="AM8" s="9" t="n">
        <f aca="false">IF(A8="","",(1/Inputs!$B$9)*(PI()*(Inputs!$F$14/1000)^2/4)*((Inputs!$F$14/1000/4)^(2/3))*SQRT(N8))</f>
        <v>1.81031115152249</v>
      </c>
      <c r="AN8" s="9" t="n">
        <f aca="false">IF(A8="","",COUNTIF($B$4:$B$203,$A8))</f>
        <v>1</v>
      </c>
      <c r="AO8" s="9" t="str">
        <f aca="false">IF(A8="","",IF(AN8=0,"START","CONTINUOUS"))</f>
        <v>CONTINUOUS</v>
      </c>
      <c r="AP8" s="13" t="n">
        <f aca="false">IF(A8="","",IF(H8="",Inputs!$B$18,H8))</f>
        <v>5</v>
      </c>
      <c r="AQ8" s="13" t="str">
        <f aca="false">IF(A8="","",IFERROR(maxifs($AS$4:$AS$203,$B$4:$B$203,$A8),""))</f>
        <v/>
      </c>
      <c r="AR8" s="13" t="n">
        <f aca="false">IF(A8="","",IF(OR(C8="",Inputs!$B$23=""),"",C8/(Inputs!$B$23*60)))</f>
        <v>0.2375</v>
      </c>
      <c r="AS8" s="13" t="n">
        <f aca="false">IF(A8="","",IF(AN8=0,AP8+AR8,IF(AQ8="",AP8+AR8,AQ8+AR8)))</f>
        <v>5.2375</v>
      </c>
      <c r="AT8" s="13" t="n">
        <f aca="false">IF(A8="","",U8)</f>
        <v>0</v>
      </c>
      <c r="AU8" s="13" t="n">
        <f aca="false">IF(OR(R8="",N8=""),"",(1/Inputs!$B$9)*((R8/4)^(2/3))*SQRT(N8))</f>
        <v>1.04400677561343</v>
      </c>
      <c r="AV8" s="13" t="n">
        <f aca="false">IF(A8="","",IF(AND(AT8="",AU8="",AX8=""),"",IF(OR(UPPER(TRIM(Inputs!$B$24))="MANNING",UPPER(TRIM(Inputs!$B$24))="M"),AU8,IF(OR(UPPER(TRIM(Inputs!$B$24))="PARTIAL",UPPER(TRIM(Inputs!$B$24))="P"),AX8,IF(OR(UPPER(TRIM(Inputs!$B$24))="MAX",UPPER(TRIM(Inputs!$B$24))="X"),MAX(IF(AT8="",0,AT8),IF(AU8="",0,AU8),IF(AX8="",0,AX8)),AT8)))))</f>
        <v>1.04400677561343</v>
      </c>
      <c r="AW8" s="13" t="n">
        <f aca="false">IF(AY8="","",CE8)</f>
        <v>0.00093359375</v>
      </c>
      <c r="AX8" s="13" t="n">
        <f aca="false">IF(OR(AY8="",AW8="",R8="",R8&lt;=0,AW8&lt;=0),"",AY8/((R8^2/8)*(2*ACOS(1-2*AW8/R8)-SIN(2*ACOS(1-2*AW8/R8)))))</f>
        <v>0</v>
      </c>
      <c r="AY8" s="9" t="n">
        <f aca="false">IF(OR(L8="",AZ8=""),"",MIN(L8,AZ8))</f>
        <v>0</v>
      </c>
      <c r="AZ8" s="9" t="n">
        <f aca="false">IF(OR(L8="",R8="",N8=""),"",IF(OR(R8="",N8="",(0.94*R8)="",R8&lt;=0,(0.94*R8)&lt;=0),"",(1/Inputs!$B$9)*((R8^2/8)*((2*ACOS(1-2*(0.94*R8)/R8))-SIN((2*ACOS(1-2*(0.94*R8)/R8)))))*((((R8^2/8)*((2*ACOS(1-2*(0.94*R8)/R8))-SIN((2*ACOS(1-2*(0.94*R8)/R8)))))/((R8/2)*((2*ACOS(1-2*(0.94*R8)/R8)))))^(2/3))*SQRT(N8)))</f>
        <v>0.0352806077891244</v>
      </c>
      <c r="BA8" s="9" t="n">
        <f aca="false">IF(AY8="","",0.001*R8)</f>
        <v>0.0002</v>
      </c>
      <c r="BB8" s="9" t="n">
        <f aca="false">IF(AY8="","",0.94*R8)</f>
        <v>0.188</v>
      </c>
      <c r="BC8" s="9" t="n">
        <f aca="false">IF(AY8="","",(BA8+BB8)/2)</f>
        <v>0.0941</v>
      </c>
      <c r="BD8" s="9" t="n">
        <f aca="false">IF(OR(R8="",N8="",BC8="",R8&lt;=0,BC8&lt;=0),"",(1/Inputs!$B$9)*((R8^2/8)*((2*ACOS(1-2*BC8/R8))-SIN((2*ACOS(1-2*BC8/R8)))))*((((R8^2/8)*((2*ACOS(1-2*BC8/R8))-SIN((2*ACOS(1-2*BC8/R8)))))/((R8/2)*((2*ACOS(1-2*BC8/R8)))))^(2/3))*SQRT(N8))</f>
        <v>0.0147714469807598</v>
      </c>
      <c r="BE8" s="9" t="n">
        <f aca="false">IF(AY8="","",IF(BD8&lt;AY8,BC8,BA8))</f>
        <v>0.0002</v>
      </c>
      <c r="BF8" s="9" t="n">
        <f aca="false">IF(AY8="","",IF(BD8&lt;AY8,BB8,BC8))</f>
        <v>0.0941</v>
      </c>
      <c r="BG8" s="9" t="n">
        <f aca="false">IF(AY8="","",(BE8+BF8)/2)</f>
        <v>0.04715</v>
      </c>
      <c r="BH8" s="9" t="n">
        <f aca="false">IF(OR(R8="",N8="",BG8="",R8&lt;=0,BG8&lt;=0),"",(1/Inputs!$B$9)*((R8^2/8)*((2*ACOS(1-2*BG8/R8))-SIN((2*ACOS(1-2*BG8/R8)))))*((((R8^2/8)*((2*ACOS(1-2*BG8/R8))-SIN((2*ACOS(1-2*BG8/R8)))))/((R8/2)*((2*ACOS(1-2*BG8/R8)))))^(2/3))*SQRT(N8))</f>
        <v>0.00399781890601551</v>
      </c>
      <c r="BI8" s="9" t="n">
        <f aca="false">IF(AY8="","",IF(BH8&lt;AY8,BG8,BE8))</f>
        <v>0.0002</v>
      </c>
      <c r="BJ8" s="9" t="n">
        <f aca="false">IF(AY8="","",IF(BH8&lt;AY8,BF8,BG8))</f>
        <v>0.04715</v>
      </c>
      <c r="BK8" s="9" t="n">
        <f aca="false">IF(AY8="","",(BI8+BJ8)/2)</f>
        <v>0.023675</v>
      </c>
      <c r="BL8" s="9" t="n">
        <f aca="false">IF(OR(R8="",N8="",BK8="",R8&lt;=0,BK8&lt;=0),"",(1/Inputs!$B$9)*((R8^2/8)*((2*ACOS(1-2*BK8/R8))-SIN((2*ACOS(1-2*BK8/R8)))))*((((R8^2/8)*((2*ACOS(1-2*BK8/R8))-SIN((2*ACOS(1-2*BK8/R8)))))/((R8/2)*((2*ACOS(1-2*BK8/R8)))))^(2/3))*SQRT(N8))</f>
        <v>0.000974997048119399</v>
      </c>
      <c r="BM8" s="9" t="n">
        <f aca="false">IF(AY8="","",IF(BL8&lt;AY8,BK8,BI8))</f>
        <v>0.0002</v>
      </c>
      <c r="BN8" s="9" t="n">
        <f aca="false">IF(AY8="","",IF(BL8&lt;AY8,BJ8,BK8))</f>
        <v>0.023675</v>
      </c>
      <c r="BO8" s="9" t="n">
        <f aca="false">IF(AY8="","",(BM8+BN8)/2)</f>
        <v>0.0119375</v>
      </c>
      <c r="BP8" s="9" t="n">
        <f aca="false">IF(OR(R8="",N8="",BO8="",R8&lt;=0,BO8&lt;=0),"",(1/Inputs!$B$9)*((R8^2/8)*((2*ACOS(1-2*BO8/R8))-SIN((2*ACOS(1-2*BO8/R8)))))*((((R8^2/8)*((2*ACOS(1-2*BO8/R8))-SIN((2*ACOS(1-2*BO8/R8)))))/((R8/2)*((2*ACOS(1-2*BO8/R8)))))^(2/3))*SQRT(N8))</f>
        <v>0.000229752722071521</v>
      </c>
      <c r="BQ8" s="9" t="n">
        <f aca="false">IF(AY8="","",IF(BP8&lt;AY8,BO8,BM8))</f>
        <v>0.0002</v>
      </c>
      <c r="BR8" s="9" t="n">
        <f aca="false">IF(AY8="","",IF(BP8&lt;AY8,BN8,BO8))</f>
        <v>0.0119375</v>
      </c>
      <c r="BS8" s="9" t="n">
        <f aca="false">IF(AY8="","",(BQ8+BR8)/2)</f>
        <v>0.00606875</v>
      </c>
      <c r="BT8" s="9" t="n">
        <f aca="false">IF(OR(R8="",N8="",BS8="",R8&lt;=0,BS8&lt;=0),"",(1/Inputs!$B$9)*((R8^2/8)*((2*ACOS(1-2*BS8/R8))-SIN((2*ACOS(1-2*BS8/R8)))))*((((R8^2/8)*((2*ACOS(1-2*BS8/R8))-SIN((2*ACOS(1-2*BS8/R8)))))/((R8/2)*((2*ACOS(1-2*BS8/R8)))))^(2/3))*SQRT(N8))</f>
        <v>5.40374368332601E-005</v>
      </c>
      <c r="BU8" s="9" t="n">
        <f aca="false">IF(AY8="","",IF(BT8&lt;AY8,BS8,BQ8))</f>
        <v>0.0002</v>
      </c>
      <c r="BV8" s="9" t="n">
        <f aca="false">IF(AY8="","",IF(BT8&lt;AY8,BR8,BS8))</f>
        <v>0.00606875</v>
      </c>
      <c r="BW8" s="9" t="n">
        <f aca="false">IF(AY8="","",(BU8+BV8)/2)</f>
        <v>0.003134375</v>
      </c>
      <c r="BX8" s="9" t="n">
        <f aca="false">IF(OR(R8="",N8="",BW8="",R8&lt;=0,BW8&lt;=0),"",(1/Inputs!$B$9)*((R8^2/8)*((2*ACOS(1-2*BW8/R8))-SIN((2*ACOS(1-2*BW8/R8)))))*((((R8^2/8)*((2*ACOS(1-2*BW8/R8))-SIN((2*ACOS(1-2*BW8/R8)))))/((R8/2)*((2*ACOS(1-2*BW8/R8)))))^(2/3))*SQRT(N8))</f>
        <v>1.30295242489464E-005</v>
      </c>
      <c r="BY8" s="9" t="n">
        <f aca="false">IF(AY8="","",IF(BX8&lt;AY8,BW8,BU8))</f>
        <v>0.0002</v>
      </c>
      <c r="BZ8" s="9" t="n">
        <f aca="false">IF(AY8="","",IF(BX8&lt;AY8,BV8,BW8))</f>
        <v>0.003134375</v>
      </c>
      <c r="CA8" s="9" t="n">
        <f aca="false">IF(AY8="","",(BY8+BZ8)/2)</f>
        <v>0.0016671875</v>
      </c>
      <c r="CB8" s="9" t="n">
        <f aca="false">IF(OR(R8="",N8="",CA8="",R8&lt;=0,CA8&lt;=0),"",(1/Inputs!$B$9)*((R8^2/8)*((2*ACOS(1-2*CA8/R8))-SIN((2*ACOS(1-2*CA8/R8)))))*((((R8^2/8)*((2*ACOS(1-2*CA8/R8))-SIN((2*ACOS(1-2*CA8/R8)))))/((R8/2)*((2*ACOS(1-2*CA8/R8)))))^(2/3))*SQRT(N8))</f>
        <v>3.3332195434217E-006</v>
      </c>
      <c r="CC8" s="9" t="n">
        <f aca="false">IF(AY8="","",IF(CB8&lt;AY8,CA8,BY8))</f>
        <v>0.0002</v>
      </c>
      <c r="CD8" s="9" t="n">
        <f aca="false">IF(AY8="","",IF(CB8&lt;AY8,BZ8,CA8))</f>
        <v>0.0016671875</v>
      </c>
      <c r="CE8" s="9" t="n">
        <f aca="false">IF(AY8="","",(CC8+CD8)/2)</f>
        <v>0.00093359375</v>
      </c>
    </row>
    <row r="9" customFormat="false" ht="15" hidden="false" customHeight="false" outlineLevel="0" collapsed="false">
      <c r="A9" s="9" t="s">
        <v>189</v>
      </c>
      <c r="B9" s="9" t="s">
        <v>190</v>
      </c>
      <c r="C9" s="14" t="n">
        <v>14.29</v>
      </c>
      <c r="D9" s="14"/>
      <c r="E9" s="14" t="n">
        <f aca="false">SUMIFS(CB_Tributaires!$C:$C,CB_Tributaires!$B:$B,$A9)</f>
        <v>0</v>
      </c>
      <c r="F9" s="14" t="n">
        <f aca="false">IF(D9="",E9,D9)</f>
        <v>0</v>
      </c>
      <c r="G9" s="9"/>
      <c r="H9" s="14"/>
      <c r="I9" s="14" t="n">
        <f aca="false">IF(A9="","",Inputs!$B$13/((IF(AS9="",Inputs!$B$18,AS9)+Inputs!$B$14)^Inputs!$B$15))</f>
        <v>136.016747890846</v>
      </c>
      <c r="J9" s="14" t="n">
        <f aca="false">IF(A9="","",0.000000278*IF(G9="",Inputs!$B$17,G9)*F9*I9)</f>
        <v>0</v>
      </c>
      <c r="K9" s="14" t="n">
        <f aca="false">IF(A9="","",SUMIFS($L$4:$L$203,$B$4:$B$203,$A9))</f>
        <v>0</v>
      </c>
      <c r="L9" s="14" t="n">
        <f aca="false">IF(A9="","",(J9+K9)*Inputs!$B$16)</f>
        <v>0</v>
      </c>
      <c r="M9" s="14"/>
      <c r="N9" s="14" t="n">
        <f aca="false">IF(A9="","",IF(M9="",Inputs!$B$7,M9))</f>
        <v>0.01</v>
      </c>
      <c r="O9" s="9" t="n">
        <f aca="false">IF(A9="","",IF(L9/Inputs!$B$10&lt;=AD9,Inputs!$F$5,IF(L9/Inputs!$B$10&gt;AM9,"OVERSIZE",INDEX(Inputs!$F$5:$F$14,MATCH(L9/Inputs!$B$10,AD9:AM9,1)+1))))</f>
        <v>200</v>
      </c>
      <c r="P9" s="9"/>
      <c r="Q9" s="9" t="n">
        <f aca="false">IF(A9="","",IF(P9="",O9,P9))</f>
        <v>200</v>
      </c>
      <c r="R9" s="14" t="n">
        <f aca="false">IF(OR(Q9="",Q9="OVERSIZE"),"",Q9/1000)</f>
        <v>0.2</v>
      </c>
      <c r="S9" s="14" t="n">
        <f aca="false">IF(R9="","",(1/Inputs!$B$9)*(PI()*R9^2/4)*((R9/4)^(2/3))*SQRT(N9))</f>
        <v>0.0327984401656511</v>
      </c>
      <c r="T9" s="14" t="n">
        <f aca="false">IF(OR(S9="",L9=""),"",L9/(S9*Inputs!$B$10))</f>
        <v>0</v>
      </c>
      <c r="U9" s="14" t="n">
        <f aca="false">IF(OR(R9="",L9=""),"",4*L9/(PI()*R9^2))</f>
        <v>0</v>
      </c>
      <c r="V9" s="14"/>
      <c r="W9" s="14" t="str">
        <f aca="false">IF(A9="","",IF(A9=Inputs!$B$6,Inputs!$B$22,IF(B9="","",IFERROR(INDEX($X$4:$X$203,MATCH(B9,$A$4:$A$203,0))+IF(V9="",Inputs!$B$20,V9),""))))</f>
        <v/>
      </c>
      <c r="X9" s="14" t="str">
        <f aca="false">IF(OR(W9="",N9="",C9=""),"",W9+N9*C9)</f>
        <v/>
      </c>
      <c r="Y9" s="14"/>
      <c r="Z9" s="14"/>
      <c r="AA9" s="14" t="str">
        <f aca="false">IF(OR(Y9="",W9=""),"",Y9-W9)</f>
        <v/>
      </c>
      <c r="AB9" s="14" t="str">
        <f aca="false">IF(OR(Z9="",X9=""),"",Z9-X9)</f>
        <v/>
      </c>
      <c r="AC9" s="19" t="str">
        <f aca="false">IF(A9="","",IF(OR(T9&gt;1,AND(AV9&lt;&gt;"",AV9&lt;Inputs!$B$11),AND(AV9&lt;&gt;"",AV9&gt;Inputs!$B$12),AA9&lt;Inputs!$B$19,AB9&lt;Inputs!$B$19,N9&lt;Inputs!$B$7,N9&gt;Inputs!$B$8),"CHECK","OK"))</f>
        <v>OK</v>
      </c>
      <c r="AD9" s="9" t="n">
        <f aca="false">IF(A9="","",(1/Inputs!$B$9)*(PI()*(Inputs!$F$5/1000)^2/4)*((Inputs!$F$5/1000/4)^(2/3))*SQRT(N9))</f>
        <v>0.0327984401656511</v>
      </c>
      <c r="AE9" s="9" t="n">
        <f aca="false">IF(A9="","",(1/Inputs!$B$9)*(PI()*(Inputs!$F$6/1000)^2/4)*((Inputs!$F$6/1000/4)^(2/3))*SQRT(N9))</f>
        <v>0.0594675287628136</v>
      </c>
      <c r="AF9" s="9" t="n">
        <f aca="false">IF(A9="","",(1/Inputs!$B$9)*(PI()*(Inputs!$F$7/1000)^2/4)*((Inputs!$F$7/1000/4)^(2/3))*SQRT(N9))</f>
        <v>0.0967007585335561</v>
      </c>
      <c r="AG9" s="9" t="n">
        <f aca="false">IF(A9="","",(1/Inputs!$B$9)*(PI()*(Inputs!$F$8/1000)^2/4)*((Inputs!$F$8/1000/4)^(2/3))*SQRT(N9))</f>
        <v>0.175330141020016</v>
      </c>
      <c r="AH9" s="9" t="n">
        <f aca="false">IF(A9="","",(1/Inputs!$B$9)*(PI()*(Inputs!$F$9/1000)^2/4)*((Inputs!$F$9/1000/4)^(2/3))*SQRT(N9))</f>
        <v>0.285106140832826</v>
      </c>
      <c r="AI9" s="9" t="n">
        <f aca="false">IF(A9="","",(1/Inputs!$B$9)*(PI()*(Inputs!$F$10/1000)^2/4)*((Inputs!$F$10/1000/4)^(2/3))*SQRT(N9))</f>
        <v>0.430062270986421</v>
      </c>
      <c r="AJ9" s="9" t="n">
        <f aca="false">IF(A9="","",(1/Inputs!$B$9)*(PI()*(Inputs!$F$11/1000)^2/4)*((Inputs!$F$11/1000/4)^(2/3))*SQRT(N9))</f>
        <v>0.614011543289159</v>
      </c>
      <c r="AK9" s="9" t="n">
        <f aca="false">IF(A9="","",(1/Inputs!$B$9)*(PI()*(Inputs!$F$12/1000)^2/4)*((Inputs!$F$12/1000/4)^(2/3))*SQRT(N9))</f>
        <v>0.840588148151706</v>
      </c>
      <c r="AL9" s="9" t="n">
        <f aca="false">IF(A9="","",(1/Inputs!$B$9)*(PI()*(Inputs!$F$13/1000)^2/4)*((Inputs!$F$13/1000/4)^(2/3))*SQRT(N9))</f>
        <v>1.11327700118762</v>
      </c>
      <c r="AM9" s="9" t="n">
        <f aca="false">IF(A9="","",(1/Inputs!$B$9)*(PI()*(Inputs!$F$14/1000)^2/4)*((Inputs!$F$14/1000/4)^(2/3))*SQRT(N9))</f>
        <v>1.81031115152249</v>
      </c>
      <c r="AN9" s="9" t="n">
        <f aca="false">IF(A9="","",COUNTIF($B$4:$B$203,$A9))</f>
        <v>0</v>
      </c>
      <c r="AO9" s="9" t="str">
        <f aca="false">IF(A9="","",IF(AN9=0,"START","CONTINUOUS"))</f>
        <v>START</v>
      </c>
      <c r="AP9" s="13" t="n">
        <f aca="false">IF(A9="","",IF(H9="",Inputs!$B$18,H9))</f>
        <v>5</v>
      </c>
      <c r="AQ9" s="13" t="str">
        <f aca="false">IF(A9="","",IFERROR(maxifs($AS$4:$AS$203,$B$4:$B$203,$A9),""))</f>
        <v/>
      </c>
      <c r="AR9" s="13" t="n">
        <f aca="false">IF(A9="","",IF(OR(C9="",Inputs!$B$23=""),"",C9/(Inputs!$B$23*60)))</f>
        <v>0.238166666666667</v>
      </c>
      <c r="AS9" s="13" t="n">
        <f aca="false">IF(A9="","",IF(AN9=0,AP9+AR9,IF(AQ9="",AP9+AR9,AQ9+AR9)))</f>
        <v>5.23816666666667</v>
      </c>
      <c r="AT9" s="13" t="n">
        <f aca="false">IF(A9="","",U9)</f>
        <v>0</v>
      </c>
      <c r="AU9" s="13" t="n">
        <f aca="false">IF(OR(R9="",N9=""),"",(1/Inputs!$B$9)*((R9/4)^(2/3))*SQRT(N9))</f>
        <v>1.04400677561343</v>
      </c>
      <c r="AV9" s="13" t="n">
        <f aca="false">IF(A9="","",IF(AND(AT9="",AU9="",AX9=""),"",IF(OR(UPPER(TRIM(Inputs!$B$24))="MANNING",UPPER(TRIM(Inputs!$B$24))="M"),AU9,IF(OR(UPPER(TRIM(Inputs!$B$24))="PARTIAL",UPPER(TRIM(Inputs!$B$24))="P"),AX9,IF(OR(UPPER(TRIM(Inputs!$B$24))="MAX",UPPER(TRIM(Inputs!$B$24))="X"),MAX(IF(AT9="",0,AT9),IF(AU9="",0,AU9),IF(AX9="",0,AX9)),AT9)))))</f>
        <v>1.04400677561343</v>
      </c>
      <c r="AW9" s="13" t="n">
        <f aca="false">IF(AY9="","",CE9)</f>
        <v>0.00093359375</v>
      </c>
      <c r="AX9" s="13" t="n">
        <f aca="false">IF(OR(AY9="",AW9="",R9="",R9&lt;=0,AW9&lt;=0),"",AY9/((R9^2/8)*(2*ACOS(1-2*AW9/R9)-SIN(2*ACOS(1-2*AW9/R9)))))</f>
        <v>0</v>
      </c>
      <c r="AY9" s="9" t="n">
        <f aca="false">IF(OR(L9="",AZ9=""),"",MIN(L9,AZ9))</f>
        <v>0</v>
      </c>
      <c r="AZ9" s="9" t="n">
        <f aca="false">IF(OR(L9="",R9="",N9=""),"",IF(OR(R9="",N9="",(0.94*R9)="",R9&lt;=0,(0.94*R9)&lt;=0),"",(1/Inputs!$B$9)*((R9^2/8)*((2*ACOS(1-2*(0.94*R9)/R9))-SIN((2*ACOS(1-2*(0.94*R9)/R9)))))*((((R9^2/8)*((2*ACOS(1-2*(0.94*R9)/R9))-SIN((2*ACOS(1-2*(0.94*R9)/R9)))))/((R9/2)*((2*ACOS(1-2*(0.94*R9)/R9)))))^(2/3))*SQRT(N9)))</f>
        <v>0.0352806077891244</v>
      </c>
      <c r="BA9" s="9" t="n">
        <f aca="false">IF(AY9="","",0.001*R9)</f>
        <v>0.0002</v>
      </c>
      <c r="BB9" s="9" t="n">
        <f aca="false">IF(AY9="","",0.94*R9)</f>
        <v>0.188</v>
      </c>
      <c r="BC9" s="9" t="n">
        <f aca="false">IF(AY9="","",(BA9+BB9)/2)</f>
        <v>0.0941</v>
      </c>
      <c r="BD9" s="9" t="n">
        <f aca="false">IF(OR(R9="",N9="",BC9="",R9&lt;=0,BC9&lt;=0),"",(1/Inputs!$B$9)*((R9^2/8)*((2*ACOS(1-2*BC9/R9))-SIN((2*ACOS(1-2*BC9/R9)))))*((((R9^2/8)*((2*ACOS(1-2*BC9/R9))-SIN((2*ACOS(1-2*BC9/R9)))))/((R9/2)*((2*ACOS(1-2*BC9/R9)))))^(2/3))*SQRT(N9))</f>
        <v>0.0147714469807598</v>
      </c>
      <c r="BE9" s="9" t="n">
        <f aca="false">IF(AY9="","",IF(BD9&lt;AY9,BC9,BA9))</f>
        <v>0.0002</v>
      </c>
      <c r="BF9" s="9" t="n">
        <f aca="false">IF(AY9="","",IF(BD9&lt;AY9,BB9,BC9))</f>
        <v>0.0941</v>
      </c>
      <c r="BG9" s="9" t="n">
        <f aca="false">IF(AY9="","",(BE9+BF9)/2)</f>
        <v>0.04715</v>
      </c>
      <c r="BH9" s="9" t="n">
        <f aca="false">IF(OR(R9="",N9="",BG9="",R9&lt;=0,BG9&lt;=0),"",(1/Inputs!$B$9)*((R9^2/8)*((2*ACOS(1-2*BG9/R9))-SIN((2*ACOS(1-2*BG9/R9)))))*((((R9^2/8)*((2*ACOS(1-2*BG9/R9))-SIN((2*ACOS(1-2*BG9/R9)))))/((R9/2)*((2*ACOS(1-2*BG9/R9)))))^(2/3))*SQRT(N9))</f>
        <v>0.00399781890601551</v>
      </c>
      <c r="BI9" s="9" t="n">
        <f aca="false">IF(AY9="","",IF(BH9&lt;AY9,BG9,BE9))</f>
        <v>0.0002</v>
      </c>
      <c r="BJ9" s="9" t="n">
        <f aca="false">IF(AY9="","",IF(BH9&lt;AY9,BF9,BG9))</f>
        <v>0.04715</v>
      </c>
      <c r="BK9" s="9" t="n">
        <f aca="false">IF(AY9="","",(BI9+BJ9)/2)</f>
        <v>0.023675</v>
      </c>
      <c r="BL9" s="9" t="n">
        <f aca="false">IF(OR(R9="",N9="",BK9="",R9&lt;=0,BK9&lt;=0),"",(1/Inputs!$B$9)*((R9^2/8)*((2*ACOS(1-2*BK9/R9))-SIN((2*ACOS(1-2*BK9/R9)))))*((((R9^2/8)*((2*ACOS(1-2*BK9/R9))-SIN((2*ACOS(1-2*BK9/R9)))))/((R9/2)*((2*ACOS(1-2*BK9/R9)))))^(2/3))*SQRT(N9))</f>
        <v>0.000974997048119399</v>
      </c>
      <c r="BM9" s="9" t="n">
        <f aca="false">IF(AY9="","",IF(BL9&lt;AY9,BK9,BI9))</f>
        <v>0.0002</v>
      </c>
      <c r="BN9" s="9" t="n">
        <f aca="false">IF(AY9="","",IF(BL9&lt;AY9,BJ9,BK9))</f>
        <v>0.023675</v>
      </c>
      <c r="BO9" s="9" t="n">
        <f aca="false">IF(AY9="","",(BM9+BN9)/2)</f>
        <v>0.0119375</v>
      </c>
      <c r="BP9" s="9" t="n">
        <f aca="false">IF(OR(R9="",N9="",BO9="",R9&lt;=0,BO9&lt;=0),"",(1/Inputs!$B$9)*((R9^2/8)*((2*ACOS(1-2*BO9/R9))-SIN((2*ACOS(1-2*BO9/R9)))))*((((R9^2/8)*((2*ACOS(1-2*BO9/R9))-SIN((2*ACOS(1-2*BO9/R9)))))/((R9/2)*((2*ACOS(1-2*BO9/R9)))))^(2/3))*SQRT(N9))</f>
        <v>0.000229752722071521</v>
      </c>
      <c r="BQ9" s="9" t="n">
        <f aca="false">IF(AY9="","",IF(BP9&lt;AY9,BO9,BM9))</f>
        <v>0.0002</v>
      </c>
      <c r="BR9" s="9" t="n">
        <f aca="false">IF(AY9="","",IF(BP9&lt;AY9,BN9,BO9))</f>
        <v>0.0119375</v>
      </c>
      <c r="BS9" s="9" t="n">
        <f aca="false">IF(AY9="","",(BQ9+BR9)/2)</f>
        <v>0.00606875</v>
      </c>
      <c r="BT9" s="9" t="n">
        <f aca="false">IF(OR(R9="",N9="",BS9="",R9&lt;=0,BS9&lt;=0),"",(1/Inputs!$B$9)*((R9^2/8)*((2*ACOS(1-2*BS9/R9))-SIN((2*ACOS(1-2*BS9/R9)))))*((((R9^2/8)*((2*ACOS(1-2*BS9/R9))-SIN((2*ACOS(1-2*BS9/R9)))))/((R9/2)*((2*ACOS(1-2*BS9/R9)))))^(2/3))*SQRT(N9))</f>
        <v>5.40374368332601E-005</v>
      </c>
      <c r="BU9" s="9" t="n">
        <f aca="false">IF(AY9="","",IF(BT9&lt;AY9,BS9,BQ9))</f>
        <v>0.0002</v>
      </c>
      <c r="BV9" s="9" t="n">
        <f aca="false">IF(AY9="","",IF(BT9&lt;AY9,BR9,BS9))</f>
        <v>0.00606875</v>
      </c>
      <c r="BW9" s="9" t="n">
        <f aca="false">IF(AY9="","",(BU9+BV9)/2)</f>
        <v>0.003134375</v>
      </c>
      <c r="BX9" s="9" t="n">
        <f aca="false">IF(OR(R9="",N9="",BW9="",R9&lt;=0,BW9&lt;=0),"",(1/Inputs!$B$9)*((R9^2/8)*((2*ACOS(1-2*BW9/R9))-SIN((2*ACOS(1-2*BW9/R9)))))*((((R9^2/8)*((2*ACOS(1-2*BW9/R9))-SIN((2*ACOS(1-2*BW9/R9)))))/((R9/2)*((2*ACOS(1-2*BW9/R9)))))^(2/3))*SQRT(N9))</f>
        <v>1.30295242489464E-005</v>
      </c>
      <c r="BY9" s="9" t="n">
        <f aca="false">IF(AY9="","",IF(BX9&lt;AY9,BW9,BU9))</f>
        <v>0.0002</v>
      </c>
      <c r="BZ9" s="9" t="n">
        <f aca="false">IF(AY9="","",IF(BX9&lt;AY9,BV9,BW9))</f>
        <v>0.003134375</v>
      </c>
      <c r="CA9" s="9" t="n">
        <f aca="false">IF(AY9="","",(BY9+BZ9)/2)</f>
        <v>0.0016671875</v>
      </c>
      <c r="CB9" s="9" t="n">
        <f aca="false">IF(OR(R9="",N9="",CA9="",R9&lt;=0,CA9&lt;=0),"",(1/Inputs!$B$9)*((R9^2/8)*((2*ACOS(1-2*CA9/R9))-SIN((2*ACOS(1-2*CA9/R9)))))*((((R9^2/8)*((2*ACOS(1-2*CA9/R9))-SIN((2*ACOS(1-2*CA9/R9)))))/((R9/2)*((2*ACOS(1-2*CA9/R9)))))^(2/3))*SQRT(N9))</f>
        <v>3.3332195434217E-006</v>
      </c>
      <c r="CC9" s="9" t="n">
        <f aca="false">IF(AY9="","",IF(CB9&lt;AY9,CA9,BY9))</f>
        <v>0.0002</v>
      </c>
      <c r="CD9" s="9" t="n">
        <f aca="false">IF(AY9="","",IF(CB9&lt;AY9,BZ9,CA9))</f>
        <v>0.0016671875</v>
      </c>
      <c r="CE9" s="9" t="n">
        <f aca="false">IF(AY9="","",(CC9+CD9)/2)</f>
        <v>0.00093359375</v>
      </c>
    </row>
    <row r="10" customFormat="false" ht="15" hidden="false" customHeight="false" outlineLevel="0" collapsed="false">
      <c r="A10" s="9" t="s">
        <v>190</v>
      </c>
      <c r="B10" s="9" t="s">
        <v>191</v>
      </c>
      <c r="C10" s="14" t="n">
        <v>12.4</v>
      </c>
      <c r="D10" s="14"/>
      <c r="E10" s="14" t="n">
        <f aca="false">SUMIFS(CB_Tributaires!$C:$C,CB_Tributaires!$B:$B,$A10)</f>
        <v>0</v>
      </c>
      <c r="F10" s="14" t="n">
        <f aca="false">IF(D10="",E10,D10)</f>
        <v>0</v>
      </c>
      <c r="G10" s="9"/>
      <c r="H10" s="14"/>
      <c r="I10" s="14" t="n">
        <f aca="false">IF(A10="","",Inputs!$B$13/((IF(AS10="",Inputs!$B$18,AS10)+Inputs!$B$14)^Inputs!$B$15))</f>
        <v>136.411682159749</v>
      </c>
      <c r="J10" s="14" t="n">
        <f aca="false">IF(A10="","",0.000000278*IF(G10="",Inputs!$B$17,G10)*F10*I10)</f>
        <v>0</v>
      </c>
      <c r="K10" s="14" t="n">
        <f aca="false">IF(A10="","",SUMIFS($L$4:$L$203,$B$4:$B$203,$A10))</f>
        <v>0</v>
      </c>
      <c r="L10" s="14" t="n">
        <f aca="false">IF(A10="","",(J10+K10)*Inputs!$B$16)</f>
        <v>0</v>
      </c>
      <c r="M10" s="14"/>
      <c r="N10" s="14" t="n">
        <f aca="false">IF(A10="","",IF(M10="",Inputs!$B$7,M10))</f>
        <v>0.01</v>
      </c>
      <c r="O10" s="9" t="n">
        <f aca="false">IF(A10="","",IF(L10/Inputs!$B$10&lt;=AD10,Inputs!$F$5,IF(L10/Inputs!$B$10&gt;AM10,"OVERSIZE",INDEX(Inputs!$F$5:$F$14,MATCH(L10/Inputs!$B$10,AD10:AM10,1)+1))))</f>
        <v>200</v>
      </c>
      <c r="P10" s="9"/>
      <c r="Q10" s="9" t="n">
        <f aca="false">IF(A10="","",IF(P10="",O10,P10))</f>
        <v>200</v>
      </c>
      <c r="R10" s="14" t="n">
        <f aca="false">IF(OR(Q10="",Q10="OVERSIZE"),"",Q10/1000)</f>
        <v>0.2</v>
      </c>
      <c r="S10" s="14" t="n">
        <f aca="false">IF(R10="","",(1/Inputs!$B$9)*(PI()*R10^2/4)*((R10/4)^(2/3))*SQRT(N10))</f>
        <v>0.0327984401656511</v>
      </c>
      <c r="T10" s="14" t="n">
        <f aca="false">IF(OR(S10="",L10=""),"",L10/(S10*Inputs!$B$10))</f>
        <v>0</v>
      </c>
      <c r="U10" s="14" t="n">
        <f aca="false">IF(OR(R10="",L10=""),"",4*L10/(PI()*R10^2))</f>
        <v>0</v>
      </c>
      <c r="V10" s="14"/>
      <c r="W10" s="14" t="str">
        <f aca="false">IF(A10="","",IF(A10=Inputs!$B$6,Inputs!$B$22,IF(B10="","",IFERROR(INDEX($X$4:$X$203,MATCH(B10,$A$4:$A$203,0))+IF(V10="",Inputs!$B$20,V10),""))))</f>
        <v/>
      </c>
      <c r="X10" s="14" t="str">
        <f aca="false">IF(OR(W10="",N10="",C10=""),"",W10+N10*C10)</f>
        <v/>
      </c>
      <c r="Y10" s="14"/>
      <c r="Z10" s="14"/>
      <c r="AA10" s="14" t="str">
        <f aca="false">IF(OR(Y10="",W10=""),"",Y10-W10)</f>
        <v/>
      </c>
      <c r="AB10" s="14" t="str">
        <f aca="false">IF(OR(Z10="",X10=""),"",Z10-X10)</f>
        <v/>
      </c>
      <c r="AC10" s="19" t="str">
        <f aca="false">IF(A10="","",IF(OR(T10&gt;1,AND(AV10&lt;&gt;"",AV10&lt;Inputs!$B$11),AND(AV10&lt;&gt;"",AV10&gt;Inputs!$B$12),AA10&lt;Inputs!$B$19,AB10&lt;Inputs!$B$19,N10&lt;Inputs!$B$7,N10&gt;Inputs!$B$8),"CHECK","OK"))</f>
        <v>OK</v>
      </c>
      <c r="AD10" s="9" t="n">
        <f aca="false">IF(A10="","",(1/Inputs!$B$9)*(PI()*(Inputs!$F$5/1000)^2/4)*((Inputs!$F$5/1000/4)^(2/3))*SQRT(N10))</f>
        <v>0.0327984401656511</v>
      </c>
      <c r="AE10" s="9" t="n">
        <f aca="false">IF(A10="","",(1/Inputs!$B$9)*(PI()*(Inputs!$F$6/1000)^2/4)*((Inputs!$F$6/1000/4)^(2/3))*SQRT(N10))</f>
        <v>0.0594675287628136</v>
      </c>
      <c r="AF10" s="9" t="n">
        <f aca="false">IF(A10="","",(1/Inputs!$B$9)*(PI()*(Inputs!$F$7/1000)^2/4)*((Inputs!$F$7/1000/4)^(2/3))*SQRT(N10))</f>
        <v>0.0967007585335561</v>
      </c>
      <c r="AG10" s="9" t="n">
        <f aca="false">IF(A10="","",(1/Inputs!$B$9)*(PI()*(Inputs!$F$8/1000)^2/4)*((Inputs!$F$8/1000/4)^(2/3))*SQRT(N10))</f>
        <v>0.175330141020016</v>
      </c>
      <c r="AH10" s="9" t="n">
        <f aca="false">IF(A10="","",(1/Inputs!$B$9)*(PI()*(Inputs!$F$9/1000)^2/4)*((Inputs!$F$9/1000/4)^(2/3))*SQRT(N10))</f>
        <v>0.285106140832826</v>
      </c>
      <c r="AI10" s="9" t="n">
        <f aca="false">IF(A10="","",(1/Inputs!$B$9)*(PI()*(Inputs!$F$10/1000)^2/4)*((Inputs!$F$10/1000/4)^(2/3))*SQRT(N10))</f>
        <v>0.430062270986421</v>
      </c>
      <c r="AJ10" s="9" t="n">
        <f aca="false">IF(A10="","",(1/Inputs!$B$9)*(PI()*(Inputs!$F$11/1000)^2/4)*((Inputs!$F$11/1000/4)^(2/3))*SQRT(N10))</f>
        <v>0.614011543289159</v>
      </c>
      <c r="AK10" s="9" t="n">
        <f aca="false">IF(A10="","",(1/Inputs!$B$9)*(PI()*(Inputs!$F$12/1000)^2/4)*((Inputs!$F$12/1000/4)^(2/3))*SQRT(N10))</f>
        <v>0.840588148151706</v>
      </c>
      <c r="AL10" s="9" t="n">
        <f aca="false">IF(A10="","",(1/Inputs!$B$9)*(PI()*(Inputs!$F$13/1000)^2/4)*((Inputs!$F$13/1000/4)^(2/3))*SQRT(N10))</f>
        <v>1.11327700118762</v>
      </c>
      <c r="AM10" s="9" t="n">
        <f aca="false">IF(A10="","",(1/Inputs!$B$9)*(PI()*(Inputs!$F$14/1000)^2/4)*((Inputs!$F$14/1000/4)^(2/3))*SQRT(N10))</f>
        <v>1.81031115152249</v>
      </c>
      <c r="AN10" s="9" t="n">
        <f aca="false">IF(A10="","",COUNTIF($B$4:$B$203,$A10))</f>
        <v>1</v>
      </c>
      <c r="AO10" s="9" t="str">
        <f aca="false">IF(A10="","",IF(AN10=0,"START","CONTINUOUS"))</f>
        <v>CONTINUOUS</v>
      </c>
      <c r="AP10" s="13" t="n">
        <f aca="false">IF(A10="","",IF(H10="",Inputs!$B$18,H10))</f>
        <v>5</v>
      </c>
      <c r="AQ10" s="13" t="str">
        <f aca="false">IF(A10="","",IFERROR(maxifs($AS$4:$AS$203,$B$4:$B$203,$A10),""))</f>
        <v/>
      </c>
      <c r="AR10" s="13" t="n">
        <f aca="false">IF(A10="","",IF(OR(C10="",Inputs!$B$23=""),"",C10/(Inputs!$B$23*60)))</f>
        <v>0.206666666666667</v>
      </c>
      <c r="AS10" s="13" t="n">
        <f aca="false">IF(A10="","",IF(AN10=0,AP10+AR10,IF(AQ10="",AP10+AR10,AQ10+AR10)))</f>
        <v>5.20666666666667</v>
      </c>
      <c r="AT10" s="13" t="n">
        <f aca="false">IF(A10="","",U10)</f>
        <v>0</v>
      </c>
      <c r="AU10" s="13" t="n">
        <f aca="false">IF(OR(R10="",N10=""),"",(1/Inputs!$B$9)*((R10/4)^(2/3))*SQRT(N10))</f>
        <v>1.04400677561343</v>
      </c>
      <c r="AV10" s="13" t="n">
        <f aca="false">IF(A10="","",IF(AND(AT10="",AU10="",AX10=""),"",IF(OR(UPPER(TRIM(Inputs!$B$24))="MANNING",UPPER(TRIM(Inputs!$B$24))="M"),AU10,IF(OR(UPPER(TRIM(Inputs!$B$24))="PARTIAL",UPPER(TRIM(Inputs!$B$24))="P"),AX10,IF(OR(UPPER(TRIM(Inputs!$B$24))="MAX",UPPER(TRIM(Inputs!$B$24))="X"),MAX(IF(AT10="",0,AT10),IF(AU10="",0,AU10),IF(AX10="",0,AX10)),AT10)))))</f>
        <v>1.04400677561343</v>
      </c>
      <c r="AW10" s="13" t="n">
        <f aca="false">IF(AY10="","",CE10)</f>
        <v>0.00093359375</v>
      </c>
      <c r="AX10" s="13" t="n">
        <f aca="false">IF(OR(AY10="",AW10="",R10="",R10&lt;=0,AW10&lt;=0),"",AY10/((R10^2/8)*(2*ACOS(1-2*AW10/R10)-SIN(2*ACOS(1-2*AW10/R10)))))</f>
        <v>0</v>
      </c>
      <c r="AY10" s="9" t="n">
        <f aca="false">IF(OR(L10="",AZ10=""),"",MIN(L10,AZ10))</f>
        <v>0</v>
      </c>
      <c r="AZ10" s="9" t="n">
        <f aca="false">IF(OR(L10="",R10="",N10=""),"",IF(OR(R10="",N10="",(0.94*R10)="",R10&lt;=0,(0.94*R10)&lt;=0),"",(1/Inputs!$B$9)*((R10^2/8)*((2*ACOS(1-2*(0.94*R10)/R10))-SIN((2*ACOS(1-2*(0.94*R10)/R10)))))*((((R10^2/8)*((2*ACOS(1-2*(0.94*R10)/R10))-SIN((2*ACOS(1-2*(0.94*R10)/R10)))))/((R10/2)*((2*ACOS(1-2*(0.94*R10)/R10)))))^(2/3))*SQRT(N10)))</f>
        <v>0.0352806077891244</v>
      </c>
      <c r="BA10" s="9" t="n">
        <f aca="false">IF(AY10="","",0.001*R10)</f>
        <v>0.0002</v>
      </c>
      <c r="BB10" s="9" t="n">
        <f aca="false">IF(AY10="","",0.94*R10)</f>
        <v>0.188</v>
      </c>
      <c r="BC10" s="9" t="n">
        <f aca="false">IF(AY10="","",(BA10+BB10)/2)</f>
        <v>0.0941</v>
      </c>
      <c r="BD10" s="9" t="n">
        <f aca="false">IF(OR(R10="",N10="",BC10="",R10&lt;=0,BC10&lt;=0),"",(1/Inputs!$B$9)*((R10^2/8)*((2*ACOS(1-2*BC10/R10))-SIN((2*ACOS(1-2*BC10/R10)))))*((((R10^2/8)*((2*ACOS(1-2*BC10/R10))-SIN((2*ACOS(1-2*BC10/R10)))))/((R10/2)*((2*ACOS(1-2*BC10/R10)))))^(2/3))*SQRT(N10))</f>
        <v>0.0147714469807598</v>
      </c>
      <c r="BE10" s="9" t="n">
        <f aca="false">IF(AY10="","",IF(BD10&lt;AY10,BC10,BA10))</f>
        <v>0.0002</v>
      </c>
      <c r="BF10" s="9" t="n">
        <f aca="false">IF(AY10="","",IF(BD10&lt;AY10,BB10,BC10))</f>
        <v>0.0941</v>
      </c>
      <c r="BG10" s="9" t="n">
        <f aca="false">IF(AY10="","",(BE10+BF10)/2)</f>
        <v>0.04715</v>
      </c>
      <c r="BH10" s="9" t="n">
        <f aca="false">IF(OR(R10="",N10="",BG10="",R10&lt;=0,BG10&lt;=0),"",(1/Inputs!$B$9)*((R10^2/8)*((2*ACOS(1-2*BG10/R10))-SIN((2*ACOS(1-2*BG10/R10)))))*((((R10^2/8)*((2*ACOS(1-2*BG10/R10))-SIN((2*ACOS(1-2*BG10/R10)))))/((R10/2)*((2*ACOS(1-2*BG10/R10)))))^(2/3))*SQRT(N10))</f>
        <v>0.00399781890601551</v>
      </c>
      <c r="BI10" s="9" t="n">
        <f aca="false">IF(AY10="","",IF(BH10&lt;AY10,BG10,BE10))</f>
        <v>0.0002</v>
      </c>
      <c r="BJ10" s="9" t="n">
        <f aca="false">IF(AY10="","",IF(BH10&lt;AY10,BF10,BG10))</f>
        <v>0.04715</v>
      </c>
      <c r="BK10" s="9" t="n">
        <f aca="false">IF(AY10="","",(BI10+BJ10)/2)</f>
        <v>0.023675</v>
      </c>
      <c r="BL10" s="9" t="n">
        <f aca="false">IF(OR(R10="",N10="",BK10="",R10&lt;=0,BK10&lt;=0),"",(1/Inputs!$B$9)*((R10^2/8)*((2*ACOS(1-2*BK10/R10))-SIN((2*ACOS(1-2*BK10/R10)))))*((((R10^2/8)*((2*ACOS(1-2*BK10/R10))-SIN((2*ACOS(1-2*BK10/R10)))))/((R10/2)*((2*ACOS(1-2*BK10/R10)))))^(2/3))*SQRT(N10))</f>
        <v>0.000974997048119399</v>
      </c>
      <c r="BM10" s="9" t="n">
        <f aca="false">IF(AY10="","",IF(BL10&lt;AY10,BK10,BI10))</f>
        <v>0.0002</v>
      </c>
      <c r="BN10" s="9" t="n">
        <f aca="false">IF(AY10="","",IF(BL10&lt;AY10,BJ10,BK10))</f>
        <v>0.023675</v>
      </c>
      <c r="BO10" s="9" t="n">
        <f aca="false">IF(AY10="","",(BM10+BN10)/2)</f>
        <v>0.0119375</v>
      </c>
      <c r="BP10" s="9" t="n">
        <f aca="false">IF(OR(R10="",N10="",BO10="",R10&lt;=0,BO10&lt;=0),"",(1/Inputs!$B$9)*((R10^2/8)*((2*ACOS(1-2*BO10/R10))-SIN((2*ACOS(1-2*BO10/R10)))))*((((R10^2/8)*((2*ACOS(1-2*BO10/R10))-SIN((2*ACOS(1-2*BO10/R10)))))/((R10/2)*((2*ACOS(1-2*BO10/R10)))))^(2/3))*SQRT(N10))</f>
        <v>0.000229752722071521</v>
      </c>
      <c r="BQ10" s="9" t="n">
        <f aca="false">IF(AY10="","",IF(BP10&lt;AY10,BO10,BM10))</f>
        <v>0.0002</v>
      </c>
      <c r="BR10" s="9" t="n">
        <f aca="false">IF(AY10="","",IF(BP10&lt;AY10,BN10,BO10))</f>
        <v>0.0119375</v>
      </c>
      <c r="BS10" s="9" t="n">
        <f aca="false">IF(AY10="","",(BQ10+BR10)/2)</f>
        <v>0.00606875</v>
      </c>
      <c r="BT10" s="9" t="n">
        <f aca="false">IF(OR(R10="",N10="",BS10="",R10&lt;=0,BS10&lt;=0),"",(1/Inputs!$B$9)*((R10^2/8)*((2*ACOS(1-2*BS10/R10))-SIN((2*ACOS(1-2*BS10/R10)))))*((((R10^2/8)*((2*ACOS(1-2*BS10/R10))-SIN((2*ACOS(1-2*BS10/R10)))))/((R10/2)*((2*ACOS(1-2*BS10/R10)))))^(2/3))*SQRT(N10))</f>
        <v>5.40374368332601E-005</v>
      </c>
      <c r="BU10" s="9" t="n">
        <f aca="false">IF(AY10="","",IF(BT10&lt;AY10,BS10,BQ10))</f>
        <v>0.0002</v>
      </c>
      <c r="BV10" s="9" t="n">
        <f aca="false">IF(AY10="","",IF(BT10&lt;AY10,BR10,BS10))</f>
        <v>0.00606875</v>
      </c>
      <c r="BW10" s="9" t="n">
        <f aca="false">IF(AY10="","",(BU10+BV10)/2)</f>
        <v>0.003134375</v>
      </c>
      <c r="BX10" s="9" t="n">
        <f aca="false">IF(OR(R10="",N10="",BW10="",R10&lt;=0,BW10&lt;=0),"",(1/Inputs!$B$9)*((R10^2/8)*((2*ACOS(1-2*BW10/R10))-SIN((2*ACOS(1-2*BW10/R10)))))*((((R10^2/8)*((2*ACOS(1-2*BW10/R10))-SIN((2*ACOS(1-2*BW10/R10)))))/((R10/2)*((2*ACOS(1-2*BW10/R10)))))^(2/3))*SQRT(N10))</f>
        <v>1.30295242489464E-005</v>
      </c>
      <c r="BY10" s="9" t="n">
        <f aca="false">IF(AY10="","",IF(BX10&lt;AY10,BW10,BU10))</f>
        <v>0.0002</v>
      </c>
      <c r="BZ10" s="9" t="n">
        <f aca="false">IF(AY10="","",IF(BX10&lt;AY10,BV10,BW10))</f>
        <v>0.003134375</v>
      </c>
      <c r="CA10" s="9" t="n">
        <f aca="false">IF(AY10="","",(BY10+BZ10)/2)</f>
        <v>0.0016671875</v>
      </c>
      <c r="CB10" s="9" t="n">
        <f aca="false">IF(OR(R10="",N10="",CA10="",R10&lt;=0,CA10&lt;=0),"",(1/Inputs!$B$9)*((R10^2/8)*((2*ACOS(1-2*CA10/R10))-SIN((2*ACOS(1-2*CA10/R10)))))*((((R10^2/8)*((2*ACOS(1-2*CA10/R10))-SIN((2*ACOS(1-2*CA10/R10)))))/((R10/2)*((2*ACOS(1-2*CA10/R10)))))^(2/3))*SQRT(N10))</f>
        <v>3.3332195434217E-006</v>
      </c>
      <c r="CC10" s="9" t="n">
        <f aca="false">IF(AY10="","",IF(CB10&lt;AY10,CA10,BY10))</f>
        <v>0.0002</v>
      </c>
      <c r="CD10" s="9" t="n">
        <f aca="false">IF(AY10="","",IF(CB10&lt;AY10,BZ10,CA10))</f>
        <v>0.0016671875</v>
      </c>
      <c r="CE10" s="9" t="n">
        <f aca="false">IF(AY10="","",(CC10+CD10)/2)</f>
        <v>0.00093359375</v>
      </c>
    </row>
    <row r="11" customFormat="false" ht="15" hidden="false" customHeight="false" outlineLevel="0" collapsed="false">
      <c r="A11" s="9" t="s">
        <v>192</v>
      </c>
      <c r="B11" s="9" t="s">
        <v>191</v>
      </c>
      <c r="C11" s="14" t="n">
        <v>8.6</v>
      </c>
      <c r="D11" s="14"/>
      <c r="E11" s="14" t="n">
        <f aca="false">SUMIFS(CB_Tributaires!$C:$C,CB_Tributaires!$B:$B,$A11)</f>
        <v>0</v>
      </c>
      <c r="F11" s="14" t="n">
        <f aca="false">IF(D11="",E11,D11)</f>
        <v>0</v>
      </c>
      <c r="G11" s="9"/>
      <c r="H11" s="14"/>
      <c r="I11" s="14" t="n">
        <f aca="false">IF(A11="","",Inputs!$B$13/((IF(AS11="",Inputs!$B$18,AS11)+Inputs!$B$14)^Inputs!$B$15))</f>
        <v>137.214085260816</v>
      </c>
      <c r="J11" s="14" t="n">
        <f aca="false">IF(A11="","",0.000000278*IF(G11="",Inputs!$B$17,G11)*F11*I11)</f>
        <v>0</v>
      </c>
      <c r="K11" s="14" t="n">
        <f aca="false">IF(A11="","",SUMIFS($L$4:$L$203,$B$4:$B$203,$A11))</f>
        <v>0</v>
      </c>
      <c r="L11" s="14" t="n">
        <f aca="false">IF(A11="","",(J11+K11)*Inputs!$B$16)</f>
        <v>0</v>
      </c>
      <c r="M11" s="14"/>
      <c r="N11" s="14" t="n">
        <f aca="false">IF(A11="","",IF(M11="",Inputs!$B$7,M11))</f>
        <v>0.01</v>
      </c>
      <c r="O11" s="9" t="n">
        <f aca="false">IF(A11="","",IF(L11/Inputs!$B$10&lt;=AD11,Inputs!$F$5,IF(L11/Inputs!$B$10&gt;AM11,"OVERSIZE",INDEX(Inputs!$F$5:$F$14,MATCH(L11/Inputs!$B$10,AD11:AM11,1)+1))))</f>
        <v>200</v>
      </c>
      <c r="P11" s="9"/>
      <c r="Q11" s="9" t="n">
        <f aca="false">IF(A11="","",IF(P11="",O11,P11))</f>
        <v>200</v>
      </c>
      <c r="R11" s="14" t="n">
        <f aca="false">IF(OR(Q11="",Q11="OVERSIZE"),"",Q11/1000)</f>
        <v>0.2</v>
      </c>
      <c r="S11" s="14" t="n">
        <f aca="false">IF(R11="","",(1/Inputs!$B$9)*(PI()*R11^2/4)*((R11/4)^(2/3))*SQRT(N11))</f>
        <v>0.0327984401656511</v>
      </c>
      <c r="T11" s="14" t="n">
        <f aca="false">IF(OR(S11="",L11=""),"",L11/(S11*Inputs!$B$10))</f>
        <v>0</v>
      </c>
      <c r="U11" s="14" t="n">
        <f aca="false">IF(OR(R11="",L11=""),"",4*L11/(PI()*R11^2))</f>
        <v>0</v>
      </c>
      <c r="V11" s="14"/>
      <c r="W11" s="14" t="str">
        <f aca="false">IF(A11="","",IF(A11=Inputs!$B$6,Inputs!$B$22,IF(B11="","",IFERROR(INDEX($X$4:$X$203,MATCH(B11,$A$4:$A$203,0))+IF(V11="",Inputs!$B$20,V11),""))))</f>
        <v/>
      </c>
      <c r="X11" s="14" t="str">
        <f aca="false">IF(OR(W11="",N11="",C11=""),"",W11+N11*C11)</f>
        <v/>
      </c>
      <c r="Y11" s="14"/>
      <c r="Z11" s="14"/>
      <c r="AA11" s="14" t="str">
        <f aca="false">IF(OR(Y11="",W11=""),"",Y11-W11)</f>
        <v/>
      </c>
      <c r="AB11" s="14" t="str">
        <f aca="false">IF(OR(Z11="",X11=""),"",Z11-X11)</f>
        <v/>
      </c>
      <c r="AC11" s="19" t="str">
        <f aca="false">IF(A11="","",IF(OR(T11&gt;1,AND(AV11&lt;&gt;"",AV11&lt;Inputs!$B$11),AND(AV11&lt;&gt;"",AV11&gt;Inputs!$B$12),AA11&lt;Inputs!$B$19,AB11&lt;Inputs!$B$19,N11&lt;Inputs!$B$7,N11&gt;Inputs!$B$8),"CHECK","OK"))</f>
        <v>OK</v>
      </c>
      <c r="AD11" s="9" t="n">
        <f aca="false">IF(A11="","",(1/Inputs!$B$9)*(PI()*(Inputs!$F$5/1000)^2/4)*((Inputs!$F$5/1000/4)^(2/3))*SQRT(N11))</f>
        <v>0.0327984401656511</v>
      </c>
      <c r="AE11" s="9" t="n">
        <f aca="false">IF(A11="","",(1/Inputs!$B$9)*(PI()*(Inputs!$F$6/1000)^2/4)*((Inputs!$F$6/1000/4)^(2/3))*SQRT(N11))</f>
        <v>0.0594675287628136</v>
      </c>
      <c r="AF11" s="9" t="n">
        <f aca="false">IF(A11="","",(1/Inputs!$B$9)*(PI()*(Inputs!$F$7/1000)^2/4)*((Inputs!$F$7/1000/4)^(2/3))*SQRT(N11))</f>
        <v>0.0967007585335561</v>
      </c>
      <c r="AG11" s="9" t="n">
        <f aca="false">IF(A11="","",(1/Inputs!$B$9)*(PI()*(Inputs!$F$8/1000)^2/4)*((Inputs!$F$8/1000/4)^(2/3))*SQRT(N11))</f>
        <v>0.175330141020016</v>
      </c>
      <c r="AH11" s="9" t="n">
        <f aca="false">IF(A11="","",(1/Inputs!$B$9)*(PI()*(Inputs!$F$9/1000)^2/4)*((Inputs!$F$9/1000/4)^(2/3))*SQRT(N11))</f>
        <v>0.285106140832826</v>
      </c>
      <c r="AI11" s="9" t="n">
        <f aca="false">IF(A11="","",(1/Inputs!$B$9)*(PI()*(Inputs!$F$10/1000)^2/4)*((Inputs!$F$10/1000/4)^(2/3))*SQRT(N11))</f>
        <v>0.430062270986421</v>
      </c>
      <c r="AJ11" s="9" t="n">
        <f aca="false">IF(A11="","",(1/Inputs!$B$9)*(PI()*(Inputs!$F$11/1000)^2/4)*((Inputs!$F$11/1000/4)^(2/3))*SQRT(N11))</f>
        <v>0.614011543289159</v>
      </c>
      <c r="AK11" s="9" t="n">
        <f aca="false">IF(A11="","",(1/Inputs!$B$9)*(PI()*(Inputs!$F$12/1000)^2/4)*((Inputs!$F$12/1000/4)^(2/3))*SQRT(N11))</f>
        <v>0.840588148151706</v>
      </c>
      <c r="AL11" s="9" t="n">
        <f aca="false">IF(A11="","",(1/Inputs!$B$9)*(PI()*(Inputs!$F$13/1000)^2/4)*((Inputs!$F$13/1000/4)^(2/3))*SQRT(N11))</f>
        <v>1.11327700118762</v>
      </c>
      <c r="AM11" s="9" t="n">
        <f aca="false">IF(A11="","",(1/Inputs!$B$9)*(PI()*(Inputs!$F$14/1000)^2/4)*((Inputs!$F$14/1000/4)^(2/3))*SQRT(N11))</f>
        <v>1.81031115152249</v>
      </c>
      <c r="AN11" s="9" t="n">
        <f aca="false">IF(A11="","",COUNTIF($B$4:$B$203,$A11))</f>
        <v>0</v>
      </c>
      <c r="AO11" s="9" t="str">
        <f aca="false">IF(A11="","",IF(AN11=0,"START","CONTINUOUS"))</f>
        <v>START</v>
      </c>
      <c r="AP11" s="13" t="n">
        <f aca="false">IF(A11="","",IF(H11="",Inputs!$B$18,H11))</f>
        <v>5</v>
      </c>
      <c r="AQ11" s="13" t="str">
        <f aca="false">IF(A11="","",IFERROR(maxifs($AS$4:$AS$203,$B$4:$B$203,$A11),""))</f>
        <v/>
      </c>
      <c r="AR11" s="13" t="n">
        <f aca="false">IF(A11="","",IF(OR(C11="",Inputs!$B$23=""),"",C11/(Inputs!$B$23*60)))</f>
        <v>0.143333333333333</v>
      </c>
      <c r="AS11" s="13" t="n">
        <f aca="false">IF(A11="","",IF(AN11=0,AP11+AR11,IF(AQ11="",AP11+AR11,AQ11+AR11)))</f>
        <v>5.14333333333333</v>
      </c>
      <c r="AT11" s="13" t="n">
        <f aca="false">IF(A11="","",U11)</f>
        <v>0</v>
      </c>
      <c r="AU11" s="13" t="n">
        <f aca="false">IF(OR(R11="",N11=""),"",(1/Inputs!$B$9)*((R11/4)^(2/3))*SQRT(N11))</f>
        <v>1.04400677561343</v>
      </c>
      <c r="AV11" s="13" t="n">
        <f aca="false">IF(A11="","",IF(AND(AT11="",AU11="",AX11=""),"",IF(OR(UPPER(TRIM(Inputs!$B$24))="MANNING",UPPER(TRIM(Inputs!$B$24))="M"),AU11,IF(OR(UPPER(TRIM(Inputs!$B$24))="PARTIAL",UPPER(TRIM(Inputs!$B$24))="P"),AX11,IF(OR(UPPER(TRIM(Inputs!$B$24))="MAX",UPPER(TRIM(Inputs!$B$24))="X"),MAX(IF(AT11="",0,AT11),IF(AU11="",0,AU11),IF(AX11="",0,AX11)),AT11)))))</f>
        <v>1.04400677561343</v>
      </c>
      <c r="AW11" s="13" t="n">
        <f aca="false">IF(AY11="","",CE11)</f>
        <v>0.00093359375</v>
      </c>
      <c r="AX11" s="13" t="n">
        <f aca="false">IF(OR(AY11="",AW11="",R11="",R11&lt;=0,AW11&lt;=0),"",AY11/((R11^2/8)*(2*ACOS(1-2*AW11/R11)-SIN(2*ACOS(1-2*AW11/R11)))))</f>
        <v>0</v>
      </c>
      <c r="AY11" s="9" t="n">
        <f aca="false">IF(OR(L11="",AZ11=""),"",MIN(L11,AZ11))</f>
        <v>0</v>
      </c>
      <c r="AZ11" s="9" t="n">
        <f aca="false">IF(OR(L11="",R11="",N11=""),"",IF(OR(R11="",N11="",(0.94*R11)="",R11&lt;=0,(0.94*R11)&lt;=0),"",(1/Inputs!$B$9)*((R11^2/8)*((2*ACOS(1-2*(0.94*R11)/R11))-SIN((2*ACOS(1-2*(0.94*R11)/R11)))))*((((R11^2/8)*((2*ACOS(1-2*(0.94*R11)/R11))-SIN((2*ACOS(1-2*(0.94*R11)/R11)))))/((R11/2)*((2*ACOS(1-2*(0.94*R11)/R11)))))^(2/3))*SQRT(N11)))</f>
        <v>0.0352806077891244</v>
      </c>
      <c r="BA11" s="9" t="n">
        <f aca="false">IF(AY11="","",0.001*R11)</f>
        <v>0.0002</v>
      </c>
      <c r="BB11" s="9" t="n">
        <f aca="false">IF(AY11="","",0.94*R11)</f>
        <v>0.188</v>
      </c>
      <c r="BC11" s="9" t="n">
        <f aca="false">IF(AY11="","",(BA11+BB11)/2)</f>
        <v>0.0941</v>
      </c>
      <c r="BD11" s="9" t="n">
        <f aca="false">IF(OR(R11="",N11="",BC11="",R11&lt;=0,BC11&lt;=0),"",(1/Inputs!$B$9)*((R11^2/8)*((2*ACOS(1-2*BC11/R11))-SIN((2*ACOS(1-2*BC11/R11)))))*((((R11^2/8)*((2*ACOS(1-2*BC11/R11))-SIN((2*ACOS(1-2*BC11/R11)))))/((R11/2)*((2*ACOS(1-2*BC11/R11)))))^(2/3))*SQRT(N11))</f>
        <v>0.0147714469807598</v>
      </c>
      <c r="BE11" s="9" t="n">
        <f aca="false">IF(AY11="","",IF(BD11&lt;AY11,BC11,BA11))</f>
        <v>0.0002</v>
      </c>
      <c r="BF11" s="9" t="n">
        <f aca="false">IF(AY11="","",IF(BD11&lt;AY11,BB11,BC11))</f>
        <v>0.0941</v>
      </c>
      <c r="BG11" s="9" t="n">
        <f aca="false">IF(AY11="","",(BE11+BF11)/2)</f>
        <v>0.04715</v>
      </c>
      <c r="BH11" s="9" t="n">
        <f aca="false">IF(OR(R11="",N11="",BG11="",R11&lt;=0,BG11&lt;=0),"",(1/Inputs!$B$9)*((R11^2/8)*((2*ACOS(1-2*BG11/R11))-SIN((2*ACOS(1-2*BG11/R11)))))*((((R11^2/8)*((2*ACOS(1-2*BG11/R11))-SIN((2*ACOS(1-2*BG11/R11)))))/((R11/2)*((2*ACOS(1-2*BG11/R11)))))^(2/3))*SQRT(N11))</f>
        <v>0.00399781890601551</v>
      </c>
      <c r="BI11" s="9" t="n">
        <f aca="false">IF(AY11="","",IF(BH11&lt;AY11,BG11,BE11))</f>
        <v>0.0002</v>
      </c>
      <c r="BJ11" s="9" t="n">
        <f aca="false">IF(AY11="","",IF(BH11&lt;AY11,BF11,BG11))</f>
        <v>0.04715</v>
      </c>
      <c r="BK11" s="9" t="n">
        <f aca="false">IF(AY11="","",(BI11+BJ11)/2)</f>
        <v>0.023675</v>
      </c>
      <c r="BL11" s="9" t="n">
        <f aca="false">IF(OR(R11="",N11="",BK11="",R11&lt;=0,BK11&lt;=0),"",(1/Inputs!$B$9)*((R11^2/8)*((2*ACOS(1-2*BK11/R11))-SIN((2*ACOS(1-2*BK11/R11)))))*((((R11^2/8)*((2*ACOS(1-2*BK11/R11))-SIN((2*ACOS(1-2*BK11/R11)))))/((R11/2)*((2*ACOS(1-2*BK11/R11)))))^(2/3))*SQRT(N11))</f>
        <v>0.000974997048119399</v>
      </c>
      <c r="BM11" s="9" t="n">
        <f aca="false">IF(AY11="","",IF(BL11&lt;AY11,BK11,BI11))</f>
        <v>0.0002</v>
      </c>
      <c r="BN11" s="9" t="n">
        <f aca="false">IF(AY11="","",IF(BL11&lt;AY11,BJ11,BK11))</f>
        <v>0.023675</v>
      </c>
      <c r="BO11" s="9" t="n">
        <f aca="false">IF(AY11="","",(BM11+BN11)/2)</f>
        <v>0.0119375</v>
      </c>
      <c r="BP11" s="9" t="n">
        <f aca="false">IF(OR(R11="",N11="",BO11="",R11&lt;=0,BO11&lt;=0),"",(1/Inputs!$B$9)*((R11^2/8)*((2*ACOS(1-2*BO11/R11))-SIN((2*ACOS(1-2*BO11/R11)))))*((((R11^2/8)*((2*ACOS(1-2*BO11/R11))-SIN((2*ACOS(1-2*BO11/R11)))))/((R11/2)*((2*ACOS(1-2*BO11/R11)))))^(2/3))*SQRT(N11))</f>
        <v>0.000229752722071521</v>
      </c>
      <c r="BQ11" s="9" t="n">
        <f aca="false">IF(AY11="","",IF(BP11&lt;AY11,BO11,BM11))</f>
        <v>0.0002</v>
      </c>
      <c r="BR11" s="9" t="n">
        <f aca="false">IF(AY11="","",IF(BP11&lt;AY11,BN11,BO11))</f>
        <v>0.0119375</v>
      </c>
      <c r="BS11" s="9" t="n">
        <f aca="false">IF(AY11="","",(BQ11+BR11)/2)</f>
        <v>0.00606875</v>
      </c>
      <c r="BT11" s="9" t="n">
        <f aca="false">IF(OR(R11="",N11="",BS11="",R11&lt;=0,BS11&lt;=0),"",(1/Inputs!$B$9)*((R11^2/8)*((2*ACOS(1-2*BS11/R11))-SIN((2*ACOS(1-2*BS11/R11)))))*((((R11^2/8)*((2*ACOS(1-2*BS11/R11))-SIN((2*ACOS(1-2*BS11/R11)))))/((R11/2)*((2*ACOS(1-2*BS11/R11)))))^(2/3))*SQRT(N11))</f>
        <v>5.40374368332601E-005</v>
      </c>
      <c r="BU11" s="9" t="n">
        <f aca="false">IF(AY11="","",IF(BT11&lt;AY11,BS11,BQ11))</f>
        <v>0.0002</v>
      </c>
      <c r="BV11" s="9" t="n">
        <f aca="false">IF(AY11="","",IF(BT11&lt;AY11,BR11,BS11))</f>
        <v>0.00606875</v>
      </c>
      <c r="BW11" s="9" t="n">
        <f aca="false">IF(AY11="","",(BU11+BV11)/2)</f>
        <v>0.003134375</v>
      </c>
      <c r="BX11" s="9" t="n">
        <f aca="false">IF(OR(R11="",N11="",BW11="",R11&lt;=0,BW11&lt;=0),"",(1/Inputs!$B$9)*((R11^2/8)*((2*ACOS(1-2*BW11/R11))-SIN((2*ACOS(1-2*BW11/R11)))))*((((R11^2/8)*((2*ACOS(1-2*BW11/R11))-SIN((2*ACOS(1-2*BW11/R11)))))/((R11/2)*((2*ACOS(1-2*BW11/R11)))))^(2/3))*SQRT(N11))</f>
        <v>1.30295242489464E-005</v>
      </c>
      <c r="BY11" s="9" t="n">
        <f aca="false">IF(AY11="","",IF(BX11&lt;AY11,BW11,BU11))</f>
        <v>0.0002</v>
      </c>
      <c r="BZ11" s="9" t="n">
        <f aca="false">IF(AY11="","",IF(BX11&lt;AY11,BV11,BW11))</f>
        <v>0.003134375</v>
      </c>
      <c r="CA11" s="9" t="n">
        <f aca="false">IF(AY11="","",(BY11+BZ11)/2)</f>
        <v>0.0016671875</v>
      </c>
      <c r="CB11" s="9" t="n">
        <f aca="false">IF(OR(R11="",N11="",CA11="",R11&lt;=0,CA11&lt;=0),"",(1/Inputs!$B$9)*((R11^2/8)*((2*ACOS(1-2*CA11/R11))-SIN((2*ACOS(1-2*CA11/R11)))))*((((R11^2/8)*((2*ACOS(1-2*CA11/R11))-SIN((2*ACOS(1-2*CA11/R11)))))/((R11/2)*((2*ACOS(1-2*CA11/R11)))))^(2/3))*SQRT(N11))</f>
        <v>3.3332195434217E-006</v>
      </c>
      <c r="CC11" s="9" t="n">
        <f aca="false">IF(AY11="","",IF(CB11&lt;AY11,CA11,BY11))</f>
        <v>0.0002</v>
      </c>
      <c r="CD11" s="9" t="n">
        <f aca="false">IF(AY11="","",IF(CB11&lt;AY11,BZ11,CA11))</f>
        <v>0.0016671875</v>
      </c>
      <c r="CE11" s="9" t="n">
        <f aca="false">IF(AY11="","",(CC11+CD11)/2)</f>
        <v>0.00093359375</v>
      </c>
    </row>
    <row r="12" customFormat="false" ht="15" hidden="false" customHeight="false" outlineLevel="0" collapsed="false">
      <c r="A12" s="9" t="s">
        <v>191</v>
      </c>
      <c r="B12" s="9" t="s">
        <v>193</v>
      </c>
      <c r="C12" s="14" t="n">
        <v>6.22</v>
      </c>
      <c r="D12" s="14"/>
      <c r="E12" s="14" t="n">
        <f aca="false">SUMIFS(CB_Tributaires!$C:$C,CB_Tributaires!$B:$B,$A12)</f>
        <v>0</v>
      </c>
      <c r="F12" s="14" t="n">
        <f aca="false">IF(D12="",E12,D12)</f>
        <v>0</v>
      </c>
      <c r="G12" s="9"/>
      <c r="H12" s="14"/>
      <c r="I12" s="14" t="n">
        <f aca="false">IF(A12="","",Inputs!$B$13/((IF(AS12="",Inputs!$B$18,AS12)+Inputs!$B$14)^Inputs!$B$15))</f>
        <v>137.722416639501</v>
      </c>
      <c r="J12" s="14" t="n">
        <f aca="false">IF(A12="","",0.000000278*IF(G12="",Inputs!$B$17,G12)*F12*I12)</f>
        <v>0</v>
      </c>
      <c r="K12" s="14" t="n">
        <f aca="false">IF(A12="","",SUMIFS($L$4:$L$203,$B$4:$B$203,$A12))</f>
        <v>0</v>
      </c>
      <c r="L12" s="14" t="n">
        <f aca="false">IF(A12="","",(J12+K12)*Inputs!$B$16)</f>
        <v>0</v>
      </c>
      <c r="M12" s="14"/>
      <c r="N12" s="14" t="n">
        <f aca="false">IF(A12="","",IF(M12="",Inputs!$B$7,M12))</f>
        <v>0.01</v>
      </c>
      <c r="O12" s="9" t="n">
        <f aca="false">IF(A12="","",IF(L12/Inputs!$B$10&lt;=AD12,Inputs!$F$5,IF(L12/Inputs!$B$10&gt;AM12,"OVERSIZE",INDEX(Inputs!$F$5:$F$14,MATCH(L12/Inputs!$B$10,AD12:AM12,1)+1))))</f>
        <v>200</v>
      </c>
      <c r="P12" s="9"/>
      <c r="Q12" s="9" t="n">
        <f aca="false">IF(A12="","",IF(P12="",O12,P12))</f>
        <v>200</v>
      </c>
      <c r="R12" s="14" t="n">
        <f aca="false">IF(OR(Q12="",Q12="OVERSIZE"),"",Q12/1000)</f>
        <v>0.2</v>
      </c>
      <c r="S12" s="14" t="n">
        <f aca="false">IF(R12="","",(1/Inputs!$B$9)*(PI()*R12^2/4)*((R12/4)^(2/3))*SQRT(N12))</f>
        <v>0.0327984401656511</v>
      </c>
      <c r="T12" s="14" t="n">
        <f aca="false">IF(OR(S12="",L12=""),"",L12/(S12*Inputs!$B$10))</f>
        <v>0</v>
      </c>
      <c r="U12" s="14" t="n">
        <f aca="false">IF(OR(R12="",L12=""),"",4*L12/(PI()*R12^2))</f>
        <v>0</v>
      </c>
      <c r="V12" s="14"/>
      <c r="W12" s="14" t="str">
        <f aca="false">IF(A12="","",IF(A12=Inputs!$B$6,Inputs!$B$22,IF(B12="","",IFERROR(INDEX($X$4:$X$203,MATCH(B12,$A$4:$A$203,0))+IF(V12="",Inputs!$B$20,V12),""))))</f>
        <v/>
      </c>
      <c r="X12" s="14" t="str">
        <f aca="false">IF(OR(W12="",N12="",C12=""),"",W12+N12*C12)</f>
        <v/>
      </c>
      <c r="Y12" s="14"/>
      <c r="Z12" s="14"/>
      <c r="AA12" s="14" t="str">
        <f aca="false">IF(OR(Y12="",W12=""),"",Y12-W12)</f>
        <v/>
      </c>
      <c r="AB12" s="14" t="str">
        <f aca="false">IF(OR(Z12="",X12=""),"",Z12-X12)</f>
        <v/>
      </c>
      <c r="AC12" s="19" t="str">
        <f aca="false">IF(A12="","",IF(OR(T12&gt;1,AND(AV12&lt;&gt;"",AV12&lt;Inputs!$B$11),AND(AV12&lt;&gt;"",AV12&gt;Inputs!$B$12),AA12&lt;Inputs!$B$19,AB12&lt;Inputs!$B$19,N12&lt;Inputs!$B$7,N12&gt;Inputs!$B$8),"CHECK","OK"))</f>
        <v>OK</v>
      </c>
      <c r="AD12" s="9" t="n">
        <f aca="false">IF(A12="","",(1/Inputs!$B$9)*(PI()*(Inputs!$F$5/1000)^2/4)*((Inputs!$F$5/1000/4)^(2/3))*SQRT(N12))</f>
        <v>0.0327984401656511</v>
      </c>
      <c r="AE12" s="9" t="n">
        <f aca="false">IF(A12="","",(1/Inputs!$B$9)*(PI()*(Inputs!$F$6/1000)^2/4)*((Inputs!$F$6/1000/4)^(2/3))*SQRT(N12))</f>
        <v>0.0594675287628136</v>
      </c>
      <c r="AF12" s="9" t="n">
        <f aca="false">IF(A12="","",(1/Inputs!$B$9)*(PI()*(Inputs!$F$7/1000)^2/4)*((Inputs!$F$7/1000/4)^(2/3))*SQRT(N12))</f>
        <v>0.0967007585335561</v>
      </c>
      <c r="AG12" s="9" t="n">
        <f aca="false">IF(A12="","",(1/Inputs!$B$9)*(PI()*(Inputs!$F$8/1000)^2/4)*((Inputs!$F$8/1000/4)^(2/3))*SQRT(N12))</f>
        <v>0.175330141020016</v>
      </c>
      <c r="AH12" s="9" t="n">
        <f aca="false">IF(A12="","",(1/Inputs!$B$9)*(PI()*(Inputs!$F$9/1000)^2/4)*((Inputs!$F$9/1000/4)^(2/3))*SQRT(N12))</f>
        <v>0.285106140832826</v>
      </c>
      <c r="AI12" s="9" t="n">
        <f aca="false">IF(A12="","",(1/Inputs!$B$9)*(PI()*(Inputs!$F$10/1000)^2/4)*((Inputs!$F$10/1000/4)^(2/3))*SQRT(N12))</f>
        <v>0.430062270986421</v>
      </c>
      <c r="AJ12" s="9" t="n">
        <f aca="false">IF(A12="","",(1/Inputs!$B$9)*(PI()*(Inputs!$F$11/1000)^2/4)*((Inputs!$F$11/1000/4)^(2/3))*SQRT(N12))</f>
        <v>0.614011543289159</v>
      </c>
      <c r="AK12" s="9" t="n">
        <f aca="false">IF(A12="","",(1/Inputs!$B$9)*(PI()*(Inputs!$F$12/1000)^2/4)*((Inputs!$F$12/1000/4)^(2/3))*SQRT(N12))</f>
        <v>0.840588148151706</v>
      </c>
      <c r="AL12" s="9" t="n">
        <f aca="false">IF(A12="","",(1/Inputs!$B$9)*(PI()*(Inputs!$F$13/1000)^2/4)*((Inputs!$F$13/1000/4)^(2/3))*SQRT(N12))</f>
        <v>1.11327700118762</v>
      </c>
      <c r="AM12" s="9" t="n">
        <f aca="false">IF(A12="","",(1/Inputs!$B$9)*(PI()*(Inputs!$F$14/1000)^2/4)*((Inputs!$F$14/1000/4)^(2/3))*SQRT(N12))</f>
        <v>1.81031115152249</v>
      </c>
      <c r="AN12" s="9" t="n">
        <f aca="false">IF(A12="","",COUNTIF($B$4:$B$203,$A12))</f>
        <v>2</v>
      </c>
      <c r="AO12" s="9" t="str">
        <f aca="false">IF(A12="","",IF(AN12=0,"START","CONTINUOUS"))</f>
        <v>CONTINUOUS</v>
      </c>
      <c r="AP12" s="13" t="n">
        <f aca="false">IF(A12="","",IF(H12="",Inputs!$B$18,H12))</f>
        <v>5</v>
      </c>
      <c r="AQ12" s="13" t="str">
        <f aca="false">IF(A12="","",IFERROR(maxifs($AS$4:$AS$203,$B$4:$B$203,$A12),""))</f>
        <v/>
      </c>
      <c r="AR12" s="13" t="n">
        <f aca="false">IF(A12="","",IF(OR(C12="",Inputs!$B$23=""),"",C12/(Inputs!$B$23*60)))</f>
        <v>0.103666666666667</v>
      </c>
      <c r="AS12" s="13" t="n">
        <f aca="false">IF(A12="","",IF(AN12=0,AP12+AR12,IF(AQ12="",AP12+AR12,AQ12+AR12)))</f>
        <v>5.10366666666667</v>
      </c>
      <c r="AT12" s="13" t="n">
        <f aca="false">IF(A12="","",U12)</f>
        <v>0</v>
      </c>
      <c r="AU12" s="13" t="n">
        <f aca="false">IF(OR(R12="",N12=""),"",(1/Inputs!$B$9)*((R12/4)^(2/3))*SQRT(N12))</f>
        <v>1.04400677561343</v>
      </c>
      <c r="AV12" s="13" t="n">
        <f aca="false">IF(A12="","",IF(AND(AT12="",AU12="",AX12=""),"",IF(OR(UPPER(TRIM(Inputs!$B$24))="MANNING",UPPER(TRIM(Inputs!$B$24))="M"),AU12,IF(OR(UPPER(TRIM(Inputs!$B$24))="PARTIAL",UPPER(TRIM(Inputs!$B$24))="P"),AX12,IF(OR(UPPER(TRIM(Inputs!$B$24))="MAX",UPPER(TRIM(Inputs!$B$24))="X"),MAX(IF(AT12="",0,AT12),IF(AU12="",0,AU12),IF(AX12="",0,AX12)),AT12)))))</f>
        <v>1.04400677561343</v>
      </c>
      <c r="AW12" s="13" t="n">
        <f aca="false">IF(AY12="","",CE12)</f>
        <v>0.00093359375</v>
      </c>
      <c r="AX12" s="13" t="n">
        <f aca="false">IF(OR(AY12="",AW12="",R12="",R12&lt;=0,AW12&lt;=0),"",AY12/((R12^2/8)*(2*ACOS(1-2*AW12/R12)-SIN(2*ACOS(1-2*AW12/R12)))))</f>
        <v>0</v>
      </c>
      <c r="AY12" s="9" t="n">
        <f aca="false">IF(OR(L12="",AZ12=""),"",MIN(L12,AZ12))</f>
        <v>0</v>
      </c>
      <c r="AZ12" s="9" t="n">
        <f aca="false">IF(OR(L12="",R12="",N12=""),"",IF(OR(R12="",N12="",(0.94*R12)="",R12&lt;=0,(0.94*R12)&lt;=0),"",(1/Inputs!$B$9)*((R12^2/8)*((2*ACOS(1-2*(0.94*R12)/R12))-SIN((2*ACOS(1-2*(0.94*R12)/R12)))))*((((R12^2/8)*((2*ACOS(1-2*(0.94*R12)/R12))-SIN((2*ACOS(1-2*(0.94*R12)/R12)))))/((R12/2)*((2*ACOS(1-2*(0.94*R12)/R12)))))^(2/3))*SQRT(N12)))</f>
        <v>0.0352806077891244</v>
      </c>
      <c r="BA12" s="9" t="n">
        <f aca="false">IF(AY12="","",0.001*R12)</f>
        <v>0.0002</v>
      </c>
      <c r="BB12" s="9" t="n">
        <f aca="false">IF(AY12="","",0.94*R12)</f>
        <v>0.188</v>
      </c>
      <c r="BC12" s="9" t="n">
        <f aca="false">IF(AY12="","",(BA12+BB12)/2)</f>
        <v>0.0941</v>
      </c>
      <c r="BD12" s="9" t="n">
        <f aca="false">IF(OR(R12="",N12="",BC12="",R12&lt;=0,BC12&lt;=0),"",(1/Inputs!$B$9)*((R12^2/8)*((2*ACOS(1-2*BC12/R12))-SIN((2*ACOS(1-2*BC12/R12)))))*((((R12^2/8)*((2*ACOS(1-2*BC12/R12))-SIN((2*ACOS(1-2*BC12/R12)))))/((R12/2)*((2*ACOS(1-2*BC12/R12)))))^(2/3))*SQRT(N12))</f>
        <v>0.0147714469807598</v>
      </c>
      <c r="BE12" s="9" t="n">
        <f aca="false">IF(AY12="","",IF(BD12&lt;AY12,BC12,BA12))</f>
        <v>0.0002</v>
      </c>
      <c r="BF12" s="9" t="n">
        <f aca="false">IF(AY12="","",IF(BD12&lt;AY12,BB12,BC12))</f>
        <v>0.0941</v>
      </c>
      <c r="BG12" s="9" t="n">
        <f aca="false">IF(AY12="","",(BE12+BF12)/2)</f>
        <v>0.04715</v>
      </c>
      <c r="BH12" s="9" t="n">
        <f aca="false">IF(OR(R12="",N12="",BG12="",R12&lt;=0,BG12&lt;=0),"",(1/Inputs!$B$9)*((R12^2/8)*((2*ACOS(1-2*BG12/R12))-SIN((2*ACOS(1-2*BG12/R12)))))*((((R12^2/8)*((2*ACOS(1-2*BG12/R12))-SIN((2*ACOS(1-2*BG12/R12)))))/((R12/2)*((2*ACOS(1-2*BG12/R12)))))^(2/3))*SQRT(N12))</f>
        <v>0.00399781890601551</v>
      </c>
      <c r="BI12" s="9" t="n">
        <f aca="false">IF(AY12="","",IF(BH12&lt;AY12,BG12,BE12))</f>
        <v>0.0002</v>
      </c>
      <c r="BJ12" s="9" t="n">
        <f aca="false">IF(AY12="","",IF(BH12&lt;AY12,BF12,BG12))</f>
        <v>0.04715</v>
      </c>
      <c r="BK12" s="9" t="n">
        <f aca="false">IF(AY12="","",(BI12+BJ12)/2)</f>
        <v>0.023675</v>
      </c>
      <c r="BL12" s="9" t="n">
        <f aca="false">IF(OR(R12="",N12="",BK12="",R12&lt;=0,BK12&lt;=0),"",(1/Inputs!$B$9)*((R12^2/8)*((2*ACOS(1-2*BK12/R12))-SIN((2*ACOS(1-2*BK12/R12)))))*((((R12^2/8)*((2*ACOS(1-2*BK12/R12))-SIN((2*ACOS(1-2*BK12/R12)))))/((R12/2)*((2*ACOS(1-2*BK12/R12)))))^(2/3))*SQRT(N12))</f>
        <v>0.000974997048119399</v>
      </c>
      <c r="BM12" s="9" t="n">
        <f aca="false">IF(AY12="","",IF(BL12&lt;AY12,BK12,BI12))</f>
        <v>0.0002</v>
      </c>
      <c r="BN12" s="9" t="n">
        <f aca="false">IF(AY12="","",IF(BL12&lt;AY12,BJ12,BK12))</f>
        <v>0.023675</v>
      </c>
      <c r="BO12" s="9" t="n">
        <f aca="false">IF(AY12="","",(BM12+BN12)/2)</f>
        <v>0.0119375</v>
      </c>
      <c r="BP12" s="9" t="n">
        <f aca="false">IF(OR(R12="",N12="",BO12="",R12&lt;=0,BO12&lt;=0),"",(1/Inputs!$B$9)*((R12^2/8)*((2*ACOS(1-2*BO12/R12))-SIN((2*ACOS(1-2*BO12/R12)))))*((((R12^2/8)*((2*ACOS(1-2*BO12/R12))-SIN((2*ACOS(1-2*BO12/R12)))))/((R12/2)*((2*ACOS(1-2*BO12/R12)))))^(2/3))*SQRT(N12))</f>
        <v>0.000229752722071521</v>
      </c>
      <c r="BQ12" s="9" t="n">
        <f aca="false">IF(AY12="","",IF(BP12&lt;AY12,BO12,BM12))</f>
        <v>0.0002</v>
      </c>
      <c r="BR12" s="9" t="n">
        <f aca="false">IF(AY12="","",IF(BP12&lt;AY12,BN12,BO12))</f>
        <v>0.0119375</v>
      </c>
      <c r="BS12" s="9" t="n">
        <f aca="false">IF(AY12="","",(BQ12+BR12)/2)</f>
        <v>0.00606875</v>
      </c>
      <c r="BT12" s="9" t="n">
        <f aca="false">IF(OR(R12="",N12="",BS12="",R12&lt;=0,BS12&lt;=0),"",(1/Inputs!$B$9)*((R12^2/8)*((2*ACOS(1-2*BS12/R12))-SIN((2*ACOS(1-2*BS12/R12)))))*((((R12^2/8)*((2*ACOS(1-2*BS12/R12))-SIN((2*ACOS(1-2*BS12/R12)))))/((R12/2)*((2*ACOS(1-2*BS12/R12)))))^(2/3))*SQRT(N12))</f>
        <v>5.40374368332601E-005</v>
      </c>
      <c r="BU12" s="9" t="n">
        <f aca="false">IF(AY12="","",IF(BT12&lt;AY12,BS12,BQ12))</f>
        <v>0.0002</v>
      </c>
      <c r="BV12" s="9" t="n">
        <f aca="false">IF(AY12="","",IF(BT12&lt;AY12,BR12,BS12))</f>
        <v>0.00606875</v>
      </c>
      <c r="BW12" s="9" t="n">
        <f aca="false">IF(AY12="","",(BU12+BV12)/2)</f>
        <v>0.003134375</v>
      </c>
      <c r="BX12" s="9" t="n">
        <f aca="false">IF(OR(R12="",N12="",BW12="",R12&lt;=0,BW12&lt;=0),"",(1/Inputs!$B$9)*((R12^2/8)*((2*ACOS(1-2*BW12/R12))-SIN((2*ACOS(1-2*BW12/R12)))))*((((R12^2/8)*((2*ACOS(1-2*BW12/R12))-SIN((2*ACOS(1-2*BW12/R12)))))/((R12/2)*((2*ACOS(1-2*BW12/R12)))))^(2/3))*SQRT(N12))</f>
        <v>1.30295242489464E-005</v>
      </c>
      <c r="BY12" s="9" t="n">
        <f aca="false">IF(AY12="","",IF(BX12&lt;AY12,BW12,BU12))</f>
        <v>0.0002</v>
      </c>
      <c r="BZ12" s="9" t="n">
        <f aca="false">IF(AY12="","",IF(BX12&lt;AY12,BV12,BW12))</f>
        <v>0.003134375</v>
      </c>
      <c r="CA12" s="9" t="n">
        <f aca="false">IF(AY12="","",(BY12+BZ12)/2)</f>
        <v>0.0016671875</v>
      </c>
      <c r="CB12" s="9" t="n">
        <f aca="false">IF(OR(R12="",N12="",CA12="",R12&lt;=0,CA12&lt;=0),"",(1/Inputs!$B$9)*((R12^2/8)*((2*ACOS(1-2*CA12/R12))-SIN((2*ACOS(1-2*CA12/R12)))))*((((R12^2/8)*((2*ACOS(1-2*CA12/R12))-SIN((2*ACOS(1-2*CA12/R12)))))/((R12/2)*((2*ACOS(1-2*CA12/R12)))))^(2/3))*SQRT(N12))</f>
        <v>3.3332195434217E-006</v>
      </c>
      <c r="CC12" s="9" t="n">
        <f aca="false">IF(AY12="","",IF(CB12&lt;AY12,CA12,BY12))</f>
        <v>0.0002</v>
      </c>
      <c r="CD12" s="9" t="n">
        <f aca="false">IF(AY12="","",IF(CB12&lt;AY12,BZ12,CA12))</f>
        <v>0.0016671875</v>
      </c>
      <c r="CE12" s="9" t="n">
        <f aca="false">IF(AY12="","",(CC12+CD12)/2)</f>
        <v>0.00093359375</v>
      </c>
    </row>
    <row r="13" customFormat="false" ht="15" hidden="false" customHeight="false" outlineLevel="0" collapsed="false">
      <c r="A13" s="9" t="s">
        <v>185</v>
      </c>
      <c r="B13" s="9" t="s">
        <v>193</v>
      </c>
      <c r="C13" s="14" t="n">
        <v>9.05</v>
      </c>
      <c r="D13" s="14"/>
      <c r="E13" s="14" t="n">
        <f aca="false">SUMIFS(CB_Tributaires!$C:$C,CB_Tributaires!$B:$B,$A13)</f>
        <v>0</v>
      </c>
      <c r="F13" s="14" t="n">
        <f aca="false">IF(D13="",E13,D13)</f>
        <v>0</v>
      </c>
      <c r="G13" s="9"/>
      <c r="H13" s="14"/>
      <c r="I13" s="14" t="n">
        <f aca="false">IF(A13="","",Inputs!$B$13/((IF(AS13="",Inputs!$B$18,AS13)+Inputs!$B$14)^Inputs!$B$15))</f>
        <v>137.118475350654</v>
      </c>
      <c r="J13" s="14" t="n">
        <f aca="false">IF(A13="","",0.000000278*IF(G13="",Inputs!$B$17,G13)*F13*I13)</f>
        <v>0</v>
      </c>
      <c r="K13" s="14" t="n">
        <f aca="false">IF(A13="","",SUMIFS($L$4:$L$203,$B$4:$B$203,$A13))</f>
        <v>0</v>
      </c>
      <c r="L13" s="14" t="n">
        <f aca="false">IF(A13="","",(J13+K13)*Inputs!$B$16)</f>
        <v>0</v>
      </c>
      <c r="M13" s="14"/>
      <c r="N13" s="14" t="n">
        <f aca="false">IF(A13="","",IF(M13="",Inputs!$B$7,M13))</f>
        <v>0.01</v>
      </c>
      <c r="O13" s="9" t="n">
        <f aca="false">IF(A13="","",IF(L13/Inputs!$B$10&lt;=AD13,Inputs!$F$5,IF(L13/Inputs!$B$10&gt;AM13,"OVERSIZE",INDEX(Inputs!$F$5:$F$14,MATCH(L13/Inputs!$B$10,AD13:AM13,1)+1))))</f>
        <v>200</v>
      </c>
      <c r="P13" s="9"/>
      <c r="Q13" s="9" t="n">
        <f aca="false">IF(A13="","",IF(P13="",O13,P13))</f>
        <v>200</v>
      </c>
      <c r="R13" s="14" t="n">
        <f aca="false">IF(OR(Q13="",Q13="OVERSIZE"),"",Q13/1000)</f>
        <v>0.2</v>
      </c>
      <c r="S13" s="14" t="n">
        <f aca="false">IF(R13="","",(1/Inputs!$B$9)*(PI()*R13^2/4)*((R13/4)^(2/3))*SQRT(N13))</f>
        <v>0.0327984401656511</v>
      </c>
      <c r="T13" s="14" t="n">
        <f aca="false">IF(OR(S13="",L13=""),"",L13/(S13*Inputs!$B$10))</f>
        <v>0</v>
      </c>
      <c r="U13" s="14" t="n">
        <f aca="false">IF(OR(R13="",L13=""),"",4*L13/(PI()*R13^2))</f>
        <v>0</v>
      </c>
      <c r="V13" s="14"/>
      <c r="W13" s="14" t="str">
        <f aca="false">IF(A13="","",IF(A13=Inputs!$B$6,Inputs!$B$22,IF(B13="","",IFERROR(INDEX($X$4:$X$203,MATCH(B13,$A$4:$A$203,0))+IF(V13="",Inputs!$B$20,V13),""))))</f>
        <v/>
      </c>
      <c r="X13" s="14" t="str">
        <f aca="false">IF(OR(W13="",N13="",C13=""),"",W13+N13*C13)</f>
        <v/>
      </c>
      <c r="Y13" s="14"/>
      <c r="Z13" s="14"/>
      <c r="AA13" s="14" t="str">
        <f aca="false">IF(OR(Y13="",W13=""),"",Y13-W13)</f>
        <v/>
      </c>
      <c r="AB13" s="14" t="str">
        <f aca="false">IF(OR(Z13="",X13=""),"",Z13-X13)</f>
        <v/>
      </c>
      <c r="AC13" s="19" t="str">
        <f aca="false">IF(A13="","",IF(OR(T13&gt;1,AND(AV13&lt;&gt;"",AV13&lt;Inputs!$B$11),AND(AV13&lt;&gt;"",AV13&gt;Inputs!$B$12),AA13&lt;Inputs!$B$19,AB13&lt;Inputs!$B$19,N13&lt;Inputs!$B$7,N13&gt;Inputs!$B$8),"CHECK","OK"))</f>
        <v>OK</v>
      </c>
      <c r="AD13" s="9" t="n">
        <f aca="false">IF(A13="","",(1/Inputs!$B$9)*(PI()*(Inputs!$F$5/1000)^2/4)*((Inputs!$F$5/1000/4)^(2/3))*SQRT(N13))</f>
        <v>0.0327984401656511</v>
      </c>
      <c r="AE13" s="9" t="n">
        <f aca="false">IF(A13="","",(1/Inputs!$B$9)*(PI()*(Inputs!$F$6/1000)^2/4)*((Inputs!$F$6/1000/4)^(2/3))*SQRT(N13))</f>
        <v>0.0594675287628136</v>
      </c>
      <c r="AF13" s="9" t="n">
        <f aca="false">IF(A13="","",(1/Inputs!$B$9)*(PI()*(Inputs!$F$7/1000)^2/4)*((Inputs!$F$7/1000/4)^(2/3))*SQRT(N13))</f>
        <v>0.0967007585335561</v>
      </c>
      <c r="AG13" s="9" t="n">
        <f aca="false">IF(A13="","",(1/Inputs!$B$9)*(PI()*(Inputs!$F$8/1000)^2/4)*((Inputs!$F$8/1000/4)^(2/3))*SQRT(N13))</f>
        <v>0.175330141020016</v>
      </c>
      <c r="AH13" s="9" t="n">
        <f aca="false">IF(A13="","",(1/Inputs!$B$9)*(PI()*(Inputs!$F$9/1000)^2/4)*((Inputs!$F$9/1000/4)^(2/3))*SQRT(N13))</f>
        <v>0.285106140832826</v>
      </c>
      <c r="AI13" s="9" t="n">
        <f aca="false">IF(A13="","",(1/Inputs!$B$9)*(PI()*(Inputs!$F$10/1000)^2/4)*((Inputs!$F$10/1000/4)^(2/3))*SQRT(N13))</f>
        <v>0.430062270986421</v>
      </c>
      <c r="AJ13" s="9" t="n">
        <f aca="false">IF(A13="","",(1/Inputs!$B$9)*(PI()*(Inputs!$F$11/1000)^2/4)*((Inputs!$F$11/1000/4)^(2/3))*SQRT(N13))</f>
        <v>0.614011543289159</v>
      </c>
      <c r="AK13" s="9" t="n">
        <f aca="false">IF(A13="","",(1/Inputs!$B$9)*(PI()*(Inputs!$F$12/1000)^2/4)*((Inputs!$F$12/1000/4)^(2/3))*SQRT(N13))</f>
        <v>0.840588148151706</v>
      </c>
      <c r="AL13" s="9" t="n">
        <f aca="false">IF(A13="","",(1/Inputs!$B$9)*(PI()*(Inputs!$F$13/1000)^2/4)*((Inputs!$F$13/1000/4)^(2/3))*SQRT(N13))</f>
        <v>1.11327700118762</v>
      </c>
      <c r="AM13" s="9" t="n">
        <f aca="false">IF(A13="","",(1/Inputs!$B$9)*(PI()*(Inputs!$F$14/1000)^2/4)*((Inputs!$F$14/1000/4)^(2/3))*SQRT(N13))</f>
        <v>1.81031115152249</v>
      </c>
      <c r="AN13" s="9" t="n">
        <f aca="false">IF(A13="","",COUNTIF($B$4:$B$203,$A13))</f>
        <v>3</v>
      </c>
      <c r="AO13" s="9" t="str">
        <f aca="false">IF(A13="","",IF(AN13=0,"START","CONTINUOUS"))</f>
        <v>CONTINUOUS</v>
      </c>
      <c r="AP13" s="13" t="n">
        <f aca="false">IF(A13="","",IF(H13="",Inputs!$B$18,H13))</f>
        <v>5</v>
      </c>
      <c r="AQ13" s="13" t="str">
        <f aca="false">IF(A13="","",IFERROR(maxifs($AS$4:$AS$203,$B$4:$B$203,$A13),""))</f>
        <v/>
      </c>
      <c r="AR13" s="13" t="n">
        <f aca="false">IF(A13="","",IF(OR(C13="",Inputs!$B$23=""),"",C13/(Inputs!$B$23*60)))</f>
        <v>0.150833333333333</v>
      </c>
      <c r="AS13" s="13" t="n">
        <f aca="false">IF(A13="","",IF(AN13=0,AP13+AR13,IF(AQ13="",AP13+AR13,AQ13+AR13)))</f>
        <v>5.15083333333333</v>
      </c>
      <c r="AT13" s="13" t="n">
        <f aca="false">IF(A13="","",U13)</f>
        <v>0</v>
      </c>
      <c r="AU13" s="13" t="n">
        <f aca="false">IF(OR(R13="",N13=""),"",(1/Inputs!$B$9)*((R13/4)^(2/3))*SQRT(N13))</f>
        <v>1.04400677561343</v>
      </c>
      <c r="AV13" s="13" t="n">
        <f aca="false">IF(A13="","",IF(AND(AT13="",AU13="",AX13=""),"",IF(OR(UPPER(TRIM(Inputs!$B$24))="MANNING",UPPER(TRIM(Inputs!$B$24))="M"),AU13,IF(OR(UPPER(TRIM(Inputs!$B$24))="PARTIAL",UPPER(TRIM(Inputs!$B$24))="P"),AX13,IF(OR(UPPER(TRIM(Inputs!$B$24))="MAX",UPPER(TRIM(Inputs!$B$24))="X"),MAX(IF(AT13="",0,AT13),IF(AU13="",0,AU13),IF(AX13="",0,AX13)),AT13)))))</f>
        <v>1.04400677561343</v>
      </c>
      <c r="AW13" s="13" t="n">
        <f aca="false">IF(AY13="","",CE13)</f>
        <v>0.00093359375</v>
      </c>
      <c r="AX13" s="13" t="n">
        <f aca="false">IF(OR(AY13="",AW13="",R13="",R13&lt;=0,AW13&lt;=0),"",AY13/((R13^2/8)*(2*ACOS(1-2*AW13/R13)-SIN(2*ACOS(1-2*AW13/R13)))))</f>
        <v>0</v>
      </c>
      <c r="AY13" s="9" t="n">
        <f aca="false">IF(OR(L13="",AZ13=""),"",MIN(L13,AZ13))</f>
        <v>0</v>
      </c>
      <c r="AZ13" s="9" t="n">
        <f aca="false">IF(OR(L13="",R13="",N13=""),"",IF(OR(R13="",N13="",(0.94*R13)="",R13&lt;=0,(0.94*R13)&lt;=0),"",(1/Inputs!$B$9)*((R13^2/8)*((2*ACOS(1-2*(0.94*R13)/R13))-SIN((2*ACOS(1-2*(0.94*R13)/R13)))))*((((R13^2/8)*((2*ACOS(1-2*(0.94*R13)/R13))-SIN((2*ACOS(1-2*(0.94*R13)/R13)))))/((R13/2)*((2*ACOS(1-2*(0.94*R13)/R13)))))^(2/3))*SQRT(N13)))</f>
        <v>0.0352806077891244</v>
      </c>
      <c r="BA13" s="9" t="n">
        <f aca="false">IF(AY13="","",0.001*R13)</f>
        <v>0.0002</v>
      </c>
      <c r="BB13" s="9" t="n">
        <f aca="false">IF(AY13="","",0.94*R13)</f>
        <v>0.188</v>
      </c>
      <c r="BC13" s="9" t="n">
        <f aca="false">IF(AY13="","",(BA13+BB13)/2)</f>
        <v>0.0941</v>
      </c>
      <c r="BD13" s="9" t="n">
        <f aca="false">IF(OR(R13="",N13="",BC13="",R13&lt;=0,BC13&lt;=0),"",(1/Inputs!$B$9)*((R13^2/8)*((2*ACOS(1-2*BC13/R13))-SIN((2*ACOS(1-2*BC13/R13)))))*((((R13^2/8)*((2*ACOS(1-2*BC13/R13))-SIN((2*ACOS(1-2*BC13/R13)))))/((R13/2)*((2*ACOS(1-2*BC13/R13)))))^(2/3))*SQRT(N13))</f>
        <v>0.0147714469807598</v>
      </c>
      <c r="BE13" s="9" t="n">
        <f aca="false">IF(AY13="","",IF(BD13&lt;AY13,BC13,BA13))</f>
        <v>0.0002</v>
      </c>
      <c r="BF13" s="9" t="n">
        <f aca="false">IF(AY13="","",IF(BD13&lt;AY13,BB13,BC13))</f>
        <v>0.0941</v>
      </c>
      <c r="BG13" s="9" t="n">
        <f aca="false">IF(AY13="","",(BE13+BF13)/2)</f>
        <v>0.04715</v>
      </c>
      <c r="BH13" s="9" t="n">
        <f aca="false">IF(OR(R13="",N13="",BG13="",R13&lt;=0,BG13&lt;=0),"",(1/Inputs!$B$9)*((R13^2/8)*((2*ACOS(1-2*BG13/R13))-SIN((2*ACOS(1-2*BG13/R13)))))*((((R13^2/8)*((2*ACOS(1-2*BG13/R13))-SIN((2*ACOS(1-2*BG13/R13)))))/((R13/2)*((2*ACOS(1-2*BG13/R13)))))^(2/3))*SQRT(N13))</f>
        <v>0.00399781890601551</v>
      </c>
      <c r="BI13" s="9" t="n">
        <f aca="false">IF(AY13="","",IF(BH13&lt;AY13,BG13,BE13))</f>
        <v>0.0002</v>
      </c>
      <c r="BJ13" s="9" t="n">
        <f aca="false">IF(AY13="","",IF(BH13&lt;AY13,BF13,BG13))</f>
        <v>0.04715</v>
      </c>
      <c r="BK13" s="9" t="n">
        <f aca="false">IF(AY13="","",(BI13+BJ13)/2)</f>
        <v>0.023675</v>
      </c>
      <c r="BL13" s="9" t="n">
        <f aca="false">IF(OR(R13="",N13="",BK13="",R13&lt;=0,BK13&lt;=0),"",(1/Inputs!$B$9)*((R13^2/8)*((2*ACOS(1-2*BK13/R13))-SIN((2*ACOS(1-2*BK13/R13)))))*((((R13^2/8)*((2*ACOS(1-2*BK13/R13))-SIN((2*ACOS(1-2*BK13/R13)))))/((R13/2)*((2*ACOS(1-2*BK13/R13)))))^(2/3))*SQRT(N13))</f>
        <v>0.000974997048119399</v>
      </c>
      <c r="BM13" s="9" t="n">
        <f aca="false">IF(AY13="","",IF(BL13&lt;AY13,BK13,BI13))</f>
        <v>0.0002</v>
      </c>
      <c r="BN13" s="9" t="n">
        <f aca="false">IF(AY13="","",IF(BL13&lt;AY13,BJ13,BK13))</f>
        <v>0.023675</v>
      </c>
      <c r="BO13" s="9" t="n">
        <f aca="false">IF(AY13="","",(BM13+BN13)/2)</f>
        <v>0.0119375</v>
      </c>
      <c r="BP13" s="9" t="n">
        <f aca="false">IF(OR(R13="",N13="",BO13="",R13&lt;=0,BO13&lt;=0),"",(1/Inputs!$B$9)*((R13^2/8)*((2*ACOS(1-2*BO13/R13))-SIN((2*ACOS(1-2*BO13/R13)))))*((((R13^2/8)*((2*ACOS(1-2*BO13/R13))-SIN((2*ACOS(1-2*BO13/R13)))))/((R13/2)*((2*ACOS(1-2*BO13/R13)))))^(2/3))*SQRT(N13))</f>
        <v>0.000229752722071521</v>
      </c>
      <c r="BQ13" s="9" t="n">
        <f aca="false">IF(AY13="","",IF(BP13&lt;AY13,BO13,BM13))</f>
        <v>0.0002</v>
      </c>
      <c r="BR13" s="9" t="n">
        <f aca="false">IF(AY13="","",IF(BP13&lt;AY13,BN13,BO13))</f>
        <v>0.0119375</v>
      </c>
      <c r="BS13" s="9" t="n">
        <f aca="false">IF(AY13="","",(BQ13+BR13)/2)</f>
        <v>0.00606875</v>
      </c>
      <c r="BT13" s="9" t="n">
        <f aca="false">IF(OR(R13="",N13="",BS13="",R13&lt;=0,BS13&lt;=0),"",(1/Inputs!$B$9)*((R13^2/8)*((2*ACOS(1-2*BS13/R13))-SIN((2*ACOS(1-2*BS13/R13)))))*((((R13^2/8)*((2*ACOS(1-2*BS13/R13))-SIN((2*ACOS(1-2*BS13/R13)))))/((R13/2)*((2*ACOS(1-2*BS13/R13)))))^(2/3))*SQRT(N13))</f>
        <v>5.40374368332601E-005</v>
      </c>
      <c r="BU13" s="9" t="n">
        <f aca="false">IF(AY13="","",IF(BT13&lt;AY13,BS13,BQ13))</f>
        <v>0.0002</v>
      </c>
      <c r="BV13" s="9" t="n">
        <f aca="false">IF(AY13="","",IF(BT13&lt;AY13,BR13,BS13))</f>
        <v>0.00606875</v>
      </c>
      <c r="BW13" s="9" t="n">
        <f aca="false">IF(AY13="","",(BU13+BV13)/2)</f>
        <v>0.003134375</v>
      </c>
      <c r="BX13" s="9" t="n">
        <f aca="false">IF(OR(R13="",N13="",BW13="",R13&lt;=0,BW13&lt;=0),"",(1/Inputs!$B$9)*((R13^2/8)*((2*ACOS(1-2*BW13/R13))-SIN((2*ACOS(1-2*BW13/R13)))))*((((R13^2/8)*((2*ACOS(1-2*BW13/R13))-SIN((2*ACOS(1-2*BW13/R13)))))/((R13/2)*((2*ACOS(1-2*BW13/R13)))))^(2/3))*SQRT(N13))</f>
        <v>1.30295242489464E-005</v>
      </c>
      <c r="BY13" s="9" t="n">
        <f aca="false">IF(AY13="","",IF(BX13&lt;AY13,BW13,BU13))</f>
        <v>0.0002</v>
      </c>
      <c r="BZ13" s="9" t="n">
        <f aca="false">IF(AY13="","",IF(BX13&lt;AY13,BV13,BW13))</f>
        <v>0.003134375</v>
      </c>
      <c r="CA13" s="9" t="n">
        <f aca="false">IF(AY13="","",(BY13+BZ13)/2)</f>
        <v>0.0016671875</v>
      </c>
      <c r="CB13" s="9" t="n">
        <f aca="false">IF(OR(R13="",N13="",CA13="",R13&lt;=0,CA13&lt;=0),"",(1/Inputs!$B$9)*((R13^2/8)*((2*ACOS(1-2*CA13/R13))-SIN((2*ACOS(1-2*CA13/R13)))))*((((R13^2/8)*((2*ACOS(1-2*CA13/R13))-SIN((2*ACOS(1-2*CA13/R13)))))/((R13/2)*((2*ACOS(1-2*CA13/R13)))))^(2/3))*SQRT(N13))</f>
        <v>3.3332195434217E-006</v>
      </c>
      <c r="CC13" s="9" t="n">
        <f aca="false">IF(AY13="","",IF(CB13&lt;AY13,CA13,BY13))</f>
        <v>0.0002</v>
      </c>
      <c r="CD13" s="9" t="n">
        <f aca="false">IF(AY13="","",IF(CB13&lt;AY13,BZ13,CA13))</f>
        <v>0.0016671875</v>
      </c>
      <c r="CE13" s="9" t="n">
        <f aca="false">IF(AY13="","",(CC13+CD13)/2)</f>
        <v>0.00093359375</v>
      </c>
    </row>
    <row r="14" customFormat="false" ht="15" hidden="false" customHeight="false" outlineLevel="0" collapsed="false">
      <c r="A14" s="9" t="s">
        <v>193</v>
      </c>
      <c r="B14" s="9"/>
      <c r="C14" s="14" t="n">
        <v>4.5</v>
      </c>
      <c r="D14" s="14"/>
      <c r="E14" s="14" t="n">
        <f aca="false">SUMIFS(CB_Tributaires!$C:$C,CB_Tributaires!$B:$B,$A14)</f>
        <v>0</v>
      </c>
      <c r="F14" s="14" t="n">
        <f aca="false">IF(D14="",E14,D14)</f>
        <v>0</v>
      </c>
      <c r="G14" s="9"/>
      <c r="H14" s="14"/>
      <c r="I14" s="14" t="n">
        <f aca="false">IF(A14="","",Inputs!$B$13/((IF(AS14="",Inputs!$B$18,AS14)+Inputs!$B$14)^Inputs!$B$15))</f>
        <v>138.092593398388</v>
      </c>
      <c r="J14" s="14" t="n">
        <f aca="false">IF(A14="","",0.000000278*IF(G14="",Inputs!$B$17,G14)*F14*I14)</f>
        <v>0</v>
      </c>
      <c r="K14" s="14" t="n">
        <f aca="false">IF(A14="","",SUMIFS($L$4:$L$203,$B$4:$B$203,$A14))</f>
        <v>0</v>
      </c>
      <c r="L14" s="14" t="n">
        <f aca="false">IF(A14="","",(J14+K14)*Inputs!$B$16)</f>
        <v>0</v>
      </c>
      <c r="M14" s="14"/>
      <c r="N14" s="14" t="n">
        <f aca="false">IF(A14="","",IF(M14="",Inputs!$B$7,M14))</f>
        <v>0.01</v>
      </c>
      <c r="O14" s="9" t="n">
        <f aca="false">IF(A14="","",IF(L14/Inputs!$B$10&lt;=AD14,Inputs!$F$5,IF(L14/Inputs!$B$10&gt;AM14,"OVERSIZE",INDEX(Inputs!$F$5:$F$14,MATCH(L14/Inputs!$B$10,AD14:AM14,1)+1))))</f>
        <v>200</v>
      </c>
      <c r="P14" s="9"/>
      <c r="Q14" s="9" t="n">
        <f aca="false">IF(A14="","",IF(P14="",O14,P14))</f>
        <v>200</v>
      </c>
      <c r="R14" s="14" t="n">
        <f aca="false">IF(OR(Q14="",Q14="OVERSIZE"),"",Q14/1000)</f>
        <v>0.2</v>
      </c>
      <c r="S14" s="14" t="n">
        <f aca="false">IF(R14="","",(1/Inputs!$B$9)*(PI()*R14^2/4)*((R14/4)^(2/3))*SQRT(N14))</f>
        <v>0.0327984401656511</v>
      </c>
      <c r="T14" s="14" t="n">
        <f aca="false">IF(OR(S14="",L14=""),"",L14/(S14*Inputs!$B$10))</f>
        <v>0</v>
      </c>
      <c r="U14" s="14" t="n">
        <f aca="false">IF(OR(R14="",L14=""),"",4*L14/(PI()*R14^2))</f>
        <v>0</v>
      </c>
      <c r="V14" s="14"/>
      <c r="W14" s="14" t="str">
        <f aca="false">IF(A14="","",IF(A14=Inputs!$B$6,Inputs!$B$22,IF(B14="","",IFERROR(INDEX($X$4:$X$203,MATCH(B14,$A$4:$A$203,0))+IF(V14="",Inputs!$B$20,V14),""))))</f>
        <v/>
      </c>
      <c r="X14" s="14" t="str">
        <f aca="false">IF(OR(W14="",N14="",C14=""),"",W14+N14*C14)</f>
        <v/>
      </c>
      <c r="Y14" s="14"/>
      <c r="Z14" s="14"/>
      <c r="AA14" s="14" t="str">
        <f aca="false">IF(OR(Y14="",W14=""),"",Y14-W14)</f>
        <v/>
      </c>
      <c r="AB14" s="14" t="str">
        <f aca="false">IF(OR(Z14="",X14=""),"",Z14-X14)</f>
        <v/>
      </c>
      <c r="AC14" s="19" t="str">
        <f aca="false">IF(A14="","",IF(OR(T14&gt;1,AND(AV14&lt;&gt;"",AV14&lt;Inputs!$B$11),AND(AV14&lt;&gt;"",AV14&gt;Inputs!$B$12),AA14&lt;Inputs!$B$19,AB14&lt;Inputs!$B$19,N14&lt;Inputs!$B$7,N14&gt;Inputs!$B$8),"CHECK","OK"))</f>
        <v>OK</v>
      </c>
      <c r="AD14" s="9" t="n">
        <f aca="false">IF(A14="","",(1/Inputs!$B$9)*(PI()*(Inputs!$F$5/1000)^2/4)*((Inputs!$F$5/1000/4)^(2/3))*SQRT(N14))</f>
        <v>0.0327984401656511</v>
      </c>
      <c r="AE14" s="9" t="n">
        <f aca="false">IF(A14="","",(1/Inputs!$B$9)*(PI()*(Inputs!$F$6/1000)^2/4)*((Inputs!$F$6/1000/4)^(2/3))*SQRT(N14))</f>
        <v>0.0594675287628136</v>
      </c>
      <c r="AF14" s="9" t="n">
        <f aca="false">IF(A14="","",(1/Inputs!$B$9)*(PI()*(Inputs!$F$7/1000)^2/4)*((Inputs!$F$7/1000/4)^(2/3))*SQRT(N14))</f>
        <v>0.0967007585335561</v>
      </c>
      <c r="AG14" s="9" t="n">
        <f aca="false">IF(A14="","",(1/Inputs!$B$9)*(PI()*(Inputs!$F$8/1000)^2/4)*((Inputs!$F$8/1000/4)^(2/3))*SQRT(N14))</f>
        <v>0.175330141020016</v>
      </c>
      <c r="AH14" s="9" t="n">
        <f aca="false">IF(A14="","",(1/Inputs!$B$9)*(PI()*(Inputs!$F$9/1000)^2/4)*((Inputs!$F$9/1000/4)^(2/3))*SQRT(N14))</f>
        <v>0.285106140832826</v>
      </c>
      <c r="AI14" s="9" t="n">
        <f aca="false">IF(A14="","",(1/Inputs!$B$9)*(PI()*(Inputs!$F$10/1000)^2/4)*((Inputs!$F$10/1000/4)^(2/3))*SQRT(N14))</f>
        <v>0.430062270986421</v>
      </c>
      <c r="AJ14" s="9" t="n">
        <f aca="false">IF(A14="","",(1/Inputs!$B$9)*(PI()*(Inputs!$F$11/1000)^2/4)*((Inputs!$F$11/1000/4)^(2/3))*SQRT(N14))</f>
        <v>0.614011543289159</v>
      </c>
      <c r="AK14" s="9" t="n">
        <f aca="false">IF(A14="","",(1/Inputs!$B$9)*(PI()*(Inputs!$F$12/1000)^2/4)*((Inputs!$F$12/1000/4)^(2/3))*SQRT(N14))</f>
        <v>0.840588148151706</v>
      </c>
      <c r="AL14" s="9" t="n">
        <f aca="false">IF(A14="","",(1/Inputs!$B$9)*(PI()*(Inputs!$F$13/1000)^2/4)*((Inputs!$F$13/1000/4)^(2/3))*SQRT(N14))</f>
        <v>1.11327700118762</v>
      </c>
      <c r="AM14" s="9" t="n">
        <f aca="false">IF(A14="","",(1/Inputs!$B$9)*(PI()*(Inputs!$F$14/1000)^2/4)*((Inputs!$F$14/1000/4)^(2/3))*SQRT(N14))</f>
        <v>1.81031115152249</v>
      </c>
      <c r="AN14" s="9" t="n">
        <f aca="false">IF(A14="","",COUNTIF($B$4:$B$203,$A14))</f>
        <v>2</v>
      </c>
      <c r="AO14" s="9" t="str">
        <f aca="false">IF(A14="","",IF(AN14=0,"START","CONTINUOUS"))</f>
        <v>CONTINUOUS</v>
      </c>
      <c r="AP14" s="13" t="n">
        <f aca="false">IF(A14="","",IF(H14="",Inputs!$B$18,H14))</f>
        <v>5</v>
      </c>
      <c r="AQ14" s="13" t="str">
        <f aca="false">IF(A14="","",IFERROR(maxifs($AS$4:$AS$203,$B$4:$B$203,$A14),""))</f>
        <v/>
      </c>
      <c r="AR14" s="13" t="n">
        <f aca="false">IF(A14="","",IF(OR(C14="",Inputs!$B$23=""),"",C14/(Inputs!$B$23*60)))</f>
        <v>0.075</v>
      </c>
      <c r="AS14" s="13" t="n">
        <f aca="false">IF(A14="","",IF(AN14=0,AP14+AR14,IF(AQ14="",AP14+AR14,AQ14+AR14)))</f>
        <v>5.075</v>
      </c>
      <c r="AT14" s="13" t="n">
        <f aca="false">IF(A14="","",U14)</f>
        <v>0</v>
      </c>
      <c r="AU14" s="13" t="n">
        <f aca="false">IF(OR(R14="",N14=""),"",(1/Inputs!$B$9)*((R14/4)^(2/3))*SQRT(N14))</f>
        <v>1.04400677561343</v>
      </c>
      <c r="AV14" s="13" t="n">
        <f aca="false">IF(A14="","",IF(AND(AT14="",AU14="",AX14=""),"",IF(OR(UPPER(TRIM(Inputs!$B$24))="MANNING",UPPER(TRIM(Inputs!$B$24))="M"),AU14,IF(OR(UPPER(TRIM(Inputs!$B$24))="PARTIAL",UPPER(TRIM(Inputs!$B$24))="P"),AX14,IF(OR(UPPER(TRIM(Inputs!$B$24))="MAX",UPPER(TRIM(Inputs!$B$24))="X"),MAX(IF(AT14="",0,AT14),IF(AU14="",0,AU14),IF(AX14="",0,AX14)),AT14)))))</f>
        <v>1.04400677561343</v>
      </c>
      <c r="AW14" s="13" t="n">
        <f aca="false">IF(AY14="","",CE14)</f>
        <v>0.00093359375</v>
      </c>
      <c r="AX14" s="13" t="n">
        <f aca="false">IF(OR(AY14="",AW14="",R14="",R14&lt;=0,AW14&lt;=0),"",AY14/((R14^2/8)*(2*ACOS(1-2*AW14/R14)-SIN(2*ACOS(1-2*AW14/R14)))))</f>
        <v>0</v>
      </c>
      <c r="AY14" s="9" t="n">
        <f aca="false">IF(OR(L14="",AZ14=""),"",MIN(L14,AZ14))</f>
        <v>0</v>
      </c>
      <c r="AZ14" s="9" t="n">
        <f aca="false">IF(OR(L14="",R14="",N14=""),"",IF(OR(R14="",N14="",(0.94*R14)="",R14&lt;=0,(0.94*R14)&lt;=0),"",(1/Inputs!$B$9)*((R14^2/8)*((2*ACOS(1-2*(0.94*R14)/R14))-SIN((2*ACOS(1-2*(0.94*R14)/R14)))))*((((R14^2/8)*((2*ACOS(1-2*(0.94*R14)/R14))-SIN((2*ACOS(1-2*(0.94*R14)/R14)))))/((R14/2)*((2*ACOS(1-2*(0.94*R14)/R14)))))^(2/3))*SQRT(N14)))</f>
        <v>0.0352806077891244</v>
      </c>
      <c r="BA14" s="9" t="n">
        <f aca="false">IF(AY14="","",0.001*R14)</f>
        <v>0.0002</v>
      </c>
      <c r="BB14" s="9" t="n">
        <f aca="false">IF(AY14="","",0.94*R14)</f>
        <v>0.188</v>
      </c>
      <c r="BC14" s="9" t="n">
        <f aca="false">IF(AY14="","",(BA14+BB14)/2)</f>
        <v>0.0941</v>
      </c>
      <c r="BD14" s="9" t="n">
        <f aca="false">IF(OR(R14="",N14="",BC14="",R14&lt;=0,BC14&lt;=0),"",(1/Inputs!$B$9)*((R14^2/8)*((2*ACOS(1-2*BC14/R14))-SIN((2*ACOS(1-2*BC14/R14)))))*((((R14^2/8)*((2*ACOS(1-2*BC14/R14))-SIN((2*ACOS(1-2*BC14/R14)))))/((R14/2)*((2*ACOS(1-2*BC14/R14)))))^(2/3))*SQRT(N14))</f>
        <v>0.0147714469807598</v>
      </c>
      <c r="BE14" s="9" t="n">
        <f aca="false">IF(AY14="","",IF(BD14&lt;AY14,BC14,BA14))</f>
        <v>0.0002</v>
      </c>
      <c r="BF14" s="9" t="n">
        <f aca="false">IF(AY14="","",IF(BD14&lt;AY14,BB14,BC14))</f>
        <v>0.0941</v>
      </c>
      <c r="BG14" s="9" t="n">
        <f aca="false">IF(AY14="","",(BE14+BF14)/2)</f>
        <v>0.04715</v>
      </c>
      <c r="BH14" s="9" t="n">
        <f aca="false">IF(OR(R14="",N14="",BG14="",R14&lt;=0,BG14&lt;=0),"",(1/Inputs!$B$9)*((R14^2/8)*((2*ACOS(1-2*BG14/R14))-SIN((2*ACOS(1-2*BG14/R14)))))*((((R14^2/8)*((2*ACOS(1-2*BG14/R14))-SIN((2*ACOS(1-2*BG14/R14)))))/((R14/2)*((2*ACOS(1-2*BG14/R14)))))^(2/3))*SQRT(N14))</f>
        <v>0.00399781890601551</v>
      </c>
      <c r="BI14" s="9" t="n">
        <f aca="false">IF(AY14="","",IF(BH14&lt;AY14,BG14,BE14))</f>
        <v>0.0002</v>
      </c>
      <c r="BJ14" s="9" t="n">
        <f aca="false">IF(AY14="","",IF(BH14&lt;AY14,BF14,BG14))</f>
        <v>0.04715</v>
      </c>
      <c r="BK14" s="9" t="n">
        <f aca="false">IF(AY14="","",(BI14+BJ14)/2)</f>
        <v>0.023675</v>
      </c>
      <c r="BL14" s="9" t="n">
        <f aca="false">IF(OR(R14="",N14="",BK14="",R14&lt;=0,BK14&lt;=0),"",(1/Inputs!$B$9)*((R14^2/8)*((2*ACOS(1-2*BK14/R14))-SIN((2*ACOS(1-2*BK14/R14)))))*((((R14^2/8)*((2*ACOS(1-2*BK14/R14))-SIN((2*ACOS(1-2*BK14/R14)))))/((R14/2)*((2*ACOS(1-2*BK14/R14)))))^(2/3))*SQRT(N14))</f>
        <v>0.000974997048119399</v>
      </c>
      <c r="BM14" s="9" t="n">
        <f aca="false">IF(AY14="","",IF(BL14&lt;AY14,BK14,BI14))</f>
        <v>0.0002</v>
      </c>
      <c r="BN14" s="9" t="n">
        <f aca="false">IF(AY14="","",IF(BL14&lt;AY14,BJ14,BK14))</f>
        <v>0.023675</v>
      </c>
      <c r="BO14" s="9" t="n">
        <f aca="false">IF(AY14="","",(BM14+BN14)/2)</f>
        <v>0.0119375</v>
      </c>
      <c r="BP14" s="9" t="n">
        <f aca="false">IF(OR(R14="",N14="",BO14="",R14&lt;=0,BO14&lt;=0),"",(1/Inputs!$B$9)*((R14^2/8)*((2*ACOS(1-2*BO14/R14))-SIN((2*ACOS(1-2*BO14/R14)))))*((((R14^2/8)*((2*ACOS(1-2*BO14/R14))-SIN((2*ACOS(1-2*BO14/R14)))))/((R14/2)*((2*ACOS(1-2*BO14/R14)))))^(2/3))*SQRT(N14))</f>
        <v>0.000229752722071521</v>
      </c>
      <c r="BQ14" s="9" t="n">
        <f aca="false">IF(AY14="","",IF(BP14&lt;AY14,BO14,BM14))</f>
        <v>0.0002</v>
      </c>
      <c r="BR14" s="9" t="n">
        <f aca="false">IF(AY14="","",IF(BP14&lt;AY14,BN14,BO14))</f>
        <v>0.0119375</v>
      </c>
      <c r="BS14" s="9" t="n">
        <f aca="false">IF(AY14="","",(BQ14+BR14)/2)</f>
        <v>0.00606875</v>
      </c>
      <c r="BT14" s="9" t="n">
        <f aca="false">IF(OR(R14="",N14="",BS14="",R14&lt;=0,BS14&lt;=0),"",(1/Inputs!$B$9)*((R14^2/8)*((2*ACOS(1-2*BS14/R14))-SIN((2*ACOS(1-2*BS14/R14)))))*((((R14^2/8)*((2*ACOS(1-2*BS14/R14))-SIN((2*ACOS(1-2*BS14/R14)))))/((R14/2)*((2*ACOS(1-2*BS14/R14)))))^(2/3))*SQRT(N14))</f>
        <v>5.40374368332601E-005</v>
      </c>
      <c r="BU14" s="9" t="n">
        <f aca="false">IF(AY14="","",IF(BT14&lt;AY14,BS14,BQ14))</f>
        <v>0.0002</v>
      </c>
      <c r="BV14" s="9" t="n">
        <f aca="false">IF(AY14="","",IF(BT14&lt;AY14,BR14,BS14))</f>
        <v>0.00606875</v>
      </c>
      <c r="BW14" s="9" t="n">
        <f aca="false">IF(AY14="","",(BU14+BV14)/2)</f>
        <v>0.003134375</v>
      </c>
      <c r="BX14" s="9" t="n">
        <f aca="false">IF(OR(R14="",N14="",BW14="",R14&lt;=0,BW14&lt;=0),"",(1/Inputs!$B$9)*((R14^2/8)*((2*ACOS(1-2*BW14/R14))-SIN((2*ACOS(1-2*BW14/R14)))))*((((R14^2/8)*((2*ACOS(1-2*BW14/R14))-SIN((2*ACOS(1-2*BW14/R14)))))/((R14/2)*((2*ACOS(1-2*BW14/R14)))))^(2/3))*SQRT(N14))</f>
        <v>1.30295242489464E-005</v>
      </c>
      <c r="BY14" s="9" t="n">
        <f aca="false">IF(AY14="","",IF(BX14&lt;AY14,BW14,BU14))</f>
        <v>0.0002</v>
      </c>
      <c r="BZ14" s="9" t="n">
        <f aca="false">IF(AY14="","",IF(BX14&lt;AY14,BV14,BW14))</f>
        <v>0.003134375</v>
      </c>
      <c r="CA14" s="9" t="n">
        <f aca="false">IF(AY14="","",(BY14+BZ14)/2)</f>
        <v>0.0016671875</v>
      </c>
      <c r="CB14" s="9" t="n">
        <f aca="false">IF(OR(R14="",N14="",CA14="",R14&lt;=0,CA14&lt;=0),"",(1/Inputs!$B$9)*((R14^2/8)*((2*ACOS(1-2*CA14/R14))-SIN((2*ACOS(1-2*CA14/R14)))))*((((R14^2/8)*((2*ACOS(1-2*CA14/R14))-SIN((2*ACOS(1-2*CA14/R14)))))/((R14/2)*((2*ACOS(1-2*CA14/R14)))))^(2/3))*SQRT(N14))</f>
        <v>3.3332195434217E-006</v>
      </c>
      <c r="CC14" s="9" t="n">
        <f aca="false">IF(AY14="","",IF(CB14&lt;AY14,CA14,BY14))</f>
        <v>0.0002</v>
      </c>
      <c r="CD14" s="9" t="n">
        <f aca="false">IF(AY14="","",IF(CB14&lt;AY14,BZ14,CA14))</f>
        <v>0.0016671875</v>
      </c>
      <c r="CE14" s="9" t="n">
        <f aca="false">IF(AY14="","",(CC14+CD14)/2)</f>
        <v>0.00093359375</v>
      </c>
    </row>
    <row r="15" customFormat="false" ht="15" hidden="false" customHeight="false" outlineLevel="0" collapsed="false">
      <c r="A15" s="9"/>
      <c r="B15" s="9"/>
      <c r="C15" s="14"/>
      <c r="D15" s="14"/>
      <c r="E15" s="14" t="n">
        <f aca="false">SUMIFS(CB_Tributaires!$C:$C,CB_Tributaires!$B:$B,$A15)</f>
        <v>0</v>
      </c>
      <c r="F15" s="14" t="n">
        <f aca="false">IF(D15="",E15,D15)</f>
        <v>0</v>
      </c>
      <c r="G15" s="9"/>
      <c r="H15" s="14"/>
      <c r="I15" s="14" t="str">
        <f aca="false">IF(A15="","",Inputs!$B$13/((IF(AS15="",Inputs!$B$18,AS15)+Inputs!$B$14)^Inputs!$B$15))</f>
        <v/>
      </c>
      <c r="J15" s="14" t="str">
        <f aca="false">IF(A15="","",0.000000278*IF(G15="",Inputs!$B$17,G15)*F15*I15)</f>
        <v/>
      </c>
      <c r="K15" s="14" t="str">
        <f aca="false">IF(A15="","",SUMIFS($L$4:$L$203,$B$4:$B$203,$A15))</f>
        <v/>
      </c>
      <c r="L15" s="14" t="str">
        <f aca="false">IF(A15="","",(J15+K15)*Inputs!$B$16)</f>
        <v/>
      </c>
      <c r="M15" s="14"/>
      <c r="N15" s="14" t="str">
        <f aca="false">IF(A15="","",IF(M15="",Inputs!$B$7,M15))</f>
        <v/>
      </c>
      <c r="O15" s="9" t="str">
        <f aca="false">IF(A15="","",IF(L15/Inputs!$B$10&lt;=AD15,Inputs!$F$5,IF(L15/Inputs!$B$10&gt;AM15,"OVERSIZE",INDEX(Inputs!$F$5:$F$14,MATCH(L15/Inputs!$B$10,AD15:AM15,1)+1))))</f>
        <v/>
      </c>
      <c r="P15" s="9"/>
      <c r="Q15" s="9" t="str">
        <f aca="false">IF(A15="","",IF(P15="",O15,P15))</f>
        <v/>
      </c>
      <c r="R15" s="14" t="str">
        <f aca="false">IF(OR(Q15="",Q15="OVERSIZE"),"",Q15/1000)</f>
        <v/>
      </c>
      <c r="S15" s="14" t="str">
        <f aca="false">IF(R15="","",(1/Inputs!$B$9)*(PI()*R15^2/4)*((R15/4)^(2/3))*SQRT(N15))</f>
        <v/>
      </c>
      <c r="T15" s="14" t="str">
        <f aca="false">IF(OR(S15="",L15=""),"",L15/(S15*Inputs!$B$10))</f>
        <v/>
      </c>
      <c r="U15" s="14" t="str">
        <f aca="false">IF(OR(R15="",L15=""),"",4*L15/(PI()*R15^2))</f>
        <v/>
      </c>
      <c r="V15" s="14"/>
      <c r="W15" s="14" t="str">
        <f aca="false">IF(A15="","",IF(A15=Inputs!$B$6,Inputs!$B$22,IF(B15="","",IFERROR(INDEX($X$4:$X$203,MATCH(B15,$A$4:$A$203,0))+IF(V15="",Inputs!$B$20,V15),""))))</f>
        <v/>
      </c>
      <c r="X15" s="14" t="str">
        <f aca="false">IF(OR(W15="",N15="",C15=""),"",W15+N15*C15)</f>
        <v/>
      </c>
      <c r="Y15" s="14"/>
      <c r="Z15" s="14"/>
      <c r="AA15" s="14" t="str">
        <f aca="false">IF(OR(Y15="",W15=""),"",Y15-W15)</f>
        <v/>
      </c>
      <c r="AB15" s="14" t="str">
        <f aca="false">IF(OR(Z15="",X15=""),"",Z15-X15)</f>
        <v/>
      </c>
      <c r="AC15" s="19" t="str">
        <f aca="false">IF(A15="","",IF(OR(T15&gt;1,AND(AV15&lt;&gt;"",AV15&lt;Inputs!$B$11),AND(AV15&lt;&gt;"",AV15&gt;Inputs!$B$12),AA15&lt;Inputs!$B$19,AB15&lt;Inputs!$B$19,N15&lt;Inputs!$B$7,N15&gt;Inputs!$B$8),"CHECK","OK"))</f>
        <v/>
      </c>
      <c r="AD15" s="9" t="str">
        <f aca="false">IF(A15="","",(1/Inputs!$B$9)*(PI()*(Inputs!$F$5/1000)^2/4)*((Inputs!$F$5/1000/4)^(2/3))*SQRT(N15))</f>
        <v/>
      </c>
      <c r="AE15" s="9" t="str">
        <f aca="false">IF(A15="","",(1/Inputs!$B$9)*(PI()*(Inputs!$F$6/1000)^2/4)*((Inputs!$F$6/1000/4)^(2/3))*SQRT(N15))</f>
        <v/>
      </c>
      <c r="AF15" s="9" t="str">
        <f aca="false">IF(A15="","",(1/Inputs!$B$9)*(PI()*(Inputs!$F$7/1000)^2/4)*((Inputs!$F$7/1000/4)^(2/3))*SQRT(N15))</f>
        <v/>
      </c>
      <c r="AG15" s="9" t="str">
        <f aca="false">IF(A15="","",(1/Inputs!$B$9)*(PI()*(Inputs!$F$8/1000)^2/4)*((Inputs!$F$8/1000/4)^(2/3))*SQRT(N15))</f>
        <v/>
      </c>
      <c r="AH15" s="9" t="str">
        <f aca="false">IF(A15="","",(1/Inputs!$B$9)*(PI()*(Inputs!$F$9/1000)^2/4)*((Inputs!$F$9/1000/4)^(2/3))*SQRT(N15))</f>
        <v/>
      </c>
      <c r="AI15" s="9" t="str">
        <f aca="false">IF(A15="","",(1/Inputs!$B$9)*(PI()*(Inputs!$F$10/1000)^2/4)*((Inputs!$F$10/1000/4)^(2/3))*SQRT(N15))</f>
        <v/>
      </c>
      <c r="AJ15" s="9" t="str">
        <f aca="false">IF(A15="","",(1/Inputs!$B$9)*(PI()*(Inputs!$F$11/1000)^2/4)*((Inputs!$F$11/1000/4)^(2/3))*SQRT(N15))</f>
        <v/>
      </c>
      <c r="AK15" s="9" t="str">
        <f aca="false">IF(A15="","",(1/Inputs!$B$9)*(PI()*(Inputs!$F$12/1000)^2/4)*((Inputs!$F$12/1000/4)^(2/3))*SQRT(N15))</f>
        <v/>
      </c>
      <c r="AL15" s="9" t="str">
        <f aca="false">IF(A15="","",(1/Inputs!$B$9)*(PI()*(Inputs!$F$13/1000)^2/4)*((Inputs!$F$13/1000/4)^(2/3))*SQRT(N15))</f>
        <v/>
      </c>
      <c r="AM15" s="9" t="str">
        <f aca="false">IF(A15="","",(1/Inputs!$B$9)*(PI()*(Inputs!$F$14/1000)^2/4)*((Inputs!$F$14/1000/4)^(2/3))*SQRT(N15))</f>
        <v/>
      </c>
      <c r="AN15" s="9" t="str">
        <f aca="false">IF(A15="","",COUNTIF($B$4:$B$203,$A15))</f>
        <v/>
      </c>
      <c r="AO15" s="9" t="str">
        <f aca="false">IF(A15="","",IF(AN15=0,"START","CONTINUOUS"))</f>
        <v/>
      </c>
      <c r="AP15" s="13" t="str">
        <f aca="false">IF(A15="","",IF(H15="",Inputs!$B$18,H15))</f>
        <v/>
      </c>
      <c r="AQ15" s="13" t="str">
        <f aca="false">IF(A15="","",IFERROR(maxifs($AS$4:$AS$203,$B$4:$B$203,$A15),""))</f>
        <v/>
      </c>
      <c r="AR15" s="13" t="str">
        <f aca="false">IF(A15="","",IF(OR(C15="",Inputs!$B$23=""),"",C15/(Inputs!$B$23*60)))</f>
        <v/>
      </c>
      <c r="AS15" s="13" t="str">
        <f aca="false">IF(A15="","",IF(AN15=0,AP15+AR15,IF(AQ15="",AP15+AR15,AQ15+AR15)))</f>
        <v/>
      </c>
      <c r="AT15" s="13" t="str">
        <f aca="false">IF(A15="","",U15)</f>
        <v/>
      </c>
      <c r="AU15" s="13" t="str">
        <f aca="false">IF(OR(R15="",N15=""),"",(1/Inputs!$B$9)*((R15/4)^(2/3))*SQRT(N15))</f>
        <v/>
      </c>
      <c r="AV15" s="13" t="str">
        <f aca="false">IF(A15="","",IF(AND(AT15="",AU15="",AX15=""),"",IF(OR(UPPER(TRIM(Inputs!$B$24))="MANNING",UPPER(TRIM(Inputs!$B$24))="M"),AU15,IF(OR(UPPER(TRIM(Inputs!$B$24))="PARTIAL",UPPER(TRIM(Inputs!$B$24))="P"),AX15,IF(OR(UPPER(TRIM(Inputs!$B$24))="MAX",UPPER(TRIM(Inputs!$B$24))="X"),MAX(IF(AT15="",0,AT15),IF(AU15="",0,AU15),IF(AX15="",0,AX15)),AT15)))))</f>
        <v/>
      </c>
      <c r="AW15" s="13" t="str">
        <f aca="false">IF(AY15="","",CE15)</f>
        <v/>
      </c>
      <c r="AX15" s="13" t="str">
        <f aca="false">IF(OR(AY15="",AW15="",R15="",R15&lt;=0,AW15&lt;=0),"",AY15/((R15^2/8)*(2*ACOS(1-2*AW15/R15)-SIN(2*ACOS(1-2*AW15/R15)))))</f>
        <v/>
      </c>
      <c r="AY15" s="9" t="str">
        <f aca="false">IF(OR(L15="",AZ15=""),"",MIN(L15,AZ15))</f>
        <v/>
      </c>
      <c r="AZ15" s="9" t="str">
        <f aca="false">IF(OR(L15="",R15="",N15=""),"",IF(OR(R15="",N15="",(0.94*R15)="",R15&lt;=0,(0.94*R15)&lt;=0),"",(1/Inputs!$B$9)*((R15^2/8)*((2*ACOS(1-2*(0.94*R15)/R15))-SIN((2*ACOS(1-2*(0.94*R15)/R15)))))*((((R15^2/8)*((2*ACOS(1-2*(0.94*R15)/R15))-SIN((2*ACOS(1-2*(0.94*R15)/R15)))))/((R15/2)*((2*ACOS(1-2*(0.94*R15)/R15)))))^(2/3))*SQRT(N15)))</f>
        <v/>
      </c>
      <c r="BA15" s="9" t="str">
        <f aca="false">IF(AY15="","",0.001*R15)</f>
        <v/>
      </c>
      <c r="BB15" s="9" t="str">
        <f aca="false">IF(AY15="","",0.94*R15)</f>
        <v/>
      </c>
      <c r="BC15" s="9" t="str">
        <f aca="false">IF(AY15="","",(BA15+BB15)/2)</f>
        <v/>
      </c>
      <c r="BD15" s="9" t="str">
        <f aca="false">IF(OR(R15="",N15="",BC15="",R15&lt;=0,BC15&lt;=0),"",(1/Inputs!$B$9)*((R15^2/8)*((2*ACOS(1-2*BC15/R15))-SIN((2*ACOS(1-2*BC15/R15)))))*((((R15^2/8)*((2*ACOS(1-2*BC15/R15))-SIN((2*ACOS(1-2*BC15/R15)))))/((R15/2)*((2*ACOS(1-2*BC15/R15)))))^(2/3))*SQRT(N15))</f>
        <v/>
      </c>
      <c r="BE15" s="9" t="str">
        <f aca="false">IF(AY15="","",IF(BD15&lt;AY15,BC15,BA15))</f>
        <v/>
      </c>
      <c r="BF15" s="9" t="str">
        <f aca="false">IF(AY15="","",IF(BD15&lt;AY15,BB15,BC15))</f>
        <v/>
      </c>
      <c r="BG15" s="9" t="str">
        <f aca="false">IF(AY15="","",(BE15+BF15)/2)</f>
        <v/>
      </c>
      <c r="BH15" s="9" t="str">
        <f aca="false">IF(OR(R15="",N15="",BG15="",R15&lt;=0,BG15&lt;=0),"",(1/Inputs!$B$9)*((R15^2/8)*((2*ACOS(1-2*BG15/R15))-SIN((2*ACOS(1-2*BG15/R15)))))*((((R15^2/8)*((2*ACOS(1-2*BG15/R15))-SIN((2*ACOS(1-2*BG15/R15)))))/((R15/2)*((2*ACOS(1-2*BG15/R15)))))^(2/3))*SQRT(N15))</f>
        <v/>
      </c>
      <c r="BI15" s="9" t="str">
        <f aca="false">IF(AY15="","",IF(BH15&lt;AY15,BG15,BE15))</f>
        <v/>
      </c>
      <c r="BJ15" s="9" t="str">
        <f aca="false">IF(AY15="","",IF(BH15&lt;AY15,BF15,BG15))</f>
        <v/>
      </c>
      <c r="BK15" s="9" t="str">
        <f aca="false">IF(AY15="","",(BI15+BJ15)/2)</f>
        <v/>
      </c>
      <c r="BL15" s="9" t="str">
        <f aca="false">IF(OR(R15="",N15="",BK15="",R15&lt;=0,BK15&lt;=0),"",(1/Inputs!$B$9)*((R15^2/8)*((2*ACOS(1-2*BK15/R15))-SIN((2*ACOS(1-2*BK15/R15)))))*((((R15^2/8)*((2*ACOS(1-2*BK15/R15))-SIN((2*ACOS(1-2*BK15/R15)))))/((R15/2)*((2*ACOS(1-2*BK15/R15)))))^(2/3))*SQRT(N15))</f>
        <v/>
      </c>
      <c r="BM15" s="9" t="str">
        <f aca="false">IF(AY15="","",IF(BL15&lt;AY15,BK15,BI15))</f>
        <v/>
      </c>
      <c r="BN15" s="9" t="str">
        <f aca="false">IF(AY15="","",IF(BL15&lt;AY15,BJ15,BK15))</f>
        <v/>
      </c>
      <c r="BO15" s="9" t="str">
        <f aca="false">IF(AY15="","",(BM15+BN15)/2)</f>
        <v/>
      </c>
      <c r="BP15" s="9" t="str">
        <f aca="false">IF(OR(R15="",N15="",BO15="",R15&lt;=0,BO15&lt;=0),"",(1/Inputs!$B$9)*((R15^2/8)*((2*ACOS(1-2*BO15/R15))-SIN((2*ACOS(1-2*BO15/R15)))))*((((R15^2/8)*((2*ACOS(1-2*BO15/R15))-SIN((2*ACOS(1-2*BO15/R15)))))/((R15/2)*((2*ACOS(1-2*BO15/R15)))))^(2/3))*SQRT(N15))</f>
        <v/>
      </c>
      <c r="BQ15" s="9" t="str">
        <f aca="false">IF(AY15="","",IF(BP15&lt;AY15,BO15,BM15))</f>
        <v/>
      </c>
      <c r="BR15" s="9" t="str">
        <f aca="false">IF(AY15="","",IF(BP15&lt;AY15,BN15,BO15))</f>
        <v/>
      </c>
      <c r="BS15" s="9" t="str">
        <f aca="false">IF(AY15="","",(BQ15+BR15)/2)</f>
        <v/>
      </c>
      <c r="BT15" s="9" t="str">
        <f aca="false">IF(OR(R15="",N15="",BS15="",R15&lt;=0,BS15&lt;=0),"",(1/Inputs!$B$9)*((R15^2/8)*((2*ACOS(1-2*BS15/R15))-SIN((2*ACOS(1-2*BS15/R15)))))*((((R15^2/8)*((2*ACOS(1-2*BS15/R15))-SIN((2*ACOS(1-2*BS15/R15)))))/((R15/2)*((2*ACOS(1-2*BS15/R15)))))^(2/3))*SQRT(N15))</f>
        <v/>
      </c>
      <c r="BU15" s="9" t="str">
        <f aca="false">IF(AY15="","",IF(BT15&lt;AY15,BS15,BQ15))</f>
        <v/>
      </c>
      <c r="BV15" s="9" t="str">
        <f aca="false">IF(AY15="","",IF(BT15&lt;AY15,BR15,BS15))</f>
        <v/>
      </c>
      <c r="BW15" s="9" t="str">
        <f aca="false">IF(AY15="","",(BU15+BV15)/2)</f>
        <v/>
      </c>
      <c r="BX15" s="9" t="str">
        <f aca="false">IF(OR(R15="",N15="",BW15="",R15&lt;=0,BW15&lt;=0),"",(1/Inputs!$B$9)*((R15^2/8)*((2*ACOS(1-2*BW15/R15))-SIN((2*ACOS(1-2*BW15/R15)))))*((((R15^2/8)*((2*ACOS(1-2*BW15/R15))-SIN((2*ACOS(1-2*BW15/R15)))))/((R15/2)*((2*ACOS(1-2*BW15/R15)))))^(2/3))*SQRT(N15))</f>
        <v/>
      </c>
      <c r="BY15" s="9" t="str">
        <f aca="false">IF(AY15="","",IF(BX15&lt;AY15,BW15,BU15))</f>
        <v/>
      </c>
      <c r="BZ15" s="9" t="str">
        <f aca="false">IF(AY15="","",IF(BX15&lt;AY15,BV15,BW15))</f>
        <v/>
      </c>
      <c r="CA15" s="9" t="str">
        <f aca="false">IF(AY15="","",(BY15+BZ15)/2)</f>
        <v/>
      </c>
      <c r="CB15" s="9" t="str">
        <f aca="false">IF(OR(R15="",N15="",CA15="",R15&lt;=0,CA15&lt;=0),"",(1/Inputs!$B$9)*((R15^2/8)*((2*ACOS(1-2*CA15/R15))-SIN((2*ACOS(1-2*CA15/R15)))))*((((R15^2/8)*((2*ACOS(1-2*CA15/R15))-SIN((2*ACOS(1-2*CA15/R15)))))/((R15/2)*((2*ACOS(1-2*CA15/R15)))))^(2/3))*SQRT(N15))</f>
        <v/>
      </c>
      <c r="CC15" s="9" t="str">
        <f aca="false">IF(AY15="","",IF(CB15&lt;AY15,CA15,BY15))</f>
        <v/>
      </c>
      <c r="CD15" s="9" t="str">
        <f aca="false">IF(AY15="","",IF(CB15&lt;AY15,BZ15,CA15))</f>
        <v/>
      </c>
      <c r="CE15" s="9" t="str">
        <f aca="false">IF(AY15="","",(CC15+CD15)/2)</f>
        <v/>
      </c>
    </row>
    <row r="16" customFormat="false" ht="15" hidden="false" customHeight="false" outlineLevel="0" collapsed="false">
      <c r="A16" s="9"/>
      <c r="B16" s="9"/>
      <c r="C16" s="14"/>
      <c r="D16" s="14"/>
      <c r="E16" s="14" t="n">
        <f aca="false">SUMIFS(CB_Tributaires!$C:$C,CB_Tributaires!$B:$B,$A16)</f>
        <v>0</v>
      </c>
      <c r="F16" s="14" t="n">
        <f aca="false">IF(D16="",E16,D16)</f>
        <v>0</v>
      </c>
      <c r="G16" s="9"/>
      <c r="H16" s="14"/>
      <c r="I16" s="14" t="str">
        <f aca="false">IF(A16="","",Inputs!$B$13/((IF(AS16="",Inputs!$B$18,AS16)+Inputs!$B$14)^Inputs!$B$15))</f>
        <v/>
      </c>
      <c r="J16" s="14" t="str">
        <f aca="false">IF(A16="","",0.000000278*IF(G16="",Inputs!$B$17,G16)*F16*I16)</f>
        <v/>
      </c>
      <c r="K16" s="14" t="str">
        <f aca="false">IF(A16="","",SUMIFS($L$4:$L$203,$B$4:$B$203,$A16))</f>
        <v/>
      </c>
      <c r="L16" s="14" t="str">
        <f aca="false">IF(A16="","",(J16+K16)*Inputs!$B$16)</f>
        <v/>
      </c>
      <c r="M16" s="14"/>
      <c r="N16" s="14" t="str">
        <f aca="false">IF(A16="","",IF(M16="",Inputs!$B$7,M16))</f>
        <v/>
      </c>
      <c r="O16" s="9" t="str">
        <f aca="false">IF(A16="","",IF(L16/Inputs!$B$10&lt;=AD16,Inputs!$F$5,IF(L16/Inputs!$B$10&gt;AM16,"OVERSIZE",INDEX(Inputs!$F$5:$F$14,MATCH(L16/Inputs!$B$10,AD16:AM16,1)+1))))</f>
        <v/>
      </c>
      <c r="P16" s="9"/>
      <c r="Q16" s="9" t="str">
        <f aca="false">IF(A16="","",IF(P16="",O16,P16))</f>
        <v/>
      </c>
      <c r="R16" s="14" t="str">
        <f aca="false">IF(OR(Q16="",Q16="OVERSIZE"),"",Q16/1000)</f>
        <v/>
      </c>
      <c r="S16" s="14" t="str">
        <f aca="false">IF(R16="","",(1/Inputs!$B$9)*(PI()*R16^2/4)*((R16/4)^(2/3))*SQRT(N16))</f>
        <v/>
      </c>
      <c r="T16" s="14" t="str">
        <f aca="false">IF(OR(S16="",L16=""),"",L16/(S16*Inputs!$B$10))</f>
        <v/>
      </c>
      <c r="U16" s="14" t="str">
        <f aca="false">IF(OR(R16="",L16=""),"",4*L16/(PI()*R16^2))</f>
        <v/>
      </c>
      <c r="V16" s="14"/>
      <c r="W16" s="14" t="str">
        <f aca="false">IF(A16="","",IF(A16=Inputs!$B$6,Inputs!$B$22,IF(B16="","",IFERROR(INDEX($X$4:$X$203,MATCH(B16,$A$4:$A$203,0))+IF(V16="",Inputs!$B$20,V16),""))))</f>
        <v/>
      </c>
      <c r="X16" s="14" t="str">
        <f aca="false">IF(OR(W16="",N16="",C16=""),"",W16+N16*C16)</f>
        <v/>
      </c>
      <c r="Y16" s="14"/>
      <c r="Z16" s="14"/>
      <c r="AA16" s="14" t="str">
        <f aca="false">IF(OR(Y16="",W16=""),"",Y16-W16)</f>
        <v/>
      </c>
      <c r="AB16" s="14" t="str">
        <f aca="false">IF(OR(Z16="",X16=""),"",Z16-X16)</f>
        <v/>
      </c>
      <c r="AC16" s="19" t="str">
        <f aca="false">IF(A16="","",IF(OR(T16&gt;1,AND(AV16&lt;&gt;"",AV16&lt;Inputs!$B$11),AND(AV16&lt;&gt;"",AV16&gt;Inputs!$B$12),AA16&lt;Inputs!$B$19,AB16&lt;Inputs!$B$19,N16&lt;Inputs!$B$7,N16&gt;Inputs!$B$8),"CHECK","OK"))</f>
        <v/>
      </c>
      <c r="AD16" s="9" t="str">
        <f aca="false">IF(A16="","",(1/Inputs!$B$9)*(PI()*(Inputs!$F$5/1000)^2/4)*((Inputs!$F$5/1000/4)^(2/3))*SQRT(N16))</f>
        <v/>
      </c>
      <c r="AE16" s="9" t="str">
        <f aca="false">IF(A16="","",(1/Inputs!$B$9)*(PI()*(Inputs!$F$6/1000)^2/4)*((Inputs!$F$6/1000/4)^(2/3))*SQRT(N16))</f>
        <v/>
      </c>
      <c r="AF16" s="9" t="str">
        <f aca="false">IF(A16="","",(1/Inputs!$B$9)*(PI()*(Inputs!$F$7/1000)^2/4)*((Inputs!$F$7/1000/4)^(2/3))*SQRT(N16))</f>
        <v/>
      </c>
      <c r="AG16" s="9" t="str">
        <f aca="false">IF(A16="","",(1/Inputs!$B$9)*(PI()*(Inputs!$F$8/1000)^2/4)*((Inputs!$F$8/1000/4)^(2/3))*SQRT(N16))</f>
        <v/>
      </c>
      <c r="AH16" s="9" t="str">
        <f aca="false">IF(A16="","",(1/Inputs!$B$9)*(PI()*(Inputs!$F$9/1000)^2/4)*((Inputs!$F$9/1000/4)^(2/3))*SQRT(N16))</f>
        <v/>
      </c>
      <c r="AI16" s="9" t="str">
        <f aca="false">IF(A16="","",(1/Inputs!$B$9)*(PI()*(Inputs!$F$10/1000)^2/4)*((Inputs!$F$10/1000/4)^(2/3))*SQRT(N16))</f>
        <v/>
      </c>
      <c r="AJ16" s="9" t="str">
        <f aca="false">IF(A16="","",(1/Inputs!$B$9)*(PI()*(Inputs!$F$11/1000)^2/4)*((Inputs!$F$11/1000/4)^(2/3))*SQRT(N16))</f>
        <v/>
      </c>
      <c r="AK16" s="9" t="str">
        <f aca="false">IF(A16="","",(1/Inputs!$B$9)*(PI()*(Inputs!$F$12/1000)^2/4)*((Inputs!$F$12/1000/4)^(2/3))*SQRT(N16))</f>
        <v/>
      </c>
      <c r="AL16" s="9" t="str">
        <f aca="false">IF(A16="","",(1/Inputs!$B$9)*(PI()*(Inputs!$F$13/1000)^2/4)*((Inputs!$F$13/1000/4)^(2/3))*SQRT(N16))</f>
        <v/>
      </c>
      <c r="AM16" s="9" t="str">
        <f aca="false">IF(A16="","",(1/Inputs!$B$9)*(PI()*(Inputs!$F$14/1000)^2/4)*((Inputs!$F$14/1000/4)^(2/3))*SQRT(N16))</f>
        <v/>
      </c>
      <c r="AN16" s="9" t="str">
        <f aca="false">IF(A16="","",COUNTIF($B$4:$B$203,$A16))</f>
        <v/>
      </c>
      <c r="AO16" s="9" t="str">
        <f aca="false">IF(A16="","",IF(AN16=0,"START","CONTINUOUS"))</f>
        <v/>
      </c>
      <c r="AP16" s="13" t="str">
        <f aca="false">IF(A16="","",IF(H16="",Inputs!$B$18,H16))</f>
        <v/>
      </c>
      <c r="AQ16" s="13" t="str">
        <f aca="false">IF(A16="","",IFERROR(maxifs($AS$4:$AS$203,$B$4:$B$203,$A16),""))</f>
        <v/>
      </c>
      <c r="AR16" s="13" t="str">
        <f aca="false">IF(A16="","",IF(OR(C16="",Inputs!$B$23=""),"",C16/(Inputs!$B$23*60)))</f>
        <v/>
      </c>
      <c r="AS16" s="13" t="str">
        <f aca="false">IF(A16="","",IF(AN16=0,AP16+AR16,IF(AQ16="",AP16+AR16,AQ16+AR16)))</f>
        <v/>
      </c>
      <c r="AT16" s="13" t="str">
        <f aca="false">IF(A16="","",U16)</f>
        <v/>
      </c>
      <c r="AU16" s="13" t="str">
        <f aca="false">IF(OR(R16="",N16=""),"",(1/Inputs!$B$9)*((R16/4)^(2/3))*SQRT(N16))</f>
        <v/>
      </c>
      <c r="AV16" s="13" t="str">
        <f aca="false">IF(A16="","",IF(AND(AT16="",AU16="",AX16=""),"",IF(OR(UPPER(TRIM(Inputs!$B$24))="MANNING",UPPER(TRIM(Inputs!$B$24))="M"),AU16,IF(OR(UPPER(TRIM(Inputs!$B$24))="PARTIAL",UPPER(TRIM(Inputs!$B$24))="P"),AX16,IF(OR(UPPER(TRIM(Inputs!$B$24))="MAX",UPPER(TRIM(Inputs!$B$24))="X"),MAX(IF(AT16="",0,AT16),IF(AU16="",0,AU16),IF(AX16="",0,AX16)),AT16)))))</f>
        <v/>
      </c>
      <c r="AW16" s="13" t="str">
        <f aca="false">IF(AY16="","",CE16)</f>
        <v/>
      </c>
      <c r="AX16" s="13" t="str">
        <f aca="false">IF(OR(AY16="",AW16="",R16="",R16&lt;=0,AW16&lt;=0),"",AY16/((R16^2/8)*(2*ACOS(1-2*AW16/R16)-SIN(2*ACOS(1-2*AW16/R16)))))</f>
        <v/>
      </c>
      <c r="AY16" s="9" t="str">
        <f aca="false">IF(OR(L16="",AZ16=""),"",MIN(L16,AZ16))</f>
        <v/>
      </c>
      <c r="AZ16" s="9" t="str">
        <f aca="false">IF(OR(L16="",R16="",N16=""),"",IF(OR(R16="",N16="",(0.94*R16)="",R16&lt;=0,(0.94*R16)&lt;=0),"",(1/Inputs!$B$9)*((R16^2/8)*((2*ACOS(1-2*(0.94*R16)/R16))-SIN((2*ACOS(1-2*(0.94*R16)/R16)))))*((((R16^2/8)*((2*ACOS(1-2*(0.94*R16)/R16))-SIN((2*ACOS(1-2*(0.94*R16)/R16)))))/((R16/2)*((2*ACOS(1-2*(0.94*R16)/R16)))))^(2/3))*SQRT(N16)))</f>
        <v/>
      </c>
      <c r="BA16" s="9" t="str">
        <f aca="false">IF(AY16="","",0.001*R16)</f>
        <v/>
      </c>
      <c r="BB16" s="9" t="str">
        <f aca="false">IF(AY16="","",0.94*R16)</f>
        <v/>
      </c>
      <c r="BC16" s="9" t="str">
        <f aca="false">IF(AY16="","",(BA16+BB16)/2)</f>
        <v/>
      </c>
      <c r="BD16" s="9" t="str">
        <f aca="false">IF(OR(R16="",N16="",BC16="",R16&lt;=0,BC16&lt;=0),"",(1/Inputs!$B$9)*((R16^2/8)*((2*ACOS(1-2*BC16/R16))-SIN((2*ACOS(1-2*BC16/R16)))))*((((R16^2/8)*((2*ACOS(1-2*BC16/R16))-SIN((2*ACOS(1-2*BC16/R16)))))/((R16/2)*((2*ACOS(1-2*BC16/R16)))))^(2/3))*SQRT(N16))</f>
        <v/>
      </c>
      <c r="BE16" s="9" t="str">
        <f aca="false">IF(AY16="","",IF(BD16&lt;AY16,BC16,BA16))</f>
        <v/>
      </c>
      <c r="BF16" s="9" t="str">
        <f aca="false">IF(AY16="","",IF(BD16&lt;AY16,BB16,BC16))</f>
        <v/>
      </c>
      <c r="BG16" s="9" t="str">
        <f aca="false">IF(AY16="","",(BE16+BF16)/2)</f>
        <v/>
      </c>
      <c r="BH16" s="9" t="str">
        <f aca="false">IF(OR(R16="",N16="",BG16="",R16&lt;=0,BG16&lt;=0),"",(1/Inputs!$B$9)*((R16^2/8)*((2*ACOS(1-2*BG16/R16))-SIN((2*ACOS(1-2*BG16/R16)))))*((((R16^2/8)*((2*ACOS(1-2*BG16/R16))-SIN((2*ACOS(1-2*BG16/R16)))))/((R16/2)*((2*ACOS(1-2*BG16/R16)))))^(2/3))*SQRT(N16))</f>
        <v/>
      </c>
      <c r="BI16" s="9" t="str">
        <f aca="false">IF(AY16="","",IF(BH16&lt;AY16,BG16,BE16))</f>
        <v/>
      </c>
      <c r="BJ16" s="9" t="str">
        <f aca="false">IF(AY16="","",IF(BH16&lt;AY16,BF16,BG16))</f>
        <v/>
      </c>
      <c r="BK16" s="9" t="str">
        <f aca="false">IF(AY16="","",(BI16+BJ16)/2)</f>
        <v/>
      </c>
      <c r="BL16" s="9" t="str">
        <f aca="false">IF(OR(R16="",N16="",BK16="",R16&lt;=0,BK16&lt;=0),"",(1/Inputs!$B$9)*((R16^2/8)*((2*ACOS(1-2*BK16/R16))-SIN((2*ACOS(1-2*BK16/R16)))))*((((R16^2/8)*((2*ACOS(1-2*BK16/R16))-SIN((2*ACOS(1-2*BK16/R16)))))/((R16/2)*((2*ACOS(1-2*BK16/R16)))))^(2/3))*SQRT(N16))</f>
        <v/>
      </c>
      <c r="BM16" s="9" t="str">
        <f aca="false">IF(AY16="","",IF(BL16&lt;AY16,BK16,BI16))</f>
        <v/>
      </c>
      <c r="BN16" s="9" t="str">
        <f aca="false">IF(AY16="","",IF(BL16&lt;AY16,BJ16,BK16))</f>
        <v/>
      </c>
      <c r="BO16" s="9" t="str">
        <f aca="false">IF(AY16="","",(BM16+BN16)/2)</f>
        <v/>
      </c>
      <c r="BP16" s="9" t="str">
        <f aca="false">IF(OR(R16="",N16="",BO16="",R16&lt;=0,BO16&lt;=0),"",(1/Inputs!$B$9)*((R16^2/8)*((2*ACOS(1-2*BO16/R16))-SIN((2*ACOS(1-2*BO16/R16)))))*((((R16^2/8)*((2*ACOS(1-2*BO16/R16))-SIN((2*ACOS(1-2*BO16/R16)))))/((R16/2)*((2*ACOS(1-2*BO16/R16)))))^(2/3))*SQRT(N16))</f>
        <v/>
      </c>
      <c r="BQ16" s="9" t="str">
        <f aca="false">IF(AY16="","",IF(BP16&lt;AY16,BO16,BM16))</f>
        <v/>
      </c>
      <c r="BR16" s="9" t="str">
        <f aca="false">IF(AY16="","",IF(BP16&lt;AY16,BN16,BO16))</f>
        <v/>
      </c>
      <c r="BS16" s="9" t="str">
        <f aca="false">IF(AY16="","",(BQ16+BR16)/2)</f>
        <v/>
      </c>
      <c r="BT16" s="9" t="str">
        <f aca="false">IF(OR(R16="",N16="",BS16="",R16&lt;=0,BS16&lt;=0),"",(1/Inputs!$B$9)*((R16^2/8)*((2*ACOS(1-2*BS16/R16))-SIN((2*ACOS(1-2*BS16/R16)))))*((((R16^2/8)*((2*ACOS(1-2*BS16/R16))-SIN((2*ACOS(1-2*BS16/R16)))))/((R16/2)*((2*ACOS(1-2*BS16/R16)))))^(2/3))*SQRT(N16))</f>
        <v/>
      </c>
      <c r="BU16" s="9" t="str">
        <f aca="false">IF(AY16="","",IF(BT16&lt;AY16,BS16,BQ16))</f>
        <v/>
      </c>
      <c r="BV16" s="9" t="str">
        <f aca="false">IF(AY16="","",IF(BT16&lt;AY16,BR16,BS16))</f>
        <v/>
      </c>
      <c r="BW16" s="9" t="str">
        <f aca="false">IF(AY16="","",(BU16+BV16)/2)</f>
        <v/>
      </c>
      <c r="BX16" s="9" t="str">
        <f aca="false">IF(OR(R16="",N16="",BW16="",R16&lt;=0,BW16&lt;=0),"",(1/Inputs!$B$9)*((R16^2/8)*((2*ACOS(1-2*BW16/R16))-SIN((2*ACOS(1-2*BW16/R16)))))*((((R16^2/8)*((2*ACOS(1-2*BW16/R16))-SIN((2*ACOS(1-2*BW16/R16)))))/((R16/2)*((2*ACOS(1-2*BW16/R16)))))^(2/3))*SQRT(N16))</f>
        <v/>
      </c>
      <c r="BY16" s="9" t="str">
        <f aca="false">IF(AY16="","",IF(BX16&lt;AY16,BW16,BU16))</f>
        <v/>
      </c>
      <c r="BZ16" s="9" t="str">
        <f aca="false">IF(AY16="","",IF(BX16&lt;AY16,BV16,BW16))</f>
        <v/>
      </c>
      <c r="CA16" s="9" t="str">
        <f aca="false">IF(AY16="","",(BY16+BZ16)/2)</f>
        <v/>
      </c>
      <c r="CB16" s="9" t="str">
        <f aca="false">IF(OR(R16="",N16="",CA16="",R16&lt;=0,CA16&lt;=0),"",(1/Inputs!$B$9)*((R16^2/8)*((2*ACOS(1-2*CA16/R16))-SIN((2*ACOS(1-2*CA16/R16)))))*((((R16^2/8)*((2*ACOS(1-2*CA16/R16))-SIN((2*ACOS(1-2*CA16/R16)))))/((R16/2)*((2*ACOS(1-2*CA16/R16)))))^(2/3))*SQRT(N16))</f>
        <v/>
      </c>
      <c r="CC16" s="9" t="str">
        <f aca="false">IF(AY16="","",IF(CB16&lt;AY16,CA16,BY16))</f>
        <v/>
      </c>
      <c r="CD16" s="9" t="str">
        <f aca="false">IF(AY16="","",IF(CB16&lt;AY16,BZ16,CA16))</f>
        <v/>
      </c>
      <c r="CE16" s="9" t="str">
        <f aca="false">IF(AY16="","",(CC16+CD16)/2)</f>
        <v/>
      </c>
    </row>
    <row r="17" customFormat="false" ht="15" hidden="false" customHeight="false" outlineLevel="0" collapsed="false">
      <c r="A17" s="9"/>
      <c r="B17" s="9"/>
      <c r="C17" s="14"/>
      <c r="D17" s="14"/>
      <c r="E17" s="14" t="n">
        <f aca="false">SUMIFS(CB_Tributaires!$C:$C,CB_Tributaires!$B:$B,$A17)</f>
        <v>0</v>
      </c>
      <c r="F17" s="14" t="n">
        <f aca="false">IF(D17="",E17,D17)</f>
        <v>0</v>
      </c>
      <c r="G17" s="9"/>
      <c r="H17" s="14"/>
      <c r="I17" s="14" t="str">
        <f aca="false">IF(A17="","",Inputs!$B$13/((IF(AS17="",Inputs!$B$18,AS17)+Inputs!$B$14)^Inputs!$B$15))</f>
        <v/>
      </c>
      <c r="J17" s="14" t="str">
        <f aca="false">IF(A17="","",0.000000278*IF(G17="",Inputs!$B$17,G17)*F17*I17)</f>
        <v/>
      </c>
      <c r="K17" s="14" t="str">
        <f aca="false">IF(A17="","",SUMIFS($L$4:$L$203,$B$4:$B$203,$A17))</f>
        <v/>
      </c>
      <c r="L17" s="14" t="str">
        <f aca="false">IF(A17="","",(J17+K17)*Inputs!$B$16)</f>
        <v/>
      </c>
      <c r="M17" s="14"/>
      <c r="N17" s="14" t="str">
        <f aca="false">IF(A17="","",IF(M17="",Inputs!$B$7,M17))</f>
        <v/>
      </c>
      <c r="O17" s="9" t="str">
        <f aca="false">IF(A17="","",IF(L17/Inputs!$B$10&lt;=AD17,Inputs!$F$5,IF(L17/Inputs!$B$10&gt;AM17,"OVERSIZE",INDEX(Inputs!$F$5:$F$14,MATCH(L17/Inputs!$B$10,AD17:AM17,1)+1))))</f>
        <v/>
      </c>
      <c r="P17" s="9"/>
      <c r="Q17" s="9" t="str">
        <f aca="false">IF(A17="","",IF(P17="",O17,P17))</f>
        <v/>
      </c>
      <c r="R17" s="14" t="str">
        <f aca="false">IF(OR(Q17="",Q17="OVERSIZE"),"",Q17/1000)</f>
        <v/>
      </c>
      <c r="S17" s="14" t="str">
        <f aca="false">IF(R17="","",(1/Inputs!$B$9)*(PI()*R17^2/4)*((R17/4)^(2/3))*SQRT(N17))</f>
        <v/>
      </c>
      <c r="T17" s="14" t="str">
        <f aca="false">IF(OR(S17="",L17=""),"",L17/(S17*Inputs!$B$10))</f>
        <v/>
      </c>
      <c r="U17" s="14" t="str">
        <f aca="false">IF(OR(R17="",L17=""),"",4*L17/(PI()*R17^2))</f>
        <v/>
      </c>
      <c r="V17" s="14"/>
      <c r="W17" s="14" t="str">
        <f aca="false">IF(A17="","",IF(A17=Inputs!$B$6,Inputs!$B$22,IF(B17="","",IFERROR(INDEX($X$4:$X$203,MATCH(B17,$A$4:$A$203,0))+IF(V17="",Inputs!$B$20,V17),""))))</f>
        <v/>
      </c>
      <c r="X17" s="14" t="str">
        <f aca="false">IF(OR(W17="",N17="",C17=""),"",W17+N17*C17)</f>
        <v/>
      </c>
      <c r="Y17" s="14"/>
      <c r="Z17" s="14"/>
      <c r="AA17" s="14" t="str">
        <f aca="false">IF(OR(Y17="",W17=""),"",Y17-W17)</f>
        <v/>
      </c>
      <c r="AB17" s="14" t="str">
        <f aca="false">IF(OR(Z17="",X17=""),"",Z17-X17)</f>
        <v/>
      </c>
      <c r="AC17" s="19" t="str">
        <f aca="false">IF(A17="","",IF(OR(T17&gt;1,AND(AV17&lt;&gt;"",AV17&lt;Inputs!$B$11),AND(AV17&lt;&gt;"",AV17&gt;Inputs!$B$12),AA17&lt;Inputs!$B$19,AB17&lt;Inputs!$B$19,N17&lt;Inputs!$B$7,N17&gt;Inputs!$B$8),"CHECK","OK"))</f>
        <v/>
      </c>
      <c r="AD17" s="9" t="str">
        <f aca="false">IF(A17="","",(1/Inputs!$B$9)*(PI()*(Inputs!$F$5/1000)^2/4)*((Inputs!$F$5/1000/4)^(2/3))*SQRT(N17))</f>
        <v/>
      </c>
      <c r="AE17" s="9" t="str">
        <f aca="false">IF(A17="","",(1/Inputs!$B$9)*(PI()*(Inputs!$F$6/1000)^2/4)*((Inputs!$F$6/1000/4)^(2/3))*SQRT(N17))</f>
        <v/>
      </c>
      <c r="AF17" s="9" t="str">
        <f aca="false">IF(A17="","",(1/Inputs!$B$9)*(PI()*(Inputs!$F$7/1000)^2/4)*((Inputs!$F$7/1000/4)^(2/3))*SQRT(N17))</f>
        <v/>
      </c>
      <c r="AG17" s="9" t="str">
        <f aca="false">IF(A17="","",(1/Inputs!$B$9)*(PI()*(Inputs!$F$8/1000)^2/4)*((Inputs!$F$8/1000/4)^(2/3))*SQRT(N17))</f>
        <v/>
      </c>
      <c r="AH17" s="9" t="str">
        <f aca="false">IF(A17="","",(1/Inputs!$B$9)*(PI()*(Inputs!$F$9/1000)^2/4)*((Inputs!$F$9/1000/4)^(2/3))*SQRT(N17))</f>
        <v/>
      </c>
      <c r="AI17" s="9" t="str">
        <f aca="false">IF(A17="","",(1/Inputs!$B$9)*(PI()*(Inputs!$F$10/1000)^2/4)*((Inputs!$F$10/1000/4)^(2/3))*SQRT(N17))</f>
        <v/>
      </c>
      <c r="AJ17" s="9" t="str">
        <f aca="false">IF(A17="","",(1/Inputs!$B$9)*(PI()*(Inputs!$F$11/1000)^2/4)*((Inputs!$F$11/1000/4)^(2/3))*SQRT(N17))</f>
        <v/>
      </c>
      <c r="AK17" s="9" t="str">
        <f aca="false">IF(A17="","",(1/Inputs!$B$9)*(PI()*(Inputs!$F$12/1000)^2/4)*((Inputs!$F$12/1000/4)^(2/3))*SQRT(N17))</f>
        <v/>
      </c>
      <c r="AL17" s="9" t="str">
        <f aca="false">IF(A17="","",(1/Inputs!$B$9)*(PI()*(Inputs!$F$13/1000)^2/4)*((Inputs!$F$13/1000/4)^(2/3))*SQRT(N17))</f>
        <v/>
      </c>
      <c r="AM17" s="9" t="str">
        <f aca="false">IF(A17="","",(1/Inputs!$B$9)*(PI()*(Inputs!$F$14/1000)^2/4)*((Inputs!$F$14/1000/4)^(2/3))*SQRT(N17))</f>
        <v/>
      </c>
      <c r="AN17" s="9" t="str">
        <f aca="false">IF(A17="","",COUNTIF($B$4:$B$203,$A17))</f>
        <v/>
      </c>
      <c r="AO17" s="9" t="str">
        <f aca="false">IF(A17="","",IF(AN17=0,"START","CONTINUOUS"))</f>
        <v/>
      </c>
      <c r="AP17" s="13" t="str">
        <f aca="false">IF(A17="","",IF(H17="",Inputs!$B$18,H17))</f>
        <v/>
      </c>
      <c r="AQ17" s="13" t="str">
        <f aca="false">IF(A17="","",IFERROR(maxifs($AS$4:$AS$203,$B$4:$B$203,$A17),""))</f>
        <v/>
      </c>
      <c r="AR17" s="13" t="str">
        <f aca="false">IF(A17="","",IF(OR(C17="",Inputs!$B$23=""),"",C17/(Inputs!$B$23*60)))</f>
        <v/>
      </c>
      <c r="AS17" s="13" t="str">
        <f aca="false">IF(A17="","",IF(AN17=0,AP17+AR17,IF(AQ17="",AP17+AR17,AQ17+AR17)))</f>
        <v/>
      </c>
      <c r="AT17" s="13" t="str">
        <f aca="false">IF(A17="","",U17)</f>
        <v/>
      </c>
      <c r="AU17" s="13" t="str">
        <f aca="false">IF(OR(R17="",N17=""),"",(1/Inputs!$B$9)*((R17/4)^(2/3))*SQRT(N17))</f>
        <v/>
      </c>
      <c r="AV17" s="13" t="str">
        <f aca="false">IF(A17="","",IF(AND(AT17="",AU17="",AX17=""),"",IF(OR(UPPER(TRIM(Inputs!$B$24))="MANNING",UPPER(TRIM(Inputs!$B$24))="M"),AU17,IF(OR(UPPER(TRIM(Inputs!$B$24))="PARTIAL",UPPER(TRIM(Inputs!$B$24))="P"),AX17,IF(OR(UPPER(TRIM(Inputs!$B$24))="MAX",UPPER(TRIM(Inputs!$B$24))="X"),MAX(IF(AT17="",0,AT17),IF(AU17="",0,AU17),IF(AX17="",0,AX17)),AT17)))))</f>
        <v/>
      </c>
      <c r="AW17" s="13" t="str">
        <f aca="false">IF(AY17="","",CE17)</f>
        <v/>
      </c>
      <c r="AX17" s="13" t="str">
        <f aca="false">IF(OR(AY17="",AW17="",R17="",R17&lt;=0,AW17&lt;=0),"",AY17/((R17^2/8)*(2*ACOS(1-2*AW17/R17)-SIN(2*ACOS(1-2*AW17/R17)))))</f>
        <v/>
      </c>
      <c r="AY17" s="9" t="str">
        <f aca="false">IF(OR(L17="",AZ17=""),"",MIN(L17,AZ17))</f>
        <v/>
      </c>
      <c r="AZ17" s="9" t="str">
        <f aca="false">IF(OR(L17="",R17="",N17=""),"",IF(OR(R17="",N17="",(0.94*R17)="",R17&lt;=0,(0.94*R17)&lt;=0),"",(1/Inputs!$B$9)*((R17^2/8)*((2*ACOS(1-2*(0.94*R17)/R17))-SIN((2*ACOS(1-2*(0.94*R17)/R17)))))*((((R17^2/8)*((2*ACOS(1-2*(0.94*R17)/R17))-SIN((2*ACOS(1-2*(0.94*R17)/R17)))))/((R17/2)*((2*ACOS(1-2*(0.94*R17)/R17)))))^(2/3))*SQRT(N17)))</f>
        <v/>
      </c>
      <c r="BA17" s="9" t="str">
        <f aca="false">IF(AY17="","",0.001*R17)</f>
        <v/>
      </c>
      <c r="BB17" s="9" t="str">
        <f aca="false">IF(AY17="","",0.94*R17)</f>
        <v/>
      </c>
      <c r="BC17" s="9" t="str">
        <f aca="false">IF(AY17="","",(BA17+BB17)/2)</f>
        <v/>
      </c>
      <c r="BD17" s="9" t="str">
        <f aca="false">IF(OR(R17="",N17="",BC17="",R17&lt;=0,BC17&lt;=0),"",(1/Inputs!$B$9)*((R17^2/8)*((2*ACOS(1-2*BC17/R17))-SIN((2*ACOS(1-2*BC17/R17)))))*((((R17^2/8)*((2*ACOS(1-2*BC17/R17))-SIN((2*ACOS(1-2*BC17/R17)))))/((R17/2)*((2*ACOS(1-2*BC17/R17)))))^(2/3))*SQRT(N17))</f>
        <v/>
      </c>
      <c r="BE17" s="9" t="str">
        <f aca="false">IF(AY17="","",IF(BD17&lt;AY17,BC17,BA17))</f>
        <v/>
      </c>
      <c r="BF17" s="9" t="str">
        <f aca="false">IF(AY17="","",IF(BD17&lt;AY17,BB17,BC17))</f>
        <v/>
      </c>
      <c r="BG17" s="9" t="str">
        <f aca="false">IF(AY17="","",(BE17+BF17)/2)</f>
        <v/>
      </c>
      <c r="BH17" s="9" t="str">
        <f aca="false">IF(OR(R17="",N17="",BG17="",R17&lt;=0,BG17&lt;=0),"",(1/Inputs!$B$9)*((R17^2/8)*((2*ACOS(1-2*BG17/R17))-SIN((2*ACOS(1-2*BG17/R17)))))*((((R17^2/8)*((2*ACOS(1-2*BG17/R17))-SIN((2*ACOS(1-2*BG17/R17)))))/((R17/2)*((2*ACOS(1-2*BG17/R17)))))^(2/3))*SQRT(N17))</f>
        <v/>
      </c>
      <c r="BI17" s="9" t="str">
        <f aca="false">IF(AY17="","",IF(BH17&lt;AY17,BG17,BE17))</f>
        <v/>
      </c>
      <c r="BJ17" s="9" t="str">
        <f aca="false">IF(AY17="","",IF(BH17&lt;AY17,BF17,BG17))</f>
        <v/>
      </c>
      <c r="BK17" s="9" t="str">
        <f aca="false">IF(AY17="","",(BI17+BJ17)/2)</f>
        <v/>
      </c>
      <c r="BL17" s="9" t="str">
        <f aca="false">IF(OR(R17="",N17="",BK17="",R17&lt;=0,BK17&lt;=0),"",(1/Inputs!$B$9)*((R17^2/8)*((2*ACOS(1-2*BK17/R17))-SIN((2*ACOS(1-2*BK17/R17)))))*((((R17^2/8)*((2*ACOS(1-2*BK17/R17))-SIN((2*ACOS(1-2*BK17/R17)))))/((R17/2)*((2*ACOS(1-2*BK17/R17)))))^(2/3))*SQRT(N17))</f>
        <v/>
      </c>
      <c r="BM17" s="9" t="str">
        <f aca="false">IF(AY17="","",IF(BL17&lt;AY17,BK17,BI17))</f>
        <v/>
      </c>
      <c r="BN17" s="9" t="str">
        <f aca="false">IF(AY17="","",IF(BL17&lt;AY17,BJ17,BK17))</f>
        <v/>
      </c>
      <c r="BO17" s="9" t="str">
        <f aca="false">IF(AY17="","",(BM17+BN17)/2)</f>
        <v/>
      </c>
      <c r="BP17" s="9" t="str">
        <f aca="false">IF(OR(R17="",N17="",BO17="",R17&lt;=0,BO17&lt;=0),"",(1/Inputs!$B$9)*((R17^2/8)*((2*ACOS(1-2*BO17/R17))-SIN((2*ACOS(1-2*BO17/R17)))))*((((R17^2/8)*((2*ACOS(1-2*BO17/R17))-SIN((2*ACOS(1-2*BO17/R17)))))/((R17/2)*((2*ACOS(1-2*BO17/R17)))))^(2/3))*SQRT(N17))</f>
        <v/>
      </c>
      <c r="BQ17" s="9" t="str">
        <f aca="false">IF(AY17="","",IF(BP17&lt;AY17,BO17,BM17))</f>
        <v/>
      </c>
      <c r="BR17" s="9" t="str">
        <f aca="false">IF(AY17="","",IF(BP17&lt;AY17,BN17,BO17))</f>
        <v/>
      </c>
      <c r="BS17" s="9" t="str">
        <f aca="false">IF(AY17="","",(BQ17+BR17)/2)</f>
        <v/>
      </c>
      <c r="BT17" s="9" t="str">
        <f aca="false">IF(OR(R17="",N17="",BS17="",R17&lt;=0,BS17&lt;=0),"",(1/Inputs!$B$9)*((R17^2/8)*((2*ACOS(1-2*BS17/R17))-SIN((2*ACOS(1-2*BS17/R17)))))*((((R17^2/8)*((2*ACOS(1-2*BS17/R17))-SIN((2*ACOS(1-2*BS17/R17)))))/((R17/2)*((2*ACOS(1-2*BS17/R17)))))^(2/3))*SQRT(N17))</f>
        <v/>
      </c>
      <c r="BU17" s="9" t="str">
        <f aca="false">IF(AY17="","",IF(BT17&lt;AY17,BS17,BQ17))</f>
        <v/>
      </c>
      <c r="BV17" s="9" t="str">
        <f aca="false">IF(AY17="","",IF(BT17&lt;AY17,BR17,BS17))</f>
        <v/>
      </c>
      <c r="BW17" s="9" t="str">
        <f aca="false">IF(AY17="","",(BU17+BV17)/2)</f>
        <v/>
      </c>
      <c r="BX17" s="9" t="str">
        <f aca="false">IF(OR(R17="",N17="",BW17="",R17&lt;=0,BW17&lt;=0),"",(1/Inputs!$B$9)*((R17^2/8)*((2*ACOS(1-2*BW17/R17))-SIN((2*ACOS(1-2*BW17/R17)))))*((((R17^2/8)*((2*ACOS(1-2*BW17/R17))-SIN((2*ACOS(1-2*BW17/R17)))))/((R17/2)*((2*ACOS(1-2*BW17/R17)))))^(2/3))*SQRT(N17))</f>
        <v/>
      </c>
      <c r="BY17" s="9" t="str">
        <f aca="false">IF(AY17="","",IF(BX17&lt;AY17,BW17,BU17))</f>
        <v/>
      </c>
      <c r="BZ17" s="9" t="str">
        <f aca="false">IF(AY17="","",IF(BX17&lt;AY17,BV17,BW17))</f>
        <v/>
      </c>
      <c r="CA17" s="9" t="str">
        <f aca="false">IF(AY17="","",(BY17+BZ17)/2)</f>
        <v/>
      </c>
      <c r="CB17" s="9" t="str">
        <f aca="false">IF(OR(R17="",N17="",CA17="",R17&lt;=0,CA17&lt;=0),"",(1/Inputs!$B$9)*((R17^2/8)*((2*ACOS(1-2*CA17/R17))-SIN((2*ACOS(1-2*CA17/R17)))))*((((R17^2/8)*((2*ACOS(1-2*CA17/R17))-SIN((2*ACOS(1-2*CA17/R17)))))/((R17/2)*((2*ACOS(1-2*CA17/R17)))))^(2/3))*SQRT(N17))</f>
        <v/>
      </c>
      <c r="CC17" s="9" t="str">
        <f aca="false">IF(AY17="","",IF(CB17&lt;AY17,CA17,BY17))</f>
        <v/>
      </c>
      <c r="CD17" s="9" t="str">
        <f aca="false">IF(AY17="","",IF(CB17&lt;AY17,BZ17,CA17))</f>
        <v/>
      </c>
      <c r="CE17" s="9" t="str">
        <f aca="false">IF(AY17="","",(CC17+CD17)/2)</f>
        <v/>
      </c>
    </row>
    <row r="18" customFormat="false" ht="15" hidden="false" customHeight="false" outlineLevel="0" collapsed="false">
      <c r="A18" s="9"/>
      <c r="B18" s="9"/>
      <c r="C18" s="14"/>
      <c r="D18" s="14"/>
      <c r="E18" s="14" t="n">
        <f aca="false">SUMIFS(CB_Tributaires!$C:$C,CB_Tributaires!$B:$B,$A18)</f>
        <v>0</v>
      </c>
      <c r="F18" s="14" t="n">
        <f aca="false">IF(D18="",E18,D18)</f>
        <v>0</v>
      </c>
      <c r="G18" s="9"/>
      <c r="H18" s="14"/>
      <c r="I18" s="14" t="str">
        <f aca="false">IF(A18="","",Inputs!$B$13/((IF(AS18="",Inputs!$B$18,AS18)+Inputs!$B$14)^Inputs!$B$15))</f>
        <v/>
      </c>
      <c r="J18" s="14" t="str">
        <f aca="false">IF(A18="","",0.000000278*IF(G18="",Inputs!$B$17,G18)*F18*I18)</f>
        <v/>
      </c>
      <c r="K18" s="14" t="str">
        <f aca="false">IF(A18="","",SUMIFS($L$4:$L$203,$B$4:$B$203,$A18))</f>
        <v/>
      </c>
      <c r="L18" s="14" t="str">
        <f aca="false">IF(A18="","",(J18+K18)*Inputs!$B$16)</f>
        <v/>
      </c>
      <c r="M18" s="14"/>
      <c r="N18" s="14" t="str">
        <f aca="false">IF(A18="","",IF(M18="",Inputs!$B$7,M18))</f>
        <v/>
      </c>
      <c r="O18" s="9" t="str">
        <f aca="false">IF(A18="","",IF(L18/Inputs!$B$10&lt;=AD18,Inputs!$F$5,IF(L18/Inputs!$B$10&gt;AM18,"OVERSIZE",INDEX(Inputs!$F$5:$F$14,MATCH(L18/Inputs!$B$10,AD18:AM18,1)+1))))</f>
        <v/>
      </c>
      <c r="P18" s="9"/>
      <c r="Q18" s="9" t="str">
        <f aca="false">IF(A18="","",IF(P18="",O18,P18))</f>
        <v/>
      </c>
      <c r="R18" s="14" t="str">
        <f aca="false">IF(OR(Q18="",Q18="OVERSIZE"),"",Q18/1000)</f>
        <v/>
      </c>
      <c r="S18" s="14" t="str">
        <f aca="false">IF(R18="","",(1/Inputs!$B$9)*(PI()*R18^2/4)*((R18/4)^(2/3))*SQRT(N18))</f>
        <v/>
      </c>
      <c r="T18" s="14" t="str">
        <f aca="false">IF(OR(S18="",L18=""),"",L18/(S18*Inputs!$B$10))</f>
        <v/>
      </c>
      <c r="U18" s="14" t="str">
        <f aca="false">IF(OR(R18="",L18=""),"",4*L18/(PI()*R18^2))</f>
        <v/>
      </c>
      <c r="V18" s="14"/>
      <c r="W18" s="14" t="str">
        <f aca="false">IF(A18="","",IF(A18=Inputs!$B$6,Inputs!$B$22,IF(B18="","",IFERROR(INDEX($X$4:$X$203,MATCH(B18,$A$4:$A$203,0))+IF(V18="",Inputs!$B$20,V18),""))))</f>
        <v/>
      </c>
      <c r="X18" s="14" t="str">
        <f aca="false">IF(OR(W18="",N18="",C18=""),"",W18+N18*C18)</f>
        <v/>
      </c>
      <c r="Y18" s="14"/>
      <c r="Z18" s="14"/>
      <c r="AA18" s="14" t="str">
        <f aca="false">IF(OR(Y18="",W18=""),"",Y18-W18)</f>
        <v/>
      </c>
      <c r="AB18" s="14" t="str">
        <f aca="false">IF(OR(Z18="",X18=""),"",Z18-X18)</f>
        <v/>
      </c>
      <c r="AC18" s="19" t="str">
        <f aca="false">IF(A18="","",IF(OR(T18&gt;1,AND(AV18&lt;&gt;"",AV18&lt;Inputs!$B$11),AND(AV18&lt;&gt;"",AV18&gt;Inputs!$B$12),AA18&lt;Inputs!$B$19,AB18&lt;Inputs!$B$19,N18&lt;Inputs!$B$7,N18&gt;Inputs!$B$8),"CHECK","OK"))</f>
        <v/>
      </c>
      <c r="AD18" s="9" t="str">
        <f aca="false">IF(A18="","",(1/Inputs!$B$9)*(PI()*(Inputs!$F$5/1000)^2/4)*((Inputs!$F$5/1000/4)^(2/3))*SQRT(N18))</f>
        <v/>
      </c>
      <c r="AE18" s="9" t="str">
        <f aca="false">IF(A18="","",(1/Inputs!$B$9)*(PI()*(Inputs!$F$6/1000)^2/4)*((Inputs!$F$6/1000/4)^(2/3))*SQRT(N18))</f>
        <v/>
      </c>
      <c r="AF18" s="9" t="str">
        <f aca="false">IF(A18="","",(1/Inputs!$B$9)*(PI()*(Inputs!$F$7/1000)^2/4)*((Inputs!$F$7/1000/4)^(2/3))*SQRT(N18))</f>
        <v/>
      </c>
      <c r="AG18" s="9" t="str">
        <f aca="false">IF(A18="","",(1/Inputs!$B$9)*(PI()*(Inputs!$F$8/1000)^2/4)*((Inputs!$F$8/1000/4)^(2/3))*SQRT(N18))</f>
        <v/>
      </c>
      <c r="AH18" s="9" t="str">
        <f aca="false">IF(A18="","",(1/Inputs!$B$9)*(PI()*(Inputs!$F$9/1000)^2/4)*((Inputs!$F$9/1000/4)^(2/3))*SQRT(N18))</f>
        <v/>
      </c>
      <c r="AI18" s="9" t="str">
        <f aca="false">IF(A18="","",(1/Inputs!$B$9)*(PI()*(Inputs!$F$10/1000)^2/4)*((Inputs!$F$10/1000/4)^(2/3))*SQRT(N18))</f>
        <v/>
      </c>
      <c r="AJ18" s="9" t="str">
        <f aca="false">IF(A18="","",(1/Inputs!$B$9)*(PI()*(Inputs!$F$11/1000)^2/4)*((Inputs!$F$11/1000/4)^(2/3))*SQRT(N18))</f>
        <v/>
      </c>
      <c r="AK18" s="9" t="str">
        <f aca="false">IF(A18="","",(1/Inputs!$B$9)*(PI()*(Inputs!$F$12/1000)^2/4)*((Inputs!$F$12/1000/4)^(2/3))*SQRT(N18))</f>
        <v/>
      </c>
      <c r="AL18" s="9" t="str">
        <f aca="false">IF(A18="","",(1/Inputs!$B$9)*(PI()*(Inputs!$F$13/1000)^2/4)*((Inputs!$F$13/1000/4)^(2/3))*SQRT(N18))</f>
        <v/>
      </c>
      <c r="AM18" s="9" t="str">
        <f aca="false">IF(A18="","",(1/Inputs!$B$9)*(PI()*(Inputs!$F$14/1000)^2/4)*((Inputs!$F$14/1000/4)^(2/3))*SQRT(N18))</f>
        <v/>
      </c>
      <c r="AN18" s="9" t="str">
        <f aca="false">IF(A18="","",COUNTIF($B$4:$B$203,$A18))</f>
        <v/>
      </c>
      <c r="AO18" s="9" t="str">
        <f aca="false">IF(A18="","",IF(AN18=0,"START","CONTINUOUS"))</f>
        <v/>
      </c>
      <c r="AP18" s="13" t="str">
        <f aca="false">IF(A18="","",IF(H18="",Inputs!$B$18,H18))</f>
        <v/>
      </c>
      <c r="AQ18" s="13" t="str">
        <f aca="false">IF(A18="","",IFERROR(maxifs($AS$4:$AS$203,$B$4:$B$203,$A18),""))</f>
        <v/>
      </c>
      <c r="AR18" s="13" t="str">
        <f aca="false">IF(A18="","",IF(OR(C18="",Inputs!$B$23=""),"",C18/(Inputs!$B$23*60)))</f>
        <v/>
      </c>
      <c r="AS18" s="13" t="str">
        <f aca="false">IF(A18="","",IF(AN18=0,AP18+AR18,IF(AQ18="",AP18+AR18,AQ18+AR18)))</f>
        <v/>
      </c>
      <c r="AT18" s="13" t="str">
        <f aca="false">IF(A18="","",U18)</f>
        <v/>
      </c>
      <c r="AU18" s="13" t="str">
        <f aca="false">IF(OR(R18="",N18=""),"",(1/Inputs!$B$9)*((R18/4)^(2/3))*SQRT(N18))</f>
        <v/>
      </c>
      <c r="AV18" s="13" t="str">
        <f aca="false">IF(A18="","",IF(AND(AT18="",AU18="",AX18=""),"",IF(OR(UPPER(TRIM(Inputs!$B$24))="MANNING",UPPER(TRIM(Inputs!$B$24))="M"),AU18,IF(OR(UPPER(TRIM(Inputs!$B$24))="PARTIAL",UPPER(TRIM(Inputs!$B$24))="P"),AX18,IF(OR(UPPER(TRIM(Inputs!$B$24))="MAX",UPPER(TRIM(Inputs!$B$24))="X"),MAX(IF(AT18="",0,AT18),IF(AU18="",0,AU18),IF(AX18="",0,AX18)),AT18)))))</f>
        <v/>
      </c>
      <c r="AW18" s="13" t="str">
        <f aca="false">IF(AY18="","",CE18)</f>
        <v/>
      </c>
      <c r="AX18" s="13" t="str">
        <f aca="false">IF(OR(AY18="",AW18="",R18="",R18&lt;=0,AW18&lt;=0),"",AY18/((R18^2/8)*(2*ACOS(1-2*AW18/R18)-SIN(2*ACOS(1-2*AW18/R18)))))</f>
        <v/>
      </c>
      <c r="AY18" s="9" t="str">
        <f aca="false">IF(OR(L18="",AZ18=""),"",MIN(L18,AZ18))</f>
        <v/>
      </c>
      <c r="AZ18" s="9" t="str">
        <f aca="false">IF(OR(L18="",R18="",N18=""),"",IF(OR(R18="",N18="",(0.94*R18)="",R18&lt;=0,(0.94*R18)&lt;=0),"",(1/Inputs!$B$9)*((R18^2/8)*((2*ACOS(1-2*(0.94*R18)/R18))-SIN((2*ACOS(1-2*(0.94*R18)/R18)))))*((((R18^2/8)*((2*ACOS(1-2*(0.94*R18)/R18))-SIN((2*ACOS(1-2*(0.94*R18)/R18)))))/((R18/2)*((2*ACOS(1-2*(0.94*R18)/R18)))))^(2/3))*SQRT(N18)))</f>
        <v/>
      </c>
      <c r="BA18" s="9" t="str">
        <f aca="false">IF(AY18="","",0.001*R18)</f>
        <v/>
      </c>
      <c r="BB18" s="9" t="str">
        <f aca="false">IF(AY18="","",0.94*R18)</f>
        <v/>
      </c>
      <c r="BC18" s="9" t="str">
        <f aca="false">IF(AY18="","",(BA18+BB18)/2)</f>
        <v/>
      </c>
      <c r="BD18" s="9" t="str">
        <f aca="false">IF(OR(R18="",N18="",BC18="",R18&lt;=0,BC18&lt;=0),"",(1/Inputs!$B$9)*((R18^2/8)*((2*ACOS(1-2*BC18/R18))-SIN((2*ACOS(1-2*BC18/R18)))))*((((R18^2/8)*((2*ACOS(1-2*BC18/R18))-SIN((2*ACOS(1-2*BC18/R18)))))/((R18/2)*((2*ACOS(1-2*BC18/R18)))))^(2/3))*SQRT(N18))</f>
        <v/>
      </c>
      <c r="BE18" s="9" t="str">
        <f aca="false">IF(AY18="","",IF(BD18&lt;AY18,BC18,BA18))</f>
        <v/>
      </c>
      <c r="BF18" s="9" t="str">
        <f aca="false">IF(AY18="","",IF(BD18&lt;AY18,BB18,BC18))</f>
        <v/>
      </c>
      <c r="BG18" s="9" t="str">
        <f aca="false">IF(AY18="","",(BE18+BF18)/2)</f>
        <v/>
      </c>
      <c r="BH18" s="9" t="str">
        <f aca="false">IF(OR(R18="",N18="",BG18="",R18&lt;=0,BG18&lt;=0),"",(1/Inputs!$B$9)*((R18^2/8)*((2*ACOS(1-2*BG18/R18))-SIN((2*ACOS(1-2*BG18/R18)))))*((((R18^2/8)*((2*ACOS(1-2*BG18/R18))-SIN((2*ACOS(1-2*BG18/R18)))))/((R18/2)*((2*ACOS(1-2*BG18/R18)))))^(2/3))*SQRT(N18))</f>
        <v/>
      </c>
      <c r="BI18" s="9" t="str">
        <f aca="false">IF(AY18="","",IF(BH18&lt;AY18,BG18,BE18))</f>
        <v/>
      </c>
      <c r="BJ18" s="9" t="str">
        <f aca="false">IF(AY18="","",IF(BH18&lt;AY18,BF18,BG18))</f>
        <v/>
      </c>
      <c r="BK18" s="9" t="str">
        <f aca="false">IF(AY18="","",(BI18+BJ18)/2)</f>
        <v/>
      </c>
      <c r="BL18" s="9" t="str">
        <f aca="false">IF(OR(R18="",N18="",BK18="",R18&lt;=0,BK18&lt;=0),"",(1/Inputs!$B$9)*((R18^2/8)*((2*ACOS(1-2*BK18/R18))-SIN((2*ACOS(1-2*BK18/R18)))))*((((R18^2/8)*((2*ACOS(1-2*BK18/R18))-SIN((2*ACOS(1-2*BK18/R18)))))/((R18/2)*((2*ACOS(1-2*BK18/R18)))))^(2/3))*SQRT(N18))</f>
        <v/>
      </c>
      <c r="BM18" s="9" t="str">
        <f aca="false">IF(AY18="","",IF(BL18&lt;AY18,BK18,BI18))</f>
        <v/>
      </c>
      <c r="BN18" s="9" t="str">
        <f aca="false">IF(AY18="","",IF(BL18&lt;AY18,BJ18,BK18))</f>
        <v/>
      </c>
      <c r="BO18" s="9" t="str">
        <f aca="false">IF(AY18="","",(BM18+BN18)/2)</f>
        <v/>
      </c>
      <c r="BP18" s="9" t="str">
        <f aca="false">IF(OR(R18="",N18="",BO18="",R18&lt;=0,BO18&lt;=0),"",(1/Inputs!$B$9)*((R18^2/8)*((2*ACOS(1-2*BO18/R18))-SIN((2*ACOS(1-2*BO18/R18)))))*((((R18^2/8)*((2*ACOS(1-2*BO18/R18))-SIN((2*ACOS(1-2*BO18/R18)))))/((R18/2)*((2*ACOS(1-2*BO18/R18)))))^(2/3))*SQRT(N18))</f>
        <v/>
      </c>
      <c r="BQ18" s="9" t="str">
        <f aca="false">IF(AY18="","",IF(BP18&lt;AY18,BO18,BM18))</f>
        <v/>
      </c>
      <c r="BR18" s="9" t="str">
        <f aca="false">IF(AY18="","",IF(BP18&lt;AY18,BN18,BO18))</f>
        <v/>
      </c>
      <c r="BS18" s="9" t="str">
        <f aca="false">IF(AY18="","",(BQ18+BR18)/2)</f>
        <v/>
      </c>
      <c r="BT18" s="9" t="str">
        <f aca="false">IF(OR(R18="",N18="",BS18="",R18&lt;=0,BS18&lt;=0),"",(1/Inputs!$B$9)*((R18^2/8)*((2*ACOS(1-2*BS18/R18))-SIN((2*ACOS(1-2*BS18/R18)))))*((((R18^2/8)*((2*ACOS(1-2*BS18/R18))-SIN((2*ACOS(1-2*BS18/R18)))))/((R18/2)*((2*ACOS(1-2*BS18/R18)))))^(2/3))*SQRT(N18))</f>
        <v/>
      </c>
      <c r="BU18" s="9" t="str">
        <f aca="false">IF(AY18="","",IF(BT18&lt;AY18,BS18,BQ18))</f>
        <v/>
      </c>
      <c r="BV18" s="9" t="str">
        <f aca="false">IF(AY18="","",IF(BT18&lt;AY18,BR18,BS18))</f>
        <v/>
      </c>
      <c r="BW18" s="9" t="str">
        <f aca="false">IF(AY18="","",(BU18+BV18)/2)</f>
        <v/>
      </c>
      <c r="BX18" s="9" t="str">
        <f aca="false">IF(OR(R18="",N18="",BW18="",R18&lt;=0,BW18&lt;=0),"",(1/Inputs!$B$9)*((R18^2/8)*((2*ACOS(1-2*BW18/R18))-SIN((2*ACOS(1-2*BW18/R18)))))*((((R18^2/8)*((2*ACOS(1-2*BW18/R18))-SIN((2*ACOS(1-2*BW18/R18)))))/((R18/2)*((2*ACOS(1-2*BW18/R18)))))^(2/3))*SQRT(N18))</f>
        <v/>
      </c>
      <c r="BY18" s="9" t="str">
        <f aca="false">IF(AY18="","",IF(BX18&lt;AY18,BW18,BU18))</f>
        <v/>
      </c>
      <c r="BZ18" s="9" t="str">
        <f aca="false">IF(AY18="","",IF(BX18&lt;AY18,BV18,BW18))</f>
        <v/>
      </c>
      <c r="CA18" s="9" t="str">
        <f aca="false">IF(AY18="","",(BY18+BZ18)/2)</f>
        <v/>
      </c>
      <c r="CB18" s="9" t="str">
        <f aca="false">IF(OR(R18="",N18="",CA18="",R18&lt;=0,CA18&lt;=0),"",(1/Inputs!$B$9)*((R18^2/8)*((2*ACOS(1-2*CA18/R18))-SIN((2*ACOS(1-2*CA18/R18)))))*((((R18^2/8)*((2*ACOS(1-2*CA18/R18))-SIN((2*ACOS(1-2*CA18/R18)))))/((R18/2)*((2*ACOS(1-2*CA18/R18)))))^(2/3))*SQRT(N18))</f>
        <v/>
      </c>
      <c r="CC18" s="9" t="str">
        <f aca="false">IF(AY18="","",IF(CB18&lt;AY18,CA18,BY18))</f>
        <v/>
      </c>
      <c r="CD18" s="9" t="str">
        <f aca="false">IF(AY18="","",IF(CB18&lt;AY18,BZ18,CA18))</f>
        <v/>
      </c>
      <c r="CE18" s="9" t="str">
        <f aca="false">IF(AY18="","",(CC18+CD18)/2)</f>
        <v/>
      </c>
    </row>
    <row r="19" customFormat="false" ht="15" hidden="false" customHeight="false" outlineLevel="0" collapsed="false">
      <c r="A19" s="9"/>
      <c r="B19" s="9"/>
      <c r="C19" s="14"/>
      <c r="D19" s="14"/>
      <c r="E19" s="14" t="n">
        <f aca="false">SUMIFS(CB_Tributaires!$C:$C,CB_Tributaires!$B:$B,$A19)</f>
        <v>0</v>
      </c>
      <c r="F19" s="14" t="n">
        <f aca="false">IF(D19="",E19,D19)</f>
        <v>0</v>
      </c>
      <c r="G19" s="9"/>
      <c r="H19" s="14"/>
      <c r="I19" s="14" t="str">
        <f aca="false">IF(A19="","",Inputs!$B$13/((IF(AS19="",Inputs!$B$18,AS19)+Inputs!$B$14)^Inputs!$B$15))</f>
        <v/>
      </c>
      <c r="J19" s="14" t="str">
        <f aca="false">IF(A19="","",0.000000278*IF(G19="",Inputs!$B$17,G19)*F19*I19)</f>
        <v/>
      </c>
      <c r="K19" s="14" t="str">
        <f aca="false">IF(A19="","",SUMIFS($L$4:$L$203,$B$4:$B$203,$A19))</f>
        <v/>
      </c>
      <c r="L19" s="14" t="str">
        <f aca="false">IF(A19="","",(J19+K19)*Inputs!$B$16)</f>
        <v/>
      </c>
      <c r="M19" s="14"/>
      <c r="N19" s="14" t="str">
        <f aca="false">IF(A19="","",IF(M19="",Inputs!$B$7,M19))</f>
        <v/>
      </c>
      <c r="O19" s="9" t="str">
        <f aca="false">IF(A19="","",IF(L19/Inputs!$B$10&lt;=AD19,Inputs!$F$5,IF(L19/Inputs!$B$10&gt;AM19,"OVERSIZE",INDEX(Inputs!$F$5:$F$14,MATCH(L19/Inputs!$B$10,AD19:AM19,1)+1))))</f>
        <v/>
      </c>
      <c r="P19" s="9"/>
      <c r="Q19" s="9" t="str">
        <f aca="false">IF(A19="","",IF(P19="",O19,P19))</f>
        <v/>
      </c>
      <c r="R19" s="14" t="str">
        <f aca="false">IF(OR(Q19="",Q19="OVERSIZE"),"",Q19/1000)</f>
        <v/>
      </c>
      <c r="S19" s="14" t="str">
        <f aca="false">IF(R19="","",(1/Inputs!$B$9)*(PI()*R19^2/4)*((R19/4)^(2/3))*SQRT(N19))</f>
        <v/>
      </c>
      <c r="T19" s="14" t="str">
        <f aca="false">IF(OR(S19="",L19=""),"",L19/(S19*Inputs!$B$10))</f>
        <v/>
      </c>
      <c r="U19" s="14" t="str">
        <f aca="false">IF(OR(R19="",L19=""),"",4*L19/(PI()*R19^2))</f>
        <v/>
      </c>
      <c r="V19" s="14"/>
      <c r="W19" s="14" t="str">
        <f aca="false">IF(A19="","",IF(A19=Inputs!$B$6,Inputs!$B$22,IF(B19="","",IFERROR(INDEX($X$4:$X$203,MATCH(B19,$A$4:$A$203,0))+IF(V19="",Inputs!$B$20,V19),""))))</f>
        <v/>
      </c>
      <c r="X19" s="14" t="str">
        <f aca="false">IF(OR(W19="",N19="",C19=""),"",W19+N19*C19)</f>
        <v/>
      </c>
      <c r="Y19" s="14"/>
      <c r="Z19" s="14"/>
      <c r="AA19" s="14" t="str">
        <f aca="false">IF(OR(Y19="",W19=""),"",Y19-W19)</f>
        <v/>
      </c>
      <c r="AB19" s="14" t="str">
        <f aca="false">IF(OR(Z19="",X19=""),"",Z19-X19)</f>
        <v/>
      </c>
      <c r="AC19" s="19" t="str">
        <f aca="false">IF(A19="","",IF(OR(T19&gt;1,AND(AV19&lt;&gt;"",AV19&lt;Inputs!$B$11),AND(AV19&lt;&gt;"",AV19&gt;Inputs!$B$12),AA19&lt;Inputs!$B$19,AB19&lt;Inputs!$B$19,N19&lt;Inputs!$B$7,N19&gt;Inputs!$B$8),"CHECK","OK"))</f>
        <v/>
      </c>
      <c r="AD19" s="9" t="str">
        <f aca="false">IF(A19="","",(1/Inputs!$B$9)*(PI()*(Inputs!$F$5/1000)^2/4)*((Inputs!$F$5/1000/4)^(2/3))*SQRT(N19))</f>
        <v/>
      </c>
      <c r="AE19" s="9" t="str">
        <f aca="false">IF(A19="","",(1/Inputs!$B$9)*(PI()*(Inputs!$F$6/1000)^2/4)*((Inputs!$F$6/1000/4)^(2/3))*SQRT(N19))</f>
        <v/>
      </c>
      <c r="AF19" s="9" t="str">
        <f aca="false">IF(A19="","",(1/Inputs!$B$9)*(PI()*(Inputs!$F$7/1000)^2/4)*((Inputs!$F$7/1000/4)^(2/3))*SQRT(N19))</f>
        <v/>
      </c>
      <c r="AG19" s="9" t="str">
        <f aca="false">IF(A19="","",(1/Inputs!$B$9)*(PI()*(Inputs!$F$8/1000)^2/4)*((Inputs!$F$8/1000/4)^(2/3))*SQRT(N19))</f>
        <v/>
      </c>
      <c r="AH19" s="9" t="str">
        <f aca="false">IF(A19="","",(1/Inputs!$B$9)*(PI()*(Inputs!$F$9/1000)^2/4)*((Inputs!$F$9/1000/4)^(2/3))*SQRT(N19))</f>
        <v/>
      </c>
      <c r="AI19" s="9" t="str">
        <f aca="false">IF(A19="","",(1/Inputs!$B$9)*(PI()*(Inputs!$F$10/1000)^2/4)*((Inputs!$F$10/1000/4)^(2/3))*SQRT(N19))</f>
        <v/>
      </c>
      <c r="AJ19" s="9" t="str">
        <f aca="false">IF(A19="","",(1/Inputs!$B$9)*(PI()*(Inputs!$F$11/1000)^2/4)*((Inputs!$F$11/1000/4)^(2/3))*SQRT(N19))</f>
        <v/>
      </c>
      <c r="AK19" s="9" t="str">
        <f aca="false">IF(A19="","",(1/Inputs!$B$9)*(PI()*(Inputs!$F$12/1000)^2/4)*((Inputs!$F$12/1000/4)^(2/3))*SQRT(N19))</f>
        <v/>
      </c>
      <c r="AL19" s="9" t="str">
        <f aca="false">IF(A19="","",(1/Inputs!$B$9)*(PI()*(Inputs!$F$13/1000)^2/4)*((Inputs!$F$13/1000/4)^(2/3))*SQRT(N19))</f>
        <v/>
      </c>
      <c r="AM19" s="9" t="str">
        <f aca="false">IF(A19="","",(1/Inputs!$B$9)*(PI()*(Inputs!$F$14/1000)^2/4)*((Inputs!$F$14/1000/4)^(2/3))*SQRT(N19))</f>
        <v/>
      </c>
      <c r="AN19" s="9" t="str">
        <f aca="false">IF(A19="","",COUNTIF($B$4:$B$203,$A19))</f>
        <v/>
      </c>
      <c r="AO19" s="9" t="str">
        <f aca="false">IF(A19="","",IF(AN19=0,"START","CONTINUOUS"))</f>
        <v/>
      </c>
      <c r="AP19" s="13" t="str">
        <f aca="false">IF(A19="","",IF(H19="",Inputs!$B$18,H19))</f>
        <v/>
      </c>
      <c r="AQ19" s="13" t="str">
        <f aca="false">IF(A19="","",IFERROR(maxifs($AS$4:$AS$203,$B$4:$B$203,$A19),""))</f>
        <v/>
      </c>
      <c r="AR19" s="13" t="str">
        <f aca="false">IF(A19="","",IF(OR(C19="",Inputs!$B$23=""),"",C19/(Inputs!$B$23*60)))</f>
        <v/>
      </c>
      <c r="AS19" s="13" t="str">
        <f aca="false">IF(A19="","",IF(AN19=0,AP19+AR19,IF(AQ19="",AP19+AR19,AQ19+AR19)))</f>
        <v/>
      </c>
      <c r="AT19" s="13" t="str">
        <f aca="false">IF(A19="","",U19)</f>
        <v/>
      </c>
      <c r="AU19" s="13" t="str">
        <f aca="false">IF(OR(R19="",N19=""),"",(1/Inputs!$B$9)*((R19/4)^(2/3))*SQRT(N19))</f>
        <v/>
      </c>
      <c r="AV19" s="13" t="str">
        <f aca="false">IF(A19="","",IF(AND(AT19="",AU19="",AX19=""),"",IF(OR(UPPER(TRIM(Inputs!$B$24))="MANNING",UPPER(TRIM(Inputs!$B$24))="M"),AU19,IF(OR(UPPER(TRIM(Inputs!$B$24))="PARTIAL",UPPER(TRIM(Inputs!$B$24))="P"),AX19,IF(OR(UPPER(TRIM(Inputs!$B$24))="MAX",UPPER(TRIM(Inputs!$B$24))="X"),MAX(IF(AT19="",0,AT19),IF(AU19="",0,AU19),IF(AX19="",0,AX19)),AT19)))))</f>
        <v/>
      </c>
      <c r="AW19" s="13" t="str">
        <f aca="false">IF(AY19="","",CE19)</f>
        <v/>
      </c>
      <c r="AX19" s="13" t="str">
        <f aca="false">IF(OR(AY19="",AW19="",R19="",R19&lt;=0,AW19&lt;=0),"",AY19/((R19^2/8)*(2*ACOS(1-2*AW19/R19)-SIN(2*ACOS(1-2*AW19/R19)))))</f>
        <v/>
      </c>
      <c r="AY19" s="9" t="str">
        <f aca="false">IF(OR(L19="",AZ19=""),"",MIN(L19,AZ19))</f>
        <v/>
      </c>
      <c r="AZ19" s="9" t="str">
        <f aca="false">IF(OR(L19="",R19="",N19=""),"",IF(OR(R19="",N19="",(0.94*R19)="",R19&lt;=0,(0.94*R19)&lt;=0),"",(1/Inputs!$B$9)*((R19^2/8)*((2*ACOS(1-2*(0.94*R19)/R19))-SIN((2*ACOS(1-2*(0.94*R19)/R19)))))*((((R19^2/8)*((2*ACOS(1-2*(0.94*R19)/R19))-SIN((2*ACOS(1-2*(0.94*R19)/R19)))))/((R19/2)*((2*ACOS(1-2*(0.94*R19)/R19)))))^(2/3))*SQRT(N19)))</f>
        <v/>
      </c>
      <c r="BA19" s="9" t="str">
        <f aca="false">IF(AY19="","",0.001*R19)</f>
        <v/>
      </c>
      <c r="BB19" s="9" t="str">
        <f aca="false">IF(AY19="","",0.94*R19)</f>
        <v/>
      </c>
      <c r="BC19" s="9" t="str">
        <f aca="false">IF(AY19="","",(BA19+BB19)/2)</f>
        <v/>
      </c>
      <c r="BD19" s="9" t="str">
        <f aca="false">IF(OR(R19="",N19="",BC19="",R19&lt;=0,BC19&lt;=0),"",(1/Inputs!$B$9)*((R19^2/8)*((2*ACOS(1-2*BC19/R19))-SIN((2*ACOS(1-2*BC19/R19)))))*((((R19^2/8)*((2*ACOS(1-2*BC19/R19))-SIN((2*ACOS(1-2*BC19/R19)))))/((R19/2)*((2*ACOS(1-2*BC19/R19)))))^(2/3))*SQRT(N19))</f>
        <v/>
      </c>
      <c r="BE19" s="9" t="str">
        <f aca="false">IF(AY19="","",IF(BD19&lt;AY19,BC19,BA19))</f>
        <v/>
      </c>
      <c r="BF19" s="9" t="str">
        <f aca="false">IF(AY19="","",IF(BD19&lt;AY19,BB19,BC19))</f>
        <v/>
      </c>
      <c r="BG19" s="9" t="str">
        <f aca="false">IF(AY19="","",(BE19+BF19)/2)</f>
        <v/>
      </c>
      <c r="BH19" s="9" t="str">
        <f aca="false">IF(OR(R19="",N19="",BG19="",R19&lt;=0,BG19&lt;=0),"",(1/Inputs!$B$9)*((R19^2/8)*((2*ACOS(1-2*BG19/R19))-SIN((2*ACOS(1-2*BG19/R19)))))*((((R19^2/8)*((2*ACOS(1-2*BG19/R19))-SIN((2*ACOS(1-2*BG19/R19)))))/((R19/2)*((2*ACOS(1-2*BG19/R19)))))^(2/3))*SQRT(N19))</f>
        <v/>
      </c>
      <c r="BI19" s="9" t="str">
        <f aca="false">IF(AY19="","",IF(BH19&lt;AY19,BG19,BE19))</f>
        <v/>
      </c>
      <c r="BJ19" s="9" t="str">
        <f aca="false">IF(AY19="","",IF(BH19&lt;AY19,BF19,BG19))</f>
        <v/>
      </c>
      <c r="BK19" s="9" t="str">
        <f aca="false">IF(AY19="","",(BI19+BJ19)/2)</f>
        <v/>
      </c>
      <c r="BL19" s="9" t="str">
        <f aca="false">IF(OR(R19="",N19="",BK19="",R19&lt;=0,BK19&lt;=0),"",(1/Inputs!$B$9)*((R19^2/8)*((2*ACOS(1-2*BK19/R19))-SIN((2*ACOS(1-2*BK19/R19)))))*((((R19^2/8)*((2*ACOS(1-2*BK19/R19))-SIN((2*ACOS(1-2*BK19/R19)))))/((R19/2)*((2*ACOS(1-2*BK19/R19)))))^(2/3))*SQRT(N19))</f>
        <v/>
      </c>
      <c r="BM19" s="9" t="str">
        <f aca="false">IF(AY19="","",IF(BL19&lt;AY19,BK19,BI19))</f>
        <v/>
      </c>
      <c r="BN19" s="9" t="str">
        <f aca="false">IF(AY19="","",IF(BL19&lt;AY19,BJ19,BK19))</f>
        <v/>
      </c>
      <c r="BO19" s="9" t="str">
        <f aca="false">IF(AY19="","",(BM19+BN19)/2)</f>
        <v/>
      </c>
      <c r="BP19" s="9" t="str">
        <f aca="false">IF(OR(R19="",N19="",BO19="",R19&lt;=0,BO19&lt;=0),"",(1/Inputs!$B$9)*((R19^2/8)*((2*ACOS(1-2*BO19/R19))-SIN((2*ACOS(1-2*BO19/R19)))))*((((R19^2/8)*((2*ACOS(1-2*BO19/R19))-SIN((2*ACOS(1-2*BO19/R19)))))/((R19/2)*((2*ACOS(1-2*BO19/R19)))))^(2/3))*SQRT(N19))</f>
        <v/>
      </c>
      <c r="BQ19" s="9" t="str">
        <f aca="false">IF(AY19="","",IF(BP19&lt;AY19,BO19,BM19))</f>
        <v/>
      </c>
      <c r="BR19" s="9" t="str">
        <f aca="false">IF(AY19="","",IF(BP19&lt;AY19,BN19,BO19))</f>
        <v/>
      </c>
      <c r="BS19" s="9" t="str">
        <f aca="false">IF(AY19="","",(BQ19+BR19)/2)</f>
        <v/>
      </c>
      <c r="BT19" s="9" t="str">
        <f aca="false">IF(OR(R19="",N19="",BS19="",R19&lt;=0,BS19&lt;=0),"",(1/Inputs!$B$9)*((R19^2/8)*((2*ACOS(1-2*BS19/R19))-SIN((2*ACOS(1-2*BS19/R19)))))*((((R19^2/8)*((2*ACOS(1-2*BS19/R19))-SIN((2*ACOS(1-2*BS19/R19)))))/((R19/2)*((2*ACOS(1-2*BS19/R19)))))^(2/3))*SQRT(N19))</f>
        <v/>
      </c>
      <c r="BU19" s="9" t="str">
        <f aca="false">IF(AY19="","",IF(BT19&lt;AY19,BS19,BQ19))</f>
        <v/>
      </c>
      <c r="BV19" s="9" t="str">
        <f aca="false">IF(AY19="","",IF(BT19&lt;AY19,BR19,BS19))</f>
        <v/>
      </c>
      <c r="BW19" s="9" t="str">
        <f aca="false">IF(AY19="","",(BU19+BV19)/2)</f>
        <v/>
      </c>
      <c r="BX19" s="9" t="str">
        <f aca="false">IF(OR(R19="",N19="",BW19="",R19&lt;=0,BW19&lt;=0),"",(1/Inputs!$B$9)*((R19^2/8)*((2*ACOS(1-2*BW19/R19))-SIN((2*ACOS(1-2*BW19/R19)))))*((((R19^2/8)*((2*ACOS(1-2*BW19/R19))-SIN((2*ACOS(1-2*BW19/R19)))))/((R19/2)*((2*ACOS(1-2*BW19/R19)))))^(2/3))*SQRT(N19))</f>
        <v/>
      </c>
      <c r="BY19" s="9" t="str">
        <f aca="false">IF(AY19="","",IF(BX19&lt;AY19,BW19,BU19))</f>
        <v/>
      </c>
      <c r="BZ19" s="9" t="str">
        <f aca="false">IF(AY19="","",IF(BX19&lt;AY19,BV19,BW19))</f>
        <v/>
      </c>
      <c r="CA19" s="9" t="str">
        <f aca="false">IF(AY19="","",(BY19+BZ19)/2)</f>
        <v/>
      </c>
      <c r="CB19" s="9" t="str">
        <f aca="false">IF(OR(R19="",N19="",CA19="",R19&lt;=0,CA19&lt;=0),"",(1/Inputs!$B$9)*((R19^2/8)*((2*ACOS(1-2*CA19/R19))-SIN((2*ACOS(1-2*CA19/R19)))))*((((R19^2/8)*((2*ACOS(1-2*CA19/R19))-SIN((2*ACOS(1-2*CA19/R19)))))/((R19/2)*((2*ACOS(1-2*CA19/R19)))))^(2/3))*SQRT(N19))</f>
        <v/>
      </c>
      <c r="CC19" s="9" t="str">
        <f aca="false">IF(AY19="","",IF(CB19&lt;AY19,CA19,BY19))</f>
        <v/>
      </c>
      <c r="CD19" s="9" t="str">
        <f aca="false">IF(AY19="","",IF(CB19&lt;AY19,BZ19,CA19))</f>
        <v/>
      </c>
      <c r="CE19" s="9" t="str">
        <f aca="false">IF(AY19="","",(CC19+CD19)/2)</f>
        <v/>
      </c>
    </row>
    <row r="20" customFormat="false" ht="15" hidden="false" customHeight="false" outlineLevel="0" collapsed="false">
      <c r="A20" s="9"/>
      <c r="B20" s="9"/>
      <c r="C20" s="14"/>
      <c r="D20" s="14"/>
      <c r="E20" s="14" t="n">
        <f aca="false">SUMIFS(CB_Tributaires!$C:$C,CB_Tributaires!$B:$B,$A20)</f>
        <v>0</v>
      </c>
      <c r="F20" s="14" t="n">
        <f aca="false">IF(D20="",E20,D20)</f>
        <v>0</v>
      </c>
      <c r="G20" s="9"/>
      <c r="H20" s="14"/>
      <c r="I20" s="14" t="str">
        <f aca="false">IF(A20="","",Inputs!$B$13/((IF(AS20="",Inputs!$B$18,AS20)+Inputs!$B$14)^Inputs!$B$15))</f>
        <v/>
      </c>
      <c r="J20" s="14" t="str">
        <f aca="false">IF(A20="","",0.000000278*IF(G20="",Inputs!$B$17,G20)*F20*I20)</f>
        <v/>
      </c>
      <c r="K20" s="14" t="str">
        <f aca="false">IF(A20="","",SUMIFS($L$4:$L$203,$B$4:$B$203,$A20))</f>
        <v/>
      </c>
      <c r="L20" s="14" t="str">
        <f aca="false">IF(A20="","",(J20+K20)*Inputs!$B$16)</f>
        <v/>
      </c>
      <c r="M20" s="14"/>
      <c r="N20" s="14" t="str">
        <f aca="false">IF(A20="","",IF(M20="",Inputs!$B$7,M20))</f>
        <v/>
      </c>
      <c r="O20" s="9" t="str">
        <f aca="false">IF(A20="","",IF(L20/Inputs!$B$10&lt;=AD20,Inputs!$F$5,IF(L20/Inputs!$B$10&gt;AM20,"OVERSIZE",INDEX(Inputs!$F$5:$F$14,MATCH(L20/Inputs!$B$10,AD20:AM20,1)+1))))</f>
        <v/>
      </c>
      <c r="P20" s="9"/>
      <c r="Q20" s="9" t="str">
        <f aca="false">IF(A20="","",IF(P20="",O20,P20))</f>
        <v/>
      </c>
      <c r="R20" s="14" t="str">
        <f aca="false">IF(OR(Q20="",Q20="OVERSIZE"),"",Q20/1000)</f>
        <v/>
      </c>
      <c r="S20" s="14" t="str">
        <f aca="false">IF(R20="","",(1/Inputs!$B$9)*(PI()*R20^2/4)*((R20/4)^(2/3))*SQRT(N20))</f>
        <v/>
      </c>
      <c r="T20" s="14" t="str">
        <f aca="false">IF(OR(S20="",L20=""),"",L20/(S20*Inputs!$B$10))</f>
        <v/>
      </c>
      <c r="U20" s="14" t="str">
        <f aca="false">IF(OR(R20="",L20=""),"",4*L20/(PI()*R20^2))</f>
        <v/>
      </c>
      <c r="V20" s="14"/>
      <c r="W20" s="14" t="str">
        <f aca="false">IF(A20="","",IF(A20=Inputs!$B$6,Inputs!$B$22,IF(B20="","",IFERROR(INDEX($X$4:$X$203,MATCH(B20,$A$4:$A$203,0))+IF(V20="",Inputs!$B$20,V20),""))))</f>
        <v/>
      </c>
      <c r="X20" s="14" t="str">
        <f aca="false">IF(OR(W20="",N20="",C20=""),"",W20+N20*C20)</f>
        <v/>
      </c>
      <c r="Y20" s="14"/>
      <c r="Z20" s="14"/>
      <c r="AA20" s="14" t="str">
        <f aca="false">IF(OR(Y20="",W20=""),"",Y20-W20)</f>
        <v/>
      </c>
      <c r="AB20" s="14" t="str">
        <f aca="false">IF(OR(Z20="",X20=""),"",Z20-X20)</f>
        <v/>
      </c>
      <c r="AC20" s="19" t="str">
        <f aca="false">IF(A20="","",IF(OR(T20&gt;1,AND(AV20&lt;&gt;"",AV20&lt;Inputs!$B$11),AND(AV20&lt;&gt;"",AV20&gt;Inputs!$B$12),AA20&lt;Inputs!$B$19,AB20&lt;Inputs!$B$19,N20&lt;Inputs!$B$7,N20&gt;Inputs!$B$8),"CHECK","OK"))</f>
        <v/>
      </c>
      <c r="AD20" s="9" t="str">
        <f aca="false">IF(A20="","",(1/Inputs!$B$9)*(PI()*(Inputs!$F$5/1000)^2/4)*((Inputs!$F$5/1000/4)^(2/3))*SQRT(N20))</f>
        <v/>
      </c>
      <c r="AE20" s="9" t="str">
        <f aca="false">IF(A20="","",(1/Inputs!$B$9)*(PI()*(Inputs!$F$6/1000)^2/4)*((Inputs!$F$6/1000/4)^(2/3))*SQRT(N20))</f>
        <v/>
      </c>
      <c r="AF20" s="9" t="str">
        <f aca="false">IF(A20="","",(1/Inputs!$B$9)*(PI()*(Inputs!$F$7/1000)^2/4)*((Inputs!$F$7/1000/4)^(2/3))*SQRT(N20))</f>
        <v/>
      </c>
      <c r="AG20" s="9" t="str">
        <f aca="false">IF(A20="","",(1/Inputs!$B$9)*(PI()*(Inputs!$F$8/1000)^2/4)*((Inputs!$F$8/1000/4)^(2/3))*SQRT(N20))</f>
        <v/>
      </c>
      <c r="AH20" s="9" t="str">
        <f aca="false">IF(A20="","",(1/Inputs!$B$9)*(PI()*(Inputs!$F$9/1000)^2/4)*((Inputs!$F$9/1000/4)^(2/3))*SQRT(N20))</f>
        <v/>
      </c>
      <c r="AI20" s="9" t="str">
        <f aca="false">IF(A20="","",(1/Inputs!$B$9)*(PI()*(Inputs!$F$10/1000)^2/4)*((Inputs!$F$10/1000/4)^(2/3))*SQRT(N20))</f>
        <v/>
      </c>
      <c r="AJ20" s="9" t="str">
        <f aca="false">IF(A20="","",(1/Inputs!$B$9)*(PI()*(Inputs!$F$11/1000)^2/4)*((Inputs!$F$11/1000/4)^(2/3))*SQRT(N20))</f>
        <v/>
      </c>
      <c r="AK20" s="9" t="str">
        <f aca="false">IF(A20="","",(1/Inputs!$B$9)*(PI()*(Inputs!$F$12/1000)^2/4)*((Inputs!$F$12/1000/4)^(2/3))*SQRT(N20))</f>
        <v/>
      </c>
      <c r="AL20" s="9" t="str">
        <f aca="false">IF(A20="","",(1/Inputs!$B$9)*(PI()*(Inputs!$F$13/1000)^2/4)*((Inputs!$F$13/1000/4)^(2/3))*SQRT(N20))</f>
        <v/>
      </c>
      <c r="AM20" s="9" t="str">
        <f aca="false">IF(A20="","",(1/Inputs!$B$9)*(PI()*(Inputs!$F$14/1000)^2/4)*((Inputs!$F$14/1000/4)^(2/3))*SQRT(N20))</f>
        <v/>
      </c>
      <c r="AN20" s="9" t="str">
        <f aca="false">IF(A20="","",COUNTIF($B$4:$B$203,$A20))</f>
        <v/>
      </c>
      <c r="AO20" s="9" t="str">
        <f aca="false">IF(A20="","",IF(AN20=0,"START","CONTINUOUS"))</f>
        <v/>
      </c>
      <c r="AP20" s="13" t="str">
        <f aca="false">IF(A20="","",IF(H20="",Inputs!$B$18,H20))</f>
        <v/>
      </c>
      <c r="AQ20" s="13" t="str">
        <f aca="false">IF(A20="","",IFERROR(maxifs($AS$4:$AS$203,$B$4:$B$203,$A20),""))</f>
        <v/>
      </c>
      <c r="AR20" s="13" t="str">
        <f aca="false">IF(A20="","",IF(OR(C20="",Inputs!$B$23=""),"",C20/(Inputs!$B$23*60)))</f>
        <v/>
      </c>
      <c r="AS20" s="13" t="str">
        <f aca="false">IF(A20="","",IF(AN20=0,AP20+AR20,IF(AQ20="",AP20+AR20,AQ20+AR20)))</f>
        <v/>
      </c>
      <c r="AT20" s="13" t="str">
        <f aca="false">IF(A20="","",U20)</f>
        <v/>
      </c>
      <c r="AU20" s="13" t="str">
        <f aca="false">IF(OR(R20="",N20=""),"",(1/Inputs!$B$9)*((R20/4)^(2/3))*SQRT(N20))</f>
        <v/>
      </c>
      <c r="AV20" s="13" t="str">
        <f aca="false">IF(A20="","",IF(AND(AT20="",AU20="",AX20=""),"",IF(OR(UPPER(TRIM(Inputs!$B$24))="MANNING",UPPER(TRIM(Inputs!$B$24))="M"),AU20,IF(OR(UPPER(TRIM(Inputs!$B$24))="PARTIAL",UPPER(TRIM(Inputs!$B$24))="P"),AX20,IF(OR(UPPER(TRIM(Inputs!$B$24))="MAX",UPPER(TRIM(Inputs!$B$24))="X"),MAX(IF(AT20="",0,AT20),IF(AU20="",0,AU20),IF(AX20="",0,AX20)),AT20)))))</f>
        <v/>
      </c>
      <c r="AW20" s="13" t="str">
        <f aca="false">IF(AY20="","",CE20)</f>
        <v/>
      </c>
      <c r="AX20" s="13" t="str">
        <f aca="false">IF(OR(AY20="",AW20="",R20="",R20&lt;=0,AW20&lt;=0),"",AY20/((R20^2/8)*(2*ACOS(1-2*AW20/R20)-SIN(2*ACOS(1-2*AW20/R20)))))</f>
        <v/>
      </c>
      <c r="AY20" s="9" t="str">
        <f aca="false">IF(OR(L20="",AZ20=""),"",MIN(L20,AZ20))</f>
        <v/>
      </c>
      <c r="AZ20" s="9" t="str">
        <f aca="false">IF(OR(L20="",R20="",N20=""),"",IF(OR(R20="",N20="",(0.94*R20)="",R20&lt;=0,(0.94*R20)&lt;=0),"",(1/Inputs!$B$9)*((R20^2/8)*((2*ACOS(1-2*(0.94*R20)/R20))-SIN((2*ACOS(1-2*(0.94*R20)/R20)))))*((((R20^2/8)*((2*ACOS(1-2*(0.94*R20)/R20))-SIN((2*ACOS(1-2*(0.94*R20)/R20)))))/((R20/2)*((2*ACOS(1-2*(0.94*R20)/R20)))))^(2/3))*SQRT(N20)))</f>
        <v/>
      </c>
      <c r="BA20" s="9" t="str">
        <f aca="false">IF(AY20="","",0.001*R20)</f>
        <v/>
      </c>
      <c r="BB20" s="9" t="str">
        <f aca="false">IF(AY20="","",0.94*R20)</f>
        <v/>
      </c>
      <c r="BC20" s="9" t="str">
        <f aca="false">IF(AY20="","",(BA20+BB20)/2)</f>
        <v/>
      </c>
      <c r="BD20" s="9" t="str">
        <f aca="false">IF(OR(R20="",N20="",BC20="",R20&lt;=0,BC20&lt;=0),"",(1/Inputs!$B$9)*((R20^2/8)*((2*ACOS(1-2*BC20/R20))-SIN((2*ACOS(1-2*BC20/R20)))))*((((R20^2/8)*((2*ACOS(1-2*BC20/R20))-SIN((2*ACOS(1-2*BC20/R20)))))/((R20/2)*((2*ACOS(1-2*BC20/R20)))))^(2/3))*SQRT(N20))</f>
        <v/>
      </c>
      <c r="BE20" s="9" t="str">
        <f aca="false">IF(AY20="","",IF(BD20&lt;AY20,BC20,BA20))</f>
        <v/>
      </c>
      <c r="BF20" s="9" t="str">
        <f aca="false">IF(AY20="","",IF(BD20&lt;AY20,BB20,BC20))</f>
        <v/>
      </c>
      <c r="BG20" s="9" t="str">
        <f aca="false">IF(AY20="","",(BE20+BF20)/2)</f>
        <v/>
      </c>
      <c r="BH20" s="9" t="str">
        <f aca="false">IF(OR(R20="",N20="",BG20="",R20&lt;=0,BG20&lt;=0),"",(1/Inputs!$B$9)*((R20^2/8)*((2*ACOS(1-2*BG20/R20))-SIN((2*ACOS(1-2*BG20/R20)))))*((((R20^2/8)*((2*ACOS(1-2*BG20/R20))-SIN((2*ACOS(1-2*BG20/R20)))))/((R20/2)*((2*ACOS(1-2*BG20/R20)))))^(2/3))*SQRT(N20))</f>
        <v/>
      </c>
      <c r="BI20" s="9" t="str">
        <f aca="false">IF(AY20="","",IF(BH20&lt;AY20,BG20,BE20))</f>
        <v/>
      </c>
      <c r="BJ20" s="9" t="str">
        <f aca="false">IF(AY20="","",IF(BH20&lt;AY20,BF20,BG20))</f>
        <v/>
      </c>
      <c r="BK20" s="9" t="str">
        <f aca="false">IF(AY20="","",(BI20+BJ20)/2)</f>
        <v/>
      </c>
      <c r="BL20" s="9" t="str">
        <f aca="false">IF(OR(R20="",N20="",BK20="",R20&lt;=0,BK20&lt;=0),"",(1/Inputs!$B$9)*((R20^2/8)*((2*ACOS(1-2*BK20/R20))-SIN((2*ACOS(1-2*BK20/R20)))))*((((R20^2/8)*((2*ACOS(1-2*BK20/R20))-SIN((2*ACOS(1-2*BK20/R20)))))/((R20/2)*((2*ACOS(1-2*BK20/R20)))))^(2/3))*SQRT(N20))</f>
        <v/>
      </c>
      <c r="BM20" s="9" t="str">
        <f aca="false">IF(AY20="","",IF(BL20&lt;AY20,BK20,BI20))</f>
        <v/>
      </c>
      <c r="BN20" s="9" t="str">
        <f aca="false">IF(AY20="","",IF(BL20&lt;AY20,BJ20,BK20))</f>
        <v/>
      </c>
      <c r="BO20" s="9" t="str">
        <f aca="false">IF(AY20="","",(BM20+BN20)/2)</f>
        <v/>
      </c>
      <c r="BP20" s="9" t="str">
        <f aca="false">IF(OR(R20="",N20="",BO20="",R20&lt;=0,BO20&lt;=0),"",(1/Inputs!$B$9)*((R20^2/8)*((2*ACOS(1-2*BO20/R20))-SIN((2*ACOS(1-2*BO20/R20)))))*((((R20^2/8)*((2*ACOS(1-2*BO20/R20))-SIN((2*ACOS(1-2*BO20/R20)))))/((R20/2)*((2*ACOS(1-2*BO20/R20)))))^(2/3))*SQRT(N20))</f>
        <v/>
      </c>
      <c r="BQ20" s="9" t="str">
        <f aca="false">IF(AY20="","",IF(BP20&lt;AY20,BO20,BM20))</f>
        <v/>
      </c>
      <c r="BR20" s="9" t="str">
        <f aca="false">IF(AY20="","",IF(BP20&lt;AY20,BN20,BO20))</f>
        <v/>
      </c>
      <c r="BS20" s="9" t="str">
        <f aca="false">IF(AY20="","",(BQ20+BR20)/2)</f>
        <v/>
      </c>
      <c r="BT20" s="9" t="str">
        <f aca="false">IF(OR(R20="",N20="",BS20="",R20&lt;=0,BS20&lt;=0),"",(1/Inputs!$B$9)*((R20^2/8)*((2*ACOS(1-2*BS20/R20))-SIN((2*ACOS(1-2*BS20/R20)))))*((((R20^2/8)*((2*ACOS(1-2*BS20/R20))-SIN((2*ACOS(1-2*BS20/R20)))))/((R20/2)*((2*ACOS(1-2*BS20/R20)))))^(2/3))*SQRT(N20))</f>
        <v/>
      </c>
      <c r="BU20" s="9" t="str">
        <f aca="false">IF(AY20="","",IF(BT20&lt;AY20,BS20,BQ20))</f>
        <v/>
      </c>
      <c r="BV20" s="9" t="str">
        <f aca="false">IF(AY20="","",IF(BT20&lt;AY20,BR20,BS20))</f>
        <v/>
      </c>
      <c r="BW20" s="9" t="str">
        <f aca="false">IF(AY20="","",(BU20+BV20)/2)</f>
        <v/>
      </c>
      <c r="BX20" s="9" t="str">
        <f aca="false">IF(OR(R20="",N20="",BW20="",R20&lt;=0,BW20&lt;=0),"",(1/Inputs!$B$9)*((R20^2/8)*((2*ACOS(1-2*BW20/R20))-SIN((2*ACOS(1-2*BW20/R20)))))*((((R20^2/8)*((2*ACOS(1-2*BW20/R20))-SIN((2*ACOS(1-2*BW20/R20)))))/((R20/2)*((2*ACOS(1-2*BW20/R20)))))^(2/3))*SQRT(N20))</f>
        <v/>
      </c>
      <c r="BY20" s="9" t="str">
        <f aca="false">IF(AY20="","",IF(BX20&lt;AY20,BW20,BU20))</f>
        <v/>
      </c>
      <c r="BZ20" s="9" t="str">
        <f aca="false">IF(AY20="","",IF(BX20&lt;AY20,BV20,BW20))</f>
        <v/>
      </c>
      <c r="CA20" s="9" t="str">
        <f aca="false">IF(AY20="","",(BY20+BZ20)/2)</f>
        <v/>
      </c>
      <c r="CB20" s="9" t="str">
        <f aca="false">IF(OR(R20="",N20="",CA20="",R20&lt;=0,CA20&lt;=0),"",(1/Inputs!$B$9)*((R20^2/8)*((2*ACOS(1-2*CA20/R20))-SIN((2*ACOS(1-2*CA20/R20)))))*((((R20^2/8)*((2*ACOS(1-2*CA20/R20))-SIN((2*ACOS(1-2*CA20/R20)))))/((R20/2)*((2*ACOS(1-2*CA20/R20)))))^(2/3))*SQRT(N20))</f>
        <v/>
      </c>
      <c r="CC20" s="9" t="str">
        <f aca="false">IF(AY20="","",IF(CB20&lt;AY20,CA20,BY20))</f>
        <v/>
      </c>
      <c r="CD20" s="9" t="str">
        <f aca="false">IF(AY20="","",IF(CB20&lt;AY20,BZ20,CA20))</f>
        <v/>
      </c>
      <c r="CE20" s="9" t="str">
        <f aca="false">IF(AY20="","",(CC20+CD20)/2)</f>
        <v/>
      </c>
    </row>
    <row r="21" customFormat="false" ht="15" hidden="false" customHeight="false" outlineLevel="0" collapsed="false">
      <c r="A21" s="9"/>
      <c r="B21" s="9"/>
      <c r="C21" s="14"/>
      <c r="D21" s="14"/>
      <c r="E21" s="14" t="n">
        <f aca="false">SUMIFS(CB_Tributaires!$C:$C,CB_Tributaires!$B:$B,$A21)</f>
        <v>0</v>
      </c>
      <c r="F21" s="14" t="n">
        <f aca="false">IF(D21="",E21,D21)</f>
        <v>0</v>
      </c>
      <c r="G21" s="9"/>
      <c r="H21" s="14"/>
      <c r="I21" s="14" t="str">
        <f aca="false">IF(A21="","",Inputs!$B$13/((IF(AS21="",Inputs!$B$18,AS21)+Inputs!$B$14)^Inputs!$B$15))</f>
        <v/>
      </c>
      <c r="J21" s="14" t="str">
        <f aca="false">IF(A21="","",0.000000278*IF(G21="",Inputs!$B$17,G21)*F21*I21)</f>
        <v/>
      </c>
      <c r="K21" s="14" t="str">
        <f aca="false">IF(A21="","",SUMIFS($L$4:$L$203,$B$4:$B$203,$A21))</f>
        <v/>
      </c>
      <c r="L21" s="14" t="str">
        <f aca="false">IF(A21="","",(J21+K21)*Inputs!$B$16)</f>
        <v/>
      </c>
      <c r="M21" s="14"/>
      <c r="N21" s="14" t="str">
        <f aca="false">IF(A21="","",IF(M21="",Inputs!$B$7,M21))</f>
        <v/>
      </c>
      <c r="O21" s="9" t="str">
        <f aca="false">IF(A21="","",IF(L21/Inputs!$B$10&lt;=AD21,Inputs!$F$5,IF(L21/Inputs!$B$10&gt;AM21,"OVERSIZE",INDEX(Inputs!$F$5:$F$14,MATCH(L21/Inputs!$B$10,AD21:AM21,1)+1))))</f>
        <v/>
      </c>
      <c r="P21" s="9"/>
      <c r="Q21" s="9" t="str">
        <f aca="false">IF(A21="","",IF(P21="",O21,P21))</f>
        <v/>
      </c>
      <c r="R21" s="14" t="str">
        <f aca="false">IF(OR(Q21="",Q21="OVERSIZE"),"",Q21/1000)</f>
        <v/>
      </c>
      <c r="S21" s="14" t="str">
        <f aca="false">IF(R21="","",(1/Inputs!$B$9)*(PI()*R21^2/4)*((R21/4)^(2/3))*SQRT(N21))</f>
        <v/>
      </c>
      <c r="T21" s="14" t="str">
        <f aca="false">IF(OR(S21="",L21=""),"",L21/(S21*Inputs!$B$10))</f>
        <v/>
      </c>
      <c r="U21" s="14" t="str">
        <f aca="false">IF(OR(R21="",L21=""),"",4*L21/(PI()*R21^2))</f>
        <v/>
      </c>
      <c r="V21" s="14"/>
      <c r="W21" s="14" t="str">
        <f aca="false">IF(A21="","",IF(A21=Inputs!$B$6,Inputs!$B$22,IF(B21="","",IFERROR(INDEX($X$4:$X$203,MATCH(B21,$A$4:$A$203,0))+IF(V21="",Inputs!$B$20,V21),""))))</f>
        <v/>
      </c>
      <c r="X21" s="14" t="str">
        <f aca="false">IF(OR(W21="",N21="",C21=""),"",W21+N21*C21)</f>
        <v/>
      </c>
      <c r="Y21" s="14"/>
      <c r="Z21" s="14"/>
      <c r="AA21" s="14" t="str">
        <f aca="false">IF(OR(Y21="",W21=""),"",Y21-W21)</f>
        <v/>
      </c>
      <c r="AB21" s="14" t="str">
        <f aca="false">IF(OR(Z21="",X21=""),"",Z21-X21)</f>
        <v/>
      </c>
      <c r="AC21" s="19" t="str">
        <f aca="false">IF(A21="","",IF(OR(T21&gt;1,AND(AV21&lt;&gt;"",AV21&lt;Inputs!$B$11),AND(AV21&lt;&gt;"",AV21&gt;Inputs!$B$12),AA21&lt;Inputs!$B$19,AB21&lt;Inputs!$B$19,N21&lt;Inputs!$B$7,N21&gt;Inputs!$B$8),"CHECK","OK"))</f>
        <v/>
      </c>
      <c r="AD21" s="9" t="str">
        <f aca="false">IF(A21="","",(1/Inputs!$B$9)*(PI()*(Inputs!$F$5/1000)^2/4)*((Inputs!$F$5/1000/4)^(2/3))*SQRT(N21))</f>
        <v/>
      </c>
      <c r="AE21" s="9" t="str">
        <f aca="false">IF(A21="","",(1/Inputs!$B$9)*(PI()*(Inputs!$F$6/1000)^2/4)*((Inputs!$F$6/1000/4)^(2/3))*SQRT(N21))</f>
        <v/>
      </c>
      <c r="AF21" s="9" t="str">
        <f aca="false">IF(A21="","",(1/Inputs!$B$9)*(PI()*(Inputs!$F$7/1000)^2/4)*((Inputs!$F$7/1000/4)^(2/3))*SQRT(N21))</f>
        <v/>
      </c>
      <c r="AG21" s="9" t="str">
        <f aca="false">IF(A21="","",(1/Inputs!$B$9)*(PI()*(Inputs!$F$8/1000)^2/4)*((Inputs!$F$8/1000/4)^(2/3))*SQRT(N21))</f>
        <v/>
      </c>
      <c r="AH21" s="9" t="str">
        <f aca="false">IF(A21="","",(1/Inputs!$B$9)*(PI()*(Inputs!$F$9/1000)^2/4)*((Inputs!$F$9/1000/4)^(2/3))*SQRT(N21))</f>
        <v/>
      </c>
      <c r="AI21" s="9" t="str">
        <f aca="false">IF(A21="","",(1/Inputs!$B$9)*(PI()*(Inputs!$F$10/1000)^2/4)*((Inputs!$F$10/1000/4)^(2/3))*SQRT(N21))</f>
        <v/>
      </c>
      <c r="AJ21" s="9" t="str">
        <f aca="false">IF(A21="","",(1/Inputs!$B$9)*(PI()*(Inputs!$F$11/1000)^2/4)*((Inputs!$F$11/1000/4)^(2/3))*SQRT(N21))</f>
        <v/>
      </c>
      <c r="AK21" s="9" t="str">
        <f aca="false">IF(A21="","",(1/Inputs!$B$9)*(PI()*(Inputs!$F$12/1000)^2/4)*((Inputs!$F$12/1000/4)^(2/3))*SQRT(N21))</f>
        <v/>
      </c>
      <c r="AL21" s="9" t="str">
        <f aca="false">IF(A21="","",(1/Inputs!$B$9)*(PI()*(Inputs!$F$13/1000)^2/4)*((Inputs!$F$13/1000/4)^(2/3))*SQRT(N21))</f>
        <v/>
      </c>
      <c r="AM21" s="9" t="str">
        <f aca="false">IF(A21="","",(1/Inputs!$B$9)*(PI()*(Inputs!$F$14/1000)^2/4)*((Inputs!$F$14/1000/4)^(2/3))*SQRT(N21))</f>
        <v/>
      </c>
      <c r="AN21" s="9" t="str">
        <f aca="false">IF(A21="","",COUNTIF($B$4:$B$203,$A21))</f>
        <v/>
      </c>
      <c r="AO21" s="9" t="str">
        <f aca="false">IF(A21="","",IF(AN21=0,"START","CONTINUOUS"))</f>
        <v/>
      </c>
      <c r="AP21" s="13" t="str">
        <f aca="false">IF(A21="","",IF(H21="",Inputs!$B$18,H21))</f>
        <v/>
      </c>
      <c r="AQ21" s="13" t="str">
        <f aca="false">IF(A21="","",IFERROR(maxifs($AS$4:$AS$203,$B$4:$B$203,$A21),""))</f>
        <v/>
      </c>
      <c r="AR21" s="13" t="str">
        <f aca="false">IF(A21="","",IF(OR(C21="",Inputs!$B$23=""),"",C21/(Inputs!$B$23*60)))</f>
        <v/>
      </c>
      <c r="AS21" s="13" t="str">
        <f aca="false">IF(A21="","",IF(AN21=0,AP21+AR21,IF(AQ21="",AP21+AR21,AQ21+AR21)))</f>
        <v/>
      </c>
      <c r="AT21" s="13" t="str">
        <f aca="false">IF(A21="","",U21)</f>
        <v/>
      </c>
      <c r="AU21" s="13" t="str">
        <f aca="false">IF(OR(R21="",N21=""),"",(1/Inputs!$B$9)*((R21/4)^(2/3))*SQRT(N21))</f>
        <v/>
      </c>
      <c r="AV21" s="13" t="str">
        <f aca="false">IF(A21="","",IF(AND(AT21="",AU21="",AX21=""),"",IF(OR(UPPER(TRIM(Inputs!$B$24))="MANNING",UPPER(TRIM(Inputs!$B$24))="M"),AU21,IF(OR(UPPER(TRIM(Inputs!$B$24))="PARTIAL",UPPER(TRIM(Inputs!$B$24))="P"),AX21,IF(OR(UPPER(TRIM(Inputs!$B$24))="MAX",UPPER(TRIM(Inputs!$B$24))="X"),MAX(IF(AT21="",0,AT21),IF(AU21="",0,AU21),IF(AX21="",0,AX21)),AT21)))))</f>
        <v/>
      </c>
      <c r="AW21" s="13" t="str">
        <f aca="false">IF(AY21="","",CE21)</f>
        <v/>
      </c>
      <c r="AX21" s="13" t="str">
        <f aca="false">IF(OR(AY21="",AW21="",R21="",R21&lt;=0,AW21&lt;=0),"",AY21/((R21^2/8)*(2*ACOS(1-2*AW21/R21)-SIN(2*ACOS(1-2*AW21/R21)))))</f>
        <v/>
      </c>
      <c r="AY21" s="9" t="str">
        <f aca="false">IF(OR(L21="",AZ21=""),"",MIN(L21,AZ21))</f>
        <v/>
      </c>
      <c r="AZ21" s="9" t="str">
        <f aca="false">IF(OR(L21="",R21="",N21=""),"",IF(OR(R21="",N21="",(0.94*R21)="",R21&lt;=0,(0.94*R21)&lt;=0),"",(1/Inputs!$B$9)*((R21^2/8)*((2*ACOS(1-2*(0.94*R21)/R21))-SIN((2*ACOS(1-2*(0.94*R21)/R21)))))*((((R21^2/8)*((2*ACOS(1-2*(0.94*R21)/R21))-SIN((2*ACOS(1-2*(0.94*R21)/R21)))))/((R21/2)*((2*ACOS(1-2*(0.94*R21)/R21)))))^(2/3))*SQRT(N21)))</f>
        <v/>
      </c>
      <c r="BA21" s="9" t="str">
        <f aca="false">IF(AY21="","",0.001*R21)</f>
        <v/>
      </c>
      <c r="BB21" s="9" t="str">
        <f aca="false">IF(AY21="","",0.94*R21)</f>
        <v/>
      </c>
      <c r="BC21" s="9" t="str">
        <f aca="false">IF(AY21="","",(BA21+BB21)/2)</f>
        <v/>
      </c>
      <c r="BD21" s="9" t="str">
        <f aca="false">IF(OR(R21="",N21="",BC21="",R21&lt;=0,BC21&lt;=0),"",(1/Inputs!$B$9)*((R21^2/8)*((2*ACOS(1-2*BC21/R21))-SIN((2*ACOS(1-2*BC21/R21)))))*((((R21^2/8)*((2*ACOS(1-2*BC21/R21))-SIN((2*ACOS(1-2*BC21/R21)))))/((R21/2)*((2*ACOS(1-2*BC21/R21)))))^(2/3))*SQRT(N21))</f>
        <v/>
      </c>
      <c r="BE21" s="9" t="str">
        <f aca="false">IF(AY21="","",IF(BD21&lt;AY21,BC21,BA21))</f>
        <v/>
      </c>
      <c r="BF21" s="9" t="str">
        <f aca="false">IF(AY21="","",IF(BD21&lt;AY21,BB21,BC21))</f>
        <v/>
      </c>
      <c r="BG21" s="9" t="str">
        <f aca="false">IF(AY21="","",(BE21+BF21)/2)</f>
        <v/>
      </c>
      <c r="BH21" s="9" t="str">
        <f aca="false">IF(OR(R21="",N21="",BG21="",R21&lt;=0,BG21&lt;=0),"",(1/Inputs!$B$9)*((R21^2/8)*((2*ACOS(1-2*BG21/R21))-SIN((2*ACOS(1-2*BG21/R21)))))*((((R21^2/8)*((2*ACOS(1-2*BG21/R21))-SIN((2*ACOS(1-2*BG21/R21)))))/((R21/2)*((2*ACOS(1-2*BG21/R21)))))^(2/3))*SQRT(N21))</f>
        <v/>
      </c>
      <c r="BI21" s="9" t="str">
        <f aca="false">IF(AY21="","",IF(BH21&lt;AY21,BG21,BE21))</f>
        <v/>
      </c>
      <c r="BJ21" s="9" t="str">
        <f aca="false">IF(AY21="","",IF(BH21&lt;AY21,BF21,BG21))</f>
        <v/>
      </c>
      <c r="BK21" s="9" t="str">
        <f aca="false">IF(AY21="","",(BI21+BJ21)/2)</f>
        <v/>
      </c>
      <c r="BL21" s="9" t="str">
        <f aca="false">IF(OR(R21="",N21="",BK21="",R21&lt;=0,BK21&lt;=0),"",(1/Inputs!$B$9)*((R21^2/8)*((2*ACOS(1-2*BK21/R21))-SIN((2*ACOS(1-2*BK21/R21)))))*((((R21^2/8)*((2*ACOS(1-2*BK21/R21))-SIN((2*ACOS(1-2*BK21/R21)))))/((R21/2)*((2*ACOS(1-2*BK21/R21)))))^(2/3))*SQRT(N21))</f>
        <v/>
      </c>
      <c r="BM21" s="9" t="str">
        <f aca="false">IF(AY21="","",IF(BL21&lt;AY21,BK21,BI21))</f>
        <v/>
      </c>
      <c r="BN21" s="9" t="str">
        <f aca="false">IF(AY21="","",IF(BL21&lt;AY21,BJ21,BK21))</f>
        <v/>
      </c>
      <c r="BO21" s="9" t="str">
        <f aca="false">IF(AY21="","",(BM21+BN21)/2)</f>
        <v/>
      </c>
      <c r="BP21" s="9" t="str">
        <f aca="false">IF(OR(R21="",N21="",BO21="",R21&lt;=0,BO21&lt;=0),"",(1/Inputs!$B$9)*((R21^2/8)*((2*ACOS(1-2*BO21/R21))-SIN((2*ACOS(1-2*BO21/R21)))))*((((R21^2/8)*((2*ACOS(1-2*BO21/R21))-SIN((2*ACOS(1-2*BO21/R21)))))/((R21/2)*((2*ACOS(1-2*BO21/R21)))))^(2/3))*SQRT(N21))</f>
        <v/>
      </c>
      <c r="BQ21" s="9" t="str">
        <f aca="false">IF(AY21="","",IF(BP21&lt;AY21,BO21,BM21))</f>
        <v/>
      </c>
      <c r="BR21" s="9" t="str">
        <f aca="false">IF(AY21="","",IF(BP21&lt;AY21,BN21,BO21))</f>
        <v/>
      </c>
      <c r="BS21" s="9" t="str">
        <f aca="false">IF(AY21="","",(BQ21+BR21)/2)</f>
        <v/>
      </c>
      <c r="BT21" s="9" t="str">
        <f aca="false">IF(OR(R21="",N21="",BS21="",R21&lt;=0,BS21&lt;=0),"",(1/Inputs!$B$9)*((R21^2/8)*((2*ACOS(1-2*BS21/R21))-SIN((2*ACOS(1-2*BS21/R21)))))*((((R21^2/8)*((2*ACOS(1-2*BS21/R21))-SIN((2*ACOS(1-2*BS21/R21)))))/((R21/2)*((2*ACOS(1-2*BS21/R21)))))^(2/3))*SQRT(N21))</f>
        <v/>
      </c>
      <c r="BU21" s="9" t="str">
        <f aca="false">IF(AY21="","",IF(BT21&lt;AY21,BS21,BQ21))</f>
        <v/>
      </c>
      <c r="BV21" s="9" t="str">
        <f aca="false">IF(AY21="","",IF(BT21&lt;AY21,BR21,BS21))</f>
        <v/>
      </c>
      <c r="BW21" s="9" t="str">
        <f aca="false">IF(AY21="","",(BU21+BV21)/2)</f>
        <v/>
      </c>
      <c r="BX21" s="9" t="str">
        <f aca="false">IF(OR(R21="",N21="",BW21="",R21&lt;=0,BW21&lt;=0),"",(1/Inputs!$B$9)*((R21^2/8)*((2*ACOS(1-2*BW21/R21))-SIN((2*ACOS(1-2*BW21/R21)))))*((((R21^2/8)*((2*ACOS(1-2*BW21/R21))-SIN((2*ACOS(1-2*BW21/R21)))))/((R21/2)*((2*ACOS(1-2*BW21/R21)))))^(2/3))*SQRT(N21))</f>
        <v/>
      </c>
      <c r="BY21" s="9" t="str">
        <f aca="false">IF(AY21="","",IF(BX21&lt;AY21,BW21,BU21))</f>
        <v/>
      </c>
      <c r="BZ21" s="9" t="str">
        <f aca="false">IF(AY21="","",IF(BX21&lt;AY21,BV21,BW21))</f>
        <v/>
      </c>
      <c r="CA21" s="9" t="str">
        <f aca="false">IF(AY21="","",(BY21+BZ21)/2)</f>
        <v/>
      </c>
      <c r="CB21" s="9" t="str">
        <f aca="false">IF(OR(R21="",N21="",CA21="",R21&lt;=0,CA21&lt;=0),"",(1/Inputs!$B$9)*((R21^2/8)*((2*ACOS(1-2*CA21/R21))-SIN((2*ACOS(1-2*CA21/R21)))))*((((R21^2/8)*((2*ACOS(1-2*CA21/R21))-SIN((2*ACOS(1-2*CA21/R21)))))/((R21/2)*((2*ACOS(1-2*CA21/R21)))))^(2/3))*SQRT(N21))</f>
        <v/>
      </c>
      <c r="CC21" s="9" t="str">
        <f aca="false">IF(AY21="","",IF(CB21&lt;AY21,CA21,BY21))</f>
        <v/>
      </c>
      <c r="CD21" s="9" t="str">
        <f aca="false">IF(AY21="","",IF(CB21&lt;AY21,BZ21,CA21))</f>
        <v/>
      </c>
      <c r="CE21" s="9" t="str">
        <f aca="false">IF(AY21="","",(CC21+CD21)/2)</f>
        <v/>
      </c>
    </row>
    <row r="22" customFormat="false" ht="15" hidden="false" customHeight="false" outlineLevel="0" collapsed="false">
      <c r="A22" s="9"/>
      <c r="B22" s="9"/>
      <c r="C22" s="14"/>
      <c r="D22" s="14"/>
      <c r="E22" s="14" t="n">
        <f aca="false">SUMIFS(CB_Tributaires!$C:$C,CB_Tributaires!$B:$B,$A22)</f>
        <v>0</v>
      </c>
      <c r="F22" s="14" t="n">
        <f aca="false">IF(D22="",E22,D22)</f>
        <v>0</v>
      </c>
      <c r="G22" s="9"/>
      <c r="H22" s="14"/>
      <c r="I22" s="14" t="str">
        <f aca="false">IF(A22="","",Inputs!$B$13/((IF(AS22="",Inputs!$B$18,AS22)+Inputs!$B$14)^Inputs!$B$15))</f>
        <v/>
      </c>
      <c r="J22" s="14" t="str">
        <f aca="false">IF(A22="","",0.000000278*IF(G22="",Inputs!$B$17,G22)*F22*I22)</f>
        <v/>
      </c>
      <c r="K22" s="14" t="str">
        <f aca="false">IF(A22="","",SUMIFS($L$4:$L$203,$B$4:$B$203,$A22))</f>
        <v/>
      </c>
      <c r="L22" s="14" t="str">
        <f aca="false">IF(A22="","",(J22+K22)*Inputs!$B$16)</f>
        <v/>
      </c>
      <c r="M22" s="14"/>
      <c r="N22" s="14" t="str">
        <f aca="false">IF(A22="","",IF(M22="",Inputs!$B$7,M22))</f>
        <v/>
      </c>
      <c r="O22" s="9" t="str">
        <f aca="false">IF(A22="","",IF(L22/Inputs!$B$10&lt;=AD22,Inputs!$F$5,IF(L22/Inputs!$B$10&gt;AM22,"OVERSIZE",INDEX(Inputs!$F$5:$F$14,MATCH(L22/Inputs!$B$10,AD22:AM22,1)+1))))</f>
        <v/>
      </c>
      <c r="P22" s="9"/>
      <c r="Q22" s="9" t="str">
        <f aca="false">IF(A22="","",IF(P22="",O22,P22))</f>
        <v/>
      </c>
      <c r="R22" s="14" t="str">
        <f aca="false">IF(OR(Q22="",Q22="OVERSIZE"),"",Q22/1000)</f>
        <v/>
      </c>
      <c r="S22" s="14" t="str">
        <f aca="false">IF(R22="","",(1/Inputs!$B$9)*(PI()*R22^2/4)*((R22/4)^(2/3))*SQRT(N22))</f>
        <v/>
      </c>
      <c r="T22" s="14" t="str">
        <f aca="false">IF(OR(S22="",L22=""),"",L22/(S22*Inputs!$B$10))</f>
        <v/>
      </c>
      <c r="U22" s="14" t="str">
        <f aca="false">IF(OR(R22="",L22=""),"",4*L22/(PI()*R22^2))</f>
        <v/>
      </c>
      <c r="V22" s="14"/>
      <c r="W22" s="14" t="str">
        <f aca="false">IF(A22="","",IF(A22=Inputs!$B$6,Inputs!$B$22,IF(B22="","",IFERROR(INDEX($X$4:$X$203,MATCH(B22,$A$4:$A$203,0))+IF(V22="",Inputs!$B$20,V22),""))))</f>
        <v/>
      </c>
      <c r="X22" s="14" t="str">
        <f aca="false">IF(OR(W22="",N22="",C22=""),"",W22+N22*C22)</f>
        <v/>
      </c>
      <c r="Y22" s="14"/>
      <c r="Z22" s="14"/>
      <c r="AA22" s="14" t="str">
        <f aca="false">IF(OR(Y22="",W22=""),"",Y22-W22)</f>
        <v/>
      </c>
      <c r="AB22" s="14" t="str">
        <f aca="false">IF(OR(Z22="",X22=""),"",Z22-X22)</f>
        <v/>
      </c>
      <c r="AC22" s="19" t="str">
        <f aca="false">IF(A22="","",IF(OR(T22&gt;1,AND(AV22&lt;&gt;"",AV22&lt;Inputs!$B$11),AND(AV22&lt;&gt;"",AV22&gt;Inputs!$B$12),AA22&lt;Inputs!$B$19,AB22&lt;Inputs!$B$19,N22&lt;Inputs!$B$7,N22&gt;Inputs!$B$8),"CHECK","OK"))</f>
        <v/>
      </c>
      <c r="AD22" s="9" t="str">
        <f aca="false">IF(A22="","",(1/Inputs!$B$9)*(PI()*(Inputs!$F$5/1000)^2/4)*((Inputs!$F$5/1000/4)^(2/3))*SQRT(N22))</f>
        <v/>
      </c>
      <c r="AE22" s="9" t="str">
        <f aca="false">IF(A22="","",(1/Inputs!$B$9)*(PI()*(Inputs!$F$6/1000)^2/4)*((Inputs!$F$6/1000/4)^(2/3))*SQRT(N22))</f>
        <v/>
      </c>
      <c r="AF22" s="9" t="str">
        <f aca="false">IF(A22="","",(1/Inputs!$B$9)*(PI()*(Inputs!$F$7/1000)^2/4)*((Inputs!$F$7/1000/4)^(2/3))*SQRT(N22))</f>
        <v/>
      </c>
      <c r="AG22" s="9" t="str">
        <f aca="false">IF(A22="","",(1/Inputs!$B$9)*(PI()*(Inputs!$F$8/1000)^2/4)*((Inputs!$F$8/1000/4)^(2/3))*SQRT(N22))</f>
        <v/>
      </c>
      <c r="AH22" s="9" t="str">
        <f aca="false">IF(A22="","",(1/Inputs!$B$9)*(PI()*(Inputs!$F$9/1000)^2/4)*((Inputs!$F$9/1000/4)^(2/3))*SQRT(N22))</f>
        <v/>
      </c>
      <c r="AI22" s="9" t="str">
        <f aca="false">IF(A22="","",(1/Inputs!$B$9)*(PI()*(Inputs!$F$10/1000)^2/4)*((Inputs!$F$10/1000/4)^(2/3))*SQRT(N22))</f>
        <v/>
      </c>
      <c r="AJ22" s="9" t="str">
        <f aca="false">IF(A22="","",(1/Inputs!$B$9)*(PI()*(Inputs!$F$11/1000)^2/4)*((Inputs!$F$11/1000/4)^(2/3))*SQRT(N22))</f>
        <v/>
      </c>
      <c r="AK22" s="9" t="str">
        <f aca="false">IF(A22="","",(1/Inputs!$B$9)*(PI()*(Inputs!$F$12/1000)^2/4)*((Inputs!$F$12/1000/4)^(2/3))*SQRT(N22))</f>
        <v/>
      </c>
      <c r="AL22" s="9" t="str">
        <f aca="false">IF(A22="","",(1/Inputs!$B$9)*(PI()*(Inputs!$F$13/1000)^2/4)*((Inputs!$F$13/1000/4)^(2/3))*SQRT(N22))</f>
        <v/>
      </c>
      <c r="AM22" s="9" t="str">
        <f aca="false">IF(A22="","",(1/Inputs!$B$9)*(PI()*(Inputs!$F$14/1000)^2/4)*((Inputs!$F$14/1000/4)^(2/3))*SQRT(N22))</f>
        <v/>
      </c>
      <c r="AN22" s="9" t="str">
        <f aca="false">IF(A22="","",COUNTIF($B$4:$B$203,$A22))</f>
        <v/>
      </c>
      <c r="AO22" s="9" t="str">
        <f aca="false">IF(A22="","",IF(AN22=0,"START","CONTINUOUS"))</f>
        <v/>
      </c>
      <c r="AP22" s="13" t="str">
        <f aca="false">IF(A22="","",IF(H22="",Inputs!$B$18,H22))</f>
        <v/>
      </c>
      <c r="AQ22" s="13" t="str">
        <f aca="false">IF(A22="","",IFERROR(maxifs($AS$4:$AS$203,$B$4:$B$203,$A22),""))</f>
        <v/>
      </c>
      <c r="AR22" s="13" t="str">
        <f aca="false">IF(A22="","",IF(OR(C22="",Inputs!$B$23=""),"",C22/(Inputs!$B$23*60)))</f>
        <v/>
      </c>
      <c r="AS22" s="13" t="str">
        <f aca="false">IF(A22="","",IF(AN22=0,AP22+AR22,IF(AQ22="",AP22+AR22,AQ22+AR22)))</f>
        <v/>
      </c>
      <c r="AT22" s="13" t="str">
        <f aca="false">IF(A22="","",U22)</f>
        <v/>
      </c>
      <c r="AU22" s="13" t="str">
        <f aca="false">IF(OR(R22="",N22=""),"",(1/Inputs!$B$9)*((R22/4)^(2/3))*SQRT(N22))</f>
        <v/>
      </c>
      <c r="AV22" s="13" t="str">
        <f aca="false">IF(A22="","",IF(AND(AT22="",AU22="",AX22=""),"",IF(OR(UPPER(TRIM(Inputs!$B$24))="MANNING",UPPER(TRIM(Inputs!$B$24))="M"),AU22,IF(OR(UPPER(TRIM(Inputs!$B$24))="PARTIAL",UPPER(TRIM(Inputs!$B$24))="P"),AX22,IF(OR(UPPER(TRIM(Inputs!$B$24))="MAX",UPPER(TRIM(Inputs!$B$24))="X"),MAX(IF(AT22="",0,AT22),IF(AU22="",0,AU22),IF(AX22="",0,AX22)),AT22)))))</f>
        <v/>
      </c>
      <c r="AW22" s="13" t="str">
        <f aca="false">IF(AY22="","",CE22)</f>
        <v/>
      </c>
      <c r="AX22" s="13" t="str">
        <f aca="false">IF(OR(AY22="",AW22="",R22="",R22&lt;=0,AW22&lt;=0),"",AY22/((R22^2/8)*(2*ACOS(1-2*AW22/R22)-SIN(2*ACOS(1-2*AW22/R22)))))</f>
        <v/>
      </c>
      <c r="AY22" s="9" t="str">
        <f aca="false">IF(OR(L22="",AZ22=""),"",MIN(L22,AZ22))</f>
        <v/>
      </c>
      <c r="AZ22" s="9" t="str">
        <f aca="false">IF(OR(L22="",R22="",N22=""),"",IF(OR(R22="",N22="",(0.94*R22)="",R22&lt;=0,(0.94*R22)&lt;=0),"",(1/Inputs!$B$9)*((R22^2/8)*((2*ACOS(1-2*(0.94*R22)/R22))-SIN((2*ACOS(1-2*(0.94*R22)/R22)))))*((((R22^2/8)*((2*ACOS(1-2*(0.94*R22)/R22))-SIN((2*ACOS(1-2*(0.94*R22)/R22)))))/((R22/2)*((2*ACOS(1-2*(0.94*R22)/R22)))))^(2/3))*SQRT(N22)))</f>
        <v/>
      </c>
      <c r="BA22" s="9" t="str">
        <f aca="false">IF(AY22="","",0.001*R22)</f>
        <v/>
      </c>
      <c r="BB22" s="9" t="str">
        <f aca="false">IF(AY22="","",0.94*R22)</f>
        <v/>
      </c>
      <c r="BC22" s="9" t="str">
        <f aca="false">IF(AY22="","",(BA22+BB22)/2)</f>
        <v/>
      </c>
      <c r="BD22" s="9" t="str">
        <f aca="false">IF(OR(R22="",N22="",BC22="",R22&lt;=0,BC22&lt;=0),"",(1/Inputs!$B$9)*((R22^2/8)*((2*ACOS(1-2*BC22/R22))-SIN((2*ACOS(1-2*BC22/R22)))))*((((R22^2/8)*((2*ACOS(1-2*BC22/R22))-SIN((2*ACOS(1-2*BC22/R22)))))/((R22/2)*((2*ACOS(1-2*BC22/R22)))))^(2/3))*SQRT(N22))</f>
        <v/>
      </c>
      <c r="BE22" s="9" t="str">
        <f aca="false">IF(AY22="","",IF(BD22&lt;AY22,BC22,BA22))</f>
        <v/>
      </c>
      <c r="BF22" s="9" t="str">
        <f aca="false">IF(AY22="","",IF(BD22&lt;AY22,BB22,BC22))</f>
        <v/>
      </c>
      <c r="BG22" s="9" t="str">
        <f aca="false">IF(AY22="","",(BE22+BF22)/2)</f>
        <v/>
      </c>
      <c r="BH22" s="9" t="str">
        <f aca="false">IF(OR(R22="",N22="",BG22="",R22&lt;=0,BG22&lt;=0),"",(1/Inputs!$B$9)*((R22^2/8)*((2*ACOS(1-2*BG22/R22))-SIN((2*ACOS(1-2*BG22/R22)))))*((((R22^2/8)*((2*ACOS(1-2*BG22/R22))-SIN((2*ACOS(1-2*BG22/R22)))))/((R22/2)*((2*ACOS(1-2*BG22/R22)))))^(2/3))*SQRT(N22))</f>
        <v/>
      </c>
      <c r="BI22" s="9" t="str">
        <f aca="false">IF(AY22="","",IF(BH22&lt;AY22,BG22,BE22))</f>
        <v/>
      </c>
      <c r="BJ22" s="9" t="str">
        <f aca="false">IF(AY22="","",IF(BH22&lt;AY22,BF22,BG22))</f>
        <v/>
      </c>
      <c r="BK22" s="9" t="str">
        <f aca="false">IF(AY22="","",(BI22+BJ22)/2)</f>
        <v/>
      </c>
      <c r="BL22" s="9" t="str">
        <f aca="false">IF(OR(R22="",N22="",BK22="",R22&lt;=0,BK22&lt;=0),"",(1/Inputs!$B$9)*((R22^2/8)*((2*ACOS(1-2*BK22/R22))-SIN((2*ACOS(1-2*BK22/R22)))))*((((R22^2/8)*((2*ACOS(1-2*BK22/R22))-SIN((2*ACOS(1-2*BK22/R22)))))/((R22/2)*((2*ACOS(1-2*BK22/R22)))))^(2/3))*SQRT(N22))</f>
        <v/>
      </c>
      <c r="BM22" s="9" t="str">
        <f aca="false">IF(AY22="","",IF(BL22&lt;AY22,BK22,BI22))</f>
        <v/>
      </c>
      <c r="BN22" s="9" t="str">
        <f aca="false">IF(AY22="","",IF(BL22&lt;AY22,BJ22,BK22))</f>
        <v/>
      </c>
      <c r="BO22" s="9" t="str">
        <f aca="false">IF(AY22="","",(BM22+BN22)/2)</f>
        <v/>
      </c>
      <c r="BP22" s="9" t="str">
        <f aca="false">IF(OR(R22="",N22="",BO22="",R22&lt;=0,BO22&lt;=0),"",(1/Inputs!$B$9)*((R22^2/8)*((2*ACOS(1-2*BO22/R22))-SIN((2*ACOS(1-2*BO22/R22)))))*((((R22^2/8)*((2*ACOS(1-2*BO22/R22))-SIN((2*ACOS(1-2*BO22/R22)))))/((R22/2)*((2*ACOS(1-2*BO22/R22)))))^(2/3))*SQRT(N22))</f>
        <v/>
      </c>
      <c r="BQ22" s="9" t="str">
        <f aca="false">IF(AY22="","",IF(BP22&lt;AY22,BO22,BM22))</f>
        <v/>
      </c>
      <c r="BR22" s="9" t="str">
        <f aca="false">IF(AY22="","",IF(BP22&lt;AY22,BN22,BO22))</f>
        <v/>
      </c>
      <c r="BS22" s="9" t="str">
        <f aca="false">IF(AY22="","",(BQ22+BR22)/2)</f>
        <v/>
      </c>
      <c r="BT22" s="9" t="str">
        <f aca="false">IF(OR(R22="",N22="",BS22="",R22&lt;=0,BS22&lt;=0),"",(1/Inputs!$B$9)*((R22^2/8)*((2*ACOS(1-2*BS22/R22))-SIN((2*ACOS(1-2*BS22/R22)))))*((((R22^2/8)*((2*ACOS(1-2*BS22/R22))-SIN((2*ACOS(1-2*BS22/R22)))))/((R22/2)*((2*ACOS(1-2*BS22/R22)))))^(2/3))*SQRT(N22))</f>
        <v/>
      </c>
      <c r="BU22" s="9" t="str">
        <f aca="false">IF(AY22="","",IF(BT22&lt;AY22,BS22,BQ22))</f>
        <v/>
      </c>
      <c r="BV22" s="9" t="str">
        <f aca="false">IF(AY22="","",IF(BT22&lt;AY22,BR22,BS22))</f>
        <v/>
      </c>
      <c r="BW22" s="9" t="str">
        <f aca="false">IF(AY22="","",(BU22+BV22)/2)</f>
        <v/>
      </c>
      <c r="BX22" s="9" t="str">
        <f aca="false">IF(OR(R22="",N22="",BW22="",R22&lt;=0,BW22&lt;=0),"",(1/Inputs!$B$9)*((R22^2/8)*((2*ACOS(1-2*BW22/R22))-SIN((2*ACOS(1-2*BW22/R22)))))*((((R22^2/8)*((2*ACOS(1-2*BW22/R22))-SIN((2*ACOS(1-2*BW22/R22)))))/((R22/2)*((2*ACOS(1-2*BW22/R22)))))^(2/3))*SQRT(N22))</f>
        <v/>
      </c>
      <c r="BY22" s="9" t="str">
        <f aca="false">IF(AY22="","",IF(BX22&lt;AY22,BW22,BU22))</f>
        <v/>
      </c>
      <c r="BZ22" s="9" t="str">
        <f aca="false">IF(AY22="","",IF(BX22&lt;AY22,BV22,BW22))</f>
        <v/>
      </c>
      <c r="CA22" s="9" t="str">
        <f aca="false">IF(AY22="","",(BY22+BZ22)/2)</f>
        <v/>
      </c>
      <c r="CB22" s="9" t="str">
        <f aca="false">IF(OR(R22="",N22="",CA22="",R22&lt;=0,CA22&lt;=0),"",(1/Inputs!$B$9)*((R22^2/8)*((2*ACOS(1-2*CA22/R22))-SIN((2*ACOS(1-2*CA22/R22)))))*((((R22^2/8)*((2*ACOS(1-2*CA22/R22))-SIN((2*ACOS(1-2*CA22/R22)))))/((R22/2)*((2*ACOS(1-2*CA22/R22)))))^(2/3))*SQRT(N22))</f>
        <v/>
      </c>
      <c r="CC22" s="9" t="str">
        <f aca="false">IF(AY22="","",IF(CB22&lt;AY22,CA22,BY22))</f>
        <v/>
      </c>
      <c r="CD22" s="9" t="str">
        <f aca="false">IF(AY22="","",IF(CB22&lt;AY22,BZ22,CA22))</f>
        <v/>
      </c>
      <c r="CE22" s="9" t="str">
        <f aca="false">IF(AY22="","",(CC22+CD22)/2)</f>
        <v/>
      </c>
    </row>
    <row r="23" customFormat="false" ht="15" hidden="false" customHeight="false" outlineLevel="0" collapsed="false">
      <c r="A23" s="9"/>
      <c r="B23" s="9"/>
      <c r="C23" s="14"/>
      <c r="D23" s="14"/>
      <c r="E23" s="14" t="n">
        <f aca="false">SUMIFS(CB_Tributaires!$C:$C,CB_Tributaires!$B:$B,$A23)</f>
        <v>0</v>
      </c>
      <c r="F23" s="14" t="n">
        <f aca="false">IF(D23="",E23,D23)</f>
        <v>0</v>
      </c>
      <c r="G23" s="9"/>
      <c r="H23" s="14"/>
      <c r="I23" s="14" t="str">
        <f aca="false">IF(A23="","",Inputs!$B$13/((IF(AS23="",Inputs!$B$18,AS23)+Inputs!$B$14)^Inputs!$B$15))</f>
        <v/>
      </c>
      <c r="J23" s="14" t="str">
        <f aca="false">IF(A23="","",0.000000278*IF(G23="",Inputs!$B$17,G23)*F23*I23)</f>
        <v/>
      </c>
      <c r="K23" s="14" t="str">
        <f aca="false">IF(A23="","",SUMIFS($L$4:$L$203,$B$4:$B$203,$A23))</f>
        <v/>
      </c>
      <c r="L23" s="14" t="str">
        <f aca="false">IF(A23="","",(J23+K23)*Inputs!$B$16)</f>
        <v/>
      </c>
      <c r="M23" s="14"/>
      <c r="N23" s="14" t="str">
        <f aca="false">IF(A23="","",IF(M23="",Inputs!$B$7,M23))</f>
        <v/>
      </c>
      <c r="O23" s="9" t="str">
        <f aca="false">IF(A23="","",IF(L23/Inputs!$B$10&lt;=AD23,Inputs!$F$5,IF(L23/Inputs!$B$10&gt;AM23,"OVERSIZE",INDEX(Inputs!$F$5:$F$14,MATCH(L23/Inputs!$B$10,AD23:AM23,1)+1))))</f>
        <v/>
      </c>
      <c r="P23" s="9"/>
      <c r="Q23" s="9" t="str">
        <f aca="false">IF(A23="","",IF(P23="",O23,P23))</f>
        <v/>
      </c>
      <c r="R23" s="14" t="str">
        <f aca="false">IF(OR(Q23="",Q23="OVERSIZE"),"",Q23/1000)</f>
        <v/>
      </c>
      <c r="S23" s="14" t="str">
        <f aca="false">IF(R23="","",(1/Inputs!$B$9)*(PI()*R23^2/4)*((R23/4)^(2/3))*SQRT(N23))</f>
        <v/>
      </c>
      <c r="T23" s="14" t="str">
        <f aca="false">IF(OR(S23="",L23=""),"",L23/(S23*Inputs!$B$10))</f>
        <v/>
      </c>
      <c r="U23" s="14" t="str">
        <f aca="false">IF(OR(R23="",L23=""),"",4*L23/(PI()*R23^2))</f>
        <v/>
      </c>
      <c r="V23" s="14"/>
      <c r="W23" s="14" t="str">
        <f aca="false">IF(A23="","",IF(A23=Inputs!$B$6,Inputs!$B$22,IF(B23="","",IFERROR(INDEX($X$4:$X$203,MATCH(B23,$A$4:$A$203,0))+IF(V23="",Inputs!$B$20,V23),""))))</f>
        <v/>
      </c>
      <c r="X23" s="14" t="str">
        <f aca="false">IF(OR(W23="",N23="",C23=""),"",W23+N23*C23)</f>
        <v/>
      </c>
      <c r="Y23" s="14"/>
      <c r="Z23" s="14"/>
      <c r="AA23" s="14" t="str">
        <f aca="false">IF(OR(Y23="",W23=""),"",Y23-W23)</f>
        <v/>
      </c>
      <c r="AB23" s="14" t="str">
        <f aca="false">IF(OR(Z23="",X23=""),"",Z23-X23)</f>
        <v/>
      </c>
      <c r="AC23" s="19" t="str">
        <f aca="false">IF(A23="","",IF(OR(T23&gt;1,AND(AV23&lt;&gt;"",AV23&lt;Inputs!$B$11),AND(AV23&lt;&gt;"",AV23&gt;Inputs!$B$12),AA23&lt;Inputs!$B$19,AB23&lt;Inputs!$B$19,N23&lt;Inputs!$B$7,N23&gt;Inputs!$B$8),"CHECK","OK"))</f>
        <v/>
      </c>
      <c r="AD23" s="9" t="str">
        <f aca="false">IF(A23="","",(1/Inputs!$B$9)*(PI()*(Inputs!$F$5/1000)^2/4)*((Inputs!$F$5/1000/4)^(2/3))*SQRT(N23))</f>
        <v/>
      </c>
      <c r="AE23" s="9" t="str">
        <f aca="false">IF(A23="","",(1/Inputs!$B$9)*(PI()*(Inputs!$F$6/1000)^2/4)*((Inputs!$F$6/1000/4)^(2/3))*SQRT(N23))</f>
        <v/>
      </c>
      <c r="AF23" s="9" t="str">
        <f aca="false">IF(A23="","",(1/Inputs!$B$9)*(PI()*(Inputs!$F$7/1000)^2/4)*((Inputs!$F$7/1000/4)^(2/3))*SQRT(N23))</f>
        <v/>
      </c>
      <c r="AG23" s="9" t="str">
        <f aca="false">IF(A23="","",(1/Inputs!$B$9)*(PI()*(Inputs!$F$8/1000)^2/4)*((Inputs!$F$8/1000/4)^(2/3))*SQRT(N23))</f>
        <v/>
      </c>
      <c r="AH23" s="9" t="str">
        <f aca="false">IF(A23="","",(1/Inputs!$B$9)*(PI()*(Inputs!$F$9/1000)^2/4)*((Inputs!$F$9/1000/4)^(2/3))*SQRT(N23))</f>
        <v/>
      </c>
      <c r="AI23" s="9" t="str">
        <f aca="false">IF(A23="","",(1/Inputs!$B$9)*(PI()*(Inputs!$F$10/1000)^2/4)*((Inputs!$F$10/1000/4)^(2/3))*SQRT(N23))</f>
        <v/>
      </c>
      <c r="AJ23" s="9" t="str">
        <f aca="false">IF(A23="","",(1/Inputs!$B$9)*(PI()*(Inputs!$F$11/1000)^2/4)*((Inputs!$F$11/1000/4)^(2/3))*SQRT(N23))</f>
        <v/>
      </c>
      <c r="AK23" s="9" t="str">
        <f aca="false">IF(A23="","",(1/Inputs!$B$9)*(PI()*(Inputs!$F$12/1000)^2/4)*((Inputs!$F$12/1000/4)^(2/3))*SQRT(N23))</f>
        <v/>
      </c>
      <c r="AL23" s="9" t="str">
        <f aca="false">IF(A23="","",(1/Inputs!$B$9)*(PI()*(Inputs!$F$13/1000)^2/4)*((Inputs!$F$13/1000/4)^(2/3))*SQRT(N23))</f>
        <v/>
      </c>
      <c r="AM23" s="9" t="str">
        <f aca="false">IF(A23="","",(1/Inputs!$B$9)*(PI()*(Inputs!$F$14/1000)^2/4)*((Inputs!$F$14/1000/4)^(2/3))*SQRT(N23))</f>
        <v/>
      </c>
      <c r="AN23" s="9" t="str">
        <f aca="false">IF(A23="","",COUNTIF($B$4:$B$203,$A23))</f>
        <v/>
      </c>
      <c r="AO23" s="9" t="str">
        <f aca="false">IF(A23="","",IF(AN23=0,"START","CONTINUOUS"))</f>
        <v/>
      </c>
      <c r="AP23" s="13" t="str">
        <f aca="false">IF(A23="","",IF(H23="",Inputs!$B$18,H23))</f>
        <v/>
      </c>
      <c r="AQ23" s="13" t="str">
        <f aca="false">IF(A23="","",IFERROR(maxifs($AS$4:$AS$203,$B$4:$B$203,$A23),""))</f>
        <v/>
      </c>
      <c r="AR23" s="13" t="str">
        <f aca="false">IF(A23="","",IF(OR(C23="",Inputs!$B$23=""),"",C23/(Inputs!$B$23*60)))</f>
        <v/>
      </c>
      <c r="AS23" s="13" t="str">
        <f aca="false">IF(A23="","",IF(AN23=0,AP23+AR23,IF(AQ23="",AP23+AR23,AQ23+AR23)))</f>
        <v/>
      </c>
      <c r="AT23" s="13" t="str">
        <f aca="false">IF(A23="","",U23)</f>
        <v/>
      </c>
      <c r="AU23" s="13" t="str">
        <f aca="false">IF(OR(R23="",N23=""),"",(1/Inputs!$B$9)*((R23/4)^(2/3))*SQRT(N23))</f>
        <v/>
      </c>
      <c r="AV23" s="13" t="str">
        <f aca="false">IF(A23="","",IF(AND(AT23="",AU23="",AX23=""),"",IF(OR(UPPER(TRIM(Inputs!$B$24))="MANNING",UPPER(TRIM(Inputs!$B$24))="M"),AU23,IF(OR(UPPER(TRIM(Inputs!$B$24))="PARTIAL",UPPER(TRIM(Inputs!$B$24))="P"),AX23,IF(OR(UPPER(TRIM(Inputs!$B$24))="MAX",UPPER(TRIM(Inputs!$B$24))="X"),MAX(IF(AT23="",0,AT23),IF(AU23="",0,AU23),IF(AX23="",0,AX23)),AT23)))))</f>
        <v/>
      </c>
      <c r="AW23" s="13" t="str">
        <f aca="false">IF(AY23="","",CE23)</f>
        <v/>
      </c>
      <c r="AX23" s="13" t="str">
        <f aca="false">IF(OR(AY23="",AW23="",R23="",R23&lt;=0,AW23&lt;=0),"",AY23/((R23^2/8)*(2*ACOS(1-2*AW23/R23)-SIN(2*ACOS(1-2*AW23/R23)))))</f>
        <v/>
      </c>
      <c r="AY23" s="9" t="str">
        <f aca="false">IF(OR(L23="",AZ23=""),"",MIN(L23,AZ23))</f>
        <v/>
      </c>
      <c r="AZ23" s="9" t="str">
        <f aca="false">IF(OR(L23="",R23="",N23=""),"",IF(OR(R23="",N23="",(0.94*R23)="",R23&lt;=0,(0.94*R23)&lt;=0),"",(1/Inputs!$B$9)*((R23^2/8)*((2*ACOS(1-2*(0.94*R23)/R23))-SIN((2*ACOS(1-2*(0.94*R23)/R23)))))*((((R23^2/8)*((2*ACOS(1-2*(0.94*R23)/R23))-SIN((2*ACOS(1-2*(0.94*R23)/R23)))))/((R23/2)*((2*ACOS(1-2*(0.94*R23)/R23)))))^(2/3))*SQRT(N23)))</f>
        <v/>
      </c>
      <c r="BA23" s="9" t="str">
        <f aca="false">IF(AY23="","",0.001*R23)</f>
        <v/>
      </c>
      <c r="BB23" s="9" t="str">
        <f aca="false">IF(AY23="","",0.94*R23)</f>
        <v/>
      </c>
      <c r="BC23" s="9" t="str">
        <f aca="false">IF(AY23="","",(BA23+BB23)/2)</f>
        <v/>
      </c>
      <c r="BD23" s="9" t="str">
        <f aca="false">IF(OR(R23="",N23="",BC23="",R23&lt;=0,BC23&lt;=0),"",(1/Inputs!$B$9)*((R23^2/8)*((2*ACOS(1-2*BC23/R23))-SIN((2*ACOS(1-2*BC23/R23)))))*((((R23^2/8)*((2*ACOS(1-2*BC23/R23))-SIN((2*ACOS(1-2*BC23/R23)))))/((R23/2)*((2*ACOS(1-2*BC23/R23)))))^(2/3))*SQRT(N23))</f>
        <v/>
      </c>
      <c r="BE23" s="9" t="str">
        <f aca="false">IF(AY23="","",IF(BD23&lt;AY23,BC23,BA23))</f>
        <v/>
      </c>
      <c r="BF23" s="9" t="str">
        <f aca="false">IF(AY23="","",IF(BD23&lt;AY23,BB23,BC23))</f>
        <v/>
      </c>
      <c r="BG23" s="9" t="str">
        <f aca="false">IF(AY23="","",(BE23+BF23)/2)</f>
        <v/>
      </c>
      <c r="BH23" s="9" t="str">
        <f aca="false">IF(OR(R23="",N23="",BG23="",R23&lt;=0,BG23&lt;=0),"",(1/Inputs!$B$9)*((R23^2/8)*((2*ACOS(1-2*BG23/R23))-SIN((2*ACOS(1-2*BG23/R23)))))*((((R23^2/8)*((2*ACOS(1-2*BG23/R23))-SIN((2*ACOS(1-2*BG23/R23)))))/((R23/2)*((2*ACOS(1-2*BG23/R23)))))^(2/3))*SQRT(N23))</f>
        <v/>
      </c>
      <c r="BI23" s="9" t="str">
        <f aca="false">IF(AY23="","",IF(BH23&lt;AY23,BG23,BE23))</f>
        <v/>
      </c>
      <c r="BJ23" s="9" t="str">
        <f aca="false">IF(AY23="","",IF(BH23&lt;AY23,BF23,BG23))</f>
        <v/>
      </c>
      <c r="BK23" s="9" t="str">
        <f aca="false">IF(AY23="","",(BI23+BJ23)/2)</f>
        <v/>
      </c>
      <c r="BL23" s="9" t="str">
        <f aca="false">IF(OR(R23="",N23="",BK23="",R23&lt;=0,BK23&lt;=0),"",(1/Inputs!$B$9)*((R23^2/8)*((2*ACOS(1-2*BK23/R23))-SIN((2*ACOS(1-2*BK23/R23)))))*((((R23^2/8)*((2*ACOS(1-2*BK23/R23))-SIN((2*ACOS(1-2*BK23/R23)))))/((R23/2)*((2*ACOS(1-2*BK23/R23)))))^(2/3))*SQRT(N23))</f>
        <v/>
      </c>
      <c r="BM23" s="9" t="str">
        <f aca="false">IF(AY23="","",IF(BL23&lt;AY23,BK23,BI23))</f>
        <v/>
      </c>
      <c r="BN23" s="9" t="str">
        <f aca="false">IF(AY23="","",IF(BL23&lt;AY23,BJ23,BK23))</f>
        <v/>
      </c>
      <c r="BO23" s="9" t="str">
        <f aca="false">IF(AY23="","",(BM23+BN23)/2)</f>
        <v/>
      </c>
      <c r="BP23" s="9" t="str">
        <f aca="false">IF(OR(R23="",N23="",BO23="",R23&lt;=0,BO23&lt;=0),"",(1/Inputs!$B$9)*((R23^2/8)*((2*ACOS(1-2*BO23/R23))-SIN((2*ACOS(1-2*BO23/R23)))))*((((R23^2/8)*((2*ACOS(1-2*BO23/R23))-SIN((2*ACOS(1-2*BO23/R23)))))/((R23/2)*((2*ACOS(1-2*BO23/R23)))))^(2/3))*SQRT(N23))</f>
        <v/>
      </c>
      <c r="BQ23" s="9" t="str">
        <f aca="false">IF(AY23="","",IF(BP23&lt;AY23,BO23,BM23))</f>
        <v/>
      </c>
      <c r="BR23" s="9" t="str">
        <f aca="false">IF(AY23="","",IF(BP23&lt;AY23,BN23,BO23))</f>
        <v/>
      </c>
      <c r="BS23" s="9" t="str">
        <f aca="false">IF(AY23="","",(BQ23+BR23)/2)</f>
        <v/>
      </c>
      <c r="BT23" s="9" t="str">
        <f aca="false">IF(OR(R23="",N23="",BS23="",R23&lt;=0,BS23&lt;=0),"",(1/Inputs!$B$9)*((R23^2/8)*((2*ACOS(1-2*BS23/R23))-SIN((2*ACOS(1-2*BS23/R23)))))*((((R23^2/8)*((2*ACOS(1-2*BS23/R23))-SIN((2*ACOS(1-2*BS23/R23)))))/((R23/2)*((2*ACOS(1-2*BS23/R23)))))^(2/3))*SQRT(N23))</f>
        <v/>
      </c>
      <c r="BU23" s="9" t="str">
        <f aca="false">IF(AY23="","",IF(BT23&lt;AY23,BS23,BQ23))</f>
        <v/>
      </c>
      <c r="BV23" s="9" t="str">
        <f aca="false">IF(AY23="","",IF(BT23&lt;AY23,BR23,BS23))</f>
        <v/>
      </c>
      <c r="BW23" s="9" t="str">
        <f aca="false">IF(AY23="","",(BU23+BV23)/2)</f>
        <v/>
      </c>
      <c r="BX23" s="9" t="str">
        <f aca="false">IF(OR(R23="",N23="",BW23="",R23&lt;=0,BW23&lt;=0),"",(1/Inputs!$B$9)*((R23^2/8)*((2*ACOS(1-2*BW23/R23))-SIN((2*ACOS(1-2*BW23/R23)))))*((((R23^2/8)*((2*ACOS(1-2*BW23/R23))-SIN((2*ACOS(1-2*BW23/R23)))))/((R23/2)*((2*ACOS(1-2*BW23/R23)))))^(2/3))*SQRT(N23))</f>
        <v/>
      </c>
      <c r="BY23" s="9" t="str">
        <f aca="false">IF(AY23="","",IF(BX23&lt;AY23,BW23,BU23))</f>
        <v/>
      </c>
      <c r="BZ23" s="9" t="str">
        <f aca="false">IF(AY23="","",IF(BX23&lt;AY23,BV23,BW23))</f>
        <v/>
      </c>
      <c r="CA23" s="9" t="str">
        <f aca="false">IF(AY23="","",(BY23+BZ23)/2)</f>
        <v/>
      </c>
      <c r="CB23" s="9" t="str">
        <f aca="false">IF(OR(R23="",N23="",CA23="",R23&lt;=0,CA23&lt;=0),"",(1/Inputs!$B$9)*((R23^2/8)*((2*ACOS(1-2*CA23/R23))-SIN((2*ACOS(1-2*CA23/R23)))))*((((R23^2/8)*((2*ACOS(1-2*CA23/R23))-SIN((2*ACOS(1-2*CA23/R23)))))/((R23/2)*((2*ACOS(1-2*CA23/R23)))))^(2/3))*SQRT(N23))</f>
        <v/>
      </c>
      <c r="CC23" s="9" t="str">
        <f aca="false">IF(AY23="","",IF(CB23&lt;AY23,CA23,BY23))</f>
        <v/>
      </c>
      <c r="CD23" s="9" t="str">
        <f aca="false">IF(AY23="","",IF(CB23&lt;AY23,BZ23,CA23))</f>
        <v/>
      </c>
      <c r="CE23" s="9" t="str">
        <f aca="false">IF(AY23="","",(CC23+CD23)/2)</f>
        <v/>
      </c>
    </row>
    <row r="24" customFormat="false" ht="15" hidden="false" customHeight="false" outlineLevel="0" collapsed="false">
      <c r="A24" s="9"/>
      <c r="B24" s="9"/>
      <c r="C24" s="14"/>
      <c r="D24" s="14"/>
      <c r="E24" s="14" t="n">
        <f aca="false">SUMIFS(CB_Tributaires!$C:$C,CB_Tributaires!$B:$B,$A24)</f>
        <v>0</v>
      </c>
      <c r="F24" s="14" t="n">
        <f aca="false">IF(D24="",E24,D24)</f>
        <v>0</v>
      </c>
      <c r="G24" s="9"/>
      <c r="H24" s="14"/>
      <c r="I24" s="14" t="str">
        <f aca="false">IF(A24="","",Inputs!$B$13/((IF(AS24="",Inputs!$B$18,AS24)+Inputs!$B$14)^Inputs!$B$15))</f>
        <v/>
      </c>
      <c r="J24" s="14" t="str">
        <f aca="false">IF(A24="","",0.000000278*IF(G24="",Inputs!$B$17,G24)*F24*I24)</f>
        <v/>
      </c>
      <c r="K24" s="14" t="str">
        <f aca="false">IF(A24="","",SUMIFS($L$4:$L$203,$B$4:$B$203,$A24))</f>
        <v/>
      </c>
      <c r="L24" s="14" t="str">
        <f aca="false">IF(A24="","",(J24+K24)*Inputs!$B$16)</f>
        <v/>
      </c>
      <c r="M24" s="14"/>
      <c r="N24" s="14" t="str">
        <f aca="false">IF(A24="","",IF(M24="",Inputs!$B$7,M24))</f>
        <v/>
      </c>
      <c r="O24" s="9" t="str">
        <f aca="false">IF(A24="","",IF(L24/Inputs!$B$10&lt;=AD24,Inputs!$F$5,IF(L24/Inputs!$B$10&gt;AM24,"OVERSIZE",INDEX(Inputs!$F$5:$F$14,MATCH(L24/Inputs!$B$10,AD24:AM24,1)+1))))</f>
        <v/>
      </c>
      <c r="P24" s="9"/>
      <c r="Q24" s="9" t="str">
        <f aca="false">IF(A24="","",IF(P24="",O24,P24))</f>
        <v/>
      </c>
      <c r="R24" s="14" t="str">
        <f aca="false">IF(OR(Q24="",Q24="OVERSIZE"),"",Q24/1000)</f>
        <v/>
      </c>
      <c r="S24" s="14" t="str">
        <f aca="false">IF(R24="","",(1/Inputs!$B$9)*(PI()*R24^2/4)*((R24/4)^(2/3))*SQRT(N24))</f>
        <v/>
      </c>
      <c r="T24" s="14" t="str">
        <f aca="false">IF(OR(S24="",L24=""),"",L24/(S24*Inputs!$B$10))</f>
        <v/>
      </c>
      <c r="U24" s="14" t="str">
        <f aca="false">IF(OR(R24="",L24=""),"",4*L24/(PI()*R24^2))</f>
        <v/>
      </c>
      <c r="V24" s="14"/>
      <c r="W24" s="14" t="str">
        <f aca="false">IF(A24="","",IF(A24=Inputs!$B$6,Inputs!$B$22,IF(B24="","",IFERROR(INDEX($X$4:$X$203,MATCH(B24,$A$4:$A$203,0))+IF(V24="",Inputs!$B$20,V24),""))))</f>
        <v/>
      </c>
      <c r="X24" s="14" t="str">
        <f aca="false">IF(OR(W24="",N24="",C24=""),"",W24+N24*C24)</f>
        <v/>
      </c>
      <c r="Y24" s="14"/>
      <c r="Z24" s="14"/>
      <c r="AA24" s="14" t="str">
        <f aca="false">IF(OR(Y24="",W24=""),"",Y24-W24)</f>
        <v/>
      </c>
      <c r="AB24" s="14" t="str">
        <f aca="false">IF(OR(Z24="",X24=""),"",Z24-X24)</f>
        <v/>
      </c>
      <c r="AC24" s="19" t="str">
        <f aca="false">IF(A24="","",IF(OR(T24&gt;1,AND(AV24&lt;&gt;"",AV24&lt;Inputs!$B$11),AND(AV24&lt;&gt;"",AV24&gt;Inputs!$B$12),AA24&lt;Inputs!$B$19,AB24&lt;Inputs!$B$19,N24&lt;Inputs!$B$7,N24&gt;Inputs!$B$8),"CHECK","OK"))</f>
        <v/>
      </c>
      <c r="AD24" s="9" t="str">
        <f aca="false">IF(A24="","",(1/Inputs!$B$9)*(PI()*(Inputs!$F$5/1000)^2/4)*((Inputs!$F$5/1000/4)^(2/3))*SQRT(N24))</f>
        <v/>
      </c>
      <c r="AE24" s="9" t="str">
        <f aca="false">IF(A24="","",(1/Inputs!$B$9)*(PI()*(Inputs!$F$6/1000)^2/4)*((Inputs!$F$6/1000/4)^(2/3))*SQRT(N24))</f>
        <v/>
      </c>
      <c r="AF24" s="9" t="str">
        <f aca="false">IF(A24="","",(1/Inputs!$B$9)*(PI()*(Inputs!$F$7/1000)^2/4)*((Inputs!$F$7/1000/4)^(2/3))*SQRT(N24))</f>
        <v/>
      </c>
      <c r="AG24" s="9" t="str">
        <f aca="false">IF(A24="","",(1/Inputs!$B$9)*(PI()*(Inputs!$F$8/1000)^2/4)*((Inputs!$F$8/1000/4)^(2/3))*SQRT(N24))</f>
        <v/>
      </c>
      <c r="AH24" s="9" t="str">
        <f aca="false">IF(A24="","",(1/Inputs!$B$9)*(PI()*(Inputs!$F$9/1000)^2/4)*((Inputs!$F$9/1000/4)^(2/3))*SQRT(N24))</f>
        <v/>
      </c>
      <c r="AI24" s="9" t="str">
        <f aca="false">IF(A24="","",(1/Inputs!$B$9)*(PI()*(Inputs!$F$10/1000)^2/4)*((Inputs!$F$10/1000/4)^(2/3))*SQRT(N24))</f>
        <v/>
      </c>
      <c r="AJ24" s="9" t="str">
        <f aca="false">IF(A24="","",(1/Inputs!$B$9)*(PI()*(Inputs!$F$11/1000)^2/4)*((Inputs!$F$11/1000/4)^(2/3))*SQRT(N24))</f>
        <v/>
      </c>
      <c r="AK24" s="9" t="str">
        <f aca="false">IF(A24="","",(1/Inputs!$B$9)*(PI()*(Inputs!$F$12/1000)^2/4)*((Inputs!$F$12/1000/4)^(2/3))*SQRT(N24))</f>
        <v/>
      </c>
      <c r="AL24" s="9" t="str">
        <f aca="false">IF(A24="","",(1/Inputs!$B$9)*(PI()*(Inputs!$F$13/1000)^2/4)*((Inputs!$F$13/1000/4)^(2/3))*SQRT(N24))</f>
        <v/>
      </c>
      <c r="AM24" s="9" t="str">
        <f aca="false">IF(A24="","",(1/Inputs!$B$9)*(PI()*(Inputs!$F$14/1000)^2/4)*((Inputs!$F$14/1000/4)^(2/3))*SQRT(N24))</f>
        <v/>
      </c>
      <c r="AN24" s="9" t="str">
        <f aca="false">IF(A24="","",COUNTIF($B$4:$B$203,$A24))</f>
        <v/>
      </c>
      <c r="AO24" s="9" t="str">
        <f aca="false">IF(A24="","",IF(AN24=0,"START","CONTINUOUS"))</f>
        <v/>
      </c>
      <c r="AP24" s="13" t="str">
        <f aca="false">IF(A24="","",IF(H24="",Inputs!$B$18,H24))</f>
        <v/>
      </c>
      <c r="AQ24" s="13" t="str">
        <f aca="false">IF(A24="","",IFERROR(maxifs($AS$4:$AS$203,$B$4:$B$203,$A24),""))</f>
        <v/>
      </c>
      <c r="AR24" s="13" t="str">
        <f aca="false">IF(A24="","",IF(OR(C24="",Inputs!$B$23=""),"",C24/(Inputs!$B$23*60)))</f>
        <v/>
      </c>
      <c r="AS24" s="13" t="str">
        <f aca="false">IF(A24="","",IF(AN24=0,AP24+AR24,IF(AQ24="",AP24+AR24,AQ24+AR24)))</f>
        <v/>
      </c>
      <c r="AT24" s="13" t="str">
        <f aca="false">IF(A24="","",U24)</f>
        <v/>
      </c>
      <c r="AU24" s="13" t="str">
        <f aca="false">IF(OR(R24="",N24=""),"",(1/Inputs!$B$9)*((R24/4)^(2/3))*SQRT(N24))</f>
        <v/>
      </c>
      <c r="AV24" s="13" t="str">
        <f aca="false">IF(A24="","",IF(AND(AT24="",AU24="",AX24=""),"",IF(OR(UPPER(TRIM(Inputs!$B$24))="MANNING",UPPER(TRIM(Inputs!$B$24))="M"),AU24,IF(OR(UPPER(TRIM(Inputs!$B$24))="PARTIAL",UPPER(TRIM(Inputs!$B$24))="P"),AX24,IF(OR(UPPER(TRIM(Inputs!$B$24))="MAX",UPPER(TRIM(Inputs!$B$24))="X"),MAX(IF(AT24="",0,AT24),IF(AU24="",0,AU24),IF(AX24="",0,AX24)),AT24)))))</f>
        <v/>
      </c>
      <c r="AW24" s="13" t="str">
        <f aca="false">IF(AY24="","",CE24)</f>
        <v/>
      </c>
      <c r="AX24" s="13" t="str">
        <f aca="false">IF(OR(AY24="",AW24="",R24="",R24&lt;=0,AW24&lt;=0),"",AY24/((R24^2/8)*(2*ACOS(1-2*AW24/R24)-SIN(2*ACOS(1-2*AW24/R24)))))</f>
        <v/>
      </c>
      <c r="AY24" s="9" t="str">
        <f aca="false">IF(OR(L24="",AZ24=""),"",MIN(L24,AZ24))</f>
        <v/>
      </c>
      <c r="AZ24" s="9" t="str">
        <f aca="false">IF(OR(L24="",R24="",N24=""),"",IF(OR(R24="",N24="",(0.94*R24)="",R24&lt;=0,(0.94*R24)&lt;=0),"",(1/Inputs!$B$9)*((R24^2/8)*((2*ACOS(1-2*(0.94*R24)/R24))-SIN((2*ACOS(1-2*(0.94*R24)/R24)))))*((((R24^2/8)*((2*ACOS(1-2*(0.94*R24)/R24))-SIN((2*ACOS(1-2*(0.94*R24)/R24)))))/((R24/2)*((2*ACOS(1-2*(0.94*R24)/R24)))))^(2/3))*SQRT(N24)))</f>
        <v/>
      </c>
      <c r="BA24" s="9" t="str">
        <f aca="false">IF(AY24="","",0.001*R24)</f>
        <v/>
      </c>
      <c r="BB24" s="9" t="str">
        <f aca="false">IF(AY24="","",0.94*R24)</f>
        <v/>
      </c>
      <c r="BC24" s="9" t="str">
        <f aca="false">IF(AY24="","",(BA24+BB24)/2)</f>
        <v/>
      </c>
      <c r="BD24" s="9" t="str">
        <f aca="false">IF(OR(R24="",N24="",BC24="",R24&lt;=0,BC24&lt;=0),"",(1/Inputs!$B$9)*((R24^2/8)*((2*ACOS(1-2*BC24/R24))-SIN((2*ACOS(1-2*BC24/R24)))))*((((R24^2/8)*((2*ACOS(1-2*BC24/R24))-SIN((2*ACOS(1-2*BC24/R24)))))/((R24/2)*((2*ACOS(1-2*BC24/R24)))))^(2/3))*SQRT(N24))</f>
        <v/>
      </c>
      <c r="BE24" s="9" t="str">
        <f aca="false">IF(AY24="","",IF(BD24&lt;AY24,BC24,BA24))</f>
        <v/>
      </c>
      <c r="BF24" s="9" t="str">
        <f aca="false">IF(AY24="","",IF(BD24&lt;AY24,BB24,BC24))</f>
        <v/>
      </c>
      <c r="BG24" s="9" t="str">
        <f aca="false">IF(AY24="","",(BE24+BF24)/2)</f>
        <v/>
      </c>
      <c r="BH24" s="9" t="str">
        <f aca="false">IF(OR(R24="",N24="",BG24="",R24&lt;=0,BG24&lt;=0),"",(1/Inputs!$B$9)*((R24^2/8)*((2*ACOS(1-2*BG24/R24))-SIN((2*ACOS(1-2*BG24/R24)))))*((((R24^2/8)*((2*ACOS(1-2*BG24/R24))-SIN((2*ACOS(1-2*BG24/R24)))))/((R24/2)*((2*ACOS(1-2*BG24/R24)))))^(2/3))*SQRT(N24))</f>
        <v/>
      </c>
      <c r="BI24" s="9" t="str">
        <f aca="false">IF(AY24="","",IF(BH24&lt;AY24,BG24,BE24))</f>
        <v/>
      </c>
      <c r="BJ24" s="9" t="str">
        <f aca="false">IF(AY24="","",IF(BH24&lt;AY24,BF24,BG24))</f>
        <v/>
      </c>
      <c r="BK24" s="9" t="str">
        <f aca="false">IF(AY24="","",(BI24+BJ24)/2)</f>
        <v/>
      </c>
      <c r="BL24" s="9" t="str">
        <f aca="false">IF(OR(R24="",N24="",BK24="",R24&lt;=0,BK24&lt;=0),"",(1/Inputs!$B$9)*((R24^2/8)*((2*ACOS(1-2*BK24/R24))-SIN((2*ACOS(1-2*BK24/R24)))))*((((R24^2/8)*((2*ACOS(1-2*BK24/R24))-SIN((2*ACOS(1-2*BK24/R24)))))/((R24/2)*((2*ACOS(1-2*BK24/R24)))))^(2/3))*SQRT(N24))</f>
        <v/>
      </c>
      <c r="BM24" s="9" t="str">
        <f aca="false">IF(AY24="","",IF(BL24&lt;AY24,BK24,BI24))</f>
        <v/>
      </c>
      <c r="BN24" s="9" t="str">
        <f aca="false">IF(AY24="","",IF(BL24&lt;AY24,BJ24,BK24))</f>
        <v/>
      </c>
      <c r="BO24" s="9" t="str">
        <f aca="false">IF(AY24="","",(BM24+BN24)/2)</f>
        <v/>
      </c>
      <c r="BP24" s="9" t="str">
        <f aca="false">IF(OR(R24="",N24="",BO24="",R24&lt;=0,BO24&lt;=0),"",(1/Inputs!$B$9)*((R24^2/8)*((2*ACOS(1-2*BO24/R24))-SIN((2*ACOS(1-2*BO24/R24)))))*((((R24^2/8)*((2*ACOS(1-2*BO24/R24))-SIN((2*ACOS(1-2*BO24/R24)))))/((R24/2)*((2*ACOS(1-2*BO24/R24)))))^(2/3))*SQRT(N24))</f>
        <v/>
      </c>
      <c r="BQ24" s="9" t="str">
        <f aca="false">IF(AY24="","",IF(BP24&lt;AY24,BO24,BM24))</f>
        <v/>
      </c>
      <c r="BR24" s="9" t="str">
        <f aca="false">IF(AY24="","",IF(BP24&lt;AY24,BN24,BO24))</f>
        <v/>
      </c>
      <c r="BS24" s="9" t="str">
        <f aca="false">IF(AY24="","",(BQ24+BR24)/2)</f>
        <v/>
      </c>
      <c r="BT24" s="9" t="str">
        <f aca="false">IF(OR(R24="",N24="",BS24="",R24&lt;=0,BS24&lt;=0),"",(1/Inputs!$B$9)*((R24^2/8)*((2*ACOS(1-2*BS24/R24))-SIN((2*ACOS(1-2*BS24/R24)))))*((((R24^2/8)*((2*ACOS(1-2*BS24/R24))-SIN((2*ACOS(1-2*BS24/R24)))))/((R24/2)*((2*ACOS(1-2*BS24/R24)))))^(2/3))*SQRT(N24))</f>
        <v/>
      </c>
      <c r="BU24" s="9" t="str">
        <f aca="false">IF(AY24="","",IF(BT24&lt;AY24,BS24,BQ24))</f>
        <v/>
      </c>
      <c r="BV24" s="9" t="str">
        <f aca="false">IF(AY24="","",IF(BT24&lt;AY24,BR24,BS24))</f>
        <v/>
      </c>
      <c r="BW24" s="9" t="str">
        <f aca="false">IF(AY24="","",(BU24+BV24)/2)</f>
        <v/>
      </c>
      <c r="BX24" s="9" t="str">
        <f aca="false">IF(OR(R24="",N24="",BW24="",R24&lt;=0,BW24&lt;=0),"",(1/Inputs!$B$9)*((R24^2/8)*((2*ACOS(1-2*BW24/R24))-SIN((2*ACOS(1-2*BW24/R24)))))*((((R24^2/8)*((2*ACOS(1-2*BW24/R24))-SIN((2*ACOS(1-2*BW24/R24)))))/((R24/2)*((2*ACOS(1-2*BW24/R24)))))^(2/3))*SQRT(N24))</f>
        <v/>
      </c>
      <c r="BY24" s="9" t="str">
        <f aca="false">IF(AY24="","",IF(BX24&lt;AY24,BW24,BU24))</f>
        <v/>
      </c>
      <c r="BZ24" s="9" t="str">
        <f aca="false">IF(AY24="","",IF(BX24&lt;AY24,BV24,BW24))</f>
        <v/>
      </c>
      <c r="CA24" s="9" t="str">
        <f aca="false">IF(AY24="","",(BY24+BZ24)/2)</f>
        <v/>
      </c>
      <c r="CB24" s="9" t="str">
        <f aca="false">IF(OR(R24="",N24="",CA24="",R24&lt;=0,CA24&lt;=0),"",(1/Inputs!$B$9)*((R24^2/8)*((2*ACOS(1-2*CA24/R24))-SIN((2*ACOS(1-2*CA24/R24)))))*((((R24^2/8)*((2*ACOS(1-2*CA24/R24))-SIN((2*ACOS(1-2*CA24/R24)))))/((R24/2)*((2*ACOS(1-2*CA24/R24)))))^(2/3))*SQRT(N24))</f>
        <v/>
      </c>
      <c r="CC24" s="9" t="str">
        <f aca="false">IF(AY24="","",IF(CB24&lt;AY24,CA24,BY24))</f>
        <v/>
      </c>
      <c r="CD24" s="9" t="str">
        <f aca="false">IF(AY24="","",IF(CB24&lt;AY24,BZ24,CA24))</f>
        <v/>
      </c>
      <c r="CE24" s="9" t="str">
        <f aca="false">IF(AY24="","",(CC24+CD24)/2)</f>
        <v/>
      </c>
    </row>
    <row r="25" customFormat="false" ht="15" hidden="false" customHeight="false" outlineLevel="0" collapsed="false">
      <c r="A25" s="9"/>
      <c r="B25" s="9"/>
      <c r="C25" s="14"/>
      <c r="D25" s="14"/>
      <c r="E25" s="14" t="n">
        <f aca="false">SUMIFS(CB_Tributaires!$C:$C,CB_Tributaires!$B:$B,$A25)</f>
        <v>0</v>
      </c>
      <c r="F25" s="14" t="n">
        <f aca="false">IF(D25="",E25,D25)</f>
        <v>0</v>
      </c>
      <c r="G25" s="9"/>
      <c r="H25" s="14"/>
      <c r="I25" s="14" t="str">
        <f aca="false">IF(A25="","",Inputs!$B$13/((IF(AS25="",Inputs!$B$18,AS25)+Inputs!$B$14)^Inputs!$B$15))</f>
        <v/>
      </c>
      <c r="J25" s="14" t="str">
        <f aca="false">IF(A25="","",0.000000278*IF(G25="",Inputs!$B$17,G25)*F25*I25)</f>
        <v/>
      </c>
      <c r="K25" s="14" t="str">
        <f aca="false">IF(A25="","",SUMIFS($L$4:$L$203,$B$4:$B$203,$A25))</f>
        <v/>
      </c>
      <c r="L25" s="14" t="str">
        <f aca="false">IF(A25="","",(J25+K25)*Inputs!$B$16)</f>
        <v/>
      </c>
      <c r="M25" s="14"/>
      <c r="N25" s="14" t="str">
        <f aca="false">IF(A25="","",IF(M25="",Inputs!$B$7,M25))</f>
        <v/>
      </c>
      <c r="O25" s="9" t="str">
        <f aca="false">IF(A25="","",IF(L25/Inputs!$B$10&lt;=AD25,Inputs!$F$5,IF(L25/Inputs!$B$10&gt;AM25,"OVERSIZE",INDEX(Inputs!$F$5:$F$14,MATCH(L25/Inputs!$B$10,AD25:AM25,1)+1))))</f>
        <v/>
      </c>
      <c r="P25" s="9"/>
      <c r="Q25" s="9" t="str">
        <f aca="false">IF(A25="","",IF(P25="",O25,P25))</f>
        <v/>
      </c>
      <c r="R25" s="14" t="str">
        <f aca="false">IF(OR(Q25="",Q25="OVERSIZE"),"",Q25/1000)</f>
        <v/>
      </c>
      <c r="S25" s="14" t="str">
        <f aca="false">IF(R25="","",(1/Inputs!$B$9)*(PI()*R25^2/4)*((R25/4)^(2/3))*SQRT(N25))</f>
        <v/>
      </c>
      <c r="T25" s="14" t="str">
        <f aca="false">IF(OR(S25="",L25=""),"",L25/(S25*Inputs!$B$10))</f>
        <v/>
      </c>
      <c r="U25" s="14" t="str">
        <f aca="false">IF(OR(R25="",L25=""),"",4*L25/(PI()*R25^2))</f>
        <v/>
      </c>
      <c r="V25" s="14"/>
      <c r="W25" s="14" t="str">
        <f aca="false">IF(A25="","",IF(A25=Inputs!$B$6,Inputs!$B$22,IF(B25="","",IFERROR(INDEX($X$4:$X$203,MATCH(B25,$A$4:$A$203,0))+IF(V25="",Inputs!$B$20,V25),""))))</f>
        <v/>
      </c>
      <c r="X25" s="14" t="str">
        <f aca="false">IF(OR(W25="",N25="",C25=""),"",W25+N25*C25)</f>
        <v/>
      </c>
      <c r="Y25" s="14"/>
      <c r="Z25" s="14"/>
      <c r="AA25" s="14" t="str">
        <f aca="false">IF(OR(Y25="",W25=""),"",Y25-W25)</f>
        <v/>
      </c>
      <c r="AB25" s="14" t="str">
        <f aca="false">IF(OR(Z25="",X25=""),"",Z25-X25)</f>
        <v/>
      </c>
      <c r="AC25" s="19" t="str">
        <f aca="false">IF(A25="","",IF(OR(T25&gt;1,AND(AV25&lt;&gt;"",AV25&lt;Inputs!$B$11),AND(AV25&lt;&gt;"",AV25&gt;Inputs!$B$12),AA25&lt;Inputs!$B$19,AB25&lt;Inputs!$B$19,N25&lt;Inputs!$B$7,N25&gt;Inputs!$B$8),"CHECK","OK"))</f>
        <v/>
      </c>
      <c r="AD25" s="9" t="str">
        <f aca="false">IF(A25="","",(1/Inputs!$B$9)*(PI()*(Inputs!$F$5/1000)^2/4)*((Inputs!$F$5/1000/4)^(2/3))*SQRT(N25))</f>
        <v/>
      </c>
      <c r="AE25" s="9" t="str">
        <f aca="false">IF(A25="","",(1/Inputs!$B$9)*(PI()*(Inputs!$F$6/1000)^2/4)*((Inputs!$F$6/1000/4)^(2/3))*SQRT(N25))</f>
        <v/>
      </c>
      <c r="AF25" s="9" t="str">
        <f aca="false">IF(A25="","",(1/Inputs!$B$9)*(PI()*(Inputs!$F$7/1000)^2/4)*((Inputs!$F$7/1000/4)^(2/3))*SQRT(N25))</f>
        <v/>
      </c>
      <c r="AG25" s="9" t="str">
        <f aca="false">IF(A25="","",(1/Inputs!$B$9)*(PI()*(Inputs!$F$8/1000)^2/4)*((Inputs!$F$8/1000/4)^(2/3))*SQRT(N25))</f>
        <v/>
      </c>
      <c r="AH25" s="9" t="str">
        <f aca="false">IF(A25="","",(1/Inputs!$B$9)*(PI()*(Inputs!$F$9/1000)^2/4)*((Inputs!$F$9/1000/4)^(2/3))*SQRT(N25))</f>
        <v/>
      </c>
      <c r="AI25" s="9" t="str">
        <f aca="false">IF(A25="","",(1/Inputs!$B$9)*(PI()*(Inputs!$F$10/1000)^2/4)*((Inputs!$F$10/1000/4)^(2/3))*SQRT(N25))</f>
        <v/>
      </c>
      <c r="AJ25" s="9" t="str">
        <f aca="false">IF(A25="","",(1/Inputs!$B$9)*(PI()*(Inputs!$F$11/1000)^2/4)*((Inputs!$F$11/1000/4)^(2/3))*SQRT(N25))</f>
        <v/>
      </c>
      <c r="AK25" s="9" t="str">
        <f aca="false">IF(A25="","",(1/Inputs!$B$9)*(PI()*(Inputs!$F$12/1000)^2/4)*((Inputs!$F$12/1000/4)^(2/3))*SQRT(N25))</f>
        <v/>
      </c>
      <c r="AL25" s="9" t="str">
        <f aca="false">IF(A25="","",(1/Inputs!$B$9)*(PI()*(Inputs!$F$13/1000)^2/4)*((Inputs!$F$13/1000/4)^(2/3))*SQRT(N25))</f>
        <v/>
      </c>
      <c r="AM25" s="9" t="str">
        <f aca="false">IF(A25="","",(1/Inputs!$B$9)*(PI()*(Inputs!$F$14/1000)^2/4)*((Inputs!$F$14/1000/4)^(2/3))*SQRT(N25))</f>
        <v/>
      </c>
      <c r="AN25" s="9" t="str">
        <f aca="false">IF(A25="","",COUNTIF($B$4:$B$203,$A25))</f>
        <v/>
      </c>
      <c r="AO25" s="9" t="str">
        <f aca="false">IF(A25="","",IF(AN25=0,"START","CONTINUOUS"))</f>
        <v/>
      </c>
      <c r="AP25" s="13" t="str">
        <f aca="false">IF(A25="","",IF(H25="",Inputs!$B$18,H25))</f>
        <v/>
      </c>
      <c r="AQ25" s="13" t="str">
        <f aca="false">IF(A25="","",IFERROR(maxifs($AS$4:$AS$203,$B$4:$B$203,$A25),""))</f>
        <v/>
      </c>
      <c r="AR25" s="13" t="str">
        <f aca="false">IF(A25="","",IF(OR(C25="",Inputs!$B$23=""),"",C25/(Inputs!$B$23*60)))</f>
        <v/>
      </c>
      <c r="AS25" s="13" t="str">
        <f aca="false">IF(A25="","",IF(AN25=0,AP25+AR25,IF(AQ25="",AP25+AR25,AQ25+AR25)))</f>
        <v/>
      </c>
      <c r="AT25" s="13" t="str">
        <f aca="false">IF(A25="","",U25)</f>
        <v/>
      </c>
      <c r="AU25" s="13" t="str">
        <f aca="false">IF(OR(R25="",N25=""),"",(1/Inputs!$B$9)*((R25/4)^(2/3))*SQRT(N25))</f>
        <v/>
      </c>
      <c r="AV25" s="13" t="str">
        <f aca="false">IF(A25="","",IF(AND(AT25="",AU25="",AX25=""),"",IF(OR(UPPER(TRIM(Inputs!$B$24))="MANNING",UPPER(TRIM(Inputs!$B$24))="M"),AU25,IF(OR(UPPER(TRIM(Inputs!$B$24))="PARTIAL",UPPER(TRIM(Inputs!$B$24))="P"),AX25,IF(OR(UPPER(TRIM(Inputs!$B$24))="MAX",UPPER(TRIM(Inputs!$B$24))="X"),MAX(IF(AT25="",0,AT25),IF(AU25="",0,AU25),IF(AX25="",0,AX25)),AT25)))))</f>
        <v/>
      </c>
      <c r="AW25" s="13" t="str">
        <f aca="false">IF(AY25="","",CE25)</f>
        <v/>
      </c>
      <c r="AX25" s="13" t="str">
        <f aca="false">IF(OR(AY25="",AW25="",R25="",R25&lt;=0,AW25&lt;=0),"",AY25/((R25^2/8)*(2*ACOS(1-2*AW25/R25)-SIN(2*ACOS(1-2*AW25/R25)))))</f>
        <v/>
      </c>
      <c r="AY25" s="9" t="str">
        <f aca="false">IF(OR(L25="",AZ25=""),"",MIN(L25,AZ25))</f>
        <v/>
      </c>
      <c r="AZ25" s="9" t="str">
        <f aca="false">IF(OR(L25="",R25="",N25=""),"",IF(OR(R25="",N25="",(0.94*R25)="",R25&lt;=0,(0.94*R25)&lt;=0),"",(1/Inputs!$B$9)*((R25^2/8)*((2*ACOS(1-2*(0.94*R25)/R25))-SIN((2*ACOS(1-2*(0.94*R25)/R25)))))*((((R25^2/8)*((2*ACOS(1-2*(0.94*R25)/R25))-SIN((2*ACOS(1-2*(0.94*R25)/R25)))))/((R25/2)*((2*ACOS(1-2*(0.94*R25)/R25)))))^(2/3))*SQRT(N25)))</f>
        <v/>
      </c>
      <c r="BA25" s="9" t="str">
        <f aca="false">IF(AY25="","",0.001*R25)</f>
        <v/>
      </c>
      <c r="BB25" s="9" t="str">
        <f aca="false">IF(AY25="","",0.94*R25)</f>
        <v/>
      </c>
      <c r="BC25" s="9" t="str">
        <f aca="false">IF(AY25="","",(BA25+BB25)/2)</f>
        <v/>
      </c>
      <c r="BD25" s="9" t="str">
        <f aca="false">IF(OR(R25="",N25="",BC25="",R25&lt;=0,BC25&lt;=0),"",(1/Inputs!$B$9)*((R25^2/8)*((2*ACOS(1-2*BC25/R25))-SIN((2*ACOS(1-2*BC25/R25)))))*((((R25^2/8)*((2*ACOS(1-2*BC25/R25))-SIN((2*ACOS(1-2*BC25/R25)))))/((R25/2)*((2*ACOS(1-2*BC25/R25)))))^(2/3))*SQRT(N25))</f>
        <v/>
      </c>
      <c r="BE25" s="9" t="str">
        <f aca="false">IF(AY25="","",IF(BD25&lt;AY25,BC25,BA25))</f>
        <v/>
      </c>
      <c r="BF25" s="9" t="str">
        <f aca="false">IF(AY25="","",IF(BD25&lt;AY25,BB25,BC25))</f>
        <v/>
      </c>
      <c r="BG25" s="9" t="str">
        <f aca="false">IF(AY25="","",(BE25+BF25)/2)</f>
        <v/>
      </c>
      <c r="BH25" s="9" t="str">
        <f aca="false">IF(OR(R25="",N25="",BG25="",R25&lt;=0,BG25&lt;=0),"",(1/Inputs!$B$9)*((R25^2/8)*((2*ACOS(1-2*BG25/R25))-SIN((2*ACOS(1-2*BG25/R25)))))*((((R25^2/8)*((2*ACOS(1-2*BG25/R25))-SIN((2*ACOS(1-2*BG25/R25)))))/((R25/2)*((2*ACOS(1-2*BG25/R25)))))^(2/3))*SQRT(N25))</f>
        <v/>
      </c>
      <c r="BI25" s="9" t="str">
        <f aca="false">IF(AY25="","",IF(BH25&lt;AY25,BG25,BE25))</f>
        <v/>
      </c>
      <c r="BJ25" s="9" t="str">
        <f aca="false">IF(AY25="","",IF(BH25&lt;AY25,BF25,BG25))</f>
        <v/>
      </c>
      <c r="BK25" s="9" t="str">
        <f aca="false">IF(AY25="","",(BI25+BJ25)/2)</f>
        <v/>
      </c>
      <c r="BL25" s="9" t="str">
        <f aca="false">IF(OR(R25="",N25="",BK25="",R25&lt;=0,BK25&lt;=0),"",(1/Inputs!$B$9)*((R25^2/8)*((2*ACOS(1-2*BK25/R25))-SIN((2*ACOS(1-2*BK25/R25)))))*((((R25^2/8)*((2*ACOS(1-2*BK25/R25))-SIN((2*ACOS(1-2*BK25/R25)))))/((R25/2)*((2*ACOS(1-2*BK25/R25)))))^(2/3))*SQRT(N25))</f>
        <v/>
      </c>
      <c r="BM25" s="9" t="str">
        <f aca="false">IF(AY25="","",IF(BL25&lt;AY25,BK25,BI25))</f>
        <v/>
      </c>
      <c r="BN25" s="9" t="str">
        <f aca="false">IF(AY25="","",IF(BL25&lt;AY25,BJ25,BK25))</f>
        <v/>
      </c>
      <c r="BO25" s="9" t="str">
        <f aca="false">IF(AY25="","",(BM25+BN25)/2)</f>
        <v/>
      </c>
      <c r="BP25" s="9" t="str">
        <f aca="false">IF(OR(R25="",N25="",BO25="",R25&lt;=0,BO25&lt;=0),"",(1/Inputs!$B$9)*((R25^2/8)*((2*ACOS(1-2*BO25/R25))-SIN((2*ACOS(1-2*BO25/R25)))))*((((R25^2/8)*((2*ACOS(1-2*BO25/R25))-SIN((2*ACOS(1-2*BO25/R25)))))/((R25/2)*((2*ACOS(1-2*BO25/R25)))))^(2/3))*SQRT(N25))</f>
        <v/>
      </c>
      <c r="BQ25" s="9" t="str">
        <f aca="false">IF(AY25="","",IF(BP25&lt;AY25,BO25,BM25))</f>
        <v/>
      </c>
      <c r="BR25" s="9" t="str">
        <f aca="false">IF(AY25="","",IF(BP25&lt;AY25,BN25,BO25))</f>
        <v/>
      </c>
      <c r="BS25" s="9" t="str">
        <f aca="false">IF(AY25="","",(BQ25+BR25)/2)</f>
        <v/>
      </c>
      <c r="BT25" s="9" t="str">
        <f aca="false">IF(OR(R25="",N25="",BS25="",R25&lt;=0,BS25&lt;=0),"",(1/Inputs!$B$9)*((R25^2/8)*((2*ACOS(1-2*BS25/R25))-SIN((2*ACOS(1-2*BS25/R25)))))*((((R25^2/8)*((2*ACOS(1-2*BS25/R25))-SIN((2*ACOS(1-2*BS25/R25)))))/((R25/2)*((2*ACOS(1-2*BS25/R25)))))^(2/3))*SQRT(N25))</f>
        <v/>
      </c>
      <c r="BU25" s="9" t="str">
        <f aca="false">IF(AY25="","",IF(BT25&lt;AY25,BS25,BQ25))</f>
        <v/>
      </c>
      <c r="BV25" s="9" t="str">
        <f aca="false">IF(AY25="","",IF(BT25&lt;AY25,BR25,BS25))</f>
        <v/>
      </c>
      <c r="BW25" s="9" t="str">
        <f aca="false">IF(AY25="","",(BU25+BV25)/2)</f>
        <v/>
      </c>
      <c r="BX25" s="9" t="str">
        <f aca="false">IF(OR(R25="",N25="",BW25="",R25&lt;=0,BW25&lt;=0),"",(1/Inputs!$B$9)*((R25^2/8)*((2*ACOS(1-2*BW25/R25))-SIN((2*ACOS(1-2*BW25/R25)))))*((((R25^2/8)*((2*ACOS(1-2*BW25/R25))-SIN((2*ACOS(1-2*BW25/R25)))))/((R25/2)*((2*ACOS(1-2*BW25/R25)))))^(2/3))*SQRT(N25))</f>
        <v/>
      </c>
      <c r="BY25" s="9" t="str">
        <f aca="false">IF(AY25="","",IF(BX25&lt;AY25,BW25,BU25))</f>
        <v/>
      </c>
      <c r="BZ25" s="9" t="str">
        <f aca="false">IF(AY25="","",IF(BX25&lt;AY25,BV25,BW25))</f>
        <v/>
      </c>
      <c r="CA25" s="9" t="str">
        <f aca="false">IF(AY25="","",(BY25+BZ25)/2)</f>
        <v/>
      </c>
      <c r="CB25" s="9" t="str">
        <f aca="false">IF(OR(R25="",N25="",CA25="",R25&lt;=0,CA25&lt;=0),"",(1/Inputs!$B$9)*((R25^2/8)*((2*ACOS(1-2*CA25/R25))-SIN((2*ACOS(1-2*CA25/R25)))))*((((R25^2/8)*((2*ACOS(1-2*CA25/R25))-SIN((2*ACOS(1-2*CA25/R25)))))/((R25/2)*((2*ACOS(1-2*CA25/R25)))))^(2/3))*SQRT(N25))</f>
        <v/>
      </c>
      <c r="CC25" s="9" t="str">
        <f aca="false">IF(AY25="","",IF(CB25&lt;AY25,CA25,BY25))</f>
        <v/>
      </c>
      <c r="CD25" s="9" t="str">
        <f aca="false">IF(AY25="","",IF(CB25&lt;AY25,BZ25,CA25))</f>
        <v/>
      </c>
      <c r="CE25" s="9" t="str">
        <f aca="false">IF(AY25="","",(CC25+CD25)/2)</f>
        <v/>
      </c>
    </row>
    <row r="26" customFormat="false" ht="15" hidden="false" customHeight="false" outlineLevel="0" collapsed="false">
      <c r="A26" s="9"/>
      <c r="B26" s="9"/>
      <c r="C26" s="14"/>
      <c r="D26" s="14"/>
      <c r="E26" s="14" t="n">
        <f aca="false">SUMIFS(CB_Tributaires!$C:$C,CB_Tributaires!$B:$B,$A26)</f>
        <v>0</v>
      </c>
      <c r="F26" s="14" t="n">
        <f aca="false">IF(D26="",E26,D26)</f>
        <v>0</v>
      </c>
      <c r="G26" s="9"/>
      <c r="H26" s="14"/>
      <c r="I26" s="14" t="str">
        <f aca="false">IF(A26="","",Inputs!$B$13/((IF(AS26="",Inputs!$B$18,AS26)+Inputs!$B$14)^Inputs!$B$15))</f>
        <v/>
      </c>
      <c r="J26" s="14" t="str">
        <f aca="false">IF(A26="","",0.000000278*IF(G26="",Inputs!$B$17,G26)*F26*I26)</f>
        <v/>
      </c>
      <c r="K26" s="14" t="str">
        <f aca="false">IF(A26="","",SUMIFS($L$4:$L$203,$B$4:$B$203,$A26))</f>
        <v/>
      </c>
      <c r="L26" s="14" t="str">
        <f aca="false">IF(A26="","",(J26+K26)*Inputs!$B$16)</f>
        <v/>
      </c>
      <c r="M26" s="14"/>
      <c r="N26" s="14" t="str">
        <f aca="false">IF(A26="","",IF(M26="",Inputs!$B$7,M26))</f>
        <v/>
      </c>
      <c r="O26" s="9" t="str">
        <f aca="false">IF(A26="","",IF(L26/Inputs!$B$10&lt;=AD26,Inputs!$F$5,IF(L26/Inputs!$B$10&gt;AM26,"OVERSIZE",INDEX(Inputs!$F$5:$F$14,MATCH(L26/Inputs!$B$10,AD26:AM26,1)+1))))</f>
        <v/>
      </c>
      <c r="P26" s="9"/>
      <c r="Q26" s="9" t="str">
        <f aca="false">IF(A26="","",IF(P26="",O26,P26))</f>
        <v/>
      </c>
      <c r="R26" s="14" t="str">
        <f aca="false">IF(OR(Q26="",Q26="OVERSIZE"),"",Q26/1000)</f>
        <v/>
      </c>
      <c r="S26" s="14" t="str">
        <f aca="false">IF(R26="","",(1/Inputs!$B$9)*(PI()*R26^2/4)*((R26/4)^(2/3))*SQRT(N26))</f>
        <v/>
      </c>
      <c r="T26" s="14" t="str">
        <f aca="false">IF(OR(S26="",L26=""),"",L26/(S26*Inputs!$B$10))</f>
        <v/>
      </c>
      <c r="U26" s="14" t="str">
        <f aca="false">IF(OR(R26="",L26=""),"",4*L26/(PI()*R26^2))</f>
        <v/>
      </c>
      <c r="V26" s="14"/>
      <c r="W26" s="14" t="str">
        <f aca="false">IF(A26="","",IF(A26=Inputs!$B$6,Inputs!$B$22,IF(B26="","",IFERROR(INDEX($X$4:$X$203,MATCH(B26,$A$4:$A$203,0))+IF(V26="",Inputs!$B$20,V26),""))))</f>
        <v/>
      </c>
      <c r="X26" s="14" t="str">
        <f aca="false">IF(OR(W26="",N26="",C26=""),"",W26+N26*C26)</f>
        <v/>
      </c>
      <c r="Y26" s="14"/>
      <c r="Z26" s="14"/>
      <c r="AA26" s="14" t="str">
        <f aca="false">IF(OR(Y26="",W26=""),"",Y26-W26)</f>
        <v/>
      </c>
      <c r="AB26" s="14" t="str">
        <f aca="false">IF(OR(Z26="",X26=""),"",Z26-X26)</f>
        <v/>
      </c>
      <c r="AC26" s="19" t="str">
        <f aca="false">IF(A26="","",IF(OR(T26&gt;1,AND(AV26&lt;&gt;"",AV26&lt;Inputs!$B$11),AND(AV26&lt;&gt;"",AV26&gt;Inputs!$B$12),AA26&lt;Inputs!$B$19,AB26&lt;Inputs!$B$19,N26&lt;Inputs!$B$7,N26&gt;Inputs!$B$8),"CHECK","OK"))</f>
        <v/>
      </c>
      <c r="AD26" s="9" t="str">
        <f aca="false">IF(A26="","",(1/Inputs!$B$9)*(PI()*(Inputs!$F$5/1000)^2/4)*((Inputs!$F$5/1000/4)^(2/3))*SQRT(N26))</f>
        <v/>
      </c>
      <c r="AE26" s="9" t="str">
        <f aca="false">IF(A26="","",(1/Inputs!$B$9)*(PI()*(Inputs!$F$6/1000)^2/4)*((Inputs!$F$6/1000/4)^(2/3))*SQRT(N26))</f>
        <v/>
      </c>
      <c r="AF26" s="9" t="str">
        <f aca="false">IF(A26="","",(1/Inputs!$B$9)*(PI()*(Inputs!$F$7/1000)^2/4)*((Inputs!$F$7/1000/4)^(2/3))*SQRT(N26))</f>
        <v/>
      </c>
      <c r="AG26" s="9" t="str">
        <f aca="false">IF(A26="","",(1/Inputs!$B$9)*(PI()*(Inputs!$F$8/1000)^2/4)*((Inputs!$F$8/1000/4)^(2/3))*SQRT(N26))</f>
        <v/>
      </c>
      <c r="AH26" s="9" t="str">
        <f aca="false">IF(A26="","",(1/Inputs!$B$9)*(PI()*(Inputs!$F$9/1000)^2/4)*((Inputs!$F$9/1000/4)^(2/3))*SQRT(N26))</f>
        <v/>
      </c>
      <c r="AI26" s="9" t="str">
        <f aca="false">IF(A26="","",(1/Inputs!$B$9)*(PI()*(Inputs!$F$10/1000)^2/4)*((Inputs!$F$10/1000/4)^(2/3))*SQRT(N26))</f>
        <v/>
      </c>
      <c r="AJ26" s="9" t="str">
        <f aca="false">IF(A26="","",(1/Inputs!$B$9)*(PI()*(Inputs!$F$11/1000)^2/4)*((Inputs!$F$11/1000/4)^(2/3))*SQRT(N26))</f>
        <v/>
      </c>
      <c r="AK26" s="9" t="str">
        <f aca="false">IF(A26="","",(1/Inputs!$B$9)*(PI()*(Inputs!$F$12/1000)^2/4)*((Inputs!$F$12/1000/4)^(2/3))*SQRT(N26))</f>
        <v/>
      </c>
      <c r="AL26" s="9" t="str">
        <f aca="false">IF(A26="","",(1/Inputs!$B$9)*(PI()*(Inputs!$F$13/1000)^2/4)*((Inputs!$F$13/1000/4)^(2/3))*SQRT(N26))</f>
        <v/>
      </c>
      <c r="AM26" s="9" t="str">
        <f aca="false">IF(A26="","",(1/Inputs!$B$9)*(PI()*(Inputs!$F$14/1000)^2/4)*((Inputs!$F$14/1000/4)^(2/3))*SQRT(N26))</f>
        <v/>
      </c>
      <c r="AN26" s="9" t="str">
        <f aca="false">IF(A26="","",COUNTIF($B$4:$B$203,$A26))</f>
        <v/>
      </c>
      <c r="AO26" s="9" t="str">
        <f aca="false">IF(A26="","",IF(AN26=0,"START","CONTINUOUS"))</f>
        <v/>
      </c>
      <c r="AP26" s="13" t="str">
        <f aca="false">IF(A26="","",IF(H26="",Inputs!$B$18,H26))</f>
        <v/>
      </c>
      <c r="AQ26" s="13" t="str">
        <f aca="false">IF(A26="","",IFERROR(maxifs($AS$4:$AS$203,$B$4:$B$203,$A26),""))</f>
        <v/>
      </c>
      <c r="AR26" s="13" t="str">
        <f aca="false">IF(A26="","",IF(OR(C26="",Inputs!$B$23=""),"",C26/(Inputs!$B$23*60)))</f>
        <v/>
      </c>
      <c r="AS26" s="13" t="str">
        <f aca="false">IF(A26="","",IF(AN26=0,AP26+AR26,IF(AQ26="",AP26+AR26,AQ26+AR26)))</f>
        <v/>
      </c>
      <c r="AT26" s="13" t="str">
        <f aca="false">IF(A26="","",U26)</f>
        <v/>
      </c>
      <c r="AU26" s="13" t="str">
        <f aca="false">IF(OR(R26="",N26=""),"",(1/Inputs!$B$9)*((R26/4)^(2/3))*SQRT(N26))</f>
        <v/>
      </c>
      <c r="AV26" s="13" t="str">
        <f aca="false">IF(A26="","",IF(AND(AT26="",AU26="",AX26=""),"",IF(OR(UPPER(TRIM(Inputs!$B$24))="MANNING",UPPER(TRIM(Inputs!$B$24))="M"),AU26,IF(OR(UPPER(TRIM(Inputs!$B$24))="PARTIAL",UPPER(TRIM(Inputs!$B$24))="P"),AX26,IF(OR(UPPER(TRIM(Inputs!$B$24))="MAX",UPPER(TRIM(Inputs!$B$24))="X"),MAX(IF(AT26="",0,AT26),IF(AU26="",0,AU26),IF(AX26="",0,AX26)),AT26)))))</f>
        <v/>
      </c>
      <c r="AW26" s="13" t="str">
        <f aca="false">IF(AY26="","",CE26)</f>
        <v/>
      </c>
      <c r="AX26" s="13" t="str">
        <f aca="false">IF(OR(AY26="",AW26="",R26="",R26&lt;=0,AW26&lt;=0),"",AY26/((R26^2/8)*(2*ACOS(1-2*AW26/R26)-SIN(2*ACOS(1-2*AW26/R26)))))</f>
        <v/>
      </c>
      <c r="AY26" s="9" t="str">
        <f aca="false">IF(OR(L26="",AZ26=""),"",MIN(L26,AZ26))</f>
        <v/>
      </c>
      <c r="AZ26" s="9" t="str">
        <f aca="false">IF(OR(L26="",R26="",N26=""),"",IF(OR(R26="",N26="",(0.94*R26)="",R26&lt;=0,(0.94*R26)&lt;=0),"",(1/Inputs!$B$9)*((R26^2/8)*((2*ACOS(1-2*(0.94*R26)/R26))-SIN((2*ACOS(1-2*(0.94*R26)/R26)))))*((((R26^2/8)*((2*ACOS(1-2*(0.94*R26)/R26))-SIN((2*ACOS(1-2*(0.94*R26)/R26)))))/((R26/2)*((2*ACOS(1-2*(0.94*R26)/R26)))))^(2/3))*SQRT(N26)))</f>
        <v/>
      </c>
      <c r="BA26" s="9" t="str">
        <f aca="false">IF(AY26="","",0.001*R26)</f>
        <v/>
      </c>
      <c r="BB26" s="9" t="str">
        <f aca="false">IF(AY26="","",0.94*R26)</f>
        <v/>
      </c>
      <c r="BC26" s="9" t="str">
        <f aca="false">IF(AY26="","",(BA26+BB26)/2)</f>
        <v/>
      </c>
      <c r="BD26" s="9" t="str">
        <f aca="false">IF(OR(R26="",N26="",BC26="",R26&lt;=0,BC26&lt;=0),"",(1/Inputs!$B$9)*((R26^2/8)*((2*ACOS(1-2*BC26/R26))-SIN((2*ACOS(1-2*BC26/R26)))))*((((R26^2/8)*((2*ACOS(1-2*BC26/R26))-SIN((2*ACOS(1-2*BC26/R26)))))/((R26/2)*((2*ACOS(1-2*BC26/R26)))))^(2/3))*SQRT(N26))</f>
        <v/>
      </c>
      <c r="BE26" s="9" t="str">
        <f aca="false">IF(AY26="","",IF(BD26&lt;AY26,BC26,BA26))</f>
        <v/>
      </c>
      <c r="BF26" s="9" t="str">
        <f aca="false">IF(AY26="","",IF(BD26&lt;AY26,BB26,BC26))</f>
        <v/>
      </c>
      <c r="BG26" s="9" t="str">
        <f aca="false">IF(AY26="","",(BE26+BF26)/2)</f>
        <v/>
      </c>
      <c r="BH26" s="9" t="str">
        <f aca="false">IF(OR(R26="",N26="",BG26="",R26&lt;=0,BG26&lt;=0),"",(1/Inputs!$B$9)*((R26^2/8)*((2*ACOS(1-2*BG26/R26))-SIN((2*ACOS(1-2*BG26/R26)))))*((((R26^2/8)*((2*ACOS(1-2*BG26/R26))-SIN((2*ACOS(1-2*BG26/R26)))))/((R26/2)*((2*ACOS(1-2*BG26/R26)))))^(2/3))*SQRT(N26))</f>
        <v/>
      </c>
      <c r="BI26" s="9" t="str">
        <f aca="false">IF(AY26="","",IF(BH26&lt;AY26,BG26,BE26))</f>
        <v/>
      </c>
      <c r="BJ26" s="9" t="str">
        <f aca="false">IF(AY26="","",IF(BH26&lt;AY26,BF26,BG26))</f>
        <v/>
      </c>
      <c r="BK26" s="9" t="str">
        <f aca="false">IF(AY26="","",(BI26+BJ26)/2)</f>
        <v/>
      </c>
      <c r="BL26" s="9" t="str">
        <f aca="false">IF(OR(R26="",N26="",BK26="",R26&lt;=0,BK26&lt;=0),"",(1/Inputs!$B$9)*((R26^2/8)*((2*ACOS(1-2*BK26/R26))-SIN((2*ACOS(1-2*BK26/R26)))))*((((R26^2/8)*((2*ACOS(1-2*BK26/R26))-SIN((2*ACOS(1-2*BK26/R26)))))/((R26/2)*((2*ACOS(1-2*BK26/R26)))))^(2/3))*SQRT(N26))</f>
        <v/>
      </c>
      <c r="BM26" s="9" t="str">
        <f aca="false">IF(AY26="","",IF(BL26&lt;AY26,BK26,BI26))</f>
        <v/>
      </c>
      <c r="BN26" s="9" t="str">
        <f aca="false">IF(AY26="","",IF(BL26&lt;AY26,BJ26,BK26))</f>
        <v/>
      </c>
      <c r="BO26" s="9" t="str">
        <f aca="false">IF(AY26="","",(BM26+BN26)/2)</f>
        <v/>
      </c>
      <c r="BP26" s="9" t="str">
        <f aca="false">IF(OR(R26="",N26="",BO26="",R26&lt;=0,BO26&lt;=0),"",(1/Inputs!$B$9)*((R26^2/8)*((2*ACOS(1-2*BO26/R26))-SIN((2*ACOS(1-2*BO26/R26)))))*((((R26^2/8)*((2*ACOS(1-2*BO26/R26))-SIN((2*ACOS(1-2*BO26/R26)))))/((R26/2)*((2*ACOS(1-2*BO26/R26)))))^(2/3))*SQRT(N26))</f>
        <v/>
      </c>
      <c r="BQ26" s="9" t="str">
        <f aca="false">IF(AY26="","",IF(BP26&lt;AY26,BO26,BM26))</f>
        <v/>
      </c>
      <c r="BR26" s="9" t="str">
        <f aca="false">IF(AY26="","",IF(BP26&lt;AY26,BN26,BO26))</f>
        <v/>
      </c>
      <c r="BS26" s="9" t="str">
        <f aca="false">IF(AY26="","",(BQ26+BR26)/2)</f>
        <v/>
      </c>
      <c r="BT26" s="9" t="str">
        <f aca="false">IF(OR(R26="",N26="",BS26="",R26&lt;=0,BS26&lt;=0),"",(1/Inputs!$B$9)*((R26^2/8)*((2*ACOS(1-2*BS26/R26))-SIN((2*ACOS(1-2*BS26/R26)))))*((((R26^2/8)*((2*ACOS(1-2*BS26/R26))-SIN((2*ACOS(1-2*BS26/R26)))))/((R26/2)*((2*ACOS(1-2*BS26/R26)))))^(2/3))*SQRT(N26))</f>
        <v/>
      </c>
      <c r="BU26" s="9" t="str">
        <f aca="false">IF(AY26="","",IF(BT26&lt;AY26,BS26,BQ26))</f>
        <v/>
      </c>
      <c r="BV26" s="9" t="str">
        <f aca="false">IF(AY26="","",IF(BT26&lt;AY26,BR26,BS26))</f>
        <v/>
      </c>
      <c r="BW26" s="9" t="str">
        <f aca="false">IF(AY26="","",(BU26+BV26)/2)</f>
        <v/>
      </c>
      <c r="BX26" s="9" t="str">
        <f aca="false">IF(OR(R26="",N26="",BW26="",R26&lt;=0,BW26&lt;=0),"",(1/Inputs!$B$9)*((R26^2/8)*((2*ACOS(1-2*BW26/R26))-SIN((2*ACOS(1-2*BW26/R26)))))*((((R26^2/8)*((2*ACOS(1-2*BW26/R26))-SIN((2*ACOS(1-2*BW26/R26)))))/((R26/2)*((2*ACOS(1-2*BW26/R26)))))^(2/3))*SQRT(N26))</f>
        <v/>
      </c>
      <c r="BY26" s="9" t="str">
        <f aca="false">IF(AY26="","",IF(BX26&lt;AY26,BW26,BU26))</f>
        <v/>
      </c>
      <c r="BZ26" s="9" t="str">
        <f aca="false">IF(AY26="","",IF(BX26&lt;AY26,BV26,BW26))</f>
        <v/>
      </c>
      <c r="CA26" s="9" t="str">
        <f aca="false">IF(AY26="","",(BY26+BZ26)/2)</f>
        <v/>
      </c>
      <c r="CB26" s="9" t="str">
        <f aca="false">IF(OR(R26="",N26="",CA26="",R26&lt;=0,CA26&lt;=0),"",(1/Inputs!$B$9)*((R26^2/8)*((2*ACOS(1-2*CA26/R26))-SIN((2*ACOS(1-2*CA26/R26)))))*((((R26^2/8)*((2*ACOS(1-2*CA26/R26))-SIN((2*ACOS(1-2*CA26/R26)))))/((R26/2)*((2*ACOS(1-2*CA26/R26)))))^(2/3))*SQRT(N26))</f>
        <v/>
      </c>
      <c r="CC26" s="9" t="str">
        <f aca="false">IF(AY26="","",IF(CB26&lt;AY26,CA26,BY26))</f>
        <v/>
      </c>
      <c r="CD26" s="9" t="str">
        <f aca="false">IF(AY26="","",IF(CB26&lt;AY26,BZ26,CA26))</f>
        <v/>
      </c>
      <c r="CE26" s="9" t="str">
        <f aca="false">IF(AY26="","",(CC26+CD26)/2)</f>
        <v/>
      </c>
    </row>
    <row r="27" customFormat="false" ht="15" hidden="false" customHeight="false" outlineLevel="0" collapsed="false">
      <c r="A27" s="9"/>
      <c r="B27" s="9"/>
      <c r="C27" s="14"/>
      <c r="D27" s="14"/>
      <c r="E27" s="14" t="n">
        <f aca="false">SUMIFS(CB_Tributaires!$C:$C,CB_Tributaires!$B:$B,$A27)</f>
        <v>0</v>
      </c>
      <c r="F27" s="14" t="n">
        <f aca="false">IF(D27="",E27,D27)</f>
        <v>0</v>
      </c>
      <c r="G27" s="9"/>
      <c r="H27" s="14"/>
      <c r="I27" s="14" t="str">
        <f aca="false">IF(A27="","",Inputs!$B$13/((IF(AS27="",Inputs!$B$18,AS27)+Inputs!$B$14)^Inputs!$B$15))</f>
        <v/>
      </c>
      <c r="J27" s="14" t="str">
        <f aca="false">IF(A27="","",0.000000278*IF(G27="",Inputs!$B$17,G27)*F27*I27)</f>
        <v/>
      </c>
      <c r="K27" s="14" t="str">
        <f aca="false">IF(A27="","",SUMIFS($L$4:$L$203,$B$4:$B$203,$A27))</f>
        <v/>
      </c>
      <c r="L27" s="14" t="str">
        <f aca="false">IF(A27="","",(J27+K27)*Inputs!$B$16)</f>
        <v/>
      </c>
      <c r="M27" s="14"/>
      <c r="N27" s="14" t="str">
        <f aca="false">IF(A27="","",IF(M27="",Inputs!$B$7,M27))</f>
        <v/>
      </c>
      <c r="O27" s="9" t="str">
        <f aca="false">IF(A27="","",IF(L27/Inputs!$B$10&lt;=AD27,Inputs!$F$5,IF(L27/Inputs!$B$10&gt;AM27,"OVERSIZE",INDEX(Inputs!$F$5:$F$14,MATCH(L27/Inputs!$B$10,AD27:AM27,1)+1))))</f>
        <v/>
      </c>
      <c r="P27" s="9"/>
      <c r="Q27" s="9" t="str">
        <f aca="false">IF(A27="","",IF(P27="",O27,P27))</f>
        <v/>
      </c>
      <c r="R27" s="14" t="str">
        <f aca="false">IF(OR(Q27="",Q27="OVERSIZE"),"",Q27/1000)</f>
        <v/>
      </c>
      <c r="S27" s="14" t="str">
        <f aca="false">IF(R27="","",(1/Inputs!$B$9)*(PI()*R27^2/4)*((R27/4)^(2/3))*SQRT(N27))</f>
        <v/>
      </c>
      <c r="T27" s="14" t="str">
        <f aca="false">IF(OR(S27="",L27=""),"",L27/(S27*Inputs!$B$10))</f>
        <v/>
      </c>
      <c r="U27" s="14" t="str">
        <f aca="false">IF(OR(R27="",L27=""),"",4*L27/(PI()*R27^2))</f>
        <v/>
      </c>
      <c r="V27" s="14"/>
      <c r="W27" s="14" t="str">
        <f aca="false">IF(A27="","",IF(A27=Inputs!$B$6,Inputs!$B$22,IF(B27="","",IFERROR(INDEX($X$4:$X$203,MATCH(B27,$A$4:$A$203,0))+IF(V27="",Inputs!$B$20,V27),""))))</f>
        <v/>
      </c>
      <c r="X27" s="14" t="str">
        <f aca="false">IF(OR(W27="",N27="",C27=""),"",W27+N27*C27)</f>
        <v/>
      </c>
      <c r="Y27" s="14"/>
      <c r="Z27" s="14"/>
      <c r="AA27" s="14" t="str">
        <f aca="false">IF(OR(Y27="",W27=""),"",Y27-W27)</f>
        <v/>
      </c>
      <c r="AB27" s="14" t="str">
        <f aca="false">IF(OR(Z27="",X27=""),"",Z27-X27)</f>
        <v/>
      </c>
      <c r="AC27" s="19" t="str">
        <f aca="false">IF(A27="","",IF(OR(T27&gt;1,AND(AV27&lt;&gt;"",AV27&lt;Inputs!$B$11),AND(AV27&lt;&gt;"",AV27&gt;Inputs!$B$12),AA27&lt;Inputs!$B$19,AB27&lt;Inputs!$B$19,N27&lt;Inputs!$B$7,N27&gt;Inputs!$B$8),"CHECK","OK"))</f>
        <v/>
      </c>
      <c r="AD27" s="9" t="str">
        <f aca="false">IF(A27="","",(1/Inputs!$B$9)*(PI()*(Inputs!$F$5/1000)^2/4)*((Inputs!$F$5/1000/4)^(2/3))*SQRT(N27))</f>
        <v/>
      </c>
      <c r="AE27" s="9" t="str">
        <f aca="false">IF(A27="","",(1/Inputs!$B$9)*(PI()*(Inputs!$F$6/1000)^2/4)*((Inputs!$F$6/1000/4)^(2/3))*SQRT(N27))</f>
        <v/>
      </c>
      <c r="AF27" s="9" t="str">
        <f aca="false">IF(A27="","",(1/Inputs!$B$9)*(PI()*(Inputs!$F$7/1000)^2/4)*((Inputs!$F$7/1000/4)^(2/3))*SQRT(N27))</f>
        <v/>
      </c>
      <c r="AG27" s="9" t="str">
        <f aca="false">IF(A27="","",(1/Inputs!$B$9)*(PI()*(Inputs!$F$8/1000)^2/4)*((Inputs!$F$8/1000/4)^(2/3))*SQRT(N27))</f>
        <v/>
      </c>
      <c r="AH27" s="9" t="str">
        <f aca="false">IF(A27="","",(1/Inputs!$B$9)*(PI()*(Inputs!$F$9/1000)^2/4)*((Inputs!$F$9/1000/4)^(2/3))*SQRT(N27))</f>
        <v/>
      </c>
      <c r="AI27" s="9" t="str">
        <f aca="false">IF(A27="","",(1/Inputs!$B$9)*(PI()*(Inputs!$F$10/1000)^2/4)*((Inputs!$F$10/1000/4)^(2/3))*SQRT(N27))</f>
        <v/>
      </c>
      <c r="AJ27" s="9" t="str">
        <f aca="false">IF(A27="","",(1/Inputs!$B$9)*(PI()*(Inputs!$F$11/1000)^2/4)*((Inputs!$F$11/1000/4)^(2/3))*SQRT(N27))</f>
        <v/>
      </c>
      <c r="AK27" s="9" t="str">
        <f aca="false">IF(A27="","",(1/Inputs!$B$9)*(PI()*(Inputs!$F$12/1000)^2/4)*((Inputs!$F$12/1000/4)^(2/3))*SQRT(N27))</f>
        <v/>
      </c>
      <c r="AL27" s="9" t="str">
        <f aca="false">IF(A27="","",(1/Inputs!$B$9)*(PI()*(Inputs!$F$13/1000)^2/4)*((Inputs!$F$13/1000/4)^(2/3))*SQRT(N27))</f>
        <v/>
      </c>
      <c r="AM27" s="9" t="str">
        <f aca="false">IF(A27="","",(1/Inputs!$B$9)*(PI()*(Inputs!$F$14/1000)^2/4)*((Inputs!$F$14/1000/4)^(2/3))*SQRT(N27))</f>
        <v/>
      </c>
      <c r="AN27" s="9" t="str">
        <f aca="false">IF(A27="","",COUNTIF($B$4:$B$203,$A27))</f>
        <v/>
      </c>
      <c r="AO27" s="9" t="str">
        <f aca="false">IF(A27="","",IF(AN27=0,"START","CONTINUOUS"))</f>
        <v/>
      </c>
      <c r="AP27" s="13" t="str">
        <f aca="false">IF(A27="","",IF(H27="",Inputs!$B$18,H27))</f>
        <v/>
      </c>
      <c r="AQ27" s="13" t="str">
        <f aca="false">IF(A27="","",IFERROR(maxifs($AS$4:$AS$203,$B$4:$B$203,$A27),""))</f>
        <v/>
      </c>
      <c r="AR27" s="13" t="str">
        <f aca="false">IF(A27="","",IF(OR(C27="",Inputs!$B$23=""),"",C27/(Inputs!$B$23*60)))</f>
        <v/>
      </c>
      <c r="AS27" s="13" t="str">
        <f aca="false">IF(A27="","",IF(AN27=0,AP27+AR27,IF(AQ27="",AP27+AR27,AQ27+AR27)))</f>
        <v/>
      </c>
      <c r="AT27" s="13" t="str">
        <f aca="false">IF(A27="","",U27)</f>
        <v/>
      </c>
      <c r="AU27" s="13" t="str">
        <f aca="false">IF(OR(R27="",N27=""),"",(1/Inputs!$B$9)*((R27/4)^(2/3))*SQRT(N27))</f>
        <v/>
      </c>
      <c r="AV27" s="13" t="str">
        <f aca="false">IF(A27="","",IF(AND(AT27="",AU27="",AX27=""),"",IF(OR(UPPER(TRIM(Inputs!$B$24))="MANNING",UPPER(TRIM(Inputs!$B$24))="M"),AU27,IF(OR(UPPER(TRIM(Inputs!$B$24))="PARTIAL",UPPER(TRIM(Inputs!$B$24))="P"),AX27,IF(OR(UPPER(TRIM(Inputs!$B$24))="MAX",UPPER(TRIM(Inputs!$B$24))="X"),MAX(IF(AT27="",0,AT27),IF(AU27="",0,AU27),IF(AX27="",0,AX27)),AT27)))))</f>
        <v/>
      </c>
      <c r="AW27" s="13" t="str">
        <f aca="false">IF(AY27="","",CE27)</f>
        <v/>
      </c>
      <c r="AX27" s="13" t="str">
        <f aca="false">IF(OR(AY27="",AW27="",R27="",R27&lt;=0,AW27&lt;=0),"",AY27/((R27^2/8)*(2*ACOS(1-2*AW27/R27)-SIN(2*ACOS(1-2*AW27/R27)))))</f>
        <v/>
      </c>
      <c r="AY27" s="9" t="str">
        <f aca="false">IF(OR(L27="",AZ27=""),"",MIN(L27,AZ27))</f>
        <v/>
      </c>
      <c r="AZ27" s="9" t="str">
        <f aca="false">IF(OR(L27="",R27="",N27=""),"",IF(OR(R27="",N27="",(0.94*R27)="",R27&lt;=0,(0.94*R27)&lt;=0),"",(1/Inputs!$B$9)*((R27^2/8)*((2*ACOS(1-2*(0.94*R27)/R27))-SIN((2*ACOS(1-2*(0.94*R27)/R27)))))*((((R27^2/8)*((2*ACOS(1-2*(0.94*R27)/R27))-SIN((2*ACOS(1-2*(0.94*R27)/R27)))))/((R27/2)*((2*ACOS(1-2*(0.94*R27)/R27)))))^(2/3))*SQRT(N27)))</f>
        <v/>
      </c>
      <c r="BA27" s="9" t="str">
        <f aca="false">IF(AY27="","",0.001*R27)</f>
        <v/>
      </c>
      <c r="BB27" s="9" t="str">
        <f aca="false">IF(AY27="","",0.94*R27)</f>
        <v/>
      </c>
      <c r="BC27" s="9" t="str">
        <f aca="false">IF(AY27="","",(BA27+BB27)/2)</f>
        <v/>
      </c>
      <c r="BD27" s="9" t="str">
        <f aca="false">IF(OR(R27="",N27="",BC27="",R27&lt;=0,BC27&lt;=0),"",(1/Inputs!$B$9)*((R27^2/8)*((2*ACOS(1-2*BC27/R27))-SIN((2*ACOS(1-2*BC27/R27)))))*((((R27^2/8)*((2*ACOS(1-2*BC27/R27))-SIN((2*ACOS(1-2*BC27/R27)))))/((R27/2)*((2*ACOS(1-2*BC27/R27)))))^(2/3))*SQRT(N27))</f>
        <v/>
      </c>
      <c r="BE27" s="9" t="str">
        <f aca="false">IF(AY27="","",IF(BD27&lt;AY27,BC27,BA27))</f>
        <v/>
      </c>
      <c r="BF27" s="9" t="str">
        <f aca="false">IF(AY27="","",IF(BD27&lt;AY27,BB27,BC27))</f>
        <v/>
      </c>
      <c r="BG27" s="9" t="str">
        <f aca="false">IF(AY27="","",(BE27+BF27)/2)</f>
        <v/>
      </c>
      <c r="BH27" s="9" t="str">
        <f aca="false">IF(OR(R27="",N27="",BG27="",R27&lt;=0,BG27&lt;=0),"",(1/Inputs!$B$9)*((R27^2/8)*((2*ACOS(1-2*BG27/R27))-SIN((2*ACOS(1-2*BG27/R27)))))*((((R27^2/8)*((2*ACOS(1-2*BG27/R27))-SIN((2*ACOS(1-2*BG27/R27)))))/((R27/2)*((2*ACOS(1-2*BG27/R27)))))^(2/3))*SQRT(N27))</f>
        <v/>
      </c>
      <c r="BI27" s="9" t="str">
        <f aca="false">IF(AY27="","",IF(BH27&lt;AY27,BG27,BE27))</f>
        <v/>
      </c>
      <c r="BJ27" s="9" t="str">
        <f aca="false">IF(AY27="","",IF(BH27&lt;AY27,BF27,BG27))</f>
        <v/>
      </c>
      <c r="BK27" s="9" t="str">
        <f aca="false">IF(AY27="","",(BI27+BJ27)/2)</f>
        <v/>
      </c>
      <c r="BL27" s="9" t="str">
        <f aca="false">IF(OR(R27="",N27="",BK27="",R27&lt;=0,BK27&lt;=0),"",(1/Inputs!$B$9)*((R27^2/8)*((2*ACOS(1-2*BK27/R27))-SIN((2*ACOS(1-2*BK27/R27)))))*((((R27^2/8)*((2*ACOS(1-2*BK27/R27))-SIN((2*ACOS(1-2*BK27/R27)))))/((R27/2)*((2*ACOS(1-2*BK27/R27)))))^(2/3))*SQRT(N27))</f>
        <v/>
      </c>
      <c r="BM27" s="9" t="str">
        <f aca="false">IF(AY27="","",IF(BL27&lt;AY27,BK27,BI27))</f>
        <v/>
      </c>
      <c r="BN27" s="9" t="str">
        <f aca="false">IF(AY27="","",IF(BL27&lt;AY27,BJ27,BK27))</f>
        <v/>
      </c>
      <c r="BO27" s="9" t="str">
        <f aca="false">IF(AY27="","",(BM27+BN27)/2)</f>
        <v/>
      </c>
      <c r="BP27" s="9" t="str">
        <f aca="false">IF(OR(R27="",N27="",BO27="",R27&lt;=0,BO27&lt;=0),"",(1/Inputs!$B$9)*((R27^2/8)*((2*ACOS(1-2*BO27/R27))-SIN((2*ACOS(1-2*BO27/R27)))))*((((R27^2/8)*((2*ACOS(1-2*BO27/R27))-SIN((2*ACOS(1-2*BO27/R27)))))/((R27/2)*((2*ACOS(1-2*BO27/R27)))))^(2/3))*SQRT(N27))</f>
        <v/>
      </c>
      <c r="BQ27" s="9" t="str">
        <f aca="false">IF(AY27="","",IF(BP27&lt;AY27,BO27,BM27))</f>
        <v/>
      </c>
      <c r="BR27" s="9" t="str">
        <f aca="false">IF(AY27="","",IF(BP27&lt;AY27,BN27,BO27))</f>
        <v/>
      </c>
      <c r="BS27" s="9" t="str">
        <f aca="false">IF(AY27="","",(BQ27+BR27)/2)</f>
        <v/>
      </c>
      <c r="BT27" s="9" t="str">
        <f aca="false">IF(OR(R27="",N27="",BS27="",R27&lt;=0,BS27&lt;=0),"",(1/Inputs!$B$9)*((R27^2/8)*((2*ACOS(1-2*BS27/R27))-SIN((2*ACOS(1-2*BS27/R27)))))*((((R27^2/8)*((2*ACOS(1-2*BS27/R27))-SIN((2*ACOS(1-2*BS27/R27)))))/((R27/2)*((2*ACOS(1-2*BS27/R27)))))^(2/3))*SQRT(N27))</f>
        <v/>
      </c>
      <c r="BU27" s="9" t="str">
        <f aca="false">IF(AY27="","",IF(BT27&lt;AY27,BS27,BQ27))</f>
        <v/>
      </c>
      <c r="BV27" s="9" t="str">
        <f aca="false">IF(AY27="","",IF(BT27&lt;AY27,BR27,BS27))</f>
        <v/>
      </c>
      <c r="BW27" s="9" t="str">
        <f aca="false">IF(AY27="","",(BU27+BV27)/2)</f>
        <v/>
      </c>
      <c r="BX27" s="9" t="str">
        <f aca="false">IF(OR(R27="",N27="",BW27="",R27&lt;=0,BW27&lt;=0),"",(1/Inputs!$B$9)*((R27^2/8)*((2*ACOS(1-2*BW27/R27))-SIN((2*ACOS(1-2*BW27/R27)))))*((((R27^2/8)*((2*ACOS(1-2*BW27/R27))-SIN((2*ACOS(1-2*BW27/R27)))))/((R27/2)*((2*ACOS(1-2*BW27/R27)))))^(2/3))*SQRT(N27))</f>
        <v/>
      </c>
      <c r="BY27" s="9" t="str">
        <f aca="false">IF(AY27="","",IF(BX27&lt;AY27,BW27,BU27))</f>
        <v/>
      </c>
      <c r="BZ27" s="9" t="str">
        <f aca="false">IF(AY27="","",IF(BX27&lt;AY27,BV27,BW27))</f>
        <v/>
      </c>
      <c r="CA27" s="9" t="str">
        <f aca="false">IF(AY27="","",(BY27+BZ27)/2)</f>
        <v/>
      </c>
      <c r="CB27" s="9" t="str">
        <f aca="false">IF(OR(R27="",N27="",CA27="",R27&lt;=0,CA27&lt;=0),"",(1/Inputs!$B$9)*((R27^2/8)*((2*ACOS(1-2*CA27/R27))-SIN((2*ACOS(1-2*CA27/R27)))))*((((R27^2/8)*((2*ACOS(1-2*CA27/R27))-SIN((2*ACOS(1-2*CA27/R27)))))/((R27/2)*((2*ACOS(1-2*CA27/R27)))))^(2/3))*SQRT(N27))</f>
        <v/>
      </c>
      <c r="CC27" s="9" t="str">
        <f aca="false">IF(AY27="","",IF(CB27&lt;AY27,CA27,BY27))</f>
        <v/>
      </c>
      <c r="CD27" s="9" t="str">
        <f aca="false">IF(AY27="","",IF(CB27&lt;AY27,BZ27,CA27))</f>
        <v/>
      </c>
      <c r="CE27" s="9" t="str">
        <f aca="false">IF(AY27="","",(CC27+CD27)/2)</f>
        <v/>
      </c>
    </row>
    <row r="28" customFormat="false" ht="15" hidden="false" customHeight="false" outlineLevel="0" collapsed="false">
      <c r="A28" s="9"/>
      <c r="B28" s="9"/>
      <c r="C28" s="14"/>
      <c r="D28" s="14"/>
      <c r="E28" s="14" t="n">
        <f aca="false">SUMIFS(CB_Tributaires!$C:$C,CB_Tributaires!$B:$B,$A28)</f>
        <v>0</v>
      </c>
      <c r="F28" s="14" t="n">
        <f aca="false">IF(D28="",E28,D28)</f>
        <v>0</v>
      </c>
      <c r="G28" s="9"/>
      <c r="H28" s="14"/>
      <c r="I28" s="14" t="str">
        <f aca="false">IF(A28="","",Inputs!$B$13/((IF(AS28="",Inputs!$B$18,AS28)+Inputs!$B$14)^Inputs!$B$15))</f>
        <v/>
      </c>
      <c r="J28" s="14" t="str">
        <f aca="false">IF(A28="","",0.000000278*IF(G28="",Inputs!$B$17,G28)*F28*I28)</f>
        <v/>
      </c>
      <c r="K28" s="14" t="str">
        <f aca="false">IF(A28="","",SUMIFS($L$4:$L$203,$B$4:$B$203,$A28))</f>
        <v/>
      </c>
      <c r="L28" s="14" t="str">
        <f aca="false">IF(A28="","",(J28+K28)*Inputs!$B$16)</f>
        <v/>
      </c>
      <c r="M28" s="14"/>
      <c r="N28" s="14" t="str">
        <f aca="false">IF(A28="","",IF(M28="",Inputs!$B$7,M28))</f>
        <v/>
      </c>
      <c r="O28" s="9" t="str">
        <f aca="false">IF(A28="","",IF(L28/Inputs!$B$10&lt;=AD28,Inputs!$F$5,IF(L28/Inputs!$B$10&gt;AM28,"OVERSIZE",INDEX(Inputs!$F$5:$F$14,MATCH(L28/Inputs!$B$10,AD28:AM28,1)+1))))</f>
        <v/>
      </c>
      <c r="P28" s="9"/>
      <c r="Q28" s="9" t="str">
        <f aca="false">IF(A28="","",IF(P28="",O28,P28))</f>
        <v/>
      </c>
      <c r="R28" s="14" t="str">
        <f aca="false">IF(OR(Q28="",Q28="OVERSIZE"),"",Q28/1000)</f>
        <v/>
      </c>
      <c r="S28" s="14" t="str">
        <f aca="false">IF(R28="","",(1/Inputs!$B$9)*(PI()*R28^2/4)*((R28/4)^(2/3))*SQRT(N28))</f>
        <v/>
      </c>
      <c r="T28" s="14" t="str">
        <f aca="false">IF(OR(S28="",L28=""),"",L28/(S28*Inputs!$B$10))</f>
        <v/>
      </c>
      <c r="U28" s="14" t="str">
        <f aca="false">IF(OR(R28="",L28=""),"",4*L28/(PI()*R28^2))</f>
        <v/>
      </c>
      <c r="V28" s="14"/>
      <c r="W28" s="14" t="str">
        <f aca="false">IF(A28="","",IF(A28=Inputs!$B$6,Inputs!$B$22,IF(B28="","",IFERROR(INDEX($X$4:$X$203,MATCH(B28,$A$4:$A$203,0))+IF(V28="",Inputs!$B$20,V28),""))))</f>
        <v/>
      </c>
      <c r="X28" s="14" t="str">
        <f aca="false">IF(OR(W28="",N28="",C28=""),"",W28+N28*C28)</f>
        <v/>
      </c>
      <c r="Y28" s="14"/>
      <c r="Z28" s="14"/>
      <c r="AA28" s="14" t="str">
        <f aca="false">IF(OR(Y28="",W28=""),"",Y28-W28)</f>
        <v/>
      </c>
      <c r="AB28" s="14" t="str">
        <f aca="false">IF(OR(Z28="",X28=""),"",Z28-X28)</f>
        <v/>
      </c>
      <c r="AC28" s="19" t="str">
        <f aca="false">IF(A28="","",IF(OR(T28&gt;1,AND(AV28&lt;&gt;"",AV28&lt;Inputs!$B$11),AND(AV28&lt;&gt;"",AV28&gt;Inputs!$B$12),AA28&lt;Inputs!$B$19,AB28&lt;Inputs!$B$19,N28&lt;Inputs!$B$7,N28&gt;Inputs!$B$8),"CHECK","OK"))</f>
        <v/>
      </c>
      <c r="AD28" s="9" t="str">
        <f aca="false">IF(A28="","",(1/Inputs!$B$9)*(PI()*(Inputs!$F$5/1000)^2/4)*((Inputs!$F$5/1000/4)^(2/3))*SQRT(N28))</f>
        <v/>
      </c>
      <c r="AE28" s="9" t="str">
        <f aca="false">IF(A28="","",(1/Inputs!$B$9)*(PI()*(Inputs!$F$6/1000)^2/4)*((Inputs!$F$6/1000/4)^(2/3))*SQRT(N28))</f>
        <v/>
      </c>
      <c r="AF28" s="9" t="str">
        <f aca="false">IF(A28="","",(1/Inputs!$B$9)*(PI()*(Inputs!$F$7/1000)^2/4)*((Inputs!$F$7/1000/4)^(2/3))*SQRT(N28))</f>
        <v/>
      </c>
      <c r="AG28" s="9" t="str">
        <f aca="false">IF(A28="","",(1/Inputs!$B$9)*(PI()*(Inputs!$F$8/1000)^2/4)*((Inputs!$F$8/1000/4)^(2/3))*SQRT(N28))</f>
        <v/>
      </c>
      <c r="AH28" s="9" t="str">
        <f aca="false">IF(A28="","",(1/Inputs!$B$9)*(PI()*(Inputs!$F$9/1000)^2/4)*((Inputs!$F$9/1000/4)^(2/3))*SQRT(N28))</f>
        <v/>
      </c>
      <c r="AI28" s="9" t="str">
        <f aca="false">IF(A28="","",(1/Inputs!$B$9)*(PI()*(Inputs!$F$10/1000)^2/4)*((Inputs!$F$10/1000/4)^(2/3))*SQRT(N28))</f>
        <v/>
      </c>
      <c r="AJ28" s="9" t="str">
        <f aca="false">IF(A28="","",(1/Inputs!$B$9)*(PI()*(Inputs!$F$11/1000)^2/4)*((Inputs!$F$11/1000/4)^(2/3))*SQRT(N28))</f>
        <v/>
      </c>
      <c r="AK28" s="9" t="str">
        <f aca="false">IF(A28="","",(1/Inputs!$B$9)*(PI()*(Inputs!$F$12/1000)^2/4)*((Inputs!$F$12/1000/4)^(2/3))*SQRT(N28))</f>
        <v/>
      </c>
      <c r="AL28" s="9" t="str">
        <f aca="false">IF(A28="","",(1/Inputs!$B$9)*(PI()*(Inputs!$F$13/1000)^2/4)*((Inputs!$F$13/1000/4)^(2/3))*SQRT(N28))</f>
        <v/>
      </c>
      <c r="AM28" s="9" t="str">
        <f aca="false">IF(A28="","",(1/Inputs!$B$9)*(PI()*(Inputs!$F$14/1000)^2/4)*((Inputs!$F$14/1000/4)^(2/3))*SQRT(N28))</f>
        <v/>
      </c>
      <c r="AN28" s="9" t="str">
        <f aca="false">IF(A28="","",COUNTIF($B$4:$B$203,$A28))</f>
        <v/>
      </c>
      <c r="AO28" s="9" t="str">
        <f aca="false">IF(A28="","",IF(AN28=0,"START","CONTINUOUS"))</f>
        <v/>
      </c>
      <c r="AP28" s="13" t="str">
        <f aca="false">IF(A28="","",IF(H28="",Inputs!$B$18,H28))</f>
        <v/>
      </c>
      <c r="AQ28" s="13" t="str">
        <f aca="false">IF(A28="","",IFERROR(maxifs($AS$4:$AS$203,$B$4:$B$203,$A28),""))</f>
        <v/>
      </c>
      <c r="AR28" s="13" t="str">
        <f aca="false">IF(A28="","",IF(OR(C28="",Inputs!$B$23=""),"",C28/(Inputs!$B$23*60)))</f>
        <v/>
      </c>
      <c r="AS28" s="13" t="str">
        <f aca="false">IF(A28="","",IF(AN28=0,AP28+AR28,IF(AQ28="",AP28+AR28,AQ28+AR28)))</f>
        <v/>
      </c>
      <c r="AT28" s="13" t="str">
        <f aca="false">IF(A28="","",U28)</f>
        <v/>
      </c>
      <c r="AU28" s="13" t="str">
        <f aca="false">IF(OR(R28="",N28=""),"",(1/Inputs!$B$9)*((R28/4)^(2/3))*SQRT(N28))</f>
        <v/>
      </c>
      <c r="AV28" s="13" t="str">
        <f aca="false">IF(A28="","",IF(AND(AT28="",AU28="",AX28=""),"",IF(OR(UPPER(TRIM(Inputs!$B$24))="MANNING",UPPER(TRIM(Inputs!$B$24))="M"),AU28,IF(OR(UPPER(TRIM(Inputs!$B$24))="PARTIAL",UPPER(TRIM(Inputs!$B$24))="P"),AX28,IF(OR(UPPER(TRIM(Inputs!$B$24))="MAX",UPPER(TRIM(Inputs!$B$24))="X"),MAX(IF(AT28="",0,AT28),IF(AU28="",0,AU28),IF(AX28="",0,AX28)),AT28)))))</f>
        <v/>
      </c>
      <c r="AW28" s="13" t="str">
        <f aca="false">IF(AY28="","",CE28)</f>
        <v/>
      </c>
      <c r="AX28" s="13" t="str">
        <f aca="false">IF(OR(AY28="",AW28="",R28="",R28&lt;=0,AW28&lt;=0),"",AY28/((R28^2/8)*(2*ACOS(1-2*AW28/R28)-SIN(2*ACOS(1-2*AW28/R28)))))</f>
        <v/>
      </c>
      <c r="AY28" s="9" t="str">
        <f aca="false">IF(OR(L28="",AZ28=""),"",MIN(L28,AZ28))</f>
        <v/>
      </c>
      <c r="AZ28" s="9" t="str">
        <f aca="false">IF(OR(L28="",R28="",N28=""),"",IF(OR(R28="",N28="",(0.94*R28)="",R28&lt;=0,(0.94*R28)&lt;=0),"",(1/Inputs!$B$9)*((R28^2/8)*((2*ACOS(1-2*(0.94*R28)/R28))-SIN((2*ACOS(1-2*(0.94*R28)/R28)))))*((((R28^2/8)*((2*ACOS(1-2*(0.94*R28)/R28))-SIN((2*ACOS(1-2*(0.94*R28)/R28)))))/((R28/2)*((2*ACOS(1-2*(0.94*R28)/R28)))))^(2/3))*SQRT(N28)))</f>
        <v/>
      </c>
      <c r="BA28" s="9" t="str">
        <f aca="false">IF(AY28="","",0.001*R28)</f>
        <v/>
      </c>
      <c r="BB28" s="9" t="str">
        <f aca="false">IF(AY28="","",0.94*R28)</f>
        <v/>
      </c>
      <c r="BC28" s="9" t="str">
        <f aca="false">IF(AY28="","",(BA28+BB28)/2)</f>
        <v/>
      </c>
      <c r="BD28" s="9" t="str">
        <f aca="false">IF(OR(R28="",N28="",BC28="",R28&lt;=0,BC28&lt;=0),"",(1/Inputs!$B$9)*((R28^2/8)*((2*ACOS(1-2*BC28/R28))-SIN((2*ACOS(1-2*BC28/R28)))))*((((R28^2/8)*((2*ACOS(1-2*BC28/R28))-SIN((2*ACOS(1-2*BC28/R28)))))/((R28/2)*((2*ACOS(1-2*BC28/R28)))))^(2/3))*SQRT(N28))</f>
        <v/>
      </c>
      <c r="BE28" s="9" t="str">
        <f aca="false">IF(AY28="","",IF(BD28&lt;AY28,BC28,BA28))</f>
        <v/>
      </c>
      <c r="BF28" s="9" t="str">
        <f aca="false">IF(AY28="","",IF(BD28&lt;AY28,BB28,BC28))</f>
        <v/>
      </c>
      <c r="BG28" s="9" t="str">
        <f aca="false">IF(AY28="","",(BE28+BF28)/2)</f>
        <v/>
      </c>
      <c r="BH28" s="9" t="str">
        <f aca="false">IF(OR(R28="",N28="",BG28="",R28&lt;=0,BG28&lt;=0),"",(1/Inputs!$B$9)*((R28^2/8)*((2*ACOS(1-2*BG28/R28))-SIN((2*ACOS(1-2*BG28/R28)))))*((((R28^2/8)*((2*ACOS(1-2*BG28/R28))-SIN((2*ACOS(1-2*BG28/R28)))))/((R28/2)*((2*ACOS(1-2*BG28/R28)))))^(2/3))*SQRT(N28))</f>
        <v/>
      </c>
      <c r="BI28" s="9" t="str">
        <f aca="false">IF(AY28="","",IF(BH28&lt;AY28,BG28,BE28))</f>
        <v/>
      </c>
      <c r="BJ28" s="9" t="str">
        <f aca="false">IF(AY28="","",IF(BH28&lt;AY28,BF28,BG28))</f>
        <v/>
      </c>
      <c r="BK28" s="9" t="str">
        <f aca="false">IF(AY28="","",(BI28+BJ28)/2)</f>
        <v/>
      </c>
      <c r="BL28" s="9" t="str">
        <f aca="false">IF(OR(R28="",N28="",BK28="",R28&lt;=0,BK28&lt;=0),"",(1/Inputs!$B$9)*((R28^2/8)*((2*ACOS(1-2*BK28/R28))-SIN((2*ACOS(1-2*BK28/R28)))))*((((R28^2/8)*((2*ACOS(1-2*BK28/R28))-SIN((2*ACOS(1-2*BK28/R28)))))/((R28/2)*((2*ACOS(1-2*BK28/R28)))))^(2/3))*SQRT(N28))</f>
        <v/>
      </c>
      <c r="BM28" s="9" t="str">
        <f aca="false">IF(AY28="","",IF(BL28&lt;AY28,BK28,BI28))</f>
        <v/>
      </c>
      <c r="BN28" s="9" t="str">
        <f aca="false">IF(AY28="","",IF(BL28&lt;AY28,BJ28,BK28))</f>
        <v/>
      </c>
      <c r="BO28" s="9" t="str">
        <f aca="false">IF(AY28="","",(BM28+BN28)/2)</f>
        <v/>
      </c>
      <c r="BP28" s="9" t="str">
        <f aca="false">IF(OR(R28="",N28="",BO28="",R28&lt;=0,BO28&lt;=0),"",(1/Inputs!$B$9)*((R28^2/8)*((2*ACOS(1-2*BO28/R28))-SIN((2*ACOS(1-2*BO28/R28)))))*((((R28^2/8)*((2*ACOS(1-2*BO28/R28))-SIN((2*ACOS(1-2*BO28/R28)))))/((R28/2)*((2*ACOS(1-2*BO28/R28)))))^(2/3))*SQRT(N28))</f>
        <v/>
      </c>
      <c r="BQ28" s="9" t="str">
        <f aca="false">IF(AY28="","",IF(BP28&lt;AY28,BO28,BM28))</f>
        <v/>
      </c>
      <c r="BR28" s="9" t="str">
        <f aca="false">IF(AY28="","",IF(BP28&lt;AY28,BN28,BO28))</f>
        <v/>
      </c>
      <c r="BS28" s="9" t="str">
        <f aca="false">IF(AY28="","",(BQ28+BR28)/2)</f>
        <v/>
      </c>
      <c r="BT28" s="9" t="str">
        <f aca="false">IF(OR(R28="",N28="",BS28="",R28&lt;=0,BS28&lt;=0),"",(1/Inputs!$B$9)*((R28^2/8)*((2*ACOS(1-2*BS28/R28))-SIN((2*ACOS(1-2*BS28/R28)))))*((((R28^2/8)*((2*ACOS(1-2*BS28/R28))-SIN((2*ACOS(1-2*BS28/R28)))))/((R28/2)*((2*ACOS(1-2*BS28/R28)))))^(2/3))*SQRT(N28))</f>
        <v/>
      </c>
      <c r="BU28" s="9" t="str">
        <f aca="false">IF(AY28="","",IF(BT28&lt;AY28,BS28,BQ28))</f>
        <v/>
      </c>
      <c r="BV28" s="9" t="str">
        <f aca="false">IF(AY28="","",IF(BT28&lt;AY28,BR28,BS28))</f>
        <v/>
      </c>
      <c r="BW28" s="9" t="str">
        <f aca="false">IF(AY28="","",(BU28+BV28)/2)</f>
        <v/>
      </c>
      <c r="BX28" s="9" t="str">
        <f aca="false">IF(OR(R28="",N28="",BW28="",R28&lt;=0,BW28&lt;=0),"",(1/Inputs!$B$9)*((R28^2/8)*((2*ACOS(1-2*BW28/R28))-SIN((2*ACOS(1-2*BW28/R28)))))*((((R28^2/8)*((2*ACOS(1-2*BW28/R28))-SIN((2*ACOS(1-2*BW28/R28)))))/((R28/2)*((2*ACOS(1-2*BW28/R28)))))^(2/3))*SQRT(N28))</f>
        <v/>
      </c>
      <c r="BY28" s="9" t="str">
        <f aca="false">IF(AY28="","",IF(BX28&lt;AY28,BW28,BU28))</f>
        <v/>
      </c>
      <c r="BZ28" s="9" t="str">
        <f aca="false">IF(AY28="","",IF(BX28&lt;AY28,BV28,BW28))</f>
        <v/>
      </c>
      <c r="CA28" s="9" t="str">
        <f aca="false">IF(AY28="","",(BY28+BZ28)/2)</f>
        <v/>
      </c>
      <c r="CB28" s="9" t="str">
        <f aca="false">IF(OR(R28="",N28="",CA28="",R28&lt;=0,CA28&lt;=0),"",(1/Inputs!$B$9)*((R28^2/8)*((2*ACOS(1-2*CA28/R28))-SIN((2*ACOS(1-2*CA28/R28)))))*((((R28^2/8)*((2*ACOS(1-2*CA28/R28))-SIN((2*ACOS(1-2*CA28/R28)))))/((R28/2)*((2*ACOS(1-2*CA28/R28)))))^(2/3))*SQRT(N28))</f>
        <v/>
      </c>
      <c r="CC28" s="9" t="str">
        <f aca="false">IF(AY28="","",IF(CB28&lt;AY28,CA28,BY28))</f>
        <v/>
      </c>
      <c r="CD28" s="9" t="str">
        <f aca="false">IF(AY28="","",IF(CB28&lt;AY28,BZ28,CA28))</f>
        <v/>
      </c>
      <c r="CE28" s="9" t="str">
        <f aca="false">IF(AY28="","",(CC28+CD28)/2)</f>
        <v/>
      </c>
    </row>
    <row r="29" customFormat="false" ht="15" hidden="false" customHeight="false" outlineLevel="0" collapsed="false">
      <c r="A29" s="9"/>
      <c r="B29" s="9"/>
      <c r="C29" s="14"/>
      <c r="D29" s="14"/>
      <c r="E29" s="14" t="n">
        <f aca="false">SUMIFS(CB_Tributaires!$C:$C,CB_Tributaires!$B:$B,$A29)</f>
        <v>0</v>
      </c>
      <c r="F29" s="14" t="n">
        <f aca="false">IF(D29="",E29,D29)</f>
        <v>0</v>
      </c>
      <c r="G29" s="9"/>
      <c r="H29" s="14"/>
      <c r="I29" s="14" t="str">
        <f aca="false">IF(A29="","",Inputs!$B$13/((IF(AS29="",Inputs!$B$18,AS29)+Inputs!$B$14)^Inputs!$B$15))</f>
        <v/>
      </c>
      <c r="J29" s="14" t="str">
        <f aca="false">IF(A29="","",0.000000278*IF(G29="",Inputs!$B$17,G29)*F29*I29)</f>
        <v/>
      </c>
      <c r="K29" s="14" t="str">
        <f aca="false">IF(A29="","",SUMIFS($L$4:$L$203,$B$4:$B$203,$A29))</f>
        <v/>
      </c>
      <c r="L29" s="14" t="str">
        <f aca="false">IF(A29="","",(J29+K29)*Inputs!$B$16)</f>
        <v/>
      </c>
      <c r="M29" s="14"/>
      <c r="N29" s="14" t="str">
        <f aca="false">IF(A29="","",IF(M29="",Inputs!$B$7,M29))</f>
        <v/>
      </c>
      <c r="O29" s="9" t="str">
        <f aca="false">IF(A29="","",IF(L29/Inputs!$B$10&lt;=AD29,Inputs!$F$5,IF(L29/Inputs!$B$10&gt;AM29,"OVERSIZE",INDEX(Inputs!$F$5:$F$14,MATCH(L29/Inputs!$B$10,AD29:AM29,1)+1))))</f>
        <v/>
      </c>
      <c r="P29" s="9"/>
      <c r="Q29" s="9" t="str">
        <f aca="false">IF(A29="","",IF(P29="",O29,P29))</f>
        <v/>
      </c>
      <c r="R29" s="14" t="str">
        <f aca="false">IF(OR(Q29="",Q29="OVERSIZE"),"",Q29/1000)</f>
        <v/>
      </c>
      <c r="S29" s="14" t="str">
        <f aca="false">IF(R29="","",(1/Inputs!$B$9)*(PI()*R29^2/4)*((R29/4)^(2/3))*SQRT(N29))</f>
        <v/>
      </c>
      <c r="T29" s="14" t="str">
        <f aca="false">IF(OR(S29="",L29=""),"",L29/(S29*Inputs!$B$10))</f>
        <v/>
      </c>
      <c r="U29" s="14" t="str">
        <f aca="false">IF(OR(R29="",L29=""),"",4*L29/(PI()*R29^2))</f>
        <v/>
      </c>
      <c r="V29" s="14"/>
      <c r="W29" s="14" t="str">
        <f aca="false">IF(A29="","",IF(A29=Inputs!$B$6,Inputs!$B$22,IF(B29="","",IFERROR(INDEX($X$4:$X$203,MATCH(B29,$A$4:$A$203,0))+IF(V29="",Inputs!$B$20,V29),""))))</f>
        <v/>
      </c>
      <c r="X29" s="14" t="str">
        <f aca="false">IF(OR(W29="",N29="",C29=""),"",W29+N29*C29)</f>
        <v/>
      </c>
      <c r="Y29" s="14"/>
      <c r="Z29" s="14"/>
      <c r="AA29" s="14" t="str">
        <f aca="false">IF(OR(Y29="",W29=""),"",Y29-W29)</f>
        <v/>
      </c>
      <c r="AB29" s="14" t="str">
        <f aca="false">IF(OR(Z29="",X29=""),"",Z29-X29)</f>
        <v/>
      </c>
      <c r="AC29" s="19" t="str">
        <f aca="false">IF(A29="","",IF(OR(T29&gt;1,AND(AV29&lt;&gt;"",AV29&lt;Inputs!$B$11),AND(AV29&lt;&gt;"",AV29&gt;Inputs!$B$12),AA29&lt;Inputs!$B$19,AB29&lt;Inputs!$B$19,N29&lt;Inputs!$B$7,N29&gt;Inputs!$B$8),"CHECK","OK"))</f>
        <v/>
      </c>
      <c r="AD29" s="9" t="str">
        <f aca="false">IF(A29="","",(1/Inputs!$B$9)*(PI()*(Inputs!$F$5/1000)^2/4)*((Inputs!$F$5/1000/4)^(2/3))*SQRT(N29))</f>
        <v/>
      </c>
      <c r="AE29" s="9" t="str">
        <f aca="false">IF(A29="","",(1/Inputs!$B$9)*(PI()*(Inputs!$F$6/1000)^2/4)*((Inputs!$F$6/1000/4)^(2/3))*SQRT(N29))</f>
        <v/>
      </c>
      <c r="AF29" s="9" t="str">
        <f aca="false">IF(A29="","",(1/Inputs!$B$9)*(PI()*(Inputs!$F$7/1000)^2/4)*((Inputs!$F$7/1000/4)^(2/3))*SQRT(N29))</f>
        <v/>
      </c>
      <c r="AG29" s="9" t="str">
        <f aca="false">IF(A29="","",(1/Inputs!$B$9)*(PI()*(Inputs!$F$8/1000)^2/4)*((Inputs!$F$8/1000/4)^(2/3))*SQRT(N29))</f>
        <v/>
      </c>
      <c r="AH29" s="9" t="str">
        <f aca="false">IF(A29="","",(1/Inputs!$B$9)*(PI()*(Inputs!$F$9/1000)^2/4)*((Inputs!$F$9/1000/4)^(2/3))*SQRT(N29))</f>
        <v/>
      </c>
      <c r="AI29" s="9" t="str">
        <f aca="false">IF(A29="","",(1/Inputs!$B$9)*(PI()*(Inputs!$F$10/1000)^2/4)*((Inputs!$F$10/1000/4)^(2/3))*SQRT(N29))</f>
        <v/>
      </c>
      <c r="AJ29" s="9" t="str">
        <f aca="false">IF(A29="","",(1/Inputs!$B$9)*(PI()*(Inputs!$F$11/1000)^2/4)*((Inputs!$F$11/1000/4)^(2/3))*SQRT(N29))</f>
        <v/>
      </c>
      <c r="AK29" s="9" t="str">
        <f aca="false">IF(A29="","",(1/Inputs!$B$9)*(PI()*(Inputs!$F$12/1000)^2/4)*((Inputs!$F$12/1000/4)^(2/3))*SQRT(N29))</f>
        <v/>
      </c>
      <c r="AL29" s="9" t="str">
        <f aca="false">IF(A29="","",(1/Inputs!$B$9)*(PI()*(Inputs!$F$13/1000)^2/4)*((Inputs!$F$13/1000/4)^(2/3))*SQRT(N29))</f>
        <v/>
      </c>
      <c r="AM29" s="9" t="str">
        <f aca="false">IF(A29="","",(1/Inputs!$B$9)*(PI()*(Inputs!$F$14/1000)^2/4)*((Inputs!$F$14/1000/4)^(2/3))*SQRT(N29))</f>
        <v/>
      </c>
      <c r="AN29" s="9" t="str">
        <f aca="false">IF(A29="","",COUNTIF($B$4:$B$203,$A29))</f>
        <v/>
      </c>
      <c r="AO29" s="9" t="str">
        <f aca="false">IF(A29="","",IF(AN29=0,"START","CONTINUOUS"))</f>
        <v/>
      </c>
      <c r="AP29" s="13" t="str">
        <f aca="false">IF(A29="","",IF(H29="",Inputs!$B$18,H29))</f>
        <v/>
      </c>
      <c r="AQ29" s="13" t="str">
        <f aca="false">IF(A29="","",IFERROR(maxifs($AS$4:$AS$203,$B$4:$B$203,$A29),""))</f>
        <v/>
      </c>
      <c r="AR29" s="13" t="str">
        <f aca="false">IF(A29="","",IF(OR(C29="",Inputs!$B$23=""),"",C29/(Inputs!$B$23*60)))</f>
        <v/>
      </c>
      <c r="AS29" s="13" t="str">
        <f aca="false">IF(A29="","",IF(AN29=0,AP29+AR29,IF(AQ29="",AP29+AR29,AQ29+AR29)))</f>
        <v/>
      </c>
      <c r="AT29" s="13" t="str">
        <f aca="false">IF(A29="","",U29)</f>
        <v/>
      </c>
      <c r="AU29" s="13" t="str">
        <f aca="false">IF(OR(R29="",N29=""),"",(1/Inputs!$B$9)*((R29/4)^(2/3))*SQRT(N29))</f>
        <v/>
      </c>
      <c r="AV29" s="13" t="str">
        <f aca="false">IF(A29="","",IF(AND(AT29="",AU29="",AX29=""),"",IF(OR(UPPER(TRIM(Inputs!$B$24))="MANNING",UPPER(TRIM(Inputs!$B$24))="M"),AU29,IF(OR(UPPER(TRIM(Inputs!$B$24))="PARTIAL",UPPER(TRIM(Inputs!$B$24))="P"),AX29,IF(OR(UPPER(TRIM(Inputs!$B$24))="MAX",UPPER(TRIM(Inputs!$B$24))="X"),MAX(IF(AT29="",0,AT29),IF(AU29="",0,AU29),IF(AX29="",0,AX29)),AT29)))))</f>
        <v/>
      </c>
      <c r="AW29" s="13" t="str">
        <f aca="false">IF(AY29="","",CE29)</f>
        <v/>
      </c>
      <c r="AX29" s="13" t="str">
        <f aca="false">IF(OR(AY29="",AW29="",R29="",R29&lt;=0,AW29&lt;=0),"",AY29/((R29^2/8)*(2*ACOS(1-2*AW29/R29)-SIN(2*ACOS(1-2*AW29/R29)))))</f>
        <v/>
      </c>
      <c r="AY29" s="9" t="str">
        <f aca="false">IF(OR(L29="",AZ29=""),"",MIN(L29,AZ29))</f>
        <v/>
      </c>
      <c r="AZ29" s="9" t="str">
        <f aca="false">IF(OR(L29="",R29="",N29=""),"",IF(OR(R29="",N29="",(0.94*R29)="",R29&lt;=0,(0.94*R29)&lt;=0),"",(1/Inputs!$B$9)*((R29^2/8)*((2*ACOS(1-2*(0.94*R29)/R29))-SIN((2*ACOS(1-2*(0.94*R29)/R29)))))*((((R29^2/8)*((2*ACOS(1-2*(0.94*R29)/R29))-SIN((2*ACOS(1-2*(0.94*R29)/R29)))))/((R29/2)*((2*ACOS(1-2*(0.94*R29)/R29)))))^(2/3))*SQRT(N29)))</f>
        <v/>
      </c>
      <c r="BA29" s="9" t="str">
        <f aca="false">IF(AY29="","",0.001*R29)</f>
        <v/>
      </c>
      <c r="BB29" s="9" t="str">
        <f aca="false">IF(AY29="","",0.94*R29)</f>
        <v/>
      </c>
      <c r="BC29" s="9" t="str">
        <f aca="false">IF(AY29="","",(BA29+BB29)/2)</f>
        <v/>
      </c>
      <c r="BD29" s="9" t="str">
        <f aca="false">IF(OR(R29="",N29="",BC29="",R29&lt;=0,BC29&lt;=0),"",(1/Inputs!$B$9)*((R29^2/8)*((2*ACOS(1-2*BC29/R29))-SIN((2*ACOS(1-2*BC29/R29)))))*((((R29^2/8)*((2*ACOS(1-2*BC29/R29))-SIN((2*ACOS(1-2*BC29/R29)))))/((R29/2)*((2*ACOS(1-2*BC29/R29)))))^(2/3))*SQRT(N29))</f>
        <v/>
      </c>
      <c r="BE29" s="9" t="str">
        <f aca="false">IF(AY29="","",IF(BD29&lt;AY29,BC29,BA29))</f>
        <v/>
      </c>
      <c r="BF29" s="9" t="str">
        <f aca="false">IF(AY29="","",IF(BD29&lt;AY29,BB29,BC29))</f>
        <v/>
      </c>
      <c r="BG29" s="9" t="str">
        <f aca="false">IF(AY29="","",(BE29+BF29)/2)</f>
        <v/>
      </c>
      <c r="BH29" s="9" t="str">
        <f aca="false">IF(OR(R29="",N29="",BG29="",R29&lt;=0,BG29&lt;=0),"",(1/Inputs!$B$9)*((R29^2/8)*((2*ACOS(1-2*BG29/R29))-SIN((2*ACOS(1-2*BG29/R29)))))*((((R29^2/8)*((2*ACOS(1-2*BG29/R29))-SIN((2*ACOS(1-2*BG29/R29)))))/((R29/2)*((2*ACOS(1-2*BG29/R29)))))^(2/3))*SQRT(N29))</f>
        <v/>
      </c>
      <c r="BI29" s="9" t="str">
        <f aca="false">IF(AY29="","",IF(BH29&lt;AY29,BG29,BE29))</f>
        <v/>
      </c>
      <c r="BJ29" s="9" t="str">
        <f aca="false">IF(AY29="","",IF(BH29&lt;AY29,BF29,BG29))</f>
        <v/>
      </c>
      <c r="BK29" s="9" t="str">
        <f aca="false">IF(AY29="","",(BI29+BJ29)/2)</f>
        <v/>
      </c>
      <c r="BL29" s="9" t="str">
        <f aca="false">IF(OR(R29="",N29="",BK29="",R29&lt;=0,BK29&lt;=0),"",(1/Inputs!$B$9)*((R29^2/8)*((2*ACOS(1-2*BK29/R29))-SIN((2*ACOS(1-2*BK29/R29)))))*((((R29^2/8)*((2*ACOS(1-2*BK29/R29))-SIN((2*ACOS(1-2*BK29/R29)))))/((R29/2)*((2*ACOS(1-2*BK29/R29)))))^(2/3))*SQRT(N29))</f>
        <v/>
      </c>
      <c r="BM29" s="9" t="str">
        <f aca="false">IF(AY29="","",IF(BL29&lt;AY29,BK29,BI29))</f>
        <v/>
      </c>
      <c r="BN29" s="9" t="str">
        <f aca="false">IF(AY29="","",IF(BL29&lt;AY29,BJ29,BK29))</f>
        <v/>
      </c>
      <c r="BO29" s="9" t="str">
        <f aca="false">IF(AY29="","",(BM29+BN29)/2)</f>
        <v/>
      </c>
      <c r="BP29" s="9" t="str">
        <f aca="false">IF(OR(R29="",N29="",BO29="",R29&lt;=0,BO29&lt;=0),"",(1/Inputs!$B$9)*((R29^2/8)*((2*ACOS(1-2*BO29/R29))-SIN((2*ACOS(1-2*BO29/R29)))))*((((R29^2/8)*((2*ACOS(1-2*BO29/R29))-SIN((2*ACOS(1-2*BO29/R29)))))/((R29/2)*((2*ACOS(1-2*BO29/R29)))))^(2/3))*SQRT(N29))</f>
        <v/>
      </c>
      <c r="BQ29" s="9" t="str">
        <f aca="false">IF(AY29="","",IF(BP29&lt;AY29,BO29,BM29))</f>
        <v/>
      </c>
      <c r="BR29" s="9" t="str">
        <f aca="false">IF(AY29="","",IF(BP29&lt;AY29,BN29,BO29))</f>
        <v/>
      </c>
      <c r="BS29" s="9" t="str">
        <f aca="false">IF(AY29="","",(BQ29+BR29)/2)</f>
        <v/>
      </c>
      <c r="BT29" s="9" t="str">
        <f aca="false">IF(OR(R29="",N29="",BS29="",R29&lt;=0,BS29&lt;=0),"",(1/Inputs!$B$9)*((R29^2/8)*((2*ACOS(1-2*BS29/R29))-SIN((2*ACOS(1-2*BS29/R29)))))*((((R29^2/8)*((2*ACOS(1-2*BS29/R29))-SIN((2*ACOS(1-2*BS29/R29)))))/((R29/2)*((2*ACOS(1-2*BS29/R29)))))^(2/3))*SQRT(N29))</f>
        <v/>
      </c>
      <c r="BU29" s="9" t="str">
        <f aca="false">IF(AY29="","",IF(BT29&lt;AY29,BS29,BQ29))</f>
        <v/>
      </c>
      <c r="BV29" s="9" t="str">
        <f aca="false">IF(AY29="","",IF(BT29&lt;AY29,BR29,BS29))</f>
        <v/>
      </c>
      <c r="BW29" s="9" t="str">
        <f aca="false">IF(AY29="","",(BU29+BV29)/2)</f>
        <v/>
      </c>
      <c r="BX29" s="9" t="str">
        <f aca="false">IF(OR(R29="",N29="",BW29="",R29&lt;=0,BW29&lt;=0),"",(1/Inputs!$B$9)*((R29^2/8)*((2*ACOS(1-2*BW29/R29))-SIN((2*ACOS(1-2*BW29/R29)))))*((((R29^2/8)*((2*ACOS(1-2*BW29/R29))-SIN((2*ACOS(1-2*BW29/R29)))))/((R29/2)*((2*ACOS(1-2*BW29/R29)))))^(2/3))*SQRT(N29))</f>
        <v/>
      </c>
      <c r="BY29" s="9" t="str">
        <f aca="false">IF(AY29="","",IF(BX29&lt;AY29,BW29,BU29))</f>
        <v/>
      </c>
      <c r="BZ29" s="9" t="str">
        <f aca="false">IF(AY29="","",IF(BX29&lt;AY29,BV29,BW29))</f>
        <v/>
      </c>
      <c r="CA29" s="9" t="str">
        <f aca="false">IF(AY29="","",(BY29+BZ29)/2)</f>
        <v/>
      </c>
      <c r="CB29" s="9" t="str">
        <f aca="false">IF(OR(R29="",N29="",CA29="",R29&lt;=0,CA29&lt;=0),"",(1/Inputs!$B$9)*((R29^2/8)*((2*ACOS(1-2*CA29/R29))-SIN((2*ACOS(1-2*CA29/R29)))))*((((R29^2/8)*((2*ACOS(1-2*CA29/R29))-SIN((2*ACOS(1-2*CA29/R29)))))/((R29/2)*((2*ACOS(1-2*CA29/R29)))))^(2/3))*SQRT(N29))</f>
        <v/>
      </c>
      <c r="CC29" s="9" t="str">
        <f aca="false">IF(AY29="","",IF(CB29&lt;AY29,CA29,BY29))</f>
        <v/>
      </c>
      <c r="CD29" s="9" t="str">
        <f aca="false">IF(AY29="","",IF(CB29&lt;AY29,BZ29,CA29))</f>
        <v/>
      </c>
      <c r="CE29" s="9" t="str">
        <f aca="false">IF(AY29="","",(CC29+CD29)/2)</f>
        <v/>
      </c>
    </row>
    <row r="30" customFormat="false" ht="15" hidden="false" customHeight="false" outlineLevel="0" collapsed="false">
      <c r="A30" s="9"/>
      <c r="B30" s="9"/>
      <c r="C30" s="14"/>
      <c r="D30" s="14"/>
      <c r="E30" s="14" t="n">
        <f aca="false">SUMIFS(CB_Tributaires!$C:$C,CB_Tributaires!$B:$B,$A30)</f>
        <v>0</v>
      </c>
      <c r="F30" s="14" t="n">
        <f aca="false">IF(D30="",E30,D30)</f>
        <v>0</v>
      </c>
      <c r="G30" s="9"/>
      <c r="H30" s="14"/>
      <c r="I30" s="14" t="str">
        <f aca="false">IF(A30="","",Inputs!$B$13/((IF(AS30="",Inputs!$B$18,AS30)+Inputs!$B$14)^Inputs!$B$15))</f>
        <v/>
      </c>
      <c r="J30" s="14" t="str">
        <f aca="false">IF(A30="","",0.000000278*IF(G30="",Inputs!$B$17,G30)*F30*I30)</f>
        <v/>
      </c>
      <c r="K30" s="14" t="str">
        <f aca="false">IF(A30="","",SUMIFS($L$4:$L$203,$B$4:$B$203,$A30))</f>
        <v/>
      </c>
      <c r="L30" s="14" t="str">
        <f aca="false">IF(A30="","",(J30+K30)*Inputs!$B$16)</f>
        <v/>
      </c>
      <c r="M30" s="14"/>
      <c r="N30" s="14" t="str">
        <f aca="false">IF(A30="","",IF(M30="",Inputs!$B$7,M30))</f>
        <v/>
      </c>
      <c r="O30" s="9" t="str">
        <f aca="false">IF(A30="","",IF(L30/Inputs!$B$10&lt;=AD30,Inputs!$F$5,IF(L30/Inputs!$B$10&gt;AM30,"OVERSIZE",INDEX(Inputs!$F$5:$F$14,MATCH(L30/Inputs!$B$10,AD30:AM30,1)+1))))</f>
        <v/>
      </c>
      <c r="P30" s="9"/>
      <c r="Q30" s="9" t="str">
        <f aca="false">IF(A30="","",IF(P30="",O30,P30))</f>
        <v/>
      </c>
      <c r="R30" s="14" t="str">
        <f aca="false">IF(OR(Q30="",Q30="OVERSIZE"),"",Q30/1000)</f>
        <v/>
      </c>
      <c r="S30" s="14" t="str">
        <f aca="false">IF(R30="","",(1/Inputs!$B$9)*(PI()*R30^2/4)*((R30/4)^(2/3))*SQRT(N30))</f>
        <v/>
      </c>
      <c r="T30" s="14" t="str">
        <f aca="false">IF(OR(S30="",L30=""),"",L30/(S30*Inputs!$B$10))</f>
        <v/>
      </c>
      <c r="U30" s="14" t="str">
        <f aca="false">IF(OR(R30="",L30=""),"",4*L30/(PI()*R30^2))</f>
        <v/>
      </c>
      <c r="V30" s="14"/>
      <c r="W30" s="14" t="str">
        <f aca="false">IF(A30="","",IF(A30=Inputs!$B$6,Inputs!$B$22,IF(B30="","",IFERROR(INDEX($X$4:$X$203,MATCH(B30,$A$4:$A$203,0))+IF(V30="",Inputs!$B$20,V30),""))))</f>
        <v/>
      </c>
      <c r="X30" s="14" t="str">
        <f aca="false">IF(OR(W30="",N30="",C30=""),"",W30+N30*C30)</f>
        <v/>
      </c>
      <c r="Y30" s="14"/>
      <c r="Z30" s="14"/>
      <c r="AA30" s="14" t="str">
        <f aca="false">IF(OR(Y30="",W30=""),"",Y30-W30)</f>
        <v/>
      </c>
      <c r="AB30" s="14" t="str">
        <f aca="false">IF(OR(Z30="",X30=""),"",Z30-X30)</f>
        <v/>
      </c>
      <c r="AC30" s="19" t="str">
        <f aca="false">IF(A30="","",IF(OR(T30&gt;1,AND(AV30&lt;&gt;"",AV30&lt;Inputs!$B$11),AND(AV30&lt;&gt;"",AV30&gt;Inputs!$B$12),AA30&lt;Inputs!$B$19,AB30&lt;Inputs!$B$19,N30&lt;Inputs!$B$7,N30&gt;Inputs!$B$8),"CHECK","OK"))</f>
        <v/>
      </c>
      <c r="AD30" s="9" t="str">
        <f aca="false">IF(A30="","",(1/Inputs!$B$9)*(PI()*(Inputs!$F$5/1000)^2/4)*((Inputs!$F$5/1000/4)^(2/3))*SQRT(N30))</f>
        <v/>
      </c>
      <c r="AE30" s="9" t="str">
        <f aca="false">IF(A30="","",(1/Inputs!$B$9)*(PI()*(Inputs!$F$6/1000)^2/4)*((Inputs!$F$6/1000/4)^(2/3))*SQRT(N30))</f>
        <v/>
      </c>
      <c r="AF30" s="9" t="str">
        <f aca="false">IF(A30="","",(1/Inputs!$B$9)*(PI()*(Inputs!$F$7/1000)^2/4)*((Inputs!$F$7/1000/4)^(2/3))*SQRT(N30))</f>
        <v/>
      </c>
      <c r="AG30" s="9" t="str">
        <f aca="false">IF(A30="","",(1/Inputs!$B$9)*(PI()*(Inputs!$F$8/1000)^2/4)*((Inputs!$F$8/1000/4)^(2/3))*SQRT(N30))</f>
        <v/>
      </c>
      <c r="AH30" s="9" t="str">
        <f aca="false">IF(A30="","",(1/Inputs!$B$9)*(PI()*(Inputs!$F$9/1000)^2/4)*((Inputs!$F$9/1000/4)^(2/3))*SQRT(N30))</f>
        <v/>
      </c>
      <c r="AI30" s="9" t="str">
        <f aca="false">IF(A30="","",(1/Inputs!$B$9)*(PI()*(Inputs!$F$10/1000)^2/4)*((Inputs!$F$10/1000/4)^(2/3))*SQRT(N30))</f>
        <v/>
      </c>
      <c r="AJ30" s="9" t="str">
        <f aca="false">IF(A30="","",(1/Inputs!$B$9)*(PI()*(Inputs!$F$11/1000)^2/4)*((Inputs!$F$11/1000/4)^(2/3))*SQRT(N30))</f>
        <v/>
      </c>
      <c r="AK30" s="9" t="str">
        <f aca="false">IF(A30="","",(1/Inputs!$B$9)*(PI()*(Inputs!$F$12/1000)^2/4)*((Inputs!$F$12/1000/4)^(2/3))*SQRT(N30))</f>
        <v/>
      </c>
      <c r="AL30" s="9" t="str">
        <f aca="false">IF(A30="","",(1/Inputs!$B$9)*(PI()*(Inputs!$F$13/1000)^2/4)*((Inputs!$F$13/1000/4)^(2/3))*SQRT(N30))</f>
        <v/>
      </c>
      <c r="AM30" s="9" t="str">
        <f aca="false">IF(A30="","",(1/Inputs!$B$9)*(PI()*(Inputs!$F$14/1000)^2/4)*((Inputs!$F$14/1000/4)^(2/3))*SQRT(N30))</f>
        <v/>
      </c>
      <c r="AN30" s="9" t="str">
        <f aca="false">IF(A30="","",COUNTIF($B$4:$B$203,$A30))</f>
        <v/>
      </c>
      <c r="AO30" s="9" t="str">
        <f aca="false">IF(A30="","",IF(AN30=0,"START","CONTINUOUS"))</f>
        <v/>
      </c>
      <c r="AP30" s="13" t="str">
        <f aca="false">IF(A30="","",IF(H30="",Inputs!$B$18,H30))</f>
        <v/>
      </c>
      <c r="AQ30" s="13" t="str">
        <f aca="false">IF(A30="","",IFERROR(maxifs($AS$4:$AS$203,$B$4:$B$203,$A30),""))</f>
        <v/>
      </c>
      <c r="AR30" s="13" t="str">
        <f aca="false">IF(A30="","",IF(OR(C30="",Inputs!$B$23=""),"",C30/(Inputs!$B$23*60)))</f>
        <v/>
      </c>
      <c r="AS30" s="13" t="str">
        <f aca="false">IF(A30="","",IF(AN30=0,AP30+AR30,IF(AQ30="",AP30+AR30,AQ30+AR30)))</f>
        <v/>
      </c>
      <c r="AT30" s="13" t="str">
        <f aca="false">IF(A30="","",U30)</f>
        <v/>
      </c>
      <c r="AU30" s="13" t="str">
        <f aca="false">IF(OR(R30="",N30=""),"",(1/Inputs!$B$9)*((R30/4)^(2/3))*SQRT(N30))</f>
        <v/>
      </c>
      <c r="AV30" s="13" t="str">
        <f aca="false">IF(A30="","",IF(AND(AT30="",AU30="",AX30=""),"",IF(OR(UPPER(TRIM(Inputs!$B$24))="MANNING",UPPER(TRIM(Inputs!$B$24))="M"),AU30,IF(OR(UPPER(TRIM(Inputs!$B$24))="PARTIAL",UPPER(TRIM(Inputs!$B$24))="P"),AX30,IF(OR(UPPER(TRIM(Inputs!$B$24))="MAX",UPPER(TRIM(Inputs!$B$24))="X"),MAX(IF(AT30="",0,AT30),IF(AU30="",0,AU30),IF(AX30="",0,AX30)),AT30)))))</f>
        <v/>
      </c>
      <c r="AW30" s="13" t="str">
        <f aca="false">IF(AY30="","",CE30)</f>
        <v/>
      </c>
      <c r="AX30" s="13" t="str">
        <f aca="false">IF(OR(AY30="",AW30="",R30="",R30&lt;=0,AW30&lt;=0),"",AY30/((R30^2/8)*(2*ACOS(1-2*AW30/R30)-SIN(2*ACOS(1-2*AW30/R30)))))</f>
        <v/>
      </c>
      <c r="AY30" s="9" t="str">
        <f aca="false">IF(OR(L30="",AZ30=""),"",MIN(L30,AZ30))</f>
        <v/>
      </c>
      <c r="AZ30" s="9" t="str">
        <f aca="false">IF(OR(L30="",R30="",N30=""),"",IF(OR(R30="",N30="",(0.94*R30)="",R30&lt;=0,(0.94*R30)&lt;=0),"",(1/Inputs!$B$9)*((R30^2/8)*((2*ACOS(1-2*(0.94*R30)/R30))-SIN((2*ACOS(1-2*(0.94*R30)/R30)))))*((((R30^2/8)*((2*ACOS(1-2*(0.94*R30)/R30))-SIN((2*ACOS(1-2*(0.94*R30)/R30)))))/((R30/2)*((2*ACOS(1-2*(0.94*R30)/R30)))))^(2/3))*SQRT(N30)))</f>
        <v/>
      </c>
      <c r="BA30" s="9" t="str">
        <f aca="false">IF(AY30="","",0.001*R30)</f>
        <v/>
      </c>
      <c r="BB30" s="9" t="str">
        <f aca="false">IF(AY30="","",0.94*R30)</f>
        <v/>
      </c>
      <c r="BC30" s="9" t="str">
        <f aca="false">IF(AY30="","",(BA30+BB30)/2)</f>
        <v/>
      </c>
      <c r="BD30" s="9" t="str">
        <f aca="false">IF(OR(R30="",N30="",BC30="",R30&lt;=0,BC30&lt;=0),"",(1/Inputs!$B$9)*((R30^2/8)*((2*ACOS(1-2*BC30/R30))-SIN((2*ACOS(1-2*BC30/R30)))))*((((R30^2/8)*((2*ACOS(1-2*BC30/R30))-SIN((2*ACOS(1-2*BC30/R30)))))/((R30/2)*((2*ACOS(1-2*BC30/R30)))))^(2/3))*SQRT(N30))</f>
        <v/>
      </c>
      <c r="BE30" s="9" t="str">
        <f aca="false">IF(AY30="","",IF(BD30&lt;AY30,BC30,BA30))</f>
        <v/>
      </c>
      <c r="BF30" s="9" t="str">
        <f aca="false">IF(AY30="","",IF(BD30&lt;AY30,BB30,BC30))</f>
        <v/>
      </c>
      <c r="BG30" s="9" t="str">
        <f aca="false">IF(AY30="","",(BE30+BF30)/2)</f>
        <v/>
      </c>
      <c r="BH30" s="9" t="str">
        <f aca="false">IF(OR(R30="",N30="",BG30="",R30&lt;=0,BG30&lt;=0),"",(1/Inputs!$B$9)*((R30^2/8)*((2*ACOS(1-2*BG30/R30))-SIN((2*ACOS(1-2*BG30/R30)))))*((((R30^2/8)*((2*ACOS(1-2*BG30/R30))-SIN((2*ACOS(1-2*BG30/R30)))))/((R30/2)*((2*ACOS(1-2*BG30/R30)))))^(2/3))*SQRT(N30))</f>
        <v/>
      </c>
      <c r="BI30" s="9" t="str">
        <f aca="false">IF(AY30="","",IF(BH30&lt;AY30,BG30,BE30))</f>
        <v/>
      </c>
      <c r="BJ30" s="9" t="str">
        <f aca="false">IF(AY30="","",IF(BH30&lt;AY30,BF30,BG30))</f>
        <v/>
      </c>
      <c r="BK30" s="9" t="str">
        <f aca="false">IF(AY30="","",(BI30+BJ30)/2)</f>
        <v/>
      </c>
      <c r="BL30" s="9" t="str">
        <f aca="false">IF(OR(R30="",N30="",BK30="",R30&lt;=0,BK30&lt;=0),"",(1/Inputs!$B$9)*((R30^2/8)*((2*ACOS(1-2*BK30/R30))-SIN((2*ACOS(1-2*BK30/R30)))))*((((R30^2/8)*((2*ACOS(1-2*BK30/R30))-SIN((2*ACOS(1-2*BK30/R30)))))/((R30/2)*((2*ACOS(1-2*BK30/R30)))))^(2/3))*SQRT(N30))</f>
        <v/>
      </c>
      <c r="BM30" s="9" t="str">
        <f aca="false">IF(AY30="","",IF(BL30&lt;AY30,BK30,BI30))</f>
        <v/>
      </c>
      <c r="BN30" s="9" t="str">
        <f aca="false">IF(AY30="","",IF(BL30&lt;AY30,BJ30,BK30))</f>
        <v/>
      </c>
      <c r="BO30" s="9" t="str">
        <f aca="false">IF(AY30="","",(BM30+BN30)/2)</f>
        <v/>
      </c>
      <c r="BP30" s="9" t="str">
        <f aca="false">IF(OR(R30="",N30="",BO30="",R30&lt;=0,BO30&lt;=0),"",(1/Inputs!$B$9)*((R30^2/8)*((2*ACOS(1-2*BO30/R30))-SIN((2*ACOS(1-2*BO30/R30)))))*((((R30^2/8)*((2*ACOS(1-2*BO30/R30))-SIN((2*ACOS(1-2*BO30/R30)))))/((R30/2)*((2*ACOS(1-2*BO30/R30)))))^(2/3))*SQRT(N30))</f>
        <v/>
      </c>
      <c r="BQ30" s="9" t="str">
        <f aca="false">IF(AY30="","",IF(BP30&lt;AY30,BO30,BM30))</f>
        <v/>
      </c>
      <c r="BR30" s="9" t="str">
        <f aca="false">IF(AY30="","",IF(BP30&lt;AY30,BN30,BO30))</f>
        <v/>
      </c>
      <c r="BS30" s="9" t="str">
        <f aca="false">IF(AY30="","",(BQ30+BR30)/2)</f>
        <v/>
      </c>
      <c r="BT30" s="9" t="str">
        <f aca="false">IF(OR(R30="",N30="",BS30="",R30&lt;=0,BS30&lt;=0),"",(1/Inputs!$B$9)*((R30^2/8)*((2*ACOS(1-2*BS30/R30))-SIN((2*ACOS(1-2*BS30/R30)))))*((((R30^2/8)*((2*ACOS(1-2*BS30/R30))-SIN((2*ACOS(1-2*BS30/R30)))))/((R30/2)*((2*ACOS(1-2*BS30/R30)))))^(2/3))*SQRT(N30))</f>
        <v/>
      </c>
      <c r="BU30" s="9" t="str">
        <f aca="false">IF(AY30="","",IF(BT30&lt;AY30,BS30,BQ30))</f>
        <v/>
      </c>
      <c r="BV30" s="9" t="str">
        <f aca="false">IF(AY30="","",IF(BT30&lt;AY30,BR30,BS30))</f>
        <v/>
      </c>
      <c r="BW30" s="9" t="str">
        <f aca="false">IF(AY30="","",(BU30+BV30)/2)</f>
        <v/>
      </c>
      <c r="BX30" s="9" t="str">
        <f aca="false">IF(OR(R30="",N30="",BW30="",R30&lt;=0,BW30&lt;=0),"",(1/Inputs!$B$9)*((R30^2/8)*((2*ACOS(1-2*BW30/R30))-SIN((2*ACOS(1-2*BW30/R30)))))*((((R30^2/8)*((2*ACOS(1-2*BW30/R30))-SIN((2*ACOS(1-2*BW30/R30)))))/((R30/2)*((2*ACOS(1-2*BW30/R30)))))^(2/3))*SQRT(N30))</f>
        <v/>
      </c>
      <c r="BY30" s="9" t="str">
        <f aca="false">IF(AY30="","",IF(BX30&lt;AY30,BW30,BU30))</f>
        <v/>
      </c>
      <c r="BZ30" s="9" t="str">
        <f aca="false">IF(AY30="","",IF(BX30&lt;AY30,BV30,BW30))</f>
        <v/>
      </c>
      <c r="CA30" s="9" t="str">
        <f aca="false">IF(AY30="","",(BY30+BZ30)/2)</f>
        <v/>
      </c>
      <c r="CB30" s="9" t="str">
        <f aca="false">IF(OR(R30="",N30="",CA30="",R30&lt;=0,CA30&lt;=0),"",(1/Inputs!$B$9)*((R30^2/8)*((2*ACOS(1-2*CA30/R30))-SIN((2*ACOS(1-2*CA30/R30)))))*((((R30^2/8)*((2*ACOS(1-2*CA30/R30))-SIN((2*ACOS(1-2*CA30/R30)))))/((R30/2)*((2*ACOS(1-2*CA30/R30)))))^(2/3))*SQRT(N30))</f>
        <v/>
      </c>
      <c r="CC30" s="9" t="str">
        <f aca="false">IF(AY30="","",IF(CB30&lt;AY30,CA30,BY30))</f>
        <v/>
      </c>
      <c r="CD30" s="9" t="str">
        <f aca="false">IF(AY30="","",IF(CB30&lt;AY30,BZ30,CA30))</f>
        <v/>
      </c>
      <c r="CE30" s="9" t="str">
        <f aca="false">IF(AY30="","",(CC30+CD30)/2)</f>
        <v/>
      </c>
    </row>
    <row r="31" customFormat="false" ht="15" hidden="false" customHeight="false" outlineLevel="0" collapsed="false">
      <c r="A31" s="9"/>
      <c r="B31" s="9"/>
      <c r="C31" s="14"/>
      <c r="D31" s="14"/>
      <c r="E31" s="14" t="n">
        <f aca="false">SUMIFS(CB_Tributaires!$C:$C,CB_Tributaires!$B:$B,$A31)</f>
        <v>0</v>
      </c>
      <c r="F31" s="14" t="n">
        <f aca="false">IF(D31="",E31,D31)</f>
        <v>0</v>
      </c>
      <c r="G31" s="9"/>
      <c r="H31" s="14"/>
      <c r="I31" s="14" t="str">
        <f aca="false">IF(A31="","",Inputs!$B$13/((IF(AS31="",Inputs!$B$18,AS31)+Inputs!$B$14)^Inputs!$B$15))</f>
        <v/>
      </c>
      <c r="J31" s="14" t="str">
        <f aca="false">IF(A31="","",0.000000278*IF(G31="",Inputs!$B$17,G31)*F31*I31)</f>
        <v/>
      </c>
      <c r="K31" s="14" t="str">
        <f aca="false">IF(A31="","",SUMIFS($L$4:$L$203,$B$4:$B$203,$A31))</f>
        <v/>
      </c>
      <c r="L31" s="14" t="str">
        <f aca="false">IF(A31="","",(J31+K31)*Inputs!$B$16)</f>
        <v/>
      </c>
      <c r="M31" s="14"/>
      <c r="N31" s="14" t="str">
        <f aca="false">IF(A31="","",IF(M31="",Inputs!$B$7,M31))</f>
        <v/>
      </c>
      <c r="O31" s="9" t="str">
        <f aca="false">IF(A31="","",IF(L31/Inputs!$B$10&lt;=AD31,Inputs!$F$5,IF(L31/Inputs!$B$10&gt;AM31,"OVERSIZE",INDEX(Inputs!$F$5:$F$14,MATCH(L31/Inputs!$B$10,AD31:AM31,1)+1))))</f>
        <v/>
      </c>
      <c r="P31" s="9"/>
      <c r="Q31" s="9" t="str">
        <f aca="false">IF(A31="","",IF(P31="",O31,P31))</f>
        <v/>
      </c>
      <c r="R31" s="14" t="str">
        <f aca="false">IF(OR(Q31="",Q31="OVERSIZE"),"",Q31/1000)</f>
        <v/>
      </c>
      <c r="S31" s="14" t="str">
        <f aca="false">IF(R31="","",(1/Inputs!$B$9)*(PI()*R31^2/4)*((R31/4)^(2/3))*SQRT(N31))</f>
        <v/>
      </c>
      <c r="T31" s="14" t="str">
        <f aca="false">IF(OR(S31="",L31=""),"",L31/(S31*Inputs!$B$10))</f>
        <v/>
      </c>
      <c r="U31" s="14" t="str">
        <f aca="false">IF(OR(R31="",L31=""),"",4*L31/(PI()*R31^2))</f>
        <v/>
      </c>
      <c r="V31" s="14"/>
      <c r="W31" s="14" t="str">
        <f aca="false">IF(A31="","",IF(A31=Inputs!$B$6,Inputs!$B$22,IF(B31="","",IFERROR(INDEX($X$4:$X$203,MATCH(B31,$A$4:$A$203,0))+IF(V31="",Inputs!$B$20,V31),""))))</f>
        <v/>
      </c>
      <c r="X31" s="14" t="str">
        <f aca="false">IF(OR(W31="",N31="",C31=""),"",W31+N31*C31)</f>
        <v/>
      </c>
      <c r="Y31" s="14"/>
      <c r="Z31" s="14"/>
      <c r="AA31" s="14" t="str">
        <f aca="false">IF(OR(Y31="",W31=""),"",Y31-W31)</f>
        <v/>
      </c>
      <c r="AB31" s="14" t="str">
        <f aca="false">IF(OR(Z31="",X31=""),"",Z31-X31)</f>
        <v/>
      </c>
      <c r="AC31" s="19" t="str">
        <f aca="false">IF(A31="","",IF(OR(T31&gt;1,AND(AV31&lt;&gt;"",AV31&lt;Inputs!$B$11),AND(AV31&lt;&gt;"",AV31&gt;Inputs!$B$12),AA31&lt;Inputs!$B$19,AB31&lt;Inputs!$B$19,N31&lt;Inputs!$B$7,N31&gt;Inputs!$B$8),"CHECK","OK"))</f>
        <v/>
      </c>
      <c r="AD31" s="9" t="str">
        <f aca="false">IF(A31="","",(1/Inputs!$B$9)*(PI()*(Inputs!$F$5/1000)^2/4)*((Inputs!$F$5/1000/4)^(2/3))*SQRT(N31))</f>
        <v/>
      </c>
      <c r="AE31" s="9" t="str">
        <f aca="false">IF(A31="","",(1/Inputs!$B$9)*(PI()*(Inputs!$F$6/1000)^2/4)*((Inputs!$F$6/1000/4)^(2/3))*SQRT(N31))</f>
        <v/>
      </c>
      <c r="AF31" s="9" t="str">
        <f aca="false">IF(A31="","",(1/Inputs!$B$9)*(PI()*(Inputs!$F$7/1000)^2/4)*((Inputs!$F$7/1000/4)^(2/3))*SQRT(N31))</f>
        <v/>
      </c>
      <c r="AG31" s="9" t="str">
        <f aca="false">IF(A31="","",(1/Inputs!$B$9)*(PI()*(Inputs!$F$8/1000)^2/4)*((Inputs!$F$8/1000/4)^(2/3))*SQRT(N31))</f>
        <v/>
      </c>
      <c r="AH31" s="9" t="str">
        <f aca="false">IF(A31="","",(1/Inputs!$B$9)*(PI()*(Inputs!$F$9/1000)^2/4)*((Inputs!$F$9/1000/4)^(2/3))*SQRT(N31))</f>
        <v/>
      </c>
      <c r="AI31" s="9" t="str">
        <f aca="false">IF(A31="","",(1/Inputs!$B$9)*(PI()*(Inputs!$F$10/1000)^2/4)*((Inputs!$F$10/1000/4)^(2/3))*SQRT(N31))</f>
        <v/>
      </c>
      <c r="AJ31" s="9" t="str">
        <f aca="false">IF(A31="","",(1/Inputs!$B$9)*(PI()*(Inputs!$F$11/1000)^2/4)*((Inputs!$F$11/1000/4)^(2/3))*SQRT(N31))</f>
        <v/>
      </c>
      <c r="AK31" s="9" t="str">
        <f aca="false">IF(A31="","",(1/Inputs!$B$9)*(PI()*(Inputs!$F$12/1000)^2/4)*((Inputs!$F$12/1000/4)^(2/3))*SQRT(N31))</f>
        <v/>
      </c>
      <c r="AL31" s="9" t="str">
        <f aca="false">IF(A31="","",(1/Inputs!$B$9)*(PI()*(Inputs!$F$13/1000)^2/4)*((Inputs!$F$13/1000/4)^(2/3))*SQRT(N31))</f>
        <v/>
      </c>
      <c r="AM31" s="9" t="str">
        <f aca="false">IF(A31="","",(1/Inputs!$B$9)*(PI()*(Inputs!$F$14/1000)^2/4)*((Inputs!$F$14/1000/4)^(2/3))*SQRT(N31))</f>
        <v/>
      </c>
      <c r="AN31" s="9" t="str">
        <f aca="false">IF(A31="","",COUNTIF($B$4:$B$203,$A31))</f>
        <v/>
      </c>
      <c r="AO31" s="9" t="str">
        <f aca="false">IF(A31="","",IF(AN31=0,"START","CONTINUOUS"))</f>
        <v/>
      </c>
      <c r="AP31" s="13" t="str">
        <f aca="false">IF(A31="","",IF(H31="",Inputs!$B$18,H31))</f>
        <v/>
      </c>
      <c r="AQ31" s="13" t="str">
        <f aca="false">IF(A31="","",IFERROR(maxifs($AS$4:$AS$203,$B$4:$B$203,$A31),""))</f>
        <v/>
      </c>
      <c r="AR31" s="13" t="str">
        <f aca="false">IF(A31="","",IF(OR(C31="",Inputs!$B$23=""),"",C31/(Inputs!$B$23*60)))</f>
        <v/>
      </c>
      <c r="AS31" s="13" t="str">
        <f aca="false">IF(A31="","",IF(AN31=0,AP31+AR31,IF(AQ31="",AP31+AR31,AQ31+AR31)))</f>
        <v/>
      </c>
      <c r="AT31" s="13" t="str">
        <f aca="false">IF(A31="","",U31)</f>
        <v/>
      </c>
      <c r="AU31" s="13" t="str">
        <f aca="false">IF(OR(R31="",N31=""),"",(1/Inputs!$B$9)*((R31/4)^(2/3))*SQRT(N31))</f>
        <v/>
      </c>
      <c r="AV31" s="13" t="str">
        <f aca="false">IF(A31="","",IF(AND(AT31="",AU31="",AX31=""),"",IF(OR(UPPER(TRIM(Inputs!$B$24))="MANNING",UPPER(TRIM(Inputs!$B$24))="M"),AU31,IF(OR(UPPER(TRIM(Inputs!$B$24))="PARTIAL",UPPER(TRIM(Inputs!$B$24))="P"),AX31,IF(OR(UPPER(TRIM(Inputs!$B$24))="MAX",UPPER(TRIM(Inputs!$B$24))="X"),MAX(IF(AT31="",0,AT31),IF(AU31="",0,AU31),IF(AX31="",0,AX31)),AT31)))))</f>
        <v/>
      </c>
      <c r="AW31" s="13" t="str">
        <f aca="false">IF(AY31="","",CE31)</f>
        <v/>
      </c>
      <c r="AX31" s="13" t="str">
        <f aca="false">IF(OR(AY31="",AW31="",R31="",R31&lt;=0,AW31&lt;=0),"",AY31/((R31^2/8)*(2*ACOS(1-2*AW31/R31)-SIN(2*ACOS(1-2*AW31/R31)))))</f>
        <v/>
      </c>
      <c r="AY31" s="9" t="str">
        <f aca="false">IF(OR(L31="",AZ31=""),"",MIN(L31,AZ31))</f>
        <v/>
      </c>
      <c r="AZ31" s="9" t="str">
        <f aca="false">IF(OR(L31="",R31="",N31=""),"",IF(OR(R31="",N31="",(0.94*R31)="",R31&lt;=0,(0.94*R31)&lt;=0),"",(1/Inputs!$B$9)*((R31^2/8)*((2*ACOS(1-2*(0.94*R31)/R31))-SIN((2*ACOS(1-2*(0.94*R31)/R31)))))*((((R31^2/8)*((2*ACOS(1-2*(0.94*R31)/R31))-SIN((2*ACOS(1-2*(0.94*R31)/R31)))))/((R31/2)*((2*ACOS(1-2*(0.94*R31)/R31)))))^(2/3))*SQRT(N31)))</f>
        <v/>
      </c>
      <c r="BA31" s="9" t="str">
        <f aca="false">IF(AY31="","",0.001*R31)</f>
        <v/>
      </c>
      <c r="BB31" s="9" t="str">
        <f aca="false">IF(AY31="","",0.94*R31)</f>
        <v/>
      </c>
      <c r="BC31" s="9" t="str">
        <f aca="false">IF(AY31="","",(BA31+BB31)/2)</f>
        <v/>
      </c>
      <c r="BD31" s="9" t="str">
        <f aca="false">IF(OR(R31="",N31="",BC31="",R31&lt;=0,BC31&lt;=0),"",(1/Inputs!$B$9)*((R31^2/8)*((2*ACOS(1-2*BC31/R31))-SIN((2*ACOS(1-2*BC31/R31)))))*((((R31^2/8)*((2*ACOS(1-2*BC31/R31))-SIN((2*ACOS(1-2*BC31/R31)))))/((R31/2)*((2*ACOS(1-2*BC31/R31)))))^(2/3))*SQRT(N31))</f>
        <v/>
      </c>
      <c r="BE31" s="9" t="str">
        <f aca="false">IF(AY31="","",IF(BD31&lt;AY31,BC31,BA31))</f>
        <v/>
      </c>
      <c r="BF31" s="9" t="str">
        <f aca="false">IF(AY31="","",IF(BD31&lt;AY31,BB31,BC31))</f>
        <v/>
      </c>
      <c r="BG31" s="9" t="str">
        <f aca="false">IF(AY31="","",(BE31+BF31)/2)</f>
        <v/>
      </c>
      <c r="BH31" s="9" t="str">
        <f aca="false">IF(OR(R31="",N31="",BG31="",R31&lt;=0,BG31&lt;=0),"",(1/Inputs!$B$9)*((R31^2/8)*((2*ACOS(1-2*BG31/R31))-SIN((2*ACOS(1-2*BG31/R31)))))*((((R31^2/8)*((2*ACOS(1-2*BG31/R31))-SIN((2*ACOS(1-2*BG31/R31)))))/((R31/2)*((2*ACOS(1-2*BG31/R31)))))^(2/3))*SQRT(N31))</f>
        <v/>
      </c>
      <c r="BI31" s="9" t="str">
        <f aca="false">IF(AY31="","",IF(BH31&lt;AY31,BG31,BE31))</f>
        <v/>
      </c>
      <c r="BJ31" s="9" t="str">
        <f aca="false">IF(AY31="","",IF(BH31&lt;AY31,BF31,BG31))</f>
        <v/>
      </c>
      <c r="BK31" s="9" t="str">
        <f aca="false">IF(AY31="","",(BI31+BJ31)/2)</f>
        <v/>
      </c>
      <c r="BL31" s="9" t="str">
        <f aca="false">IF(OR(R31="",N31="",BK31="",R31&lt;=0,BK31&lt;=0),"",(1/Inputs!$B$9)*((R31^2/8)*((2*ACOS(1-2*BK31/R31))-SIN((2*ACOS(1-2*BK31/R31)))))*((((R31^2/8)*((2*ACOS(1-2*BK31/R31))-SIN((2*ACOS(1-2*BK31/R31)))))/((R31/2)*((2*ACOS(1-2*BK31/R31)))))^(2/3))*SQRT(N31))</f>
        <v/>
      </c>
      <c r="BM31" s="9" t="str">
        <f aca="false">IF(AY31="","",IF(BL31&lt;AY31,BK31,BI31))</f>
        <v/>
      </c>
      <c r="BN31" s="9" t="str">
        <f aca="false">IF(AY31="","",IF(BL31&lt;AY31,BJ31,BK31))</f>
        <v/>
      </c>
      <c r="BO31" s="9" t="str">
        <f aca="false">IF(AY31="","",(BM31+BN31)/2)</f>
        <v/>
      </c>
      <c r="BP31" s="9" t="str">
        <f aca="false">IF(OR(R31="",N31="",BO31="",R31&lt;=0,BO31&lt;=0),"",(1/Inputs!$B$9)*((R31^2/8)*((2*ACOS(1-2*BO31/R31))-SIN((2*ACOS(1-2*BO31/R31)))))*((((R31^2/8)*((2*ACOS(1-2*BO31/R31))-SIN((2*ACOS(1-2*BO31/R31)))))/((R31/2)*((2*ACOS(1-2*BO31/R31)))))^(2/3))*SQRT(N31))</f>
        <v/>
      </c>
      <c r="BQ31" s="9" t="str">
        <f aca="false">IF(AY31="","",IF(BP31&lt;AY31,BO31,BM31))</f>
        <v/>
      </c>
      <c r="BR31" s="9" t="str">
        <f aca="false">IF(AY31="","",IF(BP31&lt;AY31,BN31,BO31))</f>
        <v/>
      </c>
      <c r="BS31" s="9" t="str">
        <f aca="false">IF(AY31="","",(BQ31+BR31)/2)</f>
        <v/>
      </c>
      <c r="BT31" s="9" t="str">
        <f aca="false">IF(OR(R31="",N31="",BS31="",R31&lt;=0,BS31&lt;=0),"",(1/Inputs!$B$9)*((R31^2/8)*((2*ACOS(1-2*BS31/R31))-SIN((2*ACOS(1-2*BS31/R31)))))*((((R31^2/8)*((2*ACOS(1-2*BS31/R31))-SIN((2*ACOS(1-2*BS31/R31)))))/((R31/2)*((2*ACOS(1-2*BS31/R31)))))^(2/3))*SQRT(N31))</f>
        <v/>
      </c>
      <c r="BU31" s="9" t="str">
        <f aca="false">IF(AY31="","",IF(BT31&lt;AY31,BS31,BQ31))</f>
        <v/>
      </c>
      <c r="BV31" s="9" t="str">
        <f aca="false">IF(AY31="","",IF(BT31&lt;AY31,BR31,BS31))</f>
        <v/>
      </c>
      <c r="BW31" s="9" t="str">
        <f aca="false">IF(AY31="","",(BU31+BV31)/2)</f>
        <v/>
      </c>
      <c r="BX31" s="9" t="str">
        <f aca="false">IF(OR(R31="",N31="",BW31="",R31&lt;=0,BW31&lt;=0),"",(1/Inputs!$B$9)*((R31^2/8)*((2*ACOS(1-2*BW31/R31))-SIN((2*ACOS(1-2*BW31/R31)))))*((((R31^2/8)*((2*ACOS(1-2*BW31/R31))-SIN((2*ACOS(1-2*BW31/R31)))))/((R31/2)*((2*ACOS(1-2*BW31/R31)))))^(2/3))*SQRT(N31))</f>
        <v/>
      </c>
      <c r="BY31" s="9" t="str">
        <f aca="false">IF(AY31="","",IF(BX31&lt;AY31,BW31,BU31))</f>
        <v/>
      </c>
      <c r="BZ31" s="9" t="str">
        <f aca="false">IF(AY31="","",IF(BX31&lt;AY31,BV31,BW31))</f>
        <v/>
      </c>
      <c r="CA31" s="9" t="str">
        <f aca="false">IF(AY31="","",(BY31+BZ31)/2)</f>
        <v/>
      </c>
      <c r="CB31" s="9" t="str">
        <f aca="false">IF(OR(R31="",N31="",CA31="",R31&lt;=0,CA31&lt;=0),"",(1/Inputs!$B$9)*((R31^2/8)*((2*ACOS(1-2*CA31/R31))-SIN((2*ACOS(1-2*CA31/R31)))))*((((R31^2/8)*((2*ACOS(1-2*CA31/R31))-SIN((2*ACOS(1-2*CA31/R31)))))/((R31/2)*((2*ACOS(1-2*CA31/R31)))))^(2/3))*SQRT(N31))</f>
        <v/>
      </c>
      <c r="CC31" s="9" t="str">
        <f aca="false">IF(AY31="","",IF(CB31&lt;AY31,CA31,BY31))</f>
        <v/>
      </c>
      <c r="CD31" s="9" t="str">
        <f aca="false">IF(AY31="","",IF(CB31&lt;AY31,BZ31,CA31))</f>
        <v/>
      </c>
      <c r="CE31" s="9" t="str">
        <f aca="false">IF(AY31="","",(CC31+CD31)/2)</f>
        <v/>
      </c>
    </row>
    <row r="32" customFormat="false" ht="15" hidden="false" customHeight="false" outlineLevel="0" collapsed="false">
      <c r="A32" s="9"/>
      <c r="B32" s="9"/>
      <c r="C32" s="14"/>
      <c r="D32" s="14"/>
      <c r="E32" s="14" t="n">
        <f aca="false">SUMIFS(CB_Tributaires!$C:$C,CB_Tributaires!$B:$B,$A32)</f>
        <v>0</v>
      </c>
      <c r="F32" s="14" t="n">
        <f aca="false">IF(D32="",E32,D32)</f>
        <v>0</v>
      </c>
      <c r="G32" s="9"/>
      <c r="H32" s="14"/>
      <c r="I32" s="14" t="str">
        <f aca="false">IF(A32="","",Inputs!$B$13/((IF(AS32="",Inputs!$B$18,AS32)+Inputs!$B$14)^Inputs!$B$15))</f>
        <v/>
      </c>
      <c r="J32" s="14" t="str">
        <f aca="false">IF(A32="","",0.000000278*IF(G32="",Inputs!$B$17,G32)*F32*I32)</f>
        <v/>
      </c>
      <c r="K32" s="14" t="str">
        <f aca="false">IF(A32="","",SUMIFS($L$4:$L$203,$B$4:$B$203,$A32))</f>
        <v/>
      </c>
      <c r="L32" s="14" t="str">
        <f aca="false">IF(A32="","",(J32+K32)*Inputs!$B$16)</f>
        <v/>
      </c>
      <c r="M32" s="14"/>
      <c r="N32" s="14" t="str">
        <f aca="false">IF(A32="","",IF(M32="",Inputs!$B$7,M32))</f>
        <v/>
      </c>
      <c r="O32" s="9" t="str">
        <f aca="false">IF(A32="","",IF(L32/Inputs!$B$10&lt;=AD32,Inputs!$F$5,IF(L32/Inputs!$B$10&gt;AM32,"OVERSIZE",INDEX(Inputs!$F$5:$F$14,MATCH(L32/Inputs!$B$10,AD32:AM32,1)+1))))</f>
        <v/>
      </c>
      <c r="P32" s="9"/>
      <c r="Q32" s="9" t="str">
        <f aca="false">IF(A32="","",IF(P32="",O32,P32))</f>
        <v/>
      </c>
      <c r="R32" s="14" t="str">
        <f aca="false">IF(OR(Q32="",Q32="OVERSIZE"),"",Q32/1000)</f>
        <v/>
      </c>
      <c r="S32" s="14" t="str">
        <f aca="false">IF(R32="","",(1/Inputs!$B$9)*(PI()*R32^2/4)*((R32/4)^(2/3))*SQRT(N32))</f>
        <v/>
      </c>
      <c r="T32" s="14" t="str">
        <f aca="false">IF(OR(S32="",L32=""),"",L32/(S32*Inputs!$B$10))</f>
        <v/>
      </c>
      <c r="U32" s="14" t="str">
        <f aca="false">IF(OR(R32="",L32=""),"",4*L32/(PI()*R32^2))</f>
        <v/>
      </c>
      <c r="V32" s="14"/>
      <c r="W32" s="14" t="str">
        <f aca="false">IF(A32="","",IF(A32=Inputs!$B$6,Inputs!$B$22,IF(B32="","",IFERROR(INDEX($X$4:$X$203,MATCH(B32,$A$4:$A$203,0))+IF(V32="",Inputs!$B$20,V32),""))))</f>
        <v/>
      </c>
      <c r="X32" s="14" t="str">
        <f aca="false">IF(OR(W32="",N32="",C32=""),"",W32+N32*C32)</f>
        <v/>
      </c>
      <c r="Y32" s="14"/>
      <c r="Z32" s="14"/>
      <c r="AA32" s="14" t="str">
        <f aca="false">IF(OR(Y32="",W32=""),"",Y32-W32)</f>
        <v/>
      </c>
      <c r="AB32" s="14" t="str">
        <f aca="false">IF(OR(Z32="",X32=""),"",Z32-X32)</f>
        <v/>
      </c>
      <c r="AC32" s="19" t="str">
        <f aca="false">IF(A32="","",IF(OR(T32&gt;1,AND(AV32&lt;&gt;"",AV32&lt;Inputs!$B$11),AND(AV32&lt;&gt;"",AV32&gt;Inputs!$B$12),AA32&lt;Inputs!$B$19,AB32&lt;Inputs!$B$19,N32&lt;Inputs!$B$7,N32&gt;Inputs!$B$8),"CHECK","OK"))</f>
        <v/>
      </c>
      <c r="AD32" s="9" t="str">
        <f aca="false">IF(A32="","",(1/Inputs!$B$9)*(PI()*(Inputs!$F$5/1000)^2/4)*((Inputs!$F$5/1000/4)^(2/3))*SQRT(N32))</f>
        <v/>
      </c>
      <c r="AE32" s="9" t="str">
        <f aca="false">IF(A32="","",(1/Inputs!$B$9)*(PI()*(Inputs!$F$6/1000)^2/4)*((Inputs!$F$6/1000/4)^(2/3))*SQRT(N32))</f>
        <v/>
      </c>
      <c r="AF32" s="9" t="str">
        <f aca="false">IF(A32="","",(1/Inputs!$B$9)*(PI()*(Inputs!$F$7/1000)^2/4)*((Inputs!$F$7/1000/4)^(2/3))*SQRT(N32))</f>
        <v/>
      </c>
      <c r="AG32" s="9" t="str">
        <f aca="false">IF(A32="","",(1/Inputs!$B$9)*(PI()*(Inputs!$F$8/1000)^2/4)*((Inputs!$F$8/1000/4)^(2/3))*SQRT(N32))</f>
        <v/>
      </c>
      <c r="AH32" s="9" t="str">
        <f aca="false">IF(A32="","",(1/Inputs!$B$9)*(PI()*(Inputs!$F$9/1000)^2/4)*((Inputs!$F$9/1000/4)^(2/3))*SQRT(N32))</f>
        <v/>
      </c>
      <c r="AI32" s="9" t="str">
        <f aca="false">IF(A32="","",(1/Inputs!$B$9)*(PI()*(Inputs!$F$10/1000)^2/4)*((Inputs!$F$10/1000/4)^(2/3))*SQRT(N32))</f>
        <v/>
      </c>
      <c r="AJ32" s="9" t="str">
        <f aca="false">IF(A32="","",(1/Inputs!$B$9)*(PI()*(Inputs!$F$11/1000)^2/4)*((Inputs!$F$11/1000/4)^(2/3))*SQRT(N32))</f>
        <v/>
      </c>
      <c r="AK32" s="9" t="str">
        <f aca="false">IF(A32="","",(1/Inputs!$B$9)*(PI()*(Inputs!$F$12/1000)^2/4)*((Inputs!$F$12/1000/4)^(2/3))*SQRT(N32))</f>
        <v/>
      </c>
      <c r="AL32" s="9" t="str">
        <f aca="false">IF(A32="","",(1/Inputs!$B$9)*(PI()*(Inputs!$F$13/1000)^2/4)*((Inputs!$F$13/1000/4)^(2/3))*SQRT(N32))</f>
        <v/>
      </c>
      <c r="AM32" s="9" t="str">
        <f aca="false">IF(A32="","",(1/Inputs!$B$9)*(PI()*(Inputs!$F$14/1000)^2/4)*((Inputs!$F$14/1000/4)^(2/3))*SQRT(N32))</f>
        <v/>
      </c>
      <c r="AN32" s="9" t="str">
        <f aca="false">IF(A32="","",COUNTIF($B$4:$B$203,$A32))</f>
        <v/>
      </c>
      <c r="AO32" s="9" t="str">
        <f aca="false">IF(A32="","",IF(AN32=0,"START","CONTINUOUS"))</f>
        <v/>
      </c>
      <c r="AP32" s="13" t="str">
        <f aca="false">IF(A32="","",IF(H32="",Inputs!$B$18,H32))</f>
        <v/>
      </c>
      <c r="AQ32" s="13" t="str">
        <f aca="false">IF(A32="","",IFERROR(maxifs($AS$4:$AS$203,$B$4:$B$203,$A32),""))</f>
        <v/>
      </c>
      <c r="AR32" s="13" t="str">
        <f aca="false">IF(A32="","",IF(OR(C32="",Inputs!$B$23=""),"",C32/(Inputs!$B$23*60)))</f>
        <v/>
      </c>
      <c r="AS32" s="13" t="str">
        <f aca="false">IF(A32="","",IF(AN32=0,AP32+AR32,IF(AQ32="",AP32+AR32,AQ32+AR32)))</f>
        <v/>
      </c>
      <c r="AT32" s="13" t="str">
        <f aca="false">IF(A32="","",U32)</f>
        <v/>
      </c>
      <c r="AU32" s="13" t="str">
        <f aca="false">IF(OR(R32="",N32=""),"",(1/Inputs!$B$9)*((R32/4)^(2/3))*SQRT(N32))</f>
        <v/>
      </c>
      <c r="AV32" s="13" t="str">
        <f aca="false">IF(A32="","",IF(AND(AT32="",AU32="",AX32=""),"",IF(OR(UPPER(TRIM(Inputs!$B$24))="MANNING",UPPER(TRIM(Inputs!$B$24))="M"),AU32,IF(OR(UPPER(TRIM(Inputs!$B$24))="PARTIAL",UPPER(TRIM(Inputs!$B$24))="P"),AX32,IF(OR(UPPER(TRIM(Inputs!$B$24))="MAX",UPPER(TRIM(Inputs!$B$24))="X"),MAX(IF(AT32="",0,AT32),IF(AU32="",0,AU32),IF(AX32="",0,AX32)),AT32)))))</f>
        <v/>
      </c>
      <c r="AW32" s="13" t="str">
        <f aca="false">IF(AY32="","",CE32)</f>
        <v/>
      </c>
      <c r="AX32" s="13" t="str">
        <f aca="false">IF(OR(AY32="",AW32="",R32="",R32&lt;=0,AW32&lt;=0),"",AY32/((R32^2/8)*(2*ACOS(1-2*AW32/R32)-SIN(2*ACOS(1-2*AW32/R32)))))</f>
        <v/>
      </c>
      <c r="AY32" s="9" t="str">
        <f aca="false">IF(OR(L32="",AZ32=""),"",MIN(L32,AZ32))</f>
        <v/>
      </c>
      <c r="AZ32" s="9" t="str">
        <f aca="false">IF(OR(L32="",R32="",N32=""),"",IF(OR(R32="",N32="",(0.94*R32)="",R32&lt;=0,(0.94*R32)&lt;=0),"",(1/Inputs!$B$9)*((R32^2/8)*((2*ACOS(1-2*(0.94*R32)/R32))-SIN((2*ACOS(1-2*(0.94*R32)/R32)))))*((((R32^2/8)*((2*ACOS(1-2*(0.94*R32)/R32))-SIN((2*ACOS(1-2*(0.94*R32)/R32)))))/((R32/2)*((2*ACOS(1-2*(0.94*R32)/R32)))))^(2/3))*SQRT(N32)))</f>
        <v/>
      </c>
      <c r="BA32" s="9" t="str">
        <f aca="false">IF(AY32="","",0.001*R32)</f>
        <v/>
      </c>
      <c r="BB32" s="9" t="str">
        <f aca="false">IF(AY32="","",0.94*R32)</f>
        <v/>
      </c>
      <c r="BC32" s="9" t="str">
        <f aca="false">IF(AY32="","",(BA32+BB32)/2)</f>
        <v/>
      </c>
      <c r="BD32" s="9" t="str">
        <f aca="false">IF(OR(R32="",N32="",BC32="",R32&lt;=0,BC32&lt;=0),"",(1/Inputs!$B$9)*((R32^2/8)*((2*ACOS(1-2*BC32/R32))-SIN((2*ACOS(1-2*BC32/R32)))))*((((R32^2/8)*((2*ACOS(1-2*BC32/R32))-SIN((2*ACOS(1-2*BC32/R32)))))/((R32/2)*((2*ACOS(1-2*BC32/R32)))))^(2/3))*SQRT(N32))</f>
        <v/>
      </c>
      <c r="BE32" s="9" t="str">
        <f aca="false">IF(AY32="","",IF(BD32&lt;AY32,BC32,BA32))</f>
        <v/>
      </c>
      <c r="BF32" s="9" t="str">
        <f aca="false">IF(AY32="","",IF(BD32&lt;AY32,BB32,BC32))</f>
        <v/>
      </c>
      <c r="BG32" s="9" t="str">
        <f aca="false">IF(AY32="","",(BE32+BF32)/2)</f>
        <v/>
      </c>
      <c r="BH32" s="9" t="str">
        <f aca="false">IF(OR(R32="",N32="",BG32="",R32&lt;=0,BG32&lt;=0),"",(1/Inputs!$B$9)*((R32^2/8)*((2*ACOS(1-2*BG32/R32))-SIN((2*ACOS(1-2*BG32/R32)))))*((((R32^2/8)*((2*ACOS(1-2*BG32/R32))-SIN((2*ACOS(1-2*BG32/R32)))))/((R32/2)*((2*ACOS(1-2*BG32/R32)))))^(2/3))*SQRT(N32))</f>
        <v/>
      </c>
      <c r="BI32" s="9" t="str">
        <f aca="false">IF(AY32="","",IF(BH32&lt;AY32,BG32,BE32))</f>
        <v/>
      </c>
      <c r="BJ32" s="9" t="str">
        <f aca="false">IF(AY32="","",IF(BH32&lt;AY32,BF32,BG32))</f>
        <v/>
      </c>
      <c r="BK32" s="9" t="str">
        <f aca="false">IF(AY32="","",(BI32+BJ32)/2)</f>
        <v/>
      </c>
      <c r="BL32" s="9" t="str">
        <f aca="false">IF(OR(R32="",N32="",BK32="",R32&lt;=0,BK32&lt;=0),"",(1/Inputs!$B$9)*((R32^2/8)*((2*ACOS(1-2*BK32/R32))-SIN((2*ACOS(1-2*BK32/R32)))))*((((R32^2/8)*((2*ACOS(1-2*BK32/R32))-SIN((2*ACOS(1-2*BK32/R32)))))/((R32/2)*((2*ACOS(1-2*BK32/R32)))))^(2/3))*SQRT(N32))</f>
        <v/>
      </c>
      <c r="BM32" s="9" t="str">
        <f aca="false">IF(AY32="","",IF(BL32&lt;AY32,BK32,BI32))</f>
        <v/>
      </c>
      <c r="BN32" s="9" t="str">
        <f aca="false">IF(AY32="","",IF(BL32&lt;AY32,BJ32,BK32))</f>
        <v/>
      </c>
      <c r="BO32" s="9" t="str">
        <f aca="false">IF(AY32="","",(BM32+BN32)/2)</f>
        <v/>
      </c>
      <c r="BP32" s="9" t="str">
        <f aca="false">IF(OR(R32="",N32="",BO32="",R32&lt;=0,BO32&lt;=0),"",(1/Inputs!$B$9)*((R32^2/8)*((2*ACOS(1-2*BO32/R32))-SIN((2*ACOS(1-2*BO32/R32)))))*((((R32^2/8)*((2*ACOS(1-2*BO32/R32))-SIN((2*ACOS(1-2*BO32/R32)))))/((R32/2)*((2*ACOS(1-2*BO32/R32)))))^(2/3))*SQRT(N32))</f>
        <v/>
      </c>
      <c r="BQ32" s="9" t="str">
        <f aca="false">IF(AY32="","",IF(BP32&lt;AY32,BO32,BM32))</f>
        <v/>
      </c>
      <c r="BR32" s="9" t="str">
        <f aca="false">IF(AY32="","",IF(BP32&lt;AY32,BN32,BO32))</f>
        <v/>
      </c>
      <c r="BS32" s="9" t="str">
        <f aca="false">IF(AY32="","",(BQ32+BR32)/2)</f>
        <v/>
      </c>
      <c r="BT32" s="9" t="str">
        <f aca="false">IF(OR(R32="",N32="",BS32="",R32&lt;=0,BS32&lt;=0),"",(1/Inputs!$B$9)*((R32^2/8)*((2*ACOS(1-2*BS32/R32))-SIN((2*ACOS(1-2*BS32/R32)))))*((((R32^2/8)*((2*ACOS(1-2*BS32/R32))-SIN((2*ACOS(1-2*BS32/R32)))))/((R32/2)*((2*ACOS(1-2*BS32/R32)))))^(2/3))*SQRT(N32))</f>
        <v/>
      </c>
      <c r="BU32" s="9" t="str">
        <f aca="false">IF(AY32="","",IF(BT32&lt;AY32,BS32,BQ32))</f>
        <v/>
      </c>
      <c r="BV32" s="9" t="str">
        <f aca="false">IF(AY32="","",IF(BT32&lt;AY32,BR32,BS32))</f>
        <v/>
      </c>
      <c r="BW32" s="9" t="str">
        <f aca="false">IF(AY32="","",(BU32+BV32)/2)</f>
        <v/>
      </c>
      <c r="BX32" s="9" t="str">
        <f aca="false">IF(OR(R32="",N32="",BW32="",R32&lt;=0,BW32&lt;=0),"",(1/Inputs!$B$9)*((R32^2/8)*((2*ACOS(1-2*BW32/R32))-SIN((2*ACOS(1-2*BW32/R32)))))*((((R32^2/8)*((2*ACOS(1-2*BW32/R32))-SIN((2*ACOS(1-2*BW32/R32)))))/((R32/2)*((2*ACOS(1-2*BW32/R32)))))^(2/3))*SQRT(N32))</f>
        <v/>
      </c>
      <c r="BY32" s="9" t="str">
        <f aca="false">IF(AY32="","",IF(BX32&lt;AY32,BW32,BU32))</f>
        <v/>
      </c>
      <c r="BZ32" s="9" t="str">
        <f aca="false">IF(AY32="","",IF(BX32&lt;AY32,BV32,BW32))</f>
        <v/>
      </c>
      <c r="CA32" s="9" t="str">
        <f aca="false">IF(AY32="","",(BY32+BZ32)/2)</f>
        <v/>
      </c>
      <c r="CB32" s="9" t="str">
        <f aca="false">IF(OR(R32="",N32="",CA32="",R32&lt;=0,CA32&lt;=0),"",(1/Inputs!$B$9)*((R32^2/8)*((2*ACOS(1-2*CA32/R32))-SIN((2*ACOS(1-2*CA32/R32)))))*((((R32^2/8)*((2*ACOS(1-2*CA32/R32))-SIN((2*ACOS(1-2*CA32/R32)))))/((R32/2)*((2*ACOS(1-2*CA32/R32)))))^(2/3))*SQRT(N32))</f>
        <v/>
      </c>
      <c r="CC32" s="9" t="str">
        <f aca="false">IF(AY32="","",IF(CB32&lt;AY32,CA32,BY32))</f>
        <v/>
      </c>
      <c r="CD32" s="9" t="str">
        <f aca="false">IF(AY32="","",IF(CB32&lt;AY32,BZ32,CA32))</f>
        <v/>
      </c>
      <c r="CE32" s="9" t="str">
        <f aca="false">IF(AY32="","",(CC32+CD32)/2)</f>
        <v/>
      </c>
    </row>
    <row r="33" customFormat="false" ht="15" hidden="false" customHeight="false" outlineLevel="0" collapsed="false">
      <c r="A33" s="9"/>
      <c r="B33" s="9"/>
      <c r="C33" s="14"/>
      <c r="D33" s="14"/>
      <c r="E33" s="14" t="n">
        <f aca="false">SUMIFS(CB_Tributaires!$C:$C,CB_Tributaires!$B:$B,$A33)</f>
        <v>0</v>
      </c>
      <c r="F33" s="14" t="n">
        <f aca="false">IF(D33="",E33,D33)</f>
        <v>0</v>
      </c>
      <c r="G33" s="9"/>
      <c r="H33" s="14"/>
      <c r="I33" s="14" t="str">
        <f aca="false">IF(A33="","",Inputs!$B$13/((IF(AS33="",Inputs!$B$18,AS33)+Inputs!$B$14)^Inputs!$B$15))</f>
        <v/>
      </c>
      <c r="J33" s="14" t="str">
        <f aca="false">IF(A33="","",0.000000278*IF(G33="",Inputs!$B$17,G33)*F33*I33)</f>
        <v/>
      </c>
      <c r="K33" s="14" t="str">
        <f aca="false">IF(A33="","",SUMIFS($L$4:$L$203,$B$4:$B$203,$A33))</f>
        <v/>
      </c>
      <c r="L33" s="14" t="str">
        <f aca="false">IF(A33="","",(J33+K33)*Inputs!$B$16)</f>
        <v/>
      </c>
      <c r="M33" s="14"/>
      <c r="N33" s="14" t="str">
        <f aca="false">IF(A33="","",IF(M33="",Inputs!$B$7,M33))</f>
        <v/>
      </c>
      <c r="O33" s="9" t="str">
        <f aca="false">IF(A33="","",IF(L33/Inputs!$B$10&lt;=AD33,Inputs!$F$5,IF(L33/Inputs!$B$10&gt;AM33,"OVERSIZE",INDEX(Inputs!$F$5:$F$14,MATCH(L33/Inputs!$B$10,AD33:AM33,1)+1))))</f>
        <v/>
      </c>
      <c r="P33" s="9"/>
      <c r="Q33" s="9" t="str">
        <f aca="false">IF(A33="","",IF(P33="",O33,P33))</f>
        <v/>
      </c>
      <c r="R33" s="14" t="str">
        <f aca="false">IF(OR(Q33="",Q33="OVERSIZE"),"",Q33/1000)</f>
        <v/>
      </c>
      <c r="S33" s="14" t="str">
        <f aca="false">IF(R33="","",(1/Inputs!$B$9)*(PI()*R33^2/4)*((R33/4)^(2/3))*SQRT(N33))</f>
        <v/>
      </c>
      <c r="T33" s="14" t="str">
        <f aca="false">IF(OR(S33="",L33=""),"",L33/(S33*Inputs!$B$10))</f>
        <v/>
      </c>
      <c r="U33" s="14" t="str">
        <f aca="false">IF(OR(R33="",L33=""),"",4*L33/(PI()*R33^2))</f>
        <v/>
      </c>
      <c r="V33" s="14"/>
      <c r="W33" s="14" t="str">
        <f aca="false">IF(A33="","",IF(A33=Inputs!$B$6,Inputs!$B$22,IF(B33="","",IFERROR(INDEX($X$4:$X$203,MATCH(B33,$A$4:$A$203,0))+IF(V33="",Inputs!$B$20,V33),""))))</f>
        <v/>
      </c>
      <c r="X33" s="14" t="str">
        <f aca="false">IF(OR(W33="",N33="",C33=""),"",W33+N33*C33)</f>
        <v/>
      </c>
      <c r="Y33" s="14"/>
      <c r="Z33" s="14"/>
      <c r="AA33" s="14" t="str">
        <f aca="false">IF(OR(Y33="",W33=""),"",Y33-W33)</f>
        <v/>
      </c>
      <c r="AB33" s="14" t="str">
        <f aca="false">IF(OR(Z33="",X33=""),"",Z33-X33)</f>
        <v/>
      </c>
      <c r="AC33" s="19" t="str">
        <f aca="false">IF(A33="","",IF(OR(T33&gt;1,AND(AV33&lt;&gt;"",AV33&lt;Inputs!$B$11),AND(AV33&lt;&gt;"",AV33&gt;Inputs!$B$12),AA33&lt;Inputs!$B$19,AB33&lt;Inputs!$B$19,N33&lt;Inputs!$B$7,N33&gt;Inputs!$B$8),"CHECK","OK"))</f>
        <v/>
      </c>
      <c r="AD33" s="9" t="str">
        <f aca="false">IF(A33="","",(1/Inputs!$B$9)*(PI()*(Inputs!$F$5/1000)^2/4)*((Inputs!$F$5/1000/4)^(2/3))*SQRT(N33))</f>
        <v/>
      </c>
      <c r="AE33" s="9" t="str">
        <f aca="false">IF(A33="","",(1/Inputs!$B$9)*(PI()*(Inputs!$F$6/1000)^2/4)*((Inputs!$F$6/1000/4)^(2/3))*SQRT(N33))</f>
        <v/>
      </c>
      <c r="AF33" s="9" t="str">
        <f aca="false">IF(A33="","",(1/Inputs!$B$9)*(PI()*(Inputs!$F$7/1000)^2/4)*((Inputs!$F$7/1000/4)^(2/3))*SQRT(N33))</f>
        <v/>
      </c>
      <c r="AG33" s="9" t="str">
        <f aca="false">IF(A33="","",(1/Inputs!$B$9)*(PI()*(Inputs!$F$8/1000)^2/4)*((Inputs!$F$8/1000/4)^(2/3))*SQRT(N33))</f>
        <v/>
      </c>
      <c r="AH33" s="9" t="str">
        <f aca="false">IF(A33="","",(1/Inputs!$B$9)*(PI()*(Inputs!$F$9/1000)^2/4)*((Inputs!$F$9/1000/4)^(2/3))*SQRT(N33))</f>
        <v/>
      </c>
      <c r="AI33" s="9" t="str">
        <f aca="false">IF(A33="","",(1/Inputs!$B$9)*(PI()*(Inputs!$F$10/1000)^2/4)*((Inputs!$F$10/1000/4)^(2/3))*SQRT(N33))</f>
        <v/>
      </c>
      <c r="AJ33" s="9" t="str">
        <f aca="false">IF(A33="","",(1/Inputs!$B$9)*(PI()*(Inputs!$F$11/1000)^2/4)*((Inputs!$F$11/1000/4)^(2/3))*SQRT(N33))</f>
        <v/>
      </c>
      <c r="AK33" s="9" t="str">
        <f aca="false">IF(A33="","",(1/Inputs!$B$9)*(PI()*(Inputs!$F$12/1000)^2/4)*((Inputs!$F$12/1000/4)^(2/3))*SQRT(N33))</f>
        <v/>
      </c>
      <c r="AL33" s="9" t="str">
        <f aca="false">IF(A33="","",(1/Inputs!$B$9)*(PI()*(Inputs!$F$13/1000)^2/4)*((Inputs!$F$13/1000/4)^(2/3))*SQRT(N33))</f>
        <v/>
      </c>
      <c r="AM33" s="9" t="str">
        <f aca="false">IF(A33="","",(1/Inputs!$B$9)*(PI()*(Inputs!$F$14/1000)^2/4)*((Inputs!$F$14/1000/4)^(2/3))*SQRT(N33))</f>
        <v/>
      </c>
      <c r="AN33" s="9" t="str">
        <f aca="false">IF(A33="","",COUNTIF($B$4:$B$203,$A33))</f>
        <v/>
      </c>
      <c r="AO33" s="9" t="str">
        <f aca="false">IF(A33="","",IF(AN33=0,"START","CONTINUOUS"))</f>
        <v/>
      </c>
      <c r="AP33" s="13" t="str">
        <f aca="false">IF(A33="","",IF(H33="",Inputs!$B$18,H33))</f>
        <v/>
      </c>
      <c r="AQ33" s="13" t="str">
        <f aca="false">IF(A33="","",IFERROR(maxifs($AS$4:$AS$203,$B$4:$B$203,$A33),""))</f>
        <v/>
      </c>
      <c r="AR33" s="13" t="str">
        <f aca="false">IF(A33="","",IF(OR(C33="",Inputs!$B$23=""),"",C33/(Inputs!$B$23*60)))</f>
        <v/>
      </c>
      <c r="AS33" s="13" t="str">
        <f aca="false">IF(A33="","",IF(AN33=0,AP33+AR33,IF(AQ33="",AP33+AR33,AQ33+AR33)))</f>
        <v/>
      </c>
      <c r="AT33" s="13" t="str">
        <f aca="false">IF(A33="","",U33)</f>
        <v/>
      </c>
      <c r="AU33" s="13" t="str">
        <f aca="false">IF(OR(R33="",N33=""),"",(1/Inputs!$B$9)*((R33/4)^(2/3))*SQRT(N33))</f>
        <v/>
      </c>
      <c r="AV33" s="13" t="str">
        <f aca="false">IF(A33="","",IF(AND(AT33="",AU33="",AX33=""),"",IF(OR(UPPER(TRIM(Inputs!$B$24))="MANNING",UPPER(TRIM(Inputs!$B$24))="M"),AU33,IF(OR(UPPER(TRIM(Inputs!$B$24))="PARTIAL",UPPER(TRIM(Inputs!$B$24))="P"),AX33,IF(OR(UPPER(TRIM(Inputs!$B$24))="MAX",UPPER(TRIM(Inputs!$B$24))="X"),MAX(IF(AT33="",0,AT33),IF(AU33="",0,AU33),IF(AX33="",0,AX33)),AT33)))))</f>
        <v/>
      </c>
      <c r="AW33" s="13" t="str">
        <f aca="false">IF(AY33="","",CE33)</f>
        <v/>
      </c>
      <c r="AX33" s="13" t="str">
        <f aca="false">IF(OR(AY33="",AW33="",R33="",R33&lt;=0,AW33&lt;=0),"",AY33/((R33^2/8)*(2*ACOS(1-2*AW33/R33)-SIN(2*ACOS(1-2*AW33/R33)))))</f>
        <v/>
      </c>
      <c r="AY33" s="9" t="str">
        <f aca="false">IF(OR(L33="",AZ33=""),"",MIN(L33,AZ33))</f>
        <v/>
      </c>
      <c r="AZ33" s="9" t="str">
        <f aca="false">IF(OR(L33="",R33="",N33=""),"",IF(OR(R33="",N33="",(0.94*R33)="",R33&lt;=0,(0.94*R33)&lt;=0),"",(1/Inputs!$B$9)*((R33^2/8)*((2*ACOS(1-2*(0.94*R33)/R33))-SIN((2*ACOS(1-2*(0.94*R33)/R33)))))*((((R33^2/8)*((2*ACOS(1-2*(0.94*R33)/R33))-SIN((2*ACOS(1-2*(0.94*R33)/R33)))))/((R33/2)*((2*ACOS(1-2*(0.94*R33)/R33)))))^(2/3))*SQRT(N33)))</f>
        <v/>
      </c>
      <c r="BA33" s="9" t="str">
        <f aca="false">IF(AY33="","",0.001*R33)</f>
        <v/>
      </c>
      <c r="BB33" s="9" t="str">
        <f aca="false">IF(AY33="","",0.94*R33)</f>
        <v/>
      </c>
      <c r="BC33" s="9" t="str">
        <f aca="false">IF(AY33="","",(BA33+BB33)/2)</f>
        <v/>
      </c>
      <c r="BD33" s="9" t="str">
        <f aca="false">IF(OR(R33="",N33="",BC33="",R33&lt;=0,BC33&lt;=0),"",(1/Inputs!$B$9)*((R33^2/8)*((2*ACOS(1-2*BC33/R33))-SIN((2*ACOS(1-2*BC33/R33)))))*((((R33^2/8)*((2*ACOS(1-2*BC33/R33))-SIN((2*ACOS(1-2*BC33/R33)))))/((R33/2)*((2*ACOS(1-2*BC33/R33)))))^(2/3))*SQRT(N33))</f>
        <v/>
      </c>
      <c r="BE33" s="9" t="str">
        <f aca="false">IF(AY33="","",IF(BD33&lt;AY33,BC33,BA33))</f>
        <v/>
      </c>
      <c r="BF33" s="9" t="str">
        <f aca="false">IF(AY33="","",IF(BD33&lt;AY33,BB33,BC33))</f>
        <v/>
      </c>
      <c r="BG33" s="9" t="str">
        <f aca="false">IF(AY33="","",(BE33+BF33)/2)</f>
        <v/>
      </c>
      <c r="BH33" s="9" t="str">
        <f aca="false">IF(OR(R33="",N33="",BG33="",R33&lt;=0,BG33&lt;=0),"",(1/Inputs!$B$9)*((R33^2/8)*((2*ACOS(1-2*BG33/R33))-SIN((2*ACOS(1-2*BG33/R33)))))*((((R33^2/8)*((2*ACOS(1-2*BG33/R33))-SIN((2*ACOS(1-2*BG33/R33)))))/((R33/2)*((2*ACOS(1-2*BG33/R33)))))^(2/3))*SQRT(N33))</f>
        <v/>
      </c>
      <c r="BI33" s="9" t="str">
        <f aca="false">IF(AY33="","",IF(BH33&lt;AY33,BG33,BE33))</f>
        <v/>
      </c>
      <c r="BJ33" s="9" t="str">
        <f aca="false">IF(AY33="","",IF(BH33&lt;AY33,BF33,BG33))</f>
        <v/>
      </c>
      <c r="BK33" s="9" t="str">
        <f aca="false">IF(AY33="","",(BI33+BJ33)/2)</f>
        <v/>
      </c>
      <c r="BL33" s="9" t="str">
        <f aca="false">IF(OR(R33="",N33="",BK33="",R33&lt;=0,BK33&lt;=0),"",(1/Inputs!$B$9)*((R33^2/8)*((2*ACOS(1-2*BK33/R33))-SIN((2*ACOS(1-2*BK33/R33)))))*((((R33^2/8)*((2*ACOS(1-2*BK33/R33))-SIN((2*ACOS(1-2*BK33/R33)))))/((R33/2)*((2*ACOS(1-2*BK33/R33)))))^(2/3))*SQRT(N33))</f>
        <v/>
      </c>
      <c r="BM33" s="9" t="str">
        <f aca="false">IF(AY33="","",IF(BL33&lt;AY33,BK33,BI33))</f>
        <v/>
      </c>
      <c r="BN33" s="9" t="str">
        <f aca="false">IF(AY33="","",IF(BL33&lt;AY33,BJ33,BK33))</f>
        <v/>
      </c>
      <c r="BO33" s="9" t="str">
        <f aca="false">IF(AY33="","",(BM33+BN33)/2)</f>
        <v/>
      </c>
      <c r="BP33" s="9" t="str">
        <f aca="false">IF(OR(R33="",N33="",BO33="",R33&lt;=0,BO33&lt;=0),"",(1/Inputs!$B$9)*((R33^2/8)*((2*ACOS(1-2*BO33/R33))-SIN((2*ACOS(1-2*BO33/R33)))))*((((R33^2/8)*((2*ACOS(1-2*BO33/R33))-SIN((2*ACOS(1-2*BO33/R33)))))/((R33/2)*((2*ACOS(1-2*BO33/R33)))))^(2/3))*SQRT(N33))</f>
        <v/>
      </c>
      <c r="BQ33" s="9" t="str">
        <f aca="false">IF(AY33="","",IF(BP33&lt;AY33,BO33,BM33))</f>
        <v/>
      </c>
      <c r="BR33" s="9" t="str">
        <f aca="false">IF(AY33="","",IF(BP33&lt;AY33,BN33,BO33))</f>
        <v/>
      </c>
      <c r="BS33" s="9" t="str">
        <f aca="false">IF(AY33="","",(BQ33+BR33)/2)</f>
        <v/>
      </c>
      <c r="BT33" s="9" t="str">
        <f aca="false">IF(OR(R33="",N33="",BS33="",R33&lt;=0,BS33&lt;=0),"",(1/Inputs!$B$9)*((R33^2/8)*((2*ACOS(1-2*BS33/R33))-SIN((2*ACOS(1-2*BS33/R33)))))*((((R33^2/8)*((2*ACOS(1-2*BS33/R33))-SIN((2*ACOS(1-2*BS33/R33)))))/((R33/2)*((2*ACOS(1-2*BS33/R33)))))^(2/3))*SQRT(N33))</f>
        <v/>
      </c>
      <c r="BU33" s="9" t="str">
        <f aca="false">IF(AY33="","",IF(BT33&lt;AY33,BS33,BQ33))</f>
        <v/>
      </c>
      <c r="BV33" s="9" t="str">
        <f aca="false">IF(AY33="","",IF(BT33&lt;AY33,BR33,BS33))</f>
        <v/>
      </c>
      <c r="BW33" s="9" t="str">
        <f aca="false">IF(AY33="","",(BU33+BV33)/2)</f>
        <v/>
      </c>
      <c r="BX33" s="9" t="str">
        <f aca="false">IF(OR(R33="",N33="",BW33="",R33&lt;=0,BW33&lt;=0),"",(1/Inputs!$B$9)*((R33^2/8)*((2*ACOS(1-2*BW33/R33))-SIN((2*ACOS(1-2*BW33/R33)))))*((((R33^2/8)*((2*ACOS(1-2*BW33/R33))-SIN((2*ACOS(1-2*BW33/R33)))))/((R33/2)*((2*ACOS(1-2*BW33/R33)))))^(2/3))*SQRT(N33))</f>
        <v/>
      </c>
      <c r="BY33" s="9" t="str">
        <f aca="false">IF(AY33="","",IF(BX33&lt;AY33,BW33,BU33))</f>
        <v/>
      </c>
      <c r="BZ33" s="9" t="str">
        <f aca="false">IF(AY33="","",IF(BX33&lt;AY33,BV33,BW33))</f>
        <v/>
      </c>
      <c r="CA33" s="9" t="str">
        <f aca="false">IF(AY33="","",(BY33+BZ33)/2)</f>
        <v/>
      </c>
      <c r="CB33" s="9" t="str">
        <f aca="false">IF(OR(R33="",N33="",CA33="",R33&lt;=0,CA33&lt;=0),"",(1/Inputs!$B$9)*((R33^2/8)*((2*ACOS(1-2*CA33/R33))-SIN((2*ACOS(1-2*CA33/R33)))))*((((R33^2/8)*((2*ACOS(1-2*CA33/R33))-SIN((2*ACOS(1-2*CA33/R33)))))/((R33/2)*((2*ACOS(1-2*CA33/R33)))))^(2/3))*SQRT(N33))</f>
        <v/>
      </c>
      <c r="CC33" s="9" t="str">
        <f aca="false">IF(AY33="","",IF(CB33&lt;AY33,CA33,BY33))</f>
        <v/>
      </c>
      <c r="CD33" s="9" t="str">
        <f aca="false">IF(AY33="","",IF(CB33&lt;AY33,BZ33,CA33))</f>
        <v/>
      </c>
      <c r="CE33" s="9" t="str">
        <f aca="false">IF(AY33="","",(CC33+CD33)/2)</f>
        <v/>
      </c>
    </row>
    <row r="34" customFormat="false" ht="15" hidden="false" customHeight="false" outlineLevel="0" collapsed="false">
      <c r="A34" s="9"/>
      <c r="B34" s="9"/>
      <c r="C34" s="14"/>
      <c r="D34" s="14"/>
      <c r="E34" s="14" t="n">
        <f aca="false">SUMIFS(CB_Tributaires!$C:$C,CB_Tributaires!$B:$B,$A34)</f>
        <v>0</v>
      </c>
      <c r="F34" s="14" t="n">
        <f aca="false">IF(D34="",E34,D34)</f>
        <v>0</v>
      </c>
      <c r="G34" s="9"/>
      <c r="H34" s="14"/>
      <c r="I34" s="14" t="str">
        <f aca="false">IF(A34="","",Inputs!$B$13/((IF(AS34="",Inputs!$B$18,AS34)+Inputs!$B$14)^Inputs!$B$15))</f>
        <v/>
      </c>
      <c r="J34" s="14" t="str">
        <f aca="false">IF(A34="","",0.000000278*IF(G34="",Inputs!$B$17,G34)*F34*I34)</f>
        <v/>
      </c>
      <c r="K34" s="14" t="str">
        <f aca="false">IF(A34="","",SUMIFS($L$4:$L$203,$B$4:$B$203,$A34))</f>
        <v/>
      </c>
      <c r="L34" s="14" t="str">
        <f aca="false">IF(A34="","",(J34+K34)*Inputs!$B$16)</f>
        <v/>
      </c>
      <c r="M34" s="14"/>
      <c r="N34" s="14" t="str">
        <f aca="false">IF(A34="","",IF(M34="",Inputs!$B$7,M34))</f>
        <v/>
      </c>
      <c r="O34" s="9" t="str">
        <f aca="false">IF(A34="","",IF(L34/Inputs!$B$10&lt;=AD34,Inputs!$F$5,IF(L34/Inputs!$B$10&gt;AM34,"OVERSIZE",INDEX(Inputs!$F$5:$F$14,MATCH(L34/Inputs!$B$10,AD34:AM34,1)+1))))</f>
        <v/>
      </c>
      <c r="P34" s="9"/>
      <c r="Q34" s="9" t="str">
        <f aca="false">IF(A34="","",IF(P34="",O34,P34))</f>
        <v/>
      </c>
      <c r="R34" s="14" t="str">
        <f aca="false">IF(OR(Q34="",Q34="OVERSIZE"),"",Q34/1000)</f>
        <v/>
      </c>
      <c r="S34" s="14" t="str">
        <f aca="false">IF(R34="","",(1/Inputs!$B$9)*(PI()*R34^2/4)*((R34/4)^(2/3))*SQRT(N34))</f>
        <v/>
      </c>
      <c r="T34" s="14" t="str">
        <f aca="false">IF(OR(S34="",L34=""),"",L34/(S34*Inputs!$B$10))</f>
        <v/>
      </c>
      <c r="U34" s="14" t="str">
        <f aca="false">IF(OR(R34="",L34=""),"",4*L34/(PI()*R34^2))</f>
        <v/>
      </c>
      <c r="V34" s="14"/>
      <c r="W34" s="14" t="str">
        <f aca="false">IF(A34="","",IF(A34=Inputs!$B$6,Inputs!$B$22,IF(B34="","",IFERROR(INDEX($X$4:$X$203,MATCH(B34,$A$4:$A$203,0))+IF(V34="",Inputs!$B$20,V34),""))))</f>
        <v/>
      </c>
      <c r="X34" s="14" t="str">
        <f aca="false">IF(OR(W34="",N34="",C34=""),"",W34+N34*C34)</f>
        <v/>
      </c>
      <c r="Y34" s="14"/>
      <c r="Z34" s="14"/>
      <c r="AA34" s="14" t="str">
        <f aca="false">IF(OR(Y34="",W34=""),"",Y34-W34)</f>
        <v/>
      </c>
      <c r="AB34" s="14" t="str">
        <f aca="false">IF(OR(Z34="",X34=""),"",Z34-X34)</f>
        <v/>
      </c>
      <c r="AC34" s="19" t="str">
        <f aca="false">IF(A34="","",IF(OR(T34&gt;1,AND(AV34&lt;&gt;"",AV34&lt;Inputs!$B$11),AND(AV34&lt;&gt;"",AV34&gt;Inputs!$B$12),AA34&lt;Inputs!$B$19,AB34&lt;Inputs!$B$19,N34&lt;Inputs!$B$7,N34&gt;Inputs!$B$8),"CHECK","OK"))</f>
        <v/>
      </c>
      <c r="AD34" s="9" t="str">
        <f aca="false">IF(A34="","",(1/Inputs!$B$9)*(PI()*(Inputs!$F$5/1000)^2/4)*((Inputs!$F$5/1000/4)^(2/3))*SQRT(N34))</f>
        <v/>
      </c>
      <c r="AE34" s="9" t="str">
        <f aca="false">IF(A34="","",(1/Inputs!$B$9)*(PI()*(Inputs!$F$6/1000)^2/4)*((Inputs!$F$6/1000/4)^(2/3))*SQRT(N34))</f>
        <v/>
      </c>
      <c r="AF34" s="9" t="str">
        <f aca="false">IF(A34="","",(1/Inputs!$B$9)*(PI()*(Inputs!$F$7/1000)^2/4)*((Inputs!$F$7/1000/4)^(2/3))*SQRT(N34))</f>
        <v/>
      </c>
      <c r="AG34" s="9" t="str">
        <f aca="false">IF(A34="","",(1/Inputs!$B$9)*(PI()*(Inputs!$F$8/1000)^2/4)*((Inputs!$F$8/1000/4)^(2/3))*SQRT(N34))</f>
        <v/>
      </c>
      <c r="AH34" s="9" t="str">
        <f aca="false">IF(A34="","",(1/Inputs!$B$9)*(PI()*(Inputs!$F$9/1000)^2/4)*((Inputs!$F$9/1000/4)^(2/3))*SQRT(N34))</f>
        <v/>
      </c>
      <c r="AI34" s="9" t="str">
        <f aca="false">IF(A34="","",(1/Inputs!$B$9)*(PI()*(Inputs!$F$10/1000)^2/4)*((Inputs!$F$10/1000/4)^(2/3))*SQRT(N34))</f>
        <v/>
      </c>
      <c r="AJ34" s="9" t="str">
        <f aca="false">IF(A34="","",(1/Inputs!$B$9)*(PI()*(Inputs!$F$11/1000)^2/4)*((Inputs!$F$11/1000/4)^(2/3))*SQRT(N34))</f>
        <v/>
      </c>
      <c r="AK34" s="9" t="str">
        <f aca="false">IF(A34="","",(1/Inputs!$B$9)*(PI()*(Inputs!$F$12/1000)^2/4)*((Inputs!$F$12/1000/4)^(2/3))*SQRT(N34))</f>
        <v/>
      </c>
      <c r="AL34" s="9" t="str">
        <f aca="false">IF(A34="","",(1/Inputs!$B$9)*(PI()*(Inputs!$F$13/1000)^2/4)*((Inputs!$F$13/1000/4)^(2/3))*SQRT(N34))</f>
        <v/>
      </c>
      <c r="AM34" s="9" t="str">
        <f aca="false">IF(A34="","",(1/Inputs!$B$9)*(PI()*(Inputs!$F$14/1000)^2/4)*((Inputs!$F$14/1000/4)^(2/3))*SQRT(N34))</f>
        <v/>
      </c>
      <c r="AN34" s="9" t="str">
        <f aca="false">IF(A34="","",COUNTIF($B$4:$B$203,$A34))</f>
        <v/>
      </c>
      <c r="AO34" s="9" t="str">
        <f aca="false">IF(A34="","",IF(AN34=0,"START","CONTINUOUS"))</f>
        <v/>
      </c>
      <c r="AP34" s="13" t="str">
        <f aca="false">IF(A34="","",IF(H34="",Inputs!$B$18,H34))</f>
        <v/>
      </c>
      <c r="AQ34" s="13" t="str">
        <f aca="false">IF(A34="","",IFERROR(maxifs($AS$4:$AS$203,$B$4:$B$203,$A34),""))</f>
        <v/>
      </c>
      <c r="AR34" s="13" t="str">
        <f aca="false">IF(A34="","",IF(OR(C34="",Inputs!$B$23=""),"",C34/(Inputs!$B$23*60)))</f>
        <v/>
      </c>
      <c r="AS34" s="13" t="str">
        <f aca="false">IF(A34="","",IF(AN34=0,AP34+AR34,IF(AQ34="",AP34+AR34,AQ34+AR34)))</f>
        <v/>
      </c>
      <c r="AT34" s="13" t="str">
        <f aca="false">IF(A34="","",U34)</f>
        <v/>
      </c>
      <c r="AU34" s="13" t="str">
        <f aca="false">IF(OR(R34="",N34=""),"",(1/Inputs!$B$9)*((R34/4)^(2/3))*SQRT(N34))</f>
        <v/>
      </c>
      <c r="AV34" s="13" t="str">
        <f aca="false">IF(A34="","",IF(AND(AT34="",AU34="",AX34=""),"",IF(OR(UPPER(TRIM(Inputs!$B$24))="MANNING",UPPER(TRIM(Inputs!$B$24))="M"),AU34,IF(OR(UPPER(TRIM(Inputs!$B$24))="PARTIAL",UPPER(TRIM(Inputs!$B$24))="P"),AX34,IF(OR(UPPER(TRIM(Inputs!$B$24))="MAX",UPPER(TRIM(Inputs!$B$24))="X"),MAX(IF(AT34="",0,AT34),IF(AU34="",0,AU34),IF(AX34="",0,AX34)),AT34)))))</f>
        <v/>
      </c>
      <c r="AW34" s="13" t="str">
        <f aca="false">IF(AY34="","",CE34)</f>
        <v/>
      </c>
      <c r="AX34" s="13" t="str">
        <f aca="false">IF(OR(AY34="",AW34="",R34="",R34&lt;=0,AW34&lt;=0),"",AY34/((R34^2/8)*(2*ACOS(1-2*AW34/R34)-SIN(2*ACOS(1-2*AW34/R34)))))</f>
        <v/>
      </c>
      <c r="AY34" s="9" t="str">
        <f aca="false">IF(OR(L34="",AZ34=""),"",MIN(L34,AZ34))</f>
        <v/>
      </c>
      <c r="AZ34" s="9" t="str">
        <f aca="false">IF(OR(L34="",R34="",N34=""),"",IF(OR(R34="",N34="",(0.94*R34)="",R34&lt;=0,(0.94*R34)&lt;=0),"",(1/Inputs!$B$9)*((R34^2/8)*((2*ACOS(1-2*(0.94*R34)/R34))-SIN((2*ACOS(1-2*(0.94*R34)/R34)))))*((((R34^2/8)*((2*ACOS(1-2*(0.94*R34)/R34))-SIN((2*ACOS(1-2*(0.94*R34)/R34)))))/((R34/2)*((2*ACOS(1-2*(0.94*R34)/R34)))))^(2/3))*SQRT(N34)))</f>
        <v/>
      </c>
      <c r="BA34" s="9" t="str">
        <f aca="false">IF(AY34="","",0.001*R34)</f>
        <v/>
      </c>
      <c r="BB34" s="9" t="str">
        <f aca="false">IF(AY34="","",0.94*R34)</f>
        <v/>
      </c>
      <c r="BC34" s="9" t="str">
        <f aca="false">IF(AY34="","",(BA34+BB34)/2)</f>
        <v/>
      </c>
      <c r="BD34" s="9" t="str">
        <f aca="false">IF(OR(R34="",N34="",BC34="",R34&lt;=0,BC34&lt;=0),"",(1/Inputs!$B$9)*((R34^2/8)*((2*ACOS(1-2*BC34/R34))-SIN((2*ACOS(1-2*BC34/R34)))))*((((R34^2/8)*((2*ACOS(1-2*BC34/R34))-SIN((2*ACOS(1-2*BC34/R34)))))/((R34/2)*((2*ACOS(1-2*BC34/R34)))))^(2/3))*SQRT(N34))</f>
        <v/>
      </c>
      <c r="BE34" s="9" t="str">
        <f aca="false">IF(AY34="","",IF(BD34&lt;AY34,BC34,BA34))</f>
        <v/>
      </c>
      <c r="BF34" s="9" t="str">
        <f aca="false">IF(AY34="","",IF(BD34&lt;AY34,BB34,BC34))</f>
        <v/>
      </c>
      <c r="BG34" s="9" t="str">
        <f aca="false">IF(AY34="","",(BE34+BF34)/2)</f>
        <v/>
      </c>
      <c r="BH34" s="9" t="str">
        <f aca="false">IF(OR(R34="",N34="",BG34="",R34&lt;=0,BG34&lt;=0),"",(1/Inputs!$B$9)*((R34^2/8)*((2*ACOS(1-2*BG34/R34))-SIN((2*ACOS(1-2*BG34/R34)))))*((((R34^2/8)*((2*ACOS(1-2*BG34/R34))-SIN((2*ACOS(1-2*BG34/R34)))))/((R34/2)*((2*ACOS(1-2*BG34/R34)))))^(2/3))*SQRT(N34))</f>
        <v/>
      </c>
      <c r="BI34" s="9" t="str">
        <f aca="false">IF(AY34="","",IF(BH34&lt;AY34,BG34,BE34))</f>
        <v/>
      </c>
      <c r="BJ34" s="9" t="str">
        <f aca="false">IF(AY34="","",IF(BH34&lt;AY34,BF34,BG34))</f>
        <v/>
      </c>
      <c r="BK34" s="9" t="str">
        <f aca="false">IF(AY34="","",(BI34+BJ34)/2)</f>
        <v/>
      </c>
      <c r="BL34" s="9" t="str">
        <f aca="false">IF(OR(R34="",N34="",BK34="",R34&lt;=0,BK34&lt;=0),"",(1/Inputs!$B$9)*((R34^2/8)*((2*ACOS(1-2*BK34/R34))-SIN((2*ACOS(1-2*BK34/R34)))))*((((R34^2/8)*((2*ACOS(1-2*BK34/R34))-SIN((2*ACOS(1-2*BK34/R34)))))/((R34/2)*((2*ACOS(1-2*BK34/R34)))))^(2/3))*SQRT(N34))</f>
        <v/>
      </c>
      <c r="BM34" s="9" t="str">
        <f aca="false">IF(AY34="","",IF(BL34&lt;AY34,BK34,BI34))</f>
        <v/>
      </c>
      <c r="BN34" s="9" t="str">
        <f aca="false">IF(AY34="","",IF(BL34&lt;AY34,BJ34,BK34))</f>
        <v/>
      </c>
      <c r="BO34" s="9" t="str">
        <f aca="false">IF(AY34="","",(BM34+BN34)/2)</f>
        <v/>
      </c>
      <c r="BP34" s="9" t="str">
        <f aca="false">IF(OR(R34="",N34="",BO34="",R34&lt;=0,BO34&lt;=0),"",(1/Inputs!$B$9)*((R34^2/8)*((2*ACOS(1-2*BO34/R34))-SIN((2*ACOS(1-2*BO34/R34)))))*((((R34^2/8)*((2*ACOS(1-2*BO34/R34))-SIN((2*ACOS(1-2*BO34/R34)))))/((R34/2)*((2*ACOS(1-2*BO34/R34)))))^(2/3))*SQRT(N34))</f>
        <v/>
      </c>
      <c r="BQ34" s="9" t="str">
        <f aca="false">IF(AY34="","",IF(BP34&lt;AY34,BO34,BM34))</f>
        <v/>
      </c>
      <c r="BR34" s="9" t="str">
        <f aca="false">IF(AY34="","",IF(BP34&lt;AY34,BN34,BO34))</f>
        <v/>
      </c>
      <c r="BS34" s="9" t="str">
        <f aca="false">IF(AY34="","",(BQ34+BR34)/2)</f>
        <v/>
      </c>
      <c r="BT34" s="9" t="str">
        <f aca="false">IF(OR(R34="",N34="",BS34="",R34&lt;=0,BS34&lt;=0),"",(1/Inputs!$B$9)*((R34^2/8)*((2*ACOS(1-2*BS34/R34))-SIN((2*ACOS(1-2*BS34/R34)))))*((((R34^2/8)*((2*ACOS(1-2*BS34/R34))-SIN((2*ACOS(1-2*BS34/R34)))))/((R34/2)*((2*ACOS(1-2*BS34/R34)))))^(2/3))*SQRT(N34))</f>
        <v/>
      </c>
      <c r="BU34" s="9" t="str">
        <f aca="false">IF(AY34="","",IF(BT34&lt;AY34,BS34,BQ34))</f>
        <v/>
      </c>
      <c r="BV34" s="9" t="str">
        <f aca="false">IF(AY34="","",IF(BT34&lt;AY34,BR34,BS34))</f>
        <v/>
      </c>
      <c r="BW34" s="9" t="str">
        <f aca="false">IF(AY34="","",(BU34+BV34)/2)</f>
        <v/>
      </c>
      <c r="BX34" s="9" t="str">
        <f aca="false">IF(OR(R34="",N34="",BW34="",R34&lt;=0,BW34&lt;=0),"",(1/Inputs!$B$9)*((R34^2/8)*((2*ACOS(1-2*BW34/R34))-SIN((2*ACOS(1-2*BW34/R34)))))*((((R34^2/8)*((2*ACOS(1-2*BW34/R34))-SIN((2*ACOS(1-2*BW34/R34)))))/((R34/2)*((2*ACOS(1-2*BW34/R34)))))^(2/3))*SQRT(N34))</f>
        <v/>
      </c>
      <c r="BY34" s="9" t="str">
        <f aca="false">IF(AY34="","",IF(BX34&lt;AY34,BW34,BU34))</f>
        <v/>
      </c>
      <c r="BZ34" s="9" t="str">
        <f aca="false">IF(AY34="","",IF(BX34&lt;AY34,BV34,BW34))</f>
        <v/>
      </c>
      <c r="CA34" s="9" t="str">
        <f aca="false">IF(AY34="","",(BY34+BZ34)/2)</f>
        <v/>
      </c>
      <c r="CB34" s="9" t="str">
        <f aca="false">IF(OR(R34="",N34="",CA34="",R34&lt;=0,CA34&lt;=0),"",(1/Inputs!$B$9)*((R34^2/8)*((2*ACOS(1-2*CA34/R34))-SIN((2*ACOS(1-2*CA34/R34)))))*((((R34^2/8)*((2*ACOS(1-2*CA34/R34))-SIN((2*ACOS(1-2*CA34/R34)))))/((R34/2)*((2*ACOS(1-2*CA34/R34)))))^(2/3))*SQRT(N34))</f>
        <v/>
      </c>
      <c r="CC34" s="9" t="str">
        <f aca="false">IF(AY34="","",IF(CB34&lt;AY34,CA34,BY34))</f>
        <v/>
      </c>
      <c r="CD34" s="9" t="str">
        <f aca="false">IF(AY34="","",IF(CB34&lt;AY34,BZ34,CA34))</f>
        <v/>
      </c>
      <c r="CE34" s="9" t="str">
        <f aca="false">IF(AY34="","",(CC34+CD34)/2)</f>
        <v/>
      </c>
    </row>
    <row r="35" customFormat="false" ht="15" hidden="false" customHeight="false" outlineLevel="0" collapsed="false">
      <c r="A35" s="9"/>
      <c r="B35" s="9"/>
      <c r="C35" s="14"/>
      <c r="D35" s="14"/>
      <c r="E35" s="14" t="n">
        <f aca="false">SUMIFS(CB_Tributaires!$C:$C,CB_Tributaires!$B:$B,$A35)</f>
        <v>0</v>
      </c>
      <c r="F35" s="14" t="n">
        <f aca="false">IF(D35="",E35,D35)</f>
        <v>0</v>
      </c>
      <c r="G35" s="9"/>
      <c r="H35" s="14"/>
      <c r="I35" s="14" t="str">
        <f aca="false">IF(A35="","",Inputs!$B$13/((IF(AS35="",Inputs!$B$18,AS35)+Inputs!$B$14)^Inputs!$B$15))</f>
        <v/>
      </c>
      <c r="J35" s="14" t="str">
        <f aca="false">IF(A35="","",0.000000278*IF(G35="",Inputs!$B$17,G35)*F35*I35)</f>
        <v/>
      </c>
      <c r="K35" s="14" t="str">
        <f aca="false">IF(A35="","",SUMIFS($L$4:$L$203,$B$4:$B$203,$A35))</f>
        <v/>
      </c>
      <c r="L35" s="14" t="str">
        <f aca="false">IF(A35="","",(J35+K35)*Inputs!$B$16)</f>
        <v/>
      </c>
      <c r="M35" s="14"/>
      <c r="N35" s="14" t="str">
        <f aca="false">IF(A35="","",IF(M35="",Inputs!$B$7,M35))</f>
        <v/>
      </c>
      <c r="O35" s="9" t="str">
        <f aca="false">IF(A35="","",IF(L35/Inputs!$B$10&lt;=AD35,Inputs!$F$5,IF(L35/Inputs!$B$10&gt;AM35,"OVERSIZE",INDEX(Inputs!$F$5:$F$14,MATCH(L35/Inputs!$B$10,AD35:AM35,1)+1))))</f>
        <v/>
      </c>
      <c r="P35" s="9"/>
      <c r="Q35" s="9" t="str">
        <f aca="false">IF(A35="","",IF(P35="",O35,P35))</f>
        <v/>
      </c>
      <c r="R35" s="14" t="str">
        <f aca="false">IF(OR(Q35="",Q35="OVERSIZE"),"",Q35/1000)</f>
        <v/>
      </c>
      <c r="S35" s="14" t="str">
        <f aca="false">IF(R35="","",(1/Inputs!$B$9)*(PI()*R35^2/4)*((R35/4)^(2/3))*SQRT(N35))</f>
        <v/>
      </c>
      <c r="T35" s="14" t="str">
        <f aca="false">IF(OR(S35="",L35=""),"",L35/(S35*Inputs!$B$10))</f>
        <v/>
      </c>
      <c r="U35" s="14" t="str">
        <f aca="false">IF(OR(R35="",L35=""),"",4*L35/(PI()*R35^2))</f>
        <v/>
      </c>
      <c r="V35" s="14"/>
      <c r="W35" s="14" t="str">
        <f aca="false">IF(A35="","",IF(A35=Inputs!$B$6,Inputs!$B$22,IF(B35="","",IFERROR(INDEX($X$4:$X$203,MATCH(B35,$A$4:$A$203,0))+IF(V35="",Inputs!$B$20,V35),""))))</f>
        <v/>
      </c>
      <c r="X35" s="14" t="str">
        <f aca="false">IF(OR(W35="",N35="",C35=""),"",W35+N35*C35)</f>
        <v/>
      </c>
      <c r="Y35" s="14"/>
      <c r="Z35" s="14"/>
      <c r="AA35" s="14" t="str">
        <f aca="false">IF(OR(Y35="",W35=""),"",Y35-W35)</f>
        <v/>
      </c>
      <c r="AB35" s="14" t="str">
        <f aca="false">IF(OR(Z35="",X35=""),"",Z35-X35)</f>
        <v/>
      </c>
      <c r="AC35" s="19" t="str">
        <f aca="false">IF(A35="","",IF(OR(T35&gt;1,AND(AV35&lt;&gt;"",AV35&lt;Inputs!$B$11),AND(AV35&lt;&gt;"",AV35&gt;Inputs!$B$12),AA35&lt;Inputs!$B$19,AB35&lt;Inputs!$B$19,N35&lt;Inputs!$B$7,N35&gt;Inputs!$B$8),"CHECK","OK"))</f>
        <v/>
      </c>
      <c r="AD35" s="9" t="str">
        <f aca="false">IF(A35="","",(1/Inputs!$B$9)*(PI()*(Inputs!$F$5/1000)^2/4)*((Inputs!$F$5/1000/4)^(2/3))*SQRT(N35))</f>
        <v/>
      </c>
      <c r="AE35" s="9" t="str">
        <f aca="false">IF(A35="","",(1/Inputs!$B$9)*(PI()*(Inputs!$F$6/1000)^2/4)*((Inputs!$F$6/1000/4)^(2/3))*SQRT(N35))</f>
        <v/>
      </c>
      <c r="AF35" s="9" t="str">
        <f aca="false">IF(A35="","",(1/Inputs!$B$9)*(PI()*(Inputs!$F$7/1000)^2/4)*((Inputs!$F$7/1000/4)^(2/3))*SQRT(N35))</f>
        <v/>
      </c>
      <c r="AG35" s="9" t="str">
        <f aca="false">IF(A35="","",(1/Inputs!$B$9)*(PI()*(Inputs!$F$8/1000)^2/4)*((Inputs!$F$8/1000/4)^(2/3))*SQRT(N35))</f>
        <v/>
      </c>
      <c r="AH35" s="9" t="str">
        <f aca="false">IF(A35="","",(1/Inputs!$B$9)*(PI()*(Inputs!$F$9/1000)^2/4)*((Inputs!$F$9/1000/4)^(2/3))*SQRT(N35))</f>
        <v/>
      </c>
      <c r="AI35" s="9" t="str">
        <f aca="false">IF(A35="","",(1/Inputs!$B$9)*(PI()*(Inputs!$F$10/1000)^2/4)*((Inputs!$F$10/1000/4)^(2/3))*SQRT(N35))</f>
        <v/>
      </c>
      <c r="AJ35" s="9" t="str">
        <f aca="false">IF(A35="","",(1/Inputs!$B$9)*(PI()*(Inputs!$F$11/1000)^2/4)*((Inputs!$F$11/1000/4)^(2/3))*SQRT(N35))</f>
        <v/>
      </c>
      <c r="AK35" s="9" t="str">
        <f aca="false">IF(A35="","",(1/Inputs!$B$9)*(PI()*(Inputs!$F$12/1000)^2/4)*((Inputs!$F$12/1000/4)^(2/3))*SQRT(N35))</f>
        <v/>
      </c>
      <c r="AL35" s="9" t="str">
        <f aca="false">IF(A35="","",(1/Inputs!$B$9)*(PI()*(Inputs!$F$13/1000)^2/4)*((Inputs!$F$13/1000/4)^(2/3))*SQRT(N35))</f>
        <v/>
      </c>
      <c r="AM35" s="9" t="str">
        <f aca="false">IF(A35="","",(1/Inputs!$B$9)*(PI()*(Inputs!$F$14/1000)^2/4)*((Inputs!$F$14/1000/4)^(2/3))*SQRT(N35))</f>
        <v/>
      </c>
      <c r="AN35" s="9" t="str">
        <f aca="false">IF(A35="","",COUNTIF($B$4:$B$203,$A35))</f>
        <v/>
      </c>
      <c r="AO35" s="9" t="str">
        <f aca="false">IF(A35="","",IF(AN35=0,"START","CONTINUOUS"))</f>
        <v/>
      </c>
      <c r="AP35" s="13" t="str">
        <f aca="false">IF(A35="","",IF(H35="",Inputs!$B$18,H35))</f>
        <v/>
      </c>
      <c r="AQ35" s="13" t="str">
        <f aca="false">IF(A35="","",IFERROR(maxifs($AS$4:$AS$203,$B$4:$B$203,$A35),""))</f>
        <v/>
      </c>
      <c r="AR35" s="13" t="str">
        <f aca="false">IF(A35="","",IF(OR(C35="",Inputs!$B$23=""),"",C35/(Inputs!$B$23*60)))</f>
        <v/>
      </c>
      <c r="AS35" s="13" t="str">
        <f aca="false">IF(A35="","",IF(AN35=0,AP35+AR35,IF(AQ35="",AP35+AR35,AQ35+AR35)))</f>
        <v/>
      </c>
      <c r="AT35" s="13" t="str">
        <f aca="false">IF(A35="","",U35)</f>
        <v/>
      </c>
      <c r="AU35" s="13" t="str">
        <f aca="false">IF(OR(R35="",N35=""),"",(1/Inputs!$B$9)*((R35/4)^(2/3))*SQRT(N35))</f>
        <v/>
      </c>
      <c r="AV35" s="13" t="str">
        <f aca="false">IF(A35="","",IF(AND(AT35="",AU35="",AX35=""),"",IF(OR(UPPER(TRIM(Inputs!$B$24))="MANNING",UPPER(TRIM(Inputs!$B$24))="M"),AU35,IF(OR(UPPER(TRIM(Inputs!$B$24))="PARTIAL",UPPER(TRIM(Inputs!$B$24))="P"),AX35,IF(OR(UPPER(TRIM(Inputs!$B$24))="MAX",UPPER(TRIM(Inputs!$B$24))="X"),MAX(IF(AT35="",0,AT35),IF(AU35="",0,AU35),IF(AX35="",0,AX35)),AT35)))))</f>
        <v/>
      </c>
      <c r="AW35" s="13" t="str">
        <f aca="false">IF(AY35="","",CE35)</f>
        <v/>
      </c>
      <c r="AX35" s="13" t="str">
        <f aca="false">IF(OR(AY35="",AW35="",R35="",R35&lt;=0,AW35&lt;=0),"",AY35/((R35^2/8)*(2*ACOS(1-2*AW35/R35)-SIN(2*ACOS(1-2*AW35/R35)))))</f>
        <v/>
      </c>
      <c r="AY35" s="9" t="str">
        <f aca="false">IF(OR(L35="",AZ35=""),"",MIN(L35,AZ35))</f>
        <v/>
      </c>
      <c r="AZ35" s="9" t="str">
        <f aca="false">IF(OR(L35="",R35="",N35=""),"",IF(OR(R35="",N35="",(0.94*R35)="",R35&lt;=0,(0.94*R35)&lt;=0),"",(1/Inputs!$B$9)*((R35^2/8)*((2*ACOS(1-2*(0.94*R35)/R35))-SIN((2*ACOS(1-2*(0.94*R35)/R35)))))*((((R35^2/8)*((2*ACOS(1-2*(0.94*R35)/R35))-SIN((2*ACOS(1-2*(0.94*R35)/R35)))))/((R35/2)*((2*ACOS(1-2*(0.94*R35)/R35)))))^(2/3))*SQRT(N35)))</f>
        <v/>
      </c>
      <c r="BA35" s="9" t="str">
        <f aca="false">IF(AY35="","",0.001*R35)</f>
        <v/>
      </c>
      <c r="BB35" s="9" t="str">
        <f aca="false">IF(AY35="","",0.94*R35)</f>
        <v/>
      </c>
      <c r="BC35" s="9" t="str">
        <f aca="false">IF(AY35="","",(BA35+BB35)/2)</f>
        <v/>
      </c>
      <c r="BD35" s="9" t="str">
        <f aca="false">IF(OR(R35="",N35="",BC35="",R35&lt;=0,BC35&lt;=0),"",(1/Inputs!$B$9)*((R35^2/8)*((2*ACOS(1-2*BC35/R35))-SIN((2*ACOS(1-2*BC35/R35)))))*((((R35^2/8)*((2*ACOS(1-2*BC35/R35))-SIN((2*ACOS(1-2*BC35/R35)))))/((R35/2)*((2*ACOS(1-2*BC35/R35)))))^(2/3))*SQRT(N35))</f>
        <v/>
      </c>
      <c r="BE35" s="9" t="str">
        <f aca="false">IF(AY35="","",IF(BD35&lt;AY35,BC35,BA35))</f>
        <v/>
      </c>
      <c r="BF35" s="9" t="str">
        <f aca="false">IF(AY35="","",IF(BD35&lt;AY35,BB35,BC35))</f>
        <v/>
      </c>
      <c r="BG35" s="9" t="str">
        <f aca="false">IF(AY35="","",(BE35+BF35)/2)</f>
        <v/>
      </c>
      <c r="BH35" s="9" t="str">
        <f aca="false">IF(OR(R35="",N35="",BG35="",R35&lt;=0,BG35&lt;=0),"",(1/Inputs!$B$9)*((R35^2/8)*((2*ACOS(1-2*BG35/R35))-SIN((2*ACOS(1-2*BG35/R35)))))*((((R35^2/8)*((2*ACOS(1-2*BG35/R35))-SIN((2*ACOS(1-2*BG35/R35)))))/((R35/2)*((2*ACOS(1-2*BG35/R35)))))^(2/3))*SQRT(N35))</f>
        <v/>
      </c>
      <c r="BI35" s="9" t="str">
        <f aca="false">IF(AY35="","",IF(BH35&lt;AY35,BG35,BE35))</f>
        <v/>
      </c>
      <c r="BJ35" s="9" t="str">
        <f aca="false">IF(AY35="","",IF(BH35&lt;AY35,BF35,BG35))</f>
        <v/>
      </c>
      <c r="BK35" s="9" t="str">
        <f aca="false">IF(AY35="","",(BI35+BJ35)/2)</f>
        <v/>
      </c>
      <c r="BL35" s="9" t="str">
        <f aca="false">IF(OR(R35="",N35="",BK35="",R35&lt;=0,BK35&lt;=0),"",(1/Inputs!$B$9)*((R35^2/8)*((2*ACOS(1-2*BK35/R35))-SIN((2*ACOS(1-2*BK35/R35)))))*((((R35^2/8)*((2*ACOS(1-2*BK35/R35))-SIN((2*ACOS(1-2*BK35/R35)))))/((R35/2)*((2*ACOS(1-2*BK35/R35)))))^(2/3))*SQRT(N35))</f>
        <v/>
      </c>
      <c r="BM35" s="9" t="str">
        <f aca="false">IF(AY35="","",IF(BL35&lt;AY35,BK35,BI35))</f>
        <v/>
      </c>
      <c r="BN35" s="9" t="str">
        <f aca="false">IF(AY35="","",IF(BL35&lt;AY35,BJ35,BK35))</f>
        <v/>
      </c>
      <c r="BO35" s="9" t="str">
        <f aca="false">IF(AY35="","",(BM35+BN35)/2)</f>
        <v/>
      </c>
      <c r="BP35" s="9" t="str">
        <f aca="false">IF(OR(R35="",N35="",BO35="",R35&lt;=0,BO35&lt;=0),"",(1/Inputs!$B$9)*((R35^2/8)*((2*ACOS(1-2*BO35/R35))-SIN((2*ACOS(1-2*BO35/R35)))))*((((R35^2/8)*((2*ACOS(1-2*BO35/R35))-SIN((2*ACOS(1-2*BO35/R35)))))/((R35/2)*((2*ACOS(1-2*BO35/R35)))))^(2/3))*SQRT(N35))</f>
        <v/>
      </c>
      <c r="BQ35" s="9" t="str">
        <f aca="false">IF(AY35="","",IF(BP35&lt;AY35,BO35,BM35))</f>
        <v/>
      </c>
      <c r="BR35" s="9" t="str">
        <f aca="false">IF(AY35="","",IF(BP35&lt;AY35,BN35,BO35))</f>
        <v/>
      </c>
      <c r="BS35" s="9" t="str">
        <f aca="false">IF(AY35="","",(BQ35+BR35)/2)</f>
        <v/>
      </c>
      <c r="BT35" s="9" t="str">
        <f aca="false">IF(OR(R35="",N35="",BS35="",R35&lt;=0,BS35&lt;=0),"",(1/Inputs!$B$9)*((R35^2/8)*((2*ACOS(1-2*BS35/R35))-SIN((2*ACOS(1-2*BS35/R35)))))*((((R35^2/8)*((2*ACOS(1-2*BS35/R35))-SIN((2*ACOS(1-2*BS35/R35)))))/((R35/2)*((2*ACOS(1-2*BS35/R35)))))^(2/3))*SQRT(N35))</f>
        <v/>
      </c>
      <c r="BU35" s="9" t="str">
        <f aca="false">IF(AY35="","",IF(BT35&lt;AY35,BS35,BQ35))</f>
        <v/>
      </c>
      <c r="BV35" s="9" t="str">
        <f aca="false">IF(AY35="","",IF(BT35&lt;AY35,BR35,BS35))</f>
        <v/>
      </c>
      <c r="BW35" s="9" t="str">
        <f aca="false">IF(AY35="","",(BU35+BV35)/2)</f>
        <v/>
      </c>
      <c r="BX35" s="9" t="str">
        <f aca="false">IF(OR(R35="",N35="",BW35="",R35&lt;=0,BW35&lt;=0),"",(1/Inputs!$B$9)*((R35^2/8)*((2*ACOS(1-2*BW35/R35))-SIN((2*ACOS(1-2*BW35/R35)))))*((((R35^2/8)*((2*ACOS(1-2*BW35/R35))-SIN((2*ACOS(1-2*BW35/R35)))))/((R35/2)*((2*ACOS(1-2*BW35/R35)))))^(2/3))*SQRT(N35))</f>
        <v/>
      </c>
      <c r="BY35" s="9" t="str">
        <f aca="false">IF(AY35="","",IF(BX35&lt;AY35,BW35,BU35))</f>
        <v/>
      </c>
      <c r="BZ35" s="9" t="str">
        <f aca="false">IF(AY35="","",IF(BX35&lt;AY35,BV35,BW35))</f>
        <v/>
      </c>
      <c r="CA35" s="9" t="str">
        <f aca="false">IF(AY35="","",(BY35+BZ35)/2)</f>
        <v/>
      </c>
      <c r="CB35" s="9" t="str">
        <f aca="false">IF(OR(R35="",N35="",CA35="",R35&lt;=0,CA35&lt;=0),"",(1/Inputs!$B$9)*((R35^2/8)*((2*ACOS(1-2*CA35/R35))-SIN((2*ACOS(1-2*CA35/R35)))))*((((R35^2/8)*((2*ACOS(1-2*CA35/R35))-SIN((2*ACOS(1-2*CA35/R35)))))/((R35/2)*((2*ACOS(1-2*CA35/R35)))))^(2/3))*SQRT(N35))</f>
        <v/>
      </c>
      <c r="CC35" s="9" t="str">
        <f aca="false">IF(AY35="","",IF(CB35&lt;AY35,CA35,BY35))</f>
        <v/>
      </c>
      <c r="CD35" s="9" t="str">
        <f aca="false">IF(AY35="","",IF(CB35&lt;AY35,BZ35,CA35))</f>
        <v/>
      </c>
      <c r="CE35" s="9" t="str">
        <f aca="false">IF(AY35="","",(CC35+CD35)/2)</f>
        <v/>
      </c>
    </row>
    <row r="36" customFormat="false" ht="15" hidden="false" customHeight="false" outlineLevel="0" collapsed="false">
      <c r="A36" s="9"/>
      <c r="B36" s="9"/>
      <c r="C36" s="14"/>
      <c r="D36" s="14"/>
      <c r="E36" s="14" t="n">
        <f aca="false">SUMIFS(CB_Tributaires!$C:$C,CB_Tributaires!$B:$B,$A36)</f>
        <v>0</v>
      </c>
      <c r="F36" s="14" t="n">
        <f aca="false">IF(D36="",E36,D36)</f>
        <v>0</v>
      </c>
      <c r="G36" s="9"/>
      <c r="H36" s="14"/>
      <c r="I36" s="14" t="str">
        <f aca="false">IF(A36="","",Inputs!$B$13/((IF(AS36="",Inputs!$B$18,AS36)+Inputs!$B$14)^Inputs!$B$15))</f>
        <v/>
      </c>
      <c r="J36" s="14" t="str">
        <f aca="false">IF(A36="","",0.000000278*IF(G36="",Inputs!$B$17,G36)*F36*I36)</f>
        <v/>
      </c>
      <c r="K36" s="14" t="str">
        <f aca="false">IF(A36="","",SUMIFS($L$4:$L$203,$B$4:$B$203,$A36))</f>
        <v/>
      </c>
      <c r="L36" s="14" t="str">
        <f aca="false">IF(A36="","",(J36+K36)*Inputs!$B$16)</f>
        <v/>
      </c>
      <c r="M36" s="14"/>
      <c r="N36" s="14" t="str">
        <f aca="false">IF(A36="","",IF(M36="",Inputs!$B$7,M36))</f>
        <v/>
      </c>
      <c r="O36" s="9" t="str">
        <f aca="false">IF(A36="","",IF(L36/Inputs!$B$10&lt;=AD36,Inputs!$F$5,IF(L36/Inputs!$B$10&gt;AM36,"OVERSIZE",INDEX(Inputs!$F$5:$F$14,MATCH(L36/Inputs!$B$10,AD36:AM36,1)+1))))</f>
        <v/>
      </c>
      <c r="P36" s="9"/>
      <c r="Q36" s="9" t="str">
        <f aca="false">IF(A36="","",IF(P36="",O36,P36))</f>
        <v/>
      </c>
      <c r="R36" s="14" t="str">
        <f aca="false">IF(OR(Q36="",Q36="OVERSIZE"),"",Q36/1000)</f>
        <v/>
      </c>
      <c r="S36" s="14" t="str">
        <f aca="false">IF(R36="","",(1/Inputs!$B$9)*(PI()*R36^2/4)*((R36/4)^(2/3))*SQRT(N36))</f>
        <v/>
      </c>
      <c r="T36" s="14" t="str">
        <f aca="false">IF(OR(S36="",L36=""),"",L36/(S36*Inputs!$B$10))</f>
        <v/>
      </c>
      <c r="U36" s="14" t="str">
        <f aca="false">IF(OR(R36="",L36=""),"",4*L36/(PI()*R36^2))</f>
        <v/>
      </c>
      <c r="V36" s="14"/>
      <c r="W36" s="14" t="str">
        <f aca="false">IF(A36="","",IF(A36=Inputs!$B$6,Inputs!$B$22,IF(B36="","",IFERROR(INDEX($X$4:$X$203,MATCH(B36,$A$4:$A$203,0))+IF(V36="",Inputs!$B$20,V36),""))))</f>
        <v/>
      </c>
      <c r="X36" s="14" t="str">
        <f aca="false">IF(OR(W36="",N36="",C36=""),"",W36+N36*C36)</f>
        <v/>
      </c>
      <c r="Y36" s="14"/>
      <c r="Z36" s="14"/>
      <c r="AA36" s="14" t="str">
        <f aca="false">IF(OR(Y36="",W36=""),"",Y36-W36)</f>
        <v/>
      </c>
      <c r="AB36" s="14" t="str">
        <f aca="false">IF(OR(Z36="",X36=""),"",Z36-X36)</f>
        <v/>
      </c>
      <c r="AC36" s="19" t="str">
        <f aca="false">IF(A36="","",IF(OR(T36&gt;1,AND(AV36&lt;&gt;"",AV36&lt;Inputs!$B$11),AND(AV36&lt;&gt;"",AV36&gt;Inputs!$B$12),AA36&lt;Inputs!$B$19,AB36&lt;Inputs!$B$19,N36&lt;Inputs!$B$7,N36&gt;Inputs!$B$8),"CHECK","OK"))</f>
        <v/>
      </c>
      <c r="AD36" s="9" t="str">
        <f aca="false">IF(A36="","",(1/Inputs!$B$9)*(PI()*(Inputs!$F$5/1000)^2/4)*((Inputs!$F$5/1000/4)^(2/3))*SQRT(N36))</f>
        <v/>
      </c>
      <c r="AE36" s="9" t="str">
        <f aca="false">IF(A36="","",(1/Inputs!$B$9)*(PI()*(Inputs!$F$6/1000)^2/4)*((Inputs!$F$6/1000/4)^(2/3))*SQRT(N36))</f>
        <v/>
      </c>
      <c r="AF36" s="9" t="str">
        <f aca="false">IF(A36="","",(1/Inputs!$B$9)*(PI()*(Inputs!$F$7/1000)^2/4)*((Inputs!$F$7/1000/4)^(2/3))*SQRT(N36))</f>
        <v/>
      </c>
      <c r="AG36" s="9" t="str">
        <f aca="false">IF(A36="","",(1/Inputs!$B$9)*(PI()*(Inputs!$F$8/1000)^2/4)*((Inputs!$F$8/1000/4)^(2/3))*SQRT(N36))</f>
        <v/>
      </c>
      <c r="AH36" s="9" t="str">
        <f aca="false">IF(A36="","",(1/Inputs!$B$9)*(PI()*(Inputs!$F$9/1000)^2/4)*((Inputs!$F$9/1000/4)^(2/3))*SQRT(N36))</f>
        <v/>
      </c>
      <c r="AI36" s="9" t="str">
        <f aca="false">IF(A36="","",(1/Inputs!$B$9)*(PI()*(Inputs!$F$10/1000)^2/4)*((Inputs!$F$10/1000/4)^(2/3))*SQRT(N36))</f>
        <v/>
      </c>
      <c r="AJ36" s="9" t="str">
        <f aca="false">IF(A36="","",(1/Inputs!$B$9)*(PI()*(Inputs!$F$11/1000)^2/4)*((Inputs!$F$11/1000/4)^(2/3))*SQRT(N36))</f>
        <v/>
      </c>
      <c r="AK36" s="9" t="str">
        <f aca="false">IF(A36="","",(1/Inputs!$B$9)*(PI()*(Inputs!$F$12/1000)^2/4)*((Inputs!$F$12/1000/4)^(2/3))*SQRT(N36))</f>
        <v/>
      </c>
      <c r="AL36" s="9" t="str">
        <f aca="false">IF(A36="","",(1/Inputs!$B$9)*(PI()*(Inputs!$F$13/1000)^2/4)*((Inputs!$F$13/1000/4)^(2/3))*SQRT(N36))</f>
        <v/>
      </c>
      <c r="AM36" s="9" t="str">
        <f aca="false">IF(A36="","",(1/Inputs!$B$9)*(PI()*(Inputs!$F$14/1000)^2/4)*((Inputs!$F$14/1000/4)^(2/3))*SQRT(N36))</f>
        <v/>
      </c>
      <c r="AN36" s="9" t="str">
        <f aca="false">IF(A36="","",COUNTIF($B$4:$B$203,$A36))</f>
        <v/>
      </c>
      <c r="AO36" s="9" t="str">
        <f aca="false">IF(A36="","",IF(AN36=0,"START","CONTINUOUS"))</f>
        <v/>
      </c>
      <c r="AP36" s="13" t="str">
        <f aca="false">IF(A36="","",IF(H36="",Inputs!$B$18,H36))</f>
        <v/>
      </c>
      <c r="AQ36" s="13" t="str">
        <f aca="false">IF(A36="","",IFERROR(maxifs($AS$4:$AS$203,$B$4:$B$203,$A36),""))</f>
        <v/>
      </c>
      <c r="AR36" s="13" t="str">
        <f aca="false">IF(A36="","",IF(OR(C36="",Inputs!$B$23=""),"",C36/(Inputs!$B$23*60)))</f>
        <v/>
      </c>
      <c r="AS36" s="13" t="str">
        <f aca="false">IF(A36="","",IF(AN36=0,AP36+AR36,IF(AQ36="",AP36+AR36,AQ36+AR36)))</f>
        <v/>
      </c>
      <c r="AT36" s="13" t="str">
        <f aca="false">IF(A36="","",U36)</f>
        <v/>
      </c>
      <c r="AU36" s="13" t="str">
        <f aca="false">IF(OR(R36="",N36=""),"",(1/Inputs!$B$9)*((R36/4)^(2/3))*SQRT(N36))</f>
        <v/>
      </c>
      <c r="AV36" s="13" t="str">
        <f aca="false">IF(A36="","",IF(AND(AT36="",AU36="",AX36=""),"",IF(OR(UPPER(TRIM(Inputs!$B$24))="MANNING",UPPER(TRIM(Inputs!$B$24))="M"),AU36,IF(OR(UPPER(TRIM(Inputs!$B$24))="PARTIAL",UPPER(TRIM(Inputs!$B$24))="P"),AX36,IF(OR(UPPER(TRIM(Inputs!$B$24))="MAX",UPPER(TRIM(Inputs!$B$24))="X"),MAX(IF(AT36="",0,AT36),IF(AU36="",0,AU36),IF(AX36="",0,AX36)),AT36)))))</f>
        <v/>
      </c>
      <c r="AW36" s="13" t="str">
        <f aca="false">IF(AY36="","",CE36)</f>
        <v/>
      </c>
      <c r="AX36" s="13" t="str">
        <f aca="false">IF(OR(AY36="",AW36="",R36="",R36&lt;=0,AW36&lt;=0),"",AY36/((R36^2/8)*(2*ACOS(1-2*AW36/R36)-SIN(2*ACOS(1-2*AW36/R36)))))</f>
        <v/>
      </c>
      <c r="AY36" s="9" t="str">
        <f aca="false">IF(OR(L36="",AZ36=""),"",MIN(L36,AZ36))</f>
        <v/>
      </c>
      <c r="AZ36" s="9" t="str">
        <f aca="false">IF(OR(L36="",R36="",N36=""),"",IF(OR(R36="",N36="",(0.94*R36)="",R36&lt;=0,(0.94*R36)&lt;=0),"",(1/Inputs!$B$9)*((R36^2/8)*((2*ACOS(1-2*(0.94*R36)/R36))-SIN((2*ACOS(1-2*(0.94*R36)/R36)))))*((((R36^2/8)*((2*ACOS(1-2*(0.94*R36)/R36))-SIN((2*ACOS(1-2*(0.94*R36)/R36)))))/((R36/2)*((2*ACOS(1-2*(0.94*R36)/R36)))))^(2/3))*SQRT(N36)))</f>
        <v/>
      </c>
      <c r="BA36" s="9" t="str">
        <f aca="false">IF(AY36="","",0.001*R36)</f>
        <v/>
      </c>
      <c r="BB36" s="9" t="str">
        <f aca="false">IF(AY36="","",0.94*R36)</f>
        <v/>
      </c>
      <c r="BC36" s="9" t="str">
        <f aca="false">IF(AY36="","",(BA36+BB36)/2)</f>
        <v/>
      </c>
      <c r="BD36" s="9" t="str">
        <f aca="false">IF(OR(R36="",N36="",BC36="",R36&lt;=0,BC36&lt;=0),"",(1/Inputs!$B$9)*((R36^2/8)*((2*ACOS(1-2*BC36/R36))-SIN((2*ACOS(1-2*BC36/R36)))))*((((R36^2/8)*((2*ACOS(1-2*BC36/R36))-SIN((2*ACOS(1-2*BC36/R36)))))/((R36/2)*((2*ACOS(1-2*BC36/R36)))))^(2/3))*SQRT(N36))</f>
        <v/>
      </c>
      <c r="BE36" s="9" t="str">
        <f aca="false">IF(AY36="","",IF(BD36&lt;AY36,BC36,BA36))</f>
        <v/>
      </c>
      <c r="BF36" s="9" t="str">
        <f aca="false">IF(AY36="","",IF(BD36&lt;AY36,BB36,BC36))</f>
        <v/>
      </c>
      <c r="BG36" s="9" t="str">
        <f aca="false">IF(AY36="","",(BE36+BF36)/2)</f>
        <v/>
      </c>
      <c r="BH36" s="9" t="str">
        <f aca="false">IF(OR(R36="",N36="",BG36="",R36&lt;=0,BG36&lt;=0),"",(1/Inputs!$B$9)*((R36^2/8)*((2*ACOS(1-2*BG36/R36))-SIN((2*ACOS(1-2*BG36/R36)))))*((((R36^2/8)*((2*ACOS(1-2*BG36/R36))-SIN((2*ACOS(1-2*BG36/R36)))))/((R36/2)*((2*ACOS(1-2*BG36/R36)))))^(2/3))*SQRT(N36))</f>
        <v/>
      </c>
      <c r="BI36" s="9" t="str">
        <f aca="false">IF(AY36="","",IF(BH36&lt;AY36,BG36,BE36))</f>
        <v/>
      </c>
      <c r="BJ36" s="9" t="str">
        <f aca="false">IF(AY36="","",IF(BH36&lt;AY36,BF36,BG36))</f>
        <v/>
      </c>
      <c r="BK36" s="9" t="str">
        <f aca="false">IF(AY36="","",(BI36+BJ36)/2)</f>
        <v/>
      </c>
      <c r="BL36" s="9" t="str">
        <f aca="false">IF(OR(R36="",N36="",BK36="",R36&lt;=0,BK36&lt;=0),"",(1/Inputs!$B$9)*((R36^2/8)*((2*ACOS(1-2*BK36/R36))-SIN((2*ACOS(1-2*BK36/R36)))))*((((R36^2/8)*((2*ACOS(1-2*BK36/R36))-SIN((2*ACOS(1-2*BK36/R36)))))/((R36/2)*((2*ACOS(1-2*BK36/R36)))))^(2/3))*SQRT(N36))</f>
        <v/>
      </c>
      <c r="BM36" s="9" t="str">
        <f aca="false">IF(AY36="","",IF(BL36&lt;AY36,BK36,BI36))</f>
        <v/>
      </c>
      <c r="BN36" s="9" t="str">
        <f aca="false">IF(AY36="","",IF(BL36&lt;AY36,BJ36,BK36))</f>
        <v/>
      </c>
      <c r="BO36" s="9" t="str">
        <f aca="false">IF(AY36="","",(BM36+BN36)/2)</f>
        <v/>
      </c>
      <c r="BP36" s="9" t="str">
        <f aca="false">IF(OR(R36="",N36="",BO36="",R36&lt;=0,BO36&lt;=0),"",(1/Inputs!$B$9)*((R36^2/8)*((2*ACOS(1-2*BO36/R36))-SIN((2*ACOS(1-2*BO36/R36)))))*((((R36^2/8)*((2*ACOS(1-2*BO36/R36))-SIN((2*ACOS(1-2*BO36/R36)))))/((R36/2)*((2*ACOS(1-2*BO36/R36)))))^(2/3))*SQRT(N36))</f>
        <v/>
      </c>
      <c r="BQ36" s="9" t="str">
        <f aca="false">IF(AY36="","",IF(BP36&lt;AY36,BO36,BM36))</f>
        <v/>
      </c>
      <c r="BR36" s="9" t="str">
        <f aca="false">IF(AY36="","",IF(BP36&lt;AY36,BN36,BO36))</f>
        <v/>
      </c>
      <c r="BS36" s="9" t="str">
        <f aca="false">IF(AY36="","",(BQ36+BR36)/2)</f>
        <v/>
      </c>
      <c r="BT36" s="9" t="str">
        <f aca="false">IF(OR(R36="",N36="",BS36="",R36&lt;=0,BS36&lt;=0),"",(1/Inputs!$B$9)*((R36^2/8)*((2*ACOS(1-2*BS36/R36))-SIN((2*ACOS(1-2*BS36/R36)))))*((((R36^2/8)*((2*ACOS(1-2*BS36/R36))-SIN((2*ACOS(1-2*BS36/R36)))))/((R36/2)*((2*ACOS(1-2*BS36/R36)))))^(2/3))*SQRT(N36))</f>
        <v/>
      </c>
      <c r="BU36" s="9" t="str">
        <f aca="false">IF(AY36="","",IF(BT36&lt;AY36,BS36,BQ36))</f>
        <v/>
      </c>
      <c r="BV36" s="9" t="str">
        <f aca="false">IF(AY36="","",IF(BT36&lt;AY36,BR36,BS36))</f>
        <v/>
      </c>
      <c r="BW36" s="9" t="str">
        <f aca="false">IF(AY36="","",(BU36+BV36)/2)</f>
        <v/>
      </c>
      <c r="BX36" s="9" t="str">
        <f aca="false">IF(OR(R36="",N36="",BW36="",R36&lt;=0,BW36&lt;=0),"",(1/Inputs!$B$9)*((R36^2/8)*((2*ACOS(1-2*BW36/R36))-SIN((2*ACOS(1-2*BW36/R36)))))*((((R36^2/8)*((2*ACOS(1-2*BW36/R36))-SIN((2*ACOS(1-2*BW36/R36)))))/((R36/2)*((2*ACOS(1-2*BW36/R36)))))^(2/3))*SQRT(N36))</f>
        <v/>
      </c>
      <c r="BY36" s="9" t="str">
        <f aca="false">IF(AY36="","",IF(BX36&lt;AY36,BW36,BU36))</f>
        <v/>
      </c>
      <c r="BZ36" s="9" t="str">
        <f aca="false">IF(AY36="","",IF(BX36&lt;AY36,BV36,BW36))</f>
        <v/>
      </c>
      <c r="CA36" s="9" t="str">
        <f aca="false">IF(AY36="","",(BY36+BZ36)/2)</f>
        <v/>
      </c>
      <c r="CB36" s="9" t="str">
        <f aca="false">IF(OR(R36="",N36="",CA36="",R36&lt;=0,CA36&lt;=0),"",(1/Inputs!$B$9)*((R36^2/8)*((2*ACOS(1-2*CA36/R36))-SIN((2*ACOS(1-2*CA36/R36)))))*((((R36^2/8)*((2*ACOS(1-2*CA36/R36))-SIN((2*ACOS(1-2*CA36/R36)))))/((R36/2)*((2*ACOS(1-2*CA36/R36)))))^(2/3))*SQRT(N36))</f>
        <v/>
      </c>
      <c r="CC36" s="9" t="str">
        <f aca="false">IF(AY36="","",IF(CB36&lt;AY36,CA36,BY36))</f>
        <v/>
      </c>
      <c r="CD36" s="9" t="str">
        <f aca="false">IF(AY36="","",IF(CB36&lt;AY36,BZ36,CA36))</f>
        <v/>
      </c>
      <c r="CE36" s="9" t="str">
        <f aca="false">IF(AY36="","",(CC36+CD36)/2)</f>
        <v/>
      </c>
    </row>
    <row r="37" customFormat="false" ht="15" hidden="false" customHeight="false" outlineLevel="0" collapsed="false">
      <c r="A37" s="9"/>
      <c r="B37" s="9"/>
      <c r="C37" s="14"/>
      <c r="D37" s="14"/>
      <c r="E37" s="14" t="n">
        <f aca="false">SUMIFS(CB_Tributaires!$C:$C,CB_Tributaires!$B:$B,$A37)</f>
        <v>0</v>
      </c>
      <c r="F37" s="14" t="n">
        <f aca="false">IF(D37="",E37,D37)</f>
        <v>0</v>
      </c>
      <c r="G37" s="9"/>
      <c r="H37" s="14"/>
      <c r="I37" s="14" t="str">
        <f aca="false">IF(A37="","",Inputs!$B$13/((IF(AS37="",Inputs!$B$18,AS37)+Inputs!$B$14)^Inputs!$B$15))</f>
        <v/>
      </c>
      <c r="J37" s="14" t="str">
        <f aca="false">IF(A37="","",0.000000278*IF(G37="",Inputs!$B$17,G37)*F37*I37)</f>
        <v/>
      </c>
      <c r="K37" s="14" t="str">
        <f aca="false">IF(A37="","",SUMIFS($L$4:$L$203,$B$4:$B$203,$A37))</f>
        <v/>
      </c>
      <c r="L37" s="14" t="str">
        <f aca="false">IF(A37="","",(J37+K37)*Inputs!$B$16)</f>
        <v/>
      </c>
      <c r="M37" s="14"/>
      <c r="N37" s="14" t="str">
        <f aca="false">IF(A37="","",IF(M37="",Inputs!$B$7,M37))</f>
        <v/>
      </c>
      <c r="O37" s="9" t="str">
        <f aca="false">IF(A37="","",IF(L37/Inputs!$B$10&lt;=AD37,Inputs!$F$5,IF(L37/Inputs!$B$10&gt;AM37,"OVERSIZE",INDEX(Inputs!$F$5:$F$14,MATCH(L37/Inputs!$B$10,AD37:AM37,1)+1))))</f>
        <v/>
      </c>
      <c r="P37" s="9"/>
      <c r="Q37" s="9" t="str">
        <f aca="false">IF(A37="","",IF(P37="",O37,P37))</f>
        <v/>
      </c>
      <c r="R37" s="14" t="str">
        <f aca="false">IF(OR(Q37="",Q37="OVERSIZE"),"",Q37/1000)</f>
        <v/>
      </c>
      <c r="S37" s="14" t="str">
        <f aca="false">IF(R37="","",(1/Inputs!$B$9)*(PI()*R37^2/4)*((R37/4)^(2/3))*SQRT(N37))</f>
        <v/>
      </c>
      <c r="T37" s="14" t="str">
        <f aca="false">IF(OR(S37="",L37=""),"",L37/(S37*Inputs!$B$10))</f>
        <v/>
      </c>
      <c r="U37" s="14" t="str">
        <f aca="false">IF(OR(R37="",L37=""),"",4*L37/(PI()*R37^2))</f>
        <v/>
      </c>
      <c r="V37" s="14"/>
      <c r="W37" s="14" t="str">
        <f aca="false">IF(A37="","",IF(A37=Inputs!$B$6,Inputs!$B$22,IF(B37="","",IFERROR(INDEX($X$4:$X$203,MATCH(B37,$A$4:$A$203,0))+IF(V37="",Inputs!$B$20,V37),""))))</f>
        <v/>
      </c>
      <c r="X37" s="14" t="str">
        <f aca="false">IF(OR(W37="",N37="",C37=""),"",W37+N37*C37)</f>
        <v/>
      </c>
      <c r="Y37" s="14"/>
      <c r="Z37" s="14"/>
      <c r="AA37" s="14" t="str">
        <f aca="false">IF(OR(Y37="",W37=""),"",Y37-W37)</f>
        <v/>
      </c>
      <c r="AB37" s="14" t="str">
        <f aca="false">IF(OR(Z37="",X37=""),"",Z37-X37)</f>
        <v/>
      </c>
      <c r="AC37" s="19" t="str">
        <f aca="false">IF(A37="","",IF(OR(T37&gt;1,AND(AV37&lt;&gt;"",AV37&lt;Inputs!$B$11),AND(AV37&lt;&gt;"",AV37&gt;Inputs!$B$12),AA37&lt;Inputs!$B$19,AB37&lt;Inputs!$B$19,N37&lt;Inputs!$B$7,N37&gt;Inputs!$B$8),"CHECK","OK"))</f>
        <v/>
      </c>
      <c r="AD37" s="9" t="str">
        <f aca="false">IF(A37="","",(1/Inputs!$B$9)*(PI()*(Inputs!$F$5/1000)^2/4)*((Inputs!$F$5/1000/4)^(2/3))*SQRT(N37))</f>
        <v/>
      </c>
      <c r="AE37" s="9" t="str">
        <f aca="false">IF(A37="","",(1/Inputs!$B$9)*(PI()*(Inputs!$F$6/1000)^2/4)*((Inputs!$F$6/1000/4)^(2/3))*SQRT(N37))</f>
        <v/>
      </c>
      <c r="AF37" s="9" t="str">
        <f aca="false">IF(A37="","",(1/Inputs!$B$9)*(PI()*(Inputs!$F$7/1000)^2/4)*((Inputs!$F$7/1000/4)^(2/3))*SQRT(N37))</f>
        <v/>
      </c>
      <c r="AG37" s="9" t="str">
        <f aca="false">IF(A37="","",(1/Inputs!$B$9)*(PI()*(Inputs!$F$8/1000)^2/4)*((Inputs!$F$8/1000/4)^(2/3))*SQRT(N37))</f>
        <v/>
      </c>
      <c r="AH37" s="9" t="str">
        <f aca="false">IF(A37="","",(1/Inputs!$B$9)*(PI()*(Inputs!$F$9/1000)^2/4)*((Inputs!$F$9/1000/4)^(2/3))*SQRT(N37))</f>
        <v/>
      </c>
      <c r="AI37" s="9" t="str">
        <f aca="false">IF(A37="","",(1/Inputs!$B$9)*(PI()*(Inputs!$F$10/1000)^2/4)*((Inputs!$F$10/1000/4)^(2/3))*SQRT(N37))</f>
        <v/>
      </c>
      <c r="AJ37" s="9" t="str">
        <f aca="false">IF(A37="","",(1/Inputs!$B$9)*(PI()*(Inputs!$F$11/1000)^2/4)*((Inputs!$F$11/1000/4)^(2/3))*SQRT(N37))</f>
        <v/>
      </c>
      <c r="AK37" s="9" t="str">
        <f aca="false">IF(A37="","",(1/Inputs!$B$9)*(PI()*(Inputs!$F$12/1000)^2/4)*((Inputs!$F$12/1000/4)^(2/3))*SQRT(N37))</f>
        <v/>
      </c>
      <c r="AL37" s="9" t="str">
        <f aca="false">IF(A37="","",(1/Inputs!$B$9)*(PI()*(Inputs!$F$13/1000)^2/4)*((Inputs!$F$13/1000/4)^(2/3))*SQRT(N37))</f>
        <v/>
      </c>
      <c r="AM37" s="9" t="str">
        <f aca="false">IF(A37="","",(1/Inputs!$B$9)*(PI()*(Inputs!$F$14/1000)^2/4)*((Inputs!$F$14/1000/4)^(2/3))*SQRT(N37))</f>
        <v/>
      </c>
      <c r="AN37" s="9" t="str">
        <f aca="false">IF(A37="","",COUNTIF($B$4:$B$203,$A37))</f>
        <v/>
      </c>
      <c r="AO37" s="9" t="str">
        <f aca="false">IF(A37="","",IF(AN37=0,"START","CONTINUOUS"))</f>
        <v/>
      </c>
      <c r="AP37" s="13" t="str">
        <f aca="false">IF(A37="","",IF(H37="",Inputs!$B$18,H37))</f>
        <v/>
      </c>
      <c r="AQ37" s="13" t="str">
        <f aca="false">IF(A37="","",IFERROR(maxifs($AS$4:$AS$203,$B$4:$B$203,$A37),""))</f>
        <v/>
      </c>
      <c r="AR37" s="13" t="str">
        <f aca="false">IF(A37="","",IF(OR(C37="",Inputs!$B$23=""),"",C37/(Inputs!$B$23*60)))</f>
        <v/>
      </c>
      <c r="AS37" s="13" t="str">
        <f aca="false">IF(A37="","",IF(AN37=0,AP37+AR37,IF(AQ37="",AP37+AR37,AQ37+AR37)))</f>
        <v/>
      </c>
      <c r="AT37" s="13" t="str">
        <f aca="false">IF(A37="","",U37)</f>
        <v/>
      </c>
      <c r="AU37" s="13" t="str">
        <f aca="false">IF(OR(R37="",N37=""),"",(1/Inputs!$B$9)*((R37/4)^(2/3))*SQRT(N37))</f>
        <v/>
      </c>
      <c r="AV37" s="13" t="str">
        <f aca="false">IF(A37="","",IF(AND(AT37="",AU37="",AX37=""),"",IF(OR(UPPER(TRIM(Inputs!$B$24))="MANNING",UPPER(TRIM(Inputs!$B$24))="M"),AU37,IF(OR(UPPER(TRIM(Inputs!$B$24))="PARTIAL",UPPER(TRIM(Inputs!$B$24))="P"),AX37,IF(OR(UPPER(TRIM(Inputs!$B$24))="MAX",UPPER(TRIM(Inputs!$B$24))="X"),MAX(IF(AT37="",0,AT37),IF(AU37="",0,AU37),IF(AX37="",0,AX37)),AT37)))))</f>
        <v/>
      </c>
      <c r="AW37" s="13" t="str">
        <f aca="false">IF(AY37="","",CE37)</f>
        <v/>
      </c>
      <c r="AX37" s="13" t="str">
        <f aca="false">IF(OR(AY37="",AW37="",R37="",R37&lt;=0,AW37&lt;=0),"",AY37/((R37^2/8)*(2*ACOS(1-2*AW37/R37)-SIN(2*ACOS(1-2*AW37/R37)))))</f>
        <v/>
      </c>
      <c r="AY37" s="9" t="str">
        <f aca="false">IF(OR(L37="",AZ37=""),"",MIN(L37,AZ37))</f>
        <v/>
      </c>
      <c r="AZ37" s="9" t="str">
        <f aca="false">IF(OR(L37="",R37="",N37=""),"",IF(OR(R37="",N37="",(0.94*R37)="",R37&lt;=0,(0.94*R37)&lt;=0),"",(1/Inputs!$B$9)*((R37^2/8)*((2*ACOS(1-2*(0.94*R37)/R37))-SIN((2*ACOS(1-2*(0.94*R37)/R37)))))*((((R37^2/8)*((2*ACOS(1-2*(0.94*R37)/R37))-SIN((2*ACOS(1-2*(0.94*R37)/R37)))))/((R37/2)*((2*ACOS(1-2*(0.94*R37)/R37)))))^(2/3))*SQRT(N37)))</f>
        <v/>
      </c>
      <c r="BA37" s="9" t="str">
        <f aca="false">IF(AY37="","",0.001*R37)</f>
        <v/>
      </c>
      <c r="BB37" s="9" t="str">
        <f aca="false">IF(AY37="","",0.94*R37)</f>
        <v/>
      </c>
      <c r="BC37" s="9" t="str">
        <f aca="false">IF(AY37="","",(BA37+BB37)/2)</f>
        <v/>
      </c>
      <c r="BD37" s="9" t="str">
        <f aca="false">IF(OR(R37="",N37="",BC37="",R37&lt;=0,BC37&lt;=0),"",(1/Inputs!$B$9)*((R37^2/8)*((2*ACOS(1-2*BC37/R37))-SIN((2*ACOS(1-2*BC37/R37)))))*((((R37^2/8)*((2*ACOS(1-2*BC37/R37))-SIN((2*ACOS(1-2*BC37/R37)))))/((R37/2)*((2*ACOS(1-2*BC37/R37)))))^(2/3))*SQRT(N37))</f>
        <v/>
      </c>
      <c r="BE37" s="9" t="str">
        <f aca="false">IF(AY37="","",IF(BD37&lt;AY37,BC37,BA37))</f>
        <v/>
      </c>
      <c r="BF37" s="9" t="str">
        <f aca="false">IF(AY37="","",IF(BD37&lt;AY37,BB37,BC37))</f>
        <v/>
      </c>
      <c r="BG37" s="9" t="str">
        <f aca="false">IF(AY37="","",(BE37+BF37)/2)</f>
        <v/>
      </c>
      <c r="BH37" s="9" t="str">
        <f aca="false">IF(OR(R37="",N37="",BG37="",R37&lt;=0,BG37&lt;=0),"",(1/Inputs!$B$9)*((R37^2/8)*((2*ACOS(1-2*BG37/R37))-SIN((2*ACOS(1-2*BG37/R37)))))*((((R37^2/8)*((2*ACOS(1-2*BG37/R37))-SIN((2*ACOS(1-2*BG37/R37)))))/((R37/2)*((2*ACOS(1-2*BG37/R37)))))^(2/3))*SQRT(N37))</f>
        <v/>
      </c>
      <c r="BI37" s="9" t="str">
        <f aca="false">IF(AY37="","",IF(BH37&lt;AY37,BG37,BE37))</f>
        <v/>
      </c>
      <c r="BJ37" s="9" t="str">
        <f aca="false">IF(AY37="","",IF(BH37&lt;AY37,BF37,BG37))</f>
        <v/>
      </c>
      <c r="BK37" s="9" t="str">
        <f aca="false">IF(AY37="","",(BI37+BJ37)/2)</f>
        <v/>
      </c>
      <c r="BL37" s="9" t="str">
        <f aca="false">IF(OR(R37="",N37="",BK37="",R37&lt;=0,BK37&lt;=0),"",(1/Inputs!$B$9)*((R37^2/8)*((2*ACOS(1-2*BK37/R37))-SIN((2*ACOS(1-2*BK37/R37)))))*((((R37^2/8)*((2*ACOS(1-2*BK37/R37))-SIN((2*ACOS(1-2*BK37/R37)))))/((R37/2)*((2*ACOS(1-2*BK37/R37)))))^(2/3))*SQRT(N37))</f>
        <v/>
      </c>
      <c r="BM37" s="9" t="str">
        <f aca="false">IF(AY37="","",IF(BL37&lt;AY37,BK37,BI37))</f>
        <v/>
      </c>
      <c r="BN37" s="9" t="str">
        <f aca="false">IF(AY37="","",IF(BL37&lt;AY37,BJ37,BK37))</f>
        <v/>
      </c>
      <c r="BO37" s="9" t="str">
        <f aca="false">IF(AY37="","",(BM37+BN37)/2)</f>
        <v/>
      </c>
      <c r="BP37" s="9" t="str">
        <f aca="false">IF(OR(R37="",N37="",BO37="",R37&lt;=0,BO37&lt;=0),"",(1/Inputs!$B$9)*((R37^2/8)*((2*ACOS(1-2*BO37/R37))-SIN((2*ACOS(1-2*BO37/R37)))))*((((R37^2/8)*((2*ACOS(1-2*BO37/R37))-SIN((2*ACOS(1-2*BO37/R37)))))/((R37/2)*((2*ACOS(1-2*BO37/R37)))))^(2/3))*SQRT(N37))</f>
        <v/>
      </c>
      <c r="BQ37" s="9" t="str">
        <f aca="false">IF(AY37="","",IF(BP37&lt;AY37,BO37,BM37))</f>
        <v/>
      </c>
      <c r="BR37" s="9" t="str">
        <f aca="false">IF(AY37="","",IF(BP37&lt;AY37,BN37,BO37))</f>
        <v/>
      </c>
      <c r="BS37" s="9" t="str">
        <f aca="false">IF(AY37="","",(BQ37+BR37)/2)</f>
        <v/>
      </c>
      <c r="BT37" s="9" t="str">
        <f aca="false">IF(OR(R37="",N37="",BS37="",R37&lt;=0,BS37&lt;=0),"",(1/Inputs!$B$9)*((R37^2/8)*((2*ACOS(1-2*BS37/R37))-SIN((2*ACOS(1-2*BS37/R37)))))*((((R37^2/8)*((2*ACOS(1-2*BS37/R37))-SIN((2*ACOS(1-2*BS37/R37)))))/((R37/2)*((2*ACOS(1-2*BS37/R37)))))^(2/3))*SQRT(N37))</f>
        <v/>
      </c>
      <c r="BU37" s="9" t="str">
        <f aca="false">IF(AY37="","",IF(BT37&lt;AY37,BS37,BQ37))</f>
        <v/>
      </c>
      <c r="BV37" s="9" t="str">
        <f aca="false">IF(AY37="","",IF(BT37&lt;AY37,BR37,BS37))</f>
        <v/>
      </c>
      <c r="BW37" s="9" t="str">
        <f aca="false">IF(AY37="","",(BU37+BV37)/2)</f>
        <v/>
      </c>
      <c r="BX37" s="9" t="str">
        <f aca="false">IF(OR(R37="",N37="",BW37="",R37&lt;=0,BW37&lt;=0),"",(1/Inputs!$B$9)*((R37^2/8)*((2*ACOS(1-2*BW37/R37))-SIN((2*ACOS(1-2*BW37/R37)))))*((((R37^2/8)*((2*ACOS(1-2*BW37/R37))-SIN((2*ACOS(1-2*BW37/R37)))))/((R37/2)*((2*ACOS(1-2*BW37/R37)))))^(2/3))*SQRT(N37))</f>
        <v/>
      </c>
      <c r="BY37" s="9" t="str">
        <f aca="false">IF(AY37="","",IF(BX37&lt;AY37,BW37,BU37))</f>
        <v/>
      </c>
      <c r="BZ37" s="9" t="str">
        <f aca="false">IF(AY37="","",IF(BX37&lt;AY37,BV37,BW37))</f>
        <v/>
      </c>
      <c r="CA37" s="9" t="str">
        <f aca="false">IF(AY37="","",(BY37+BZ37)/2)</f>
        <v/>
      </c>
      <c r="CB37" s="9" t="str">
        <f aca="false">IF(OR(R37="",N37="",CA37="",R37&lt;=0,CA37&lt;=0),"",(1/Inputs!$B$9)*((R37^2/8)*((2*ACOS(1-2*CA37/R37))-SIN((2*ACOS(1-2*CA37/R37)))))*((((R37^2/8)*((2*ACOS(1-2*CA37/R37))-SIN((2*ACOS(1-2*CA37/R37)))))/((R37/2)*((2*ACOS(1-2*CA37/R37)))))^(2/3))*SQRT(N37))</f>
        <v/>
      </c>
      <c r="CC37" s="9" t="str">
        <f aca="false">IF(AY37="","",IF(CB37&lt;AY37,CA37,BY37))</f>
        <v/>
      </c>
      <c r="CD37" s="9" t="str">
        <f aca="false">IF(AY37="","",IF(CB37&lt;AY37,BZ37,CA37))</f>
        <v/>
      </c>
      <c r="CE37" s="9" t="str">
        <f aca="false">IF(AY37="","",(CC37+CD37)/2)</f>
        <v/>
      </c>
    </row>
    <row r="38" customFormat="false" ht="15" hidden="false" customHeight="false" outlineLevel="0" collapsed="false">
      <c r="A38" s="9"/>
      <c r="B38" s="9"/>
      <c r="C38" s="14"/>
      <c r="D38" s="14"/>
      <c r="E38" s="14" t="n">
        <f aca="false">SUMIFS(CB_Tributaires!$C:$C,CB_Tributaires!$B:$B,$A38)</f>
        <v>0</v>
      </c>
      <c r="F38" s="14" t="n">
        <f aca="false">IF(D38="",E38,D38)</f>
        <v>0</v>
      </c>
      <c r="G38" s="9"/>
      <c r="H38" s="14"/>
      <c r="I38" s="14" t="str">
        <f aca="false">IF(A38="","",Inputs!$B$13/((IF(AS38="",Inputs!$B$18,AS38)+Inputs!$B$14)^Inputs!$B$15))</f>
        <v/>
      </c>
      <c r="J38" s="14" t="str">
        <f aca="false">IF(A38="","",0.000000278*IF(G38="",Inputs!$B$17,G38)*F38*I38)</f>
        <v/>
      </c>
      <c r="K38" s="14" t="str">
        <f aca="false">IF(A38="","",SUMIFS($L$4:$L$203,$B$4:$B$203,$A38))</f>
        <v/>
      </c>
      <c r="L38" s="14" t="str">
        <f aca="false">IF(A38="","",(J38+K38)*Inputs!$B$16)</f>
        <v/>
      </c>
      <c r="M38" s="14"/>
      <c r="N38" s="14" t="str">
        <f aca="false">IF(A38="","",IF(M38="",Inputs!$B$7,M38))</f>
        <v/>
      </c>
      <c r="O38" s="9" t="str">
        <f aca="false">IF(A38="","",IF(L38/Inputs!$B$10&lt;=AD38,Inputs!$F$5,IF(L38/Inputs!$B$10&gt;AM38,"OVERSIZE",INDEX(Inputs!$F$5:$F$14,MATCH(L38/Inputs!$B$10,AD38:AM38,1)+1))))</f>
        <v/>
      </c>
      <c r="P38" s="9"/>
      <c r="Q38" s="9" t="str">
        <f aca="false">IF(A38="","",IF(P38="",O38,P38))</f>
        <v/>
      </c>
      <c r="R38" s="14" t="str">
        <f aca="false">IF(OR(Q38="",Q38="OVERSIZE"),"",Q38/1000)</f>
        <v/>
      </c>
      <c r="S38" s="14" t="str">
        <f aca="false">IF(R38="","",(1/Inputs!$B$9)*(PI()*R38^2/4)*((R38/4)^(2/3))*SQRT(N38))</f>
        <v/>
      </c>
      <c r="T38" s="14" t="str">
        <f aca="false">IF(OR(S38="",L38=""),"",L38/(S38*Inputs!$B$10))</f>
        <v/>
      </c>
      <c r="U38" s="14" t="str">
        <f aca="false">IF(OR(R38="",L38=""),"",4*L38/(PI()*R38^2))</f>
        <v/>
      </c>
      <c r="V38" s="14"/>
      <c r="W38" s="14" t="str">
        <f aca="false">IF(A38="","",IF(A38=Inputs!$B$6,Inputs!$B$22,IF(B38="","",IFERROR(INDEX($X$4:$X$203,MATCH(B38,$A$4:$A$203,0))+IF(V38="",Inputs!$B$20,V38),""))))</f>
        <v/>
      </c>
      <c r="X38" s="14" t="str">
        <f aca="false">IF(OR(W38="",N38="",C38=""),"",W38+N38*C38)</f>
        <v/>
      </c>
      <c r="Y38" s="14"/>
      <c r="Z38" s="14"/>
      <c r="AA38" s="14" t="str">
        <f aca="false">IF(OR(Y38="",W38=""),"",Y38-W38)</f>
        <v/>
      </c>
      <c r="AB38" s="14" t="str">
        <f aca="false">IF(OR(Z38="",X38=""),"",Z38-X38)</f>
        <v/>
      </c>
      <c r="AC38" s="19" t="str">
        <f aca="false">IF(A38="","",IF(OR(T38&gt;1,AND(AV38&lt;&gt;"",AV38&lt;Inputs!$B$11),AND(AV38&lt;&gt;"",AV38&gt;Inputs!$B$12),AA38&lt;Inputs!$B$19,AB38&lt;Inputs!$B$19,N38&lt;Inputs!$B$7,N38&gt;Inputs!$B$8),"CHECK","OK"))</f>
        <v/>
      </c>
      <c r="AD38" s="9" t="str">
        <f aca="false">IF(A38="","",(1/Inputs!$B$9)*(PI()*(Inputs!$F$5/1000)^2/4)*((Inputs!$F$5/1000/4)^(2/3))*SQRT(N38))</f>
        <v/>
      </c>
      <c r="AE38" s="9" t="str">
        <f aca="false">IF(A38="","",(1/Inputs!$B$9)*(PI()*(Inputs!$F$6/1000)^2/4)*((Inputs!$F$6/1000/4)^(2/3))*SQRT(N38))</f>
        <v/>
      </c>
      <c r="AF38" s="9" t="str">
        <f aca="false">IF(A38="","",(1/Inputs!$B$9)*(PI()*(Inputs!$F$7/1000)^2/4)*((Inputs!$F$7/1000/4)^(2/3))*SQRT(N38))</f>
        <v/>
      </c>
      <c r="AG38" s="9" t="str">
        <f aca="false">IF(A38="","",(1/Inputs!$B$9)*(PI()*(Inputs!$F$8/1000)^2/4)*((Inputs!$F$8/1000/4)^(2/3))*SQRT(N38))</f>
        <v/>
      </c>
      <c r="AH38" s="9" t="str">
        <f aca="false">IF(A38="","",(1/Inputs!$B$9)*(PI()*(Inputs!$F$9/1000)^2/4)*((Inputs!$F$9/1000/4)^(2/3))*SQRT(N38))</f>
        <v/>
      </c>
      <c r="AI38" s="9" t="str">
        <f aca="false">IF(A38="","",(1/Inputs!$B$9)*(PI()*(Inputs!$F$10/1000)^2/4)*((Inputs!$F$10/1000/4)^(2/3))*SQRT(N38))</f>
        <v/>
      </c>
      <c r="AJ38" s="9" t="str">
        <f aca="false">IF(A38="","",(1/Inputs!$B$9)*(PI()*(Inputs!$F$11/1000)^2/4)*((Inputs!$F$11/1000/4)^(2/3))*SQRT(N38))</f>
        <v/>
      </c>
      <c r="AK38" s="9" t="str">
        <f aca="false">IF(A38="","",(1/Inputs!$B$9)*(PI()*(Inputs!$F$12/1000)^2/4)*((Inputs!$F$12/1000/4)^(2/3))*SQRT(N38))</f>
        <v/>
      </c>
      <c r="AL38" s="9" t="str">
        <f aca="false">IF(A38="","",(1/Inputs!$B$9)*(PI()*(Inputs!$F$13/1000)^2/4)*((Inputs!$F$13/1000/4)^(2/3))*SQRT(N38))</f>
        <v/>
      </c>
      <c r="AM38" s="9" t="str">
        <f aca="false">IF(A38="","",(1/Inputs!$B$9)*(PI()*(Inputs!$F$14/1000)^2/4)*((Inputs!$F$14/1000/4)^(2/3))*SQRT(N38))</f>
        <v/>
      </c>
      <c r="AN38" s="9" t="str">
        <f aca="false">IF(A38="","",COUNTIF($B$4:$B$203,$A38))</f>
        <v/>
      </c>
      <c r="AO38" s="9" t="str">
        <f aca="false">IF(A38="","",IF(AN38=0,"START","CONTINUOUS"))</f>
        <v/>
      </c>
      <c r="AP38" s="13" t="str">
        <f aca="false">IF(A38="","",IF(H38="",Inputs!$B$18,H38))</f>
        <v/>
      </c>
      <c r="AQ38" s="13" t="str">
        <f aca="false">IF(A38="","",IFERROR(maxifs($AS$4:$AS$203,$B$4:$B$203,$A38),""))</f>
        <v/>
      </c>
      <c r="AR38" s="13" t="str">
        <f aca="false">IF(A38="","",IF(OR(C38="",Inputs!$B$23=""),"",C38/(Inputs!$B$23*60)))</f>
        <v/>
      </c>
      <c r="AS38" s="13" t="str">
        <f aca="false">IF(A38="","",IF(AN38=0,AP38+AR38,IF(AQ38="",AP38+AR38,AQ38+AR38)))</f>
        <v/>
      </c>
      <c r="AT38" s="13" t="str">
        <f aca="false">IF(A38="","",U38)</f>
        <v/>
      </c>
      <c r="AU38" s="13" t="str">
        <f aca="false">IF(OR(R38="",N38=""),"",(1/Inputs!$B$9)*((R38/4)^(2/3))*SQRT(N38))</f>
        <v/>
      </c>
      <c r="AV38" s="13" t="str">
        <f aca="false">IF(A38="","",IF(AND(AT38="",AU38="",AX38=""),"",IF(OR(UPPER(TRIM(Inputs!$B$24))="MANNING",UPPER(TRIM(Inputs!$B$24))="M"),AU38,IF(OR(UPPER(TRIM(Inputs!$B$24))="PARTIAL",UPPER(TRIM(Inputs!$B$24))="P"),AX38,IF(OR(UPPER(TRIM(Inputs!$B$24))="MAX",UPPER(TRIM(Inputs!$B$24))="X"),MAX(IF(AT38="",0,AT38),IF(AU38="",0,AU38),IF(AX38="",0,AX38)),AT38)))))</f>
        <v/>
      </c>
      <c r="AW38" s="13" t="str">
        <f aca="false">IF(AY38="","",CE38)</f>
        <v/>
      </c>
      <c r="AX38" s="13" t="str">
        <f aca="false">IF(OR(AY38="",AW38="",R38="",R38&lt;=0,AW38&lt;=0),"",AY38/((R38^2/8)*(2*ACOS(1-2*AW38/R38)-SIN(2*ACOS(1-2*AW38/R38)))))</f>
        <v/>
      </c>
      <c r="AY38" s="9" t="str">
        <f aca="false">IF(OR(L38="",AZ38=""),"",MIN(L38,AZ38))</f>
        <v/>
      </c>
      <c r="AZ38" s="9" t="str">
        <f aca="false">IF(OR(L38="",R38="",N38=""),"",IF(OR(R38="",N38="",(0.94*R38)="",R38&lt;=0,(0.94*R38)&lt;=0),"",(1/Inputs!$B$9)*((R38^2/8)*((2*ACOS(1-2*(0.94*R38)/R38))-SIN((2*ACOS(1-2*(0.94*R38)/R38)))))*((((R38^2/8)*((2*ACOS(1-2*(0.94*R38)/R38))-SIN((2*ACOS(1-2*(0.94*R38)/R38)))))/((R38/2)*((2*ACOS(1-2*(0.94*R38)/R38)))))^(2/3))*SQRT(N38)))</f>
        <v/>
      </c>
      <c r="BA38" s="9" t="str">
        <f aca="false">IF(AY38="","",0.001*R38)</f>
        <v/>
      </c>
      <c r="BB38" s="9" t="str">
        <f aca="false">IF(AY38="","",0.94*R38)</f>
        <v/>
      </c>
      <c r="BC38" s="9" t="str">
        <f aca="false">IF(AY38="","",(BA38+BB38)/2)</f>
        <v/>
      </c>
      <c r="BD38" s="9" t="str">
        <f aca="false">IF(OR(R38="",N38="",BC38="",R38&lt;=0,BC38&lt;=0),"",(1/Inputs!$B$9)*((R38^2/8)*((2*ACOS(1-2*BC38/R38))-SIN((2*ACOS(1-2*BC38/R38)))))*((((R38^2/8)*((2*ACOS(1-2*BC38/R38))-SIN((2*ACOS(1-2*BC38/R38)))))/((R38/2)*((2*ACOS(1-2*BC38/R38)))))^(2/3))*SQRT(N38))</f>
        <v/>
      </c>
      <c r="BE38" s="9" t="str">
        <f aca="false">IF(AY38="","",IF(BD38&lt;AY38,BC38,BA38))</f>
        <v/>
      </c>
      <c r="BF38" s="9" t="str">
        <f aca="false">IF(AY38="","",IF(BD38&lt;AY38,BB38,BC38))</f>
        <v/>
      </c>
      <c r="BG38" s="9" t="str">
        <f aca="false">IF(AY38="","",(BE38+BF38)/2)</f>
        <v/>
      </c>
      <c r="BH38" s="9" t="str">
        <f aca="false">IF(OR(R38="",N38="",BG38="",R38&lt;=0,BG38&lt;=0),"",(1/Inputs!$B$9)*((R38^2/8)*((2*ACOS(1-2*BG38/R38))-SIN((2*ACOS(1-2*BG38/R38)))))*((((R38^2/8)*((2*ACOS(1-2*BG38/R38))-SIN((2*ACOS(1-2*BG38/R38)))))/((R38/2)*((2*ACOS(1-2*BG38/R38)))))^(2/3))*SQRT(N38))</f>
        <v/>
      </c>
      <c r="BI38" s="9" t="str">
        <f aca="false">IF(AY38="","",IF(BH38&lt;AY38,BG38,BE38))</f>
        <v/>
      </c>
      <c r="BJ38" s="9" t="str">
        <f aca="false">IF(AY38="","",IF(BH38&lt;AY38,BF38,BG38))</f>
        <v/>
      </c>
      <c r="BK38" s="9" t="str">
        <f aca="false">IF(AY38="","",(BI38+BJ38)/2)</f>
        <v/>
      </c>
      <c r="BL38" s="9" t="str">
        <f aca="false">IF(OR(R38="",N38="",BK38="",R38&lt;=0,BK38&lt;=0),"",(1/Inputs!$B$9)*((R38^2/8)*((2*ACOS(1-2*BK38/R38))-SIN((2*ACOS(1-2*BK38/R38)))))*((((R38^2/8)*((2*ACOS(1-2*BK38/R38))-SIN((2*ACOS(1-2*BK38/R38)))))/((R38/2)*((2*ACOS(1-2*BK38/R38)))))^(2/3))*SQRT(N38))</f>
        <v/>
      </c>
      <c r="BM38" s="9" t="str">
        <f aca="false">IF(AY38="","",IF(BL38&lt;AY38,BK38,BI38))</f>
        <v/>
      </c>
      <c r="BN38" s="9" t="str">
        <f aca="false">IF(AY38="","",IF(BL38&lt;AY38,BJ38,BK38))</f>
        <v/>
      </c>
      <c r="BO38" s="9" t="str">
        <f aca="false">IF(AY38="","",(BM38+BN38)/2)</f>
        <v/>
      </c>
      <c r="BP38" s="9" t="str">
        <f aca="false">IF(OR(R38="",N38="",BO38="",R38&lt;=0,BO38&lt;=0),"",(1/Inputs!$B$9)*((R38^2/8)*((2*ACOS(1-2*BO38/R38))-SIN((2*ACOS(1-2*BO38/R38)))))*((((R38^2/8)*((2*ACOS(1-2*BO38/R38))-SIN((2*ACOS(1-2*BO38/R38)))))/((R38/2)*((2*ACOS(1-2*BO38/R38)))))^(2/3))*SQRT(N38))</f>
        <v/>
      </c>
      <c r="BQ38" s="9" t="str">
        <f aca="false">IF(AY38="","",IF(BP38&lt;AY38,BO38,BM38))</f>
        <v/>
      </c>
      <c r="BR38" s="9" t="str">
        <f aca="false">IF(AY38="","",IF(BP38&lt;AY38,BN38,BO38))</f>
        <v/>
      </c>
      <c r="BS38" s="9" t="str">
        <f aca="false">IF(AY38="","",(BQ38+BR38)/2)</f>
        <v/>
      </c>
      <c r="BT38" s="9" t="str">
        <f aca="false">IF(OR(R38="",N38="",BS38="",R38&lt;=0,BS38&lt;=0),"",(1/Inputs!$B$9)*((R38^2/8)*((2*ACOS(1-2*BS38/R38))-SIN((2*ACOS(1-2*BS38/R38)))))*((((R38^2/8)*((2*ACOS(1-2*BS38/R38))-SIN((2*ACOS(1-2*BS38/R38)))))/((R38/2)*((2*ACOS(1-2*BS38/R38)))))^(2/3))*SQRT(N38))</f>
        <v/>
      </c>
      <c r="BU38" s="9" t="str">
        <f aca="false">IF(AY38="","",IF(BT38&lt;AY38,BS38,BQ38))</f>
        <v/>
      </c>
      <c r="BV38" s="9" t="str">
        <f aca="false">IF(AY38="","",IF(BT38&lt;AY38,BR38,BS38))</f>
        <v/>
      </c>
      <c r="BW38" s="9" t="str">
        <f aca="false">IF(AY38="","",(BU38+BV38)/2)</f>
        <v/>
      </c>
      <c r="BX38" s="9" t="str">
        <f aca="false">IF(OR(R38="",N38="",BW38="",R38&lt;=0,BW38&lt;=0),"",(1/Inputs!$B$9)*((R38^2/8)*((2*ACOS(1-2*BW38/R38))-SIN((2*ACOS(1-2*BW38/R38)))))*((((R38^2/8)*((2*ACOS(1-2*BW38/R38))-SIN((2*ACOS(1-2*BW38/R38)))))/((R38/2)*((2*ACOS(1-2*BW38/R38)))))^(2/3))*SQRT(N38))</f>
        <v/>
      </c>
      <c r="BY38" s="9" t="str">
        <f aca="false">IF(AY38="","",IF(BX38&lt;AY38,BW38,BU38))</f>
        <v/>
      </c>
      <c r="BZ38" s="9" t="str">
        <f aca="false">IF(AY38="","",IF(BX38&lt;AY38,BV38,BW38))</f>
        <v/>
      </c>
      <c r="CA38" s="9" t="str">
        <f aca="false">IF(AY38="","",(BY38+BZ38)/2)</f>
        <v/>
      </c>
      <c r="CB38" s="9" t="str">
        <f aca="false">IF(OR(R38="",N38="",CA38="",R38&lt;=0,CA38&lt;=0),"",(1/Inputs!$B$9)*((R38^2/8)*((2*ACOS(1-2*CA38/R38))-SIN((2*ACOS(1-2*CA38/R38)))))*((((R38^2/8)*((2*ACOS(1-2*CA38/R38))-SIN((2*ACOS(1-2*CA38/R38)))))/((R38/2)*((2*ACOS(1-2*CA38/R38)))))^(2/3))*SQRT(N38))</f>
        <v/>
      </c>
      <c r="CC38" s="9" t="str">
        <f aca="false">IF(AY38="","",IF(CB38&lt;AY38,CA38,BY38))</f>
        <v/>
      </c>
      <c r="CD38" s="9" t="str">
        <f aca="false">IF(AY38="","",IF(CB38&lt;AY38,BZ38,CA38))</f>
        <v/>
      </c>
      <c r="CE38" s="9" t="str">
        <f aca="false">IF(AY38="","",(CC38+CD38)/2)</f>
        <v/>
      </c>
    </row>
    <row r="39" customFormat="false" ht="15" hidden="false" customHeight="false" outlineLevel="0" collapsed="false">
      <c r="A39" s="9"/>
      <c r="B39" s="9"/>
      <c r="C39" s="14"/>
      <c r="D39" s="14"/>
      <c r="E39" s="14" t="n">
        <f aca="false">SUMIFS(CB_Tributaires!$C:$C,CB_Tributaires!$B:$B,$A39)</f>
        <v>0</v>
      </c>
      <c r="F39" s="14" t="n">
        <f aca="false">IF(D39="",E39,D39)</f>
        <v>0</v>
      </c>
      <c r="G39" s="9"/>
      <c r="H39" s="14"/>
      <c r="I39" s="14" t="str">
        <f aca="false">IF(A39="","",Inputs!$B$13/((IF(AS39="",Inputs!$B$18,AS39)+Inputs!$B$14)^Inputs!$B$15))</f>
        <v/>
      </c>
      <c r="J39" s="14" t="str">
        <f aca="false">IF(A39="","",0.000000278*IF(G39="",Inputs!$B$17,G39)*F39*I39)</f>
        <v/>
      </c>
      <c r="K39" s="14" t="str">
        <f aca="false">IF(A39="","",SUMIFS($L$4:$L$203,$B$4:$B$203,$A39))</f>
        <v/>
      </c>
      <c r="L39" s="14" t="str">
        <f aca="false">IF(A39="","",(J39+K39)*Inputs!$B$16)</f>
        <v/>
      </c>
      <c r="M39" s="14"/>
      <c r="N39" s="14" t="str">
        <f aca="false">IF(A39="","",IF(M39="",Inputs!$B$7,M39))</f>
        <v/>
      </c>
      <c r="O39" s="9" t="str">
        <f aca="false">IF(A39="","",IF(L39/Inputs!$B$10&lt;=AD39,Inputs!$F$5,IF(L39/Inputs!$B$10&gt;AM39,"OVERSIZE",INDEX(Inputs!$F$5:$F$14,MATCH(L39/Inputs!$B$10,AD39:AM39,1)+1))))</f>
        <v/>
      </c>
      <c r="P39" s="9"/>
      <c r="Q39" s="9" t="str">
        <f aca="false">IF(A39="","",IF(P39="",O39,P39))</f>
        <v/>
      </c>
      <c r="R39" s="14" t="str">
        <f aca="false">IF(OR(Q39="",Q39="OVERSIZE"),"",Q39/1000)</f>
        <v/>
      </c>
      <c r="S39" s="14" t="str">
        <f aca="false">IF(R39="","",(1/Inputs!$B$9)*(PI()*R39^2/4)*((R39/4)^(2/3))*SQRT(N39))</f>
        <v/>
      </c>
      <c r="T39" s="14" t="str">
        <f aca="false">IF(OR(S39="",L39=""),"",L39/(S39*Inputs!$B$10))</f>
        <v/>
      </c>
      <c r="U39" s="14" t="str">
        <f aca="false">IF(OR(R39="",L39=""),"",4*L39/(PI()*R39^2))</f>
        <v/>
      </c>
      <c r="V39" s="14"/>
      <c r="W39" s="14" t="str">
        <f aca="false">IF(A39="","",IF(A39=Inputs!$B$6,Inputs!$B$22,IF(B39="","",IFERROR(INDEX($X$4:$X$203,MATCH(B39,$A$4:$A$203,0))+IF(V39="",Inputs!$B$20,V39),""))))</f>
        <v/>
      </c>
      <c r="X39" s="14" t="str">
        <f aca="false">IF(OR(W39="",N39="",C39=""),"",W39+N39*C39)</f>
        <v/>
      </c>
      <c r="Y39" s="14"/>
      <c r="Z39" s="14"/>
      <c r="AA39" s="14" t="str">
        <f aca="false">IF(OR(Y39="",W39=""),"",Y39-W39)</f>
        <v/>
      </c>
      <c r="AB39" s="14" t="str">
        <f aca="false">IF(OR(Z39="",X39=""),"",Z39-X39)</f>
        <v/>
      </c>
      <c r="AC39" s="19" t="str">
        <f aca="false">IF(A39="","",IF(OR(T39&gt;1,AND(AV39&lt;&gt;"",AV39&lt;Inputs!$B$11),AND(AV39&lt;&gt;"",AV39&gt;Inputs!$B$12),AA39&lt;Inputs!$B$19,AB39&lt;Inputs!$B$19,N39&lt;Inputs!$B$7,N39&gt;Inputs!$B$8),"CHECK","OK"))</f>
        <v/>
      </c>
      <c r="AD39" s="9" t="str">
        <f aca="false">IF(A39="","",(1/Inputs!$B$9)*(PI()*(Inputs!$F$5/1000)^2/4)*((Inputs!$F$5/1000/4)^(2/3))*SQRT(N39))</f>
        <v/>
      </c>
      <c r="AE39" s="9" t="str">
        <f aca="false">IF(A39="","",(1/Inputs!$B$9)*(PI()*(Inputs!$F$6/1000)^2/4)*((Inputs!$F$6/1000/4)^(2/3))*SQRT(N39))</f>
        <v/>
      </c>
      <c r="AF39" s="9" t="str">
        <f aca="false">IF(A39="","",(1/Inputs!$B$9)*(PI()*(Inputs!$F$7/1000)^2/4)*((Inputs!$F$7/1000/4)^(2/3))*SQRT(N39))</f>
        <v/>
      </c>
      <c r="AG39" s="9" t="str">
        <f aca="false">IF(A39="","",(1/Inputs!$B$9)*(PI()*(Inputs!$F$8/1000)^2/4)*((Inputs!$F$8/1000/4)^(2/3))*SQRT(N39))</f>
        <v/>
      </c>
      <c r="AH39" s="9" t="str">
        <f aca="false">IF(A39="","",(1/Inputs!$B$9)*(PI()*(Inputs!$F$9/1000)^2/4)*((Inputs!$F$9/1000/4)^(2/3))*SQRT(N39))</f>
        <v/>
      </c>
      <c r="AI39" s="9" t="str">
        <f aca="false">IF(A39="","",(1/Inputs!$B$9)*(PI()*(Inputs!$F$10/1000)^2/4)*((Inputs!$F$10/1000/4)^(2/3))*SQRT(N39))</f>
        <v/>
      </c>
      <c r="AJ39" s="9" t="str">
        <f aca="false">IF(A39="","",(1/Inputs!$B$9)*(PI()*(Inputs!$F$11/1000)^2/4)*((Inputs!$F$11/1000/4)^(2/3))*SQRT(N39))</f>
        <v/>
      </c>
      <c r="AK39" s="9" t="str">
        <f aca="false">IF(A39="","",(1/Inputs!$B$9)*(PI()*(Inputs!$F$12/1000)^2/4)*((Inputs!$F$12/1000/4)^(2/3))*SQRT(N39))</f>
        <v/>
      </c>
      <c r="AL39" s="9" t="str">
        <f aca="false">IF(A39="","",(1/Inputs!$B$9)*(PI()*(Inputs!$F$13/1000)^2/4)*((Inputs!$F$13/1000/4)^(2/3))*SQRT(N39))</f>
        <v/>
      </c>
      <c r="AM39" s="9" t="str">
        <f aca="false">IF(A39="","",(1/Inputs!$B$9)*(PI()*(Inputs!$F$14/1000)^2/4)*((Inputs!$F$14/1000/4)^(2/3))*SQRT(N39))</f>
        <v/>
      </c>
      <c r="AN39" s="9" t="str">
        <f aca="false">IF(A39="","",COUNTIF($B$4:$B$203,$A39))</f>
        <v/>
      </c>
      <c r="AO39" s="9" t="str">
        <f aca="false">IF(A39="","",IF(AN39=0,"START","CONTINUOUS"))</f>
        <v/>
      </c>
      <c r="AP39" s="13" t="str">
        <f aca="false">IF(A39="","",IF(H39="",Inputs!$B$18,H39))</f>
        <v/>
      </c>
      <c r="AQ39" s="13" t="str">
        <f aca="false">IF(A39="","",IFERROR(maxifs($AS$4:$AS$203,$B$4:$B$203,$A39),""))</f>
        <v/>
      </c>
      <c r="AR39" s="13" t="str">
        <f aca="false">IF(A39="","",IF(OR(C39="",Inputs!$B$23=""),"",C39/(Inputs!$B$23*60)))</f>
        <v/>
      </c>
      <c r="AS39" s="13" t="str">
        <f aca="false">IF(A39="","",IF(AN39=0,AP39+AR39,IF(AQ39="",AP39+AR39,AQ39+AR39)))</f>
        <v/>
      </c>
      <c r="AT39" s="13" t="str">
        <f aca="false">IF(A39="","",U39)</f>
        <v/>
      </c>
      <c r="AU39" s="13" t="str">
        <f aca="false">IF(OR(R39="",N39=""),"",(1/Inputs!$B$9)*((R39/4)^(2/3))*SQRT(N39))</f>
        <v/>
      </c>
      <c r="AV39" s="13" t="str">
        <f aca="false">IF(A39="","",IF(AND(AT39="",AU39="",AX39=""),"",IF(OR(UPPER(TRIM(Inputs!$B$24))="MANNING",UPPER(TRIM(Inputs!$B$24))="M"),AU39,IF(OR(UPPER(TRIM(Inputs!$B$24))="PARTIAL",UPPER(TRIM(Inputs!$B$24))="P"),AX39,IF(OR(UPPER(TRIM(Inputs!$B$24))="MAX",UPPER(TRIM(Inputs!$B$24))="X"),MAX(IF(AT39="",0,AT39),IF(AU39="",0,AU39),IF(AX39="",0,AX39)),AT39)))))</f>
        <v/>
      </c>
      <c r="AW39" s="13" t="str">
        <f aca="false">IF(AY39="","",CE39)</f>
        <v/>
      </c>
      <c r="AX39" s="13" t="str">
        <f aca="false">IF(OR(AY39="",AW39="",R39="",R39&lt;=0,AW39&lt;=0),"",AY39/((R39^2/8)*(2*ACOS(1-2*AW39/R39)-SIN(2*ACOS(1-2*AW39/R39)))))</f>
        <v/>
      </c>
      <c r="AY39" s="9" t="str">
        <f aca="false">IF(OR(L39="",AZ39=""),"",MIN(L39,AZ39))</f>
        <v/>
      </c>
      <c r="AZ39" s="9" t="str">
        <f aca="false">IF(OR(L39="",R39="",N39=""),"",IF(OR(R39="",N39="",(0.94*R39)="",R39&lt;=0,(0.94*R39)&lt;=0),"",(1/Inputs!$B$9)*((R39^2/8)*((2*ACOS(1-2*(0.94*R39)/R39))-SIN((2*ACOS(1-2*(0.94*R39)/R39)))))*((((R39^2/8)*((2*ACOS(1-2*(0.94*R39)/R39))-SIN((2*ACOS(1-2*(0.94*R39)/R39)))))/((R39/2)*((2*ACOS(1-2*(0.94*R39)/R39)))))^(2/3))*SQRT(N39)))</f>
        <v/>
      </c>
      <c r="BA39" s="9" t="str">
        <f aca="false">IF(AY39="","",0.001*R39)</f>
        <v/>
      </c>
      <c r="BB39" s="9" t="str">
        <f aca="false">IF(AY39="","",0.94*R39)</f>
        <v/>
      </c>
      <c r="BC39" s="9" t="str">
        <f aca="false">IF(AY39="","",(BA39+BB39)/2)</f>
        <v/>
      </c>
      <c r="BD39" s="9" t="str">
        <f aca="false">IF(OR(R39="",N39="",BC39="",R39&lt;=0,BC39&lt;=0),"",(1/Inputs!$B$9)*((R39^2/8)*((2*ACOS(1-2*BC39/R39))-SIN((2*ACOS(1-2*BC39/R39)))))*((((R39^2/8)*((2*ACOS(1-2*BC39/R39))-SIN((2*ACOS(1-2*BC39/R39)))))/((R39/2)*((2*ACOS(1-2*BC39/R39)))))^(2/3))*SQRT(N39))</f>
        <v/>
      </c>
      <c r="BE39" s="9" t="str">
        <f aca="false">IF(AY39="","",IF(BD39&lt;AY39,BC39,BA39))</f>
        <v/>
      </c>
      <c r="BF39" s="9" t="str">
        <f aca="false">IF(AY39="","",IF(BD39&lt;AY39,BB39,BC39))</f>
        <v/>
      </c>
      <c r="BG39" s="9" t="str">
        <f aca="false">IF(AY39="","",(BE39+BF39)/2)</f>
        <v/>
      </c>
      <c r="BH39" s="9" t="str">
        <f aca="false">IF(OR(R39="",N39="",BG39="",R39&lt;=0,BG39&lt;=0),"",(1/Inputs!$B$9)*((R39^2/8)*((2*ACOS(1-2*BG39/R39))-SIN((2*ACOS(1-2*BG39/R39)))))*((((R39^2/8)*((2*ACOS(1-2*BG39/R39))-SIN((2*ACOS(1-2*BG39/R39)))))/((R39/2)*((2*ACOS(1-2*BG39/R39)))))^(2/3))*SQRT(N39))</f>
        <v/>
      </c>
      <c r="BI39" s="9" t="str">
        <f aca="false">IF(AY39="","",IF(BH39&lt;AY39,BG39,BE39))</f>
        <v/>
      </c>
      <c r="BJ39" s="9" t="str">
        <f aca="false">IF(AY39="","",IF(BH39&lt;AY39,BF39,BG39))</f>
        <v/>
      </c>
      <c r="BK39" s="9" t="str">
        <f aca="false">IF(AY39="","",(BI39+BJ39)/2)</f>
        <v/>
      </c>
      <c r="BL39" s="9" t="str">
        <f aca="false">IF(OR(R39="",N39="",BK39="",R39&lt;=0,BK39&lt;=0),"",(1/Inputs!$B$9)*((R39^2/8)*((2*ACOS(1-2*BK39/R39))-SIN((2*ACOS(1-2*BK39/R39)))))*((((R39^2/8)*((2*ACOS(1-2*BK39/R39))-SIN((2*ACOS(1-2*BK39/R39)))))/((R39/2)*((2*ACOS(1-2*BK39/R39)))))^(2/3))*SQRT(N39))</f>
        <v/>
      </c>
      <c r="BM39" s="9" t="str">
        <f aca="false">IF(AY39="","",IF(BL39&lt;AY39,BK39,BI39))</f>
        <v/>
      </c>
      <c r="BN39" s="9" t="str">
        <f aca="false">IF(AY39="","",IF(BL39&lt;AY39,BJ39,BK39))</f>
        <v/>
      </c>
      <c r="BO39" s="9" t="str">
        <f aca="false">IF(AY39="","",(BM39+BN39)/2)</f>
        <v/>
      </c>
      <c r="BP39" s="9" t="str">
        <f aca="false">IF(OR(R39="",N39="",BO39="",R39&lt;=0,BO39&lt;=0),"",(1/Inputs!$B$9)*((R39^2/8)*((2*ACOS(1-2*BO39/R39))-SIN((2*ACOS(1-2*BO39/R39)))))*((((R39^2/8)*((2*ACOS(1-2*BO39/R39))-SIN((2*ACOS(1-2*BO39/R39)))))/((R39/2)*((2*ACOS(1-2*BO39/R39)))))^(2/3))*SQRT(N39))</f>
        <v/>
      </c>
      <c r="BQ39" s="9" t="str">
        <f aca="false">IF(AY39="","",IF(BP39&lt;AY39,BO39,BM39))</f>
        <v/>
      </c>
      <c r="BR39" s="9" t="str">
        <f aca="false">IF(AY39="","",IF(BP39&lt;AY39,BN39,BO39))</f>
        <v/>
      </c>
      <c r="BS39" s="9" t="str">
        <f aca="false">IF(AY39="","",(BQ39+BR39)/2)</f>
        <v/>
      </c>
      <c r="BT39" s="9" t="str">
        <f aca="false">IF(OR(R39="",N39="",BS39="",R39&lt;=0,BS39&lt;=0),"",(1/Inputs!$B$9)*((R39^2/8)*((2*ACOS(1-2*BS39/R39))-SIN((2*ACOS(1-2*BS39/R39)))))*((((R39^2/8)*((2*ACOS(1-2*BS39/R39))-SIN((2*ACOS(1-2*BS39/R39)))))/((R39/2)*((2*ACOS(1-2*BS39/R39)))))^(2/3))*SQRT(N39))</f>
        <v/>
      </c>
      <c r="BU39" s="9" t="str">
        <f aca="false">IF(AY39="","",IF(BT39&lt;AY39,BS39,BQ39))</f>
        <v/>
      </c>
      <c r="BV39" s="9" t="str">
        <f aca="false">IF(AY39="","",IF(BT39&lt;AY39,BR39,BS39))</f>
        <v/>
      </c>
      <c r="BW39" s="9" t="str">
        <f aca="false">IF(AY39="","",(BU39+BV39)/2)</f>
        <v/>
      </c>
      <c r="BX39" s="9" t="str">
        <f aca="false">IF(OR(R39="",N39="",BW39="",R39&lt;=0,BW39&lt;=0),"",(1/Inputs!$B$9)*((R39^2/8)*((2*ACOS(1-2*BW39/R39))-SIN((2*ACOS(1-2*BW39/R39)))))*((((R39^2/8)*((2*ACOS(1-2*BW39/R39))-SIN((2*ACOS(1-2*BW39/R39)))))/((R39/2)*((2*ACOS(1-2*BW39/R39)))))^(2/3))*SQRT(N39))</f>
        <v/>
      </c>
      <c r="BY39" s="9" t="str">
        <f aca="false">IF(AY39="","",IF(BX39&lt;AY39,BW39,BU39))</f>
        <v/>
      </c>
      <c r="BZ39" s="9" t="str">
        <f aca="false">IF(AY39="","",IF(BX39&lt;AY39,BV39,BW39))</f>
        <v/>
      </c>
      <c r="CA39" s="9" t="str">
        <f aca="false">IF(AY39="","",(BY39+BZ39)/2)</f>
        <v/>
      </c>
      <c r="CB39" s="9" t="str">
        <f aca="false">IF(OR(R39="",N39="",CA39="",R39&lt;=0,CA39&lt;=0),"",(1/Inputs!$B$9)*((R39^2/8)*((2*ACOS(1-2*CA39/R39))-SIN((2*ACOS(1-2*CA39/R39)))))*((((R39^2/8)*((2*ACOS(1-2*CA39/R39))-SIN((2*ACOS(1-2*CA39/R39)))))/((R39/2)*((2*ACOS(1-2*CA39/R39)))))^(2/3))*SQRT(N39))</f>
        <v/>
      </c>
      <c r="CC39" s="9" t="str">
        <f aca="false">IF(AY39="","",IF(CB39&lt;AY39,CA39,BY39))</f>
        <v/>
      </c>
      <c r="CD39" s="9" t="str">
        <f aca="false">IF(AY39="","",IF(CB39&lt;AY39,BZ39,CA39))</f>
        <v/>
      </c>
      <c r="CE39" s="9" t="str">
        <f aca="false">IF(AY39="","",(CC39+CD39)/2)</f>
        <v/>
      </c>
    </row>
    <row r="40" customFormat="false" ht="15" hidden="false" customHeight="false" outlineLevel="0" collapsed="false">
      <c r="A40" s="9"/>
      <c r="B40" s="9"/>
      <c r="C40" s="14"/>
      <c r="D40" s="14"/>
      <c r="E40" s="14" t="n">
        <f aca="false">SUMIFS(CB_Tributaires!$C:$C,CB_Tributaires!$B:$B,$A40)</f>
        <v>0</v>
      </c>
      <c r="F40" s="14" t="n">
        <f aca="false">IF(D40="",E40,D40)</f>
        <v>0</v>
      </c>
      <c r="G40" s="9"/>
      <c r="H40" s="14"/>
      <c r="I40" s="14" t="str">
        <f aca="false">IF(A40="","",Inputs!$B$13/((IF(AS40="",Inputs!$B$18,AS40)+Inputs!$B$14)^Inputs!$B$15))</f>
        <v/>
      </c>
      <c r="J40" s="14" t="str">
        <f aca="false">IF(A40="","",0.000000278*IF(G40="",Inputs!$B$17,G40)*F40*I40)</f>
        <v/>
      </c>
      <c r="K40" s="14" t="str">
        <f aca="false">IF(A40="","",SUMIFS($L$4:$L$203,$B$4:$B$203,$A40))</f>
        <v/>
      </c>
      <c r="L40" s="14" t="str">
        <f aca="false">IF(A40="","",(J40+K40)*Inputs!$B$16)</f>
        <v/>
      </c>
      <c r="M40" s="14"/>
      <c r="N40" s="14" t="str">
        <f aca="false">IF(A40="","",IF(M40="",Inputs!$B$7,M40))</f>
        <v/>
      </c>
      <c r="O40" s="9" t="str">
        <f aca="false">IF(A40="","",IF(L40/Inputs!$B$10&lt;=AD40,Inputs!$F$5,IF(L40/Inputs!$B$10&gt;AM40,"OVERSIZE",INDEX(Inputs!$F$5:$F$14,MATCH(L40/Inputs!$B$10,AD40:AM40,1)+1))))</f>
        <v/>
      </c>
      <c r="P40" s="9"/>
      <c r="Q40" s="9" t="str">
        <f aca="false">IF(A40="","",IF(P40="",O40,P40))</f>
        <v/>
      </c>
      <c r="R40" s="14" t="str">
        <f aca="false">IF(OR(Q40="",Q40="OVERSIZE"),"",Q40/1000)</f>
        <v/>
      </c>
      <c r="S40" s="14" t="str">
        <f aca="false">IF(R40="","",(1/Inputs!$B$9)*(PI()*R40^2/4)*((R40/4)^(2/3))*SQRT(N40))</f>
        <v/>
      </c>
      <c r="T40" s="14" t="str">
        <f aca="false">IF(OR(S40="",L40=""),"",L40/(S40*Inputs!$B$10))</f>
        <v/>
      </c>
      <c r="U40" s="14" t="str">
        <f aca="false">IF(OR(R40="",L40=""),"",4*L40/(PI()*R40^2))</f>
        <v/>
      </c>
      <c r="V40" s="14"/>
      <c r="W40" s="14" t="str">
        <f aca="false">IF(A40="","",IF(A40=Inputs!$B$6,Inputs!$B$22,IF(B40="","",IFERROR(INDEX($X$4:$X$203,MATCH(B40,$A$4:$A$203,0))+IF(V40="",Inputs!$B$20,V40),""))))</f>
        <v/>
      </c>
      <c r="X40" s="14" t="str">
        <f aca="false">IF(OR(W40="",N40="",C40=""),"",W40+N40*C40)</f>
        <v/>
      </c>
      <c r="Y40" s="14"/>
      <c r="Z40" s="14"/>
      <c r="AA40" s="14" t="str">
        <f aca="false">IF(OR(Y40="",W40=""),"",Y40-W40)</f>
        <v/>
      </c>
      <c r="AB40" s="14" t="str">
        <f aca="false">IF(OR(Z40="",X40=""),"",Z40-X40)</f>
        <v/>
      </c>
      <c r="AC40" s="19" t="str">
        <f aca="false">IF(A40="","",IF(OR(T40&gt;1,AND(AV40&lt;&gt;"",AV40&lt;Inputs!$B$11),AND(AV40&lt;&gt;"",AV40&gt;Inputs!$B$12),AA40&lt;Inputs!$B$19,AB40&lt;Inputs!$B$19,N40&lt;Inputs!$B$7,N40&gt;Inputs!$B$8),"CHECK","OK"))</f>
        <v/>
      </c>
      <c r="AD40" s="9" t="str">
        <f aca="false">IF(A40="","",(1/Inputs!$B$9)*(PI()*(Inputs!$F$5/1000)^2/4)*((Inputs!$F$5/1000/4)^(2/3))*SQRT(N40))</f>
        <v/>
      </c>
      <c r="AE40" s="9" t="str">
        <f aca="false">IF(A40="","",(1/Inputs!$B$9)*(PI()*(Inputs!$F$6/1000)^2/4)*((Inputs!$F$6/1000/4)^(2/3))*SQRT(N40))</f>
        <v/>
      </c>
      <c r="AF40" s="9" t="str">
        <f aca="false">IF(A40="","",(1/Inputs!$B$9)*(PI()*(Inputs!$F$7/1000)^2/4)*((Inputs!$F$7/1000/4)^(2/3))*SQRT(N40))</f>
        <v/>
      </c>
      <c r="AG40" s="9" t="str">
        <f aca="false">IF(A40="","",(1/Inputs!$B$9)*(PI()*(Inputs!$F$8/1000)^2/4)*((Inputs!$F$8/1000/4)^(2/3))*SQRT(N40))</f>
        <v/>
      </c>
      <c r="AH40" s="9" t="str">
        <f aca="false">IF(A40="","",(1/Inputs!$B$9)*(PI()*(Inputs!$F$9/1000)^2/4)*((Inputs!$F$9/1000/4)^(2/3))*SQRT(N40))</f>
        <v/>
      </c>
      <c r="AI40" s="9" t="str">
        <f aca="false">IF(A40="","",(1/Inputs!$B$9)*(PI()*(Inputs!$F$10/1000)^2/4)*((Inputs!$F$10/1000/4)^(2/3))*SQRT(N40))</f>
        <v/>
      </c>
      <c r="AJ40" s="9" t="str">
        <f aca="false">IF(A40="","",(1/Inputs!$B$9)*(PI()*(Inputs!$F$11/1000)^2/4)*((Inputs!$F$11/1000/4)^(2/3))*SQRT(N40))</f>
        <v/>
      </c>
      <c r="AK40" s="9" t="str">
        <f aca="false">IF(A40="","",(1/Inputs!$B$9)*(PI()*(Inputs!$F$12/1000)^2/4)*((Inputs!$F$12/1000/4)^(2/3))*SQRT(N40))</f>
        <v/>
      </c>
      <c r="AL40" s="9" t="str">
        <f aca="false">IF(A40="","",(1/Inputs!$B$9)*(PI()*(Inputs!$F$13/1000)^2/4)*((Inputs!$F$13/1000/4)^(2/3))*SQRT(N40))</f>
        <v/>
      </c>
      <c r="AM40" s="9" t="str">
        <f aca="false">IF(A40="","",(1/Inputs!$B$9)*(PI()*(Inputs!$F$14/1000)^2/4)*((Inputs!$F$14/1000/4)^(2/3))*SQRT(N40))</f>
        <v/>
      </c>
      <c r="AN40" s="9" t="str">
        <f aca="false">IF(A40="","",COUNTIF($B$4:$B$203,$A40))</f>
        <v/>
      </c>
      <c r="AO40" s="9" t="str">
        <f aca="false">IF(A40="","",IF(AN40=0,"START","CONTINUOUS"))</f>
        <v/>
      </c>
      <c r="AP40" s="13" t="str">
        <f aca="false">IF(A40="","",IF(H40="",Inputs!$B$18,H40))</f>
        <v/>
      </c>
      <c r="AQ40" s="13" t="str">
        <f aca="false">IF(A40="","",IFERROR(maxifs($AS$4:$AS$203,$B$4:$B$203,$A40),""))</f>
        <v/>
      </c>
      <c r="AR40" s="13" t="str">
        <f aca="false">IF(A40="","",IF(OR(C40="",Inputs!$B$23=""),"",C40/(Inputs!$B$23*60)))</f>
        <v/>
      </c>
      <c r="AS40" s="13" t="str">
        <f aca="false">IF(A40="","",IF(AN40=0,AP40+AR40,IF(AQ40="",AP40+AR40,AQ40+AR40)))</f>
        <v/>
      </c>
      <c r="AT40" s="13" t="str">
        <f aca="false">IF(A40="","",U40)</f>
        <v/>
      </c>
      <c r="AU40" s="13" t="str">
        <f aca="false">IF(OR(R40="",N40=""),"",(1/Inputs!$B$9)*((R40/4)^(2/3))*SQRT(N40))</f>
        <v/>
      </c>
      <c r="AV40" s="13" t="str">
        <f aca="false">IF(A40="","",IF(AND(AT40="",AU40="",AX40=""),"",IF(OR(UPPER(TRIM(Inputs!$B$24))="MANNING",UPPER(TRIM(Inputs!$B$24))="M"),AU40,IF(OR(UPPER(TRIM(Inputs!$B$24))="PARTIAL",UPPER(TRIM(Inputs!$B$24))="P"),AX40,IF(OR(UPPER(TRIM(Inputs!$B$24))="MAX",UPPER(TRIM(Inputs!$B$24))="X"),MAX(IF(AT40="",0,AT40),IF(AU40="",0,AU40),IF(AX40="",0,AX40)),AT40)))))</f>
        <v/>
      </c>
      <c r="AW40" s="13" t="str">
        <f aca="false">IF(AY40="","",CE40)</f>
        <v/>
      </c>
      <c r="AX40" s="13" t="str">
        <f aca="false">IF(OR(AY40="",AW40="",R40="",R40&lt;=0,AW40&lt;=0),"",AY40/((R40^2/8)*(2*ACOS(1-2*AW40/R40)-SIN(2*ACOS(1-2*AW40/R40)))))</f>
        <v/>
      </c>
      <c r="AY40" s="9" t="str">
        <f aca="false">IF(OR(L40="",AZ40=""),"",MIN(L40,AZ40))</f>
        <v/>
      </c>
      <c r="AZ40" s="9" t="str">
        <f aca="false">IF(OR(L40="",R40="",N40=""),"",IF(OR(R40="",N40="",(0.94*R40)="",R40&lt;=0,(0.94*R40)&lt;=0),"",(1/Inputs!$B$9)*((R40^2/8)*((2*ACOS(1-2*(0.94*R40)/R40))-SIN((2*ACOS(1-2*(0.94*R40)/R40)))))*((((R40^2/8)*((2*ACOS(1-2*(0.94*R40)/R40))-SIN((2*ACOS(1-2*(0.94*R40)/R40)))))/((R40/2)*((2*ACOS(1-2*(0.94*R40)/R40)))))^(2/3))*SQRT(N40)))</f>
        <v/>
      </c>
      <c r="BA40" s="9" t="str">
        <f aca="false">IF(AY40="","",0.001*R40)</f>
        <v/>
      </c>
      <c r="BB40" s="9" t="str">
        <f aca="false">IF(AY40="","",0.94*R40)</f>
        <v/>
      </c>
      <c r="BC40" s="9" t="str">
        <f aca="false">IF(AY40="","",(BA40+BB40)/2)</f>
        <v/>
      </c>
      <c r="BD40" s="9" t="str">
        <f aca="false">IF(OR(R40="",N40="",BC40="",R40&lt;=0,BC40&lt;=0),"",(1/Inputs!$B$9)*((R40^2/8)*((2*ACOS(1-2*BC40/R40))-SIN((2*ACOS(1-2*BC40/R40)))))*((((R40^2/8)*((2*ACOS(1-2*BC40/R40))-SIN((2*ACOS(1-2*BC40/R40)))))/((R40/2)*((2*ACOS(1-2*BC40/R40)))))^(2/3))*SQRT(N40))</f>
        <v/>
      </c>
      <c r="BE40" s="9" t="str">
        <f aca="false">IF(AY40="","",IF(BD40&lt;AY40,BC40,BA40))</f>
        <v/>
      </c>
      <c r="BF40" s="9" t="str">
        <f aca="false">IF(AY40="","",IF(BD40&lt;AY40,BB40,BC40))</f>
        <v/>
      </c>
      <c r="BG40" s="9" t="str">
        <f aca="false">IF(AY40="","",(BE40+BF40)/2)</f>
        <v/>
      </c>
      <c r="BH40" s="9" t="str">
        <f aca="false">IF(OR(R40="",N40="",BG40="",R40&lt;=0,BG40&lt;=0),"",(1/Inputs!$B$9)*((R40^2/8)*((2*ACOS(1-2*BG40/R40))-SIN((2*ACOS(1-2*BG40/R40)))))*((((R40^2/8)*((2*ACOS(1-2*BG40/R40))-SIN((2*ACOS(1-2*BG40/R40)))))/((R40/2)*((2*ACOS(1-2*BG40/R40)))))^(2/3))*SQRT(N40))</f>
        <v/>
      </c>
      <c r="BI40" s="9" t="str">
        <f aca="false">IF(AY40="","",IF(BH40&lt;AY40,BG40,BE40))</f>
        <v/>
      </c>
      <c r="BJ40" s="9" t="str">
        <f aca="false">IF(AY40="","",IF(BH40&lt;AY40,BF40,BG40))</f>
        <v/>
      </c>
      <c r="BK40" s="9" t="str">
        <f aca="false">IF(AY40="","",(BI40+BJ40)/2)</f>
        <v/>
      </c>
      <c r="BL40" s="9" t="str">
        <f aca="false">IF(OR(R40="",N40="",BK40="",R40&lt;=0,BK40&lt;=0),"",(1/Inputs!$B$9)*((R40^2/8)*((2*ACOS(1-2*BK40/R40))-SIN((2*ACOS(1-2*BK40/R40)))))*((((R40^2/8)*((2*ACOS(1-2*BK40/R40))-SIN((2*ACOS(1-2*BK40/R40)))))/((R40/2)*((2*ACOS(1-2*BK40/R40)))))^(2/3))*SQRT(N40))</f>
        <v/>
      </c>
      <c r="BM40" s="9" t="str">
        <f aca="false">IF(AY40="","",IF(BL40&lt;AY40,BK40,BI40))</f>
        <v/>
      </c>
      <c r="BN40" s="9" t="str">
        <f aca="false">IF(AY40="","",IF(BL40&lt;AY40,BJ40,BK40))</f>
        <v/>
      </c>
      <c r="BO40" s="9" t="str">
        <f aca="false">IF(AY40="","",(BM40+BN40)/2)</f>
        <v/>
      </c>
      <c r="BP40" s="9" t="str">
        <f aca="false">IF(OR(R40="",N40="",BO40="",R40&lt;=0,BO40&lt;=0),"",(1/Inputs!$B$9)*((R40^2/8)*((2*ACOS(1-2*BO40/R40))-SIN((2*ACOS(1-2*BO40/R40)))))*((((R40^2/8)*((2*ACOS(1-2*BO40/R40))-SIN((2*ACOS(1-2*BO40/R40)))))/((R40/2)*((2*ACOS(1-2*BO40/R40)))))^(2/3))*SQRT(N40))</f>
        <v/>
      </c>
      <c r="BQ40" s="9" t="str">
        <f aca="false">IF(AY40="","",IF(BP40&lt;AY40,BO40,BM40))</f>
        <v/>
      </c>
      <c r="BR40" s="9" t="str">
        <f aca="false">IF(AY40="","",IF(BP40&lt;AY40,BN40,BO40))</f>
        <v/>
      </c>
      <c r="BS40" s="9" t="str">
        <f aca="false">IF(AY40="","",(BQ40+BR40)/2)</f>
        <v/>
      </c>
      <c r="BT40" s="9" t="str">
        <f aca="false">IF(OR(R40="",N40="",BS40="",R40&lt;=0,BS40&lt;=0),"",(1/Inputs!$B$9)*((R40^2/8)*((2*ACOS(1-2*BS40/R40))-SIN((2*ACOS(1-2*BS40/R40)))))*((((R40^2/8)*((2*ACOS(1-2*BS40/R40))-SIN((2*ACOS(1-2*BS40/R40)))))/((R40/2)*((2*ACOS(1-2*BS40/R40)))))^(2/3))*SQRT(N40))</f>
        <v/>
      </c>
      <c r="BU40" s="9" t="str">
        <f aca="false">IF(AY40="","",IF(BT40&lt;AY40,BS40,BQ40))</f>
        <v/>
      </c>
      <c r="BV40" s="9" t="str">
        <f aca="false">IF(AY40="","",IF(BT40&lt;AY40,BR40,BS40))</f>
        <v/>
      </c>
      <c r="BW40" s="9" t="str">
        <f aca="false">IF(AY40="","",(BU40+BV40)/2)</f>
        <v/>
      </c>
      <c r="BX40" s="9" t="str">
        <f aca="false">IF(OR(R40="",N40="",BW40="",R40&lt;=0,BW40&lt;=0),"",(1/Inputs!$B$9)*((R40^2/8)*((2*ACOS(1-2*BW40/R40))-SIN((2*ACOS(1-2*BW40/R40)))))*((((R40^2/8)*((2*ACOS(1-2*BW40/R40))-SIN((2*ACOS(1-2*BW40/R40)))))/((R40/2)*((2*ACOS(1-2*BW40/R40)))))^(2/3))*SQRT(N40))</f>
        <v/>
      </c>
      <c r="BY40" s="9" t="str">
        <f aca="false">IF(AY40="","",IF(BX40&lt;AY40,BW40,BU40))</f>
        <v/>
      </c>
      <c r="BZ40" s="9" t="str">
        <f aca="false">IF(AY40="","",IF(BX40&lt;AY40,BV40,BW40))</f>
        <v/>
      </c>
      <c r="CA40" s="9" t="str">
        <f aca="false">IF(AY40="","",(BY40+BZ40)/2)</f>
        <v/>
      </c>
      <c r="CB40" s="9" t="str">
        <f aca="false">IF(OR(R40="",N40="",CA40="",R40&lt;=0,CA40&lt;=0),"",(1/Inputs!$B$9)*((R40^2/8)*((2*ACOS(1-2*CA40/R40))-SIN((2*ACOS(1-2*CA40/R40)))))*((((R40^2/8)*((2*ACOS(1-2*CA40/R40))-SIN((2*ACOS(1-2*CA40/R40)))))/((R40/2)*((2*ACOS(1-2*CA40/R40)))))^(2/3))*SQRT(N40))</f>
        <v/>
      </c>
      <c r="CC40" s="9" t="str">
        <f aca="false">IF(AY40="","",IF(CB40&lt;AY40,CA40,BY40))</f>
        <v/>
      </c>
      <c r="CD40" s="9" t="str">
        <f aca="false">IF(AY40="","",IF(CB40&lt;AY40,BZ40,CA40))</f>
        <v/>
      </c>
      <c r="CE40" s="9" t="str">
        <f aca="false">IF(AY40="","",(CC40+CD40)/2)</f>
        <v/>
      </c>
    </row>
    <row r="41" customFormat="false" ht="15" hidden="false" customHeight="false" outlineLevel="0" collapsed="false">
      <c r="A41" s="9"/>
      <c r="B41" s="9"/>
      <c r="C41" s="14"/>
      <c r="D41" s="14"/>
      <c r="E41" s="14" t="n">
        <f aca="false">SUMIFS(CB_Tributaires!$C:$C,CB_Tributaires!$B:$B,$A41)</f>
        <v>0</v>
      </c>
      <c r="F41" s="14" t="n">
        <f aca="false">IF(D41="",E41,D41)</f>
        <v>0</v>
      </c>
      <c r="G41" s="9"/>
      <c r="H41" s="14"/>
      <c r="I41" s="14" t="str">
        <f aca="false">IF(A41="","",Inputs!$B$13/((IF(AS41="",Inputs!$B$18,AS41)+Inputs!$B$14)^Inputs!$B$15))</f>
        <v/>
      </c>
      <c r="J41" s="14" t="str">
        <f aca="false">IF(A41="","",0.000000278*IF(G41="",Inputs!$B$17,G41)*F41*I41)</f>
        <v/>
      </c>
      <c r="K41" s="14" t="str">
        <f aca="false">IF(A41="","",SUMIFS($L$4:$L$203,$B$4:$B$203,$A41))</f>
        <v/>
      </c>
      <c r="L41" s="14" t="str">
        <f aca="false">IF(A41="","",(J41+K41)*Inputs!$B$16)</f>
        <v/>
      </c>
      <c r="M41" s="14"/>
      <c r="N41" s="14" t="str">
        <f aca="false">IF(A41="","",IF(M41="",Inputs!$B$7,M41))</f>
        <v/>
      </c>
      <c r="O41" s="9" t="str">
        <f aca="false">IF(A41="","",IF(L41/Inputs!$B$10&lt;=AD41,Inputs!$F$5,IF(L41/Inputs!$B$10&gt;AM41,"OVERSIZE",INDEX(Inputs!$F$5:$F$14,MATCH(L41/Inputs!$B$10,AD41:AM41,1)+1))))</f>
        <v/>
      </c>
      <c r="P41" s="9"/>
      <c r="Q41" s="9" t="str">
        <f aca="false">IF(A41="","",IF(P41="",O41,P41))</f>
        <v/>
      </c>
      <c r="R41" s="14" t="str">
        <f aca="false">IF(OR(Q41="",Q41="OVERSIZE"),"",Q41/1000)</f>
        <v/>
      </c>
      <c r="S41" s="14" t="str">
        <f aca="false">IF(R41="","",(1/Inputs!$B$9)*(PI()*R41^2/4)*((R41/4)^(2/3))*SQRT(N41))</f>
        <v/>
      </c>
      <c r="T41" s="14" t="str">
        <f aca="false">IF(OR(S41="",L41=""),"",L41/(S41*Inputs!$B$10))</f>
        <v/>
      </c>
      <c r="U41" s="14" t="str">
        <f aca="false">IF(OR(R41="",L41=""),"",4*L41/(PI()*R41^2))</f>
        <v/>
      </c>
      <c r="V41" s="14"/>
      <c r="W41" s="14" t="str">
        <f aca="false">IF(A41="","",IF(A41=Inputs!$B$6,Inputs!$B$22,IF(B41="","",IFERROR(INDEX($X$4:$X$203,MATCH(B41,$A$4:$A$203,0))+IF(V41="",Inputs!$B$20,V41),""))))</f>
        <v/>
      </c>
      <c r="X41" s="14" t="str">
        <f aca="false">IF(OR(W41="",N41="",C41=""),"",W41+N41*C41)</f>
        <v/>
      </c>
      <c r="Y41" s="14"/>
      <c r="Z41" s="14"/>
      <c r="AA41" s="14" t="str">
        <f aca="false">IF(OR(Y41="",W41=""),"",Y41-W41)</f>
        <v/>
      </c>
      <c r="AB41" s="14" t="str">
        <f aca="false">IF(OR(Z41="",X41=""),"",Z41-X41)</f>
        <v/>
      </c>
      <c r="AC41" s="19" t="str">
        <f aca="false">IF(A41="","",IF(OR(T41&gt;1,AND(AV41&lt;&gt;"",AV41&lt;Inputs!$B$11),AND(AV41&lt;&gt;"",AV41&gt;Inputs!$B$12),AA41&lt;Inputs!$B$19,AB41&lt;Inputs!$B$19,N41&lt;Inputs!$B$7,N41&gt;Inputs!$B$8),"CHECK","OK"))</f>
        <v/>
      </c>
      <c r="AD41" s="9" t="str">
        <f aca="false">IF(A41="","",(1/Inputs!$B$9)*(PI()*(Inputs!$F$5/1000)^2/4)*((Inputs!$F$5/1000/4)^(2/3))*SQRT(N41))</f>
        <v/>
      </c>
      <c r="AE41" s="9" t="str">
        <f aca="false">IF(A41="","",(1/Inputs!$B$9)*(PI()*(Inputs!$F$6/1000)^2/4)*((Inputs!$F$6/1000/4)^(2/3))*SQRT(N41))</f>
        <v/>
      </c>
      <c r="AF41" s="9" t="str">
        <f aca="false">IF(A41="","",(1/Inputs!$B$9)*(PI()*(Inputs!$F$7/1000)^2/4)*((Inputs!$F$7/1000/4)^(2/3))*SQRT(N41))</f>
        <v/>
      </c>
      <c r="AG41" s="9" t="str">
        <f aca="false">IF(A41="","",(1/Inputs!$B$9)*(PI()*(Inputs!$F$8/1000)^2/4)*((Inputs!$F$8/1000/4)^(2/3))*SQRT(N41))</f>
        <v/>
      </c>
      <c r="AH41" s="9" t="str">
        <f aca="false">IF(A41="","",(1/Inputs!$B$9)*(PI()*(Inputs!$F$9/1000)^2/4)*((Inputs!$F$9/1000/4)^(2/3))*SQRT(N41))</f>
        <v/>
      </c>
      <c r="AI41" s="9" t="str">
        <f aca="false">IF(A41="","",(1/Inputs!$B$9)*(PI()*(Inputs!$F$10/1000)^2/4)*((Inputs!$F$10/1000/4)^(2/3))*SQRT(N41))</f>
        <v/>
      </c>
      <c r="AJ41" s="9" t="str">
        <f aca="false">IF(A41="","",(1/Inputs!$B$9)*(PI()*(Inputs!$F$11/1000)^2/4)*((Inputs!$F$11/1000/4)^(2/3))*SQRT(N41))</f>
        <v/>
      </c>
      <c r="AK41" s="9" t="str">
        <f aca="false">IF(A41="","",(1/Inputs!$B$9)*(PI()*(Inputs!$F$12/1000)^2/4)*((Inputs!$F$12/1000/4)^(2/3))*SQRT(N41))</f>
        <v/>
      </c>
      <c r="AL41" s="9" t="str">
        <f aca="false">IF(A41="","",(1/Inputs!$B$9)*(PI()*(Inputs!$F$13/1000)^2/4)*((Inputs!$F$13/1000/4)^(2/3))*SQRT(N41))</f>
        <v/>
      </c>
      <c r="AM41" s="9" t="str">
        <f aca="false">IF(A41="","",(1/Inputs!$B$9)*(PI()*(Inputs!$F$14/1000)^2/4)*((Inputs!$F$14/1000/4)^(2/3))*SQRT(N41))</f>
        <v/>
      </c>
      <c r="AN41" s="9" t="str">
        <f aca="false">IF(A41="","",COUNTIF($B$4:$B$203,$A41))</f>
        <v/>
      </c>
      <c r="AO41" s="9" t="str">
        <f aca="false">IF(A41="","",IF(AN41=0,"START","CONTINUOUS"))</f>
        <v/>
      </c>
      <c r="AP41" s="13" t="str">
        <f aca="false">IF(A41="","",IF(H41="",Inputs!$B$18,H41))</f>
        <v/>
      </c>
      <c r="AQ41" s="13" t="str">
        <f aca="false">IF(A41="","",IFERROR(maxifs($AS$4:$AS$203,$B$4:$B$203,$A41),""))</f>
        <v/>
      </c>
      <c r="AR41" s="13" t="str">
        <f aca="false">IF(A41="","",IF(OR(C41="",Inputs!$B$23=""),"",C41/(Inputs!$B$23*60)))</f>
        <v/>
      </c>
      <c r="AS41" s="13" t="str">
        <f aca="false">IF(A41="","",IF(AN41=0,AP41+AR41,IF(AQ41="",AP41+AR41,AQ41+AR41)))</f>
        <v/>
      </c>
      <c r="AT41" s="13" t="str">
        <f aca="false">IF(A41="","",U41)</f>
        <v/>
      </c>
      <c r="AU41" s="13" t="str">
        <f aca="false">IF(OR(R41="",N41=""),"",(1/Inputs!$B$9)*((R41/4)^(2/3))*SQRT(N41))</f>
        <v/>
      </c>
      <c r="AV41" s="13" t="str">
        <f aca="false">IF(A41="","",IF(AND(AT41="",AU41="",AX41=""),"",IF(OR(UPPER(TRIM(Inputs!$B$24))="MANNING",UPPER(TRIM(Inputs!$B$24))="M"),AU41,IF(OR(UPPER(TRIM(Inputs!$B$24))="PARTIAL",UPPER(TRIM(Inputs!$B$24))="P"),AX41,IF(OR(UPPER(TRIM(Inputs!$B$24))="MAX",UPPER(TRIM(Inputs!$B$24))="X"),MAX(IF(AT41="",0,AT41),IF(AU41="",0,AU41),IF(AX41="",0,AX41)),AT41)))))</f>
        <v/>
      </c>
      <c r="AW41" s="13" t="str">
        <f aca="false">IF(AY41="","",CE41)</f>
        <v/>
      </c>
      <c r="AX41" s="13" t="str">
        <f aca="false">IF(OR(AY41="",AW41="",R41="",R41&lt;=0,AW41&lt;=0),"",AY41/((R41^2/8)*(2*ACOS(1-2*AW41/R41)-SIN(2*ACOS(1-2*AW41/R41)))))</f>
        <v/>
      </c>
      <c r="AY41" s="9" t="str">
        <f aca="false">IF(OR(L41="",AZ41=""),"",MIN(L41,AZ41))</f>
        <v/>
      </c>
      <c r="AZ41" s="9" t="str">
        <f aca="false">IF(OR(L41="",R41="",N41=""),"",IF(OR(R41="",N41="",(0.94*R41)="",R41&lt;=0,(0.94*R41)&lt;=0),"",(1/Inputs!$B$9)*((R41^2/8)*((2*ACOS(1-2*(0.94*R41)/R41))-SIN((2*ACOS(1-2*(0.94*R41)/R41)))))*((((R41^2/8)*((2*ACOS(1-2*(0.94*R41)/R41))-SIN((2*ACOS(1-2*(0.94*R41)/R41)))))/((R41/2)*((2*ACOS(1-2*(0.94*R41)/R41)))))^(2/3))*SQRT(N41)))</f>
        <v/>
      </c>
      <c r="BA41" s="9" t="str">
        <f aca="false">IF(AY41="","",0.001*R41)</f>
        <v/>
      </c>
      <c r="BB41" s="9" t="str">
        <f aca="false">IF(AY41="","",0.94*R41)</f>
        <v/>
      </c>
      <c r="BC41" s="9" t="str">
        <f aca="false">IF(AY41="","",(BA41+BB41)/2)</f>
        <v/>
      </c>
      <c r="BD41" s="9" t="str">
        <f aca="false">IF(OR(R41="",N41="",BC41="",R41&lt;=0,BC41&lt;=0),"",(1/Inputs!$B$9)*((R41^2/8)*((2*ACOS(1-2*BC41/R41))-SIN((2*ACOS(1-2*BC41/R41)))))*((((R41^2/8)*((2*ACOS(1-2*BC41/R41))-SIN((2*ACOS(1-2*BC41/R41)))))/((R41/2)*((2*ACOS(1-2*BC41/R41)))))^(2/3))*SQRT(N41))</f>
        <v/>
      </c>
      <c r="BE41" s="9" t="str">
        <f aca="false">IF(AY41="","",IF(BD41&lt;AY41,BC41,BA41))</f>
        <v/>
      </c>
      <c r="BF41" s="9" t="str">
        <f aca="false">IF(AY41="","",IF(BD41&lt;AY41,BB41,BC41))</f>
        <v/>
      </c>
      <c r="BG41" s="9" t="str">
        <f aca="false">IF(AY41="","",(BE41+BF41)/2)</f>
        <v/>
      </c>
      <c r="BH41" s="9" t="str">
        <f aca="false">IF(OR(R41="",N41="",BG41="",R41&lt;=0,BG41&lt;=0),"",(1/Inputs!$B$9)*((R41^2/8)*((2*ACOS(1-2*BG41/R41))-SIN((2*ACOS(1-2*BG41/R41)))))*((((R41^2/8)*((2*ACOS(1-2*BG41/R41))-SIN((2*ACOS(1-2*BG41/R41)))))/((R41/2)*((2*ACOS(1-2*BG41/R41)))))^(2/3))*SQRT(N41))</f>
        <v/>
      </c>
      <c r="BI41" s="9" t="str">
        <f aca="false">IF(AY41="","",IF(BH41&lt;AY41,BG41,BE41))</f>
        <v/>
      </c>
      <c r="BJ41" s="9" t="str">
        <f aca="false">IF(AY41="","",IF(BH41&lt;AY41,BF41,BG41))</f>
        <v/>
      </c>
      <c r="BK41" s="9" t="str">
        <f aca="false">IF(AY41="","",(BI41+BJ41)/2)</f>
        <v/>
      </c>
      <c r="BL41" s="9" t="str">
        <f aca="false">IF(OR(R41="",N41="",BK41="",R41&lt;=0,BK41&lt;=0),"",(1/Inputs!$B$9)*((R41^2/8)*((2*ACOS(1-2*BK41/R41))-SIN((2*ACOS(1-2*BK41/R41)))))*((((R41^2/8)*((2*ACOS(1-2*BK41/R41))-SIN((2*ACOS(1-2*BK41/R41)))))/((R41/2)*((2*ACOS(1-2*BK41/R41)))))^(2/3))*SQRT(N41))</f>
        <v/>
      </c>
      <c r="BM41" s="9" t="str">
        <f aca="false">IF(AY41="","",IF(BL41&lt;AY41,BK41,BI41))</f>
        <v/>
      </c>
      <c r="BN41" s="9" t="str">
        <f aca="false">IF(AY41="","",IF(BL41&lt;AY41,BJ41,BK41))</f>
        <v/>
      </c>
      <c r="BO41" s="9" t="str">
        <f aca="false">IF(AY41="","",(BM41+BN41)/2)</f>
        <v/>
      </c>
      <c r="BP41" s="9" t="str">
        <f aca="false">IF(OR(R41="",N41="",BO41="",R41&lt;=0,BO41&lt;=0),"",(1/Inputs!$B$9)*((R41^2/8)*((2*ACOS(1-2*BO41/R41))-SIN((2*ACOS(1-2*BO41/R41)))))*((((R41^2/8)*((2*ACOS(1-2*BO41/R41))-SIN((2*ACOS(1-2*BO41/R41)))))/((R41/2)*((2*ACOS(1-2*BO41/R41)))))^(2/3))*SQRT(N41))</f>
        <v/>
      </c>
      <c r="BQ41" s="9" t="str">
        <f aca="false">IF(AY41="","",IF(BP41&lt;AY41,BO41,BM41))</f>
        <v/>
      </c>
      <c r="BR41" s="9" t="str">
        <f aca="false">IF(AY41="","",IF(BP41&lt;AY41,BN41,BO41))</f>
        <v/>
      </c>
      <c r="BS41" s="9" t="str">
        <f aca="false">IF(AY41="","",(BQ41+BR41)/2)</f>
        <v/>
      </c>
      <c r="BT41" s="9" t="str">
        <f aca="false">IF(OR(R41="",N41="",BS41="",R41&lt;=0,BS41&lt;=0),"",(1/Inputs!$B$9)*((R41^2/8)*((2*ACOS(1-2*BS41/R41))-SIN((2*ACOS(1-2*BS41/R41)))))*((((R41^2/8)*((2*ACOS(1-2*BS41/R41))-SIN((2*ACOS(1-2*BS41/R41)))))/((R41/2)*((2*ACOS(1-2*BS41/R41)))))^(2/3))*SQRT(N41))</f>
        <v/>
      </c>
      <c r="BU41" s="9" t="str">
        <f aca="false">IF(AY41="","",IF(BT41&lt;AY41,BS41,BQ41))</f>
        <v/>
      </c>
      <c r="BV41" s="9" t="str">
        <f aca="false">IF(AY41="","",IF(BT41&lt;AY41,BR41,BS41))</f>
        <v/>
      </c>
      <c r="BW41" s="9" t="str">
        <f aca="false">IF(AY41="","",(BU41+BV41)/2)</f>
        <v/>
      </c>
      <c r="BX41" s="9" t="str">
        <f aca="false">IF(OR(R41="",N41="",BW41="",R41&lt;=0,BW41&lt;=0),"",(1/Inputs!$B$9)*((R41^2/8)*((2*ACOS(1-2*BW41/R41))-SIN((2*ACOS(1-2*BW41/R41)))))*((((R41^2/8)*((2*ACOS(1-2*BW41/R41))-SIN((2*ACOS(1-2*BW41/R41)))))/((R41/2)*((2*ACOS(1-2*BW41/R41)))))^(2/3))*SQRT(N41))</f>
        <v/>
      </c>
      <c r="BY41" s="9" t="str">
        <f aca="false">IF(AY41="","",IF(BX41&lt;AY41,BW41,BU41))</f>
        <v/>
      </c>
      <c r="BZ41" s="9" t="str">
        <f aca="false">IF(AY41="","",IF(BX41&lt;AY41,BV41,BW41))</f>
        <v/>
      </c>
      <c r="CA41" s="9" t="str">
        <f aca="false">IF(AY41="","",(BY41+BZ41)/2)</f>
        <v/>
      </c>
      <c r="CB41" s="9" t="str">
        <f aca="false">IF(OR(R41="",N41="",CA41="",R41&lt;=0,CA41&lt;=0),"",(1/Inputs!$B$9)*((R41^2/8)*((2*ACOS(1-2*CA41/R41))-SIN((2*ACOS(1-2*CA41/R41)))))*((((R41^2/8)*((2*ACOS(1-2*CA41/R41))-SIN((2*ACOS(1-2*CA41/R41)))))/((R41/2)*((2*ACOS(1-2*CA41/R41)))))^(2/3))*SQRT(N41))</f>
        <v/>
      </c>
      <c r="CC41" s="9" t="str">
        <f aca="false">IF(AY41="","",IF(CB41&lt;AY41,CA41,BY41))</f>
        <v/>
      </c>
      <c r="CD41" s="9" t="str">
        <f aca="false">IF(AY41="","",IF(CB41&lt;AY41,BZ41,CA41))</f>
        <v/>
      </c>
      <c r="CE41" s="9" t="str">
        <f aca="false">IF(AY41="","",(CC41+CD41)/2)</f>
        <v/>
      </c>
    </row>
    <row r="42" customFormat="false" ht="15" hidden="false" customHeight="false" outlineLevel="0" collapsed="false">
      <c r="A42" s="9"/>
      <c r="B42" s="9"/>
      <c r="C42" s="14"/>
      <c r="D42" s="14"/>
      <c r="E42" s="14" t="n">
        <f aca="false">SUMIFS(CB_Tributaires!$C:$C,CB_Tributaires!$B:$B,$A42)</f>
        <v>0</v>
      </c>
      <c r="F42" s="14" t="n">
        <f aca="false">IF(D42="",E42,D42)</f>
        <v>0</v>
      </c>
      <c r="G42" s="9"/>
      <c r="H42" s="14"/>
      <c r="I42" s="14" t="str">
        <f aca="false">IF(A42="","",Inputs!$B$13/((IF(AS42="",Inputs!$B$18,AS42)+Inputs!$B$14)^Inputs!$B$15))</f>
        <v/>
      </c>
      <c r="J42" s="14" t="str">
        <f aca="false">IF(A42="","",0.000000278*IF(G42="",Inputs!$B$17,G42)*F42*I42)</f>
        <v/>
      </c>
      <c r="K42" s="14" t="str">
        <f aca="false">IF(A42="","",SUMIFS($L$4:$L$203,$B$4:$B$203,$A42))</f>
        <v/>
      </c>
      <c r="L42" s="14" t="str">
        <f aca="false">IF(A42="","",(J42+K42)*Inputs!$B$16)</f>
        <v/>
      </c>
      <c r="M42" s="14"/>
      <c r="N42" s="14" t="str">
        <f aca="false">IF(A42="","",IF(M42="",Inputs!$B$7,M42))</f>
        <v/>
      </c>
      <c r="O42" s="9" t="str">
        <f aca="false">IF(A42="","",IF(L42/Inputs!$B$10&lt;=AD42,Inputs!$F$5,IF(L42/Inputs!$B$10&gt;AM42,"OVERSIZE",INDEX(Inputs!$F$5:$F$14,MATCH(L42/Inputs!$B$10,AD42:AM42,1)+1))))</f>
        <v/>
      </c>
      <c r="P42" s="9"/>
      <c r="Q42" s="9" t="str">
        <f aca="false">IF(A42="","",IF(P42="",O42,P42))</f>
        <v/>
      </c>
      <c r="R42" s="14" t="str">
        <f aca="false">IF(OR(Q42="",Q42="OVERSIZE"),"",Q42/1000)</f>
        <v/>
      </c>
      <c r="S42" s="14" t="str">
        <f aca="false">IF(R42="","",(1/Inputs!$B$9)*(PI()*R42^2/4)*((R42/4)^(2/3))*SQRT(N42))</f>
        <v/>
      </c>
      <c r="T42" s="14" t="str">
        <f aca="false">IF(OR(S42="",L42=""),"",L42/(S42*Inputs!$B$10))</f>
        <v/>
      </c>
      <c r="U42" s="14" t="str">
        <f aca="false">IF(OR(R42="",L42=""),"",4*L42/(PI()*R42^2))</f>
        <v/>
      </c>
      <c r="V42" s="14"/>
      <c r="W42" s="14" t="str">
        <f aca="false">IF(A42="","",IF(A42=Inputs!$B$6,Inputs!$B$22,IF(B42="","",IFERROR(INDEX($X$4:$X$203,MATCH(B42,$A$4:$A$203,0))+IF(V42="",Inputs!$B$20,V42),""))))</f>
        <v/>
      </c>
      <c r="X42" s="14" t="str">
        <f aca="false">IF(OR(W42="",N42="",C42=""),"",W42+N42*C42)</f>
        <v/>
      </c>
      <c r="Y42" s="14"/>
      <c r="Z42" s="14"/>
      <c r="AA42" s="14" t="str">
        <f aca="false">IF(OR(Y42="",W42=""),"",Y42-W42)</f>
        <v/>
      </c>
      <c r="AB42" s="14" t="str">
        <f aca="false">IF(OR(Z42="",X42=""),"",Z42-X42)</f>
        <v/>
      </c>
      <c r="AC42" s="19" t="str">
        <f aca="false">IF(A42="","",IF(OR(T42&gt;1,AND(AV42&lt;&gt;"",AV42&lt;Inputs!$B$11),AND(AV42&lt;&gt;"",AV42&gt;Inputs!$B$12),AA42&lt;Inputs!$B$19,AB42&lt;Inputs!$B$19,N42&lt;Inputs!$B$7,N42&gt;Inputs!$B$8),"CHECK","OK"))</f>
        <v/>
      </c>
      <c r="AD42" s="9" t="str">
        <f aca="false">IF(A42="","",(1/Inputs!$B$9)*(PI()*(Inputs!$F$5/1000)^2/4)*((Inputs!$F$5/1000/4)^(2/3))*SQRT(N42))</f>
        <v/>
      </c>
      <c r="AE42" s="9" t="str">
        <f aca="false">IF(A42="","",(1/Inputs!$B$9)*(PI()*(Inputs!$F$6/1000)^2/4)*((Inputs!$F$6/1000/4)^(2/3))*SQRT(N42))</f>
        <v/>
      </c>
      <c r="AF42" s="9" t="str">
        <f aca="false">IF(A42="","",(1/Inputs!$B$9)*(PI()*(Inputs!$F$7/1000)^2/4)*((Inputs!$F$7/1000/4)^(2/3))*SQRT(N42))</f>
        <v/>
      </c>
      <c r="AG42" s="9" t="str">
        <f aca="false">IF(A42="","",(1/Inputs!$B$9)*(PI()*(Inputs!$F$8/1000)^2/4)*((Inputs!$F$8/1000/4)^(2/3))*SQRT(N42))</f>
        <v/>
      </c>
      <c r="AH42" s="9" t="str">
        <f aca="false">IF(A42="","",(1/Inputs!$B$9)*(PI()*(Inputs!$F$9/1000)^2/4)*((Inputs!$F$9/1000/4)^(2/3))*SQRT(N42))</f>
        <v/>
      </c>
      <c r="AI42" s="9" t="str">
        <f aca="false">IF(A42="","",(1/Inputs!$B$9)*(PI()*(Inputs!$F$10/1000)^2/4)*((Inputs!$F$10/1000/4)^(2/3))*SQRT(N42))</f>
        <v/>
      </c>
      <c r="AJ42" s="9" t="str">
        <f aca="false">IF(A42="","",(1/Inputs!$B$9)*(PI()*(Inputs!$F$11/1000)^2/4)*((Inputs!$F$11/1000/4)^(2/3))*SQRT(N42))</f>
        <v/>
      </c>
      <c r="AK42" s="9" t="str">
        <f aca="false">IF(A42="","",(1/Inputs!$B$9)*(PI()*(Inputs!$F$12/1000)^2/4)*((Inputs!$F$12/1000/4)^(2/3))*SQRT(N42))</f>
        <v/>
      </c>
      <c r="AL42" s="9" t="str">
        <f aca="false">IF(A42="","",(1/Inputs!$B$9)*(PI()*(Inputs!$F$13/1000)^2/4)*((Inputs!$F$13/1000/4)^(2/3))*SQRT(N42))</f>
        <v/>
      </c>
      <c r="AM42" s="9" t="str">
        <f aca="false">IF(A42="","",(1/Inputs!$B$9)*(PI()*(Inputs!$F$14/1000)^2/4)*((Inputs!$F$14/1000/4)^(2/3))*SQRT(N42))</f>
        <v/>
      </c>
      <c r="AN42" s="9" t="str">
        <f aca="false">IF(A42="","",COUNTIF($B$4:$B$203,$A42))</f>
        <v/>
      </c>
      <c r="AO42" s="9" t="str">
        <f aca="false">IF(A42="","",IF(AN42=0,"START","CONTINUOUS"))</f>
        <v/>
      </c>
      <c r="AP42" s="13" t="str">
        <f aca="false">IF(A42="","",IF(H42="",Inputs!$B$18,H42))</f>
        <v/>
      </c>
      <c r="AQ42" s="13" t="str">
        <f aca="false">IF(A42="","",IFERROR(maxifs($AS$4:$AS$203,$B$4:$B$203,$A42),""))</f>
        <v/>
      </c>
      <c r="AR42" s="13" t="str">
        <f aca="false">IF(A42="","",IF(OR(C42="",Inputs!$B$23=""),"",C42/(Inputs!$B$23*60)))</f>
        <v/>
      </c>
      <c r="AS42" s="13" t="str">
        <f aca="false">IF(A42="","",IF(AN42=0,AP42+AR42,IF(AQ42="",AP42+AR42,AQ42+AR42)))</f>
        <v/>
      </c>
      <c r="AT42" s="13" t="str">
        <f aca="false">IF(A42="","",U42)</f>
        <v/>
      </c>
      <c r="AU42" s="13" t="str">
        <f aca="false">IF(OR(R42="",N42=""),"",(1/Inputs!$B$9)*((R42/4)^(2/3))*SQRT(N42))</f>
        <v/>
      </c>
      <c r="AV42" s="13" t="str">
        <f aca="false">IF(A42="","",IF(AND(AT42="",AU42="",AX42=""),"",IF(OR(UPPER(TRIM(Inputs!$B$24))="MANNING",UPPER(TRIM(Inputs!$B$24))="M"),AU42,IF(OR(UPPER(TRIM(Inputs!$B$24))="PARTIAL",UPPER(TRIM(Inputs!$B$24))="P"),AX42,IF(OR(UPPER(TRIM(Inputs!$B$24))="MAX",UPPER(TRIM(Inputs!$B$24))="X"),MAX(IF(AT42="",0,AT42),IF(AU42="",0,AU42),IF(AX42="",0,AX42)),AT42)))))</f>
        <v/>
      </c>
      <c r="AW42" s="13" t="str">
        <f aca="false">IF(AY42="","",CE42)</f>
        <v/>
      </c>
      <c r="AX42" s="13" t="str">
        <f aca="false">IF(OR(AY42="",AW42="",R42="",R42&lt;=0,AW42&lt;=0),"",AY42/((R42^2/8)*(2*ACOS(1-2*AW42/R42)-SIN(2*ACOS(1-2*AW42/R42)))))</f>
        <v/>
      </c>
      <c r="AY42" s="9" t="str">
        <f aca="false">IF(OR(L42="",AZ42=""),"",MIN(L42,AZ42))</f>
        <v/>
      </c>
      <c r="AZ42" s="9" t="str">
        <f aca="false">IF(OR(L42="",R42="",N42=""),"",IF(OR(R42="",N42="",(0.94*R42)="",R42&lt;=0,(0.94*R42)&lt;=0),"",(1/Inputs!$B$9)*((R42^2/8)*((2*ACOS(1-2*(0.94*R42)/R42))-SIN((2*ACOS(1-2*(0.94*R42)/R42)))))*((((R42^2/8)*((2*ACOS(1-2*(0.94*R42)/R42))-SIN((2*ACOS(1-2*(0.94*R42)/R42)))))/((R42/2)*((2*ACOS(1-2*(0.94*R42)/R42)))))^(2/3))*SQRT(N42)))</f>
        <v/>
      </c>
      <c r="BA42" s="9" t="str">
        <f aca="false">IF(AY42="","",0.001*R42)</f>
        <v/>
      </c>
      <c r="BB42" s="9" t="str">
        <f aca="false">IF(AY42="","",0.94*R42)</f>
        <v/>
      </c>
      <c r="BC42" s="9" t="str">
        <f aca="false">IF(AY42="","",(BA42+BB42)/2)</f>
        <v/>
      </c>
      <c r="BD42" s="9" t="str">
        <f aca="false">IF(OR(R42="",N42="",BC42="",R42&lt;=0,BC42&lt;=0),"",(1/Inputs!$B$9)*((R42^2/8)*((2*ACOS(1-2*BC42/R42))-SIN((2*ACOS(1-2*BC42/R42)))))*((((R42^2/8)*((2*ACOS(1-2*BC42/R42))-SIN((2*ACOS(1-2*BC42/R42)))))/((R42/2)*((2*ACOS(1-2*BC42/R42)))))^(2/3))*SQRT(N42))</f>
        <v/>
      </c>
      <c r="BE42" s="9" t="str">
        <f aca="false">IF(AY42="","",IF(BD42&lt;AY42,BC42,BA42))</f>
        <v/>
      </c>
      <c r="BF42" s="9" t="str">
        <f aca="false">IF(AY42="","",IF(BD42&lt;AY42,BB42,BC42))</f>
        <v/>
      </c>
      <c r="BG42" s="9" t="str">
        <f aca="false">IF(AY42="","",(BE42+BF42)/2)</f>
        <v/>
      </c>
      <c r="BH42" s="9" t="str">
        <f aca="false">IF(OR(R42="",N42="",BG42="",R42&lt;=0,BG42&lt;=0),"",(1/Inputs!$B$9)*((R42^2/8)*((2*ACOS(1-2*BG42/R42))-SIN((2*ACOS(1-2*BG42/R42)))))*((((R42^2/8)*((2*ACOS(1-2*BG42/R42))-SIN((2*ACOS(1-2*BG42/R42)))))/((R42/2)*((2*ACOS(1-2*BG42/R42)))))^(2/3))*SQRT(N42))</f>
        <v/>
      </c>
      <c r="BI42" s="9" t="str">
        <f aca="false">IF(AY42="","",IF(BH42&lt;AY42,BG42,BE42))</f>
        <v/>
      </c>
      <c r="BJ42" s="9" t="str">
        <f aca="false">IF(AY42="","",IF(BH42&lt;AY42,BF42,BG42))</f>
        <v/>
      </c>
      <c r="BK42" s="9" t="str">
        <f aca="false">IF(AY42="","",(BI42+BJ42)/2)</f>
        <v/>
      </c>
      <c r="BL42" s="9" t="str">
        <f aca="false">IF(OR(R42="",N42="",BK42="",R42&lt;=0,BK42&lt;=0),"",(1/Inputs!$B$9)*((R42^2/8)*((2*ACOS(1-2*BK42/R42))-SIN((2*ACOS(1-2*BK42/R42)))))*((((R42^2/8)*((2*ACOS(1-2*BK42/R42))-SIN((2*ACOS(1-2*BK42/R42)))))/((R42/2)*((2*ACOS(1-2*BK42/R42)))))^(2/3))*SQRT(N42))</f>
        <v/>
      </c>
      <c r="BM42" s="9" t="str">
        <f aca="false">IF(AY42="","",IF(BL42&lt;AY42,BK42,BI42))</f>
        <v/>
      </c>
      <c r="BN42" s="9" t="str">
        <f aca="false">IF(AY42="","",IF(BL42&lt;AY42,BJ42,BK42))</f>
        <v/>
      </c>
      <c r="BO42" s="9" t="str">
        <f aca="false">IF(AY42="","",(BM42+BN42)/2)</f>
        <v/>
      </c>
      <c r="BP42" s="9" t="str">
        <f aca="false">IF(OR(R42="",N42="",BO42="",R42&lt;=0,BO42&lt;=0),"",(1/Inputs!$B$9)*((R42^2/8)*((2*ACOS(1-2*BO42/R42))-SIN((2*ACOS(1-2*BO42/R42)))))*((((R42^2/8)*((2*ACOS(1-2*BO42/R42))-SIN((2*ACOS(1-2*BO42/R42)))))/((R42/2)*((2*ACOS(1-2*BO42/R42)))))^(2/3))*SQRT(N42))</f>
        <v/>
      </c>
      <c r="BQ42" s="9" t="str">
        <f aca="false">IF(AY42="","",IF(BP42&lt;AY42,BO42,BM42))</f>
        <v/>
      </c>
      <c r="BR42" s="9" t="str">
        <f aca="false">IF(AY42="","",IF(BP42&lt;AY42,BN42,BO42))</f>
        <v/>
      </c>
      <c r="BS42" s="9" t="str">
        <f aca="false">IF(AY42="","",(BQ42+BR42)/2)</f>
        <v/>
      </c>
      <c r="BT42" s="9" t="str">
        <f aca="false">IF(OR(R42="",N42="",BS42="",R42&lt;=0,BS42&lt;=0),"",(1/Inputs!$B$9)*((R42^2/8)*((2*ACOS(1-2*BS42/R42))-SIN((2*ACOS(1-2*BS42/R42)))))*((((R42^2/8)*((2*ACOS(1-2*BS42/R42))-SIN((2*ACOS(1-2*BS42/R42)))))/((R42/2)*((2*ACOS(1-2*BS42/R42)))))^(2/3))*SQRT(N42))</f>
        <v/>
      </c>
      <c r="BU42" s="9" t="str">
        <f aca="false">IF(AY42="","",IF(BT42&lt;AY42,BS42,BQ42))</f>
        <v/>
      </c>
      <c r="BV42" s="9" t="str">
        <f aca="false">IF(AY42="","",IF(BT42&lt;AY42,BR42,BS42))</f>
        <v/>
      </c>
      <c r="BW42" s="9" t="str">
        <f aca="false">IF(AY42="","",(BU42+BV42)/2)</f>
        <v/>
      </c>
      <c r="BX42" s="9" t="str">
        <f aca="false">IF(OR(R42="",N42="",BW42="",R42&lt;=0,BW42&lt;=0),"",(1/Inputs!$B$9)*((R42^2/8)*((2*ACOS(1-2*BW42/R42))-SIN((2*ACOS(1-2*BW42/R42)))))*((((R42^2/8)*((2*ACOS(1-2*BW42/R42))-SIN((2*ACOS(1-2*BW42/R42)))))/((R42/2)*((2*ACOS(1-2*BW42/R42)))))^(2/3))*SQRT(N42))</f>
        <v/>
      </c>
      <c r="BY42" s="9" t="str">
        <f aca="false">IF(AY42="","",IF(BX42&lt;AY42,BW42,BU42))</f>
        <v/>
      </c>
      <c r="BZ42" s="9" t="str">
        <f aca="false">IF(AY42="","",IF(BX42&lt;AY42,BV42,BW42))</f>
        <v/>
      </c>
      <c r="CA42" s="9" t="str">
        <f aca="false">IF(AY42="","",(BY42+BZ42)/2)</f>
        <v/>
      </c>
      <c r="CB42" s="9" t="str">
        <f aca="false">IF(OR(R42="",N42="",CA42="",R42&lt;=0,CA42&lt;=0),"",(1/Inputs!$B$9)*((R42^2/8)*((2*ACOS(1-2*CA42/R42))-SIN((2*ACOS(1-2*CA42/R42)))))*((((R42^2/8)*((2*ACOS(1-2*CA42/R42))-SIN((2*ACOS(1-2*CA42/R42)))))/((R42/2)*((2*ACOS(1-2*CA42/R42)))))^(2/3))*SQRT(N42))</f>
        <v/>
      </c>
      <c r="CC42" s="9" t="str">
        <f aca="false">IF(AY42="","",IF(CB42&lt;AY42,CA42,BY42))</f>
        <v/>
      </c>
      <c r="CD42" s="9" t="str">
        <f aca="false">IF(AY42="","",IF(CB42&lt;AY42,BZ42,CA42))</f>
        <v/>
      </c>
      <c r="CE42" s="9" t="str">
        <f aca="false">IF(AY42="","",(CC42+CD42)/2)</f>
        <v/>
      </c>
    </row>
    <row r="43" customFormat="false" ht="15" hidden="false" customHeight="false" outlineLevel="0" collapsed="false">
      <c r="A43" s="9"/>
      <c r="B43" s="9"/>
      <c r="C43" s="14"/>
      <c r="D43" s="14"/>
      <c r="E43" s="14" t="n">
        <f aca="false">SUMIFS(CB_Tributaires!$C:$C,CB_Tributaires!$B:$B,$A43)</f>
        <v>0</v>
      </c>
      <c r="F43" s="14" t="n">
        <f aca="false">IF(D43="",E43,D43)</f>
        <v>0</v>
      </c>
      <c r="G43" s="9"/>
      <c r="H43" s="14"/>
      <c r="I43" s="14" t="str">
        <f aca="false">IF(A43="","",Inputs!$B$13/((IF(AS43="",Inputs!$B$18,AS43)+Inputs!$B$14)^Inputs!$B$15))</f>
        <v/>
      </c>
      <c r="J43" s="14" t="str">
        <f aca="false">IF(A43="","",0.000000278*IF(G43="",Inputs!$B$17,G43)*F43*I43)</f>
        <v/>
      </c>
      <c r="K43" s="14" t="str">
        <f aca="false">IF(A43="","",SUMIFS($L$4:$L$203,$B$4:$B$203,$A43))</f>
        <v/>
      </c>
      <c r="L43" s="14" t="str">
        <f aca="false">IF(A43="","",(J43+K43)*Inputs!$B$16)</f>
        <v/>
      </c>
      <c r="M43" s="14"/>
      <c r="N43" s="14" t="str">
        <f aca="false">IF(A43="","",IF(M43="",Inputs!$B$7,M43))</f>
        <v/>
      </c>
      <c r="O43" s="9" t="str">
        <f aca="false">IF(A43="","",IF(L43/Inputs!$B$10&lt;=AD43,Inputs!$F$5,IF(L43/Inputs!$B$10&gt;AM43,"OVERSIZE",INDEX(Inputs!$F$5:$F$14,MATCH(L43/Inputs!$B$10,AD43:AM43,1)+1))))</f>
        <v/>
      </c>
      <c r="P43" s="9"/>
      <c r="Q43" s="9" t="str">
        <f aca="false">IF(A43="","",IF(P43="",O43,P43))</f>
        <v/>
      </c>
      <c r="R43" s="14" t="str">
        <f aca="false">IF(OR(Q43="",Q43="OVERSIZE"),"",Q43/1000)</f>
        <v/>
      </c>
      <c r="S43" s="14" t="str">
        <f aca="false">IF(R43="","",(1/Inputs!$B$9)*(PI()*R43^2/4)*((R43/4)^(2/3))*SQRT(N43))</f>
        <v/>
      </c>
      <c r="T43" s="14" t="str">
        <f aca="false">IF(OR(S43="",L43=""),"",L43/(S43*Inputs!$B$10))</f>
        <v/>
      </c>
      <c r="U43" s="14" t="str">
        <f aca="false">IF(OR(R43="",L43=""),"",4*L43/(PI()*R43^2))</f>
        <v/>
      </c>
      <c r="V43" s="14"/>
      <c r="W43" s="14" t="str">
        <f aca="false">IF(A43="","",IF(A43=Inputs!$B$6,Inputs!$B$22,IF(B43="","",IFERROR(INDEX($X$4:$X$203,MATCH(B43,$A$4:$A$203,0))+IF(V43="",Inputs!$B$20,V43),""))))</f>
        <v/>
      </c>
      <c r="X43" s="14" t="str">
        <f aca="false">IF(OR(W43="",N43="",C43=""),"",W43+N43*C43)</f>
        <v/>
      </c>
      <c r="Y43" s="14"/>
      <c r="Z43" s="14"/>
      <c r="AA43" s="14" t="str">
        <f aca="false">IF(OR(Y43="",W43=""),"",Y43-W43)</f>
        <v/>
      </c>
      <c r="AB43" s="14" t="str">
        <f aca="false">IF(OR(Z43="",X43=""),"",Z43-X43)</f>
        <v/>
      </c>
      <c r="AC43" s="19" t="str">
        <f aca="false">IF(A43="","",IF(OR(T43&gt;1,AND(AV43&lt;&gt;"",AV43&lt;Inputs!$B$11),AND(AV43&lt;&gt;"",AV43&gt;Inputs!$B$12),AA43&lt;Inputs!$B$19,AB43&lt;Inputs!$B$19,N43&lt;Inputs!$B$7,N43&gt;Inputs!$B$8),"CHECK","OK"))</f>
        <v/>
      </c>
      <c r="AD43" s="9" t="str">
        <f aca="false">IF(A43="","",(1/Inputs!$B$9)*(PI()*(Inputs!$F$5/1000)^2/4)*((Inputs!$F$5/1000/4)^(2/3))*SQRT(N43))</f>
        <v/>
      </c>
      <c r="AE43" s="9" t="str">
        <f aca="false">IF(A43="","",(1/Inputs!$B$9)*(PI()*(Inputs!$F$6/1000)^2/4)*((Inputs!$F$6/1000/4)^(2/3))*SQRT(N43))</f>
        <v/>
      </c>
      <c r="AF43" s="9" t="str">
        <f aca="false">IF(A43="","",(1/Inputs!$B$9)*(PI()*(Inputs!$F$7/1000)^2/4)*((Inputs!$F$7/1000/4)^(2/3))*SQRT(N43))</f>
        <v/>
      </c>
      <c r="AG43" s="9" t="str">
        <f aca="false">IF(A43="","",(1/Inputs!$B$9)*(PI()*(Inputs!$F$8/1000)^2/4)*((Inputs!$F$8/1000/4)^(2/3))*SQRT(N43))</f>
        <v/>
      </c>
      <c r="AH43" s="9" t="str">
        <f aca="false">IF(A43="","",(1/Inputs!$B$9)*(PI()*(Inputs!$F$9/1000)^2/4)*((Inputs!$F$9/1000/4)^(2/3))*SQRT(N43))</f>
        <v/>
      </c>
      <c r="AI43" s="9" t="str">
        <f aca="false">IF(A43="","",(1/Inputs!$B$9)*(PI()*(Inputs!$F$10/1000)^2/4)*((Inputs!$F$10/1000/4)^(2/3))*SQRT(N43))</f>
        <v/>
      </c>
      <c r="AJ43" s="9" t="str">
        <f aca="false">IF(A43="","",(1/Inputs!$B$9)*(PI()*(Inputs!$F$11/1000)^2/4)*((Inputs!$F$11/1000/4)^(2/3))*SQRT(N43))</f>
        <v/>
      </c>
      <c r="AK43" s="9" t="str">
        <f aca="false">IF(A43="","",(1/Inputs!$B$9)*(PI()*(Inputs!$F$12/1000)^2/4)*((Inputs!$F$12/1000/4)^(2/3))*SQRT(N43))</f>
        <v/>
      </c>
      <c r="AL43" s="9" t="str">
        <f aca="false">IF(A43="","",(1/Inputs!$B$9)*(PI()*(Inputs!$F$13/1000)^2/4)*((Inputs!$F$13/1000/4)^(2/3))*SQRT(N43))</f>
        <v/>
      </c>
      <c r="AM43" s="9" t="str">
        <f aca="false">IF(A43="","",(1/Inputs!$B$9)*(PI()*(Inputs!$F$14/1000)^2/4)*((Inputs!$F$14/1000/4)^(2/3))*SQRT(N43))</f>
        <v/>
      </c>
      <c r="AN43" s="9" t="str">
        <f aca="false">IF(A43="","",COUNTIF($B$4:$B$203,$A43))</f>
        <v/>
      </c>
      <c r="AO43" s="9" t="str">
        <f aca="false">IF(A43="","",IF(AN43=0,"START","CONTINUOUS"))</f>
        <v/>
      </c>
      <c r="AP43" s="13" t="str">
        <f aca="false">IF(A43="","",IF(H43="",Inputs!$B$18,H43))</f>
        <v/>
      </c>
      <c r="AQ43" s="13" t="str">
        <f aca="false">IF(A43="","",IFERROR(maxifs($AS$4:$AS$203,$B$4:$B$203,$A43),""))</f>
        <v/>
      </c>
      <c r="AR43" s="13" t="str">
        <f aca="false">IF(A43="","",IF(OR(C43="",Inputs!$B$23=""),"",C43/(Inputs!$B$23*60)))</f>
        <v/>
      </c>
      <c r="AS43" s="13" t="str">
        <f aca="false">IF(A43="","",IF(AN43=0,AP43+AR43,IF(AQ43="",AP43+AR43,AQ43+AR43)))</f>
        <v/>
      </c>
      <c r="AT43" s="13" t="str">
        <f aca="false">IF(A43="","",U43)</f>
        <v/>
      </c>
      <c r="AU43" s="13" t="str">
        <f aca="false">IF(OR(R43="",N43=""),"",(1/Inputs!$B$9)*((R43/4)^(2/3))*SQRT(N43))</f>
        <v/>
      </c>
      <c r="AV43" s="13" t="str">
        <f aca="false">IF(A43="","",IF(AND(AT43="",AU43="",AX43=""),"",IF(OR(UPPER(TRIM(Inputs!$B$24))="MANNING",UPPER(TRIM(Inputs!$B$24))="M"),AU43,IF(OR(UPPER(TRIM(Inputs!$B$24))="PARTIAL",UPPER(TRIM(Inputs!$B$24))="P"),AX43,IF(OR(UPPER(TRIM(Inputs!$B$24))="MAX",UPPER(TRIM(Inputs!$B$24))="X"),MAX(IF(AT43="",0,AT43),IF(AU43="",0,AU43),IF(AX43="",0,AX43)),AT43)))))</f>
        <v/>
      </c>
      <c r="AW43" s="13" t="str">
        <f aca="false">IF(AY43="","",CE43)</f>
        <v/>
      </c>
      <c r="AX43" s="13" t="str">
        <f aca="false">IF(OR(AY43="",AW43="",R43="",R43&lt;=0,AW43&lt;=0),"",AY43/((R43^2/8)*(2*ACOS(1-2*AW43/R43)-SIN(2*ACOS(1-2*AW43/R43)))))</f>
        <v/>
      </c>
      <c r="AY43" s="9" t="str">
        <f aca="false">IF(OR(L43="",AZ43=""),"",MIN(L43,AZ43))</f>
        <v/>
      </c>
      <c r="AZ43" s="9" t="str">
        <f aca="false">IF(OR(L43="",R43="",N43=""),"",IF(OR(R43="",N43="",(0.94*R43)="",R43&lt;=0,(0.94*R43)&lt;=0),"",(1/Inputs!$B$9)*((R43^2/8)*((2*ACOS(1-2*(0.94*R43)/R43))-SIN((2*ACOS(1-2*(0.94*R43)/R43)))))*((((R43^2/8)*((2*ACOS(1-2*(0.94*R43)/R43))-SIN((2*ACOS(1-2*(0.94*R43)/R43)))))/((R43/2)*((2*ACOS(1-2*(0.94*R43)/R43)))))^(2/3))*SQRT(N43)))</f>
        <v/>
      </c>
      <c r="BA43" s="9" t="str">
        <f aca="false">IF(AY43="","",0.001*R43)</f>
        <v/>
      </c>
      <c r="BB43" s="9" t="str">
        <f aca="false">IF(AY43="","",0.94*R43)</f>
        <v/>
      </c>
      <c r="BC43" s="9" t="str">
        <f aca="false">IF(AY43="","",(BA43+BB43)/2)</f>
        <v/>
      </c>
      <c r="BD43" s="9" t="str">
        <f aca="false">IF(OR(R43="",N43="",BC43="",R43&lt;=0,BC43&lt;=0),"",(1/Inputs!$B$9)*((R43^2/8)*((2*ACOS(1-2*BC43/R43))-SIN((2*ACOS(1-2*BC43/R43)))))*((((R43^2/8)*((2*ACOS(1-2*BC43/R43))-SIN((2*ACOS(1-2*BC43/R43)))))/((R43/2)*((2*ACOS(1-2*BC43/R43)))))^(2/3))*SQRT(N43))</f>
        <v/>
      </c>
      <c r="BE43" s="9" t="str">
        <f aca="false">IF(AY43="","",IF(BD43&lt;AY43,BC43,BA43))</f>
        <v/>
      </c>
      <c r="BF43" s="9" t="str">
        <f aca="false">IF(AY43="","",IF(BD43&lt;AY43,BB43,BC43))</f>
        <v/>
      </c>
      <c r="BG43" s="9" t="str">
        <f aca="false">IF(AY43="","",(BE43+BF43)/2)</f>
        <v/>
      </c>
      <c r="BH43" s="9" t="str">
        <f aca="false">IF(OR(R43="",N43="",BG43="",R43&lt;=0,BG43&lt;=0),"",(1/Inputs!$B$9)*((R43^2/8)*((2*ACOS(1-2*BG43/R43))-SIN((2*ACOS(1-2*BG43/R43)))))*((((R43^2/8)*((2*ACOS(1-2*BG43/R43))-SIN((2*ACOS(1-2*BG43/R43)))))/((R43/2)*((2*ACOS(1-2*BG43/R43)))))^(2/3))*SQRT(N43))</f>
        <v/>
      </c>
      <c r="BI43" s="9" t="str">
        <f aca="false">IF(AY43="","",IF(BH43&lt;AY43,BG43,BE43))</f>
        <v/>
      </c>
      <c r="BJ43" s="9" t="str">
        <f aca="false">IF(AY43="","",IF(BH43&lt;AY43,BF43,BG43))</f>
        <v/>
      </c>
      <c r="BK43" s="9" t="str">
        <f aca="false">IF(AY43="","",(BI43+BJ43)/2)</f>
        <v/>
      </c>
      <c r="BL43" s="9" t="str">
        <f aca="false">IF(OR(R43="",N43="",BK43="",R43&lt;=0,BK43&lt;=0),"",(1/Inputs!$B$9)*((R43^2/8)*((2*ACOS(1-2*BK43/R43))-SIN((2*ACOS(1-2*BK43/R43)))))*((((R43^2/8)*((2*ACOS(1-2*BK43/R43))-SIN((2*ACOS(1-2*BK43/R43)))))/((R43/2)*((2*ACOS(1-2*BK43/R43)))))^(2/3))*SQRT(N43))</f>
        <v/>
      </c>
      <c r="BM43" s="9" t="str">
        <f aca="false">IF(AY43="","",IF(BL43&lt;AY43,BK43,BI43))</f>
        <v/>
      </c>
      <c r="BN43" s="9" t="str">
        <f aca="false">IF(AY43="","",IF(BL43&lt;AY43,BJ43,BK43))</f>
        <v/>
      </c>
      <c r="BO43" s="9" t="str">
        <f aca="false">IF(AY43="","",(BM43+BN43)/2)</f>
        <v/>
      </c>
      <c r="BP43" s="9" t="str">
        <f aca="false">IF(OR(R43="",N43="",BO43="",R43&lt;=0,BO43&lt;=0),"",(1/Inputs!$B$9)*((R43^2/8)*((2*ACOS(1-2*BO43/R43))-SIN((2*ACOS(1-2*BO43/R43)))))*((((R43^2/8)*((2*ACOS(1-2*BO43/R43))-SIN((2*ACOS(1-2*BO43/R43)))))/((R43/2)*((2*ACOS(1-2*BO43/R43)))))^(2/3))*SQRT(N43))</f>
        <v/>
      </c>
      <c r="BQ43" s="9" t="str">
        <f aca="false">IF(AY43="","",IF(BP43&lt;AY43,BO43,BM43))</f>
        <v/>
      </c>
      <c r="BR43" s="9" t="str">
        <f aca="false">IF(AY43="","",IF(BP43&lt;AY43,BN43,BO43))</f>
        <v/>
      </c>
      <c r="BS43" s="9" t="str">
        <f aca="false">IF(AY43="","",(BQ43+BR43)/2)</f>
        <v/>
      </c>
      <c r="BT43" s="9" t="str">
        <f aca="false">IF(OR(R43="",N43="",BS43="",R43&lt;=0,BS43&lt;=0),"",(1/Inputs!$B$9)*((R43^2/8)*((2*ACOS(1-2*BS43/R43))-SIN((2*ACOS(1-2*BS43/R43)))))*((((R43^2/8)*((2*ACOS(1-2*BS43/R43))-SIN((2*ACOS(1-2*BS43/R43)))))/((R43/2)*((2*ACOS(1-2*BS43/R43)))))^(2/3))*SQRT(N43))</f>
        <v/>
      </c>
      <c r="BU43" s="9" t="str">
        <f aca="false">IF(AY43="","",IF(BT43&lt;AY43,BS43,BQ43))</f>
        <v/>
      </c>
      <c r="BV43" s="9" t="str">
        <f aca="false">IF(AY43="","",IF(BT43&lt;AY43,BR43,BS43))</f>
        <v/>
      </c>
      <c r="BW43" s="9" t="str">
        <f aca="false">IF(AY43="","",(BU43+BV43)/2)</f>
        <v/>
      </c>
      <c r="BX43" s="9" t="str">
        <f aca="false">IF(OR(R43="",N43="",BW43="",R43&lt;=0,BW43&lt;=0),"",(1/Inputs!$B$9)*((R43^2/8)*((2*ACOS(1-2*BW43/R43))-SIN((2*ACOS(1-2*BW43/R43)))))*((((R43^2/8)*((2*ACOS(1-2*BW43/R43))-SIN((2*ACOS(1-2*BW43/R43)))))/((R43/2)*((2*ACOS(1-2*BW43/R43)))))^(2/3))*SQRT(N43))</f>
        <v/>
      </c>
      <c r="BY43" s="9" t="str">
        <f aca="false">IF(AY43="","",IF(BX43&lt;AY43,BW43,BU43))</f>
        <v/>
      </c>
      <c r="BZ43" s="9" t="str">
        <f aca="false">IF(AY43="","",IF(BX43&lt;AY43,BV43,BW43))</f>
        <v/>
      </c>
      <c r="CA43" s="9" t="str">
        <f aca="false">IF(AY43="","",(BY43+BZ43)/2)</f>
        <v/>
      </c>
      <c r="CB43" s="9" t="str">
        <f aca="false">IF(OR(R43="",N43="",CA43="",R43&lt;=0,CA43&lt;=0),"",(1/Inputs!$B$9)*((R43^2/8)*((2*ACOS(1-2*CA43/R43))-SIN((2*ACOS(1-2*CA43/R43)))))*((((R43^2/8)*((2*ACOS(1-2*CA43/R43))-SIN((2*ACOS(1-2*CA43/R43)))))/((R43/2)*((2*ACOS(1-2*CA43/R43)))))^(2/3))*SQRT(N43))</f>
        <v/>
      </c>
      <c r="CC43" s="9" t="str">
        <f aca="false">IF(AY43="","",IF(CB43&lt;AY43,CA43,BY43))</f>
        <v/>
      </c>
      <c r="CD43" s="9" t="str">
        <f aca="false">IF(AY43="","",IF(CB43&lt;AY43,BZ43,CA43))</f>
        <v/>
      </c>
      <c r="CE43" s="9" t="str">
        <f aca="false">IF(AY43="","",(CC43+CD43)/2)</f>
        <v/>
      </c>
    </row>
    <row r="44" customFormat="false" ht="15" hidden="false" customHeight="false" outlineLevel="0" collapsed="false">
      <c r="A44" s="9"/>
      <c r="B44" s="9"/>
      <c r="C44" s="14"/>
      <c r="D44" s="14"/>
      <c r="E44" s="14" t="n">
        <f aca="false">SUMIFS(CB_Tributaires!$C:$C,CB_Tributaires!$B:$B,$A44)</f>
        <v>0</v>
      </c>
      <c r="F44" s="14" t="n">
        <f aca="false">IF(D44="",E44,D44)</f>
        <v>0</v>
      </c>
      <c r="G44" s="9"/>
      <c r="H44" s="14"/>
      <c r="I44" s="14" t="str">
        <f aca="false">IF(A44="","",Inputs!$B$13/((IF(AS44="",Inputs!$B$18,AS44)+Inputs!$B$14)^Inputs!$B$15))</f>
        <v/>
      </c>
      <c r="J44" s="14" t="str">
        <f aca="false">IF(A44="","",0.000000278*IF(G44="",Inputs!$B$17,G44)*F44*I44)</f>
        <v/>
      </c>
      <c r="K44" s="14" t="str">
        <f aca="false">IF(A44="","",SUMIFS($L$4:$L$203,$B$4:$B$203,$A44))</f>
        <v/>
      </c>
      <c r="L44" s="14" t="str">
        <f aca="false">IF(A44="","",(J44+K44)*Inputs!$B$16)</f>
        <v/>
      </c>
      <c r="M44" s="14"/>
      <c r="N44" s="14" t="str">
        <f aca="false">IF(A44="","",IF(M44="",Inputs!$B$7,M44))</f>
        <v/>
      </c>
      <c r="O44" s="9" t="str">
        <f aca="false">IF(A44="","",IF(L44/Inputs!$B$10&lt;=AD44,Inputs!$F$5,IF(L44/Inputs!$B$10&gt;AM44,"OVERSIZE",INDEX(Inputs!$F$5:$F$14,MATCH(L44/Inputs!$B$10,AD44:AM44,1)+1))))</f>
        <v/>
      </c>
      <c r="P44" s="9"/>
      <c r="Q44" s="9" t="str">
        <f aca="false">IF(A44="","",IF(P44="",O44,P44))</f>
        <v/>
      </c>
      <c r="R44" s="14" t="str">
        <f aca="false">IF(OR(Q44="",Q44="OVERSIZE"),"",Q44/1000)</f>
        <v/>
      </c>
      <c r="S44" s="14" t="str">
        <f aca="false">IF(R44="","",(1/Inputs!$B$9)*(PI()*R44^2/4)*((R44/4)^(2/3))*SQRT(N44))</f>
        <v/>
      </c>
      <c r="T44" s="14" t="str">
        <f aca="false">IF(OR(S44="",L44=""),"",L44/(S44*Inputs!$B$10))</f>
        <v/>
      </c>
      <c r="U44" s="14" t="str">
        <f aca="false">IF(OR(R44="",L44=""),"",4*L44/(PI()*R44^2))</f>
        <v/>
      </c>
      <c r="V44" s="14"/>
      <c r="W44" s="14" t="str">
        <f aca="false">IF(A44="","",IF(A44=Inputs!$B$6,Inputs!$B$22,IF(B44="","",IFERROR(INDEX($X$4:$X$203,MATCH(B44,$A$4:$A$203,0))+IF(V44="",Inputs!$B$20,V44),""))))</f>
        <v/>
      </c>
      <c r="X44" s="14" t="str">
        <f aca="false">IF(OR(W44="",N44="",C44=""),"",W44+N44*C44)</f>
        <v/>
      </c>
      <c r="Y44" s="14"/>
      <c r="Z44" s="14"/>
      <c r="AA44" s="14" t="str">
        <f aca="false">IF(OR(Y44="",W44=""),"",Y44-W44)</f>
        <v/>
      </c>
      <c r="AB44" s="14" t="str">
        <f aca="false">IF(OR(Z44="",X44=""),"",Z44-X44)</f>
        <v/>
      </c>
      <c r="AC44" s="19" t="str">
        <f aca="false">IF(A44="","",IF(OR(T44&gt;1,AND(AV44&lt;&gt;"",AV44&lt;Inputs!$B$11),AND(AV44&lt;&gt;"",AV44&gt;Inputs!$B$12),AA44&lt;Inputs!$B$19,AB44&lt;Inputs!$B$19,N44&lt;Inputs!$B$7,N44&gt;Inputs!$B$8),"CHECK","OK"))</f>
        <v/>
      </c>
      <c r="AD44" s="9" t="str">
        <f aca="false">IF(A44="","",(1/Inputs!$B$9)*(PI()*(Inputs!$F$5/1000)^2/4)*((Inputs!$F$5/1000/4)^(2/3))*SQRT(N44))</f>
        <v/>
      </c>
      <c r="AE44" s="9" t="str">
        <f aca="false">IF(A44="","",(1/Inputs!$B$9)*(PI()*(Inputs!$F$6/1000)^2/4)*((Inputs!$F$6/1000/4)^(2/3))*SQRT(N44))</f>
        <v/>
      </c>
      <c r="AF44" s="9" t="str">
        <f aca="false">IF(A44="","",(1/Inputs!$B$9)*(PI()*(Inputs!$F$7/1000)^2/4)*((Inputs!$F$7/1000/4)^(2/3))*SQRT(N44))</f>
        <v/>
      </c>
      <c r="AG44" s="9" t="str">
        <f aca="false">IF(A44="","",(1/Inputs!$B$9)*(PI()*(Inputs!$F$8/1000)^2/4)*((Inputs!$F$8/1000/4)^(2/3))*SQRT(N44))</f>
        <v/>
      </c>
      <c r="AH44" s="9" t="str">
        <f aca="false">IF(A44="","",(1/Inputs!$B$9)*(PI()*(Inputs!$F$9/1000)^2/4)*((Inputs!$F$9/1000/4)^(2/3))*SQRT(N44))</f>
        <v/>
      </c>
      <c r="AI44" s="9" t="str">
        <f aca="false">IF(A44="","",(1/Inputs!$B$9)*(PI()*(Inputs!$F$10/1000)^2/4)*((Inputs!$F$10/1000/4)^(2/3))*SQRT(N44))</f>
        <v/>
      </c>
      <c r="AJ44" s="9" t="str">
        <f aca="false">IF(A44="","",(1/Inputs!$B$9)*(PI()*(Inputs!$F$11/1000)^2/4)*((Inputs!$F$11/1000/4)^(2/3))*SQRT(N44))</f>
        <v/>
      </c>
      <c r="AK44" s="9" t="str">
        <f aca="false">IF(A44="","",(1/Inputs!$B$9)*(PI()*(Inputs!$F$12/1000)^2/4)*((Inputs!$F$12/1000/4)^(2/3))*SQRT(N44))</f>
        <v/>
      </c>
      <c r="AL44" s="9" t="str">
        <f aca="false">IF(A44="","",(1/Inputs!$B$9)*(PI()*(Inputs!$F$13/1000)^2/4)*((Inputs!$F$13/1000/4)^(2/3))*SQRT(N44))</f>
        <v/>
      </c>
      <c r="AM44" s="9" t="str">
        <f aca="false">IF(A44="","",(1/Inputs!$B$9)*(PI()*(Inputs!$F$14/1000)^2/4)*((Inputs!$F$14/1000/4)^(2/3))*SQRT(N44))</f>
        <v/>
      </c>
      <c r="AN44" s="9" t="str">
        <f aca="false">IF(A44="","",COUNTIF($B$4:$B$203,$A44))</f>
        <v/>
      </c>
      <c r="AO44" s="9" t="str">
        <f aca="false">IF(A44="","",IF(AN44=0,"START","CONTINUOUS"))</f>
        <v/>
      </c>
      <c r="AP44" s="13" t="str">
        <f aca="false">IF(A44="","",IF(H44="",Inputs!$B$18,H44))</f>
        <v/>
      </c>
      <c r="AQ44" s="13" t="str">
        <f aca="false">IF(A44="","",IFERROR(maxifs($AS$4:$AS$203,$B$4:$B$203,$A44),""))</f>
        <v/>
      </c>
      <c r="AR44" s="13" t="str">
        <f aca="false">IF(A44="","",IF(OR(C44="",Inputs!$B$23=""),"",C44/(Inputs!$B$23*60)))</f>
        <v/>
      </c>
      <c r="AS44" s="13" t="str">
        <f aca="false">IF(A44="","",IF(AN44=0,AP44+AR44,IF(AQ44="",AP44+AR44,AQ44+AR44)))</f>
        <v/>
      </c>
      <c r="AT44" s="13" t="str">
        <f aca="false">IF(A44="","",U44)</f>
        <v/>
      </c>
      <c r="AU44" s="13" t="str">
        <f aca="false">IF(OR(R44="",N44=""),"",(1/Inputs!$B$9)*((R44/4)^(2/3))*SQRT(N44))</f>
        <v/>
      </c>
      <c r="AV44" s="13" t="str">
        <f aca="false">IF(A44="","",IF(AND(AT44="",AU44="",AX44=""),"",IF(OR(UPPER(TRIM(Inputs!$B$24))="MANNING",UPPER(TRIM(Inputs!$B$24))="M"),AU44,IF(OR(UPPER(TRIM(Inputs!$B$24))="PARTIAL",UPPER(TRIM(Inputs!$B$24))="P"),AX44,IF(OR(UPPER(TRIM(Inputs!$B$24))="MAX",UPPER(TRIM(Inputs!$B$24))="X"),MAX(IF(AT44="",0,AT44),IF(AU44="",0,AU44),IF(AX44="",0,AX44)),AT44)))))</f>
        <v/>
      </c>
      <c r="AW44" s="13" t="str">
        <f aca="false">IF(AY44="","",CE44)</f>
        <v/>
      </c>
      <c r="AX44" s="13" t="str">
        <f aca="false">IF(OR(AY44="",AW44="",R44="",R44&lt;=0,AW44&lt;=0),"",AY44/((R44^2/8)*(2*ACOS(1-2*AW44/R44)-SIN(2*ACOS(1-2*AW44/R44)))))</f>
        <v/>
      </c>
      <c r="AY44" s="9" t="str">
        <f aca="false">IF(OR(L44="",AZ44=""),"",MIN(L44,AZ44))</f>
        <v/>
      </c>
      <c r="AZ44" s="9" t="str">
        <f aca="false">IF(OR(L44="",R44="",N44=""),"",IF(OR(R44="",N44="",(0.94*R44)="",R44&lt;=0,(0.94*R44)&lt;=0),"",(1/Inputs!$B$9)*((R44^2/8)*((2*ACOS(1-2*(0.94*R44)/R44))-SIN((2*ACOS(1-2*(0.94*R44)/R44)))))*((((R44^2/8)*((2*ACOS(1-2*(0.94*R44)/R44))-SIN((2*ACOS(1-2*(0.94*R44)/R44)))))/((R44/2)*((2*ACOS(1-2*(0.94*R44)/R44)))))^(2/3))*SQRT(N44)))</f>
        <v/>
      </c>
      <c r="BA44" s="9" t="str">
        <f aca="false">IF(AY44="","",0.001*R44)</f>
        <v/>
      </c>
      <c r="BB44" s="9" t="str">
        <f aca="false">IF(AY44="","",0.94*R44)</f>
        <v/>
      </c>
      <c r="BC44" s="9" t="str">
        <f aca="false">IF(AY44="","",(BA44+BB44)/2)</f>
        <v/>
      </c>
      <c r="BD44" s="9" t="str">
        <f aca="false">IF(OR(R44="",N44="",BC44="",R44&lt;=0,BC44&lt;=0),"",(1/Inputs!$B$9)*((R44^2/8)*((2*ACOS(1-2*BC44/R44))-SIN((2*ACOS(1-2*BC44/R44)))))*((((R44^2/8)*((2*ACOS(1-2*BC44/R44))-SIN((2*ACOS(1-2*BC44/R44)))))/((R44/2)*((2*ACOS(1-2*BC44/R44)))))^(2/3))*SQRT(N44))</f>
        <v/>
      </c>
      <c r="BE44" s="9" t="str">
        <f aca="false">IF(AY44="","",IF(BD44&lt;AY44,BC44,BA44))</f>
        <v/>
      </c>
      <c r="BF44" s="9" t="str">
        <f aca="false">IF(AY44="","",IF(BD44&lt;AY44,BB44,BC44))</f>
        <v/>
      </c>
      <c r="BG44" s="9" t="str">
        <f aca="false">IF(AY44="","",(BE44+BF44)/2)</f>
        <v/>
      </c>
      <c r="BH44" s="9" t="str">
        <f aca="false">IF(OR(R44="",N44="",BG44="",R44&lt;=0,BG44&lt;=0),"",(1/Inputs!$B$9)*((R44^2/8)*((2*ACOS(1-2*BG44/R44))-SIN((2*ACOS(1-2*BG44/R44)))))*((((R44^2/8)*((2*ACOS(1-2*BG44/R44))-SIN((2*ACOS(1-2*BG44/R44)))))/((R44/2)*((2*ACOS(1-2*BG44/R44)))))^(2/3))*SQRT(N44))</f>
        <v/>
      </c>
      <c r="BI44" s="9" t="str">
        <f aca="false">IF(AY44="","",IF(BH44&lt;AY44,BG44,BE44))</f>
        <v/>
      </c>
      <c r="BJ44" s="9" t="str">
        <f aca="false">IF(AY44="","",IF(BH44&lt;AY44,BF44,BG44))</f>
        <v/>
      </c>
      <c r="BK44" s="9" t="str">
        <f aca="false">IF(AY44="","",(BI44+BJ44)/2)</f>
        <v/>
      </c>
      <c r="BL44" s="9" t="str">
        <f aca="false">IF(OR(R44="",N44="",BK44="",R44&lt;=0,BK44&lt;=0),"",(1/Inputs!$B$9)*((R44^2/8)*((2*ACOS(1-2*BK44/R44))-SIN((2*ACOS(1-2*BK44/R44)))))*((((R44^2/8)*((2*ACOS(1-2*BK44/R44))-SIN((2*ACOS(1-2*BK44/R44)))))/((R44/2)*((2*ACOS(1-2*BK44/R44)))))^(2/3))*SQRT(N44))</f>
        <v/>
      </c>
      <c r="BM44" s="9" t="str">
        <f aca="false">IF(AY44="","",IF(BL44&lt;AY44,BK44,BI44))</f>
        <v/>
      </c>
      <c r="BN44" s="9" t="str">
        <f aca="false">IF(AY44="","",IF(BL44&lt;AY44,BJ44,BK44))</f>
        <v/>
      </c>
      <c r="BO44" s="9" t="str">
        <f aca="false">IF(AY44="","",(BM44+BN44)/2)</f>
        <v/>
      </c>
      <c r="BP44" s="9" t="str">
        <f aca="false">IF(OR(R44="",N44="",BO44="",R44&lt;=0,BO44&lt;=0),"",(1/Inputs!$B$9)*((R44^2/8)*((2*ACOS(1-2*BO44/R44))-SIN((2*ACOS(1-2*BO44/R44)))))*((((R44^2/8)*((2*ACOS(1-2*BO44/R44))-SIN((2*ACOS(1-2*BO44/R44)))))/((R44/2)*((2*ACOS(1-2*BO44/R44)))))^(2/3))*SQRT(N44))</f>
        <v/>
      </c>
      <c r="BQ44" s="9" t="str">
        <f aca="false">IF(AY44="","",IF(BP44&lt;AY44,BO44,BM44))</f>
        <v/>
      </c>
      <c r="BR44" s="9" t="str">
        <f aca="false">IF(AY44="","",IF(BP44&lt;AY44,BN44,BO44))</f>
        <v/>
      </c>
      <c r="BS44" s="9" t="str">
        <f aca="false">IF(AY44="","",(BQ44+BR44)/2)</f>
        <v/>
      </c>
      <c r="BT44" s="9" t="str">
        <f aca="false">IF(OR(R44="",N44="",BS44="",R44&lt;=0,BS44&lt;=0),"",(1/Inputs!$B$9)*((R44^2/8)*((2*ACOS(1-2*BS44/R44))-SIN((2*ACOS(1-2*BS44/R44)))))*((((R44^2/8)*((2*ACOS(1-2*BS44/R44))-SIN((2*ACOS(1-2*BS44/R44)))))/((R44/2)*((2*ACOS(1-2*BS44/R44)))))^(2/3))*SQRT(N44))</f>
        <v/>
      </c>
      <c r="BU44" s="9" t="str">
        <f aca="false">IF(AY44="","",IF(BT44&lt;AY44,BS44,BQ44))</f>
        <v/>
      </c>
      <c r="BV44" s="9" t="str">
        <f aca="false">IF(AY44="","",IF(BT44&lt;AY44,BR44,BS44))</f>
        <v/>
      </c>
      <c r="BW44" s="9" t="str">
        <f aca="false">IF(AY44="","",(BU44+BV44)/2)</f>
        <v/>
      </c>
      <c r="BX44" s="9" t="str">
        <f aca="false">IF(OR(R44="",N44="",BW44="",R44&lt;=0,BW44&lt;=0),"",(1/Inputs!$B$9)*((R44^2/8)*((2*ACOS(1-2*BW44/R44))-SIN((2*ACOS(1-2*BW44/R44)))))*((((R44^2/8)*((2*ACOS(1-2*BW44/R44))-SIN((2*ACOS(1-2*BW44/R44)))))/((R44/2)*((2*ACOS(1-2*BW44/R44)))))^(2/3))*SQRT(N44))</f>
        <v/>
      </c>
      <c r="BY44" s="9" t="str">
        <f aca="false">IF(AY44="","",IF(BX44&lt;AY44,BW44,BU44))</f>
        <v/>
      </c>
      <c r="BZ44" s="9" t="str">
        <f aca="false">IF(AY44="","",IF(BX44&lt;AY44,BV44,BW44))</f>
        <v/>
      </c>
      <c r="CA44" s="9" t="str">
        <f aca="false">IF(AY44="","",(BY44+BZ44)/2)</f>
        <v/>
      </c>
      <c r="CB44" s="9" t="str">
        <f aca="false">IF(OR(R44="",N44="",CA44="",R44&lt;=0,CA44&lt;=0),"",(1/Inputs!$B$9)*((R44^2/8)*((2*ACOS(1-2*CA44/R44))-SIN((2*ACOS(1-2*CA44/R44)))))*((((R44^2/8)*((2*ACOS(1-2*CA44/R44))-SIN((2*ACOS(1-2*CA44/R44)))))/((R44/2)*((2*ACOS(1-2*CA44/R44)))))^(2/3))*SQRT(N44))</f>
        <v/>
      </c>
      <c r="CC44" s="9" t="str">
        <f aca="false">IF(AY44="","",IF(CB44&lt;AY44,CA44,BY44))</f>
        <v/>
      </c>
      <c r="CD44" s="9" t="str">
        <f aca="false">IF(AY44="","",IF(CB44&lt;AY44,BZ44,CA44))</f>
        <v/>
      </c>
      <c r="CE44" s="9" t="str">
        <f aca="false">IF(AY44="","",(CC44+CD44)/2)</f>
        <v/>
      </c>
    </row>
    <row r="45" customFormat="false" ht="15" hidden="false" customHeight="false" outlineLevel="0" collapsed="false">
      <c r="A45" s="9"/>
      <c r="B45" s="9"/>
      <c r="C45" s="14"/>
      <c r="D45" s="14"/>
      <c r="E45" s="14" t="n">
        <f aca="false">SUMIFS(CB_Tributaires!$C:$C,CB_Tributaires!$B:$B,$A45)</f>
        <v>0</v>
      </c>
      <c r="F45" s="14" t="n">
        <f aca="false">IF(D45="",E45,D45)</f>
        <v>0</v>
      </c>
      <c r="G45" s="9"/>
      <c r="H45" s="14"/>
      <c r="I45" s="14" t="str">
        <f aca="false">IF(A45="","",Inputs!$B$13/((IF(AS45="",Inputs!$B$18,AS45)+Inputs!$B$14)^Inputs!$B$15))</f>
        <v/>
      </c>
      <c r="J45" s="14" t="str">
        <f aca="false">IF(A45="","",0.000000278*IF(G45="",Inputs!$B$17,G45)*F45*I45)</f>
        <v/>
      </c>
      <c r="K45" s="14" t="str">
        <f aca="false">IF(A45="","",SUMIFS($L$4:$L$203,$B$4:$B$203,$A45))</f>
        <v/>
      </c>
      <c r="L45" s="14" t="str">
        <f aca="false">IF(A45="","",(J45+K45)*Inputs!$B$16)</f>
        <v/>
      </c>
      <c r="M45" s="14"/>
      <c r="N45" s="14" t="str">
        <f aca="false">IF(A45="","",IF(M45="",Inputs!$B$7,M45))</f>
        <v/>
      </c>
      <c r="O45" s="9" t="str">
        <f aca="false">IF(A45="","",IF(L45/Inputs!$B$10&lt;=AD45,Inputs!$F$5,IF(L45/Inputs!$B$10&gt;AM45,"OVERSIZE",INDEX(Inputs!$F$5:$F$14,MATCH(L45/Inputs!$B$10,AD45:AM45,1)+1))))</f>
        <v/>
      </c>
      <c r="P45" s="9"/>
      <c r="Q45" s="9" t="str">
        <f aca="false">IF(A45="","",IF(P45="",O45,P45))</f>
        <v/>
      </c>
      <c r="R45" s="14" t="str">
        <f aca="false">IF(OR(Q45="",Q45="OVERSIZE"),"",Q45/1000)</f>
        <v/>
      </c>
      <c r="S45" s="14" t="str">
        <f aca="false">IF(R45="","",(1/Inputs!$B$9)*(PI()*R45^2/4)*((R45/4)^(2/3))*SQRT(N45))</f>
        <v/>
      </c>
      <c r="T45" s="14" t="str">
        <f aca="false">IF(OR(S45="",L45=""),"",L45/(S45*Inputs!$B$10))</f>
        <v/>
      </c>
      <c r="U45" s="14" t="str">
        <f aca="false">IF(OR(R45="",L45=""),"",4*L45/(PI()*R45^2))</f>
        <v/>
      </c>
      <c r="V45" s="14"/>
      <c r="W45" s="14" t="str">
        <f aca="false">IF(A45="","",IF(A45=Inputs!$B$6,Inputs!$B$22,IF(B45="","",IFERROR(INDEX($X$4:$X$203,MATCH(B45,$A$4:$A$203,0))+IF(V45="",Inputs!$B$20,V45),""))))</f>
        <v/>
      </c>
      <c r="X45" s="14" t="str">
        <f aca="false">IF(OR(W45="",N45="",C45=""),"",W45+N45*C45)</f>
        <v/>
      </c>
      <c r="Y45" s="14"/>
      <c r="Z45" s="14"/>
      <c r="AA45" s="14" t="str">
        <f aca="false">IF(OR(Y45="",W45=""),"",Y45-W45)</f>
        <v/>
      </c>
      <c r="AB45" s="14" t="str">
        <f aca="false">IF(OR(Z45="",X45=""),"",Z45-X45)</f>
        <v/>
      </c>
      <c r="AC45" s="19" t="str">
        <f aca="false">IF(A45="","",IF(OR(T45&gt;1,AND(AV45&lt;&gt;"",AV45&lt;Inputs!$B$11),AND(AV45&lt;&gt;"",AV45&gt;Inputs!$B$12),AA45&lt;Inputs!$B$19,AB45&lt;Inputs!$B$19,N45&lt;Inputs!$B$7,N45&gt;Inputs!$B$8),"CHECK","OK"))</f>
        <v/>
      </c>
      <c r="AD45" s="9" t="str">
        <f aca="false">IF(A45="","",(1/Inputs!$B$9)*(PI()*(Inputs!$F$5/1000)^2/4)*((Inputs!$F$5/1000/4)^(2/3))*SQRT(N45))</f>
        <v/>
      </c>
      <c r="AE45" s="9" t="str">
        <f aca="false">IF(A45="","",(1/Inputs!$B$9)*(PI()*(Inputs!$F$6/1000)^2/4)*((Inputs!$F$6/1000/4)^(2/3))*SQRT(N45))</f>
        <v/>
      </c>
      <c r="AF45" s="9" t="str">
        <f aca="false">IF(A45="","",(1/Inputs!$B$9)*(PI()*(Inputs!$F$7/1000)^2/4)*((Inputs!$F$7/1000/4)^(2/3))*SQRT(N45))</f>
        <v/>
      </c>
      <c r="AG45" s="9" t="str">
        <f aca="false">IF(A45="","",(1/Inputs!$B$9)*(PI()*(Inputs!$F$8/1000)^2/4)*((Inputs!$F$8/1000/4)^(2/3))*SQRT(N45))</f>
        <v/>
      </c>
      <c r="AH45" s="9" t="str">
        <f aca="false">IF(A45="","",(1/Inputs!$B$9)*(PI()*(Inputs!$F$9/1000)^2/4)*((Inputs!$F$9/1000/4)^(2/3))*SQRT(N45))</f>
        <v/>
      </c>
      <c r="AI45" s="9" t="str">
        <f aca="false">IF(A45="","",(1/Inputs!$B$9)*(PI()*(Inputs!$F$10/1000)^2/4)*((Inputs!$F$10/1000/4)^(2/3))*SQRT(N45))</f>
        <v/>
      </c>
      <c r="AJ45" s="9" t="str">
        <f aca="false">IF(A45="","",(1/Inputs!$B$9)*(PI()*(Inputs!$F$11/1000)^2/4)*((Inputs!$F$11/1000/4)^(2/3))*SQRT(N45))</f>
        <v/>
      </c>
      <c r="AK45" s="9" t="str">
        <f aca="false">IF(A45="","",(1/Inputs!$B$9)*(PI()*(Inputs!$F$12/1000)^2/4)*((Inputs!$F$12/1000/4)^(2/3))*SQRT(N45))</f>
        <v/>
      </c>
      <c r="AL45" s="9" t="str">
        <f aca="false">IF(A45="","",(1/Inputs!$B$9)*(PI()*(Inputs!$F$13/1000)^2/4)*((Inputs!$F$13/1000/4)^(2/3))*SQRT(N45))</f>
        <v/>
      </c>
      <c r="AM45" s="9" t="str">
        <f aca="false">IF(A45="","",(1/Inputs!$B$9)*(PI()*(Inputs!$F$14/1000)^2/4)*((Inputs!$F$14/1000/4)^(2/3))*SQRT(N45))</f>
        <v/>
      </c>
      <c r="AN45" s="9" t="str">
        <f aca="false">IF(A45="","",COUNTIF($B$4:$B$203,$A45))</f>
        <v/>
      </c>
      <c r="AO45" s="9" t="str">
        <f aca="false">IF(A45="","",IF(AN45=0,"START","CONTINUOUS"))</f>
        <v/>
      </c>
      <c r="AP45" s="13" t="str">
        <f aca="false">IF(A45="","",IF(H45="",Inputs!$B$18,H45))</f>
        <v/>
      </c>
      <c r="AQ45" s="13" t="str">
        <f aca="false">IF(A45="","",IFERROR(maxifs($AS$4:$AS$203,$B$4:$B$203,$A45),""))</f>
        <v/>
      </c>
      <c r="AR45" s="13" t="str">
        <f aca="false">IF(A45="","",IF(OR(C45="",Inputs!$B$23=""),"",C45/(Inputs!$B$23*60)))</f>
        <v/>
      </c>
      <c r="AS45" s="13" t="str">
        <f aca="false">IF(A45="","",IF(AN45=0,AP45+AR45,IF(AQ45="",AP45+AR45,AQ45+AR45)))</f>
        <v/>
      </c>
      <c r="AT45" s="13" t="str">
        <f aca="false">IF(A45="","",U45)</f>
        <v/>
      </c>
      <c r="AU45" s="13" t="str">
        <f aca="false">IF(OR(R45="",N45=""),"",(1/Inputs!$B$9)*((R45/4)^(2/3))*SQRT(N45))</f>
        <v/>
      </c>
      <c r="AV45" s="13" t="str">
        <f aca="false">IF(A45="","",IF(AND(AT45="",AU45="",AX45=""),"",IF(OR(UPPER(TRIM(Inputs!$B$24))="MANNING",UPPER(TRIM(Inputs!$B$24))="M"),AU45,IF(OR(UPPER(TRIM(Inputs!$B$24))="PARTIAL",UPPER(TRIM(Inputs!$B$24))="P"),AX45,IF(OR(UPPER(TRIM(Inputs!$B$24))="MAX",UPPER(TRIM(Inputs!$B$24))="X"),MAX(IF(AT45="",0,AT45),IF(AU45="",0,AU45),IF(AX45="",0,AX45)),AT45)))))</f>
        <v/>
      </c>
      <c r="AW45" s="13" t="str">
        <f aca="false">IF(AY45="","",CE45)</f>
        <v/>
      </c>
      <c r="AX45" s="13" t="str">
        <f aca="false">IF(OR(AY45="",AW45="",R45="",R45&lt;=0,AW45&lt;=0),"",AY45/((R45^2/8)*(2*ACOS(1-2*AW45/R45)-SIN(2*ACOS(1-2*AW45/R45)))))</f>
        <v/>
      </c>
      <c r="AY45" s="9" t="str">
        <f aca="false">IF(OR(L45="",AZ45=""),"",MIN(L45,AZ45))</f>
        <v/>
      </c>
      <c r="AZ45" s="9" t="str">
        <f aca="false">IF(OR(L45="",R45="",N45=""),"",IF(OR(R45="",N45="",(0.94*R45)="",R45&lt;=0,(0.94*R45)&lt;=0),"",(1/Inputs!$B$9)*((R45^2/8)*((2*ACOS(1-2*(0.94*R45)/R45))-SIN((2*ACOS(1-2*(0.94*R45)/R45)))))*((((R45^2/8)*((2*ACOS(1-2*(0.94*R45)/R45))-SIN((2*ACOS(1-2*(0.94*R45)/R45)))))/((R45/2)*((2*ACOS(1-2*(0.94*R45)/R45)))))^(2/3))*SQRT(N45)))</f>
        <v/>
      </c>
      <c r="BA45" s="9" t="str">
        <f aca="false">IF(AY45="","",0.001*R45)</f>
        <v/>
      </c>
      <c r="BB45" s="9" t="str">
        <f aca="false">IF(AY45="","",0.94*R45)</f>
        <v/>
      </c>
      <c r="BC45" s="9" t="str">
        <f aca="false">IF(AY45="","",(BA45+BB45)/2)</f>
        <v/>
      </c>
      <c r="BD45" s="9" t="str">
        <f aca="false">IF(OR(R45="",N45="",BC45="",R45&lt;=0,BC45&lt;=0),"",(1/Inputs!$B$9)*((R45^2/8)*((2*ACOS(1-2*BC45/R45))-SIN((2*ACOS(1-2*BC45/R45)))))*((((R45^2/8)*((2*ACOS(1-2*BC45/R45))-SIN((2*ACOS(1-2*BC45/R45)))))/((R45/2)*((2*ACOS(1-2*BC45/R45)))))^(2/3))*SQRT(N45))</f>
        <v/>
      </c>
      <c r="BE45" s="9" t="str">
        <f aca="false">IF(AY45="","",IF(BD45&lt;AY45,BC45,BA45))</f>
        <v/>
      </c>
      <c r="BF45" s="9" t="str">
        <f aca="false">IF(AY45="","",IF(BD45&lt;AY45,BB45,BC45))</f>
        <v/>
      </c>
      <c r="BG45" s="9" t="str">
        <f aca="false">IF(AY45="","",(BE45+BF45)/2)</f>
        <v/>
      </c>
      <c r="BH45" s="9" t="str">
        <f aca="false">IF(OR(R45="",N45="",BG45="",R45&lt;=0,BG45&lt;=0),"",(1/Inputs!$B$9)*((R45^2/8)*((2*ACOS(1-2*BG45/R45))-SIN((2*ACOS(1-2*BG45/R45)))))*((((R45^2/8)*((2*ACOS(1-2*BG45/R45))-SIN((2*ACOS(1-2*BG45/R45)))))/((R45/2)*((2*ACOS(1-2*BG45/R45)))))^(2/3))*SQRT(N45))</f>
        <v/>
      </c>
      <c r="BI45" s="9" t="str">
        <f aca="false">IF(AY45="","",IF(BH45&lt;AY45,BG45,BE45))</f>
        <v/>
      </c>
      <c r="BJ45" s="9" t="str">
        <f aca="false">IF(AY45="","",IF(BH45&lt;AY45,BF45,BG45))</f>
        <v/>
      </c>
      <c r="BK45" s="9" t="str">
        <f aca="false">IF(AY45="","",(BI45+BJ45)/2)</f>
        <v/>
      </c>
      <c r="BL45" s="9" t="str">
        <f aca="false">IF(OR(R45="",N45="",BK45="",R45&lt;=0,BK45&lt;=0),"",(1/Inputs!$B$9)*((R45^2/8)*((2*ACOS(1-2*BK45/R45))-SIN((2*ACOS(1-2*BK45/R45)))))*((((R45^2/8)*((2*ACOS(1-2*BK45/R45))-SIN((2*ACOS(1-2*BK45/R45)))))/((R45/2)*((2*ACOS(1-2*BK45/R45)))))^(2/3))*SQRT(N45))</f>
        <v/>
      </c>
      <c r="BM45" s="9" t="str">
        <f aca="false">IF(AY45="","",IF(BL45&lt;AY45,BK45,BI45))</f>
        <v/>
      </c>
      <c r="BN45" s="9" t="str">
        <f aca="false">IF(AY45="","",IF(BL45&lt;AY45,BJ45,BK45))</f>
        <v/>
      </c>
      <c r="BO45" s="9" t="str">
        <f aca="false">IF(AY45="","",(BM45+BN45)/2)</f>
        <v/>
      </c>
      <c r="BP45" s="9" t="str">
        <f aca="false">IF(OR(R45="",N45="",BO45="",R45&lt;=0,BO45&lt;=0),"",(1/Inputs!$B$9)*((R45^2/8)*((2*ACOS(1-2*BO45/R45))-SIN((2*ACOS(1-2*BO45/R45)))))*((((R45^2/8)*((2*ACOS(1-2*BO45/R45))-SIN((2*ACOS(1-2*BO45/R45)))))/((R45/2)*((2*ACOS(1-2*BO45/R45)))))^(2/3))*SQRT(N45))</f>
        <v/>
      </c>
      <c r="BQ45" s="9" t="str">
        <f aca="false">IF(AY45="","",IF(BP45&lt;AY45,BO45,BM45))</f>
        <v/>
      </c>
      <c r="BR45" s="9" t="str">
        <f aca="false">IF(AY45="","",IF(BP45&lt;AY45,BN45,BO45))</f>
        <v/>
      </c>
      <c r="BS45" s="9" t="str">
        <f aca="false">IF(AY45="","",(BQ45+BR45)/2)</f>
        <v/>
      </c>
      <c r="BT45" s="9" t="str">
        <f aca="false">IF(OR(R45="",N45="",BS45="",R45&lt;=0,BS45&lt;=0),"",(1/Inputs!$B$9)*((R45^2/8)*((2*ACOS(1-2*BS45/R45))-SIN((2*ACOS(1-2*BS45/R45)))))*((((R45^2/8)*((2*ACOS(1-2*BS45/R45))-SIN((2*ACOS(1-2*BS45/R45)))))/((R45/2)*((2*ACOS(1-2*BS45/R45)))))^(2/3))*SQRT(N45))</f>
        <v/>
      </c>
      <c r="BU45" s="9" t="str">
        <f aca="false">IF(AY45="","",IF(BT45&lt;AY45,BS45,BQ45))</f>
        <v/>
      </c>
      <c r="BV45" s="9" t="str">
        <f aca="false">IF(AY45="","",IF(BT45&lt;AY45,BR45,BS45))</f>
        <v/>
      </c>
      <c r="BW45" s="9" t="str">
        <f aca="false">IF(AY45="","",(BU45+BV45)/2)</f>
        <v/>
      </c>
      <c r="BX45" s="9" t="str">
        <f aca="false">IF(OR(R45="",N45="",BW45="",R45&lt;=0,BW45&lt;=0),"",(1/Inputs!$B$9)*((R45^2/8)*((2*ACOS(1-2*BW45/R45))-SIN((2*ACOS(1-2*BW45/R45)))))*((((R45^2/8)*((2*ACOS(1-2*BW45/R45))-SIN((2*ACOS(1-2*BW45/R45)))))/((R45/2)*((2*ACOS(1-2*BW45/R45)))))^(2/3))*SQRT(N45))</f>
        <v/>
      </c>
      <c r="BY45" s="9" t="str">
        <f aca="false">IF(AY45="","",IF(BX45&lt;AY45,BW45,BU45))</f>
        <v/>
      </c>
      <c r="BZ45" s="9" t="str">
        <f aca="false">IF(AY45="","",IF(BX45&lt;AY45,BV45,BW45))</f>
        <v/>
      </c>
      <c r="CA45" s="9" t="str">
        <f aca="false">IF(AY45="","",(BY45+BZ45)/2)</f>
        <v/>
      </c>
      <c r="CB45" s="9" t="str">
        <f aca="false">IF(OR(R45="",N45="",CA45="",R45&lt;=0,CA45&lt;=0),"",(1/Inputs!$B$9)*((R45^2/8)*((2*ACOS(1-2*CA45/R45))-SIN((2*ACOS(1-2*CA45/R45)))))*((((R45^2/8)*((2*ACOS(1-2*CA45/R45))-SIN((2*ACOS(1-2*CA45/R45)))))/((R45/2)*((2*ACOS(1-2*CA45/R45)))))^(2/3))*SQRT(N45))</f>
        <v/>
      </c>
      <c r="CC45" s="9" t="str">
        <f aca="false">IF(AY45="","",IF(CB45&lt;AY45,CA45,BY45))</f>
        <v/>
      </c>
      <c r="CD45" s="9" t="str">
        <f aca="false">IF(AY45="","",IF(CB45&lt;AY45,BZ45,CA45))</f>
        <v/>
      </c>
      <c r="CE45" s="9" t="str">
        <f aca="false">IF(AY45="","",(CC45+CD45)/2)</f>
        <v/>
      </c>
    </row>
    <row r="46" customFormat="false" ht="15" hidden="false" customHeight="false" outlineLevel="0" collapsed="false">
      <c r="A46" s="9"/>
      <c r="B46" s="9"/>
      <c r="C46" s="14"/>
      <c r="D46" s="14"/>
      <c r="E46" s="14" t="n">
        <f aca="false">SUMIFS(CB_Tributaires!$C:$C,CB_Tributaires!$B:$B,$A46)</f>
        <v>0</v>
      </c>
      <c r="F46" s="14" t="n">
        <f aca="false">IF(D46="",E46,D46)</f>
        <v>0</v>
      </c>
      <c r="G46" s="9"/>
      <c r="H46" s="14"/>
      <c r="I46" s="14" t="str">
        <f aca="false">IF(A46="","",Inputs!$B$13/((IF(AS46="",Inputs!$B$18,AS46)+Inputs!$B$14)^Inputs!$B$15))</f>
        <v/>
      </c>
      <c r="J46" s="14" t="str">
        <f aca="false">IF(A46="","",0.000000278*IF(G46="",Inputs!$B$17,G46)*F46*I46)</f>
        <v/>
      </c>
      <c r="K46" s="14" t="str">
        <f aca="false">IF(A46="","",SUMIFS($L$4:$L$203,$B$4:$B$203,$A46))</f>
        <v/>
      </c>
      <c r="L46" s="14" t="str">
        <f aca="false">IF(A46="","",(J46+K46)*Inputs!$B$16)</f>
        <v/>
      </c>
      <c r="M46" s="14"/>
      <c r="N46" s="14" t="str">
        <f aca="false">IF(A46="","",IF(M46="",Inputs!$B$7,M46))</f>
        <v/>
      </c>
      <c r="O46" s="9" t="str">
        <f aca="false">IF(A46="","",IF(L46/Inputs!$B$10&lt;=AD46,Inputs!$F$5,IF(L46/Inputs!$B$10&gt;AM46,"OVERSIZE",INDEX(Inputs!$F$5:$F$14,MATCH(L46/Inputs!$B$10,AD46:AM46,1)+1))))</f>
        <v/>
      </c>
      <c r="P46" s="9"/>
      <c r="Q46" s="9" t="str">
        <f aca="false">IF(A46="","",IF(P46="",O46,P46))</f>
        <v/>
      </c>
      <c r="R46" s="14" t="str">
        <f aca="false">IF(OR(Q46="",Q46="OVERSIZE"),"",Q46/1000)</f>
        <v/>
      </c>
      <c r="S46" s="14" t="str">
        <f aca="false">IF(R46="","",(1/Inputs!$B$9)*(PI()*R46^2/4)*((R46/4)^(2/3))*SQRT(N46))</f>
        <v/>
      </c>
      <c r="T46" s="14" t="str">
        <f aca="false">IF(OR(S46="",L46=""),"",L46/(S46*Inputs!$B$10))</f>
        <v/>
      </c>
      <c r="U46" s="14" t="str">
        <f aca="false">IF(OR(R46="",L46=""),"",4*L46/(PI()*R46^2))</f>
        <v/>
      </c>
      <c r="V46" s="14"/>
      <c r="W46" s="14" t="str">
        <f aca="false">IF(A46="","",IF(A46=Inputs!$B$6,Inputs!$B$22,IF(B46="","",IFERROR(INDEX($X$4:$X$203,MATCH(B46,$A$4:$A$203,0))+IF(V46="",Inputs!$B$20,V46),""))))</f>
        <v/>
      </c>
      <c r="X46" s="14" t="str">
        <f aca="false">IF(OR(W46="",N46="",C46=""),"",W46+N46*C46)</f>
        <v/>
      </c>
      <c r="Y46" s="14"/>
      <c r="Z46" s="14"/>
      <c r="AA46" s="14" t="str">
        <f aca="false">IF(OR(Y46="",W46=""),"",Y46-W46)</f>
        <v/>
      </c>
      <c r="AB46" s="14" t="str">
        <f aca="false">IF(OR(Z46="",X46=""),"",Z46-X46)</f>
        <v/>
      </c>
      <c r="AC46" s="19" t="str">
        <f aca="false">IF(A46="","",IF(OR(T46&gt;1,AND(AV46&lt;&gt;"",AV46&lt;Inputs!$B$11),AND(AV46&lt;&gt;"",AV46&gt;Inputs!$B$12),AA46&lt;Inputs!$B$19,AB46&lt;Inputs!$B$19,N46&lt;Inputs!$B$7,N46&gt;Inputs!$B$8),"CHECK","OK"))</f>
        <v/>
      </c>
      <c r="AD46" s="9" t="str">
        <f aca="false">IF(A46="","",(1/Inputs!$B$9)*(PI()*(Inputs!$F$5/1000)^2/4)*((Inputs!$F$5/1000/4)^(2/3))*SQRT(N46))</f>
        <v/>
      </c>
      <c r="AE46" s="9" t="str">
        <f aca="false">IF(A46="","",(1/Inputs!$B$9)*(PI()*(Inputs!$F$6/1000)^2/4)*((Inputs!$F$6/1000/4)^(2/3))*SQRT(N46))</f>
        <v/>
      </c>
      <c r="AF46" s="9" t="str">
        <f aca="false">IF(A46="","",(1/Inputs!$B$9)*(PI()*(Inputs!$F$7/1000)^2/4)*((Inputs!$F$7/1000/4)^(2/3))*SQRT(N46))</f>
        <v/>
      </c>
      <c r="AG46" s="9" t="str">
        <f aca="false">IF(A46="","",(1/Inputs!$B$9)*(PI()*(Inputs!$F$8/1000)^2/4)*((Inputs!$F$8/1000/4)^(2/3))*SQRT(N46))</f>
        <v/>
      </c>
      <c r="AH46" s="9" t="str">
        <f aca="false">IF(A46="","",(1/Inputs!$B$9)*(PI()*(Inputs!$F$9/1000)^2/4)*((Inputs!$F$9/1000/4)^(2/3))*SQRT(N46))</f>
        <v/>
      </c>
      <c r="AI46" s="9" t="str">
        <f aca="false">IF(A46="","",(1/Inputs!$B$9)*(PI()*(Inputs!$F$10/1000)^2/4)*((Inputs!$F$10/1000/4)^(2/3))*SQRT(N46))</f>
        <v/>
      </c>
      <c r="AJ46" s="9" t="str">
        <f aca="false">IF(A46="","",(1/Inputs!$B$9)*(PI()*(Inputs!$F$11/1000)^2/4)*((Inputs!$F$11/1000/4)^(2/3))*SQRT(N46))</f>
        <v/>
      </c>
      <c r="AK46" s="9" t="str">
        <f aca="false">IF(A46="","",(1/Inputs!$B$9)*(PI()*(Inputs!$F$12/1000)^2/4)*((Inputs!$F$12/1000/4)^(2/3))*SQRT(N46))</f>
        <v/>
      </c>
      <c r="AL46" s="9" t="str">
        <f aca="false">IF(A46="","",(1/Inputs!$B$9)*(PI()*(Inputs!$F$13/1000)^2/4)*((Inputs!$F$13/1000/4)^(2/3))*SQRT(N46))</f>
        <v/>
      </c>
      <c r="AM46" s="9" t="str">
        <f aca="false">IF(A46="","",(1/Inputs!$B$9)*(PI()*(Inputs!$F$14/1000)^2/4)*((Inputs!$F$14/1000/4)^(2/3))*SQRT(N46))</f>
        <v/>
      </c>
      <c r="AN46" s="9" t="str">
        <f aca="false">IF(A46="","",COUNTIF($B$4:$B$203,$A46))</f>
        <v/>
      </c>
      <c r="AO46" s="9" t="str">
        <f aca="false">IF(A46="","",IF(AN46=0,"START","CONTINUOUS"))</f>
        <v/>
      </c>
      <c r="AP46" s="13" t="str">
        <f aca="false">IF(A46="","",IF(H46="",Inputs!$B$18,H46))</f>
        <v/>
      </c>
      <c r="AQ46" s="13" t="str">
        <f aca="false">IF(A46="","",IFERROR(maxifs($AS$4:$AS$203,$B$4:$B$203,$A46),""))</f>
        <v/>
      </c>
      <c r="AR46" s="13" t="str">
        <f aca="false">IF(A46="","",IF(OR(C46="",Inputs!$B$23=""),"",C46/(Inputs!$B$23*60)))</f>
        <v/>
      </c>
      <c r="AS46" s="13" t="str">
        <f aca="false">IF(A46="","",IF(AN46=0,AP46+AR46,IF(AQ46="",AP46+AR46,AQ46+AR46)))</f>
        <v/>
      </c>
      <c r="AT46" s="13" t="str">
        <f aca="false">IF(A46="","",U46)</f>
        <v/>
      </c>
      <c r="AU46" s="13" t="str">
        <f aca="false">IF(OR(R46="",N46=""),"",(1/Inputs!$B$9)*((R46/4)^(2/3))*SQRT(N46))</f>
        <v/>
      </c>
      <c r="AV46" s="13" t="str">
        <f aca="false">IF(A46="","",IF(AND(AT46="",AU46="",AX46=""),"",IF(OR(UPPER(TRIM(Inputs!$B$24))="MANNING",UPPER(TRIM(Inputs!$B$24))="M"),AU46,IF(OR(UPPER(TRIM(Inputs!$B$24))="PARTIAL",UPPER(TRIM(Inputs!$B$24))="P"),AX46,IF(OR(UPPER(TRIM(Inputs!$B$24))="MAX",UPPER(TRIM(Inputs!$B$24))="X"),MAX(IF(AT46="",0,AT46),IF(AU46="",0,AU46),IF(AX46="",0,AX46)),AT46)))))</f>
        <v/>
      </c>
      <c r="AW46" s="13" t="str">
        <f aca="false">IF(AY46="","",CE46)</f>
        <v/>
      </c>
      <c r="AX46" s="13" t="str">
        <f aca="false">IF(OR(AY46="",AW46="",R46="",R46&lt;=0,AW46&lt;=0),"",AY46/((R46^2/8)*(2*ACOS(1-2*AW46/R46)-SIN(2*ACOS(1-2*AW46/R46)))))</f>
        <v/>
      </c>
      <c r="AY46" s="9" t="str">
        <f aca="false">IF(OR(L46="",AZ46=""),"",MIN(L46,AZ46))</f>
        <v/>
      </c>
      <c r="AZ46" s="9" t="str">
        <f aca="false">IF(OR(L46="",R46="",N46=""),"",IF(OR(R46="",N46="",(0.94*R46)="",R46&lt;=0,(0.94*R46)&lt;=0),"",(1/Inputs!$B$9)*((R46^2/8)*((2*ACOS(1-2*(0.94*R46)/R46))-SIN((2*ACOS(1-2*(0.94*R46)/R46)))))*((((R46^2/8)*((2*ACOS(1-2*(0.94*R46)/R46))-SIN((2*ACOS(1-2*(0.94*R46)/R46)))))/((R46/2)*((2*ACOS(1-2*(0.94*R46)/R46)))))^(2/3))*SQRT(N46)))</f>
        <v/>
      </c>
      <c r="BA46" s="9" t="str">
        <f aca="false">IF(AY46="","",0.001*R46)</f>
        <v/>
      </c>
      <c r="BB46" s="9" t="str">
        <f aca="false">IF(AY46="","",0.94*R46)</f>
        <v/>
      </c>
      <c r="BC46" s="9" t="str">
        <f aca="false">IF(AY46="","",(BA46+BB46)/2)</f>
        <v/>
      </c>
      <c r="BD46" s="9" t="str">
        <f aca="false">IF(OR(R46="",N46="",BC46="",R46&lt;=0,BC46&lt;=0),"",(1/Inputs!$B$9)*((R46^2/8)*((2*ACOS(1-2*BC46/R46))-SIN((2*ACOS(1-2*BC46/R46)))))*((((R46^2/8)*((2*ACOS(1-2*BC46/R46))-SIN((2*ACOS(1-2*BC46/R46)))))/((R46/2)*((2*ACOS(1-2*BC46/R46)))))^(2/3))*SQRT(N46))</f>
        <v/>
      </c>
      <c r="BE46" s="9" t="str">
        <f aca="false">IF(AY46="","",IF(BD46&lt;AY46,BC46,BA46))</f>
        <v/>
      </c>
      <c r="BF46" s="9" t="str">
        <f aca="false">IF(AY46="","",IF(BD46&lt;AY46,BB46,BC46))</f>
        <v/>
      </c>
      <c r="BG46" s="9" t="str">
        <f aca="false">IF(AY46="","",(BE46+BF46)/2)</f>
        <v/>
      </c>
      <c r="BH46" s="9" t="str">
        <f aca="false">IF(OR(R46="",N46="",BG46="",R46&lt;=0,BG46&lt;=0),"",(1/Inputs!$B$9)*((R46^2/8)*((2*ACOS(1-2*BG46/R46))-SIN((2*ACOS(1-2*BG46/R46)))))*((((R46^2/8)*((2*ACOS(1-2*BG46/R46))-SIN((2*ACOS(1-2*BG46/R46)))))/((R46/2)*((2*ACOS(1-2*BG46/R46)))))^(2/3))*SQRT(N46))</f>
        <v/>
      </c>
      <c r="BI46" s="9" t="str">
        <f aca="false">IF(AY46="","",IF(BH46&lt;AY46,BG46,BE46))</f>
        <v/>
      </c>
      <c r="BJ46" s="9" t="str">
        <f aca="false">IF(AY46="","",IF(BH46&lt;AY46,BF46,BG46))</f>
        <v/>
      </c>
      <c r="BK46" s="9" t="str">
        <f aca="false">IF(AY46="","",(BI46+BJ46)/2)</f>
        <v/>
      </c>
      <c r="BL46" s="9" t="str">
        <f aca="false">IF(OR(R46="",N46="",BK46="",R46&lt;=0,BK46&lt;=0),"",(1/Inputs!$B$9)*((R46^2/8)*((2*ACOS(1-2*BK46/R46))-SIN((2*ACOS(1-2*BK46/R46)))))*((((R46^2/8)*((2*ACOS(1-2*BK46/R46))-SIN((2*ACOS(1-2*BK46/R46)))))/((R46/2)*((2*ACOS(1-2*BK46/R46)))))^(2/3))*SQRT(N46))</f>
        <v/>
      </c>
      <c r="BM46" s="9" t="str">
        <f aca="false">IF(AY46="","",IF(BL46&lt;AY46,BK46,BI46))</f>
        <v/>
      </c>
      <c r="BN46" s="9" t="str">
        <f aca="false">IF(AY46="","",IF(BL46&lt;AY46,BJ46,BK46))</f>
        <v/>
      </c>
      <c r="BO46" s="9" t="str">
        <f aca="false">IF(AY46="","",(BM46+BN46)/2)</f>
        <v/>
      </c>
      <c r="BP46" s="9" t="str">
        <f aca="false">IF(OR(R46="",N46="",BO46="",R46&lt;=0,BO46&lt;=0),"",(1/Inputs!$B$9)*((R46^2/8)*((2*ACOS(1-2*BO46/R46))-SIN((2*ACOS(1-2*BO46/R46)))))*((((R46^2/8)*((2*ACOS(1-2*BO46/R46))-SIN((2*ACOS(1-2*BO46/R46)))))/((R46/2)*((2*ACOS(1-2*BO46/R46)))))^(2/3))*SQRT(N46))</f>
        <v/>
      </c>
      <c r="BQ46" s="9" t="str">
        <f aca="false">IF(AY46="","",IF(BP46&lt;AY46,BO46,BM46))</f>
        <v/>
      </c>
      <c r="BR46" s="9" t="str">
        <f aca="false">IF(AY46="","",IF(BP46&lt;AY46,BN46,BO46))</f>
        <v/>
      </c>
      <c r="BS46" s="9" t="str">
        <f aca="false">IF(AY46="","",(BQ46+BR46)/2)</f>
        <v/>
      </c>
      <c r="BT46" s="9" t="str">
        <f aca="false">IF(OR(R46="",N46="",BS46="",R46&lt;=0,BS46&lt;=0),"",(1/Inputs!$B$9)*((R46^2/8)*((2*ACOS(1-2*BS46/R46))-SIN((2*ACOS(1-2*BS46/R46)))))*((((R46^2/8)*((2*ACOS(1-2*BS46/R46))-SIN((2*ACOS(1-2*BS46/R46)))))/((R46/2)*((2*ACOS(1-2*BS46/R46)))))^(2/3))*SQRT(N46))</f>
        <v/>
      </c>
      <c r="BU46" s="9" t="str">
        <f aca="false">IF(AY46="","",IF(BT46&lt;AY46,BS46,BQ46))</f>
        <v/>
      </c>
      <c r="BV46" s="9" t="str">
        <f aca="false">IF(AY46="","",IF(BT46&lt;AY46,BR46,BS46))</f>
        <v/>
      </c>
      <c r="BW46" s="9" t="str">
        <f aca="false">IF(AY46="","",(BU46+BV46)/2)</f>
        <v/>
      </c>
      <c r="BX46" s="9" t="str">
        <f aca="false">IF(OR(R46="",N46="",BW46="",R46&lt;=0,BW46&lt;=0),"",(1/Inputs!$B$9)*((R46^2/8)*((2*ACOS(1-2*BW46/R46))-SIN((2*ACOS(1-2*BW46/R46)))))*((((R46^2/8)*((2*ACOS(1-2*BW46/R46))-SIN((2*ACOS(1-2*BW46/R46)))))/((R46/2)*((2*ACOS(1-2*BW46/R46)))))^(2/3))*SQRT(N46))</f>
        <v/>
      </c>
      <c r="BY46" s="9" t="str">
        <f aca="false">IF(AY46="","",IF(BX46&lt;AY46,BW46,BU46))</f>
        <v/>
      </c>
      <c r="BZ46" s="9" t="str">
        <f aca="false">IF(AY46="","",IF(BX46&lt;AY46,BV46,BW46))</f>
        <v/>
      </c>
      <c r="CA46" s="9" t="str">
        <f aca="false">IF(AY46="","",(BY46+BZ46)/2)</f>
        <v/>
      </c>
      <c r="CB46" s="9" t="str">
        <f aca="false">IF(OR(R46="",N46="",CA46="",R46&lt;=0,CA46&lt;=0),"",(1/Inputs!$B$9)*((R46^2/8)*((2*ACOS(1-2*CA46/R46))-SIN((2*ACOS(1-2*CA46/R46)))))*((((R46^2/8)*((2*ACOS(1-2*CA46/R46))-SIN((2*ACOS(1-2*CA46/R46)))))/((R46/2)*((2*ACOS(1-2*CA46/R46)))))^(2/3))*SQRT(N46))</f>
        <v/>
      </c>
      <c r="CC46" s="9" t="str">
        <f aca="false">IF(AY46="","",IF(CB46&lt;AY46,CA46,BY46))</f>
        <v/>
      </c>
      <c r="CD46" s="9" t="str">
        <f aca="false">IF(AY46="","",IF(CB46&lt;AY46,BZ46,CA46))</f>
        <v/>
      </c>
      <c r="CE46" s="9" t="str">
        <f aca="false">IF(AY46="","",(CC46+CD46)/2)</f>
        <v/>
      </c>
    </row>
    <row r="47" customFormat="false" ht="15" hidden="false" customHeight="false" outlineLevel="0" collapsed="false">
      <c r="A47" s="9"/>
      <c r="B47" s="9"/>
      <c r="C47" s="14"/>
      <c r="D47" s="14"/>
      <c r="E47" s="14" t="n">
        <f aca="false">SUMIFS(CB_Tributaires!$C:$C,CB_Tributaires!$B:$B,$A47)</f>
        <v>0</v>
      </c>
      <c r="F47" s="14" t="n">
        <f aca="false">IF(D47="",E47,D47)</f>
        <v>0</v>
      </c>
      <c r="G47" s="9"/>
      <c r="H47" s="14"/>
      <c r="I47" s="14" t="str">
        <f aca="false">IF(A47="","",Inputs!$B$13/((IF(AS47="",Inputs!$B$18,AS47)+Inputs!$B$14)^Inputs!$B$15))</f>
        <v/>
      </c>
      <c r="J47" s="14" t="str">
        <f aca="false">IF(A47="","",0.000000278*IF(G47="",Inputs!$B$17,G47)*F47*I47)</f>
        <v/>
      </c>
      <c r="K47" s="14" t="str">
        <f aca="false">IF(A47="","",SUMIFS($L$4:$L$203,$B$4:$B$203,$A47))</f>
        <v/>
      </c>
      <c r="L47" s="14" t="str">
        <f aca="false">IF(A47="","",(J47+K47)*Inputs!$B$16)</f>
        <v/>
      </c>
      <c r="M47" s="14"/>
      <c r="N47" s="14" t="str">
        <f aca="false">IF(A47="","",IF(M47="",Inputs!$B$7,M47))</f>
        <v/>
      </c>
      <c r="O47" s="9" t="str">
        <f aca="false">IF(A47="","",IF(L47/Inputs!$B$10&lt;=AD47,Inputs!$F$5,IF(L47/Inputs!$B$10&gt;AM47,"OVERSIZE",INDEX(Inputs!$F$5:$F$14,MATCH(L47/Inputs!$B$10,AD47:AM47,1)+1))))</f>
        <v/>
      </c>
      <c r="P47" s="9"/>
      <c r="Q47" s="9" t="str">
        <f aca="false">IF(A47="","",IF(P47="",O47,P47))</f>
        <v/>
      </c>
      <c r="R47" s="14" t="str">
        <f aca="false">IF(OR(Q47="",Q47="OVERSIZE"),"",Q47/1000)</f>
        <v/>
      </c>
      <c r="S47" s="14" t="str">
        <f aca="false">IF(R47="","",(1/Inputs!$B$9)*(PI()*R47^2/4)*((R47/4)^(2/3))*SQRT(N47))</f>
        <v/>
      </c>
      <c r="T47" s="14" t="str">
        <f aca="false">IF(OR(S47="",L47=""),"",L47/(S47*Inputs!$B$10))</f>
        <v/>
      </c>
      <c r="U47" s="14" t="str">
        <f aca="false">IF(OR(R47="",L47=""),"",4*L47/(PI()*R47^2))</f>
        <v/>
      </c>
      <c r="V47" s="14"/>
      <c r="W47" s="14" t="str">
        <f aca="false">IF(A47="","",IF(A47=Inputs!$B$6,Inputs!$B$22,IF(B47="","",IFERROR(INDEX($X$4:$X$203,MATCH(B47,$A$4:$A$203,0))+IF(V47="",Inputs!$B$20,V47),""))))</f>
        <v/>
      </c>
      <c r="X47" s="14" t="str">
        <f aca="false">IF(OR(W47="",N47="",C47=""),"",W47+N47*C47)</f>
        <v/>
      </c>
      <c r="Y47" s="14"/>
      <c r="Z47" s="14"/>
      <c r="AA47" s="14" t="str">
        <f aca="false">IF(OR(Y47="",W47=""),"",Y47-W47)</f>
        <v/>
      </c>
      <c r="AB47" s="14" t="str">
        <f aca="false">IF(OR(Z47="",X47=""),"",Z47-X47)</f>
        <v/>
      </c>
      <c r="AC47" s="19" t="str">
        <f aca="false">IF(A47="","",IF(OR(T47&gt;1,AND(AV47&lt;&gt;"",AV47&lt;Inputs!$B$11),AND(AV47&lt;&gt;"",AV47&gt;Inputs!$B$12),AA47&lt;Inputs!$B$19,AB47&lt;Inputs!$B$19,N47&lt;Inputs!$B$7,N47&gt;Inputs!$B$8),"CHECK","OK"))</f>
        <v/>
      </c>
      <c r="AD47" s="9" t="str">
        <f aca="false">IF(A47="","",(1/Inputs!$B$9)*(PI()*(Inputs!$F$5/1000)^2/4)*((Inputs!$F$5/1000/4)^(2/3))*SQRT(N47))</f>
        <v/>
      </c>
      <c r="AE47" s="9" t="str">
        <f aca="false">IF(A47="","",(1/Inputs!$B$9)*(PI()*(Inputs!$F$6/1000)^2/4)*((Inputs!$F$6/1000/4)^(2/3))*SQRT(N47))</f>
        <v/>
      </c>
      <c r="AF47" s="9" t="str">
        <f aca="false">IF(A47="","",(1/Inputs!$B$9)*(PI()*(Inputs!$F$7/1000)^2/4)*((Inputs!$F$7/1000/4)^(2/3))*SQRT(N47))</f>
        <v/>
      </c>
      <c r="AG47" s="9" t="str">
        <f aca="false">IF(A47="","",(1/Inputs!$B$9)*(PI()*(Inputs!$F$8/1000)^2/4)*((Inputs!$F$8/1000/4)^(2/3))*SQRT(N47))</f>
        <v/>
      </c>
      <c r="AH47" s="9" t="str">
        <f aca="false">IF(A47="","",(1/Inputs!$B$9)*(PI()*(Inputs!$F$9/1000)^2/4)*((Inputs!$F$9/1000/4)^(2/3))*SQRT(N47))</f>
        <v/>
      </c>
      <c r="AI47" s="9" t="str">
        <f aca="false">IF(A47="","",(1/Inputs!$B$9)*(PI()*(Inputs!$F$10/1000)^2/4)*((Inputs!$F$10/1000/4)^(2/3))*SQRT(N47))</f>
        <v/>
      </c>
      <c r="AJ47" s="9" t="str">
        <f aca="false">IF(A47="","",(1/Inputs!$B$9)*(PI()*(Inputs!$F$11/1000)^2/4)*((Inputs!$F$11/1000/4)^(2/3))*SQRT(N47))</f>
        <v/>
      </c>
      <c r="AK47" s="9" t="str">
        <f aca="false">IF(A47="","",(1/Inputs!$B$9)*(PI()*(Inputs!$F$12/1000)^2/4)*((Inputs!$F$12/1000/4)^(2/3))*SQRT(N47))</f>
        <v/>
      </c>
      <c r="AL47" s="9" t="str">
        <f aca="false">IF(A47="","",(1/Inputs!$B$9)*(PI()*(Inputs!$F$13/1000)^2/4)*((Inputs!$F$13/1000/4)^(2/3))*SQRT(N47))</f>
        <v/>
      </c>
      <c r="AM47" s="9" t="str">
        <f aca="false">IF(A47="","",(1/Inputs!$B$9)*(PI()*(Inputs!$F$14/1000)^2/4)*((Inputs!$F$14/1000/4)^(2/3))*SQRT(N47))</f>
        <v/>
      </c>
      <c r="AN47" s="9" t="str">
        <f aca="false">IF(A47="","",COUNTIF($B$4:$B$203,$A47))</f>
        <v/>
      </c>
      <c r="AO47" s="9" t="str">
        <f aca="false">IF(A47="","",IF(AN47=0,"START","CONTINUOUS"))</f>
        <v/>
      </c>
      <c r="AP47" s="13" t="str">
        <f aca="false">IF(A47="","",IF(H47="",Inputs!$B$18,H47))</f>
        <v/>
      </c>
      <c r="AQ47" s="13" t="str">
        <f aca="false">IF(A47="","",IFERROR(maxifs($AS$4:$AS$203,$B$4:$B$203,$A47),""))</f>
        <v/>
      </c>
      <c r="AR47" s="13" t="str">
        <f aca="false">IF(A47="","",IF(OR(C47="",Inputs!$B$23=""),"",C47/(Inputs!$B$23*60)))</f>
        <v/>
      </c>
      <c r="AS47" s="13" t="str">
        <f aca="false">IF(A47="","",IF(AN47=0,AP47+AR47,IF(AQ47="",AP47+AR47,AQ47+AR47)))</f>
        <v/>
      </c>
      <c r="AT47" s="13" t="str">
        <f aca="false">IF(A47="","",U47)</f>
        <v/>
      </c>
      <c r="AU47" s="13" t="str">
        <f aca="false">IF(OR(R47="",N47=""),"",(1/Inputs!$B$9)*((R47/4)^(2/3))*SQRT(N47))</f>
        <v/>
      </c>
      <c r="AV47" s="13" t="str">
        <f aca="false">IF(A47="","",IF(AND(AT47="",AU47="",AX47=""),"",IF(OR(UPPER(TRIM(Inputs!$B$24))="MANNING",UPPER(TRIM(Inputs!$B$24))="M"),AU47,IF(OR(UPPER(TRIM(Inputs!$B$24))="PARTIAL",UPPER(TRIM(Inputs!$B$24))="P"),AX47,IF(OR(UPPER(TRIM(Inputs!$B$24))="MAX",UPPER(TRIM(Inputs!$B$24))="X"),MAX(IF(AT47="",0,AT47),IF(AU47="",0,AU47),IF(AX47="",0,AX47)),AT47)))))</f>
        <v/>
      </c>
      <c r="AW47" s="13" t="str">
        <f aca="false">IF(AY47="","",CE47)</f>
        <v/>
      </c>
      <c r="AX47" s="13" t="str">
        <f aca="false">IF(OR(AY47="",AW47="",R47="",R47&lt;=0,AW47&lt;=0),"",AY47/((R47^2/8)*(2*ACOS(1-2*AW47/R47)-SIN(2*ACOS(1-2*AW47/R47)))))</f>
        <v/>
      </c>
      <c r="AY47" s="9" t="str">
        <f aca="false">IF(OR(L47="",AZ47=""),"",MIN(L47,AZ47))</f>
        <v/>
      </c>
      <c r="AZ47" s="9" t="str">
        <f aca="false">IF(OR(L47="",R47="",N47=""),"",IF(OR(R47="",N47="",(0.94*R47)="",R47&lt;=0,(0.94*R47)&lt;=0),"",(1/Inputs!$B$9)*((R47^2/8)*((2*ACOS(1-2*(0.94*R47)/R47))-SIN((2*ACOS(1-2*(0.94*R47)/R47)))))*((((R47^2/8)*((2*ACOS(1-2*(0.94*R47)/R47))-SIN((2*ACOS(1-2*(0.94*R47)/R47)))))/((R47/2)*((2*ACOS(1-2*(0.94*R47)/R47)))))^(2/3))*SQRT(N47)))</f>
        <v/>
      </c>
      <c r="BA47" s="9" t="str">
        <f aca="false">IF(AY47="","",0.001*R47)</f>
        <v/>
      </c>
      <c r="BB47" s="9" t="str">
        <f aca="false">IF(AY47="","",0.94*R47)</f>
        <v/>
      </c>
      <c r="BC47" s="9" t="str">
        <f aca="false">IF(AY47="","",(BA47+BB47)/2)</f>
        <v/>
      </c>
      <c r="BD47" s="9" t="str">
        <f aca="false">IF(OR(R47="",N47="",BC47="",R47&lt;=0,BC47&lt;=0),"",(1/Inputs!$B$9)*((R47^2/8)*((2*ACOS(1-2*BC47/R47))-SIN((2*ACOS(1-2*BC47/R47)))))*((((R47^2/8)*((2*ACOS(1-2*BC47/R47))-SIN((2*ACOS(1-2*BC47/R47)))))/((R47/2)*((2*ACOS(1-2*BC47/R47)))))^(2/3))*SQRT(N47))</f>
        <v/>
      </c>
      <c r="BE47" s="9" t="str">
        <f aca="false">IF(AY47="","",IF(BD47&lt;AY47,BC47,BA47))</f>
        <v/>
      </c>
      <c r="BF47" s="9" t="str">
        <f aca="false">IF(AY47="","",IF(BD47&lt;AY47,BB47,BC47))</f>
        <v/>
      </c>
      <c r="BG47" s="9" t="str">
        <f aca="false">IF(AY47="","",(BE47+BF47)/2)</f>
        <v/>
      </c>
      <c r="BH47" s="9" t="str">
        <f aca="false">IF(OR(R47="",N47="",BG47="",R47&lt;=0,BG47&lt;=0),"",(1/Inputs!$B$9)*((R47^2/8)*((2*ACOS(1-2*BG47/R47))-SIN((2*ACOS(1-2*BG47/R47)))))*((((R47^2/8)*((2*ACOS(1-2*BG47/R47))-SIN((2*ACOS(1-2*BG47/R47)))))/((R47/2)*((2*ACOS(1-2*BG47/R47)))))^(2/3))*SQRT(N47))</f>
        <v/>
      </c>
      <c r="BI47" s="9" t="str">
        <f aca="false">IF(AY47="","",IF(BH47&lt;AY47,BG47,BE47))</f>
        <v/>
      </c>
      <c r="BJ47" s="9" t="str">
        <f aca="false">IF(AY47="","",IF(BH47&lt;AY47,BF47,BG47))</f>
        <v/>
      </c>
      <c r="BK47" s="9" t="str">
        <f aca="false">IF(AY47="","",(BI47+BJ47)/2)</f>
        <v/>
      </c>
      <c r="BL47" s="9" t="str">
        <f aca="false">IF(OR(R47="",N47="",BK47="",R47&lt;=0,BK47&lt;=0),"",(1/Inputs!$B$9)*((R47^2/8)*((2*ACOS(1-2*BK47/R47))-SIN((2*ACOS(1-2*BK47/R47)))))*((((R47^2/8)*((2*ACOS(1-2*BK47/R47))-SIN((2*ACOS(1-2*BK47/R47)))))/((R47/2)*((2*ACOS(1-2*BK47/R47)))))^(2/3))*SQRT(N47))</f>
        <v/>
      </c>
      <c r="BM47" s="9" t="str">
        <f aca="false">IF(AY47="","",IF(BL47&lt;AY47,BK47,BI47))</f>
        <v/>
      </c>
      <c r="BN47" s="9" t="str">
        <f aca="false">IF(AY47="","",IF(BL47&lt;AY47,BJ47,BK47))</f>
        <v/>
      </c>
      <c r="BO47" s="9" t="str">
        <f aca="false">IF(AY47="","",(BM47+BN47)/2)</f>
        <v/>
      </c>
      <c r="BP47" s="9" t="str">
        <f aca="false">IF(OR(R47="",N47="",BO47="",R47&lt;=0,BO47&lt;=0),"",(1/Inputs!$B$9)*((R47^2/8)*((2*ACOS(1-2*BO47/R47))-SIN((2*ACOS(1-2*BO47/R47)))))*((((R47^2/8)*((2*ACOS(1-2*BO47/R47))-SIN((2*ACOS(1-2*BO47/R47)))))/((R47/2)*((2*ACOS(1-2*BO47/R47)))))^(2/3))*SQRT(N47))</f>
        <v/>
      </c>
      <c r="BQ47" s="9" t="str">
        <f aca="false">IF(AY47="","",IF(BP47&lt;AY47,BO47,BM47))</f>
        <v/>
      </c>
      <c r="BR47" s="9" t="str">
        <f aca="false">IF(AY47="","",IF(BP47&lt;AY47,BN47,BO47))</f>
        <v/>
      </c>
      <c r="BS47" s="9" t="str">
        <f aca="false">IF(AY47="","",(BQ47+BR47)/2)</f>
        <v/>
      </c>
      <c r="BT47" s="9" t="str">
        <f aca="false">IF(OR(R47="",N47="",BS47="",R47&lt;=0,BS47&lt;=0),"",(1/Inputs!$B$9)*((R47^2/8)*((2*ACOS(1-2*BS47/R47))-SIN((2*ACOS(1-2*BS47/R47)))))*((((R47^2/8)*((2*ACOS(1-2*BS47/R47))-SIN((2*ACOS(1-2*BS47/R47)))))/((R47/2)*((2*ACOS(1-2*BS47/R47)))))^(2/3))*SQRT(N47))</f>
        <v/>
      </c>
      <c r="BU47" s="9" t="str">
        <f aca="false">IF(AY47="","",IF(BT47&lt;AY47,BS47,BQ47))</f>
        <v/>
      </c>
      <c r="BV47" s="9" t="str">
        <f aca="false">IF(AY47="","",IF(BT47&lt;AY47,BR47,BS47))</f>
        <v/>
      </c>
      <c r="BW47" s="9" t="str">
        <f aca="false">IF(AY47="","",(BU47+BV47)/2)</f>
        <v/>
      </c>
      <c r="BX47" s="9" t="str">
        <f aca="false">IF(OR(R47="",N47="",BW47="",R47&lt;=0,BW47&lt;=0),"",(1/Inputs!$B$9)*((R47^2/8)*((2*ACOS(1-2*BW47/R47))-SIN((2*ACOS(1-2*BW47/R47)))))*((((R47^2/8)*((2*ACOS(1-2*BW47/R47))-SIN((2*ACOS(1-2*BW47/R47)))))/((R47/2)*((2*ACOS(1-2*BW47/R47)))))^(2/3))*SQRT(N47))</f>
        <v/>
      </c>
      <c r="BY47" s="9" t="str">
        <f aca="false">IF(AY47="","",IF(BX47&lt;AY47,BW47,BU47))</f>
        <v/>
      </c>
      <c r="BZ47" s="9" t="str">
        <f aca="false">IF(AY47="","",IF(BX47&lt;AY47,BV47,BW47))</f>
        <v/>
      </c>
      <c r="CA47" s="9" t="str">
        <f aca="false">IF(AY47="","",(BY47+BZ47)/2)</f>
        <v/>
      </c>
      <c r="CB47" s="9" t="str">
        <f aca="false">IF(OR(R47="",N47="",CA47="",R47&lt;=0,CA47&lt;=0),"",(1/Inputs!$B$9)*((R47^2/8)*((2*ACOS(1-2*CA47/R47))-SIN((2*ACOS(1-2*CA47/R47)))))*((((R47^2/8)*((2*ACOS(1-2*CA47/R47))-SIN((2*ACOS(1-2*CA47/R47)))))/((R47/2)*((2*ACOS(1-2*CA47/R47)))))^(2/3))*SQRT(N47))</f>
        <v/>
      </c>
      <c r="CC47" s="9" t="str">
        <f aca="false">IF(AY47="","",IF(CB47&lt;AY47,CA47,BY47))</f>
        <v/>
      </c>
      <c r="CD47" s="9" t="str">
        <f aca="false">IF(AY47="","",IF(CB47&lt;AY47,BZ47,CA47))</f>
        <v/>
      </c>
      <c r="CE47" s="9" t="str">
        <f aca="false">IF(AY47="","",(CC47+CD47)/2)</f>
        <v/>
      </c>
    </row>
    <row r="48" customFormat="false" ht="15" hidden="false" customHeight="false" outlineLevel="0" collapsed="false">
      <c r="A48" s="9"/>
      <c r="B48" s="9"/>
      <c r="C48" s="14"/>
      <c r="D48" s="14"/>
      <c r="E48" s="14" t="n">
        <f aca="false">SUMIFS(CB_Tributaires!$C:$C,CB_Tributaires!$B:$B,$A48)</f>
        <v>0</v>
      </c>
      <c r="F48" s="14" t="n">
        <f aca="false">IF(D48="",E48,D48)</f>
        <v>0</v>
      </c>
      <c r="G48" s="9"/>
      <c r="H48" s="14"/>
      <c r="I48" s="14" t="str">
        <f aca="false">IF(A48="","",Inputs!$B$13/((IF(AS48="",Inputs!$B$18,AS48)+Inputs!$B$14)^Inputs!$B$15))</f>
        <v/>
      </c>
      <c r="J48" s="14" t="str">
        <f aca="false">IF(A48="","",0.000000278*IF(G48="",Inputs!$B$17,G48)*F48*I48)</f>
        <v/>
      </c>
      <c r="K48" s="14" t="str">
        <f aca="false">IF(A48="","",SUMIFS($L$4:$L$203,$B$4:$B$203,$A48))</f>
        <v/>
      </c>
      <c r="L48" s="14" t="str">
        <f aca="false">IF(A48="","",(J48+K48)*Inputs!$B$16)</f>
        <v/>
      </c>
      <c r="M48" s="14"/>
      <c r="N48" s="14" t="str">
        <f aca="false">IF(A48="","",IF(M48="",Inputs!$B$7,M48))</f>
        <v/>
      </c>
      <c r="O48" s="9" t="str">
        <f aca="false">IF(A48="","",IF(L48/Inputs!$B$10&lt;=AD48,Inputs!$F$5,IF(L48/Inputs!$B$10&gt;AM48,"OVERSIZE",INDEX(Inputs!$F$5:$F$14,MATCH(L48/Inputs!$B$10,AD48:AM48,1)+1))))</f>
        <v/>
      </c>
      <c r="P48" s="9"/>
      <c r="Q48" s="9" t="str">
        <f aca="false">IF(A48="","",IF(P48="",O48,P48))</f>
        <v/>
      </c>
      <c r="R48" s="14" t="str">
        <f aca="false">IF(OR(Q48="",Q48="OVERSIZE"),"",Q48/1000)</f>
        <v/>
      </c>
      <c r="S48" s="14" t="str">
        <f aca="false">IF(R48="","",(1/Inputs!$B$9)*(PI()*R48^2/4)*((R48/4)^(2/3))*SQRT(N48))</f>
        <v/>
      </c>
      <c r="T48" s="14" t="str">
        <f aca="false">IF(OR(S48="",L48=""),"",L48/(S48*Inputs!$B$10))</f>
        <v/>
      </c>
      <c r="U48" s="14" t="str">
        <f aca="false">IF(OR(R48="",L48=""),"",4*L48/(PI()*R48^2))</f>
        <v/>
      </c>
      <c r="V48" s="14"/>
      <c r="W48" s="14" t="str">
        <f aca="false">IF(A48="","",IF(A48=Inputs!$B$6,Inputs!$B$22,IF(B48="","",IFERROR(INDEX($X$4:$X$203,MATCH(B48,$A$4:$A$203,0))+IF(V48="",Inputs!$B$20,V48),""))))</f>
        <v/>
      </c>
      <c r="X48" s="14" t="str">
        <f aca="false">IF(OR(W48="",N48="",C48=""),"",W48+N48*C48)</f>
        <v/>
      </c>
      <c r="Y48" s="14"/>
      <c r="Z48" s="14"/>
      <c r="AA48" s="14" t="str">
        <f aca="false">IF(OR(Y48="",W48=""),"",Y48-W48)</f>
        <v/>
      </c>
      <c r="AB48" s="14" t="str">
        <f aca="false">IF(OR(Z48="",X48=""),"",Z48-X48)</f>
        <v/>
      </c>
      <c r="AC48" s="19" t="str">
        <f aca="false">IF(A48="","",IF(OR(T48&gt;1,AND(AV48&lt;&gt;"",AV48&lt;Inputs!$B$11),AND(AV48&lt;&gt;"",AV48&gt;Inputs!$B$12),AA48&lt;Inputs!$B$19,AB48&lt;Inputs!$B$19,N48&lt;Inputs!$B$7,N48&gt;Inputs!$B$8),"CHECK","OK"))</f>
        <v/>
      </c>
      <c r="AD48" s="9" t="str">
        <f aca="false">IF(A48="","",(1/Inputs!$B$9)*(PI()*(Inputs!$F$5/1000)^2/4)*((Inputs!$F$5/1000/4)^(2/3))*SQRT(N48))</f>
        <v/>
      </c>
      <c r="AE48" s="9" t="str">
        <f aca="false">IF(A48="","",(1/Inputs!$B$9)*(PI()*(Inputs!$F$6/1000)^2/4)*((Inputs!$F$6/1000/4)^(2/3))*SQRT(N48))</f>
        <v/>
      </c>
      <c r="AF48" s="9" t="str">
        <f aca="false">IF(A48="","",(1/Inputs!$B$9)*(PI()*(Inputs!$F$7/1000)^2/4)*((Inputs!$F$7/1000/4)^(2/3))*SQRT(N48))</f>
        <v/>
      </c>
      <c r="AG48" s="9" t="str">
        <f aca="false">IF(A48="","",(1/Inputs!$B$9)*(PI()*(Inputs!$F$8/1000)^2/4)*((Inputs!$F$8/1000/4)^(2/3))*SQRT(N48))</f>
        <v/>
      </c>
      <c r="AH48" s="9" t="str">
        <f aca="false">IF(A48="","",(1/Inputs!$B$9)*(PI()*(Inputs!$F$9/1000)^2/4)*((Inputs!$F$9/1000/4)^(2/3))*SQRT(N48))</f>
        <v/>
      </c>
      <c r="AI48" s="9" t="str">
        <f aca="false">IF(A48="","",(1/Inputs!$B$9)*(PI()*(Inputs!$F$10/1000)^2/4)*((Inputs!$F$10/1000/4)^(2/3))*SQRT(N48))</f>
        <v/>
      </c>
      <c r="AJ48" s="9" t="str">
        <f aca="false">IF(A48="","",(1/Inputs!$B$9)*(PI()*(Inputs!$F$11/1000)^2/4)*((Inputs!$F$11/1000/4)^(2/3))*SQRT(N48))</f>
        <v/>
      </c>
      <c r="AK48" s="9" t="str">
        <f aca="false">IF(A48="","",(1/Inputs!$B$9)*(PI()*(Inputs!$F$12/1000)^2/4)*((Inputs!$F$12/1000/4)^(2/3))*SQRT(N48))</f>
        <v/>
      </c>
      <c r="AL48" s="9" t="str">
        <f aca="false">IF(A48="","",(1/Inputs!$B$9)*(PI()*(Inputs!$F$13/1000)^2/4)*((Inputs!$F$13/1000/4)^(2/3))*SQRT(N48))</f>
        <v/>
      </c>
      <c r="AM48" s="9" t="str">
        <f aca="false">IF(A48="","",(1/Inputs!$B$9)*(PI()*(Inputs!$F$14/1000)^2/4)*((Inputs!$F$14/1000/4)^(2/3))*SQRT(N48))</f>
        <v/>
      </c>
      <c r="AN48" s="9" t="str">
        <f aca="false">IF(A48="","",COUNTIF($B$4:$B$203,$A48))</f>
        <v/>
      </c>
      <c r="AO48" s="9" t="str">
        <f aca="false">IF(A48="","",IF(AN48=0,"START","CONTINUOUS"))</f>
        <v/>
      </c>
      <c r="AP48" s="13" t="str">
        <f aca="false">IF(A48="","",IF(H48="",Inputs!$B$18,H48))</f>
        <v/>
      </c>
      <c r="AQ48" s="13" t="str">
        <f aca="false">IF(A48="","",IFERROR(maxifs($AS$4:$AS$203,$B$4:$B$203,$A48),""))</f>
        <v/>
      </c>
      <c r="AR48" s="13" t="str">
        <f aca="false">IF(A48="","",IF(OR(C48="",Inputs!$B$23=""),"",C48/(Inputs!$B$23*60)))</f>
        <v/>
      </c>
      <c r="AS48" s="13" t="str">
        <f aca="false">IF(A48="","",IF(AN48=0,AP48+AR48,IF(AQ48="",AP48+AR48,AQ48+AR48)))</f>
        <v/>
      </c>
      <c r="AT48" s="13" t="str">
        <f aca="false">IF(A48="","",U48)</f>
        <v/>
      </c>
      <c r="AU48" s="13" t="str">
        <f aca="false">IF(OR(R48="",N48=""),"",(1/Inputs!$B$9)*((R48/4)^(2/3))*SQRT(N48))</f>
        <v/>
      </c>
      <c r="AV48" s="13" t="str">
        <f aca="false">IF(A48="","",IF(AND(AT48="",AU48="",AX48=""),"",IF(OR(UPPER(TRIM(Inputs!$B$24))="MANNING",UPPER(TRIM(Inputs!$B$24))="M"),AU48,IF(OR(UPPER(TRIM(Inputs!$B$24))="PARTIAL",UPPER(TRIM(Inputs!$B$24))="P"),AX48,IF(OR(UPPER(TRIM(Inputs!$B$24))="MAX",UPPER(TRIM(Inputs!$B$24))="X"),MAX(IF(AT48="",0,AT48),IF(AU48="",0,AU48),IF(AX48="",0,AX48)),AT48)))))</f>
        <v/>
      </c>
      <c r="AW48" s="13" t="str">
        <f aca="false">IF(AY48="","",CE48)</f>
        <v/>
      </c>
      <c r="AX48" s="13" t="str">
        <f aca="false">IF(OR(AY48="",AW48="",R48="",R48&lt;=0,AW48&lt;=0),"",AY48/((R48^2/8)*(2*ACOS(1-2*AW48/R48)-SIN(2*ACOS(1-2*AW48/R48)))))</f>
        <v/>
      </c>
      <c r="AY48" s="9" t="str">
        <f aca="false">IF(OR(L48="",AZ48=""),"",MIN(L48,AZ48))</f>
        <v/>
      </c>
      <c r="AZ48" s="9" t="str">
        <f aca="false">IF(OR(L48="",R48="",N48=""),"",IF(OR(R48="",N48="",(0.94*R48)="",R48&lt;=0,(0.94*R48)&lt;=0),"",(1/Inputs!$B$9)*((R48^2/8)*((2*ACOS(1-2*(0.94*R48)/R48))-SIN((2*ACOS(1-2*(0.94*R48)/R48)))))*((((R48^2/8)*((2*ACOS(1-2*(0.94*R48)/R48))-SIN((2*ACOS(1-2*(0.94*R48)/R48)))))/((R48/2)*((2*ACOS(1-2*(0.94*R48)/R48)))))^(2/3))*SQRT(N48)))</f>
        <v/>
      </c>
      <c r="BA48" s="9" t="str">
        <f aca="false">IF(AY48="","",0.001*R48)</f>
        <v/>
      </c>
      <c r="BB48" s="9" t="str">
        <f aca="false">IF(AY48="","",0.94*R48)</f>
        <v/>
      </c>
      <c r="BC48" s="9" t="str">
        <f aca="false">IF(AY48="","",(BA48+BB48)/2)</f>
        <v/>
      </c>
      <c r="BD48" s="9" t="str">
        <f aca="false">IF(OR(R48="",N48="",BC48="",R48&lt;=0,BC48&lt;=0),"",(1/Inputs!$B$9)*((R48^2/8)*((2*ACOS(1-2*BC48/R48))-SIN((2*ACOS(1-2*BC48/R48)))))*((((R48^2/8)*((2*ACOS(1-2*BC48/R48))-SIN((2*ACOS(1-2*BC48/R48)))))/((R48/2)*((2*ACOS(1-2*BC48/R48)))))^(2/3))*SQRT(N48))</f>
        <v/>
      </c>
      <c r="BE48" s="9" t="str">
        <f aca="false">IF(AY48="","",IF(BD48&lt;AY48,BC48,BA48))</f>
        <v/>
      </c>
      <c r="BF48" s="9" t="str">
        <f aca="false">IF(AY48="","",IF(BD48&lt;AY48,BB48,BC48))</f>
        <v/>
      </c>
      <c r="BG48" s="9" t="str">
        <f aca="false">IF(AY48="","",(BE48+BF48)/2)</f>
        <v/>
      </c>
      <c r="BH48" s="9" t="str">
        <f aca="false">IF(OR(R48="",N48="",BG48="",R48&lt;=0,BG48&lt;=0),"",(1/Inputs!$B$9)*((R48^2/8)*((2*ACOS(1-2*BG48/R48))-SIN((2*ACOS(1-2*BG48/R48)))))*((((R48^2/8)*((2*ACOS(1-2*BG48/R48))-SIN((2*ACOS(1-2*BG48/R48)))))/((R48/2)*((2*ACOS(1-2*BG48/R48)))))^(2/3))*SQRT(N48))</f>
        <v/>
      </c>
      <c r="BI48" s="9" t="str">
        <f aca="false">IF(AY48="","",IF(BH48&lt;AY48,BG48,BE48))</f>
        <v/>
      </c>
      <c r="BJ48" s="9" t="str">
        <f aca="false">IF(AY48="","",IF(BH48&lt;AY48,BF48,BG48))</f>
        <v/>
      </c>
      <c r="BK48" s="9" t="str">
        <f aca="false">IF(AY48="","",(BI48+BJ48)/2)</f>
        <v/>
      </c>
      <c r="BL48" s="9" t="str">
        <f aca="false">IF(OR(R48="",N48="",BK48="",R48&lt;=0,BK48&lt;=0),"",(1/Inputs!$B$9)*((R48^2/8)*((2*ACOS(1-2*BK48/R48))-SIN((2*ACOS(1-2*BK48/R48)))))*((((R48^2/8)*((2*ACOS(1-2*BK48/R48))-SIN((2*ACOS(1-2*BK48/R48)))))/((R48/2)*((2*ACOS(1-2*BK48/R48)))))^(2/3))*SQRT(N48))</f>
        <v/>
      </c>
      <c r="BM48" s="9" t="str">
        <f aca="false">IF(AY48="","",IF(BL48&lt;AY48,BK48,BI48))</f>
        <v/>
      </c>
      <c r="BN48" s="9" t="str">
        <f aca="false">IF(AY48="","",IF(BL48&lt;AY48,BJ48,BK48))</f>
        <v/>
      </c>
      <c r="BO48" s="9" t="str">
        <f aca="false">IF(AY48="","",(BM48+BN48)/2)</f>
        <v/>
      </c>
      <c r="BP48" s="9" t="str">
        <f aca="false">IF(OR(R48="",N48="",BO48="",R48&lt;=0,BO48&lt;=0),"",(1/Inputs!$B$9)*((R48^2/8)*((2*ACOS(1-2*BO48/R48))-SIN((2*ACOS(1-2*BO48/R48)))))*((((R48^2/8)*((2*ACOS(1-2*BO48/R48))-SIN((2*ACOS(1-2*BO48/R48)))))/((R48/2)*((2*ACOS(1-2*BO48/R48)))))^(2/3))*SQRT(N48))</f>
        <v/>
      </c>
      <c r="BQ48" s="9" t="str">
        <f aca="false">IF(AY48="","",IF(BP48&lt;AY48,BO48,BM48))</f>
        <v/>
      </c>
      <c r="BR48" s="9" t="str">
        <f aca="false">IF(AY48="","",IF(BP48&lt;AY48,BN48,BO48))</f>
        <v/>
      </c>
      <c r="BS48" s="9" t="str">
        <f aca="false">IF(AY48="","",(BQ48+BR48)/2)</f>
        <v/>
      </c>
      <c r="BT48" s="9" t="str">
        <f aca="false">IF(OR(R48="",N48="",BS48="",R48&lt;=0,BS48&lt;=0),"",(1/Inputs!$B$9)*((R48^2/8)*((2*ACOS(1-2*BS48/R48))-SIN((2*ACOS(1-2*BS48/R48)))))*((((R48^2/8)*((2*ACOS(1-2*BS48/R48))-SIN((2*ACOS(1-2*BS48/R48)))))/((R48/2)*((2*ACOS(1-2*BS48/R48)))))^(2/3))*SQRT(N48))</f>
        <v/>
      </c>
      <c r="BU48" s="9" t="str">
        <f aca="false">IF(AY48="","",IF(BT48&lt;AY48,BS48,BQ48))</f>
        <v/>
      </c>
      <c r="BV48" s="9" t="str">
        <f aca="false">IF(AY48="","",IF(BT48&lt;AY48,BR48,BS48))</f>
        <v/>
      </c>
      <c r="BW48" s="9" t="str">
        <f aca="false">IF(AY48="","",(BU48+BV48)/2)</f>
        <v/>
      </c>
      <c r="BX48" s="9" t="str">
        <f aca="false">IF(OR(R48="",N48="",BW48="",R48&lt;=0,BW48&lt;=0),"",(1/Inputs!$B$9)*((R48^2/8)*((2*ACOS(1-2*BW48/R48))-SIN((2*ACOS(1-2*BW48/R48)))))*((((R48^2/8)*((2*ACOS(1-2*BW48/R48))-SIN((2*ACOS(1-2*BW48/R48)))))/((R48/2)*((2*ACOS(1-2*BW48/R48)))))^(2/3))*SQRT(N48))</f>
        <v/>
      </c>
      <c r="BY48" s="9" t="str">
        <f aca="false">IF(AY48="","",IF(BX48&lt;AY48,BW48,BU48))</f>
        <v/>
      </c>
      <c r="BZ48" s="9" t="str">
        <f aca="false">IF(AY48="","",IF(BX48&lt;AY48,BV48,BW48))</f>
        <v/>
      </c>
      <c r="CA48" s="9" t="str">
        <f aca="false">IF(AY48="","",(BY48+BZ48)/2)</f>
        <v/>
      </c>
      <c r="CB48" s="9" t="str">
        <f aca="false">IF(OR(R48="",N48="",CA48="",R48&lt;=0,CA48&lt;=0),"",(1/Inputs!$B$9)*((R48^2/8)*((2*ACOS(1-2*CA48/R48))-SIN((2*ACOS(1-2*CA48/R48)))))*((((R48^2/8)*((2*ACOS(1-2*CA48/R48))-SIN((2*ACOS(1-2*CA48/R48)))))/((R48/2)*((2*ACOS(1-2*CA48/R48)))))^(2/3))*SQRT(N48))</f>
        <v/>
      </c>
      <c r="CC48" s="9" t="str">
        <f aca="false">IF(AY48="","",IF(CB48&lt;AY48,CA48,BY48))</f>
        <v/>
      </c>
      <c r="CD48" s="9" t="str">
        <f aca="false">IF(AY48="","",IF(CB48&lt;AY48,BZ48,CA48))</f>
        <v/>
      </c>
      <c r="CE48" s="9" t="str">
        <f aca="false">IF(AY48="","",(CC48+CD48)/2)</f>
        <v/>
      </c>
    </row>
    <row r="49" customFormat="false" ht="15" hidden="false" customHeight="false" outlineLevel="0" collapsed="false">
      <c r="A49" s="9"/>
      <c r="B49" s="9"/>
      <c r="C49" s="14"/>
      <c r="D49" s="14"/>
      <c r="E49" s="14" t="n">
        <f aca="false">SUMIFS(CB_Tributaires!$C:$C,CB_Tributaires!$B:$B,$A49)</f>
        <v>0</v>
      </c>
      <c r="F49" s="14" t="n">
        <f aca="false">IF(D49="",E49,D49)</f>
        <v>0</v>
      </c>
      <c r="G49" s="9"/>
      <c r="H49" s="14"/>
      <c r="I49" s="14" t="str">
        <f aca="false">IF(A49="","",Inputs!$B$13/((IF(AS49="",Inputs!$B$18,AS49)+Inputs!$B$14)^Inputs!$B$15))</f>
        <v/>
      </c>
      <c r="J49" s="14" t="str">
        <f aca="false">IF(A49="","",0.000000278*IF(G49="",Inputs!$B$17,G49)*F49*I49)</f>
        <v/>
      </c>
      <c r="K49" s="14" t="str">
        <f aca="false">IF(A49="","",SUMIFS($L$4:$L$203,$B$4:$B$203,$A49))</f>
        <v/>
      </c>
      <c r="L49" s="14" t="str">
        <f aca="false">IF(A49="","",(J49+K49)*Inputs!$B$16)</f>
        <v/>
      </c>
      <c r="M49" s="14"/>
      <c r="N49" s="14" t="str">
        <f aca="false">IF(A49="","",IF(M49="",Inputs!$B$7,M49))</f>
        <v/>
      </c>
      <c r="O49" s="9" t="str">
        <f aca="false">IF(A49="","",IF(L49/Inputs!$B$10&lt;=AD49,Inputs!$F$5,IF(L49/Inputs!$B$10&gt;AM49,"OVERSIZE",INDEX(Inputs!$F$5:$F$14,MATCH(L49/Inputs!$B$10,AD49:AM49,1)+1))))</f>
        <v/>
      </c>
      <c r="P49" s="9"/>
      <c r="Q49" s="9" t="str">
        <f aca="false">IF(A49="","",IF(P49="",O49,P49))</f>
        <v/>
      </c>
      <c r="R49" s="14" t="str">
        <f aca="false">IF(OR(Q49="",Q49="OVERSIZE"),"",Q49/1000)</f>
        <v/>
      </c>
      <c r="S49" s="14" t="str">
        <f aca="false">IF(R49="","",(1/Inputs!$B$9)*(PI()*R49^2/4)*((R49/4)^(2/3))*SQRT(N49))</f>
        <v/>
      </c>
      <c r="T49" s="14" t="str">
        <f aca="false">IF(OR(S49="",L49=""),"",L49/(S49*Inputs!$B$10))</f>
        <v/>
      </c>
      <c r="U49" s="14" t="str">
        <f aca="false">IF(OR(R49="",L49=""),"",4*L49/(PI()*R49^2))</f>
        <v/>
      </c>
      <c r="V49" s="14"/>
      <c r="W49" s="14" t="str">
        <f aca="false">IF(A49="","",IF(A49=Inputs!$B$6,Inputs!$B$22,IF(B49="","",IFERROR(INDEX($X$4:$X$203,MATCH(B49,$A$4:$A$203,0))+IF(V49="",Inputs!$B$20,V49),""))))</f>
        <v/>
      </c>
      <c r="X49" s="14" t="str">
        <f aca="false">IF(OR(W49="",N49="",C49=""),"",W49+N49*C49)</f>
        <v/>
      </c>
      <c r="Y49" s="14"/>
      <c r="Z49" s="14"/>
      <c r="AA49" s="14" t="str">
        <f aca="false">IF(OR(Y49="",W49=""),"",Y49-W49)</f>
        <v/>
      </c>
      <c r="AB49" s="14" t="str">
        <f aca="false">IF(OR(Z49="",X49=""),"",Z49-X49)</f>
        <v/>
      </c>
      <c r="AC49" s="19" t="str">
        <f aca="false">IF(A49="","",IF(OR(T49&gt;1,AND(AV49&lt;&gt;"",AV49&lt;Inputs!$B$11),AND(AV49&lt;&gt;"",AV49&gt;Inputs!$B$12),AA49&lt;Inputs!$B$19,AB49&lt;Inputs!$B$19,N49&lt;Inputs!$B$7,N49&gt;Inputs!$B$8),"CHECK","OK"))</f>
        <v/>
      </c>
      <c r="AD49" s="9" t="str">
        <f aca="false">IF(A49="","",(1/Inputs!$B$9)*(PI()*(Inputs!$F$5/1000)^2/4)*((Inputs!$F$5/1000/4)^(2/3))*SQRT(N49))</f>
        <v/>
      </c>
      <c r="AE49" s="9" t="str">
        <f aca="false">IF(A49="","",(1/Inputs!$B$9)*(PI()*(Inputs!$F$6/1000)^2/4)*((Inputs!$F$6/1000/4)^(2/3))*SQRT(N49))</f>
        <v/>
      </c>
      <c r="AF49" s="9" t="str">
        <f aca="false">IF(A49="","",(1/Inputs!$B$9)*(PI()*(Inputs!$F$7/1000)^2/4)*((Inputs!$F$7/1000/4)^(2/3))*SQRT(N49))</f>
        <v/>
      </c>
      <c r="AG49" s="9" t="str">
        <f aca="false">IF(A49="","",(1/Inputs!$B$9)*(PI()*(Inputs!$F$8/1000)^2/4)*((Inputs!$F$8/1000/4)^(2/3))*SQRT(N49))</f>
        <v/>
      </c>
      <c r="AH49" s="9" t="str">
        <f aca="false">IF(A49="","",(1/Inputs!$B$9)*(PI()*(Inputs!$F$9/1000)^2/4)*((Inputs!$F$9/1000/4)^(2/3))*SQRT(N49))</f>
        <v/>
      </c>
      <c r="AI49" s="9" t="str">
        <f aca="false">IF(A49="","",(1/Inputs!$B$9)*(PI()*(Inputs!$F$10/1000)^2/4)*((Inputs!$F$10/1000/4)^(2/3))*SQRT(N49))</f>
        <v/>
      </c>
      <c r="AJ49" s="9" t="str">
        <f aca="false">IF(A49="","",(1/Inputs!$B$9)*(PI()*(Inputs!$F$11/1000)^2/4)*((Inputs!$F$11/1000/4)^(2/3))*SQRT(N49))</f>
        <v/>
      </c>
      <c r="AK49" s="9" t="str">
        <f aca="false">IF(A49="","",(1/Inputs!$B$9)*(PI()*(Inputs!$F$12/1000)^2/4)*((Inputs!$F$12/1000/4)^(2/3))*SQRT(N49))</f>
        <v/>
      </c>
      <c r="AL49" s="9" t="str">
        <f aca="false">IF(A49="","",(1/Inputs!$B$9)*(PI()*(Inputs!$F$13/1000)^2/4)*((Inputs!$F$13/1000/4)^(2/3))*SQRT(N49))</f>
        <v/>
      </c>
      <c r="AM49" s="9" t="str">
        <f aca="false">IF(A49="","",(1/Inputs!$B$9)*(PI()*(Inputs!$F$14/1000)^2/4)*((Inputs!$F$14/1000/4)^(2/3))*SQRT(N49))</f>
        <v/>
      </c>
      <c r="AN49" s="9" t="str">
        <f aca="false">IF(A49="","",COUNTIF($B$4:$B$203,$A49))</f>
        <v/>
      </c>
      <c r="AO49" s="9" t="str">
        <f aca="false">IF(A49="","",IF(AN49=0,"START","CONTINUOUS"))</f>
        <v/>
      </c>
      <c r="AP49" s="13" t="str">
        <f aca="false">IF(A49="","",IF(H49="",Inputs!$B$18,H49))</f>
        <v/>
      </c>
      <c r="AQ49" s="13" t="str">
        <f aca="false">IF(A49="","",IFERROR(maxifs($AS$4:$AS$203,$B$4:$B$203,$A49),""))</f>
        <v/>
      </c>
      <c r="AR49" s="13" t="str">
        <f aca="false">IF(A49="","",IF(OR(C49="",Inputs!$B$23=""),"",C49/(Inputs!$B$23*60)))</f>
        <v/>
      </c>
      <c r="AS49" s="13" t="str">
        <f aca="false">IF(A49="","",IF(AN49=0,AP49+AR49,IF(AQ49="",AP49+AR49,AQ49+AR49)))</f>
        <v/>
      </c>
      <c r="AT49" s="13" t="str">
        <f aca="false">IF(A49="","",U49)</f>
        <v/>
      </c>
      <c r="AU49" s="13" t="str">
        <f aca="false">IF(OR(R49="",N49=""),"",(1/Inputs!$B$9)*((R49/4)^(2/3))*SQRT(N49))</f>
        <v/>
      </c>
      <c r="AV49" s="13" t="str">
        <f aca="false">IF(A49="","",IF(AND(AT49="",AU49="",AX49=""),"",IF(OR(UPPER(TRIM(Inputs!$B$24))="MANNING",UPPER(TRIM(Inputs!$B$24))="M"),AU49,IF(OR(UPPER(TRIM(Inputs!$B$24))="PARTIAL",UPPER(TRIM(Inputs!$B$24))="P"),AX49,IF(OR(UPPER(TRIM(Inputs!$B$24))="MAX",UPPER(TRIM(Inputs!$B$24))="X"),MAX(IF(AT49="",0,AT49),IF(AU49="",0,AU49),IF(AX49="",0,AX49)),AT49)))))</f>
        <v/>
      </c>
      <c r="AW49" s="13" t="str">
        <f aca="false">IF(AY49="","",CE49)</f>
        <v/>
      </c>
      <c r="AX49" s="13" t="str">
        <f aca="false">IF(OR(AY49="",AW49="",R49="",R49&lt;=0,AW49&lt;=0),"",AY49/((R49^2/8)*(2*ACOS(1-2*AW49/R49)-SIN(2*ACOS(1-2*AW49/R49)))))</f>
        <v/>
      </c>
      <c r="AY49" s="9" t="str">
        <f aca="false">IF(OR(L49="",AZ49=""),"",MIN(L49,AZ49))</f>
        <v/>
      </c>
      <c r="AZ49" s="9" t="str">
        <f aca="false">IF(OR(L49="",R49="",N49=""),"",IF(OR(R49="",N49="",(0.94*R49)="",R49&lt;=0,(0.94*R49)&lt;=0),"",(1/Inputs!$B$9)*((R49^2/8)*((2*ACOS(1-2*(0.94*R49)/R49))-SIN((2*ACOS(1-2*(0.94*R49)/R49)))))*((((R49^2/8)*((2*ACOS(1-2*(0.94*R49)/R49))-SIN((2*ACOS(1-2*(0.94*R49)/R49)))))/((R49/2)*((2*ACOS(1-2*(0.94*R49)/R49)))))^(2/3))*SQRT(N49)))</f>
        <v/>
      </c>
      <c r="BA49" s="9" t="str">
        <f aca="false">IF(AY49="","",0.001*R49)</f>
        <v/>
      </c>
      <c r="BB49" s="9" t="str">
        <f aca="false">IF(AY49="","",0.94*R49)</f>
        <v/>
      </c>
      <c r="BC49" s="9" t="str">
        <f aca="false">IF(AY49="","",(BA49+BB49)/2)</f>
        <v/>
      </c>
      <c r="BD49" s="9" t="str">
        <f aca="false">IF(OR(R49="",N49="",BC49="",R49&lt;=0,BC49&lt;=0),"",(1/Inputs!$B$9)*((R49^2/8)*((2*ACOS(1-2*BC49/R49))-SIN((2*ACOS(1-2*BC49/R49)))))*((((R49^2/8)*((2*ACOS(1-2*BC49/R49))-SIN((2*ACOS(1-2*BC49/R49)))))/((R49/2)*((2*ACOS(1-2*BC49/R49)))))^(2/3))*SQRT(N49))</f>
        <v/>
      </c>
      <c r="BE49" s="9" t="str">
        <f aca="false">IF(AY49="","",IF(BD49&lt;AY49,BC49,BA49))</f>
        <v/>
      </c>
      <c r="BF49" s="9" t="str">
        <f aca="false">IF(AY49="","",IF(BD49&lt;AY49,BB49,BC49))</f>
        <v/>
      </c>
      <c r="BG49" s="9" t="str">
        <f aca="false">IF(AY49="","",(BE49+BF49)/2)</f>
        <v/>
      </c>
      <c r="BH49" s="9" t="str">
        <f aca="false">IF(OR(R49="",N49="",BG49="",R49&lt;=0,BG49&lt;=0),"",(1/Inputs!$B$9)*((R49^2/8)*((2*ACOS(1-2*BG49/R49))-SIN((2*ACOS(1-2*BG49/R49)))))*((((R49^2/8)*((2*ACOS(1-2*BG49/R49))-SIN((2*ACOS(1-2*BG49/R49)))))/((R49/2)*((2*ACOS(1-2*BG49/R49)))))^(2/3))*SQRT(N49))</f>
        <v/>
      </c>
      <c r="BI49" s="9" t="str">
        <f aca="false">IF(AY49="","",IF(BH49&lt;AY49,BG49,BE49))</f>
        <v/>
      </c>
      <c r="BJ49" s="9" t="str">
        <f aca="false">IF(AY49="","",IF(BH49&lt;AY49,BF49,BG49))</f>
        <v/>
      </c>
      <c r="BK49" s="9" t="str">
        <f aca="false">IF(AY49="","",(BI49+BJ49)/2)</f>
        <v/>
      </c>
      <c r="BL49" s="9" t="str">
        <f aca="false">IF(OR(R49="",N49="",BK49="",R49&lt;=0,BK49&lt;=0),"",(1/Inputs!$B$9)*((R49^2/8)*((2*ACOS(1-2*BK49/R49))-SIN((2*ACOS(1-2*BK49/R49)))))*((((R49^2/8)*((2*ACOS(1-2*BK49/R49))-SIN((2*ACOS(1-2*BK49/R49)))))/((R49/2)*((2*ACOS(1-2*BK49/R49)))))^(2/3))*SQRT(N49))</f>
        <v/>
      </c>
      <c r="BM49" s="9" t="str">
        <f aca="false">IF(AY49="","",IF(BL49&lt;AY49,BK49,BI49))</f>
        <v/>
      </c>
      <c r="BN49" s="9" t="str">
        <f aca="false">IF(AY49="","",IF(BL49&lt;AY49,BJ49,BK49))</f>
        <v/>
      </c>
      <c r="BO49" s="9" t="str">
        <f aca="false">IF(AY49="","",(BM49+BN49)/2)</f>
        <v/>
      </c>
      <c r="BP49" s="9" t="str">
        <f aca="false">IF(OR(R49="",N49="",BO49="",R49&lt;=0,BO49&lt;=0),"",(1/Inputs!$B$9)*((R49^2/8)*((2*ACOS(1-2*BO49/R49))-SIN((2*ACOS(1-2*BO49/R49)))))*((((R49^2/8)*((2*ACOS(1-2*BO49/R49))-SIN((2*ACOS(1-2*BO49/R49)))))/((R49/2)*((2*ACOS(1-2*BO49/R49)))))^(2/3))*SQRT(N49))</f>
        <v/>
      </c>
      <c r="BQ49" s="9" t="str">
        <f aca="false">IF(AY49="","",IF(BP49&lt;AY49,BO49,BM49))</f>
        <v/>
      </c>
      <c r="BR49" s="9" t="str">
        <f aca="false">IF(AY49="","",IF(BP49&lt;AY49,BN49,BO49))</f>
        <v/>
      </c>
      <c r="BS49" s="9" t="str">
        <f aca="false">IF(AY49="","",(BQ49+BR49)/2)</f>
        <v/>
      </c>
      <c r="BT49" s="9" t="str">
        <f aca="false">IF(OR(R49="",N49="",BS49="",R49&lt;=0,BS49&lt;=0),"",(1/Inputs!$B$9)*((R49^2/8)*((2*ACOS(1-2*BS49/R49))-SIN((2*ACOS(1-2*BS49/R49)))))*((((R49^2/8)*((2*ACOS(1-2*BS49/R49))-SIN((2*ACOS(1-2*BS49/R49)))))/((R49/2)*((2*ACOS(1-2*BS49/R49)))))^(2/3))*SQRT(N49))</f>
        <v/>
      </c>
      <c r="BU49" s="9" t="str">
        <f aca="false">IF(AY49="","",IF(BT49&lt;AY49,BS49,BQ49))</f>
        <v/>
      </c>
      <c r="BV49" s="9" t="str">
        <f aca="false">IF(AY49="","",IF(BT49&lt;AY49,BR49,BS49))</f>
        <v/>
      </c>
      <c r="BW49" s="9" t="str">
        <f aca="false">IF(AY49="","",(BU49+BV49)/2)</f>
        <v/>
      </c>
      <c r="BX49" s="9" t="str">
        <f aca="false">IF(OR(R49="",N49="",BW49="",R49&lt;=0,BW49&lt;=0),"",(1/Inputs!$B$9)*((R49^2/8)*((2*ACOS(1-2*BW49/R49))-SIN((2*ACOS(1-2*BW49/R49)))))*((((R49^2/8)*((2*ACOS(1-2*BW49/R49))-SIN((2*ACOS(1-2*BW49/R49)))))/((R49/2)*((2*ACOS(1-2*BW49/R49)))))^(2/3))*SQRT(N49))</f>
        <v/>
      </c>
      <c r="BY49" s="9" t="str">
        <f aca="false">IF(AY49="","",IF(BX49&lt;AY49,BW49,BU49))</f>
        <v/>
      </c>
      <c r="BZ49" s="9" t="str">
        <f aca="false">IF(AY49="","",IF(BX49&lt;AY49,BV49,BW49))</f>
        <v/>
      </c>
      <c r="CA49" s="9" t="str">
        <f aca="false">IF(AY49="","",(BY49+BZ49)/2)</f>
        <v/>
      </c>
      <c r="CB49" s="9" t="str">
        <f aca="false">IF(OR(R49="",N49="",CA49="",R49&lt;=0,CA49&lt;=0),"",(1/Inputs!$B$9)*((R49^2/8)*((2*ACOS(1-2*CA49/R49))-SIN((2*ACOS(1-2*CA49/R49)))))*((((R49^2/8)*((2*ACOS(1-2*CA49/R49))-SIN((2*ACOS(1-2*CA49/R49)))))/((R49/2)*((2*ACOS(1-2*CA49/R49)))))^(2/3))*SQRT(N49))</f>
        <v/>
      </c>
      <c r="CC49" s="9" t="str">
        <f aca="false">IF(AY49="","",IF(CB49&lt;AY49,CA49,BY49))</f>
        <v/>
      </c>
      <c r="CD49" s="9" t="str">
        <f aca="false">IF(AY49="","",IF(CB49&lt;AY49,BZ49,CA49))</f>
        <v/>
      </c>
      <c r="CE49" s="9" t="str">
        <f aca="false">IF(AY49="","",(CC49+CD49)/2)</f>
        <v/>
      </c>
    </row>
    <row r="50" customFormat="false" ht="15" hidden="false" customHeight="false" outlineLevel="0" collapsed="false">
      <c r="A50" s="9"/>
      <c r="B50" s="9"/>
      <c r="C50" s="14"/>
      <c r="D50" s="14"/>
      <c r="E50" s="14" t="n">
        <f aca="false">SUMIFS(CB_Tributaires!$C:$C,CB_Tributaires!$B:$B,$A50)</f>
        <v>0</v>
      </c>
      <c r="F50" s="14" t="n">
        <f aca="false">IF(D50="",E50,D50)</f>
        <v>0</v>
      </c>
      <c r="G50" s="9"/>
      <c r="H50" s="14"/>
      <c r="I50" s="14" t="str">
        <f aca="false">IF(A50="","",Inputs!$B$13/((IF(AS50="",Inputs!$B$18,AS50)+Inputs!$B$14)^Inputs!$B$15))</f>
        <v/>
      </c>
      <c r="J50" s="14" t="str">
        <f aca="false">IF(A50="","",0.000000278*IF(G50="",Inputs!$B$17,G50)*F50*I50)</f>
        <v/>
      </c>
      <c r="K50" s="14" t="str">
        <f aca="false">IF(A50="","",SUMIFS($L$4:$L$203,$B$4:$B$203,$A50))</f>
        <v/>
      </c>
      <c r="L50" s="14" t="str">
        <f aca="false">IF(A50="","",(J50+K50)*Inputs!$B$16)</f>
        <v/>
      </c>
      <c r="M50" s="14"/>
      <c r="N50" s="14" t="str">
        <f aca="false">IF(A50="","",IF(M50="",Inputs!$B$7,M50))</f>
        <v/>
      </c>
      <c r="O50" s="9" t="str">
        <f aca="false">IF(A50="","",IF(L50/Inputs!$B$10&lt;=AD50,Inputs!$F$5,IF(L50/Inputs!$B$10&gt;AM50,"OVERSIZE",INDEX(Inputs!$F$5:$F$14,MATCH(L50/Inputs!$B$10,AD50:AM50,1)+1))))</f>
        <v/>
      </c>
      <c r="P50" s="9"/>
      <c r="Q50" s="9" t="str">
        <f aca="false">IF(A50="","",IF(P50="",O50,P50))</f>
        <v/>
      </c>
      <c r="R50" s="14" t="str">
        <f aca="false">IF(OR(Q50="",Q50="OVERSIZE"),"",Q50/1000)</f>
        <v/>
      </c>
      <c r="S50" s="14" t="str">
        <f aca="false">IF(R50="","",(1/Inputs!$B$9)*(PI()*R50^2/4)*((R50/4)^(2/3))*SQRT(N50))</f>
        <v/>
      </c>
      <c r="T50" s="14" t="str">
        <f aca="false">IF(OR(S50="",L50=""),"",L50/(S50*Inputs!$B$10))</f>
        <v/>
      </c>
      <c r="U50" s="14" t="str">
        <f aca="false">IF(OR(R50="",L50=""),"",4*L50/(PI()*R50^2))</f>
        <v/>
      </c>
      <c r="V50" s="14"/>
      <c r="W50" s="14" t="str">
        <f aca="false">IF(A50="","",IF(A50=Inputs!$B$6,Inputs!$B$22,IF(B50="","",IFERROR(INDEX($X$4:$X$203,MATCH(B50,$A$4:$A$203,0))+IF(V50="",Inputs!$B$20,V50),""))))</f>
        <v/>
      </c>
      <c r="X50" s="14" t="str">
        <f aca="false">IF(OR(W50="",N50="",C50=""),"",W50+N50*C50)</f>
        <v/>
      </c>
      <c r="Y50" s="14"/>
      <c r="Z50" s="14"/>
      <c r="AA50" s="14" t="str">
        <f aca="false">IF(OR(Y50="",W50=""),"",Y50-W50)</f>
        <v/>
      </c>
      <c r="AB50" s="14" t="str">
        <f aca="false">IF(OR(Z50="",X50=""),"",Z50-X50)</f>
        <v/>
      </c>
      <c r="AC50" s="19" t="str">
        <f aca="false">IF(A50="","",IF(OR(T50&gt;1,AND(AV50&lt;&gt;"",AV50&lt;Inputs!$B$11),AND(AV50&lt;&gt;"",AV50&gt;Inputs!$B$12),AA50&lt;Inputs!$B$19,AB50&lt;Inputs!$B$19,N50&lt;Inputs!$B$7,N50&gt;Inputs!$B$8),"CHECK","OK"))</f>
        <v/>
      </c>
      <c r="AD50" s="9" t="str">
        <f aca="false">IF(A50="","",(1/Inputs!$B$9)*(PI()*(Inputs!$F$5/1000)^2/4)*((Inputs!$F$5/1000/4)^(2/3))*SQRT(N50))</f>
        <v/>
      </c>
      <c r="AE50" s="9" t="str">
        <f aca="false">IF(A50="","",(1/Inputs!$B$9)*(PI()*(Inputs!$F$6/1000)^2/4)*((Inputs!$F$6/1000/4)^(2/3))*SQRT(N50))</f>
        <v/>
      </c>
      <c r="AF50" s="9" t="str">
        <f aca="false">IF(A50="","",(1/Inputs!$B$9)*(PI()*(Inputs!$F$7/1000)^2/4)*((Inputs!$F$7/1000/4)^(2/3))*SQRT(N50))</f>
        <v/>
      </c>
      <c r="AG50" s="9" t="str">
        <f aca="false">IF(A50="","",(1/Inputs!$B$9)*(PI()*(Inputs!$F$8/1000)^2/4)*((Inputs!$F$8/1000/4)^(2/3))*SQRT(N50))</f>
        <v/>
      </c>
      <c r="AH50" s="9" t="str">
        <f aca="false">IF(A50="","",(1/Inputs!$B$9)*(PI()*(Inputs!$F$9/1000)^2/4)*((Inputs!$F$9/1000/4)^(2/3))*SQRT(N50))</f>
        <v/>
      </c>
      <c r="AI50" s="9" t="str">
        <f aca="false">IF(A50="","",(1/Inputs!$B$9)*(PI()*(Inputs!$F$10/1000)^2/4)*((Inputs!$F$10/1000/4)^(2/3))*SQRT(N50))</f>
        <v/>
      </c>
      <c r="AJ50" s="9" t="str">
        <f aca="false">IF(A50="","",(1/Inputs!$B$9)*(PI()*(Inputs!$F$11/1000)^2/4)*((Inputs!$F$11/1000/4)^(2/3))*SQRT(N50))</f>
        <v/>
      </c>
      <c r="AK50" s="9" t="str">
        <f aca="false">IF(A50="","",(1/Inputs!$B$9)*(PI()*(Inputs!$F$12/1000)^2/4)*((Inputs!$F$12/1000/4)^(2/3))*SQRT(N50))</f>
        <v/>
      </c>
      <c r="AL50" s="9" t="str">
        <f aca="false">IF(A50="","",(1/Inputs!$B$9)*(PI()*(Inputs!$F$13/1000)^2/4)*((Inputs!$F$13/1000/4)^(2/3))*SQRT(N50))</f>
        <v/>
      </c>
      <c r="AM50" s="9" t="str">
        <f aca="false">IF(A50="","",(1/Inputs!$B$9)*(PI()*(Inputs!$F$14/1000)^2/4)*((Inputs!$F$14/1000/4)^(2/3))*SQRT(N50))</f>
        <v/>
      </c>
      <c r="AN50" s="9" t="str">
        <f aca="false">IF(A50="","",COUNTIF($B$4:$B$203,$A50))</f>
        <v/>
      </c>
      <c r="AO50" s="9" t="str">
        <f aca="false">IF(A50="","",IF(AN50=0,"START","CONTINUOUS"))</f>
        <v/>
      </c>
      <c r="AP50" s="13" t="str">
        <f aca="false">IF(A50="","",IF(H50="",Inputs!$B$18,H50))</f>
        <v/>
      </c>
      <c r="AQ50" s="13" t="str">
        <f aca="false">IF(A50="","",IFERROR(maxifs($AS$4:$AS$203,$B$4:$B$203,$A50),""))</f>
        <v/>
      </c>
      <c r="AR50" s="13" t="str">
        <f aca="false">IF(A50="","",IF(OR(C50="",Inputs!$B$23=""),"",C50/(Inputs!$B$23*60)))</f>
        <v/>
      </c>
      <c r="AS50" s="13" t="str">
        <f aca="false">IF(A50="","",IF(AN50=0,AP50+AR50,IF(AQ50="",AP50+AR50,AQ50+AR50)))</f>
        <v/>
      </c>
      <c r="AT50" s="13" t="str">
        <f aca="false">IF(A50="","",U50)</f>
        <v/>
      </c>
      <c r="AU50" s="13" t="str">
        <f aca="false">IF(OR(R50="",N50=""),"",(1/Inputs!$B$9)*((R50/4)^(2/3))*SQRT(N50))</f>
        <v/>
      </c>
      <c r="AV50" s="13" t="str">
        <f aca="false">IF(A50="","",IF(AND(AT50="",AU50="",AX50=""),"",IF(OR(UPPER(TRIM(Inputs!$B$24))="MANNING",UPPER(TRIM(Inputs!$B$24))="M"),AU50,IF(OR(UPPER(TRIM(Inputs!$B$24))="PARTIAL",UPPER(TRIM(Inputs!$B$24))="P"),AX50,IF(OR(UPPER(TRIM(Inputs!$B$24))="MAX",UPPER(TRIM(Inputs!$B$24))="X"),MAX(IF(AT50="",0,AT50),IF(AU50="",0,AU50),IF(AX50="",0,AX50)),AT50)))))</f>
        <v/>
      </c>
      <c r="AW50" s="13" t="str">
        <f aca="false">IF(AY50="","",CE50)</f>
        <v/>
      </c>
      <c r="AX50" s="13" t="str">
        <f aca="false">IF(OR(AY50="",AW50="",R50="",R50&lt;=0,AW50&lt;=0),"",AY50/((R50^2/8)*(2*ACOS(1-2*AW50/R50)-SIN(2*ACOS(1-2*AW50/R50)))))</f>
        <v/>
      </c>
      <c r="AY50" s="9" t="str">
        <f aca="false">IF(OR(L50="",AZ50=""),"",MIN(L50,AZ50))</f>
        <v/>
      </c>
      <c r="AZ50" s="9" t="str">
        <f aca="false">IF(OR(L50="",R50="",N50=""),"",IF(OR(R50="",N50="",(0.94*R50)="",R50&lt;=0,(0.94*R50)&lt;=0),"",(1/Inputs!$B$9)*((R50^2/8)*((2*ACOS(1-2*(0.94*R50)/R50))-SIN((2*ACOS(1-2*(0.94*R50)/R50)))))*((((R50^2/8)*((2*ACOS(1-2*(0.94*R50)/R50))-SIN((2*ACOS(1-2*(0.94*R50)/R50)))))/((R50/2)*((2*ACOS(1-2*(0.94*R50)/R50)))))^(2/3))*SQRT(N50)))</f>
        <v/>
      </c>
      <c r="BA50" s="9" t="str">
        <f aca="false">IF(AY50="","",0.001*R50)</f>
        <v/>
      </c>
      <c r="BB50" s="9" t="str">
        <f aca="false">IF(AY50="","",0.94*R50)</f>
        <v/>
      </c>
      <c r="BC50" s="9" t="str">
        <f aca="false">IF(AY50="","",(BA50+BB50)/2)</f>
        <v/>
      </c>
      <c r="BD50" s="9" t="str">
        <f aca="false">IF(OR(R50="",N50="",BC50="",R50&lt;=0,BC50&lt;=0),"",(1/Inputs!$B$9)*((R50^2/8)*((2*ACOS(1-2*BC50/R50))-SIN((2*ACOS(1-2*BC50/R50)))))*((((R50^2/8)*((2*ACOS(1-2*BC50/R50))-SIN((2*ACOS(1-2*BC50/R50)))))/((R50/2)*((2*ACOS(1-2*BC50/R50)))))^(2/3))*SQRT(N50))</f>
        <v/>
      </c>
      <c r="BE50" s="9" t="str">
        <f aca="false">IF(AY50="","",IF(BD50&lt;AY50,BC50,BA50))</f>
        <v/>
      </c>
      <c r="BF50" s="9" t="str">
        <f aca="false">IF(AY50="","",IF(BD50&lt;AY50,BB50,BC50))</f>
        <v/>
      </c>
      <c r="BG50" s="9" t="str">
        <f aca="false">IF(AY50="","",(BE50+BF50)/2)</f>
        <v/>
      </c>
      <c r="BH50" s="9" t="str">
        <f aca="false">IF(OR(R50="",N50="",BG50="",R50&lt;=0,BG50&lt;=0),"",(1/Inputs!$B$9)*((R50^2/8)*((2*ACOS(1-2*BG50/R50))-SIN((2*ACOS(1-2*BG50/R50)))))*((((R50^2/8)*((2*ACOS(1-2*BG50/R50))-SIN((2*ACOS(1-2*BG50/R50)))))/((R50/2)*((2*ACOS(1-2*BG50/R50)))))^(2/3))*SQRT(N50))</f>
        <v/>
      </c>
      <c r="BI50" s="9" t="str">
        <f aca="false">IF(AY50="","",IF(BH50&lt;AY50,BG50,BE50))</f>
        <v/>
      </c>
      <c r="BJ50" s="9" t="str">
        <f aca="false">IF(AY50="","",IF(BH50&lt;AY50,BF50,BG50))</f>
        <v/>
      </c>
      <c r="BK50" s="9" t="str">
        <f aca="false">IF(AY50="","",(BI50+BJ50)/2)</f>
        <v/>
      </c>
      <c r="BL50" s="9" t="str">
        <f aca="false">IF(OR(R50="",N50="",BK50="",R50&lt;=0,BK50&lt;=0),"",(1/Inputs!$B$9)*((R50^2/8)*((2*ACOS(1-2*BK50/R50))-SIN((2*ACOS(1-2*BK50/R50)))))*((((R50^2/8)*((2*ACOS(1-2*BK50/R50))-SIN((2*ACOS(1-2*BK50/R50)))))/((R50/2)*((2*ACOS(1-2*BK50/R50)))))^(2/3))*SQRT(N50))</f>
        <v/>
      </c>
      <c r="BM50" s="9" t="str">
        <f aca="false">IF(AY50="","",IF(BL50&lt;AY50,BK50,BI50))</f>
        <v/>
      </c>
      <c r="BN50" s="9" t="str">
        <f aca="false">IF(AY50="","",IF(BL50&lt;AY50,BJ50,BK50))</f>
        <v/>
      </c>
      <c r="BO50" s="9" t="str">
        <f aca="false">IF(AY50="","",(BM50+BN50)/2)</f>
        <v/>
      </c>
      <c r="BP50" s="9" t="str">
        <f aca="false">IF(OR(R50="",N50="",BO50="",R50&lt;=0,BO50&lt;=0),"",(1/Inputs!$B$9)*((R50^2/8)*((2*ACOS(1-2*BO50/R50))-SIN((2*ACOS(1-2*BO50/R50)))))*((((R50^2/8)*((2*ACOS(1-2*BO50/R50))-SIN((2*ACOS(1-2*BO50/R50)))))/((R50/2)*((2*ACOS(1-2*BO50/R50)))))^(2/3))*SQRT(N50))</f>
        <v/>
      </c>
      <c r="BQ50" s="9" t="str">
        <f aca="false">IF(AY50="","",IF(BP50&lt;AY50,BO50,BM50))</f>
        <v/>
      </c>
      <c r="BR50" s="9" t="str">
        <f aca="false">IF(AY50="","",IF(BP50&lt;AY50,BN50,BO50))</f>
        <v/>
      </c>
      <c r="BS50" s="9" t="str">
        <f aca="false">IF(AY50="","",(BQ50+BR50)/2)</f>
        <v/>
      </c>
      <c r="BT50" s="9" t="str">
        <f aca="false">IF(OR(R50="",N50="",BS50="",R50&lt;=0,BS50&lt;=0),"",(1/Inputs!$B$9)*((R50^2/8)*((2*ACOS(1-2*BS50/R50))-SIN((2*ACOS(1-2*BS50/R50)))))*((((R50^2/8)*((2*ACOS(1-2*BS50/R50))-SIN((2*ACOS(1-2*BS50/R50)))))/((R50/2)*((2*ACOS(1-2*BS50/R50)))))^(2/3))*SQRT(N50))</f>
        <v/>
      </c>
      <c r="BU50" s="9" t="str">
        <f aca="false">IF(AY50="","",IF(BT50&lt;AY50,BS50,BQ50))</f>
        <v/>
      </c>
      <c r="BV50" s="9" t="str">
        <f aca="false">IF(AY50="","",IF(BT50&lt;AY50,BR50,BS50))</f>
        <v/>
      </c>
      <c r="BW50" s="9" t="str">
        <f aca="false">IF(AY50="","",(BU50+BV50)/2)</f>
        <v/>
      </c>
      <c r="BX50" s="9" t="str">
        <f aca="false">IF(OR(R50="",N50="",BW50="",R50&lt;=0,BW50&lt;=0),"",(1/Inputs!$B$9)*((R50^2/8)*((2*ACOS(1-2*BW50/R50))-SIN((2*ACOS(1-2*BW50/R50)))))*((((R50^2/8)*((2*ACOS(1-2*BW50/R50))-SIN((2*ACOS(1-2*BW50/R50)))))/((R50/2)*((2*ACOS(1-2*BW50/R50)))))^(2/3))*SQRT(N50))</f>
        <v/>
      </c>
      <c r="BY50" s="9" t="str">
        <f aca="false">IF(AY50="","",IF(BX50&lt;AY50,BW50,BU50))</f>
        <v/>
      </c>
      <c r="BZ50" s="9" t="str">
        <f aca="false">IF(AY50="","",IF(BX50&lt;AY50,BV50,BW50))</f>
        <v/>
      </c>
      <c r="CA50" s="9" t="str">
        <f aca="false">IF(AY50="","",(BY50+BZ50)/2)</f>
        <v/>
      </c>
      <c r="CB50" s="9" t="str">
        <f aca="false">IF(OR(R50="",N50="",CA50="",R50&lt;=0,CA50&lt;=0),"",(1/Inputs!$B$9)*((R50^2/8)*((2*ACOS(1-2*CA50/R50))-SIN((2*ACOS(1-2*CA50/R50)))))*((((R50^2/8)*((2*ACOS(1-2*CA50/R50))-SIN((2*ACOS(1-2*CA50/R50)))))/((R50/2)*((2*ACOS(1-2*CA50/R50)))))^(2/3))*SQRT(N50))</f>
        <v/>
      </c>
      <c r="CC50" s="9" t="str">
        <f aca="false">IF(AY50="","",IF(CB50&lt;AY50,CA50,BY50))</f>
        <v/>
      </c>
      <c r="CD50" s="9" t="str">
        <f aca="false">IF(AY50="","",IF(CB50&lt;AY50,BZ50,CA50))</f>
        <v/>
      </c>
      <c r="CE50" s="9" t="str">
        <f aca="false">IF(AY50="","",(CC50+CD50)/2)</f>
        <v/>
      </c>
    </row>
    <row r="51" customFormat="false" ht="15" hidden="false" customHeight="false" outlineLevel="0" collapsed="false">
      <c r="A51" s="9"/>
      <c r="B51" s="9"/>
      <c r="C51" s="14"/>
      <c r="D51" s="14"/>
      <c r="E51" s="14" t="n">
        <f aca="false">SUMIFS(CB_Tributaires!$C:$C,CB_Tributaires!$B:$B,$A51)</f>
        <v>0</v>
      </c>
      <c r="F51" s="14" t="n">
        <f aca="false">IF(D51="",E51,D51)</f>
        <v>0</v>
      </c>
      <c r="G51" s="9"/>
      <c r="H51" s="14"/>
      <c r="I51" s="14" t="str">
        <f aca="false">IF(A51="","",Inputs!$B$13/((IF(AS51="",Inputs!$B$18,AS51)+Inputs!$B$14)^Inputs!$B$15))</f>
        <v/>
      </c>
      <c r="J51" s="14" t="str">
        <f aca="false">IF(A51="","",0.000000278*IF(G51="",Inputs!$B$17,G51)*F51*I51)</f>
        <v/>
      </c>
      <c r="K51" s="14" t="str">
        <f aca="false">IF(A51="","",SUMIFS($L$4:$L$203,$B$4:$B$203,$A51))</f>
        <v/>
      </c>
      <c r="L51" s="14" t="str">
        <f aca="false">IF(A51="","",(J51+K51)*Inputs!$B$16)</f>
        <v/>
      </c>
      <c r="M51" s="14"/>
      <c r="N51" s="14" t="str">
        <f aca="false">IF(A51="","",IF(M51="",Inputs!$B$7,M51))</f>
        <v/>
      </c>
      <c r="O51" s="9" t="str">
        <f aca="false">IF(A51="","",IF(L51/Inputs!$B$10&lt;=AD51,Inputs!$F$5,IF(L51/Inputs!$B$10&gt;AM51,"OVERSIZE",INDEX(Inputs!$F$5:$F$14,MATCH(L51/Inputs!$B$10,AD51:AM51,1)+1))))</f>
        <v/>
      </c>
      <c r="P51" s="9"/>
      <c r="Q51" s="9" t="str">
        <f aca="false">IF(A51="","",IF(P51="",O51,P51))</f>
        <v/>
      </c>
      <c r="R51" s="14" t="str">
        <f aca="false">IF(OR(Q51="",Q51="OVERSIZE"),"",Q51/1000)</f>
        <v/>
      </c>
      <c r="S51" s="14" t="str">
        <f aca="false">IF(R51="","",(1/Inputs!$B$9)*(PI()*R51^2/4)*((R51/4)^(2/3))*SQRT(N51))</f>
        <v/>
      </c>
      <c r="T51" s="14" t="str">
        <f aca="false">IF(OR(S51="",L51=""),"",L51/(S51*Inputs!$B$10))</f>
        <v/>
      </c>
      <c r="U51" s="14" t="str">
        <f aca="false">IF(OR(R51="",L51=""),"",4*L51/(PI()*R51^2))</f>
        <v/>
      </c>
      <c r="V51" s="14"/>
      <c r="W51" s="14" t="str">
        <f aca="false">IF(A51="","",IF(A51=Inputs!$B$6,Inputs!$B$22,IF(B51="","",IFERROR(INDEX($X$4:$X$203,MATCH(B51,$A$4:$A$203,0))+IF(V51="",Inputs!$B$20,V51),""))))</f>
        <v/>
      </c>
      <c r="X51" s="14" t="str">
        <f aca="false">IF(OR(W51="",N51="",C51=""),"",W51+N51*C51)</f>
        <v/>
      </c>
      <c r="Y51" s="14"/>
      <c r="Z51" s="14"/>
      <c r="AA51" s="14" t="str">
        <f aca="false">IF(OR(Y51="",W51=""),"",Y51-W51)</f>
        <v/>
      </c>
      <c r="AB51" s="14" t="str">
        <f aca="false">IF(OR(Z51="",X51=""),"",Z51-X51)</f>
        <v/>
      </c>
      <c r="AC51" s="19" t="str">
        <f aca="false">IF(A51="","",IF(OR(T51&gt;1,AND(AV51&lt;&gt;"",AV51&lt;Inputs!$B$11),AND(AV51&lt;&gt;"",AV51&gt;Inputs!$B$12),AA51&lt;Inputs!$B$19,AB51&lt;Inputs!$B$19,N51&lt;Inputs!$B$7,N51&gt;Inputs!$B$8),"CHECK","OK"))</f>
        <v/>
      </c>
      <c r="AD51" s="9" t="str">
        <f aca="false">IF(A51="","",(1/Inputs!$B$9)*(PI()*(Inputs!$F$5/1000)^2/4)*((Inputs!$F$5/1000/4)^(2/3))*SQRT(N51))</f>
        <v/>
      </c>
      <c r="AE51" s="9" t="str">
        <f aca="false">IF(A51="","",(1/Inputs!$B$9)*(PI()*(Inputs!$F$6/1000)^2/4)*((Inputs!$F$6/1000/4)^(2/3))*SQRT(N51))</f>
        <v/>
      </c>
      <c r="AF51" s="9" t="str">
        <f aca="false">IF(A51="","",(1/Inputs!$B$9)*(PI()*(Inputs!$F$7/1000)^2/4)*((Inputs!$F$7/1000/4)^(2/3))*SQRT(N51))</f>
        <v/>
      </c>
      <c r="AG51" s="9" t="str">
        <f aca="false">IF(A51="","",(1/Inputs!$B$9)*(PI()*(Inputs!$F$8/1000)^2/4)*((Inputs!$F$8/1000/4)^(2/3))*SQRT(N51))</f>
        <v/>
      </c>
      <c r="AH51" s="9" t="str">
        <f aca="false">IF(A51="","",(1/Inputs!$B$9)*(PI()*(Inputs!$F$9/1000)^2/4)*((Inputs!$F$9/1000/4)^(2/3))*SQRT(N51))</f>
        <v/>
      </c>
      <c r="AI51" s="9" t="str">
        <f aca="false">IF(A51="","",(1/Inputs!$B$9)*(PI()*(Inputs!$F$10/1000)^2/4)*((Inputs!$F$10/1000/4)^(2/3))*SQRT(N51))</f>
        <v/>
      </c>
      <c r="AJ51" s="9" t="str">
        <f aca="false">IF(A51="","",(1/Inputs!$B$9)*(PI()*(Inputs!$F$11/1000)^2/4)*((Inputs!$F$11/1000/4)^(2/3))*SQRT(N51))</f>
        <v/>
      </c>
      <c r="AK51" s="9" t="str">
        <f aca="false">IF(A51="","",(1/Inputs!$B$9)*(PI()*(Inputs!$F$12/1000)^2/4)*((Inputs!$F$12/1000/4)^(2/3))*SQRT(N51))</f>
        <v/>
      </c>
      <c r="AL51" s="9" t="str">
        <f aca="false">IF(A51="","",(1/Inputs!$B$9)*(PI()*(Inputs!$F$13/1000)^2/4)*((Inputs!$F$13/1000/4)^(2/3))*SQRT(N51))</f>
        <v/>
      </c>
      <c r="AM51" s="9" t="str">
        <f aca="false">IF(A51="","",(1/Inputs!$B$9)*(PI()*(Inputs!$F$14/1000)^2/4)*((Inputs!$F$14/1000/4)^(2/3))*SQRT(N51))</f>
        <v/>
      </c>
      <c r="AN51" s="9" t="str">
        <f aca="false">IF(A51="","",COUNTIF($B$4:$B$203,$A51))</f>
        <v/>
      </c>
      <c r="AO51" s="9" t="str">
        <f aca="false">IF(A51="","",IF(AN51=0,"START","CONTINUOUS"))</f>
        <v/>
      </c>
      <c r="AP51" s="13" t="str">
        <f aca="false">IF(A51="","",IF(H51="",Inputs!$B$18,H51))</f>
        <v/>
      </c>
      <c r="AQ51" s="13" t="str">
        <f aca="false">IF(A51="","",IFERROR(maxifs($AS$4:$AS$203,$B$4:$B$203,$A51),""))</f>
        <v/>
      </c>
      <c r="AR51" s="13" t="str">
        <f aca="false">IF(A51="","",IF(OR(C51="",Inputs!$B$23=""),"",C51/(Inputs!$B$23*60)))</f>
        <v/>
      </c>
      <c r="AS51" s="13" t="str">
        <f aca="false">IF(A51="","",IF(AN51=0,AP51+AR51,IF(AQ51="",AP51+AR51,AQ51+AR51)))</f>
        <v/>
      </c>
      <c r="AT51" s="13" t="str">
        <f aca="false">IF(A51="","",U51)</f>
        <v/>
      </c>
      <c r="AU51" s="13" t="str">
        <f aca="false">IF(OR(R51="",N51=""),"",(1/Inputs!$B$9)*((R51/4)^(2/3))*SQRT(N51))</f>
        <v/>
      </c>
      <c r="AV51" s="13" t="str">
        <f aca="false">IF(A51="","",IF(AND(AT51="",AU51="",AX51=""),"",IF(OR(UPPER(TRIM(Inputs!$B$24))="MANNING",UPPER(TRIM(Inputs!$B$24))="M"),AU51,IF(OR(UPPER(TRIM(Inputs!$B$24))="PARTIAL",UPPER(TRIM(Inputs!$B$24))="P"),AX51,IF(OR(UPPER(TRIM(Inputs!$B$24))="MAX",UPPER(TRIM(Inputs!$B$24))="X"),MAX(IF(AT51="",0,AT51),IF(AU51="",0,AU51),IF(AX51="",0,AX51)),AT51)))))</f>
        <v/>
      </c>
      <c r="AW51" s="13" t="str">
        <f aca="false">IF(AY51="","",CE51)</f>
        <v/>
      </c>
      <c r="AX51" s="13" t="str">
        <f aca="false">IF(OR(AY51="",AW51="",R51="",R51&lt;=0,AW51&lt;=0),"",AY51/((R51^2/8)*(2*ACOS(1-2*AW51/R51)-SIN(2*ACOS(1-2*AW51/R51)))))</f>
        <v/>
      </c>
      <c r="AY51" s="9" t="str">
        <f aca="false">IF(OR(L51="",AZ51=""),"",MIN(L51,AZ51))</f>
        <v/>
      </c>
      <c r="AZ51" s="9" t="str">
        <f aca="false">IF(OR(L51="",R51="",N51=""),"",IF(OR(R51="",N51="",(0.94*R51)="",R51&lt;=0,(0.94*R51)&lt;=0),"",(1/Inputs!$B$9)*((R51^2/8)*((2*ACOS(1-2*(0.94*R51)/R51))-SIN((2*ACOS(1-2*(0.94*R51)/R51)))))*((((R51^2/8)*((2*ACOS(1-2*(0.94*R51)/R51))-SIN((2*ACOS(1-2*(0.94*R51)/R51)))))/((R51/2)*((2*ACOS(1-2*(0.94*R51)/R51)))))^(2/3))*SQRT(N51)))</f>
        <v/>
      </c>
      <c r="BA51" s="9" t="str">
        <f aca="false">IF(AY51="","",0.001*R51)</f>
        <v/>
      </c>
      <c r="BB51" s="9" t="str">
        <f aca="false">IF(AY51="","",0.94*R51)</f>
        <v/>
      </c>
      <c r="BC51" s="9" t="str">
        <f aca="false">IF(AY51="","",(BA51+BB51)/2)</f>
        <v/>
      </c>
      <c r="BD51" s="9" t="str">
        <f aca="false">IF(OR(R51="",N51="",BC51="",R51&lt;=0,BC51&lt;=0),"",(1/Inputs!$B$9)*((R51^2/8)*((2*ACOS(1-2*BC51/R51))-SIN((2*ACOS(1-2*BC51/R51)))))*((((R51^2/8)*((2*ACOS(1-2*BC51/R51))-SIN((2*ACOS(1-2*BC51/R51)))))/((R51/2)*((2*ACOS(1-2*BC51/R51)))))^(2/3))*SQRT(N51))</f>
        <v/>
      </c>
      <c r="BE51" s="9" t="str">
        <f aca="false">IF(AY51="","",IF(BD51&lt;AY51,BC51,BA51))</f>
        <v/>
      </c>
      <c r="BF51" s="9" t="str">
        <f aca="false">IF(AY51="","",IF(BD51&lt;AY51,BB51,BC51))</f>
        <v/>
      </c>
      <c r="BG51" s="9" t="str">
        <f aca="false">IF(AY51="","",(BE51+BF51)/2)</f>
        <v/>
      </c>
      <c r="BH51" s="9" t="str">
        <f aca="false">IF(OR(R51="",N51="",BG51="",R51&lt;=0,BG51&lt;=0),"",(1/Inputs!$B$9)*((R51^2/8)*((2*ACOS(1-2*BG51/R51))-SIN((2*ACOS(1-2*BG51/R51)))))*((((R51^2/8)*((2*ACOS(1-2*BG51/R51))-SIN((2*ACOS(1-2*BG51/R51)))))/((R51/2)*((2*ACOS(1-2*BG51/R51)))))^(2/3))*SQRT(N51))</f>
        <v/>
      </c>
      <c r="BI51" s="9" t="str">
        <f aca="false">IF(AY51="","",IF(BH51&lt;AY51,BG51,BE51))</f>
        <v/>
      </c>
      <c r="BJ51" s="9" t="str">
        <f aca="false">IF(AY51="","",IF(BH51&lt;AY51,BF51,BG51))</f>
        <v/>
      </c>
      <c r="BK51" s="9" t="str">
        <f aca="false">IF(AY51="","",(BI51+BJ51)/2)</f>
        <v/>
      </c>
      <c r="BL51" s="9" t="str">
        <f aca="false">IF(OR(R51="",N51="",BK51="",R51&lt;=0,BK51&lt;=0),"",(1/Inputs!$B$9)*((R51^2/8)*((2*ACOS(1-2*BK51/R51))-SIN((2*ACOS(1-2*BK51/R51)))))*((((R51^2/8)*((2*ACOS(1-2*BK51/R51))-SIN((2*ACOS(1-2*BK51/R51)))))/((R51/2)*((2*ACOS(1-2*BK51/R51)))))^(2/3))*SQRT(N51))</f>
        <v/>
      </c>
      <c r="BM51" s="9" t="str">
        <f aca="false">IF(AY51="","",IF(BL51&lt;AY51,BK51,BI51))</f>
        <v/>
      </c>
      <c r="BN51" s="9" t="str">
        <f aca="false">IF(AY51="","",IF(BL51&lt;AY51,BJ51,BK51))</f>
        <v/>
      </c>
      <c r="BO51" s="9" t="str">
        <f aca="false">IF(AY51="","",(BM51+BN51)/2)</f>
        <v/>
      </c>
      <c r="BP51" s="9" t="str">
        <f aca="false">IF(OR(R51="",N51="",BO51="",R51&lt;=0,BO51&lt;=0),"",(1/Inputs!$B$9)*((R51^2/8)*((2*ACOS(1-2*BO51/R51))-SIN((2*ACOS(1-2*BO51/R51)))))*((((R51^2/8)*((2*ACOS(1-2*BO51/R51))-SIN((2*ACOS(1-2*BO51/R51)))))/((R51/2)*((2*ACOS(1-2*BO51/R51)))))^(2/3))*SQRT(N51))</f>
        <v/>
      </c>
      <c r="BQ51" s="9" t="str">
        <f aca="false">IF(AY51="","",IF(BP51&lt;AY51,BO51,BM51))</f>
        <v/>
      </c>
      <c r="BR51" s="9" t="str">
        <f aca="false">IF(AY51="","",IF(BP51&lt;AY51,BN51,BO51))</f>
        <v/>
      </c>
      <c r="BS51" s="9" t="str">
        <f aca="false">IF(AY51="","",(BQ51+BR51)/2)</f>
        <v/>
      </c>
      <c r="BT51" s="9" t="str">
        <f aca="false">IF(OR(R51="",N51="",BS51="",R51&lt;=0,BS51&lt;=0),"",(1/Inputs!$B$9)*((R51^2/8)*((2*ACOS(1-2*BS51/R51))-SIN((2*ACOS(1-2*BS51/R51)))))*((((R51^2/8)*((2*ACOS(1-2*BS51/R51))-SIN((2*ACOS(1-2*BS51/R51)))))/((R51/2)*((2*ACOS(1-2*BS51/R51)))))^(2/3))*SQRT(N51))</f>
        <v/>
      </c>
      <c r="BU51" s="9" t="str">
        <f aca="false">IF(AY51="","",IF(BT51&lt;AY51,BS51,BQ51))</f>
        <v/>
      </c>
      <c r="BV51" s="9" t="str">
        <f aca="false">IF(AY51="","",IF(BT51&lt;AY51,BR51,BS51))</f>
        <v/>
      </c>
      <c r="BW51" s="9" t="str">
        <f aca="false">IF(AY51="","",(BU51+BV51)/2)</f>
        <v/>
      </c>
      <c r="BX51" s="9" t="str">
        <f aca="false">IF(OR(R51="",N51="",BW51="",R51&lt;=0,BW51&lt;=0),"",(1/Inputs!$B$9)*((R51^2/8)*((2*ACOS(1-2*BW51/R51))-SIN((2*ACOS(1-2*BW51/R51)))))*((((R51^2/8)*((2*ACOS(1-2*BW51/R51))-SIN((2*ACOS(1-2*BW51/R51)))))/((R51/2)*((2*ACOS(1-2*BW51/R51)))))^(2/3))*SQRT(N51))</f>
        <v/>
      </c>
      <c r="BY51" s="9" t="str">
        <f aca="false">IF(AY51="","",IF(BX51&lt;AY51,BW51,BU51))</f>
        <v/>
      </c>
      <c r="BZ51" s="9" t="str">
        <f aca="false">IF(AY51="","",IF(BX51&lt;AY51,BV51,BW51))</f>
        <v/>
      </c>
      <c r="CA51" s="9" t="str">
        <f aca="false">IF(AY51="","",(BY51+BZ51)/2)</f>
        <v/>
      </c>
      <c r="CB51" s="9" t="str">
        <f aca="false">IF(OR(R51="",N51="",CA51="",R51&lt;=0,CA51&lt;=0),"",(1/Inputs!$B$9)*((R51^2/8)*((2*ACOS(1-2*CA51/R51))-SIN((2*ACOS(1-2*CA51/R51)))))*((((R51^2/8)*((2*ACOS(1-2*CA51/R51))-SIN((2*ACOS(1-2*CA51/R51)))))/((R51/2)*((2*ACOS(1-2*CA51/R51)))))^(2/3))*SQRT(N51))</f>
        <v/>
      </c>
      <c r="CC51" s="9" t="str">
        <f aca="false">IF(AY51="","",IF(CB51&lt;AY51,CA51,BY51))</f>
        <v/>
      </c>
      <c r="CD51" s="9" t="str">
        <f aca="false">IF(AY51="","",IF(CB51&lt;AY51,BZ51,CA51))</f>
        <v/>
      </c>
      <c r="CE51" s="9" t="str">
        <f aca="false">IF(AY51="","",(CC51+CD51)/2)</f>
        <v/>
      </c>
    </row>
    <row r="52" customFormat="false" ht="15" hidden="false" customHeight="false" outlineLevel="0" collapsed="false">
      <c r="A52" s="9"/>
      <c r="B52" s="9"/>
      <c r="C52" s="14"/>
      <c r="D52" s="14"/>
      <c r="E52" s="14" t="n">
        <f aca="false">SUMIFS(CB_Tributaires!$C:$C,CB_Tributaires!$B:$B,$A52)</f>
        <v>0</v>
      </c>
      <c r="F52" s="14" t="n">
        <f aca="false">IF(D52="",E52,D52)</f>
        <v>0</v>
      </c>
      <c r="G52" s="9"/>
      <c r="H52" s="14"/>
      <c r="I52" s="14" t="str">
        <f aca="false">IF(A52="","",Inputs!$B$13/((IF(AS52="",Inputs!$B$18,AS52)+Inputs!$B$14)^Inputs!$B$15))</f>
        <v/>
      </c>
      <c r="J52" s="14" t="str">
        <f aca="false">IF(A52="","",0.000000278*IF(G52="",Inputs!$B$17,G52)*F52*I52)</f>
        <v/>
      </c>
      <c r="K52" s="14" t="str">
        <f aca="false">IF(A52="","",SUMIFS($L$4:$L$203,$B$4:$B$203,$A52))</f>
        <v/>
      </c>
      <c r="L52" s="14" t="str">
        <f aca="false">IF(A52="","",(J52+K52)*Inputs!$B$16)</f>
        <v/>
      </c>
      <c r="M52" s="14"/>
      <c r="N52" s="14" t="str">
        <f aca="false">IF(A52="","",IF(M52="",Inputs!$B$7,M52))</f>
        <v/>
      </c>
      <c r="O52" s="9" t="str">
        <f aca="false">IF(A52="","",IF(L52/Inputs!$B$10&lt;=AD52,Inputs!$F$5,IF(L52/Inputs!$B$10&gt;AM52,"OVERSIZE",INDEX(Inputs!$F$5:$F$14,MATCH(L52/Inputs!$B$10,AD52:AM52,1)+1))))</f>
        <v/>
      </c>
      <c r="P52" s="9"/>
      <c r="Q52" s="9" t="str">
        <f aca="false">IF(A52="","",IF(P52="",O52,P52))</f>
        <v/>
      </c>
      <c r="R52" s="14" t="str">
        <f aca="false">IF(OR(Q52="",Q52="OVERSIZE"),"",Q52/1000)</f>
        <v/>
      </c>
      <c r="S52" s="14" t="str">
        <f aca="false">IF(R52="","",(1/Inputs!$B$9)*(PI()*R52^2/4)*((R52/4)^(2/3))*SQRT(N52))</f>
        <v/>
      </c>
      <c r="T52" s="14" t="str">
        <f aca="false">IF(OR(S52="",L52=""),"",L52/(S52*Inputs!$B$10))</f>
        <v/>
      </c>
      <c r="U52" s="14" t="str">
        <f aca="false">IF(OR(R52="",L52=""),"",4*L52/(PI()*R52^2))</f>
        <v/>
      </c>
      <c r="V52" s="14"/>
      <c r="W52" s="14" t="str">
        <f aca="false">IF(A52="","",IF(A52=Inputs!$B$6,Inputs!$B$22,IF(B52="","",IFERROR(INDEX($X$4:$X$203,MATCH(B52,$A$4:$A$203,0))+IF(V52="",Inputs!$B$20,V52),""))))</f>
        <v/>
      </c>
      <c r="X52" s="14" t="str">
        <f aca="false">IF(OR(W52="",N52="",C52=""),"",W52+N52*C52)</f>
        <v/>
      </c>
      <c r="Y52" s="14"/>
      <c r="Z52" s="14"/>
      <c r="AA52" s="14" t="str">
        <f aca="false">IF(OR(Y52="",W52=""),"",Y52-W52)</f>
        <v/>
      </c>
      <c r="AB52" s="14" t="str">
        <f aca="false">IF(OR(Z52="",X52=""),"",Z52-X52)</f>
        <v/>
      </c>
      <c r="AC52" s="19" t="str">
        <f aca="false">IF(A52="","",IF(OR(T52&gt;1,AND(AV52&lt;&gt;"",AV52&lt;Inputs!$B$11),AND(AV52&lt;&gt;"",AV52&gt;Inputs!$B$12),AA52&lt;Inputs!$B$19,AB52&lt;Inputs!$B$19,N52&lt;Inputs!$B$7,N52&gt;Inputs!$B$8),"CHECK","OK"))</f>
        <v/>
      </c>
      <c r="AD52" s="9" t="str">
        <f aca="false">IF(A52="","",(1/Inputs!$B$9)*(PI()*(Inputs!$F$5/1000)^2/4)*((Inputs!$F$5/1000/4)^(2/3))*SQRT(N52))</f>
        <v/>
      </c>
      <c r="AE52" s="9" t="str">
        <f aca="false">IF(A52="","",(1/Inputs!$B$9)*(PI()*(Inputs!$F$6/1000)^2/4)*((Inputs!$F$6/1000/4)^(2/3))*SQRT(N52))</f>
        <v/>
      </c>
      <c r="AF52" s="9" t="str">
        <f aca="false">IF(A52="","",(1/Inputs!$B$9)*(PI()*(Inputs!$F$7/1000)^2/4)*((Inputs!$F$7/1000/4)^(2/3))*SQRT(N52))</f>
        <v/>
      </c>
      <c r="AG52" s="9" t="str">
        <f aca="false">IF(A52="","",(1/Inputs!$B$9)*(PI()*(Inputs!$F$8/1000)^2/4)*((Inputs!$F$8/1000/4)^(2/3))*SQRT(N52))</f>
        <v/>
      </c>
      <c r="AH52" s="9" t="str">
        <f aca="false">IF(A52="","",(1/Inputs!$B$9)*(PI()*(Inputs!$F$9/1000)^2/4)*((Inputs!$F$9/1000/4)^(2/3))*SQRT(N52))</f>
        <v/>
      </c>
      <c r="AI52" s="9" t="str">
        <f aca="false">IF(A52="","",(1/Inputs!$B$9)*(PI()*(Inputs!$F$10/1000)^2/4)*((Inputs!$F$10/1000/4)^(2/3))*SQRT(N52))</f>
        <v/>
      </c>
      <c r="AJ52" s="9" t="str">
        <f aca="false">IF(A52="","",(1/Inputs!$B$9)*(PI()*(Inputs!$F$11/1000)^2/4)*((Inputs!$F$11/1000/4)^(2/3))*SQRT(N52))</f>
        <v/>
      </c>
      <c r="AK52" s="9" t="str">
        <f aca="false">IF(A52="","",(1/Inputs!$B$9)*(PI()*(Inputs!$F$12/1000)^2/4)*((Inputs!$F$12/1000/4)^(2/3))*SQRT(N52))</f>
        <v/>
      </c>
      <c r="AL52" s="9" t="str">
        <f aca="false">IF(A52="","",(1/Inputs!$B$9)*(PI()*(Inputs!$F$13/1000)^2/4)*((Inputs!$F$13/1000/4)^(2/3))*SQRT(N52))</f>
        <v/>
      </c>
      <c r="AM52" s="9" t="str">
        <f aca="false">IF(A52="","",(1/Inputs!$B$9)*(PI()*(Inputs!$F$14/1000)^2/4)*((Inputs!$F$14/1000/4)^(2/3))*SQRT(N52))</f>
        <v/>
      </c>
      <c r="AN52" s="9" t="str">
        <f aca="false">IF(A52="","",COUNTIF($B$4:$B$203,$A52))</f>
        <v/>
      </c>
      <c r="AO52" s="9" t="str">
        <f aca="false">IF(A52="","",IF(AN52=0,"START","CONTINUOUS"))</f>
        <v/>
      </c>
      <c r="AP52" s="13" t="str">
        <f aca="false">IF(A52="","",IF(H52="",Inputs!$B$18,H52))</f>
        <v/>
      </c>
      <c r="AQ52" s="13" t="str">
        <f aca="false">IF(A52="","",IFERROR(maxifs($AS$4:$AS$203,$B$4:$B$203,$A52),""))</f>
        <v/>
      </c>
      <c r="AR52" s="13" t="str">
        <f aca="false">IF(A52="","",IF(OR(C52="",Inputs!$B$23=""),"",C52/(Inputs!$B$23*60)))</f>
        <v/>
      </c>
      <c r="AS52" s="13" t="str">
        <f aca="false">IF(A52="","",IF(AN52=0,AP52+AR52,IF(AQ52="",AP52+AR52,AQ52+AR52)))</f>
        <v/>
      </c>
      <c r="AT52" s="13" t="str">
        <f aca="false">IF(A52="","",U52)</f>
        <v/>
      </c>
      <c r="AU52" s="13" t="str">
        <f aca="false">IF(OR(R52="",N52=""),"",(1/Inputs!$B$9)*((R52/4)^(2/3))*SQRT(N52))</f>
        <v/>
      </c>
      <c r="AV52" s="13" t="str">
        <f aca="false">IF(A52="","",IF(AND(AT52="",AU52="",AX52=""),"",IF(OR(UPPER(TRIM(Inputs!$B$24))="MANNING",UPPER(TRIM(Inputs!$B$24))="M"),AU52,IF(OR(UPPER(TRIM(Inputs!$B$24))="PARTIAL",UPPER(TRIM(Inputs!$B$24))="P"),AX52,IF(OR(UPPER(TRIM(Inputs!$B$24))="MAX",UPPER(TRIM(Inputs!$B$24))="X"),MAX(IF(AT52="",0,AT52),IF(AU52="",0,AU52),IF(AX52="",0,AX52)),AT52)))))</f>
        <v/>
      </c>
      <c r="AW52" s="13" t="str">
        <f aca="false">IF(AY52="","",CE52)</f>
        <v/>
      </c>
      <c r="AX52" s="13" t="str">
        <f aca="false">IF(OR(AY52="",AW52="",R52="",R52&lt;=0,AW52&lt;=0),"",AY52/((R52^2/8)*(2*ACOS(1-2*AW52/R52)-SIN(2*ACOS(1-2*AW52/R52)))))</f>
        <v/>
      </c>
      <c r="AY52" s="9" t="str">
        <f aca="false">IF(OR(L52="",AZ52=""),"",MIN(L52,AZ52))</f>
        <v/>
      </c>
      <c r="AZ52" s="9" t="str">
        <f aca="false">IF(OR(L52="",R52="",N52=""),"",IF(OR(R52="",N52="",(0.94*R52)="",R52&lt;=0,(0.94*R52)&lt;=0),"",(1/Inputs!$B$9)*((R52^2/8)*((2*ACOS(1-2*(0.94*R52)/R52))-SIN((2*ACOS(1-2*(0.94*R52)/R52)))))*((((R52^2/8)*((2*ACOS(1-2*(0.94*R52)/R52))-SIN((2*ACOS(1-2*(0.94*R52)/R52)))))/((R52/2)*((2*ACOS(1-2*(0.94*R52)/R52)))))^(2/3))*SQRT(N52)))</f>
        <v/>
      </c>
      <c r="BA52" s="9" t="str">
        <f aca="false">IF(AY52="","",0.001*R52)</f>
        <v/>
      </c>
      <c r="BB52" s="9" t="str">
        <f aca="false">IF(AY52="","",0.94*R52)</f>
        <v/>
      </c>
      <c r="BC52" s="9" t="str">
        <f aca="false">IF(AY52="","",(BA52+BB52)/2)</f>
        <v/>
      </c>
      <c r="BD52" s="9" t="str">
        <f aca="false">IF(OR(R52="",N52="",BC52="",R52&lt;=0,BC52&lt;=0),"",(1/Inputs!$B$9)*((R52^2/8)*((2*ACOS(1-2*BC52/R52))-SIN((2*ACOS(1-2*BC52/R52)))))*((((R52^2/8)*((2*ACOS(1-2*BC52/R52))-SIN((2*ACOS(1-2*BC52/R52)))))/((R52/2)*((2*ACOS(1-2*BC52/R52)))))^(2/3))*SQRT(N52))</f>
        <v/>
      </c>
      <c r="BE52" s="9" t="str">
        <f aca="false">IF(AY52="","",IF(BD52&lt;AY52,BC52,BA52))</f>
        <v/>
      </c>
      <c r="BF52" s="9" t="str">
        <f aca="false">IF(AY52="","",IF(BD52&lt;AY52,BB52,BC52))</f>
        <v/>
      </c>
      <c r="BG52" s="9" t="str">
        <f aca="false">IF(AY52="","",(BE52+BF52)/2)</f>
        <v/>
      </c>
      <c r="BH52" s="9" t="str">
        <f aca="false">IF(OR(R52="",N52="",BG52="",R52&lt;=0,BG52&lt;=0),"",(1/Inputs!$B$9)*((R52^2/8)*((2*ACOS(1-2*BG52/R52))-SIN((2*ACOS(1-2*BG52/R52)))))*((((R52^2/8)*((2*ACOS(1-2*BG52/R52))-SIN((2*ACOS(1-2*BG52/R52)))))/((R52/2)*((2*ACOS(1-2*BG52/R52)))))^(2/3))*SQRT(N52))</f>
        <v/>
      </c>
      <c r="BI52" s="9" t="str">
        <f aca="false">IF(AY52="","",IF(BH52&lt;AY52,BG52,BE52))</f>
        <v/>
      </c>
      <c r="BJ52" s="9" t="str">
        <f aca="false">IF(AY52="","",IF(BH52&lt;AY52,BF52,BG52))</f>
        <v/>
      </c>
      <c r="BK52" s="9" t="str">
        <f aca="false">IF(AY52="","",(BI52+BJ52)/2)</f>
        <v/>
      </c>
      <c r="BL52" s="9" t="str">
        <f aca="false">IF(OR(R52="",N52="",BK52="",R52&lt;=0,BK52&lt;=0),"",(1/Inputs!$B$9)*((R52^2/8)*((2*ACOS(1-2*BK52/R52))-SIN((2*ACOS(1-2*BK52/R52)))))*((((R52^2/8)*((2*ACOS(1-2*BK52/R52))-SIN((2*ACOS(1-2*BK52/R52)))))/((R52/2)*((2*ACOS(1-2*BK52/R52)))))^(2/3))*SQRT(N52))</f>
        <v/>
      </c>
      <c r="BM52" s="9" t="str">
        <f aca="false">IF(AY52="","",IF(BL52&lt;AY52,BK52,BI52))</f>
        <v/>
      </c>
      <c r="BN52" s="9" t="str">
        <f aca="false">IF(AY52="","",IF(BL52&lt;AY52,BJ52,BK52))</f>
        <v/>
      </c>
      <c r="BO52" s="9" t="str">
        <f aca="false">IF(AY52="","",(BM52+BN52)/2)</f>
        <v/>
      </c>
      <c r="BP52" s="9" t="str">
        <f aca="false">IF(OR(R52="",N52="",BO52="",R52&lt;=0,BO52&lt;=0),"",(1/Inputs!$B$9)*((R52^2/8)*((2*ACOS(1-2*BO52/R52))-SIN((2*ACOS(1-2*BO52/R52)))))*((((R52^2/8)*((2*ACOS(1-2*BO52/R52))-SIN((2*ACOS(1-2*BO52/R52)))))/((R52/2)*((2*ACOS(1-2*BO52/R52)))))^(2/3))*SQRT(N52))</f>
        <v/>
      </c>
      <c r="BQ52" s="9" t="str">
        <f aca="false">IF(AY52="","",IF(BP52&lt;AY52,BO52,BM52))</f>
        <v/>
      </c>
      <c r="BR52" s="9" t="str">
        <f aca="false">IF(AY52="","",IF(BP52&lt;AY52,BN52,BO52))</f>
        <v/>
      </c>
      <c r="BS52" s="9" t="str">
        <f aca="false">IF(AY52="","",(BQ52+BR52)/2)</f>
        <v/>
      </c>
      <c r="BT52" s="9" t="str">
        <f aca="false">IF(OR(R52="",N52="",BS52="",R52&lt;=0,BS52&lt;=0),"",(1/Inputs!$B$9)*((R52^2/8)*((2*ACOS(1-2*BS52/R52))-SIN((2*ACOS(1-2*BS52/R52)))))*((((R52^2/8)*((2*ACOS(1-2*BS52/R52))-SIN((2*ACOS(1-2*BS52/R52)))))/((R52/2)*((2*ACOS(1-2*BS52/R52)))))^(2/3))*SQRT(N52))</f>
        <v/>
      </c>
      <c r="BU52" s="9" t="str">
        <f aca="false">IF(AY52="","",IF(BT52&lt;AY52,BS52,BQ52))</f>
        <v/>
      </c>
      <c r="BV52" s="9" t="str">
        <f aca="false">IF(AY52="","",IF(BT52&lt;AY52,BR52,BS52))</f>
        <v/>
      </c>
      <c r="BW52" s="9" t="str">
        <f aca="false">IF(AY52="","",(BU52+BV52)/2)</f>
        <v/>
      </c>
      <c r="BX52" s="9" t="str">
        <f aca="false">IF(OR(R52="",N52="",BW52="",R52&lt;=0,BW52&lt;=0),"",(1/Inputs!$B$9)*((R52^2/8)*((2*ACOS(1-2*BW52/R52))-SIN((2*ACOS(1-2*BW52/R52)))))*((((R52^2/8)*((2*ACOS(1-2*BW52/R52))-SIN((2*ACOS(1-2*BW52/R52)))))/((R52/2)*((2*ACOS(1-2*BW52/R52)))))^(2/3))*SQRT(N52))</f>
        <v/>
      </c>
      <c r="BY52" s="9" t="str">
        <f aca="false">IF(AY52="","",IF(BX52&lt;AY52,BW52,BU52))</f>
        <v/>
      </c>
      <c r="BZ52" s="9" t="str">
        <f aca="false">IF(AY52="","",IF(BX52&lt;AY52,BV52,BW52))</f>
        <v/>
      </c>
      <c r="CA52" s="9" t="str">
        <f aca="false">IF(AY52="","",(BY52+BZ52)/2)</f>
        <v/>
      </c>
      <c r="CB52" s="9" t="str">
        <f aca="false">IF(OR(R52="",N52="",CA52="",R52&lt;=0,CA52&lt;=0),"",(1/Inputs!$B$9)*((R52^2/8)*((2*ACOS(1-2*CA52/R52))-SIN((2*ACOS(1-2*CA52/R52)))))*((((R52^2/8)*((2*ACOS(1-2*CA52/R52))-SIN((2*ACOS(1-2*CA52/R52)))))/((R52/2)*((2*ACOS(1-2*CA52/R52)))))^(2/3))*SQRT(N52))</f>
        <v/>
      </c>
      <c r="CC52" s="9" t="str">
        <f aca="false">IF(AY52="","",IF(CB52&lt;AY52,CA52,BY52))</f>
        <v/>
      </c>
      <c r="CD52" s="9" t="str">
        <f aca="false">IF(AY52="","",IF(CB52&lt;AY52,BZ52,CA52))</f>
        <v/>
      </c>
      <c r="CE52" s="9" t="str">
        <f aca="false">IF(AY52="","",(CC52+CD52)/2)</f>
        <v/>
      </c>
    </row>
    <row r="53" customFormat="false" ht="15" hidden="false" customHeight="false" outlineLevel="0" collapsed="false">
      <c r="A53" s="9"/>
      <c r="B53" s="9"/>
      <c r="C53" s="14"/>
      <c r="D53" s="14"/>
      <c r="E53" s="14" t="n">
        <f aca="false">SUMIFS(CB_Tributaires!$C:$C,CB_Tributaires!$B:$B,$A53)</f>
        <v>0</v>
      </c>
      <c r="F53" s="14" t="n">
        <f aca="false">IF(D53="",E53,D53)</f>
        <v>0</v>
      </c>
      <c r="G53" s="9"/>
      <c r="H53" s="14"/>
      <c r="I53" s="14" t="str">
        <f aca="false">IF(A53="","",Inputs!$B$13/((IF(AS53="",Inputs!$B$18,AS53)+Inputs!$B$14)^Inputs!$B$15))</f>
        <v/>
      </c>
      <c r="J53" s="14" t="str">
        <f aca="false">IF(A53="","",0.000000278*IF(G53="",Inputs!$B$17,G53)*F53*I53)</f>
        <v/>
      </c>
      <c r="K53" s="14" t="str">
        <f aca="false">IF(A53="","",SUMIFS($L$4:$L$203,$B$4:$B$203,$A53))</f>
        <v/>
      </c>
      <c r="L53" s="14" t="str">
        <f aca="false">IF(A53="","",(J53+K53)*Inputs!$B$16)</f>
        <v/>
      </c>
      <c r="M53" s="14"/>
      <c r="N53" s="14" t="str">
        <f aca="false">IF(A53="","",IF(M53="",Inputs!$B$7,M53))</f>
        <v/>
      </c>
      <c r="O53" s="9" t="str">
        <f aca="false">IF(A53="","",IF(L53/Inputs!$B$10&lt;=AD53,Inputs!$F$5,IF(L53/Inputs!$B$10&gt;AM53,"OVERSIZE",INDEX(Inputs!$F$5:$F$14,MATCH(L53/Inputs!$B$10,AD53:AM53,1)+1))))</f>
        <v/>
      </c>
      <c r="P53" s="9"/>
      <c r="Q53" s="9" t="str">
        <f aca="false">IF(A53="","",IF(P53="",O53,P53))</f>
        <v/>
      </c>
      <c r="R53" s="14" t="str">
        <f aca="false">IF(OR(Q53="",Q53="OVERSIZE"),"",Q53/1000)</f>
        <v/>
      </c>
      <c r="S53" s="14" t="str">
        <f aca="false">IF(R53="","",(1/Inputs!$B$9)*(PI()*R53^2/4)*((R53/4)^(2/3))*SQRT(N53))</f>
        <v/>
      </c>
      <c r="T53" s="14" t="str">
        <f aca="false">IF(OR(S53="",L53=""),"",L53/(S53*Inputs!$B$10))</f>
        <v/>
      </c>
      <c r="U53" s="14" t="str">
        <f aca="false">IF(OR(R53="",L53=""),"",4*L53/(PI()*R53^2))</f>
        <v/>
      </c>
      <c r="V53" s="14"/>
      <c r="W53" s="14" t="str">
        <f aca="false">IF(A53="","",IF(A53=Inputs!$B$6,Inputs!$B$22,IF(B53="","",IFERROR(INDEX($X$4:$X$203,MATCH(B53,$A$4:$A$203,0))+IF(V53="",Inputs!$B$20,V53),""))))</f>
        <v/>
      </c>
      <c r="X53" s="14" t="str">
        <f aca="false">IF(OR(W53="",N53="",C53=""),"",W53+N53*C53)</f>
        <v/>
      </c>
      <c r="Y53" s="14"/>
      <c r="Z53" s="14"/>
      <c r="AA53" s="14" t="str">
        <f aca="false">IF(OR(Y53="",W53=""),"",Y53-W53)</f>
        <v/>
      </c>
      <c r="AB53" s="14" t="str">
        <f aca="false">IF(OR(Z53="",X53=""),"",Z53-X53)</f>
        <v/>
      </c>
      <c r="AC53" s="19" t="str">
        <f aca="false">IF(A53="","",IF(OR(T53&gt;1,AND(AV53&lt;&gt;"",AV53&lt;Inputs!$B$11),AND(AV53&lt;&gt;"",AV53&gt;Inputs!$B$12),AA53&lt;Inputs!$B$19,AB53&lt;Inputs!$B$19,N53&lt;Inputs!$B$7,N53&gt;Inputs!$B$8),"CHECK","OK"))</f>
        <v/>
      </c>
      <c r="AD53" s="9" t="str">
        <f aca="false">IF(A53="","",(1/Inputs!$B$9)*(PI()*(Inputs!$F$5/1000)^2/4)*((Inputs!$F$5/1000/4)^(2/3))*SQRT(N53))</f>
        <v/>
      </c>
      <c r="AE53" s="9" t="str">
        <f aca="false">IF(A53="","",(1/Inputs!$B$9)*(PI()*(Inputs!$F$6/1000)^2/4)*((Inputs!$F$6/1000/4)^(2/3))*SQRT(N53))</f>
        <v/>
      </c>
      <c r="AF53" s="9" t="str">
        <f aca="false">IF(A53="","",(1/Inputs!$B$9)*(PI()*(Inputs!$F$7/1000)^2/4)*((Inputs!$F$7/1000/4)^(2/3))*SQRT(N53))</f>
        <v/>
      </c>
      <c r="AG53" s="9" t="str">
        <f aca="false">IF(A53="","",(1/Inputs!$B$9)*(PI()*(Inputs!$F$8/1000)^2/4)*((Inputs!$F$8/1000/4)^(2/3))*SQRT(N53))</f>
        <v/>
      </c>
      <c r="AH53" s="9" t="str">
        <f aca="false">IF(A53="","",(1/Inputs!$B$9)*(PI()*(Inputs!$F$9/1000)^2/4)*((Inputs!$F$9/1000/4)^(2/3))*SQRT(N53))</f>
        <v/>
      </c>
      <c r="AI53" s="9" t="str">
        <f aca="false">IF(A53="","",(1/Inputs!$B$9)*(PI()*(Inputs!$F$10/1000)^2/4)*((Inputs!$F$10/1000/4)^(2/3))*SQRT(N53))</f>
        <v/>
      </c>
      <c r="AJ53" s="9" t="str">
        <f aca="false">IF(A53="","",(1/Inputs!$B$9)*(PI()*(Inputs!$F$11/1000)^2/4)*((Inputs!$F$11/1000/4)^(2/3))*SQRT(N53))</f>
        <v/>
      </c>
      <c r="AK53" s="9" t="str">
        <f aca="false">IF(A53="","",(1/Inputs!$B$9)*(PI()*(Inputs!$F$12/1000)^2/4)*((Inputs!$F$12/1000/4)^(2/3))*SQRT(N53))</f>
        <v/>
      </c>
      <c r="AL53" s="9" t="str">
        <f aca="false">IF(A53="","",(1/Inputs!$B$9)*(PI()*(Inputs!$F$13/1000)^2/4)*((Inputs!$F$13/1000/4)^(2/3))*SQRT(N53))</f>
        <v/>
      </c>
      <c r="AM53" s="9" t="str">
        <f aca="false">IF(A53="","",(1/Inputs!$B$9)*(PI()*(Inputs!$F$14/1000)^2/4)*((Inputs!$F$14/1000/4)^(2/3))*SQRT(N53))</f>
        <v/>
      </c>
      <c r="AN53" s="9" t="str">
        <f aca="false">IF(A53="","",COUNTIF($B$4:$B$203,$A53))</f>
        <v/>
      </c>
      <c r="AO53" s="9" t="str">
        <f aca="false">IF(A53="","",IF(AN53=0,"START","CONTINUOUS"))</f>
        <v/>
      </c>
      <c r="AP53" s="13" t="str">
        <f aca="false">IF(A53="","",IF(H53="",Inputs!$B$18,H53))</f>
        <v/>
      </c>
      <c r="AQ53" s="13" t="str">
        <f aca="false">IF(A53="","",IFERROR(maxifs($AS$4:$AS$203,$B$4:$B$203,$A53),""))</f>
        <v/>
      </c>
      <c r="AR53" s="13" t="str">
        <f aca="false">IF(A53="","",IF(OR(C53="",Inputs!$B$23=""),"",C53/(Inputs!$B$23*60)))</f>
        <v/>
      </c>
      <c r="AS53" s="13" t="str">
        <f aca="false">IF(A53="","",IF(AN53=0,AP53+AR53,IF(AQ53="",AP53+AR53,AQ53+AR53)))</f>
        <v/>
      </c>
      <c r="AT53" s="13" t="str">
        <f aca="false">IF(A53="","",U53)</f>
        <v/>
      </c>
      <c r="AU53" s="13" t="str">
        <f aca="false">IF(OR(R53="",N53=""),"",(1/Inputs!$B$9)*((R53/4)^(2/3))*SQRT(N53))</f>
        <v/>
      </c>
      <c r="AV53" s="13" t="str">
        <f aca="false">IF(A53="","",IF(AND(AT53="",AU53="",AX53=""),"",IF(OR(UPPER(TRIM(Inputs!$B$24))="MANNING",UPPER(TRIM(Inputs!$B$24))="M"),AU53,IF(OR(UPPER(TRIM(Inputs!$B$24))="PARTIAL",UPPER(TRIM(Inputs!$B$24))="P"),AX53,IF(OR(UPPER(TRIM(Inputs!$B$24))="MAX",UPPER(TRIM(Inputs!$B$24))="X"),MAX(IF(AT53="",0,AT53),IF(AU53="",0,AU53),IF(AX53="",0,AX53)),AT53)))))</f>
        <v/>
      </c>
      <c r="AW53" s="13" t="str">
        <f aca="false">IF(AY53="","",CE53)</f>
        <v/>
      </c>
      <c r="AX53" s="13" t="str">
        <f aca="false">IF(OR(AY53="",AW53="",R53="",R53&lt;=0,AW53&lt;=0),"",AY53/((R53^2/8)*(2*ACOS(1-2*AW53/R53)-SIN(2*ACOS(1-2*AW53/R53)))))</f>
        <v/>
      </c>
      <c r="AY53" s="9" t="str">
        <f aca="false">IF(OR(L53="",AZ53=""),"",MIN(L53,AZ53))</f>
        <v/>
      </c>
      <c r="AZ53" s="9" t="str">
        <f aca="false">IF(OR(L53="",R53="",N53=""),"",IF(OR(R53="",N53="",(0.94*R53)="",R53&lt;=0,(0.94*R53)&lt;=0),"",(1/Inputs!$B$9)*((R53^2/8)*((2*ACOS(1-2*(0.94*R53)/R53))-SIN((2*ACOS(1-2*(0.94*R53)/R53)))))*((((R53^2/8)*((2*ACOS(1-2*(0.94*R53)/R53))-SIN((2*ACOS(1-2*(0.94*R53)/R53)))))/((R53/2)*((2*ACOS(1-2*(0.94*R53)/R53)))))^(2/3))*SQRT(N53)))</f>
        <v/>
      </c>
      <c r="BA53" s="9" t="str">
        <f aca="false">IF(AY53="","",0.001*R53)</f>
        <v/>
      </c>
      <c r="BB53" s="9" t="str">
        <f aca="false">IF(AY53="","",0.94*R53)</f>
        <v/>
      </c>
      <c r="BC53" s="9" t="str">
        <f aca="false">IF(AY53="","",(BA53+BB53)/2)</f>
        <v/>
      </c>
      <c r="BD53" s="9" t="str">
        <f aca="false">IF(OR(R53="",N53="",BC53="",R53&lt;=0,BC53&lt;=0),"",(1/Inputs!$B$9)*((R53^2/8)*((2*ACOS(1-2*BC53/R53))-SIN((2*ACOS(1-2*BC53/R53)))))*((((R53^2/8)*((2*ACOS(1-2*BC53/R53))-SIN((2*ACOS(1-2*BC53/R53)))))/((R53/2)*((2*ACOS(1-2*BC53/R53)))))^(2/3))*SQRT(N53))</f>
        <v/>
      </c>
      <c r="BE53" s="9" t="str">
        <f aca="false">IF(AY53="","",IF(BD53&lt;AY53,BC53,BA53))</f>
        <v/>
      </c>
      <c r="BF53" s="9" t="str">
        <f aca="false">IF(AY53="","",IF(BD53&lt;AY53,BB53,BC53))</f>
        <v/>
      </c>
      <c r="BG53" s="9" t="str">
        <f aca="false">IF(AY53="","",(BE53+BF53)/2)</f>
        <v/>
      </c>
      <c r="BH53" s="9" t="str">
        <f aca="false">IF(OR(R53="",N53="",BG53="",R53&lt;=0,BG53&lt;=0),"",(1/Inputs!$B$9)*((R53^2/8)*((2*ACOS(1-2*BG53/R53))-SIN((2*ACOS(1-2*BG53/R53)))))*((((R53^2/8)*((2*ACOS(1-2*BG53/R53))-SIN((2*ACOS(1-2*BG53/R53)))))/((R53/2)*((2*ACOS(1-2*BG53/R53)))))^(2/3))*SQRT(N53))</f>
        <v/>
      </c>
      <c r="BI53" s="9" t="str">
        <f aca="false">IF(AY53="","",IF(BH53&lt;AY53,BG53,BE53))</f>
        <v/>
      </c>
      <c r="BJ53" s="9" t="str">
        <f aca="false">IF(AY53="","",IF(BH53&lt;AY53,BF53,BG53))</f>
        <v/>
      </c>
      <c r="BK53" s="9" t="str">
        <f aca="false">IF(AY53="","",(BI53+BJ53)/2)</f>
        <v/>
      </c>
      <c r="BL53" s="9" t="str">
        <f aca="false">IF(OR(R53="",N53="",BK53="",R53&lt;=0,BK53&lt;=0),"",(1/Inputs!$B$9)*((R53^2/8)*((2*ACOS(1-2*BK53/R53))-SIN((2*ACOS(1-2*BK53/R53)))))*((((R53^2/8)*((2*ACOS(1-2*BK53/R53))-SIN((2*ACOS(1-2*BK53/R53)))))/((R53/2)*((2*ACOS(1-2*BK53/R53)))))^(2/3))*SQRT(N53))</f>
        <v/>
      </c>
      <c r="BM53" s="9" t="str">
        <f aca="false">IF(AY53="","",IF(BL53&lt;AY53,BK53,BI53))</f>
        <v/>
      </c>
      <c r="BN53" s="9" t="str">
        <f aca="false">IF(AY53="","",IF(BL53&lt;AY53,BJ53,BK53))</f>
        <v/>
      </c>
      <c r="BO53" s="9" t="str">
        <f aca="false">IF(AY53="","",(BM53+BN53)/2)</f>
        <v/>
      </c>
      <c r="BP53" s="9" t="str">
        <f aca="false">IF(OR(R53="",N53="",BO53="",R53&lt;=0,BO53&lt;=0),"",(1/Inputs!$B$9)*((R53^2/8)*((2*ACOS(1-2*BO53/R53))-SIN((2*ACOS(1-2*BO53/R53)))))*((((R53^2/8)*((2*ACOS(1-2*BO53/R53))-SIN((2*ACOS(1-2*BO53/R53)))))/((R53/2)*((2*ACOS(1-2*BO53/R53)))))^(2/3))*SQRT(N53))</f>
        <v/>
      </c>
      <c r="BQ53" s="9" t="str">
        <f aca="false">IF(AY53="","",IF(BP53&lt;AY53,BO53,BM53))</f>
        <v/>
      </c>
      <c r="BR53" s="9" t="str">
        <f aca="false">IF(AY53="","",IF(BP53&lt;AY53,BN53,BO53))</f>
        <v/>
      </c>
      <c r="BS53" s="9" t="str">
        <f aca="false">IF(AY53="","",(BQ53+BR53)/2)</f>
        <v/>
      </c>
      <c r="BT53" s="9" t="str">
        <f aca="false">IF(OR(R53="",N53="",BS53="",R53&lt;=0,BS53&lt;=0),"",(1/Inputs!$B$9)*((R53^2/8)*((2*ACOS(1-2*BS53/R53))-SIN((2*ACOS(1-2*BS53/R53)))))*((((R53^2/8)*((2*ACOS(1-2*BS53/R53))-SIN((2*ACOS(1-2*BS53/R53)))))/((R53/2)*((2*ACOS(1-2*BS53/R53)))))^(2/3))*SQRT(N53))</f>
        <v/>
      </c>
      <c r="BU53" s="9" t="str">
        <f aca="false">IF(AY53="","",IF(BT53&lt;AY53,BS53,BQ53))</f>
        <v/>
      </c>
      <c r="BV53" s="9" t="str">
        <f aca="false">IF(AY53="","",IF(BT53&lt;AY53,BR53,BS53))</f>
        <v/>
      </c>
      <c r="BW53" s="9" t="str">
        <f aca="false">IF(AY53="","",(BU53+BV53)/2)</f>
        <v/>
      </c>
      <c r="BX53" s="9" t="str">
        <f aca="false">IF(OR(R53="",N53="",BW53="",R53&lt;=0,BW53&lt;=0),"",(1/Inputs!$B$9)*((R53^2/8)*((2*ACOS(1-2*BW53/R53))-SIN((2*ACOS(1-2*BW53/R53)))))*((((R53^2/8)*((2*ACOS(1-2*BW53/R53))-SIN((2*ACOS(1-2*BW53/R53)))))/((R53/2)*((2*ACOS(1-2*BW53/R53)))))^(2/3))*SQRT(N53))</f>
        <v/>
      </c>
      <c r="BY53" s="9" t="str">
        <f aca="false">IF(AY53="","",IF(BX53&lt;AY53,BW53,BU53))</f>
        <v/>
      </c>
      <c r="BZ53" s="9" t="str">
        <f aca="false">IF(AY53="","",IF(BX53&lt;AY53,BV53,BW53))</f>
        <v/>
      </c>
      <c r="CA53" s="9" t="str">
        <f aca="false">IF(AY53="","",(BY53+BZ53)/2)</f>
        <v/>
      </c>
      <c r="CB53" s="9" t="str">
        <f aca="false">IF(OR(R53="",N53="",CA53="",R53&lt;=0,CA53&lt;=0),"",(1/Inputs!$B$9)*((R53^2/8)*((2*ACOS(1-2*CA53/R53))-SIN((2*ACOS(1-2*CA53/R53)))))*((((R53^2/8)*((2*ACOS(1-2*CA53/R53))-SIN((2*ACOS(1-2*CA53/R53)))))/((R53/2)*((2*ACOS(1-2*CA53/R53)))))^(2/3))*SQRT(N53))</f>
        <v/>
      </c>
      <c r="CC53" s="9" t="str">
        <f aca="false">IF(AY53="","",IF(CB53&lt;AY53,CA53,BY53))</f>
        <v/>
      </c>
      <c r="CD53" s="9" t="str">
        <f aca="false">IF(AY53="","",IF(CB53&lt;AY53,BZ53,CA53))</f>
        <v/>
      </c>
      <c r="CE53" s="9" t="str">
        <f aca="false">IF(AY53="","",(CC53+CD53)/2)</f>
        <v/>
      </c>
    </row>
    <row r="54" customFormat="false" ht="15" hidden="false" customHeight="false" outlineLevel="0" collapsed="false">
      <c r="A54" s="9"/>
      <c r="B54" s="9"/>
      <c r="C54" s="14"/>
      <c r="D54" s="14"/>
      <c r="E54" s="14" t="n">
        <f aca="false">SUMIFS(CB_Tributaires!$C:$C,CB_Tributaires!$B:$B,$A54)</f>
        <v>0</v>
      </c>
      <c r="F54" s="14" t="n">
        <f aca="false">IF(D54="",E54,D54)</f>
        <v>0</v>
      </c>
      <c r="G54" s="9"/>
      <c r="H54" s="14"/>
      <c r="I54" s="14" t="str">
        <f aca="false">IF(A54="","",Inputs!$B$13/((IF(AS54="",Inputs!$B$18,AS54)+Inputs!$B$14)^Inputs!$B$15))</f>
        <v/>
      </c>
      <c r="J54" s="14" t="str">
        <f aca="false">IF(A54="","",0.000000278*IF(G54="",Inputs!$B$17,G54)*F54*I54)</f>
        <v/>
      </c>
      <c r="K54" s="14" t="str">
        <f aca="false">IF(A54="","",SUMIFS($L$4:$L$203,$B$4:$B$203,$A54))</f>
        <v/>
      </c>
      <c r="L54" s="14" t="str">
        <f aca="false">IF(A54="","",(J54+K54)*Inputs!$B$16)</f>
        <v/>
      </c>
      <c r="M54" s="14"/>
      <c r="N54" s="14" t="str">
        <f aca="false">IF(A54="","",IF(M54="",Inputs!$B$7,M54))</f>
        <v/>
      </c>
      <c r="O54" s="9" t="str">
        <f aca="false">IF(A54="","",IF(L54/Inputs!$B$10&lt;=AD54,Inputs!$F$5,IF(L54/Inputs!$B$10&gt;AM54,"OVERSIZE",INDEX(Inputs!$F$5:$F$14,MATCH(L54/Inputs!$B$10,AD54:AM54,1)+1))))</f>
        <v/>
      </c>
      <c r="P54" s="9"/>
      <c r="Q54" s="9" t="str">
        <f aca="false">IF(A54="","",IF(P54="",O54,P54))</f>
        <v/>
      </c>
      <c r="R54" s="14" t="str">
        <f aca="false">IF(OR(Q54="",Q54="OVERSIZE"),"",Q54/1000)</f>
        <v/>
      </c>
      <c r="S54" s="14" t="str">
        <f aca="false">IF(R54="","",(1/Inputs!$B$9)*(PI()*R54^2/4)*((R54/4)^(2/3))*SQRT(N54))</f>
        <v/>
      </c>
      <c r="T54" s="14" t="str">
        <f aca="false">IF(OR(S54="",L54=""),"",L54/(S54*Inputs!$B$10))</f>
        <v/>
      </c>
      <c r="U54" s="14" t="str">
        <f aca="false">IF(OR(R54="",L54=""),"",4*L54/(PI()*R54^2))</f>
        <v/>
      </c>
      <c r="V54" s="14"/>
      <c r="W54" s="14" t="str">
        <f aca="false">IF(A54="","",IF(A54=Inputs!$B$6,Inputs!$B$22,IF(B54="","",IFERROR(INDEX($X$4:$X$203,MATCH(B54,$A$4:$A$203,0))+IF(V54="",Inputs!$B$20,V54),""))))</f>
        <v/>
      </c>
      <c r="X54" s="14" t="str">
        <f aca="false">IF(OR(W54="",N54="",C54=""),"",W54+N54*C54)</f>
        <v/>
      </c>
      <c r="Y54" s="14"/>
      <c r="Z54" s="14"/>
      <c r="AA54" s="14" t="str">
        <f aca="false">IF(OR(Y54="",W54=""),"",Y54-W54)</f>
        <v/>
      </c>
      <c r="AB54" s="14" t="str">
        <f aca="false">IF(OR(Z54="",X54=""),"",Z54-X54)</f>
        <v/>
      </c>
      <c r="AC54" s="19" t="str">
        <f aca="false">IF(A54="","",IF(OR(T54&gt;1,AND(AV54&lt;&gt;"",AV54&lt;Inputs!$B$11),AND(AV54&lt;&gt;"",AV54&gt;Inputs!$B$12),AA54&lt;Inputs!$B$19,AB54&lt;Inputs!$B$19,N54&lt;Inputs!$B$7,N54&gt;Inputs!$B$8),"CHECK","OK"))</f>
        <v/>
      </c>
      <c r="AD54" s="9" t="str">
        <f aca="false">IF(A54="","",(1/Inputs!$B$9)*(PI()*(Inputs!$F$5/1000)^2/4)*((Inputs!$F$5/1000/4)^(2/3))*SQRT(N54))</f>
        <v/>
      </c>
      <c r="AE54" s="9" t="str">
        <f aca="false">IF(A54="","",(1/Inputs!$B$9)*(PI()*(Inputs!$F$6/1000)^2/4)*((Inputs!$F$6/1000/4)^(2/3))*SQRT(N54))</f>
        <v/>
      </c>
      <c r="AF54" s="9" t="str">
        <f aca="false">IF(A54="","",(1/Inputs!$B$9)*(PI()*(Inputs!$F$7/1000)^2/4)*((Inputs!$F$7/1000/4)^(2/3))*SQRT(N54))</f>
        <v/>
      </c>
      <c r="AG54" s="9" t="str">
        <f aca="false">IF(A54="","",(1/Inputs!$B$9)*(PI()*(Inputs!$F$8/1000)^2/4)*((Inputs!$F$8/1000/4)^(2/3))*SQRT(N54))</f>
        <v/>
      </c>
      <c r="AH54" s="9" t="str">
        <f aca="false">IF(A54="","",(1/Inputs!$B$9)*(PI()*(Inputs!$F$9/1000)^2/4)*((Inputs!$F$9/1000/4)^(2/3))*SQRT(N54))</f>
        <v/>
      </c>
      <c r="AI54" s="9" t="str">
        <f aca="false">IF(A54="","",(1/Inputs!$B$9)*(PI()*(Inputs!$F$10/1000)^2/4)*((Inputs!$F$10/1000/4)^(2/3))*SQRT(N54))</f>
        <v/>
      </c>
      <c r="AJ54" s="9" t="str">
        <f aca="false">IF(A54="","",(1/Inputs!$B$9)*(PI()*(Inputs!$F$11/1000)^2/4)*((Inputs!$F$11/1000/4)^(2/3))*SQRT(N54))</f>
        <v/>
      </c>
      <c r="AK54" s="9" t="str">
        <f aca="false">IF(A54="","",(1/Inputs!$B$9)*(PI()*(Inputs!$F$12/1000)^2/4)*((Inputs!$F$12/1000/4)^(2/3))*SQRT(N54))</f>
        <v/>
      </c>
      <c r="AL54" s="9" t="str">
        <f aca="false">IF(A54="","",(1/Inputs!$B$9)*(PI()*(Inputs!$F$13/1000)^2/4)*((Inputs!$F$13/1000/4)^(2/3))*SQRT(N54))</f>
        <v/>
      </c>
      <c r="AM54" s="9" t="str">
        <f aca="false">IF(A54="","",(1/Inputs!$B$9)*(PI()*(Inputs!$F$14/1000)^2/4)*((Inputs!$F$14/1000/4)^(2/3))*SQRT(N54))</f>
        <v/>
      </c>
      <c r="AN54" s="9" t="str">
        <f aca="false">IF(A54="","",COUNTIF($B$4:$B$203,$A54))</f>
        <v/>
      </c>
      <c r="AO54" s="9" t="str">
        <f aca="false">IF(A54="","",IF(AN54=0,"START","CONTINUOUS"))</f>
        <v/>
      </c>
      <c r="AP54" s="13" t="str">
        <f aca="false">IF(A54="","",IF(H54="",Inputs!$B$18,H54))</f>
        <v/>
      </c>
      <c r="AQ54" s="13" t="str">
        <f aca="false">IF(A54="","",IFERROR(maxifs($AS$4:$AS$203,$B$4:$B$203,$A54),""))</f>
        <v/>
      </c>
      <c r="AR54" s="13" t="str">
        <f aca="false">IF(A54="","",IF(OR(C54="",Inputs!$B$23=""),"",C54/(Inputs!$B$23*60)))</f>
        <v/>
      </c>
      <c r="AS54" s="13" t="str">
        <f aca="false">IF(A54="","",IF(AN54=0,AP54+AR54,IF(AQ54="",AP54+AR54,AQ54+AR54)))</f>
        <v/>
      </c>
      <c r="AT54" s="13" t="str">
        <f aca="false">IF(A54="","",U54)</f>
        <v/>
      </c>
      <c r="AU54" s="13" t="str">
        <f aca="false">IF(OR(R54="",N54=""),"",(1/Inputs!$B$9)*((R54/4)^(2/3))*SQRT(N54))</f>
        <v/>
      </c>
      <c r="AV54" s="13" t="str">
        <f aca="false">IF(A54="","",IF(AND(AT54="",AU54="",AX54=""),"",IF(OR(UPPER(TRIM(Inputs!$B$24))="MANNING",UPPER(TRIM(Inputs!$B$24))="M"),AU54,IF(OR(UPPER(TRIM(Inputs!$B$24))="PARTIAL",UPPER(TRIM(Inputs!$B$24))="P"),AX54,IF(OR(UPPER(TRIM(Inputs!$B$24))="MAX",UPPER(TRIM(Inputs!$B$24))="X"),MAX(IF(AT54="",0,AT54),IF(AU54="",0,AU54),IF(AX54="",0,AX54)),AT54)))))</f>
        <v/>
      </c>
      <c r="AW54" s="13" t="str">
        <f aca="false">IF(AY54="","",CE54)</f>
        <v/>
      </c>
      <c r="AX54" s="13" t="str">
        <f aca="false">IF(OR(AY54="",AW54="",R54="",R54&lt;=0,AW54&lt;=0),"",AY54/((R54^2/8)*(2*ACOS(1-2*AW54/R54)-SIN(2*ACOS(1-2*AW54/R54)))))</f>
        <v/>
      </c>
      <c r="AY54" s="9" t="str">
        <f aca="false">IF(OR(L54="",AZ54=""),"",MIN(L54,AZ54))</f>
        <v/>
      </c>
      <c r="AZ54" s="9" t="str">
        <f aca="false">IF(OR(L54="",R54="",N54=""),"",IF(OR(R54="",N54="",(0.94*R54)="",R54&lt;=0,(0.94*R54)&lt;=0),"",(1/Inputs!$B$9)*((R54^2/8)*((2*ACOS(1-2*(0.94*R54)/R54))-SIN((2*ACOS(1-2*(0.94*R54)/R54)))))*((((R54^2/8)*((2*ACOS(1-2*(0.94*R54)/R54))-SIN((2*ACOS(1-2*(0.94*R54)/R54)))))/((R54/2)*((2*ACOS(1-2*(0.94*R54)/R54)))))^(2/3))*SQRT(N54)))</f>
        <v/>
      </c>
      <c r="BA54" s="9" t="str">
        <f aca="false">IF(AY54="","",0.001*R54)</f>
        <v/>
      </c>
      <c r="BB54" s="9" t="str">
        <f aca="false">IF(AY54="","",0.94*R54)</f>
        <v/>
      </c>
      <c r="BC54" s="9" t="str">
        <f aca="false">IF(AY54="","",(BA54+BB54)/2)</f>
        <v/>
      </c>
      <c r="BD54" s="9" t="str">
        <f aca="false">IF(OR(R54="",N54="",BC54="",R54&lt;=0,BC54&lt;=0),"",(1/Inputs!$B$9)*((R54^2/8)*((2*ACOS(1-2*BC54/R54))-SIN((2*ACOS(1-2*BC54/R54)))))*((((R54^2/8)*((2*ACOS(1-2*BC54/R54))-SIN((2*ACOS(1-2*BC54/R54)))))/((R54/2)*((2*ACOS(1-2*BC54/R54)))))^(2/3))*SQRT(N54))</f>
        <v/>
      </c>
      <c r="BE54" s="9" t="str">
        <f aca="false">IF(AY54="","",IF(BD54&lt;AY54,BC54,BA54))</f>
        <v/>
      </c>
      <c r="BF54" s="9" t="str">
        <f aca="false">IF(AY54="","",IF(BD54&lt;AY54,BB54,BC54))</f>
        <v/>
      </c>
      <c r="BG54" s="9" t="str">
        <f aca="false">IF(AY54="","",(BE54+BF54)/2)</f>
        <v/>
      </c>
      <c r="BH54" s="9" t="str">
        <f aca="false">IF(OR(R54="",N54="",BG54="",R54&lt;=0,BG54&lt;=0),"",(1/Inputs!$B$9)*((R54^2/8)*((2*ACOS(1-2*BG54/R54))-SIN((2*ACOS(1-2*BG54/R54)))))*((((R54^2/8)*((2*ACOS(1-2*BG54/R54))-SIN((2*ACOS(1-2*BG54/R54)))))/((R54/2)*((2*ACOS(1-2*BG54/R54)))))^(2/3))*SQRT(N54))</f>
        <v/>
      </c>
      <c r="BI54" s="9" t="str">
        <f aca="false">IF(AY54="","",IF(BH54&lt;AY54,BG54,BE54))</f>
        <v/>
      </c>
      <c r="BJ54" s="9" t="str">
        <f aca="false">IF(AY54="","",IF(BH54&lt;AY54,BF54,BG54))</f>
        <v/>
      </c>
      <c r="BK54" s="9" t="str">
        <f aca="false">IF(AY54="","",(BI54+BJ54)/2)</f>
        <v/>
      </c>
      <c r="BL54" s="9" t="str">
        <f aca="false">IF(OR(R54="",N54="",BK54="",R54&lt;=0,BK54&lt;=0),"",(1/Inputs!$B$9)*((R54^2/8)*((2*ACOS(1-2*BK54/R54))-SIN((2*ACOS(1-2*BK54/R54)))))*((((R54^2/8)*((2*ACOS(1-2*BK54/R54))-SIN((2*ACOS(1-2*BK54/R54)))))/((R54/2)*((2*ACOS(1-2*BK54/R54)))))^(2/3))*SQRT(N54))</f>
        <v/>
      </c>
      <c r="BM54" s="9" t="str">
        <f aca="false">IF(AY54="","",IF(BL54&lt;AY54,BK54,BI54))</f>
        <v/>
      </c>
      <c r="BN54" s="9" t="str">
        <f aca="false">IF(AY54="","",IF(BL54&lt;AY54,BJ54,BK54))</f>
        <v/>
      </c>
      <c r="BO54" s="9" t="str">
        <f aca="false">IF(AY54="","",(BM54+BN54)/2)</f>
        <v/>
      </c>
      <c r="BP54" s="9" t="str">
        <f aca="false">IF(OR(R54="",N54="",BO54="",R54&lt;=0,BO54&lt;=0),"",(1/Inputs!$B$9)*((R54^2/8)*((2*ACOS(1-2*BO54/R54))-SIN((2*ACOS(1-2*BO54/R54)))))*((((R54^2/8)*((2*ACOS(1-2*BO54/R54))-SIN((2*ACOS(1-2*BO54/R54)))))/((R54/2)*((2*ACOS(1-2*BO54/R54)))))^(2/3))*SQRT(N54))</f>
        <v/>
      </c>
      <c r="BQ54" s="9" t="str">
        <f aca="false">IF(AY54="","",IF(BP54&lt;AY54,BO54,BM54))</f>
        <v/>
      </c>
      <c r="BR54" s="9" t="str">
        <f aca="false">IF(AY54="","",IF(BP54&lt;AY54,BN54,BO54))</f>
        <v/>
      </c>
      <c r="BS54" s="9" t="str">
        <f aca="false">IF(AY54="","",(BQ54+BR54)/2)</f>
        <v/>
      </c>
      <c r="BT54" s="9" t="str">
        <f aca="false">IF(OR(R54="",N54="",BS54="",R54&lt;=0,BS54&lt;=0),"",(1/Inputs!$B$9)*((R54^2/8)*((2*ACOS(1-2*BS54/R54))-SIN((2*ACOS(1-2*BS54/R54)))))*((((R54^2/8)*((2*ACOS(1-2*BS54/R54))-SIN((2*ACOS(1-2*BS54/R54)))))/((R54/2)*((2*ACOS(1-2*BS54/R54)))))^(2/3))*SQRT(N54))</f>
        <v/>
      </c>
      <c r="BU54" s="9" t="str">
        <f aca="false">IF(AY54="","",IF(BT54&lt;AY54,BS54,BQ54))</f>
        <v/>
      </c>
      <c r="BV54" s="9" t="str">
        <f aca="false">IF(AY54="","",IF(BT54&lt;AY54,BR54,BS54))</f>
        <v/>
      </c>
      <c r="BW54" s="9" t="str">
        <f aca="false">IF(AY54="","",(BU54+BV54)/2)</f>
        <v/>
      </c>
      <c r="BX54" s="9" t="str">
        <f aca="false">IF(OR(R54="",N54="",BW54="",R54&lt;=0,BW54&lt;=0),"",(1/Inputs!$B$9)*((R54^2/8)*((2*ACOS(1-2*BW54/R54))-SIN((2*ACOS(1-2*BW54/R54)))))*((((R54^2/8)*((2*ACOS(1-2*BW54/R54))-SIN((2*ACOS(1-2*BW54/R54)))))/((R54/2)*((2*ACOS(1-2*BW54/R54)))))^(2/3))*SQRT(N54))</f>
        <v/>
      </c>
      <c r="BY54" s="9" t="str">
        <f aca="false">IF(AY54="","",IF(BX54&lt;AY54,BW54,BU54))</f>
        <v/>
      </c>
      <c r="BZ54" s="9" t="str">
        <f aca="false">IF(AY54="","",IF(BX54&lt;AY54,BV54,BW54))</f>
        <v/>
      </c>
      <c r="CA54" s="9" t="str">
        <f aca="false">IF(AY54="","",(BY54+BZ54)/2)</f>
        <v/>
      </c>
      <c r="CB54" s="9" t="str">
        <f aca="false">IF(OR(R54="",N54="",CA54="",R54&lt;=0,CA54&lt;=0),"",(1/Inputs!$B$9)*((R54^2/8)*((2*ACOS(1-2*CA54/R54))-SIN((2*ACOS(1-2*CA54/R54)))))*((((R54^2/8)*((2*ACOS(1-2*CA54/R54))-SIN((2*ACOS(1-2*CA54/R54)))))/((R54/2)*((2*ACOS(1-2*CA54/R54)))))^(2/3))*SQRT(N54))</f>
        <v/>
      </c>
      <c r="CC54" s="9" t="str">
        <f aca="false">IF(AY54="","",IF(CB54&lt;AY54,CA54,BY54))</f>
        <v/>
      </c>
      <c r="CD54" s="9" t="str">
        <f aca="false">IF(AY54="","",IF(CB54&lt;AY54,BZ54,CA54))</f>
        <v/>
      </c>
      <c r="CE54" s="9" t="str">
        <f aca="false">IF(AY54="","",(CC54+CD54)/2)</f>
        <v/>
      </c>
    </row>
    <row r="55" customFormat="false" ht="15" hidden="false" customHeight="false" outlineLevel="0" collapsed="false">
      <c r="A55" s="9"/>
      <c r="B55" s="9"/>
      <c r="C55" s="14"/>
      <c r="D55" s="14"/>
      <c r="E55" s="14" t="n">
        <f aca="false">SUMIFS(CB_Tributaires!$C:$C,CB_Tributaires!$B:$B,$A55)</f>
        <v>0</v>
      </c>
      <c r="F55" s="14" t="n">
        <f aca="false">IF(D55="",E55,D55)</f>
        <v>0</v>
      </c>
      <c r="G55" s="9"/>
      <c r="H55" s="14"/>
      <c r="I55" s="14" t="str">
        <f aca="false">IF(A55="","",Inputs!$B$13/((IF(AS55="",Inputs!$B$18,AS55)+Inputs!$B$14)^Inputs!$B$15))</f>
        <v/>
      </c>
      <c r="J55" s="14" t="str">
        <f aca="false">IF(A55="","",0.000000278*IF(G55="",Inputs!$B$17,G55)*F55*I55)</f>
        <v/>
      </c>
      <c r="K55" s="14" t="str">
        <f aca="false">IF(A55="","",SUMIFS($L$4:$L$203,$B$4:$B$203,$A55))</f>
        <v/>
      </c>
      <c r="L55" s="14" t="str">
        <f aca="false">IF(A55="","",(J55+K55)*Inputs!$B$16)</f>
        <v/>
      </c>
      <c r="M55" s="14"/>
      <c r="N55" s="14" t="str">
        <f aca="false">IF(A55="","",IF(M55="",Inputs!$B$7,M55))</f>
        <v/>
      </c>
      <c r="O55" s="9" t="str">
        <f aca="false">IF(A55="","",IF(L55/Inputs!$B$10&lt;=AD55,Inputs!$F$5,IF(L55/Inputs!$B$10&gt;AM55,"OVERSIZE",INDEX(Inputs!$F$5:$F$14,MATCH(L55/Inputs!$B$10,AD55:AM55,1)+1))))</f>
        <v/>
      </c>
      <c r="P55" s="9"/>
      <c r="Q55" s="9" t="str">
        <f aca="false">IF(A55="","",IF(P55="",O55,P55))</f>
        <v/>
      </c>
      <c r="R55" s="14" t="str">
        <f aca="false">IF(OR(Q55="",Q55="OVERSIZE"),"",Q55/1000)</f>
        <v/>
      </c>
      <c r="S55" s="14" t="str">
        <f aca="false">IF(R55="","",(1/Inputs!$B$9)*(PI()*R55^2/4)*((R55/4)^(2/3))*SQRT(N55))</f>
        <v/>
      </c>
      <c r="T55" s="14" t="str">
        <f aca="false">IF(OR(S55="",L55=""),"",L55/(S55*Inputs!$B$10))</f>
        <v/>
      </c>
      <c r="U55" s="14" t="str">
        <f aca="false">IF(OR(R55="",L55=""),"",4*L55/(PI()*R55^2))</f>
        <v/>
      </c>
      <c r="V55" s="14"/>
      <c r="W55" s="14" t="str">
        <f aca="false">IF(A55="","",IF(A55=Inputs!$B$6,Inputs!$B$22,IF(B55="","",IFERROR(INDEX($X$4:$X$203,MATCH(B55,$A$4:$A$203,0))+IF(V55="",Inputs!$B$20,V55),""))))</f>
        <v/>
      </c>
      <c r="X55" s="14" t="str">
        <f aca="false">IF(OR(W55="",N55="",C55=""),"",W55+N55*C55)</f>
        <v/>
      </c>
      <c r="Y55" s="14"/>
      <c r="Z55" s="14"/>
      <c r="AA55" s="14" t="str">
        <f aca="false">IF(OR(Y55="",W55=""),"",Y55-W55)</f>
        <v/>
      </c>
      <c r="AB55" s="14" t="str">
        <f aca="false">IF(OR(Z55="",X55=""),"",Z55-X55)</f>
        <v/>
      </c>
      <c r="AC55" s="19" t="str">
        <f aca="false">IF(A55="","",IF(OR(T55&gt;1,AND(AV55&lt;&gt;"",AV55&lt;Inputs!$B$11),AND(AV55&lt;&gt;"",AV55&gt;Inputs!$B$12),AA55&lt;Inputs!$B$19,AB55&lt;Inputs!$B$19,N55&lt;Inputs!$B$7,N55&gt;Inputs!$B$8),"CHECK","OK"))</f>
        <v/>
      </c>
      <c r="AD55" s="9" t="str">
        <f aca="false">IF(A55="","",(1/Inputs!$B$9)*(PI()*(Inputs!$F$5/1000)^2/4)*((Inputs!$F$5/1000/4)^(2/3))*SQRT(N55))</f>
        <v/>
      </c>
      <c r="AE55" s="9" t="str">
        <f aca="false">IF(A55="","",(1/Inputs!$B$9)*(PI()*(Inputs!$F$6/1000)^2/4)*((Inputs!$F$6/1000/4)^(2/3))*SQRT(N55))</f>
        <v/>
      </c>
      <c r="AF55" s="9" t="str">
        <f aca="false">IF(A55="","",(1/Inputs!$B$9)*(PI()*(Inputs!$F$7/1000)^2/4)*((Inputs!$F$7/1000/4)^(2/3))*SQRT(N55))</f>
        <v/>
      </c>
      <c r="AG55" s="9" t="str">
        <f aca="false">IF(A55="","",(1/Inputs!$B$9)*(PI()*(Inputs!$F$8/1000)^2/4)*((Inputs!$F$8/1000/4)^(2/3))*SQRT(N55))</f>
        <v/>
      </c>
      <c r="AH55" s="9" t="str">
        <f aca="false">IF(A55="","",(1/Inputs!$B$9)*(PI()*(Inputs!$F$9/1000)^2/4)*((Inputs!$F$9/1000/4)^(2/3))*SQRT(N55))</f>
        <v/>
      </c>
      <c r="AI55" s="9" t="str">
        <f aca="false">IF(A55="","",(1/Inputs!$B$9)*(PI()*(Inputs!$F$10/1000)^2/4)*((Inputs!$F$10/1000/4)^(2/3))*SQRT(N55))</f>
        <v/>
      </c>
      <c r="AJ55" s="9" t="str">
        <f aca="false">IF(A55="","",(1/Inputs!$B$9)*(PI()*(Inputs!$F$11/1000)^2/4)*((Inputs!$F$11/1000/4)^(2/3))*SQRT(N55))</f>
        <v/>
      </c>
      <c r="AK55" s="9" t="str">
        <f aca="false">IF(A55="","",(1/Inputs!$B$9)*(PI()*(Inputs!$F$12/1000)^2/4)*((Inputs!$F$12/1000/4)^(2/3))*SQRT(N55))</f>
        <v/>
      </c>
      <c r="AL55" s="9" t="str">
        <f aca="false">IF(A55="","",(1/Inputs!$B$9)*(PI()*(Inputs!$F$13/1000)^2/4)*((Inputs!$F$13/1000/4)^(2/3))*SQRT(N55))</f>
        <v/>
      </c>
      <c r="AM55" s="9" t="str">
        <f aca="false">IF(A55="","",(1/Inputs!$B$9)*(PI()*(Inputs!$F$14/1000)^2/4)*((Inputs!$F$14/1000/4)^(2/3))*SQRT(N55))</f>
        <v/>
      </c>
      <c r="AN55" s="9" t="str">
        <f aca="false">IF(A55="","",COUNTIF($B$4:$B$203,$A55))</f>
        <v/>
      </c>
      <c r="AO55" s="9" t="str">
        <f aca="false">IF(A55="","",IF(AN55=0,"START","CONTINUOUS"))</f>
        <v/>
      </c>
      <c r="AP55" s="13" t="str">
        <f aca="false">IF(A55="","",IF(H55="",Inputs!$B$18,H55))</f>
        <v/>
      </c>
      <c r="AQ55" s="13" t="str">
        <f aca="false">IF(A55="","",IFERROR(maxifs($AS$4:$AS$203,$B$4:$B$203,$A55),""))</f>
        <v/>
      </c>
      <c r="AR55" s="13" t="str">
        <f aca="false">IF(A55="","",IF(OR(C55="",Inputs!$B$23=""),"",C55/(Inputs!$B$23*60)))</f>
        <v/>
      </c>
      <c r="AS55" s="13" t="str">
        <f aca="false">IF(A55="","",IF(AN55=0,AP55+AR55,IF(AQ55="",AP55+AR55,AQ55+AR55)))</f>
        <v/>
      </c>
      <c r="AT55" s="13" t="str">
        <f aca="false">IF(A55="","",U55)</f>
        <v/>
      </c>
      <c r="AU55" s="13" t="str">
        <f aca="false">IF(OR(R55="",N55=""),"",(1/Inputs!$B$9)*((R55/4)^(2/3))*SQRT(N55))</f>
        <v/>
      </c>
      <c r="AV55" s="13" t="str">
        <f aca="false">IF(A55="","",IF(AND(AT55="",AU55="",AX55=""),"",IF(OR(UPPER(TRIM(Inputs!$B$24))="MANNING",UPPER(TRIM(Inputs!$B$24))="M"),AU55,IF(OR(UPPER(TRIM(Inputs!$B$24))="PARTIAL",UPPER(TRIM(Inputs!$B$24))="P"),AX55,IF(OR(UPPER(TRIM(Inputs!$B$24))="MAX",UPPER(TRIM(Inputs!$B$24))="X"),MAX(IF(AT55="",0,AT55),IF(AU55="",0,AU55),IF(AX55="",0,AX55)),AT55)))))</f>
        <v/>
      </c>
      <c r="AW55" s="13" t="str">
        <f aca="false">IF(AY55="","",CE55)</f>
        <v/>
      </c>
      <c r="AX55" s="13" t="str">
        <f aca="false">IF(OR(AY55="",AW55="",R55="",R55&lt;=0,AW55&lt;=0),"",AY55/((R55^2/8)*(2*ACOS(1-2*AW55/R55)-SIN(2*ACOS(1-2*AW55/R55)))))</f>
        <v/>
      </c>
      <c r="AY55" s="9" t="str">
        <f aca="false">IF(OR(L55="",AZ55=""),"",MIN(L55,AZ55))</f>
        <v/>
      </c>
      <c r="AZ55" s="9" t="str">
        <f aca="false">IF(OR(L55="",R55="",N55=""),"",IF(OR(R55="",N55="",(0.94*R55)="",R55&lt;=0,(0.94*R55)&lt;=0),"",(1/Inputs!$B$9)*((R55^2/8)*((2*ACOS(1-2*(0.94*R55)/R55))-SIN((2*ACOS(1-2*(0.94*R55)/R55)))))*((((R55^2/8)*((2*ACOS(1-2*(0.94*R55)/R55))-SIN((2*ACOS(1-2*(0.94*R55)/R55)))))/((R55/2)*((2*ACOS(1-2*(0.94*R55)/R55)))))^(2/3))*SQRT(N55)))</f>
        <v/>
      </c>
      <c r="BA55" s="9" t="str">
        <f aca="false">IF(AY55="","",0.001*R55)</f>
        <v/>
      </c>
      <c r="BB55" s="9" t="str">
        <f aca="false">IF(AY55="","",0.94*R55)</f>
        <v/>
      </c>
      <c r="BC55" s="9" t="str">
        <f aca="false">IF(AY55="","",(BA55+BB55)/2)</f>
        <v/>
      </c>
      <c r="BD55" s="9" t="str">
        <f aca="false">IF(OR(R55="",N55="",BC55="",R55&lt;=0,BC55&lt;=0),"",(1/Inputs!$B$9)*((R55^2/8)*((2*ACOS(1-2*BC55/R55))-SIN((2*ACOS(1-2*BC55/R55)))))*((((R55^2/8)*((2*ACOS(1-2*BC55/R55))-SIN((2*ACOS(1-2*BC55/R55)))))/((R55/2)*((2*ACOS(1-2*BC55/R55)))))^(2/3))*SQRT(N55))</f>
        <v/>
      </c>
      <c r="BE55" s="9" t="str">
        <f aca="false">IF(AY55="","",IF(BD55&lt;AY55,BC55,BA55))</f>
        <v/>
      </c>
      <c r="BF55" s="9" t="str">
        <f aca="false">IF(AY55="","",IF(BD55&lt;AY55,BB55,BC55))</f>
        <v/>
      </c>
      <c r="BG55" s="9" t="str">
        <f aca="false">IF(AY55="","",(BE55+BF55)/2)</f>
        <v/>
      </c>
      <c r="BH55" s="9" t="str">
        <f aca="false">IF(OR(R55="",N55="",BG55="",R55&lt;=0,BG55&lt;=0),"",(1/Inputs!$B$9)*((R55^2/8)*((2*ACOS(1-2*BG55/R55))-SIN((2*ACOS(1-2*BG55/R55)))))*((((R55^2/8)*((2*ACOS(1-2*BG55/R55))-SIN((2*ACOS(1-2*BG55/R55)))))/((R55/2)*((2*ACOS(1-2*BG55/R55)))))^(2/3))*SQRT(N55))</f>
        <v/>
      </c>
      <c r="BI55" s="9" t="str">
        <f aca="false">IF(AY55="","",IF(BH55&lt;AY55,BG55,BE55))</f>
        <v/>
      </c>
      <c r="BJ55" s="9" t="str">
        <f aca="false">IF(AY55="","",IF(BH55&lt;AY55,BF55,BG55))</f>
        <v/>
      </c>
      <c r="BK55" s="9" t="str">
        <f aca="false">IF(AY55="","",(BI55+BJ55)/2)</f>
        <v/>
      </c>
      <c r="BL55" s="9" t="str">
        <f aca="false">IF(OR(R55="",N55="",BK55="",R55&lt;=0,BK55&lt;=0),"",(1/Inputs!$B$9)*((R55^2/8)*((2*ACOS(1-2*BK55/R55))-SIN((2*ACOS(1-2*BK55/R55)))))*((((R55^2/8)*((2*ACOS(1-2*BK55/R55))-SIN((2*ACOS(1-2*BK55/R55)))))/((R55/2)*((2*ACOS(1-2*BK55/R55)))))^(2/3))*SQRT(N55))</f>
        <v/>
      </c>
      <c r="BM55" s="9" t="str">
        <f aca="false">IF(AY55="","",IF(BL55&lt;AY55,BK55,BI55))</f>
        <v/>
      </c>
      <c r="BN55" s="9" t="str">
        <f aca="false">IF(AY55="","",IF(BL55&lt;AY55,BJ55,BK55))</f>
        <v/>
      </c>
      <c r="BO55" s="9" t="str">
        <f aca="false">IF(AY55="","",(BM55+BN55)/2)</f>
        <v/>
      </c>
      <c r="BP55" s="9" t="str">
        <f aca="false">IF(OR(R55="",N55="",BO55="",R55&lt;=0,BO55&lt;=0),"",(1/Inputs!$B$9)*((R55^2/8)*((2*ACOS(1-2*BO55/R55))-SIN((2*ACOS(1-2*BO55/R55)))))*((((R55^2/8)*((2*ACOS(1-2*BO55/R55))-SIN((2*ACOS(1-2*BO55/R55)))))/((R55/2)*((2*ACOS(1-2*BO55/R55)))))^(2/3))*SQRT(N55))</f>
        <v/>
      </c>
      <c r="BQ55" s="9" t="str">
        <f aca="false">IF(AY55="","",IF(BP55&lt;AY55,BO55,BM55))</f>
        <v/>
      </c>
      <c r="BR55" s="9" t="str">
        <f aca="false">IF(AY55="","",IF(BP55&lt;AY55,BN55,BO55))</f>
        <v/>
      </c>
      <c r="BS55" s="9" t="str">
        <f aca="false">IF(AY55="","",(BQ55+BR55)/2)</f>
        <v/>
      </c>
      <c r="BT55" s="9" t="str">
        <f aca="false">IF(OR(R55="",N55="",BS55="",R55&lt;=0,BS55&lt;=0),"",(1/Inputs!$B$9)*((R55^2/8)*((2*ACOS(1-2*BS55/R55))-SIN((2*ACOS(1-2*BS55/R55)))))*((((R55^2/8)*((2*ACOS(1-2*BS55/R55))-SIN((2*ACOS(1-2*BS55/R55)))))/((R55/2)*((2*ACOS(1-2*BS55/R55)))))^(2/3))*SQRT(N55))</f>
        <v/>
      </c>
      <c r="BU55" s="9" t="str">
        <f aca="false">IF(AY55="","",IF(BT55&lt;AY55,BS55,BQ55))</f>
        <v/>
      </c>
      <c r="BV55" s="9" t="str">
        <f aca="false">IF(AY55="","",IF(BT55&lt;AY55,BR55,BS55))</f>
        <v/>
      </c>
      <c r="BW55" s="9" t="str">
        <f aca="false">IF(AY55="","",(BU55+BV55)/2)</f>
        <v/>
      </c>
      <c r="BX55" s="9" t="str">
        <f aca="false">IF(OR(R55="",N55="",BW55="",R55&lt;=0,BW55&lt;=0),"",(1/Inputs!$B$9)*((R55^2/8)*((2*ACOS(1-2*BW55/R55))-SIN((2*ACOS(1-2*BW55/R55)))))*((((R55^2/8)*((2*ACOS(1-2*BW55/R55))-SIN((2*ACOS(1-2*BW55/R55)))))/((R55/2)*((2*ACOS(1-2*BW55/R55)))))^(2/3))*SQRT(N55))</f>
        <v/>
      </c>
      <c r="BY55" s="9" t="str">
        <f aca="false">IF(AY55="","",IF(BX55&lt;AY55,BW55,BU55))</f>
        <v/>
      </c>
      <c r="BZ55" s="9" t="str">
        <f aca="false">IF(AY55="","",IF(BX55&lt;AY55,BV55,BW55))</f>
        <v/>
      </c>
      <c r="CA55" s="9" t="str">
        <f aca="false">IF(AY55="","",(BY55+BZ55)/2)</f>
        <v/>
      </c>
      <c r="CB55" s="9" t="str">
        <f aca="false">IF(OR(R55="",N55="",CA55="",R55&lt;=0,CA55&lt;=0),"",(1/Inputs!$B$9)*((R55^2/8)*((2*ACOS(1-2*CA55/R55))-SIN((2*ACOS(1-2*CA55/R55)))))*((((R55^2/8)*((2*ACOS(1-2*CA55/R55))-SIN((2*ACOS(1-2*CA55/R55)))))/((R55/2)*((2*ACOS(1-2*CA55/R55)))))^(2/3))*SQRT(N55))</f>
        <v/>
      </c>
      <c r="CC55" s="9" t="str">
        <f aca="false">IF(AY55="","",IF(CB55&lt;AY55,CA55,BY55))</f>
        <v/>
      </c>
      <c r="CD55" s="9" t="str">
        <f aca="false">IF(AY55="","",IF(CB55&lt;AY55,BZ55,CA55))</f>
        <v/>
      </c>
      <c r="CE55" s="9" t="str">
        <f aca="false">IF(AY55="","",(CC55+CD55)/2)</f>
        <v/>
      </c>
    </row>
    <row r="56" customFormat="false" ht="15" hidden="false" customHeight="false" outlineLevel="0" collapsed="false">
      <c r="A56" s="9"/>
      <c r="B56" s="9"/>
      <c r="C56" s="14"/>
      <c r="D56" s="14"/>
      <c r="E56" s="14" t="n">
        <f aca="false">SUMIFS(CB_Tributaires!$C:$C,CB_Tributaires!$B:$B,$A56)</f>
        <v>0</v>
      </c>
      <c r="F56" s="14" t="n">
        <f aca="false">IF(D56="",E56,D56)</f>
        <v>0</v>
      </c>
      <c r="G56" s="9"/>
      <c r="H56" s="14"/>
      <c r="I56" s="14" t="str">
        <f aca="false">IF(A56="","",Inputs!$B$13/((IF(AS56="",Inputs!$B$18,AS56)+Inputs!$B$14)^Inputs!$B$15))</f>
        <v/>
      </c>
      <c r="J56" s="14" t="str">
        <f aca="false">IF(A56="","",0.000000278*IF(G56="",Inputs!$B$17,G56)*F56*I56)</f>
        <v/>
      </c>
      <c r="K56" s="14" t="str">
        <f aca="false">IF(A56="","",SUMIFS($L$4:$L$203,$B$4:$B$203,$A56))</f>
        <v/>
      </c>
      <c r="L56" s="14" t="str">
        <f aca="false">IF(A56="","",(J56+K56)*Inputs!$B$16)</f>
        <v/>
      </c>
      <c r="M56" s="14"/>
      <c r="N56" s="14" t="str">
        <f aca="false">IF(A56="","",IF(M56="",Inputs!$B$7,M56))</f>
        <v/>
      </c>
      <c r="O56" s="9" t="str">
        <f aca="false">IF(A56="","",IF(L56/Inputs!$B$10&lt;=AD56,Inputs!$F$5,IF(L56/Inputs!$B$10&gt;AM56,"OVERSIZE",INDEX(Inputs!$F$5:$F$14,MATCH(L56/Inputs!$B$10,AD56:AM56,1)+1))))</f>
        <v/>
      </c>
      <c r="P56" s="9"/>
      <c r="Q56" s="9" t="str">
        <f aca="false">IF(A56="","",IF(P56="",O56,P56))</f>
        <v/>
      </c>
      <c r="R56" s="14" t="str">
        <f aca="false">IF(OR(Q56="",Q56="OVERSIZE"),"",Q56/1000)</f>
        <v/>
      </c>
      <c r="S56" s="14" t="str">
        <f aca="false">IF(R56="","",(1/Inputs!$B$9)*(PI()*R56^2/4)*((R56/4)^(2/3))*SQRT(N56))</f>
        <v/>
      </c>
      <c r="T56" s="14" t="str">
        <f aca="false">IF(OR(S56="",L56=""),"",L56/(S56*Inputs!$B$10))</f>
        <v/>
      </c>
      <c r="U56" s="14" t="str">
        <f aca="false">IF(OR(R56="",L56=""),"",4*L56/(PI()*R56^2))</f>
        <v/>
      </c>
      <c r="V56" s="14"/>
      <c r="W56" s="14" t="str">
        <f aca="false">IF(A56="","",IF(A56=Inputs!$B$6,Inputs!$B$22,IF(B56="","",IFERROR(INDEX($X$4:$X$203,MATCH(B56,$A$4:$A$203,0))+IF(V56="",Inputs!$B$20,V56),""))))</f>
        <v/>
      </c>
      <c r="X56" s="14" t="str">
        <f aca="false">IF(OR(W56="",N56="",C56=""),"",W56+N56*C56)</f>
        <v/>
      </c>
      <c r="Y56" s="14"/>
      <c r="Z56" s="14"/>
      <c r="AA56" s="14" t="str">
        <f aca="false">IF(OR(Y56="",W56=""),"",Y56-W56)</f>
        <v/>
      </c>
      <c r="AB56" s="14" t="str">
        <f aca="false">IF(OR(Z56="",X56=""),"",Z56-X56)</f>
        <v/>
      </c>
      <c r="AC56" s="19" t="str">
        <f aca="false">IF(A56="","",IF(OR(T56&gt;1,AND(AV56&lt;&gt;"",AV56&lt;Inputs!$B$11),AND(AV56&lt;&gt;"",AV56&gt;Inputs!$B$12),AA56&lt;Inputs!$B$19,AB56&lt;Inputs!$B$19,N56&lt;Inputs!$B$7,N56&gt;Inputs!$B$8),"CHECK","OK"))</f>
        <v/>
      </c>
      <c r="AD56" s="9" t="str">
        <f aca="false">IF(A56="","",(1/Inputs!$B$9)*(PI()*(Inputs!$F$5/1000)^2/4)*((Inputs!$F$5/1000/4)^(2/3))*SQRT(N56))</f>
        <v/>
      </c>
      <c r="AE56" s="9" t="str">
        <f aca="false">IF(A56="","",(1/Inputs!$B$9)*(PI()*(Inputs!$F$6/1000)^2/4)*((Inputs!$F$6/1000/4)^(2/3))*SQRT(N56))</f>
        <v/>
      </c>
      <c r="AF56" s="9" t="str">
        <f aca="false">IF(A56="","",(1/Inputs!$B$9)*(PI()*(Inputs!$F$7/1000)^2/4)*((Inputs!$F$7/1000/4)^(2/3))*SQRT(N56))</f>
        <v/>
      </c>
      <c r="AG56" s="9" t="str">
        <f aca="false">IF(A56="","",(1/Inputs!$B$9)*(PI()*(Inputs!$F$8/1000)^2/4)*((Inputs!$F$8/1000/4)^(2/3))*SQRT(N56))</f>
        <v/>
      </c>
      <c r="AH56" s="9" t="str">
        <f aca="false">IF(A56="","",(1/Inputs!$B$9)*(PI()*(Inputs!$F$9/1000)^2/4)*((Inputs!$F$9/1000/4)^(2/3))*SQRT(N56))</f>
        <v/>
      </c>
      <c r="AI56" s="9" t="str">
        <f aca="false">IF(A56="","",(1/Inputs!$B$9)*(PI()*(Inputs!$F$10/1000)^2/4)*((Inputs!$F$10/1000/4)^(2/3))*SQRT(N56))</f>
        <v/>
      </c>
      <c r="AJ56" s="9" t="str">
        <f aca="false">IF(A56="","",(1/Inputs!$B$9)*(PI()*(Inputs!$F$11/1000)^2/4)*((Inputs!$F$11/1000/4)^(2/3))*SQRT(N56))</f>
        <v/>
      </c>
      <c r="AK56" s="9" t="str">
        <f aca="false">IF(A56="","",(1/Inputs!$B$9)*(PI()*(Inputs!$F$12/1000)^2/4)*((Inputs!$F$12/1000/4)^(2/3))*SQRT(N56))</f>
        <v/>
      </c>
      <c r="AL56" s="9" t="str">
        <f aca="false">IF(A56="","",(1/Inputs!$B$9)*(PI()*(Inputs!$F$13/1000)^2/4)*((Inputs!$F$13/1000/4)^(2/3))*SQRT(N56))</f>
        <v/>
      </c>
      <c r="AM56" s="9" t="str">
        <f aca="false">IF(A56="","",(1/Inputs!$B$9)*(PI()*(Inputs!$F$14/1000)^2/4)*((Inputs!$F$14/1000/4)^(2/3))*SQRT(N56))</f>
        <v/>
      </c>
      <c r="AN56" s="9" t="str">
        <f aca="false">IF(A56="","",COUNTIF($B$4:$B$203,$A56))</f>
        <v/>
      </c>
      <c r="AO56" s="9" t="str">
        <f aca="false">IF(A56="","",IF(AN56=0,"START","CONTINUOUS"))</f>
        <v/>
      </c>
      <c r="AP56" s="13" t="str">
        <f aca="false">IF(A56="","",IF(H56="",Inputs!$B$18,H56))</f>
        <v/>
      </c>
      <c r="AQ56" s="13" t="str">
        <f aca="false">IF(A56="","",IFERROR(maxifs($AS$4:$AS$203,$B$4:$B$203,$A56),""))</f>
        <v/>
      </c>
      <c r="AR56" s="13" t="str">
        <f aca="false">IF(A56="","",IF(OR(C56="",Inputs!$B$23=""),"",C56/(Inputs!$B$23*60)))</f>
        <v/>
      </c>
      <c r="AS56" s="13" t="str">
        <f aca="false">IF(A56="","",IF(AN56=0,AP56+AR56,IF(AQ56="",AP56+AR56,AQ56+AR56)))</f>
        <v/>
      </c>
      <c r="AT56" s="13" t="str">
        <f aca="false">IF(A56="","",U56)</f>
        <v/>
      </c>
      <c r="AU56" s="13" t="str">
        <f aca="false">IF(OR(R56="",N56=""),"",(1/Inputs!$B$9)*((R56/4)^(2/3))*SQRT(N56))</f>
        <v/>
      </c>
      <c r="AV56" s="13" t="str">
        <f aca="false">IF(A56="","",IF(AND(AT56="",AU56="",AX56=""),"",IF(OR(UPPER(TRIM(Inputs!$B$24))="MANNING",UPPER(TRIM(Inputs!$B$24))="M"),AU56,IF(OR(UPPER(TRIM(Inputs!$B$24))="PARTIAL",UPPER(TRIM(Inputs!$B$24))="P"),AX56,IF(OR(UPPER(TRIM(Inputs!$B$24))="MAX",UPPER(TRIM(Inputs!$B$24))="X"),MAX(IF(AT56="",0,AT56),IF(AU56="",0,AU56),IF(AX56="",0,AX56)),AT56)))))</f>
        <v/>
      </c>
      <c r="AW56" s="13" t="str">
        <f aca="false">IF(AY56="","",CE56)</f>
        <v/>
      </c>
      <c r="AX56" s="13" t="str">
        <f aca="false">IF(OR(AY56="",AW56="",R56="",R56&lt;=0,AW56&lt;=0),"",AY56/((R56^2/8)*(2*ACOS(1-2*AW56/R56)-SIN(2*ACOS(1-2*AW56/R56)))))</f>
        <v/>
      </c>
      <c r="AY56" s="9" t="str">
        <f aca="false">IF(OR(L56="",AZ56=""),"",MIN(L56,AZ56))</f>
        <v/>
      </c>
      <c r="AZ56" s="9" t="str">
        <f aca="false">IF(OR(L56="",R56="",N56=""),"",IF(OR(R56="",N56="",(0.94*R56)="",R56&lt;=0,(0.94*R56)&lt;=0),"",(1/Inputs!$B$9)*((R56^2/8)*((2*ACOS(1-2*(0.94*R56)/R56))-SIN((2*ACOS(1-2*(0.94*R56)/R56)))))*((((R56^2/8)*((2*ACOS(1-2*(0.94*R56)/R56))-SIN((2*ACOS(1-2*(0.94*R56)/R56)))))/((R56/2)*((2*ACOS(1-2*(0.94*R56)/R56)))))^(2/3))*SQRT(N56)))</f>
        <v/>
      </c>
      <c r="BA56" s="9" t="str">
        <f aca="false">IF(AY56="","",0.001*R56)</f>
        <v/>
      </c>
      <c r="BB56" s="9" t="str">
        <f aca="false">IF(AY56="","",0.94*R56)</f>
        <v/>
      </c>
      <c r="BC56" s="9" t="str">
        <f aca="false">IF(AY56="","",(BA56+BB56)/2)</f>
        <v/>
      </c>
      <c r="BD56" s="9" t="str">
        <f aca="false">IF(OR(R56="",N56="",BC56="",R56&lt;=0,BC56&lt;=0),"",(1/Inputs!$B$9)*((R56^2/8)*((2*ACOS(1-2*BC56/R56))-SIN((2*ACOS(1-2*BC56/R56)))))*((((R56^2/8)*((2*ACOS(1-2*BC56/R56))-SIN((2*ACOS(1-2*BC56/R56)))))/((R56/2)*((2*ACOS(1-2*BC56/R56)))))^(2/3))*SQRT(N56))</f>
        <v/>
      </c>
      <c r="BE56" s="9" t="str">
        <f aca="false">IF(AY56="","",IF(BD56&lt;AY56,BC56,BA56))</f>
        <v/>
      </c>
      <c r="BF56" s="9" t="str">
        <f aca="false">IF(AY56="","",IF(BD56&lt;AY56,BB56,BC56))</f>
        <v/>
      </c>
      <c r="BG56" s="9" t="str">
        <f aca="false">IF(AY56="","",(BE56+BF56)/2)</f>
        <v/>
      </c>
      <c r="BH56" s="9" t="str">
        <f aca="false">IF(OR(R56="",N56="",BG56="",R56&lt;=0,BG56&lt;=0),"",(1/Inputs!$B$9)*((R56^2/8)*((2*ACOS(1-2*BG56/R56))-SIN((2*ACOS(1-2*BG56/R56)))))*((((R56^2/8)*((2*ACOS(1-2*BG56/R56))-SIN((2*ACOS(1-2*BG56/R56)))))/((R56/2)*((2*ACOS(1-2*BG56/R56)))))^(2/3))*SQRT(N56))</f>
        <v/>
      </c>
      <c r="BI56" s="9" t="str">
        <f aca="false">IF(AY56="","",IF(BH56&lt;AY56,BG56,BE56))</f>
        <v/>
      </c>
      <c r="BJ56" s="9" t="str">
        <f aca="false">IF(AY56="","",IF(BH56&lt;AY56,BF56,BG56))</f>
        <v/>
      </c>
      <c r="BK56" s="9" t="str">
        <f aca="false">IF(AY56="","",(BI56+BJ56)/2)</f>
        <v/>
      </c>
      <c r="BL56" s="9" t="str">
        <f aca="false">IF(OR(R56="",N56="",BK56="",R56&lt;=0,BK56&lt;=0),"",(1/Inputs!$B$9)*((R56^2/8)*((2*ACOS(1-2*BK56/R56))-SIN((2*ACOS(1-2*BK56/R56)))))*((((R56^2/8)*((2*ACOS(1-2*BK56/R56))-SIN((2*ACOS(1-2*BK56/R56)))))/((R56/2)*((2*ACOS(1-2*BK56/R56)))))^(2/3))*SQRT(N56))</f>
        <v/>
      </c>
      <c r="BM56" s="9" t="str">
        <f aca="false">IF(AY56="","",IF(BL56&lt;AY56,BK56,BI56))</f>
        <v/>
      </c>
      <c r="BN56" s="9" t="str">
        <f aca="false">IF(AY56="","",IF(BL56&lt;AY56,BJ56,BK56))</f>
        <v/>
      </c>
      <c r="BO56" s="9" t="str">
        <f aca="false">IF(AY56="","",(BM56+BN56)/2)</f>
        <v/>
      </c>
      <c r="BP56" s="9" t="str">
        <f aca="false">IF(OR(R56="",N56="",BO56="",R56&lt;=0,BO56&lt;=0),"",(1/Inputs!$B$9)*((R56^2/8)*((2*ACOS(1-2*BO56/R56))-SIN((2*ACOS(1-2*BO56/R56)))))*((((R56^2/8)*((2*ACOS(1-2*BO56/R56))-SIN((2*ACOS(1-2*BO56/R56)))))/((R56/2)*((2*ACOS(1-2*BO56/R56)))))^(2/3))*SQRT(N56))</f>
        <v/>
      </c>
      <c r="BQ56" s="9" t="str">
        <f aca="false">IF(AY56="","",IF(BP56&lt;AY56,BO56,BM56))</f>
        <v/>
      </c>
      <c r="BR56" s="9" t="str">
        <f aca="false">IF(AY56="","",IF(BP56&lt;AY56,BN56,BO56))</f>
        <v/>
      </c>
      <c r="BS56" s="9" t="str">
        <f aca="false">IF(AY56="","",(BQ56+BR56)/2)</f>
        <v/>
      </c>
      <c r="BT56" s="9" t="str">
        <f aca="false">IF(OR(R56="",N56="",BS56="",R56&lt;=0,BS56&lt;=0),"",(1/Inputs!$B$9)*((R56^2/8)*((2*ACOS(1-2*BS56/R56))-SIN((2*ACOS(1-2*BS56/R56)))))*((((R56^2/8)*((2*ACOS(1-2*BS56/R56))-SIN((2*ACOS(1-2*BS56/R56)))))/((R56/2)*((2*ACOS(1-2*BS56/R56)))))^(2/3))*SQRT(N56))</f>
        <v/>
      </c>
      <c r="BU56" s="9" t="str">
        <f aca="false">IF(AY56="","",IF(BT56&lt;AY56,BS56,BQ56))</f>
        <v/>
      </c>
      <c r="BV56" s="9" t="str">
        <f aca="false">IF(AY56="","",IF(BT56&lt;AY56,BR56,BS56))</f>
        <v/>
      </c>
      <c r="BW56" s="9" t="str">
        <f aca="false">IF(AY56="","",(BU56+BV56)/2)</f>
        <v/>
      </c>
      <c r="BX56" s="9" t="str">
        <f aca="false">IF(OR(R56="",N56="",BW56="",R56&lt;=0,BW56&lt;=0),"",(1/Inputs!$B$9)*((R56^2/8)*((2*ACOS(1-2*BW56/R56))-SIN((2*ACOS(1-2*BW56/R56)))))*((((R56^2/8)*((2*ACOS(1-2*BW56/R56))-SIN((2*ACOS(1-2*BW56/R56)))))/((R56/2)*((2*ACOS(1-2*BW56/R56)))))^(2/3))*SQRT(N56))</f>
        <v/>
      </c>
      <c r="BY56" s="9" t="str">
        <f aca="false">IF(AY56="","",IF(BX56&lt;AY56,BW56,BU56))</f>
        <v/>
      </c>
      <c r="BZ56" s="9" t="str">
        <f aca="false">IF(AY56="","",IF(BX56&lt;AY56,BV56,BW56))</f>
        <v/>
      </c>
      <c r="CA56" s="9" t="str">
        <f aca="false">IF(AY56="","",(BY56+BZ56)/2)</f>
        <v/>
      </c>
      <c r="CB56" s="9" t="str">
        <f aca="false">IF(OR(R56="",N56="",CA56="",R56&lt;=0,CA56&lt;=0),"",(1/Inputs!$B$9)*((R56^2/8)*((2*ACOS(1-2*CA56/R56))-SIN((2*ACOS(1-2*CA56/R56)))))*((((R56^2/8)*((2*ACOS(1-2*CA56/R56))-SIN((2*ACOS(1-2*CA56/R56)))))/((R56/2)*((2*ACOS(1-2*CA56/R56)))))^(2/3))*SQRT(N56))</f>
        <v/>
      </c>
      <c r="CC56" s="9" t="str">
        <f aca="false">IF(AY56="","",IF(CB56&lt;AY56,CA56,BY56))</f>
        <v/>
      </c>
      <c r="CD56" s="9" t="str">
        <f aca="false">IF(AY56="","",IF(CB56&lt;AY56,BZ56,CA56))</f>
        <v/>
      </c>
      <c r="CE56" s="9" t="str">
        <f aca="false">IF(AY56="","",(CC56+CD56)/2)</f>
        <v/>
      </c>
    </row>
    <row r="57" customFormat="false" ht="15" hidden="false" customHeight="false" outlineLevel="0" collapsed="false">
      <c r="A57" s="9"/>
      <c r="B57" s="9"/>
      <c r="C57" s="14"/>
      <c r="D57" s="14"/>
      <c r="E57" s="14" t="n">
        <f aca="false">SUMIFS(CB_Tributaires!$C:$C,CB_Tributaires!$B:$B,$A57)</f>
        <v>0</v>
      </c>
      <c r="F57" s="14" t="n">
        <f aca="false">IF(D57="",E57,D57)</f>
        <v>0</v>
      </c>
      <c r="G57" s="9"/>
      <c r="H57" s="14"/>
      <c r="I57" s="14" t="str">
        <f aca="false">IF(A57="","",Inputs!$B$13/((IF(AS57="",Inputs!$B$18,AS57)+Inputs!$B$14)^Inputs!$B$15))</f>
        <v/>
      </c>
      <c r="J57" s="14" t="str">
        <f aca="false">IF(A57="","",0.000000278*IF(G57="",Inputs!$B$17,G57)*F57*I57)</f>
        <v/>
      </c>
      <c r="K57" s="14" t="str">
        <f aca="false">IF(A57="","",SUMIFS($L$4:$L$203,$B$4:$B$203,$A57))</f>
        <v/>
      </c>
      <c r="L57" s="14" t="str">
        <f aca="false">IF(A57="","",(J57+K57)*Inputs!$B$16)</f>
        <v/>
      </c>
      <c r="M57" s="14"/>
      <c r="N57" s="14" t="str">
        <f aca="false">IF(A57="","",IF(M57="",Inputs!$B$7,M57))</f>
        <v/>
      </c>
      <c r="O57" s="9" t="str">
        <f aca="false">IF(A57="","",IF(L57/Inputs!$B$10&lt;=AD57,Inputs!$F$5,IF(L57/Inputs!$B$10&gt;AM57,"OVERSIZE",INDEX(Inputs!$F$5:$F$14,MATCH(L57/Inputs!$B$10,AD57:AM57,1)+1))))</f>
        <v/>
      </c>
      <c r="P57" s="9"/>
      <c r="Q57" s="9" t="str">
        <f aca="false">IF(A57="","",IF(P57="",O57,P57))</f>
        <v/>
      </c>
      <c r="R57" s="14" t="str">
        <f aca="false">IF(OR(Q57="",Q57="OVERSIZE"),"",Q57/1000)</f>
        <v/>
      </c>
      <c r="S57" s="14" t="str">
        <f aca="false">IF(R57="","",(1/Inputs!$B$9)*(PI()*R57^2/4)*((R57/4)^(2/3))*SQRT(N57))</f>
        <v/>
      </c>
      <c r="T57" s="14" t="str">
        <f aca="false">IF(OR(S57="",L57=""),"",L57/(S57*Inputs!$B$10))</f>
        <v/>
      </c>
      <c r="U57" s="14" t="str">
        <f aca="false">IF(OR(R57="",L57=""),"",4*L57/(PI()*R57^2))</f>
        <v/>
      </c>
      <c r="V57" s="14"/>
      <c r="W57" s="14" t="str">
        <f aca="false">IF(A57="","",IF(A57=Inputs!$B$6,Inputs!$B$22,IF(B57="","",IFERROR(INDEX($X$4:$X$203,MATCH(B57,$A$4:$A$203,0))+IF(V57="",Inputs!$B$20,V57),""))))</f>
        <v/>
      </c>
      <c r="X57" s="14" t="str">
        <f aca="false">IF(OR(W57="",N57="",C57=""),"",W57+N57*C57)</f>
        <v/>
      </c>
      <c r="Y57" s="14"/>
      <c r="Z57" s="14"/>
      <c r="AA57" s="14" t="str">
        <f aca="false">IF(OR(Y57="",W57=""),"",Y57-W57)</f>
        <v/>
      </c>
      <c r="AB57" s="14" t="str">
        <f aca="false">IF(OR(Z57="",X57=""),"",Z57-X57)</f>
        <v/>
      </c>
      <c r="AC57" s="19" t="str">
        <f aca="false">IF(A57="","",IF(OR(T57&gt;1,AND(AV57&lt;&gt;"",AV57&lt;Inputs!$B$11),AND(AV57&lt;&gt;"",AV57&gt;Inputs!$B$12),AA57&lt;Inputs!$B$19,AB57&lt;Inputs!$B$19,N57&lt;Inputs!$B$7,N57&gt;Inputs!$B$8),"CHECK","OK"))</f>
        <v/>
      </c>
      <c r="AD57" s="9" t="str">
        <f aca="false">IF(A57="","",(1/Inputs!$B$9)*(PI()*(Inputs!$F$5/1000)^2/4)*((Inputs!$F$5/1000/4)^(2/3))*SQRT(N57))</f>
        <v/>
      </c>
      <c r="AE57" s="9" t="str">
        <f aca="false">IF(A57="","",(1/Inputs!$B$9)*(PI()*(Inputs!$F$6/1000)^2/4)*((Inputs!$F$6/1000/4)^(2/3))*SQRT(N57))</f>
        <v/>
      </c>
      <c r="AF57" s="9" t="str">
        <f aca="false">IF(A57="","",(1/Inputs!$B$9)*(PI()*(Inputs!$F$7/1000)^2/4)*((Inputs!$F$7/1000/4)^(2/3))*SQRT(N57))</f>
        <v/>
      </c>
      <c r="AG57" s="9" t="str">
        <f aca="false">IF(A57="","",(1/Inputs!$B$9)*(PI()*(Inputs!$F$8/1000)^2/4)*((Inputs!$F$8/1000/4)^(2/3))*SQRT(N57))</f>
        <v/>
      </c>
      <c r="AH57" s="9" t="str">
        <f aca="false">IF(A57="","",(1/Inputs!$B$9)*(PI()*(Inputs!$F$9/1000)^2/4)*((Inputs!$F$9/1000/4)^(2/3))*SQRT(N57))</f>
        <v/>
      </c>
      <c r="AI57" s="9" t="str">
        <f aca="false">IF(A57="","",(1/Inputs!$B$9)*(PI()*(Inputs!$F$10/1000)^2/4)*((Inputs!$F$10/1000/4)^(2/3))*SQRT(N57))</f>
        <v/>
      </c>
      <c r="AJ57" s="9" t="str">
        <f aca="false">IF(A57="","",(1/Inputs!$B$9)*(PI()*(Inputs!$F$11/1000)^2/4)*((Inputs!$F$11/1000/4)^(2/3))*SQRT(N57))</f>
        <v/>
      </c>
      <c r="AK57" s="9" t="str">
        <f aca="false">IF(A57="","",(1/Inputs!$B$9)*(PI()*(Inputs!$F$12/1000)^2/4)*((Inputs!$F$12/1000/4)^(2/3))*SQRT(N57))</f>
        <v/>
      </c>
      <c r="AL57" s="9" t="str">
        <f aca="false">IF(A57="","",(1/Inputs!$B$9)*(PI()*(Inputs!$F$13/1000)^2/4)*((Inputs!$F$13/1000/4)^(2/3))*SQRT(N57))</f>
        <v/>
      </c>
      <c r="AM57" s="9" t="str">
        <f aca="false">IF(A57="","",(1/Inputs!$B$9)*(PI()*(Inputs!$F$14/1000)^2/4)*((Inputs!$F$14/1000/4)^(2/3))*SQRT(N57))</f>
        <v/>
      </c>
      <c r="AN57" s="9" t="str">
        <f aca="false">IF(A57="","",COUNTIF($B$4:$B$203,$A57))</f>
        <v/>
      </c>
      <c r="AO57" s="9" t="str">
        <f aca="false">IF(A57="","",IF(AN57=0,"START","CONTINUOUS"))</f>
        <v/>
      </c>
      <c r="AP57" s="13" t="str">
        <f aca="false">IF(A57="","",IF(H57="",Inputs!$B$18,H57))</f>
        <v/>
      </c>
      <c r="AQ57" s="13" t="str">
        <f aca="false">IF(A57="","",IFERROR(maxifs($AS$4:$AS$203,$B$4:$B$203,$A57),""))</f>
        <v/>
      </c>
      <c r="AR57" s="13" t="str">
        <f aca="false">IF(A57="","",IF(OR(C57="",Inputs!$B$23=""),"",C57/(Inputs!$B$23*60)))</f>
        <v/>
      </c>
      <c r="AS57" s="13" t="str">
        <f aca="false">IF(A57="","",IF(AN57=0,AP57+AR57,IF(AQ57="",AP57+AR57,AQ57+AR57)))</f>
        <v/>
      </c>
      <c r="AT57" s="13" t="str">
        <f aca="false">IF(A57="","",U57)</f>
        <v/>
      </c>
      <c r="AU57" s="13" t="str">
        <f aca="false">IF(OR(R57="",N57=""),"",(1/Inputs!$B$9)*((R57/4)^(2/3))*SQRT(N57))</f>
        <v/>
      </c>
      <c r="AV57" s="13" t="str">
        <f aca="false">IF(A57="","",IF(AND(AT57="",AU57="",AX57=""),"",IF(OR(UPPER(TRIM(Inputs!$B$24))="MANNING",UPPER(TRIM(Inputs!$B$24))="M"),AU57,IF(OR(UPPER(TRIM(Inputs!$B$24))="PARTIAL",UPPER(TRIM(Inputs!$B$24))="P"),AX57,IF(OR(UPPER(TRIM(Inputs!$B$24))="MAX",UPPER(TRIM(Inputs!$B$24))="X"),MAX(IF(AT57="",0,AT57),IF(AU57="",0,AU57),IF(AX57="",0,AX57)),AT57)))))</f>
        <v/>
      </c>
      <c r="AW57" s="13" t="str">
        <f aca="false">IF(AY57="","",CE57)</f>
        <v/>
      </c>
      <c r="AX57" s="13" t="str">
        <f aca="false">IF(OR(AY57="",AW57="",R57="",R57&lt;=0,AW57&lt;=0),"",AY57/((R57^2/8)*(2*ACOS(1-2*AW57/R57)-SIN(2*ACOS(1-2*AW57/R57)))))</f>
        <v/>
      </c>
      <c r="AY57" s="9" t="str">
        <f aca="false">IF(OR(L57="",AZ57=""),"",MIN(L57,AZ57))</f>
        <v/>
      </c>
      <c r="AZ57" s="9" t="str">
        <f aca="false">IF(OR(L57="",R57="",N57=""),"",IF(OR(R57="",N57="",(0.94*R57)="",R57&lt;=0,(0.94*R57)&lt;=0),"",(1/Inputs!$B$9)*((R57^2/8)*((2*ACOS(1-2*(0.94*R57)/R57))-SIN((2*ACOS(1-2*(0.94*R57)/R57)))))*((((R57^2/8)*((2*ACOS(1-2*(0.94*R57)/R57))-SIN((2*ACOS(1-2*(0.94*R57)/R57)))))/((R57/2)*((2*ACOS(1-2*(0.94*R57)/R57)))))^(2/3))*SQRT(N57)))</f>
        <v/>
      </c>
      <c r="BA57" s="9" t="str">
        <f aca="false">IF(AY57="","",0.001*R57)</f>
        <v/>
      </c>
      <c r="BB57" s="9" t="str">
        <f aca="false">IF(AY57="","",0.94*R57)</f>
        <v/>
      </c>
      <c r="BC57" s="9" t="str">
        <f aca="false">IF(AY57="","",(BA57+BB57)/2)</f>
        <v/>
      </c>
      <c r="BD57" s="9" t="str">
        <f aca="false">IF(OR(R57="",N57="",BC57="",R57&lt;=0,BC57&lt;=0),"",(1/Inputs!$B$9)*((R57^2/8)*((2*ACOS(1-2*BC57/R57))-SIN((2*ACOS(1-2*BC57/R57)))))*((((R57^2/8)*((2*ACOS(1-2*BC57/R57))-SIN((2*ACOS(1-2*BC57/R57)))))/((R57/2)*((2*ACOS(1-2*BC57/R57)))))^(2/3))*SQRT(N57))</f>
        <v/>
      </c>
      <c r="BE57" s="9" t="str">
        <f aca="false">IF(AY57="","",IF(BD57&lt;AY57,BC57,BA57))</f>
        <v/>
      </c>
      <c r="BF57" s="9" t="str">
        <f aca="false">IF(AY57="","",IF(BD57&lt;AY57,BB57,BC57))</f>
        <v/>
      </c>
      <c r="BG57" s="9" t="str">
        <f aca="false">IF(AY57="","",(BE57+BF57)/2)</f>
        <v/>
      </c>
      <c r="BH57" s="9" t="str">
        <f aca="false">IF(OR(R57="",N57="",BG57="",R57&lt;=0,BG57&lt;=0),"",(1/Inputs!$B$9)*((R57^2/8)*((2*ACOS(1-2*BG57/R57))-SIN((2*ACOS(1-2*BG57/R57)))))*((((R57^2/8)*((2*ACOS(1-2*BG57/R57))-SIN((2*ACOS(1-2*BG57/R57)))))/((R57/2)*((2*ACOS(1-2*BG57/R57)))))^(2/3))*SQRT(N57))</f>
        <v/>
      </c>
      <c r="BI57" s="9" t="str">
        <f aca="false">IF(AY57="","",IF(BH57&lt;AY57,BG57,BE57))</f>
        <v/>
      </c>
      <c r="BJ57" s="9" t="str">
        <f aca="false">IF(AY57="","",IF(BH57&lt;AY57,BF57,BG57))</f>
        <v/>
      </c>
      <c r="BK57" s="9" t="str">
        <f aca="false">IF(AY57="","",(BI57+BJ57)/2)</f>
        <v/>
      </c>
      <c r="BL57" s="9" t="str">
        <f aca="false">IF(OR(R57="",N57="",BK57="",R57&lt;=0,BK57&lt;=0),"",(1/Inputs!$B$9)*((R57^2/8)*((2*ACOS(1-2*BK57/R57))-SIN((2*ACOS(1-2*BK57/R57)))))*((((R57^2/8)*((2*ACOS(1-2*BK57/R57))-SIN((2*ACOS(1-2*BK57/R57)))))/((R57/2)*((2*ACOS(1-2*BK57/R57)))))^(2/3))*SQRT(N57))</f>
        <v/>
      </c>
      <c r="BM57" s="9" t="str">
        <f aca="false">IF(AY57="","",IF(BL57&lt;AY57,BK57,BI57))</f>
        <v/>
      </c>
      <c r="BN57" s="9" t="str">
        <f aca="false">IF(AY57="","",IF(BL57&lt;AY57,BJ57,BK57))</f>
        <v/>
      </c>
      <c r="BO57" s="9" t="str">
        <f aca="false">IF(AY57="","",(BM57+BN57)/2)</f>
        <v/>
      </c>
      <c r="BP57" s="9" t="str">
        <f aca="false">IF(OR(R57="",N57="",BO57="",R57&lt;=0,BO57&lt;=0),"",(1/Inputs!$B$9)*((R57^2/8)*((2*ACOS(1-2*BO57/R57))-SIN((2*ACOS(1-2*BO57/R57)))))*((((R57^2/8)*((2*ACOS(1-2*BO57/R57))-SIN((2*ACOS(1-2*BO57/R57)))))/((R57/2)*((2*ACOS(1-2*BO57/R57)))))^(2/3))*SQRT(N57))</f>
        <v/>
      </c>
      <c r="BQ57" s="9" t="str">
        <f aca="false">IF(AY57="","",IF(BP57&lt;AY57,BO57,BM57))</f>
        <v/>
      </c>
      <c r="BR57" s="9" t="str">
        <f aca="false">IF(AY57="","",IF(BP57&lt;AY57,BN57,BO57))</f>
        <v/>
      </c>
      <c r="BS57" s="9" t="str">
        <f aca="false">IF(AY57="","",(BQ57+BR57)/2)</f>
        <v/>
      </c>
      <c r="BT57" s="9" t="str">
        <f aca="false">IF(OR(R57="",N57="",BS57="",R57&lt;=0,BS57&lt;=0),"",(1/Inputs!$B$9)*((R57^2/8)*((2*ACOS(1-2*BS57/R57))-SIN((2*ACOS(1-2*BS57/R57)))))*((((R57^2/8)*((2*ACOS(1-2*BS57/R57))-SIN((2*ACOS(1-2*BS57/R57)))))/((R57/2)*((2*ACOS(1-2*BS57/R57)))))^(2/3))*SQRT(N57))</f>
        <v/>
      </c>
      <c r="BU57" s="9" t="str">
        <f aca="false">IF(AY57="","",IF(BT57&lt;AY57,BS57,BQ57))</f>
        <v/>
      </c>
      <c r="BV57" s="9" t="str">
        <f aca="false">IF(AY57="","",IF(BT57&lt;AY57,BR57,BS57))</f>
        <v/>
      </c>
      <c r="BW57" s="9" t="str">
        <f aca="false">IF(AY57="","",(BU57+BV57)/2)</f>
        <v/>
      </c>
      <c r="BX57" s="9" t="str">
        <f aca="false">IF(OR(R57="",N57="",BW57="",R57&lt;=0,BW57&lt;=0),"",(1/Inputs!$B$9)*((R57^2/8)*((2*ACOS(1-2*BW57/R57))-SIN((2*ACOS(1-2*BW57/R57)))))*((((R57^2/8)*((2*ACOS(1-2*BW57/R57))-SIN((2*ACOS(1-2*BW57/R57)))))/((R57/2)*((2*ACOS(1-2*BW57/R57)))))^(2/3))*SQRT(N57))</f>
        <v/>
      </c>
      <c r="BY57" s="9" t="str">
        <f aca="false">IF(AY57="","",IF(BX57&lt;AY57,BW57,BU57))</f>
        <v/>
      </c>
      <c r="BZ57" s="9" t="str">
        <f aca="false">IF(AY57="","",IF(BX57&lt;AY57,BV57,BW57))</f>
        <v/>
      </c>
      <c r="CA57" s="9" t="str">
        <f aca="false">IF(AY57="","",(BY57+BZ57)/2)</f>
        <v/>
      </c>
      <c r="CB57" s="9" t="str">
        <f aca="false">IF(OR(R57="",N57="",CA57="",R57&lt;=0,CA57&lt;=0),"",(1/Inputs!$B$9)*((R57^2/8)*((2*ACOS(1-2*CA57/R57))-SIN((2*ACOS(1-2*CA57/R57)))))*((((R57^2/8)*((2*ACOS(1-2*CA57/R57))-SIN((2*ACOS(1-2*CA57/R57)))))/((R57/2)*((2*ACOS(1-2*CA57/R57)))))^(2/3))*SQRT(N57))</f>
        <v/>
      </c>
      <c r="CC57" s="9" t="str">
        <f aca="false">IF(AY57="","",IF(CB57&lt;AY57,CA57,BY57))</f>
        <v/>
      </c>
      <c r="CD57" s="9" t="str">
        <f aca="false">IF(AY57="","",IF(CB57&lt;AY57,BZ57,CA57))</f>
        <v/>
      </c>
      <c r="CE57" s="9" t="str">
        <f aca="false">IF(AY57="","",(CC57+CD57)/2)</f>
        <v/>
      </c>
    </row>
    <row r="58" customFormat="false" ht="15" hidden="false" customHeight="false" outlineLevel="0" collapsed="false">
      <c r="A58" s="9"/>
      <c r="B58" s="9"/>
      <c r="C58" s="14"/>
      <c r="D58" s="14"/>
      <c r="E58" s="14" t="n">
        <f aca="false">SUMIFS(CB_Tributaires!$C:$C,CB_Tributaires!$B:$B,$A58)</f>
        <v>0</v>
      </c>
      <c r="F58" s="14" t="n">
        <f aca="false">IF(D58="",E58,D58)</f>
        <v>0</v>
      </c>
      <c r="G58" s="9"/>
      <c r="H58" s="14"/>
      <c r="I58" s="14" t="str">
        <f aca="false">IF(A58="","",Inputs!$B$13/((IF(AS58="",Inputs!$B$18,AS58)+Inputs!$B$14)^Inputs!$B$15))</f>
        <v/>
      </c>
      <c r="J58" s="14" t="str">
        <f aca="false">IF(A58="","",0.000000278*IF(G58="",Inputs!$B$17,G58)*F58*I58)</f>
        <v/>
      </c>
      <c r="K58" s="14" t="str">
        <f aca="false">IF(A58="","",SUMIFS($L$4:$L$203,$B$4:$B$203,$A58))</f>
        <v/>
      </c>
      <c r="L58" s="14" t="str">
        <f aca="false">IF(A58="","",(J58+K58)*Inputs!$B$16)</f>
        <v/>
      </c>
      <c r="M58" s="14"/>
      <c r="N58" s="14" t="str">
        <f aca="false">IF(A58="","",IF(M58="",Inputs!$B$7,M58))</f>
        <v/>
      </c>
      <c r="O58" s="9" t="str">
        <f aca="false">IF(A58="","",IF(L58/Inputs!$B$10&lt;=AD58,Inputs!$F$5,IF(L58/Inputs!$B$10&gt;AM58,"OVERSIZE",INDEX(Inputs!$F$5:$F$14,MATCH(L58/Inputs!$B$10,AD58:AM58,1)+1))))</f>
        <v/>
      </c>
      <c r="P58" s="9"/>
      <c r="Q58" s="9" t="str">
        <f aca="false">IF(A58="","",IF(P58="",O58,P58))</f>
        <v/>
      </c>
      <c r="R58" s="14" t="str">
        <f aca="false">IF(OR(Q58="",Q58="OVERSIZE"),"",Q58/1000)</f>
        <v/>
      </c>
      <c r="S58" s="14" t="str">
        <f aca="false">IF(R58="","",(1/Inputs!$B$9)*(PI()*R58^2/4)*((R58/4)^(2/3))*SQRT(N58))</f>
        <v/>
      </c>
      <c r="T58" s="14" t="str">
        <f aca="false">IF(OR(S58="",L58=""),"",L58/(S58*Inputs!$B$10))</f>
        <v/>
      </c>
      <c r="U58" s="14" t="str">
        <f aca="false">IF(OR(R58="",L58=""),"",4*L58/(PI()*R58^2))</f>
        <v/>
      </c>
      <c r="V58" s="14"/>
      <c r="W58" s="14" t="str">
        <f aca="false">IF(A58="","",IF(A58=Inputs!$B$6,Inputs!$B$22,IF(B58="","",IFERROR(INDEX($X$4:$X$203,MATCH(B58,$A$4:$A$203,0))+IF(V58="",Inputs!$B$20,V58),""))))</f>
        <v/>
      </c>
      <c r="X58" s="14" t="str">
        <f aca="false">IF(OR(W58="",N58="",C58=""),"",W58+N58*C58)</f>
        <v/>
      </c>
      <c r="Y58" s="14"/>
      <c r="Z58" s="14"/>
      <c r="AA58" s="14" t="str">
        <f aca="false">IF(OR(Y58="",W58=""),"",Y58-W58)</f>
        <v/>
      </c>
      <c r="AB58" s="14" t="str">
        <f aca="false">IF(OR(Z58="",X58=""),"",Z58-X58)</f>
        <v/>
      </c>
      <c r="AC58" s="19" t="str">
        <f aca="false">IF(A58="","",IF(OR(T58&gt;1,AND(AV58&lt;&gt;"",AV58&lt;Inputs!$B$11),AND(AV58&lt;&gt;"",AV58&gt;Inputs!$B$12),AA58&lt;Inputs!$B$19,AB58&lt;Inputs!$B$19,N58&lt;Inputs!$B$7,N58&gt;Inputs!$B$8),"CHECK","OK"))</f>
        <v/>
      </c>
      <c r="AD58" s="9" t="str">
        <f aca="false">IF(A58="","",(1/Inputs!$B$9)*(PI()*(Inputs!$F$5/1000)^2/4)*((Inputs!$F$5/1000/4)^(2/3))*SQRT(N58))</f>
        <v/>
      </c>
      <c r="AE58" s="9" t="str">
        <f aca="false">IF(A58="","",(1/Inputs!$B$9)*(PI()*(Inputs!$F$6/1000)^2/4)*((Inputs!$F$6/1000/4)^(2/3))*SQRT(N58))</f>
        <v/>
      </c>
      <c r="AF58" s="9" t="str">
        <f aca="false">IF(A58="","",(1/Inputs!$B$9)*(PI()*(Inputs!$F$7/1000)^2/4)*((Inputs!$F$7/1000/4)^(2/3))*SQRT(N58))</f>
        <v/>
      </c>
      <c r="AG58" s="9" t="str">
        <f aca="false">IF(A58="","",(1/Inputs!$B$9)*(PI()*(Inputs!$F$8/1000)^2/4)*((Inputs!$F$8/1000/4)^(2/3))*SQRT(N58))</f>
        <v/>
      </c>
      <c r="AH58" s="9" t="str">
        <f aca="false">IF(A58="","",(1/Inputs!$B$9)*(PI()*(Inputs!$F$9/1000)^2/4)*((Inputs!$F$9/1000/4)^(2/3))*SQRT(N58))</f>
        <v/>
      </c>
      <c r="AI58" s="9" t="str">
        <f aca="false">IF(A58="","",(1/Inputs!$B$9)*(PI()*(Inputs!$F$10/1000)^2/4)*((Inputs!$F$10/1000/4)^(2/3))*SQRT(N58))</f>
        <v/>
      </c>
      <c r="AJ58" s="9" t="str">
        <f aca="false">IF(A58="","",(1/Inputs!$B$9)*(PI()*(Inputs!$F$11/1000)^2/4)*((Inputs!$F$11/1000/4)^(2/3))*SQRT(N58))</f>
        <v/>
      </c>
      <c r="AK58" s="9" t="str">
        <f aca="false">IF(A58="","",(1/Inputs!$B$9)*(PI()*(Inputs!$F$12/1000)^2/4)*((Inputs!$F$12/1000/4)^(2/3))*SQRT(N58))</f>
        <v/>
      </c>
      <c r="AL58" s="9" t="str">
        <f aca="false">IF(A58="","",(1/Inputs!$B$9)*(PI()*(Inputs!$F$13/1000)^2/4)*((Inputs!$F$13/1000/4)^(2/3))*SQRT(N58))</f>
        <v/>
      </c>
      <c r="AM58" s="9" t="str">
        <f aca="false">IF(A58="","",(1/Inputs!$B$9)*(PI()*(Inputs!$F$14/1000)^2/4)*((Inputs!$F$14/1000/4)^(2/3))*SQRT(N58))</f>
        <v/>
      </c>
      <c r="AN58" s="9" t="str">
        <f aca="false">IF(A58="","",COUNTIF($B$4:$B$203,$A58))</f>
        <v/>
      </c>
      <c r="AO58" s="9" t="str">
        <f aca="false">IF(A58="","",IF(AN58=0,"START","CONTINUOUS"))</f>
        <v/>
      </c>
      <c r="AP58" s="13" t="str">
        <f aca="false">IF(A58="","",IF(H58="",Inputs!$B$18,H58))</f>
        <v/>
      </c>
      <c r="AQ58" s="13" t="str">
        <f aca="false">IF(A58="","",IFERROR(maxifs($AS$4:$AS$203,$B$4:$B$203,$A58),""))</f>
        <v/>
      </c>
      <c r="AR58" s="13" t="str">
        <f aca="false">IF(A58="","",IF(OR(C58="",Inputs!$B$23=""),"",C58/(Inputs!$B$23*60)))</f>
        <v/>
      </c>
      <c r="AS58" s="13" t="str">
        <f aca="false">IF(A58="","",IF(AN58=0,AP58+AR58,IF(AQ58="",AP58+AR58,AQ58+AR58)))</f>
        <v/>
      </c>
      <c r="AT58" s="13" t="str">
        <f aca="false">IF(A58="","",U58)</f>
        <v/>
      </c>
      <c r="AU58" s="13" t="str">
        <f aca="false">IF(OR(R58="",N58=""),"",(1/Inputs!$B$9)*((R58/4)^(2/3))*SQRT(N58))</f>
        <v/>
      </c>
      <c r="AV58" s="13" t="str">
        <f aca="false">IF(A58="","",IF(AND(AT58="",AU58="",AX58=""),"",IF(OR(UPPER(TRIM(Inputs!$B$24))="MANNING",UPPER(TRIM(Inputs!$B$24))="M"),AU58,IF(OR(UPPER(TRIM(Inputs!$B$24))="PARTIAL",UPPER(TRIM(Inputs!$B$24))="P"),AX58,IF(OR(UPPER(TRIM(Inputs!$B$24))="MAX",UPPER(TRIM(Inputs!$B$24))="X"),MAX(IF(AT58="",0,AT58),IF(AU58="",0,AU58),IF(AX58="",0,AX58)),AT58)))))</f>
        <v/>
      </c>
      <c r="AW58" s="13" t="str">
        <f aca="false">IF(AY58="","",CE58)</f>
        <v/>
      </c>
      <c r="AX58" s="13" t="str">
        <f aca="false">IF(OR(AY58="",AW58="",R58="",R58&lt;=0,AW58&lt;=0),"",AY58/((R58^2/8)*(2*ACOS(1-2*AW58/R58)-SIN(2*ACOS(1-2*AW58/R58)))))</f>
        <v/>
      </c>
      <c r="AY58" s="9" t="str">
        <f aca="false">IF(OR(L58="",AZ58=""),"",MIN(L58,AZ58))</f>
        <v/>
      </c>
      <c r="AZ58" s="9" t="str">
        <f aca="false">IF(OR(L58="",R58="",N58=""),"",IF(OR(R58="",N58="",(0.94*R58)="",R58&lt;=0,(0.94*R58)&lt;=0),"",(1/Inputs!$B$9)*((R58^2/8)*((2*ACOS(1-2*(0.94*R58)/R58))-SIN((2*ACOS(1-2*(0.94*R58)/R58)))))*((((R58^2/8)*((2*ACOS(1-2*(0.94*R58)/R58))-SIN((2*ACOS(1-2*(0.94*R58)/R58)))))/((R58/2)*((2*ACOS(1-2*(0.94*R58)/R58)))))^(2/3))*SQRT(N58)))</f>
        <v/>
      </c>
      <c r="BA58" s="9" t="str">
        <f aca="false">IF(AY58="","",0.001*R58)</f>
        <v/>
      </c>
      <c r="BB58" s="9" t="str">
        <f aca="false">IF(AY58="","",0.94*R58)</f>
        <v/>
      </c>
      <c r="BC58" s="9" t="str">
        <f aca="false">IF(AY58="","",(BA58+BB58)/2)</f>
        <v/>
      </c>
      <c r="BD58" s="9" t="str">
        <f aca="false">IF(OR(R58="",N58="",BC58="",R58&lt;=0,BC58&lt;=0),"",(1/Inputs!$B$9)*((R58^2/8)*((2*ACOS(1-2*BC58/R58))-SIN((2*ACOS(1-2*BC58/R58)))))*((((R58^2/8)*((2*ACOS(1-2*BC58/R58))-SIN((2*ACOS(1-2*BC58/R58)))))/((R58/2)*((2*ACOS(1-2*BC58/R58)))))^(2/3))*SQRT(N58))</f>
        <v/>
      </c>
      <c r="BE58" s="9" t="str">
        <f aca="false">IF(AY58="","",IF(BD58&lt;AY58,BC58,BA58))</f>
        <v/>
      </c>
      <c r="BF58" s="9" t="str">
        <f aca="false">IF(AY58="","",IF(BD58&lt;AY58,BB58,BC58))</f>
        <v/>
      </c>
      <c r="BG58" s="9" t="str">
        <f aca="false">IF(AY58="","",(BE58+BF58)/2)</f>
        <v/>
      </c>
      <c r="BH58" s="9" t="str">
        <f aca="false">IF(OR(R58="",N58="",BG58="",R58&lt;=0,BG58&lt;=0),"",(1/Inputs!$B$9)*((R58^2/8)*((2*ACOS(1-2*BG58/R58))-SIN((2*ACOS(1-2*BG58/R58)))))*((((R58^2/8)*((2*ACOS(1-2*BG58/R58))-SIN((2*ACOS(1-2*BG58/R58)))))/((R58/2)*((2*ACOS(1-2*BG58/R58)))))^(2/3))*SQRT(N58))</f>
        <v/>
      </c>
      <c r="BI58" s="9" t="str">
        <f aca="false">IF(AY58="","",IF(BH58&lt;AY58,BG58,BE58))</f>
        <v/>
      </c>
      <c r="BJ58" s="9" t="str">
        <f aca="false">IF(AY58="","",IF(BH58&lt;AY58,BF58,BG58))</f>
        <v/>
      </c>
      <c r="BK58" s="9" t="str">
        <f aca="false">IF(AY58="","",(BI58+BJ58)/2)</f>
        <v/>
      </c>
      <c r="BL58" s="9" t="str">
        <f aca="false">IF(OR(R58="",N58="",BK58="",R58&lt;=0,BK58&lt;=0),"",(1/Inputs!$B$9)*((R58^2/8)*((2*ACOS(1-2*BK58/R58))-SIN((2*ACOS(1-2*BK58/R58)))))*((((R58^2/8)*((2*ACOS(1-2*BK58/R58))-SIN((2*ACOS(1-2*BK58/R58)))))/((R58/2)*((2*ACOS(1-2*BK58/R58)))))^(2/3))*SQRT(N58))</f>
        <v/>
      </c>
      <c r="BM58" s="9" t="str">
        <f aca="false">IF(AY58="","",IF(BL58&lt;AY58,BK58,BI58))</f>
        <v/>
      </c>
      <c r="BN58" s="9" t="str">
        <f aca="false">IF(AY58="","",IF(BL58&lt;AY58,BJ58,BK58))</f>
        <v/>
      </c>
      <c r="BO58" s="9" t="str">
        <f aca="false">IF(AY58="","",(BM58+BN58)/2)</f>
        <v/>
      </c>
      <c r="BP58" s="9" t="str">
        <f aca="false">IF(OR(R58="",N58="",BO58="",R58&lt;=0,BO58&lt;=0),"",(1/Inputs!$B$9)*((R58^2/8)*((2*ACOS(1-2*BO58/R58))-SIN((2*ACOS(1-2*BO58/R58)))))*((((R58^2/8)*((2*ACOS(1-2*BO58/R58))-SIN((2*ACOS(1-2*BO58/R58)))))/((R58/2)*((2*ACOS(1-2*BO58/R58)))))^(2/3))*SQRT(N58))</f>
        <v/>
      </c>
      <c r="BQ58" s="9" t="str">
        <f aca="false">IF(AY58="","",IF(BP58&lt;AY58,BO58,BM58))</f>
        <v/>
      </c>
      <c r="BR58" s="9" t="str">
        <f aca="false">IF(AY58="","",IF(BP58&lt;AY58,BN58,BO58))</f>
        <v/>
      </c>
      <c r="BS58" s="9" t="str">
        <f aca="false">IF(AY58="","",(BQ58+BR58)/2)</f>
        <v/>
      </c>
      <c r="BT58" s="9" t="str">
        <f aca="false">IF(OR(R58="",N58="",BS58="",R58&lt;=0,BS58&lt;=0),"",(1/Inputs!$B$9)*((R58^2/8)*((2*ACOS(1-2*BS58/R58))-SIN((2*ACOS(1-2*BS58/R58)))))*((((R58^2/8)*((2*ACOS(1-2*BS58/R58))-SIN((2*ACOS(1-2*BS58/R58)))))/((R58/2)*((2*ACOS(1-2*BS58/R58)))))^(2/3))*SQRT(N58))</f>
        <v/>
      </c>
      <c r="BU58" s="9" t="str">
        <f aca="false">IF(AY58="","",IF(BT58&lt;AY58,BS58,BQ58))</f>
        <v/>
      </c>
      <c r="BV58" s="9" t="str">
        <f aca="false">IF(AY58="","",IF(BT58&lt;AY58,BR58,BS58))</f>
        <v/>
      </c>
      <c r="BW58" s="9" t="str">
        <f aca="false">IF(AY58="","",(BU58+BV58)/2)</f>
        <v/>
      </c>
      <c r="BX58" s="9" t="str">
        <f aca="false">IF(OR(R58="",N58="",BW58="",R58&lt;=0,BW58&lt;=0),"",(1/Inputs!$B$9)*((R58^2/8)*((2*ACOS(1-2*BW58/R58))-SIN((2*ACOS(1-2*BW58/R58)))))*((((R58^2/8)*((2*ACOS(1-2*BW58/R58))-SIN((2*ACOS(1-2*BW58/R58)))))/((R58/2)*((2*ACOS(1-2*BW58/R58)))))^(2/3))*SQRT(N58))</f>
        <v/>
      </c>
      <c r="BY58" s="9" t="str">
        <f aca="false">IF(AY58="","",IF(BX58&lt;AY58,BW58,BU58))</f>
        <v/>
      </c>
      <c r="BZ58" s="9" t="str">
        <f aca="false">IF(AY58="","",IF(BX58&lt;AY58,BV58,BW58))</f>
        <v/>
      </c>
      <c r="CA58" s="9" t="str">
        <f aca="false">IF(AY58="","",(BY58+BZ58)/2)</f>
        <v/>
      </c>
      <c r="CB58" s="9" t="str">
        <f aca="false">IF(OR(R58="",N58="",CA58="",R58&lt;=0,CA58&lt;=0),"",(1/Inputs!$B$9)*((R58^2/8)*((2*ACOS(1-2*CA58/R58))-SIN((2*ACOS(1-2*CA58/R58)))))*((((R58^2/8)*((2*ACOS(1-2*CA58/R58))-SIN((2*ACOS(1-2*CA58/R58)))))/((R58/2)*((2*ACOS(1-2*CA58/R58)))))^(2/3))*SQRT(N58))</f>
        <v/>
      </c>
      <c r="CC58" s="9" t="str">
        <f aca="false">IF(AY58="","",IF(CB58&lt;AY58,CA58,BY58))</f>
        <v/>
      </c>
      <c r="CD58" s="9" t="str">
        <f aca="false">IF(AY58="","",IF(CB58&lt;AY58,BZ58,CA58))</f>
        <v/>
      </c>
      <c r="CE58" s="9" t="str">
        <f aca="false">IF(AY58="","",(CC58+CD58)/2)</f>
        <v/>
      </c>
    </row>
    <row r="59" customFormat="false" ht="15" hidden="false" customHeight="false" outlineLevel="0" collapsed="false">
      <c r="A59" s="9"/>
      <c r="B59" s="9"/>
      <c r="C59" s="14"/>
      <c r="D59" s="14"/>
      <c r="E59" s="14" t="n">
        <f aca="false">SUMIFS(CB_Tributaires!$C:$C,CB_Tributaires!$B:$B,$A59)</f>
        <v>0</v>
      </c>
      <c r="F59" s="14" t="n">
        <f aca="false">IF(D59="",E59,D59)</f>
        <v>0</v>
      </c>
      <c r="G59" s="9"/>
      <c r="H59" s="14"/>
      <c r="I59" s="14" t="str">
        <f aca="false">IF(A59="","",Inputs!$B$13/((IF(AS59="",Inputs!$B$18,AS59)+Inputs!$B$14)^Inputs!$B$15))</f>
        <v/>
      </c>
      <c r="J59" s="14" t="str">
        <f aca="false">IF(A59="","",0.000000278*IF(G59="",Inputs!$B$17,G59)*F59*I59)</f>
        <v/>
      </c>
      <c r="K59" s="14" t="str">
        <f aca="false">IF(A59="","",SUMIFS($L$4:$L$203,$B$4:$B$203,$A59))</f>
        <v/>
      </c>
      <c r="L59" s="14" t="str">
        <f aca="false">IF(A59="","",(J59+K59)*Inputs!$B$16)</f>
        <v/>
      </c>
      <c r="M59" s="14"/>
      <c r="N59" s="14" t="str">
        <f aca="false">IF(A59="","",IF(M59="",Inputs!$B$7,M59))</f>
        <v/>
      </c>
      <c r="O59" s="9" t="str">
        <f aca="false">IF(A59="","",IF(L59/Inputs!$B$10&lt;=AD59,Inputs!$F$5,IF(L59/Inputs!$B$10&gt;AM59,"OVERSIZE",INDEX(Inputs!$F$5:$F$14,MATCH(L59/Inputs!$B$10,AD59:AM59,1)+1))))</f>
        <v/>
      </c>
      <c r="P59" s="9"/>
      <c r="Q59" s="9" t="str">
        <f aca="false">IF(A59="","",IF(P59="",O59,P59))</f>
        <v/>
      </c>
      <c r="R59" s="14" t="str">
        <f aca="false">IF(OR(Q59="",Q59="OVERSIZE"),"",Q59/1000)</f>
        <v/>
      </c>
      <c r="S59" s="14" t="str">
        <f aca="false">IF(R59="","",(1/Inputs!$B$9)*(PI()*R59^2/4)*((R59/4)^(2/3))*SQRT(N59))</f>
        <v/>
      </c>
      <c r="T59" s="14" t="str">
        <f aca="false">IF(OR(S59="",L59=""),"",L59/(S59*Inputs!$B$10))</f>
        <v/>
      </c>
      <c r="U59" s="14" t="str">
        <f aca="false">IF(OR(R59="",L59=""),"",4*L59/(PI()*R59^2))</f>
        <v/>
      </c>
      <c r="V59" s="14"/>
      <c r="W59" s="14" t="str">
        <f aca="false">IF(A59="","",IF(A59=Inputs!$B$6,Inputs!$B$22,IF(B59="","",IFERROR(INDEX($X$4:$X$203,MATCH(B59,$A$4:$A$203,0))+IF(V59="",Inputs!$B$20,V59),""))))</f>
        <v/>
      </c>
      <c r="X59" s="14" t="str">
        <f aca="false">IF(OR(W59="",N59="",C59=""),"",W59+N59*C59)</f>
        <v/>
      </c>
      <c r="Y59" s="14"/>
      <c r="Z59" s="14"/>
      <c r="AA59" s="14" t="str">
        <f aca="false">IF(OR(Y59="",W59=""),"",Y59-W59)</f>
        <v/>
      </c>
      <c r="AB59" s="14" t="str">
        <f aca="false">IF(OR(Z59="",X59=""),"",Z59-X59)</f>
        <v/>
      </c>
      <c r="AC59" s="19" t="str">
        <f aca="false">IF(A59="","",IF(OR(T59&gt;1,AND(AV59&lt;&gt;"",AV59&lt;Inputs!$B$11),AND(AV59&lt;&gt;"",AV59&gt;Inputs!$B$12),AA59&lt;Inputs!$B$19,AB59&lt;Inputs!$B$19,N59&lt;Inputs!$B$7,N59&gt;Inputs!$B$8),"CHECK","OK"))</f>
        <v/>
      </c>
      <c r="AD59" s="9" t="str">
        <f aca="false">IF(A59="","",(1/Inputs!$B$9)*(PI()*(Inputs!$F$5/1000)^2/4)*((Inputs!$F$5/1000/4)^(2/3))*SQRT(N59))</f>
        <v/>
      </c>
      <c r="AE59" s="9" t="str">
        <f aca="false">IF(A59="","",(1/Inputs!$B$9)*(PI()*(Inputs!$F$6/1000)^2/4)*((Inputs!$F$6/1000/4)^(2/3))*SQRT(N59))</f>
        <v/>
      </c>
      <c r="AF59" s="9" t="str">
        <f aca="false">IF(A59="","",(1/Inputs!$B$9)*(PI()*(Inputs!$F$7/1000)^2/4)*((Inputs!$F$7/1000/4)^(2/3))*SQRT(N59))</f>
        <v/>
      </c>
      <c r="AG59" s="9" t="str">
        <f aca="false">IF(A59="","",(1/Inputs!$B$9)*(PI()*(Inputs!$F$8/1000)^2/4)*((Inputs!$F$8/1000/4)^(2/3))*SQRT(N59))</f>
        <v/>
      </c>
      <c r="AH59" s="9" t="str">
        <f aca="false">IF(A59="","",(1/Inputs!$B$9)*(PI()*(Inputs!$F$9/1000)^2/4)*((Inputs!$F$9/1000/4)^(2/3))*SQRT(N59))</f>
        <v/>
      </c>
      <c r="AI59" s="9" t="str">
        <f aca="false">IF(A59="","",(1/Inputs!$B$9)*(PI()*(Inputs!$F$10/1000)^2/4)*((Inputs!$F$10/1000/4)^(2/3))*SQRT(N59))</f>
        <v/>
      </c>
      <c r="AJ59" s="9" t="str">
        <f aca="false">IF(A59="","",(1/Inputs!$B$9)*(PI()*(Inputs!$F$11/1000)^2/4)*((Inputs!$F$11/1000/4)^(2/3))*SQRT(N59))</f>
        <v/>
      </c>
      <c r="AK59" s="9" t="str">
        <f aca="false">IF(A59="","",(1/Inputs!$B$9)*(PI()*(Inputs!$F$12/1000)^2/4)*((Inputs!$F$12/1000/4)^(2/3))*SQRT(N59))</f>
        <v/>
      </c>
      <c r="AL59" s="9" t="str">
        <f aca="false">IF(A59="","",(1/Inputs!$B$9)*(PI()*(Inputs!$F$13/1000)^2/4)*((Inputs!$F$13/1000/4)^(2/3))*SQRT(N59))</f>
        <v/>
      </c>
      <c r="AM59" s="9" t="str">
        <f aca="false">IF(A59="","",(1/Inputs!$B$9)*(PI()*(Inputs!$F$14/1000)^2/4)*((Inputs!$F$14/1000/4)^(2/3))*SQRT(N59))</f>
        <v/>
      </c>
      <c r="AN59" s="9" t="str">
        <f aca="false">IF(A59="","",COUNTIF($B$4:$B$203,$A59))</f>
        <v/>
      </c>
      <c r="AO59" s="9" t="str">
        <f aca="false">IF(A59="","",IF(AN59=0,"START","CONTINUOUS"))</f>
        <v/>
      </c>
      <c r="AP59" s="13" t="str">
        <f aca="false">IF(A59="","",IF(H59="",Inputs!$B$18,H59))</f>
        <v/>
      </c>
      <c r="AQ59" s="13" t="str">
        <f aca="false">IF(A59="","",IFERROR(maxifs($AS$4:$AS$203,$B$4:$B$203,$A59),""))</f>
        <v/>
      </c>
      <c r="AR59" s="13" t="str">
        <f aca="false">IF(A59="","",IF(OR(C59="",Inputs!$B$23=""),"",C59/(Inputs!$B$23*60)))</f>
        <v/>
      </c>
      <c r="AS59" s="13" t="str">
        <f aca="false">IF(A59="","",IF(AN59=0,AP59+AR59,IF(AQ59="",AP59+AR59,AQ59+AR59)))</f>
        <v/>
      </c>
      <c r="AT59" s="13" t="str">
        <f aca="false">IF(A59="","",U59)</f>
        <v/>
      </c>
      <c r="AU59" s="13" t="str">
        <f aca="false">IF(OR(R59="",N59=""),"",(1/Inputs!$B$9)*((R59/4)^(2/3))*SQRT(N59))</f>
        <v/>
      </c>
      <c r="AV59" s="13" t="str">
        <f aca="false">IF(A59="","",IF(AND(AT59="",AU59="",AX59=""),"",IF(OR(UPPER(TRIM(Inputs!$B$24))="MANNING",UPPER(TRIM(Inputs!$B$24))="M"),AU59,IF(OR(UPPER(TRIM(Inputs!$B$24))="PARTIAL",UPPER(TRIM(Inputs!$B$24))="P"),AX59,IF(OR(UPPER(TRIM(Inputs!$B$24))="MAX",UPPER(TRIM(Inputs!$B$24))="X"),MAX(IF(AT59="",0,AT59),IF(AU59="",0,AU59),IF(AX59="",0,AX59)),AT59)))))</f>
        <v/>
      </c>
      <c r="AW59" s="13" t="str">
        <f aca="false">IF(AY59="","",CE59)</f>
        <v/>
      </c>
      <c r="AX59" s="13" t="str">
        <f aca="false">IF(OR(AY59="",AW59="",R59="",R59&lt;=0,AW59&lt;=0),"",AY59/((R59^2/8)*(2*ACOS(1-2*AW59/R59)-SIN(2*ACOS(1-2*AW59/R59)))))</f>
        <v/>
      </c>
      <c r="AY59" s="9" t="str">
        <f aca="false">IF(OR(L59="",AZ59=""),"",MIN(L59,AZ59))</f>
        <v/>
      </c>
      <c r="AZ59" s="9" t="str">
        <f aca="false">IF(OR(L59="",R59="",N59=""),"",IF(OR(R59="",N59="",(0.94*R59)="",R59&lt;=0,(0.94*R59)&lt;=0),"",(1/Inputs!$B$9)*((R59^2/8)*((2*ACOS(1-2*(0.94*R59)/R59))-SIN((2*ACOS(1-2*(0.94*R59)/R59)))))*((((R59^2/8)*((2*ACOS(1-2*(0.94*R59)/R59))-SIN((2*ACOS(1-2*(0.94*R59)/R59)))))/((R59/2)*((2*ACOS(1-2*(0.94*R59)/R59)))))^(2/3))*SQRT(N59)))</f>
        <v/>
      </c>
      <c r="BA59" s="9" t="str">
        <f aca="false">IF(AY59="","",0.001*R59)</f>
        <v/>
      </c>
      <c r="BB59" s="9" t="str">
        <f aca="false">IF(AY59="","",0.94*R59)</f>
        <v/>
      </c>
      <c r="BC59" s="9" t="str">
        <f aca="false">IF(AY59="","",(BA59+BB59)/2)</f>
        <v/>
      </c>
      <c r="BD59" s="9" t="str">
        <f aca="false">IF(OR(R59="",N59="",BC59="",R59&lt;=0,BC59&lt;=0),"",(1/Inputs!$B$9)*((R59^2/8)*((2*ACOS(1-2*BC59/R59))-SIN((2*ACOS(1-2*BC59/R59)))))*((((R59^2/8)*((2*ACOS(1-2*BC59/R59))-SIN((2*ACOS(1-2*BC59/R59)))))/((R59/2)*((2*ACOS(1-2*BC59/R59)))))^(2/3))*SQRT(N59))</f>
        <v/>
      </c>
      <c r="BE59" s="9" t="str">
        <f aca="false">IF(AY59="","",IF(BD59&lt;AY59,BC59,BA59))</f>
        <v/>
      </c>
      <c r="BF59" s="9" t="str">
        <f aca="false">IF(AY59="","",IF(BD59&lt;AY59,BB59,BC59))</f>
        <v/>
      </c>
      <c r="BG59" s="9" t="str">
        <f aca="false">IF(AY59="","",(BE59+BF59)/2)</f>
        <v/>
      </c>
      <c r="BH59" s="9" t="str">
        <f aca="false">IF(OR(R59="",N59="",BG59="",R59&lt;=0,BG59&lt;=0),"",(1/Inputs!$B$9)*((R59^2/8)*((2*ACOS(1-2*BG59/R59))-SIN((2*ACOS(1-2*BG59/R59)))))*((((R59^2/8)*((2*ACOS(1-2*BG59/R59))-SIN((2*ACOS(1-2*BG59/R59)))))/((R59/2)*((2*ACOS(1-2*BG59/R59)))))^(2/3))*SQRT(N59))</f>
        <v/>
      </c>
      <c r="BI59" s="9" t="str">
        <f aca="false">IF(AY59="","",IF(BH59&lt;AY59,BG59,BE59))</f>
        <v/>
      </c>
      <c r="BJ59" s="9" t="str">
        <f aca="false">IF(AY59="","",IF(BH59&lt;AY59,BF59,BG59))</f>
        <v/>
      </c>
      <c r="BK59" s="9" t="str">
        <f aca="false">IF(AY59="","",(BI59+BJ59)/2)</f>
        <v/>
      </c>
      <c r="BL59" s="9" t="str">
        <f aca="false">IF(OR(R59="",N59="",BK59="",R59&lt;=0,BK59&lt;=0),"",(1/Inputs!$B$9)*((R59^2/8)*((2*ACOS(1-2*BK59/R59))-SIN((2*ACOS(1-2*BK59/R59)))))*((((R59^2/8)*((2*ACOS(1-2*BK59/R59))-SIN((2*ACOS(1-2*BK59/R59)))))/((R59/2)*((2*ACOS(1-2*BK59/R59)))))^(2/3))*SQRT(N59))</f>
        <v/>
      </c>
      <c r="BM59" s="9" t="str">
        <f aca="false">IF(AY59="","",IF(BL59&lt;AY59,BK59,BI59))</f>
        <v/>
      </c>
      <c r="BN59" s="9" t="str">
        <f aca="false">IF(AY59="","",IF(BL59&lt;AY59,BJ59,BK59))</f>
        <v/>
      </c>
      <c r="BO59" s="9" t="str">
        <f aca="false">IF(AY59="","",(BM59+BN59)/2)</f>
        <v/>
      </c>
      <c r="BP59" s="9" t="str">
        <f aca="false">IF(OR(R59="",N59="",BO59="",R59&lt;=0,BO59&lt;=0),"",(1/Inputs!$B$9)*((R59^2/8)*((2*ACOS(1-2*BO59/R59))-SIN((2*ACOS(1-2*BO59/R59)))))*((((R59^2/8)*((2*ACOS(1-2*BO59/R59))-SIN((2*ACOS(1-2*BO59/R59)))))/((R59/2)*((2*ACOS(1-2*BO59/R59)))))^(2/3))*SQRT(N59))</f>
        <v/>
      </c>
      <c r="BQ59" s="9" t="str">
        <f aca="false">IF(AY59="","",IF(BP59&lt;AY59,BO59,BM59))</f>
        <v/>
      </c>
      <c r="BR59" s="9" t="str">
        <f aca="false">IF(AY59="","",IF(BP59&lt;AY59,BN59,BO59))</f>
        <v/>
      </c>
      <c r="BS59" s="9" t="str">
        <f aca="false">IF(AY59="","",(BQ59+BR59)/2)</f>
        <v/>
      </c>
      <c r="BT59" s="9" t="str">
        <f aca="false">IF(OR(R59="",N59="",BS59="",R59&lt;=0,BS59&lt;=0),"",(1/Inputs!$B$9)*((R59^2/8)*((2*ACOS(1-2*BS59/R59))-SIN((2*ACOS(1-2*BS59/R59)))))*((((R59^2/8)*((2*ACOS(1-2*BS59/R59))-SIN((2*ACOS(1-2*BS59/R59)))))/((R59/2)*((2*ACOS(1-2*BS59/R59)))))^(2/3))*SQRT(N59))</f>
        <v/>
      </c>
      <c r="BU59" s="9" t="str">
        <f aca="false">IF(AY59="","",IF(BT59&lt;AY59,BS59,BQ59))</f>
        <v/>
      </c>
      <c r="BV59" s="9" t="str">
        <f aca="false">IF(AY59="","",IF(BT59&lt;AY59,BR59,BS59))</f>
        <v/>
      </c>
      <c r="BW59" s="9" t="str">
        <f aca="false">IF(AY59="","",(BU59+BV59)/2)</f>
        <v/>
      </c>
      <c r="BX59" s="9" t="str">
        <f aca="false">IF(OR(R59="",N59="",BW59="",R59&lt;=0,BW59&lt;=0),"",(1/Inputs!$B$9)*((R59^2/8)*((2*ACOS(1-2*BW59/R59))-SIN((2*ACOS(1-2*BW59/R59)))))*((((R59^2/8)*((2*ACOS(1-2*BW59/R59))-SIN((2*ACOS(1-2*BW59/R59)))))/((R59/2)*((2*ACOS(1-2*BW59/R59)))))^(2/3))*SQRT(N59))</f>
        <v/>
      </c>
      <c r="BY59" s="9" t="str">
        <f aca="false">IF(AY59="","",IF(BX59&lt;AY59,BW59,BU59))</f>
        <v/>
      </c>
      <c r="BZ59" s="9" t="str">
        <f aca="false">IF(AY59="","",IF(BX59&lt;AY59,BV59,BW59))</f>
        <v/>
      </c>
      <c r="CA59" s="9" t="str">
        <f aca="false">IF(AY59="","",(BY59+BZ59)/2)</f>
        <v/>
      </c>
      <c r="CB59" s="9" t="str">
        <f aca="false">IF(OR(R59="",N59="",CA59="",R59&lt;=0,CA59&lt;=0),"",(1/Inputs!$B$9)*((R59^2/8)*((2*ACOS(1-2*CA59/R59))-SIN((2*ACOS(1-2*CA59/R59)))))*((((R59^2/8)*((2*ACOS(1-2*CA59/R59))-SIN((2*ACOS(1-2*CA59/R59)))))/((R59/2)*((2*ACOS(1-2*CA59/R59)))))^(2/3))*SQRT(N59))</f>
        <v/>
      </c>
      <c r="CC59" s="9" t="str">
        <f aca="false">IF(AY59="","",IF(CB59&lt;AY59,CA59,BY59))</f>
        <v/>
      </c>
      <c r="CD59" s="9" t="str">
        <f aca="false">IF(AY59="","",IF(CB59&lt;AY59,BZ59,CA59))</f>
        <v/>
      </c>
      <c r="CE59" s="9" t="str">
        <f aca="false">IF(AY59="","",(CC59+CD59)/2)</f>
        <v/>
      </c>
    </row>
    <row r="60" customFormat="false" ht="15" hidden="false" customHeight="false" outlineLevel="0" collapsed="false">
      <c r="A60" s="9"/>
      <c r="B60" s="9"/>
      <c r="C60" s="14"/>
      <c r="D60" s="14"/>
      <c r="E60" s="14" t="n">
        <f aca="false">SUMIFS(CB_Tributaires!$C:$C,CB_Tributaires!$B:$B,$A60)</f>
        <v>0</v>
      </c>
      <c r="F60" s="14" t="n">
        <f aca="false">IF(D60="",E60,D60)</f>
        <v>0</v>
      </c>
      <c r="G60" s="9"/>
      <c r="H60" s="14"/>
      <c r="I60" s="14" t="str">
        <f aca="false">IF(A60="","",Inputs!$B$13/((IF(AS60="",Inputs!$B$18,AS60)+Inputs!$B$14)^Inputs!$B$15))</f>
        <v/>
      </c>
      <c r="J60" s="14" t="str">
        <f aca="false">IF(A60="","",0.000000278*IF(G60="",Inputs!$B$17,G60)*F60*I60)</f>
        <v/>
      </c>
      <c r="K60" s="14" t="str">
        <f aca="false">IF(A60="","",SUMIFS($L$4:$L$203,$B$4:$B$203,$A60))</f>
        <v/>
      </c>
      <c r="L60" s="14" t="str">
        <f aca="false">IF(A60="","",(J60+K60)*Inputs!$B$16)</f>
        <v/>
      </c>
      <c r="M60" s="14"/>
      <c r="N60" s="14" t="str">
        <f aca="false">IF(A60="","",IF(M60="",Inputs!$B$7,M60))</f>
        <v/>
      </c>
      <c r="O60" s="9" t="str">
        <f aca="false">IF(A60="","",IF(L60/Inputs!$B$10&lt;=AD60,Inputs!$F$5,IF(L60/Inputs!$B$10&gt;AM60,"OVERSIZE",INDEX(Inputs!$F$5:$F$14,MATCH(L60/Inputs!$B$10,AD60:AM60,1)+1))))</f>
        <v/>
      </c>
      <c r="P60" s="9"/>
      <c r="Q60" s="9" t="str">
        <f aca="false">IF(A60="","",IF(P60="",O60,P60))</f>
        <v/>
      </c>
      <c r="R60" s="14" t="str">
        <f aca="false">IF(OR(Q60="",Q60="OVERSIZE"),"",Q60/1000)</f>
        <v/>
      </c>
      <c r="S60" s="14" t="str">
        <f aca="false">IF(R60="","",(1/Inputs!$B$9)*(PI()*R60^2/4)*((R60/4)^(2/3))*SQRT(N60))</f>
        <v/>
      </c>
      <c r="T60" s="14" t="str">
        <f aca="false">IF(OR(S60="",L60=""),"",L60/(S60*Inputs!$B$10))</f>
        <v/>
      </c>
      <c r="U60" s="14" t="str">
        <f aca="false">IF(OR(R60="",L60=""),"",4*L60/(PI()*R60^2))</f>
        <v/>
      </c>
      <c r="V60" s="14"/>
      <c r="W60" s="14" t="str">
        <f aca="false">IF(A60="","",IF(A60=Inputs!$B$6,Inputs!$B$22,IF(B60="","",IFERROR(INDEX($X$4:$X$203,MATCH(B60,$A$4:$A$203,0))+IF(V60="",Inputs!$B$20,V60),""))))</f>
        <v/>
      </c>
      <c r="X60" s="14" t="str">
        <f aca="false">IF(OR(W60="",N60="",C60=""),"",W60+N60*C60)</f>
        <v/>
      </c>
      <c r="Y60" s="14"/>
      <c r="Z60" s="14"/>
      <c r="AA60" s="14" t="str">
        <f aca="false">IF(OR(Y60="",W60=""),"",Y60-W60)</f>
        <v/>
      </c>
      <c r="AB60" s="14" t="str">
        <f aca="false">IF(OR(Z60="",X60=""),"",Z60-X60)</f>
        <v/>
      </c>
      <c r="AC60" s="19" t="str">
        <f aca="false">IF(A60="","",IF(OR(T60&gt;1,AND(AV60&lt;&gt;"",AV60&lt;Inputs!$B$11),AND(AV60&lt;&gt;"",AV60&gt;Inputs!$B$12),AA60&lt;Inputs!$B$19,AB60&lt;Inputs!$B$19,N60&lt;Inputs!$B$7,N60&gt;Inputs!$B$8),"CHECK","OK"))</f>
        <v/>
      </c>
      <c r="AD60" s="9" t="str">
        <f aca="false">IF(A60="","",(1/Inputs!$B$9)*(PI()*(Inputs!$F$5/1000)^2/4)*((Inputs!$F$5/1000/4)^(2/3))*SQRT(N60))</f>
        <v/>
      </c>
      <c r="AE60" s="9" t="str">
        <f aca="false">IF(A60="","",(1/Inputs!$B$9)*(PI()*(Inputs!$F$6/1000)^2/4)*((Inputs!$F$6/1000/4)^(2/3))*SQRT(N60))</f>
        <v/>
      </c>
      <c r="AF60" s="9" t="str">
        <f aca="false">IF(A60="","",(1/Inputs!$B$9)*(PI()*(Inputs!$F$7/1000)^2/4)*((Inputs!$F$7/1000/4)^(2/3))*SQRT(N60))</f>
        <v/>
      </c>
      <c r="AG60" s="9" t="str">
        <f aca="false">IF(A60="","",(1/Inputs!$B$9)*(PI()*(Inputs!$F$8/1000)^2/4)*((Inputs!$F$8/1000/4)^(2/3))*SQRT(N60))</f>
        <v/>
      </c>
      <c r="AH60" s="9" t="str">
        <f aca="false">IF(A60="","",(1/Inputs!$B$9)*(PI()*(Inputs!$F$9/1000)^2/4)*((Inputs!$F$9/1000/4)^(2/3))*SQRT(N60))</f>
        <v/>
      </c>
      <c r="AI60" s="9" t="str">
        <f aca="false">IF(A60="","",(1/Inputs!$B$9)*(PI()*(Inputs!$F$10/1000)^2/4)*((Inputs!$F$10/1000/4)^(2/3))*SQRT(N60))</f>
        <v/>
      </c>
      <c r="AJ60" s="9" t="str">
        <f aca="false">IF(A60="","",(1/Inputs!$B$9)*(PI()*(Inputs!$F$11/1000)^2/4)*((Inputs!$F$11/1000/4)^(2/3))*SQRT(N60))</f>
        <v/>
      </c>
      <c r="AK60" s="9" t="str">
        <f aca="false">IF(A60="","",(1/Inputs!$B$9)*(PI()*(Inputs!$F$12/1000)^2/4)*((Inputs!$F$12/1000/4)^(2/3))*SQRT(N60))</f>
        <v/>
      </c>
      <c r="AL60" s="9" t="str">
        <f aca="false">IF(A60="","",(1/Inputs!$B$9)*(PI()*(Inputs!$F$13/1000)^2/4)*((Inputs!$F$13/1000/4)^(2/3))*SQRT(N60))</f>
        <v/>
      </c>
      <c r="AM60" s="9" t="str">
        <f aca="false">IF(A60="","",(1/Inputs!$B$9)*(PI()*(Inputs!$F$14/1000)^2/4)*((Inputs!$F$14/1000/4)^(2/3))*SQRT(N60))</f>
        <v/>
      </c>
      <c r="AN60" s="9" t="str">
        <f aca="false">IF(A60="","",COUNTIF($B$4:$B$203,$A60))</f>
        <v/>
      </c>
      <c r="AO60" s="9" t="str">
        <f aca="false">IF(A60="","",IF(AN60=0,"START","CONTINUOUS"))</f>
        <v/>
      </c>
      <c r="AP60" s="13" t="str">
        <f aca="false">IF(A60="","",IF(H60="",Inputs!$B$18,H60))</f>
        <v/>
      </c>
      <c r="AQ60" s="13" t="str">
        <f aca="false">IF(A60="","",IFERROR(maxifs($AS$4:$AS$203,$B$4:$B$203,$A60),""))</f>
        <v/>
      </c>
      <c r="AR60" s="13" t="str">
        <f aca="false">IF(A60="","",IF(OR(C60="",Inputs!$B$23=""),"",C60/(Inputs!$B$23*60)))</f>
        <v/>
      </c>
      <c r="AS60" s="13" t="str">
        <f aca="false">IF(A60="","",IF(AN60=0,AP60+AR60,IF(AQ60="",AP60+AR60,AQ60+AR60)))</f>
        <v/>
      </c>
      <c r="AT60" s="13" t="str">
        <f aca="false">IF(A60="","",U60)</f>
        <v/>
      </c>
      <c r="AU60" s="13" t="str">
        <f aca="false">IF(OR(R60="",N60=""),"",(1/Inputs!$B$9)*((R60/4)^(2/3))*SQRT(N60))</f>
        <v/>
      </c>
      <c r="AV60" s="13" t="str">
        <f aca="false">IF(A60="","",IF(AND(AT60="",AU60="",AX60=""),"",IF(OR(UPPER(TRIM(Inputs!$B$24))="MANNING",UPPER(TRIM(Inputs!$B$24))="M"),AU60,IF(OR(UPPER(TRIM(Inputs!$B$24))="PARTIAL",UPPER(TRIM(Inputs!$B$24))="P"),AX60,IF(OR(UPPER(TRIM(Inputs!$B$24))="MAX",UPPER(TRIM(Inputs!$B$24))="X"),MAX(IF(AT60="",0,AT60),IF(AU60="",0,AU60),IF(AX60="",0,AX60)),AT60)))))</f>
        <v/>
      </c>
      <c r="AW60" s="13" t="str">
        <f aca="false">IF(AY60="","",CE60)</f>
        <v/>
      </c>
      <c r="AX60" s="13" t="str">
        <f aca="false">IF(OR(AY60="",AW60="",R60="",R60&lt;=0,AW60&lt;=0),"",AY60/((R60^2/8)*(2*ACOS(1-2*AW60/R60)-SIN(2*ACOS(1-2*AW60/R60)))))</f>
        <v/>
      </c>
      <c r="AY60" s="9" t="str">
        <f aca="false">IF(OR(L60="",AZ60=""),"",MIN(L60,AZ60))</f>
        <v/>
      </c>
      <c r="AZ60" s="9" t="str">
        <f aca="false">IF(OR(L60="",R60="",N60=""),"",IF(OR(R60="",N60="",(0.94*R60)="",R60&lt;=0,(0.94*R60)&lt;=0),"",(1/Inputs!$B$9)*((R60^2/8)*((2*ACOS(1-2*(0.94*R60)/R60))-SIN((2*ACOS(1-2*(0.94*R60)/R60)))))*((((R60^2/8)*((2*ACOS(1-2*(0.94*R60)/R60))-SIN((2*ACOS(1-2*(0.94*R60)/R60)))))/((R60/2)*((2*ACOS(1-2*(0.94*R60)/R60)))))^(2/3))*SQRT(N60)))</f>
        <v/>
      </c>
      <c r="BA60" s="9" t="str">
        <f aca="false">IF(AY60="","",0.001*R60)</f>
        <v/>
      </c>
      <c r="BB60" s="9" t="str">
        <f aca="false">IF(AY60="","",0.94*R60)</f>
        <v/>
      </c>
      <c r="BC60" s="9" t="str">
        <f aca="false">IF(AY60="","",(BA60+BB60)/2)</f>
        <v/>
      </c>
      <c r="BD60" s="9" t="str">
        <f aca="false">IF(OR(R60="",N60="",BC60="",R60&lt;=0,BC60&lt;=0),"",(1/Inputs!$B$9)*((R60^2/8)*((2*ACOS(1-2*BC60/R60))-SIN((2*ACOS(1-2*BC60/R60)))))*((((R60^2/8)*((2*ACOS(1-2*BC60/R60))-SIN((2*ACOS(1-2*BC60/R60)))))/((R60/2)*((2*ACOS(1-2*BC60/R60)))))^(2/3))*SQRT(N60))</f>
        <v/>
      </c>
      <c r="BE60" s="9" t="str">
        <f aca="false">IF(AY60="","",IF(BD60&lt;AY60,BC60,BA60))</f>
        <v/>
      </c>
      <c r="BF60" s="9" t="str">
        <f aca="false">IF(AY60="","",IF(BD60&lt;AY60,BB60,BC60))</f>
        <v/>
      </c>
      <c r="BG60" s="9" t="str">
        <f aca="false">IF(AY60="","",(BE60+BF60)/2)</f>
        <v/>
      </c>
      <c r="BH60" s="9" t="str">
        <f aca="false">IF(OR(R60="",N60="",BG60="",R60&lt;=0,BG60&lt;=0),"",(1/Inputs!$B$9)*((R60^2/8)*((2*ACOS(1-2*BG60/R60))-SIN((2*ACOS(1-2*BG60/R60)))))*((((R60^2/8)*((2*ACOS(1-2*BG60/R60))-SIN((2*ACOS(1-2*BG60/R60)))))/((R60/2)*((2*ACOS(1-2*BG60/R60)))))^(2/3))*SQRT(N60))</f>
        <v/>
      </c>
      <c r="BI60" s="9" t="str">
        <f aca="false">IF(AY60="","",IF(BH60&lt;AY60,BG60,BE60))</f>
        <v/>
      </c>
      <c r="BJ60" s="9" t="str">
        <f aca="false">IF(AY60="","",IF(BH60&lt;AY60,BF60,BG60))</f>
        <v/>
      </c>
      <c r="BK60" s="9" t="str">
        <f aca="false">IF(AY60="","",(BI60+BJ60)/2)</f>
        <v/>
      </c>
      <c r="BL60" s="9" t="str">
        <f aca="false">IF(OR(R60="",N60="",BK60="",R60&lt;=0,BK60&lt;=0),"",(1/Inputs!$B$9)*((R60^2/8)*((2*ACOS(1-2*BK60/R60))-SIN((2*ACOS(1-2*BK60/R60)))))*((((R60^2/8)*((2*ACOS(1-2*BK60/R60))-SIN((2*ACOS(1-2*BK60/R60)))))/((R60/2)*((2*ACOS(1-2*BK60/R60)))))^(2/3))*SQRT(N60))</f>
        <v/>
      </c>
      <c r="BM60" s="9" t="str">
        <f aca="false">IF(AY60="","",IF(BL60&lt;AY60,BK60,BI60))</f>
        <v/>
      </c>
      <c r="BN60" s="9" t="str">
        <f aca="false">IF(AY60="","",IF(BL60&lt;AY60,BJ60,BK60))</f>
        <v/>
      </c>
      <c r="BO60" s="9" t="str">
        <f aca="false">IF(AY60="","",(BM60+BN60)/2)</f>
        <v/>
      </c>
      <c r="BP60" s="9" t="str">
        <f aca="false">IF(OR(R60="",N60="",BO60="",R60&lt;=0,BO60&lt;=0),"",(1/Inputs!$B$9)*((R60^2/8)*((2*ACOS(1-2*BO60/R60))-SIN((2*ACOS(1-2*BO60/R60)))))*((((R60^2/8)*((2*ACOS(1-2*BO60/R60))-SIN((2*ACOS(1-2*BO60/R60)))))/((R60/2)*((2*ACOS(1-2*BO60/R60)))))^(2/3))*SQRT(N60))</f>
        <v/>
      </c>
      <c r="BQ60" s="9" t="str">
        <f aca="false">IF(AY60="","",IF(BP60&lt;AY60,BO60,BM60))</f>
        <v/>
      </c>
      <c r="BR60" s="9" t="str">
        <f aca="false">IF(AY60="","",IF(BP60&lt;AY60,BN60,BO60))</f>
        <v/>
      </c>
      <c r="BS60" s="9" t="str">
        <f aca="false">IF(AY60="","",(BQ60+BR60)/2)</f>
        <v/>
      </c>
      <c r="BT60" s="9" t="str">
        <f aca="false">IF(OR(R60="",N60="",BS60="",R60&lt;=0,BS60&lt;=0),"",(1/Inputs!$B$9)*((R60^2/8)*((2*ACOS(1-2*BS60/R60))-SIN((2*ACOS(1-2*BS60/R60)))))*((((R60^2/8)*((2*ACOS(1-2*BS60/R60))-SIN((2*ACOS(1-2*BS60/R60)))))/((R60/2)*((2*ACOS(1-2*BS60/R60)))))^(2/3))*SQRT(N60))</f>
        <v/>
      </c>
      <c r="BU60" s="9" t="str">
        <f aca="false">IF(AY60="","",IF(BT60&lt;AY60,BS60,BQ60))</f>
        <v/>
      </c>
      <c r="BV60" s="9" t="str">
        <f aca="false">IF(AY60="","",IF(BT60&lt;AY60,BR60,BS60))</f>
        <v/>
      </c>
      <c r="BW60" s="9" t="str">
        <f aca="false">IF(AY60="","",(BU60+BV60)/2)</f>
        <v/>
      </c>
      <c r="BX60" s="9" t="str">
        <f aca="false">IF(OR(R60="",N60="",BW60="",R60&lt;=0,BW60&lt;=0),"",(1/Inputs!$B$9)*((R60^2/8)*((2*ACOS(1-2*BW60/R60))-SIN((2*ACOS(1-2*BW60/R60)))))*((((R60^2/8)*((2*ACOS(1-2*BW60/R60))-SIN((2*ACOS(1-2*BW60/R60)))))/((R60/2)*((2*ACOS(1-2*BW60/R60)))))^(2/3))*SQRT(N60))</f>
        <v/>
      </c>
      <c r="BY60" s="9" t="str">
        <f aca="false">IF(AY60="","",IF(BX60&lt;AY60,BW60,BU60))</f>
        <v/>
      </c>
      <c r="BZ60" s="9" t="str">
        <f aca="false">IF(AY60="","",IF(BX60&lt;AY60,BV60,BW60))</f>
        <v/>
      </c>
      <c r="CA60" s="9" t="str">
        <f aca="false">IF(AY60="","",(BY60+BZ60)/2)</f>
        <v/>
      </c>
      <c r="CB60" s="9" t="str">
        <f aca="false">IF(OR(R60="",N60="",CA60="",R60&lt;=0,CA60&lt;=0),"",(1/Inputs!$B$9)*((R60^2/8)*((2*ACOS(1-2*CA60/R60))-SIN((2*ACOS(1-2*CA60/R60)))))*((((R60^2/8)*((2*ACOS(1-2*CA60/R60))-SIN((2*ACOS(1-2*CA60/R60)))))/((R60/2)*((2*ACOS(1-2*CA60/R60)))))^(2/3))*SQRT(N60))</f>
        <v/>
      </c>
      <c r="CC60" s="9" t="str">
        <f aca="false">IF(AY60="","",IF(CB60&lt;AY60,CA60,BY60))</f>
        <v/>
      </c>
      <c r="CD60" s="9" t="str">
        <f aca="false">IF(AY60="","",IF(CB60&lt;AY60,BZ60,CA60))</f>
        <v/>
      </c>
      <c r="CE60" s="9" t="str">
        <f aca="false">IF(AY60="","",(CC60+CD60)/2)</f>
        <v/>
      </c>
    </row>
    <row r="61" customFormat="false" ht="15" hidden="false" customHeight="false" outlineLevel="0" collapsed="false">
      <c r="A61" s="9"/>
      <c r="B61" s="9"/>
      <c r="C61" s="14"/>
      <c r="D61" s="14"/>
      <c r="E61" s="14" t="n">
        <f aca="false">SUMIFS(CB_Tributaires!$C:$C,CB_Tributaires!$B:$B,$A61)</f>
        <v>0</v>
      </c>
      <c r="F61" s="14" t="n">
        <f aca="false">IF(D61="",E61,D61)</f>
        <v>0</v>
      </c>
      <c r="G61" s="9"/>
      <c r="H61" s="14"/>
      <c r="I61" s="14" t="str">
        <f aca="false">IF(A61="","",Inputs!$B$13/((IF(AS61="",Inputs!$B$18,AS61)+Inputs!$B$14)^Inputs!$B$15))</f>
        <v/>
      </c>
      <c r="J61" s="14" t="str">
        <f aca="false">IF(A61="","",0.000000278*IF(G61="",Inputs!$B$17,G61)*F61*I61)</f>
        <v/>
      </c>
      <c r="K61" s="14" t="str">
        <f aca="false">IF(A61="","",SUMIFS($L$4:$L$203,$B$4:$B$203,$A61))</f>
        <v/>
      </c>
      <c r="L61" s="14" t="str">
        <f aca="false">IF(A61="","",(J61+K61)*Inputs!$B$16)</f>
        <v/>
      </c>
      <c r="M61" s="14"/>
      <c r="N61" s="14" t="str">
        <f aca="false">IF(A61="","",IF(M61="",Inputs!$B$7,M61))</f>
        <v/>
      </c>
      <c r="O61" s="9" t="str">
        <f aca="false">IF(A61="","",IF(L61/Inputs!$B$10&lt;=AD61,Inputs!$F$5,IF(L61/Inputs!$B$10&gt;AM61,"OVERSIZE",INDEX(Inputs!$F$5:$F$14,MATCH(L61/Inputs!$B$10,AD61:AM61,1)+1))))</f>
        <v/>
      </c>
      <c r="P61" s="9"/>
      <c r="Q61" s="9" t="str">
        <f aca="false">IF(A61="","",IF(P61="",O61,P61))</f>
        <v/>
      </c>
      <c r="R61" s="14" t="str">
        <f aca="false">IF(OR(Q61="",Q61="OVERSIZE"),"",Q61/1000)</f>
        <v/>
      </c>
      <c r="S61" s="14" t="str">
        <f aca="false">IF(R61="","",(1/Inputs!$B$9)*(PI()*R61^2/4)*((R61/4)^(2/3))*SQRT(N61))</f>
        <v/>
      </c>
      <c r="T61" s="14" t="str">
        <f aca="false">IF(OR(S61="",L61=""),"",L61/(S61*Inputs!$B$10))</f>
        <v/>
      </c>
      <c r="U61" s="14" t="str">
        <f aca="false">IF(OR(R61="",L61=""),"",4*L61/(PI()*R61^2))</f>
        <v/>
      </c>
      <c r="V61" s="14"/>
      <c r="W61" s="14" t="str">
        <f aca="false">IF(A61="","",IF(A61=Inputs!$B$6,Inputs!$B$22,IF(B61="","",IFERROR(INDEX($X$4:$X$203,MATCH(B61,$A$4:$A$203,0))+IF(V61="",Inputs!$B$20,V61),""))))</f>
        <v/>
      </c>
      <c r="X61" s="14" t="str">
        <f aca="false">IF(OR(W61="",N61="",C61=""),"",W61+N61*C61)</f>
        <v/>
      </c>
      <c r="Y61" s="14"/>
      <c r="Z61" s="14"/>
      <c r="AA61" s="14" t="str">
        <f aca="false">IF(OR(Y61="",W61=""),"",Y61-W61)</f>
        <v/>
      </c>
      <c r="AB61" s="14" t="str">
        <f aca="false">IF(OR(Z61="",X61=""),"",Z61-X61)</f>
        <v/>
      </c>
      <c r="AC61" s="19" t="str">
        <f aca="false">IF(A61="","",IF(OR(T61&gt;1,AND(AV61&lt;&gt;"",AV61&lt;Inputs!$B$11),AND(AV61&lt;&gt;"",AV61&gt;Inputs!$B$12),AA61&lt;Inputs!$B$19,AB61&lt;Inputs!$B$19,N61&lt;Inputs!$B$7,N61&gt;Inputs!$B$8),"CHECK","OK"))</f>
        <v/>
      </c>
      <c r="AD61" s="9" t="str">
        <f aca="false">IF(A61="","",(1/Inputs!$B$9)*(PI()*(Inputs!$F$5/1000)^2/4)*((Inputs!$F$5/1000/4)^(2/3))*SQRT(N61))</f>
        <v/>
      </c>
      <c r="AE61" s="9" t="str">
        <f aca="false">IF(A61="","",(1/Inputs!$B$9)*(PI()*(Inputs!$F$6/1000)^2/4)*((Inputs!$F$6/1000/4)^(2/3))*SQRT(N61))</f>
        <v/>
      </c>
      <c r="AF61" s="9" t="str">
        <f aca="false">IF(A61="","",(1/Inputs!$B$9)*(PI()*(Inputs!$F$7/1000)^2/4)*((Inputs!$F$7/1000/4)^(2/3))*SQRT(N61))</f>
        <v/>
      </c>
      <c r="AG61" s="9" t="str">
        <f aca="false">IF(A61="","",(1/Inputs!$B$9)*(PI()*(Inputs!$F$8/1000)^2/4)*((Inputs!$F$8/1000/4)^(2/3))*SQRT(N61))</f>
        <v/>
      </c>
      <c r="AH61" s="9" t="str">
        <f aca="false">IF(A61="","",(1/Inputs!$B$9)*(PI()*(Inputs!$F$9/1000)^2/4)*((Inputs!$F$9/1000/4)^(2/3))*SQRT(N61))</f>
        <v/>
      </c>
      <c r="AI61" s="9" t="str">
        <f aca="false">IF(A61="","",(1/Inputs!$B$9)*(PI()*(Inputs!$F$10/1000)^2/4)*((Inputs!$F$10/1000/4)^(2/3))*SQRT(N61))</f>
        <v/>
      </c>
      <c r="AJ61" s="9" t="str">
        <f aca="false">IF(A61="","",(1/Inputs!$B$9)*(PI()*(Inputs!$F$11/1000)^2/4)*((Inputs!$F$11/1000/4)^(2/3))*SQRT(N61))</f>
        <v/>
      </c>
      <c r="AK61" s="9" t="str">
        <f aca="false">IF(A61="","",(1/Inputs!$B$9)*(PI()*(Inputs!$F$12/1000)^2/4)*((Inputs!$F$12/1000/4)^(2/3))*SQRT(N61))</f>
        <v/>
      </c>
      <c r="AL61" s="9" t="str">
        <f aca="false">IF(A61="","",(1/Inputs!$B$9)*(PI()*(Inputs!$F$13/1000)^2/4)*((Inputs!$F$13/1000/4)^(2/3))*SQRT(N61))</f>
        <v/>
      </c>
      <c r="AM61" s="9" t="str">
        <f aca="false">IF(A61="","",(1/Inputs!$B$9)*(PI()*(Inputs!$F$14/1000)^2/4)*((Inputs!$F$14/1000/4)^(2/3))*SQRT(N61))</f>
        <v/>
      </c>
      <c r="AN61" s="9" t="str">
        <f aca="false">IF(A61="","",COUNTIF($B$4:$B$203,$A61))</f>
        <v/>
      </c>
      <c r="AO61" s="9" t="str">
        <f aca="false">IF(A61="","",IF(AN61=0,"START","CONTINUOUS"))</f>
        <v/>
      </c>
      <c r="AP61" s="13" t="str">
        <f aca="false">IF(A61="","",IF(H61="",Inputs!$B$18,H61))</f>
        <v/>
      </c>
      <c r="AQ61" s="13" t="str">
        <f aca="false">IF(A61="","",IFERROR(maxifs($AS$4:$AS$203,$B$4:$B$203,$A61),""))</f>
        <v/>
      </c>
      <c r="AR61" s="13" t="str">
        <f aca="false">IF(A61="","",IF(OR(C61="",Inputs!$B$23=""),"",C61/(Inputs!$B$23*60)))</f>
        <v/>
      </c>
      <c r="AS61" s="13" t="str">
        <f aca="false">IF(A61="","",IF(AN61=0,AP61+AR61,IF(AQ61="",AP61+AR61,AQ61+AR61)))</f>
        <v/>
      </c>
      <c r="AT61" s="13" t="str">
        <f aca="false">IF(A61="","",U61)</f>
        <v/>
      </c>
      <c r="AU61" s="13" t="str">
        <f aca="false">IF(OR(R61="",N61=""),"",(1/Inputs!$B$9)*((R61/4)^(2/3))*SQRT(N61))</f>
        <v/>
      </c>
      <c r="AV61" s="13" t="str">
        <f aca="false">IF(A61="","",IF(AND(AT61="",AU61="",AX61=""),"",IF(OR(UPPER(TRIM(Inputs!$B$24))="MANNING",UPPER(TRIM(Inputs!$B$24))="M"),AU61,IF(OR(UPPER(TRIM(Inputs!$B$24))="PARTIAL",UPPER(TRIM(Inputs!$B$24))="P"),AX61,IF(OR(UPPER(TRIM(Inputs!$B$24))="MAX",UPPER(TRIM(Inputs!$B$24))="X"),MAX(IF(AT61="",0,AT61),IF(AU61="",0,AU61),IF(AX61="",0,AX61)),AT61)))))</f>
        <v/>
      </c>
      <c r="AW61" s="13" t="str">
        <f aca="false">IF(AY61="","",CE61)</f>
        <v/>
      </c>
      <c r="AX61" s="13" t="str">
        <f aca="false">IF(OR(AY61="",AW61="",R61="",R61&lt;=0,AW61&lt;=0),"",AY61/((R61^2/8)*(2*ACOS(1-2*AW61/R61)-SIN(2*ACOS(1-2*AW61/R61)))))</f>
        <v/>
      </c>
      <c r="AY61" s="9" t="str">
        <f aca="false">IF(OR(L61="",AZ61=""),"",MIN(L61,AZ61))</f>
        <v/>
      </c>
      <c r="AZ61" s="9" t="str">
        <f aca="false">IF(OR(L61="",R61="",N61=""),"",IF(OR(R61="",N61="",(0.94*R61)="",R61&lt;=0,(0.94*R61)&lt;=0),"",(1/Inputs!$B$9)*((R61^2/8)*((2*ACOS(1-2*(0.94*R61)/R61))-SIN((2*ACOS(1-2*(0.94*R61)/R61)))))*((((R61^2/8)*((2*ACOS(1-2*(0.94*R61)/R61))-SIN((2*ACOS(1-2*(0.94*R61)/R61)))))/((R61/2)*((2*ACOS(1-2*(0.94*R61)/R61)))))^(2/3))*SQRT(N61)))</f>
        <v/>
      </c>
      <c r="BA61" s="9" t="str">
        <f aca="false">IF(AY61="","",0.001*R61)</f>
        <v/>
      </c>
      <c r="BB61" s="9" t="str">
        <f aca="false">IF(AY61="","",0.94*R61)</f>
        <v/>
      </c>
      <c r="BC61" s="9" t="str">
        <f aca="false">IF(AY61="","",(BA61+BB61)/2)</f>
        <v/>
      </c>
      <c r="BD61" s="9" t="str">
        <f aca="false">IF(OR(R61="",N61="",BC61="",R61&lt;=0,BC61&lt;=0),"",(1/Inputs!$B$9)*((R61^2/8)*((2*ACOS(1-2*BC61/R61))-SIN((2*ACOS(1-2*BC61/R61)))))*((((R61^2/8)*((2*ACOS(1-2*BC61/R61))-SIN((2*ACOS(1-2*BC61/R61)))))/((R61/2)*((2*ACOS(1-2*BC61/R61)))))^(2/3))*SQRT(N61))</f>
        <v/>
      </c>
      <c r="BE61" s="9" t="str">
        <f aca="false">IF(AY61="","",IF(BD61&lt;AY61,BC61,BA61))</f>
        <v/>
      </c>
      <c r="BF61" s="9" t="str">
        <f aca="false">IF(AY61="","",IF(BD61&lt;AY61,BB61,BC61))</f>
        <v/>
      </c>
      <c r="BG61" s="9" t="str">
        <f aca="false">IF(AY61="","",(BE61+BF61)/2)</f>
        <v/>
      </c>
      <c r="BH61" s="9" t="str">
        <f aca="false">IF(OR(R61="",N61="",BG61="",R61&lt;=0,BG61&lt;=0),"",(1/Inputs!$B$9)*((R61^2/8)*((2*ACOS(1-2*BG61/R61))-SIN((2*ACOS(1-2*BG61/R61)))))*((((R61^2/8)*((2*ACOS(1-2*BG61/R61))-SIN((2*ACOS(1-2*BG61/R61)))))/((R61/2)*((2*ACOS(1-2*BG61/R61)))))^(2/3))*SQRT(N61))</f>
        <v/>
      </c>
      <c r="BI61" s="9" t="str">
        <f aca="false">IF(AY61="","",IF(BH61&lt;AY61,BG61,BE61))</f>
        <v/>
      </c>
      <c r="BJ61" s="9" t="str">
        <f aca="false">IF(AY61="","",IF(BH61&lt;AY61,BF61,BG61))</f>
        <v/>
      </c>
      <c r="BK61" s="9" t="str">
        <f aca="false">IF(AY61="","",(BI61+BJ61)/2)</f>
        <v/>
      </c>
      <c r="BL61" s="9" t="str">
        <f aca="false">IF(OR(R61="",N61="",BK61="",R61&lt;=0,BK61&lt;=0),"",(1/Inputs!$B$9)*((R61^2/8)*((2*ACOS(1-2*BK61/R61))-SIN((2*ACOS(1-2*BK61/R61)))))*((((R61^2/8)*((2*ACOS(1-2*BK61/R61))-SIN((2*ACOS(1-2*BK61/R61)))))/((R61/2)*((2*ACOS(1-2*BK61/R61)))))^(2/3))*SQRT(N61))</f>
        <v/>
      </c>
      <c r="BM61" s="9" t="str">
        <f aca="false">IF(AY61="","",IF(BL61&lt;AY61,BK61,BI61))</f>
        <v/>
      </c>
      <c r="BN61" s="9" t="str">
        <f aca="false">IF(AY61="","",IF(BL61&lt;AY61,BJ61,BK61))</f>
        <v/>
      </c>
      <c r="BO61" s="9" t="str">
        <f aca="false">IF(AY61="","",(BM61+BN61)/2)</f>
        <v/>
      </c>
      <c r="BP61" s="9" t="str">
        <f aca="false">IF(OR(R61="",N61="",BO61="",R61&lt;=0,BO61&lt;=0),"",(1/Inputs!$B$9)*((R61^2/8)*((2*ACOS(1-2*BO61/R61))-SIN((2*ACOS(1-2*BO61/R61)))))*((((R61^2/8)*((2*ACOS(1-2*BO61/R61))-SIN((2*ACOS(1-2*BO61/R61)))))/((R61/2)*((2*ACOS(1-2*BO61/R61)))))^(2/3))*SQRT(N61))</f>
        <v/>
      </c>
      <c r="BQ61" s="9" t="str">
        <f aca="false">IF(AY61="","",IF(BP61&lt;AY61,BO61,BM61))</f>
        <v/>
      </c>
      <c r="BR61" s="9" t="str">
        <f aca="false">IF(AY61="","",IF(BP61&lt;AY61,BN61,BO61))</f>
        <v/>
      </c>
      <c r="BS61" s="9" t="str">
        <f aca="false">IF(AY61="","",(BQ61+BR61)/2)</f>
        <v/>
      </c>
      <c r="BT61" s="9" t="str">
        <f aca="false">IF(OR(R61="",N61="",BS61="",R61&lt;=0,BS61&lt;=0),"",(1/Inputs!$B$9)*((R61^2/8)*((2*ACOS(1-2*BS61/R61))-SIN((2*ACOS(1-2*BS61/R61)))))*((((R61^2/8)*((2*ACOS(1-2*BS61/R61))-SIN((2*ACOS(1-2*BS61/R61)))))/((R61/2)*((2*ACOS(1-2*BS61/R61)))))^(2/3))*SQRT(N61))</f>
        <v/>
      </c>
      <c r="BU61" s="9" t="str">
        <f aca="false">IF(AY61="","",IF(BT61&lt;AY61,BS61,BQ61))</f>
        <v/>
      </c>
      <c r="BV61" s="9" t="str">
        <f aca="false">IF(AY61="","",IF(BT61&lt;AY61,BR61,BS61))</f>
        <v/>
      </c>
      <c r="BW61" s="9" t="str">
        <f aca="false">IF(AY61="","",(BU61+BV61)/2)</f>
        <v/>
      </c>
      <c r="BX61" s="9" t="str">
        <f aca="false">IF(OR(R61="",N61="",BW61="",R61&lt;=0,BW61&lt;=0),"",(1/Inputs!$B$9)*((R61^2/8)*((2*ACOS(1-2*BW61/R61))-SIN((2*ACOS(1-2*BW61/R61)))))*((((R61^2/8)*((2*ACOS(1-2*BW61/R61))-SIN((2*ACOS(1-2*BW61/R61)))))/((R61/2)*((2*ACOS(1-2*BW61/R61)))))^(2/3))*SQRT(N61))</f>
        <v/>
      </c>
      <c r="BY61" s="9" t="str">
        <f aca="false">IF(AY61="","",IF(BX61&lt;AY61,BW61,BU61))</f>
        <v/>
      </c>
      <c r="BZ61" s="9" t="str">
        <f aca="false">IF(AY61="","",IF(BX61&lt;AY61,BV61,BW61))</f>
        <v/>
      </c>
      <c r="CA61" s="9" t="str">
        <f aca="false">IF(AY61="","",(BY61+BZ61)/2)</f>
        <v/>
      </c>
      <c r="CB61" s="9" t="str">
        <f aca="false">IF(OR(R61="",N61="",CA61="",R61&lt;=0,CA61&lt;=0),"",(1/Inputs!$B$9)*((R61^2/8)*((2*ACOS(1-2*CA61/R61))-SIN((2*ACOS(1-2*CA61/R61)))))*((((R61^2/8)*((2*ACOS(1-2*CA61/R61))-SIN((2*ACOS(1-2*CA61/R61)))))/((R61/2)*((2*ACOS(1-2*CA61/R61)))))^(2/3))*SQRT(N61))</f>
        <v/>
      </c>
      <c r="CC61" s="9" t="str">
        <f aca="false">IF(AY61="","",IF(CB61&lt;AY61,CA61,BY61))</f>
        <v/>
      </c>
      <c r="CD61" s="9" t="str">
        <f aca="false">IF(AY61="","",IF(CB61&lt;AY61,BZ61,CA61))</f>
        <v/>
      </c>
      <c r="CE61" s="9" t="str">
        <f aca="false">IF(AY61="","",(CC61+CD61)/2)</f>
        <v/>
      </c>
    </row>
    <row r="62" customFormat="false" ht="15" hidden="false" customHeight="false" outlineLevel="0" collapsed="false">
      <c r="A62" s="9"/>
      <c r="B62" s="9"/>
      <c r="C62" s="14"/>
      <c r="D62" s="14"/>
      <c r="E62" s="14" t="n">
        <f aca="false">SUMIFS(CB_Tributaires!$C:$C,CB_Tributaires!$B:$B,$A62)</f>
        <v>0</v>
      </c>
      <c r="F62" s="14" t="n">
        <f aca="false">IF(D62="",E62,D62)</f>
        <v>0</v>
      </c>
      <c r="G62" s="9"/>
      <c r="H62" s="14"/>
      <c r="I62" s="14" t="str">
        <f aca="false">IF(A62="","",Inputs!$B$13/((IF(AS62="",Inputs!$B$18,AS62)+Inputs!$B$14)^Inputs!$B$15))</f>
        <v/>
      </c>
      <c r="J62" s="14" t="str">
        <f aca="false">IF(A62="","",0.000000278*IF(G62="",Inputs!$B$17,G62)*F62*I62)</f>
        <v/>
      </c>
      <c r="K62" s="14" t="str">
        <f aca="false">IF(A62="","",SUMIFS($L$4:$L$203,$B$4:$B$203,$A62))</f>
        <v/>
      </c>
      <c r="L62" s="14" t="str">
        <f aca="false">IF(A62="","",(J62+K62)*Inputs!$B$16)</f>
        <v/>
      </c>
      <c r="M62" s="14"/>
      <c r="N62" s="14" t="str">
        <f aca="false">IF(A62="","",IF(M62="",Inputs!$B$7,M62))</f>
        <v/>
      </c>
      <c r="O62" s="9" t="str">
        <f aca="false">IF(A62="","",IF(L62/Inputs!$B$10&lt;=AD62,Inputs!$F$5,IF(L62/Inputs!$B$10&gt;AM62,"OVERSIZE",INDEX(Inputs!$F$5:$F$14,MATCH(L62/Inputs!$B$10,AD62:AM62,1)+1))))</f>
        <v/>
      </c>
      <c r="P62" s="9"/>
      <c r="Q62" s="9" t="str">
        <f aca="false">IF(A62="","",IF(P62="",O62,P62))</f>
        <v/>
      </c>
      <c r="R62" s="14" t="str">
        <f aca="false">IF(OR(Q62="",Q62="OVERSIZE"),"",Q62/1000)</f>
        <v/>
      </c>
      <c r="S62" s="14" t="str">
        <f aca="false">IF(R62="","",(1/Inputs!$B$9)*(PI()*R62^2/4)*((R62/4)^(2/3))*SQRT(N62))</f>
        <v/>
      </c>
      <c r="T62" s="14" t="str">
        <f aca="false">IF(OR(S62="",L62=""),"",L62/(S62*Inputs!$B$10))</f>
        <v/>
      </c>
      <c r="U62" s="14" t="str">
        <f aca="false">IF(OR(R62="",L62=""),"",4*L62/(PI()*R62^2))</f>
        <v/>
      </c>
      <c r="V62" s="14"/>
      <c r="W62" s="14" t="str">
        <f aca="false">IF(A62="","",IF(A62=Inputs!$B$6,Inputs!$B$22,IF(B62="","",IFERROR(INDEX($X$4:$X$203,MATCH(B62,$A$4:$A$203,0))+IF(V62="",Inputs!$B$20,V62),""))))</f>
        <v/>
      </c>
      <c r="X62" s="14" t="str">
        <f aca="false">IF(OR(W62="",N62="",C62=""),"",W62+N62*C62)</f>
        <v/>
      </c>
      <c r="Y62" s="14"/>
      <c r="Z62" s="14"/>
      <c r="AA62" s="14" t="str">
        <f aca="false">IF(OR(Y62="",W62=""),"",Y62-W62)</f>
        <v/>
      </c>
      <c r="AB62" s="14" t="str">
        <f aca="false">IF(OR(Z62="",X62=""),"",Z62-X62)</f>
        <v/>
      </c>
      <c r="AC62" s="19" t="str">
        <f aca="false">IF(A62="","",IF(OR(T62&gt;1,AND(AV62&lt;&gt;"",AV62&lt;Inputs!$B$11),AND(AV62&lt;&gt;"",AV62&gt;Inputs!$B$12),AA62&lt;Inputs!$B$19,AB62&lt;Inputs!$B$19,N62&lt;Inputs!$B$7,N62&gt;Inputs!$B$8),"CHECK","OK"))</f>
        <v/>
      </c>
      <c r="AD62" s="9" t="str">
        <f aca="false">IF(A62="","",(1/Inputs!$B$9)*(PI()*(Inputs!$F$5/1000)^2/4)*((Inputs!$F$5/1000/4)^(2/3))*SQRT(N62))</f>
        <v/>
      </c>
      <c r="AE62" s="9" t="str">
        <f aca="false">IF(A62="","",(1/Inputs!$B$9)*(PI()*(Inputs!$F$6/1000)^2/4)*((Inputs!$F$6/1000/4)^(2/3))*SQRT(N62))</f>
        <v/>
      </c>
      <c r="AF62" s="9" t="str">
        <f aca="false">IF(A62="","",(1/Inputs!$B$9)*(PI()*(Inputs!$F$7/1000)^2/4)*((Inputs!$F$7/1000/4)^(2/3))*SQRT(N62))</f>
        <v/>
      </c>
      <c r="AG62" s="9" t="str">
        <f aca="false">IF(A62="","",(1/Inputs!$B$9)*(PI()*(Inputs!$F$8/1000)^2/4)*((Inputs!$F$8/1000/4)^(2/3))*SQRT(N62))</f>
        <v/>
      </c>
      <c r="AH62" s="9" t="str">
        <f aca="false">IF(A62="","",(1/Inputs!$B$9)*(PI()*(Inputs!$F$9/1000)^2/4)*((Inputs!$F$9/1000/4)^(2/3))*SQRT(N62))</f>
        <v/>
      </c>
      <c r="AI62" s="9" t="str">
        <f aca="false">IF(A62="","",(1/Inputs!$B$9)*(PI()*(Inputs!$F$10/1000)^2/4)*((Inputs!$F$10/1000/4)^(2/3))*SQRT(N62))</f>
        <v/>
      </c>
      <c r="AJ62" s="9" t="str">
        <f aca="false">IF(A62="","",(1/Inputs!$B$9)*(PI()*(Inputs!$F$11/1000)^2/4)*((Inputs!$F$11/1000/4)^(2/3))*SQRT(N62))</f>
        <v/>
      </c>
      <c r="AK62" s="9" t="str">
        <f aca="false">IF(A62="","",(1/Inputs!$B$9)*(PI()*(Inputs!$F$12/1000)^2/4)*((Inputs!$F$12/1000/4)^(2/3))*SQRT(N62))</f>
        <v/>
      </c>
      <c r="AL62" s="9" t="str">
        <f aca="false">IF(A62="","",(1/Inputs!$B$9)*(PI()*(Inputs!$F$13/1000)^2/4)*((Inputs!$F$13/1000/4)^(2/3))*SQRT(N62))</f>
        <v/>
      </c>
      <c r="AM62" s="9" t="str">
        <f aca="false">IF(A62="","",(1/Inputs!$B$9)*(PI()*(Inputs!$F$14/1000)^2/4)*((Inputs!$F$14/1000/4)^(2/3))*SQRT(N62))</f>
        <v/>
      </c>
      <c r="AN62" s="9" t="str">
        <f aca="false">IF(A62="","",COUNTIF($B$4:$B$203,$A62))</f>
        <v/>
      </c>
      <c r="AO62" s="9" t="str">
        <f aca="false">IF(A62="","",IF(AN62=0,"START","CONTINUOUS"))</f>
        <v/>
      </c>
      <c r="AP62" s="13" t="str">
        <f aca="false">IF(A62="","",IF(H62="",Inputs!$B$18,H62))</f>
        <v/>
      </c>
      <c r="AQ62" s="13" t="str">
        <f aca="false">IF(A62="","",IFERROR(maxifs($AS$4:$AS$203,$B$4:$B$203,$A62),""))</f>
        <v/>
      </c>
      <c r="AR62" s="13" t="str">
        <f aca="false">IF(A62="","",IF(OR(C62="",Inputs!$B$23=""),"",C62/(Inputs!$B$23*60)))</f>
        <v/>
      </c>
      <c r="AS62" s="13" t="str">
        <f aca="false">IF(A62="","",IF(AN62=0,AP62+AR62,IF(AQ62="",AP62+AR62,AQ62+AR62)))</f>
        <v/>
      </c>
      <c r="AT62" s="13" t="str">
        <f aca="false">IF(A62="","",U62)</f>
        <v/>
      </c>
      <c r="AU62" s="13" t="str">
        <f aca="false">IF(OR(R62="",N62=""),"",(1/Inputs!$B$9)*((R62/4)^(2/3))*SQRT(N62))</f>
        <v/>
      </c>
      <c r="AV62" s="13" t="str">
        <f aca="false">IF(A62="","",IF(AND(AT62="",AU62="",AX62=""),"",IF(OR(UPPER(TRIM(Inputs!$B$24))="MANNING",UPPER(TRIM(Inputs!$B$24))="M"),AU62,IF(OR(UPPER(TRIM(Inputs!$B$24))="PARTIAL",UPPER(TRIM(Inputs!$B$24))="P"),AX62,IF(OR(UPPER(TRIM(Inputs!$B$24))="MAX",UPPER(TRIM(Inputs!$B$24))="X"),MAX(IF(AT62="",0,AT62),IF(AU62="",0,AU62),IF(AX62="",0,AX62)),AT62)))))</f>
        <v/>
      </c>
      <c r="AW62" s="13" t="str">
        <f aca="false">IF(AY62="","",CE62)</f>
        <v/>
      </c>
      <c r="AX62" s="13" t="str">
        <f aca="false">IF(OR(AY62="",AW62="",R62="",R62&lt;=0,AW62&lt;=0),"",AY62/((R62^2/8)*(2*ACOS(1-2*AW62/R62)-SIN(2*ACOS(1-2*AW62/R62)))))</f>
        <v/>
      </c>
      <c r="AY62" s="9" t="str">
        <f aca="false">IF(OR(L62="",AZ62=""),"",MIN(L62,AZ62))</f>
        <v/>
      </c>
      <c r="AZ62" s="9" t="str">
        <f aca="false">IF(OR(L62="",R62="",N62=""),"",IF(OR(R62="",N62="",(0.94*R62)="",R62&lt;=0,(0.94*R62)&lt;=0),"",(1/Inputs!$B$9)*((R62^2/8)*((2*ACOS(1-2*(0.94*R62)/R62))-SIN((2*ACOS(1-2*(0.94*R62)/R62)))))*((((R62^2/8)*((2*ACOS(1-2*(0.94*R62)/R62))-SIN((2*ACOS(1-2*(0.94*R62)/R62)))))/((R62/2)*((2*ACOS(1-2*(0.94*R62)/R62)))))^(2/3))*SQRT(N62)))</f>
        <v/>
      </c>
      <c r="BA62" s="9" t="str">
        <f aca="false">IF(AY62="","",0.001*R62)</f>
        <v/>
      </c>
      <c r="BB62" s="9" t="str">
        <f aca="false">IF(AY62="","",0.94*R62)</f>
        <v/>
      </c>
      <c r="BC62" s="9" t="str">
        <f aca="false">IF(AY62="","",(BA62+BB62)/2)</f>
        <v/>
      </c>
      <c r="BD62" s="9" t="str">
        <f aca="false">IF(OR(R62="",N62="",BC62="",R62&lt;=0,BC62&lt;=0),"",(1/Inputs!$B$9)*((R62^2/8)*((2*ACOS(1-2*BC62/R62))-SIN((2*ACOS(1-2*BC62/R62)))))*((((R62^2/8)*((2*ACOS(1-2*BC62/R62))-SIN((2*ACOS(1-2*BC62/R62)))))/((R62/2)*((2*ACOS(1-2*BC62/R62)))))^(2/3))*SQRT(N62))</f>
        <v/>
      </c>
      <c r="BE62" s="9" t="str">
        <f aca="false">IF(AY62="","",IF(BD62&lt;AY62,BC62,BA62))</f>
        <v/>
      </c>
      <c r="BF62" s="9" t="str">
        <f aca="false">IF(AY62="","",IF(BD62&lt;AY62,BB62,BC62))</f>
        <v/>
      </c>
      <c r="BG62" s="9" t="str">
        <f aca="false">IF(AY62="","",(BE62+BF62)/2)</f>
        <v/>
      </c>
      <c r="BH62" s="9" t="str">
        <f aca="false">IF(OR(R62="",N62="",BG62="",R62&lt;=0,BG62&lt;=0),"",(1/Inputs!$B$9)*((R62^2/8)*((2*ACOS(1-2*BG62/R62))-SIN((2*ACOS(1-2*BG62/R62)))))*((((R62^2/8)*((2*ACOS(1-2*BG62/R62))-SIN((2*ACOS(1-2*BG62/R62)))))/((R62/2)*((2*ACOS(1-2*BG62/R62)))))^(2/3))*SQRT(N62))</f>
        <v/>
      </c>
      <c r="BI62" s="9" t="str">
        <f aca="false">IF(AY62="","",IF(BH62&lt;AY62,BG62,BE62))</f>
        <v/>
      </c>
      <c r="BJ62" s="9" t="str">
        <f aca="false">IF(AY62="","",IF(BH62&lt;AY62,BF62,BG62))</f>
        <v/>
      </c>
      <c r="BK62" s="9" t="str">
        <f aca="false">IF(AY62="","",(BI62+BJ62)/2)</f>
        <v/>
      </c>
      <c r="BL62" s="9" t="str">
        <f aca="false">IF(OR(R62="",N62="",BK62="",R62&lt;=0,BK62&lt;=0),"",(1/Inputs!$B$9)*((R62^2/8)*((2*ACOS(1-2*BK62/R62))-SIN((2*ACOS(1-2*BK62/R62)))))*((((R62^2/8)*((2*ACOS(1-2*BK62/R62))-SIN((2*ACOS(1-2*BK62/R62)))))/((R62/2)*((2*ACOS(1-2*BK62/R62)))))^(2/3))*SQRT(N62))</f>
        <v/>
      </c>
      <c r="BM62" s="9" t="str">
        <f aca="false">IF(AY62="","",IF(BL62&lt;AY62,BK62,BI62))</f>
        <v/>
      </c>
      <c r="BN62" s="9" t="str">
        <f aca="false">IF(AY62="","",IF(BL62&lt;AY62,BJ62,BK62))</f>
        <v/>
      </c>
      <c r="BO62" s="9" t="str">
        <f aca="false">IF(AY62="","",(BM62+BN62)/2)</f>
        <v/>
      </c>
      <c r="BP62" s="9" t="str">
        <f aca="false">IF(OR(R62="",N62="",BO62="",R62&lt;=0,BO62&lt;=0),"",(1/Inputs!$B$9)*((R62^2/8)*((2*ACOS(1-2*BO62/R62))-SIN((2*ACOS(1-2*BO62/R62)))))*((((R62^2/8)*((2*ACOS(1-2*BO62/R62))-SIN((2*ACOS(1-2*BO62/R62)))))/((R62/2)*((2*ACOS(1-2*BO62/R62)))))^(2/3))*SQRT(N62))</f>
        <v/>
      </c>
      <c r="BQ62" s="9" t="str">
        <f aca="false">IF(AY62="","",IF(BP62&lt;AY62,BO62,BM62))</f>
        <v/>
      </c>
      <c r="BR62" s="9" t="str">
        <f aca="false">IF(AY62="","",IF(BP62&lt;AY62,BN62,BO62))</f>
        <v/>
      </c>
      <c r="BS62" s="9" t="str">
        <f aca="false">IF(AY62="","",(BQ62+BR62)/2)</f>
        <v/>
      </c>
      <c r="BT62" s="9" t="str">
        <f aca="false">IF(OR(R62="",N62="",BS62="",R62&lt;=0,BS62&lt;=0),"",(1/Inputs!$B$9)*((R62^2/8)*((2*ACOS(1-2*BS62/R62))-SIN((2*ACOS(1-2*BS62/R62)))))*((((R62^2/8)*((2*ACOS(1-2*BS62/R62))-SIN((2*ACOS(1-2*BS62/R62)))))/((R62/2)*((2*ACOS(1-2*BS62/R62)))))^(2/3))*SQRT(N62))</f>
        <v/>
      </c>
      <c r="BU62" s="9" t="str">
        <f aca="false">IF(AY62="","",IF(BT62&lt;AY62,BS62,BQ62))</f>
        <v/>
      </c>
      <c r="BV62" s="9" t="str">
        <f aca="false">IF(AY62="","",IF(BT62&lt;AY62,BR62,BS62))</f>
        <v/>
      </c>
      <c r="BW62" s="9" t="str">
        <f aca="false">IF(AY62="","",(BU62+BV62)/2)</f>
        <v/>
      </c>
      <c r="BX62" s="9" t="str">
        <f aca="false">IF(OR(R62="",N62="",BW62="",R62&lt;=0,BW62&lt;=0),"",(1/Inputs!$B$9)*((R62^2/8)*((2*ACOS(1-2*BW62/R62))-SIN((2*ACOS(1-2*BW62/R62)))))*((((R62^2/8)*((2*ACOS(1-2*BW62/R62))-SIN((2*ACOS(1-2*BW62/R62)))))/((R62/2)*((2*ACOS(1-2*BW62/R62)))))^(2/3))*SQRT(N62))</f>
        <v/>
      </c>
      <c r="BY62" s="9" t="str">
        <f aca="false">IF(AY62="","",IF(BX62&lt;AY62,BW62,BU62))</f>
        <v/>
      </c>
      <c r="BZ62" s="9" t="str">
        <f aca="false">IF(AY62="","",IF(BX62&lt;AY62,BV62,BW62))</f>
        <v/>
      </c>
      <c r="CA62" s="9" t="str">
        <f aca="false">IF(AY62="","",(BY62+BZ62)/2)</f>
        <v/>
      </c>
      <c r="CB62" s="9" t="str">
        <f aca="false">IF(OR(R62="",N62="",CA62="",R62&lt;=0,CA62&lt;=0),"",(1/Inputs!$B$9)*((R62^2/8)*((2*ACOS(1-2*CA62/R62))-SIN((2*ACOS(1-2*CA62/R62)))))*((((R62^2/8)*((2*ACOS(1-2*CA62/R62))-SIN((2*ACOS(1-2*CA62/R62)))))/((R62/2)*((2*ACOS(1-2*CA62/R62)))))^(2/3))*SQRT(N62))</f>
        <v/>
      </c>
      <c r="CC62" s="9" t="str">
        <f aca="false">IF(AY62="","",IF(CB62&lt;AY62,CA62,BY62))</f>
        <v/>
      </c>
      <c r="CD62" s="9" t="str">
        <f aca="false">IF(AY62="","",IF(CB62&lt;AY62,BZ62,CA62))</f>
        <v/>
      </c>
      <c r="CE62" s="9" t="str">
        <f aca="false">IF(AY62="","",(CC62+CD62)/2)</f>
        <v/>
      </c>
    </row>
    <row r="63" customFormat="false" ht="15" hidden="false" customHeight="false" outlineLevel="0" collapsed="false">
      <c r="A63" s="9"/>
      <c r="B63" s="9"/>
      <c r="C63" s="14"/>
      <c r="D63" s="14"/>
      <c r="E63" s="14" t="n">
        <f aca="false">SUMIFS(CB_Tributaires!$C:$C,CB_Tributaires!$B:$B,$A63)</f>
        <v>0</v>
      </c>
      <c r="F63" s="14" t="n">
        <f aca="false">IF(D63="",E63,D63)</f>
        <v>0</v>
      </c>
      <c r="G63" s="9"/>
      <c r="H63" s="14"/>
      <c r="I63" s="14" t="str">
        <f aca="false">IF(A63="","",Inputs!$B$13/((IF(AS63="",Inputs!$B$18,AS63)+Inputs!$B$14)^Inputs!$B$15))</f>
        <v/>
      </c>
      <c r="J63" s="14" t="str">
        <f aca="false">IF(A63="","",0.000000278*IF(G63="",Inputs!$B$17,G63)*F63*I63)</f>
        <v/>
      </c>
      <c r="K63" s="14" t="str">
        <f aca="false">IF(A63="","",SUMIFS($L$4:$L$203,$B$4:$B$203,$A63))</f>
        <v/>
      </c>
      <c r="L63" s="14" t="str">
        <f aca="false">IF(A63="","",(J63+K63)*Inputs!$B$16)</f>
        <v/>
      </c>
      <c r="M63" s="14"/>
      <c r="N63" s="14" t="str">
        <f aca="false">IF(A63="","",IF(M63="",Inputs!$B$7,M63))</f>
        <v/>
      </c>
      <c r="O63" s="9" t="str">
        <f aca="false">IF(A63="","",IF(L63/Inputs!$B$10&lt;=AD63,Inputs!$F$5,IF(L63/Inputs!$B$10&gt;AM63,"OVERSIZE",INDEX(Inputs!$F$5:$F$14,MATCH(L63/Inputs!$B$10,AD63:AM63,1)+1))))</f>
        <v/>
      </c>
      <c r="P63" s="9"/>
      <c r="Q63" s="9" t="str">
        <f aca="false">IF(A63="","",IF(P63="",O63,P63))</f>
        <v/>
      </c>
      <c r="R63" s="14" t="str">
        <f aca="false">IF(OR(Q63="",Q63="OVERSIZE"),"",Q63/1000)</f>
        <v/>
      </c>
      <c r="S63" s="14" t="str">
        <f aca="false">IF(R63="","",(1/Inputs!$B$9)*(PI()*R63^2/4)*((R63/4)^(2/3))*SQRT(N63))</f>
        <v/>
      </c>
      <c r="T63" s="14" t="str">
        <f aca="false">IF(OR(S63="",L63=""),"",L63/(S63*Inputs!$B$10))</f>
        <v/>
      </c>
      <c r="U63" s="14" t="str">
        <f aca="false">IF(OR(R63="",L63=""),"",4*L63/(PI()*R63^2))</f>
        <v/>
      </c>
      <c r="V63" s="14"/>
      <c r="W63" s="14" t="str">
        <f aca="false">IF(A63="","",IF(A63=Inputs!$B$6,Inputs!$B$22,IF(B63="","",IFERROR(INDEX($X$4:$X$203,MATCH(B63,$A$4:$A$203,0))+IF(V63="",Inputs!$B$20,V63),""))))</f>
        <v/>
      </c>
      <c r="X63" s="14" t="str">
        <f aca="false">IF(OR(W63="",N63="",C63=""),"",W63+N63*C63)</f>
        <v/>
      </c>
      <c r="Y63" s="14"/>
      <c r="Z63" s="14"/>
      <c r="AA63" s="14" t="str">
        <f aca="false">IF(OR(Y63="",W63=""),"",Y63-W63)</f>
        <v/>
      </c>
      <c r="AB63" s="14" t="str">
        <f aca="false">IF(OR(Z63="",X63=""),"",Z63-X63)</f>
        <v/>
      </c>
      <c r="AC63" s="19" t="str">
        <f aca="false">IF(A63="","",IF(OR(T63&gt;1,AND(AV63&lt;&gt;"",AV63&lt;Inputs!$B$11),AND(AV63&lt;&gt;"",AV63&gt;Inputs!$B$12),AA63&lt;Inputs!$B$19,AB63&lt;Inputs!$B$19,N63&lt;Inputs!$B$7,N63&gt;Inputs!$B$8),"CHECK","OK"))</f>
        <v/>
      </c>
      <c r="AD63" s="9" t="str">
        <f aca="false">IF(A63="","",(1/Inputs!$B$9)*(PI()*(Inputs!$F$5/1000)^2/4)*((Inputs!$F$5/1000/4)^(2/3))*SQRT(N63))</f>
        <v/>
      </c>
      <c r="AE63" s="9" t="str">
        <f aca="false">IF(A63="","",(1/Inputs!$B$9)*(PI()*(Inputs!$F$6/1000)^2/4)*((Inputs!$F$6/1000/4)^(2/3))*SQRT(N63))</f>
        <v/>
      </c>
      <c r="AF63" s="9" t="str">
        <f aca="false">IF(A63="","",(1/Inputs!$B$9)*(PI()*(Inputs!$F$7/1000)^2/4)*((Inputs!$F$7/1000/4)^(2/3))*SQRT(N63))</f>
        <v/>
      </c>
      <c r="AG63" s="9" t="str">
        <f aca="false">IF(A63="","",(1/Inputs!$B$9)*(PI()*(Inputs!$F$8/1000)^2/4)*((Inputs!$F$8/1000/4)^(2/3))*SQRT(N63))</f>
        <v/>
      </c>
      <c r="AH63" s="9" t="str">
        <f aca="false">IF(A63="","",(1/Inputs!$B$9)*(PI()*(Inputs!$F$9/1000)^2/4)*((Inputs!$F$9/1000/4)^(2/3))*SQRT(N63))</f>
        <v/>
      </c>
      <c r="AI63" s="9" t="str">
        <f aca="false">IF(A63="","",(1/Inputs!$B$9)*(PI()*(Inputs!$F$10/1000)^2/4)*((Inputs!$F$10/1000/4)^(2/3))*SQRT(N63))</f>
        <v/>
      </c>
      <c r="AJ63" s="9" t="str">
        <f aca="false">IF(A63="","",(1/Inputs!$B$9)*(PI()*(Inputs!$F$11/1000)^2/4)*((Inputs!$F$11/1000/4)^(2/3))*SQRT(N63))</f>
        <v/>
      </c>
      <c r="AK63" s="9" t="str">
        <f aca="false">IF(A63="","",(1/Inputs!$B$9)*(PI()*(Inputs!$F$12/1000)^2/4)*((Inputs!$F$12/1000/4)^(2/3))*SQRT(N63))</f>
        <v/>
      </c>
      <c r="AL63" s="9" t="str">
        <f aca="false">IF(A63="","",(1/Inputs!$B$9)*(PI()*(Inputs!$F$13/1000)^2/4)*((Inputs!$F$13/1000/4)^(2/3))*SQRT(N63))</f>
        <v/>
      </c>
      <c r="AM63" s="9" t="str">
        <f aca="false">IF(A63="","",(1/Inputs!$B$9)*(PI()*(Inputs!$F$14/1000)^2/4)*((Inputs!$F$14/1000/4)^(2/3))*SQRT(N63))</f>
        <v/>
      </c>
      <c r="AN63" s="9" t="str">
        <f aca="false">IF(A63="","",COUNTIF($B$4:$B$203,$A63))</f>
        <v/>
      </c>
      <c r="AO63" s="9" t="str">
        <f aca="false">IF(A63="","",IF(AN63=0,"START","CONTINUOUS"))</f>
        <v/>
      </c>
      <c r="AP63" s="13" t="str">
        <f aca="false">IF(A63="","",IF(H63="",Inputs!$B$18,H63))</f>
        <v/>
      </c>
      <c r="AQ63" s="13" t="str">
        <f aca="false">IF(A63="","",IFERROR(maxifs($AS$4:$AS$203,$B$4:$B$203,$A63),""))</f>
        <v/>
      </c>
      <c r="AR63" s="13" t="str">
        <f aca="false">IF(A63="","",IF(OR(C63="",Inputs!$B$23=""),"",C63/(Inputs!$B$23*60)))</f>
        <v/>
      </c>
      <c r="AS63" s="13" t="str">
        <f aca="false">IF(A63="","",IF(AN63=0,AP63+AR63,IF(AQ63="",AP63+AR63,AQ63+AR63)))</f>
        <v/>
      </c>
      <c r="AT63" s="13" t="str">
        <f aca="false">IF(A63="","",U63)</f>
        <v/>
      </c>
      <c r="AU63" s="13" t="str">
        <f aca="false">IF(OR(R63="",N63=""),"",(1/Inputs!$B$9)*((R63/4)^(2/3))*SQRT(N63))</f>
        <v/>
      </c>
      <c r="AV63" s="13" t="str">
        <f aca="false">IF(A63="","",IF(AND(AT63="",AU63="",AX63=""),"",IF(OR(UPPER(TRIM(Inputs!$B$24))="MANNING",UPPER(TRIM(Inputs!$B$24))="M"),AU63,IF(OR(UPPER(TRIM(Inputs!$B$24))="PARTIAL",UPPER(TRIM(Inputs!$B$24))="P"),AX63,IF(OR(UPPER(TRIM(Inputs!$B$24))="MAX",UPPER(TRIM(Inputs!$B$24))="X"),MAX(IF(AT63="",0,AT63),IF(AU63="",0,AU63),IF(AX63="",0,AX63)),AT63)))))</f>
        <v/>
      </c>
      <c r="AW63" s="13" t="str">
        <f aca="false">IF(AY63="","",CE63)</f>
        <v/>
      </c>
      <c r="AX63" s="13" t="str">
        <f aca="false">IF(OR(AY63="",AW63="",R63="",R63&lt;=0,AW63&lt;=0),"",AY63/((R63^2/8)*(2*ACOS(1-2*AW63/R63)-SIN(2*ACOS(1-2*AW63/R63)))))</f>
        <v/>
      </c>
      <c r="AY63" s="9" t="str">
        <f aca="false">IF(OR(L63="",AZ63=""),"",MIN(L63,AZ63))</f>
        <v/>
      </c>
      <c r="AZ63" s="9" t="str">
        <f aca="false">IF(OR(L63="",R63="",N63=""),"",IF(OR(R63="",N63="",(0.94*R63)="",R63&lt;=0,(0.94*R63)&lt;=0),"",(1/Inputs!$B$9)*((R63^2/8)*((2*ACOS(1-2*(0.94*R63)/R63))-SIN((2*ACOS(1-2*(0.94*R63)/R63)))))*((((R63^2/8)*((2*ACOS(1-2*(0.94*R63)/R63))-SIN((2*ACOS(1-2*(0.94*R63)/R63)))))/((R63/2)*((2*ACOS(1-2*(0.94*R63)/R63)))))^(2/3))*SQRT(N63)))</f>
        <v/>
      </c>
      <c r="BA63" s="9" t="str">
        <f aca="false">IF(AY63="","",0.001*R63)</f>
        <v/>
      </c>
      <c r="BB63" s="9" t="str">
        <f aca="false">IF(AY63="","",0.94*R63)</f>
        <v/>
      </c>
      <c r="BC63" s="9" t="str">
        <f aca="false">IF(AY63="","",(BA63+BB63)/2)</f>
        <v/>
      </c>
      <c r="BD63" s="9" t="str">
        <f aca="false">IF(OR(R63="",N63="",BC63="",R63&lt;=0,BC63&lt;=0),"",(1/Inputs!$B$9)*((R63^2/8)*((2*ACOS(1-2*BC63/R63))-SIN((2*ACOS(1-2*BC63/R63)))))*((((R63^2/8)*((2*ACOS(1-2*BC63/R63))-SIN((2*ACOS(1-2*BC63/R63)))))/((R63/2)*((2*ACOS(1-2*BC63/R63)))))^(2/3))*SQRT(N63))</f>
        <v/>
      </c>
      <c r="BE63" s="9" t="str">
        <f aca="false">IF(AY63="","",IF(BD63&lt;AY63,BC63,BA63))</f>
        <v/>
      </c>
      <c r="BF63" s="9" t="str">
        <f aca="false">IF(AY63="","",IF(BD63&lt;AY63,BB63,BC63))</f>
        <v/>
      </c>
      <c r="BG63" s="9" t="str">
        <f aca="false">IF(AY63="","",(BE63+BF63)/2)</f>
        <v/>
      </c>
      <c r="BH63" s="9" t="str">
        <f aca="false">IF(OR(R63="",N63="",BG63="",R63&lt;=0,BG63&lt;=0),"",(1/Inputs!$B$9)*((R63^2/8)*((2*ACOS(1-2*BG63/R63))-SIN((2*ACOS(1-2*BG63/R63)))))*((((R63^2/8)*((2*ACOS(1-2*BG63/R63))-SIN((2*ACOS(1-2*BG63/R63)))))/((R63/2)*((2*ACOS(1-2*BG63/R63)))))^(2/3))*SQRT(N63))</f>
        <v/>
      </c>
      <c r="BI63" s="9" t="str">
        <f aca="false">IF(AY63="","",IF(BH63&lt;AY63,BG63,BE63))</f>
        <v/>
      </c>
      <c r="BJ63" s="9" t="str">
        <f aca="false">IF(AY63="","",IF(BH63&lt;AY63,BF63,BG63))</f>
        <v/>
      </c>
      <c r="BK63" s="9" t="str">
        <f aca="false">IF(AY63="","",(BI63+BJ63)/2)</f>
        <v/>
      </c>
      <c r="BL63" s="9" t="str">
        <f aca="false">IF(OR(R63="",N63="",BK63="",R63&lt;=0,BK63&lt;=0),"",(1/Inputs!$B$9)*((R63^2/8)*((2*ACOS(1-2*BK63/R63))-SIN((2*ACOS(1-2*BK63/R63)))))*((((R63^2/8)*((2*ACOS(1-2*BK63/R63))-SIN((2*ACOS(1-2*BK63/R63)))))/((R63/2)*((2*ACOS(1-2*BK63/R63)))))^(2/3))*SQRT(N63))</f>
        <v/>
      </c>
      <c r="BM63" s="9" t="str">
        <f aca="false">IF(AY63="","",IF(BL63&lt;AY63,BK63,BI63))</f>
        <v/>
      </c>
      <c r="BN63" s="9" t="str">
        <f aca="false">IF(AY63="","",IF(BL63&lt;AY63,BJ63,BK63))</f>
        <v/>
      </c>
      <c r="BO63" s="9" t="str">
        <f aca="false">IF(AY63="","",(BM63+BN63)/2)</f>
        <v/>
      </c>
      <c r="BP63" s="9" t="str">
        <f aca="false">IF(OR(R63="",N63="",BO63="",R63&lt;=0,BO63&lt;=0),"",(1/Inputs!$B$9)*((R63^2/8)*((2*ACOS(1-2*BO63/R63))-SIN((2*ACOS(1-2*BO63/R63)))))*((((R63^2/8)*((2*ACOS(1-2*BO63/R63))-SIN((2*ACOS(1-2*BO63/R63)))))/((R63/2)*((2*ACOS(1-2*BO63/R63)))))^(2/3))*SQRT(N63))</f>
        <v/>
      </c>
      <c r="BQ63" s="9" t="str">
        <f aca="false">IF(AY63="","",IF(BP63&lt;AY63,BO63,BM63))</f>
        <v/>
      </c>
      <c r="BR63" s="9" t="str">
        <f aca="false">IF(AY63="","",IF(BP63&lt;AY63,BN63,BO63))</f>
        <v/>
      </c>
      <c r="BS63" s="9" t="str">
        <f aca="false">IF(AY63="","",(BQ63+BR63)/2)</f>
        <v/>
      </c>
      <c r="BT63" s="9" t="str">
        <f aca="false">IF(OR(R63="",N63="",BS63="",R63&lt;=0,BS63&lt;=0),"",(1/Inputs!$B$9)*((R63^2/8)*((2*ACOS(1-2*BS63/R63))-SIN((2*ACOS(1-2*BS63/R63)))))*((((R63^2/8)*((2*ACOS(1-2*BS63/R63))-SIN((2*ACOS(1-2*BS63/R63)))))/((R63/2)*((2*ACOS(1-2*BS63/R63)))))^(2/3))*SQRT(N63))</f>
        <v/>
      </c>
      <c r="BU63" s="9" t="str">
        <f aca="false">IF(AY63="","",IF(BT63&lt;AY63,BS63,BQ63))</f>
        <v/>
      </c>
      <c r="BV63" s="9" t="str">
        <f aca="false">IF(AY63="","",IF(BT63&lt;AY63,BR63,BS63))</f>
        <v/>
      </c>
      <c r="BW63" s="9" t="str">
        <f aca="false">IF(AY63="","",(BU63+BV63)/2)</f>
        <v/>
      </c>
      <c r="BX63" s="9" t="str">
        <f aca="false">IF(OR(R63="",N63="",BW63="",R63&lt;=0,BW63&lt;=0),"",(1/Inputs!$B$9)*((R63^2/8)*((2*ACOS(1-2*BW63/R63))-SIN((2*ACOS(1-2*BW63/R63)))))*((((R63^2/8)*((2*ACOS(1-2*BW63/R63))-SIN((2*ACOS(1-2*BW63/R63)))))/((R63/2)*((2*ACOS(1-2*BW63/R63)))))^(2/3))*SQRT(N63))</f>
        <v/>
      </c>
      <c r="BY63" s="9" t="str">
        <f aca="false">IF(AY63="","",IF(BX63&lt;AY63,BW63,BU63))</f>
        <v/>
      </c>
      <c r="BZ63" s="9" t="str">
        <f aca="false">IF(AY63="","",IF(BX63&lt;AY63,BV63,BW63))</f>
        <v/>
      </c>
      <c r="CA63" s="9" t="str">
        <f aca="false">IF(AY63="","",(BY63+BZ63)/2)</f>
        <v/>
      </c>
      <c r="CB63" s="9" t="str">
        <f aca="false">IF(OR(R63="",N63="",CA63="",R63&lt;=0,CA63&lt;=0),"",(1/Inputs!$B$9)*((R63^2/8)*((2*ACOS(1-2*CA63/R63))-SIN((2*ACOS(1-2*CA63/R63)))))*((((R63^2/8)*((2*ACOS(1-2*CA63/R63))-SIN((2*ACOS(1-2*CA63/R63)))))/((R63/2)*((2*ACOS(1-2*CA63/R63)))))^(2/3))*SQRT(N63))</f>
        <v/>
      </c>
      <c r="CC63" s="9" t="str">
        <f aca="false">IF(AY63="","",IF(CB63&lt;AY63,CA63,BY63))</f>
        <v/>
      </c>
      <c r="CD63" s="9" t="str">
        <f aca="false">IF(AY63="","",IF(CB63&lt;AY63,BZ63,CA63))</f>
        <v/>
      </c>
      <c r="CE63" s="9" t="str">
        <f aca="false">IF(AY63="","",(CC63+CD63)/2)</f>
        <v/>
      </c>
    </row>
    <row r="64" customFormat="false" ht="15" hidden="false" customHeight="false" outlineLevel="0" collapsed="false">
      <c r="A64" s="9"/>
      <c r="B64" s="9"/>
      <c r="C64" s="14"/>
      <c r="D64" s="14"/>
      <c r="E64" s="14" t="n">
        <f aca="false">SUMIFS(CB_Tributaires!$C:$C,CB_Tributaires!$B:$B,$A64)</f>
        <v>0</v>
      </c>
      <c r="F64" s="14" t="n">
        <f aca="false">IF(D64="",E64,D64)</f>
        <v>0</v>
      </c>
      <c r="G64" s="9"/>
      <c r="H64" s="14"/>
      <c r="I64" s="14" t="str">
        <f aca="false">IF(A64="","",Inputs!$B$13/((IF(AS64="",Inputs!$B$18,AS64)+Inputs!$B$14)^Inputs!$B$15))</f>
        <v/>
      </c>
      <c r="J64" s="14" t="str">
        <f aca="false">IF(A64="","",0.000000278*IF(G64="",Inputs!$B$17,G64)*F64*I64)</f>
        <v/>
      </c>
      <c r="K64" s="14" t="str">
        <f aca="false">IF(A64="","",SUMIFS($L$4:$L$203,$B$4:$B$203,$A64))</f>
        <v/>
      </c>
      <c r="L64" s="14" t="str">
        <f aca="false">IF(A64="","",(J64+K64)*Inputs!$B$16)</f>
        <v/>
      </c>
      <c r="M64" s="14"/>
      <c r="N64" s="14" t="str">
        <f aca="false">IF(A64="","",IF(M64="",Inputs!$B$7,M64))</f>
        <v/>
      </c>
      <c r="O64" s="9" t="str">
        <f aca="false">IF(A64="","",IF(L64/Inputs!$B$10&lt;=AD64,Inputs!$F$5,IF(L64/Inputs!$B$10&gt;AM64,"OVERSIZE",INDEX(Inputs!$F$5:$F$14,MATCH(L64/Inputs!$B$10,AD64:AM64,1)+1))))</f>
        <v/>
      </c>
      <c r="P64" s="9"/>
      <c r="Q64" s="9" t="str">
        <f aca="false">IF(A64="","",IF(P64="",O64,P64))</f>
        <v/>
      </c>
      <c r="R64" s="14" t="str">
        <f aca="false">IF(OR(Q64="",Q64="OVERSIZE"),"",Q64/1000)</f>
        <v/>
      </c>
      <c r="S64" s="14" t="str">
        <f aca="false">IF(R64="","",(1/Inputs!$B$9)*(PI()*R64^2/4)*((R64/4)^(2/3))*SQRT(N64))</f>
        <v/>
      </c>
      <c r="T64" s="14" t="str">
        <f aca="false">IF(OR(S64="",L64=""),"",L64/(S64*Inputs!$B$10))</f>
        <v/>
      </c>
      <c r="U64" s="14" t="str">
        <f aca="false">IF(OR(R64="",L64=""),"",4*L64/(PI()*R64^2))</f>
        <v/>
      </c>
      <c r="V64" s="14"/>
      <c r="W64" s="14" t="str">
        <f aca="false">IF(A64="","",IF(A64=Inputs!$B$6,Inputs!$B$22,IF(B64="","",IFERROR(INDEX($X$4:$X$203,MATCH(B64,$A$4:$A$203,0))+IF(V64="",Inputs!$B$20,V64),""))))</f>
        <v/>
      </c>
      <c r="X64" s="14" t="str">
        <f aca="false">IF(OR(W64="",N64="",C64=""),"",W64+N64*C64)</f>
        <v/>
      </c>
      <c r="Y64" s="14"/>
      <c r="Z64" s="14"/>
      <c r="AA64" s="14" t="str">
        <f aca="false">IF(OR(Y64="",W64=""),"",Y64-W64)</f>
        <v/>
      </c>
      <c r="AB64" s="14" t="str">
        <f aca="false">IF(OR(Z64="",X64=""),"",Z64-X64)</f>
        <v/>
      </c>
      <c r="AC64" s="19" t="str">
        <f aca="false">IF(A64="","",IF(OR(T64&gt;1,AND(AV64&lt;&gt;"",AV64&lt;Inputs!$B$11),AND(AV64&lt;&gt;"",AV64&gt;Inputs!$B$12),AA64&lt;Inputs!$B$19,AB64&lt;Inputs!$B$19,N64&lt;Inputs!$B$7,N64&gt;Inputs!$B$8),"CHECK","OK"))</f>
        <v/>
      </c>
      <c r="AD64" s="9" t="str">
        <f aca="false">IF(A64="","",(1/Inputs!$B$9)*(PI()*(Inputs!$F$5/1000)^2/4)*((Inputs!$F$5/1000/4)^(2/3))*SQRT(N64))</f>
        <v/>
      </c>
      <c r="AE64" s="9" t="str">
        <f aca="false">IF(A64="","",(1/Inputs!$B$9)*(PI()*(Inputs!$F$6/1000)^2/4)*((Inputs!$F$6/1000/4)^(2/3))*SQRT(N64))</f>
        <v/>
      </c>
      <c r="AF64" s="9" t="str">
        <f aca="false">IF(A64="","",(1/Inputs!$B$9)*(PI()*(Inputs!$F$7/1000)^2/4)*((Inputs!$F$7/1000/4)^(2/3))*SQRT(N64))</f>
        <v/>
      </c>
      <c r="AG64" s="9" t="str">
        <f aca="false">IF(A64="","",(1/Inputs!$B$9)*(PI()*(Inputs!$F$8/1000)^2/4)*((Inputs!$F$8/1000/4)^(2/3))*SQRT(N64))</f>
        <v/>
      </c>
      <c r="AH64" s="9" t="str">
        <f aca="false">IF(A64="","",(1/Inputs!$B$9)*(PI()*(Inputs!$F$9/1000)^2/4)*((Inputs!$F$9/1000/4)^(2/3))*SQRT(N64))</f>
        <v/>
      </c>
      <c r="AI64" s="9" t="str">
        <f aca="false">IF(A64="","",(1/Inputs!$B$9)*(PI()*(Inputs!$F$10/1000)^2/4)*((Inputs!$F$10/1000/4)^(2/3))*SQRT(N64))</f>
        <v/>
      </c>
      <c r="AJ64" s="9" t="str">
        <f aca="false">IF(A64="","",(1/Inputs!$B$9)*(PI()*(Inputs!$F$11/1000)^2/4)*((Inputs!$F$11/1000/4)^(2/3))*SQRT(N64))</f>
        <v/>
      </c>
      <c r="AK64" s="9" t="str">
        <f aca="false">IF(A64="","",(1/Inputs!$B$9)*(PI()*(Inputs!$F$12/1000)^2/4)*((Inputs!$F$12/1000/4)^(2/3))*SQRT(N64))</f>
        <v/>
      </c>
      <c r="AL64" s="9" t="str">
        <f aca="false">IF(A64="","",(1/Inputs!$B$9)*(PI()*(Inputs!$F$13/1000)^2/4)*((Inputs!$F$13/1000/4)^(2/3))*SQRT(N64))</f>
        <v/>
      </c>
      <c r="AM64" s="9" t="str">
        <f aca="false">IF(A64="","",(1/Inputs!$B$9)*(PI()*(Inputs!$F$14/1000)^2/4)*((Inputs!$F$14/1000/4)^(2/3))*SQRT(N64))</f>
        <v/>
      </c>
      <c r="AN64" s="9" t="str">
        <f aca="false">IF(A64="","",COUNTIF($B$4:$B$203,$A64))</f>
        <v/>
      </c>
      <c r="AO64" s="9" t="str">
        <f aca="false">IF(A64="","",IF(AN64=0,"START","CONTINUOUS"))</f>
        <v/>
      </c>
      <c r="AP64" s="13" t="str">
        <f aca="false">IF(A64="","",IF(H64="",Inputs!$B$18,H64))</f>
        <v/>
      </c>
      <c r="AQ64" s="13" t="str">
        <f aca="false">IF(A64="","",IFERROR(maxifs($AS$4:$AS$203,$B$4:$B$203,$A64),""))</f>
        <v/>
      </c>
      <c r="AR64" s="13" t="str">
        <f aca="false">IF(A64="","",IF(OR(C64="",Inputs!$B$23=""),"",C64/(Inputs!$B$23*60)))</f>
        <v/>
      </c>
      <c r="AS64" s="13" t="str">
        <f aca="false">IF(A64="","",IF(AN64=0,AP64+AR64,IF(AQ64="",AP64+AR64,AQ64+AR64)))</f>
        <v/>
      </c>
      <c r="AT64" s="13" t="str">
        <f aca="false">IF(A64="","",U64)</f>
        <v/>
      </c>
      <c r="AU64" s="13" t="str">
        <f aca="false">IF(OR(R64="",N64=""),"",(1/Inputs!$B$9)*((R64/4)^(2/3))*SQRT(N64))</f>
        <v/>
      </c>
      <c r="AV64" s="13" t="str">
        <f aca="false">IF(A64="","",IF(AND(AT64="",AU64="",AX64=""),"",IF(OR(UPPER(TRIM(Inputs!$B$24))="MANNING",UPPER(TRIM(Inputs!$B$24))="M"),AU64,IF(OR(UPPER(TRIM(Inputs!$B$24))="PARTIAL",UPPER(TRIM(Inputs!$B$24))="P"),AX64,IF(OR(UPPER(TRIM(Inputs!$B$24))="MAX",UPPER(TRIM(Inputs!$B$24))="X"),MAX(IF(AT64="",0,AT64),IF(AU64="",0,AU64),IF(AX64="",0,AX64)),AT64)))))</f>
        <v/>
      </c>
      <c r="AW64" s="13" t="str">
        <f aca="false">IF(AY64="","",CE64)</f>
        <v/>
      </c>
      <c r="AX64" s="13" t="str">
        <f aca="false">IF(OR(AY64="",AW64="",R64="",R64&lt;=0,AW64&lt;=0),"",AY64/((R64^2/8)*(2*ACOS(1-2*AW64/R64)-SIN(2*ACOS(1-2*AW64/R64)))))</f>
        <v/>
      </c>
      <c r="AY64" s="9" t="str">
        <f aca="false">IF(OR(L64="",AZ64=""),"",MIN(L64,AZ64))</f>
        <v/>
      </c>
      <c r="AZ64" s="9" t="str">
        <f aca="false">IF(OR(L64="",R64="",N64=""),"",IF(OR(R64="",N64="",(0.94*R64)="",R64&lt;=0,(0.94*R64)&lt;=0),"",(1/Inputs!$B$9)*((R64^2/8)*((2*ACOS(1-2*(0.94*R64)/R64))-SIN((2*ACOS(1-2*(0.94*R64)/R64)))))*((((R64^2/8)*((2*ACOS(1-2*(0.94*R64)/R64))-SIN((2*ACOS(1-2*(0.94*R64)/R64)))))/((R64/2)*((2*ACOS(1-2*(0.94*R64)/R64)))))^(2/3))*SQRT(N64)))</f>
        <v/>
      </c>
      <c r="BA64" s="9" t="str">
        <f aca="false">IF(AY64="","",0.001*R64)</f>
        <v/>
      </c>
      <c r="BB64" s="9" t="str">
        <f aca="false">IF(AY64="","",0.94*R64)</f>
        <v/>
      </c>
      <c r="BC64" s="9" t="str">
        <f aca="false">IF(AY64="","",(BA64+BB64)/2)</f>
        <v/>
      </c>
      <c r="BD64" s="9" t="str">
        <f aca="false">IF(OR(R64="",N64="",BC64="",R64&lt;=0,BC64&lt;=0),"",(1/Inputs!$B$9)*((R64^2/8)*((2*ACOS(1-2*BC64/R64))-SIN((2*ACOS(1-2*BC64/R64)))))*((((R64^2/8)*((2*ACOS(1-2*BC64/R64))-SIN((2*ACOS(1-2*BC64/R64)))))/((R64/2)*((2*ACOS(1-2*BC64/R64)))))^(2/3))*SQRT(N64))</f>
        <v/>
      </c>
      <c r="BE64" s="9" t="str">
        <f aca="false">IF(AY64="","",IF(BD64&lt;AY64,BC64,BA64))</f>
        <v/>
      </c>
      <c r="BF64" s="9" t="str">
        <f aca="false">IF(AY64="","",IF(BD64&lt;AY64,BB64,BC64))</f>
        <v/>
      </c>
      <c r="BG64" s="9" t="str">
        <f aca="false">IF(AY64="","",(BE64+BF64)/2)</f>
        <v/>
      </c>
      <c r="BH64" s="9" t="str">
        <f aca="false">IF(OR(R64="",N64="",BG64="",R64&lt;=0,BG64&lt;=0),"",(1/Inputs!$B$9)*((R64^2/8)*((2*ACOS(1-2*BG64/R64))-SIN((2*ACOS(1-2*BG64/R64)))))*((((R64^2/8)*((2*ACOS(1-2*BG64/R64))-SIN((2*ACOS(1-2*BG64/R64)))))/((R64/2)*((2*ACOS(1-2*BG64/R64)))))^(2/3))*SQRT(N64))</f>
        <v/>
      </c>
      <c r="BI64" s="9" t="str">
        <f aca="false">IF(AY64="","",IF(BH64&lt;AY64,BG64,BE64))</f>
        <v/>
      </c>
      <c r="BJ64" s="9" t="str">
        <f aca="false">IF(AY64="","",IF(BH64&lt;AY64,BF64,BG64))</f>
        <v/>
      </c>
      <c r="BK64" s="9" t="str">
        <f aca="false">IF(AY64="","",(BI64+BJ64)/2)</f>
        <v/>
      </c>
      <c r="BL64" s="9" t="str">
        <f aca="false">IF(OR(R64="",N64="",BK64="",R64&lt;=0,BK64&lt;=0),"",(1/Inputs!$B$9)*((R64^2/8)*((2*ACOS(1-2*BK64/R64))-SIN((2*ACOS(1-2*BK64/R64)))))*((((R64^2/8)*((2*ACOS(1-2*BK64/R64))-SIN((2*ACOS(1-2*BK64/R64)))))/((R64/2)*((2*ACOS(1-2*BK64/R64)))))^(2/3))*SQRT(N64))</f>
        <v/>
      </c>
      <c r="BM64" s="9" t="str">
        <f aca="false">IF(AY64="","",IF(BL64&lt;AY64,BK64,BI64))</f>
        <v/>
      </c>
      <c r="BN64" s="9" t="str">
        <f aca="false">IF(AY64="","",IF(BL64&lt;AY64,BJ64,BK64))</f>
        <v/>
      </c>
      <c r="BO64" s="9" t="str">
        <f aca="false">IF(AY64="","",(BM64+BN64)/2)</f>
        <v/>
      </c>
      <c r="BP64" s="9" t="str">
        <f aca="false">IF(OR(R64="",N64="",BO64="",R64&lt;=0,BO64&lt;=0),"",(1/Inputs!$B$9)*((R64^2/8)*((2*ACOS(1-2*BO64/R64))-SIN((2*ACOS(1-2*BO64/R64)))))*((((R64^2/8)*((2*ACOS(1-2*BO64/R64))-SIN((2*ACOS(1-2*BO64/R64)))))/((R64/2)*((2*ACOS(1-2*BO64/R64)))))^(2/3))*SQRT(N64))</f>
        <v/>
      </c>
      <c r="BQ64" s="9" t="str">
        <f aca="false">IF(AY64="","",IF(BP64&lt;AY64,BO64,BM64))</f>
        <v/>
      </c>
      <c r="BR64" s="9" t="str">
        <f aca="false">IF(AY64="","",IF(BP64&lt;AY64,BN64,BO64))</f>
        <v/>
      </c>
      <c r="BS64" s="9" t="str">
        <f aca="false">IF(AY64="","",(BQ64+BR64)/2)</f>
        <v/>
      </c>
      <c r="BT64" s="9" t="str">
        <f aca="false">IF(OR(R64="",N64="",BS64="",R64&lt;=0,BS64&lt;=0),"",(1/Inputs!$B$9)*((R64^2/8)*((2*ACOS(1-2*BS64/R64))-SIN((2*ACOS(1-2*BS64/R64)))))*((((R64^2/8)*((2*ACOS(1-2*BS64/R64))-SIN((2*ACOS(1-2*BS64/R64)))))/((R64/2)*((2*ACOS(1-2*BS64/R64)))))^(2/3))*SQRT(N64))</f>
        <v/>
      </c>
      <c r="BU64" s="9" t="str">
        <f aca="false">IF(AY64="","",IF(BT64&lt;AY64,BS64,BQ64))</f>
        <v/>
      </c>
      <c r="BV64" s="9" t="str">
        <f aca="false">IF(AY64="","",IF(BT64&lt;AY64,BR64,BS64))</f>
        <v/>
      </c>
      <c r="BW64" s="9" t="str">
        <f aca="false">IF(AY64="","",(BU64+BV64)/2)</f>
        <v/>
      </c>
      <c r="BX64" s="9" t="str">
        <f aca="false">IF(OR(R64="",N64="",BW64="",R64&lt;=0,BW64&lt;=0),"",(1/Inputs!$B$9)*((R64^2/8)*((2*ACOS(1-2*BW64/R64))-SIN((2*ACOS(1-2*BW64/R64)))))*((((R64^2/8)*((2*ACOS(1-2*BW64/R64))-SIN((2*ACOS(1-2*BW64/R64)))))/((R64/2)*((2*ACOS(1-2*BW64/R64)))))^(2/3))*SQRT(N64))</f>
        <v/>
      </c>
      <c r="BY64" s="9" t="str">
        <f aca="false">IF(AY64="","",IF(BX64&lt;AY64,BW64,BU64))</f>
        <v/>
      </c>
      <c r="BZ64" s="9" t="str">
        <f aca="false">IF(AY64="","",IF(BX64&lt;AY64,BV64,BW64))</f>
        <v/>
      </c>
      <c r="CA64" s="9" t="str">
        <f aca="false">IF(AY64="","",(BY64+BZ64)/2)</f>
        <v/>
      </c>
      <c r="CB64" s="9" t="str">
        <f aca="false">IF(OR(R64="",N64="",CA64="",R64&lt;=0,CA64&lt;=0),"",(1/Inputs!$B$9)*((R64^2/8)*((2*ACOS(1-2*CA64/R64))-SIN((2*ACOS(1-2*CA64/R64)))))*((((R64^2/8)*((2*ACOS(1-2*CA64/R64))-SIN((2*ACOS(1-2*CA64/R64)))))/((R64/2)*((2*ACOS(1-2*CA64/R64)))))^(2/3))*SQRT(N64))</f>
        <v/>
      </c>
      <c r="CC64" s="9" t="str">
        <f aca="false">IF(AY64="","",IF(CB64&lt;AY64,CA64,BY64))</f>
        <v/>
      </c>
      <c r="CD64" s="9" t="str">
        <f aca="false">IF(AY64="","",IF(CB64&lt;AY64,BZ64,CA64))</f>
        <v/>
      </c>
      <c r="CE64" s="9" t="str">
        <f aca="false">IF(AY64="","",(CC64+CD64)/2)</f>
        <v/>
      </c>
    </row>
    <row r="65" customFormat="false" ht="15" hidden="false" customHeight="false" outlineLevel="0" collapsed="false">
      <c r="A65" s="9"/>
      <c r="B65" s="9"/>
      <c r="C65" s="14"/>
      <c r="D65" s="14"/>
      <c r="E65" s="14" t="n">
        <f aca="false">SUMIFS(CB_Tributaires!$C:$C,CB_Tributaires!$B:$B,$A65)</f>
        <v>0</v>
      </c>
      <c r="F65" s="14" t="n">
        <f aca="false">IF(D65="",E65,D65)</f>
        <v>0</v>
      </c>
      <c r="G65" s="9"/>
      <c r="H65" s="14"/>
      <c r="I65" s="14" t="str">
        <f aca="false">IF(A65="","",Inputs!$B$13/((IF(AS65="",Inputs!$B$18,AS65)+Inputs!$B$14)^Inputs!$B$15))</f>
        <v/>
      </c>
      <c r="J65" s="14" t="str">
        <f aca="false">IF(A65="","",0.000000278*IF(G65="",Inputs!$B$17,G65)*F65*I65)</f>
        <v/>
      </c>
      <c r="K65" s="14" t="str">
        <f aca="false">IF(A65="","",SUMIFS($L$4:$L$203,$B$4:$B$203,$A65))</f>
        <v/>
      </c>
      <c r="L65" s="14" t="str">
        <f aca="false">IF(A65="","",(J65+K65)*Inputs!$B$16)</f>
        <v/>
      </c>
      <c r="M65" s="14"/>
      <c r="N65" s="14" t="str">
        <f aca="false">IF(A65="","",IF(M65="",Inputs!$B$7,M65))</f>
        <v/>
      </c>
      <c r="O65" s="9" t="str">
        <f aca="false">IF(A65="","",IF(L65/Inputs!$B$10&lt;=AD65,Inputs!$F$5,IF(L65/Inputs!$B$10&gt;AM65,"OVERSIZE",INDEX(Inputs!$F$5:$F$14,MATCH(L65/Inputs!$B$10,AD65:AM65,1)+1))))</f>
        <v/>
      </c>
      <c r="P65" s="9"/>
      <c r="Q65" s="9" t="str">
        <f aca="false">IF(A65="","",IF(P65="",O65,P65))</f>
        <v/>
      </c>
      <c r="R65" s="14" t="str">
        <f aca="false">IF(OR(Q65="",Q65="OVERSIZE"),"",Q65/1000)</f>
        <v/>
      </c>
      <c r="S65" s="14" t="str">
        <f aca="false">IF(R65="","",(1/Inputs!$B$9)*(PI()*R65^2/4)*((R65/4)^(2/3))*SQRT(N65))</f>
        <v/>
      </c>
      <c r="T65" s="14" t="str">
        <f aca="false">IF(OR(S65="",L65=""),"",L65/(S65*Inputs!$B$10))</f>
        <v/>
      </c>
      <c r="U65" s="14" t="str">
        <f aca="false">IF(OR(R65="",L65=""),"",4*L65/(PI()*R65^2))</f>
        <v/>
      </c>
      <c r="V65" s="14"/>
      <c r="W65" s="14" t="str">
        <f aca="false">IF(A65="","",IF(A65=Inputs!$B$6,Inputs!$B$22,IF(B65="","",IFERROR(INDEX($X$4:$X$203,MATCH(B65,$A$4:$A$203,0))+IF(V65="",Inputs!$B$20,V65),""))))</f>
        <v/>
      </c>
      <c r="X65" s="14" t="str">
        <f aca="false">IF(OR(W65="",N65="",C65=""),"",W65+N65*C65)</f>
        <v/>
      </c>
      <c r="Y65" s="14"/>
      <c r="Z65" s="14"/>
      <c r="AA65" s="14" t="str">
        <f aca="false">IF(OR(Y65="",W65=""),"",Y65-W65)</f>
        <v/>
      </c>
      <c r="AB65" s="14" t="str">
        <f aca="false">IF(OR(Z65="",X65=""),"",Z65-X65)</f>
        <v/>
      </c>
      <c r="AC65" s="19" t="str">
        <f aca="false">IF(A65="","",IF(OR(T65&gt;1,AND(AV65&lt;&gt;"",AV65&lt;Inputs!$B$11),AND(AV65&lt;&gt;"",AV65&gt;Inputs!$B$12),AA65&lt;Inputs!$B$19,AB65&lt;Inputs!$B$19,N65&lt;Inputs!$B$7,N65&gt;Inputs!$B$8),"CHECK","OK"))</f>
        <v/>
      </c>
      <c r="AD65" s="9" t="str">
        <f aca="false">IF(A65="","",(1/Inputs!$B$9)*(PI()*(Inputs!$F$5/1000)^2/4)*((Inputs!$F$5/1000/4)^(2/3))*SQRT(N65))</f>
        <v/>
      </c>
      <c r="AE65" s="9" t="str">
        <f aca="false">IF(A65="","",(1/Inputs!$B$9)*(PI()*(Inputs!$F$6/1000)^2/4)*((Inputs!$F$6/1000/4)^(2/3))*SQRT(N65))</f>
        <v/>
      </c>
      <c r="AF65" s="9" t="str">
        <f aca="false">IF(A65="","",(1/Inputs!$B$9)*(PI()*(Inputs!$F$7/1000)^2/4)*((Inputs!$F$7/1000/4)^(2/3))*SQRT(N65))</f>
        <v/>
      </c>
      <c r="AG65" s="9" t="str">
        <f aca="false">IF(A65="","",(1/Inputs!$B$9)*(PI()*(Inputs!$F$8/1000)^2/4)*((Inputs!$F$8/1000/4)^(2/3))*SQRT(N65))</f>
        <v/>
      </c>
      <c r="AH65" s="9" t="str">
        <f aca="false">IF(A65="","",(1/Inputs!$B$9)*(PI()*(Inputs!$F$9/1000)^2/4)*((Inputs!$F$9/1000/4)^(2/3))*SQRT(N65))</f>
        <v/>
      </c>
      <c r="AI65" s="9" t="str">
        <f aca="false">IF(A65="","",(1/Inputs!$B$9)*(PI()*(Inputs!$F$10/1000)^2/4)*((Inputs!$F$10/1000/4)^(2/3))*SQRT(N65))</f>
        <v/>
      </c>
      <c r="AJ65" s="9" t="str">
        <f aca="false">IF(A65="","",(1/Inputs!$B$9)*(PI()*(Inputs!$F$11/1000)^2/4)*((Inputs!$F$11/1000/4)^(2/3))*SQRT(N65))</f>
        <v/>
      </c>
      <c r="AK65" s="9" t="str">
        <f aca="false">IF(A65="","",(1/Inputs!$B$9)*(PI()*(Inputs!$F$12/1000)^2/4)*((Inputs!$F$12/1000/4)^(2/3))*SQRT(N65))</f>
        <v/>
      </c>
      <c r="AL65" s="9" t="str">
        <f aca="false">IF(A65="","",(1/Inputs!$B$9)*(PI()*(Inputs!$F$13/1000)^2/4)*((Inputs!$F$13/1000/4)^(2/3))*SQRT(N65))</f>
        <v/>
      </c>
      <c r="AM65" s="9" t="str">
        <f aca="false">IF(A65="","",(1/Inputs!$B$9)*(PI()*(Inputs!$F$14/1000)^2/4)*((Inputs!$F$14/1000/4)^(2/3))*SQRT(N65))</f>
        <v/>
      </c>
      <c r="AN65" s="9" t="str">
        <f aca="false">IF(A65="","",COUNTIF($B$4:$B$203,$A65))</f>
        <v/>
      </c>
      <c r="AO65" s="9" t="str">
        <f aca="false">IF(A65="","",IF(AN65=0,"START","CONTINUOUS"))</f>
        <v/>
      </c>
      <c r="AP65" s="13" t="str">
        <f aca="false">IF(A65="","",IF(H65="",Inputs!$B$18,H65))</f>
        <v/>
      </c>
      <c r="AQ65" s="13" t="str">
        <f aca="false">IF(A65="","",IFERROR(maxifs($AS$4:$AS$203,$B$4:$B$203,$A65),""))</f>
        <v/>
      </c>
      <c r="AR65" s="13" t="str">
        <f aca="false">IF(A65="","",IF(OR(C65="",Inputs!$B$23=""),"",C65/(Inputs!$B$23*60)))</f>
        <v/>
      </c>
      <c r="AS65" s="13" t="str">
        <f aca="false">IF(A65="","",IF(AN65=0,AP65+AR65,IF(AQ65="",AP65+AR65,AQ65+AR65)))</f>
        <v/>
      </c>
      <c r="AT65" s="13" t="str">
        <f aca="false">IF(A65="","",U65)</f>
        <v/>
      </c>
      <c r="AU65" s="13" t="str">
        <f aca="false">IF(OR(R65="",N65=""),"",(1/Inputs!$B$9)*((R65/4)^(2/3))*SQRT(N65))</f>
        <v/>
      </c>
      <c r="AV65" s="13" t="str">
        <f aca="false">IF(A65="","",IF(AND(AT65="",AU65="",AX65=""),"",IF(OR(UPPER(TRIM(Inputs!$B$24))="MANNING",UPPER(TRIM(Inputs!$B$24))="M"),AU65,IF(OR(UPPER(TRIM(Inputs!$B$24))="PARTIAL",UPPER(TRIM(Inputs!$B$24))="P"),AX65,IF(OR(UPPER(TRIM(Inputs!$B$24))="MAX",UPPER(TRIM(Inputs!$B$24))="X"),MAX(IF(AT65="",0,AT65),IF(AU65="",0,AU65),IF(AX65="",0,AX65)),AT65)))))</f>
        <v/>
      </c>
      <c r="AW65" s="13" t="str">
        <f aca="false">IF(AY65="","",CE65)</f>
        <v/>
      </c>
      <c r="AX65" s="13" t="str">
        <f aca="false">IF(OR(AY65="",AW65="",R65="",R65&lt;=0,AW65&lt;=0),"",AY65/((R65^2/8)*(2*ACOS(1-2*AW65/R65)-SIN(2*ACOS(1-2*AW65/R65)))))</f>
        <v/>
      </c>
      <c r="AY65" s="9" t="str">
        <f aca="false">IF(OR(L65="",AZ65=""),"",MIN(L65,AZ65))</f>
        <v/>
      </c>
      <c r="AZ65" s="9" t="str">
        <f aca="false">IF(OR(L65="",R65="",N65=""),"",IF(OR(R65="",N65="",(0.94*R65)="",R65&lt;=0,(0.94*R65)&lt;=0),"",(1/Inputs!$B$9)*((R65^2/8)*((2*ACOS(1-2*(0.94*R65)/R65))-SIN((2*ACOS(1-2*(0.94*R65)/R65)))))*((((R65^2/8)*((2*ACOS(1-2*(0.94*R65)/R65))-SIN((2*ACOS(1-2*(0.94*R65)/R65)))))/((R65/2)*((2*ACOS(1-2*(0.94*R65)/R65)))))^(2/3))*SQRT(N65)))</f>
        <v/>
      </c>
      <c r="BA65" s="9" t="str">
        <f aca="false">IF(AY65="","",0.001*R65)</f>
        <v/>
      </c>
      <c r="BB65" s="9" t="str">
        <f aca="false">IF(AY65="","",0.94*R65)</f>
        <v/>
      </c>
      <c r="BC65" s="9" t="str">
        <f aca="false">IF(AY65="","",(BA65+BB65)/2)</f>
        <v/>
      </c>
      <c r="BD65" s="9" t="str">
        <f aca="false">IF(OR(R65="",N65="",BC65="",R65&lt;=0,BC65&lt;=0),"",(1/Inputs!$B$9)*((R65^2/8)*((2*ACOS(1-2*BC65/R65))-SIN((2*ACOS(1-2*BC65/R65)))))*((((R65^2/8)*((2*ACOS(1-2*BC65/R65))-SIN((2*ACOS(1-2*BC65/R65)))))/((R65/2)*((2*ACOS(1-2*BC65/R65)))))^(2/3))*SQRT(N65))</f>
        <v/>
      </c>
      <c r="BE65" s="9" t="str">
        <f aca="false">IF(AY65="","",IF(BD65&lt;AY65,BC65,BA65))</f>
        <v/>
      </c>
      <c r="BF65" s="9" t="str">
        <f aca="false">IF(AY65="","",IF(BD65&lt;AY65,BB65,BC65))</f>
        <v/>
      </c>
      <c r="BG65" s="9" t="str">
        <f aca="false">IF(AY65="","",(BE65+BF65)/2)</f>
        <v/>
      </c>
      <c r="BH65" s="9" t="str">
        <f aca="false">IF(OR(R65="",N65="",BG65="",R65&lt;=0,BG65&lt;=0),"",(1/Inputs!$B$9)*((R65^2/8)*((2*ACOS(1-2*BG65/R65))-SIN((2*ACOS(1-2*BG65/R65)))))*((((R65^2/8)*((2*ACOS(1-2*BG65/R65))-SIN((2*ACOS(1-2*BG65/R65)))))/((R65/2)*((2*ACOS(1-2*BG65/R65)))))^(2/3))*SQRT(N65))</f>
        <v/>
      </c>
      <c r="BI65" s="9" t="str">
        <f aca="false">IF(AY65="","",IF(BH65&lt;AY65,BG65,BE65))</f>
        <v/>
      </c>
      <c r="BJ65" s="9" t="str">
        <f aca="false">IF(AY65="","",IF(BH65&lt;AY65,BF65,BG65))</f>
        <v/>
      </c>
      <c r="BK65" s="9" t="str">
        <f aca="false">IF(AY65="","",(BI65+BJ65)/2)</f>
        <v/>
      </c>
      <c r="BL65" s="9" t="str">
        <f aca="false">IF(OR(R65="",N65="",BK65="",R65&lt;=0,BK65&lt;=0),"",(1/Inputs!$B$9)*((R65^2/8)*((2*ACOS(1-2*BK65/R65))-SIN((2*ACOS(1-2*BK65/R65)))))*((((R65^2/8)*((2*ACOS(1-2*BK65/R65))-SIN((2*ACOS(1-2*BK65/R65)))))/((R65/2)*((2*ACOS(1-2*BK65/R65)))))^(2/3))*SQRT(N65))</f>
        <v/>
      </c>
      <c r="BM65" s="9" t="str">
        <f aca="false">IF(AY65="","",IF(BL65&lt;AY65,BK65,BI65))</f>
        <v/>
      </c>
      <c r="BN65" s="9" t="str">
        <f aca="false">IF(AY65="","",IF(BL65&lt;AY65,BJ65,BK65))</f>
        <v/>
      </c>
      <c r="BO65" s="9" t="str">
        <f aca="false">IF(AY65="","",(BM65+BN65)/2)</f>
        <v/>
      </c>
      <c r="BP65" s="9" t="str">
        <f aca="false">IF(OR(R65="",N65="",BO65="",R65&lt;=0,BO65&lt;=0),"",(1/Inputs!$B$9)*((R65^2/8)*((2*ACOS(1-2*BO65/R65))-SIN((2*ACOS(1-2*BO65/R65)))))*((((R65^2/8)*((2*ACOS(1-2*BO65/R65))-SIN((2*ACOS(1-2*BO65/R65)))))/((R65/2)*((2*ACOS(1-2*BO65/R65)))))^(2/3))*SQRT(N65))</f>
        <v/>
      </c>
      <c r="BQ65" s="9" t="str">
        <f aca="false">IF(AY65="","",IF(BP65&lt;AY65,BO65,BM65))</f>
        <v/>
      </c>
      <c r="BR65" s="9" t="str">
        <f aca="false">IF(AY65="","",IF(BP65&lt;AY65,BN65,BO65))</f>
        <v/>
      </c>
      <c r="BS65" s="9" t="str">
        <f aca="false">IF(AY65="","",(BQ65+BR65)/2)</f>
        <v/>
      </c>
      <c r="BT65" s="9" t="str">
        <f aca="false">IF(OR(R65="",N65="",BS65="",R65&lt;=0,BS65&lt;=0),"",(1/Inputs!$B$9)*((R65^2/8)*((2*ACOS(1-2*BS65/R65))-SIN((2*ACOS(1-2*BS65/R65)))))*((((R65^2/8)*((2*ACOS(1-2*BS65/R65))-SIN((2*ACOS(1-2*BS65/R65)))))/((R65/2)*((2*ACOS(1-2*BS65/R65)))))^(2/3))*SQRT(N65))</f>
        <v/>
      </c>
      <c r="BU65" s="9" t="str">
        <f aca="false">IF(AY65="","",IF(BT65&lt;AY65,BS65,BQ65))</f>
        <v/>
      </c>
      <c r="BV65" s="9" t="str">
        <f aca="false">IF(AY65="","",IF(BT65&lt;AY65,BR65,BS65))</f>
        <v/>
      </c>
      <c r="BW65" s="9" t="str">
        <f aca="false">IF(AY65="","",(BU65+BV65)/2)</f>
        <v/>
      </c>
      <c r="BX65" s="9" t="str">
        <f aca="false">IF(OR(R65="",N65="",BW65="",R65&lt;=0,BW65&lt;=0),"",(1/Inputs!$B$9)*((R65^2/8)*((2*ACOS(1-2*BW65/R65))-SIN((2*ACOS(1-2*BW65/R65)))))*((((R65^2/8)*((2*ACOS(1-2*BW65/R65))-SIN((2*ACOS(1-2*BW65/R65)))))/((R65/2)*((2*ACOS(1-2*BW65/R65)))))^(2/3))*SQRT(N65))</f>
        <v/>
      </c>
      <c r="BY65" s="9" t="str">
        <f aca="false">IF(AY65="","",IF(BX65&lt;AY65,BW65,BU65))</f>
        <v/>
      </c>
      <c r="BZ65" s="9" t="str">
        <f aca="false">IF(AY65="","",IF(BX65&lt;AY65,BV65,BW65))</f>
        <v/>
      </c>
      <c r="CA65" s="9" t="str">
        <f aca="false">IF(AY65="","",(BY65+BZ65)/2)</f>
        <v/>
      </c>
      <c r="CB65" s="9" t="str">
        <f aca="false">IF(OR(R65="",N65="",CA65="",R65&lt;=0,CA65&lt;=0),"",(1/Inputs!$B$9)*((R65^2/8)*((2*ACOS(1-2*CA65/R65))-SIN((2*ACOS(1-2*CA65/R65)))))*((((R65^2/8)*((2*ACOS(1-2*CA65/R65))-SIN((2*ACOS(1-2*CA65/R65)))))/((R65/2)*((2*ACOS(1-2*CA65/R65)))))^(2/3))*SQRT(N65))</f>
        <v/>
      </c>
      <c r="CC65" s="9" t="str">
        <f aca="false">IF(AY65="","",IF(CB65&lt;AY65,CA65,BY65))</f>
        <v/>
      </c>
      <c r="CD65" s="9" t="str">
        <f aca="false">IF(AY65="","",IF(CB65&lt;AY65,BZ65,CA65))</f>
        <v/>
      </c>
      <c r="CE65" s="9" t="str">
        <f aca="false">IF(AY65="","",(CC65+CD65)/2)</f>
        <v/>
      </c>
    </row>
    <row r="66" customFormat="false" ht="15" hidden="false" customHeight="false" outlineLevel="0" collapsed="false">
      <c r="A66" s="9"/>
      <c r="B66" s="9"/>
      <c r="C66" s="14"/>
      <c r="D66" s="14"/>
      <c r="E66" s="14" t="n">
        <f aca="false">SUMIFS(CB_Tributaires!$C:$C,CB_Tributaires!$B:$B,$A66)</f>
        <v>0</v>
      </c>
      <c r="F66" s="14" t="n">
        <f aca="false">IF(D66="",E66,D66)</f>
        <v>0</v>
      </c>
      <c r="G66" s="9"/>
      <c r="H66" s="14"/>
      <c r="I66" s="14" t="str">
        <f aca="false">IF(A66="","",Inputs!$B$13/((IF(AS66="",Inputs!$B$18,AS66)+Inputs!$B$14)^Inputs!$B$15))</f>
        <v/>
      </c>
      <c r="J66" s="14" t="str">
        <f aca="false">IF(A66="","",0.000000278*IF(G66="",Inputs!$B$17,G66)*F66*I66)</f>
        <v/>
      </c>
      <c r="K66" s="14" t="str">
        <f aca="false">IF(A66="","",SUMIFS($L$4:$L$203,$B$4:$B$203,$A66))</f>
        <v/>
      </c>
      <c r="L66" s="14" t="str">
        <f aca="false">IF(A66="","",(J66+K66)*Inputs!$B$16)</f>
        <v/>
      </c>
      <c r="M66" s="14"/>
      <c r="N66" s="14" t="str">
        <f aca="false">IF(A66="","",IF(M66="",Inputs!$B$7,M66))</f>
        <v/>
      </c>
      <c r="O66" s="9" t="str">
        <f aca="false">IF(A66="","",IF(L66/Inputs!$B$10&lt;=AD66,Inputs!$F$5,IF(L66/Inputs!$B$10&gt;AM66,"OVERSIZE",INDEX(Inputs!$F$5:$F$14,MATCH(L66/Inputs!$B$10,AD66:AM66,1)+1))))</f>
        <v/>
      </c>
      <c r="P66" s="9"/>
      <c r="Q66" s="9" t="str">
        <f aca="false">IF(A66="","",IF(P66="",O66,P66))</f>
        <v/>
      </c>
      <c r="R66" s="14" t="str">
        <f aca="false">IF(OR(Q66="",Q66="OVERSIZE"),"",Q66/1000)</f>
        <v/>
      </c>
      <c r="S66" s="14" t="str">
        <f aca="false">IF(R66="","",(1/Inputs!$B$9)*(PI()*R66^2/4)*((R66/4)^(2/3))*SQRT(N66))</f>
        <v/>
      </c>
      <c r="T66" s="14" t="str">
        <f aca="false">IF(OR(S66="",L66=""),"",L66/(S66*Inputs!$B$10))</f>
        <v/>
      </c>
      <c r="U66" s="14" t="str">
        <f aca="false">IF(OR(R66="",L66=""),"",4*L66/(PI()*R66^2))</f>
        <v/>
      </c>
      <c r="V66" s="14"/>
      <c r="W66" s="14" t="str">
        <f aca="false">IF(A66="","",IF(A66=Inputs!$B$6,Inputs!$B$22,IF(B66="","",IFERROR(INDEX($X$4:$X$203,MATCH(B66,$A$4:$A$203,0))+IF(V66="",Inputs!$B$20,V66),""))))</f>
        <v/>
      </c>
      <c r="X66" s="14" t="str">
        <f aca="false">IF(OR(W66="",N66="",C66=""),"",W66+N66*C66)</f>
        <v/>
      </c>
      <c r="Y66" s="14"/>
      <c r="Z66" s="14"/>
      <c r="AA66" s="14" t="str">
        <f aca="false">IF(OR(Y66="",W66=""),"",Y66-W66)</f>
        <v/>
      </c>
      <c r="AB66" s="14" t="str">
        <f aca="false">IF(OR(Z66="",X66=""),"",Z66-X66)</f>
        <v/>
      </c>
      <c r="AC66" s="19" t="str">
        <f aca="false">IF(A66="","",IF(OR(T66&gt;1,AND(AV66&lt;&gt;"",AV66&lt;Inputs!$B$11),AND(AV66&lt;&gt;"",AV66&gt;Inputs!$B$12),AA66&lt;Inputs!$B$19,AB66&lt;Inputs!$B$19,N66&lt;Inputs!$B$7,N66&gt;Inputs!$B$8),"CHECK","OK"))</f>
        <v/>
      </c>
      <c r="AD66" s="9" t="str">
        <f aca="false">IF(A66="","",(1/Inputs!$B$9)*(PI()*(Inputs!$F$5/1000)^2/4)*((Inputs!$F$5/1000/4)^(2/3))*SQRT(N66))</f>
        <v/>
      </c>
      <c r="AE66" s="9" t="str">
        <f aca="false">IF(A66="","",(1/Inputs!$B$9)*(PI()*(Inputs!$F$6/1000)^2/4)*((Inputs!$F$6/1000/4)^(2/3))*SQRT(N66))</f>
        <v/>
      </c>
      <c r="AF66" s="9" t="str">
        <f aca="false">IF(A66="","",(1/Inputs!$B$9)*(PI()*(Inputs!$F$7/1000)^2/4)*((Inputs!$F$7/1000/4)^(2/3))*SQRT(N66))</f>
        <v/>
      </c>
      <c r="AG66" s="9" t="str">
        <f aca="false">IF(A66="","",(1/Inputs!$B$9)*(PI()*(Inputs!$F$8/1000)^2/4)*((Inputs!$F$8/1000/4)^(2/3))*SQRT(N66))</f>
        <v/>
      </c>
      <c r="AH66" s="9" t="str">
        <f aca="false">IF(A66="","",(1/Inputs!$B$9)*(PI()*(Inputs!$F$9/1000)^2/4)*((Inputs!$F$9/1000/4)^(2/3))*SQRT(N66))</f>
        <v/>
      </c>
      <c r="AI66" s="9" t="str">
        <f aca="false">IF(A66="","",(1/Inputs!$B$9)*(PI()*(Inputs!$F$10/1000)^2/4)*((Inputs!$F$10/1000/4)^(2/3))*SQRT(N66))</f>
        <v/>
      </c>
      <c r="AJ66" s="9" t="str">
        <f aca="false">IF(A66="","",(1/Inputs!$B$9)*(PI()*(Inputs!$F$11/1000)^2/4)*((Inputs!$F$11/1000/4)^(2/3))*SQRT(N66))</f>
        <v/>
      </c>
      <c r="AK66" s="9" t="str">
        <f aca="false">IF(A66="","",(1/Inputs!$B$9)*(PI()*(Inputs!$F$12/1000)^2/4)*((Inputs!$F$12/1000/4)^(2/3))*SQRT(N66))</f>
        <v/>
      </c>
      <c r="AL66" s="9" t="str">
        <f aca="false">IF(A66="","",(1/Inputs!$B$9)*(PI()*(Inputs!$F$13/1000)^2/4)*((Inputs!$F$13/1000/4)^(2/3))*SQRT(N66))</f>
        <v/>
      </c>
      <c r="AM66" s="9" t="str">
        <f aca="false">IF(A66="","",(1/Inputs!$B$9)*(PI()*(Inputs!$F$14/1000)^2/4)*((Inputs!$F$14/1000/4)^(2/3))*SQRT(N66))</f>
        <v/>
      </c>
      <c r="AN66" s="9" t="str">
        <f aca="false">IF(A66="","",COUNTIF($B$4:$B$203,$A66))</f>
        <v/>
      </c>
      <c r="AO66" s="9" t="str">
        <f aca="false">IF(A66="","",IF(AN66=0,"START","CONTINUOUS"))</f>
        <v/>
      </c>
      <c r="AP66" s="13" t="str">
        <f aca="false">IF(A66="","",IF(H66="",Inputs!$B$18,H66))</f>
        <v/>
      </c>
      <c r="AQ66" s="13" t="str">
        <f aca="false">IF(A66="","",IFERROR(maxifs($AS$4:$AS$203,$B$4:$B$203,$A66),""))</f>
        <v/>
      </c>
      <c r="AR66" s="13" t="str">
        <f aca="false">IF(A66="","",IF(OR(C66="",Inputs!$B$23=""),"",C66/(Inputs!$B$23*60)))</f>
        <v/>
      </c>
      <c r="AS66" s="13" t="str">
        <f aca="false">IF(A66="","",IF(AN66=0,AP66+AR66,IF(AQ66="",AP66+AR66,AQ66+AR66)))</f>
        <v/>
      </c>
      <c r="AT66" s="13" t="str">
        <f aca="false">IF(A66="","",U66)</f>
        <v/>
      </c>
      <c r="AU66" s="13" t="str">
        <f aca="false">IF(OR(R66="",N66=""),"",(1/Inputs!$B$9)*((R66/4)^(2/3))*SQRT(N66))</f>
        <v/>
      </c>
      <c r="AV66" s="13" t="str">
        <f aca="false">IF(A66="","",IF(AND(AT66="",AU66="",AX66=""),"",IF(OR(UPPER(TRIM(Inputs!$B$24))="MANNING",UPPER(TRIM(Inputs!$B$24))="M"),AU66,IF(OR(UPPER(TRIM(Inputs!$B$24))="PARTIAL",UPPER(TRIM(Inputs!$B$24))="P"),AX66,IF(OR(UPPER(TRIM(Inputs!$B$24))="MAX",UPPER(TRIM(Inputs!$B$24))="X"),MAX(IF(AT66="",0,AT66),IF(AU66="",0,AU66),IF(AX66="",0,AX66)),AT66)))))</f>
        <v/>
      </c>
      <c r="AW66" s="13" t="str">
        <f aca="false">IF(AY66="","",CE66)</f>
        <v/>
      </c>
      <c r="AX66" s="13" t="str">
        <f aca="false">IF(OR(AY66="",AW66="",R66="",R66&lt;=0,AW66&lt;=0),"",AY66/((R66^2/8)*(2*ACOS(1-2*AW66/R66)-SIN(2*ACOS(1-2*AW66/R66)))))</f>
        <v/>
      </c>
      <c r="AY66" s="9" t="str">
        <f aca="false">IF(OR(L66="",AZ66=""),"",MIN(L66,AZ66))</f>
        <v/>
      </c>
      <c r="AZ66" s="9" t="str">
        <f aca="false">IF(OR(L66="",R66="",N66=""),"",IF(OR(R66="",N66="",(0.94*R66)="",R66&lt;=0,(0.94*R66)&lt;=0),"",(1/Inputs!$B$9)*((R66^2/8)*((2*ACOS(1-2*(0.94*R66)/R66))-SIN((2*ACOS(1-2*(0.94*R66)/R66)))))*((((R66^2/8)*((2*ACOS(1-2*(0.94*R66)/R66))-SIN((2*ACOS(1-2*(0.94*R66)/R66)))))/((R66/2)*((2*ACOS(1-2*(0.94*R66)/R66)))))^(2/3))*SQRT(N66)))</f>
        <v/>
      </c>
      <c r="BA66" s="9" t="str">
        <f aca="false">IF(AY66="","",0.001*R66)</f>
        <v/>
      </c>
      <c r="BB66" s="9" t="str">
        <f aca="false">IF(AY66="","",0.94*R66)</f>
        <v/>
      </c>
      <c r="BC66" s="9" t="str">
        <f aca="false">IF(AY66="","",(BA66+BB66)/2)</f>
        <v/>
      </c>
      <c r="BD66" s="9" t="str">
        <f aca="false">IF(OR(R66="",N66="",BC66="",R66&lt;=0,BC66&lt;=0),"",(1/Inputs!$B$9)*((R66^2/8)*((2*ACOS(1-2*BC66/R66))-SIN((2*ACOS(1-2*BC66/R66)))))*((((R66^2/8)*((2*ACOS(1-2*BC66/R66))-SIN((2*ACOS(1-2*BC66/R66)))))/((R66/2)*((2*ACOS(1-2*BC66/R66)))))^(2/3))*SQRT(N66))</f>
        <v/>
      </c>
      <c r="BE66" s="9" t="str">
        <f aca="false">IF(AY66="","",IF(BD66&lt;AY66,BC66,BA66))</f>
        <v/>
      </c>
      <c r="BF66" s="9" t="str">
        <f aca="false">IF(AY66="","",IF(BD66&lt;AY66,BB66,BC66))</f>
        <v/>
      </c>
      <c r="BG66" s="9" t="str">
        <f aca="false">IF(AY66="","",(BE66+BF66)/2)</f>
        <v/>
      </c>
      <c r="BH66" s="9" t="str">
        <f aca="false">IF(OR(R66="",N66="",BG66="",R66&lt;=0,BG66&lt;=0),"",(1/Inputs!$B$9)*((R66^2/8)*((2*ACOS(1-2*BG66/R66))-SIN((2*ACOS(1-2*BG66/R66)))))*((((R66^2/8)*((2*ACOS(1-2*BG66/R66))-SIN((2*ACOS(1-2*BG66/R66)))))/((R66/2)*((2*ACOS(1-2*BG66/R66)))))^(2/3))*SQRT(N66))</f>
        <v/>
      </c>
      <c r="BI66" s="9" t="str">
        <f aca="false">IF(AY66="","",IF(BH66&lt;AY66,BG66,BE66))</f>
        <v/>
      </c>
      <c r="BJ66" s="9" t="str">
        <f aca="false">IF(AY66="","",IF(BH66&lt;AY66,BF66,BG66))</f>
        <v/>
      </c>
      <c r="BK66" s="9" t="str">
        <f aca="false">IF(AY66="","",(BI66+BJ66)/2)</f>
        <v/>
      </c>
      <c r="BL66" s="9" t="str">
        <f aca="false">IF(OR(R66="",N66="",BK66="",R66&lt;=0,BK66&lt;=0),"",(1/Inputs!$B$9)*((R66^2/8)*((2*ACOS(1-2*BK66/R66))-SIN((2*ACOS(1-2*BK66/R66)))))*((((R66^2/8)*((2*ACOS(1-2*BK66/R66))-SIN((2*ACOS(1-2*BK66/R66)))))/((R66/2)*((2*ACOS(1-2*BK66/R66)))))^(2/3))*SQRT(N66))</f>
        <v/>
      </c>
      <c r="BM66" s="9" t="str">
        <f aca="false">IF(AY66="","",IF(BL66&lt;AY66,BK66,BI66))</f>
        <v/>
      </c>
      <c r="BN66" s="9" t="str">
        <f aca="false">IF(AY66="","",IF(BL66&lt;AY66,BJ66,BK66))</f>
        <v/>
      </c>
      <c r="BO66" s="9" t="str">
        <f aca="false">IF(AY66="","",(BM66+BN66)/2)</f>
        <v/>
      </c>
      <c r="BP66" s="9" t="str">
        <f aca="false">IF(OR(R66="",N66="",BO66="",R66&lt;=0,BO66&lt;=0),"",(1/Inputs!$B$9)*((R66^2/8)*((2*ACOS(1-2*BO66/R66))-SIN((2*ACOS(1-2*BO66/R66)))))*((((R66^2/8)*((2*ACOS(1-2*BO66/R66))-SIN((2*ACOS(1-2*BO66/R66)))))/((R66/2)*((2*ACOS(1-2*BO66/R66)))))^(2/3))*SQRT(N66))</f>
        <v/>
      </c>
      <c r="BQ66" s="9" t="str">
        <f aca="false">IF(AY66="","",IF(BP66&lt;AY66,BO66,BM66))</f>
        <v/>
      </c>
      <c r="BR66" s="9" t="str">
        <f aca="false">IF(AY66="","",IF(BP66&lt;AY66,BN66,BO66))</f>
        <v/>
      </c>
      <c r="BS66" s="9" t="str">
        <f aca="false">IF(AY66="","",(BQ66+BR66)/2)</f>
        <v/>
      </c>
      <c r="BT66" s="9" t="str">
        <f aca="false">IF(OR(R66="",N66="",BS66="",R66&lt;=0,BS66&lt;=0),"",(1/Inputs!$B$9)*((R66^2/8)*((2*ACOS(1-2*BS66/R66))-SIN((2*ACOS(1-2*BS66/R66)))))*((((R66^2/8)*((2*ACOS(1-2*BS66/R66))-SIN((2*ACOS(1-2*BS66/R66)))))/((R66/2)*((2*ACOS(1-2*BS66/R66)))))^(2/3))*SQRT(N66))</f>
        <v/>
      </c>
      <c r="BU66" s="9" t="str">
        <f aca="false">IF(AY66="","",IF(BT66&lt;AY66,BS66,BQ66))</f>
        <v/>
      </c>
      <c r="BV66" s="9" t="str">
        <f aca="false">IF(AY66="","",IF(BT66&lt;AY66,BR66,BS66))</f>
        <v/>
      </c>
      <c r="BW66" s="9" t="str">
        <f aca="false">IF(AY66="","",(BU66+BV66)/2)</f>
        <v/>
      </c>
      <c r="BX66" s="9" t="str">
        <f aca="false">IF(OR(R66="",N66="",BW66="",R66&lt;=0,BW66&lt;=0),"",(1/Inputs!$B$9)*((R66^2/8)*((2*ACOS(1-2*BW66/R66))-SIN((2*ACOS(1-2*BW66/R66)))))*((((R66^2/8)*((2*ACOS(1-2*BW66/R66))-SIN((2*ACOS(1-2*BW66/R66)))))/((R66/2)*((2*ACOS(1-2*BW66/R66)))))^(2/3))*SQRT(N66))</f>
        <v/>
      </c>
      <c r="BY66" s="9" t="str">
        <f aca="false">IF(AY66="","",IF(BX66&lt;AY66,BW66,BU66))</f>
        <v/>
      </c>
      <c r="BZ66" s="9" t="str">
        <f aca="false">IF(AY66="","",IF(BX66&lt;AY66,BV66,BW66))</f>
        <v/>
      </c>
      <c r="CA66" s="9" t="str">
        <f aca="false">IF(AY66="","",(BY66+BZ66)/2)</f>
        <v/>
      </c>
      <c r="CB66" s="9" t="str">
        <f aca="false">IF(OR(R66="",N66="",CA66="",R66&lt;=0,CA66&lt;=0),"",(1/Inputs!$B$9)*((R66^2/8)*((2*ACOS(1-2*CA66/R66))-SIN((2*ACOS(1-2*CA66/R66)))))*((((R66^2/8)*((2*ACOS(1-2*CA66/R66))-SIN((2*ACOS(1-2*CA66/R66)))))/((R66/2)*((2*ACOS(1-2*CA66/R66)))))^(2/3))*SQRT(N66))</f>
        <v/>
      </c>
      <c r="CC66" s="9" t="str">
        <f aca="false">IF(AY66="","",IF(CB66&lt;AY66,CA66,BY66))</f>
        <v/>
      </c>
      <c r="CD66" s="9" t="str">
        <f aca="false">IF(AY66="","",IF(CB66&lt;AY66,BZ66,CA66))</f>
        <v/>
      </c>
      <c r="CE66" s="9" t="str">
        <f aca="false">IF(AY66="","",(CC66+CD66)/2)</f>
        <v/>
      </c>
    </row>
    <row r="67" customFormat="false" ht="15" hidden="false" customHeight="false" outlineLevel="0" collapsed="false">
      <c r="A67" s="9"/>
      <c r="B67" s="9"/>
      <c r="C67" s="14"/>
      <c r="D67" s="14"/>
      <c r="E67" s="14" t="n">
        <f aca="false">SUMIFS(CB_Tributaires!$C:$C,CB_Tributaires!$B:$B,$A67)</f>
        <v>0</v>
      </c>
      <c r="F67" s="14" t="n">
        <f aca="false">IF(D67="",E67,D67)</f>
        <v>0</v>
      </c>
      <c r="G67" s="9"/>
      <c r="H67" s="14"/>
      <c r="I67" s="14" t="str">
        <f aca="false">IF(A67="","",Inputs!$B$13/((IF(AS67="",Inputs!$B$18,AS67)+Inputs!$B$14)^Inputs!$B$15))</f>
        <v/>
      </c>
      <c r="J67" s="14" t="str">
        <f aca="false">IF(A67="","",0.000000278*IF(G67="",Inputs!$B$17,G67)*F67*I67)</f>
        <v/>
      </c>
      <c r="K67" s="14" t="str">
        <f aca="false">IF(A67="","",SUMIFS($L$4:$L$203,$B$4:$B$203,$A67))</f>
        <v/>
      </c>
      <c r="L67" s="14" t="str">
        <f aca="false">IF(A67="","",(J67+K67)*Inputs!$B$16)</f>
        <v/>
      </c>
      <c r="M67" s="14"/>
      <c r="N67" s="14" t="str">
        <f aca="false">IF(A67="","",IF(M67="",Inputs!$B$7,M67))</f>
        <v/>
      </c>
      <c r="O67" s="9" t="str">
        <f aca="false">IF(A67="","",IF(L67/Inputs!$B$10&lt;=AD67,Inputs!$F$5,IF(L67/Inputs!$B$10&gt;AM67,"OVERSIZE",INDEX(Inputs!$F$5:$F$14,MATCH(L67/Inputs!$B$10,AD67:AM67,1)+1))))</f>
        <v/>
      </c>
      <c r="P67" s="9"/>
      <c r="Q67" s="9" t="str">
        <f aca="false">IF(A67="","",IF(P67="",O67,P67))</f>
        <v/>
      </c>
      <c r="R67" s="14" t="str">
        <f aca="false">IF(OR(Q67="",Q67="OVERSIZE"),"",Q67/1000)</f>
        <v/>
      </c>
      <c r="S67" s="14" t="str">
        <f aca="false">IF(R67="","",(1/Inputs!$B$9)*(PI()*R67^2/4)*((R67/4)^(2/3))*SQRT(N67))</f>
        <v/>
      </c>
      <c r="T67" s="14" t="str">
        <f aca="false">IF(OR(S67="",L67=""),"",L67/(S67*Inputs!$B$10))</f>
        <v/>
      </c>
      <c r="U67" s="14" t="str">
        <f aca="false">IF(OR(R67="",L67=""),"",4*L67/(PI()*R67^2))</f>
        <v/>
      </c>
      <c r="V67" s="14"/>
      <c r="W67" s="14" t="str">
        <f aca="false">IF(A67="","",IF(A67=Inputs!$B$6,Inputs!$B$22,IF(B67="","",IFERROR(INDEX($X$4:$X$203,MATCH(B67,$A$4:$A$203,0))+IF(V67="",Inputs!$B$20,V67),""))))</f>
        <v/>
      </c>
      <c r="X67" s="14" t="str">
        <f aca="false">IF(OR(W67="",N67="",C67=""),"",W67+N67*C67)</f>
        <v/>
      </c>
      <c r="Y67" s="14"/>
      <c r="Z67" s="14"/>
      <c r="AA67" s="14" t="str">
        <f aca="false">IF(OR(Y67="",W67=""),"",Y67-W67)</f>
        <v/>
      </c>
      <c r="AB67" s="14" t="str">
        <f aca="false">IF(OR(Z67="",X67=""),"",Z67-X67)</f>
        <v/>
      </c>
      <c r="AC67" s="19" t="str">
        <f aca="false">IF(A67="","",IF(OR(T67&gt;1,AND(AV67&lt;&gt;"",AV67&lt;Inputs!$B$11),AND(AV67&lt;&gt;"",AV67&gt;Inputs!$B$12),AA67&lt;Inputs!$B$19,AB67&lt;Inputs!$B$19,N67&lt;Inputs!$B$7,N67&gt;Inputs!$B$8),"CHECK","OK"))</f>
        <v/>
      </c>
      <c r="AD67" s="9" t="str">
        <f aca="false">IF(A67="","",(1/Inputs!$B$9)*(PI()*(Inputs!$F$5/1000)^2/4)*((Inputs!$F$5/1000/4)^(2/3))*SQRT(N67))</f>
        <v/>
      </c>
      <c r="AE67" s="9" t="str">
        <f aca="false">IF(A67="","",(1/Inputs!$B$9)*(PI()*(Inputs!$F$6/1000)^2/4)*((Inputs!$F$6/1000/4)^(2/3))*SQRT(N67))</f>
        <v/>
      </c>
      <c r="AF67" s="9" t="str">
        <f aca="false">IF(A67="","",(1/Inputs!$B$9)*(PI()*(Inputs!$F$7/1000)^2/4)*((Inputs!$F$7/1000/4)^(2/3))*SQRT(N67))</f>
        <v/>
      </c>
      <c r="AG67" s="9" t="str">
        <f aca="false">IF(A67="","",(1/Inputs!$B$9)*(PI()*(Inputs!$F$8/1000)^2/4)*((Inputs!$F$8/1000/4)^(2/3))*SQRT(N67))</f>
        <v/>
      </c>
      <c r="AH67" s="9" t="str">
        <f aca="false">IF(A67="","",(1/Inputs!$B$9)*(PI()*(Inputs!$F$9/1000)^2/4)*((Inputs!$F$9/1000/4)^(2/3))*SQRT(N67))</f>
        <v/>
      </c>
      <c r="AI67" s="9" t="str">
        <f aca="false">IF(A67="","",(1/Inputs!$B$9)*(PI()*(Inputs!$F$10/1000)^2/4)*((Inputs!$F$10/1000/4)^(2/3))*SQRT(N67))</f>
        <v/>
      </c>
      <c r="AJ67" s="9" t="str">
        <f aca="false">IF(A67="","",(1/Inputs!$B$9)*(PI()*(Inputs!$F$11/1000)^2/4)*((Inputs!$F$11/1000/4)^(2/3))*SQRT(N67))</f>
        <v/>
      </c>
      <c r="AK67" s="9" t="str">
        <f aca="false">IF(A67="","",(1/Inputs!$B$9)*(PI()*(Inputs!$F$12/1000)^2/4)*((Inputs!$F$12/1000/4)^(2/3))*SQRT(N67))</f>
        <v/>
      </c>
      <c r="AL67" s="9" t="str">
        <f aca="false">IF(A67="","",(1/Inputs!$B$9)*(PI()*(Inputs!$F$13/1000)^2/4)*((Inputs!$F$13/1000/4)^(2/3))*SQRT(N67))</f>
        <v/>
      </c>
      <c r="AM67" s="9" t="str">
        <f aca="false">IF(A67="","",(1/Inputs!$B$9)*(PI()*(Inputs!$F$14/1000)^2/4)*((Inputs!$F$14/1000/4)^(2/3))*SQRT(N67))</f>
        <v/>
      </c>
      <c r="AN67" s="9" t="str">
        <f aca="false">IF(A67="","",COUNTIF($B$4:$B$203,$A67))</f>
        <v/>
      </c>
      <c r="AO67" s="9" t="str">
        <f aca="false">IF(A67="","",IF(AN67=0,"START","CONTINUOUS"))</f>
        <v/>
      </c>
      <c r="AP67" s="13" t="str">
        <f aca="false">IF(A67="","",IF(H67="",Inputs!$B$18,H67))</f>
        <v/>
      </c>
      <c r="AQ67" s="13" t="str">
        <f aca="false">IF(A67="","",IFERROR(maxifs($AS$4:$AS$203,$B$4:$B$203,$A67),""))</f>
        <v/>
      </c>
      <c r="AR67" s="13" t="str">
        <f aca="false">IF(A67="","",IF(OR(C67="",Inputs!$B$23=""),"",C67/(Inputs!$B$23*60)))</f>
        <v/>
      </c>
      <c r="AS67" s="13" t="str">
        <f aca="false">IF(A67="","",IF(AN67=0,AP67+AR67,IF(AQ67="",AP67+AR67,AQ67+AR67)))</f>
        <v/>
      </c>
      <c r="AT67" s="13" t="str">
        <f aca="false">IF(A67="","",U67)</f>
        <v/>
      </c>
      <c r="AU67" s="13" t="str">
        <f aca="false">IF(OR(R67="",N67=""),"",(1/Inputs!$B$9)*((R67/4)^(2/3))*SQRT(N67))</f>
        <v/>
      </c>
      <c r="AV67" s="13" t="str">
        <f aca="false">IF(A67="","",IF(AND(AT67="",AU67="",AX67=""),"",IF(OR(UPPER(TRIM(Inputs!$B$24))="MANNING",UPPER(TRIM(Inputs!$B$24))="M"),AU67,IF(OR(UPPER(TRIM(Inputs!$B$24))="PARTIAL",UPPER(TRIM(Inputs!$B$24))="P"),AX67,IF(OR(UPPER(TRIM(Inputs!$B$24))="MAX",UPPER(TRIM(Inputs!$B$24))="X"),MAX(IF(AT67="",0,AT67),IF(AU67="",0,AU67),IF(AX67="",0,AX67)),AT67)))))</f>
        <v/>
      </c>
      <c r="AW67" s="13" t="str">
        <f aca="false">IF(AY67="","",CE67)</f>
        <v/>
      </c>
      <c r="AX67" s="13" t="str">
        <f aca="false">IF(OR(AY67="",AW67="",R67="",R67&lt;=0,AW67&lt;=0),"",AY67/((R67^2/8)*(2*ACOS(1-2*AW67/R67)-SIN(2*ACOS(1-2*AW67/R67)))))</f>
        <v/>
      </c>
      <c r="AY67" s="9" t="str">
        <f aca="false">IF(OR(L67="",AZ67=""),"",MIN(L67,AZ67))</f>
        <v/>
      </c>
      <c r="AZ67" s="9" t="str">
        <f aca="false">IF(OR(L67="",R67="",N67=""),"",IF(OR(R67="",N67="",(0.94*R67)="",R67&lt;=0,(0.94*R67)&lt;=0),"",(1/Inputs!$B$9)*((R67^2/8)*((2*ACOS(1-2*(0.94*R67)/R67))-SIN((2*ACOS(1-2*(0.94*R67)/R67)))))*((((R67^2/8)*((2*ACOS(1-2*(0.94*R67)/R67))-SIN((2*ACOS(1-2*(0.94*R67)/R67)))))/((R67/2)*((2*ACOS(1-2*(0.94*R67)/R67)))))^(2/3))*SQRT(N67)))</f>
        <v/>
      </c>
      <c r="BA67" s="9" t="str">
        <f aca="false">IF(AY67="","",0.001*R67)</f>
        <v/>
      </c>
      <c r="BB67" s="9" t="str">
        <f aca="false">IF(AY67="","",0.94*R67)</f>
        <v/>
      </c>
      <c r="BC67" s="9" t="str">
        <f aca="false">IF(AY67="","",(BA67+BB67)/2)</f>
        <v/>
      </c>
      <c r="BD67" s="9" t="str">
        <f aca="false">IF(OR(R67="",N67="",BC67="",R67&lt;=0,BC67&lt;=0),"",(1/Inputs!$B$9)*((R67^2/8)*((2*ACOS(1-2*BC67/R67))-SIN((2*ACOS(1-2*BC67/R67)))))*((((R67^2/8)*((2*ACOS(1-2*BC67/R67))-SIN((2*ACOS(1-2*BC67/R67)))))/((R67/2)*((2*ACOS(1-2*BC67/R67)))))^(2/3))*SQRT(N67))</f>
        <v/>
      </c>
      <c r="BE67" s="9" t="str">
        <f aca="false">IF(AY67="","",IF(BD67&lt;AY67,BC67,BA67))</f>
        <v/>
      </c>
      <c r="BF67" s="9" t="str">
        <f aca="false">IF(AY67="","",IF(BD67&lt;AY67,BB67,BC67))</f>
        <v/>
      </c>
      <c r="BG67" s="9" t="str">
        <f aca="false">IF(AY67="","",(BE67+BF67)/2)</f>
        <v/>
      </c>
      <c r="BH67" s="9" t="str">
        <f aca="false">IF(OR(R67="",N67="",BG67="",R67&lt;=0,BG67&lt;=0),"",(1/Inputs!$B$9)*((R67^2/8)*((2*ACOS(1-2*BG67/R67))-SIN((2*ACOS(1-2*BG67/R67)))))*((((R67^2/8)*((2*ACOS(1-2*BG67/R67))-SIN((2*ACOS(1-2*BG67/R67)))))/((R67/2)*((2*ACOS(1-2*BG67/R67)))))^(2/3))*SQRT(N67))</f>
        <v/>
      </c>
      <c r="BI67" s="9" t="str">
        <f aca="false">IF(AY67="","",IF(BH67&lt;AY67,BG67,BE67))</f>
        <v/>
      </c>
      <c r="BJ67" s="9" t="str">
        <f aca="false">IF(AY67="","",IF(BH67&lt;AY67,BF67,BG67))</f>
        <v/>
      </c>
      <c r="BK67" s="9" t="str">
        <f aca="false">IF(AY67="","",(BI67+BJ67)/2)</f>
        <v/>
      </c>
      <c r="BL67" s="9" t="str">
        <f aca="false">IF(OR(R67="",N67="",BK67="",R67&lt;=0,BK67&lt;=0),"",(1/Inputs!$B$9)*((R67^2/8)*((2*ACOS(1-2*BK67/R67))-SIN((2*ACOS(1-2*BK67/R67)))))*((((R67^2/8)*((2*ACOS(1-2*BK67/R67))-SIN((2*ACOS(1-2*BK67/R67)))))/((R67/2)*((2*ACOS(1-2*BK67/R67)))))^(2/3))*SQRT(N67))</f>
        <v/>
      </c>
      <c r="BM67" s="9" t="str">
        <f aca="false">IF(AY67="","",IF(BL67&lt;AY67,BK67,BI67))</f>
        <v/>
      </c>
      <c r="BN67" s="9" t="str">
        <f aca="false">IF(AY67="","",IF(BL67&lt;AY67,BJ67,BK67))</f>
        <v/>
      </c>
      <c r="BO67" s="9" t="str">
        <f aca="false">IF(AY67="","",(BM67+BN67)/2)</f>
        <v/>
      </c>
      <c r="BP67" s="9" t="str">
        <f aca="false">IF(OR(R67="",N67="",BO67="",R67&lt;=0,BO67&lt;=0),"",(1/Inputs!$B$9)*((R67^2/8)*((2*ACOS(1-2*BO67/R67))-SIN((2*ACOS(1-2*BO67/R67)))))*((((R67^2/8)*((2*ACOS(1-2*BO67/R67))-SIN((2*ACOS(1-2*BO67/R67)))))/((R67/2)*((2*ACOS(1-2*BO67/R67)))))^(2/3))*SQRT(N67))</f>
        <v/>
      </c>
      <c r="BQ67" s="9" t="str">
        <f aca="false">IF(AY67="","",IF(BP67&lt;AY67,BO67,BM67))</f>
        <v/>
      </c>
      <c r="BR67" s="9" t="str">
        <f aca="false">IF(AY67="","",IF(BP67&lt;AY67,BN67,BO67))</f>
        <v/>
      </c>
      <c r="BS67" s="9" t="str">
        <f aca="false">IF(AY67="","",(BQ67+BR67)/2)</f>
        <v/>
      </c>
      <c r="BT67" s="9" t="str">
        <f aca="false">IF(OR(R67="",N67="",BS67="",R67&lt;=0,BS67&lt;=0),"",(1/Inputs!$B$9)*((R67^2/8)*((2*ACOS(1-2*BS67/R67))-SIN((2*ACOS(1-2*BS67/R67)))))*((((R67^2/8)*((2*ACOS(1-2*BS67/R67))-SIN((2*ACOS(1-2*BS67/R67)))))/((R67/2)*((2*ACOS(1-2*BS67/R67)))))^(2/3))*SQRT(N67))</f>
        <v/>
      </c>
      <c r="BU67" s="9" t="str">
        <f aca="false">IF(AY67="","",IF(BT67&lt;AY67,BS67,BQ67))</f>
        <v/>
      </c>
      <c r="BV67" s="9" t="str">
        <f aca="false">IF(AY67="","",IF(BT67&lt;AY67,BR67,BS67))</f>
        <v/>
      </c>
      <c r="BW67" s="9" t="str">
        <f aca="false">IF(AY67="","",(BU67+BV67)/2)</f>
        <v/>
      </c>
      <c r="BX67" s="9" t="str">
        <f aca="false">IF(OR(R67="",N67="",BW67="",R67&lt;=0,BW67&lt;=0),"",(1/Inputs!$B$9)*((R67^2/8)*((2*ACOS(1-2*BW67/R67))-SIN((2*ACOS(1-2*BW67/R67)))))*((((R67^2/8)*((2*ACOS(1-2*BW67/R67))-SIN((2*ACOS(1-2*BW67/R67)))))/((R67/2)*((2*ACOS(1-2*BW67/R67)))))^(2/3))*SQRT(N67))</f>
        <v/>
      </c>
      <c r="BY67" s="9" t="str">
        <f aca="false">IF(AY67="","",IF(BX67&lt;AY67,BW67,BU67))</f>
        <v/>
      </c>
      <c r="BZ67" s="9" t="str">
        <f aca="false">IF(AY67="","",IF(BX67&lt;AY67,BV67,BW67))</f>
        <v/>
      </c>
      <c r="CA67" s="9" t="str">
        <f aca="false">IF(AY67="","",(BY67+BZ67)/2)</f>
        <v/>
      </c>
      <c r="CB67" s="9" t="str">
        <f aca="false">IF(OR(R67="",N67="",CA67="",R67&lt;=0,CA67&lt;=0),"",(1/Inputs!$B$9)*((R67^2/8)*((2*ACOS(1-2*CA67/R67))-SIN((2*ACOS(1-2*CA67/R67)))))*((((R67^2/8)*((2*ACOS(1-2*CA67/R67))-SIN((2*ACOS(1-2*CA67/R67)))))/((R67/2)*((2*ACOS(1-2*CA67/R67)))))^(2/3))*SQRT(N67))</f>
        <v/>
      </c>
      <c r="CC67" s="9" t="str">
        <f aca="false">IF(AY67="","",IF(CB67&lt;AY67,CA67,BY67))</f>
        <v/>
      </c>
      <c r="CD67" s="9" t="str">
        <f aca="false">IF(AY67="","",IF(CB67&lt;AY67,BZ67,CA67))</f>
        <v/>
      </c>
      <c r="CE67" s="9" t="str">
        <f aca="false">IF(AY67="","",(CC67+CD67)/2)</f>
        <v/>
      </c>
    </row>
    <row r="68" customFormat="false" ht="15" hidden="false" customHeight="false" outlineLevel="0" collapsed="false">
      <c r="A68" s="9"/>
      <c r="B68" s="9"/>
      <c r="C68" s="14"/>
      <c r="D68" s="14"/>
      <c r="E68" s="14" t="n">
        <f aca="false">SUMIFS(CB_Tributaires!$C:$C,CB_Tributaires!$B:$B,$A68)</f>
        <v>0</v>
      </c>
      <c r="F68" s="14" t="n">
        <f aca="false">IF(D68="",E68,D68)</f>
        <v>0</v>
      </c>
      <c r="G68" s="9"/>
      <c r="H68" s="14"/>
      <c r="I68" s="14" t="str">
        <f aca="false">IF(A68="","",Inputs!$B$13/((IF(AS68="",Inputs!$B$18,AS68)+Inputs!$B$14)^Inputs!$B$15))</f>
        <v/>
      </c>
      <c r="J68" s="14" t="str">
        <f aca="false">IF(A68="","",0.000000278*IF(G68="",Inputs!$B$17,G68)*F68*I68)</f>
        <v/>
      </c>
      <c r="K68" s="14" t="str">
        <f aca="false">IF(A68="","",SUMIFS($L$4:$L$203,$B$4:$B$203,$A68))</f>
        <v/>
      </c>
      <c r="L68" s="14" t="str">
        <f aca="false">IF(A68="","",(J68+K68)*Inputs!$B$16)</f>
        <v/>
      </c>
      <c r="M68" s="14"/>
      <c r="N68" s="14" t="str">
        <f aca="false">IF(A68="","",IF(M68="",Inputs!$B$7,M68))</f>
        <v/>
      </c>
      <c r="O68" s="9" t="str">
        <f aca="false">IF(A68="","",IF(L68/Inputs!$B$10&lt;=AD68,Inputs!$F$5,IF(L68/Inputs!$B$10&gt;AM68,"OVERSIZE",INDEX(Inputs!$F$5:$F$14,MATCH(L68/Inputs!$B$10,AD68:AM68,1)+1))))</f>
        <v/>
      </c>
      <c r="P68" s="9"/>
      <c r="Q68" s="9" t="str">
        <f aca="false">IF(A68="","",IF(P68="",O68,P68))</f>
        <v/>
      </c>
      <c r="R68" s="14" t="str">
        <f aca="false">IF(OR(Q68="",Q68="OVERSIZE"),"",Q68/1000)</f>
        <v/>
      </c>
      <c r="S68" s="14" t="str">
        <f aca="false">IF(R68="","",(1/Inputs!$B$9)*(PI()*R68^2/4)*((R68/4)^(2/3))*SQRT(N68))</f>
        <v/>
      </c>
      <c r="T68" s="14" t="str">
        <f aca="false">IF(OR(S68="",L68=""),"",L68/(S68*Inputs!$B$10))</f>
        <v/>
      </c>
      <c r="U68" s="14" t="str">
        <f aca="false">IF(OR(R68="",L68=""),"",4*L68/(PI()*R68^2))</f>
        <v/>
      </c>
      <c r="V68" s="14"/>
      <c r="W68" s="14" t="str">
        <f aca="false">IF(A68="","",IF(A68=Inputs!$B$6,Inputs!$B$22,IF(B68="","",IFERROR(INDEX($X$4:$X$203,MATCH(B68,$A$4:$A$203,0))+IF(V68="",Inputs!$B$20,V68),""))))</f>
        <v/>
      </c>
      <c r="X68" s="14" t="str">
        <f aca="false">IF(OR(W68="",N68="",C68=""),"",W68+N68*C68)</f>
        <v/>
      </c>
      <c r="Y68" s="14"/>
      <c r="Z68" s="14"/>
      <c r="AA68" s="14" t="str">
        <f aca="false">IF(OR(Y68="",W68=""),"",Y68-W68)</f>
        <v/>
      </c>
      <c r="AB68" s="14" t="str">
        <f aca="false">IF(OR(Z68="",X68=""),"",Z68-X68)</f>
        <v/>
      </c>
      <c r="AC68" s="19" t="str">
        <f aca="false">IF(A68="","",IF(OR(T68&gt;1,AND(AV68&lt;&gt;"",AV68&lt;Inputs!$B$11),AND(AV68&lt;&gt;"",AV68&gt;Inputs!$B$12),AA68&lt;Inputs!$B$19,AB68&lt;Inputs!$B$19,N68&lt;Inputs!$B$7,N68&gt;Inputs!$B$8),"CHECK","OK"))</f>
        <v/>
      </c>
      <c r="AD68" s="9" t="str">
        <f aca="false">IF(A68="","",(1/Inputs!$B$9)*(PI()*(Inputs!$F$5/1000)^2/4)*((Inputs!$F$5/1000/4)^(2/3))*SQRT(N68))</f>
        <v/>
      </c>
      <c r="AE68" s="9" t="str">
        <f aca="false">IF(A68="","",(1/Inputs!$B$9)*(PI()*(Inputs!$F$6/1000)^2/4)*((Inputs!$F$6/1000/4)^(2/3))*SQRT(N68))</f>
        <v/>
      </c>
      <c r="AF68" s="9" t="str">
        <f aca="false">IF(A68="","",(1/Inputs!$B$9)*(PI()*(Inputs!$F$7/1000)^2/4)*((Inputs!$F$7/1000/4)^(2/3))*SQRT(N68))</f>
        <v/>
      </c>
      <c r="AG68" s="9" t="str">
        <f aca="false">IF(A68="","",(1/Inputs!$B$9)*(PI()*(Inputs!$F$8/1000)^2/4)*((Inputs!$F$8/1000/4)^(2/3))*SQRT(N68))</f>
        <v/>
      </c>
      <c r="AH68" s="9" t="str">
        <f aca="false">IF(A68="","",(1/Inputs!$B$9)*(PI()*(Inputs!$F$9/1000)^2/4)*((Inputs!$F$9/1000/4)^(2/3))*SQRT(N68))</f>
        <v/>
      </c>
      <c r="AI68" s="9" t="str">
        <f aca="false">IF(A68="","",(1/Inputs!$B$9)*(PI()*(Inputs!$F$10/1000)^2/4)*((Inputs!$F$10/1000/4)^(2/3))*SQRT(N68))</f>
        <v/>
      </c>
      <c r="AJ68" s="9" t="str">
        <f aca="false">IF(A68="","",(1/Inputs!$B$9)*(PI()*(Inputs!$F$11/1000)^2/4)*((Inputs!$F$11/1000/4)^(2/3))*SQRT(N68))</f>
        <v/>
      </c>
      <c r="AK68" s="9" t="str">
        <f aca="false">IF(A68="","",(1/Inputs!$B$9)*(PI()*(Inputs!$F$12/1000)^2/4)*((Inputs!$F$12/1000/4)^(2/3))*SQRT(N68))</f>
        <v/>
      </c>
      <c r="AL68" s="9" t="str">
        <f aca="false">IF(A68="","",(1/Inputs!$B$9)*(PI()*(Inputs!$F$13/1000)^2/4)*((Inputs!$F$13/1000/4)^(2/3))*SQRT(N68))</f>
        <v/>
      </c>
      <c r="AM68" s="9" t="str">
        <f aca="false">IF(A68="","",(1/Inputs!$B$9)*(PI()*(Inputs!$F$14/1000)^2/4)*((Inputs!$F$14/1000/4)^(2/3))*SQRT(N68))</f>
        <v/>
      </c>
      <c r="AN68" s="9" t="str">
        <f aca="false">IF(A68="","",COUNTIF($B$4:$B$203,$A68))</f>
        <v/>
      </c>
      <c r="AO68" s="9" t="str">
        <f aca="false">IF(A68="","",IF(AN68=0,"START","CONTINUOUS"))</f>
        <v/>
      </c>
      <c r="AP68" s="13" t="str">
        <f aca="false">IF(A68="","",IF(H68="",Inputs!$B$18,H68))</f>
        <v/>
      </c>
      <c r="AQ68" s="13" t="str">
        <f aca="false">IF(A68="","",IFERROR(maxifs($AS$4:$AS$203,$B$4:$B$203,$A68),""))</f>
        <v/>
      </c>
      <c r="AR68" s="13" t="str">
        <f aca="false">IF(A68="","",IF(OR(C68="",Inputs!$B$23=""),"",C68/(Inputs!$B$23*60)))</f>
        <v/>
      </c>
      <c r="AS68" s="13" t="str">
        <f aca="false">IF(A68="","",IF(AN68=0,AP68+AR68,IF(AQ68="",AP68+AR68,AQ68+AR68)))</f>
        <v/>
      </c>
      <c r="AT68" s="13" t="str">
        <f aca="false">IF(A68="","",U68)</f>
        <v/>
      </c>
      <c r="AU68" s="13" t="str">
        <f aca="false">IF(OR(R68="",N68=""),"",(1/Inputs!$B$9)*((R68/4)^(2/3))*SQRT(N68))</f>
        <v/>
      </c>
      <c r="AV68" s="13" t="str">
        <f aca="false">IF(A68="","",IF(AND(AT68="",AU68="",AX68=""),"",IF(OR(UPPER(TRIM(Inputs!$B$24))="MANNING",UPPER(TRIM(Inputs!$B$24))="M"),AU68,IF(OR(UPPER(TRIM(Inputs!$B$24))="PARTIAL",UPPER(TRIM(Inputs!$B$24))="P"),AX68,IF(OR(UPPER(TRIM(Inputs!$B$24))="MAX",UPPER(TRIM(Inputs!$B$24))="X"),MAX(IF(AT68="",0,AT68),IF(AU68="",0,AU68),IF(AX68="",0,AX68)),AT68)))))</f>
        <v/>
      </c>
      <c r="AW68" s="13" t="str">
        <f aca="false">IF(AY68="","",CE68)</f>
        <v/>
      </c>
      <c r="AX68" s="13" t="str">
        <f aca="false">IF(OR(AY68="",AW68="",R68="",R68&lt;=0,AW68&lt;=0),"",AY68/((R68^2/8)*(2*ACOS(1-2*AW68/R68)-SIN(2*ACOS(1-2*AW68/R68)))))</f>
        <v/>
      </c>
      <c r="AY68" s="9" t="str">
        <f aca="false">IF(OR(L68="",AZ68=""),"",MIN(L68,AZ68))</f>
        <v/>
      </c>
      <c r="AZ68" s="9" t="str">
        <f aca="false">IF(OR(L68="",R68="",N68=""),"",IF(OR(R68="",N68="",(0.94*R68)="",R68&lt;=0,(0.94*R68)&lt;=0),"",(1/Inputs!$B$9)*((R68^2/8)*((2*ACOS(1-2*(0.94*R68)/R68))-SIN((2*ACOS(1-2*(0.94*R68)/R68)))))*((((R68^2/8)*((2*ACOS(1-2*(0.94*R68)/R68))-SIN((2*ACOS(1-2*(0.94*R68)/R68)))))/((R68/2)*((2*ACOS(1-2*(0.94*R68)/R68)))))^(2/3))*SQRT(N68)))</f>
        <v/>
      </c>
      <c r="BA68" s="9" t="str">
        <f aca="false">IF(AY68="","",0.001*R68)</f>
        <v/>
      </c>
      <c r="BB68" s="9" t="str">
        <f aca="false">IF(AY68="","",0.94*R68)</f>
        <v/>
      </c>
      <c r="BC68" s="9" t="str">
        <f aca="false">IF(AY68="","",(BA68+BB68)/2)</f>
        <v/>
      </c>
      <c r="BD68" s="9" t="str">
        <f aca="false">IF(OR(R68="",N68="",BC68="",R68&lt;=0,BC68&lt;=0),"",(1/Inputs!$B$9)*((R68^2/8)*((2*ACOS(1-2*BC68/R68))-SIN((2*ACOS(1-2*BC68/R68)))))*((((R68^2/8)*((2*ACOS(1-2*BC68/R68))-SIN((2*ACOS(1-2*BC68/R68)))))/((R68/2)*((2*ACOS(1-2*BC68/R68)))))^(2/3))*SQRT(N68))</f>
        <v/>
      </c>
      <c r="BE68" s="9" t="str">
        <f aca="false">IF(AY68="","",IF(BD68&lt;AY68,BC68,BA68))</f>
        <v/>
      </c>
      <c r="BF68" s="9" t="str">
        <f aca="false">IF(AY68="","",IF(BD68&lt;AY68,BB68,BC68))</f>
        <v/>
      </c>
      <c r="BG68" s="9" t="str">
        <f aca="false">IF(AY68="","",(BE68+BF68)/2)</f>
        <v/>
      </c>
      <c r="BH68" s="9" t="str">
        <f aca="false">IF(OR(R68="",N68="",BG68="",R68&lt;=0,BG68&lt;=0),"",(1/Inputs!$B$9)*((R68^2/8)*((2*ACOS(1-2*BG68/R68))-SIN((2*ACOS(1-2*BG68/R68)))))*((((R68^2/8)*((2*ACOS(1-2*BG68/R68))-SIN((2*ACOS(1-2*BG68/R68)))))/((R68/2)*((2*ACOS(1-2*BG68/R68)))))^(2/3))*SQRT(N68))</f>
        <v/>
      </c>
      <c r="BI68" s="9" t="str">
        <f aca="false">IF(AY68="","",IF(BH68&lt;AY68,BG68,BE68))</f>
        <v/>
      </c>
      <c r="BJ68" s="9" t="str">
        <f aca="false">IF(AY68="","",IF(BH68&lt;AY68,BF68,BG68))</f>
        <v/>
      </c>
      <c r="BK68" s="9" t="str">
        <f aca="false">IF(AY68="","",(BI68+BJ68)/2)</f>
        <v/>
      </c>
      <c r="BL68" s="9" t="str">
        <f aca="false">IF(OR(R68="",N68="",BK68="",R68&lt;=0,BK68&lt;=0),"",(1/Inputs!$B$9)*((R68^2/8)*((2*ACOS(1-2*BK68/R68))-SIN((2*ACOS(1-2*BK68/R68)))))*((((R68^2/8)*((2*ACOS(1-2*BK68/R68))-SIN((2*ACOS(1-2*BK68/R68)))))/((R68/2)*((2*ACOS(1-2*BK68/R68)))))^(2/3))*SQRT(N68))</f>
        <v/>
      </c>
      <c r="BM68" s="9" t="str">
        <f aca="false">IF(AY68="","",IF(BL68&lt;AY68,BK68,BI68))</f>
        <v/>
      </c>
      <c r="BN68" s="9" t="str">
        <f aca="false">IF(AY68="","",IF(BL68&lt;AY68,BJ68,BK68))</f>
        <v/>
      </c>
      <c r="BO68" s="9" t="str">
        <f aca="false">IF(AY68="","",(BM68+BN68)/2)</f>
        <v/>
      </c>
      <c r="BP68" s="9" t="str">
        <f aca="false">IF(OR(R68="",N68="",BO68="",R68&lt;=0,BO68&lt;=0),"",(1/Inputs!$B$9)*((R68^2/8)*((2*ACOS(1-2*BO68/R68))-SIN((2*ACOS(1-2*BO68/R68)))))*((((R68^2/8)*((2*ACOS(1-2*BO68/R68))-SIN((2*ACOS(1-2*BO68/R68)))))/((R68/2)*((2*ACOS(1-2*BO68/R68)))))^(2/3))*SQRT(N68))</f>
        <v/>
      </c>
      <c r="BQ68" s="9" t="str">
        <f aca="false">IF(AY68="","",IF(BP68&lt;AY68,BO68,BM68))</f>
        <v/>
      </c>
      <c r="BR68" s="9" t="str">
        <f aca="false">IF(AY68="","",IF(BP68&lt;AY68,BN68,BO68))</f>
        <v/>
      </c>
      <c r="BS68" s="9" t="str">
        <f aca="false">IF(AY68="","",(BQ68+BR68)/2)</f>
        <v/>
      </c>
      <c r="BT68" s="9" t="str">
        <f aca="false">IF(OR(R68="",N68="",BS68="",R68&lt;=0,BS68&lt;=0),"",(1/Inputs!$B$9)*((R68^2/8)*((2*ACOS(1-2*BS68/R68))-SIN((2*ACOS(1-2*BS68/R68)))))*((((R68^2/8)*((2*ACOS(1-2*BS68/R68))-SIN((2*ACOS(1-2*BS68/R68)))))/((R68/2)*((2*ACOS(1-2*BS68/R68)))))^(2/3))*SQRT(N68))</f>
        <v/>
      </c>
      <c r="BU68" s="9" t="str">
        <f aca="false">IF(AY68="","",IF(BT68&lt;AY68,BS68,BQ68))</f>
        <v/>
      </c>
      <c r="BV68" s="9" t="str">
        <f aca="false">IF(AY68="","",IF(BT68&lt;AY68,BR68,BS68))</f>
        <v/>
      </c>
      <c r="BW68" s="9" t="str">
        <f aca="false">IF(AY68="","",(BU68+BV68)/2)</f>
        <v/>
      </c>
      <c r="BX68" s="9" t="str">
        <f aca="false">IF(OR(R68="",N68="",BW68="",R68&lt;=0,BW68&lt;=0),"",(1/Inputs!$B$9)*((R68^2/8)*((2*ACOS(1-2*BW68/R68))-SIN((2*ACOS(1-2*BW68/R68)))))*((((R68^2/8)*((2*ACOS(1-2*BW68/R68))-SIN((2*ACOS(1-2*BW68/R68)))))/((R68/2)*((2*ACOS(1-2*BW68/R68)))))^(2/3))*SQRT(N68))</f>
        <v/>
      </c>
      <c r="BY68" s="9" t="str">
        <f aca="false">IF(AY68="","",IF(BX68&lt;AY68,BW68,BU68))</f>
        <v/>
      </c>
      <c r="BZ68" s="9" t="str">
        <f aca="false">IF(AY68="","",IF(BX68&lt;AY68,BV68,BW68))</f>
        <v/>
      </c>
      <c r="CA68" s="9" t="str">
        <f aca="false">IF(AY68="","",(BY68+BZ68)/2)</f>
        <v/>
      </c>
      <c r="CB68" s="9" t="str">
        <f aca="false">IF(OR(R68="",N68="",CA68="",R68&lt;=0,CA68&lt;=0),"",(1/Inputs!$B$9)*((R68^2/8)*((2*ACOS(1-2*CA68/R68))-SIN((2*ACOS(1-2*CA68/R68)))))*((((R68^2/8)*((2*ACOS(1-2*CA68/R68))-SIN((2*ACOS(1-2*CA68/R68)))))/((R68/2)*((2*ACOS(1-2*CA68/R68)))))^(2/3))*SQRT(N68))</f>
        <v/>
      </c>
      <c r="CC68" s="9" t="str">
        <f aca="false">IF(AY68="","",IF(CB68&lt;AY68,CA68,BY68))</f>
        <v/>
      </c>
      <c r="CD68" s="9" t="str">
        <f aca="false">IF(AY68="","",IF(CB68&lt;AY68,BZ68,CA68))</f>
        <v/>
      </c>
      <c r="CE68" s="9" t="str">
        <f aca="false">IF(AY68="","",(CC68+CD68)/2)</f>
        <v/>
      </c>
    </row>
    <row r="69" customFormat="false" ht="15" hidden="false" customHeight="false" outlineLevel="0" collapsed="false">
      <c r="A69" s="9"/>
      <c r="B69" s="9"/>
      <c r="C69" s="14"/>
      <c r="D69" s="14"/>
      <c r="E69" s="14" t="n">
        <f aca="false">SUMIFS(CB_Tributaires!$C:$C,CB_Tributaires!$B:$B,$A69)</f>
        <v>0</v>
      </c>
      <c r="F69" s="14" t="n">
        <f aca="false">IF(D69="",E69,D69)</f>
        <v>0</v>
      </c>
      <c r="G69" s="9"/>
      <c r="H69" s="14"/>
      <c r="I69" s="14" t="str">
        <f aca="false">IF(A69="","",Inputs!$B$13/((IF(AS69="",Inputs!$B$18,AS69)+Inputs!$B$14)^Inputs!$B$15))</f>
        <v/>
      </c>
      <c r="J69" s="14" t="str">
        <f aca="false">IF(A69="","",0.000000278*IF(G69="",Inputs!$B$17,G69)*F69*I69)</f>
        <v/>
      </c>
      <c r="K69" s="14" t="str">
        <f aca="false">IF(A69="","",SUMIFS($L$4:$L$203,$B$4:$B$203,$A69))</f>
        <v/>
      </c>
      <c r="L69" s="14" t="str">
        <f aca="false">IF(A69="","",(J69+K69)*Inputs!$B$16)</f>
        <v/>
      </c>
      <c r="M69" s="14"/>
      <c r="N69" s="14" t="str">
        <f aca="false">IF(A69="","",IF(M69="",Inputs!$B$7,M69))</f>
        <v/>
      </c>
      <c r="O69" s="9" t="str">
        <f aca="false">IF(A69="","",IF(L69/Inputs!$B$10&lt;=AD69,Inputs!$F$5,IF(L69/Inputs!$B$10&gt;AM69,"OVERSIZE",INDEX(Inputs!$F$5:$F$14,MATCH(L69/Inputs!$B$10,AD69:AM69,1)+1))))</f>
        <v/>
      </c>
      <c r="P69" s="9"/>
      <c r="Q69" s="9" t="str">
        <f aca="false">IF(A69="","",IF(P69="",O69,P69))</f>
        <v/>
      </c>
      <c r="R69" s="14" t="str">
        <f aca="false">IF(OR(Q69="",Q69="OVERSIZE"),"",Q69/1000)</f>
        <v/>
      </c>
      <c r="S69" s="14" t="str">
        <f aca="false">IF(R69="","",(1/Inputs!$B$9)*(PI()*R69^2/4)*((R69/4)^(2/3))*SQRT(N69))</f>
        <v/>
      </c>
      <c r="T69" s="14" t="str">
        <f aca="false">IF(OR(S69="",L69=""),"",L69/(S69*Inputs!$B$10))</f>
        <v/>
      </c>
      <c r="U69" s="14" t="str">
        <f aca="false">IF(OR(R69="",L69=""),"",4*L69/(PI()*R69^2))</f>
        <v/>
      </c>
      <c r="V69" s="14"/>
      <c r="W69" s="14" t="str">
        <f aca="false">IF(A69="","",IF(A69=Inputs!$B$6,Inputs!$B$22,IF(B69="","",IFERROR(INDEX($X$4:$X$203,MATCH(B69,$A$4:$A$203,0))+IF(V69="",Inputs!$B$20,V69),""))))</f>
        <v/>
      </c>
      <c r="X69" s="14" t="str">
        <f aca="false">IF(OR(W69="",N69="",C69=""),"",W69+N69*C69)</f>
        <v/>
      </c>
      <c r="Y69" s="14"/>
      <c r="Z69" s="14"/>
      <c r="AA69" s="14" t="str">
        <f aca="false">IF(OR(Y69="",W69=""),"",Y69-W69)</f>
        <v/>
      </c>
      <c r="AB69" s="14" t="str">
        <f aca="false">IF(OR(Z69="",X69=""),"",Z69-X69)</f>
        <v/>
      </c>
      <c r="AC69" s="19" t="str">
        <f aca="false">IF(A69="","",IF(OR(T69&gt;1,AND(AV69&lt;&gt;"",AV69&lt;Inputs!$B$11),AND(AV69&lt;&gt;"",AV69&gt;Inputs!$B$12),AA69&lt;Inputs!$B$19,AB69&lt;Inputs!$B$19,N69&lt;Inputs!$B$7,N69&gt;Inputs!$B$8),"CHECK","OK"))</f>
        <v/>
      </c>
      <c r="AD69" s="9" t="str">
        <f aca="false">IF(A69="","",(1/Inputs!$B$9)*(PI()*(Inputs!$F$5/1000)^2/4)*((Inputs!$F$5/1000/4)^(2/3))*SQRT(N69))</f>
        <v/>
      </c>
      <c r="AE69" s="9" t="str">
        <f aca="false">IF(A69="","",(1/Inputs!$B$9)*(PI()*(Inputs!$F$6/1000)^2/4)*((Inputs!$F$6/1000/4)^(2/3))*SQRT(N69))</f>
        <v/>
      </c>
      <c r="AF69" s="9" t="str">
        <f aca="false">IF(A69="","",(1/Inputs!$B$9)*(PI()*(Inputs!$F$7/1000)^2/4)*((Inputs!$F$7/1000/4)^(2/3))*SQRT(N69))</f>
        <v/>
      </c>
      <c r="AG69" s="9" t="str">
        <f aca="false">IF(A69="","",(1/Inputs!$B$9)*(PI()*(Inputs!$F$8/1000)^2/4)*((Inputs!$F$8/1000/4)^(2/3))*SQRT(N69))</f>
        <v/>
      </c>
      <c r="AH69" s="9" t="str">
        <f aca="false">IF(A69="","",(1/Inputs!$B$9)*(PI()*(Inputs!$F$9/1000)^2/4)*((Inputs!$F$9/1000/4)^(2/3))*SQRT(N69))</f>
        <v/>
      </c>
      <c r="AI69" s="9" t="str">
        <f aca="false">IF(A69="","",(1/Inputs!$B$9)*(PI()*(Inputs!$F$10/1000)^2/4)*((Inputs!$F$10/1000/4)^(2/3))*SQRT(N69))</f>
        <v/>
      </c>
      <c r="AJ69" s="9" t="str">
        <f aca="false">IF(A69="","",(1/Inputs!$B$9)*(PI()*(Inputs!$F$11/1000)^2/4)*((Inputs!$F$11/1000/4)^(2/3))*SQRT(N69))</f>
        <v/>
      </c>
      <c r="AK69" s="9" t="str">
        <f aca="false">IF(A69="","",(1/Inputs!$B$9)*(PI()*(Inputs!$F$12/1000)^2/4)*((Inputs!$F$12/1000/4)^(2/3))*SQRT(N69))</f>
        <v/>
      </c>
      <c r="AL69" s="9" t="str">
        <f aca="false">IF(A69="","",(1/Inputs!$B$9)*(PI()*(Inputs!$F$13/1000)^2/4)*((Inputs!$F$13/1000/4)^(2/3))*SQRT(N69))</f>
        <v/>
      </c>
      <c r="AM69" s="9" t="str">
        <f aca="false">IF(A69="","",(1/Inputs!$B$9)*(PI()*(Inputs!$F$14/1000)^2/4)*((Inputs!$F$14/1000/4)^(2/3))*SQRT(N69))</f>
        <v/>
      </c>
      <c r="AN69" s="9" t="str">
        <f aca="false">IF(A69="","",COUNTIF($B$4:$B$203,$A69))</f>
        <v/>
      </c>
      <c r="AO69" s="9" t="str">
        <f aca="false">IF(A69="","",IF(AN69=0,"START","CONTINUOUS"))</f>
        <v/>
      </c>
      <c r="AP69" s="13" t="str">
        <f aca="false">IF(A69="","",IF(H69="",Inputs!$B$18,H69))</f>
        <v/>
      </c>
      <c r="AQ69" s="13" t="str">
        <f aca="false">IF(A69="","",IFERROR(maxifs($AS$4:$AS$203,$B$4:$B$203,$A69),""))</f>
        <v/>
      </c>
      <c r="AR69" s="13" t="str">
        <f aca="false">IF(A69="","",IF(OR(C69="",Inputs!$B$23=""),"",C69/(Inputs!$B$23*60)))</f>
        <v/>
      </c>
      <c r="AS69" s="13" t="str">
        <f aca="false">IF(A69="","",IF(AN69=0,AP69+AR69,IF(AQ69="",AP69+AR69,AQ69+AR69)))</f>
        <v/>
      </c>
      <c r="AT69" s="13" t="str">
        <f aca="false">IF(A69="","",U69)</f>
        <v/>
      </c>
      <c r="AU69" s="13" t="str">
        <f aca="false">IF(OR(R69="",N69=""),"",(1/Inputs!$B$9)*((R69/4)^(2/3))*SQRT(N69))</f>
        <v/>
      </c>
      <c r="AV69" s="13" t="str">
        <f aca="false">IF(A69="","",IF(AND(AT69="",AU69="",AX69=""),"",IF(OR(UPPER(TRIM(Inputs!$B$24))="MANNING",UPPER(TRIM(Inputs!$B$24))="M"),AU69,IF(OR(UPPER(TRIM(Inputs!$B$24))="PARTIAL",UPPER(TRIM(Inputs!$B$24))="P"),AX69,IF(OR(UPPER(TRIM(Inputs!$B$24))="MAX",UPPER(TRIM(Inputs!$B$24))="X"),MAX(IF(AT69="",0,AT69),IF(AU69="",0,AU69),IF(AX69="",0,AX69)),AT69)))))</f>
        <v/>
      </c>
      <c r="AW69" s="13" t="str">
        <f aca="false">IF(AY69="","",CE69)</f>
        <v/>
      </c>
      <c r="AX69" s="13" t="str">
        <f aca="false">IF(OR(AY69="",AW69="",R69="",R69&lt;=0,AW69&lt;=0),"",AY69/((R69^2/8)*(2*ACOS(1-2*AW69/R69)-SIN(2*ACOS(1-2*AW69/R69)))))</f>
        <v/>
      </c>
      <c r="AY69" s="9" t="str">
        <f aca="false">IF(OR(L69="",AZ69=""),"",MIN(L69,AZ69))</f>
        <v/>
      </c>
      <c r="AZ69" s="9" t="str">
        <f aca="false">IF(OR(L69="",R69="",N69=""),"",IF(OR(R69="",N69="",(0.94*R69)="",R69&lt;=0,(0.94*R69)&lt;=0),"",(1/Inputs!$B$9)*((R69^2/8)*((2*ACOS(1-2*(0.94*R69)/R69))-SIN((2*ACOS(1-2*(0.94*R69)/R69)))))*((((R69^2/8)*((2*ACOS(1-2*(0.94*R69)/R69))-SIN((2*ACOS(1-2*(0.94*R69)/R69)))))/((R69/2)*((2*ACOS(1-2*(0.94*R69)/R69)))))^(2/3))*SQRT(N69)))</f>
        <v/>
      </c>
      <c r="BA69" s="9" t="str">
        <f aca="false">IF(AY69="","",0.001*R69)</f>
        <v/>
      </c>
      <c r="BB69" s="9" t="str">
        <f aca="false">IF(AY69="","",0.94*R69)</f>
        <v/>
      </c>
      <c r="BC69" s="9" t="str">
        <f aca="false">IF(AY69="","",(BA69+BB69)/2)</f>
        <v/>
      </c>
      <c r="BD69" s="9" t="str">
        <f aca="false">IF(OR(R69="",N69="",BC69="",R69&lt;=0,BC69&lt;=0),"",(1/Inputs!$B$9)*((R69^2/8)*((2*ACOS(1-2*BC69/R69))-SIN((2*ACOS(1-2*BC69/R69)))))*((((R69^2/8)*((2*ACOS(1-2*BC69/R69))-SIN((2*ACOS(1-2*BC69/R69)))))/((R69/2)*((2*ACOS(1-2*BC69/R69)))))^(2/3))*SQRT(N69))</f>
        <v/>
      </c>
      <c r="BE69" s="9" t="str">
        <f aca="false">IF(AY69="","",IF(BD69&lt;AY69,BC69,BA69))</f>
        <v/>
      </c>
      <c r="BF69" s="9" t="str">
        <f aca="false">IF(AY69="","",IF(BD69&lt;AY69,BB69,BC69))</f>
        <v/>
      </c>
      <c r="BG69" s="9" t="str">
        <f aca="false">IF(AY69="","",(BE69+BF69)/2)</f>
        <v/>
      </c>
      <c r="BH69" s="9" t="str">
        <f aca="false">IF(OR(R69="",N69="",BG69="",R69&lt;=0,BG69&lt;=0),"",(1/Inputs!$B$9)*((R69^2/8)*((2*ACOS(1-2*BG69/R69))-SIN((2*ACOS(1-2*BG69/R69)))))*((((R69^2/8)*((2*ACOS(1-2*BG69/R69))-SIN((2*ACOS(1-2*BG69/R69)))))/((R69/2)*((2*ACOS(1-2*BG69/R69)))))^(2/3))*SQRT(N69))</f>
        <v/>
      </c>
      <c r="BI69" s="9" t="str">
        <f aca="false">IF(AY69="","",IF(BH69&lt;AY69,BG69,BE69))</f>
        <v/>
      </c>
      <c r="BJ69" s="9" t="str">
        <f aca="false">IF(AY69="","",IF(BH69&lt;AY69,BF69,BG69))</f>
        <v/>
      </c>
      <c r="BK69" s="9" t="str">
        <f aca="false">IF(AY69="","",(BI69+BJ69)/2)</f>
        <v/>
      </c>
      <c r="BL69" s="9" t="str">
        <f aca="false">IF(OR(R69="",N69="",BK69="",R69&lt;=0,BK69&lt;=0),"",(1/Inputs!$B$9)*((R69^2/8)*((2*ACOS(1-2*BK69/R69))-SIN((2*ACOS(1-2*BK69/R69)))))*((((R69^2/8)*((2*ACOS(1-2*BK69/R69))-SIN((2*ACOS(1-2*BK69/R69)))))/((R69/2)*((2*ACOS(1-2*BK69/R69)))))^(2/3))*SQRT(N69))</f>
        <v/>
      </c>
      <c r="BM69" s="9" t="str">
        <f aca="false">IF(AY69="","",IF(BL69&lt;AY69,BK69,BI69))</f>
        <v/>
      </c>
      <c r="BN69" s="9" t="str">
        <f aca="false">IF(AY69="","",IF(BL69&lt;AY69,BJ69,BK69))</f>
        <v/>
      </c>
      <c r="BO69" s="9" t="str">
        <f aca="false">IF(AY69="","",(BM69+BN69)/2)</f>
        <v/>
      </c>
      <c r="BP69" s="9" t="str">
        <f aca="false">IF(OR(R69="",N69="",BO69="",R69&lt;=0,BO69&lt;=0),"",(1/Inputs!$B$9)*((R69^2/8)*((2*ACOS(1-2*BO69/R69))-SIN((2*ACOS(1-2*BO69/R69)))))*((((R69^2/8)*((2*ACOS(1-2*BO69/R69))-SIN((2*ACOS(1-2*BO69/R69)))))/((R69/2)*((2*ACOS(1-2*BO69/R69)))))^(2/3))*SQRT(N69))</f>
        <v/>
      </c>
      <c r="BQ69" s="9" t="str">
        <f aca="false">IF(AY69="","",IF(BP69&lt;AY69,BO69,BM69))</f>
        <v/>
      </c>
      <c r="BR69" s="9" t="str">
        <f aca="false">IF(AY69="","",IF(BP69&lt;AY69,BN69,BO69))</f>
        <v/>
      </c>
      <c r="BS69" s="9" t="str">
        <f aca="false">IF(AY69="","",(BQ69+BR69)/2)</f>
        <v/>
      </c>
      <c r="BT69" s="9" t="str">
        <f aca="false">IF(OR(R69="",N69="",BS69="",R69&lt;=0,BS69&lt;=0),"",(1/Inputs!$B$9)*((R69^2/8)*((2*ACOS(1-2*BS69/R69))-SIN((2*ACOS(1-2*BS69/R69)))))*((((R69^2/8)*((2*ACOS(1-2*BS69/R69))-SIN((2*ACOS(1-2*BS69/R69)))))/((R69/2)*((2*ACOS(1-2*BS69/R69)))))^(2/3))*SQRT(N69))</f>
        <v/>
      </c>
      <c r="BU69" s="9" t="str">
        <f aca="false">IF(AY69="","",IF(BT69&lt;AY69,BS69,BQ69))</f>
        <v/>
      </c>
      <c r="BV69" s="9" t="str">
        <f aca="false">IF(AY69="","",IF(BT69&lt;AY69,BR69,BS69))</f>
        <v/>
      </c>
      <c r="BW69" s="9" t="str">
        <f aca="false">IF(AY69="","",(BU69+BV69)/2)</f>
        <v/>
      </c>
      <c r="BX69" s="9" t="str">
        <f aca="false">IF(OR(R69="",N69="",BW69="",R69&lt;=0,BW69&lt;=0),"",(1/Inputs!$B$9)*((R69^2/8)*((2*ACOS(1-2*BW69/R69))-SIN((2*ACOS(1-2*BW69/R69)))))*((((R69^2/8)*((2*ACOS(1-2*BW69/R69))-SIN((2*ACOS(1-2*BW69/R69)))))/((R69/2)*((2*ACOS(1-2*BW69/R69)))))^(2/3))*SQRT(N69))</f>
        <v/>
      </c>
      <c r="BY69" s="9" t="str">
        <f aca="false">IF(AY69="","",IF(BX69&lt;AY69,BW69,BU69))</f>
        <v/>
      </c>
      <c r="BZ69" s="9" t="str">
        <f aca="false">IF(AY69="","",IF(BX69&lt;AY69,BV69,BW69))</f>
        <v/>
      </c>
      <c r="CA69" s="9" t="str">
        <f aca="false">IF(AY69="","",(BY69+BZ69)/2)</f>
        <v/>
      </c>
      <c r="CB69" s="9" t="str">
        <f aca="false">IF(OR(R69="",N69="",CA69="",R69&lt;=0,CA69&lt;=0),"",(1/Inputs!$B$9)*((R69^2/8)*((2*ACOS(1-2*CA69/R69))-SIN((2*ACOS(1-2*CA69/R69)))))*((((R69^2/8)*((2*ACOS(1-2*CA69/R69))-SIN((2*ACOS(1-2*CA69/R69)))))/((R69/2)*((2*ACOS(1-2*CA69/R69)))))^(2/3))*SQRT(N69))</f>
        <v/>
      </c>
      <c r="CC69" s="9" t="str">
        <f aca="false">IF(AY69="","",IF(CB69&lt;AY69,CA69,BY69))</f>
        <v/>
      </c>
      <c r="CD69" s="9" t="str">
        <f aca="false">IF(AY69="","",IF(CB69&lt;AY69,BZ69,CA69))</f>
        <v/>
      </c>
      <c r="CE69" s="9" t="str">
        <f aca="false">IF(AY69="","",(CC69+CD69)/2)</f>
        <v/>
      </c>
    </row>
    <row r="70" customFormat="false" ht="15" hidden="false" customHeight="false" outlineLevel="0" collapsed="false">
      <c r="A70" s="9"/>
      <c r="B70" s="9"/>
      <c r="C70" s="14"/>
      <c r="D70" s="14"/>
      <c r="E70" s="14" t="n">
        <f aca="false">SUMIFS(CB_Tributaires!$C:$C,CB_Tributaires!$B:$B,$A70)</f>
        <v>0</v>
      </c>
      <c r="F70" s="14" t="n">
        <f aca="false">IF(D70="",E70,D70)</f>
        <v>0</v>
      </c>
      <c r="G70" s="9"/>
      <c r="H70" s="14"/>
      <c r="I70" s="14" t="str">
        <f aca="false">IF(A70="","",Inputs!$B$13/((IF(AS70="",Inputs!$B$18,AS70)+Inputs!$B$14)^Inputs!$B$15))</f>
        <v/>
      </c>
      <c r="J70" s="14" t="str">
        <f aca="false">IF(A70="","",0.000000278*IF(G70="",Inputs!$B$17,G70)*F70*I70)</f>
        <v/>
      </c>
      <c r="K70" s="14" t="str">
        <f aca="false">IF(A70="","",SUMIFS($L$4:$L$203,$B$4:$B$203,$A70))</f>
        <v/>
      </c>
      <c r="L70" s="14" t="str">
        <f aca="false">IF(A70="","",(J70+K70)*Inputs!$B$16)</f>
        <v/>
      </c>
      <c r="M70" s="14"/>
      <c r="N70" s="14" t="str">
        <f aca="false">IF(A70="","",IF(M70="",Inputs!$B$7,M70))</f>
        <v/>
      </c>
      <c r="O70" s="9" t="str">
        <f aca="false">IF(A70="","",IF(L70/Inputs!$B$10&lt;=AD70,Inputs!$F$5,IF(L70/Inputs!$B$10&gt;AM70,"OVERSIZE",INDEX(Inputs!$F$5:$F$14,MATCH(L70/Inputs!$B$10,AD70:AM70,1)+1))))</f>
        <v/>
      </c>
      <c r="P70" s="9"/>
      <c r="Q70" s="9" t="str">
        <f aca="false">IF(A70="","",IF(P70="",O70,P70))</f>
        <v/>
      </c>
      <c r="R70" s="14" t="str">
        <f aca="false">IF(OR(Q70="",Q70="OVERSIZE"),"",Q70/1000)</f>
        <v/>
      </c>
      <c r="S70" s="14" t="str">
        <f aca="false">IF(R70="","",(1/Inputs!$B$9)*(PI()*R70^2/4)*((R70/4)^(2/3))*SQRT(N70))</f>
        <v/>
      </c>
      <c r="T70" s="14" t="str">
        <f aca="false">IF(OR(S70="",L70=""),"",L70/(S70*Inputs!$B$10))</f>
        <v/>
      </c>
      <c r="U70" s="14" t="str">
        <f aca="false">IF(OR(R70="",L70=""),"",4*L70/(PI()*R70^2))</f>
        <v/>
      </c>
      <c r="V70" s="14"/>
      <c r="W70" s="14" t="str">
        <f aca="false">IF(A70="","",IF(A70=Inputs!$B$6,Inputs!$B$22,IF(B70="","",IFERROR(INDEX($X$4:$X$203,MATCH(B70,$A$4:$A$203,0))+IF(V70="",Inputs!$B$20,V70),""))))</f>
        <v/>
      </c>
      <c r="X70" s="14" t="str">
        <f aca="false">IF(OR(W70="",N70="",C70=""),"",W70+N70*C70)</f>
        <v/>
      </c>
      <c r="Y70" s="14"/>
      <c r="Z70" s="14"/>
      <c r="AA70" s="14" t="str">
        <f aca="false">IF(OR(Y70="",W70=""),"",Y70-W70)</f>
        <v/>
      </c>
      <c r="AB70" s="14" t="str">
        <f aca="false">IF(OR(Z70="",X70=""),"",Z70-X70)</f>
        <v/>
      </c>
      <c r="AC70" s="19" t="str">
        <f aca="false">IF(A70="","",IF(OR(T70&gt;1,AND(AV70&lt;&gt;"",AV70&lt;Inputs!$B$11),AND(AV70&lt;&gt;"",AV70&gt;Inputs!$B$12),AA70&lt;Inputs!$B$19,AB70&lt;Inputs!$B$19,N70&lt;Inputs!$B$7,N70&gt;Inputs!$B$8),"CHECK","OK"))</f>
        <v/>
      </c>
      <c r="AD70" s="9" t="str">
        <f aca="false">IF(A70="","",(1/Inputs!$B$9)*(PI()*(Inputs!$F$5/1000)^2/4)*((Inputs!$F$5/1000/4)^(2/3))*SQRT(N70))</f>
        <v/>
      </c>
      <c r="AE70" s="9" t="str">
        <f aca="false">IF(A70="","",(1/Inputs!$B$9)*(PI()*(Inputs!$F$6/1000)^2/4)*((Inputs!$F$6/1000/4)^(2/3))*SQRT(N70))</f>
        <v/>
      </c>
      <c r="AF70" s="9" t="str">
        <f aca="false">IF(A70="","",(1/Inputs!$B$9)*(PI()*(Inputs!$F$7/1000)^2/4)*((Inputs!$F$7/1000/4)^(2/3))*SQRT(N70))</f>
        <v/>
      </c>
      <c r="AG70" s="9" t="str">
        <f aca="false">IF(A70="","",(1/Inputs!$B$9)*(PI()*(Inputs!$F$8/1000)^2/4)*((Inputs!$F$8/1000/4)^(2/3))*SQRT(N70))</f>
        <v/>
      </c>
      <c r="AH70" s="9" t="str">
        <f aca="false">IF(A70="","",(1/Inputs!$B$9)*(PI()*(Inputs!$F$9/1000)^2/4)*((Inputs!$F$9/1000/4)^(2/3))*SQRT(N70))</f>
        <v/>
      </c>
      <c r="AI70" s="9" t="str">
        <f aca="false">IF(A70="","",(1/Inputs!$B$9)*(PI()*(Inputs!$F$10/1000)^2/4)*((Inputs!$F$10/1000/4)^(2/3))*SQRT(N70))</f>
        <v/>
      </c>
      <c r="AJ70" s="9" t="str">
        <f aca="false">IF(A70="","",(1/Inputs!$B$9)*(PI()*(Inputs!$F$11/1000)^2/4)*((Inputs!$F$11/1000/4)^(2/3))*SQRT(N70))</f>
        <v/>
      </c>
      <c r="AK70" s="9" t="str">
        <f aca="false">IF(A70="","",(1/Inputs!$B$9)*(PI()*(Inputs!$F$12/1000)^2/4)*((Inputs!$F$12/1000/4)^(2/3))*SQRT(N70))</f>
        <v/>
      </c>
      <c r="AL70" s="9" t="str">
        <f aca="false">IF(A70="","",(1/Inputs!$B$9)*(PI()*(Inputs!$F$13/1000)^2/4)*((Inputs!$F$13/1000/4)^(2/3))*SQRT(N70))</f>
        <v/>
      </c>
      <c r="AM70" s="9" t="str">
        <f aca="false">IF(A70="","",(1/Inputs!$B$9)*(PI()*(Inputs!$F$14/1000)^2/4)*((Inputs!$F$14/1000/4)^(2/3))*SQRT(N70))</f>
        <v/>
      </c>
      <c r="AN70" s="9" t="str">
        <f aca="false">IF(A70="","",COUNTIF($B$4:$B$203,$A70))</f>
        <v/>
      </c>
      <c r="AO70" s="9" t="str">
        <f aca="false">IF(A70="","",IF(AN70=0,"START","CONTINUOUS"))</f>
        <v/>
      </c>
      <c r="AP70" s="13" t="str">
        <f aca="false">IF(A70="","",IF(H70="",Inputs!$B$18,H70))</f>
        <v/>
      </c>
      <c r="AQ70" s="13" t="str">
        <f aca="false">IF(A70="","",IFERROR(maxifs($AS$4:$AS$203,$B$4:$B$203,$A70),""))</f>
        <v/>
      </c>
      <c r="AR70" s="13" t="str">
        <f aca="false">IF(A70="","",IF(OR(C70="",Inputs!$B$23=""),"",C70/(Inputs!$B$23*60)))</f>
        <v/>
      </c>
      <c r="AS70" s="13" t="str">
        <f aca="false">IF(A70="","",IF(AN70=0,AP70+AR70,IF(AQ70="",AP70+AR70,AQ70+AR70)))</f>
        <v/>
      </c>
      <c r="AT70" s="13" t="str">
        <f aca="false">IF(A70="","",U70)</f>
        <v/>
      </c>
      <c r="AU70" s="13" t="str">
        <f aca="false">IF(OR(R70="",N70=""),"",(1/Inputs!$B$9)*((R70/4)^(2/3))*SQRT(N70))</f>
        <v/>
      </c>
      <c r="AV70" s="13" t="str">
        <f aca="false">IF(A70="","",IF(AND(AT70="",AU70="",AX70=""),"",IF(OR(UPPER(TRIM(Inputs!$B$24))="MANNING",UPPER(TRIM(Inputs!$B$24))="M"),AU70,IF(OR(UPPER(TRIM(Inputs!$B$24))="PARTIAL",UPPER(TRIM(Inputs!$B$24))="P"),AX70,IF(OR(UPPER(TRIM(Inputs!$B$24))="MAX",UPPER(TRIM(Inputs!$B$24))="X"),MAX(IF(AT70="",0,AT70),IF(AU70="",0,AU70),IF(AX70="",0,AX70)),AT70)))))</f>
        <v/>
      </c>
      <c r="AW70" s="13" t="str">
        <f aca="false">IF(AY70="","",CE70)</f>
        <v/>
      </c>
      <c r="AX70" s="13" t="str">
        <f aca="false">IF(OR(AY70="",AW70="",R70="",R70&lt;=0,AW70&lt;=0),"",AY70/((R70^2/8)*(2*ACOS(1-2*AW70/R70)-SIN(2*ACOS(1-2*AW70/R70)))))</f>
        <v/>
      </c>
      <c r="AY70" s="9" t="str">
        <f aca="false">IF(OR(L70="",AZ70=""),"",MIN(L70,AZ70))</f>
        <v/>
      </c>
      <c r="AZ70" s="9" t="str">
        <f aca="false">IF(OR(L70="",R70="",N70=""),"",IF(OR(R70="",N70="",(0.94*R70)="",R70&lt;=0,(0.94*R70)&lt;=0),"",(1/Inputs!$B$9)*((R70^2/8)*((2*ACOS(1-2*(0.94*R70)/R70))-SIN((2*ACOS(1-2*(0.94*R70)/R70)))))*((((R70^2/8)*((2*ACOS(1-2*(0.94*R70)/R70))-SIN((2*ACOS(1-2*(0.94*R70)/R70)))))/((R70/2)*((2*ACOS(1-2*(0.94*R70)/R70)))))^(2/3))*SQRT(N70)))</f>
        <v/>
      </c>
      <c r="BA70" s="9" t="str">
        <f aca="false">IF(AY70="","",0.001*R70)</f>
        <v/>
      </c>
      <c r="BB70" s="9" t="str">
        <f aca="false">IF(AY70="","",0.94*R70)</f>
        <v/>
      </c>
      <c r="BC70" s="9" t="str">
        <f aca="false">IF(AY70="","",(BA70+BB70)/2)</f>
        <v/>
      </c>
      <c r="BD70" s="9" t="str">
        <f aca="false">IF(OR(R70="",N70="",BC70="",R70&lt;=0,BC70&lt;=0),"",(1/Inputs!$B$9)*((R70^2/8)*((2*ACOS(1-2*BC70/R70))-SIN((2*ACOS(1-2*BC70/R70)))))*((((R70^2/8)*((2*ACOS(1-2*BC70/R70))-SIN((2*ACOS(1-2*BC70/R70)))))/((R70/2)*((2*ACOS(1-2*BC70/R70)))))^(2/3))*SQRT(N70))</f>
        <v/>
      </c>
      <c r="BE70" s="9" t="str">
        <f aca="false">IF(AY70="","",IF(BD70&lt;AY70,BC70,BA70))</f>
        <v/>
      </c>
      <c r="BF70" s="9" t="str">
        <f aca="false">IF(AY70="","",IF(BD70&lt;AY70,BB70,BC70))</f>
        <v/>
      </c>
      <c r="BG70" s="9" t="str">
        <f aca="false">IF(AY70="","",(BE70+BF70)/2)</f>
        <v/>
      </c>
      <c r="BH70" s="9" t="str">
        <f aca="false">IF(OR(R70="",N70="",BG70="",R70&lt;=0,BG70&lt;=0),"",(1/Inputs!$B$9)*((R70^2/8)*((2*ACOS(1-2*BG70/R70))-SIN((2*ACOS(1-2*BG70/R70)))))*((((R70^2/8)*((2*ACOS(1-2*BG70/R70))-SIN((2*ACOS(1-2*BG70/R70)))))/((R70/2)*((2*ACOS(1-2*BG70/R70)))))^(2/3))*SQRT(N70))</f>
        <v/>
      </c>
      <c r="BI70" s="9" t="str">
        <f aca="false">IF(AY70="","",IF(BH70&lt;AY70,BG70,BE70))</f>
        <v/>
      </c>
      <c r="BJ70" s="9" t="str">
        <f aca="false">IF(AY70="","",IF(BH70&lt;AY70,BF70,BG70))</f>
        <v/>
      </c>
      <c r="BK70" s="9" t="str">
        <f aca="false">IF(AY70="","",(BI70+BJ70)/2)</f>
        <v/>
      </c>
      <c r="BL70" s="9" t="str">
        <f aca="false">IF(OR(R70="",N70="",BK70="",R70&lt;=0,BK70&lt;=0),"",(1/Inputs!$B$9)*((R70^2/8)*((2*ACOS(1-2*BK70/R70))-SIN((2*ACOS(1-2*BK70/R70)))))*((((R70^2/8)*((2*ACOS(1-2*BK70/R70))-SIN((2*ACOS(1-2*BK70/R70)))))/((R70/2)*((2*ACOS(1-2*BK70/R70)))))^(2/3))*SQRT(N70))</f>
        <v/>
      </c>
      <c r="BM70" s="9" t="str">
        <f aca="false">IF(AY70="","",IF(BL70&lt;AY70,BK70,BI70))</f>
        <v/>
      </c>
      <c r="BN70" s="9" t="str">
        <f aca="false">IF(AY70="","",IF(BL70&lt;AY70,BJ70,BK70))</f>
        <v/>
      </c>
      <c r="BO70" s="9" t="str">
        <f aca="false">IF(AY70="","",(BM70+BN70)/2)</f>
        <v/>
      </c>
      <c r="BP70" s="9" t="str">
        <f aca="false">IF(OR(R70="",N70="",BO70="",R70&lt;=0,BO70&lt;=0),"",(1/Inputs!$B$9)*((R70^2/8)*((2*ACOS(1-2*BO70/R70))-SIN((2*ACOS(1-2*BO70/R70)))))*((((R70^2/8)*((2*ACOS(1-2*BO70/R70))-SIN((2*ACOS(1-2*BO70/R70)))))/((R70/2)*((2*ACOS(1-2*BO70/R70)))))^(2/3))*SQRT(N70))</f>
        <v/>
      </c>
      <c r="BQ70" s="9" t="str">
        <f aca="false">IF(AY70="","",IF(BP70&lt;AY70,BO70,BM70))</f>
        <v/>
      </c>
      <c r="BR70" s="9" t="str">
        <f aca="false">IF(AY70="","",IF(BP70&lt;AY70,BN70,BO70))</f>
        <v/>
      </c>
      <c r="BS70" s="9" t="str">
        <f aca="false">IF(AY70="","",(BQ70+BR70)/2)</f>
        <v/>
      </c>
      <c r="BT70" s="9" t="str">
        <f aca="false">IF(OR(R70="",N70="",BS70="",R70&lt;=0,BS70&lt;=0),"",(1/Inputs!$B$9)*((R70^2/8)*((2*ACOS(1-2*BS70/R70))-SIN((2*ACOS(1-2*BS70/R70)))))*((((R70^2/8)*((2*ACOS(1-2*BS70/R70))-SIN((2*ACOS(1-2*BS70/R70)))))/((R70/2)*((2*ACOS(1-2*BS70/R70)))))^(2/3))*SQRT(N70))</f>
        <v/>
      </c>
      <c r="BU70" s="9" t="str">
        <f aca="false">IF(AY70="","",IF(BT70&lt;AY70,BS70,BQ70))</f>
        <v/>
      </c>
      <c r="BV70" s="9" t="str">
        <f aca="false">IF(AY70="","",IF(BT70&lt;AY70,BR70,BS70))</f>
        <v/>
      </c>
      <c r="BW70" s="9" t="str">
        <f aca="false">IF(AY70="","",(BU70+BV70)/2)</f>
        <v/>
      </c>
      <c r="BX70" s="9" t="str">
        <f aca="false">IF(OR(R70="",N70="",BW70="",R70&lt;=0,BW70&lt;=0),"",(1/Inputs!$B$9)*((R70^2/8)*((2*ACOS(1-2*BW70/R70))-SIN((2*ACOS(1-2*BW70/R70)))))*((((R70^2/8)*((2*ACOS(1-2*BW70/R70))-SIN((2*ACOS(1-2*BW70/R70)))))/((R70/2)*((2*ACOS(1-2*BW70/R70)))))^(2/3))*SQRT(N70))</f>
        <v/>
      </c>
      <c r="BY70" s="9" t="str">
        <f aca="false">IF(AY70="","",IF(BX70&lt;AY70,BW70,BU70))</f>
        <v/>
      </c>
      <c r="BZ70" s="9" t="str">
        <f aca="false">IF(AY70="","",IF(BX70&lt;AY70,BV70,BW70))</f>
        <v/>
      </c>
      <c r="CA70" s="9" t="str">
        <f aca="false">IF(AY70="","",(BY70+BZ70)/2)</f>
        <v/>
      </c>
      <c r="CB70" s="9" t="str">
        <f aca="false">IF(OR(R70="",N70="",CA70="",R70&lt;=0,CA70&lt;=0),"",(1/Inputs!$B$9)*((R70^2/8)*((2*ACOS(1-2*CA70/R70))-SIN((2*ACOS(1-2*CA70/R70)))))*((((R70^2/8)*((2*ACOS(1-2*CA70/R70))-SIN((2*ACOS(1-2*CA70/R70)))))/((R70/2)*((2*ACOS(1-2*CA70/R70)))))^(2/3))*SQRT(N70))</f>
        <v/>
      </c>
      <c r="CC70" s="9" t="str">
        <f aca="false">IF(AY70="","",IF(CB70&lt;AY70,CA70,BY70))</f>
        <v/>
      </c>
      <c r="CD70" s="9" t="str">
        <f aca="false">IF(AY70="","",IF(CB70&lt;AY70,BZ70,CA70))</f>
        <v/>
      </c>
      <c r="CE70" s="9" t="str">
        <f aca="false">IF(AY70="","",(CC70+CD70)/2)</f>
        <v/>
      </c>
    </row>
    <row r="71" customFormat="false" ht="15" hidden="false" customHeight="false" outlineLevel="0" collapsed="false">
      <c r="A71" s="9"/>
      <c r="B71" s="9"/>
      <c r="C71" s="14"/>
      <c r="D71" s="14"/>
      <c r="E71" s="14" t="n">
        <f aca="false">SUMIFS(CB_Tributaires!$C:$C,CB_Tributaires!$B:$B,$A71)</f>
        <v>0</v>
      </c>
      <c r="F71" s="14" t="n">
        <f aca="false">IF(D71="",E71,D71)</f>
        <v>0</v>
      </c>
      <c r="G71" s="9"/>
      <c r="H71" s="14"/>
      <c r="I71" s="14" t="str">
        <f aca="false">IF(A71="","",Inputs!$B$13/((IF(AS71="",Inputs!$B$18,AS71)+Inputs!$B$14)^Inputs!$B$15))</f>
        <v/>
      </c>
      <c r="J71" s="14" t="str">
        <f aca="false">IF(A71="","",0.000000278*IF(G71="",Inputs!$B$17,G71)*F71*I71)</f>
        <v/>
      </c>
      <c r="K71" s="14" t="str">
        <f aca="false">IF(A71="","",SUMIFS($L$4:$L$203,$B$4:$B$203,$A71))</f>
        <v/>
      </c>
      <c r="L71" s="14" t="str">
        <f aca="false">IF(A71="","",(J71+K71)*Inputs!$B$16)</f>
        <v/>
      </c>
      <c r="M71" s="14"/>
      <c r="N71" s="14" t="str">
        <f aca="false">IF(A71="","",IF(M71="",Inputs!$B$7,M71))</f>
        <v/>
      </c>
      <c r="O71" s="9" t="str">
        <f aca="false">IF(A71="","",IF(L71/Inputs!$B$10&lt;=AD71,Inputs!$F$5,IF(L71/Inputs!$B$10&gt;AM71,"OVERSIZE",INDEX(Inputs!$F$5:$F$14,MATCH(L71/Inputs!$B$10,AD71:AM71,1)+1))))</f>
        <v/>
      </c>
      <c r="P71" s="9"/>
      <c r="Q71" s="9" t="str">
        <f aca="false">IF(A71="","",IF(P71="",O71,P71))</f>
        <v/>
      </c>
      <c r="R71" s="14" t="str">
        <f aca="false">IF(OR(Q71="",Q71="OVERSIZE"),"",Q71/1000)</f>
        <v/>
      </c>
      <c r="S71" s="14" t="str">
        <f aca="false">IF(R71="","",(1/Inputs!$B$9)*(PI()*R71^2/4)*((R71/4)^(2/3))*SQRT(N71))</f>
        <v/>
      </c>
      <c r="T71" s="14" t="str">
        <f aca="false">IF(OR(S71="",L71=""),"",L71/(S71*Inputs!$B$10))</f>
        <v/>
      </c>
      <c r="U71" s="14" t="str">
        <f aca="false">IF(OR(R71="",L71=""),"",4*L71/(PI()*R71^2))</f>
        <v/>
      </c>
      <c r="V71" s="14"/>
      <c r="W71" s="14" t="str">
        <f aca="false">IF(A71="","",IF(A71=Inputs!$B$6,Inputs!$B$22,IF(B71="","",IFERROR(INDEX($X$4:$X$203,MATCH(B71,$A$4:$A$203,0))+IF(V71="",Inputs!$B$20,V71),""))))</f>
        <v/>
      </c>
      <c r="X71" s="14" t="str">
        <f aca="false">IF(OR(W71="",N71="",C71=""),"",W71+N71*C71)</f>
        <v/>
      </c>
      <c r="Y71" s="14"/>
      <c r="Z71" s="14"/>
      <c r="AA71" s="14" t="str">
        <f aca="false">IF(OR(Y71="",W71=""),"",Y71-W71)</f>
        <v/>
      </c>
      <c r="AB71" s="14" t="str">
        <f aca="false">IF(OR(Z71="",X71=""),"",Z71-X71)</f>
        <v/>
      </c>
      <c r="AC71" s="19" t="str">
        <f aca="false">IF(A71="","",IF(OR(T71&gt;1,AND(AV71&lt;&gt;"",AV71&lt;Inputs!$B$11),AND(AV71&lt;&gt;"",AV71&gt;Inputs!$B$12),AA71&lt;Inputs!$B$19,AB71&lt;Inputs!$B$19,N71&lt;Inputs!$B$7,N71&gt;Inputs!$B$8),"CHECK","OK"))</f>
        <v/>
      </c>
      <c r="AD71" s="9" t="str">
        <f aca="false">IF(A71="","",(1/Inputs!$B$9)*(PI()*(Inputs!$F$5/1000)^2/4)*((Inputs!$F$5/1000/4)^(2/3))*SQRT(N71))</f>
        <v/>
      </c>
      <c r="AE71" s="9" t="str">
        <f aca="false">IF(A71="","",(1/Inputs!$B$9)*(PI()*(Inputs!$F$6/1000)^2/4)*((Inputs!$F$6/1000/4)^(2/3))*SQRT(N71))</f>
        <v/>
      </c>
      <c r="AF71" s="9" t="str">
        <f aca="false">IF(A71="","",(1/Inputs!$B$9)*(PI()*(Inputs!$F$7/1000)^2/4)*((Inputs!$F$7/1000/4)^(2/3))*SQRT(N71))</f>
        <v/>
      </c>
      <c r="AG71" s="9" t="str">
        <f aca="false">IF(A71="","",(1/Inputs!$B$9)*(PI()*(Inputs!$F$8/1000)^2/4)*((Inputs!$F$8/1000/4)^(2/3))*SQRT(N71))</f>
        <v/>
      </c>
      <c r="AH71" s="9" t="str">
        <f aca="false">IF(A71="","",(1/Inputs!$B$9)*(PI()*(Inputs!$F$9/1000)^2/4)*((Inputs!$F$9/1000/4)^(2/3))*SQRT(N71))</f>
        <v/>
      </c>
      <c r="AI71" s="9" t="str">
        <f aca="false">IF(A71="","",(1/Inputs!$B$9)*(PI()*(Inputs!$F$10/1000)^2/4)*((Inputs!$F$10/1000/4)^(2/3))*SQRT(N71))</f>
        <v/>
      </c>
      <c r="AJ71" s="9" t="str">
        <f aca="false">IF(A71="","",(1/Inputs!$B$9)*(PI()*(Inputs!$F$11/1000)^2/4)*((Inputs!$F$11/1000/4)^(2/3))*SQRT(N71))</f>
        <v/>
      </c>
      <c r="AK71" s="9" t="str">
        <f aca="false">IF(A71="","",(1/Inputs!$B$9)*(PI()*(Inputs!$F$12/1000)^2/4)*((Inputs!$F$12/1000/4)^(2/3))*SQRT(N71))</f>
        <v/>
      </c>
      <c r="AL71" s="9" t="str">
        <f aca="false">IF(A71="","",(1/Inputs!$B$9)*(PI()*(Inputs!$F$13/1000)^2/4)*((Inputs!$F$13/1000/4)^(2/3))*SQRT(N71))</f>
        <v/>
      </c>
      <c r="AM71" s="9" t="str">
        <f aca="false">IF(A71="","",(1/Inputs!$B$9)*(PI()*(Inputs!$F$14/1000)^2/4)*((Inputs!$F$14/1000/4)^(2/3))*SQRT(N71))</f>
        <v/>
      </c>
      <c r="AN71" s="9" t="str">
        <f aca="false">IF(A71="","",COUNTIF($B$4:$B$203,$A71))</f>
        <v/>
      </c>
      <c r="AO71" s="9" t="str">
        <f aca="false">IF(A71="","",IF(AN71=0,"START","CONTINUOUS"))</f>
        <v/>
      </c>
      <c r="AP71" s="13" t="str">
        <f aca="false">IF(A71="","",IF(H71="",Inputs!$B$18,H71))</f>
        <v/>
      </c>
      <c r="AQ71" s="13" t="str">
        <f aca="false">IF(A71="","",IFERROR(maxifs($AS$4:$AS$203,$B$4:$B$203,$A71),""))</f>
        <v/>
      </c>
      <c r="AR71" s="13" t="str">
        <f aca="false">IF(A71="","",IF(OR(C71="",Inputs!$B$23=""),"",C71/(Inputs!$B$23*60)))</f>
        <v/>
      </c>
      <c r="AS71" s="13" t="str">
        <f aca="false">IF(A71="","",IF(AN71=0,AP71+AR71,IF(AQ71="",AP71+AR71,AQ71+AR71)))</f>
        <v/>
      </c>
      <c r="AT71" s="13" t="str">
        <f aca="false">IF(A71="","",U71)</f>
        <v/>
      </c>
      <c r="AU71" s="13" t="str">
        <f aca="false">IF(OR(R71="",N71=""),"",(1/Inputs!$B$9)*((R71/4)^(2/3))*SQRT(N71))</f>
        <v/>
      </c>
      <c r="AV71" s="13" t="str">
        <f aca="false">IF(A71="","",IF(AND(AT71="",AU71="",AX71=""),"",IF(OR(UPPER(TRIM(Inputs!$B$24))="MANNING",UPPER(TRIM(Inputs!$B$24))="M"),AU71,IF(OR(UPPER(TRIM(Inputs!$B$24))="PARTIAL",UPPER(TRIM(Inputs!$B$24))="P"),AX71,IF(OR(UPPER(TRIM(Inputs!$B$24))="MAX",UPPER(TRIM(Inputs!$B$24))="X"),MAX(IF(AT71="",0,AT71),IF(AU71="",0,AU71),IF(AX71="",0,AX71)),AT71)))))</f>
        <v/>
      </c>
      <c r="AW71" s="13" t="str">
        <f aca="false">IF(AY71="","",CE71)</f>
        <v/>
      </c>
      <c r="AX71" s="13" t="str">
        <f aca="false">IF(OR(AY71="",AW71="",R71="",R71&lt;=0,AW71&lt;=0),"",AY71/((R71^2/8)*(2*ACOS(1-2*AW71/R71)-SIN(2*ACOS(1-2*AW71/R71)))))</f>
        <v/>
      </c>
      <c r="AY71" s="9" t="str">
        <f aca="false">IF(OR(L71="",AZ71=""),"",MIN(L71,AZ71))</f>
        <v/>
      </c>
      <c r="AZ71" s="9" t="str">
        <f aca="false">IF(OR(L71="",R71="",N71=""),"",IF(OR(R71="",N71="",(0.94*R71)="",R71&lt;=0,(0.94*R71)&lt;=0),"",(1/Inputs!$B$9)*((R71^2/8)*((2*ACOS(1-2*(0.94*R71)/R71))-SIN((2*ACOS(1-2*(0.94*R71)/R71)))))*((((R71^2/8)*((2*ACOS(1-2*(0.94*R71)/R71))-SIN((2*ACOS(1-2*(0.94*R71)/R71)))))/((R71/2)*((2*ACOS(1-2*(0.94*R71)/R71)))))^(2/3))*SQRT(N71)))</f>
        <v/>
      </c>
      <c r="BA71" s="9" t="str">
        <f aca="false">IF(AY71="","",0.001*R71)</f>
        <v/>
      </c>
      <c r="BB71" s="9" t="str">
        <f aca="false">IF(AY71="","",0.94*R71)</f>
        <v/>
      </c>
      <c r="BC71" s="9" t="str">
        <f aca="false">IF(AY71="","",(BA71+BB71)/2)</f>
        <v/>
      </c>
      <c r="BD71" s="9" t="str">
        <f aca="false">IF(OR(R71="",N71="",BC71="",R71&lt;=0,BC71&lt;=0),"",(1/Inputs!$B$9)*((R71^2/8)*((2*ACOS(1-2*BC71/R71))-SIN((2*ACOS(1-2*BC71/R71)))))*((((R71^2/8)*((2*ACOS(1-2*BC71/R71))-SIN((2*ACOS(1-2*BC71/R71)))))/((R71/2)*((2*ACOS(1-2*BC71/R71)))))^(2/3))*SQRT(N71))</f>
        <v/>
      </c>
      <c r="BE71" s="9" t="str">
        <f aca="false">IF(AY71="","",IF(BD71&lt;AY71,BC71,BA71))</f>
        <v/>
      </c>
      <c r="BF71" s="9" t="str">
        <f aca="false">IF(AY71="","",IF(BD71&lt;AY71,BB71,BC71))</f>
        <v/>
      </c>
      <c r="BG71" s="9" t="str">
        <f aca="false">IF(AY71="","",(BE71+BF71)/2)</f>
        <v/>
      </c>
      <c r="BH71" s="9" t="str">
        <f aca="false">IF(OR(R71="",N71="",BG71="",R71&lt;=0,BG71&lt;=0),"",(1/Inputs!$B$9)*((R71^2/8)*((2*ACOS(1-2*BG71/R71))-SIN((2*ACOS(1-2*BG71/R71)))))*((((R71^2/8)*((2*ACOS(1-2*BG71/R71))-SIN((2*ACOS(1-2*BG71/R71)))))/((R71/2)*((2*ACOS(1-2*BG71/R71)))))^(2/3))*SQRT(N71))</f>
        <v/>
      </c>
      <c r="BI71" s="9" t="str">
        <f aca="false">IF(AY71="","",IF(BH71&lt;AY71,BG71,BE71))</f>
        <v/>
      </c>
      <c r="BJ71" s="9" t="str">
        <f aca="false">IF(AY71="","",IF(BH71&lt;AY71,BF71,BG71))</f>
        <v/>
      </c>
      <c r="BK71" s="9" t="str">
        <f aca="false">IF(AY71="","",(BI71+BJ71)/2)</f>
        <v/>
      </c>
      <c r="BL71" s="9" t="str">
        <f aca="false">IF(OR(R71="",N71="",BK71="",R71&lt;=0,BK71&lt;=0),"",(1/Inputs!$B$9)*((R71^2/8)*((2*ACOS(1-2*BK71/R71))-SIN((2*ACOS(1-2*BK71/R71)))))*((((R71^2/8)*((2*ACOS(1-2*BK71/R71))-SIN((2*ACOS(1-2*BK71/R71)))))/((R71/2)*((2*ACOS(1-2*BK71/R71)))))^(2/3))*SQRT(N71))</f>
        <v/>
      </c>
      <c r="BM71" s="9" t="str">
        <f aca="false">IF(AY71="","",IF(BL71&lt;AY71,BK71,BI71))</f>
        <v/>
      </c>
      <c r="BN71" s="9" t="str">
        <f aca="false">IF(AY71="","",IF(BL71&lt;AY71,BJ71,BK71))</f>
        <v/>
      </c>
      <c r="BO71" s="9" t="str">
        <f aca="false">IF(AY71="","",(BM71+BN71)/2)</f>
        <v/>
      </c>
      <c r="BP71" s="9" t="str">
        <f aca="false">IF(OR(R71="",N71="",BO71="",R71&lt;=0,BO71&lt;=0),"",(1/Inputs!$B$9)*((R71^2/8)*((2*ACOS(1-2*BO71/R71))-SIN((2*ACOS(1-2*BO71/R71)))))*((((R71^2/8)*((2*ACOS(1-2*BO71/R71))-SIN((2*ACOS(1-2*BO71/R71)))))/((R71/2)*((2*ACOS(1-2*BO71/R71)))))^(2/3))*SQRT(N71))</f>
        <v/>
      </c>
      <c r="BQ71" s="9" t="str">
        <f aca="false">IF(AY71="","",IF(BP71&lt;AY71,BO71,BM71))</f>
        <v/>
      </c>
      <c r="BR71" s="9" t="str">
        <f aca="false">IF(AY71="","",IF(BP71&lt;AY71,BN71,BO71))</f>
        <v/>
      </c>
      <c r="BS71" s="9" t="str">
        <f aca="false">IF(AY71="","",(BQ71+BR71)/2)</f>
        <v/>
      </c>
      <c r="BT71" s="9" t="str">
        <f aca="false">IF(OR(R71="",N71="",BS71="",R71&lt;=0,BS71&lt;=0),"",(1/Inputs!$B$9)*((R71^2/8)*((2*ACOS(1-2*BS71/R71))-SIN((2*ACOS(1-2*BS71/R71)))))*((((R71^2/8)*((2*ACOS(1-2*BS71/R71))-SIN((2*ACOS(1-2*BS71/R71)))))/((R71/2)*((2*ACOS(1-2*BS71/R71)))))^(2/3))*SQRT(N71))</f>
        <v/>
      </c>
      <c r="BU71" s="9" t="str">
        <f aca="false">IF(AY71="","",IF(BT71&lt;AY71,BS71,BQ71))</f>
        <v/>
      </c>
      <c r="BV71" s="9" t="str">
        <f aca="false">IF(AY71="","",IF(BT71&lt;AY71,BR71,BS71))</f>
        <v/>
      </c>
      <c r="BW71" s="9" t="str">
        <f aca="false">IF(AY71="","",(BU71+BV71)/2)</f>
        <v/>
      </c>
      <c r="BX71" s="9" t="str">
        <f aca="false">IF(OR(R71="",N71="",BW71="",R71&lt;=0,BW71&lt;=0),"",(1/Inputs!$B$9)*((R71^2/8)*((2*ACOS(1-2*BW71/R71))-SIN((2*ACOS(1-2*BW71/R71)))))*((((R71^2/8)*((2*ACOS(1-2*BW71/R71))-SIN((2*ACOS(1-2*BW71/R71)))))/((R71/2)*((2*ACOS(1-2*BW71/R71)))))^(2/3))*SQRT(N71))</f>
        <v/>
      </c>
      <c r="BY71" s="9" t="str">
        <f aca="false">IF(AY71="","",IF(BX71&lt;AY71,BW71,BU71))</f>
        <v/>
      </c>
      <c r="BZ71" s="9" t="str">
        <f aca="false">IF(AY71="","",IF(BX71&lt;AY71,BV71,BW71))</f>
        <v/>
      </c>
      <c r="CA71" s="9" t="str">
        <f aca="false">IF(AY71="","",(BY71+BZ71)/2)</f>
        <v/>
      </c>
      <c r="CB71" s="9" t="str">
        <f aca="false">IF(OR(R71="",N71="",CA71="",R71&lt;=0,CA71&lt;=0),"",(1/Inputs!$B$9)*((R71^2/8)*((2*ACOS(1-2*CA71/R71))-SIN((2*ACOS(1-2*CA71/R71)))))*((((R71^2/8)*((2*ACOS(1-2*CA71/R71))-SIN((2*ACOS(1-2*CA71/R71)))))/((R71/2)*((2*ACOS(1-2*CA71/R71)))))^(2/3))*SQRT(N71))</f>
        <v/>
      </c>
      <c r="CC71" s="9" t="str">
        <f aca="false">IF(AY71="","",IF(CB71&lt;AY71,CA71,BY71))</f>
        <v/>
      </c>
      <c r="CD71" s="9" t="str">
        <f aca="false">IF(AY71="","",IF(CB71&lt;AY71,BZ71,CA71))</f>
        <v/>
      </c>
      <c r="CE71" s="9" t="str">
        <f aca="false">IF(AY71="","",(CC71+CD71)/2)</f>
        <v/>
      </c>
    </row>
    <row r="72" customFormat="false" ht="15" hidden="false" customHeight="false" outlineLevel="0" collapsed="false">
      <c r="A72" s="9"/>
      <c r="B72" s="9"/>
      <c r="C72" s="14"/>
      <c r="D72" s="14"/>
      <c r="E72" s="14" t="n">
        <f aca="false">SUMIFS(CB_Tributaires!$C:$C,CB_Tributaires!$B:$B,$A72)</f>
        <v>0</v>
      </c>
      <c r="F72" s="14" t="n">
        <f aca="false">IF(D72="",E72,D72)</f>
        <v>0</v>
      </c>
      <c r="G72" s="9"/>
      <c r="H72" s="14"/>
      <c r="I72" s="14" t="str">
        <f aca="false">IF(A72="","",Inputs!$B$13/((IF(AS72="",Inputs!$B$18,AS72)+Inputs!$B$14)^Inputs!$B$15))</f>
        <v/>
      </c>
      <c r="J72" s="14" t="str">
        <f aca="false">IF(A72="","",0.000000278*IF(G72="",Inputs!$B$17,G72)*F72*I72)</f>
        <v/>
      </c>
      <c r="K72" s="14" t="str">
        <f aca="false">IF(A72="","",SUMIFS($L$4:$L$203,$B$4:$B$203,$A72))</f>
        <v/>
      </c>
      <c r="L72" s="14" t="str">
        <f aca="false">IF(A72="","",(J72+K72)*Inputs!$B$16)</f>
        <v/>
      </c>
      <c r="M72" s="14"/>
      <c r="N72" s="14" t="str">
        <f aca="false">IF(A72="","",IF(M72="",Inputs!$B$7,M72))</f>
        <v/>
      </c>
      <c r="O72" s="9" t="str">
        <f aca="false">IF(A72="","",IF(L72/Inputs!$B$10&lt;=AD72,Inputs!$F$5,IF(L72/Inputs!$B$10&gt;AM72,"OVERSIZE",INDEX(Inputs!$F$5:$F$14,MATCH(L72/Inputs!$B$10,AD72:AM72,1)+1))))</f>
        <v/>
      </c>
      <c r="P72" s="9"/>
      <c r="Q72" s="9" t="str">
        <f aca="false">IF(A72="","",IF(P72="",O72,P72))</f>
        <v/>
      </c>
      <c r="R72" s="14" t="str">
        <f aca="false">IF(OR(Q72="",Q72="OVERSIZE"),"",Q72/1000)</f>
        <v/>
      </c>
      <c r="S72" s="14" t="str">
        <f aca="false">IF(R72="","",(1/Inputs!$B$9)*(PI()*R72^2/4)*((R72/4)^(2/3))*SQRT(N72))</f>
        <v/>
      </c>
      <c r="T72" s="14" t="str">
        <f aca="false">IF(OR(S72="",L72=""),"",L72/(S72*Inputs!$B$10))</f>
        <v/>
      </c>
      <c r="U72" s="14" t="str">
        <f aca="false">IF(OR(R72="",L72=""),"",4*L72/(PI()*R72^2))</f>
        <v/>
      </c>
      <c r="V72" s="14"/>
      <c r="W72" s="14" t="str">
        <f aca="false">IF(A72="","",IF(A72=Inputs!$B$6,Inputs!$B$22,IF(B72="","",IFERROR(INDEX($X$4:$X$203,MATCH(B72,$A$4:$A$203,0))+IF(V72="",Inputs!$B$20,V72),""))))</f>
        <v/>
      </c>
      <c r="X72" s="14" t="str">
        <f aca="false">IF(OR(W72="",N72="",C72=""),"",W72+N72*C72)</f>
        <v/>
      </c>
      <c r="Y72" s="14"/>
      <c r="Z72" s="14"/>
      <c r="AA72" s="14" t="str">
        <f aca="false">IF(OR(Y72="",W72=""),"",Y72-W72)</f>
        <v/>
      </c>
      <c r="AB72" s="14" t="str">
        <f aca="false">IF(OR(Z72="",X72=""),"",Z72-X72)</f>
        <v/>
      </c>
      <c r="AC72" s="19" t="str">
        <f aca="false">IF(A72="","",IF(OR(T72&gt;1,AND(AV72&lt;&gt;"",AV72&lt;Inputs!$B$11),AND(AV72&lt;&gt;"",AV72&gt;Inputs!$B$12),AA72&lt;Inputs!$B$19,AB72&lt;Inputs!$B$19,N72&lt;Inputs!$B$7,N72&gt;Inputs!$B$8),"CHECK","OK"))</f>
        <v/>
      </c>
      <c r="AD72" s="9" t="str">
        <f aca="false">IF(A72="","",(1/Inputs!$B$9)*(PI()*(Inputs!$F$5/1000)^2/4)*((Inputs!$F$5/1000/4)^(2/3))*SQRT(N72))</f>
        <v/>
      </c>
      <c r="AE72" s="9" t="str">
        <f aca="false">IF(A72="","",(1/Inputs!$B$9)*(PI()*(Inputs!$F$6/1000)^2/4)*((Inputs!$F$6/1000/4)^(2/3))*SQRT(N72))</f>
        <v/>
      </c>
      <c r="AF72" s="9" t="str">
        <f aca="false">IF(A72="","",(1/Inputs!$B$9)*(PI()*(Inputs!$F$7/1000)^2/4)*((Inputs!$F$7/1000/4)^(2/3))*SQRT(N72))</f>
        <v/>
      </c>
      <c r="AG72" s="9" t="str">
        <f aca="false">IF(A72="","",(1/Inputs!$B$9)*(PI()*(Inputs!$F$8/1000)^2/4)*((Inputs!$F$8/1000/4)^(2/3))*SQRT(N72))</f>
        <v/>
      </c>
      <c r="AH72" s="9" t="str">
        <f aca="false">IF(A72="","",(1/Inputs!$B$9)*(PI()*(Inputs!$F$9/1000)^2/4)*((Inputs!$F$9/1000/4)^(2/3))*SQRT(N72))</f>
        <v/>
      </c>
      <c r="AI72" s="9" t="str">
        <f aca="false">IF(A72="","",(1/Inputs!$B$9)*(PI()*(Inputs!$F$10/1000)^2/4)*((Inputs!$F$10/1000/4)^(2/3))*SQRT(N72))</f>
        <v/>
      </c>
      <c r="AJ72" s="9" t="str">
        <f aca="false">IF(A72="","",(1/Inputs!$B$9)*(PI()*(Inputs!$F$11/1000)^2/4)*((Inputs!$F$11/1000/4)^(2/3))*SQRT(N72))</f>
        <v/>
      </c>
      <c r="AK72" s="9" t="str">
        <f aca="false">IF(A72="","",(1/Inputs!$B$9)*(PI()*(Inputs!$F$12/1000)^2/4)*((Inputs!$F$12/1000/4)^(2/3))*SQRT(N72))</f>
        <v/>
      </c>
      <c r="AL72" s="9" t="str">
        <f aca="false">IF(A72="","",(1/Inputs!$B$9)*(PI()*(Inputs!$F$13/1000)^2/4)*((Inputs!$F$13/1000/4)^(2/3))*SQRT(N72))</f>
        <v/>
      </c>
      <c r="AM72" s="9" t="str">
        <f aca="false">IF(A72="","",(1/Inputs!$B$9)*(PI()*(Inputs!$F$14/1000)^2/4)*((Inputs!$F$14/1000/4)^(2/3))*SQRT(N72))</f>
        <v/>
      </c>
      <c r="AN72" s="9" t="str">
        <f aca="false">IF(A72="","",COUNTIF($B$4:$B$203,$A72))</f>
        <v/>
      </c>
      <c r="AO72" s="9" t="str">
        <f aca="false">IF(A72="","",IF(AN72=0,"START","CONTINUOUS"))</f>
        <v/>
      </c>
      <c r="AP72" s="13" t="str">
        <f aca="false">IF(A72="","",IF(H72="",Inputs!$B$18,H72))</f>
        <v/>
      </c>
      <c r="AQ72" s="13" t="str">
        <f aca="false">IF(A72="","",IFERROR(maxifs($AS$4:$AS$203,$B$4:$B$203,$A72),""))</f>
        <v/>
      </c>
      <c r="AR72" s="13" t="str">
        <f aca="false">IF(A72="","",IF(OR(C72="",Inputs!$B$23=""),"",C72/(Inputs!$B$23*60)))</f>
        <v/>
      </c>
      <c r="AS72" s="13" t="str">
        <f aca="false">IF(A72="","",IF(AN72=0,AP72+AR72,IF(AQ72="",AP72+AR72,AQ72+AR72)))</f>
        <v/>
      </c>
      <c r="AT72" s="13" t="str">
        <f aca="false">IF(A72="","",U72)</f>
        <v/>
      </c>
      <c r="AU72" s="13" t="str">
        <f aca="false">IF(OR(R72="",N72=""),"",(1/Inputs!$B$9)*((R72/4)^(2/3))*SQRT(N72))</f>
        <v/>
      </c>
      <c r="AV72" s="13" t="str">
        <f aca="false">IF(A72="","",IF(AND(AT72="",AU72="",AX72=""),"",IF(OR(UPPER(TRIM(Inputs!$B$24))="MANNING",UPPER(TRIM(Inputs!$B$24))="M"),AU72,IF(OR(UPPER(TRIM(Inputs!$B$24))="PARTIAL",UPPER(TRIM(Inputs!$B$24))="P"),AX72,IF(OR(UPPER(TRIM(Inputs!$B$24))="MAX",UPPER(TRIM(Inputs!$B$24))="X"),MAX(IF(AT72="",0,AT72),IF(AU72="",0,AU72),IF(AX72="",0,AX72)),AT72)))))</f>
        <v/>
      </c>
      <c r="AW72" s="13" t="str">
        <f aca="false">IF(AY72="","",CE72)</f>
        <v/>
      </c>
      <c r="AX72" s="13" t="str">
        <f aca="false">IF(OR(AY72="",AW72="",R72="",R72&lt;=0,AW72&lt;=0),"",AY72/((R72^2/8)*(2*ACOS(1-2*AW72/R72)-SIN(2*ACOS(1-2*AW72/R72)))))</f>
        <v/>
      </c>
      <c r="AY72" s="9" t="str">
        <f aca="false">IF(OR(L72="",AZ72=""),"",MIN(L72,AZ72))</f>
        <v/>
      </c>
      <c r="AZ72" s="9" t="str">
        <f aca="false">IF(OR(L72="",R72="",N72=""),"",IF(OR(R72="",N72="",(0.94*R72)="",R72&lt;=0,(0.94*R72)&lt;=0),"",(1/Inputs!$B$9)*((R72^2/8)*((2*ACOS(1-2*(0.94*R72)/R72))-SIN((2*ACOS(1-2*(0.94*R72)/R72)))))*((((R72^2/8)*((2*ACOS(1-2*(0.94*R72)/R72))-SIN((2*ACOS(1-2*(0.94*R72)/R72)))))/((R72/2)*((2*ACOS(1-2*(0.94*R72)/R72)))))^(2/3))*SQRT(N72)))</f>
        <v/>
      </c>
      <c r="BA72" s="9" t="str">
        <f aca="false">IF(AY72="","",0.001*R72)</f>
        <v/>
      </c>
      <c r="BB72" s="9" t="str">
        <f aca="false">IF(AY72="","",0.94*R72)</f>
        <v/>
      </c>
      <c r="BC72" s="9" t="str">
        <f aca="false">IF(AY72="","",(BA72+BB72)/2)</f>
        <v/>
      </c>
      <c r="BD72" s="9" t="str">
        <f aca="false">IF(OR(R72="",N72="",BC72="",R72&lt;=0,BC72&lt;=0),"",(1/Inputs!$B$9)*((R72^2/8)*((2*ACOS(1-2*BC72/R72))-SIN((2*ACOS(1-2*BC72/R72)))))*((((R72^2/8)*((2*ACOS(1-2*BC72/R72))-SIN((2*ACOS(1-2*BC72/R72)))))/((R72/2)*((2*ACOS(1-2*BC72/R72)))))^(2/3))*SQRT(N72))</f>
        <v/>
      </c>
      <c r="BE72" s="9" t="str">
        <f aca="false">IF(AY72="","",IF(BD72&lt;AY72,BC72,BA72))</f>
        <v/>
      </c>
      <c r="BF72" s="9" t="str">
        <f aca="false">IF(AY72="","",IF(BD72&lt;AY72,BB72,BC72))</f>
        <v/>
      </c>
      <c r="BG72" s="9" t="str">
        <f aca="false">IF(AY72="","",(BE72+BF72)/2)</f>
        <v/>
      </c>
      <c r="BH72" s="9" t="str">
        <f aca="false">IF(OR(R72="",N72="",BG72="",R72&lt;=0,BG72&lt;=0),"",(1/Inputs!$B$9)*((R72^2/8)*((2*ACOS(1-2*BG72/R72))-SIN((2*ACOS(1-2*BG72/R72)))))*((((R72^2/8)*((2*ACOS(1-2*BG72/R72))-SIN((2*ACOS(1-2*BG72/R72)))))/((R72/2)*((2*ACOS(1-2*BG72/R72)))))^(2/3))*SQRT(N72))</f>
        <v/>
      </c>
      <c r="BI72" s="9" t="str">
        <f aca="false">IF(AY72="","",IF(BH72&lt;AY72,BG72,BE72))</f>
        <v/>
      </c>
      <c r="BJ72" s="9" t="str">
        <f aca="false">IF(AY72="","",IF(BH72&lt;AY72,BF72,BG72))</f>
        <v/>
      </c>
      <c r="BK72" s="9" t="str">
        <f aca="false">IF(AY72="","",(BI72+BJ72)/2)</f>
        <v/>
      </c>
      <c r="BL72" s="9" t="str">
        <f aca="false">IF(OR(R72="",N72="",BK72="",R72&lt;=0,BK72&lt;=0),"",(1/Inputs!$B$9)*((R72^2/8)*((2*ACOS(1-2*BK72/R72))-SIN((2*ACOS(1-2*BK72/R72)))))*((((R72^2/8)*((2*ACOS(1-2*BK72/R72))-SIN((2*ACOS(1-2*BK72/R72)))))/((R72/2)*((2*ACOS(1-2*BK72/R72)))))^(2/3))*SQRT(N72))</f>
        <v/>
      </c>
      <c r="BM72" s="9" t="str">
        <f aca="false">IF(AY72="","",IF(BL72&lt;AY72,BK72,BI72))</f>
        <v/>
      </c>
      <c r="BN72" s="9" t="str">
        <f aca="false">IF(AY72="","",IF(BL72&lt;AY72,BJ72,BK72))</f>
        <v/>
      </c>
      <c r="BO72" s="9" t="str">
        <f aca="false">IF(AY72="","",(BM72+BN72)/2)</f>
        <v/>
      </c>
      <c r="BP72" s="9" t="str">
        <f aca="false">IF(OR(R72="",N72="",BO72="",R72&lt;=0,BO72&lt;=0),"",(1/Inputs!$B$9)*((R72^2/8)*((2*ACOS(1-2*BO72/R72))-SIN((2*ACOS(1-2*BO72/R72)))))*((((R72^2/8)*((2*ACOS(1-2*BO72/R72))-SIN((2*ACOS(1-2*BO72/R72)))))/((R72/2)*((2*ACOS(1-2*BO72/R72)))))^(2/3))*SQRT(N72))</f>
        <v/>
      </c>
      <c r="BQ72" s="9" t="str">
        <f aca="false">IF(AY72="","",IF(BP72&lt;AY72,BO72,BM72))</f>
        <v/>
      </c>
      <c r="BR72" s="9" t="str">
        <f aca="false">IF(AY72="","",IF(BP72&lt;AY72,BN72,BO72))</f>
        <v/>
      </c>
      <c r="BS72" s="9" t="str">
        <f aca="false">IF(AY72="","",(BQ72+BR72)/2)</f>
        <v/>
      </c>
      <c r="BT72" s="9" t="str">
        <f aca="false">IF(OR(R72="",N72="",BS72="",R72&lt;=0,BS72&lt;=0),"",(1/Inputs!$B$9)*((R72^2/8)*((2*ACOS(1-2*BS72/R72))-SIN((2*ACOS(1-2*BS72/R72)))))*((((R72^2/8)*((2*ACOS(1-2*BS72/R72))-SIN((2*ACOS(1-2*BS72/R72)))))/((R72/2)*((2*ACOS(1-2*BS72/R72)))))^(2/3))*SQRT(N72))</f>
        <v/>
      </c>
      <c r="BU72" s="9" t="str">
        <f aca="false">IF(AY72="","",IF(BT72&lt;AY72,BS72,BQ72))</f>
        <v/>
      </c>
      <c r="BV72" s="9" t="str">
        <f aca="false">IF(AY72="","",IF(BT72&lt;AY72,BR72,BS72))</f>
        <v/>
      </c>
      <c r="BW72" s="9" t="str">
        <f aca="false">IF(AY72="","",(BU72+BV72)/2)</f>
        <v/>
      </c>
      <c r="BX72" s="9" t="str">
        <f aca="false">IF(OR(R72="",N72="",BW72="",R72&lt;=0,BW72&lt;=0),"",(1/Inputs!$B$9)*((R72^2/8)*((2*ACOS(1-2*BW72/R72))-SIN((2*ACOS(1-2*BW72/R72)))))*((((R72^2/8)*((2*ACOS(1-2*BW72/R72))-SIN((2*ACOS(1-2*BW72/R72)))))/((R72/2)*((2*ACOS(1-2*BW72/R72)))))^(2/3))*SQRT(N72))</f>
        <v/>
      </c>
      <c r="BY72" s="9" t="str">
        <f aca="false">IF(AY72="","",IF(BX72&lt;AY72,BW72,BU72))</f>
        <v/>
      </c>
      <c r="BZ72" s="9" t="str">
        <f aca="false">IF(AY72="","",IF(BX72&lt;AY72,BV72,BW72))</f>
        <v/>
      </c>
      <c r="CA72" s="9" t="str">
        <f aca="false">IF(AY72="","",(BY72+BZ72)/2)</f>
        <v/>
      </c>
      <c r="CB72" s="9" t="str">
        <f aca="false">IF(OR(R72="",N72="",CA72="",R72&lt;=0,CA72&lt;=0),"",(1/Inputs!$B$9)*((R72^2/8)*((2*ACOS(1-2*CA72/R72))-SIN((2*ACOS(1-2*CA72/R72)))))*((((R72^2/8)*((2*ACOS(1-2*CA72/R72))-SIN((2*ACOS(1-2*CA72/R72)))))/((R72/2)*((2*ACOS(1-2*CA72/R72)))))^(2/3))*SQRT(N72))</f>
        <v/>
      </c>
      <c r="CC72" s="9" t="str">
        <f aca="false">IF(AY72="","",IF(CB72&lt;AY72,CA72,BY72))</f>
        <v/>
      </c>
      <c r="CD72" s="9" t="str">
        <f aca="false">IF(AY72="","",IF(CB72&lt;AY72,BZ72,CA72))</f>
        <v/>
      </c>
      <c r="CE72" s="9" t="str">
        <f aca="false">IF(AY72="","",(CC72+CD72)/2)</f>
        <v/>
      </c>
    </row>
    <row r="73" customFormat="false" ht="15" hidden="false" customHeight="false" outlineLevel="0" collapsed="false">
      <c r="A73" s="9"/>
      <c r="B73" s="9"/>
      <c r="C73" s="14"/>
      <c r="D73" s="14"/>
      <c r="E73" s="14" t="n">
        <f aca="false">SUMIFS(CB_Tributaires!$C:$C,CB_Tributaires!$B:$B,$A73)</f>
        <v>0</v>
      </c>
      <c r="F73" s="14" t="n">
        <f aca="false">IF(D73="",E73,D73)</f>
        <v>0</v>
      </c>
      <c r="G73" s="9"/>
      <c r="H73" s="14"/>
      <c r="I73" s="14" t="str">
        <f aca="false">IF(A73="","",Inputs!$B$13/((IF(AS73="",Inputs!$B$18,AS73)+Inputs!$B$14)^Inputs!$B$15))</f>
        <v/>
      </c>
      <c r="J73" s="14" t="str">
        <f aca="false">IF(A73="","",0.000000278*IF(G73="",Inputs!$B$17,G73)*F73*I73)</f>
        <v/>
      </c>
      <c r="K73" s="14" t="str">
        <f aca="false">IF(A73="","",SUMIFS($L$4:$L$203,$B$4:$B$203,$A73))</f>
        <v/>
      </c>
      <c r="L73" s="14" t="str">
        <f aca="false">IF(A73="","",(J73+K73)*Inputs!$B$16)</f>
        <v/>
      </c>
      <c r="M73" s="14"/>
      <c r="N73" s="14" t="str">
        <f aca="false">IF(A73="","",IF(M73="",Inputs!$B$7,M73))</f>
        <v/>
      </c>
      <c r="O73" s="9" t="str">
        <f aca="false">IF(A73="","",IF(L73/Inputs!$B$10&lt;=AD73,Inputs!$F$5,IF(L73/Inputs!$B$10&gt;AM73,"OVERSIZE",INDEX(Inputs!$F$5:$F$14,MATCH(L73/Inputs!$B$10,AD73:AM73,1)+1))))</f>
        <v/>
      </c>
      <c r="P73" s="9"/>
      <c r="Q73" s="9" t="str">
        <f aca="false">IF(A73="","",IF(P73="",O73,P73))</f>
        <v/>
      </c>
      <c r="R73" s="14" t="str">
        <f aca="false">IF(OR(Q73="",Q73="OVERSIZE"),"",Q73/1000)</f>
        <v/>
      </c>
      <c r="S73" s="14" t="str">
        <f aca="false">IF(R73="","",(1/Inputs!$B$9)*(PI()*R73^2/4)*((R73/4)^(2/3))*SQRT(N73))</f>
        <v/>
      </c>
      <c r="T73" s="14" t="str">
        <f aca="false">IF(OR(S73="",L73=""),"",L73/(S73*Inputs!$B$10))</f>
        <v/>
      </c>
      <c r="U73" s="14" t="str">
        <f aca="false">IF(OR(R73="",L73=""),"",4*L73/(PI()*R73^2))</f>
        <v/>
      </c>
      <c r="V73" s="14"/>
      <c r="W73" s="14" t="str">
        <f aca="false">IF(A73="","",IF(A73=Inputs!$B$6,Inputs!$B$22,IF(B73="","",IFERROR(INDEX($X$4:$X$203,MATCH(B73,$A$4:$A$203,0))+IF(V73="",Inputs!$B$20,V73),""))))</f>
        <v/>
      </c>
      <c r="X73" s="14" t="str">
        <f aca="false">IF(OR(W73="",N73="",C73=""),"",W73+N73*C73)</f>
        <v/>
      </c>
      <c r="Y73" s="14"/>
      <c r="Z73" s="14"/>
      <c r="AA73" s="14" t="str">
        <f aca="false">IF(OR(Y73="",W73=""),"",Y73-W73)</f>
        <v/>
      </c>
      <c r="AB73" s="14" t="str">
        <f aca="false">IF(OR(Z73="",X73=""),"",Z73-X73)</f>
        <v/>
      </c>
      <c r="AC73" s="19" t="str">
        <f aca="false">IF(A73="","",IF(OR(T73&gt;1,AND(AV73&lt;&gt;"",AV73&lt;Inputs!$B$11),AND(AV73&lt;&gt;"",AV73&gt;Inputs!$B$12),AA73&lt;Inputs!$B$19,AB73&lt;Inputs!$B$19,N73&lt;Inputs!$B$7,N73&gt;Inputs!$B$8),"CHECK","OK"))</f>
        <v/>
      </c>
      <c r="AD73" s="9" t="str">
        <f aca="false">IF(A73="","",(1/Inputs!$B$9)*(PI()*(Inputs!$F$5/1000)^2/4)*((Inputs!$F$5/1000/4)^(2/3))*SQRT(N73))</f>
        <v/>
      </c>
      <c r="AE73" s="9" t="str">
        <f aca="false">IF(A73="","",(1/Inputs!$B$9)*(PI()*(Inputs!$F$6/1000)^2/4)*((Inputs!$F$6/1000/4)^(2/3))*SQRT(N73))</f>
        <v/>
      </c>
      <c r="AF73" s="9" t="str">
        <f aca="false">IF(A73="","",(1/Inputs!$B$9)*(PI()*(Inputs!$F$7/1000)^2/4)*((Inputs!$F$7/1000/4)^(2/3))*SQRT(N73))</f>
        <v/>
      </c>
      <c r="AG73" s="9" t="str">
        <f aca="false">IF(A73="","",(1/Inputs!$B$9)*(PI()*(Inputs!$F$8/1000)^2/4)*((Inputs!$F$8/1000/4)^(2/3))*SQRT(N73))</f>
        <v/>
      </c>
      <c r="AH73" s="9" t="str">
        <f aca="false">IF(A73="","",(1/Inputs!$B$9)*(PI()*(Inputs!$F$9/1000)^2/4)*((Inputs!$F$9/1000/4)^(2/3))*SQRT(N73))</f>
        <v/>
      </c>
      <c r="AI73" s="9" t="str">
        <f aca="false">IF(A73="","",(1/Inputs!$B$9)*(PI()*(Inputs!$F$10/1000)^2/4)*((Inputs!$F$10/1000/4)^(2/3))*SQRT(N73))</f>
        <v/>
      </c>
      <c r="AJ73" s="9" t="str">
        <f aca="false">IF(A73="","",(1/Inputs!$B$9)*(PI()*(Inputs!$F$11/1000)^2/4)*((Inputs!$F$11/1000/4)^(2/3))*SQRT(N73))</f>
        <v/>
      </c>
      <c r="AK73" s="9" t="str">
        <f aca="false">IF(A73="","",(1/Inputs!$B$9)*(PI()*(Inputs!$F$12/1000)^2/4)*((Inputs!$F$12/1000/4)^(2/3))*SQRT(N73))</f>
        <v/>
      </c>
      <c r="AL73" s="9" t="str">
        <f aca="false">IF(A73="","",(1/Inputs!$B$9)*(PI()*(Inputs!$F$13/1000)^2/4)*((Inputs!$F$13/1000/4)^(2/3))*SQRT(N73))</f>
        <v/>
      </c>
      <c r="AM73" s="9" t="str">
        <f aca="false">IF(A73="","",(1/Inputs!$B$9)*(PI()*(Inputs!$F$14/1000)^2/4)*((Inputs!$F$14/1000/4)^(2/3))*SQRT(N73))</f>
        <v/>
      </c>
      <c r="AN73" s="9" t="str">
        <f aca="false">IF(A73="","",COUNTIF($B$4:$B$203,$A73))</f>
        <v/>
      </c>
      <c r="AO73" s="9" t="str">
        <f aca="false">IF(A73="","",IF(AN73=0,"START","CONTINUOUS"))</f>
        <v/>
      </c>
      <c r="AP73" s="13" t="str">
        <f aca="false">IF(A73="","",IF(H73="",Inputs!$B$18,H73))</f>
        <v/>
      </c>
      <c r="AQ73" s="13" t="str">
        <f aca="false">IF(A73="","",IFERROR(maxifs($AS$4:$AS$203,$B$4:$B$203,$A73),""))</f>
        <v/>
      </c>
      <c r="AR73" s="13" t="str">
        <f aca="false">IF(A73="","",IF(OR(C73="",Inputs!$B$23=""),"",C73/(Inputs!$B$23*60)))</f>
        <v/>
      </c>
      <c r="AS73" s="13" t="str">
        <f aca="false">IF(A73="","",IF(AN73=0,AP73+AR73,IF(AQ73="",AP73+AR73,AQ73+AR73)))</f>
        <v/>
      </c>
      <c r="AT73" s="13" t="str">
        <f aca="false">IF(A73="","",U73)</f>
        <v/>
      </c>
      <c r="AU73" s="13" t="str">
        <f aca="false">IF(OR(R73="",N73=""),"",(1/Inputs!$B$9)*((R73/4)^(2/3))*SQRT(N73))</f>
        <v/>
      </c>
      <c r="AV73" s="13" t="str">
        <f aca="false">IF(A73="","",IF(AND(AT73="",AU73="",AX73=""),"",IF(OR(UPPER(TRIM(Inputs!$B$24))="MANNING",UPPER(TRIM(Inputs!$B$24))="M"),AU73,IF(OR(UPPER(TRIM(Inputs!$B$24))="PARTIAL",UPPER(TRIM(Inputs!$B$24))="P"),AX73,IF(OR(UPPER(TRIM(Inputs!$B$24))="MAX",UPPER(TRIM(Inputs!$B$24))="X"),MAX(IF(AT73="",0,AT73),IF(AU73="",0,AU73),IF(AX73="",0,AX73)),AT73)))))</f>
        <v/>
      </c>
      <c r="AW73" s="13" t="str">
        <f aca="false">IF(AY73="","",CE73)</f>
        <v/>
      </c>
      <c r="AX73" s="13" t="str">
        <f aca="false">IF(OR(AY73="",AW73="",R73="",R73&lt;=0,AW73&lt;=0),"",AY73/((R73^2/8)*(2*ACOS(1-2*AW73/R73)-SIN(2*ACOS(1-2*AW73/R73)))))</f>
        <v/>
      </c>
      <c r="AY73" s="9" t="str">
        <f aca="false">IF(OR(L73="",AZ73=""),"",MIN(L73,AZ73))</f>
        <v/>
      </c>
      <c r="AZ73" s="9" t="str">
        <f aca="false">IF(OR(L73="",R73="",N73=""),"",IF(OR(R73="",N73="",(0.94*R73)="",R73&lt;=0,(0.94*R73)&lt;=0),"",(1/Inputs!$B$9)*((R73^2/8)*((2*ACOS(1-2*(0.94*R73)/R73))-SIN((2*ACOS(1-2*(0.94*R73)/R73)))))*((((R73^2/8)*((2*ACOS(1-2*(0.94*R73)/R73))-SIN((2*ACOS(1-2*(0.94*R73)/R73)))))/((R73/2)*((2*ACOS(1-2*(0.94*R73)/R73)))))^(2/3))*SQRT(N73)))</f>
        <v/>
      </c>
      <c r="BA73" s="9" t="str">
        <f aca="false">IF(AY73="","",0.001*R73)</f>
        <v/>
      </c>
      <c r="BB73" s="9" t="str">
        <f aca="false">IF(AY73="","",0.94*R73)</f>
        <v/>
      </c>
      <c r="BC73" s="9" t="str">
        <f aca="false">IF(AY73="","",(BA73+BB73)/2)</f>
        <v/>
      </c>
      <c r="BD73" s="9" t="str">
        <f aca="false">IF(OR(R73="",N73="",BC73="",R73&lt;=0,BC73&lt;=0),"",(1/Inputs!$B$9)*((R73^2/8)*((2*ACOS(1-2*BC73/R73))-SIN((2*ACOS(1-2*BC73/R73)))))*((((R73^2/8)*((2*ACOS(1-2*BC73/R73))-SIN((2*ACOS(1-2*BC73/R73)))))/((R73/2)*((2*ACOS(1-2*BC73/R73)))))^(2/3))*SQRT(N73))</f>
        <v/>
      </c>
      <c r="BE73" s="9" t="str">
        <f aca="false">IF(AY73="","",IF(BD73&lt;AY73,BC73,BA73))</f>
        <v/>
      </c>
      <c r="BF73" s="9" t="str">
        <f aca="false">IF(AY73="","",IF(BD73&lt;AY73,BB73,BC73))</f>
        <v/>
      </c>
      <c r="BG73" s="9" t="str">
        <f aca="false">IF(AY73="","",(BE73+BF73)/2)</f>
        <v/>
      </c>
      <c r="BH73" s="9" t="str">
        <f aca="false">IF(OR(R73="",N73="",BG73="",R73&lt;=0,BG73&lt;=0),"",(1/Inputs!$B$9)*((R73^2/8)*((2*ACOS(1-2*BG73/R73))-SIN((2*ACOS(1-2*BG73/R73)))))*((((R73^2/8)*((2*ACOS(1-2*BG73/R73))-SIN((2*ACOS(1-2*BG73/R73)))))/((R73/2)*((2*ACOS(1-2*BG73/R73)))))^(2/3))*SQRT(N73))</f>
        <v/>
      </c>
      <c r="BI73" s="9" t="str">
        <f aca="false">IF(AY73="","",IF(BH73&lt;AY73,BG73,BE73))</f>
        <v/>
      </c>
      <c r="BJ73" s="9" t="str">
        <f aca="false">IF(AY73="","",IF(BH73&lt;AY73,BF73,BG73))</f>
        <v/>
      </c>
      <c r="BK73" s="9" t="str">
        <f aca="false">IF(AY73="","",(BI73+BJ73)/2)</f>
        <v/>
      </c>
      <c r="BL73" s="9" t="str">
        <f aca="false">IF(OR(R73="",N73="",BK73="",R73&lt;=0,BK73&lt;=0),"",(1/Inputs!$B$9)*((R73^2/8)*((2*ACOS(1-2*BK73/R73))-SIN((2*ACOS(1-2*BK73/R73)))))*((((R73^2/8)*((2*ACOS(1-2*BK73/R73))-SIN((2*ACOS(1-2*BK73/R73)))))/((R73/2)*((2*ACOS(1-2*BK73/R73)))))^(2/3))*SQRT(N73))</f>
        <v/>
      </c>
      <c r="BM73" s="9" t="str">
        <f aca="false">IF(AY73="","",IF(BL73&lt;AY73,BK73,BI73))</f>
        <v/>
      </c>
      <c r="BN73" s="9" t="str">
        <f aca="false">IF(AY73="","",IF(BL73&lt;AY73,BJ73,BK73))</f>
        <v/>
      </c>
      <c r="BO73" s="9" t="str">
        <f aca="false">IF(AY73="","",(BM73+BN73)/2)</f>
        <v/>
      </c>
      <c r="BP73" s="9" t="str">
        <f aca="false">IF(OR(R73="",N73="",BO73="",R73&lt;=0,BO73&lt;=0),"",(1/Inputs!$B$9)*((R73^2/8)*((2*ACOS(1-2*BO73/R73))-SIN((2*ACOS(1-2*BO73/R73)))))*((((R73^2/8)*((2*ACOS(1-2*BO73/R73))-SIN((2*ACOS(1-2*BO73/R73)))))/((R73/2)*((2*ACOS(1-2*BO73/R73)))))^(2/3))*SQRT(N73))</f>
        <v/>
      </c>
      <c r="BQ73" s="9" t="str">
        <f aca="false">IF(AY73="","",IF(BP73&lt;AY73,BO73,BM73))</f>
        <v/>
      </c>
      <c r="BR73" s="9" t="str">
        <f aca="false">IF(AY73="","",IF(BP73&lt;AY73,BN73,BO73))</f>
        <v/>
      </c>
      <c r="BS73" s="9" t="str">
        <f aca="false">IF(AY73="","",(BQ73+BR73)/2)</f>
        <v/>
      </c>
      <c r="BT73" s="9" t="str">
        <f aca="false">IF(OR(R73="",N73="",BS73="",R73&lt;=0,BS73&lt;=0),"",(1/Inputs!$B$9)*((R73^2/8)*((2*ACOS(1-2*BS73/R73))-SIN((2*ACOS(1-2*BS73/R73)))))*((((R73^2/8)*((2*ACOS(1-2*BS73/R73))-SIN((2*ACOS(1-2*BS73/R73)))))/((R73/2)*((2*ACOS(1-2*BS73/R73)))))^(2/3))*SQRT(N73))</f>
        <v/>
      </c>
      <c r="BU73" s="9" t="str">
        <f aca="false">IF(AY73="","",IF(BT73&lt;AY73,BS73,BQ73))</f>
        <v/>
      </c>
      <c r="BV73" s="9" t="str">
        <f aca="false">IF(AY73="","",IF(BT73&lt;AY73,BR73,BS73))</f>
        <v/>
      </c>
      <c r="BW73" s="9" t="str">
        <f aca="false">IF(AY73="","",(BU73+BV73)/2)</f>
        <v/>
      </c>
      <c r="BX73" s="9" t="str">
        <f aca="false">IF(OR(R73="",N73="",BW73="",R73&lt;=0,BW73&lt;=0),"",(1/Inputs!$B$9)*((R73^2/8)*((2*ACOS(1-2*BW73/R73))-SIN((2*ACOS(1-2*BW73/R73)))))*((((R73^2/8)*((2*ACOS(1-2*BW73/R73))-SIN((2*ACOS(1-2*BW73/R73)))))/((R73/2)*((2*ACOS(1-2*BW73/R73)))))^(2/3))*SQRT(N73))</f>
        <v/>
      </c>
      <c r="BY73" s="9" t="str">
        <f aca="false">IF(AY73="","",IF(BX73&lt;AY73,BW73,BU73))</f>
        <v/>
      </c>
      <c r="BZ73" s="9" t="str">
        <f aca="false">IF(AY73="","",IF(BX73&lt;AY73,BV73,BW73))</f>
        <v/>
      </c>
      <c r="CA73" s="9" t="str">
        <f aca="false">IF(AY73="","",(BY73+BZ73)/2)</f>
        <v/>
      </c>
      <c r="CB73" s="9" t="str">
        <f aca="false">IF(OR(R73="",N73="",CA73="",R73&lt;=0,CA73&lt;=0),"",(1/Inputs!$B$9)*((R73^2/8)*((2*ACOS(1-2*CA73/R73))-SIN((2*ACOS(1-2*CA73/R73)))))*((((R73^2/8)*((2*ACOS(1-2*CA73/R73))-SIN((2*ACOS(1-2*CA73/R73)))))/((R73/2)*((2*ACOS(1-2*CA73/R73)))))^(2/3))*SQRT(N73))</f>
        <v/>
      </c>
      <c r="CC73" s="9" t="str">
        <f aca="false">IF(AY73="","",IF(CB73&lt;AY73,CA73,BY73))</f>
        <v/>
      </c>
      <c r="CD73" s="9" t="str">
        <f aca="false">IF(AY73="","",IF(CB73&lt;AY73,BZ73,CA73))</f>
        <v/>
      </c>
      <c r="CE73" s="9" t="str">
        <f aca="false">IF(AY73="","",(CC73+CD73)/2)</f>
        <v/>
      </c>
    </row>
    <row r="74" customFormat="false" ht="15" hidden="false" customHeight="false" outlineLevel="0" collapsed="false">
      <c r="A74" s="9"/>
      <c r="B74" s="9"/>
      <c r="C74" s="14"/>
      <c r="D74" s="14"/>
      <c r="E74" s="14" t="n">
        <f aca="false">SUMIFS(CB_Tributaires!$C:$C,CB_Tributaires!$B:$B,$A74)</f>
        <v>0</v>
      </c>
      <c r="F74" s="14" t="n">
        <f aca="false">IF(D74="",E74,D74)</f>
        <v>0</v>
      </c>
      <c r="G74" s="9"/>
      <c r="H74" s="14"/>
      <c r="I74" s="14" t="str">
        <f aca="false">IF(A74="","",Inputs!$B$13/((IF(AS74="",Inputs!$B$18,AS74)+Inputs!$B$14)^Inputs!$B$15))</f>
        <v/>
      </c>
      <c r="J74" s="14" t="str">
        <f aca="false">IF(A74="","",0.000000278*IF(G74="",Inputs!$B$17,G74)*F74*I74)</f>
        <v/>
      </c>
      <c r="K74" s="14" t="str">
        <f aca="false">IF(A74="","",SUMIFS($L$4:$L$203,$B$4:$B$203,$A74))</f>
        <v/>
      </c>
      <c r="L74" s="14" t="str">
        <f aca="false">IF(A74="","",(J74+K74)*Inputs!$B$16)</f>
        <v/>
      </c>
      <c r="M74" s="14"/>
      <c r="N74" s="14" t="str">
        <f aca="false">IF(A74="","",IF(M74="",Inputs!$B$7,M74))</f>
        <v/>
      </c>
      <c r="O74" s="9" t="str">
        <f aca="false">IF(A74="","",IF(L74/Inputs!$B$10&lt;=AD74,Inputs!$F$5,IF(L74/Inputs!$B$10&gt;AM74,"OVERSIZE",INDEX(Inputs!$F$5:$F$14,MATCH(L74/Inputs!$B$10,AD74:AM74,1)+1))))</f>
        <v/>
      </c>
      <c r="P74" s="9"/>
      <c r="Q74" s="9" t="str">
        <f aca="false">IF(A74="","",IF(P74="",O74,P74))</f>
        <v/>
      </c>
      <c r="R74" s="14" t="str">
        <f aca="false">IF(OR(Q74="",Q74="OVERSIZE"),"",Q74/1000)</f>
        <v/>
      </c>
      <c r="S74" s="14" t="str">
        <f aca="false">IF(R74="","",(1/Inputs!$B$9)*(PI()*R74^2/4)*((R74/4)^(2/3))*SQRT(N74))</f>
        <v/>
      </c>
      <c r="T74" s="14" t="str">
        <f aca="false">IF(OR(S74="",L74=""),"",L74/(S74*Inputs!$B$10))</f>
        <v/>
      </c>
      <c r="U74" s="14" t="str">
        <f aca="false">IF(OR(R74="",L74=""),"",4*L74/(PI()*R74^2))</f>
        <v/>
      </c>
      <c r="V74" s="14"/>
      <c r="W74" s="14" t="str">
        <f aca="false">IF(A74="","",IF(A74=Inputs!$B$6,Inputs!$B$22,IF(B74="","",IFERROR(INDEX($X$4:$X$203,MATCH(B74,$A$4:$A$203,0))+IF(V74="",Inputs!$B$20,V74),""))))</f>
        <v/>
      </c>
      <c r="X74" s="14" t="str">
        <f aca="false">IF(OR(W74="",N74="",C74=""),"",W74+N74*C74)</f>
        <v/>
      </c>
      <c r="Y74" s="14"/>
      <c r="Z74" s="14"/>
      <c r="AA74" s="14" t="str">
        <f aca="false">IF(OR(Y74="",W74=""),"",Y74-W74)</f>
        <v/>
      </c>
      <c r="AB74" s="14" t="str">
        <f aca="false">IF(OR(Z74="",X74=""),"",Z74-X74)</f>
        <v/>
      </c>
      <c r="AC74" s="19" t="str">
        <f aca="false">IF(A74="","",IF(OR(T74&gt;1,AND(AV74&lt;&gt;"",AV74&lt;Inputs!$B$11),AND(AV74&lt;&gt;"",AV74&gt;Inputs!$B$12),AA74&lt;Inputs!$B$19,AB74&lt;Inputs!$B$19,N74&lt;Inputs!$B$7,N74&gt;Inputs!$B$8),"CHECK","OK"))</f>
        <v/>
      </c>
      <c r="AD74" s="9" t="str">
        <f aca="false">IF(A74="","",(1/Inputs!$B$9)*(PI()*(Inputs!$F$5/1000)^2/4)*((Inputs!$F$5/1000/4)^(2/3))*SQRT(N74))</f>
        <v/>
      </c>
      <c r="AE74" s="9" t="str">
        <f aca="false">IF(A74="","",(1/Inputs!$B$9)*(PI()*(Inputs!$F$6/1000)^2/4)*((Inputs!$F$6/1000/4)^(2/3))*SQRT(N74))</f>
        <v/>
      </c>
      <c r="AF74" s="9" t="str">
        <f aca="false">IF(A74="","",(1/Inputs!$B$9)*(PI()*(Inputs!$F$7/1000)^2/4)*((Inputs!$F$7/1000/4)^(2/3))*SQRT(N74))</f>
        <v/>
      </c>
      <c r="AG74" s="9" t="str">
        <f aca="false">IF(A74="","",(1/Inputs!$B$9)*(PI()*(Inputs!$F$8/1000)^2/4)*((Inputs!$F$8/1000/4)^(2/3))*SQRT(N74))</f>
        <v/>
      </c>
      <c r="AH74" s="9" t="str">
        <f aca="false">IF(A74="","",(1/Inputs!$B$9)*(PI()*(Inputs!$F$9/1000)^2/4)*((Inputs!$F$9/1000/4)^(2/3))*SQRT(N74))</f>
        <v/>
      </c>
      <c r="AI74" s="9" t="str">
        <f aca="false">IF(A74="","",(1/Inputs!$B$9)*(PI()*(Inputs!$F$10/1000)^2/4)*((Inputs!$F$10/1000/4)^(2/3))*SQRT(N74))</f>
        <v/>
      </c>
      <c r="AJ74" s="9" t="str">
        <f aca="false">IF(A74="","",(1/Inputs!$B$9)*(PI()*(Inputs!$F$11/1000)^2/4)*((Inputs!$F$11/1000/4)^(2/3))*SQRT(N74))</f>
        <v/>
      </c>
      <c r="AK74" s="9" t="str">
        <f aca="false">IF(A74="","",(1/Inputs!$B$9)*(PI()*(Inputs!$F$12/1000)^2/4)*((Inputs!$F$12/1000/4)^(2/3))*SQRT(N74))</f>
        <v/>
      </c>
      <c r="AL74" s="9" t="str">
        <f aca="false">IF(A74="","",(1/Inputs!$B$9)*(PI()*(Inputs!$F$13/1000)^2/4)*((Inputs!$F$13/1000/4)^(2/3))*SQRT(N74))</f>
        <v/>
      </c>
      <c r="AM74" s="9" t="str">
        <f aca="false">IF(A74="","",(1/Inputs!$B$9)*(PI()*(Inputs!$F$14/1000)^2/4)*((Inputs!$F$14/1000/4)^(2/3))*SQRT(N74))</f>
        <v/>
      </c>
      <c r="AN74" s="9" t="str">
        <f aca="false">IF(A74="","",COUNTIF($B$4:$B$203,$A74))</f>
        <v/>
      </c>
      <c r="AO74" s="9" t="str">
        <f aca="false">IF(A74="","",IF(AN74=0,"START","CONTINUOUS"))</f>
        <v/>
      </c>
      <c r="AP74" s="13" t="str">
        <f aca="false">IF(A74="","",IF(H74="",Inputs!$B$18,H74))</f>
        <v/>
      </c>
      <c r="AQ74" s="13" t="str">
        <f aca="false">IF(A74="","",IFERROR(maxifs($AS$4:$AS$203,$B$4:$B$203,$A74),""))</f>
        <v/>
      </c>
      <c r="AR74" s="13" t="str">
        <f aca="false">IF(A74="","",IF(OR(C74="",Inputs!$B$23=""),"",C74/(Inputs!$B$23*60)))</f>
        <v/>
      </c>
      <c r="AS74" s="13" t="str">
        <f aca="false">IF(A74="","",IF(AN74=0,AP74+AR74,IF(AQ74="",AP74+AR74,AQ74+AR74)))</f>
        <v/>
      </c>
      <c r="AT74" s="13" t="str">
        <f aca="false">IF(A74="","",U74)</f>
        <v/>
      </c>
      <c r="AU74" s="13" t="str">
        <f aca="false">IF(OR(R74="",N74=""),"",(1/Inputs!$B$9)*((R74/4)^(2/3))*SQRT(N74))</f>
        <v/>
      </c>
      <c r="AV74" s="13" t="str">
        <f aca="false">IF(A74="","",IF(AND(AT74="",AU74="",AX74=""),"",IF(OR(UPPER(TRIM(Inputs!$B$24))="MANNING",UPPER(TRIM(Inputs!$B$24))="M"),AU74,IF(OR(UPPER(TRIM(Inputs!$B$24))="PARTIAL",UPPER(TRIM(Inputs!$B$24))="P"),AX74,IF(OR(UPPER(TRIM(Inputs!$B$24))="MAX",UPPER(TRIM(Inputs!$B$24))="X"),MAX(IF(AT74="",0,AT74),IF(AU74="",0,AU74),IF(AX74="",0,AX74)),AT74)))))</f>
        <v/>
      </c>
      <c r="AW74" s="13" t="str">
        <f aca="false">IF(AY74="","",CE74)</f>
        <v/>
      </c>
      <c r="AX74" s="13" t="str">
        <f aca="false">IF(OR(AY74="",AW74="",R74="",R74&lt;=0,AW74&lt;=0),"",AY74/((R74^2/8)*(2*ACOS(1-2*AW74/R74)-SIN(2*ACOS(1-2*AW74/R74)))))</f>
        <v/>
      </c>
      <c r="AY74" s="9" t="str">
        <f aca="false">IF(OR(L74="",AZ74=""),"",MIN(L74,AZ74))</f>
        <v/>
      </c>
      <c r="AZ74" s="9" t="str">
        <f aca="false">IF(OR(L74="",R74="",N74=""),"",IF(OR(R74="",N74="",(0.94*R74)="",R74&lt;=0,(0.94*R74)&lt;=0),"",(1/Inputs!$B$9)*((R74^2/8)*((2*ACOS(1-2*(0.94*R74)/R74))-SIN((2*ACOS(1-2*(0.94*R74)/R74)))))*((((R74^2/8)*((2*ACOS(1-2*(0.94*R74)/R74))-SIN((2*ACOS(1-2*(0.94*R74)/R74)))))/((R74/2)*((2*ACOS(1-2*(0.94*R74)/R74)))))^(2/3))*SQRT(N74)))</f>
        <v/>
      </c>
      <c r="BA74" s="9" t="str">
        <f aca="false">IF(AY74="","",0.001*R74)</f>
        <v/>
      </c>
      <c r="BB74" s="9" t="str">
        <f aca="false">IF(AY74="","",0.94*R74)</f>
        <v/>
      </c>
      <c r="BC74" s="9" t="str">
        <f aca="false">IF(AY74="","",(BA74+BB74)/2)</f>
        <v/>
      </c>
      <c r="BD74" s="9" t="str">
        <f aca="false">IF(OR(R74="",N74="",BC74="",R74&lt;=0,BC74&lt;=0),"",(1/Inputs!$B$9)*((R74^2/8)*((2*ACOS(1-2*BC74/R74))-SIN((2*ACOS(1-2*BC74/R74)))))*((((R74^2/8)*((2*ACOS(1-2*BC74/R74))-SIN((2*ACOS(1-2*BC74/R74)))))/((R74/2)*((2*ACOS(1-2*BC74/R74)))))^(2/3))*SQRT(N74))</f>
        <v/>
      </c>
      <c r="BE74" s="9" t="str">
        <f aca="false">IF(AY74="","",IF(BD74&lt;AY74,BC74,BA74))</f>
        <v/>
      </c>
      <c r="BF74" s="9" t="str">
        <f aca="false">IF(AY74="","",IF(BD74&lt;AY74,BB74,BC74))</f>
        <v/>
      </c>
      <c r="BG74" s="9" t="str">
        <f aca="false">IF(AY74="","",(BE74+BF74)/2)</f>
        <v/>
      </c>
      <c r="BH74" s="9" t="str">
        <f aca="false">IF(OR(R74="",N74="",BG74="",R74&lt;=0,BG74&lt;=0),"",(1/Inputs!$B$9)*((R74^2/8)*((2*ACOS(1-2*BG74/R74))-SIN((2*ACOS(1-2*BG74/R74)))))*((((R74^2/8)*((2*ACOS(1-2*BG74/R74))-SIN((2*ACOS(1-2*BG74/R74)))))/((R74/2)*((2*ACOS(1-2*BG74/R74)))))^(2/3))*SQRT(N74))</f>
        <v/>
      </c>
      <c r="BI74" s="9" t="str">
        <f aca="false">IF(AY74="","",IF(BH74&lt;AY74,BG74,BE74))</f>
        <v/>
      </c>
      <c r="BJ74" s="9" t="str">
        <f aca="false">IF(AY74="","",IF(BH74&lt;AY74,BF74,BG74))</f>
        <v/>
      </c>
      <c r="BK74" s="9" t="str">
        <f aca="false">IF(AY74="","",(BI74+BJ74)/2)</f>
        <v/>
      </c>
      <c r="BL74" s="9" t="str">
        <f aca="false">IF(OR(R74="",N74="",BK74="",R74&lt;=0,BK74&lt;=0),"",(1/Inputs!$B$9)*((R74^2/8)*((2*ACOS(1-2*BK74/R74))-SIN((2*ACOS(1-2*BK74/R74)))))*((((R74^2/8)*((2*ACOS(1-2*BK74/R74))-SIN((2*ACOS(1-2*BK74/R74)))))/((R74/2)*((2*ACOS(1-2*BK74/R74)))))^(2/3))*SQRT(N74))</f>
        <v/>
      </c>
      <c r="BM74" s="9" t="str">
        <f aca="false">IF(AY74="","",IF(BL74&lt;AY74,BK74,BI74))</f>
        <v/>
      </c>
      <c r="BN74" s="9" t="str">
        <f aca="false">IF(AY74="","",IF(BL74&lt;AY74,BJ74,BK74))</f>
        <v/>
      </c>
      <c r="BO74" s="9" t="str">
        <f aca="false">IF(AY74="","",(BM74+BN74)/2)</f>
        <v/>
      </c>
      <c r="BP74" s="9" t="str">
        <f aca="false">IF(OR(R74="",N74="",BO74="",R74&lt;=0,BO74&lt;=0),"",(1/Inputs!$B$9)*((R74^2/8)*((2*ACOS(1-2*BO74/R74))-SIN((2*ACOS(1-2*BO74/R74)))))*((((R74^2/8)*((2*ACOS(1-2*BO74/R74))-SIN((2*ACOS(1-2*BO74/R74)))))/((R74/2)*((2*ACOS(1-2*BO74/R74)))))^(2/3))*SQRT(N74))</f>
        <v/>
      </c>
      <c r="BQ74" s="9" t="str">
        <f aca="false">IF(AY74="","",IF(BP74&lt;AY74,BO74,BM74))</f>
        <v/>
      </c>
      <c r="BR74" s="9" t="str">
        <f aca="false">IF(AY74="","",IF(BP74&lt;AY74,BN74,BO74))</f>
        <v/>
      </c>
      <c r="BS74" s="9" t="str">
        <f aca="false">IF(AY74="","",(BQ74+BR74)/2)</f>
        <v/>
      </c>
      <c r="BT74" s="9" t="str">
        <f aca="false">IF(OR(R74="",N74="",BS74="",R74&lt;=0,BS74&lt;=0),"",(1/Inputs!$B$9)*((R74^2/8)*((2*ACOS(1-2*BS74/R74))-SIN((2*ACOS(1-2*BS74/R74)))))*((((R74^2/8)*((2*ACOS(1-2*BS74/R74))-SIN((2*ACOS(1-2*BS74/R74)))))/((R74/2)*((2*ACOS(1-2*BS74/R74)))))^(2/3))*SQRT(N74))</f>
        <v/>
      </c>
      <c r="BU74" s="9" t="str">
        <f aca="false">IF(AY74="","",IF(BT74&lt;AY74,BS74,BQ74))</f>
        <v/>
      </c>
      <c r="BV74" s="9" t="str">
        <f aca="false">IF(AY74="","",IF(BT74&lt;AY74,BR74,BS74))</f>
        <v/>
      </c>
      <c r="BW74" s="9" t="str">
        <f aca="false">IF(AY74="","",(BU74+BV74)/2)</f>
        <v/>
      </c>
      <c r="BX74" s="9" t="str">
        <f aca="false">IF(OR(R74="",N74="",BW74="",R74&lt;=0,BW74&lt;=0),"",(1/Inputs!$B$9)*((R74^2/8)*((2*ACOS(1-2*BW74/R74))-SIN((2*ACOS(1-2*BW74/R74)))))*((((R74^2/8)*((2*ACOS(1-2*BW74/R74))-SIN((2*ACOS(1-2*BW74/R74)))))/((R74/2)*((2*ACOS(1-2*BW74/R74)))))^(2/3))*SQRT(N74))</f>
        <v/>
      </c>
      <c r="BY74" s="9" t="str">
        <f aca="false">IF(AY74="","",IF(BX74&lt;AY74,BW74,BU74))</f>
        <v/>
      </c>
      <c r="BZ74" s="9" t="str">
        <f aca="false">IF(AY74="","",IF(BX74&lt;AY74,BV74,BW74))</f>
        <v/>
      </c>
      <c r="CA74" s="9" t="str">
        <f aca="false">IF(AY74="","",(BY74+BZ74)/2)</f>
        <v/>
      </c>
      <c r="CB74" s="9" t="str">
        <f aca="false">IF(OR(R74="",N74="",CA74="",R74&lt;=0,CA74&lt;=0),"",(1/Inputs!$B$9)*((R74^2/8)*((2*ACOS(1-2*CA74/R74))-SIN((2*ACOS(1-2*CA74/R74)))))*((((R74^2/8)*((2*ACOS(1-2*CA74/R74))-SIN((2*ACOS(1-2*CA74/R74)))))/((R74/2)*((2*ACOS(1-2*CA74/R74)))))^(2/3))*SQRT(N74))</f>
        <v/>
      </c>
      <c r="CC74" s="9" t="str">
        <f aca="false">IF(AY74="","",IF(CB74&lt;AY74,CA74,BY74))</f>
        <v/>
      </c>
      <c r="CD74" s="9" t="str">
        <f aca="false">IF(AY74="","",IF(CB74&lt;AY74,BZ74,CA74))</f>
        <v/>
      </c>
      <c r="CE74" s="9" t="str">
        <f aca="false">IF(AY74="","",(CC74+CD74)/2)</f>
        <v/>
      </c>
    </row>
    <row r="75" customFormat="false" ht="15" hidden="false" customHeight="false" outlineLevel="0" collapsed="false">
      <c r="A75" s="9"/>
      <c r="B75" s="9"/>
      <c r="C75" s="14"/>
      <c r="D75" s="14"/>
      <c r="E75" s="14" t="n">
        <f aca="false">SUMIFS(CB_Tributaires!$C:$C,CB_Tributaires!$B:$B,$A75)</f>
        <v>0</v>
      </c>
      <c r="F75" s="14" t="n">
        <f aca="false">IF(D75="",E75,D75)</f>
        <v>0</v>
      </c>
      <c r="G75" s="9"/>
      <c r="H75" s="14"/>
      <c r="I75" s="14" t="str">
        <f aca="false">IF(A75="","",Inputs!$B$13/((IF(AS75="",Inputs!$B$18,AS75)+Inputs!$B$14)^Inputs!$B$15))</f>
        <v/>
      </c>
      <c r="J75" s="14" t="str">
        <f aca="false">IF(A75="","",0.000000278*IF(G75="",Inputs!$B$17,G75)*F75*I75)</f>
        <v/>
      </c>
      <c r="K75" s="14" t="str">
        <f aca="false">IF(A75="","",SUMIFS($L$4:$L$203,$B$4:$B$203,$A75))</f>
        <v/>
      </c>
      <c r="L75" s="14" t="str">
        <f aca="false">IF(A75="","",(J75+K75)*Inputs!$B$16)</f>
        <v/>
      </c>
      <c r="M75" s="14"/>
      <c r="N75" s="14" t="str">
        <f aca="false">IF(A75="","",IF(M75="",Inputs!$B$7,M75))</f>
        <v/>
      </c>
      <c r="O75" s="9" t="str">
        <f aca="false">IF(A75="","",IF(L75/Inputs!$B$10&lt;=AD75,Inputs!$F$5,IF(L75/Inputs!$B$10&gt;AM75,"OVERSIZE",INDEX(Inputs!$F$5:$F$14,MATCH(L75/Inputs!$B$10,AD75:AM75,1)+1))))</f>
        <v/>
      </c>
      <c r="P75" s="9"/>
      <c r="Q75" s="9" t="str">
        <f aca="false">IF(A75="","",IF(P75="",O75,P75))</f>
        <v/>
      </c>
      <c r="R75" s="14" t="str">
        <f aca="false">IF(OR(Q75="",Q75="OVERSIZE"),"",Q75/1000)</f>
        <v/>
      </c>
      <c r="S75" s="14" t="str">
        <f aca="false">IF(R75="","",(1/Inputs!$B$9)*(PI()*R75^2/4)*((R75/4)^(2/3))*SQRT(N75))</f>
        <v/>
      </c>
      <c r="T75" s="14" t="str">
        <f aca="false">IF(OR(S75="",L75=""),"",L75/(S75*Inputs!$B$10))</f>
        <v/>
      </c>
      <c r="U75" s="14" t="str">
        <f aca="false">IF(OR(R75="",L75=""),"",4*L75/(PI()*R75^2))</f>
        <v/>
      </c>
      <c r="V75" s="14"/>
      <c r="W75" s="14" t="str">
        <f aca="false">IF(A75="","",IF(A75=Inputs!$B$6,Inputs!$B$22,IF(B75="","",IFERROR(INDEX($X$4:$X$203,MATCH(B75,$A$4:$A$203,0))+IF(V75="",Inputs!$B$20,V75),""))))</f>
        <v/>
      </c>
      <c r="X75" s="14" t="str">
        <f aca="false">IF(OR(W75="",N75="",C75=""),"",W75+N75*C75)</f>
        <v/>
      </c>
      <c r="Y75" s="14"/>
      <c r="Z75" s="14"/>
      <c r="AA75" s="14" t="str">
        <f aca="false">IF(OR(Y75="",W75=""),"",Y75-W75)</f>
        <v/>
      </c>
      <c r="AB75" s="14" t="str">
        <f aca="false">IF(OR(Z75="",X75=""),"",Z75-X75)</f>
        <v/>
      </c>
      <c r="AC75" s="19" t="str">
        <f aca="false">IF(A75="","",IF(OR(T75&gt;1,AND(AV75&lt;&gt;"",AV75&lt;Inputs!$B$11),AND(AV75&lt;&gt;"",AV75&gt;Inputs!$B$12),AA75&lt;Inputs!$B$19,AB75&lt;Inputs!$B$19,N75&lt;Inputs!$B$7,N75&gt;Inputs!$B$8),"CHECK","OK"))</f>
        <v/>
      </c>
      <c r="AD75" s="9" t="str">
        <f aca="false">IF(A75="","",(1/Inputs!$B$9)*(PI()*(Inputs!$F$5/1000)^2/4)*((Inputs!$F$5/1000/4)^(2/3))*SQRT(N75))</f>
        <v/>
      </c>
      <c r="AE75" s="9" t="str">
        <f aca="false">IF(A75="","",(1/Inputs!$B$9)*(PI()*(Inputs!$F$6/1000)^2/4)*((Inputs!$F$6/1000/4)^(2/3))*SQRT(N75))</f>
        <v/>
      </c>
      <c r="AF75" s="9" t="str">
        <f aca="false">IF(A75="","",(1/Inputs!$B$9)*(PI()*(Inputs!$F$7/1000)^2/4)*((Inputs!$F$7/1000/4)^(2/3))*SQRT(N75))</f>
        <v/>
      </c>
      <c r="AG75" s="9" t="str">
        <f aca="false">IF(A75="","",(1/Inputs!$B$9)*(PI()*(Inputs!$F$8/1000)^2/4)*((Inputs!$F$8/1000/4)^(2/3))*SQRT(N75))</f>
        <v/>
      </c>
      <c r="AH75" s="9" t="str">
        <f aca="false">IF(A75="","",(1/Inputs!$B$9)*(PI()*(Inputs!$F$9/1000)^2/4)*((Inputs!$F$9/1000/4)^(2/3))*SQRT(N75))</f>
        <v/>
      </c>
      <c r="AI75" s="9" t="str">
        <f aca="false">IF(A75="","",(1/Inputs!$B$9)*(PI()*(Inputs!$F$10/1000)^2/4)*((Inputs!$F$10/1000/4)^(2/3))*SQRT(N75))</f>
        <v/>
      </c>
      <c r="AJ75" s="9" t="str">
        <f aca="false">IF(A75="","",(1/Inputs!$B$9)*(PI()*(Inputs!$F$11/1000)^2/4)*((Inputs!$F$11/1000/4)^(2/3))*SQRT(N75))</f>
        <v/>
      </c>
      <c r="AK75" s="9" t="str">
        <f aca="false">IF(A75="","",(1/Inputs!$B$9)*(PI()*(Inputs!$F$12/1000)^2/4)*((Inputs!$F$12/1000/4)^(2/3))*SQRT(N75))</f>
        <v/>
      </c>
      <c r="AL75" s="9" t="str">
        <f aca="false">IF(A75="","",(1/Inputs!$B$9)*(PI()*(Inputs!$F$13/1000)^2/4)*((Inputs!$F$13/1000/4)^(2/3))*SQRT(N75))</f>
        <v/>
      </c>
      <c r="AM75" s="9" t="str">
        <f aca="false">IF(A75="","",(1/Inputs!$B$9)*(PI()*(Inputs!$F$14/1000)^2/4)*((Inputs!$F$14/1000/4)^(2/3))*SQRT(N75))</f>
        <v/>
      </c>
      <c r="AN75" s="9" t="str">
        <f aca="false">IF(A75="","",COUNTIF($B$4:$B$203,$A75))</f>
        <v/>
      </c>
      <c r="AO75" s="9" t="str">
        <f aca="false">IF(A75="","",IF(AN75=0,"START","CONTINUOUS"))</f>
        <v/>
      </c>
      <c r="AP75" s="13" t="str">
        <f aca="false">IF(A75="","",IF(H75="",Inputs!$B$18,H75))</f>
        <v/>
      </c>
      <c r="AQ75" s="13" t="str">
        <f aca="false">IF(A75="","",IFERROR(maxifs($AS$4:$AS$203,$B$4:$B$203,$A75),""))</f>
        <v/>
      </c>
      <c r="AR75" s="13" t="str">
        <f aca="false">IF(A75="","",IF(OR(C75="",Inputs!$B$23=""),"",C75/(Inputs!$B$23*60)))</f>
        <v/>
      </c>
      <c r="AS75" s="13" t="str">
        <f aca="false">IF(A75="","",IF(AN75=0,AP75+AR75,IF(AQ75="",AP75+AR75,AQ75+AR75)))</f>
        <v/>
      </c>
      <c r="AT75" s="13" t="str">
        <f aca="false">IF(A75="","",U75)</f>
        <v/>
      </c>
      <c r="AU75" s="13" t="str">
        <f aca="false">IF(OR(R75="",N75=""),"",(1/Inputs!$B$9)*((R75/4)^(2/3))*SQRT(N75))</f>
        <v/>
      </c>
      <c r="AV75" s="13" t="str">
        <f aca="false">IF(A75="","",IF(AND(AT75="",AU75="",AX75=""),"",IF(OR(UPPER(TRIM(Inputs!$B$24))="MANNING",UPPER(TRIM(Inputs!$B$24))="M"),AU75,IF(OR(UPPER(TRIM(Inputs!$B$24))="PARTIAL",UPPER(TRIM(Inputs!$B$24))="P"),AX75,IF(OR(UPPER(TRIM(Inputs!$B$24))="MAX",UPPER(TRIM(Inputs!$B$24))="X"),MAX(IF(AT75="",0,AT75),IF(AU75="",0,AU75),IF(AX75="",0,AX75)),AT75)))))</f>
        <v/>
      </c>
      <c r="AW75" s="13" t="str">
        <f aca="false">IF(AY75="","",CE75)</f>
        <v/>
      </c>
      <c r="AX75" s="13" t="str">
        <f aca="false">IF(OR(AY75="",AW75="",R75="",R75&lt;=0,AW75&lt;=0),"",AY75/((R75^2/8)*(2*ACOS(1-2*AW75/R75)-SIN(2*ACOS(1-2*AW75/R75)))))</f>
        <v/>
      </c>
      <c r="AY75" s="9" t="str">
        <f aca="false">IF(OR(L75="",AZ75=""),"",MIN(L75,AZ75))</f>
        <v/>
      </c>
      <c r="AZ75" s="9" t="str">
        <f aca="false">IF(OR(L75="",R75="",N75=""),"",IF(OR(R75="",N75="",(0.94*R75)="",R75&lt;=0,(0.94*R75)&lt;=0),"",(1/Inputs!$B$9)*((R75^2/8)*((2*ACOS(1-2*(0.94*R75)/R75))-SIN((2*ACOS(1-2*(0.94*R75)/R75)))))*((((R75^2/8)*((2*ACOS(1-2*(0.94*R75)/R75))-SIN((2*ACOS(1-2*(0.94*R75)/R75)))))/((R75/2)*((2*ACOS(1-2*(0.94*R75)/R75)))))^(2/3))*SQRT(N75)))</f>
        <v/>
      </c>
      <c r="BA75" s="9" t="str">
        <f aca="false">IF(AY75="","",0.001*R75)</f>
        <v/>
      </c>
      <c r="BB75" s="9" t="str">
        <f aca="false">IF(AY75="","",0.94*R75)</f>
        <v/>
      </c>
      <c r="BC75" s="9" t="str">
        <f aca="false">IF(AY75="","",(BA75+BB75)/2)</f>
        <v/>
      </c>
      <c r="BD75" s="9" t="str">
        <f aca="false">IF(OR(R75="",N75="",BC75="",R75&lt;=0,BC75&lt;=0),"",(1/Inputs!$B$9)*((R75^2/8)*((2*ACOS(1-2*BC75/R75))-SIN((2*ACOS(1-2*BC75/R75)))))*((((R75^2/8)*((2*ACOS(1-2*BC75/R75))-SIN((2*ACOS(1-2*BC75/R75)))))/((R75/2)*((2*ACOS(1-2*BC75/R75)))))^(2/3))*SQRT(N75))</f>
        <v/>
      </c>
      <c r="BE75" s="9" t="str">
        <f aca="false">IF(AY75="","",IF(BD75&lt;AY75,BC75,BA75))</f>
        <v/>
      </c>
      <c r="BF75" s="9" t="str">
        <f aca="false">IF(AY75="","",IF(BD75&lt;AY75,BB75,BC75))</f>
        <v/>
      </c>
      <c r="BG75" s="9" t="str">
        <f aca="false">IF(AY75="","",(BE75+BF75)/2)</f>
        <v/>
      </c>
      <c r="BH75" s="9" t="str">
        <f aca="false">IF(OR(R75="",N75="",BG75="",R75&lt;=0,BG75&lt;=0),"",(1/Inputs!$B$9)*((R75^2/8)*((2*ACOS(1-2*BG75/R75))-SIN((2*ACOS(1-2*BG75/R75)))))*((((R75^2/8)*((2*ACOS(1-2*BG75/R75))-SIN((2*ACOS(1-2*BG75/R75)))))/((R75/2)*((2*ACOS(1-2*BG75/R75)))))^(2/3))*SQRT(N75))</f>
        <v/>
      </c>
      <c r="BI75" s="9" t="str">
        <f aca="false">IF(AY75="","",IF(BH75&lt;AY75,BG75,BE75))</f>
        <v/>
      </c>
      <c r="BJ75" s="9" t="str">
        <f aca="false">IF(AY75="","",IF(BH75&lt;AY75,BF75,BG75))</f>
        <v/>
      </c>
      <c r="BK75" s="9" t="str">
        <f aca="false">IF(AY75="","",(BI75+BJ75)/2)</f>
        <v/>
      </c>
      <c r="BL75" s="9" t="str">
        <f aca="false">IF(OR(R75="",N75="",BK75="",R75&lt;=0,BK75&lt;=0),"",(1/Inputs!$B$9)*((R75^2/8)*((2*ACOS(1-2*BK75/R75))-SIN((2*ACOS(1-2*BK75/R75)))))*((((R75^2/8)*((2*ACOS(1-2*BK75/R75))-SIN((2*ACOS(1-2*BK75/R75)))))/((R75/2)*((2*ACOS(1-2*BK75/R75)))))^(2/3))*SQRT(N75))</f>
        <v/>
      </c>
      <c r="BM75" s="9" t="str">
        <f aca="false">IF(AY75="","",IF(BL75&lt;AY75,BK75,BI75))</f>
        <v/>
      </c>
      <c r="BN75" s="9" t="str">
        <f aca="false">IF(AY75="","",IF(BL75&lt;AY75,BJ75,BK75))</f>
        <v/>
      </c>
      <c r="BO75" s="9" t="str">
        <f aca="false">IF(AY75="","",(BM75+BN75)/2)</f>
        <v/>
      </c>
      <c r="BP75" s="9" t="str">
        <f aca="false">IF(OR(R75="",N75="",BO75="",R75&lt;=0,BO75&lt;=0),"",(1/Inputs!$B$9)*((R75^2/8)*((2*ACOS(1-2*BO75/R75))-SIN((2*ACOS(1-2*BO75/R75)))))*((((R75^2/8)*((2*ACOS(1-2*BO75/R75))-SIN((2*ACOS(1-2*BO75/R75)))))/((R75/2)*((2*ACOS(1-2*BO75/R75)))))^(2/3))*SQRT(N75))</f>
        <v/>
      </c>
      <c r="BQ75" s="9" t="str">
        <f aca="false">IF(AY75="","",IF(BP75&lt;AY75,BO75,BM75))</f>
        <v/>
      </c>
      <c r="BR75" s="9" t="str">
        <f aca="false">IF(AY75="","",IF(BP75&lt;AY75,BN75,BO75))</f>
        <v/>
      </c>
      <c r="BS75" s="9" t="str">
        <f aca="false">IF(AY75="","",(BQ75+BR75)/2)</f>
        <v/>
      </c>
      <c r="BT75" s="9" t="str">
        <f aca="false">IF(OR(R75="",N75="",BS75="",R75&lt;=0,BS75&lt;=0),"",(1/Inputs!$B$9)*((R75^2/8)*((2*ACOS(1-2*BS75/R75))-SIN((2*ACOS(1-2*BS75/R75)))))*((((R75^2/8)*((2*ACOS(1-2*BS75/R75))-SIN((2*ACOS(1-2*BS75/R75)))))/((R75/2)*((2*ACOS(1-2*BS75/R75)))))^(2/3))*SQRT(N75))</f>
        <v/>
      </c>
      <c r="BU75" s="9" t="str">
        <f aca="false">IF(AY75="","",IF(BT75&lt;AY75,BS75,BQ75))</f>
        <v/>
      </c>
      <c r="BV75" s="9" t="str">
        <f aca="false">IF(AY75="","",IF(BT75&lt;AY75,BR75,BS75))</f>
        <v/>
      </c>
      <c r="BW75" s="9" t="str">
        <f aca="false">IF(AY75="","",(BU75+BV75)/2)</f>
        <v/>
      </c>
      <c r="BX75" s="9" t="str">
        <f aca="false">IF(OR(R75="",N75="",BW75="",R75&lt;=0,BW75&lt;=0),"",(1/Inputs!$B$9)*((R75^2/8)*((2*ACOS(1-2*BW75/R75))-SIN((2*ACOS(1-2*BW75/R75)))))*((((R75^2/8)*((2*ACOS(1-2*BW75/R75))-SIN((2*ACOS(1-2*BW75/R75)))))/((R75/2)*((2*ACOS(1-2*BW75/R75)))))^(2/3))*SQRT(N75))</f>
        <v/>
      </c>
      <c r="BY75" s="9" t="str">
        <f aca="false">IF(AY75="","",IF(BX75&lt;AY75,BW75,BU75))</f>
        <v/>
      </c>
      <c r="BZ75" s="9" t="str">
        <f aca="false">IF(AY75="","",IF(BX75&lt;AY75,BV75,BW75))</f>
        <v/>
      </c>
      <c r="CA75" s="9" t="str">
        <f aca="false">IF(AY75="","",(BY75+BZ75)/2)</f>
        <v/>
      </c>
      <c r="CB75" s="9" t="str">
        <f aca="false">IF(OR(R75="",N75="",CA75="",R75&lt;=0,CA75&lt;=0),"",(1/Inputs!$B$9)*((R75^2/8)*((2*ACOS(1-2*CA75/R75))-SIN((2*ACOS(1-2*CA75/R75)))))*((((R75^2/8)*((2*ACOS(1-2*CA75/R75))-SIN((2*ACOS(1-2*CA75/R75)))))/((R75/2)*((2*ACOS(1-2*CA75/R75)))))^(2/3))*SQRT(N75))</f>
        <v/>
      </c>
      <c r="CC75" s="9" t="str">
        <f aca="false">IF(AY75="","",IF(CB75&lt;AY75,CA75,BY75))</f>
        <v/>
      </c>
      <c r="CD75" s="9" t="str">
        <f aca="false">IF(AY75="","",IF(CB75&lt;AY75,BZ75,CA75))</f>
        <v/>
      </c>
      <c r="CE75" s="9" t="str">
        <f aca="false">IF(AY75="","",(CC75+CD75)/2)</f>
        <v/>
      </c>
    </row>
    <row r="76" customFormat="false" ht="15" hidden="false" customHeight="false" outlineLevel="0" collapsed="false">
      <c r="A76" s="9"/>
      <c r="B76" s="9"/>
      <c r="C76" s="14"/>
      <c r="D76" s="14"/>
      <c r="E76" s="14" t="n">
        <f aca="false">SUMIFS(CB_Tributaires!$C:$C,CB_Tributaires!$B:$B,$A76)</f>
        <v>0</v>
      </c>
      <c r="F76" s="14" t="n">
        <f aca="false">IF(D76="",E76,D76)</f>
        <v>0</v>
      </c>
      <c r="G76" s="9"/>
      <c r="H76" s="14"/>
      <c r="I76" s="14" t="str">
        <f aca="false">IF(A76="","",Inputs!$B$13/((IF(AS76="",Inputs!$B$18,AS76)+Inputs!$B$14)^Inputs!$B$15))</f>
        <v/>
      </c>
      <c r="J76" s="14" t="str">
        <f aca="false">IF(A76="","",0.000000278*IF(G76="",Inputs!$B$17,G76)*F76*I76)</f>
        <v/>
      </c>
      <c r="K76" s="14" t="str">
        <f aca="false">IF(A76="","",SUMIFS($L$4:$L$203,$B$4:$B$203,$A76))</f>
        <v/>
      </c>
      <c r="L76" s="14" t="str">
        <f aca="false">IF(A76="","",(J76+K76)*Inputs!$B$16)</f>
        <v/>
      </c>
      <c r="M76" s="14"/>
      <c r="N76" s="14" t="str">
        <f aca="false">IF(A76="","",IF(M76="",Inputs!$B$7,M76))</f>
        <v/>
      </c>
      <c r="O76" s="9" t="str">
        <f aca="false">IF(A76="","",IF(L76/Inputs!$B$10&lt;=AD76,Inputs!$F$5,IF(L76/Inputs!$B$10&gt;AM76,"OVERSIZE",INDEX(Inputs!$F$5:$F$14,MATCH(L76/Inputs!$B$10,AD76:AM76,1)+1))))</f>
        <v/>
      </c>
      <c r="P76" s="9"/>
      <c r="Q76" s="9" t="str">
        <f aca="false">IF(A76="","",IF(P76="",O76,P76))</f>
        <v/>
      </c>
      <c r="R76" s="14" t="str">
        <f aca="false">IF(OR(Q76="",Q76="OVERSIZE"),"",Q76/1000)</f>
        <v/>
      </c>
      <c r="S76" s="14" t="str">
        <f aca="false">IF(R76="","",(1/Inputs!$B$9)*(PI()*R76^2/4)*((R76/4)^(2/3))*SQRT(N76))</f>
        <v/>
      </c>
      <c r="T76" s="14" t="str">
        <f aca="false">IF(OR(S76="",L76=""),"",L76/(S76*Inputs!$B$10))</f>
        <v/>
      </c>
      <c r="U76" s="14" t="str">
        <f aca="false">IF(OR(R76="",L76=""),"",4*L76/(PI()*R76^2))</f>
        <v/>
      </c>
      <c r="V76" s="14"/>
      <c r="W76" s="14" t="str">
        <f aca="false">IF(A76="","",IF(A76=Inputs!$B$6,Inputs!$B$22,IF(B76="","",IFERROR(INDEX($X$4:$X$203,MATCH(B76,$A$4:$A$203,0))+IF(V76="",Inputs!$B$20,V76),""))))</f>
        <v/>
      </c>
      <c r="X76" s="14" t="str">
        <f aca="false">IF(OR(W76="",N76="",C76=""),"",W76+N76*C76)</f>
        <v/>
      </c>
      <c r="Y76" s="14"/>
      <c r="Z76" s="14"/>
      <c r="AA76" s="14" t="str">
        <f aca="false">IF(OR(Y76="",W76=""),"",Y76-W76)</f>
        <v/>
      </c>
      <c r="AB76" s="14" t="str">
        <f aca="false">IF(OR(Z76="",X76=""),"",Z76-X76)</f>
        <v/>
      </c>
      <c r="AC76" s="19" t="str">
        <f aca="false">IF(A76="","",IF(OR(T76&gt;1,AND(AV76&lt;&gt;"",AV76&lt;Inputs!$B$11),AND(AV76&lt;&gt;"",AV76&gt;Inputs!$B$12),AA76&lt;Inputs!$B$19,AB76&lt;Inputs!$B$19,N76&lt;Inputs!$B$7,N76&gt;Inputs!$B$8),"CHECK","OK"))</f>
        <v/>
      </c>
      <c r="AD76" s="9" t="str">
        <f aca="false">IF(A76="","",(1/Inputs!$B$9)*(PI()*(Inputs!$F$5/1000)^2/4)*((Inputs!$F$5/1000/4)^(2/3))*SQRT(N76))</f>
        <v/>
      </c>
      <c r="AE76" s="9" t="str">
        <f aca="false">IF(A76="","",(1/Inputs!$B$9)*(PI()*(Inputs!$F$6/1000)^2/4)*((Inputs!$F$6/1000/4)^(2/3))*SQRT(N76))</f>
        <v/>
      </c>
      <c r="AF76" s="9" t="str">
        <f aca="false">IF(A76="","",(1/Inputs!$B$9)*(PI()*(Inputs!$F$7/1000)^2/4)*((Inputs!$F$7/1000/4)^(2/3))*SQRT(N76))</f>
        <v/>
      </c>
      <c r="AG76" s="9" t="str">
        <f aca="false">IF(A76="","",(1/Inputs!$B$9)*(PI()*(Inputs!$F$8/1000)^2/4)*((Inputs!$F$8/1000/4)^(2/3))*SQRT(N76))</f>
        <v/>
      </c>
      <c r="AH76" s="9" t="str">
        <f aca="false">IF(A76="","",(1/Inputs!$B$9)*(PI()*(Inputs!$F$9/1000)^2/4)*((Inputs!$F$9/1000/4)^(2/3))*SQRT(N76))</f>
        <v/>
      </c>
      <c r="AI76" s="9" t="str">
        <f aca="false">IF(A76="","",(1/Inputs!$B$9)*(PI()*(Inputs!$F$10/1000)^2/4)*((Inputs!$F$10/1000/4)^(2/3))*SQRT(N76))</f>
        <v/>
      </c>
      <c r="AJ76" s="9" t="str">
        <f aca="false">IF(A76="","",(1/Inputs!$B$9)*(PI()*(Inputs!$F$11/1000)^2/4)*((Inputs!$F$11/1000/4)^(2/3))*SQRT(N76))</f>
        <v/>
      </c>
      <c r="AK76" s="9" t="str">
        <f aca="false">IF(A76="","",(1/Inputs!$B$9)*(PI()*(Inputs!$F$12/1000)^2/4)*((Inputs!$F$12/1000/4)^(2/3))*SQRT(N76))</f>
        <v/>
      </c>
      <c r="AL76" s="9" t="str">
        <f aca="false">IF(A76="","",(1/Inputs!$B$9)*(PI()*(Inputs!$F$13/1000)^2/4)*((Inputs!$F$13/1000/4)^(2/3))*SQRT(N76))</f>
        <v/>
      </c>
      <c r="AM76" s="9" t="str">
        <f aca="false">IF(A76="","",(1/Inputs!$B$9)*(PI()*(Inputs!$F$14/1000)^2/4)*((Inputs!$F$14/1000/4)^(2/3))*SQRT(N76))</f>
        <v/>
      </c>
      <c r="AN76" s="9" t="str">
        <f aca="false">IF(A76="","",COUNTIF($B$4:$B$203,$A76))</f>
        <v/>
      </c>
      <c r="AO76" s="9" t="str">
        <f aca="false">IF(A76="","",IF(AN76=0,"START","CONTINUOUS"))</f>
        <v/>
      </c>
      <c r="AP76" s="13" t="str">
        <f aca="false">IF(A76="","",IF(H76="",Inputs!$B$18,H76))</f>
        <v/>
      </c>
      <c r="AQ76" s="13" t="str">
        <f aca="false">IF(A76="","",IFERROR(maxifs($AS$4:$AS$203,$B$4:$B$203,$A76),""))</f>
        <v/>
      </c>
      <c r="AR76" s="13" t="str">
        <f aca="false">IF(A76="","",IF(OR(C76="",Inputs!$B$23=""),"",C76/(Inputs!$B$23*60)))</f>
        <v/>
      </c>
      <c r="AS76" s="13" t="str">
        <f aca="false">IF(A76="","",IF(AN76=0,AP76+AR76,IF(AQ76="",AP76+AR76,AQ76+AR76)))</f>
        <v/>
      </c>
      <c r="AT76" s="13" t="str">
        <f aca="false">IF(A76="","",U76)</f>
        <v/>
      </c>
      <c r="AU76" s="13" t="str">
        <f aca="false">IF(OR(R76="",N76=""),"",(1/Inputs!$B$9)*((R76/4)^(2/3))*SQRT(N76))</f>
        <v/>
      </c>
      <c r="AV76" s="13" t="str">
        <f aca="false">IF(A76="","",IF(AND(AT76="",AU76="",AX76=""),"",IF(OR(UPPER(TRIM(Inputs!$B$24))="MANNING",UPPER(TRIM(Inputs!$B$24))="M"),AU76,IF(OR(UPPER(TRIM(Inputs!$B$24))="PARTIAL",UPPER(TRIM(Inputs!$B$24))="P"),AX76,IF(OR(UPPER(TRIM(Inputs!$B$24))="MAX",UPPER(TRIM(Inputs!$B$24))="X"),MAX(IF(AT76="",0,AT76),IF(AU76="",0,AU76),IF(AX76="",0,AX76)),AT76)))))</f>
        <v/>
      </c>
      <c r="AW76" s="13" t="str">
        <f aca="false">IF(AY76="","",CE76)</f>
        <v/>
      </c>
      <c r="AX76" s="13" t="str">
        <f aca="false">IF(OR(AY76="",AW76="",R76="",R76&lt;=0,AW76&lt;=0),"",AY76/((R76^2/8)*(2*ACOS(1-2*AW76/R76)-SIN(2*ACOS(1-2*AW76/R76)))))</f>
        <v/>
      </c>
      <c r="AY76" s="9" t="str">
        <f aca="false">IF(OR(L76="",AZ76=""),"",MIN(L76,AZ76))</f>
        <v/>
      </c>
      <c r="AZ76" s="9" t="str">
        <f aca="false">IF(OR(L76="",R76="",N76=""),"",IF(OR(R76="",N76="",(0.94*R76)="",R76&lt;=0,(0.94*R76)&lt;=0),"",(1/Inputs!$B$9)*((R76^2/8)*((2*ACOS(1-2*(0.94*R76)/R76))-SIN((2*ACOS(1-2*(0.94*R76)/R76)))))*((((R76^2/8)*((2*ACOS(1-2*(0.94*R76)/R76))-SIN((2*ACOS(1-2*(0.94*R76)/R76)))))/((R76/2)*((2*ACOS(1-2*(0.94*R76)/R76)))))^(2/3))*SQRT(N76)))</f>
        <v/>
      </c>
      <c r="BA76" s="9" t="str">
        <f aca="false">IF(AY76="","",0.001*R76)</f>
        <v/>
      </c>
      <c r="BB76" s="9" t="str">
        <f aca="false">IF(AY76="","",0.94*R76)</f>
        <v/>
      </c>
      <c r="BC76" s="9" t="str">
        <f aca="false">IF(AY76="","",(BA76+BB76)/2)</f>
        <v/>
      </c>
      <c r="BD76" s="9" t="str">
        <f aca="false">IF(OR(R76="",N76="",BC76="",R76&lt;=0,BC76&lt;=0),"",(1/Inputs!$B$9)*((R76^2/8)*((2*ACOS(1-2*BC76/R76))-SIN((2*ACOS(1-2*BC76/R76)))))*((((R76^2/8)*((2*ACOS(1-2*BC76/R76))-SIN((2*ACOS(1-2*BC76/R76)))))/((R76/2)*((2*ACOS(1-2*BC76/R76)))))^(2/3))*SQRT(N76))</f>
        <v/>
      </c>
      <c r="BE76" s="9" t="str">
        <f aca="false">IF(AY76="","",IF(BD76&lt;AY76,BC76,BA76))</f>
        <v/>
      </c>
      <c r="BF76" s="9" t="str">
        <f aca="false">IF(AY76="","",IF(BD76&lt;AY76,BB76,BC76))</f>
        <v/>
      </c>
      <c r="BG76" s="9" t="str">
        <f aca="false">IF(AY76="","",(BE76+BF76)/2)</f>
        <v/>
      </c>
      <c r="BH76" s="9" t="str">
        <f aca="false">IF(OR(R76="",N76="",BG76="",R76&lt;=0,BG76&lt;=0),"",(1/Inputs!$B$9)*((R76^2/8)*((2*ACOS(1-2*BG76/R76))-SIN((2*ACOS(1-2*BG76/R76)))))*((((R76^2/8)*((2*ACOS(1-2*BG76/R76))-SIN((2*ACOS(1-2*BG76/R76)))))/((R76/2)*((2*ACOS(1-2*BG76/R76)))))^(2/3))*SQRT(N76))</f>
        <v/>
      </c>
      <c r="BI76" s="9" t="str">
        <f aca="false">IF(AY76="","",IF(BH76&lt;AY76,BG76,BE76))</f>
        <v/>
      </c>
      <c r="BJ76" s="9" t="str">
        <f aca="false">IF(AY76="","",IF(BH76&lt;AY76,BF76,BG76))</f>
        <v/>
      </c>
      <c r="BK76" s="9" t="str">
        <f aca="false">IF(AY76="","",(BI76+BJ76)/2)</f>
        <v/>
      </c>
      <c r="BL76" s="9" t="str">
        <f aca="false">IF(OR(R76="",N76="",BK76="",R76&lt;=0,BK76&lt;=0),"",(1/Inputs!$B$9)*((R76^2/8)*((2*ACOS(1-2*BK76/R76))-SIN((2*ACOS(1-2*BK76/R76)))))*((((R76^2/8)*((2*ACOS(1-2*BK76/R76))-SIN((2*ACOS(1-2*BK76/R76)))))/((R76/2)*((2*ACOS(1-2*BK76/R76)))))^(2/3))*SQRT(N76))</f>
        <v/>
      </c>
      <c r="BM76" s="9" t="str">
        <f aca="false">IF(AY76="","",IF(BL76&lt;AY76,BK76,BI76))</f>
        <v/>
      </c>
      <c r="BN76" s="9" t="str">
        <f aca="false">IF(AY76="","",IF(BL76&lt;AY76,BJ76,BK76))</f>
        <v/>
      </c>
      <c r="BO76" s="9" t="str">
        <f aca="false">IF(AY76="","",(BM76+BN76)/2)</f>
        <v/>
      </c>
      <c r="BP76" s="9" t="str">
        <f aca="false">IF(OR(R76="",N76="",BO76="",R76&lt;=0,BO76&lt;=0),"",(1/Inputs!$B$9)*((R76^2/8)*((2*ACOS(1-2*BO76/R76))-SIN((2*ACOS(1-2*BO76/R76)))))*((((R76^2/8)*((2*ACOS(1-2*BO76/R76))-SIN((2*ACOS(1-2*BO76/R76)))))/((R76/2)*((2*ACOS(1-2*BO76/R76)))))^(2/3))*SQRT(N76))</f>
        <v/>
      </c>
      <c r="BQ76" s="9" t="str">
        <f aca="false">IF(AY76="","",IF(BP76&lt;AY76,BO76,BM76))</f>
        <v/>
      </c>
      <c r="BR76" s="9" t="str">
        <f aca="false">IF(AY76="","",IF(BP76&lt;AY76,BN76,BO76))</f>
        <v/>
      </c>
      <c r="BS76" s="9" t="str">
        <f aca="false">IF(AY76="","",(BQ76+BR76)/2)</f>
        <v/>
      </c>
      <c r="BT76" s="9" t="str">
        <f aca="false">IF(OR(R76="",N76="",BS76="",R76&lt;=0,BS76&lt;=0),"",(1/Inputs!$B$9)*((R76^2/8)*((2*ACOS(1-2*BS76/R76))-SIN((2*ACOS(1-2*BS76/R76)))))*((((R76^2/8)*((2*ACOS(1-2*BS76/R76))-SIN((2*ACOS(1-2*BS76/R76)))))/((R76/2)*((2*ACOS(1-2*BS76/R76)))))^(2/3))*SQRT(N76))</f>
        <v/>
      </c>
      <c r="BU76" s="9" t="str">
        <f aca="false">IF(AY76="","",IF(BT76&lt;AY76,BS76,BQ76))</f>
        <v/>
      </c>
      <c r="BV76" s="9" t="str">
        <f aca="false">IF(AY76="","",IF(BT76&lt;AY76,BR76,BS76))</f>
        <v/>
      </c>
      <c r="BW76" s="9" t="str">
        <f aca="false">IF(AY76="","",(BU76+BV76)/2)</f>
        <v/>
      </c>
      <c r="BX76" s="9" t="str">
        <f aca="false">IF(OR(R76="",N76="",BW76="",R76&lt;=0,BW76&lt;=0),"",(1/Inputs!$B$9)*((R76^2/8)*((2*ACOS(1-2*BW76/R76))-SIN((2*ACOS(1-2*BW76/R76)))))*((((R76^2/8)*((2*ACOS(1-2*BW76/R76))-SIN((2*ACOS(1-2*BW76/R76)))))/((R76/2)*((2*ACOS(1-2*BW76/R76)))))^(2/3))*SQRT(N76))</f>
        <v/>
      </c>
      <c r="BY76" s="9" t="str">
        <f aca="false">IF(AY76="","",IF(BX76&lt;AY76,BW76,BU76))</f>
        <v/>
      </c>
      <c r="BZ76" s="9" t="str">
        <f aca="false">IF(AY76="","",IF(BX76&lt;AY76,BV76,BW76))</f>
        <v/>
      </c>
      <c r="CA76" s="9" t="str">
        <f aca="false">IF(AY76="","",(BY76+BZ76)/2)</f>
        <v/>
      </c>
      <c r="CB76" s="9" t="str">
        <f aca="false">IF(OR(R76="",N76="",CA76="",R76&lt;=0,CA76&lt;=0),"",(1/Inputs!$B$9)*((R76^2/8)*((2*ACOS(1-2*CA76/R76))-SIN((2*ACOS(1-2*CA76/R76)))))*((((R76^2/8)*((2*ACOS(1-2*CA76/R76))-SIN((2*ACOS(1-2*CA76/R76)))))/((R76/2)*((2*ACOS(1-2*CA76/R76)))))^(2/3))*SQRT(N76))</f>
        <v/>
      </c>
      <c r="CC76" s="9" t="str">
        <f aca="false">IF(AY76="","",IF(CB76&lt;AY76,CA76,BY76))</f>
        <v/>
      </c>
      <c r="CD76" s="9" t="str">
        <f aca="false">IF(AY76="","",IF(CB76&lt;AY76,BZ76,CA76))</f>
        <v/>
      </c>
      <c r="CE76" s="9" t="str">
        <f aca="false">IF(AY76="","",(CC76+CD76)/2)</f>
        <v/>
      </c>
    </row>
    <row r="77" customFormat="false" ht="15" hidden="false" customHeight="false" outlineLevel="0" collapsed="false">
      <c r="A77" s="9"/>
      <c r="B77" s="9"/>
      <c r="C77" s="14"/>
      <c r="D77" s="14"/>
      <c r="E77" s="14" t="n">
        <f aca="false">SUMIFS(CB_Tributaires!$C:$C,CB_Tributaires!$B:$B,$A77)</f>
        <v>0</v>
      </c>
      <c r="F77" s="14" t="n">
        <f aca="false">IF(D77="",E77,D77)</f>
        <v>0</v>
      </c>
      <c r="G77" s="9"/>
      <c r="H77" s="14"/>
      <c r="I77" s="14" t="str">
        <f aca="false">IF(A77="","",Inputs!$B$13/((IF(AS77="",Inputs!$B$18,AS77)+Inputs!$B$14)^Inputs!$B$15))</f>
        <v/>
      </c>
      <c r="J77" s="14" t="str">
        <f aca="false">IF(A77="","",0.000000278*IF(G77="",Inputs!$B$17,G77)*F77*I77)</f>
        <v/>
      </c>
      <c r="K77" s="14" t="str">
        <f aca="false">IF(A77="","",SUMIFS($L$4:$L$203,$B$4:$B$203,$A77))</f>
        <v/>
      </c>
      <c r="L77" s="14" t="str">
        <f aca="false">IF(A77="","",(J77+K77)*Inputs!$B$16)</f>
        <v/>
      </c>
      <c r="M77" s="14"/>
      <c r="N77" s="14" t="str">
        <f aca="false">IF(A77="","",IF(M77="",Inputs!$B$7,M77))</f>
        <v/>
      </c>
      <c r="O77" s="9" t="str">
        <f aca="false">IF(A77="","",IF(L77/Inputs!$B$10&lt;=AD77,Inputs!$F$5,IF(L77/Inputs!$B$10&gt;AM77,"OVERSIZE",INDEX(Inputs!$F$5:$F$14,MATCH(L77/Inputs!$B$10,AD77:AM77,1)+1))))</f>
        <v/>
      </c>
      <c r="P77" s="9"/>
      <c r="Q77" s="9" t="str">
        <f aca="false">IF(A77="","",IF(P77="",O77,P77))</f>
        <v/>
      </c>
      <c r="R77" s="14" t="str">
        <f aca="false">IF(OR(Q77="",Q77="OVERSIZE"),"",Q77/1000)</f>
        <v/>
      </c>
      <c r="S77" s="14" t="str">
        <f aca="false">IF(R77="","",(1/Inputs!$B$9)*(PI()*R77^2/4)*((R77/4)^(2/3))*SQRT(N77))</f>
        <v/>
      </c>
      <c r="T77" s="14" t="str">
        <f aca="false">IF(OR(S77="",L77=""),"",L77/(S77*Inputs!$B$10))</f>
        <v/>
      </c>
      <c r="U77" s="14" t="str">
        <f aca="false">IF(OR(R77="",L77=""),"",4*L77/(PI()*R77^2))</f>
        <v/>
      </c>
      <c r="V77" s="14"/>
      <c r="W77" s="14" t="str">
        <f aca="false">IF(A77="","",IF(A77=Inputs!$B$6,Inputs!$B$22,IF(B77="","",IFERROR(INDEX($X$4:$X$203,MATCH(B77,$A$4:$A$203,0))+IF(V77="",Inputs!$B$20,V77),""))))</f>
        <v/>
      </c>
      <c r="X77" s="14" t="str">
        <f aca="false">IF(OR(W77="",N77="",C77=""),"",W77+N77*C77)</f>
        <v/>
      </c>
      <c r="Y77" s="14"/>
      <c r="Z77" s="14"/>
      <c r="AA77" s="14" t="str">
        <f aca="false">IF(OR(Y77="",W77=""),"",Y77-W77)</f>
        <v/>
      </c>
      <c r="AB77" s="14" t="str">
        <f aca="false">IF(OR(Z77="",X77=""),"",Z77-X77)</f>
        <v/>
      </c>
      <c r="AC77" s="19" t="str">
        <f aca="false">IF(A77="","",IF(OR(T77&gt;1,AND(AV77&lt;&gt;"",AV77&lt;Inputs!$B$11),AND(AV77&lt;&gt;"",AV77&gt;Inputs!$B$12),AA77&lt;Inputs!$B$19,AB77&lt;Inputs!$B$19,N77&lt;Inputs!$B$7,N77&gt;Inputs!$B$8),"CHECK","OK"))</f>
        <v/>
      </c>
      <c r="AD77" s="9" t="str">
        <f aca="false">IF(A77="","",(1/Inputs!$B$9)*(PI()*(Inputs!$F$5/1000)^2/4)*((Inputs!$F$5/1000/4)^(2/3))*SQRT(N77))</f>
        <v/>
      </c>
      <c r="AE77" s="9" t="str">
        <f aca="false">IF(A77="","",(1/Inputs!$B$9)*(PI()*(Inputs!$F$6/1000)^2/4)*((Inputs!$F$6/1000/4)^(2/3))*SQRT(N77))</f>
        <v/>
      </c>
      <c r="AF77" s="9" t="str">
        <f aca="false">IF(A77="","",(1/Inputs!$B$9)*(PI()*(Inputs!$F$7/1000)^2/4)*((Inputs!$F$7/1000/4)^(2/3))*SQRT(N77))</f>
        <v/>
      </c>
      <c r="AG77" s="9" t="str">
        <f aca="false">IF(A77="","",(1/Inputs!$B$9)*(PI()*(Inputs!$F$8/1000)^2/4)*((Inputs!$F$8/1000/4)^(2/3))*SQRT(N77))</f>
        <v/>
      </c>
      <c r="AH77" s="9" t="str">
        <f aca="false">IF(A77="","",(1/Inputs!$B$9)*(PI()*(Inputs!$F$9/1000)^2/4)*((Inputs!$F$9/1000/4)^(2/3))*SQRT(N77))</f>
        <v/>
      </c>
      <c r="AI77" s="9" t="str">
        <f aca="false">IF(A77="","",(1/Inputs!$B$9)*(PI()*(Inputs!$F$10/1000)^2/4)*((Inputs!$F$10/1000/4)^(2/3))*SQRT(N77))</f>
        <v/>
      </c>
      <c r="AJ77" s="9" t="str">
        <f aca="false">IF(A77="","",(1/Inputs!$B$9)*(PI()*(Inputs!$F$11/1000)^2/4)*((Inputs!$F$11/1000/4)^(2/3))*SQRT(N77))</f>
        <v/>
      </c>
      <c r="AK77" s="9" t="str">
        <f aca="false">IF(A77="","",(1/Inputs!$B$9)*(PI()*(Inputs!$F$12/1000)^2/4)*((Inputs!$F$12/1000/4)^(2/3))*SQRT(N77))</f>
        <v/>
      </c>
      <c r="AL77" s="9" t="str">
        <f aca="false">IF(A77="","",(1/Inputs!$B$9)*(PI()*(Inputs!$F$13/1000)^2/4)*((Inputs!$F$13/1000/4)^(2/3))*SQRT(N77))</f>
        <v/>
      </c>
      <c r="AM77" s="9" t="str">
        <f aca="false">IF(A77="","",(1/Inputs!$B$9)*(PI()*(Inputs!$F$14/1000)^2/4)*((Inputs!$F$14/1000/4)^(2/3))*SQRT(N77))</f>
        <v/>
      </c>
      <c r="AN77" s="9" t="str">
        <f aca="false">IF(A77="","",COUNTIF($B$4:$B$203,$A77))</f>
        <v/>
      </c>
      <c r="AO77" s="9" t="str">
        <f aca="false">IF(A77="","",IF(AN77=0,"START","CONTINUOUS"))</f>
        <v/>
      </c>
      <c r="AP77" s="13" t="str">
        <f aca="false">IF(A77="","",IF(H77="",Inputs!$B$18,H77))</f>
        <v/>
      </c>
      <c r="AQ77" s="13" t="str">
        <f aca="false">IF(A77="","",IFERROR(maxifs($AS$4:$AS$203,$B$4:$B$203,$A77),""))</f>
        <v/>
      </c>
      <c r="AR77" s="13" t="str">
        <f aca="false">IF(A77="","",IF(OR(C77="",Inputs!$B$23=""),"",C77/(Inputs!$B$23*60)))</f>
        <v/>
      </c>
      <c r="AS77" s="13" t="str">
        <f aca="false">IF(A77="","",IF(AN77=0,AP77+AR77,IF(AQ77="",AP77+AR77,AQ77+AR77)))</f>
        <v/>
      </c>
      <c r="AT77" s="13" t="str">
        <f aca="false">IF(A77="","",U77)</f>
        <v/>
      </c>
      <c r="AU77" s="13" t="str">
        <f aca="false">IF(OR(R77="",N77=""),"",(1/Inputs!$B$9)*((R77/4)^(2/3))*SQRT(N77))</f>
        <v/>
      </c>
      <c r="AV77" s="13" t="str">
        <f aca="false">IF(A77="","",IF(AND(AT77="",AU77="",AX77=""),"",IF(OR(UPPER(TRIM(Inputs!$B$24))="MANNING",UPPER(TRIM(Inputs!$B$24))="M"),AU77,IF(OR(UPPER(TRIM(Inputs!$B$24))="PARTIAL",UPPER(TRIM(Inputs!$B$24))="P"),AX77,IF(OR(UPPER(TRIM(Inputs!$B$24))="MAX",UPPER(TRIM(Inputs!$B$24))="X"),MAX(IF(AT77="",0,AT77),IF(AU77="",0,AU77),IF(AX77="",0,AX77)),AT77)))))</f>
        <v/>
      </c>
      <c r="AW77" s="13" t="str">
        <f aca="false">IF(AY77="","",CE77)</f>
        <v/>
      </c>
      <c r="AX77" s="13" t="str">
        <f aca="false">IF(OR(AY77="",AW77="",R77="",R77&lt;=0,AW77&lt;=0),"",AY77/((R77^2/8)*(2*ACOS(1-2*AW77/R77)-SIN(2*ACOS(1-2*AW77/R77)))))</f>
        <v/>
      </c>
      <c r="AY77" s="9" t="str">
        <f aca="false">IF(OR(L77="",AZ77=""),"",MIN(L77,AZ77))</f>
        <v/>
      </c>
      <c r="AZ77" s="9" t="str">
        <f aca="false">IF(OR(L77="",R77="",N77=""),"",IF(OR(R77="",N77="",(0.94*R77)="",R77&lt;=0,(0.94*R77)&lt;=0),"",(1/Inputs!$B$9)*((R77^2/8)*((2*ACOS(1-2*(0.94*R77)/R77))-SIN((2*ACOS(1-2*(0.94*R77)/R77)))))*((((R77^2/8)*((2*ACOS(1-2*(0.94*R77)/R77))-SIN((2*ACOS(1-2*(0.94*R77)/R77)))))/((R77/2)*((2*ACOS(1-2*(0.94*R77)/R77)))))^(2/3))*SQRT(N77)))</f>
        <v/>
      </c>
      <c r="BA77" s="9" t="str">
        <f aca="false">IF(AY77="","",0.001*R77)</f>
        <v/>
      </c>
      <c r="BB77" s="9" t="str">
        <f aca="false">IF(AY77="","",0.94*R77)</f>
        <v/>
      </c>
      <c r="BC77" s="9" t="str">
        <f aca="false">IF(AY77="","",(BA77+BB77)/2)</f>
        <v/>
      </c>
      <c r="BD77" s="9" t="str">
        <f aca="false">IF(OR(R77="",N77="",BC77="",R77&lt;=0,BC77&lt;=0),"",(1/Inputs!$B$9)*((R77^2/8)*((2*ACOS(1-2*BC77/R77))-SIN((2*ACOS(1-2*BC77/R77)))))*((((R77^2/8)*((2*ACOS(1-2*BC77/R77))-SIN((2*ACOS(1-2*BC77/R77)))))/((R77/2)*((2*ACOS(1-2*BC77/R77)))))^(2/3))*SQRT(N77))</f>
        <v/>
      </c>
      <c r="BE77" s="9" t="str">
        <f aca="false">IF(AY77="","",IF(BD77&lt;AY77,BC77,BA77))</f>
        <v/>
      </c>
      <c r="BF77" s="9" t="str">
        <f aca="false">IF(AY77="","",IF(BD77&lt;AY77,BB77,BC77))</f>
        <v/>
      </c>
      <c r="BG77" s="9" t="str">
        <f aca="false">IF(AY77="","",(BE77+BF77)/2)</f>
        <v/>
      </c>
      <c r="BH77" s="9" t="str">
        <f aca="false">IF(OR(R77="",N77="",BG77="",R77&lt;=0,BG77&lt;=0),"",(1/Inputs!$B$9)*((R77^2/8)*((2*ACOS(1-2*BG77/R77))-SIN((2*ACOS(1-2*BG77/R77)))))*((((R77^2/8)*((2*ACOS(1-2*BG77/R77))-SIN((2*ACOS(1-2*BG77/R77)))))/((R77/2)*((2*ACOS(1-2*BG77/R77)))))^(2/3))*SQRT(N77))</f>
        <v/>
      </c>
      <c r="BI77" s="9" t="str">
        <f aca="false">IF(AY77="","",IF(BH77&lt;AY77,BG77,BE77))</f>
        <v/>
      </c>
      <c r="BJ77" s="9" t="str">
        <f aca="false">IF(AY77="","",IF(BH77&lt;AY77,BF77,BG77))</f>
        <v/>
      </c>
      <c r="BK77" s="9" t="str">
        <f aca="false">IF(AY77="","",(BI77+BJ77)/2)</f>
        <v/>
      </c>
      <c r="BL77" s="9" t="str">
        <f aca="false">IF(OR(R77="",N77="",BK77="",R77&lt;=0,BK77&lt;=0),"",(1/Inputs!$B$9)*((R77^2/8)*((2*ACOS(1-2*BK77/R77))-SIN((2*ACOS(1-2*BK77/R77)))))*((((R77^2/8)*((2*ACOS(1-2*BK77/R77))-SIN((2*ACOS(1-2*BK77/R77)))))/((R77/2)*((2*ACOS(1-2*BK77/R77)))))^(2/3))*SQRT(N77))</f>
        <v/>
      </c>
      <c r="BM77" s="9" t="str">
        <f aca="false">IF(AY77="","",IF(BL77&lt;AY77,BK77,BI77))</f>
        <v/>
      </c>
      <c r="BN77" s="9" t="str">
        <f aca="false">IF(AY77="","",IF(BL77&lt;AY77,BJ77,BK77))</f>
        <v/>
      </c>
      <c r="BO77" s="9" t="str">
        <f aca="false">IF(AY77="","",(BM77+BN77)/2)</f>
        <v/>
      </c>
      <c r="BP77" s="9" t="str">
        <f aca="false">IF(OR(R77="",N77="",BO77="",R77&lt;=0,BO77&lt;=0),"",(1/Inputs!$B$9)*((R77^2/8)*((2*ACOS(1-2*BO77/R77))-SIN((2*ACOS(1-2*BO77/R77)))))*((((R77^2/8)*((2*ACOS(1-2*BO77/R77))-SIN((2*ACOS(1-2*BO77/R77)))))/((R77/2)*((2*ACOS(1-2*BO77/R77)))))^(2/3))*SQRT(N77))</f>
        <v/>
      </c>
      <c r="BQ77" s="9" t="str">
        <f aca="false">IF(AY77="","",IF(BP77&lt;AY77,BO77,BM77))</f>
        <v/>
      </c>
      <c r="BR77" s="9" t="str">
        <f aca="false">IF(AY77="","",IF(BP77&lt;AY77,BN77,BO77))</f>
        <v/>
      </c>
      <c r="BS77" s="9" t="str">
        <f aca="false">IF(AY77="","",(BQ77+BR77)/2)</f>
        <v/>
      </c>
      <c r="BT77" s="9" t="str">
        <f aca="false">IF(OR(R77="",N77="",BS77="",R77&lt;=0,BS77&lt;=0),"",(1/Inputs!$B$9)*((R77^2/8)*((2*ACOS(1-2*BS77/R77))-SIN((2*ACOS(1-2*BS77/R77)))))*((((R77^2/8)*((2*ACOS(1-2*BS77/R77))-SIN((2*ACOS(1-2*BS77/R77)))))/((R77/2)*((2*ACOS(1-2*BS77/R77)))))^(2/3))*SQRT(N77))</f>
        <v/>
      </c>
      <c r="BU77" s="9" t="str">
        <f aca="false">IF(AY77="","",IF(BT77&lt;AY77,BS77,BQ77))</f>
        <v/>
      </c>
      <c r="BV77" s="9" t="str">
        <f aca="false">IF(AY77="","",IF(BT77&lt;AY77,BR77,BS77))</f>
        <v/>
      </c>
      <c r="BW77" s="9" t="str">
        <f aca="false">IF(AY77="","",(BU77+BV77)/2)</f>
        <v/>
      </c>
      <c r="BX77" s="9" t="str">
        <f aca="false">IF(OR(R77="",N77="",BW77="",R77&lt;=0,BW77&lt;=0),"",(1/Inputs!$B$9)*((R77^2/8)*((2*ACOS(1-2*BW77/R77))-SIN((2*ACOS(1-2*BW77/R77)))))*((((R77^2/8)*((2*ACOS(1-2*BW77/R77))-SIN((2*ACOS(1-2*BW77/R77)))))/((R77/2)*((2*ACOS(1-2*BW77/R77)))))^(2/3))*SQRT(N77))</f>
        <v/>
      </c>
      <c r="BY77" s="9" t="str">
        <f aca="false">IF(AY77="","",IF(BX77&lt;AY77,BW77,BU77))</f>
        <v/>
      </c>
      <c r="BZ77" s="9" t="str">
        <f aca="false">IF(AY77="","",IF(BX77&lt;AY77,BV77,BW77))</f>
        <v/>
      </c>
      <c r="CA77" s="9" t="str">
        <f aca="false">IF(AY77="","",(BY77+BZ77)/2)</f>
        <v/>
      </c>
      <c r="CB77" s="9" t="str">
        <f aca="false">IF(OR(R77="",N77="",CA77="",R77&lt;=0,CA77&lt;=0),"",(1/Inputs!$B$9)*((R77^2/8)*((2*ACOS(1-2*CA77/R77))-SIN((2*ACOS(1-2*CA77/R77)))))*((((R77^2/8)*((2*ACOS(1-2*CA77/R77))-SIN((2*ACOS(1-2*CA77/R77)))))/((R77/2)*((2*ACOS(1-2*CA77/R77)))))^(2/3))*SQRT(N77))</f>
        <v/>
      </c>
      <c r="CC77" s="9" t="str">
        <f aca="false">IF(AY77="","",IF(CB77&lt;AY77,CA77,BY77))</f>
        <v/>
      </c>
      <c r="CD77" s="9" t="str">
        <f aca="false">IF(AY77="","",IF(CB77&lt;AY77,BZ77,CA77))</f>
        <v/>
      </c>
      <c r="CE77" s="9" t="str">
        <f aca="false">IF(AY77="","",(CC77+CD77)/2)</f>
        <v/>
      </c>
    </row>
    <row r="78" customFormat="false" ht="15" hidden="false" customHeight="false" outlineLevel="0" collapsed="false">
      <c r="A78" s="9"/>
      <c r="B78" s="9"/>
      <c r="C78" s="14"/>
      <c r="D78" s="14"/>
      <c r="E78" s="14" t="n">
        <f aca="false">SUMIFS(CB_Tributaires!$C:$C,CB_Tributaires!$B:$B,$A78)</f>
        <v>0</v>
      </c>
      <c r="F78" s="14" t="n">
        <f aca="false">IF(D78="",E78,D78)</f>
        <v>0</v>
      </c>
      <c r="G78" s="9"/>
      <c r="H78" s="14"/>
      <c r="I78" s="14" t="str">
        <f aca="false">IF(A78="","",Inputs!$B$13/((IF(AS78="",Inputs!$B$18,AS78)+Inputs!$B$14)^Inputs!$B$15))</f>
        <v/>
      </c>
      <c r="J78" s="14" t="str">
        <f aca="false">IF(A78="","",0.000000278*IF(G78="",Inputs!$B$17,G78)*F78*I78)</f>
        <v/>
      </c>
      <c r="K78" s="14" t="str">
        <f aca="false">IF(A78="","",SUMIFS($L$4:$L$203,$B$4:$B$203,$A78))</f>
        <v/>
      </c>
      <c r="L78" s="14" t="str">
        <f aca="false">IF(A78="","",(J78+K78)*Inputs!$B$16)</f>
        <v/>
      </c>
      <c r="M78" s="14"/>
      <c r="N78" s="14" t="str">
        <f aca="false">IF(A78="","",IF(M78="",Inputs!$B$7,M78))</f>
        <v/>
      </c>
      <c r="O78" s="9" t="str">
        <f aca="false">IF(A78="","",IF(L78/Inputs!$B$10&lt;=AD78,Inputs!$F$5,IF(L78/Inputs!$B$10&gt;AM78,"OVERSIZE",INDEX(Inputs!$F$5:$F$14,MATCH(L78/Inputs!$B$10,AD78:AM78,1)+1))))</f>
        <v/>
      </c>
      <c r="P78" s="9"/>
      <c r="Q78" s="9" t="str">
        <f aca="false">IF(A78="","",IF(P78="",O78,P78))</f>
        <v/>
      </c>
      <c r="R78" s="14" t="str">
        <f aca="false">IF(OR(Q78="",Q78="OVERSIZE"),"",Q78/1000)</f>
        <v/>
      </c>
      <c r="S78" s="14" t="str">
        <f aca="false">IF(R78="","",(1/Inputs!$B$9)*(PI()*R78^2/4)*((R78/4)^(2/3))*SQRT(N78))</f>
        <v/>
      </c>
      <c r="T78" s="14" t="str">
        <f aca="false">IF(OR(S78="",L78=""),"",L78/(S78*Inputs!$B$10))</f>
        <v/>
      </c>
      <c r="U78" s="14" t="str">
        <f aca="false">IF(OR(R78="",L78=""),"",4*L78/(PI()*R78^2))</f>
        <v/>
      </c>
      <c r="V78" s="14"/>
      <c r="W78" s="14" t="str">
        <f aca="false">IF(A78="","",IF(A78=Inputs!$B$6,Inputs!$B$22,IF(B78="","",IFERROR(INDEX($X$4:$X$203,MATCH(B78,$A$4:$A$203,0))+IF(V78="",Inputs!$B$20,V78),""))))</f>
        <v/>
      </c>
      <c r="X78" s="14" t="str">
        <f aca="false">IF(OR(W78="",N78="",C78=""),"",W78+N78*C78)</f>
        <v/>
      </c>
      <c r="Y78" s="14"/>
      <c r="Z78" s="14"/>
      <c r="AA78" s="14" t="str">
        <f aca="false">IF(OR(Y78="",W78=""),"",Y78-W78)</f>
        <v/>
      </c>
      <c r="AB78" s="14" t="str">
        <f aca="false">IF(OR(Z78="",X78=""),"",Z78-X78)</f>
        <v/>
      </c>
      <c r="AC78" s="19" t="str">
        <f aca="false">IF(A78="","",IF(OR(T78&gt;1,AND(AV78&lt;&gt;"",AV78&lt;Inputs!$B$11),AND(AV78&lt;&gt;"",AV78&gt;Inputs!$B$12),AA78&lt;Inputs!$B$19,AB78&lt;Inputs!$B$19,N78&lt;Inputs!$B$7,N78&gt;Inputs!$B$8),"CHECK","OK"))</f>
        <v/>
      </c>
      <c r="AD78" s="9" t="str">
        <f aca="false">IF(A78="","",(1/Inputs!$B$9)*(PI()*(Inputs!$F$5/1000)^2/4)*((Inputs!$F$5/1000/4)^(2/3))*SQRT(N78))</f>
        <v/>
      </c>
      <c r="AE78" s="9" t="str">
        <f aca="false">IF(A78="","",(1/Inputs!$B$9)*(PI()*(Inputs!$F$6/1000)^2/4)*((Inputs!$F$6/1000/4)^(2/3))*SQRT(N78))</f>
        <v/>
      </c>
      <c r="AF78" s="9" t="str">
        <f aca="false">IF(A78="","",(1/Inputs!$B$9)*(PI()*(Inputs!$F$7/1000)^2/4)*((Inputs!$F$7/1000/4)^(2/3))*SQRT(N78))</f>
        <v/>
      </c>
      <c r="AG78" s="9" t="str">
        <f aca="false">IF(A78="","",(1/Inputs!$B$9)*(PI()*(Inputs!$F$8/1000)^2/4)*((Inputs!$F$8/1000/4)^(2/3))*SQRT(N78))</f>
        <v/>
      </c>
      <c r="AH78" s="9" t="str">
        <f aca="false">IF(A78="","",(1/Inputs!$B$9)*(PI()*(Inputs!$F$9/1000)^2/4)*((Inputs!$F$9/1000/4)^(2/3))*SQRT(N78))</f>
        <v/>
      </c>
      <c r="AI78" s="9" t="str">
        <f aca="false">IF(A78="","",(1/Inputs!$B$9)*(PI()*(Inputs!$F$10/1000)^2/4)*((Inputs!$F$10/1000/4)^(2/3))*SQRT(N78))</f>
        <v/>
      </c>
      <c r="AJ78" s="9" t="str">
        <f aca="false">IF(A78="","",(1/Inputs!$B$9)*(PI()*(Inputs!$F$11/1000)^2/4)*((Inputs!$F$11/1000/4)^(2/3))*SQRT(N78))</f>
        <v/>
      </c>
      <c r="AK78" s="9" t="str">
        <f aca="false">IF(A78="","",(1/Inputs!$B$9)*(PI()*(Inputs!$F$12/1000)^2/4)*((Inputs!$F$12/1000/4)^(2/3))*SQRT(N78))</f>
        <v/>
      </c>
      <c r="AL78" s="9" t="str">
        <f aca="false">IF(A78="","",(1/Inputs!$B$9)*(PI()*(Inputs!$F$13/1000)^2/4)*((Inputs!$F$13/1000/4)^(2/3))*SQRT(N78))</f>
        <v/>
      </c>
      <c r="AM78" s="9" t="str">
        <f aca="false">IF(A78="","",(1/Inputs!$B$9)*(PI()*(Inputs!$F$14/1000)^2/4)*((Inputs!$F$14/1000/4)^(2/3))*SQRT(N78))</f>
        <v/>
      </c>
      <c r="AN78" s="9" t="str">
        <f aca="false">IF(A78="","",COUNTIF($B$4:$B$203,$A78))</f>
        <v/>
      </c>
      <c r="AO78" s="9" t="str">
        <f aca="false">IF(A78="","",IF(AN78=0,"START","CONTINUOUS"))</f>
        <v/>
      </c>
      <c r="AP78" s="13" t="str">
        <f aca="false">IF(A78="","",IF(H78="",Inputs!$B$18,H78))</f>
        <v/>
      </c>
      <c r="AQ78" s="13" t="str">
        <f aca="false">IF(A78="","",IFERROR(maxifs($AS$4:$AS$203,$B$4:$B$203,$A78),""))</f>
        <v/>
      </c>
      <c r="AR78" s="13" t="str">
        <f aca="false">IF(A78="","",IF(OR(C78="",Inputs!$B$23=""),"",C78/(Inputs!$B$23*60)))</f>
        <v/>
      </c>
      <c r="AS78" s="13" t="str">
        <f aca="false">IF(A78="","",IF(AN78=0,AP78+AR78,IF(AQ78="",AP78+AR78,AQ78+AR78)))</f>
        <v/>
      </c>
      <c r="AT78" s="13" t="str">
        <f aca="false">IF(A78="","",U78)</f>
        <v/>
      </c>
      <c r="AU78" s="13" t="str">
        <f aca="false">IF(OR(R78="",N78=""),"",(1/Inputs!$B$9)*((R78/4)^(2/3))*SQRT(N78))</f>
        <v/>
      </c>
      <c r="AV78" s="13" t="str">
        <f aca="false">IF(A78="","",IF(AND(AT78="",AU78="",AX78=""),"",IF(OR(UPPER(TRIM(Inputs!$B$24))="MANNING",UPPER(TRIM(Inputs!$B$24))="M"),AU78,IF(OR(UPPER(TRIM(Inputs!$B$24))="PARTIAL",UPPER(TRIM(Inputs!$B$24))="P"),AX78,IF(OR(UPPER(TRIM(Inputs!$B$24))="MAX",UPPER(TRIM(Inputs!$B$24))="X"),MAX(IF(AT78="",0,AT78),IF(AU78="",0,AU78),IF(AX78="",0,AX78)),AT78)))))</f>
        <v/>
      </c>
      <c r="AW78" s="13" t="str">
        <f aca="false">IF(AY78="","",CE78)</f>
        <v/>
      </c>
      <c r="AX78" s="13" t="str">
        <f aca="false">IF(OR(AY78="",AW78="",R78="",R78&lt;=0,AW78&lt;=0),"",AY78/((R78^2/8)*(2*ACOS(1-2*AW78/R78)-SIN(2*ACOS(1-2*AW78/R78)))))</f>
        <v/>
      </c>
      <c r="AY78" s="9" t="str">
        <f aca="false">IF(OR(L78="",AZ78=""),"",MIN(L78,AZ78))</f>
        <v/>
      </c>
      <c r="AZ78" s="9" t="str">
        <f aca="false">IF(OR(L78="",R78="",N78=""),"",IF(OR(R78="",N78="",(0.94*R78)="",R78&lt;=0,(0.94*R78)&lt;=0),"",(1/Inputs!$B$9)*((R78^2/8)*((2*ACOS(1-2*(0.94*R78)/R78))-SIN((2*ACOS(1-2*(0.94*R78)/R78)))))*((((R78^2/8)*((2*ACOS(1-2*(0.94*R78)/R78))-SIN((2*ACOS(1-2*(0.94*R78)/R78)))))/((R78/2)*((2*ACOS(1-2*(0.94*R78)/R78)))))^(2/3))*SQRT(N78)))</f>
        <v/>
      </c>
      <c r="BA78" s="9" t="str">
        <f aca="false">IF(AY78="","",0.001*R78)</f>
        <v/>
      </c>
      <c r="BB78" s="9" t="str">
        <f aca="false">IF(AY78="","",0.94*R78)</f>
        <v/>
      </c>
      <c r="BC78" s="9" t="str">
        <f aca="false">IF(AY78="","",(BA78+BB78)/2)</f>
        <v/>
      </c>
      <c r="BD78" s="9" t="str">
        <f aca="false">IF(OR(R78="",N78="",BC78="",R78&lt;=0,BC78&lt;=0),"",(1/Inputs!$B$9)*((R78^2/8)*((2*ACOS(1-2*BC78/R78))-SIN((2*ACOS(1-2*BC78/R78)))))*((((R78^2/8)*((2*ACOS(1-2*BC78/R78))-SIN((2*ACOS(1-2*BC78/R78)))))/((R78/2)*((2*ACOS(1-2*BC78/R78)))))^(2/3))*SQRT(N78))</f>
        <v/>
      </c>
      <c r="BE78" s="9" t="str">
        <f aca="false">IF(AY78="","",IF(BD78&lt;AY78,BC78,BA78))</f>
        <v/>
      </c>
      <c r="BF78" s="9" t="str">
        <f aca="false">IF(AY78="","",IF(BD78&lt;AY78,BB78,BC78))</f>
        <v/>
      </c>
      <c r="BG78" s="9" t="str">
        <f aca="false">IF(AY78="","",(BE78+BF78)/2)</f>
        <v/>
      </c>
      <c r="BH78" s="9" t="str">
        <f aca="false">IF(OR(R78="",N78="",BG78="",R78&lt;=0,BG78&lt;=0),"",(1/Inputs!$B$9)*((R78^2/8)*((2*ACOS(1-2*BG78/R78))-SIN((2*ACOS(1-2*BG78/R78)))))*((((R78^2/8)*((2*ACOS(1-2*BG78/R78))-SIN((2*ACOS(1-2*BG78/R78)))))/((R78/2)*((2*ACOS(1-2*BG78/R78)))))^(2/3))*SQRT(N78))</f>
        <v/>
      </c>
      <c r="BI78" s="9" t="str">
        <f aca="false">IF(AY78="","",IF(BH78&lt;AY78,BG78,BE78))</f>
        <v/>
      </c>
      <c r="BJ78" s="9" t="str">
        <f aca="false">IF(AY78="","",IF(BH78&lt;AY78,BF78,BG78))</f>
        <v/>
      </c>
      <c r="BK78" s="9" t="str">
        <f aca="false">IF(AY78="","",(BI78+BJ78)/2)</f>
        <v/>
      </c>
      <c r="BL78" s="9" t="str">
        <f aca="false">IF(OR(R78="",N78="",BK78="",R78&lt;=0,BK78&lt;=0),"",(1/Inputs!$B$9)*((R78^2/8)*((2*ACOS(1-2*BK78/R78))-SIN((2*ACOS(1-2*BK78/R78)))))*((((R78^2/8)*((2*ACOS(1-2*BK78/R78))-SIN((2*ACOS(1-2*BK78/R78)))))/((R78/2)*((2*ACOS(1-2*BK78/R78)))))^(2/3))*SQRT(N78))</f>
        <v/>
      </c>
      <c r="BM78" s="9" t="str">
        <f aca="false">IF(AY78="","",IF(BL78&lt;AY78,BK78,BI78))</f>
        <v/>
      </c>
      <c r="BN78" s="9" t="str">
        <f aca="false">IF(AY78="","",IF(BL78&lt;AY78,BJ78,BK78))</f>
        <v/>
      </c>
      <c r="BO78" s="9" t="str">
        <f aca="false">IF(AY78="","",(BM78+BN78)/2)</f>
        <v/>
      </c>
      <c r="BP78" s="9" t="str">
        <f aca="false">IF(OR(R78="",N78="",BO78="",R78&lt;=0,BO78&lt;=0),"",(1/Inputs!$B$9)*((R78^2/8)*((2*ACOS(1-2*BO78/R78))-SIN((2*ACOS(1-2*BO78/R78)))))*((((R78^2/8)*((2*ACOS(1-2*BO78/R78))-SIN((2*ACOS(1-2*BO78/R78)))))/((R78/2)*((2*ACOS(1-2*BO78/R78)))))^(2/3))*SQRT(N78))</f>
        <v/>
      </c>
      <c r="BQ78" s="9" t="str">
        <f aca="false">IF(AY78="","",IF(BP78&lt;AY78,BO78,BM78))</f>
        <v/>
      </c>
      <c r="BR78" s="9" t="str">
        <f aca="false">IF(AY78="","",IF(BP78&lt;AY78,BN78,BO78))</f>
        <v/>
      </c>
      <c r="BS78" s="9" t="str">
        <f aca="false">IF(AY78="","",(BQ78+BR78)/2)</f>
        <v/>
      </c>
      <c r="BT78" s="9" t="str">
        <f aca="false">IF(OR(R78="",N78="",BS78="",R78&lt;=0,BS78&lt;=0),"",(1/Inputs!$B$9)*((R78^2/8)*((2*ACOS(1-2*BS78/R78))-SIN((2*ACOS(1-2*BS78/R78)))))*((((R78^2/8)*((2*ACOS(1-2*BS78/R78))-SIN((2*ACOS(1-2*BS78/R78)))))/((R78/2)*((2*ACOS(1-2*BS78/R78)))))^(2/3))*SQRT(N78))</f>
        <v/>
      </c>
      <c r="BU78" s="9" t="str">
        <f aca="false">IF(AY78="","",IF(BT78&lt;AY78,BS78,BQ78))</f>
        <v/>
      </c>
      <c r="BV78" s="9" t="str">
        <f aca="false">IF(AY78="","",IF(BT78&lt;AY78,BR78,BS78))</f>
        <v/>
      </c>
      <c r="BW78" s="9" t="str">
        <f aca="false">IF(AY78="","",(BU78+BV78)/2)</f>
        <v/>
      </c>
      <c r="BX78" s="9" t="str">
        <f aca="false">IF(OR(R78="",N78="",BW78="",R78&lt;=0,BW78&lt;=0),"",(1/Inputs!$B$9)*((R78^2/8)*((2*ACOS(1-2*BW78/R78))-SIN((2*ACOS(1-2*BW78/R78)))))*((((R78^2/8)*((2*ACOS(1-2*BW78/R78))-SIN((2*ACOS(1-2*BW78/R78)))))/((R78/2)*((2*ACOS(1-2*BW78/R78)))))^(2/3))*SQRT(N78))</f>
        <v/>
      </c>
      <c r="BY78" s="9" t="str">
        <f aca="false">IF(AY78="","",IF(BX78&lt;AY78,BW78,BU78))</f>
        <v/>
      </c>
      <c r="BZ78" s="9" t="str">
        <f aca="false">IF(AY78="","",IF(BX78&lt;AY78,BV78,BW78))</f>
        <v/>
      </c>
      <c r="CA78" s="9" t="str">
        <f aca="false">IF(AY78="","",(BY78+BZ78)/2)</f>
        <v/>
      </c>
      <c r="CB78" s="9" t="str">
        <f aca="false">IF(OR(R78="",N78="",CA78="",R78&lt;=0,CA78&lt;=0),"",(1/Inputs!$B$9)*((R78^2/8)*((2*ACOS(1-2*CA78/R78))-SIN((2*ACOS(1-2*CA78/R78)))))*((((R78^2/8)*((2*ACOS(1-2*CA78/R78))-SIN((2*ACOS(1-2*CA78/R78)))))/((R78/2)*((2*ACOS(1-2*CA78/R78)))))^(2/3))*SQRT(N78))</f>
        <v/>
      </c>
      <c r="CC78" s="9" t="str">
        <f aca="false">IF(AY78="","",IF(CB78&lt;AY78,CA78,BY78))</f>
        <v/>
      </c>
      <c r="CD78" s="9" t="str">
        <f aca="false">IF(AY78="","",IF(CB78&lt;AY78,BZ78,CA78))</f>
        <v/>
      </c>
      <c r="CE78" s="9" t="str">
        <f aca="false">IF(AY78="","",(CC78+CD78)/2)</f>
        <v/>
      </c>
    </row>
    <row r="79" customFormat="false" ht="15" hidden="false" customHeight="false" outlineLevel="0" collapsed="false">
      <c r="A79" s="9"/>
      <c r="B79" s="9"/>
      <c r="C79" s="14"/>
      <c r="D79" s="14"/>
      <c r="E79" s="14" t="n">
        <f aca="false">SUMIFS(CB_Tributaires!$C:$C,CB_Tributaires!$B:$B,$A79)</f>
        <v>0</v>
      </c>
      <c r="F79" s="14" t="n">
        <f aca="false">IF(D79="",E79,D79)</f>
        <v>0</v>
      </c>
      <c r="G79" s="9"/>
      <c r="H79" s="14"/>
      <c r="I79" s="14" t="str">
        <f aca="false">IF(A79="","",Inputs!$B$13/((IF(AS79="",Inputs!$B$18,AS79)+Inputs!$B$14)^Inputs!$B$15))</f>
        <v/>
      </c>
      <c r="J79" s="14" t="str">
        <f aca="false">IF(A79="","",0.000000278*IF(G79="",Inputs!$B$17,G79)*F79*I79)</f>
        <v/>
      </c>
      <c r="K79" s="14" t="str">
        <f aca="false">IF(A79="","",SUMIFS($L$4:$L$203,$B$4:$B$203,$A79))</f>
        <v/>
      </c>
      <c r="L79" s="14" t="str">
        <f aca="false">IF(A79="","",(J79+K79)*Inputs!$B$16)</f>
        <v/>
      </c>
      <c r="M79" s="14"/>
      <c r="N79" s="14" t="str">
        <f aca="false">IF(A79="","",IF(M79="",Inputs!$B$7,M79))</f>
        <v/>
      </c>
      <c r="O79" s="9" t="str">
        <f aca="false">IF(A79="","",IF(L79/Inputs!$B$10&lt;=AD79,Inputs!$F$5,IF(L79/Inputs!$B$10&gt;AM79,"OVERSIZE",INDEX(Inputs!$F$5:$F$14,MATCH(L79/Inputs!$B$10,AD79:AM79,1)+1))))</f>
        <v/>
      </c>
      <c r="P79" s="9"/>
      <c r="Q79" s="9" t="str">
        <f aca="false">IF(A79="","",IF(P79="",O79,P79))</f>
        <v/>
      </c>
      <c r="R79" s="14" t="str">
        <f aca="false">IF(OR(Q79="",Q79="OVERSIZE"),"",Q79/1000)</f>
        <v/>
      </c>
      <c r="S79" s="14" t="str">
        <f aca="false">IF(R79="","",(1/Inputs!$B$9)*(PI()*R79^2/4)*((R79/4)^(2/3))*SQRT(N79))</f>
        <v/>
      </c>
      <c r="T79" s="14" t="str">
        <f aca="false">IF(OR(S79="",L79=""),"",L79/(S79*Inputs!$B$10))</f>
        <v/>
      </c>
      <c r="U79" s="14" t="str">
        <f aca="false">IF(OR(R79="",L79=""),"",4*L79/(PI()*R79^2))</f>
        <v/>
      </c>
      <c r="V79" s="14"/>
      <c r="W79" s="14" t="str">
        <f aca="false">IF(A79="","",IF(A79=Inputs!$B$6,Inputs!$B$22,IF(B79="","",IFERROR(INDEX($X$4:$X$203,MATCH(B79,$A$4:$A$203,0))+IF(V79="",Inputs!$B$20,V79),""))))</f>
        <v/>
      </c>
      <c r="X79" s="14" t="str">
        <f aca="false">IF(OR(W79="",N79="",C79=""),"",W79+N79*C79)</f>
        <v/>
      </c>
      <c r="Y79" s="14"/>
      <c r="Z79" s="14"/>
      <c r="AA79" s="14" t="str">
        <f aca="false">IF(OR(Y79="",W79=""),"",Y79-W79)</f>
        <v/>
      </c>
      <c r="AB79" s="14" t="str">
        <f aca="false">IF(OR(Z79="",X79=""),"",Z79-X79)</f>
        <v/>
      </c>
      <c r="AC79" s="19" t="str">
        <f aca="false">IF(A79="","",IF(OR(T79&gt;1,AND(AV79&lt;&gt;"",AV79&lt;Inputs!$B$11),AND(AV79&lt;&gt;"",AV79&gt;Inputs!$B$12),AA79&lt;Inputs!$B$19,AB79&lt;Inputs!$B$19,N79&lt;Inputs!$B$7,N79&gt;Inputs!$B$8),"CHECK","OK"))</f>
        <v/>
      </c>
      <c r="AD79" s="9" t="str">
        <f aca="false">IF(A79="","",(1/Inputs!$B$9)*(PI()*(Inputs!$F$5/1000)^2/4)*((Inputs!$F$5/1000/4)^(2/3))*SQRT(N79))</f>
        <v/>
      </c>
      <c r="AE79" s="9" t="str">
        <f aca="false">IF(A79="","",(1/Inputs!$B$9)*(PI()*(Inputs!$F$6/1000)^2/4)*((Inputs!$F$6/1000/4)^(2/3))*SQRT(N79))</f>
        <v/>
      </c>
      <c r="AF79" s="9" t="str">
        <f aca="false">IF(A79="","",(1/Inputs!$B$9)*(PI()*(Inputs!$F$7/1000)^2/4)*((Inputs!$F$7/1000/4)^(2/3))*SQRT(N79))</f>
        <v/>
      </c>
      <c r="AG79" s="9" t="str">
        <f aca="false">IF(A79="","",(1/Inputs!$B$9)*(PI()*(Inputs!$F$8/1000)^2/4)*((Inputs!$F$8/1000/4)^(2/3))*SQRT(N79))</f>
        <v/>
      </c>
      <c r="AH79" s="9" t="str">
        <f aca="false">IF(A79="","",(1/Inputs!$B$9)*(PI()*(Inputs!$F$9/1000)^2/4)*((Inputs!$F$9/1000/4)^(2/3))*SQRT(N79))</f>
        <v/>
      </c>
      <c r="AI79" s="9" t="str">
        <f aca="false">IF(A79="","",(1/Inputs!$B$9)*(PI()*(Inputs!$F$10/1000)^2/4)*((Inputs!$F$10/1000/4)^(2/3))*SQRT(N79))</f>
        <v/>
      </c>
      <c r="AJ79" s="9" t="str">
        <f aca="false">IF(A79="","",(1/Inputs!$B$9)*(PI()*(Inputs!$F$11/1000)^2/4)*((Inputs!$F$11/1000/4)^(2/3))*SQRT(N79))</f>
        <v/>
      </c>
      <c r="AK79" s="9" t="str">
        <f aca="false">IF(A79="","",(1/Inputs!$B$9)*(PI()*(Inputs!$F$12/1000)^2/4)*((Inputs!$F$12/1000/4)^(2/3))*SQRT(N79))</f>
        <v/>
      </c>
      <c r="AL79" s="9" t="str">
        <f aca="false">IF(A79="","",(1/Inputs!$B$9)*(PI()*(Inputs!$F$13/1000)^2/4)*((Inputs!$F$13/1000/4)^(2/3))*SQRT(N79))</f>
        <v/>
      </c>
      <c r="AM79" s="9" t="str">
        <f aca="false">IF(A79="","",(1/Inputs!$B$9)*(PI()*(Inputs!$F$14/1000)^2/4)*((Inputs!$F$14/1000/4)^(2/3))*SQRT(N79))</f>
        <v/>
      </c>
      <c r="AN79" s="9" t="str">
        <f aca="false">IF(A79="","",COUNTIF($B$4:$B$203,$A79))</f>
        <v/>
      </c>
      <c r="AO79" s="9" t="str">
        <f aca="false">IF(A79="","",IF(AN79=0,"START","CONTINUOUS"))</f>
        <v/>
      </c>
      <c r="AP79" s="13" t="str">
        <f aca="false">IF(A79="","",IF(H79="",Inputs!$B$18,H79))</f>
        <v/>
      </c>
      <c r="AQ79" s="13" t="str">
        <f aca="false">IF(A79="","",IFERROR(maxifs($AS$4:$AS$203,$B$4:$B$203,$A79),""))</f>
        <v/>
      </c>
      <c r="AR79" s="13" t="str">
        <f aca="false">IF(A79="","",IF(OR(C79="",Inputs!$B$23=""),"",C79/(Inputs!$B$23*60)))</f>
        <v/>
      </c>
      <c r="AS79" s="13" t="str">
        <f aca="false">IF(A79="","",IF(AN79=0,AP79+AR79,IF(AQ79="",AP79+AR79,AQ79+AR79)))</f>
        <v/>
      </c>
      <c r="AT79" s="13" t="str">
        <f aca="false">IF(A79="","",U79)</f>
        <v/>
      </c>
      <c r="AU79" s="13" t="str">
        <f aca="false">IF(OR(R79="",N79=""),"",(1/Inputs!$B$9)*((R79/4)^(2/3))*SQRT(N79))</f>
        <v/>
      </c>
      <c r="AV79" s="13" t="str">
        <f aca="false">IF(A79="","",IF(AND(AT79="",AU79="",AX79=""),"",IF(OR(UPPER(TRIM(Inputs!$B$24))="MANNING",UPPER(TRIM(Inputs!$B$24))="M"),AU79,IF(OR(UPPER(TRIM(Inputs!$B$24))="PARTIAL",UPPER(TRIM(Inputs!$B$24))="P"),AX79,IF(OR(UPPER(TRIM(Inputs!$B$24))="MAX",UPPER(TRIM(Inputs!$B$24))="X"),MAX(IF(AT79="",0,AT79),IF(AU79="",0,AU79),IF(AX79="",0,AX79)),AT79)))))</f>
        <v/>
      </c>
      <c r="AW79" s="13" t="str">
        <f aca="false">IF(AY79="","",CE79)</f>
        <v/>
      </c>
      <c r="AX79" s="13" t="str">
        <f aca="false">IF(OR(AY79="",AW79="",R79="",R79&lt;=0,AW79&lt;=0),"",AY79/((R79^2/8)*(2*ACOS(1-2*AW79/R79)-SIN(2*ACOS(1-2*AW79/R79)))))</f>
        <v/>
      </c>
      <c r="AY79" s="9" t="str">
        <f aca="false">IF(OR(L79="",AZ79=""),"",MIN(L79,AZ79))</f>
        <v/>
      </c>
      <c r="AZ79" s="9" t="str">
        <f aca="false">IF(OR(L79="",R79="",N79=""),"",IF(OR(R79="",N79="",(0.94*R79)="",R79&lt;=0,(0.94*R79)&lt;=0),"",(1/Inputs!$B$9)*((R79^2/8)*((2*ACOS(1-2*(0.94*R79)/R79))-SIN((2*ACOS(1-2*(0.94*R79)/R79)))))*((((R79^2/8)*((2*ACOS(1-2*(0.94*R79)/R79))-SIN((2*ACOS(1-2*(0.94*R79)/R79)))))/((R79/2)*((2*ACOS(1-2*(0.94*R79)/R79)))))^(2/3))*SQRT(N79)))</f>
        <v/>
      </c>
      <c r="BA79" s="9" t="str">
        <f aca="false">IF(AY79="","",0.001*R79)</f>
        <v/>
      </c>
      <c r="BB79" s="9" t="str">
        <f aca="false">IF(AY79="","",0.94*R79)</f>
        <v/>
      </c>
      <c r="BC79" s="9" t="str">
        <f aca="false">IF(AY79="","",(BA79+BB79)/2)</f>
        <v/>
      </c>
      <c r="BD79" s="9" t="str">
        <f aca="false">IF(OR(R79="",N79="",BC79="",R79&lt;=0,BC79&lt;=0),"",(1/Inputs!$B$9)*((R79^2/8)*((2*ACOS(1-2*BC79/R79))-SIN((2*ACOS(1-2*BC79/R79)))))*((((R79^2/8)*((2*ACOS(1-2*BC79/R79))-SIN((2*ACOS(1-2*BC79/R79)))))/((R79/2)*((2*ACOS(1-2*BC79/R79)))))^(2/3))*SQRT(N79))</f>
        <v/>
      </c>
      <c r="BE79" s="9" t="str">
        <f aca="false">IF(AY79="","",IF(BD79&lt;AY79,BC79,BA79))</f>
        <v/>
      </c>
      <c r="BF79" s="9" t="str">
        <f aca="false">IF(AY79="","",IF(BD79&lt;AY79,BB79,BC79))</f>
        <v/>
      </c>
      <c r="BG79" s="9" t="str">
        <f aca="false">IF(AY79="","",(BE79+BF79)/2)</f>
        <v/>
      </c>
      <c r="BH79" s="9" t="str">
        <f aca="false">IF(OR(R79="",N79="",BG79="",R79&lt;=0,BG79&lt;=0),"",(1/Inputs!$B$9)*((R79^2/8)*((2*ACOS(1-2*BG79/R79))-SIN((2*ACOS(1-2*BG79/R79)))))*((((R79^2/8)*((2*ACOS(1-2*BG79/R79))-SIN((2*ACOS(1-2*BG79/R79)))))/((R79/2)*((2*ACOS(1-2*BG79/R79)))))^(2/3))*SQRT(N79))</f>
        <v/>
      </c>
      <c r="BI79" s="9" t="str">
        <f aca="false">IF(AY79="","",IF(BH79&lt;AY79,BG79,BE79))</f>
        <v/>
      </c>
      <c r="BJ79" s="9" t="str">
        <f aca="false">IF(AY79="","",IF(BH79&lt;AY79,BF79,BG79))</f>
        <v/>
      </c>
      <c r="BK79" s="9" t="str">
        <f aca="false">IF(AY79="","",(BI79+BJ79)/2)</f>
        <v/>
      </c>
      <c r="BL79" s="9" t="str">
        <f aca="false">IF(OR(R79="",N79="",BK79="",R79&lt;=0,BK79&lt;=0),"",(1/Inputs!$B$9)*((R79^2/8)*((2*ACOS(1-2*BK79/R79))-SIN((2*ACOS(1-2*BK79/R79)))))*((((R79^2/8)*((2*ACOS(1-2*BK79/R79))-SIN((2*ACOS(1-2*BK79/R79)))))/((R79/2)*((2*ACOS(1-2*BK79/R79)))))^(2/3))*SQRT(N79))</f>
        <v/>
      </c>
      <c r="BM79" s="9" t="str">
        <f aca="false">IF(AY79="","",IF(BL79&lt;AY79,BK79,BI79))</f>
        <v/>
      </c>
      <c r="BN79" s="9" t="str">
        <f aca="false">IF(AY79="","",IF(BL79&lt;AY79,BJ79,BK79))</f>
        <v/>
      </c>
      <c r="BO79" s="9" t="str">
        <f aca="false">IF(AY79="","",(BM79+BN79)/2)</f>
        <v/>
      </c>
      <c r="BP79" s="9" t="str">
        <f aca="false">IF(OR(R79="",N79="",BO79="",R79&lt;=0,BO79&lt;=0),"",(1/Inputs!$B$9)*((R79^2/8)*((2*ACOS(1-2*BO79/R79))-SIN((2*ACOS(1-2*BO79/R79)))))*((((R79^2/8)*((2*ACOS(1-2*BO79/R79))-SIN((2*ACOS(1-2*BO79/R79)))))/((R79/2)*((2*ACOS(1-2*BO79/R79)))))^(2/3))*SQRT(N79))</f>
        <v/>
      </c>
      <c r="BQ79" s="9" t="str">
        <f aca="false">IF(AY79="","",IF(BP79&lt;AY79,BO79,BM79))</f>
        <v/>
      </c>
      <c r="BR79" s="9" t="str">
        <f aca="false">IF(AY79="","",IF(BP79&lt;AY79,BN79,BO79))</f>
        <v/>
      </c>
      <c r="BS79" s="9" t="str">
        <f aca="false">IF(AY79="","",(BQ79+BR79)/2)</f>
        <v/>
      </c>
      <c r="BT79" s="9" t="str">
        <f aca="false">IF(OR(R79="",N79="",BS79="",R79&lt;=0,BS79&lt;=0),"",(1/Inputs!$B$9)*((R79^2/8)*((2*ACOS(1-2*BS79/R79))-SIN((2*ACOS(1-2*BS79/R79)))))*((((R79^2/8)*((2*ACOS(1-2*BS79/R79))-SIN((2*ACOS(1-2*BS79/R79)))))/((R79/2)*((2*ACOS(1-2*BS79/R79)))))^(2/3))*SQRT(N79))</f>
        <v/>
      </c>
      <c r="BU79" s="9" t="str">
        <f aca="false">IF(AY79="","",IF(BT79&lt;AY79,BS79,BQ79))</f>
        <v/>
      </c>
      <c r="BV79" s="9" t="str">
        <f aca="false">IF(AY79="","",IF(BT79&lt;AY79,BR79,BS79))</f>
        <v/>
      </c>
      <c r="BW79" s="9" t="str">
        <f aca="false">IF(AY79="","",(BU79+BV79)/2)</f>
        <v/>
      </c>
      <c r="BX79" s="9" t="str">
        <f aca="false">IF(OR(R79="",N79="",BW79="",R79&lt;=0,BW79&lt;=0),"",(1/Inputs!$B$9)*((R79^2/8)*((2*ACOS(1-2*BW79/R79))-SIN((2*ACOS(1-2*BW79/R79)))))*((((R79^2/8)*((2*ACOS(1-2*BW79/R79))-SIN((2*ACOS(1-2*BW79/R79)))))/((R79/2)*((2*ACOS(1-2*BW79/R79)))))^(2/3))*SQRT(N79))</f>
        <v/>
      </c>
      <c r="BY79" s="9" t="str">
        <f aca="false">IF(AY79="","",IF(BX79&lt;AY79,BW79,BU79))</f>
        <v/>
      </c>
      <c r="BZ79" s="9" t="str">
        <f aca="false">IF(AY79="","",IF(BX79&lt;AY79,BV79,BW79))</f>
        <v/>
      </c>
      <c r="CA79" s="9" t="str">
        <f aca="false">IF(AY79="","",(BY79+BZ79)/2)</f>
        <v/>
      </c>
      <c r="CB79" s="9" t="str">
        <f aca="false">IF(OR(R79="",N79="",CA79="",R79&lt;=0,CA79&lt;=0),"",(1/Inputs!$B$9)*((R79^2/8)*((2*ACOS(1-2*CA79/R79))-SIN((2*ACOS(1-2*CA79/R79)))))*((((R79^2/8)*((2*ACOS(1-2*CA79/R79))-SIN((2*ACOS(1-2*CA79/R79)))))/((R79/2)*((2*ACOS(1-2*CA79/R79)))))^(2/3))*SQRT(N79))</f>
        <v/>
      </c>
      <c r="CC79" s="9" t="str">
        <f aca="false">IF(AY79="","",IF(CB79&lt;AY79,CA79,BY79))</f>
        <v/>
      </c>
      <c r="CD79" s="9" t="str">
        <f aca="false">IF(AY79="","",IF(CB79&lt;AY79,BZ79,CA79))</f>
        <v/>
      </c>
      <c r="CE79" s="9" t="str">
        <f aca="false">IF(AY79="","",(CC79+CD79)/2)</f>
        <v/>
      </c>
    </row>
    <row r="80" customFormat="false" ht="15" hidden="false" customHeight="false" outlineLevel="0" collapsed="false">
      <c r="A80" s="9"/>
      <c r="B80" s="9"/>
      <c r="C80" s="14"/>
      <c r="D80" s="14"/>
      <c r="E80" s="14" t="n">
        <f aca="false">SUMIFS(CB_Tributaires!$C:$C,CB_Tributaires!$B:$B,$A80)</f>
        <v>0</v>
      </c>
      <c r="F80" s="14" t="n">
        <f aca="false">IF(D80="",E80,D80)</f>
        <v>0</v>
      </c>
      <c r="G80" s="9"/>
      <c r="H80" s="14"/>
      <c r="I80" s="14" t="str">
        <f aca="false">IF(A80="","",Inputs!$B$13/((IF(AS80="",Inputs!$B$18,AS80)+Inputs!$B$14)^Inputs!$B$15))</f>
        <v/>
      </c>
      <c r="J80" s="14" t="str">
        <f aca="false">IF(A80="","",0.000000278*IF(G80="",Inputs!$B$17,G80)*F80*I80)</f>
        <v/>
      </c>
      <c r="K80" s="14" t="str">
        <f aca="false">IF(A80="","",SUMIFS($L$4:$L$203,$B$4:$B$203,$A80))</f>
        <v/>
      </c>
      <c r="L80" s="14" t="str">
        <f aca="false">IF(A80="","",(J80+K80)*Inputs!$B$16)</f>
        <v/>
      </c>
      <c r="M80" s="14"/>
      <c r="N80" s="14" t="str">
        <f aca="false">IF(A80="","",IF(M80="",Inputs!$B$7,M80))</f>
        <v/>
      </c>
      <c r="O80" s="9" t="str">
        <f aca="false">IF(A80="","",IF(L80/Inputs!$B$10&lt;=AD80,Inputs!$F$5,IF(L80/Inputs!$B$10&gt;AM80,"OVERSIZE",INDEX(Inputs!$F$5:$F$14,MATCH(L80/Inputs!$B$10,AD80:AM80,1)+1))))</f>
        <v/>
      </c>
      <c r="P80" s="9"/>
      <c r="Q80" s="9" t="str">
        <f aca="false">IF(A80="","",IF(P80="",O80,P80))</f>
        <v/>
      </c>
      <c r="R80" s="14" t="str">
        <f aca="false">IF(OR(Q80="",Q80="OVERSIZE"),"",Q80/1000)</f>
        <v/>
      </c>
      <c r="S80" s="14" t="str">
        <f aca="false">IF(R80="","",(1/Inputs!$B$9)*(PI()*R80^2/4)*((R80/4)^(2/3))*SQRT(N80))</f>
        <v/>
      </c>
      <c r="T80" s="14" t="str">
        <f aca="false">IF(OR(S80="",L80=""),"",L80/(S80*Inputs!$B$10))</f>
        <v/>
      </c>
      <c r="U80" s="14" t="str">
        <f aca="false">IF(OR(R80="",L80=""),"",4*L80/(PI()*R80^2))</f>
        <v/>
      </c>
      <c r="V80" s="14"/>
      <c r="W80" s="14" t="str">
        <f aca="false">IF(A80="","",IF(A80=Inputs!$B$6,Inputs!$B$22,IF(B80="","",IFERROR(INDEX($X$4:$X$203,MATCH(B80,$A$4:$A$203,0))+IF(V80="",Inputs!$B$20,V80),""))))</f>
        <v/>
      </c>
      <c r="X80" s="14" t="str">
        <f aca="false">IF(OR(W80="",N80="",C80=""),"",W80+N80*C80)</f>
        <v/>
      </c>
      <c r="Y80" s="14"/>
      <c r="Z80" s="14"/>
      <c r="AA80" s="14" t="str">
        <f aca="false">IF(OR(Y80="",W80=""),"",Y80-W80)</f>
        <v/>
      </c>
      <c r="AB80" s="14" t="str">
        <f aca="false">IF(OR(Z80="",X80=""),"",Z80-X80)</f>
        <v/>
      </c>
      <c r="AC80" s="19" t="str">
        <f aca="false">IF(A80="","",IF(OR(T80&gt;1,AND(AV80&lt;&gt;"",AV80&lt;Inputs!$B$11),AND(AV80&lt;&gt;"",AV80&gt;Inputs!$B$12),AA80&lt;Inputs!$B$19,AB80&lt;Inputs!$B$19,N80&lt;Inputs!$B$7,N80&gt;Inputs!$B$8),"CHECK","OK"))</f>
        <v/>
      </c>
      <c r="AD80" s="9" t="str">
        <f aca="false">IF(A80="","",(1/Inputs!$B$9)*(PI()*(Inputs!$F$5/1000)^2/4)*((Inputs!$F$5/1000/4)^(2/3))*SQRT(N80))</f>
        <v/>
      </c>
      <c r="AE80" s="9" t="str">
        <f aca="false">IF(A80="","",(1/Inputs!$B$9)*(PI()*(Inputs!$F$6/1000)^2/4)*((Inputs!$F$6/1000/4)^(2/3))*SQRT(N80))</f>
        <v/>
      </c>
      <c r="AF80" s="9" t="str">
        <f aca="false">IF(A80="","",(1/Inputs!$B$9)*(PI()*(Inputs!$F$7/1000)^2/4)*((Inputs!$F$7/1000/4)^(2/3))*SQRT(N80))</f>
        <v/>
      </c>
      <c r="AG80" s="9" t="str">
        <f aca="false">IF(A80="","",(1/Inputs!$B$9)*(PI()*(Inputs!$F$8/1000)^2/4)*((Inputs!$F$8/1000/4)^(2/3))*SQRT(N80))</f>
        <v/>
      </c>
      <c r="AH80" s="9" t="str">
        <f aca="false">IF(A80="","",(1/Inputs!$B$9)*(PI()*(Inputs!$F$9/1000)^2/4)*((Inputs!$F$9/1000/4)^(2/3))*SQRT(N80))</f>
        <v/>
      </c>
      <c r="AI80" s="9" t="str">
        <f aca="false">IF(A80="","",(1/Inputs!$B$9)*(PI()*(Inputs!$F$10/1000)^2/4)*((Inputs!$F$10/1000/4)^(2/3))*SQRT(N80))</f>
        <v/>
      </c>
      <c r="AJ80" s="9" t="str">
        <f aca="false">IF(A80="","",(1/Inputs!$B$9)*(PI()*(Inputs!$F$11/1000)^2/4)*((Inputs!$F$11/1000/4)^(2/3))*SQRT(N80))</f>
        <v/>
      </c>
      <c r="AK80" s="9" t="str">
        <f aca="false">IF(A80="","",(1/Inputs!$B$9)*(PI()*(Inputs!$F$12/1000)^2/4)*((Inputs!$F$12/1000/4)^(2/3))*SQRT(N80))</f>
        <v/>
      </c>
      <c r="AL80" s="9" t="str">
        <f aca="false">IF(A80="","",(1/Inputs!$B$9)*(PI()*(Inputs!$F$13/1000)^2/4)*((Inputs!$F$13/1000/4)^(2/3))*SQRT(N80))</f>
        <v/>
      </c>
      <c r="AM80" s="9" t="str">
        <f aca="false">IF(A80="","",(1/Inputs!$B$9)*(PI()*(Inputs!$F$14/1000)^2/4)*((Inputs!$F$14/1000/4)^(2/3))*SQRT(N80))</f>
        <v/>
      </c>
      <c r="AN80" s="9" t="str">
        <f aca="false">IF(A80="","",COUNTIF($B$4:$B$203,$A80))</f>
        <v/>
      </c>
      <c r="AO80" s="9" t="str">
        <f aca="false">IF(A80="","",IF(AN80=0,"START","CONTINUOUS"))</f>
        <v/>
      </c>
      <c r="AP80" s="13" t="str">
        <f aca="false">IF(A80="","",IF(H80="",Inputs!$B$18,H80))</f>
        <v/>
      </c>
      <c r="AQ80" s="13" t="str">
        <f aca="false">IF(A80="","",IFERROR(maxifs($AS$4:$AS$203,$B$4:$B$203,$A80),""))</f>
        <v/>
      </c>
      <c r="AR80" s="13" t="str">
        <f aca="false">IF(A80="","",IF(OR(C80="",Inputs!$B$23=""),"",C80/(Inputs!$B$23*60)))</f>
        <v/>
      </c>
      <c r="AS80" s="13" t="str">
        <f aca="false">IF(A80="","",IF(AN80=0,AP80+AR80,IF(AQ80="",AP80+AR80,AQ80+AR80)))</f>
        <v/>
      </c>
      <c r="AT80" s="13" t="str">
        <f aca="false">IF(A80="","",U80)</f>
        <v/>
      </c>
      <c r="AU80" s="13" t="str">
        <f aca="false">IF(OR(R80="",N80=""),"",(1/Inputs!$B$9)*((R80/4)^(2/3))*SQRT(N80))</f>
        <v/>
      </c>
      <c r="AV80" s="13" t="str">
        <f aca="false">IF(A80="","",IF(AND(AT80="",AU80="",AX80=""),"",IF(OR(UPPER(TRIM(Inputs!$B$24))="MANNING",UPPER(TRIM(Inputs!$B$24))="M"),AU80,IF(OR(UPPER(TRIM(Inputs!$B$24))="PARTIAL",UPPER(TRIM(Inputs!$B$24))="P"),AX80,IF(OR(UPPER(TRIM(Inputs!$B$24))="MAX",UPPER(TRIM(Inputs!$B$24))="X"),MAX(IF(AT80="",0,AT80),IF(AU80="",0,AU80),IF(AX80="",0,AX80)),AT80)))))</f>
        <v/>
      </c>
      <c r="AW80" s="13" t="str">
        <f aca="false">IF(AY80="","",CE80)</f>
        <v/>
      </c>
      <c r="AX80" s="13" t="str">
        <f aca="false">IF(OR(AY80="",AW80="",R80="",R80&lt;=0,AW80&lt;=0),"",AY80/((R80^2/8)*(2*ACOS(1-2*AW80/R80)-SIN(2*ACOS(1-2*AW80/R80)))))</f>
        <v/>
      </c>
      <c r="AY80" s="9" t="str">
        <f aca="false">IF(OR(L80="",AZ80=""),"",MIN(L80,AZ80))</f>
        <v/>
      </c>
      <c r="AZ80" s="9" t="str">
        <f aca="false">IF(OR(L80="",R80="",N80=""),"",IF(OR(R80="",N80="",(0.94*R80)="",R80&lt;=0,(0.94*R80)&lt;=0),"",(1/Inputs!$B$9)*((R80^2/8)*((2*ACOS(1-2*(0.94*R80)/R80))-SIN((2*ACOS(1-2*(0.94*R80)/R80)))))*((((R80^2/8)*((2*ACOS(1-2*(0.94*R80)/R80))-SIN((2*ACOS(1-2*(0.94*R80)/R80)))))/((R80/2)*((2*ACOS(1-2*(0.94*R80)/R80)))))^(2/3))*SQRT(N80)))</f>
        <v/>
      </c>
      <c r="BA80" s="9" t="str">
        <f aca="false">IF(AY80="","",0.001*R80)</f>
        <v/>
      </c>
      <c r="BB80" s="9" t="str">
        <f aca="false">IF(AY80="","",0.94*R80)</f>
        <v/>
      </c>
      <c r="BC80" s="9" t="str">
        <f aca="false">IF(AY80="","",(BA80+BB80)/2)</f>
        <v/>
      </c>
      <c r="BD80" s="9" t="str">
        <f aca="false">IF(OR(R80="",N80="",BC80="",R80&lt;=0,BC80&lt;=0),"",(1/Inputs!$B$9)*((R80^2/8)*((2*ACOS(1-2*BC80/R80))-SIN((2*ACOS(1-2*BC80/R80)))))*((((R80^2/8)*((2*ACOS(1-2*BC80/R80))-SIN((2*ACOS(1-2*BC80/R80)))))/((R80/2)*((2*ACOS(1-2*BC80/R80)))))^(2/3))*SQRT(N80))</f>
        <v/>
      </c>
      <c r="BE80" s="9" t="str">
        <f aca="false">IF(AY80="","",IF(BD80&lt;AY80,BC80,BA80))</f>
        <v/>
      </c>
      <c r="BF80" s="9" t="str">
        <f aca="false">IF(AY80="","",IF(BD80&lt;AY80,BB80,BC80))</f>
        <v/>
      </c>
      <c r="BG80" s="9" t="str">
        <f aca="false">IF(AY80="","",(BE80+BF80)/2)</f>
        <v/>
      </c>
      <c r="BH80" s="9" t="str">
        <f aca="false">IF(OR(R80="",N80="",BG80="",R80&lt;=0,BG80&lt;=0),"",(1/Inputs!$B$9)*((R80^2/8)*((2*ACOS(1-2*BG80/R80))-SIN((2*ACOS(1-2*BG80/R80)))))*((((R80^2/8)*((2*ACOS(1-2*BG80/R80))-SIN((2*ACOS(1-2*BG80/R80)))))/((R80/2)*((2*ACOS(1-2*BG80/R80)))))^(2/3))*SQRT(N80))</f>
        <v/>
      </c>
      <c r="BI80" s="9" t="str">
        <f aca="false">IF(AY80="","",IF(BH80&lt;AY80,BG80,BE80))</f>
        <v/>
      </c>
      <c r="BJ80" s="9" t="str">
        <f aca="false">IF(AY80="","",IF(BH80&lt;AY80,BF80,BG80))</f>
        <v/>
      </c>
      <c r="BK80" s="9" t="str">
        <f aca="false">IF(AY80="","",(BI80+BJ80)/2)</f>
        <v/>
      </c>
      <c r="BL80" s="9" t="str">
        <f aca="false">IF(OR(R80="",N80="",BK80="",R80&lt;=0,BK80&lt;=0),"",(1/Inputs!$B$9)*((R80^2/8)*((2*ACOS(1-2*BK80/R80))-SIN((2*ACOS(1-2*BK80/R80)))))*((((R80^2/8)*((2*ACOS(1-2*BK80/R80))-SIN((2*ACOS(1-2*BK80/R80)))))/((R80/2)*((2*ACOS(1-2*BK80/R80)))))^(2/3))*SQRT(N80))</f>
        <v/>
      </c>
      <c r="BM80" s="9" t="str">
        <f aca="false">IF(AY80="","",IF(BL80&lt;AY80,BK80,BI80))</f>
        <v/>
      </c>
      <c r="BN80" s="9" t="str">
        <f aca="false">IF(AY80="","",IF(BL80&lt;AY80,BJ80,BK80))</f>
        <v/>
      </c>
      <c r="BO80" s="9" t="str">
        <f aca="false">IF(AY80="","",(BM80+BN80)/2)</f>
        <v/>
      </c>
      <c r="BP80" s="9" t="str">
        <f aca="false">IF(OR(R80="",N80="",BO80="",R80&lt;=0,BO80&lt;=0),"",(1/Inputs!$B$9)*((R80^2/8)*((2*ACOS(1-2*BO80/R80))-SIN((2*ACOS(1-2*BO80/R80)))))*((((R80^2/8)*((2*ACOS(1-2*BO80/R80))-SIN((2*ACOS(1-2*BO80/R80)))))/((R80/2)*((2*ACOS(1-2*BO80/R80)))))^(2/3))*SQRT(N80))</f>
        <v/>
      </c>
      <c r="BQ80" s="9" t="str">
        <f aca="false">IF(AY80="","",IF(BP80&lt;AY80,BO80,BM80))</f>
        <v/>
      </c>
      <c r="BR80" s="9" t="str">
        <f aca="false">IF(AY80="","",IF(BP80&lt;AY80,BN80,BO80))</f>
        <v/>
      </c>
      <c r="BS80" s="9" t="str">
        <f aca="false">IF(AY80="","",(BQ80+BR80)/2)</f>
        <v/>
      </c>
      <c r="BT80" s="9" t="str">
        <f aca="false">IF(OR(R80="",N80="",BS80="",R80&lt;=0,BS80&lt;=0),"",(1/Inputs!$B$9)*((R80^2/8)*((2*ACOS(1-2*BS80/R80))-SIN((2*ACOS(1-2*BS80/R80)))))*((((R80^2/8)*((2*ACOS(1-2*BS80/R80))-SIN((2*ACOS(1-2*BS80/R80)))))/((R80/2)*((2*ACOS(1-2*BS80/R80)))))^(2/3))*SQRT(N80))</f>
        <v/>
      </c>
      <c r="BU80" s="9" t="str">
        <f aca="false">IF(AY80="","",IF(BT80&lt;AY80,BS80,BQ80))</f>
        <v/>
      </c>
      <c r="BV80" s="9" t="str">
        <f aca="false">IF(AY80="","",IF(BT80&lt;AY80,BR80,BS80))</f>
        <v/>
      </c>
      <c r="BW80" s="9" t="str">
        <f aca="false">IF(AY80="","",(BU80+BV80)/2)</f>
        <v/>
      </c>
      <c r="BX80" s="9" t="str">
        <f aca="false">IF(OR(R80="",N80="",BW80="",R80&lt;=0,BW80&lt;=0),"",(1/Inputs!$B$9)*((R80^2/8)*((2*ACOS(1-2*BW80/R80))-SIN((2*ACOS(1-2*BW80/R80)))))*((((R80^2/8)*((2*ACOS(1-2*BW80/R80))-SIN((2*ACOS(1-2*BW80/R80)))))/((R80/2)*((2*ACOS(1-2*BW80/R80)))))^(2/3))*SQRT(N80))</f>
        <v/>
      </c>
      <c r="BY80" s="9" t="str">
        <f aca="false">IF(AY80="","",IF(BX80&lt;AY80,BW80,BU80))</f>
        <v/>
      </c>
      <c r="BZ80" s="9" t="str">
        <f aca="false">IF(AY80="","",IF(BX80&lt;AY80,BV80,BW80))</f>
        <v/>
      </c>
      <c r="CA80" s="9" t="str">
        <f aca="false">IF(AY80="","",(BY80+BZ80)/2)</f>
        <v/>
      </c>
      <c r="CB80" s="9" t="str">
        <f aca="false">IF(OR(R80="",N80="",CA80="",R80&lt;=0,CA80&lt;=0),"",(1/Inputs!$B$9)*((R80^2/8)*((2*ACOS(1-2*CA80/R80))-SIN((2*ACOS(1-2*CA80/R80)))))*((((R80^2/8)*((2*ACOS(1-2*CA80/R80))-SIN((2*ACOS(1-2*CA80/R80)))))/((R80/2)*((2*ACOS(1-2*CA80/R80)))))^(2/3))*SQRT(N80))</f>
        <v/>
      </c>
      <c r="CC80" s="9" t="str">
        <f aca="false">IF(AY80="","",IF(CB80&lt;AY80,CA80,BY80))</f>
        <v/>
      </c>
      <c r="CD80" s="9" t="str">
        <f aca="false">IF(AY80="","",IF(CB80&lt;AY80,BZ80,CA80))</f>
        <v/>
      </c>
      <c r="CE80" s="9" t="str">
        <f aca="false">IF(AY80="","",(CC80+CD80)/2)</f>
        <v/>
      </c>
    </row>
    <row r="81" customFormat="false" ht="15" hidden="false" customHeight="false" outlineLevel="0" collapsed="false">
      <c r="A81" s="9"/>
      <c r="B81" s="9"/>
      <c r="C81" s="14"/>
      <c r="D81" s="14"/>
      <c r="E81" s="14" t="n">
        <f aca="false">SUMIFS(CB_Tributaires!$C:$C,CB_Tributaires!$B:$B,$A81)</f>
        <v>0</v>
      </c>
      <c r="F81" s="14" t="n">
        <f aca="false">IF(D81="",E81,D81)</f>
        <v>0</v>
      </c>
      <c r="G81" s="9"/>
      <c r="H81" s="14"/>
      <c r="I81" s="14" t="str">
        <f aca="false">IF(A81="","",Inputs!$B$13/((IF(AS81="",Inputs!$B$18,AS81)+Inputs!$B$14)^Inputs!$B$15))</f>
        <v/>
      </c>
      <c r="J81" s="14" t="str">
        <f aca="false">IF(A81="","",0.000000278*IF(G81="",Inputs!$B$17,G81)*F81*I81)</f>
        <v/>
      </c>
      <c r="K81" s="14" t="str">
        <f aca="false">IF(A81="","",SUMIFS($L$4:$L$203,$B$4:$B$203,$A81))</f>
        <v/>
      </c>
      <c r="L81" s="14" t="str">
        <f aca="false">IF(A81="","",(J81+K81)*Inputs!$B$16)</f>
        <v/>
      </c>
      <c r="M81" s="14"/>
      <c r="N81" s="14" t="str">
        <f aca="false">IF(A81="","",IF(M81="",Inputs!$B$7,M81))</f>
        <v/>
      </c>
      <c r="O81" s="9" t="str">
        <f aca="false">IF(A81="","",IF(L81/Inputs!$B$10&lt;=AD81,Inputs!$F$5,IF(L81/Inputs!$B$10&gt;AM81,"OVERSIZE",INDEX(Inputs!$F$5:$F$14,MATCH(L81/Inputs!$B$10,AD81:AM81,1)+1))))</f>
        <v/>
      </c>
      <c r="P81" s="9"/>
      <c r="Q81" s="9" t="str">
        <f aca="false">IF(A81="","",IF(P81="",O81,P81))</f>
        <v/>
      </c>
      <c r="R81" s="14" t="str">
        <f aca="false">IF(OR(Q81="",Q81="OVERSIZE"),"",Q81/1000)</f>
        <v/>
      </c>
      <c r="S81" s="14" t="str">
        <f aca="false">IF(R81="","",(1/Inputs!$B$9)*(PI()*R81^2/4)*((R81/4)^(2/3))*SQRT(N81))</f>
        <v/>
      </c>
      <c r="T81" s="14" t="str">
        <f aca="false">IF(OR(S81="",L81=""),"",L81/(S81*Inputs!$B$10))</f>
        <v/>
      </c>
      <c r="U81" s="14" t="str">
        <f aca="false">IF(OR(R81="",L81=""),"",4*L81/(PI()*R81^2))</f>
        <v/>
      </c>
      <c r="V81" s="14"/>
      <c r="W81" s="14" t="str">
        <f aca="false">IF(A81="","",IF(A81=Inputs!$B$6,Inputs!$B$22,IF(B81="","",IFERROR(INDEX($X$4:$X$203,MATCH(B81,$A$4:$A$203,0))+IF(V81="",Inputs!$B$20,V81),""))))</f>
        <v/>
      </c>
      <c r="X81" s="14" t="str">
        <f aca="false">IF(OR(W81="",N81="",C81=""),"",W81+N81*C81)</f>
        <v/>
      </c>
      <c r="Y81" s="14"/>
      <c r="Z81" s="14"/>
      <c r="AA81" s="14" t="str">
        <f aca="false">IF(OR(Y81="",W81=""),"",Y81-W81)</f>
        <v/>
      </c>
      <c r="AB81" s="14" t="str">
        <f aca="false">IF(OR(Z81="",X81=""),"",Z81-X81)</f>
        <v/>
      </c>
      <c r="AC81" s="19" t="str">
        <f aca="false">IF(A81="","",IF(OR(T81&gt;1,AND(AV81&lt;&gt;"",AV81&lt;Inputs!$B$11),AND(AV81&lt;&gt;"",AV81&gt;Inputs!$B$12),AA81&lt;Inputs!$B$19,AB81&lt;Inputs!$B$19,N81&lt;Inputs!$B$7,N81&gt;Inputs!$B$8),"CHECK","OK"))</f>
        <v/>
      </c>
      <c r="AD81" s="9" t="str">
        <f aca="false">IF(A81="","",(1/Inputs!$B$9)*(PI()*(Inputs!$F$5/1000)^2/4)*((Inputs!$F$5/1000/4)^(2/3))*SQRT(N81))</f>
        <v/>
      </c>
      <c r="AE81" s="9" t="str">
        <f aca="false">IF(A81="","",(1/Inputs!$B$9)*(PI()*(Inputs!$F$6/1000)^2/4)*((Inputs!$F$6/1000/4)^(2/3))*SQRT(N81))</f>
        <v/>
      </c>
      <c r="AF81" s="9" t="str">
        <f aca="false">IF(A81="","",(1/Inputs!$B$9)*(PI()*(Inputs!$F$7/1000)^2/4)*((Inputs!$F$7/1000/4)^(2/3))*SQRT(N81))</f>
        <v/>
      </c>
      <c r="AG81" s="9" t="str">
        <f aca="false">IF(A81="","",(1/Inputs!$B$9)*(PI()*(Inputs!$F$8/1000)^2/4)*((Inputs!$F$8/1000/4)^(2/3))*SQRT(N81))</f>
        <v/>
      </c>
      <c r="AH81" s="9" t="str">
        <f aca="false">IF(A81="","",(1/Inputs!$B$9)*(PI()*(Inputs!$F$9/1000)^2/4)*((Inputs!$F$9/1000/4)^(2/3))*SQRT(N81))</f>
        <v/>
      </c>
      <c r="AI81" s="9" t="str">
        <f aca="false">IF(A81="","",(1/Inputs!$B$9)*(PI()*(Inputs!$F$10/1000)^2/4)*((Inputs!$F$10/1000/4)^(2/3))*SQRT(N81))</f>
        <v/>
      </c>
      <c r="AJ81" s="9" t="str">
        <f aca="false">IF(A81="","",(1/Inputs!$B$9)*(PI()*(Inputs!$F$11/1000)^2/4)*((Inputs!$F$11/1000/4)^(2/3))*SQRT(N81))</f>
        <v/>
      </c>
      <c r="AK81" s="9" t="str">
        <f aca="false">IF(A81="","",(1/Inputs!$B$9)*(PI()*(Inputs!$F$12/1000)^2/4)*((Inputs!$F$12/1000/4)^(2/3))*SQRT(N81))</f>
        <v/>
      </c>
      <c r="AL81" s="9" t="str">
        <f aca="false">IF(A81="","",(1/Inputs!$B$9)*(PI()*(Inputs!$F$13/1000)^2/4)*((Inputs!$F$13/1000/4)^(2/3))*SQRT(N81))</f>
        <v/>
      </c>
      <c r="AM81" s="9" t="str">
        <f aca="false">IF(A81="","",(1/Inputs!$B$9)*(PI()*(Inputs!$F$14/1000)^2/4)*((Inputs!$F$14/1000/4)^(2/3))*SQRT(N81))</f>
        <v/>
      </c>
      <c r="AN81" s="9" t="str">
        <f aca="false">IF(A81="","",COUNTIF($B$4:$B$203,$A81))</f>
        <v/>
      </c>
      <c r="AO81" s="9" t="str">
        <f aca="false">IF(A81="","",IF(AN81=0,"START","CONTINUOUS"))</f>
        <v/>
      </c>
      <c r="AP81" s="13" t="str">
        <f aca="false">IF(A81="","",IF(H81="",Inputs!$B$18,H81))</f>
        <v/>
      </c>
      <c r="AQ81" s="13" t="str">
        <f aca="false">IF(A81="","",IFERROR(maxifs($AS$4:$AS$203,$B$4:$B$203,$A81),""))</f>
        <v/>
      </c>
      <c r="AR81" s="13" t="str">
        <f aca="false">IF(A81="","",IF(OR(C81="",Inputs!$B$23=""),"",C81/(Inputs!$B$23*60)))</f>
        <v/>
      </c>
      <c r="AS81" s="13" t="str">
        <f aca="false">IF(A81="","",IF(AN81=0,AP81+AR81,IF(AQ81="",AP81+AR81,AQ81+AR81)))</f>
        <v/>
      </c>
      <c r="AT81" s="13" t="str">
        <f aca="false">IF(A81="","",U81)</f>
        <v/>
      </c>
      <c r="AU81" s="13" t="str">
        <f aca="false">IF(OR(R81="",N81=""),"",(1/Inputs!$B$9)*((R81/4)^(2/3))*SQRT(N81))</f>
        <v/>
      </c>
      <c r="AV81" s="13" t="str">
        <f aca="false">IF(A81="","",IF(AND(AT81="",AU81="",AX81=""),"",IF(OR(UPPER(TRIM(Inputs!$B$24))="MANNING",UPPER(TRIM(Inputs!$B$24))="M"),AU81,IF(OR(UPPER(TRIM(Inputs!$B$24))="PARTIAL",UPPER(TRIM(Inputs!$B$24))="P"),AX81,IF(OR(UPPER(TRIM(Inputs!$B$24))="MAX",UPPER(TRIM(Inputs!$B$24))="X"),MAX(IF(AT81="",0,AT81),IF(AU81="",0,AU81),IF(AX81="",0,AX81)),AT81)))))</f>
        <v/>
      </c>
      <c r="AW81" s="13" t="str">
        <f aca="false">IF(AY81="","",CE81)</f>
        <v/>
      </c>
      <c r="AX81" s="13" t="str">
        <f aca="false">IF(OR(AY81="",AW81="",R81="",R81&lt;=0,AW81&lt;=0),"",AY81/((R81^2/8)*(2*ACOS(1-2*AW81/R81)-SIN(2*ACOS(1-2*AW81/R81)))))</f>
        <v/>
      </c>
      <c r="AY81" s="9" t="str">
        <f aca="false">IF(OR(L81="",AZ81=""),"",MIN(L81,AZ81))</f>
        <v/>
      </c>
      <c r="AZ81" s="9" t="str">
        <f aca="false">IF(OR(L81="",R81="",N81=""),"",IF(OR(R81="",N81="",(0.94*R81)="",R81&lt;=0,(0.94*R81)&lt;=0),"",(1/Inputs!$B$9)*((R81^2/8)*((2*ACOS(1-2*(0.94*R81)/R81))-SIN((2*ACOS(1-2*(0.94*R81)/R81)))))*((((R81^2/8)*((2*ACOS(1-2*(0.94*R81)/R81))-SIN((2*ACOS(1-2*(0.94*R81)/R81)))))/((R81/2)*((2*ACOS(1-2*(0.94*R81)/R81)))))^(2/3))*SQRT(N81)))</f>
        <v/>
      </c>
      <c r="BA81" s="9" t="str">
        <f aca="false">IF(AY81="","",0.001*R81)</f>
        <v/>
      </c>
      <c r="BB81" s="9" t="str">
        <f aca="false">IF(AY81="","",0.94*R81)</f>
        <v/>
      </c>
      <c r="BC81" s="9" t="str">
        <f aca="false">IF(AY81="","",(BA81+BB81)/2)</f>
        <v/>
      </c>
      <c r="BD81" s="9" t="str">
        <f aca="false">IF(OR(R81="",N81="",BC81="",R81&lt;=0,BC81&lt;=0),"",(1/Inputs!$B$9)*((R81^2/8)*((2*ACOS(1-2*BC81/R81))-SIN((2*ACOS(1-2*BC81/R81)))))*((((R81^2/8)*((2*ACOS(1-2*BC81/R81))-SIN((2*ACOS(1-2*BC81/R81)))))/((R81/2)*((2*ACOS(1-2*BC81/R81)))))^(2/3))*SQRT(N81))</f>
        <v/>
      </c>
      <c r="BE81" s="9" t="str">
        <f aca="false">IF(AY81="","",IF(BD81&lt;AY81,BC81,BA81))</f>
        <v/>
      </c>
      <c r="BF81" s="9" t="str">
        <f aca="false">IF(AY81="","",IF(BD81&lt;AY81,BB81,BC81))</f>
        <v/>
      </c>
      <c r="BG81" s="9" t="str">
        <f aca="false">IF(AY81="","",(BE81+BF81)/2)</f>
        <v/>
      </c>
      <c r="BH81" s="9" t="str">
        <f aca="false">IF(OR(R81="",N81="",BG81="",R81&lt;=0,BG81&lt;=0),"",(1/Inputs!$B$9)*((R81^2/8)*((2*ACOS(1-2*BG81/R81))-SIN((2*ACOS(1-2*BG81/R81)))))*((((R81^2/8)*((2*ACOS(1-2*BG81/R81))-SIN((2*ACOS(1-2*BG81/R81)))))/((R81/2)*((2*ACOS(1-2*BG81/R81)))))^(2/3))*SQRT(N81))</f>
        <v/>
      </c>
      <c r="BI81" s="9" t="str">
        <f aca="false">IF(AY81="","",IF(BH81&lt;AY81,BG81,BE81))</f>
        <v/>
      </c>
      <c r="BJ81" s="9" t="str">
        <f aca="false">IF(AY81="","",IF(BH81&lt;AY81,BF81,BG81))</f>
        <v/>
      </c>
      <c r="BK81" s="9" t="str">
        <f aca="false">IF(AY81="","",(BI81+BJ81)/2)</f>
        <v/>
      </c>
      <c r="BL81" s="9" t="str">
        <f aca="false">IF(OR(R81="",N81="",BK81="",R81&lt;=0,BK81&lt;=0),"",(1/Inputs!$B$9)*((R81^2/8)*((2*ACOS(1-2*BK81/R81))-SIN((2*ACOS(1-2*BK81/R81)))))*((((R81^2/8)*((2*ACOS(1-2*BK81/R81))-SIN((2*ACOS(1-2*BK81/R81)))))/((R81/2)*((2*ACOS(1-2*BK81/R81)))))^(2/3))*SQRT(N81))</f>
        <v/>
      </c>
      <c r="BM81" s="9" t="str">
        <f aca="false">IF(AY81="","",IF(BL81&lt;AY81,BK81,BI81))</f>
        <v/>
      </c>
      <c r="BN81" s="9" t="str">
        <f aca="false">IF(AY81="","",IF(BL81&lt;AY81,BJ81,BK81))</f>
        <v/>
      </c>
      <c r="BO81" s="9" t="str">
        <f aca="false">IF(AY81="","",(BM81+BN81)/2)</f>
        <v/>
      </c>
      <c r="BP81" s="9" t="str">
        <f aca="false">IF(OR(R81="",N81="",BO81="",R81&lt;=0,BO81&lt;=0),"",(1/Inputs!$B$9)*((R81^2/8)*((2*ACOS(1-2*BO81/R81))-SIN((2*ACOS(1-2*BO81/R81)))))*((((R81^2/8)*((2*ACOS(1-2*BO81/R81))-SIN((2*ACOS(1-2*BO81/R81)))))/((R81/2)*((2*ACOS(1-2*BO81/R81)))))^(2/3))*SQRT(N81))</f>
        <v/>
      </c>
      <c r="BQ81" s="9" t="str">
        <f aca="false">IF(AY81="","",IF(BP81&lt;AY81,BO81,BM81))</f>
        <v/>
      </c>
      <c r="BR81" s="9" t="str">
        <f aca="false">IF(AY81="","",IF(BP81&lt;AY81,BN81,BO81))</f>
        <v/>
      </c>
      <c r="BS81" s="9" t="str">
        <f aca="false">IF(AY81="","",(BQ81+BR81)/2)</f>
        <v/>
      </c>
      <c r="BT81" s="9" t="str">
        <f aca="false">IF(OR(R81="",N81="",BS81="",R81&lt;=0,BS81&lt;=0),"",(1/Inputs!$B$9)*((R81^2/8)*((2*ACOS(1-2*BS81/R81))-SIN((2*ACOS(1-2*BS81/R81)))))*((((R81^2/8)*((2*ACOS(1-2*BS81/R81))-SIN((2*ACOS(1-2*BS81/R81)))))/((R81/2)*((2*ACOS(1-2*BS81/R81)))))^(2/3))*SQRT(N81))</f>
        <v/>
      </c>
      <c r="BU81" s="9" t="str">
        <f aca="false">IF(AY81="","",IF(BT81&lt;AY81,BS81,BQ81))</f>
        <v/>
      </c>
      <c r="BV81" s="9" t="str">
        <f aca="false">IF(AY81="","",IF(BT81&lt;AY81,BR81,BS81))</f>
        <v/>
      </c>
      <c r="BW81" s="9" t="str">
        <f aca="false">IF(AY81="","",(BU81+BV81)/2)</f>
        <v/>
      </c>
      <c r="BX81" s="9" t="str">
        <f aca="false">IF(OR(R81="",N81="",BW81="",R81&lt;=0,BW81&lt;=0),"",(1/Inputs!$B$9)*((R81^2/8)*((2*ACOS(1-2*BW81/R81))-SIN((2*ACOS(1-2*BW81/R81)))))*((((R81^2/8)*((2*ACOS(1-2*BW81/R81))-SIN((2*ACOS(1-2*BW81/R81)))))/((R81/2)*((2*ACOS(1-2*BW81/R81)))))^(2/3))*SQRT(N81))</f>
        <v/>
      </c>
      <c r="BY81" s="9" t="str">
        <f aca="false">IF(AY81="","",IF(BX81&lt;AY81,BW81,BU81))</f>
        <v/>
      </c>
      <c r="BZ81" s="9" t="str">
        <f aca="false">IF(AY81="","",IF(BX81&lt;AY81,BV81,BW81))</f>
        <v/>
      </c>
      <c r="CA81" s="9" t="str">
        <f aca="false">IF(AY81="","",(BY81+BZ81)/2)</f>
        <v/>
      </c>
      <c r="CB81" s="9" t="str">
        <f aca="false">IF(OR(R81="",N81="",CA81="",R81&lt;=0,CA81&lt;=0),"",(1/Inputs!$B$9)*((R81^2/8)*((2*ACOS(1-2*CA81/R81))-SIN((2*ACOS(1-2*CA81/R81)))))*((((R81^2/8)*((2*ACOS(1-2*CA81/R81))-SIN((2*ACOS(1-2*CA81/R81)))))/((R81/2)*((2*ACOS(1-2*CA81/R81)))))^(2/3))*SQRT(N81))</f>
        <v/>
      </c>
      <c r="CC81" s="9" t="str">
        <f aca="false">IF(AY81="","",IF(CB81&lt;AY81,CA81,BY81))</f>
        <v/>
      </c>
      <c r="CD81" s="9" t="str">
        <f aca="false">IF(AY81="","",IF(CB81&lt;AY81,BZ81,CA81))</f>
        <v/>
      </c>
      <c r="CE81" s="9" t="str">
        <f aca="false">IF(AY81="","",(CC81+CD81)/2)</f>
        <v/>
      </c>
    </row>
    <row r="82" customFormat="false" ht="15" hidden="false" customHeight="false" outlineLevel="0" collapsed="false">
      <c r="A82" s="9"/>
      <c r="B82" s="9"/>
      <c r="C82" s="14"/>
      <c r="D82" s="14"/>
      <c r="E82" s="14" t="n">
        <f aca="false">SUMIFS(CB_Tributaires!$C:$C,CB_Tributaires!$B:$B,$A82)</f>
        <v>0</v>
      </c>
      <c r="F82" s="14" t="n">
        <f aca="false">IF(D82="",E82,D82)</f>
        <v>0</v>
      </c>
      <c r="G82" s="9"/>
      <c r="H82" s="14"/>
      <c r="I82" s="14" t="str">
        <f aca="false">IF(A82="","",Inputs!$B$13/((IF(AS82="",Inputs!$B$18,AS82)+Inputs!$B$14)^Inputs!$B$15))</f>
        <v/>
      </c>
      <c r="J82" s="14" t="str">
        <f aca="false">IF(A82="","",0.000000278*IF(G82="",Inputs!$B$17,G82)*F82*I82)</f>
        <v/>
      </c>
      <c r="K82" s="14" t="str">
        <f aca="false">IF(A82="","",SUMIFS($L$4:$L$203,$B$4:$B$203,$A82))</f>
        <v/>
      </c>
      <c r="L82" s="14" t="str">
        <f aca="false">IF(A82="","",(J82+K82)*Inputs!$B$16)</f>
        <v/>
      </c>
      <c r="M82" s="14"/>
      <c r="N82" s="14" t="str">
        <f aca="false">IF(A82="","",IF(M82="",Inputs!$B$7,M82))</f>
        <v/>
      </c>
      <c r="O82" s="9" t="str">
        <f aca="false">IF(A82="","",IF(L82/Inputs!$B$10&lt;=AD82,Inputs!$F$5,IF(L82/Inputs!$B$10&gt;AM82,"OVERSIZE",INDEX(Inputs!$F$5:$F$14,MATCH(L82/Inputs!$B$10,AD82:AM82,1)+1))))</f>
        <v/>
      </c>
      <c r="P82" s="9"/>
      <c r="Q82" s="9" t="str">
        <f aca="false">IF(A82="","",IF(P82="",O82,P82))</f>
        <v/>
      </c>
      <c r="R82" s="14" t="str">
        <f aca="false">IF(OR(Q82="",Q82="OVERSIZE"),"",Q82/1000)</f>
        <v/>
      </c>
      <c r="S82" s="14" t="str">
        <f aca="false">IF(R82="","",(1/Inputs!$B$9)*(PI()*R82^2/4)*((R82/4)^(2/3))*SQRT(N82))</f>
        <v/>
      </c>
      <c r="T82" s="14" t="str">
        <f aca="false">IF(OR(S82="",L82=""),"",L82/(S82*Inputs!$B$10))</f>
        <v/>
      </c>
      <c r="U82" s="14" t="str">
        <f aca="false">IF(OR(R82="",L82=""),"",4*L82/(PI()*R82^2))</f>
        <v/>
      </c>
      <c r="V82" s="14"/>
      <c r="W82" s="14" t="str">
        <f aca="false">IF(A82="","",IF(A82=Inputs!$B$6,Inputs!$B$22,IF(B82="","",IFERROR(INDEX($X$4:$X$203,MATCH(B82,$A$4:$A$203,0))+IF(V82="",Inputs!$B$20,V82),""))))</f>
        <v/>
      </c>
      <c r="X82" s="14" t="str">
        <f aca="false">IF(OR(W82="",N82="",C82=""),"",W82+N82*C82)</f>
        <v/>
      </c>
      <c r="Y82" s="14"/>
      <c r="Z82" s="14"/>
      <c r="AA82" s="14" t="str">
        <f aca="false">IF(OR(Y82="",W82=""),"",Y82-W82)</f>
        <v/>
      </c>
      <c r="AB82" s="14" t="str">
        <f aca="false">IF(OR(Z82="",X82=""),"",Z82-X82)</f>
        <v/>
      </c>
      <c r="AC82" s="19" t="str">
        <f aca="false">IF(A82="","",IF(OR(T82&gt;1,AND(AV82&lt;&gt;"",AV82&lt;Inputs!$B$11),AND(AV82&lt;&gt;"",AV82&gt;Inputs!$B$12),AA82&lt;Inputs!$B$19,AB82&lt;Inputs!$B$19,N82&lt;Inputs!$B$7,N82&gt;Inputs!$B$8),"CHECK","OK"))</f>
        <v/>
      </c>
      <c r="AD82" s="9" t="str">
        <f aca="false">IF(A82="","",(1/Inputs!$B$9)*(PI()*(Inputs!$F$5/1000)^2/4)*((Inputs!$F$5/1000/4)^(2/3))*SQRT(N82))</f>
        <v/>
      </c>
      <c r="AE82" s="9" t="str">
        <f aca="false">IF(A82="","",(1/Inputs!$B$9)*(PI()*(Inputs!$F$6/1000)^2/4)*((Inputs!$F$6/1000/4)^(2/3))*SQRT(N82))</f>
        <v/>
      </c>
      <c r="AF82" s="9" t="str">
        <f aca="false">IF(A82="","",(1/Inputs!$B$9)*(PI()*(Inputs!$F$7/1000)^2/4)*((Inputs!$F$7/1000/4)^(2/3))*SQRT(N82))</f>
        <v/>
      </c>
      <c r="AG82" s="9" t="str">
        <f aca="false">IF(A82="","",(1/Inputs!$B$9)*(PI()*(Inputs!$F$8/1000)^2/4)*((Inputs!$F$8/1000/4)^(2/3))*SQRT(N82))</f>
        <v/>
      </c>
      <c r="AH82" s="9" t="str">
        <f aca="false">IF(A82="","",(1/Inputs!$B$9)*(PI()*(Inputs!$F$9/1000)^2/4)*((Inputs!$F$9/1000/4)^(2/3))*SQRT(N82))</f>
        <v/>
      </c>
      <c r="AI82" s="9" t="str">
        <f aca="false">IF(A82="","",(1/Inputs!$B$9)*(PI()*(Inputs!$F$10/1000)^2/4)*((Inputs!$F$10/1000/4)^(2/3))*SQRT(N82))</f>
        <v/>
      </c>
      <c r="AJ82" s="9" t="str">
        <f aca="false">IF(A82="","",(1/Inputs!$B$9)*(PI()*(Inputs!$F$11/1000)^2/4)*((Inputs!$F$11/1000/4)^(2/3))*SQRT(N82))</f>
        <v/>
      </c>
      <c r="AK82" s="9" t="str">
        <f aca="false">IF(A82="","",(1/Inputs!$B$9)*(PI()*(Inputs!$F$12/1000)^2/4)*((Inputs!$F$12/1000/4)^(2/3))*SQRT(N82))</f>
        <v/>
      </c>
      <c r="AL82" s="9" t="str">
        <f aca="false">IF(A82="","",(1/Inputs!$B$9)*(PI()*(Inputs!$F$13/1000)^2/4)*((Inputs!$F$13/1000/4)^(2/3))*SQRT(N82))</f>
        <v/>
      </c>
      <c r="AM82" s="9" t="str">
        <f aca="false">IF(A82="","",(1/Inputs!$B$9)*(PI()*(Inputs!$F$14/1000)^2/4)*((Inputs!$F$14/1000/4)^(2/3))*SQRT(N82))</f>
        <v/>
      </c>
      <c r="AN82" s="9" t="str">
        <f aca="false">IF(A82="","",COUNTIF($B$4:$B$203,$A82))</f>
        <v/>
      </c>
      <c r="AO82" s="9" t="str">
        <f aca="false">IF(A82="","",IF(AN82=0,"START","CONTINUOUS"))</f>
        <v/>
      </c>
      <c r="AP82" s="13" t="str">
        <f aca="false">IF(A82="","",IF(H82="",Inputs!$B$18,H82))</f>
        <v/>
      </c>
      <c r="AQ82" s="13" t="str">
        <f aca="false">IF(A82="","",IFERROR(maxifs($AS$4:$AS$203,$B$4:$B$203,$A82),""))</f>
        <v/>
      </c>
      <c r="AR82" s="13" t="str">
        <f aca="false">IF(A82="","",IF(OR(C82="",Inputs!$B$23=""),"",C82/(Inputs!$B$23*60)))</f>
        <v/>
      </c>
      <c r="AS82" s="13" t="str">
        <f aca="false">IF(A82="","",IF(AN82=0,AP82+AR82,IF(AQ82="",AP82+AR82,AQ82+AR82)))</f>
        <v/>
      </c>
      <c r="AT82" s="13" t="str">
        <f aca="false">IF(A82="","",U82)</f>
        <v/>
      </c>
      <c r="AU82" s="13" t="str">
        <f aca="false">IF(OR(R82="",N82=""),"",(1/Inputs!$B$9)*((R82/4)^(2/3))*SQRT(N82))</f>
        <v/>
      </c>
      <c r="AV82" s="13" t="str">
        <f aca="false">IF(A82="","",IF(AND(AT82="",AU82="",AX82=""),"",IF(OR(UPPER(TRIM(Inputs!$B$24))="MANNING",UPPER(TRIM(Inputs!$B$24))="M"),AU82,IF(OR(UPPER(TRIM(Inputs!$B$24))="PARTIAL",UPPER(TRIM(Inputs!$B$24))="P"),AX82,IF(OR(UPPER(TRIM(Inputs!$B$24))="MAX",UPPER(TRIM(Inputs!$B$24))="X"),MAX(IF(AT82="",0,AT82),IF(AU82="",0,AU82),IF(AX82="",0,AX82)),AT82)))))</f>
        <v/>
      </c>
      <c r="AW82" s="13" t="str">
        <f aca="false">IF(AY82="","",CE82)</f>
        <v/>
      </c>
      <c r="AX82" s="13" t="str">
        <f aca="false">IF(OR(AY82="",AW82="",R82="",R82&lt;=0,AW82&lt;=0),"",AY82/((R82^2/8)*(2*ACOS(1-2*AW82/R82)-SIN(2*ACOS(1-2*AW82/R82)))))</f>
        <v/>
      </c>
      <c r="AY82" s="9" t="str">
        <f aca="false">IF(OR(L82="",AZ82=""),"",MIN(L82,AZ82))</f>
        <v/>
      </c>
      <c r="AZ82" s="9" t="str">
        <f aca="false">IF(OR(L82="",R82="",N82=""),"",IF(OR(R82="",N82="",(0.94*R82)="",R82&lt;=0,(0.94*R82)&lt;=0),"",(1/Inputs!$B$9)*((R82^2/8)*((2*ACOS(1-2*(0.94*R82)/R82))-SIN((2*ACOS(1-2*(0.94*R82)/R82)))))*((((R82^2/8)*((2*ACOS(1-2*(0.94*R82)/R82))-SIN((2*ACOS(1-2*(0.94*R82)/R82)))))/((R82/2)*((2*ACOS(1-2*(0.94*R82)/R82)))))^(2/3))*SQRT(N82)))</f>
        <v/>
      </c>
      <c r="BA82" s="9" t="str">
        <f aca="false">IF(AY82="","",0.001*R82)</f>
        <v/>
      </c>
      <c r="BB82" s="9" t="str">
        <f aca="false">IF(AY82="","",0.94*R82)</f>
        <v/>
      </c>
      <c r="BC82" s="9" t="str">
        <f aca="false">IF(AY82="","",(BA82+BB82)/2)</f>
        <v/>
      </c>
      <c r="BD82" s="9" t="str">
        <f aca="false">IF(OR(R82="",N82="",BC82="",R82&lt;=0,BC82&lt;=0),"",(1/Inputs!$B$9)*((R82^2/8)*((2*ACOS(1-2*BC82/R82))-SIN((2*ACOS(1-2*BC82/R82)))))*((((R82^2/8)*((2*ACOS(1-2*BC82/R82))-SIN((2*ACOS(1-2*BC82/R82)))))/((R82/2)*((2*ACOS(1-2*BC82/R82)))))^(2/3))*SQRT(N82))</f>
        <v/>
      </c>
      <c r="BE82" s="9" t="str">
        <f aca="false">IF(AY82="","",IF(BD82&lt;AY82,BC82,BA82))</f>
        <v/>
      </c>
      <c r="BF82" s="9" t="str">
        <f aca="false">IF(AY82="","",IF(BD82&lt;AY82,BB82,BC82))</f>
        <v/>
      </c>
      <c r="BG82" s="9" t="str">
        <f aca="false">IF(AY82="","",(BE82+BF82)/2)</f>
        <v/>
      </c>
      <c r="BH82" s="9" t="str">
        <f aca="false">IF(OR(R82="",N82="",BG82="",R82&lt;=0,BG82&lt;=0),"",(1/Inputs!$B$9)*((R82^2/8)*((2*ACOS(1-2*BG82/R82))-SIN((2*ACOS(1-2*BG82/R82)))))*((((R82^2/8)*((2*ACOS(1-2*BG82/R82))-SIN((2*ACOS(1-2*BG82/R82)))))/((R82/2)*((2*ACOS(1-2*BG82/R82)))))^(2/3))*SQRT(N82))</f>
        <v/>
      </c>
      <c r="BI82" s="9" t="str">
        <f aca="false">IF(AY82="","",IF(BH82&lt;AY82,BG82,BE82))</f>
        <v/>
      </c>
      <c r="BJ82" s="9" t="str">
        <f aca="false">IF(AY82="","",IF(BH82&lt;AY82,BF82,BG82))</f>
        <v/>
      </c>
      <c r="BK82" s="9" t="str">
        <f aca="false">IF(AY82="","",(BI82+BJ82)/2)</f>
        <v/>
      </c>
      <c r="BL82" s="9" t="str">
        <f aca="false">IF(OR(R82="",N82="",BK82="",R82&lt;=0,BK82&lt;=0),"",(1/Inputs!$B$9)*((R82^2/8)*((2*ACOS(1-2*BK82/R82))-SIN((2*ACOS(1-2*BK82/R82)))))*((((R82^2/8)*((2*ACOS(1-2*BK82/R82))-SIN((2*ACOS(1-2*BK82/R82)))))/((R82/2)*((2*ACOS(1-2*BK82/R82)))))^(2/3))*SQRT(N82))</f>
        <v/>
      </c>
      <c r="BM82" s="9" t="str">
        <f aca="false">IF(AY82="","",IF(BL82&lt;AY82,BK82,BI82))</f>
        <v/>
      </c>
      <c r="BN82" s="9" t="str">
        <f aca="false">IF(AY82="","",IF(BL82&lt;AY82,BJ82,BK82))</f>
        <v/>
      </c>
      <c r="BO82" s="9" t="str">
        <f aca="false">IF(AY82="","",(BM82+BN82)/2)</f>
        <v/>
      </c>
      <c r="BP82" s="9" t="str">
        <f aca="false">IF(OR(R82="",N82="",BO82="",R82&lt;=0,BO82&lt;=0),"",(1/Inputs!$B$9)*((R82^2/8)*((2*ACOS(1-2*BO82/R82))-SIN((2*ACOS(1-2*BO82/R82)))))*((((R82^2/8)*((2*ACOS(1-2*BO82/R82))-SIN((2*ACOS(1-2*BO82/R82)))))/((R82/2)*((2*ACOS(1-2*BO82/R82)))))^(2/3))*SQRT(N82))</f>
        <v/>
      </c>
      <c r="BQ82" s="9" t="str">
        <f aca="false">IF(AY82="","",IF(BP82&lt;AY82,BO82,BM82))</f>
        <v/>
      </c>
      <c r="BR82" s="9" t="str">
        <f aca="false">IF(AY82="","",IF(BP82&lt;AY82,BN82,BO82))</f>
        <v/>
      </c>
      <c r="BS82" s="9" t="str">
        <f aca="false">IF(AY82="","",(BQ82+BR82)/2)</f>
        <v/>
      </c>
      <c r="BT82" s="9" t="str">
        <f aca="false">IF(OR(R82="",N82="",BS82="",R82&lt;=0,BS82&lt;=0),"",(1/Inputs!$B$9)*((R82^2/8)*((2*ACOS(1-2*BS82/R82))-SIN((2*ACOS(1-2*BS82/R82)))))*((((R82^2/8)*((2*ACOS(1-2*BS82/R82))-SIN((2*ACOS(1-2*BS82/R82)))))/((R82/2)*((2*ACOS(1-2*BS82/R82)))))^(2/3))*SQRT(N82))</f>
        <v/>
      </c>
      <c r="BU82" s="9" t="str">
        <f aca="false">IF(AY82="","",IF(BT82&lt;AY82,BS82,BQ82))</f>
        <v/>
      </c>
      <c r="BV82" s="9" t="str">
        <f aca="false">IF(AY82="","",IF(BT82&lt;AY82,BR82,BS82))</f>
        <v/>
      </c>
      <c r="BW82" s="9" t="str">
        <f aca="false">IF(AY82="","",(BU82+BV82)/2)</f>
        <v/>
      </c>
      <c r="BX82" s="9" t="str">
        <f aca="false">IF(OR(R82="",N82="",BW82="",R82&lt;=0,BW82&lt;=0),"",(1/Inputs!$B$9)*((R82^2/8)*((2*ACOS(1-2*BW82/R82))-SIN((2*ACOS(1-2*BW82/R82)))))*((((R82^2/8)*((2*ACOS(1-2*BW82/R82))-SIN((2*ACOS(1-2*BW82/R82)))))/((R82/2)*((2*ACOS(1-2*BW82/R82)))))^(2/3))*SQRT(N82))</f>
        <v/>
      </c>
      <c r="BY82" s="9" t="str">
        <f aca="false">IF(AY82="","",IF(BX82&lt;AY82,BW82,BU82))</f>
        <v/>
      </c>
      <c r="BZ82" s="9" t="str">
        <f aca="false">IF(AY82="","",IF(BX82&lt;AY82,BV82,BW82))</f>
        <v/>
      </c>
      <c r="CA82" s="9" t="str">
        <f aca="false">IF(AY82="","",(BY82+BZ82)/2)</f>
        <v/>
      </c>
      <c r="CB82" s="9" t="str">
        <f aca="false">IF(OR(R82="",N82="",CA82="",R82&lt;=0,CA82&lt;=0),"",(1/Inputs!$B$9)*((R82^2/8)*((2*ACOS(1-2*CA82/R82))-SIN((2*ACOS(1-2*CA82/R82)))))*((((R82^2/8)*((2*ACOS(1-2*CA82/R82))-SIN((2*ACOS(1-2*CA82/R82)))))/((R82/2)*((2*ACOS(1-2*CA82/R82)))))^(2/3))*SQRT(N82))</f>
        <v/>
      </c>
      <c r="CC82" s="9" t="str">
        <f aca="false">IF(AY82="","",IF(CB82&lt;AY82,CA82,BY82))</f>
        <v/>
      </c>
      <c r="CD82" s="9" t="str">
        <f aca="false">IF(AY82="","",IF(CB82&lt;AY82,BZ82,CA82))</f>
        <v/>
      </c>
      <c r="CE82" s="9" t="str">
        <f aca="false">IF(AY82="","",(CC82+CD82)/2)</f>
        <v/>
      </c>
    </row>
    <row r="83" customFormat="false" ht="15" hidden="false" customHeight="false" outlineLevel="0" collapsed="false">
      <c r="A83" s="9"/>
      <c r="B83" s="9"/>
      <c r="C83" s="14"/>
      <c r="D83" s="14"/>
      <c r="E83" s="14" t="n">
        <f aca="false">SUMIFS(CB_Tributaires!$C:$C,CB_Tributaires!$B:$B,$A83)</f>
        <v>0</v>
      </c>
      <c r="F83" s="14" t="n">
        <f aca="false">IF(D83="",E83,D83)</f>
        <v>0</v>
      </c>
      <c r="G83" s="9"/>
      <c r="H83" s="14"/>
      <c r="I83" s="14" t="str">
        <f aca="false">IF(A83="","",Inputs!$B$13/((IF(AS83="",Inputs!$B$18,AS83)+Inputs!$B$14)^Inputs!$B$15))</f>
        <v/>
      </c>
      <c r="J83" s="14" t="str">
        <f aca="false">IF(A83="","",0.000000278*IF(G83="",Inputs!$B$17,G83)*F83*I83)</f>
        <v/>
      </c>
      <c r="K83" s="14" t="str">
        <f aca="false">IF(A83="","",SUMIFS($L$4:$L$203,$B$4:$B$203,$A83))</f>
        <v/>
      </c>
      <c r="L83" s="14" t="str">
        <f aca="false">IF(A83="","",(J83+K83)*Inputs!$B$16)</f>
        <v/>
      </c>
      <c r="M83" s="14"/>
      <c r="N83" s="14" t="str">
        <f aca="false">IF(A83="","",IF(M83="",Inputs!$B$7,M83))</f>
        <v/>
      </c>
      <c r="O83" s="9" t="str">
        <f aca="false">IF(A83="","",IF(L83/Inputs!$B$10&lt;=AD83,Inputs!$F$5,IF(L83/Inputs!$B$10&gt;AM83,"OVERSIZE",INDEX(Inputs!$F$5:$F$14,MATCH(L83/Inputs!$B$10,AD83:AM83,1)+1))))</f>
        <v/>
      </c>
      <c r="P83" s="9"/>
      <c r="Q83" s="9" t="str">
        <f aca="false">IF(A83="","",IF(P83="",O83,P83))</f>
        <v/>
      </c>
      <c r="R83" s="14" t="str">
        <f aca="false">IF(OR(Q83="",Q83="OVERSIZE"),"",Q83/1000)</f>
        <v/>
      </c>
      <c r="S83" s="14" t="str">
        <f aca="false">IF(R83="","",(1/Inputs!$B$9)*(PI()*R83^2/4)*((R83/4)^(2/3))*SQRT(N83))</f>
        <v/>
      </c>
      <c r="T83" s="14" t="str">
        <f aca="false">IF(OR(S83="",L83=""),"",L83/(S83*Inputs!$B$10))</f>
        <v/>
      </c>
      <c r="U83" s="14" t="str">
        <f aca="false">IF(OR(R83="",L83=""),"",4*L83/(PI()*R83^2))</f>
        <v/>
      </c>
      <c r="V83" s="14"/>
      <c r="W83" s="14" t="str">
        <f aca="false">IF(A83="","",IF(A83=Inputs!$B$6,Inputs!$B$22,IF(B83="","",IFERROR(INDEX($X$4:$X$203,MATCH(B83,$A$4:$A$203,0))+IF(V83="",Inputs!$B$20,V83),""))))</f>
        <v/>
      </c>
      <c r="X83" s="14" t="str">
        <f aca="false">IF(OR(W83="",N83="",C83=""),"",W83+N83*C83)</f>
        <v/>
      </c>
      <c r="Y83" s="14"/>
      <c r="Z83" s="14"/>
      <c r="AA83" s="14" t="str">
        <f aca="false">IF(OR(Y83="",W83=""),"",Y83-W83)</f>
        <v/>
      </c>
      <c r="AB83" s="14" t="str">
        <f aca="false">IF(OR(Z83="",X83=""),"",Z83-X83)</f>
        <v/>
      </c>
      <c r="AC83" s="19" t="str">
        <f aca="false">IF(A83="","",IF(OR(T83&gt;1,AND(AV83&lt;&gt;"",AV83&lt;Inputs!$B$11),AND(AV83&lt;&gt;"",AV83&gt;Inputs!$B$12),AA83&lt;Inputs!$B$19,AB83&lt;Inputs!$B$19,N83&lt;Inputs!$B$7,N83&gt;Inputs!$B$8),"CHECK","OK"))</f>
        <v/>
      </c>
      <c r="AD83" s="9" t="str">
        <f aca="false">IF(A83="","",(1/Inputs!$B$9)*(PI()*(Inputs!$F$5/1000)^2/4)*((Inputs!$F$5/1000/4)^(2/3))*SQRT(N83))</f>
        <v/>
      </c>
      <c r="AE83" s="9" t="str">
        <f aca="false">IF(A83="","",(1/Inputs!$B$9)*(PI()*(Inputs!$F$6/1000)^2/4)*((Inputs!$F$6/1000/4)^(2/3))*SQRT(N83))</f>
        <v/>
      </c>
      <c r="AF83" s="9" t="str">
        <f aca="false">IF(A83="","",(1/Inputs!$B$9)*(PI()*(Inputs!$F$7/1000)^2/4)*((Inputs!$F$7/1000/4)^(2/3))*SQRT(N83))</f>
        <v/>
      </c>
      <c r="AG83" s="9" t="str">
        <f aca="false">IF(A83="","",(1/Inputs!$B$9)*(PI()*(Inputs!$F$8/1000)^2/4)*((Inputs!$F$8/1000/4)^(2/3))*SQRT(N83))</f>
        <v/>
      </c>
      <c r="AH83" s="9" t="str">
        <f aca="false">IF(A83="","",(1/Inputs!$B$9)*(PI()*(Inputs!$F$9/1000)^2/4)*((Inputs!$F$9/1000/4)^(2/3))*SQRT(N83))</f>
        <v/>
      </c>
      <c r="AI83" s="9" t="str">
        <f aca="false">IF(A83="","",(1/Inputs!$B$9)*(PI()*(Inputs!$F$10/1000)^2/4)*((Inputs!$F$10/1000/4)^(2/3))*SQRT(N83))</f>
        <v/>
      </c>
      <c r="AJ83" s="9" t="str">
        <f aca="false">IF(A83="","",(1/Inputs!$B$9)*(PI()*(Inputs!$F$11/1000)^2/4)*((Inputs!$F$11/1000/4)^(2/3))*SQRT(N83))</f>
        <v/>
      </c>
      <c r="AK83" s="9" t="str">
        <f aca="false">IF(A83="","",(1/Inputs!$B$9)*(PI()*(Inputs!$F$12/1000)^2/4)*((Inputs!$F$12/1000/4)^(2/3))*SQRT(N83))</f>
        <v/>
      </c>
      <c r="AL83" s="9" t="str">
        <f aca="false">IF(A83="","",(1/Inputs!$B$9)*(PI()*(Inputs!$F$13/1000)^2/4)*((Inputs!$F$13/1000/4)^(2/3))*SQRT(N83))</f>
        <v/>
      </c>
      <c r="AM83" s="9" t="str">
        <f aca="false">IF(A83="","",(1/Inputs!$B$9)*(PI()*(Inputs!$F$14/1000)^2/4)*((Inputs!$F$14/1000/4)^(2/3))*SQRT(N83))</f>
        <v/>
      </c>
      <c r="AN83" s="9" t="str">
        <f aca="false">IF(A83="","",COUNTIF($B$4:$B$203,$A83))</f>
        <v/>
      </c>
      <c r="AO83" s="9" t="str">
        <f aca="false">IF(A83="","",IF(AN83=0,"START","CONTINUOUS"))</f>
        <v/>
      </c>
      <c r="AP83" s="13" t="str">
        <f aca="false">IF(A83="","",IF(H83="",Inputs!$B$18,H83))</f>
        <v/>
      </c>
      <c r="AQ83" s="13" t="str">
        <f aca="false">IF(A83="","",IFERROR(maxifs($AS$4:$AS$203,$B$4:$B$203,$A83),""))</f>
        <v/>
      </c>
      <c r="AR83" s="13" t="str">
        <f aca="false">IF(A83="","",IF(OR(C83="",Inputs!$B$23=""),"",C83/(Inputs!$B$23*60)))</f>
        <v/>
      </c>
      <c r="AS83" s="13" t="str">
        <f aca="false">IF(A83="","",IF(AN83=0,AP83+AR83,IF(AQ83="",AP83+AR83,AQ83+AR83)))</f>
        <v/>
      </c>
      <c r="AT83" s="13" t="str">
        <f aca="false">IF(A83="","",U83)</f>
        <v/>
      </c>
      <c r="AU83" s="13" t="str">
        <f aca="false">IF(OR(R83="",N83=""),"",(1/Inputs!$B$9)*((R83/4)^(2/3))*SQRT(N83))</f>
        <v/>
      </c>
      <c r="AV83" s="13" t="str">
        <f aca="false">IF(A83="","",IF(AND(AT83="",AU83="",AX83=""),"",IF(OR(UPPER(TRIM(Inputs!$B$24))="MANNING",UPPER(TRIM(Inputs!$B$24))="M"),AU83,IF(OR(UPPER(TRIM(Inputs!$B$24))="PARTIAL",UPPER(TRIM(Inputs!$B$24))="P"),AX83,IF(OR(UPPER(TRIM(Inputs!$B$24))="MAX",UPPER(TRIM(Inputs!$B$24))="X"),MAX(IF(AT83="",0,AT83),IF(AU83="",0,AU83),IF(AX83="",0,AX83)),AT83)))))</f>
        <v/>
      </c>
      <c r="AW83" s="13" t="str">
        <f aca="false">IF(AY83="","",CE83)</f>
        <v/>
      </c>
      <c r="AX83" s="13" t="str">
        <f aca="false">IF(OR(AY83="",AW83="",R83="",R83&lt;=0,AW83&lt;=0),"",AY83/((R83^2/8)*(2*ACOS(1-2*AW83/R83)-SIN(2*ACOS(1-2*AW83/R83)))))</f>
        <v/>
      </c>
      <c r="AY83" s="9" t="str">
        <f aca="false">IF(OR(L83="",AZ83=""),"",MIN(L83,AZ83))</f>
        <v/>
      </c>
      <c r="AZ83" s="9" t="str">
        <f aca="false">IF(OR(L83="",R83="",N83=""),"",IF(OR(R83="",N83="",(0.94*R83)="",R83&lt;=0,(0.94*R83)&lt;=0),"",(1/Inputs!$B$9)*((R83^2/8)*((2*ACOS(1-2*(0.94*R83)/R83))-SIN((2*ACOS(1-2*(0.94*R83)/R83)))))*((((R83^2/8)*((2*ACOS(1-2*(0.94*R83)/R83))-SIN((2*ACOS(1-2*(0.94*R83)/R83)))))/((R83/2)*((2*ACOS(1-2*(0.94*R83)/R83)))))^(2/3))*SQRT(N83)))</f>
        <v/>
      </c>
      <c r="BA83" s="9" t="str">
        <f aca="false">IF(AY83="","",0.001*R83)</f>
        <v/>
      </c>
      <c r="BB83" s="9" t="str">
        <f aca="false">IF(AY83="","",0.94*R83)</f>
        <v/>
      </c>
      <c r="BC83" s="9" t="str">
        <f aca="false">IF(AY83="","",(BA83+BB83)/2)</f>
        <v/>
      </c>
      <c r="BD83" s="9" t="str">
        <f aca="false">IF(OR(R83="",N83="",BC83="",R83&lt;=0,BC83&lt;=0),"",(1/Inputs!$B$9)*((R83^2/8)*((2*ACOS(1-2*BC83/R83))-SIN((2*ACOS(1-2*BC83/R83)))))*((((R83^2/8)*((2*ACOS(1-2*BC83/R83))-SIN((2*ACOS(1-2*BC83/R83)))))/((R83/2)*((2*ACOS(1-2*BC83/R83)))))^(2/3))*SQRT(N83))</f>
        <v/>
      </c>
      <c r="BE83" s="9" t="str">
        <f aca="false">IF(AY83="","",IF(BD83&lt;AY83,BC83,BA83))</f>
        <v/>
      </c>
      <c r="BF83" s="9" t="str">
        <f aca="false">IF(AY83="","",IF(BD83&lt;AY83,BB83,BC83))</f>
        <v/>
      </c>
      <c r="BG83" s="9" t="str">
        <f aca="false">IF(AY83="","",(BE83+BF83)/2)</f>
        <v/>
      </c>
      <c r="BH83" s="9" t="str">
        <f aca="false">IF(OR(R83="",N83="",BG83="",R83&lt;=0,BG83&lt;=0),"",(1/Inputs!$B$9)*((R83^2/8)*((2*ACOS(1-2*BG83/R83))-SIN((2*ACOS(1-2*BG83/R83)))))*((((R83^2/8)*((2*ACOS(1-2*BG83/R83))-SIN((2*ACOS(1-2*BG83/R83)))))/((R83/2)*((2*ACOS(1-2*BG83/R83)))))^(2/3))*SQRT(N83))</f>
        <v/>
      </c>
      <c r="BI83" s="9" t="str">
        <f aca="false">IF(AY83="","",IF(BH83&lt;AY83,BG83,BE83))</f>
        <v/>
      </c>
      <c r="BJ83" s="9" t="str">
        <f aca="false">IF(AY83="","",IF(BH83&lt;AY83,BF83,BG83))</f>
        <v/>
      </c>
      <c r="BK83" s="9" t="str">
        <f aca="false">IF(AY83="","",(BI83+BJ83)/2)</f>
        <v/>
      </c>
      <c r="BL83" s="9" t="str">
        <f aca="false">IF(OR(R83="",N83="",BK83="",R83&lt;=0,BK83&lt;=0),"",(1/Inputs!$B$9)*((R83^2/8)*((2*ACOS(1-2*BK83/R83))-SIN((2*ACOS(1-2*BK83/R83)))))*((((R83^2/8)*((2*ACOS(1-2*BK83/R83))-SIN((2*ACOS(1-2*BK83/R83)))))/((R83/2)*((2*ACOS(1-2*BK83/R83)))))^(2/3))*SQRT(N83))</f>
        <v/>
      </c>
      <c r="BM83" s="9" t="str">
        <f aca="false">IF(AY83="","",IF(BL83&lt;AY83,BK83,BI83))</f>
        <v/>
      </c>
      <c r="BN83" s="9" t="str">
        <f aca="false">IF(AY83="","",IF(BL83&lt;AY83,BJ83,BK83))</f>
        <v/>
      </c>
      <c r="BO83" s="9" t="str">
        <f aca="false">IF(AY83="","",(BM83+BN83)/2)</f>
        <v/>
      </c>
      <c r="BP83" s="9" t="str">
        <f aca="false">IF(OR(R83="",N83="",BO83="",R83&lt;=0,BO83&lt;=0),"",(1/Inputs!$B$9)*((R83^2/8)*((2*ACOS(1-2*BO83/R83))-SIN((2*ACOS(1-2*BO83/R83)))))*((((R83^2/8)*((2*ACOS(1-2*BO83/R83))-SIN((2*ACOS(1-2*BO83/R83)))))/((R83/2)*((2*ACOS(1-2*BO83/R83)))))^(2/3))*SQRT(N83))</f>
        <v/>
      </c>
      <c r="BQ83" s="9" t="str">
        <f aca="false">IF(AY83="","",IF(BP83&lt;AY83,BO83,BM83))</f>
        <v/>
      </c>
      <c r="BR83" s="9" t="str">
        <f aca="false">IF(AY83="","",IF(BP83&lt;AY83,BN83,BO83))</f>
        <v/>
      </c>
      <c r="BS83" s="9" t="str">
        <f aca="false">IF(AY83="","",(BQ83+BR83)/2)</f>
        <v/>
      </c>
      <c r="BT83" s="9" t="str">
        <f aca="false">IF(OR(R83="",N83="",BS83="",R83&lt;=0,BS83&lt;=0),"",(1/Inputs!$B$9)*((R83^2/8)*((2*ACOS(1-2*BS83/R83))-SIN((2*ACOS(1-2*BS83/R83)))))*((((R83^2/8)*((2*ACOS(1-2*BS83/R83))-SIN((2*ACOS(1-2*BS83/R83)))))/((R83/2)*((2*ACOS(1-2*BS83/R83)))))^(2/3))*SQRT(N83))</f>
        <v/>
      </c>
      <c r="BU83" s="9" t="str">
        <f aca="false">IF(AY83="","",IF(BT83&lt;AY83,BS83,BQ83))</f>
        <v/>
      </c>
      <c r="BV83" s="9" t="str">
        <f aca="false">IF(AY83="","",IF(BT83&lt;AY83,BR83,BS83))</f>
        <v/>
      </c>
      <c r="BW83" s="9" t="str">
        <f aca="false">IF(AY83="","",(BU83+BV83)/2)</f>
        <v/>
      </c>
      <c r="BX83" s="9" t="str">
        <f aca="false">IF(OR(R83="",N83="",BW83="",R83&lt;=0,BW83&lt;=0),"",(1/Inputs!$B$9)*((R83^2/8)*((2*ACOS(1-2*BW83/R83))-SIN((2*ACOS(1-2*BW83/R83)))))*((((R83^2/8)*((2*ACOS(1-2*BW83/R83))-SIN((2*ACOS(1-2*BW83/R83)))))/((R83/2)*((2*ACOS(1-2*BW83/R83)))))^(2/3))*SQRT(N83))</f>
        <v/>
      </c>
      <c r="BY83" s="9" t="str">
        <f aca="false">IF(AY83="","",IF(BX83&lt;AY83,BW83,BU83))</f>
        <v/>
      </c>
      <c r="BZ83" s="9" t="str">
        <f aca="false">IF(AY83="","",IF(BX83&lt;AY83,BV83,BW83))</f>
        <v/>
      </c>
      <c r="CA83" s="9" t="str">
        <f aca="false">IF(AY83="","",(BY83+BZ83)/2)</f>
        <v/>
      </c>
      <c r="CB83" s="9" t="str">
        <f aca="false">IF(OR(R83="",N83="",CA83="",R83&lt;=0,CA83&lt;=0),"",(1/Inputs!$B$9)*((R83^2/8)*((2*ACOS(1-2*CA83/R83))-SIN((2*ACOS(1-2*CA83/R83)))))*((((R83^2/8)*((2*ACOS(1-2*CA83/R83))-SIN((2*ACOS(1-2*CA83/R83)))))/((R83/2)*((2*ACOS(1-2*CA83/R83)))))^(2/3))*SQRT(N83))</f>
        <v/>
      </c>
      <c r="CC83" s="9" t="str">
        <f aca="false">IF(AY83="","",IF(CB83&lt;AY83,CA83,BY83))</f>
        <v/>
      </c>
      <c r="CD83" s="9" t="str">
        <f aca="false">IF(AY83="","",IF(CB83&lt;AY83,BZ83,CA83))</f>
        <v/>
      </c>
      <c r="CE83" s="9" t="str">
        <f aca="false">IF(AY83="","",(CC83+CD83)/2)</f>
        <v/>
      </c>
    </row>
    <row r="84" customFormat="false" ht="15" hidden="false" customHeight="false" outlineLevel="0" collapsed="false">
      <c r="A84" s="9"/>
      <c r="B84" s="9"/>
      <c r="C84" s="14"/>
      <c r="D84" s="14"/>
      <c r="E84" s="14" t="n">
        <f aca="false">SUMIFS(CB_Tributaires!$C:$C,CB_Tributaires!$B:$B,$A84)</f>
        <v>0</v>
      </c>
      <c r="F84" s="14" t="n">
        <f aca="false">IF(D84="",E84,D84)</f>
        <v>0</v>
      </c>
      <c r="G84" s="9"/>
      <c r="H84" s="14"/>
      <c r="I84" s="14" t="str">
        <f aca="false">IF(A84="","",Inputs!$B$13/((IF(AS84="",Inputs!$B$18,AS84)+Inputs!$B$14)^Inputs!$B$15))</f>
        <v/>
      </c>
      <c r="J84" s="14" t="str">
        <f aca="false">IF(A84="","",0.000000278*IF(G84="",Inputs!$B$17,G84)*F84*I84)</f>
        <v/>
      </c>
      <c r="K84" s="14" t="str">
        <f aca="false">IF(A84="","",SUMIFS($L$4:$L$203,$B$4:$B$203,$A84))</f>
        <v/>
      </c>
      <c r="L84" s="14" t="str">
        <f aca="false">IF(A84="","",(J84+K84)*Inputs!$B$16)</f>
        <v/>
      </c>
      <c r="M84" s="14"/>
      <c r="N84" s="14" t="str">
        <f aca="false">IF(A84="","",IF(M84="",Inputs!$B$7,M84))</f>
        <v/>
      </c>
      <c r="O84" s="9" t="str">
        <f aca="false">IF(A84="","",IF(L84/Inputs!$B$10&lt;=AD84,Inputs!$F$5,IF(L84/Inputs!$B$10&gt;AM84,"OVERSIZE",INDEX(Inputs!$F$5:$F$14,MATCH(L84/Inputs!$B$10,AD84:AM84,1)+1))))</f>
        <v/>
      </c>
      <c r="P84" s="9"/>
      <c r="Q84" s="9" t="str">
        <f aca="false">IF(A84="","",IF(P84="",O84,P84))</f>
        <v/>
      </c>
      <c r="R84" s="14" t="str">
        <f aca="false">IF(OR(Q84="",Q84="OVERSIZE"),"",Q84/1000)</f>
        <v/>
      </c>
      <c r="S84" s="14" t="str">
        <f aca="false">IF(R84="","",(1/Inputs!$B$9)*(PI()*R84^2/4)*((R84/4)^(2/3))*SQRT(N84))</f>
        <v/>
      </c>
      <c r="T84" s="14" t="str">
        <f aca="false">IF(OR(S84="",L84=""),"",L84/(S84*Inputs!$B$10))</f>
        <v/>
      </c>
      <c r="U84" s="14" t="str">
        <f aca="false">IF(OR(R84="",L84=""),"",4*L84/(PI()*R84^2))</f>
        <v/>
      </c>
      <c r="V84" s="14"/>
      <c r="W84" s="14" t="str">
        <f aca="false">IF(A84="","",IF(A84=Inputs!$B$6,Inputs!$B$22,IF(B84="","",IFERROR(INDEX($X$4:$X$203,MATCH(B84,$A$4:$A$203,0))+IF(V84="",Inputs!$B$20,V84),""))))</f>
        <v/>
      </c>
      <c r="X84" s="14" t="str">
        <f aca="false">IF(OR(W84="",N84="",C84=""),"",W84+N84*C84)</f>
        <v/>
      </c>
      <c r="Y84" s="14"/>
      <c r="Z84" s="14"/>
      <c r="AA84" s="14" t="str">
        <f aca="false">IF(OR(Y84="",W84=""),"",Y84-W84)</f>
        <v/>
      </c>
      <c r="AB84" s="14" t="str">
        <f aca="false">IF(OR(Z84="",X84=""),"",Z84-X84)</f>
        <v/>
      </c>
      <c r="AC84" s="19" t="str">
        <f aca="false">IF(A84="","",IF(OR(T84&gt;1,AND(AV84&lt;&gt;"",AV84&lt;Inputs!$B$11),AND(AV84&lt;&gt;"",AV84&gt;Inputs!$B$12),AA84&lt;Inputs!$B$19,AB84&lt;Inputs!$B$19,N84&lt;Inputs!$B$7,N84&gt;Inputs!$B$8),"CHECK","OK"))</f>
        <v/>
      </c>
      <c r="AD84" s="9" t="str">
        <f aca="false">IF(A84="","",(1/Inputs!$B$9)*(PI()*(Inputs!$F$5/1000)^2/4)*((Inputs!$F$5/1000/4)^(2/3))*SQRT(N84))</f>
        <v/>
      </c>
      <c r="AE84" s="9" t="str">
        <f aca="false">IF(A84="","",(1/Inputs!$B$9)*(PI()*(Inputs!$F$6/1000)^2/4)*((Inputs!$F$6/1000/4)^(2/3))*SQRT(N84))</f>
        <v/>
      </c>
      <c r="AF84" s="9" t="str">
        <f aca="false">IF(A84="","",(1/Inputs!$B$9)*(PI()*(Inputs!$F$7/1000)^2/4)*((Inputs!$F$7/1000/4)^(2/3))*SQRT(N84))</f>
        <v/>
      </c>
      <c r="AG84" s="9" t="str">
        <f aca="false">IF(A84="","",(1/Inputs!$B$9)*(PI()*(Inputs!$F$8/1000)^2/4)*((Inputs!$F$8/1000/4)^(2/3))*SQRT(N84))</f>
        <v/>
      </c>
      <c r="AH84" s="9" t="str">
        <f aca="false">IF(A84="","",(1/Inputs!$B$9)*(PI()*(Inputs!$F$9/1000)^2/4)*((Inputs!$F$9/1000/4)^(2/3))*SQRT(N84))</f>
        <v/>
      </c>
      <c r="AI84" s="9" t="str">
        <f aca="false">IF(A84="","",(1/Inputs!$B$9)*(PI()*(Inputs!$F$10/1000)^2/4)*((Inputs!$F$10/1000/4)^(2/3))*SQRT(N84))</f>
        <v/>
      </c>
      <c r="AJ84" s="9" t="str">
        <f aca="false">IF(A84="","",(1/Inputs!$B$9)*(PI()*(Inputs!$F$11/1000)^2/4)*((Inputs!$F$11/1000/4)^(2/3))*SQRT(N84))</f>
        <v/>
      </c>
      <c r="AK84" s="9" t="str">
        <f aca="false">IF(A84="","",(1/Inputs!$B$9)*(PI()*(Inputs!$F$12/1000)^2/4)*((Inputs!$F$12/1000/4)^(2/3))*SQRT(N84))</f>
        <v/>
      </c>
      <c r="AL84" s="9" t="str">
        <f aca="false">IF(A84="","",(1/Inputs!$B$9)*(PI()*(Inputs!$F$13/1000)^2/4)*((Inputs!$F$13/1000/4)^(2/3))*SQRT(N84))</f>
        <v/>
      </c>
      <c r="AM84" s="9" t="str">
        <f aca="false">IF(A84="","",(1/Inputs!$B$9)*(PI()*(Inputs!$F$14/1000)^2/4)*((Inputs!$F$14/1000/4)^(2/3))*SQRT(N84))</f>
        <v/>
      </c>
      <c r="AN84" s="9" t="str">
        <f aca="false">IF(A84="","",COUNTIF($B$4:$B$203,$A84))</f>
        <v/>
      </c>
      <c r="AO84" s="9" t="str">
        <f aca="false">IF(A84="","",IF(AN84=0,"START","CONTINUOUS"))</f>
        <v/>
      </c>
      <c r="AP84" s="13" t="str">
        <f aca="false">IF(A84="","",IF(H84="",Inputs!$B$18,H84))</f>
        <v/>
      </c>
      <c r="AQ84" s="13" t="str">
        <f aca="false">IF(A84="","",IFERROR(maxifs($AS$4:$AS$203,$B$4:$B$203,$A84),""))</f>
        <v/>
      </c>
      <c r="AR84" s="13" t="str">
        <f aca="false">IF(A84="","",IF(OR(C84="",Inputs!$B$23=""),"",C84/(Inputs!$B$23*60)))</f>
        <v/>
      </c>
      <c r="AS84" s="13" t="str">
        <f aca="false">IF(A84="","",IF(AN84=0,AP84+AR84,IF(AQ84="",AP84+AR84,AQ84+AR84)))</f>
        <v/>
      </c>
      <c r="AT84" s="13" t="str">
        <f aca="false">IF(A84="","",U84)</f>
        <v/>
      </c>
      <c r="AU84" s="13" t="str">
        <f aca="false">IF(OR(R84="",N84=""),"",(1/Inputs!$B$9)*((R84/4)^(2/3))*SQRT(N84))</f>
        <v/>
      </c>
      <c r="AV84" s="13" t="str">
        <f aca="false">IF(A84="","",IF(AND(AT84="",AU84="",AX84=""),"",IF(OR(UPPER(TRIM(Inputs!$B$24))="MANNING",UPPER(TRIM(Inputs!$B$24))="M"),AU84,IF(OR(UPPER(TRIM(Inputs!$B$24))="PARTIAL",UPPER(TRIM(Inputs!$B$24))="P"),AX84,IF(OR(UPPER(TRIM(Inputs!$B$24))="MAX",UPPER(TRIM(Inputs!$B$24))="X"),MAX(IF(AT84="",0,AT84),IF(AU84="",0,AU84),IF(AX84="",0,AX84)),AT84)))))</f>
        <v/>
      </c>
      <c r="AW84" s="13" t="str">
        <f aca="false">IF(AY84="","",CE84)</f>
        <v/>
      </c>
      <c r="AX84" s="13" t="str">
        <f aca="false">IF(OR(AY84="",AW84="",R84="",R84&lt;=0,AW84&lt;=0),"",AY84/((R84^2/8)*(2*ACOS(1-2*AW84/R84)-SIN(2*ACOS(1-2*AW84/R84)))))</f>
        <v/>
      </c>
      <c r="AY84" s="9" t="str">
        <f aca="false">IF(OR(L84="",AZ84=""),"",MIN(L84,AZ84))</f>
        <v/>
      </c>
      <c r="AZ84" s="9" t="str">
        <f aca="false">IF(OR(L84="",R84="",N84=""),"",IF(OR(R84="",N84="",(0.94*R84)="",R84&lt;=0,(0.94*R84)&lt;=0),"",(1/Inputs!$B$9)*((R84^2/8)*((2*ACOS(1-2*(0.94*R84)/R84))-SIN((2*ACOS(1-2*(0.94*R84)/R84)))))*((((R84^2/8)*((2*ACOS(1-2*(0.94*R84)/R84))-SIN((2*ACOS(1-2*(0.94*R84)/R84)))))/((R84/2)*((2*ACOS(1-2*(0.94*R84)/R84)))))^(2/3))*SQRT(N84)))</f>
        <v/>
      </c>
      <c r="BA84" s="9" t="str">
        <f aca="false">IF(AY84="","",0.001*R84)</f>
        <v/>
      </c>
      <c r="BB84" s="9" t="str">
        <f aca="false">IF(AY84="","",0.94*R84)</f>
        <v/>
      </c>
      <c r="BC84" s="9" t="str">
        <f aca="false">IF(AY84="","",(BA84+BB84)/2)</f>
        <v/>
      </c>
      <c r="BD84" s="9" t="str">
        <f aca="false">IF(OR(R84="",N84="",BC84="",R84&lt;=0,BC84&lt;=0),"",(1/Inputs!$B$9)*((R84^2/8)*((2*ACOS(1-2*BC84/R84))-SIN((2*ACOS(1-2*BC84/R84)))))*((((R84^2/8)*((2*ACOS(1-2*BC84/R84))-SIN((2*ACOS(1-2*BC84/R84)))))/((R84/2)*((2*ACOS(1-2*BC84/R84)))))^(2/3))*SQRT(N84))</f>
        <v/>
      </c>
      <c r="BE84" s="9" t="str">
        <f aca="false">IF(AY84="","",IF(BD84&lt;AY84,BC84,BA84))</f>
        <v/>
      </c>
      <c r="BF84" s="9" t="str">
        <f aca="false">IF(AY84="","",IF(BD84&lt;AY84,BB84,BC84))</f>
        <v/>
      </c>
      <c r="BG84" s="9" t="str">
        <f aca="false">IF(AY84="","",(BE84+BF84)/2)</f>
        <v/>
      </c>
      <c r="BH84" s="9" t="str">
        <f aca="false">IF(OR(R84="",N84="",BG84="",R84&lt;=0,BG84&lt;=0),"",(1/Inputs!$B$9)*((R84^2/8)*((2*ACOS(1-2*BG84/R84))-SIN((2*ACOS(1-2*BG84/R84)))))*((((R84^2/8)*((2*ACOS(1-2*BG84/R84))-SIN((2*ACOS(1-2*BG84/R84)))))/((R84/2)*((2*ACOS(1-2*BG84/R84)))))^(2/3))*SQRT(N84))</f>
        <v/>
      </c>
      <c r="BI84" s="9" t="str">
        <f aca="false">IF(AY84="","",IF(BH84&lt;AY84,BG84,BE84))</f>
        <v/>
      </c>
      <c r="BJ84" s="9" t="str">
        <f aca="false">IF(AY84="","",IF(BH84&lt;AY84,BF84,BG84))</f>
        <v/>
      </c>
      <c r="BK84" s="9" t="str">
        <f aca="false">IF(AY84="","",(BI84+BJ84)/2)</f>
        <v/>
      </c>
      <c r="BL84" s="9" t="str">
        <f aca="false">IF(OR(R84="",N84="",BK84="",R84&lt;=0,BK84&lt;=0),"",(1/Inputs!$B$9)*((R84^2/8)*((2*ACOS(1-2*BK84/R84))-SIN((2*ACOS(1-2*BK84/R84)))))*((((R84^2/8)*((2*ACOS(1-2*BK84/R84))-SIN((2*ACOS(1-2*BK84/R84)))))/((R84/2)*((2*ACOS(1-2*BK84/R84)))))^(2/3))*SQRT(N84))</f>
        <v/>
      </c>
      <c r="BM84" s="9" t="str">
        <f aca="false">IF(AY84="","",IF(BL84&lt;AY84,BK84,BI84))</f>
        <v/>
      </c>
      <c r="BN84" s="9" t="str">
        <f aca="false">IF(AY84="","",IF(BL84&lt;AY84,BJ84,BK84))</f>
        <v/>
      </c>
      <c r="BO84" s="9" t="str">
        <f aca="false">IF(AY84="","",(BM84+BN84)/2)</f>
        <v/>
      </c>
      <c r="BP84" s="9" t="str">
        <f aca="false">IF(OR(R84="",N84="",BO84="",R84&lt;=0,BO84&lt;=0),"",(1/Inputs!$B$9)*((R84^2/8)*((2*ACOS(1-2*BO84/R84))-SIN((2*ACOS(1-2*BO84/R84)))))*((((R84^2/8)*((2*ACOS(1-2*BO84/R84))-SIN((2*ACOS(1-2*BO84/R84)))))/((R84/2)*((2*ACOS(1-2*BO84/R84)))))^(2/3))*SQRT(N84))</f>
        <v/>
      </c>
      <c r="BQ84" s="9" t="str">
        <f aca="false">IF(AY84="","",IF(BP84&lt;AY84,BO84,BM84))</f>
        <v/>
      </c>
      <c r="BR84" s="9" t="str">
        <f aca="false">IF(AY84="","",IF(BP84&lt;AY84,BN84,BO84))</f>
        <v/>
      </c>
      <c r="BS84" s="9" t="str">
        <f aca="false">IF(AY84="","",(BQ84+BR84)/2)</f>
        <v/>
      </c>
      <c r="BT84" s="9" t="str">
        <f aca="false">IF(OR(R84="",N84="",BS84="",R84&lt;=0,BS84&lt;=0),"",(1/Inputs!$B$9)*((R84^2/8)*((2*ACOS(1-2*BS84/R84))-SIN((2*ACOS(1-2*BS84/R84)))))*((((R84^2/8)*((2*ACOS(1-2*BS84/R84))-SIN((2*ACOS(1-2*BS84/R84)))))/((R84/2)*((2*ACOS(1-2*BS84/R84)))))^(2/3))*SQRT(N84))</f>
        <v/>
      </c>
      <c r="BU84" s="9" t="str">
        <f aca="false">IF(AY84="","",IF(BT84&lt;AY84,BS84,BQ84))</f>
        <v/>
      </c>
      <c r="BV84" s="9" t="str">
        <f aca="false">IF(AY84="","",IF(BT84&lt;AY84,BR84,BS84))</f>
        <v/>
      </c>
      <c r="BW84" s="9" t="str">
        <f aca="false">IF(AY84="","",(BU84+BV84)/2)</f>
        <v/>
      </c>
      <c r="BX84" s="9" t="str">
        <f aca="false">IF(OR(R84="",N84="",BW84="",R84&lt;=0,BW84&lt;=0),"",(1/Inputs!$B$9)*((R84^2/8)*((2*ACOS(1-2*BW84/R84))-SIN((2*ACOS(1-2*BW84/R84)))))*((((R84^2/8)*((2*ACOS(1-2*BW84/R84))-SIN((2*ACOS(1-2*BW84/R84)))))/((R84/2)*((2*ACOS(1-2*BW84/R84)))))^(2/3))*SQRT(N84))</f>
        <v/>
      </c>
      <c r="BY84" s="9" t="str">
        <f aca="false">IF(AY84="","",IF(BX84&lt;AY84,BW84,BU84))</f>
        <v/>
      </c>
      <c r="BZ84" s="9" t="str">
        <f aca="false">IF(AY84="","",IF(BX84&lt;AY84,BV84,BW84))</f>
        <v/>
      </c>
      <c r="CA84" s="9" t="str">
        <f aca="false">IF(AY84="","",(BY84+BZ84)/2)</f>
        <v/>
      </c>
      <c r="CB84" s="9" t="str">
        <f aca="false">IF(OR(R84="",N84="",CA84="",R84&lt;=0,CA84&lt;=0),"",(1/Inputs!$B$9)*((R84^2/8)*((2*ACOS(1-2*CA84/R84))-SIN((2*ACOS(1-2*CA84/R84)))))*((((R84^2/8)*((2*ACOS(1-2*CA84/R84))-SIN((2*ACOS(1-2*CA84/R84)))))/((R84/2)*((2*ACOS(1-2*CA84/R84)))))^(2/3))*SQRT(N84))</f>
        <v/>
      </c>
      <c r="CC84" s="9" t="str">
        <f aca="false">IF(AY84="","",IF(CB84&lt;AY84,CA84,BY84))</f>
        <v/>
      </c>
      <c r="CD84" s="9" t="str">
        <f aca="false">IF(AY84="","",IF(CB84&lt;AY84,BZ84,CA84))</f>
        <v/>
      </c>
      <c r="CE84" s="9" t="str">
        <f aca="false">IF(AY84="","",(CC84+CD84)/2)</f>
        <v/>
      </c>
    </row>
    <row r="85" customFormat="false" ht="15" hidden="false" customHeight="false" outlineLevel="0" collapsed="false">
      <c r="A85" s="9"/>
      <c r="B85" s="9"/>
      <c r="C85" s="14"/>
      <c r="D85" s="14"/>
      <c r="E85" s="14" t="n">
        <f aca="false">SUMIFS(CB_Tributaires!$C:$C,CB_Tributaires!$B:$B,$A85)</f>
        <v>0</v>
      </c>
      <c r="F85" s="14" t="n">
        <f aca="false">IF(D85="",E85,D85)</f>
        <v>0</v>
      </c>
      <c r="G85" s="9"/>
      <c r="H85" s="14"/>
      <c r="I85" s="14" t="str">
        <f aca="false">IF(A85="","",Inputs!$B$13/((IF(AS85="",Inputs!$B$18,AS85)+Inputs!$B$14)^Inputs!$B$15))</f>
        <v/>
      </c>
      <c r="J85" s="14" t="str">
        <f aca="false">IF(A85="","",0.000000278*IF(G85="",Inputs!$B$17,G85)*F85*I85)</f>
        <v/>
      </c>
      <c r="K85" s="14" t="str">
        <f aca="false">IF(A85="","",SUMIFS($L$4:$L$203,$B$4:$B$203,$A85))</f>
        <v/>
      </c>
      <c r="L85" s="14" t="str">
        <f aca="false">IF(A85="","",(J85+K85)*Inputs!$B$16)</f>
        <v/>
      </c>
      <c r="M85" s="14"/>
      <c r="N85" s="14" t="str">
        <f aca="false">IF(A85="","",IF(M85="",Inputs!$B$7,M85))</f>
        <v/>
      </c>
      <c r="O85" s="9" t="str">
        <f aca="false">IF(A85="","",IF(L85/Inputs!$B$10&lt;=AD85,Inputs!$F$5,IF(L85/Inputs!$B$10&gt;AM85,"OVERSIZE",INDEX(Inputs!$F$5:$F$14,MATCH(L85/Inputs!$B$10,AD85:AM85,1)+1))))</f>
        <v/>
      </c>
      <c r="P85" s="9"/>
      <c r="Q85" s="9" t="str">
        <f aca="false">IF(A85="","",IF(P85="",O85,P85))</f>
        <v/>
      </c>
      <c r="R85" s="14" t="str">
        <f aca="false">IF(OR(Q85="",Q85="OVERSIZE"),"",Q85/1000)</f>
        <v/>
      </c>
      <c r="S85" s="14" t="str">
        <f aca="false">IF(R85="","",(1/Inputs!$B$9)*(PI()*R85^2/4)*((R85/4)^(2/3))*SQRT(N85))</f>
        <v/>
      </c>
      <c r="T85" s="14" t="str">
        <f aca="false">IF(OR(S85="",L85=""),"",L85/(S85*Inputs!$B$10))</f>
        <v/>
      </c>
      <c r="U85" s="14" t="str">
        <f aca="false">IF(OR(R85="",L85=""),"",4*L85/(PI()*R85^2))</f>
        <v/>
      </c>
      <c r="V85" s="14"/>
      <c r="W85" s="14" t="str">
        <f aca="false">IF(A85="","",IF(A85=Inputs!$B$6,Inputs!$B$22,IF(B85="","",IFERROR(INDEX($X$4:$X$203,MATCH(B85,$A$4:$A$203,0))+IF(V85="",Inputs!$B$20,V85),""))))</f>
        <v/>
      </c>
      <c r="X85" s="14" t="str">
        <f aca="false">IF(OR(W85="",N85="",C85=""),"",W85+N85*C85)</f>
        <v/>
      </c>
      <c r="Y85" s="14"/>
      <c r="Z85" s="14"/>
      <c r="AA85" s="14" t="str">
        <f aca="false">IF(OR(Y85="",W85=""),"",Y85-W85)</f>
        <v/>
      </c>
      <c r="AB85" s="14" t="str">
        <f aca="false">IF(OR(Z85="",X85=""),"",Z85-X85)</f>
        <v/>
      </c>
      <c r="AC85" s="19" t="str">
        <f aca="false">IF(A85="","",IF(OR(T85&gt;1,AND(AV85&lt;&gt;"",AV85&lt;Inputs!$B$11),AND(AV85&lt;&gt;"",AV85&gt;Inputs!$B$12),AA85&lt;Inputs!$B$19,AB85&lt;Inputs!$B$19,N85&lt;Inputs!$B$7,N85&gt;Inputs!$B$8),"CHECK","OK"))</f>
        <v/>
      </c>
      <c r="AD85" s="9" t="str">
        <f aca="false">IF(A85="","",(1/Inputs!$B$9)*(PI()*(Inputs!$F$5/1000)^2/4)*((Inputs!$F$5/1000/4)^(2/3))*SQRT(N85))</f>
        <v/>
      </c>
      <c r="AE85" s="9" t="str">
        <f aca="false">IF(A85="","",(1/Inputs!$B$9)*(PI()*(Inputs!$F$6/1000)^2/4)*((Inputs!$F$6/1000/4)^(2/3))*SQRT(N85))</f>
        <v/>
      </c>
      <c r="AF85" s="9" t="str">
        <f aca="false">IF(A85="","",(1/Inputs!$B$9)*(PI()*(Inputs!$F$7/1000)^2/4)*((Inputs!$F$7/1000/4)^(2/3))*SQRT(N85))</f>
        <v/>
      </c>
      <c r="AG85" s="9" t="str">
        <f aca="false">IF(A85="","",(1/Inputs!$B$9)*(PI()*(Inputs!$F$8/1000)^2/4)*((Inputs!$F$8/1000/4)^(2/3))*SQRT(N85))</f>
        <v/>
      </c>
      <c r="AH85" s="9" t="str">
        <f aca="false">IF(A85="","",(1/Inputs!$B$9)*(PI()*(Inputs!$F$9/1000)^2/4)*((Inputs!$F$9/1000/4)^(2/3))*SQRT(N85))</f>
        <v/>
      </c>
      <c r="AI85" s="9" t="str">
        <f aca="false">IF(A85="","",(1/Inputs!$B$9)*(PI()*(Inputs!$F$10/1000)^2/4)*((Inputs!$F$10/1000/4)^(2/3))*SQRT(N85))</f>
        <v/>
      </c>
      <c r="AJ85" s="9" t="str">
        <f aca="false">IF(A85="","",(1/Inputs!$B$9)*(PI()*(Inputs!$F$11/1000)^2/4)*((Inputs!$F$11/1000/4)^(2/3))*SQRT(N85))</f>
        <v/>
      </c>
      <c r="AK85" s="9" t="str">
        <f aca="false">IF(A85="","",(1/Inputs!$B$9)*(PI()*(Inputs!$F$12/1000)^2/4)*((Inputs!$F$12/1000/4)^(2/3))*SQRT(N85))</f>
        <v/>
      </c>
      <c r="AL85" s="9" t="str">
        <f aca="false">IF(A85="","",(1/Inputs!$B$9)*(PI()*(Inputs!$F$13/1000)^2/4)*((Inputs!$F$13/1000/4)^(2/3))*SQRT(N85))</f>
        <v/>
      </c>
      <c r="AM85" s="9" t="str">
        <f aca="false">IF(A85="","",(1/Inputs!$B$9)*(PI()*(Inputs!$F$14/1000)^2/4)*((Inputs!$F$14/1000/4)^(2/3))*SQRT(N85))</f>
        <v/>
      </c>
      <c r="AN85" s="9" t="str">
        <f aca="false">IF(A85="","",COUNTIF($B$4:$B$203,$A85))</f>
        <v/>
      </c>
      <c r="AO85" s="9" t="str">
        <f aca="false">IF(A85="","",IF(AN85=0,"START","CONTINUOUS"))</f>
        <v/>
      </c>
      <c r="AP85" s="13" t="str">
        <f aca="false">IF(A85="","",IF(H85="",Inputs!$B$18,H85))</f>
        <v/>
      </c>
      <c r="AQ85" s="13" t="str">
        <f aca="false">IF(A85="","",IFERROR(maxifs($AS$4:$AS$203,$B$4:$B$203,$A85),""))</f>
        <v/>
      </c>
      <c r="AR85" s="13" t="str">
        <f aca="false">IF(A85="","",IF(OR(C85="",Inputs!$B$23=""),"",C85/(Inputs!$B$23*60)))</f>
        <v/>
      </c>
      <c r="AS85" s="13" t="str">
        <f aca="false">IF(A85="","",IF(AN85=0,AP85+AR85,IF(AQ85="",AP85+AR85,AQ85+AR85)))</f>
        <v/>
      </c>
      <c r="AT85" s="13" t="str">
        <f aca="false">IF(A85="","",U85)</f>
        <v/>
      </c>
      <c r="AU85" s="13" t="str">
        <f aca="false">IF(OR(R85="",N85=""),"",(1/Inputs!$B$9)*((R85/4)^(2/3))*SQRT(N85))</f>
        <v/>
      </c>
      <c r="AV85" s="13" t="str">
        <f aca="false">IF(A85="","",IF(AND(AT85="",AU85="",AX85=""),"",IF(OR(UPPER(TRIM(Inputs!$B$24))="MANNING",UPPER(TRIM(Inputs!$B$24))="M"),AU85,IF(OR(UPPER(TRIM(Inputs!$B$24))="PARTIAL",UPPER(TRIM(Inputs!$B$24))="P"),AX85,IF(OR(UPPER(TRIM(Inputs!$B$24))="MAX",UPPER(TRIM(Inputs!$B$24))="X"),MAX(IF(AT85="",0,AT85),IF(AU85="",0,AU85),IF(AX85="",0,AX85)),AT85)))))</f>
        <v/>
      </c>
      <c r="AW85" s="13" t="str">
        <f aca="false">IF(AY85="","",CE85)</f>
        <v/>
      </c>
      <c r="AX85" s="13" t="str">
        <f aca="false">IF(OR(AY85="",AW85="",R85="",R85&lt;=0,AW85&lt;=0),"",AY85/((R85^2/8)*(2*ACOS(1-2*AW85/R85)-SIN(2*ACOS(1-2*AW85/R85)))))</f>
        <v/>
      </c>
      <c r="AY85" s="9" t="str">
        <f aca="false">IF(OR(L85="",AZ85=""),"",MIN(L85,AZ85))</f>
        <v/>
      </c>
      <c r="AZ85" s="9" t="str">
        <f aca="false">IF(OR(L85="",R85="",N85=""),"",IF(OR(R85="",N85="",(0.94*R85)="",R85&lt;=0,(0.94*R85)&lt;=0),"",(1/Inputs!$B$9)*((R85^2/8)*((2*ACOS(1-2*(0.94*R85)/R85))-SIN((2*ACOS(1-2*(0.94*R85)/R85)))))*((((R85^2/8)*((2*ACOS(1-2*(0.94*R85)/R85))-SIN((2*ACOS(1-2*(0.94*R85)/R85)))))/((R85/2)*((2*ACOS(1-2*(0.94*R85)/R85)))))^(2/3))*SQRT(N85)))</f>
        <v/>
      </c>
      <c r="BA85" s="9" t="str">
        <f aca="false">IF(AY85="","",0.001*R85)</f>
        <v/>
      </c>
      <c r="BB85" s="9" t="str">
        <f aca="false">IF(AY85="","",0.94*R85)</f>
        <v/>
      </c>
      <c r="BC85" s="9" t="str">
        <f aca="false">IF(AY85="","",(BA85+BB85)/2)</f>
        <v/>
      </c>
      <c r="BD85" s="9" t="str">
        <f aca="false">IF(OR(R85="",N85="",BC85="",R85&lt;=0,BC85&lt;=0),"",(1/Inputs!$B$9)*((R85^2/8)*((2*ACOS(1-2*BC85/R85))-SIN((2*ACOS(1-2*BC85/R85)))))*((((R85^2/8)*((2*ACOS(1-2*BC85/R85))-SIN((2*ACOS(1-2*BC85/R85)))))/((R85/2)*((2*ACOS(1-2*BC85/R85)))))^(2/3))*SQRT(N85))</f>
        <v/>
      </c>
      <c r="BE85" s="9" t="str">
        <f aca="false">IF(AY85="","",IF(BD85&lt;AY85,BC85,BA85))</f>
        <v/>
      </c>
      <c r="BF85" s="9" t="str">
        <f aca="false">IF(AY85="","",IF(BD85&lt;AY85,BB85,BC85))</f>
        <v/>
      </c>
      <c r="BG85" s="9" t="str">
        <f aca="false">IF(AY85="","",(BE85+BF85)/2)</f>
        <v/>
      </c>
      <c r="BH85" s="9" t="str">
        <f aca="false">IF(OR(R85="",N85="",BG85="",R85&lt;=0,BG85&lt;=0),"",(1/Inputs!$B$9)*((R85^2/8)*((2*ACOS(1-2*BG85/R85))-SIN((2*ACOS(1-2*BG85/R85)))))*((((R85^2/8)*((2*ACOS(1-2*BG85/R85))-SIN((2*ACOS(1-2*BG85/R85)))))/((R85/2)*((2*ACOS(1-2*BG85/R85)))))^(2/3))*SQRT(N85))</f>
        <v/>
      </c>
      <c r="BI85" s="9" t="str">
        <f aca="false">IF(AY85="","",IF(BH85&lt;AY85,BG85,BE85))</f>
        <v/>
      </c>
      <c r="BJ85" s="9" t="str">
        <f aca="false">IF(AY85="","",IF(BH85&lt;AY85,BF85,BG85))</f>
        <v/>
      </c>
      <c r="BK85" s="9" t="str">
        <f aca="false">IF(AY85="","",(BI85+BJ85)/2)</f>
        <v/>
      </c>
      <c r="BL85" s="9" t="str">
        <f aca="false">IF(OR(R85="",N85="",BK85="",R85&lt;=0,BK85&lt;=0),"",(1/Inputs!$B$9)*((R85^2/8)*((2*ACOS(1-2*BK85/R85))-SIN((2*ACOS(1-2*BK85/R85)))))*((((R85^2/8)*((2*ACOS(1-2*BK85/R85))-SIN((2*ACOS(1-2*BK85/R85)))))/((R85/2)*((2*ACOS(1-2*BK85/R85)))))^(2/3))*SQRT(N85))</f>
        <v/>
      </c>
      <c r="BM85" s="9" t="str">
        <f aca="false">IF(AY85="","",IF(BL85&lt;AY85,BK85,BI85))</f>
        <v/>
      </c>
      <c r="BN85" s="9" t="str">
        <f aca="false">IF(AY85="","",IF(BL85&lt;AY85,BJ85,BK85))</f>
        <v/>
      </c>
      <c r="BO85" s="9" t="str">
        <f aca="false">IF(AY85="","",(BM85+BN85)/2)</f>
        <v/>
      </c>
      <c r="BP85" s="9" t="str">
        <f aca="false">IF(OR(R85="",N85="",BO85="",R85&lt;=0,BO85&lt;=0),"",(1/Inputs!$B$9)*((R85^2/8)*((2*ACOS(1-2*BO85/R85))-SIN((2*ACOS(1-2*BO85/R85)))))*((((R85^2/8)*((2*ACOS(1-2*BO85/R85))-SIN((2*ACOS(1-2*BO85/R85)))))/((R85/2)*((2*ACOS(1-2*BO85/R85)))))^(2/3))*SQRT(N85))</f>
        <v/>
      </c>
      <c r="BQ85" s="9" t="str">
        <f aca="false">IF(AY85="","",IF(BP85&lt;AY85,BO85,BM85))</f>
        <v/>
      </c>
      <c r="BR85" s="9" t="str">
        <f aca="false">IF(AY85="","",IF(BP85&lt;AY85,BN85,BO85))</f>
        <v/>
      </c>
      <c r="BS85" s="9" t="str">
        <f aca="false">IF(AY85="","",(BQ85+BR85)/2)</f>
        <v/>
      </c>
      <c r="BT85" s="9" t="str">
        <f aca="false">IF(OR(R85="",N85="",BS85="",R85&lt;=0,BS85&lt;=0),"",(1/Inputs!$B$9)*((R85^2/8)*((2*ACOS(1-2*BS85/R85))-SIN((2*ACOS(1-2*BS85/R85)))))*((((R85^2/8)*((2*ACOS(1-2*BS85/R85))-SIN((2*ACOS(1-2*BS85/R85)))))/((R85/2)*((2*ACOS(1-2*BS85/R85)))))^(2/3))*SQRT(N85))</f>
        <v/>
      </c>
      <c r="BU85" s="9" t="str">
        <f aca="false">IF(AY85="","",IF(BT85&lt;AY85,BS85,BQ85))</f>
        <v/>
      </c>
      <c r="BV85" s="9" t="str">
        <f aca="false">IF(AY85="","",IF(BT85&lt;AY85,BR85,BS85))</f>
        <v/>
      </c>
      <c r="BW85" s="9" t="str">
        <f aca="false">IF(AY85="","",(BU85+BV85)/2)</f>
        <v/>
      </c>
      <c r="BX85" s="9" t="str">
        <f aca="false">IF(OR(R85="",N85="",BW85="",R85&lt;=0,BW85&lt;=0),"",(1/Inputs!$B$9)*((R85^2/8)*((2*ACOS(1-2*BW85/R85))-SIN((2*ACOS(1-2*BW85/R85)))))*((((R85^2/8)*((2*ACOS(1-2*BW85/R85))-SIN((2*ACOS(1-2*BW85/R85)))))/((R85/2)*((2*ACOS(1-2*BW85/R85)))))^(2/3))*SQRT(N85))</f>
        <v/>
      </c>
      <c r="BY85" s="9" t="str">
        <f aca="false">IF(AY85="","",IF(BX85&lt;AY85,BW85,BU85))</f>
        <v/>
      </c>
      <c r="BZ85" s="9" t="str">
        <f aca="false">IF(AY85="","",IF(BX85&lt;AY85,BV85,BW85))</f>
        <v/>
      </c>
      <c r="CA85" s="9" t="str">
        <f aca="false">IF(AY85="","",(BY85+BZ85)/2)</f>
        <v/>
      </c>
      <c r="CB85" s="9" t="str">
        <f aca="false">IF(OR(R85="",N85="",CA85="",R85&lt;=0,CA85&lt;=0),"",(1/Inputs!$B$9)*((R85^2/8)*((2*ACOS(1-2*CA85/R85))-SIN((2*ACOS(1-2*CA85/R85)))))*((((R85^2/8)*((2*ACOS(1-2*CA85/R85))-SIN((2*ACOS(1-2*CA85/R85)))))/((R85/2)*((2*ACOS(1-2*CA85/R85)))))^(2/3))*SQRT(N85))</f>
        <v/>
      </c>
      <c r="CC85" s="9" t="str">
        <f aca="false">IF(AY85="","",IF(CB85&lt;AY85,CA85,BY85))</f>
        <v/>
      </c>
      <c r="CD85" s="9" t="str">
        <f aca="false">IF(AY85="","",IF(CB85&lt;AY85,BZ85,CA85))</f>
        <v/>
      </c>
      <c r="CE85" s="9" t="str">
        <f aca="false">IF(AY85="","",(CC85+CD85)/2)</f>
        <v/>
      </c>
    </row>
    <row r="86" customFormat="false" ht="15" hidden="false" customHeight="false" outlineLevel="0" collapsed="false">
      <c r="A86" s="9"/>
      <c r="B86" s="9"/>
      <c r="C86" s="14"/>
      <c r="D86" s="14"/>
      <c r="E86" s="14" t="n">
        <f aca="false">SUMIFS(CB_Tributaires!$C:$C,CB_Tributaires!$B:$B,$A86)</f>
        <v>0</v>
      </c>
      <c r="F86" s="14" t="n">
        <f aca="false">IF(D86="",E86,D86)</f>
        <v>0</v>
      </c>
      <c r="G86" s="9"/>
      <c r="H86" s="14"/>
      <c r="I86" s="14" t="str">
        <f aca="false">IF(A86="","",Inputs!$B$13/((IF(AS86="",Inputs!$B$18,AS86)+Inputs!$B$14)^Inputs!$B$15))</f>
        <v/>
      </c>
      <c r="J86" s="14" t="str">
        <f aca="false">IF(A86="","",0.000000278*IF(G86="",Inputs!$B$17,G86)*F86*I86)</f>
        <v/>
      </c>
      <c r="K86" s="14" t="str">
        <f aca="false">IF(A86="","",SUMIFS($L$4:$L$203,$B$4:$B$203,$A86))</f>
        <v/>
      </c>
      <c r="L86" s="14" t="str">
        <f aca="false">IF(A86="","",(J86+K86)*Inputs!$B$16)</f>
        <v/>
      </c>
      <c r="M86" s="14"/>
      <c r="N86" s="14" t="str">
        <f aca="false">IF(A86="","",IF(M86="",Inputs!$B$7,M86))</f>
        <v/>
      </c>
      <c r="O86" s="9" t="str">
        <f aca="false">IF(A86="","",IF(L86/Inputs!$B$10&lt;=AD86,Inputs!$F$5,IF(L86/Inputs!$B$10&gt;AM86,"OVERSIZE",INDEX(Inputs!$F$5:$F$14,MATCH(L86/Inputs!$B$10,AD86:AM86,1)+1))))</f>
        <v/>
      </c>
      <c r="P86" s="9"/>
      <c r="Q86" s="9" t="str">
        <f aca="false">IF(A86="","",IF(P86="",O86,P86))</f>
        <v/>
      </c>
      <c r="R86" s="14" t="str">
        <f aca="false">IF(OR(Q86="",Q86="OVERSIZE"),"",Q86/1000)</f>
        <v/>
      </c>
      <c r="S86" s="14" t="str">
        <f aca="false">IF(R86="","",(1/Inputs!$B$9)*(PI()*R86^2/4)*((R86/4)^(2/3))*SQRT(N86))</f>
        <v/>
      </c>
      <c r="T86" s="14" t="str">
        <f aca="false">IF(OR(S86="",L86=""),"",L86/(S86*Inputs!$B$10))</f>
        <v/>
      </c>
      <c r="U86" s="14" t="str">
        <f aca="false">IF(OR(R86="",L86=""),"",4*L86/(PI()*R86^2))</f>
        <v/>
      </c>
      <c r="V86" s="14"/>
      <c r="W86" s="14" t="str">
        <f aca="false">IF(A86="","",IF(A86=Inputs!$B$6,Inputs!$B$22,IF(B86="","",IFERROR(INDEX($X$4:$X$203,MATCH(B86,$A$4:$A$203,0))+IF(V86="",Inputs!$B$20,V86),""))))</f>
        <v/>
      </c>
      <c r="X86" s="14" t="str">
        <f aca="false">IF(OR(W86="",N86="",C86=""),"",W86+N86*C86)</f>
        <v/>
      </c>
      <c r="Y86" s="14"/>
      <c r="Z86" s="14"/>
      <c r="AA86" s="14" t="str">
        <f aca="false">IF(OR(Y86="",W86=""),"",Y86-W86)</f>
        <v/>
      </c>
      <c r="AB86" s="14" t="str">
        <f aca="false">IF(OR(Z86="",X86=""),"",Z86-X86)</f>
        <v/>
      </c>
      <c r="AC86" s="19" t="str">
        <f aca="false">IF(A86="","",IF(OR(T86&gt;1,AND(AV86&lt;&gt;"",AV86&lt;Inputs!$B$11),AND(AV86&lt;&gt;"",AV86&gt;Inputs!$B$12),AA86&lt;Inputs!$B$19,AB86&lt;Inputs!$B$19,N86&lt;Inputs!$B$7,N86&gt;Inputs!$B$8),"CHECK","OK"))</f>
        <v/>
      </c>
      <c r="AD86" s="9" t="str">
        <f aca="false">IF(A86="","",(1/Inputs!$B$9)*(PI()*(Inputs!$F$5/1000)^2/4)*((Inputs!$F$5/1000/4)^(2/3))*SQRT(N86))</f>
        <v/>
      </c>
      <c r="AE86" s="9" t="str">
        <f aca="false">IF(A86="","",(1/Inputs!$B$9)*(PI()*(Inputs!$F$6/1000)^2/4)*((Inputs!$F$6/1000/4)^(2/3))*SQRT(N86))</f>
        <v/>
      </c>
      <c r="AF86" s="9" t="str">
        <f aca="false">IF(A86="","",(1/Inputs!$B$9)*(PI()*(Inputs!$F$7/1000)^2/4)*((Inputs!$F$7/1000/4)^(2/3))*SQRT(N86))</f>
        <v/>
      </c>
      <c r="AG86" s="9" t="str">
        <f aca="false">IF(A86="","",(1/Inputs!$B$9)*(PI()*(Inputs!$F$8/1000)^2/4)*((Inputs!$F$8/1000/4)^(2/3))*SQRT(N86))</f>
        <v/>
      </c>
      <c r="AH86" s="9" t="str">
        <f aca="false">IF(A86="","",(1/Inputs!$B$9)*(PI()*(Inputs!$F$9/1000)^2/4)*((Inputs!$F$9/1000/4)^(2/3))*SQRT(N86))</f>
        <v/>
      </c>
      <c r="AI86" s="9" t="str">
        <f aca="false">IF(A86="","",(1/Inputs!$B$9)*(PI()*(Inputs!$F$10/1000)^2/4)*((Inputs!$F$10/1000/4)^(2/3))*SQRT(N86))</f>
        <v/>
      </c>
      <c r="AJ86" s="9" t="str">
        <f aca="false">IF(A86="","",(1/Inputs!$B$9)*(PI()*(Inputs!$F$11/1000)^2/4)*((Inputs!$F$11/1000/4)^(2/3))*SQRT(N86))</f>
        <v/>
      </c>
      <c r="AK86" s="9" t="str">
        <f aca="false">IF(A86="","",(1/Inputs!$B$9)*(PI()*(Inputs!$F$12/1000)^2/4)*((Inputs!$F$12/1000/4)^(2/3))*SQRT(N86))</f>
        <v/>
      </c>
      <c r="AL86" s="9" t="str">
        <f aca="false">IF(A86="","",(1/Inputs!$B$9)*(PI()*(Inputs!$F$13/1000)^2/4)*((Inputs!$F$13/1000/4)^(2/3))*SQRT(N86))</f>
        <v/>
      </c>
      <c r="AM86" s="9" t="str">
        <f aca="false">IF(A86="","",(1/Inputs!$B$9)*(PI()*(Inputs!$F$14/1000)^2/4)*((Inputs!$F$14/1000/4)^(2/3))*SQRT(N86))</f>
        <v/>
      </c>
      <c r="AN86" s="9" t="str">
        <f aca="false">IF(A86="","",COUNTIF($B$4:$B$203,$A86))</f>
        <v/>
      </c>
      <c r="AO86" s="9" t="str">
        <f aca="false">IF(A86="","",IF(AN86=0,"START","CONTINUOUS"))</f>
        <v/>
      </c>
      <c r="AP86" s="13" t="str">
        <f aca="false">IF(A86="","",IF(H86="",Inputs!$B$18,H86))</f>
        <v/>
      </c>
      <c r="AQ86" s="13" t="str">
        <f aca="false">IF(A86="","",IFERROR(maxifs($AS$4:$AS$203,$B$4:$B$203,$A86),""))</f>
        <v/>
      </c>
      <c r="AR86" s="13" t="str">
        <f aca="false">IF(A86="","",IF(OR(C86="",Inputs!$B$23=""),"",C86/(Inputs!$B$23*60)))</f>
        <v/>
      </c>
      <c r="AS86" s="13" t="str">
        <f aca="false">IF(A86="","",IF(AN86=0,AP86+AR86,IF(AQ86="",AP86+AR86,AQ86+AR86)))</f>
        <v/>
      </c>
      <c r="AT86" s="13" t="str">
        <f aca="false">IF(A86="","",U86)</f>
        <v/>
      </c>
      <c r="AU86" s="13" t="str">
        <f aca="false">IF(OR(R86="",N86=""),"",(1/Inputs!$B$9)*((R86/4)^(2/3))*SQRT(N86))</f>
        <v/>
      </c>
      <c r="AV86" s="13" t="str">
        <f aca="false">IF(A86="","",IF(AND(AT86="",AU86="",AX86=""),"",IF(OR(UPPER(TRIM(Inputs!$B$24))="MANNING",UPPER(TRIM(Inputs!$B$24))="M"),AU86,IF(OR(UPPER(TRIM(Inputs!$B$24))="PARTIAL",UPPER(TRIM(Inputs!$B$24))="P"),AX86,IF(OR(UPPER(TRIM(Inputs!$B$24))="MAX",UPPER(TRIM(Inputs!$B$24))="X"),MAX(IF(AT86="",0,AT86),IF(AU86="",0,AU86),IF(AX86="",0,AX86)),AT86)))))</f>
        <v/>
      </c>
      <c r="AW86" s="13" t="str">
        <f aca="false">IF(AY86="","",CE86)</f>
        <v/>
      </c>
      <c r="AX86" s="13" t="str">
        <f aca="false">IF(OR(AY86="",AW86="",R86="",R86&lt;=0,AW86&lt;=0),"",AY86/((R86^2/8)*(2*ACOS(1-2*AW86/R86)-SIN(2*ACOS(1-2*AW86/R86)))))</f>
        <v/>
      </c>
      <c r="AY86" s="9" t="str">
        <f aca="false">IF(OR(L86="",AZ86=""),"",MIN(L86,AZ86))</f>
        <v/>
      </c>
      <c r="AZ86" s="9" t="str">
        <f aca="false">IF(OR(L86="",R86="",N86=""),"",IF(OR(R86="",N86="",(0.94*R86)="",R86&lt;=0,(0.94*R86)&lt;=0),"",(1/Inputs!$B$9)*((R86^2/8)*((2*ACOS(1-2*(0.94*R86)/R86))-SIN((2*ACOS(1-2*(0.94*R86)/R86)))))*((((R86^2/8)*((2*ACOS(1-2*(0.94*R86)/R86))-SIN((2*ACOS(1-2*(0.94*R86)/R86)))))/((R86/2)*((2*ACOS(1-2*(0.94*R86)/R86)))))^(2/3))*SQRT(N86)))</f>
        <v/>
      </c>
      <c r="BA86" s="9" t="str">
        <f aca="false">IF(AY86="","",0.001*R86)</f>
        <v/>
      </c>
      <c r="BB86" s="9" t="str">
        <f aca="false">IF(AY86="","",0.94*R86)</f>
        <v/>
      </c>
      <c r="BC86" s="9" t="str">
        <f aca="false">IF(AY86="","",(BA86+BB86)/2)</f>
        <v/>
      </c>
      <c r="BD86" s="9" t="str">
        <f aca="false">IF(OR(R86="",N86="",BC86="",R86&lt;=0,BC86&lt;=0),"",(1/Inputs!$B$9)*((R86^2/8)*((2*ACOS(1-2*BC86/R86))-SIN((2*ACOS(1-2*BC86/R86)))))*((((R86^2/8)*((2*ACOS(1-2*BC86/R86))-SIN((2*ACOS(1-2*BC86/R86)))))/((R86/2)*((2*ACOS(1-2*BC86/R86)))))^(2/3))*SQRT(N86))</f>
        <v/>
      </c>
      <c r="BE86" s="9" t="str">
        <f aca="false">IF(AY86="","",IF(BD86&lt;AY86,BC86,BA86))</f>
        <v/>
      </c>
      <c r="BF86" s="9" t="str">
        <f aca="false">IF(AY86="","",IF(BD86&lt;AY86,BB86,BC86))</f>
        <v/>
      </c>
      <c r="BG86" s="9" t="str">
        <f aca="false">IF(AY86="","",(BE86+BF86)/2)</f>
        <v/>
      </c>
      <c r="BH86" s="9" t="str">
        <f aca="false">IF(OR(R86="",N86="",BG86="",R86&lt;=0,BG86&lt;=0),"",(1/Inputs!$B$9)*((R86^2/8)*((2*ACOS(1-2*BG86/R86))-SIN((2*ACOS(1-2*BG86/R86)))))*((((R86^2/8)*((2*ACOS(1-2*BG86/R86))-SIN((2*ACOS(1-2*BG86/R86)))))/((R86/2)*((2*ACOS(1-2*BG86/R86)))))^(2/3))*SQRT(N86))</f>
        <v/>
      </c>
      <c r="BI86" s="9" t="str">
        <f aca="false">IF(AY86="","",IF(BH86&lt;AY86,BG86,BE86))</f>
        <v/>
      </c>
      <c r="BJ86" s="9" t="str">
        <f aca="false">IF(AY86="","",IF(BH86&lt;AY86,BF86,BG86))</f>
        <v/>
      </c>
      <c r="BK86" s="9" t="str">
        <f aca="false">IF(AY86="","",(BI86+BJ86)/2)</f>
        <v/>
      </c>
      <c r="BL86" s="9" t="str">
        <f aca="false">IF(OR(R86="",N86="",BK86="",R86&lt;=0,BK86&lt;=0),"",(1/Inputs!$B$9)*((R86^2/8)*((2*ACOS(1-2*BK86/R86))-SIN((2*ACOS(1-2*BK86/R86)))))*((((R86^2/8)*((2*ACOS(1-2*BK86/R86))-SIN((2*ACOS(1-2*BK86/R86)))))/((R86/2)*((2*ACOS(1-2*BK86/R86)))))^(2/3))*SQRT(N86))</f>
        <v/>
      </c>
      <c r="BM86" s="9" t="str">
        <f aca="false">IF(AY86="","",IF(BL86&lt;AY86,BK86,BI86))</f>
        <v/>
      </c>
      <c r="BN86" s="9" t="str">
        <f aca="false">IF(AY86="","",IF(BL86&lt;AY86,BJ86,BK86))</f>
        <v/>
      </c>
      <c r="BO86" s="9" t="str">
        <f aca="false">IF(AY86="","",(BM86+BN86)/2)</f>
        <v/>
      </c>
      <c r="BP86" s="9" t="str">
        <f aca="false">IF(OR(R86="",N86="",BO86="",R86&lt;=0,BO86&lt;=0),"",(1/Inputs!$B$9)*((R86^2/8)*((2*ACOS(1-2*BO86/R86))-SIN((2*ACOS(1-2*BO86/R86)))))*((((R86^2/8)*((2*ACOS(1-2*BO86/R86))-SIN((2*ACOS(1-2*BO86/R86)))))/((R86/2)*((2*ACOS(1-2*BO86/R86)))))^(2/3))*SQRT(N86))</f>
        <v/>
      </c>
      <c r="BQ86" s="9" t="str">
        <f aca="false">IF(AY86="","",IF(BP86&lt;AY86,BO86,BM86))</f>
        <v/>
      </c>
      <c r="BR86" s="9" t="str">
        <f aca="false">IF(AY86="","",IF(BP86&lt;AY86,BN86,BO86))</f>
        <v/>
      </c>
      <c r="BS86" s="9" t="str">
        <f aca="false">IF(AY86="","",(BQ86+BR86)/2)</f>
        <v/>
      </c>
      <c r="BT86" s="9" t="str">
        <f aca="false">IF(OR(R86="",N86="",BS86="",R86&lt;=0,BS86&lt;=0),"",(1/Inputs!$B$9)*((R86^2/8)*((2*ACOS(1-2*BS86/R86))-SIN((2*ACOS(1-2*BS86/R86)))))*((((R86^2/8)*((2*ACOS(1-2*BS86/R86))-SIN((2*ACOS(1-2*BS86/R86)))))/((R86/2)*((2*ACOS(1-2*BS86/R86)))))^(2/3))*SQRT(N86))</f>
        <v/>
      </c>
      <c r="BU86" s="9" t="str">
        <f aca="false">IF(AY86="","",IF(BT86&lt;AY86,BS86,BQ86))</f>
        <v/>
      </c>
      <c r="BV86" s="9" t="str">
        <f aca="false">IF(AY86="","",IF(BT86&lt;AY86,BR86,BS86))</f>
        <v/>
      </c>
      <c r="BW86" s="9" t="str">
        <f aca="false">IF(AY86="","",(BU86+BV86)/2)</f>
        <v/>
      </c>
      <c r="BX86" s="9" t="str">
        <f aca="false">IF(OR(R86="",N86="",BW86="",R86&lt;=0,BW86&lt;=0),"",(1/Inputs!$B$9)*((R86^2/8)*((2*ACOS(1-2*BW86/R86))-SIN((2*ACOS(1-2*BW86/R86)))))*((((R86^2/8)*((2*ACOS(1-2*BW86/R86))-SIN((2*ACOS(1-2*BW86/R86)))))/((R86/2)*((2*ACOS(1-2*BW86/R86)))))^(2/3))*SQRT(N86))</f>
        <v/>
      </c>
      <c r="BY86" s="9" t="str">
        <f aca="false">IF(AY86="","",IF(BX86&lt;AY86,BW86,BU86))</f>
        <v/>
      </c>
      <c r="BZ86" s="9" t="str">
        <f aca="false">IF(AY86="","",IF(BX86&lt;AY86,BV86,BW86))</f>
        <v/>
      </c>
      <c r="CA86" s="9" t="str">
        <f aca="false">IF(AY86="","",(BY86+BZ86)/2)</f>
        <v/>
      </c>
      <c r="CB86" s="9" t="str">
        <f aca="false">IF(OR(R86="",N86="",CA86="",R86&lt;=0,CA86&lt;=0),"",(1/Inputs!$B$9)*((R86^2/8)*((2*ACOS(1-2*CA86/R86))-SIN((2*ACOS(1-2*CA86/R86)))))*((((R86^2/8)*((2*ACOS(1-2*CA86/R86))-SIN((2*ACOS(1-2*CA86/R86)))))/((R86/2)*((2*ACOS(1-2*CA86/R86)))))^(2/3))*SQRT(N86))</f>
        <v/>
      </c>
      <c r="CC86" s="9" t="str">
        <f aca="false">IF(AY86="","",IF(CB86&lt;AY86,CA86,BY86))</f>
        <v/>
      </c>
      <c r="CD86" s="9" t="str">
        <f aca="false">IF(AY86="","",IF(CB86&lt;AY86,BZ86,CA86))</f>
        <v/>
      </c>
      <c r="CE86" s="9" t="str">
        <f aca="false">IF(AY86="","",(CC86+CD86)/2)</f>
        <v/>
      </c>
    </row>
    <row r="87" customFormat="false" ht="15" hidden="false" customHeight="false" outlineLevel="0" collapsed="false">
      <c r="A87" s="9"/>
      <c r="B87" s="9"/>
      <c r="C87" s="14"/>
      <c r="D87" s="14"/>
      <c r="E87" s="14" t="n">
        <f aca="false">SUMIFS(CB_Tributaires!$C:$C,CB_Tributaires!$B:$B,$A87)</f>
        <v>0</v>
      </c>
      <c r="F87" s="14" t="n">
        <f aca="false">IF(D87="",E87,D87)</f>
        <v>0</v>
      </c>
      <c r="G87" s="9"/>
      <c r="H87" s="14"/>
      <c r="I87" s="14" t="str">
        <f aca="false">IF(A87="","",Inputs!$B$13/((IF(AS87="",Inputs!$B$18,AS87)+Inputs!$B$14)^Inputs!$B$15))</f>
        <v/>
      </c>
      <c r="J87" s="14" t="str">
        <f aca="false">IF(A87="","",0.000000278*IF(G87="",Inputs!$B$17,G87)*F87*I87)</f>
        <v/>
      </c>
      <c r="K87" s="14" t="str">
        <f aca="false">IF(A87="","",SUMIFS($L$4:$L$203,$B$4:$B$203,$A87))</f>
        <v/>
      </c>
      <c r="L87" s="14" t="str">
        <f aca="false">IF(A87="","",(J87+K87)*Inputs!$B$16)</f>
        <v/>
      </c>
      <c r="M87" s="14"/>
      <c r="N87" s="14" t="str">
        <f aca="false">IF(A87="","",IF(M87="",Inputs!$B$7,M87))</f>
        <v/>
      </c>
      <c r="O87" s="9" t="str">
        <f aca="false">IF(A87="","",IF(L87/Inputs!$B$10&lt;=AD87,Inputs!$F$5,IF(L87/Inputs!$B$10&gt;AM87,"OVERSIZE",INDEX(Inputs!$F$5:$F$14,MATCH(L87/Inputs!$B$10,AD87:AM87,1)+1))))</f>
        <v/>
      </c>
      <c r="P87" s="9"/>
      <c r="Q87" s="9" t="str">
        <f aca="false">IF(A87="","",IF(P87="",O87,P87))</f>
        <v/>
      </c>
      <c r="R87" s="14" t="str">
        <f aca="false">IF(OR(Q87="",Q87="OVERSIZE"),"",Q87/1000)</f>
        <v/>
      </c>
      <c r="S87" s="14" t="str">
        <f aca="false">IF(R87="","",(1/Inputs!$B$9)*(PI()*R87^2/4)*((R87/4)^(2/3))*SQRT(N87))</f>
        <v/>
      </c>
      <c r="T87" s="14" t="str">
        <f aca="false">IF(OR(S87="",L87=""),"",L87/(S87*Inputs!$B$10))</f>
        <v/>
      </c>
      <c r="U87" s="14" t="str">
        <f aca="false">IF(OR(R87="",L87=""),"",4*L87/(PI()*R87^2))</f>
        <v/>
      </c>
      <c r="V87" s="14"/>
      <c r="W87" s="14" t="str">
        <f aca="false">IF(A87="","",IF(A87=Inputs!$B$6,Inputs!$B$22,IF(B87="","",IFERROR(INDEX($X$4:$X$203,MATCH(B87,$A$4:$A$203,0))+IF(V87="",Inputs!$B$20,V87),""))))</f>
        <v/>
      </c>
      <c r="X87" s="14" t="str">
        <f aca="false">IF(OR(W87="",N87="",C87=""),"",W87+N87*C87)</f>
        <v/>
      </c>
      <c r="Y87" s="14"/>
      <c r="Z87" s="14"/>
      <c r="AA87" s="14" t="str">
        <f aca="false">IF(OR(Y87="",W87=""),"",Y87-W87)</f>
        <v/>
      </c>
      <c r="AB87" s="14" t="str">
        <f aca="false">IF(OR(Z87="",X87=""),"",Z87-X87)</f>
        <v/>
      </c>
      <c r="AC87" s="19" t="str">
        <f aca="false">IF(A87="","",IF(OR(T87&gt;1,AND(AV87&lt;&gt;"",AV87&lt;Inputs!$B$11),AND(AV87&lt;&gt;"",AV87&gt;Inputs!$B$12),AA87&lt;Inputs!$B$19,AB87&lt;Inputs!$B$19,N87&lt;Inputs!$B$7,N87&gt;Inputs!$B$8),"CHECK","OK"))</f>
        <v/>
      </c>
      <c r="AD87" s="9" t="str">
        <f aca="false">IF(A87="","",(1/Inputs!$B$9)*(PI()*(Inputs!$F$5/1000)^2/4)*((Inputs!$F$5/1000/4)^(2/3))*SQRT(N87))</f>
        <v/>
      </c>
      <c r="AE87" s="9" t="str">
        <f aca="false">IF(A87="","",(1/Inputs!$B$9)*(PI()*(Inputs!$F$6/1000)^2/4)*((Inputs!$F$6/1000/4)^(2/3))*SQRT(N87))</f>
        <v/>
      </c>
      <c r="AF87" s="9" t="str">
        <f aca="false">IF(A87="","",(1/Inputs!$B$9)*(PI()*(Inputs!$F$7/1000)^2/4)*((Inputs!$F$7/1000/4)^(2/3))*SQRT(N87))</f>
        <v/>
      </c>
      <c r="AG87" s="9" t="str">
        <f aca="false">IF(A87="","",(1/Inputs!$B$9)*(PI()*(Inputs!$F$8/1000)^2/4)*((Inputs!$F$8/1000/4)^(2/3))*SQRT(N87))</f>
        <v/>
      </c>
      <c r="AH87" s="9" t="str">
        <f aca="false">IF(A87="","",(1/Inputs!$B$9)*(PI()*(Inputs!$F$9/1000)^2/4)*((Inputs!$F$9/1000/4)^(2/3))*SQRT(N87))</f>
        <v/>
      </c>
      <c r="AI87" s="9" t="str">
        <f aca="false">IF(A87="","",(1/Inputs!$B$9)*(PI()*(Inputs!$F$10/1000)^2/4)*((Inputs!$F$10/1000/4)^(2/3))*SQRT(N87))</f>
        <v/>
      </c>
      <c r="AJ87" s="9" t="str">
        <f aca="false">IF(A87="","",(1/Inputs!$B$9)*(PI()*(Inputs!$F$11/1000)^2/4)*((Inputs!$F$11/1000/4)^(2/3))*SQRT(N87))</f>
        <v/>
      </c>
      <c r="AK87" s="9" t="str">
        <f aca="false">IF(A87="","",(1/Inputs!$B$9)*(PI()*(Inputs!$F$12/1000)^2/4)*((Inputs!$F$12/1000/4)^(2/3))*SQRT(N87))</f>
        <v/>
      </c>
      <c r="AL87" s="9" t="str">
        <f aca="false">IF(A87="","",(1/Inputs!$B$9)*(PI()*(Inputs!$F$13/1000)^2/4)*((Inputs!$F$13/1000/4)^(2/3))*SQRT(N87))</f>
        <v/>
      </c>
      <c r="AM87" s="9" t="str">
        <f aca="false">IF(A87="","",(1/Inputs!$B$9)*(PI()*(Inputs!$F$14/1000)^2/4)*((Inputs!$F$14/1000/4)^(2/3))*SQRT(N87))</f>
        <v/>
      </c>
      <c r="AN87" s="9" t="str">
        <f aca="false">IF(A87="","",COUNTIF($B$4:$B$203,$A87))</f>
        <v/>
      </c>
      <c r="AO87" s="9" t="str">
        <f aca="false">IF(A87="","",IF(AN87=0,"START","CONTINUOUS"))</f>
        <v/>
      </c>
      <c r="AP87" s="13" t="str">
        <f aca="false">IF(A87="","",IF(H87="",Inputs!$B$18,H87))</f>
        <v/>
      </c>
      <c r="AQ87" s="13" t="str">
        <f aca="false">IF(A87="","",IFERROR(maxifs($AS$4:$AS$203,$B$4:$B$203,$A87),""))</f>
        <v/>
      </c>
      <c r="AR87" s="13" t="str">
        <f aca="false">IF(A87="","",IF(OR(C87="",Inputs!$B$23=""),"",C87/(Inputs!$B$23*60)))</f>
        <v/>
      </c>
      <c r="AS87" s="13" t="str">
        <f aca="false">IF(A87="","",IF(AN87=0,AP87+AR87,IF(AQ87="",AP87+AR87,AQ87+AR87)))</f>
        <v/>
      </c>
      <c r="AT87" s="13" t="str">
        <f aca="false">IF(A87="","",U87)</f>
        <v/>
      </c>
      <c r="AU87" s="13" t="str">
        <f aca="false">IF(OR(R87="",N87=""),"",(1/Inputs!$B$9)*((R87/4)^(2/3))*SQRT(N87))</f>
        <v/>
      </c>
      <c r="AV87" s="13" t="str">
        <f aca="false">IF(A87="","",IF(AND(AT87="",AU87="",AX87=""),"",IF(OR(UPPER(TRIM(Inputs!$B$24))="MANNING",UPPER(TRIM(Inputs!$B$24))="M"),AU87,IF(OR(UPPER(TRIM(Inputs!$B$24))="PARTIAL",UPPER(TRIM(Inputs!$B$24))="P"),AX87,IF(OR(UPPER(TRIM(Inputs!$B$24))="MAX",UPPER(TRIM(Inputs!$B$24))="X"),MAX(IF(AT87="",0,AT87),IF(AU87="",0,AU87),IF(AX87="",0,AX87)),AT87)))))</f>
        <v/>
      </c>
      <c r="AW87" s="13" t="str">
        <f aca="false">IF(AY87="","",CE87)</f>
        <v/>
      </c>
      <c r="AX87" s="13" t="str">
        <f aca="false">IF(OR(AY87="",AW87="",R87="",R87&lt;=0,AW87&lt;=0),"",AY87/((R87^2/8)*(2*ACOS(1-2*AW87/R87)-SIN(2*ACOS(1-2*AW87/R87)))))</f>
        <v/>
      </c>
      <c r="AY87" s="9" t="str">
        <f aca="false">IF(OR(L87="",AZ87=""),"",MIN(L87,AZ87))</f>
        <v/>
      </c>
      <c r="AZ87" s="9" t="str">
        <f aca="false">IF(OR(L87="",R87="",N87=""),"",IF(OR(R87="",N87="",(0.94*R87)="",R87&lt;=0,(0.94*R87)&lt;=0),"",(1/Inputs!$B$9)*((R87^2/8)*((2*ACOS(1-2*(0.94*R87)/R87))-SIN((2*ACOS(1-2*(0.94*R87)/R87)))))*((((R87^2/8)*((2*ACOS(1-2*(0.94*R87)/R87))-SIN((2*ACOS(1-2*(0.94*R87)/R87)))))/((R87/2)*((2*ACOS(1-2*(0.94*R87)/R87)))))^(2/3))*SQRT(N87)))</f>
        <v/>
      </c>
      <c r="BA87" s="9" t="str">
        <f aca="false">IF(AY87="","",0.001*R87)</f>
        <v/>
      </c>
      <c r="BB87" s="9" t="str">
        <f aca="false">IF(AY87="","",0.94*R87)</f>
        <v/>
      </c>
      <c r="BC87" s="9" t="str">
        <f aca="false">IF(AY87="","",(BA87+BB87)/2)</f>
        <v/>
      </c>
      <c r="BD87" s="9" t="str">
        <f aca="false">IF(OR(R87="",N87="",BC87="",R87&lt;=0,BC87&lt;=0),"",(1/Inputs!$B$9)*((R87^2/8)*((2*ACOS(1-2*BC87/R87))-SIN((2*ACOS(1-2*BC87/R87)))))*((((R87^2/8)*((2*ACOS(1-2*BC87/R87))-SIN((2*ACOS(1-2*BC87/R87)))))/((R87/2)*((2*ACOS(1-2*BC87/R87)))))^(2/3))*SQRT(N87))</f>
        <v/>
      </c>
      <c r="BE87" s="9" t="str">
        <f aca="false">IF(AY87="","",IF(BD87&lt;AY87,BC87,BA87))</f>
        <v/>
      </c>
      <c r="BF87" s="9" t="str">
        <f aca="false">IF(AY87="","",IF(BD87&lt;AY87,BB87,BC87))</f>
        <v/>
      </c>
      <c r="BG87" s="9" t="str">
        <f aca="false">IF(AY87="","",(BE87+BF87)/2)</f>
        <v/>
      </c>
      <c r="BH87" s="9" t="str">
        <f aca="false">IF(OR(R87="",N87="",BG87="",R87&lt;=0,BG87&lt;=0),"",(1/Inputs!$B$9)*((R87^2/8)*((2*ACOS(1-2*BG87/R87))-SIN((2*ACOS(1-2*BG87/R87)))))*((((R87^2/8)*((2*ACOS(1-2*BG87/R87))-SIN((2*ACOS(1-2*BG87/R87)))))/((R87/2)*((2*ACOS(1-2*BG87/R87)))))^(2/3))*SQRT(N87))</f>
        <v/>
      </c>
      <c r="BI87" s="9" t="str">
        <f aca="false">IF(AY87="","",IF(BH87&lt;AY87,BG87,BE87))</f>
        <v/>
      </c>
      <c r="BJ87" s="9" t="str">
        <f aca="false">IF(AY87="","",IF(BH87&lt;AY87,BF87,BG87))</f>
        <v/>
      </c>
      <c r="BK87" s="9" t="str">
        <f aca="false">IF(AY87="","",(BI87+BJ87)/2)</f>
        <v/>
      </c>
      <c r="BL87" s="9" t="str">
        <f aca="false">IF(OR(R87="",N87="",BK87="",R87&lt;=0,BK87&lt;=0),"",(1/Inputs!$B$9)*((R87^2/8)*((2*ACOS(1-2*BK87/R87))-SIN((2*ACOS(1-2*BK87/R87)))))*((((R87^2/8)*((2*ACOS(1-2*BK87/R87))-SIN((2*ACOS(1-2*BK87/R87)))))/((R87/2)*((2*ACOS(1-2*BK87/R87)))))^(2/3))*SQRT(N87))</f>
        <v/>
      </c>
      <c r="BM87" s="9" t="str">
        <f aca="false">IF(AY87="","",IF(BL87&lt;AY87,BK87,BI87))</f>
        <v/>
      </c>
      <c r="BN87" s="9" t="str">
        <f aca="false">IF(AY87="","",IF(BL87&lt;AY87,BJ87,BK87))</f>
        <v/>
      </c>
      <c r="BO87" s="9" t="str">
        <f aca="false">IF(AY87="","",(BM87+BN87)/2)</f>
        <v/>
      </c>
      <c r="BP87" s="9" t="str">
        <f aca="false">IF(OR(R87="",N87="",BO87="",R87&lt;=0,BO87&lt;=0),"",(1/Inputs!$B$9)*((R87^2/8)*((2*ACOS(1-2*BO87/R87))-SIN((2*ACOS(1-2*BO87/R87)))))*((((R87^2/8)*((2*ACOS(1-2*BO87/R87))-SIN((2*ACOS(1-2*BO87/R87)))))/((R87/2)*((2*ACOS(1-2*BO87/R87)))))^(2/3))*SQRT(N87))</f>
        <v/>
      </c>
      <c r="BQ87" s="9" t="str">
        <f aca="false">IF(AY87="","",IF(BP87&lt;AY87,BO87,BM87))</f>
        <v/>
      </c>
      <c r="BR87" s="9" t="str">
        <f aca="false">IF(AY87="","",IF(BP87&lt;AY87,BN87,BO87))</f>
        <v/>
      </c>
      <c r="BS87" s="9" t="str">
        <f aca="false">IF(AY87="","",(BQ87+BR87)/2)</f>
        <v/>
      </c>
      <c r="BT87" s="9" t="str">
        <f aca="false">IF(OR(R87="",N87="",BS87="",R87&lt;=0,BS87&lt;=0),"",(1/Inputs!$B$9)*((R87^2/8)*((2*ACOS(1-2*BS87/R87))-SIN((2*ACOS(1-2*BS87/R87)))))*((((R87^2/8)*((2*ACOS(1-2*BS87/R87))-SIN((2*ACOS(1-2*BS87/R87)))))/((R87/2)*((2*ACOS(1-2*BS87/R87)))))^(2/3))*SQRT(N87))</f>
        <v/>
      </c>
      <c r="BU87" s="9" t="str">
        <f aca="false">IF(AY87="","",IF(BT87&lt;AY87,BS87,BQ87))</f>
        <v/>
      </c>
      <c r="BV87" s="9" t="str">
        <f aca="false">IF(AY87="","",IF(BT87&lt;AY87,BR87,BS87))</f>
        <v/>
      </c>
      <c r="BW87" s="9" t="str">
        <f aca="false">IF(AY87="","",(BU87+BV87)/2)</f>
        <v/>
      </c>
      <c r="BX87" s="9" t="str">
        <f aca="false">IF(OR(R87="",N87="",BW87="",R87&lt;=0,BW87&lt;=0),"",(1/Inputs!$B$9)*((R87^2/8)*((2*ACOS(1-2*BW87/R87))-SIN((2*ACOS(1-2*BW87/R87)))))*((((R87^2/8)*((2*ACOS(1-2*BW87/R87))-SIN((2*ACOS(1-2*BW87/R87)))))/((R87/2)*((2*ACOS(1-2*BW87/R87)))))^(2/3))*SQRT(N87))</f>
        <v/>
      </c>
      <c r="BY87" s="9" t="str">
        <f aca="false">IF(AY87="","",IF(BX87&lt;AY87,BW87,BU87))</f>
        <v/>
      </c>
      <c r="BZ87" s="9" t="str">
        <f aca="false">IF(AY87="","",IF(BX87&lt;AY87,BV87,BW87))</f>
        <v/>
      </c>
      <c r="CA87" s="9" t="str">
        <f aca="false">IF(AY87="","",(BY87+BZ87)/2)</f>
        <v/>
      </c>
      <c r="CB87" s="9" t="str">
        <f aca="false">IF(OR(R87="",N87="",CA87="",R87&lt;=0,CA87&lt;=0),"",(1/Inputs!$B$9)*((R87^2/8)*((2*ACOS(1-2*CA87/R87))-SIN((2*ACOS(1-2*CA87/R87)))))*((((R87^2/8)*((2*ACOS(1-2*CA87/R87))-SIN((2*ACOS(1-2*CA87/R87)))))/((R87/2)*((2*ACOS(1-2*CA87/R87)))))^(2/3))*SQRT(N87))</f>
        <v/>
      </c>
      <c r="CC87" s="9" t="str">
        <f aca="false">IF(AY87="","",IF(CB87&lt;AY87,CA87,BY87))</f>
        <v/>
      </c>
      <c r="CD87" s="9" t="str">
        <f aca="false">IF(AY87="","",IF(CB87&lt;AY87,BZ87,CA87))</f>
        <v/>
      </c>
      <c r="CE87" s="9" t="str">
        <f aca="false">IF(AY87="","",(CC87+CD87)/2)</f>
        <v/>
      </c>
    </row>
    <row r="88" customFormat="false" ht="15" hidden="false" customHeight="false" outlineLevel="0" collapsed="false">
      <c r="A88" s="9"/>
      <c r="B88" s="9"/>
      <c r="C88" s="14"/>
      <c r="D88" s="14"/>
      <c r="E88" s="14" t="n">
        <f aca="false">SUMIFS(CB_Tributaires!$C:$C,CB_Tributaires!$B:$B,$A88)</f>
        <v>0</v>
      </c>
      <c r="F88" s="14" t="n">
        <f aca="false">IF(D88="",E88,D88)</f>
        <v>0</v>
      </c>
      <c r="G88" s="9"/>
      <c r="H88" s="14"/>
      <c r="I88" s="14" t="str">
        <f aca="false">IF(A88="","",Inputs!$B$13/((IF(AS88="",Inputs!$B$18,AS88)+Inputs!$B$14)^Inputs!$B$15))</f>
        <v/>
      </c>
      <c r="J88" s="14" t="str">
        <f aca="false">IF(A88="","",0.000000278*IF(G88="",Inputs!$B$17,G88)*F88*I88)</f>
        <v/>
      </c>
      <c r="K88" s="14" t="str">
        <f aca="false">IF(A88="","",SUMIFS($L$4:$L$203,$B$4:$B$203,$A88))</f>
        <v/>
      </c>
      <c r="L88" s="14" t="str">
        <f aca="false">IF(A88="","",(J88+K88)*Inputs!$B$16)</f>
        <v/>
      </c>
      <c r="M88" s="14"/>
      <c r="N88" s="14" t="str">
        <f aca="false">IF(A88="","",IF(M88="",Inputs!$B$7,M88))</f>
        <v/>
      </c>
      <c r="O88" s="9" t="str">
        <f aca="false">IF(A88="","",IF(L88/Inputs!$B$10&lt;=AD88,Inputs!$F$5,IF(L88/Inputs!$B$10&gt;AM88,"OVERSIZE",INDEX(Inputs!$F$5:$F$14,MATCH(L88/Inputs!$B$10,AD88:AM88,1)+1))))</f>
        <v/>
      </c>
      <c r="P88" s="9"/>
      <c r="Q88" s="9" t="str">
        <f aca="false">IF(A88="","",IF(P88="",O88,P88))</f>
        <v/>
      </c>
      <c r="R88" s="14" t="str">
        <f aca="false">IF(OR(Q88="",Q88="OVERSIZE"),"",Q88/1000)</f>
        <v/>
      </c>
      <c r="S88" s="14" t="str">
        <f aca="false">IF(R88="","",(1/Inputs!$B$9)*(PI()*R88^2/4)*((R88/4)^(2/3))*SQRT(N88))</f>
        <v/>
      </c>
      <c r="T88" s="14" t="str">
        <f aca="false">IF(OR(S88="",L88=""),"",L88/(S88*Inputs!$B$10))</f>
        <v/>
      </c>
      <c r="U88" s="14" t="str">
        <f aca="false">IF(OR(R88="",L88=""),"",4*L88/(PI()*R88^2))</f>
        <v/>
      </c>
      <c r="V88" s="14"/>
      <c r="W88" s="14" t="str">
        <f aca="false">IF(A88="","",IF(A88=Inputs!$B$6,Inputs!$B$22,IF(B88="","",IFERROR(INDEX($X$4:$X$203,MATCH(B88,$A$4:$A$203,0))+IF(V88="",Inputs!$B$20,V88),""))))</f>
        <v/>
      </c>
      <c r="X88" s="14" t="str">
        <f aca="false">IF(OR(W88="",N88="",C88=""),"",W88+N88*C88)</f>
        <v/>
      </c>
      <c r="Y88" s="14"/>
      <c r="Z88" s="14"/>
      <c r="AA88" s="14" t="str">
        <f aca="false">IF(OR(Y88="",W88=""),"",Y88-W88)</f>
        <v/>
      </c>
      <c r="AB88" s="14" t="str">
        <f aca="false">IF(OR(Z88="",X88=""),"",Z88-X88)</f>
        <v/>
      </c>
      <c r="AC88" s="19" t="str">
        <f aca="false">IF(A88="","",IF(OR(T88&gt;1,AND(AV88&lt;&gt;"",AV88&lt;Inputs!$B$11),AND(AV88&lt;&gt;"",AV88&gt;Inputs!$B$12),AA88&lt;Inputs!$B$19,AB88&lt;Inputs!$B$19,N88&lt;Inputs!$B$7,N88&gt;Inputs!$B$8),"CHECK","OK"))</f>
        <v/>
      </c>
      <c r="AD88" s="9" t="str">
        <f aca="false">IF(A88="","",(1/Inputs!$B$9)*(PI()*(Inputs!$F$5/1000)^2/4)*((Inputs!$F$5/1000/4)^(2/3))*SQRT(N88))</f>
        <v/>
      </c>
      <c r="AE88" s="9" t="str">
        <f aca="false">IF(A88="","",(1/Inputs!$B$9)*(PI()*(Inputs!$F$6/1000)^2/4)*((Inputs!$F$6/1000/4)^(2/3))*SQRT(N88))</f>
        <v/>
      </c>
      <c r="AF88" s="9" t="str">
        <f aca="false">IF(A88="","",(1/Inputs!$B$9)*(PI()*(Inputs!$F$7/1000)^2/4)*((Inputs!$F$7/1000/4)^(2/3))*SQRT(N88))</f>
        <v/>
      </c>
      <c r="AG88" s="9" t="str">
        <f aca="false">IF(A88="","",(1/Inputs!$B$9)*(PI()*(Inputs!$F$8/1000)^2/4)*((Inputs!$F$8/1000/4)^(2/3))*SQRT(N88))</f>
        <v/>
      </c>
      <c r="AH88" s="9" t="str">
        <f aca="false">IF(A88="","",(1/Inputs!$B$9)*(PI()*(Inputs!$F$9/1000)^2/4)*((Inputs!$F$9/1000/4)^(2/3))*SQRT(N88))</f>
        <v/>
      </c>
      <c r="AI88" s="9" t="str">
        <f aca="false">IF(A88="","",(1/Inputs!$B$9)*(PI()*(Inputs!$F$10/1000)^2/4)*((Inputs!$F$10/1000/4)^(2/3))*SQRT(N88))</f>
        <v/>
      </c>
      <c r="AJ88" s="9" t="str">
        <f aca="false">IF(A88="","",(1/Inputs!$B$9)*(PI()*(Inputs!$F$11/1000)^2/4)*((Inputs!$F$11/1000/4)^(2/3))*SQRT(N88))</f>
        <v/>
      </c>
      <c r="AK88" s="9" t="str">
        <f aca="false">IF(A88="","",(1/Inputs!$B$9)*(PI()*(Inputs!$F$12/1000)^2/4)*((Inputs!$F$12/1000/4)^(2/3))*SQRT(N88))</f>
        <v/>
      </c>
      <c r="AL88" s="9" t="str">
        <f aca="false">IF(A88="","",(1/Inputs!$B$9)*(PI()*(Inputs!$F$13/1000)^2/4)*((Inputs!$F$13/1000/4)^(2/3))*SQRT(N88))</f>
        <v/>
      </c>
      <c r="AM88" s="9" t="str">
        <f aca="false">IF(A88="","",(1/Inputs!$B$9)*(PI()*(Inputs!$F$14/1000)^2/4)*((Inputs!$F$14/1000/4)^(2/3))*SQRT(N88))</f>
        <v/>
      </c>
      <c r="AN88" s="9" t="str">
        <f aca="false">IF(A88="","",COUNTIF($B$4:$B$203,$A88))</f>
        <v/>
      </c>
      <c r="AO88" s="9" t="str">
        <f aca="false">IF(A88="","",IF(AN88=0,"START","CONTINUOUS"))</f>
        <v/>
      </c>
      <c r="AP88" s="13" t="str">
        <f aca="false">IF(A88="","",IF(H88="",Inputs!$B$18,H88))</f>
        <v/>
      </c>
      <c r="AQ88" s="13" t="str">
        <f aca="false">IF(A88="","",IFERROR(maxifs($AS$4:$AS$203,$B$4:$B$203,$A88),""))</f>
        <v/>
      </c>
      <c r="AR88" s="13" t="str">
        <f aca="false">IF(A88="","",IF(OR(C88="",Inputs!$B$23=""),"",C88/(Inputs!$B$23*60)))</f>
        <v/>
      </c>
      <c r="AS88" s="13" t="str">
        <f aca="false">IF(A88="","",IF(AN88=0,AP88+AR88,IF(AQ88="",AP88+AR88,AQ88+AR88)))</f>
        <v/>
      </c>
      <c r="AT88" s="13" t="str">
        <f aca="false">IF(A88="","",U88)</f>
        <v/>
      </c>
      <c r="AU88" s="13" t="str">
        <f aca="false">IF(OR(R88="",N88=""),"",(1/Inputs!$B$9)*((R88/4)^(2/3))*SQRT(N88))</f>
        <v/>
      </c>
      <c r="AV88" s="13" t="str">
        <f aca="false">IF(A88="","",IF(AND(AT88="",AU88="",AX88=""),"",IF(OR(UPPER(TRIM(Inputs!$B$24))="MANNING",UPPER(TRIM(Inputs!$B$24))="M"),AU88,IF(OR(UPPER(TRIM(Inputs!$B$24))="PARTIAL",UPPER(TRIM(Inputs!$B$24))="P"),AX88,IF(OR(UPPER(TRIM(Inputs!$B$24))="MAX",UPPER(TRIM(Inputs!$B$24))="X"),MAX(IF(AT88="",0,AT88),IF(AU88="",0,AU88),IF(AX88="",0,AX88)),AT88)))))</f>
        <v/>
      </c>
      <c r="AW88" s="13" t="str">
        <f aca="false">IF(AY88="","",CE88)</f>
        <v/>
      </c>
      <c r="AX88" s="13" t="str">
        <f aca="false">IF(OR(AY88="",AW88="",R88="",R88&lt;=0,AW88&lt;=0),"",AY88/((R88^2/8)*(2*ACOS(1-2*AW88/R88)-SIN(2*ACOS(1-2*AW88/R88)))))</f>
        <v/>
      </c>
      <c r="AY88" s="9" t="str">
        <f aca="false">IF(OR(L88="",AZ88=""),"",MIN(L88,AZ88))</f>
        <v/>
      </c>
      <c r="AZ88" s="9" t="str">
        <f aca="false">IF(OR(L88="",R88="",N88=""),"",IF(OR(R88="",N88="",(0.94*R88)="",R88&lt;=0,(0.94*R88)&lt;=0),"",(1/Inputs!$B$9)*((R88^2/8)*((2*ACOS(1-2*(0.94*R88)/R88))-SIN((2*ACOS(1-2*(0.94*R88)/R88)))))*((((R88^2/8)*((2*ACOS(1-2*(0.94*R88)/R88))-SIN((2*ACOS(1-2*(0.94*R88)/R88)))))/((R88/2)*((2*ACOS(1-2*(0.94*R88)/R88)))))^(2/3))*SQRT(N88)))</f>
        <v/>
      </c>
      <c r="BA88" s="9" t="str">
        <f aca="false">IF(AY88="","",0.001*R88)</f>
        <v/>
      </c>
      <c r="BB88" s="9" t="str">
        <f aca="false">IF(AY88="","",0.94*R88)</f>
        <v/>
      </c>
      <c r="BC88" s="9" t="str">
        <f aca="false">IF(AY88="","",(BA88+BB88)/2)</f>
        <v/>
      </c>
      <c r="BD88" s="9" t="str">
        <f aca="false">IF(OR(R88="",N88="",BC88="",R88&lt;=0,BC88&lt;=0),"",(1/Inputs!$B$9)*((R88^2/8)*((2*ACOS(1-2*BC88/R88))-SIN((2*ACOS(1-2*BC88/R88)))))*((((R88^2/8)*((2*ACOS(1-2*BC88/R88))-SIN((2*ACOS(1-2*BC88/R88)))))/((R88/2)*((2*ACOS(1-2*BC88/R88)))))^(2/3))*SQRT(N88))</f>
        <v/>
      </c>
      <c r="BE88" s="9" t="str">
        <f aca="false">IF(AY88="","",IF(BD88&lt;AY88,BC88,BA88))</f>
        <v/>
      </c>
      <c r="BF88" s="9" t="str">
        <f aca="false">IF(AY88="","",IF(BD88&lt;AY88,BB88,BC88))</f>
        <v/>
      </c>
      <c r="BG88" s="9" t="str">
        <f aca="false">IF(AY88="","",(BE88+BF88)/2)</f>
        <v/>
      </c>
      <c r="BH88" s="9" t="str">
        <f aca="false">IF(OR(R88="",N88="",BG88="",R88&lt;=0,BG88&lt;=0),"",(1/Inputs!$B$9)*((R88^2/8)*((2*ACOS(1-2*BG88/R88))-SIN((2*ACOS(1-2*BG88/R88)))))*((((R88^2/8)*((2*ACOS(1-2*BG88/R88))-SIN((2*ACOS(1-2*BG88/R88)))))/((R88/2)*((2*ACOS(1-2*BG88/R88)))))^(2/3))*SQRT(N88))</f>
        <v/>
      </c>
      <c r="BI88" s="9" t="str">
        <f aca="false">IF(AY88="","",IF(BH88&lt;AY88,BG88,BE88))</f>
        <v/>
      </c>
      <c r="BJ88" s="9" t="str">
        <f aca="false">IF(AY88="","",IF(BH88&lt;AY88,BF88,BG88))</f>
        <v/>
      </c>
      <c r="BK88" s="9" t="str">
        <f aca="false">IF(AY88="","",(BI88+BJ88)/2)</f>
        <v/>
      </c>
      <c r="BL88" s="9" t="str">
        <f aca="false">IF(OR(R88="",N88="",BK88="",R88&lt;=0,BK88&lt;=0),"",(1/Inputs!$B$9)*((R88^2/8)*((2*ACOS(1-2*BK88/R88))-SIN((2*ACOS(1-2*BK88/R88)))))*((((R88^2/8)*((2*ACOS(1-2*BK88/R88))-SIN((2*ACOS(1-2*BK88/R88)))))/((R88/2)*((2*ACOS(1-2*BK88/R88)))))^(2/3))*SQRT(N88))</f>
        <v/>
      </c>
      <c r="BM88" s="9" t="str">
        <f aca="false">IF(AY88="","",IF(BL88&lt;AY88,BK88,BI88))</f>
        <v/>
      </c>
      <c r="BN88" s="9" t="str">
        <f aca="false">IF(AY88="","",IF(BL88&lt;AY88,BJ88,BK88))</f>
        <v/>
      </c>
      <c r="BO88" s="9" t="str">
        <f aca="false">IF(AY88="","",(BM88+BN88)/2)</f>
        <v/>
      </c>
      <c r="BP88" s="9" t="str">
        <f aca="false">IF(OR(R88="",N88="",BO88="",R88&lt;=0,BO88&lt;=0),"",(1/Inputs!$B$9)*((R88^2/8)*((2*ACOS(1-2*BO88/R88))-SIN((2*ACOS(1-2*BO88/R88)))))*((((R88^2/8)*((2*ACOS(1-2*BO88/R88))-SIN((2*ACOS(1-2*BO88/R88)))))/((R88/2)*((2*ACOS(1-2*BO88/R88)))))^(2/3))*SQRT(N88))</f>
        <v/>
      </c>
      <c r="BQ88" s="9" t="str">
        <f aca="false">IF(AY88="","",IF(BP88&lt;AY88,BO88,BM88))</f>
        <v/>
      </c>
      <c r="BR88" s="9" t="str">
        <f aca="false">IF(AY88="","",IF(BP88&lt;AY88,BN88,BO88))</f>
        <v/>
      </c>
      <c r="BS88" s="9" t="str">
        <f aca="false">IF(AY88="","",(BQ88+BR88)/2)</f>
        <v/>
      </c>
      <c r="BT88" s="9" t="str">
        <f aca="false">IF(OR(R88="",N88="",BS88="",R88&lt;=0,BS88&lt;=0),"",(1/Inputs!$B$9)*((R88^2/8)*((2*ACOS(1-2*BS88/R88))-SIN((2*ACOS(1-2*BS88/R88)))))*((((R88^2/8)*((2*ACOS(1-2*BS88/R88))-SIN((2*ACOS(1-2*BS88/R88)))))/((R88/2)*((2*ACOS(1-2*BS88/R88)))))^(2/3))*SQRT(N88))</f>
        <v/>
      </c>
      <c r="BU88" s="9" t="str">
        <f aca="false">IF(AY88="","",IF(BT88&lt;AY88,BS88,BQ88))</f>
        <v/>
      </c>
      <c r="BV88" s="9" t="str">
        <f aca="false">IF(AY88="","",IF(BT88&lt;AY88,BR88,BS88))</f>
        <v/>
      </c>
      <c r="BW88" s="9" t="str">
        <f aca="false">IF(AY88="","",(BU88+BV88)/2)</f>
        <v/>
      </c>
      <c r="BX88" s="9" t="str">
        <f aca="false">IF(OR(R88="",N88="",BW88="",R88&lt;=0,BW88&lt;=0),"",(1/Inputs!$B$9)*((R88^2/8)*((2*ACOS(1-2*BW88/R88))-SIN((2*ACOS(1-2*BW88/R88)))))*((((R88^2/8)*((2*ACOS(1-2*BW88/R88))-SIN((2*ACOS(1-2*BW88/R88)))))/((R88/2)*((2*ACOS(1-2*BW88/R88)))))^(2/3))*SQRT(N88))</f>
        <v/>
      </c>
      <c r="BY88" s="9" t="str">
        <f aca="false">IF(AY88="","",IF(BX88&lt;AY88,BW88,BU88))</f>
        <v/>
      </c>
      <c r="BZ88" s="9" t="str">
        <f aca="false">IF(AY88="","",IF(BX88&lt;AY88,BV88,BW88))</f>
        <v/>
      </c>
      <c r="CA88" s="9" t="str">
        <f aca="false">IF(AY88="","",(BY88+BZ88)/2)</f>
        <v/>
      </c>
      <c r="CB88" s="9" t="str">
        <f aca="false">IF(OR(R88="",N88="",CA88="",R88&lt;=0,CA88&lt;=0),"",(1/Inputs!$B$9)*((R88^2/8)*((2*ACOS(1-2*CA88/R88))-SIN((2*ACOS(1-2*CA88/R88)))))*((((R88^2/8)*((2*ACOS(1-2*CA88/R88))-SIN((2*ACOS(1-2*CA88/R88)))))/((R88/2)*((2*ACOS(1-2*CA88/R88)))))^(2/3))*SQRT(N88))</f>
        <v/>
      </c>
      <c r="CC88" s="9" t="str">
        <f aca="false">IF(AY88="","",IF(CB88&lt;AY88,CA88,BY88))</f>
        <v/>
      </c>
      <c r="CD88" s="9" t="str">
        <f aca="false">IF(AY88="","",IF(CB88&lt;AY88,BZ88,CA88))</f>
        <v/>
      </c>
      <c r="CE88" s="9" t="str">
        <f aca="false">IF(AY88="","",(CC88+CD88)/2)</f>
        <v/>
      </c>
    </row>
    <row r="89" customFormat="false" ht="15" hidden="false" customHeight="false" outlineLevel="0" collapsed="false">
      <c r="A89" s="9"/>
      <c r="B89" s="9"/>
      <c r="C89" s="14"/>
      <c r="D89" s="14"/>
      <c r="E89" s="14" t="n">
        <f aca="false">SUMIFS(CB_Tributaires!$C:$C,CB_Tributaires!$B:$B,$A89)</f>
        <v>0</v>
      </c>
      <c r="F89" s="14" t="n">
        <f aca="false">IF(D89="",E89,D89)</f>
        <v>0</v>
      </c>
      <c r="G89" s="9"/>
      <c r="H89" s="14"/>
      <c r="I89" s="14" t="str">
        <f aca="false">IF(A89="","",Inputs!$B$13/((IF(AS89="",Inputs!$B$18,AS89)+Inputs!$B$14)^Inputs!$B$15))</f>
        <v/>
      </c>
      <c r="J89" s="14" t="str">
        <f aca="false">IF(A89="","",0.000000278*IF(G89="",Inputs!$B$17,G89)*F89*I89)</f>
        <v/>
      </c>
      <c r="K89" s="14" t="str">
        <f aca="false">IF(A89="","",SUMIFS($L$4:$L$203,$B$4:$B$203,$A89))</f>
        <v/>
      </c>
      <c r="L89" s="14" t="str">
        <f aca="false">IF(A89="","",(J89+K89)*Inputs!$B$16)</f>
        <v/>
      </c>
      <c r="M89" s="14"/>
      <c r="N89" s="14" t="str">
        <f aca="false">IF(A89="","",IF(M89="",Inputs!$B$7,M89))</f>
        <v/>
      </c>
      <c r="O89" s="9" t="str">
        <f aca="false">IF(A89="","",IF(L89/Inputs!$B$10&lt;=AD89,Inputs!$F$5,IF(L89/Inputs!$B$10&gt;AM89,"OVERSIZE",INDEX(Inputs!$F$5:$F$14,MATCH(L89/Inputs!$B$10,AD89:AM89,1)+1))))</f>
        <v/>
      </c>
      <c r="P89" s="9"/>
      <c r="Q89" s="9" t="str">
        <f aca="false">IF(A89="","",IF(P89="",O89,P89))</f>
        <v/>
      </c>
      <c r="R89" s="14" t="str">
        <f aca="false">IF(OR(Q89="",Q89="OVERSIZE"),"",Q89/1000)</f>
        <v/>
      </c>
      <c r="S89" s="14" t="str">
        <f aca="false">IF(R89="","",(1/Inputs!$B$9)*(PI()*R89^2/4)*((R89/4)^(2/3))*SQRT(N89))</f>
        <v/>
      </c>
      <c r="T89" s="14" t="str">
        <f aca="false">IF(OR(S89="",L89=""),"",L89/(S89*Inputs!$B$10))</f>
        <v/>
      </c>
      <c r="U89" s="14" t="str">
        <f aca="false">IF(OR(R89="",L89=""),"",4*L89/(PI()*R89^2))</f>
        <v/>
      </c>
      <c r="V89" s="14"/>
      <c r="W89" s="14" t="str">
        <f aca="false">IF(A89="","",IF(A89=Inputs!$B$6,Inputs!$B$22,IF(B89="","",IFERROR(INDEX($X$4:$X$203,MATCH(B89,$A$4:$A$203,0))+IF(V89="",Inputs!$B$20,V89),""))))</f>
        <v/>
      </c>
      <c r="X89" s="14" t="str">
        <f aca="false">IF(OR(W89="",N89="",C89=""),"",W89+N89*C89)</f>
        <v/>
      </c>
      <c r="Y89" s="14"/>
      <c r="Z89" s="14"/>
      <c r="AA89" s="14" t="str">
        <f aca="false">IF(OR(Y89="",W89=""),"",Y89-W89)</f>
        <v/>
      </c>
      <c r="AB89" s="14" t="str">
        <f aca="false">IF(OR(Z89="",X89=""),"",Z89-X89)</f>
        <v/>
      </c>
      <c r="AC89" s="19" t="str">
        <f aca="false">IF(A89="","",IF(OR(T89&gt;1,AND(AV89&lt;&gt;"",AV89&lt;Inputs!$B$11),AND(AV89&lt;&gt;"",AV89&gt;Inputs!$B$12),AA89&lt;Inputs!$B$19,AB89&lt;Inputs!$B$19,N89&lt;Inputs!$B$7,N89&gt;Inputs!$B$8),"CHECK","OK"))</f>
        <v/>
      </c>
      <c r="AD89" s="9" t="str">
        <f aca="false">IF(A89="","",(1/Inputs!$B$9)*(PI()*(Inputs!$F$5/1000)^2/4)*((Inputs!$F$5/1000/4)^(2/3))*SQRT(N89))</f>
        <v/>
      </c>
      <c r="AE89" s="9" t="str">
        <f aca="false">IF(A89="","",(1/Inputs!$B$9)*(PI()*(Inputs!$F$6/1000)^2/4)*((Inputs!$F$6/1000/4)^(2/3))*SQRT(N89))</f>
        <v/>
      </c>
      <c r="AF89" s="9" t="str">
        <f aca="false">IF(A89="","",(1/Inputs!$B$9)*(PI()*(Inputs!$F$7/1000)^2/4)*((Inputs!$F$7/1000/4)^(2/3))*SQRT(N89))</f>
        <v/>
      </c>
      <c r="AG89" s="9" t="str">
        <f aca="false">IF(A89="","",(1/Inputs!$B$9)*(PI()*(Inputs!$F$8/1000)^2/4)*((Inputs!$F$8/1000/4)^(2/3))*SQRT(N89))</f>
        <v/>
      </c>
      <c r="AH89" s="9" t="str">
        <f aca="false">IF(A89="","",(1/Inputs!$B$9)*(PI()*(Inputs!$F$9/1000)^2/4)*((Inputs!$F$9/1000/4)^(2/3))*SQRT(N89))</f>
        <v/>
      </c>
      <c r="AI89" s="9" t="str">
        <f aca="false">IF(A89="","",(1/Inputs!$B$9)*(PI()*(Inputs!$F$10/1000)^2/4)*((Inputs!$F$10/1000/4)^(2/3))*SQRT(N89))</f>
        <v/>
      </c>
      <c r="AJ89" s="9" t="str">
        <f aca="false">IF(A89="","",(1/Inputs!$B$9)*(PI()*(Inputs!$F$11/1000)^2/4)*((Inputs!$F$11/1000/4)^(2/3))*SQRT(N89))</f>
        <v/>
      </c>
      <c r="AK89" s="9" t="str">
        <f aca="false">IF(A89="","",(1/Inputs!$B$9)*(PI()*(Inputs!$F$12/1000)^2/4)*((Inputs!$F$12/1000/4)^(2/3))*SQRT(N89))</f>
        <v/>
      </c>
      <c r="AL89" s="9" t="str">
        <f aca="false">IF(A89="","",(1/Inputs!$B$9)*(PI()*(Inputs!$F$13/1000)^2/4)*((Inputs!$F$13/1000/4)^(2/3))*SQRT(N89))</f>
        <v/>
      </c>
      <c r="AM89" s="9" t="str">
        <f aca="false">IF(A89="","",(1/Inputs!$B$9)*(PI()*(Inputs!$F$14/1000)^2/4)*((Inputs!$F$14/1000/4)^(2/3))*SQRT(N89))</f>
        <v/>
      </c>
      <c r="AN89" s="9" t="str">
        <f aca="false">IF(A89="","",COUNTIF($B$4:$B$203,$A89))</f>
        <v/>
      </c>
      <c r="AO89" s="9" t="str">
        <f aca="false">IF(A89="","",IF(AN89=0,"START","CONTINUOUS"))</f>
        <v/>
      </c>
      <c r="AP89" s="13" t="str">
        <f aca="false">IF(A89="","",IF(H89="",Inputs!$B$18,H89))</f>
        <v/>
      </c>
      <c r="AQ89" s="13" t="str">
        <f aca="false">IF(A89="","",IFERROR(maxifs($AS$4:$AS$203,$B$4:$B$203,$A89),""))</f>
        <v/>
      </c>
      <c r="AR89" s="13" t="str">
        <f aca="false">IF(A89="","",IF(OR(C89="",Inputs!$B$23=""),"",C89/(Inputs!$B$23*60)))</f>
        <v/>
      </c>
      <c r="AS89" s="13" t="str">
        <f aca="false">IF(A89="","",IF(AN89=0,AP89+AR89,IF(AQ89="",AP89+AR89,AQ89+AR89)))</f>
        <v/>
      </c>
      <c r="AT89" s="13" t="str">
        <f aca="false">IF(A89="","",U89)</f>
        <v/>
      </c>
      <c r="AU89" s="13" t="str">
        <f aca="false">IF(OR(R89="",N89=""),"",(1/Inputs!$B$9)*((R89/4)^(2/3))*SQRT(N89))</f>
        <v/>
      </c>
      <c r="AV89" s="13" t="str">
        <f aca="false">IF(A89="","",IF(AND(AT89="",AU89="",AX89=""),"",IF(OR(UPPER(TRIM(Inputs!$B$24))="MANNING",UPPER(TRIM(Inputs!$B$24))="M"),AU89,IF(OR(UPPER(TRIM(Inputs!$B$24))="PARTIAL",UPPER(TRIM(Inputs!$B$24))="P"),AX89,IF(OR(UPPER(TRIM(Inputs!$B$24))="MAX",UPPER(TRIM(Inputs!$B$24))="X"),MAX(IF(AT89="",0,AT89),IF(AU89="",0,AU89),IF(AX89="",0,AX89)),AT89)))))</f>
        <v/>
      </c>
      <c r="AW89" s="13" t="str">
        <f aca="false">IF(AY89="","",CE89)</f>
        <v/>
      </c>
      <c r="AX89" s="13" t="str">
        <f aca="false">IF(OR(AY89="",AW89="",R89="",R89&lt;=0,AW89&lt;=0),"",AY89/((R89^2/8)*(2*ACOS(1-2*AW89/R89)-SIN(2*ACOS(1-2*AW89/R89)))))</f>
        <v/>
      </c>
      <c r="AY89" s="9" t="str">
        <f aca="false">IF(OR(L89="",AZ89=""),"",MIN(L89,AZ89))</f>
        <v/>
      </c>
      <c r="AZ89" s="9" t="str">
        <f aca="false">IF(OR(L89="",R89="",N89=""),"",IF(OR(R89="",N89="",(0.94*R89)="",R89&lt;=0,(0.94*R89)&lt;=0),"",(1/Inputs!$B$9)*((R89^2/8)*((2*ACOS(1-2*(0.94*R89)/R89))-SIN((2*ACOS(1-2*(0.94*R89)/R89)))))*((((R89^2/8)*((2*ACOS(1-2*(0.94*R89)/R89))-SIN((2*ACOS(1-2*(0.94*R89)/R89)))))/((R89/2)*((2*ACOS(1-2*(0.94*R89)/R89)))))^(2/3))*SQRT(N89)))</f>
        <v/>
      </c>
      <c r="BA89" s="9" t="str">
        <f aca="false">IF(AY89="","",0.001*R89)</f>
        <v/>
      </c>
      <c r="BB89" s="9" t="str">
        <f aca="false">IF(AY89="","",0.94*R89)</f>
        <v/>
      </c>
      <c r="BC89" s="9" t="str">
        <f aca="false">IF(AY89="","",(BA89+BB89)/2)</f>
        <v/>
      </c>
      <c r="BD89" s="9" t="str">
        <f aca="false">IF(OR(R89="",N89="",BC89="",R89&lt;=0,BC89&lt;=0),"",(1/Inputs!$B$9)*((R89^2/8)*((2*ACOS(1-2*BC89/R89))-SIN((2*ACOS(1-2*BC89/R89)))))*((((R89^2/8)*((2*ACOS(1-2*BC89/R89))-SIN((2*ACOS(1-2*BC89/R89)))))/((R89/2)*((2*ACOS(1-2*BC89/R89)))))^(2/3))*SQRT(N89))</f>
        <v/>
      </c>
      <c r="BE89" s="9" t="str">
        <f aca="false">IF(AY89="","",IF(BD89&lt;AY89,BC89,BA89))</f>
        <v/>
      </c>
      <c r="BF89" s="9" t="str">
        <f aca="false">IF(AY89="","",IF(BD89&lt;AY89,BB89,BC89))</f>
        <v/>
      </c>
      <c r="BG89" s="9" t="str">
        <f aca="false">IF(AY89="","",(BE89+BF89)/2)</f>
        <v/>
      </c>
      <c r="BH89" s="9" t="str">
        <f aca="false">IF(OR(R89="",N89="",BG89="",R89&lt;=0,BG89&lt;=0),"",(1/Inputs!$B$9)*((R89^2/8)*((2*ACOS(1-2*BG89/R89))-SIN((2*ACOS(1-2*BG89/R89)))))*((((R89^2/8)*((2*ACOS(1-2*BG89/R89))-SIN((2*ACOS(1-2*BG89/R89)))))/((R89/2)*((2*ACOS(1-2*BG89/R89)))))^(2/3))*SQRT(N89))</f>
        <v/>
      </c>
      <c r="BI89" s="9" t="str">
        <f aca="false">IF(AY89="","",IF(BH89&lt;AY89,BG89,BE89))</f>
        <v/>
      </c>
      <c r="BJ89" s="9" t="str">
        <f aca="false">IF(AY89="","",IF(BH89&lt;AY89,BF89,BG89))</f>
        <v/>
      </c>
      <c r="BK89" s="9" t="str">
        <f aca="false">IF(AY89="","",(BI89+BJ89)/2)</f>
        <v/>
      </c>
      <c r="BL89" s="9" t="str">
        <f aca="false">IF(OR(R89="",N89="",BK89="",R89&lt;=0,BK89&lt;=0),"",(1/Inputs!$B$9)*((R89^2/8)*((2*ACOS(1-2*BK89/R89))-SIN((2*ACOS(1-2*BK89/R89)))))*((((R89^2/8)*((2*ACOS(1-2*BK89/R89))-SIN((2*ACOS(1-2*BK89/R89)))))/((R89/2)*((2*ACOS(1-2*BK89/R89)))))^(2/3))*SQRT(N89))</f>
        <v/>
      </c>
      <c r="BM89" s="9" t="str">
        <f aca="false">IF(AY89="","",IF(BL89&lt;AY89,BK89,BI89))</f>
        <v/>
      </c>
      <c r="BN89" s="9" t="str">
        <f aca="false">IF(AY89="","",IF(BL89&lt;AY89,BJ89,BK89))</f>
        <v/>
      </c>
      <c r="BO89" s="9" t="str">
        <f aca="false">IF(AY89="","",(BM89+BN89)/2)</f>
        <v/>
      </c>
      <c r="BP89" s="9" t="str">
        <f aca="false">IF(OR(R89="",N89="",BO89="",R89&lt;=0,BO89&lt;=0),"",(1/Inputs!$B$9)*((R89^2/8)*((2*ACOS(1-2*BO89/R89))-SIN((2*ACOS(1-2*BO89/R89)))))*((((R89^2/8)*((2*ACOS(1-2*BO89/R89))-SIN((2*ACOS(1-2*BO89/R89)))))/((R89/2)*((2*ACOS(1-2*BO89/R89)))))^(2/3))*SQRT(N89))</f>
        <v/>
      </c>
      <c r="BQ89" s="9" t="str">
        <f aca="false">IF(AY89="","",IF(BP89&lt;AY89,BO89,BM89))</f>
        <v/>
      </c>
      <c r="BR89" s="9" t="str">
        <f aca="false">IF(AY89="","",IF(BP89&lt;AY89,BN89,BO89))</f>
        <v/>
      </c>
      <c r="BS89" s="9" t="str">
        <f aca="false">IF(AY89="","",(BQ89+BR89)/2)</f>
        <v/>
      </c>
      <c r="BT89" s="9" t="str">
        <f aca="false">IF(OR(R89="",N89="",BS89="",R89&lt;=0,BS89&lt;=0),"",(1/Inputs!$B$9)*((R89^2/8)*((2*ACOS(1-2*BS89/R89))-SIN((2*ACOS(1-2*BS89/R89)))))*((((R89^2/8)*((2*ACOS(1-2*BS89/R89))-SIN((2*ACOS(1-2*BS89/R89)))))/((R89/2)*((2*ACOS(1-2*BS89/R89)))))^(2/3))*SQRT(N89))</f>
        <v/>
      </c>
      <c r="BU89" s="9" t="str">
        <f aca="false">IF(AY89="","",IF(BT89&lt;AY89,BS89,BQ89))</f>
        <v/>
      </c>
      <c r="BV89" s="9" t="str">
        <f aca="false">IF(AY89="","",IF(BT89&lt;AY89,BR89,BS89))</f>
        <v/>
      </c>
      <c r="BW89" s="9" t="str">
        <f aca="false">IF(AY89="","",(BU89+BV89)/2)</f>
        <v/>
      </c>
      <c r="BX89" s="9" t="str">
        <f aca="false">IF(OR(R89="",N89="",BW89="",R89&lt;=0,BW89&lt;=0),"",(1/Inputs!$B$9)*((R89^2/8)*((2*ACOS(1-2*BW89/R89))-SIN((2*ACOS(1-2*BW89/R89)))))*((((R89^2/8)*((2*ACOS(1-2*BW89/R89))-SIN((2*ACOS(1-2*BW89/R89)))))/((R89/2)*((2*ACOS(1-2*BW89/R89)))))^(2/3))*SQRT(N89))</f>
        <v/>
      </c>
      <c r="BY89" s="9" t="str">
        <f aca="false">IF(AY89="","",IF(BX89&lt;AY89,BW89,BU89))</f>
        <v/>
      </c>
      <c r="BZ89" s="9" t="str">
        <f aca="false">IF(AY89="","",IF(BX89&lt;AY89,BV89,BW89))</f>
        <v/>
      </c>
      <c r="CA89" s="9" t="str">
        <f aca="false">IF(AY89="","",(BY89+BZ89)/2)</f>
        <v/>
      </c>
      <c r="CB89" s="9" t="str">
        <f aca="false">IF(OR(R89="",N89="",CA89="",R89&lt;=0,CA89&lt;=0),"",(1/Inputs!$B$9)*((R89^2/8)*((2*ACOS(1-2*CA89/R89))-SIN((2*ACOS(1-2*CA89/R89)))))*((((R89^2/8)*((2*ACOS(1-2*CA89/R89))-SIN((2*ACOS(1-2*CA89/R89)))))/((R89/2)*((2*ACOS(1-2*CA89/R89)))))^(2/3))*SQRT(N89))</f>
        <v/>
      </c>
      <c r="CC89" s="9" t="str">
        <f aca="false">IF(AY89="","",IF(CB89&lt;AY89,CA89,BY89))</f>
        <v/>
      </c>
      <c r="CD89" s="9" t="str">
        <f aca="false">IF(AY89="","",IF(CB89&lt;AY89,BZ89,CA89))</f>
        <v/>
      </c>
      <c r="CE89" s="9" t="str">
        <f aca="false">IF(AY89="","",(CC89+CD89)/2)</f>
        <v/>
      </c>
    </row>
    <row r="90" customFormat="false" ht="15" hidden="false" customHeight="false" outlineLevel="0" collapsed="false">
      <c r="A90" s="9"/>
      <c r="B90" s="9"/>
      <c r="C90" s="14"/>
      <c r="D90" s="14"/>
      <c r="E90" s="14" t="n">
        <f aca="false">SUMIFS(CB_Tributaires!$C:$C,CB_Tributaires!$B:$B,$A90)</f>
        <v>0</v>
      </c>
      <c r="F90" s="14" t="n">
        <f aca="false">IF(D90="",E90,D90)</f>
        <v>0</v>
      </c>
      <c r="G90" s="9"/>
      <c r="H90" s="14"/>
      <c r="I90" s="14" t="str">
        <f aca="false">IF(A90="","",Inputs!$B$13/((IF(AS90="",Inputs!$B$18,AS90)+Inputs!$B$14)^Inputs!$B$15))</f>
        <v/>
      </c>
      <c r="J90" s="14" t="str">
        <f aca="false">IF(A90="","",0.000000278*IF(G90="",Inputs!$B$17,G90)*F90*I90)</f>
        <v/>
      </c>
      <c r="K90" s="14" t="str">
        <f aca="false">IF(A90="","",SUMIFS($L$4:$L$203,$B$4:$B$203,$A90))</f>
        <v/>
      </c>
      <c r="L90" s="14" t="str">
        <f aca="false">IF(A90="","",(J90+K90)*Inputs!$B$16)</f>
        <v/>
      </c>
      <c r="M90" s="14"/>
      <c r="N90" s="14" t="str">
        <f aca="false">IF(A90="","",IF(M90="",Inputs!$B$7,M90))</f>
        <v/>
      </c>
      <c r="O90" s="9" t="str">
        <f aca="false">IF(A90="","",IF(L90/Inputs!$B$10&lt;=AD90,Inputs!$F$5,IF(L90/Inputs!$B$10&gt;AM90,"OVERSIZE",INDEX(Inputs!$F$5:$F$14,MATCH(L90/Inputs!$B$10,AD90:AM90,1)+1))))</f>
        <v/>
      </c>
      <c r="P90" s="9"/>
      <c r="Q90" s="9" t="str">
        <f aca="false">IF(A90="","",IF(P90="",O90,P90))</f>
        <v/>
      </c>
      <c r="R90" s="14" t="str">
        <f aca="false">IF(OR(Q90="",Q90="OVERSIZE"),"",Q90/1000)</f>
        <v/>
      </c>
      <c r="S90" s="14" t="str">
        <f aca="false">IF(R90="","",(1/Inputs!$B$9)*(PI()*R90^2/4)*((R90/4)^(2/3))*SQRT(N90))</f>
        <v/>
      </c>
      <c r="T90" s="14" t="str">
        <f aca="false">IF(OR(S90="",L90=""),"",L90/(S90*Inputs!$B$10))</f>
        <v/>
      </c>
      <c r="U90" s="14" t="str">
        <f aca="false">IF(OR(R90="",L90=""),"",4*L90/(PI()*R90^2))</f>
        <v/>
      </c>
      <c r="V90" s="14"/>
      <c r="W90" s="14" t="str">
        <f aca="false">IF(A90="","",IF(A90=Inputs!$B$6,Inputs!$B$22,IF(B90="","",IFERROR(INDEX($X$4:$X$203,MATCH(B90,$A$4:$A$203,0))+IF(V90="",Inputs!$B$20,V90),""))))</f>
        <v/>
      </c>
      <c r="X90" s="14" t="str">
        <f aca="false">IF(OR(W90="",N90="",C90=""),"",W90+N90*C90)</f>
        <v/>
      </c>
      <c r="Y90" s="14"/>
      <c r="Z90" s="14"/>
      <c r="AA90" s="14" t="str">
        <f aca="false">IF(OR(Y90="",W90=""),"",Y90-W90)</f>
        <v/>
      </c>
      <c r="AB90" s="14" t="str">
        <f aca="false">IF(OR(Z90="",X90=""),"",Z90-X90)</f>
        <v/>
      </c>
      <c r="AC90" s="19" t="str">
        <f aca="false">IF(A90="","",IF(OR(T90&gt;1,AND(AV90&lt;&gt;"",AV90&lt;Inputs!$B$11),AND(AV90&lt;&gt;"",AV90&gt;Inputs!$B$12),AA90&lt;Inputs!$B$19,AB90&lt;Inputs!$B$19,N90&lt;Inputs!$B$7,N90&gt;Inputs!$B$8),"CHECK","OK"))</f>
        <v/>
      </c>
      <c r="AD90" s="9" t="str">
        <f aca="false">IF(A90="","",(1/Inputs!$B$9)*(PI()*(Inputs!$F$5/1000)^2/4)*((Inputs!$F$5/1000/4)^(2/3))*SQRT(N90))</f>
        <v/>
      </c>
      <c r="AE90" s="9" t="str">
        <f aca="false">IF(A90="","",(1/Inputs!$B$9)*(PI()*(Inputs!$F$6/1000)^2/4)*((Inputs!$F$6/1000/4)^(2/3))*SQRT(N90))</f>
        <v/>
      </c>
      <c r="AF90" s="9" t="str">
        <f aca="false">IF(A90="","",(1/Inputs!$B$9)*(PI()*(Inputs!$F$7/1000)^2/4)*((Inputs!$F$7/1000/4)^(2/3))*SQRT(N90))</f>
        <v/>
      </c>
      <c r="AG90" s="9" t="str">
        <f aca="false">IF(A90="","",(1/Inputs!$B$9)*(PI()*(Inputs!$F$8/1000)^2/4)*((Inputs!$F$8/1000/4)^(2/3))*SQRT(N90))</f>
        <v/>
      </c>
      <c r="AH90" s="9" t="str">
        <f aca="false">IF(A90="","",(1/Inputs!$B$9)*(PI()*(Inputs!$F$9/1000)^2/4)*((Inputs!$F$9/1000/4)^(2/3))*SQRT(N90))</f>
        <v/>
      </c>
      <c r="AI90" s="9" t="str">
        <f aca="false">IF(A90="","",(1/Inputs!$B$9)*(PI()*(Inputs!$F$10/1000)^2/4)*((Inputs!$F$10/1000/4)^(2/3))*SQRT(N90))</f>
        <v/>
      </c>
      <c r="AJ90" s="9" t="str">
        <f aca="false">IF(A90="","",(1/Inputs!$B$9)*(PI()*(Inputs!$F$11/1000)^2/4)*((Inputs!$F$11/1000/4)^(2/3))*SQRT(N90))</f>
        <v/>
      </c>
      <c r="AK90" s="9" t="str">
        <f aca="false">IF(A90="","",(1/Inputs!$B$9)*(PI()*(Inputs!$F$12/1000)^2/4)*((Inputs!$F$12/1000/4)^(2/3))*SQRT(N90))</f>
        <v/>
      </c>
      <c r="AL90" s="9" t="str">
        <f aca="false">IF(A90="","",(1/Inputs!$B$9)*(PI()*(Inputs!$F$13/1000)^2/4)*((Inputs!$F$13/1000/4)^(2/3))*SQRT(N90))</f>
        <v/>
      </c>
      <c r="AM90" s="9" t="str">
        <f aca="false">IF(A90="","",(1/Inputs!$B$9)*(PI()*(Inputs!$F$14/1000)^2/4)*((Inputs!$F$14/1000/4)^(2/3))*SQRT(N90))</f>
        <v/>
      </c>
      <c r="AN90" s="9" t="str">
        <f aca="false">IF(A90="","",COUNTIF($B$4:$B$203,$A90))</f>
        <v/>
      </c>
      <c r="AO90" s="9" t="str">
        <f aca="false">IF(A90="","",IF(AN90=0,"START","CONTINUOUS"))</f>
        <v/>
      </c>
      <c r="AP90" s="13" t="str">
        <f aca="false">IF(A90="","",IF(H90="",Inputs!$B$18,H90))</f>
        <v/>
      </c>
      <c r="AQ90" s="13" t="str">
        <f aca="false">IF(A90="","",IFERROR(maxifs($AS$4:$AS$203,$B$4:$B$203,$A90),""))</f>
        <v/>
      </c>
      <c r="AR90" s="13" t="str">
        <f aca="false">IF(A90="","",IF(OR(C90="",Inputs!$B$23=""),"",C90/(Inputs!$B$23*60)))</f>
        <v/>
      </c>
      <c r="AS90" s="13" t="str">
        <f aca="false">IF(A90="","",IF(AN90=0,AP90+AR90,IF(AQ90="",AP90+AR90,AQ90+AR90)))</f>
        <v/>
      </c>
      <c r="AT90" s="13" t="str">
        <f aca="false">IF(A90="","",U90)</f>
        <v/>
      </c>
      <c r="AU90" s="13" t="str">
        <f aca="false">IF(OR(R90="",N90=""),"",(1/Inputs!$B$9)*((R90/4)^(2/3))*SQRT(N90))</f>
        <v/>
      </c>
      <c r="AV90" s="13" t="str">
        <f aca="false">IF(A90="","",IF(AND(AT90="",AU90="",AX90=""),"",IF(OR(UPPER(TRIM(Inputs!$B$24))="MANNING",UPPER(TRIM(Inputs!$B$24))="M"),AU90,IF(OR(UPPER(TRIM(Inputs!$B$24))="PARTIAL",UPPER(TRIM(Inputs!$B$24))="P"),AX90,IF(OR(UPPER(TRIM(Inputs!$B$24))="MAX",UPPER(TRIM(Inputs!$B$24))="X"),MAX(IF(AT90="",0,AT90),IF(AU90="",0,AU90),IF(AX90="",0,AX90)),AT90)))))</f>
        <v/>
      </c>
      <c r="AW90" s="13" t="str">
        <f aca="false">IF(AY90="","",CE90)</f>
        <v/>
      </c>
      <c r="AX90" s="13" t="str">
        <f aca="false">IF(OR(AY90="",AW90="",R90="",R90&lt;=0,AW90&lt;=0),"",AY90/((R90^2/8)*(2*ACOS(1-2*AW90/R90)-SIN(2*ACOS(1-2*AW90/R90)))))</f>
        <v/>
      </c>
      <c r="AY90" s="9" t="str">
        <f aca="false">IF(OR(L90="",AZ90=""),"",MIN(L90,AZ90))</f>
        <v/>
      </c>
      <c r="AZ90" s="9" t="str">
        <f aca="false">IF(OR(L90="",R90="",N90=""),"",IF(OR(R90="",N90="",(0.94*R90)="",R90&lt;=0,(0.94*R90)&lt;=0),"",(1/Inputs!$B$9)*((R90^2/8)*((2*ACOS(1-2*(0.94*R90)/R90))-SIN((2*ACOS(1-2*(0.94*R90)/R90)))))*((((R90^2/8)*((2*ACOS(1-2*(0.94*R90)/R90))-SIN((2*ACOS(1-2*(0.94*R90)/R90)))))/((R90/2)*((2*ACOS(1-2*(0.94*R90)/R90)))))^(2/3))*SQRT(N90)))</f>
        <v/>
      </c>
      <c r="BA90" s="9" t="str">
        <f aca="false">IF(AY90="","",0.001*R90)</f>
        <v/>
      </c>
      <c r="BB90" s="9" t="str">
        <f aca="false">IF(AY90="","",0.94*R90)</f>
        <v/>
      </c>
      <c r="BC90" s="9" t="str">
        <f aca="false">IF(AY90="","",(BA90+BB90)/2)</f>
        <v/>
      </c>
      <c r="BD90" s="9" t="str">
        <f aca="false">IF(OR(R90="",N90="",BC90="",R90&lt;=0,BC90&lt;=0),"",(1/Inputs!$B$9)*((R90^2/8)*((2*ACOS(1-2*BC90/R90))-SIN((2*ACOS(1-2*BC90/R90)))))*((((R90^2/8)*((2*ACOS(1-2*BC90/R90))-SIN((2*ACOS(1-2*BC90/R90)))))/((R90/2)*((2*ACOS(1-2*BC90/R90)))))^(2/3))*SQRT(N90))</f>
        <v/>
      </c>
      <c r="BE90" s="9" t="str">
        <f aca="false">IF(AY90="","",IF(BD90&lt;AY90,BC90,BA90))</f>
        <v/>
      </c>
      <c r="BF90" s="9" t="str">
        <f aca="false">IF(AY90="","",IF(BD90&lt;AY90,BB90,BC90))</f>
        <v/>
      </c>
      <c r="BG90" s="9" t="str">
        <f aca="false">IF(AY90="","",(BE90+BF90)/2)</f>
        <v/>
      </c>
      <c r="BH90" s="9" t="str">
        <f aca="false">IF(OR(R90="",N90="",BG90="",R90&lt;=0,BG90&lt;=0),"",(1/Inputs!$B$9)*((R90^2/8)*((2*ACOS(1-2*BG90/R90))-SIN((2*ACOS(1-2*BG90/R90)))))*((((R90^2/8)*((2*ACOS(1-2*BG90/R90))-SIN((2*ACOS(1-2*BG90/R90)))))/((R90/2)*((2*ACOS(1-2*BG90/R90)))))^(2/3))*SQRT(N90))</f>
        <v/>
      </c>
      <c r="BI90" s="9" t="str">
        <f aca="false">IF(AY90="","",IF(BH90&lt;AY90,BG90,BE90))</f>
        <v/>
      </c>
      <c r="BJ90" s="9" t="str">
        <f aca="false">IF(AY90="","",IF(BH90&lt;AY90,BF90,BG90))</f>
        <v/>
      </c>
      <c r="BK90" s="9" t="str">
        <f aca="false">IF(AY90="","",(BI90+BJ90)/2)</f>
        <v/>
      </c>
      <c r="BL90" s="9" t="str">
        <f aca="false">IF(OR(R90="",N90="",BK90="",R90&lt;=0,BK90&lt;=0),"",(1/Inputs!$B$9)*((R90^2/8)*((2*ACOS(1-2*BK90/R90))-SIN((2*ACOS(1-2*BK90/R90)))))*((((R90^2/8)*((2*ACOS(1-2*BK90/R90))-SIN((2*ACOS(1-2*BK90/R90)))))/((R90/2)*((2*ACOS(1-2*BK90/R90)))))^(2/3))*SQRT(N90))</f>
        <v/>
      </c>
      <c r="BM90" s="9" t="str">
        <f aca="false">IF(AY90="","",IF(BL90&lt;AY90,BK90,BI90))</f>
        <v/>
      </c>
      <c r="BN90" s="9" t="str">
        <f aca="false">IF(AY90="","",IF(BL90&lt;AY90,BJ90,BK90))</f>
        <v/>
      </c>
      <c r="BO90" s="9" t="str">
        <f aca="false">IF(AY90="","",(BM90+BN90)/2)</f>
        <v/>
      </c>
      <c r="BP90" s="9" t="str">
        <f aca="false">IF(OR(R90="",N90="",BO90="",R90&lt;=0,BO90&lt;=0),"",(1/Inputs!$B$9)*((R90^2/8)*((2*ACOS(1-2*BO90/R90))-SIN((2*ACOS(1-2*BO90/R90)))))*((((R90^2/8)*((2*ACOS(1-2*BO90/R90))-SIN((2*ACOS(1-2*BO90/R90)))))/((R90/2)*((2*ACOS(1-2*BO90/R90)))))^(2/3))*SQRT(N90))</f>
        <v/>
      </c>
      <c r="BQ90" s="9" t="str">
        <f aca="false">IF(AY90="","",IF(BP90&lt;AY90,BO90,BM90))</f>
        <v/>
      </c>
      <c r="BR90" s="9" t="str">
        <f aca="false">IF(AY90="","",IF(BP90&lt;AY90,BN90,BO90))</f>
        <v/>
      </c>
      <c r="BS90" s="9" t="str">
        <f aca="false">IF(AY90="","",(BQ90+BR90)/2)</f>
        <v/>
      </c>
      <c r="BT90" s="9" t="str">
        <f aca="false">IF(OR(R90="",N90="",BS90="",R90&lt;=0,BS90&lt;=0),"",(1/Inputs!$B$9)*((R90^2/8)*((2*ACOS(1-2*BS90/R90))-SIN((2*ACOS(1-2*BS90/R90)))))*((((R90^2/8)*((2*ACOS(1-2*BS90/R90))-SIN((2*ACOS(1-2*BS90/R90)))))/((R90/2)*((2*ACOS(1-2*BS90/R90)))))^(2/3))*SQRT(N90))</f>
        <v/>
      </c>
      <c r="BU90" s="9" t="str">
        <f aca="false">IF(AY90="","",IF(BT90&lt;AY90,BS90,BQ90))</f>
        <v/>
      </c>
      <c r="BV90" s="9" t="str">
        <f aca="false">IF(AY90="","",IF(BT90&lt;AY90,BR90,BS90))</f>
        <v/>
      </c>
      <c r="BW90" s="9" t="str">
        <f aca="false">IF(AY90="","",(BU90+BV90)/2)</f>
        <v/>
      </c>
      <c r="BX90" s="9" t="str">
        <f aca="false">IF(OR(R90="",N90="",BW90="",R90&lt;=0,BW90&lt;=0),"",(1/Inputs!$B$9)*((R90^2/8)*((2*ACOS(1-2*BW90/R90))-SIN((2*ACOS(1-2*BW90/R90)))))*((((R90^2/8)*((2*ACOS(1-2*BW90/R90))-SIN((2*ACOS(1-2*BW90/R90)))))/((R90/2)*((2*ACOS(1-2*BW90/R90)))))^(2/3))*SQRT(N90))</f>
        <v/>
      </c>
      <c r="BY90" s="9" t="str">
        <f aca="false">IF(AY90="","",IF(BX90&lt;AY90,BW90,BU90))</f>
        <v/>
      </c>
      <c r="BZ90" s="9" t="str">
        <f aca="false">IF(AY90="","",IF(BX90&lt;AY90,BV90,BW90))</f>
        <v/>
      </c>
      <c r="CA90" s="9" t="str">
        <f aca="false">IF(AY90="","",(BY90+BZ90)/2)</f>
        <v/>
      </c>
      <c r="CB90" s="9" t="str">
        <f aca="false">IF(OR(R90="",N90="",CA90="",R90&lt;=0,CA90&lt;=0),"",(1/Inputs!$B$9)*((R90^2/8)*((2*ACOS(1-2*CA90/R90))-SIN((2*ACOS(1-2*CA90/R90)))))*((((R90^2/8)*((2*ACOS(1-2*CA90/R90))-SIN((2*ACOS(1-2*CA90/R90)))))/((R90/2)*((2*ACOS(1-2*CA90/R90)))))^(2/3))*SQRT(N90))</f>
        <v/>
      </c>
      <c r="CC90" s="9" t="str">
        <f aca="false">IF(AY90="","",IF(CB90&lt;AY90,CA90,BY90))</f>
        <v/>
      </c>
      <c r="CD90" s="9" t="str">
        <f aca="false">IF(AY90="","",IF(CB90&lt;AY90,BZ90,CA90))</f>
        <v/>
      </c>
      <c r="CE90" s="9" t="str">
        <f aca="false">IF(AY90="","",(CC90+CD90)/2)</f>
        <v/>
      </c>
    </row>
    <row r="91" customFormat="false" ht="15" hidden="false" customHeight="false" outlineLevel="0" collapsed="false">
      <c r="A91" s="9"/>
      <c r="B91" s="9"/>
      <c r="C91" s="14"/>
      <c r="D91" s="14"/>
      <c r="E91" s="14" t="n">
        <f aca="false">SUMIFS(CB_Tributaires!$C:$C,CB_Tributaires!$B:$B,$A91)</f>
        <v>0</v>
      </c>
      <c r="F91" s="14" t="n">
        <f aca="false">IF(D91="",E91,D91)</f>
        <v>0</v>
      </c>
      <c r="G91" s="9"/>
      <c r="H91" s="14"/>
      <c r="I91" s="14" t="str">
        <f aca="false">IF(A91="","",Inputs!$B$13/((IF(AS91="",Inputs!$B$18,AS91)+Inputs!$B$14)^Inputs!$B$15))</f>
        <v/>
      </c>
      <c r="J91" s="14" t="str">
        <f aca="false">IF(A91="","",0.000000278*IF(G91="",Inputs!$B$17,G91)*F91*I91)</f>
        <v/>
      </c>
      <c r="K91" s="14" t="str">
        <f aca="false">IF(A91="","",SUMIFS($L$4:$L$203,$B$4:$B$203,$A91))</f>
        <v/>
      </c>
      <c r="L91" s="14" t="str">
        <f aca="false">IF(A91="","",(J91+K91)*Inputs!$B$16)</f>
        <v/>
      </c>
      <c r="M91" s="14"/>
      <c r="N91" s="14" t="str">
        <f aca="false">IF(A91="","",IF(M91="",Inputs!$B$7,M91))</f>
        <v/>
      </c>
      <c r="O91" s="9" t="str">
        <f aca="false">IF(A91="","",IF(L91/Inputs!$B$10&lt;=AD91,Inputs!$F$5,IF(L91/Inputs!$B$10&gt;AM91,"OVERSIZE",INDEX(Inputs!$F$5:$F$14,MATCH(L91/Inputs!$B$10,AD91:AM91,1)+1))))</f>
        <v/>
      </c>
      <c r="P91" s="9"/>
      <c r="Q91" s="9" t="str">
        <f aca="false">IF(A91="","",IF(P91="",O91,P91))</f>
        <v/>
      </c>
      <c r="R91" s="14" t="str">
        <f aca="false">IF(OR(Q91="",Q91="OVERSIZE"),"",Q91/1000)</f>
        <v/>
      </c>
      <c r="S91" s="14" t="str">
        <f aca="false">IF(R91="","",(1/Inputs!$B$9)*(PI()*R91^2/4)*((R91/4)^(2/3))*SQRT(N91))</f>
        <v/>
      </c>
      <c r="T91" s="14" t="str">
        <f aca="false">IF(OR(S91="",L91=""),"",L91/(S91*Inputs!$B$10))</f>
        <v/>
      </c>
      <c r="U91" s="14" t="str">
        <f aca="false">IF(OR(R91="",L91=""),"",4*L91/(PI()*R91^2))</f>
        <v/>
      </c>
      <c r="V91" s="14"/>
      <c r="W91" s="14" t="str">
        <f aca="false">IF(A91="","",IF(A91=Inputs!$B$6,Inputs!$B$22,IF(B91="","",IFERROR(INDEX($X$4:$X$203,MATCH(B91,$A$4:$A$203,0))+IF(V91="",Inputs!$B$20,V91),""))))</f>
        <v/>
      </c>
      <c r="X91" s="14" t="str">
        <f aca="false">IF(OR(W91="",N91="",C91=""),"",W91+N91*C91)</f>
        <v/>
      </c>
      <c r="Y91" s="14"/>
      <c r="Z91" s="14"/>
      <c r="AA91" s="14" t="str">
        <f aca="false">IF(OR(Y91="",W91=""),"",Y91-W91)</f>
        <v/>
      </c>
      <c r="AB91" s="14" t="str">
        <f aca="false">IF(OR(Z91="",X91=""),"",Z91-X91)</f>
        <v/>
      </c>
      <c r="AC91" s="19" t="str">
        <f aca="false">IF(A91="","",IF(OR(T91&gt;1,AND(AV91&lt;&gt;"",AV91&lt;Inputs!$B$11),AND(AV91&lt;&gt;"",AV91&gt;Inputs!$B$12),AA91&lt;Inputs!$B$19,AB91&lt;Inputs!$B$19,N91&lt;Inputs!$B$7,N91&gt;Inputs!$B$8),"CHECK","OK"))</f>
        <v/>
      </c>
      <c r="AD91" s="9" t="str">
        <f aca="false">IF(A91="","",(1/Inputs!$B$9)*(PI()*(Inputs!$F$5/1000)^2/4)*((Inputs!$F$5/1000/4)^(2/3))*SQRT(N91))</f>
        <v/>
      </c>
      <c r="AE91" s="9" t="str">
        <f aca="false">IF(A91="","",(1/Inputs!$B$9)*(PI()*(Inputs!$F$6/1000)^2/4)*((Inputs!$F$6/1000/4)^(2/3))*SQRT(N91))</f>
        <v/>
      </c>
      <c r="AF91" s="9" t="str">
        <f aca="false">IF(A91="","",(1/Inputs!$B$9)*(PI()*(Inputs!$F$7/1000)^2/4)*((Inputs!$F$7/1000/4)^(2/3))*SQRT(N91))</f>
        <v/>
      </c>
      <c r="AG91" s="9" t="str">
        <f aca="false">IF(A91="","",(1/Inputs!$B$9)*(PI()*(Inputs!$F$8/1000)^2/4)*((Inputs!$F$8/1000/4)^(2/3))*SQRT(N91))</f>
        <v/>
      </c>
      <c r="AH91" s="9" t="str">
        <f aca="false">IF(A91="","",(1/Inputs!$B$9)*(PI()*(Inputs!$F$9/1000)^2/4)*((Inputs!$F$9/1000/4)^(2/3))*SQRT(N91))</f>
        <v/>
      </c>
      <c r="AI91" s="9" t="str">
        <f aca="false">IF(A91="","",(1/Inputs!$B$9)*(PI()*(Inputs!$F$10/1000)^2/4)*((Inputs!$F$10/1000/4)^(2/3))*SQRT(N91))</f>
        <v/>
      </c>
      <c r="AJ91" s="9" t="str">
        <f aca="false">IF(A91="","",(1/Inputs!$B$9)*(PI()*(Inputs!$F$11/1000)^2/4)*((Inputs!$F$11/1000/4)^(2/3))*SQRT(N91))</f>
        <v/>
      </c>
      <c r="AK91" s="9" t="str">
        <f aca="false">IF(A91="","",(1/Inputs!$B$9)*(PI()*(Inputs!$F$12/1000)^2/4)*((Inputs!$F$12/1000/4)^(2/3))*SQRT(N91))</f>
        <v/>
      </c>
      <c r="AL91" s="9" t="str">
        <f aca="false">IF(A91="","",(1/Inputs!$B$9)*(PI()*(Inputs!$F$13/1000)^2/4)*((Inputs!$F$13/1000/4)^(2/3))*SQRT(N91))</f>
        <v/>
      </c>
      <c r="AM91" s="9" t="str">
        <f aca="false">IF(A91="","",(1/Inputs!$B$9)*(PI()*(Inputs!$F$14/1000)^2/4)*((Inputs!$F$14/1000/4)^(2/3))*SQRT(N91))</f>
        <v/>
      </c>
      <c r="AN91" s="9" t="str">
        <f aca="false">IF(A91="","",COUNTIF($B$4:$B$203,$A91))</f>
        <v/>
      </c>
      <c r="AO91" s="9" t="str">
        <f aca="false">IF(A91="","",IF(AN91=0,"START","CONTINUOUS"))</f>
        <v/>
      </c>
      <c r="AP91" s="13" t="str">
        <f aca="false">IF(A91="","",IF(H91="",Inputs!$B$18,H91))</f>
        <v/>
      </c>
      <c r="AQ91" s="13" t="str">
        <f aca="false">IF(A91="","",IFERROR(maxifs($AS$4:$AS$203,$B$4:$B$203,$A91),""))</f>
        <v/>
      </c>
      <c r="AR91" s="13" t="str">
        <f aca="false">IF(A91="","",IF(OR(C91="",Inputs!$B$23=""),"",C91/(Inputs!$B$23*60)))</f>
        <v/>
      </c>
      <c r="AS91" s="13" t="str">
        <f aca="false">IF(A91="","",IF(AN91=0,AP91+AR91,IF(AQ91="",AP91+AR91,AQ91+AR91)))</f>
        <v/>
      </c>
      <c r="AT91" s="13" t="str">
        <f aca="false">IF(A91="","",U91)</f>
        <v/>
      </c>
      <c r="AU91" s="13" t="str">
        <f aca="false">IF(OR(R91="",N91=""),"",(1/Inputs!$B$9)*((R91/4)^(2/3))*SQRT(N91))</f>
        <v/>
      </c>
      <c r="AV91" s="13" t="str">
        <f aca="false">IF(A91="","",IF(AND(AT91="",AU91="",AX91=""),"",IF(OR(UPPER(TRIM(Inputs!$B$24))="MANNING",UPPER(TRIM(Inputs!$B$24))="M"),AU91,IF(OR(UPPER(TRIM(Inputs!$B$24))="PARTIAL",UPPER(TRIM(Inputs!$B$24))="P"),AX91,IF(OR(UPPER(TRIM(Inputs!$B$24))="MAX",UPPER(TRIM(Inputs!$B$24))="X"),MAX(IF(AT91="",0,AT91),IF(AU91="",0,AU91),IF(AX91="",0,AX91)),AT91)))))</f>
        <v/>
      </c>
      <c r="AW91" s="13" t="str">
        <f aca="false">IF(AY91="","",CE91)</f>
        <v/>
      </c>
      <c r="AX91" s="13" t="str">
        <f aca="false">IF(OR(AY91="",AW91="",R91="",R91&lt;=0,AW91&lt;=0),"",AY91/((R91^2/8)*(2*ACOS(1-2*AW91/R91)-SIN(2*ACOS(1-2*AW91/R91)))))</f>
        <v/>
      </c>
      <c r="AY91" s="9" t="str">
        <f aca="false">IF(OR(L91="",AZ91=""),"",MIN(L91,AZ91))</f>
        <v/>
      </c>
      <c r="AZ91" s="9" t="str">
        <f aca="false">IF(OR(L91="",R91="",N91=""),"",IF(OR(R91="",N91="",(0.94*R91)="",R91&lt;=0,(0.94*R91)&lt;=0),"",(1/Inputs!$B$9)*((R91^2/8)*((2*ACOS(1-2*(0.94*R91)/R91))-SIN((2*ACOS(1-2*(0.94*R91)/R91)))))*((((R91^2/8)*((2*ACOS(1-2*(0.94*R91)/R91))-SIN((2*ACOS(1-2*(0.94*R91)/R91)))))/((R91/2)*((2*ACOS(1-2*(0.94*R91)/R91)))))^(2/3))*SQRT(N91)))</f>
        <v/>
      </c>
      <c r="BA91" s="9" t="str">
        <f aca="false">IF(AY91="","",0.001*R91)</f>
        <v/>
      </c>
      <c r="BB91" s="9" t="str">
        <f aca="false">IF(AY91="","",0.94*R91)</f>
        <v/>
      </c>
      <c r="BC91" s="9" t="str">
        <f aca="false">IF(AY91="","",(BA91+BB91)/2)</f>
        <v/>
      </c>
      <c r="BD91" s="9" t="str">
        <f aca="false">IF(OR(R91="",N91="",BC91="",R91&lt;=0,BC91&lt;=0),"",(1/Inputs!$B$9)*((R91^2/8)*((2*ACOS(1-2*BC91/R91))-SIN((2*ACOS(1-2*BC91/R91)))))*((((R91^2/8)*((2*ACOS(1-2*BC91/R91))-SIN((2*ACOS(1-2*BC91/R91)))))/((R91/2)*((2*ACOS(1-2*BC91/R91)))))^(2/3))*SQRT(N91))</f>
        <v/>
      </c>
      <c r="BE91" s="9" t="str">
        <f aca="false">IF(AY91="","",IF(BD91&lt;AY91,BC91,BA91))</f>
        <v/>
      </c>
      <c r="BF91" s="9" t="str">
        <f aca="false">IF(AY91="","",IF(BD91&lt;AY91,BB91,BC91))</f>
        <v/>
      </c>
      <c r="BG91" s="9" t="str">
        <f aca="false">IF(AY91="","",(BE91+BF91)/2)</f>
        <v/>
      </c>
      <c r="BH91" s="9" t="str">
        <f aca="false">IF(OR(R91="",N91="",BG91="",R91&lt;=0,BG91&lt;=0),"",(1/Inputs!$B$9)*((R91^2/8)*((2*ACOS(1-2*BG91/R91))-SIN((2*ACOS(1-2*BG91/R91)))))*((((R91^2/8)*((2*ACOS(1-2*BG91/R91))-SIN((2*ACOS(1-2*BG91/R91)))))/((R91/2)*((2*ACOS(1-2*BG91/R91)))))^(2/3))*SQRT(N91))</f>
        <v/>
      </c>
      <c r="BI91" s="9" t="str">
        <f aca="false">IF(AY91="","",IF(BH91&lt;AY91,BG91,BE91))</f>
        <v/>
      </c>
      <c r="BJ91" s="9" t="str">
        <f aca="false">IF(AY91="","",IF(BH91&lt;AY91,BF91,BG91))</f>
        <v/>
      </c>
      <c r="BK91" s="9" t="str">
        <f aca="false">IF(AY91="","",(BI91+BJ91)/2)</f>
        <v/>
      </c>
      <c r="BL91" s="9" t="str">
        <f aca="false">IF(OR(R91="",N91="",BK91="",R91&lt;=0,BK91&lt;=0),"",(1/Inputs!$B$9)*((R91^2/8)*((2*ACOS(1-2*BK91/R91))-SIN((2*ACOS(1-2*BK91/R91)))))*((((R91^2/8)*((2*ACOS(1-2*BK91/R91))-SIN((2*ACOS(1-2*BK91/R91)))))/((R91/2)*((2*ACOS(1-2*BK91/R91)))))^(2/3))*SQRT(N91))</f>
        <v/>
      </c>
      <c r="BM91" s="9" t="str">
        <f aca="false">IF(AY91="","",IF(BL91&lt;AY91,BK91,BI91))</f>
        <v/>
      </c>
      <c r="BN91" s="9" t="str">
        <f aca="false">IF(AY91="","",IF(BL91&lt;AY91,BJ91,BK91))</f>
        <v/>
      </c>
      <c r="BO91" s="9" t="str">
        <f aca="false">IF(AY91="","",(BM91+BN91)/2)</f>
        <v/>
      </c>
      <c r="BP91" s="9" t="str">
        <f aca="false">IF(OR(R91="",N91="",BO91="",R91&lt;=0,BO91&lt;=0),"",(1/Inputs!$B$9)*((R91^2/8)*((2*ACOS(1-2*BO91/R91))-SIN((2*ACOS(1-2*BO91/R91)))))*((((R91^2/8)*((2*ACOS(1-2*BO91/R91))-SIN((2*ACOS(1-2*BO91/R91)))))/((R91/2)*((2*ACOS(1-2*BO91/R91)))))^(2/3))*SQRT(N91))</f>
        <v/>
      </c>
      <c r="BQ91" s="9" t="str">
        <f aca="false">IF(AY91="","",IF(BP91&lt;AY91,BO91,BM91))</f>
        <v/>
      </c>
      <c r="BR91" s="9" t="str">
        <f aca="false">IF(AY91="","",IF(BP91&lt;AY91,BN91,BO91))</f>
        <v/>
      </c>
      <c r="BS91" s="9" t="str">
        <f aca="false">IF(AY91="","",(BQ91+BR91)/2)</f>
        <v/>
      </c>
      <c r="BT91" s="9" t="str">
        <f aca="false">IF(OR(R91="",N91="",BS91="",R91&lt;=0,BS91&lt;=0),"",(1/Inputs!$B$9)*((R91^2/8)*((2*ACOS(1-2*BS91/R91))-SIN((2*ACOS(1-2*BS91/R91)))))*((((R91^2/8)*((2*ACOS(1-2*BS91/R91))-SIN((2*ACOS(1-2*BS91/R91)))))/((R91/2)*((2*ACOS(1-2*BS91/R91)))))^(2/3))*SQRT(N91))</f>
        <v/>
      </c>
      <c r="BU91" s="9" t="str">
        <f aca="false">IF(AY91="","",IF(BT91&lt;AY91,BS91,BQ91))</f>
        <v/>
      </c>
      <c r="BV91" s="9" t="str">
        <f aca="false">IF(AY91="","",IF(BT91&lt;AY91,BR91,BS91))</f>
        <v/>
      </c>
      <c r="BW91" s="9" t="str">
        <f aca="false">IF(AY91="","",(BU91+BV91)/2)</f>
        <v/>
      </c>
      <c r="BX91" s="9" t="str">
        <f aca="false">IF(OR(R91="",N91="",BW91="",R91&lt;=0,BW91&lt;=0),"",(1/Inputs!$B$9)*((R91^2/8)*((2*ACOS(1-2*BW91/R91))-SIN((2*ACOS(1-2*BW91/R91)))))*((((R91^2/8)*((2*ACOS(1-2*BW91/R91))-SIN((2*ACOS(1-2*BW91/R91)))))/((R91/2)*((2*ACOS(1-2*BW91/R91)))))^(2/3))*SQRT(N91))</f>
        <v/>
      </c>
      <c r="BY91" s="9" t="str">
        <f aca="false">IF(AY91="","",IF(BX91&lt;AY91,BW91,BU91))</f>
        <v/>
      </c>
      <c r="BZ91" s="9" t="str">
        <f aca="false">IF(AY91="","",IF(BX91&lt;AY91,BV91,BW91))</f>
        <v/>
      </c>
      <c r="CA91" s="9" t="str">
        <f aca="false">IF(AY91="","",(BY91+BZ91)/2)</f>
        <v/>
      </c>
      <c r="CB91" s="9" t="str">
        <f aca="false">IF(OR(R91="",N91="",CA91="",R91&lt;=0,CA91&lt;=0),"",(1/Inputs!$B$9)*((R91^2/8)*((2*ACOS(1-2*CA91/R91))-SIN((2*ACOS(1-2*CA91/R91)))))*((((R91^2/8)*((2*ACOS(1-2*CA91/R91))-SIN((2*ACOS(1-2*CA91/R91)))))/((R91/2)*((2*ACOS(1-2*CA91/R91)))))^(2/3))*SQRT(N91))</f>
        <v/>
      </c>
      <c r="CC91" s="9" t="str">
        <f aca="false">IF(AY91="","",IF(CB91&lt;AY91,CA91,BY91))</f>
        <v/>
      </c>
      <c r="CD91" s="9" t="str">
        <f aca="false">IF(AY91="","",IF(CB91&lt;AY91,BZ91,CA91))</f>
        <v/>
      </c>
      <c r="CE91" s="9" t="str">
        <f aca="false">IF(AY91="","",(CC91+CD91)/2)</f>
        <v/>
      </c>
    </row>
    <row r="92" customFormat="false" ht="15" hidden="false" customHeight="false" outlineLevel="0" collapsed="false">
      <c r="A92" s="9"/>
      <c r="B92" s="9"/>
      <c r="C92" s="14"/>
      <c r="D92" s="14"/>
      <c r="E92" s="14" t="n">
        <f aca="false">SUMIFS(CB_Tributaires!$C:$C,CB_Tributaires!$B:$B,$A92)</f>
        <v>0</v>
      </c>
      <c r="F92" s="14" t="n">
        <f aca="false">IF(D92="",E92,D92)</f>
        <v>0</v>
      </c>
      <c r="G92" s="9"/>
      <c r="H92" s="14"/>
      <c r="I92" s="14" t="str">
        <f aca="false">IF(A92="","",Inputs!$B$13/((IF(AS92="",Inputs!$B$18,AS92)+Inputs!$B$14)^Inputs!$B$15))</f>
        <v/>
      </c>
      <c r="J92" s="14" t="str">
        <f aca="false">IF(A92="","",0.000000278*IF(G92="",Inputs!$B$17,G92)*F92*I92)</f>
        <v/>
      </c>
      <c r="K92" s="14" t="str">
        <f aca="false">IF(A92="","",SUMIFS($L$4:$L$203,$B$4:$B$203,$A92))</f>
        <v/>
      </c>
      <c r="L92" s="14" t="str">
        <f aca="false">IF(A92="","",(J92+K92)*Inputs!$B$16)</f>
        <v/>
      </c>
      <c r="M92" s="14"/>
      <c r="N92" s="14" t="str">
        <f aca="false">IF(A92="","",IF(M92="",Inputs!$B$7,M92))</f>
        <v/>
      </c>
      <c r="O92" s="9" t="str">
        <f aca="false">IF(A92="","",IF(L92/Inputs!$B$10&lt;=AD92,Inputs!$F$5,IF(L92/Inputs!$B$10&gt;AM92,"OVERSIZE",INDEX(Inputs!$F$5:$F$14,MATCH(L92/Inputs!$B$10,AD92:AM92,1)+1))))</f>
        <v/>
      </c>
      <c r="P92" s="9"/>
      <c r="Q92" s="9" t="str">
        <f aca="false">IF(A92="","",IF(P92="",O92,P92))</f>
        <v/>
      </c>
      <c r="R92" s="14" t="str">
        <f aca="false">IF(OR(Q92="",Q92="OVERSIZE"),"",Q92/1000)</f>
        <v/>
      </c>
      <c r="S92" s="14" t="str">
        <f aca="false">IF(R92="","",(1/Inputs!$B$9)*(PI()*R92^2/4)*((R92/4)^(2/3))*SQRT(N92))</f>
        <v/>
      </c>
      <c r="T92" s="14" t="str">
        <f aca="false">IF(OR(S92="",L92=""),"",L92/(S92*Inputs!$B$10))</f>
        <v/>
      </c>
      <c r="U92" s="14" t="str">
        <f aca="false">IF(OR(R92="",L92=""),"",4*L92/(PI()*R92^2))</f>
        <v/>
      </c>
      <c r="V92" s="14"/>
      <c r="W92" s="14" t="str">
        <f aca="false">IF(A92="","",IF(A92=Inputs!$B$6,Inputs!$B$22,IF(B92="","",IFERROR(INDEX($X$4:$X$203,MATCH(B92,$A$4:$A$203,0))+IF(V92="",Inputs!$B$20,V92),""))))</f>
        <v/>
      </c>
      <c r="X92" s="14" t="str">
        <f aca="false">IF(OR(W92="",N92="",C92=""),"",W92+N92*C92)</f>
        <v/>
      </c>
      <c r="Y92" s="14"/>
      <c r="Z92" s="14"/>
      <c r="AA92" s="14" t="str">
        <f aca="false">IF(OR(Y92="",W92=""),"",Y92-W92)</f>
        <v/>
      </c>
      <c r="AB92" s="14" t="str">
        <f aca="false">IF(OR(Z92="",X92=""),"",Z92-X92)</f>
        <v/>
      </c>
      <c r="AC92" s="19" t="str">
        <f aca="false">IF(A92="","",IF(OR(T92&gt;1,AND(AV92&lt;&gt;"",AV92&lt;Inputs!$B$11),AND(AV92&lt;&gt;"",AV92&gt;Inputs!$B$12),AA92&lt;Inputs!$B$19,AB92&lt;Inputs!$B$19,N92&lt;Inputs!$B$7,N92&gt;Inputs!$B$8),"CHECK","OK"))</f>
        <v/>
      </c>
      <c r="AD92" s="9" t="str">
        <f aca="false">IF(A92="","",(1/Inputs!$B$9)*(PI()*(Inputs!$F$5/1000)^2/4)*((Inputs!$F$5/1000/4)^(2/3))*SQRT(N92))</f>
        <v/>
      </c>
      <c r="AE92" s="9" t="str">
        <f aca="false">IF(A92="","",(1/Inputs!$B$9)*(PI()*(Inputs!$F$6/1000)^2/4)*((Inputs!$F$6/1000/4)^(2/3))*SQRT(N92))</f>
        <v/>
      </c>
      <c r="AF92" s="9" t="str">
        <f aca="false">IF(A92="","",(1/Inputs!$B$9)*(PI()*(Inputs!$F$7/1000)^2/4)*((Inputs!$F$7/1000/4)^(2/3))*SQRT(N92))</f>
        <v/>
      </c>
      <c r="AG92" s="9" t="str">
        <f aca="false">IF(A92="","",(1/Inputs!$B$9)*(PI()*(Inputs!$F$8/1000)^2/4)*((Inputs!$F$8/1000/4)^(2/3))*SQRT(N92))</f>
        <v/>
      </c>
      <c r="AH92" s="9" t="str">
        <f aca="false">IF(A92="","",(1/Inputs!$B$9)*(PI()*(Inputs!$F$9/1000)^2/4)*((Inputs!$F$9/1000/4)^(2/3))*SQRT(N92))</f>
        <v/>
      </c>
      <c r="AI92" s="9" t="str">
        <f aca="false">IF(A92="","",(1/Inputs!$B$9)*(PI()*(Inputs!$F$10/1000)^2/4)*((Inputs!$F$10/1000/4)^(2/3))*SQRT(N92))</f>
        <v/>
      </c>
      <c r="AJ92" s="9" t="str">
        <f aca="false">IF(A92="","",(1/Inputs!$B$9)*(PI()*(Inputs!$F$11/1000)^2/4)*((Inputs!$F$11/1000/4)^(2/3))*SQRT(N92))</f>
        <v/>
      </c>
      <c r="AK92" s="9" t="str">
        <f aca="false">IF(A92="","",(1/Inputs!$B$9)*(PI()*(Inputs!$F$12/1000)^2/4)*((Inputs!$F$12/1000/4)^(2/3))*SQRT(N92))</f>
        <v/>
      </c>
      <c r="AL92" s="9" t="str">
        <f aca="false">IF(A92="","",(1/Inputs!$B$9)*(PI()*(Inputs!$F$13/1000)^2/4)*((Inputs!$F$13/1000/4)^(2/3))*SQRT(N92))</f>
        <v/>
      </c>
      <c r="AM92" s="9" t="str">
        <f aca="false">IF(A92="","",(1/Inputs!$B$9)*(PI()*(Inputs!$F$14/1000)^2/4)*((Inputs!$F$14/1000/4)^(2/3))*SQRT(N92))</f>
        <v/>
      </c>
      <c r="AN92" s="9" t="str">
        <f aca="false">IF(A92="","",COUNTIF($B$4:$B$203,$A92))</f>
        <v/>
      </c>
      <c r="AO92" s="9" t="str">
        <f aca="false">IF(A92="","",IF(AN92=0,"START","CONTINUOUS"))</f>
        <v/>
      </c>
      <c r="AP92" s="13" t="str">
        <f aca="false">IF(A92="","",IF(H92="",Inputs!$B$18,H92))</f>
        <v/>
      </c>
      <c r="AQ92" s="13" t="str">
        <f aca="false">IF(A92="","",IFERROR(maxifs($AS$4:$AS$203,$B$4:$B$203,$A92),""))</f>
        <v/>
      </c>
      <c r="AR92" s="13" t="str">
        <f aca="false">IF(A92="","",IF(OR(C92="",Inputs!$B$23=""),"",C92/(Inputs!$B$23*60)))</f>
        <v/>
      </c>
      <c r="AS92" s="13" t="str">
        <f aca="false">IF(A92="","",IF(AN92=0,AP92+AR92,IF(AQ92="",AP92+AR92,AQ92+AR92)))</f>
        <v/>
      </c>
      <c r="AT92" s="13" t="str">
        <f aca="false">IF(A92="","",U92)</f>
        <v/>
      </c>
      <c r="AU92" s="13" t="str">
        <f aca="false">IF(OR(R92="",N92=""),"",(1/Inputs!$B$9)*((R92/4)^(2/3))*SQRT(N92))</f>
        <v/>
      </c>
      <c r="AV92" s="13" t="str">
        <f aca="false">IF(A92="","",IF(AND(AT92="",AU92="",AX92=""),"",IF(OR(UPPER(TRIM(Inputs!$B$24))="MANNING",UPPER(TRIM(Inputs!$B$24))="M"),AU92,IF(OR(UPPER(TRIM(Inputs!$B$24))="PARTIAL",UPPER(TRIM(Inputs!$B$24))="P"),AX92,IF(OR(UPPER(TRIM(Inputs!$B$24))="MAX",UPPER(TRIM(Inputs!$B$24))="X"),MAX(IF(AT92="",0,AT92),IF(AU92="",0,AU92),IF(AX92="",0,AX92)),AT92)))))</f>
        <v/>
      </c>
      <c r="AW92" s="13" t="str">
        <f aca="false">IF(AY92="","",CE92)</f>
        <v/>
      </c>
      <c r="AX92" s="13" t="str">
        <f aca="false">IF(OR(AY92="",AW92="",R92="",R92&lt;=0,AW92&lt;=0),"",AY92/((R92^2/8)*(2*ACOS(1-2*AW92/R92)-SIN(2*ACOS(1-2*AW92/R92)))))</f>
        <v/>
      </c>
      <c r="AY92" s="9" t="str">
        <f aca="false">IF(OR(L92="",AZ92=""),"",MIN(L92,AZ92))</f>
        <v/>
      </c>
      <c r="AZ92" s="9" t="str">
        <f aca="false">IF(OR(L92="",R92="",N92=""),"",IF(OR(R92="",N92="",(0.94*R92)="",R92&lt;=0,(0.94*R92)&lt;=0),"",(1/Inputs!$B$9)*((R92^2/8)*((2*ACOS(1-2*(0.94*R92)/R92))-SIN((2*ACOS(1-2*(0.94*R92)/R92)))))*((((R92^2/8)*((2*ACOS(1-2*(0.94*R92)/R92))-SIN((2*ACOS(1-2*(0.94*R92)/R92)))))/((R92/2)*((2*ACOS(1-2*(0.94*R92)/R92)))))^(2/3))*SQRT(N92)))</f>
        <v/>
      </c>
      <c r="BA92" s="9" t="str">
        <f aca="false">IF(AY92="","",0.001*R92)</f>
        <v/>
      </c>
      <c r="BB92" s="9" t="str">
        <f aca="false">IF(AY92="","",0.94*R92)</f>
        <v/>
      </c>
      <c r="BC92" s="9" t="str">
        <f aca="false">IF(AY92="","",(BA92+BB92)/2)</f>
        <v/>
      </c>
      <c r="BD92" s="9" t="str">
        <f aca="false">IF(OR(R92="",N92="",BC92="",R92&lt;=0,BC92&lt;=0),"",(1/Inputs!$B$9)*((R92^2/8)*((2*ACOS(1-2*BC92/R92))-SIN((2*ACOS(1-2*BC92/R92)))))*((((R92^2/8)*((2*ACOS(1-2*BC92/R92))-SIN((2*ACOS(1-2*BC92/R92)))))/((R92/2)*((2*ACOS(1-2*BC92/R92)))))^(2/3))*SQRT(N92))</f>
        <v/>
      </c>
      <c r="BE92" s="9" t="str">
        <f aca="false">IF(AY92="","",IF(BD92&lt;AY92,BC92,BA92))</f>
        <v/>
      </c>
      <c r="BF92" s="9" t="str">
        <f aca="false">IF(AY92="","",IF(BD92&lt;AY92,BB92,BC92))</f>
        <v/>
      </c>
      <c r="BG92" s="9" t="str">
        <f aca="false">IF(AY92="","",(BE92+BF92)/2)</f>
        <v/>
      </c>
      <c r="BH92" s="9" t="str">
        <f aca="false">IF(OR(R92="",N92="",BG92="",R92&lt;=0,BG92&lt;=0),"",(1/Inputs!$B$9)*((R92^2/8)*((2*ACOS(1-2*BG92/R92))-SIN((2*ACOS(1-2*BG92/R92)))))*((((R92^2/8)*((2*ACOS(1-2*BG92/R92))-SIN((2*ACOS(1-2*BG92/R92)))))/((R92/2)*((2*ACOS(1-2*BG92/R92)))))^(2/3))*SQRT(N92))</f>
        <v/>
      </c>
      <c r="BI92" s="9" t="str">
        <f aca="false">IF(AY92="","",IF(BH92&lt;AY92,BG92,BE92))</f>
        <v/>
      </c>
      <c r="BJ92" s="9" t="str">
        <f aca="false">IF(AY92="","",IF(BH92&lt;AY92,BF92,BG92))</f>
        <v/>
      </c>
      <c r="BK92" s="9" t="str">
        <f aca="false">IF(AY92="","",(BI92+BJ92)/2)</f>
        <v/>
      </c>
      <c r="BL92" s="9" t="str">
        <f aca="false">IF(OR(R92="",N92="",BK92="",R92&lt;=0,BK92&lt;=0),"",(1/Inputs!$B$9)*((R92^2/8)*((2*ACOS(1-2*BK92/R92))-SIN((2*ACOS(1-2*BK92/R92)))))*((((R92^2/8)*((2*ACOS(1-2*BK92/R92))-SIN((2*ACOS(1-2*BK92/R92)))))/((R92/2)*((2*ACOS(1-2*BK92/R92)))))^(2/3))*SQRT(N92))</f>
        <v/>
      </c>
      <c r="BM92" s="9" t="str">
        <f aca="false">IF(AY92="","",IF(BL92&lt;AY92,BK92,BI92))</f>
        <v/>
      </c>
      <c r="BN92" s="9" t="str">
        <f aca="false">IF(AY92="","",IF(BL92&lt;AY92,BJ92,BK92))</f>
        <v/>
      </c>
      <c r="BO92" s="9" t="str">
        <f aca="false">IF(AY92="","",(BM92+BN92)/2)</f>
        <v/>
      </c>
      <c r="BP92" s="9" t="str">
        <f aca="false">IF(OR(R92="",N92="",BO92="",R92&lt;=0,BO92&lt;=0),"",(1/Inputs!$B$9)*((R92^2/8)*((2*ACOS(1-2*BO92/R92))-SIN((2*ACOS(1-2*BO92/R92)))))*((((R92^2/8)*((2*ACOS(1-2*BO92/R92))-SIN((2*ACOS(1-2*BO92/R92)))))/((R92/2)*((2*ACOS(1-2*BO92/R92)))))^(2/3))*SQRT(N92))</f>
        <v/>
      </c>
      <c r="BQ92" s="9" t="str">
        <f aca="false">IF(AY92="","",IF(BP92&lt;AY92,BO92,BM92))</f>
        <v/>
      </c>
      <c r="BR92" s="9" t="str">
        <f aca="false">IF(AY92="","",IF(BP92&lt;AY92,BN92,BO92))</f>
        <v/>
      </c>
      <c r="BS92" s="9" t="str">
        <f aca="false">IF(AY92="","",(BQ92+BR92)/2)</f>
        <v/>
      </c>
      <c r="BT92" s="9" t="str">
        <f aca="false">IF(OR(R92="",N92="",BS92="",R92&lt;=0,BS92&lt;=0),"",(1/Inputs!$B$9)*((R92^2/8)*((2*ACOS(1-2*BS92/R92))-SIN((2*ACOS(1-2*BS92/R92)))))*((((R92^2/8)*((2*ACOS(1-2*BS92/R92))-SIN((2*ACOS(1-2*BS92/R92)))))/((R92/2)*((2*ACOS(1-2*BS92/R92)))))^(2/3))*SQRT(N92))</f>
        <v/>
      </c>
      <c r="BU92" s="9" t="str">
        <f aca="false">IF(AY92="","",IF(BT92&lt;AY92,BS92,BQ92))</f>
        <v/>
      </c>
      <c r="BV92" s="9" t="str">
        <f aca="false">IF(AY92="","",IF(BT92&lt;AY92,BR92,BS92))</f>
        <v/>
      </c>
      <c r="BW92" s="9" t="str">
        <f aca="false">IF(AY92="","",(BU92+BV92)/2)</f>
        <v/>
      </c>
      <c r="BX92" s="9" t="str">
        <f aca="false">IF(OR(R92="",N92="",BW92="",R92&lt;=0,BW92&lt;=0),"",(1/Inputs!$B$9)*((R92^2/8)*((2*ACOS(1-2*BW92/R92))-SIN((2*ACOS(1-2*BW92/R92)))))*((((R92^2/8)*((2*ACOS(1-2*BW92/R92))-SIN((2*ACOS(1-2*BW92/R92)))))/((R92/2)*((2*ACOS(1-2*BW92/R92)))))^(2/3))*SQRT(N92))</f>
        <v/>
      </c>
      <c r="BY92" s="9" t="str">
        <f aca="false">IF(AY92="","",IF(BX92&lt;AY92,BW92,BU92))</f>
        <v/>
      </c>
      <c r="BZ92" s="9" t="str">
        <f aca="false">IF(AY92="","",IF(BX92&lt;AY92,BV92,BW92))</f>
        <v/>
      </c>
      <c r="CA92" s="9" t="str">
        <f aca="false">IF(AY92="","",(BY92+BZ92)/2)</f>
        <v/>
      </c>
      <c r="CB92" s="9" t="str">
        <f aca="false">IF(OR(R92="",N92="",CA92="",R92&lt;=0,CA92&lt;=0),"",(1/Inputs!$B$9)*((R92^2/8)*((2*ACOS(1-2*CA92/R92))-SIN((2*ACOS(1-2*CA92/R92)))))*((((R92^2/8)*((2*ACOS(1-2*CA92/R92))-SIN((2*ACOS(1-2*CA92/R92)))))/((R92/2)*((2*ACOS(1-2*CA92/R92)))))^(2/3))*SQRT(N92))</f>
        <v/>
      </c>
      <c r="CC92" s="9" t="str">
        <f aca="false">IF(AY92="","",IF(CB92&lt;AY92,CA92,BY92))</f>
        <v/>
      </c>
      <c r="CD92" s="9" t="str">
        <f aca="false">IF(AY92="","",IF(CB92&lt;AY92,BZ92,CA92))</f>
        <v/>
      </c>
      <c r="CE92" s="9" t="str">
        <f aca="false">IF(AY92="","",(CC92+CD92)/2)</f>
        <v/>
      </c>
    </row>
    <row r="93" customFormat="false" ht="15" hidden="false" customHeight="false" outlineLevel="0" collapsed="false">
      <c r="A93" s="9"/>
      <c r="B93" s="9"/>
      <c r="C93" s="14"/>
      <c r="D93" s="14"/>
      <c r="E93" s="14" t="n">
        <f aca="false">SUMIFS(CB_Tributaires!$C:$C,CB_Tributaires!$B:$B,$A93)</f>
        <v>0</v>
      </c>
      <c r="F93" s="14" t="n">
        <f aca="false">IF(D93="",E93,D93)</f>
        <v>0</v>
      </c>
      <c r="G93" s="9"/>
      <c r="H93" s="14"/>
      <c r="I93" s="14" t="str">
        <f aca="false">IF(A93="","",Inputs!$B$13/((IF(AS93="",Inputs!$B$18,AS93)+Inputs!$B$14)^Inputs!$B$15))</f>
        <v/>
      </c>
      <c r="J93" s="14" t="str">
        <f aca="false">IF(A93="","",0.000000278*IF(G93="",Inputs!$B$17,G93)*F93*I93)</f>
        <v/>
      </c>
      <c r="K93" s="14" t="str">
        <f aca="false">IF(A93="","",SUMIFS($L$4:$L$203,$B$4:$B$203,$A93))</f>
        <v/>
      </c>
      <c r="L93" s="14" t="str">
        <f aca="false">IF(A93="","",(J93+K93)*Inputs!$B$16)</f>
        <v/>
      </c>
      <c r="M93" s="14"/>
      <c r="N93" s="14" t="str">
        <f aca="false">IF(A93="","",IF(M93="",Inputs!$B$7,M93))</f>
        <v/>
      </c>
      <c r="O93" s="9" t="str">
        <f aca="false">IF(A93="","",IF(L93/Inputs!$B$10&lt;=AD93,Inputs!$F$5,IF(L93/Inputs!$B$10&gt;AM93,"OVERSIZE",INDEX(Inputs!$F$5:$F$14,MATCH(L93/Inputs!$B$10,AD93:AM93,1)+1))))</f>
        <v/>
      </c>
      <c r="P93" s="9"/>
      <c r="Q93" s="9" t="str">
        <f aca="false">IF(A93="","",IF(P93="",O93,P93))</f>
        <v/>
      </c>
      <c r="R93" s="14" t="str">
        <f aca="false">IF(OR(Q93="",Q93="OVERSIZE"),"",Q93/1000)</f>
        <v/>
      </c>
      <c r="S93" s="14" t="str">
        <f aca="false">IF(R93="","",(1/Inputs!$B$9)*(PI()*R93^2/4)*((R93/4)^(2/3))*SQRT(N93))</f>
        <v/>
      </c>
      <c r="T93" s="14" t="str">
        <f aca="false">IF(OR(S93="",L93=""),"",L93/(S93*Inputs!$B$10))</f>
        <v/>
      </c>
      <c r="U93" s="14" t="str">
        <f aca="false">IF(OR(R93="",L93=""),"",4*L93/(PI()*R93^2))</f>
        <v/>
      </c>
      <c r="V93" s="14"/>
      <c r="W93" s="14" t="str">
        <f aca="false">IF(A93="","",IF(A93=Inputs!$B$6,Inputs!$B$22,IF(B93="","",IFERROR(INDEX($X$4:$X$203,MATCH(B93,$A$4:$A$203,0))+IF(V93="",Inputs!$B$20,V93),""))))</f>
        <v/>
      </c>
      <c r="X93" s="14" t="str">
        <f aca="false">IF(OR(W93="",N93="",C93=""),"",W93+N93*C93)</f>
        <v/>
      </c>
      <c r="Y93" s="14"/>
      <c r="Z93" s="14"/>
      <c r="AA93" s="14" t="str">
        <f aca="false">IF(OR(Y93="",W93=""),"",Y93-W93)</f>
        <v/>
      </c>
      <c r="AB93" s="14" t="str">
        <f aca="false">IF(OR(Z93="",X93=""),"",Z93-X93)</f>
        <v/>
      </c>
      <c r="AC93" s="19" t="str">
        <f aca="false">IF(A93="","",IF(OR(T93&gt;1,AND(AV93&lt;&gt;"",AV93&lt;Inputs!$B$11),AND(AV93&lt;&gt;"",AV93&gt;Inputs!$B$12),AA93&lt;Inputs!$B$19,AB93&lt;Inputs!$B$19,N93&lt;Inputs!$B$7,N93&gt;Inputs!$B$8),"CHECK","OK"))</f>
        <v/>
      </c>
      <c r="AD93" s="9" t="str">
        <f aca="false">IF(A93="","",(1/Inputs!$B$9)*(PI()*(Inputs!$F$5/1000)^2/4)*((Inputs!$F$5/1000/4)^(2/3))*SQRT(N93))</f>
        <v/>
      </c>
      <c r="AE93" s="9" t="str">
        <f aca="false">IF(A93="","",(1/Inputs!$B$9)*(PI()*(Inputs!$F$6/1000)^2/4)*((Inputs!$F$6/1000/4)^(2/3))*SQRT(N93))</f>
        <v/>
      </c>
      <c r="AF93" s="9" t="str">
        <f aca="false">IF(A93="","",(1/Inputs!$B$9)*(PI()*(Inputs!$F$7/1000)^2/4)*((Inputs!$F$7/1000/4)^(2/3))*SQRT(N93))</f>
        <v/>
      </c>
      <c r="AG93" s="9" t="str">
        <f aca="false">IF(A93="","",(1/Inputs!$B$9)*(PI()*(Inputs!$F$8/1000)^2/4)*((Inputs!$F$8/1000/4)^(2/3))*SQRT(N93))</f>
        <v/>
      </c>
      <c r="AH93" s="9" t="str">
        <f aca="false">IF(A93="","",(1/Inputs!$B$9)*(PI()*(Inputs!$F$9/1000)^2/4)*((Inputs!$F$9/1000/4)^(2/3))*SQRT(N93))</f>
        <v/>
      </c>
      <c r="AI93" s="9" t="str">
        <f aca="false">IF(A93="","",(1/Inputs!$B$9)*(PI()*(Inputs!$F$10/1000)^2/4)*((Inputs!$F$10/1000/4)^(2/3))*SQRT(N93))</f>
        <v/>
      </c>
      <c r="AJ93" s="9" t="str">
        <f aca="false">IF(A93="","",(1/Inputs!$B$9)*(PI()*(Inputs!$F$11/1000)^2/4)*((Inputs!$F$11/1000/4)^(2/3))*SQRT(N93))</f>
        <v/>
      </c>
      <c r="AK93" s="9" t="str">
        <f aca="false">IF(A93="","",(1/Inputs!$B$9)*(PI()*(Inputs!$F$12/1000)^2/4)*((Inputs!$F$12/1000/4)^(2/3))*SQRT(N93))</f>
        <v/>
      </c>
      <c r="AL93" s="9" t="str">
        <f aca="false">IF(A93="","",(1/Inputs!$B$9)*(PI()*(Inputs!$F$13/1000)^2/4)*((Inputs!$F$13/1000/4)^(2/3))*SQRT(N93))</f>
        <v/>
      </c>
      <c r="AM93" s="9" t="str">
        <f aca="false">IF(A93="","",(1/Inputs!$B$9)*(PI()*(Inputs!$F$14/1000)^2/4)*((Inputs!$F$14/1000/4)^(2/3))*SQRT(N93))</f>
        <v/>
      </c>
      <c r="AN93" s="9" t="str">
        <f aca="false">IF(A93="","",COUNTIF($B$4:$B$203,$A93))</f>
        <v/>
      </c>
      <c r="AO93" s="9" t="str">
        <f aca="false">IF(A93="","",IF(AN93=0,"START","CONTINUOUS"))</f>
        <v/>
      </c>
      <c r="AP93" s="13" t="str">
        <f aca="false">IF(A93="","",IF(H93="",Inputs!$B$18,H93))</f>
        <v/>
      </c>
      <c r="AQ93" s="13" t="str">
        <f aca="false">IF(A93="","",IFERROR(maxifs($AS$4:$AS$203,$B$4:$B$203,$A93),""))</f>
        <v/>
      </c>
      <c r="AR93" s="13" t="str">
        <f aca="false">IF(A93="","",IF(OR(C93="",Inputs!$B$23=""),"",C93/(Inputs!$B$23*60)))</f>
        <v/>
      </c>
      <c r="AS93" s="13" t="str">
        <f aca="false">IF(A93="","",IF(AN93=0,AP93+AR93,IF(AQ93="",AP93+AR93,AQ93+AR93)))</f>
        <v/>
      </c>
      <c r="AT93" s="13" t="str">
        <f aca="false">IF(A93="","",U93)</f>
        <v/>
      </c>
      <c r="AU93" s="13" t="str">
        <f aca="false">IF(OR(R93="",N93=""),"",(1/Inputs!$B$9)*((R93/4)^(2/3))*SQRT(N93))</f>
        <v/>
      </c>
      <c r="AV93" s="13" t="str">
        <f aca="false">IF(A93="","",IF(AND(AT93="",AU93="",AX93=""),"",IF(OR(UPPER(TRIM(Inputs!$B$24))="MANNING",UPPER(TRIM(Inputs!$B$24))="M"),AU93,IF(OR(UPPER(TRIM(Inputs!$B$24))="PARTIAL",UPPER(TRIM(Inputs!$B$24))="P"),AX93,IF(OR(UPPER(TRIM(Inputs!$B$24))="MAX",UPPER(TRIM(Inputs!$B$24))="X"),MAX(IF(AT93="",0,AT93),IF(AU93="",0,AU93),IF(AX93="",0,AX93)),AT93)))))</f>
        <v/>
      </c>
      <c r="AW93" s="13" t="str">
        <f aca="false">IF(AY93="","",CE93)</f>
        <v/>
      </c>
      <c r="AX93" s="13" t="str">
        <f aca="false">IF(OR(AY93="",AW93="",R93="",R93&lt;=0,AW93&lt;=0),"",AY93/((R93^2/8)*(2*ACOS(1-2*AW93/R93)-SIN(2*ACOS(1-2*AW93/R93)))))</f>
        <v/>
      </c>
      <c r="AY93" s="9" t="str">
        <f aca="false">IF(OR(L93="",AZ93=""),"",MIN(L93,AZ93))</f>
        <v/>
      </c>
      <c r="AZ93" s="9" t="str">
        <f aca="false">IF(OR(L93="",R93="",N93=""),"",IF(OR(R93="",N93="",(0.94*R93)="",R93&lt;=0,(0.94*R93)&lt;=0),"",(1/Inputs!$B$9)*((R93^2/8)*((2*ACOS(1-2*(0.94*R93)/R93))-SIN((2*ACOS(1-2*(0.94*R93)/R93)))))*((((R93^2/8)*((2*ACOS(1-2*(0.94*R93)/R93))-SIN((2*ACOS(1-2*(0.94*R93)/R93)))))/((R93/2)*((2*ACOS(1-2*(0.94*R93)/R93)))))^(2/3))*SQRT(N93)))</f>
        <v/>
      </c>
      <c r="BA93" s="9" t="str">
        <f aca="false">IF(AY93="","",0.001*R93)</f>
        <v/>
      </c>
      <c r="BB93" s="9" t="str">
        <f aca="false">IF(AY93="","",0.94*R93)</f>
        <v/>
      </c>
      <c r="BC93" s="9" t="str">
        <f aca="false">IF(AY93="","",(BA93+BB93)/2)</f>
        <v/>
      </c>
      <c r="BD93" s="9" t="str">
        <f aca="false">IF(OR(R93="",N93="",BC93="",R93&lt;=0,BC93&lt;=0),"",(1/Inputs!$B$9)*((R93^2/8)*((2*ACOS(1-2*BC93/R93))-SIN((2*ACOS(1-2*BC93/R93)))))*((((R93^2/8)*((2*ACOS(1-2*BC93/R93))-SIN((2*ACOS(1-2*BC93/R93)))))/((R93/2)*((2*ACOS(1-2*BC93/R93)))))^(2/3))*SQRT(N93))</f>
        <v/>
      </c>
      <c r="BE93" s="9" t="str">
        <f aca="false">IF(AY93="","",IF(BD93&lt;AY93,BC93,BA93))</f>
        <v/>
      </c>
      <c r="BF93" s="9" t="str">
        <f aca="false">IF(AY93="","",IF(BD93&lt;AY93,BB93,BC93))</f>
        <v/>
      </c>
      <c r="BG93" s="9" t="str">
        <f aca="false">IF(AY93="","",(BE93+BF93)/2)</f>
        <v/>
      </c>
      <c r="BH93" s="9" t="str">
        <f aca="false">IF(OR(R93="",N93="",BG93="",R93&lt;=0,BG93&lt;=0),"",(1/Inputs!$B$9)*((R93^2/8)*((2*ACOS(1-2*BG93/R93))-SIN((2*ACOS(1-2*BG93/R93)))))*((((R93^2/8)*((2*ACOS(1-2*BG93/R93))-SIN((2*ACOS(1-2*BG93/R93)))))/((R93/2)*((2*ACOS(1-2*BG93/R93)))))^(2/3))*SQRT(N93))</f>
        <v/>
      </c>
      <c r="BI93" s="9" t="str">
        <f aca="false">IF(AY93="","",IF(BH93&lt;AY93,BG93,BE93))</f>
        <v/>
      </c>
      <c r="BJ93" s="9" t="str">
        <f aca="false">IF(AY93="","",IF(BH93&lt;AY93,BF93,BG93))</f>
        <v/>
      </c>
      <c r="BK93" s="9" t="str">
        <f aca="false">IF(AY93="","",(BI93+BJ93)/2)</f>
        <v/>
      </c>
      <c r="BL93" s="9" t="str">
        <f aca="false">IF(OR(R93="",N93="",BK93="",R93&lt;=0,BK93&lt;=0),"",(1/Inputs!$B$9)*((R93^2/8)*((2*ACOS(1-2*BK93/R93))-SIN((2*ACOS(1-2*BK93/R93)))))*((((R93^2/8)*((2*ACOS(1-2*BK93/R93))-SIN((2*ACOS(1-2*BK93/R93)))))/((R93/2)*((2*ACOS(1-2*BK93/R93)))))^(2/3))*SQRT(N93))</f>
        <v/>
      </c>
      <c r="BM93" s="9" t="str">
        <f aca="false">IF(AY93="","",IF(BL93&lt;AY93,BK93,BI93))</f>
        <v/>
      </c>
      <c r="BN93" s="9" t="str">
        <f aca="false">IF(AY93="","",IF(BL93&lt;AY93,BJ93,BK93))</f>
        <v/>
      </c>
      <c r="BO93" s="9" t="str">
        <f aca="false">IF(AY93="","",(BM93+BN93)/2)</f>
        <v/>
      </c>
      <c r="BP93" s="9" t="str">
        <f aca="false">IF(OR(R93="",N93="",BO93="",R93&lt;=0,BO93&lt;=0),"",(1/Inputs!$B$9)*((R93^2/8)*((2*ACOS(1-2*BO93/R93))-SIN((2*ACOS(1-2*BO93/R93)))))*((((R93^2/8)*((2*ACOS(1-2*BO93/R93))-SIN((2*ACOS(1-2*BO93/R93)))))/((R93/2)*((2*ACOS(1-2*BO93/R93)))))^(2/3))*SQRT(N93))</f>
        <v/>
      </c>
      <c r="BQ93" s="9" t="str">
        <f aca="false">IF(AY93="","",IF(BP93&lt;AY93,BO93,BM93))</f>
        <v/>
      </c>
      <c r="BR93" s="9" t="str">
        <f aca="false">IF(AY93="","",IF(BP93&lt;AY93,BN93,BO93))</f>
        <v/>
      </c>
      <c r="BS93" s="9" t="str">
        <f aca="false">IF(AY93="","",(BQ93+BR93)/2)</f>
        <v/>
      </c>
      <c r="BT93" s="9" t="str">
        <f aca="false">IF(OR(R93="",N93="",BS93="",R93&lt;=0,BS93&lt;=0),"",(1/Inputs!$B$9)*((R93^2/8)*((2*ACOS(1-2*BS93/R93))-SIN((2*ACOS(1-2*BS93/R93)))))*((((R93^2/8)*((2*ACOS(1-2*BS93/R93))-SIN((2*ACOS(1-2*BS93/R93)))))/((R93/2)*((2*ACOS(1-2*BS93/R93)))))^(2/3))*SQRT(N93))</f>
        <v/>
      </c>
      <c r="BU93" s="9" t="str">
        <f aca="false">IF(AY93="","",IF(BT93&lt;AY93,BS93,BQ93))</f>
        <v/>
      </c>
      <c r="BV93" s="9" t="str">
        <f aca="false">IF(AY93="","",IF(BT93&lt;AY93,BR93,BS93))</f>
        <v/>
      </c>
      <c r="BW93" s="9" t="str">
        <f aca="false">IF(AY93="","",(BU93+BV93)/2)</f>
        <v/>
      </c>
      <c r="BX93" s="9" t="str">
        <f aca="false">IF(OR(R93="",N93="",BW93="",R93&lt;=0,BW93&lt;=0),"",(1/Inputs!$B$9)*((R93^2/8)*((2*ACOS(1-2*BW93/R93))-SIN((2*ACOS(1-2*BW93/R93)))))*((((R93^2/8)*((2*ACOS(1-2*BW93/R93))-SIN((2*ACOS(1-2*BW93/R93)))))/((R93/2)*((2*ACOS(1-2*BW93/R93)))))^(2/3))*SQRT(N93))</f>
        <v/>
      </c>
      <c r="BY93" s="9" t="str">
        <f aca="false">IF(AY93="","",IF(BX93&lt;AY93,BW93,BU93))</f>
        <v/>
      </c>
      <c r="BZ93" s="9" t="str">
        <f aca="false">IF(AY93="","",IF(BX93&lt;AY93,BV93,BW93))</f>
        <v/>
      </c>
      <c r="CA93" s="9" t="str">
        <f aca="false">IF(AY93="","",(BY93+BZ93)/2)</f>
        <v/>
      </c>
      <c r="CB93" s="9" t="str">
        <f aca="false">IF(OR(R93="",N93="",CA93="",R93&lt;=0,CA93&lt;=0),"",(1/Inputs!$B$9)*((R93^2/8)*((2*ACOS(1-2*CA93/R93))-SIN((2*ACOS(1-2*CA93/R93)))))*((((R93^2/8)*((2*ACOS(1-2*CA93/R93))-SIN((2*ACOS(1-2*CA93/R93)))))/((R93/2)*((2*ACOS(1-2*CA93/R93)))))^(2/3))*SQRT(N93))</f>
        <v/>
      </c>
      <c r="CC93" s="9" t="str">
        <f aca="false">IF(AY93="","",IF(CB93&lt;AY93,CA93,BY93))</f>
        <v/>
      </c>
      <c r="CD93" s="9" t="str">
        <f aca="false">IF(AY93="","",IF(CB93&lt;AY93,BZ93,CA93))</f>
        <v/>
      </c>
      <c r="CE93" s="9" t="str">
        <f aca="false">IF(AY93="","",(CC93+CD93)/2)</f>
        <v/>
      </c>
    </row>
    <row r="94" customFormat="false" ht="15" hidden="false" customHeight="false" outlineLevel="0" collapsed="false">
      <c r="A94" s="9"/>
      <c r="B94" s="9"/>
      <c r="C94" s="14"/>
      <c r="D94" s="14"/>
      <c r="E94" s="14" t="n">
        <f aca="false">SUMIFS(CB_Tributaires!$C:$C,CB_Tributaires!$B:$B,$A94)</f>
        <v>0</v>
      </c>
      <c r="F94" s="14" t="n">
        <f aca="false">IF(D94="",E94,D94)</f>
        <v>0</v>
      </c>
      <c r="G94" s="9"/>
      <c r="H94" s="14"/>
      <c r="I94" s="14" t="str">
        <f aca="false">IF(A94="","",Inputs!$B$13/((IF(AS94="",Inputs!$B$18,AS94)+Inputs!$B$14)^Inputs!$B$15))</f>
        <v/>
      </c>
      <c r="J94" s="14" t="str">
        <f aca="false">IF(A94="","",0.000000278*IF(G94="",Inputs!$B$17,G94)*F94*I94)</f>
        <v/>
      </c>
      <c r="K94" s="14" t="str">
        <f aca="false">IF(A94="","",SUMIFS($L$4:$L$203,$B$4:$B$203,$A94))</f>
        <v/>
      </c>
      <c r="L94" s="14" t="str">
        <f aca="false">IF(A94="","",(J94+K94)*Inputs!$B$16)</f>
        <v/>
      </c>
      <c r="M94" s="14"/>
      <c r="N94" s="14" t="str">
        <f aca="false">IF(A94="","",IF(M94="",Inputs!$B$7,M94))</f>
        <v/>
      </c>
      <c r="O94" s="9" t="str">
        <f aca="false">IF(A94="","",IF(L94/Inputs!$B$10&lt;=AD94,Inputs!$F$5,IF(L94/Inputs!$B$10&gt;AM94,"OVERSIZE",INDEX(Inputs!$F$5:$F$14,MATCH(L94/Inputs!$B$10,AD94:AM94,1)+1))))</f>
        <v/>
      </c>
      <c r="P94" s="9"/>
      <c r="Q94" s="9" t="str">
        <f aca="false">IF(A94="","",IF(P94="",O94,P94))</f>
        <v/>
      </c>
      <c r="R94" s="14" t="str">
        <f aca="false">IF(OR(Q94="",Q94="OVERSIZE"),"",Q94/1000)</f>
        <v/>
      </c>
      <c r="S94" s="14" t="str">
        <f aca="false">IF(R94="","",(1/Inputs!$B$9)*(PI()*R94^2/4)*((R94/4)^(2/3))*SQRT(N94))</f>
        <v/>
      </c>
      <c r="T94" s="14" t="str">
        <f aca="false">IF(OR(S94="",L94=""),"",L94/(S94*Inputs!$B$10))</f>
        <v/>
      </c>
      <c r="U94" s="14" t="str">
        <f aca="false">IF(OR(R94="",L94=""),"",4*L94/(PI()*R94^2))</f>
        <v/>
      </c>
      <c r="V94" s="14"/>
      <c r="W94" s="14" t="str">
        <f aca="false">IF(A94="","",IF(A94=Inputs!$B$6,Inputs!$B$22,IF(B94="","",IFERROR(INDEX($X$4:$X$203,MATCH(B94,$A$4:$A$203,0))+IF(V94="",Inputs!$B$20,V94),""))))</f>
        <v/>
      </c>
      <c r="X94" s="14" t="str">
        <f aca="false">IF(OR(W94="",N94="",C94=""),"",W94+N94*C94)</f>
        <v/>
      </c>
      <c r="Y94" s="14"/>
      <c r="Z94" s="14"/>
      <c r="AA94" s="14" t="str">
        <f aca="false">IF(OR(Y94="",W94=""),"",Y94-W94)</f>
        <v/>
      </c>
      <c r="AB94" s="14" t="str">
        <f aca="false">IF(OR(Z94="",X94=""),"",Z94-X94)</f>
        <v/>
      </c>
      <c r="AC94" s="19" t="str">
        <f aca="false">IF(A94="","",IF(OR(T94&gt;1,AND(AV94&lt;&gt;"",AV94&lt;Inputs!$B$11),AND(AV94&lt;&gt;"",AV94&gt;Inputs!$B$12),AA94&lt;Inputs!$B$19,AB94&lt;Inputs!$B$19,N94&lt;Inputs!$B$7,N94&gt;Inputs!$B$8),"CHECK","OK"))</f>
        <v/>
      </c>
      <c r="AD94" s="9" t="str">
        <f aca="false">IF(A94="","",(1/Inputs!$B$9)*(PI()*(Inputs!$F$5/1000)^2/4)*((Inputs!$F$5/1000/4)^(2/3))*SQRT(N94))</f>
        <v/>
      </c>
      <c r="AE94" s="9" t="str">
        <f aca="false">IF(A94="","",(1/Inputs!$B$9)*(PI()*(Inputs!$F$6/1000)^2/4)*((Inputs!$F$6/1000/4)^(2/3))*SQRT(N94))</f>
        <v/>
      </c>
      <c r="AF94" s="9" t="str">
        <f aca="false">IF(A94="","",(1/Inputs!$B$9)*(PI()*(Inputs!$F$7/1000)^2/4)*((Inputs!$F$7/1000/4)^(2/3))*SQRT(N94))</f>
        <v/>
      </c>
      <c r="AG94" s="9" t="str">
        <f aca="false">IF(A94="","",(1/Inputs!$B$9)*(PI()*(Inputs!$F$8/1000)^2/4)*((Inputs!$F$8/1000/4)^(2/3))*SQRT(N94))</f>
        <v/>
      </c>
      <c r="AH94" s="9" t="str">
        <f aca="false">IF(A94="","",(1/Inputs!$B$9)*(PI()*(Inputs!$F$9/1000)^2/4)*((Inputs!$F$9/1000/4)^(2/3))*SQRT(N94))</f>
        <v/>
      </c>
      <c r="AI94" s="9" t="str">
        <f aca="false">IF(A94="","",(1/Inputs!$B$9)*(PI()*(Inputs!$F$10/1000)^2/4)*((Inputs!$F$10/1000/4)^(2/3))*SQRT(N94))</f>
        <v/>
      </c>
      <c r="AJ94" s="9" t="str">
        <f aca="false">IF(A94="","",(1/Inputs!$B$9)*(PI()*(Inputs!$F$11/1000)^2/4)*((Inputs!$F$11/1000/4)^(2/3))*SQRT(N94))</f>
        <v/>
      </c>
      <c r="AK94" s="9" t="str">
        <f aca="false">IF(A94="","",(1/Inputs!$B$9)*(PI()*(Inputs!$F$12/1000)^2/4)*((Inputs!$F$12/1000/4)^(2/3))*SQRT(N94))</f>
        <v/>
      </c>
      <c r="AL94" s="9" t="str">
        <f aca="false">IF(A94="","",(1/Inputs!$B$9)*(PI()*(Inputs!$F$13/1000)^2/4)*((Inputs!$F$13/1000/4)^(2/3))*SQRT(N94))</f>
        <v/>
      </c>
      <c r="AM94" s="9" t="str">
        <f aca="false">IF(A94="","",(1/Inputs!$B$9)*(PI()*(Inputs!$F$14/1000)^2/4)*((Inputs!$F$14/1000/4)^(2/3))*SQRT(N94))</f>
        <v/>
      </c>
      <c r="AN94" s="9" t="str">
        <f aca="false">IF(A94="","",COUNTIF($B$4:$B$203,$A94))</f>
        <v/>
      </c>
      <c r="AO94" s="9" t="str">
        <f aca="false">IF(A94="","",IF(AN94=0,"START","CONTINUOUS"))</f>
        <v/>
      </c>
      <c r="AP94" s="13" t="str">
        <f aca="false">IF(A94="","",IF(H94="",Inputs!$B$18,H94))</f>
        <v/>
      </c>
      <c r="AQ94" s="13" t="str">
        <f aca="false">IF(A94="","",IFERROR(maxifs($AS$4:$AS$203,$B$4:$B$203,$A94),""))</f>
        <v/>
      </c>
      <c r="AR94" s="13" t="str">
        <f aca="false">IF(A94="","",IF(OR(C94="",Inputs!$B$23=""),"",C94/(Inputs!$B$23*60)))</f>
        <v/>
      </c>
      <c r="AS94" s="13" t="str">
        <f aca="false">IF(A94="","",IF(AN94=0,AP94+AR94,IF(AQ94="",AP94+AR94,AQ94+AR94)))</f>
        <v/>
      </c>
      <c r="AT94" s="13" t="str">
        <f aca="false">IF(A94="","",U94)</f>
        <v/>
      </c>
      <c r="AU94" s="13" t="str">
        <f aca="false">IF(OR(R94="",N94=""),"",(1/Inputs!$B$9)*((R94/4)^(2/3))*SQRT(N94))</f>
        <v/>
      </c>
      <c r="AV94" s="13" t="str">
        <f aca="false">IF(A94="","",IF(AND(AT94="",AU94="",AX94=""),"",IF(OR(UPPER(TRIM(Inputs!$B$24))="MANNING",UPPER(TRIM(Inputs!$B$24))="M"),AU94,IF(OR(UPPER(TRIM(Inputs!$B$24))="PARTIAL",UPPER(TRIM(Inputs!$B$24))="P"),AX94,IF(OR(UPPER(TRIM(Inputs!$B$24))="MAX",UPPER(TRIM(Inputs!$B$24))="X"),MAX(IF(AT94="",0,AT94),IF(AU94="",0,AU94),IF(AX94="",0,AX94)),AT94)))))</f>
        <v/>
      </c>
      <c r="AW94" s="13" t="str">
        <f aca="false">IF(AY94="","",CE94)</f>
        <v/>
      </c>
      <c r="AX94" s="13" t="str">
        <f aca="false">IF(OR(AY94="",AW94="",R94="",R94&lt;=0,AW94&lt;=0),"",AY94/((R94^2/8)*(2*ACOS(1-2*AW94/R94)-SIN(2*ACOS(1-2*AW94/R94)))))</f>
        <v/>
      </c>
      <c r="AY94" s="9" t="str">
        <f aca="false">IF(OR(L94="",AZ94=""),"",MIN(L94,AZ94))</f>
        <v/>
      </c>
      <c r="AZ94" s="9" t="str">
        <f aca="false">IF(OR(L94="",R94="",N94=""),"",IF(OR(R94="",N94="",(0.94*R94)="",R94&lt;=0,(0.94*R94)&lt;=0),"",(1/Inputs!$B$9)*((R94^2/8)*((2*ACOS(1-2*(0.94*R94)/R94))-SIN((2*ACOS(1-2*(0.94*R94)/R94)))))*((((R94^2/8)*((2*ACOS(1-2*(0.94*R94)/R94))-SIN((2*ACOS(1-2*(0.94*R94)/R94)))))/((R94/2)*((2*ACOS(1-2*(0.94*R94)/R94)))))^(2/3))*SQRT(N94)))</f>
        <v/>
      </c>
      <c r="BA94" s="9" t="str">
        <f aca="false">IF(AY94="","",0.001*R94)</f>
        <v/>
      </c>
      <c r="BB94" s="9" t="str">
        <f aca="false">IF(AY94="","",0.94*R94)</f>
        <v/>
      </c>
      <c r="BC94" s="9" t="str">
        <f aca="false">IF(AY94="","",(BA94+BB94)/2)</f>
        <v/>
      </c>
      <c r="BD94" s="9" t="str">
        <f aca="false">IF(OR(R94="",N94="",BC94="",R94&lt;=0,BC94&lt;=0),"",(1/Inputs!$B$9)*((R94^2/8)*((2*ACOS(1-2*BC94/R94))-SIN((2*ACOS(1-2*BC94/R94)))))*((((R94^2/8)*((2*ACOS(1-2*BC94/R94))-SIN((2*ACOS(1-2*BC94/R94)))))/((R94/2)*((2*ACOS(1-2*BC94/R94)))))^(2/3))*SQRT(N94))</f>
        <v/>
      </c>
      <c r="BE94" s="9" t="str">
        <f aca="false">IF(AY94="","",IF(BD94&lt;AY94,BC94,BA94))</f>
        <v/>
      </c>
      <c r="BF94" s="9" t="str">
        <f aca="false">IF(AY94="","",IF(BD94&lt;AY94,BB94,BC94))</f>
        <v/>
      </c>
      <c r="BG94" s="9" t="str">
        <f aca="false">IF(AY94="","",(BE94+BF94)/2)</f>
        <v/>
      </c>
      <c r="BH94" s="9" t="str">
        <f aca="false">IF(OR(R94="",N94="",BG94="",R94&lt;=0,BG94&lt;=0),"",(1/Inputs!$B$9)*((R94^2/8)*((2*ACOS(1-2*BG94/R94))-SIN((2*ACOS(1-2*BG94/R94)))))*((((R94^2/8)*((2*ACOS(1-2*BG94/R94))-SIN((2*ACOS(1-2*BG94/R94)))))/((R94/2)*((2*ACOS(1-2*BG94/R94)))))^(2/3))*SQRT(N94))</f>
        <v/>
      </c>
      <c r="BI94" s="9" t="str">
        <f aca="false">IF(AY94="","",IF(BH94&lt;AY94,BG94,BE94))</f>
        <v/>
      </c>
      <c r="BJ94" s="9" t="str">
        <f aca="false">IF(AY94="","",IF(BH94&lt;AY94,BF94,BG94))</f>
        <v/>
      </c>
      <c r="BK94" s="9" t="str">
        <f aca="false">IF(AY94="","",(BI94+BJ94)/2)</f>
        <v/>
      </c>
      <c r="BL94" s="9" t="str">
        <f aca="false">IF(OR(R94="",N94="",BK94="",R94&lt;=0,BK94&lt;=0),"",(1/Inputs!$B$9)*((R94^2/8)*((2*ACOS(1-2*BK94/R94))-SIN((2*ACOS(1-2*BK94/R94)))))*((((R94^2/8)*((2*ACOS(1-2*BK94/R94))-SIN((2*ACOS(1-2*BK94/R94)))))/((R94/2)*((2*ACOS(1-2*BK94/R94)))))^(2/3))*SQRT(N94))</f>
        <v/>
      </c>
      <c r="BM94" s="9" t="str">
        <f aca="false">IF(AY94="","",IF(BL94&lt;AY94,BK94,BI94))</f>
        <v/>
      </c>
      <c r="BN94" s="9" t="str">
        <f aca="false">IF(AY94="","",IF(BL94&lt;AY94,BJ94,BK94))</f>
        <v/>
      </c>
      <c r="BO94" s="9" t="str">
        <f aca="false">IF(AY94="","",(BM94+BN94)/2)</f>
        <v/>
      </c>
      <c r="BP94" s="9" t="str">
        <f aca="false">IF(OR(R94="",N94="",BO94="",R94&lt;=0,BO94&lt;=0),"",(1/Inputs!$B$9)*((R94^2/8)*((2*ACOS(1-2*BO94/R94))-SIN((2*ACOS(1-2*BO94/R94)))))*((((R94^2/8)*((2*ACOS(1-2*BO94/R94))-SIN((2*ACOS(1-2*BO94/R94)))))/((R94/2)*((2*ACOS(1-2*BO94/R94)))))^(2/3))*SQRT(N94))</f>
        <v/>
      </c>
      <c r="BQ94" s="9" t="str">
        <f aca="false">IF(AY94="","",IF(BP94&lt;AY94,BO94,BM94))</f>
        <v/>
      </c>
      <c r="BR94" s="9" t="str">
        <f aca="false">IF(AY94="","",IF(BP94&lt;AY94,BN94,BO94))</f>
        <v/>
      </c>
      <c r="BS94" s="9" t="str">
        <f aca="false">IF(AY94="","",(BQ94+BR94)/2)</f>
        <v/>
      </c>
      <c r="BT94" s="9" t="str">
        <f aca="false">IF(OR(R94="",N94="",BS94="",R94&lt;=0,BS94&lt;=0),"",(1/Inputs!$B$9)*((R94^2/8)*((2*ACOS(1-2*BS94/R94))-SIN((2*ACOS(1-2*BS94/R94)))))*((((R94^2/8)*((2*ACOS(1-2*BS94/R94))-SIN((2*ACOS(1-2*BS94/R94)))))/((R94/2)*((2*ACOS(1-2*BS94/R94)))))^(2/3))*SQRT(N94))</f>
        <v/>
      </c>
      <c r="BU94" s="9" t="str">
        <f aca="false">IF(AY94="","",IF(BT94&lt;AY94,BS94,BQ94))</f>
        <v/>
      </c>
      <c r="BV94" s="9" t="str">
        <f aca="false">IF(AY94="","",IF(BT94&lt;AY94,BR94,BS94))</f>
        <v/>
      </c>
      <c r="BW94" s="9" t="str">
        <f aca="false">IF(AY94="","",(BU94+BV94)/2)</f>
        <v/>
      </c>
      <c r="BX94" s="9" t="str">
        <f aca="false">IF(OR(R94="",N94="",BW94="",R94&lt;=0,BW94&lt;=0),"",(1/Inputs!$B$9)*((R94^2/8)*((2*ACOS(1-2*BW94/R94))-SIN((2*ACOS(1-2*BW94/R94)))))*((((R94^2/8)*((2*ACOS(1-2*BW94/R94))-SIN((2*ACOS(1-2*BW94/R94)))))/((R94/2)*((2*ACOS(1-2*BW94/R94)))))^(2/3))*SQRT(N94))</f>
        <v/>
      </c>
      <c r="BY94" s="9" t="str">
        <f aca="false">IF(AY94="","",IF(BX94&lt;AY94,BW94,BU94))</f>
        <v/>
      </c>
      <c r="BZ94" s="9" t="str">
        <f aca="false">IF(AY94="","",IF(BX94&lt;AY94,BV94,BW94))</f>
        <v/>
      </c>
      <c r="CA94" s="9" t="str">
        <f aca="false">IF(AY94="","",(BY94+BZ94)/2)</f>
        <v/>
      </c>
      <c r="CB94" s="9" t="str">
        <f aca="false">IF(OR(R94="",N94="",CA94="",R94&lt;=0,CA94&lt;=0),"",(1/Inputs!$B$9)*((R94^2/8)*((2*ACOS(1-2*CA94/R94))-SIN((2*ACOS(1-2*CA94/R94)))))*((((R94^2/8)*((2*ACOS(1-2*CA94/R94))-SIN((2*ACOS(1-2*CA94/R94)))))/((R94/2)*((2*ACOS(1-2*CA94/R94)))))^(2/3))*SQRT(N94))</f>
        <v/>
      </c>
      <c r="CC94" s="9" t="str">
        <f aca="false">IF(AY94="","",IF(CB94&lt;AY94,CA94,BY94))</f>
        <v/>
      </c>
      <c r="CD94" s="9" t="str">
        <f aca="false">IF(AY94="","",IF(CB94&lt;AY94,BZ94,CA94))</f>
        <v/>
      </c>
      <c r="CE94" s="9" t="str">
        <f aca="false">IF(AY94="","",(CC94+CD94)/2)</f>
        <v/>
      </c>
    </row>
    <row r="95" customFormat="false" ht="15" hidden="false" customHeight="false" outlineLevel="0" collapsed="false">
      <c r="A95" s="9"/>
      <c r="B95" s="9"/>
      <c r="C95" s="14"/>
      <c r="D95" s="14"/>
      <c r="E95" s="14" t="n">
        <f aca="false">SUMIFS(CB_Tributaires!$C:$C,CB_Tributaires!$B:$B,$A95)</f>
        <v>0</v>
      </c>
      <c r="F95" s="14" t="n">
        <f aca="false">IF(D95="",E95,D95)</f>
        <v>0</v>
      </c>
      <c r="G95" s="9"/>
      <c r="H95" s="14"/>
      <c r="I95" s="14" t="str">
        <f aca="false">IF(A95="","",Inputs!$B$13/((IF(AS95="",Inputs!$B$18,AS95)+Inputs!$B$14)^Inputs!$B$15))</f>
        <v/>
      </c>
      <c r="J95" s="14" t="str">
        <f aca="false">IF(A95="","",0.000000278*IF(G95="",Inputs!$B$17,G95)*F95*I95)</f>
        <v/>
      </c>
      <c r="K95" s="14" t="str">
        <f aca="false">IF(A95="","",SUMIFS($L$4:$L$203,$B$4:$B$203,$A95))</f>
        <v/>
      </c>
      <c r="L95" s="14" t="str">
        <f aca="false">IF(A95="","",(J95+K95)*Inputs!$B$16)</f>
        <v/>
      </c>
      <c r="M95" s="14"/>
      <c r="N95" s="14" t="str">
        <f aca="false">IF(A95="","",IF(M95="",Inputs!$B$7,M95))</f>
        <v/>
      </c>
      <c r="O95" s="9" t="str">
        <f aca="false">IF(A95="","",IF(L95/Inputs!$B$10&lt;=AD95,Inputs!$F$5,IF(L95/Inputs!$B$10&gt;AM95,"OVERSIZE",INDEX(Inputs!$F$5:$F$14,MATCH(L95/Inputs!$B$10,AD95:AM95,1)+1))))</f>
        <v/>
      </c>
      <c r="P95" s="9"/>
      <c r="Q95" s="9" t="str">
        <f aca="false">IF(A95="","",IF(P95="",O95,P95))</f>
        <v/>
      </c>
      <c r="R95" s="14" t="str">
        <f aca="false">IF(OR(Q95="",Q95="OVERSIZE"),"",Q95/1000)</f>
        <v/>
      </c>
      <c r="S95" s="14" t="str">
        <f aca="false">IF(R95="","",(1/Inputs!$B$9)*(PI()*R95^2/4)*((R95/4)^(2/3))*SQRT(N95))</f>
        <v/>
      </c>
      <c r="T95" s="14" t="str">
        <f aca="false">IF(OR(S95="",L95=""),"",L95/(S95*Inputs!$B$10))</f>
        <v/>
      </c>
      <c r="U95" s="14" t="str">
        <f aca="false">IF(OR(R95="",L95=""),"",4*L95/(PI()*R95^2))</f>
        <v/>
      </c>
      <c r="V95" s="14"/>
      <c r="W95" s="14" t="str">
        <f aca="false">IF(A95="","",IF(A95=Inputs!$B$6,Inputs!$B$22,IF(B95="","",IFERROR(INDEX($X$4:$X$203,MATCH(B95,$A$4:$A$203,0))+IF(V95="",Inputs!$B$20,V95),""))))</f>
        <v/>
      </c>
      <c r="X95" s="14" t="str">
        <f aca="false">IF(OR(W95="",N95="",C95=""),"",W95+N95*C95)</f>
        <v/>
      </c>
      <c r="Y95" s="14"/>
      <c r="Z95" s="14"/>
      <c r="AA95" s="14" t="str">
        <f aca="false">IF(OR(Y95="",W95=""),"",Y95-W95)</f>
        <v/>
      </c>
      <c r="AB95" s="14" t="str">
        <f aca="false">IF(OR(Z95="",X95=""),"",Z95-X95)</f>
        <v/>
      </c>
      <c r="AC95" s="19" t="str">
        <f aca="false">IF(A95="","",IF(OR(T95&gt;1,AND(AV95&lt;&gt;"",AV95&lt;Inputs!$B$11),AND(AV95&lt;&gt;"",AV95&gt;Inputs!$B$12),AA95&lt;Inputs!$B$19,AB95&lt;Inputs!$B$19,N95&lt;Inputs!$B$7,N95&gt;Inputs!$B$8),"CHECK","OK"))</f>
        <v/>
      </c>
      <c r="AD95" s="9" t="str">
        <f aca="false">IF(A95="","",(1/Inputs!$B$9)*(PI()*(Inputs!$F$5/1000)^2/4)*((Inputs!$F$5/1000/4)^(2/3))*SQRT(N95))</f>
        <v/>
      </c>
      <c r="AE95" s="9" t="str">
        <f aca="false">IF(A95="","",(1/Inputs!$B$9)*(PI()*(Inputs!$F$6/1000)^2/4)*((Inputs!$F$6/1000/4)^(2/3))*SQRT(N95))</f>
        <v/>
      </c>
      <c r="AF95" s="9" t="str">
        <f aca="false">IF(A95="","",(1/Inputs!$B$9)*(PI()*(Inputs!$F$7/1000)^2/4)*((Inputs!$F$7/1000/4)^(2/3))*SQRT(N95))</f>
        <v/>
      </c>
      <c r="AG95" s="9" t="str">
        <f aca="false">IF(A95="","",(1/Inputs!$B$9)*(PI()*(Inputs!$F$8/1000)^2/4)*((Inputs!$F$8/1000/4)^(2/3))*SQRT(N95))</f>
        <v/>
      </c>
      <c r="AH95" s="9" t="str">
        <f aca="false">IF(A95="","",(1/Inputs!$B$9)*(PI()*(Inputs!$F$9/1000)^2/4)*((Inputs!$F$9/1000/4)^(2/3))*SQRT(N95))</f>
        <v/>
      </c>
      <c r="AI95" s="9" t="str">
        <f aca="false">IF(A95="","",(1/Inputs!$B$9)*(PI()*(Inputs!$F$10/1000)^2/4)*((Inputs!$F$10/1000/4)^(2/3))*SQRT(N95))</f>
        <v/>
      </c>
      <c r="AJ95" s="9" t="str">
        <f aca="false">IF(A95="","",(1/Inputs!$B$9)*(PI()*(Inputs!$F$11/1000)^2/4)*((Inputs!$F$11/1000/4)^(2/3))*SQRT(N95))</f>
        <v/>
      </c>
      <c r="AK95" s="9" t="str">
        <f aca="false">IF(A95="","",(1/Inputs!$B$9)*(PI()*(Inputs!$F$12/1000)^2/4)*((Inputs!$F$12/1000/4)^(2/3))*SQRT(N95))</f>
        <v/>
      </c>
      <c r="AL95" s="9" t="str">
        <f aca="false">IF(A95="","",(1/Inputs!$B$9)*(PI()*(Inputs!$F$13/1000)^2/4)*((Inputs!$F$13/1000/4)^(2/3))*SQRT(N95))</f>
        <v/>
      </c>
      <c r="AM95" s="9" t="str">
        <f aca="false">IF(A95="","",(1/Inputs!$B$9)*(PI()*(Inputs!$F$14/1000)^2/4)*((Inputs!$F$14/1000/4)^(2/3))*SQRT(N95))</f>
        <v/>
      </c>
      <c r="AN95" s="9" t="str">
        <f aca="false">IF(A95="","",COUNTIF($B$4:$B$203,$A95))</f>
        <v/>
      </c>
      <c r="AO95" s="9" t="str">
        <f aca="false">IF(A95="","",IF(AN95=0,"START","CONTINUOUS"))</f>
        <v/>
      </c>
      <c r="AP95" s="13" t="str">
        <f aca="false">IF(A95="","",IF(H95="",Inputs!$B$18,H95))</f>
        <v/>
      </c>
      <c r="AQ95" s="13" t="str">
        <f aca="false">IF(A95="","",IFERROR(maxifs($AS$4:$AS$203,$B$4:$B$203,$A95),""))</f>
        <v/>
      </c>
      <c r="AR95" s="13" t="str">
        <f aca="false">IF(A95="","",IF(OR(C95="",Inputs!$B$23=""),"",C95/(Inputs!$B$23*60)))</f>
        <v/>
      </c>
      <c r="AS95" s="13" t="str">
        <f aca="false">IF(A95="","",IF(AN95=0,AP95+AR95,IF(AQ95="",AP95+AR95,AQ95+AR95)))</f>
        <v/>
      </c>
      <c r="AT95" s="13" t="str">
        <f aca="false">IF(A95="","",U95)</f>
        <v/>
      </c>
      <c r="AU95" s="13" t="str">
        <f aca="false">IF(OR(R95="",N95=""),"",(1/Inputs!$B$9)*((R95/4)^(2/3))*SQRT(N95))</f>
        <v/>
      </c>
      <c r="AV95" s="13" t="str">
        <f aca="false">IF(A95="","",IF(AND(AT95="",AU95="",AX95=""),"",IF(OR(UPPER(TRIM(Inputs!$B$24))="MANNING",UPPER(TRIM(Inputs!$B$24))="M"),AU95,IF(OR(UPPER(TRIM(Inputs!$B$24))="PARTIAL",UPPER(TRIM(Inputs!$B$24))="P"),AX95,IF(OR(UPPER(TRIM(Inputs!$B$24))="MAX",UPPER(TRIM(Inputs!$B$24))="X"),MAX(IF(AT95="",0,AT95),IF(AU95="",0,AU95),IF(AX95="",0,AX95)),AT95)))))</f>
        <v/>
      </c>
      <c r="AW95" s="13" t="str">
        <f aca="false">IF(AY95="","",CE95)</f>
        <v/>
      </c>
      <c r="AX95" s="13" t="str">
        <f aca="false">IF(OR(AY95="",AW95="",R95="",R95&lt;=0,AW95&lt;=0),"",AY95/((R95^2/8)*(2*ACOS(1-2*AW95/R95)-SIN(2*ACOS(1-2*AW95/R95)))))</f>
        <v/>
      </c>
      <c r="AY95" s="9" t="str">
        <f aca="false">IF(OR(L95="",AZ95=""),"",MIN(L95,AZ95))</f>
        <v/>
      </c>
      <c r="AZ95" s="9" t="str">
        <f aca="false">IF(OR(L95="",R95="",N95=""),"",IF(OR(R95="",N95="",(0.94*R95)="",R95&lt;=0,(0.94*R95)&lt;=0),"",(1/Inputs!$B$9)*((R95^2/8)*((2*ACOS(1-2*(0.94*R95)/R95))-SIN((2*ACOS(1-2*(0.94*R95)/R95)))))*((((R95^2/8)*((2*ACOS(1-2*(0.94*R95)/R95))-SIN((2*ACOS(1-2*(0.94*R95)/R95)))))/((R95/2)*((2*ACOS(1-2*(0.94*R95)/R95)))))^(2/3))*SQRT(N95)))</f>
        <v/>
      </c>
      <c r="BA95" s="9" t="str">
        <f aca="false">IF(AY95="","",0.001*R95)</f>
        <v/>
      </c>
      <c r="BB95" s="9" t="str">
        <f aca="false">IF(AY95="","",0.94*R95)</f>
        <v/>
      </c>
      <c r="BC95" s="9" t="str">
        <f aca="false">IF(AY95="","",(BA95+BB95)/2)</f>
        <v/>
      </c>
      <c r="BD95" s="9" t="str">
        <f aca="false">IF(OR(R95="",N95="",BC95="",R95&lt;=0,BC95&lt;=0),"",(1/Inputs!$B$9)*((R95^2/8)*((2*ACOS(1-2*BC95/R95))-SIN((2*ACOS(1-2*BC95/R95)))))*((((R95^2/8)*((2*ACOS(1-2*BC95/R95))-SIN((2*ACOS(1-2*BC95/R95)))))/((R95/2)*((2*ACOS(1-2*BC95/R95)))))^(2/3))*SQRT(N95))</f>
        <v/>
      </c>
      <c r="BE95" s="9" t="str">
        <f aca="false">IF(AY95="","",IF(BD95&lt;AY95,BC95,BA95))</f>
        <v/>
      </c>
      <c r="BF95" s="9" t="str">
        <f aca="false">IF(AY95="","",IF(BD95&lt;AY95,BB95,BC95))</f>
        <v/>
      </c>
      <c r="BG95" s="9" t="str">
        <f aca="false">IF(AY95="","",(BE95+BF95)/2)</f>
        <v/>
      </c>
      <c r="BH95" s="9" t="str">
        <f aca="false">IF(OR(R95="",N95="",BG95="",R95&lt;=0,BG95&lt;=0),"",(1/Inputs!$B$9)*((R95^2/8)*((2*ACOS(1-2*BG95/R95))-SIN((2*ACOS(1-2*BG95/R95)))))*((((R95^2/8)*((2*ACOS(1-2*BG95/R95))-SIN((2*ACOS(1-2*BG95/R95)))))/((R95/2)*((2*ACOS(1-2*BG95/R95)))))^(2/3))*SQRT(N95))</f>
        <v/>
      </c>
      <c r="BI95" s="9" t="str">
        <f aca="false">IF(AY95="","",IF(BH95&lt;AY95,BG95,BE95))</f>
        <v/>
      </c>
      <c r="BJ95" s="9" t="str">
        <f aca="false">IF(AY95="","",IF(BH95&lt;AY95,BF95,BG95))</f>
        <v/>
      </c>
      <c r="BK95" s="9" t="str">
        <f aca="false">IF(AY95="","",(BI95+BJ95)/2)</f>
        <v/>
      </c>
      <c r="BL95" s="9" t="str">
        <f aca="false">IF(OR(R95="",N95="",BK95="",R95&lt;=0,BK95&lt;=0),"",(1/Inputs!$B$9)*((R95^2/8)*((2*ACOS(1-2*BK95/R95))-SIN((2*ACOS(1-2*BK95/R95)))))*((((R95^2/8)*((2*ACOS(1-2*BK95/R95))-SIN((2*ACOS(1-2*BK95/R95)))))/((R95/2)*((2*ACOS(1-2*BK95/R95)))))^(2/3))*SQRT(N95))</f>
        <v/>
      </c>
      <c r="BM95" s="9" t="str">
        <f aca="false">IF(AY95="","",IF(BL95&lt;AY95,BK95,BI95))</f>
        <v/>
      </c>
      <c r="BN95" s="9" t="str">
        <f aca="false">IF(AY95="","",IF(BL95&lt;AY95,BJ95,BK95))</f>
        <v/>
      </c>
      <c r="BO95" s="9" t="str">
        <f aca="false">IF(AY95="","",(BM95+BN95)/2)</f>
        <v/>
      </c>
      <c r="BP95" s="9" t="str">
        <f aca="false">IF(OR(R95="",N95="",BO95="",R95&lt;=0,BO95&lt;=0),"",(1/Inputs!$B$9)*((R95^2/8)*((2*ACOS(1-2*BO95/R95))-SIN((2*ACOS(1-2*BO95/R95)))))*((((R95^2/8)*((2*ACOS(1-2*BO95/R95))-SIN((2*ACOS(1-2*BO95/R95)))))/((R95/2)*((2*ACOS(1-2*BO95/R95)))))^(2/3))*SQRT(N95))</f>
        <v/>
      </c>
      <c r="BQ95" s="9" t="str">
        <f aca="false">IF(AY95="","",IF(BP95&lt;AY95,BO95,BM95))</f>
        <v/>
      </c>
      <c r="BR95" s="9" t="str">
        <f aca="false">IF(AY95="","",IF(BP95&lt;AY95,BN95,BO95))</f>
        <v/>
      </c>
      <c r="BS95" s="9" t="str">
        <f aca="false">IF(AY95="","",(BQ95+BR95)/2)</f>
        <v/>
      </c>
      <c r="BT95" s="9" t="str">
        <f aca="false">IF(OR(R95="",N95="",BS95="",R95&lt;=0,BS95&lt;=0),"",(1/Inputs!$B$9)*((R95^2/8)*((2*ACOS(1-2*BS95/R95))-SIN((2*ACOS(1-2*BS95/R95)))))*((((R95^2/8)*((2*ACOS(1-2*BS95/R95))-SIN((2*ACOS(1-2*BS95/R95)))))/((R95/2)*((2*ACOS(1-2*BS95/R95)))))^(2/3))*SQRT(N95))</f>
        <v/>
      </c>
      <c r="BU95" s="9" t="str">
        <f aca="false">IF(AY95="","",IF(BT95&lt;AY95,BS95,BQ95))</f>
        <v/>
      </c>
      <c r="BV95" s="9" t="str">
        <f aca="false">IF(AY95="","",IF(BT95&lt;AY95,BR95,BS95))</f>
        <v/>
      </c>
      <c r="BW95" s="9" t="str">
        <f aca="false">IF(AY95="","",(BU95+BV95)/2)</f>
        <v/>
      </c>
      <c r="BX95" s="9" t="str">
        <f aca="false">IF(OR(R95="",N95="",BW95="",R95&lt;=0,BW95&lt;=0),"",(1/Inputs!$B$9)*((R95^2/8)*((2*ACOS(1-2*BW95/R95))-SIN((2*ACOS(1-2*BW95/R95)))))*((((R95^2/8)*((2*ACOS(1-2*BW95/R95))-SIN((2*ACOS(1-2*BW95/R95)))))/((R95/2)*((2*ACOS(1-2*BW95/R95)))))^(2/3))*SQRT(N95))</f>
        <v/>
      </c>
      <c r="BY95" s="9" t="str">
        <f aca="false">IF(AY95="","",IF(BX95&lt;AY95,BW95,BU95))</f>
        <v/>
      </c>
      <c r="BZ95" s="9" t="str">
        <f aca="false">IF(AY95="","",IF(BX95&lt;AY95,BV95,BW95))</f>
        <v/>
      </c>
      <c r="CA95" s="9" t="str">
        <f aca="false">IF(AY95="","",(BY95+BZ95)/2)</f>
        <v/>
      </c>
      <c r="CB95" s="9" t="str">
        <f aca="false">IF(OR(R95="",N95="",CA95="",R95&lt;=0,CA95&lt;=0),"",(1/Inputs!$B$9)*((R95^2/8)*((2*ACOS(1-2*CA95/R95))-SIN((2*ACOS(1-2*CA95/R95)))))*((((R95^2/8)*((2*ACOS(1-2*CA95/R95))-SIN((2*ACOS(1-2*CA95/R95)))))/((R95/2)*((2*ACOS(1-2*CA95/R95)))))^(2/3))*SQRT(N95))</f>
        <v/>
      </c>
      <c r="CC95" s="9" t="str">
        <f aca="false">IF(AY95="","",IF(CB95&lt;AY95,CA95,BY95))</f>
        <v/>
      </c>
      <c r="CD95" s="9" t="str">
        <f aca="false">IF(AY95="","",IF(CB95&lt;AY95,BZ95,CA95))</f>
        <v/>
      </c>
      <c r="CE95" s="9" t="str">
        <f aca="false">IF(AY95="","",(CC95+CD95)/2)</f>
        <v/>
      </c>
    </row>
    <row r="96" customFormat="false" ht="15" hidden="false" customHeight="false" outlineLevel="0" collapsed="false">
      <c r="A96" s="9"/>
      <c r="B96" s="9"/>
      <c r="C96" s="14"/>
      <c r="D96" s="14"/>
      <c r="E96" s="14" t="n">
        <f aca="false">SUMIFS(CB_Tributaires!$C:$C,CB_Tributaires!$B:$B,$A96)</f>
        <v>0</v>
      </c>
      <c r="F96" s="14" t="n">
        <f aca="false">IF(D96="",E96,D96)</f>
        <v>0</v>
      </c>
      <c r="G96" s="9"/>
      <c r="H96" s="14"/>
      <c r="I96" s="14" t="str">
        <f aca="false">IF(A96="","",Inputs!$B$13/((IF(AS96="",Inputs!$B$18,AS96)+Inputs!$B$14)^Inputs!$B$15))</f>
        <v/>
      </c>
      <c r="J96" s="14" t="str">
        <f aca="false">IF(A96="","",0.000000278*IF(G96="",Inputs!$B$17,G96)*F96*I96)</f>
        <v/>
      </c>
      <c r="K96" s="14" t="str">
        <f aca="false">IF(A96="","",SUMIFS($L$4:$L$203,$B$4:$B$203,$A96))</f>
        <v/>
      </c>
      <c r="L96" s="14" t="str">
        <f aca="false">IF(A96="","",(J96+K96)*Inputs!$B$16)</f>
        <v/>
      </c>
      <c r="M96" s="14"/>
      <c r="N96" s="14" t="str">
        <f aca="false">IF(A96="","",IF(M96="",Inputs!$B$7,M96))</f>
        <v/>
      </c>
      <c r="O96" s="9" t="str">
        <f aca="false">IF(A96="","",IF(L96/Inputs!$B$10&lt;=AD96,Inputs!$F$5,IF(L96/Inputs!$B$10&gt;AM96,"OVERSIZE",INDEX(Inputs!$F$5:$F$14,MATCH(L96/Inputs!$B$10,AD96:AM96,1)+1))))</f>
        <v/>
      </c>
      <c r="P96" s="9"/>
      <c r="Q96" s="9" t="str">
        <f aca="false">IF(A96="","",IF(P96="",O96,P96))</f>
        <v/>
      </c>
      <c r="R96" s="14" t="str">
        <f aca="false">IF(OR(Q96="",Q96="OVERSIZE"),"",Q96/1000)</f>
        <v/>
      </c>
      <c r="S96" s="14" t="str">
        <f aca="false">IF(R96="","",(1/Inputs!$B$9)*(PI()*R96^2/4)*((R96/4)^(2/3))*SQRT(N96))</f>
        <v/>
      </c>
      <c r="T96" s="14" t="str">
        <f aca="false">IF(OR(S96="",L96=""),"",L96/(S96*Inputs!$B$10))</f>
        <v/>
      </c>
      <c r="U96" s="14" t="str">
        <f aca="false">IF(OR(R96="",L96=""),"",4*L96/(PI()*R96^2))</f>
        <v/>
      </c>
      <c r="V96" s="14"/>
      <c r="W96" s="14" t="str">
        <f aca="false">IF(A96="","",IF(A96=Inputs!$B$6,Inputs!$B$22,IF(B96="","",IFERROR(INDEX($X$4:$X$203,MATCH(B96,$A$4:$A$203,0))+IF(V96="",Inputs!$B$20,V96),""))))</f>
        <v/>
      </c>
      <c r="X96" s="14" t="str">
        <f aca="false">IF(OR(W96="",N96="",C96=""),"",W96+N96*C96)</f>
        <v/>
      </c>
      <c r="Y96" s="14"/>
      <c r="Z96" s="14"/>
      <c r="AA96" s="14" t="str">
        <f aca="false">IF(OR(Y96="",W96=""),"",Y96-W96)</f>
        <v/>
      </c>
      <c r="AB96" s="14" t="str">
        <f aca="false">IF(OR(Z96="",X96=""),"",Z96-X96)</f>
        <v/>
      </c>
      <c r="AC96" s="19" t="str">
        <f aca="false">IF(A96="","",IF(OR(T96&gt;1,AND(AV96&lt;&gt;"",AV96&lt;Inputs!$B$11),AND(AV96&lt;&gt;"",AV96&gt;Inputs!$B$12),AA96&lt;Inputs!$B$19,AB96&lt;Inputs!$B$19,N96&lt;Inputs!$B$7,N96&gt;Inputs!$B$8),"CHECK","OK"))</f>
        <v/>
      </c>
      <c r="AD96" s="9" t="str">
        <f aca="false">IF(A96="","",(1/Inputs!$B$9)*(PI()*(Inputs!$F$5/1000)^2/4)*((Inputs!$F$5/1000/4)^(2/3))*SQRT(N96))</f>
        <v/>
      </c>
      <c r="AE96" s="9" t="str">
        <f aca="false">IF(A96="","",(1/Inputs!$B$9)*(PI()*(Inputs!$F$6/1000)^2/4)*((Inputs!$F$6/1000/4)^(2/3))*SQRT(N96))</f>
        <v/>
      </c>
      <c r="AF96" s="9" t="str">
        <f aca="false">IF(A96="","",(1/Inputs!$B$9)*(PI()*(Inputs!$F$7/1000)^2/4)*((Inputs!$F$7/1000/4)^(2/3))*SQRT(N96))</f>
        <v/>
      </c>
      <c r="AG96" s="9" t="str">
        <f aca="false">IF(A96="","",(1/Inputs!$B$9)*(PI()*(Inputs!$F$8/1000)^2/4)*((Inputs!$F$8/1000/4)^(2/3))*SQRT(N96))</f>
        <v/>
      </c>
      <c r="AH96" s="9" t="str">
        <f aca="false">IF(A96="","",(1/Inputs!$B$9)*(PI()*(Inputs!$F$9/1000)^2/4)*((Inputs!$F$9/1000/4)^(2/3))*SQRT(N96))</f>
        <v/>
      </c>
      <c r="AI96" s="9" t="str">
        <f aca="false">IF(A96="","",(1/Inputs!$B$9)*(PI()*(Inputs!$F$10/1000)^2/4)*((Inputs!$F$10/1000/4)^(2/3))*SQRT(N96))</f>
        <v/>
      </c>
      <c r="AJ96" s="9" t="str">
        <f aca="false">IF(A96="","",(1/Inputs!$B$9)*(PI()*(Inputs!$F$11/1000)^2/4)*((Inputs!$F$11/1000/4)^(2/3))*SQRT(N96))</f>
        <v/>
      </c>
      <c r="AK96" s="9" t="str">
        <f aca="false">IF(A96="","",(1/Inputs!$B$9)*(PI()*(Inputs!$F$12/1000)^2/4)*((Inputs!$F$12/1000/4)^(2/3))*SQRT(N96))</f>
        <v/>
      </c>
      <c r="AL96" s="9" t="str">
        <f aca="false">IF(A96="","",(1/Inputs!$B$9)*(PI()*(Inputs!$F$13/1000)^2/4)*((Inputs!$F$13/1000/4)^(2/3))*SQRT(N96))</f>
        <v/>
      </c>
      <c r="AM96" s="9" t="str">
        <f aca="false">IF(A96="","",(1/Inputs!$B$9)*(PI()*(Inputs!$F$14/1000)^2/4)*((Inputs!$F$14/1000/4)^(2/3))*SQRT(N96))</f>
        <v/>
      </c>
      <c r="AN96" s="9" t="str">
        <f aca="false">IF(A96="","",COUNTIF($B$4:$B$203,$A96))</f>
        <v/>
      </c>
      <c r="AO96" s="9" t="str">
        <f aca="false">IF(A96="","",IF(AN96=0,"START","CONTINUOUS"))</f>
        <v/>
      </c>
      <c r="AP96" s="13" t="str">
        <f aca="false">IF(A96="","",IF(H96="",Inputs!$B$18,H96))</f>
        <v/>
      </c>
      <c r="AQ96" s="13" t="str">
        <f aca="false">IF(A96="","",IFERROR(maxifs($AS$4:$AS$203,$B$4:$B$203,$A96),""))</f>
        <v/>
      </c>
      <c r="AR96" s="13" t="str">
        <f aca="false">IF(A96="","",IF(OR(C96="",Inputs!$B$23=""),"",C96/(Inputs!$B$23*60)))</f>
        <v/>
      </c>
      <c r="AS96" s="13" t="str">
        <f aca="false">IF(A96="","",IF(AN96=0,AP96+AR96,IF(AQ96="",AP96+AR96,AQ96+AR96)))</f>
        <v/>
      </c>
      <c r="AT96" s="13" t="str">
        <f aca="false">IF(A96="","",U96)</f>
        <v/>
      </c>
      <c r="AU96" s="13" t="str">
        <f aca="false">IF(OR(R96="",N96=""),"",(1/Inputs!$B$9)*((R96/4)^(2/3))*SQRT(N96))</f>
        <v/>
      </c>
      <c r="AV96" s="13" t="str">
        <f aca="false">IF(A96="","",IF(AND(AT96="",AU96="",AX96=""),"",IF(OR(UPPER(TRIM(Inputs!$B$24))="MANNING",UPPER(TRIM(Inputs!$B$24))="M"),AU96,IF(OR(UPPER(TRIM(Inputs!$B$24))="PARTIAL",UPPER(TRIM(Inputs!$B$24))="P"),AX96,IF(OR(UPPER(TRIM(Inputs!$B$24))="MAX",UPPER(TRIM(Inputs!$B$24))="X"),MAX(IF(AT96="",0,AT96),IF(AU96="",0,AU96),IF(AX96="",0,AX96)),AT96)))))</f>
        <v/>
      </c>
      <c r="AW96" s="13" t="str">
        <f aca="false">IF(AY96="","",CE96)</f>
        <v/>
      </c>
      <c r="AX96" s="13" t="str">
        <f aca="false">IF(OR(AY96="",AW96="",R96="",R96&lt;=0,AW96&lt;=0),"",AY96/((R96^2/8)*(2*ACOS(1-2*AW96/R96)-SIN(2*ACOS(1-2*AW96/R96)))))</f>
        <v/>
      </c>
      <c r="AY96" s="9" t="str">
        <f aca="false">IF(OR(L96="",AZ96=""),"",MIN(L96,AZ96))</f>
        <v/>
      </c>
      <c r="AZ96" s="9" t="str">
        <f aca="false">IF(OR(L96="",R96="",N96=""),"",IF(OR(R96="",N96="",(0.94*R96)="",R96&lt;=0,(0.94*R96)&lt;=0),"",(1/Inputs!$B$9)*((R96^2/8)*((2*ACOS(1-2*(0.94*R96)/R96))-SIN((2*ACOS(1-2*(0.94*R96)/R96)))))*((((R96^2/8)*((2*ACOS(1-2*(0.94*R96)/R96))-SIN((2*ACOS(1-2*(0.94*R96)/R96)))))/((R96/2)*((2*ACOS(1-2*(0.94*R96)/R96)))))^(2/3))*SQRT(N96)))</f>
        <v/>
      </c>
      <c r="BA96" s="9" t="str">
        <f aca="false">IF(AY96="","",0.001*R96)</f>
        <v/>
      </c>
      <c r="BB96" s="9" t="str">
        <f aca="false">IF(AY96="","",0.94*R96)</f>
        <v/>
      </c>
      <c r="BC96" s="9" t="str">
        <f aca="false">IF(AY96="","",(BA96+BB96)/2)</f>
        <v/>
      </c>
      <c r="BD96" s="9" t="str">
        <f aca="false">IF(OR(R96="",N96="",BC96="",R96&lt;=0,BC96&lt;=0),"",(1/Inputs!$B$9)*((R96^2/8)*((2*ACOS(1-2*BC96/R96))-SIN((2*ACOS(1-2*BC96/R96)))))*((((R96^2/8)*((2*ACOS(1-2*BC96/R96))-SIN((2*ACOS(1-2*BC96/R96)))))/((R96/2)*((2*ACOS(1-2*BC96/R96)))))^(2/3))*SQRT(N96))</f>
        <v/>
      </c>
      <c r="BE96" s="9" t="str">
        <f aca="false">IF(AY96="","",IF(BD96&lt;AY96,BC96,BA96))</f>
        <v/>
      </c>
      <c r="BF96" s="9" t="str">
        <f aca="false">IF(AY96="","",IF(BD96&lt;AY96,BB96,BC96))</f>
        <v/>
      </c>
      <c r="BG96" s="9" t="str">
        <f aca="false">IF(AY96="","",(BE96+BF96)/2)</f>
        <v/>
      </c>
      <c r="BH96" s="9" t="str">
        <f aca="false">IF(OR(R96="",N96="",BG96="",R96&lt;=0,BG96&lt;=0),"",(1/Inputs!$B$9)*((R96^2/8)*((2*ACOS(1-2*BG96/R96))-SIN((2*ACOS(1-2*BG96/R96)))))*((((R96^2/8)*((2*ACOS(1-2*BG96/R96))-SIN((2*ACOS(1-2*BG96/R96)))))/((R96/2)*((2*ACOS(1-2*BG96/R96)))))^(2/3))*SQRT(N96))</f>
        <v/>
      </c>
      <c r="BI96" s="9" t="str">
        <f aca="false">IF(AY96="","",IF(BH96&lt;AY96,BG96,BE96))</f>
        <v/>
      </c>
      <c r="BJ96" s="9" t="str">
        <f aca="false">IF(AY96="","",IF(BH96&lt;AY96,BF96,BG96))</f>
        <v/>
      </c>
      <c r="BK96" s="9" t="str">
        <f aca="false">IF(AY96="","",(BI96+BJ96)/2)</f>
        <v/>
      </c>
      <c r="BL96" s="9" t="str">
        <f aca="false">IF(OR(R96="",N96="",BK96="",R96&lt;=0,BK96&lt;=0),"",(1/Inputs!$B$9)*((R96^2/8)*((2*ACOS(1-2*BK96/R96))-SIN((2*ACOS(1-2*BK96/R96)))))*((((R96^2/8)*((2*ACOS(1-2*BK96/R96))-SIN((2*ACOS(1-2*BK96/R96)))))/((R96/2)*((2*ACOS(1-2*BK96/R96)))))^(2/3))*SQRT(N96))</f>
        <v/>
      </c>
      <c r="BM96" s="9" t="str">
        <f aca="false">IF(AY96="","",IF(BL96&lt;AY96,BK96,BI96))</f>
        <v/>
      </c>
      <c r="BN96" s="9" t="str">
        <f aca="false">IF(AY96="","",IF(BL96&lt;AY96,BJ96,BK96))</f>
        <v/>
      </c>
      <c r="BO96" s="9" t="str">
        <f aca="false">IF(AY96="","",(BM96+BN96)/2)</f>
        <v/>
      </c>
      <c r="BP96" s="9" t="str">
        <f aca="false">IF(OR(R96="",N96="",BO96="",R96&lt;=0,BO96&lt;=0),"",(1/Inputs!$B$9)*((R96^2/8)*((2*ACOS(1-2*BO96/R96))-SIN((2*ACOS(1-2*BO96/R96)))))*((((R96^2/8)*((2*ACOS(1-2*BO96/R96))-SIN((2*ACOS(1-2*BO96/R96)))))/((R96/2)*((2*ACOS(1-2*BO96/R96)))))^(2/3))*SQRT(N96))</f>
        <v/>
      </c>
      <c r="BQ96" s="9" t="str">
        <f aca="false">IF(AY96="","",IF(BP96&lt;AY96,BO96,BM96))</f>
        <v/>
      </c>
      <c r="BR96" s="9" t="str">
        <f aca="false">IF(AY96="","",IF(BP96&lt;AY96,BN96,BO96))</f>
        <v/>
      </c>
      <c r="BS96" s="9" t="str">
        <f aca="false">IF(AY96="","",(BQ96+BR96)/2)</f>
        <v/>
      </c>
      <c r="BT96" s="9" t="str">
        <f aca="false">IF(OR(R96="",N96="",BS96="",R96&lt;=0,BS96&lt;=0),"",(1/Inputs!$B$9)*((R96^2/8)*((2*ACOS(1-2*BS96/R96))-SIN((2*ACOS(1-2*BS96/R96)))))*((((R96^2/8)*((2*ACOS(1-2*BS96/R96))-SIN((2*ACOS(1-2*BS96/R96)))))/((R96/2)*((2*ACOS(1-2*BS96/R96)))))^(2/3))*SQRT(N96))</f>
        <v/>
      </c>
      <c r="BU96" s="9" t="str">
        <f aca="false">IF(AY96="","",IF(BT96&lt;AY96,BS96,BQ96))</f>
        <v/>
      </c>
      <c r="BV96" s="9" t="str">
        <f aca="false">IF(AY96="","",IF(BT96&lt;AY96,BR96,BS96))</f>
        <v/>
      </c>
      <c r="BW96" s="9" t="str">
        <f aca="false">IF(AY96="","",(BU96+BV96)/2)</f>
        <v/>
      </c>
      <c r="BX96" s="9" t="str">
        <f aca="false">IF(OR(R96="",N96="",BW96="",R96&lt;=0,BW96&lt;=0),"",(1/Inputs!$B$9)*((R96^2/8)*((2*ACOS(1-2*BW96/R96))-SIN((2*ACOS(1-2*BW96/R96)))))*((((R96^2/8)*((2*ACOS(1-2*BW96/R96))-SIN((2*ACOS(1-2*BW96/R96)))))/((R96/2)*((2*ACOS(1-2*BW96/R96)))))^(2/3))*SQRT(N96))</f>
        <v/>
      </c>
      <c r="BY96" s="9" t="str">
        <f aca="false">IF(AY96="","",IF(BX96&lt;AY96,BW96,BU96))</f>
        <v/>
      </c>
      <c r="BZ96" s="9" t="str">
        <f aca="false">IF(AY96="","",IF(BX96&lt;AY96,BV96,BW96))</f>
        <v/>
      </c>
      <c r="CA96" s="9" t="str">
        <f aca="false">IF(AY96="","",(BY96+BZ96)/2)</f>
        <v/>
      </c>
      <c r="CB96" s="9" t="str">
        <f aca="false">IF(OR(R96="",N96="",CA96="",R96&lt;=0,CA96&lt;=0),"",(1/Inputs!$B$9)*((R96^2/8)*((2*ACOS(1-2*CA96/R96))-SIN((2*ACOS(1-2*CA96/R96)))))*((((R96^2/8)*((2*ACOS(1-2*CA96/R96))-SIN((2*ACOS(1-2*CA96/R96)))))/((R96/2)*((2*ACOS(1-2*CA96/R96)))))^(2/3))*SQRT(N96))</f>
        <v/>
      </c>
      <c r="CC96" s="9" t="str">
        <f aca="false">IF(AY96="","",IF(CB96&lt;AY96,CA96,BY96))</f>
        <v/>
      </c>
      <c r="CD96" s="9" t="str">
        <f aca="false">IF(AY96="","",IF(CB96&lt;AY96,BZ96,CA96))</f>
        <v/>
      </c>
      <c r="CE96" s="9" t="str">
        <f aca="false">IF(AY96="","",(CC96+CD96)/2)</f>
        <v/>
      </c>
    </row>
    <row r="97" customFormat="false" ht="15" hidden="false" customHeight="false" outlineLevel="0" collapsed="false">
      <c r="A97" s="9"/>
      <c r="B97" s="9"/>
      <c r="C97" s="14"/>
      <c r="D97" s="14"/>
      <c r="E97" s="14" t="n">
        <f aca="false">SUMIFS(CB_Tributaires!$C:$C,CB_Tributaires!$B:$B,$A97)</f>
        <v>0</v>
      </c>
      <c r="F97" s="14" t="n">
        <f aca="false">IF(D97="",E97,D97)</f>
        <v>0</v>
      </c>
      <c r="G97" s="9"/>
      <c r="H97" s="14"/>
      <c r="I97" s="14" t="str">
        <f aca="false">IF(A97="","",Inputs!$B$13/((IF(AS97="",Inputs!$B$18,AS97)+Inputs!$B$14)^Inputs!$B$15))</f>
        <v/>
      </c>
      <c r="J97" s="14" t="str">
        <f aca="false">IF(A97="","",0.000000278*IF(G97="",Inputs!$B$17,G97)*F97*I97)</f>
        <v/>
      </c>
      <c r="K97" s="14" t="str">
        <f aca="false">IF(A97="","",SUMIFS($L$4:$L$203,$B$4:$B$203,$A97))</f>
        <v/>
      </c>
      <c r="L97" s="14" t="str">
        <f aca="false">IF(A97="","",(J97+K97)*Inputs!$B$16)</f>
        <v/>
      </c>
      <c r="M97" s="14"/>
      <c r="N97" s="14" t="str">
        <f aca="false">IF(A97="","",IF(M97="",Inputs!$B$7,M97))</f>
        <v/>
      </c>
      <c r="O97" s="9" t="str">
        <f aca="false">IF(A97="","",IF(L97/Inputs!$B$10&lt;=AD97,Inputs!$F$5,IF(L97/Inputs!$B$10&gt;AM97,"OVERSIZE",INDEX(Inputs!$F$5:$F$14,MATCH(L97/Inputs!$B$10,AD97:AM97,1)+1))))</f>
        <v/>
      </c>
      <c r="P97" s="9"/>
      <c r="Q97" s="9" t="str">
        <f aca="false">IF(A97="","",IF(P97="",O97,P97))</f>
        <v/>
      </c>
      <c r="R97" s="14" t="str">
        <f aca="false">IF(OR(Q97="",Q97="OVERSIZE"),"",Q97/1000)</f>
        <v/>
      </c>
      <c r="S97" s="14" t="str">
        <f aca="false">IF(R97="","",(1/Inputs!$B$9)*(PI()*R97^2/4)*((R97/4)^(2/3))*SQRT(N97))</f>
        <v/>
      </c>
      <c r="T97" s="14" t="str">
        <f aca="false">IF(OR(S97="",L97=""),"",L97/(S97*Inputs!$B$10))</f>
        <v/>
      </c>
      <c r="U97" s="14" t="str">
        <f aca="false">IF(OR(R97="",L97=""),"",4*L97/(PI()*R97^2))</f>
        <v/>
      </c>
      <c r="V97" s="14"/>
      <c r="W97" s="14" t="str">
        <f aca="false">IF(A97="","",IF(A97=Inputs!$B$6,Inputs!$B$22,IF(B97="","",IFERROR(INDEX($X$4:$X$203,MATCH(B97,$A$4:$A$203,0))+IF(V97="",Inputs!$B$20,V97),""))))</f>
        <v/>
      </c>
      <c r="X97" s="14" t="str">
        <f aca="false">IF(OR(W97="",N97="",C97=""),"",W97+N97*C97)</f>
        <v/>
      </c>
      <c r="Y97" s="14"/>
      <c r="Z97" s="14"/>
      <c r="AA97" s="14" t="str">
        <f aca="false">IF(OR(Y97="",W97=""),"",Y97-W97)</f>
        <v/>
      </c>
      <c r="AB97" s="14" t="str">
        <f aca="false">IF(OR(Z97="",X97=""),"",Z97-X97)</f>
        <v/>
      </c>
      <c r="AC97" s="19" t="str">
        <f aca="false">IF(A97="","",IF(OR(T97&gt;1,AND(AV97&lt;&gt;"",AV97&lt;Inputs!$B$11),AND(AV97&lt;&gt;"",AV97&gt;Inputs!$B$12),AA97&lt;Inputs!$B$19,AB97&lt;Inputs!$B$19,N97&lt;Inputs!$B$7,N97&gt;Inputs!$B$8),"CHECK","OK"))</f>
        <v/>
      </c>
      <c r="AD97" s="9" t="str">
        <f aca="false">IF(A97="","",(1/Inputs!$B$9)*(PI()*(Inputs!$F$5/1000)^2/4)*((Inputs!$F$5/1000/4)^(2/3))*SQRT(N97))</f>
        <v/>
      </c>
      <c r="AE97" s="9" t="str">
        <f aca="false">IF(A97="","",(1/Inputs!$B$9)*(PI()*(Inputs!$F$6/1000)^2/4)*((Inputs!$F$6/1000/4)^(2/3))*SQRT(N97))</f>
        <v/>
      </c>
      <c r="AF97" s="9" t="str">
        <f aca="false">IF(A97="","",(1/Inputs!$B$9)*(PI()*(Inputs!$F$7/1000)^2/4)*((Inputs!$F$7/1000/4)^(2/3))*SQRT(N97))</f>
        <v/>
      </c>
      <c r="AG97" s="9" t="str">
        <f aca="false">IF(A97="","",(1/Inputs!$B$9)*(PI()*(Inputs!$F$8/1000)^2/4)*((Inputs!$F$8/1000/4)^(2/3))*SQRT(N97))</f>
        <v/>
      </c>
      <c r="AH97" s="9" t="str">
        <f aca="false">IF(A97="","",(1/Inputs!$B$9)*(PI()*(Inputs!$F$9/1000)^2/4)*((Inputs!$F$9/1000/4)^(2/3))*SQRT(N97))</f>
        <v/>
      </c>
      <c r="AI97" s="9" t="str">
        <f aca="false">IF(A97="","",(1/Inputs!$B$9)*(PI()*(Inputs!$F$10/1000)^2/4)*((Inputs!$F$10/1000/4)^(2/3))*SQRT(N97))</f>
        <v/>
      </c>
      <c r="AJ97" s="9" t="str">
        <f aca="false">IF(A97="","",(1/Inputs!$B$9)*(PI()*(Inputs!$F$11/1000)^2/4)*((Inputs!$F$11/1000/4)^(2/3))*SQRT(N97))</f>
        <v/>
      </c>
      <c r="AK97" s="9" t="str">
        <f aca="false">IF(A97="","",(1/Inputs!$B$9)*(PI()*(Inputs!$F$12/1000)^2/4)*((Inputs!$F$12/1000/4)^(2/3))*SQRT(N97))</f>
        <v/>
      </c>
      <c r="AL97" s="9" t="str">
        <f aca="false">IF(A97="","",(1/Inputs!$B$9)*(PI()*(Inputs!$F$13/1000)^2/4)*((Inputs!$F$13/1000/4)^(2/3))*SQRT(N97))</f>
        <v/>
      </c>
      <c r="AM97" s="9" t="str">
        <f aca="false">IF(A97="","",(1/Inputs!$B$9)*(PI()*(Inputs!$F$14/1000)^2/4)*((Inputs!$F$14/1000/4)^(2/3))*SQRT(N97))</f>
        <v/>
      </c>
      <c r="AN97" s="9" t="str">
        <f aca="false">IF(A97="","",COUNTIF($B$4:$B$203,$A97))</f>
        <v/>
      </c>
      <c r="AO97" s="9" t="str">
        <f aca="false">IF(A97="","",IF(AN97=0,"START","CONTINUOUS"))</f>
        <v/>
      </c>
      <c r="AP97" s="13" t="str">
        <f aca="false">IF(A97="","",IF(H97="",Inputs!$B$18,H97))</f>
        <v/>
      </c>
      <c r="AQ97" s="13" t="str">
        <f aca="false">IF(A97="","",IFERROR(maxifs($AS$4:$AS$203,$B$4:$B$203,$A97),""))</f>
        <v/>
      </c>
      <c r="AR97" s="13" t="str">
        <f aca="false">IF(A97="","",IF(OR(C97="",Inputs!$B$23=""),"",C97/(Inputs!$B$23*60)))</f>
        <v/>
      </c>
      <c r="AS97" s="13" t="str">
        <f aca="false">IF(A97="","",IF(AN97=0,AP97+AR97,IF(AQ97="",AP97+AR97,AQ97+AR97)))</f>
        <v/>
      </c>
      <c r="AT97" s="13" t="str">
        <f aca="false">IF(A97="","",U97)</f>
        <v/>
      </c>
      <c r="AU97" s="13" t="str">
        <f aca="false">IF(OR(R97="",N97=""),"",(1/Inputs!$B$9)*((R97/4)^(2/3))*SQRT(N97))</f>
        <v/>
      </c>
      <c r="AV97" s="13" t="str">
        <f aca="false">IF(A97="","",IF(AND(AT97="",AU97="",AX97=""),"",IF(OR(UPPER(TRIM(Inputs!$B$24))="MANNING",UPPER(TRIM(Inputs!$B$24))="M"),AU97,IF(OR(UPPER(TRIM(Inputs!$B$24))="PARTIAL",UPPER(TRIM(Inputs!$B$24))="P"),AX97,IF(OR(UPPER(TRIM(Inputs!$B$24))="MAX",UPPER(TRIM(Inputs!$B$24))="X"),MAX(IF(AT97="",0,AT97),IF(AU97="",0,AU97),IF(AX97="",0,AX97)),AT97)))))</f>
        <v/>
      </c>
      <c r="AW97" s="13" t="str">
        <f aca="false">IF(AY97="","",CE97)</f>
        <v/>
      </c>
      <c r="AX97" s="13" t="str">
        <f aca="false">IF(OR(AY97="",AW97="",R97="",R97&lt;=0,AW97&lt;=0),"",AY97/((R97^2/8)*(2*ACOS(1-2*AW97/R97)-SIN(2*ACOS(1-2*AW97/R97)))))</f>
        <v/>
      </c>
      <c r="AY97" s="9" t="str">
        <f aca="false">IF(OR(L97="",AZ97=""),"",MIN(L97,AZ97))</f>
        <v/>
      </c>
      <c r="AZ97" s="9" t="str">
        <f aca="false">IF(OR(L97="",R97="",N97=""),"",IF(OR(R97="",N97="",(0.94*R97)="",R97&lt;=0,(0.94*R97)&lt;=0),"",(1/Inputs!$B$9)*((R97^2/8)*((2*ACOS(1-2*(0.94*R97)/R97))-SIN((2*ACOS(1-2*(0.94*R97)/R97)))))*((((R97^2/8)*((2*ACOS(1-2*(0.94*R97)/R97))-SIN((2*ACOS(1-2*(0.94*R97)/R97)))))/((R97/2)*((2*ACOS(1-2*(0.94*R97)/R97)))))^(2/3))*SQRT(N97)))</f>
        <v/>
      </c>
      <c r="BA97" s="9" t="str">
        <f aca="false">IF(AY97="","",0.001*R97)</f>
        <v/>
      </c>
      <c r="BB97" s="9" t="str">
        <f aca="false">IF(AY97="","",0.94*R97)</f>
        <v/>
      </c>
      <c r="BC97" s="9" t="str">
        <f aca="false">IF(AY97="","",(BA97+BB97)/2)</f>
        <v/>
      </c>
      <c r="BD97" s="9" t="str">
        <f aca="false">IF(OR(R97="",N97="",BC97="",R97&lt;=0,BC97&lt;=0),"",(1/Inputs!$B$9)*((R97^2/8)*((2*ACOS(1-2*BC97/R97))-SIN((2*ACOS(1-2*BC97/R97)))))*((((R97^2/8)*((2*ACOS(1-2*BC97/R97))-SIN((2*ACOS(1-2*BC97/R97)))))/((R97/2)*((2*ACOS(1-2*BC97/R97)))))^(2/3))*SQRT(N97))</f>
        <v/>
      </c>
      <c r="BE97" s="9" t="str">
        <f aca="false">IF(AY97="","",IF(BD97&lt;AY97,BC97,BA97))</f>
        <v/>
      </c>
      <c r="BF97" s="9" t="str">
        <f aca="false">IF(AY97="","",IF(BD97&lt;AY97,BB97,BC97))</f>
        <v/>
      </c>
      <c r="BG97" s="9" t="str">
        <f aca="false">IF(AY97="","",(BE97+BF97)/2)</f>
        <v/>
      </c>
      <c r="BH97" s="9" t="str">
        <f aca="false">IF(OR(R97="",N97="",BG97="",R97&lt;=0,BG97&lt;=0),"",(1/Inputs!$B$9)*((R97^2/8)*((2*ACOS(1-2*BG97/R97))-SIN((2*ACOS(1-2*BG97/R97)))))*((((R97^2/8)*((2*ACOS(1-2*BG97/R97))-SIN((2*ACOS(1-2*BG97/R97)))))/((R97/2)*((2*ACOS(1-2*BG97/R97)))))^(2/3))*SQRT(N97))</f>
        <v/>
      </c>
      <c r="BI97" s="9" t="str">
        <f aca="false">IF(AY97="","",IF(BH97&lt;AY97,BG97,BE97))</f>
        <v/>
      </c>
      <c r="BJ97" s="9" t="str">
        <f aca="false">IF(AY97="","",IF(BH97&lt;AY97,BF97,BG97))</f>
        <v/>
      </c>
      <c r="BK97" s="9" t="str">
        <f aca="false">IF(AY97="","",(BI97+BJ97)/2)</f>
        <v/>
      </c>
      <c r="BL97" s="9" t="str">
        <f aca="false">IF(OR(R97="",N97="",BK97="",R97&lt;=0,BK97&lt;=0),"",(1/Inputs!$B$9)*((R97^2/8)*((2*ACOS(1-2*BK97/R97))-SIN((2*ACOS(1-2*BK97/R97)))))*((((R97^2/8)*((2*ACOS(1-2*BK97/R97))-SIN((2*ACOS(1-2*BK97/R97)))))/((R97/2)*((2*ACOS(1-2*BK97/R97)))))^(2/3))*SQRT(N97))</f>
        <v/>
      </c>
      <c r="BM97" s="9" t="str">
        <f aca="false">IF(AY97="","",IF(BL97&lt;AY97,BK97,BI97))</f>
        <v/>
      </c>
      <c r="BN97" s="9" t="str">
        <f aca="false">IF(AY97="","",IF(BL97&lt;AY97,BJ97,BK97))</f>
        <v/>
      </c>
      <c r="BO97" s="9" t="str">
        <f aca="false">IF(AY97="","",(BM97+BN97)/2)</f>
        <v/>
      </c>
      <c r="BP97" s="9" t="str">
        <f aca="false">IF(OR(R97="",N97="",BO97="",R97&lt;=0,BO97&lt;=0),"",(1/Inputs!$B$9)*((R97^2/8)*((2*ACOS(1-2*BO97/R97))-SIN((2*ACOS(1-2*BO97/R97)))))*((((R97^2/8)*((2*ACOS(1-2*BO97/R97))-SIN((2*ACOS(1-2*BO97/R97)))))/((R97/2)*((2*ACOS(1-2*BO97/R97)))))^(2/3))*SQRT(N97))</f>
        <v/>
      </c>
      <c r="BQ97" s="9" t="str">
        <f aca="false">IF(AY97="","",IF(BP97&lt;AY97,BO97,BM97))</f>
        <v/>
      </c>
      <c r="BR97" s="9" t="str">
        <f aca="false">IF(AY97="","",IF(BP97&lt;AY97,BN97,BO97))</f>
        <v/>
      </c>
      <c r="BS97" s="9" t="str">
        <f aca="false">IF(AY97="","",(BQ97+BR97)/2)</f>
        <v/>
      </c>
      <c r="BT97" s="9" t="str">
        <f aca="false">IF(OR(R97="",N97="",BS97="",R97&lt;=0,BS97&lt;=0),"",(1/Inputs!$B$9)*((R97^2/8)*((2*ACOS(1-2*BS97/R97))-SIN((2*ACOS(1-2*BS97/R97)))))*((((R97^2/8)*((2*ACOS(1-2*BS97/R97))-SIN((2*ACOS(1-2*BS97/R97)))))/((R97/2)*((2*ACOS(1-2*BS97/R97)))))^(2/3))*SQRT(N97))</f>
        <v/>
      </c>
      <c r="BU97" s="9" t="str">
        <f aca="false">IF(AY97="","",IF(BT97&lt;AY97,BS97,BQ97))</f>
        <v/>
      </c>
      <c r="BV97" s="9" t="str">
        <f aca="false">IF(AY97="","",IF(BT97&lt;AY97,BR97,BS97))</f>
        <v/>
      </c>
      <c r="BW97" s="9" t="str">
        <f aca="false">IF(AY97="","",(BU97+BV97)/2)</f>
        <v/>
      </c>
      <c r="BX97" s="9" t="str">
        <f aca="false">IF(OR(R97="",N97="",BW97="",R97&lt;=0,BW97&lt;=0),"",(1/Inputs!$B$9)*((R97^2/8)*((2*ACOS(1-2*BW97/R97))-SIN((2*ACOS(1-2*BW97/R97)))))*((((R97^2/8)*((2*ACOS(1-2*BW97/R97))-SIN((2*ACOS(1-2*BW97/R97)))))/((R97/2)*((2*ACOS(1-2*BW97/R97)))))^(2/3))*SQRT(N97))</f>
        <v/>
      </c>
      <c r="BY97" s="9" t="str">
        <f aca="false">IF(AY97="","",IF(BX97&lt;AY97,BW97,BU97))</f>
        <v/>
      </c>
      <c r="BZ97" s="9" t="str">
        <f aca="false">IF(AY97="","",IF(BX97&lt;AY97,BV97,BW97))</f>
        <v/>
      </c>
      <c r="CA97" s="9" t="str">
        <f aca="false">IF(AY97="","",(BY97+BZ97)/2)</f>
        <v/>
      </c>
      <c r="CB97" s="9" t="str">
        <f aca="false">IF(OR(R97="",N97="",CA97="",R97&lt;=0,CA97&lt;=0),"",(1/Inputs!$B$9)*((R97^2/8)*((2*ACOS(1-2*CA97/R97))-SIN((2*ACOS(1-2*CA97/R97)))))*((((R97^2/8)*((2*ACOS(1-2*CA97/R97))-SIN((2*ACOS(1-2*CA97/R97)))))/((R97/2)*((2*ACOS(1-2*CA97/R97)))))^(2/3))*SQRT(N97))</f>
        <v/>
      </c>
      <c r="CC97" s="9" t="str">
        <f aca="false">IF(AY97="","",IF(CB97&lt;AY97,CA97,BY97))</f>
        <v/>
      </c>
      <c r="CD97" s="9" t="str">
        <f aca="false">IF(AY97="","",IF(CB97&lt;AY97,BZ97,CA97))</f>
        <v/>
      </c>
      <c r="CE97" s="9" t="str">
        <f aca="false">IF(AY97="","",(CC97+CD97)/2)</f>
        <v/>
      </c>
    </row>
    <row r="98" customFormat="false" ht="15" hidden="false" customHeight="false" outlineLevel="0" collapsed="false">
      <c r="A98" s="9"/>
      <c r="B98" s="9"/>
      <c r="C98" s="14"/>
      <c r="D98" s="14"/>
      <c r="E98" s="14" t="n">
        <f aca="false">SUMIFS(CB_Tributaires!$C:$C,CB_Tributaires!$B:$B,$A98)</f>
        <v>0</v>
      </c>
      <c r="F98" s="14" t="n">
        <f aca="false">IF(D98="",E98,D98)</f>
        <v>0</v>
      </c>
      <c r="G98" s="9"/>
      <c r="H98" s="14"/>
      <c r="I98" s="14" t="str">
        <f aca="false">IF(A98="","",Inputs!$B$13/((IF(AS98="",Inputs!$B$18,AS98)+Inputs!$B$14)^Inputs!$B$15))</f>
        <v/>
      </c>
      <c r="J98" s="14" t="str">
        <f aca="false">IF(A98="","",0.000000278*IF(G98="",Inputs!$B$17,G98)*F98*I98)</f>
        <v/>
      </c>
      <c r="K98" s="14" t="str">
        <f aca="false">IF(A98="","",SUMIFS($L$4:$L$203,$B$4:$B$203,$A98))</f>
        <v/>
      </c>
      <c r="L98" s="14" t="str">
        <f aca="false">IF(A98="","",(J98+K98)*Inputs!$B$16)</f>
        <v/>
      </c>
      <c r="M98" s="14"/>
      <c r="N98" s="14" t="str">
        <f aca="false">IF(A98="","",IF(M98="",Inputs!$B$7,M98))</f>
        <v/>
      </c>
      <c r="O98" s="9" t="str">
        <f aca="false">IF(A98="","",IF(L98/Inputs!$B$10&lt;=AD98,Inputs!$F$5,IF(L98/Inputs!$B$10&gt;AM98,"OVERSIZE",INDEX(Inputs!$F$5:$F$14,MATCH(L98/Inputs!$B$10,AD98:AM98,1)+1))))</f>
        <v/>
      </c>
      <c r="P98" s="9"/>
      <c r="Q98" s="9" t="str">
        <f aca="false">IF(A98="","",IF(P98="",O98,P98))</f>
        <v/>
      </c>
      <c r="R98" s="14" t="str">
        <f aca="false">IF(OR(Q98="",Q98="OVERSIZE"),"",Q98/1000)</f>
        <v/>
      </c>
      <c r="S98" s="14" t="str">
        <f aca="false">IF(R98="","",(1/Inputs!$B$9)*(PI()*R98^2/4)*((R98/4)^(2/3))*SQRT(N98))</f>
        <v/>
      </c>
      <c r="T98" s="14" t="str">
        <f aca="false">IF(OR(S98="",L98=""),"",L98/(S98*Inputs!$B$10))</f>
        <v/>
      </c>
      <c r="U98" s="14" t="str">
        <f aca="false">IF(OR(R98="",L98=""),"",4*L98/(PI()*R98^2))</f>
        <v/>
      </c>
      <c r="V98" s="14"/>
      <c r="W98" s="14" t="str">
        <f aca="false">IF(A98="","",IF(A98=Inputs!$B$6,Inputs!$B$22,IF(B98="","",IFERROR(INDEX($X$4:$X$203,MATCH(B98,$A$4:$A$203,0))+IF(V98="",Inputs!$B$20,V98),""))))</f>
        <v/>
      </c>
      <c r="X98" s="14" t="str">
        <f aca="false">IF(OR(W98="",N98="",C98=""),"",W98+N98*C98)</f>
        <v/>
      </c>
      <c r="Y98" s="14"/>
      <c r="Z98" s="14"/>
      <c r="AA98" s="14" t="str">
        <f aca="false">IF(OR(Y98="",W98=""),"",Y98-W98)</f>
        <v/>
      </c>
      <c r="AB98" s="14" t="str">
        <f aca="false">IF(OR(Z98="",X98=""),"",Z98-X98)</f>
        <v/>
      </c>
      <c r="AC98" s="19" t="str">
        <f aca="false">IF(A98="","",IF(OR(T98&gt;1,AND(AV98&lt;&gt;"",AV98&lt;Inputs!$B$11),AND(AV98&lt;&gt;"",AV98&gt;Inputs!$B$12),AA98&lt;Inputs!$B$19,AB98&lt;Inputs!$B$19,N98&lt;Inputs!$B$7,N98&gt;Inputs!$B$8),"CHECK","OK"))</f>
        <v/>
      </c>
      <c r="AD98" s="9" t="str">
        <f aca="false">IF(A98="","",(1/Inputs!$B$9)*(PI()*(Inputs!$F$5/1000)^2/4)*((Inputs!$F$5/1000/4)^(2/3))*SQRT(N98))</f>
        <v/>
      </c>
      <c r="AE98" s="9" t="str">
        <f aca="false">IF(A98="","",(1/Inputs!$B$9)*(PI()*(Inputs!$F$6/1000)^2/4)*((Inputs!$F$6/1000/4)^(2/3))*SQRT(N98))</f>
        <v/>
      </c>
      <c r="AF98" s="9" t="str">
        <f aca="false">IF(A98="","",(1/Inputs!$B$9)*(PI()*(Inputs!$F$7/1000)^2/4)*((Inputs!$F$7/1000/4)^(2/3))*SQRT(N98))</f>
        <v/>
      </c>
      <c r="AG98" s="9" t="str">
        <f aca="false">IF(A98="","",(1/Inputs!$B$9)*(PI()*(Inputs!$F$8/1000)^2/4)*((Inputs!$F$8/1000/4)^(2/3))*SQRT(N98))</f>
        <v/>
      </c>
      <c r="AH98" s="9" t="str">
        <f aca="false">IF(A98="","",(1/Inputs!$B$9)*(PI()*(Inputs!$F$9/1000)^2/4)*((Inputs!$F$9/1000/4)^(2/3))*SQRT(N98))</f>
        <v/>
      </c>
      <c r="AI98" s="9" t="str">
        <f aca="false">IF(A98="","",(1/Inputs!$B$9)*(PI()*(Inputs!$F$10/1000)^2/4)*((Inputs!$F$10/1000/4)^(2/3))*SQRT(N98))</f>
        <v/>
      </c>
      <c r="AJ98" s="9" t="str">
        <f aca="false">IF(A98="","",(1/Inputs!$B$9)*(PI()*(Inputs!$F$11/1000)^2/4)*((Inputs!$F$11/1000/4)^(2/3))*SQRT(N98))</f>
        <v/>
      </c>
      <c r="AK98" s="9" t="str">
        <f aca="false">IF(A98="","",(1/Inputs!$B$9)*(PI()*(Inputs!$F$12/1000)^2/4)*((Inputs!$F$12/1000/4)^(2/3))*SQRT(N98))</f>
        <v/>
      </c>
      <c r="AL98" s="9" t="str">
        <f aca="false">IF(A98="","",(1/Inputs!$B$9)*(PI()*(Inputs!$F$13/1000)^2/4)*((Inputs!$F$13/1000/4)^(2/3))*SQRT(N98))</f>
        <v/>
      </c>
      <c r="AM98" s="9" t="str">
        <f aca="false">IF(A98="","",(1/Inputs!$B$9)*(PI()*(Inputs!$F$14/1000)^2/4)*((Inputs!$F$14/1000/4)^(2/3))*SQRT(N98))</f>
        <v/>
      </c>
      <c r="AN98" s="9" t="str">
        <f aca="false">IF(A98="","",COUNTIF($B$4:$B$203,$A98))</f>
        <v/>
      </c>
      <c r="AO98" s="9" t="str">
        <f aca="false">IF(A98="","",IF(AN98=0,"START","CONTINUOUS"))</f>
        <v/>
      </c>
      <c r="AP98" s="13" t="str">
        <f aca="false">IF(A98="","",IF(H98="",Inputs!$B$18,H98))</f>
        <v/>
      </c>
      <c r="AQ98" s="13" t="str">
        <f aca="false">IF(A98="","",IFERROR(maxifs($AS$4:$AS$203,$B$4:$B$203,$A98),""))</f>
        <v/>
      </c>
      <c r="AR98" s="13" t="str">
        <f aca="false">IF(A98="","",IF(OR(C98="",Inputs!$B$23=""),"",C98/(Inputs!$B$23*60)))</f>
        <v/>
      </c>
      <c r="AS98" s="13" t="str">
        <f aca="false">IF(A98="","",IF(AN98=0,AP98+AR98,IF(AQ98="",AP98+AR98,AQ98+AR98)))</f>
        <v/>
      </c>
      <c r="AT98" s="13" t="str">
        <f aca="false">IF(A98="","",U98)</f>
        <v/>
      </c>
      <c r="AU98" s="13" t="str">
        <f aca="false">IF(OR(R98="",N98=""),"",(1/Inputs!$B$9)*((R98/4)^(2/3))*SQRT(N98))</f>
        <v/>
      </c>
      <c r="AV98" s="13" t="str">
        <f aca="false">IF(A98="","",IF(AND(AT98="",AU98="",AX98=""),"",IF(OR(UPPER(TRIM(Inputs!$B$24))="MANNING",UPPER(TRIM(Inputs!$B$24))="M"),AU98,IF(OR(UPPER(TRIM(Inputs!$B$24))="PARTIAL",UPPER(TRIM(Inputs!$B$24))="P"),AX98,IF(OR(UPPER(TRIM(Inputs!$B$24))="MAX",UPPER(TRIM(Inputs!$B$24))="X"),MAX(IF(AT98="",0,AT98),IF(AU98="",0,AU98),IF(AX98="",0,AX98)),AT98)))))</f>
        <v/>
      </c>
      <c r="AW98" s="13" t="str">
        <f aca="false">IF(AY98="","",CE98)</f>
        <v/>
      </c>
      <c r="AX98" s="13" t="str">
        <f aca="false">IF(OR(AY98="",AW98="",R98="",R98&lt;=0,AW98&lt;=0),"",AY98/((R98^2/8)*(2*ACOS(1-2*AW98/R98)-SIN(2*ACOS(1-2*AW98/R98)))))</f>
        <v/>
      </c>
      <c r="AY98" s="9" t="str">
        <f aca="false">IF(OR(L98="",AZ98=""),"",MIN(L98,AZ98))</f>
        <v/>
      </c>
      <c r="AZ98" s="9" t="str">
        <f aca="false">IF(OR(L98="",R98="",N98=""),"",IF(OR(R98="",N98="",(0.94*R98)="",R98&lt;=0,(0.94*R98)&lt;=0),"",(1/Inputs!$B$9)*((R98^2/8)*((2*ACOS(1-2*(0.94*R98)/R98))-SIN((2*ACOS(1-2*(0.94*R98)/R98)))))*((((R98^2/8)*((2*ACOS(1-2*(0.94*R98)/R98))-SIN((2*ACOS(1-2*(0.94*R98)/R98)))))/((R98/2)*((2*ACOS(1-2*(0.94*R98)/R98)))))^(2/3))*SQRT(N98)))</f>
        <v/>
      </c>
      <c r="BA98" s="9" t="str">
        <f aca="false">IF(AY98="","",0.001*R98)</f>
        <v/>
      </c>
      <c r="BB98" s="9" t="str">
        <f aca="false">IF(AY98="","",0.94*R98)</f>
        <v/>
      </c>
      <c r="BC98" s="9" t="str">
        <f aca="false">IF(AY98="","",(BA98+BB98)/2)</f>
        <v/>
      </c>
      <c r="BD98" s="9" t="str">
        <f aca="false">IF(OR(R98="",N98="",BC98="",R98&lt;=0,BC98&lt;=0),"",(1/Inputs!$B$9)*((R98^2/8)*((2*ACOS(1-2*BC98/R98))-SIN((2*ACOS(1-2*BC98/R98)))))*((((R98^2/8)*((2*ACOS(1-2*BC98/R98))-SIN((2*ACOS(1-2*BC98/R98)))))/((R98/2)*((2*ACOS(1-2*BC98/R98)))))^(2/3))*SQRT(N98))</f>
        <v/>
      </c>
      <c r="BE98" s="9" t="str">
        <f aca="false">IF(AY98="","",IF(BD98&lt;AY98,BC98,BA98))</f>
        <v/>
      </c>
      <c r="BF98" s="9" t="str">
        <f aca="false">IF(AY98="","",IF(BD98&lt;AY98,BB98,BC98))</f>
        <v/>
      </c>
      <c r="BG98" s="9" t="str">
        <f aca="false">IF(AY98="","",(BE98+BF98)/2)</f>
        <v/>
      </c>
      <c r="BH98" s="9" t="str">
        <f aca="false">IF(OR(R98="",N98="",BG98="",R98&lt;=0,BG98&lt;=0),"",(1/Inputs!$B$9)*((R98^2/8)*((2*ACOS(1-2*BG98/R98))-SIN((2*ACOS(1-2*BG98/R98)))))*((((R98^2/8)*((2*ACOS(1-2*BG98/R98))-SIN((2*ACOS(1-2*BG98/R98)))))/((R98/2)*((2*ACOS(1-2*BG98/R98)))))^(2/3))*SQRT(N98))</f>
        <v/>
      </c>
      <c r="BI98" s="9" t="str">
        <f aca="false">IF(AY98="","",IF(BH98&lt;AY98,BG98,BE98))</f>
        <v/>
      </c>
      <c r="BJ98" s="9" t="str">
        <f aca="false">IF(AY98="","",IF(BH98&lt;AY98,BF98,BG98))</f>
        <v/>
      </c>
      <c r="BK98" s="9" t="str">
        <f aca="false">IF(AY98="","",(BI98+BJ98)/2)</f>
        <v/>
      </c>
      <c r="BL98" s="9" t="str">
        <f aca="false">IF(OR(R98="",N98="",BK98="",R98&lt;=0,BK98&lt;=0),"",(1/Inputs!$B$9)*((R98^2/8)*((2*ACOS(1-2*BK98/R98))-SIN((2*ACOS(1-2*BK98/R98)))))*((((R98^2/8)*((2*ACOS(1-2*BK98/R98))-SIN((2*ACOS(1-2*BK98/R98)))))/((R98/2)*((2*ACOS(1-2*BK98/R98)))))^(2/3))*SQRT(N98))</f>
        <v/>
      </c>
      <c r="BM98" s="9" t="str">
        <f aca="false">IF(AY98="","",IF(BL98&lt;AY98,BK98,BI98))</f>
        <v/>
      </c>
      <c r="BN98" s="9" t="str">
        <f aca="false">IF(AY98="","",IF(BL98&lt;AY98,BJ98,BK98))</f>
        <v/>
      </c>
      <c r="BO98" s="9" t="str">
        <f aca="false">IF(AY98="","",(BM98+BN98)/2)</f>
        <v/>
      </c>
      <c r="BP98" s="9" t="str">
        <f aca="false">IF(OR(R98="",N98="",BO98="",R98&lt;=0,BO98&lt;=0),"",(1/Inputs!$B$9)*((R98^2/8)*((2*ACOS(1-2*BO98/R98))-SIN((2*ACOS(1-2*BO98/R98)))))*((((R98^2/8)*((2*ACOS(1-2*BO98/R98))-SIN((2*ACOS(1-2*BO98/R98)))))/((R98/2)*((2*ACOS(1-2*BO98/R98)))))^(2/3))*SQRT(N98))</f>
        <v/>
      </c>
      <c r="BQ98" s="9" t="str">
        <f aca="false">IF(AY98="","",IF(BP98&lt;AY98,BO98,BM98))</f>
        <v/>
      </c>
      <c r="BR98" s="9" t="str">
        <f aca="false">IF(AY98="","",IF(BP98&lt;AY98,BN98,BO98))</f>
        <v/>
      </c>
      <c r="BS98" s="9" t="str">
        <f aca="false">IF(AY98="","",(BQ98+BR98)/2)</f>
        <v/>
      </c>
      <c r="BT98" s="9" t="str">
        <f aca="false">IF(OR(R98="",N98="",BS98="",R98&lt;=0,BS98&lt;=0),"",(1/Inputs!$B$9)*((R98^2/8)*((2*ACOS(1-2*BS98/R98))-SIN((2*ACOS(1-2*BS98/R98)))))*((((R98^2/8)*((2*ACOS(1-2*BS98/R98))-SIN((2*ACOS(1-2*BS98/R98)))))/((R98/2)*((2*ACOS(1-2*BS98/R98)))))^(2/3))*SQRT(N98))</f>
        <v/>
      </c>
      <c r="BU98" s="9" t="str">
        <f aca="false">IF(AY98="","",IF(BT98&lt;AY98,BS98,BQ98))</f>
        <v/>
      </c>
      <c r="BV98" s="9" t="str">
        <f aca="false">IF(AY98="","",IF(BT98&lt;AY98,BR98,BS98))</f>
        <v/>
      </c>
      <c r="BW98" s="9" t="str">
        <f aca="false">IF(AY98="","",(BU98+BV98)/2)</f>
        <v/>
      </c>
      <c r="BX98" s="9" t="str">
        <f aca="false">IF(OR(R98="",N98="",BW98="",R98&lt;=0,BW98&lt;=0),"",(1/Inputs!$B$9)*((R98^2/8)*((2*ACOS(1-2*BW98/R98))-SIN((2*ACOS(1-2*BW98/R98)))))*((((R98^2/8)*((2*ACOS(1-2*BW98/R98))-SIN((2*ACOS(1-2*BW98/R98)))))/((R98/2)*((2*ACOS(1-2*BW98/R98)))))^(2/3))*SQRT(N98))</f>
        <v/>
      </c>
      <c r="BY98" s="9" t="str">
        <f aca="false">IF(AY98="","",IF(BX98&lt;AY98,BW98,BU98))</f>
        <v/>
      </c>
      <c r="BZ98" s="9" t="str">
        <f aca="false">IF(AY98="","",IF(BX98&lt;AY98,BV98,BW98))</f>
        <v/>
      </c>
      <c r="CA98" s="9" t="str">
        <f aca="false">IF(AY98="","",(BY98+BZ98)/2)</f>
        <v/>
      </c>
      <c r="CB98" s="9" t="str">
        <f aca="false">IF(OR(R98="",N98="",CA98="",R98&lt;=0,CA98&lt;=0),"",(1/Inputs!$B$9)*((R98^2/8)*((2*ACOS(1-2*CA98/R98))-SIN((2*ACOS(1-2*CA98/R98)))))*((((R98^2/8)*((2*ACOS(1-2*CA98/R98))-SIN((2*ACOS(1-2*CA98/R98)))))/((R98/2)*((2*ACOS(1-2*CA98/R98)))))^(2/3))*SQRT(N98))</f>
        <v/>
      </c>
      <c r="CC98" s="9" t="str">
        <f aca="false">IF(AY98="","",IF(CB98&lt;AY98,CA98,BY98))</f>
        <v/>
      </c>
      <c r="CD98" s="9" t="str">
        <f aca="false">IF(AY98="","",IF(CB98&lt;AY98,BZ98,CA98))</f>
        <v/>
      </c>
      <c r="CE98" s="9" t="str">
        <f aca="false">IF(AY98="","",(CC98+CD98)/2)</f>
        <v/>
      </c>
    </row>
    <row r="99" customFormat="false" ht="15" hidden="false" customHeight="false" outlineLevel="0" collapsed="false">
      <c r="A99" s="9"/>
      <c r="B99" s="9"/>
      <c r="C99" s="14"/>
      <c r="D99" s="14"/>
      <c r="E99" s="14" t="n">
        <f aca="false">SUMIFS(CB_Tributaires!$C:$C,CB_Tributaires!$B:$B,$A99)</f>
        <v>0</v>
      </c>
      <c r="F99" s="14" t="n">
        <f aca="false">IF(D99="",E99,D99)</f>
        <v>0</v>
      </c>
      <c r="G99" s="9"/>
      <c r="H99" s="14"/>
      <c r="I99" s="14" t="str">
        <f aca="false">IF(A99="","",Inputs!$B$13/((IF(AS99="",Inputs!$B$18,AS99)+Inputs!$B$14)^Inputs!$B$15))</f>
        <v/>
      </c>
      <c r="J99" s="14" t="str">
        <f aca="false">IF(A99="","",0.000000278*IF(G99="",Inputs!$B$17,G99)*F99*I99)</f>
        <v/>
      </c>
      <c r="K99" s="14" t="str">
        <f aca="false">IF(A99="","",SUMIFS($L$4:$L$203,$B$4:$B$203,$A99))</f>
        <v/>
      </c>
      <c r="L99" s="14" t="str">
        <f aca="false">IF(A99="","",(J99+K99)*Inputs!$B$16)</f>
        <v/>
      </c>
      <c r="M99" s="14"/>
      <c r="N99" s="14" t="str">
        <f aca="false">IF(A99="","",IF(M99="",Inputs!$B$7,M99))</f>
        <v/>
      </c>
      <c r="O99" s="9" t="str">
        <f aca="false">IF(A99="","",IF(L99/Inputs!$B$10&lt;=AD99,Inputs!$F$5,IF(L99/Inputs!$B$10&gt;AM99,"OVERSIZE",INDEX(Inputs!$F$5:$F$14,MATCH(L99/Inputs!$B$10,AD99:AM99,1)+1))))</f>
        <v/>
      </c>
      <c r="P99" s="9"/>
      <c r="Q99" s="9" t="str">
        <f aca="false">IF(A99="","",IF(P99="",O99,P99))</f>
        <v/>
      </c>
      <c r="R99" s="14" t="str">
        <f aca="false">IF(OR(Q99="",Q99="OVERSIZE"),"",Q99/1000)</f>
        <v/>
      </c>
      <c r="S99" s="14" t="str">
        <f aca="false">IF(R99="","",(1/Inputs!$B$9)*(PI()*R99^2/4)*((R99/4)^(2/3))*SQRT(N99))</f>
        <v/>
      </c>
      <c r="T99" s="14" t="str">
        <f aca="false">IF(OR(S99="",L99=""),"",L99/(S99*Inputs!$B$10))</f>
        <v/>
      </c>
      <c r="U99" s="14" t="str">
        <f aca="false">IF(OR(R99="",L99=""),"",4*L99/(PI()*R99^2))</f>
        <v/>
      </c>
      <c r="V99" s="14"/>
      <c r="W99" s="14" t="str">
        <f aca="false">IF(A99="","",IF(A99=Inputs!$B$6,Inputs!$B$22,IF(B99="","",IFERROR(INDEX($X$4:$X$203,MATCH(B99,$A$4:$A$203,0))+IF(V99="",Inputs!$B$20,V99),""))))</f>
        <v/>
      </c>
      <c r="X99" s="14" t="str">
        <f aca="false">IF(OR(W99="",N99="",C99=""),"",W99+N99*C99)</f>
        <v/>
      </c>
      <c r="Y99" s="14"/>
      <c r="Z99" s="14"/>
      <c r="AA99" s="14" t="str">
        <f aca="false">IF(OR(Y99="",W99=""),"",Y99-W99)</f>
        <v/>
      </c>
      <c r="AB99" s="14" t="str">
        <f aca="false">IF(OR(Z99="",X99=""),"",Z99-X99)</f>
        <v/>
      </c>
      <c r="AC99" s="19" t="str">
        <f aca="false">IF(A99="","",IF(OR(T99&gt;1,AND(AV99&lt;&gt;"",AV99&lt;Inputs!$B$11),AND(AV99&lt;&gt;"",AV99&gt;Inputs!$B$12),AA99&lt;Inputs!$B$19,AB99&lt;Inputs!$B$19,N99&lt;Inputs!$B$7,N99&gt;Inputs!$B$8),"CHECK","OK"))</f>
        <v/>
      </c>
      <c r="AD99" s="9" t="str">
        <f aca="false">IF(A99="","",(1/Inputs!$B$9)*(PI()*(Inputs!$F$5/1000)^2/4)*((Inputs!$F$5/1000/4)^(2/3))*SQRT(N99))</f>
        <v/>
      </c>
      <c r="AE99" s="9" t="str">
        <f aca="false">IF(A99="","",(1/Inputs!$B$9)*(PI()*(Inputs!$F$6/1000)^2/4)*((Inputs!$F$6/1000/4)^(2/3))*SQRT(N99))</f>
        <v/>
      </c>
      <c r="AF99" s="9" t="str">
        <f aca="false">IF(A99="","",(1/Inputs!$B$9)*(PI()*(Inputs!$F$7/1000)^2/4)*((Inputs!$F$7/1000/4)^(2/3))*SQRT(N99))</f>
        <v/>
      </c>
      <c r="AG99" s="9" t="str">
        <f aca="false">IF(A99="","",(1/Inputs!$B$9)*(PI()*(Inputs!$F$8/1000)^2/4)*((Inputs!$F$8/1000/4)^(2/3))*SQRT(N99))</f>
        <v/>
      </c>
      <c r="AH99" s="9" t="str">
        <f aca="false">IF(A99="","",(1/Inputs!$B$9)*(PI()*(Inputs!$F$9/1000)^2/4)*((Inputs!$F$9/1000/4)^(2/3))*SQRT(N99))</f>
        <v/>
      </c>
      <c r="AI99" s="9" t="str">
        <f aca="false">IF(A99="","",(1/Inputs!$B$9)*(PI()*(Inputs!$F$10/1000)^2/4)*((Inputs!$F$10/1000/4)^(2/3))*SQRT(N99))</f>
        <v/>
      </c>
      <c r="AJ99" s="9" t="str">
        <f aca="false">IF(A99="","",(1/Inputs!$B$9)*(PI()*(Inputs!$F$11/1000)^2/4)*((Inputs!$F$11/1000/4)^(2/3))*SQRT(N99))</f>
        <v/>
      </c>
      <c r="AK99" s="9" t="str">
        <f aca="false">IF(A99="","",(1/Inputs!$B$9)*(PI()*(Inputs!$F$12/1000)^2/4)*((Inputs!$F$12/1000/4)^(2/3))*SQRT(N99))</f>
        <v/>
      </c>
      <c r="AL99" s="9" t="str">
        <f aca="false">IF(A99="","",(1/Inputs!$B$9)*(PI()*(Inputs!$F$13/1000)^2/4)*((Inputs!$F$13/1000/4)^(2/3))*SQRT(N99))</f>
        <v/>
      </c>
      <c r="AM99" s="9" t="str">
        <f aca="false">IF(A99="","",(1/Inputs!$B$9)*(PI()*(Inputs!$F$14/1000)^2/4)*((Inputs!$F$14/1000/4)^(2/3))*SQRT(N99))</f>
        <v/>
      </c>
      <c r="AN99" s="9" t="str">
        <f aca="false">IF(A99="","",COUNTIF($B$4:$B$203,$A99))</f>
        <v/>
      </c>
      <c r="AO99" s="9" t="str">
        <f aca="false">IF(A99="","",IF(AN99=0,"START","CONTINUOUS"))</f>
        <v/>
      </c>
      <c r="AP99" s="13" t="str">
        <f aca="false">IF(A99="","",IF(H99="",Inputs!$B$18,H99))</f>
        <v/>
      </c>
      <c r="AQ99" s="13" t="str">
        <f aca="false">IF(A99="","",IFERROR(maxifs($AS$4:$AS$203,$B$4:$B$203,$A99),""))</f>
        <v/>
      </c>
      <c r="AR99" s="13" t="str">
        <f aca="false">IF(A99="","",IF(OR(C99="",Inputs!$B$23=""),"",C99/(Inputs!$B$23*60)))</f>
        <v/>
      </c>
      <c r="AS99" s="13" t="str">
        <f aca="false">IF(A99="","",IF(AN99=0,AP99+AR99,IF(AQ99="",AP99+AR99,AQ99+AR99)))</f>
        <v/>
      </c>
      <c r="AT99" s="13" t="str">
        <f aca="false">IF(A99="","",U99)</f>
        <v/>
      </c>
      <c r="AU99" s="13" t="str">
        <f aca="false">IF(OR(R99="",N99=""),"",(1/Inputs!$B$9)*((R99/4)^(2/3))*SQRT(N99))</f>
        <v/>
      </c>
      <c r="AV99" s="13" t="str">
        <f aca="false">IF(A99="","",IF(AND(AT99="",AU99="",AX99=""),"",IF(OR(UPPER(TRIM(Inputs!$B$24))="MANNING",UPPER(TRIM(Inputs!$B$24))="M"),AU99,IF(OR(UPPER(TRIM(Inputs!$B$24))="PARTIAL",UPPER(TRIM(Inputs!$B$24))="P"),AX99,IF(OR(UPPER(TRIM(Inputs!$B$24))="MAX",UPPER(TRIM(Inputs!$B$24))="X"),MAX(IF(AT99="",0,AT99),IF(AU99="",0,AU99),IF(AX99="",0,AX99)),AT99)))))</f>
        <v/>
      </c>
      <c r="AW99" s="13" t="str">
        <f aca="false">IF(AY99="","",CE99)</f>
        <v/>
      </c>
      <c r="AX99" s="13" t="str">
        <f aca="false">IF(OR(AY99="",AW99="",R99="",R99&lt;=0,AW99&lt;=0),"",AY99/((R99^2/8)*(2*ACOS(1-2*AW99/R99)-SIN(2*ACOS(1-2*AW99/R99)))))</f>
        <v/>
      </c>
      <c r="AY99" s="9" t="str">
        <f aca="false">IF(OR(L99="",AZ99=""),"",MIN(L99,AZ99))</f>
        <v/>
      </c>
      <c r="AZ99" s="9" t="str">
        <f aca="false">IF(OR(L99="",R99="",N99=""),"",IF(OR(R99="",N99="",(0.94*R99)="",R99&lt;=0,(0.94*R99)&lt;=0),"",(1/Inputs!$B$9)*((R99^2/8)*((2*ACOS(1-2*(0.94*R99)/R99))-SIN((2*ACOS(1-2*(0.94*R99)/R99)))))*((((R99^2/8)*((2*ACOS(1-2*(0.94*R99)/R99))-SIN((2*ACOS(1-2*(0.94*R99)/R99)))))/((R99/2)*((2*ACOS(1-2*(0.94*R99)/R99)))))^(2/3))*SQRT(N99)))</f>
        <v/>
      </c>
      <c r="BA99" s="9" t="str">
        <f aca="false">IF(AY99="","",0.001*R99)</f>
        <v/>
      </c>
      <c r="BB99" s="9" t="str">
        <f aca="false">IF(AY99="","",0.94*R99)</f>
        <v/>
      </c>
      <c r="BC99" s="9" t="str">
        <f aca="false">IF(AY99="","",(BA99+BB99)/2)</f>
        <v/>
      </c>
      <c r="BD99" s="9" t="str">
        <f aca="false">IF(OR(R99="",N99="",BC99="",R99&lt;=0,BC99&lt;=0),"",(1/Inputs!$B$9)*((R99^2/8)*((2*ACOS(1-2*BC99/R99))-SIN((2*ACOS(1-2*BC99/R99)))))*((((R99^2/8)*((2*ACOS(1-2*BC99/R99))-SIN((2*ACOS(1-2*BC99/R99)))))/((R99/2)*((2*ACOS(1-2*BC99/R99)))))^(2/3))*SQRT(N99))</f>
        <v/>
      </c>
      <c r="BE99" s="9" t="str">
        <f aca="false">IF(AY99="","",IF(BD99&lt;AY99,BC99,BA99))</f>
        <v/>
      </c>
      <c r="BF99" s="9" t="str">
        <f aca="false">IF(AY99="","",IF(BD99&lt;AY99,BB99,BC99))</f>
        <v/>
      </c>
      <c r="BG99" s="9" t="str">
        <f aca="false">IF(AY99="","",(BE99+BF99)/2)</f>
        <v/>
      </c>
      <c r="BH99" s="9" t="str">
        <f aca="false">IF(OR(R99="",N99="",BG99="",R99&lt;=0,BG99&lt;=0),"",(1/Inputs!$B$9)*((R99^2/8)*((2*ACOS(1-2*BG99/R99))-SIN((2*ACOS(1-2*BG99/R99)))))*((((R99^2/8)*((2*ACOS(1-2*BG99/R99))-SIN((2*ACOS(1-2*BG99/R99)))))/((R99/2)*((2*ACOS(1-2*BG99/R99)))))^(2/3))*SQRT(N99))</f>
        <v/>
      </c>
      <c r="BI99" s="9" t="str">
        <f aca="false">IF(AY99="","",IF(BH99&lt;AY99,BG99,BE99))</f>
        <v/>
      </c>
      <c r="BJ99" s="9" t="str">
        <f aca="false">IF(AY99="","",IF(BH99&lt;AY99,BF99,BG99))</f>
        <v/>
      </c>
      <c r="BK99" s="9" t="str">
        <f aca="false">IF(AY99="","",(BI99+BJ99)/2)</f>
        <v/>
      </c>
      <c r="BL99" s="9" t="str">
        <f aca="false">IF(OR(R99="",N99="",BK99="",R99&lt;=0,BK99&lt;=0),"",(1/Inputs!$B$9)*((R99^2/8)*((2*ACOS(1-2*BK99/R99))-SIN((2*ACOS(1-2*BK99/R99)))))*((((R99^2/8)*((2*ACOS(1-2*BK99/R99))-SIN((2*ACOS(1-2*BK99/R99)))))/((R99/2)*((2*ACOS(1-2*BK99/R99)))))^(2/3))*SQRT(N99))</f>
        <v/>
      </c>
      <c r="BM99" s="9" t="str">
        <f aca="false">IF(AY99="","",IF(BL99&lt;AY99,BK99,BI99))</f>
        <v/>
      </c>
      <c r="BN99" s="9" t="str">
        <f aca="false">IF(AY99="","",IF(BL99&lt;AY99,BJ99,BK99))</f>
        <v/>
      </c>
      <c r="BO99" s="9" t="str">
        <f aca="false">IF(AY99="","",(BM99+BN99)/2)</f>
        <v/>
      </c>
      <c r="BP99" s="9" t="str">
        <f aca="false">IF(OR(R99="",N99="",BO99="",R99&lt;=0,BO99&lt;=0),"",(1/Inputs!$B$9)*((R99^2/8)*((2*ACOS(1-2*BO99/R99))-SIN((2*ACOS(1-2*BO99/R99)))))*((((R99^2/8)*((2*ACOS(1-2*BO99/R99))-SIN((2*ACOS(1-2*BO99/R99)))))/((R99/2)*((2*ACOS(1-2*BO99/R99)))))^(2/3))*SQRT(N99))</f>
        <v/>
      </c>
      <c r="BQ99" s="9" t="str">
        <f aca="false">IF(AY99="","",IF(BP99&lt;AY99,BO99,BM99))</f>
        <v/>
      </c>
      <c r="BR99" s="9" t="str">
        <f aca="false">IF(AY99="","",IF(BP99&lt;AY99,BN99,BO99))</f>
        <v/>
      </c>
      <c r="BS99" s="9" t="str">
        <f aca="false">IF(AY99="","",(BQ99+BR99)/2)</f>
        <v/>
      </c>
      <c r="BT99" s="9" t="str">
        <f aca="false">IF(OR(R99="",N99="",BS99="",R99&lt;=0,BS99&lt;=0),"",(1/Inputs!$B$9)*((R99^2/8)*((2*ACOS(1-2*BS99/R99))-SIN((2*ACOS(1-2*BS99/R99)))))*((((R99^2/8)*((2*ACOS(1-2*BS99/R99))-SIN((2*ACOS(1-2*BS99/R99)))))/((R99/2)*((2*ACOS(1-2*BS99/R99)))))^(2/3))*SQRT(N99))</f>
        <v/>
      </c>
      <c r="BU99" s="9" t="str">
        <f aca="false">IF(AY99="","",IF(BT99&lt;AY99,BS99,BQ99))</f>
        <v/>
      </c>
      <c r="BV99" s="9" t="str">
        <f aca="false">IF(AY99="","",IF(BT99&lt;AY99,BR99,BS99))</f>
        <v/>
      </c>
      <c r="BW99" s="9" t="str">
        <f aca="false">IF(AY99="","",(BU99+BV99)/2)</f>
        <v/>
      </c>
      <c r="BX99" s="9" t="str">
        <f aca="false">IF(OR(R99="",N99="",BW99="",R99&lt;=0,BW99&lt;=0),"",(1/Inputs!$B$9)*((R99^2/8)*((2*ACOS(1-2*BW99/R99))-SIN((2*ACOS(1-2*BW99/R99)))))*((((R99^2/8)*((2*ACOS(1-2*BW99/R99))-SIN((2*ACOS(1-2*BW99/R99)))))/((R99/2)*((2*ACOS(1-2*BW99/R99)))))^(2/3))*SQRT(N99))</f>
        <v/>
      </c>
      <c r="BY99" s="9" t="str">
        <f aca="false">IF(AY99="","",IF(BX99&lt;AY99,BW99,BU99))</f>
        <v/>
      </c>
      <c r="BZ99" s="9" t="str">
        <f aca="false">IF(AY99="","",IF(BX99&lt;AY99,BV99,BW99))</f>
        <v/>
      </c>
      <c r="CA99" s="9" t="str">
        <f aca="false">IF(AY99="","",(BY99+BZ99)/2)</f>
        <v/>
      </c>
      <c r="CB99" s="9" t="str">
        <f aca="false">IF(OR(R99="",N99="",CA99="",R99&lt;=0,CA99&lt;=0),"",(1/Inputs!$B$9)*((R99^2/8)*((2*ACOS(1-2*CA99/R99))-SIN((2*ACOS(1-2*CA99/R99)))))*((((R99^2/8)*((2*ACOS(1-2*CA99/R99))-SIN((2*ACOS(1-2*CA99/R99)))))/((R99/2)*((2*ACOS(1-2*CA99/R99)))))^(2/3))*SQRT(N99))</f>
        <v/>
      </c>
      <c r="CC99" s="9" t="str">
        <f aca="false">IF(AY99="","",IF(CB99&lt;AY99,CA99,BY99))</f>
        <v/>
      </c>
      <c r="CD99" s="9" t="str">
        <f aca="false">IF(AY99="","",IF(CB99&lt;AY99,BZ99,CA99))</f>
        <v/>
      </c>
      <c r="CE99" s="9" t="str">
        <f aca="false">IF(AY99="","",(CC99+CD99)/2)</f>
        <v/>
      </c>
    </row>
    <row r="100" customFormat="false" ht="15" hidden="false" customHeight="false" outlineLevel="0" collapsed="false">
      <c r="A100" s="9"/>
      <c r="B100" s="9"/>
      <c r="C100" s="14"/>
      <c r="D100" s="14"/>
      <c r="E100" s="14" t="n">
        <f aca="false">SUMIFS(CB_Tributaires!$C:$C,CB_Tributaires!$B:$B,$A100)</f>
        <v>0</v>
      </c>
      <c r="F100" s="14" t="n">
        <f aca="false">IF(D100="",E100,D100)</f>
        <v>0</v>
      </c>
      <c r="G100" s="9"/>
      <c r="H100" s="14"/>
      <c r="I100" s="14" t="str">
        <f aca="false">IF(A100="","",Inputs!$B$13/((IF(AS100="",Inputs!$B$18,AS100)+Inputs!$B$14)^Inputs!$B$15))</f>
        <v/>
      </c>
      <c r="J100" s="14" t="str">
        <f aca="false">IF(A100="","",0.000000278*IF(G100="",Inputs!$B$17,G100)*F100*I100)</f>
        <v/>
      </c>
      <c r="K100" s="14" t="str">
        <f aca="false">IF(A100="","",SUMIFS($L$4:$L$203,$B$4:$B$203,$A100))</f>
        <v/>
      </c>
      <c r="L100" s="14" t="str">
        <f aca="false">IF(A100="","",(J100+K100)*Inputs!$B$16)</f>
        <v/>
      </c>
      <c r="M100" s="14"/>
      <c r="N100" s="14" t="str">
        <f aca="false">IF(A100="","",IF(M100="",Inputs!$B$7,M100))</f>
        <v/>
      </c>
      <c r="O100" s="9" t="str">
        <f aca="false">IF(A100="","",IF(L100/Inputs!$B$10&lt;=AD100,Inputs!$F$5,IF(L100/Inputs!$B$10&gt;AM100,"OVERSIZE",INDEX(Inputs!$F$5:$F$14,MATCH(L100/Inputs!$B$10,AD100:AM100,1)+1))))</f>
        <v/>
      </c>
      <c r="P100" s="9"/>
      <c r="Q100" s="9" t="str">
        <f aca="false">IF(A100="","",IF(P100="",O100,P100))</f>
        <v/>
      </c>
      <c r="R100" s="14" t="str">
        <f aca="false">IF(OR(Q100="",Q100="OVERSIZE"),"",Q100/1000)</f>
        <v/>
      </c>
      <c r="S100" s="14" t="str">
        <f aca="false">IF(R100="","",(1/Inputs!$B$9)*(PI()*R100^2/4)*((R100/4)^(2/3))*SQRT(N100))</f>
        <v/>
      </c>
      <c r="T100" s="14" t="str">
        <f aca="false">IF(OR(S100="",L100=""),"",L100/(S100*Inputs!$B$10))</f>
        <v/>
      </c>
      <c r="U100" s="14" t="str">
        <f aca="false">IF(OR(R100="",L100=""),"",4*L100/(PI()*R100^2))</f>
        <v/>
      </c>
      <c r="V100" s="14"/>
      <c r="W100" s="14" t="str">
        <f aca="false">IF(A100="","",IF(A100=Inputs!$B$6,Inputs!$B$22,IF(B100="","",IFERROR(INDEX($X$4:$X$203,MATCH(B100,$A$4:$A$203,0))+IF(V100="",Inputs!$B$20,V100),""))))</f>
        <v/>
      </c>
      <c r="X100" s="14" t="str">
        <f aca="false">IF(OR(W100="",N100="",C100=""),"",W100+N100*C100)</f>
        <v/>
      </c>
      <c r="Y100" s="14"/>
      <c r="Z100" s="14"/>
      <c r="AA100" s="14" t="str">
        <f aca="false">IF(OR(Y100="",W100=""),"",Y100-W100)</f>
        <v/>
      </c>
      <c r="AB100" s="14" t="str">
        <f aca="false">IF(OR(Z100="",X100=""),"",Z100-X100)</f>
        <v/>
      </c>
      <c r="AC100" s="19" t="str">
        <f aca="false">IF(A100="","",IF(OR(T100&gt;1,AND(AV100&lt;&gt;"",AV100&lt;Inputs!$B$11),AND(AV100&lt;&gt;"",AV100&gt;Inputs!$B$12),AA100&lt;Inputs!$B$19,AB100&lt;Inputs!$B$19,N100&lt;Inputs!$B$7,N100&gt;Inputs!$B$8),"CHECK","OK"))</f>
        <v/>
      </c>
      <c r="AD100" s="9" t="str">
        <f aca="false">IF(A100="","",(1/Inputs!$B$9)*(PI()*(Inputs!$F$5/1000)^2/4)*((Inputs!$F$5/1000/4)^(2/3))*SQRT(N100))</f>
        <v/>
      </c>
      <c r="AE100" s="9" t="str">
        <f aca="false">IF(A100="","",(1/Inputs!$B$9)*(PI()*(Inputs!$F$6/1000)^2/4)*((Inputs!$F$6/1000/4)^(2/3))*SQRT(N100))</f>
        <v/>
      </c>
      <c r="AF100" s="9" t="str">
        <f aca="false">IF(A100="","",(1/Inputs!$B$9)*(PI()*(Inputs!$F$7/1000)^2/4)*((Inputs!$F$7/1000/4)^(2/3))*SQRT(N100))</f>
        <v/>
      </c>
      <c r="AG100" s="9" t="str">
        <f aca="false">IF(A100="","",(1/Inputs!$B$9)*(PI()*(Inputs!$F$8/1000)^2/4)*((Inputs!$F$8/1000/4)^(2/3))*SQRT(N100))</f>
        <v/>
      </c>
      <c r="AH100" s="9" t="str">
        <f aca="false">IF(A100="","",(1/Inputs!$B$9)*(PI()*(Inputs!$F$9/1000)^2/4)*((Inputs!$F$9/1000/4)^(2/3))*SQRT(N100))</f>
        <v/>
      </c>
      <c r="AI100" s="9" t="str">
        <f aca="false">IF(A100="","",(1/Inputs!$B$9)*(PI()*(Inputs!$F$10/1000)^2/4)*((Inputs!$F$10/1000/4)^(2/3))*SQRT(N100))</f>
        <v/>
      </c>
      <c r="AJ100" s="9" t="str">
        <f aca="false">IF(A100="","",(1/Inputs!$B$9)*(PI()*(Inputs!$F$11/1000)^2/4)*((Inputs!$F$11/1000/4)^(2/3))*SQRT(N100))</f>
        <v/>
      </c>
      <c r="AK100" s="9" t="str">
        <f aca="false">IF(A100="","",(1/Inputs!$B$9)*(PI()*(Inputs!$F$12/1000)^2/4)*((Inputs!$F$12/1000/4)^(2/3))*SQRT(N100))</f>
        <v/>
      </c>
      <c r="AL100" s="9" t="str">
        <f aca="false">IF(A100="","",(1/Inputs!$B$9)*(PI()*(Inputs!$F$13/1000)^2/4)*((Inputs!$F$13/1000/4)^(2/3))*SQRT(N100))</f>
        <v/>
      </c>
      <c r="AM100" s="9" t="str">
        <f aca="false">IF(A100="","",(1/Inputs!$B$9)*(PI()*(Inputs!$F$14/1000)^2/4)*((Inputs!$F$14/1000/4)^(2/3))*SQRT(N100))</f>
        <v/>
      </c>
      <c r="AN100" s="9" t="str">
        <f aca="false">IF(A100="","",COUNTIF($B$4:$B$203,$A100))</f>
        <v/>
      </c>
      <c r="AO100" s="9" t="str">
        <f aca="false">IF(A100="","",IF(AN100=0,"START","CONTINUOUS"))</f>
        <v/>
      </c>
      <c r="AP100" s="13" t="str">
        <f aca="false">IF(A100="","",IF(H100="",Inputs!$B$18,H100))</f>
        <v/>
      </c>
      <c r="AQ100" s="13" t="str">
        <f aca="false">IF(A100="","",IFERROR(maxifs($AS$4:$AS$203,$B$4:$B$203,$A100),""))</f>
        <v/>
      </c>
      <c r="AR100" s="13" t="str">
        <f aca="false">IF(A100="","",IF(OR(C100="",Inputs!$B$23=""),"",C100/(Inputs!$B$23*60)))</f>
        <v/>
      </c>
      <c r="AS100" s="13" t="str">
        <f aca="false">IF(A100="","",IF(AN100=0,AP100+AR100,IF(AQ100="",AP100+AR100,AQ100+AR100)))</f>
        <v/>
      </c>
      <c r="AT100" s="13" t="str">
        <f aca="false">IF(A100="","",U100)</f>
        <v/>
      </c>
      <c r="AU100" s="13" t="str">
        <f aca="false">IF(OR(R100="",N100=""),"",(1/Inputs!$B$9)*((R100/4)^(2/3))*SQRT(N100))</f>
        <v/>
      </c>
      <c r="AV100" s="13" t="str">
        <f aca="false">IF(A100="","",IF(AND(AT100="",AU100="",AX100=""),"",IF(OR(UPPER(TRIM(Inputs!$B$24))="MANNING",UPPER(TRIM(Inputs!$B$24))="M"),AU100,IF(OR(UPPER(TRIM(Inputs!$B$24))="PARTIAL",UPPER(TRIM(Inputs!$B$24))="P"),AX100,IF(OR(UPPER(TRIM(Inputs!$B$24))="MAX",UPPER(TRIM(Inputs!$B$24))="X"),MAX(IF(AT100="",0,AT100),IF(AU100="",0,AU100),IF(AX100="",0,AX100)),AT100)))))</f>
        <v/>
      </c>
      <c r="AW100" s="13" t="str">
        <f aca="false">IF(AY100="","",CE100)</f>
        <v/>
      </c>
      <c r="AX100" s="13" t="str">
        <f aca="false">IF(OR(AY100="",AW100="",R100="",R100&lt;=0,AW100&lt;=0),"",AY100/((R100^2/8)*(2*ACOS(1-2*AW100/R100)-SIN(2*ACOS(1-2*AW100/R100)))))</f>
        <v/>
      </c>
      <c r="AY100" s="9" t="str">
        <f aca="false">IF(OR(L100="",AZ100=""),"",MIN(L100,AZ100))</f>
        <v/>
      </c>
      <c r="AZ100" s="9" t="str">
        <f aca="false">IF(OR(L100="",R100="",N100=""),"",IF(OR(R100="",N100="",(0.94*R100)="",R100&lt;=0,(0.94*R100)&lt;=0),"",(1/Inputs!$B$9)*((R100^2/8)*((2*ACOS(1-2*(0.94*R100)/R100))-SIN((2*ACOS(1-2*(0.94*R100)/R100)))))*((((R100^2/8)*((2*ACOS(1-2*(0.94*R100)/R100))-SIN((2*ACOS(1-2*(0.94*R100)/R100)))))/((R100/2)*((2*ACOS(1-2*(0.94*R100)/R100)))))^(2/3))*SQRT(N100)))</f>
        <v/>
      </c>
      <c r="BA100" s="9" t="str">
        <f aca="false">IF(AY100="","",0.001*R100)</f>
        <v/>
      </c>
      <c r="BB100" s="9" t="str">
        <f aca="false">IF(AY100="","",0.94*R100)</f>
        <v/>
      </c>
      <c r="BC100" s="9" t="str">
        <f aca="false">IF(AY100="","",(BA100+BB100)/2)</f>
        <v/>
      </c>
      <c r="BD100" s="9" t="str">
        <f aca="false">IF(OR(R100="",N100="",BC100="",R100&lt;=0,BC100&lt;=0),"",(1/Inputs!$B$9)*((R100^2/8)*((2*ACOS(1-2*BC100/R100))-SIN((2*ACOS(1-2*BC100/R100)))))*((((R100^2/8)*((2*ACOS(1-2*BC100/R100))-SIN((2*ACOS(1-2*BC100/R100)))))/((R100/2)*((2*ACOS(1-2*BC100/R100)))))^(2/3))*SQRT(N100))</f>
        <v/>
      </c>
      <c r="BE100" s="9" t="str">
        <f aca="false">IF(AY100="","",IF(BD100&lt;AY100,BC100,BA100))</f>
        <v/>
      </c>
      <c r="BF100" s="9" t="str">
        <f aca="false">IF(AY100="","",IF(BD100&lt;AY100,BB100,BC100))</f>
        <v/>
      </c>
      <c r="BG100" s="9" t="str">
        <f aca="false">IF(AY100="","",(BE100+BF100)/2)</f>
        <v/>
      </c>
      <c r="BH100" s="9" t="str">
        <f aca="false">IF(OR(R100="",N100="",BG100="",R100&lt;=0,BG100&lt;=0),"",(1/Inputs!$B$9)*((R100^2/8)*((2*ACOS(1-2*BG100/R100))-SIN((2*ACOS(1-2*BG100/R100)))))*((((R100^2/8)*((2*ACOS(1-2*BG100/R100))-SIN((2*ACOS(1-2*BG100/R100)))))/((R100/2)*((2*ACOS(1-2*BG100/R100)))))^(2/3))*SQRT(N100))</f>
        <v/>
      </c>
      <c r="BI100" s="9" t="str">
        <f aca="false">IF(AY100="","",IF(BH100&lt;AY100,BG100,BE100))</f>
        <v/>
      </c>
      <c r="BJ100" s="9" t="str">
        <f aca="false">IF(AY100="","",IF(BH100&lt;AY100,BF100,BG100))</f>
        <v/>
      </c>
      <c r="BK100" s="9" t="str">
        <f aca="false">IF(AY100="","",(BI100+BJ100)/2)</f>
        <v/>
      </c>
      <c r="BL100" s="9" t="str">
        <f aca="false">IF(OR(R100="",N100="",BK100="",R100&lt;=0,BK100&lt;=0),"",(1/Inputs!$B$9)*((R100^2/8)*((2*ACOS(1-2*BK100/R100))-SIN((2*ACOS(1-2*BK100/R100)))))*((((R100^2/8)*((2*ACOS(1-2*BK100/R100))-SIN((2*ACOS(1-2*BK100/R100)))))/((R100/2)*((2*ACOS(1-2*BK100/R100)))))^(2/3))*SQRT(N100))</f>
        <v/>
      </c>
      <c r="BM100" s="9" t="str">
        <f aca="false">IF(AY100="","",IF(BL100&lt;AY100,BK100,BI100))</f>
        <v/>
      </c>
      <c r="BN100" s="9" t="str">
        <f aca="false">IF(AY100="","",IF(BL100&lt;AY100,BJ100,BK100))</f>
        <v/>
      </c>
      <c r="BO100" s="9" t="str">
        <f aca="false">IF(AY100="","",(BM100+BN100)/2)</f>
        <v/>
      </c>
      <c r="BP100" s="9" t="str">
        <f aca="false">IF(OR(R100="",N100="",BO100="",R100&lt;=0,BO100&lt;=0),"",(1/Inputs!$B$9)*((R100^2/8)*((2*ACOS(1-2*BO100/R100))-SIN((2*ACOS(1-2*BO100/R100)))))*((((R100^2/8)*((2*ACOS(1-2*BO100/R100))-SIN((2*ACOS(1-2*BO100/R100)))))/((R100/2)*((2*ACOS(1-2*BO100/R100)))))^(2/3))*SQRT(N100))</f>
        <v/>
      </c>
      <c r="BQ100" s="9" t="str">
        <f aca="false">IF(AY100="","",IF(BP100&lt;AY100,BO100,BM100))</f>
        <v/>
      </c>
      <c r="BR100" s="9" t="str">
        <f aca="false">IF(AY100="","",IF(BP100&lt;AY100,BN100,BO100))</f>
        <v/>
      </c>
      <c r="BS100" s="9" t="str">
        <f aca="false">IF(AY100="","",(BQ100+BR100)/2)</f>
        <v/>
      </c>
      <c r="BT100" s="9" t="str">
        <f aca="false">IF(OR(R100="",N100="",BS100="",R100&lt;=0,BS100&lt;=0),"",(1/Inputs!$B$9)*((R100^2/8)*((2*ACOS(1-2*BS100/R100))-SIN((2*ACOS(1-2*BS100/R100)))))*((((R100^2/8)*((2*ACOS(1-2*BS100/R100))-SIN((2*ACOS(1-2*BS100/R100)))))/((R100/2)*((2*ACOS(1-2*BS100/R100)))))^(2/3))*SQRT(N100))</f>
        <v/>
      </c>
      <c r="BU100" s="9" t="str">
        <f aca="false">IF(AY100="","",IF(BT100&lt;AY100,BS100,BQ100))</f>
        <v/>
      </c>
      <c r="BV100" s="9" t="str">
        <f aca="false">IF(AY100="","",IF(BT100&lt;AY100,BR100,BS100))</f>
        <v/>
      </c>
      <c r="BW100" s="9" t="str">
        <f aca="false">IF(AY100="","",(BU100+BV100)/2)</f>
        <v/>
      </c>
      <c r="BX100" s="9" t="str">
        <f aca="false">IF(OR(R100="",N100="",BW100="",R100&lt;=0,BW100&lt;=0),"",(1/Inputs!$B$9)*((R100^2/8)*((2*ACOS(1-2*BW100/R100))-SIN((2*ACOS(1-2*BW100/R100)))))*((((R100^2/8)*((2*ACOS(1-2*BW100/R100))-SIN((2*ACOS(1-2*BW100/R100)))))/((R100/2)*((2*ACOS(1-2*BW100/R100)))))^(2/3))*SQRT(N100))</f>
        <v/>
      </c>
      <c r="BY100" s="9" t="str">
        <f aca="false">IF(AY100="","",IF(BX100&lt;AY100,BW100,BU100))</f>
        <v/>
      </c>
      <c r="BZ100" s="9" t="str">
        <f aca="false">IF(AY100="","",IF(BX100&lt;AY100,BV100,BW100))</f>
        <v/>
      </c>
      <c r="CA100" s="9" t="str">
        <f aca="false">IF(AY100="","",(BY100+BZ100)/2)</f>
        <v/>
      </c>
      <c r="CB100" s="9" t="str">
        <f aca="false">IF(OR(R100="",N100="",CA100="",R100&lt;=0,CA100&lt;=0),"",(1/Inputs!$B$9)*((R100^2/8)*((2*ACOS(1-2*CA100/R100))-SIN((2*ACOS(1-2*CA100/R100)))))*((((R100^2/8)*((2*ACOS(1-2*CA100/R100))-SIN((2*ACOS(1-2*CA100/R100)))))/((R100/2)*((2*ACOS(1-2*CA100/R100)))))^(2/3))*SQRT(N100))</f>
        <v/>
      </c>
      <c r="CC100" s="9" t="str">
        <f aca="false">IF(AY100="","",IF(CB100&lt;AY100,CA100,BY100))</f>
        <v/>
      </c>
      <c r="CD100" s="9" t="str">
        <f aca="false">IF(AY100="","",IF(CB100&lt;AY100,BZ100,CA100))</f>
        <v/>
      </c>
      <c r="CE100" s="9" t="str">
        <f aca="false">IF(AY100="","",(CC100+CD100)/2)</f>
        <v/>
      </c>
    </row>
    <row r="101" customFormat="false" ht="15" hidden="false" customHeight="false" outlineLevel="0" collapsed="false">
      <c r="A101" s="9"/>
      <c r="B101" s="9"/>
      <c r="C101" s="14"/>
      <c r="D101" s="14"/>
      <c r="E101" s="14" t="n">
        <f aca="false">SUMIFS(CB_Tributaires!$C:$C,CB_Tributaires!$B:$B,$A101)</f>
        <v>0</v>
      </c>
      <c r="F101" s="14" t="n">
        <f aca="false">IF(D101="",E101,D101)</f>
        <v>0</v>
      </c>
      <c r="G101" s="9"/>
      <c r="H101" s="14"/>
      <c r="I101" s="14" t="str">
        <f aca="false">IF(A101="","",Inputs!$B$13/((IF(AS101="",Inputs!$B$18,AS101)+Inputs!$B$14)^Inputs!$B$15))</f>
        <v/>
      </c>
      <c r="J101" s="14" t="str">
        <f aca="false">IF(A101="","",0.000000278*IF(G101="",Inputs!$B$17,G101)*F101*I101)</f>
        <v/>
      </c>
      <c r="K101" s="14" t="str">
        <f aca="false">IF(A101="","",SUMIFS($L$4:$L$203,$B$4:$B$203,$A101))</f>
        <v/>
      </c>
      <c r="L101" s="14" t="str">
        <f aca="false">IF(A101="","",(J101+K101)*Inputs!$B$16)</f>
        <v/>
      </c>
      <c r="M101" s="14"/>
      <c r="N101" s="14" t="str">
        <f aca="false">IF(A101="","",IF(M101="",Inputs!$B$7,M101))</f>
        <v/>
      </c>
      <c r="O101" s="9" t="str">
        <f aca="false">IF(A101="","",IF(L101/Inputs!$B$10&lt;=AD101,Inputs!$F$5,IF(L101/Inputs!$B$10&gt;AM101,"OVERSIZE",INDEX(Inputs!$F$5:$F$14,MATCH(L101/Inputs!$B$10,AD101:AM101,1)+1))))</f>
        <v/>
      </c>
      <c r="P101" s="9"/>
      <c r="Q101" s="9" t="str">
        <f aca="false">IF(A101="","",IF(P101="",O101,P101))</f>
        <v/>
      </c>
      <c r="R101" s="14" t="str">
        <f aca="false">IF(OR(Q101="",Q101="OVERSIZE"),"",Q101/1000)</f>
        <v/>
      </c>
      <c r="S101" s="14" t="str">
        <f aca="false">IF(R101="","",(1/Inputs!$B$9)*(PI()*R101^2/4)*((R101/4)^(2/3))*SQRT(N101))</f>
        <v/>
      </c>
      <c r="T101" s="14" t="str">
        <f aca="false">IF(OR(S101="",L101=""),"",L101/(S101*Inputs!$B$10))</f>
        <v/>
      </c>
      <c r="U101" s="14" t="str">
        <f aca="false">IF(OR(R101="",L101=""),"",4*L101/(PI()*R101^2))</f>
        <v/>
      </c>
      <c r="V101" s="14"/>
      <c r="W101" s="14" t="str">
        <f aca="false">IF(A101="","",IF(A101=Inputs!$B$6,Inputs!$B$22,IF(B101="","",IFERROR(INDEX($X$4:$X$203,MATCH(B101,$A$4:$A$203,0))+IF(V101="",Inputs!$B$20,V101),""))))</f>
        <v/>
      </c>
      <c r="X101" s="14" t="str">
        <f aca="false">IF(OR(W101="",N101="",C101=""),"",W101+N101*C101)</f>
        <v/>
      </c>
      <c r="Y101" s="14"/>
      <c r="Z101" s="14"/>
      <c r="AA101" s="14" t="str">
        <f aca="false">IF(OR(Y101="",W101=""),"",Y101-W101)</f>
        <v/>
      </c>
      <c r="AB101" s="14" t="str">
        <f aca="false">IF(OR(Z101="",X101=""),"",Z101-X101)</f>
        <v/>
      </c>
      <c r="AC101" s="19" t="str">
        <f aca="false">IF(A101="","",IF(OR(T101&gt;1,AND(AV101&lt;&gt;"",AV101&lt;Inputs!$B$11),AND(AV101&lt;&gt;"",AV101&gt;Inputs!$B$12),AA101&lt;Inputs!$B$19,AB101&lt;Inputs!$B$19,N101&lt;Inputs!$B$7,N101&gt;Inputs!$B$8),"CHECK","OK"))</f>
        <v/>
      </c>
      <c r="AD101" s="9" t="str">
        <f aca="false">IF(A101="","",(1/Inputs!$B$9)*(PI()*(Inputs!$F$5/1000)^2/4)*((Inputs!$F$5/1000/4)^(2/3))*SQRT(N101))</f>
        <v/>
      </c>
      <c r="AE101" s="9" t="str">
        <f aca="false">IF(A101="","",(1/Inputs!$B$9)*(PI()*(Inputs!$F$6/1000)^2/4)*((Inputs!$F$6/1000/4)^(2/3))*SQRT(N101))</f>
        <v/>
      </c>
      <c r="AF101" s="9" t="str">
        <f aca="false">IF(A101="","",(1/Inputs!$B$9)*(PI()*(Inputs!$F$7/1000)^2/4)*((Inputs!$F$7/1000/4)^(2/3))*SQRT(N101))</f>
        <v/>
      </c>
      <c r="AG101" s="9" t="str">
        <f aca="false">IF(A101="","",(1/Inputs!$B$9)*(PI()*(Inputs!$F$8/1000)^2/4)*((Inputs!$F$8/1000/4)^(2/3))*SQRT(N101))</f>
        <v/>
      </c>
      <c r="AH101" s="9" t="str">
        <f aca="false">IF(A101="","",(1/Inputs!$B$9)*(PI()*(Inputs!$F$9/1000)^2/4)*((Inputs!$F$9/1000/4)^(2/3))*SQRT(N101))</f>
        <v/>
      </c>
      <c r="AI101" s="9" t="str">
        <f aca="false">IF(A101="","",(1/Inputs!$B$9)*(PI()*(Inputs!$F$10/1000)^2/4)*((Inputs!$F$10/1000/4)^(2/3))*SQRT(N101))</f>
        <v/>
      </c>
      <c r="AJ101" s="9" t="str">
        <f aca="false">IF(A101="","",(1/Inputs!$B$9)*(PI()*(Inputs!$F$11/1000)^2/4)*((Inputs!$F$11/1000/4)^(2/3))*SQRT(N101))</f>
        <v/>
      </c>
      <c r="AK101" s="9" t="str">
        <f aca="false">IF(A101="","",(1/Inputs!$B$9)*(PI()*(Inputs!$F$12/1000)^2/4)*((Inputs!$F$12/1000/4)^(2/3))*SQRT(N101))</f>
        <v/>
      </c>
      <c r="AL101" s="9" t="str">
        <f aca="false">IF(A101="","",(1/Inputs!$B$9)*(PI()*(Inputs!$F$13/1000)^2/4)*((Inputs!$F$13/1000/4)^(2/3))*SQRT(N101))</f>
        <v/>
      </c>
      <c r="AM101" s="9" t="str">
        <f aca="false">IF(A101="","",(1/Inputs!$B$9)*(PI()*(Inputs!$F$14/1000)^2/4)*((Inputs!$F$14/1000/4)^(2/3))*SQRT(N101))</f>
        <v/>
      </c>
      <c r="AN101" s="9" t="str">
        <f aca="false">IF(A101="","",COUNTIF($B$4:$B$203,$A101))</f>
        <v/>
      </c>
      <c r="AO101" s="9" t="str">
        <f aca="false">IF(A101="","",IF(AN101=0,"START","CONTINUOUS"))</f>
        <v/>
      </c>
      <c r="AP101" s="13" t="str">
        <f aca="false">IF(A101="","",IF(H101="",Inputs!$B$18,H101))</f>
        <v/>
      </c>
      <c r="AQ101" s="13" t="str">
        <f aca="false">IF(A101="","",IFERROR(maxifs($AS$4:$AS$203,$B$4:$B$203,$A101),""))</f>
        <v/>
      </c>
      <c r="AR101" s="13" t="str">
        <f aca="false">IF(A101="","",IF(OR(C101="",Inputs!$B$23=""),"",C101/(Inputs!$B$23*60)))</f>
        <v/>
      </c>
      <c r="AS101" s="13" t="str">
        <f aca="false">IF(A101="","",IF(AN101=0,AP101+AR101,IF(AQ101="",AP101+AR101,AQ101+AR101)))</f>
        <v/>
      </c>
      <c r="AT101" s="13" t="str">
        <f aca="false">IF(A101="","",U101)</f>
        <v/>
      </c>
      <c r="AU101" s="13" t="str">
        <f aca="false">IF(OR(R101="",N101=""),"",(1/Inputs!$B$9)*((R101/4)^(2/3))*SQRT(N101))</f>
        <v/>
      </c>
      <c r="AV101" s="13" t="str">
        <f aca="false">IF(A101="","",IF(AND(AT101="",AU101="",AX101=""),"",IF(OR(UPPER(TRIM(Inputs!$B$24))="MANNING",UPPER(TRIM(Inputs!$B$24))="M"),AU101,IF(OR(UPPER(TRIM(Inputs!$B$24))="PARTIAL",UPPER(TRIM(Inputs!$B$24))="P"),AX101,IF(OR(UPPER(TRIM(Inputs!$B$24))="MAX",UPPER(TRIM(Inputs!$B$24))="X"),MAX(IF(AT101="",0,AT101),IF(AU101="",0,AU101),IF(AX101="",0,AX101)),AT101)))))</f>
        <v/>
      </c>
      <c r="AW101" s="13" t="str">
        <f aca="false">IF(AY101="","",CE101)</f>
        <v/>
      </c>
      <c r="AX101" s="13" t="str">
        <f aca="false">IF(OR(AY101="",AW101="",R101="",R101&lt;=0,AW101&lt;=0),"",AY101/((R101^2/8)*(2*ACOS(1-2*AW101/R101)-SIN(2*ACOS(1-2*AW101/R101)))))</f>
        <v/>
      </c>
      <c r="AY101" s="9" t="str">
        <f aca="false">IF(OR(L101="",AZ101=""),"",MIN(L101,AZ101))</f>
        <v/>
      </c>
      <c r="AZ101" s="9" t="str">
        <f aca="false">IF(OR(L101="",R101="",N101=""),"",IF(OR(R101="",N101="",(0.94*R101)="",R101&lt;=0,(0.94*R101)&lt;=0),"",(1/Inputs!$B$9)*((R101^2/8)*((2*ACOS(1-2*(0.94*R101)/R101))-SIN((2*ACOS(1-2*(0.94*R101)/R101)))))*((((R101^2/8)*((2*ACOS(1-2*(0.94*R101)/R101))-SIN((2*ACOS(1-2*(0.94*R101)/R101)))))/((R101/2)*((2*ACOS(1-2*(0.94*R101)/R101)))))^(2/3))*SQRT(N101)))</f>
        <v/>
      </c>
      <c r="BA101" s="9" t="str">
        <f aca="false">IF(AY101="","",0.001*R101)</f>
        <v/>
      </c>
      <c r="BB101" s="9" t="str">
        <f aca="false">IF(AY101="","",0.94*R101)</f>
        <v/>
      </c>
      <c r="BC101" s="9" t="str">
        <f aca="false">IF(AY101="","",(BA101+BB101)/2)</f>
        <v/>
      </c>
      <c r="BD101" s="9" t="str">
        <f aca="false">IF(OR(R101="",N101="",BC101="",R101&lt;=0,BC101&lt;=0),"",(1/Inputs!$B$9)*((R101^2/8)*((2*ACOS(1-2*BC101/R101))-SIN((2*ACOS(1-2*BC101/R101)))))*((((R101^2/8)*((2*ACOS(1-2*BC101/R101))-SIN((2*ACOS(1-2*BC101/R101)))))/((R101/2)*((2*ACOS(1-2*BC101/R101)))))^(2/3))*SQRT(N101))</f>
        <v/>
      </c>
      <c r="BE101" s="9" t="str">
        <f aca="false">IF(AY101="","",IF(BD101&lt;AY101,BC101,BA101))</f>
        <v/>
      </c>
      <c r="BF101" s="9" t="str">
        <f aca="false">IF(AY101="","",IF(BD101&lt;AY101,BB101,BC101))</f>
        <v/>
      </c>
      <c r="BG101" s="9" t="str">
        <f aca="false">IF(AY101="","",(BE101+BF101)/2)</f>
        <v/>
      </c>
      <c r="BH101" s="9" t="str">
        <f aca="false">IF(OR(R101="",N101="",BG101="",R101&lt;=0,BG101&lt;=0),"",(1/Inputs!$B$9)*((R101^2/8)*((2*ACOS(1-2*BG101/R101))-SIN((2*ACOS(1-2*BG101/R101)))))*((((R101^2/8)*((2*ACOS(1-2*BG101/R101))-SIN((2*ACOS(1-2*BG101/R101)))))/((R101/2)*((2*ACOS(1-2*BG101/R101)))))^(2/3))*SQRT(N101))</f>
        <v/>
      </c>
      <c r="BI101" s="9" t="str">
        <f aca="false">IF(AY101="","",IF(BH101&lt;AY101,BG101,BE101))</f>
        <v/>
      </c>
      <c r="BJ101" s="9" t="str">
        <f aca="false">IF(AY101="","",IF(BH101&lt;AY101,BF101,BG101))</f>
        <v/>
      </c>
      <c r="BK101" s="9" t="str">
        <f aca="false">IF(AY101="","",(BI101+BJ101)/2)</f>
        <v/>
      </c>
      <c r="BL101" s="9" t="str">
        <f aca="false">IF(OR(R101="",N101="",BK101="",R101&lt;=0,BK101&lt;=0),"",(1/Inputs!$B$9)*((R101^2/8)*((2*ACOS(1-2*BK101/R101))-SIN((2*ACOS(1-2*BK101/R101)))))*((((R101^2/8)*((2*ACOS(1-2*BK101/R101))-SIN((2*ACOS(1-2*BK101/R101)))))/((R101/2)*((2*ACOS(1-2*BK101/R101)))))^(2/3))*SQRT(N101))</f>
        <v/>
      </c>
      <c r="BM101" s="9" t="str">
        <f aca="false">IF(AY101="","",IF(BL101&lt;AY101,BK101,BI101))</f>
        <v/>
      </c>
      <c r="BN101" s="9" t="str">
        <f aca="false">IF(AY101="","",IF(BL101&lt;AY101,BJ101,BK101))</f>
        <v/>
      </c>
      <c r="BO101" s="9" t="str">
        <f aca="false">IF(AY101="","",(BM101+BN101)/2)</f>
        <v/>
      </c>
      <c r="BP101" s="9" t="str">
        <f aca="false">IF(OR(R101="",N101="",BO101="",R101&lt;=0,BO101&lt;=0),"",(1/Inputs!$B$9)*((R101^2/8)*((2*ACOS(1-2*BO101/R101))-SIN((2*ACOS(1-2*BO101/R101)))))*((((R101^2/8)*((2*ACOS(1-2*BO101/R101))-SIN((2*ACOS(1-2*BO101/R101)))))/((R101/2)*((2*ACOS(1-2*BO101/R101)))))^(2/3))*SQRT(N101))</f>
        <v/>
      </c>
      <c r="BQ101" s="9" t="str">
        <f aca="false">IF(AY101="","",IF(BP101&lt;AY101,BO101,BM101))</f>
        <v/>
      </c>
      <c r="BR101" s="9" t="str">
        <f aca="false">IF(AY101="","",IF(BP101&lt;AY101,BN101,BO101))</f>
        <v/>
      </c>
      <c r="BS101" s="9" t="str">
        <f aca="false">IF(AY101="","",(BQ101+BR101)/2)</f>
        <v/>
      </c>
      <c r="BT101" s="9" t="str">
        <f aca="false">IF(OR(R101="",N101="",BS101="",R101&lt;=0,BS101&lt;=0),"",(1/Inputs!$B$9)*((R101^2/8)*((2*ACOS(1-2*BS101/R101))-SIN((2*ACOS(1-2*BS101/R101)))))*((((R101^2/8)*((2*ACOS(1-2*BS101/R101))-SIN((2*ACOS(1-2*BS101/R101)))))/((R101/2)*((2*ACOS(1-2*BS101/R101)))))^(2/3))*SQRT(N101))</f>
        <v/>
      </c>
      <c r="BU101" s="9" t="str">
        <f aca="false">IF(AY101="","",IF(BT101&lt;AY101,BS101,BQ101))</f>
        <v/>
      </c>
      <c r="BV101" s="9" t="str">
        <f aca="false">IF(AY101="","",IF(BT101&lt;AY101,BR101,BS101))</f>
        <v/>
      </c>
      <c r="BW101" s="9" t="str">
        <f aca="false">IF(AY101="","",(BU101+BV101)/2)</f>
        <v/>
      </c>
      <c r="BX101" s="9" t="str">
        <f aca="false">IF(OR(R101="",N101="",BW101="",R101&lt;=0,BW101&lt;=0),"",(1/Inputs!$B$9)*((R101^2/8)*((2*ACOS(1-2*BW101/R101))-SIN((2*ACOS(1-2*BW101/R101)))))*((((R101^2/8)*((2*ACOS(1-2*BW101/R101))-SIN((2*ACOS(1-2*BW101/R101)))))/((R101/2)*((2*ACOS(1-2*BW101/R101)))))^(2/3))*SQRT(N101))</f>
        <v/>
      </c>
      <c r="BY101" s="9" t="str">
        <f aca="false">IF(AY101="","",IF(BX101&lt;AY101,BW101,BU101))</f>
        <v/>
      </c>
      <c r="BZ101" s="9" t="str">
        <f aca="false">IF(AY101="","",IF(BX101&lt;AY101,BV101,BW101))</f>
        <v/>
      </c>
      <c r="CA101" s="9" t="str">
        <f aca="false">IF(AY101="","",(BY101+BZ101)/2)</f>
        <v/>
      </c>
      <c r="CB101" s="9" t="str">
        <f aca="false">IF(OR(R101="",N101="",CA101="",R101&lt;=0,CA101&lt;=0),"",(1/Inputs!$B$9)*((R101^2/8)*((2*ACOS(1-2*CA101/R101))-SIN((2*ACOS(1-2*CA101/R101)))))*((((R101^2/8)*((2*ACOS(1-2*CA101/R101))-SIN((2*ACOS(1-2*CA101/R101)))))/((R101/2)*((2*ACOS(1-2*CA101/R101)))))^(2/3))*SQRT(N101))</f>
        <v/>
      </c>
      <c r="CC101" s="9" t="str">
        <f aca="false">IF(AY101="","",IF(CB101&lt;AY101,CA101,BY101))</f>
        <v/>
      </c>
      <c r="CD101" s="9" t="str">
        <f aca="false">IF(AY101="","",IF(CB101&lt;AY101,BZ101,CA101))</f>
        <v/>
      </c>
      <c r="CE101" s="9" t="str">
        <f aca="false">IF(AY101="","",(CC101+CD101)/2)</f>
        <v/>
      </c>
    </row>
    <row r="102" customFormat="false" ht="15" hidden="false" customHeight="false" outlineLevel="0" collapsed="false">
      <c r="A102" s="9"/>
      <c r="B102" s="9"/>
      <c r="C102" s="14"/>
      <c r="D102" s="14"/>
      <c r="E102" s="14" t="n">
        <f aca="false">SUMIFS(CB_Tributaires!$C:$C,CB_Tributaires!$B:$B,$A102)</f>
        <v>0</v>
      </c>
      <c r="F102" s="14" t="n">
        <f aca="false">IF(D102="",E102,D102)</f>
        <v>0</v>
      </c>
      <c r="G102" s="9"/>
      <c r="H102" s="14"/>
      <c r="I102" s="14" t="str">
        <f aca="false">IF(A102="","",Inputs!$B$13/((IF(AS102="",Inputs!$B$18,AS102)+Inputs!$B$14)^Inputs!$B$15))</f>
        <v/>
      </c>
      <c r="J102" s="14" t="str">
        <f aca="false">IF(A102="","",0.000000278*IF(G102="",Inputs!$B$17,G102)*F102*I102)</f>
        <v/>
      </c>
      <c r="K102" s="14" t="str">
        <f aca="false">IF(A102="","",SUMIFS($L$4:$L$203,$B$4:$B$203,$A102))</f>
        <v/>
      </c>
      <c r="L102" s="14" t="str">
        <f aca="false">IF(A102="","",(J102+K102)*Inputs!$B$16)</f>
        <v/>
      </c>
      <c r="M102" s="14"/>
      <c r="N102" s="14" t="str">
        <f aca="false">IF(A102="","",IF(M102="",Inputs!$B$7,M102))</f>
        <v/>
      </c>
      <c r="O102" s="9" t="str">
        <f aca="false">IF(A102="","",IF(L102/Inputs!$B$10&lt;=AD102,Inputs!$F$5,IF(L102/Inputs!$B$10&gt;AM102,"OVERSIZE",INDEX(Inputs!$F$5:$F$14,MATCH(L102/Inputs!$B$10,AD102:AM102,1)+1))))</f>
        <v/>
      </c>
      <c r="P102" s="9"/>
      <c r="Q102" s="9" t="str">
        <f aca="false">IF(A102="","",IF(P102="",O102,P102))</f>
        <v/>
      </c>
      <c r="R102" s="14" t="str">
        <f aca="false">IF(OR(Q102="",Q102="OVERSIZE"),"",Q102/1000)</f>
        <v/>
      </c>
      <c r="S102" s="14" t="str">
        <f aca="false">IF(R102="","",(1/Inputs!$B$9)*(PI()*R102^2/4)*((R102/4)^(2/3))*SQRT(N102))</f>
        <v/>
      </c>
      <c r="T102" s="14" t="str">
        <f aca="false">IF(OR(S102="",L102=""),"",L102/(S102*Inputs!$B$10))</f>
        <v/>
      </c>
      <c r="U102" s="14" t="str">
        <f aca="false">IF(OR(R102="",L102=""),"",4*L102/(PI()*R102^2))</f>
        <v/>
      </c>
      <c r="V102" s="14"/>
      <c r="W102" s="14" t="str">
        <f aca="false">IF(A102="","",IF(A102=Inputs!$B$6,Inputs!$B$22,IF(B102="","",IFERROR(INDEX($X$4:$X$203,MATCH(B102,$A$4:$A$203,0))+IF(V102="",Inputs!$B$20,V102),""))))</f>
        <v/>
      </c>
      <c r="X102" s="14" t="str">
        <f aca="false">IF(OR(W102="",N102="",C102=""),"",W102+N102*C102)</f>
        <v/>
      </c>
      <c r="Y102" s="14"/>
      <c r="Z102" s="14"/>
      <c r="AA102" s="14" t="str">
        <f aca="false">IF(OR(Y102="",W102=""),"",Y102-W102)</f>
        <v/>
      </c>
      <c r="AB102" s="14" t="str">
        <f aca="false">IF(OR(Z102="",X102=""),"",Z102-X102)</f>
        <v/>
      </c>
      <c r="AC102" s="19" t="str">
        <f aca="false">IF(A102="","",IF(OR(T102&gt;1,AND(AV102&lt;&gt;"",AV102&lt;Inputs!$B$11),AND(AV102&lt;&gt;"",AV102&gt;Inputs!$B$12),AA102&lt;Inputs!$B$19,AB102&lt;Inputs!$B$19,N102&lt;Inputs!$B$7,N102&gt;Inputs!$B$8),"CHECK","OK"))</f>
        <v/>
      </c>
      <c r="AD102" s="9" t="str">
        <f aca="false">IF(A102="","",(1/Inputs!$B$9)*(PI()*(Inputs!$F$5/1000)^2/4)*((Inputs!$F$5/1000/4)^(2/3))*SQRT(N102))</f>
        <v/>
      </c>
      <c r="AE102" s="9" t="str">
        <f aca="false">IF(A102="","",(1/Inputs!$B$9)*(PI()*(Inputs!$F$6/1000)^2/4)*((Inputs!$F$6/1000/4)^(2/3))*SQRT(N102))</f>
        <v/>
      </c>
      <c r="AF102" s="9" t="str">
        <f aca="false">IF(A102="","",(1/Inputs!$B$9)*(PI()*(Inputs!$F$7/1000)^2/4)*((Inputs!$F$7/1000/4)^(2/3))*SQRT(N102))</f>
        <v/>
      </c>
      <c r="AG102" s="9" t="str">
        <f aca="false">IF(A102="","",(1/Inputs!$B$9)*(PI()*(Inputs!$F$8/1000)^2/4)*((Inputs!$F$8/1000/4)^(2/3))*SQRT(N102))</f>
        <v/>
      </c>
      <c r="AH102" s="9" t="str">
        <f aca="false">IF(A102="","",(1/Inputs!$B$9)*(PI()*(Inputs!$F$9/1000)^2/4)*((Inputs!$F$9/1000/4)^(2/3))*SQRT(N102))</f>
        <v/>
      </c>
      <c r="AI102" s="9" t="str">
        <f aca="false">IF(A102="","",(1/Inputs!$B$9)*(PI()*(Inputs!$F$10/1000)^2/4)*((Inputs!$F$10/1000/4)^(2/3))*SQRT(N102))</f>
        <v/>
      </c>
      <c r="AJ102" s="9" t="str">
        <f aca="false">IF(A102="","",(1/Inputs!$B$9)*(PI()*(Inputs!$F$11/1000)^2/4)*((Inputs!$F$11/1000/4)^(2/3))*SQRT(N102))</f>
        <v/>
      </c>
      <c r="AK102" s="9" t="str">
        <f aca="false">IF(A102="","",(1/Inputs!$B$9)*(PI()*(Inputs!$F$12/1000)^2/4)*((Inputs!$F$12/1000/4)^(2/3))*SQRT(N102))</f>
        <v/>
      </c>
      <c r="AL102" s="9" t="str">
        <f aca="false">IF(A102="","",(1/Inputs!$B$9)*(PI()*(Inputs!$F$13/1000)^2/4)*((Inputs!$F$13/1000/4)^(2/3))*SQRT(N102))</f>
        <v/>
      </c>
      <c r="AM102" s="9" t="str">
        <f aca="false">IF(A102="","",(1/Inputs!$B$9)*(PI()*(Inputs!$F$14/1000)^2/4)*((Inputs!$F$14/1000/4)^(2/3))*SQRT(N102))</f>
        <v/>
      </c>
      <c r="AN102" s="9" t="str">
        <f aca="false">IF(A102="","",COUNTIF($B$4:$B$203,$A102))</f>
        <v/>
      </c>
      <c r="AO102" s="9" t="str">
        <f aca="false">IF(A102="","",IF(AN102=0,"START","CONTINUOUS"))</f>
        <v/>
      </c>
      <c r="AP102" s="13" t="str">
        <f aca="false">IF(A102="","",IF(H102="",Inputs!$B$18,H102))</f>
        <v/>
      </c>
      <c r="AQ102" s="13" t="str">
        <f aca="false">IF(A102="","",IFERROR(maxifs($AS$4:$AS$203,$B$4:$B$203,$A102),""))</f>
        <v/>
      </c>
      <c r="AR102" s="13" t="str">
        <f aca="false">IF(A102="","",IF(OR(C102="",Inputs!$B$23=""),"",C102/(Inputs!$B$23*60)))</f>
        <v/>
      </c>
      <c r="AS102" s="13" t="str">
        <f aca="false">IF(A102="","",IF(AN102=0,AP102+AR102,IF(AQ102="",AP102+AR102,AQ102+AR102)))</f>
        <v/>
      </c>
      <c r="AT102" s="13" t="str">
        <f aca="false">IF(A102="","",U102)</f>
        <v/>
      </c>
      <c r="AU102" s="13" t="str">
        <f aca="false">IF(OR(R102="",N102=""),"",(1/Inputs!$B$9)*((R102/4)^(2/3))*SQRT(N102))</f>
        <v/>
      </c>
      <c r="AV102" s="13" t="str">
        <f aca="false">IF(A102="","",IF(AND(AT102="",AU102="",AX102=""),"",IF(OR(UPPER(TRIM(Inputs!$B$24))="MANNING",UPPER(TRIM(Inputs!$B$24))="M"),AU102,IF(OR(UPPER(TRIM(Inputs!$B$24))="PARTIAL",UPPER(TRIM(Inputs!$B$24))="P"),AX102,IF(OR(UPPER(TRIM(Inputs!$B$24))="MAX",UPPER(TRIM(Inputs!$B$24))="X"),MAX(IF(AT102="",0,AT102),IF(AU102="",0,AU102),IF(AX102="",0,AX102)),AT102)))))</f>
        <v/>
      </c>
      <c r="AW102" s="13" t="str">
        <f aca="false">IF(AY102="","",CE102)</f>
        <v/>
      </c>
      <c r="AX102" s="13" t="str">
        <f aca="false">IF(OR(AY102="",AW102="",R102="",R102&lt;=0,AW102&lt;=0),"",AY102/((R102^2/8)*(2*ACOS(1-2*AW102/R102)-SIN(2*ACOS(1-2*AW102/R102)))))</f>
        <v/>
      </c>
      <c r="AY102" s="9" t="str">
        <f aca="false">IF(OR(L102="",AZ102=""),"",MIN(L102,AZ102))</f>
        <v/>
      </c>
      <c r="AZ102" s="9" t="str">
        <f aca="false">IF(OR(L102="",R102="",N102=""),"",IF(OR(R102="",N102="",(0.94*R102)="",R102&lt;=0,(0.94*R102)&lt;=0),"",(1/Inputs!$B$9)*((R102^2/8)*((2*ACOS(1-2*(0.94*R102)/R102))-SIN((2*ACOS(1-2*(0.94*R102)/R102)))))*((((R102^2/8)*((2*ACOS(1-2*(0.94*R102)/R102))-SIN((2*ACOS(1-2*(0.94*R102)/R102)))))/((R102/2)*((2*ACOS(1-2*(0.94*R102)/R102)))))^(2/3))*SQRT(N102)))</f>
        <v/>
      </c>
      <c r="BA102" s="9" t="str">
        <f aca="false">IF(AY102="","",0.001*R102)</f>
        <v/>
      </c>
      <c r="BB102" s="9" t="str">
        <f aca="false">IF(AY102="","",0.94*R102)</f>
        <v/>
      </c>
      <c r="BC102" s="9" t="str">
        <f aca="false">IF(AY102="","",(BA102+BB102)/2)</f>
        <v/>
      </c>
      <c r="BD102" s="9" t="str">
        <f aca="false">IF(OR(R102="",N102="",BC102="",R102&lt;=0,BC102&lt;=0),"",(1/Inputs!$B$9)*((R102^2/8)*((2*ACOS(1-2*BC102/R102))-SIN((2*ACOS(1-2*BC102/R102)))))*((((R102^2/8)*((2*ACOS(1-2*BC102/R102))-SIN((2*ACOS(1-2*BC102/R102)))))/((R102/2)*((2*ACOS(1-2*BC102/R102)))))^(2/3))*SQRT(N102))</f>
        <v/>
      </c>
      <c r="BE102" s="9" t="str">
        <f aca="false">IF(AY102="","",IF(BD102&lt;AY102,BC102,BA102))</f>
        <v/>
      </c>
      <c r="BF102" s="9" t="str">
        <f aca="false">IF(AY102="","",IF(BD102&lt;AY102,BB102,BC102))</f>
        <v/>
      </c>
      <c r="BG102" s="9" t="str">
        <f aca="false">IF(AY102="","",(BE102+BF102)/2)</f>
        <v/>
      </c>
      <c r="BH102" s="9" t="str">
        <f aca="false">IF(OR(R102="",N102="",BG102="",R102&lt;=0,BG102&lt;=0),"",(1/Inputs!$B$9)*((R102^2/8)*((2*ACOS(1-2*BG102/R102))-SIN((2*ACOS(1-2*BG102/R102)))))*((((R102^2/8)*((2*ACOS(1-2*BG102/R102))-SIN((2*ACOS(1-2*BG102/R102)))))/((R102/2)*((2*ACOS(1-2*BG102/R102)))))^(2/3))*SQRT(N102))</f>
        <v/>
      </c>
      <c r="BI102" s="9" t="str">
        <f aca="false">IF(AY102="","",IF(BH102&lt;AY102,BG102,BE102))</f>
        <v/>
      </c>
      <c r="BJ102" s="9" t="str">
        <f aca="false">IF(AY102="","",IF(BH102&lt;AY102,BF102,BG102))</f>
        <v/>
      </c>
      <c r="BK102" s="9" t="str">
        <f aca="false">IF(AY102="","",(BI102+BJ102)/2)</f>
        <v/>
      </c>
      <c r="BL102" s="9" t="str">
        <f aca="false">IF(OR(R102="",N102="",BK102="",R102&lt;=0,BK102&lt;=0),"",(1/Inputs!$B$9)*((R102^2/8)*((2*ACOS(1-2*BK102/R102))-SIN((2*ACOS(1-2*BK102/R102)))))*((((R102^2/8)*((2*ACOS(1-2*BK102/R102))-SIN((2*ACOS(1-2*BK102/R102)))))/((R102/2)*((2*ACOS(1-2*BK102/R102)))))^(2/3))*SQRT(N102))</f>
        <v/>
      </c>
      <c r="BM102" s="9" t="str">
        <f aca="false">IF(AY102="","",IF(BL102&lt;AY102,BK102,BI102))</f>
        <v/>
      </c>
      <c r="BN102" s="9" t="str">
        <f aca="false">IF(AY102="","",IF(BL102&lt;AY102,BJ102,BK102))</f>
        <v/>
      </c>
      <c r="BO102" s="9" t="str">
        <f aca="false">IF(AY102="","",(BM102+BN102)/2)</f>
        <v/>
      </c>
      <c r="BP102" s="9" t="str">
        <f aca="false">IF(OR(R102="",N102="",BO102="",R102&lt;=0,BO102&lt;=0),"",(1/Inputs!$B$9)*((R102^2/8)*((2*ACOS(1-2*BO102/R102))-SIN((2*ACOS(1-2*BO102/R102)))))*((((R102^2/8)*((2*ACOS(1-2*BO102/R102))-SIN((2*ACOS(1-2*BO102/R102)))))/((R102/2)*((2*ACOS(1-2*BO102/R102)))))^(2/3))*SQRT(N102))</f>
        <v/>
      </c>
      <c r="BQ102" s="9" t="str">
        <f aca="false">IF(AY102="","",IF(BP102&lt;AY102,BO102,BM102))</f>
        <v/>
      </c>
      <c r="BR102" s="9" t="str">
        <f aca="false">IF(AY102="","",IF(BP102&lt;AY102,BN102,BO102))</f>
        <v/>
      </c>
      <c r="BS102" s="9" t="str">
        <f aca="false">IF(AY102="","",(BQ102+BR102)/2)</f>
        <v/>
      </c>
      <c r="BT102" s="9" t="str">
        <f aca="false">IF(OR(R102="",N102="",BS102="",R102&lt;=0,BS102&lt;=0),"",(1/Inputs!$B$9)*((R102^2/8)*((2*ACOS(1-2*BS102/R102))-SIN((2*ACOS(1-2*BS102/R102)))))*((((R102^2/8)*((2*ACOS(1-2*BS102/R102))-SIN((2*ACOS(1-2*BS102/R102)))))/((R102/2)*((2*ACOS(1-2*BS102/R102)))))^(2/3))*SQRT(N102))</f>
        <v/>
      </c>
      <c r="BU102" s="9" t="str">
        <f aca="false">IF(AY102="","",IF(BT102&lt;AY102,BS102,BQ102))</f>
        <v/>
      </c>
      <c r="BV102" s="9" t="str">
        <f aca="false">IF(AY102="","",IF(BT102&lt;AY102,BR102,BS102))</f>
        <v/>
      </c>
      <c r="BW102" s="9" t="str">
        <f aca="false">IF(AY102="","",(BU102+BV102)/2)</f>
        <v/>
      </c>
      <c r="BX102" s="9" t="str">
        <f aca="false">IF(OR(R102="",N102="",BW102="",R102&lt;=0,BW102&lt;=0),"",(1/Inputs!$B$9)*((R102^2/8)*((2*ACOS(1-2*BW102/R102))-SIN((2*ACOS(1-2*BW102/R102)))))*((((R102^2/8)*((2*ACOS(1-2*BW102/R102))-SIN((2*ACOS(1-2*BW102/R102)))))/((R102/2)*((2*ACOS(1-2*BW102/R102)))))^(2/3))*SQRT(N102))</f>
        <v/>
      </c>
      <c r="BY102" s="9" t="str">
        <f aca="false">IF(AY102="","",IF(BX102&lt;AY102,BW102,BU102))</f>
        <v/>
      </c>
      <c r="BZ102" s="9" t="str">
        <f aca="false">IF(AY102="","",IF(BX102&lt;AY102,BV102,BW102))</f>
        <v/>
      </c>
      <c r="CA102" s="9" t="str">
        <f aca="false">IF(AY102="","",(BY102+BZ102)/2)</f>
        <v/>
      </c>
      <c r="CB102" s="9" t="str">
        <f aca="false">IF(OR(R102="",N102="",CA102="",R102&lt;=0,CA102&lt;=0),"",(1/Inputs!$B$9)*((R102^2/8)*((2*ACOS(1-2*CA102/R102))-SIN((2*ACOS(1-2*CA102/R102)))))*((((R102^2/8)*((2*ACOS(1-2*CA102/R102))-SIN((2*ACOS(1-2*CA102/R102)))))/((R102/2)*((2*ACOS(1-2*CA102/R102)))))^(2/3))*SQRT(N102))</f>
        <v/>
      </c>
      <c r="CC102" s="9" t="str">
        <f aca="false">IF(AY102="","",IF(CB102&lt;AY102,CA102,BY102))</f>
        <v/>
      </c>
      <c r="CD102" s="9" t="str">
        <f aca="false">IF(AY102="","",IF(CB102&lt;AY102,BZ102,CA102))</f>
        <v/>
      </c>
      <c r="CE102" s="9" t="str">
        <f aca="false">IF(AY102="","",(CC102+CD102)/2)</f>
        <v/>
      </c>
    </row>
    <row r="103" customFormat="false" ht="15" hidden="false" customHeight="false" outlineLevel="0" collapsed="false">
      <c r="A103" s="9"/>
      <c r="B103" s="9"/>
      <c r="C103" s="14"/>
      <c r="D103" s="14"/>
      <c r="E103" s="14" t="n">
        <f aca="false">SUMIFS(CB_Tributaires!$C:$C,CB_Tributaires!$B:$B,$A103)</f>
        <v>0</v>
      </c>
      <c r="F103" s="14" t="n">
        <f aca="false">IF(D103="",E103,D103)</f>
        <v>0</v>
      </c>
      <c r="G103" s="9"/>
      <c r="H103" s="14"/>
      <c r="I103" s="14" t="str">
        <f aca="false">IF(A103="","",Inputs!$B$13/((IF(AS103="",Inputs!$B$18,AS103)+Inputs!$B$14)^Inputs!$B$15))</f>
        <v/>
      </c>
      <c r="J103" s="14" t="str">
        <f aca="false">IF(A103="","",0.000000278*IF(G103="",Inputs!$B$17,G103)*F103*I103)</f>
        <v/>
      </c>
      <c r="K103" s="14" t="str">
        <f aca="false">IF(A103="","",SUMIFS($L$4:$L$203,$B$4:$B$203,$A103))</f>
        <v/>
      </c>
      <c r="L103" s="14" t="str">
        <f aca="false">IF(A103="","",(J103+K103)*Inputs!$B$16)</f>
        <v/>
      </c>
      <c r="M103" s="14"/>
      <c r="N103" s="14" t="str">
        <f aca="false">IF(A103="","",IF(M103="",Inputs!$B$7,M103))</f>
        <v/>
      </c>
      <c r="O103" s="9" t="str">
        <f aca="false">IF(A103="","",IF(L103/Inputs!$B$10&lt;=AD103,Inputs!$F$5,IF(L103/Inputs!$B$10&gt;AM103,"OVERSIZE",INDEX(Inputs!$F$5:$F$14,MATCH(L103/Inputs!$B$10,AD103:AM103,1)+1))))</f>
        <v/>
      </c>
      <c r="P103" s="9"/>
      <c r="Q103" s="9" t="str">
        <f aca="false">IF(A103="","",IF(P103="",O103,P103))</f>
        <v/>
      </c>
      <c r="R103" s="14" t="str">
        <f aca="false">IF(OR(Q103="",Q103="OVERSIZE"),"",Q103/1000)</f>
        <v/>
      </c>
      <c r="S103" s="14" t="str">
        <f aca="false">IF(R103="","",(1/Inputs!$B$9)*(PI()*R103^2/4)*((R103/4)^(2/3))*SQRT(N103))</f>
        <v/>
      </c>
      <c r="T103" s="14" t="str">
        <f aca="false">IF(OR(S103="",L103=""),"",L103/(S103*Inputs!$B$10))</f>
        <v/>
      </c>
      <c r="U103" s="14" t="str">
        <f aca="false">IF(OR(R103="",L103=""),"",4*L103/(PI()*R103^2))</f>
        <v/>
      </c>
      <c r="V103" s="14"/>
      <c r="W103" s="14" t="str">
        <f aca="false">IF(A103="","",IF(A103=Inputs!$B$6,Inputs!$B$22,IF(B103="","",IFERROR(INDEX($X$4:$X$203,MATCH(B103,$A$4:$A$203,0))+IF(V103="",Inputs!$B$20,V103),""))))</f>
        <v/>
      </c>
      <c r="X103" s="14" t="str">
        <f aca="false">IF(OR(W103="",N103="",C103=""),"",W103+N103*C103)</f>
        <v/>
      </c>
      <c r="Y103" s="14"/>
      <c r="Z103" s="14"/>
      <c r="AA103" s="14" t="str">
        <f aca="false">IF(OR(Y103="",W103=""),"",Y103-W103)</f>
        <v/>
      </c>
      <c r="AB103" s="14" t="str">
        <f aca="false">IF(OR(Z103="",X103=""),"",Z103-X103)</f>
        <v/>
      </c>
      <c r="AC103" s="19" t="str">
        <f aca="false">IF(A103="","",IF(OR(T103&gt;1,AND(AV103&lt;&gt;"",AV103&lt;Inputs!$B$11),AND(AV103&lt;&gt;"",AV103&gt;Inputs!$B$12),AA103&lt;Inputs!$B$19,AB103&lt;Inputs!$B$19,N103&lt;Inputs!$B$7,N103&gt;Inputs!$B$8),"CHECK","OK"))</f>
        <v/>
      </c>
      <c r="AD103" s="9" t="str">
        <f aca="false">IF(A103="","",(1/Inputs!$B$9)*(PI()*(Inputs!$F$5/1000)^2/4)*((Inputs!$F$5/1000/4)^(2/3))*SQRT(N103))</f>
        <v/>
      </c>
      <c r="AE103" s="9" t="str">
        <f aca="false">IF(A103="","",(1/Inputs!$B$9)*(PI()*(Inputs!$F$6/1000)^2/4)*((Inputs!$F$6/1000/4)^(2/3))*SQRT(N103))</f>
        <v/>
      </c>
      <c r="AF103" s="9" t="str">
        <f aca="false">IF(A103="","",(1/Inputs!$B$9)*(PI()*(Inputs!$F$7/1000)^2/4)*((Inputs!$F$7/1000/4)^(2/3))*SQRT(N103))</f>
        <v/>
      </c>
      <c r="AG103" s="9" t="str">
        <f aca="false">IF(A103="","",(1/Inputs!$B$9)*(PI()*(Inputs!$F$8/1000)^2/4)*((Inputs!$F$8/1000/4)^(2/3))*SQRT(N103))</f>
        <v/>
      </c>
      <c r="AH103" s="9" t="str">
        <f aca="false">IF(A103="","",(1/Inputs!$B$9)*(PI()*(Inputs!$F$9/1000)^2/4)*((Inputs!$F$9/1000/4)^(2/3))*SQRT(N103))</f>
        <v/>
      </c>
      <c r="AI103" s="9" t="str">
        <f aca="false">IF(A103="","",(1/Inputs!$B$9)*(PI()*(Inputs!$F$10/1000)^2/4)*((Inputs!$F$10/1000/4)^(2/3))*SQRT(N103))</f>
        <v/>
      </c>
      <c r="AJ103" s="9" t="str">
        <f aca="false">IF(A103="","",(1/Inputs!$B$9)*(PI()*(Inputs!$F$11/1000)^2/4)*((Inputs!$F$11/1000/4)^(2/3))*SQRT(N103))</f>
        <v/>
      </c>
      <c r="AK103" s="9" t="str">
        <f aca="false">IF(A103="","",(1/Inputs!$B$9)*(PI()*(Inputs!$F$12/1000)^2/4)*((Inputs!$F$12/1000/4)^(2/3))*SQRT(N103))</f>
        <v/>
      </c>
      <c r="AL103" s="9" t="str">
        <f aca="false">IF(A103="","",(1/Inputs!$B$9)*(PI()*(Inputs!$F$13/1000)^2/4)*((Inputs!$F$13/1000/4)^(2/3))*SQRT(N103))</f>
        <v/>
      </c>
      <c r="AM103" s="9" t="str">
        <f aca="false">IF(A103="","",(1/Inputs!$B$9)*(PI()*(Inputs!$F$14/1000)^2/4)*((Inputs!$F$14/1000/4)^(2/3))*SQRT(N103))</f>
        <v/>
      </c>
      <c r="AN103" s="9" t="str">
        <f aca="false">IF(A103="","",COUNTIF($B$4:$B$203,$A103))</f>
        <v/>
      </c>
      <c r="AO103" s="9" t="str">
        <f aca="false">IF(A103="","",IF(AN103=0,"START","CONTINUOUS"))</f>
        <v/>
      </c>
      <c r="AP103" s="13" t="str">
        <f aca="false">IF(A103="","",IF(H103="",Inputs!$B$18,H103))</f>
        <v/>
      </c>
      <c r="AQ103" s="13" t="str">
        <f aca="false">IF(A103="","",IFERROR(maxifs($AS$4:$AS$203,$B$4:$B$203,$A103),""))</f>
        <v/>
      </c>
      <c r="AR103" s="13" t="str">
        <f aca="false">IF(A103="","",IF(OR(C103="",Inputs!$B$23=""),"",C103/(Inputs!$B$23*60)))</f>
        <v/>
      </c>
      <c r="AS103" s="13" t="str">
        <f aca="false">IF(A103="","",IF(AN103=0,AP103+AR103,IF(AQ103="",AP103+AR103,AQ103+AR103)))</f>
        <v/>
      </c>
      <c r="AT103" s="13" t="str">
        <f aca="false">IF(A103="","",U103)</f>
        <v/>
      </c>
      <c r="AU103" s="13" t="str">
        <f aca="false">IF(OR(R103="",N103=""),"",(1/Inputs!$B$9)*((R103/4)^(2/3))*SQRT(N103))</f>
        <v/>
      </c>
      <c r="AV103" s="13" t="str">
        <f aca="false">IF(A103="","",IF(AND(AT103="",AU103="",AX103=""),"",IF(OR(UPPER(TRIM(Inputs!$B$24))="MANNING",UPPER(TRIM(Inputs!$B$24))="M"),AU103,IF(OR(UPPER(TRIM(Inputs!$B$24))="PARTIAL",UPPER(TRIM(Inputs!$B$24))="P"),AX103,IF(OR(UPPER(TRIM(Inputs!$B$24))="MAX",UPPER(TRIM(Inputs!$B$24))="X"),MAX(IF(AT103="",0,AT103),IF(AU103="",0,AU103),IF(AX103="",0,AX103)),AT103)))))</f>
        <v/>
      </c>
      <c r="AW103" s="13" t="str">
        <f aca="false">IF(AY103="","",CE103)</f>
        <v/>
      </c>
      <c r="AX103" s="13" t="str">
        <f aca="false">IF(OR(AY103="",AW103="",R103="",R103&lt;=0,AW103&lt;=0),"",AY103/((R103^2/8)*(2*ACOS(1-2*AW103/R103)-SIN(2*ACOS(1-2*AW103/R103)))))</f>
        <v/>
      </c>
      <c r="AY103" s="9" t="str">
        <f aca="false">IF(OR(L103="",AZ103=""),"",MIN(L103,AZ103))</f>
        <v/>
      </c>
      <c r="AZ103" s="9" t="str">
        <f aca="false">IF(OR(L103="",R103="",N103=""),"",IF(OR(R103="",N103="",(0.94*R103)="",R103&lt;=0,(0.94*R103)&lt;=0),"",(1/Inputs!$B$9)*((R103^2/8)*((2*ACOS(1-2*(0.94*R103)/R103))-SIN((2*ACOS(1-2*(0.94*R103)/R103)))))*((((R103^2/8)*((2*ACOS(1-2*(0.94*R103)/R103))-SIN((2*ACOS(1-2*(0.94*R103)/R103)))))/((R103/2)*((2*ACOS(1-2*(0.94*R103)/R103)))))^(2/3))*SQRT(N103)))</f>
        <v/>
      </c>
      <c r="BA103" s="9" t="str">
        <f aca="false">IF(AY103="","",0.001*R103)</f>
        <v/>
      </c>
      <c r="BB103" s="9" t="str">
        <f aca="false">IF(AY103="","",0.94*R103)</f>
        <v/>
      </c>
      <c r="BC103" s="9" t="str">
        <f aca="false">IF(AY103="","",(BA103+BB103)/2)</f>
        <v/>
      </c>
      <c r="BD103" s="9" t="str">
        <f aca="false">IF(OR(R103="",N103="",BC103="",R103&lt;=0,BC103&lt;=0),"",(1/Inputs!$B$9)*((R103^2/8)*((2*ACOS(1-2*BC103/R103))-SIN((2*ACOS(1-2*BC103/R103)))))*((((R103^2/8)*((2*ACOS(1-2*BC103/R103))-SIN((2*ACOS(1-2*BC103/R103)))))/((R103/2)*((2*ACOS(1-2*BC103/R103)))))^(2/3))*SQRT(N103))</f>
        <v/>
      </c>
      <c r="BE103" s="9" t="str">
        <f aca="false">IF(AY103="","",IF(BD103&lt;AY103,BC103,BA103))</f>
        <v/>
      </c>
      <c r="BF103" s="9" t="str">
        <f aca="false">IF(AY103="","",IF(BD103&lt;AY103,BB103,BC103))</f>
        <v/>
      </c>
      <c r="BG103" s="9" t="str">
        <f aca="false">IF(AY103="","",(BE103+BF103)/2)</f>
        <v/>
      </c>
      <c r="BH103" s="9" t="str">
        <f aca="false">IF(OR(R103="",N103="",BG103="",R103&lt;=0,BG103&lt;=0),"",(1/Inputs!$B$9)*((R103^2/8)*((2*ACOS(1-2*BG103/R103))-SIN((2*ACOS(1-2*BG103/R103)))))*((((R103^2/8)*((2*ACOS(1-2*BG103/R103))-SIN((2*ACOS(1-2*BG103/R103)))))/((R103/2)*((2*ACOS(1-2*BG103/R103)))))^(2/3))*SQRT(N103))</f>
        <v/>
      </c>
      <c r="BI103" s="9" t="str">
        <f aca="false">IF(AY103="","",IF(BH103&lt;AY103,BG103,BE103))</f>
        <v/>
      </c>
      <c r="BJ103" s="9" t="str">
        <f aca="false">IF(AY103="","",IF(BH103&lt;AY103,BF103,BG103))</f>
        <v/>
      </c>
      <c r="BK103" s="9" t="str">
        <f aca="false">IF(AY103="","",(BI103+BJ103)/2)</f>
        <v/>
      </c>
      <c r="BL103" s="9" t="str">
        <f aca="false">IF(OR(R103="",N103="",BK103="",R103&lt;=0,BK103&lt;=0),"",(1/Inputs!$B$9)*((R103^2/8)*((2*ACOS(1-2*BK103/R103))-SIN((2*ACOS(1-2*BK103/R103)))))*((((R103^2/8)*((2*ACOS(1-2*BK103/R103))-SIN((2*ACOS(1-2*BK103/R103)))))/((R103/2)*((2*ACOS(1-2*BK103/R103)))))^(2/3))*SQRT(N103))</f>
        <v/>
      </c>
      <c r="BM103" s="9" t="str">
        <f aca="false">IF(AY103="","",IF(BL103&lt;AY103,BK103,BI103))</f>
        <v/>
      </c>
      <c r="BN103" s="9" t="str">
        <f aca="false">IF(AY103="","",IF(BL103&lt;AY103,BJ103,BK103))</f>
        <v/>
      </c>
      <c r="BO103" s="9" t="str">
        <f aca="false">IF(AY103="","",(BM103+BN103)/2)</f>
        <v/>
      </c>
      <c r="BP103" s="9" t="str">
        <f aca="false">IF(OR(R103="",N103="",BO103="",R103&lt;=0,BO103&lt;=0),"",(1/Inputs!$B$9)*((R103^2/8)*((2*ACOS(1-2*BO103/R103))-SIN((2*ACOS(1-2*BO103/R103)))))*((((R103^2/8)*((2*ACOS(1-2*BO103/R103))-SIN((2*ACOS(1-2*BO103/R103)))))/((R103/2)*((2*ACOS(1-2*BO103/R103)))))^(2/3))*SQRT(N103))</f>
        <v/>
      </c>
      <c r="BQ103" s="9" t="str">
        <f aca="false">IF(AY103="","",IF(BP103&lt;AY103,BO103,BM103))</f>
        <v/>
      </c>
      <c r="BR103" s="9" t="str">
        <f aca="false">IF(AY103="","",IF(BP103&lt;AY103,BN103,BO103))</f>
        <v/>
      </c>
      <c r="BS103" s="9" t="str">
        <f aca="false">IF(AY103="","",(BQ103+BR103)/2)</f>
        <v/>
      </c>
      <c r="BT103" s="9" t="str">
        <f aca="false">IF(OR(R103="",N103="",BS103="",R103&lt;=0,BS103&lt;=0),"",(1/Inputs!$B$9)*((R103^2/8)*((2*ACOS(1-2*BS103/R103))-SIN((2*ACOS(1-2*BS103/R103)))))*((((R103^2/8)*((2*ACOS(1-2*BS103/R103))-SIN((2*ACOS(1-2*BS103/R103)))))/((R103/2)*((2*ACOS(1-2*BS103/R103)))))^(2/3))*SQRT(N103))</f>
        <v/>
      </c>
      <c r="BU103" s="9" t="str">
        <f aca="false">IF(AY103="","",IF(BT103&lt;AY103,BS103,BQ103))</f>
        <v/>
      </c>
      <c r="BV103" s="9" t="str">
        <f aca="false">IF(AY103="","",IF(BT103&lt;AY103,BR103,BS103))</f>
        <v/>
      </c>
      <c r="BW103" s="9" t="str">
        <f aca="false">IF(AY103="","",(BU103+BV103)/2)</f>
        <v/>
      </c>
      <c r="BX103" s="9" t="str">
        <f aca="false">IF(OR(R103="",N103="",BW103="",R103&lt;=0,BW103&lt;=0),"",(1/Inputs!$B$9)*((R103^2/8)*((2*ACOS(1-2*BW103/R103))-SIN((2*ACOS(1-2*BW103/R103)))))*((((R103^2/8)*((2*ACOS(1-2*BW103/R103))-SIN((2*ACOS(1-2*BW103/R103)))))/((R103/2)*((2*ACOS(1-2*BW103/R103)))))^(2/3))*SQRT(N103))</f>
        <v/>
      </c>
      <c r="BY103" s="9" t="str">
        <f aca="false">IF(AY103="","",IF(BX103&lt;AY103,BW103,BU103))</f>
        <v/>
      </c>
      <c r="BZ103" s="9" t="str">
        <f aca="false">IF(AY103="","",IF(BX103&lt;AY103,BV103,BW103))</f>
        <v/>
      </c>
      <c r="CA103" s="9" t="str">
        <f aca="false">IF(AY103="","",(BY103+BZ103)/2)</f>
        <v/>
      </c>
      <c r="CB103" s="9" t="str">
        <f aca="false">IF(OR(R103="",N103="",CA103="",R103&lt;=0,CA103&lt;=0),"",(1/Inputs!$B$9)*((R103^2/8)*((2*ACOS(1-2*CA103/R103))-SIN((2*ACOS(1-2*CA103/R103)))))*((((R103^2/8)*((2*ACOS(1-2*CA103/R103))-SIN((2*ACOS(1-2*CA103/R103)))))/((R103/2)*((2*ACOS(1-2*CA103/R103)))))^(2/3))*SQRT(N103))</f>
        <v/>
      </c>
      <c r="CC103" s="9" t="str">
        <f aca="false">IF(AY103="","",IF(CB103&lt;AY103,CA103,BY103))</f>
        <v/>
      </c>
      <c r="CD103" s="9" t="str">
        <f aca="false">IF(AY103="","",IF(CB103&lt;AY103,BZ103,CA103))</f>
        <v/>
      </c>
      <c r="CE103" s="9" t="str">
        <f aca="false">IF(AY103="","",(CC103+CD103)/2)</f>
        <v/>
      </c>
    </row>
    <row r="104" customFormat="false" ht="15" hidden="false" customHeight="false" outlineLevel="0" collapsed="false">
      <c r="A104" s="9"/>
      <c r="B104" s="9"/>
      <c r="C104" s="14"/>
      <c r="D104" s="14"/>
      <c r="E104" s="14" t="n">
        <f aca="false">SUMIFS(CB_Tributaires!$C:$C,CB_Tributaires!$B:$B,$A104)</f>
        <v>0</v>
      </c>
      <c r="F104" s="14" t="n">
        <f aca="false">IF(D104="",E104,D104)</f>
        <v>0</v>
      </c>
      <c r="G104" s="9"/>
      <c r="H104" s="14"/>
      <c r="I104" s="14" t="str">
        <f aca="false">IF(A104="","",Inputs!$B$13/((IF(AS104="",Inputs!$B$18,AS104)+Inputs!$B$14)^Inputs!$B$15))</f>
        <v/>
      </c>
      <c r="J104" s="14" t="str">
        <f aca="false">IF(A104="","",0.000000278*IF(G104="",Inputs!$B$17,G104)*F104*I104)</f>
        <v/>
      </c>
      <c r="K104" s="14" t="str">
        <f aca="false">IF(A104="","",SUMIFS($L$4:$L$203,$B$4:$B$203,$A104))</f>
        <v/>
      </c>
      <c r="L104" s="14" t="str">
        <f aca="false">IF(A104="","",(J104+K104)*Inputs!$B$16)</f>
        <v/>
      </c>
      <c r="M104" s="14"/>
      <c r="N104" s="14" t="str">
        <f aca="false">IF(A104="","",IF(M104="",Inputs!$B$7,M104))</f>
        <v/>
      </c>
      <c r="O104" s="9" t="str">
        <f aca="false">IF(A104="","",IF(L104/Inputs!$B$10&lt;=AD104,Inputs!$F$5,IF(L104/Inputs!$B$10&gt;AM104,"OVERSIZE",INDEX(Inputs!$F$5:$F$14,MATCH(L104/Inputs!$B$10,AD104:AM104,1)+1))))</f>
        <v/>
      </c>
      <c r="P104" s="9"/>
      <c r="Q104" s="9" t="str">
        <f aca="false">IF(A104="","",IF(P104="",O104,P104))</f>
        <v/>
      </c>
      <c r="R104" s="14" t="str">
        <f aca="false">IF(OR(Q104="",Q104="OVERSIZE"),"",Q104/1000)</f>
        <v/>
      </c>
      <c r="S104" s="14" t="str">
        <f aca="false">IF(R104="","",(1/Inputs!$B$9)*(PI()*R104^2/4)*((R104/4)^(2/3))*SQRT(N104))</f>
        <v/>
      </c>
      <c r="T104" s="14" t="str">
        <f aca="false">IF(OR(S104="",L104=""),"",L104/(S104*Inputs!$B$10))</f>
        <v/>
      </c>
      <c r="U104" s="14" t="str">
        <f aca="false">IF(OR(R104="",L104=""),"",4*L104/(PI()*R104^2))</f>
        <v/>
      </c>
      <c r="V104" s="14"/>
      <c r="W104" s="14" t="str">
        <f aca="false">IF(A104="","",IF(A104=Inputs!$B$6,Inputs!$B$22,IF(B104="","",IFERROR(INDEX($X$4:$X$203,MATCH(B104,$A$4:$A$203,0))+IF(V104="",Inputs!$B$20,V104),""))))</f>
        <v/>
      </c>
      <c r="X104" s="14" t="str">
        <f aca="false">IF(OR(W104="",N104="",C104=""),"",W104+N104*C104)</f>
        <v/>
      </c>
      <c r="Y104" s="14"/>
      <c r="Z104" s="14"/>
      <c r="AA104" s="14" t="str">
        <f aca="false">IF(OR(Y104="",W104=""),"",Y104-W104)</f>
        <v/>
      </c>
      <c r="AB104" s="14" t="str">
        <f aca="false">IF(OR(Z104="",X104=""),"",Z104-X104)</f>
        <v/>
      </c>
      <c r="AC104" s="19" t="str">
        <f aca="false">IF(A104="","",IF(OR(T104&gt;1,AND(AV104&lt;&gt;"",AV104&lt;Inputs!$B$11),AND(AV104&lt;&gt;"",AV104&gt;Inputs!$B$12),AA104&lt;Inputs!$B$19,AB104&lt;Inputs!$B$19,N104&lt;Inputs!$B$7,N104&gt;Inputs!$B$8),"CHECK","OK"))</f>
        <v/>
      </c>
      <c r="AD104" s="9" t="str">
        <f aca="false">IF(A104="","",(1/Inputs!$B$9)*(PI()*(Inputs!$F$5/1000)^2/4)*((Inputs!$F$5/1000/4)^(2/3))*SQRT(N104))</f>
        <v/>
      </c>
      <c r="AE104" s="9" t="str">
        <f aca="false">IF(A104="","",(1/Inputs!$B$9)*(PI()*(Inputs!$F$6/1000)^2/4)*((Inputs!$F$6/1000/4)^(2/3))*SQRT(N104))</f>
        <v/>
      </c>
      <c r="AF104" s="9" t="str">
        <f aca="false">IF(A104="","",(1/Inputs!$B$9)*(PI()*(Inputs!$F$7/1000)^2/4)*((Inputs!$F$7/1000/4)^(2/3))*SQRT(N104))</f>
        <v/>
      </c>
      <c r="AG104" s="9" t="str">
        <f aca="false">IF(A104="","",(1/Inputs!$B$9)*(PI()*(Inputs!$F$8/1000)^2/4)*((Inputs!$F$8/1000/4)^(2/3))*SQRT(N104))</f>
        <v/>
      </c>
      <c r="AH104" s="9" t="str">
        <f aca="false">IF(A104="","",(1/Inputs!$B$9)*(PI()*(Inputs!$F$9/1000)^2/4)*((Inputs!$F$9/1000/4)^(2/3))*SQRT(N104))</f>
        <v/>
      </c>
      <c r="AI104" s="9" t="str">
        <f aca="false">IF(A104="","",(1/Inputs!$B$9)*(PI()*(Inputs!$F$10/1000)^2/4)*((Inputs!$F$10/1000/4)^(2/3))*SQRT(N104))</f>
        <v/>
      </c>
      <c r="AJ104" s="9" t="str">
        <f aca="false">IF(A104="","",(1/Inputs!$B$9)*(PI()*(Inputs!$F$11/1000)^2/4)*((Inputs!$F$11/1000/4)^(2/3))*SQRT(N104))</f>
        <v/>
      </c>
      <c r="AK104" s="9" t="str">
        <f aca="false">IF(A104="","",(1/Inputs!$B$9)*(PI()*(Inputs!$F$12/1000)^2/4)*((Inputs!$F$12/1000/4)^(2/3))*SQRT(N104))</f>
        <v/>
      </c>
      <c r="AL104" s="9" t="str">
        <f aca="false">IF(A104="","",(1/Inputs!$B$9)*(PI()*(Inputs!$F$13/1000)^2/4)*((Inputs!$F$13/1000/4)^(2/3))*SQRT(N104))</f>
        <v/>
      </c>
      <c r="AM104" s="9" t="str">
        <f aca="false">IF(A104="","",(1/Inputs!$B$9)*(PI()*(Inputs!$F$14/1000)^2/4)*((Inputs!$F$14/1000/4)^(2/3))*SQRT(N104))</f>
        <v/>
      </c>
      <c r="AN104" s="9" t="str">
        <f aca="false">IF(A104="","",COUNTIF($B$4:$B$203,$A104))</f>
        <v/>
      </c>
      <c r="AO104" s="9" t="str">
        <f aca="false">IF(A104="","",IF(AN104=0,"START","CONTINUOUS"))</f>
        <v/>
      </c>
      <c r="AP104" s="13" t="str">
        <f aca="false">IF(A104="","",IF(H104="",Inputs!$B$18,H104))</f>
        <v/>
      </c>
      <c r="AQ104" s="13" t="str">
        <f aca="false">IF(A104="","",IFERROR(maxifs($AS$4:$AS$203,$B$4:$B$203,$A104),""))</f>
        <v/>
      </c>
      <c r="AR104" s="13" t="str">
        <f aca="false">IF(A104="","",IF(OR(C104="",Inputs!$B$23=""),"",C104/(Inputs!$B$23*60)))</f>
        <v/>
      </c>
      <c r="AS104" s="13" t="str">
        <f aca="false">IF(A104="","",IF(AN104=0,AP104+AR104,IF(AQ104="",AP104+AR104,AQ104+AR104)))</f>
        <v/>
      </c>
      <c r="AT104" s="13" t="str">
        <f aca="false">IF(A104="","",U104)</f>
        <v/>
      </c>
      <c r="AU104" s="13" t="str">
        <f aca="false">IF(OR(R104="",N104=""),"",(1/Inputs!$B$9)*((R104/4)^(2/3))*SQRT(N104))</f>
        <v/>
      </c>
      <c r="AV104" s="13" t="str">
        <f aca="false">IF(A104="","",IF(AND(AT104="",AU104="",AX104=""),"",IF(OR(UPPER(TRIM(Inputs!$B$24))="MANNING",UPPER(TRIM(Inputs!$B$24))="M"),AU104,IF(OR(UPPER(TRIM(Inputs!$B$24))="PARTIAL",UPPER(TRIM(Inputs!$B$24))="P"),AX104,IF(OR(UPPER(TRIM(Inputs!$B$24))="MAX",UPPER(TRIM(Inputs!$B$24))="X"),MAX(IF(AT104="",0,AT104),IF(AU104="",0,AU104),IF(AX104="",0,AX104)),AT104)))))</f>
        <v/>
      </c>
      <c r="AW104" s="13" t="str">
        <f aca="false">IF(AY104="","",CE104)</f>
        <v/>
      </c>
      <c r="AX104" s="13" t="str">
        <f aca="false">IF(OR(AY104="",AW104="",R104="",R104&lt;=0,AW104&lt;=0),"",AY104/((R104^2/8)*(2*ACOS(1-2*AW104/R104)-SIN(2*ACOS(1-2*AW104/R104)))))</f>
        <v/>
      </c>
      <c r="AY104" s="9" t="str">
        <f aca="false">IF(OR(L104="",AZ104=""),"",MIN(L104,AZ104))</f>
        <v/>
      </c>
      <c r="AZ104" s="9" t="str">
        <f aca="false">IF(OR(L104="",R104="",N104=""),"",IF(OR(R104="",N104="",(0.94*R104)="",R104&lt;=0,(0.94*R104)&lt;=0),"",(1/Inputs!$B$9)*((R104^2/8)*((2*ACOS(1-2*(0.94*R104)/R104))-SIN((2*ACOS(1-2*(0.94*R104)/R104)))))*((((R104^2/8)*((2*ACOS(1-2*(0.94*R104)/R104))-SIN((2*ACOS(1-2*(0.94*R104)/R104)))))/((R104/2)*((2*ACOS(1-2*(0.94*R104)/R104)))))^(2/3))*SQRT(N104)))</f>
        <v/>
      </c>
      <c r="BA104" s="9" t="str">
        <f aca="false">IF(AY104="","",0.001*R104)</f>
        <v/>
      </c>
      <c r="BB104" s="9" t="str">
        <f aca="false">IF(AY104="","",0.94*R104)</f>
        <v/>
      </c>
      <c r="BC104" s="9" t="str">
        <f aca="false">IF(AY104="","",(BA104+BB104)/2)</f>
        <v/>
      </c>
      <c r="BD104" s="9" t="str">
        <f aca="false">IF(OR(R104="",N104="",BC104="",R104&lt;=0,BC104&lt;=0),"",(1/Inputs!$B$9)*((R104^2/8)*((2*ACOS(1-2*BC104/R104))-SIN((2*ACOS(1-2*BC104/R104)))))*((((R104^2/8)*((2*ACOS(1-2*BC104/R104))-SIN((2*ACOS(1-2*BC104/R104)))))/((R104/2)*((2*ACOS(1-2*BC104/R104)))))^(2/3))*SQRT(N104))</f>
        <v/>
      </c>
      <c r="BE104" s="9" t="str">
        <f aca="false">IF(AY104="","",IF(BD104&lt;AY104,BC104,BA104))</f>
        <v/>
      </c>
      <c r="BF104" s="9" t="str">
        <f aca="false">IF(AY104="","",IF(BD104&lt;AY104,BB104,BC104))</f>
        <v/>
      </c>
      <c r="BG104" s="9" t="str">
        <f aca="false">IF(AY104="","",(BE104+BF104)/2)</f>
        <v/>
      </c>
      <c r="BH104" s="9" t="str">
        <f aca="false">IF(OR(R104="",N104="",BG104="",R104&lt;=0,BG104&lt;=0),"",(1/Inputs!$B$9)*((R104^2/8)*((2*ACOS(1-2*BG104/R104))-SIN((2*ACOS(1-2*BG104/R104)))))*((((R104^2/8)*((2*ACOS(1-2*BG104/R104))-SIN((2*ACOS(1-2*BG104/R104)))))/((R104/2)*((2*ACOS(1-2*BG104/R104)))))^(2/3))*SQRT(N104))</f>
        <v/>
      </c>
      <c r="BI104" s="9" t="str">
        <f aca="false">IF(AY104="","",IF(BH104&lt;AY104,BG104,BE104))</f>
        <v/>
      </c>
      <c r="BJ104" s="9" t="str">
        <f aca="false">IF(AY104="","",IF(BH104&lt;AY104,BF104,BG104))</f>
        <v/>
      </c>
      <c r="BK104" s="9" t="str">
        <f aca="false">IF(AY104="","",(BI104+BJ104)/2)</f>
        <v/>
      </c>
      <c r="BL104" s="9" t="str">
        <f aca="false">IF(OR(R104="",N104="",BK104="",R104&lt;=0,BK104&lt;=0),"",(1/Inputs!$B$9)*((R104^2/8)*((2*ACOS(1-2*BK104/R104))-SIN((2*ACOS(1-2*BK104/R104)))))*((((R104^2/8)*((2*ACOS(1-2*BK104/R104))-SIN((2*ACOS(1-2*BK104/R104)))))/((R104/2)*((2*ACOS(1-2*BK104/R104)))))^(2/3))*SQRT(N104))</f>
        <v/>
      </c>
      <c r="BM104" s="9" t="str">
        <f aca="false">IF(AY104="","",IF(BL104&lt;AY104,BK104,BI104))</f>
        <v/>
      </c>
      <c r="BN104" s="9" t="str">
        <f aca="false">IF(AY104="","",IF(BL104&lt;AY104,BJ104,BK104))</f>
        <v/>
      </c>
      <c r="BO104" s="9" t="str">
        <f aca="false">IF(AY104="","",(BM104+BN104)/2)</f>
        <v/>
      </c>
      <c r="BP104" s="9" t="str">
        <f aca="false">IF(OR(R104="",N104="",BO104="",R104&lt;=0,BO104&lt;=0),"",(1/Inputs!$B$9)*((R104^2/8)*((2*ACOS(1-2*BO104/R104))-SIN((2*ACOS(1-2*BO104/R104)))))*((((R104^2/8)*((2*ACOS(1-2*BO104/R104))-SIN((2*ACOS(1-2*BO104/R104)))))/((R104/2)*((2*ACOS(1-2*BO104/R104)))))^(2/3))*SQRT(N104))</f>
        <v/>
      </c>
      <c r="BQ104" s="9" t="str">
        <f aca="false">IF(AY104="","",IF(BP104&lt;AY104,BO104,BM104))</f>
        <v/>
      </c>
      <c r="BR104" s="9" t="str">
        <f aca="false">IF(AY104="","",IF(BP104&lt;AY104,BN104,BO104))</f>
        <v/>
      </c>
      <c r="BS104" s="9" t="str">
        <f aca="false">IF(AY104="","",(BQ104+BR104)/2)</f>
        <v/>
      </c>
      <c r="BT104" s="9" t="str">
        <f aca="false">IF(OR(R104="",N104="",BS104="",R104&lt;=0,BS104&lt;=0),"",(1/Inputs!$B$9)*((R104^2/8)*((2*ACOS(1-2*BS104/R104))-SIN((2*ACOS(1-2*BS104/R104)))))*((((R104^2/8)*((2*ACOS(1-2*BS104/R104))-SIN((2*ACOS(1-2*BS104/R104)))))/((R104/2)*((2*ACOS(1-2*BS104/R104)))))^(2/3))*SQRT(N104))</f>
        <v/>
      </c>
      <c r="BU104" s="9" t="str">
        <f aca="false">IF(AY104="","",IF(BT104&lt;AY104,BS104,BQ104))</f>
        <v/>
      </c>
      <c r="BV104" s="9" t="str">
        <f aca="false">IF(AY104="","",IF(BT104&lt;AY104,BR104,BS104))</f>
        <v/>
      </c>
      <c r="BW104" s="9" t="str">
        <f aca="false">IF(AY104="","",(BU104+BV104)/2)</f>
        <v/>
      </c>
      <c r="BX104" s="9" t="str">
        <f aca="false">IF(OR(R104="",N104="",BW104="",R104&lt;=0,BW104&lt;=0),"",(1/Inputs!$B$9)*((R104^2/8)*((2*ACOS(1-2*BW104/R104))-SIN((2*ACOS(1-2*BW104/R104)))))*((((R104^2/8)*((2*ACOS(1-2*BW104/R104))-SIN((2*ACOS(1-2*BW104/R104)))))/((R104/2)*((2*ACOS(1-2*BW104/R104)))))^(2/3))*SQRT(N104))</f>
        <v/>
      </c>
      <c r="BY104" s="9" t="str">
        <f aca="false">IF(AY104="","",IF(BX104&lt;AY104,BW104,BU104))</f>
        <v/>
      </c>
      <c r="BZ104" s="9" t="str">
        <f aca="false">IF(AY104="","",IF(BX104&lt;AY104,BV104,BW104))</f>
        <v/>
      </c>
      <c r="CA104" s="9" t="str">
        <f aca="false">IF(AY104="","",(BY104+BZ104)/2)</f>
        <v/>
      </c>
      <c r="CB104" s="9" t="str">
        <f aca="false">IF(OR(R104="",N104="",CA104="",R104&lt;=0,CA104&lt;=0),"",(1/Inputs!$B$9)*((R104^2/8)*((2*ACOS(1-2*CA104/R104))-SIN((2*ACOS(1-2*CA104/R104)))))*((((R104^2/8)*((2*ACOS(1-2*CA104/R104))-SIN((2*ACOS(1-2*CA104/R104)))))/((R104/2)*((2*ACOS(1-2*CA104/R104)))))^(2/3))*SQRT(N104))</f>
        <v/>
      </c>
      <c r="CC104" s="9" t="str">
        <f aca="false">IF(AY104="","",IF(CB104&lt;AY104,CA104,BY104))</f>
        <v/>
      </c>
      <c r="CD104" s="9" t="str">
        <f aca="false">IF(AY104="","",IF(CB104&lt;AY104,BZ104,CA104))</f>
        <v/>
      </c>
      <c r="CE104" s="9" t="str">
        <f aca="false">IF(AY104="","",(CC104+CD104)/2)</f>
        <v/>
      </c>
    </row>
    <row r="105" customFormat="false" ht="15" hidden="false" customHeight="false" outlineLevel="0" collapsed="false">
      <c r="A105" s="9"/>
      <c r="B105" s="9"/>
      <c r="C105" s="14"/>
      <c r="D105" s="14"/>
      <c r="E105" s="14" t="n">
        <f aca="false">SUMIFS(CB_Tributaires!$C:$C,CB_Tributaires!$B:$B,$A105)</f>
        <v>0</v>
      </c>
      <c r="F105" s="14" t="n">
        <f aca="false">IF(D105="",E105,D105)</f>
        <v>0</v>
      </c>
      <c r="G105" s="9"/>
      <c r="H105" s="14"/>
      <c r="I105" s="14" t="str">
        <f aca="false">IF(A105="","",Inputs!$B$13/((IF(AS105="",Inputs!$B$18,AS105)+Inputs!$B$14)^Inputs!$B$15))</f>
        <v/>
      </c>
      <c r="J105" s="14" t="str">
        <f aca="false">IF(A105="","",0.000000278*IF(G105="",Inputs!$B$17,G105)*F105*I105)</f>
        <v/>
      </c>
      <c r="K105" s="14" t="str">
        <f aca="false">IF(A105="","",SUMIFS($L$4:$L$203,$B$4:$B$203,$A105))</f>
        <v/>
      </c>
      <c r="L105" s="14" t="str">
        <f aca="false">IF(A105="","",(J105+K105)*Inputs!$B$16)</f>
        <v/>
      </c>
      <c r="M105" s="14"/>
      <c r="N105" s="14" t="str">
        <f aca="false">IF(A105="","",IF(M105="",Inputs!$B$7,M105))</f>
        <v/>
      </c>
      <c r="O105" s="9" t="str">
        <f aca="false">IF(A105="","",IF(L105/Inputs!$B$10&lt;=AD105,Inputs!$F$5,IF(L105/Inputs!$B$10&gt;AM105,"OVERSIZE",INDEX(Inputs!$F$5:$F$14,MATCH(L105/Inputs!$B$10,AD105:AM105,1)+1))))</f>
        <v/>
      </c>
      <c r="P105" s="9"/>
      <c r="Q105" s="9" t="str">
        <f aca="false">IF(A105="","",IF(P105="",O105,P105))</f>
        <v/>
      </c>
      <c r="R105" s="14" t="str">
        <f aca="false">IF(OR(Q105="",Q105="OVERSIZE"),"",Q105/1000)</f>
        <v/>
      </c>
      <c r="S105" s="14" t="str">
        <f aca="false">IF(R105="","",(1/Inputs!$B$9)*(PI()*R105^2/4)*((R105/4)^(2/3))*SQRT(N105))</f>
        <v/>
      </c>
      <c r="T105" s="14" t="str">
        <f aca="false">IF(OR(S105="",L105=""),"",L105/(S105*Inputs!$B$10))</f>
        <v/>
      </c>
      <c r="U105" s="14" t="str">
        <f aca="false">IF(OR(R105="",L105=""),"",4*L105/(PI()*R105^2))</f>
        <v/>
      </c>
      <c r="V105" s="14"/>
      <c r="W105" s="14" t="str">
        <f aca="false">IF(A105="","",IF(A105=Inputs!$B$6,Inputs!$B$22,IF(B105="","",IFERROR(INDEX($X$4:$X$203,MATCH(B105,$A$4:$A$203,0))+IF(V105="",Inputs!$B$20,V105),""))))</f>
        <v/>
      </c>
      <c r="X105" s="14" t="str">
        <f aca="false">IF(OR(W105="",N105="",C105=""),"",W105+N105*C105)</f>
        <v/>
      </c>
      <c r="Y105" s="14"/>
      <c r="Z105" s="14"/>
      <c r="AA105" s="14" t="str">
        <f aca="false">IF(OR(Y105="",W105=""),"",Y105-W105)</f>
        <v/>
      </c>
      <c r="AB105" s="14" t="str">
        <f aca="false">IF(OR(Z105="",X105=""),"",Z105-X105)</f>
        <v/>
      </c>
      <c r="AC105" s="19" t="str">
        <f aca="false">IF(A105="","",IF(OR(T105&gt;1,AND(AV105&lt;&gt;"",AV105&lt;Inputs!$B$11),AND(AV105&lt;&gt;"",AV105&gt;Inputs!$B$12),AA105&lt;Inputs!$B$19,AB105&lt;Inputs!$B$19,N105&lt;Inputs!$B$7,N105&gt;Inputs!$B$8),"CHECK","OK"))</f>
        <v/>
      </c>
      <c r="AD105" s="9" t="str">
        <f aca="false">IF(A105="","",(1/Inputs!$B$9)*(PI()*(Inputs!$F$5/1000)^2/4)*((Inputs!$F$5/1000/4)^(2/3))*SQRT(N105))</f>
        <v/>
      </c>
      <c r="AE105" s="9" t="str">
        <f aca="false">IF(A105="","",(1/Inputs!$B$9)*(PI()*(Inputs!$F$6/1000)^2/4)*((Inputs!$F$6/1000/4)^(2/3))*SQRT(N105))</f>
        <v/>
      </c>
      <c r="AF105" s="9" t="str">
        <f aca="false">IF(A105="","",(1/Inputs!$B$9)*(PI()*(Inputs!$F$7/1000)^2/4)*((Inputs!$F$7/1000/4)^(2/3))*SQRT(N105))</f>
        <v/>
      </c>
      <c r="AG105" s="9" t="str">
        <f aca="false">IF(A105="","",(1/Inputs!$B$9)*(PI()*(Inputs!$F$8/1000)^2/4)*((Inputs!$F$8/1000/4)^(2/3))*SQRT(N105))</f>
        <v/>
      </c>
      <c r="AH105" s="9" t="str">
        <f aca="false">IF(A105="","",(1/Inputs!$B$9)*(PI()*(Inputs!$F$9/1000)^2/4)*((Inputs!$F$9/1000/4)^(2/3))*SQRT(N105))</f>
        <v/>
      </c>
      <c r="AI105" s="9" t="str">
        <f aca="false">IF(A105="","",(1/Inputs!$B$9)*(PI()*(Inputs!$F$10/1000)^2/4)*((Inputs!$F$10/1000/4)^(2/3))*SQRT(N105))</f>
        <v/>
      </c>
      <c r="AJ105" s="9" t="str">
        <f aca="false">IF(A105="","",(1/Inputs!$B$9)*(PI()*(Inputs!$F$11/1000)^2/4)*((Inputs!$F$11/1000/4)^(2/3))*SQRT(N105))</f>
        <v/>
      </c>
      <c r="AK105" s="9" t="str">
        <f aca="false">IF(A105="","",(1/Inputs!$B$9)*(PI()*(Inputs!$F$12/1000)^2/4)*((Inputs!$F$12/1000/4)^(2/3))*SQRT(N105))</f>
        <v/>
      </c>
      <c r="AL105" s="9" t="str">
        <f aca="false">IF(A105="","",(1/Inputs!$B$9)*(PI()*(Inputs!$F$13/1000)^2/4)*((Inputs!$F$13/1000/4)^(2/3))*SQRT(N105))</f>
        <v/>
      </c>
      <c r="AM105" s="9" t="str">
        <f aca="false">IF(A105="","",(1/Inputs!$B$9)*(PI()*(Inputs!$F$14/1000)^2/4)*((Inputs!$F$14/1000/4)^(2/3))*SQRT(N105))</f>
        <v/>
      </c>
      <c r="AN105" s="9" t="str">
        <f aca="false">IF(A105="","",COUNTIF($B$4:$B$203,$A105))</f>
        <v/>
      </c>
      <c r="AO105" s="9" t="str">
        <f aca="false">IF(A105="","",IF(AN105=0,"START","CONTINUOUS"))</f>
        <v/>
      </c>
      <c r="AP105" s="13" t="str">
        <f aca="false">IF(A105="","",IF(H105="",Inputs!$B$18,H105))</f>
        <v/>
      </c>
      <c r="AQ105" s="13" t="str">
        <f aca="false">IF(A105="","",IFERROR(maxifs($AS$4:$AS$203,$B$4:$B$203,$A105),""))</f>
        <v/>
      </c>
      <c r="AR105" s="13" t="str">
        <f aca="false">IF(A105="","",IF(OR(C105="",Inputs!$B$23=""),"",C105/(Inputs!$B$23*60)))</f>
        <v/>
      </c>
      <c r="AS105" s="13" t="str">
        <f aca="false">IF(A105="","",IF(AN105=0,AP105+AR105,IF(AQ105="",AP105+AR105,AQ105+AR105)))</f>
        <v/>
      </c>
      <c r="AT105" s="13" t="str">
        <f aca="false">IF(A105="","",U105)</f>
        <v/>
      </c>
      <c r="AU105" s="13" t="str">
        <f aca="false">IF(OR(R105="",N105=""),"",(1/Inputs!$B$9)*((R105/4)^(2/3))*SQRT(N105))</f>
        <v/>
      </c>
      <c r="AV105" s="13" t="str">
        <f aca="false">IF(A105="","",IF(AND(AT105="",AU105="",AX105=""),"",IF(OR(UPPER(TRIM(Inputs!$B$24))="MANNING",UPPER(TRIM(Inputs!$B$24))="M"),AU105,IF(OR(UPPER(TRIM(Inputs!$B$24))="PARTIAL",UPPER(TRIM(Inputs!$B$24))="P"),AX105,IF(OR(UPPER(TRIM(Inputs!$B$24))="MAX",UPPER(TRIM(Inputs!$B$24))="X"),MAX(IF(AT105="",0,AT105),IF(AU105="",0,AU105),IF(AX105="",0,AX105)),AT105)))))</f>
        <v/>
      </c>
      <c r="AW105" s="13" t="str">
        <f aca="false">IF(AY105="","",CE105)</f>
        <v/>
      </c>
      <c r="AX105" s="13" t="str">
        <f aca="false">IF(OR(AY105="",AW105="",R105="",R105&lt;=0,AW105&lt;=0),"",AY105/((R105^2/8)*(2*ACOS(1-2*AW105/R105)-SIN(2*ACOS(1-2*AW105/R105)))))</f>
        <v/>
      </c>
      <c r="AY105" s="9" t="str">
        <f aca="false">IF(OR(L105="",AZ105=""),"",MIN(L105,AZ105))</f>
        <v/>
      </c>
      <c r="AZ105" s="9" t="str">
        <f aca="false">IF(OR(L105="",R105="",N105=""),"",IF(OR(R105="",N105="",(0.94*R105)="",R105&lt;=0,(0.94*R105)&lt;=0),"",(1/Inputs!$B$9)*((R105^2/8)*((2*ACOS(1-2*(0.94*R105)/R105))-SIN((2*ACOS(1-2*(0.94*R105)/R105)))))*((((R105^2/8)*((2*ACOS(1-2*(0.94*R105)/R105))-SIN((2*ACOS(1-2*(0.94*R105)/R105)))))/((R105/2)*((2*ACOS(1-2*(0.94*R105)/R105)))))^(2/3))*SQRT(N105)))</f>
        <v/>
      </c>
      <c r="BA105" s="9" t="str">
        <f aca="false">IF(AY105="","",0.001*R105)</f>
        <v/>
      </c>
      <c r="BB105" s="9" t="str">
        <f aca="false">IF(AY105="","",0.94*R105)</f>
        <v/>
      </c>
      <c r="BC105" s="9" t="str">
        <f aca="false">IF(AY105="","",(BA105+BB105)/2)</f>
        <v/>
      </c>
      <c r="BD105" s="9" t="str">
        <f aca="false">IF(OR(R105="",N105="",BC105="",R105&lt;=0,BC105&lt;=0),"",(1/Inputs!$B$9)*((R105^2/8)*((2*ACOS(1-2*BC105/R105))-SIN((2*ACOS(1-2*BC105/R105)))))*((((R105^2/8)*((2*ACOS(1-2*BC105/R105))-SIN((2*ACOS(1-2*BC105/R105)))))/((R105/2)*((2*ACOS(1-2*BC105/R105)))))^(2/3))*SQRT(N105))</f>
        <v/>
      </c>
      <c r="BE105" s="9" t="str">
        <f aca="false">IF(AY105="","",IF(BD105&lt;AY105,BC105,BA105))</f>
        <v/>
      </c>
      <c r="BF105" s="9" t="str">
        <f aca="false">IF(AY105="","",IF(BD105&lt;AY105,BB105,BC105))</f>
        <v/>
      </c>
      <c r="BG105" s="9" t="str">
        <f aca="false">IF(AY105="","",(BE105+BF105)/2)</f>
        <v/>
      </c>
      <c r="BH105" s="9" t="str">
        <f aca="false">IF(OR(R105="",N105="",BG105="",R105&lt;=0,BG105&lt;=0),"",(1/Inputs!$B$9)*((R105^2/8)*((2*ACOS(1-2*BG105/R105))-SIN((2*ACOS(1-2*BG105/R105)))))*((((R105^2/8)*((2*ACOS(1-2*BG105/R105))-SIN((2*ACOS(1-2*BG105/R105)))))/((R105/2)*((2*ACOS(1-2*BG105/R105)))))^(2/3))*SQRT(N105))</f>
        <v/>
      </c>
      <c r="BI105" s="9" t="str">
        <f aca="false">IF(AY105="","",IF(BH105&lt;AY105,BG105,BE105))</f>
        <v/>
      </c>
      <c r="BJ105" s="9" t="str">
        <f aca="false">IF(AY105="","",IF(BH105&lt;AY105,BF105,BG105))</f>
        <v/>
      </c>
      <c r="BK105" s="9" t="str">
        <f aca="false">IF(AY105="","",(BI105+BJ105)/2)</f>
        <v/>
      </c>
      <c r="BL105" s="9" t="str">
        <f aca="false">IF(OR(R105="",N105="",BK105="",R105&lt;=0,BK105&lt;=0),"",(1/Inputs!$B$9)*((R105^2/8)*((2*ACOS(1-2*BK105/R105))-SIN((2*ACOS(1-2*BK105/R105)))))*((((R105^2/8)*((2*ACOS(1-2*BK105/R105))-SIN((2*ACOS(1-2*BK105/R105)))))/((R105/2)*((2*ACOS(1-2*BK105/R105)))))^(2/3))*SQRT(N105))</f>
        <v/>
      </c>
      <c r="BM105" s="9" t="str">
        <f aca="false">IF(AY105="","",IF(BL105&lt;AY105,BK105,BI105))</f>
        <v/>
      </c>
      <c r="BN105" s="9" t="str">
        <f aca="false">IF(AY105="","",IF(BL105&lt;AY105,BJ105,BK105))</f>
        <v/>
      </c>
      <c r="BO105" s="9" t="str">
        <f aca="false">IF(AY105="","",(BM105+BN105)/2)</f>
        <v/>
      </c>
      <c r="BP105" s="9" t="str">
        <f aca="false">IF(OR(R105="",N105="",BO105="",R105&lt;=0,BO105&lt;=0),"",(1/Inputs!$B$9)*((R105^2/8)*((2*ACOS(1-2*BO105/R105))-SIN((2*ACOS(1-2*BO105/R105)))))*((((R105^2/8)*((2*ACOS(1-2*BO105/R105))-SIN((2*ACOS(1-2*BO105/R105)))))/((R105/2)*((2*ACOS(1-2*BO105/R105)))))^(2/3))*SQRT(N105))</f>
        <v/>
      </c>
      <c r="BQ105" s="9" t="str">
        <f aca="false">IF(AY105="","",IF(BP105&lt;AY105,BO105,BM105))</f>
        <v/>
      </c>
      <c r="BR105" s="9" t="str">
        <f aca="false">IF(AY105="","",IF(BP105&lt;AY105,BN105,BO105))</f>
        <v/>
      </c>
      <c r="BS105" s="9" t="str">
        <f aca="false">IF(AY105="","",(BQ105+BR105)/2)</f>
        <v/>
      </c>
      <c r="BT105" s="9" t="str">
        <f aca="false">IF(OR(R105="",N105="",BS105="",R105&lt;=0,BS105&lt;=0),"",(1/Inputs!$B$9)*((R105^2/8)*((2*ACOS(1-2*BS105/R105))-SIN((2*ACOS(1-2*BS105/R105)))))*((((R105^2/8)*((2*ACOS(1-2*BS105/R105))-SIN((2*ACOS(1-2*BS105/R105)))))/((R105/2)*((2*ACOS(1-2*BS105/R105)))))^(2/3))*SQRT(N105))</f>
        <v/>
      </c>
      <c r="BU105" s="9" t="str">
        <f aca="false">IF(AY105="","",IF(BT105&lt;AY105,BS105,BQ105))</f>
        <v/>
      </c>
      <c r="BV105" s="9" t="str">
        <f aca="false">IF(AY105="","",IF(BT105&lt;AY105,BR105,BS105))</f>
        <v/>
      </c>
      <c r="BW105" s="9" t="str">
        <f aca="false">IF(AY105="","",(BU105+BV105)/2)</f>
        <v/>
      </c>
      <c r="BX105" s="9" t="str">
        <f aca="false">IF(OR(R105="",N105="",BW105="",R105&lt;=0,BW105&lt;=0),"",(1/Inputs!$B$9)*((R105^2/8)*((2*ACOS(1-2*BW105/R105))-SIN((2*ACOS(1-2*BW105/R105)))))*((((R105^2/8)*((2*ACOS(1-2*BW105/R105))-SIN((2*ACOS(1-2*BW105/R105)))))/((R105/2)*((2*ACOS(1-2*BW105/R105)))))^(2/3))*SQRT(N105))</f>
        <v/>
      </c>
      <c r="BY105" s="9" t="str">
        <f aca="false">IF(AY105="","",IF(BX105&lt;AY105,BW105,BU105))</f>
        <v/>
      </c>
      <c r="BZ105" s="9" t="str">
        <f aca="false">IF(AY105="","",IF(BX105&lt;AY105,BV105,BW105))</f>
        <v/>
      </c>
      <c r="CA105" s="9" t="str">
        <f aca="false">IF(AY105="","",(BY105+BZ105)/2)</f>
        <v/>
      </c>
      <c r="CB105" s="9" t="str">
        <f aca="false">IF(OR(R105="",N105="",CA105="",R105&lt;=0,CA105&lt;=0),"",(1/Inputs!$B$9)*((R105^2/8)*((2*ACOS(1-2*CA105/R105))-SIN((2*ACOS(1-2*CA105/R105)))))*((((R105^2/8)*((2*ACOS(1-2*CA105/R105))-SIN((2*ACOS(1-2*CA105/R105)))))/((R105/2)*((2*ACOS(1-2*CA105/R105)))))^(2/3))*SQRT(N105))</f>
        <v/>
      </c>
      <c r="CC105" s="9" t="str">
        <f aca="false">IF(AY105="","",IF(CB105&lt;AY105,CA105,BY105))</f>
        <v/>
      </c>
      <c r="CD105" s="9" t="str">
        <f aca="false">IF(AY105="","",IF(CB105&lt;AY105,BZ105,CA105))</f>
        <v/>
      </c>
      <c r="CE105" s="9" t="str">
        <f aca="false">IF(AY105="","",(CC105+CD105)/2)</f>
        <v/>
      </c>
    </row>
    <row r="106" customFormat="false" ht="15" hidden="false" customHeight="false" outlineLevel="0" collapsed="false">
      <c r="A106" s="9"/>
      <c r="B106" s="9"/>
      <c r="C106" s="14"/>
      <c r="D106" s="14"/>
      <c r="E106" s="14" t="n">
        <f aca="false">SUMIFS(CB_Tributaires!$C:$C,CB_Tributaires!$B:$B,$A106)</f>
        <v>0</v>
      </c>
      <c r="F106" s="14" t="n">
        <f aca="false">IF(D106="",E106,D106)</f>
        <v>0</v>
      </c>
      <c r="G106" s="9"/>
      <c r="H106" s="14"/>
      <c r="I106" s="14" t="str">
        <f aca="false">IF(A106="","",Inputs!$B$13/((IF(AS106="",Inputs!$B$18,AS106)+Inputs!$B$14)^Inputs!$B$15))</f>
        <v/>
      </c>
      <c r="J106" s="14" t="str">
        <f aca="false">IF(A106="","",0.000000278*IF(G106="",Inputs!$B$17,G106)*F106*I106)</f>
        <v/>
      </c>
      <c r="K106" s="14" t="str">
        <f aca="false">IF(A106="","",SUMIFS($L$4:$L$203,$B$4:$B$203,$A106))</f>
        <v/>
      </c>
      <c r="L106" s="14" t="str">
        <f aca="false">IF(A106="","",(J106+K106)*Inputs!$B$16)</f>
        <v/>
      </c>
      <c r="M106" s="14"/>
      <c r="N106" s="14" t="str">
        <f aca="false">IF(A106="","",IF(M106="",Inputs!$B$7,M106))</f>
        <v/>
      </c>
      <c r="O106" s="9" t="str">
        <f aca="false">IF(A106="","",IF(L106/Inputs!$B$10&lt;=AD106,Inputs!$F$5,IF(L106/Inputs!$B$10&gt;AM106,"OVERSIZE",INDEX(Inputs!$F$5:$F$14,MATCH(L106/Inputs!$B$10,AD106:AM106,1)+1))))</f>
        <v/>
      </c>
      <c r="P106" s="9"/>
      <c r="Q106" s="9" t="str">
        <f aca="false">IF(A106="","",IF(P106="",O106,P106))</f>
        <v/>
      </c>
      <c r="R106" s="14" t="str">
        <f aca="false">IF(OR(Q106="",Q106="OVERSIZE"),"",Q106/1000)</f>
        <v/>
      </c>
      <c r="S106" s="14" t="str">
        <f aca="false">IF(R106="","",(1/Inputs!$B$9)*(PI()*R106^2/4)*((R106/4)^(2/3))*SQRT(N106))</f>
        <v/>
      </c>
      <c r="T106" s="14" t="str">
        <f aca="false">IF(OR(S106="",L106=""),"",L106/(S106*Inputs!$B$10))</f>
        <v/>
      </c>
      <c r="U106" s="14" t="str">
        <f aca="false">IF(OR(R106="",L106=""),"",4*L106/(PI()*R106^2))</f>
        <v/>
      </c>
      <c r="V106" s="14"/>
      <c r="W106" s="14" t="str">
        <f aca="false">IF(A106="","",IF(A106=Inputs!$B$6,Inputs!$B$22,IF(B106="","",IFERROR(INDEX($X$4:$X$203,MATCH(B106,$A$4:$A$203,0))+IF(V106="",Inputs!$B$20,V106),""))))</f>
        <v/>
      </c>
      <c r="X106" s="14" t="str">
        <f aca="false">IF(OR(W106="",N106="",C106=""),"",W106+N106*C106)</f>
        <v/>
      </c>
      <c r="Y106" s="14"/>
      <c r="Z106" s="14"/>
      <c r="AA106" s="14" t="str">
        <f aca="false">IF(OR(Y106="",W106=""),"",Y106-W106)</f>
        <v/>
      </c>
      <c r="AB106" s="14" t="str">
        <f aca="false">IF(OR(Z106="",X106=""),"",Z106-X106)</f>
        <v/>
      </c>
      <c r="AC106" s="19" t="str">
        <f aca="false">IF(A106="","",IF(OR(T106&gt;1,AND(AV106&lt;&gt;"",AV106&lt;Inputs!$B$11),AND(AV106&lt;&gt;"",AV106&gt;Inputs!$B$12),AA106&lt;Inputs!$B$19,AB106&lt;Inputs!$B$19,N106&lt;Inputs!$B$7,N106&gt;Inputs!$B$8),"CHECK","OK"))</f>
        <v/>
      </c>
      <c r="AD106" s="9" t="str">
        <f aca="false">IF(A106="","",(1/Inputs!$B$9)*(PI()*(Inputs!$F$5/1000)^2/4)*((Inputs!$F$5/1000/4)^(2/3))*SQRT(N106))</f>
        <v/>
      </c>
      <c r="AE106" s="9" t="str">
        <f aca="false">IF(A106="","",(1/Inputs!$B$9)*(PI()*(Inputs!$F$6/1000)^2/4)*((Inputs!$F$6/1000/4)^(2/3))*SQRT(N106))</f>
        <v/>
      </c>
      <c r="AF106" s="9" t="str">
        <f aca="false">IF(A106="","",(1/Inputs!$B$9)*(PI()*(Inputs!$F$7/1000)^2/4)*((Inputs!$F$7/1000/4)^(2/3))*SQRT(N106))</f>
        <v/>
      </c>
      <c r="AG106" s="9" t="str">
        <f aca="false">IF(A106="","",(1/Inputs!$B$9)*(PI()*(Inputs!$F$8/1000)^2/4)*((Inputs!$F$8/1000/4)^(2/3))*SQRT(N106))</f>
        <v/>
      </c>
      <c r="AH106" s="9" t="str">
        <f aca="false">IF(A106="","",(1/Inputs!$B$9)*(PI()*(Inputs!$F$9/1000)^2/4)*((Inputs!$F$9/1000/4)^(2/3))*SQRT(N106))</f>
        <v/>
      </c>
      <c r="AI106" s="9" t="str">
        <f aca="false">IF(A106="","",(1/Inputs!$B$9)*(PI()*(Inputs!$F$10/1000)^2/4)*((Inputs!$F$10/1000/4)^(2/3))*SQRT(N106))</f>
        <v/>
      </c>
      <c r="AJ106" s="9" t="str">
        <f aca="false">IF(A106="","",(1/Inputs!$B$9)*(PI()*(Inputs!$F$11/1000)^2/4)*((Inputs!$F$11/1000/4)^(2/3))*SQRT(N106))</f>
        <v/>
      </c>
      <c r="AK106" s="9" t="str">
        <f aca="false">IF(A106="","",(1/Inputs!$B$9)*(PI()*(Inputs!$F$12/1000)^2/4)*((Inputs!$F$12/1000/4)^(2/3))*SQRT(N106))</f>
        <v/>
      </c>
      <c r="AL106" s="9" t="str">
        <f aca="false">IF(A106="","",(1/Inputs!$B$9)*(PI()*(Inputs!$F$13/1000)^2/4)*((Inputs!$F$13/1000/4)^(2/3))*SQRT(N106))</f>
        <v/>
      </c>
      <c r="AM106" s="9" t="str">
        <f aca="false">IF(A106="","",(1/Inputs!$B$9)*(PI()*(Inputs!$F$14/1000)^2/4)*((Inputs!$F$14/1000/4)^(2/3))*SQRT(N106))</f>
        <v/>
      </c>
      <c r="AN106" s="9" t="str">
        <f aca="false">IF(A106="","",COUNTIF($B$4:$B$203,$A106))</f>
        <v/>
      </c>
      <c r="AO106" s="9" t="str">
        <f aca="false">IF(A106="","",IF(AN106=0,"START","CONTINUOUS"))</f>
        <v/>
      </c>
      <c r="AP106" s="13" t="str">
        <f aca="false">IF(A106="","",IF(H106="",Inputs!$B$18,H106))</f>
        <v/>
      </c>
      <c r="AQ106" s="13" t="str">
        <f aca="false">IF(A106="","",IFERROR(maxifs($AS$4:$AS$203,$B$4:$B$203,$A106),""))</f>
        <v/>
      </c>
      <c r="AR106" s="13" t="str">
        <f aca="false">IF(A106="","",IF(OR(C106="",Inputs!$B$23=""),"",C106/(Inputs!$B$23*60)))</f>
        <v/>
      </c>
      <c r="AS106" s="13" t="str">
        <f aca="false">IF(A106="","",IF(AN106=0,AP106+AR106,IF(AQ106="",AP106+AR106,AQ106+AR106)))</f>
        <v/>
      </c>
      <c r="AT106" s="13" t="str">
        <f aca="false">IF(A106="","",U106)</f>
        <v/>
      </c>
      <c r="AU106" s="13" t="str">
        <f aca="false">IF(OR(R106="",N106=""),"",(1/Inputs!$B$9)*((R106/4)^(2/3))*SQRT(N106))</f>
        <v/>
      </c>
      <c r="AV106" s="13" t="str">
        <f aca="false">IF(A106="","",IF(AND(AT106="",AU106="",AX106=""),"",IF(OR(UPPER(TRIM(Inputs!$B$24))="MANNING",UPPER(TRIM(Inputs!$B$24))="M"),AU106,IF(OR(UPPER(TRIM(Inputs!$B$24))="PARTIAL",UPPER(TRIM(Inputs!$B$24))="P"),AX106,IF(OR(UPPER(TRIM(Inputs!$B$24))="MAX",UPPER(TRIM(Inputs!$B$24))="X"),MAX(IF(AT106="",0,AT106),IF(AU106="",0,AU106),IF(AX106="",0,AX106)),AT106)))))</f>
        <v/>
      </c>
      <c r="AW106" s="13" t="str">
        <f aca="false">IF(AY106="","",CE106)</f>
        <v/>
      </c>
      <c r="AX106" s="13" t="str">
        <f aca="false">IF(OR(AY106="",AW106="",R106="",R106&lt;=0,AW106&lt;=0),"",AY106/((R106^2/8)*(2*ACOS(1-2*AW106/R106)-SIN(2*ACOS(1-2*AW106/R106)))))</f>
        <v/>
      </c>
      <c r="AY106" s="9" t="str">
        <f aca="false">IF(OR(L106="",AZ106=""),"",MIN(L106,AZ106))</f>
        <v/>
      </c>
      <c r="AZ106" s="9" t="str">
        <f aca="false">IF(OR(L106="",R106="",N106=""),"",IF(OR(R106="",N106="",(0.94*R106)="",R106&lt;=0,(0.94*R106)&lt;=0),"",(1/Inputs!$B$9)*((R106^2/8)*((2*ACOS(1-2*(0.94*R106)/R106))-SIN((2*ACOS(1-2*(0.94*R106)/R106)))))*((((R106^2/8)*((2*ACOS(1-2*(0.94*R106)/R106))-SIN((2*ACOS(1-2*(0.94*R106)/R106)))))/((R106/2)*((2*ACOS(1-2*(0.94*R106)/R106)))))^(2/3))*SQRT(N106)))</f>
        <v/>
      </c>
      <c r="BA106" s="9" t="str">
        <f aca="false">IF(AY106="","",0.001*R106)</f>
        <v/>
      </c>
      <c r="BB106" s="9" t="str">
        <f aca="false">IF(AY106="","",0.94*R106)</f>
        <v/>
      </c>
      <c r="BC106" s="9" t="str">
        <f aca="false">IF(AY106="","",(BA106+BB106)/2)</f>
        <v/>
      </c>
      <c r="BD106" s="9" t="str">
        <f aca="false">IF(OR(R106="",N106="",BC106="",R106&lt;=0,BC106&lt;=0),"",(1/Inputs!$B$9)*((R106^2/8)*((2*ACOS(1-2*BC106/R106))-SIN((2*ACOS(1-2*BC106/R106)))))*((((R106^2/8)*((2*ACOS(1-2*BC106/R106))-SIN((2*ACOS(1-2*BC106/R106)))))/((R106/2)*((2*ACOS(1-2*BC106/R106)))))^(2/3))*SQRT(N106))</f>
        <v/>
      </c>
      <c r="BE106" s="9" t="str">
        <f aca="false">IF(AY106="","",IF(BD106&lt;AY106,BC106,BA106))</f>
        <v/>
      </c>
      <c r="BF106" s="9" t="str">
        <f aca="false">IF(AY106="","",IF(BD106&lt;AY106,BB106,BC106))</f>
        <v/>
      </c>
      <c r="BG106" s="9" t="str">
        <f aca="false">IF(AY106="","",(BE106+BF106)/2)</f>
        <v/>
      </c>
      <c r="BH106" s="9" t="str">
        <f aca="false">IF(OR(R106="",N106="",BG106="",R106&lt;=0,BG106&lt;=0),"",(1/Inputs!$B$9)*((R106^2/8)*((2*ACOS(1-2*BG106/R106))-SIN((2*ACOS(1-2*BG106/R106)))))*((((R106^2/8)*((2*ACOS(1-2*BG106/R106))-SIN((2*ACOS(1-2*BG106/R106)))))/((R106/2)*((2*ACOS(1-2*BG106/R106)))))^(2/3))*SQRT(N106))</f>
        <v/>
      </c>
      <c r="BI106" s="9" t="str">
        <f aca="false">IF(AY106="","",IF(BH106&lt;AY106,BG106,BE106))</f>
        <v/>
      </c>
      <c r="BJ106" s="9" t="str">
        <f aca="false">IF(AY106="","",IF(BH106&lt;AY106,BF106,BG106))</f>
        <v/>
      </c>
      <c r="BK106" s="9" t="str">
        <f aca="false">IF(AY106="","",(BI106+BJ106)/2)</f>
        <v/>
      </c>
      <c r="BL106" s="9" t="str">
        <f aca="false">IF(OR(R106="",N106="",BK106="",R106&lt;=0,BK106&lt;=0),"",(1/Inputs!$B$9)*((R106^2/8)*((2*ACOS(1-2*BK106/R106))-SIN((2*ACOS(1-2*BK106/R106)))))*((((R106^2/8)*((2*ACOS(1-2*BK106/R106))-SIN((2*ACOS(1-2*BK106/R106)))))/((R106/2)*((2*ACOS(1-2*BK106/R106)))))^(2/3))*SQRT(N106))</f>
        <v/>
      </c>
      <c r="BM106" s="9" t="str">
        <f aca="false">IF(AY106="","",IF(BL106&lt;AY106,BK106,BI106))</f>
        <v/>
      </c>
      <c r="BN106" s="9" t="str">
        <f aca="false">IF(AY106="","",IF(BL106&lt;AY106,BJ106,BK106))</f>
        <v/>
      </c>
      <c r="BO106" s="9" t="str">
        <f aca="false">IF(AY106="","",(BM106+BN106)/2)</f>
        <v/>
      </c>
      <c r="BP106" s="9" t="str">
        <f aca="false">IF(OR(R106="",N106="",BO106="",R106&lt;=0,BO106&lt;=0),"",(1/Inputs!$B$9)*((R106^2/8)*((2*ACOS(1-2*BO106/R106))-SIN((2*ACOS(1-2*BO106/R106)))))*((((R106^2/8)*((2*ACOS(1-2*BO106/R106))-SIN((2*ACOS(1-2*BO106/R106)))))/((R106/2)*((2*ACOS(1-2*BO106/R106)))))^(2/3))*SQRT(N106))</f>
        <v/>
      </c>
      <c r="BQ106" s="9" t="str">
        <f aca="false">IF(AY106="","",IF(BP106&lt;AY106,BO106,BM106))</f>
        <v/>
      </c>
      <c r="BR106" s="9" t="str">
        <f aca="false">IF(AY106="","",IF(BP106&lt;AY106,BN106,BO106))</f>
        <v/>
      </c>
      <c r="BS106" s="9" t="str">
        <f aca="false">IF(AY106="","",(BQ106+BR106)/2)</f>
        <v/>
      </c>
      <c r="BT106" s="9" t="str">
        <f aca="false">IF(OR(R106="",N106="",BS106="",R106&lt;=0,BS106&lt;=0),"",(1/Inputs!$B$9)*((R106^2/8)*((2*ACOS(1-2*BS106/R106))-SIN((2*ACOS(1-2*BS106/R106)))))*((((R106^2/8)*((2*ACOS(1-2*BS106/R106))-SIN((2*ACOS(1-2*BS106/R106)))))/((R106/2)*((2*ACOS(1-2*BS106/R106)))))^(2/3))*SQRT(N106))</f>
        <v/>
      </c>
      <c r="BU106" s="9" t="str">
        <f aca="false">IF(AY106="","",IF(BT106&lt;AY106,BS106,BQ106))</f>
        <v/>
      </c>
      <c r="BV106" s="9" t="str">
        <f aca="false">IF(AY106="","",IF(BT106&lt;AY106,BR106,BS106))</f>
        <v/>
      </c>
      <c r="BW106" s="9" t="str">
        <f aca="false">IF(AY106="","",(BU106+BV106)/2)</f>
        <v/>
      </c>
      <c r="BX106" s="9" t="str">
        <f aca="false">IF(OR(R106="",N106="",BW106="",R106&lt;=0,BW106&lt;=0),"",(1/Inputs!$B$9)*((R106^2/8)*((2*ACOS(1-2*BW106/R106))-SIN((2*ACOS(1-2*BW106/R106)))))*((((R106^2/8)*((2*ACOS(1-2*BW106/R106))-SIN((2*ACOS(1-2*BW106/R106)))))/((R106/2)*((2*ACOS(1-2*BW106/R106)))))^(2/3))*SQRT(N106))</f>
        <v/>
      </c>
      <c r="BY106" s="9" t="str">
        <f aca="false">IF(AY106="","",IF(BX106&lt;AY106,BW106,BU106))</f>
        <v/>
      </c>
      <c r="BZ106" s="9" t="str">
        <f aca="false">IF(AY106="","",IF(BX106&lt;AY106,BV106,BW106))</f>
        <v/>
      </c>
      <c r="CA106" s="9" t="str">
        <f aca="false">IF(AY106="","",(BY106+BZ106)/2)</f>
        <v/>
      </c>
      <c r="CB106" s="9" t="str">
        <f aca="false">IF(OR(R106="",N106="",CA106="",R106&lt;=0,CA106&lt;=0),"",(1/Inputs!$B$9)*((R106^2/8)*((2*ACOS(1-2*CA106/R106))-SIN((2*ACOS(1-2*CA106/R106)))))*((((R106^2/8)*((2*ACOS(1-2*CA106/R106))-SIN((2*ACOS(1-2*CA106/R106)))))/((R106/2)*((2*ACOS(1-2*CA106/R106)))))^(2/3))*SQRT(N106))</f>
        <v/>
      </c>
      <c r="CC106" s="9" t="str">
        <f aca="false">IF(AY106="","",IF(CB106&lt;AY106,CA106,BY106))</f>
        <v/>
      </c>
      <c r="CD106" s="9" t="str">
        <f aca="false">IF(AY106="","",IF(CB106&lt;AY106,BZ106,CA106))</f>
        <v/>
      </c>
      <c r="CE106" s="9" t="str">
        <f aca="false">IF(AY106="","",(CC106+CD106)/2)</f>
        <v/>
      </c>
    </row>
    <row r="107" customFormat="false" ht="15" hidden="false" customHeight="false" outlineLevel="0" collapsed="false">
      <c r="A107" s="9"/>
      <c r="B107" s="9"/>
      <c r="C107" s="14"/>
      <c r="D107" s="14"/>
      <c r="E107" s="14" t="n">
        <f aca="false">SUMIFS(CB_Tributaires!$C:$C,CB_Tributaires!$B:$B,$A107)</f>
        <v>0</v>
      </c>
      <c r="F107" s="14" t="n">
        <f aca="false">IF(D107="",E107,D107)</f>
        <v>0</v>
      </c>
      <c r="G107" s="9"/>
      <c r="H107" s="14"/>
      <c r="I107" s="14" t="str">
        <f aca="false">IF(A107="","",Inputs!$B$13/((IF(AS107="",Inputs!$B$18,AS107)+Inputs!$B$14)^Inputs!$B$15))</f>
        <v/>
      </c>
      <c r="J107" s="14" t="str">
        <f aca="false">IF(A107="","",0.000000278*IF(G107="",Inputs!$B$17,G107)*F107*I107)</f>
        <v/>
      </c>
      <c r="K107" s="14" t="str">
        <f aca="false">IF(A107="","",SUMIFS($L$4:$L$203,$B$4:$B$203,$A107))</f>
        <v/>
      </c>
      <c r="L107" s="14" t="str">
        <f aca="false">IF(A107="","",(J107+K107)*Inputs!$B$16)</f>
        <v/>
      </c>
      <c r="M107" s="14"/>
      <c r="N107" s="14" t="str">
        <f aca="false">IF(A107="","",IF(M107="",Inputs!$B$7,M107))</f>
        <v/>
      </c>
      <c r="O107" s="9" t="str">
        <f aca="false">IF(A107="","",IF(L107/Inputs!$B$10&lt;=AD107,Inputs!$F$5,IF(L107/Inputs!$B$10&gt;AM107,"OVERSIZE",INDEX(Inputs!$F$5:$F$14,MATCH(L107/Inputs!$B$10,AD107:AM107,1)+1))))</f>
        <v/>
      </c>
      <c r="P107" s="9"/>
      <c r="Q107" s="9" t="str">
        <f aca="false">IF(A107="","",IF(P107="",O107,P107))</f>
        <v/>
      </c>
      <c r="R107" s="14" t="str">
        <f aca="false">IF(OR(Q107="",Q107="OVERSIZE"),"",Q107/1000)</f>
        <v/>
      </c>
      <c r="S107" s="14" t="str">
        <f aca="false">IF(R107="","",(1/Inputs!$B$9)*(PI()*R107^2/4)*((R107/4)^(2/3))*SQRT(N107))</f>
        <v/>
      </c>
      <c r="T107" s="14" t="str">
        <f aca="false">IF(OR(S107="",L107=""),"",L107/(S107*Inputs!$B$10))</f>
        <v/>
      </c>
      <c r="U107" s="14" t="str">
        <f aca="false">IF(OR(R107="",L107=""),"",4*L107/(PI()*R107^2))</f>
        <v/>
      </c>
      <c r="V107" s="14"/>
      <c r="W107" s="14" t="str">
        <f aca="false">IF(A107="","",IF(A107=Inputs!$B$6,Inputs!$B$22,IF(B107="","",IFERROR(INDEX($X$4:$X$203,MATCH(B107,$A$4:$A$203,0))+IF(V107="",Inputs!$B$20,V107),""))))</f>
        <v/>
      </c>
      <c r="X107" s="14" t="str">
        <f aca="false">IF(OR(W107="",N107="",C107=""),"",W107+N107*C107)</f>
        <v/>
      </c>
      <c r="Y107" s="14"/>
      <c r="Z107" s="14"/>
      <c r="AA107" s="14" t="str">
        <f aca="false">IF(OR(Y107="",W107=""),"",Y107-W107)</f>
        <v/>
      </c>
      <c r="AB107" s="14" t="str">
        <f aca="false">IF(OR(Z107="",X107=""),"",Z107-X107)</f>
        <v/>
      </c>
      <c r="AC107" s="19" t="str">
        <f aca="false">IF(A107="","",IF(OR(T107&gt;1,AND(AV107&lt;&gt;"",AV107&lt;Inputs!$B$11),AND(AV107&lt;&gt;"",AV107&gt;Inputs!$B$12),AA107&lt;Inputs!$B$19,AB107&lt;Inputs!$B$19,N107&lt;Inputs!$B$7,N107&gt;Inputs!$B$8),"CHECK","OK"))</f>
        <v/>
      </c>
      <c r="AD107" s="9" t="str">
        <f aca="false">IF(A107="","",(1/Inputs!$B$9)*(PI()*(Inputs!$F$5/1000)^2/4)*((Inputs!$F$5/1000/4)^(2/3))*SQRT(N107))</f>
        <v/>
      </c>
      <c r="AE107" s="9" t="str">
        <f aca="false">IF(A107="","",(1/Inputs!$B$9)*(PI()*(Inputs!$F$6/1000)^2/4)*((Inputs!$F$6/1000/4)^(2/3))*SQRT(N107))</f>
        <v/>
      </c>
      <c r="AF107" s="9" t="str">
        <f aca="false">IF(A107="","",(1/Inputs!$B$9)*(PI()*(Inputs!$F$7/1000)^2/4)*((Inputs!$F$7/1000/4)^(2/3))*SQRT(N107))</f>
        <v/>
      </c>
      <c r="AG107" s="9" t="str">
        <f aca="false">IF(A107="","",(1/Inputs!$B$9)*(PI()*(Inputs!$F$8/1000)^2/4)*((Inputs!$F$8/1000/4)^(2/3))*SQRT(N107))</f>
        <v/>
      </c>
      <c r="AH107" s="9" t="str">
        <f aca="false">IF(A107="","",(1/Inputs!$B$9)*(PI()*(Inputs!$F$9/1000)^2/4)*((Inputs!$F$9/1000/4)^(2/3))*SQRT(N107))</f>
        <v/>
      </c>
      <c r="AI107" s="9" t="str">
        <f aca="false">IF(A107="","",(1/Inputs!$B$9)*(PI()*(Inputs!$F$10/1000)^2/4)*((Inputs!$F$10/1000/4)^(2/3))*SQRT(N107))</f>
        <v/>
      </c>
      <c r="AJ107" s="9" t="str">
        <f aca="false">IF(A107="","",(1/Inputs!$B$9)*(PI()*(Inputs!$F$11/1000)^2/4)*((Inputs!$F$11/1000/4)^(2/3))*SQRT(N107))</f>
        <v/>
      </c>
      <c r="AK107" s="9" t="str">
        <f aca="false">IF(A107="","",(1/Inputs!$B$9)*(PI()*(Inputs!$F$12/1000)^2/4)*((Inputs!$F$12/1000/4)^(2/3))*SQRT(N107))</f>
        <v/>
      </c>
      <c r="AL107" s="9" t="str">
        <f aca="false">IF(A107="","",(1/Inputs!$B$9)*(PI()*(Inputs!$F$13/1000)^2/4)*((Inputs!$F$13/1000/4)^(2/3))*SQRT(N107))</f>
        <v/>
      </c>
      <c r="AM107" s="9" t="str">
        <f aca="false">IF(A107="","",(1/Inputs!$B$9)*(PI()*(Inputs!$F$14/1000)^2/4)*((Inputs!$F$14/1000/4)^(2/3))*SQRT(N107))</f>
        <v/>
      </c>
      <c r="AN107" s="9" t="str">
        <f aca="false">IF(A107="","",COUNTIF($B$4:$B$203,$A107))</f>
        <v/>
      </c>
      <c r="AO107" s="9" t="str">
        <f aca="false">IF(A107="","",IF(AN107=0,"START","CONTINUOUS"))</f>
        <v/>
      </c>
      <c r="AP107" s="13" t="str">
        <f aca="false">IF(A107="","",IF(H107="",Inputs!$B$18,H107))</f>
        <v/>
      </c>
      <c r="AQ107" s="13" t="str">
        <f aca="false">IF(A107="","",IFERROR(maxifs($AS$4:$AS$203,$B$4:$B$203,$A107),""))</f>
        <v/>
      </c>
      <c r="AR107" s="13" t="str">
        <f aca="false">IF(A107="","",IF(OR(C107="",Inputs!$B$23=""),"",C107/(Inputs!$B$23*60)))</f>
        <v/>
      </c>
      <c r="AS107" s="13" t="str">
        <f aca="false">IF(A107="","",IF(AN107=0,AP107+AR107,IF(AQ107="",AP107+AR107,AQ107+AR107)))</f>
        <v/>
      </c>
      <c r="AT107" s="13" t="str">
        <f aca="false">IF(A107="","",U107)</f>
        <v/>
      </c>
      <c r="AU107" s="13" t="str">
        <f aca="false">IF(OR(R107="",N107=""),"",(1/Inputs!$B$9)*((R107/4)^(2/3))*SQRT(N107))</f>
        <v/>
      </c>
      <c r="AV107" s="13" t="str">
        <f aca="false">IF(A107="","",IF(AND(AT107="",AU107="",AX107=""),"",IF(OR(UPPER(TRIM(Inputs!$B$24))="MANNING",UPPER(TRIM(Inputs!$B$24))="M"),AU107,IF(OR(UPPER(TRIM(Inputs!$B$24))="PARTIAL",UPPER(TRIM(Inputs!$B$24))="P"),AX107,IF(OR(UPPER(TRIM(Inputs!$B$24))="MAX",UPPER(TRIM(Inputs!$B$24))="X"),MAX(IF(AT107="",0,AT107),IF(AU107="",0,AU107),IF(AX107="",0,AX107)),AT107)))))</f>
        <v/>
      </c>
      <c r="AW107" s="13" t="str">
        <f aca="false">IF(AY107="","",CE107)</f>
        <v/>
      </c>
      <c r="AX107" s="13" t="str">
        <f aca="false">IF(OR(AY107="",AW107="",R107="",R107&lt;=0,AW107&lt;=0),"",AY107/((R107^2/8)*(2*ACOS(1-2*AW107/R107)-SIN(2*ACOS(1-2*AW107/R107)))))</f>
        <v/>
      </c>
      <c r="AY107" s="9" t="str">
        <f aca="false">IF(OR(L107="",AZ107=""),"",MIN(L107,AZ107))</f>
        <v/>
      </c>
      <c r="AZ107" s="9" t="str">
        <f aca="false">IF(OR(L107="",R107="",N107=""),"",IF(OR(R107="",N107="",(0.94*R107)="",R107&lt;=0,(0.94*R107)&lt;=0),"",(1/Inputs!$B$9)*((R107^2/8)*((2*ACOS(1-2*(0.94*R107)/R107))-SIN((2*ACOS(1-2*(0.94*R107)/R107)))))*((((R107^2/8)*((2*ACOS(1-2*(0.94*R107)/R107))-SIN((2*ACOS(1-2*(0.94*R107)/R107)))))/((R107/2)*((2*ACOS(1-2*(0.94*R107)/R107)))))^(2/3))*SQRT(N107)))</f>
        <v/>
      </c>
      <c r="BA107" s="9" t="str">
        <f aca="false">IF(AY107="","",0.001*R107)</f>
        <v/>
      </c>
      <c r="BB107" s="9" t="str">
        <f aca="false">IF(AY107="","",0.94*R107)</f>
        <v/>
      </c>
      <c r="BC107" s="9" t="str">
        <f aca="false">IF(AY107="","",(BA107+BB107)/2)</f>
        <v/>
      </c>
      <c r="BD107" s="9" t="str">
        <f aca="false">IF(OR(R107="",N107="",BC107="",R107&lt;=0,BC107&lt;=0),"",(1/Inputs!$B$9)*((R107^2/8)*((2*ACOS(1-2*BC107/R107))-SIN((2*ACOS(1-2*BC107/R107)))))*((((R107^2/8)*((2*ACOS(1-2*BC107/R107))-SIN((2*ACOS(1-2*BC107/R107)))))/((R107/2)*((2*ACOS(1-2*BC107/R107)))))^(2/3))*SQRT(N107))</f>
        <v/>
      </c>
      <c r="BE107" s="9" t="str">
        <f aca="false">IF(AY107="","",IF(BD107&lt;AY107,BC107,BA107))</f>
        <v/>
      </c>
      <c r="BF107" s="9" t="str">
        <f aca="false">IF(AY107="","",IF(BD107&lt;AY107,BB107,BC107))</f>
        <v/>
      </c>
      <c r="BG107" s="9" t="str">
        <f aca="false">IF(AY107="","",(BE107+BF107)/2)</f>
        <v/>
      </c>
      <c r="BH107" s="9" t="str">
        <f aca="false">IF(OR(R107="",N107="",BG107="",R107&lt;=0,BG107&lt;=0),"",(1/Inputs!$B$9)*((R107^2/8)*((2*ACOS(1-2*BG107/R107))-SIN((2*ACOS(1-2*BG107/R107)))))*((((R107^2/8)*((2*ACOS(1-2*BG107/R107))-SIN((2*ACOS(1-2*BG107/R107)))))/((R107/2)*((2*ACOS(1-2*BG107/R107)))))^(2/3))*SQRT(N107))</f>
        <v/>
      </c>
      <c r="BI107" s="9" t="str">
        <f aca="false">IF(AY107="","",IF(BH107&lt;AY107,BG107,BE107))</f>
        <v/>
      </c>
      <c r="BJ107" s="9" t="str">
        <f aca="false">IF(AY107="","",IF(BH107&lt;AY107,BF107,BG107))</f>
        <v/>
      </c>
      <c r="BK107" s="9" t="str">
        <f aca="false">IF(AY107="","",(BI107+BJ107)/2)</f>
        <v/>
      </c>
      <c r="BL107" s="9" t="str">
        <f aca="false">IF(OR(R107="",N107="",BK107="",R107&lt;=0,BK107&lt;=0),"",(1/Inputs!$B$9)*((R107^2/8)*((2*ACOS(1-2*BK107/R107))-SIN((2*ACOS(1-2*BK107/R107)))))*((((R107^2/8)*((2*ACOS(1-2*BK107/R107))-SIN((2*ACOS(1-2*BK107/R107)))))/((R107/2)*((2*ACOS(1-2*BK107/R107)))))^(2/3))*SQRT(N107))</f>
        <v/>
      </c>
      <c r="BM107" s="9" t="str">
        <f aca="false">IF(AY107="","",IF(BL107&lt;AY107,BK107,BI107))</f>
        <v/>
      </c>
      <c r="BN107" s="9" t="str">
        <f aca="false">IF(AY107="","",IF(BL107&lt;AY107,BJ107,BK107))</f>
        <v/>
      </c>
      <c r="BO107" s="9" t="str">
        <f aca="false">IF(AY107="","",(BM107+BN107)/2)</f>
        <v/>
      </c>
      <c r="BP107" s="9" t="str">
        <f aca="false">IF(OR(R107="",N107="",BO107="",R107&lt;=0,BO107&lt;=0),"",(1/Inputs!$B$9)*((R107^2/8)*((2*ACOS(1-2*BO107/R107))-SIN((2*ACOS(1-2*BO107/R107)))))*((((R107^2/8)*((2*ACOS(1-2*BO107/R107))-SIN((2*ACOS(1-2*BO107/R107)))))/((R107/2)*((2*ACOS(1-2*BO107/R107)))))^(2/3))*SQRT(N107))</f>
        <v/>
      </c>
      <c r="BQ107" s="9" t="str">
        <f aca="false">IF(AY107="","",IF(BP107&lt;AY107,BO107,BM107))</f>
        <v/>
      </c>
      <c r="BR107" s="9" t="str">
        <f aca="false">IF(AY107="","",IF(BP107&lt;AY107,BN107,BO107))</f>
        <v/>
      </c>
      <c r="BS107" s="9" t="str">
        <f aca="false">IF(AY107="","",(BQ107+BR107)/2)</f>
        <v/>
      </c>
      <c r="BT107" s="9" t="str">
        <f aca="false">IF(OR(R107="",N107="",BS107="",R107&lt;=0,BS107&lt;=0),"",(1/Inputs!$B$9)*((R107^2/8)*((2*ACOS(1-2*BS107/R107))-SIN((2*ACOS(1-2*BS107/R107)))))*((((R107^2/8)*((2*ACOS(1-2*BS107/R107))-SIN((2*ACOS(1-2*BS107/R107)))))/((R107/2)*((2*ACOS(1-2*BS107/R107)))))^(2/3))*SQRT(N107))</f>
        <v/>
      </c>
      <c r="BU107" s="9" t="str">
        <f aca="false">IF(AY107="","",IF(BT107&lt;AY107,BS107,BQ107))</f>
        <v/>
      </c>
      <c r="BV107" s="9" t="str">
        <f aca="false">IF(AY107="","",IF(BT107&lt;AY107,BR107,BS107))</f>
        <v/>
      </c>
      <c r="BW107" s="9" t="str">
        <f aca="false">IF(AY107="","",(BU107+BV107)/2)</f>
        <v/>
      </c>
      <c r="BX107" s="9" t="str">
        <f aca="false">IF(OR(R107="",N107="",BW107="",R107&lt;=0,BW107&lt;=0),"",(1/Inputs!$B$9)*((R107^2/8)*((2*ACOS(1-2*BW107/R107))-SIN((2*ACOS(1-2*BW107/R107)))))*((((R107^2/8)*((2*ACOS(1-2*BW107/R107))-SIN((2*ACOS(1-2*BW107/R107)))))/((R107/2)*((2*ACOS(1-2*BW107/R107)))))^(2/3))*SQRT(N107))</f>
        <v/>
      </c>
      <c r="BY107" s="9" t="str">
        <f aca="false">IF(AY107="","",IF(BX107&lt;AY107,BW107,BU107))</f>
        <v/>
      </c>
      <c r="BZ107" s="9" t="str">
        <f aca="false">IF(AY107="","",IF(BX107&lt;AY107,BV107,BW107))</f>
        <v/>
      </c>
      <c r="CA107" s="9" t="str">
        <f aca="false">IF(AY107="","",(BY107+BZ107)/2)</f>
        <v/>
      </c>
      <c r="CB107" s="9" t="str">
        <f aca="false">IF(OR(R107="",N107="",CA107="",R107&lt;=0,CA107&lt;=0),"",(1/Inputs!$B$9)*((R107^2/8)*((2*ACOS(1-2*CA107/R107))-SIN((2*ACOS(1-2*CA107/R107)))))*((((R107^2/8)*((2*ACOS(1-2*CA107/R107))-SIN((2*ACOS(1-2*CA107/R107)))))/((R107/2)*((2*ACOS(1-2*CA107/R107)))))^(2/3))*SQRT(N107))</f>
        <v/>
      </c>
      <c r="CC107" s="9" t="str">
        <f aca="false">IF(AY107="","",IF(CB107&lt;AY107,CA107,BY107))</f>
        <v/>
      </c>
      <c r="CD107" s="9" t="str">
        <f aca="false">IF(AY107="","",IF(CB107&lt;AY107,BZ107,CA107))</f>
        <v/>
      </c>
      <c r="CE107" s="9" t="str">
        <f aca="false">IF(AY107="","",(CC107+CD107)/2)</f>
        <v/>
      </c>
    </row>
    <row r="108" customFormat="false" ht="15" hidden="false" customHeight="false" outlineLevel="0" collapsed="false">
      <c r="A108" s="9"/>
      <c r="B108" s="9"/>
      <c r="C108" s="14"/>
      <c r="D108" s="14"/>
      <c r="E108" s="14" t="n">
        <f aca="false">SUMIFS(CB_Tributaires!$C:$C,CB_Tributaires!$B:$B,$A108)</f>
        <v>0</v>
      </c>
      <c r="F108" s="14" t="n">
        <f aca="false">IF(D108="",E108,D108)</f>
        <v>0</v>
      </c>
      <c r="G108" s="9"/>
      <c r="H108" s="14"/>
      <c r="I108" s="14" t="str">
        <f aca="false">IF(A108="","",Inputs!$B$13/((IF(AS108="",Inputs!$B$18,AS108)+Inputs!$B$14)^Inputs!$B$15))</f>
        <v/>
      </c>
      <c r="J108" s="14" t="str">
        <f aca="false">IF(A108="","",0.000000278*IF(G108="",Inputs!$B$17,G108)*F108*I108)</f>
        <v/>
      </c>
      <c r="K108" s="14" t="str">
        <f aca="false">IF(A108="","",SUMIFS($L$4:$L$203,$B$4:$B$203,$A108))</f>
        <v/>
      </c>
      <c r="L108" s="14" t="str">
        <f aca="false">IF(A108="","",(J108+K108)*Inputs!$B$16)</f>
        <v/>
      </c>
      <c r="M108" s="14"/>
      <c r="N108" s="14" t="str">
        <f aca="false">IF(A108="","",IF(M108="",Inputs!$B$7,M108))</f>
        <v/>
      </c>
      <c r="O108" s="9" t="str">
        <f aca="false">IF(A108="","",IF(L108/Inputs!$B$10&lt;=AD108,Inputs!$F$5,IF(L108/Inputs!$B$10&gt;AM108,"OVERSIZE",INDEX(Inputs!$F$5:$F$14,MATCH(L108/Inputs!$B$10,AD108:AM108,1)+1))))</f>
        <v/>
      </c>
      <c r="P108" s="9"/>
      <c r="Q108" s="9" t="str">
        <f aca="false">IF(A108="","",IF(P108="",O108,P108))</f>
        <v/>
      </c>
      <c r="R108" s="14" t="str">
        <f aca="false">IF(OR(Q108="",Q108="OVERSIZE"),"",Q108/1000)</f>
        <v/>
      </c>
      <c r="S108" s="14" t="str">
        <f aca="false">IF(R108="","",(1/Inputs!$B$9)*(PI()*R108^2/4)*((R108/4)^(2/3))*SQRT(N108))</f>
        <v/>
      </c>
      <c r="T108" s="14" t="str">
        <f aca="false">IF(OR(S108="",L108=""),"",L108/(S108*Inputs!$B$10))</f>
        <v/>
      </c>
      <c r="U108" s="14" t="str">
        <f aca="false">IF(OR(R108="",L108=""),"",4*L108/(PI()*R108^2))</f>
        <v/>
      </c>
      <c r="V108" s="14"/>
      <c r="W108" s="14" t="str">
        <f aca="false">IF(A108="","",IF(A108=Inputs!$B$6,Inputs!$B$22,IF(B108="","",IFERROR(INDEX($X$4:$X$203,MATCH(B108,$A$4:$A$203,0))+IF(V108="",Inputs!$B$20,V108),""))))</f>
        <v/>
      </c>
      <c r="X108" s="14" t="str">
        <f aca="false">IF(OR(W108="",N108="",C108=""),"",W108+N108*C108)</f>
        <v/>
      </c>
      <c r="Y108" s="14"/>
      <c r="Z108" s="14"/>
      <c r="AA108" s="14" t="str">
        <f aca="false">IF(OR(Y108="",W108=""),"",Y108-W108)</f>
        <v/>
      </c>
      <c r="AB108" s="14" t="str">
        <f aca="false">IF(OR(Z108="",X108=""),"",Z108-X108)</f>
        <v/>
      </c>
      <c r="AC108" s="19" t="str">
        <f aca="false">IF(A108="","",IF(OR(T108&gt;1,AND(AV108&lt;&gt;"",AV108&lt;Inputs!$B$11),AND(AV108&lt;&gt;"",AV108&gt;Inputs!$B$12),AA108&lt;Inputs!$B$19,AB108&lt;Inputs!$B$19,N108&lt;Inputs!$B$7,N108&gt;Inputs!$B$8),"CHECK","OK"))</f>
        <v/>
      </c>
      <c r="AD108" s="9" t="str">
        <f aca="false">IF(A108="","",(1/Inputs!$B$9)*(PI()*(Inputs!$F$5/1000)^2/4)*((Inputs!$F$5/1000/4)^(2/3))*SQRT(N108))</f>
        <v/>
      </c>
      <c r="AE108" s="9" t="str">
        <f aca="false">IF(A108="","",(1/Inputs!$B$9)*(PI()*(Inputs!$F$6/1000)^2/4)*((Inputs!$F$6/1000/4)^(2/3))*SQRT(N108))</f>
        <v/>
      </c>
      <c r="AF108" s="9" t="str">
        <f aca="false">IF(A108="","",(1/Inputs!$B$9)*(PI()*(Inputs!$F$7/1000)^2/4)*((Inputs!$F$7/1000/4)^(2/3))*SQRT(N108))</f>
        <v/>
      </c>
      <c r="AG108" s="9" t="str">
        <f aca="false">IF(A108="","",(1/Inputs!$B$9)*(PI()*(Inputs!$F$8/1000)^2/4)*((Inputs!$F$8/1000/4)^(2/3))*SQRT(N108))</f>
        <v/>
      </c>
      <c r="AH108" s="9" t="str">
        <f aca="false">IF(A108="","",(1/Inputs!$B$9)*(PI()*(Inputs!$F$9/1000)^2/4)*((Inputs!$F$9/1000/4)^(2/3))*SQRT(N108))</f>
        <v/>
      </c>
      <c r="AI108" s="9" t="str">
        <f aca="false">IF(A108="","",(1/Inputs!$B$9)*(PI()*(Inputs!$F$10/1000)^2/4)*((Inputs!$F$10/1000/4)^(2/3))*SQRT(N108))</f>
        <v/>
      </c>
      <c r="AJ108" s="9" t="str">
        <f aca="false">IF(A108="","",(1/Inputs!$B$9)*(PI()*(Inputs!$F$11/1000)^2/4)*((Inputs!$F$11/1000/4)^(2/3))*SQRT(N108))</f>
        <v/>
      </c>
      <c r="AK108" s="9" t="str">
        <f aca="false">IF(A108="","",(1/Inputs!$B$9)*(PI()*(Inputs!$F$12/1000)^2/4)*((Inputs!$F$12/1000/4)^(2/3))*SQRT(N108))</f>
        <v/>
      </c>
      <c r="AL108" s="9" t="str">
        <f aca="false">IF(A108="","",(1/Inputs!$B$9)*(PI()*(Inputs!$F$13/1000)^2/4)*((Inputs!$F$13/1000/4)^(2/3))*SQRT(N108))</f>
        <v/>
      </c>
      <c r="AM108" s="9" t="str">
        <f aca="false">IF(A108="","",(1/Inputs!$B$9)*(PI()*(Inputs!$F$14/1000)^2/4)*((Inputs!$F$14/1000/4)^(2/3))*SQRT(N108))</f>
        <v/>
      </c>
      <c r="AN108" s="9" t="str">
        <f aca="false">IF(A108="","",COUNTIF($B$4:$B$203,$A108))</f>
        <v/>
      </c>
      <c r="AO108" s="9" t="str">
        <f aca="false">IF(A108="","",IF(AN108=0,"START","CONTINUOUS"))</f>
        <v/>
      </c>
      <c r="AP108" s="13" t="str">
        <f aca="false">IF(A108="","",IF(H108="",Inputs!$B$18,H108))</f>
        <v/>
      </c>
      <c r="AQ108" s="13" t="str">
        <f aca="false">IF(A108="","",IFERROR(maxifs($AS$4:$AS$203,$B$4:$B$203,$A108),""))</f>
        <v/>
      </c>
      <c r="AR108" s="13" t="str">
        <f aca="false">IF(A108="","",IF(OR(C108="",Inputs!$B$23=""),"",C108/(Inputs!$B$23*60)))</f>
        <v/>
      </c>
      <c r="AS108" s="13" t="str">
        <f aca="false">IF(A108="","",IF(AN108=0,AP108+AR108,IF(AQ108="",AP108+AR108,AQ108+AR108)))</f>
        <v/>
      </c>
      <c r="AT108" s="13" t="str">
        <f aca="false">IF(A108="","",U108)</f>
        <v/>
      </c>
      <c r="AU108" s="13" t="str">
        <f aca="false">IF(OR(R108="",N108=""),"",(1/Inputs!$B$9)*((R108/4)^(2/3))*SQRT(N108))</f>
        <v/>
      </c>
      <c r="AV108" s="13" t="str">
        <f aca="false">IF(A108="","",IF(AND(AT108="",AU108="",AX108=""),"",IF(OR(UPPER(TRIM(Inputs!$B$24))="MANNING",UPPER(TRIM(Inputs!$B$24))="M"),AU108,IF(OR(UPPER(TRIM(Inputs!$B$24))="PARTIAL",UPPER(TRIM(Inputs!$B$24))="P"),AX108,IF(OR(UPPER(TRIM(Inputs!$B$24))="MAX",UPPER(TRIM(Inputs!$B$24))="X"),MAX(IF(AT108="",0,AT108),IF(AU108="",0,AU108),IF(AX108="",0,AX108)),AT108)))))</f>
        <v/>
      </c>
      <c r="AW108" s="13" t="str">
        <f aca="false">IF(AY108="","",CE108)</f>
        <v/>
      </c>
      <c r="AX108" s="13" t="str">
        <f aca="false">IF(OR(AY108="",AW108="",R108="",R108&lt;=0,AW108&lt;=0),"",AY108/((R108^2/8)*(2*ACOS(1-2*AW108/R108)-SIN(2*ACOS(1-2*AW108/R108)))))</f>
        <v/>
      </c>
      <c r="AY108" s="9" t="str">
        <f aca="false">IF(OR(L108="",AZ108=""),"",MIN(L108,AZ108))</f>
        <v/>
      </c>
      <c r="AZ108" s="9" t="str">
        <f aca="false">IF(OR(L108="",R108="",N108=""),"",IF(OR(R108="",N108="",(0.94*R108)="",R108&lt;=0,(0.94*R108)&lt;=0),"",(1/Inputs!$B$9)*((R108^2/8)*((2*ACOS(1-2*(0.94*R108)/R108))-SIN((2*ACOS(1-2*(0.94*R108)/R108)))))*((((R108^2/8)*((2*ACOS(1-2*(0.94*R108)/R108))-SIN((2*ACOS(1-2*(0.94*R108)/R108)))))/((R108/2)*((2*ACOS(1-2*(0.94*R108)/R108)))))^(2/3))*SQRT(N108)))</f>
        <v/>
      </c>
      <c r="BA108" s="9" t="str">
        <f aca="false">IF(AY108="","",0.001*R108)</f>
        <v/>
      </c>
      <c r="BB108" s="9" t="str">
        <f aca="false">IF(AY108="","",0.94*R108)</f>
        <v/>
      </c>
      <c r="BC108" s="9" t="str">
        <f aca="false">IF(AY108="","",(BA108+BB108)/2)</f>
        <v/>
      </c>
      <c r="BD108" s="9" t="str">
        <f aca="false">IF(OR(R108="",N108="",BC108="",R108&lt;=0,BC108&lt;=0),"",(1/Inputs!$B$9)*((R108^2/8)*((2*ACOS(1-2*BC108/R108))-SIN((2*ACOS(1-2*BC108/R108)))))*((((R108^2/8)*((2*ACOS(1-2*BC108/R108))-SIN((2*ACOS(1-2*BC108/R108)))))/((R108/2)*((2*ACOS(1-2*BC108/R108)))))^(2/3))*SQRT(N108))</f>
        <v/>
      </c>
      <c r="BE108" s="9" t="str">
        <f aca="false">IF(AY108="","",IF(BD108&lt;AY108,BC108,BA108))</f>
        <v/>
      </c>
      <c r="BF108" s="9" t="str">
        <f aca="false">IF(AY108="","",IF(BD108&lt;AY108,BB108,BC108))</f>
        <v/>
      </c>
      <c r="BG108" s="9" t="str">
        <f aca="false">IF(AY108="","",(BE108+BF108)/2)</f>
        <v/>
      </c>
      <c r="BH108" s="9" t="str">
        <f aca="false">IF(OR(R108="",N108="",BG108="",R108&lt;=0,BG108&lt;=0),"",(1/Inputs!$B$9)*((R108^2/8)*((2*ACOS(1-2*BG108/R108))-SIN((2*ACOS(1-2*BG108/R108)))))*((((R108^2/8)*((2*ACOS(1-2*BG108/R108))-SIN((2*ACOS(1-2*BG108/R108)))))/((R108/2)*((2*ACOS(1-2*BG108/R108)))))^(2/3))*SQRT(N108))</f>
        <v/>
      </c>
      <c r="BI108" s="9" t="str">
        <f aca="false">IF(AY108="","",IF(BH108&lt;AY108,BG108,BE108))</f>
        <v/>
      </c>
      <c r="BJ108" s="9" t="str">
        <f aca="false">IF(AY108="","",IF(BH108&lt;AY108,BF108,BG108))</f>
        <v/>
      </c>
      <c r="BK108" s="9" t="str">
        <f aca="false">IF(AY108="","",(BI108+BJ108)/2)</f>
        <v/>
      </c>
      <c r="BL108" s="9" t="str">
        <f aca="false">IF(OR(R108="",N108="",BK108="",R108&lt;=0,BK108&lt;=0),"",(1/Inputs!$B$9)*((R108^2/8)*((2*ACOS(1-2*BK108/R108))-SIN((2*ACOS(1-2*BK108/R108)))))*((((R108^2/8)*((2*ACOS(1-2*BK108/R108))-SIN((2*ACOS(1-2*BK108/R108)))))/((R108/2)*((2*ACOS(1-2*BK108/R108)))))^(2/3))*SQRT(N108))</f>
        <v/>
      </c>
      <c r="BM108" s="9" t="str">
        <f aca="false">IF(AY108="","",IF(BL108&lt;AY108,BK108,BI108))</f>
        <v/>
      </c>
      <c r="BN108" s="9" t="str">
        <f aca="false">IF(AY108="","",IF(BL108&lt;AY108,BJ108,BK108))</f>
        <v/>
      </c>
      <c r="BO108" s="9" t="str">
        <f aca="false">IF(AY108="","",(BM108+BN108)/2)</f>
        <v/>
      </c>
      <c r="BP108" s="9" t="str">
        <f aca="false">IF(OR(R108="",N108="",BO108="",R108&lt;=0,BO108&lt;=0),"",(1/Inputs!$B$9)*((R108^2/8)*((2*ACOS(1-2*BO108/R108))-SIN((2*ACOS(1-2*BO108/R108)))))*((((R108^2/8)*((2*ACOS(1-2*BO108/R108))-SIN((2*ACOS(1-2*BO108/R108)))))/((R108/2)*((2*ACOS(1-2*BO108/R108)))))^(2/3))*SQRT(N108))</f>
        <v/>
      </c>
      <c r="BQ108" s="9" t="str">
        <f aca="false">IF(AY108="","",IF(BP108&lt;AY108,BO108,BM108))</f>
        <v/>
      </c>
      <c r="BR108" s="9" t="str">
        <f aca="false">IF(AY108="","",IF(BP108&lt;AY108,BN108,BO108))</f>
        <v/>
      </c>
      <c r="BS108" s="9" t="str">
        <f aca="false">IF(AY108="","",(BQ108+BR108)/2)</f>
        <v/>
      </c>
      <c r="BT108" s="9" t="str">
        <f aca="false">IF(OR(R108="",N108="",BS108="",R108&lt;=0,BS108&lt;=0),"",(1/Inputs!$B$9)*((R108^2/8)*((2*ACOS(1-2*BS108/R108))-SIN((2*ACOS(1-2*BS108/R108)))))*((((R108^2/8)*((2*ACOS(1-2*BS108/R108))-SIN((2*ACOS(1-2*BS108/R108)))))/((R108/2)*((2*ACOS(1-2*BS108/R108)))))^(2/3))*SQRT(N108))</f>
        <v/>
      </c>
      <c r="BU108" s="9" t="str">
        <f aca="false">IF(AY108="","",IF(BT108&lt;AY108,BS108,BQ108))</f>
        <v/>
      </c>
      <c r="BV108" s="9" t="str">
        <f aca="false">IF(AY108="","",IF(BT108&lt;AY108,BR108,BS108))</f>
        <v/>
      </c>
      <c r="BW108" s="9" t="str">
        <f aca="false">IF(AY108="","",(BU108+BV108)/2)</f>
        <v/>
      </c>
      <c r="BX108" s="9" t="str">
        <f aca="false">IF(OR(R108="",N108="",BW108="",R108&lt;=0,BW108&lt;=0),"",(1/Inputs!$B$9)*((R108^2/8)*((2*ACOS(1-2*BW108/R108))-SIN((2*ACOS(1-2*BW108/R108)))))*((((R108^2/8)*((2*ACOS(1-2*BW108/R108))-SIN((2*ACOS(1-2*BW108/R108)))))/((R108/2)*((2*ACOS(1-2*BW108/R108)))))^(2/3))*SQRT(N108))</f>
        <v/>
      </c>
      <c r="BY108" s="9" t="str">
        <f aca="false">IF(AY108="","",IF(BX108&lt;AY108,BW108,BU108))</f>
        <v/>
      </c>
      <c r="BZ108" s="9" t="str">
        <f aca="false">IF(AY108="","",IF(BX108&lt;AY108,BV108,BW108))</f>
        <v/>
      </c>
      <c r="CA108" s="9" t="str">
        <f aca="false">IF(AY108="","",(BY108+BZ108)/2)</f>
        <v/>
      </c>
      <c r="CB108" s="9" t="str">
        <f aca="false">IF(OR(R108="",N108="",CA108="",R108&lt;=0,CA108&lt;=0),"",(1/Inputs!$B$9)*((R108^2/8)*((2*ACOS(1-2*CA108/R108))-SIN((2*ACOS(1-2*CA108/R108)))))*((((R108^2/8)*((2*ACOS(1-2*CA108/R108))-SIN((2*ACOS(1-2*CA108/R108)))))/((R108/2)*((2*ACOS(1-2*CA108/R108)))))^(2/3))*SQRT(N108))</f>
        <v/>
      </c>
      <c r="CC108" s="9" t="str">
        <f aca="false">IF(AY108="","",IF(CB108&lt;AY108,CA108,BY108))</f>
        <v/>
      </c>
      <c r="CD108" s="9" t="str">
        <f aca="false">IF(AY108="","",IF(CB108&lt;AY108,BZ108,CA108))</f>
        <v/>
      </c>
      <c r="CE108" s="9" t="str">
        <f aca="false">IF(AY108="","",(CC108+CD108)/2)</f>
        <v/>
      </c>
    </row>
    <row r="109" customFormat="false" ht="15" hidden="false" customHeight="false" outlineLevel="0" collapsed="false">
      <c r="A109" s="9"/>
      <c r="B109" s="9"/>
      <c r="C109" s="14"/>
      <c r="D109" s="14"/>
      <c r="E109" s="14" t="n">
        <f aca="false">SUMIFS(CB_Tributaires!$C:$C,CB_Tributaires!$B:$B,$A109)</f>
        <v>0</v>
      </c>
      <c r="F109" s="14" t="n">
        <f aca="false">IF(D109="",E109,D109)</f>
        <v>0</v>
      </c>
      <c r="G109" s="9"/>
      <c r="H109" s="14"/>
      <c r="I109" s="14" t="str">
        <f aca="false">IF(A109="","",Inputs!$B$13/((IF(AS109="",Inputs!$B$18,AS109)+Inputs!$B$14)^Inputs!$B$15))</f>
        <v/>
      </c>
      <c r="J109" s="14" t="str">
        <f aca="false">IF(A109="","",0.000000278*IF(G109="",Inputs!$B$17,G109)*F109*I109)</f>
        <v/>
      </c>
      <c r="K109" s="14" t="str">
        <f aca="false">IF(A109="","",SUMIFS($L$4:$L$203,$B$4:$B$203,$A109))</f>
        <v/>
      </c>
      <c r="L109" s="14" t="str">
        <f aca="false">IF(A109="","",(J109+K109)*Inputs!$B$16)</f>
        <v/>
      </c>
      <c r="M109" s="14"/>
      <c r="N109" s="14" t="str">
        <f aca="false">IF(A109="","",IF(M109="",Inputs!$B$7,M109))</f>
        <v/>
      </c>
      <c r="O109" s="9" t="str">
        <f aca="false">IF(A109="","",IF(L109/Inputs!$B$10&lt;=AD109,Inputs!$F$5,IF(L109/Inputs!$B$10&gt;AM109,"OVERSIZE",INDEX(Inputs!$F$5:$F$14,MATCH(L109/Inputs!$B$10,AD109:AM109,1)+1))))</f>
        <v/>
      </c>
      <c r="P109" s="9"/>
      <c r="Q109" s="9" t="str">
        <f aca="false">IF(A109="","",IF(P109="",O109,P109))</f>
        <v/>
      </c>
      <c r="R109" s="14" t="str">
        <f aca="false">IF(OR(Q109="",Q109="OVERSIZE"),"",Q109/1000)</f>
        <v/>
      </c>
      <c r="S109" s="14" t="str">
        <f aca="false">IF(R109="","",(1/Inputs!$B$9)*(PI()*R109^2/4)*((R109/4)^(2/3))*SQRT(N109))</f>
        <v/>
      </c>
      <c r="T109" s="14" t="str">
        <f aca="false">IF(OR(S109="",L109=""),"",L109/(S109*Inputs!$B$10))</f>
        <v/>
      </c>
      <c r="U109" s="14" t="str">
        <f aca="false">IF(OR(R109="",L109=""),"",4*L109/(PI()*R109^2))</f>
        <v/>
      </c>
      <c r="V109" s="14"/>
      <c r="W109" s="14" t="str">
        <f aca="false">IF(A109="","",IF(A109=Inputs!$B$6,Inputs!$B$22,IF(B109="","",IFERROR(INDEX($X$4:$X$203,MATCH(B109,$A$4:$A$203,0))+IF(V109="",Inputs!$B$20,V109),""))))</f>
        <v/>
      </c>
      <c r="X109" s="14" t="str">
        <f aca="false">IF(OR(W109="",N109="",C109=""),"",W109+N109*C109)</f>
        <v/>
      </c>
      <c r="Y109" s="14"/>
      <c r="Z109" s="14"/>
      <c r="AA109" s="14" t="str">
        <f aca="false">IF(OR(Y109="",W109=""),"",Y109-W109)</f>
        <v/>
      </c>
      <c r="AB109" s="14" t="str">
        <f aca="false">IF(OR(Z109="",X109=""),"",Z109-X109)</f>
        <v/>
      </c>
      <c r="AC109" s="19" t="str">
        <f aca="false">IF(A109="","",IF(OR(T109&gt;1,AND(AV109&lt;&gt;"",AV109&lt;Inputs!$B$11),AND(AV109&lt;&gt;"",AV109&gt;Inputs!$B$12),AA109&lt;Inputs!$B$19,AB109&lt;Inputs!$B$19,N109&lt;Inputs!$B$7,N109&gt;Inputs!$B$8),"CHECK","OK"))</f>
        <v/>
      </c>
      <c r="AD109" s="9" t="str">
        <f aca="false">IF(A109="","",(1/Inputs!$B$9)*(PI()*(Inputs!$F$5/1000)^2/4)*((Inputs!$F$5/1000/4)^(2/3))*SQRT(N109))</f>
        <v/>
      </c>
      <c r="AE109" s="9" t="str">
        <f aca="false">IF(A109="","",(1/Inputs!$B$9)*(PI()*(Inputs!$F$6/1000)^2/4)*((Inputs!$F$6/1000/4)^(2/3))*SQRT(N109))</f>
        <v/>
      </c>
      <c r="AF109" s="9" t="str">
        <f aca="false">IF(A109="","",(1/Inputs!$B$9)*(PI()*(Inputs!$F$7/1000)^2/4)*((Inputs!$F$7/1000/4)^(2/3))*SQRT(N109))</f>
        <v/>
      </c>
      <c r="AG109" s="9" t="str">
        <f aca="false">IF(A109="","",(1/Inputs!$B$9)*(PI()*(Inputs!$F$8/1000)^2/4)*((Inputs!$F$8/1000/4)^(2/3))*SQRT(N109))</f>
        <v/>
      </c>
      <c r="AH109" s="9" t="str">
        <f aca="false">IF(A109="","",(1/Inputs!$B$9)*(PI()*(Inputs!$F$9/1000)^2/4)*((Inputs!$F$9/1000/4)^(2/3))*SQRT(N109))</f>
        <v/>
      </c>
      <c r="AI109" s="9" t="str">
        <f aca="false">IF(A109="","",(1/Inputs!$B$9)*(PI()*(Inputs!$F$10/1000)^2/4)*((Inputs!$F$10/1000/4)^(2/3))*SQRT(N109))</f>
        <v/>
      </c>
      <c r="AJ109" s="9" t="str">
        <f aca="false">IF(A109="","",(1/Inputs!$B$9)*(PI()*(Inputs!$F$11/1000)^2/4)*((Inputs!$F$11/1000/4)^(2/3))*SQRT(N109))</f>
        <v/>
      </c>
      <c r="AK109" s="9" t="str">
        <f aca="false">IF(A109="","",(1/Inputs!$B$9)*(PI()*(Inputs!$F$12/1000)^2/4)*((Inputs!$F$12/1000/4)^(2/3))*SQRT(N109))</f>
        <v/>
      </c>
      <c r="AL109" s="9" t="str">
        <f aca="false">IF(A109="","",(1/Inputs!$B$9)*(PI()*(Inputs!$F$13/1000)^2/4)*((Inputs!$F$13/1000/4)^(2/3))*SQRT(N109))</f>
        <v/>
      </c>
      <c r="AM109" s="9" t="str">
        <f aca="false">IF(A109="","",(1/Inputs!$B$9)*(PI()*(Inputs!$F$14/1000)^2/4)*((Inputs!$F$14/1000/4)^(2/3))*SQRT(N109))</f>
        <v/>
      </c>
      <c r="AN109" s="9" t="str">
        <f aca="false">IF(A109="","",COUNTIF($B$4:$B$203,$A109))</f>
        <v/>
      </c>
      <c r="AO109" s="9" t="str">
        <f aca="false">IF(A109="","",IF(AN109=0,"START","CONTINUOUS"))</f>
        <v/>
      </c>
      <c r="AP109" s="13" t="str">
        <f aca="false">IF(A109="","",IF(H109="",Inputs!$B$18,H109))</f>
        <v/>
      </c>
      <c r="AQ109" s="13" t="str">
        <f aca="false">IF(A109="","",IFERROR(maxifs($AS$4:$AS$203,$B$4:$B$203,$A109),""))</f>
        <v/>
      </c>
      <c r="AR109" s="13" t="str">
        <f aca="false">IF(A109="","",IF(OR(C109="",Inputs!$B$23=""),"",C109/(Inputs!$B$23*60)))</f>
        <v/>
      </c>
      <c r="AS109" s="13" t="str">
        <f aca="false">IF(A109="","",IF(AN109=0,AP109+AR109,IF(AQ109="",AP109+AR109,AQ109+AR109)))</f>
        <v/>
      </c>
      <c r="AT109" s="13" t="str">
        <f aca="false">IF(A109="","",U109)</f>
        <v/>
      </c>
      <c r="AU109" s="13" t="str">
        <f aca="false">IF(OR(R109="",N109=""),"",(1/Inputs!$B$9)*((R109/4)^(2/3))*SQRT(N109))</f>
        <v/>
      </c>
      <c r="AV109" s="13" t="str">
        <f aca="false">IF(A109="","",IF(AND(AT109="",AU109="",AX109=""),"",IF(OR(UPPER(TRIM(Inputs!$B$24))="MANNING",UPPER(TRIM(Inputs!$B$24))="M"),AU109,IF(OR(UPPER(TRIM(Inputs!$B$24))="PARTIAL",UPPER(TRIM(Inputs!$B$24))="P"),AX109,IF(OR(UPPER(TRIM(Inputs!$B$24))="MAX",UPPER(TRIM(Inputs!$B$24))="X"),MAX(IF(AT109="",0,AT109),IF(AU109="",0,AU109),IF(AX109="",0,AX109)),AT109)))))</f>
        <v/>
      </c>
      <c r="AW109" s="13" t="str">
        <f aca="false">IF(AY109="","",CE109)</f>
        <v/>
      </c>
      <c r="AX109" s="13" t="str">
        <f aca="false">IF(OR(AY109="",AW109="",R109="",R109&lt;=0,AW109&lt;=0),"",AY109/((R109^2/8)*(2*ACOS(1-2*AW109/R109)-SIN(2*ACOS(1-2*AW109/R109)))))</f>
        <v/>
      </c>
      <c r="AY109" s="9" t="str">
        <f aca="false">IF(OR(L109="",AZ109=""),"",MIN(L109,AZ109))</f>
        <v/>
      </c>
      <c r="AZ109" s="9" t="str">
        <f aca="false">IF(OR(L109="",R109="",N109=""),"",IF(OR(R109="",N109="",(0.94*R109)="",R109&lt;=0,(0.94*R109)&lt;=0),"",(1/Inputs!$B$9)*((R109^2/8)*((2*ACOS(1-2*(0.94*R109)/R109))-SIN((2*ACOS(1-2*(0.94*R109)/R109)))))*((((R109^2/8)*((2*ACOS(1-2*(0.94*R109)/R109))-SIN((2*ACOS(1-2*(0.94*R109)/R109)))))/((R109/2)*((2*ACOS(1-2*(0.94*R109)/R109)))))^(2/3))*SQRT(N109)))</f>
        <v/>
      </c>
      <c r="BA109" s="9" t="str">
        <f aca="false">IF(AY109="","",0.001*R109)</f>
        <v/>
      </c>
      <c r="BB109" s="9" t="str">
        <f aca="false">IF(AY109="","",0.94*R109)</f>
        <v/>
      </c>
      <c r="BC109" s="9" t="str">
        <f aca="false">IF(AY109="","",(BA109+BB109)/2)</f>
        <v/>
      </c>
      <c r="BD109" s="9" t="str">
        <f aca="false">IF(OR(R109="",N109="",BC109="",R109&lt;=0,BC109&lt;=0),"",(1/Inputs!$B$9)*((R109^2/8)*((2*ACOS(1-2*BC109/R109))-SIN((2*ACOS(1-2*BC109/R109)))))*((((R109^2/8)*((2*ACOS(1-2*BC109/R109))-SIN((2*ACOS(1-2*BC109/R109)))))/((R109/2)*((2*ACOS(1-2*BC109/R109)))))^(2/3))*SQRT(N109))</f>
        <v/>
      </c>
      <c r="BE109" s="9" t="str">
        <f aca="false">IF(AY109="","",IF(BD109&lt;AY109,BC109,BA109))</f>
        <v/>
      </c>
      <c r="BF109" s="9" t="str">
        <f aca="false">IF(AY109="","",IF(BD109&lt;AY109,BB109,BC109))</f>
        <v/>
      </c>
      <c r="BG109" s="9" t="str">
        <f aca="false">IF(AY109="","",(BE109+BF109)/2)</f>
        <v/>
      </c>
      <c r="BH109" s="9" t="str">
        <f aca="false">IF(OR(R109="",N109="",BG109="",R109&lt;=0,BG109&lt;=0),"",(1/Inputs!$B$9)*((R109^2/8)*((2*ACOS(1-2*BG109/R109))-SIN((2*ACOS(1-2*BG109/R109)))))*((((R109^2/8)*((2*ACOS(1-2*BG109/R109))-SIN((2*ACOS(1-2*BG109/R109)))))/((R109/2)*((2*ACOS(1-2*BG109/R109)))))^(2/3))*SQRT(N109))</f>
        <v/>
      </c>
      <c r="BI109" s="9" t="str">
        <f aca="false">IF(AY109="","",IF(BH109&lt;AY109,BG109,BE109))</f>
        <v/>
      </c>
      <c r="BJ109" s="9" t="str">
        <f aca="false">IF(AY109="","",IF(BH109&lt;AY109,BF109,BG109))</f>
        <v/>
      </c>
      <c r="BK109" s="9" t="str">
        <f aca="false">IF(AY109="","",(BI109+BJ109)/2)</f>
        <v/>
      </c>
      <c r="BL109" s="9" t="str">
        <f aca="false">IF(OR(R109="",N109="",BK109="",R109&lt;=0,BK109&lt;=0),"",(1/Inputs!$B$9)*((R109^2/8)*((2*ACOS(1-2*BK109/R109))-SIN((2*ACOS(1-2*BK109/R109)))))*((((R109^2/8)*((2*ACOS(1-2*BK109/R109))-SIN((2*ACOS(1-2*BK109/R109)))))/((R109/2)*((2*ACOS(1-2*BK109/R109)))))^(2/3))*SQRT(N109))</f>
        <v/>
      </c>
      <c r="BM109" s="9" t="str">
        <f aca="false">IF(AY109="","",IF(BL109&lt;AY109,BK109,BI109))</f>
        <v/>
      </c>
      <c r="BN109" s="9" t="str">
        <f aca="false">IF(AY109="","",IF(BL109&lt;AY109,BJ109,BK109))</f>
        <v/>
      </c>
      <c r="BO109" s="9" t="str">
        <f aca="false">IF(AY109="","",(BM109+BN109)/2)</f>
        <v/>
      </c>
      <c r="BP109" s="9" t="str">
        <f aca="false">IF(OR(R109="",N109="",BO109="",R109&lt;=0,BO109&lt;=0),"",(1/Inputs!$B$9)*((R109^2/8)*((2*ACOS(1-2*BO109/R109))-SIN((2*ACOS(1-2*BO109/R109)))))*((((R109^2/8)*((2*ACOS(1-2*BO109/R109))-SIN((2*ACOS(1-2*BO109/R109)))))/((R109/2)*((2*ACOS(1-2*BO109/R109)))))^(2/3))*SQRT(N109))</f>
        <v/>
      </c>
      <c r="BQ109" s="9" t="str">
        <f aca="false">IF(AY109="","",IF(BP109&lt;AY109,BO109,BM109))</f>
        <v/>
      </c>
      <c r="BR109" s="9" t="str">
        <f aca="false">IF(AY109="","",IF(BP109&lt;AY109,BN109,BO109))</f>
        <v/>
      </c>
      <c r="BS109" s="9" t="str">
        <f aca="false">IF(AY109="","",(BQ109+BR109)/2)</f>
        <v/>
      </c>
      <c r="BT109" s="9" t="str">
        <f aca="false">IF(OR(R109="",N109="",BS109="",R109&lt;=0,BS109&lt;=0),"",(1/Inputs!$B$9)*((R109^2/8)*((2*ACOS(1-2*BS109/R109))-SIN((2*ACOS(1-2*BS109/R109)))))*((((R109^2/8)*((2*ACOS(1-2*BS109/R109))-SIN((2*ACOS(1-2*BS109/R109)))))/((R109/2)*((2*ACOS(1-2*BS109/R109)))))^(2/3))*SQRT(N109))</f>
        <v/>
      </c>
      <c r="BU109" s="9" t="str">
        <f aca="false">IF(AY109="","",IF(BT109&lt;AY109,BS109,BQ109))</f>
        <v/>
      </c>
      <c r="BV109" s="9" t="str">
        <f aca="false">IF(AY109="","",IF(BT109&lt;AY109,BR109,BS109))</f>
        <v/>
      </c>
      <c r="BW109" s="9" t="str">
        <f aca="false">IF(AY109="","",(BU109+BV109)/2)</f>
        <v/>
      </c>
      <c r="BX109" s="9" t="str">
        <f aca="false">IF(OR(R109="",N109="",BW109="",R109&lt;=0,BW109&lt;=0),"",(1/Inputs!$B$9)*((R109^2/8)*((2*ACOS(1-2*BW109/R109))-SIN((2*ACOS(1-2*BW109/R109)))))*((((R109^2/8)*((2*ACOS(1-2*BW109/R109))-SIN((2*ACOS(1-2*BW109/R109)))))/((R109/2)*((2*ACOS(1-2*BW109/R109)))))^(2/3))*SQRT(N109))</f>
        <v/>
      </c>
      <c r="BY109" s="9" t="str">
        <f aca="false">IF(AY109="","",IF(BX109&lt;AY109,BW109,BU109))</f>
        <v/>
      </c>
      <c r="BZ109" s="9" t="str">
        <f aca="false">IF(AY109="","",IF(BX109&lt;AY109,BV109,BW109))</f>
        <v/>
      </c>
      <c r="CA109" s="9" t="str">
        <f aca="false">IF(AY109="","",(BY109+BZ109)/2)</f>
        <v/>
      </c>
      <c r="CB109" s="9" t="str">
        <f aca="false">IF(OR(R109="",N109="",CA109="",R109&lt;=0,CA109&lt;=0),"",(1/Inputs!$B$9)*((R109^2/8)*((2*ACOS(1-2*CA109/R109))-SIN((2*ACOS(1-2*CA109/R109)))))*((((R109^2/8)*((2*ACOS(1-2*CA109/R109))-SIN((2*ACOS(1-2*CA109/R109)))))/((R109/2)*((2*ACOS(1-2*CA109/R109)))))^(2/3))*SQRT(N109))</f>
        <v/>
      </c>
      <c r="CC109" s="9" t="str">
        <f aca="false">IF(AY109="","",IF(CB109&lt;AY109,CA109,BY109))</f>
        <v/>
      </c>
      <c r="CD109" s="9" t="str">
        <f aca="false">IF(AY109="","",IF(CB109&lt;AY109,BZ109,CA109))</f>
        <v/>
      </c>
      <c r="CE109" s="9" t="str">
        <f aca="false">IF(AY109="","",(CC109+CD109)/2)</f>
        <v/>
      </c>
    </row>
    <row r="110" customFormat="false" ht="15" hidden="false" customHeight="false" outlineLevel="0" collapsed="false">
      <c r="A110" s="9"/>
      <c r="B110" s="9"/>
      <c r="C110" s="14"/>
      <c r="D110" s="14"/>
      <c r="E110" s="14" t="n">
        <f aca="false">SUMIFS(CB_Tributaires!$C:$C,CB_Tributaires!$B:$B,$A110)</f>
        <v>0</v>
      </c>
      <c r="F110" s="14" t="n">
        <f aca="false">IF(D110="",E110,D110)</f>
        <v>0</v>
      </c>
      <c r="G110" s="9"/>
      <c r="H110" s="14"/>
      <c r="I110" s="14" t="str">
        <f aca="false">IF(A110="","",Inputs!$B$13/((IF(AS110="",Inputs!$B$18,AS110)+Inputs!$B$14)^Inputs!$B$15))</f>
        <v/>
      </c>
      <c r="J110" s="14" t="str">
        <f aca="false">IF(A110="","",0.000000278*IF(G110="",Inputs!$B$17,G110)*F110*I110)</f>
        <v/>
      </c>
      <c r="K110" s="14" t="str">
        <f aca="false">IF(A110="","",SUMIFS($L$4:$L$203,$B$4:$B$203,$A110))</f>
        <v/>
      </c>
      <c r="L110" s="14" t="str">
        <f aca="false">IF(A110="","",(J110+K110)*Inputs!$B$16)</f>
        <v/>
      </c>
      <c r="M110" s="14"/>
      <c r="N110" s="14" t="str">
        <f aca="false">IF(A110="","",IF(M110="",Inputs!$B$7,M110))</f>
        <v/>
      </c>
      <c r="O110" s="9" t="str">
        <f aca="false">IF(A110="","",IF(L110/Inputs!$B$10&lt;=AD110,Inputs!$F$5,IF(L110/Inputs!$B$10&gt;AM110,"OVERSIZE",INDEX(Inputs!$F$5:$F$14,MATCH(L110/Inputs!$B$10,AD110:AM110,1)+1))))</f>
        <v/>
      </c>
      <c r="P110" s="9"/>
      <c r="Q110" s="9" t="str">
        <f aca="false">IF(A110="","",IF(P110="",O110,P110))</f>
        <v/>
      </c>
      <c r="R110" s="14" t="str">
        <f aca="false">IF(OR(Q110="",Q110="OVERSIZE"),"",Q110/1000)</f>
        <v/>
      </c>
      <c r="S110" s="14" t="str">
        <f aca="false">IF(R110="","",(1/Inputs!$B$9)*(PI()*R110^2/4)*((R110/4)^(2/3))*SQRT(N110))</f>
        <v/>
      </c>
      <c r="T110" s="14" t="str">
        <f aca="false">IF(OR(S110="",L110=""),"",L110/(S110*Inputs!$B$10))</f>
        <v/>
      </c>
      <c r="U110" s="14" t="str">
        <f aca="false">IF(OR(R110="",L110=""),"",4*L110/(PI()*R110^2))</f>
        <v/>
      </c>
      <c r="V110" s="14"/>
      <c r="W110" s="14" t="str">
        <f aca="false">IF(A110="","",IF(A110=Inputs!$B$6,Inputs!$B$22,IF(B110="","",IFERROR(INDEX($X$4:$X$203,MATCH(B110,$A$4:$A$203,0))+IF(V110="",Inputs!$B$20,V110),""))))</f>
        <v/>
      </c>
      <c r="X110" s="14" t="str">
        <f aca="false">IF(OR(W110="",N110="",C110=""),"",W110+N110*C110)</f>
        <v/>
      </c>
      <c r="Y110" s="14"/>
      <c r="Z110" s="14"/>
      <c r="AA110" s="14" t="str">
        <f aca="false">IF(OR(Y110="",W110=""),"",Y110-W110)</f>
        <v/>
      </c>
      <c r="AB110" s="14" t="str">
        <f aca="false">IF(OR(Z110="",X110=""),"",Z110-X110)</f>
        <v/>
      </c>
      <c r="AC110" s="19" t="str">
        <f aca="false">IF(A110="","",IF(OR(T110&gt;1,AND(AV110&lt;&gt;"",AV110&lt;Inputs!$B$11),AND(AV110&lt;&gt;"",AV110&gt;Inputs!$B$12),AA110&lt;Inputs!$B$19,AB110&lt;Inputs!$B$19,N110&lt;Inputs!$B$7,N110&gt;Inputs!$B$8),"CHECK","OK"))</f>
        <v/>
      </c>
      <c r="AD110" s="9" t="str">
        <f aca="false">IF(A110="","",(1/Inputs!$B$9)*(PI()*(Inputs!$F$5/1000)^2/4)*((Inputs!$F$5/1000/4)^(2/3))*SQRT(N110))</f>
        <v/>
      </c>
      <c r="AE110" s="9" t="str">
        <f aca="false">IF(A110="","",(1/Inputs!$B$9)*(PI()*(Inputs!$F$6/1000)^2/4)*((Inputs!$F$6/1000/4)^(2/3))*SQRT(N110))</f>
        <v/>
      </c>
      <c r="AF110" s="9" t="str">
        <f aca="false">IF(A110="","",(1/Inputs!$B$9)*(PI()*(Inputs!$F$7/1000)^2/4)*((Inputs!$F$7/1000/4)^(2/3))*SQRT(N110))</f>
        <v/>
      </c>
      <c r="AG110" s="9" t="str">
        <f aca="false">IF(A110="","",(1/Inputs!$B$9)*(PI()*(Inputs!$F$8/1000)^2/4)*((Inputs!$F$8/1000/4)^(2/3))*SQRT(N110))</f>
        <v/>
      </c>
      <c r="AH110" s="9" t="str">
        <f aca="false">IF(A110="","",(1/Inputs!$B$9)*(PI()*(Inputs!$F$9/1000)^2/4)*((Inputs!$F$9/1000/4)^(2/3))*SQRT(N110))</f>
        <v/>
      </c>
      <c r="AI110" s="9" t="str">
        <f aca="false">IF(A110="","",(1/Inputs!$B$9)*(PI()*(Inputs!$F$10/1000)^2/4)*((Inputs!$F$10/1000/4)^(2/3))*SQRT(N110))</f>
        <v/>
      </c>
      <c r="AJ110" s="9" t="str">
        <f aca="false">IF(A110="","",(1/Inputs!$B$9)*(PI()*(Inputs!$F$11/1000)^2/4)*((Inputs!$F$11/1000/4)^(2/3))*SQRT(N110))</f>
        <v/>
      </c>
      <c r="AK110" s="9" t="str">
        <f aca="false">IF(A110="","",(1/Inputs!$B$9)*(PI()*(Inputs!$F$12/1000)^2/4)*((Inputs!$F$12/1000/4)^(2/3))*SQRT(N110))</f>
        <v/>
      </c>
      <c r="AL110" s="9" t="str">
        <f aca="false">IF(A110="","",(1/Inputs!$B$9)*(PI()*(Inputs!$F$13/1000)^2/4)*((Inputs!$F$13/1000/4)^(2/3))*SQRT(N110))</f>
        <v/>
      </c>
      <c r="AM110" s="9" t="str">
        <f aca="false">IF(A110="","",(1/Inputs!$B$9)*(PI()*(Inputs!$F$14/1000)^2/4)*((Inputs!$F$14/1000/4)^(2/3))*SQRT(N110))</f>
        <v/>
      </c>
      <c r="AN110" s="9" t="str">
        <f aca="false">IF(A110="","",COUNTIF($B$4:$B$203,$A110))</f>
        <v/>
      </c>
      <c r="AO110" s="9" t="str">
        <f aca="false">IF(A110="","",IF(AN110=0,"START","CONTINUOUS"))</f>
        <v/>
      </c>
      <c r="AP110" s="13" t="str">
        <f aca="false">IF(A110="","",IF(H110="",Inputs!$B$18,H110))</f>
        <v/>
      </c>
      <c r="AQ110" s="13" t="str">
        <f aca="false">IF(A110="","",IFERROR(maxifs($AS$4:$AS$203,$B$4:$B$203,$A110),""))</f>
        <v/>
      </c>
      <c r="AR110" s="13" t="str">
        <f aca="false">IF(A110="","",IF(OR(C110="",Inputs!$B$23=""),"",C110/(Inputs!$B$23*60)))</f>
        <v/>
      </c>
      <c r="AS110" s="13" t="str">
        <f aca="false">IF(A110="","",IF(AN110=0,AP110+AR110,IF(AQ110="",AP110+AR110,AQ110+AR110)))</f>
        <v/>
      </c>
      <c r="AT110" s="13" t="str">
        <f aca="false">IF(A110="","",U110)</f>
        <v/>
      </c>
      <c r="AU110" s="13" t="str">
        <f aca="false">IF(OR(R110="",N110=""),"",(1/Inputs!$B$9)*((R110/4)^(2/3))*SQRT(N110))</f>
        <v/>
      </c>
      <c r="AV110" s="13" t="str">
        <f aca="false">IF(A110="","",IF(AND(AT110="",AU110="",AX110=""),"",IF(OR(UPPER(TRIM(Inputs!$B$24))="MANNING",UPPER(TRIM(Inputs!$B$24))="M"),AU110,IF(OR(UPPER(TRIM(Inputs!$B$24))="PARTIAL",UPPER(TRIM(Inputs!$B$24))="P"),AX110,IF(OR(UPPER(TRIM(Inputs!$B$24))="MAX",UPPER(TRIM(Inputs!$B$24))="X"),MAX(IF(AT110="",0,AT110),IF(AU110="",0,AU110),IF(AX110="",0,AX110)),AT110)))))</f>
        <v/>
      </c>
      <c r="AW110" s="13" t="str">
        <f aca="false">IF(AY110="","",CE110)</f>
        <v/>
      </c>
      <c r="AX110" s="13" t="str">
        <f aca="false">IF(OR(AY110="",AW110="",R110="",R110&lt;=0,AW110&lt;=0),"",AY110/((R110^2/8)*(2*ACOS(1-2*AW110/R110)-SIN(2*ACOS(1-2*AW110/R110)))))</f>
        <v/>
      </c>
      <c r="AY110" s="9" t="str">
        <f aca="false">IF(OR(L110="",AZ110=""),"",MIN(L110,AZ110))</f>
        <v/>
      </c>
      <c r="AZ110" s="9" t="str">
        <f aca="false">IF(OR(L110="",R110="",N110=""),"",IF(OR(R110="",N110="",(0.94*R110)="",R110&lt;=0,(0.94*R110)&lt;=0),"",(1/Inputs!$B$9)*((R110^2/8)*((2*ACOS(1-2*(0.94*R110)/R110))-SIN((2*ACOS(1-2*(0.94*R110)/R110)))))*((((R110^2/8)*((2*ACOS(1-2*(0.94*R110)/R110))-SIN((2*ACOS(1-2*(0.94*R110)/R110)))))/((R110/2)*((2*ACOS(1-2*(0.94*R110)/R110)))))^(2/3))*SQRT(N110)))</f>
        <v/>
      </c>
      <c r="BA110" s="9" t="str">
        <f aca="false">IF(AY110="","",0.001*R110)</f>
        <v/>
      </c>
      <c r="BB110" s="9" t="str">
        <f aca="false">IF(AY110="","",0.94*R110)</f>
        <v/>
      </c>
      <c r="BC110" s="9" t="str">
        <f aca="false">IF(AY110="","",(BA110+BB110)/2)</f>
        <v/>
      </c>
      <c r="BD110" s="9" t="str">
        <f aca="false">IF(OR(R110="",N110="",BC110="",R110&lt;=0,BC110&lt;=0),"",(1/Inputs!$B$9)*((R110^2/8)*((2*ACOS(1-2*BC110/R110))-SIN((2*ACOS(1-2*BC110/R110)))))*((((R110^2/8)*((2*ACOS(1-2*BC110/R110))-SIN((2*ACOS(1-2*BC110/R110)))))/((R110/2)*((2*ACOS(1-2*BC110/R110)))))^(2/3))*SQRT(N110))</f>
        <v/>
      </c>
      <c r="BE110" s="9" t="str">
        <f aca="false">IF(AY110="","",IF(BD110&lt;AY110,BC110,BA110))</f>
        <v/>
      </c>
      <c r="BF110" s="9" t="str">
        <f aca="false">IF(AY110="","",IF(BD110&lt;AY110,BB110,BC110))</f>
        <v/>
      </c>
      <c r="BG110" s="9" t="str">
        <f aca="false">IF(AY110="","",(BE110+BF110)/2)</f>
        <v/>
      </c>
      <c r="BH110" s="9" t="str">
        <f aca="false">IF(OR(R110="",N110="",BG110="",R110&lt;=0,BG110&lt;=0),"",(1/Inputs!$B$9)*((R110^2/8)*((2*ACOS(1-2*BG110/R110))-SIN((2*ACOS(1-2*BG110/R110)))))*((((R110^2/8)*((2*ACOS(1-2*BG110/R110))-SIN((2*ACOS(1-2*BG110/R110)))))/((R110/2)*((2*ACOS(1-2*BG110/R110)))))^(2/3))*SQRT(N110))</f>
        <v/>
      </c>
      <c r="BI110" s="9" t="str">
        <f aca="false">IF(AY110="","",IF(BH110&lt;AY110,BG110,BE110))</f>
        <v/>
      </c>
      <c r="BJ110" s="9" t="str">
        <f aca="false">IF(AY110="","",IF(BH110&lt;AY110,BF110,BG110))</f>
        <v/>
      </c>
      <c r="BK110" s="9" t="str">
        <f aca="false">IF(AY110="","",(BI110+BJ110)/2)</f>
        <v/>
      </c>
      <c r="BL110" s="9" t="str">
        <f aca="false">IF(OR(R110="",N110="",BK110="",R110&lt;=0,BK110&lt;=0),"",(1/Inputs!$B$9)*((R110^2/8)*((2*ACOS(1-2*BK110/R110))-SIN((2*ACOS(1-2*BK110/R110)))))*((((R110^2/8)*((2*ACOS(1-2*BK110/R110))-SIN((2*ACOS(1-2*BK110/R110)))))/((R110/2)*((2*ACOS(1-2*BK110/R110)))))^(2/3))*SQRT(N110))</f>
        <v/>
      </c>
      <c r="BM110" s="9" t="str">
        <f aca="false">IF(AY110="","",IF(BL110&lt;AY110,BK110,BI110))</f>
        <v/>
      </c>
      <c r="BN110" s="9" t="str">
        <f aca="false">IF(AY110="","",IF(BL110&lt;AY110,BJ110,BK110))</f>
        <v/>
      </c>
      <c r="BO110" s="9" t="str">
        <f aca="false">IF(AY110="","",(BM110+BN110)/2)</f>
        <v/>
      </c>
      <c r="BP110" s="9" t="str">
        <f aca="false">IF(OR(R110="",N110="",BO110="",R110&lt;=0,BO110&lt;=0),"",(1/Inputs!$B$9)*((R110^2/8)*((2*ACOS(1-2*BO110/R110))-SIN((2*ACOS(1-2*BO110/R110)))))*((((R110^2/8)*((2*ACOS(1-2*BO110/R110))-SIN((2*ACOS(1-2*BO110/R110)))))/((R110/2)*((2*ACOS(1-2*BO110/R110)))))^(2/3))*SQRT(N110))</f>
        <v/>
      </c>
      <c r="BQ110" s="9" t="str">
        <f aca="false">IF(AY110="","",IF(BP110&lt;AY110,BO110,BM110))</f>
        <v/>
      </c>
      <c r="BR110" s="9" t="str">
        <f aca="false">IF(AY110="","",IF(BP110&lt;AY110,BN110,BO110))</f>
        <v/>
      </c>
      <c r="BS110" s="9" t="str">
        <f aca="false">IF(AY110="","",(BQ110+BR110)/2)</f>
        <v/>
      </c>
      <c r="BT110" s="9" t="str">
        <f aca="false">IF(OR(R110="",N110="",BS110="",R110&lt;=0,BS110&lt;=0),"",(1/Inputs!$B$9)*((R110^2/8)*((2*ACOS(1-2*BS110/R110))-SIN((2*ACOS(1-2*BS110/R110)))))*((((R110^2/8)*((2*ACOS(1-2*BS110/R110))-SIN((2*ACOS(1-2*BS110/R110)))))/((R110/2)*((2*ACOS(1-2*BS110/R110)))))^(2/3))*SQRT(N110))</f>
        <v/>
      </c>
      <c r="BU110" s="9" t="str">
        <f aca="false">IF(AY110="","",IF(BT110&lt;AY110,BS110,BQ110))</f>
        <v/>
      </c>
      <c r="BV110" s="9" t="str">
        <f aca="false">IF(AY110="","",IF(BT110&lt;AY110,BR110,BS110))</f>
        <v/>
      </c>
      <c r="BW110" s="9" t="str">
        <f aca="false">IF(AY110="","",(BU110+BV110)/2)</f>
        <v/>
      </c>
      <c r="BX110" s="9" t="str">
        <f aca="false">IF(OR(R110="",N110="",BW110="",R110&lt;=0,BW110&lt;=0),"",(1/Inputs!$B$9)*((R110^2/8)*((2*ACOS(1-2*BW110/R110))-SIN((2*ACOS(1-2*BW110/R110)))))*((((R110^2/8)*((2*ACOS(1-2*BW110/R110))-SIN((2*ACOS(1-2*BW110/R110)))))/((R110/2)*((2*ACOS(1-2*BW110/R110)))))^(2/3))*SQRT(N110))</f>
        <v/>
      </c>
      <c r="BY110" s="9" t="str">
        <f aca="false">IF(AY110="","",IF(BX110&lt;AY110,BW110,BU110))</f>
        <v/>
      </c>
      <c r="BZ110" s="9" t="str">
        <f aca="false">IF(AY110="","",IF(BX110&lt;AY110,BV110,BW110))</f>
        <v/>
      </c>
      <c r="CA110" s="9" t="str">
        <f aca="false">IF(AY110="","",(BY110+BZ110)/2)</f>
        <v/>
      </c>
      <c r="CB110" s="9" t="str">
        <f aca="false">IF(OR(R110="",N110="",CA110="",R110&lt;=0,CA110&lt;=0),"",(1/Inputs!$B$9)*((R110^2/8)*((2*ACOS(1-2*CA110/R110))-SIN((2*ACOS(1-2*CA110/R110)))))*((((R110^2/8)*((2*ACOS(1-2*CA110/R110))-SIN((2*ACOS(1-2*CA110/R110)))))/((R110/2)*((2*ACOS(1-2*CA110/R110)))))^(2/3))*SQRT(N110))</f>
        <v/>
      </c>
      <c r="CC110" s="9" t="str">
        <f aca="false">IF(AY110="","",IF(CB110&lt;AY110,CA110,BY110))</f>
        <v/>
      </c>
      <c r="CD110" s="9" t="str">
        <f aca="false">IF(AY110="","",IF(CB110&lt;AY110,BZ110,CA110))</f>
        <v/>
      </c>
      <c r="CE110" s="9" t="str">
        <f aca="false">IF(AY110="","",(CC110+CD110)/2)</f>
        <v/>
      </c>
    </row>
    <row r="111" customFormat="false" ht="15" hidden="false" customHeight="false" outlineLevel="0" collapsed="false">
      <c r="A111" s="9"/>
      <c r="B111" s="9"/>
      <c r="C111" s="14"/>
      <c r="D111" s="14"/>
      <c r="E111" s="14" t="n">
        <f aca="false">SUMIFS(CB_Tributaires!$C:$C,CB_Tributaires!$B:$B,$A111)</f>
        <v>0</v>
      </c>
      <c r="F111" s="14" t="n">
        <f aca="false">IF(D111="",E111,D111)</f>
        <v>0</v>
      </c>
      <c r="G111" s="9"/>
      <c r="H111" s="14"/>
      <c r="I111" s="14" t="str">
        <f aca="false">IF(A111="","",Inputs!$B$13/((IF(AS111="",Inputs!$B$18,AS111)+Inputs!$B$14)^Inputs!$B$15))</f>
        <v/>
      </c>
      <c r="J111" s="14" t="str">
        <f aca="false">IF(A111="","",0.000000278*IF(G111="",Inputs!$B$17,G111)*F111*I111)</f>
        <v/>
      </c>
      <c r="K111" s="14" t="str">
        <f aca="false">IF(A111="","",SUMIFS($L$4:$L$203,$B$4:$B$203,$A111))</f>
        <v/>
      </c>
      <c r="L111" s="14" t="str">
        <f aca="false">IF(A111="","",(J111+K111)*Inputs!$B$16)</f>
        <v/>
      </c>
      <c r="M111" s="14"/>
      <c r="N111" s="14" t="str">
        <f aca="false">IF(A111="","",IF(M111="",Inputs!$B$7,M111))</f>
        <v/>
      </c>
      <c r="O111" s="9" t="str">
        <f aca="false">IF(A111="","",IF(L111/Inputs!$B$10&lt;=AD111,Inputs!$F$5,IF(L111/Inputs!$B$10&gt;AM111,"OVERSIZE",INDEX(Inputs!$F$5:$F$14,MATCH(L111/Inputs!$B$10,AD111:AM111,1)+1))))</f>
        <v/>
      </c>
      <c r="P111" s="9"/>
      <c r="Q111" s="9" t="str">
        <f aca="false">IF(A111="","",IF(P111="",O111,P111))</f>
        <v/>
      </c>
      <c r="R111" s="14" t="str">
        <f aca="false">IF(OR(Q111="",Q111="OVERSIZE"),"",Q111/1000)</f>
        <v/>
      </c>
      <c r="S111" s="14" t="str">
        <f aca="false">IF(R111="","",(1/Inputs!$B$9)*(PI()*R111^2/4)*((R111/4)^(2/3))*SQRT(N111))</f>
        <v/>
      </c>
      <c r="T111" s="14" t="str">
        <f aca="false">IF(OR(S111="",L111=""),"",L111/(S111*Inputs!$B$10))</f>
        <v/>
      </c>
      <c r="U111" s="14" t="str">
        <f aca="false">IF(OR(R111="",L111=""),"",4*L111/(PI()*R111^2))</f>
        <v/>
      </c>
      <c r="V111" s="14"/>
      <c r="W111" s="14" t="str">
        <f aca="false">IF(A111="","",IF(A111=Inputs!$B$6,Inputs!$B$22,IF(B111="","",IFERROR(INDEX($X$4:$X$203,MATCH(B111,$A$4:$A$203,0))+IF(V111="",Inputs!$B$20,V111),""))))</f>
        <v/>
      </c>
      <c r="X111" s="14" t="str">
        <f aca="false">IF(OR(W111="",N111="",C111=""),"",W111+N111*C111)</f>
        <v/>
      </c>
      <c r="Y111" s="14"/>
      <c r="Z111" s="14"/>
      <c r="AA111" s="14" t="str">
        <f aca="false">IF(OR(Y111="",W111=""),"",Y111-W111)</f>
        <v/>
      </c>
      <c r="AB111" s="14" t="str">
        <f aca="false">IF(OR(Z111="",X111=""),"",Z111-X111)</f>
        <v/>
      </c>
      <c r="AC111" s="19" t="str">
        <f aca="false">IF(A111="","",IF(OR(T111&gt;1,AND(AV111&lt;&gt;"",AV111&lt;Inputs!$B$11),AND(AV111&lt;&gt;"",AV111&gt;Inputs!$B$12),AA111&lt;Inputs!$B$19,AB111&lt;Inputs!$B$19,N111&lt;Inputs!$B$7,N111&gt;Inputs!$B$8),"CHECK","OK"))</f>
        <v/>
      </c>
      <c r="AD111" s="9" t="str">
        <f aca="false">IF(A111="","",(1/Inputs!$B$9)*(PI()*(Inputs!$F$5/1000)^2/4)*((Inputs!$F$5/1000/4)^(2/3))*SQRT(N111))</f>
        <v/>
      </c>
      <c r="AE111" s="9" t="str">
        <f aca="false">IF(A111="","",(1/Inputs!$B$9)*(PI()*(Inputs!$F$6/1000)^2/4)*((Inputs!$F$6/1000/4)^(2/3))*SQRT(N111))</f>
        <v/>
      </c>
      <c r="AF111" s="9" t="str">
        <f aca="false">IF(A111="","",(1/Inputs!$B$9)*(PI()*(Inputs!$F$7/1000)^2/4)*((Inputs!$F$7/1000/4)^(2/3))*SQRT(N111))</f>
        <v/>
      </c>
      <c r="AG111" s="9" t="str">
        <f aca="false">IF(A111="","",(1/Inputs!$B$9)*(PI()*(Inputs!$F$8/1000)^2/4)*((Inputs!$F$8/1000/4)^(2/3))*SQRT(N111))</f>
        <v/>
      </c>
      <c r="AH111" s="9" t="str">
        <f aca="false">IF(A111="","",(1/Inputs!$B$9)*(PI()*(Inputs!$F$9/1000)^2/4)*((Inputs!$F$9/1000/4)^(2/3))*SQRT(N111))</f>
        <v/>
      </c>
      <c r="AI111" s="9" t="str">
        <f aca="false">IF(A111="","",(1/Inputs!$B$9)*(PI()*(Inputs!$F$10/1000)^2/4)*((Inputs!$F$10/1000/4)^(2/3))*SQRT(N111))</f>
        <v/>
      </c>
      <c r="AJ111" s="9" t="str">
        <f aca="false">IF(A111="","",(1/Inputs!$B$9)*(PI()*(Inputs!$F$11/1000)^2/4)*((Inputs!$F$11/1000/4)^(2/3))*SQRT(N111))</f>
        <v/>
      </c>
      <c r="AK111" s="9" t="str">
        <f aca="false">IF(A111="","",(1/Inputs!$B$9)*(PI()*(Inputs!$F$12/1000)^2/4)*((Inputs!$F$12/1000/4)^(2/3))*SQRT(N111))</f>
        <v/>
      </c>
      <c r="AL111" s="9" t="str">
        <f aca="false">IF(A111="","",(1/Inputs!$B$9)*(PI()*(Inputs!$F$13/1000)^2/4)*((Inputs!$F$13/1000/4)^(2/3))*SQRT(N111))</f>
        <v/>
      </c>
      <c r="AM111" s="9" t="str">
        <f aca="false">IF(A111="","",(1/Inputs!$B$9)*(PI()*(Inputs!$F$14/1000)^2/4)*((Inputs!$F$14/1000/4)^(2/3))*SQRT(N111))</f>
        <v/>
      </c>
      <c r="AN111" s="9" t="str">
        <f aca="false">IF(A111="","",COUNTIF($B$4:$B$203,$A111))</f>
        <v/>
      </c>
      <c r="AO111" s="9" t="str">
        <f aca="false">IF(A111="","",IF(AN111=0,"START","CONTINUOUS"))</f>
        <v/>
      </c>
      <c r="AP111" s="13" t="str">
        <f aca="false">IF(A111="","",IF(H111="",Inputs!$B$18,H111))</f>
        <v/>
      </c>
      <c r="AQ111" s="13" t="str">
        <f aca="false">IF(A111="","",IFERROR(maxifs($AS$4:$AS$203,$B$4:$B$203,$A111),""))</f>
        <v/>
      </c>
      <c r="AR111" s="13" t="str">
        <f aca="false">IF(A111="","",IF(OR(C111="",Inputs!$B$23=""),"",C111/(Inputs!$B$23*60)))</f>
        <v/>
      </c>
      <c r="AS111" s="13" t="str">
        <f aca="false">IF(A111="","",IF(AN111=0,AP111+AR111,IF(AQ111="",AP111+AR111,AQ111+AR111)))</f>
        <v/>
      </c>
      <c r="AT111" s="13" t="str">
        <f aca="false">IF(A111="","",U111)</f>
        <v/>
      </c>
      <c r="AU111" s="13" t="str">
        <f aca="false">IF(OR(R111="",N111=""),"",(1/Inputs!$B$9)*((R111/4)^(2/3))*SQRT(N111))</f>
        <v/>
      </c>
      <c r="AV111" s="13" t="str">
        <f aca="false">IF(A111="","",IF(AND(AT111="",AU111="",AX111=""),"",IF(OR(UPPER(TRIM(Inputs!$B$24))="MANNING",UPPER(TRIM(Inputs!$B$24))="M"),AU111,IF(OR(UPPER(TRIM(Inputs!$B$24))="PARTIAL",UPPER(TRIM(Inputs!$B$24))="P"),AX111,IF(OR(UPPER(TRIM(Inputs!$B$24))="MAX",UPPER(TRIM(Inputs!$B$24))="X"),MAX(IF(AT111="",0,AT111),IF(AU111="",0,AU111),IF(AX111="",0,AX111)),AT111)))))</f>
        <v/>
      </c>
      <c r="AW111" s="13" t="str">
        <f aca="false">IF(AY111="","",CE111)</f>
        <v/>
      </c>
      <c r="AX111" s="13" t="str">
        <f aca="false">IF(OR(AY111="",AW111="",R111="",R111&lt;=0,AW111&lt;=0),"",AY111/((R111^2/8)*(2*ACOS(1-2*AW111/R111)-SIN(2*ACOS(1-2*AW111/R111)))))</f>
        <v/>
      </c>
      <c r="AY111" s="9" t="str">
        <f aca="false">IF(OR(L111="",AZ111=""),"",MIN(L111,AZ111))</f>
        <v/>
      </c>
      <c r="AZ111" s="9" t="str">
        <f aca="false">IF(OR(L111="",R111="",N111=""),"",IF(OR(R111="",N111="",(0.94*R111)="",R111&lt;=0,(0.94*R111)&lt;=0),"",(1/Inputs!$B$9)*((R111^2/8)*((2*ACOS(1-2*(0.94*R111)/R111))-SIN((2*ACOS(1-2*(0.94*R111)/R111)))))*((((R111^2/8)*((2*ACOS(1-2*(0.94*R111)/R111))-SIN((2*ACOS(1-2*(0.94*R111)/R111)))))/((R111/2)*((2*ACOS(1-2*(0.94*R111)/R111)))))^(2/3))*SQRT(N111)))</f>
        <v/>
      </c>
      <c r="BA111" s="9" t="str">
        <f aca="false">IF(AY111="","",0.001*R111)</f>
        <v/>
      </c>
      <c r="BB111" s="9" t="str">
        <f aca="false">IF(AY111="","",0.94*R111)</f>
        <v/>
      </c>
      <c r="BC111" s="9" t="str">
        <f aca="false">IF(AY111="","",(BA111+BB111)/2)</f>
        <v/>
      </c>
      <c r="BD111" s="9" t="str">
        <f aca="false">IF(OR(R111="",N111="",BC111="",R111&lt;=0,BC111&lt;=0),"",(1/Inputs!$B$9)*((R111^2/8)*((2*ACOS(1-2*BC111/R111))-SIN((2*ACOS(1-2*BC111/R111)))))*((((R111^2/8)*((2*ACOS(1-2*BC111/R111))-SIN((2*ACOS(1-2*BC111/R111)))))/((R111/2)*((2*ACOS(1-2*BC111/R111)))))^(2/3))*SQRT(N111))</f>
        <v/>
      </c>
      <c r="BE111" s="9" t="str">
        <f aca="false">IF(AY111="","",IF(BD111&lt;AY111,BC111,BA111))</f>
        <v/>
      </c>
      <c r="BF111" s="9" t="str">
        <f aca="false">IF(AY111="","",IF(BD111&lt;AY111,BB111,BC111))</f>
        <v/>
      </c>
      <c r="BG111" s="9" t="str">
        <f aca="false">IF(AY111="","",(BE111+BF111)/2)</f>
        <v/>
      </c>
      <c r="BH111" s="9" t="str">
        <f aca="false">IF(OR(R111="",N111="",BG111="",R111&lt;=0,BG111&lt;=0),"",(1/Inputs!$B$9)*((R111^2/8)*((2*ACOS(1-2*BG111/R111))-SIN((2*ACOS(1-2*BG111/R111)))))*((((R111^2/8)*((2*ACOS(1-2*BG111/R111))-SIN((2*ACOS(1-2*BG111/R111)))))/((R111/2)*((2*ACOS(1-2*BG111/R111)))))^(2/3))*SQRT(N111))</f>
        <v/>
      </c>
      <c r="BI111" s="9" t="str">
        <f aca="false">IF(AY111="","",IF(BH111&lt;AY111,BG111,BE111))</f>
        <v/>
      </c>
      <c r="BJ111" s="9" t="str">
        <f aca="false">IF(AY111="","",IF(BH111&lt;AY111,BF111,BG111))</f>
        <v/>
      </c>
      <c r="BK111" s="9" t="str">
        <f aca="false">IF(AY111="","",(BI111+BJ111)/2)</f>
        <v/>
      </c>
      <c r="BL111" s="9" t="str">
        <f aca="false">IF(OR(R111="",N111="",BK111="",R111&lt;=0,BK111&lt;=0),"",(1/Inputs!$B$9)*((R111^2/8)*((2*ACOS(1-2*BK111/R111))-SIN((2*ACOS(1-2*BK111/R111)))))*((((R111^2/8)*((2*ACOS(1-2*BK111/R111))-SIN((2*ACOS(1-2*BK111/R111)))))/((R111/2)*((2*ACOS(1-2*BK111/R111)))))^(2/3))*SQRT(N111))</f>
        <v/>
      </c>
      <c r="BM111" s="9" t="str">
        <f aca="false">IF(AY111="","",IF(BL111&lt;AY111,BK111,BI111))</f>
        <v/>
      </c>
      <c r="BN111" s="9" t="str">
        <f aca="false">IF(AY111="","",IF(BL111&lt;AY111,BJ111,BK111))</f>
        <v/>
      </c>
      <c r="BO111" s="9" t="str">
        <f aca="false">IF(AY111="","",(BM111+BN111)/2)</f>
        <v/>
      </c>
      <c r="BP111" s="9" t="str">
        <f aca="false">IF(OR(R111="",N111="",BO111="",R111&lt;=0,BO111&lt;=0),"",(1/Inputs!$B$9)*((R111^2/8)*((2*ACOS(1-2*BO111/R111))-SIN((2*ACOS(1-2*BO111/R111)))))*((((R111^2/8)*((2*ACOS(1-2*BO111/R111))-SIN((2*ACOS(1-2*BO111/R111)))))/((R111/2)*((2*ACOS(1-2*BO111/R111)))))^(2/3))*SQRT(N111))</f>
        <v/>
      </c>
      <c r="BQ111" s="9" t="str">
        <f aca="false">IF(AY111="","",IF(BP111&lt;AY111,BO111,BM111))</f>
        <v/>
      </c>
      <c r="BR111" s="9" t="str">
        <f aca="false">IF(AY111="","",IF(BP111&lt;AY111,BN111,BO111))</f>
        <v/>
      </c>
      <c r="BS111" s="9" t="str">
        <f aca="false">IF(AY111="","",(BQ111+BR111)/2)</f>
        <v/>
      </c>
      <c r="BT111" s="9" t="str">
        <f aca="false">IF(OR(R111="",N111="",BS111="",R111&lt;=0,BS111&lt;=0),"",(1/Inputs!$B$9)*((R111^2/8)*((2*ACOS(1-2*BS111/R111))-SIN((2*ACOS(1-2*BS111/R111)))))*((((R111^2/8)*((2*ACOS(1-2*BS111/R111))-SIN((2*ACOS(1-2*BS111/R111)))))/((R111/2)*((2*ACOS(1-2*BS111/R111)))))^(2/3))*SQRT(N111))</f>
        <v/>
      </c>
      <c r="BU111" s="9" t="str">
        <f aca="false">IF(AY111="","",IF(BT111&lt;AY111,BS111,BQ111))</f>
        <v/>
      </c>
      <c r="BV111" s="9" t="str">
        <f aca="false">IF(AY111="","",IF(BT111&lt;AY111,BR111,BS111))</f>
        <v/>
      </c>
      <c r="BW111" s="9" t="str">
        <f aca="false">IF(AY111="","",(BU111+BV111)/2)</f>
        <v/>
      </c>
      <c r="BX111" s="9" t="str">
        <f aca="false">IF(OR(R111="",N111="",BW111="",R111&lt;=0,BW111&lt;=0),"",(1/Inputs!$B$9)*((R111^2/8)*((2*ACOS(1-2*BW111/R111))-SIN((2*ACOS(1-2*BW111/R111)))))*((((R111^2/8)*((2*ACOS(1-2*BW111/R111))-SIN((2*ACOS(1-2*BW111/R111)))))/((R111/2)*((2*ACOS(1-2*BW111/R111)))))^(2/3))*SQRT(N111))</f>
        <v/>
      </c>
      <c r="BY111" s="9" t="str">
        <f aca="false">IF(AY111="","",IF(BX111&lt;AY111,BW111,BU111))</f>
        <v/>
      </c>
      <c r="BZ111" s="9" t="str">
        <f aca="false">IF(AY111="","",IF(BX111&lt;AY111,BV111,BW111))</f>
        <v/>
      </c>
      <c r="CA111" s="9" t="str">
        <f aca="false">IF(AY111="","",(BY111+BZ111)/2)</f>
        <v/>
      </c>
      <c r="CB111" s="9" t="str">
        <f aca="false">IF(OR(R111="",N111="",CA111="",R111&lt;=0,CA111&lt;=0),"",(1/Inputs!$B$9)*((R111^2/8)*((2*ACOS(1-2*CA111/R111))-SIN((2*ACOS(1-2*CA111/R111)))))*((((R111^2/8)*((2*ACOS(1-2*CA111/R111))-SIN((2*ACOS(1-2*CA111/R111)))))/((R111/2)*((2*ACOS(1-2*CA111/R111)))))^(2/3))*SQRT(N111))</f>
        <v/>
      </c>
      <c r="CC111" s="9" t="str">
        <f aca="false">IF(AY111="","",IF(CB111&lt;AY111,CA111,BY111))</f>
        <v/>
      </c>
      <c r="CD111" s="9" t="str">
        <f aca="false">IF(AY111="","",IF(CB111&lt;AY111,BZ111,CA111))</f>
        <v/>
      </c>
      <c r="CE111" s="9" t="str">
        <f aca="false">IF(AY111="","",(CC111+CD111)/2)</f>
        <v/>
      </c>
    </row>
    <row r="112" customFormat="false" ht="15" hidden="false" customHeight="false" outlineLevel="0" collapsed="false">
      <c r="A112" s="9"/>
      <c r="B112" s="9"/>
      <c r="C112" s="14"/>
      <c r="D112" s="14"/>
      <c r="E112" s="14" t="n">
        <f aca="false">SUMIFS(CB_Tributaires!$C:$C,CB_Tributaires!$B:$B,$A112)</f>
        <v>0</v>
      </c>
      <c r="F112" s="14" t="n">
        <f aca="false">IF(D112="",E112,D112)</f>
        <v>0</v>
      </c>
      <c r="G112" s="9"/>
      <c r="H112" s="14"/>
      <c r="I112" s="14" t="str">
        <f aca="false">IF(A112="","",Inputs!$B$13/((IF(AS112="",Inputs!$B$18,AS112)+Inputs!$B$14)^Inputs!$B$15))</f>
        <v/>
      </c>
      <c r="J112" s="14" t="str">
        <f aca="false">IF(A112="","",0.000000278*IF(G112="",Inputs!$B$17,G112)*F112*I112)</f>
        <v/>
      </c>
      <c r="K112" s="14" t="str">
        <f aca="false">IF(A112="","",SUMIFS($L$4:$L$203,$B$4:$B$203,$A112))</f>
        <v/>
      </c>
      <c r="L112" s="14" t="str">
        <f aca="false">IF(A112="","",(J112+K112)*Inputs!$B$16)</f>
        <v/>
      </c>
      <c r="M112" s="14"/>
      <c r="N112" s="14" t="str">
        <f aca="false">IF(A112="","",IF(M112="",Inputs!$B$7,M112))</f>
        <v/>
      </c>
      <c r="O112" s="9" t="str">
        <f aca="false">IF(A112="","",IF(L112/Inputs!$B$10&lt;=AD112,Inputs!$F$5,IF(L112/Inputs!$B$10&gt;AM112,"OVERSIZE",INDEX(Inputs!$F$5:$F$14,MATCH(L112/Inputs!$B$10,AD112:AM112,1)+1))))</f>
        <v/>
      </c>
      <c r="P112" s="9"/>
      <c r="Q112" s="9" t="str">
        <f aca="false">IF(A112="","",IF(P112="",O112,P112))</f>
        <v/>
      </c>
      <c r="R112" s="14" t="str">
        <f aca="false">IF(OR(Q112="",Q112="OVERSIZE"),"",Q112/1000)</f>
        <v/>
      </c>
      <c r="S112" s="14" t="str">
        <f aca="false">IF(R112="","",(1/Inputs!$B$9)*(PI()*R112^2/4)*((R112/4)^(2/3))*SQRT(N112))</f>
        <v/>
      </c>
      <c r="T112" s="14" t="str">
        <f aca="false">IF(OR(S112="",L112=""),"",L112/(S112*Inputs!$B$10))</f>
        <v/>
      </c>
      <c r="U112" s="14" t="str">
        <f aca="false">IF(OR(R112="",L112=""),"",4*L112/(PI()*R112^2))</f>
        <v/>
      </c>
      <c r="V112" s="14"/>
      <c r="W112" s="14" t="str">
        <f aca="false">IF(A112="","",IF(A112=Inputs!$B$6,Inputs!$B$22,IF(B112="","",IFERROR(INDEX($X$4:$X$203,MATCH(B112,$A$4:$A$203,0))+IF(V112="",Inputs!$B$20,V112),""))))</f>
        <v/>
      </c>
      <c r="X112" s="14" t="str">
        <f aca="false">IF(OR(W112="",N112="",C112=""),"",W112+N112*C112)</f>
        <v/>
      </c>
      <c r="Y112" s="14"/>
      <c r="Z112" s="14"/>
      <c r="AA112" s="14" t="str">
        <f aca="false">IF(OR(Y112="",W112=""),"",Y112-W112)</f>
        <v/>
      </c>
      <c r="AB112" s="14" t="str">
        <f aca="false">IF(OR(Z112="",X112=""),"",Z112-X112)</f>
        <v/>
      </c>
      <c r="AC112" s="19" t="str">
        <f aca="false">IF(A112="","",IF(OR(T112&gt;1,AND(AV112&lt;&gt;"",AV112&lt;Inputs!$B$11),AND(AV112&lt;&gt;"",AV112&gt;Inputs!$B$12),AA112&lt;Inputs!$B$19,AB112&lt;Inputs!$B$19,N112&lt;Inputs!$B$7,N112&gt;Inputs!$B$8),"CHECK","OK"))</f>
        <v/>
      </c>
      <c r="AD112" s="9" t="str">
        <f aca="false">IF(A112="","",(1/Inputs!$B$9)*(PI()*(Inputs!$F$5/1000)^2/4)*((Inputs!$F$5/1000/4)^(2/3))*SQRT(N112))</f>
        <v/>
      </c>
      <c r="AE112" s="9" t="str">
        <f aca="false">IF(A112="","",(1/Inputs!$B$9)*(PI()*(Inputs!$F$6/1000)^2/4)*((Inputs!$F$6/1000/4)^(2/3))*SQRT(N112))</f>
        <v/>
      </c>
      <c r="AF112" s="9" t="str">
        <f aca="false">IF(A112="","",(1/Inputs!$B$9)*(PI()*(Inputs!$F$7/1000)^2/4)*((Inputs!$F$7/1000/4)^(2/3))*SQRT(N112))</f>
        <v/>
      </c>
      <c r="AG112" s="9" t="str">
        <f aca="false">IF(A112="","",(1/Inputs!$B$9)*(PI()*(Inputs!$F$8/1000)^2/4)*((Inputs!$F$8/1000/4)^(2/3))*SQRT(N112))</f>
        <v/>
      </c>
      <c r="AH112" s="9" t="str">
        <f aca="false">IF(A112="","",(1/Inputs!$B$9)*(PI()*(Inputs!$F$9/1000)^2/4)*((Inputs!$F$9/1000/4)^(2/3))*SQRT(N112))</f>
        <v/>
      </c>
      <c r="AI112" s="9" t="str">
        <f aca="false">IF(A112="","",(1/Inputs!$B$9)*(PI()*(Inputs!$F$10/1000)^2/4)*((Inputs!$F$10/1000/4)^(2/3))*SQRT(N112))</f>
        <v/>
      </c>
      <c r="AJ112" s="9" t="str">
        <f aca="false">IF(A112="","",(1/Inputs!$B$9)*(PI()*(Inputs!$F$11/1000)^2/4)*((Inputs!$F$11/1000/4)^(2/3))*SQRT(N112))</f>
        <v/>
      </c>
      <c r="AK112" s="9" t="str">
        <f aca="false">IF(A112="","",(1/Inputs!$B$9)*(PI()*(Inputs!$F$12/1000)^2/4)*((Inputs!$F$12/1000/4)^(2/3))*SQRT(N112))</f>
        <v/>
      </c>
      <c r="AL112" s="9" t="str">
        <f aca="false">IF(A112="","",(1/Inputs!$B$9)*(PI()*(Inputs!$F$13/1000)^2/4)*((Inputs!$F$13/1000/4)^(2/3))*SQRT(N112))</f>
        <v/>
      </c>
      <c r="AM112" s="9" t="str">
        <f aca="false">IF(A112="","",(1/Inputs!$B$9)*(PI()*(Inputs!$F$14/1000)^2/4)*((Inputs!$F$14/1000/4)^(2/3))*SQRT(N112))</f>
        <v/>
      </c>
      <c r="AN112" s="9" t="str">
        <f aca="false">IF(A112="","",COUNTIF($B$4:$B$203,$A112))</f>
        <v/>
      </c>
      <c r="AO112" s="9" t="str">
        <f aca="false">IF(A112="","",IF(AN112=0,"START","CONTINUOUS"))</f>
        <v/>
      </c>
      <c r="AP112" s="13" t="str">
        <f aca="false">IF(A112="","",IF(H112="",Inputs!$B$18,H112))</f>
        <v/>
      </c>
      <c r="AQ112" s="13" t="str">
        <f aca="false">IF(A112="","",IFERROR(maxifs($AS$4:$AS$203,$B$4:$B$203,$A112),""))</f>
        <v/>
      </c>
      <c r="AR112" s="13" t="str">
        <f aca="false">IF(A112="","",IF(OR(C112="",Inputs!$B$23=""),"",C112/(Inputs!$B$23*60)))</f>
        <v/>
      </c>
      <c r="AS112" s="13" t="str">
        <f aca="false">IF(A112="","",IF(AN112=0,AP112+AR112,IF(AQ112="",AP112+AR112,AQ112+AR112)))</f>
        <v/>
      </c>
      <c r="AT112" s="13" t="str">
        <f aca="false">IF(A112="","",U112)</f>
        <v/>
      </c>
      <c r="AU112" s="13" t="str">
        <f aca="false">IF(OR(R112="",N112=""),"",(1/Inputs!$B$9)*((R112/4)^(2/3))*SQRT(N112))</f>
        <v/>
      </c>
      <c r="AV112" s="13" t="str">
        <f aca="false">IF(A112="","",IF(AND(AT112="",AU112="",AX112=""),"",IF(OR(UPPER(TRIM(Inputs!$B$24))="MANNING",UPPER(TRIM(Inputs!$B$24))="M"),AU112,IF(OR(UPPER(TRIM(Inputs!$B$24))="PARTIAL",UPPER(TRIM(Inputs!$B$24))="P"),AX112,IF(OR(UPPER(TRIM(Inputs!$B$24))="MAX",UPPER(TRIM(Inputs!$B$24))="X"),MAX(IF(AT112="",0,AT112),IF(AU112="",0,AU112),IF(AX112="",0,AX112)),AT112)))))</f>
        <v/>
      </c>
      <c r="AW112" s="13" t="str">
        <f aca="false">IF(AY112="","",CE112)</f>
        <v/>
      </c>
      <c r="AX112" s="13" t="str">
        <f aca="false">IF(OR(AY112="",AW112="",R112="",R112&lt;=0,AW112&lt;=0),"",AY112/((R112^2/8)*(2*ACOS(1-2*AW112/R112)-SIN(2*ACOS(1-2*AW112/R112)))))</f>
        <v/>
      </c>
      <c r="AY112" s="9" t="str">
        <f aca="false">IF(OR(L112="",AZ112=""),"",MIN(L112,AZ112))</f>
        <v/>
      </c>
      <c r="AZ112" s="9" t="str">
        <f aca="false">IF(OR(L112="",R112="",N112=""),"",IF(OR(R112="",N112="",(0.94*R112)="",R112&lt;=0,(0.94*R112)&lt;=0),"",(1/Inputs!$B$9)*((R112^2/8)*((2*ACOS(1-2*(0.94*R112)/R112))-SIN((2*ACOS(1-2*(0.94*R112)/R112)))))*((((R112^2/8)*((2*ACOS(1-2*(0.94*R112)/R112))-SIN((2*ACOS(1-2*(0.94*R112)/R112)))))/((R112/2)*((2*ACOS(1-2*(0.94*R112)/R112)))))^(2/3))*SQRT(N112)))</f>
        <v/>
      </c>
      <c r="BA112" s="9" t="str">
        <f aca="false">IF(AY112="","",0.001*R112)</f>
        <v/>
      </c>
      <c r="BB112" s="9" t="str">
        <f aca="false">IF(AY112="","",0.94*R112)</f>
        <v/>
      </c>
      <c r="BC112" s="9" t="str">
        <f aca="false">IF(AY112="","",(BA112+BB112)/2)</f>
        <v/>
      </c>
      <c r="BD112" s="9" t="str">
        <f aca="false">IF(OR(R112="",N112="",BC112="",R112&lt;=0,BC112&lt;=0),"",(1/Inputs!$B$9)*((R112^2/8)*((2*ACOS(1-2*BC112/R112))-SIN((2*ACOS(1-2*BC112/R112)))))*((((R112^2/8)*((2*ACOS(1-2*BC112/R112))-SIN((2*ACOS(1-2*BC112/R112)))))/((R112/2)*((2*ACOS(1-2*BC112/R112)))))^(2/3))*SQRT(N112))</f>
        <v/>
      </c>
      <c r="BE112" s="9" t="str">
        <f aca="false">IF(AY112="","",IF(BD112&lt;AY112,BC112,BA112))</f>
        <v/>
      </c>
      <c r="BF112" s="9" t="str">
        <f aca="false">IF(AY112="","",IF(BD112&lt;AY112,BB112,BC112))</f>
        <v/>
      </c>
      <c r="BG112" s="9" t="str">
        <f aca="false">IF(AY112="","",(BE112+BF112)/2)</f>
        <v/>
      </c>
      <c r="BH112" s="9" t="str">
        <f aca="false">IF(OR(R112="",N112="",BG112="",R112&lt;=0,BG112&lt;=0),"",(1/Inputs!$B$9)*((R112^2/8)*((2*ACOS(1-2*BG112/R112))-SIN((2*ACOS(1-2*BG112/R112)))))*((((R112^2/8)*((2*ACOS(1-2*BG112/R112))-SIN((2*ACOS(1-2*BG112/R112)))))/((R112/2)*((2*ACOS(1-2*BG112/R112)))))^(2/3))*SQRT(N112))</f>
        <v/>
      </c>
      <c r="BI112" s="9" t="str">
        <f aca="false">IF(AY112="","",IF(BH112&lt;AY112,BG112,BE112))</f>
        <v/>
      </c>
      <c r="BJ112" s="9" t="str">
        <f aca="false">IF(AY112="","",IF(BH112&lt;AY112,BF112,BG112))</f>
        <v/>
      </c>
      <c r="BK112" s="9" t="str">
        <f aca="false">IF(AY112="","",(BI112+BJ112)/2)</f>
        <v/>
      </c>
      <c r="BL112" s="9" t="str">
        <f aca="false">IF(OR(R112="",N112="",BK112="",R112&lt;=0,BK112&lt;=0),"",(1/Inputs!$B$9)*((R112^2/8)*((2*ACOS(1-2*BK112/R112))-SIN((2*ACOS(1-2*BK112/R112)))))*((((R112^2/8)*((2*ACOS(1-2*BK112/R112))-SIN((2*ACOS(1-2*BK112/R112)))))/((R112/2)*((2*ACOS(1-2*BK112/R112)))))^(2/3))*SQRT(N112))</f>
        <v/>
      </c>
      <c r="BM112" s="9" t="str">
        <f aca="false">IF(AY112="","",IF(BL112&lt;AY112,BK112,BI112))</f>
        <v/>
      </c>
      <c r="BN112" s="9" t="str">
        <f aca="false">IF(AY112="","",IF(BL112&lt;AY112,BJ112,BK112))</f>
        <v/>
      </c>
      <c r="BO112" s="9" t="str">
        <f aca="false">IF(AY112="","",(BM112+BN112)/2)</f>
        <v/>
      </c>
      <c r="BP112" s="9" t="str">
        <f aca="false">IF(OR(R112="",N112="",BO112="",R112&lt;=0,BO112&lt;=0),"",(1/Inputs!$B$9)*((R112^2/8)*((2*ACOS(1-2*BO112/R112))-SIN((2*ACOS(1-2*BO112/R112)))))*((((R112^2/8)*((2*ACOS(1-2*BO112/R112))-SIN((2*ACOS(1-2*BO112/R112)))))/((R112/2)*((2*ACOS(1-2*BO112/R112)))))^(2/3))*SQRT(N112))</f>
        <v/>
      </c>
      <c r="BQ112" s="9" t="str">
        <f aca="false">IF(AY112="","",IF(BP112&lt;AY112,BO112,BM112))</f>
        <v/>
      </c>
      <c r="BR112" s="9" t="str">
        <f aca="false">IF(AY112="","",IF(BP112&lt;AY112,BN112,BO112))</f>
        <v/>
      </c>
      <c r="BS112" s="9" t="str">
        <f aca="false">IF(AY112="","",(BQ112+BR112)/2)</f>
        <v/>
      </c>
      <c r="BT112" s="9" t="str">
        <f aca="false">IF(OR(R112="",N112="",BS112="",R112&lt;=0,BS112&lt;=0),"",(1/Inputs!$B$9)*((R112^2/8)*((2*ACOS(1-2*BS112/R112))-SIN((2*ACOS(1-2*BS112/R112)))))*((((R112^2/8)*((2*ACOS(1-2*BS112/R112))-SIN((2*ACOS(1-2*BS112/R112)))))/((R112/2)*((2*ACOS(1-2*BS112/R112)))))^(2/3))*SQRT(N112))</f>
        <v/>
      </c>
      <c r="BU112" s="9" t="str">
        <f aca="false">IF(AY112="","",IF(BT112&lt;AY112,BS112,BQ112))</f>
        <v/>
      </c>
      <c r="BV112" s="9" t="str">
        <f aca="false">IF(AY112="","",IF(BT112&lt;AY112,BR112,BS112))</f>
        <v/>
      </c>
      <c r="BW112" s="9" t="str">
        <f aca="false">IF(AY112="","",(BU112+BV112)/2)</f>
        <v/>
      </c>
      <c r="BX112" s="9" t="str">
        <f aca="false">IF(OR(R112="",N112="",BW112="",R112&lt;=0,BW112&lt;=0),"",(1/Inputs!$B$9)*((R112^2/8)*((2*ACOS(1-2*BW112/R112))-SIN((2*ACOS(1-2*BW112/R112)))))*((((R112^2/8)*((2*ACOS(1-2*BW112/R112))-SIN((2*ACOS(1-2*BW112/R112)))))/((R112/2)*((2*ACOS(1-2*BW112/R112)))))^(2/3))*SQRT(N112))</f>
        <v/>
      </c>
      <c r="BY112" s="9" t="str">
        <f aca="false">IF(AY112="","",IF(BX112&lt;AY112,BW112,BU112))</f>
        <v/>
      </c>
      <c r="BZ112" s="9" t="str">
        <f aca="false">IF(AY112="","",IF(BX112&lt;AY112,BV112,BW112))</f>
        <v/>
      </c>
      <c r="CA112" s="9" t="str">
        <f aca="false">IF(AY112="","",(BY112+BZ112)/2)</f>
        <v/>
      </c>
      <c r="CB112" s="9" t="str">
        <f aca="false">IF(OR(R112="",N112="",CA112="",R112&lt;=0,CA112&lt;=0),"",(1/Inputs!$B$9)*((R112^2/8)*((2*ACOS(1-2*CA112/R112))-SIN((2*ACOS(1-2*CA112/R112)))))*((((R112^2/8)*((2*ACOS(1-2*CA112/R112))-SIN((2*ACOS(1-2*CA112/R112)))))/((R112/2)*((2*ACOS(1-2*CA112/R112)))))^(2/3))*SQRT(N112))</f>
        <v/>
      </c>
      <c r="CC112" s="9" t="str">
        <f aca="false">IF(AY112="","",IF(CB112&lt;AY112,CA112,BY112))</f>
        <v/>
      </c>
      <c r="CD112" s="9" t="str">
        <f aca="false">IF(AY112="","",IF(CB112&lt;AY112,BZ112,CA112))</f>
        <v/>
      </c>
      <c r="CE112" s="9" t="str">
        <f aca="false">IF(AY112="","",(CC112+CD112)/2)</f>
        <v/>
      </c>
    </row>
    <row r="113" customFormat="false" ht="15" hidden="false" customHeight="false" outlineLevel="0" collapsed="false">
      <c r="A113" s="9"/>
      <c r="B113" s="9"/>
      <c r="C113" s="14"/>
      <c r="D113" s="14"/>
      <c r="E113" s="14" t="n">
        <f aca="false">SUMIFS(CB_Tributaires!$C:$C,CB_Tributaires!$B:$B,$A113)</f>
        <v>0</v>
      </c>
      <c r="F113" s="14" t="n">
        <f aca="false">IF(D113="",E113,D113)</f>
        <v>0</v>
      </c>
      <c r="G113" s="9"/>
      <c r="H113" s="14"/>
      <c r="I113" s="14" t="str">
        <f aca="false">IF(A113="","",Inputs!$B$13/((IF(AS113="",Inputs!$B$18,AS113)+Inputs!$B$14)^Inputs!$B$15))</f>
        <v/>
      </c>
      <c r="J113" s="14" t="str">
        <f aca="false">IF(A113="","",0.000000278*IF(G113="",Inputs!$B$17,G113)*F113*I113)</f>
        <v/>
      </c>
      <c r="K113" s="14" t="str">
        <f aca="false">IF(A113="","",SUMIFS($L$4:$L$203,$B$4:$B$203,$A113))</f>
        <v/>
      </c>
      <c r="L113" s="14" t="str">
        <f aca="false">IF(A113="","",(J113+K113)*Inputs!$B$16)</f>
        <v/>
      </c>
      <c r="M113" s="14"/>
      <c r="N113" s="14" t="str">
        <f aca="false">IF(A113="","",IF(M113="",Inputs!$B$7,M113))</f>
        <v/>
      </c>
      <c r="O113" s="9" t="str">
        <f aca="false">IF(A113="","",IF(L113/Inputs!$B$10&lt;=AD113,Inputs!$F$5,IF(L113/Inputs!$B$10&gt;AM113,"OVERSIZE",INDEX(Inputs!$F$5:$F$14,MATCH(L113/Inputs!$B$10,AD113:AM113,1)+1))))</f>
        <v/>
      </c>
      <c r="P113" s="9"/>
      <c r="Q113" s="9" t="str">
        <f aca="false">IF(A113="","",IF(P113="",O113,P113))</f>
        <v/>
      </c>
      <c r="R113" s="14" t="str">
        <f aca="false">IF(OR(Q113="",Q113="OVERSIZE"),"",Q113/1000)</f>
        <v/>
      </c>
      <c r="S113" s="14" t="str">
        <f aca="false">IF(R113="","",(1/Inputs!$B$9)*(PI()*R113^2/4)*((R113/4)^(2/3))*SQRT(N113))</f>
        <v/>
      </c>
      <c r="T113" s="14" t="str">
        <f aca="false">IF(OR(S113="",L113=""),"",L113/(S113*Inputs!$B$10))</f>
        <v/>
      </c>
      <c r="U113" s="14" t="str">
        <f aca="false">IF(OR(R113="",L113=""),"",4*L113/(PI()*R113^2))</f>
        <v/>
      </c>
      <c r="V113" s="14"/>
      <c r="W113" s="14" t="str">
        <f aca="false">IF(A113="","",IF(A113=Inputs!$B$6,Inputs!$B$22,IF(B113="","",IFERROR(INDEX($X$4:$X$203,MATCH(B113,$A$4:$A$203,0))+IF(V113="",Inputs!$B$20,V113),""))))</f>
        <v/>
      </c>
      <c r="X113" s="14" t="str">
        <f aca="false">IF(OR(W113="",N113="",C113=""),"",W113+N113*C113)</f>
        <v/>
      </c>
      <c r="Y113" s="14"/>
      <c r="Z113" s="14"/>
      <c r="AA113" s="14" t="str">
        <f aca="false">IF(OR(Y113="",W113=""),"",Y113-W113)</f>
        <v/>
      </c>
      <c r="AB113" s="14" t="str">
        <f aca="false">IF(OR(Z113="",X113=""),"",Z113-X113)</f>
        <v/>
      </c>
      <c r="AC113" s="19" t="str">
        <f aca="false">IF(A113="","",IF(OR(T113&gt;1,AND(AV113&lt;&gt;"",AV113&lt;Inputs!$B$11),AND(AV113&lt;&gt;"",AV113&gt;Inputs!$B$12),AA113&lt;Inputs!$B$19,AB113&lt;Inputs!$B$19,N113&lt;Inputs!$B$7,N113&gt;Inputs!$B$8),"CHECK","OK"))</f>
        <v/>
      </c>
      <c r="AD113" s="9" t="str">
        <f aca="false">IF(A113="","",(1/Inputs!$B$9)*(PI()*(Inputs!$F$5/1000)^2/4)*((Inputs!$F$5/1000/4)^(2/3))*SQRT(N113))</f>
        <v/>
      </c>
      <c r="AE113" s="9" t="str">
        <f aca="false">IF(A113="","",(1/Inputs!$B$9)*(PI()*(Inputs!$F$6/1000)^2/4)*((Inputs!$F$6/1000/4)^(2/3))*SQRT(N113))</f>
        <v/>
      </c>
      <c r="AF113" s="9" t="str">
        <f aca="false">IF(A113="","",(1/Inputs!$B$9)*(PI()*(Inputs!$F$7/1000)^2/4)*((Inputs!$F$7/1000/4)^(2/3))*SQRT(N113))</f>
        <v/>
      </c>
      <c r="AG113" s="9" t="str">
        <f aca="false">IF(A113="","",(1/Inputs!$B$9)*(PI()*(Inputs!$F$8/1000)^2/4)*((Inputs!$F$8/1000/4)^(2/3))*SQRT(N113))</f>
        <v/>
      </c>
      <c r="AH113" s="9" t="str">
        <f aca="false">IF(A113="","",(1/Inputs!$B$9)*(PI()*(Inputs!$F$9/1000)^2/4)*((Inputs!$F$9/1000/4)^(2/3))*SQRT(N113))</f>
        <v/>
      </c>
      <c r="AI113" s="9" t="str">
        <f aca="false">IF(A113="","",(1/Inputs!$B$9)*(PI()*(Inputs!$F$10/1000)^2/4)*((Inputs!$F$10/1000/4)^(2/3))*SQRT(N113))</f>
        <v/>
      </c>
      <c r="AJ113" s="9" t="str">
        <f aca="false">IF(A113="","",(1/Inputs!$B$9)*(PI()*(Inputs!$F$11/1000)^2/4)*((Inputs!$F$11/1000/4)^(2/3))*SQRT(N113))</f>
        <v/>
      </c>
      <c r="AK113" s="9" t="str">
        <f aca="false">IF(A113="","",(1/Inputs!$B$9)*(PI()*(Inputs!$F$12/1000)^2/4)*((Inputs!$F$12/1000/4)^(2/3))*SQRT(N113))</f>
        <v/>
      </c>
      <c r="AL113" s="9" t="str">
        <f aca="false">IF(A113="","",(1/Inputs!$B$9)*(PI()*(Inputs!$F$13/1000)^2/4)*((Inputs!$F$13/1000/4)^(2/3))*SQRT(N113))</f>
        <v/>
      </c>
      <c r="AM113" s="9" t="str">
        <f aca="false">IF(A113="","",(1/Inputs!$B$9)*(PI()*(Inputs!$F$14/1000)^2/4)*((Inputs!$F$14/1000/4)^(2/3))*SQRT(N113))</f>
        <v/>
      </c>
      <c r="AN113" s="9" t="str">
        <f aca="false">IF(A113="","",COUNTIF($B$4:$B$203,$A113))</f>
        <v/>
      </c>
      <c r="AO113" s="9" t="str">
        <f aca="false">IF(A113="","",IF(AN113=0,"START","CONTINUOUS"))</f>
        <v/>
      </c>
      <c r="AP113" s="13" t="str">
        <f aca="false">IF(A113="","",IF(H113="",Inputs!$B$18,H113))</f>
        <v/>
      </c>
      <c r="AQ113" s="13" t="str">
        <f aca="false">IF(A113="","",IFERROR(maxifs($AS$4:$AS$203,$B$4:$B$203,$A113),""))</f>
        <v/>
      </c>
      <c r="AR113" s="13" t="str">
        <f aca="false">IF(A113="","",IF(OR(C113="",Inputs!$B$23=""),"",C113/(Inputs!$B$23*60)))</f>
        <v/>
      </c>
      <c r="AS113" s="13" t="str">
        <f aca="false">IF(A113="","",IF(AN113=0,AP113+AR113,IF(AQ113="",AP113+AR113,AQ113+AR113)))</f>
        <v/>
      </c>
      <c r="AT113" s="13" t="str">
        <f aca="false">IF(A113="","",U113)</f>
        <v/>
      </c>
      <c r="AU113" s="13" t="str">
        <f aca="false">IF(OR(R113="",N113=""),"",(1/Inputs!$B$9)*((R113/4)^(2/3))*SQRT(N113))</f>
        <v/>
      </c>
      <c r="AV113" s="13" t="str">
        <f aca="false">IF(A113="","",IF(AND(AT113="",AU113="",AX113=""),"",IF(OR(UPPER(TRIM(Inputs!$B$24))="MANNING",UPPER(TRIM(Inputs!$B$24))="M"),AU113,IF(OR(UPPER(TRIM(Inputs!$B$24))="PARTIAL",UPPER(TRIM(Inputs!$B$24))="P"),AX113,IF(OR(UPPER(TRIM(Inputs!$B$24))="MAX",UPPER(TRIM(Inputs!$B$24))="X"),MAX(IF(AT113="",0,AT113),IF(AU113="",0,AU113),IF(AX113="",0,AX113)),AT113)))))</f>
        <v/>
      </c>
      <c r="AW113" s="13" t="str">
        <f aca="false">IF(AY113="","",CE113)</f>
        <v/>
      </c>
      <c r="AX113" s="13" t="str">
        <f aca="false">IF(OR(AY113="",AW113="",R113="",R113&lt;=0,AW113&lt;=0),"",AY113/((R113^2/8)*(2*ACOS(1-2*AW113/R113)-SIN(2*ACOS(1-2*AW113/R113)))))</f>
        <v/>
      </c>
      <c r="AY113" s="9" t="str">
        <f aca="false">IF(OR(L113="",AZ113=""),"",MIN(L113,AZ113))</f>
        <v/>
      </c>
      <c r="AZ113" s="9" t="str">
        <f aca="false">IF(OR(L113="",R113="",N113=""),"",IF(OR(R113="",N113="",(0.94*R113)="",R113&lt;=0,(0.94*R113)&lt;=0),"",(1/Inputs!$B$9)*((R113^2/8)*((2*ACOS(1-2*(0.94*R113)/R113))-SIN((2*ACOS(1-2*(0.94*R113)/R113)))))*((((R113^2/8)*((2*ACOS(1-2*(0.94*R113)/R113))-SIN((2*ACOS(1-2*(0.94*R113)/R113)))))/((R113/2)*((2*ACOS(1-2*(0.94*R113)/R113)))))^(2/3))*SQRT(N113)))</f>
        <v/>
      </c>
      <c r="BA113" s="9" t="str">
        <f aca="false">IF(AY113="","",0.001*R113)</f>
        <v/>
      </c>
      <c r="BB113" s="9" t="str">
        <f aca="false">IF(AY113="","",0.94*R113)</f>
        <v/>
      </c>
      <c r="BC113" s="9" t="str">
        <f aca="false">IF(AY113="","",(BA113+BB113)/2)</f>
        <v/>
      </c>
      <c r="BD113" s="9" t="str">
        <f aca="false">IF(OR(R113="",N113="",BC113="",R113&lt;=0,BC113&lt;=0),"",(1/Inputs!$B$9)*((R113^2/8)*((2*ACOS(1-2*BC113/R113))-SIN((2*ACOS(1-2*BC113/R113)))))*((((R113^2/8)*((2*ACOS(1-2*BC113/R113))-SIN((2*ACOS(1-2*BC113/R113)))))/((R113/2)*((2*ACOS(1-2*BC113/R113)))))^(2/3))*SQRT(N113))</f>
        <v/>
      </c>
      <c r="BE113" s="9" t="str">
        <f aca="false">IF(AY113="","",IF(BD113&lt;AY113,BC113,BA113))</f>
        <v/>
      </c>
      <c r="BF113" s="9" t="str">
        <f aca="false">IF(AY113="","",IF(BD113&lt;AY113,BB113,BC113))</f>
        <v/>
      </c>
      <c r="BG113" s="9" t="str">
        <f aca="false">IF(AY113="","",(BE113+BF113)/2)</f>
        <v/>
      </c>
      <c r="BH113" s="9" t="str">
        <f aca="false">IF(OR(R113="",N113="",BG113="",R113&lt;=0,BG113&lt;=0),"",(1/Inputs!$B$9)*((R113^2/8)*((2*ACOS(1-2*BG113/R113))-SIN((2*ACOS(1-2*BG113/R113)))))*((((R113^2/8)*((2*ACOS(1-2*BG113/R113))-SIN((2*ACOS(1-2*BG113/R113)))))/((R113/2)*((2*ACOS(1-2*BG113/R113)))))^(2/3))*SQRT(N113))</f>
        <v/>
      </c>
      <c r="BI113" s="9" t="str">
        <f aca="false">IF(AY113="","",IF(BH113&lt;AY113,BG113,BE113))</f>
        <v/>
      </c>
      <c r="BJ113" s="9" t="str">
        <f aca="false">IF(AY113="","",IF(BH113&lt;AY113,BF113,BG113))</f>
        <v/>
      </c>
      <c r="BK113" s="9" t="str">
        <f aca="false">IF(AY113="","",(BI113+BJ113)/2)</f>
        <v/>
      </c>
      <c r="BL113" s="9" t="str">
        <f aca="false">IF(OR(R113="",N113="",BK113="",R113&lt;=0,BK113&lt;=0),"",(1/Inputs!$B$9)*((R113^2/8)*((2*ACOS(1-2*BK113/R113))-SIN((2*ACOS(1-2*BK113/R113)))))*((((R113^2/8)*((2*ACOS(1-2*BK113/R113))-SIN((2*ACOS(1-2*BK113/R113)))))/((R113/2)*((2*ACOS(1-2*BK113/R113)))))^(2/3))*SQRT(N113))</f>
        <v/>
      </c>
      <c r="BM113" s="9" t="str">
        <f aca="false">IF(AY113="","",IF(BL113&lt;AY113,BK113,BI113))</f>
        <v/>
      </c>
      <c r="BN113" s="9" t="str">
        <f aca="false">IF(AY113="","",IF(BL113&lt;AY113,BJ113,BK113))</f>
        <v/>
      </c>
      <c r="BO113" s="9" t="str">
        <f aca="false">IF(AY113="","",(BM113+BN113)/2)</f>
        <v/>
      </c>
      <c r="BP113" s="9" t="str">
        <f aca="false">IF(OR(R113="",N113="",BO113="",R113&lt;=0,BO113&lt;=0),"",(1/Inputs!$B$9)*((R113^2/8)*((2*ACOS(1-2*BO113/R113))-SIN((2*ACOS(1-2*BO113/R113)))))*((((R113^2/8)*((2*ACOS(1-2*BO113/R113))-SIN((2*ACOS(1-2*BO113/R113)))))/((R113/2)*((2*ACOS(1-2*BO113/R113)))))^(2/3))*SQRT(N113))</f>
        <v/>
      </c>
      <c r="BQ113" s="9" t="str">
        <f aca="false">IF(AY113="","",IF(BP113&lt;AY113,BO113,BM113))</f>
        <v/>
      </c>
      <c r="BR113" s="9" t="str">
        <f aca="false">IF(AY113="","",IF(BP113&lt;AY113,BN113,BO113))</f>
        <v/>
      </c>
      <c r="BS113" s="9" t="str">
        <f aca="false">IF(AY113="","",(BQ113+BR113)/2)</f>
        <v/>
      </c>
      <c r="BT113" s="9" t="str">
        <f aca="false">IF(OR(R113="",N113="",BS113="",R113&lt;=0,BS113&lt;=0),"",(1/Inputs!$B$9)*((R113^2/8)*((2*ACOS(1-2*BS113/R113))-SIN((2*ACOS(1-2*BS113/R113)))))*((((R113^2/8)*((2*ACOS(1-2*BS113/R113))-SIN((2*ACOS(1-2*BS113/R113)))))/((R113/2)*((2*ACOS(1-2*BS113/R113)))))^(2/3))*SQRT(N113))</f>
        <v/>
      </c>
      <c r="BU113" s="9" t="str">
        <f aca="false">IF(AY113="","",IF(BT113&lt;AY113,BS113,BQ113))</f>
        <v/>
      </c>
      <c r="BV113" s="9" t="str">
        <f aca="false">IF(AY113="","",IF(BT113&lt;AY113,BR113,BS113))</f>
        <v/>
      </c>
      <c r="BW113" s="9" t="str">
        <f aca="false">IF(AY113="","",(BU113+BV113)/2)</f>
        <v/>
      </c>
      <c r="BX113" s="9" t="str">
        <f aca="false">IF(OR(R113="",N113="",BW113="",R113&lt;=0,BW113&lt;=0),"",(1/Inputs!$B$9)*((R113^2/8)*((2*ACOS(1-2*BW113/R113))-SIN((2*ACOS(1-2*BW113/R113)))))*((((R113^2/8)*((2*ACOS(1-2*BW113/R113))-SIN((2*ACOS(1-2*BW113/R113)))))/((R113/2)*((2*ACOS(1-2*BW113/R113)))))^(2/3))*SQRT(N113))</f>
        <v/>
      </c>
      <c r="BY113" s="9" t="str">
        <f aca="false">IF(AY113="","",IF(BX113&lt;AY113,BW113,BU113))</f>
        <v/>
      </c>
      <c r="BZ113" s="9" t="str">
        <f aca="false">IF(AY113="","",IF(BX113&lt;AY113,BV113,BW113))</f>
        <v/>
      </c>
      <c r="CA113" s="9" t="str">
        <f aca="false">IF(AY113="","",(BY113+BZ113)/2)</f>
        <v/>
      </c>
      <c r="CB113" s="9" t="str">
        <f aca="false">IF(OR(R113="",N113="",CA113="",R113&lt;=0,CA113&lt;=0),"",(1/Inputs!$B$9)*((R113^2/8)*((2*ACOS(1-2*CA113/R113))-SIN((2*ACOS(1-2*CA113/R113)))))*((((R113^2/8)*((2*ACOS(1-2*CA113/R113))-SIN((2*ACOS(1-2*CA113/R113)))))/((R113/2)*((2*ACOS(1-2*CA113/R113)))))^(2/3))*SQRT(N113))</f>
        <v/>
      </c>
      <c r="CC113" s="9" t="str">
        <f aca="false">IF(AY113="","",IF(CB113&lt;AY113,CA113,BY113))</f>
        <v/>
      </c>
      <c r="CD113" s="9" t="str">
        <f aca="false">IF(AY113="","",IF(CB113&lt;AY113,BZ113,CA113))</f>
        <v/>
      </c>
      <c r="CE113" s="9" t="str">
        <f aca="false">IF(AY113="","",(CC113+CD113)/2)</f>
        <v/>
      </c>
    </row>
    <row r="114" customFormat="false" ht="15" hidden="false" customHeight="false" outlineLevel="0" collapsed="false">
      <c r="A114" s="9"/>
      <c r="B114" s="9"/>
      <c r="C114" s="14"/>
      <c r="D114" s="14"/>
      <c r="E114" s="14" t="n">
        <f aca="false">SUMIFS(CB_Tributaires!$C:$C,CB_Tributaires!$B:$B,$A114)</f>
        <v>0</v>
      </c>
      <c r="F114" s="14" t="n">
        <f aca="false">IF(D114="",E114,D114)</f>
        <v>0</v>
      </c>
      <c r="G114" s="9"/>
      <c r="H114" s="14"/>
      <c r="I114" s="14" t="str">
        <f aca="false">IF(A114="","",Inputs!$B$13/((IF(AS114="",Inputs!$B$18,AS114)+Inputs!$B$14)^Inputs!$B$15))</f>
        <v/>
      </c>
      <c r="J114" s="14" t="str">
        <f aca="false">IF(A114="","",0.000000278*IF(G114="",Inputs!$B$17,G114)*F114*I114)</f>
        <v/>
      </c>
      <c r="K114" s="14" t="str">
        <f aca="false">IF(A114="","",SUMIFS($L$4:$L$203,$B$4:$B$203,$A114))</f>
        <v/>
      </c>
      <c r="L114" s="14" t="str">
        <f aca="false">IF(A114="","",(J114+K114)*Inputs!$B$16)</f>
        <v/>
      </c>
      <c r="M114" s="14"/>
      <c r="N114" s="14" t="str">
        <f aca="false">IF(A114="","",IF(M114="",Inputs!$B$7,M114))</f>
        <v/>
      </c>
      <c r="O114" s="9" t="str">
        <f aca="false">IF(A114="","",IF(L114/Inputs!$B$10&lt;=AD114,Inputs!$F$5,IF(L114/Inputs!$B$10&gt;AM114,"OVERSIZE",INDEX(Inputs!$F$5:$F$14,MATCH(L114/Inputs!$B$10,AD114:AM114,1)+1))))</f>
        <v/>
      </c>
      <c r="P114" s="9"/>
      <c r="Q114" s="9" t="str">
        <f aca="false">IF(A114="","",IF(P114="",O114,P114))</f>
        <v/>
      </c>
      <c r="R114" s="14" t="str">
        <f aca="false">IF(OR(Q114="",Q114="OVERSIZE"),"",Q114/1000)</f>
        <v/>
      </c>
      <c r="S114" s="14" t="str">
        <f aca="false">IF(R114="","",(1/Inputs!$B$9)*(PI()*R114^2/4)*((R114/4)^(2/3))*SQRT(N114))</f>
        <v/>
      </c>
      <c r="T114" s="14" t="str">
        <f aca="false">IF(OR(S114="",L114=""),"",L114/(S114*Inputs!$B$10))</f>
        <v/>
      </c>
      <c r="U114" s="14" t="str">
        <f aca="false">IF(OR(R114="",L114=""),"",4*L114/(PI()*R114^2))</f>
        <v/>
      </c>
      <c r="V114" s="14"/>
      <c r="W114" s="14" t="str">
        <f aca="false">IF(A114="","",IF(A114=Inputs!$B$6,Inputs!$B$22,IF(B114="","",IFERROR(INDEX($X$4:$X$203,MATCH(B114,$A$4:$A$203,0))+IF(V114="",Inputs!$B$20,V114),""))))</f>
        <v/>
      </c>
      <c r="X114" s="14" t="str">
        <f aca="false">IF(OR(W114="",N114="",C114=""),"",W114+N114*C114)</f>
        <v/>
      </c>
      <c r="Y114" s="14"/>
      <c r="Z114" s="14"/>
      <c r="AA114" s="14" t="str">
        <f aca="false">IF(OR(Y114="",W114=""),"",Y114-W114)</f>
        <v/>
      </c>
      <c r="AB114" s="14" t="str">
        <f aca="false">IF(OR(Z114="",X114=""),"",Z114-X114)</f>
        <v/>
      </c>
      <c r="AC114" s="19" t="str">
        <f aca="false">IF(A114="","",IF(OR(T114&gt;1,AND(AV114&lt;&gt;"",AV114&lt;Inputs!$B$11),AND(AV114&lt;&gt;"",AV114&gt;Inputs!$B$12),AA114&lt;Inputs!$B$19,AB114&lt;Inputs!$B$19,N114&lt;Inputs!$B$7,N114&gt;Inputs!$B$8),"CHECK","OK"))</f>
        <v/>
      </c>
      <c r="AD114" s="9" t="str">
        <f aca="false">IF(A114="","",(1/Inputs!$B$9)*(PI()*(Inputs!$F$5/1000)^2/4)*((Inputs!$F$5/1000/4)^(2/3))*SQRT(N114))</f>
        <v/>
      </c>
      <c r="AE114" s="9" t="str">
        <f aca="false">IF(A114="","",(1/Inputs!$B$9)*(PI()*(Inputs!$F$6/1000)^2/4)*((Inputs!$F$6/1000/4)^(2/3))*SQRT(N114))</f>
        <v/>
      </c>
      <c r="AF114" s="9" t="str">
        <f aca="false">IF(A114="","",(1/Inputs!$B$9)*(PI()*(Inputs!$F$7/1000)^2/4)*((Inputs!$F$7/1000/4)^(2/3))*SQRT(N114))</f>
        <v/>
      </c>
      <c r="AG114" s="9" t="str">
        <f aca="false">IF(A114="","",(1/Inputs!$B$9)*(PI()*(Inputs!$F$8/1000)^2/4)*((Inputs!$F$8/1000/4)^(2/3))*SQRT(N114))</f>
        <v/>
      </c>
      <c r="AH114" s="9" t="str">
        <f aca="false">IF(A114="","",(1/Inputs!$B$9)*(PI()*(Inputs!$F$9/1000)^2/4)*((Inputs!$F$9/1000/4)^(2/3))*SQRT(N114))</f>
        <v/>
      </c>
      <c r="AI114" s="9" t="str">
        <f aca="false">IF(A114="","",(1/Inputs!$B$9)*(PI()*(Inputs!$F$10/1000)^2/4)*((Inputs!$F$10/1000/4)^(2/3))*SQRT(N114))</f>
        <v/>
      </c>
      <c r="AJ114" s="9" t="str">
        <f aca="false">IF(A114="","",(1/Inputs!$B$9)*(PI()*(Inputs!$F$11/1000)^2/4)*((Inputs!$F$11/1000/4)^(2/3))*SQRT(N114))</f>
        <v/>
      </c>
      <c r="AK114" s="9" t="str">
        <f aca="false">IF(A114="","",(1/Inputs!$B$9)*(PI()*(Inputs!$F$12/1000)^2/4)*((Inputs!$F$12/1000/4)^(2/3))*SQRT(N114))</f>
        <v/>
      </c>
      <c r="AL114" s="9" t="str">
        <f aca="false">IF(A114="","",(1/Inputs!$B$9)*(PI()*(Inputs!$F$13/1000)^2/4)*((Inputs!$F$13/1000/4)^(2/3))*SQRT(N114))</f>
        <v/>
      </c>
      <c r="AM114" s="9" t="str">
        <f aca="false">IF(A114="","",(1/Inputs!$B$9)*(PI()*(Inputs!$F$14/1000)^2/4)*((Inputs!$F$14/1000/4)^(2/3))*SQRT(N114))</f>
        <v/>
      </c>
      <c r="AN114" s="9" t="str">
        <f aca="false">IF(A114="","",COUNTIF($B$4:$B$203,$A114))</f>
        <v/>
      </c>
      <c r="AO114" s="9" t="str">
        <f aca="false">IF(A114="","",IF(AN114=0,"START","CONTINUOUS"))</f>
        <v/>
      </c>
      <c r="AP114" s="13" t="str">
        <f aca="false">IF(A114="","",IF(H114="",Inputs!$B$18,H114))</f>
        <v/>
      </c>
      <c r="AQ114" s="13" t="str">
        <f aca="false">IF(A114="","",IFERROR(maxifs($AS$4:$AS$203,$B$4:$B$203,$A114),""))</f>
        <v/>
      </c>
      <c r="AR114" s="13" t="str">
        <f aca="false">IF(A114="","",IF(OR(C114="",Inputs!$B$23=""),"",C114/(Inputs!$B$23*60)))</f>
        <v/>
      </c>
      <c r="AS114" s="13" t="str">
        <f aca="false">IF(A114="","",IF(AN114=0,AP114+AR114,IF(AQ114="",AP114+AR114,AQ114+AR114)))</f>
        <v/>
      </c>
      <c r="AT114" s="13" t="str">
        <f aca="false">IF(A114="","",U114)</f>
        <v/>
      </c>
      <c r="AU114" s="13" t="str">
        <f aca="false">IF(OR(R114="",N114=""),"",(1/Inputs!$B$9)*((R114/4)^(2/3))*SQRT(N114))</f>
        <v/>
      </c>
      <c r="AV114" s="13" t="str">
        <f aca="false">IF(A114="","",IF(AND(AT114="",AU114="",AX114=""),"",IF(OR(UPPER(TRIM(Inputs!$B$24))="MANNING",UPPER(TRIM(Inputs!$B$24))="M"),AU114,IF(OR(UPPER(TRIM(Inputs!$B$24))="PARTIAL",UPPER(TRIM(Inputs!$B$24))="P"),AX114,IF(OR(UPPER(TRIM(Inputs!$B$24))="MAX",UPPER(TRIM(Inputs!$B$24))="X"),MAX(IF(AT114="",0,AT114),IF(AU114="",0,AU114),IF(AX114="",0,AX114)),AT114)))))</f>
        <v/>
      </c>
      <c r="AW114" s="13" t="str">
        <f aca="false">IF(AY114="","",CE114)</f>
        <v/>
      </c>
      <c r="AX114" s="13" t="str">
        <f aca="false">IF(OR(AY114="",AW114="",R114="",R114&lt;=0,AW114&lt;=0),"",AY114/((R114^2/8)*(2*ACOS(1-2*AW114/R114)-SIN(2*ACOS(1-2*AW114/R114)))))</f>
        <v/>
      </c>
      <c r="AY114" s="9" t="str">
        <f aca="false">IF(OR(L114="",AZ114=""),"",MIN(L114,AZ114))</f>
        <v/>
      </c>
      <c r="AZ114" s="9" t="str">
        <f aca="false">IF(OR(L114="",R114="",N114=""),"",IF(OR(R114="",N114="",(0.94*R114)="",R114&lt;=0,(0.94*R114)&lt;=0),"",(1/Inputs!$B$9)*((R114^2/8)*((2*ACOS(1-2*(0.94*R114)/R114))-SIN((2*ACOS(1-2*(0.94*R114)/R114)))))*((((R114^2/8)*((2*ACOS(1-2*(0.94*R114)/R114))-SIN((2*ACOS(1-2*(0.94*R114)/R114)))))/((R114/2)*((2*ACOS(1-2*(0.94*R114)/R114)))))^(2/3))*SQRT(N114)))</f>
        <v/>
      </c>
      <c r="BA114" s="9" t="str">
        <f aca="false">IF(AY114="","",0.001*R114)</f>
        <v/>
      </c>
      <c r="BB114" s="9" t="str">
        <f aca="false">IF(AY114="","",0.94*R114)</f>
        <v/>
      </c>
      <c r="BC114" s="9" t="str">
        <f aca="false">IF(AY114="","",(BA114+BB114)/2)</f>
        <v/>
      </c>
      <c r="BD114" s="9" t="str">
        <f aca="false">IF(OR(R114="",N114="",BC114="",R114&lt;=0,BC114&lt;=0),"",(1/Inputs!$B$9)*((R114^2/8)*((2*ACOS(1-2*BC114/R114))-SIN((2*ACOS(1-2*BC114/R114)))))*((((R114^2/8)*((2*ACOS(1-2*BC114/R114))-SIN((2*ACOS(1-2*BC114/R114)))))/((R114/2)*((2*ACOS(1-2*BC114/R114)))))^(2/3))*SQRT(N114))</f>
        <v/>
      </c>
      <c r="BE114" s="9" t="str">
        <f aca="false">IF(AY114="","",IF(BD114&lt;AY114,BC114,BA114))</f>
        <v/>
      </c>
      <c r="BF114" s="9" t="str">
        <f aca="false">IF(AY114="","",IF(BD114&lt;AY114,BB114,BC114))</f>
        <v/>
      </c>
      <c r="BG114" s="9" t="str">
        <f aca="false">IF(AY114="","",(BE114+BF114)/2)</f>
        <v/>
      </c>
      <c r="BH114" s="9" t="str">
        <f aca="false">IF(OR(R114="",N114="",BG114="",R114&lt;=0,BG114&lt;=0),"",(1/Inputs!$B$9)*((R114^2/8)*((2*ACOS(1-2*BG114/R114))-SIN((2*ACOS(1-2*BG114/R114)))))*((((R114^2/8)*((2*ACOS(1-2*BG114/R114))-SIN((2*ACOS(1-2*BG114/R114)))))/((R114/2)*((2*ACOS(1-2*BG114/R114)))))^(2/3))*SQRT(N114))</f>
        <v/>
      </c>
      <c r="BI114" s="9" t="str">
        <f aca="false">IF(AY114="","",IF(BH114&lt;AY114,BG114,BE114))</f>
        <v/>
      </c>
      <c r="BJ114" s="9" t="str">
        <f aca="false">IF(AY114="","",IF(BH114&lt;AY114,BF114,BG114))</f>
        <v/>
      </c>
      <c r="BK114" s="9" t="str">
        <f aca="false">IF(AY114="","",(BI114+BJ114)/2)</f>
        <v/>
      </c>
      <c r="BL114" s="9" t="str">
        <f aca="false">IF(OR(R114="",N114="",BK114="",R114&lt;=0,BK114&lt;=0),"",(1/Inputs!$B$9)*((R114^2/8)*((2*ACOS(1-2*BK114/R114))-SIN((2*ACOS(1-2*BK114/R114)))))*((((R114^2/8)*((2*ACOS(1-2*BK114/R114))-SIN((2*ACOS(1-2*BK114/R114)))))/((R114/2)*((2*ACOS(1-2*BK114/R114)))))^(2/3))*SQRT(N114))</f>
        <v/>
      </c>
      <c r="BM114" s="9" t="str">
        <f aca="false">IF(AY114="","",IF(BL114&lt;AY114,BK114,BI114))</f>
        <v/>
      </c>
      <c r="BN114" s="9" t="str">
        <f aca="false">IF(AY114="","",IF(BL114&lt;AY114,BJ114,BK114))</f>
        <v/>
      </c>
      <c r="BO114" s="9" t="str">
        <f aca="false">IF(AY114="","",(BM114+BN114)/2)</f>
        <v/>
      </c>
      <c r="BP114" s="9" t="str">
        <f aca="false">IF(OR(R114="",N114="",BO114="",R114&lt;=0,BO114&lt;=0),"",(1/Inputs!$B$9)*((R114^2/8)*((2*ACOS(1-2*BO114/R114))-SIN((2*ACOS(1-2*BO114/R114)))))*((((R114^2/8)*((2*ACOS(1-2*BO114/R114))-SIN((2*ACOS(1-2*BO114/R114)))))/((R114/2)*((2*ACOS(1-2*BO114/R114)))))^(2/3))*SQRT(N114))</f>
        <v/>
      </c>
      <c r="BQ114" s="9" t="str">
        <f aca="false">IF(AY114="","",IF(BP114&lt;AY114,BO114,BM114))</f>
        <v/>
      </c>
      <c r="BR114" s="9" t="str">
        <f aca="false">IF(AY114="","",IF(BP114&lt;AY114,BN114,BO114))</f>
        <v/>
      </c>
      <c r="BS114" s="9" t="str">
        <f aca="false">IF(AY114="","",(BQ114+BR114)/2)</f>
        <v/>
      </c>
      <c r="BT114" s="9" t="str">
        <f aca="false">IF(OR(R114="",N114="",BS114="",R114&lt;=0,BS114&lt;=0),"",(1/Inputs!$B$9)*((R114^2/8)*((2*ACOS(1-2*BS114/R114))-SIN((2*ACOS(1-2*BS114/R114)))))*((((R114^2/8)*((2*ACOS(1-2*BS114/R114))-SIN((2*ACOS(1-2*BS114/R114)))))/((R114/2)*((2*ACOS(1-2*BS114/R114)))))^(2/3))*SQRT(N114))</f>
        <v/>
      </c>
      <c r="BU114" s="9" t="str">
        <f aca="false">IF(AY114="","",IF(BT114&lt;AY114,BS114,BQ114))</f>
        <v/>
      </c>
      <c r="BV114" s="9" t="str">
        <f aca="false">IF(AY114="","",IF(BT114&lt;AY114,BR114,BS114))</f>
        <v/>
      </c>
      <c r="BW114" s="9" t="str">
        <f aca="false">IF(AY114="","",(BU114+BV114)/2)</f>
        <v/>
      </c>
      <c r="BX114" s="9" t="str">
        <f aca="false">IF(OR(R114="",N114="",BW114="",R114&lt;=0,BW114&lt;=0),"",(1/Inputs!$B$9)*((R114^2/8)*((2*ACOS(1-2*BW114/R114))-SIN((2*ACOS(1-2*BW114/R114)))))*((((R114^2/8)*((2*ACOS(1-2*BW114/R114))-SIN((2*ACOS(1-2*BW114/R114)))))/((R114/2)*((2*ACOS(1-2*BW114/R114)))))^(2/3))*SQRT(N114))</f>
        <v/>
      </c>
      <c r="BY114" s="9" t="str">
        <f aca="false">IF(AY114="","",IF(BX114&lt;AY114,BW114,BU114))</f>
        <v/>
      </c>
      <c r="BZ114" s="9" t="str">
        <f aca="false">IF(AY114="","",IF(BX114&lt;AY114,BV114,BW114))</f>
        <v/>
      </c>
      <c r="CA114" s="9" t="str">
        <f aca="false">IF(AY114="","",(BY114+BZ114)/2)</f>
        <v/>
      </c>
      <c r="CB114" s="9" t="str">
        <f aca="false">IF(OR(R114="",N114="",CA114="",R114&lt;=0,CA114&lt;=0),"",(1/Inputs!$B$9)*((R114^2/8)*((2*ACOS(1-2*CA114/R114))-SIN((2*ACOS(1-2*CA114/R114)))))*((((R114^2/8)*((2*ACOS(1-2*CA114/R114))-SIN((2*ACOS(1-2*CA114/R114)))))/((R114/2)*((2*ACOS(1-2*CA114/R114)))))^(2/3))*SQRT(N114))</f>
        <v/>
      </c>
      <c r="CC114" s="9" t="str">
        <f aca="false">IF(AY114="","",IF(CB114&lt;AY114,CA114,BY114))</f>
        <v/>
      </c>
      <c r="CD114" s="9" t="str">
        <f aca="false">IF(AY114="","",IF(CB114&lt;AY114,BZ114,CA114))</f>
        <v/>
      </c>
      <c r="CE114" s="9" t="str">
        <f aca="false">IF(AY114="","",(CC114+CD114)/2)</f>
        <v/>
      </c>
    </row>
    <row r="115" customFormat="false" ht="15" hidden="false" customHeight="false" outlineLevel="0" collapsed="false">
      <c r="A115" s="9"/>
      <c r="B115" s="9"/>
      <c r="C115" s="14"/>
      <c r="D115" s="14"/>
      <c r="E115" s="14" t="n">
        <f aca="false">SUMIFS(CB_Tributaires!$C:$C,CB_Tributaires!$B:$B,$A115)</f>
        <v>0</v>
      </c>
      <c r="F115" s="14" t="n">
        <f aca="false">IF(D115="",E115,D115)</f>
        <v>0</v>
      </c>
      <c r="G115" s="9"/>
      <c r="H115" s="14"/>
      <c r="I115" s="14" t="str">
        <f aca="false">IF(A115="","",Inputs!$B$13/((IF(AS115="",Inputs!$B$18,AS115)+Inputs!$B$14)^Inputs!$B$15))</f>
        <v/>
      </c>
      <c r="J115" s="14" t="str">
        <f aca="false">IF(A115="","",0.000000278*IF(G115="",Inputs!$B$17,G115)*F115*I115)</f>
        <v/>
      </c>
      <c r="K115" s="14" t="str">
        <f aca="false">IF(A115="","",SUMIFS($L$4:$L$203,$B$4:$B$203,$A115))</f>
        <v/>
      </c>
      <c r="L115" s="14" t="str">
        <f aca="false">IF(A115="","",(J115+K115)*Inputs!$B$16)</f>
        <v/>
      </c>
      <c r="M115" s="14"/>
      <c r="N115" s="14" t="str">
        <f aca="false">IF(A115="","",IF(M115="",Inputs!$B$7,M115))</f>
        <v/>
      </c>
      <c r="O115" s="9" t="str">
        <f aca="false">IF(A115="","",IF(L115/Inputs!$B$10&lt;=AD115,Inputs!$F$5,IF(L115/Inputs!$B$10&gt;AM115,"OVERSIZE",INDEX(Inputs!$F$5:$F$14,MATCH(L115/Inputs!$B$10,AD115:AM115,1)+1))))</f>
        <v/>
      </c>
      <c r="P115" s="9"/>
      <c r="Q115" s="9" t="str">
        <f aca="false">IF(A115="","",IF(P115="",O115,P115))</f>
        <v/>
      </c>
      <c r="R115" s="14" t="str">
        <f aca="false">IF(OR(Q115="",Q115="OVERSIZE"),"",Q115/1000)</f>
        <v/>
      </c>
      <c r="S115" s="14" t="str">
        <f aca="false">IF(R115="","",(1/Inputs!$B$9)*(PI()*R115^2/4)*((R115/4)^(2/3))*SQRT(N115))</f>
        <v/>
      </c>
      <c r="T115" s="14" t="str">
        <f aca="false">IF(OR(S115="",L115=""),"",L115/(S115*Inputs!$B$10))</f>
        <v/>
      </c>
      <c r="U115" s="14" t="str">
        <f aca="false">IF(OR(R115="",L115=""),"",4*L115/(PI()*R115^2))</f>
        <v/>
      </c>
      <c r="V115" s="14"/>
      <c r="W115" s="14" t="str">
        <f aca="false">IF(A115="","",IF(A115=Inputs!$B$6,Inputs!$B$22,IF(B115="","",IFERROR(INDEX($X$4:$X$203,MATCH(B115,$A$4:$A$203,0))+IF(V115="",Inputs!$B$20,V115),""))))</f>
        <v/>
      </c>
      <c r="X115" s="14" t="str">
        <f aca="false">IF(OR(W115="",N115="",C115=""),"",W115+N115*C115)</f>
        <v/>
      </c>
      <c r="Y115" s="14"/>
      <c r="Z115" s="14"/>
      <c r="AA115" s="14" t="str">
        <f aca="false">IF(OR(Y115="",W115=""),"",Y115-W115)</f>
        <v/>
      </c>
      <c r="AB115" s="14" t="str">
        <f aca="false">IF(OR(Z115="",X115=""),"",Z115-X115)</f>
        <v/>
      </c>
      <c r="AC115" s="19" t="str">
        <f aca="false">IF(A115="","",IF(OR(T115&gt;1,AND(AV115&lt;&gt;"",AV115&lt;Inputs!$B$11),AND(AV115&lt;&gt;"",AV115&gt;Inputs!$B$12),AA115&lt;Inputs!$B$19,AB115&lt;Inputs!$B$19,N115&lt;Inputs!$B$7,N115&gt;Inputs!$B$8),"CHECK","OK"))</f>
        <v/>
      </c>
      <c r="AD115" s="9" t="str">
        <f aca="false">IF(A115="","",(1/Inputs!$B$9)*(PI()*(Inputs!$F$5/1000)^2/4)*((Inputs!$F$5/1000/4)^(2/3))*SQRT(N115))</f>
        <v/>
      </c>
      <c r="AE115" s="9" t="str">
        <f aca="false">IF(A115="","",(1/Inputs!$B$9)*(PI()*(Inputs!$F$6/1000)^2/4)*((Inputs!$F$6/1000/4)^(2/3))*SQRT(N115))</f>
        <v/>
      </c>
      <c r="AF115" s="9" t="str">
        <f aca="false">IF(A115="","",(1/Inputs!$B$9)*(PI()*(Inputs!$F$7/1000)^2/4)*((Inputs!$F$7/1000/4)^(2/3))*SQRT(N115))</f>
        <v/>
      </c>
      <c r="AG115" s="9" t="str">
        <f aca="false">IF(A115="","",(1/Inputs!$B$9)*(PI()*(Inputs!$F$8/1000)^2/4)*((Inputs!$F$8/1000/4)^(2/3))*SQRT(N115))</f>
        <v/>
      </c>
      <c r="AH115" s="9" t="str">
        <f aca="false">IF(A115="","",(1/Inputs!$B$9)*(PI()*(Inputs!$F$9/1000)^2/4)*((Inputs!$F$9/1000/4)^(2/3))*SQRT(N115))</f>
        <v/>
      </c>
      <c r="AI115" s="9" t="str">
        <f aca="false">IF(A115="","",(1/Inputs!$B$9)*(PI()*(Inputs!$F$10/1000)^2/4)*((Inputs!$F$10/1000/4)^(2/3))*SQRT(N115))</f>
        <v/>
      </c>
      <c r="AJ115" s="9" t="str">
        <f aca="false">IF(A115="","",(1/Inputs!$B$9)*(PI()*(Inputs!$F$11/1000)^2/4)*((Inputs!$F$11/1000/4)^(2/3))*SQRT(N115))</f>
        <v/>
      </c>
      <c r="AK115" s="9" t="str">
        <f aca="false">IF(A115="","",(1/Inputs!$B$9)*(PI()*(Inputs!$F$12/1000)^2/4)*((Inputs!$F$12/1000/4)^(2/3))*SQRT(N115))</f>
        <v/>
      </c>
      <c r="AL115" s="9" t="str">
        <f aca="false">IF(A115="","",(1/Inputs!$B$9)*(PI()*(Inputs!$F$13/1000)^2/4)*((Inputs!$F$13/1000/4)^(2/3))*SQRT(N115))</f>
        <v/>
      </c>
      <c r="AM115" s="9" t="str">
        <f aca="false">IF(A115="","",(1/Inputs!$B$9)*(PI()*(Inputs!$F$14/1000)^2/4)*((Inputs!$F$14/1000/4)^(2/3))*SQRT(N115))</f>
        <v/>
      </c>
      <c r="AN115" s="9" t="str">
        <f aca="false">IF(A115="","",COUNTIF($B$4:$B$203,$A115))</f>
        <v/>
      </c>
      <c r="AO115" s="9" t="str">
        <f aca="false">IF(A115="","",IF(AN115=0,"START","CONTINUOUS"))</f>
        <v/>
      </c>
      <c r="AP115" s="13" t="str">
        <f aca="false">IF(A115="","",IF(H115="",Inputs!$B$18,H115))</f>
        <v/>
      </c>
      <c r="AQ115" s="13" t="str">
        <f aca="false">IF(A115="","",IFERROR(maxifs($AS$4:$AS$203,$B$4:$B$203,$A115),""))</f>
        <v/>
      </c>
      <c r="AR115" s="13" t="str">
        <f aca="false">IF(A115="","",IF(OR(C115="",Inputs!$B$23=""),"",C115/(Inputs!$B$23*60)))</f>
        <v/>
      </c>
      <c r="AS115" s="13" t="str">
        <f aca="false">IF(A115="","",IF(AN115=0,AP115+AR115,IF(AQ115="",AP115+AR115,AQ115+AR115)))</f>
        <v/>
      </c>
      <c r="AT115" s="13" t="str">
        <f aca="false">IF(A115="","",U115)</f>
        <v/>
      </c>
      <c r="AU115" s="13" t="str">
        <f aca="false">IF(OR(R115="",N115=""),"",(1/Inputs!$B$9)*((R115/4)^(2/3))*SQRT(N115))</f>
        <v/>
      </c>
      <c r="AV115" s="13" t="str">
        <f aca="false">IF(A115="","",IF(AND(AT115="",AU115="",AX115=""),"",IF(OR(UPPER(TRIM(Inputs!$B$24))="MANNING",UPPER(TRIM(Inputs!$B$24))="M"),AU115,IF(OR(UPPER(TRIM(Inputs!$B$24))="PARTIAL",UPPER(TRIM(Inputs!$B$24))="P"),AX115,IF(OR(UPPER(TRIM(Inputs!$B$24))="MAX",UPPER(TRIM(Inputs!$B$24))="X"),MAX(IF(AT115="",0,AT115),IF(AU115="",0,AU115),IF(AX115="",0,AX115)),AT115)))))</f>
        <v/>
      </c>
      <c r="AW115" s="13" t="str">
        <f aca="false">IF(AY115="","",CE115)</f>
        <v/>
      </c>
      <c r="AX115" s="13" t="str">
        <f aca="false">IF(OR(AY115="",AW115="",R115="",R115&lt;=0,AW115&lt;=0),"",AY115/((R115^2/8)*(2*ACOS(1-2*AW115/R115)-SIN(2*ACOS(1-2*AW115/R115)))))</f>
        <v/>
      </c>
      <c r="AY115" s="9" t="str">
        <f aca="false">IF(OR(L115="",AZ115=""),"",MIN(L115,AZ115))</f>
        <v/>
      </c>
      <c r="AZ115" s="9" t="str">
        <f aca="false">IF(OR(L115="",R115="",N115=""),"",IF(OR(R115="",N115="",(0.94*R115)="",R115&lt;=0,(0.94*R115)&lt;=0),"",(1/Inputs!$B$9)*((R115^2/8)*((2*ACOS(1-2*(0.94*R115)/R115))-SIN((2*ACOS(1-2*(0.94*R115)/R115)))))*((((R115^2/8)*((2*ACOS(1-2*(0.94*R115)/R115))-SIN((2*ACOS(1-2*(0.94*R115)/R115)))))/((R115/2)*((2*ACOS(1-2*(0.94*R115)/R115)))))^(2/3))*SQRT(N115)))</f>
        <v/>
      </c>
      <c r="BA115" s="9" t="str">
        <f aca="false">IF(AY115="","",0.001*R115)</f>
        <v/>
      </c>
      <c r="BB115" s="9" t="str">
        <f aca="false">IF(AY115="","",0.94*R115)</f>
        <v/>
      </c>
      <c r="BC115" s="9" t="str">
        <f aca="false">IF(AY115="","",(BA115+BB115)/2)</f>
        <v/>
      </c>
      <c r="BD115" s="9" t="str">
        <f aca="false">IF(OR(R115="",N115="",BC115="",R115&lt;=0,BC115&lt;=0),"",(1/Inputs!$B$9)*((R115^2/8)*((2*ACOS(1-2*BC115/R115))-SIN((2*ACOS(1-2*BC115/R115)))))*((((R115^2/8)*((2*ACOS(1-2*BC115/R115))-SIN((2*ACOS(1-2*BC115/R115)))))/((R115/2)*((2*ACOS(1-2*BC115/R115)))))^(2/3))*SQRT(N115))</f>
        <v/>
      </c>
      <c r="BE115" s="9" t="str">
        <f aca="false">IF(AY115="","",IF(BD115&lt;AY115,BC115,BA115))</f>
        <v/>
      </c>
      <c r="BF115" s="9" t="str">
        <f aca="false">IF(AY115="","",IF(BD115&lt;AY115,BB115,BC115))</f>
        <v/>
      </c>
      <c r="BG115" s="9" t="str">
        <f aca="false">IF(AY115="","",(BE115+BF115)/2)</f>
        <v/>
      </c>
      <c r="BH115" s="9" t="str">
        <f aca="false">IF(OR(R115="",N115="",BG115="",R115&lt;=0,BG115&lt;=0),"",(1/Inputs!$B$9)*((R115^2/8)*((2*ACOS(1-2*BG115/R115))-SIN((2*ACOS(1-2*BG115/R115)))))*((((R115^2/8)*((2*ACOS(1-2*BG115/R115))-SIN((2*ACOS(1-2*BG115/R115)))))/((R115/2)*((2*ACOS(1-2*BG115/R115)))))^(2/3))*SQRT(N115))</f>
        <v/>
      </c>
      <c r="BI115" s="9" t="str">
        <f aca="false">IF(AY115="","",IF(BH115&lt;AY115,BG115,BE115))</f>
        <v/>
      </c>
      <c r="BJ115" s="9" t="str">
        <f aca="false">IF(AY115="","",IF(BH115&lt;AY115,BF115,BG115))</f>
        <v/>
      </c>
      <c r="BK115" s="9" t="str">
        <f aca="false">IF(AY115="","",(BI115+BJ115)/2)</f>
        <v/>
      </c>
      <c r="BL115" s="9" t="str">
        <f aca="false">IF(OR(R115="",N115="",BK115="",R115&lt;=0,BK115&lt;=0),"",(1/Inputs!$B$9)*((R115^2/8)*((2*ACOS(1-2*BK115/R115))-SIN((2*ACOS(1-2*BK115/R115)))))*((((R115^2/8)*((2*ACOS(1-2*BK115/R115))-SIN((2*ACOS(1-2*BK115/R115)))))/((R115/2)*((2*ACOS(1-2*BK115/R115)))))^(2/3))*SQRT(N115))</f>
        <v/>
      </c>
      <c r="BM115" s="9" t="str">
        <f aca="false">IF(AY115="","",IF(BL115&lt;AY115,BK115,BI115))</f>
        <v/>
      </c>
      <c r="BN115" s="9" t="str">
        <f aca="false">IF(AY115="","",IF(BL115&lt;AY115,BJ115,BK115))</f>
        <v/>
      </c>
      <c r="BO115" s="9" t="str">
        <f aca="false">IF(AY115="","",(BM115+BN115)/2)</f>
        <v/>
      </c>
      <c r="BP115" s="9" t="str">
        <f aca="false">IF(OR(R115="",N115="",BO115="",R115&lt;=0,BO115&lt;=0),"",(1/Inputs!$B$9)*((R115^2/8)*((2*ACOS(1-2*BO115/R115))-SIN((2*ACOS(1-2*BO115/R115)))))*((((R115^2/8)*((2*ACOS(1-2*BO115/R115))-SIN((2*ACOS(1-2*BO115/R115)))))/((R115/2)*((2*ACOS(1-2*BO115/R115)))))^(2/3))*SQRT(N115))</f>
        <v/>
      </c>
      <c r="BQ115" s="9" t="str">
        <f aca="false">IF(AY115="","",IF(BP115&lt;AY115,BO115,BM115))</f>
        <v/>
      </c>
      <c r="BR115" s="9" t="str">
        <f aca="false">IF(AY115="","",IF(BP115&lt;AY115,BN115,BO115))</f>
        <v/>
      </c>
      <c r="BS115" s="9" t="str">
        <f aca="false">IF(AY115="","",(BQ115+BR115)/2)</f>
        <v/>
      </c>
      <c r="BT115" s="9" t="str">
        <f aca="false">IF(OR(R115="",N115="",BS115="",R115&lt;=0,BS115&lt;=0),"",(1/Inputs!$B$9)*((R115^2/8)*((2*ACOS(1-2*BS115/R115))-SIN((2*ACOS(1-2*BS115/R115)))))*((((R115^2/8)*((2*ACOS(1-2*BS115/R115))-SIN((2*ACOS(1-2*BS115/R115)))))/((R115/2)*((2*ACOS(1-2*BS115/R115)))))^(2/3))*SQRT(N115))</f>
        <v/>
      </c>
      <c r="BU115" s="9" t="str">
        <f aca="false">IF(AY115="","",IF(BT115&lt;AY115,BS115,BQ115))</f>
        <v/>
      </c>
      <c r="BV115" s="9" t="str">
        <f aca="false">IF(AY115="","",IF(BT115&lt;AY115,BR115,BS115))</f>
        <v/>
      </c>
      <c r="BW115" s="9" t="str">
        <f aca="false">IF(AY115="","",(BU115+BV115)/2)</f>
        <v/>
      </c>
      <c r="BX115" s="9" t="str">
        <f aca="false">IF(OR(R115="",N115="",BW115="",R115&lt;=0,BW115&lt;=0),"",(1/Inputs!$B$9)*((R115^2/8)*((2*ACOS(1-2*BW115/R115))-SIN((2*ACOS(1-2*BW115/R115)))))*((((R115^2/8)*((2*ACOS(1-2*BW115/R115))-SIN((2*ACOS(1-2*BW115/R115)))))/((R115/2)*((2*ACOS(1-2*BW115/R115)))))^(2/3))*SQRT(N115))</f>
        <v/>
      </c>
      <c r="BY115" s="9" t="str">
        <f aca="false">IF(AY115="","",IF(BX115&lt;AY115,BW115,BU115))</f>
        <v/>
      </c>
      <c r="BZ115" s="9" t="str">
        <f aca="false">IF(AY115="","",IF(BX115&lt;AY115,BV115,BW115))</f>
        <v/>
      </c>
      <c r="CA115" s="9" t="str">
        <f aca="false">IF(AY115="","",(BY115+BZ115)/2)</f>
        <v/>
      </c>
      <c r="CB115" s="9" t="str">
        <f aca="false">IF(OR(R115="",N115="",CA115="",R115&lt;=0,CA115&lt;=0),"",(1/Inputs!$B$9)*((R115^2/8)*((2*ACOS(1-2*CA115/R115))-SIN((2*ACOS(1-2*CA115/R115)))))*((((R115^2/8)*((2*ACOS(1-2*CA115/R115))-SIN((2*ACOS(1-2*CA115/R115)))))/((R115/2)*((2*ACOS(1-2*CA115/R115)))))^(2/3))*SQRT(N115))</f>
        <v/>
      </c>
      <c r="CC115" s="9" t="str">
        <f aca="false">IF(AY115="","",IF(CB115&lt;AY115,CA115,BY115))</f>
        <v/>
      </c>
      <c r="CD115" s="9" t="str">
        <f aca="false">IF(AY115="","",IF(CB115&lt;AY115,BZ115,CA115))</f>
        <v/>
      </c>
      <c r="CE115" s="9" t="str">
        <f aca="false">IF(AY115="","",(CC115+CD115)/2)</f>
        <v/>
      </c>
    </row>
    <row r="116" customFormat="false" ht="15" hidden="false" customHeight="false" outlineLevel="0" collapsed="false">
      <c r="A116" s="9"/>
      <c r="B116" s="9"/>
      <c r="C116" s="14"/>
      <c r="D116" s="14"/>
      <c r="E116" s="14" t="n">
        <f aca="false">SUMIFS(CB_Tributaires!$C:$C,CB_Tributaires!$B:$B,$A116)</f>
        <v>0</v>
      </c>
      <c r="F116" s="14" t="n">
        <f aca="false">IF(D116="",E116,D116)</f>
        <v>0</v>
      </c>
      <c r="G116" s="9"/>
      <c r="H116" s="14"/>
      <c r="I116" s="14" t="str">
        <f aca="false">IF(A116="","",Inputs!$B$13/((IF(AS116="",Inputs!$B$18,AS116)+Inputs!$B$14)^Inputs!$B$15))</f>
        <v/>
      </c>
      <c r="J116" s="14" t="str">
        <f aca="false">IF(A116="","",0.000000278*IF(G116="",Inputs!$B$17,G116)*F116*I116)</f>
        <v/>
      </c>
      <c r="K116" s="14" t="str">
        <f aca="false">IF(A116="","",SUMIFS($L$4:$L$203,$B$4:$B$203,$A116))</f>
        <v/>
      </c>
      <c r="L116" s="14" t="str">
        <f aca="false">IF(A116="","",(J116+K116)*Inputs!$B$16)</f>
        <v/>
      </c>
      <c r="M116" s="14"/>
      <c r="N116" s="14" t="str">
        <f aca="false">IF(A116="","",IF(M116="",Inputs!$B$7,M116))</f>
        <v/>
      </c>
      <c r="O116" s="9" t="str">
        <f aca="false">IF(A116="","",IF(L116/Inputs!$B$10&lt;=AD116,Inputs!$F$5,IF(L116/Inputs!$B$10&gt;AM116,"OVERSIZE",INDEX(Inputs!$F$5:$F$14,MATCH(L116/Inputs!$B$10,AD116:AM116,1)+1))))</f>
        <v/>
      </c>
      <c r="P116" s="9"/>
      <c r="Q116" s="9" t="str">
        <f aca="false">IF(A116="","",IF(P116="",O116,P116))</f>
        <v/>
      </c>
      <c r="R116" s="14" t="str">
        <f aca="false">IF(OR(Q116="",Q116="OVERSIZE"),"",Q116/1000)</f>
        <v/>
      </c>
      <c r="S116" s="14" t="str">
        <f aca="false">IF(R116="","",(1/Inputs!$B$9)*(PI()*R116^2/4)*((R116/4)^(2/3))*SQRT(N116))</f>
        <v/>
      </c>
      <c r="T116" s="14" t="str">
        <f aca="false">IF(OR(S116="",L116=""),"",L116/(S116*Inputs!$B$10))</f>
        <v/>
      </c>
      <c r="U116" s="14" t="str">
        <f aca="false">IF(OR(R116="",L116=""),"",4*L116/(PI()*R116^2))</f>
        <v/>
      </c>
      <c r="V116" s="14"/>
      <c r="W116" s="14" t="str">
        <f aca="false">IF(A116="","",IF(A116=Inputs!$B$6,Inputs!$B$22,IF(B116="","",IFERROR(INDEX($X$4:$X$203,MATCH(B116,$A$4:$A$203,0))+IF(V116="",Inputs!$B$20,V116),""))))</f>
        <v/>
      </c>
      <c r="X116" s="14" t="str">
        <f aca="false">IF(OR(W116="",N116="",C116=""),"",W116+N116*C116)</f>
        <v/>
      </c>
      <c r="Y116" s="14"/>
      <c r="Z116" s="14"/>
      <c r="AA116" s="14" t="str">
        <f aca="false">IF(OR(Y116="",W116=""),"",Y116-W116)</f>
        <v/>
      </c>
      <c r="AB116" s="14" t="str">
        <f aca="false">IF(OR(Z116="",X116=""),"",Z116-X116)</f>
        <v/>
      </c>
      <c r="AC116" s="19" t="str">
        <f aca="false">IF(A116="","",IF(OR(T116&gt;1,AND(AV116&lt;&gt;"",AV116&lt;Inputs!$B$11),AND(AV116&lt;&gt;"",AV116&gt;Inputs!$B$12),AA116&lt;Inputs!$B$19,AB116&lt;Inputs!$B$19,N116&lt;Inputs!$B$7,N116&gt;Inputs!$B$8),"CHECK","OK"))</f>
        <v/>
      </c>
      <c r="AD116" s="9" t="str">
        <f aca="false">IF(A116="","",(1/Inputs!$B$9)*(PI()*(Inputs!$F$5/1000)^2/4)*((Inputs!$F$5/1000/4)^(2/3))*SQRT(N116))</f>
        <v/>
      </c>
      <c r="AE116" s="9" t="str">
        <f aca="false">IF(A116="","",(1/Inputs!$B$9)*(PI()*(Inputs!$F$6/1000)^2/4)*((Inputs!$F$6/1000/4)^(2/3))*SQRT(N116))</f>
        <v/>
      </c>
      <c r="AF116" s="9" t="str">
        <f aca="false">IF(A116="","",(1/Inputs!$B$9)*(PI()*(Inputs!$F$7/1000)^2/4)*((Inputs!$F$7/1000/4)^(2/3))*SQRT(N116))</f>
        <v/>
      </c>
      <c r="AG116" s="9" t="str">
        <f aca="false">IF(A116="","",(1/Inputs!$B$9)*(PI()*(Inputs!$F$8/1000)^2/4)*((Inputs!$F$8/1000/4)^(2/3))*SQRT(N116))</f>
        <v/>
      </c>
      <c r="AH116" s="9" t="str">
        <f aca="false">IF(A116="","",(1/Inputs!$B$9)*(PI()*(Inputs!$F$9/1000)^2/4)*((Inputs!$F$9/1000/4)^(2/3))*SQRT(N116))</f>
        <v/>
      </c>
      <c r="AI116" s="9" t="str">
        <f aca="false">IF(A116="","",(1/Inputs!$B$9)*(PI()*(Inputs!$F$10/1000)^2/4)*((Inputs!$F$10/1000/4)^(2/3))*SQRT(N116))</f>
        <v/>
      </c>
      <c r="AJ116" s="9" t="str">
        <f aca="false">IF(A116="","",(1/Inputs!$B$9)*(PI()*(Inputs!$F$11/1000)^2/4)*((Inputs!$F$11/1000/4)^(2/3))*SQRT(N116))</f>
        <v/>
      </c>
      <c r="AK116" s="9" t="str">
        <f aca="false">IF(A116="","",(1/Inputs!$B$9)*(PI()*(Inputs!$F$12/1000)^2/4)*((Inputs!$F$12/1000/4)^(2/3))*SQRT(N116))</f>
        <v/>
      </c>
      <c r="AL116" s="9" t="str">
        <f aca="false">IF(A116="","",(1/Inputs!$B$9)*(PI()*(Inputs!$F$13/1000)^2/4)*((Inputs!$F$13/1000/4)^(2/3))*SQRT(N116))</f>
        <v/>
      </c>
      <c r="AM116" s="9" t="str">
        <f aca="false">IF(A116="","",(1/Inputs!$B$9)*(PI()*(Inputs!$F$14/1000)^2/4)*((Inputs!$F$14/1000/4)^(2/3))*SQRT(N116))</f>
        <v/>
      </c>
      <c r="AN116" s="9" t="str">
        <f aca="false">IF(A116="","",COUNTIF($B$4:$B$203,$A116))</f>
        <v/>
      </c>
      <c r="AO116" s="9" t="str">
        <f aca="false">IF(A116="","",IF(AN116=0,"START","CONTINUOUS"))</f>
        <v/>
      </c>
      <c r="AP116" s="13" t="str">
        <f aca="false">IF(A116="","",IF(H116="",Inputs!$B$18,H116))</f>
        <v/>
      </c>
      <c r="AQ116" s="13" t="str">
        <f aca="false">IF(A116="","",IFERROR(maxifs($AS$4:$AS$203,$B$4:$B$203,$A116),""))</f>
        <v/>
      </c>
      <c r="AR116" s="13" t="str">
        <f aca="false">IF(A116="","",IF(OR(C116="",Inputs!$B$23=""),"",C116/(Inputs!$B$23*60)))</f>
        <v/>
      </c>
      <c r="AS116" s="13" t="str">
        <f aca="false">IF(A116="","",IF(AN116=0,AP116+AR116,IF(AQ116="",AP116+AR116,AQ116+AR116)))</f>
        <v/>
      </c>
      <c r="AT116" s="13" t="str">
        <f aca="false">IF(A116="","",U116)</f>
        <v/>
      </c>
      <c r="AU116" s="13" t="str">
        <f aca="false">IF(OR(R116="",N116=""),"",(1/Inputs!$B$9)*((R116/4)^(2/3))*SQRT(N116))</f>
        <v/>
      </c>
      <c r="AV116" s="13" t="str">
        <f aca="false">IF(A116="","",IF(AND(AT116="",AU116="",AX116=""),"",IF(OR(UPPER(TRIM(Inputs!$B$24))="MANNING",UPPER(TRIM(Inputs!$B$24))="M"),AU116,IF(OR(UPPER(TRIM(Inputs!$B$24))="PARTIAL",UPPER(TRIM(Inputs!$B$24))="P"),AX116,IF(OR(UPPER(TRIM(Inputs!$B$24))="MAX",UPPER(TRIM(Inputs!$B$24))="X"),MAX(IF(AT116="",0,AT116),IF(AU116="",0,AU116),IF(AX116="",0,AX116)),AT116)))))</f>
        <v/>
      </c>
      <c r="AW116" s="13" t="str">
        <f aca="false">IF(AY116="","",CE116)</f>
        <v/>
      </c>
      <c r="AX116" s="13" t="str">
        <f aca="false">IF(OR(AY116="",AW116="",R116="",R116&lt;=0,AW116&lt;=0),"",AY116/((R116^2/8)*(2*ACOS(1-2*AW116/R116)-SIN(2*ACOS(1-2*AW116/R116)))))</f>
        <v/>
      </c>
      <c r="AY116" s="9" t="str">
        <f aca="false">IF(OR(L116="",AZ116=""),"",MIN(L116,AZ116))</f>
        <v/>
      </c>
      <c r="AZ116" s="9" t="str">
        <f aca="false">IF(OR(L116="",R116="",N116=""),"",IF(OR(R116="",N116="",(0.94*R116)="",R116&lt;=0,(0.94*R116)&lt;=0),"",(1/Inputs!$B$9)*((R116^2/8)*((2*ACOS(1-2*(0.94*R116)/R116))-SIN((2*ACOS(1-2*(0.94*R116)/R116)))))*((((R116^2/8)*((2*ACOS(1-2*(0.94*R116)/R116))-SIN((2*ACOS(1-2*(0.94*R116)/R116)))))/((R116/2)*((2*ACOS(1-2*(0.94*R116)/R116)))))^(2/3))*SQRT(N116)))</f>
        <v/>
      </c>
      <c r="BA116" s="9" t="str">
        <f aca="false">IF(AY116="","",0.001*R116)</f>
        <v/>
      </c>
      <c r="BB116" s="9" t="str">
        <f aca="false">IF(AY116="","",0.94*R116)</f>
        <v/>
      </c>
      <c r="BC116" s="9" t="str">
        <f aca="false">IF(AY116="","",(BA116+BB116)/2)</f>
        <v/>
      </c>
      <c r="BD116" s="9" t="str">
        <f aca="false">IF(OR(R116="",N116="",BC116="",R116&lt;=0,BC116&lt;=0),"",(1/Inputs!$B$9)*((R116^2/8)*((2*ACOS(1-2*BC116/R116))-SIN((2*ACOS(1-2*BC116/R116)))))*((((R116^2/8)*((2*ACOS(1-2*BC116/R116))-SIN((2*ACOS(1-2*BC116/R116)))))/((R116/2)*((2*ACOS(1-2*BC116/R116)))))^(2/3))*SQRT(N116))</f>
        <v/>
      </c>
      <c r="BE116" s="9" t="str">
        <f aca="false">IF(AY116="","",IF(BD116&lt;AY116,BC116,BA116))</f>
        <v/>
      </c>
      <c r="BF116" s="9" t="str">
        <f aca="false">IF(AY116="","",IF(BD116&lt;AY116,BB116,BC116))</f>
        <v/>
      </c>
      <c r="BG116" s="9" t="str">
        <f aca="false">IF(AY116="","",(BE116+BF116)/2)</f>
        <v/>
      </c>
      <c r="BH116" s="9" t="str">
        <f aca="false">IF(OR(R116="",N116="",BG116="",R116&lt;=0,BG116&lt;=0),"",(1/Inputs!$B$9)*((R116^2/8)*((2*ACOS(1-2*BG116/R116))-SIN((2*ACOS(1-2*BG116/R116)))))*((((R116^2/8)*((2*ACOS(1-2*BG116/R116))-SIN((2*ACOS(1-2*BG116/R116)))))/((R116/2)*((2*ACOS(1-2*BG116/R116)))))^(2/3))*SQRT(N116))</f>
        <v/>
      </c>
      <c r="BI116" s="9" t="str">
        <f aca="false">IF(AY116="","",IF(BH116&lt;AY116,BG116,BE116))</f>
        <v/>
      </c>
      <c r="BJ116" s="9" t="str">
        <f aca="false">IF(AY116="","",IF(BH116&lt;AY116,BF116,BG116))</f>
        <v/>
      </c>
      <c r="BK116" s="9" t="str">
        <f aca="false">IF(AY116="","",(BI116+BJ116)/2)</f>
        <v/>
      </c>
      <c r="BL116" s="9" t="str">
        <f aca="false">IF(OR(R116="",N116="",BK116="",R116&lt;=0,BK116&lt;=0),"",(1/Inputs!$B$9)*((R116^2/8)*((2*ACOS(1-2*BK116/R116))-SIN((2*ACOS(1-2*BK116/R116)))))*((((R116^2/8)*((2*ACOS(1-2*BK116/R116))-SIN((2*ACOS(1-2*BK116/R116)))))/((R116/2)*((2*ACOS(1-2*BK116/R116)))))^(2/3))*SQRT(N116))</f>
        <v/>
      </c>
      <c r="BM116" s="9" t="str">
        <f aca="false">IF(AY116="","",IF(BL116&lt;AY116,BK116,BI116))</f>
        <v/>
      </c>
      <c r="BN116" s="9" t="str">
        <f aca="false">IF(AY116="","",IF(BL116&lt;AY116,BJ116,BK116))</f>
        <v/>
      </c>
      <c r="BO116" s="9" t="str">
        <f aca="false">IF(AY116="","",(BM116+BN116)/2)</f>
        <v/>
      </c>
      <c r="BP116" s="9" t="str">
        <f aca="false">IF(OR(R116="",N116="",BO116="",R116&lt;=0,BO116&lt;=0),"",(1/Inputs!$B$9)*((R116^2/8)*((2*ACOS(1-2*BO116/R116))-SIN((2*ACOS(1-2*BO116/R116)))))*((((R116^2/8)*((2*ACOS(1-2*BO116/R116))-SIN((2*ACOS(1-2*BO116/R116)))))/((R116/2)*((2*ACOS(1-2*BO116/R116)))))^(2/3))*SQRT(N116))</f>
        <v/>
      </c>
      <c r="BQ116" s="9" t="str">
        <f aca="false">IF(AY116="","",IF(BP116&lt;AY116,BO116,BM116))</f>
        <v/>
      </c>
      <c r="BR116" s="9" t="str">
        <f aca="false">IF(AY116="","",IF(BP116&lt;AY116,BN116,BO116))</f>
        <v/>
      </c>
      <c r="BS116" s="9" t="str">
        <f aca="false">IF(AY116="","",(BQ116+BR116)/2)</f>
        <v/>
      </c>
      <c r="BT116" s="9" t="str">
        <f aca="false">IF(OR(R116="",N116="",BS116="",R116&lt;=0,BS116&lt;=0),"",(1/Inputs!$B$9)*((R116^2/8)*((2*ACOS(1-2*BS116/R116))-SIN((2*ACOS(1-2*BS116/R116)))))*((((R116^2/8)*((2*ACOS(1-2*BS116/R116))-SIN((2*ACOS(1-2*BS116/R116)))))/((R116/2)*((2*ACOS(1-2*BS116/R116)))))^(2/3))*SQRT(N116))</f>
        <v/>
      </c>
      <c r="BU116" s="9" t="str">
        <f aca="false">IF(AY116="","",IF(BT116&lt;AY116,BS116,BQ116))</f>
        <v/>
      </c>
      <c r="BV116" s="9" t="str">
        <f aca="false">IF(AY116="","",IF(BT116&lt;AY116,BR116,BS116))</f>
        <v/>
      </c>
      <c r="BW116" s="9" t="str">
        <f aca="false">IF(AY116="","",(BU116+BV116)/2)</f>
        <v/>
      </c>
      <c r="BX116" s="9" t="str">
        <f aca="false">IF(OR(R116="",N116="",BW116="",R116&lt;=0,BW116&lt;=0),"",(1/Inputs!$B$9)*((R116^2/8)*((2*ACOS(1-2*BW116/R116))-SIN((2*ACOS(1-2*BW116/R116)))))*((((R116^2/8)*((2*ACOS(1-2*BW116/R116))-SIN((2*ACOS(1-2*BW116/R116)))))/((R116/2)*((2*ACOS(1-2*BW116/R116)))))^(2/3))*SQRT(N116))</f>
        <v/>
      </c>
      <c r="BY116" s="9" t="str">
        <f aca="false">IF(AY116="","",IF(BX116&lt;AY116,BW116,BU116))</f>
        <v/>
      </c>
      <c r="BZ116" s="9" t="str">
        <f aca="false">IF(AY116="","",IF(BX116&lt;AY116,BV116,BW116))</f>
        <v/>
      </c>
      <c r="CA116" s="9" t="str">
        <f aca="false">IF(AY116="","",(BY116+BZ116)/2)</f>
        <v/>
      </c>
      <c r="CB116" s="9" t="str">
        <f aca="false">IF(OR(R116="",N116="",CA116="",R116&lt;=0,CA116&lt;=0),"",(1/Inputs!$B$9)*((R116^2/8)*((2*ACOS(1-2*CA116/R116))-SIN((2*ACOS(1-2*CA116/R116)))))*((((R116^2/8)*((2*ACOS(1-2*CA116/R116))-SIN((2*ACOS(1-2*CA116/R116)))))/((R116/2)*((2*ACOS(1-2*CA116/R116)))))^(2/3))*SQRT(N116))</f>
        <v/>
      </c>
      <c r="CC116" s="9" t="str">
        <f aca="false">IF(AY116="","",IF(CB116&lt;AY116,CA116,BY116))</f>
        <v/>
      </c>
      <c r="CD116" s="9" t="str">
        <f aca="false">IF(AY116="","",IF(CB116&lt;AY116,BZ116,CA116))</f>
        <v/>
      </c>
      <c r="CE116" s="9" t="str">
        <f aca="false">IF(AY116="","",(CC116+CD116)/2)</f>
        <v/>
      </c>
    </row>
    <row r="117" customFormat="false" ht="15" hidden="false" customHeight="false" outlineLevel="0" collapsed="false">
      <c r="A117" s="9"/>
      <c r="B117" s="9"/>
      <c r="C117" s="14"/>
      <c r="D117" s="14"/>
      <c r="E117" s="14" t="n">
        <f aca="false">SUMIFS(CB_Tributaires!$C:$C,CB_Tributaires!$B:$B,$A117)</f>
        <v>0</v>
      </c>
      <c r="F117" s="14" t="n">
        <f aca="false">IF(D117="",E117,D117)</f>
        <v>0</v>
      </c>
      <c r="G117" s="9"/>
      <c r="H117" s="14"/>
      <c r="I117" s="14" t="str">
        <f aca="false">IF(A117="","",Inputs!$B$13/((IF(AS117="",Inputs!$B$18,AS117)+Inputs!$B$14)^Inputs!$B$15))</f>
        <v/>
      </c>
      <c r="J117" s="14" t="str">
        <f aca="false">IF(A117="","",0.000000278*IF(G117="",Inputs!$B$17,G117)*F117*I117)</f>
        <v/>
      </c>
      <c r="K117" s="14" t="str">
        <f aca="false">IF(A117="","",SUMIFS($L$4:$L$203,$B$4:$B$203,$A117))</f>
        <v/>
      </c>
      <c r="L117" s="14" t="str">
        <f aca="false">IF(A117="","",(J117+K117)*Inputs!$B$16)</f>
        <v/>
      </c>
      <c r="M117" s="14"/>
      <c r="N117" s="14" t="str">
        <f aca="false">IF(A117="","",IF(M117="",Inputs!$B$7,M117))</f>
        <v/>
      </c>
      <c r="O117" s="9" t="str">
        <f aca="false">IF(A117="","",IF(L117/Inputs!$B$10&lt;=AD117,Inputs!$F$5,IF(L117/Inputs!$B$10&gt;AM117,"OVERSIZE",INDEX(Inputs!$F$5:$F$14,MATCH(L117/Inputs!$B$10,AD117:AM117,1)+1))))</f>
        <v/>
      </c>
      <c r="P117" s="9"/>
      <c r="Q117" s="9" t="str">
        <f aca="false">IF(A117="","",IF(P117="",O117,P117))</f>
        <v/>
      </c>
      <c r="R117" s="14" t="str">
        <f aca="false">IF(OR(Q117="",Q117="OVERSIZE"),"",Q117/1000)</f>
        <v/>
      </c>
      <c r="S117" s="14" t="str">
        <f aca="false">IF(R117="","",(1/Inputs!$B$9)*(PI()*R117^2/4)*((R117/4)^(2/3))*SQRT(N117))</f>
        <v/>
      </c>
      <c r="T117" s="14" t="str">
        <f aca="false">IF(OR(S117="",L117=""),"",L117/(S117*Inputs!$B$10))</f>
        <v/>
      </c>
      <c r="U117" s="14" t="str">
        <f aca="false">IF(OR(R117="",L117=""),"",4*L117/(PI()*R117^2))</f>
        <v/>
      </c>
      <c r="V117" s="14"/>
      <c r="W117" s="14" t="str">
        <f aca="false">IF(A117="","",IF(A117=Inputs!$B$6,Inputs!$B$22,IF(B117="","",IFERROR(INDEX($X$4:$X$203,MATCH(B117,$A$4:$A$203,0))+IF(V117="",Inputs!$B$20,V117),""))))</f>
        <v/>
      </c>
      <c r="X117" s="14" t="str">
        <f aca="false">IF(OR(W117="",N117="",C117=""),"",W117+N117*C117)</f>
        <v/>
      </c>
      <c r="Y117" s="14"/>
      <c r="Z117" s="14"/>
      <c r="AA117" s="14" t="str">
        <f aca="false">IF(OR(Y117="",W117=""),"",Y117-W117)</f>
        <v/>
      </c>
      <c r="AB117" s="14" t="str">
        <f aca="false">IF(OR(Z117="",X117=""),"",Z117-X117)</f>
        <v/>
      </c>
      <c r="AC117" s="19" t="str">
        <f aca="false">IF(A117="","",IF(OR(T117&gt;1,AND(AV117&lt;&gt;"",AV117&lt;Inputs!$B$11),AND(AV117&lt;&gt;"",AV117&gt;Inputs!$B$12),AA117&lt;Inputs!$B$19,AB117&lt;Inputs!$B$19,N117&lt;Inputs!$B$7,N117&gt;Inputs!$B$8),"CHECK","OK"))</f>
        <v/>
      </c>
      <c r="AD117" s="9" t="str">
        <f aca="false">IF(A117="","",(1/Inputs!$B$9)*(PI()*(Inputs!$F$5/1000)^2/4)*((Inputs!$F$5/1000/4)^(2/3))*SQRT(N117))</f>
        <v/>
      </c>
      <c r="AE117" s="9" t="str">
        <f aca="false">IF(A117="","",(1/Inputs!$B$9)*(PI()*(Inputs!$F$6/1000)^2/4)*((Inputs!$F$6/1000/4)^(2/3))*SQRT(N117))</f>
        <v/>
      </c>
      <c r="AF117" s="9" t="str">
        <f aca="false">IF(A117="","",(1/Inputs!$B$9)*(PI()*(Inputs!$F$7/1000)^2/4)*((Inputs!$F$7/1000/4)^(2/3))*SQRT(N117))</f>
        <v/>
      </c>
      <c r="AG117" s="9" t="str">
        <f aca="false">IF(A117="","",(1/Inputs!$B$9)*(PI()*(Inputs!$F$8/1000)^2/4)*((Inputs!$F$8/1000/4)^(2/3))*SQRT(N117))</f>
        <v/>
      </c>
      <c r="AH117" s="9" t="str">
        <f aca="false">IF(A117="","",(1/Inputs!$B$9)*(PI()*(Inputs!$F$9/1000)^2/4)*((Inputs!$F$9/1000/4)^(2/3))*SQRT(N117))</f>
        <v/>
      </c>
      <c r="AI117" s="9" t="str">
        <f aca="false">IF(A117="","",(1/Inputs!$B$9)*(PI()*(Inputs!$F$10/1000)^2/4)*((Inputs!$F$10/1000/4)^(2/3))*SQRT(N117))</f>
        <v/>
      </c>
      <c r="AJ117" s="9" t="str">
        <f aca="false">IF(A117="","",(1/Inputs!$B$9)*(PI()*(Inputs!$F$11/1000)^2/4)*((Inputs!$F$11/1000/4)^(2/3))*SQRT(N117))</f>
        <v/>
      </c>
      <c r="AK117" s="9" t="str">
        <f aca="false">IF(A117="","",(1/Inputs!$B$9)*(PI()*(Inputs!$F$12/1000)^2/4)*((Inputs!$F$12/1000/4)^(2/3))*SQRT(N117))</f>
        <v/>
      </c>
      <c r="AL117" s="9" t="str">
        <f aca="false">IF(A117="","",(1/Inputs!$B$9)*(PI()*(Inputs!$F$13/1000)^2/4)*((Inputs!$F$13/1000/4)^(2/3))*SQRT(N117))</f>
        <v/>
      </c>
      <c r="AM117" s="9" t="str">
        <f aca="false">IF(A117="","",(1/Inputs!$B$9)*(PI()*(Inputs!$F$14/1000)^2/4)*((Inputs!$F$14/1000/4)^(2/3))*SQRT(N117))</f>
        <v/>
      </c>
      <c r="AN117" s="9" t="str">
        <f aca="false">IF(A117="","",COUNTIF($B$4:$B$203,$A117))</f>
        <v/>
      </c>
      <c r="AO117" s="9" t="str">
        <f aca="false">IF(A117="","",IF(AN117=0,"START","CONTINUOUS"))</f>
        <v/>
      </c>
      <c r="AP117" s="13" t="str">
        <f aca="false">IF(A117="","",IF(H117="",Inputs!$B$18,H117))</f>
        <v/>
      </c>
      <c r="AQ117" s="13" t="str">
        <f aca="false">IF(A117="","",IFERROR(maxifs($AS$4:$AS$203,$B$4:$B$203,$A117),""))</f>
        <v/>
      </c>
      <c r="AR117" s="13" t="str">
        <f aca="false">IF(A117="","",IF(OR(C117="",Inputs!$B$23=""),"",C117/(Inputs!$B$23*60)))</f>
        <v/>
      </c>
      <c r="AS117" s="13" t="str">
        <f aca="false">IF(A117="","",IF(AN117=0,AP117+AR117,IF(AQ117="",AP117+AR117,AQ117+AR117)))</f>
        <v/>
      </c>
      <c r="AT117" s="13" t="str">
        <f aca="false">IF(A117="","",U117)</f>
        <v/>
      </c>
      <c r="AU117" s="13" t="str">
        <f aca="false">IF(OR(R117="",N117=""),"",(1/Inputs!$B$9)*((R117/4)^(2/3))*SQRT(N117))</f>
        <v/>
      </c>
      <c r="AV117" s="13" t="str">
        <f aca="false">IF(A117="","",IF(AND(AT117="",AU117="",AX117=""),"",IF(OR(UPPER(TRIM(Inputs!$B$24))="MANNING",UPPER(TRIM(Inputs!$B$24))="M"),AU117,IF(OR(UPPER(TRIM(Inputs!$B$24))="PARTIAL",UPPER(TRIM(Inputs!$B$24))="P"),AX117,IF(OR(UPPER(TRIM(Inputs!$B$24))="MAX",UPPER(TRIM(Inputs!$B$24))="X"),MAX(IF(AT117="",0,AT117),IF(AU117="",0,AU117),IF(AX117="",0,AX117)),AT117)))))</f>
        <v/>
      </c>
      <c r="AW117" s="13" t="str">
        <f aca="false">IF(AY117="","",CE117)</f>
        <v/>
      </c>
      <c r="AX117" s="13" t="str">
        <f aca="false">IF(OR(AY117="",AW117="",R117="",R117&lt;=0,AW117&lt;=0),"",AY117/((R117^2/8)*(2*ACOS(1-2*AW117/R117)-SIN(2*ACOS(1-2*AW117/R117)))))</f>
        <v/>
      </c>
      <c r="AY117" s="9" t="str">
        <f aca="false">IF(OR(L117="",AZ117=""),"",MIN(L117,AZ117))</f>
        <v/>
      </c>
      <c r="AZ117" s="9" t="str">
        <f aca="false">IF(OR(L117="",R117="",N117=""),"",IF(OR(R117="",N117="",(0.94*R117)="",R117&lt;=0,(0.94*R117)&lt;=0),"",(1/Inputs!$B$9)*((R117^2/8)*((2*ACOS(1-2*(0.94*R117)/R117))-SIN((2*ACOS(1-2*(0.94*R117)/R117)))))*((((R117^2/8)*((2*ACOS(1-2*(0.94*R117)/R117))-SIN((2*ACOS(1-2*(0.94*R117)/R117)))))/((R117/2)*((2*ACOS(1-2*(0.94*R117)/R117)))))^(2/3))*SQRT(N117)))</f>
        <v/>
      </c>
      <c r="BA117" s="9" t="str">
        <f aca="false">IF(AY117="","",0.001*R117)</f>
        <v/>
      </c>
      <c r="BB117" s="9" t="str">
        <f aca="false">IF(AY117="","",0.94*R117)</f>
        <v/>
      </c>
      <c r="BC117" s="9" t="str">
        <f aca="false">IF(AY117="","",(BA117+BB117)/2)</f>
        <v/>
      </c>
      <c r="BD117" s="9" t="str">
        <f aca="false">IF(OR(R117="",N117="",BC117="",R117&lt;=0,BC117&lt;=0),"",(1/Inputs!$B$9)*((R117^2/8)*((2*ACOS(1-2*BC117/R117))-SIN((2*ACOS(1-2*BC117/R117)))))*((((R117^2/8)*((2*ACOS(1-2*BC117/R117))-SIN((2*ACOS(1-2*BC117/R117)))))/((R117/2)*((2*ACOS(1-2*BC117/R117)))))^(2/3))*SQRT(N117))</f>
        <v/>
      </c>
      <c r="BE117" s="9" t="str">
        <f aca="false">IF(AY117="","",IF(BD117&lt;AY117,BC117,BA117))</f>
        <v/>
      </c>
      <c r="BF117" s="9" t="str">
        <f aca="false">IF(AY117="","",IF(BD117&lt;AY117,BB117,BC117))</f>
        <v/>
      </c>
      <c r="BG117" s="9" t="str">
        <f aca="false">IF(AY117="","",(BE117+BF117)/2)</f>
        <v/>
      </c>
      <c r="BH117" s="9" t="str">
        <f aca="false">IF(OR(R117="",N117="",BG117="",R117&lt;=0,BG117&lt;=0),"",(1/Inputs!$B$9)*((R117^2/8)*((2*ACOS(1-2*BG117/R117))-SIN((2*ACOS(1-2*BG117/R117)))))*((((R117^2/8)*((2*ACOS(1-2*BG117/R117))-SIN((2*ACOS(1-2*BG117/R117)))))/((R117/2)*((2*ACOS(1-2*BG117/R117)))))^(2/3))*SQRT(N117))</f>
        <v/>
      </c>
      <c r="BI117" s="9" t="str">
        <f aca="false">IF(AY117="","",IF(BH117&lt;AY117,BG117,BE117))</f>
        <v/>
      </c>
      <c r="BJ117" s="9" t="str">
        <f aca="false">IF(AY117="","",IF(BH117&lt;AY117,BF117,BG117))</f>
        <v/>
      </c>
      <c r="BK117" s="9" t="str">
        <f aca="false">IF(AY117="","",(BI117+BJ117)/2)</f>
        <v/>
      </c>
      <c r="BL117" s="9" t="str">
        <f aca="false">IF(OR(R117="",N117="",BK117="",R117&lt;=0,BK117&lt;=0),"",(1/Inputs!$B$9)*((R117^2/8)*((2*ACOS(1-2*BK117/R117))-SIN((2*ACOS(1-2*BK117/R117)))))*((((R117^2/8)*((2*ACOS(1-2*BK117/R117))-SIN((2*ACOS(1-2*BK117/R117)))))/((R117/2)*((2*ACOS(1-2*BK117/R117)))))^(2/3))*SQRT(N117))</f>
        <v/>
      </c>
      <c r="BM117" s="9" t="str">
        <f aca="false">IF(AY117="","",IF(BL117&lt;AY117,BK117,BI117))</f>
        <v/>
      </c>
      <c r="BN117" s="9" t="str">
        <f aca="false">IF(AY117="","",IF(BL117&lt;AY117,BJ117,BK117))</f>
        <v/>
      </c>
      <c r="BO117" s="9" t="str">
        <f aca="false">IF(AY117="","",(BM117+BN117)/2)</f>
        <v/>
      </c>
      <c r="BP117" s="9" t="str">
        <f aca="false">IF(OR(R117="",N117="",BO117="",R117&lt;=0,BO117&lt;=0),"",(1/Inputs!$B$9)*((R117^2/8)*((2*ACOS(1-2*BO117/R117))-SIN((2*ACOS(1-2*BO117/R117)))))*((((R117^2/8)*((2*ACOS(1-2*BO117/R117))-SIN((2*ACOS(1-2*BO117/R117)))))/((R117/2)*((2*ACOS(1-2*BO117/R117)))))^(2/3))*SQRT(N117))</f>
        <v/>
      </c>
      <c r="BQ117" s="9" t="str">
        <f aca="false">IF(AY117="","",IF(BP117&lt;AY117,BO117,BM117))</f>
        <v/>
      </c>
      <c r="BR117" s="9" t="str">
        <f aca="false">IF(AY117="","",IF(BP117&lt;AY117,BN117,BO117))</f>
        <v/>
      </c>
      <c r="BS117" s="9" t="str">
        <f aca="false">IF(AY117="","",(BQ117+BR117)/2)</f>
        <v/>
      </c>
      <c r="BT117" s="9" t="str">
        <f aca="false">IF(OR(R117="",N117="",BS117="",R117&lt;=0,BS117&lt;=0),"",(1/Inputs!$B$9)*((R117^2/8)*((2*ACOS(1-2*BS117/R117))-SIN((2*ACOS(1-2*BS117/R117)))))*((((R117^2/8)*((2*ACOS(1-2*BS117/R117))-SIN((2*ACOS(1-2*BS117/R117)))))/((R117/2)*((2*ACOS(1-2*BS117/R117)))))^(2/3))*SQRT(N117))</f>
        <v/>
      </c>
      <c r="BU117" s="9" t="str">
        <f aca="false">IF(AY117="","",IF(BT117&lt;AY117,BS117,BQ117))</f>
        <v/>
      </c>
      <c r="BV117" s="9" t="str">
        <f aca="false">IF(AY117="","",IF(BT117&lt;AY117,BR117,BS117))</f>
        <v/>
      </c>
      <c r="BW117" s="9" t="str">
        <f aca="false">IF(AY117="","",(BU117+BV117)/2)</f>
        <v/>
      </c>
      <c r="BX117" s="9" t="str">
        <f aca="false">IF(OR(R117="",N117="",BW117="",R117&lt;=0,BW117&lt;=0),"",(1/Inputs!$B$9)*((R117^2/8)*((2*ACOS(1-2*BW117/R117))-SIN((2*ACOS(1-2*BW117/R117)))))*((((R117^2/8)*((2*ACOS(1-2*BW117/R117))-SIN((2*ACOS(1-2*BW117/R117)))))/((R117/2)*((2*ACOS(1-2*BW117/R117)))))^(2/3))*SQRT(N117))</f>
        <v/>
      </c>
      <c r="BY117" s="9" t="str">
        <f aca="false">IF(AY117="","",IF(BX117&lt;AY117,BW117,BU117))</f>
        <v/>
      </c>
      <c r="BZ117" s="9" t="str">
        <f aca="false">IF(AY117="","",IF(BX117&lt;AY117,BV117,BW117))</f>
        <v/>
      </c>
      <c r="CA117" s="9" t="str">
        <f aca="false">IF(AY117="","",(BY117+BZ117)/2)</f>
        <v/>
      </c>
      <c r="CB117" s="9" t="str">
        <f aca="false">IF(OR(R117="",N117="",CA117="",R117&lt;=0,CA117&lt;=0),"",(1/Inputs!$B$9)*((R117^2/8)*((2*ACOS(1-2*CA117/R117))-SIN((2*ACOS(1-2*CA117/R117)))))*((((R117^2/8)*((2*ACOS(1-2*CA117/R117))-SIN((2*ACOS(1-2*CA117/R117)))))/((R117/2)*((2*ACOS(1-2*CA117/R117)))))^(2/3))*SQRT(N117))</f>
        <v/>
      </c>
      <c r="CC117" s="9" t="str">
        <f aca="false">IF(AY117="","",IF(CB117&lt;AY117,CA117,BY117))</f>
        <v/>
      </c>
      <c r="CD117" s="9" t="str">
        <f aca="false">IF(AY117="","",IF(CB117&lt;AY117,BZ117,CA117))</f>
        <v/>
      </c>
      <c r="CE117" s="9" t="str">
        <f aca="false">IF(AY117="","",(CC117+CD117)/2)</f>
        <v/>
      </c>
    </row>
    <row r="118" customFormat="false" ht="15" hidden="false" customHeight="false" outlineLevel="0" collapsed="false">
      <c r="A118" s="9"/>
      <c r="B118" s="9"/>
      <c r="C118" s="14"/>
      <c r="D118" s="14"/>
      <c r="E118" s="14" t="n">
        <f aca="false">SUMIFS(CB_Tributaires!$C:$C,CB_Tributaires!$B:$B,$A118)</f>
        <v>0</v>
      </c>
      <c r="F118" s="14" t="n">
        <f aca="false">IF(D118="",E118,D118)</f>
        <v>0</v>
      </c>
      <c r="G118" s="9"/>
      <c r="H118" s="14"/>
      <c r="I118" s="14" t="str">
        <f aca="false">IF(A118="","",Inputs!$B$13/((IF(AS118="",Inputs!$B$18,AS118)+Inputs!$B$14)^Inputs!$B$15))</f>
        <v/>
      </c>
      <c r="J118" s="14" t="str">
        <f aca="false">IF(A118="","",0.000000278*IF(G118="",Inputs!$B$17,G118)*F118*I118)</f>
        <v/>
      </c>
      <c r="K118" s="14" t="str">
        <f aca="false">IF(A118="","",SUMIFS($L$4:$L$203,$B$4:$B$203,$A118))</f>
        <v/>
      </c>
      <c r="L118" s="14" t="str">
        <f aca="false">IF(A118="","",(J118+K118)*Inputs!$B$16)</f>
        <v/>
      </c>
      <c r="M118" s="14"/>
      <c r="N118" s="14" t="str">
        <f aca="false">IF(A118="","",IF(M118="",Inputs!$B$7,M118))</f>
        <v/>
      </c>
      <c r="O118" s="9" t="str">
        <f aca="false">IF(A118="","",IF(L118/Inputs!$B$10&lt;=AD118,Inputs!$F$5,IF(L118/Inputs!$B$10&gt;AM118,"OVERSIZE",INDEX(Inputs!$F$5:$F$14,MATCH(L118/Inputs!$B$10,AD118:AM118,1)+1))))</f>
        <v/>
      </c>
      <c r="P118" s="9"/>
      <c r="Q118" s="9" t="str">
        <f aca="false">IF(A118="","",IF(P118="",O118,P118))</f>
        <v/>
      </c>
      <c r="R118" s="14" t="str">
        <f aca="false">IF(OR(Q118="",Q118="OVERSIZE"),"",Q118/1000)</f>
        <v/>
      </c>
      <c r="S118" s="14" t="str">
        <f aca="false">IF(R118="","",(1/Inputs!$B$9)*(PI()*R118^2/4)*((R118/4)^(2/3))*SQRT(N118))</f>
        <v/>
      </c>
      <c r="T118" s="14" t="str">
        <f aca="false">IF(OR(S118="",L118=""),"",L118/(S118*Inputs!$B$10))</f>
        <v/>
      </c>
      <c r="U118" s="14" t="str">
        <f aca="false">IF(OR(R118="",L118=""),"",4*L118/(PI()*R118^2))</f>
        <v/>
      </c>
      <c r="V118" s="14"/>
      <c r="W118" s="14" t="str">
        <f aca="false">IF(A118="","",IF(A118=Inputs!$B$6,Inputs!$B$22,IF(B118="","",IFERROR(INDEX($X$4:$X$203,MATCH(B118,$A$4:$A$203,0))+IF(V118="",Inputs!$B$20,V118),""))))</f>
        <v/>
      </c>
      <c r="X118" s="14" t="str">
        <f aca="false">IF(OR(W118="",N118="",C118=""),"",W118+N118*C118)</f>
        <v/>
      </c>
      <c r="Y118" s="14"/>
      <c r="Z118" s="14"/>
      <c r="AA118" s="14" t="str">
        <f aca="false">IF(OR(Y118="",W118=""),"",Y118-W118)</f>
        <v/>
      </c>
      <c r="AB118" s="14" t="str">
        <f aca="false">IF(OR(Z118="",X118=""),"",Z118-X118)</f>
        <v/>
      </c>
      <c r="AC118" s="19" t="str">
        <f aca="false">IF(A118="","",IF(OR(T118&gt;1,AND(AV118&lt;&gt;"",AV118&lt;Inputs!$B$11),AND(AV118&lt;&gt;"",AV118&gt;Inputs!$B$12),AA118&lt;Inputs!$B$19,AB118&lt;Inputs!$B$19,N118&lt;Inputs!$B$7,N118&gt;Inputs!$B$8),"CHECK","OK"))</f>
        <v/>
      </c>
      <c r="AD118" s="9" t="str">
        <f aca="false">IF(A118="","",(1/Inputs!$B$9)*(PI()*(Inputs!$F$5/1000)^2/4)*((Inputs!$F$5/1000/4)^(2/3))*SQRT(N118))</f>
        <v/>
      </c>
      <c r="AE118" s="9" t="str">
        <f aca="false">IF(A118="","",(1/Inputs!$B$9)*(PI()*(Inputs!$F$6/1000)^2/4)*((Inputs!$F$6/1000/4)^(2/3))*SQRT(N118))</f>
        <v/>
      </c>
      <c r="AF118" s="9" t="str">
        <f aca="false">IF(A118="","",(1/Inputs!$B$9)*(PI()*(Inputs!$F$7/1000)^2/4)*((Inputs!$F$7/1000/4)^(2/3))*SQRT(N118))</f>
        <v/>
      </c>
      <c r="AG118" s="9" t="str">
        <f aca="false">IF(A118="","",(1/Inputs!$B$9)*(PI()*(Inputs!$F$8/1000)^2/4)*((Inputs!$F$8/1000/4)^(2/3))*SQRT(N118))</f>
        <v/>
      </c>
      <c r="AH118" s="9" t="str">
        <f aca="false">IF(A118="","",(1/Inputs!$B$9)*(PI()*(Inputs!$F$9/1000)^2/4)*((Inputs!$F$9/1000/4)^(2/3))*SQRT(N118))</f>
        <v/>
      </c>
      <c r="AI118" s="9" t="str">
        <f aca="false">IF(A118="","",(1/Inputs!$B$9)*(PI()*(Inputs!$F$10/1000)^2/4)*((Inputs!$F$10/1000/4)^(2/3))*SQRT(N118))</f>
        <v/>
      </c>
      <c r="AJ118" s="9" t="str">
        <f aca="false">IF(A118="","",(1/Inputs!$B$9)*(PI()*(Inputs!$F$11/1000)^2/4)*((Inputs!$F$11/1000/4)^(2/3))*SQRT(N118))</f>
        <v/>
      </c>
      <c r="AK118" s="9" t="str">
        <f aca="false">IF(A118="","",(1/Inputs!$B$9)*(PI()*(Inputs!$F$12/1000)^2/4)*((Inputs!$F$12/1000/4)^(2/3))*SQRT(N118))</f>
        <v/>
      </c>
      <c r="AL118" s="9" t="str">
        <f aca="false">IF(A118="","",(1/Inputs!$B$9)*(PI()*(Inputs!$F$13/1000)^2/4)*((Inputs!$F$13/1000/4)^(2/3))*SQRT(N118))</f>
        <v/>
      </c>
      <c r="AM118" s="9" t="str">
        <f aca="false">IF(A118="","",(1/Inputs!$B$9)*(PI()*(Inputs!$F$14/1000)^2/4)*((Inputs!$F$14/1000/4)^(2/3))*SQRT(N118))</f>
        <v/>
      </c>
      <c r="AN118" s="9" t="str">
        <f aca="false">IF(A118="","",COUNTIF($B$4:$B$203,$A118))</f>
        <v/>
      </c>
      <c r="AO118" s="9" t="str">
        <f aca="false">IF(A118="","",IF(AN118=0,"START","CONTINUOUS"))</f>
        <v/>
      </c>
      <c r="AP118" s="13" t="str">
        <f aca="false">IF(A118="","",IF(H118="",Inputs!$B$18,H118))</f>
        <v/>
      </c>
      <c r="AQ118" s="13" t="str">
        <f aca="false">IF(A118="","",IFERROR(maxifs($AS$4:$AS$203,$B$4:$B$203,$A118),""))</f>
        <v/>
      </c>
      <c r="AR118" s="13" t="str">
        <f aca="false">IF(A118="","",IF(OR(C118="",Inputs!$B$23=""),"",C118/(Inputs!$B$23*60)))</f>
        <v/>
      </c>
      <c r="AS118" s="13" t="str">
        <f aca="false">IF(A118="","",IF(AN118=0,AP118+AR118,IF(AQ118="",AP118+AR118,AQ118+AR118)))</f>
        <v/>
      </c>
      <c r="AT118" s="13" t="str">
        <f aca="false">IF(A118="","",U118)</f>
        <v/>
      </c>
      <c r="AU118" s="13" t="str">
        <f aca="false">IF(OR(R118="",N118=""),"",(1/Inputs!$B$9)*((R118/4)^(2/3))*SQRT(N118))</f>
        <v/>
      </c>
      <c r="AV118" s="13" t="str">
        <f aca="false">IF(A118="","",IF(AND(AT118="",AU118="",AX118=""),"",IF(OR(UPPER(TRIM(Inputs!$B$24))="MANNING",UPPER(TRIM(Inputs!$B$24))="M"),AU118,IF(OR(UPPER(TRIM(Inputs!$B$24))="PARTIAL",UPPER(TRIM(Inputs!$B$24))="P"),AX118,IF(OR(UPPER(TRIM(Inputs!$B$24))="MAX",UPPER(TRIM(Inputs!$B$24))="X"),MAX(IF(AT118="",0,AT118),IF(AU118="",0,AU118),IF(AX118="",0,AX118)),AT118)))))</f>
        <v/>
      </c>
      <c r="AW118" s="13" t="str">
        <f aca="false">IF(AY118="","",CE118)</f>
        <v/>
      </c>
      <c r="AX118" s="13" t="str">
        <f aca="false">IF(OR(AY118="",AW118="",R118="",R118&lt;=0,AW118&lt;=0),"",AY118/((R118^2/8)*(2*ACOS(1-2*AW118/R118)-SIN(2*ACOS(1-2*AW118/R118)))))</f>
        <v/>
      </c>
      <c r="AY118" s="9" t="str">
        <f aca="false">IF(OR(L118="",AZ118=""),"",MIN(L118,AZ118))</f>
        <v/>
      </c>
      <c r="AZ118" s="9" t="str">
        <f aca="false">IF(OR(L118="",R118="",N118=""),"",IF(OR(R118="",N118="",(0.94*R118)="",R118&lt;=0,(0.94*R118)&lt;=0),"",(1/Inputs!$B$9)*((R118^2/8)*((2*ACOS(1-2*(0.94*R118)/R118))-SIN((2*ACOS(1-2*(0.94*R118)/R118)))))*((((R118^2/8)*((2*ACOS(1-2*(0.94*R118)/R118))-SIN((2*ACOS(1-2*(0.94*R118)/R118)))))/((R118/2)*((2*ACOS(1-2*(0.94*R118)/R118)))))^(2/3))*SQRT(N118)))</f>
        <v/>
      </c>
      <c r="BA118" s="9" t="str">
        <f aca="false">IF(AY118="","",0.001*R118)</f>
        <v/>
      </c>
      <c r="BB118" s="9" t="str">
        <f aca="false">IF(AY118="","",0.94*R118)</f>
        <v/>
      </c>
      <c r="BC118" s="9" t="str">
        <f aca="false">IF(AY118="","",(BA118+BB118)/2)</f>
        <v/>
      </c>
      <c r="BD118" s="9" t="str">
        <f aca="false">IF(OR(R118="",N118="",BC118="",R118&lt;=0,BC118&lt;=0),"",(1/Inputs!$B$9)*((R118^2/8)*((2*ACOS(1-2*BC118/R118))-SIN((2*ACOS(1-2*BC118/R118)))))*((((R118^2/8)*((2*ACOS(1-2*BC118/R118))-SIN((2*ACOS(1-2*BC118/R118)))))/((R118/2)*((2*ACOS(1-2*BC118/R118)))))^(2/3))*SQRT(N118))</f>
        <v/>
      </c>
      <c r="BE118" s="9" t="str">
        <f aca="false">IF(AY118="","",IF(BD118&lt;AY118,BC118,BA118))</f>
        <v/>
      </c>
      <c r="BF118" s="9" t="str">
        <f aca="false">IF(AY118="","",IF(BD118&lt;AY118,BB118,BC118))</f>
        <v/>
      </c>
      <c r="BG118" s="9" t="str">
        <f aca="false">IF(AY118="","",(BE118+BF118)/2)</f>
        <v/>
      </c>
      <c r="BH118" s="9" t="str">
        <f aca="false">IF(OR(R118="",N118="",BG118="",R118&lt;=0,BG118&lt;=0),"",(1/Inputs!$B$9)*((R118^2/8)*((2*ACOS(1-2*BG118/R118))-SIN((2*ACOS(1-2*BG118/R118)))))*((((R118^2/8)*((2*ACOS(1-2*BG118/R118))-SIN((2*ACOS(1-2*BG118/R118)))))/((R118/2)*((2*ACOS(1-2*BG118/R118)))))^(2/3))*SQRT(N118))</f>
        <v/>
      </c>
      <c r="BI118" s="9" t="str">
        <f aca="false">IF(AY118="","",IF(BH118&lt;AY118,BG118,BE118))</f>
        <v/>
      </c>
      <c r="BJ118" s="9" t="str">
        <f aca="false">IF(AY118="","",IF(BH118&lt;AY118,BF118,BG118))</f>
        <v/>
      </c>
      <c r="BK118" s="9" t="str">
        <f aca="false">IF(AY118="","",(BI118+BJ118)/2)</f>
        <v/>
      </c>
      <c r="BL118" s="9" t="str">
        <f aca="false">IF(OR(R118="",N118="",BK118="",R118&lt;=0,BK118&lt;=0),"",(1/Inputs!$B$9)*((R118^2/8)*((2*ACOS(1-2*BK118/R118))-SIN((2*ACOS(1-2*BK118/R118)))))*((((R118^2/8)*((2*ACOS(1-2*BK118/R118))-SIN((2*ACOS(1-2*BK118/R118)))))/((R118/2)*((2*ACOS(1-2*BK118/R118)))))^(2/3))*SQRT(N118))</f>
        <v/>
      </c>
      <c r="BM118" s="9" t="str">
        <f aca="false">IF(AY118="","",IF(BL118&lt;AY118,BK118,BI118))</f>
        <v/>
      </c>
      <c r="BN118" s="9" t="str">
        <f aca="false">IF(AY118="","",IF(BL118&lt;AY118,BJ118,BK118))</f>
        <v/>
      </c>
      <c r="BO118" s="9" t="str">
        <f aca="false">IF(AY118="","",(BM118+BN118)/2)</f>
        <v/>
      </c>
      <c r="BP118" s="9" t="str">
        <f aca="false">IF(OR(R118="",N118="",BO118="",R118&lt;=0,BO118&lt;=0),"",(1/Inputs!$B$9)*((R118^2/8)*((2*ACOS(1-2*BO118/R118))-SIN((2*ACOS(1-2*BO118/R118)))))*((((R118^2/8)*((2*ACOS(1-2*BO118/R118))-SIN((2*ACOS(1-2*BO118/R118)))))/((R118/2)*((2*ACOS(1-2*BO118/R118)))))^(2/3))*SQRT(N118))</f>
        <v/>
      </c>
      <c r="BQ118" s="9" t="str">
        <f aca="false">IF(AY118="","",IF(BP118&lt;AY118,BO118,BM118))</f>
        <v/>
      </c>
      <c r="BR118" s="9" t="str">
        <f aca="false">IF(AY118="","",IF(BP118&lt;AY118,BN118,BO118))</f>
        <v/>
      </c>
      <c r="BS118" s="9" t="str">
        <f aca="false">IF(AY118="","",(BQ118+BR118)/2)</f>
        <v/>
      </c>
      <c r="BT118" s="9" t="str">
        <f aca="false">IF(OR(R118="",N118="",BS118="",R118&lt;=0,BS118&lt;=0),"",(1/Inputs!$B$9)*((R118^2/8)*((2*ACOS(1-2*BS118/R118))-SIN((2*ACOS(1-2*BS118/R118)))))*((((R118^2/8)*((2*ACOS(1-2*BS118/R118))-SIN((2*ACOS(1-2*BS118/R118)))))/((R118/2)*((2*ACOS(1-2*BS118/R118)))))^(2/3))*SQRT(N118))</f>
        <v/>
      </c>
      <c r="BU118" s="9" t="str">
        <f aca="false">IF(AY118="","",IF(BT118&lt;AY118,BS118,BQ118))</f>
        <v/>
      </c>
      <c r="BV118" s="9" t="str">
        <f aca="false">IF(AY118="","",IF(BT118&lt;AY118,BR118,BS118))</f>
        <v/>
      </c>
      <c r="BW118" s="9" t="str">
        <f aca="false">IF(AY118="","",(BU118+BV118)/2)</f>
        <v/>
      </c>
      <c r="BX118" s="9" t="str">
        <f aca="false">IF(OR(R118="",N118="",BW118="",R118&lt;=0,BW118&lt;=0),"",(1/Inputs!$B$9)*((R118^2/8)*((2*ACOS(1-2*BW118/R118))-SIN((2*ACOS(1-2*BW118/R118)))))*((((R118^2/8)*((2*ACOS(1-2*BW118/R118))-SIN((2*ACOS(1-2*BW118/R118)))))/((R118/2)*((2*ACOS(1-2*BW118/R118)))))^(2/3))*SQRT(N118))</f>
        <v/>
      </c>
      <c r="BY118" s="9" t="str">
        <f aca="false">IF(AY118="","",IF(BX118&lt;AY118,BW118,BU118))</f>
        <v/>
      </c>
      <c r="BZ118" s="9" t="str">
        <f aca="false">IF(AY118="","",IF(BX118&lt;AY118,BV118,BW118))</f>
        <v/>
      </c>
      <c r="CA118" s="9" t="str">
        <f aca="false">IF(AY118="","",(BY118+BZ118)/2)</f>
        <v/>
      </c>
      <c r="CB118" s="9" t="str">
        <f aca="false">IF(OR(R118="",N118="",CA118="",R118&lt;=0,CA118&lt;=0),"",(1/Inputs!$B$9)*((R118^2/8)*((2*ACOS(1-2*CA118/R118))-SIN((2*ACOS(1-2*CA118/R118)))))*((((R118^2/8)*((2*ACOS(1-2*CA118/R118))-SIN((2*ACOS(1-2*CA118/R118)))))/((R118/2)*((2*ACOS(1-2*CA118/R118)))))^(2/3))*SQRT(N118))</f>
        <v/>
      </c>
      <c r="CC118" s="9" t="str">
        <f aca="false">IF(AY118="","",IF(CB118&lt;AY118,CA118,BY118))</f>
        <v/>
      </c>
      <c r="CD118" s="9" t="str">
        <f aca="false">IF(AY118="","",IF(CB118&lt;AY118,BZ118,CA118))</f>
        <v/>
      </c>
      <c r="CE118" s="9" t="str">
        <f aca="false">IF(AY118="","",(CC118+CD118)/2)</f>
        <v/>
      </c>
    </row>
    <row r="119" customFormat="false" ht="15" hidden="false" customHeight="false" outlineLevel="0" collapsed="false">
      <c r="A119" s="9"/>
      <c r="B119" s="9"/>
      <c r="C119" s="14"/>
      <c r="D119" s="14"/>
      <c r="E119" s="14" t="n">
        <f aca="false">SUMIFS(CB_Tributaires!$C:$C,CB_Tributaires!$B:$B,$A119)</f>
        <v>0</v>
      </c>
      <c r="F119" s="14" t="n">
        <f aca="false">IF(D119="",E119,D119)</f>
        <v>0</v>
      </c>
      <c r="G119" s="9"/>
      <c r="H119" s="14"/>
      <c r="I119" s="14" t="str">
        <f aca="false">IF(A119="","",Inputs!$B$13/((IF(AS119="",Inputs!$B$18,AS119)+Inputs!$B$14)^Inputs!$B$15))</f>
        <v/>
      </c>
      <c r="J119" s="14" t="str">
        <f aca="false">IF(A119="","",0.000000278*IF(G119="",Inputs!$B$17,G119)*F119*I119)</f>
        <v/>
      </c>
      <c r="K119" s="14" t="str">
        <f aca="false">IF(A119="","",SUMIFS($L$4:$L$203,$B$4:$B$203,$A119))</f>
        <v/>
      </c>
      <c r="L119" s="14" t="str">
        <f aca="false">IF(A119="","",(J119+K119)*Inputs!$B$16)</f>
        <v/>
      </c>
      <c r="M119" s="14"/>
      <c r="N119" s="14" t="str">
        <f aca="false">IF(A119="","",IF(M119="",Inputs!$B$7,M119))</f>
        <v/>
      </c>
      <c r="O119" s="9" t="str">
        <f aca="false">IF(A119="","",IF(L119/Inputs!$B$10&lt;=AD119,Inputs!$F$5,IF(L119/Inputs!$B$10&gt;AM119,"OVERSIZE",INDEX(Inputs!$F$5:$F$14,MATCH(L119/Inputs!$B$10,AD119:AM119,1)+1))))</f>
        <v/>
      </c>
      <c r="P119" s="9"/>
      <c r="Q119" s="9" t="str">
        <f aca="false">IF(A119="","",IF(P119="",O119,P119))</f>
        <v/>
      </c>
      <c r="R119" s="14" t="str">
        <f aca="false">IF(OR(Q119="",Q119="OVERSIZE"),"",Q119/1000)</f>
        <v/>
      </c>
      <c r="S119" s="14" t="str">
        <f aca="false">IF(R119="","",(1/Inputs!$B$9)*(PI()*R119^2/4)*((R119/4)^(2/3))*SQRT(N119))</f>
        <v/>
      </c>
      <c r="T119" s="14" t="str">
        <f aca="false">IF(OR(S119="",L119=""),"",L119/(S119*Inputs!$B$10))</f>
        <v/>
      </c>
      <c r="U119" s="14" t="str">
        <f aca="false">IF(OR(R119="",L119=""),"",4*L119/(PI()*R119^2))</f>
        <v/>
      </c>
      <c r="V119" s="14"/>
      <c r="W119" s="14" t="str">
        <f aca="false">IF(A119="","",IF(A119=Inputs!$B$6,Inputs!$B$22,IF(B119="","",IFERROR(INDEX($X$4:$X$203,MATCH(B119,$A$4:$A$203,0))+IF(V119="",Inputs!$B$20,V119),""))))</f>
        <v/>
      </c>
      <c r="X119" s="14" t="str">
        <f aca="false">IF(OR(W119="",N119="",C119=""),"",W119+N119*C119)</f>
        <v/>
      </c>
      <c r="Y119" s="14"/>
      <c r="Z119" s="14"/>
      <c r="AA119" s="14" t="str">
        <f aca="false">IF(OR(Y119="",W119=""),"",Y119-W119)</f>
        <v/>
      </c>
      <c r="AB119" s="14" t="str">
        <f aca="false">IF(OR(Z119="",X119=""),"",Z119-X119)</f>
        <v/>
      </c>
      <c r="AC119" s="19" t="str">
        <f aca="false">IF(A119="","",IF(OR(T119&gt;1,AND(AV119&lt;&gt;"",AV119&lt;Inputs!$B$11),AND(AV119&lt;&gt;"",AV119&gt;Inputs!$B$12),AA119&lt;Inputs!$B$19,AB119&lt;Inputs!$B$19,N119&lt;Inputs!$B$7,N119&gt;Inputs!$B$8),"CHECK","OK"))</f>
        <v/>
      </c>
      <c r="AD119" s="9" t="str">
        <f aca="false">IF(A119="","",(1/Inputs!$B$9)*(PI()*(Inputs!$F$5/1000)^2/4)*((Inputs!$F$5/1000/4)^(2/3))*SQRT(N119))</f>
        <v/>
      </c>
      <c r="AE119" s="9" t="str">
        <f aca="false">IF(A119="","",(1/Inputs!$B$9)*(PI()*(Inputs!$F$6/1000)^2/4)*((Inputs!$F$6/1000/4)^(2/3))*SQRT(N119))</f>
        <v/>
      </c>
      <c r="AF119" s="9" t="str">
        <f aca="false">IF(A119="","",(1/Inputs!$B$9)*(PI()*(Inputs!$F$7/1000)^2/4)*((Inputs!$F$7/1000/4)^(2/3))*SQRT(N119))</f>
        <v/>
      </c>
      <c r="AG119" s="9" t="str">
        <f aca="false">IF(A119="","",(1/Inputs!$B$9)*(PI()*(Inputs!$F$8/1000)^2/4)*((Inputs!$F$8/1000/4)^(2/3))*SQRT(N119))</f>
        <v/>
      </c>
      <c r="AH119" s="9" t="str">
        <f aca="false">IF(A119="","",(1/Inputs!$B$9)*(PI()*(Inputs!$F$9/1000)^2/4)*((Inputs!$F$9/1000/4)^(2/3))*SQRT(N119))</f>
        <v/>
      </c>
      <c r="AI119" s="9" t="str">
        <f aca="false">IF(A119="","",(1/Inputs!$B$9)*(PI()*(Inputs!$F$10/1000)^2/4)*((Inputs!$F$10/1000/4)^(2/3))*SQRT(N119))</f>
        <v/>
      </c>
      <c r="AJ119" s="9" t="str">
        <f aca="false">IF(A119="","",(1/Inputs!$B$9)*(PI()*(Inputs!$F$11/1000)^2/4)*((Inputs!$F$11/1000/4)^(2/3))*SQRT(N119))</f>
        <v/>
      </c>
      <c r="AK119" s="9" t="str">
        <f aca="false">IF(A119="","",(1/Inputs!$B$9)*(PI()*(Inputs!$F$12/1000)^2/4)*((Inputs!$F$12/1000/4)^(2/3))*SQRT(N119))</f>
        <v/>
      </c>
      <c r="AL119" s="9" t="str">
        <f aca="false">IF(A119="","",(1/Inputs!$B$9)*(PI()*(Inputs!$F$13/1000)^2/4)*((Inputs!$F$13/1000/4)^(2/3))*SQRT(N119))</f>
        <v/>
      </c>
      <c r="AM119" s="9" t="str">
        <f aca="false">IF(A119="","",(1/Inputs!$B$9)*(PI()*(Inputs!$F$14/1000)^2/4)*((Inputs!$F$14/1000/4)^(2/3))*SQRT(N119))</f>
        <v/>
      </c>
      <c r="AN119" s="9" t="str">
        <f aca="false">IF(A119="","",COUNTIF($B$4:$B$203,$A119))</f>
        <v/>
      </c>
      <c r="AO119" s="9" t="str">
        <f aca="false">IF(A119="","",IF(AN119=0,"START","CONTINUOUS"))</f>
        <v/>
      </c>
      <c r="AP119" s="13" t="str">
        <f aca="false">IF(A119="","",IF(H119="",Inputs!$B$18,H119))</f>
        <v/>
      </c>
      <c r="AQ119" s="13" t="str">
        <f aca="false">IF(A119="","",IFERROR(maxifs($AS$4:$AS$203,$B$4:$B$203,$A119),""))</f>
        <v/>
      </c>
      <c r="AR119" s="13" t="str">
        <f aca="false">IF(A119="","",IF(OR(C119="",Inputs!$B$23=""),"",C119/(Inputs!$B$23*60)))</f>
        <v/>
      </c>
      <c r="AS119" s="13" t="str">
        <f aca="false">IF(A119="","",IF(AN119=0,AP119+AR119,IF(AQ119="",AP119+AR119,AQ119+AR119)))</f>
        <v/>
      </c>
      <c r="AT119" s="13" t="str">
        <f aca="false">IF(A119="","",U119)</f>
        <v/>
      </c>
      <c r="AU119" s="13" t="str">
        <f aca="false">IF(OR(R119="",N119=""),"",(1/Inputs!$B$9)*((R119/4)^(2/3))*SQRT(N119))</f>
        <v/>
      </c>
      <c r="AV119" s="13" t="str">
        <f aca="false">IF(A119="","",IF(AND(AT119="",AU119="",AX119=""),"",IF(OR(UPPER(TRIM(Inputs!$B$24))="MANNING",UPPER(TRIM(Inputs!$B$24))="M"),AU119,IF(OR(UPPER(TRIM(Inputs!$B$24))="PARTIAL",UPPER(TRIM(Inputs!$B$24))="P"),AX119,IF(OR(UPPER(TRIM(Inputs!$B$24))="MAX",UPPER(TRIM(Inputs!$B$24))="X"),MAX(IF(AT119="",0,AT119),IF(AU119="",0,AU119),IF(AX119="",0,AX119)),AT119)))))</f>
        <v/>
      </c>
      <c r="AW119" s="13" t="str">
        <f aca="false">IF(AY119="","",CE119)</f>
        <v/>
      </c>
      <c r="AX119" s="13" t="str">
        <f aca="false">IF(OR(AY119="",AW119="",R119="",R119&lt;=0,AW119&lt;=0),"",AY119/((R119^2/8)*(2*ACOS(1-2*AW119/R119)-SIN(2*ACOS(1-2*AW119/R119)))))</f>
        <v/>
      </c>
      <c r="AY119" s="9" t="str">
        <f aca="false">IF(OR(L119="",AZ119=""),"",MIN(L119,AZ119))</f>
        <v/>
      </c>
      <c r="AZ119" s="9" t="str">
        <f aca="false">IF(OR(L119="",R119="",N119=""),"",IF(OR(R119="",N119="",(0.94*R119)="",R119&lt;=0,(0.94*R119)&lt;=0),"",(1/Inputs!$B$9)*((R119^2/8)*((2*ACOS(1-2*(0.94*R119)/R119))-SIN((2*ACOS(1-2*(0.94*R119)/R119)))))*((((R119^2/8)*((2*ACOS(1-2*(0.94*R119)/R119))-SIN((2*ACOS(1-2*(0.94*R119)/R119)))))/((R119/2)*((2*ACOS(1-2*(0.94*R119)/R119)))))^(2/3))*SQRT(N119)))</f>
        <v/>
      </c>
      <c r="BA119" s="9" t="str">
        <f aca="false">IF(AY119="","",0.001*R119)</f>
        <v/>
      </c>
      <c r="BB119" s="9" t="str">
        <f aca="false">IF(AY119="","",0.94*R119)</f>
        <v/>
      </c>
      <c r="BC119" s="9" t="str">
        <f aca="false">IF(AY119="","",(BA119+BB119)/2)</f>
        <v/>
      </c>
      <c r="BD119" s="9" t="str">
        <f aca="false">IF(OR(R119="",N119="",BC119="",R119&lt;=0,BC119&lt;=0),"",(1/Inputs!$B$9)*((R119^2/8)*((2*ACOS(1-2*BC119/R119))-SIN((2*ACOS(1-2*BC119/R119)))))*((((R119^2/8)*((2*ACOS(1-2*BC119/R119))-SIN((2*ACOS(1-2*BC119/R119)))))/((R119/2)*((2*ACOS(1-2*BC119/R119)))))^(2/3))*SQRT(N119))</f>
        <v/>
      </c>
      <c r="BE119" s="9" t="str">
        <f aca="false">IF(AY119="","",IF(BD119&lt;AY119,BC119,BA119))</f>
        <v/>
      </c>
      <c r="BF119" s="9" t="str">
        <f aca="false">IF(AY119="","",IF(BD119&lt;AY119,BB119,BC119))</f>
        <v/>
      </c>
      <c r="BG119" s="9" t="str">
        <f aca="false">IF(AY119="","",(BE119+BF119)/2)</f>
        <v/>
      </c>
      <c r="BH119" s="9" t="str">
        <f aca="false">IF(OR(R119="",N119="",BG119="",R119&lt;=0,BG119&lt;=0),"",(1/Inputs!$B$9)*((R119^2/8)*((2*ACOS(1-2*BG119/R119))-SIN((2*ACOS(1-2*BG119/R119)))))*((((R119^2/8)*((2*ACOS(1-2*BG119/R119))-SIN((2*ACOS(1-2*BG119/R119)))))/((R119/2)*((2*ACOS(1-2*BG119/R119)))))^(2/3))*SQRT(N119))</f>
        <v/>
      </c>
      <c r="BI119" s="9" t="str">
        <f aca="false">IF(AY119="","",IF(BH119&lt;AY119,BG119,BE119))</f>
        <v/>
      </c>
      <c r="BJ119" s="9" t="str">
        <f aca="false">IF(AY119="","",IF(BH119&lt;AY119,BF119,BG119))</f>
        <v/>
      </c>
      <c r="BK119" s="9" t="str">
        <f aca="false">IF(AY119="","",(BI119+BJ119)/2)</f>
        <v/>
      </c>
      <c r="BL119" s="9" t="str">
        <f aca="false">IF(OR(R119="",N119="",BK119="",R119&lt;=0,BK119&lt;=0),"",(1/Inputs!$B$9)*((R119^2/8)*((2*ACOS(1-2*BK119/R119))-SIN((2*ACOS(1-2*BK119/R119)))))*((((R119^2/8)*((2*ACOS(1-2*BK119/R119))-SIN((2*ACOS(1-2*BK119/R119)))))/((R119/2)*((2*ACOS(1-2*BK119/R119)))))^(2/3))*SQRT(N119))</f>
        <v/>
      </c>
      <c r="BM119" s="9" t="str">
        <f aca="false">IF(AY119="","",IF(BL119&lt;AY119,BK119,BI119))</f>
        <v/>
      </c>
      <c r="BN119" s="9" t="str">
        <f aca="false">IF(AY119="","",IF(BL119&lt;AY119,BJ119,BK119))</f>
        <v/>
      </c>
      <c r="BO119" s="9" t="str">
        <f aca="false">IF(AY119="","",(BM119+BN119)/2)</f>
        <v/>
      </c>
      <c r="BP119" s="9" t="str">
        <f aca="false">IF(OR(R119="",N119="",BO119="",R119&lt;=0,BO119&lt;=0),"",(1/Inputs!$B$9)*((R119^2/8)*((2*ACOS(1-2*BO119/R119))-SIN((2*ACOS(1-2*BO119/R119)))))*((((R119^2/8)*((2*ACOS(1-2*BO119/R119))-SIN((2*ACOS(1-2*BO119/R119)))))/((R119/2)*((2*ACOS(1-2*BO119/R119)))))^(2/3))*SQRT(N119))</f>
        <v/>
      </c>
      <c r="BQ119" s="9" t="str">
        <f aca="false">IF(AY119="","",IF(BP119&lt;AY119,BO119,BM119))</f>
        <v/>
      </c>
      <c r="BR119" s="9" t="str">
        <f aca="false">IF(AY119="","",IF(BP119&lt;AY119,BN119,BO119))</f>
        <v/>
      </c>
      <c r="BS119" s="9" t="str">
        <f aca="false">IF(AY119="","",(BQ119+BR119)/2)</f>
        <v/>
      </c>
      <c r="BT119" s="9" t="str">
        <f aca="false">IF(OR(R119="",N119="",BS119="",R119&lt;=0,BS119&lt;=0),"",(1/Inputs!$B$9)*((R119^2/8)*((2*ACOS(1-2*BS119/R119))-SIN((2*ACOS(1-2*BS119/R119)))))*((((R119^2/8)*((2*ACOS(1-2*BS119/R119))-SIN((2*ACOS(1-2*BS119/R119)))))/((R119/2)*((2*ACOS(1-2*BS119/R119)))))^(2/3))*SQRT(N119))</f>
        <v/>
      </c>
      <c r="BU119" s="9" t="str">
        <f aca="false">IF(AY119="","",IF(BT119&lt;AY119,BS119,BQ119))</f>
        <v/>
      </c>
      <c r="BV119" s="9" t="str">
        <f aca="false">IF(AY119="","",IF(BT119&lt;AY119,BR119,BS119))</f>
        <v/>
      </c>
      <c r="BW119" s="9" t="str">
        <f aca="false">IF(AY119="","",(BU119+BV119)/2)</f>
        <v/>
      </c>
      <c r="BX119" s="9" t="str">
        <f aca="false">IF(OR(R119="",N119="",BW119="",R119&lt;=0,BW119&lt;=0),"",(1/Inputs!$B$9)*((R119^2/8)*((2*ACOS(1-2*BW119/R119))-SIN((2*ACOS(1-2*BW119/R119)))))*((((R119^2/8)*((2*ACOS(1-2*BW119/R119))-SIN((2*ACOS(1-2*BW119/R119)))))/((R119/2)*((2*ACOS(1-2*BW119/R119)))))^(2/3))*SQRT(N119))</f>
        <v/>
      </c>
      <c r="BY119" s="9" t="str">
        <f aca="false">IF(AY119="","",IF(BX119&lt;AY119,BW119,BU119))</f>
        <v/>
      </c>
      <c r="BZ119" s="9" t="str">
        <f aca="false">IF(AY119="","",IF(BX119&lt;AY119,BV119,BW119))</f>
        <v/>
      </c>
      <c r="CA119" s="9" t="str">
        <f aca="false">IF(AY119="","",(BY119+BZ119)/2)</f>
        <v/>
      </c>
      <c r="CB119" s="9" t="str">
        <f aca="false">IF(OR(R119="",N119="",CA119="",R119&lt;=0,CA119&lt;=0),"",(1/Inputs!$B$9)*((R119^2/8)*((2*ACOS(1-2*CA119/R119))-SIN((2*ACOS(1-2*CA119/R119)))))*((((R119^2/8)*((2*ACOS(1-2*CA119/R119))-SIN((2*ACOS(1-2*CA119/R119)))))/((R119/2)*((2*ACOS(1-2*CA119/R119)))))^(2/3))*SQRT(N119))</f>
        <v/>
      </c>
      <c r="CC119" s="9" t="str">
        <f aca="false">IF(AY119="","",IF(CB119&lt;AY119,CA119,BY119))</f>
        <v/>
      </c>
      <c r="CD119" s="9" t="str">
        <f aca="false">IF(AY119="","",IF(CB119&lt;AY119,BZ119,CA119))</f>
        <v/>
      </c>
      <c r="CE119" s="9" t="str">
        <f aca="false">IF(AY119="","",(CC119+CD119)/2)</f>
        <v/>
      </c>
    </row>
    <row r="120" customFormat="false" ht="15" hidden="false" customHeight="false" outlineLevel="0" collapsed="false">
      <c r="A120" s="9"/>
      <c r="B120" s="9"/>
      <c r="C120" s="14"/>
      <c r="D120" s="14"/>
      <c r="E120" s="14" t="n">
        <f aca="false">SUMIFS(CB_Tributaires!$C:$C,CB_Tributaires!$B:$B,$A120)</f>
        <v>0</v>
      </c>
      <c r="F120" s="14" t="n">
        <f aca="false">IF(D120="",E120,D120)</f>
        <v>0</v>
      </c>
      <c r="G120" s="9"/>
      <c r="H120" s="14"/>
      <c r="I120" s="14" t="str">
        <f aca="false">IF(A120="","",Inputs!$B$13/((IF(AS120="",Inputs!$B$18,AS120)+Inputs!$B$14)^Inputs!$B$15))</f>
        <v/>
      </c>
      <c r="J120" s="14" t="str">
        <f aca="false">IF(A120="","",0.000000278*IF(G120="",Inputs!$B$17,G120)*F120*I120)</f>
        <v/>
      </c>
      <c r="K120" s="14" t="str">
        <f aca="false">IF(A120="","",SUMIFS($L$4:$L$203,$B$4:$B$203,$A120))</f>
        <v/>
      </c>
      <c r="L120" s="14" t="str">
        <f aca="false">IF(A120="","",(J120+K120)*Inputs!$B$16)</f>
        <v/>
      </c>
      <c r="M120" s="14"/>
      <c r="N120" s="14" t="str">
        <f aca="false">IF(A120="","",IF(M120="",Inputs!$B$7,M120))</f>
        <v/>
      </c>
      <c r="O120" s="9" t="str">
        <f aca="false">IF(A120="","",IF(L120/Inputs!$B$10&lt;=AD120,Inputs!$F$5,IF(L120/Inputs!$B$10&gt;AM120,"OVERSIZE",INDEX(Inputs!$F$5:$F$14,MATCH(L120/Inputs!$B$10,AD120:AM120,1)+1))))</f>
        <v/>
      </c>
      <c r="P120" s="9"/>
      <c r="Q120" s="9" t="str">
        <f aca="false">IF(A120="","",IF(P120="",O120,P120))</f>
        <v/>
      </c>
      <c r="R120" s="14" t="str">
        <f aca="false">IF(OR(Q120="",Q120="OVERSIZE"),"",Q120/1000)</f>
        <v/>
      </c>
      <c r="S120" s="14" t="str">
        <f aca="false">IF(R120="","",(1/Inputs!$B$9)*(PI()*R120^2/4)*((R120/4)^(2/3))*SQRT(N120))</f>
        <v/>
      </c>
      <c r="T120" s="14" t="str">
        <f aca="false">IF(OR(S120="",L120=""),"",L120/(S120*Inputs!$B$10))</f>
        <v/>
      </c>
      <c r="U120" s="14" t="str">
        <f aca="false">IF(OR(R120="",L120=""),"",4*L120/(PI()*R120^2))</f>
        <v/>
      </c>
      <c r="V120" s="14"/>
      <c r="W120" s="14" t="str">
        <f aca="false">IF(A120="","",IF(A120=Inputs!$B$6,Inputs!$B$22,IF(B120="","",IFERROR(INDEX($X$4:$X$203,MATCH(B120,$A$4:$A$203,0))+IF(V120="",Inputs!$B$20,V120),""))))</f>
        <v/>
      </c>
      <c r="X120" s="14" t="str">
        <f aca="false">IF(OR(W120="",N120="",C120=""),"",W120+N120*C120)</f>
        <v/>
      </c>
      <c r="Y120" s="14"/>
      <c r="Z120" s="14"/>
      <c r="AA120" s="14" t="str">
        <f aca="false">IF(OR(Y120="",W120=""),"",Y120-W120)</f>
        <v/>
      </c>
      <c r="AB120" s="14" t="str">
        <f aca="false">IF(OR(Z120="",X120=""),"",Z120-X120)</f>
        <v/>
      </c>
      <c r="AC120" s="19" t="str">
        <f aca="false">IF(A120="","",IF(OR(T120&gt;1,AND(AV120&lt;&gt;"",AV120&lt;Inputs!$B$11),AND(AV120&lt;&gt;"",AV120&gt;Inputs!$B$12),AA120&lt;Inputs!$B$19,AB120&lt;Inputs!$B$19,N120&lt;Inputs!$B$7,N120&gt;Inputs!$B$8),"CHECK","OK"))</f>
        <v/>
      </c>
      <c r="AD120" s="9" t="str">
        <f aca="false">IF(A120="","",(1/Inputs!$B$9)*(PI()*(Inputs!$F$5/1000)^2/4)*((Inputs!$F$5/1000/4)^(2/3))*SQRT(N120))</f>
        <v/>
      </c>
      <c r="AE120" s="9" t="str">
        <f aca="false">IF(A120="","",(1/Inputs!$B$9)*(PI()*(Inputs!$F$6/1000)^2/4)*((Inputs!$F$6/1000/4)^(2/3))*SQRT(N120))</f>
        <v/>
      </c>
      <c r="AF120" s="9" t="str">
        <f aca="false">IF(A120="","",(1/Inputs!$B$9)*(PI()*(Inputs!$F$7/1000)^2/4)*((Inputs!$F$7/1000/4)^(2/3))*SQRT(N120))</f>
        <v/>
      </c>
      <c r="AG120" s="9" t="str">
        <f aca="false">IF(A120="","",(1/Inputs!$B$9)*(PI()*(Inputs!$F$8/1000)^2/4)*((Inputs!$F$8/1000/4)^(2/3))*SQRT(N120))</f>
        <v/>
      </c>
      <c r="AH120" s="9" t="str">
        <f aca="false">IF(A120="","",(1/Inputs!$B$9)*(PI()*(Inputs!$F$9/1000)^2/4)*((Inputs!$F$9/1000/4)^(2/3))*SQRT(N120))</f>
        <v/>
      </c>
      <c r="AI120" s="9" t="str">
        <f aca="false">IF(A120="","",(1/Inputs!$B$9)*(PI()*(Inputs!$F$10/1000)^2/4)*((Inputs!$F$10/1000/4)^(2/3))*SQRT(N120))</f>
        <v/>
      </c>
      <c r="AJ120" s="9" t="str">
        <f aca="false">IF(A120="","",(1/Inputs!$B$9)*(PI()*(Inputs!$F$11/1000)^2/4)*((Inputs!$F$11/1000/4)^(2/3))*SQRT(N120))</f>
        <v/>
      </c>
      <c r="AK120" s="9" t="str">
        <f aca="false">IF(A120="","",(1/Inputs!$B$9)*(PI()*(Inputs!$F$12/1000)^2/4)*((Inputs!$F$12/1000/4)^(2/3))*SQRT(N120))</f>
        <v/>
      </c>
      <c r="AL120" s="9" t="str">
        <f aca="false">IF(A120="","",(1/Inputs!$B$9)*(PI()*(Inputs!$F$13/1000)^2/4)*((Inputs!$F$13/1000/4)^(2/3))*SQRT(N120))</f>
        <v/>
      </c>
      <c r="AM120" s="9" t="str">
        <f aca="false">IF(A120="","",(1/Inputs!$B$9)*(PI()*(Inputs!$F$14/1000)^2/4)*((Inputs!$F$14/1000/4)^(2/3))*SQRT(N120))</f>
        <v/>
      </c>
      <c r="AN120" s="9" t="str">
        <f aca="false">IF(A120="","",COUNTIF($B$4:$B$203,$A120))</f>
        <v/>
      </c>
      <c r="AO120" s="9" t="str">
        <f aca="false">IF(A120="","",IF(AN120=0,"START","CONTINUOUS"))</f>
        <v/>
      </c>
      <c r="AP120" s="13" t="str">
        <f aca="false">IF(A120="","",IF(H120="",Inputs!$B$18,H120))</f>
        <v/>
      </c>
      <c r="AQ120" s="13" t="str">
        <f aca="false">IF(A120="","",IFERROR(maxifs($AS$4:$AS$203,$B$4:$B$203,$A120),""))</f>
        <v/>
      </c>
      <c r="AR120" s="13" t="str">
        <f aca="false">IF(A120="","",IF(OR(C120="",Inputs!$B$23=""),"",C120/(Inputs!$B$23*60)))</f>
        <v/>
      </c>
      <c r="AS120" s="13" t="str">
        <f aca="false">IF(A120="","",IF(AN120=0,AP120+AR120,IF(AQ120="",AP120+AR120,AQ120+AR120)))</f>
        <v/>
      </c>
      <c r="AT120" s="13" t="str">
        <f aca="false">IF(A120="","",U120)</f>
        <v/>
      </c>
      <c r="AU120" s="13" t="str">
        <f aca="false">IF(OR(R120="",N120=""),"",(1/Inputs!$B$9)*((R120/4)^(2/3))*SQRT(N120))</f>
        <v/>
      </c>
      <c r="AV120" s="13" t="str">
        <f aca="false">IF(A120="","",IF(AND(AT120="",AU120="",AX120=""),"",IF(OR(UPPER(TRIM(Inputs!$B$24))="MANNING",UPPER(TRIM(Inputs!$B$24))="M"),AU120,IF(OR(UPPER(TRIM(Inputs!$B$24))="PARTIAL",UPPER(TRIM(Inputs!$B$24))="P"),AX120,IF(OR(UPPER(TRIM(Inputs!$B$24))="MAX",UPPER(TRIM(Inputs!$B$24))="X"),MAX(IF(AT120="",0,AT120),IF(AU120="",0,AU120),IF(AX120="",0,AX120)),AT120)))))</f>
        <v/>
      </c>
      <c r="AW120" s="13" t="str">
        <f aca="false">IF(AY120="","",CE120)</f>
        <v/>
      </c>
      <c r="AX120" s="13" t="str">
        <f aca="false">IF(OR(AY120="",AW120="",R120="",R120&lt;=0,AW120&lt;=0),"",AY120/((R120^2/8)*(2*ACOS(1-2*AW120/R120)-SIN(2*ACOS(1-2*AW120/R120)))))</f>
        <v/>
      </c>
      <c r="AY120" s="9" t="str">
        <f aca="false">IF(OR(L120="",AZ120=""),"",MIN(L120,AZ120))</f>
        <v/>
      </c>
      <c r="AZ120" s="9" t="str">
        <f aca="false">IF(OR(L120="",R120="",N120=""),"",IF(OR(R120="",N120="",(0.94*R120)="",R120&lt;=0,(0.94*R120)&lt;=0),"",(1/Inputs!$B$9)*((R120^2/8)*((2*ACOS(1-2*(0.94*R120)/R120))-SIN((2*ACOS(1-2*(0.94*R120)/R120)))))*((((R120^2/8)*((2*ACOS(1-2*(0.94*R120)/R120))-SIN((2*ACOS(1-2*(0.94*R120)/R120)))))/((R120/2)*((2*ACOS(1-2*(0.94*R120)/R120)))))^(2/3))*SQRT(N120)))</f>
        <v/>
      </c>
      <c r="BA120" s="9" t="str">
        <f aca="false">IF(AY120="","",0.001*R120)</f>
        <v/>
      </c>
      <c r="BB120" s="9" t="str">
        <f aca="false">IF(AY120="","",0.94*R120)</f>
        <v/>
      </c>
      <c r="BC120" s="9" t="str">
        <f aca="false">IF(AY120="","",(BA120+BB120)/2)</f>
        <v/>
      </c>
      <c r="BD120" s="9" t="str">
        <f aca="false">IF(OR(R120="",N120="",BC120="",R120&lt;=0,BC120&lt;=0),"",(1/Inputs!$B$9)*((R120^2/8)*((2*ACOS(1-2*BC120/R120))-SIN((2*ACOS(1-2*BC120/R120)))))*((((R120^2/8)*((2*ACOS(1-2*BC120/R120))-SIN((2*ACOS(1-2*BC120/R120)))))/((R120/2)*((2*ACOS(1-2*BC120/R120)))))^(2/3))*SQRT(N120))</f>
        <v/>
      </c>
      <c r="BE120" s="9" t="str">
        <f aca="false">IF(AY120="","",IF(BD120&lt;AY120,BC120,BA120))</f>
        <v/>
      </c>
      <c r="BF120" s="9" t="str">
        <f aca="false">IF(AY120="","",IF(BD120&lt;AY120,BB120,BC120))</f>
        <v/>
      </c>
      <c r="BG120" s="9" t="str">
        <f aca="false">IF(AY120="","",(BE120+BF120)/2)</f>
        <v/>
      </c>
      <c r="BH120" s="9" t="str">
        <f aca="false">IF(OR(R120="",N120="",BG120="",R120&lt;=0,BG120&lt;=0),"",(1/Inputs!$B$9)*((R120^2/8)*((2*ACOS(1-2*BG120/R120))-SIN((2*ACOS(1-2*BG120/R120)))))*((((R120^2/8)*((2*ACOS(1-2*BG120/R120))-SIN((2*ACOS(1-2*BG120/R120)))))/((R120/2)*((2*ACOS(1-2*BG120/R120)))))^(2/3))*SQRT(N120))</f>
        <v/>
      </c>
      <c r="BI120" s="9" t="str">
        <f aca="false">IF(AY120="","",IF(BH120&lt;AY120,BG120,BE120))</f>
        <v/>
      </c>
      <c r="BJ120" s="9" t="str">
        <f aca="false">IF(AY120="","",IF(BH120&lt;AY120,BF120,BG120))</f>
        <v/>
      </c>
      <c r="BK120" s="9" t="str">
        <f aca="false">IF(AY120="","",(BI120+BJ120)/2)</f>
        <v/>
      </c>
      <c r="BL120" s="9" t="str">
        <f aca="false">IF(OR(R120="",N120="",BK120="",R120&lt;=0,BK120&lt;=0),"",(1/Inputs!$B$9)*((R120^2/8)*((2*ACOS(1-2*BK120/R120))-SIN((2*ACOS(1-2*BK120/R120)))))*((((R120^2/8)*((2*ACOS(1-2*BK120/R120))-SIN((2*ACOS(1-2*BK120/R120)))))/((R120/2)*((2*ACOS(1-2*BK120/R120)))))^(2/3))*SQRT(N120))</f>
        <v/>
      </c>
      <c r="BM120" s="9" t="str">
        <f aca="false">IF(AY120="","",IF(BL120&lt;AY120,BK120,BI120))</f>
        <v/>
      </c>
      <c r="BN120" s="9" t="str">
        <f aca="false">IF(AY120="","",IF(BL120&lt;AY120,BJ120,BK120))</f>
        <v/>
      </c>
      <c r="BO120" s="9" t="str">
        <f aca="false">IF(AY120="","",(BM120+BN120)/2)</f>
        <v/>
      </c>
      <c r="BP120" s="9" t="str">
        <f aca="false">IF(OR(R120="",N120="",BO120="",R120&lt;=0,BO120&lt;=0),"",(1/Inputs!$B$9)*((R120^2/8)*((2*ACOS(1-2*BO120/R120))-SIN((2*ACOS(1-2*BO120/R120)))))*((((R120^2/8)*((2*ACOS(1-2*BO120/R120))-SIN((2*ACOS(1-2*BO120/R120)))))/((R120/2)*((2*ACOS(1-2*BO120/R120)))))^(2/3))*SQRT(N120))</f>
        <v/>
      </c>
      <c r="BQ120" s="9" t="str">
        <f aca="false">IF(AY120="","",IF(BP120&lt;AY120,BO120,BM120))</f>
        <v/>
      </c>
      <c r="BR120" s="9" t="str">
        <f aca="false">IF(AY120="","",IF(BP120&lt;AY120,BN120,BO120))</f>
        <v/>
      </c>
      <c r="BS120" s="9" t="str">
        <f aca="false">IF(AY120="","",(BQ120+BR120)/2)</f>
        <v/>
      </c>
      <c r="BT120" s="9" t="str">
        <f aca="false">IF(OR(R120="",N120="",BS120="",R120&lt;=0,BS120&lt;=0),"",(1/Inputs!$B$9)*((R120^2/8)*((2*ACOS(1-2*BS120/R120))-SIN((2*ACOS(1-2*BS120/R120)))))*((((R120^2/8)*((2*ACOS(1-2*BS120/R120))-SIN((2*ACOS(1-2*BS120/R120)))))/((R120/2)*((2*ACOS(1-2*BS120/R120)))))^(2/3))*SQRT(N120))</f>
        <v/>
      </c>
      <c r="BU120" s="9" t="str">
        <f aca="false">IF(AY120="","",IF(BT120&lt;AY120,BS120,BQ120))</f>
        <v/>
      </c>
      <c r="BV120" s="9" t="str">
        <f aca="false">IF(AY120="","",IF(BT120&lt;AY120,BR120,BS120))</f>
        <v/>
      </c>
      <c r="BW120" s="9" t="str">
        <f aca="false">IF(AY120="","",(BU120+BV120)/2)</f>
        <v/>
      </c>
      <c r="BX120" s="9" t="str">
        <f aca="false">IF(OR(R120="",N120="",BW120="",R120&lt;=0,BW120&lt;=0),"",(1/Inputs!$B$9)*((R120^2/8)*((2*ACOS(1-2*BW120/R120))-SIN((2*ACOS(1-2*BW120/R120)))))*((((R120^2/8)*((2*ACOS(1-2*BW120/R120))-SIN((2*ACOS(1-2*BW120/R120)))))/((R120/2)*((2*ACOS(1-2*BW120/R120)))))^(2/3))*SQRT(N120))</f>
        <v/>
      </c>
      <c r="BY120" s="9" t="str">
        <f aca="false">IF(AY120="","",IF(BX120&lt;AY120,BW120,BU120))</f>
        <v/>
      </c>
      <c r="BZ120" s="9" t="str">
        <f aca="false">IF(AY120="","",IF(BX120&lt;AY120,BV120,BW120))</f>
        <v/>
      </c>
      <c r="CA120" s="9" t="str">
        <f aca="false">IF(AY120="","",(BY120+BZ120)/2)</f>
        <v/>
      </c>
      <c r="CB120" s="9" t="str">
        <f aca="false">IF(OR(R120="",N120="",CA120="",R120&lt;=0,CA120&lt;=0),"",(1/Inputs!$B$9)*((R120^2/8)*((2*ACOS(1-2*CA120/R120))-SIN((2*ACOS(1-2*CA120/R120)))))*((((R120^2/8)*((2*ACOS(1-2*CA120/R120))-SIN((2*ACOS(1-2*CA120/R120)))))/((R120/2)*((2*ACOS(1-2*CA120/R120)))))^(2/3))*SQRT(N120))</f>
        <v/>
      </c>
      <c r="CC120" s="9" t="str">
        <f aca="false">IF(AY120="","",IF(CB120&lt;AY120,CA120,BY120))</f>
        <v/>
      </c>
      <c r="CD120" s="9" t="str">
        <f aca="false">IF(AY120="","",IF(CB120&lt;AY120,BZ120,CA120))</f>
        <v/>
      </c>
      <c r="CE120" s="9" t="str">
        <f aca="false">IF(AY120="","",(CC120+CD120)/2)</f>
        <v/>
      </c>
    </row>
    <row r="121" customFormat="false" ht="15" hidden="false" customHeight="false" outlineLevel="0" collapsed="false">
      <c r="A121" s="9"/>
      <c r="B121" s="9"/>
      <c r="C121" s="14"/>
      <c r="D121" s="14"/>
      <c r="E121" s="14" t="n">
        <f aca="false">SUMIFS(CB_Tributaires!$C:$C,CB_Tributaires!$B:$B,$A121)</f>
        <v>0</v>
      </c>
      <c r="F121" s="14" t="n">
        <f aca="false">IF(D121="",E121,D121)</f>
        <v>0</v>
      </c>
      <c r="G121" s="9"/>
      <c r="H121" s="14"/>
      <c r="I121" s="14" t="str">
        <f aca="false">IF(A121="","",Inputs!$B$13/((IF(AS121="",Inputs!$B$18,AS121)+Inputs!$B$14)^Inputs!$B$15))</f>
        <v/>
      </c>
      <c r="J121" s="14" t="str">
        <f aca="false">IF(A121="","",0.000000278*IF(G121="",Inputs!$B$17,G121)*F121*I121)</f>
        <v/>
      </c>
      <c r="K121" s="14" t="str">
        <f aca="false">IF(A121="","",SUMIFS($L$4:$L$203,$B$4:$B$203,$A121))</f>
        <v/>
      </c>
      <c r="L121" s="14" t="str">
        <f aca="false">IF(A121="","",(J121+K121)*Inputs!$B$16)</f>
        <v/>
      </c>
      <c r="M121" s="14"/>
      <c r="N121" s="14" t="str">
        <f aca="false">IF(A121="","",IF(M121="",Inputs!$B$7,M121))</f>
        <v/>
      </c>
      <c r="O121" s="9" t="str">
        <f aca="false">IF(A121="","",IF(L121/Inputs!$B$10&lt;=AD121,Inputs!$F$5,IF(L121/Inputs!$B$10&gt;AM121,"OVERSIZE",INDEX(Inputs!$F$5:$F$14,MATCH(L121/Inputs!$B$10,AD121:AM121,1)+1))))</f>
        <v/>
      </c>
      <c r="P121" s="9"/>
      <c r="Q121" s="9" t="str">
        <f aca="false">IF(A121="","",IF(P121="",O121,P121))</f>
        <v/>
      </c>
      <c r="R121" s="14" t="str">
        <f aca="false">IF(OR(Q121="",Q121="OVERSIZE"),"",Q121/1000)</f>
        <v/>
      </c>
      <c r="S121" s="14" t="str">
        <f aca="false">IF(R121="","",(1/Inputs!$B$9)*(PI()*R121^2/4)*((R121/4)^(2/3))*SQRT(N121))</f>
        <v/>
      </c>
      <c r="T121" s="14" t="str">
        <f aca="false">IF(OR(S121="",L121=""),"",L121/(S121*Inputs!$B$10))</f>
        <v/>
      </c>
      <c r="U121" s="14" t="str">
        <f aca="false">IF(OR(R121="",L121=""),"",4*L121/(PI()*R121^2))</f>
        <v/>
      </c>
      <c r="V121" s="14"/>
      <c r="W121" s="14" t="str">
        <f aca="false">IF(A121="","",IF(A121=Inputs!$B$6,Inputs!$B$22,IF(B121="","",IFERROR(INDEX($X$4:$X$203,MATCH(B121,$A$4:$A$203,0))+IF(V121="",Inputs!$B$20,V121),""))))</f>
        <v/>
      </c>
      <c r="X121" s="14" t="str">
        <f aca="false">IF(OR(W121="",N121="",C121=""),"",W121+N121*C121)</f>
        <v/>
      </c>
      <c r="Y121" s="14"/>
      <c r="Z121" s="14"/>
      <c r="AA121" s="14" t="str">
        <f aca="false">IF(OR(Y121="",W121=""),"",Y121-W121)</f>
        <v/>
      </c>
      <c r="AB121" s="14" t="str">
        <f aca="false">IF(OR(Z121="",X121=""),"",Z121-X121)</f>
        <v/>
      </c>
      <c r="AC121" s="19" t="str">
        <f aca="false">IF(A121="","",IF(OR(T121&gt;1,AND(AV121&lt;&gt;"",AV121&lt;Inputs!$B$11),AND(AV121&lt;&gt;"",AV121&gt;Inputs!$B$12),AA121&lt;Inputs!$B$19,AB121&lt;Inputs!$B$19,N121&lt;Inputs!$B$7,N121&gt;Inputs!$B$8),"CHECK","OK"))</f>
        <v/>
      </c>
      <c r="AD121" s="9" t="str">
        <f aca="false">IF(A121="","",(1/Inputs!$B$9)*(PI()*(Inputs!$F$5/1000)^2/4)*((Inputs!$F$5/1000/4)^(2/3))*SQRT(N121))</f>
        <v/>
      </c>
      <c r="AE121" s="9" t="str">
        <f aca="false">IF(A121="","",(1/Inputs!$B$9)*(PI()*(Inputs!$F$6/1000)^2/4)*((Inputs!$F$6/1000/4)^(2/3))*SQRT(N121))</f>
        <v/>
      </c>
      <c r="AF121" s="9" t="str">
        <f aca="false">IF(A121="","",(1/Inputs!$B$9)*(PI()*(Inputs!$F$7/1000)^2/4)*((Inputs!$F$7/1000/4)^(2/3))*SQRT(N121))</f>
        <v/>
      </c>
      <c r="AG121" s="9" t="str">
        <f aca="false">IF(A121="","",(1/Inputs!$B$9)*(PI()*(Inputs!$F$8/1000)^2/4)*((Inputs!$F$8/1000/4)^(2/3))*SQRT(N121))</f>
        <v/>
      </c>
      <c r="AH121" s="9" t="str">
        <f aca="false">IF(A121="","",(1/Inputs!$B$9)*(PI()*(Inputs!$F$9/1000)^2/4)*((Inputs!$F$9/1000/4)^(2/3))*SQRT(N121))</f>
        <v/>
      </c>
      <c r="AI121" s="9" t="str">
        <f aca="false">IF(A121="","",(1/Inputs!$B$9)*(PI()*(Inputs!$F$10/1000)^2/4)*((Inputs!$F$10/1000/4)^(2/3))*SQRT(N121))</f>
        <v/>
      </c>
      <c r="AJ121" s="9" t="str">
        <f aca="false">IF(A121="","",(1/Inputs!$B$9)*(PI()*(Inputs!$F$11/1000)^2/4)*((Inputs!$F$11/1000/4)^(2/3))*SQRT(N121))</f>
        <v/>
      </c>
      <c r="AK121" s="9" t="str">
        <f aca="false">IF(A121="","",(1/Inputs!$B$9)*(PI()*(Inputs!$F$12/1000)^2/4)*((Inputs!$F$12/1000/4)^(2/3))*SQRT(N121))</f>
        <v/>
      </c>
      <c r="AL121" s="9" t="str">
        <f aca="false">IF(A121="","",(1/Inputs!$B$9)*(PI()*(Inputs!$F$13/1000)^2/4)*((Inputs!$F$13/1000/4)^(2/3))*SQRT(N121))</f>
        <v/>
      </c>
      <c r="AM121" s="9" t="str">
        <f aca="false">IF(A121="","",(1/Inputs!$B$9)*(PI()*(Inputs!$F$14/1000)^2/4)*((Inputs!$F$14/1000/4)^(2/3))*SQRT(N121))</f>
        <v/>
      </c>
      <c r="AN121" s="9" t="str">
        <f aca="false">IF(A121="","",COUNTIF($B$4:$B$203,$A121))</f>
        <v/>
      </c>
      <c r="AO121" s="9" t="str">
        <f aca="false">IF(A121="","",IF(AN121=0,"START","CONTINUOUS"))</f>
        <v/>
      </c>
      <c r="AP121" s="13" t="str">
        <f aca="false">IF(A121="","",IF(H121="",Inputs!$B$18,H121))</f>
        <v/>
      </c>
      <c r="AQ121" s="13" t="str">
        <f aca="false">IF(A121="","",IFERROR(maxifs($AS$4:$AS$203,$B$4:$B$203,$A121),""))</f>
        <v/>
      </c>
      <c r="AR121" s="13" t="str">
        <f aca="false">IF(A121="","",IF(OR(C121="",Inputs!$B$23=""),"",C121/(Inputs!$B$23*60)))</f>
        <v/>
      </c>
      <c r="AS121" s="13" t="str">
        <f aca="false">IF(A121="","",IF(AN121=0,AP121+AR121,IF(AQ121="",AP121+AR121,AQ121+AR121)))</f>
        <v/>
      </c>
      <c r="AT121" s="13" t="str">
        <f aca="false">IF(A121="","",U121)</f>
        <v/>
      </c>
      <c r="AU121" s="13" t="str">
        <f aca="false">IF(OR(R121="",N121=""),"",(1/Inputs!$B$9)*((R121/4)^(2/3))*SQRT(N121))</f>
        <v/>
      </c>
      <c r="AV121" s="13" t="str">
        <f aca="false">IF(A121="","",IF(AND(AT121="",AU121="",AX121=""),"",IF(OR(UPPER(TRIM(Inputs!$B$24))="MANNING",UPPER(TRIM(Inputs!$B$24))="M"),AU121,IF(OR(UPPER(TRIM(Inputs!$B$24))="PARTIAL",UPPER(TRIM(Inputs!$B$24))="P"),AX121,IF(OR(UPPER(TRIM(Inputs!$B$24))="MAX",UPPER(TRIM(Inputs!$B$24))="X"),MAX(IF(AT121="",0,AT121),IF(AU121="",0,AU121),IF(AX121="",0,AX121)),AT121)))))</f>
        <v/>
      </c>
      <c r="AW121" s="13" t="str">
        <f aca="false">IF(AY121="","",CE121)</f>
        <v/>
      </c>
      <c r="AX121" s="13" t="str">
        <f aca="false">IF(OR(AY121="",AW121="",R121="",R121&lt;=0,AW121&lt;=0),"",AY121/((R121^2/8)*(2*ACOS(1-2*AW121/R121)-SIN(2*ACOS(1-2*AW121/R121)))))</f>
        <v/>
      </c>
      <c r="AY121" s="9" t="str">
        <f aca="false">IF(OR(L121="",AZ121=""),"",MIN(L121,AZ121))</f>
        <v/>
      </c>
      <c r="AZ121" s="9" t="str">
        <f aca="false">IF(OR(L121="",R121="",N121=""),"",IF(OR(R121="",N121="",(0.94*R121)="",R121&lt;=0,(0.94*R121)&lt;=0),"",(1/Inputs!$B$9)*((R121^2/8)*((2*ACOS(1-2*(0.94*R121)/R121))-SIN((2*ACOS(1-2*(0.94*R121)/R121)))))*((((R121^2/8)*((2*ACOS(1-2*(0.94*R121)/R121))-SIN((2*ACOS(1-2*(0.94*R121)/R121)))))/((R121/2)*((2*ACOS(1-2*(0.94*R121)/R121)))))^(2/3))*SQRT(N121)))</f>
        <v/>
      </c>
      <c r="BA121" s="9" t="str">
        <f aca="false">IF(AY121="","",0.001*R121)</f>
        <v/>
      </c>
      <c r="BB121" s="9" t="str">
        <f aca="false">IF(AY121="","",0.94*R121)</f>
        <v/>
      </c>
      <c r="BC121" s="9" t="str">
        <f aca="false">IF(AY121="","",(BA121+BB121)/2)</f>
        <v/>
      </c>
      <c r="BD121" s="9" t="str">
        <f aca="false">IF(OR(R121="",N121="",BC121="",R121&lt;=0,BC121&lt;=0),"",(1/Inputs!$B$9)*((R121^2/8)*((2*ACOS(1-2*BC121/R121))-SIN((2*ACOS(1-2*BC121/R121)))))*((((R121^2/8)*((2*ACOS(1-2*BC121/R121))-SIN((2*ACOS(1-2*BC121/R121)))))/((R121/2)*((2*ACOS(1-2*BC121/R121)))))^(2/3))*SQRT(N121))</f>
        <v/>
      </c>
      <c r="BE121" s="9" t="str">
        <f aca="false">IF(AY121="","",IF(BD121&lt;AY121,BC121,BA121))</f>
        <v/>
      </c>
      <c r="BF121" s="9" t="str">
        <f aca="false">IF(AY121="","",IF(BD121&lt;AY121,BB121,BC121))</f>
        <v/>
      </c>
      <c r="BG121" s="9" t="str">
        <f aca="false">IF(AY121="","",(BE121+BF121)/2)</f>
        <v/>
      </c>
      <c r="BH121" s="9" t="str">
        <f aca="false">IF(OR(R121="",N121="",BG121="",R121&lt;=0,BG121&lt;=0),"",(1/Inputs!$B$9)*((R121^2/8)*((2*ACOS(1-2*BG121/R121))-SIN((2*ACOS(1-2*BG121/R121)))))*((((R121^2/8)*((2*ACOS(1-2*BG121/R121))-SIN((2*ACOS(1-2*BG121/R121)))))/((R121/2)*((2*ACOS(1-2*BG121/R121)))))^(2/3))*SQRT(N121))</f>
        <v/>
      </c>
      <c r="BI121" s="9" t="str">
        <f aca="false">IF(AY121="","",IF(BH121&lt;AY121,BG121,BE121))</f>
        <v/>
      </c>
      <c r="BJ121" s="9" t="str">
        <f aca="false">IF(AY121="","",IF(BH121&lt;AY121,BF121,BG121))</f>
        <v/>
      </c>
      <c r="BK121" s="9" t="str">
        <f aca="false">IF(AY121="","",(BI121+BJ121)/2)</f>
        <v/>
      </c>
      <c r="BL121" s="9" t="str">
        <f aca="false">IF(OR(R121="",N121="",BK121="",R121&lt;=0,BK121&lt;=0),"",(1/Inputs!$B$9)*((R121^2/8)*((2*ACOS(1-2*BK121/R121))-SIN((2*ACOS(1-2*BK121/R121)))))*((((R121^2/8)*((2*ACOS(1-2*BK121/R121))-SIN((2*ACOS(1-2*BK121/R121)))))/((R121/2)*((2*ACOS(1-2*BK121/R121)))))^(2/3))*SQRT(N121))</f>
        <v/>
      </c>
      <c r="BM121" s="9" t="str">
        <f aca="false">IF(AY121="","",IF(BL121&lt;AY121,BK121,BI121))</f>
        <v/>
      </c>
      <c r="BN121" s="9" t="str">
        <f aca="false">IF(AY121="","",IF(BL121&lt;AY121,BJ121,BK121))</f>
        <v/>
      </c>
      <c r="BO121" s="9" t="str">
        <f aca="false">IF(AY121="","",(BM121+BN121)/2)</f>
        <v/>
      </c>
      <c r="BP121" s="9" t="str">
        <f aca="false">IF(OR(R121="",N121="",BO121="",R121&lt;=0,BO121&lt;=0),"",(1/Inputs!$B$9)*((R121^2/8)*((2*ACOS(1-2*BO121/R121))-SIN((2*ACOS(1-2*BO121/R121)))))*((((R121^2/8)*((2*ACOS(1-2*BO121/R121))-SIN((2*ACOS(1-2*BO121/R121)))))/((R121/2)*((2*ACOS(1-2*BO121/R121)))))^(2/3))*SQRT(N121))</f>
        <v/>
      </c>
      <c r="BQ121" s="9" t="str">
        <f aca="false">IF(AY121="","",IF(BP121&lt;AY121,BO121,BM121))</f>
        <v/>
      </c>
      <c r="BR121" s="9" t="str">
        <f aca="false">IF(AY121="","",IF(BP121&lt;AY121,BN121,BO121))</f>
        <v/>
      </c>
      <c r="BS121" s="9" t="str">
        <f aca="false">IF(AY121="","",(BQ121+BR121)/2)</f>
        <v/>
      </c>
      <c r="BT121" s="9" t="str">
        <f aca="false">IF(OR(R121="",N121="",BS121="",R121&lt;=0,BS121&lt;=0),"",(1/Inputs!$B$9)*((R121^2/8)*((2*ACOS(1-2*BS121/R121))-SIN((2*ACOS(1-2*BS121/R121)))))*((((R121^2/8)*((2*ACOS(1-2*BS121/R121))-SIN((2*ACOS(1-2*BS121/R121)))))/((R121/2)*((2*ACOS(1-2*BS121/R121)))))^(2/3))*SQRT(N121))</f>
        <v/>
      </c>
      <c r="BU121" s="9" t="str">
        <f aca="false">IF(AY121="","",IF(BT121&lt;AY121,BS121,BQ121))</f>
        <v/>
      </c>
      <c r="BV121" s="9" t="str">
        <f aca="false">IF(AY121="","",IF(BT121&lt;AY121,BR121,BS121))</f>
        <v/>
      </c>
      <c r="BW121" s="9" t="str">
        <f aca="false">IF(AY121="","",(BU121+BV121)/2)</f>
        <v/>
      </c>
      <c r="BX121" s="9" t="str">
        <f aca="false">IF(OR(R121="",N121="",BW121="",R121&lt;=0,BW121&lt;=0),"",(1/Inputs!$B$9)*((R121^2/8)*((2*ACOS(1-2*BW121/R121))-SIN((2*ACOS(1-2*BW121/R121)))))*((((R121^2/8)*((2*ACOS(1-2*BW121/R121))-SIN((2*ACOS(1-2*BW121/R121)))))/((R121/2)*((2*ACOS(1-2*BW121/R121)))))^(2/3))*SQRT(N121))</f>
        <v/>
      </c>
      <c r="BY121" s="9" t="str">
        <f aca="false">IF(AY121="","",IF(BX121&lt;AY121,BW121,BU121))</f>
        <v/>
      </c>
      <c r="BZ121" s="9" t="str">
        <f aca="false">IF(AY121="","",IF(BX121&lt;AY121,BV121,BW121))</f>
        <v/>
      </c>
      <c r="CA121" s="9" t="str">
        <f aca="false">IF(AY121="","",(BY121+BZ121)/2)</f>
        <v/>
      </c>
      <c r="CB121" s="9" t="str">
        <f aca="false">IF(OR(R121="",N121="",CA121="",R121&lt;=0,CA121&lt;=0),"",(1/Inputs!$B$9)*((R121^2/8)*((2*ACOS(1-2*CA121/R121))-SIN((2*ACOS(1-2*CA121/R121)))))*((((R121^2/8)*((2*ACOS(1-2*CA121/R121))-SIN((2*ACOS(1-2*CA121/R121)))))/((R121/2)*((2*ACOS(1-2*CA121/R121)))))^(2/3))*SQRT(N121))</f>
        <v/>
      </c>
      <c r="CC121" s="9" t="str">
        <f aca="false">IF(AY121="","",IF(CB121&lt;AY121,CA121,BY121))</f>
        <v/>
      </c>
      <c r="CD121" s="9" t="str">
        <f aca="false">IF(AY121="","",IF(CB121&lt;AY121,BZ121,CA121))</f>
        <v/>
      </c>
      <c r="CE121" s="9" t="str">
        <f aca="false">IF(AY121="","",(CC121+CD121)/2)</f>
        <v/>
      </c>
    </row>
    <row r="122" customFormat="false" ht="15" hidden="false" customHeight="false" outlineLevel="0" collapsed="false">
      <c r="A122" s="9"/>
      <c r="B122" s="9"/>
      <c r="C122" s="14"/>
      <c r="D122" s="14"/>
      <c r="E122" s="14" t="n">
        <f aca="false">SUMIFS(CB_Tributaires!$C:$C,CB_Tributaires!$B:$B,$A122)</f>
        <v>0</v>
      </c>
      <c r="F122" s="14" t="n">
        <f aca="false">IF(D122="",E122,D122)</f>
        <v>0</v>
      </c>
      <c r="G122" s="9"/>
      <c r="H122" s="14"/>
      <c r="I122" s="14" t="str">
        <f aca="false">IF(A122="","",Inputs!$B$13/((IF(AS122="",Inputs!$B$18,AS122)+Inputs!$B$14)^Inputs!$B$15))</f>
        <v/>
      </c>
      <c r="J122" s="14" t="str">
        <f aca="false">IF(A122="","",0.000000278*IF(G122="",Inputs!$B$17,G122)*F122*I122)</f>
        <v/>
      </c>
      <c r="K122" s="14" t="str">
        <f aca="false">IF(A122="","",SUMIFS($L$4:$L$203,$B$4:$B$203,$A122))</f>
        <v/>
      </c>
      <c r="L122" s="14" t="str">
        <f aca="false">IF(A122="","",(J122+K122)*Inputs!$B$16)</f>
        <v/>
      </c>
      <c r="M122" s="14"/>
      <c r="N122" s="14" t="str">
        <f aca="false">IF(A122="","",IF(M122="",Inputs!$B$7,M122))</f>
        <v/>
      </c>
      <c r="O122" s="9" t="str">
        <f aca="false">IF(A122="","",IF(L122/Inputs!$B$10&lt;=AD122,Inputs!$F$5,IF(L122/Inputs!$B$10&gt;AM122,"OVERSIZE",INDEX(Inputs!$F$5:$F$14,MATCH(L122/Inputs!$B$10,AD122:AM122,1)+1))))</f>
        <v/>
      </c>
      <c r="P122" s="9"/>
      <c r="Q122" s="9" t="str">
        <f aca="false">IF(A122="","",IF(P122="",O122,P122))</f>
        <v/>
      </c>
      <c r="R122" s="14" t="str">
        <f aca="false">IF(OR(Q122="",Q122="OVERSIZE"),"",Q122/1000)</f>
        <v/>
      </c>
      <c r="S122" s="14" t="str">
        <f aca="false">IF(R122="","",(1/Inputs!$B$9)*(PI()*R122^2/4)*((R122/4)^(2/3))*SQRT(N122))</f>
        <v/>
      </c>
      <c r="T122" s="14" t="str">
        <f aca="false">IF(OR(S122="",L122=""),"",L122/(S122*Inputs!$B$10))</f>
        <v/>
      </c>
      <c r="U122" s="14" t="str">
        <f aca="false">IF(OR(R122="",L122=""),"",4*L122/(PI()*R122^2))</f>
        <v/>
      </c>
      <c r="V122" s="14"/>
      <c r="W122" s="14" t="str">
        <f aca="false">IF(A122="","",IF(A122=Inputs!$B$6,Inputs!$B$22,IF(B122="","",IFERROR(INDEX($X$4:$X$203,MATCH(B122,$A$4:$A$203,0))+IF(V122="",Inputs!$B$20,V122),""))))</f>
        <v/>
      </c>
      <c r="X122" s="14" t="str">
        <f aca="false">IF(OR(W122="",N122="",C122=""),"",W122+N122*C122)</f>
        <v/>
      </c>
      <c r="Y122" s="14"/>
      <c r="Z122" s="14"/>
      <c r="AA122" s="14" t="str">
        <f aca="false">IF(OR(Y122="",W122=""),"",Y122-W122)</f>
        <v/>
      </c>
      <c r="AB122" s="14" t="str">
        <f aca="false">IF(OR(Z122="",X122=""),"",Z122-X122)</f>
        <v/>
      </c>
      <c r="AC122" s="19" t="str">
        <f aca="false">IF(A122="","",IF(OR(T122&gt;1,AND(AV122&lt;&gt;"",AV122&lt;Inputs!$B$11),AND(AV122&lt;&gt;"",AV122&gt;Inputs!$B$12),AA122&lt;Inputs!$B$19,AB122&lt;Inputs!$B$19,N122&lt;Inputs!$B$7,N122&gt;Inputs!$B$8),"CHECK","OK"))</f>
        <v/>
      </c>
      <c r="AD122" s="9" t="str">
        <f aca="false">IF(A122="","",(1/Inputs!$B$9)*(PI()*(Inputs!$F$5/1000)^2/4)*((Inputs!$F$5/1000/4)^(2/3))*SQRT(N122))</f>
        <v/>
      </c>
      <c r="AE122" s="9" t="str">
        <f aca="false">IF(A122="","",(1/Inputs!$B$9)*(PI()*(Inputs!$F$6/1000)^2/4)*((Inputs!$F$6/1000/4)^(2/3))*SQRT(N122))</f>
        <v/>
      </c>
      <c r="AF122" s="9" t="str">
        <f aca="false">IF(A122="","",(1/Inputs!$B$9)*(PI()*(Inputs!$F$7/1000)^2/4)*((Inputs!$F$7/1000/4)^(2/3))*SQRT(N122))</f>
        <v/>
      </c>
      <c r="AG122" s="9" t="str">
        <f aca="false">IF(A122="","",(1/Inputs!$B$9)*(PI()*(Inputs!$F$8/1000)^2/4)*((Inputs!$F$8/1000/4)^(2/3))*SQRT(N122))</f>
        <v/>
      </c>
      <c r="AH122" s="9" t="str">
        <f aca="false">IF(A122="","",(1/Inputs!$B$9)*(PI()*(Inputs!$F$9/1000)^2/4)*((Inputs!$F$9/1000/4)^(2/3))*SQRT(N122))</f>
        <v/>
      </c>
      <c r="AI122" s="9" t="str">
        <f aca="false">IF(A122="","",(1/Inputs!$B$9)*(PI()*(Inputs!$F$10/1000)^2/4)*((Inputs!$F$10/1000/4)^(2/3))*SQRT(N122))</f>
        <v/>
      </c>
      <c r="AJ122" s="9" t="str">
        <f aca="false">IF(A122="","",(1/Inputs!$B$9)*(PI()*(Inputs!$F$11/1000)^2/4)*((Inputs!$F$11/1000/4)^(2/3))*SQRT(N122))</f>
        <v/>
      </c>
      <c r="AK122" s="9" t="str">
        <f aca="false">IF(A122="","",(1/Inputs!$B$9)*(PI()*(Inputs!$F$12/1000)^2/4)*((Inputs!$F$12/1000/4)^(2/3))*SQRT(N122))</f>
        <v/>
      </c>
      <c r="AL122" s="9" t="str">
        <f aca="false">IF(A122="","",(1/Inputs!$B$9)*(PI()*(Inputs!$F$13/1000)^2/4)*((Inputs!$F$13/1000/4)^(2/3))*SQRT(N122))</f>
        <v/>
      </c>
      <c r="AM122" s="9" t="str">
        <f aca="false">IF(A122="","",(1/Inputs!$B$9)*(PI()*(Inputs!$F$14/1000)^2/4)*((Inputs!$F$14/1000/4)^(2/3))*SQRT(N122))</f>
        <v/>
      </c>
      <c r="AN122" s="9" t="str">
        <f aca="false">IF(A122="","",COUNTIF($B$4:$B$203,$A122))</f>
        <v/>
      </c>
      <c r="AO122" s="9" t="str">
        <f aca="false">IF(A122="","",IF(AN122=0,"START","CONTINUOUS"))</f>
        <v/>
      </c>
      <c r="AP122" s="13" t="str">
        <f aca="false">IF(A122="","",IF(H122="",Inputs!$B$18,H122))</f>
        <v/>
      </c>
      <c r="AQ122" s="13" t="str">
        <f aca="false">IF(A122="","",IFERROR(maxifs($AS$4:$AS$203,$B$4:$B$203,$A122),""))</f>
        <v/>
      </c>
      <c r="AR122" s="13" t="str">
        <f aca="false">IF(A122="","",IF(OR(C122="",Inputs!$B$23=""),"",C122/(Inputs!$B$23*60)))</f>
        <v/>
      </c>
      <c r="AS122" s="13" t="str">
        <f aca="false">IF(A122="","",IF(AN122=0,AP122+AR122,IF(AQ122="",AP122+AR122,AQ122+AR122)))</f>
        <v/>
      </c>
      <c r="AT122" s="13" t="str">
        <f aca="false">IF(A122="","",U122)</f>
        <v/>
      </c>
      <c r="AU122" s="13" t="str">
        <f aca="false">IF(OR(R122="",N122=""),"",(1/Inputs!$B$9)*((R122/4)^(2/3))*SQRT(N122))</f>
        <v/>
      </c>
      <c r="AV122" s="13" t="str">
        <f aca="false">IF(A122="","",IF(AND(AT122="",AU122="",AX122=""),"",IF(OR(UPPER(TRIM(Inputs!$B$24))="MANNING",UPPER(TRIM(Inputs!$B$24))="M"),AU122,IF(OR(UPPER(TRIM(Inputs!$B$24))="PARTIAL",UPPER(TRIM(Inputs!$B$24))="P"),AX122,IF(OR(UPPER(TRIM(Inputs!$B$24))="MAX",UPPER(TRIM(Inputs!$B$24))="X"),MAX(IF(AT122="",0,AT122),IF(AU122="",0,AU122),IF(AX122="",0,AX122)),AT122)))))</f>
        <v/>
      </c>
      <c r="AW122" s="13" t="str">
        <f aca="false">IF(AY122="","",CE122)</f>
        <v/>
      </c>
      <c r="AX122" s="13" t="str">
        <f aca="false">IF(OR(AY122="",AW122="",R122="",R122&lt;=0,AW122&lt;=0),"",AY122/((R122^2/8)*(2*ACOS(1-2*AW122/R122)-SIN(2*ACOS(1-2*AW122/R122)))))</f>
        <v/>
      </c>
      <c r="AY122" s="9" t="str">
        <f aca="false">IF(OR(L122="",AZ122=""),"",MIN(L122,AZ122))</f>
        <v/>
      </c>
      <c r="AZ122" s="9" t="str">
        <f aca="false">IF(OR(L122="",R122="",N122=""),"",IF(OR(R122="",N122="",(0.94*R122)="",R122&lt;=0,(0.94*R122)&lt;=0),"",(1/Inputs!$B$9)*((R122^2/8)*((2*ACOS(1-2*(0.94*R122)/R122))-SIN((2*ACOS(1-2*(0.94*R122)/R122)))))*((((R122^2/8)*((2*ACOS(1-2*(0.94*R122)/R122))-SIN((2*ACOS(1-2*(0.94*R122)/R122)))))/((R122/2)*((2*ACOS(1-2*(0.94*R122)/R122)))))^(2/3))*SQRT(N122)))</f>
        <v/>
      </c>
      <c r="BA122" s="9" t="str">
        <f aca="false">IF(AY122="","",0.001*R122)</f>
        <v/>
      </c>
      <c r="BB122" s="9" t="str">
        <f aca="false">IF(AY122="","",0.94*R122)</f>
        <v/>
      </c>
      <c r="BC122" s="9" t="str">
        <f aca="false">IF(AY122="","",(BA122+BB122)/2)</f>
        <v/>
      </c>
      <c r="BD122" s="9" t="str">
        <f aca="false">IF(OR(R122="",N122="",BC122="",R122&lt;=0,BC122&lt;=0),"",(1/Inputs!$B$9)*((R122^2/8)*((2*ACOS(1-2*BC122/R122))-SIN((2*ACOS(1-2*BC122/R122)))))*((((R122^2/8)*((2*ACOS(1-2*BC122/R122))-SIN((2*ACOS(1-2*BC122/R122)))))/((R122/2)*((2*ACOS(1-2*BC122/R122)))))^(2/3))*SQRT(N122))</f>
        <v/>
      </c>
      <c r="BE122" s="9" t="str">
        <f aca="false">IF(AY122="","",IF(BD122&lt;AY122,BC122,BA122))</f>
        <v/>
      </c>
      <c r="BF122" s="9" t="str">
        <f aca="false">IF(AY122="","",IF(BD122&lt;AY122,BB122,BC122))</f>
        <v/>
      </c>
      <c r="BG122" s="9" t="str">
        <f aca="false">IF(AY122="","",(BE122+BF122)/2)</f>
        <v/>
      </c>
      <c r="BH122" s="9" t="str">
        <f aca="false">IF(OR(R122="",N122="",BG122="",R122&lt;=0,BG122&lt;=0),"",(1/Inputs!$B$9)*((R122^2/8)*((2*ACOS(1-2*BG122/R122))-SIN((2*ACOS(1-2*BG122/R122)))))*((((R122^2/8)*((2*ACOS(1-2*BG122/R122))-SIN((2*ACOS(1-2*BG122/R122)))))/((R122/2)*((2*ACOS(1-2*BG122/R122)))))^(2/3))*SQRT(N122))</f>
        <v/>
      </c>
      <c r="BI122" s="9" t="str">
        <f aca="false">IF(AY122="","",IF(BH122&lt;AY122,BG122,BE122))</f>
        <v/>
      </c>
      <c r="BJ122" s="9" t="str">
        <f aca="false">IF(AY122="","",IF(BH122&lt;AY122,BF122,BG122))</f>
        <v/>
      </c>
      <c r="BK122" s="9" t="str">
        <f aca="false">IF(AY122="","",(BI122+BJ122)/2)</f>
        <v/>
      </c>
      <c r="BL122" s="9" t="str">
        <f aca="false">IF(OR(R122="",N122="",BK122="",R122&lt;=0,BK122&lt;=0),"",(1/Inputs!$B$9)*((R122^2/8)*((2*ACOS(1-2*BK122/R122))-SIN((2*ACOS(1-2*BK122/R122)))))*((((R122^2/8)*((2*ACOS(1-2*BK122/R122))-SIN((2*ACOS(1-2*BK122/R122)))))/((R122/2)*((2*ACOS(1-2*BK122/R122)))))^(2/3))*SQRT(N122))</f>
        <v/>
      </c>
      <c r="BM122" s="9" t="str">
        <f aca="false">IF(AY122="","",IF(BL122&lt;AY122,BK122,BI122))</f>
        <v/>
      </c>
      <c r="BN122" s="9" t="str">
        <f aca="false">IF(AY122="","",IF(BL122&lt;AY122,BJ122,BK122))</f>
        <v/>
      </c>
      <c r="BO122" s="9" t="str">
        <f aca="false">IF(AY122="","",(BM122+BN122)/2)</f>
        <v/>
      </c>
      <c r="BP122" s="9" t="str">
        <f aca="false">IF(OR(R122="",N122="",BO122="",R122&lt;=0,BO122&lt;=0),"",(1/Inputs!$B$9)*((R122^2/8)*((2*ACOS(1-2*BO122/R122))-SIN((2*ACOS(1-2*BO122/R122)))))*((((R122^2/8)*((2*ACOS(1-2*BO122/R122))-SIN((2*ACOS(1-2*BO122/R122)))))/((R122/2)*((2*ACOS(1-2*BO122/R122)))))^(2/3))*SQRT(N122))</f>
        <v/>
      </c>
      <c r="BQ122" s="9" t="str">
        <f aca="false">IF(AY122="","",IF(BP122&lt;AY122,BO122,BM122))</f>
        <v/>
      </c>
      <c r="BR122" s="9" t="str">
        <f aca="false">IF(AY122="","",IF(BP122&lt;AY122,BN122,BO122))</f>
        <v/>
      </c>
      <c r="BS122" s="9" t="str">
        <f aca="false">IF(AY122="","",(BQ122+BR122)/2)</f>
        <v/>
      </c>
      <c r="BT122" s="9" t="str">
        <f aca="false">IF(OR(R122="",N122="",BS122="",R122&lt;=0,BS122&lt;=0),"",(1/Inputs!$B$9)*((R122^2/8)*((2*ACOS(1-2*BS122/R122))-SIN((2*ACOS(1-2*BS122/R122)))))*((((R122^2/8)*((2*ACOS(1-2*BS122/R122))-SIN((2*ACOS(1-2*BS122/R122)))))/((R122/2)*((2*ACOS(1-2*BS122/R122)))))^(2/3))*SQRT(N122))</f>
        <v/>
      </c>
      <c r="BU122" s="9" t="str">
        <f aca="false">IF(AY122="","",IF(BT122&lt;AY122,BS122,BQ122))</f>
        <v/>
      </c>
      <c r="BV122" s="9" t="str">
        <f aca="false">IF(AY122="","",IF(BT122&lt;AY122,BR122,BS122))</f>
        <v/>
      </c>
      <c r="BW122" s="9" t="str">
        <f aca="false">IF(AY122="","",(BU122+BV122)/2)</f>
        <v/>
      </c>
      <c r="BX122" s="9" t="str">
        <f aca="false">IF(OR(R122="",N122="",BW122="",R122&lt;=0,BW122&lt;=0),"",(1/Inputs!$B$9)*((R122^2/8)*((2*ACOS(1-2*BW122/R122))-SIN((2*ACOS(1-2*BW122/R122)))))*((((R122^2/8)*((2*ACOS(1-2*BW122/R122))-SIN((2*ACOS(1-2*BW122/R122)))))/((R122/2)*((2*ACOS(1-2*BW122/R122)))))^(2/3))*SQRT(N122))</f>
        <v/>
      </c>
      <c r="BY122" s="9" t="str">
        <f aca="false">IF(AY122="","",IF(BX122&lt;AY122,BW122,BU122))</f>
        <v/>
      </c>
      <c r="BZ122" s="9" t="str">
        <f aca="false">IF(AY122="","",IF(BX122&lt;AY122,BV122,BW122))</f>
        <v/>
      </c>
      <c r="CA122" s="9" t="str">
        <f aca="false">IF(AY122="","",(BY122+BZ122)/2)</f>
        <v/>
      </c>
      <c r="CB122" s="9" t="str">
        <f aca="false">IF(OR(R122="",N122="",CA122="",R122&lt;=0,CA122&lt;=0),"",(1/Inputs!$B$9)*((R122^2/8)*((2*ACOS(1-2*CA122/R122))-SIN((2*ACOS(1-2*CA122/R122)))))*((((R122^2/8)*((2*ACOS(1-2*CA122/R122))-SIN((2*ACOS(1-2*CA122/R122)))))/((R122/2)*((2*ACOS(1-2*CA122/R122)))))^(2/3))*SQRT(N122))</f>
        <v/>
      </c>
      <c r="CC122" s="9" t="str">
        <f aca="false">IF(AY122="","",IF(CB122&lt;AY122,CA122,BY122))</f>
        <v/>
      </c>
      <c r="CD122" s="9" t="str">
        <f aca="false">IF(AY122="","",IF(CB122&lt;AY122,BZ122,CA122))</f>
        <v/>
      </c>
      <c r="CE122" s="9" t="str">
        <f aca="false">IF(AY122="","",(CC122+CD122)/2)</f>
        <v/>
      </c>
    </row>
    <row r="123" customFormat="false" ht="15" hidden="false" customHeight="false" outlineLevel="0" collapsed="false">
      <c r="A123" s="9"/>
      <c r="B123" s="9"/>
      <c r="C123" s="14"/>
      <c r="D123" s="14"/>
      <c r="E123" s="14" t="n">
        <f aca="false">SUMIFS(CB_Tributaires!$C:$C,CB_Tributaires!$B:$B,$A123)</f>
        <v>0</v>
      </c>
      <c r="F123" s="14" t="n">
        <f aca="false">IF(D123="",E123,D123)</f>
        <v>0</v>
      </c>
      <c r="G123" s="9"/>
      <c r="H123" s="14"/>
      <c r="I123" s="14" t="str">
        <f aca="false">IF(A123="","",Inputs!$B$13/((IF(AS123="",Inputs!$B$18,AS123)+Inputs!$B$14)^Inputs!$B$15))</f>
        <v/>
      </c>
      <c r="J123" s="14" t="str">
        <f aca="false">IF(A123="","",0.000000278*IF(G123="",Inputs!$B$17,G123)*F123*I123)</f>
        <v/>
      </c>
      <c r="K123" s="14" t="str">
        <f aca="false">IF(A123="","",SUMIFS($L$4:$L$203,$B$4:$B$203,$A123))</f>
        <v/>
      </c>
      <c r="L123" s="14" t="str">
        <f aca="false">IF(A123="","",(J123+K123)*Inputs!$B$16)</f>
        <v/>
      </c>
      <c r="M123" s="14"/>
      <c r="N123" s="14" t="str">
        <f aca="false">IF(A123="","",IF(M123="",Inputs!$B$7,M123))</f>
        <v/>
      </c>
      <c r="O123" s="9" t="str">
        <f aca="false">IF(A123="","",IF(L123/Inputs!$B$10&lt;=AD123,Inputs!$F$5,IF(L123/Inputs!$B$10&gt;AM123,"OVERSIZE",INDEX(Inputs!$F$5:$F$14,MATCH(L123/Inputs!$B$10,AD123:AM123,1)+1))))</f>
        <v/>
      </c>
      <c r="P123" s="9"/>
      <c r="Q123" s="9" t="str">
        <f aca="false">IF(A123="","",IF(P123="",O123,P123))</f>
        <v/>
      </c>
      <c r="R123" s="14" t="str">
        <f aca="false">IF(OR(Q123="",Q123="OVERSIZE"),"",Q123/1000)</f>
        <v/>
      </c>
      <c r="S123" s="14" t="str">
        <f aca="false">IF(R123="","",(1/Inputs!$B$9)*(PI()*R123^2/4)*((R123/4)^(2/3))*SQRT(N123))</f>
        <v/>
      </c>
      <c r="T123" s="14" t="str">
        <f aca="false">IF(OR(S123="",L123=""),"",L123/(S123*Inputs!$B$10))</f>
        <v/>
      </c>
      <c r="U123" s="14" t="str">
        <f aca="false">IF(OR(R123="",L123=""),"",4*L123/(PI()*R123^2))</f>
        <v/>
      </c>
      <c r="V123" s="14"/>
      <c r="W123" s="14" t="str">
        <f aca="false">IF(A123="","",IF(A123=Inputs!$B$6,Inputs!$B$22,IF(B123="","",IFERROR(INDEX($X$4:$X$203,MATCH(B123,$A$4:$A$203,0))+IF(V123="",Inputs!$B$20,V123),""))))</f>
        <v/>
      </c>
      <c r="X123" s="14" t="str">
        <f aca="false">IF(OR(W123="",N123="",C123=""),"",W123+N123*C123)</f>
        <v/>
      </c>
      <c r="Y123" s="14"/>
      <c r="Z123" s="14"/>
      <c r="AA123" s="14" t="str">
        <f aca="false">IF(OR(Y123="",W123=""),"",Y123-W123)</f>
        <v/>
      </c>
      <c r="AB123" s="14" t="str">
        <f aca="false">IF(OR(Z123="",X123=""),"",Z123-X123)</f>
        <v/>
      </c>
      <c r="AC123" s="19" t="str">
        <f aca="false">IF(A123="","",IF(OR(T123&gt;1,AND(AV123&lt;&gt;"",AV123&lt;Inputs!$B$11),AND(AV123&lt;&gt;"",AV123&gt;Inputs!$B$12),AA123&lt;Inputs!$B$19,AB123&lt;Inputs!$B$19,N123&lt;Inputs!$B$7,N123&gt;Inputs!$B$8),"CHECK","OK"))</f>
        <v/>
      </c>
      <c r="AD123" s="9" t="str">
        <f aca="false">IF(A123="","",(1/Inputs!$B$9)*(PI()*(Inputs!$F$5/1000)^2/4)*((Inputs!$F$5/1000/4)^(2/3))*SQRT(N123))</f>
        <v/>
      </c>
      <c r="AE123" s="9" t="str">
        <f aca="false">IF(A123="","",(1/Inputs!$B$9)*(PI()*(Inputs!$F$6/1000)^2/4)*((Inputs!$F$6/1000/4)^(2/3))*SQRT(N123))</f>
        <v/>
      </c>
      <c r="AF123" s="9" t="str">
        <f aca="false">IF(A123="","",(1/Inputs!$B$9)*(PI()*(Inputs!$F$7/1000)^2/4)*((Inputs!$F$7/1000/4)^(2/3))*SQRT(N123))</f>
        <v/>
      </c>
      <c r="AG123" s="9" t="str">
        <f aca="false">IF(A123="","",(1/Inputs!$B$9)*(PI()*(Inputs!$F$8/1000)^2/4)*((Inputs!$F$8/1000/4)^(2/3))*SQRT(N123))</f>
        <v/>
      </c>
      <c r="AH123" s="9" t="str">
        <f aca="false">IF(A123="","",(1/Inputs!$B$9)*(PI()*(Inputs!$F$9/1000)^2/4)*((Inputs!$F$9/1000/4)^(2/3))*SQRT(N123))</f>
        <v/>
      </c>
      <c r="AI123" s="9" t="str">
        <f aca="false">IF(A123="","",(1/Inputs!$B$9)*(PI()*(Inputs!$F$10/1000)^2/4)*((Inputs!$F$10/1000/4)^(2/3))*SQRT(N123))</f>
        <v/>
      </c>
      <c r="AJ123" s="9" t="str">
        <f aca="false">IF(A123="","",(1/Inputs!$B$9)*(PI()*(Inputs!$F$11/1000)^2/4)*((Inputs!$F$11/1000/4)^(2/3))*SQRT(N123))</f>
        <v/>
      </c>
      <c r="AK123" s="9" t="str">
        <f aca="false">IF(A123="","",(1/Inputs!$B$9)*(PI()*(Inputs!$F$12/1000)^2/4)*((Inputs!$F$12/1000/4)^(2/3))*SQRT(N123))</f>
        <v/>
      </c>
      <c r="AL123" s="9" t="str">
        <f aca="false">IF(A123="","",(1/Inputs!$B$9)*(PI()*(Inputs!$F$13/1000)^2/4)*((Inputs!$F$13/1000/4)^(2/3))*SQRT(N123))</f>
        <v/>
      </c>
      <c r="AM123" s="9" t="str">
        <f aca="false">IF(A123="","",(1/Inputs!$B$9)*(PI()*(Inputs!$F$14/1000)^2/4)*((Inputs!$F$14/1000/4)^(2/3))*SQRT(N123))</f>
        <v/>
      </c>
      <c r="AN123" s="9" t="str">
        <f aca="false">IF(A123="","",COUNTIF($B$4:$B$203,$A123))</f>
        <v/>
      </c>
      <c r="AO123" s="9" t="str">
        <f aca="false">IF(A123="","",IF(AN123=0,"START","CONTINUOUS"))</f>
        <v/>
      </c>
      <c r="AP123" s="13" t="str">
        <f aca="false">IF(A123="","",IF(H123="",Inputs!$B$18,H123))</f>
        <v/>
      </c>
      <c r="AQ123" s="13" t="str">
        <f aca="false">IF(A123="","",IFERROR(maxifs($AS$4:$AS$203,$B$4:$B$203,$A123),""))</f>
        <v/>
      </c>
      <c r="AR123" s="13" t="str">
        <f aca="false">IF(A123="","",IF(OR(C123="",Inputs!$B$23=""),"",C123/(Inputs!$B$23*60)))</f>
        <v/>
      </c>
      <c r="AS123" s="13" t="str">
        <f aca="false">IF(A123="","",IF(AN123=0,AP123+AR123,IF(AQ123="",AP123+AR123,AQ123+AR123)))</f>
        <v/>
      </c>
      <c r="AT123" s="13" t="str">
        <f aca="false">IF(A123="","",U123)</f>
        <v/>
      </c>
      <c r="AU123" s="13" t="str">
        <f aca="false">IF(OR(R123="",N123=""),"",(1/Inputs!$B$9)*((R123/4)^(2/3))*SQRT(N123))</f>
        <v/>
      </c>
      <c r="AV123" s="13" t="str">
        <f aca="false">IF(A123="","",IF(AND(AT123="",AU123="",AX123=""),"",IF(OR(UPPER(TRIM(Inputs!$B$24))="MANNING",UPPER(TRIM(Inputs!$B$24))="M"),AU123,IF(OR(UPPER(TRIM(Inputs!$B$24))="PARTIAL",UPPER(TRIM(Inputs!$B$24))="P"),AX123,IF(OR(UPPER(TRIM(Inputs!$B$24))="MAX",UPPER(TRIM(Inputs!$B$24))="X"),MAX(IF(AT123="",0,AT123),IF(AU123="",0,AU123),IF(AX123="",0,AX123)),AT123)))))</f>
        <v/>
      </c>
      <c r="AW123" s="13" t="str">
        <f aca="false">IF(AY123="","",CE123)</f>
        <v/>
      </c>
      <c r="AX123" s="13" t="str">
        <f aca="false">IF(OR(AY123="",AW123="",R123="",R123&lt;=0,AW123&lt;=0),"",AY123/((R123^2/8)*(2*ACOS(1-2*AW123/R123)-SIN(2*ACOS(1-2*AW123/R123)))))</f>
        <v/>
      </c>
      <c r="AY123" s="9" t="str">
        <f aca="false">IF(OR(L123="",AZ123=""),"",MIN(L123,AZ123))</f>
        <v/>
      </c>
      <c r="AZ123" s="9" t="str">
        <f aca="false">IF(OR(L123="",R123="",N123=""),"",IF(OR(R123="",N123="",(0.94*R123)="",R123&lt;=0,(0.94*R123)&lt;=0),"",(1/Inputs!$B$9)*((R123^2/8)*((2*ACOS(1-2*(0.94*R123)/R123))-SIN((2*ACOS(1-2*(0.94*R123)/R123)))))*((((R123^2/8)*((2*ACOS(1-2*(0.94*R123)/R123))-SIN((2*ACOS(1-2*(0.94*R123)/R123)))))/((R123/2)*((2*ACOS(1-2*(0.94*R123)/R123)))))^(2/3))*SQRT(N123)))</f>
        <v/>
      </c>
      <c r="BA123" s="9" t="str">
        <f aca="false">IF(AY123="","",0.001*R123)</f>
        <v/>
      </c>
      <c r="BB123" s="9" t="str">
        <f aca="false">IF(AY123="","",0.94*R123)</f>
        <v/>
      </c>
      <c r="BC123" s="9" t="str">
        <f aca="false">IF(AY123="","",(BA123+BB123)/2)</f>
        <v/>
      </c>
      <c r="BD123" s="9" t="str">
        <f aca="false">IF(OR(R123="",N123="",BC123="",R123&lt;=0,BC123&lt;=0),"",(1/Inputs!$B$9)*((R123^2/8)*((2*ACOS(1-2*BC123/R123))-SIN((2*ACOS(1-2*BC123/R123)))))*((((R123^2/8)*((2*ACOS(1-2*BC123/R123))-SIN((2*ACOS(1-2*BC123/R123)))))/((R123/2)*((2*ACOS(1-2*BC123/R123)))))^(2/3))*SQRT(N123))</f>
        <v/>
      </c>
      <c r="BE123" s="9" t="str">
        <f aca="false">IF(AY123="","",IF(BD123&lt;AY123,BC123,BA123))</f>
        <v/>
      </c>
      <c r="BF123" s="9" t="str">
        <f aca="false">IF(AY123="","",IF(BD123&lt;AY123,BB123,BC123))</f>
        <v/>
      </c>
      <c r="BG123" s="9" t="str">
        <f aca="false">IF(AY123="","",(BE123+BF123)/2)</f>
        <v/>
      </c>
      <c r="BH123" s="9" t="str">
        <f aca="false">IF(OR(R123="",N123="",BG123="",R123&lt;=0,BG123&lt;=0),"",(1/Inputs!$B$9)*((R123^2/8)*((2*ACOS(1-2*BG123/R123))-SIN((2*ACOS(1-2*BG123/R123)))))*((((R123^2/8)*((2*ACOS(1-2*BG123/R123))-SIN((2*ACOS(1-2*BG123/R123)))))/((R123/2)*((2*ACOS(1-2*BG123/R123)))))^(2/3))*SQRT(N123))</f>
        <v/>
      </c>
      <c r="BI123" s="9" t="str">
        <f aca="false">IF(AY123="","",IF(BH123&lt;AY123,BG123,BE123))</f>
        <v/>
      </c>
      <c r="BJ123" s="9" t="str">
        <f aca="false">IF(AY123="","",IF(BH123&lt;AY123,BF123,BG123))</f>
        <v/>
      </c>
      <c r="BK123" s="9" t="str">
        <f aca="false">IF(AY123="","",(BI123+BJ123)/2)</f>
        <v/>
      </c>
      <c r="BL123" s="9" t="str">
        <f aca="false">IF(OR(R123="",N123="",BK123="",R123&lt;=0,BK123&lt;=0),"",(1/Inputs!$B$9)*((R123^2/8)*((2*ACOS(1-2*BK123/R123))-SIN((2*ACOS(1-2*BK123/R123)))))*((((R123^2/8)*((2*ACOS(1-2*BK123/R123))-SIN((2*ACOS(1-2*BK123/R123)))))/((R123/2)*((2*ACOS(1-2*BK123/R123)))))^(2/3))*SQRT(N123))</f>
        <v/>
      </c>
      <c r="BM123" s="9" t="str">
        <f aca="false">IF(AY123="","",IF(BL123&lt;AY123,BK123,BI123))</f>
        <v/>
      </c>
      <c r="BN123" s="9" t="str">
        <f aca="false">IF(AY123="","",IF(BL123&lt;AY123,BJ123,BK123))</f>
        <v/>
      </c>
      <c r="BO123" s="9" t="str">
        <f aca="false">IF(AY123="","",(BM123+BN123)/2)</f>
        <v/>
      </c>
      <c r="BP123" s="9" t="str">
        <f aca="false">IF(OR(R123="",N123="",BO123="",R123&lt;=0,BO123&lt;=0),"",(1/Inputs!$B$9)*((R123^2/8)*((2*ACOS(1-2*BO123/R123))-SIN((2*ACOS(1-2*BO123/R123)))))*((((R123^2/8)*((2*ACOS(1-2*BO123/R123))-SIN((2*ACOS(1-2*BO123/R123)))))/((R123/2)*((2*ACOS(1-2*BO123/R123)))))^(2/3))*SQRT(N123))</f>
        <v/>
      </c>
      <c r="BQ123" s="9" t="str">
        <f aca="false">IF(AY123="","",IF(BP123&lt;AY123,BO123,BM123))</f>
        <v/>
      </c>
      <c r="BR123" s="9" t="str">
        <f aca="false">IF(AY123="","",IF(BP123&lt;AY123,BN123,BO123))</f>
        <v/>
      </c>
      <c r="BS123" s="9" t="str">
        <f aca="false">IF(AY123="","",(BQ123+BR123)/2)</f>
        <v/>
      </c>
      <c r="BT123" s="9" t="str">
        <f aca="false">IF(OR(R123="",N123="",BS123="",R123&lt;=0,BS123&lt;=0),"",(1/Inputs!$B$9)*((R123^2/8)*((2*ACOS(1-2*BS123/R123))-SIN((2*ACOS(1-2*BS123/R123)))))*((((R123^2/8)*((2*ACOS(1-2*BS123/R123))-SIN((2*ACOS(1-2*BS123/R123)))))/((R123/2)*((2*ACOS(1-2*BS123/R123)))))^(2/3))*SQRT(N123))</f>
        <v/>
      </c>
      <c r="BU123" s="9" t="str">
        <f aca="false">IF(AY123="","",IF(BT123&lt;AY123,BS123,BQ123))</f>
        <v/>
      </c>
      <c r="BV123" s="9" t="str">
        <f aca="false">IF(AY123="","",IF(BT123&lt;AY123,BR123,BS123))</f>
        <v/>
      </c>
      <c r="BW123" s="9" t="str">
        <f aca="false">IF(AY123="","",(BU123+BV123)/2)</f>
        <v/>
      </c>
      <c r="BX123" s="9" t="str">
        <f aca="false">IF(OR(R123="",N123="",BW123="",R123&lt;=0,BW123&lt;=0),"",(1/Inputs!$B$9)*((R123^2/8)*((2*ACOS(1-2*BW123/R123))-SIN((2*ACOS(1-2*BW123/R123)))))*((((R123^2/8)*((2*ACOS(1-2*BW123/R123))-SIN((2*ACOS(1-2*BW123/R123)))))/((R123/2)*((2*ACOS(1-2*BW123/R123)))))^(2/3))*SQRT(N123))</f>
        <v/>
      </c>
      <c r="BY123" s="9" t="str">
        <f aca="false">IF(AY123="","",IF(BX123&lt;AY123,BW123,BU123))</f>
        <v/>
      </c>
      <c r="BZ123" s="9" t="str">
        <f aca="false">IF(AY123="","",IF(BX123&lt;AY123,BV123,BW123))</f>
        <v/>
      </c>
      <c r="CA123" s="9" t="str">
        <f aca="false">IF(AY123="","",(BY123+BZ123)/2)</f>
        <v/>
      </c>
      <c r="CB123" s="9" t="str">
        <f aca="false">IF(OR(R123="",N123="",CA123="",R123&lt;=0,CA123&lt;=0),"",(1/Inputs!$B$9)*((R123^2/8)*((2*ACOS(1-2*CA123/R123))-SIN((2*ACOS(1-2*CA123/R123)))))*((((R123^2/8)*((2*ACOS(1-2*CA123/R123))-SIN((2*ACOS(1-2*CA123/R123)))))/((R123/2)*((2*ACOS(1-2*CA123/R123)))))^(2/3))*SQRT(N123))</f>
        <v/>
      </c>
      <c r="CC123" s="9" t="str">
        <f aca="false">IF(AY123="","",IF(CB123&lt;AY123,CA123,BY123))</f>
        <v/>
      </c>
      <c r="CD123" s="9" t="str">
        <f aca="false">IF(AY123="","",IF(CB123&lt;AY123,BZ123,CA123))</f>
        <v/>
      </c>
      <c r="CE123" s="9" t="str">
        <f aca="false">IF(AY123="","",(CC123+CD123)/2)</f>
        <v/>
      </c>
    </row>
    <row r="124" customFormat="false" ht="15" hidden="false" customHeight="false" outlineLevel="0" collapsed="false">
      <c r="A124" s="9"/>
      <c r="B124" s="9"/>
      <c r="C124" s="14"/>
      <c r="D124" s="14"/>
      <c r="E124" s="14" t="n">
        <f aca="false">SUMIFS(CB_Tributaires!$C:$C,CB_Tributaires!$B:$B,$A124)</f>
        <v>0</v>
      </c>
      <c r="F124" s="14" t="n">
        <f aca="false">IF(D124="",E124,D124)</f>
        <v>0</v>
      </c>
      <c r="G124" s="9"/>
      <c r="H124" s="14"/>
      <c r="I124" s="14" t="str">
        <f aca="false">IF(A124="","",Inputs!$B$13/((IF(AS124="",Inputs!$B$18,AS124)+Inputs!$B$14)^Inputs!$B$15))</f>
        <v/>
      </c>
      <c r="J124" s="14" t="str">
        <f aca="false">IF(A124="","",0.000000278*IF(G124="",Inputs!$B$17,G124)*F124*I124)</f>
        <v/>
      </c>
      <c r="K124" s="14" t="str">
        <f aca="false">IF(A124="","",SUMIFS($L$4:$L$203,$B$4:$B$203,$A124))</f>
        <v/>
      </c>
      <c r="L124" s="14" t="str">
        <f aca="false">IF(A124="","",(J124+K124)*Inputs!$B$16)</f>
        <v/>
      </c>
      <c r="M124" s="14"/>
      <c r="N124" s="14" t="str">
        <f aca="false">IF(A124="","",IF(M124="",Inputs!$B$7,M124))</f>
        <v/>
      </c>
      <c r="O124" s="9" t="str">
        <f aca="false">IF(A124="","",IF(L124/Inputs!$B$10&lt;=AD124,Inputs!$F$5,IF(L124/Inputs!$B$10&gt;AM124,"OVERSIZE",INDEX(Inputs!$F$5:$F$14,MATCH(L124/Inputs!$B$10,AD124:AM124,1)+1))))</f>
        <v/>
      </c>
      <c r="P124" s="9"/>
      <c r="Q124" s="9" t="str">
        <f aca="false">IF(A124="","",IF(P124="",O124,P124))</f>
        <v/>
      </c>
      <c r="R124" s="14" t="str">
        <f aca="false">IF(OR(Q124="",Q124="OVERSIZE"),"",Q124/1000)</f>
        <v/>
      </c>
      <c r="S124" s="14" t="str">
        <f aca="false">IF(R124="","",(1/Inputs!$B$9)*(PI()*R124^2/4)*((R124/4)^(2/3))*SQRT(N124))</f>
        <v/>
      </c>
      <c r="T124" s="14" t="str">
        <f aca="false">IF(OR(S124="",L124=""),"",L124/(S124*Inputs!$B$10))</f>
        <v/>
      </c>
      <c r="U124" s="14" t="str">
        <f aca="false">IF(OR(R124="",L124=""),"",4*L124/(PI()*R124^2))</f>
        <v/>
      </c>
      <c r="V124" s="14"/>
      <c r="W124" s="14" t="str">
        <f aca="false">IF(A124="","",IF(A124=Inputs!$B$6,Inputs!$B$22,IF(B124="","",IFERROR(INDEX($X$4:$X$203,MATCH(B124,$A$4:$A$203,0))+IF(V124="",Inputs!$B$20,V124),""))))</f>
        <v/>
      </c>
      <c r="X124" s="14" t="str">
        <f aca="false">IF(OR(W124="",N124="",C124=""),"",W124+N124*C124)</f>
        <v/>
      </c>
      <c r="Y124" s="14"/>
      <c r="Z124" s="14"/>
      <c r="AA124" s="14" t="str">
        <f aca="false">IF(OR(Y124="",W124=""),"",Y124-W124)</f>
        <v/>
      </c>
      <c r="AB124" s="14" t="str">
        <f aca="false">IF(OR(Z124="",X124=""),"",Z124-X124)</f>
        <v/>
      </c>
      <c r="AC124" s="19" t="str">
        <f aca="false">IF(A124="","",IF(OR(T124&gt;1,AND(AV124&lt;&gt;"",AV124&lt;Inputs!$B$11),AND(AV124&lt;&gt;"",AV124&gt;Inputs!$B$12),AA124&lt;Inputs!$B$19,AB124&lt;Inputs!$B$19,N124&lt;Inputs!$B$7,N124&gt;Inputs!$B$8),"CHECK","OK"))</f>
        <v/>
      </c>
      <c r="AD124" s="9" t="str">
        <f aca="false">IF(A124="","",(1/Inputs!$B$9)*(PI()*(Inputs!$F$5/1000)^2/4)*((Inputs!$F$5/1000/4)^(2/3))*SQRT(N124))</f>
        <v/>
      </c>
      <c r="AE124" s="9" t="str">
        <f aca="false">IF(A124="","",(1/Inputs!$B$9)*(PI()*(Inputs!$F$6/1000)^2/4)*((Inputs!$F$6/1000/4)^(2/3))*SQRT(N124))</f>
        <v/>
      </c>
      <c r="AF124" s="9" t="str">
        <f aca="false">IF(A124="","",(1/Inputs!$B$9)*(PI()*(Inputs!$F$7/1000)^2/4)*((Inputs!$F$7/1000/4)^(2/3))*SQRT(N124))</f>
        <v/>
      </c>
      <c r="AG124" s="9" t="str">
        <f aca="false">IF(A124="","",(1/Inputs!$B$9)*(PI()*(Inputs!$F$8/1000)^2/4)*((Inputs!$F$8/1000/4)^(2/3))*SQRT(N124))</f>
        <v/>
      </c>
      <c r="AH124" s="9" t="str">
        <f aca="false">IF(A124="","",(1/Inputs!$B$9)*(PI()*(Inputs!$F$9/1000)^2/4)*((Inputs!$F$9/1000/4)^(2/3))*SQRT(N124))</f>
        <v/>
      </c>
      <c r="AI124" s="9" t="str">
        <f aca="false">IF(A124="","",(1/Inputs!$B$9)*(PI()*(Inputs!$F$10/1000)^2/4)*((Inputs!$F$10/1000/4)^(2/3))*SQRT(N124))</f>
        <v/>
      </c>
      <c r="AJ124" s="9" t="str">
        <f aca="false">IF(A124="","",(1/Inputs!$B$9)*(PI()*(Inputs!$F$11/1000)^2/4)*((Inputs!$F$11/1000/4)^(2/3))*SQRT(N124))</f>
        <v/>
      </c>
      <c r="AK124" s="9" t="str">
        <f aca="false">IF(A124="","",(1/Inputs!$B$9)*(PI()*(Inputs!$F$12/1000)^2/4)*((Inputs!$F$12/1000/4)^(2/3))*SQRT(N124))</f>
        <v/>
      </c>
      <c r="AL124" s="9" t="str">
        <f aca="false">IF(A124="","",(1/Inputs!$B$9)*(PI()*(Inputs!$F$13/1000)^2/4)*((Inputs!$F$13/1000/4)^(2/3))*SQRT(N124))</f>
        <v/>
      </c>
      <c r="AM124" s="9" t="str">
        <f aca="false">IF(A124="","",(1/Inputs!$B$9)*(PI()*(Inputs!$F$14/1000)^2/4)*((Inputs!$F$14/1000/4)^(2/3))*SQRT(N124))</f>
        <v/>
      </c>
      <c r="AN124" s="9" t="str">
        <f aca="false">IF(A124="","",COUNTIF($B$4:$B$203,$A124))</f>
        <v/>
      </c>
      <c r="AO124" s="9" t="str">
        <f aca="false">IF(A124="","",IF(AN124=0,"START","CONTINUOUS"))</f>
        <v/>
      </c>
      <c r="AP124" s="13" t="str">
        <f aca="false">IF(A124="","",IF(H124="",Inputs!$B$18,H124))</f>
        <v/>
      </c>
      <c r="AQ124" s="13" t="str">
        <f aca="false">IF(A124="","",IFERROR(maxifs($AS$4:$AS$203,$B$4:$B$203,$A124),""))</f>
        <v/>
      </c>
      <c r="AR124" s="13" t="str">
        <f aca="false">IF(A124="","",IF(OR(C124="",Inputs!$B$23=""),"",C124/(Inputs!$B$23*60)))</f>
        <v/>
      </c>
      <c r="AS124" s="13" t="str">
        <f aca="false">IF(A124="","",IF(AN124=0,AP124+AR124,IF(AQ124="",AP124+AR124,AQ124+AR124)))</f>
        <v/>
      </c>
      <c r="AT124" s="13" t="str">
        <f aca="false">IF(A124="","",U124)</f>
        <v/>
      </c>
      <c r="AU124" s="13" t="str">
        <f aca="false">IF(OR(R124="",N124=""),"",(1/Inputs!$B$9)*((R124/4)^(2/3))*SQRT(N124))</f>
        <v/>
      </c>
      <c r="AV124" s="13" t="str">
        <f aca="false">IF(A124="","",IF(AND(AT124="",AU124="",AX124=""),"",IF(OR(UPPER(TRIM(Inputs!$B$24))="MANNING",UPPER(TRIM(Inputs!$B$24))="M"),AU124,IF(OR(UPPER(TRIM(Inputs!$B$24))="PARTIAL",UPPER(TRIM(Inputs!$B$24))="P"),AX124,IF(OR(UPPER(TRIM(Inputs!$B$24))="MAX",UPPER(TRIM(Inputs!$B$24))="X"),MAX(IF(AT124="",0,AT124),IF(AU124="",0,AU124),IF(AX124="",0,AX124)),AT124)))))</f>
        <v/>
      </c>
      <c r="AW124" s="13" t="str">
        <f aca="false">IF(AY124="","",CE124)</f>
        <v/>
      </c>
      <c r="AX124" s="13" t="str">
        <f aca="false">IF(OR(AY124="",AW124="",R124="",R124&lt;=0,AW124&lt;=0),"",AY124/((R124^2/8)*(2*ACOS(1-2*AW124/R124)-SIN(2*ACOS(1-2*AW124/R124)))))</f>
        <v/>
      </c>
      <c r="AY124" s="9" t="str">
        <f aca="false">IF(OR(L124="",AZ124=""),"",MIN(L124,AZ124))</f>
        <v/>
      </c>
      <c r="AZ124" s="9" t="str">
        <f aca="false">IF(OR(L124="",R124="",N124=""),"",IF(OR(R124="",N124="",(0.94*R124)="",R124&lt;=0,(0.94*R124)&lt;=0),"",(1/Inputs!$B$9)*((R124^2/8)*((2*ACOS(1-2*(0.94*R124)/R124))-SIN((2*ACOS(1-2*(0.94*R124)/R124)))))*((((R124^2/8)*((2*ACOS(1-2*(0.94*R124)/R124))-SIN((2*ACOS(1-2*(0.94*R124)/R124)))))/((R124/2)*((2*ACOS(1-2*(0.94*R124)/R124)))))^(2/3))*SQRT(N124)))</f>
        <v/>
      </c>
      <c r="BA124" s="9" t="str">
        <f aca="false">IF(AY124="","",0.001*R124)</f>
        <v/>
      </c>
      <c r="BB124" s="9" t="str">
        <f aca="false">IF(AY124="","",0.94*R124)</f>
        <v/>
      </c>
      <c r="BC124" s="9" t="str">
        <f aca="false">IF(AY124="","",(BA124+BB124)/2)</f>
        <v/>
      </c>
      <c r="BD124" s="9" t="str">
        <f aca="false">IF(OR(R124="",N124="",BC124="",R124&lt;=0,BC124&lt;=0),"",(1/Inputs!$B$9)*((R124^2/8)*((2*ACOS(1-2*BC124/R124))-SIN((2*ACOS(1-2*BC124/R124)))))*((((R124^2/8)*((2*ACOS(1-2*BC124/R124))-SIN((2*ACOS(1-2*BC124/R124)))))/((R124/2)*((2*ACOS(1-2*BC124/R124)))))^(2/3))*SQRT(N124))</f>
        <v/>
      </c>
      <c r="BE124" s="9" t="str">
        <f aca="false">IF(AY124="","",IF(BD124&lt;AY124,BC124,BA124))</f>
        <v/>
      </c>
      <c r="BF124" s="9" t="str">
        <f aca="false">IF(AY124="","",IF(BD124&lt;AY124,BB124,BC124))</f>
        <v/>
      </c>
      <c r="BG124" s="9" t="str">
        <f aca="false">IF(AY124="","",(BE124+BF124)/2)</f>
        <v/>
      </c>
      <c r="BH124" s="9" t="str">
        <f aca="false">IF(OR(R124="",N124="",BG124="",R124&lt;=0,BG124&lt;=0),"",(1/Inputs!$B$9)*((R124^2/8)*((2*ACOS(1-2*BG124/R124))-SIN((2*ACOS(1-2*BG124/R124)))))*((((R124^2/8)*((2*ACOS(1-2*BG124/R124))-SIN((2*ACOS(1-2*BG124/R124)))))/((R124/2)*((2*ACOS(1-2*BG124/R124)))))^(2/3))*SQRT(N124))</f>
        <v/>
      </c>
      <c r="BI124" s="9" t="str">
        <f aca="false">IF(AY124="","",IF(BH124&lt;AY124,BG124,BE124))</f>
        <v/>
      </c>
      <c r="BJ124" s="9" t="str">
        <f aca="false">IF(AY124="","",IF(BH124&lt;AY124,BF124,BG124))</f>
        <v/>
      </c>
      <c r="BK124" s="9" t="str">
        <f aca="false">IF(AY124="","",(BI124+BJ124)/2)</f>
        <v/>
      </c>
      <c r="BL124" s="9" t="str">
        <f aca="false">IF(OR(R124="",N124="",BK124="",R124&lt;=0,BK124&lt;=0),"",(1/Inputs!$B$9)*((R124^2/8)*((2*ACOS(1-2*BK124/R124))-SIN((2*ACOS(1-2*BK124/R124)))))*((((R124^2/8)*((2*ACOS(1-2*BK124/R124))-SIN((2*ACOS(1-2*BK124/R124)))))/((R124/2)*((2*ACOS(1-2*BK124/R124)))))^(2/3))*SQRT(N124))</f>
        <v/>
      </c>
      <c r="BM124" s="9" t="str">
        <f aca="false">IF(AY124="","",IF(BL124&lt;AY124,BK124,BI124))</f>
        <v/>
      </c>
      <c r="BN124" s="9" t="str">
        <f aca="false">IF(AY124="","",IF(BL124&lt;AY124,BJ124,BK124))</f>
        <v/>
      </c>
      <c r="BO124" s="9" t="str">
        <f aca="false">IF(AY124="","",(BM124+BN124)/2)</f>
        <v/>
      </c>
      <c r="BP124" s="9" t="str">
        <f aca="false">IF(OR(R124="",N124="",BO124="",R124&lt;=0,BO124&lt;=0),"",(1/Inputs!$B$9)*((R124^2/8)*((2*ACOS(1-2*BO124/R124))-SIN((2*ACOS(1-2*BO124/R124)))))*((((R124^2/8)*((2*ACOS(1-2*BO124/R124))-SIN((2*ACOS(1-2*BO124/R124)))))/((R124/2)*((2*ACOS(1-2*BO124/R124)))))^(2/3))*SQRT(N124))</f>
        <v/>
      </c>
      <c r="BQ124" s="9" t="str">
        <f aca="false">IF(AY124="","",IF(BP124&lt;AY124,BO124,BM124))</f>
        <v/>
      </c>
      <c r="BR124" s="9" t="str">
        <f aca="false">IF(AY124="","",IF(BP124&lt;AY124,BN124,BO124))</f>
        <v/>
      </c>
      <c r="BS124" s="9" t="str">
        <f aca="false">IF(AY124="","",(BQ124+BR124)/2)</f>
        <v/>
      </c>
      <c r="BT124" s="9" t="str">
        <f aca="false">IF(OR(R124="",N124="",BS124="",R124&lt;=0,BS124&lt;=0),"",(1/Inputs!$B$9)*((R124^2/8)*((2*ACOS(1-2*BS124/R124))-SIN((2*ACOS(1-2*BS124/R124)))))*((((R124^2/8)*((2*ACOS(1-2*BS124/R124))-SIN((2*ACOS(1-2*BS124/R124)))))/((R124/2)*((2*ACOS(1-2*BS124/R124)))))^(2/3))*SQRT(N124))</f>
        <v/>
      </c>
      <c r="BU124" s="9" t="str">
        <f aca="false">IF(AY124="","",IF(BT124&lt;AY124,BS124,BQ124))</f>
        <v/>
      </c>
      <c r="BV124" s="9" t="str">
        <f aca="false">IF(AY124="","",IF(BT124&lt;AY124,BR124,BS124))</f>
        <v/>
      </c>
      <c r="BW124" s="9" t="str">
        <f aca="false">IF(AY124="","",(BU124+BV124)/2)</f>
        <v/>
      </c>
      <c r="BX124" s="9" t="str">
        <f aca="false">IF(OR(R124="",N124="",BW124="",R124&lt;=0,BW124&lt;=0),"",(1/Inputs!$B$9)*((R124^2/8)*((2*ACOS(1-2*BW124/R124))-SIN((2*ACOS(1-2*BW124/R124)))))*((((R124^2/8)*((2*ACOS(1-2*BW124/R124))-SIN((2*ACOS(1-2*BW124/R124)))))/((R124/2)*((2*ACOS(1-2*BW124/R124)))))^(2/3))*SQRT(N124))</f>
        <v/>
      </c>
      <c r="BY124" s="9" t="str">
        <f aca="false">IF(AY124="","",IF(BX124&lt;AY124,BW124,BU124))</f>
        <v/>
      </c>
      <c r="BZ124" s="9" t="str">
        <f aca="false">IF(AY124="","",IF(BX124&lt;AY124,BV124,BW124))</f>
        <v/>
      </c>
      <c r="CA124" s="9" t="str">
        <f aca="false">IF(AY124="","",(BY124+BZ124)/2)</f>
        <v/>
      </c>
      <c r="CB124" s="9" t="str">
        <f aca="false">IF(OR(R124="",N124="",CA124="",R124&lt;=0,CA124&lt;=0),"",(1/Inputs!$B$9)*((R124^2/8)*((2*ACOS(1-2*CA124/R124))-SIN((2*ACOS(1-2*CA124/R124)))))*((((R124^2/8)*((2*ACOS(1-2*CA124/R124))-SIN((2*ACOS(1-2*CA124/R124)))))/((R124/2)*((2*ACOS(1-2*CA124/R124)))))^(2/3))*SQRT(N124))</f>
        <v/>
      </c>
      <c r="CC124" s="9" t="str">
        <f aca="false">IF(AY124="","",IF(CB124&lt;AY124,CA124,BY124))</f>
        <v/>
      </c>
      <c r="CD124" s="9" t="str">
        <f aca="false">IF(AY124="","",IF(CB124&lt;AY124,BZ124,CA124))</f>
        <v/>
      </c>
      <c r="CE124" s="9" t="str">
        <f aca="false">IF(AY124="","",(CC124+CD124)/2)</f>
        <v/>
      </c>
    </row>
    <row r="125" customFormat="false" ht="15" hidden="false" customHeight="false" outlineLevel="0" collapsed="false">
      <c r="A125" s="9"/>
      <c r="B125" s="9"/>
      <c r="C125" s="14"/>
      <c r="D125" s="14"/>
      <c r="E125" s="14" t="n">
        <f aca="false">SUMIFS(CB_Tributaires!$C:$C,CB_Tributaires!$B:$B,$A125)</f>
        <v>0</v>
      </c>
      <c r="F125" s="14" t="n">
        <f aca="false">IF(D125="",E125,D125)</f>
        <v>0</v>
      </c>
      <c r="G125" s="9"/>
      <c r="H125" s="14"/>
      <c r="I125" s="14" t="str">
        <f aca="false">IF(A125="","",Inputs!$B$13/((IF(AS125="",Inputs!$B$18,AS125)+Inputs!$B$14)^Inputs!$B$15))</f>
        <v/>
      </c>
      <c r="J125" s="14" t="str">
        <f aca="false">IF(A125="","",0.000000278*IF(G125="",Inputs!$B$17,G125)*F125*I125)</f>
        <v/>
      </c>
      <c r="K125" s="14" t="str">
        <f aca="false">IF(A125="","",SUMIFS($L$4:$L$203,$B$4:$B$203,$A125))</f>
        <v/>
      </c>
      <c r="L125" s="14" t="str">
        <f aca="false">IF(A125="","",(J125+K125)*Inputs!$B$16)</f>
        <v/>
      </c>
      <c r="M125" s="14"/>
      <c r="N125" s="14" t="str">
        <f aca="false">IF(A125="","",IF(M125="",Inputs!$B$7,M125))</f>
        <v/>
      </c>
      <c r="O125" s="9" t="str">
        <f aca="false">IF(A125="","",IF(L125/Inputs!$B$10&lt;=AD125,Inputs!$F$5,IF(L125/Inputs!$B$10&gt;AM125,"OVERSIZE",INDEX(Inputs!$F$5:$F$14,MATCH(L125/Inputs!$B$10,AD125:AM125,1)+1))))</f>
        <v/>
      </c>
      <c r="P125" s="9"/>
      <c r="Q125" s="9" t="str">
        <f aca="false">IF(A125="","",IF(P125="",O125,P125))</f>
        <v/>
      </c>
      <c r="R125" s="14" t="str">
        <f aca="false">IF(OR(Q125="",Q125="OVERSIZE"),"",Q125/1000)</f>
        <v/>
      </c>
      <c r="S125" s="14" t="str">
        <f aca="false">IF(R125="","",(1/Inputs!$B$9)*(PI()*R125^2/4)*((R125/4)^(2/3))*SQRT(N125))</f>
        <v/>
      </c>
      <c r="T125" s="14" t="str">
        <f aca="false">IF(OR(S125="",L125=""),"",L125/(S125*Inputs!$B$10))</f>
        <v/>
      </c>
      <c r="U125" s="14" t="str">
        <f aca="false">IF(OR(R125="",L125=""),"",4*L125/(PI()*R125^2))</f>
        <v/>
      </c>
      <c r="V125" s="14"/>
      <c r="W125" s="14" t="str">
        <f aca="false">IF(A125="","",IF(A125=Inputs!$B$6,Inputs!$B$22,IF(B125="","",IFERROR(INDEX($X$4:$X$203,MATCH(B125,$A$4:$A$203,0))+IF(V125="",Inputs!$B$20,V125),""))))</f>
        <v/>
      </c>
      <c r="X125" s="14" t="str">
        <f aca="false">IF(OR(W125="",N125="",C125=""),"",W125+N125*C125)</f>
        <v/>
      </c>
      <c r="Y125" s="14"/>
      <c r="Z125" s="14"/>
      <c r="AA125" s="14" t="str">
        <f aca="false">IF(OR(Y125="",W125=""),"",Y125-W125)</f>
        <v/>
      </c>
      <c r="AB125" s="14" t="str">
        <f aca="false">IF(OR(Z125="",X125=""),"",Z125-X125)</f>
        <v/>
      </c>
      <c r="AC125" s="19" t="str">
        <f aca="false">IF(A125="","",IF(OR(T125&gt;1,AND(AV125&lt;&gt;"",AV125&lt;Inputs!$B$11),AND(AV125&lt;&gt;"",AV125&gt;Inputs!$B$12),AA125&lt;Inputs!$B$19,AB125&lt;Inputs!$B$19,N125&lt;Inputs!$B$7,N125&gt;Inputs!$B$8),"CHECK","OK"))</f>
        <v/>
      </c>
      <c r="AD125" s="9" t="str">
        <f aca="false">IF(A125="","",(1/Inputs!$B$9)*(PI()*(Inputs!$F$5/1000)^2/4)*((Inputs!$F$5/1000/4)^(2/3))*SQRT(N125))</f>
        <v/>
      </c>
      <c r="AE125" s="9" t="str">
        <f aca="false">IF(A125="","",(1/Inputs!$B$9)*(PI()*(Inputs!$F$6/1000)^2/4)*((Inputs!$F$6/1000/4)^(2/3))*SQRT(N125))</f>
        <v/>
      </c>
      <c r="AF125" s="9" t="str">
        <f aca="false">IF(A125="","",(1/Inputs!$B$9)*(PI()*(Inputs!$F$7/1000)^2/4)*((Inputs!$F$7/1000/4)^(2/3))*SQRT(N125))</f>
        <v/>
      </c>
      <c r="AG125" s="9" t="str">
        <f aca="false">IF(A125="","",(1/Inputs!$B$9)*(PI()*(Inputs!$F$8/1000)^2/4)*((Inputs!$F$8/1000/4)^(2/3))*SQRT(N125))</f>
        <v/>
      </c>
      <c r="AH125" s="9" t="str">
        <f aca="false">IF(A125="","",(1/Inputs!$B$9)*(PI()*(Inputs!$F$9/1000)^2/4)*((Inputs!$F$9/1000/4)^(2/3))*SQRT(N125))</f>
        <v/>
      </c>
      <c r="AI125" s="9" t="str">
        <f aca="false">IF(A125="","",(1/Inputs!$B$9)*(PI()*(Inputs!$F$10/1000)^2/4)*((Inputs!$F$10/1000/4)^(2/3))*SQRT(N125))</f>
        <v/>
      </c>
      <c r="AJ125" s="9" t="str">
        <f aca="false">IF(A125="","",(1/Inputs!$B$9)*(PI()*(Inputs!$F$11/1000)^2/4)*((Inputs!$F$11/1000/4)^(2/3))*SQRT(N125))</f>
        <v/>
      </c>
      <c r="AK125" s="9" t="str">
        <f aca="false">IF(A125="","",(1/Inputs!$B$9)*(PI()*(Inputs!$F$12/1000)^2/4)*((Inputs!$F$12/1000/4)^(2/3))*SQRT(N125))</f>
        <v/>
      </c>
      <c r="AL125" s="9" t="str">
        <f aca="false">IF(A125="","",(1/Inputs!$B$9)*(PI()*(Inputs!$F$13/1000)^2/4)*((Inputs!$F$13/1000/4)^(2/3))*SQRT(N125))</f>
        <v/>
      </c>
      <c r="AM125" s="9" t="str">
        <f aca="false">IF(A125="","",(1/Inputs!$B$9)*(PI()*(Inputs!$F$14/1000)^2/4)*((Inputs!$F$14/1000/4)^(2/3))*SQRT(N125))</f>
        <v/>
      </c>
      <c r="AN125" s="9" t="str">
        <f aca="false">IF(A125="","",COUNTIF($B$4:$B$203,$A125))</f>
        <v/>
      </c>
      <c r="AO125" s="9" t="str">
        <f aca="false">IF(A125="","",IF(AN125=0,"START","CONTINUOUS"))</f>
        <v/>
      </c>
      <c r="AP125" s="13" t="str">
        <f aca="false">IF(A125="","",IF(H125="",Inputs!$B$18,H125))</f>
        <v/>
      </c>
      <c r="AQ125" s="13" t="str">
        <f aca="false">IF(A125="","",IFERROR(maxifs($AS$4:$AS$203,$B$4:$B$203,$A125),""))</f>
        <v/>
      </c>
      <c r="AR125" s="13" t="str">
        <f aca="false">IF(A125="","",IF(OR(C125="",Inputs!$B$23=""),"",C125/(Inputs!$B$23*60)))</f>
        <v/>
      </c>
      <c r="AS125" s="13" t="str">
        <f aca="false">IF(A125="","",IF(AN125=0,AP125+AR125,IF(AQ125="",AP125+AR125,AQ125+AR125)))</f>
        <v/>
      </c>
      <c r="AT125" s="13" t="str">
        <f aca="false">IF(A125="","",U125)</f>
        <v/>
      </c>
      <c r="AU125" s="13" t="str">
        <f aca="false">IF(OR(R125="",N125=""),"",(1/Inputs!$B$9)*((R125/4)^(2/3))*SQRT(N125))</f>
        <v/>
      </c>
      <c r="AV125" s="13" t="str">
        <f aca="false">IF(A125="","",IF(AND(AT125="",AU125="",AX125=""),"",IF(OR(UPPER(TRIM(Inputs!$B$24))="MANNING",UPPER(TRIM(Inputs!$B$24))="M"),AU125,IF(OR(UPPER(TRIM(Inputs!$B$24))="PARTIAL",UPPER(TRIM(Inputs!$B$24))="P"),AX125,IF(OR(UPPER(TRIM(Inputs!$B$24))="MAX",UPPER(TRIM(Inputs!$B$24))="X"),MAX(IF(AT125="",0,AT125),IF(AU125="",0,AU125),IF(AX125="",0,AX125)),AT125)))))</f>
        <v/>
      </c>
      <c r="AW125" s="13" t="str">
        <f aca="false">IF(AY125="","",CE125)</f>
        <v/>
      </c>
      <c r="AX125" s="13" t="str">
        <f aca="false">IF(OR(AY125="",AW125="",R125="",R125&lt;=0,AW125&lt;=0),"",AY125/((R125^2/8)*(2*ACOS(1-2*AW125/R125)-SIN(2*ACOS(1-2*AW125/R125)))))</f>
        <v/>
      </c>
      <c r="AY125" s="9" t="str">
        <f aca="false">IF(OR(L125="",AZ125=""),"",MIN(L125,AZ125))</f>
        <v/>
      </c>
      <c r="AZ125" s="9" t="str">
        <f aca="false">IF(OR(L125="",R125="",N125=""),"",IF(OR(R125="",N125="",(0.94*R125)="",R125&lt;=0,(0.94*R125)&lt;=0),"",(1/Inputs!$B$9)*((R125^2/8)*((2*ACOS(1-2*(0.94*R125)/R125))-SIN((2*ACOS(1-2*(0.94*R125)/R125)))))*((((R125^2/8)*((2*ACOS(1-2*(0.94*R125)/R125))-SIN((2*ACOS(1-2*(0.94*R125)/R125)))))/((R125/2)*((2*ACOS(1-2*(0.94*R125)/R125)))))^(2/3))*SQRT(N125)))</f>
        <v/>
      </c>
      <c r="BA125" s="9" t="str">
        <f aca="false">IF(AY125="","",0.001*R125)</f>
        <v/>
      </c>
      <c r="BB125" s="9" t="str">
        <f aca="false">IF(AY125="","",0.94*R125)</f>
        <v/>
      </c>
      <c r="BC125" s="9" t="str">
        <f aca="false">IF(AY125="","",(BA125+BB125)/2)</f>
        <v/>
      </c>
      <c r="BD125" s="9" t="str">
        <f aca="false">IF(OR(R125="",N125="",BC125="",R125&lt;=0,BC125&lt;=0),"",(1/Inputs!$B$9)*((R125^2/8)*((2*ACOS(1-2*BC125/R125))-SIN((2*ACOS(1-2*BC125/R125)))))*((((R125^2/8)*((2*ACOS(1-2*BC125/R125))-SIN((2*ACOS(1-2*BC125/R125)))))/((R125/2)*((2*ACOS(1-2*BC125/R125)))))^(2/3))*SQRT(N125))</f>
        <v/>
      </c>
      <c r="BE125" s="9" t="str">
        <f aca="false">IF(AY125="","",IF(BD125&lt;AY125,BC125,BA125))</f>
        <v/>
      </c>
      <c r="BF125" s="9" t="str">
        <f aca="false">IF(AY125="","",IF(BD125&lt;AY125,BB125,BC125))</f>
        <v/>
      </c>
      <c r="BG125" s="9" t="str">
        <f aca="false">IF(AY125="","",(BE125+BF125)/2)</f>
        <v/>
      </c>
      <c r="BH125" s="9" t="str">
        <f aca="false">IF(OR(R125="",N125="",BG125="",R125&lt;=0,BG125&lt;=0),"",(1/Inputs!$B$9)*((R125^2/8)*((2*ACOS(1-2*BG125/R125))-SIN((2*ACOS(1-2*BG125/R125)))))*((((R125^2/8)*((2*ACOS(1-2*BG125/R125))-SIN((2*ACOS(1-2*BG125/R125)))))/((R125/2)*((2*ACOS(1-2*BG125/R125)))))^(2/3))*SQRT(N125))</f>
        <v/>
      </c>
      <c r="BI125" s="9" t="str">
        <f aca="false">IF(AY125="","",IF(BH125&lt;AY125,BG125,BE125))</f>
        <v/>
      </c>
      <c r="BJ125" s="9" t="str">
        <f aca="false">IF(AY125="","",IF(BH125&lt;AY125,BF125,BG125))</f>
        <v/>
      </c>
      <c r="BK125" s="9" t="str">
        <f aca="false">IF(AY125="","",(BI125+BJ125)/2)</f>
        <v/>
      </c>
      <c r="BL125" s="9" t="str">
        <f aca="false">IF(OR(R125="",N125="",BK125="",R125&lt;=0,BK125&lt;=0),"",(1/Inputs!$B$9)*((R125^2/8)*((2*ACOS(1-2*BK125/R125))-SIN((2*ACOS(1-2*BK125/R125)))))*((((R125^2/8)*((2*ACOS(1-2*BK125/R125))-SIN((2*ACOS(1-2*BK125/R125)))))/((R125/2)*((2*ACOS(1-2*BK125/R125)))))^(2/3))*SQRT(N125))</f>
        <v/>
      </c>
      <c r="BM125" s="9" t="str">
        <f aca="false">IF(AY125="","",IF(BL125&lt;AY125,BK125,BI125))</f>
        <v/>
      </c>
      <c r="BN125" s="9" t="str">
        <f aca="false">IF(AY125="","",IF(BL125&lt;AY125,BJ125,BK125))</f>
        <v/>
      </c>
      <c r="BO125" s="9" t="str">
        <f aca="false">IF(AY125="","",(BM125+BN125)/2)</f>
        <v/>
      </c>
      <c r="BP125" s="9" t="str">
        <f aca="false">IF(OR(R125="",N125="",BO125="",R125&lt;=0,BO125&lt;=0),"",(1/Inputs!$B$9)*((R125^2/8)*((2*ACOS(1-2*BO125/R125))-SIN((2*ACOS(1-2*BO125/R125)))))*((((R125^2/8)*((2*ACOS(1-2*BO125/R125))-SIN((2*ACOS(1-2*BO125/R125)))))/((R125/2)*((2*ACOS(1-2*BO125/R125)))))^(2/3))*SQRT(N125))</f>
        <v/>
      </c>
      <c r="BQ125" s="9" t="str">
        <f aca="false">IF(AY125="","",IF(BP125&lt;AY125,BO125,BM125))</f>
        <v/>
      </c>
      <c r="BR125" s="9" t="str">
        <f aca="false">IF(AY125="","",IF(BP125&lt;AY125,BN125,BO125))</f>
        <v/>
      </c>
      <c r="BS125" s="9" t="str">
        <f aca="false">IF(AY125="","",(BQ125+BR125)/2)</f>
        <v/>
      </c>
      <c r="BT125" s="9" t="str">
        <f aca="false">IF(OR(R125="",N125="",BS125="",R125&lt;=0,BS125&lt;=0),"",(1/Inputs!$B$9)*((R125^2/8)*((2*ACOS(1-2*BS125/R125))-SIN((2*ACOS(1-2*BS125/R125)))))*((((R125^2/8)*((2*ACOS(1-2*BS125/R125))-SIN((2*ACOS(1-2*BS125/R125)))))/((R125/2)*((2*ACOS(1-2*BS125/R125)))))^(2/3))*SQRT(N125))</f>
        <v/>
      </c>
      <c r="BU125" s="9" t="str">
        <f aca="false">IF(AY125="","",IF(BT125&lt;AY125,BS125,BQ125))</f>
        <v/>
      </c>
      <c r="BV125" s="9" t="str">
        <f aca="false">IF(AY125="","",IF(BT125&lt;AY125,BR125,BS125))</f>
        <v/>
      </c>
      <c r="BW125" s="9" t="str">
        <f aca="false">IF(AY125="","",(BU125+BV125)/2)</f>
        <v/>
      </c>
      <c r="BX125" s="9" t="str">
        <f aca="false">IF(OR(R125="",N125="",BW125="",R125&lt;=0,BW125&lt;=0),"",(1/Inputs!$B$9)*((R125^2/8)*((2*ACOS(1-2*BW125/R125))-SIN((2*ACOS(1-2*BW125/R125)))))*((((R125^2/8)*((2*ACOS(1-2*BW125/R125))-SIN((2*ACOS(1-2*BW125/R125)))))/((R125/2)*((2*ACOS(1-2*BW125/R125)))))^(2/3))*SQRT(N125))</f>
        <v/>
      </c>
      <c r="BY125" s="9" t="str">
        <f aca="false">IF(AY125="","",IF(BX125&lt;AY125,BW125,BU125))</f>
        <v/>
      </c>
      <c r="BZ125" s="9" t="str">
        <f aca="false">IF(AY125="","",IF(BX125&lt;AY125,BV125,BW125))</f>
        <v/>
      </c>
      <c r="CA125" s="9" t="str">
        <f aca="false">IF(AY125="","",(BY125+BZ125)/2)</f>
        <v/>
      </c>
      <c r="CB125" s="9" t="str">
        <f aca="false">IF(OR(R125="",N125="",CA125="",R125&lt;=0,CA125&lt;=0),"",(1/Inputs!$B$9)*((R125^2/8)*((2*ACOS(1-2*CA125/R125))-SIN((2*ACOS(1-2*CA125/R125)))))*((((R125^2/8)*((2*ACOS(1-2*CA125/R125))-SIN((2*ACOS(1-2*CA125/R125)))))/((R125/2)*((2*ACOS(1-2*CA125/R125)))))^(2/3))*SQRT(N125))</f>
        <v/>
      </c>
      <c r="CC125" s="9" t="str">
        <f aca="false">IF(AY125="","",IF(CB125&lt;AY125,CA125,BY125))</f>
        <v/>
      </c>
      <c r="CD125" s="9" t="str">
        <f aca="false">IF(AY125="","",IF(CB125&lt;AY125,BZ125,CA125))</f>
        <v/>
      </c>
      <c r="CE125" s="9" t="str">
        <f aca="false">IF(AY125="","",(CC125+CD125)/2)</f>
        <v/>
      </c>
    </row>
    <row r="126" customFormat="false" ht="15" hidden="false" customHeight="false" outlineLevel="0" collapsed="false">
      <c r="A126" s="9"/>
      <c r="B126" s="9"/>
      <c r="C126" s="14"/>
      <c r="D126" s="14"/>
      <c r="E126" s="14" t="n">
        <f aca="false">SUMIFS(CB_Tributaires!$C:$C,CB_Tributaires!$B:$B,$A126)</f>
        <v>0</v>
      </c>
      <c r="F126" s="14" t="n">
        <f aca="false">IF(D126="",E126,D126)</f>
        <v>0</v>
      </c>
      <c r="G126" s="9"/>
      <c r="H126" s="14"/>
      <c r="I126" s="14" t="str">
        <f aca="false">IF(A126="","",Inputs!$B$13/((IF(AS126="",Inputs!$B$18,AS126)+Inputs!$B$14)^Inputs!$B$15))</f>
        <v/>
      </c>
      <c r="J126" s="14" t="str">
        <f aca="false">IF(A126="","",0.000000278*IF(G126="",Inputs!$B$17,G126)*F126*I126)</f>
        <v/>
      </c>
      <c r="K126" s="14" t="str">
        <f aca="false">IF(A126="","",SUMIFS($L$4:$L$203,$B$4:$B$203,$A126))</f>
        <v/>
      </c>
      <c r="L126" s="14" t="str">
        <f aca="false">IF(A126="","",(J126+K126)*Inputs!$B$16)</f>
        <v/>
      </c>
      <c r="M126" s="14"/>
      <c r="N126" s="14" t="str">
        <f aca="false">IF(A126="","",IF(M126="",Inputs!$B$7,M126))</f>
        <v/>
      </c>
      <c r="O126" s="9" t="str">
        <f aca="false">IF(A126="","",IF(L126/Inputs!$B$10&lt;=AD126,Inputs!$F$5,IF(L126/Inputs!$B$10&gt;AM126,"OVERSIZE",INDEX(Inputs!$F$5:$F$14,MATCH(L126/Inputs!$B$10,AD126:AM126,1)+1))))</f>
        <v/>
      </c>
      <c r="P126" s="9"/>
      <c r="Q126" s="9" t="str">
        <f aca="false">IF(A126="","",IF(P126="",O126,P126))</f>
        <v/>
      </c>
      <c r="R126" s="14" t="str">
        <f aca="false">IF(OR(Q126="",Q126="OVERSIZE"),"",Q126/1000)</f>
        <v/>
      </c>
      <c r="S126" s="14" t="str">
        <f aca="false">IF(R126="","",(1/Inputs!$B$9)*(PI()*R126^2/4)*((R126/4)^(2/3))*SQRT(N126))</f>
        <v/>
      </c>
      <c r="T126" s="14" t="str">
        <f aca="false">IF(OR(S126="",L126=""),"",L126/(S126*Inputs!$B$10))</f>
        <v/>
      </c>
      <c r="U126" s="14" t="str">
        <f aca="false">IF(OR(R126="",L126=""),"",4*L126/(PI()*R126^2))</f>
        <v/>
      </c>
      <c r="V126" s="14"/>
      <c r="W126" s="14" t="str">
        <f aca="false">IF(A126="","",IF(A126=Inputs!$B$6,Inputs!$B$22,IF(B126="","",IFERROR(INDEX($X$4:$X$203,MATCH(B126,$A$4:$A$203,0))+IF(V126="",Inputs!$B$20,V126),""))))</f>
        <v/>
      </c>
      <c r="X126" s="14" t="str">
        <f aca="false">IF(OR(W126="",N126="",C126=""),"",W126+N126*C126)</f>
        <v/>
      </c>
      <c r="Y126" s="14"/>
      <c r="Z126" s="14"/>
      <c r="AA126" s="14" t="str">
        <f aca="false">IF(OR(Y126="",W126=""),"",Y126-W126)</f>
        <v/>
      </c>
      <c r="AB126" s="14" t="str">
        <f aca="false">IF(OR(Z126="",X126=""),"",Z126-X126)</f>
        <v/>
      </c>
      <c r="AC126" s="19" t="str">
        <f aca="false">IF(A126="","",IF(OR(T126&gt;1,AND(AV126&lt;&gt;"",AV126&lt;Inputs!$B$11),AND(AV126&lt;&gt;"",AV126&gt;Inputs!$B$12),AA126&lt;Inputs!$B$19,AB126&lt;Inputs!$B$19,N126&lt;Inputs!$B$7,N126&gt;Inputs!$B$8),"CHECK","OK"))</f>
        <v/>
      </c>
      <c r="AD126" s="9" t="str">
        <f aca="false">IF(A126="","",(1/Inputs!$B$9)*(PI()*(Inputs!$F$5/1000)^2/4)*((Inputs!$F$5/1000/4)^(2/3))*SQRT(N126))</f>
        <v/>
      </c>
      <c r="AE126" s="9" t="str">
        <f aca="false">IF(A126="","",(1/Inputs!$B$9)*(PI()*(Inputs!$F$6/1000)^2/4)*((Inputs!$F$6/1000/4)^(2/3))*SQRT(N126))</f>
        <v/>
      </c>
      <c r="AF126" s="9" t="str">
        <f aca="false">IF(A126="","",(1/Inputs!$B$9)*(PI()*(Inputs!$F$7/1000)^2/4)*((Inputs!$F$7/1000/4)^(2/3))*SQRT(N126))</f>
        <v/>
      </c>
      <c r="AG126" s="9" t="str">
        <f aca="false">IF(A126="","",(1/Inputs!$B$9)*(PI()*(Inputs!$F$8/1000)^2/4)*((Inputs!$F$8/1000/4)^(2/3))*SQRT(N126))</f>
        <v/>
      </c>
      <c r="AH126" s="9" t="str">
        <f aca="false">IF(A126="","",(1/Inputs!$B$9)*(PI()*(Inputs!$F$9/1000)^2/4)*((Inputs!$F$9/1000/4)^(2/3))*SQRT(N126))</f>
        <v/>
      </c>
      <c r="AI126" s="9" t="str">
        <f aca="false">IF(A126="","",(1/Inputs!$B$9)*(PI()*(Inputs!$F$10/1000)^2/4)*((Inputs!$F$10/1000/4)^(2/3))*SQRT(N126))</f>
        <v/>
      </c>
      <c r="AJ126" s="9" t="str">
        <f aca="false">IF(A126="","",(1/Inputs!$B$9)*(PI()*(Inputs!$F$11/1000)^2/4)*((Inputs!$F$11/1000/4)^(2/3))*SQRT(N126))</f>
        <v/>
      </c>
      <c r="AK126" s="9" t="str">
        <f aca="false">IF(A126="","",(1/Inputs!$B$9)*(PI()*(Inputs!$F$12/1000)^2/4)*((Inputs!$F$12/1000/4)^(2/3))*SQRT(N126))</f>
        <v/>
      </c>
      <c r="AL126" s="9" t="str">
        <f aca="false">IF(A126="","",(1/Inputs!$B$9)*(PI()*(Inputs!$F$13/1000)^2/4)*((Inputs!$F$13/1000/4)^(2/3))*SQRT(N126))</f>
        <v/>
      </c>
      <c r="AM126" s="9" t="str">
        <f aca="false">IF(A126="","",(1/Inputs!$B$9)*(PI()*(Inputs!$F$14/1000)^2/4)*((Inputs!$F$14/1000/4)^(2/3))*SQRT(N126))</f>
        <v/>
      </c>
      <c r="AN126" s="9" t="str">
        <f aca="false">IF(A126="","",COUNTIF($B$4:$B$203,$A126))</f>
        <v/>
      </c>
      <c r="AO126" s="9" t="str">
        <f aca="false">IF(A126="","",IF(AN126=0,"START","CONTINUOUS"))</f>
        <v/>
      </c>
      <c r="AP126" s="13" t="str">
        <f aca="false">IF(A126="","",IF(H126="",Inputs!$B$18,H126))</f>
        <v/>
      </c>
      <c r="AQ126" s="13" t="str">
        <f aca="false">IF(A126="","",IFERROR(maxifs($AS$4:$AS$203,$B$4:$B$203,$A126),""))</f>
        <v/>
      </c>
      <c r="AR126" s="13" t="str">
        <f aca="false">IF(A126="","",IF(OR(C126="",Inputs!$B$23=""),"",C126/(Inputs!$B$23*60)))</f>
        <v/>
      </c>
      <c r="AS126" s="13" t="str">
        <f aca="false">IF(A126="","",IF(AN126=0,AP126+AR126,IF(AQ126="",AP126+AR126,AQ126+AR126)))</f>
        <v/>
      </c>
      <c r="AT126" s="13" t="str">
        <f aca="false">IF(A126="","",U126)</f>
        <v/>
      </c>
      <c r="AU126" s="13" t="str">
        <f aca="false">IF(OR(R126="",N126=""),"",(1/Inputs!$B$9)*((R126/4)^(2/3))*SQRT(N126))</f>
        <v/>
      </c>
      <c r="AV126" s="13" t="str">
        <f aca="false">IF(A126="","",IF(AND(AT126="",AU126="",AX126=""),"",IF(OR(UPPER(TRIM(Inputs!$B$24))="MANNING",UPPER(TRIM(Inputs!$B$24))="M"),AU126,IF(OR(UPPER(TRIM(Inputs!$B$24))="PARTIAL",UPPER(TRIM(Inputs!$B$24))="P"),AX126,IF(OR(UPPER(TRIM(Inputs!$B$24))="MAX",UPPER(TRIM(Inputs!$B$24))="X"),MAX(IF(AT126="",0,AT126),IF(AU126="",0,AU126),IF(AX126="",0,AX126)),AT126)))))</f>
        <v/>
      </c>
      <c r="AW126" s="13" t="str">
        <f aca="false">IF(AY126="","",CE126)</f>
        <v/>
      </c>
      <c r="AX126" s="13" t="str">
        <f aca="false">IF(OR(AY126="",AW126="",R126="",R126&lt;=0,AW126&lt;=0),"",AY126/((R126^2/8)*(2*ACOS(1-2*AW126/R126)-SIN(2*ACOS(1-2*AW126/R126)))))</f>
        <v/>
      </c>
      <c r="AY126" s="9" t="str">
        <f aca="false">IF(OR(L126="",AZ126=""),"",MIN(L126,AZ126))</f>
        <v/>
      </c>
      <c r="AZ126" s="9" t="str">
        <f aca="false">IF(OR(L126="",R126="",N126=""),"",IF(OR(R126="",N126="",(0.94*R126)="",R126&lt;=0,(0.94*R126)&lt;=0),"",(1/Inputs!$B$9)*((R126^2/8)*((2*ACOS(1-2*(0.94*R126)/R126))-SIN((2*ACOS(1-2*(0.94*R126)/R126)))))*((((R126^2/8)*((2*ACOS(1-2*(0.94*R126)/R126))-SIN((2*ACOS(1-2*(0.94*R126)/R126)))))/((R126/2)*((2*ACOS(1-2*(0.94*R126)/R126)))))^(2/3))*SQRT(N126)))</f>
        <v/>
      </c>
      <c r="BA126" s="9" t="str">
        <f aca="false">IF(AY126="","",0.001*R126)</f>
        <v/>
      </c>
      <c r="BB126" s="9" t="str">
        <f aca="false">IF(AY126="","",0.94*R126)</f>
        <v/>
      </c>
      <c r="BC126" s="9" t="str">
        <f aca="false">IF(AY126="","",(BA126+BB126)/2)</f>
        <v/>
      </c>
      <c r="BD126" s="9" t="str">
        <f aca="false">IF(OR(R126="",N126="",BC126="",R126&lt;=0,BC126&lt;=0),"",(1/Inputs!$B$9)*((R126^2/8)*((2*ACOS(1-2*BC126/R126))-SIN((2*ACOS(1-2*BC126/R126)))))*((((R126^2/8)*((2*ACOS(1-2*BC126/R126))-SIN((2*ACOS(1-2*BC126/R126)))))/((R126/2)*((2*ACOS(1-2*BC126/R126)))))^(2/3))*SQRT(N126))</f>
        <v/>
      </c>
      <c r="BE126" s="9" t="str">
        <f aca="false">IF(AY126="","",IF(BD126&lt;AY126,BC126,BA126))</f>
        <v/>
      </c>
      <c r="BF126" s="9" t="str">
        <f aca="false">IF(AY126="","",IF(BD126&lt;AY126,BB126,BC126))</f>
        <v/>
      </c>
      <c r="BG126" s="9" t="str">
        <f aca="false">IF(AY126="","",(BE126+BF126)/2)</f>
        <v/>
      </c>
      <c r="BH126" s="9" t="str">
        <f aca="false">IF(OR(R126="",N126="",BG126="",R126&lt;=0,BG126&lt;=0),"",(1/Inputs!$B$9)*((R126^2/8)*((2*ACOS(1-2*BG126/R126))-SIN((2*ACOS(1-2*BG126/R126)))))*((((R126^2/8)*((2*ACOS(1-2*BG126/R126))-SIN((2*ACOS(1-2*BG126/R126)))))/((R126/2)*((2*ACOS(1-2*BG126/R126)))))^(2/3))*SQRT(N126))</f>
        <v/>
      </c>
      <c r="BI126" s="9" t="str">
        <f aca="false">IF(AY126="","",IF(BH126&lt;AY126,BG126,BE126))</f>
        <v/>
      </c>
      <c r="BJ126" s="9" t="str">
        <f aca="false">IF(AY126="","",IF(BH126&lt;AY126,BF126,BG126))</f>
        <v/>
      </c>
      <c r="BK126" s="9" t="str">
        <f aca="false">IF(AY126="","",(BI126+BJ126)/2)</f>
        <v/>
      </c>
      <c r="BL126" s="9" t="str">
        <f aca="false">IF(OR(R126="",N126="",BK126="",R126&lt;=0,BK126&lt;=0),"",(1/Inputs!$B$9)*((R126^2/8)*((2*ACOS(1-2*BK126/R126))-SIN((2*ACOS(1-2*BK126/R126)))))*((((R126^2/8)*((2*ACOS(1-2*BK126/R126))-SIN((2*ACOS(1-2*BK126/R126)))))/((R126/2)*((2*ACOS(1-2*BK126/R126)))))^(2/3))*SQRT(N126))</f>
        <v/>
      </c>
      <c r="BM126" s="9" t="str">
        <f aca="false">IF(AY126="","",IF(BL126&lt;AY126,BK126,BI126))</f>
        <v/>
      </c>
      <c r="BN126" s="9" t="str">
        <f aca="false">IF(AY126="","",IF(BL126&lt;AY126,BJ126,BK126))</f>
        <v/>
      </c>
      <c r="BO126" s="9" t="str">
        <f aca="false">IF(AY126="","",(BM126+BN126)/2)</f>
        <v/>
      </c>
      <c r="BP126" s="9" t="str">
        <f aca="false">IF(OR(R126="",N126="",BO126="",R126&lt;=0,BO126&lt;=0),"",(1/Inputs!$B$9)*((R126^2/8)*((2*ACOS(1-2*BO126/R126))-SIN((2*ACOS(1-2*BO126/R126)))))*((((R126^2/8)*((2*ACOS(1-2*BO126/R126))-SIN((2*ACOS(1-2*BO126/R126)))))/((R126/2)*((2*ACOS(1-2*BO126/R126)))))^(2/3))*SQRT(N126))</f>
        <v/>
      </c>
      <c r="BQ126" s="9" t="str">
        <f aca="false">IF(AY126="","",IF(BP126&lt;AY126,BO126,BM126))</f>
        <v/>
      </c>
      <c r="BR126" s="9" t="str">
        <f aca="false">IF(AY126="","",IF(BP126&lt;AY126,BN126,BO126))</f>
        <v/>
      </c>
      <c r="BS126" s="9" t="str">
        <f aca="false">IF(AY126="","",(BQ126+BR126)/2)</f>
        <v/>
      </c>
      <c r="BT126" s="9" t="str">
        <f aca="false">IF(OR(R126="",N126="",BS126="",R126&lt;=0,BS126&lt;=0),"",(1/Inputs!$B$9)*((R126^2/8)*((2*ACOS(1-2*BS126/R126))-SIN((2*ACOS(1-2*BS126/R126)))))*((((R126^2/8)*((2*ACOS(1-2*BS126/R126))-SIN((2*ACOS(1-2*BS126/R126)))))/((R126/2)*((2*ACOS(1-2*BS126/R126)))))^(2/3))*SQRT(N126))</f>
        <v/>
      </c>
      <c r="BU126" s="9" t="str">
        <f aca="false">IF(AY126="","",IF(BT126&lt;AY126,BS126,BQ126))</f>
        <v/>
      </c>
      <c r="BV126" s="9" t="str">
        <f aca="false">IF(AY126="","",IF(BT126&lt;AY126,BR126,BS126))</f>
        <v/>
      </c>
      <c r="BW126" s="9" t="str">
        <f aca="false">IF(AY126="","",(BU126+BV126)/2)</f>
        <v/>
      </c>
      <c r="BX126" s="9" t="str">
        <f aca="false">IF(OR(R126="",N126="",BW126="",R126&lt;=0,BW126&lt;=0),"",(1/Inputs!$B$9)*((R126^2/8)*((2*ACOS(1-2*BW126/R126))-SIN((2*ACOS(1-2*BW126/R126)))))*((((R126^2/8)*((2*ACOS(1-2*BW126/R126))-SIN((2*ACOS(1-2*BW126/R126)))))/((R126/2)*((2*ACOS(1-2*BW126/R126)))))^(2/3))*SQRT(N126))</f>
        <v/>
      </c>
      <c r="BY126" s="9" t="str">
        <f aca="false">IF(AY126="","",IF(BX126&lt;AY126,BW126,BU126))</f>
        <v/>
      </c>
      <c r="BZ126" s="9" t="str">
        <f aca="false">IF(AY126="","",IF(BX126&lt;AY126,BV126,BW126))</f>
        <v/>
      </c>
      <c r="CA126" s="9" t="str">
        <f aca="false">IF(AY126="","",(BY126+BZ126)/2)</f>
        <v/>
      </c>
      <c r="CB126" s="9" t="str">
        <f aca="false">IF(OR(R126="",N126="",CA126="",R126&lt;=0,CA126&lt;=0),"",(1/Inputs!$B$9)*((R126^2/8)*((2*ACOS(1-2*CA126/R126))-SIN((2*ACOS(1-2*CA126/R126)))))*((((R126^2/8)*((2*ACOS(1-2*CA126/R126))-SIN((2*ACOS(1-2*CA126/R126)))))/((R126/2)*((2*ACOS(1-2*CA126/R126)))))^(2/3))*SQRT(N126))</f>
        <v/>
      </c>
      <c r="CC126" s="9" t="str">
        <f aca="false">IF(AY126="","",IF(CB126&lt;AY126,CA126,BY126))</f>
        <v/>
      </c>
      <c r="CD126" s="9" t="str">
        <f aca="false">IF(AY126="","",IF(CB126&lt;AY126,BZ126,CA126))</f>
        <v/>
      </c>
      <c r="CE126" s="9" t="str">
        <f aca="false">IF(AY126="","",(CC126+CD126)/2)</f>
        <v/>
      </c>
    </row>
    <row r="127" customFormat="false" ht="15" hidden="false" customHeight="false" outlineLevel="0" collapsed="false">
      <c r="A127" s="9"/>
      <c r="B127" s="9"/>
      <c r="C127" s="14"/>
      <c r="D127" s="14"/>
      <c r="E127" s="14" t="n">
        <f aca="false">SUMIFS(CB_Tributaires!$C:$C,CB_Tributaires!$B:$B,$A127)</f>
        <v>0</v>
      </c>
      <c r="F127" s="14" t="n">
        <f aca="false">IF(D127="",E127,D127)</f>
        <v>0</v>
      </c>
      <c r="G127" s="9"/>
      <c r="H127" s="14"/>
      <c r="I127" s="14" t="str">
        <f aca="false">IF(A127="","",Inputs!$B$13/((IF(AS127="",Inputs!$B$18,AS127)+Inputs!$B$14)^Inputs!$B$15))</f>
        <v/>
      </c>
      <c r="J127" s="14" t="str">
        <f aca="false">IF(A127="","",0.000000278*IF(G127="",Inputs!$B$17,G127)*F127*I127)</f>
        <v/>
      </c>
      <c r="K127" s="14" t="str">
        <f aca="false">IF(A127="","",SUMIFS($L$4:$L$203,$B$4:$B$203,$A127))</f>
        <v/>
      </c>
      <c r="L127" s="14" t="str">
        <f aca="false">IF(A127="","",(J127+K127)*Inputs!$B$16)</f>
        <v/>
      </c>
      <c r="M127" s="14"/>
      <c r="N127" s="14" t="str">
        <f aca="false">IF(A127="","",IF(M127="",Inputs!$B$7,M127))</f>
        <v/>
      </c>
      <c r="O127" s="9" t="str">
        <f aca="false">IF(A127="","",IF(L127/Inputs!$B$10&lt;=AD127,Inputs!$F$5,IF(L127/Inputs!$B$10&gt;AM127,"OVERSIZE",INDEX(Inputs!$F$5:$F$14,MATCH(L127/Inputs!$B$10,AD127:AM127,1)+1))))</f>
        <v/>
      </c>
      <c r="P127" s="9"/>
      <c r="Q127" s="9" t="str">
        <f aca="false">IF(A127="","",IF(P127="",O127,P127))</f>
        <v/>
      </c>
      <c r="R127" s="14" t="str">
        <f aca="false">IF(OR(Q127="",Q127="OVERSIZE"),"",Q127/1000)</f>
        <v/>
      </c>
      <c r="S127" s="14" t="str">
        <f aca="false">IF(R127="","",(1/Inputs!$B$9)*(PI()*R127^2/4)*((R127/4)^(2/3))*SQRT(N127))</f>
        <v/>
      </c>
      <c r="T127" s="14" t="str">
        <f aca="false">IF(OR(S127="",L127=""),"",L127/(S127*Inputs!$B$10))</f>
        <v/>
      </c>
      <c r="U127" s="14" t="str">
        <f aca="false">IF(OR(R127="",L127=""),"",4*L127/(PI()*R127^2))</f>
        <v/>
      </c>
      <c r="V127" s="14"/>
      <c r="W127" s="14" t="str">
        <f aca="false">IF(A127="","",IF(A127=Inputs!$B$6,Inputs!$B$22,IF(B127="","",IFERROR(INDEX($X$4:$X$203,MATCH(B127,$A$4:$A$203,0))+IF(V127="",Inputs!$B$20,V127),""))))</f>
        <v/>
      </c>
      <c r="X127" s="14" t="str">
        <f aca="false">IF(OR(W127="",N127="",C127=""),"",W127+N127*C127)</f>
        <v/>
      </c>
      <c r="Y127" s="14"/>
      <c r="Z127" s="14"/>
      <c r="AA127" s="14" t="str">
        <f aca="false">IF(OR(Y127="",W127=""),"",Y127-W127)</f>
        <v/>
      </c>
      <c r="AB127" s="14" t="str">
        <f aca="false">IF(OR(Z127="",X127=""),"",Z127-X127)</f>
        <v/>
      </c>
      <c r="AC127" s="19" t="str">
        <f aca="false">IF(A127="","",IF(OR(T127&gt;1,AND(AV127&lt;&gt;"",AV127&lt;Inputs!$B$11),AND(AV127&lt;&gt;"",AV127&gt;Inputs!$B$12),AA127&lt;Inputs!$B$19,AB127&lt;Inputs!$B$19,N127&lt;Inputs!$B$7,N127&gt;Inputs!$B$8),"CHECK","OK"))</f>
        <v/>
      </c>
      <c r="AD127" s="9" t="str">
        <f aca="false">IF(A127="","",(1/Inputs!$B$9)*(PI()*(Inputs!$F$5/1000)^2/4)*((Inputs!$F$5/1000/4)^(2/3))*SQRT(N127))</f>
        <v/>
      </c>
      <c r="AE127" s="9" t="str">
        <f aca="false">IF(A127="","",(1/Inputs!$B$9)*(PI()*(Inputs!$F$6/1000)^2/4)*((Inputs!$F$6/1000/4)^(2/3))*SQRT(N127))</f>
        <v/>
      </c>
      <c r="AF127" s="9" t="str">
        <f aca="false">IF(A127="","",(1/Inputs!$B$9)*(PI()*(Inputs!$F$7/1000)^2/4)*((Inputs!$F$7/1000/4)^(2/3))*SQRT(N127))</f>
        <v/>
      </c>
      <c r="AG127" s="9" t="str">
        <f aca="false">IF(A127="","",(1/Inputs!$B$9)*(PI()*(Inputs!$F$8/1000)^2/4)*((Inputs!$F$8/1000/4)^(2/3))*SQRT(N127))</f>
        <v/>
      </c>
      <c r="AH127" s="9" t="str">
        <f aca="false">IF(A127="","",(1/Inputs!$B$9)*(PI()*(Inputs!$F$9/1000)^2/4)*((Inputs!$F$9/1000/4)^(2/3))*SQRT(N127))</f>
        <v/>
      </c>
      <c r="AI127" s="9" t="str">
        <f aca="false">IF(A127="","",(1/Inputs!$B$9)*(PI()*(Inputs!$F$10/1000)^2/4)*((Inputs!$F$10/1000/4)^(2/3))*SQRT(N127))</f>
        <v/>
      </c>
      <c r="AJ127" s="9" t="str">
        <f aca="false">IF(A127="","",(1/Inputs!$B$9)*(PI()*(Inputs!$F$11/1000)^2/4)*((Inputs!$F$11/1000/4)^(2/3))*SQRT(N127))</f>
        <v/>
      </c>
      <c r="AK127" s="9" t="str">
        <f aca="false">IF(A127="","",(1/Inputs!$B$9)*(PI()*(Inputs!$F$12/1000)^2/4)*((Inputs!$F$12/1000/4)^(2/3))*SQRT(N127))</f>
        <v/>
      </c>
      <c r="AL127" s="9" t="str">
        <f aca="false">IF(A127="","",(1/Inputs!$B$9)*(PI()*(Inputs!$F$13/1000)^2/4)*((Inputs!$F$13/1000/4)^(2/3))*SQRT(N127))</f>
        <v/>
      </c>
      <c r="AM127" s="9" t="str">
        <f aca="false">IF(A127="","",(1/Inputs!$B$9)*(PI()*(Inputs!$F$14/1000)^2/4)*((Inputs!$F$14/1000/4)^(2/3))*SQRT(N127))</f>
        <v/>
      </c>
      <c r="AN127" s="9" t="str">
        <f aca="false">IF(A127="","",COUNTIF($B$4:$B$203,$A127))</f>
        <v/>
      </c>
      <c r="AO127" s="9" t="str">
        <f aca="false">IF(A127="","",IF(AN127=0,"START","CONTINUOUS"))</f>
        <v/>
      </c>
      <c r="AP127" s="13" t="str">
        <f aca="false">IF(A127="","",IF(H127="",Inputs!$B$18,H127))</f>
        <v/>
      </c>
      <c r="AQ127" s="13" t="str">
        <f aca="false">IF(A127="","",IFERROR(maxifs($AS$4:$AS$203,$B$4:$B$203,$A127),""))</f>
        <v/>
      </c>
      <c r="AR127" s="13" t="str">
        <f aca="false">IF(A127="","",IF(OR(C127="",Inputs!$B$23=""),"",C127/(Inputs!$B$23*60)))</f>
        <v/>
      </c>
      <c r="AS127" s="13" t="str">
        <f aca="false">IF(A127="","",IF(AN127=0,AP127+AR127,IF(AQ127="",AP127+AR127,AQ127+AR127)))</f>
        <v/>
      </c>
      <c r="AT127" s="13" t="str">
        <f aca="false">IF(A127="","",U127)</f>
        <v/>
      </c>
      <c r="AU127" s="13" t="str">
        <f aca="false">IF(OR(R127="",N127=""),"",(1/Inputs!$B$9)*((R127/4)^(2/3))*SQRT(N127))</f>
        <v/>
      </c>
      <c r="AV127" s="13" t="str">
        <f aca="false">IF(A127="","",IF(AND(AT127="",AU127="",AX127=""),"",IF(OR(UPPER(TRIM(Inputs!$B$24))="MANNING",UPPER(TRIM(Inputs!$B$24))="M"),AU127,IF(OR(UPPER(TRIM(Inputs!$B$24))="PARTIAL",UPPER(TRIM(Inputs!$B$24))="P"),AX127,IF(OR(UPPER(TRIM(Inputs!$B$24))="MAX",UPPER(TRIM(Inputs!$B$24))="X"),MAX(IF(AT127="",0,AT127),IF(AU127="",0,AU127),IF(AX127="",0,AX127)),AT127)))))</f>
        <v/>
      </c>
      <c r="AW127" s="13" t="str">
        <f aca="false">IF(AY127="","",CE127)</f>
        <v/>
      </c>
      <c r="AX127" s="13" t="str">
        <f aca="false">IF(OR(AY127="",AW127="",R127="",R127&lt;=0,AW127&lt;=0),"",AY127/((R127^2/8)*(2*ACOS(1-2*AW127/R127)-SIN(2*ACOS(1-2*AW127/R127)))))</f>
        <v/>
      </c>
      <c r="AY127" s="9" t="str">
        <f aca="false">IF(OR(L127="",AZ127=""),"",MIN(L127,AZ127))</f>
        <v/>
      </c>
      <c r="AZ127" s="9" t="str">
        <f aca="false">IF(OR(L127="",R127="",N127=""),"",IF(OR(R127="",N127="",(0.94*R127)="",R127&lt;=0,(0.94*R127)&lt;=0),"",(1/Inputs!$B$9)*((R127^2/8)*((2*ACOS(1-2*(0.94*R127)/R127))-SIN((2*ACOS(1-2*(0.94*R127)/R127)))))*((((R127^2/8)*((2*ACOS(1-2*(0.94*R127)/R127))-SIN((2*ACOS(1-2*(0.94*R127)/R127)))))/((R127/2)*((2*ACOS(1-2*(0.94*R127)/R127)))))^(2/3))*SQRT(N127)))</f>
        <v/>
      </c>
      <c r="BA127" s="9" t="str">
        <f aca="false">IF(AY127="","",0.001*R127)</f>
        <v/>
      </c>
      <c r="BB127" s="9" t="str">
        <f aca="false">IF(AY127="","",0.94*R127)</f>
        <v/>
      </c>
      <c r="BC127" s="9" t="str">
        <f aca="false">IF(AY127="","",(BA127+BB127)/2)</f>
        <v/>
      </c>
      <c r="BD127" s="9" t="str">
        <f aca="false">IF(OR(R127="",N127="",BC127="",R127&lt;=0,BC127&lt;=0),"",(1/Inputs!$B$9)*((R127^2/8)*((2*ACOS(1-2*BC127/R127))-SIN((2*ACOS(1-2*BC127/R127)))))*((((R127^2/8)*((2*ACOS(1-2*BC127/R127))-SIN((2*ACOS(1-2*BC127/R127)))))/((R127/2)*((2*ACOS(1-2*BC127/R127)))))^(2/3))*SQRT(N127))</f>
        <v/>
      </c>
      <c r="BE127" s="9" t="str">
        <f aca="false">IF(AY127="","",IF(BD127&lt;AY127,BC127,BA127))</f>
        <v/>
      </c>
      <c r="BF127" s="9" t="str">
        <f aca="false">IF(AY127="","",IF(BD127&lt;AY127,BB127,BC127))</f>
        <v/>
      </c>
      <c r="BG127" s="9" t="str">
        <f aca="false">IF(AY127="","",(BE127+BF127)/2)</f>
        <v/>
      </c>
      <c r="BH127" s="9" t="str">
        <f aca="false">IF(OR(R127="",N127="",BG127="",R127&lt;=0,BG127&lt;=0),"",(1/Inputs!$B$9)*((R127^2/8)*((2*ACOS(1-2*BG127/R127))-SIN((2*ACOS(1-2*BG127/R127)))))*((((R127^2/8)*((2*ACOS(1-2*BG127/R127))-SIN((2*ACOS(1-2*BG127/R127)))))/((R127/2)*((2*ACOS(1-2*BG127/R127)))))^(2/3))*SQRT(N127))</f>
        <v/>
      </c>
      <c r="BI127" s="9" t="str">
        <f aca="false">IF(AY127="","",IF(BH127&lt;AY127,BG127,BE127))</f>
        <v/>
      </c>
      <c r="BJ127" s="9" t="str">
        <f aca="false">IF(AY127="","",IF(BH127&lt;AY127,BF127,BG127))</f>
        <v/>
      </c>
      <c r="BK127" s="9" t="str">
        <f aca="false">IF(AY127="","",(BI127+BJ127)/2)</f>
        <v/>
      </c>
      <c r="BL127" s="9" t="str">
        <f aca="false">IF(OR(R127="",N127="",BK127="",R127&lt;=0,BK127&lt;=0),"",(1/Inputs!$B$9)*((R127^2/8)*((2*ACOS(1-2*BK127/R127))-SIN((2*ACOS(1-2*BK127/R127)))))*((((R127^2/8)*((2*ACOS(1-2*BK127/R127))-SIN((2*ACOS(1-2*BK127/R127)))))/((R127/2)*((2*ACOS(1-2*BK127/R127)))))^(2/3))*SQRT(N127))</f>
        <v/>
      </c>
      <c r="BM127" s="9" t="str">
        <f aca="false">IF(AY127="","",IF(BL127&lt;AY127,BK127,BI127))</f>
        <v/>
      </c>
      <c r="BN127" s="9" t="str">
        <f aca="false">IF(AY127="","",IF(BL127&lt;AY127,BJ127,BK127))</f>
        <v/>
      </c>
      <c r="BO127" s="9" t="str">
        <f aca="false">IF(AY127="","",(BM127+BN127)/2)</f>
        <v/>
      </c>
      <c r="BP127" s="9" t="str">
        <f aca="false">IF(OR(R127="",N127="",BO127="",R127&lt;=0,BO127&lt;=0),"",(1/Inputs!$B$9)*((R127^2/8)*((2*ACOS(1-2*BO127/R127))-SIN((2*ACOS(1-2*BO127/R127)))))*((((R127^2/8)*((2*ACOS(1-2*BO127/R127))-SIN((2*ACOS(1-2*BO127/R127)))))/((R127/2)*((2*ACOS(1-2*BO127/R127)))))^(2/3))*SQRT(N127))</f>
        <v/>
      </c>
      <c r="BQ127" s="9" t="str">
        <f aca="false">IF(AY127="","",IF(BP127&lt;AY127,BO127,BM127))</f>
        <v/>
      </c>
      <c r="BR127" s="9" t="str">
        <f aca="false">IF(AY127="","",IF(BP127&lt;AY127,BN127,BO127))</f>
        <v/>
      </c>
      <c r="BS127" s="9" t="str">
        <f aca="false">IF(AY127="","",(BQ127+BR127)/2)</f>
        <v/>
      </c>
      <c r="BT127" s="9" t="str">
        <f aca="false">IF(OR(R127="",N127="",BS127="",R127&lt;=0,BS127&lt;=0),"",(1/Inputs!$B$9)*((R127^2/8)*((2*ACOS(1-2*BS127/R127))-SIN((2*ACOS(1-2*BS127/R127)))))*((((R127^2/8)*((2*ACOS(1-2*BS127/R127))-SIN((2*ACOS(1-2*BS127/R127)))))/((R127/2)*((2*ACOS(1-2*BS127/R127)))))^(2/3))*SQRT(N127))</f>
        <v/>
      </c>
      <c r="BU127" s="9" t="str">
        <f aca="false">IF(AY127="","",IF(BT127&lt;AY127,BS127,BQ127))</f>
        <v/>
      </c>
      <c r="BV127" s="9" t="str">
        <f aca="false">IF(AY127="","",IF(BT127&lt;AY127,BR127,BS127))</f>
        <v/>
      </c>
      <c r="BW127" s="9" t="str">
        <f aca="false">IF(AY127="","",(BU127+BV127)/2)</f>
        <v/>
      </c>
      <c r="BX127" s="9" t="str">
        <f aca="false">IF(OR(R127="",N127="",BW127="",R127&lt;=0,BW127&lt;=0),"",(1/Inputs!$B$9)*((R127^2/8)*((2*ACOS(1-2*BW127/R127))-SIN((2*ACOS(1-2*BW127/R127)))))*((((R127^2/8)*((2*ACOS(1-2*BW127/R127))-SIN((2*ACOS(1-2*BW127/R127)))))/((R127/2)*((2*ACOS(1-2*BW127/R127)))))^(2/3))*SQRT(N127))</f>
        <v/>
      </c>
      <c r="BY127" s="9" t="str">
        <f aca="false">IF(AY127="","",IF(BX127&lt;AY127,BW127,BU127))</f>
        <v/>
      </c>
      <c r="BZ127" s="9" t="str">
        <f aca="false">IF(AY127="","",IF(BX127&lt;AY127,BV127,BW127))</f>
        <v/>
      </c>
      <c r="CA127" s="9" t="str">
        <f aca="false">IF(AY127="","",(BY127+BZ127)/2)</f>
        <v/>
      </c>
      <c r="CB127" s="9" t="str">
        <f aca="false">IF(OR(R127="",N127="",CA127="",R127&lt;=0,CA127&lt;=0),"",(1/Inputs!$B$9)*((R127^2/8)*((2*ACOS(1-2*CA127/R127))-SIN((2*ACOS(1-2*CA127/R127)))))*((((R127^2/8)*((2*ACOS(1-2*CA127/R127))-SIN((2*ACOS(1-2*CA127/R127)))))/((R127/2)*((2*ACOS(1-2*CA127/R127)))))^(2/3))*SQRT(N127))</f>
        <v/>
      </c>
      <c r="CC127" s="9" t="str">
        <f aca="false">IF(AY127="","",IF(CB127&lt;AY127,CA127,BY127))</f>
        <v/>
      </c>
      <c r="CD127" s="9" t="str">
        <f aca="false">IF(AY127="","",IF(CB127&lt;AY127,BZ127,CA127))</f>
        <v/>
      </c>
      <c r="CE127" s="9" t="str">
        <f aca="false">IF(AY127="","",(CC127+CD127)/2)</f>
        <v/>
      </c>
    </row>
    <row r="128" customFormat="false" ht="15" hidden="false" customHeight="false" outlineLevel="0" collapsed="false">
      <c r="A128" s="9"/>
      <c r="B128" s="9"/>
      <c r="C128" s="14"/>
      <c r="D128" s="14"/>
      <c r="E128" s="14" t="n">
        <f aca="false">SUMIFS(CB_Tributaires!$C:$C,CB_Tributaires!$B:$B,$A128)</f>
        <v>0</v>
      </c>
      <c r="F128" s="14" t="n">
        <f aca="false">IF(D128="",E128,D128)</f>
        <v>0</v>
      </c>
      <c r="G128" s="9"/>
      <c r="H128" s="14"/>
      <c r="I128" s="14" t="str">
        <f aca="false">IF(A128="","",Inputs!$B$13/((IF(AS128="",Inputs!$B$18,AS128)+Inputs!$B$14)^Inputs!$B$15))</f>
        <v/>
      </c>
      <c r="J128" s="14" t="str">
        <f aca="false">IF(A128="","",0.000000278*IF(G128="",Inputs!$B$17,G128)*F128*I128)</f>
        <v/>
      </c>
      <c r="K128" s="14" t="str">
        <f aca="false">IF(A128="","",SUMIFS($L$4:$L$203,$B$4:$B$203,$A128))</f>
        <v/>
      </c>
      <c r="L128" s="14" t="str">
        <f aca="false">IF(A128="","",(J128+K128)*Inputs!$B$16)</f>
        <v/>
      </c>
      <c r="M128" s="14"/>
      <c r="N128" s="14" t="str">
        <f aca="false">IF(A128="","",IF(M128="",Inputs!$B$7,M128))</f>
        <v/>
      </c>
      <c r="O128" s="9" t="str">
        <f aca="false">IF(A128="","",IF(L128/Inputs!$B$10&lt;=AD128,Inputs!$F$5,IF(L128/Inputs!$B$10&gt;AM128,"OVERSIZE",INDEX(Inputs!$F$5:$F$14,MATCH(L128/Inputs!$B$10,AD128:AM128,1)+1))))</f>
        <v/>
      </c>
      <c r="P128" s="9"/>
      <c r="Q128" s="9" t="str">
        <f aca="false">IF(A128="","",IF(P128="",O128,P128))</f>
        <v/>
      </c>
      <c r="R128" s="14" t="str">
        <f aca="false">IF(OR(Q128="",Q128="OVERSIZE"),"",Q128/1000)</f>
        <v/>
      </c>
      <c r="S128" s="14" t="str">
        <f aca="false">IF(R128="","",(1/Inputs!$B$9)*(PI()*R128^2/4)*((R128/4)^(2/3))*SQRT(N128))</f>
        <v/>
      </c>
      <c r="T128" s="14" t="str">
        <f aca="false">IF(OR(S128="",L128=""),"",L128/(S128*Inputs!$B$10))</f>
        <v/>
      </c>
      <c r="U128" s="14" t="str">
        <f aca="false">IF(OR(R128="",L128=""),"",4*L128/(PI()*R128^2))</f>
        <v/>
      </c>
      <c r="V128" s="14"/>
      <c r="W128" s="14" t="str">
        <f aca="false">IF(A128="","",IF(A128=Inputs!$B$6,Inputs!$B$22,IF(B128="","",IFERROR(INDEX($X$4:$X$203,MATCH(B128,$A$4:$A$203,0))+IF(V128="",Inputs!$B$20,V128),""))))</f>
        <v/>
      </c>
      <c r="X128" s="14" t="str">
        <f aca="false">IF(OR(W128="",N128="",C128=""),"",W128+N128*C128)</f>
        <v/>
      </c>
      <c r="Y128" s="14"/>
      <c r="Z128" s="14"/>
      <c r="AA128" s="14" t="str">
        <f aca="false">IF(OR(Y128="",W128=""),"",Y128-W128)</f>
        <v/>
      </c>
      <c r="AB128" s="14" t="str">
        <f aca="false">IF(OR(Z128="",X128=""),"",Z128-X128)</f>
        <v/>
      </c>
      <c r="AC128" s="19" t="str">
        <f aca="false">IF(A128="","",IF(OR(T128&gt;1,AND(AV128&lt;&gt;"",AV128&lt;Inputs!$B$11),AND(AV128&lt;&gt;"",AV128&gt;Inputs!$B$12),AA128&lt;Inputs!$B$19,AB128&lt;Inputs!$B$19,N128&lt;Inputs!$B$7,N128&gt;Inputs!$B$8),"CHECK","OK"))</f>
        <v/>
      </c>
      <c r="AD128" s="9" t="str">
        <f aca="false">IF(A128="","",(1/Inputs!$B$9)*(PI()*(Inputs!$F$5/1000)^2/4)*((Inputs!$F$5/1000/4)^(2/3))*SQRT(N128))</f>
        <v/>
      </c>
      <c r="AE128" s="9" t="str">
        <f aca="false">IF(A128="","",(1/Inputs!$B$9)*(PI()*(Inputs!$F$6/1000)^2/4)*((Inputs!$F$6/1000/4)^(2/3))*SQRT(N128))</f>
        <v/>
      </c>
      <c r="AF128" s="9" t="str">
        <f aca="false">IF(A128="","",(1/Inputs!$B$9)*(PI()*(Inputs!$F$7/1000)^2/4)*((Inputs!$F$7/1000/4)^(2/3))*SQRT(N128))</f>
        <v/>
      </c>
      <c r="AG128" s="9" t="str">
        <f aca="false">IF(A128="","",(1/Inputs!$B$9)*(PI()*(Inputs!$F$8/1000)^2/4)*((Inputs!$F$8/1000/4)^(2/3))*SQRT(N128))</f>
        <v/>
      </c>
      <c r="AH128" s="9" t="str">
        <f aca="false">IF(A128="","",(1/Inputs!$B$9)*(PI()*(Inputs!$F$9/1000)^2/4)*((Inputs!$F$9/1000/4)^(2/3))*SQRT(N128))</f>
        <v/>
      </c>
      <c r="AI128" s="9" t="str">
        <f aca="false">IF(A128="","",(1/Inputs!$B$9)*(PI()*(Inputs!$F$10/1000)^2/4)*((Inputs!$F$10/1000/4)^(2/3))*SQRT(N128))</f>
        <v/>
      </c>
      <c r="AJ128" s="9" t="str">
        <f aca="false">IF(A128="","",(1/Inputs!$B$9)*(PI()*(Inputs!$F$11/1000)^2/4)*((Inputs!$F$11/1000/4)^(2/3))*SQRT(N128))</f>
        <v/>
      </c>
      <c r="AK128" s="9" t="str">
        <f aca="false">IF(A128="","",(1/Inputs!$B$9)*(PI()*(Inputs!$F$12/1000)^2/4)*((Inputs!$F$12/1000/4)^(2/3))*SQRT(N128))</f>
        <v/>
      </c>
      <c r="AL128" s="9" t="str">
        <f aca="false">IF(A128="","",(1/Inputs!$B$9)*(PI()*(Inputs!$F$13/1000)^2/4)*((Inputs!$F$13/1000/4)^(2/3))*SQRT(N128))</f>
        <v/>
      </c>
      <c r="AM128" s="9" t="str">
        <f aca="false">IF(A128="","",(1/Inputs!$B$9)*(PI()*(Inputs!$F$14/1000)^2/4)*((Inputs!$F$14/1000/4)^(2/3))*SQRT(N128))</f>
        <v/>
      </c>
      <c r="AN128" s="9" t="str">
        <f aca="false">IF(A128="","",COUNTIF($B$4:$B$203,$A128))</f>
        <v/>
      </c>
      <c r="AO128" s="9" t="str">
        <f aca="false">IF(A128="","",IF(AN128=0,"START","CONTINUOUS"))</f>
        <v/>
      </c>
      <c r="AP128" s="13" t="str">
        <f aca="false">IF(A128="","",IF(H128="",Inputs!$B$18,H128))</f>
        <v/>
      </c>
      <c r="AQ128" s="13" t="str">
        <f aca="false">IF(A128="","",IFERROR(maxifs($AS$4:$AS$203,$B$4:$B$203,$A128),""))</f>
        <v/>
      </c>
      <c r="AR128" s="13" t="str">
        <f aca="false">IF(A128="","",IF(OR(C128="",Inputs!$B$23=""),"",C128/(Inputs!$B$23*60)))</f>
        <v/>
      </c>
      <c r="AS128" s="13" t="str">
        <f aca="false">IF(A128="","",IF(AN128=0,AP128+AR128,IF(AQ128="",AP128+AR128,AQ128+AR128)))</f>
        <v/>
      </c>
      <c r="AT128" s="13" t="str">
        <f aca="false">IF(A128="","",U128)</f>
        <v/>
      </c>
      <c r="AU128" s="13" t="str">
        <f aca="false">IF(OR(R128="",N128=""),"",(1/Inputs!$B$9)*((R128/4)^(2/3))*SQRT(N128))</f>
        <v/>
      </c>
      <c r="AV128" s="13" t="str">
        <f aca="false">IF(A128="","",IF(AND(AT128="",AU128="",AX128=""),"",IF(OR(UPPER(TRIM(Inputs!$B$24))="MANNING",UPPER(TRIM(Inputs!$B$24))="M"),AU128,IF(OR(UPPER(TRIM(Inputs!$B$24))="PARTIAL",UPPER(TRIM(Inputs!$B$24))="P"),AX128,IF(OR(UPPER(TRIM(Inputs!$B$24))="MAX",UPPER(TRIM(Inputs!$B$24))="X"),MAX(IF(AT128="",0,AT128),IF(AU128="",0,AU128),IF(AX128="",0,AX128)),AT128)))))</f>
        <v/>
      </c>
      <c r="AW128" s="13" t="str">
        <f aca="false">IF(AY128="","",CE128)</f>
        <v/>
      </c>
      <c r="AX128" s="13" t="str">
        <f aca="false">IF(OR(AY128="",AW128="",R128="",R128&lt;=0,AW128&lt;=0),"",AY128/((R128^2/8)*(2*ACOS(1-2*AW128/R128)-SIN(2*ACOS(1-2*AW128/R128)))))</f>
        <v/>
      </c>
      <c r="AY128" s="9" t="str">
        <f aca="false">IF(OR(L128="",AZ128=""),"",MIN(L128,AZ128))</f>
        <v/>
      </c>
      <c r="AZ128" s="9" t="str">
        <f aca="false">IF(OR(L128="",R128="",N128=""),"",IF(OR(R128="",N128="",(0.94*R128)="",R128&lt;=0,(0.94*R128)&lt;=0),"",(1/Inputs!$B$9)*((R128^2/8)*((2*ACOS(1-2*(0.94*R128)/R128))-SIN((2*ACOS(1-2*(0.94*R128)/R128)))))*((((R128^2/8)*((2*ACOS(1-2*(0.94*R128)/R128))-SIN((2*ACOS(1-2*(0.94*R128)/R128)))))/((R128/2)*((2*ACOS(1-2*(0.94*R128)/R128)))))^(2/3))*SQRT(N128)))</f>
        <v/>
      </c>
      <c r="BA128" s="9" t="str">
        <f aca="false">IF(AY128="","",0.001*R128)</f>
        <v/>
      </c>
      <c r="BB128" s="9" t="str">
        <f aca="false">IF(AY128="","",0.94*R128)</f>
        <v/>
      </c>
      <c r="BC128" s="9" t="str">
        <f aca="false">IF(AY128="","",(BA128+BB128)/2)</f>
        <v/>
      </c>
      <c r="BD128" s="9" t="str">
        <f aca="false">IF(OR(R128="",N128="",BC128="",R128&lt;=0,BC128&lt;=0),"",(1/Inputs!$B$9)*((R128^2/8)*((2*ACOS(1-2*BC128/R128))-SIN((2*ACOS(1-2*BC128/R128)))))*((((R128^2/8)*((2*ACOS(1-2*BC128/R128))-SIN((2*ACOS(1-2*BC128/R128)))))/((R128/2)*((2*ACOS(1-2*BC128/R128)))))^(2/3))*SQRT(N128))</f>
        <v/>
      </c>
      <c r="BE128" s="9" t="str">
        <f aca="false">IF(AY128="","",IF(BD128&lt;AY128,BC128,BA128))</f>
        <v/>
      </c>
      <c r="BF128" s="9" t="str">
        <f aca="false">IF(AY128="","",IF(BD128&lt;AY128,BB128,BC128))</f>
        <v/>
      </c>
      <c r="BG128" s="9" t="str">
        <f aca="false">IF(AY128="","",(BE128+BF128)/2)</f>
        <v/>
      </c>
      <c r="BH128" s="9" t="str">
        <f aca="false">IF(OR(R128="",N128="",BG128="",R128&lt;=0,BG128&lt;=0),"",(1/Inputs!$B$9)*((R128^2/8)*((2*ACOS(1-2*BG128/R128))-SIN((2*ACOS(1-2*BG128/R128)))))*((((R128^2/8)*((2*ACOS(1-2*BG128/R128))-SIN((2*ACOS(1-2*BG128/R128)))))/((R128/2)*((2*ACOS(1-2*BG128/R128)))))^(2/3))*SQRT(N128))</f>
        <v/>
      </c>
      <c r="BI128" s="9" t="str">
        <f aca="false">IF(AY128="","",IF(BH128&lt;AY128,BG128,BE128))</f>
        <v/>
      </c>
      <c r="BJ128" s="9" t="str">
        <f aca="false">IF(AY128="","",IF(BH128&lt;AY128,BF128,BG128))</f>
        <v/>
      </c>
      <c r="BK128" s="9" t="str">
        <f aca="false">IF(AY128="","",(BI128+BJ128)/2)</f>
        <v/>
      </c>
      <c r="BL128" s="9" t="str">
        <f aca="false">IF(OR(R128="",N128="",BK128="",R128&lt;=0,BK128&lt;=0),"",(1/Inputs!$B$9)*((R128^2/8)*((2*ACOS(1-2*BK128/R128))-SIN((2*ACOS(1-2*BK128/R128)))))*((((R128^2/8)*((2*ACOS(1-2*BK128/R128))-SIN((2*ACOS(1-2*BK128/R128)))))/((R128/2)*((2*ACOS(1-2*BK128/R128)))))^(2/3))*SQRT(N128))</f>
        <v/>
      </c>
      <c r="BM128" s="9" t="str">
        <f aca="false">IF(AY128="","",IF(BL128&lt;AY128,BK128,BI128))</f>
        <v/>
      </c>
      <c r="BN128" s="9" t="str">
        <f aca="false">IF(AY128="","",IF(BL128&lt;AY128,BJ128,BK128))</f>
        <v/>
      </c>
      <c r="BO128" s="9" t="str">
        <f aca="false">IF(AY128="","",(BM128+BN128)/2)</f>
        <v/>
      </c>
      <c r="BP128" s="9" t="str">
        <f aca="false">IF(OR(R128="",N128="",BO128="",R128&lt;=0,BO128&lt;=0),"",(1/Inputs!$B$9)*((R128^2/8)*((2*ACOS(1-2*BO128/R128))-SIN((2*ACOS(1-2*BO128/R128)))))*((((R128^2/8)*((2*ACOS(1-2*BO128/R128))-SIN((2*ACOS(1-2*BO128/R128)))))/((R128/2)*((2*ACOS(1-2*BO128/R128)))))^(2/3))*SQRT(N128))</f>
        <v/>
      </c>
      <c r="BQ128" s="9" t="str">
        <f aca="false">IF(AY128="","",IF(BP128&lt;AY128,BO128,BM128))</f>
        <v/>
      </c>
      <c r="BR128" s="9" t="str">
        <f aca="false">IF(AY128="","",IF(BP128&lt;AY128,BN128,BO128))</f>
        <v/>
      </c>
      <c r="BS128" s="9" t="str">
        <f aca="false">IF(AY128="","",(BQ128+BR128)/2)</f>
        <v/>
      </c>
      <c r="BT128" s="9" t="str">
        <f aca="false">IF(OR(R128="",N128="",BS128="",R128&lt;=0,BS128&lt;=0),"",(1/Inputs!$B$9)*((R128^2/8)*((2*ACOS(1-2*BS128/R128))-SIN((2*ACOS(1-2*BS128/R128)))))*((((R128^2/8)*((2*ACOS(1-2*BS128/R128))-SIN((2*ACOS(1-2*BS128/R128)))))/((R128/2)*((2*ACOS(1-2*BS128/R128)))))^(2/3))*SQRT(N128))</f>
        <v/>
      </c>
      <c r="BU128" s="9" t="str">
        <f aca="false">IF(AY128="","",IF(BT128&lt;AY128,BS128,BQ128))</f>
        <v/>
      </c>
      <c r="BV128" s="9" t="str">
        <f aca="false">IF(AY128="","",IF(BT128&lt;AY128,BR128,BS128))</f>
        <v/>
      </c>
      <c r="BW128" s="9" t="str">
        <f aca="false">IF(AY128="","",(BU128+BV128)/2)</f>
        <v/>
      </c>
      <c r="BX128" s="9" t="str">
        <f aca="false">IF(OR(R128="",N128="",BW128="",R128&lt;=0,BW128&lt;=0),"",(1/Inputs!$B$9)*((R128^2/8)*((2*ACOS(1-2*BW128/R128))-SIN((2*ACOS(1-2*BW128/R128)))))*((((R128^2/8)*((2*ACOS(1-2*BW128/R128))-SIN((2*ACOS(1-2*BW128/R128)))))/((R128/2)*((2*ACOS(1-2*BW128/R128)))))^(2/3))*SQRT(N128))</f>
        <v/>
      </c>
      <c r="BY128" s="9" t="str">
        <f aca="false">IF(AY128="","",IF(BX128&lt;AY128,BW128,BU128))</f>
        <v/>
      </c>
      <c r="BZ128" s="9" t="str">
        <f aca="false">IF(AY128="","",IF(BX128&lt;AY128,BV128,BW128))</f>
        <v/>
      </c>
      <c r="CA128" s="9" t="str">
        <f aca="false">IF(AY128="","",(BY128+BZ128)/2)</f>
        <v/>
      </c>
      <c r="CB128" s="9" t="str">
        <f aca="false">IF(OR(R128="",N128="",CA128="",R128&lt;=0,CA128&lt;=0),"",(1/Inputs!$B$9)*((R128^2/8)*((2*ACOS(1-2*CA128/R128))-SIN((2*ACOS(1-2*CA128/R128)))))*((((R128^2/8)*((2*ACOS(1-2*CA128/R128))-SIN((2*ACOS(1-2*CA128/R128)))))/((R128/2)*((2*ACOS(1-2*CA128/R128)))))^(2/3))*SQRT(N128))</f>
        <v/>
      </c>
      <c r="CC128" s="9" t="str">
        <f aca="false">IF(AY128="","",IF(CB128&lt;AY128,CA128,BY128))</f>
        <v/>
      </c>
      <c r="CD128" s="9" t="str">
        <f aca="false">IF(AY128="","",IF(CB128&lt;AY128,BZ128,CA128))</f>
        <v/>
      </c>
      <c r="CE128" s="9" t="str">
        <f aca="false">IF(AY128="","",(CC128+CD128)/2)</f>
        <v/>
      </c>
    </row>
    <row r="129" customFormat="false" ht="15" hidden="false" customHeight="false" outlineLevel="0" collapsed="false">
      <c r="A129" s="9"/>
      <c r="B129" s="9"/>
      <c r="C129" s="14"/>
      <c r="D129" s="14"/>
      <c r="E129" s="14" t="n">
        <f aca="false">SUMIFS(CB_Tributaires!$C:$C,CB_Tributaires!$B:$B,$A129)</f>
        <v>0</v>
      </c>
      <c r="F129" s="14" t="n">
        <f aca="false">IF(D129="",E129,D129)</f>
        <v>0</v>
      </c>
      <c r="G129" s="9"/>
      <c r="H129" s="14"/>
      <c r="I129" s="14" t="str">
        <f aca="false">IF(A129="","",Inputs!$B$13/((IF(AS129="",Inputs!$B$18,AS129)+Inputs!$B$14)^Inputs!$B$15))</f>
        <v/>
      </c>
      <c r="J129" s="14" t="str">
        <f aca="false">IF(A129="","",0.000000278*IF(G129="",Inputs!$B$17,G129)*F129*I129)</f>
        <v/>
      </c>
      <c r="K129" s="14" t="str">
        <f aca="false">IF(A129="","",SUMIFS($L$4:$L$203,$B$4:$B$203,$A129))</f>
        <v/>
      </c>
      <c r="L129" s="14" t="str">
        <f aca="false">IF(A129="","",(J129+K129)*Inputs!$B$16)</f>
        <v/>
      </c>
      <c r="M129" s="14"/>
      <c r="N129" s="14" t="str">
        <f aca="false">IF(A129="","",IF(M129="",Inputs!$B$7,M129))</f>
        <v/>
      </c>
      <c r="O129" s="9" t="str">
        <f aca="false">IF(A129="","",IF(L129/Inputs!$B$10&lt;=AD129,Inputs!$F$5,IF(L129/Inputs!$B$10&gt;AM129,"OVERSIZE",INDEX(Inputs!$F$5:$F$14,MATCH(L129/Inputs!$B$10,AD129:AM129,1)+1))))</f>
        <v/>
      </c>
      <c r="P129" s="9"/>
      <c r="Q129" s="9" t="str">
        <f aca="false">IF(A129="","",IF(P129="",O129,P129))</f>
        <v/>
      </c>
      <c r="R129" s="14" t="str">
        <f aca="false">IF(OR(Q129="",Q129="OVERSIZE"),"",Q129/1000)</f>
        <v/>
      </c>
      <c r="S129" s="14" t="str">
        <f aca="false">IF(R129="","",(1/Inputs!$B$9)*(PI()*R129^2/4)*((R129/4)^(2/3))*SQRT(N129))</f>
        <v/>
      </c>
      <c r="T129" s="14" t="str">
        <f aca="false">IF(OR(S129="",L129=""),"",L129/(S129*Inputs!$B$10))</f>
        <v/>
      </c>
      <c r="U129" s="14" t="str">
        <f aca="false">IF(OR(R129="",L129=""),"",4*L129/(PI()*R129^2))</f>
        <v/>
      </c>
      <c r="V129" s="14"/>
      <c r="W129" s="14" t="str">
        <f aca="false">IF(A129="","",IF(A129=Inputs!$B$6,Inputs!$B$22,IF(B129="","",IFERROR(INDEX($X$4:$X$203,MATCH(B129,$A$4:$A$203,0))+IF(V129="",Inputs!$B$20,V129),""))))</f>
        <v/>
      </c>
      <c r="X129" s="14" t="str">
        <f aca="false">IF(OR(W129="",N129="",C129=""),"",W129+N129*C129)</f>
        <v/>
      </c>
      <c r="Y129" s="14"/>
      <c r="Z129" s="14"/>
      <c r="AA129" s="14" t="str">
        <f aca="false">IF(OR(Y129="",W129=""),"",Y129-W129)</f>
        <v/>
      </c>
      <c r="AB129" s="14" t="str">
        <f aca="false">IF(OR(Z129="",X129=""),"",Z129-X129)</f>
        <v/>
      </c>
      <c r="AC129" s="19" t="str">
        <f aca="false">IF(A129="","",IF(OR(T129&gt;1,AND(AV129&lt;&gt;"",AV129&lt;Inputs!$B$11),AND(AV129&lt;&gt;"",AV129&gt;Inputs!$B$12),AA129&lt;Inputs!$B$19,AB129&lt;Inputs!$B$19,N129&lt;Inputs!$B$7,N129&gt;Inputs!$B$8),"CHECK","OK"))</f>
        <v/>
      </c>
      <c r="AD129" s="9" t="str">
        <f aca="false">IF(A129="","",(1/Inputs!$B$9)*(PI()*(Inputs!$F$5/1000)^2/4)*((Inputs!$F$5/1000/4)^(2/3))*SQRT(N129))</f>
        <v/>
      </c>
      <c r="AE129" s="9" t="str">
        <f aca="false">IF(A129="","",(1/Inputs!$B$9)*(PI()*(Inputs!$F$6/1000)^2/4)*((Inputs!$F$6/1000/4)^(2/3))*SQRT(N129))</f>
        <v/>
      </c>
      <c r="AF129" s="9" t="str">
        <f aca="false">IF(A129="","",(1/Inputs!$B$9)*(PI()*(Inputs!$F$7/1000)^2/4)*((Inputs!$F$7/1000/4)^(2/3))*SQRT(N129))</f>
        <v/>
      </c>
      <c r="AG129" s="9" t="str">
        <f aca="false">IF(A129="","",(1/Inputs!$B$9)*(PI()*(Inputs!$F$8/1000)^2/4)*((Inputs!$F$8/1000/4)^(2/3))*SQRT(N129))</f>
        <v/>
      </c>
      <c r="AH129" s="9" t="str">
        <f aca="false">IF(A129="","",(1/Inputs!$B$9)*(PI()*(Inputs!$F$9/1000)^2/4)*((Inputs!$F$9/1000/4)^(2/3))*SQRT(N129))</f>
        <v/>
      </c>
      <c r="AI129" s="9" t="str">
        <f aca="false">IF(A129="","",(1/Inputs!$B$9)*(PI()*(Inputs!$F$10/1000)^2/4)*((Inputs!$F$10/1000/4)^(2/3))*SQRT(N129))</f>
        <v/>
      </c>
      <c r="AJ129" s="9" t="str">
        <f aca="false">IF(A129="","",(1/Inputs!$B$9)*(PI()*(Inputs!$F$11/1000)^2/4)*((Inputs!$F$11/1000/4)^(2/3))*SQRT(N129))</f>
        <v/>
      </c>
      <c r="AK129" s="9" t="str">
        <f aca="false">IF(A129="","",(1/Inputs!$B$9)*(PI()*(Inputs!$F$12/1000)^2/4)*((Inputs!$F$12/1000/4)^(2/3))*SQRT(N129))</f>
        <v/>
      </c>
      <c r="AL129" s="9" t="str">
        <f aca="false">IF(A129="","",(1/Inputs!$B$9)*(PI()*(Inputs!$F$13/1000)^2/4)*((Inputs!$F$13/1000/4)^(2/3))*SQRT(N129))</f>
        <v/>
      </c>
      <c r="AM129" s="9" t="str">
        <f aca="false">IF(A129="","",(1/Inputs!$B$9)*(PI()*(Inputs!$F$14/1000)^2/4)*((Inputs!$F$14/1000/4)^(2/3))*SQRT(N129))</f>
        <v/>
      </c>
      <c r="AN129" s="9" t="str">
        <f aca="false">IF(A129="","",COUNTIF($B$4:$B$203,$A129))</f>
        <v/>
      </c>
      <c r="AO129" s="9" t="str">
        <f aca="false">IF(A129="","",IF(AN129=0,"START","CONTINUOUS"))</f>
        <v/>
      </c>
      <c r="AP129" s="13" t="str">
        <f aca="false">IF(A129="","",IF(H129="",Inputs!$B$18,H129))</f>
        <v/>
      </c>
      <c r="AQ129" s="13" t="str">
        <f aca="false">IF(A129="","",IFERROR(maxifs($AS$4:$AS$203,$B$4:$B$203,$A129),""))</f>
        <v/>
      </c>
      <c r="AR129" s="13" t="str">
        <f aca="false">IF(A129="","",IF(OR(C129="",Inputs!$B$23=""),"",C129/(Inputs!$B$23*60)))</f>
        <v/>
      </c>
      <c r="AS129" s="13" t="str">
        <f aca="false">IF(A129="","",IF(AN129=0,AP129+AR129,IF(AQ129="",AP129+AR129,AQ129+AR129)))</f>
        <v/>
      </c>
      <c r="AT129" s="13" t="str">
        <f aca="false">IF(A129="","",U129)</f>
        <v/>
      </c>
      <c r="AU129" s="13" t="str">
        <f aca="false">IF(OR(R129="",N129=""),"",(1/Inputs!$B$9)*((R129/4)^(2/3))*SQRT(N129))</f>
        <v/>
      </c>
      <c r="AV129" s="13" t="str">
        <f aca="false">IF(A129="","",IF(AND(AT129="",AU129="",AX129=""),"",IF(OR(UPPER(TRIM(Inputs!$B$24))="MANNING",UPPER(TRIM(Inputs!$B$24))="M"),AU129,IF(OR(UPPER(TRIM(Inputs!$B$24))="PARTIAL",UPPER(TRIM(Inputs!$B$24))="P"),AX129,IF(OR(UPPER(TRIM(Inputs!$B$24))="MAX",UPPER(TRIM(Inputs!$B$24))="X"),MAX(IF(AT129="",0,AT129),IF(AU129="",0,AU129),IF(AX129="",0,AX129)),AT129)))))</f>
        <v/>
      </c>
      <c r="AW129" s="13" t="str">
        <f aca="false">IF(AY129="","",CE129)</f>
        <v/>
      </c>
      <c r="AX129" s="13" t="str">
        <f aca="false">IF(OR(AY129="",AW129="",R129="",R129&lt;=0,AW129&lt;=0),"",AY129/((R129^2/8)*(2*ACOS(1-2*AW129/R129)-SIN(2*ACOS(1-2*AW129/R129)))))</f>
        <v/>
      </c>
      <c r="AY129" s="9" t="str">
        <f aca="false">IF(OR(L129="",AZ129=""),"",MIN(L129,AZ129))</f>
        <v/>
      </c>
      <c r="AZ129" s="9" t="str">
        <f aca="false">IF(OR(L129="",R129="",N129=""),"",IF(OR(R129="",N129="",(0.94*R129)="",R129&lt;=0,(0.94*R129)&lt;=0),"",(1/Inputs!$B$9)*((R129^2/8)*((2*ACOS(1-2*(0.94*R129)/R129))-SIN((2*ACOS(1-2*(0.94*R129)/R129)))))*((((R129^2/8)*((2*ACOS(1-2*(0.94*R129)/R129))-SIN((2*ACOS(1-2*(0.94*R129)/R129)))))/((R129/2)*((2*ACOS(1-2*(0.94*R129)/R129)))))^(2/3))*SQRT(N129)))</f>
        <v/>
      </c>
      <c r="BA129" s="9" t="str">
        <f aca="false">IF(AY129="","",0.001*R129)</f>
        <v/>
      </c>
      <c r="BB129" s="9" t="str">
        <f aca="false">IF(AY129="","",0.94*R129)</f>
        <v/>
      </c>
      <c r="BC129" s="9" t="str">
        <f aca="false">IF(AY129="","",(BA129+BB129)/2)</f>
        <v/>
      </c>
      <c r="BD129" s="9" t="str">
        <f aca="false">IF(OR(R129="",N129="",BC129="",R129&lt;=0,BC129&lt;=0),"",(1/Inputs!$B$9)*((R129^2/8)*((2*ACOS(1-2*BC129/R129))-SIN((2*ACOS(1-2*BC129/R129)))))*((((R129^2/8)*((2*ACOS(1-2*BC129/R129))-SIN((2*ACOS(1-2*BC129/R129)))))/((R129/2)*((2*ACOS(1-2*BC129/R129)))))^(2/3))*SQRT(N129))</f>
        <v/>
      </c>
      <c r="BE129" s="9" t="str">
        <f aca="false">IF(AY129="","",IF(BD129&lt;AY129,BC129,BA129))</f>
        <v/>
      </c>
      <c r="BF129" s="9" t="str">
        <f aca="false">IF(AY129="","",IF(BD129&lt;AY129,BB129,BC129))</f>
        <v/>
      </c>
      <c r="BG129" s="9" t="str">
        <f aca="false">IF(AY129="","",(BE129+BF129)/2)</f>
        <v/>
      </c>
      <c r="BH129" s="9" t="str">
        <f aca="false">IF(OR(R129="",N129="",BG129="",R129&lt;=0,BG129&lt;=0),"",(1/Inputs!$B$9)*((R129^2/8)*((2*ACOS(1-2*BG129/R129))-SIN((2*ACOS(1-2*BG129/R129)))))*((((R129^2/8)*((2*ACOS(1-2*BG129/R129))-SIN((2*ACOS(1-2*BG129/R129)))))/((R129/2)*((2*ACOS(1-2*BG129/R129)))))^(2/3))*SQRT(N129))</f>
        <v/>
      </c>
      <c r="BI129" s="9" t="str">
        <f aca="false">IF(AY129="","",IF(BH129&lt;AY129,BG129,BE129))</f>
        <v/>
      </c>
      <c r="BJ129" s="9" t="str">
        <f aca="false">IF(AY129="","",IF(BH129&lt;AY129,BF129,BG129))</f>
        <v/>
      </c>
      <c r="BK129" s="9" t="str">
        <f aca="false">IF(AY129="","",(BI129+BJ129)/2)</f>
        <v/>
      </c>
      <c r="BL129" s="9" t="str">
        <f aca="false">IF(OR(R129="",N129="",BK129="",R129&lt;=0,BK129&lt;=0),"",(1/Inputs!$B$9)*((R129^2/8)*((2*ACOS(1-2*BK129/R129))-SIN((2*ACOS(1-2*BK129/R129)))))*((((R129^2/8)*((2*ACOS(1-2*BK129/R129))-SIN((2*ACOS(1-2*BK129/R129)))))/((R129/2)*((2*ACOS(1-2*BK129/R129)))))^(2/3))*SQRT(N129))</f>
        <v/>
      </c>
      <c r="BM129" s="9" t="str">
        <f aca="false">IF(AY129="","",IF(BL129&lt;AY129,BK129,BI129))</f>
        <v/>
      </c>
      <c r="BN129" s="9" t="str">
        <f aca="false">IF(AY129="","",IF(BL129&lt;AY129,BJ129,BK129))</f>
        <v/>
      </c>
      <c r="BO129" s="9" t="str">
        <f aca="false">IF(AY129="","",(BM129+BN129)/2)</f>
        <v/>
      </c>
      <c r="BP129" s="9" t="str">
        <f aca="false">IF(OR(R129="",N129="",BO129="",R129&lt;=0,BO129&lt;=0),"",(1/Inputs!$B$9)*((R129^2/8)*((2*ACOS(1-2*BO129/R129))-SIN((2*ACOS(1-2*BO129/R129)))))*((((R129^2/8)*((2*ACOS(1-2*BO129/R129))-SIN((2*ACOS(1-2*BO129/R129)))))/((R129/2)*((2*ACOS(1-2*BO129/R129)))))^(2/3))*SQRT(N129))</f>
        <v/>
      </c>
      <c r="BQ129" s="9" t="str">
        <f aca="false">IF(AY129="","",IF(BP129&lt;AY129,BO129,BM129))</f>
        <v/>
      </c>
      <c r="BR129" s="9" t="str">
        <f aca="false">IF(AY129="","",IF(BP129&lt;AY129,BN129,BO129))</f>
        <v/>
      </c>
      <c r="BS129" s="9" t="str">
        <f aca="false">IF(AY129="","",(BQ129+BR129)/2)</f>
        <v/>
      </c>
      <c r="BT129" s="9" t="str">
        <f aca="false">IF(OR(R129="",N129="",BS129="",R129&lt;=0,BS129&lt;=0),"",(1/Inputs!$B$9)*((R129^2/8)*((2*ACOS(1-2*BS129/R129))-SIN((2*ACOS(1-2*BS129/R129)))))*((((R129^2/8)*((2*ACOS(1-2*BS129/R129))-SIN((2*ACOS(1-2*BS129/R129)))))/((R129/2)*((2*ACOS(1-2*BS129/R129)))))^(2/3))*SQRT(N129))</f>
        <v/>
      </c>
      <c r="BU129" s="9" t="str">
        <f aca="false">IF(AY129="","",IF(BT129&lt;AY129,BS129,BQ129))</f>
        <v/>
      </c>
      <c r="BV129" s="9" t="str">
        <f aca="false">IF(AY129="","",IF(BT129&lt;AY129,BR129,BS129))</f>
        <v/>
      </c>
      <c r="BW129" s="9" t="str">
        <f aca="false">IF(AY129="","",(BU129+BV129)/2)</f>
        <v/>
      </c>
      <c r="BX129" s="9" t="str">
        <f aca="false">IF(OR(R129="",N129="",BW129="",R129&lt;=0,BW129&lt;=0),"",(1/Inputs!$B$9)*((R129^2/8)*((2*ACOS(1-2*BW129/R129))-SIN((2*ACOS(1-2*BW129/R129)))))*((((R129^2/8)*((2*ACOS(1-2*BW129/R129))-SIN((2*ACOS(1-2*BW129/R129)))))/((R129/2)*((2*ACOS(1-2*BW129/R129)))))^(2/3))*SQRT(N129))</f>
        <v/>
      </c>
      <c r="BY129" s="9" t="str">
        <f aca="false">IF(AY129="","",IF(BX129&lt;AY129,BW129,BU129))</f>
        <v/>
      </c>
      <c r="BZ129" s="9" t="str">
        <f aca="false">IF(AY129="","",IF(BX129&lt;AY129,BV129,BW129))</f>
        <v/>
      </c>
      <c r="CA129" s="9" t="str">
        <f aca="false">IF(AY129="","",(BY129+BZ129)/2)</f>
        <v/>
      </c>
      <c r="CB129" s="9" t="str">
        <f aca="false">IF(OR(R129="",N129="",CA129="",R129&lt;=0,CA129&lt;=0),"",(1/Inputs!$B$9)*((R129^2/8)*((2*ACOS(1-2*CA129/R129))-SIN((2*ACOS(1-2*CA129/R129)))))*((((R129^2/8)*((2*ACOS(1-2*CA129/R129))-SIN((2*ACOS(1-2*CA129/R129)))))/((R129/2)*((2*ACOS(1-2*CA129/R129)))))^(2/3))*SQRT(N129))</f>
        <v/>
      </c>
      <c r="CC129" s="9" t="str">
        <f aca="false">IF(AY129="","",IF(CB129&lt;AY129,CA129,BY129))</f>
        <v/>
      </c>
      <c r="CD129" s="9" t="str">
        <f aca="false">IF(AY129="","",IF(CB129&lt;AY129,BZ129,CA129))</f>
        <v/>
      </c>
      <c r="CE129" s="9" t="str">
        <f aca="false">IF(AY129="","",(CC129+CD129)/2)</f>
        <v/>
      </c>
    </row>
    <row r="130" customFormat="false" ht="15" hidden="false" customHeight="false" outlineLevel="0" collapsed="false">
      <c r="A130" s="9"/>
      <c r="B130" s="9"/>
      <c r="C130" s="14"/>
      <c r="D130" s="14"/>
      <c r="E130" s="14" t="n">
        <f aca="false">SUMIFS(CB_Tributaires!$C:$C,CB_Tributaires!$B:$B,$A130)</f>
        <v>0</v>
      </c>
      <c r="F130" s="14" t="n">
        <f aca="false">IF(D130="",E130,D130)</f>
        <v>0</v>
      </c>
      <c r="G130" s="9"/>
      <c r="H130" s="14"/>
      <c r="I130" s="14" t="str">
        <f aca="false">IF(A130="","",Inputs!$B$13/((IF(AS130="",Inputs!$B$18,AS130)+Inputs!$B$14)^Inputs!$B$15))</f>
        <v/>
      </c>
      <c r="J130" s="14" t="str">
        <f aca="false">IF(A130="","",0.000000278*IF(G130="",Inputs!$B$17,G130)*F130*I130)</f>
        <v/>
      </c>
      <c r="K130" s="14" t="str">
        <f aca="false">IF(A130="","",SUMIFS($L$4:$L$203,$B$4:$B$203,$A130))</f>
        <v/>
      </c>
      <c r="L130" s="14" t="str">
        <f aca="false">IF(A130="","",(J130+K130)*Inputs!$B$16)</f>
        <v/>
      </c>
      <c r="M130" s="14"/>
      <c r="N130" s="14" t="str">
        <f aca="false">IF(A130="","",IF(M130="",Inputs!$B$7,M130))</f>
        <v/>
      </c>
      <c r="O130" s="9" t="str">
        <f aca="false">IF(A130="","",IF(L130/Inputs!$B$10&lt;=AD130,Inputs!$F$5,IF(L130/Inputs!$B$10&gt;AM130,"OVERSIZE",INDEX(Inputs!$F$5:$F$14,MATCH(L130/Inputs!$B$10,AD130:AM130,1)+1))))</f>
        <v/>
      </c>
      <c r="P130" s="9"/>
      <c r="Q130" s="9" t="str">
        <f aca="false">IF(A130="","",IF(P130="",O130,P130))</f>
        <v/>
      </c>
      <c r="R130" s="14" t="str">
        <f aca="false">IF(OR(Q130="",Q130="OVERSIZE"),"",Q130/1000)</f>
        <v/>
      </c>
      <c r="S130" s="14" t="str">
        <f aca="false">IF(R130="","",(1/Inputs!$B$9)*(PI()*R130^2/4)*((R130/4)^(2/3))*SQRT(N130))</f>
        <v/>
      </c>
      <c r="T130" s="14" t="str">
        <f aca="false">IF(OR(S130="",L130=""),"",L130/(S130*Inputs!$B$10))</f>
        <v/>
      </c>
      <c r="U130" s="14" t="str">
        <f aca="false">IF(OR(R130="",L130=""),"",4*L130/(PI()*R130^2))</f>
        <v/>
      </c>
      <c r="V130" s="14"/>
      <c r="W130" s="14" t="str">
        <f aca="false">IF(A130="","",IF(A130=Inputs!$B$6,Inputs!$B$22,IF(B130="","",IFERROR(INDEX($X$4:$X$203,MATCH(B130,$A$4:$A$203,0))+IF(V130="",Inputs!$B$20,V130),""))))</f>
        <v/>
      </c>
      <c r="X130" s="14" t="str">
        <f aca="false">IF(OR(W130="",N130="",C130=""),"",W130+N130*C130)</f>
        <v/>
      </c>
      <c r="Y130" s="14"/>
      <c r="Z130" s="14"/>
      <c r="AA130" s="14" t="str">
        <f aca="false">IF(OR(Y130="",W130=""),"",Y130-W130)</f>
        <v/>
      </c>
      <c r="AB130" s="14" t="str">
        <f aca="false">IF(OR(Z130="",X130=""),"",Z130-X130)</f>
        <v/>
      </c>
      <c r="AC130" s="19" t="str">
        <f aca="false">IF(A130="","",IF(OR(T130&gt;1,AND(AV130&lt;&gt;"",AV130&lt;Inputs!$B$11),AND(AV130&lt;&gt;"",AV130&gt;Inputs!$B$12),AA130&lt;Inputs!$B$19,AB130&lt;Inputs!$B$19,N130&lt;Inputs!$B$7,N130&gt;Inputs!$B$8),"CHECK","OK"))</f>
        <v/>
      </c>
      <c r="AD130" s="9" t="str">
        <f aca="false">IF(A130="","",(1/Inputs!$B$9)*(PI()*(Inputs!$F$5/1000)^2/4)*((Inputs!$F$5/1000/4)^(2/3))*SQRT(N130))</f>
        <v/>
      </c>
      <c r="AE130" s="9" t="str">
        <f aca="false">IF(A130="","",(1/Inputs!$B$9)*(PI()*(Inputs!$F$6/1000)^2/4)*((Inputs!$F$6/1000/4)^(2/3))*SQRT(N130))</f>
        <v/>
      </c>
      <c r="AF130" s="9" t="str">
        <f aca="false">IF(A130="","",(1/Inputs!$B$9)*(PI()*(Inputs!$F$7/1000)^2/4)*((Inputs!$F$7/1000/4)^(2/3))*SQRT(N130))</f>
        <v/>
      </c>
      <c r="AG130" s="9" t="str">
        <f aca="false">IF(A130="","",(1/Inputs!$B$9)*(PI()*(Inputs!$F$8/1000)^2/4)*((Inputs!$F$8/1000/4)^(2/3))*SQRT(N130))</f>
        <v/>
      </c>
      <c r="AH130" s="9" t="str">
        <f aca="false">IF(A130="","",(1/Inputs!$B$9)*(PI()*(Inputs!$F$9/1000)^2/4)*((Inputs!$F$9/1000/4)^(2/3))*SQRT(N130))</f>
        <v/>
      </c>
      <c r="AI130" s="9" t="str">
        <f aca="false">IF(A130="","",(1/Inputs!$B$9)*(PI()*(Inputs!$F$10/1000)^2/4)*((Inputs!$F$10/1000/4)^(2/3))*SQRT(N130))</f>
        <v/>
      </c>
      <c r="AJ130" s="9" t="str">
        <f aca="false">IF(A130="","",(1/Inputs!$B$9)*(PI()*(Inputs!$F$11/1000)^2/4)*((Inputs!$F$11/1000/4)^(2/3))*SQRT(N130))</f>
        <v/>
      </c>
      <c r="AK130" s="9" t="str">
        <f aca="false">IF(A130="","",(1/Inputs!$B$9)*(PI()*(Inputs!$F$12/1000)^2/4)*((Inputs!$F$12/1000/4)^(2/3))*SQRT(N130))</f>
        <v/>
      </c>
      <c r="AL130" s="9" t="str">
        <f aca="false">IF(A130="","",(1/Inputs!$B$9)*(PI()*(Inputs!$F$13/1000)^2/4)*((Inputs!$F$13/1000/4)^(2/3))*SQRT(N130))</f>
        <v/>
      </c>
      <c r="AM130" s="9" t="str">
        <f aca="false">IF(A130="","",(1/Inputs!$B$9)*(PI()*(Inputs!$F$14/1000)^2/4)*((Inputs!$F$14/1000/4)^(2/3))*SQRT(N130))</f>
        <v/>
      </c>
      <c r="AN130" s="9" t="str">
        <f aca="false">IF(A130="","",COUNTIF($B$4:$B$203,$A130))</f>
        <v/>
      </c>
      <c r="AO130" s="9" t="str">
        <f aca="false">IF(A130="","",IF(AN130=0,"START","CONTINUOUS"))</f>
        <v/>
      </c>
      <c r="AP130" s="13" t="str">
        <f aca="false">IF(A130="","",IF(H130="",Inputs!$B$18,H130))</f>
        <v/>
      </c>
      <c r="AQ130" s="13" t="str">
        <f aca="false">IF(A130="","",IFERROR(maxifs($AS$4:$AS$203,$B$4:$B$203,$A130),""))</f>
        <v/>
      </c>
      <c r="AR130" s="13" t="str">
        <f aca="false">IF(A130="","",IF(OR(C130="",Inputs!$B$23=""),"",C130/(Inputs!$B$23*60)))</f>
        <v/>
      </c>
      <c r="AS130" s="13" t="str">
        <f aca="false">IF(A130="","",IF(AN130=0,AP130+AR130,IF(AQ130="",AP130+AR130,AQ130+AR130)))</f>
        <v/>
      </c>
      <c r="AT130" s="13" t="str">
        <f aca="false">IF(A130="","",U130)</f>
        <v/>
      </c>
      <c r="AU130" s="13" t="str">
        <f aca="false">IF(OR(R130="",N130=""),"",(1/Inputs!$B$9)*((R130/4)^(2/3))*SQRT(N130))</f>
        <v/>
      </c>
      <c r="AV130" s="13" t="str">
        <f aca="false">IF(A130="","",IF(AND(AT130="",AU130="",AX130=""),"",IF(OR(UPPER(TRIM(Inputs!$B$24))="MANNING",UPPER(TRIM(Inputs!$B$24))="M"),AU130,IF(OR(UPPER(TRIM(Inputs!$B$24))="PARTIAL",UPPER(TRIM(Inputs!$B$24))="P"),AX130,IF(OR(UPPER(TRIM(Inputs!$B$24))="MAX",UPPER(TRIM(Inputs!$B$24))="X"),MAX(IF(AT130="",0,AT130),IF(AU130="",0,AU130),IF(AX130="",0,AX130)),AT130)))))</f>
        <v/>
      </c>
      <c r="AW130" s="13" t="str">
        <f aca="false">IF(AY130="","",CE130)</f>
        <v/>
      </c>
      <c r="AX130" s="13" t="str">
        <f aca="false">IF(OR(AY130="",AW130="",R130="",R130&lt;=0,AW130&lt;=0),"",AY130/((R130^2/8)*(2*ACOS(1-2*AW130/R130)-SIN(2*ACOS(1-2*AW130/R130)))))</f>
        <v/>
      </c>
      <c r="AY130" s="9" t="str">
        <f aca="false">IF(OR(L130="",AZ130=""),"",MIN(L130,AZ130))</f>
        <v/>
      </c>
      <c r="AZ130" s="9" t="str">
        <f aca="false">IF(OR(L130="",R130="",N130=""),"",IF(OR(R130="",N130="",(0.94*R130)="",R130&lt;=0,(0.94*R130)&lt;=0),"",(1/Inputs!$B$9)*((R130^2/8)*((2*ACOS(1-2*(0.94*R130)/R130))-SIN((2*ACOS(1-2*(0.94*R130)/R130)))))*((((R130^2/8)*((2*ACOS(1-2*(0.94*R130)/R130))-SIN((2*ACOS(1-2*(0.94*R130)/R130)))))/((R130/2)*((2*ACOS(1-2*(0.94*R130)/R130)))))^(2/3))*SQRT(N130)))</f>
        <v/>
      </c>
      <c r="BA130" s="9" t="str">
        <f aca="false">IF(AY130="","",0.001*R130)</f>
        <v/>
      </c>
      <c r="BB130" s="9" t="str">
        <f aca="false">IF(AY130="","",0.94*R130)</f>
        <v/>
      </c>
      <c r="BC130" s="9" t="str">
        <f aca="false">IF(AY130="","",(BA130+BB130)/2)</f>
        <v/>
      </c>
      <c r="BD130" s="9" t="str">
        <f aca="false">IF(OR(R130="",N130="",BC130="",R130&lt;=0,BC130&lt;=0),"",(1/Inputs!$B$9)*((R130^2/8)*((2*ACOS(1-2*BC130/R130))-SIN((2*ACOS(1-2*BC130/R130)))))*((((R130^2/8)*((2*ACOS(1-2*BC130/R130))-SIN((2*ACOS(1-2*BC130/R130)))))/((R130/2)*((2*ACOS(1-2*BC130/R130)))))^(2/3))*SQRT(N130))</f>
        <v/>
      </c>
      <c r="BE130" s="9" t="str">
        <f aca="false">IF(AY130="","",IF(BD130&lt;AY130,BC130,BA130))</f>
        <v/>
      </c>
      <c r="BF130" s="9" t="str">
        <f aca="false">IF(AY130="","",IF(BD130&lt;AY130,BB130,BC130))</f>
        <v/>
      </c>
      <c r="BG130" s="9" t="str">
        <f aca="false">IF(AY130="","",(BE130+BF130)/2)</f>
        <v/>
      </c>
      <c r="BH130" s="9" t="str">
        <f aca="false">IF(OR(R130="",N130="",BG130="",R130&lt;=0,BG130&lt;=0),"",(1/Inputs!$B$9)*((R130^2/8)*((2*ACOS(1-2*BG130/R130))-SIN((2*ACOS(1-2*BG130/R130)))))*((((R130^2/8)*((2*ACOS(1-2*BG130/R130))-SIN((2*ACOS(1-2*BG130/R130)))))/((R130/2)*((2*ACOS(1-2*BG130/R130)))))^(2/3))*SQRT(N130))</f>
        <v/>
      </c>
      <c r="BI130" s="9" t="str">
        <f aca="false">IF(AY130="","",IF(BH130&lt;AY130,BG130,BE130))</f>
        <v/>
      </c>
      <c r="BJ130" s="9" t="str">
        <f aca="false">IF(AY130="","",IF(BH130&lt;AY130,BF130,BG130))</f>
        <v/>
      </c>
      <c r="BK130" s="9" t="str">
        <f aca="false">IF(AY130="","",(BI130+BJ130)/2)</f>
        <v/>
      </c>
      <c r="BL130" s="9" t="str">
        <f aca="false">IF(OR(R130="",N130="",BK130="",R130&lt;=0,BK130&lt;=0),"",(1/Inputs!$B$9)*((R130^2/8)*((2*ACOS(1-2*BK130/R130))-SIN((2*ACOS(1-2*BK130/R130)))))*((((R130^2/8)*((2*ACOS(1-2*BK130/R130))-SIN((2*ACOS(1-2*BK130/R130)))))/((R130/2)*((2*ACOS(1-2*BK130/R130)))))^(2/3))*SQRT(N130))</f>
        <v/>
      </c>
      <c r="BM130" s="9" t="str">
        <f aca="false">IF(AY130="","",IF(BL130&lt;AY130,BK130,BI130))</f>
        <v/>
      </c>
      <c r="BN130" s="9" t="str">
        <f aca="false">IF(AY130="","",IF(BL130&lt;AY130,BJ130,BK130))</f>
        <v/>
      </c>
      <c r="BO130" s="9" t="str">
        <f aca="false">IF(AY130="","",(BM130+BN130)/2)</f>
        <v/>
      </c>
      <c r="BP130" s="9" t="str">
        <f aca="false">IF(OR(R130="",N130="",BO130="",R130&lt;=0,BO130&lt;=0),"",(1/Inputs!$B$9)*((R130^2/8)*((2*ACOS(1-2*BO130/R130))-SIN((2*ACOS(1-2*BO130/R130)))))*((((R130^2/8)*((2*ACOS(1-2*BO130/R130))-SIN((2*ACOS(1-2*BO130/R130)))))/((R130/2)*((2*ACOS(1-2*BO130/R130)))))^(2/3))*SQRT(N130))</f>
        <v/>
      </c>
      <c r="BQ130" s="9" t="str">
        <f aca="false">IF(AY130="","",IF(BP130&lt;AY130,BO130,BM130))</f>
        <v/>
      </c>
      <c r="BR130" s="9" t="str">
        <f aca="false">IF(AY130="","",IF(BP130&lt;AY130,BN130,BO130))</f>
        <v/>
      </c>
      <c r="BS130" s="9" t="str">
        <f aca="false">IF(AY130="","",(BQ130+BR130)/2)</f>
        <v/>
      </c>
      <c r="BT130" s="9" t="str">
        <f aca="false">IF(OR(R130="",N130="",BS130="",R130&lt;=0,BS130&lt;=0),"",(1/Inputs!$B$9)*((R130^2/8)*((2*ACOS(1-2*BS130/R130))-SIN((2*ACOS(1-2*BS130/R130)))))*((((R130^2/8)*((2*ACOS(1-2*BS130/R130))-SIN((2*ACOS(1-2*BS130/R130)))))/((R130/2)*((2*ACOS(1-2*BS130/R130)))))^(2/3))*SQRT(N130))</f>
        <v/>
      </c>
      <c r="BU130" s="9" t="str">
        <f aca="false">IF(AY130="","",IF(BT130&lt;AY130,BS130,BQ130))</f>
        <v/>
      </c>
      <c r="BV130" s="9" t="str">
        <f aca="false">IF(AY130="","",IF(BT130&lt;AY130,BR130,BS130))</f>
        <v/>
      </c>
      <c r="BW130" s="9" t="str">
        <f aca="false">IF(AY130="","",(BU130+BV130)/2)</f>
        <v/>
      </c>
      <c r="BX130" s="9" t="str">
        <f aca="false">IF(OR(R130="",N130="",BW130="",R130&lt;=0,BW130&lt;=0),"",(1/Inputs!$B$9)*((R130^2/8)*((2*ACOS(1-2*BW130/R130))-SIN((2*ACOS(1-2*BW130/R130)))))*((((R130^2/8)*((2*ACOS(1-2*BW130/R130))-SIN((2*ACOS(1-2*BW130/R130)))))/((R130/2)*((2*ACOS(1-2*BW130/R130)))))^(2/3))*SQRT(N130))</f>
        <v/>
      </c>
      <c r="BY130" s="9" t="str">
        <f aca="false">IF(AY130="","",IF(BX130&lt;AY130,BW130,BU130))</f>
        <v/>
      </c>
      <c r="BZ130" s="9" t="str">
        <f aca="false">IF(AY130="","",IF(BX130&lt;AY130,BV130,BW130))</f>
        <v/>
      </c>
      <c r="CA130" s="9" t="str">
        <f aca="false">IF(AY130="","",(BY130+BZ130)/2)</f>
        <v/>
      </c>
      <c r="CB130" s="9" t="str">
        <f aca="false">IF(OR(R130="",N130="",CA130="",R130&lt;=0,CA130&lt;=0),"",(1/Inputs!$B$9)*((R130^2/8)*((2*ACOS(1-2*CA130/R130))-SIN((2*ACOS(1-2*CA130/R130)))))*((((R130^2/8)*((2*ACOS(1-2*CA130/R130))-SIN((2*ACOS(1-2*CA130/R130)))))/((R130/2)*((2*ACOS(1-2*CA130/R130)))))^(2/3))*SQRT(N130))</f>
        <v/>
      </c>
      <c r="CC130" s="9" t="str">
        <f aca="false">IF(AY130="","",IF(CB130&lt;AY130,CA130,BY130))</f>
        <v/>
      </c>
      <c r="CD130" s="9" t="str">
        <f aca="false">IF(AY130="","",IF(CB130&lt;AY130,BZ130,CA130))</f>
        <v/>
      </c>
      <c r="CE130" s="9" t="str">
        <f aca="false">IF(AY130="","",(CC130+CD130)/2)</f>
        <v/>
      </c>
    </row>
    <row r="131" customFormat="false" ht="15" hidden="false" customHeight="false" outlineLevel="0" collapsed="false">
      <c r="A131" s="9"/>
      <c r="B131" s="9"/>
      <c r="C131" s="14"/>
      <c r="D131" s="14"/>
      <c r="E131" s="14" t="n">
        <f aca="false">SUMIFS(CB_Tributaires!$C:$C,CB_Tributaires!$B:$B,$A131)</f>
        <v>0</v>
      </c>
      <c r="F131" s="14" t="n">
        <f aca="false">IF(D131="",E131,D131)</f>
        <v>0</v>
      </c>
      <c r="G131" s="9"/>
      <c r="H131" s="14"/>
      <c r="I131" s="14" t="str">
        <f aca="false">IF(A131="","",Inputs!$B$13/((IF(AS131="",Inputs!$B$18,AS131)+Inputs!$B$14)^Inputs!$B$15))</f>
        <v/>
      </c>
      <c r="J131" s="14" t="str">
        <f aca="false">IF(A131="","",0.000000278*IF(G131="",Inputs!$B$17,G131)*F131*I131)</f>
        <v/>
      </c>
      <c r="K131" s="14" t="str">
        <f aca="false">IF(A131="","",SUMIFS($L$4:$L$203,$B$4:$B$203,$A131))</f>
        <v/>
      </c>
      <c r="L131" s="14" t="str">
        <f aca="false">IF(A131="","",(J131+K131)*Inputs!$B$16)</f>
        <v/>
      </c>
      <c r="M131" s="14"/>
      <c r="N131" s="14" t="str">
        <f aca="false">IF(A131="","",IF(M131="",Inputs!$B$7,M131))</f>
        <v/>
      </c>
      <c r="O131" s="9" t="str">
        <f aca="false">IF(A131="","",IF(L131/Inputs!$B$10&lt;=AD131,Inputs!$F$5,IF(L131/Inputs!$B$10&gt;AM131,"OVERSIZE",INDEX(Inputs!$F$5:$F$14,MATCH(L131/Inputs!$B$10,AD131:AM131,1)+1))))</f>
        <v/>
      </c>
      <c r="P131" s="9"/>
      <c r="Q131" s="9" t="str">
        <f aca="false">IF(A131="","",IF(P131="",O131,P131))</f>
        <v/>
      </c>
      <c r="R131" s="14" t="str">
        <f aca="false">IF(OR(Q131="",Q131="OVERSIZE"),"",Q131/1000)</f>
        <v/>
      </c>
      <c r="S131" s="14" t="str">
        <f aca="false">IF(R131="","",(1/Inputs!$B$9)*(PI()*R131^2/4)*((R131/4)^(2/3))*SQRT(N131))</f>
        <v/>
      </c>
      <c r="T131" s="14" t="str">
        <f aca="false">IF(OR(S131="",L131=""),"",L131/(S131*Inputs!$B$10))</f>
        <v/>
      </c>
      <c r="U131" s="14" t="str">
        <f aca="false">IF(OR(R131="",L131=""),"",4*L131/(PI()*R131^2))</f>
        <v/>
      </c>
      <c r="V131" s="14"/>
      <c r="W131" s="14" t="str">
        <f aca="false">IF(A131="","",IF(A131=Inputs!$B$6,Inputs!$B$22,IF(B131="","",IFERROR(INDEX($X$4:$X$203,MATCH(B131,$A$4:$A$203,0))+IF(V131="",Inputs!$B$20,V131),""))))</f>
        <v/>
      </c>
      <c r="X131" s="14" t="str">
        <f aca="false">IF(OR(W131="",N131="",C131=""),"",W131+N131*C131)</f>
        <v/>
      </c>
      <c r="Y131" s="14"/>
      <c r="Z131" s="14"/>
      <c r="AA131" s="14" t="str">
        <f aca="false">IF(OR(Y131="",W131=""),"",Y131-W131)</f>
        <v/>
      </c>
      <c r="AB131" s="14" t="str">
        <f aca="false">IF(OR(Z131="",X131=""),"",Z131-X131)</f>
        <v/>
      </c>
      <c r="AC131" s="19" t="str">
        <f aca="false">IF(A131="","",IF(OR(T131&gt;1,AND(AV131&lt;&gt;"",AV131&lt;Inputs!$B$11),AND(AV131&lt;&gt;"",AV131&gt;Inputs!$B$12),AA131&lt;Inputs!$B$19,AB131&lt;Inputs!$B$19,N131&lt;Inputs!$B$7,N131&gt;Inputs!$B$8),"CHECK","OK"))</f>
        <v/>
      </c>
      <c r="AD131" s="9" t="str">
        <f aca="false">IF(A131="","",(1/Inputs!$B$9)*(PI()*(Inputs!$F$5/1000)^2/4)*((Inputs!$F$5/1000/4)^(2/3))*SQRT(N131))</f>
        <v/>
      </c>
      <c r="AE131" s="9" t="str">
        <f aca="false">IF(A131="","",(1/Inputs!$B$9)*(PI()*(Inputs!$F$6/1000)^2/4)*((Inputs!$F$6/1000/4)^(2/3))*SQRT(N131))</f>
        <v/>
      </c>
      <c r="AF131" s="9" t="str">
        <f aca="false">IF(A131="","",(1/Inputs!$B$9)*(PI()*(Inputs!$F$7/1000)^2/4)*((Inputs!$F$7/1000/4)^(2/3))*SQRT(N131))</f>
        <v/>
      </c>
      <c r="AG131" s="9" t="str">
        <f aca="false">IF(A131="","",(1/Inputs!$B$9)*(PI()*(Inputs!$F$8/1000)^2/4)*((Inputs!$F$8/1000/4)^(2/3))*SQRT(N131))</f>
        <v/>
      </c>
      <c r="AH131" s="9" t="str">
        <f aca="false">IF(A131="","",(1/Inputs!$B$9)*(PI()*(Inputs!$F$9/1000)^2/4)*((Inputs!$F$9/1000/4)^(2/3))*SQRT(N131))</f>
        <v/>
      </c>
      <c r="AI131" s="9" t="str">
        <f aca="false">IF(A131="","",(1/Inputs!$B$9)*(PI()*(Inputs!$F$10/1000)^2/4)*((Inputs!$F$10/1000/4)^(2/3))*SQRT(N131))</f>
        <v/>
      </c>
      <c r="AJ131" s="9" t="str">
        <f aca="false">IF(A131="","",(1/Inputs!$B$9)*(PI()*(Inputs!$F$11/1000)^2/4)*((Inputs!$F$11/1000/4)^(2/3))*SQRT(N131))</f>
        <v/>
      </c>
      <c r="AK131" s="9" t="str">
        <f aca="false">IF(A131="","",(1/Inputs!$B$9)*(PI()*(Inputs!$F$12/1000)^2/4)*((Inputs!$F$12/1000/4)^(2/3))*SQRT(N131))</f>
        <v/>
      </c>
      <c r="AL131" s="9" t="str">
        <f aca="false">IF(A131="","",(1/Inputs!$B$9)*(PI()*(Inputs!$F$13/1000)^2/4)*((Inputs!$F$13/1000/4)^(2/3))*SQRT(N131))</f>
        <v/>
      </c>
      <c r="AM131" s="9" t="str">
        <f aca="false">IF(A131="","",(1/Inputs!$B$9)*(PI()*(Inputs!$F$14/1000)^2/4)*((Inputs!$F$14/1000/4)^(2/3))*SQRT(N131))</f>
        <v/>
      </c>
      <c r="AN131" s="9" t="str">
        <f aca="false">IF(A131="","",COUNTIF($B$4:$B$203,$A131))</f>
        <v/>
      </c>
      <c r="AO131" s="9" t="str">
        <f aca="false">IF(A131="","",IF(AN131=0,"START","CONTINUOUS"))</f>
        <v/>
      </c>
      <c r="AP131" s="13" t="str">
        <f aca="false">IF(A131="","",IF(H131="",Inputs!$B$18,H131))</f>
        <v/>
      </c>
      <c r="AQ131" s="13" t="str">
        <f aca="false">IF(A131="","",IFERROR(maxifs($AS$4:$AS$203,$B$4:$B$203,$A131),""))</f>
        <v/>
      </c>
      <c r="AR131" s="13" t="str">
        <f aca="false">IF(A131="","",IF(OR(C131="",Inputs!$B$23=""),"",C131/(Inputs!$B$23*60)))</f>
        <v/>
      </c>
      <c r="AS131" s="13" t="str">
        <f aca="false">IF(A131="","",IF(AN131=0,AP131+AR131,IF(AQ131="",AP131+AR131,AQ131+AR131)))</f>
        <v/>
      </c>
      <c r="AT131" s="13" t="str">
        <f aca="false">IF(A131="","",U131)</f>
        <v/>
      </c>
      <c r="AU131" s="13" t="str">
        <f aca="false">IF(OR(R131="",N131=""),"",(1/Inputs!$B$9)*((R131/4)^(2/3))*SQRT(N131))</f>
        <v/>
      </c>
      <c r="AV131" s="13" t="str">
        <f aca="false">IF(A131="","",IF(AND(AT131="",AU131="",AX131=""),"",IF(OR(UPPER(TRIM(Inputs!$B$24))="MANNING",UPPER(TRIM(Inputs!$B$24))="M"),AU131,IF(OR(UPPER(TRIM(Inputs!$B$24))="PARTIAL",UPPER(TRIM(Inputs!$B$24))="P"),AX131,IF(OR(UPPER(TRIM(Inputs!$B$24))="MAX",UPPER(TRIM(Inputs!$B$24))="X"),MAX(IF(AT131="",0,AT131),IF(AU131="",0,AU131),IF(AX131="",0,AX131)),AT131)))))</f>
        <v/>
      </c>
      <c r="AW131" s="13" t="str">
        <f aca="false">IF(AY131="","",CE131)</f>
        <v/>
      </c>
      <c r="AX131" s="13" t="str">
        <f aca="false">IF(OR(AY131="",AW131="",R131="",R131&lt;=0,AW131&lt;=0),"",AY131/((R131^2/8)*(2*ACOS(1-2*AW131/R131)-SIN(2*ACOS(1-2*AW131/R131)))))</f>
        <v/>
      </c>
      <c r="AY131" s="9" t="str">
        <f aca="false">IF(OR(L131="",AZ131=""),"",MIN(L131,AZ131))</f>
        <v/>
      </c>
      <c r="AZ131" s="9" t="str">
        <f aca="false">IF(OR(L131="",R131="",N131=""),"",IF(OR(R131="",N131="",(0.94*R131)="",R131&lt;=0,(0.94*R131)&lt;=0),"",(1/Inputs!$B$9)*((R131^2/8)*((2*ACOS(1-2*(0.94*R131)/R131))-SIN((2*ACOS(1-2*(0.94*R131)/R131)))))*((((R131^2/8)*((2*ACOS(1-2*(0.94*R131)/R131))-SIN((2*ACOS(1-2*(0.94*R131)/R131)))))/((R131/2)*((2*ACOS(1-2*(0.94*R131)/R131)))))^(2/3))*SQRT(N131)))</f>
        <v/>
      </c>
      <c r="BA131" s="9" t="str">
        <f aca="false">IF(AY131="","",0.001*R131)</f>
        <v/>
      </c>
      <c r="BB131" s="9" t="str">
        <f aca="false">IF(AY131="","",0.94*R131)</f>
        <v/>
      </c>
      <c r="BC131" s="9" t="str">
        <f aca="false">IF(AY131="","",(BA131+BB131)/2)</f>
        <v/>
      </c>
      <c r="BD131" s="9" t="str">
        <f aca="false">IF(OR(R131="",N131="",BC131="",R131&lt;=0,BC131&lt;=0),"",(1/Inputs!$B$9)*((R131^2/8)*((2*ACOS(1-2*BC131/R131))-SIN((2*ACOS(1-2*BC131/R131)))))*((((R131^2/8)*((2*ACOS(1-2*BC131/R131))-SIN((2*ACOS(1-2*BC131/R131)))))/((R131/2)*((2*ACOS(1-2*BC131/R131)))))^(2/3))*SQRT(N131))</f>
        <v/>
      </c>
      <c r="BE131" s="9" t="str">
        <f aca="false">IF(AY131="","",IF(BD131&lt;AY131,BC131,BA131))</f>
        <v/>
      </c>
      <c r="BF131" s="9" t="str">
        <f aca="false">IF(AY131="","",IF(BD131&lt;AY131,BB131,BC131))</f>
        <v/>
      </c>
      <c r="BG131" s="9" t="str">
        <f aca="false">IF(AY131="","",(BE131+BF131)/2)</f>
        <v/>
      </c>
      <c r="BH131" s="9" t="str">
        <f aca="false">IF(OR(R131="",N131="",BG131="",R131&lt;=0,BG131&lt;=0),"",(1/Inputs!$B$9)*((R131^2/8)*((2*ACOS(1-2*BG131/R131))-SIN((2*ACOS(1-2*BG131/R131)))))*((((R131^2/8)*((2*ACOS(1-2*BG131/R131))-SIN((2*ACOS(1-2*BG131/R131)))))/((R131/2)*((2*ACOS(1-2*BG131/R131)))))^(2/3))*SQRT(N131))</f>
        <v/>
      </c>
      <c r="BI131" s="9" t="str">
        <f aca="false">IF(AY131="","",IF(BH131&lt;AY131,BG131,BE131))</f>
        <v/>
      </c>
      <c r="BJ131" s="9" t="str">
        <f aca="false">IF(AY131="","",IF(BH131&lt;AY131,BF131,BG131))</f>
        <v/>
      </c>
      <c r="BK131" s="9" t="str">
        <f aca="false">IF(AY131="","",(BI131+BJ131)/2)</f>
        <v/>
      </c>
      <c r="BL131" s="9" t="str">
        <f aca="false">IF(OR(R131="",N131="",BK131="",R131&lt;=0,BK131&lt;=0),"",(1/Inputs!$B$9)*((R131^2/8)*((2*ACOS(1-2*BK131/R131))-SIN((2*ACOS(1-2*BK131/R131)))))*((((R131^2/8)*((2*ACOS(1-2*BK131/R131))-SIN((2*ACOS(1-2*BK131/R131)))))/((R131/2)*((2*ACOS(1-2*BK131/R131)))))^(2/3))*SQRT(N131))</f>
        <v/>
      </c>
      <c r="BM131" s="9" t="str">
        <f aca="false">IF(AY131="","",IF(BL131&lt;AY131,BK131,BI131))</f>
        <v/>
      </c>
      <c r="BN131" s="9" t="str">
        <f aca="false">IF(AY131="","",IF(BL131&lt;AY131,BJ131,BK131))</f>
        <v/>
      </c>
      <c r="BO131" s="9" t="str">
        <f aca="false">IF(AY131="","",(BM131+BN131)/2)</f>
        <v/>
      </c>
      <c r="BP131" s="9" t="str">
        <f aca="false">IF(OR(R131="",N131="",BO131="",R131&lt;=0,BO131&lt;=0),"",(1/Inputs!$B$9)*((R131^2/8)*((2*ACOS(1-2*BO131/R131))-SIN((2*ACOS(1-2*BO131/R131)))))*((((R131^2/8)*((2*ACOS(1-2*BO131/R131))-SIN((2*ACOS(1-2*BO131/R131)))))/((R131/2)*((2*ACOS(1-2*BO131/R131)))))^(2/3))*SQRT(N131))</f>
        <v/>
      </c>
      <c r="BQ131" s="9" t="str">
        <f aca="false">IF(AY131="","",IF(BP131&lt;AY131,BO131,BM131))</f>
        <v/>
      </c>
      <c r="BR131" s="9" t="str">
        <f aca="false">IF(AY131="","",IF(BP131&lt;AY131,BN131,BO131))</f>
        <v/>
      </c>
      <c r="BS131" s="9" t="str">
        <f aca="false">IF(AY131="","",(BQ131+BR131)/2)</f>
        <v/>
      </c>
      <c r="BT131" s="9" t="str">
        <f aca="false">IF(OR(R131="",N131="",BS131="",R131&lt;=0,BS131&lt;=0),"",(1/Inputs!$B$9)*((R131^2/8)*((2*ACOS(1-2*BS131/R131))-SIN((2*ACOS(1-2*BS131/R131)))))*((((R131^2/8)*((2*ACOS(1-2*BS131/R131))-SIN((2*ACOS(1-2*BS131/R131)))))/((R131/2)*((2*ACOS(1-2*BS131/R131)))))^(2/3))*SQRT(N131))</f>
        <v/>
      </c>
      <c r="BU131" s="9" t="str">
        <f aca="false">IF(AY131="","",IF(BT131&lt;AY131,BS131,BQ131))</f>
        <v/>
      </c>
      <c r="BV131" s="9" t="str">
        <f aca="false">IF(AY131="","",IF(BT131&lt;AY131,BR131,BS131))</f>
        <v/>
      </c>
      <c r="BW131" s="9" t="str">
        <f aca="false">IF(AY131="","",(BU131+BV131)/2)</f>
        <v/>
      </c>
      <c r="BX131" s="9" t="str">
        <f aca="false">IF(OR(R131="",N131="",BW131="",R131&lt;=0,BW131&lt;=0),"",(1/Inputs!$B$9)*((R131^2/8)*((2*ACOS(1-2*BW131/R131))-SIN((2*ACOS(1-2*BW131/R131)))))*((((R131^2/8)*((2*ACOS(1-2*BW131/R131))-SIN((2*ACOS(1-2*BW131/R131)))))/((R131/2)*((2*ACOS(1-2*BW131/R131)))))^(2/3))*SQRT(N131))</f>
        <v/>
      </c>
      <c r="BY131" s="9" t="str">
        <f aca="false">IF(AY131="","",IF(BX131&lt;AY131,BW131,BU131))</f>
        <v/>
      </c>
      <c r="BZ131" s="9" t="str">
        <f aca="false">IF(AY131="","",IF(BX131&lt;AY131,BV131,BW131))</f>
        <v/>
      </c>
      <c r="CA131" s="9" t="str">
        <f aca="false">IF(AY131="","",(BY131+BZ131)/2)</f>
        <v/>
      </c>
      <c r="CB131" s="9" t="str">
        <f aca="false">IF(OR(R131="",N131="",CA131="",R131&lt;=0,CA131&lt;=0),"",(1/Inputs!$B$9)*((R131^2/8)*((2*ACOS(1-2*CA131/R131))-SIN((2*ACOS(1-2*CA131/R131)))))*((((R131^2/8)*((2*ACOS(1-2*CA131/R131))-SIN((2*ACOS(1-2*CA131/R131)))))/((R131/2)*((2*ACOS(1-2*CA131/R131)))))^(2/3))*SQRT(N131))</f>
        <v/>
      </c>
      <c r="CC131" s="9" t="str">
        <f aca="false">IF(AY131="","",IF(CB131&lt;AY131,CA131,BY131))</f>
        <v/>
      </c>
      <c r="CD131" s="9" t="str">
        <f aca="false">IF(AY131="","",IF(CB131&lt;AY131,BZ131,CA131))</f>
        <v/>
      </c>
      <c r="CE131" s="9" t="str">
        <f aca="false">IF(AY131="","",(CC131+CD131)/2)</f>
        <v/>
      </c>
    </row>
    <row r="132" customFormat="false" ht="15" hidden="false" customHeight="false" outlineLevel="0" collapsed="false">
      <c r="A132" s="9"/>
      <c r="B132" s="9"/>
      <c r="C132" s="14"/>
      <c r="D132" s="14"/>
      <c r="E132" s="14" t="n">
        <f aca="false">SUMIFS(CB_Tributaires!$C:$C,CB_Tributaires!$B:$B,$A132)</f>
        <v>0</v>
      </c>
      <c r="F132" s="14" t="n">
        <f aca="false">IF(D132="",E132,D132)</f>
        <v>0</v>
      </c>
      <c r="G132" s="9"/>
      <c r="H132" s="14"/>
      <c r="I132" s="14" t="str">
        <f aca="false">IF(A132="","",Inputs!$B$13/((IF(AS132="",Inputs!$B$18,AS132)+Inputs!$B$14)^Inputs!$B$15))</f>
        <v/>
      </c>
      <c r="J132" s="14" t="str">
        <f aca="false">IF(A132="","",0.000000278*IF(G132="",Inputs!$B$17,G132)*F132*I132)</f>
        <v/>
      </c>
      <c r="K132" s="14" t="str">
        <f aca="false">IF(A132="","",SUMIFS($L$4:$L$203,$B$4:$B$203,$A132))</f>
        <v/>
      </c>
      <c r="L132" s="14" t="str">
        <f aca="false">IF(A132="","",(J132+K132)*Inputs!$B$16)</f>
        <v/>
      </c>
      <c r="M132" s="14"/>
      <c r="N132" s="14" t="str">
        <f aca="false">IF(A132="","",IF(M132="",Inputs!$B$7,M132))</f>
        <v/>
      </c>
      <c r="O132" s="9" t="str">
        <f aca="false">IF(A132="","",IF(L132/Inputs!$B$10&lt;=AD132,Inputs!$F$5,IF(L132/Inputs!$B$10&gt;AM132,"OVERSIZE",INDEX(Inputs!$F$5:$F$14,MATCH(L132/Inputs!$B$10,AD132:AM132,1)+1))))</f>
        <v/>
      </c>
      <c r="P132" s="9"/>
      <c r="Q132" s="9" t="str">
        <f aca="false">IF(A132="","",IF(P132="",O132,P132))</f>
        <v/>
      </c>
      <c r="R132" s="14" t="str">
        <f aca="false">IF(OR(Q132="",Q132="OVERSIZE"),"",Q132/1000)</f>
        <v/>
      </c>
      <c r="S132" s="14" t="str">
        <f aca="false">IF(R132="","",(1/Inputs!$B$9)*(PI()*R132^2/4)*((R132/4)^(2/3))*SQRT(N132))</f>
        <v/>
      </c>
      <c r="T132" s="14" t="str">
        <f aca="false">IF(OR(S132="",L132=""),"",L132/(S132*Inputs!$B$10))</f>
        <v/>
      </c>
      <c r="U132" s="14" t="str">
        <f aca="false">IF(OR(R132="",L132=""),"",4*L132/(PI()*R132^2))</f>
        <v/>
      </c>
      <c r="V132" s="14"/>
      <c r="W132" s="14" t="str">
        <f aca="false">IF(A132="","",IF(A132=Inputs!$B$6,Inputs!$B$22,IF(B132="","",IFERROR(INDEX($X$4:$X$203,MATCH(B132,$A$4:$A$203,0))+IF(V132="",Inputs!$B$20,V132),""))))</f>
        <v/>
      </c>
      <c r="X132" s="14" t="str">
        <f aca="false">IF(OR(W132="",N132="",C132=""),"",W132+N132*C132)</f>
        <v/>
      </c>
      <c r="Y132" s="14"/>
      <c r="Z132" s="14"/>
      <c r="AA132" s="14" t="str">
        <f aca="false">IF(OR(Y132="",W132=""),"",Y132-W132)</f>
        <v/>
      </c>
      <c r="AB132" s="14" t="str">
        <f aca="false">IF(OR(Z132="",X132=""),"",Z132-X132)</f>
        <v/>
      </c>
      <c r="AC132" s="19" t="str">
        <f aca="false">IF(A132="","",IF(OR(T132&gt;1,AND(AV132&lt;&gt;"",AV132&lt;Inputs!$B$11),AND(AV132&lt;&gt;"",AV132&gt;Inputs!$B$12),AA132&lt;Inputs!$B$19,AB132&lt;Inputs!$B$19,N132&lt;Inputs!$B$7,N132&gt;Inputs!$B$8),"CHECK","OK"))</f>
        <v/>
      </c>
      <c r="AD132" s="9" t="str">
        <f aca="false">IF(A132="","",(1/Inputs!$B$9)*(PI()*(Inputs!$F$5/1000)^2/4)*((Inputs!$F$5/1000/4)^(2/3))*SQRT(N132))</f>
        <v/>
      </c>
      <c r="AE132" s="9" t="str">
        <f aca="false">IF(A132="","",(1/Inputs!$B$9)*(PI()*(Inputs!$F$6/1000)^2/4)*((Inputs!$F$6/1000/4)^(2/3))*SQRT(N132))</f>
        <v/>
      </c>
      <c r="AF132" s="9" t="str">
        <f aca="false">IF(A132="","",(1/Inputs!$B$9)*(PI()*(Inputs!$F$7/1000)^2/4)*((Inputs!$F$7/1000/4)^(2/3))*SQRT(N132))</f>
        <v/>
      </c>
      <c r="AG132" s="9" t="str">
        <f aca="false">IF(A132="","",(1/Inputs!$B$9)*(PI()*(Inputs!$F$8/1000)^2/4)*((Inputs!$F$8/1000/4)^(2/3))*SQRT(N132))</f>
        <v/>
      </c>
      <c r="AH132" s="9" t="str">
        <f aca="false">IF(A132="","",(1/Inputs!$B$9)*(PI()*(Inputs!$F$9/1000)^2/4)*((Inputs!$F$9/1000/4)^(2/3))*SQRT(N132))</f>
        <v/>
      </c>
      <c r="AI132" s="9" t="str">
        <f aca="false">IF(A132="","",(1/Inputs!$B$9)*(PI()*(Inputs!$F$10/1000)^2/4)*((Inputs!$F$10/1000/4)^(2/3))*SQRT(N132))</f>
        <v/>
      </c>
      <c r="AJ132" s="9" t="str">
        <f aca="false">IF(A132="","",(1/Inputs!$B$9)*(PI()*(Inputs!$F$11/1000)^2/4)*((Inputs!$F$11/1000/4)^(2/3))*SQRT(N132))</f>
        <v/>
      </c>
      <c r="AK132" s="9" t="str">
        <f aca="false">IF(A132="","",(1/Inputs!$B$9)*(PI()*(Inputs!$F$12/1000)^2/4)*((Inputs!$F$12/1000/4)^(2/3))*SQRT(N132))</f>
        <v/>
      </c>
      <c r="AL132" s="9" t="str">
        <f aca="false">IF(A132="","",(1/Inputs!$B$9)*(PI()*(Inputs!$F$13/1000)^2/4)*((Inputs!$F$13/1000/4)^(2/3))*SQRT(N132))</f>
        <v/>
      </c>
      <c r="AM132" s="9" t="str">
        <f aca="false">IF(A132="","",(1/Inputs!$B$9)*(PI()*(Inputs!$F$14/1000)^2/4)*((Inputs!$F$14/1000/4)^(2/3))*SQRT(N132))</f>
        <v/>
      </c>
      <c r="AN132" s="9" t="str">
        <f aca="false">IF(A132="","",COUNTIF($B$4:$B$203,$A132))</f>
        <v/>
      </c>
      <c r="AO132" s="9" t="str">
        <f aca="false">IF(A132="","",IF(AN132=0,"START","CONTINUOUS"))</f>
        <v/>
      </c>
      <c r="AP132" s="13" t="str">
        <f aca="false">IF(A132="","",IF(H132="",Inputs!$B$18,H132))</f>
        <v/>
      </c>
      <c r="AQ132" s="13" t="str">
        <f aca="false">IF(A132="","",IFERROR(maxifs($AS$4:$AS$203,$B$4:$B$203,$A132),""))</f>
        <v/>
      </c>
      <c r="AR132" s="13" t="str">
        <f aca="false">IF(A132="","",IF(OR(C132="",Inputs!$B$23=""),"",C132/(Inputs!$B$23*60)))</f>
        <v/>
      </c>
      <c r="AS132" s="13" t="str">
        <f aca="false">IF(A132="","",IF(AN132=0,AP132+AR132,IF(AQ132="",AP132+AR132,AQ132+AR132)))</f>
        <v/>
      </c>
      <c r="AT132" s="13" t="str">
        <f aca="false">IF(A132="","",U132)</f>
        <v/>
      </c>
      <c r="AU132" s="13" t="str">
        <f aca="false">IF(OR(R132="",N132=""),"",(1/Inputs!$B$9)*((R132/4)^(2/3))*SQRT(N132))</f>
        <v/>
      </c>
      <c r="AV132" s="13" t="str">
        <f aca="false">IF(A132="","",IF(AND(AT132="",AU132="",AX132=""),"",IF(OR(UPPER(TRIM(Inputs!$B$24))="MANNING",UPPER(TRIM(Inputs!$B$24))="M"),AU132,IF(OR(UPPER(TRIM(Inputs!$B$24))="PARTIAL",UPPER(TRIM(Inputs!$B$24))="P"),AX132,IF(OR(UPPER(TRIM(Inputs!$B$24))="MAX",UPPER(TRIM(Inputs!$B$24))="X"),MAX(IF(AT132="",0,AT132),IF(AU132="",0,AU132),IF(AX132="",0,AX132)),AT132)))))</f>
        <v/>
      </c>
      <c r="AW132" s="13" t="str">
        <f aca="false">IF(AY132="","",CE132)</f>
        <v/>
      </c>
      <c r="AX132" s="13" t="str">
        <f aca="false">IF(OR(AY132="",AW132="",R132="",R132&lt;=0,AW132&lt;=0),"",AY132/((R132^2/8)*(2*ACOS(1-2*AW132/R132)-SIN(2*ACOS(1-2*AW132/R132)))))</f>
        <v/>
      </c>
      <c r="AY132" s="9" t="str">
        <f aca="false">IF(OR(L132="",AZ132=""),"",MIN(L132,AZ132))</f>
        <v/>
      </c>
      <c r="AZ132" s="9" t="str">
        <f aca="false">IF(OR(L132="",R132="",N132=""),"",IF(OR(R132="",N132="",(0.94*R132)="",R132&lt;=0,(0.94*R132)&lt;=0),"",(1/Inputs!$B$9)*((R132^2/8)*((2*ACOS(1-2*(0.94*R132)/R132))-SIN((2*ACOS(1-2*(0.94*R132)/R132)))))*((((R132^2/8)*((2*ACOS(1-2*(0.94*R132)/R132))-SIN((2*ACOS(1-2*(0.94*R132)/R132)))))/((R132/2)*((2*ACOS(1-2*(0.94*R132)/R132)))))^(2/3))*SQRT(N132)))</f>
        <v/>
      </c>
      <c r="BA132" s="9" t="str">
        <f aca="false">IF(AY132="","",0.001*R132)</f>
        <v/>
      </c>
      <c r="BB132" s="9" t="str">
        <f aca="false">IF(AY132="","",0.94*R132)</f>
        <v/>
      </c>
      <c r="BC132" s="9" t="str">
        <f aca="false">IF(AY132="","",(BA132+BB132)/2)</f>
        <v/>
      </c>
      <c r="BD132" s="9" t="str">
        <f aca="false">IF(OR(R132="",N132="",BC132="",R132&lt;=0,BC132&lt;=0),"",(1/Inputs!$B$9)*((R132^2/8)*((2*ACOS(1-2*BC132/R132))-SIN((2*ACOS(1-2*BC132/R132)))))*((((R132^2/8)*((2*ACOS(1-2*BC132/R132))-SIN((2*ACOS(1-2*BC132/R132)))))/((R132/2)*((2*ACOS(1-2*BC132/R132)))))^(2/3))*SQRT(N132))</f>
        <v/>
      </c>
      <c r="BE132" s="9" t="str">
        <f aca="false">IF(AY132="","",IF(BD132&lt;AY132,BC132,BA132))</f>
        <v/>
      </c>
      <c r="BF132" s="9" t="str">
        <f aca="false">IF(AY132="","",IF(BD132&lt;AY132,BB132,BC132))</f>
        <v/>
      </c>
      <c r="BG132" s="9" t="str">
        <f aca="false">IF(AY132="","",(BE132+BF132)/2)</f>
        <v/>
      </c>
      <c r="BH132" s="9" t="str">
        <f aca="false">IF(OR(R132="",N132="",BG132="",R132&lt;=0,BG132&lt;=0),"",(1/Inputs!$B$9)*((R132^2/8)*((2*ACOS(1-2*BG132/R132))-SIN((2*ACOS(1-2*BG132/R132)))))*((((R132^2/8)*((2*ACOS(1-2*BG132/R132))-SIN((2*ACOS(1-2*BG132/R132)))))/((R132/2)*((2*ACOS(1-2*BG132/R132)))))^(2/3))*SQRT(N132))</f>
        <v/>
      </c>
      <c r="BI132" s="9" t="str">
        <f aca="false">IF(AY132="","",IF(BH132&lt;AY132,BG132,BE132))</f>
        <v/>
      </c>
      <c r="BJ132" s="9" t="str">
        <f aca="false">IF(AY132="","",IF(BH132&lt;AY132,BF132,BG132))</f>
        <v/>
      </c>
      <c r="BK132" s="9" t="str">
        <f aca="false">IF(AY132="","",(BI132+BJ132)/2)</f>
        <v/>
      </c>
      <c r="BL132" s="9" t="str">
        <f aca="false">IF(OR(R132="",N132="",BK132="",R132&lt;=0,BK132&lt;=0),"",(1/Inputs!$B$9)*((R132^2/8)*((2*ACOS(1-2*BK132/R132))-SIN((2*ACOS(1-2*BK132/R132)))))*((((R132^2/8)*((2*ACOS(1-2*BK132/R132))-SIN((2*ACOS(1-2*BK132/R132)))))/((R132/2)*((2*ACOS(1-2*BK132/R132)))))^(2/3))*SQRT(N132))</f>
        <v/>
      </c>
      <c r="BM132" s="9" t="str">
        <f aca="false">IF(AY132="","",IF(BL132&lt;AY132,BK132,BI132))</f>
        <v/>
      </c>
      <c r="BN132" s="9" t="str">
        <f aca="false">IF(AY132="","",IF(BL132&lt;AY132,BJ132,BK132))</f>
        <v/>
      </c>
      <c r="BO132" s="9" t="str">
        <f aca="false">IF(AY132="","",(BM132+BN132)/2)</f>
        <v/>
      </c>
      <c r="BP132" s="9" t="str">
        <f aca="false">IF(OR(R132="",N132="",BO132="",R132&lt;=0,BO132&lt;=0),"",(1/Inputs!$B$9)*((R132^2/8)*((2*ACOS(1-2*BO132/R132))-SIN((2*ACOS(1-2*BO132/R132)))))*((((R132^2/8)*((2*ACOS(1-2*BO132/R132))-SIN((2*ACOS(1-2*BO132/R132)))))/((R132/2)*((2*ACOS(1-2*BO132/R132)))))^(2/3))*SQRT(N132))</f>
        <v/>
      </c>
      <c r="BQ132" s="9" t="str">
        <f aca="false">IF(AY132="","",IF(BP132&lt;AY132,BO132,BM132))</f>
        <v/>
      </c>
      <c r="BR132" s="9" t="str">
        <f aca="false">IF(AY132="","",IF(BP132&lt;AY132,BN132,BO132))</f>
        <v/>
      </c>
      <c r="BS132" s="9" t="str">
        <f aca="false">IF(AY132="","",(BQ132+BR132)/2)</f>
        <v/>
      </c>
      <c r="BT132" s="9" t="str">
        <f aca="false">IF(OR(R132="",N132="",BS132="",R132&lt;=0,BS132&lt;=0),"",(1/Inputs!$B$9)*((R132^2/8)*((2*ACOS(1-2*BS132/R132))-SIN((2*ACOS(1-2*BS132/R132)))))*((((R132^2/8)*((2*ACOS(1-2*BS132/R132))-SIN((2*ACOS(1-2*BS132/R132)))))/((R132/2)*((2*ACOS(1-2*BS132/R132)))))^(2/3))*SQRT(N132))</f>
        <v/>
      </c>
      <c r="BU132" s="9" t="str">
        <f aca="false">IF(AY132="","",IF(BT132&lt;AY132,BS132,BQ132))</f>
        <v/>
      </c>
      <c r="BV132" s="9" t="str">
        <f aca="false">IF(AY132="","",IF(BT132&lt;AY132,BR132,BS132))</f>
        <v/>
      </c>
      <c r="BW132" s="9" t="str">
        <f aca="false">IF(AY132="","",(BU132+BV132)/2)</f>
        <v/>
      </c>
      <c r="BX132" s="9" t="str">
        <f aca="false">IF(OR(R132="",N132="",BW132="",R132&lt;=0,BW132&lt;=0),"",(1/Inputs!$B$9)*((R132^2/8)*((2*ACOS(1-2*BW132/R132))-SIN((2*ACOS(1-2*BW132/R132)))))*((((R132^2/8)*((2*ACOS(1-2*BW132/R132))-SIN((2*ACOS(1-2*BW132/R132)))))/((R132/2)*((2*ACOS(1-2*BW132/R132)))))^(2/3))*SQRT(N132))</f>
        <v/>
      </c>
      <c r="BY132" s="9" t="str">
        <f aca="false">IF(AY132="","",IF(BX132&lt;AY132,BW132,BU132))</f>
        <v/>
      </c>
      <c r="BZ132" s="9" t="str">
        <f aca="false">IF(AY132="","",IF(BX132&lt;AY132,BV132,BW132))</f>
        <v/>
      </c>
      <c r="CA132" s="9" t="str">
        <f aca="false">IF(AY132="","",(BY132+BZ132)/2)</f>
        <v/>
      </c>
      <c r="CB132" s="9" t="str">
        <f aca="false">IF(OR(R132="",N132="",CA132="",R132&lt;=0,CA132&lt;=0),"",(1/Inputs!$B$9)*((R132^2/8)*((2*ACOS(1-2*CA132/R132))-SIN((2*ACOS(1-2*CA132/R132)))))*((((R132^2/8)*((2*ACOS(1-2*CA132/R132))-SIN((2*ACOS(1-2*CA132/R132)))))/((R132/2)*((2*ACOS(1-2*CA132/R132)))))^(2/3))*SQRT(N132))</f>
        <v/>
      </c>
      <c r="CC132" s="9" t="str">
        <f aca="false">IF(AY132="","",IF(CB132&lt;AY132,CA132,BY132))</f>
        <v/>
      </c>
      <c r="CD132" s="9" t="str">
        <f aca="false">IF(AY132="","",IF(CB132&lt;AY132,BZ132,CA132))</f>
        <v/>
      </c>
      <c r="CE132" s="9" t="str">
        <f aca="false">IF(AY132="","",(CC132+CD132)/2)</f>
        <v/>
      </c>
    </row>
    <row r="133" customFormat="false" ht="15" hidden="false" customHeight="false" outlineLevel="0" collapsed="false">
      <c r="A133" s="9"/>
      <c r="B133" s="9"/>
      <c r="C133" s="14"/>
      <c r="D133" s="14"/>
      <c r="E133" s="14" t="n">
        <f aca="false">SUMIFS(CB_Tributaires!$C:$C,CB_Tributaires!$B:$B,$A133)</f>
        <v>0</v>
      </c>
      <c r="F133" s="14" t="n">
        <f aca="false">IF(D133="",E133,D133)</f>
        <v>0</v>
      </c>
      <c r="G133" s="9"/>
      <c r="H133" s="14"/>
      <c r="I133" s="14" t="str">
        <f aca="false">IF(A133="","",Inputs!$B$13/((IF(AS133="",Inputs!$B$18,AS133)+Inputs!$B$14)^Inputs!$B$15))</f>
        <v/>
      </c>
      <c r="J133" s="14" t="str">
        <f aca="false">IF(A133="","",0.000000278*IF(G133="",Inputs!$B$17,G133)*F133*I133)</f>
        <v/>
      </c>
      <c r="K133" s="14" t="str">
        <f aca="false">IF(A133="","",SUMIFS($L$4:$L$203,$B$4:$B$203,$A133))</f>
        <v/>
      </c>
      <c r="L133" s="14" t="str">
        <f aca="false">IF(A133="","",(J133+K133)*Inputs!$B$16)</f>
        <v/>
      </c>
      <c r="M133" s="14"/>
      <c r="N133" s="14" t="str">
        <f aca="false">IF(A133="","",IF(M133="",Inputs!$B$7,M133))</f>
        <v/>
      </c>
      <c r="O133" s="9" t="str">
        <f aca="false">IF(A133="","",IF(L133/Inputs!$B$10&lt;=AD133,Inputs!$F$5,IF(L133/Inputs!$B$10&gt;AM133,"OVERSIZE",INDEX(Inputs!$F$5:$F$14,MATCH(L133/Inputs!$B$10,AD133:AM133,1)+1))))</f>
        <v/>
      </c>
      <c r="P133" s="9"/>
      <c r="Q133" s="9" t="str">
        <f aca="false">IF(A133="","",IF(P133="",O133,P133))</f>
        <v/>
      </c>
      <c r="R133" s="14" t="str">
        <f aca="false">IF(OR(Q133="",Q133="OVERSIZE"),"",Q133/1000)</f>
        <v/>
      </c>
      <c r="S133" s="14" t="str">
        <f aca="false">IF(R133="","",(1/Inputs!$B$9)*(PI()*R133^2/4)*((R133/4)^(2/3))*SQRT(N133))</f>
        <v/>
      </c>
      <c r="T133" s="14" t="str">
        <f aca="false">IF(OR(S133="",L133=""),"",L133/(S133*Inputs!$B$10))</f>
        <v/>
      </c>
      <c r="U133" s="14" t="str">
        <f aca="false">IF(OR(R133="",L133=""),"",4*L133/(PI()*R133^2))</f>
        <v/>
      </c>
      <c r="V133" s="14"/>
      <c r="W133" s="14" t="str">
        <f aca="false">IF(A133="","",IF(A133=Inputs!$B$6,Inputs!$B$22,IF(B133="","",IFERROR(INDEX($X$4:$X$203,MATCH(B133,$A$4:$A$203,0))+IF(V133="",Inputs!$B$20,V133),""))))</f>
        <v/>
      </c>
      <c r="X133" s="14" t="str">
        <f aca="false">IF(OR(W133="",N133="",C133=""),"",W133+N133*C133)</f>
        <v/>
      </c>
      <c r="Y133" s="14"/>
      <c r="Z133" s="14"/>
      <c r="AA133" s="14" t="str">
        <f aca="false">IF(OR(Y133="",W133=""),"",Y133-W133)</f>
        <v/>
      </c>
      <c r="AB133" s="14" t="str">
        <f aca="false">IF(OR(Z133="",X133=""),"",Z133-X133)</f>
        <v/>
      </c>
      <c r="AC133" s="19" t="str">
        <f aca="false">IF(A133="","",IF(OR(T133&gt;1,AND(AV133&lt;&gt;"",AV133&lt;Inputs!$B$11),AND(AV133&lt;&gt;"",AV133&gt;Inputs!$B$12),AA133&lt;Inputs!$B$19,AB133&lt;Inputs!$B$19,N133&lt;Inputs!$B$7,N133&gt;Inputs!$B$8),"CHECK","OK"))</f>
        <v/>
      </c>
      <c r="AD133" s="9" t="str">
        <f aca="false">IF(A133="","",(1/Inputs!$B$9)*(PI()*(Inputs!$F$5/1000)^2/4)*((Inputs!$F$5/1000/4)^(2/3))*SQRT(N133))</f>
        <v/>
      </c>
      <c r="AE133" s="9" t="str">
        <f aca="false">IF(A133="","",(1/Inputs!$B$9)*(PI()*(Inputs!$F$6/1000)^2/4)*((Inputs!$F$6/1000/4)^(2/3))*SQRT(N133))</f>
        <v/>
      </c>
      <c r="AF133" s="9" t="str">
        <f aca="false">IF(A133="","",(1/Inputs!$B$9)*(PI()*(Inputs!$F$7/1000)^2/4)*((Inputs!$F$7/1000/4)^(2/3))*SQRT(N133))</f>
        <v/>
      </c>
      <c r="AG133" s="9" t="str">
        <f aca="false">IF(A133="","",(1/Inputs!$B$9)*(PI()*(Inputs!$F$8/1000)^2/4)*((Inputs!$F$8/1000/4)^(2/3))*SQRT(N133))</f>
        <v/>
      </c>
      <c r="AH133" s="9" t="str">
        <f aca="false">IF(A133="","",(1/Inputs!$B$9)*(PI()*(Inputs!$F$9/1000)^2/4)*((Inputs!$F$9/1000/4)^(2/3))*SQRT(N133))</f>
        <v/>
      </c>
      <c r="AI133" s="9" t="str">
        <f aca="false">IF(A133="","",(1/Inputs!$B$9)*(PI()*(Inputs!$F$10/1000)^2/4)*((Inputs!$F$10/1000/4)^(2/3))*SQRT(N133))</f>
        <v/>
      </c>
      <c r="AJ133" s="9" t="str">
        <f aca="false">IF(A133="","",(1/Inputs!$B$9)*(PI()*(Inputs!$F$11/1000)^2/4)*((Inputs!$F$11/1000/4)^(2/3))*SQRT(N133))</f>
        <v/>
      </c>
      <c r="AK133" s="9" t="str">
        <f aca="false">IF(A133="","",(1/Inputs!$B$9)*(PI()*(Inputs!$F$12/1000)^2/4)*((Inputs!$F$12/1000/4)^(2/3))*SQRT(N133))</f>
        <v/>
      </c>
      <c r="AL133" s="9" t="str">
        <f aca="false">IF(A133="","",(1/Inputs!$B$9)*(PI()*(Inputs!$F$13/1000)^2/4)*((Inputs!$F$13/1000/4)^(2/3))*SQRT(N133))</f>
        <v/>
      </c>
      <c r="AM133" s="9" t="str">
        <f aca="false">IF(A133="","",(1/Inputs!$B$9)*(PI()*(Inputs!$F$14/1000)^2/4)*((Inputs!$F$14/1000/4)^(2/3))*SQRT(N133))</f>
        <v/>
      </c>
      <c r="AN133" s="9" t="str">
        <f aca="false">IF(A133="","",COUNTIF($B$4:$B$203,$A133))</f>
        <v/>
      </c>
      <c r="AO133" s="9" t="str">
        <f aca="false">IF(A133="","",IF(AN133=0,"START","CONTINUOUS"))</f>
        <v/>
      </c>
      <c r="AP133" s="13" t="str">
        <f aca="false">IF(A133="","",IF(H133="",Inputs!$B$18,H133))</f>
        <v/>
      </c>
      <c r="AQ133" s="13" t="str">
        <f aca="false">IF(A133="","",IFERROR(maxifs($AS$4:$AS$203,$B$4:$B$203,$A133),""))</f>
        <v/>
      </c>
      <c r="AR133" s="13" t="str">
        <f aca="false">IF(A133="","",IF(OR(C133="",Inputs!$B$23=""),"",C133/(Inputs!$B$23*60)))</f>
        <v/>
      </c>
      <c r="AS133" s="13" t="str">
        <f aca="false">IF(A133="","",IF(AN133=0,AP133+AR133,IF(AQ133="",AP133+AR133,AQ133+AR133)))</f>
        <v/>
      </c>
      <c r="AT133" s="13" t="str">
        <f aca="false">IF(A133="","",U133)</f>
        <v/>
      </c>
      <c r="AU133" s="13" t="str">
        <f aca="false">IF(OR(R133="",N133=""),"",(1/Inputs!$B$9)*((R133/4)^(2/3))*SQRT(N133))</f>
        <v/>
      </c>
      <c r="AV133" s="13" t="str">
        <f aca="false">IF(A133="","",IF(AND(AT133="",AU133="",AX133=""),"",IF(OR(UPPER(TRIM(Inputs!$B$24))="MANNING",UPPER(TRIM(Inputs!$B$24))="M"),AU133,IF(OR(UPPER(TRIM(Inputs!$B$24))="PARTIAL",UPPER(TRIM(Inputs!$B$24))="P"),AX133,IF(OR(UPPER(TRIM(Inputs!$B$24))="MAX",UPPER(TRIM(Inputs!$B$24))="X"),MAX(IF(AT133="",0,AT133),IF(AU133="",0,AU133),IF(AX133="",0,AX133)),AT133)))))</f>
        <v/>
      </c>
      <c r="AW133" s="13" t="str">
        <f aca="false">IF(AY133="","",CE133)</f>
        <v/>
      </c>
      <c r="AX133" s="13" t="str">
        <f aca="false">IF(OR(AY133="",AW133="",R133="",R133&lt;=0,AW133&lt;=0),"",AY133/((R133^2/8)*(2*ACOS(1-2*AW133/R133)-SIN(2*ACOS(1-2*AW133/R133)))))</f>
        <v/>
      </c>
      <c r="AY133" s="9" t="str">
        <f aca="false">IF(OR(L133="",AZ133=""),"",MIN(L133,AZ133))</f>
        <v/>
      </c>
      <c r="AZ133" s="9" t="str">
        <f aca="false">IF(OR(L133="",R133="",N133=""),"",IF(OR(R133="",N133="",(0.94*R133)="",R133&lt;=0,(0.94*R133)&lt;=0),"",(1/Inputs!$B$9)*((R133^2/8)*((2*ACOS(1-2*(0.94*R133)/R133))-SIN((2*ACOS(1-2*(0.94*R133)/R133)))))*((((R133^2/8)*((2*ACOS(1-2*(0.94*R133)/R133))-SIN((2*ACOS(1-2*(0.94*R133)/R133)))))/((R133/2)*((2*ACOS(1-2*(0.94*R133)/R133)))))^(2/3))*SQRT(N133)))</f>
        <v/>
      </c>
      <c r="BA133" s="9" t="str">
        <f aca="false">IF(AY133="","",0.001*R133)</f>
        <v/>
      </c>
      <c r="BB133" s="9" t="str">
        <f aca="false">IF(AY133="","",0.94*R133)</f>
        <v/>
      </c>
      <c r="BC133" s="9" t="str">
        <f aca="false">IF(AY133="","",(BA133+BB133)/2)</f>
        <v/>
      </c>
      <c r="BD133" s="9" t="str">
        <f aca="false">IF(OR(R133="",N133="",BC133="",R133&lt;=0,BC133&lt;=0),"",(1/Inputs!$B$9)*((R133^2/8)*((2*ACOS(1-2*BC133/R133))-SIN((2*ACOS(1-2*BC133/R133)))))*((((R133^2/8)*((2*ACOS(1-2*BC133/R133))-SIN((2*ACOS(1-2*BC133/R133)))))/((R133/2)*((2*ACOS(1-2*BC133/R133)))))^(2/3))*SQRT(N133))</f>
        <v/>
      </c>
      <c r="BE133" s="9" t="str">
        <f aca="false">IF(AY133="","",IF(BD133&lt;AY133,BC133,BA133))</f>
        <v/>
      </c>
      <c r="BF133" s="9" t="str">
        <f aca="false">IF(AY133="","",IF(BD133&lt;AY133,BB133,BC133))</f>
        <v/>
      </c>
      <c r="BG133" s="9" t="str">
        <f aca="false">IF(AY133="","",(BE133+BF133)/2)</f>
        <v/>
      </c>
      <c r="BH133" s="9" t="str">
        <f aca="false">IF(OR(R133="",N133="",BG133="",R133&lt;=0,BG133&lt;=0),"",(1/Inputs!$B$9)*((R133^2/8)*((2*ACOS(1-2*BG133/R133))-SIN((2*ACOS(1-2*BG133/R133)))))*((((R133^2/8)*((2*ACOS(1-2*BG133/R133))-SIN((2*ACOS(1-2*BG133/R133)))))/((R133/2)*((2*ACOS(1-2*BG133/R133)))))^(2/3))*SQRT(N133))</f>
        <v/>
      </c>
      <c r="BI133" s="9" t="str">
        <f aca="false">IF(AY133="","",IF(BH133&lt;AY133,BG133,BE133))</f>
        <v/>
      </c>
      <c r="BJ133" s="9" t="str">
        <f aca="false">IF(AY133="","",IF(BH133&lt;AY133,BF133,BG133))</f>
        <v/>
      </c>
      <c r="BK133" s="9" t="str">
        <f aca="false">IF(AY133="","",(BI133+BJ133)/2)</f>
        <v/>
      </c>
      <c r="BL133" s="9" t="str">
        <f aca="false">IF(OR(R133="",N133="",BK133="",R133&lt;=0,BK133&lt;=0),"",(1/Inputs!$B$9)*((R133^2/8)*((2*ACOS(1-2*BK133/R133))-SIN((2*ACOS(1-2*BK133/R133)))))*((((R133^2/8)*((2*ACOS(1-2*BK133/R133))-SIN((2*ACOS(1-2*BK133/R133)))))/((R133/2)*((2*ACOS(1-2*BK133/R133)))))^(2/3))*SQRT(N133))</f>
        <v/>
      </c>
      <c r="BM133" s="9" t="str">
        <f aca="false">IF(AY133="","",IF(BL133&lt;AY133,BK133,BI133))</f>
        <v/>
      </c>
      <c r="BN133" s="9" t="str">
        <f aca="false">IF(AY133="","",IF(BL133&lt;AY133,BJ133,BK133))</f>
        <v/>
      </c>
      <c r="BO133" s="9" t="str">
        <f aca="false">IF(AY133="","",(BM133+BN133)/2)</f>
        <v/>
      </c>
      <c r="BP133" s="9" t="str">
        <f aca="false">IF(OR(R133="",N133="",BO133="",R133&lt;=0,BO133&lt;=0),"",(1/Inputs!$B$9)*((R133^2/8)*((2*ACOS(1-2*BO133/R133))-SIN((2*ACOS(1-2*BO133/R133)))))*((((R133^2/8)*((2*ACOS(1-2*BO133/R133))-SIN((2*ACOS(1-2*BO133/R133)))))/((R133/2)*((2*ACOS(1-2*BO133/R133)))))^(2/3))*SQRT(N133))</f>
        <v/>
      </c>
      <c r="BQ133" s="9" t="str">
        <f aca="false">IF(AY133="","",IF(BP133&lt;AY133,BO133,BM133))</f>
        <v/>
      </c>
      <c r="BR133" s="9" t="str">
        <f aca="false">IF(AY133="","",IF(BP133&lt;AY133,BN133,BO133))</f>
        <v/>
      </c>
      <c r="BS133" s="9" t="str">
        <f aca="false">IF(AY133="","",(BQ133+BR133)/2)</f>
        <v/>
      </c>
      <c r="BT133" s="9" t="str">
        <f aca="false">IF(OR(R133="",N133="",BS133="",R133&lt;=0,BS133&lt;=0),"",(1/Inputs!$B$9)*((R133^2/8)*((2*ACOS(1-2*BS133/R133))-SIN((2*ACOS(1-2*BS133/R133)))))*((((R133^2/8)*((2*ACOS(1-2*BS133/R133))-SIN((2*ACOS(1-2*BS133/R133)))))/((R133/2)*((2*ACOS(1-2*BS133/R133)))))^(2/3))*SQRT(N133))</f>
        <v/>
      </c>
      <c r="BU133" s="9" t="str">
        <f aca="false">IF(AY133="","",IF(BT133&lt;AY133,BS133,BQ133))</f>
        <v/>
      </c>
      <c r="BV133" s="9" t="str">
        <f aca="false">IF(AY133="","",IF(BT133&lt;AY133,BR133,BS133))</f>
        <v/>
      </c>
      <c r="BW133" s="9" t="str">
        <f aca="false">IF(AY133="","",(BU133+BV133)/2)</f>
        <v/>
      </c>
      <c r="BX133" s="9" t="str">
        <f aca="false">IF(OR(R133="",N133="",BW133="",R133&lt;=0,BW133&lt;=0),"",(1/Inputs!$B$9)*((R133^2/8)*((2*ACOS(1-2*BW133/R133))-SIN((2*ACOS(1-2*BW133/R133)))))*((((R133^2/8)*((2*ACOS(1-2*BW133/R133))-SIN((2*ACOS(1-2*BW133/R133)))))/((R133/2)*((2*ACOS(1-2*BW133/R133)))))^(2/3))*SQRT(N133))</f>
        <v/>
      </c>
      <c r="BY133" s="9" t="str">
        <f aca="false">IF(AY133="","",IF(BX133&lt;AY133,BW133,BU133))</f>
        <v/>
      </c>
      <c r="BZ133" s="9" t="str">
        <f aca="false">IF(AY133="","",IF(BX133&lt;AY133,BV133,BW133))</f>
        <v/>
      </c>
      <c r="CA133" s="9" t="str">
        <f aca="false">IF(AY133="","",(BY133+BZ133)/2)</f>
        <v/>
      </c>
      <c r="CB133" s="9" t="str">
        <f aca="false">IF(OR(R133="",N133="",CA133="",R133&lt;=0,CA133&lt;=0),"",(1/Inputs!$B$9)*((R133^2/8)*((2*ACOS(1-2*CA133/R133))-SIN((2*ACOS(1-2*CA133/R133)))))*((((R133^2/8)*((2*ACOS(1-2*CA133/R133))-SIN((2*ACOS(1-2*CA133/R133)))))/((R133/2)*((2*ACOS(1-2*CA133/R133)))))^(2/3))*SQRT(N133))</f>
        <v/>
      </c>
      <c r="CC133" s="9" t="str">
        <f aca="false">IF(AY133="","",IF(CB133&lt;AY133,CA133,BY133))</f>
        <v/>
      </c>
      <c r="CD133" s="9" t="str">
        <f aca="false">IF(AY133="","",IF(CB133&lt;AY133,BZ133,CA133))</f>
        <v/>
      </c>
      <c r="CE133" s="9" t="str">
        <f aca="false">IF(AY133="","",(CC133+CD133)/2)</f>
        <v/>
      </c>
    </row>
    <row r="134" customFormat="false" ht="15" hidden="false" customHeight="false" outlineLevel="0" collapsed="false">
      <c r="A134" s="9"/>
      <c r="B134" s="9"/>
      <c r="C134" s="14"/>
      <c r="D134" s="14"/>
      <c r="E134" s="14" t="n">
        <f aca="false">SUMIFS(CB_Tributaires!$C:$C,CB_Tributaires!$B:$B,$A134)</f>
        <v>0</v>
      </c>
      <c r="F134" s="14" t="n">
        <f aca="false">IF(D134="",E134,D134)</f>
        <v>0</v>
      </c>
      <c r="G134" s="9"/>
      <c r="H134" s="14"/>
      <c r="I134" s="14" t="str">
        <f aca="false">IF(A134="","",Inputs!$B$13/((IF(AS134="",Inputs!$B$18,AS134)+Inputs!$B$14)^Inputs!$B$15))</f>
        <v/>
      </c>
      <c r="J134" s="14" t="str">
        <f aca="false">IF(A134="","",0.000000278*IF(G134="",Inputs!$B$17,G134)*F134*I134)</f>
        <v/>
      </c>
      <c r="K134" s="14" t="str">
        <f aca="false">IF(A134="","",SUMIFS($L$4:$L$203,$B$4:$B$203,$A134))</f>
        <v/>
      </c>
      <c r="L134" s="14" t="str">
        <f aca="false">IF(A134="","",(J134+K134)*Inputs!$B$16)</f>
        <v/>
      </c>
      <c r="M134" s="14"/>
      <c r="N134" s="14" t="str">
        <f aca="false">IF(A134="","",IF(M134="",Inputs!$B$7,M134))</f>
        <v/>
      </c>
      <c r="O134" s="9" t="str">
        <f aca="false">IF(A134="","",IF(L134/Inputs!$B$10&lt;=AD134,Inputs!$F$5,IF(L134/Inputs!$B$10&gt;AM134,"OVERSIZE",INDEX(Inputs!$F$5:$F$14,MATCH(L134/Inputs!$B$10,AD134:AM134,1)+1))))</f>
        <v/>
      </c>
      <c r="P134" s="9"/>
      <c r="Q134" s="9" t="str">
        <f aca="false">IF(A134="","",IF(P134="",O134,P134))</f>
        <v/>
      </c>
      <c r="R134" s="14" t="str">
        <f aca="false">IF(OR(Q134="",Q134="OVERSIZE"),"",Q134/1000)</f>
        <v/>
      </c>
      <c r="S134" s="14" t="str">
        <f aca="false">IF(R134="","",(1/Inputs!$B$9)*(PI()*R134^2/4)*((R134/4)^(2/3))*SQRT(N134))</f>
        <v/>
      </c>
      <c r="T134" s="14" t="str">
        <f aca="false">IF(OR(S134="",L134=""),"",L134/(S134*Inputs!$B$10))</f>
        <v/>
      </c>
      <c r="U134" s="14" t="str">
        <f aca="false">IF(OR(R134="",L134=""),"",4*L134/(PI()*R134^2))</f>
        <v/>
      </c>
      <c r="V134" s="14"/>
      <c r="W134" s="14" t="str">
        <f aca="false">IF(A134="","",IF(A134=Inputs!$B$6,Inputs!$B$22,IF(B134="","",IFERROR(INDEX($X$4:$X$203,MATCH(B134,$A$4:$A$203,0))+IF(V134="",Inputs!$B$20,V134),""))))</f>
        <v/>
      </c>
      <c r="X134" s="14" t="str">
        <f aca="false">IF(OR(W134="",N134="",C134=""),"",W134+N134*C134)</f>
        <v/>
      </c>
      <c r="Y134" s="14"/>
      <c r="Z134" s="14"/>
      <c r="AA134" s="14" t="str">
        <f aca="false">IF(OR(Y134="",W134=""),"",Y134-W134)</f>
        <v/>
      </c>
      <c r="AB134" s="14" t="str">
        <f aca="false">IF(OR(Z134="",X134=""),"",Z134-X134)</f>
        <v/>
      </c>
      <c r="AC134" s="19" t="str">
        <f aca="false">IF(A134="","",IF(OR(T134&gt;1,AND(AV134&lt;&gt;"",AV134&lt;Inputs!$B$11),AND(AV134&lt;&gt;"",AV134&gt;Inputs!$B$12),AA134&lt;Inputs!$B$19,AB134&lt;Inputs!$B$19,N134&lt;Inputs!$B$7,N134&gt;Inputs!$B$8),"CHECK","OK"))</f>
        <v/>
      </c>
      <c r="AD134" s="9" t="str">
        <f aca="false">IF(A134="","",(1/Inputs!$B$9)*(PI()*(Inputs!$F$5/1000)^2/4)*((Inputs!$F$5/1000/4)^(2/3))*SQRT(N134))</f>
        <v/>
      </c>
      <c r="AE134" s="9" t="str">
        <f aca="false">IF(A134="","",(1/Inputs!$B$9)*(PI()*(Inputs!$F$6/1000)^2/4)*((Inputs!$F$6/1000/4)^(2/3))*SQRT(N134))</f>
        <v/>
      </c>
      <c r="AF134" s="9" t="str">
        <f aca="false">IF(A134="","",(1/Inputs!$B$9)*(PI()*(Inputs!$F$7/1000)^2/4)*((Inputs!$F$7/1000/4)^(2/3))*SQRT(N134))</f>
        <v/>
      </c>
      <c r="AG134" s="9" t="str">
        <f aca="false">IF(A134="","",(1/Inputs!$B$9)*(PI()*(Inputs!$F$8/1000)^2/4)*((Inputs!$F$8/1000/4)^(2/3))*SQRT(N134))</f>
        <v/>
      </c>
      <c r="AH134" s="9" t="str">
        <f aca="false">IF(A134="","",(1/Inputs!$B$9)*(PI()*(Inputs!$F$9/1000)^2/4)*((Inputs!$F$9/1000/4)^(2/3))*SQRT(N134))</f>
        <v/>
      </c>
      <c r="AI134" s="9" t="str">
        <f aca="false">IF(A134="","",(1/Inputs!$B$9)*(PI()*(Inputs!$F$10/1000)^2/4)*((Inputs!$F$10/1000/4)^(2/3))*SQRT(N134))</f>
        <v/>
      </c>
      <c r="AJ134" s="9" t="str">
        <f aca="false">IF(A134="","",(1/Inputs!$B$9)*(PI()*(Inputs!$F$11/1000)^2/4)*((Inputs!$F$11/1000/4)^(2/3))*SQRT(N134))</f>
        <v/>
      </c>
      <c r="AK134" s="9" t="str">
        <f aca="false">IF(A134="","",(1/Inputs!$B$9)*(PI()*(Inputs!$F$12/1000)^2/4)*((Inputs!$F$12/1000/4)^(2/3))*SQRT(N134))</f>
        <v/>
      </c>
      <c r="AL134" s="9" t="str">
        <f aca="false">IF(A134="","",(1/Inputs!$B$9)*(PI()*(Inputs!$F$13/1000)^2/4)*((Inputs!$F$13/1000/4)^(2/3))*SQRT(N134))</f>
        <v/>
      </c>
      <c r="AM134" s="9" t="str">
        <f aca="false">IF(A134="","",(1/Inputs!$B$9)*(PI()*(Inputs!$F$14/1000)^2/4)*((Inputs!$F$14/1000/4)^(2/3))*SQRT(N134))</f>
        <v/>
      </c>
      <c r="AN134" s="9" t="str">
        <f aca="false">IF(A134="","",COUNTIF($B$4:$B$203,$A134))</f>
        <v/>
      </c>
      <c r="AO134" s="9" t="str">
        <f aca="false">IF(A134="","",IF(AN134=0,"START","CONTINUOUS"))</f>
        <v/>
      </c>
      <c r="AP134" s="13" t="str">
        <f aca="false">IF(A134="","",IF(H134="",Inputs!$B$18,H134))</f>
        <v/>
      </c>
      <c r="AQ134" s="13" t="str">
        <f aca="false">IF(A134="","",IFERROR(maxifs($AS$4:$AS$203,$B$4:$B$203,$A134),""))</f>
        <v/>
      </c>
      <c r="AR134" s="13" t="str">
        <f aca="false">IF(A134="","",IF(OR(C134="",Inputs!$B$23=""),"",C134/(Inputs!$B$23*60)))</f>
        <v/>
      </c>
      <c r="AS134" s="13" t="str">
        <f aca="false">IF(A134="","",IF(AN134=0,AP134+AR134,IF(AQ134="",AP134+AR134,AQ134+AR134)))</f>
        <v/>
      </c>
      <c r="AT134" s="13" t="str">
        <f aca="false">IF(A134="","",U134)</f>
        <v/>
      </c>
      <c r="AU134" s="13" t="str">
        <f aca="false">IF(OR(R134="",N134=""),"",(1/Inputs!$B$9)*((R134/4)^(2/3))*SQRT(N134))</f>
        <v/>
      </c>
      <c r="AV134" s="13" t="str">
        <f aca="false">IF(A134="","",IF(AND(AT134="",AU134="",AX134=""),"",IF(OR(UPPER(TRIM(Inputs!$B$24))="MANNING",UPPER(TRIM(Inputs!$B$24))="M"),AU134,IF(OR(UPPER(TRIM(Inputs!$B$24))="PARTIAL",UPPER(TRIM(Inputs!$B$24))="P"),AX134,IF(OR(UPPER(TRIM(Inputs!$B$24))="MAX",UPPER(TRIM(Inputs!$B$24))="X"),MAX(IF(AT134="",0,AT134),IF(AU134="",0,AU134),IF(AX134="",0,AX134)),AT134)))))</f>
        <v/>
      </c>
      <c r="AW134" s="13" t="str">
        <f aca="false">IF(AY134="","",CE134)</f>
        <v/>
      </c>
      <c r="AX134" s="13" t="str">
        <f aca="false">IF(OR(AY134="",AW134="",R134="",R134&lt;=0,AW134&lt;=0),"",AY134/((R134^2/8)*(2*ACOS(1-2*AW134/R134)-SIN(2*ACOS(1-2*AW134/R134)))))</f>
        <v/>
      </c>
      <c r="AY134" s="9" t="str">
        <f aca="false">IF(OR(L134="",AZ134=""),"",MIN(L134,AZ134))</f>
        <v/>
      </c>
      <c r="AZ134" s="9" t="str">
        <f aca="false">IF(OR(L134="",R134="",N134=""),"",IF(OR(R134="",N134="",(0.94*R134)="",R134&lt;=0,(0.94*R134)&lt;=0),"",(1/Inputs!$B$9)*((R134^2/8)*((2*ACOS(1-2*(0.94*R134)/R134))-SIN((2*ACOS(1-2*(0.94*R134)/R134)))))*((((R134^2/8)*((2*ACOS(1-2*(0.94*R134)/R134))-SIN((2*ACOS(1-2*(0.94*R134)/R134)))))/((R134/2)*((2*ACOS(1-2*(0.94*R134)/R134)))))^(2/3))*SQRT(N134)))</f>
        <v/>
      </c>
      <c r="BA134" s="9" t="str">
        <f aca="false">IF(AY134="","",0.001*R134)</f>
        <v/>
      </c>
      <c r="BB134" s="9" t="str">
        <f aca="false">IF(AY134="","",0.94*R134)</f>
        <v/>
      </c>
      <c r="BC134" s="9" t="str">
        <f aca="false">IF(AY134="","",(BA134+BB134)/2)</f>
        <v/>
      </c>
      <c r="BD134" s="9" t="str">
        <f aca="false">IF(OR(R134="",N134="",BC134="",R134&lt;=0,BC134&lt;=0),"",(1/Inputs!$B$9)*((R134^2/8)*((2*ACOS(1-2*BC134/R134))-SIN((2*ACOS(1-2*BC134/R134)))))*((((R134^2/8)*((2*ACOS(1-2*BC134/R134))-SIN((2*ACOS(1-2*BC134/R134)))))/((R134/2)*((2*ACOS(1-2*BC134/R134)))))^(2/3))*SQRT(N134))</f>
        <v/>
      </c>
      <c r="BE134" s="9" t="str">
        <f aca="false">IF(AY134="","",IF(BD134&lt;AY134,BC134,BA134))</f>
        <v/>
      </c>
      <c r="BF134" s="9" t="str">
        <f aca="false">IF(AY134="","",IF(BD134&lt;AY134,BB134,BC134))</f>
        <v/>
      </c>
      <c r="BG134" s="9" t="str">
        <f aca="false">IF(AY134="","",(BE134+BF134)/2)</f>
        <v/>
      </c>
      <c r="BH134" s="9" t="str">
        <f aca="false">IF(OR(R134="",N134="",BG134="",R134&lt;=0,BG134&lt;=0),"",(1/Inputs!$B$9)*((R134^2/8)*((2*ACOS(1-2*BG134/R134))-SIN((2*ACOS(1-2*BG134/R134)))))*((((R134^2/8)*((2*ACOS(1-2*BG134/R134))-SIN((2*ACOS(1-2*BG134/R134)))))/((R134/2)*((2*ACOS(1-2*BG134/R134)))))^(2/3))*SQRT(N134))</f>
        <v/>
      </c>
      <c r="BI134" s="9" t="str">
        <f aca="false">IF(AY134="","",IF(BH134&lt;AY134,BG134,BE134))</f>
        <v/>
      </c>
      <c r="BJ134" s="9" t="str">
        <f aca="false">IF(AY134="","",IF(BH134&lt;AY134,BF134,BG134))</f>
        <v/>
      </c>
      <c r="BK134" s="9" t="str">
        <f aca="false">IF(AY134="","",(BI134+BJ134)/2)</f>
        <v/>
      </c>
      <c r="BL134" s="9" t="str">
        <f aca="false">IF(OR(R134="",N134="",BK134="",R134&lt;=0,BK134&lt;=0),"",(1/Inputs!$B$9)*((R134^2/8)*((2*ACOS(1-2*BK134/R134))-SIN((2*ACOS(1-2*BK134/R134)))))*((((R134^2/8)*((2*ACOS(1-2*BK134/R134))-SIN((2*ACOS(1-2*BK134/R134)))))/((R134/2)*((2*ACOS(1-2*BK134/R134)))))^(2/3))*SQRT(N134))</f>
        <v/>
      </c>
      <c r="BM134" s="9" t="str">
        <f aca="false">IF(AY134="","",IF(BL134&lt;AY134,BK134,BI134))</f>
        <v/>
      </c>
      <c r="BN134" s="9" t="str">
        <f aca="false">IF(AY134="","",IF(BL134&lt;AY134,BJ134,BK134))</f>
        <v/>
      </c>
      <c r="BO134" s="9" t="str">
        <f aca="false">IF(AY134="","",(BM134+BN134)/2)</f>
        <v/>
      </c>
      <c r="BP134" s="9" t="str">
        <f aca="false">IF(OR(R134="",N134="",BO134="",R134&lt;=0,BO134&lt;=0),"",(1/Inputs!$B$9)*((R134^2/8)*((2*ACOS(1-2*BO134/R134))-SIN((2*ACOS(1-2*BO134/R134)))))*((((R134^2/8)*((2*ACOS(1-2*BO134/R134))-SIN((2*ACOS(1-2*BO134/R134)))))/((R134/2)*((2*ACOS(1-2*BO134/R134)))))^(2/3))*SQRT(N134))</f>
        <v/>
      </c>
      <c r="BQ134" s="9" t="str">
        <f aca="false">IF(AY134="","",IF(BP134&lt;AY134,BO134,BM134))</f>
        <v/>
      </c>
      <c r="BR134" s="9" t="str">
        <f aca="false">IF(AY134="","",IF(BP134&lt;AY134,BN134,BO134))</f>
        <v/>
      </c>
      <c r="BS134" s="9" t="str">
        <f aca="false">IF(AY134="","",(BQ134+BR134)/2)</f>
        <v/>
      </c>
      <c r="BT134" s="9" t="str">
        <f aca="false">IF(OR(R134="",N134="",BS134="",R134&lt;=0,BS134&lt;=0),"",(1/Inputs!$B$9)*((R134^2/8)*((2*ACOS(1-2*BS134/R134))-SIN((2*ACOS(1-2*BS134/R134)))))*((((R134^2/8)*((2*ACOS(1-2*BS134/R134))-SIN((2*ACOS(1-2*BS134/R134)))))/((R134/2)*((2*ACOS(1-2*BS134/R134)))))^(2/3))*SQRT(N134))</f>
        <v/>
      </c>
      <c r="BU134" s="9" t="str">
        <f aca="false">IF(AY134="","",IF(BT134&lt;AY134,BS134,BQ134))</f>
        <v/>
      </c>
      <c r="BV134" s="9" t="str">
        <f aca="false">IF(AY134="","",IF(BT134&lt;AY134,BR134,BS134))</f>
        <v/>
      </c>
      <c r="BW134" s="9" t="str">
        <f aca="false">IF(AY134="","",(BU134+BV134)/2)</f>
        <v/>
      </c>
      <c r="BX134" s="9" t="str">
        <f aca="false">IF(OR(R134="",N134="",BW134="",R134&lt;=0,BW134&lt;=0),"",(1/Inputs!$B$9)*((R134^2/8)*((2*ACOS(1-2*BW134/R134))-SIN((2*ACOS(1-2*BW134/R134)))))*((((R134^2/8)*((2*ACOS(1-2*BW134/R134))-SIN((2*ACOS(1-2*BW134/R134)))))/((R134/2)*((2*ACOS(1-2*BW134/R134)))))^(2/3))*SQRT(N134))</f>
        <v/>
      </c>
      <c r="BY134" s="9" t="str">
        <f aca="false">IF(AY134="","",IF(BX134&lt;AY134,BW134,BU134))</f>
        <v/>
      </c>
      <c r="BZ134" s="9" t="str">
        <f aca="false">IF(AY134="","",IF(BX134&lt;AY134,BV134,BW134))</f>
        <v/>
      </c>
      <c r="CA134" s="9" t="str">
        <f aca="false">IF(AY134="","",(BY134+BZ134)/2)</f>
        <v/>
      </c>
      <c r="CB134" s="9" t="str">
        <f aca="false">IF(OR(R134="",N134="",CA134="",R134&lt;=0,CA134&lt;=0),"",(1/Inputs!$B$9)*((R134^2/8)*((2*ACOS(1-2*CA134/R134))-SIN((2*ACOS(1-2*CA134/R134)))))*((((R134^2/8)*((2*ACOS(1-2*CA134/R134))-SIN((2*ACOS(1-2*CA134/R134)))))/((R134/2)*((2*ACOS(1-2*CA134/R134)))))^(2/3))*SQRT(N134))</f>
        <v/>
      </c>
      <c r="CC134" s="9" t="str">
        <f aca="false">IF(AY134="","",IF(CB134&lt;AY134,CA134,BY134))</f>
        <v/>
      </c>
      <c r="CD134" s="9" t="str">
        <f aca="false">IF(AY134="","",IF(CB134&lt;AY134,BZ134,CA134))</f>
        <v/>
      </c>
      <c r="CE134" s="9" t="str">
        <f aca="false">IF(AY134="","",(CC134+CD134)/2)</f>
        <v/>
      </c>
    </row>
    <row r="135" customFormat="false" ht="15" hidden="false" customHeight="false" outlineLevel="0" collapsed="false">
      <c r="A135" s="9"/>
      <c r="B135" s="9"/>
      <c r="C135" s="14"/>
      <c r="D135" s="14"/>
      <c r="E135" s="14" t="n">
        <f aca="false">SUMIFS(CB_Tributaires!$C:$C,CB_Tributaires!$B:$B,$A135)</f>
        <v>0</v>
      </c>
      <c r="F135" s="14" t="n">
        <f aca="false">IF(D135="",E135,D135)</f>
        <v>0</v>
      </c>
      <c r="G135" s="9"/>
      <c r="H135" s="14"/>
      <c r="I135" s="14" t="str">
        <f aca="false">IF(A135="","",Inputs!$B$13/((IF(AS135="",Inputs!$B$18,AS135)+Inputs!$B$14)^Inputs!$B$15))</f>
        <v/>
      </c>
      <c r="J135" s="14" t="str">
        <f aca="false">IF(A135="","",0.000000278*IF(G135="",Inputs!$B$17,G135)*F135*I135)</f>
        <v/>
      </c>
      <c r="K135" s="14" t="str">
        <f aca="false">IF(A135="","",SUMIFS($L$4:$L$203,$B$4:$B$203,$A135))</f>
        <v/>
      </c>
      <c r="L135" s="14" t="str">
        <f aca="false">IF(A135="","",(J135+K135)*Inputs!$B$16)</f>
        <v/>
      </c>
      <c r="M135" s="14"/>
      <c r="N135" s="14" t="str">
        <f aca="false">IF(A135="","",IF(M135="",Inputs!$B$7,M135))</f>
        <v/>
      </c>
      <c r="O135" s="9" t="str">
        <f aca="false">IF(A135="","",IF(L135/Inputs!$B$10&lt;=AD135,Inputs!$F$5,IF(L135/Inputs!$B$10&gt;AM135,"OVERSIZE",INDEX(Inputs!$F$5:$F$14,MATCH(L135/Inputs!$B$10,AD135:AM135,1)+1))))</f>
        <v/>
      </c>
      <c r="P135" s="9"/>
      <c r="Q135" s="9" t="str">
        <f aca="false">IF(A135="","",IF(P135="",O135,P135))</f>
        <v/>
      </c>
      <c r="R135" s="14" t="str">
        <f aca="false">IF(OR(Q135="",Q135="OVERSIZE"),"",Q135/1000)</f>
        <v/>
      </c>
      <c r="S135" s="14" t="str">
        <f aca="false">IF(R135="","",(1/Inputs!$B$9)*(PI()*R135^2/4)*((R135/4)^(2/3))*SQRT(N135))</f>
        <v/>
      </c>
      <c r="T135" s="14" t="str">
        <f aca="false">IF(OR(S135="",L135=""),"",L135/(S135*Inputs!$B$10))</f>
        <v/>
      </c>
      <c r="U135" s="14" t="str">
        <f aca="false">IF(OR(R135="",L135=""),"",4*L135/(PI()*R135^2))</f>
        <v/>
      </c>
      <c r="V135" s="14"/>
      <c r="W135" s="14" t="str">
        <f aca="false">IF(A135="","",IF(A135=Inputs!$B$6,Inputs!$B$22,IF(B135="","",IFERROR(INDEX($X$4:$X$203,MATCH(B135,$A$4:$A$203,0))+IF(V135="",Inputs!$B$20,V135),""))))</f>
        <v/>
      </c>
      <c r="X135" s="14" t="str">
        <f aca="false">IF(OR(W135="",N135="",C135=""),"",W135+N135*C135)</f>
        <v/>
      </c>
      <c r="Y135" s="14"/>
      <c r="Z135" s="14"/>
      <c r="AA135" s="14" t="str">
        <f aca="false">IF(OR(Y135="",W135=""),"",Y135-W135)</f>
        <v/>
      </c>
      <c r="AB135" s="14" t="str">
        <f aca="false">IF(OR(Z135="",X135=""),"",Z135-X135)</f>
        <v/>
      </c>
      <c r="AC135" s="19" t="str">
        <f aca="false">IF(A135="","",IF(OR(T135&gt;1,AND(AV135&lt;&gt;"",AV135&lt;Inputs!$B$11),AND(AV135&lt;&gt;"",AV135&gt;Inputs!$B$12),AA135&lt;Inputs!$B$19,AB135&lt;Inputs!$B$19,N135&lt;Inputs!$B$7,N135&gt;Inputs!$B$8),"CHECK","OK"))</f>
        <v/>
      </c>
      <c r="AD135" s="9" t="str">
        <f aca="false">IF(A135="","",(1/Inputs!$B$9)*(PI()*(Inputs!$F$5/1000)^2/4)*((Inputs!$F$5/1000/4)^(2/3))*SQRT(N135))</f>
        <v/>
      </c>
      <c r="AE135" s="9" t="str">
        <f aca="false">IF(A135="","",(1/Inputs!$B$9)*(PI()*(Inputs!$F$6/1000)^2/4)*((Inputs!$F$6/1000/4)^(2/3))*SQRT(N135))</f>
        <v/>
      </c>
      <c r="AF135" s="9" t="str">
        <f aca="false">IF(A135="","",(1/Inputs!$B$9)*(PI()*(Inputs!$F$7/1000)^2/4)*((Inputs!$F$7/1000/4)^(2/3))*SQRT(N135))</f>
        <v/>
      </c>
      <c r="AG135" s="9" t="str">
        <f aca="false">IF(A135="","",(1/Inputs!$B$9)*(PI()*(Inputs!$F$8/1000)^2/4)*((Inputs!$F$8/1000/4)^(2/3))*SQRT(N135))</f>
        <v/>
      </c>
      <c r="AH135" s="9" t="str">
        <f aca="false">IF(A135="","",(1/Inputs!$B$9)*(PI()*(Inputs!$F$9/1000)^2/4)*((Inputs!$F$9/1000/4)^(2/3))*SQRT(N135))</f>
        <v/>
      </c>
      <c r="AI135" s="9" t="str">
        <f aca="false">IF(A135="","",(1/Inputs!$B$9)*(PI()*(Inputs!$F$10/1000)^2/4)*((Inputs!$F$10/1000/4)^(2/3))*SQRT(N135))</f>
        <v/>
      </c>
      <c r="AJ135" s="9" t="str">
        <f aca="false">IF(A135="","",(1/Inputs!$B$9)*(PI()*(Inputs!$F$11/1000)^2/4)*((Inputs!$F$11/1000/4)^(2/3))*SQRT(N135))</f>
        <v/>
      </c>
      <c r="AK135" s="9" t="str">
        <f aca="false">IF(A135="","",(1/Inputs!$B$9)*(PI()*(Inputs!$F$12/1000)^2/4)*((Inputs!$F$12/1000/4)^(2/3))*SQRT(N135))</f>
        <v/>
      </c>
      <c r="AL135" s="9" t="str">
        <f aca="false">IF(A135="","",(1/Inputs!$B$9)*(PI()*(Inputs!$F$13/1000)^2/4)*((Inputs!$F$13/1000/4)^(2/3))*SQRT(N135))</f>
        <v/>
      </c>
      <c r="AM135" s="9" t="str">
        <f aca="false">IF(A135="","",(1/Inputs!$B$9)*(PI()*(Inputs!$F$14/1000)^2/4)*((Inputs!$F$14/1000/4)^(2/3))*SQRT(N135))</f>
        <v/>
      </c>
      <c r="AN135" s="9" t="str">
        <f aca="false">IF(A135="","",COUNTIF($B$4:$B$203,$A135))</f>
        <v/>
      </c>
      <c r="AO135" s="9" t="str">
        <f aca="false">IF(A135="","",IF(AN135=0,"START","CONTINUOUS"))</f>
        <v/>
      </c>
      <c r="AP135" s="13" t="str">
        <f aca="false">IF(A135="","",IF(H135="",Inputs!$B$18,H135))</f>
        <v/>
      </c>
      <c r="AQ135" s="13" t="str">
        <f aca="false">IF(A135="","",IFERROR(maxifs($AS$4:$AS$203,$B$4:$B$203,$A135),""))</f>
        <v/>
      </c>
      <c r="AR135" s="13" t="str">
        <f aca="false">IF(A135="","",IF(OR(C135="",Inputs!$B$23=""),"",C135/(Inputs!$B$23*60)))</f>
        <v/>
      </c>
      <c r="AS135" s="13" t="str">
        <f aca="false">IF(A135="","",IF(AN135=0,AP135+AR135,IF(AQ135="",AP135+AR135,AQ135+AR135)))</f>
        <v/>
      </c>
      <c r="AT135" s="13" t="str">
        <f aca="false">IF(A135="","",U135)</f>
        <v/>
      </c>
      <c r="AU135" s="13" t="str">
        <f aca="false">IF(OR(R135="",N135=""),"",(1/Inputs!$B$9)*((R135/4)^(2/3))*SQRT(N135))</f>
        <v/>
      </c>
      <c r="AV135" s="13" t="str">
        <f aca="false">IF(A135="","",IF(AND(AT135="",AU135="",AX135=""),"",IF(OR(UPPER(TRIM(Inputs!$B$24))="MANNING",UPPER(TRIM(Inputs!$B$24))="M"),AU135,IF(OR(UPPER(TRIM(Inputs!$B$24))="PARTIAL",UPPER(TRIM(Inputs!$B$24))="P"),AX135,IF(OR(UPPER(TRIM(Inputs!$B$24))="MAX",UPPER(TRIM(Inputs!$B$24))="X"),MAX(IF(AT135="",0,AT135),IF(AU135="",0,AU135),IF(AX135="",0,AX135)),AT135)))))</f>
        <v/>
      </c>
      <c r="AW135" s="13" t="str">
        <f aca="false">IF(AY135="","",CE135)</f>
        <v/>
      </c>
      <c r="AX135" s="13" t="str">
        <f aca="false">IF(OR(AY135="",AW135="",R135="",R135&lt;=0,AW135&lt;=0),"",AY135/((R135^2/8)*(2*ACOS(1-2*AW135/R135)-SIN(2*ACOS(1-2*AW135/R135)))))</f>
        <v/>
      </c>
      <c r="AY135" s="9" t="str">
        <f aca="false">IF(OR(L135="",AZ135=""),"",MIN(L135,AZ135))</f>
        <v/>
      </c>
      <c r="AZ135" s="9" t="str">
        <f aca="false">IF(OR(L135="",R135="",N135=""),"",IF(OR(R135="",N135="",(0.94*R135)="",R135&lt;=0,(0.94*R135)&lt;=0),"",(1/Inputs!$B$9)*((R135^2/8)*((2*ACOS(1-2*(0.94*R135)/R135))-SIN((2*ACOS(1-2*(0.94*R135)/R135)))))*((((R135^2/8)*((2*ACOS(1-2*(0.94*R135)/R135))-SIN((2*ACOS(1-2*(0.94*R135)/R135)))))/((R135/2)*((2*ACOS(1-2*(0.94*R135)/R135)))))^(2/3))*SQRT(N135)))</f>
        <v/>
      </c>
      <c r="BA135" s="9" t="str">
        <f aca="false">IF(AY135="","",0.001*R135)</f>
        <v/>
      </c>
      <c r="BB135" s="9" t="str">
        <f aca="false">IF(AY135="","",0.94*R135)</f>
        <v/>
      </c>
      <c r="BC135" s="9" t="str">
        <f aca="false">IF(AY135="","",(BA135+BB135)/2)</f>
        <v/>
      </c>
      <c r="BD135" s="9" t="str">
        <f aca="false">IF(OR(R135="",N135="",BC135="",R135&lt;=0,BC135&lt;=0),"",(1/Inputs!$B$9)*((R135^2/8)*((2*ACOS(1-2*BC135/R135))-SIN((2*ACOS(1-2*BC135/R135)))))*((((R135^2/8)*((2*ACOS(1-2*BC135/R135))-SIN((2*ACOS(1-2*BC135/R135)))))/((R135/2)*((2*ACOS(1-2*BC135/R135)))))^(2/3))*SQRT(N135))</f>
        <v/>
      </c>
      <c r="BE135" s="9" t="str">
        <f aca="false">IF(AY135="","",IF(BD135&lt;AY135,BC135,BA135))</f>
        <v/>
      </c>
      <c r="BF135" s="9" t="str">
        <f aca="false">IF(AY135="","",IF(BD135&lt;AY135,BB135,BC135))</f>
        <v/>
      </c>
      <c r="BG135" s="9" t="str">
        <f aca="false">IF(AY135="","",(BE135+BF135)/2)</f>
        <v/>
      </c>
      <c r="BH135" s="9" t="str">
        <f aca="false">IF(OR(R135="",N135="",BG135="",R135&lt;=0,BG135&lt;=0),"",(1/Inputs!$B$9)*((R135^2/8)*((2*ACOS(1-2*BG135/R135))-SIN((2*ACOS(1-2*BG135/R135)))))*((((R135^2/8)*((2*ACOS(1-2*BG135/R135))-SIN((2*ACOS(1-2*BG135/R135)))))/((R135/2)*((2*ACOS(1-2*BG135/R135)))))^(2/3))*SQRT(N135))</f>
        <v/>
      </c>
      <c r="BI135" s="9" t="str">
        <f aca="false">IF(AY135="","",IF(BH135&lt;AY135,BG135,BE135))</f>
        <v/>
      </c>
      <c r="BJ135" s="9" t="str">
        <f aca="false">IF(AY135="","",IF(BH135&lt;AY135,BF135,BG135))</f>
        <v/>
      </c>
      <c r="BK135" s="9" t="str">
        <f aca="false">IF(AY135="","",(BI135+BJ135)/2)</f>
        <v/>
      </c>
      <c r="BL135" s="9" t="str">
        <f aca="false">IF(OR(R135="",N135="",BK135="",R135&lt;=0,BK135&lt;=0),"",(1/Inputs!$B$9)*((R135^2/8)*((2*ACOS(1-2*BK135/R135))-SIN((2*ACOS(1-2*BK135/R135)))))*((((R135^2/8)*((2*ACOS(1-2*BK135/R135))-SIN((2*ACOS(1-2*BK135/R135)))))/((R135/2)*((2*ACOS(1-2*BK135/R135)))))^(2/3))*SQRT(N135))</f>
        <v/>
      </c>
      <c r="BM135" s="9" t="str">
        <f aca="false">IF(AY135="","",IF(BL135&lt;AY135,BK135,BI135))</f>
        <v/>
      </c>
      <c r="BN135" s="9" t="str">
        <f aca="false">IF(AY135="","",IF(BL135&lt;AY135,BJ135,BK135))</f>
        <v/>
      </c>
      <c r="BO135" s="9" t="str">
        <f aca="false">IF(AY135="","",(BM135+BN135)/2)</f>
        <v/>
      </c>
      <c r="BP135" s="9" t="str">
        <f aca="false">IF(OR(R135="",N135="",BO135="",R135&lt;=0,BO135&lt;=0),"",(1/Inputs!$B$9)*((R135^2/8)*((2*ACOS(1-2*BO135/R135))-SIN((2*ACOS(1-2*BO135/R135)))))*((((R135^2/8)*((2*ACOS(1-2*BO135/R135))-SIN((2*ACOS(1-2*BO135/R135)))))/((R135/2)*((2*ACOS(1-2*BO135/R135)))))^(2/3))*SQRT(N135))</f>
        <v/>
      </c>
      <c r="BQ135" s="9" t="str">
        <f aca="false">IF(AY135="","",IF(BP135&lt;AY135,BO135,BM135))</f>
        <v/>
      </c>
      <c r="BR135" s="9" t="str">
        <f aca="false">IF(AY135="","",IF(BP135&lt;AY135,BN135,BO135))</f>
        <v/>
      </c>
      <c r="BS135" s="9" t="str">
        <f aca="false">IF(AY135="","",(BQ135+BR135)/2)</f>
        <v/>
      </c>
      <c r="BT135" s="9" t="str">
        <f aca="false">IF(OR(R135="",N135="",BS135="",R135&lt;=0,BS135&lt;=0),"",(1/Inputs!$B$9)*((R135^2/8)*((2*ACOS(1-2*BS135/R135))-SIN((2*ACOS(1-2*BS135/R135)))))*((((R135^2/8)*((2*ACOS(1-2*BS135/R135))-SIN((2*ACOS(1-2*BS135/R135)))))/((R135/2)*((2*ACOS(1-2*BS135/R135)))))^(2/3))*SQRT(N135))</f>
        <v/>
      </c>
      <c r="BU135" s="9" t="str">
        <f aca="false">IF(AY135="","",IF(BT135&lt;AY135,BS135,BQ135))</f>
        <v/>
      </c>
      <c r="BV135" s="9" t="str">
        <f aca="false">IF(AY135="","",IF(BT135&lt;AY135,BR135,BS135))</f>
        <v/>
      </c>
      <c r="BW135" s="9" t="str">
        <f aca="false">IF(AY135="","",(BU135+BV135)/2)</f>
        <v/>
      </c>
      <c r="BX135" s="9" t="str">
        <f aca="false">IF(OR(R135="",N135="",BW135="",R135&lt;=0,BW135&lt;=0),"",(1/Inputs!$B$9)*((R135^2/8)*((2*ACOS(1-2*BW135/R135))-SIN((2*ACOS(1-2*BW135/R135)))))*((((R135^2/8)*((2*ACOS(1-2*BW135/R135))-SIN((2*ACOS(1-2*BW135/R135)))))/((R135/2)*((2*ACOS(1-2*BW135/R135)))))^(2/3))*SQRT(N135))</f>
        <v/>
      </c>
      <c r="BY135" s="9" t="str">
        <f aca="false">IF(AY135="","",IF(BX135&lt;AY135,BW135,BU135))</f>
        <v/>
      </c>
      <c r="BZ135" s="9" t="str">
        <f aca="false">IF(AY135="","",IF(BX135&lt;AY135,BV135,BW135))</f>
        <v/>
      </c>
      <c r="CA135" s="9" t="str">
        <f aca="false">IF(AY135="","",(BY135+BZ135)/2)</f>
        <v/>
      </c>
      <c r="CB135" s="9" t="str">
        <f aca="false">IF(OR(R135="",N135="",CA135="",R135&lt;=0,CA135&lt;=0),"",(1/Inputs!$B$9)*((R135^2/8)*((2*ACOS(1-2*CA135/R135))-SIN((2*ACOS(1-2*CA135/R135)))))*((((R135^2/8)*((2*ACOS(1-2*CA135/R135))-SIN((2*ACOS(1-2*CA135/R135)))))/((R135/2)*((2*ACOS(1-2*CA135/R135)))))^(2/3))*SQRT(N135))</f>
        <v/>
      </c>
      <c r="CC135" s="9" t="str">
        <f aca="false">IF(AY135="","",IF(CB135&lt;AY135,CA135,BY135))</f>
        <v/>
      </c>
      <c r="CD135" s="9" t="str">
        <f aca="false">IF(AY135="","",IF(CB135&lt;AY135,BZ135,CA135))</f>
        <v/>
      </c>
      <c r="CE135" s="9" t="str">
        <f aca="false">IF(AY135="","",(CC135+CD135)/2)</f>
        <v/>
      </c>
    </row>
    <row r="136" customFormat="false" ht="15" hidden="false" customHeight="false" outlineLevel="0" collapsed="false">
      <c r="A136" s="9"/>
      <c r="B136" s="9"/>
      <c r="C136" s="14"/>
      <c r="D136" s="14"/>
      <c r="E136" s="14" t="n">
        <f aca="false">SUMIFS(CB_Tributaires!$C:$C,CB_Tributaires!$B:$B,$A136)</f>
        <v>0</v>
      </c>
      <c r="F136" s="14" t="n">
        <f aca="false">IF(D136="",E136,D136)</f>
        <v>0</v>
      </c>
      <c r="G136" s="9"/>
      <c r="H136" s="14"/>
      <c r="I136" s="14" t="str">
        <f aca="false">IF(A136="","",Inputs!$B$13/((IF(AS136="",Inputs!$B$18,AS136)+Inputs!$B$14)^Inputs!$B$15))</f>
        <v/>
      </c>
      <c r="J136" s="14" t="str">
        <f aca="false">IF(A136="","",0.000000278*IF(G136="",Inputs!$B$17,G136)*F136*I136)</f>
        <v/>
      </c>
      <c r="K136" s="14" t="str">
        <f aca="false">IF(A136="","",SUMIFS($L$4:$L$203,$B$4:$B$203,$A136))</f>
        <v/>
      </c>
      <c r="L136" s="14" t="str">
        <f aca="false">IF(A136="","",(J136+K136)*Inputs!$B$16)</f>
        <v/>
      </c>
      <c r="M136" s="14"/>
      <c r="N136" s="14" t="str">
        <f aca="false">IF(A136="","",IF(M136="",Inputs!$B$7,M136))</f>
        <v/>
      </c>
      <c r="O136" s="9" t="str">
        <f aca="false">IF(A136="","",IF(L136/Inputs!$B$10&lt;=AD136,Inputs!$F$5,IF(L136/Inputs!$B$10&gt;AM136,"OVERSIZE",INDEX(Inputs!$F$5:$F$14,MATCH(L136/Inputs!$B$10,AD136:AM136,1)+1))))</f>
        <v/>
      </c>
      <c r="P136" s="9"/>
      <c r="Q136" s="9" t="str">
        <f aca="false">IF(A136="","",IF(P136="",O136,P136))</f>
        <v/>
      </c>
      <c r="R136" s="14" t="str">
        <f aca="false">IF(OR(Q136="",Q136="OVERSIZE"),"",Q136/1000)</f>
        <v/>
      </c>
      <c r="S136" s="14" t="str">
        <f aca="false">IF(R136="","",(1/Inputs!$B$9)*(PI()*R136^2/4)*((R136/4)^(2/3))*SQRT(N136))</f>
        <v/>
      </c>
      <c r="T136" s="14" t="str">
        <f aca="false">IF(OR(S136="",L136=""),"",L136/(S136*Inputs!$B$10))</f>
        <v/>
      </c>
      <c r="U136" s="14" t="str">
        <f aca="false">IF(OR(R136="",L136=""),"",4*L136/(PI()*R136^2))</f>
        <v/>
      </c>
      <c r="V136" s="14"/>
      <c r="W136" s="14" t="str">
        <f aca="false">IF(A136="","",IF(A136=Inputs!$B$6,Inputs!$B$22,IF(B136="","",IFERROR(INDEX($X$4:$X$203,MATCH(B136,$A$4:$A$203,0))+IF(V136="",Inputs!$B$20,V136),""))))</f>
        <v/>
      </c>
      <c r="X136" s="14" t="str">
        <f aca="false">IF(OR(W136="",N136="",C136=""),"",W136+N136*C136)</f>
        <v/>
      </c>
      <c r="Y136" s="14"/>
      <c r="Z136" s="14"/>
      <c r="AA136" s="14" t="str">
        <f aca="false">IF(OR(Y136="",W136=""),"",Y136-W136)</f>
        <v/>
      </c>
      <c r="AB136" s="14" t="str">
        <f aca="false">IF(OR(Z136="",X136=""),"",Z136-X136)</f>
        <v/>
      </c>
      <c r="AC136" s="19" t="str">
        <f aca="false">IF(A136="","",IF(OR(T136&gt;1,AND(AV136&lt;&gt;"",AV136&lt;Inputs!$B$11),AND(AV136&lt;&gt;"",AV136&gt;Inputs!$B$12),AA136&lt;Inputs!$B$19,AB136&lt;Inputs!$B$19,N136&lt;Inputs!$B$7,N136&gt;Inputs!$B$8),"CHECK","OK"))</f>
        <v/>
      </c>
      <c r="AD136" s="9" t="str">
        <f aca="false">IF(A136="","",(1/Inputs!$B$9)*(PI()*(Inputs!$F$5/1000)^2/4)*((Inputs!$F$5/1000/4)^(2/3))*SQRT(N136))</f>
        <v/>
      </c>
      <c r="AE136" s="9" t="str">
        <f aca="false">IF(A136="","",(1/Inputs!$B$9)*(PI()*(Inputs!$F$6/1000)^2/4)*((Inputs!$F$6/1000/4)^(2/3))*SQRT(N136))</f>
        <v/>
      </c>
      <c r="AF136" s="9" t="str">
        <f aca="false">IF(A136="","",(1/Inputs!$B$9)*(PI()*(Inputs!$F$7/1000)^2/4)*((Inputs!$F$7/1000/4)^(2/3))*SQRT(N136))</f>
        <v/>
      </c>
      <c r="AG136" s="9" t="str">
        <f aca="false">IF(A136="","",(1/Inputs!$B$9)*(PI()*(Inputs!$F$8/1000)^2/4)*((Inputs!$F$8/1000/4)^(2/3))*SQRT(N136))</f>
        <v/>
      </c>
      <c r="AH136" s="9" t="str">
        <f aca="false">IF(A136="","",(1/Inputs!$B$9)*(PI()*(Inputs!$F$9/1000)^2/4)*((Inputs!$F$9/1000/4)^(2/3))*SQRT(N136))</f>
        <v/>
      </c>
      <c r="AI136" s="9" t="str">
        <f aca="false">IF(A136="","",(1/Inputs!$B$9)*(PI()*(Inputs!$F$10/1000)^2/4)*((Inputs!$F$10/1000/4)^(2/3))*SQRT(N136))</f>
        <v/>
      </c>
      <c r="AJ136" s="9" t="str">
        <f aca="false">IF(A136="","",(1/Inputs!$B$9)*(PI()*(Inputs!$F$11/1000)^2/4)*((Inputs!$F$11/1000/4)^(2/3))*SQRT(N136))</f>
        <v/>
      </c>
      <c r="AK136" s="9" t="str">
        <f aca="false">IF(A136="","",(1/Inputs!$B$9)*(PI()*(Inputs!$F$12/1000)^2/4)*((Inputs!$F$12/1000/4)^(2/3))*SQRT(N136))</f>
        <v/>
      </c>
      <c r="AL136" s="9" t="str">
        <f aca="false">IF(A136="","",(1/Inputs!$B$9)*(PI()*(Inputs!$F$13/1000)^2/4)*((Inputs!$F$13/1000/4)^(2/3))*SQRT(N136))</f>
        <v/>
      </c>
      <c r="AM136" s="9" t="str">
        <f aca="false">IF(A136="","",(1/Inputs!$B$9)*(PI()*(Inputs!$F$14/1000)^2/4)*((Inputs!$F$14/1000/4)^(2/3))*SQRT(N136))</f>
        <v/>
      </c>
      <c r="AN136" s="9" t="str">
        <f aca="false">IF(A136="","",COUNTIF($B$4:$B$203,$A136))</f>
        <v/>
      </c>
      <c r="AO136" s="9" t="str">
        <f aca="false">IF(A136="","",IF(AN136=0,"START","CONTINUOUS"))</f>
        <v/>
      </c>
      <c r="AP136" s="13" t="str">
        <f aca="false">IF(A136="","",IF(H136="",Inputs!$B$18,H136))</f>
        <v/>
      </c>
      <c r="AQ136" s="13" t="str">
        <f aca="false">IF(A136="","",IFERROR(maxifs($AS$4:$AS$203,$B$4:$B$203,$A136),""))</f>
        <v/>
      </c>
      <c r="AR136" s="13" t="str">
        <f aca="false">IF(A136="","",IF(OR(C136="",Inputs!$B$23=""),"",C136/(Inputs!$B$23*60)))</f>
        <v/>
      </c>
      <c r="AS136" s="13" t="str">
        <f aca="false">IF(A136="","",IF(AN136=0,AP136+AR136,IF(AQ136="",AP136+AR136,AQ136+AR136)))</f>
        <v/>
      </c>
      <c r="AT136" s="13" t="str">
        <f aca="false">IF(A136="","",U136)</f>
        <v/>
      </c>
      <c r="AU136" s="13" t="str">
        <f aca="false">IF(OR(R136="",N136=""),"",(1/Inputs!$B$9)*((R136/4)^(2/3))*SQRT(N136))</f>
        <v/>
      </c>
      <c r="AV136" s="13" t="str">
        <f aca="false">IF(A136="","",IF(AND(AT136="",AU136="",AX136=""),"",IF(OR(UPPER(TRIM(Inputs!$B$24))="MANNING",UPPER(TRIM(Inputs!$B$24))="M"),AU136,IF(OR(UPPER(TRIM(Inputs!$B$24))="PARTIAL",UPPER(TRIM(Inputs!$B$24))="P"),AX136,IF(OR(UPPER(TRIM(Inputs!$B$24))="MAX",UPPER(TRIM(Inputs!$B$24))="X"),MAX(IF(AT136="",0,AT136),IF(AU136="",0,AU136),IF(AX136="",0,AX136)),AT136)))))</f>
        <v/>
      </c>
      <c r="AW136" s="13" t="str">
        <f aca="false">IF(AY136="","",CE136)</f>
        <v/>
      </c>
      <c r="AX136" s="13" t="str">
        <f aca="false">IF(OR(AY136="",AW136="",R136="",R136&lt;=0,AW136&lt;=0),"",AY136/((R136^2/8)*(2*ACOS(1-2*AW136/R136)-SIN(2*ACOS(1-2*AW136/R136)))))</f>
        <v/>
      </c>
      <c r="AY136" s="9" t="str">
        <f aca="false">IF(OR(L136="",AZ136=""),"",MIN(L136,AZ136))</f>
        <v/>
      </c>
      <c r="AZ136" s="9" t="str">
        <f aca="false">IF(OR(L136="",R136="",N136=""),"",IF(OR(R136="",N136="",(0.94*R136)="",R136&lt;=0,(0.94*R136)&lt;=0),"",(1/Inputs!$B$9)*((R136^2/8)*((2*ACOS(1-2*(0.94*R136)/R136))-SIN((2*ACOS(1-2*(0.94*R136)/R136)))))*((((R136^2/8)*((2*ACOS(1-2*(0.94*R136)/R136))-SIN((2*ACOS(1-2*(0.94*R136)/R136)))))/((R136/2)*((2*ACOS(1-2*(0.94*R136)/R136)))))^(2/3))*SQRT(N136)))</f>
        <v/>
      </c>
      <c r="BA136" s="9" t="str">
        <f aca="false">IF(AY136="","",0.001*R136)</f>
        <v/>
      </c>
      <c r="BB136" s="9" t="str">
        <f aca="false">IF(AY136="","",0.94*R136)</f>
        <v/>
      </c>
      <c r="BC136" s="9" t="str">
        <f aca="false">IF(AY136="","",(BA136+BB136)/2)</f>
        <v/>
      </c>
      <c r="BD136" s="9" t="str">
        <f aca="false">IF(OR(R136="",N136="",BC136="",R136&lt;=0,BC136&lt;=0),"",(1/Inputs!$B$9)*((R136^2/8)*((2*ACOS(1-2*BC136/R136))-SIN((2*ACOS(1-2*BC136/R136)))))*((((R136^2/8)*((2*ACOS(1-2*BC136/R136))-SIN((2*ACOS(1-2*BC136/R136)))))/((R136/2)*((2*ACOS(1-2*BC136/R136)))))^(2/3))*SQRT(N136))</f>
        <v/>
      </c>
      <c r="BE136" s="9" t="str">
        <f aca="false">IF(AY136="","",IF(BD136&lt;AY136,BC136,BA136))</f>
        <v/>
      </c>
      <c r="BF136" s="9" t="str">
        <f aca="false">IF(AY136="","",IF(BD136&lt;AY136,BB136,BC136))</f>
        <v/>
      </c>
      <c r="BG136" s="9" t="str">
        <f aca="false">IF(AY136="","",(BE136+BF136)/2)</f>
        <v/>
      </c>
      <c r="BH136" s="9" t="str">
        <f aca="false">IF(OR(R136="",N136="",BG136="",R136&lt;=0,BG136&lt;=0),"",(1/Inputs!$B$9)*((R136^2/8)*((2*ACOS(1-2*BG136/R136))-SIN((2*ACOS(1-2*BG136/R136)))))*((((R136^2/8)*((2*ACOS(1-2*BG136/R136))-SIN((2*ACOS(1-2*BG136/R136)))))/((R136/2)*((2*ACOS(1-2*BG136/R136)))))^(2/3))*SQRT(N136))</f>
        <v/>
      </c>
      <c r="BI136" s="9" t="str">
        <f aca="false">IF(AY136="","",IF(BH136&lt;AY136,BG136,BE136))</f>
        <v/>
      </c>
      <c r="BJ136" s="9" t="str">
        <f aca="false">IF(AY136="","",IF(BH136&lt;AY136,BF136,BG136))</f>
        <v/>
      </c>
      <c r="BK136" s="9" t="str">
        <f aca="false">IF(AY136="","",(BI136+BJ136)/2)</f>
        <v/>
      </c>
      <c r="BL136" s="9" t="str">
        <f aca="false">IF(OR(R136="",N136="",BK136="",R136&lt;=0,BK136&lt;=0),"",(1/Inputs!$B$9)*((R136^2/8)*((2*ACOS(1-2*BK136/R136))-SIN((2*ACOS(1-2*BK136/R136)))))*((((R136^2/8)*((2*ACOS(1-2*BK136/R136))-SIN((2*ACOS(1-2*BK136/R136)))))/((R136/2)*((2*ACOS(1-2*BK136/R136)))))^(2/3))*SQRT(N136))</f>
        <v/>
      </c>
      <c r="BM136" s="9" t="str">
        <f aca="false">IF(AY136="","",IF(BL136&lt;AY136,BK136,BI136))</f>
        <v/>
      </c>
      <c r="BN136" s="9" t="str">
        <f aca="false">IF(AY136="","",IF(BL136&lt;AY136,BJ136,BK136))</f>
        <v/>
      </c>
      <c r="BO136" s="9" t="str">
        <f aca="false">IF(AY136="","",(BM136+BN136)/2)</f>
        <v/>
      </c>
      <c r="BP136" s="9" t="str">
        <f aca="false">IF(OR(R136="",N136="",BO136="",R136&lt;=0,BO136&lt;=0),"",(1/Inputs!$B$9)*((R136^2/8)*((2*ACOS(1-2*BO136/R136))-SIN((2*ACOS(1-2*BO136/R136)))))*((((R136^2/8)*((2*ACOS(1-2*BO136/R136))-SIN((2*ACOS(1-2*BO136/R136)))))/((R136/2)*((2*ACOS(1-2*BO136/R136)))))^(2/3))*SQRT(N136))</f>
        <v/>
      </c>
      <c r="BQ136" s="9" t="str">
        <f aca="false">IF(AY136="","",IF(BP136&lt;AY136,BO136,BM136))</f>
        <v/>
      </c>
      <c r="BR136" s="9" t="str">
        <f aca="false">IF(AY136="","",IF(BP136&lt;AY136,BN136,BO136))</f>
        <v/>
      </c>
      <c r="BS136" s="9" t="str">
        <f aca="false">IF(AY136="","",(BQ136+BR136)/2)</f>
        <v/>
      </c>
      <c r="BT136" s="9" t="str">
        <f aca="false">IF(OR(R136="",N136="",BS136="",R136&lt;=0,BS136&lt;=0),"",(1/Inputs!$B$9)*((R136^2/8)*((2*ACOS(1-2*BS136/R136))-SIN((2*ACOS(1-2*BS136/R136)))))*((((R136^2/8)*((2*ACOS(1-2*BS136/R136))-SIN((2*ACOS(1-2*BS136/R136)))))/((R136/2)*((2*ACOS(1-2*BS136/R136)))))^(2/3))*SQRT(N136))</f>
        <v/>
      </c>
      <c r="BU136" s="9" t="str">
        <f aca="false">IF(AY136="","",IF(BT136&lt;AY136,BS136,BQ136))</f>
        <v/>
      </c>
      <c r="BV136" s="9" t="str">
        <f aca="false">IF(AY136="","",IF(BT136&lt;AY136,BR136,BS136))</f>
        <v/>
      </c>
      <c r="BW136" s="9" t="str">
        <f aca="false">IF(AY136="","",(BU136+BV136)/2)</f>
        <v/>
      </c>
      <c r="BX136" s="9" t="str">
        <f aca="false">IF(OR(R136="",N136="",BW136="",R136&lt;=0,BW136&lt;=0),"",(1/Inputs!$B$9)*((R136^2/8)*((2*ACOS(1-2*BW136/R136))-SIN((2*ACOS(1-2*BW136/R136)))))*((((R136^2/8)*((2*ACOS(1-2*BW136/R136))-SIN((2*ACOS(1-2*BW136/R136)))))/((R136/2)*((2*ACOS(1-2*BW136/R136)))))^(2/3))*SQRT(N136))</f>
        <v/>
      </c>
      <c r="BY136" s="9" t="str">
        <f aca="false">IF(AY136="","",IF(BX136&lt;AY136,BW136,BU136))</f>
        <v/>
      </c>
      <c r="BZ136" s="9" t="str">
        <f aca="false">IF(AY136="","",IF(BX136&lt;AY136,BV136,BW136))</f>
        <v/>
      </c>
      <c r="CA136" s="9" t="str">
        <f aca="false">IF(AY136="","",(BY136+BZ136)/2)</f>
        <v/>
      </c>
      <c r="CB136" s="9" t="str">
        <f aca="false">IF(OR(R136="",N136="",CA136="",R136&lt;=0,CA136&lt;=0),"",(1/Inputs!$B$9)*((R136^2/8)*((2*ACOS(1-2*CA136/R136))-SIN((2*ACOS(1-2*CA136/R136)))))*((((R136^2/8)*((2*ACOS(1-2*CA136/R136))-SIN((2*ACOS(1-2*CA136/R136)))))/((R136/2)*((2*ACOS(1-2*CA136/R136)))))^(2/3))*SQRT(N136))</f>
        <v/>
      </c>
      <c r="CC136" s="9" t="str">
        <f aca="false">IF(AY136="","",IF(CB136&lt;AY136,CA136,BY136))</f>
        <v/>
      </c>
      <c r="CD136" s="9" t="str">
        <f aca="false">IF(AY136="","",IF(CB136&lt;AY136,BZ136,CA136))</f>
        <v/>
      </c>
      <c r="CE136" s="9" t="str">
        <f aca="false">IF(AY136="","",(CC136+CD136)/2)</f>
        <v/>
      </c>
    </row>
    <row r="137" customFormat="false" ht="15" hidden="false" customHeight="false" outlineLevel="0" collapsed="false">
      <c r="A137" s="9"/>
      <c r="B137" s="9"/>
      <c r="C137" s="14"/>
      <c r="D137" s="14"/>
      <c r="E137" s="14" t="n">
        <f aca="false">SUMIFS(CB_Tributaires!$C:$C,CB_Tributaires!$B:$B,$A137)</f>
        <v>0</v>
      </c>
      <c r="F137" s="14" t="n">
        <f aca="false">IF(D137="",E137,D137)</f>
        <v>0</v>
      </c>
      <c r="G137" s="9"/>
      <c r="H137" s="14"/>
      <c r="I137" s="14" t="str">
        <f aca="false">IF(A137="","",Inputs!$B$13/((IF(AS137="",Inputs!$B$18,AS137)+Inputs!$B$14)^Inputs!$B$15))</f>
        <v/>
      </c>
      <c r="J137" s="14" t="str">
        <f aca="false">IF(A137="","",0.000000278*IF(G137="",Inputs!$B$17,G137)*F137*I137)</f>
        <v/>
      </c>
      <c r="K137" s="14" t="str">
        <f aca="false">IF(A137="","",SUMIFS($L$4:$L$203,$B$4:$B$203,$A137))</f>
        <v/>
      </c>
      <c r="L137" s="14" t="str">
        <f aca="false">IF(A137="","",(J137+K137)*Inputs!$B$16)</f>
        <v/>
      </c>
      <c r="M137" s="14"/>
      <c r="N137" s="14" t="str">
        <f aca="false">IF(A137="","",IF(M137="",Inputs!$B$7,M137))</f>
        <v/>
      </c>
      <c r="O137" s="9" t="str">
        <f aca="false">IF(A137="","",IF(L137/Inputs!$B$10&lt;=AD137,Inputs!$F$5,IF(L137/Inputs!$B$10&gt;AM137,"OVERSIZE",INDEX(Inputs!$F$5:$F$14,MATCH(L137/Inputs!$B$10,AD137:AM137,1)+1))))</f>
        <v/>
      </c>
      <c r="P137" s="9"/>
      <c r="Q137" s="9" t="str">
        <f aca="false">IF(A137="","",IF(P137="",O137,P137))</f>
        <v/>
      </c>
      <c r="R137" s="14" t="str">
        <f aca="false">IF(OR(Q137="",Q137="OVERSIZE"),"",Q137/1000)</f>
        <v/>
      </c>
      <c r="S137" s="14" t="str">
        <f aca="false">IF(R137="","",(1/Inputs!$B$9)*(PI()*R137^2/4)*((R137/4)^(2/3))*SQRT(N137))</f>
        <v/>
      </c>
      <c r="T137" s="14" t="str">
        <f aca="false">IF(OR(S137="",L137=""),"",L137/(S137*Inputs!$B$10))</f>
        <v/>
      </c>
      <c r="U137" s="14" t="str">
        <f aca="false">IF(OR(R137="",L137=""),"",4*L137/(PI()*R137^2))</f>
        <v/>
      </c>
      <c r="V137" s="14"/>
      <c r="W137" s="14" t="str">
        <f aca="false">IF(A137="","",IF(A137=Inputs!$B$6,Inputs!$B$22,IF(B137="","",IFERROR(INDEX($X$4:$X$203,MATCH(B137,$A$4:$A$203,0))+IF(V137="",Inputs!$B$20,V137),""))))</f>
        <v/>
      </c>
      <c r="X137" s="14" t="str">
        <f aca="false">IF(OR(W137="",N137="",C137=""),"",W137+N137*C137)</f>
        <v/>
      </c>
      <c r="Y137" s="14"/>
      <c r="Z137" s="14"/>
      <c r="AA137" s="14" t="str">
        <f aca="false">IF(OR(Y137="",W137=""),"",Y137-W137)</f>
        <v/>
      </c>
      <c r="AB137" s="14" t="str">
        <f aca="false">IF(OR(Z137="",X137=""),"",Z137-X137)</f>
        <v/>
      </c>
      <c r="AC137" s="19" t="str">
        <f aca="false">IF(A137="","",IF(OR(T137&gt;1,AND(AV137&lt;&gt;"",AV137&lt;Inputs!$B$11),AND(AV137&lt;&gt;"",AV137&gt;Inputs!$B$12),AA137&lt;Inputs!$B$19,AB137&lt;Inputs!$B$19,N137&lt;Inputs!$B$7,N137&gt;Inputs!$B$8),"CHECK","OK"))</f>
        <v/>
      </c>
      <c r="AD137" s="9" t="str">
        <f aca="false">IF(A137="","",(1/Inputs!$B$9)*(PI()*(Inputs!$F$5/1000)^2/4)*((Inputs!$F$5/1000/4)^(2/3))*SQRT(N137))</f>
        <v/>
      </c>
      <c r="AE137" s="9" t="str">
        <f aca="false">IF(A137="","",(1/Inputs!$B$9)*(PI()*(Inputs!$F$6/1000)^2/4)*((Inputs!$F$6/1000/4)^(2/3))*SQRT(N137))</f>
        <v/>
      </c>
      <c r="AF137" s="9" t="str">
        <f aca="false">IF(A137="","",(1/Inputs!$B$9)*(PI()*(Inputs!$F$7/1000)^2/4)*((Inputs!$F$7/1000/4)^(2/3))*SQRT(N137))</f>
        <v/>
      </c>
      <c r="AG137" s="9" t="str">
        <f aca="false">IF(A137="","",(1/Inputs!$B$9)*(PI()*(Inputs!$F$8/1000)^2/4)*((Inputs!$F$8/1000/4)^(2/3))*SQRT(N137))</f>
        <v/>
      </c>
      <c r="AH137" s="9" t="str">
        <f aca="false">IF(A137="","",(1/Inputs!$B$9)*(PI()*(Inputs!$F$9/1000)^2/4)*((Inputs!$F$9/1000/4)^(2/3))*SQRT(N137))</f>
        <v/>
      </c>
      <c r="AI137" s="9" t="str">
        <f aca="false">IF(A137="","",(1/Inputs!$B$9)*(PI()*(Inputs!$F$10/1000)^2/4)*((Inputs!$F$10/1000/4)^(2/3))*SQRT(N137))</f>
        <v/>
      </c>
      <c r="AJ137" s="9" t="str">
        <f aca="false">IF(A137="","",(1/Inputs!$B$9)*(PI()*(Inputs!$F$11/1000)^2/4)*((Inputs!$F$11/1000/4)^(2/3))*SQRT(N137))</f>
        <v/>
      </c>
      <c r="AK137" s="9" t="str">
        <f aca="false">IF(A137="","",(1/Inputs!$B$9)*(PI()*(Inputs!$F$12/1000)^2/4)*((Inputs!$F$12/1000/4)^(2/3))*SQRT(N137))</f>
        <v/>
      </c>
      <c r="AL137" s="9" t="str">
        <f aca="false">IF(A137="","",(1/Inputs!$B$9)*(PI()*(Inputs!$F$13/1000)^2/4)*((Inputs!$F$13/1000/4)^(2/3))*SQRT(N137))</f>
        <v/>
      </c>
      <c r="AM137" s="9" t="str">
        <f aca="false">IF(A137="","",(1/Inputs!$B$9)*(PI()*(Inputs!$F$14/1000)^2/4)*((Inputs!$F$14/1000/4)^(2/3))*SQRT(N137))</f>
        <v/>
      </c>
      <c r="AN137" s="9" t="str">
        <f aca="false">IF(A137="","",COUNTIF($B$4:$B$203,$A137))</f>
        <v/>
      </c>
      <c r="AO137" s="9" t="str">
        <f aca="false">IF(A137="","",IF(AN137=0,"START","CONTINUOUS"))</f>
        <v/>
      </c>
      <c r="AP137" s="13" t="str">
        <f aca="false">IF(A137="","",IF(H137="",Inputs!$B$18,H137))</f>
        <v/>
      </c>
      <c r="AQ137" s="13" t="str">
        <f aca="false">IF(A137="","",IFERROR(maxifs($AS$4:$AS$203,$B$4:$B$203,$A137),""))</f>
        <v/>
      </c>
      <c r="AR137" s="13" t="str">
        <f aca="false">IF(A137="","",IF(OR(C137="",Inputs!$B$23=""),"",C137/(Inputs!$B$23*60)))</f>
        <v/>
      </c>
      <c r="AS137" s="13" t="str">
        <f aca="false">IF(A137="","",IF(AN137=0,AP137+AR137,IF(AQ137="",AP137+AR137,AQ137+AR137)))</f>
        <v/>
      </c>
      <c r="AT137" s="13" t="str">
        <f aca="false">IF(A137="","",U137)</f>
        <v/>
      </c>
      <c r="AU137" s="13" t="str">
        <f aca="false">IF(OR(R137="",N137=""),"",(1/Inputs!$B$9)*((R137/4)^(2/3))*SQRT(N137))</f>
        <v/>
      </c>
      <c r="AV137" s="13" t="str">
        <f aca="false">IF(A137="","",IF(AND(AT137="",AU137="",AX137=""),"",IF(OR(UPPER(TRIM(Inputs!$B$24))="MANNING",UPPER(TRIM(Inputs!$B$24))="M"),AU137,IF(OR(UPPER(TRIM(Inputs!$B$24))="PARTIAL",UPPER(TRIM(Inputs!$B$24))="P"),AX137,IF(OR(UPPER(TRIM(Inputs!$B$24))="MAX",UPPER(TRIM(Inputs!$B$24))="X"),MAX(IF(AT137="",0,AT137),IF(AU137="",0,AU137),IF(AX137="",0,AX137)),AT137)))))</f>
        <v/>
      </c>
      <c r="AW137" s="13" t="str">
        <f aca="false">IF(AY137="","",CE137)</f>
        <v/>
      </c>
      <c r="AX137" s="13" t="str">
        <f aca="false">IF(OR(AY137="",AW137="",R137="",R137&lt;=0,AW137&lt;=0),"",AY137/((R137^2/8)*(2*ACOS(1-2*AW137/R137)-SIN(2*ACOS(1-2*AW137/R137)))))</f>
        <v/>
      </c>
      <c r="AY137" s="9" t="str">
        <f aca="false">IF(OR(L137="",AZ137=""),"",MIN(L137,AZ137))</f>
        <v/>
      </c>
      <c r="AZ137" s="9" t="str">
        <f aca="false">IF(OR(L137="",R137="",N137=""),"",IF(OR(R137="",N137="",(0.94*R137)="",R137&lt;=0,(0.94*R137)&lt;=0),"",(1/Inputs!$B$9)*((R137^2/8)*((2*ACOS(1-2*(0.94*R137)/R137))-SIN((2*ACOS(1-2*(0.94*R137)/R137)))))*((((R137^2/8)*((2*ACOS(1-2*(0.94*R137)/R137))-SIN((2*ACOS(1-2*(0.94*R137)/R137)))))/((R137/2)*((2*ACOS(1-2*(0.94*R137)/R137)))))^(2/3))*SQRT(N137)))</f>
        <v/>
      </c>
      <c r="BA137" s="9" t="str">
        <f aca="false">IF(AY137="","",0.001*R137)</f>
        <v/>
      </c>
      <c r="BB137" s="9" t="str">
        <f aca="false">IF(AY137="","",0.94*R137)</f>
        <v/>
      </c>
      <c r="BC137" s="9" t="str">
        <f aca="false">IF(AY137="","",(BA137+BB137)/2)</f>
        <v/>
      </c>
      <c r="BD137" s="9" t="str">
        <f aca="false">IF(OR(R137="",N137="",BC137="",R137&lt;=0,BC137&lt;=0),"",(1/Inputs!$B$9)*((R137^2/8)*((2*ACOS(1-2*BC137/R137))-SIN((2*ACOS(1-2*BC137/R137)))))*((((R137^2/8)*((2*ACOS(1-2*BC137/R137))-SIN((2*ACOS(1-2*BC137/R137)))))/((R137/2)*((2*ACOS(1-2*BC137/R137)))))^(2/3))*SQRT(N137))</f>
        <v/>
      </c>
      <c r="BE137" s="9" t="str">
        <f aca="false">IF(AY137="","",IF(BD137&lt;AY137,BC137,BA137))</f>
        <v/>
      </c>
      <c r="BF137" s="9" t="str">
        <f aca="false">IF(AY137="","",IF(BD137&lt;AY137,BB137,BC137))</f>
        <v/>
      </c>
      <c r="BG137" s="9" t="str">
        <f aca="false">IF(AY137="","",(BE137+BF137)/2)</f>
        <v/>
      </c>
      <c r="BH137" s="9" t="str">
        <f aca="false">IF(OR(R137="",N137="",BG137="",R137&lt;=0,BG137&lt;=0),"",(1/Inputs!$B$9)*((R137^2/8)*((2*ACOS(1-2*BG137/R137))-SIN((2*ACOS(1-2*BG137/R137)))))*((((R137^2/8)*((2*ACOS(1-2*BG137/R137))-SIN((2*ACOS(1-2*BG137/R137)))))/((R137/2)*((2*ACOS(1-2*BG137/R137)))))^(2/3))*SQRT(N137))</f>
        <v/>
      </c>
      <c r="BI137" s="9" t="str">
        <f aca="false">IF(AY137="","",IF(BH137&lt;AY137,BG137,BE137))</f>
        <v/>
      </c>
      <c r="BJ137" s="9" t="str">
        <f aca="false">IF(AY137="","",IF(BH137&lt;AY137,BF137,BG137))</f>
        <v/>
      </c>
      <c r="BK137" s="9" t="str">
        <f aca="false">IF(AY137="","",(BI137+BJ137)/2)</f>
        <v/>
      </c>
      <c r="BL137" s="9" t="str">
        <f aca="false">IF(OR(R137="",N137="",BK137="",R137&lt;=0,BK137&lt;=0),"",(1/Inputs!$B$9)*((R137^2/8)*((2*ACOS(1-2*BK137/R137))-SIN((2*ACOS(1-2*BK137/R137)))))*((((R137^2/8)*((2*ACOS(1-2*BK137/R137))-SIN((2*ACOS(1-2*BK137/R137)))))/((R137/2)*((2*ACOS(1-2*BK137/R137)))))^(2/3))*SQRT(N137))</f>
        <v/>
      </c>
      <c r="BM137" s="9" t="str">
        <f aca="false">IF(AY137="","",IF(BL137&lt;AY137,BK137,BI137))</f>
        <v/>
      </c>
      <c r="BN137" s="9" t="str">
        <f aca="false">IF(AY137="","",IF(BL137&lt;AY137,BJ137,BK137))</f>
        <v/>
      </c>
      <c r="BO137" s="9" t="str">
        <f aca="false">IF(AY137="","",(BM137+BN137)/2)</f>
        <v/>
      </c>
      <c r="BP137" s="9" t="str">
        <f aca="false">IF(OR(R137="",N137="",BO137="",R137&lt;=0,BO137&lt;=0),"",(1/Inputs!$B$9)*((R137^2/8)*((2*ACOS(1-2*BO137/R137))-SIN((2*ACOS(1-2*BO137/R137)))))*((((R137^2/8)*((2*ACOS(1-2*BO137/R137))-SIN((2*ACOS(1-2*BO137/R137)))))/((R137/2)*((2*ACOS(1-2*BO137/R137)))))^(2/3))*SQRT(N137))</f>
        <v/>
      </c>
      <c r="BQ137" s="9" t="str">
        <f aca="false">IF(AY137="","",IF(BP137&lt;AY137,BO137,BM137))</f>
        <v/>
      </c>
      <c r="BR137" s="9" t="str">
        <f aca="false">IF(AY137="","",IF(BP137&lt;AY137,BN137,BO137))</f>
        <v/>
      </c>
      <c r="BS137" s="9" t="str">
        <f aca="false">IF(AY137="","",(BQ137+BR137)/2)</f>
        <v/>
      </c>
      <c r="BT137" s="9" t="str">
        <f aca="false">IF(OR(R137="",N137="",BS137="",R137&lt;=0,BS137&lt;=0),"",(1/Inputs!$B$9)*((R137^2/8)*((2*ACOS(1-2*BS137/R137))-SIN((2*ACOS(1-2*BS137/R137)))))*((((R137^2/8)*((2*ACOS(1-2*BS137/R137))-SIN((2*ACOS(1-2*BS137/R137)))))/((R137/2)*((2*ACOS(1-2*BS137/R137)))))^(2/3))*SQRT(N137))</f>
        <v/>
      </c>
      <c r="BU137" s="9" t="str">
        <f aca="false">IF(AY137="","",IF(BT137&lt;AY137,BS137,BQ137))</f>
        <v/>
      </c>
      <c r="BV137" s="9" t="str">
        <f aca="false">IF(AY137="","",IF(BT137&lt;AY137,BR137,BS137))</f>
        <v/>
      </c>
      <c r="BW137" s="9" t="str">
        <f aca="false">IF(AY137="","",(BU137+BV137)/2)</f>
        <v/>
      </c>
      <c r="BX137" s="9" t="str">
        <f aca="false">IF(OR(R137="",N137="",BW137="",R137&lt;=0,BW137&lt;=0),"",(1/Inputs!$B$9)*((R137^2/8)*((2*ACOS(1-2*BW137/R137))-SIN((2*ACOS(1-2*BW137/R137)))))*((((R137^2/8)*((2*ACOS(1-2*BW137/R137))-SIN((2*ACOS(1-2*BW137/R137)))))/((R137/2)*((2*ACOS(1-2*BW137/R137)))))^(2/3))*SQRT(N137))</f>
        <v/>
      </c>
      <c r="BY137" s="9" t="str">
        <f aca="false">IF(AY137="","",IF(BX137&lt;AY137,BW137,BU137))</f>
        <v/>
      </c>
      <c r="BZ137" s="9" t="str">
        <f aca="false">IF(AY137="","",IF(BX137&lt;AY137,BV137,BW137))</f>
        <v/>
      </c>
      <c r="CA137" s="9" t="str">
        <f aca="false">IF(AY137="","",(BY137+BZ137)/2)</f>
        <v/>
      </c>
      <c r="CB137" s="9" t="str">
        <f aca="false">IF(OR(R137="",N137="",CA137="",R137&lt;=0,CA137&lt;=0),"",(1/Inputs!$B$9)*((R137^2/8)*((2*ACOS(1-2*CA137/R137))-SIN((2*ACOS(1-2*CA137/R137)))))*((((R137^2/8)*((2*ACOS(1-2*CA137/R137))-SIN((2*ACOS(1-2*CA137/R137)))))/((R137/2)*((2*ACOS(1-2*CA137/R137)))))^(2/3))*SQRT(N137))</f>
        <v/>
      </c>
      <c r="CC137" s="9" t="str">
        <f aca="false">IF(AY137="","",IF(CB137&lt;AY137,CA137,BY137))</f>
        <v/>
      </c>
      <c r="CD137" s="9" t="str">
        <f aca="false">IF(AY137="","",IF(CB137&lt;AY137,BZ137,CA137))</f>
        <v/>
      </c>
      <c r="CE137" s="9" t="str">
        <f aca="false">IF(AY137="","",(CC137+CD137)/2)</f>
        <v/>
      </c>
    </row>
    <row r="138" customFormat="false" ht="15" hidden="false" customHeight="false" outlineLevel="0" collapsed="false">
      <c r="A138" s="9"/>
      <c r="B138" s="9"/>
      <c r="C138" s="14"/>
      <c r="D138" s="14"/>
      <c r="E138" s="14" t="n">
        <f aca="false">SUMIFS(CB_Tributaires!$C:$C,CB_Tributaires!$B:$B,$A138)</f>
        <v>0</v>
      </c>
      <c r="F138" s="14" t="n">
        <f aca="false">IF(D138="",E138,D138)</f>
        <v>0</v>
      </c>
      <c r="G138" s="9"/>
      <c r="H138" s="14"/>
      <c r="I138" s="14" t="str">
        <f aca="false">IF(A138="","",Inputs!$B$13/((IF(AS138="",Inputs!$B$18,AS138)+Inputs!$B$14)^Inputs!$B$15))</f>
        <v/>
      </c>
      <c r="J138" s="14" t="str">
        <f aca="false">IF(A138="","",0.000000278*IF(G138="",Inputs!$B$17,G138)*F138*I138)</f>
        <v/>
      </c>
      <c r="K138" s="14" t="str">
        <f aca="false">IF(A138="","",SUMIFS($L$4:$L$203,$B$4:$B$203,$A138))</f>
        <v/>
      </c>
      <c r="L138" s="14" t="str">
        <f aca="false">IF(A138="","",(J138+K138)*Inputs!$B$16)</f>
        <v/>
      </c>
      <c r="M138" s="14"/>
      <c r="N138" s="14" t="str">
        <f aca="false">IF(A138="","",IF(M138="",Inputs!$B$7,M138))</f>
        <v/>
      </c>
      <c r="O138" s="9" t="str">
        <f aca="false">IF(A138="","",IF(L138/Inputs!$B$10&lt;=AD138,Inputs!$F$5,IF(L138/Inputs!$B$10&gt;AM138,"OVERSIZE",INDEX(Inputs!$F$5:$F$14,MATCH(L138/Inputs!$B$10,AD138:AM138,1)+1))))</f>
        <v/>
      </c>
      <c r="P138" s="9"/>
      <c r="Q138" s="9" t="str">
        <f aca="false">IF(A138="","",IF(P138="",O138,P138))</f>
        <v/>
      </c>
      <c r="R138" s="14" t="str">
        <f aca="false">IF(OR(Q138="",Q138="OVERSIZE"),"",Q138/1000)</f>
        <v/>
      </c>
      <c r="S138" s="14" t="str">
        <f aca="false">IF(R138="","",(1/Inputs!$B$9)*(PI()*R138^2/4)*((R138/4)^(2/3))*SQRT(N138))</f>
        <v/>
      </c>
      <c r="T138" s="14" t="str">
        <f aca="false">IF(OR(S138="",L138=""),"",L138/(S138*Inputs!$B$10))</f>
        <v/>
      </c>
      <c r="U138" s="14" t="str">
        <f aca="false">IF(OR(R138="",L138=""),"",4*L138/(PI()*R138^2))</f>
        <v/>
      </c>
      <c r="V138" s="14"/>
      <c r="W138" s="14" t="str">
        <f aca="false">IF(A138="","",IF(A138=Inputs!$B$6,Inputs!$B$22,IF(B138="","",IFERROR(INDEX($X$4:$X$203,MATCH(B138,$A$4:$A$203,0))+IF(V138="",Inputs!$B$20,V138),""))))</f>
        <v/>
      </c>
      <c r="X138" s="14" t="str">
        <f aca="false">IF(OR(W138="",N138="",C138=""),"",W138+N138*C138)</f>
        <v/>
      </c>
      <c r="Y138" s="14"/>
      <c r="Z138" s="14"/>
      <c r="AA138" s="14" t="str">
        <f aca="false">IF(OR(Y138="",W138=""),"",Y138-W138)</f>
        <v/>
      </c>
      <c r="AB138" s="14" t="str">
        <f aca="false">IF(OR(Z138="",X138=""),"",Z138-X138)</f>
        <v/>
      </c>
      <c r="AC138" s="19" t="str">
        <f aca="false">IF(A138="","",IF(OR(T138&gt;1,AND(AV138&lt;&gt;"",AV138&lt;Inputs!$B$11),AND(AV138&lt;&gt;"",AV138&gt;Inputs!$B$12),AA138&lt;Inputs!$B$19,AB138&lt;Inputs!$B$19,N138&lt;Inputs!$B$7,N138&gt;Inputs!$B$8),"CHECK","OK"))</f>
        <v/>
      </c>
      <c r="AD138" s="9" t="str">
        <f aca="false">IF(A138="","",(1/Inputs!$B$9)*(PI()*(Inputs!$F$5/1000)^2/4)*((Inputs!$F$5/1000/4)^(2/3))*SQRT(N138))</f>
        <v/>
      </c>
      <c r="AE138" s="9" t="str">
        <f aca="false">IF(A138="","",(1/Inputs!$B$9)*(PI()*(Inputs!$F$6/1000)^2/4)*((Inputs!$F$6/1000/4)^(2/3))*SQRT(N138))</f>
        <v/>
      </c>
      <c r="AF138" s="9" t="str">
        <f aca="false">IF(A138="","",(1/Inputs!$B$9)*(PI()*(Inputs!$F$7/1000)^2/4)*((Inputs!$F$7/1000/4)^(2/3))*SQRT(N138))</f>
        <v/>
      </c>
      <c r="AG138" s="9" t="str">
        <f aca="false">IF(A138="","",(1/Inputs!$B$9)*(PI()*(Inputs!$F$8/1000)^2/4)*((Inputs!$F$8/1000/4)^(2/3))*SQRT(N138))</f>
        <v/>
      </c>
      <c r="AH138" s="9" t="str">
        <f aca="false">IF(A138="","",(1/Inputs!$B$9)*(PI()*(Inputs!$F$9/1000)^2/4)*((Inputs!$F$9/1000/4)^(2/3))*SQRT(N138))</f>
        <v/>
      </c>
      <c r="AI138" s="9" t="str">
        <f aca="false">IF(A138="","",(1/Inputs!$B$9)*(PI()*(Inputs!$F$10/1000)^2/4)*((Inputs!$F$10/1000/4)^(2/3))*SQRT(N138))</f>
        <v/>
      </c>
      <c r="AJ138" s="9" t="str">
        <f aca="false">IF(A138="","",(1/Inputs!$B$9)*(PI()*(Inputs!$F$11/1000)^2/4)*((Inputs!$F$11/1000/4)^(2/3))*SQRT(N138))</f>
        <v/>
      </c>
      <c r="AK138" s="9" t="str">
        <f aca="false">IF(A138="","",(1/Inputs!$B$9)*(PI()*(Inputs!$F$12/1000)^2/4)*((Inputs!$F$12/1000/4)^(2/3))*SQRT(N138))</f>
        <v/>
      </c>
      <c r="AL138" s="9" t="str">
        <f aca="false">IF(A138="","",(1/Inputs!$B$9)*(PI()*(Inputs!$F$13/1000)^2/4)*((Inputs!$F$13/1000/4)^(2/3))*SQRT(N138))</f>
        <v/>
      </c>
      <c r="AM138" s="9" t="str">
        <f aca="false">IF(A138="","",(1/Inputs!$B$9)*(PI()*(Inputs!$F$14/1000)^2/4)*((Inputs!$F$14/1000/4)^(2/3))*SQRT(N138))</f>
        <v/>
      </c>
      <c r="AN138" s="9" t="str">
        <f aca="false">IF(A138="","",COUNTIF($B$4:$B$203,$A138))</f>
        <v/>
      </c>
      <c r="AO138" s="9" t="str">
        <f aca="false">IF(A138="","",IF(AN138=0,"START","CONTINUOUS"))</f>
        <v/>
      </c>
      <c r="AP138" s="13" t="str">
        <f aca="false">IF(A138="","",IF(H138="",Inputs!$B$18,H138))</f>
        <v/>
      </c>
      <c r="AQ138" s="13" t="str">
        <f aca="false">IF(A138="","",IFERROR(maxifs($AS$4:$AS$203,$B$4:$B$203,$A138),""))</f>
        <v/>
      </c>
      <c r="AR138" s="13" t="str">
        <f aca="false">IF(A138="","",IF(OR(C138="",Inputs!$B$23=""),"",C138/(Inputs!$B$23*60)))</f>
        <v/>
      </c>
      <c r="AS138" s="13" t="str">
        <f aca="false">IF(A138="","",IF(AN138=0,AP138+AR138,IF(AQ138="",AP138+AR138,AQ138+AR138)))</f>
        <v/>
      </c>
      <c r="AT138" s="13" t="str">
        <f aca="false">IF(A138="","",U138)</f>
        <v/>
      </c>
      <c r="AU138" s="13" t="str">
        <f aca="false">IF(OR(R138="",N138=""),"",(1/Inputs!$B$9)*((R138/4)^(2/3))*SQRT(N138))</f>
        <v/>
      </c>
      <c r="AV138" s="13" t="str">
        <f aca="false">IF(A138="","",IF(AND(AT138="",AU138="",AX138=""),"",IF(OR(UPPER(TRIM(Inputs!$B$24))="MANNING",UPPER(TRIM(Inputs!$B$24))="M"),AU138,IF(OR(UPPER(TRIM(Inputs!$B$24))="PARTIAL",UPPER(TRIM(Inputs!$B$24))="P"),AX138,IF(OR(UPPER(TRIM(Inputs!$B$24))="MAX",UPPER(TRIM(Inputs!$B$24))="X"),MAX(IF(AT138="",0,AT138),IF(AU138="",0,AU138),IF(AX138="",0,AX138)),AT138)))))</f>
        <v/>
      </c>
      <c r="AW138" s="13" t="str">
        <f aca="false">IF(AY138="","",CE138)</f>
        <v/>
      </c>
      <c r="AX138" s="13" t="str">
        <f aca="false">IF(OR(AY138="",AW138="",R138="",R138&lt;=0,AW138&lt;=0),"",AY138/((R138^2/8)*(2*ACOS(1-2*AW138/R138)-SIN(2*ACOS(1-2*AW138/R138)))))</f>
        <v/>
      </c>
      <c r="AY138" s="9" t="str">
        <f aca="false">IF(OR(L138="",AZ138=""),"",MIN(L138,AZ138))</f>
        <v/>
      </c>
      <c r="AZ138" s="9" t="str">
        <f aca="false">IF(OR(L138="",R138="",N138=""),"",IF(OR(R138="",N138="",(0.94*R138)="",R138&lt;=0,(0.94*R138)&lt;=0),"",(1/Inputs!$B$9)*((R138^2/8)*((2*ACOS(1-2*(0.94*R138)/R138))-SIN((2*ACOS(1-2*(0.94*R138)/R138)))))*((((R138^2/8)*((2*ACOS(1-2*(0.94*R138)/R138))-SIN((2*ACOS(1-2*(0.94*R138)/R138)))))/((R138/2)*((2*ACOS(1-2*(0.94*R138)/R138)))))^(2/3))*SQRT(N138)))</f>
        <v/>
      </c>
      <c r="BA138" s="9" t="str">
        <f aca="false">IF(AY138="","",0.001*R138)</f>
        <v/>
      </c>
      <c r="BB138" s="9" t="str">
        <f aca="false">IF(AY138="","",0.94*R138)</f>
        <v/>
      </c>
      <c r="BC138" s="9" t="str">
        <f aca="false">IF(AY138="","",(BA138+BB138)/2)</f>
        <v/>
      </c>
      <c r="BD138" s="9" t="str">
        <f aca="false">IF(OR(R138="",N138="",BC138="",R138&lt;=0,BC138&lt;=0),"",(1/Inputs!$B$9)*((R138^2/8)*((2*ACOS(1-2*BC138/R138))-SIN((2*ACOS(1-2*BC138/R138)))))*((((R138^2/8)*((2*ACOS(1-2*BC138/R138))-SIN((2*ACOS(1-2*BC138/R138)))))/((R138/2)*((2*ACOS(1-2*BC138/R138)))))^(2/3))*SQRT(N138))</f>
        <v/>
      </c>
      <c r="BE138" s="9" t="str">
        <f aca="false">IF(AY138="","",IF(BD138&lt;AY138,BC138,BA138))</f>
        <v/>
      </c>
      <c r="BF138" s="9" t="str">
        <f aca="false">IF(AY138="","",IF(BD138&lt;AY138,BB138,BC138))</f>
        <v/>
      </c>
      <c r="BG138" s="9" t="str">
        <f aca="false">IF(AY138="","",(BE138+BF138)/2)</f>
        <v/>
      </c>
      <c r="BH138" s="9" t="str">
        <f aca="false">IF(OR(R138="",N138="",BG138="",R138&lt;=0,BG138&lt;=0),"",(1/Inputs!$B$9)*((R138^2/8)*((2*ACOS(1-2*BG138/R138))-SIN((2*ACOS(1-2*BG138/R138)))))*((((R138^2/8)*((2*ACOS(1-2*BG138/R138))-SIN((2*ACOS(1-2*BG138/R138)))))/((R138/2)*((2*ACOS(1-2*BG138/R138)))))^(2/3))*SQRT(N138))</f>
        <v/>
      </c>
      <c r="BI138" s="9" t="str">
        <f aca="false">IF(AY138="","",IF(BH138&lt;AY138,BG138,BE138))</f>
        <v/>
      </c>
      <c r="BJ138" s="9" t="str">
        <f aca="false">IF(AY138="","",IF(BH138&lt;AY138,BF138,BG138))</f>
        <v/>
      </c>
      <c r="BK138" s="9" t="str">
        <f aca="false">IF(AY138="","",(BI138+BJ138)/2)</f>
        <v/>
      </c>
      <c r="BL138" s="9" t="str">
        <f aca="false">IF(OR(R138="",N138="",BK138="",R138&lt;=0,BK138&lt;=0),"",(1/Inputs!$B$9)*((R138^2/8)*((2*ACOS(1-2*BK138/R138))-SIN((2*ACOS(1-2*BK138/R138)))))*((((R138^2/8)*((2*ACOS(1-2*BK138/R138))-SIN((2*ACOS(1-2*BK138/R138)))))/((R138/2)*((2*ACOS(1-2*BK138/R138)))))^(2/3))*SQRT(N138))</f>
        <v/>
      </c>
      <c r="BM138" s="9" t="str">
        <f aca="false">IF(AY138="","",IF(BL138&lt;AY138,BK138,BI138))</f>
        <v/>
      </c>
      <c r="BN138" s="9" t="str">
        <f aca="false">IF(AY138="","",IF(BL138&lt;AY138,BJ138,BK138))</f>
        <v/>
      </c>
      <c r="BO138" s="9" t="str">
        <f aca="false">IF(AY138="","",(BM138+BN138)/2)</f>
        <v/>
      </c>
      <c r="BP138" s="9" t="str">
        <f aca="false">IF(OR(R138="",N138="",BO138="",R138&lt;=0,BO138&lt;=0),"",(1/Inputs!$B$9)*((R138^2/8)*((2*ACOS(1-2*BO138/R138))-SIN((2*ACOS(1-2*BO138/R138)))))*((((R138^2/8)*((2*ACOS(1-2*BO138/R138))-SIN((2*ACOS(1-2*BO138/R138)))))/((R138/2)*((2*ACOS(1-2*BO138/R138)))))^(2/3))*SQRT(N138))</f>
        <v/>
      </c>
      <c r="BQ138" s="9" t="str">
        <f aca="false">IF(AY138="","",IF(BP138&lt;AY138,BO138,BM138))</f>
        <v/>
      </c>
      <c r="BR138" s="9" t="str">
        <f aca="false">IF(AY138="","",IF(BP138&lt;AY138,BN138,BO138))</f>
        <v/>
      </c>
      <c r="BS138" s="9" t="str">
        <f aca="false">IF(AY138="","",(BQ138+BR138)/2)</f>
        <v/>
      </c>
      <c r="BT138" s="9" t="str">
        <f aca="false">IF(OR(R138="",N138="",BS138="",R138&lt;=0,BS138&lt;=0),"",(1/Inputs!$B$9)*((R138^2/8)*((2*ACOS(1-2*BS138/R138))-SIN((2*ACOS(1-2*BS138/R138)))))*((((R138^2/8)*((2*ACOS(1-2*BS138/R138))-SIN((2*ACOS(1-2*BS138/R138)))))/((R138/2)*((2*ACOS(1-2*BS138/R138)))))^(2/3))*SQRT(N138))</f>
        <v/>
      </c>
      <c r="BU138" s="9" t="str">
        <f aca="false">IF(AY138="","",IF(BT138&lt;AY138,BS138,BQ138))</f>
        <v/>
      </c>
      <c r="BV138" s="9" t="str">
        <f aca="false">IF(AY138="","",IF(BT138&lt;AY138,BR138,BS138))</f>
        <v/>
      </c>
      <c r="BW138" s="9" t="str">
        <f aca="false">IF(AY138="","",(BU138+BV138)/2)</f>
        <v/>
      </c>
      <c r="BX138" s="9" t="str">
        <f aca="false">IF(OR(R138="",N138="",BW138="",R138&lt;=0,BW138&lt;=0),"",(1/Inputs!$B$9)*((R138^2/8)*((2*ACOS(1-2*BW138/R138))-SIN((2*ACOS(1-2*BW138/R138)))))*((((R138^2/8)*((2*ACOS(1-2*BW138/R138))-SIN((2*ACOS(1-2*BW138/R138)))))/((R138/2)*((2*ACOS(1-2*BW138/R138)))))^(2/3))*SQRT(N138))</f>
        <v/>
      </c>
      <c r="BY138" s="9" t="str">
        <f aca="false">IF(AY138="","",IF(BX138&lt;AY138,BW138,BU138))</f>
        <v/>
      </c>
      <c r="BZ138" s="9" t="str">
        <f aca="false">IF(AY138="","",IF(BX138&lt;AY138,BV138,BW138))</f>
        <v/>
      </c>
      <c r="CA138" s="9" t="str">
        <f aca="false">IF(AY138="","",(BY138+BZ138)/2)</f>
        <v/>
      </c>
      <c r="CB138" s="9" t="str">
        <f aca="false">IF(OR(R138="",N138="",CA138="",R138&lt;=0,CA138&lt;=0),"",(1/Inputs!$B$9)*((R138^2/8)*((2*ACOS(1-2*CA138/R138))-SIN((2*ACOS(1-2*CA138/R138)))))*((((R138^2/8)*((2*ACOS(1-2*CA138/R138))-SIN((2*ACOS(1-2*CA138/R138)))))/((R138/2)*((2*ACOS(1-2*CA138/R138)))))^(2/3))*SQRT(N138))</f>
        <v/>
      </c>
      <c r="CC138" s="9" t="str">
        <f aca="false">IF(AY138="","",IF(CB138&lt;AY138,CA138,BY138))</f>
        <v/>
      </c>
      <c r="CD138" s="9" t="str">
        <f aca="false">IF(AY138="","",IF(CB138&lt;AY138,BZ138,CA138))</f>
        <v/>
      </c>
      <c r="CE138" s="9" t="str">
        <f aca="false">IF(AY138="","",(CC138+CD138)/2)</f>
        <v/>
      </c>
    </row>
    <row r="139" customFormat="false" ht="15" hidden="false" customHeight="false" outlineLevel="0" collapsed="false">
      <c r="A139" s="9"/>
      <c r="B139" s="9"/>
      <c r="C139" s="14"/>
      <c r="D139" s="14"/>
      <c r="E139" s="14" t="n">
        <f aca="false">SUMIFS(CB_Tributaires!$C:$C,CB_Tributaires!$B:$B,$A139)</f>
        <v>0</v>
      </c>
      <c r="F139" s="14" t="n">
        <f aca="false">IF(D139="",E139,D139)</f>
        <v>0</v>
      </c>
      <c r="G139" s="9"/>
      <c r="H139" s="14"/>
      <c r="I139" s="14" t="str">
        <f aca="false">IF(A139="","",Inputs!$B$13/((IF(AS139="",Inputs!$B$18,AS139)+Inputs!$B$14)^Inputs!$B$15))</f>
        <v/>
      </c>
      <c r="J139" s="14" t="str">
        <f aca="false">IF(A139="","",0.000000278*IF(G139="",Inputs!$B$17,G139)*F139*I139)</f>
        <v/>
      </c>
      <c r="K139" s="14" t="str">
        <f aca="false">IF(A139="","",SUMIFS($L$4:$L$203,$B$4:$B$203,$A139))</f>
        <v/>
      </c>
      <c r="L139" s="14" t="str">
        <f aca="false">IF(A139="","",(J139+K139)*Inputs!$B$16)</f>
        <v/>
      </c>
      <c r="M139" s="14"/>
      <c r="N139" s="14" t="str">
        <f aca="false">IF(A139="","",IF(M139="",Inputs!$B$7,M139))</f>
        <v/>
      </c>
      <c r="O139" s="9" t="str">
        <f aca="false">IF(A139="","",IF(L139/Inputs!$B$10&lt;=AD139,Inputs!$F$5,IF(L139/Inputs!$B$10&gt;AM139,"OVERSIZE",INDEX(Inputs!$F$5:$F$14,MATCH(L139/Inputs!$B$10,AD139:AM139,1)+1))))</f>
        <v/>
      </c>
      <c r="P139" s="9"/>
      <c r="Q139" s="9" t="str">
        <f aca="false">IF(A139="","",IF(P139="",O139,P139))</f>
        <v/>
      </c>
      <c r="R139" s="14" t="str">
        <f aca="false">IF(OR(Q139="",Q139="OVERSIZE"),"",Q139/1000)</f>
        <v/>
      </c>
      <c r="S139" s="14" t="str">
        <f aca="false">IF(R139="","",(1/Inputs!$B$9)*(PI()*R139^2/4)*((R139/4)^(2/3))*SQRT(N139))</f>
        <v/>
      </c>
      <c r="T139" s="14" t="str">
        <f aca="false">IF(OR(S139="",L139=""),"",L139/(S139*Inputs!$B$10))</f>
        <v/>
      </c>
      <c r="U139" s="14" t="str">
        <f aca="false">IF(OR(R139="",L139=""),"",4*L139/(PI()*R139^2))</f>
        <v/>
      </c>
      <c r="V139" s="14"/>
      <c r="W139" s="14" t="str">
        <f aca="false">IF(A139="","",IF(A139=Inputs!$B$6,Inputs!$B$22,IF(B139="","",IFERROR(INDEX($X$4:$X$203,MATCH(B139,$A$4:$A$203,0))+IF(V139="",Inputs!$B$20,V139),""))))</f>
        <v/>
      </c>
      <c r="X139" s="14" t="str">
        <f aca="false">IF(OR(W139="",N139="",C139=""),"",W139+N139*C139)</f>
        <v/>
      </c>
      <c r="Y139" s="14"/>
      <c r="Z139" s="14"/>
      <c r="AA139" s="14" t="str">
        <f aca="false">IF(OR(Y139="",W139=""),"",Y139-W139)</f>
        <v/>
      </c>
      <c r="AB139" s="14" t="str">
        <f aca="false">IF(OR(Z139="",X139=""),"",Z139-X139)</f>
        <v/>
      </c>
      <c r="AC139" s="19" t="str">
        <f aca="false">IF(A139="","",IF(OR(T139&gt;1,AND(AV139&lt;&gt;"",AV139&lt;Inputs!$B$11),AND(AV139&lt;&gt;"",AV139&gt;Inputs!$B$12),AA139&lt;Inputs!$B$19,AB139&lt;Inputs!$B$19,N139&lt;Inputs!$B$7,N139&gt;Inputs!$B$8),"CHECK","OK"))</f>
        <v/>
      </c>
      <c r="AD139" s="9" t="str">
        <f aca="false">IF(A139="","",(1/Inputs!$B$9)*(PI()*(Inputs!$F$5/1000)^2/4)*((Inputs!$F$5/1000/4)^(2/3))*SQRT(N139))</f>
        <v/>
      </c>
      <c r="AE139" s="9" t="str">
        <f aca="false">IF(A139="","",(1/Inputs!$B$9)*(PI()*(Inputs!$F$6/1000)^2/4)*((Inputs!$F$6/1000/4)^(2/3))*SQRT(N139))</f>
        <v/>
      </c>
      <c r="AF139" s="9" t="str">
        <f aca="false">IF(A139="","",(1/Inputs!$B$9)*(PI()*(Inputs!$F$7/1000)^2/4)*((Inputs!$F$7/1000/4)^(2/3))*SQRT(N139))</f>
        <v/>
      </c>
      <c r="AG139" s="9" t="str">
        <f aca="false">IF(A139="","",(1/Inputs!$B$9)*(PI()*(Inputs!$F$8/1000)^2/4)*((Inputs!$F$8/1000/4)^(2/3))*SQRT(N139))</f>
        <v/>
      </c>
      <c r="AH139" s="9" t="str">
        <f aca="false">IF(A139="","",(1/Inputs!$B$9)*(PI()*(Inputs!$F$9/1000)^2/4)*((Inputs!$F$9/1000/4)^(2/3))*SQRT(N139))</f>
        <v/>
      </c>
      <c r="AI139" s="9" t="str">
        <f aca="false">IF(A139="","",(1/Inputs!$B$9)*(PI()*(Inputs!$F$10/1000)^2/4)*((Inputs!$F$10/1000/4)^(2/3))*SQRT(N139))</f>
        <v/>
      </c>
      <c r="AJ139" s="9" t="str">
        <f aca="false">IF(A139="","",(1/Inputs!$B$9)*(PI()*(Inputs!$F$11/1000)^2/4)*((Inputs!$F$11/1000/4)^(2/3))*SQRT(N139))</f>
        <v/>
      </c>
      <c r="AK139" s="9" t="str">
        <f aca="false">IF(A139="","",(1/Inputs!$B$9)*(PI()*(Inputs!$F$12/1000)^2/4)*((Inputs!$F$12/1000/4)^(2/3))*SQRT(N139))</f>
        <v/>
      </c>
      <c r="AL139" s="9" t="str">
        <f aca="false">IF(A139="","",(1/Inputs!$B$9)*(PI()*(Inputs!$F$13/1000)^2/4)*((Inputs!$F$13/1000/4)^(2/3))*SQRT(N139))</f>
        <v/>
      </c>
      <c r="AM139" s="9" t="str">
        <f aca="false">IF(A139="","",(1/Inputs!$B$9)*(PI()*(Inputs!$F$14/1000)^2/4)*((Inputs!$F$14/1000/4)^(2/3))*SQRT(N139))</f>
        <v/>
      </c>
      <c r="AN139" s="9" t="str">
        <f aca="false">IF(A139="","",COUNTIF($B$4:$B$203,$A139))</f>
        <v/>
      </c>
      <c r="AO139" s="9" t="str">
        <f aca="false">IF(A139="","",IF(AN139=0,"START","CONTINUOUS"))</f>
        <v/>
      </c>
      <c r="AP139" s="13" t="str">
        <f aca="false">IF(A139="","",IF(H139="",Inputs!$B$18,H139))</f>
        <v/>
      </c>
      <c r="AQ139" s="13" t="str">
        <f aca="false">IF(A139="","",IFERROR(maxifs($AS$4:$AS$203,$B$4:$B$203,$A139),""))</f>
        <v/>
      </c>
      <c r="AR139" s="13" t="str">
        <f aca="false">IF(A139="","",IF(OR(C139="",Inputs!$B$23=""),"",C139/(Inputs!$B$23*60)))</f>
        <v/>
      </c>
      <c r="AS139" s="13" t="str">
        <f aca="false">IF(A139="","",IF(AN139=0,AP139+AR139,IF(AQ139="",AP139+AR139,AQ139+AR139)))</f>
        <v/>
      </c>
      <c r="AT139" s="13" t="str">
        <f aca="false">IF(A139="","",U139)</f>
        <v/>
      </c>
      <c r="AU139" s="13" t="str">
        <f aca="false">IF(OR(R139="",N139=""),"",(1/Inputs!$B$9)*((R139/4)^(2/3))*SQRT(N139))</f>
        <v/>
      </c>
      <c r="AV139" s="13" t="str">
        <f aca="false">IF(A139="","",IF(AND(AT139="",AU139="",AX139=""),"",IF(OR(UPPER(TRIM(Inputs!$B$24))="MANNING",UPPER(TRIM(Inputs!$B$24))="M"),AU139,IF(OR(UPPER(TRIM(Inputs!$B$24))="PARTIAL",UPPER(TRIM(Inputs!$B$24))="P"),AX139,IF(OR(UPPER(TRIM(Inputs!$B$24))="MAX",UPPER(TRIM(Inputs!$B$24))="X"),MAX(IF(AT139="",0,AT139),IF(AU139="",0,AU139),IF(AX139="",0,AX139)),AT139)))))</f>
        <v/>
      </c>
      <c r="AW139" s="13" t="str">
        <f aca="false">IF(AY139="","",CE139)</f>
        <v/>
      </c>
      <c r="AX139" s="13" t="str">
        <f aca="false">IF(OR(AY139="",AW139="",R139="",R139&lt;=0,AW139&lt;=0),"",AY139/((R139^2/8)*(2*ACOS(1-2*AW139/R139)-SIN(2*ACOS(1-2*AW139/R139)))))</f>
        <v/>
      </c>
      <c r="AY139" s="9" t="str">
        <f aca="false">IF(OR(L139="",AZ139=""),"",MIN(L139,AZ139))</f>
        <v/>
      </c>
      <c r="AZ139" s="9" t="str">
        <f aca="false">IF(OR(L139="",R139="",N139=""),"",IF(OR(R139="",N139="",(0.94*R139)="",R139&lt;=0,(0.94*R139)&lt;=0),"",(1/Inputs!$B$9)*((R139^2/8)*((2*ACOS(1-2*(0.94*R139)/R139))-SIN((2*ACOS(1-2*(0.94*R139)/R139)))))*((((R139^2/8)*((2*ACOS(1-2*(0.94*R139)/R139))-SIN((2*ACOS(1-2*(0.94*R139)/R139)))))/((R139/2)*((2*ACOS(1-2*(0.94*R139)/R139)))))^(2/3))*SQRT(N139)))</f>
        <v/>
      </c>
      <c r="BA139" s="9" t="str">
        <f aca="false">IF(AY139="","",0.001*R139)</f>
        <v/>
      </c>
      <c r="BB139" s="9" t="str">
        <f aca="false">IF(AY139="","",0.94*R139)</f>
        <v/>
      </c>
      <c r="BC139" s="9" t="str">
        <f aca="false">IF(AY139="","",(BA139+BB139)/2)</f>
        <v/>
      </c>
      <c r="BD139" s="9" t="str">
        <f aca="false">IF(OR(R139="",N139="",BC139="",R139&lt;=0,BC139&lt;=0),"",(1/Inputs!$B$9)*((R139^2/8)*((2*ACOS(1-2*BC139/R139))-SIN((2*ACOS(1-2*BC139/R139)))))*((((R139^2/8)*((2*ACOS(1-2*BC139/R139))-SIN((2*ACOS(1-2*BC139/R139)))))/((R139/2)*((2*ACOS(1-2*BC139/R139)))))^(2/3))*SQRT(N139))</f>
        <v/>
      </c>
      <c r="BE139" s="9" t="str">
        <f aca="false">IF(AY139="","",IF(BD139&lt;AY139,BC139,BA139))</f>
        <v/>
      </c>
      <c r="BF139" s="9" t="str">
        <f aca="false">IF(AY139="","",IF(BD139&lt;AY139,BB139,BC139))</f>
        <v/>
      </c>
      <c r="BG139" s="9" t="str">
        <f aca="false">IF(AY139="","",(BE139+BF139)/2)</f>
        <v/>
      </c>
      <c r="BH139" s="9" t="str">
        <f aca="false">IF(OR(R139="",N139="",BG139="",R139&lt;=0,BG139&lt;=0),"",(1/Inputs!$B$9)*((R139^2/8)*((2*ACOS(1-2*BG139/R139))-SIN((2*ACOS(1-2*BG139/R139)))))*((((R139^2/8)*((2*ACOS(1-2*BG139/R139))-SIN((2*ACOS(1-2*BG139/R139)))))/((R139/2)*((2*ACOS(1-2*BG139/R139)))))^(2/3))*SQRT(N139))</f>
        <v/>
      </c>
      <c r="BI139" s="9" t="str">
        <f aca="false">IF(AY139="","",IF(BH139&lt;AY139,BG139,BE139))</f>
        <v/>
      </c>
      <c r="BJ139" s="9" t="str">
        <f aca="false">IF(AY139="","",IF(BH139&lt;AY139,BF139,BG139))</f>
        <v/>
      </c>
      <c r="BK139" s="9" t="str">
        <f aca="false">IF(AY139="","",(BI139+BJ139)/2)</f>
        <v/>
      </c>
      <c r="BL139" s="9" t="str">
        <f aca="false">IF(OR(R139="",N139="",BK139="",R139&lt;=0,BK139&lt;=0),"",(1/Inputs!$B$9)*((R139^2/8)*((2*ACOS(1-2*BK139/R139))-SIN((2*ACOS(1-2*BK139/R139)))))*((((R139^2/8)*((2*ACOS(1-2*BK139/R139))-SIN((2*ACOS(1-2*BK139/R139)))))/((R139/2)*((2*ACOS(1-2*BK139/R139)))))^(2/3))*SQRT(N139))</f>
        <v/>
      </c>
      <c r="BM139" s="9" t="str">
        <f aca="false">IF(AY139="","",IF(BL139&lt;AY139,BK139,BI139))</f>
        <v/>
      </c>
      <c r="BN139" s="9" t="str">
        <f aca="false">IF(AY139="","",IF(BL139&lt;AY139,BJ139,BK139))</f>
        <v/>
      </c>
      <c r="BO139" s="9" t="str">
        <f aca="false">IF(AY139="","",(BM139+BN139)/2)</f>
        <v/>
      </c>
      <c r="BP139" s="9" t="str">
        <f aca="false">IF(OR(R139="",N139="",BO139="",R139&lt;=0,BO139&lt;=0),"",(1/Inputs!$B$9)*((R139^2/8)*((2*ACOS(1-2*BO139/R139))-SIN((2*ACOS(1-2*BO139/R139)))))*((((R139^2/8)*((2*ACOS(1-2*BO139/R139))-SIN((2*ACOS(1-2*BO139/R139)))))/((R139/2)*((2*ACOS(1-2*BO139/R139)))))^(2/3))*SQRT(N139))</f>
        <v/>
      </c>
      <c r="BQ139" s="9" t="str">
        <f aca="false">IF(AY139="","",IF(BP139&lt;AY139,BO139,BM139))</f>
        <v/>
      </c>
      <c r="BR139" s="9" t="str">
        <f aca="false">IF(AY139="","",IF(BP139&lt;AY139,BN139,BO139))</f>
        <v/>
      </c>
      <c r="BS139" s="9" t="str">
        <f aca="false">IF(AY139="","",(BQ139+BR139)/2)</f>
        <v/>
      </c>
      <c r="BT139" s="9" t="str">
        <f aca="false">IF(OR(R139="",N139="",BS139="",R139&lt;=0,BS139&lt;=0),"",(1/Inputs!$B$9)*((R139^2/8)*((2*ACOS(1-2*BS139/R139))-SIN((2*ACOS(1-2*BS139/R139)))))*((((R139^2/8)*((2*ACOS(1-2*BS139/R139))-SIN((2*ACOS(1-2*BS139/R139)))))/((R139/2)*((2*ACOS(1-2*BS139/R139)))))^(2/3))*SQRT(N139))</f>
        <v/>
      </c>
      <c r="BU139" s="9" t="str">
        <f aca="false">IF(AY139="","",IF(BT139&lt;AY139,BS139,BQ139))</f>
        <v/>
      </c>
      <c r="BV139" s="9" t="str">
        <f aca="false">IF(AY139="","",IF(BT139&lt;AY139,BR139,BS139))</f>
        <v/>
      </c>
      <c r="BW139" s="9" t="str">
        <f aca="false">IF(AY139="","",(BU139+BV139)/2)</f>
        <v/>
      </c>
      <c r="BX139" s="9" t="str">
        <f aca="false">IF(OR(R139="",N139="",BW139="",R139&lt;=0,BW139&lt;=0),"",(1/Inputs!$B$9)*((R139^2/8)*((2*ACOS(1-2*BW139/R139))-SIN((2*ACOS(1-2*BW139/R139)))))*((((R139^2/8)*((2*ACOS(1-2*BW139/R139))-SIN((2*ACOS(1-2*BW139/R139)))))/((R139/2)*((2*ACOS(1-2*BW139/R139)))))^(2/3))*SQRT(N139))</f>
        <v/>
      </c>
      <c r="BY139" s="9" t="str">
        <f aca="false">IF(AY139="","",IF(BX139&lt;AY139,BW139,BU139))</f>
        <v/>
      </c>
      <c r="BZ139" s="9" t="str">
        <f aca="false">IF(AY139="","",IF(BX139&lt;AY139,BV139,BW139))</f>
        <v/>
      </c>
      <c r="CA139" s="9" t="str">
        <f aca="false">IF(AY139="","",(BY139+BZ139)/2)</f>
        <v/>
      </c>
      <c r="CB139" s="9" t="str">
        <f aca="false">IF(OR(R139="",N139="",CA139="",R139&lt;=0,CA139&lt;=0),"",(1/Inputs!$B$9)*((R139^2/8)*((2*ACOS(1-2*CA139/R139))-SIN((2*ACOS(1-2*CA139/R139)))))*((((R139^2/8)*((2*ACOS(1-2*CA139/R139))-SIN((2*ACOS(1-2*CA139/R139)))))/((R139/2)*((2*ACOS(1-2*CA139/R139)))))^(2/3))*SQRT(N139))</f>
        <v/>
      </c>
      <c r="CC139" s="9" t="str">
        <f aca="false">IF(AY139="","",IF(CB139&lt;AY139,CA139,BY139))</f>
        <v/>
      </c>
      <c r="CD139" s="9" t="str">
        <f aca="false">IF(AY139="","",IF(CB139&lt;AY139,BZ139,CA139))</f>
        <v/>
      </c>
      <c r="CE139" s="9" t="str">
        <f aca="false">IF(AY139="","",(CC139+CD139)/2)</f>
        <v/>
      </c>
    </row>
    <row r="140" customFormat="false" ht="15" hidden="false" customHeight="false" outlineLevel="0" collapsed="false">
      <c r="A140" s="9"/>
      <c r="B140" s="9"/>
      <c r="C140" s="14"/>
      <c r="D140" s="14"/>
      <c r="E140" s="14" t="n">
        <f aca="false">SUMIFS(CB_Tributaires!$C:$C,CB_Tributaires!$B:$B,$A140)</f>
        <v>0</v>
      </c>
      <c r="F140" s="14" t="n">
        <f aca="false">IF(D140="",E140,D140)</f>
        <v>0</v>
      </c>
      <c r="G140" s="9"/>
      <c r="H140" s="14"/>
      <c r="I140" s="14" t="str">
        <f aca="false">IF(A140="","",Inputs!$B$13/((IF(AS140="",Inputs!$B$18,AS140)+Inputs!$B$14)^Inputs!$B$15))</f>
        <v/>
      </c>
      <c r="J140" s="14" t="str">
        <f aca="false">IF(A140="","",0.000000278*IF(G140="",Inputs!$B$17,G140)*F140*I140)</f>
        <v/>
      </c>
      <c r="K140" s="14" t="str">
        <f aca="false">IF(A140="","",SUMIFS($L$4:$L$203,$B$4:$B$203,$A140))</f>
        <v/>
      </c>
      <c r="L140" s="14" t="str">
        <f aca="false">IF(A140="","",(J140+K140)*Inputs!$B$16)</f>
        <v/>
      </c>
      <c r="M140" s="14"/>
      <c r="N140" s="14" t="str">
        <f aca="false">IF(A140="","",IF(M140="",Inputs!$B$7,M140))</f>
        <v/>
      </c>
      <c r="O140" s="9" t="str">
        <f aca="false">IF(A140="","",IF(L140/Inputs!$B$10&lt;=AD140,Inputs!$F$5,IF(L140/Inputs!$B$10&gt;AM140,"OVERSIZE",INDEX(Inputs!$F$5:$F$14,MATCH(L140/Inputs!$B$10,AD140:AM140,1)+1))))</f>
        <v/>
      </c>
      <c r="P140" s="9"/>
      <c r="Q140" s="9" t="str">
        <f aca="false">IF(A140="","",IF(P140="",O140,P140))</f>
        <v/>
      </c>
      <c r="R140" s="14" t="str">
        <f aca="false">IF(OR(Q140="",Q140="OVERSIZE"),"",Q140/1000)</f>
        <v/>
      </c>
      <c r="S140" s="14" t="str">
        <f aca="false">IF(R140="","",(1/Inputs!$B$9)*(PI()*R140^2/4)*((R140/4)^(2/3))*SQRT(N140))</f>
        <v/>
      </c>
      <c r="T140" s="14" t="str">
        <f aca="false">IF(OR(S140="",L140=""),"",L140/(S140*Inputs!$B$10))</f>
        <v/>
      </c>
      <c r="U140" s="14" t="str">
        <f aca="false">IF(OR(R140="",L140=""),"",4*L140/(PI()*R140^2))</f>
        <v/>
      </c>
      <c r="V140" s="14"/>
      <c r="W140" s="14" t="str">
        <f aca="false">IF(A140="","",IF(A140=Inputs!$B$6,Inputs!$B$22,IF(B140="","",IFERROR(INDEX($X$4:$X$203,MATCH(B140,$A$4:$A$203,0))+IF(V140="",Inputs!$B$20,V140),""))))</f>
        <v/>
      </c>
      <c r="X140" s="14" t="str">
        <f aca="false">IF(OR(W140="",N140="",C140=""),"",W140+N140*C140)</f>
        <v/>
      </c>
      <c r="Y140" s="14"/>
      <c r="Z140" s="14"/>
      <c r="AA140" s="14" t="str">
        <f aca="false">IF(OR(Y140="",W140=""),"",Y140-W140)</f>
        <v/>
      </c>
      <c r="AB140" s="14" t="str">
        <f aca="false">IF(OR(Z140="",X140=""),"",Z140-X140)</f>
        <v/>
      </c>
      <c r="AC140" s="19" t="str">
        <f aca="false">IF(A140="","",IF(OR(T140&gt;1,AND(AV140&lt;&gt;"",AV140&lt;Inputs!$B$11),AND(AV140&lt;&gt;"",AV140&gt;Inputs!$B$12),AA140&lt;Inputs!$B$19,AB140&lt;Inputs!$B$19,N140&lt;Inputs!$B$7,N140&gt;Inputs!$B$8),"CHECK","OK"))</f>
        <v/>
      </c>
      <c r="AD140" s="9" t="str">
        <f aca="false">IF(A140="","",(1/Inputs!$B$9)*(PI()*(Inputs!$F$5/1000)^2/4)*((Inputs!$F$5/1000/4)^(2/3))*SQRT(N140))</f>
        <v/>
      </c>
      <c r="AE140" s="9" t="str">
        <f aca="false">IF(A140="","",(1/Inputs!$B$9)*(PI()*(Inputs!$F$6/1000)^2/4)*((Inputs!$F$6/1000/4)^(2/3))*SQRT(N140))</f>
        <v/>
      </c>
      <c r="AF140" s="9" t="str">
        <f aca="false">IF(A140="","",(1/Inputs!$B$9)*(PI()*(Inputs!$F$7/1000)^2/4)*((Inputs!$F$7/1000/4)^(2/3))*SQRT(N140))</f>
        <v/>
      </c>
      <c r="AG140" s="9" t="str">
        <f aca="false">IF(A140="","",(1/Inputs!$B$9)*(PI()*(Inputs!$F$8/1000)^2/4)*((Inputs!$F$8/1000/4)^(2/3))*SQRT(N140))</f>
        <v/>
      </c>
      <c r="AH140" s="9" t="str">
        <f aca="false">IF(A140="","",(1/Inputs!$B$9)*(PI()*(Inputs!$F$9/1000)^2/4)*((Inputs!$F$9/1000/4)^(2/3))*SQRT(N140))</f>
        <v/>
      </c>
      <c r="AI140" s="9" t="str">
        <f aca="false">IF(A140="","",(1/Inputs!$B$9)*(PI()*(Inputs!$F$10/1000)^2/4)*((Inputs!$F$10/1000/4)^(2/3))*SQRT(N140))</f>
        <v/>
      </c>
      <c r="AJ140" s="9" t="str">
        <f aca="false">IF(A140="","",(1/Inputs!$B$9)*(PI()*(Inputs!$F$11/1000)^2/4)*((Inputs!$F$11/1000/4)^(2/3))*SQRT(N140))</f>
        <v/>
      </c>
      <c r="AK140" s="9" t="str">
        <f aca="false">IF(A140="","",(1/Inputs!$B$9)*(PI()*(Inputs!$F$12/1000)^2/4)*((Inputs!$F$12/1000/4)^(2/3))*SQRT(N140))</f>
        <v/>
      </c>
      <c r="AL140" s="9" t="str">
        <f aca="false">IF(A140="","",(1/Inputs!$B$9)*(PI()*(Inputs!$F$13/1000)^2/4)*((Inputs!$F$13/1000/4)^(2/3))*SQRT(N140))</f>
        <v/>
      </c>
      <c r="AM140" s="9" t="str">
        <f aca="false">IF(A140="","",(1/Inputs!$B$9)*(PI()*(Inputs!$F$14/1000)^2/4)*((Inputs!$F$14/1000/4)^(2/3))*SQRT(N140))</f>
        <v/>
      </c>
      <c r="AN140" s="9" t="str">
        <f aca="false">IF(A140="","",COUNTIF($B$4:$B$203,$A140))</f>
        <v/>
      </c>
      <c r="AO140" s="9" t="str">
        <f aca="false">IF(A140="","",IF(AN140=0,"START","CONTINUOUS"))</f>
        <v/>
      </c>
      <c r="AP140" s="13" t="str">
        <f aca="false">IF(A140="","",IF(H140="",Inputs!$B$18,H140))</f>
        <v/>
      </c>
      <c r="AQ140" s="13" t="str">
        <f aca="false">IF(A140="","",IFERROR(maxifs($AS$4:$AS$203,$B$4:$B$203,$A140),""))</f>
        <v/>
      </c>
      <c r="AR140" s="13" t="str">
        <f aca="false">IF(A140="","",IF(OR(C140="",Inputs!$B$23=""),"",C140/(Inputs!$B$23*60)))</f>
        <v/>
      </c>
      <c r="AS140" s="13" t="str">
        <f aca="false">IF(A140="","",IF(AN140=0,AP140+AR140,IF(AQ140="",AP140+AR140,AQ140+AR140)))</f>
        <v/>
      </c>
      <c r="AT140" s="13" t="str">
        <f aca="false">IF(A140="","",U140)</f>
        <v/>
      </c>
      <c r="AU140" s="13" t="str">
        <f aca="false">IF(OR(R140="",N140=""),"",(1/Inputs!$B$9)*((R140/4)^(2/3))*SQRT(N140))</f>
        <v/>
      </c>
      <c r="AV140" s="13" t="str">
        <f aca="false">IF(A140="","",IF(AND(AT140="",AU140="",AX140=""),"",IF(OR(UPPER(TRIM(Inputs!$B$24))="MANNING",UPPER(TRIM(Inputs!$B$24))="M"),AU140,IF(OR(UPPER(TRIM(Inputs!$B$24))="PARTIAL",UPPER(TRIM(Inputs!$B$24))="P"),AX140,IF(OR(UPPER(TRIM(Inputs!$B$24))="MAX",UPPER(TRIM(Inputs!$B$24))="X"),MAX(IF(AT140="",0,AT140),IF(AU140="",0,AU140),IF(AX140="",0,AX140)),AT140)))))</f>
        <v/>
      </c>
      <c r="AW140" s="13" t="str">
        <f aca="false">IF(AY140="","",CE140)</f>
        <v/>
      </c>
      <c r="AX140" s="13" t="str">
        <f aca="false">IF(OR(AY140="",AW140="",R140="",R140&lt;=0,AW140&lt;=0),"",AY140/((R140^2/8)*(2*ACOS(1-2*AW140/R140)-SIN(2*ACOS(1-2*AW140/R140)))))</f>
        <v/>
      </c>
      <c r="AY140" s="9" t="str">
        <f aca="false">IF(OR(L140="",AZ140=""),"",MIN(L140,AZ140))</f>
        <v/>
      </c>
      <c r="AZ140" s="9" t="str">
        <f aca="false">IF(OR(L140="",R140="",N140=""),"",IF(OR(R140="",N140="",(0.94*R140)="",R140&lt;=0,(0.94*R140)&lt;=0),"",(1/Inputs!$B$9)*((R140^2/8)*((2*ACOS(1-2*(0.94*R140)/R140))-SIN((2*ACOS(1-2*(0.94*R140)/R140)))))*((((R140^2/8)*((2*ACOS(1-2*(0.94*R140)/R140))-SIN((2*ACOS(1-2*(0.94*R140)/R140)))))/((R140/2)*((2*ACOS(1-2*(0.94*R140)/R140)))))^(2/3))*SQRT(N140)))</f>
        <v/>
      </c>
      <c r="BA140" s="9" t="str">
        <f aca="false">IF(AY140="","",0.001*R140)</f>
        <v/>
      </c>
      <c r="BB140" s="9" t="str">
        <f aca="false">IF(AY140="","",0.94*R140)</f>
        <v/>
      </c>
      <c r="BC140" s="9" t="str">
        <f aca="false">IF(AY140="","",(BA140+BB140)/2)</f>
        <v/>
      </c>
      <c r="BD140" s="9" t="str">
        <f aca="false">IF(OR(R140="",N140="",BC140="",R140&lt;=0,BC140&lt;=0),"",(1/Inputs!$B$9)*((R140^2/8)*((2*ACOS(1-2*BC140/R140))-SIN((2*ACOS(1-2*BC140/R140)))))*((((R140^2/8)*((2*ACOS(1-2*BC140/R140))-SIN((2*ACOS(1-2*BC140/R140)))))/((R140/2)*((2*ACOS(1-2*BC140/R140)))))^(2/3))*SQRT(N140))</f>
        <v/>
      </c>
      <c r="BE140" s="9" t="str">
        <f aca="false">IF(AY140="","",IF(BD140&lt;AY140,BC140,BA140))</f>
        <v/>
      </c>
      <c r="BF140" s="9" t="str">
        <f aca="false">IF(AY140="","",IF(BD140&lt;AY140,BB140,BC140))</f>
        <v/>
      </c>
      <c r="BG140" s="9" t="str">
        <f aca="false">IF(AY140="","",(BE140+BF140)/2)</f>
        <v/>
      </c>
      <c r="BH140" s="9" t="str">
        <f aca="false">IF(OR(R140="",N140="",BG140="",R140&lt;=0,BG140&lt;=0),"",(1/Inputs!$B$9)*((R140^2/8)*((2*ACOS(1-2*BG140/R140))-SIN((2*ACOS(1-2*BG140/R140)))))*((((R140^2/8)*((2*ACOS(1-2*BG140/R140))-SIN((2*ACOS(1-2*BG140/R140)))))/((R140/2)*((2*ACOS(1-2*BG140/R140)))))^(2/3))*SQRT(N140))</f>
        <v/>
      </c>
      <c r="BI140" s="9" t="str">
        <f aca="false">IF(AY140="","",IF(BH140&lt;AY140,BG140,BE140))</f>
        <v/>
      </c>
      <c r="BJ140" s="9" t="str">
        <f aca="false">IF(AY140="","",IF(BH140&lt;AY140,BF140,BG140))</f>
        <v/>
      </c>
      <c r="BK140" s="9" t="str">
        <f aca="false">IF(AY140="","",(BI140+BJ140)/2)</f>
        <v/>
      </c>
      <c r="BL140" s="9" t="str">
        <f aca="false">IF(OR(R140="",N140="",BK140="",R140&lt;=0,BK140&lt;=0),"",(1/Inputs!$B$9)*((R140^2/8)*((2*ACOS(1-2*BK140/R140))-SIN((2*ACOS(1-2*BK140/R140)))))*((((R140^2/8)*((2*ACOS(1-2*BK140/R140))-SIN((2*ACOS(1-2*BK140/R140)))))/((R140/2)*((2*ACOS(1-2*BK140/R140)))))^(2/3))*SQRT(N140))</f>
        <v/>
      </c>
      <c r="BM140" s="9" t="str">
        <f aca="false">IF(AY140="","",IF(BL140&lt;AY140,BK140,BI140))</f>
        <v/>
      </c>
      <c r="BN140" s="9" t="str">
        <f aca="false">IF(AY140="","",IF(BL140&lt;AY140,BJ140,BK140))</f>
        <v/>
      </c>
      <c r="BO140" s="9" t="str">
        <f aca="false">IF(AY140="","",(BM140+BN140)/2)</f>
        <v/>
      </c>
      <c r="BP140" s="9" t="str">
        <f aca="false">IF(OR(R140="",N140="",BO140="",R140&lt;=0,BO140&lt;=0),"",(1/Inputs!$B$9)*((R140^2/8)*((2*ACOS(1-2*BO140/R140))-SIN((2*ACOS(1-2*BO140/R140)))))*((((R140^2/8)*((2*ACOS(1-2*BO140/R140))-SIN((2*ACOS(1-2*BO140/R140)))))/((R140/2)*((2*ACOS(1-2*BO140/R140)))))^(2/3))*SQRT(N140))</f>
        <v/>
      </c>
      <c r="BQ140" s="9" t="str">
        <f aca="false">IF(AY140="","",IF(BP140&lt;AY140,BO140,BM140))</f>
        <v/>
      </c>
      <c r="BR140" s="9" t="str">
        <f aca="false">IF(AY140="","",IF(BP140&lt;AY140,BN140,BO140))</f>
        <v/>
      </c>
      <c r="BS140" s="9" t="str">
        <f aca="false">IF(AY140="","",(BQ140+BR140)/2)</f>
        <v/>
      </c>
      <c r="BT140" s="9" t="str">
        <f aca="false">IF(OR(R140="",N140="",BS140="",R140&lt;=0,BS140&lt;=0),"",(1/Inputs!$B$9)*((R140^2/8)*((2*ACOS(1-2*BS140/R140))-SIN((2*ACOS(1-2*BS140/R140)))))*((((R140^2/8)*((2*ACOS(1-2*BS140/R140))-SIN((2*ACOS(1-2*BS140/R140)))))/((R140/2)*((2*ACOS(1-2*BS140/R140)))))^(2/3))*SQRT(N140))</f>
        <v/>
      </c>
      <c r="BU140" s="9" t="str">
        <f aca="false">IF(AY140="","",IF(BT140&lt;AY140,BS140,BQ140))</f>
        <v/>
      </c>
      <c r="BV140" s="9" t="str">
        <f aca="false">IF(AY140="","",IF(BT140&lt;AY140,BR140,BS140))</f>
        <v/>
      </c>
      <c r="BW140" s="9" t="str">
        <f aca="false">IF(AY140="","",(BU140+BV140)/2)</f>
        <v/>
      </c>
      <c r="BX140" s="9" t="str">
        <f aca="false">IF(OR(R140="",N140="",BW140="",R140&lt;=0,BW140&lt;=0),"",(1/Inputs!$B$9)*((R140^2/8)*((2*ACOS(1-2*BW140/R140))-SIN((2*ACOS(1-2*BW140/R140)))))*((((R140^2/8)*((2*ACOS(1-2*BW140/R140))-SIN((2*ACOS(1-2*BW140/R140)))))/((R140/2)*((2*ACOS(1-2*BW140/R140)))))^(2/3))*SQRT(N140))</f>
        <v/>
      </c>
      <c r="BY140" s="9" t="str">
        <f aca="false">IF(AY140="","",IF(BX140&lt;AY140,BW140,BU140))</f>
        <v/>
      </c>
      <c r="BZ140" s="9" t="str">
        <f aca="false">IF(AY140="","",IF(BX140&lt;AY140,BV140,BW140))</f>
        <v/>
      </c>
      <c r="CA140" s="9" t="str">
        <f aca="false">IF(AY140="","",(BY140+BZ140)/2)</f>
        <v/>
      </c>
      <c r="CB140" s="9" t="str">
        <f aca="false">IF(OR(R140="",N140="",CA140="",R140&lt;=0,CA140&lt;=0),"",(1/Inputs!$B$9)*((R140^2/8)*((2*ACOS(1-2*CA140/R140))-SIN((2*ACOS(1-2*CA140/R140)))))*((((R140^2/8)*((2*ACOS(1-2*CA140/R140))-SIN((2*ACOS(1-2*CA140/R140)))))/((R140/2)*((2*ACOS(1-2*CA140/R140)))))^(2/3))*SQRT(N140))</f>
        <v/>
      </c>
      <c r="CC140" s="9" t="str">
        <f aca="false">IF(AY140="","",IF(CB140&lt;AY140,CA140,BY140))</f>
        <v/>
      </c>
      <c r="CD140" s="9" t="str">
        <f aca="false">IF(AY140="","",IF(CB140&lt;AY140,BZ140,CA140))</f>
        <v/>
      </c>
      <c r="CE140" s="9" t="str">
        <f aca="false">IF(AY140="","",(CC140+CD140)/2)</f>
        <v/>
      </c>
    </row>
    <row r="141" customFormat="false" ht="15" hidden="false" customHeight="false" outlineLevel="0" collapsed="false">
      <c r="A141" s="9"/>
      <c r="B141" s="9"/>
      <c r="C141" s="14"/>
      <c r="D141" s="14"/>
      <c r="E141" s="14" t="n">
        <f aca="false">SUMIFS(CB_Tributaires!$C:$C,CB_Tributaires!$B:$B,$A141)</f>
        <v>0</v>
      </c>
      <c r="F141" s="14" t="n">
        <f aca="false">IF(D141="",E141,D141)</f>
        <v>0</v>
      </c>
      <c r="G141" s="9"/>
      <c r="H141" s="14"/>
      <c r="I141" s="14" t="str">
        <f aca="false">IF(A141="","",Inputs!$B$13/((IF(AS141="",Inputs!$B$18,AS141)+Inputs!$B$14)^Inputs!$B$15))</f>
        <v/>
      </c>
      <c r="J141" s="14" t="str">
        <f aca="false">IF(A141="","",0.000000278*IF(G141="",Inputs!$B$17,G141)*F141*I141)</f>
        <v/>
      </c>
      <c r="K141" s="14" t="str">
        <f aca="false">IF(A141="","",SUMIFS($L$4:$L$203,$B$4:$B$203,$A141))</f>
        <v/>
      </c>
      <c r="L141" s="14" t="str">
        <f aca="false">IF(A141="","",(J141+K141)*Inputs!$B$16)</f>
        <v/>
      </c>
      <c r="M141" s="14"/>
      <c r="N141" s="14" t="str">
        <f aca="false">IF(A141="","",IF(M141="",Inputs!$B$7,M141))</f>
        <v/>
      </c>
      <c r="O141" s="9" t="str">
        <f aca="false">IF(A141="","",IF(L141/Inputs!$B$10&lt;=AD141,Inputs!$F$5,IF(L141/Inputs!$B$10&gt;AM141,"OVERSIZE",INDEX(Inputs!$F$5:$F$14,MATCH(L141/Inputs!$B$10,AD141:AM141,1)+1))))</f>
        <v/>
      </c>
      <c r="P141" s="9"/>
      <c r="Q141" s="9" t="str">
        <f aca="false">IF(A141="","",IF(P141="",O141,P141))</f>
        <v/>
      </c>
      <c r="R141" s="14" t="str">
        <f aca="false">IF(OR(Q141="",Q141="OVERSIZE"),"",Q141/1000)</f>
        <v/>
      </c>
      <c r="S141" s="14" t="str">
        <f aca="false">IF(R141="","",(1/Inputs!$B$9)*(PI()*R141^2/4)*((R141/4)^(2/3))*SQRT(N141))</f>
        <v/>
      </c>
      <c r="T141" s="14" t="str">
        <f aca="false">IF(OR(S141="",L141=""),"",L141/(S141*Inputs!$B$10))</f>
        <v/>
      </c>
      <c r="U141" s="14" t="str">
        <f aca="false">IF(OR(R141="",L141=""),"",4*L141/(PI()*R141^2))</f>
        <v/>
      </c>
      <c r="V141" s="14"/>
      <c r="W141" s="14" t="str">
        <f aca="false">IF(A141="","",IF(A141=Inputs!$B$6,Inputs!$B$22,IF(B141="","",IFERROR(INDEX($X$4:$X$203,MATCH(B141,$A$4:$A$203,0))+IF(V141="",Inputs!$B$20,V141),""))))</f>
        <v/>
      </c>
      <c r="X141" s="14" t="str">
        <f aca="false">IF(OR(W141="",N141="",C141=""),"",W141+N141*C141)</f>
        <v/>
      </c>
      <c r="Y141" s="14"/>
      <c r="Z141" s="14"/>
      <c r="AA141" s="14" t="str">
        <f aca="false">IF(OR(Y141="",W141=""),"",Y141-W141)</f>
        <v/>
      </c>
      <c r="AB141" s="14" t="str">
        <f aca="false">IF(OR(Z141="",X141=""),"",Z141-X141)</f>
        <v/>
      </c>
      <c r="AC141" s="19" t="str">
        <f aca="false">IF(A141="","",IF(OR(T141&gt;1,AND(AV141&lt;&gt;"",AV141&lt;Inputs!$B$11),AND(AV141&lt;&gt;"",AV141&gt;Inputs!$B$12),AA141&lt;Inputs!$B$19,AB141&lt;Inputs!$B$19,N141&lt;Inputs!$B$7,N141&gt;Inputs!$B$8),"CHECK","OK"))</f>
        <v/>
      </c>
      <c r="AD141" s="9" t="str">
        <f aca="false">IF(A141="","",(1/Inputs!$B$9)*(PI()*(Inputs!$F$5/1000)^2/4)*((Inputs!$F$5/1000/4)^(2/3))*SQRT(N141))</f>
        <v/>
      </c>
      <c r="AE141" s="9" t="str">
        <f aca="false">IF(A141="","",(1/Inputs!$B$9)*(PI()*(Inputs!$F$6/1000)^2/4)*((Inputs!$F$6/1000/4)^(2/3))*SQRT(N141))</f>
        <v/>
      </c>
      <c r="AF141" s="9" t="str">
        <f aca="false">IF(A141="","",(1/Inputs!$B$9)*(PI()*(Inputs!$F$7/1000)^2/4)*((Inputs!$F$7/1000/4)^(2/3))*SQRT(N141))</f>
        <v/>
      </c>
      <c r="AG141" s="9" t="str">
        <f aca="false">IF(A141="","",(1/Inputs!$B$9)*(PI()*(Inputs!$F$8/1000)^2/4)*((Inputs!$F$8/1000/4)^(2/3))*SQRT(N141))</f>
        <v/>
      </c>
      <c r="AH141" s="9" t="str">
        <f aca="false">IF(A141="","",(1/Inputs!$B$9)*(PI()*(Inputs!$F$9/1000)^2/4)*((Inputs!$F$9/1000/4)^(2/3))*SQRT(N141))</f>
        <v/>
      </c>
      <c r="AI141" s="9" t="str">
        <f aca="false">IF(A141="","",(1/Inputs!$B$9)*(PI()*(Inputs!$F$10/1000)^2/4)*((Inputs!$F$10/1000/4)^(2/3))*SQRT(N141))</f>
        <v/>
      </c>
      <c r="AJ141" s="9" t="str">
        <f aca="false">IF(A141="","",(1/Inputs!$B$9)*(PI()*(Inputs!$F$11/1000)^2/4)*((Inputs!$F$11/1000/4)^(2/3))*SQRT(N141))</f>
        <v/>
      </c>
      <c r="AK141" s="9" t="str">
        <f aca="false">IF(A141="","",(1/Inputs!$B$9)*(PI()*(Inputs!$F$12/1000)^2/4)*((Inputs!$F$12/1000/4)^(2/3))*SQRT(N141))</f>
        <v/>
      </c>
      <c r="AL141" s="9" t="str">
        <f aca="false">IF(A141="","",(1/Inputs!$B$9)*(PI()*(Inputs!$F$13/1000)^2/4)*((Inputs!$F$13/1000/4)^(2/3))*SQRT(N141))</f>
        <v/>
      </c>
      <c r="AM141" s="9" t="str">
        <f aca="false">IF(A141="","",(1/Inputs!$B$9)*(PI()*(Inputs!$F$14/1000)^2/4)*((Inputs!$F$14/1000/4)^(2/3))*SQRT(N141))</f>
        <v/>
      </c>
      <c r="AN141" s="9" t="str">
        <f aca="false">IF(A141="","",COUNTIF($B$4:$B$203,$A141))</f>
        <v/>
      </c>
      <c r="AO141" s="9" t="str">
        <f aca="false">IF(A141="","",IF(AN141=0,"START","CONTINUOUS"))</f>
        <v/>
      </c>
      <c r="AP141" s="13" t="str">
        <f aca="false">IF(A141="","",IF(H141="",Inputs!$B$18,H141))</f>
        <v/>
      </c>
      <c r="AQ141" s="13" t="str">
        <f aca="false">IF(A141="","",IFERROR(maxifs($AS$4:$AS$203,$B$4:$B$203,$A141),""))</f>
        <v/>
      </c>
      <c r="AR141" s="13" t="str">
        <f aca="false">IF(A141="","",IF(OR(C141="",Inputs!$B$23=""),"",C141/(Inputs!$B$23*60)))</f>
        <v/>
      </c>
      <c r="AS141" s="13" t="str">
        <f aca="false">IF(A141="","",IF(AN141=0,AP141+AR141,IF(AQ141="",AP141+AR141,AQ141+AR141)))</f>
        <v/>
      </c>
      <c r="AT141" s="13" t="str">
        <f aca="false">IF(A141="","",U141)</f>
        <v/>
      </c>
      <c r="AU141" s="13" t="str">
        <f aca="false">IF(OR(R141="",N141=""),"",(1/Inputs!$B$9)*((R141/4)^(2/3))*SQRT(N141))</f>
        <v/>
      </c>
      <c r="AV141" s="13" t="str">
        <f aca="false">IF(A141="","",IF(AND(AT141="",AU141="",AX141=""),"",IF(OR(UPPER(TRIM(Inputs!$B$24))="MANNING",UPPER(TRIM(Inputs!$B$24))="M"),AU141,IF(OR(UPPER(TRIM(Inputs!$B$24))="PARTIAL",UPPER(TRIM(Inputs!$B$24))="P"),AX141,IF(OR(UPPER(TRIM(Inputs!$B$24))="MAX",UPPER(TRIM(Inputs!$B$24))="X"),MAX(IF(AT141="",0,AT141),IF(AU141="",0,AU141),IF(AX141="",0,AX141)),AT141)))))</f>
        <v/>
      </c>
      <c r="AW141" s="13" t="str">
        <f aca="false">IF(AY141="","",CE141)</f>
        <v/>
      </c>
      <c r="AX141" s="13" t="str">
        <f aca="false">IF(OR(AY141="",AW141="",R141="",R141&lt;=0,AW141&lt;=0),"",AY141/((R141^2/8)*(2*ACOS(1-2*AW141/R141)-SIN(2*ACOS(1-2*AW141/R141)))))</f>
        <v/>
      </c>
      <c r="AY141" s="9" t="str">
        <f aca="false">IF(OR(L141="",AZ141=""),"",MIN(L141,AZ141))</f>
        <v/>
      </c>
      <c r="AZ141" s="9" t="str">
        <f aca="false">IF(OR(L141="",R141="",N141=""),"",IF(OR(R141="",N141="",(0.94*R141)="",R141&lt;=0,(0.94*R141)&lt;=0),"",(1/Inputs!$B$9)*((R141^2/8)*((2*ACOS(1-2*(0.94*R141)/R141))-SIN((2*ACOS(1-2*(0.94*R141)/R141)))))*((((R141^2/8)*((2*ACOS(1-2*(0.94*R141)/R141))-SIN((2*ACOS(1-2*(0.94*R141)/R141)))))/((R141/2)*((2*ACOS(1-2*(0.94*R141)/R141)))))^(2/3))*SQRT(N141)))</f>
        <v/>
      </c>
      <c r="BA141" s="9" t="str">
        <f aca="false">IF(AY141="","",0.001*R141)</f>
        <v/>
      </c>
      <c r="BB141" s="9" t="str">
        <f aca="false">IF(AY141="","",0.94*R141)</f>
        <v/>
      </c>
      <c r="BC141" s="9" t="str">
        <f aca="false">IF(AY141="","",(BA141+BB141)/2)</f>
        <v/>
      </c>
      <c r="BD141" s="9" t="str">
        <f aca="false">IF(OR(R141="",N141="",BC141="",R141&lt;=0,BC141&lt;=0),"",(1/Inputs!$B$9)*((R141^2/8)*((2*ACOS(1-2*BC141/R141))-SIN((2*ACOS(1-2*BC141/R141)))))*((((R141^2/8)*((2*ACOS(1-2*BC141/R141))-SIN((2*ACOS(1-2*BC141/R141)))))/((R141/2)*((2*ACOS(1-2*BC141/R141)))))^(2/3))*SQRT(N141))</f>
        <v/>
      </c>
      <c r="BE141" s="9" t="str">
        <f aca="false">IF(AY141="","",IF(BD141&lt;AY141,BC141,BA141))</f>
        <v/>
      </c>
      <c r="BF141" s="9" t="str">
        <f aca="false">IF(AY141="","",IF(BD141&lt;AY141,BB141,BC141))</f>
        <v/>
      </c>
      <c r="BG141" s="9" t="str">
        <f aca="false">IF(AY141="","",(BE141+BF141)/2)</f>
        <v/>
      </c>
      <c r="BH141" s="9" t="str">
        <f aca="false">IF(OR(R141="",N141="",BG141="",R141&lt;=0,BG141&lt;=0),"",(1/Inputs!$B$9)*((R141^2/8)*((2*ACOS(1-2*BG141/R141))-SIN((2*ACOS(1-2*BG141/R141)))))*((((R141^2/8)*((2*ACOS(1-2*BG141/R141))-SIN((2*ACOS(1-2*BG141/R141)))))/((R141/2)*((2*ACOS(1-2*BG141/R141)))))^(2/3))*SQRT(N141))</f>
        <v/>
      </c>
      <c r="BI141" s="9" t="str">
        <f aca="false">IF(AY141="","",IF(BH141&lt;AY141,BG141,BE141))</f>
        <v/>
      </c>
      <c r="BJ141" s="9" t="str">
        <f aca="false">IF(AY141="","",IF(BH141&lt;AY141,BF141,BG141))</f>
        <v/>
      </c>
      <c r="BK141" s="9" t="str">
        <f aca="false">IF(AY141="","",(BI141+BJ141)/2)</f>
        <v/>
      </c>
      <c r="BL141" s="9" t="str">
        <f aca="false">IF(OR(R141="",N141="",BK141="",R141&lt;=0,BK141&lt;=0),"",(1/Inputs!$B$9)*((R141^2/8)*((2*ACOS(1-2*BK141/R141))-SIN((2*ACOS(1-2*BK141/R141)))))*((((R141^2/8)*((2*ACOS(1-2*BK141/R141))-SIN((2*ACOS(1-2*BK141/R141)))))/((R141/2)*((2*ACOS(1-2*BK141/R141)))))^(2/3))*SQRT(N141))</f>
        <v/>
      </c>
      <c r="BM141" s="9" t="str">
        <f aca="false">IF(AY141="","",IF(BL141&lt;AY141,BK141,BI141))</f>
        <v/>
      </c>
      <c r="BN141" s="9" t="str">
        <f aca="false">IF(AY141="","",IF(BL141&lt;AY141,BJ141,BK141))</f>
        <v/>
      </c>
      <c r="BO141" s="9" t="str">
        <f aca="false">IF(AY141="","",(BM141+BN141)/2)</f>
        <v/>
      </c>
      <c r="BP141" s="9" t="str">
        <f aca="false">IF(OR(R141="",N141="",BO141="",R141&lt;=0,BO141&lt;=0),"",(1/Inputs!$B$9)*((R141^2/8)*((2*ACOS(1-2*BO141/R141))-SIN((2*ACOS(1-2*BO141/R141)))))*((((R141^2/8)*((2*ACOS(1-2*BO141/R141))-SIN((2*ACOS(1-2*BO141/R141)))))/((R141/2)*((2*ACOS(1-2*BO141/R141)))))^(2/3))*SQRT(N141))</f>
        <v/>
      </c>
      <c r="BQ141" s="9" t="str">
        <f aca="false">IF(AY141="","",IF(BP141&lt;AY141,BO141,BM141))</f>
        <v/>
      </c>
      <c r="BR141" s="9" t="str">
        <f aca="false">IF(AY141="","",IF(BP141&lt;AY141,BN141,BO141))</f>
        <v/>
      </c>
      <c r="BS141" s="9" t="str">
        <f aca="false">IF(AY141="","",(BQ141+BR141)/2)</f>
        <v/>
      </c>
      <c r="BT141" s="9" t="str">
        <f aca="false">IF(OR(R141="",N141="",BS141="",R141&lt;=0,BS141&lt;=0),"",(1/Inputs!$B$9)*((R141^2/8)*((2*ACOS(1-2*BS141/R141))-SIN((2*ACOS(1-2*BS141/R141)))))*((((R141^2/8)*((2*ACOS(1-2*BS141/R141))-SIN((2*ACOS(1-2*BS141/R141)))))/((R141/2)*((2*ACOS(1-2*BS141/R141)))))^(2/3))*SQRT(N141))</f>
        <v/>
      </c>
      <c r="BU141" s="9" t="str">
        <f aca="false">IF(AY141="","",IF(BT141&lt;AY141,BS141,BQ141))</f>
        <v/>
      </c>
      <c r="BV141" s="9" t="str">
        <f aca="false">IF(AY141="","",IF(BT141&lt;AY141,BR141,BS141))</f>
        <v/>
      </c>
      <c r="BW141" s="9" t="str">
        <f aca="false">IF(AY141="","",(BU141+BV141)/2)</f>
        <v/>
      </c>
      <c r="BX141" s="9" t="str">
        <f aca="false">IF(OR(R141="",N141="",BW141="",R141&lt;=0,BW141&lt;=0),"",(1/Inputs!$B$9)*((R141^2/8)*((2*ACOS(1-2*BW141/R141))-SIN((2*ACOS(1-2*BW141/R141)))))*((((R141^2/8)*((2*ACOS(1-2*BW141/R141))-SIN((2*ACOS(1-2*BW141/R141)))))/((R141/2)*((2*ACOS(1-2*BW141/R141)))))^(2/3))*SQRT(N141))</f>
        <v/>
      </c>
      <c r="BY141" s="9" t="str">
        <f aca="false">IF(AY141="","",IF(BX141&lt;AY141,BW141,BU141))</f>
        <v/>
      </c>
      <c r="BZ141" s="9" t="str">
        <f aca="false">IF(AY141="","",IF(BX141&lt;AY141,BV141,BW141))</f>
        <v/>
      </c>
      <c r="CA141" s="9" t="str">
        <f aca="false">IF(AY141="","",(BY141+BZ141)/2)</f>
        <v/>
      </c>
      <c r="CB141" s="9" t="str">
        <f aca="false">IF(OR(R141="",N141="",CA141="",R141&lt;=0,CA141&lt;=0),"",(1/Inputs!$B$9)*((R141^2/8)*((2*ACOS(1-2*CA141/R141))-SIN((2*ACOS(1-2*CA141/R141)))))*((((R141^2/8)*((2*ACOS(1-2*CA141/R141))-SIN((2*ACOS(1-2*CA141/R141)))))/((R141/2)*((2*ACOS(1-2*CA141/R141)))))^(2/3))*SQRT(N141))</f>
        <v/>
      </c>
      <c r="CC141" s="9" t="str">
        <f aca="false">IF(AY141="","",IF(CB141&lt;AY141,CA141,BY141))</f>
        <v/>
      </c>
      <c r="CD141" s="9" t="str">
        <f aca="false">IF(AY141="","",IF(CB141&lt;AY141,BZ141,CA141))</f>
        <v/>
      </c>
      <c r="CE141" s="9" t="str">
        <f aca="false">IF(AY141="","",(CC141+CD141)/2)</f>
        <v/>
      </c>
    </row>
    <row r="142" customFormat="false" ht="15" hidden="false" customHeight="false" outlineLevel="0" collapsed="false">
      <c r="A142" s="9"/>
      <c r="B142" s="9"/>
      <c r="C142" s="14"/>
      <c r="D142" s="14"/>
      <c r="E142" s="14" t="n">
        <f aca="false">SUMIFS(CB_Tributaires!$C:$C,CB_Tributaires!$B:$B,$A142)</f>
        <v>0</v>
      </c>
      <c r="F142" s="14" t="n">
        <f aca="false">IF(D142="",E142,D142)</f>
        <v>0</v>
      </c>
      <c r="G142" s="9"/>
      <c r="H142" s="14"/>
      <c r="I142" s="14" t="str">
        <f aca="false">IF(A142="","",Inputs!$B$13/((IF(AS142="",Inputs!$B$18,AS142)+Inputs!$B$14)^Inputs!$B$15))</f>
        <v/>
      </c>
      <c r="J142" s="14" t="str">
        <f aca="false">IF(A142="","",0.000000278*IF(G142="",Inputs!$B$17,G142)*F142*I142)</f>
        <v/>
      </c>
      <c r="K142" s="14" t="str">
        <f aca="false">IF(A142="","",SUMIFS($L$4:$L$203,$B$4:$B$203,$A142))</f>
        <v/>
      </c>
      <c r="L142" s="14" t="str">
        <f aca="false">IF(A142="","",(J142+K142)*Inputs!$B$16)</f>
        <v/>
      </c>
      <c r="M142" s="14"/>
      <c r="N142" s="14" t="str">
        <f aca="false">IF(A142="","",IF(M142="",Inputs!$B$7,M142))</f>
        <v/>
      </c>
      <c r="O142" s="9" t="str">
        <f aca="false">IF(A142="","",IF(L142/Inputs!$B$10&lt;=AD142,Inputs!$F$5,IF(L142/Inputs!$B$10&gt;AM142,"OVERSIZE",INDEX(Inputs!$F$5:$F$14,MATCH(L142/Inputs!$B$10,AD142:AM142,1)+1))))</f>
        <v/>
      </c>
      <c r="P142" s="9"/>
      <c r="Q142" s="9" t="str">
        <f aca="false">IF(A142="","",IF(P142="",O142,P142))</f>
        <v/>
      </c>
      <c r="R142" s="14" t="str">
        <f aca="false">IF(OR(Q142="",Q142="OVERSIZE"),"",Q142/1000)</f>
        <v/>
      </c>
      <c r="S142" s="14" t="str">
        <f aca="false">IF(R142="","",(1/Inputs!$B$9)*(PI()*R142^2/4)*((R142/4)^(2/3))*SQRT(N142))</f>
        <v/>
      </c>
      <c r="T142" s="14" t="str">
        <f aca="false">IF(OR(S142="",L142=""),"",L142/(S142*Inputs!$B$10))</f>
        <v/>
      </c>
      <c r="U142" s="14" t="str">
        <f aca="false">IF(OR(R142="",L142=""),"",4*L142/(PI()*R142^2))</f>
        <v/>
      </c>
      <c r="V142" s="14"/>
      <c r="W142" s="14" t="str">
        <f aca="false">IF(A142="","",IF(A142=Inputs!$B$6,Inputs!$B$22,IF(B142="","",IFERROR(INDEX($X$4:$X$203,MATCH(B142,$A$4:$A$203,0))+IF(V142="",Inputs!$B$20,V142),""))))</f>
        <v/>
      </c>
      <c r="X142" s="14" t="str">
        <f aca="false">IF(OR(W142="",N142="",C142=""),"",W142+N142*C142)</f>
        <v/>
      </c>
      <c r="Y142" s="14"/>
      <c r="Z142" s="14"/>
      <c r="AA142" s="14" t="str">
        <f aca="false">IF(OR(Y142="",W142=""),"",Y142-W142)</f>
        <v/>
      </c>
      <c r="AB142" s="14" t="str">
        <f aca="false">IF(OR(Z142="",X142=""),"",Z142-X142)</f>
        <v/>
      </c>
      <c r="AC142" s="19" t="str">
        <f aca="false">IF(A142="","",IF(OR(T142&gt;1,AND(AV142&lt;&gt;"",AV142&lt;Inputs!$B$11),AND(AV142&lt;&gt;"",AV142&gt;Inputs!$B$12),AA142&lt;Inputs!$B$19,AB142&lt;Inputs!$B$19,N142&lt;Inputs!$B$7,N142&gt;Inputs!$B$8),"CHECK","OK"))</f>
        <v/>
      </c>
      <c r="AD142" s="9" t="str">
        <f aca="false">IF(A142="","",(1/Inputs!$B$9)*(PI()*(Inputs!$F$5/1000)^2/4)*((Inputs!$F$5/1000/4)^(2/3))*SQRT(N142))</f>
        <v/>
      </c>
      <c r="AE142" s="9" t="str">
        <f aca="false">IF(A142="","",(1/Inputs!$B$9)*(PI()*(Inputs!$F$6/1000)^2/4)*((Inputs!$F$6/1000/4)^(2/3))*SQRT(N142))</f>
        <v/>
      </c>
      <c r="AF142" s="9" t="str">
        <f aca="false">IF(A142="","",(1/Inputs!$B$9)*(PI()*(Inputs!$F$7/1000)^2/4)*((Inputs!$F$7/1000/4)^(2/3))*SQRT(N142))</f>
        <v/>
      </c>
      <c r="AG142" s="9" t="str">
        <f aca="false">IF(A142="","",(1/Inputs!$B$9)*(PI()*(Inputs!$F$8/1000)^2/4)*((Inputs!$F$8/1000/4)^(2/3))*SQRT(N142))</f>
        <v/>
      </c>
      <c r="AH142" s="9" t="str">
        <f aca="false">IF(A142="","",(1/Inputs!$B$9)*(PI()*(Inputs!$F$9/1000)^2/4)*((Inputs!$F$9/1000/4)^(2/3))*SQRT(N142))</f>
        <v/>
      </c>
      <c r="AI142" s="9" t="str">
        <f aca="false">IF(A142="","",(1/Inputs!$B$9)*(PI()*(Inputs!$F$10/1000)^2/4)*((Inputs!$F$10/1000/4)^(2/3))*SQRT(N142))</f>
        <v/>
      </c>
      <c r="AJ142" s="9" t="str">
        <f aca="false">IF(A142="","",(1/Inputs!$B$9)*(PI()*(Inputs!$F$11/1000)^2/4)*((Inputs!$F$11/1000/4)^(2/3))*SQRT(N142))</f>
        <v/>
      </c>
      <c r="AK142" s="9" t="str">
        <f aca="false">IF(A142="","",(1/Inputs!$B$9)*(PI()*(Inputs!$F$12/1000)^2/4)*((Inputs!$F$12/1000/4)^(2/3))*SQRT(N142))</f>
        <v/>
      </c>
      <c r="AL142" s="9" t="str">
        <f aca="false">IF(A142="","",(1/Inputs!$B$9)*(PI()*(Inputs!$F$13/1000)^2/4)*((Inputs!$F$13/1000/4)^(2/3))*SQRT(N142))</f>
        <v/>
      </c>
      <c r="AM142" s="9" t="str">
        <f aca="false">IF(A142="","",(1/Inputs!$B$9)*(PI()*(Inputs!$F$14/1000)^2/4)*((Inputs!$F$14/1000/4)^(2/3))*SQRT(N142))</f>
        <v/>
      </c>
      <c r="AN142" s="9" t="str">
        <f aca="false">IF(A142="","",COUNTIF($B$4:$B$203,$A142))</f>
        <v/>
      </c>
      <c r="AO142" s="9" t="str">
        <f aca="false">IF(A142="","",IF(AN142=0,"START","CONTINUOUS"))</f>
        <v/>
      </c>
      <c r="AP142" s="13" t="str">
        <f aca="false">IF(A142="","",IF(H142="",Inputs!$B$18,H142))</f>
        <v/>
      </c>
      <c r="AQ142" s="13" t="str">
        <f aca="false">IF(A142="","",IFERROR(maxifs($AS$4:$AS$203,$B$4:$B$203,$A142),""))</f>
        <v/>
      </c>
      <c r="AR142" s="13" t="str">
        <f aca="false">IF(A142="","",IF(OR(C142="",Inputs!$B$23=""),"",C142/(Inputs!$B$23*60)))</f>
        <v/>
      </c>
      <c r="AS142" s="13" t="str">
        <f aca="false">IF(A142="","",IF(AN142=0,AP142+AR142,IF(AQ142="",AP142+AR142,AQ142+AR142)))</f>
        <v/>
      </c>
      <c r="AT142" s="13" t="str">
        <f aca="false">IF(A142="","",U142)</f>
        <v/>
      </c>
      <c r="AU142" s="13" t="str">
        <f aca="false">IF(OR(R142="",N142=""),"",(1/Inputs!$B$9)*((R142/4)^(2/3))*SQRT(N142))</f>
        <v/>
      </c>
      <c r="AV142" s="13" t="str">
        <f aca="false">IF(A142="","",IF(AND(AT142="",AU142="",AX142=""),"",IF(OR(UPPER(TRIM(Inputs!$B$24))="MANNING",UPPER(TRIM(Inputs!$B$24))="M"),AU142,IF(OR(UPPER(TRIM(Inputs!$B$24))="PARTIAL",UPPER(TRIM(Inputs!$B$24))="P"),AX142,IF(OR(UPPER(TRIM(Inputs!$B$24))="MAX",UPPER(TRIM(Inputs!$B$24))="X"),MAX(IF(AT142="",0,AT142),IF(AU142="",0,AU142),IF(AX142="",0,AX142)),AT142)))))</f>
        <v/>
      </c>
      <c r="AW142" s="13" t="str">
        <f aca="false">IF(AY142="","",CE142)</f>
        <v/>
      </c>
      <c r="AX142" s="13" t="str">
        <f aca="false">IF(OR(AY142="",AW142="",R142="",R142&lt;=0,AW142&lt;=0),"",AY142/((R142^2/8)*(2*ACOS(1-2*AW142/R142)-SIN(2*ACOS(1-2*AW142/R142)))))</f>
        <v/>
      </c>
      <c r="AY142" s="9" t="str">
        <f aca="false">IF(OR(L142="",AZ142=""),"",MIN(L142,AZ142))</f>
        <v/>
      </c>
      <c r="AZ142" s="9" t="str">
        <f aca="false">IF(OR(L142="",R142="",N142=""),"",IF(OR(R142="",N142="",(0.94*R142)="",R142&lt;=0,(0.94*R142)&lt;=0),"",(1/Inputs!$B$9)*((R142^2/8)*((2*ACOS(1-2*(0.94*R142)/R142))-SIN((2*ACOS(1-2*(0.94*R142)/R142)))))*((((R142^2/8)*((2*ACOS(1-2*(0.94*R142)/R142))-SIN((2*ACOS(1-2*(0.94*R142)/R142)))))/((R142/2)*((2*ACOS(1-2*(0.94*R142)/R142)))))^(2/3))*SQRT(N142)))</f>
        <v/>
      </c>
      <c r="BA142" s="9" t="str">
        <f aca="false">IF(AY142="","",0.001*R142)</f>
        <v/>
      </c>
      <c r="BB142" s="9" t="str">
        <f aca="false">IF(AY142="","",0.94*R142)</f>
        <v/>
      </c>
      <c r="BC142" s="9" t="str">
        <f aca="false">IF(AY142="","",(BA142+BB142)/2)</f>
        <v/>
      </c>
      <c r="BD142" s="9" t="str">
        <f aca="false">IF(OR(R142="",N142="",BC142="",R142&lt;=0,BC142&lt;=0),"",(1/Inputs!$B$9)*((R142^2/8)*((2*ACOS(1-2*BC142/R142))-SIN((2*ACOS(1-2*BC142/R142)))))*((((R142^2/8)*((2*ACOS(1-2*BC142/R142))-SIN((2*ACOS(1-2*BC142/R142)))))/((R142/2)*((2*ACOS(1-2*BC142/R142)))))^(2/3))*SQRT(N142))</f>
        <v/>
      </c>
      <c r="BE142" s="9" t="str">
        <f aca="false">IF(AY142="","",IF(BD142&lt;AY142,BC142,BA142))</f>
        <v/>
      </c>
      <c r="BF142" s="9" t="str">
        <f aca="false">IF(AY142="","",IF(BD142&lt;AY142,BB142,BC142))</f>
        <v/>
      </c>
      <c r="BG142" s="9" t="str">
        <f aca="false">IF(AY142="","",(BE142+BF142)/2)</f>
        <v/>
      </c>
      <c r="BH142" s="9" t="str">
        <f aca="false">IF(OR(R142="",N142="",BG142="",R142&lt;=0,BG142&lt;=0),"",(1/Inputs!$B$9)*((R142^2/8)*((2*ACOS(1-2*BG142/R142))-SIN((2*ACOS(1-2*BG142/R142)))))*((((R142^2/8)*((2*ACOS(1-2*BG142/R142))-SIN((2*ACOS(1-2*BG142/R142)))))/((R142/2)*((2*ACOS(1-2*BG142/R142)))))^(2/3))*SQRT(N142))</f>
        <v/>
      </c>
      <c r="BI142" s="9" t="str">
        <f aca="false">IF(AY142="","",IF(BH142&lt;AY142,BG142,BE142))</f>
        <v/>
      </c>
      <c r="BJ142" s="9" t="str">
        <f aca="false">IF(AY142="","",IF(BH142&lt;AY142,BF142,BG142))</f>
        <v/>
      </c>
      <c r="BK142" s="9" t="str">
        <f aca="false">IF(AY142="","",(BI142+BJ142)/2)</f>
        <v/>
      </c>
      <c r="BL142" s="9" t="str">
        <f aca="false">IF(OR(R142="",N142="",BK142="",R142&lt;=0,BK142&lt;=0),"",(1/Inputs!$B$9)*((R142^2/8)*((2*ACOS(1-2*BK142/R142))-SIN((2*ACOS(1-2*BK142/R142)))))*((((R142^2/8)*((2*ACOS(1-2*BK142/R142))-SIN((2*ACOS(1-2*BK142/R142)))))/((R142/2)*((2*ACOS(1-2*BK142/R142)))))^(2/3))*SQRT(N142))</f>
        <v/>
      </c>
      <c r="BM142" s="9" t="str">
        <f aca="false">IF(AY142="","",IF(BL142&lt;AY142,BK142,BI142))</f>
        <v/>
      </c>
      <c r="BN142" s="9" t="str">
        <f aca="false">IF(AY142="","",IF(BL142&lt;AY142,BJ142,BK142))</f>
        <v/>
      </c>
      <c r="BO142" s="9" t="str">
        <f aca="false">IF(AY142="","",(BM142+BN142)/2)</f>
        <v/>
      </c>
      <c r="BP142" s="9" t="str">
        <f aca="false">IF(OR(R142="",N142="",BO142="",R142&lt;=0,BO142&lt;=0),"",(1/Inputs!$B$9)*((R142^2/8)*((2*ACOS(1-2*BO142/R142))-SIN((2*ACOS(1-2*BO142/R142)))))*((((R142^2/8)*((2*ACOS(1-2*BO142/R142))-SIN((2*ACOS(1-2*BO142/R142)))))/((R142/2)*((2*ACOS(1-2*BO142/R142)))))^(2/3))*SQRT(N142))</f>
        <v/>
      </c>
      <c r="BQ142" s="9" t="str">
        <f aca="false">IF(AY142="","",IF(BP142&lt;AY142,BO142,BM142))</f>
        <v/>
      </c>
      <c r="BR142" s="9" t="str">
        <f aca="false">IF(AY142="","",IF(BP142&lt;AY142,BN142,BO142))</f>
        <v/>
      </c>
      <c r="BS142" s="9" t="str">
        <f aca="false">IF(AY142="","",(BQ142+BR142)/2)</f>
        <v/>
      </c>
      <c r="BT142" s="9" t="str">
        <f aca="false">IF(OR(R142="",N142="",BS142="",R142&lt;=0,BS142&lt;=0),"",(1/Inputs!$B$9)*((R142^2/8)*((2*ACOS(1-2*BS142/R142))-SIN((2*ACOS(1-2*BS142/R142)))))*((((R142^2/8)*((2*ACOS(1-2*BS142/R142))-SIN((2*ACOS(1-2*BS142/R142)))))/((R142/2)*((2*ACOS(1-2*BS142/R142)))))^(2/3))*SQRT(N142))</f>
        <v/>
      </c>
      <c r="BU142" s="9" t="str">
        <f aca="false">IF(AY142="","",IF(BT142&lt;AY142,BS142,BQ142))</f>
        <v/>
      </c>
      <c r="BV142" s="9" t="str">
        <f aca="false">IF(AY142="","",IF(BT142&lt;AY142,BR142,BS142))</f>
        <v/>
      </c>
      <c r="BW142" s="9" t="str">
        <f aca="false">IF(AY142="","",(BU142+BV142)/2)</f>
        <v/>
      </c>
      <c r="BX142" s="9" t="str">
        <f aca="false">IF(OR(R142="",N142="",BW142="",R142&lt;=0,BW142&lt;=0),"",(1/Inputs!$B$9)*((R142^2/8)*((2*ACOS(1-2*BW142/R142))-SIN((2*ACOS(1-2*BW142/R142)))))*((((R142^2/8)*((2*ACOS(1-2*BW142/R142))-SIN((2*ACOS(1-2*BW142/R142)))))/((R142/2)*((2*ACOS(1-2*BW142/R142)))))^(2/3))*SQRT(N142))</f>
        <v/>
      </c>
      <c r="BY142" s="9" t="str">
        <f aca="false">IF(AY142="","",IF(BX142&lt;AY142,BW142,BU142))</f>
        <v/>
      </c>
      <c r="BZ142" s="9" t="str">
        <f aca="false">IF(AY142="","",IF(BX142&lt;AY142,BV142,BW142))</f>
        <v/>
      </c>
      <c r="CA142" s="9" t="str">
        <f aca="false">IF(AY142="","",(BY142+BZ142)/2)</f>
        <v/>
      </c>
      <c r="CB142" s="9" t="str">
        <f aca="false">IF(OR(R142="",N142="",CA142="",R142&lt;=0,CA142&lt;=0),"",(1/Inputs!$B$9)*((R142^2/8)*((2*ACOS(1-2*CA142/R142))-SIN((2*ACOS(1-2*CA142/R142)))))*((((R142^2/8)*((2*ACOS(1-2*CA142/R142))-SIN((2*ACOS(1-2*CA142/R142)))))/((R142/2)*((2*ACOS(1-2*CA142/R142)))))^(2/3))*SQRT(N142))</f>
        <v/>
      </c>
      <c r="CC142" s="9" t="str">
        <f aca="false">IF(AY142="","",IF(CB142&lt;AY142,CA142,BY142))</f>
        <v/>
      </c>
      <c r="CD142" s="9" t="str">
        <f aca="false">IF(AY142="","",IF(CB142&lt;AY142,BZ142,CA142))</f>
        <v/>
      </c>
      <c r="CE142" s="9" t="str">
        <f aca="false">IF(AY142="","",(CC142+CD142)/2)</f>
        <v/>
      </c>
    </row>
    <row r="143" customFormat="false" ht="15" hidden="false" customHeight="false" outlineLevel="0" collapsed="false">
      <c r="A143" s="9"/>
      <c r="B143" s="9"/>
      <c r="C143" s="14"/>
      <c r="D143" s="14"/>
      <c r="E143" s="14" t="n">
        <f aca="false">SUMIFS(CB_Tributaires!$C:$C,CB_Tributaires!$B:$B,$A143)</f>
        <v>0</v>
      </c>
      <c r="F143" s="14" t="n">
        <f aca="false">IF(D143="",E143,D143)</f>
        <v>0</v>
      </c>
      <c r="G143" s="9"/>
      <c r="H143" s="14"/>
      <c r="I143" s="14" t="str">
        <f aca="false">IF(A143="","",Inputs!$B$13/((IF(AS143="",Inputs!$B$18,AS143)+Inputs!$B$14)^Inputs!$B$15))</f>
        <v/>
      </c>
      <c r="J143" s="14" t="str">
        <f aca="false">IF(A143="","",0.000000278*IF(G143="",Inputs!$B$17,G143)*F143*I143)</f>
        <v/>
      </c>
      <c r="K143" s="14" t="str">
        <f aca="false">IF(A143="","",SUMIFS($L$4:$L$203,$B$4:$B$203,$A143))</f>
        <v/>
      </c>
      <c r="L143" s="14" t="str">
        <f aca="false">IF(A143="","",(J143+K143)*Inputs!$B$16)</f>
        <v/>
      </c>
      <c r="M143" s="14"/>
      <c r="N143" s="14" t="str">
        <f aca="false">IF(A143="","",IF(M143="",Inputs!$B$7,M143))</f>
        <v/>
      </c>
      <c r="O143" s="9" t="str">
        <f aca="false">IF(A143="","",IF(L143/Inputs!$B$10&lt;=AD143,Inputs!$F$5,IF(L143/Inputs!$B$10&gt;AM143,"OVERSIZE",INDEX(Inputs!$F$5:$F$14,MATCH(L143/Inputs!$B$10,AD143:AM143,1)+1))))</f>
        <v/>
      </c>
      <c r="P143" s="9"/>
      <c r="Q143" s="9" t="str">
        <f aca="false">IF(A143="","",IF(P143="",O143,P143))</f>
        <v/>
      </c>
      <c r="R143" s="14" t="str">
        <f aca="false">IF(OR(Q143="",Q143="OVERSIZE"),"",Q143/1000)</f>
        <v/>
      </c>
      <c r="S143" s="14" t="str">
        <f aca="false">IF(R143="","",(1/Inputs!$B$9)*(PI()*R143^2/4)*((R143/4)^(2/3))*SQRT(N143))</f>
        <v/>
      </c>
      <c r="T143" s="14" t="str">
        <f aca="false">IF(OR(S143="",L143=""),"",L143/(S143*Inputs!$B$10))</f>
        <v/>
      </c>
      <c r="U143" s="14" t="str">
        <f aca="false">IF(OR(R143="",L143=""),"",4*L143/(PI()*R143^2))</f>
        <v/>
      </c>
      <c r="V143" s="14"/>
      <c r="W143" s="14" t="str">
        <f aca="false">IF(A143="","",IF(A143=Inputs!$B$6,Inputs!$B$22,IF(B143="","",IFERROR(INDEX($X$4:$X$203,MATCH(B143,$A$4:$A$203,0))+IF(V143="",Inputs!$B$20,V143),""))))</f>
        <v/>
      </c>
      <c r="X143" s="14" t="str">
        <f aca="false">IF(OR(W143="",N143="",C143=""),"",W143+N143*C143)</f>
        <v/>
      </c>
      <c r="Y143" s="14"/>
      <c r="Z143" s="14"/>
      <c r="AA143" s="14" t="str">
        <f aca="false">IF(OR(Y143="",W143=""),"",Y143-W143)</f>
        <v/>
      </c>
      <c r="AB143" s="14" t="str">
        <f aca="false">IF(OR(Z143="",X143=""),"",Z143-X143)</f>
        <v/>
      </c>
      <c r="AC143" s="19" t="str">
        <f aca="false">IF(A143="","",IF(OR(T143&gt;1,AND(AV143&lt;&gt;"",AV143&lt;Inputs!$B$11),AND(AV143&lt;&gt;"",AV143&gt;Inputs!$B$12),AA143&lt;Inputs!$B$19,AB143&lt;Inputs!$B$19,N143&lt;Inputs!$B$7,N143&gt;Inputs!$B$8),"CHECK","OK"))</f>
        <v/>
      </c>
      <c r="AD143" s="9" t="str">
        <f aca="false">IF(A143="","",(1/Inputs!$B$9)*(PI()*(Inputs!$F$5/1000)^2/4)*((Inputs!$F$5/1000/4)^(2/3))*SQRT(N143))</f>
        <v/>
      </c>
      <c r="AE143" s="9" t="str">
        <f aca="false">IF(A143="","",(1/Inputs!$B$9)*(PI()*(Inputs!$F$6/1000)^2/4)*((Inputs!$F$6/1000/4)^(2/3))*SQRT(N143))</f>
        <v/>
      </c>
      <c r="AF143" s="9" t="str">
        <f aca="false">IF(A143="","",(1/Inputs!$B$9)*(PI()*(Inputs!$F$7/1000)^2/4)*((Inputs!$F$7/1000/4)^(2/3))*SQRT(N143))</f>
        <v/>
      </c>
      <c r="AG143" s="9" t="str">
        <f aca="false">IF(A143="","",(1/Inputs!$B$9)*(PI()*(Inputs!$F$8/1000)^2/4)*((Inputs!$F$8/1000/4)^(2/3))*SQRT(N143))</f>
        <v/>
      </c>
      <c r="AH143" s="9" t="str">
        <f aca="false">IF(A143="","",(1/Inputs!$B$9)*(PI()*(Inputs!$F$9/1000)^2/4)*((Inputs!$F$9/1000/4)^(2/3))*SQRT(N143))</f>
        <v/>
      </c>
      <c r="AI143" s="9" t="str">
        <f aca="false">IF(A143="","",(1/Inputs!$B$9)*(PI()*(Inputs!$F$10/1000)^2/4)*((Inputs!$F$10/1000/4)^(2/3))*SQRT(N143))</f>
        <v/>
      </c>
      <c r="AJ143" s="9" t="str">
        <f aca="false">IF(A143="","",(1/Inputs!$B$9)*(PI()*(Inputs!$F$11/1000)^2/4)*((Inputs!$F$11/1000/4)^(2/3))*SQRT(N143))</f>
        <v/>
      </c>
      <c r="AK143" s="9" t="str">
        <f aca="false">IF(A143="","",(1/Inputs!$B$9)*(PI()*(Inputs!$F$12/1000)^2/4)*((Inputs!$F$12/1000/4)^(2/3))*SQRT(N143))</f>
        <v/>
      </c>
      <c r="AL143" s="9" t="str">
        <f aca="false">IF(A143="","",(1/Inputs!$B$9)*(PI()*(Inputs!$F$13/1000)^2/4)*((Inputs!$F$13/1000/4)^(2/3))*SQRT(N143))</f>
        <v/>
      </c>
      <c r="AM143" s="9" t="str">
        <f aca="false">IF(A143="","",(1/Inputs!$B$9)*(PI()*(Inputs!$F$14/1000)^2/4)*((Inputs!$F$14/1000/4)^(2/3))*SQRT(N143))</f>
        <v/>
      </c>
      <c r="AN143" s="9" t="str">
        <f aca="false">IF(A143="","",COUNTIF($B$4:$B$203,$A143))</f>
        <v/>
      </c>
      <c r="AO143" s="9" t="str">
        <f aca="false">IF(A143="","",IF(AN143=0,"START","CONTINUOUS"))</f>
        <v/>
      </c>
      <c r="AP143" s="13" t="str">
        <f aca="false">IF(A143="","",IF(H143="",Inputs!$B$18,H143))</f>
        <v/>
      </c>
      <c r="AQ143" s="13" t="str">
        <f aca="false">IF(A143="","",IFERROR(maxifs($AS$4:$AS$203,$B$4:$B$203,$A143),""))</f>
        <v/>
      </c>
      <c r="AR143" s="13" t="str">
        <f aca="false">IF(A143="","",IF(OR(C143="",Inputs!$B$23=""),"",C143/(Inputs!$B$23*60)))</f>
        <v/>
      </c>
      <c r="AS143" s="13" t="str">
        <f aca="false">IF(A143="","",IF(AN143=0,AP143+AR143,IF(AQ143="",AP143+AR143,AQ143+AR143)))</f>
        <v/>
      </c>
      <c r="AT143" s="13" t="str">
        <f aca="false">IF(A143="","",U143)</f>
        <v/>
      </c>
      <c r="AU143" s="13" t="str">
        <f aca="false">IF(OR(R143="",N143=""),"",(1/Inputs!$B$9)*((R143/4)^(2/3))*SQRT(N143))</f>
        <v/>
      </c>
      <c r="AV143" s="13" t="str">
        <f aca="false">IF(A143="","",IF(AND(AT143="",AU143="",AX143=""),"",IF(OR(UPPER(TRIM(Inputs!$B$24))="MANNING",UPPER(TRIM(Inputs!$B$24))="M"),AU143,IF(OR(UPPER(TRIM(Inputs!$B$24))="PARTIAL",UPPER(TRIM(Inputs!$B$24))="P"),AX143,IF(OR(UPPER(TRIM(Inputs!$B$24))="MAX",UPPER(TRIM(Inputs!$B$24))="X"),MAX(IF(AT143="",0,AT143),IF(AU143="",0,AU143),IF(AX143="",0,AX143)),AT143)))))</f>
        <v/>
      </c>
      <c r="AW143" s="13" t="str">
        <f aca="false">IF(AY143="","",CE143)</f>
        <v/>
      </c>
      <c r="AX143" s="13" t="str">
        <f aca="false">IF(OR(AY143="",AW143="",R143="",R143&lt;=0,AW143&lt;=0),"",AY143/((R143^2/8)*(2*ACOS(1-2*AW143/R143)-SIN(2*ACOS(1-2*AW143/R143)))))</f>
        <v/>
      </c>
      <c r="AY143" s="9" t="str">
        <f aca="false">IF(OR(L143="",AZ143=""),"",MIN(L143,AZ143))</f>
        <v/>
      </c>
      <c r="AZ143" s="9" t="str">
        <f aca="false">IF(OR(L143="",R143="",N143=""),"",IF(OR(R143="",N143="",(0.94*R143)="",R143&lt;=0,(0.94*R143)&lt;=0),"",(1/Inputs!$B$9)*((R143^2/8)*((2*ACOS(1-2*(0.94*R143)/R143))-SIN((2*ACOS(1-2*(0.94*R143)/R143)))))*((((R143^2/8)*((2*ACOS(1-2*(0.94*R143)/R143))-SIN((2*ACOS(1-2*(0.94*R143)/R143)))))/((R143/2)*((2*ACOS(1-2*(0.94*R143)/R143)))))^(2/3))*SQRT(N143)))</f>
        <v/>
      </c>
      <c r="BA143" s="9" t="str">
        <f aca="false">IF(AY143="","",0.001*R143)</f>
        <v/>
      </c>
      <c r="BB143" s="9" t="str">
        <f aca="false">IF(AY143="","",0.94*R143)</f>
        <v/>
      </c>
      <c r="BC143" s="9" t="str">
        <f aca="false">IF(AY143="","",(BA143+BB143)/2)</f>
        <v/>
      </c>
      <c r="BD143" s="9" t="str">
        <f aca="false">IF(OR(R143="",N143="",BC143="",R143&lt;=0,BC143&lt;=0),"",(1/Inputs!$B$9)*((R143^2/8)*((2*ACOS(1-2*BC143/R143))-SIN((2*ACOS(1-2*BC143/R143)))))*((((R143^2/8)*((2*ACOS(1-2*BC143/R143))-SIN((2*ACOS(1-2*BC143/R143)))))/((R143/2)*((2*ACOS(1-2*BC143/R143)))))^(2/3))*SQRT(N143))</f>
        <v/>
      </c>
      <c r="BE143" s="9" t="str">
        <f aca="false">IF(AY143="","",IF(BD143&lt;AY143,BC143,BA143))</f>
        <v/>
      </c>
      <c r="BF143" s="9" t="str">
        <f aca="false">IF(AY143="","",IF(BD143&lt;AY143,BB143,BC143))</f>
        <v/>
      </c>
      <c r="BG143" s="9" t="str">
        <f aca="false">IF(AY143="","",(BE143+BF143)/2)</f>
        <v/>
      </c>
      <c r="BH143" s="9" t="str">
        <f aca="false">IF(OR(R143="",N143="",BG143="",R143&lt;=0,BG143&lt;=0),"",(1/Inputs!$B$9)*((R143^2/8)*((2*ACOS(1-2*BG143/R143))-SIN((2*ACOS(1-2*BG143/R143)))))*((((R143^2/8)*((2*ACOS(1-2*BG143/R143))-SIN((2*ACOS(1-2*BG143/R143)))))/((R143/2)*((2*ACOS(1-2*BG143/R143)))))^(2/3))*SQRT(N143))</f>
        <v/>
      </c>
      <c r="BI143" s="9" t="str">
        <f aca="false">IF(AY143="","",IF(BH143&lt;AY143,BG143,BE143))</f>
        <v/>
      </c>
      <c r="BJ143" s="9" t="str">
        <f aca="false">IF(AY143="","",IF(BH143&lt;AY143,BF143,BG143))</f>
        <v/>
      </c>
      <c r="BK143" s="9" t="str">
        <f aca="false">IF(AY143="","",(BI143+BJ143)/2)</f>
        <v/>
      </c>
      <c r="BL143" s="9" t="str">
        <f aca="false">IF(OR(R143="",N143="",BK143="",R143&lt;=0,BK143&lt;=0),"",(1/Inputs!$B$9)*((R143^2/8)*((2*ACOS(1-2*BK143/R143))-SIN((2*ACOS(1-2*BK143/R143)))))*((((R143^2/8)*((2*ACOS(1-2*BK143/R143))-SIN((2*ACOS(1-2*BK143/R143)))))/((R143/2)*((2*ACOS(1-2*BK143/R143)))))^(2/3))*SQRT(N143))</f>
        <v/>
      </c>
      <c r="BM143" s="9" t="str">
        <f aca="false">IF(AY143="","",IF(BL143&lt;AY143,BK143,BI143))</f>
        <v/>
      </c>
      <c r="BN143" s="9" t="str">
        <f aca="false">IF(AY143="","",IF(BL143&lt;AY143,BJ143,BK143))</f>
        <v/>
      </c>
      <c r="BO143" s="9" t="str">
        <f aca="false">IF(AY143="","",(BM143+BN143)/2)</f>
        <v/>
      </c>
      <c r="BP143" s="9" t="str">
        <f aca="false">IF(OR(R143="",N143="",BO143="",R143&lt;=0,BO143&lt;=0),"",(1/Inputs!$B$9)*((R143^2/8)*((2*ACOS(1-2*BO143/R143))-SIN((2*ACOS(1-2*BO143/R143)))))*((((R143^2/8)*((2*ACOS(1-2*BO143/R143))-SIN((2*ACOS(1-2*BO143/R143)))))/((R143/2)*((2*ACOS(1-2*BO143/R143)))))^(2/3))*SQRT(N143))</f>
        <v/>
      </c>
      <c r="BQ143" s="9" t="str">
        <f aca="false">IF(AY143="","",IF(BP143&lt;AY143,BO143,BM143))</f>
        <v/>
      </c>
      <c r="BR143" s="9" t="str">
        <f aca="false">IF(AY143="","",IF(BP143&lt;AY143,BN143,BO143))</f>
        <v/>
      </c>
      <c r="BS143" s="9" t="str">
        <f aca="false">IF(AY143="","",(BQ143+BR143)/2)</f>
        <v/>
      </c>
      <c r="BT143" s="9" t="str">
        <f aca="false">IF(OR(R143="",N143="",BS143="",R143&lt;=0,BS143&lt;=0),"",(1/Inputs!$B$9)*((R143^2/8)*((2*ACOS(1-2*BS143/R143))-SIN((2*ACOS(1-2*BS143/R143)))))*((((R143^2/8)*((2*ACOS(1-2*BS143/R143))-SIN((2*ACOS(1-2*BS143/R143)))))/((R143/2)*((2*ACOS(1-2*BS143/R143)))))^(2/3))*SQRT(N143))</f>
        <v/>
      </c>
      <c r="BU143" s="9" t="str">
        <f aca="false">IF(AY143="","",IF(BT143&lt;AY143,BS143,BQ143))</f>
        <v/>
      </c>
      <c r="BV143" s="9" t="str">
        <f aca="false">IF(AY143="","",IF(BT143&lt;AY143,BR143,BS143))</f>
        <v/>
      </c>
      <c r="BW143" s="9" t="str">
        <f aca="false">IF(AY143="","",(BU143+BV143)/2)</f>
        <v/>
      </c>
      <c r="BX143" s="9" t="str">
        <f aca="false">IF(OR(R143="",N143="",BW143="",R143&lt;=0,BW143&lt;=0),"",(1/Inputs!$B$9)*((R143^2/8)*((2*ACOS(1-2*BW143/R143))-SIN((2*ACOS(1-2*BW143/R143)))))*((((R143^2/8)*((2*ACOS(1-2*BW143/R143))-SIN((2*ACOS(1-2*BW143/R143)))))/((R143/2)*((2*ACOS(1-2*BW143/R143)))))^(2/3))*SQRT(N143))</f>
        <v/>
      </c>
      <c r="BY143" s="9" t="str">
        <f aca="false">IF(AY143="","",IF(BX143&lt;AY143,BW143,BU143))</f>
        <v/>
      </c>
      <c r="BZ143" s="9" t="str">
        <f aca="false">IF(AY143="","",IF(BX143&lt;AY143,BV143,BW143))</f>
        <v/>
      </c>
      <c r="CA143" s="9" t="str">
        <f aca="false">IF(AY143="","",(BY143+BZ143)/2)</f>
        <v/>
      </c>
      <c r="CB143" s="9" t="str">
        <f aca="false">IF(OR(R143="",N143="",CA143="",R143&lt;=0,CA143&lt;=0),"",(1/Inputs!$B$9)*((R143^2/8)*((2*ACOS(1-2*CA143/R143))-SIN((2*ACOS(1-2*CA143/R143)))))*((((R143^2/8)*((2*ACOS(1-2*CA143/R143))-SIN((2*ACOS(1-2*CA143/R143)))))/((R143/2)*((2*ACOS(1-2*CA143/R143)))))^(2/3))*SQRT(N143))</f>
        <v/>
      </c>
      <c r="CC143" s="9" t="str">
        <f aca="false">IF(AY143="","",IF(CB143&lt;AY143,CA143,BY143))</f>
        <v/>
      </c>
      <c r="CD143" s="9" t="str">
        <f aca="false">IF(AY143="","",IF(CB143&lt;AY143,BZ143,CA143))</f>
        <v/>
      </c>
      <c r="CE143" s="9" t="str">
        <f aca="false">IF(AY143="","",(CC143+CD143)/2)</f>
        <v/>
      </c>
    </row>
    <row r="144" customFormat="false" ht="15" hidden="false" customHeight="false" outlineLevel="0" collapsed="false">
      <c r="A144" s="9"/>
      <c r="B144" s="9"/>
      <c r="C144" s="14"/>
      <c r="D144" s="14"/>
      <c r="E144" s="14" t="n">
        <f aca="false">SUMIFS(CB_Tributaires!$C:$C,CB_Tributaires!$B:$B,$A144)</f>
        <v>0</v>
      </c>
      <c r="F144" s="14" t="n">
        <f aca="false">IF(D144="",E144,D144)</f>
        <v>0</v>
      </c>
      <c r="G144" s="9"/>
      <c r="H144" s="14"/>
      <c r="I144" s="14" t="str">
        <f aca="false">IF(A144="","",Inputs!$B$13/((IF(AS144="",Inputs!$B$18,AS144)+Inputs!$B$14)^Inputs!$B$15))</f>
        <v/>
      </c>
      <c r="J144" s="14" t="str">
        <f aca="false">IF(A144="","",0.000000278*IF(G144="",Inputs!$B$17,G144)*F144*I144)</f>
        <v/>
      </c>
      <c r="K144" s="14" t="str">
        <f aca="false">IF(A144="","",SUMIFS($L$4:$L$203,$B$4:$B$203,$A144))</f>
        <v/>
      </c>
      <c r="L144" s="14" t="str">
        <f aca="false">IF(A144="","",(J144+K144)*Inputs!$B$16)</f>
        <v/>
      </c>
      <c r="M144" s="14"/>
      <c r="N144" s="14" t="str">
        <f aca="false">IF(A144="","",IF(M144="",Inputs!$B$7,M144))</f>
        <v/>
      </c>
      <c r="O144" s="9" t="str">
        <f aca="false">IF(A144="","",IF(L144/Inputs!$B$10&lt;=AD144,Inputs!$F$5,IF(L144/Inputs!$B$10&gt;AM144,"OVERSIZE",INDEX(Inputs!$F$5:$F$14,MATCH(L144/Inputs!$B$10,AD144:AM144,1)+1))))</f>
        <v/>
      </c>
      <c r="P144" s="9"/>
      <c r="Q144" s="9" t="str">
        <f aca="false">IF(A144="","",IF(P144="",O144,P144))</f>
        <v/>
      </c>
      <c r="R144" s="14" t="str">
        <f aca="false">IF(OR(Q144="",Q144="OVERSIZE"),"",Q144/1000)</f>
        <v/>
      </c>
      <c r="S144" s="14" t="str">
        <f aca="false">IF(R144="","",(1/Inputs!$B$9)*(PI()*R144^2/4)*((R144/4)^(2/3))*SQRT(N144))</f>
        <v/>
      </c>
      <c r="T144" s="14" t="str">
        <f aca="false">IF(OR(S144="",L144=""),"",L144/(S144*Inputs!$B$10))</f>
        <v/>
      </c>
      <c r="U144" s="14" t="str">
        <f aca="false">IF(OR(R144="",L144=""),"",4*L144/(PI()*R144^2))</f>
        <v/>
      </c>
      <c r="V144" s="14"/>
      <c r="W144" s="14" t="str">
        <f aca="false">IF(A144="","",IF(A144=Inputs!$B$6,Inputs!$B$22,IF(B144="","",IFERROR(INDEX($X$4:$X$203,MATCH(B144,$A$4:$A$203,0))+IF(V144="",Inputs!$B$20,V144),""))))</f>
        <v/>
      </c>
      <c r="X144" s="14" t="str">
        <f aca="false">IF(OR(W144="",N144="",C144=""),"",W144+N144*C144)</f>
        <v/>
      </c>
      <c r="Y144" s="14"/>
      <c r="Z144" s="14"/>
      <c r="AA144" s="14" t="str">
        <f aca="false">IF(OR(Y144="",W144=""),"",Y144-W144)</f>
        <v/>
      </c>
      <c r="AB144" s="14" t="str">
        <f aca="false">IF(OR(Z144="",X144=""),"",Z144-X144)</f>
        <v/>
      </c>
      <c r="AC144" s="19" t="str">
        <f aca="false">IF(A144="","",IF(OR(T144&gt;1,AND(AV144&lt;&gt;"",AV144&lt;Inputs!$B$11),AND(AV144&lt;&gt;"",AV144&gt;Inputs!$B$12),AA144&lt;Inputs!$B$19,AB144&lt;Inputs!$B$19,N144&lt;Inputs!$B$7,N144&gt;Inputs!$B$8),"CHECK","OK"))</f>
        <v/>
      </c>
      <c r="AD144" s="9" t="str">
        <f aca="false">IF(A144="","",(1/Inputs!$B$9)*(PI()*(Inputs!$F$5/1000)^2/4)*((Inputs!$F$5/1000/4)^(2/3))*SQRT(N144))</f>
        <v/>
      </c>
      <c r="AE144" s="9" t="str">
        <f aca="false">IF(A144="","",(1/Inputs!$B$9)*(PI()*(Inputs!$F$6/1000)^2/4)*((Inputs!$F$6/1000/4)^(2/3))*SQRT(N144))</f>
        <v/>
      </c>
      <c r="AF144" s="9" t="str">
        <f aca="false">IF(A144="","",(1/Inputs!$B$9)*(PI()*(Inputs!$F$7/1000)^2/4)*((Inputs!$F$7/1000/4)^(2/3))*SQRT(N144))</f>
        <v/>
      </c>
      <c r="AG144" s="9" t="str">
        <f aca="false">IF(A144="","",(1/Inputs!$B$9)*(PI()*(Inputs!$F$8/1000)^2/4)*((Inputs!$F$8/1000/4)^(2/3))*SQRT(N144))</f>
        <v/>
      </c>
      <c r="AH144" s="9" t="str">
        <f aca="false">IF(A144="","",(1/Inputs!$B$9)*(PI()*(Inputs!$F$9/1000)^2/4)*((Inputs!$F$9/1000/4)^(2/3))*SQRT(N144))</f>
        <v/>
      </c>
      <c r="AI144" s="9" t="str">
        <f aca="false">IF(A144="","",(1/Inputs!$B$9)*(PI()*(Inputs!$F$10/1000)^2/4)*((Inputs!$F$10/1000/4)^(2/3))*SQRT(N144))</f>
        <v/>
      </c>
      <c r="AJ144" s="9" t="str">
        <f aca="false">IF(A144="","",(1/Inputs!$B$9)*(PI()*(Inputs!$F$11/1000)^2/4)*((Inputs!$F$11/1000/4)^(2/3))*SQRT(N144))</f>
        <v/>
      </c>
      <c r="AK144" s="9" t="str">
        <f aca="false">IF(A144="","",(1/Inputs!$B$9)*(PI()*(Inputs!$F$12/1000)^2/4)*((Inputs!$F$12/1000/4)^(2/3))*SQRT(N144))</f>
        <v/>
      </c>
      <c r="AL144" s="9" t="str">
        <f aca="false">IF(A144="","",(1/Inputs!$B$9)*(PI()*(Inputs!$F$13/1000)^2/4)*((Inputs!$F$13/1000/4)^(2/3))*SQRT(N144))</f>
        <v/>
      </c>
      <c r="AM144" s="9" t="str">
        <f aca="false">IF(A144="","",(1/Inputs!$B$9)*(PI()*(Inputs!$F$14/1000)^2/4)*((Inputs!$F$14/1000/4)^(2/3))*SQRT(N144))</f>
        <v/>
      </c>
      <c r="AN144" s="9" t="str">
        <f aca="false">IF(A144="","",COUNTIF($B$4:$B$203,$A144))</f>
        <v/>
      </c>
      <c r="AO144" s="9" t="str">
        <f aca="false">IF(A144="","",IF(AN144=0,"START","CONTINUOUS"))</f>
        <v/>
      </c>
      <c r="AP144" s="13" t="str">
        <f aca="false">IF(A144="","",IF(H144="",Inputs!$B$18,H144))</f>
        <v/>
      </c>
      <c r="AQ144" s="13" t="str">
        <f aca="false">IF(A144="","",IFERROR(maxifs($AS$4:$AS$203,$B$4:$B$203,$A144),""))</f>
        <v/>
      </c>
      <c r="AR144" s="13" t="str">
        <f aca="false">IF(A144="","",IF(OR(C144="",Inputs!$B$23=""),"",C144/(Inputs!$B$23*60)))</f>
        <v/>
      </c>
      <c r="AS144" s="13" t="str">
        <f aca="false">IF(A144="","",IF(AN144=0,AP144+AR144,IF(AQ144="",AP144+AR144,AQ144+AR144)))</f>
        <v/>
      </c>
      <c r="AT144" s="13" t="str">
        <f aca="false">IF(A144="","",U144)</f>
        <v/>
      </c>
      <c r="AU144" s="13" t="str">
        <f aca="false">IF(OR(R144="",N144=""),"",(1/Inputs!$B$9)*((R144/4)^(2/3))*SQRT(N144))</f>
        <v/>
      </c>
      <c r="AV144" s="13" t="str">
        <f aca="false">IF(A144="","",IF(AND(AT144="",AU144="",AX144=""),"",IF(OR(UPPER(TRIM(Inputs!$B$24))="MANNING",UPPER(TRIM(Inputs!$B$24))="M"),AU144,IF(OR(UPPER(TRIM(Inputs!$B$24))="PARTIAL",UPPER(TRIM(Inputs!$B$24))="P"),AX144,IF(OR(UPPER(TRIM(Inputs!$B$24))="MAX",UPPER(TRIM(Inputs!$B$24))="X"),MAX(IF(AT144="",0,AT144),IF(AU144="",0,AU144),IF(AX144="",0,AX144)),AT144)))))</f>
        <v/>
      </c>
      <c r="AW144" s="13" t="str">
        <f aca="false">IF(AY144="","",CE144)</f>
        <v/>
      </c>
      <c r="AX144" s="13" t="str">
        <f aca="false">IF(OR(AY144="",AW144="",R144="",R144&lt;=0,AW144&lt;=0),"",AY144/((R144^2/8)*(2*ACOS(1-2*AW144/R144)-SIN(2*ACOS(1-2*AW144/R144)))))</f>
        <v/>
      </c>
      <c r="AY144" s="9" t="str">
        <f aca="false">IF(OR(L144="",AZ144=""),"",MIN(L144,AZ144))</f>
        <v/>
      </c>
      <c r="AZ144" s="9" t="str">
        <f aca="false">IF(OR(L144="",R144="",N144=""),"",IF(OR(R144="",N144="",(0.94*R144)="",R144&lt;=0,(0.94*R144)&lt;=0),"",(1/Inputs!$B$9)*((R144^2/8)*((2*ACOS(1-2*(0.94*R144)/R144))-SIN((2*ACOS(1-2*(0.94*R144)/R144)))))*((((R144^2/8)*((2*ACOS(1-2*(0.94*R144)/R144))-SIN((2*ACOS(1-2*(0.94*R144)/R144)))))/((R144/2)*((2*ACOS(1-2*(0.94*R144)/R144)))))^(2/3))*SQRT(N144)))</f>
        <v/>
      </c>
      <c r="BA144" s="9" t="str">
        <f aca="false">IF(AY144="","",0.001*R144)</f>
        <v/>
      </c>
      <c r="BB144" s="9" t="str">
        <f aca="false">IF(AY144="","",0.94*R144)</f>
        <v/>
      </c>
      <c r="BC144" s="9" t="str">
        <f aca="false">IF(AY144="","",(BA144+BB144)/2)</f>
        <v/>
      </c>
      <c r="BD144" s="9" t="str">
        <f aca="false">IF(OR(R144="",N144="",BC144="",R144&lt;=0,BC144&lt;=0),"",(1/Inputs!$B$9)*((R144^2/8)*((2*ACOS(1-2*BC144/R144))-SIN((2*ACOS(1-2*BC144/R144)))))*((((R144^2/8)*((2*ACOS(1-2*BC144/R144))-SIN((2*ACOS(1-2*BC144/R144)))))/((R144/2)*((2*ACOS(1-2*BC144/R144)))))^(2/3))*SQRT(N144))</f>
        <v/>
      </c>
      <c r="BE144" s="9" t="str">
        <f aca="false">IF(AY144="","",IF(BD144&lt;AY144,BC144,BA144))</f>
        <v/>
      </c>
      <c r="BF144" s="9" t="str">
        <f aca="false">IF(AY144="","",IF(BD144&lt;AY144,BB144,BC144))</f>
        <v/>
      </c>
      <c r="BG144" s="9" t="str">
        <f aca="false">IF(AY144="","",(BE144+BF144)/2)</f>
        <v/>
      </c>
      <c r="BH144" s="9" t="str">
        <f aca="false">IF(OR(R144="",N144="",BG144="",R144&lt;=0,BG144&lt;=0),"",(1/Inputs!$B$9)*((R144^2/8)*((2*ACOS(1-2*BG144/R144))-SIN((2*ACOS(1-2*BG144/R144)))))*((((R144^2/8)*((2*ACOS(1-2*BG144/R144))-SIN((2*ACOS(1-2*BG144/R144)))))/((R144/2)*((2*ACOS(1-2*BG144/R144)))))^(2/3))*SQRT(N144))</f>
        <v/>
      </c>
      <c r="BI144" s="9" t="str">
        <f aca="false">IF(AY144="","",IF(BH144&lt;AY144,BG144,BE144))</f>
        <v/>
      </c>
      <c r="BJ144" s="9" t="str">
        <f aca="false">IF(AY144="","",IF(BH144&lt;AY144,BF144,BG144))</f>
        <v/>
      </c>
      <c r="BK144" s="9" t="str">
        <f aca="false">IF(AY144="","",(BI144+BJ144)/2)</f>
        <v/>
      </c>
      <c r="BL144" s="9" t="str">
        <f aca="false">IF(OR(R144="",N144="",BK144="",R144&lt;=0,BK144&lt;=0),"",(1/Inputs!$B$9)*((R144^2/8)*((2*ACOS(1-2*BK144/R144))-SIN((2*ACOS(1-2*BK144/R144)))))*((((R144^2/8)*((2*ACOS(1-2*BK144/R144))-SIN((2*ACOS(1-2*BK144/R144)))))/((R144/2)*((2*ACOS(1-2*BK144/R144)))))^(2/3))*SQRT(N144))</f>
        <v/>
      </c>
      <c r="BM144" s="9" t="str">
        <f aca="false">IF(AY144="","",IF(BL144&lt;AY144,BK144,BI144))</f>
        <v/>
      </c>
      <c r="BN144" s="9" t="str">
        <f aca="false">IF(AY144="","",IF(BL144&lt;AY144,BJ144,BK144))</f>
        <v/>
      </c>
      <c r="BO144" s="9" t="str">
        <f aca="false">IF(AY144="","",(BM144+BN144)/2)</f>
        <v/>
      </c>
      <c r="BP144" s="9" t="str">
        <f aca="false">IF(OR(R144="",N144="",BO144="",R144&lt;=0,BO144&lt;=0),"",(1/Inputs!$B$9)*((R144^2/8)*((2*ACOS(1-2*BO144/R144))-SIN((2*ACOS(1-2*BO144/R144)))))*((((R144^2/8)*((2*ACOS(1-2*BO144/R144))-SIN((2*ACOS(1-2*BO144/R144)))))/((R144/2)*((2*ACOS(1-2*BO144/R144)))))^(2/3))*SQRT(N144))</f>
        <v/>
      </c>
      <c r="BQ144" s="9" t="str">
        <f aca="false">IF(AY144="","",IF(BP144&lt;AY144,BO144,BM144))</f>
        <v/>
      </c>
      <c r="BR144" s="9" t="str">
        <f aca="false">IF(AY144="","",IF(BP144&lt;AY144,BN144,BO144))</f>
        <v/>
      </c>
      <c r="BS144" s="9" t="str">
        <f aca="false">IF(AY144="","",(BQ144+BR144)/2)</f>
        <v/>
      </c>
      <c r="BT144" s="9" t="str">
        <f aca="false">IF(OR(R144="",N144="",BS144="",R144&lt;=0,BS144&lt;=0),"",(1/Inputs!$B$9)*((R144^2/8)*((2*ACOS(1-2*BS144/R144))-SIN((2*ACOS(1-2*BS144/R144)))))*((((R144^2/8)*((2*ACOS(1-2*BS144/R144))-SIN((2*ACOS(1-2*BS144/R144)))))/((R144/2)*((2*ACOS(1-2*BS144/R144)))))^(2/3))*SQRT(N144))</f>
        <v/>
      </c>
      <c r="BU144" s="9" t="str">
        <f aca="false">IF(AY144="","",IF(BT144&lt;AY144,BS144,BQ144))</f>
        <v/>
      </c>
      <c r="BV144" s="9" t="str">
        <f aca="false">IF(AY144="","",IF(BT144&lt;AY144,BR144,BS144))</f>
        <v/>
      </c>
      <c r="BW144" s="9" t="str">
        <f aca="false">IF(AY144="","",(BU144+BV144)/2)</f>
        <v/>
      </c>
      <c r="BX144" s="9" t="str">
        <f aca="false">IF(OR(R144="",N144="",BW144="",R144&lt;=0,BW144&lt;=0),"",(1/Inputs!$B$9)*((R144^2/8)*((2*ACOS(1-2*BW144/R144))-SIN((2*ACOS(1-2*BW144/R144)))))*((((R144^2/8)*((2*ACOS(1-2*BW144/R144))-SIN((2*ACOS(1-2*BW144/R144)))))/((R144/2)*((2*ACOS(1-2*BW144/R144)))))^(2/3))*SQRT(N144))</f>
        <v/>
      </c>
      <c r="BY144" s="9" t="str">
        <f aca="false">IF(AY144="","",IF(BX144&lt;AY144,BW144,BU144))</f>
        <v/>
      </c>
      <c r="BZ144" s="9" t="str">
        <f aca="false">IF(AY144="","",IF(BX144&lt;AY144,BV144,BW144))</f>
        <v/>
      </c>
      <c r="CA144" s="9" t="str">
        <f aca="false">IF(AY144="","",(BY144+BZ144)/2)</f>
        <v/>
      </c>
      <c r="CB144" s="9" t="str">
        <f aca="false">IF(OR(R144="",N144="",CA144="",R144&lt;=0,CA144&lt;=0),"",(1/Inputs!$B$9)*((R144^2/8)*((2*ACOS(1-2*CA144/R144))-SIN((2*ACOS(1-2*CA144/R144)))))*((((R144^2/8)*((2*ACOS(1-2*CA144/R144))-SIN((2*ACOS(1-2*CA144/R144)))))/((R144/2)*((2*ACOS(1-2*CA144/R144)))))^(2/3))*SQRT(N144))</f>
        <v/>
      </c>
      <c r="CC144" s="9" t="str">
        <f aca="false">IF(AY144="","",IF(CB144&lt;AY144,CA144,BY144))</f>
        <v/>
      </c>
      <c r="CD144" s="9" t="str">
        <f aca="false">IF(AY144="","",IF(CB144&lt;AY144,BZ144,CA144))</f>
        <v/>
      </c>
      <c r="CE144" s="9" t="str">
        <f aca="false">IF(AY144="","",(CC144+CD144)/2)</f>
        <v/>
      </c>
    </row>
    <row r="145" customFormat="false" ht="15" hidden="false" customHeight="false" outlineLevel="0" collapsed="false">
      <c r="A145" s="9"/>
      <c r="B145" s="9"/>
      <c r="C145" s="14"/>
      <c r="D145" s="14"/>
      <c r="E145" s="14" t="n">
        <f aca="false">SUMIFS(CB_Tributaires!$C:$C,CB_Tributaires!$B:$B,$A145)</f>
        <v>0</v>
      </c>
      <c r="F145" s="14" t="n">
        <f aca="false">IF(D145="",E145,D145)</f>
        <v>0</v>
      </c>
      <c r="G145" s="9"/>
      <c r="H145" s="14"/>
      <c r="I145" s="14" t="str">
        <f aca="false">IF(A145="","",Inputs!$B$13/((IF(AS145="",Inputs!$B$18,AS145)+Inputs!$B$14)^Inputs!$B$15))</f>
        <v/>
      </c>
      <c r="J145" s="14" t="str">
        <f aca="false">IF(A145="","",0.000000278*IF(G145="",Inputs!$B$17,G145)*F145*I145)</f>
        <v/>
      </c>
      <c r="K145" s="14" t="str">
        <f aca="false">IF(A145="","",SUMIFS($L$4:$L$203,$B$4:$B$203,$A145))</f>
        <v/>
      </c>
      <c r="L145" s="14" t="str">
        <f aca="false">IF(A145="","",(J145+K145)*Inputs!$B$16)</f>
        <v/>
      </c>
      <c r="M145" s="14"/>
      <c r="N145" s="14" t="str">
        <f aca="false">IF(A145="","",IF(M145="",Inputs!$B$7,M145))</f>
        <v/>
      </c>
      <c r="O145" s="9" t="str">
        <f aca="false">IF(A145="","",IF(L145/Inputs!$B$10&lt;=AD145,Inputs!$F$5,IF(L145/Inputs!$B$10&gt;AM145,"OVERSIZE",INDEX(Inputs!$F$5:$F$14,MATCH(L145/Inputs!$B$10,AD145:AM145,1)+1))))</f>
        <v/>
      </c>
      <c r="P145" s="9"/>
      <c r="Q145" s="9" t="str">
        <f aca="false">IF(A145="","",IF(P145="",O145,P145))</f>
        <v/>
      </c>
      <c r="R145" s="14" t="str">
        <f aca="false">IF(OR(Q145="",Q145="OVERSIZE"),"",Q145/1000)</f>
        <v/>
      </c>
      <c r="S145" s="14" t="str">
        <f aca="false">IF(R145="","",(1/Inputs!$B$9)*(PI()*R145^2/4)*((R145/4)^(2/3))*SQRT(N145))</f>
        <v/>
      </c>
      <c r="T145" s="14" t="str">
        <f aca="false">IF(OR(S145="",L145=""),"",L145/(S145*Inputs!$B$10))</f>
        <v/>
      </c>
      <c r="U145" s="14" t="str">
        <f aca="false">IF(OR(R145="",L145=""),"",4*L145/(PI()*R145^2))</f>
        <v/>
      </c>
      <c r="V145" s="14"/>
      <c r="W145" s="14" t="str">
        <f aca="false">IF(A145="","",IF(A145=Inputs!$B$6,Inputs!$B$22,IF(B145="","",IFERROR(INDEX($X$4:$X$203,MATCH(B145,$A$4:$A$203,0))+IF(V145="",Inputs!$B$20,V145),""))))</f>
        <v/>
      </c>
      <c r="X145" s="14" t="str">
        <f aca="false">IF(OR(W145="",N145="",C145=""),"",W145+N145*C145)</f>
        <v/>
      </c>
      <c r="Y145" s="14"/>
      <c r="Z145" s="14"/>
      <c r="AA145" s="14" t="str">
        <f aca="false">IF(OR(Y145="",W145=""),"",Y145-W145)</f>
        <v/>
      </c>
      <c r="AB145" s="14" t="str">
        <f aca="false">IF(OR(Z145="",X145=""),"",Z145-X145)</f>
        <v/>
      </c>
      <c r="AC145" s="19" t="str">
        <f aca="false">IF(A145="","",IF(OR(T145&gt;1,AND(AV145&lt;&gt;"",AV145&lt;Inputs!$B$11),AND(AV145&lt;&gt;"",AV145&gt;Inputs!$B$12),AA145&lt;Inputs!$B$19,AB145&lt;Inputs!$B$19,N145&lt;Inputs!$B$7,N145&gt;Inputs!$B$8),"CHECK","OK"))</f>
        <v/>
      </c>
      <c r="AD145" s="9" t="str">
        <f aca="false">IF(A145="","",(1/Inputs!$B$9)*(PI()*(Inputs!$F$5/1000)^2/4)*((Inputs!$F$5/1000/4)^(2/3))*SQRT(N145))</f>
        <v/>
      </c>
      <c r="AE145" s="9" t="str">
        <f aca="false">IF(A145="","",(1/Inputs!$B$9)*(PI()*(Inputs!$F$6/1000)^2/4)*((Inputs!$F$6/1000/4)^(2/3))*SQRT(N145))</f>
        <v/>
      </c>
      <c r="AF145" s="9" t="str">
        <f aca="false">IF(A145="","",(1/Inputs!$B$9)*(PI()*(Inputs!$F$7/1000)^2/4)*((Inputs!$F$7/1000/4)^(2/3))*SQRT(N145))</f>
        <v/>
      </c>
      <c r="AG145" s="9" t="str">
        <f aca="false">IF(A145="","",(1/Inputs!$B$9)*(PI()*(Inputs!$F$8/1000)^2/4)*((Inputs!$F$8/1000/4)^(2/3))*SQRT(N145))</f>
        <v/>
      </c>
      <c r="AH145" s="9" t="str">
        <f aca="false">IF(A145="","",(1/Inputs!$B$9)*(PI()*(Inputs!$F$9/1000)^2/4)*((Inputs!$F$9/1000/4)^(2/3))*SQRT(N145))</f>
        <v/>
      </c>
      <c r="AI145" s="9" t="str">
        <f aca="false">IF(A145="","",(1/Inputs!$B$9)*(PI()*(Inputs!$F$10/1000)^2/4)*((Inputs!$F$10/1000/4)^(2/3))*SQRT(N145))</f>
        <v/>
      </c>
      <c r="AJ145" s="9" t="str">
        <f aca="false">IF(A145="","",(1/Inputs!$B$9)*(PI()*(Inputs!$F$11/1000)^2/4)*((Inputs!$F$11/1000/4)^(2/3))*SQRT(N145))</f>
        <v/>
      </c>
      <c r="AK145" s="9" t="str">
        <f aca="false">IF(A145="","",(1/Inputs!$B$9)*(PI()*(Inputs!$F$12/1000)^2/4)*((Inputs!$F$12/1000/4)^(2/3))*SQRT(N145))</f>
        <v/>
      </c>
      <c r="AL145" s="9" t="str">
        <f aca="false">IF(A145="","",(1/Inputs!$B$9)*(PI()*(Inputs!$F$13/1000)^2/4)*((Inputs!$F$13/1000/4)^(2/3))*SQRT(N145))</f>
        <v/>
      </c>
      <c r="AM145" s="9" t="str">
        <f aca="false">IF(A145="","",(1/Inputs!$B$9)*(PI()*(Inputs!$F$14/1000)^2/4)*((Inputs!$F$14/1000/4)^(2/3))*SQRT(N145))</f>
        <v/>
      </c>
      <c r="AN145" s="9" t="str">
        <f aca="false">IF(A145="","",COUNTIF($B$4:$B$203,$A145))</f>
        <v/>
      </c>
      <c r="AO145" s="9" t="str">
        <f aca="false">IF(A145="","",IF(AN145=0,"START","CONTINUOUS"))</f>
        <v/>
      </c>
      <c r="AP145" s="13" t="str">
        <f aca="false">IF(A145="","",IF(H145="",Inputs!$B$18,H145))</f>
        <v/>
      </c>
      <c r="AQ145" s="13" t="str">
        <f aca="false">IF(A145="","",IFERROR(maxifs($AS$4:$AS$203,$B$4:$B$203,$A145),""))</f>
        <v/>
      </c>
      <c r="AR145" s="13" t="str">
        <f aca="false">IF(A145="","",IF(OR(C145="",Inputs!$B$23=""),"",C145/(Inputs!$B$23*60)))</f>
        <v/>
      </c>
      <c r="AS145" s="13" t="str">
        <f aca="false">IF(A145="","",IF(AN145=0,AP145+AR145,IF(AQ145="",AP145+AR145,AQ145+AR145)))</f>
        <v/>
      </c>
      <c r="AT145" s="13" t="str">
        <f aca="false">IF(A145="","",U145)</f>
        <v/>
      </c>
      <c r="AU145" s="13" t="str">
        <f aca="false">IF(OR(R145="",N145=""),"",(1/Inputs!$B$9)*((R145/4)^(2/3))*SQRT(N145))</f>
        <v/>
      </c>
      <c r="AV145" s="13" t="str">
        <f aca="false">IF(A145="","",IF(AND(AT145="",AU145="",AX145=""),"",IF(OR(UPPER(TRIM(Inputs!$B$24))="MANNING",UPPER(TRIM(Inputs!$B$24))="M"),AU145,IF(OR(UPPER(TRIM(Inputs!$B$24))="PARTIAL",UPPER(TRIM(Inputs!$B$24))="P"),AX145,IF(OR(UPPER(TRIM(Inputs!$B$24))="MAX",UPPER(TRIM(Inputs!$B$24))="X"),MAX(IF(AT145="",0,AT145),IF(AU145="",0,AU145),IF(AX145="",0,AX145)),AT145)))))</f>
        <v/>
      </c>
      <c r="AW145" s="13" t="str">
        <f aca="false">IF(AY145="","",CE145)</f>
        <v/>
      </c>
      <c r="AX145" s="13" t="str">
        <f aca="false">IF(OR(AY145="",AW145="",R145="",R145&lt;=0,AW145&lt;=0),"",AY145/((R145^2/8)*(2*ACOS(1-2*AW145/R145)-SIN(2*ACOS(1-2*AW145/R145)))))</f>
        <v/>
      </c>
      <c r="AY145" s="9" t="str">
        <f aca="false">IF(OR(L145="",AZ145=""),"",MIN(L145,AZ145))</f>
        <v/>
      </c>
      <c r="AZ145" s="9" t="str">
        <f aca="false">IF(OR(L145="",R145="",N145=""),"",IF(OR(R145="",N145="",(0.94*R145)="",R145&lt;=0,(0.94*R145)&lt;=0),"",(1/Inputs!$B$9)*((R145^2/8)*((2*ACOS(1-2*(0.94*R145)/R145))-SIN((2*ACOS(1-2*(0.94*R145)/R145)))))*((((R145^2/8)*((2*ACOS(1-2*(0.94*R145)/R145))-SIN((2*ACOS(1-2*(0.94*R145)/R145)))))/((R145/2)*((2*ACOS(1-2*(0.94*R145)/R145)))))^(2/3))*SQRT(N145)))</f>
        <v/>
      </c>
      <c r="BA145" s="9" t="str">
        <f aca="false">IF(AY145="","",0.001*R145)</f>
        <v/>
      </c>
      <c r="BB145" s="9" t="str">
        <f aca="false">IF(AY145="","",0.94*R145)</f>
        <v/>
      </c>
      <c r="BC145" s="9" t="str">
        <f aca="false">IF(AY145="","",(BA145+BB145)/2)</f>
        <v/>
      </c>
      <c r="BD145" s="9" t="str">
        <f aca="false">IF(OR(R145="",N145="",BC145="",R145&lt;=0,BC145&lt;=0),"",(1/Inputs!$B$9)*((R145^2/8)*((2*ACOS(1-2*BC145/R145))-SIN((2*ACOS(1-2*BC145/R145)))))*((((R145^2/8)*((2*ACOS(1-2*BC145/R145))-SIN((2*ACOS(1-2*BC145/R145)))))/((R145/2)*((2*ACOS(1-2*BC145/R145)))))^(2/3))*SQRT(N145))</f>
        <v/>
      </c>
      <c r="BE145" s="9" t="str">
        <f aca="false">IF(AY145="","",IF(BD145&lt;AY145,BC145,BA145))</f>
        <v/>
      </c>
      <c r="BF145" s="9" t="str">
        <f aca="false">IF(AY145="","",IF(BD145&lt;AY145,BB145,BC145))</f>
        <v/>
      </c>
      <c r="BG145" s="9" t="str">
        <f aca="false">IF(AY145="","",(BE145+BF145)/2)</f>
        <v/>
      </c>
      <c r="BH145" s="9" t="str">
        <f aca="false">IF(OR(R145="",N145="",BG145="",R145&lt;=0,BG145&lt;=0),"",(1/Inputs!$B$9)*((R145^2/8)*((2*ACOS(1-2*BG145/R145))-SIN((2*ACOS(1-2*BG145/R145)))))*((((R145^2/8)*((2*ACOS(1-2*BG145/R145))-SIN((2*ACOS(1-2*BG145/R145)))))/((R145/2)*((2*ACOS(1-2*BG145/R145)))))^(2/3))*SQRT(N145))</f>
        <v/>
      </c>
      <c r="BI145" s="9" t="str">
        <f aca="false">IF(AY145="","",IF(BH145&lt;AY145,BG145,BE145))</f>
        <v/>
      </c>
      <c r="BJ145" s="9" t="str">
        <f aca="false">IF(AY145="","",IF(BH145&lt;AY145,BF145,BG145))</f>
        <v/>
      </c>
      <c r="BK145" s="9" t="str">
        <f aca="false">IF(AY145="","",(BI145+BJ145)/2)</f>
        <v/>
      </c>
      <c r="BL145" s="9" t="str">
        <f aca="false">IF(OR(R145="",N145="",BK145="",R145&lt;=0,BK145&lt;=0),"",(1/Inputs!$B$9)*((R145^2/8)*((2*ACOS(1-2*BK145/R145))-SIN((2*ACOS(1-2*BK145/R145)))))*((((R145^2/8)*((2*ACOS(1-2*BK145/R145))-SIN((2*ACOS(1-2*BK145/R145)))))/((R145/2)*((2*ACOS(1-2*BK145/R145)))))^(2/3))*SQRT(N145))</f>
        <v/>
      </c>
      <c r="BM145" s="9" t="str">
        <f aca="false">IF(AY145="","",IF(BL145&lt;AY145,BK145,BI145))</f>
        <v/>
      </c>
      <c r="BN145" s="9" t="str">
        <f aca="false">IF(AY145="","",IF(BL145&lt;AY145,BJ145,BK145))</f>
        <v/>
      </c>
      <c r="BO145" s="9" t="str">
        <f aca="false">IF(AY145="","",(BM145+BN145)/2)</f>
        <v/>
      </c>
      <c r="BP145" s="9" t="str">
        <f aca="false">IF(OR(R145="",N145="",BO145="",R145&lt;=0,BO145&lt;=0),"",(1/Inputs!$B$9)*((R145^2/8)*((2*ACOS(1-2*BO145/R145))-SIN((2*ACOS(1-2*BO145/R145)))))*((((R145^2/8)*((2*ACOS(1-2*BO145/R145))-SIN((2*ACOS(1-2*BO145/R145)))))/((R145/2)*((2*ACOS(1-2*BO145/R145)))))^(2/3))*SQRT(N145))</f>
        <v/>
      </c>
      <c r="BQ145" s="9" t="str">
        <f aca="false">IF(AY145="","",IF(BP145&lt;AY145,BO145,BM145))</f>
        <v/>
      </c>
      <c r="BR145" s="9" t="str">
        <f aca="false">IF(AY145="","",IF(BP145&lt;AY145,BN145,BO145))</f>
        <v/>
      </c>
      <c r="BS145" s="9" t="str">
        <f aca="false">IF(AY145="","",(BQ145+BR145)/2)</f>
        <v/>
      </c>
      <c r="BT145" s="9" t="str">
        <f aca="false">IF(OR(R145="",N145="",BS145="",R145&lt;=0,BS145&lt;=0),"",(1/Inputs!$B$9)*((R145^2/8)*((2*ACOS(1-2*BS145/R145))-SIN((2*ACOS(1-2*BS145/R145)))))*((((R145^2/8)*((2*ACOS(1-2*BS145/R145))-SIN((2*ACOS(1-2*BS145/R145)))))/((R145/2)*((2*ACOS(1-2*BS145/R145)))))^(2/3))*SQRT(N145))</f>
        <v/>
      </c>
      <c r="BU145" s="9" t="str">
        <f aca="false">IF(AY145="","",IF(BT145&lt;AY145,BS145,BQ145))</f>
        <v/>
      </c>
      <c r="BV145" s="9" t="str">
        <f aca="false">IF(AY145="","",IF(BT145&lt;AY145,BR145,BS145))</f>
        <v/>
      </c>
      <c r="BW145" s="9" t="str">
        <f aca="false">IF(AY145="","",(BU145+BV145)/2)</f>
        <v/>
      </c>
      <c r="BX145" s="9" t="str">
        <f aca="false">IF(OR(R145="",N145="",BW145="",R145&lt;=0,BW145&lt;=0),"",(1/Inputs!$B$9)*((R145^2/8)*((2*ACOS(1-2*BW145/R145))-SIN((2*ACOS(1-2*BW145/R145)))))*((((R145^2/8)*((2*ACOS(1-2*BW145/R145))-SIN((2*ACOS(1-2*BW145/R145)))))/((R145/2)*((2*ACOS(1-2*BW145/R145)))))^(2/3))*SQRT(N145))</f>
        <v/>
      </c>
      <c r="BY145" s="9" t="str">
        <f aca="false">IF(AY145="","",IF(BX145&lt;AY145,BW145,BU145))</f>
        <v/>
      </c>
      <c r="BZ145" s="9" t="str">
        <f aca="false">IF(AY145="","",IF(BX145&lt;AY145,BV145,BW145))</f>
        <v/>
      </c>
      <c r="CA145" s="9" t="str">
        <f aca="false">IF(AY145="","",(BY145+BZ145)/2)</f>
        <v/>
      </c>
      <c r="CB145" s="9" t="str">
        <f aca="false">IF(OR(R145="",N145="",CA145="",R145&lt;=0,CA145&lt;=0),"",(1/Inputs!$B$9)*((R145^2/8)*((2*ACOS(1-2*CA145/R145))-SIN((2*ACOS(1-2*CA145/R145)))))*((((R145^2/8)*((2*ACOS(1-2*CA145/R145))-SIN((2*ACOS(1-2*CA145/R145)))))/((R145/2)*((2*ACOS(1-2*CA145/R145)))))^(2/3))*SQRT(N145))</f>
        <v/>
      </c>
      <c r="CC145" s="9" t="str">
        <f aca="false">IF(AY145="","",IF(CB145&lt;AY145,CA145,BY145))</f>
        <v/>
      </c>
      <c r="CD145" s="9" t="str">
        <f aca="false">IF(AY145="","",IF(CB145&lt;AY145,BZ145,CA145))</f>
        <v/>
      </c>
      <c r="CE145" s="9" t="str">
        <f aca="false">IF(AY145="","",(CC145+CD145)/2)</f>
        <v/>
      </c>
    </row>
    <row r="146" customFormat="false" ht="15" hidden="false" customHeight="false" outlineLevel="0" collapsed="false">
      <c r="A146" s="9"/>
      <c r="B146" s="9"/>
      <c r="C146" s="14"/>
      <c r="D146" s="14"/>
      <c r="E146" s="14" t="n">
        <f aca="false">SUMIFS(CB_Tributaires!$C:$C,CB_Tributaires!$B:$B,$A146)</f>
        <v>0</v>
      </c>
      <c r="F146" s="14" t="n">
        <f aca="false">IF(D146="",E146,D146)</f>
        <v>0</v>
      </c>
      <c r="G146" s="9"/>
      <c r="H146" s="14"/>
      <c r="I146" s="14" t="str">
        <f aca="false">IF(A146="","",Inputs!$B$13/((IF(AS146="",Inputs!$B$18,AS146)+Inputs!$B$14)^Inputs!$B$15))</f>
        <v/>
      </c>
      <c r="J146" s="14" t="str">
        <f aca="false">IF(A146="","",0.000000278*IF(G146="",Inputs!$B$17,G146)*F146*I146)</f>
        <v/>
      </c>
      <c r="K146" s="14" t="str">
        <f aca="false">IF(A146="","",SUMIFS($L$4:$L$203,$B$4:$B$203,$A146))</f>
        <v/>
      </c>
      <c r="L146" s="14" t="str">
        <f aca="false">IF(A146="","",(J146+K146)*Inputs!$B$16)</f>
        <v/>
      </c>
      <c r="M146" s="14"/>
      <c r="N146" s="14" t="str">
        <f aca="false">IF(A146="","",IF(M146="",Inputs!$B$7,M146))</f>
        <v/>
      </c>
      <c r="O146" s="9" t="str">
        <f aca="false">IF(A146="","",IF(L146/Inputs!$B$10&lt;=AD146,Inputs!$F$5,IF(L146/Inputs!$B$10&gt;AM146,"OVERSIZE",INDEX(Inputs!$F$5:$F$14,MATCH(L146/Inputs!$B$10,AD146:AM146,1)+1))))</f>
        <v/>
      </c>
      <c r="P146" s="9"/>
      <c r="Q146" s="9" t="str">
        <f aca="false">IF(A146="","",IF(P146="",O146,P146))</f>
        <v/>
      </c>
      <c r="R146" s="14" t="str">
        <f aca="false">IF(OR(Q146="",Q146="OVERSIZE"),"",Q146/1000)</f>
        <v/>
      </c>
      <c r="S146" s="14" t="str">
        <f aca="false">IF(R146="","",(1/Inputs!$B$9)*(PI()*R146^2/4)*((R146/4)^(2/3))*SQRT(N146))</f>
        <v/>
      </c>
      <c r="T146" s="14" t="str">
        <f aca="false">IF(OR(S146="",L146=""),"",L146/(S146*Inputs!$B$10))</f>
        <v/>
      </c>
      <c r="U146" s="14" t="str">
        <f aca="false">IF(OR(R146="",L146=""),"",4*L146/(PI()*R146^2))</f>
        <v/>
      </c>
      <c r="V146" s="14"/>
      <c r="W146" s="14" t="str">
        <f aca="false">IF(A146="","",IF(A146=Inputs!$B$6,Inputs!$B$22,IF(B146="","",IFERROR(INDEX($X$4:$X$203,MATCH(B146,$A$4:$A$203,0))+IF(V146="",Inputs!$B$20,V146),""))))</f>
        <v/>
      </c>
      <c r="X146" s="14" t="str">
        <f aca="false">IF(OR(W146="",N146="",C146=""),"",W146+N146*C146)</f>
        <v/>
      </c>
      <c r="Y146" s="14"/>
      <c r="Z146" s="14"/>
      <c r="AA146" s="14" t="str">
        <f aca="false">IF(OR(Y146="",W146=""),"",Y146-W146)</f>
        <v/>
      </c>
      <c r="AB146" s="14" t="str">
        <f aca="false">IF(OR(Z146="",X146=""),"",Z146-X146)</f>
        <v/>
      </c>
      <c r="AC146" s="19" t="str">
        <f aca="false">IF(A146="","",IF(OR(T146&gt;1,AND(AV146&lt;&gt;"",AV146&lt;Inputs!$B$11),AND(AV146&lt;&gt;"",AV146&gt;Inputs!$B$12),AA146&lt;Inputs!$B$19,AB146&lt;Inputs!$B$19,N146&lt;Inputs!$B$7,N146&gt;Inputs!$B$8),"CHECK","OK"))</f>
        <v/>
      </c>
      <c r="AD146" s="9" t="str">
        <f aca="false">IF(A146="","",(1/Inputs!$B$9)*(PI()*(Inputs!$F$5/1000)^2/4)*((Inputs!$F$5/1000/4)^(2/3))*SQRT(N146))</f>
        <v/>
      </c>
      <c r="AE146" s="9" t="str">
        <f aca="false">IF(A146="","",(1/Inputs!$B$9)*(PI()*(Inputs!$F$6/1000)^2/4)*((Inputs!$F$6/1000/4)^(2/3))*SQRT(N146))</f>
        <v/>
      </c>
      <c r="AF146" s="9" t="str">
        <f aca="false">IF(A146="","",(1/Inputs!$B$9)*(PI()*(Inputs!$F$7/1000)^2/4)*((Inputs!$F$7/1000/4)^(2/3))*SQRT(N146))</f>
        <v/>
      </c>
      <c r="AG146" s="9" t="str">
        <f aca="false">IF(A146="","",(1/Inputs!$B$9)*(PI()*(Inputs!$F$8/1000)^2/4)*((Inputs!$F$8/1000/4)^(2/3))*SQRT(N146))</f>
        <v/>
      </c>
      <c r="AH146" s="9" t="str">
        <f aca="false">IF(A146="","",(1/Inputs!$B$9)*(PI()*(Inputs!$F$9/1000)^2/4)*((Inputs!$F$9/1000/4)^(2/3))*SQRT(N146))</f>
        <v/>
      </c>
      <c r="AI146" s="9" t="str">
        <f aca="false">IF(A146="","",(1/Inputs!$B$9)*(PI()*(Inputs!$F$10/1000)^2/4)*((Inputs!$F$10/1000/4)^(2/3))*SQRT(N146))</f>
        <v/>
      </c>
      <c r="AJ146" s="9" t="str">
        <f aca="false">IF(A146="","",(1/Inputs!$B$9)*(PI()*(Inputs!$F$11/1000)^2/4)*((Inputs!$F$11/1000/4)^(2/3))*SQRT(N146))</f>
        <v/>
      </c>
      <c r="AK146" s="9" t="str">
        <f aca="false">IF(A146="","",(1/Inputs!$B$9)*(PI()*(Inputs!$F$12/1000)^2/4)*((Inputs!$F$12/1000/4)^(2/3))*SQRT(N146))</f>
        <v/>
      </c>
      <c r="AL146" s="9" t="str">
        <f aca="false">IF(A146="","",(1/Inputs!$B$9)*(PI()*(Inputs!$F$13/1000)^2/4)*((Inputs!$F$13/1000/4)^(2/3))*SQRT(N146))</f>
        <v/>
      </c>
      <c r="AM146" s="9" t="str">
        <f aca="false">IF(A146="","",(1/Inputs!$B$9)*(PI()*(Inputs!$F$14/1000)^2/4)*((Inputs!$F$14/1000/4)^(2/3))*SQRT(N146))</f>
        <v/>
      </c>
      <c r="AN146" s="9" t="str">
        <f aca="false">IF(A146="","",COUNTIF($B$4:$B$203,$A146))</f>
        <v/>
      </c>
      <c r="AO146" s="9" t="str">
        <f aca="false">IF(A146="","",IF(AN146=0,"START","CONTINUOUS"))</f>
        <v/>
      </c>
      <c r="AP146" s="13" t="str">
        <f aca="false">IF(A146="","",IF(H146="",Inputs!$B$18,H146))</f>
        <v/>
      </c>
      <c r="AQ146" s="13" t="str">
        <f aca="false">IF(A146="","",IFERROR(maxifs($AS$4:$AS$203,$B$4:$B$203,$A146),""))</f>
        <v/>
      </c>
      <c r="AR146" s="13" t="str">
        <f aca="false">IF(A146="","",IF(OR(C146="",Inputs!$B$23=""),"",C146/(Inputs!$B$23*60)))</f>
        <v/>
      </c>
      <c r="AS146" s="13" t="str">
        <f aca="false">IF(A146="","",IF(AN146=0,AP146+AR146,IF(AQ146="",AP146+AR146,AQ146+AR146)))</f>
        <v/>
      </c>
      <c r="AT146" s="13" t="str">
        <f aca="false">IF(A146="","",U146)</f>
        <v/>
      </c>
      <c r="AU146" s="13" t="str">
        <f aca="false">IF(OR(R146="",N146=""),"",(1/Inputs!$B$9)*((R146/4)^(2/3))*SQRT(N146))</f>
        <v/>
      </c>
      <c r="AV146" s="13" t="str">
        <f aca="false">IF(A146="","",IF(AND(AT146="",AU146="",AX146=""),"",IF(OR(UPPER(TRIM(Inputs!$B$24))="MANNING",UPPER(TRIM(Inputs!$B$24))="M"),AU146,IF(OR(UPPER(TRIM(Inputs!$B$24))="PARTIAL",UPPER(TRIM(Inputs!$B$24))="P"),AX146,IF(OR(UPPER(TRIM(Inputs!$B$24))="MAX",UPPER(TRIM(Inputs!$B$24))="X"),MAX(IF(AT146="",0,AT146),IF(AU146="",0,AU146),IF(AX146="",0,AX146)),AT146)))))</f>
        <v/>
      </c>
      <c r="AW146" s="13" t="str">
        <f aca="false">IF(AY146="","",CE146)</f>
        <v/>
      </c>
      <c r="AX146" s="13" t="str">
        <f aca="false">IF(OR(AY146="",AW146="",R146="",R146&lt;=0,AW146&lt;=0),"",AY146/((R146^2/8)*(2*ACOS(1-2*AW146/R146)-SIN(2*ACOS(1-2*AW146/R146)))))</f>
        <v/>
      </c>
      <c r="AY146" s="9" t="str">
        <f aca="false">IF(OR(L146="",AZ146=""),"",MIN(L146,AZ146))</f>
        <v/>
      </c>
      <c r="AZ146" s="9" t="str">
        <f aca="false">IF(OR(L146="",R146="",N146=""),"",IF(OR(R146="",N146="",(0.94*R146)="",R146&lt;=0,(0.94*R146)&lt;=0),"",(1/Inputs!$B$9)*((R146^2/8)*((2*ACOS(1-2*(0.94*R146)/R146))-SIN((2*ACOS(1-2*(0.94*R146)/R146)))))*((((R146^2/8)*((2*ACOS(1-2*(0.94*R146)/R146))-SIN((2*ACOS(1-2*(0.94*R146)/R146)))))/((R146/2)*((2*ACOS(1-2*(0.94*R146)/R146)))))^(2/3))*SQRT(N146)))</f>
        <v/>
      </c>
      <c r="BA146" s="9" t="str">
        <f aca="false">IF(AY146="","",0.001*R146)</f>
        <v/>
      </c>
      <c r="BB146" s="9" t="str">
        <f aca="false">IF(AY146="","",0.94*R146)</f>
        <v/>
      </c>
      <c r="BC146" s="9" t="str">
        <f aca="false">IF(AY146="","",(BA146+BB146)/2)</f>
        <v/>
      </c>
      <c r="BD146" s="9" t="str">
        <f aca="false">IF(OR(R146="",N146="",BC146="",R146&lt;=0,BC146&lt;=0),"",(1/Inputs!$B$9)*((R146^2/8)*((2*ACOS(1-2*BC146/R146))-SIN((2*ACOS(1-2*BC146/R146)))))*((((R146^2/8)*((2*ACOS(1-2*BC146/R146))-SIN((2*ACOS(1-2*BC146/R146)))))/((R146/2)*((2*ACOS(1-2*BC146/R146)))))^(2/3))*SQRT(N146))</f>
        <v/>
      </c>
      <c r="BE146" s="9" t="str">
        <f aca="false">IF(AY146="","",IF(BD146&lt;AY146,BC146,BA146))</f>
        <v/>
      </c>
      <c r="BF146" s="9" t="str">
        <f aca="false">IF(AY146="","",IF(BD146&lt;AY146,BB146,BC146))</f>
        <v/>
      </c>
      <c r="BG146" s="9" t="str">
        <f aca="false">IF(AY146="","",(BE146+BF146)/2)</f>
        <v/>
      </c>
      <c r="BH146" s="9" t="str">
        <f aca="false">IF(OR(R146="",N146="",BG146="",R146&lt;=0,BG146&lt;=0),"",(1/Inputs!$B$9)*((R146^2/8)*((2*ACOS(1-2*BG146/R146))-SIN((2*ACOS(1-2*BG146/R146)))))*((((R146^2/8)*((2*ACOS(1-2*BG146/R146))-SIN((2*ACOS(1-2*BG146/R146)))))/((R146/2)*((2*ACOS(1-2*BG146/R146)))))^(2/3))*SQRT(N146))</f>
        <v/>
      </c>
      <c r="BI146" s="9" t="str">
        <f aca="false">IF(AY146="","",IF(BH146&lt;AY146,BG146,BE146))</f>
        <v/>
      </c>
      <c r="BJ146" s="9" t="str">
        <f aca="false">IF(AY146="","",IF(BH146&lt;AY146,BF146,BG146))</f>
        <v/>
      </c>
      <c r="BK146" s="9" t="str">
        <f aca="false">IF(AY146="","",(BI146+BJ146)/2)</f>
        <v/>
      </c>
      <c r="BL146" s="9" t="str">
        <f aca="false">IF(OR(R146="",N146="",BK146="",R146&lt;=0,BK146&lt;=0),"",(1/Inputs!$B$9)*((R146^2/8)*((2*ACOS(1-2*BK146/R146))-SIN((2*ACOS(1-2*BK146/R146)))))*((((R146^2/8)*((2*ACOS(1-2*BK146/R146))-SIN((2*ACOS(1-2*BK146/R146)))))/((R146/2)*((2*ACOS(1-2*BK146/R146)))))^(2/3))*SQRT(N146))</f>
        <v/>
      </c>
      <c r="BM146" s="9" t="str">
        <f aca="false">IF(AY146="","",IF(BL146&lt;AY146,BK146,BI146))</f>
        <v/>
      </c>
      <c r="BN146" s="9" t="str">
        <f aca="false">IF(AY146="","",IF(BL146&lt;AY146,BJ146,BK146))</f>
        <v/>
      </c>
      <c r="BO146" s="9" t="str">
        <f aca="false">IF(AY146="","",(BM146+BN146)/2)</f>
        <v/>
      </c>
      <c r="BP146" s="9" t="str">
        <f aca="false">IF(OR(R146="",N146="",BO146="",R146&lt;=0,BO146&lt;=0),"",(1/Inputs!$B$9)*((R146^2/8)*((2*ACOS(1-2*BO146/R146))-SIN((2*ACOS(1-2*BO146/R146)))))*((((R146^2/8)*((2*ACOS(1-2*BO146/R146))-SIN((2*ACOS(1-2*BO146/R146)))))/((R146/2)*((2*ACOS(1-2*BO146/R146)))))^(2/3))*SQRT(N146))</f>
        <v/>
      </c>
      <c r="BQ146" s="9" t="str">
        <f aca="false">IF(AY146="","",IF(BP146&lt;AY146,BO146,BM146))</f>
        <v/>
      </c>
      <c r="BR146" s="9" t="str">
        <f aca="false">IF(AY146="","",IF(BP146&lt;AY146,BN146,BO146))</f>
        <v/>
      </c>
      <c r="BS146" s="9" t="str">
        <f aca="false">IF(AY146="","",(BQ146+BR146)/2)</f>
        <v/>
      </c>
      <c r="BT146" s="9" t="str">
        <f aca="false">IF(OR(R146="",N146="",BS146="",R146&lt;=0,BS146&lt;=0),"",(1/Inputs!$B$9)*((R146^2/8)*((2*ACOS(1-2*BS146/R146))-SIN((2*ACOS(1-2*BS146/R146)))))*((((R146^2/8)*((2*ACOS(1-2*BS146/R146))-SIN((2*ACOS(1-2*BS146/R146)))))/((R146/2)*((2*ACOS(1-2*BS146/R146)))))^(2/3))*SQRT(N146))</f>
        <v/>
      </c>
      <c r="BU146" s="9" t="str">
        <f aca="false">IF(AY146="","",IF(BT146&lt;AY146,BS146,BQ146))</f>
        <v/>
      </c>
      <c r="BV146" s="9" t="str">
        <f aca="false">IF(AY146="","",IF(BT146&lt;AY146,BR146,BS146))</f>
        <v/>
      </c>
      <c r="BW146" s="9" t="str">
        <f aca="false">IF(AY146="","",(BU146+BV146)/2)</f>
        <v/>
      </c>
      <c r="BX146" s="9" t="str">
        <f aca="false">IF(OR(R146="",N146="",BW146="",R146&lt;=0,BW146&lt;=0),"",(1/Inputs!$B$9)*((R146^2/8)*((2*ACOS(1-2*BW146/R146))-SIN((2*ACOS(1-2*BW146/R146)))))*((((R146^2/8)*((2*ACOS(1-2*BW146/R146))-SIN((2*ACOS(1-2*BW146/R146)))))/((R146/2)*((2*ACOS(1-2*BW146/R146)))))^(2/3))*SQRT(N146))</f>
        <v/>
      </c>
      <c r="BY146" s="9" t="str">
        <f aca="false">IF(AY146="","",IF(BX146&lt;AY146,BW146,BU146))</f>
        <v/>
      </c>
      <c r="BZ146" s="9" t="str">
        <f aca="false">IF(AY146="","",IF(BX146&lt;AY146,BV146,BW146))</f>
        <v/>
      </c>
      <c r="CA146" s="9" t="str">
        <f aca="false">IF(AY146="","",(BY146+BZ146)/2)</f>
        <v/>
      </c>
      <c r="CB146" s="9" t="str">
        <f aca="false">IF(OR(R146="",N146="",CA146="",R146&lt;=0,CA146&lt;=0),"",(1/Inputs!$B$9)*((R146^2/8)*((2*ACOS(1-2*CA146/R146))-SIN((2*ACOS(1-2*CA146/R146)))))*((((R146^2/8)*((2*ACOS(1-2*CA146/R146))-SIN((2*ACOS(1-2*CA146/R146)))))/((R146/2)*((2*ACOS(1-2*CA146/R146)))))^(2/3))*SQRT(N146))</f>
        <v/>
      </c>
      <c r="CC146" s="9" t="str">
        <f aca="false">IF(AY146="","",IF(CB146&lt;AY146,CA146,BY146))</f>
        <v/>
      </c>
      <c r="CD146" s="9" t="str">
        <f aca="false">IF(AY146="","",IF(CB146&lt;AY146,BZ146,CA146))</f>
        <v/>
      </c>
      <c r="CE146" s="9" t="str">
        <f aca="false">IF(AY146="","",(CC146+CD146)/2)</f>
        <v/>
      </c>
    </row>
    <row r="147" customFormat="false" ht="15" hidden="false" customHeight="false" outlineLevel="0" collapsed="false">
      <c r="A147" s="9"/>
      <c r="B147" s="9"/>
      <c r="C147" s="14"/>
      <c r="D147" s="14"/>
      <c r="E147" s="14" t="n">
        <f aca="false">SUMIFS(CB_Tributaires!$C:$C,CB_Tributaires!$B:$B,$A147)</f>
        <v>0</v>
      </c>
      <c r="F147" s="14" t="n">
        <f aca="false">IF(D147="",E147,D147)</f>
        <v>0</v>
      </c>
      <c r="G147" s="9"/>
      <c r="H147" s="14"/>
      <c r="I147" s="14" t="str">
        <f aca="false">IF(A147="","",Inputs!$B$13/((IF(AS147="",Inputs!$B$18,AS147)+Inputs!$B$14)^Inputs!$B$15))</f>
        <v/>
      </c>
      <c r="J147" s="14" t="str">
        <f aca="false">IF(A147="","",0.000000278*IF(G147="",Inputs!$B$17,G147)*F147*I147)</f>
        <v/>
      </c>
      <c r="K147" s="14" t="str">
        <f aca="false">IF(A147="","",SUMIFS($L$4:$L$203,$B$4:$B$203,$A147))</f>
        <v/>
      </c>
      <c r="L147" s="14" t="str">
        <f aca="false">IF(A147="","",(J147+K147)*Inputs!$B$16)</f>
        <v/>
      </c>
      <c r="M147" s="14"/>
      <c r="N147" s="14" t="str">
        <f aca="false">IF(A147="","",IF(M147="",Inputs!$B$7,M147))</f>
        <v/>
      </c>
      <c r="O147" s="9" t="str">
        <f aca="false">IF(A147="","",IF(L147/Inputs!$B$10&lt;=AD147,Inputs!$F$5,IF(L147/Inputs!$B$10&gt;AM147,"OVERSIZE",INDEX(Inputs!$F$5:$F$14,MATCH(L147/Inputs!$B$10,AD147:AM147,1)+1))))</f>
        <v/>
      </c>
      <c r="P147" s="9"/>
      <c r="Q147" s="9" t="str">
        <f aca="false">IF(A147="","",IF(P147="",O147,P147))</f>
        <v/>
      </c>
      <c r="R147" s="14" t="str">
        <f aca="false">IF(OR(Q147="",Q147="OVERSIZE"),"",Q147/1000)</f>
        <v/>
      </c>
      <c r="S147" s="14" t="str">
        <f aca="false">IF(R147="","",(1/Inputs!$B$9)*(PI()*R147^2/4)*((R147/4)^(2/3))*SQRT(N147))</f>
        <v/>
      </c>
      <c r="T147" s="14" t="str">
        <f aca="false">IF(OR(S147="",L147=""),"",L147/(S147*Inputs!$B$10))</f>
        <v/>
      </c>
      <c r="U147" s="14" t="str">
        <f aca="false">IF(OR(R147="",L147=""),"",4*L147/(PI()*R147^2))</f>
        <v/>
      </c>
      <c r="V147" s="14"/>
      <c r="W147" s="14" t="str">
        <f aca="false">IF(A147="","",IF(A147=Inputs!$B$6,Inputs!$B$22,IF(B147="","",IFERROR(INDEX($X$4:$X$203,MATCH(B147,$A$4:$A$203,0))+IF(V147="",Inputs!$B$20,V147),""))))</f>
        <v/>
      </c>
      <c r="X147" s="14" t="str">
        <f aca="false">IF(OR(W147="",N147="",C147=""),"",W147+N147*C147)</f>
        <v/>
      </c>
      <c r="Y147" s="14"/>
      <c r="Z147" s="14"/>
      <c r="AA147" s="14" t="str">
        <f aca="false">IF(OR(Y147="",W147=""),"",Y147-W147)</f>
        <v/>
      </c>
      <c r="AB147" s="14" t="str">
        <f aca="false">IF(OR(Z147="",X147=""),"",Z147-X147)</f>
        <v/>
      </c>
      <c r="AC147" s="19" t="str">
        <f aca="false">IF(A147="","",IF(OR(T147&gt;1,AND(AV147&lt;&gt;"",AV147&lt;Inputs!$B$11),AND(AV147&lt;&gt;"",AV147&gt;Inputs!$B$12),AA147&lt;Inputs!$B$19,AB147&lt;Inputs!$B$19,N147&lt;Inputs!$B$7,N147&gt;Inputs!$B$8),"CHECK","OK"))</f>
        <v/>
      </c>
      <c r="AD147" s="9" t="str">
        <f aca="false">IF(A147="","",(1/Inputs!$B$9)*(PI()*(Inputs!$F$5/1000)^2/4)*((Inputs!$F$5/1000/4)^(2/3))*SQRT(N147))</f>
        <v/>
      </c>
      <c r="AE147" s="9" t="str">
        <f aca="false">IF(A147="","",(1/Inputs!$B$9)*(PI()*(Inputs!$F$6/1000)^2/4)*((Inputs!$F$6/1000/4)^(2/3))*SQRT(N147))</f>
        <v/>
      </c>
      <c r="AF147" s="9" t="str">
        <f aca="false">IF(A147="","",(1/Inputs!$B$9)*(PI()*(Inputs!$F$7/1000)^2/4)*((Inputs!$F$7/1000/4)^(2/3))*SQRT(N147))</f>
        <v/>
      </c>
      <c r="AG147" s="9" t="str">
        <f aca="false">IF(A147="","",(1/Inputs!$B$9)*(PI()*(Inputs!$F$8/1000)^2/4)*((Inputs!$F$8/1000/4)^(2/3))*SQRT(N147))</f>
        <v/>
      </c>
      <c r="AH147" s="9" t="str">
        <f aca="false">IF(A147="","",(1/Inputs!$B$9)*(PI()*(Inputs!$F$9/1000)^2/4)*((Inputs!$F$9/1000/4)^(2/3))*SQRT(N147))</f>
        <v/>
      </c>
      <c r="AI147" s="9" t="str">
        <f aca="false">IF(A147="","",(1/Inputs!$B$9)*(PI()*(Inputs!$F$10/1000)^2/4)*((Inputs!$F$10/1000/4)^(2/3))*SQRT(N147))</f>
        <v/>
      </c>
      <c r="AJ147" s="9" t="str">
        <f aca="false">IF(A147="","",(1/Inputs!$B$9)*(PI()*(Inputs!$F$11/1000)^2/4)*((Inputs!$F$11/1000/4)^(2/3))*SQRT(N147))</f>
        <v/>
      </c>
      <c r="AK147" s="9" t="str">
        <f aca="false">IF(A147="","",(1/Inputs!$B$9)*(PI()*(Inputs!$F$12/1000)^2/4)*((Inputs!$F$12/1000/4)^(2/3))*SQRT(N147))</f>
        <v/>
      </c>
      <c r="AL147" s="9" t="str">
        <f aca="false">IF(A147="","",(1/Inputs!$B$9)*(PI()*(Inputs!$F$13/1000)^2/4)*((Inputs!$F$13/1000/4)^(2/3))*SQRT(N147))</f>
        <v/>
      </c>
      <c r="AM147" s="9" t="str">
        <f aca="false">IF(A147="","",(1/Inputs!$B$9)*(PI()*(Inputs!$F$14/1000)^2/4)*((Inputs!$F$14/1000/4)^(2/3))*SQRT(N147))</f>
        <v/>
      </c>
      <c r="AN147" s="9" t="str">
        <f aca="false">IF(A147="","",COUNTIF($B$4:$B$203,$A147))</f>
        <v/>
      </c>
      <c r="AO147" s="9" t="str">
        <f aca="false">IF(A147="","",IF(AN147=0,"START","CONTINUOUS"))</f>
        <v/>
      </c>
      <c r="AP147" s="13" t="str">
        <f aca="false">IF(A147="","",IF(H147="",Inputs!$B$18,H147))</f>
        <v/>
      </c>
      <c r="AQ147" s="13" t="str">
        <f aca="false">IF(A147="","",IFERROR(maxifs($AS$4:$AS$203,$B$4:$B$203,$A147),""))</f>
        <v/>
      </c>
      <c r="AR147" s="13" t="str">
        <f aca="false">IF(A147="","",IF(OR(C147="",Inputs!$B$23=""),"",C147/(Inputs!$B$23*60)))</f>
        <v/>
      </c>
      <c r="AS147" s="13" t="str">
        <f aca="false">IF(A147="","",IF(AN147=0,AP147+AR147,IF(AQ147="",AP147+AR147,AQ147+AR147)))</f>
        <v/>
      </c>
      <c r="AT147" s="13" t="str">
        <f aca="false">IF(A147="","",U147)</f>
        <v/>
      </c>
      <c r="AU147" s="13" t="str">
        <f aca="false">IF(OR(R147="",N147=""),"",(1/Inputs!$B$9)*((R147/4)^(2/3))*SQRT(N147))</f>
        <v/>
      </c>
      <c r="AV147" s="13" t="str">
        <f aca="false">IF(A147="","",IF(AND(AT147="",AU147="",AX147=""),"",IF(OR(UPPER(TRIM(Inputs!$B$24))="MANNING",UPPER(TRIM(Inputs!$B$24))="M"),AU147,IF(OR(UPPER(TRIM(Inputs!$B$24))="PARTIAL",UPPER(TRIM(Inputs!$B$24))="P"),AX147,IF(OR(UPPER(TRIM(Inputs!$B$24))="MAX",UPPER(TRIM(Inputs!$B$24))="X"),MAX(IF(AT147="",0,AT147),IF(AU147="",0,AU147),IF(AX147="",0,AX147)),AT147)))))</f>
        <v/>
      </c>
      <c r="AW147" s="13" t="str">
        <f aca="false">IF(AY147="","",CE147)</f>
        <v/>
      </c>
      <c r="AX147" s="13" t="str">
        <f aca="false">IF(OR(AY147="",AW147="",R147="",R147&lt;=0,AW147&lt;=0),"",AY147/((R147^2/8)*(2*ACOS(1-2*AW147/R147)-SIN(2*ACOS(1-2*AW147/R147)))))</f>
        <v/>
      </c>
      <c r="AY147" s="9" t="str">
        <f aca="false">IF(OR(L147="",AZ147=""),"",MIN(L147,AZ147))</f>
        <v/>
      </c>
      <c r="AZ147" s="9" t="str">
        <f aca="false">IF(OR(L147="",R147="",N147=""),"",IF(OR(R147="",N147="",(0.94*R147)="",R147&lt;=0,(0.94*R147)&lt;=0),"",(1/Inputs!$B$9)*((R147^2/8)*((2*ACOS(1-2*(0.94*R147)/R147))-SIN((2*ACOS(1-2*(0.94*R147)/R147)))))*((((R147^2/8)*((2*ACOS(1-2*(0.94*R147)/R147))-SIN((2*ACOS(1-2*(0.94*R147)/R147)))))/((R147/2)*((2*ACOS(1-2*(0.94*R147)/R147)))))^(2/3))*SQRT(N147)))</f>
        <v/>
      </c>
      <c r="BA147" s="9" t="str">
        <f aca="false">IF(AY147="","",0.001*R147)</f>
        <v/>
      </c>
      <c r="BB147" s="9" t="str">
        <f aca="false">IF(AY147="","",0.94*R147)</f>
        <v/>
      </c>
      <c r="BC147" s="9" t="str">
        <f aca="false">IF(AY147="","",(BA147+BB147)/2)</f>
        <v/>
      </c>
      <c r="BD147" s="9" t="str">
        <f aca="false">IF(OR(R147="",N147="",BC147="",R147&lt;=0,BC147&lt;=0),"",(1/Inputs!$B$9)*((R147^2/8)*((2*ACOS(1-2*BC147/R147))-SIN((2*ACOS(1-2*BC147/R147)))))*((((R147^2/8)*((2*ACOS(1-2*BC147/R147))-SIN((2*ACOS(1-2*BC147/R147)))))/((R147/2)*((2*ACOS(1-2*BC147/R147)))))^(2/3))*SQRT(N147))</f>
        <v/>
      </c>
      <c r="BE147" s="9" t="str">
        <f aca="false">IF(AY147="","",IF(BD147&lt;AY147,BC147,BA147))</f>
        <v/>
      </c>
      <c r="BF147" s="9" t="str">
        <f aca="false">IF(AY147="","",IF(BD147&lt;AY147,BB147,BC147))</f>
        <v/>
      </c>
      <c r="BG147" s="9" t="str">
        <f aca="false">IF(AY147="","",(BE147+BF147)/2)</f>
        <v/>
      </c>
      <c r="BH147" s="9" t="str">
        <f aca="false">IF(OR(R147="",N147="",BG147="",R147&lt;=0,BG147&lt;=0),"",(1/Inputs!$B$9)*((R147^2/8)*((2*ACOS(1-2*BG147/R147))-SIN((2*ACOS(1-2*BG147/R147)))))*((((R147^2/8)*((2*ACOS(1-2*BG147/R147))-SIN((2*ACOS(1-2*BG147/R147)))))/((R147/2)*((2*ACOS(1-2*BG147/R147)))))^(2/3))*SQRT(N147))</f>
        <v/>
      </c>
      <c r="BI147" s="9" t="str">
        <f aca="false">IF(AY147="","",IF(BH147&lt;AY147,BG147,BE147))</f>
        <v/>
      </c>
      <c r="BJ147" s="9" t="str">
        <f aca="false">IF(AY147="","",IF(BH147&lt;AY147,BF147,BG147))</f>
        <v/>
      </c>
      <c r="BK147" s="9" t="str">
        <f aca="false">IF(AY147="","",(BI147+BJ147)/2)</f>
        <v/>
      </c>
      <c r="BL147" s="9" t="str">
        <f aca="false">IF(OR(R147="",N147="",BK147="",R147&lt;=0,BK147&lt;=0),"",(1/Inputs!$B$9)*((R147^2/8)*((2*ACOS(1-2*BK147/R147))-SIN((2*ACOS(1-2*BK147/R147)))))*((((R147^2/8)*((2*ACOS(1-2*BK147/R147))-SIN((2*ACOS(1-2*BK147/R147)))))/((R147/2)*((2*ACOS(1-2*BK147/R147)))))^(2/3))*SQRT(N147))</f>
        <v/>
      </c>
      <c r="BM147" s="9" t="str">
        <f aca="false">IF(AY147="","",IF(BL147&lt;AY147,BK147,BI147))</f>
        <v/>
      </c>
      <c r="BN147" s="9" t="str">
        <f aca="false">IF(AY147="","",IF(BL147&lt;AY147,BJ147,BK147))</f>
        <v/>
      </c>
      <c r="BO147" s="9" t="str">
        <f aca="false">IF(AY147="","",(BM147+BN147)/2)</f>
        <v/>
      </c>
      <c r="BP147" s="9" t="str">
        <f aca="false">IF(OR(R147="",N147="",BO147="",R147&lt;=0,BO147&lt;=0),"",(1/Inputs!$B$9)*((R147^2/8)*((2*ACOS(1-2*BO147/R147))-SIN((2*ACOS(1-2*BO147/R147)))))*((((R147^2/8)*((2*ACOS(1-2*BO147/R147))-SIN((2*ACOS(1-2*BO147/R147)))))/((R147/2)*((2*ACOS(1-2*BO147/R147)))))^(2/3))*SQRT(N147))</f>
        <v/>
      </c>
      <c r="BQ147" s="9" t="str">
        <f aca="false">IF(AY147="","",IF(BP147&lt;AY147,BO147,BM147))</f>
        <v/>
      </c>
      <c r="BR147" s="9" t="str">
        <f aca="false">IF(AY147="","",IF(BP147&lt;AY147,BN147,BO147))</f>
        <v/>
      </c>
      <c r="BS147" s="9" t="str">
        <f aca="false">IF(AY147="","",(BQ147+BR147)/2)</f>
        <v/>
      </c>
      <c r="BT147" s="9" t="str">
        <f aca="false">IF(OR(R147="",N147="",BS147="",R147&lt;=0,BS147&lt;=0),"",(1/Inputs!$B$9)*((R147^2/8)*((2*ACOS(1-2*BS147/R147))-SIN((2*ACOS(1-2*BS147/R147)))))*((((R147^2/8)*((2*ACOS(1-2*BS147/R147))-SIN((2*ACOS(1-2*BS147/R147)))))/((R147/2)*((2*ACOS(1-2*BS147/R147)))))^(2/3))*SQRT(N147))</f>
        <v/>
      </c>
      <c r="BU147" s="9" t="str">
        <f aca="false">IF(AY147="","",IF(BT147&lt;AY147,BS147,BQ147))</f>
        <v/>
      </c>
      <c r="BV147" s="9" t="str">
        <f aca="false">IF(AY147="","",IF(BT147&lt;AY147,BR147,BS147))</f>
        <v/>
      </c>
      <c r="BW147" s="9" t="str">
        <f aca="false">IF(AY147="","",(BU147+BV147)/2)</f>
        <v/>
      </c>
      <c r="BX147" s="9" t="str">
        <f aca="false">IF(OR(R147="",N147="",BW147="",R147&lt;=0,BW147&lt;=0),"",(1/Inputs!$B$9)*((R147^2/8)*((2*ACOS(1-2*BW147/R147))-SIN((2*ACOS(1-2*BW147/R147)))))*((((R147^2/8)*((2*ACOS(1-2*BW147/R147))-SIN((2*ACOS(1-2*BW147/R147)))))/((R147/2)*((2*ACOS(1-2*BW147/R147)))))^(2/3))*SQRT(N147))</f>
        <v/>
      </c>
      <c r="BY147" s="9" t="str">
        <f aca="false">IF(AY147="","",IF(BX147&lt;AY147,BW147,BU147))</f>
        <v/>
      </c>
      <c r="BZ147" s="9" t="str">
        <f aca="false">IF(AY147="","",IF(BX147&lt;AY147,BV147,BW147))</f>
        <v/>
      </c>
      <c r="CA147" s="9" t="str">
        <f aca="false">IF(AY147="","",(BY147+BZ147)/2)</f>
        <v/>
      </c>
      <c r="CB147" s="9" t="str">
        <f aca="false">IF(OR(R147="",N147="",CA147="",R147&lt;=0,CA147&lt;=0),"",(1/Inputs!$B$9)*((R147^2/8)*((2*ACOS(1-2*CA147/R147))-SIN((2*ACOS(1-2*CA147/R147)))))*((((R147^2/8)*((2*ACOS(1-2*CA147/R147))-SIN((2*ACOS(1-2*CA147/R147)))))/((R147/2)*((2*ACOS(1-2*CA147/R147)))))^(2/3))*SQRT(N147))</f>
        <v/>
      </c>
      <c r="CC147" s="9" t="str">
        <f aca="false">IF(AY147="","",IF(CB147&lt;AY147,CA147,BY147))</f>
        <v/>
      </c>
      <c r="CD147" s="9" t="str">
        <f aca="false">IF(AY147="","",IF(CB147&lt;AY147,BZ147,CA147))</f>
        <v/>
      </c>
      <c r="CE147" s="9" t="str">
        <f aca="false">IF(AY147="","",(CC147+CD147)/2)</f>
        <v/>
      </c>
    </row>
    <row r="148" customFormat="false" ht="15" hidden="false" customHeight="false" outlineLevel="0" collapsed="false">
      <c r="A148" s="9"/>
      <c r="B148" s="9"/>
      <c r="C148" s="14"/>
      <c r="D148" s="14"/>
      <c r="E148" s="14" t="n">
        <f aca="false">SUMIFS(CB_Tributaires!$C:$C,CB_Tributaires!$B:$B,$A148)</f>
        <v>0</v>
      </c>
      <c r="F148" s="14" t="n">
        <f aca="false">IF(D148="",E148,D148)</f>
        <v>0</v>
      </c>
      <c r="G148" s="9"/>
      <c r="H148" s="14"/>
      <c r="I148" s="14" t="str">
        <f aca="false">IF(A148="","",Inputs!$B$13/((IF(AS148="",Inputs!$B$18,AS148)+Inputs!$B$14)^Inputs!$B$15))</f>
        <v/>
      </c>
      <c r="J148" s="14" t="str">
        <f aca="false">IF(A148="","",0.000000278*IF(G148="",Inputs!$B$17,G148)*F148*I148)</f>
        <v/>
      </c>
      <c r="K148" s="14" t="str">
        <f aca="false">IF(A148="","",SUMIFS($L$4:$L$203,$B$4:$B$203,$A148))</f>
        <v/>
      </c>
      <c r="L148" s="14" t="str">
        <f aca="false">IF(A148="","",(J148+K148)*Inputs!$B$16)</f>
        <v/>
      </c>
      <c r="M148" s="14"/>
      <c r="N148" s="14" t="str">
        <f aca="false">IF(A148="","",IF(M148="",Inputs!$B$7,M148))</f>
        <v/>
      </c>
      <c r="O148" s="9" t="str">
        <f aca="false">IF(A148="","",IF(L148/Inputs!$B$10&lt;=AD148,Inputs!$F$5,IF(L148/Inputs!$B$10&gt;AM148,"OVERSIZE",INDEX(Inputs!$F$5:$F$14,MATCH(L148/Inputs!$B$10,AD148:AM148,1)+1))))</f>
        <v/>
      </c>
      <c r="P148" s="9"/>
      <c r="Q148" s="9" t="str">
        <f aca="false">IF(A148="","",IF(P148="",O148,P148))</f>
        <v/>
      </c>
      <c r="R148" s="14" t="str">
        <f aca="false">IF(OR(Q148="",Q148="OVERSIZE"),"",Q148/1000)</f>
        <v/>
      </c>
      <c r="S148" s="14" t="str">
        <f aca="false">IF(R148="","",(1/Inputs!$B$9)*(PI()*R148^2/4)*((R148/4)^(2/3))*SQRT(N148))</f>
        <v/>
      </c>
      <c r="T148" s="14" t="str">
        <f aca="false">IF(OR(S148="",L148=""),"",L148/(S148*Inputs!$B$10))</f>
        <v/>
      </c>
      <c r="U148" s="14" t="str">
        <f aca="false">IF(OR(R148="",L148=""),"",4*L148/(PI()*R148^2))</f>
        <v/>
      </c>
      <c r="V148" s="14"/>
      <c r="W148" s="14" t="str">
        <f aca="false">IF(A148="","",IF(A148=Inputs!$B$6,Inputs!$B$22,IF(B148="","",IFERROR(INDEX($X$4:$X$203,MATCH(B148,$A$4:$A$203,0))+IF(V148="",Inputs!$B$20,V148),""))))</f>
        <v/>
      </c>
      <c r="X148" s="14" t="str">
        <f aca="false">IF(OR(W148="",N148="",C148=""),"",W148+N148*C148)</f>
        <v/>
      </c>
      <c r="Y148" s="14"/>
      <c r="Z148" s="14"/>
      <c r="AA148" s="14" t="str">
        <f aca="false">IF(OR(Y148="",W148=""),"",Y148-W148)</f>
        <v/>
      </c>
      <c r="AB148" s="14" t="str">
        <f aca="false">IF(OR(Z148="",X148=""),"",Z148-X148)</f>
        <v/>
      </c>
      <c r="AC148" s="19" t="str">
        <f aca="false">IF(A148="","",IF(OR(T148&gt;1,AND(AV148&lt;&gt;"",AV148&lt;Inputs!$B$11),AND(AV148&lt;&gt;"",AV148&gt;Inputs!$B$12),AA148&lt;Inputs!$B$19,AB148&lt;Inputs!$B$19,N148&lt;Inputs!$B$7,N148&gt;Inputs!$B$8),"CHECK","OK"))</f>
        <v/>
      </c>
      <c r="AD148" s="9" t="str">
        <f aca="false">IF(A148="","",(1/Inputs!$B$9)*(PI()*(Inputs!$F$5/1000)^2/4)*((Inputs!$F$5/1000/4)^(2/3))*SQRT(N148))</f>
        <v/>
      </c>
      <c r="AE148" s="9" t="str">
        <f aca="false">IF(A148="","",(1/Inputs!$B$9)*(PI()*(Inputs!$F$6/1000)^2/4)*((Inputs!$F$6/1000/4)^(2/3))*SQRT(N148))</f>
        <v/>
      </c>
      <c r="AF148" s="9" t="str">
        <f aca="false">IF(A148="","",(1/Inputs!$B$9)*(PI()*(Inputs!$F$7/1000)^2/4)*((Inputs!$F$7/1000/4)^(2/3))*SQRT(N148))</f>
        <v/>
      </c>
      <c r="AG148" s="9" t="str">
        <f aca="false">IF(A148="","",(1/Inputs!$B$9)*(PI()*(Inputs!$F$8/1000)^2/4)*((Inputs!$F$8/1000/4)^(2/3))*SQRT(N148))</f>
        <v/>
      </c>
      <c r="AH148" s="9" t="str">
        <f aca="false">IF(A148="","",(1/Inputs!$B$9)*(PI()*(Inputs!$F$9/1000)^2/4)*((Inputs!$F$9/1000/4)^(2/3))*SQRT(N148))</f>
        <v/>
      </c>
      <c r="AI148" s="9" t="str">
        <f aca="false">IF(A148="","",(1/Inputs!$B$9)*(PI()*(Inputs!$F$10/1000)^2/4)*((Inputs!$F$10/1000/4)^(2/3))*SQRT(N148))</f>
        <v/>
      </c>
      <c r="AJ148" s="9" t="str">
        <f aca="false">IF(A148="","",(1/Inputs!$B$9)*(PI()*(Inputs!$F$11/1000)^2/4)*((Inputs!$F$11/1000/4)^(2/3))*SQRT(N148))</f>
        <v/>
      </c>
      <c r="AK148" s="9" t="str">
        <f aca="false">IF(A148="","",(1/Inputs!$B$9)*(PI()*(Inputs!$F$12/1000)^2/4)*((Inputs!$F$12/1000/4)^(2/3))*SQRT(N148))</f>
        <v/>
      </c>
      <c r="AL148" s="9" t="str">
        <f aca="false">IF(A148="","",(1/Inputs!$B$9)*(PI()*(Inputs!$F$13/1000)^2/4)*((Inputs!$F$13/1000/4)^(2/3))*SQRT(N148))</f>
        <v/>
      </c>
      <c r="AM148" s="9" t="str">
        <f aca="false">IF(A148="","",(1/Inputs!$B$9)*(PI()*(Inputs!$F$14/1000)^2/4)*((Inputs!$F$14/1000/4)^(2/3))*SQRT(N148))</f>
        <v/>
      </c>
      <c r="AN148" s="9" t="str">
        <f aca="false">IF(A148="","",COUNTIF($B$4:$B$203,$A148))</f>
        <v/>
      </c>
      <c r="AO148" s="9" t="str">
        <f aca="false">IF(A148="","",IF(AN148=0,"START","CONTINUOUS"))</f>
        <v/>
      </c>
      <c r="AP148" s="13" t="str">
        <f aca="false">IF(A148="","",IF(H148="",Inputs!$B$18,H148))</f>
        <v/>
      </c>
      <c r="AQ148" s="13" t="str">
        <f aca="false">IF(A148="","",IFERROR(maxifs($AS$4:$AS$203,$B$4:$B$203,$A148),""))</f>
        <v/>
      </c>
      <c r="AR148" s="13" t="str">
        <f aca="false">IF(A148="","",IF(OR(C148="",Inputs!$B$23=""),"",C148/(Inputs!$B$23*60)))</f>
        <v/>
      </c>
      <c r="AS148" s="13" t="str">
        <f aca="false">IF(A148="","",IF(AN148=0,AP148+AR148,IF(AQ148="",AP148+AR148,AQ148+AR148)))</f>
        <v/>
      </c>
      <c r="AT148" s="13" t="str">
        <f aca="false">IF(A148="","",U148)</f>
        <v/>
      </c>
      <c r="AU148" s="13" t="str">
        <f aca="false">IF(OR(R148="",N148=""),"",(1/Inputs!$B$9)*((R148/4)^(2/3))*SQRT(N148))</f>
        <v/>
      </c>
      <c r="AV148" s="13" t="str">
        <f aca="false">IF(A148="","",IF(AND(AT148="",AU148="",AX148=""),"",IF(OR(UPPER(TRIM(Inputs!$B$24))="MANNING",UPPER(TRIM(Inputs!$B$24))="M"),AU148,IF(OR(UPPER(TRIM(Inputs!$B$24))="PARTIAL",UPPER(TRIM(Inputs!$B$24))="P"),AX148,IF(OR(UPPER(TRIM(Inputs!$B$24))="MAX",UPPER(TRIM(Inputs!$B$24))="X"),MAX(IF(AT148="",0,AT148),IF(AU148="",0,AU148),IF(AX148="",0,AX148)),AT148)))))</f>
        <v/>
      </c>
      <c r="AW148" s="13" t="str">
        <f aca="false">IF(AY148="","",CE148)</f>
        <v/>
      </c>
      <c r="AX148" s="13" t="str">
        <f aca="false">IF(OR(AY148="",AW148="",R148="",R148&lt;=0,AW148&lt;=0),"",AY148/((R148^2/8)*(2*ACOS(1-2*AW148/R148)-SIN(2*ACOS(1-2*AW148/R148)))))</f>
        <v/>
      </c>
      <c r="AY148" s="9" t="str">
        <f aca="false">IF(OR(L148="",AZ148=""),"",MIN(L148,AZ148))</f>
        <v/>
      </c>
      <c r="AZ148" s="9" t="str">
        <f aca="false">IF(OR(L148="",R148="",N148=""),"",IF(OR(R148="",N148="",(0.94*R148)="",R148&lt;=0,(0.94*R148)&lt;=0),"",(1/Inputs!$B$9)*((R148^2/8)*((2*ACOS(1-2*(0.94*R148)/R148))-SIN((2*ACOS(1-2*(0.94*R148)/R148)))))*((((R148^2/8)*((2*ACOS(1-2*(0.94*R148)/R148))-SIN((2*ACOS(1-2*(0.94*R148)/R148)))))/((R148/2)*((2*ACOS(1-2*(0.94*R148)/R148)))))^(2/3))*SQRT(N148)))</f>
        <v/>
      </c>
      <c r="BA148" s="9" t="str">
        <f aca="false">IF(AY148="","",0.001*R148)</f>
        <v/>
      </c>
      <c r="BB148" s="9" t="str">
        <f aca="false">IF(AY148="","",0.94*R148)</f>
        <v/>
      </c>
      <c r="BC148" s="9" t="str">
        <f aca="false">IF(AY148="","",(BA148+BB148)/2)</f>
        <v/>
      </c>
      <c r="BD148" s="9" t="str">
        <f aca="false">IF(OR(R148="",N148="",BC148="",R148&lt;=0,BC148&lt;=0),"",(1/Inputs!$B$9)*((R148^2/8)*((2*ACOS(1-2*BC148/R148))-SIN((2*ACOS(1-2*BC148/R148)))))*((((R148^2/8)*((2*ACOS(1-2*BC148/R148))-SIN((2*ACOS(1-2*BC148/R148)))))/((R148/2)*((2*ACOS(1-2*BC148/R148)))))^(2/3))*SQRT(N148))</f>
        <v/>
      </c>
      <c r="BE148" s="9" t="str">
        <f aca="false">IF(AY148="","",IF(BD148&lt;AY148,BC148,BA148))</f>
        <v/>
      </c>
      <c r="BF148" s="9" t="str">
        <f aca="false">IF(AY148="","",IF(BD148&lt;AY148,BB148,BC148))</f>
        <v/>
      </c>
      <c r="BG148" s="9" t="str">
        <f aca="false">IF(AY148="","",(BE148+BF148)/2)</f>
        <v/>
      </c>
      <c r="BH148" s="9" t="str">
        <f aca="false">IF(OR(R148="",N148="",BG148="",R148&lt;=0,BG148&lt;=0),"",(1/Inputs!$B$9)*((R148^2/8)*((2*ACOS(1-2*BG148/R148))-SIN((2*ACOS(1-2*BG148/R148)))))*((((R148^2/8)*((2*ACOS(1-2*BG148/R148))-SIN((2*ACOS(1-2*BG148/R148)))))/((R148/2)*((2*ACOS(1-2*BG148/R148)))))^(2/3))*SQRT(N148))</f>
        <v/>
      </c>
      <c r="BI148" s="9" t="str">
        <f aca="false">IF(AY148="","",IF(BH148&lt;AY148,BG148,BE148))</f>
        <v/>
      </c>
      <c r="BJ148" s="9" t="str">
        <f aca="false">IF(AY148="","",IF(BH148&lt;AY148,BF148,BG148))</f>
        <v/>
      </c>
      <c r="BK148" s="9" t="str">
        <f aca="false">IF(AY148="","",(BI148+BJ148)/2)</f>
        <v/>
      </c>
      <c r="BL148" s="9" t="str">
        <f aca="false">IF(OR(R148="",N148="",BK148="",R148&lt;=0,BK148&lt;=0),"",(1/Inputs!$B$9)*((R148^2/8)*((2*ACOS(1-2*BK148/R148))-SIN((2*ACOS(1-2*BK148/R148)))))*((((R148^2/8)*((2*ACOS(1-2*BK148/R148))-SIN((2*ACOS(1-2*BK148/R148)))))/((R148/2)*((2*ACOS(1-2*BK148/R148)))))^(2/3))*SQRT(N148))</f>
        <v/>
      </c>
      <c r="BM148" s="9" t="str">
        <f aca="false">IF(AY148="","",IF(BL148&lt;AY148,BK148,BI148))</f>
        <v/>
      </c>
      <c r="BN148" s="9" t="str">
        <f aca="false">IF(AY148="","",IF(BL148&lt;AY148,BJ148,BK148))</f>
        <v/>
      </c>
      <c r="BO148" s="9" t="str">
        <f aca="false">IF(AY148="","",(BM148+BN148)/2)</f>
        <v/>
      </c>
      <c r="BP148" s="9" t="str">
        <f aca="false">IF(OR(R148="",N148="",BO148="",R148&lt;=0,BO148&lt;=0),"",(1/Inputs!$B$9)*((R148^2/8)*((2*ACOS(1-2*BO148/R148))-SIN((2*ACOS(1-2*BO148/R148)))))*((((R148^2/8)*((2*ACOS(1-2*BO148/R148))-SIN((2*ACOS(1-2*BO148/R148)))))/((R148/2)*((2*ACOS(1-2*BO148/R148)))))^(2/3))*SQRT(N148))</f>
        <v/>
      </c>
      <c r="BQ148" s="9" t="str">
        <f aca="false">IF(AY148="","",IF(BP148&lt;AY148,BO148,BM148))</f>
        <v/>
      </c>
      <c r="BR148" s="9" t="str">
        <f aca="false">IF(AY148="","",IF(BP148&lt;AY148,BN148,BO148))</f>
        <v/>
      </c>
      <c r="BS148" s="9" t="str">
        <f aca="false">IF(AY148="","",(BQ148+BR148)/2)</f>
        <v/>
      </c>
      <c r="BT148" s="9" t="str">
        <f aca="false">IF(OR(R148="",N148="",BS148="",R148&lt;=0,BS148&lt;=0),"",(1/Inputs!$B$9)*((R148^2/8)*((2*ACOS(1-2*BS148/R148))-SIN((2*ACOS(1-2*BS148/R148)))))*((((R148^2/8)*((2*ACOS(1-2*BS148/R148))-SIN((2*ACOS(1-2*BS148/R148)))))/((R148/2)*((2*ACOS(1-2*BS148/R148)))))^(2/3))*SQRT(N148))</f>
        <v/>
      </c>
      <c r="BU148" s="9" t="str">
        <f aca="false">IF(AY148="","",IF(BT148&lt;AY148,BS148,BQ148))</f>
        <v/>
      </c>
      <c r="BV148" s="9" t="str">
        <f aca="false">IF(AY148="","",IF(BT148&lt;AY148,BR148,BS148))</f>
        <v/>
      </c>
      <c r="BW148" s="9" t="str">
        <f aca="false">IF(AY148="","",(BU148+BV148)/2)</f>
        <v/>
      </c>
      <c r="BX148" s="9" t="str">
        <f aca="false">IF(OR(R148="",N148="",BW148="",R148&lt;=0,BW148&lt;=0),"",(1/Inputs!$B$9)*((R148^2/8)*((2*ACOS(1-2*BW148/R148))-SIN((2*ACOS(1-2*BW148/R148)))))*((((R148^2/8)*((2*ACOS(1-2*BW148/R148))-SIN((2*ACOS(1-2*BW148/R148)))))/((R148/2)*((2*ACOS(1-2*BW148/R148)))))^(2/3))*SQRT(N148))</f>
        <v/>
      </c>
      <c r="BY148" s="9" t="str">
        <f aca="false">IF(AY148="","",IF(BX148&lt;AY148,BW148,BU148))</f>
        <v/>
      </c>
      <c r="BZ148" s="9" t="str">
        <f aca="false">IF(AY148="","",IF(BX148&lt;AY148,BV148,BW148))</f>
        <v/>
      </c>
      <c r="CA148" s="9" t="str">
        <f aca="false">IF(AY148="","",(BY148+BZ148)/2)</f>
        <v/>
      </c>
      <c r="CB148" s="9" t="str">
        <f aca="false">IF(OR(R148="",N148="",CA148="",R148&lt;=0,CA148&lt;=0),"",(1/Inputs!$B$9)*((R148^2/8)*((2*ACOS(1-2*CA148/R148))-SIN((2*ACOS(1-2*CA148/R148)))))*((((R148^2/8)*((2*ACOS(1-2*CA148/R148))-SIN((2*ACOS(1-2*CA148/R148)))))/((R148/2)*((2*ACOS(1-2*CA148/R148)))))^(2/3))*SQRT(N148))</f>
        <v/>
      </c>
      <c r="CC148" s="9" t="str">
        <f aca="false">IF(AY148="","",IF(CB148&lt;AY148,CA148,BY148))</f>
        <v/>
      </c>
      <c r="CD148" s="9" t="str">
        <f aca="false">IF(AY148="","",IF(CB148&lt;AY148,BZ148,CA148))</f>
        <v/>
      </c>
      <c r="CE148" s="9" t="str">
        <f aca="false">IF(AY148="","",(CC148+CD148)/2)</f>
        <v/>
      </c>
    </row>
    <row r="149" customFormat="false" ht="15" hidden="false" customHeight="false" outlineLevel="0" collapsed="false">
      <c r="A149" s="9"/>
      <c r="B149" s="9"/>
      <c r="C149" s="14"/>
      <c r="D149" s="14"/>
      <c r="E149" s="14" t="n">
        <f aca="false">SUMIFS(CB_Tributaires!$C:$C,CB_Tributaires!$B:$B,$A149)</f>
        <v>0</v>
      </c>
      <c r="F149" s="14" t="n">
        <f aca="false">IF(D149="",E149,D149)</f>
        <v>0</v>
      </c>
      <c r="G149" s="9"/>
      <c r="H149" s="14"/>
      <c r="I149" s="14" t="str">
        <f aca="false">IF(A149="","",Inputs!$B$13/((IF(AS149="",Inputs!$B$18,AS149)+Inputs!$B$14)^Inputs!$B$15))</f>
        <v/>
      </c>
      <c r="J149" s="14" t="str">
        <f aca="false">IF(A149="","",0.000000278*IF(G149="",Inputs!$B$17,G149)*F149*I149)</f>
        <v/>
      </c>
      <c r="K149" s="14" t="str">
        <f aca="false">IF(A149="","",SUMIFS($L$4:$L$203,$B$4:$B$203,$A149))</f>
        <v/>
      </c>
      <c r="L149" s="14" t="str">
        <f aca="false">IF(A149="","",(J149+K149)*Inputs!$B$16)</f>
        <v/>
      </c>
      <c r="M149" s="14"/>
      <c r="N149" s="14" t="str">
        <f aca="false">IF(A149="","",IF(M149="",Inputs!$B$7,M149))</f>
        <v/>
      </c>
      <c r="O149" s="9" t="str">
        <f aca="false">IF(A149="","",IF(L149/Inputs!$B$10&lt;=AD149,Inputs!$F$5,IF(L149/Inputs!$B$10&gt;AM149,"OVERSIZE",INDEX(Inputs!$F$5:$F$14,MATCH(L149/Inputs!$B$10,AD149:AM149,1)+1))))</f>
        <v/>
      </c>
      <c r="P149" s="9"/>
      <c r="Q149" s="9" t="str">
        <f aca="false">IF(A149="","",IF(P149="",O149,P149))</f>
        <v/>
      </c>
      <c r="R149" s="14" t="str">
        <f aca="false">IF(OR(Q149="",Q149="OVERSIZE"),"",Q149/1000)</f>
        <v/>
      </c>
      <c r="S149" s="14" t="str">
        <f aca="false">IF(R149="","",(1/Inputs!$B$9)*(PI()*R149^2/4)*((R149/4)^(2/3))*SQRT(N149))</f>
        <v/>
      </c>
      <c r="T149" s="14" t="str">
        <f aca="false">IF(OR(S149="",L149=""),"",L149/(S149*Inputs!$B$10))</f>
        <v/>
      </c>
      <c r="U149" s="14" t="str">
        <f aca="false">IF(OR(R149="",L149=""),"",4*L149/(PI()*R149^2))</f>
        <v/>
      </c>
      <c r="V149" s="14"/>
      <c r="W149" s="14" t="str">
        <f aca="false">IF(A149="","",IF(A149=Inputs!$B$6,Inputs!$B$22,IF(B149="","",IFERROR(INDEX($X$4:$X$203,MATCH(B149,$A$4:$A$203,0))+IF(V149="",Inputs!$B$20,V149),""))))</f>
        <v/>
      </c>
      <c r="X149" s="14" t="str">
        <f aca="false">IF(OR(W149="",N149="",C149=""),"",W149+N149*C149)</f>
        <v/>
      </c>
      <c r="Y149" s="14"/>
      <c r="Z149" s="14"/>
      <c r="AA149" s="14" t="str">
        <f aca="false">IF(OR(Y149="",W149=""),"",Y149-W149)</f>
        <v/>
      </c>
      <c r="AB149" s="14" t="str">
        <f aca="false">IF(OR(Z149="",X149=""),"",Z149-X149)</f>
        <v/>
      </c>
      <c r="AC149" s="19" t="str">
        <f aca="false">IF(A149="","",IF(OR(T149&gt;1,AND(AV149&lt;&gt;"",AV149&lt;Inputs!$B$11),AND(AV149&lt;&gt;"",AV149&gt;Inputs!$B$12),AA149&lt;Inputs!$B$19,AB149&lt;Inputs!$B$19,N149&lt;Inputs!$B$7,N149&gt;Inputs!$B$8),"CHECK","OK"))</f>
        <v/>
      </c>
      <c r="AD149" s="9" t="str">
        <f aca="false">IF(A149="","",(1/Inputs!$B$9)*(PI()*(Inputs!$F$5/1000)^2/4)*((Inputs!$F$5/1000/4)^(2/3))*SQRT(N149))</f>
        <v/>
      </c>
      <c r="AE149" s="9" t="str">
        <f aca="false">IF(A149="","",(1/Inputs!$B$9)*(PI()*(Inputs!$F$6/1000)^2/4)*((Inputs!$F$6/1000/4)^(2/3))*SQRT(N149))</f>
        <v/>
      </c>
      <c r="AF149" s="9" t="str">
        <f aca="false">IF(A149="","",(1/Inputs!$B$9)*(PI()*(Inputs!$F$7/1000)^2/4)*((Inputs!$F$7/1000/4)^(2/3))*SQRT(N149))</f>
        <v/>
      </c>
      <c r="AG149" s="9" t="str">
        <f aca="false">IF(A149="","",(1/Inputs!$B$9)*(PI()*(Inputs!$F$8/1000)^2/4)*((Inputs!$F$8/1000/4)^(2/3))*SQRT(N149))</f>
        <v/>
      </c>
      <c r="AH149" s="9" t="str">
        <f aca="false">IF(A149="","",(1/Inputs!$B$9)*(PI()*(Inputs!$F$9/1000)^2/4)*((Inputs!$F$9/1000/4)^(2/3))*SQRT(N149))</f>
        <v/>
      </c>
      <c r="AI149" s="9" t="str">
        <f aca="false">IF(A149="","",(1/Inputs!$B$9)*(PI()*(Inputs!$F$10/1000)^2/4)*((Inputs!$F$10/1000/4)^(2/3))*SQRT(N149))</f>
        <v/>
      </c>
      <c r="AJ149" s="9" t="str">
        <f aca="false">IF(A149="","",(1/Inputs!$B$9)*(PI()*(Inputs!$F$11/1000)^2/4)*((Inputs!$F$11/1000/4)^(2/3))*SQRT(N149))</f>
        <v/>
      </c>
      <c r="AK149" s="9" t="str">
        <f aca="false">IF(A149="","",(1/Inputs!$B$9)*(PI()*(Inputs!$F$12/1000)^2/4)*((Inputs!$F$12/1000/4)^(2/3))*SQRT(N149))</f>
        <v/>
      </c>
      <c r="AL149" s="9" t="str">
        <f aca="false">IF(A149="","",(1/Inputs!$B$9)*(PI()*(Inputs!$F$13/1000)^2/4)*((Inputs!$F$13/1000/4)^(2/3))*SQRT(N149))</f>
        <v/>
      </c>
      <c r="AM149" s="9" t="str">
        <f aca="false">IF(A149="","",(1/Inputs!$B$9)*(PI()*(Inputs!$F$14/1000)^2/4)*((Inputs!$F$14/1000/4)^(2/3))*SQRT(N149))</f>
        <v/>
      </c>
      <c r="AN149" s="9" t="str">
        <f aca="false">IF(A149="","",COUNTIF($B$4:$B$203,$A149))</f>
        <v/>
      </c>
      <c r="AO149" s="9" t="str">
        <f aca="false">IF(A149="","",IF(AN149=0,"START","CONTINUOUS"))</f>
        <v/>
      </c>
      <c r="AP149" s="13" t="str">
        <f aca="false">IF(A149="","",IF(H149="",Inputs!$B$18,H149))</f>
        <v/>
      </c>
      <c r="AQ149" s="13" t="str">
        <f aca="false">IF(A149="","",IFERROR(maxifs($AS$4:$AS$203,$B$4:$B$203,$A149),""))</f>
        <v/>
      </c>
      <c r="AR149" s="13" t="str">
        <f aca="false">IF(A149="","",IF(OR(C149="",Inputs!$B$23=""),"",C149/(Inputs!$B$23*60)))</f>
        <v/>
      </c>
      <c r="AS149" s="13" t="str">
        <f aca="false">IF(A149="","",IF(AN149=0,AP149+AR149,IF(AQ149="",AP149+AR149,AQ149+AR149)))</f>
        <v/>
      </c>
      <c r="AT149" s="13" t="str">
        <f aca="false">IF(A149="","",U149)</f>
        <v/>
      </c>
      <c r="AU149" s="13" t="str">
        <f aca="false">IF(OR(R149="",N149=""),"",(1/Inputs!$B$9)*((R149/4)^(2/3))*SQRT(N149))</f>
        <v/>
      </c>
      <c r="AV149" s="13" t="str">
        <f aca="false">IF(A149="","",IF(AND(AT149="",AU149="",AX149=""),"",IF(OR(UPPER(TRIM(Inputs!$B$24))="MANNING",UPPER(TRIM(Inputs!$B$24))="M"),AU149,IF(OR(UPPER(TRIM(Inputs!$B$24))="PARTIAL",UPPER(TRIM(Inputs!$B$24))="P"),AX149,IF(OR(UPPER(TRIM(Inputs!$B$24))="MAX",UPPER(TRIM(Inputs!$B$24))="X"),MAX(IF(AT149="",0,AT149),IF(AU149="",0,AU149),IF(AX149="",0,AX149)),AT149)))))</f>
        <v/>
      </c>
      <c r="AW149" s="13" t="str">
        <f aca="false">IF(AY149="","",CE149)</f>
        <v/>
      </c>
      <c r="AX149" s="13" t="str">
        <f aca="false">IF(OR(AY149="",AW149="",R149="",R149&lt;=0,AW149&lt;=0),"",AY149/((R149^2/8)*(2*ACOS(1-2*AW149/R149)-SIN(2*ACOS(1-2*AW149/R149)))))</f>
        <v/>
      </c>
      <c r="AY149" s="9" t="str">
        <f aca="false">IF(OR(L149="",AZ149=""),"",MIN(L149,AZ149))</f>
        <v/>
      </c>
      <c r="AZ149" s="9" t="str">
        <f aca="false">IF(OR(L149="",R149="",N149=""),"",IF(OR(R149="",N149="",(0.94*R149)="",R149&lt;=0,(0.94*R149)&lt;=0),"",(1/Inputs!$B$9)*((R149^2/8)*((2*ACOS(1-2*(0.94*R149)/R149))-SIN((2*ACOS(1-2*(0.94*R149)/R149)))))*((((R149^2/8)*((2*ACOS(1-2*(0.94*R149)/R149))-SIN((2*ACOS(1-2*(0.94*R149)/R149)))))/((R149/2)*((2*ACOS(1-2*(0.94*R149)/R149)))))^(2/3))*SQRT(N149)))</f>
        <v/>
      </c>
      <c r="BA149" s="9" t="str">
        <f aca="false">IF(AY149="","",0.001*R149)</f>
        <v/>
      </c>
      <c r="BB149" s="9" t="str">
        <f aca="false">IF(AY149="","",0.94*R149)</f>
        <v/>
      </c>
      <c r="BC149" s="9" t="str">
        <f aca="false">IF(AY149="","",(BA149+BB149)/2)</f>
        <v/>
      </c>
      <c r="BD149" s="9" t="str">
        <f aca="false">IF(OR(R149="",N149="",BC149="",R149&lt;=0,BC149&lt;=0),"",(1/Inputs!$B$9)*((R149^2/8)*((2*ACOS(1-2*BC149/R149))-SIN((2*ACOS(1-2*BC149/R149)))))*((((R149^2/8)*((2*ACOS(1-2*BC149/R149))-SIN((2*ACOS(1-2*BC149/R149)))))/((R149/2)*((2*ACOS(1-2*BC149/R149)))))^(2/3))*SQRT(N149))</f>
        <v/>
      </c>
      <c r="BE149" s="9" t="str">
        <f aca="false">IF(AY149="","",IF(BD149&lt;AY149,BC149,BA149))</f>
        <v/>
      </c>
      <c r="BF149" s="9" t="str">
        <f aca="false">IF(AY149="","",IF(BD149&lt;AY149,BB149,BC149))</f>
        <v/>
      </c>
      <c r="BG149" s="9" t="str">
        <f aca="false">IF(AY149="","",(BE149+BF149)/2)</f>
        <v/>
      </c>
      <c r="BH149" s="9" t="str">
        <f aca="false">IF(OR(R149="",N149="",BG149="",R149&lt;=0,BG149&lt;=0),"",(1/Inputs!$B$9)*((R149^2/8)*((2*ACOS(1-2*BG149/R149))-SIN((2*ACOS(1-2*BG149/R149)))))*((((R149^2/8)*((2*ACOS(1-2*BG149/R149))-SIN((2*ACOS(1-2*BG149/R149)))))/((R149/2)*((2*ACOS(1-2*BG149/R149)))))^(2/3))*SQRT(N149))</f>
        <v/>
      </c>
      <c r="BI149" s="9" t="str">
        <f aca="false">IF(AY149="","",IF(BH149&lt;AY149,BG149,BE149))</f>
        <v/>
      </c>
      <c r="BJ149" s="9" t="str">
        <f aca="false">IF(AY149="","",IF(BH149&lt;AY149,BF149,BG149))</f>
        <v/>
      </c>
      <c r="BK149" s="9" t="str">
        <f aca="false">IF(AY149="","",(BI149+BJ149)/2)</f>
        <v/>
      </c>
      <c r="BL149" s="9" t="str">
        <f aca="false">IF(OR(R149="",N149="",BK149="",R149&lt;=0,BK149&lt;=0),"",(1/Inputs!$B$9)*((R149^2/8)*((2*ACOS(1-2*BK149/R149))-SIN((2*ACOS(1-2*BK149/R149)))))*((((R149^2/8)*((2*ACOS(1-2*BK149/R149))-SIN((2*ACOS(1-2*BK149/R149)))))/((R149/2)*((2*ACOS(1-2*BK149/R149)))))^(2/3))*SQRT(N149))</f>
        <v/>
      </c>
      <c r="BM149" s="9" t="str">
        <f aca="false">IF(AY149="","",IF(BL149&lt;AY149,BK149,BI149))</f>
        <v/>
      </c>
      <c r="BN149" s="9" t="str">
        <f aca="false">IF(AY149="","",IF(BL149&lt;AY149,BJ149,BK149))</f>
        <v/>
      </c>
      <c r="BO149" s="9" t="str">
        <f aca="false">IF(AY149="","",(BM149+BN149)/2)</f>
        <v/>
      </c>
      <c r="BP149" s="9" t="str">
        <f aca="false">IF(OR(R149="",N149="",BO149="",R149&lt;=0,BO149&lt;=0),"",(1/Inputs!$B$9)*((R149^2/8)*((2*ACOS(1-2*BO149/R149))-SIN((2*ACOS(1-2*BO149/R149)))))*((((R149^2/8)*((2*ACOS(1-2*BO149/R149))-SIN((2*ACOS(1-2*BO149/R149)))))/((R149/2)*((2*ACOS(1-2*BO149/R149)))))^(2/3))*SQRT(N149))</f>
        <v/>
      </c>
      <c r="BQ149" s="9" t="str">
        <f aca="false">IF(AY149="","",IF(BP149&lt;AY149,BO149,BM149))</f>
        <v/>
      </c>
      <c r="BR149" s="9" t="str">
        <f aca="false">IF(AY149="","",IF(BP149&lt;AY149,BN149,BO149))</f>
        <v/>
      </c>
      <c r="BS149" s="9" t="str">
        <f aca="false">IF(AY149="","",(BQ149+BR149)/2)</f>
        <v/>
      </c>
      <c r="BT149" s="9" t="str">
        <f aca="false">IF(OR(R149="",N149="",BS149="",R149&lt;=0,BS149&lt;=0),"",(1/Inputs!$B$9)*((R149^2/8)*((2*ACOS(1-2*BS149/R149))-SIN((2*ACOS(1-2*BS149/R149)))))*((((R149^2/8)*((2*ACOS(1-2*BS149/R149))-SIN((2*ACOS(1-2*BS149/R149)))))/((R149/2)*((2*ACOS(1-2*BS149/R149)))))^(2/3))*SQRT(N149))</f>
        <v/>
      </c>
      <c r="BU149" s="9" t="str">
        <f aca="false">IF(AY149="","",IF(BT149&lt;AY149,BS149,BQ149))</f>
        <v/>
      </c>
      <c r="BV149" s="9" t="str">
        <f aca="false">IF(AY149="","",IF(BT149&lt;AY149,BR149,BS149))</f>
        <v/>
      </c>
      <c r="BW149" s="9" t="str">
        <f aca="false">IF(AY149="","",(BU149+BV149)/2)</f>
        <v/>
      </c>
      <c r="BX149" s="9" t="str">
        <f aca="false">IF(OR(R149="",N149="",BW149="",R149&lt;=0,BW149&lt;=0),"",(1/Inputs!$B$9)*((R149^2/8)*((2*ACOS(1-2*BW149/R149))-SIN((2*ACOS(1-2*BW149/R149)))))*((((R149^2/8)*((2*ACOS(1-2*BW149/R149))-SIN((2*ACOS(1-2*BW149/R149)))))/((R149/2)*((2*ACOS(1-2*BW149/R149)))))^(2/3))*SQRT(N149))</f>
        <v/>
      </c>
      <c r="BY149" s="9" t="str">
        <f aca="false">IF(AY149="","",IF(BX149&lt;AY149,BW149,BU149))</f>
        <v/>
      </c>
      <c r="BZ149" s="9" t="str">
        <f aca="false">IF(AY149="","",IF(BX149&lt;AY149,BV149,BW149))</f>
        <v/>
      </c>
      <c r="CA149" s="9" t="str">
        <f aca="false">IF(AY149="","",(BY149+BZ149)/2)</f>
        <v/>
      </c>
      <c r="CB149" s="9" t="str">
        <f aca="false">IF(OR(R149="",N149="",CA149="",R149&lt;=0,CA149&lt;=0),"",(1/Inputs!$B$9)*((R149^2/8)*((2*ACOS(1-2*CA149/R149))-SIN((2*ACOS(1-2*CA149/R149)))))*((((R149^2/8)*((2*ACOS(1-2*CA149/R149))-SIN((2*ACOS(1-2*CA149/R149)))))/((R149/2)*((2*ACOS(1-2*CA149/R149)))))^(2/3))*SQRT(N149))</f>
        <v/>
      </c>
      <c r="CC149" s="9" t="str">
        <f aca="false">IF(AY149="","",IF(CB149&lt;AY149,CA149,BY149))</f>
        <v/>
      </c>
      <c r="CD149" s="9" t="str">
        <f aca="false">IF(AY149="","",IF(CB149&lt;AY149,BZ149,CA149))</f>
        <v/>
      </c>
      <c r="CE149" s="9" t="str">
        <f aca="false">IF(AY149="","",(CC149+CD149)/2)</f>
        <v/>
      </c>
    </row>
    <row r="150" customFormat="false" ht="15" hidden="false" customHeight="false" outlineLevel="0" collapsed="false">
      <c r="A150" s="9"/>
      <c r="B150" s="9"/>
      <c r="C150" s="14"/>
      <c r="D150" s="14"/>
      <c r="E150" s="14" t="n">
        <f aca="false">SUMIFS(CB_Tributaires!$C:$C,CB_Tributaires!$B:$B,$A150)</f>
        <v>0</v>
      </c>
      <c r="F150" s="14" t="n">
        <f aca="false">IF(D150="",E150,D150)</f>
        <v>0</v>
      </c>
      <c r="G150" s="9"/>
      <c r="H150" s="14"/>
      <c r="I150" s="14" t="str">
        <f aca="false">IF(A150="","",Inputs!$B$13/((IF(AS150="",Inputs!$B$18,AS150)+Inputs!$B$14)^Inputs!$B$15))</f>
        <v/>
      </c>
      <c r="J150" s="14" t="str">
        <f aca="false">IF(A150="","",0.000000278*IF(G150="",Inputs!$B$17,G150)*F150*I150)</f>
        <v/>
      </c>
      <c r="K150" s="14" t="str">
        <f aca="false">IF(A150="","",SUMIFS($L$4:$L$203,$B$4:$B$203,$A150))</f>
        <v/>
      </c>
      <c r="L150" s="14" t="str">
        <f aca="false">IF(A150="","",(J150+K150)*Inputs!$B$16)</f>
        <v/>
      </c>
      <c r="M150" s="14"/>
      <c r="N150" s="14" t="str">
        <f aca="false">IF(A150="","",IF(M150="",Inputs!$B$7,M150))</f>
        <v/>
      </c>
      <c r="O150" s="9" t="str">
        <f aca="false">IF(A150="","",IF(L150/Inputs!$B$10&lt;=AD150,Inputs!$F$5,IF(L150/Inputs!$B$10&gt;AM150,"OVERSIZE",INDEX(Inputs!$F$5:$F$14,MATCH(L150/Inputs!$B$10,AD150:AM150,1)+1))))</f>
        <v/>
      </c>
      <c r="P150" s="9"/>
      <c r="Q150" s="9" t="str">
        <f aca="false">IF(A150="","",IF(P150="",O150,P150))</f>
        <v/>
      </c>
      <c r="R150" s="14" t="str">
        <f aca="false">IF(OR(Q150="",Q150="OVERSIZE"),"",Q150/1000)</f>
        <v/>
      </c>
      <c r="S150" s="14" t="str">
        <f aca="false">IF(R150="","",(1/Inputs!$B$9)*(PI()*R150^2/4)*((R150/4)^(2/3))*SQRT(N150))</f>
        <v/>
      </c>
      <c r="T150" s="14" t="str">
        <f aca="false">IF(OR(S150="",L150=""),"",L150/(S150*Inputs!$B$10))</f>
        <v/>
      </c>
      <c r="U150" s="14" t="str">
        <f aca="false">IF(OR(R150="",L150=""),"",4*L150/(PI()*R150^2))</f>
        <v/>
      </c>
      <c r="V150" s="14"/>
      <c r="W150" s="14" t="str">
        <f aca="false">IF(A150="","",IF(A150=Inputs!$B$6,Inputs!$B$22,IF(B150="","",IFERROR(INDEX($X$4:$X$203,MATCH(B150,$A$4:$A$203,0))+IF(V150="",Inputs!$B$20,V150),""))))</f>
        <v/>
      </c>
      <c r="X150" s="14" t="str">
        <f aca="false">IF(OR(W150="",N150="",C150=""),"",W150+N150*C150)</f>
        <v/>
      </c>
      <c r="Y150" s="14"/>
      <c r="Z150" s="14"/>
      <c r="AA150" s="14" t="str">
        <f aca="false">IF(OR(Y150="",W150=""),"",Y150-W150)</f>
        <v/>
      </c>
      <c r="AB150" s="14" t="str">
        <f aca="false">IF(OR(Z150="",X150=""),"",Z150-X150)</f>
        <v/>
      </c>
      <c r="AC150" s="19" t="str">
        <f aca="false">IF(A150="","",IF(OR(T150&gt;1,AND(AV150&lt;&gt;"",AV150&lt;Inputs!$B$11),AND(AV150&lt;&gt;"",AV150&gt;Inputs!$B$12),AA150&lt;Inputs!$B$19,AB150&lt;Inputs!$B$19,N150&lt;Inputs!$B$7,N150&gt;Inputs!$B$8),"CHECK","OK"))</f>
        <v/>
      </c>
      <c r="AD150" s="9" t="str">
        <f aca="false">IF(A150="","",(1/Inputs!$B$9)*(PI()*(Inputs!$F$5/1000)^2/4)*((Inputs!$F$5/1000/4)^(2/3))*SQRT(N150))</f>
        <v/>
      </c>
      <c r="AE150" s="9" t="str">
        <f aca="false">IF(A150="","",(1/Inputs!$B$9)*(PI()*(Inputs!$F$6/1000)^2/4)*((Inputs!$F$6/1000/4)^(2/3))*SQRT(N150))</f>
        <v/>
      </c>
      <c r="AF150" s="9" t="str">
        <f aca="false">IF(A150="","",(1/Inputs!$B$9)*(PI()*(Inputs!$F$7/1000)^2/4)*((Inputs!$F$7/1000/4)^(2/3))*SQRT(N150))</f>
        <v/>
      </c>
      <c r="AG150" s="9" t="str">
        <f aca="false">IF(A150="","",(1/Inputs!$B$9)*(PI()*(Inputs!$F$8/1000)^2/4)*((Inputs!$F$8/1000/4)^(2/3))*SQRT(N150))</f>
        <v/>
      </c>
      <c r="AH150" s="9" t="str">
        <f aca="false">IF(A150="","",(1/Inputs!$B$9)*(PI()*(Inputs!$F$9/1000)^2/4)*((Inputs!$F$9/1000/4)^(2/3))*SQRT(N150))</f>
        <v/>
      </c>
      <c r="AI150" s="9" t="str">
        <f aca="false">IF(A150="","",(1/Inputs!$B$9)*(PI()*(Inputs!$F$10/1000)^2/4)*((Inputs!$F$10/1000/4)^(2/3))*SQRT(N150))</f>
        <v/>
      </c>
      <c r="AJ150" s="9" t="str">
        <f aca="false">IF(A150="","",(1/Inputs!$B$9)*(PI()*(Inputs!$F$11/1000)^2/4)*((Inputs!$F$11/1000/4)^(2/3))*SQRT(N150))</f>
        <v/>
      </c>
      <c r="AK150" s="9" t="str">
        <f aca="false">IF(A150="","",(1/Inputs!$B$9)*(PI()*(Inputs!$F$12/1000)^2/4)*((Inputs!$F$12/1000/4)^(2/3))*SQRT(N150))</f>
        <v/>
      </c>
      <c r="AL150" s="9" t="str">
        <f aca="false">IF(A150="","",(1/Inputs!$B$9)*(PI()*(Inputs!$F$13/1000)^2/4)*((Inputs!$F$13/1000/4)^(2/3))*SQRT(N150))</f>
        <v/>
      </c>
      <c r="AM150" s="9" t="str">
        <f aca="false">IF(A150="","",(1/Inputs!$B$9)*(PI()*(Inputs!$F$14/1000)^2/4)*((Inputs!$F$14/1000/4)^(2/3))*SQRT(N150))</f>
        <v/>
      </c>
      <c r="AN150" s="9" t="str">
        <f aca="false">IF(A150="","",COUNTIF($B$4:$B$203,$A150))</f>
        <v/>
      </c>
      <c r="AO150" s="9" t="str">
        <f aca="false">IF(A150="","",IF(AN150=0,"START","CONTINUOUS"))</f>
        <v/>
      </c>
      <c r="AP150" s="13" t="str">
        <f aca="false">IF(A150="","",IF(H150="",Inputs!$B$18,H150))</f>
        <v/>
      </c>
      <c r="AQ150" s="13" t="str">
        <f aca="false">IF(A150="","",IFERROR(maxifs($AS$4:$AS$203,$B$4:$B$203,$A150),""))</f>
        <v/>
      </c>
      <c r="AR150" s="13" t="str">
        <f aca="false">IF(A150="","",IF(OR(C150="",Inputs!$B$23=""),"",C150/(Inputs!$B$23*60)))</f>
        <v/>
      </c>
      <c r="AS150" s="13" t="str">
        <f aca="false">IF(A150="","",IF(AN150=0,AP150+AR150,IF(AQ150="",AP150+AR150,AQ150+AR150)))</f>
        <v/>
      </c>
      <c r="AT150" s="13" t="str">
        <f aca="false">IF(A150="","",U150)</f>
        <v/>
      </c>
      <c r="AU150" s="13" t="str">
        <f aca="false">IF(OR(R150="",N150=""),"",(1/Inputs!$B$9)*((R150/4)^(2/3))*SQRT(N150))</f>
        <v/>
      </c>
      <c r="AV150" s="13" t="str">
        <f aca="false">IF(A150="","",IF(AND(AT150="",AU150="",AX150=""),"",IF(OR(UPPER(TRIM(Inputs!$B$24))="MANNING",UPPER(TRIM(Inputs!$B$24))="M"),AU150,IF(OR(UPPER(TRIM(Inputs!$B$24))="PARTIAL",UPPER(TRIM(Inputs!$B$24))="P"),AX150,IF(OR(UPPER(TRIM(Inputs!$B$24))="MAX",UPPER(TRIM(Inputs!$B$24))="X"),MAX(IF(AT150="",0,AT150),IF(AU150="",0,AU150),IF(AX150="",0,AX150)),AT150)))))</f>
        <v/>
      </c>
      <c r="AW150" s="13" t="str">
        <f aca="false">IF(AY150="","",CE150)</f>
        <v/>
      </c>
      <c r="AX150" s="13" t="str">
        <f aca="false">IF(OR(AY150="",AW150="",R150="",R150&lt;=0,AW150&lt;=0),"",AY150/((R150^2/8)*(2*ACOS(1-2*AW150/R150)-SIN(2*ACOS(1-2*AW150/R150)))))</f>
        <v/>
      </c>
      <c r="AY150" s="9" t="str">
        <f aca="false">IF(OR(L150="",AZ150=""),"",MIN(L150,AZ150))</f>
        <v/>
      </c>
      <c r="AZ150" s="9" t="str">
        <f aca="false">IF(OR(L150="",R150="",N150=""),"",IF(OR(R150="",N150="",(0.94*R150)="",R150&lt;=0,(0.94*R150)&lt;=0),"",(1/Inputs!$B$9)*((R150^2/8)*((2*ACOS(1-2*(0.94*R150)/R150))-SIN((2*ACOS(1-2*(0.94*R150)/R150)))))*((((R150^2/8)*((2*ACOS(1-2*(0.94*R150)/R150))-SIN((2*ACOS(1-2*(0.94*R150)/R150)))))/((R150/2)*((2*ACOS(1-2*(0.94*R150)/R150)))))^(2/3))*SQRT(N150)))</f>
        <v/>
      </c>
      <c r="BA150" s="9" t="str">
        <f aca="false">IF(AY150="","",0.001*R150)</f>
        <v/>
      </c>
      <c r="BB150" s="9" t="str">
        <f aca="false">IF(AY150="","",0.94*R150)</f>
        <v/>
      </c>
      <c r="BC150" s="9" t="str">
        <f aca="false">IF(AY150="","",(BA150+BB150)/2)</f>
        <v/>
      </c>
      <c r="BD150" s="9" t="str">
        <f aca="false">IF(OR(R150="",N150="",BC150="",R150&lt;=0,BC150&lt;=0),"",(1/Inputs!$B$9)*((R150^2/8)*((2*ACOS(1-2*BC150/R150))-SIN((2*ACOS(1-2*BC150/R150)))))*((((R150^2/8)*((2*ACOS(1-2*BC150/R150))-SIN((2*ACOS(1-2*BC150/R150)))))/((R150/2)*((2*ACOS(1-2*BC150/R150)))))^(2/3))*SQRT(N150))</f>
        <v/>
      </c>
      <c r="BE150" s="9" t="str">
        <f aca="false">IF(AY150="","",IF(BD150&lt;AY150,BC150,BA150))</f>
        <v/>
      </c>
      <c r="BF150" s="9" t="str">
        <f aca="false">IF(AY150="","",IF(BD150&lt;AY150,BB150,BC150))</f>
        <v/>
      </c>
      <c r="BG150" s="9" t="str">
        <f aca="false">IF(AY150="","",(BE150+BF150)/2)</f>
        <v/>
      </c>
      <c r="BH150" s="9" t="str">
        <f aca="false">IF(OR(R150="",N150="",BG150="",R150&lt;=0,BG150&lt;=0),"",(1/Inputs!$B$9)*((R150^2/8)*((2*ACOS(1-2*BG150/R150))-SIN((2*ACOS(1-2*BG150/R150)))))*((((R150^2/8)*((2*ACOS(1-2*BG150/R150))-SIN((2*ACOS(1-2*BG150/R150)))))/((R150/2)*((2*ACOS(1-2*BG150/R150)))))^(2/3))*SQRT(N150))</f>
        <v/>
      </c>
      <c r="BI150" s="9" t="str">
        <f aca="false">IF(AY150="","",IF(BH150&lt;AY150,BG150,BE150))</f>
        <v/>
      </c>
      <c r="BJ150" s="9" t="str">
        <f aca="false">IF(AY150="","",IF(BH150&lt;AY150,BF150,BG150))</f>
        <v/>
      </c>
      <c r="BK150" s="9" t="str">
        <f aca="false">IF(AY150="","",(BI150+BJ150)/2)</f>
        <v/>
      </c>
      <c r="BL150" s="9" t="str">
        <f aca="false">IF(OR(R150="",N150="",BK150="",R150&lt;=0,BK150&lt;=0),"",(1/Inputs!$B$9)*((R150^2/8)*((2*ACOS(1-2*BK150/R150))-SIN((2*ACOS(1-2*BK150/R150)))))*((((R150^2/8)*((2*ACOS(1-2*BK150/R150))-SIN((2*ACOS(1-2*BK150/R150)))))/((R150/2)*((2*ACOS(1-2*BK150/R150)))))^(2/3))*SQRT(N150))</f>
        <v/>
      </c>
      <c r="BM150" s="9" t="str">
        <f aca="false">IF(AY150="","",IF(BL150&lt;AY150,BK150,BI150))</f>
        <v/>
      </c>
      <c r="BN150" s="9" t="str">
        <f aca="false">IF(AY150="","",IF(BL150&lt;AY150,BJ150,BK150))</f>
        <v/>
      </c>
      <c r="BO150" s="9" t="str">
        <f aca="false">IF(AY150="","",(BM150+BN150)/2)</f>
        <v/>
      </c>
      <c r="BP150" s="9" t="str">
        <f aca="false">IF(OR(R150="",N150="",BO150="",R150&lt;=0,BO150&lt;=0),"",(1/Inputs!$B$9)*((R150^2/8)*((2*ACOS(1-2*BO150/R150))-SIN((2*ACOS(1-2*BO150/R150)))))*((((R150^2/8)*((2*ACOS(1-2*BO150/R150))-SIN((2*ACOS(1-2*BO150/R150)))))/((R150/2)*((2*ACOS(1-2*BO150/R150)))))^(2/3))*SQRT(N150))</f>
        <v/>
      </c>
      <c r="BQ150" s="9" t="str">
        <f aca="false">IF(AY150="","",IF(BP150&lt;AY150,BO150,BM150))</f>
        <v/>
      </c>
      <c r="BR150" s="9" t="str">
        <f aca="false">IF(AY150="","",IF(BP150&lt;AY150,BN150,BO150))</f>
        <v/>
      </c>
      <c r="BS150" s="9" t="str">
        <f aca="false">IF(AY150="","",(BQ150+BR150)/2)</f>
        <v/>
      </c>
      <c r="BT150" s="9" t="str">
        <f aca="false">IF(OR(R150="",N150="",BS150="",R150&lt;=0,BS150&lt;=0),"",(1/Inputs!$B$9)*((R150^2/8)*((2*ACOS(1-2*BS150/R150))-SIN((2*ACOS(1-2*BS150/R150)))))*((((R150^2/8)*((2*ACOS(1-2*BS150/R150))-SIN((2*ACOS(1-2*BS150/R150)))))/((R150/2)*((2*ACOS(1-2*BS150/R150)))))^(2/3))*SQRT(N150))</f>
        <v/>
      </c>
      <c r="BU150" s="9" t="str">
        <f aca="false">IF(AY150="","",IF(BT150&lt;AY150,BS150,BQ150))</f>
        <v/>
      </c>
      <c r="BV150" s="9" t="str">
        <f aca="false">IF(AY150="","",IF(BT150&lt;AY150,BR150,BS150))</f>
        <v/>
      </c>
      <c r="BW150" s="9" t="str">
        <f aca="false">IF(AY150="","",(BU150+BV150)/2)</f>
        <v/>
      </c>
      <c r="BX150" s="9" t="str">
        <f aca="false">IF(OR(R150="",N150="",BW150="",R150&lt;=0,BW150&lt;=0),"",(1/Inputs!$B$9)*((R150^2/8)*((2*ACOS(1-2*BW150/R150))-SIN((2*ACOS(1-2*BW150/R150)))))*((((R150^2/8)*((2*ACOS(1-2*BW150/R150))-SIN((2*ACOS(1-2*BW150/R150)))))/((R150/2)*((2*ACOS(1-2*BW150/R150)))))^(2/3))*SQRT(N150))</f>
        <v/>
      </c>
      <c r="BY150" s="9" t="str">
        <f aca="false">IF(AY150="","",IF(BX150&lt;AY150,BW150,BU150))</f>
        <v/>
      </c>
      <c r="BZ150" s="9" t="str">
        <f aca="false">IF(AY150="","",IF(BX150&lt;AY150,BV150,BW150))</f>
        <v/>
      </c>
      <c r="CA150" s="9" t="str">
        <f aca="false">IF(AY150="","",(BY150+BZ150)/2)</f>
        <v/>
      </c>
      <c r="CB150" s="9" t="str">
        <f aca="false">IF(OR(R150="",N150="",CA150="",R150&lt;=0,CA150&lt;=0),"",(1/Inputs!$B$9)*((R150^2/8)*((2*ACOS(1-2*CA150/R150))-SIN((2*ACOS(1-2*CA150/R150)))))*((((R150^2/8)*((2*ACOS(1-2*CA150/R150))-SIN((2*ACOS(1-2*CA150/R150)))))/((R150/2)*((2*ACOS(1-2*CA150/R150)))))^(2/3))*SQRT(N150))</f>
        <v/>
      </c>
      <c r="CC150" s="9" t="str">
        <f aca="false">IF(AY150="","",IF(CB150&lt;AY150,CA150,BY150))</f>
        <v/>
      </c>
      <c r="CD150" s="9" t="str">
        <f aca="false">IF(AY150="","",IF(CB150&lt;AY150,BZ150,CA150))</f>
        <v/>
      </c>
      <c r="CE150" s="9" t="str">
        <f aca="false">IF(AY150="","",(CC150+CD150)/2)</f>
        <v/>
      </c>
    </row>
    <row r="151" customFormat="false" ht="15" hidden="false" customHeight="false" outlineLevel="0" collapsed="false">
      <c r="A151" s="9"/>
      <c r="B151" s="9"/>
      <c r="C151" s="14"/>
      <c r="D151" s="14"/>
      <c r="E151" s="14" t="n">
        <f aca="false">SUMIFS(CB_Tributaires!$C:$C,CB_Tributaires!$B:$B,$A151)</f>
        <v>0</v>
      </c>
      <c r="F151" s="14" t="n">
        <f aca="false">IF(D151="",E151,D151)</f>
        <v>0</v>
      </c>
      <c r="G151" s="9"/>
      <c r="H151" s="14"/>
      <c r="I151" s="14" t="str">
        <f aca="false">IF(A151="","",Inputs!$B$13/((IF(AS151="",Inputs!$B$18,AS151)+Inputs!$B$14)^Inputs!$B$15))</f>
        <v/>
      </c>
      <c r="J151" s="14" t="str">
        <f aca="false">IF(A151="","",0.000000278*IF(G151="",Inputs!$B$17,G151)*F151*I151)</f>
        <v/>
      </c>
      <c r="K151" s="14" t="str">
        <f aca="false">IF(A151="","",SUMIFS($L$4:$L$203,$B$4:$B$203,$A151))</f>
        <v/>
      </c>
      <c r="L151" s="14" t="str">
        <f aca="false">IF(A151="","",(J151+K151)*Inputs!$B$16)</f>
        <v/>
      </c>
      <c r="M151" s="14"/>
      <c r="N151" s="14" t="str">
        <f aca="false">IF(A151="","",IF(M151="",Inputs!$B$7,M151))</f>
        <v/>
      </c>
      <c r="O151" s="9" t="str">
        <f aca="false">IF(A151="","",IF(L151/Inputs!$B$10&lt;=AD151,Inputs!$F$5,IF(L151/Inputs!$B$10&gt;AM151,"OVERSIZE",INDEX(Inputs!$F$5:$F$14,MATCH(L151/Inputs!$B$10,AD151:AM151,1)+1))))</f>
        <v/>
      </c>
      <c r="P151" s="9"/>
      <c r="Q151" s="9" t="str">
        <f aca="false">IF(A151="","",IF(P151="",O151,P151))</f>
        <v/>
      </c>
      <c r="R151" s="14" t="str">
        <f aca="false">IF(OR(Q151="",Q151="OVERSIZE"),"",Q151/1000)</f>
        <v/>
      </c>
      <c r="S151" s="14" t="str">
        <f aca="false">IF(R151="","",(1/Inputs!$B$9)*(PI()*R151^2/4)*((R151/4)^(2/3))*SQRT(N151))</f>
        <v/>
      </c>
      <c r="T151" s="14" t="str">
        <f aca="false">IF(OR(S151="",L151=""),"",L151/(S151*Inputs!$B$10))</f>
        <v/>
      </c>
      <c r="U151" s="14" t="str">
        <f aca="false">IF(OR(R151="",L151=""),"",4*L151/(PI()*R151^2))</f>
        <v/>
      </c>
      <c r="V151" s="14"/>
      <c r="W151" s="14" t="str">
        <f aca="false">IF(A151="","",IF(A151=Inputs!$B$6,Inputs!$B$22,IF(B151="","",IFERROR(INDEX($X$4:$X$203,MATCH(B151,$A$4:$A$203,0))+IF(V151="",Inputs!$B$20,V151),""))))</f>
        <v/>
      </c>
      <c r="X151" s="14" t="str">
        <f aca="false">IF(OR(W151="",N151="",C151=""),"",W151+N151*C151)</f>
        <v/>
      </c>
      <c r="Y151" s="14"/>
      <c r="Z151" s="14"/>
      <c r="AA151" s="14" t="str">
        <f aca="false">IF(OR(Y151="",W151=""),"",Y151-W151)</f>
        <v/>
      </c>
      <c r="AB151" s="14" t="str">
        <f aca="false">IF(OR(Z151="",X151=""),"",Z151-X151)</f>
        <v/>
      </c>
      <c r="AC151" s="19" t="str">
        <f aca="false">IF(A151="","",IF(OR(T151&gt;1,AND(AV151&lt;&gt;"",AV151&lt;Inputs!$B$11),AND(AV151&lt;&gt;"",AV151&gt;Inputs!$B$12),AA151&lt;Inputs!$B$19,AB151&lt;Inputs!$B$19,N151&lt;Inputs!$B$7,N151&gt;Inputs!$B$8),"CHECK","OK"))</f>
        <v/>
      </c>
      <c r="AD151" s="9" t="str">
        <f aca="false">IF(A151="","",(1/Inputs!$B$9)*(PI()*(Inputs!$F$5/1000)^2/4)*((Inputs!$F$5/1000/4)^(2/3))*SQRT(N151))</f>
        <v/>
      </c>
      <c r="AE151" s="9" t="str">
        <f aca="false">IF(A151="","",(1/Inputs!$B$9)*(PI()*(Inputs!$F$6/1000)^2/4)*((Inputs!$F$6/1000/4)^(2/3))*SQRT(N151))</f>
        <v/>
      </c>
      <c r="AF151" s="9" t="str">
        <f aca="false">IF(A151="","",(1/Inputs!$B$9)*(PI()*(Inputs!$F$7/1000)^2/4)*((Inputs!$F$7/1000/4)^(2/3))*SQRT(N151))</f>
        <v/>
      </c>
      <c r="AG151" s="9" t="str">
        <f aca="false">IF(A151="","",(1/Inputs!$B$9)*(PI()*(Inputs!$F$8/1000)^2/4)*((Inputs!$F$8/1000/4)^(2/3))*SQRT(N151))</f>
        <v/>
      </c>
      <c r="AH151" s="9" t="str">
        <f aca="false">IF(A151="","",(1/Inputs!$B$9)*(PI()*(Inputs!$F$9/1000)^2/4)*((Inputs!$F$9/1000/4)^(2/3))*SQRT(N151))</f>
        <v/>
      </c>
      <c r="AI151" s="9" t="str">
        <f aca="false">IF(A151="","",(1/Inputs!$B$9)*(PI()*(Inputs!$F$10/1000)^2/4)*((Inputs!$F$10/1000/4)^(2/3))*SQRT(N151))</f>
        <v/>
      </c>
      <c r="AJ151" s="9" t="str">
        <f aca="false">IF(A151="","",(1/Inputs!$B$9)*(PI()*(Inputs!$F$11/1000)^2/4)*((Inputs!$F$11/1000/4)^(2/3))*SQRT(N151))</f>
        <v/>
      </c>
      <c r="AK151" s="9" t="str">
        <f aca="false">IF(A151="","",(1/Inputs!$B$9)*(PI()*(Inputs!$F$12/1000)^2/4)*((Inputs!$F$12/1000/4)^(2/3))*SQRT(N151))</f>
        <v/>
      </c>
      <c r="AL151" s="9" t="str">
        <f aca="false">IF(A151="","",(1/Inputs!$B$9)*(PI()*(Inputs!$F$13/1000)^2/4)*((Inputs!$F$13/1000/4)^(2/3))*SQRT(N151))</f>
        <v/>
      </c>
      <c r="AM151" s="9" t="str">
        <f aca="false">IF(A151="","",(1/Inputs!$B$9)*(PI()*(Inputs!$F$14/1000)^2/4)*((Inputs!$F$14/1000/4)^(2/3))*SQRT(N151))</f>
        <v/>
      </c>
      <c r="AN151" s="9" t="str">
        <f aca="false">IF(A151="","",COUNTIF($B$4:$B$203,$A151))</f>
        <v/>
      </c>
      <c r="AO151" s="9" t="str">
        <f aca="false">IF(A151="","",IF(AN151=0,"START","CONTINUOUS"))</f>
        <v/>
      </c>
      <c r="AP151" s="13" t="str">
        <f aca="false">IF(A151="","",IF(H151="",Inputs!$B$18,H151))</f>
        <v/>
      </c>
      <c r="AQ151" s="13" t="str">
        <f aca="false">IF(A151="","",IFERROR(maxifs($AS$4:$AS$203,$B$4:$B$203,$A151),""))</f>
        <v/>
      </c>
      <c r="AR151" s="13" t="str">
        <f aca="false">IF(A151="","",IF(OR(C151="",Inputs!$B$23=""),"",C151/(Inputs!$B$23*60)))</f>
        <v/>
      </c>
      <c r="AS151" s="13" t="str">
        <f aca="false">IF(A151="","",IF(AN151=0,AP151+AR151,IF(AQ151="",AP151+AR151,AQ151+AR151)))</f>
        <v/>
      </c>
      <c r="AT151" s="13" t="str">
        <f aca="false">IF(A151="","",U151)</f>
        <v/>
      </c>
      <c r="AU151" s="13" t="str">
        <f aca="false">IF(OR(R151="",N151=""),"",(1/Inputs!$B$9)*((R151/4)^(2/3))*SQRT(N151))</f>
        <v/>
      </c>
      <c r="AV151" s="13" t="str">
        <f aca="false">IF(A151="","",IF(AND(AT151="",AU151="",AX151=""),"",IF(OR(UPPER(TRIM(Inputs!$B$24))="MANNING",UPPER(TRIM(Inputs!$B$24))="M"),AU151,IF(OR(UPPER(TRIM(Inputs!$B$24))="PARTIAL",UPPER(TRIM(Inputs!$B$24))="P"),AX151,IF(OR(UPPER(TRIM(Inputs!$B$24))="MAX",UPPER(TRIM(Inputs!$B$24))="X"),MAX(IF(AT151="",0,AT151),IF(AU151="",0,AU151),IF(AX151="",0,AX151)),AT151)))))</f>
        <v/>
      </c>
      <c r="AW151" s="13" t="str">
        <f aca="false">IF(AY151="","",CE151)</f>
        <v/>
      </c>
      <c r="AX151" s="13" t="str">
        <f aca="false">IF(OR(AY151="",AW151="",R151="",R151&lt;=0,AW151&lt;=0),"",AY151/((R151^2/8)*(2*ACOS(1-2*AW151/R151)-SIN(2*ACOS(1-2*AW151/R151)))))</f>
        <v/>
      </c>
      <c r="AY151" s="9" t="str">
        <f aca="false">IF(OR(L151="",AZ151=""),"",MIN(L151,AZ151))</f>
        <v/>
      </c>
      <c r="AZ151" s="9" t="str">
        <f aca="false">IF(OR(L151="",R151="",N151=""),"",IF(OR(R151="",N151="",(0.94*R151)="",R151&lt;=0,(0.94*R151)&lt;=0),"",(1/Inputs!$B$9)*((R151^2/8)*((2*ACOS(1-2*(0.94*R151)/R151))-SIN((2*ACOS(1-2*(0.94*R151)/R151)))))*((((R151^2/8)*((2*ACOS(1-2*(0.94*R151)/R151))-SIN((2*ACOS(1-2*(0.94*R151)/R151)))))/((R151/2)*((2*ACOS(1-2*(0.94*R151)/R151)))))^(2/3))*SQRT(N151)))</f>
        <v/>
      </c>
      <c r="BA151" s="9" t="str">
        <f aca="false">IF(AY151="","",0.001*R151)</f>
        <v/>
      </c>
      <c r="BB151" s="9" t="str">
        <f aca="false">IF(AY151="","",0.94*R151)</f>
        <v/>
      </c>
      <c r="BC151" s="9" t="str">
        <f aca="false">IF(AY151="","",(BA151+BB151)/2)</f>
        <v/>
      </c>
      <c r="BD151" s="9" t="str">
        <f aca="false">IF(OR(R151="",N151="",BC151="",R151&lt;=0,BC151&lt;=0),"",(1/Inputs!$B$9)*((R151^2/8)*((2*ACOS(1-2*BC151/R151))-SIN((2*ACOS(1-2*BC151/R151)))))*((((R151^2/8)*((2*ACOS(1-2*BC151/R151))-SIN((2*ACOS(1-2*BC151/R151)))))/((R151/2)*((2*ACOS(1-2*BC151/R151)))))^(2/3))*SQRT(N151))</f>
        <v/>
      </c>
      <c r="BE151" s="9" t="str">
        <f aca="false">IF(AY151="","",IF(BD151&lt;AY151,BC151,BA151))</f>
        <v/>
      </c>
      <c r="BF151" s="9" t="str">
        <f aca="false">IF(AY151="","",IF(BD151&lt;AY151,BB151,BC151))</f>
        <v/>
      </c>
      <c r="BG151" s="9" t="str">
        <f aca="false">IF(AY151="","",(BE151+BF151)/2)</f>
        <v/>
      </c>
      <c r="BH151" s="9" t="str">
        <f aca="false">IF(OR(R151="",N151="",BG151="",R151&lt;=0,BG151&lt;=0),"",(1/Inputs!$B$9)*((R151^2/8)*((2*ACOS(1-2*BG151/R151))-SIN((2*ACOS(1-2*BG151/R151)))))*((((R151^2/8)*((2*ACOS(1-2*BG151/R151))-SIN((2*ACOS(1-2*BG151/R151)))))/((R151/2)*((2*ACOS(1-2*BG151/R151)))))^(2/3))*SQRT(N151))</f>
        <v/>
      </c>
      <c r="BI151" s="9" t="str">
        <f aca="false">IF(AY151="","",IF(BH151&lt;AY151,BG151,BE151))</f>
        <v/>
      </c>
      <c r="BJ151" s="9" t="str">
        <f aca="false">IF(AY151="","",IF(BH151&lt;AY151,BF151,BG151))</f>
        <v/>
      </c>
      <c r="BK151" s="9" t="str">
        <f aca="false">IF(AY151="","",(BI151+BJ151)/2)</f>
        <v/>
      </c>
      <c r="BL151" s="9" t="str">
        <f aca="false">IF(OR(R151="",N151="",BK151="",R151&lt;=0,BK151&lt;=0),"",(1/Inputs!$B$9)*((R151^2/8)*((2*ACOS(1-2*BK151/R151))-SIN((2*ACOS(1-2*BK151/R151)))))*((((R151^2/8)*((2*ACOS(1-2*BK151/R151))-SIN((2*ACOS(1-2*BK151/R151)))))/((R151/2)*((2*ACOS(1-2*BK151/R151)))))^(2/3))*SQRT(N151))</f>
        <v/>
      </c>
      <c r="BM151" s="9" t="str">
        <f aca="false">IF(AY151="","",IF(BL151&lt;AY151,BK151,BI151))</f>
        <v/>
      </c>
      <c r="BN151" s="9" t="str">
        <f aca="false">IF(AY151="","",IF(BL151&lt;AY151,BJ151,BK151))</f>
        <v/>
      </c>
      <c r="BO151" s="9" t="str">
        <f aca="false">IF(AY151="","",(BM151+BN151)/2)</f>
        <v/>
      </c>
      <c r="BP151" s="9" t="str">
        <f aca="false">IF(OR(R151="",N151="",BO151="",R151&lt;=0,BO151&lt;=0),"",(1/Inputs!$B$9)*((R151^2/8)*((2*ACOS(1-2*BO151/R151))-SIN((2*ACOS(1-2*BO151/R151)))))*((((R151^2/8)*((2*ACOS(1-2*BO151/R151))-SIN((2*ACOS(1-2*BO151/R151)))))/((R151/2)*((2*ACOS(1-2*BO151/R151)))))^(2/3))*SQRT(N151))</f>
        <v/>
      </c>
      <c r="BQ151" s="9" t="str">
        <f aca="false">IF(AY151="","",IF(BP151&lt;AY151,BO151,BM151))</f>
        <v/>
      </c>
      <c r="BR151" s="9" t="str">
        <f aca="false">IF(AY151="","",IF(BP151&lt;AY151,BN151,BO151))</f>
        <v/>
      </c>
      <c r="BS151" s="9" t="str">
        <f aca="false">IF(AY151="","",(BQ151+BR151)/2)</f>
        <v/>
      </c>
      <c r="BT151" s="9" t="str">
        <f aca="false">IF(OR(R151="",N151="",BS151="",R151&lt;=0,BS151&lt;=0),"",(1/Inputs!$B$9)*((R151^2/8)*((2*ACOS(1-2*BS151/R151))-SIN((2*ACOS(1-2*BS151/R151)))))*((((R151^2/8)*((2*ACOS(1-2*BS151/R151))-SIN((2*ACOS(1-2*BS151/R151)))))/((R151/2)*((2*ACOS(1-2*BS151/R151)))))^(2/3))*SQRT(N151))</f>
        <v/>
      </c>
      <c r="BU151" s="9" t="str">
        <f aca="false">IF(AY151="","",IF(BT151&lt;AY151,BS151,BQ151))</f>
        <v/>
      </c>
      <c r="BV151" s="9" t="str">
        <f aca="false">IF(AY151="","",IF(BT151&lt;AY151,BR151,BS151))</f>
        <v/>
      </c>
      <c r="BW151" s="9" t="str">
        <f aca="false">IF(AY151="","",(BU151+BV151)/2)</f>
        <v/>
      </c>
      <c r="BX151" s="9" t="str">
        <f aca="false">IF(OR(R151="",N151="",BW151="",R151&lt;=0,BW151&lt;=0),"",(1/Inputs!$B$9)*((R151^2/8)*((2*ACOS(1-2*BW151/R151))-SIN((2*ACOS(1-2*BW151/R151)))))*((((R151^2/8)*((2*ACOS(1-2*BW151/R151))-SIN((2*ACOS(1-2*BW151/R151)))))/((R151/2)*((2*ACOS(1-2*BW151/R151)))))^(2/3))*SQRT(N151))</f>
        <v/>
      </c>
      <c r="BY151" s="9" t="str">
        <f aca="false">IF(AY151="","",IF(BX151&lt;AY151,BW151,BU151))</f>
        <v/>
      </c>
      <c r="BZ151" s="9" t="str">
        <f aca="false">IF(AY151="","",IF(BX151&lt;AY151,BV151,BW151))</f>
        <v/>
      </c>
      <c r="CA151" s="9" t="str">
        <f aca="false">IF(AY151="","",(BY151+BZ151)/2)</f>
        <v/>
      </c>
      <c r="CB151" s="9" t="str">
        <f aca="false">IF(OR(R151="",N151="",CA151="",R151&lt;=0,CA151&lt;=0),"",(1/Inputs!$B$9)*((R151^2/8)*((2*ACOS(1-2*CA151/R151))-SIN((2*ACOS(1-2*CA151/R151)))))*((((R151^2/8)*((2*ACOS(1-2*CA151/R151))-SIN((2*ACOS(1-2*CA151/R151)))))/((R151/2)*((2*ACOS(1-2*CA151/R151)))))^(2/3))*SQRT(N151))</f>
        <v/>
      </c>
      <c r="CC151" s="9" t="str">
        <f aca="false">IF(AY151="","",IF(CB151&lt;AY151,CA151,BY151))</f>
        <v/>
      </c>
      <c r="CD151" s="9" t="str">
        <f aca="false">IF(AY151="","",IF(CB151&lt;AY151,BZ151,CA151))</f>
        <v/>
      </c>
      <c r="CE151" s="9" t="str">
        <f aca="false">IF(AY151="","",(CC151+CD151)/2)</f>
        <v/>
      </c>
    </row>
    <row r="152" customFormat="false" ht="15" hidden="false" customHeight="false" outlineLevel="0" collapsed="false">
      <c r="A152" s="9"/>
      <c r="B152" s="9"/>
      <c r="C152" s="14"/>
      <c r="D152" s="14"/>
      <c r="E152" s="14" t="n">
        <f aca="false">SUMIFS(CB_Tributaires!$C:$C,CB_Tributaires!$B:$B,$A152)</f>
        <v>0</v>
      </c>
      <c r="F152" s="14" t="n">
        <f aca="false">IF(D152="",E152,D152)</f>
        <v>0</v>
      </c>
      <c r="G152" s="9"/>
      <c r="H152" s="14"/>
      <c r="I152" s="14" t="str">
        <f aca="false">IF(A152="","",Inputs!$B$13/((IF(AS152="",Inputs!$B$18,AS152)+Inputs!$B$14)^Inputs!$B$15))</f>
        <v/>
      </c>
      <c r="J152" s="14" t="str">
        <f aca="false">IF(A152="","",0.000000278*IF(G152="",Inputs!$B$17,G152)*F152*I152)</f>
        <v/>
      </c>
      <c r="K152" s="14" t="str">
        <f aca="false">IF(A152="","",SUMIFS($L$4:$L$203,$B$4:$B$203,$A152))</f>
        <v/>
      </c>
      <c r="L152" s="14" t="str">
        <f aca="false">IF(A152="","",(J152+K152)*Inputs!$B$16)</f>
        <v/>
      </c>
      <c r="M152" s="14"/>
      <c r="N152" s="14" t="str">
        <f aca="false">IF(A152="","",IF(M152="",Inputs!$B$7,M152))</f>
        <v/>
      </c>
      <c r="O152" s="9" t="str">
        <f aca="false">IF(A152="","",IF(L152/Inputs!$B$10&lt;=AD152,Inputs!$F$5,IF(L152/Inputs!$B$10&gt;AM152,"OVERSIZE",INDEX(Inputs!$F$5:$F$14,MATCH(L152/Inputs!$B$10,AD152:AM152,1)+1))))</f>
        <v/>
      </c>
      <c r="P152" s="9"/>
      <c r="Q152" s="9" t="str">
        <f aca="false">IF(A152="","",IF(P152="",O152,P152))</f>
        <v/>
      </c>
      <c r="R152" s="14" t="str">
        <f aca="false">IF(OR(Q152="",Q152="OVERSIZE"),"",Q152/1000)</f>
        <v/>
      </c>
      <c r="S152" s="14" t="str">
        <f aca="false">IF(R152="","",(1/Inputs!$B$9)*(PI()*R152^2/4)*((R152/4)^(2/3))*SQRT(N152))</f>
        <v/>
      </c>
      <c r="T152" s="14" t="str">
        <f aca="false">IF(OR(S152="",L152=""),"",L152/(S152*Inputs!$B$10))</f>
        <v/>
      </c>
      <c r="U152" s="14" t="str">
        <f aca="false">IF(OR(R152="",L152=""),"",4*L152/(PI()*R152^2))</f>
        <v/>
      </c>
      <c r="V152" s="14"/>
      <c r="W152" s="14" t="str">
        <f aca="false">IF(A152="","",IF(A152=Inputs!$B$6,Inputs!$B$22,IF(B152="","",IFERROR(INDEX($X$4:$X$203,MATCH(B152,$A$4:$A$203,0))+IF(V152="",Inputs!$B$20,V152),""))))</f>
        <v/>
      </c>
      <c r="X152" s="14" t="str">
        <f aca="false">IF(OR(W152="",N152="",C152=""),"",W152+N152*C152)</f>
        <v/>
      </c>
      <c r="Y152" s="14"/>
      <c r="Z152" s="14"/>
      <c r="AA152" s="14" t="str">
        <f aca="false">IF(OR(Y152="",W152=""),"",Y152-W152)</f>
        <v/>
      </c>
      <c r="AB152" s="14" t="str">
        <f aca="false">IF(OR(Z152="",X152=""),"",Z152-X152)</f>
        <v/>
      </c>
      <c r="AC152" s="19" t="str">
        <f aca="false">IF(A152="","",IF(OR(T152&gt;1,AND(AV152&lt;&gt;"",AV152&lt;Inputs!$B$11),AND(AV152&lt;&gt;"",AV152&gt;Inputs!$B$12),AA152&lt;Inputs!$B$19,AB152&lt;Inputs!$B$19,N152&lt;Inputs!$B$7,N152&gt;Inputs!$B$8),"CHECK","OK"))</f>
        <v/>
      </c>
      <c r="AD152" s="9" t="str">
        <f aca="false">IF(A152="","",(1/Inputs!$B$9)*(PI()*(Inputs!$F$5/1000)^2/4)*((Inputs!$F$5/1000/4)^(2/3))*SQRT(N152))</f>
        <v/>
      </c>
      <c r="AE152" s="9" t="str">
        <f aca="false">IF(A152="","",(1/Inputs!$B$9)*(PI()*(Inputs!$F$6/1000)^2/4)*((Inputs!$F$6/1000/4)^(2/3))*SQRT(N152))</f>
        <v/>
      </c>
      <c r="AF152" s="9" t="str">
        <f aca="false">IF(A152="","",(1/Inputs!$B$9)*(PI()*(Inputs!$F$7/1000)^2/4)*((Inputs!$F$7/1000/4)^(2/3))*SQRT(N152))</f>
        <v/>
      </c>
      <c r="AG152" s="9" t="str">
        <f aca="false">IF(A152="","",(1/Inputs!$B$9)*(PI()*(Inputs!$F$8/1000)^2/4)*((Inputs!$F$8/1000/4)^(2/3))*SQRT(N152))</f>
        <v/>
      </c>
      <c r="AH152" s="9" t="str">
        <f aca="false">IF(A152="","",(1/Inputs!$B$9)*(PI()*(Inputs!$F$9/1000)^2/4)*((Inputs!$F$9/1000/4)^(2/3))*SQRT(N152))</f>
        <v/>
      </c>
      <c r="AI152" s="9" t="str">
        <f aca="false">IF(A152="","",(1/Inputs!$B$9)*(PI()*(Inputs!$F$10/1000)^2/4)*((Inputs!$F$10/1000/4)^(2/3))*SQRT(N152))</f>
        <v/>
      </c>
      <c r="AJ152" s="9" t="str">
        <f aca="false">IF(A152="","",(1/Inputs!$B$9)*(PI()*(Inputs!$F$11/1000)^2/4)*((Inputs!$F$11/1000/4)^(2/3))*SQRT(N152))</f>
        <v/>
      </c>
      <c r="AK152" s="9" t="str">
        <f aca="false">IF(A152="","",(1/Inputs!$B$9)*(PI()*(Inputs!$F$12/1000)^2/4)*((Inputs!$F$12/1000/4)^(2/3))*SQRT(N152))</f>
        <v/>
      </c>
      <c r="AL152" s="9" t="str">
        <f aca="false">IF(A152="","",(1/Inputs!$B$9)*(PI()*(Inputs!$F$13/1000)^2/4)*((Inputs!$F$13/1000/4)^(2/3))*SQRT(N152))</f>
        <v/>
      </c>
      <c r="AM152" s="9" t="str">
        <f aca="false">IF(A152="","",(1/Inputs!$B$9)*(PI()*(Inputs!$F$14/1000)^2/4)*((Inputs!$F$14/1000/4)^(2/3))*SQRT(N152))</f>
        <v/>
      </c>
      <c r="AN152" s="9" t="str">
        <f aca="false">IF(A152="","",COUNTIF($B$4:$B$203,$A152))</f>
        <v/>
      </c>
      <c r="AO152" s="9" t="str">
        <f aca="false">IF(A152="","",IF(AN152=0,"START","CONTINUOUS"))</f>
        <v/>
      </c>
      <c r="AP152" s="13" t="str">
        <f aca="false">IF(A152="","",IF(H152="",Inputs!$B$18,H152))</f>
        <v/>
      </c>
      <c r="AQ152" s="13" t="str">
        <f aca="false">IF(A152="","",IFERROR(maxifs($AS$4:$AS$203,$B$4:$B$203,$A152),""))</f>
        <v/>
      </c>
      <c r="AR152" s="13" t="str">
        <f aca="false">IF(A152="","",IF(OR(C152="",Inputs!$B$23=""),"",C152/(Inputs!$B$23*60)))</f>
        <v/>
      </c>
      <c r="AS152" s="13" t="str">
        <f aca="false">IF(A152="","",IF(AN152=0,AP152+AR152,IF(AQ152="",AP152+AR152,AQ152+AR152)))</f>
        <v/>
      </c>
      <c r="AT152" s="13" t="str">
        <f aca="false">IF(A152="","",U152)</f>
        <v/>
      </c>
      <c r="AU152" s="13" t="str">
        <f aca="false">IF(OR(R152="",N152=""),"",(1/Inputs!$B$9)*((R152/4)^(2/3))*SQRT(N152))</f>
        <v/>
      </c>
      <c r="AV152" s="13" t="str">
        <f aca="false">IF(A152="","",IF(AND(AT152="",AU152="",AX152=""),"",IF(OR(UPPER(TRIM(Inputs!$B$24))="MANNING",UPPER(TRIM(Inputs!$B$24))="M"),AU152,IF(OR(UPPER(TRIM(Inputs!$B$24))="PARTIAL",UPPER(TRIM(Inputs!$B$24))="P"),AX152,IF(OR(UPPER(TRIM(Inputs!$B$24))="MAX",UPPER(TRIM(Inputs!$B$24))="X"),MAX(IF(AT152="",0,AT152),IF(AU152="",0,AU152),IF(AX152="",0,AX152)),AT152)))))</f>
        <v/>
      </c>
      <c r="AW152" s="13" t="str">
        <f aca="false">IF(AY152="","",CE152)</f>
        <v/>
      </c>
      <c r="AX152" s="13" t="str">
        <f aca="false">IF(OR(AY152="",AW152="",R152="",R152&lt;=0,AW152&lt;=0),"",AY152/((R152^2/8)*(2*ACOS(1-2*AW152/R152)-SIN(2*ACOS(1-2*AW152/R152)))))</f>
        <v/>
      </c>
      <c r="AY152" s="9" t="str">
        <f aca="false">IF(OR(L152="",AZ152=""),"",MIN(L152,AZ152))</f>
        <v/>
      </c>
      <c r="AZ152" s="9" t="str">
        <f aca="false">IF(OR(L152="",R152="",N152=""),"",IF(OR(R152="",N152="",(0.94*R152)="",R152&lt;=0,(0.94*R152)&lt;=0),"",(1/Inputs!$B$9)*((R152^2/8)*((2*ACOS(1-2*(0.94*R152)/R152))-SIN((2*ACOS(1-2*(0.94*R152)/R152)))))*((((R152^2/8)*((2*ACOS(1-2*(0.94*R152)/R152))-SIN((2*ACOS(1-2*(0.94*R152)/R152)))))/((R152/2)*((2*ACOS(1-2*(0.94*R152)/R152)))))^(2/3))*SQRT(N152)))</f>
        <v/>
      </c>
      <c r="BA152" s="9" t="str">
        <f aca="false">IF(AY152="","",0.001*R152)</f>
        <v/>
      </c>
      <c r="BB152" s="9" t="str">
        <f aca="false">IF(AY152="","",0.94*R152)</f>
        <v/>
      </c>
      <c r="BC152" s="9" t="str">
        <f aca="false">IF(AY152="","",(BA152+BB152)/2)</f>
        <v/>
      </c>
      <c r="BD152" s="9" t="str">
        <f aca="false">IF(OR(R152="",N152="",BC152="",R152&lt;=0,BC152&lt;=0),"",(1/Inputs!$B$9)*((R152^2/8)*((2*ACOS(1-2*BC152/R152))-SIN((2*ACOS(1-2*BC152/R152)))))*((((R152^2/8)*((2*ACOS(1-2*BC152/R152))-SIN((2*ACOS(1-2*BC152/R152)))))/((R152/2)*((2*ACOS(1-2*BC152/R152)))))^(2/3))*SQRT(N152))</f>
        <v/>
      </c>
      <c r="BE152" s="9" t="str">
        <f aca="false">IF(AY152="","",IF(BD152&lt;AY152,BC152,BA152))</f>
        <v/>
      </c>
      <c r="BF152" s="9" t="str">
        <f aca="false">IF(AY152="","",IF(BD152&lt;AY152,BB152,BC152))</f>
        <v/>
      </c>
      <c r="BG152" s="9" t="str">
        <f aca="false">IF(AY152="","",(BE152+BF152)/2)</f>
        <v/>
      </c>
      <c r="BH152" s="9" t="str">
        <f aca="false">IF(OR(R152="",N152="",BG152="",R152&lt;=0,BG152&lt;=0),"",(1/Inputs!$B$9)*((R152^2/8)*((2*ACOS(1-2*BG152/R152))-SIN((2*ACOS(1-2*BG152/R152)))))*((((R152^2/8)*((2*ACOS(1-2*BG152/R152))-SIN((2*ACOS(1-2*BG152/R152)))))/((R152/2)*((2*ACOS(1-2*BG152/R152)))))^(2/3))*SQRT(N152))</f>
        <v/>
      </c>
      <c r="BI152" s="9" t="str">
        <f aca="false">IF(AY152="","",IF(BH152&lt;AY152,BG152,BE152))</f>
        <v/>
      </c>
      <c r="BJ152" s="9" t="str">
        <f aca="false">IF(AY152="","",IF(BH152&lt;AY152,BF152,BG152))</f>
        <v/>
      </c>
      <c r="BK152" s="9" t="str">
        <f aca="false">IF(AY152="","",(BI152+BJ152)/2)</f>
        <v/>
      </c>
      <c r="BL152" s="9" t="str">
        <f aca="false">IF(OR(R152="",N152="",BK152="",R152&lt;=0,BK152&lt;=0),"",(1/Inputs!$B$9)*((R152^2/8)*((2*ACOS(1-2*BK152/R152))-SIN((2*ACOS(1-2*BK152/R152)))))*((((R152^2/8)*((2*ACOS(1-2*BK152/R152))-SIN((2*ACOS(1-2*BK152/R152)))))/((R152/2)*((2*ACOS(1-2*BK152/R152)))))^(2/3))*SQRT(N152))</f>
        <v/>
      </c>
      <c r="BM152" s="9" t="str">
        <f aca="false">IF(AY152="","",IF(BL152&lt;AY152,BK152,BI152))</f>
        <v/>
      </c>
      <c r="BN152" s="9" t="str">
        <f aca="false">IF(AY152="","",IF(BL152&lt;AY152,BJ152,BK152))</f>
        <v/>
      </c>
      <c r="BO152" s="9" t="str">
        <f aca="false">IF(AY152="","",(BM152+BN152)/2)</f>
        <v/>
      </c>
      <c r="BP152" s="9" t="str">
        <f aca="false">IF(OR(R152="",N152="",BO152="",R152&lt;=0,BO152&lt;=0),"",(1/Inputs!$B$9)*((R152^2/8)*((2*ACOS(1-2*BO152/R152))-SIN((2*ACOS(1-2*BO152/R152)))))*((((R152^2/8)*((2*ACOS(1-2*BO152/R152))-SIN((2*ACOS(1-2*BO152/R152)))))/((R152/2)*((2*ACOS(1-2*BO152/R152)))))^(2/3))*SQRT(N152))</f>
        <v/>
      </c>
      <c r="BQ152" s="9" t="str">
        <f aca="false">IF(AY152="","",IF(BP152&lt;AY152,BO152,BM152))</f>
        <v/>
      </c>
      <c r="BR152" s="9" t="str">
        <f aca="false">IF(AY152="","",IF(BP152&lt;AY152,BN152,BO152))</f>
        <v/>
      </c>
      <c r="BS152" s="9" t="str">
        <f aca="false">IF(AY152="","",(BQ152+BR152)/2)</f>
        <v/>
      </c>
      <c r="BT152" s="9" t="str">
        <f aca="false">IF(OR(R152="",N152="",BS152="",R152&lt;=0,BS152&lt;=0),"",(1/Inputs!$B$9)*((R152^2/8)*((2*ACOS(1-2*BS152/R152))-SIN((2*ACOS(1-2*BS152/R152)))))*((((R152^2/8)*((2*ACOS(1-2*BS152/R152))-SIN((2*ACOS(1-2*BS152/R152)))))/((R152/2)*((2*ACOS(1-2*BS152/R152)))))^(2/3))*SQRT(N152))</f>
        <v/>
      </c>
      <c r="BU152" s="9" t="str">
        <f aca="false">IF(AY152="","",IF(BT152&lt;AY152,BS152,BQ152))</f>
        <v/>
      </c>
      <c r="BV152" s="9" t="str">
        <f aca="false">IF(AY152="","",IF(BT152&lt;AY152,BR152,BS152))</f>
        <v/>
      </c>
      <c r="BW152" s="9" t="str">
        <f aca="false">IF(AY152="","",(BU152+BV152)/2)</f>
        <v/>
      </c>
      <c r="BX152" s="9" t="str">
        <f aca="false">IF(OR(R152="",N152="",BW152="",R152&lt;=0,BW152&lt;=0),"",(1/Inputs!$B$9)*((R152^2/8)*((2*ACOS(1-2*BW152/R152))-SIN((2*ACOS(1-2*BW152/R152)))))*((((R152^2/8)*((2*ACOS(1-2*BW152/R152))-SIN((2*ACOS(1-2*BW152/R152)))))/((R152/2)*((2*ACOS(1-2*BW152/R152)))))^(2/3))*SQRT(N152))</f>
        <v/>
      </c>
      <c r="BY152" s="9" t="str">
        <f aca="false">IF(AY152="","",IF(BX152&lt;AY152,BW152,BU152))</f>
        <v/>
      </c>
      <c r="BZ152" s="9" t="str">
        <f aca="false">IF(AY152="","",IF(BX152&lt;AY152,BV152,BW152))</f>
        <v/>
      </c>
      <c r="CA152" s="9" t="str">
        <f aca="false">IF(AY152="","",(BY152+BZ152)/2)</f>
        <v/>
      </c>
      <c r="CB152" s="9" t="str">
        <f aca="false">IF(OR(R152="",N152="",CA152="",R152&lt;=0,CA152&lt;=0),"",(1/Inputs!$B$9)*((R152^2/8)*((2*ACOS(1-2*CA152/R152))-SIN((2*ACOS(1-2*CA152/R152)))))*((((R152^2/8)*((2*ACOS(1-2*CA152/R152))-SIN((2*ACOS(1-2*CA152/R152)))))/((R152/2)*((2*ACOS(1-2*CA152/R152)))))^(2/3))*SQRT(N152))</f>
        <v/>
      </c>
      <c r="CC152" s="9" t="str">
        <f aca="false">IF(AY152="","",IF(CB152&lt;AY152,CA152,BY152))</f>
        <v/>
      </c>
      <c r="CD152" s="9" t="str">
        <f aca="false">IF(AY152="","",IF(CB152&lt;AY152,BZ152,CA152))</f>
        <v/>
      </c>
      <c r="CE152" s="9" t="str">
        <f aca="false">IF(AY152="","",(CC152+CD152)/2)</f>
        <v/>
      </c>
    </row>
    <row r="153" customFormat="false" ht="15" hidden="false" customHeight="false" outlineLevel="0" collapsed="false">
      <c r="A153" s="9"/>
      <c r="B153" s="9"/>
      <c r="C153" s="14"/>
      <c r="D153" s="14"/>
      <c r="E153" s="14" t="n">
        <f aca="false">SUMIFS(CB_Tributaires!$C:$C,CB_Tributaires!$B:$B,$A153)</f>
        <v>0</v>
      </c>
      <c r="F153" s="14" t="n">
        <f aca="false">IF(D153="",E153,D153)</f>
        <v>0</v>
      </c>
      <c r="G153" s="9"/>
      <c r="H153" s="14"/>
      <c r="I153" s="14" t="str">
        <f aca="false">IF(A153="","",Inputs!$B$13/((IF(AS153="",Inputs!$B$18,AS153)+Inputs!$B$14)^Inputs!$B$15))</f>
        <v/>
      </c>
      <c r="J153" s="14" t="str">
        <f aca="false">IF(A153="","",0.000000278*IF(G153="",Inputs!$B$17,G153)*F153*I153)</f>
        <v/>
      </c>
      <c r="K153" s="14" t="str">
        <f aca="false">IF(A153="","",SUMIFS($L$4:$L$203,$B$4:$B$203,$A153))</f>
        <v/>
      </c>
      <c r="L153" s="14" t="str">
        <f aca="false">IF(A153="","",(J153+K153)*Inputs!$B$16)</f>
        <v/>
      </c>
      <c r="M153" s="14"/>
      <c r="N153" s="14" t="str">
        <f aca="false">IF(A153="","",IF(M153="",Inputs!$B$7,M153))</f>
        <v/>
      </c>
      <c r="O153" s="9" t="str">
        <f aca="false">IF(A153="","",IF(L153/Inputs!$B$10&lt;=AD153,Inputs!$F$5,IF(L153/Inputs!$B$10&gt;AM153,"OVERSIZE",INDEX(Inputs!$F$5:$F$14,MATCH(L153/Inputs!$B$10,AD153:AM153,1)+1))))</f>
        <v/>
      </c>
      <c r="P153" s="9"/>
      <c r="Q153" s="9" t="str">
        <f aca="false">IF(A153="","",IF(P153="",O153,P153))</f>
        <v/>
      </c>
      <c r="R153" s="14" t="str">
        <f aca="false">IF(OR(Q153="",Q153="OVERSIZE"),"",Q153/1000)</f>
        <v/>
      </c>
      <c r="S153" s="14" t="str">
        <f aca="false">IF(R153="","",(1/Inputs!$B$9)*(PI()*R153^2/4)*((R153/4)^(2/3))*SQRT(N153))</f>
        <v/>
      </c>
      <c r="T153" s="14" t="str">
        <f aca="false">IF(OR(S153="",L153=""),"",L153/(S153*Inputs!$B$10))</f>
        <v/>
      </c>
      <c r="U153" s="14" t="str">
        <f aca="false">IF(OR(R153="",L153=""),"",4*L153/(PI()*R153^2))</f>
        <v/>
      </c>
      <c r="V153" s="14"/>
      <c r="W153" s="14" t="str">
        <f aca="false">IF(A153="","",IF(A153=Inputs!$B$6,Inputs!$B$22,IF(B153="","",IFERROR(INDEX($X$4:$X$203,MATCH(B153,$A$4:$A$203,0))+IF(V153="",Inputs!$B$20,V153),""))))</f>
        <v/>
      </c>
      <c r="X153" s="14" t="str">
        <f aca="false">IF(OR(W153="",N153="",C153=""),"",W153+N153*C153)</f>
        <v/>
      </c>
      <c r="Y153" s="14"/>
      <c r="Z153" s="14"/>
      <c r="AA153" s="14" t="str">
        <f aca="false">IF(OR(Y153="",W153=""),"",Y153-W153)</f>
        <v/>
      </c>
      <c r="AB153" s="14" t="str">
        <f aca="false">IF(OR(Z153="",X153=""),"",Z153-X153)</f>
        <v/>
      </c>
      <c r="AC153" s="19" t="str">
        <f aca="false">IF(A153="","",IF(OR(T153&gt;1,AND(AV153&lt;&gt;"",AV153&lt;Inputs!$B$11),AND(AV153&lt;&gt;"",AV153&gt;Inputs!$B$12),AA153&lt;Inputs!$B$19,AB153&lt;Inputs!$B$19,N153&lt;Inputs!$B$7,N153&gt;Inputs!$B$8),"CHECK","OK"))</f>
        <v/>
      </c>
      <c r="AD153" s="9" t="str">
        <f aca="false">IF(A153="","",(1/Inputs!$B$9)*(PI()*(Inputs!$F$5/1000)^2/4)*((Inputs!$F$5/1000/4)^(2/3))*SQRT(N153))</f>
        <v/>
      </c>
      <c r="AE153" s="9" t="str">
        <f aca="false">IF(A153="","",(1/Inputs!$B$9)*(PI()*(Inputs!$F$6/1000)^2/4)*((Inputs!$F$6/1000/4)^(2/3))*SQRT(N153))</f>
        <v/>
      </c>
      <c r="AF153" s="9" t="str">
        <f aca="false">IF(A153="","",(1/Inputs!$B$9)*(PI()*(Inputs!$F$7/1000)^2/4)*((Inputs!$F$7/1000/4)^(2/3))*SQRT(N153))</f>
        <v/>
      </c>
      <c r="AG153" s="9" t="str">
        <f aca="false">IF(A153="","",(1/Inputs!$B$9)*(PI()*(Inputs!$F$8/1000)^2/4)*((Inputs!$F$8/1000/4)^(2/3))*SQRT(N153))</f>
        <v/>
      </c>
      <c r="AH153" s="9" t="str">
        <f aca="false">IF(A153="","",(1/Inputs!$B$9)*(PI()*(Inputs!$F$9/1000)^2/4)*((Inputs!$F$9/1000/4)^(2/3))*SQRT(N153))</f>
        <v/>
      </c>
      <c r="AI153" s="9" t="str">
        <f aca="false">IF(A153="","",(1/Inputs!$B$9)*(PI()*(Inputs!$F$10/1000)^2/4)*((Inputs!$F$10/1000/4)^(2/3))*SQRT(N153))</f>
        <v/>
      </c>
      <c r="AJ153" s="9" t="str">
        <f aca="false">IF(A153="","",(1/Inputs!$B$9)*(PI()*(Inputs!$F$11/1000)^2/4)*((Inputs!$F$11/1000/4)^(2/3))*SQRT(N153))</f>
        <v/>
      </c>
      <c r="AK153" s="9" t="str">
        <f aca="false">IF(A153="","",(1/Inputs!$B$9)*(PI()*(Inputs!$F$12/1000)^2/4)*((Inputs!$F$12/1000/4)^(2/3))*SQRT(N153))</f>
        <v/>
      </c>
      <c r="AL153" s="9" t="str">
        <f aca="false">IF(A153="","",(1/Inputs!$B$9)*(PI()*(Inputs!$F$13/1000)^2/4)*((Inputs!$F$13/1000/4)^(2/3))*SQRT(N153))</f>
        <v/>
      </c>
      <c r="AM153" s="9" t="str">
        <f aca="false">IF(A153="","",(1/Inputs!$B$9)*(PI()*(Inputs!$F$14/1000)^2/4)*((Inputs!$F$14/1000/4)^(2/3))*SQRT(N153))</f>
        <v/>
      </c>
      <c r="AN153" s="9" t="str">
        <f aca="false">IF(A153="","",COUNTIF($B$4:$B$203,$A153))</f>
        <v/>
      </c>
      <c r="AO153" s="9" t="str">
        <f aca="false">IF(A153="","",IF(AN153=0,"START","CONTINUOUS"))</f>
        <v/>
      </c>
      <c r="AP153" s="13" t="str">
        <f aca="false">IF(A153="","",IF(H153="",Inputs!$B$18,H153))</f>
        <v/>
      </c>
      <c r="AQ153" s="13" t="str">
        <f aca="false">IF(A153="","",IFERROR(maxifs($AS$4:$AS$203,$B$4:$B$203,$A153),""))</f>
        <v/>
      </c>
      <c r="AR153" s="13" t="str">
        <f aca="false">IF(A153="","",IF(OR(C153="",Inputs!$B$23=""),"",C153/(Inputs!$B$23*60)))</f>
        <v/>
      </c>
      <c r="AS153" s="13" t="str">
        <f aca="false">IF(A153="","",IF(AN153=0,AP153+AR153,IF(AQ153="",AP153+AR153,AQ153+AR153)))</f>
        <v/>
      </c>
      <c r="AT153" s="13" t="str">
        <f aca="false">IF(A153="","",U153)</f>
        <v/>
      </c>
      <c r="AU153" s="13" t="str">
        <f aca="false">IF(OR(R153="",N153=""),"",(1/Inputs!$B$9)*((R153/4)^(2/3))*SQRT(N153))</f>
        <v/>
      </c>
      <c r="AV153" s="13" t="str">
        <f aca="false">IF(A153="","",IF(AND(AT153="",AU153="",AX153=""),"",IF(OR(UPPER(TRIM(Inputs!$B$24))="MANNING",UPPER(TRIM(Inputs!$B$24))="M"),AU153,IF(OR(UPPER(TRIM(Inputs!$B$24))="PARTIAL",UPPER(TRIM(Inputs!$B$24))="P"),AX153,IF(OR(UPPER(TRIM(Inputs!$B$24))="MAX",UPPER(TRIM(Inputs!$B$24))="X"),MAX(IF(AT153="",0,AT153),IF(AU153="",0,AU153),IF(AX153="",0,AX153)),AT153)))))</f>
        <v/>
      </c>
      <c r="AW153" s="13" t="str">
        <f aca="false">IF(AY153="","",CE153)</f>
        <v/>
      </c>
      <c r="AX153" s="13" t="str">
        <f aca="false">IF(OR(AY153="",AW153="",R153="",R153&lt;=0,AW153&lt;=0),"",AY153/((R153^2/8)*(2*ACOS(1-2*AW153/R153)-SIN(2*ACOS(1-2*AW153/R153)))))</f>
        <v/>
      </c>
      <c r="AY153" s="9" t="str">
        <f aca="false">IF(OR(L153="",AZ153=""),"",MIN(L153,AZ153))</f>
        <v/>
      </c>
      <c r="AZ153" s="9" t="str">
        <f aca="false">IF(OR(L153="",R153="",N153=""),"",IF(OR(R153="",N153="",(0.94*R153)="",R153&lt;=0,(0.94*R153)&lt;=0),"",(1/Inputs!$B$9)*((R153^2/8)*((2*ACOS(1-2*(0.94*R153)/R153))-SIN((2*ACOS(1-2*(0.94*R153)/R153)))))*((((R153^2/8)*((2*ACOS(1-2*(0.94*R153)/R153))-SIN((2*ACOS(1-2*(0.94*R153)/R153)))))/((R153/2)*((2*ACOS(1-2*(0.94*R153)/R153)))))^(2/3))*SQRT(N153)))</f>
        <v/>
      </c>
      <c r="BA153" s="9" t="str">
        <f aca="false">IF(AY153="","",0.001*R153)</f>
        <v/>
      </c>
      <c r="BB153" s="9" t="str">
        <f aca="false">IF(AY153="","",0.94*R153)</f>
        <v/>
      </c>
      <c r="BC153" s="9" t="str">
        <f aca="false">IF(AY153="","",(BA153+BB153)/2)</f>
        <v/>
      </c>
      <c r="BD153" s="9" t="str">
        <f aca="false">IF(OR(R153="",N153="",BC153="",R153&lt;=0,BC153&lt;=0),"",(1/Inputs!$B$9)*((R153^2/8)*((2*ACOS(1-2*BC153/R153))-SIN((2*ACOS(1-2*BC153/R153)))))*((((R153^2/8)*((2*ACOS(1-2*BC153/R153))-SIN((2*ACOS(1-2*BC153/R153)))))/((R153/2)*((2*ACOS(1-2*BC153/R153)))))^(2/3))*SQRT(N153))</f>
        <v/>
      </c>
      <c r="BE153" s="9" t="str">
        <f aca="false">IF(AY153="","",IF(BD153&lt;AY153,BC153,BA153))</f>
        <v/>
      </c>
      <c r="BF153" s="9" t="str">
        <f aca="false">IF(AY153="","",IF(BD153&lt;AY153,BB153,BC153))</f>
        <v/>
      </c>
      <c r="BG153" s="9" t="str">
        <f aca="false">IF(AY153="","",(BE153+BF153)/2)</f>
        <v/>
      </c>
      <c r="BH153" s="9" t="str">
        <f aca="false">IF(OR(R153="",N153="",BG153="",R153&lt;=0,BG153&lt;=0),"",(1/Inputs!$B$9)*((R153^2/8)*((2*ACOS(1-2*BG153/R153))-SIN((2*ACOS(1-2*BG153/R153)))))*((((R153^2/8)*((2*ACOS(1-2*BG153/R153))-SIN((2*ACOS(1-2*BG153/R153)))))/((R153/2)*((2*ACOS(1-2*BG153/R153)))))^(2/3))*SQRT(N153))</f>
        <v/>
      </c>
      <c r="BI153" s="9" t="str">
        <f aca="false">IF(AY153="","",IF(BH153&lt;AY153,BG153,BE153))</f>
        <v/>
      </c>
      <c r="BJ153" s="9" t="str">
        <f aca="false">IF(AY153="","",IF(BH153&lt;AY153,BF153,BG153))</f>
        <v/>
      </c>
      <c r="BK153" s="9" t="str">
        <f aca="false">IF(AY153="","",(BI153+BJ153)/2)</f>
        <v/>
      </c>
      <c r="BL153" s="9" t="str">
        <f aca="false">IF(OR(R153="",N153="",BK153="",R153&lt;=0,BK153&lt;=0),"",(1/Inputs!$B$9)*((R153^2/8)*((2*ACOS(1-2*BK153/R153))-SIN((2*ACOS(1-2*BK153/R153)))))*((((R153^2/8)*((2*ACOS(1-2*BK153/R153))-SIN((2*ACOS(1-2*BK153/R153)))))/((R153/2)*((2*ACOS(1-2*BK153/R153)))))^(2/3))*SQRT(N153))</f>
        <v/>
      </c>
      <c r="BM153" s="9" t="str">
        <f aca="false">IF(AY153="","",IF(BL153&lt;AY153,BK153,BI153))</f>
        <v/>
      </c>
      <c r="BN153" s="9" t="str">
        <f aca="false">IF(AY153="","",IF(BL153&lt;AY153,BJ153,BK153))</f>
        <v/>
      </c>
      <c r="BO153" s="9" t="str">
        <f aca="false">IF(AY153="","",(BM153+BN153)/2)</f>
        <v/>
      </c>
      <c r="BP153" s="9" t="str">
        <f aca="false">IF(OR(R153="",N153="",BO153="",R153&lt;=0,BO153&lt;=0),"",(1/Inputs!$B$9)*((R153^2/8)*((2*ACOS(1-2*BO153/R153))-SIN((2*ACOS(1-2*BO153/R153)))))*((((R153^2/8)*((2*ACOS(1-2*BO153/R153))-SIN((2*ACOS(1-2*BO153/R153)))))/((R153/2)*((2*ACOS(1-2*BO153/R153)))))^(2/3))*SQRT(N153))</f>
        <v/>
      </c>
      <c r="BQ153" s="9" t="str">
        <f aca="false">IF(AY153="","",IF(BP153&lt;AY153,BO153,BM153))</f>
        <v/>
      </c>
      <c r="BR153" s="9" t="str">
        <f aca="false">IF(AY153="","",IF(BP153&lt;AY153,BN153,BO153))</f>
        <v/>
      </c>
      <c r="BS153" s="9" t="str">
        <f aca="false">IF(AY153="","",(BQ153+BR153)/2)</f>
        <v/>
      </c>
      <c r="BT153" s="9" t="str">
        <f aca="false">IF(OR(R153="",N153="",BS153="",R153&lt;=0,BS153&lt;=0),"",(1/Inputs!$B$9)*((R153^2/8)*((2*ACOS(1-2*BS153/R153))-SIN((2*ACOS(1-2*BS153/R153)))))*((((R153^2/8)*((2*ACOS(1-2*BS153/R153))-SIN((2*ACOS(1-2*BS153/R153)))))/((R153/2)*((2*ACOS(1-2*BS153/R153)))))^(2/3))*SQRT(N153))</f>
        <v/>
      </c>
      <c r="BU153" s="9" t="str">
        <f aca="false">IF(AY153="","",IF(BT153&lt;AY153,BS153,BQ153))</f>
        <v/>
      </c>
      <c r="BV153" s="9" t="str">
        <f aca="false">IF(AY153="","",IF(BT153&lt;AY153,BR153,BS153))</f>
        <v/>
      </c>
      <c r="BW153" s="9" t="str">
        <f aca="false">IF(AY153="","",(BU153+BV153)/2)</f>
        <v/>
      </c>
      <c r="BX153" s="9" t="str">
        <f aca="false">IF(OR(R153="",N153="",BW153="",R153&lt;=0,BW153&lt;=0),"",(1/Inputs!$B$9)*((R153^2/8)*((2*ACOS(1-2*BW153/R153))-SIN((2*ACOS(1-2*BW153/R153)))))*((((R153^2/8)*((2*ACOS(1-2*BW153/R153))-SIN((2*ACOS(1-2*BW153/R153)))))/((R153/2)*((2*ACOS(1-2*BW153/R153)))))^(2/3))*SQRT(N153))</f>
        <v/>
      </c>
      <c r="BY153" s="9" t="str">
        <f aca="false">IF(AY153="","",IF(BX153&lt;AY153,BW153,BU153))</f>
        <v/>
      </c>
      <c r="BZ153" s="9" t="str">
        <f aca="false">IF(AY153="","",IF(BX153&lt;AY153,BV153,BW153))</f>
        <v/>
      </c>
      <c r="CA153" s="9" t="str">
        <f aca="false">IF(AY153="","",(BY153+BZ153)/2)</f>
        <v/>
      </c>
      <c r="CB153" s="9" t="str">
        <f aca="false">IF(OR(R153="",N153="",CA153="",R153&lt;=0,CA153&lt;=0),"",(1/Inputs!$B$9)*((R153^2/8)*((2*ACOS(1-2*CA153/R153))-SIN((2*ACOS(1-2*CA153/R153)))))*((((R153^2/8)*((2*ACOS(1-2*CA153/R153))-SIN((2*ACOS(1-2*CA153/R153)))))/((R153/2)*((2*ACOS(1-2*CA153/R153)))))^(2/3))*SQRT(N153))</f>
        <v/>
      </c>
      <c r="CC153" s="9" t="str">
        <f aca="false">IF(AY153="","",IF(CB153&lt;AY153,CA153,BY153))</f>
        <v/>
      </c>
      <c r="CD153" s="9" t="str">
        <f aca="false">IF(AY153="","",IF(CB153&lt;AY153,BZ153,CA153))</f>
        <v/>
      </c>
      <c r="CE153" s="9" t="str">
        <f aca="false">IF(AY153="","",(CC153+CD153)/2)</f>
        <v/>
      </c>
    </row>
    <row r="154" customFormat="false" ht="15" hidden="false" customHeight="false" outlineLevel="0" collapsed="false">
      <c r="A154" s="9"/>
      <c r="B154" s="9"/>
      <c r="C154" s="14"/>
      <c r="D154" s="14"/>
      <c r="E154" s="14" t="n">
        <f aca="false">SUMIFS(CB_Tributaires!$C:$C,CB_Tributaires!$B:$B,$A154)</f>
        <v>0</v>
      </c>
      <c r="F154" s="14" t="n">
        <f aca="false">IF(D154="",E154,D154)</f>
        <v>0</v>
      </c>
      <c r="G154" s="9"/>
      <c r="H154" s="14"/>
      <c r="I154" s="14" t="str">
        <f aca="false">IF(A154="","",Inputs!$B$13/((IF(AS154="",Inputs!$B$18,AS154)+Inputs!$B$14)^Inputs!$B$15))</f>
        <v/>
      </c>
      <c r="J154" s="14" t="str">
        <f aca="false">IF(A154="","",0.000000278*IF(G154="",Inputs!$B$17,G154)*F154*I154)</f>
        <v/>
      </c>
      <c r="K154" s="14" t="str">
        <f aca="false">IF(A154="","",SUMIFS($L$4:$L$203,$B$4:$B$203,$A154))</f>
        <v/>
      </c>
      <c r="L154" s="14" t="str">
        <f aca="false">IF(A154="","",(J154+K154)*Inputs!$B$16)</f>
        <v/>
      </c>
      <c r="M154" s="14"/>
      <c r="N154" s="14" t="str">
        <f aca="false">IF(A154="","",IF(M154="",Inputs!$B$7,M154))</f>
        <v/>
      </c>
      <c r="O154" s="9" t="str">
        <f aca="false">IF(A154="","",IF(L154/Inputs!$B$10&lt;=AD154,Inputs!$F$5,IF(L154/Inputs!$B$10&gt;AM154,"OVERSIZE",INDEX(Inputs!$F$5:$F$14,MATCH(L154/Inputs!$B$10,AD154:AM154,1)+1))))</f>
        <v/>
      </c>
      <c r="P154" s="9"/>
      <c r="Q154" s="9" t="str">
        <f aca="false">IF(A154="","",IF(P154="",O154,P154))</f>
        <v/>
      </c>
      <c r="R154" s="14" t="str">
        <f aca="false">IF(OR(Q154="",Q154="OVERSIZE"),"",Q154/1000)</f>
        <v/>
      </c>
      <c r="S154" s="14" t="str">
        <f aca="false">IF(R154="","",(1/Inputs!$B$9)*(PI()*R154^2/4)*((R154/4)^(2/3))*SQRT(N154))</f>
        <v/>
      </c>
      <c r="T154" s="14" t="str">
        <f aca="false">IF(OR(S154="",L154=""),"",L154/(S154*Inputs!$B$10))</f>
        <v/>
      </c>
      <c r="U154" s="14" t="str">
        <f aca="false">IF(OR(R154="",L154=""),"",4*L154/(PI()*R154^2))</f>
        <v/>
      </c>
      <c r="V154" s="14"/>
      <c r="W154" s="14" t="str">
        <f aca="false">IF(A154="","",IF(A154=Inputs!$B$6,Inputs!$B$22,IF(B154="","",IFERROR(INDEX($X$4:$X$203,MATCH(B154,$A$4:$A$203,0))+IF(V154="",Inputs!$B$20,V154),""))))</f>
        <v/>
      </c>
      <c r="X154" s="14" t="str">
        <f aca="false">IF(OR(W154="",N154="",C154=""),"",W154+N154*C154)</f>
        <v/>
      </c>
      <c r="Y154" s="14"/>
      <c r="Z154" s="14"/>
      <c r="AA154" s="14" t="str">
        <f aca="false">IF(OR(Y154="",W154=""),"",Y154-W154)</f>
        <v/>
      </c>
      <c r="AB154" s="14" t="str">
        <f aca="false">IF(OR(Z154="",X154=""),"",Z154-X154)</f>
        <v/>
      </c>
      <c r="AC154" s="19" t="str">
        <f aca="false">IF(A154="","",IF(OR(T154&gt;1,AND(AV154&lt;&gt;"",AV154&lt;Inputs!$B$11),AND(AV154&lt;&gt;"",AV154&gt;Inputs!$B$12),AA154&lt;Inputs!$B$19,AB154&lt;Inputs!$B$19,N154&lt;Inputs!$B$7,N154&gt;Inputs!$B$8),"CHECK","OK"))</f>
        <v/>
      </c>
      <c r="AD154" s="9" t="str">
        <f aca="false">IF(A154="","",(1/Inputs!$B$9)*(PI()*(Inputs!$F$5/1000)^2/4)*((Inputs!$F$5/1000/4)^(2/3))*SQRT(N154))</f>
        <v/>
      </c>
      <c r="AE154" s="9" t="str">
        <f aca="false">IF(A154="","",(1/Inputs!$B$9)*(PI()*(Inputs!$F$6/1000)^2/4)*((Inputs!$F$6/1000/4)^(2/3))*SQRT(N154))</f>
        <v/>
      </c>
      <c r="AF154" s="9" t="str">
        <f aca="false">IF(A154="","",(1/Inputs!$B$9)*(PI()*(Inputs!$F$7/1000)^2/4)*((Inputs!$F$7/1000/4)^(2/3))*SQRT(N154))</f>
        <v/>
      </c>
      <c r="AG154" s="9" t="str">
        <f aca="false">IF(A154="","",(1/Inputs!$B$9)*(PI()*(Inputs!$F$8/1000)^2/4)*((Inputs!$F$8/1000/4)^(2/3))*SQRT(N154))</f>
        <v/>
      </c>
      <c r="AH154" s="9" t="str">
        <f aca="false">IF(A154="","",(1/Inputs!$B$9)*(PI()*(Inputs!$F$9/1000)^2/4)*((Inputs!$F$9/1000/4)^(2/3))*SQRT(N154))</f>
        <v/>
      </c>
      <c r="AI154" s="9" t="str">
        <f aca="false">IF(A154="","",(1/Inputs!$B$9)*(PI()*(Inputs!$F$10/1000)^2/4)*((Inputs!$F$10/1000/4)^(2/3))*SQRT(N154))</f>
        <v/>
      </c>
      <c r="AJ154" s="9" t="str">
        <f aca="false">IF(A154="","",(1/Inputs!$B$9)*(PI()*(Inputs!$F$11/1000)^2/4)*((Inputs!$F$11/1000/4)^(2/3))*SQRT(N154))</f>
        <v/>
      </c>
      <c r="AK154" s="9" t="str">
        <f aca="false">IF(A154="","",(1/Inputs!$B$9)*(PI()*(Inputs!$F$12/1000)^2/4)*((Inputs!$F$12/1000/4)^(2/3))*SQRT(N154))</f>
        <v/>
      </c>
      <c r="AL154" s="9" t="str">
        <f aca="false">IF(A154="","",(1/Inputs!$B$9)*(PI()*(Inputs!$F$13/1000)^2/4)*((Inputs!$F$13/1000/4)^(2/3))*SQRT(N154))</f>
        <v/>
      </c>
      <c r="AM154" s="9" t="str">
        <f aca="false">IF(A154="","",(1/Inputs!$B$9)*(PI()*(Inputs!$F$14/1000)^2/4)*((Inputs!$F$14/1000/4)^(2/3))*SQRT(N154))</f>
        <v/>
      </c>
      <c r="AN154" s="9" t="str">
        <f aca="false">IF(A154="","",COUNTIF($B$4:$B$203,$A154))</f>
        <v/>
      </c>
      <c r="AO154" s="9" t="str">
        <f aca="false">IF(A154="","",IF(AN154=0,"START","CONTINUOUS"))</f>
        <v/>
      </c>
      <c r="AP154" s="13" t="str">
        <f aca="false">IF(A154="","",IF(H154="",Inputs!$B$18,H154))</f>
        <v/>
      </c>
      <c r="AQ154" s="13" t="str">
        <f aca="false">IF(A154="","",IFERROR(maxifs($AS$4:$AS$203,$B$4:$B$203,$A154),""))</f>
        <v/>
      </c>
      <c r="AR154" s="13" t="str">
        <f aca="false">IF(A154="","",IF(OR(C154="",Inputs!$B$23=""),"",C154/(Inputs!$B$23*60)))</f>
        <v/>
      </c>
      <c r="AS154" s="13" t="str">
        <f aca="false">IF(A154="","",IF(AN154=0,AP154+AR154,IF(AQ154="",AP154+AR154,AQ154+AR154)))</f>
        <v/>
      </c>
      <c r="AT154" s="13" t="str">
        <f aca="false">IF(A154="","",U154)</f>
        <v/>
      </c>
      <c r="AU154" s="13" t="str">
        <f aca="false">IF(OR(R154="",N154=""),"",(1/Inputs!$B$9)*((R154/4)^(2/3))*SQRT(N154))</f>
        <v/>
      </c>
      <c r="AV154" s="13" t="str">
        <f aca="false">IF(A154="","",IF(AND(AT154="",AU154="",AX154=""),"",IF(OR(UPPER(TRIM(Inputs!$B$24))="MANNING",UPPER(TRIM(Inputs!$B$24))="M"),AU154,IF(OR(UPPER(TRIM(Inputs!$B$24))="PARTIAL",UPPER(TRIM(Inputs!$B$24))="P"),AX154,IF(OR(UPPER(TRIM(Inputs!$B$24))="MAX",UPPER(TRIM(Inputs!$B$24))="X"),MAX(IF(AT154="",0,AT154),IF(AU154="",0,AU154),IF(AX154="",0,AX154)),AT154)))))</f>
        <v/>
      </c>
      <c r="AW154" s="13" t="str">
        <f aca="false">IF(AY154="","",CE154)</f>
        <v/>
      </c>
      <c r="AX154" s="13" t="str">
        <f aca="false">IF(OR(AY154="",AW154="",R154="",R154&lt;=0,AW154&lt;=0),"",AY154/((R154^2/8)*(2*ACOS(1-2*AW154/R154)-SIN(2*ACOS(1-2*AW154/R154)))))</f>
        <v/>
      </c>
      <c r="AY154" s="9" t="str">
        <f aca="false">IF(OR(L154="",AZ154=""),"",MIN(L154,AZ154))</f>
        <v/>
      </c>
      <c r="AZ154" s="9" t="str">
        <f aca="false">IF(OR(L154="",R154="",N154=""),"",IF(OR(R154="",N154="",(0.94*R154)="",R154&lt;=0,(0.94*R154)&lt;=0),"",(1/Inputs!$B$9)*((R154^2/8)*((2*ACOS(1-2*(0.94*R154)/R154))-SIN((2*ACOS(1-2*(0.94*R154)/R154)))))*((((R154^2/8)*((2*ACOS(1-2*(0.94*R154)/R154))-SIN((2*ACOS(1-2*(0.94*R154)/R154)))))/((R154/2)*((2*ACOS(1-2*(0.94*R154)/R154)))))^(2/3))*SQRT(N154)))</f>
        <v/>
      </c>
      <c r="BA154" s="9" t="str">
        <f aca="false">IF(AY154="","",0.001*R154)</f>
        <v/>
      </c>
      <c r="BB154" s="9" t="str">
        <f aca="false">IF(AY154="","",0.94*R154)</f>
        <v/>
      </c>
      <c r="BC154" s="9" t="str">
        <f aca="false">IF(AY154="","",(BA154+BB154)/2)</f>
        <v/>
      </c>
      <c r="BD154" s="9" t="str">
        <f aca="false">IF(OR(R154="",N154="",BC154="",R154&lt;=0,BC154&lt;=0),"",(1/Inputs!$B$9)*((R154^2/8)*((2*ACOS(1-2*BC154/R154))-SIN((2*ACOS(1-2*BC154/R154)))))*((((R154^2/8)*((2*ACOS(1-2*BC154/R154))-SIN((2*ACOS(1-2*BC154/R154)))))/((R154/2)*((2*ACOS(1-2*BC154/R154)))))^(2/3))*SQRT(N154))</f>
        <v/>
      </c>
      <c r="BE154" s="9" t="str">
        <f aca="false">IF(AY154="","",IF(BD154&lt;AY154,BC154,BA154))</f>
        <v/>
      </c>
      <c r="BF154" s="9" t="str">
        <f aca="false">IF(AY154="","",IF(BD154&lt;AY154,BB154,BC154))</f>
        <v/>
      </c>
      <c r="BG154" s="9" t="str">
        <f aca="false">IF(AY154="","",(BE154+BF154)/2)</f>
        <v/>
      </c>
      <c r="BH154" s="9" t="str">
        <f aca="false">IF(OR(R154="",N154="",BG154="",R154&lt;=0,BG154&lt;=0),"",(1/Inputs!$B$9)*((R154^2/8)*((2*ACOS(1-2*BG154/R154))-SIN((2*ACOS(1-2*BG154/R154)))))*((((R154^2/8)*((2*ACOS(1-2*BG154/R154))-SIN((2*ACOS(1-2*BG154/R154)))))/((R154/2)*((2*ACOS(1-2*BG154/R154)))))^(2/3))*SQRT(N154))</f>
        <v/>
      </c>
      <c r="BI154" s="9" t="str">
        <f aca="false">IF(AY154="","",IF(BH154&lt;AY154,BG154,BE154))</f>
        <v/>
      </c>
      <c r="BJ154" s="9" t="str">
        <f aca="false">IF(AY154="","",IF(BH154&lt;AY154,BF154,BG154))</f>
        <v/>
      </c>
      <c r="BK154" s="9" t="str">
        <f aca="false">IF(AY154="","",(BI154+BJ154)/2)</f>
        <v/>
      </c>
      <c r="BL154" s="9" t="str">
        <f aca="false">IF(OR(R154="",N154="",BK154="",R154&lt;=0,BK154&lt;=0),"",(1/Inputs!$B$9)*((R154^2/8)*((2*ACOS(1-2*BK154/R154))-SIN((2*ACOS(1-2*BK154/R154)))))*((((R154^2/8)*((2*ACOS(1-2*BK154/R154))-SIN((2*ACOS(1-2*BK154/R154)))))/((R154/2)*((2*ACOS(1-2*BK154/R154)))))^(2/3))*SQRT(N154))</f>
        <v/>
      </c>
      <c r="BM154" s="9" t="str">
        <f aca="false">IF(AY154="","",IF(BL154&lt;AY154,BK154,BI154))</f>
        <v/>
      </c>
      <c r="BN154" s="9" t="str">
        <f aca="false">IF(AY154="","",IF(BL154&lt;AY154,BJ154,BK154))</f>
        <v/>
      </c>
      <c r="BO154" s="9" t="str">
        <f aca="false">IF(AY154="","",(BM154+BN154)/2)</f>
        <v/>
      </c>
      <c r="BP154" s="9" t="str">
        <f aca="false">IF(OR(R154="",N154="",BO154="",R154&lt;=0,BO154&lt;=0),"",(1/Inputs!$B$9)*((R154^2/8)*((2*ACOS(1-2*BO154/R154))-SIN((2*ACOS(1-2*BO154/R154)))))*((((R154^2/8)*((2*ACOS(1-2*BO154/R154))-SIN((2*ACOS(1-2*BO154/R154)))))/((R154/2)*((2*ACOS(1-2*BO154/R154)))))^(2/3))*SQRT(N154))</f>
        <v/>
      </c>
      <c r="BQ154" s="9" t="str">
        <f aca="false">IF(AY154="","",IF(BP154&lt;AY154,BO154,BM154))</f>
        <v/>
      </c>
      <c r="BR154" s="9" t="str">
        <f aca="false">IF(AY154="","",IF(BP154&lt;AY154,BN154,BO154))</f>
        <v/>
      </c>
      <c r="BS154" s="9" t="str">
        <f aca="false">IF(AY154="","",(BQ154+BR154)/2)</f>
        <v/>
      </c>
      <c r="BT154" s="9" t="str">
        <f aca="false">IF(OR(R154="",N154="",BS154="",R154&lt;=0,BS154&lt;=0),"",(1/Inputs!$B$9)*((R154^2/8)*((2*ACOS(1-2*BS154/R154))-SIN((2*ACOS(1-2*BS154/R154)))))*((((R154^2/8)*((2*ACOS(1-2*BS154/R154))-SIN((2*ACOS(1-2*BS154/R154)))))/((R154/2)*((2*ACOS(1-2*BS154/R154)))))^(2/3))*SQRT(N154))</f>
        <v/>
      </c>
      <c r="BU154" s="9" t="str">
        <f aca="false">IF(AY154="","",IF(BT154&lt;AY154,BS154,BQ154))</f>
        <v/>
      </c>
      <c r="BV154" s="9" t="str">
        <f aca="false">IF(AY154="","",IF(BT154&lt;AY154,BR154,BS154))</f>
        <v/>
      </c>
      <c r="BW154" s="9" t="str">
        <f aca="false">IF(AY154="","",(BU154+BV154)/2)</f>
        <v/>
      </c>
      <c r="BX154" s="9" t="str">
        <f aca="false">IF(OR(R154="",N154="",BW154="",R154&lt;=0,BW154&lt;=0),"",(1/Inputs!$B$9)*((R154^2/8)*((2*ACOS(1-2*BW154/R154))-SIN((2*ACOS(1-2*BW154/R154)))))*((((R154^2/8)*((2*ACOS(1-2*BW154/R154))-SIN((2*ACOS(1-2*BW154/R154)))))/((R154/2)*((2*ACOS(1-2*BW154/R154)))))^(2/3))*SQRT(N154))</f>
        <v/>
      </c>
      <c r="BY154" s="9" t="str">
        <f aca="false">IF(AY154="","",IF(BX154&lt;AY154,BW154,BU154))</f>
        <v/>
      </c>
      <c r="BZ154" s="9" t="str">
        <f aca="false">IF(AY154="","",IF(BX154&lt;AY154,BV154,BW154))</f>
        <v/>
      </c>
      <c r="CA154" s="9" t="str">
        <f aca="false">IF(AY154="","",(BY154+BZ154)/2)</f>
        <v/>
      </c>
      <c r="CB154" s="9" t="str">
        <f aca="false">IF(OR(R154="",N154="",CA154="",R154&lt;=0,CA154&lt;=0),"",(1/Inputs!$B$9)*((R154^2/8)*((2*ACOS(1-2*CA154/R154))-SIN((2*ACOS(1-2*CA154/R154)))))*((((R154^2/8)*((2*ACOS(1-2*CA154/R154))-SIN((2*ACOS(1-2*CA154/R154)))))/((R154/2)*((2*ACOS(1-2*CA154/R154)))))^(2/3))*SQRT(N154))</f>
        <v/>
      </c>
      <c r="CC154" s="9" t="str">
        <f aca="false">IF(AY154="","",IF(CB154&lt;AY154,CA154,BY154))</f>
        <v/>
      </c>
      <c r="CD154" s="9" t="str">
        <f aca="false">IF(AY154="","",IF(CB154&lt;AY154,BZ154,CA154))</f>
        <v/>
      </c>
      <c r="CE154" s="9" t="str">
        <f aca="false">IF(AY154="","",(CC154+CD154)/2)</f>
        <v/>
      </c>
    </row>
    <row r="155" customFormat="false" ht="15" hidden="false" customHeight="false" outlineLevel="0" collapsed="false">
      <c r="A155" s="9"/>
      <c r="B155" s="9"/>
      <c r="C155" s="14"/>
      <c r="D155" s="14"/>
      <c r="E155" s="14" t="n">
        <f aca="false">SUMIFS(CB_Tributaires!$C:$C,CB_Tributaires!$B:$B,$A155)</f>
        <v>0</v>
      </c>
      <c r="F155" s="14" t="n">
        <f aca="false">IF(D155="",E155,D155)</f>
        <v>0</v>
      </c>
      <c r="G155" s="9"/>
      <c r="H155" s="14"/>
      <c r="I155" s="14" t="str">
        <f aca="false">IF(A155="","",Inputs!$B$13/((IF(AS155="",Inputs!$B$18,AS155)+Inputs!$B$14)^Inputs!$B$15))</f>
        <v/>
      </c>
      <c r="J155" s="14" t="str">
        <f aca="false">IF(A155="","",0.000000278*IF(G155="",Inputs!$B$17,G155)*F155*I155)</f>
        <v/>
      </c>
      <c r="K155" s="14" t="str">
        <f aca="false">IF(A155="","",SUMIFS($L$4:$L$203,$B$4:$B$203,$A155))</f>
        <v/>
      </c>
      <c r="L155" s="14" t="str">
        <f aca="false">IF(A155="","",(J155+K155)*Inputs!$B$16)</f>
        <v/>
      </c>
      <c r="M155" s="14"/>
      <c r="N155" s="14" t="str">
        <f aca="false">IF(A155="","",IF(M155="",Inputs!$B$7,M155))</f>
        <v/>
      </c>
      <c r="O155" s="9" t="str">
        <f aca="false">IF(A155="","",IF(L155/Inputs!$B$10&lt;=AD155,Inputs!$F$5,IF(L155/Inputs!$B$10&gt;AM155,"OVERSIZE",INDEX(Inputs!$F$5:$F$14,MATCH(L155/Inputs!$B$10,AD155:AM155,1)+1))))</f>
        <v/>
      </c>
      <c r="P155" s="9"/>
      <c r="Q155" s="9" t="str">
        <f aca="false">IF(A155="","",IF(P155="",O155,P155))</f>
        <v/>
      </c>
      <c r="R155" s="14" t="str">
        <f aca="false">IF(OR(Q155="",Q155="OVERSIZE"),"",Q155/1000)</f>
        <v/>
      </c>
      <c r="S155" s="14" t="str">
        <f aca="false">IF(R155="","",(1/Inputs!$B$9)*(PI()*R155^2/4)*((R155/4)^(2/3))*SQRT(N155))</f>
        <v/>
      </c>
      <c r="T155" s="14" t="str">
        <f aca="false">IF(OR(S155="",L155=""),"",L155/(S155*Inputs!$B$10))</f>
        <v/>
      </c>
      <c r="U155" s="14" t="str">
        <f aca="false">IF(OR(R155="",L155=""),"",4*L155/(PI()*R155^2))</f>
        <v/>
      </c>
      <c r="V155" s="14"/>
      <c r="W155" s="14" t="str">
        <f aca="false">IF(A155="","",IF(A155=Inputs!$B$6,Inputs!$B$22,IF(B155="","",IFERROR(INDEX($X$4:$X$203,MATCH(B155,$A$4:$A$203,0))+IF(V155="",Inputs!$B$20,V155),""))))</f>
        <v/>
      </c>
      <c r="X155" s="14" t="str">
        <f aca="false">IF(OR(W155="",N155="",C155=""),"",W155+N155*C155)</f>
        <v/>
      </c>
      <c r="Y155" s="14"/>
      <c r="Z155" s="14"/>
      <c r="AA155" s="14" t="str">
        <f aca="false">IF(OR(Y155="",W155=""),"",Y155-W155)</f>
        <v/>
      </c>
      <c r="AB155" s="14" t="str">
        <f aca="false">IF(OR(Z155="",X155=""),"",Z155-X155)</f>
        <v/>
      </c>
      <c r="AC155" s="19" t="str">
        <f aca="false">IF(A155="","",IF(OR(T155&gt;1,AND(AV155&lt;&gt;"",AV155&lt;Inputs!$B$11),AND(AV155&lt;&gt;"",AV155&gt;Inputs!$B$12),AA155&lt;Inputs!$B$19,AB155&lt;Inputs!$B$19,N155&lt;Inputs!$B$7,N155&gt;Inputs!$B$8),"CHECK","OK"))</f>
        <v/>
      </c>
      <c r="AD155" s="9" t="str">
        <f aca="false">IF(A155="","",(1/Inputs!$B$9)*(PI()*(Inputs!$F$5/1000)^2/4)*((Inputs!$F$5/1000/4)^(2/3))*SQRT(N155))</f>
        <v/>
      </c>
      <c r="AE155" s="9" t="str">
        <f aca="false">IF(A155="","",(1/Inputs!$B$9)*(PI()*(Inputs!$F$6/1000)^2/4)*((Inputs!$F$6/1000/4)^(2/3))*SQRT(N155))</f>
        <v/>
      </c>
      <c r="AF155" s="9" t="str">
        <f aca="false">IF(A155="","",(1/Inputs!$B$9)*(PI()*(Inputs!$F$7/1000)^2/4)*((Inputs!$F$7/1000/4)^(2/3))*SQRT(N155))</f>
        <v/>
      </c>
      <c r="AG155" s="9" t="str">
        <f aca="false">IF(A155="","",(1/Inputs!$B$9)*(PI()*(Inputs!$F$8/1000)^2/4)*((Inputs!$F$8/1000/4)^(2/3))*SQRT(N155))</f>
        <v/>
      </c>
      <c r="AH155" s="9" t="str">
        <f aca="false">IF(A155="","",(1/Inputs!$B$9)*(PI()*(Inputs!$F$9/1000)^2/4)*((Inputs!$F$9/1000/4)^(2/3))*SQRT(N155))</f>
        <v/>
      </c>
      <c r="AI155" s="9" t="str">
        <f aca="false">IF(A155="","",(1/Inputs!$B$9)*(PI()*(Inputs!$F$10/1000)^2/4)*((Inputs!$F$10/1000/4)^(2/3))*SQRT(N155))</f>
        <v/>
      </c>
      <c r="AJ155" s="9" t="str">
        <f aca="false">IF(A155="","",(1/Inputs!$B$9)*(PI()*(Inputs!$F$11/1000)^2/4)*((Inputs!$F$11/1000/4)^(2/3))*SQRT(N155))</f>
        <v/>
      </c>
      <c r="AK155" s="9" t="str">
        <f aca="false">IF(A155="","",(1/Inputs!$B$9)*(PI()*(Inputs!$F$12/1000)^2/4)*((Inputs!$F$12/1000/4)^(2/3))*SQRT(N155))</f>
        <v/>
      </c>
      <c r="AL155" s="9" t="str">
        <f aca="false">IF(A155="","",(1/Inputs!$B$9)*(PI()*(Inputs!$F$13/1000)^2/4)*((Inputs!$F$13/1000/4)^(2/3))*SQRT(N155))</f>
        <v/>
      </c>
      <c r="AM155" s="9" t="str">
        <f aca="false">IF(A155="","",(1/Inputs!$B$9)*(PI()*(Inputs!$F$14/1000)^2/4)*((Inputs!$F$14/1000/4)^(2/3))*SQRT(N155))</f>
        <v/>
      </c>
      <c r="AN155" s="9" t="str">
        <f aca="false">IF(A155="","",COUNTIF($B$4:$B$203,$A155))</f>
        <v/>
      </c>
      <c r="AO155" s="9" t="str">
        <f aca="false">IF(A155="","",IF(AN155=0,"START","CONTINUOUS"))</f>
        <v/>
      </c>
      <c r="AP155" s="13" t="str">
        <f aca="false">IF(A155="","",IF(H155="",Inputs!$B$18,H155))</f>
        <v/>
      </c>
      <c r="AQ155" s="13" t="str">
        <f aca="false">IF(A155="","",IFERROR(maxifs($AS$4:$AS$203,$B$4:$B$203,$A155),""))</f>
        <v/>
      </c>
      <c r="AR155" s="13" t="str">
        <f aca="false">IF(A155="","",IF(OR(C155="",Inputs!$B$23=""),"",C155/(Inputs!$B$23*60)))</f>
        <v/>
      </c>
      <c r="AS155" s="13" t="str">
        <f aca="false">IF(A155="","",IF(AN155=0,AP155+AR155,IF(AQ155="",AP155+AR155,AQ155+AR155)))</f>
        <v/>
      </c>
      <c r="AT155" s="13" t="str">
        <f aca="false">IF(A155="","",U155)</f>
        <v/>
      </c>
      <c r="AU155" s="13" t="str">
        <f aca="false">IF(OR(R155="",N155=""),"",(1/Inputs!$B$9)*((R155/4)^(2/3))*SQRT(N155))</f>
        <v/>
      </c>
      <c r="AV155" s="13" t="str">
        <f aca="false">IF(A155="","",IF(AND(AT155="",AU155="",AX155=""),"",IF(OR(UPPER(TRIM(Inputs!$B$24))="MANNING",UPPER(TRIM(Inputs!$B$24))="M"),AU155,IF(OR(UPPER(TRIM(Inputs!$B$24))="PARTIAL",UPPER(TRIM(Inputs!$B$24))="P"),AX155,IF(OR(UPPER(TRIM(Inputs!$B$24))="MAX",UPPER(TRIM(Inputs!$B$24))="X"),MAX(IF(AT155="",0,AT155),IF(AU155="",0,AU155),IF(AX155="",0,AX155)),AT155)))))</f>
        <v/>
      </c>
      <c r="AW155" s="13" t="str">
        <f aca="false">IF(AY155="","",CE155)</f>
        <v/>
      </c>
      <c r="AX155" s="13" t="str">
        <f aca="false">IF(OR(AY155="",AW155="",R155="",R155&lt;=0,AW155&lt;=0),"",AY155/((R155^2/8)*(2*ACOS(1-2*AW155/R155)-SIN(2*ACOS(1-2*AW155/R155)))))</f>
        <v/>
      </c>
      <c r="AY155" s="9" t="str">
        <f aca="false">IF(OR(L155="",AZ155=""),"",MIN(L155,AZ155))</f>
        <v/>
      </c>
      <c r="AZ155" s="9" t="str">
        <f aca="false">IF(OR(L155="",R155="",N155=""),"",IF(OR(R155="",N155="",(0.94*R155)="",R155&lt;=0,(0.94*R155)&lt;=0),"",(1/Inputs!$B$9)*((R155^2/8)*((2*ACOS(1-2*(0.94*R155)/R155))-SIN((2*ACOS(1-2*(0.94*R155)/R155)))))*((((R155^2/8)*((2*ACOS(1-2*(0.94*R155)/R155))-SIN((2*ACOS(1-2*(0.94*R155)/R155)))))/((R155/2)*((2*ACOS(1-2*(0.94*R155)/R155)))))^(2/3))*SQRT(N155)))</f>
        <v/>
      </c>
      <c r="BA155" s="9" t="str">
        <f aca="false">IF(AY155="","",0.001*R155)</f>
        <v/>
      </c>
      <c r="BB155" s="9" t="str">
        <f aca="false">IF(AY155="","",0.94*R155)</f>
        <v/>
      </c>
      <c r="BC155" s="9" t="str">
        <f aca="false">IF(AY155="","",(BA155+BB155)/2)</f>
        <v/>
      </c>
      <c r="BD155" s="9" t="str">
        <f aca="false">IF(OR(R155="",N155="",BC155="",R155&lt;=0,BC155&lt;=0),"",(1/Inputs!$B$9)*((R155^2/8)*((2*ACOS(1-2*BC155/R155))-SIN((2*ACOS(1-2*BC155/R155)))))*((((R155^2/8)*((2*ACOS(1-2*BC155/R155))-SIN((2*ACOS(1-2*BC155/R155)))))/((R155/2)*((2*ACOS(1-2*BC155/R155)))))^(2/3))*SQRT(N155))</f>
        <v/>
      </c>
      <c r="BE155" s="9" t="str">
        <f aca="false">IF(AY155="","",IF(BD155&lt;AY155,BC155,BA155))</f>
        <v/>
      </c>
      <c r="BF155" s="9" t="str">
        <f aca="false">IF(AY155="","",IF(BD155&lt;AY155,BB155,BC155))</f>
        <v/>
      </c>
      <c r="BG155" s="9" t="str">
        <f aca="false">IF(AY155="","",(BE155+BF155)/2)</f>
        <v/>
      </c>
      <c r="BH155" s="9" t="str">
        <f aca="false">IF(OR(R155="",N155="",BG155="",R155&lt;=0,BG155&lt;=0),"",(1/Inputs!$B$9)*((R155^2/8)*((2*ACOS(1-2*BG155/R155))-SIN((2*ACOS(1-2*BG155/R155)))))*((((R155^2/8)*((2*ACOS(1-2*BG155/R155))-SIN((2*ACOS(1-2*BG155/R155)))))/((R155/2)*((2*ACOS(1-2*BG155/R155)))))^(2/3))*SQRT(N155))</f>
        <v/>
      </c>
      <c r="BI155" s="9" t="str">
        <f aca="false">IF(AY155="","",IF(BH155&lt;AY155,BG155,BE155))</f>
        <v/>
      </c>
      <c r="BJ155" s="9" t="str">
        <f aca="false">IF(AY155="","",IF(BH155&lt;AY155,BF155,BG155))</f>
        <v/>
      </c>
      <c r="BK155" s="9" t="str">
        <f aca="false">IF(AY155="","",(BI155+BJ155)/2)</f>
        <v/>
      </c>
      <c r="BL155" s="9" t="str">
        <f aca="false">IF(OR(R155="",N155="",BK155="",R155&lt;=0,BK155&lt;=0),"",(1/Inputs!$B$9)*((R155^2/8)*((2*ACOS(1-2*BK155/R155))-SIN((2*ACOS(1-2*BK155/R155)))))*((((R155^2/8)*((2*ACOS(1-2*BK155/R155))-SIN((2*ACOS(1-2*BK155/R155)))))/((R155/2)*((2*ACOS(1-2*BK155/R155)))))^(2/3))*SQRT(N155))</f>
        <v/>
      </c>
      <c r="BM155" s="9" t="str">
        <f aca="false">IF(AY155="","",IF(BL155&lt;AY155,BK155,BI155))</f>
        <v/>
      </c>
      <c r="BN155" s="9" t="str">
        <f aca="false">IF(AY155="","",IF(BL155&lt;AY155,BJ155,BK155))</f>
        <v/>
      </c>
      <c r="BO155" s="9" t="str">
        <f aca="false">IF(AY155="","",(BM155+BN155)/2)</f>
        <v/>
      </c>
      <c r="BP155" s="9" t="str">
        <f aca="false">IF(OR(R155="",N155="",BO155="",R155&lt;=0,BO155&lt;=0),"",(1/Inputs!$B$9)*((R155^2/8)*((2*ACOS(1-2*BO155/R155))-SIN((2*ACOS(1-2*BO155/R155)))))*((((R155^2/8)*((2*ACOS(1-2*BO155/R155))-SIN((2*ACOS(1-2*BO155/R155)))))/((R155/2)*((2*ACOS(1-2*BO155/R155)))))^(2/3))*SQRT(N155))</f>
        <v/>
      </c>
      <c r="BQ155" s="9" t="str">
        <f aca="false">IF(AY155="","",IF(BP155&lt;AY155,BO155,BM155))</f>
        <v/>
      </c>
      <c r="BR155" s="9" t="str">
        <f aca="false">IF(AY155="","",IF(BP155&lt;AY155,BN155,BO155))</f>
        <v/>
      </c>
      <c r="BS155" s="9" t="str">
        <f aca="false">IF(AY155="","",(BQ155+BR155)/2)</f>
        <v/>
      </c>
      <c r="BT155" s="9" t="str">
        <f aca="false">IF(OR(R155="",N155="",BS155="",R155&lt;=0,BS155&lt;=0),"",(1/Inputs!$B$9)*((R155^2/8)*((2*ACOS(1-2*BS155/R155))-SIN((2*ACOS(1-2*BS155/R155)))))*((((R155^2/8)*((2*ACOS(1-2*BS155/R155))-SIN((2*ACOS(1-2*BS155/R155)))))/((R155/2)*((2*ACOS(1-2*BS155/R155)))))^(2/3))*SQRT(N155))</f>
        <v/>
      </c>
      <c r="BU155" s="9" t="str">
        <f aca="false">IF(AY155="","",IF(BT155&lt;AY155,BS155,BQ155))</f>
        <v/>
      </c>
      <c r="BV155" s="9" t="str">
        <f aca="false">IF(AY155="","",IF(BT155&lt;AY155,BR155,BS155))</f>
        <v/>
      </c>
      <c r="BW155" s="9" t="str">
        <f aca="false">IF(AY155="","",(BU155+BV155)/2)</f>
        <v/>
      </c>
      <c r="BX155" s="9" t="str">
        <f aca="false">IF(OR(R155="",N155="",BW155="",R155&lt;=0,BW155&lt;=0),"",(1/Inputs!$B$9)*((R155^2/8)*((2*ACOS(1-2*BW155/R155))-SIN((2*ACOS(1-2*BW155/R155)))))*((((R155^2/8)*((2*ACOS(1-2*BW155/R155))-SIN((2*ACOS(1-2*BW155/R155)))))/((R155/2)*((2*ACOS(1-2*BW155/R155)))))^(2/3))*SQRT(N155))</f>
        <v/>
      </c>
      <c r="BY155" s="9" t="str">
        <f aca="false">IF(AY155="","",IF(BX155&lt;AY155,BW155,BU155))</f>
        <v/>
      </c>
      <c r="BZ155" s="9" t="str">
        <f aca="false">IF(AY155="","",IF(BX155&lt;AY155,BV155,BW155))</f>
        <v/>
      </c>
      <c r="CA155" s="9" t="str">
        <f aca="false">IF(AY155="","",(BY155+BZ155)/2)</f>
        <v/>
      </c>
      <c r="CB155" s="9" t="str">
        <f aca="false">IF(OR(R155="",N155="",CA155="",R155&lt;=0,CA155&lt;=0),"",(1/Inputs!$B$9)*((R155^2/8)*((2*ACOS(1-2*CA155/R155))-SIN((2*ACOS(1-2*CA155/R155)))))*((((R155^2/8)*((2*ACOS(1-2*CA155/R155))-SIN((2*ACOS(1-2*CA155/R155)))))/((R155/2)*((2*ACOS(1-2*CA155/R155)))))^(2/3))*SQRT(N155))</f>
        <v/>
      </c>
      <c r="CC155" s="9" t="str">
        <f aca="false">IF(AY155="","",IF(CB155&lt;AY155,CA155,BY155))</f>
        <v/>
      </c>
      <c r="CD155" s="9" t="str">
        <f aca="false">IF(AY155="","",IF(CB155&lt;AY155,BZ155,CA155))</f>
        <v/>
      </c>
      <c r="CE155" s="9" t="str">
        <f aca="false">IF(AY155="","",(CC155+CD155)/2)</f>
        <v/>
      </c>
    </row>
    <row r="156" customFormat="false" ht="15" hidden="false" customHeight="false" outlineLevel="0" collapsed="false">
      <c r="A156" s="9"/>
      <c r="B156" s="9"/>
      <c r="C156" s="14"/>
      <c r="D156" s="14"/>
      <c r="E156" s="14" t="n">
        <f aca="false">SUMIFS(CB_Tributaires!$C:$C,CB_Tributaires!$B:$B,$A156)</f>
        <v>0</v>
      </c>
      <c r="F156" s="14" t="n">
        <f aca="false">IF(D156="",E156,D156)</f>
        <v>0</v>
      </c>
      <c r="G156" s="9"/>
      <c r="H156" s="14"/>
      <c r="I156" s="14" t="str">
        <f aca="false">IF(A156="","",Inputs!$B$13/((IF(AS156="",Inputs!$B$18,AS156)+Inputs!$B$14)^Inputs!$B$15))</f>
        <v/>
      </c>
      <c r="J156" s="14" t="str">
        <f aca="false">IF(A156="","",0.000000278*IF(G156="",Inputs!$B$17,G156)*F156*I156)</f>
        <v/>
      </c>
      <c r="K156" s="14" t="str">
        <f aca="false">IF(A156="","",SUMIFS($L$4:$L$203,$B$4:$B$203,$A156))</f>
        <v/>
      </c>
      <c r="L156" s="14" t="str">
        <f aca="false">IF(A156="","",(J156+K156)*Inputs!$B$16)</f>
        <v/>
      </c>
      <c r="M156" s="14"/>
      <c r="N156" s="14" t="str">
        <f aca="false">IF(A156="","",IF(M156="",Inputs!$B$7,M156))</f>
        <v/>
      </c>
      <c r="O156" s="9" t="str">
        <f aca="false">IF(A156="","",IF(L156/Inputs!$B$10&lt;=AD156,Inputs!$F$5,IF(L156/Inputs!$B$10&gt;AM156,"OVERSIZE",INDEX(Inputs!$F$5:$F$14,MATCH(L156/Inputs!$B$10,AD156:AM156,1)+1))))</f>
        <v/>
      </c>
      <c r="P156" s="9"/>
      <c r="Q156" s="9" t="str">
        <f aca="false">IF(A156="","",IF(P156="",O156,P156))</f>
        <v/>
      </c>
      <c r="R156" s="14" t="str">
        <f aca="false">IF(OR(Q156="",Q156="OVERSIZE"),"",Q156/1000)</f>
        <v/>
      </c>
      <c r="S156" s="14" t="str">
        <f aca="false">IF(R156="","",(1/Inputs!$B$9)*(PI()*R156^2/4)*((R156/4)^(2/3))*SQRT(N156))</f>
        <v/>
      </c>
      <c r="T156" s="14" t="str">
        <f aca="false">IF(OR(S156="",L156=""),"",L156/(S156*Inputs!$B$10))</f>
        <v/>
      </c>
      <c r="U156" s="14" t="str">
        <f aca="false">IF(OR(R156="",L156=""),"",4*L156/(PI()*R156^2))</f>
        <v/>
      </c>
      <c r="V156" s="14"/>
      <c r="W156" s="14" t="str">
        <f aca="false">IF(A156="","",IF(A156=Inputs!$B$6,Inputs!$B$22,IF(B156="","",IFERROR(INDEX($X$4:$X$203,MATCH(B156,$A$4:$A$203,0))+IF(V156="",Inputs!$B$20,V156),""))))</f>
        <v/>
      </c>
      <c r="X156" s="14" t="str">
        <f aca="false">IF(OR(W156="",N156="",C156=""),"",W156+N156*C156)</f>
        <v/>
      </c>
      <c r="Y156" s="14"/>
      <c r="Z156" s="14"/>
      <c r="AA156" s="14" t="str">
        <f aca="false">IF(OR(Y156="",W156=""),"",Y156-W156)</f>
        <v/>
      </c>
      <c r="AB156" s="14" t="str">
        <f aca="false">IF(OR(Z156="",X156=""),"",Z156-X156)</f>
        <v/>
      </c>
      <c r="AC156" s="19" t="str">
        <f aca="false">IF(A156="","",IF(OR(T156&gt;1,AND(AV156&lt;&gt;"",AV156&lt;Inputs!$B$11),AND(AV156&lt;&gt;"",AV156&gt;Inputs!$B$12),AA156&lt;Inputs!$B$19,AB156&lt;Inputs!$B$19,N156&lt;Inputs!$B$7,N156&gt;Inputs!$B$8),"CHECK","OK"))</f>
        <v/>
      </c>
      <c r="AD156" s="9" t="str">
        <f aca="false">IF(A156="","",(1/Inputs!$B$9)*(PI()*(Inputs!$F$5/1000)^2/4)*((Inputs!$F$5/1000/4)^(2/3))*SQRT(N156))</f>
        <v/>
      </c>
      <c r="AE156" s="9" t="str">
        <f aca="false">IF(A156="","",(1/Inputs!$B$9)*(PI()*(Inputs!$F$6/1000)^2/4)*((Inputs!$F$6/1000/4)^(2/3))*SQRT(N156))</f>
        <v/>
      </c>
      <c r="AF156" s="9" t="str">
        <f aca="false">IF(A156="","",(1/Inputs!$B$9)*(PI()*(Inputs!$F$7/1000)^2/4)*((Inputs!$F$7/1000/4)^(2/3))*SQRT(N156))</f>
        <v/>
      </c>
      <c r="AG156" s="9" t="str">
        <f aca="false">IF(A156="","",(1/Inputs!$B$9)*(PI()*(Inputs!$F$8/1000)^2/4)*((Inputs!$F$8/1000/4)^(2/3))*SQRT(N156))</f>
        <v/>
      </c>
      <c r="AH156" s="9" t="str">
        <f aca="false">IF(A156="","",(1/Inputs!$B$9)*(PI()*(Inputs!$F$9/1000)^2/4)*((Inputs!$F$9/1000/4)^(2/3))*SQRT(N156))</f>
        <v/>
      </c>
      <c r="AI156" s="9" t="str">
        <f aca="false">IF(A156="","",(1/Inputs!$B$9)*(PI()*(Inputs!$F$10/1000)^2/4)*((Inputs!$F$10/1000/4)^(2/3))*SQRT(N156))</f>
        <v/>
      </c>
      <c r="AJ156" s="9" t="str">
        <f aca="false">IF(A156="","",(1/Inputs!$B$9)*(PI()*(Inputs!$F$11/1000)^2/4)*((Inputs!$F$11/1000/4)^(2/3))*SQRT(N156))</f>
        <v/>
      </c>
      <c r="AK156" s="9" t="str">
        <f aca="false">IF(A156="","",(1/Inputs!$B$9)*(PI()*(Inputs!$F$12/1000)^2/4)*((Inputs!$F$12/1000/4)^(2/3))*SQRT(N156))</f>
        <v/>
      </c>
      <c r="AL156" s="9" t="str">
        <f aca="false">IF(A156="","",(1/Inputs!$B$9)*(PI()*(Inputs!$F$13/1000)^2/4)*((Inputs!$F$13/1000/4)^(2/3))*SQRT(N156))</f>
        <v/>
      </c>
      <c r="AM156" s="9" t="str">
        <f aca="false">IF(A156="","",(1/Inputs!$B$9)*(PI()*(Inputs!$F$14/1000)^2/4)*((Inputs!$F$14/1000/4)^(2/3))*SQRT(N156))</f>
        <v/>
      </c>
      <c r="AN156" s="9" t="str">
        <f aca="false">IF(A156="","",COUNTIF($B$4:$B$203,$A156))</f>
        <v/>
      </c>
      <c r="AO156" s="9" t="str">
        <f aca="false">IF(A156="","",IF(AN156=0,"START","CONTINUOUS"))</f>
        <v/>
      </c>
      <c r="AP156" s="13" t="str">
        <f aca="false">IF(A156="","",IF(H156="",Inputs!$B$18,H156))</f>
        <v/>
      </c>
      <c r="AQ156" s="13" t="str">
        <f aca="false">IF(A156="","",IFERROR(maxifs($AS$4:$AS$203,$B$4:$B$203,$A156),""))</f>
        <v/>
      </c>
      <c r="AR156" s="13" t="str">
        <f aca="false">IF(A156="","",IF(OR(C156="",Inputs!$B$23=""),"",C156/(Inputs!$B$23*60)))</f>
        <v/>
      </c>
      <c r="AS156" s="13" t="str">
        <f aca="false">IF(A156="","",IF(AN156=0,AP156+AR156,IF(AQ156="",AP156+AR156,AQ156+AR156)))</f>
        <v/>
      </c>
      <c r="AT156" s="13" t="str">
        <f aca="false">IF(A156="","",U156)</f>
        <v/>
      </c>
      <c r="AU156" s="13" t="str">
        <f aca="false">IF(OR(R156="",N156=""),"",(1/Inputs!$B$9)*((R156/4)^(2/3))*SQRT(N156))</f>
        <v/>
      </c>
      <c r="AV156" s="13" t="str">
        <f aca="false">IF(A156="","",IF(AND(AT156="",AU156="",AX156=""),"",IF(OR(UPPER(TRIM(Inputs!$B$24))="MANNING",UPPER(TRIM(Inputs!$B$24))="M"),AU156,IF(OR(UPPER(TRIM(Inputs!$B$24))="PARTIAL",UPPER(TRIM(Inputs!$B$24))="P"),AX156,IF(OR(UPPER(TRIM(Inputs!$B$24))="MAX",UPPER(TRIM(Inputs!$B$24))="X"),MAX(IF(AT156="",0,AT156),IF(AU156="",0,AU156),IF(AX156="",0,AX156)),AT156)))))</f>
        <v/>
      </c>
      <c r="AW156" s="13" t="str">
        <f aca="false">IF(AY156="","",CE156)</f>
        <v/>
      </c>
      <c r="AX156" s="13" t="str">
        <f aca="false">IF(OR(AY156="",AW156="",R156="",R156&lt;=0,AW156&lt;=0),"",AY156/((R156^2/8)*(2*ACOS(1-2*AW156/R156)-SIN(2*ACOS(1-2*AW156/R156)))))</f>
        <v/>
      </c>
      <c r="AY156" s="9" t="str">
        <f aca="false">IF(OR(L156="",AZ156=""),"",MIN(L156,AZ156))</f>
        <v/>
      </c>
      <c r="AZ156" s="9" t="str">
        <f aca="false">IF(OR(L156="",R156="",N156=""),"",IF(OR(R156="",N156="",(0.94*R156)="",R156&lt;=0,(0.94*R156)&lt;=0),"",(1/Inputs!$B$9)*((R156^2/8)*((2*ACOS(1-2*(0.94*R156)/R156))-SIN((2*ACOS(1-2*(0.94*R156)/R156)))))*((((R156^2/8)*((2*ACOS(1-2*(0.94*R156)/R156))-SIN((2*ACOS(1-2*(0.94*R156)/R156)))))/((R156/2)*((2*ACOS(1-2*(0.94*R156)/R156)))))^(2/3))*SQRT(N156)))</f>
        <v/>
      </c>
      <c r="BA156" s="9" t="str">
        <f aca="false">IF(AY156="","",0.001*R156)</f>
        <v/>
      </c>
      <c r="BB156" s="9" t="str">
        <f aca="false">IF(AY156="","",0.94*R156)</f>
        <v/>
      </c>
      <c r="BC156" s="9" t="str">
        <f aca="false">IF(AY156="","",(BA156+BB156)/2)</f>
        <v/>
      </c>
      <c r="BD156" s="9" t="str">
        <f aca="false">IF(OR(R156="",N156="",BC156="",R156&lt;=0,BC156&lt;=0),"",(1/Inputs!$B$9)*((R156^2/8)*((2*ACOS(1-2*BC156/R156))-SIN((2*ACOS(1-2*BC156/R156)))))*((((R156^2/8)*((2*ACOS(1-2*BC156/R156))-SIN((2*ACOS(1-2*BC156/R156)))))/((R156/2)*((2*ACOS(1-2*BC156/R156)))))^(2/3))*SQRT(N156))</f>
        <v/>
      </c>
      <c r="BE156" s="9" t="str">
        <f aca="false">IF(AY156="","",IF(BD156&lt;AY156,BC156,BA156))</f>
        <v/>
      </c>
      <c r="BF156" s="9" t="str">
        <f aca="false">IF(AY156="","",IF(BD156&lt;AY156,BB156,BC156))</f>
        <v/>
      </c>
      <c r="BG156" s="9" t="str">
        <f aca="false">IF(AY156="","",(BE156+BF156)/2)</f>
        <v/>
      </c>
      <c r="BH156" s="9" t="str">
        <f aca="false">IF(OR(R156="",N156="",BG156="",R156&lt;=0,BG156&lt;=0),"",(1/Inputs!$B$9)*((R156^2/8)*((2*ACOS(1-2*BG156/R156))-SIN((2*ACOS(1-2*BG156/R156)))))*((((R156^2/8)*((2*ACOS(1-2*BG156/R156))-SIN((2*ACOS(1-2*BG156/R156)))))/((R156/2)*((2*ACOS(1-2*BG156/R156)))))^(2/3))*SQRT(N156))</f>
        <v/>
      </c>
      <c r="BI156" s="9" t="str">
        <f aca="false">IF(AY156="","",IF(BH156&lt;AY156,BG156,BE156))</f>
        <v/>
      </c>
      <c r="BJ156" s="9" t="str">
        <f aca="false">IF(AY156="","",IF(BH156&lt;AY156,BF156,BG156))</f>
        <v/>
      </c>
      <c r="BK156" s="9" t="str">
        <f aca="false">IF(AY156="","",(BI156+BJ156)/2)</f>
        <v/>
      </c>
      <c r="BL156" s="9" t="str">
        <f aca="false">IF(OR(R156="",N156="",BK156="",R156&lt;=0,BK156&lt;=0),"",(1/Inputs!$B$9)*((R156^2/8)*((2*ACOS(1-2*BK156/R156))-SIN((2*ACOS(1-2*BK156/R156)))))*((((R156^2/8)*((2*ACOS(1-2*BK156/R156))-SIN((2*ACOS(1-2*BK156/R156)))))/((R156/2)*((2*ACOS(1-2*BK156/R156)))))^(2/3))*SQRT(N156))</f>
        <v/>
      </c>
      <c r="BM156" s="9" t="str">
        <f aca="false">IF(AY156="","",IF(BL156&lt;AY156,BK156,BI156))</f>
        <v/>
      </c>
      <c r="BN156" s="9" t="str">
        <f aca="false">IF(AY156="","",IF(BL156&lt;AY156,BJ156,BK156))</f>
        <v/>
      </c>
      <c r="BO156" s="9" t="str">
        <f aca="false">IF(AY156="","",(BM156+BN156)/2)</f>
        <v/>
      </c>
      <c r="BP156" s="9" t="str">
        <f aca="false">IF(OR(R156="",N156="",BO156="",R156&lt;=0,BO156&lt;=0),"",(1/Inputs!$B$9)*((R156^2/8)*((2*ACOS(1-2*BO156/R156))-SIN((2*ACOS(1-2*BO156/R156)))))*((((R156^2/8)*((2*ACOS(1-2*BO156/R156))-SIN((2*ACOS(1-2*BO156/R156)))))/((R156/2)*((2*ACOS(1-2*BO156/R156)))))^(2/3))*SQRT(N156))</f>
        <v/>
      </c>
      <c r="BQ156" s="9" t="str">
        <f aca="false">IF(AY156="","",IF(BP156&lt;AY156,BO156,BM156))</f>
        <v/>
      </c>
      <c r="BR156" s="9" t="str">
        <f aca="false">IF(AY156="","",IF(BP156&lt;AY156,BN156,BO156))</f>
        <v/>
      </c>
      <c r="BS156" s="9" t="str">
        <f aca="false">IF(AY156="","",(BQ156+BR156)/2)</f>
        <v/>
      </c>
      <c r="BT156" s="9" t="str">
        <f aca="false">IF(OR(R156="",N156="",BS156="",R156&lt;=0,BS156&lt;=0),"",(1/Inputs!$B$9)*((R156^2/8)*((2*ACOS(1-2*BS156/R156))-SIN((2*ACOS(1-2*BS156/R156)))))*((((R156^2/8)*((2*ACOS(1-2*BS156/R156))-SIN((2*ACOS(1-2*BS156/R156)))))/((R156/2)*((2*ACOS(1-2*BS156/R156)))))^(2/3))*SQRT(N156))</f>
        <v/>
      </c>
      <c r="BU156" s="9" t="str">
        <f aca="false">IF(AY156="","",IF(BT156&lt;AY156,BS156,BQ156))</f>
        <v/>
      </c>
      <c r="BV156" s="9" t="str">
        <f aca="false">IF(AY156="","",IF(BT156&lt;AY156,BR156,BS156))</f>
        <v/>
      </c>
      <c r="BW156" s="9" t="str">
        <f aca="false">IF(AY156="","",(BU156+BV156)/2)</f>
        <v/>
      </c>
      <c r="BX156" s="9" t="str">
        <f aca="false">IF(OR(R156="",N156="",BW156="",R156&lt;=0,BW156&lt;=0),"",(1/Inputs!$B$9)*((R156^2/8)*((2*ACOS(1-2*BW156/R156))-SIN((2*ACOS(1-2*BW156/R156)))))*((((R156^2/8)*((2*ACOS(1-2*BW156/R156))-SIN((2*ACOS(1-2*BW156/R156)))))/((R156/2)*((2*ACOS(1-2*BW156/R156)))))^(2/3))*SQRT(N156))</f>
        <v/>
      </c>
      <c r="BY156" s="9" t="str">
        <f aca="false">IF(AY156="","",IF(BX156&lt;AY156,BW156,BU156))</f>
        <v/>
      </c>
      <c r="BZ156" s="9" t="str">
        <f aca="false">IF(AY156="","",IF(BX156&lt;AY156,BV156,BW156))</f>
        <v/>
      </c>
      <c r="CA156" s="9" t="str">
        <f aca="false">IF(AY156="","",(BY156+BZ156)/2)</f>
        <v/>
      </c>
      <c r="CB156" s="9" t="str">
        <f aca="false">IF(OR(R156="",N156="",CA156="",R156&lt;=0,CA156&lt;=0),"",(1/Inputs!$B$9)*((R156^2/8)*((2*ACOS(1-2*CA156/R156))-SIN((2*ACOS(1-2*CA156/R156)))))*((((R156^2/8)*((2*ACOS(1-2*CA156/R156))-SIN((2*ACOS(1-2*CA156/R156)))))/((R156/2)*((2*ACOS(1-2*CA156/R156)))))^(2/3))*SQRT(N156))</f>
        <v/>
      </c>
      <c r="CC156" s="9" t="str">
        <f aca="false">IF(AY156="","",IF(CB156&lt;AY156,CA156,BY156))</f>
        <v/>
      </c>
      <c r="CD156" s="9" t="str">
        <f aca="false">IF(AY156="","",IF(CB156&lt;AY156,BZ156,CA156))</f>
        <v/>
      </c>
      <c r="CE156" s="9" t="str">
        <f aca="false">IF(AY156="","",(CC156+CD156)/2)</f>
        <v/>
      </c>
    </row>
    <row r="157" customFormat="false" ht="15" hidden="false" customHeight="false" outlineLevel="0" collapsed="false">
      <c r="A157" s="9"/>
      <c r="B157" s="9"/>
      <c r="C157" s="14"/>
      <c r="D157" s="14"/>
      <c r="E157" s="14" t="n">
        <f aca="false">SUMIFS(CB_Tributaires!$C:$C,CB_Tributaires!$B:$B,$A157)</f>
        <v>0</v>
      </c>
      <c r="F157" s="14" t="n">
        <f aca="false">IF(D157="",E157,D157)</f>
        <v>0</v>
      </c>
      <c r="G157" s="9"/>
      <c r="H157" s="14"/>
      <c r="I157" s="14" t="str">
        <f aca="false">IF(A157="","",Inputs!$B$13/((IF(AS157="",Inputs!$B$18,AS157)+Inputs!$B$14)^Inputs!$B$15))</f>
        <v/>
      </c>
      <c r="J157" s="14" t="str">
        <f aca="false">IF(A157="","",0.000000278*IF(G157="",Inputs!$B$17,G157)*F157*I157)</f>
        <v/>
      </c>
      <c r="K157" s="14" t="str">
        <f aca="false">IF(A157="","",SUMIFS($L$4:$L$203,$B$4:$B$203,$A157))</f>
        <v/>
      </c>
      <c r="L157" s="14" t="str">
        <f aca="false">IF(A157="","",(J157+K157)*Inputs!$B$16)</f>
        <v/>
      </c>
      <c r="M157" s="14"/>
      <c r="N157" s="14" t="str">
        <f aca="false">IF(A157="","",IF(M157="",Inputs!$B$7,M157))</f>
        <v/>
      </c>
      <c r="O157" s="9" t="str">
        <f aca="false">IF(A157="","",IF(L157/Inputs!$B$10&lt;=AD157,Inputs!$F$5,IF(L157/Inputs!$B$10&gt;AM157,"OVERSIZE",INDEX(Inputs!$F$5:$F$14,MATCH(L157/Inputs!$B$10,AD157:AM157,1)+1))))</f>
        <v/>
      </c>
      <c r="P157" s="9"/>
      <c r="Q157" s="9" t="str">
        <f aca="false">IF(A157="","",IF(P157="",O157,P157))</f>
        <v/>
      </c>
      <c r="R157" s="14" t="str">
        <f aca="false">IF(OR(Q157="",Q157="OVERSIZE"),"",Q157/1000)</f>
        <v/>
      </c>
      <c r="S157" s="14" t="str">
        <f aca="false">IF(R157="","",(1/Inputs!$B$9)*(PI()*R157^2/4)*((R157/4)^(2/3))*SQRT(N157))</f>
        <v/>
      </c>
      <c r="T157" s="14" t="str">
        <f aca="false">IF(OR(S157="",L157=""),"",L157/(S157*Inputs!$B$10))</f>
        <v/>
      </c>
      <c r="U157" s="14" t="str">
        <f aca="false">IF(OR(R157="",L157=""),"",4*L157/(PI()*R157^2))</f>
        <v/>
      </c>
      <c r="V157" s="14"/>
      <c r="W157" s="14" t="str">
        <f aca="false">IF(A157="","",IF(A157=Inputs!$B$6,Inputs!$B$22,IF(B157="","",IFERROR(INDEX($X$4:$X$203,MATCH(B157,$A$4:$A$203,0))+IF(V157="",Inputs!$B$20,V157),""))))</f>
        <v/>
      </c>
      <c r="X157" s="14" t="str">
        <f aca="false">IF(OR(W157="",N157="",C157=""),"",W157+N157*C157)</f>
        <v/>
      </c>
      <c r="Y157" s="14"/>
      <c r="Z157" s="14"/>
      <c r="AA157" s="14" t="str">
        <f aca="false">IF(OR(Y157="",W157=""),"",Y157-W157)</f>
        <v/>
      </c>
      <c r="AB157" s="14" t="str">
        <f aca="false">IF(OR(Z157="",X157=""),"",Z157-X157)</f>
        <v/>
      </c>
      <c r="AC157" s="19" t="str">
        <f aca="false">IF(A157="","",IF(OR(T157&gt;1,AND(AV157&lt;&gt;"",AV157&lt;Inputs!$B$11),AND(AV157&lt;&gt;"",AV157&gt;Inputs!$B$12),AA157&lt;Inputs!$B$19,AB157&lt;Inputs!$B$19,N157&lt;Inputs!$B$7,N157&gt;Inputs!$B$8),"CHECK","OK"))</f>
        <v/>
      </c>
      <c r="AD157" s="9" t="str">
        <f aca="false">IF(A157="","",(1/Inputs!$B$9)*(PI()*(Inputs!$F$5/1000)^2/4)*((Inputs!$F$5/1000/4)^(2/3))*SQRT(N157))</f>
        <v/>
      </c>
      <c r="AE157" s="9" t="str">
        <f aca="false">IF(A157="","",(1/Inputs!$B$9)*(PI()*(Inputs!$F$6/1000)^2/4)*((Inputs!$F$6/1000/4)^(2/3))*SQRT(N157))</f>
        <v/>
      </c>
      <c r="AF157" s="9" t="str">
        <f aca="false">IF(A157="","",(1/Inputs!$B$9)*(PI()*(Inputs!$F$7/1000)^2/4)*((Inputs!$F$7/1000/4)^(2/3))*SQRT(N157))</f>
        <v/>
      </c>
      <c r="AG157" s="9" t="str">
        <f aca="false">IF(A157="","",(1/Inputs!$B$9)*(PI()*(Inputs!$F$8/1000)^2/4)*((Inputs!$F$8/1000/4)^(2/3))*SQRT(N157))</f>
        <v/>
      </c>
      <c r="AH157" s="9" t="str">
        <f aca="false">IF(A157="","",(1/Inputs!$B$9)*(PI()*(Inputs!$F$9/1000)^2/4)*((Inputs!$F$9/1000/4)^(2/3))*SQRT(N157))</f>
        <v/>
      </c>
      <c r="AI157" s="9" t="str">
        <f aca="false">IF(A157="","",(1/Inputs!$B$9)*(PI()*(Inputs!$F$10/1000)^2/4)*((Inputs!$F$10/1000/4)^(2/3))*SQRT(N157))</f>
        <v/>
      </c>
      <c r="AJ157" s="9" t="str">
        <f aca="false">IF(A157="","",(1/Inputs!$B$9)*(PI()*(Inputs!$F$11/1000)^2/4)*((Inputs!$F$11/1000/4)^(2/3))*SQRT(N157))</f>
        <v/>
      </c>
      <c r="AK157" s="9" t="str">
        <f aca="false">IF(A157="","",(1/Inputs!$B$9)*(PI()*(Inputs!$F$12/1000)^2/4)*((Inputs!$F$12/1000/4)^(2/3))*SQRT(N157))</f>
        <v/>
      </c>
      <c r="AL157" s="9" t="str">
        <f aca="false">IF(A157="","",(1/Inputs!$B$9)*(PI()*(Inputs!$F$13/1000)^2/4)*((Inputs!$F$13/1000/4)^(2/3))*SQRT(N157))</f>
        <v/>
      </c>
      <c r="AM157" s="9" t="str">
        <f aca="false">IF(A157="","",(1/Inputs!$B$9)*(PI()*(Inputs!$F$14/1000)^2/4)*((Inputs!$F$14/1000/4)^(2/3))*SQRT(N157))</f>
        <v/>
      </c>
      <c r="AN157" s="9" t="str">
        <f aca="false">IF(A157="","",COUNTIF($B$4:$B$203,$A157))</f>
        <v/>
      </c>
      <c r="AO157" s="9" t="str">
        <f aca="false">IF(A157="","",IF(AN157=0,"START","CONTINUOUS"))</f>
        <v/>
      </c>
      <c r="AP157" s="13" t="str">
        <f aca="false">IF(A157="","",IF(H157="",Inputs!$B$18,H157))</f>
        <v/>
      </c>
      <c r="AQ157" s="13" t="str">
        <f aca="false">IF(A157="","",IFERROR(maxifs($AS$4:$AS$203,$B$4:$B$203,$A157),""))</f>
        <v/>
      </c>
      <c r="AR157" s="13" t="str">
        <f aca="false">IF(A157="","",IF(OR(C157="",Inputs!$B$23=""),"",C157/(Inputs!$B$23*60)))</f>
        <v/>
      </c>
      <c r="AS157" s="13" t="str">
        <f aca="false">IF(A157="","",IF(AN157=0,AP157+AR157,IF(AQ157="",AP157+AR157,AQ157+AR157)))</f>
        <v/>
      </c>
      <c r="AT157" s="13" t="str">
        <f aca="false">IF(A157="","",U157)</f>
        <v/>
      </c>
      <c r="AU157" s="13" t="str">
        <f aca="false">IF(OR(R157="",N157=""),"",(1/Inputs!$B$9)*((R157/4)^(2/3))*SQRT(N157))</f>
        <v/>
      </c>
      <c r="AV157" s="13" t="str">
        <f aca="false">IF(A157="","",IF(AND(AT157="",AU157="",AX157=""),"",IF(OR(UPPER(TRIM(Inputs!$B$24))="MANNING",UPPER(TRIM(Inputs!$B$24))="M"),AU157,IF(OR(UPPER(TRIM(Inputs!$B$24))="PARTIAL",UPPER(TRIM(Inputs!$B$24))="P"),AX157,IF(OR(UPPER(TRIM(Inputs!$B$24))="MAX",UPPER(TRIM(Inputs!$B$24))="X"),MAX(IF(AT157="",0,AT157),IF(AU157="",0,AU157),IF(AX157="",0,AX157)),AT157)))))</f>
        <v/>
      </c>
      <c r="AW157" s="13" t="str">
        <f aca="false">IF(AY157="","",CE157)</f>
        <v/>
      </c>
      <c r="AX157" s="13" t="str">
        <f aca="false">IF(OR(AY157="",AW157="",R157="",R157&lt;=0,AW157&lt;=0),"",AY157/((R157^2/8)*(2*ACOS(1-2*AW157/R157)-SIN(2*ACOS(1-2*AW157/R157)))))</f>
        <v/>
      </c>
      <c r="AY157" s="9" t="str">
        <f aca="false">IF(OR(L157="",AZ157=""),"",MIN(L157,AZ157))</f>
        <v/>
      </c>
      <c r="AZ157" s="9" t="str">
        <f aca="false">IF(OR(L157="",R157="",N157=""),"",IF(OR(R157="",N157="",(0.94*R157)="",R157&lt;=0,(0.94*R157)&lt;=0),"",(1/Inputs!$B$9)*((R157^2/8)*((2*ACOS(1-2*(0.94*R157)/R157))-SIN((2*ACOS(1-2*(0.94*R157)/R157)))))*((((R157^2/8)*((2*ACOS(1-2*(0.94*R157)/R157))-SIN((2*ACOS(1-2*(0.94*R157)/R157)))))/((R157/2)*((2*ACOS(1-2*(0.94*R157)/R157)))))^(2/3))*SQRT(N157)))</f>
        <v/>
      </c>
      <c r="BA157" s="9" t="str">
        <f aca="false">IF(AY157="","",0.001*R157)</f>
        <v/>
      </c>
      <c r="BB157" s="9" t="str">
        <f aca="false">IF(AY157="","",0.94*R157)</f>
        <v/>
      </c>
      <c r="BC157" s="9" t="str">
        <f aca="false">IF(AY157="","",(BA157+BB157)/2)</f>
        <v/>
      </c>
      <c r="BD157" s="9" t="str">
        <f aca="false">IF(OR(R157="",N157="",BC157="",R157&lt;=0,BC157&lt;=0),"",(1/Inputs!$B$9)*((R157^2/8)*((2*ACOS(1-2*BC157/R157))-SIN((2*ACOS(1-2*BC157/R157)))))*((((R157^2/8)*((2*ACOS(1-2*BC157/R157))-SIN((2*ACOS(1-2*BC157/R157)))))/((R157/2)*((2*ACOS(1-2*BC157/R157)))))^(2/3))*SQRT(N157))</f>
        <v/>
      </c>
      <c r="BE157" s="9" t="str">
        <f aca="false">IF(AY157="","",IF(BD157&lt;AY157,BC157,BA157))</f>
        <v/>
      </c>
      <c r="BF157" s="9" t="str">
        <f aca="false">IF(AY157="","",IF(BD157&lt;AY157,BB157,BC157))</f>
        <v/>
      </c>
      <c r="BG157" s="9" t="str">
        <f aca="false">IF(AY157="","",(BE157+BF157)/2)</f>
        <v/>
      </c>
      <c r="BH157" s="9" t="str">
        <f aca="false">IF(OR(R157="",N157="",BG157="",R157&lt;=0,BG157&lt;=0),"",(1/Inputs!$B$9)*((R157^2/8)*((2*ACOS(1-2*BG157/R157))-SIN((2*ACOS(1-2*BG157/R157)))))*((((R157^2/8)*((2*ACOS(1-2*BG157/R157))-SIN((2*ACOS(1-2*BG157/R157)))))/((R157/2)*((2*ACOS(1-2*BG157/R157)))))^(2/3))*SQRT(N157))</f>
        <v/>
      </c>
      <c r="BI157" s="9" t="str">
        <f aca="false">IF(AY157="","",IF(BH157&lt;AY157,BG157,BE157))</f>
        <v/>
      </c>
      <c r="BJ157" s="9" t="str">
        <f aca="false">IF(AY157="","",IF(BH157&lt;AY157,BF157,BG157))</f>
        <v/>
      </c>
      <c r="BK157" s="9" t="str">
        <f aca="false">IF(AY157="","",(BI157+BJ157)/2)</f>
        <v/>
      </c>
      <c r="BL157" s="9" t="str">
        <f aca="false">IF(OR(R157="",N157="",BK157="",R157&lt;=0,BK157&lt;=0),"",(1/Inputs!$B$9)*((R157^2/8)*((2*ACOS(1-2*BK157/R157))-SIN((2*ACOS(1-2*BK157/R157)))))*((((R157^2/8)*((2*ACOS(1-2*BK157/R157))-SIN((2*ACOS(1-2*BK157/R157)))))/((R157/2)*((2*ACOS(1-2*BK157/R157)))))^(2/3))*SQRT(N157))</f>
        <v/>
      </c>
      <c r="BM157" s="9" t="str">
        <f aca="false">IF(AY157="","",IF(BL157&lt;AY157,BK157,BI157))</f>
        <v/>
      </c>
      <c r="BN157" s="9" t="str">
        <f aca="false">IF(AY157="","",IF(BL157&lt;AY157,BJ157,BK157))</f>
        <v/>
      </c>
      <c r="BO157" s="9" t="str">
        <f aca="false">IF(AY157="","",(BM157+BN157)/2)</f>
        <v/>
      </c>
      <c r="BP157" s="9" t="str">
        <f aca="false">IF(OR(R157="",N157="",BO157="",R157&lt;=0,BO157&lt;=0),"",(1/Inputs!$B$9)*((R157^2/8)*((2*ACOS(1-2*BO157/R157))-SIN((2*ACOS(1-2*BO157/R157)))))*((((R157^2/8)*((2*ACOS(1-2*BO157/R157))-SIN((2*ACOS(1-2*BO157/R157)))))/((R157/2)*((2*ACOS(1-2*BO157/R157)))))^(2/3))*SQRT(N157))</f>
        <v/>
      </c>
      <c r="BQ157" s="9" t="str">
        <f aca="false">IF(AY157="","",IF(BP157&lt;AY157,BO157,BM157))</f>
        <v/>
      </c>
      <c r="BR157" s="9" t="str">
        <f aca="false">IF(AY157="","",IF(BP157&lt;AY157,BN157,BO157))</f>
        <v/>
      </c>
      <c r="BS157" s="9" t="str">
        <f aca="false">IF(AY157="","",(BQ157+BR157)/2)</f>
        <v/>
      </c>
      <c r="BT157" s="9" t="str">
        <f aca="false">IF(OR(R157="",N157="",BS157="",R157&lt;=0,BS157&lt;=0),"",(1/Inputs!$B$9)*((R157^2/8)*((2*ACOS(1-2*BS157/R157))-SIN((2*ACOS(1-2*BS157/R157)))))*((((R157^2/8)*((2*ACOS(1-2*BS157/R157))-SIN((2*ACOS(1-2*BS157/R157)))))/((R157/2)*((2*ACOS(1-2*BS157/R157)))))^(2/3))*SQRT(N157))</f>
        <v/>
      </c>
      <c r="BU157" s="9" t="str">
        <f aca="false">IF(AY157="","",IF(BT157&lt;AY157,BS157,BQ157))</f>
        <v/>
      </c>
      <c r="BV157" s="9" t="str">
        <f aca="false">IF(AY157="","",IF(BT157&lt;AY157,BR157,BS157))</f>
        <v/>
      </c>
      <c r="BW157" s="9" t="str">
        <f aca="false">IF(AY157="","",(BU157+BV157)/2)</f>
        <v/>
      </c>
      <c r="BX157" s="9" t="str">
        <f aca="false">IF(OR(R157="",N157="",BW157="",R157&lt;=0,BW157&lt;=0),"",(1/Inputs!$B$9)*((R157^2/8)*((2*ACOS(1-2*BW157/R157))-SIN((2*ACOS(1-2*BW157/R157)))))*((((R157^2/8)*((2*ACOS(1-2*BW157/R157))-SIN((2*ACOS(1-2*BW157/R157)))))/((R157/2)*((2*ACOS(1-2*BW157/R157)))))^(2/3))*SQRT(N157))</f>
        <v/>
      </c>
      <c r="BY157" s="9" t="str">
        <f aca="false">IF(AY157="","",IF(BX157&lt;AY157,BW157,BU157))</f>
        <v/>
      </c>
      <c r="BZ157" s="9" t="str">
        <f aca="false">IF(AY157="","",IF(BX157&lt;AY157,BV157,BW157))</f>
        <v/>
      </c>
      <c r="CA157" s="9" t="str">
        <f aca="false">IF(AY157="","",(BY157+BZ157)/2)</f>
        <v/>
      </c>
      <c r="CB157" s="9" t="str">
        <f aca="false">IF(OR(R157="",N157="",CA157="",R157&lt;=0,CA157&lt;=0),"",(1/Inputs!$B$9)*((R157^2/8)*((2*ACOS(1-2*CA157/R157))-SIN((2*ACOS(1-2*CA157/R157)))))*((((R157^2/8)*((2*ACOS(1-2*CA157/R157))-SIN((2*ACOS(1-2*CA157/R157)))))/((R157/2)*((2*ACOS(1-2*CA157/R157)))))^(2/3))*SQRT(N157))</f>
        <v/>
      </c>
      <c r="CC157" s="9" t="str">
        <f aca="false">IF(AY157="","",IF(CB157&lt;AY157,CA157,BY157))</f>
        <v/>
      </c>
      <c r="CD157" s="9" t="str">
        <f aca="false">IF(AY157="","",IF(CB157&lt;AY157,BZ157,CA157))</f>
        <v/>
      </c>
      <c r="CE157" s="9" t="str">
        <f aca="false">IF(AY157="","",(CC157+CD157)/2)</f>
        <v/>
      </c>
    </row>
    <row r="158" customFormat="false" ht="15" hidden="false" customHeight="false" outlineLevel="0" collapsed="false">
      <c r="A158" s="9"/>
      <c r="B158" s="9"/>
      <c r="C158" s="14"/>
      <c r="D158" s="14"/>
      <c r="E158" s="14" t="n">
        <f aca="false">SUMIFS(CB_Tributaires!$C:$C,CB_Tributaires!$B:$B,$A158)</f>
        <v>0</v>
      </c>
      <c r="F158" s="14" t="n">
        <f aca="false">IF(D158="",E158,D158)</f>
        <v>0</v>
      </c>
      <c r="G158" s="9"/>
      <c r="H158" s="14"/>
      <c r="I158" s="14" t="str">
        <f aca="false">IF(A158="","",Inputs!$B$13/((IF(AS158="",Inputs!$B$18,AS158)+Inputs!$B$14)^Inputs!$B$15))</f>
        <v/>
      </c>
      <c r="J158" s="14" t="str">
        <f aca="false">IF(A158="","",0.000000278*IF(G158="",Inputs!$B$17,G158)*F158*I158)</f>
        <v/>
      </c>
      <c r="K158" s="14" t="str">
        <f aca="false">IF(A158="","",SUMIFS($L$4:$L$203,$B$4:$B$203,$A158))</f>
        <v/>
      </c>
      <c r="L158" s="14" t="str">
        <f aca="false">IF(A158="","",(J158+K158)*Inputs!$B$16)</f>
        <v/>
      </c>
      <c r="M158" s="14"/>
      <c r="N158" s="14" t="str">
        <f aca="false">IF(A158="","",IF(M158="",Inputs!$B$7,M158))</f>
        <v/>
      </c>
      <c r="O158" s="9" t="str">
        <f aca="false">IF(A158="","",IF(L158/Inputs!$B$10&lt;=AD158,Inputs!$F$5,IF(L158/Inputs!$B$10&gt;AM158,"OVERSIZE",INDEX(Inputs!$F$5:$F$14,MATCH(L158/Inputs!$B$10,AD158:AM158,1)+1))))</f>
        <v/>
      </c>
      <c r="P158" s="9"/>
      <c r="Q158" s="9" t="str">
        <f aca="false">IF(A158="","",IF(P158="",O158,P158))</f>
        <v/>
      </c>
      <c r="R158" s="14" t="str">
        <f aca="false">IF(OR(Q158="",Q158="OVERSIZE"),"",Q158/1000)</f>
        <v/>
      </c>
      <c r="S158" s="14" t="str">
        <f aca="false">IF(R158="","",(1/Inputs!$B$9)*(PI()*R158^2/4)*((R158/4)^(2/3))*SQRT(N158))</f>
        <v/>
      </c>
      <c r="T158" s="14" t="str">
        <f aca="false">IF(OR(S158="",L158=""),"",L158/(S158*Inputs!$B$10))</f>
        <v/>
      </c>
      <c r="U158" s="14" t="str">
        <f aca="false">IF(OR(R158="",L158=""),"",4*L158/(PI()*R158^2))</f>
        <v/>
      </c>
      <c r="V158" s="14"/>
      <c r="W158" s="14" t="str">
        <f aca="false">IF(A158="","",IF(A158=Inputs!$B$6,Inputs!$B$22,IF(B158="","",IFERROR(INDEX($X$4:$X$203,MATCH(B158,$A$4:$A$203,0))+IF(V158="",Inputs!$B$20,V158),""))))</f>
        <v/>
      </c>
      <c r="X158" s="14" t="str">
        <f aca="false">IF(OR(W158="",N158="",C158=""),"",W158+N158*C158)</f>
        <v/>
      </c>
      <c r="Y158" s="14"/>
      <c r="Z158" s="14"/>
      <c r="AA158" s="14" t="str">
        <f aca="false">IF(OR(Y158="",W158=""),"",Y158-W158)</f>
        <v/>
      </c>
      <c r="AB158" s="14" t="str">
        <f aca="false">IF(OR(Z158="",X158=""),"",Z158-X158)</f>
        <v/>
      </c>
      <c r="AC158" s="19" t="str">
        <f aca="false">IF(A158="","",IF(OR(T158&gt;1,AND(AV158&lt;&gt;"",AV158&lt;Inputs!$B$11),AND(AV158&lt;&gt;"",AV158&gt;Inputs!$B$12),AA158&lt;Inputs!$B$19,AB158&lt;Inputs!$B$19,N158&lt;Inputs!$B$7,N158&gt;Inputs!$B$8),"CHECK","OK"))</f>
        <v/>
      </c>
      <c r="AD158" s="9" t="str">
        <f aca="false">IF(A158="","",(1/Inputs!$B$9)*(PI()*(Inputs!$F$5/1000)^2/4)*((Inputs!$F$5/1000/4)^(2/3))*SQRT(N158))</f>
        <v/>
      </c>
      <c r="AE158" s="9" t="str">
        <f aca="false">IF(A158="","",(1/Inputs!$B$9)*(PI()*(Inputs!$F$6/1000)^2/4)*((Inputs!$F$6/1000/4)^(2/3))*SQRT(N158))</f>
        <v/>
      </c>
      <c r="AF158" s="9" t="str">
        <f aca="false">IF(A158="","",(1/Inputs!$B$9)*(PI()*(Inputs!$F$7/1000)^2/4)*((Inputs!$F$7/1000/4)^(2/3))*SQRT(N158))</f>
        <v/>
      </c>
      <c r="AG158" s="9" t="str">
        <f aca="false">IF(A158="","",(1/Inputs!$B$9)*(PI()*(Inputs!$F$8/1000)^2/4)*((Inputs!$F$8/1000/4)^(2/3))*SQRT(N158))</f>
        <v/>
      </c>
      <c r="AH158" s="9" t="str">
        <f aca="false">IF(A158="","",(1/Inputs!$B$9)*(PI()*(Inputs!$F$9/1000)^2/4)*((Inputs!$F$9/1000/4)^(2/3))*SQRT(N158))</f>
        <v/>
      </c>
      <c r="AI158" s="9" t="str">
        <f aca="false">IF(A158="","",(1/Inputs!$B$9)*(PI()*(Inputs!$F$10/1000)^2/4)*((Inputs!$F$10/1000/4)^(2/3))*SQRT(N158))</f>
        <v/>
      </c>
      <c r="AJ158" s="9" t="str">
        <f aca="false">IF(A158="","",(1/Inputs!$B$9)*(PI()*(Inputs!$F$11/1000)^2/4)*((Inputs!$F$11/1000/4)^(2/3))*SQRT(N158))</f>
        <v/>
      </c>
      <c r="AK158" s="9" t="str">
        <f aca="false">IF(A158="","",(1/Inputs!$B$9)*(PI()*(Inputs!$F$12/1000)^2/4)*((Inputs!$F$12/1000/4)^(2/3))*SQRT(N158))</f>
        <v/>
      </c>
      <c r="AL158" s="9" t="str">
        <f aca="false">IF(A158="","",(1/Inputs!$B$9)*(PI()*(Inputs!$F$13/1000)^2/4)*((Inputs!$F$13/1000/4)^(2/3))*SQRT(N158))</f>
        <v/>
      </c>
      <c r="AM158" s="9" t="str">
        <f aca="false">IF(A158="","",(1/Inputs!$B$9)*(PI()*(Inputs!$F$14/1000)^2/4)*((Inputs!$F$14/1000/4)^(2/3))*SQRT(N158))</f>
        <v/>
      </c>
      <c r="AN158" s="9" t="str">
        <f aca="false">IF(A158="","",COUNTIF($B$4:$B$203,$A158))</f>
        <v/>
      </c>
      <c r="AO158" s="9" t="str">
        <f aca="false">IF(A158="","",IF(AN158=0,"START","CONTINUOUS"))</f>
        <v/>
      </c>
      <c r="AP158" s="13" t="str">
        <f aca="false">IF(A158="","",IF(H158="",Inputs!$B$18,H158))</f>
        <v/>
      </c>
      <c r="AQ158" s="13" t="str">
        <f aca="false">IF(A158="","",IFERROR(maxifs($AS$4:$AS$203,$B$4:$B$203,$A158),""))</f>
        <v/>
      </c>
      <c r="AR158" s="13" t="str">
        <f aca="false">IF(A158="","",IF(OR(C158="",Inputs!$B$23=""),"",C158/(Inputs!$B$23*60)))</f>
        <v/>
      </c>
      <c r="AS158" s="13" t="str">
        <f aca="false">IF(A158="","",IF(AN158=0,AP158+AR158,IF(AQ158="",AP158+AR158,AQ158+AR158)))</f>
        <v/>
      </c>
      <c r="AT158" s="13" t="str">
        <f aca="false">IF(A158="","",U158)</f>
        <v/>
      </c>
      <c r="AU158" s="13" t="str">
        <f aca="false">IF(OR(R158="",N158=""),"",(1/Inputs!$B$9)*((R158/4)^(2/3))*SQRT(N158))</f>
        <v/>
      </c>
      <c r="AV158" s="13" t="str">
        <f aca="false">IF(A158="","",IF(AND(AT158="",AU158="",AX158=""),"",IF(OR(UPPER(TRIM(Inputs!$B$24))="MANNING",UPPER(TRIM(Inputs!$B$24))="M"),AU158,IF(OR(UPPER(TRIM(Inputs!$B$24))="PARTIAL",UPPER(TRIM(Inputs!$B$24))="P"),AX158,IF(OR(UPPER(TRIM(Inputs!$B$24))="MAX",UPPER(TRIM(Inputs!$B$24))="X"),MAX(IF(AT158="",0,AT158),IF(AU158="",0,AU158),IF(AX158="",0,AX158)),AT158)))))</f>
        <v/>
      </c>
      <c r="AW158" s="13" t="str">
        <f aca="false">IF(AY158="","",CE158)</f>
        <v/>
      </c>
      <c r="AX158" s="13" t="str">
        <f aca="false">IF(OR(AY158="",AW158="",R158="",R158&lt;=0,AW158&lt;=0),"",AY158/((R158^2/8)*(2*ACOS(1-2*AW158/R158)-SIN(2*ACOS(1-2*AW158/R158)))))</f>
        <v/>
      </c>
      <c r="AY158" s="9" t="str">
        <f aca="false">IF(OR(L158="",AZ158=""),"",MIN(L158,AZ158))</f>
        <v/>
      </c>
      <c r="AZ158" s="9" t="str">
        <f aca="false">IF(OR(L158="",R158="",N158=""),"",IF(OR(R158="",N158="",(0.94*R158)="",R158&lt;=0,(0.94*R158)&lt;=0),"",(1/Inputs!$B$9)*((R158^2/8)*((2*ACOS(1-2*(0.94*R158)/R158))-SIN((2*ACOS(1-2*(0.94*R158)/R158)))))*((((R158^2/8)*((2*ACOS(1-2*(0.94*R158)/R158))-SIN((2*ACOS(1-2*(0.94*R158)/R158)))))/((R158/2)*((2*ACOS(1-2*(0.94*R158)/R158)))))^(2/3))*SQRT(N158)))</f>
        <v/>
      </c>
      <c r="BA158" s="9" t="str">
        <f aca="false">IF(AY158="","",0.001*R158)</f>
        <v/>
      </c>
      <c r="BB158" s="9" t="str">
        <f aca="false">IF(AY158="","",0.94*R158)</f>
        <v/>
      </c>
      <c r="BC158" s="9" t="str">
        <f aca="false">IF(AY158="","",(BA158+BB158)/2)</f>
        <v/>
      </c>
      <c r="BD158" s="9" t="str">
        <f aca="false">IF(OR(R158="",N158="",BC158="",R158&lt;=0,BC158&lt;=0),"",(1/Inputs!$B$9)*((R158^2/8)*((2*ACOS(1-2*BC158/R158))-SIN((2*ACOS(1-2*BC158/R158)))))*((((R158^2/8)*((2*ACOS(1-2*BC158/R158))-SIN((2*ACOS(1-2*BC158/R158)))))/((R158/2)*((2*ACOS(1-2*BC158/R158)))))^(2/3))*SQRT(N158))</f>
        <v/>
      </c>
      <c r="BE158" s="9" t="str">
        <f aca="false">IF(AY158="","",IF(BD158&lt;AY158,BC158,BA158))</f>
        <v/>
      </c>
      <c r="BF158" s="9" t="str">
        <f aca="false">IF(AY158="","",IF(BD158&lt;AY158,BB158,BC158))</f>
        <v/>
      </c>
      <c r="BG158" s="9" t="str">
        <f aca="false">IF(AY158="","",(BE158+BF158)/2)</f>
        <v/>
      </c>
      <c r="BH158" s="9" t="str">
        <f aca="false">IF(OR(R158="",N158="",BG158="",R158&lt;=0,BG158&lt;=0),"",(1/Inputs!$B$9)*((R158^2/8)*((2*ACOS(1-2*BG158/R158))-SIN((2*ACOS(1-2*BG158/R158)))))*((((R158^2/8)*((2*ACOS(1-2*BG158/R158))-SIN((2*ACOS(1-2*BG158/R158)))))/((R158/2)*((2*ACOS(1-2*BG158/R158)))))^(2/3))*SQRT(N158))</f>
        <v/>
      </c>
      <c r="BI158" s="9" t="str">
        <f aca="false">IF(AY158="","",IF(BH158&lt;AY158,BG158,BE158))</f>
        <v/>
      </c>
      <c r="BJ158" s="9" t="str">
        <f aca="false">IF(AY158="","",IF(BH158&lt;AY158,BF158,BG158))</f>
        <v/>
      </c>
      <c r="BK158" s="9" t="str">
        <f aca="false">IF(AY158="","",(BI158+BJ158)/2)</f>
        <v/>
      </c>
      <c r="BL158" s="9" t="str">
        <f aca="false">IF(OR(R158="",N158="",BK158="",R158&lt;=0,BK158&lt;=0),"",(1/Inputs!$B$9)*((R158^2/8)*((2*ACOS(1-2*BK158/R158))-SIN((2*ACOS(1-2*BK158/R158)))))*((((R158^2/8)*((2*ACOS(1-2*BK158/R158))-SIN((2*ACOS(1-2*BK158/R158)))))/((R158/2)*((2*ACOS(1-2*BK158/R158)))))^(2/3))*SQRT(N158))</f>
        <v/>
      </c>
      <c r="BM158" s="9" t="str">
        <f aca="false">IF(AY158="","",IF(BL158&lt;AY158,BK158,BI158))</f>
        <v/>
      </c>
      <c r="BN158" s="9" t="str">
        <f aca="false">IF(AY158="","",IF(BL158&lt;AY158,BJ158,BK158))</f>
        <v/>
      </c>
      <c r="BO158" s="9" t="str">
        <f aca="false">IF(AY158="","",(BM158+BN158)/2)</f>
        <v/>
      </c>
      <c r="BP158" s="9" t="str">
        <f aca="false">IF(OR(R158="",N158="",BO158="",R158&lt;=0,BO158&lt;=0),"",(1/Inputs!$B$9)*((R158^2/8)*((2*ACOS(1-2*BO158/R158))-SIN((2*ACOS(1-2*BO158/R158)))))*((((R158^2/8)*((2*ACOS(1-2*BO158/R158))-SIN((2*ACOS(1-2*BO158/R158)))))/((R158/2)*((2*ACOS(1-2*BO158/R158)))))^(2/3))*SQRT(N158))</f>
        <v/>
      </c>
      <c r="BQ158" s="9" t="str">
        <f aca="false">IF(AY158="","",IF(BP158&lt;AY158,BO158,BM158))</f>
        <v/>
      </c>
      <c r="BR158" s="9" t="str">
        <f aca="false">IF(AY158="","",IF(BP158&lt;AY158,BN158,BO158))</f>
        <v/>
      </c>
      <c r="BS158" s="9" t="str">
        <f aca="false">IF(AY158="","",(BQ158+BR158)/2)</f>
        <v/>
      </c>
      <c r="BT158" s="9" t="str">
        <f aca="false">IF(OR(R158="",N158="",BS158="",R158&lt;=0,BS158&lt;=0),"",(1/Inputs!$B$9)*((R158^2/8)*((2*ACOS(1-2*BS158/R158))-SIN((2*ACOS(1-2*BS158/R158)))))*((((R158^2/8)*((2*ACOS(1-2*BS158/R158))-SIN((2*ACOS(1-2*BS158/R158)))))/((R158/2)*((2*ACOS(1-2*BS158/R158)))))^(2/3))*SQRT(N158))</f>
        <v/>
      </c>
      <c r="BU158" s="9" t="str">
        <f aca="false">IF(AY158="","",IF(BT158&lt;AY158,BS158,BQ158))</f>
        <v/>
      </c>
      <c r="BV158" s="9" t="str">
        <f aca="false">IF(AY158="","",IF(BT158&lt;AY158,BR158,BS158))</f>
        <v/>
      </c>
      <c r="BW158" s="9" t="str">
        <f aca="false">IF(AY158="","",(BU158+BV158)/2)</f>
        <v/>
      </c>
      <c r="BX158" s="9" t="str">
        <f aca="false">IF(OR(R158="",N158="",BW158="",R158&lt;=0,BW158&lt;=0),"",(1/Inputs!$B$9)*((R158^2/8)*((2*ACOS(1-2*BW158/R158))-SIN((2*ACOS(1-2*BW158/R158)))))*((((R158^2/8)*((2*ACOS(1-2*BW158/R158))-SIN((2*ACOS(1-2*BW158/R158)))))/((R158/2)*((2*ACOS(1-2*BW158/R158)))))^(2/3))*SQRT(N158))</f>
        <v/>
      </c>
      <c r="BY158" s="9" t="str">
        <f aca="false">IF(AY158="","",IF(BX158&lt;AY158,BW158,BU158))</f>
        <v/>
      </c>
      <c r="BZ158" s="9" t="str">
        <f aca="false">IF(AY158="","",IF(BX158&lt;AY158,BV158,BW158))</f>
        <v/>
      </c>
      <c r="CA158" s="9" t="str">
        <f aca="false">IF(AY158="","",(BY158+BZ158)/2)</f>
        <v/>
      </c>
      <c r="CB158" s="9" t="str">
        <f aca="false">IF(OR(R158="",N158="",CA158="",R158&lt;=0,CA158&lt;=0),"",(1/Inputs!$B$9)*((R158^2/8)*((2*ACOS(1-2*CA158/R158))-SIN((2*ACOS(1-2*CA158/R158)))))*((((R158^2/8)*((2*ACOS(1-2*CA158/R158))-SIN((2*ACOS(1-2*CA158/R158)))))/((R158/2)*((2*ACOS(1-2*CA158/R158)))))^(2/3))*SQRT(N158))</f>
        <v/>
      </c>
      <c r="CC158" s="9" t="str">
        <f aca="false">IF(AY158="","",IF(CB158&lt;AY158,CA158,BY158))</f>
        <v/>
      </c>
      <c r="CD158" s="9" t="str">
        <f aca="false">IF(AY158="","",IF(CB158&lt;AY158,BZ158,CA158))</f>
        <v/>
      </c>
      <c r="CE158" s="9" t="str">
        <f aca="false">IF(AY158="","",(CC158+CD158)/2)</f>
        <v/>
      </c>
    </row>
    <row r="159" customFormat="false" ht="15" hidden="false" customHeight="false" outlineLevel="0" collapsed="false">
      <c r="A159" s="9"/>
      <c r="B159" s="9"/>
      <c r="C159" s="14"/>
      <c r="D159" s="14"/>
      <c r="E159" s="14" t="n">
        <f aca="false">SUMIFS(CB_Tributaires!$C:$C,CB_Tributaires!$B:$B,$A159)</f>
        <v>0</v>
      </c>
      <c r="F159" s="14" t="n">
        <f aca="false">IF(D159="",E159,D159)</f>
        <v>0</v>
      </c>
      <c r="G159" s="9"/>
      <c r="H159" s="14"/>
      <c r="I159" s="14" t="str">
        <f aca="false">IF(A159="","",Inputs!$B$13/((IF(AS159="",Inputs!$B$18,AS159)+Inputs!$B$14)^Inputs!$B$15))</f>
        <v/>
      </c>
      <c r="J159" s="14" t="str">
        <f aca="false">IF(A159="","",0.000000278*IF(G159="",Inputs!$B$17,G159)*F159*I159)</f>
        <v/>
      </c>
      <c r="K159" s="14" t="str">
        <f aca="false">IF(A159="","",SUMIFS($L$4:$L$203,$B$4:$B$203,$A159))</f>
        <v/>
      </c>
      <c r="L159" s="14" t="str">
        <f aca="false">IF(A159="","",(J159+K159)*Inputs!$B$16)</f>
        <v/>
      </c>
      <c r="M159" s="14"/>
      <c r="N159" s="14" t="str">
        <f aca="false">IF(A159="","",IF(M159="",Inputs!$B$7,M159))</f>
        <v/>
      </c>
      <c r="O159" s="9" t="str">
        <f aca="false">IF(A159="","",IF(L159/Inputs!$B$10&lt;=AD159,Inputs!$F$5,IF(L159/Inputs!$B$10&gt;AM159,"OVERSIZE",INDEX(Inputs!$F$5:$F$14,MATCH(L159/Inputs!$B$10,AD159:AM159,1)+1))))</f>
        <v/>
      </c>
      <c r="P159" s="9"/>
      <c r="Q159" s="9" t="str">
        <f aca="false">IF(A159="","",IF(P159="",O159,P159))</f>
        <v/>
      </c>
      <c r="R159" s="14" t="str">
        <f aca="false">IF(OR(Q159="",Q159="OVERSIZE"),"",Q159/1000)</f>
        <v/>
      </c>
      <c r="S159" s="14" t="str">
        <f aca="false">IF(R159="","",(1/Inputs!$B$9)*(PI()*R159^2/4)*((R159/4)^(2/3))*SQRT(N159))</f>
        <v/>
      </c>
      <c r="T159" s="14" t="str">
        <f aca="false">IF(OR(S159="",L159=""),"",L159/(S159*Inputs!$B$10))</f>
        <v/>
      </c>
      <c r="U159" s="14" t="str">
        <f aca="false">IF(OR(R159="",L159=""),"",4*L159/(PI()*R159^2))</f>
        <v/>
      </c>
      <c r="V159" s="14"/>
      <c r="W159" s="14" t="str">
        <f aca="false">IF(A159="","",IF(A159=Inputs!$B$6,Inputs!$B$22,IF(B159="","",IFERROR(INDEX($X$4:$X$203,MATCH(B159,$A$4:$A$203,0))+IF(V159="",Inputs!$B$20,V159),""))))</f>
        <v/>
      </c>
      <c r="X159" s="14" t="str">
        <f aca="false">IF(OR(W159="",N159="",C159=""),"",W159+N159*C159)</f>
        <v/>
      </c>
      <c r="Y159" s="14"/>
      <c r="Z159" s="14"/>
      <c r="AA159" s="14" t="str">
        <f aca="false">IF(OR(Y159="",W159=""),"",Y159-W159)</f>
        <v/>
      </c>
      <c r="AB159" s="14" t="str">
        <f aca="false">IF(OR(Z159="",X159=""),"",Z159-X159)</f>
        <v/>
      </c>
      <c r="AC159" s="19" t="str">
        <f aca="false">IF(A159="","",IF(OR(T159&gt;1,AND(AV159&lt;&gt;"",AV159&lt;Inputs!$B$11),AND(AV159&lt;&gt;"",AV159&gt;Inputs!$B$12),AA159&lt;Inputs!$B$19,AB159&lt;Inputs!$B$19,N159&lt;Inputs!$B$7,N159&gt;Inputs!$B$8),"CHECK","OK"))</f>
        <v/>
      </c>
      <c r="AD159" s="9" t="str">
        <f aca="false">IF(A159="","",(1/Inputs!$B$9)*(PI()*(Inputs!$F$5/1000)^2/4)*((Inputs!$F$5/1000/4)^(2/3))*SQRT(N159))</f>
        <v/>
      </c>
      <c r="AE159" s="9" t="str">
        <f aca="false">IF(A159="","",(1/Inputs!$B$9)*(PI()*(Inputs!$F$6/1000)^2/4)*((Inputs!$F$6/1000/4)^(2/3))*SQRT(N159))</f>
        <v/>
      </c>
      <c r="AF159" s="9" t="str">
        <f aca="false">IF(A159="","",(1/Inputs!$B$9)*(PI()*(Inputs!$F$7/1000)^2/4)*((Inputs!$F$7/1000/4)^(2/3))*SQRT(N159))</f>
        <v/>
      </c>
      <c r="AG159" s="9" t="str">
        <f aca="false">IF(A159="","",(1/Inputs!$B$9)*(PI()*(Inputs!$F$8/1000)^2/4)*((Inputs!$F$8/1000/4)^(2/3))*SQRT(N159))</f>
        <v/>
      </c>
      <c r="AH159" s="9" t="str">
        <f aca="false">IF(A159="","",(1/Inputs!$B$9)*(PI()*(Inputs!$F$9/1000)^2/4)*((Inputs!$F$9/1000/4)^(2/3))*SQRT(N159))</f>
        <v/>
      </c>
      <c r="AI159" s="9" t="str">
        <f aca="false">IF(A159="","",(1/Inputs!$B$9)*(PI()*(Inputs!$F$10/1000)^2/4)*((Inputs!$F$10/1000/4)^(2/3))*SQRT(N159))</f>
        <v/>
      </c>
      <c r="AJ159" s="9" t="str">
        <f aca="false">IF(A159="","",(1/Inputs!$B$9)*(PI()*(Inputs!$F$11/1000)^2/4)*((Inputs!$F$11/1000/4)^(2/3))*SQRT(N159))</f>
        <v/>
      </c>
      <c r="AK159" s="9" t="str">
        <f aca="false">IF(A159="","",(1/Inputs!$B$9)*(PI()*(Inputs!$F$12/1000)^2/4)*((Inputs!$F$12/1000/4)^(2/3))*SQRT(N159))</f>
        <v/>
      </c>
      <c r="AL159" s="9" t="str">
        <f aca="false">IF(A159="","",(1/Inputs!$B$9)*(PI()*(Inputs!$F$13/1000)^2/4)*((Inputs!$F$13/1000/4)^(2/3))*SQRT(N159))</f>
        <v/>
      </c>
      <c r="AM159" s="9" t="str">
        <f aca="false">IF(A159="","",(1/Inputs!$B$9)*(PI()*(Inputs!$F$14/1000)^2/4)*((Inputs!$F$14/1000/4)^(2/3))*SQRT(N159))</f>
        <v/>
      </c>
      <c r="AN159" s="9" t="str">
        <f aca="false">IF(A159="","",COUNTIF($B$4:$B$203,$A159))</f>
        <v/>
      </c>
      <c r="AO159" s="9" t="str">
        <f aca="false">IF(A159="","",IF(AN159=0,"START","CONTINUOUS"))</f>
        <v/>
      </c>
      <c r="AP159" s="13" t="str">
        <f aca="false">IF(A159="","",IF(H159="",Inputs!$B$18,H159))</f>
        <v/>
      </c>
      <c r="AQ159" s="13" t="str">
        <f aca="false">IF(A159="","",IFERROR(maxifs($AS$4:$AS$203,$B$4:$B$203,$A159),""))</f>
        <v/>
      </c>
      <c r="AR159" s="13" t="str">
        <f aca="false">IF(A159="","",IF(OR(C159="",Inputs!$B$23=""),"",C159/(Inputs!$B$23*60)))</f>
        <v/>
      </c>
      <c r="AS159" s="13" t="str">
        <f aca="false">IF(A159="","",IF(AN159=0,AP159+AR159,IF(AQ159="",AP159+AR159,AQ159+AR159)))</f>
        <v/>
      </c>
      <c r="AT159" s="13" t="str">
        <f aca="false">IF(A159="","",U159)</f>
        <v/>
      </c>
      <c r="AU159" s="13" t="str">
        <f aca="false">IF(OR(R159="",N159=""),"",(1/Inputs!$B$9)*((R159/4)^(2/3))*SQRT(N159))</f>
        <v/>
      </c>
      <c r="AV159" s="13" t="str">
        <f aca="false">IF(A159="","",IF(AND(AT159="",AU159="",AX159=""),"",IF(OR(UPPER(TRIM(Inputs!$B$24))="MANNING",UPPER(TRIM(Inputs!$B$24))="M"),AU159,IF(OR(UPPER(TRIM(Inputs!$B$24))="PARTIAL",UPPER(TRIM(Inputs!$B$24))="P"),AX159,IF(OR(UPPER(TRIM(Inputs!$B$24))="MAX",UPPER(TRIM(Inputs!$B$24))="X"),MAX(IF(AT159="",0,AT159),IF(AU159="",0,AU159),IF(AX159="",0,AX159)),AT159)))))</f>
        <v/>
      </c>
      <c r="AW159" s="13" t="str">
        <f aca="false">IF(AY159="","",CE159)</f>
        <v/>
      </c>
      <c r="AX159" s="13" t="str">
        <f aca="false">IF(OR(AY159="",AW159="",R159="",R159&lt;=0,AW159&lt;=0),"",AY159/((R159^2/8)*(2*ACOS(1-2*AW159/R159)-SIN(2*ACOS(1-2*AW159/R159)))))</f>
        <v/>
      </c>
      <c r="AY159" s="9" t="str">
        <f aca="false">IF(OR(L159="",AZ159=""),"",MIN(L159,AZ159))</f>
        <v/>
      </c>
      <c r="AZ159" s="9" t="str">
        <f aca="false">IF(OR(L159="",R159="",N159=""),"",IF(OR(R159="",N159="",(0.94*R159)="",R159&lt;=0,(0.94*R159)&lt;=0),"",(1/Inputs!$B$9)*((R159^2/8)*((2*ACOS(1-2*(0.94*R159)/R159))-SIN((2*ACOS(1-2*(0.94*R159)/R159)))))*((((R159^2/8)*((2*ACOS(1-2*(0.94*R159)/R159))-SIN((2*ACOS(1-2*(0.94*R159)/R159)))))/((R159/2)*((2*ACOS(1-2*(0.94*R159)/R159)))))^(2/3))*SQRT(N159)))</f>
        <v/>
      </c>
      <c r="BA159" s="9" t="str">
        <f aca="false">IF(AY159="","",0.001*R159)</f>
        <v/>
      </c>
      <c r="BB159" s="9" t="str">
        <f aca="false">IF(AY159="","",0.94*R159)</f>
        <v/>
      </c>
      <c r="BC159" s="9" t="str">
        <f aca="false">IF(AY159="","",(BA159+BB159)/2)</f>
        <v/>
      </c>
      <c r="BD159" s="9" t="str">
        <f aca="false">IF(OR(R159="",N159="",BC159="",R159&lt;=0,BC159&lt;=0),"",(1/Inputs!$B$9)*((R159^2/8)*((2*ACOS(1-2*BC159/R159))-SIN((2*ACOS(1-2*BC159/R159)))))*((((R159^2/8)*((2*ACOS(1-2*BC159/R159))-SIN((2*ACOS(1-2*BC159/R159)))))/((R159/2)*((2*ACOS(1-2*BC159/R159)))))^(2/3))*SQRT(N159))</f>
        <v/>
      </c>
      <c r="BE159" s="9" t="str">
        <f aca="false">IF(AY159="","",IF(BD159&lt;AY159,BC159,BA159))</f>
        <v/>
      </c>
      <c r="BF159" s="9" t="str">
        <f aca="false">IF(AY159="","",IF(BD159&lt;AY159,BB159,BC159))</f>
        <v/>
      </c>
      <c r="BG159" s="9" t="str">
        <f aca="false">IF(AY159="","",(BE159+BF159)/2)</f>
        <v/>
      </c>
      <c r="BH159" s="9" t="str">
        <f aca="false">IF(OR(R159="",N159="",BG159="",R159&lt;=0,BG159&lt;=0),"",(1/Inputs!$B$9)*((R159^2/8)*((2*ACOS(1-2*BG159/R159))-SIN((2*ACOS(1-2*BG159/R159)))))*((((R159^2/8)*((2*ACOS(1-2*BG159/R159))-SIN((2*ACOS(1-2*BG159/R159)))))/((R159/2)*((2*ACOS(1-2*BG159/R159)))))^(2/3))*SQRT(N159))</f>
        <v/>
      </c>
      <c r="BI159" s="9" t="str">
        <f aca="false">IF(AY159="","",IF(BH159&lt;AY159,BG159,BE159))</f>
        <v/>
      </c>
      <c r="BJ159" s="9" t="str">
        <f aca="false">IF(AY159="","",IF(BH159&lt;AY159,BF159,BG159))</f>
        <v/>
      </c>
      <c r="BK159" s="9" t="str">
        <f aca="false">IF(AY159="","",(BI159+BJ159)/2)</f>
        <v/>
      </c>
      <c r="BL159" s="9" t="str">
        <f aca="false">IF(OR(R159="",N159="",BK159="",R159&lt;=0,BK159&lt;=0),"",(1/Inputs!$B$9)*((R159^2/8)*((2*ACOS(1-2*BK159/R159))-SIN((2*ACOS(1-2*BK159/R159)))))*((((R159^2/8)*((2*ACOS(1-2*BK159/R159))-SIN((2*ACOS(1-2*BK159/R159)))))/((R159/2)*((2*ACOS(1-2*BK159/R159)))))^(2/3))*SQRT(N159))</f>
        <v/>
      </c>
      <c r="BM159" s="9" t="str">
        <f aca="false">IF(AY159="","",IF(BL159&lt;AY159,BK159,BI159))</f>
        <v/>
      </c>
      <c r="BN159" s="9" t="str">
        <f aca="false">IF(AY159="","",IF(BL159&lt;AY159,BJ159,BK159))</f>
        <v/>
      </c>
      <c r="BO159" s="9" t="str">
        <f aca="false">IF(AY159="","",(BM159+BN159)/2)</f>
        <v/>
      </c>
      <c r="BP159" s="9" t="str">
        <f aca="false">IF(OR(R159="",N159="",BO159="",R159&lt;=0,BO159&lt;=0),"",(1/Inputs!$B$9)*((R159^2/8)*((2*ACOS(1-2*BO159/R159))-SIN((2*ACOS(1-2*BO159/R159)))))*((((R159^2/8)*((2*ACOS(1-2*BO159/R159))-SIN((2*ACOS(1-2*BO159/R159)))))/((R159/2)*((2*ACOS(1-2*BO159/R159)))))^(2/3))*SQRT(N159))</f>
        <v/>
      </c>
      <c r="BQ159" s="9" t="str">
        <f aca="false">IF(AY159="","",IF(BP159&lt;AY159,BO159,BM159))</f>
        <v/>
      </c>
      <c r="BR159" s="9" t="str">
        <f aca="false">IF(AY159="","",IF(BP159&lt;AY159,BN159,BO159))</f>
        <v/>
      </c>
      <c r="BS159" s="9" t="str">
        <f aca="false">IF(AY159="","",(BQ159+BR159)/2)</f>
        <v/>
      </c>
      <c r="BT159" s="9" t="str">
        <f aca="false">IF(OR(R159="",N159="",BS159="",R159&lt;=0,BS159&lt;=0),"",(1/Inputs!$B$9)*((R159^2/8)*((2*ACOS(1-2*BS159/R159))-SIN((2*ACOS(1-2*BS159/R159)))))*((((R159^2/8)*((2*ACOS(1-2*BS159/R159))-SIN((2*ACOS(1-2*BS159/R159)))))/((R159/2)*((2*ACOS(1-2*BS159/R159)))))^(2/3))*SQRT(N159))</f>
        <v/>
      </c>
      <c r="BU159" s="9" t="str">
        <f aca="false">IF(AY159="","",IF(BT159&lt;AY159,BS159,BQ159))</f>
        <v/>
      </c>
      <c r="BV159" s="9" t="str">
        <f aca="false">IF(AY159="","",IF(BT159&lt;AY159,BR159,BS159))</f>
        <v/>
      </c>
      <c r="BW159" s="9" t="str">
        <f aca="false">IF(AY159="","",(BU159+BV159)/2)</f>
        <v/>
      </c>
      <c r="BX159" s="9" t="str">
        <f aca="false">IF(OR(R159="",N159="",BW159="",R159&lt;=0,BW159&lt;=0),"",(1/Inputs!$B$9)*((R159^2/8)*((2*ACOS(1-2*BW159/R159))-SIN((2*ACOS(1-2*BW159/R159)))))*((((R159^2/8)*((2*ACOS(1-2*BW159/R159))-SIN((2*ACOS(1-2*BW159/R159)))))/((R159/2)*((2*ACOS(1-2*BW159/R159)))))^(2/3))*SQRT(N159))</f>
        <v/>
      </c>
      <c r="BY159" s="9" t="str">
        <f aca="false">IF(AY159="","",IF(BX159&lt;AY159,BW159,BU159))</f>
        <v/>
      </c>
      <c r="BZ159" s="9" t="str">
        <f aca="false">IF(AY159="","",IF(BX159&lt;AY159,BV159,BW159))</f>
        <v/>
      </c>
      <c r="CA159" s="9" t="str">
        <f aca="false">IF(AY159="","",(BY159+BZ159)/2)</f>
        <v/>
      </c>
      <c r="CB159" s="9" t="str">
        <f aca="false">IF(OR(R159="",N159="",CA159="",R159&lt;=0,CA159&lt;=0),"",(1/Inputs!$B$9)*((R159^2/8)*((2*ACOS(1-2*CA159/R159))-SIN((2*ACOS(1-2*CA159/R159)))))*((((R159^2/8)*((2*ACOS(1-2*CA159/R159))-SIN((2*ACOS(1-2*CA159/R159)))))/((R159/2)*((2*ACOS(1-2*CA159/R159)))))^(2/3))*SQRT(N159))</f>
        <v/>
      </c>
      <c r="CC159" s="9" t="str">
        <f aca="false">IF(AY159="","",IF(CB159&lt;AY159,CA159,BY159))</f>
        <v/>
      </c>
      <c r="CD159" s="9" t="str">
        <f aca="false">IF(AY159="","",IF(CB159&lt;AY159,BZ159,CA159))</f>
        <v/>
      </c>
      <c r="CE159" s="9" t="str">
        <f aca="false">IF(AY159="","",(CC159+CD159)/2)</f>
        <v/>
      </c>
    </row>
    <row r="160" customFormat="false" ht="15" hidden="false" customHeight="false" outlineLevel="0" collapsed="false">
      <c r="A160" s="9"/>
      <c r="B160" s="9"/>
      <c r="C160" s="14"/>
      <c r="D160" s="14"/>
      <c r="E160" s="14" t="n">
        <f aca="false">SUMIFS(CB_Tributaires!$C:$C,CB_Tributaires!$B:$B,$A160)</f>
        <v>0</v>
      </c>
      <c r="F160" s="14" t="n">
        <f aca="false">IF(D160="",E160,D160)</f>
        <v>0</v>
      </c>
      <c r="G160" s="9"/>
      <c r="H160" s="14"/>
      <c r="I160" s="14" t="str">
        <f aca="false">IF(A160="","",Inputs!$B$13/((IF(AS160="",Inputs!$B$18,AS160)+Inputs!$B$14)^Inputs!$B$15))</f>
        <v/>
      </c>
      <c r="J160" s="14" t="str">
        <f aca="false">IF(A160="","",0.000000278*IF(G160="",Inputs!$B$17,G160)*F160*I160)</f>
        <v/>
      </c>
      <c r="K160" s="14" t="str">
        <f aca="false">IF(A160="","",SUMIFS($L$4:$L$203,$B$4:$B$203,$A160))</f>
        <v/>
      </c>
      <c r="L160" s="14" t="str">
        <f aca="false">IF(A160="","",(J160+K160)*Inputs!$B$16)</f>
        <v/>
      </c>
      <c r="M160" s="14"/>
      <c r="N160" s="14" t="str">
        <f aca="false">IF(A160="","",IF(M160="",Inputs!$B$7,M160))</f>
        <v/>
      </c>
      <c r="O160" s="9" t="str">
        <f aca="false">IF(A160="","",IF(L160/Inputs!$B$10&lt;=AD160,Inputs!$F$5,IF(L160/Inputs!$B$10&gt;AM160,"OVERSIZE",INDEX(Inputs!$F$5:$F$14,MATCH(L160/Inputs!$B$10,AD160:AM160,1)+1))))</f>
        <v/>
      </c>
      <c r="P160" s="9"/>
      <c r="Q160" s="9" t="str">
        <f aca="false">IF(A160="","",IF(P160="",O160,P160))</f>
        <v/>
      </c>
      <c r="R160" s="14" t="str">
        <f aca="false">IF(OR(Q160="",Q160="OVERSIZE"),"",Q160/1000)</f>
        <v/>
      </c>
      <c r="S160" s="14" t="str">
        <f aca="false">IF(R160="","",(1/Inputs!$B$9)*(PI()*R160^2/4)*((R160/4)^(2/3))*SQRT(N160))</f>
        <v/>
      </c>
      <c r="T160" s="14" t="str">
        <f aca="false">IF(OR(S160="",L160=""),"",L160/(S160*Inputs!$B$10))</f>
        <v/>
      </c>
      <c r="U160" s="14" t="str">
        <f aca="false">IF(OR(R160="",L160=""),"",4*L160/(PI()*R160^2))</f>
        <v/>
      </c>
      <c r="V160" s="14"/>
      <c r="W160" s="14" t="str">
        <f aca="false">IF(A160="","",IF(A160=Inputs!$B$6,Inputs!$B$22,IF(B160="","",IFERROR(INDEX($X$4:$X$203,MATCH(B160,$A$4:$A$203,0))+IF(V160="",Inputs!$B$20,V160),""))))</f>
        <v/>
      </c>
      <c r="X160" s="14" t="str">
        <f aca="false">IF(OR(W160="",N160="",C160=""),"",W160+N160*C160)</f>
        <v/>
      </c>
      <c r="Y160" s="14"/>
      <c r="Z160" s="14"/>
      <c r="AA160" s="14" t="str">
        <f aca="false">IF(OR(Y160="",W160=""),"",Y160-W160)</f>
        <v/>
      </c>
      <c r="AB160" s="14" t="str">
        <f aca="false">IF(OR(Z160="",X160=""),"",Z160-X160)</f>
        <v/>
      </c>
      <c r="AC160" s="19" t="str">
        <f aca="false">IF(A160="","",IF(OR(T160&gt;1,AND(AV160&lt;&gt;"",AV160&lt;Inputs!$B$11),AND(AV160&lt;&gt;"",AV160&gt;Inputs!$B$12),AA160&lt;Inputs!$B$19,AB160&lt;Inputs!$B$19,N160&lt;Inputs!$B$7,N160&gt;Inputs!$B$8),"CHECK","OK"))</f>
        <v/>
      </c>
      <c r="AD160" s="9" t="str">
        <f aca="false">IF(A160="","",(1/Inputs!$B$9)*(PI()*(Inputs!$F$5/1000)^2/4)*((Inputs!$F$5/1000/4)^(2/3))*SQRT(N160))</f>
        <v/>
      </c>
      <c r="AE160" s="9" t="str">
        <f aca="false">IF(A160="","",(1/Inputs!$B$9)*(PI()*(Inputs!$F$6/1000)^2/4)*((Inputs!$F$6/1000/4)^(2/3))*SQRT(N160))</f>
        <v/>
      </c>
      <c r="AF160" s="9" t="str">
        <f aca="false">IF(A160="","",(1/Inputs!$B$9)*(PI()*(Inputs!$F$7/1000)^2/4)*((Inputs!$F$7/1000/4)^(2/3))*SQRT(N160))</f>
        <v/>
      </c>
      <c r="AG160" s="9" t="str">
        <f aca="false">IF(A160="","",(1/Inputs!$B$9)*(PI()*(Inputs!$F$8/1000)^2/4)*((Inputs!$F$8/1000/4)^(2/3))*SQRT(N160))</f>
        <v/>
      </c>
      <c r="AH160" s="9" t="str">
        <f aca="false">IF(A160="","",(1/Inputs!$B$9)*(PI()*(Inputs!$F$9/1000)^2/4)*((Inputs!$F$9/1000/4)^(2/3))*SQRT(N160))</f>
        <v/>
      </c>
      <c r="AI160" s="9" t="str">
        <f aca="false">IF(A160="","",(1/Inputs!$B$9)*(PI()*(Inputs!$F$10/1000)^2/4)*((Inputs!$F$10/1000/4)^(2/3))*SQRT(N160))</f>
        <v/>
      </c>
      <c r="AJ160" s="9" t="str">
        <f aca="false">IF(A160="","",(1/Inputs!$B$9)*(PI()*(Inputs!$F$11/1000)^2/4)*((Inputs!$F$11/1000/4)^(2/3))*SQRT(N160))</f>
        <v/>
      </c>
      <c r="AK160" s="9" t="str">
        <f aca="false">IF(A160="","",(1/Inputs!$B$9)*(PI()*(Inputs!$F$12/1000)^2/4)*((Inputs!$F$12/1000/4)^(2/3))*SQRT(N160))</f>
        <v/>
      </c>
      <c r="AL160" s="9" t="str">
        <f aca="false">IF(A160="","",(1/Inputs!$B$9)*(PI()*(Inputs!$F$13/1000)^2/4)*((Inputs!$F$13/1000/4)^(2/3))*SQRT(N160))</f>
        <v/>
      </c>
      <c r="AM160" s="9" t="str">
        <f aca="false">IF(A160="","",(1/Inputs!$B$9)*(PI()*(Inputs!$F$14/1000)^2/4)*((Inputs!$F$14/1000/4)^(2/3))*SQRT(N160))</f>
        <v/>
      </c>
      <c r="AN160" s="9" t="str">
        <f aca="false">IF(A160="","",COUNTIF($B$4:$B$203,$A160))</f>
        <v/>
      </c>
      <c r="AO160" s="9" t="str">
        <f aca="false">IF(A160="","",IF(AN160=0,"START","CONTINUOUS"))</f>
        <v/>
      </c>
      <c r="AP160" s="13" t="str">
        <f aca="false">IF(A160="","",IF(H160="",Inputs!$B$18,H160))</f>
        <v/>
      </c>
      <c r="AQ160" s="13" t="str">
        <f aca="false">IF(A160="","",IFERROR(maxifs($AS$4:$AS$203,$B$4:$B$203,$A160),""))</f>
        <v/>
      </c>
      <c r="AR160" s="13" t="str">
        <f aca="false">IF(A160="","",IF(OR(C160="",Inputs!$B$23=""),"",C160/(Inputs!$B$23*60)))</f>
        <v/>
      </c>
      <c r="AS160" s="13" t="str">
        <f aca="false">IF(A160="","",IF(AN160=0,AP160+AR160,IF(AQ160="",AP160+AR160,AQ160+AR160)))</f>
        <v/>
      </c>
      <c r="AT160" s="13" t="str">
        <f aca="false">IF(A160="","",U160)</f>
        <v/>
      </c>
      <c r="AU160" s="13" t="str">
        <f aca="false">IF(OR(R160="",N160=""),"",(1/Inputs!$B$9)*((R160/4)^(2/3))*SQRT(N160))</f>
        <v/>
      </c>
      <c r="AV160" s="13" t="str">
        <f aca="false">IF(A160="","",IF(AND(AT160="",AU160="",AX160=""),"",IF(OR(UPPER(TRIM(Inputs!$B$24))="MANNING",UPPER(TRIM(Inputs!$B$24))="M"),AU160,IF(OR(UPPER(TRIM(Inputs!$B$24))="PARTIAL",UPPER(TRIM(Inputs!$B$24))="P"),AX160,IF(OR(UPPER(TRIM(Inputs!$B$24))="MAX",UPPER(TRIM(Inputs!$B$24))="X"),MAX(IF(AT160="",0,AT160),IF(AU160="",0,AU160),IF(AX160="",0,AX160)),AT160)))))</f>
        <v/>
      </c>
      <c r="AW160" s="13" t="str">
        <f aca="false">IF(AY160="","",CE160)</f>
        <v/>
      </c>
      <c r="AX160" s="13" t="str">
        <f aca="false">IF(OR(AY160="",AW160="",R160="",R160&lt;=0,AW160&lt;=0),"",AY160/((R160^2/8)*(2*ACOS(1-2*AW160/R160)-SIN(2*ACOS(1-2*AW160/R160)))))</f>
        <v/>
      </c>
      <c r="AY160" s="9" t="str">
        <f aca="false">IF(OR(L160="",AZ160=""),"",MIN(L160,AZ160))</f>
        <v/>
      </c>
      <c r="AZ160" s="9" t="str">
        <f aca="false">IF(OR(L160="",R160="",N160=""),"",IF(OR(R160="",N160="",(0.94*R160)="",R160&lt;=0,(0.94*R160)&lt;=0),"",(1/Inputs!$B$9)*((R160^2/8)*((2*ACOS(1-2*(0.94*R160)/R160))-SIN((2*ACOS(1-2*(0.94*R160)/R160)))))*((((R160^2/8)*((2*ACOS(1-2*(0.94*R160)/R160))-SIN((2*ACOS(1-2*(0.94*R160)/R160)))))/((R160/2)*((2*ACOS(1-2*(0.94*R160)/R160)))))^(2/3))*SQRT(N160)))</f>
        <v/>
      </c>
      <c r="BA160" s="9" t="str">
        <f aca="false">IF(AY160="","",0.001*R160)</f>
        <v/>
      </c>
      <c r="BB160" s="9" t="str">
        <f aca="false">IF(AY160="","",0.94*R160)</f>
        <v/>
      </c>
      <c r="BC160" s="9" t="str">
        <f aca="false">IF(AY160="","",(BA160+BB160)/2)</f>
        <v/>
      </c>
      <c r="BD160" s="9" t="str">
        <f aca="false">IF(OR(R160="",N160="",BC160="",R160&lt;=0,BC160&lt;=0),"",(1/Inputs!$B$9)*((R160^2/8)*((2*ACOS(1-2*BC160/R160))-SIN((2*ACOS(1-2*BC160/R160)))))*((((R160^2/8)*((2*ACOS(1-2*BC160/R160))-SIN((2*ACOS(1-2*BC160/R160)))))/((R160/2)*((2*ACOS(1-2*BC160/R160)))))^(2/3))*SQRT(N160))</f>
        <v/>
      </c>
      <c r="BE160" s="9" t="str">
        <f aca="false">IF(AY160="","",IF(BD160&lt;AY160,BC160,BA160))</f>
        <v/>
      </c>
      <c r="BF160" s="9" t="str">
        <f aca="false">IF(AY160="","",IF(BD160&lt;AY160,BB160,BC160))</f>
        <v/>
      </c>
      <c r="BG160" s="9" t="str">
        <f aca="false">IF(AY160="","",(BE160+BF160)/2)</f>
        <v/>
      </c>
      <c r="BH160" s="9" t="str">
        <f aca="false">IF(OR(R160="",N160="",BG160="",R160&lt;=0,BG160&lt;=0),"",(1/Inputs!$B$9)*((R160^2/8)*((2*ACOS(1-2*BG160/R160))-SIN((2*ACOS(1-2*BG160/R160)))))*((((R160^2/8)*((2*ACOS(1-2*BG160/R160))-SIN((2*ACOS(1-2*BG160/R160)))))/((R160/2)*((2*ACOS(1-2*BG160/R160)))))^(2/3))*SQRT(N160))</f>
        <v/>
      </c>
      <c r="BI160" s="9" t="str">
        <f aca="false">IF(AY160="","",IF(BH160&lt;AY160,BG160,BE160))</f>
        <v/>
      </c>
      <c r="BJ160" s="9" t="str">
        <f aca="false">IF(AY160="","",IF(BH160&lt;AY160,BF160,BG160))</f>
        <v/>
      </c>
      <c r="BK160" s="9" t="str">
        <f aca="false">IF(AY160="","",(BI160+BJ160)/2)</f>
        <v/>
      </c>
      <c r="BL160" s="9" t="str">
        <f aca="false">IF(OR(R160="",N160="",BK160="",R160&lt;=0,BK160&lt;=0),"",(1/Inputs!$B$9)*((R160^2/8)*((2*ACOS(1-2*BK160/R160))-SIN((2*ACOS(1-2*BK160/R160)))))*((((R160^2/8)*((2*ACOS(1-2*BK160/R160))-SIN((2*ACOS(1-2*BK160/R160)))))/((R160/2)*((2*ACOS(1-2*BK160/R160)))))^(2/3))*SQRT(N160))</f>
        <v/>
      </c>
      <c r="BM160" s="9" t="str">
        <f aca="false">IF(AY160="","",IF(BL160&lt;AY160,BK160,BI160))</f>
        <v/>
      </c>
      <c r="BN160" s="9" t="str">
        <f aca="false">IF(AY160="","",IF(BL160&lt;AY160,BJ160,BK160))</f>
        <v/>
      </c>
      <c r="BO160" s="9" t="str">
        <f aca="false">IF(AY160="","",(BM160+BN160)/2)</f>
        <v/>
      </c>
      <c r="BP160" s="9" t="str">
        <f aca="false">IF(OR(R160="",N160="",BO160="",R160&lt;=0,BO160&lt;=0),"",(1/Inputs!$B$9)*((R160^2/8)*((2*ACOS(1-2*BO160/R160))-SIN((2*ACOS(1-2*BO160/R160)))))*((((R160^2/8)*((2*ACOS(1-2*BO160/R160))-SIN((2*ACOS(1-2*BO160/R160)))))/((R160/2)*((2*ACOS(1-2*BO160/R160)))))^(2/3))*SQRT(N160))</f>
        <v/>
      </c>
      <c r="BQ160" s="9" t="str">
        <f aca="false">IF(AY160="","",IF(BP160&lt;AY160,BO160,BM160))</f>
        <v/>
      </c>
      <c r="BR160" s="9" t="str">
        <f aca="false">IF(AY160="","",IF(BP160&lt;AY160,BN160,BO160))</f>
        <v/>
      </c>
      <c r="BS160" s="9" t="str">
        <f aca="false">IF(AY160="","",(BQ160+BR160)/2)</f>
        <v/>
      </c>
      <c r="BT160" s="9" t="str">
        <f aca="false">IF(OR(R160="",N160="",BS160="",R160&lt;=0,BS160&lt;=0),"",(1/Inputs!$B$9)*((R160^2/8)*((2*ACOS(1-2*BS160/R160))-SIN((2*ACOS(1-2*BS160/R160)))))*((((R160^2/8)*((2*ACOS(1-2*BS160/R160))-SIN((2*ACOS(1-2*BS160/R160)))))/((R160/2)*((2*ACOS(1-2*BS160/R160)))))^(2/3))*SQRT(N160))</f>
        <v/>
      </c>
      <c r="BU160" s="9" t="str">
        <f aca="false">IF(AY160="","",IF(BT160&lt;AY160,BS160,BQ160))</f>
        <v/>
      </c>
      <c r="BV160" s="9" t="str">
        <f aca="false">IF(AY160="","",IF(BT160&lt;AY160,BR160,BS160))</f>
        <v/>
      </c>
      <c r="BW160" s="9" t="str">
        <f aca="false">IF(AY160="","",(BU160+BV160)/2)</f>
        <v/>
      </c>
      <c r="BX160" s="9" t="str">
        <f aca="false">IF(OR(R160="",N160="",BW160="",R160&lt;=0,BW160&lt;=0),"",(1/Inputs!$B$9)*((R160^2/8)*((2*ACOS(1-2*BW160/R160))-SIN((2*ACOS(1-2*BW160/R160)))))*((((R160^2/8)*((2*ACOS(1-2*BW160/R160))-SIN((2*ACOS(1-2*BW160/R160)))))/((R160/2)*((2*ACOS(1-2*BW160/R160)))))^(2/3))*SQRT(N160))</f>
        <v/>
      </c>
      <c r="BY160" s="9" t="str">
        <f aca="false">IF(AY160="","",IF(BX160&lt;AY160,BW160,BU160))</f>
        <v/>
      </c>
      <c r="BZ160" s="9" t="str">
        <f aca="false">IF(AY160="","",IF(BX160&lt;AY160,BV160,BW160))</f>
        <v/>
      </c>
      <c r="CA160" s="9" t="str">
        <f aca="false">IF(AY160="","",(BY160+BZ160)/2)</f>
        <v/>
      </c>
      <c r="CB160" s="9" t="str">
        <f aca="false">IF(OR(R160="",N160="",CA160="",R160&lt;=0,CA160&lt;=0),"",(1/Inputs!$B$9)*((R160^2/8)*((2*ACOS(1-2*CA160/R160))-SIN((2*ACOS(1-2*CA160/R160)))))*((((R160^2/8)*((2*ACOS(1-2*CA160/R160))-SIN((2*ACOS(1-2*CA160/R160)))))/((R160/2)*((2*ACOS(1-2*CA160/R160)))))^(2/3))*SQRT(N160))</f>
        <v/>
      </c>
      <c r="CC160" s="9" t="str">
        <f aca="false">IF(AY160="","",IF(CB160&lt;AY160,CA160,BY160))</f>
        <v/>
      </c>
      <c r="CD160" s="9" t="str">
        <f aca="false">IF(AY160="","",IF(CB160&lt;AY160,BZ160,CA160))</f>
        <v/>
      </c>
      <c r="CE160" s="9" t="str">
        <f aca="false">IF(AY160="","",(CC160+CD160)/2)</f>
        <v/>
      </c>
    </row>
    <row r="161" customFormat="false" ht="15" hidden="false" customHeight="false" outlineLevel="0" collapsed="false">
      <c r="A161" s="9"/>
      <c r="B161" s="9"/>
      <c r="C161" s="14"/>
      <c r="D161" s="14"/>
      <c r="E161" s="14" t="n">
        <f aca="false">SUMIFS(CB_Tributaires!$C:$C,CB_Tributaires!$B:$B,$A161)</f>
        <v>0</v>
      </c>
      <c r="F161" s="14" t="n">
        <f aca="false">IF(D161="",E161,D161)</f>
        <v>0</v>
      </c>
      <c r="G161" s="9"/>
      <c r="H161" s="14"/>
      <c r="I161" s="14" t="str">
        <f aca="false">IF(A161="","",Inputs!$B$13/((IF(AS161="",Inputs!$B$18,AS161)+Inputs!$B$14)^Inputs!$B$15))</f>
        <v/>
      </c>
      <c r="J161" s="14" t="str">
        <f aca="false">IF(A161="","",0.000000278*IF(G161="",Inputs!$B$17,G161)*F161*I161)</f>
        <v/>
      </c>
      <c r="K161" s="14" t="str">
        <f aca="false">IF(A161="","",SUMIFS($L$4:$L$203,$B$4:$B$203,$A161))</f>
        <v/>
      </c>
      <c r="L161" s="14" t="str">
        <f aca="false">IF(A161="","",(J161+K161)*Inputs!$B$16)</f>
        <v/>
      </c>
      <c r="M161" s="14"/>
      <c r="N161" s="14" t="str">
        <f aca="false">IF(A161="","",IF(M161="",Inputs!$B$7,M161))</f>
        <v/>
      </c>
      <c r="O161" s="9" t="str">
        <f aca="false">IF(A161="","",IF(L161/Inputs!$B$10&lt;=AD161,Inputs!$F$5,IF(L161/Inputs!$B$10&gt;AM161,"OVERSIZE",INDEX(Inputs!$F$5:$F$14,MATCH(L161/Inputs!$B$10,AD161:AM161,1)+1))))</f>
        <v/>
      </c>
      <c r="P161" s="9"/>
      <c r="Q161" s="9" t="str">
        <f aca="false">IF(A161="","",IF(P161="",O161,P161))</f>
        <v/>
      </c>
      <c r="R161" s="14" t="str">
        <f aca="false">IF(OR(Q161="",Q161="OVERSIZE"),"",Q161/1000)</f>
        <v/>
      </c>
      <c r="S161" s="14" t="str">
        <f aca="false">IF(R161="","",(1/Inputs!$B$9)*(PI()*R161^2/4)*((R161/4)^(2/3))*SQRT(N161))</f>
        <v/>
      </c>
      <c r="T161" s="14" t="str">
        <f aca="false">IF(OR(S161="",L161=""),"",L161/(S161*Inputs!$B$10))</f>
        <v/>
      </c>
      <c r="U161" s="14" t="str">
        <f aca="false">IF(OR(R161="",L161=""),"",4*L161/(PI()*R161^2))</f>
        <v/>
      </c>
      <c r="V161" s="14"/>
      <c r="W161" s="14" t="str">
        <f aca="false">IF(A161="","",IF(A161=Inputs!$B$6,Inputs!$B$22,IF(B161="","",IFERROR(INDEX($X$4:$X$203,MATCH(B161,$A$4:$A$203,0))+IF(V161="",Inputs!$B$20,V161),""))))</f>
        <v/>
      </c>
      <c r="X161" s="14" t="str">
        <f aca="false">IF(OR(W161="",N161="",C161=""),"",W161+N161*C161)</f>
        <v/>
      </c>
      <c r="Y161" s="14"/>
      <c r="Z161" s="14"/>
      <c r="AA161" s="14" t="str">
        <f aca="false">IF(OR(Y161="",W161=""),"",Y161-W161)</f>
        <v/>
      </c>
      <c r="AB161" s="14" t="str">
        <f aca="false">IF(OR(Z161="",X161=""),"",Z161-X161)</f>
        <v/>
      </c>
      <c r="AC161" s="19" t="str">
        <f aca="false">IF(A161="","",IF(OR(T161&gt;1,AND(AV161&lt;&gt;"",AV161&lt;Inputs!$B$11),AND(AV161&lt;&gt;"",AV161&gt;Inputs!$B$12),AA161&lt;Inputs!$B$19,AB161&lt;Inputs!$B$19,N161&lt;Inputs!$B$7,N161&gt;Inputs!$B$8),"CHECK","OK"))</f>
        <v/>
      </c>
      <c r="AD161" s="9" t="str">
        <f aca="false">IF(A161="","",(1/Inputs!$B$9)*(PI()*(Inputs!$F$5/1000)^2/4)*((Inputs!$F$5/1000/4)^(2/3))*SQRT(N161))</f>
        <v/>
      </c>
      <c r="AE161" s="9" t="str">
        <f aca="false">IF(A161="","",(1/Inputs!$B$9)*(PI()*(Inputs!$F$6/1000)^2/4)*((Inputs!$F$6/1000/4)^(2/3))*SQRT(N161))</f>
        <v/>
      </c>
      <c r="AF161" s="9" t="str">
        <f aca="false">IF(A161="","",(1/Inputs!$B$9)*(PI()*(Inputs!$F$7/1000)^2/4)*((Inputs!$F$7/1000/4)^(2/3))*SQRT(N161))</f>
        <v/>
      </c>
      <c r="AG161" s="9" t="str">
        <f aca="false">IF(A161="","",(1/Inputs!$B$9)*(PI()*(Inputs!$F$8/1000)^2/4)*((Inputs!$F$8/1000/4)^(2/3))*SQRT(N161))</f>
        <v/>
      </c>
      <c r="AH161" s="9" t="str">
        <f aca="false">IF(A161="","",(1/Inputs!$B$9)*(PI()*(Inputs!$F$9/1000)^2/4)*((Inputs!$F$9/1000/4)^(2/3))*SQRT(N161))</f>
        <v/>
      </c>
      <c r="AI161" s="9" t="str">
        <f aca="false">IF(A161="","",(1/Inputs!$B$9)*(PI()*(Inputs!$F$10/1000)^2/4)*((Inputs!$F$10/1000/4)^(2/3))*SQRT(N161))</f>
        <v/>
      </c>
      <c r="AJ161" s="9" t="str">
        <f aca="false">IF(A161="","",(1/Inputs!$B$9)*(PI()*(Inputs!$F$11/1000)^2/4)*((Inputs!$F$11/1000/4)^(2/3))*SQRT(N161))</f>
        <v/>
      </c>
      <c r="AK161" s="9" t="str">
        <f aca="false">IF(A161="","",(1/Inputs!$B$9)*(PI()*(Inputs!$F$12/1000)^2/4)*((Inputs!$F$12/1000/4)^(2/3))*SQRT(N161))</f>
        <v/>
      </c>
      <c r="AL161" s="9" t="str">
        <f aca="false">IF(A161="","",(1/Inputs!$B$9)*(PI()*(Inputs!$F$13/1000)^2/4)*((Inputs!$F$13/1000/4)^(2/3))*SQRT(N161))</f>
        <v/>
      </c>
      <c r="AM161" s="9" t="str">
        <f aca="false">IF(A161="","",(1/Inputs!$B$9)*(PI()*(Inputs!$F$14/1000)^2/4)*((Inputs!$F$14/1000/4)^(2/3))*SQRT(N161))</f>
        <v/>
      </c>
      <c r="AN161" s="9" t="str">
        <f aca="false">IF(A161="","",COUNTIF($B$4:$B$203,$A161))</f>
        <v/>
      </c>
      <c r="AO161" s="9" t="str">
        <f aca="false">IF(A161="","",IF(AN161=0,"START","CONTINUOUS"))</f>
        <v/>
      </c>
      <c r="AP161" s="13" t="str">
        <f aca="false">IF(A161="","",IF(H161="",Inputs!$B$18,H161))</f>
        <v/>
      </c>
      <c r="AQ161" s="13" t="str">
        <f aca="false">IF(A161="","",IFERROR(maxifs($AS$4:$AS$203,$B$4:$B$203,$A161),""))</f>
        <v/>
      </c>
      <c r="AR161" s="13" t="str">
        <f aca="false">IF(A161="","",IF(OR(C161="",Inputs!$B$23=""),"",C161/(Inputs!$B$23*60)))</f>
        <v/>
      </c>
      <c r="AS161" s="13" t="str">
        <f aca="false">IF(A161="","",IF(AN161=0,AP161+AR161,IF(AQ161="",AP161+AR161,AQ161+AR161)))</f>
        <v/>
      </c>
      <c r="AT161" s="13" t="str">
        <f aca="false">IF(A161="","",U161)</f>
        <v/>
      </c>
      <c r="AU161" s="13" t="str">
        <f aca="false">IF(OR(R161="",N161=""),"",(1/Inputs!$B$9)*((R161/4)^(2/3))*SQRT(N161))</f>
        <v/>
      </c>
      <c r="AV161" s="13" t="str">
        <f aca="false">IF(A161="","",IF(AND(AT161="",AU161="",AX161=""),"",IF(OR(UPPER(TRIM(Inputs!$B$24))="MANNING",UPPER(TRIM(Inputs!$B$24))="M"),AU161,IF(OR(UPPER(TRIM(Inputs!$B$24))="PARTIAL",UPPER(TRIM(Inputs!$B$24))="P"),AX161,IF(OR(UPPER(TRIM(Inputs!$B$24))="MAX",UPPER(TRIM(Inputs!$B$24))="X"),MAX(IF(AT161="",0,AT161),IF(AU161="",0,AU161),IF(AX161="",0,AX161)),AT161)))))</f>
        <v/>
      </c>
      <c r="AW161" s="13" t="str">
        <f aca="false">IF(AY161="","",CE161)</f>
        <v/>
      </c>
      <c r="AX161" s="13" t="str">
        <f aca="false">IF(OR(AY161="",AW161="",R161="",R161&lt;=0,AW161&lt;=0),"",AY161/((R161^2/8)*(2*ACOS(1-2*AW161/R161)-SIN(2*ACOS(1-2*AW161/R161)))))</f>
        <v/>
      </c>
      <c r="AY161" s="9" t="str">
        <f aca="false">IF(OR(L161="",AZ161=""),"",MIN(L161,AZ161))</f>
        <v/>
      </c>
      <c r="AZ161" s="9" t="str">
        <f aca="false">IF(OR(L161="",R161="",N161=""),"",IF(OR(R161="",N161="",(0.94*R161)="",R161&lt;=0,(0.94*R161)&lt;=0),"",(1/Inputs!$B$9)*((R161^2/8)*((2*ACOS(1-2*(0.94*R161)/R161))-SIN((2*ACOS(1-2*(0.94*R161)/R161)))))*((((R161^2/8)*((2*ACOS(1-2*(0.94*R161)/R161))-SIN((2*ACOS(1-2*(0.94*R161)/R161)))))/((R161/2)*((2*ACOS(1-2*(0.94*R161)/R161)))))^(2/3))*SQRT(N161)))</f>
        <v/>
      </c>
      <c r="BA161" s="9" t="str">
        <f aca="false">IF(AY161="","",0.001*R161)</f>
        <v/>
      </c>
      <c r="BB161" s="9" t="str">
        <f aca="false">IF(AY161="","",0.94*R161)</f>
        <v/>
      </c>
      <c r="BC161" s="9" t="str">
        <f aca="false">IF(AY161="","",(BA161+BB161)/2)</f>
        <v/>
      </c>
      <c r="BD161" s="9" t="str">
        <f aca="false">IF(OR(R161="",N161="",BC161="",R161&lt;=0,BC161&lt;=0),"",(1/Inputs!$B$9)*((R161^2/8)*((2*ACOS(1-2*BC161/R161))-SIN((2*ACOS(1-2*BC161/R161)))))*((((R161^2/8)*((2*ACOS(1-2*BC161/R161))-SIN((2*ACOS(1-2*BC161/R161)))))/((R161/2)*((2*ACOS(1-2*BC161/R161)))))^(2/3))*SQRT(N161))</f>
        <v/>
      </c>
      <c r="BE161" s="9" t="str">
        <f aca="false">IF(AY161="","",IF(BD161&lt;AY161,BC161,BA161))</f>
        <v/>
      </c>
      <c r="BF161" s="9" t="str">
        <f aca="false">IF(AY161="","",IF(BD161&lt;AY161,BB161,BC161))</f>
        <v/>
      </c>
      <c r="BG161" s="9" t="str">
        <f aca="false">IF(AY161="","",(BE161+BF161)/2)</f>
        <v/>
      </c>
      <c r="BH161" s="9" t="str">
        <f aca="false">IF(OR(R161="",N161="",BG161="",R161&lt;=0,BG161&lt;=0),"",(1/Inputs!$B$9)*((R161^2/8)*((2*ACOS(1-2*BG161/R161))-SIN((2*ACOS(1-2*BG161/R161)))))*((((R161^2/8)*((2*ACOS(1-2*BG161/R161))-SIN((2*ACOS(1-2*BG161/R161)))))/((R161/2)*((2*ACOS(1-2*BG161/R161)))))^(2/3))*SQRT(N161))</f>
        <v/>
      </c>
      <c r="BI161" s="9" t="str">
        <f aca="false">IF(AY161="","",IF(BH161&lt;AY161,BG161,BE161))</f>
        <v/>
      </c>
      <c r="BJ161" s="9" t="str">
        <f aca="false">IF(AY161="","",IF(BH161&lt;AY161,BF161,BG161))</f>
        <v/>
      </c>
      <c r="BK161" s="9" t="str">
        <f aca="false">IF(AY161="","",(BI161+BJ161)/2)</f>
        <v/>
      </c>
      <c r="BL161" s="9" t="str">
        <f aca="false">IF(OR(R161="",N161="",BK161="",R161&lt;=0,BK161&lt;=0),"",(1/Inputs!$B$9)*((R161^2/8)*((2*ACOS(1-2*BK161/R161))-SIN((2*ACOS(1-2*BK161/R161)))))*((((R161^2/8)*((2*ACOS(1-2*BK161/R161))-SIN((2*ACOS(1-2*BK161/R161)))))/((R161/2)*((2*ACOS(1-2*BK161/R161)))))^(2/3))*SQRT(N161))</f>
        <v/>
      </c>
      <c r="BM161" s="9" t="str">
        <f aca="false">IF(AY161="","",IF(BL161&lt;AY161,BK161,BI161))</f>
        <v/>
      </c>
      <c r="BN161" s="9" t="str">
        <f aca="false">IF(AY161="","",IF(BL161&lt;AY161,BJ161,BK161))</f>
        <v/>
      </c>
      <c r="BO161" s="9" t="str">
        <f aca="false">IF(AY161="","",(BM161+BN161)/2)</f>
        <v/>
      </c>
      <c r="BP161" s="9" t="str">
        <f aca="false">IF(OR(R161="",N161="",BO161="",R161&lt;=0,BO161&lt;=0),"",(1/Inputs!$B$9)*((R161^2/8)*((2*ACOS(1-2*BO161/R161))-SIN((2*ACOS(1-2*BO161/R161)))))*((((R161^2/8)*((2*ACOS(1-2*BO161/R161))-SIN((2*ACOS(1-2*BO161/R161)))))/((R161/2)*((2*ACOS(1-2*BO161/R161)))))^(2/3))*SQRT(N161))</f>
        <v/>
      </c>
      <c r="BQ161" s="9" t="str">
        <f aca="false">IF(AY161="","",IF(BP161&lt;AY161,BO161,BM161))</f>
        <v/>
      </c>
      <c r="BR161" s="9" t="str">
        <f aca="false">IF(AY161="","",IF(BP161&lt;AY161,BN161,BO161))</f>
        <v/>
      </c>
      <c r="BS161" s="9" t="str">
        <f aca="false">IF(AY161="","",(BQ161+BR161)/2)</f>
        <v/>
      </c>
      <c r="BT161" s="9" t="str">
        <f aca="false">IF(OR(R161="",N161="",BS161="",R161&lt;=0,BS161&lt;=0),"",(1/Inputs!$B$9)*((R161^2/8)*((2*ACOS(1-2*BS161/R161))-SIN((2*ACOS(1-2*BS161/R161)))))*((((R161^2/8)*((2*ACOS(1-2*BS161/R161))-SIN((2*ACOS(1-2*BS161/R161)))))/((R161/2)*((2*ACOS(1-2*BS161/R161)))))^(2/3))*SQRT(N161))</f>
        <v/>
      </c>
      <c r="BU161" s="9" t="str">
        <f aca="false">IF(AY161="","",IF(BT161&lt;AY161,BS161,BQ161))</f>
        <v/>
      </c>
      <c r="BV161" s="9" t="str">
        <f aca="false">IF(AY161="","",IF(BT161&lt;AY161,BR161,BS161))</f>
        <v/>
      </c>
      <c r="BW161" s="9" t="str">
        <f aca="false">IF(AY161="","",(BU161+BV161)/2)</f>
        <v/>
      </c>
      <c r="BX161" s="9" t="str">
        <f aca="false">IF(OR(R161="",N161="",BW161="",R161&lt;=0,BW161&lt;=0),"",(1/Inputs!$B$9)*((R161^2/8)*((2*ACOS(1-2*BW161/R161))-SIN((2*ACOS(1-2*BW161/R161)))))*((((R161^2/8)*((2*ACOS(1-2*BW161/R161))-SIN((2*ACOS(1-2*BW161/R161)))))/((R161/2)*((2*ACOS(1-2*BW161/R161)))))^(2/3))*SQRT(N161))</f>
        <v/>
      </c>
      <c r="BY161" s="9" t="str">
        <f aca="false">IF(AY161="","",IF(BX161&lt;AY161,BW161,BU161))</f>
        <v/>
      </c>
      <c r="BZ161" s="9" t="str">
        <f aca="false">IF(AY161="","",IF(BX161&lt;AY161,BV161,BW161))</f>
        <v/>
      </c>
      <c r="CA161" s="9" t="str">
        <f aca="false">IF(AY161="","",(BY161+BZ161)/2)</f>
        <v/>
      </c>
      <c r="CB161" s="9" t="str">
        <f aca="false">IF(OR(R161="",N161="",CA161="",R161&lt;=0,CA161&lt;=0),"",(1/Inputs!$B$9)*((R161^2/8)*((2*ACOS(1-2*CA161/R161))-SIN((2*ACOS(1-2*CA161/R161)))))*((((R161^2/8)*((2*ACOS(1-2*CA161/R161))-SIN((2*ACOS(1-2*CA161/R161)))))/((R161/2)*((2*ACOS(1-2*CA161/R161)))))^(2/3))*SQRT(N161))</f>
        <v/>
      </c>
      <c r="CC161" s="9" t="str">
        <f aca="false">IF(AY161="","",IF(CB161&lt;AY161,CA161,BY161))</f>
        <v/>
      </c>
      <c r="CD161" s="9" t="str">
        <f aca="false">IF(AY161="","",IF(CB161&lt;AY161,BZ161,CA161))</f>
        <v/>
      </c>
      <c r="CE161" s="9" t="str">
        <f aca="false">IF(AY161="","",(CC161+CD161)/2)</f>
        <v/>
      </c>
    </row>
    <row r="162" customFormat="false" ht="15" hidden="false" customHeight="false" outlineLevel="0" collapsed="false">
      <c r="A162" s="9"/>
      <c r="B162" s="9"/>
      <c r="C162" s="14"/>
      <c r="D162" s="14"/>
      <c r="E162" s="14" t="n">
        <f aca="false">SUMIFS(CB_Tributaires!$C:$C,CB_Tributaires!$B:$B,$A162)</f>
        <v>0</v>
      </c>
      <c r="F162" s="14" t="n">
        <f aca="false">IF(D162="",E162,D162)</f>
        <v>0</v>
      </c>
      <c r="G162" s="9"/>
      <c r="H162" s="14"/>
      <c r="I162" s="14" t="str">
        <f aca="false">IF(A162="","",Inputs!$B$13/((IF(AS162="",Inputs!$B$18,AS162)+Inputs!$B$14)^Inputs!$B$15))</f>
        <v/>
      </c>
      <c r="J162" s="14" t="str">
        <f aca="false">IF(A162="","",0.000000278*IF(G162="",Inputs!$B$17,G162)*F162*I162)</f>
        <v/>
      </c>
      <c r="K162" s="14" t="str">
        <f aca="false">IF(A162="","",SUMIFS($L$4:$L$203,$B$4:$B$203,$A162))</f>
        <v/>
      </c>
      <c r="L162" s="14" t="str">
        <f aca="false">IF(A162="","",(J162+K162)*Inputs!$B$16)</f>
        <v/>
      </c>
      <c r="M162" s="14"/>
      <c r="N162" s="14" t="str">
        <f aca="false">IF(A162="","",IF(M162="",Inputs!$B$7,M162))</f>
        <v/>
      </c>
      <c r="O162" s="9" t="str">
        <f aca="false">IF(A162="","",IF(L162/Inputs!$B$10&lt;=AD162,Inputs!$F$5,IF(L162/Inputs!$B$10&gt;AM162,"OVERSIZE",INDEX(Inputs!$F$5:$F$14,MATCH(L162/Inputs!$B$10,AD162:AM162,1)+1))))</f>
        <v/>
      </c>
      <c r="P162" s="9"/>
      <c r="Q162" s="9" t="str">
        <f aca="false">IF(A162="","",IF(P162="",O162,P162))</f>
        <v/>
      </c>
      <c r="R162" s="14" t="str">
        <f aca="false">IF(OR(Q162="",Q162="OVERSIZE"),"",Q162/1000)</f>
        <v/>
      </c>
      <c r="S162" s="14" t="str">
        <f aca="false">IF(R162="","",(1/Inputs!$B$9)*(PI()*R162^2/4)*((R162/4)^(2/3))*SQRT(N162))</f>
        <v/>
      </c>
      <c r="T162" s="14" t="str">
        <f aca="false">IF(OR(S162="",L162=""),"",L162/(S162*Inputs!$B$10))</f>
        <v/>
      </c>
      <c r="U162" s="14" t="str">
        <f aca="false">IF(OR(R162="",L162=""),"",4*L162/(PI()*R162^2))</f>
        <v/>
      </c>
      <c r="V162" s="14"/>
      <c r="W162" s="14" t="str">
        <f aca="false">IF(A162="","",IF(A162=Inputs!$B$6,Inputs!$B$22,IF(B162="","",IFERROR(INDEX($X$4:$X$203,MATCH(B162,$A$4:$A$203,0))+IF(V162="",Inputs!$B$20,V162),""))))</f>
        <v/>
      </c>
      <c r="X162" s="14" t="str">
        <f aca="false">IF(OR(W162="",N162="",C162=""),"",W162+N162*C162)</f>
        <v/>
      </c>
      <c r="Y162" s="14"/>
      <c r="Z162" s="14"/>
      <c r="AA162" s="14" t="str">
        <f aca="false">IF(OR(Y162="",W162=""),"",Y162-W162)</f>
        <v/>
      </c>
      <c r="AB162" s="14" t="str">
        <f aca="false">IF(OR(Z162="",X162=""),"",Z162-X162)</f>
        <v/>
      </c>
      <c r="AC162" s="19" t="str">
        <f aca="false">IF(A162="","",IF(OR(T162&gt;1,AND(AV162&lt;&gt;"",AV162&lt;Inputs!$B$11),AND(AV162&lt;&gt;"",AV162&gt;Inputs!$B$12),AA162&lt;Inputs!$B$19,AB162&lt;Inputs!$B$19,N162&lt;Inputs!$B$7,N162&gt;Inputs!$B$8),"CHECK","OK"))</f>
        <v/>
      </c>
      <c r="AD162" s="9" t="str">
        <f aca="false">IF(A162="","",(1/Inputs!$B$9)*(PI()*(Inputs!$F$5/1000)^2/4)*((Inputs!$F$5/1000/4)^(2/3))*SQRT(N162))</f>
        <v/>
      </c>
      <c r="AE162" s="9" t="str">
        <f aca="false">IF(A162="","",(1/Inputs!$B$9)*(PI()*(Inputs!$F$6/1000)^2/4)*((Inputs!$F$6/1000/4)^(2/3))*SQRT(N162))</f>
        <v/>
      </c>
      <c r="AF162" s="9" t="str">
        <f aca="false">IF(A162="","",(1/Inputs!$B$9)*(PI()*(Inputs!$F$7/1000)^2/4)*((Inputs!$F$7/1000/4)^(2/3))*SQRT(N162))</f>
        <v/>
      </c>
      <c r="AG162" s="9" t="str">
        <f aca="false">IF(A162="","",(1/Inputs!$B$9)*(PI()*(Inputs!$F$8/1000)^2/4)*((Inputs!$F$8/1000/4)^(2/3))*SQRT(N162))</f>
        <v/>
      </c>
      <c r="AH162" s="9" t="str">
        <f aca="false">IF(A162="","",(1/Inputs!$B$9)*(PI()*(Inputs!$F$9/1000)^2/4)*((Inputs!$F$9/1000/4)^(2/3))*SQRT(N162))</f>
        <v/>
      </c>
      <c r="AI162" s="9" t="str">
        <f aca="false">IF(A162="","",(1/Inputs!$B$9)*(PI()*(Inputs!$F$10/1000)^2/4)*((Inputs!$F$10/1000/4)^(2/3))*SQRT(N162))</f>
        <v/>
      </c>
      <c r="AJ162" s="9" t="str">
        <f aca="false">IF(A162="","",(1/Inputs!$B$9)*(PI()*(Inputs!$F$11/1000)^2/4)*((Inputs!$F$11/1000/4)^(2/3))*SQRT(N162))</f>
        <v/>
      </c>
      <c r="AK162" s="9" t="str">
        <f aca="false">IF(A162="","",(1/Inputs!$B$9)*(PI()*(Inputs!$F$12/1000)^2/4)*((Inputs!$F$12/1000/4)^(2/3))*SQRT(N162))</f>
        <v/>
      </c>
      <c r="AL162" s="9" t="str">
        <f aca="false">IF(A162="","",(1/Inputs!$B$9)*(PI()*(Inputs!$F$13/1000)^2/4)*((Inputs!$F$13/1000/4)^(2/3))*SQRT(N162))</f>
        <v/>
      </c>
      <c r="AM162" s="9" t="str">
        <f aca="false">IF(A162="","",(1/Inputs!$B$9)*(PI()*(Inputs!$F$14/1000)^2/4)*((Inputs!$F$14/1000/4)^(2/3))*SQRT(N162))</f>
        <v/>
      </c>
      <c r="AN162" s="9" t="str">
        <f aca="false">IF(A162="","",COUNTIF($B$4:$B$203,$A162))</f>
        <v/>
      </c>
      <c r="AO162" s="9" t="str">
        <f aca="false">IF(A162="","",IF(AN162=0,"START","CONTINUOUS"))</f>
        <v/>
      </c>
      <c r="AP162" s="13" t="str">
        <f aca="false">IF(A162="","",IF(H162="",Inputs!$B$18,H162))</f>
        <v/>
      </c>
      <c r="AQ162" s="13" t="str">
        <f aca="false">IF(A162="","",IFERROR(maxifs($AS$4:$AS$203,$B$4:$B$203,$A162),""))</f>
        <v/>
      </c>
      <c r="AR162" s="13" t="str">
        <f aca="false">IF(A162="","",IF(OR(C162="",Inputs!$B$23=""),"",C162/(Inputs!$B$23*60)))</f>
        <v/>
      </c>
      <c r="AS162" s="13" t="str">
        <f aca="false">IF(A162="","",IF(AN162=0,AP162+AR162,IF(AQ162="",AP162+AR162,AQ162+AR162)))</f>
        <v/>
      </c>
      <c r="AT162" s="13" t="str">
        <f aca="false">IF(A162="","",U162)</f>
        <v/>
      </c>
      <c r="AU162" s="13" t="str">
        <f aca="false">IF(OR(R162="",N162=""),"",(1/Inputs!$B$9)*((R162/4)^(2/3))*SQRT(N162))</f>
        <v/>
      </c>
      <c r="AV162" s="13" t="str">
        <f aca="false">IF(A162="","",IF(AND(AT162="",AU162="",AX162=""),"",IF(OR(UPPER(TRIM(Inputs!$B$24))="MANNING",UPPER(TRIM(Inputs!$B$24))="M"),AU162,IF(OR(UPPER(TRIM(Inputs!$B$24))="PARTIAL",UPPER(TRIM(Inputs!$B$24))="P"),AX162,IF(OR(UPPER(TRIM(Inputs!$B$24))="MAX",UPPER(TRIM(Inputs!$B$24))="X"),MAX(IF(AT162="",0,AT162),IF(AU162="",0,AU162),IF(AX162="",0,AX162)),AT162)))))</f>
        <v/>
      </c>
      <c r="AW162" s="13" t="str">
        <f aca="false">IF(AY162="","",CE162)</f>
        <v/>
      </c>
      <c r="AX162" s="13" t="str">
        <f aca="false">IF(OR(AY162="",AW162="",R162="",R162&lt;=0,AW162&lt;=0),"",AY162/((R162^2/8)*(2*ACOS(1-2*AW162/R162)-SIN(2*ACOS(1-2*AW162/R162)))))</f>
        <v/>
      </c>
      <c r="AY162" s="9" t="str">
        <f aca="false">IF(OR(L162="",AZ162=""),"",MIN(L162,AZ162))</f>
        <v/>
      </c>
      <c r="AZ162" s="9" t="str">
        <f aca="false">IF(OR(L162="",R162="",N162=""),"",IF(OR(R162="",N162="",(0.94*R162)="",R162&lt;=0,(0.94*R162)&lt;=0),"",(1/Inputs!$B$9)*((R162^2/8)*((2*ACOS(1-2*(0.94*R162)/R162))-SIN((2*ACOS(1-2*(0.94*R162)/R162)))))*((((R162^2/8)*((2*ACOS(1-2*(0.94*R162)/R162))-SIN((2*ACOS(1-2*(0.94*R162)/R162)))))/((R162/2)*((2*ACOS(1-2*(0.94*R162)/R162)))))^(2/3))*SQRT(N162)))</f>
        <v/>
      </c>
      <c r="BA162" s="9" t="str">
        <f aca="false">IF(AY162="","",0.001*R162)</f>
        <v/>
      </c>
      <c r="BB162" s="9" t="str">
        <f aca="false">IF(AY162="","",0.94*R162)</f>
        <v/>
      </c>
      <c r="BC162" s="9" t="str">
        <f aca="false">IF(AY162="","",(BA162+BB162)/2)</f>
        <v/>
      </c>
      <c r="BD162" s="9" t="str">
        <f aca="false">IF(OR(R162="",N162="",BC162="",R162&lt;=0,BC162&lt;=0),"",(1/Inputs!$B$9)*((R162^2/8)*((2*ACOS(1-2*BC162/R162))-SIN((2*ACOS(1-2*BC162/R162)))))*((((R162^2/8)*((2*ACOS(1-2*BC162/R162))-SIN((2*ACOS(1-2*BC162/R162)))))/((R162/2)*((2*ACOS(1-2*BC162/R162)))))^(2/3))*SQRT(N162))</f>
        <v/>
      </c>
      <c r="BE162" s="9" t="str">
        <f aca="false">IF(AY162="","",IF(BD162&lt;AY162,BC162,BA162))</f>
        <v/>
      </c>
      <c r="BF162" s="9" t="str">
        <f aca="false">IF(AY162="","",IF(BD162&lt;AY162,BB162,BC162))</f>
        <v/>
      </c>
      <c r="BG162" s="9" t="str">
        <f aca="false">IF(AY162="","",(BE162+BF162)/2)</f>
        <v/>
      </c>
      <c r="BH162" s="9" t="str">
        <f aca="false">IF(OR(R162="",N162="",BG162="",R162&lt;=0,BG162&lt;=0),"",(1/Inputs!$B$9)*((R162^2/8)*((2*ACOS(1-2*BG162/R162))-SIN((2*ACOS(1-2*BG162/R162)))))*((((R162^2/8)*((2*ACOS(1-2*BG162/R162))-SIN((2*ACOS(1-2*BG162/R162)))))/((R162/2)*((2*ACOS(1-2*BG162/R162)))))^(2/3))*SQRT(N162))</f>
        <v/>
      </c>
      <c r="BI162" s="9" t="str">
        <f aca="false">IF(AY162="","",IF(BH162&lt;AY162,BG162,BE162))</f>
        <v/>
      </c>
      <c r="BJ162" s="9" t="str">
        <f aca="false">IF(AY162="","",IF(BH162&lt;AY162,BF162,BG162))</f>
        <v/>
      </c>
      <c r="BK162" s="9" t="str">
        <f aca="false">IF(AY162="","",(BI162+BJ162)/2)</f>
        <v/>
      </c>
      <c r="BL162" s="9" t="str">
        <f aca="false">IF(OR(R162="",N162="",BK162="",R162&lt;=0,BK162&lt;=0),"",(1/Inputs!$B$9)*((R162^2/8)*((2*ACOS(1-2*BK162/R162))-SIN((2*ACOS(1-2*BK162/R162)))))*((((R162^2/8)*((2*ACOS(1-2*BK162/R162))-SIN((2*ACOS(1-2*BK162/R162)))))/((R162/2)*((2*ACOS(1-2*BK162/R162)))))^(2/3))*SQRT(N162))</f>
        <v/>
      </c>
      <c r="BM162" s="9" t="str">
        <f aca="false">IF(AY162="","",IF(BL162&lt;AY162,BK162,BI162))</f>
        <v/>
      </c>
      <c r="BN162" s="9" t="str">
        <f aca="false">IF(AY162="","",IF(BL162&lt;AY162,BJ162,BK162))</f>
        <v/>
      </c>
      <c r="BO162" s="9" t="str">
        <f aca="false">IF(AY162="","",(BM162+BN162)/2)</f>
        <v/>
      </c>
      <c r="BP162" s="9" t="str">
        <f aca="false">IF(OR(R162="",N162="",BO162="",R162&lt;=0,BO162&lt;=0),"",(1/Inputs!$B$9)*((R162^2/8)*((2*ACOS(1-2*BO162/R162))-SIN((2*ACOS(1-2*BO162/R162)))))*((((R162^2/8)*((2*ACOS(1-2*BO162/R162))-SIN((2*ACOS(1-2*BO162/R162)))))/((R162/2)*((2*ACOS(1-2*BO162/R162)))))^(2/3))*SQRT(N162))</f>
        <v/>
      </c>
      <c r="BQ162" s="9" t="str">
        <f aca="false">IF(AY162="","",IF(BP162&lt;AY162,BO162,BM162))</f>
        <v/>
      </c>
      <c r="BR162" s="9" t="str">
        <f aca="false">IF(AY162="","",IF(BP162&lt;AY162,BN162,BO162))</f>
        <v/>
      </c>
      <c r="BS162" s="9" t="str">
        <f aca="false">IF(AY162="","",(BQ162+BR162)/2)</f>
        <v/>
      </c>
      <c r="BT162" s="9" t="str">
        <f aca="false">IF(OR(R162="",N162="",BS162="",R162&lt;=0,BS162&lt;=0),"",(1/Inputs!$B$9)*((R162^2/8)*((2*ACOS(1-2*BS162/R162))-SIN((2*ACOS(1-2*BS162/R162)))))*((((R162^2/8)*((2*ACOS(1-2*BS162/R162))-SIN((2*ACOS(1-2*BS162/R162)))))/((R162/2)*((2*ACOS(1-2*BS162/R162)))))^(2/3))*SQRT(N162))</f>
        <v/>
      </c>
      <c r="BU162" s="9" t="str">
        <f aca="false">IF(AY162="","",IF(BT162&lt;AY162,BS162,BQ162))</f>
        <v/>
      </c>
      <c r="BV162" s="9" t="str">
        <f aca="false">IF(AY162="","",IF(BT162&lt;AY162,BR162,BS162))</f>
        <v/>
      </c>
      <c r="BW162" s="9" t="str">
        <f aca="false">IF(AY162="","",(BU162+BV162)/2)</f>
        <v/>
      </c>
      <c r="BX162" s="9" t="str">
        <f aca="false">IF(OR(R162="",N162="",BW162="",R162&lt;=0,BW162&lt;=0),"",(1/Inputs!$B$9)*((R162^2/8)*((2*ACOS(1-2*BW162/R162))-SIN((2*ACOS(1-2*BW162/R162)))))*((((R162^2/8)*((2*ACOS(1-2*BW162/R162))-SIN((2*ACOS(1-2*BW162/R162)))))/((R162/2)*((2*ACOS(1-2*BW162/R162)))))^(2/3))*SQRT(N162))</f>
        <v/>
      </c>
      <c r="BY162" s="9" t="str">
        <f aca="false">IF(AY162="","",IF(BX162&lt;AY162,BW162,BU162))</f>
        <v/>
      </c>
      <c r="BZ162" s="9" t="str">
        <f aca="false">IF(AY162="","",IF(BX162&lt;AY162,BV162,BW162))</f>
        <v/>
      </c>
      <c r="CA162" s="9" t="str">
        <f aca="false">IF(AY162="","",(BY162+BZ162)/2)</f>
        <v/>
      </c>
      <c r="CB162" s="9" t="str">
        <f aca="false">IF(OR(R162="",N162="",CA162="",R162&lt;=0,CA162&lt;=0),"",(1/Inputs!$B$9)*((R162^2/8)*((2*ACOS(1-2*CA162/R162))-SIN((2*ACOS(1-2*CA162/R162)))))*((((R162^2/8)*((2*ACOS(1-2*CA162/R162))-SIN((2*ACOS(1-2*CA162/R162)))))/((R162/2)*((2*ACOS(1-2*CA162/R162)))))^(2/3))*SQRT(N162))</f>
        <v/>
      </c>
      <c r="CC162" s="9" t="str">
        <f aca="false">IF(AY162="","",IF(CB162&lt;AY162,CA162,BY162))</f>
        <v/>
      </c>
      <c r="CD162" s="9" t="str">
        <f aca="false">IF(AY162="","",IF(CB162&lt;AY162,BZ162,CA162))</f>
        <v/>
      </c>
      <c r="CE162" s="9" t="str">
        <f aca="false">IF(AY162="","",(CC162+CD162)/2)</f>
        <v/>
      </c>
    </row>
    <row r="163" customFormat="false" ht="15" hidden="false" customHeight="false" outlineLevel="0" collapsed="false">
      <c r="A163" s="9"/>
      <c r="B163" s="9"/>
      <c r="C163" s="14"/>
      <c r="D163" s="14"/>
      <c r="E163" s="14" t="n">
        <f aca="false">SUMIFS(CB_Tributaires!$C:$C,CB_Tributaires!$B:$B,$A163)</f>
        <v>0</v>
      </c>
      <c r="F163" s="14" t="n">
        <f aca="false">IF(D163="",E163,D163)</f>
        <v>0</v>
      </c>
      <c r="G163" s="9"/>
      <c r="H163" s="14"/>
      <c r="I163" s="14" t="str">
        <f aca="false">IF(A163="","",Inputs!$B$13/((IF(AS163="",Inputs!$B$18,AS163)+Inputs!$B$14)^Inputs!$B$15))</f>
        <v/>
      </c>
      <c r="J163" s="14" t="str">
        <f aca="false">IF(A163="","",0.000000278*IF(G163="",Inputs!$B$17,G163)*F163*I163)</f>
        <v/>
      </c>
      <c r="K163" s="14" t="str">
        <f aca="false">IF(A163="","",SUMIFS($L$4:$L$203,$B$4:$B$203,$A163))</f>
        <v/>
      </c>
      <c r="L163" s="14" t="str">
        <f aca="false">IF(A163="","",(J163+K163)*Inputs!$B$16)</f>
        <v/>
      </c>
      <c r="M163" s="14"/>
      <c r="N163" s="14" t="str">
        <f aca="false">IF(A163="","",IF(M163="",Inputs!$B$7,M163))</f>
        <v/>
      </c>
      <c r="O163" s="9" t="str">
        <f aca="false">IF(A163="","",IF(L163/Inputs!$B$10&lt;=AD163,Inputs!$F$5,IF(L163/Inputs!$B$10&gt;AM163,"OVERSIZE",INDEX(Inputs!$F$5:$F$14,MATCH(L163/Inputs!$B$10,AD163:AM163,1)+1))))</f>
        <v/>
      </c>
      <c r="P163" s="9"/>
      <c r="Q163" s="9" t="str">
        <f aca="false">IF(A163="","",IF(P163="",O163,P163))</f>
        <v/>
      </c>
      <c r="R163" s="14" t="str">
        <f aca="false">IF(OR(Q163="",Q163="OVERSIZE"),"",Q163/1000)</f>
        <v/>
      </c>
      <c r="S163" s="14" t="str">
        <f aca="false">IF(R163="","",(1/Inputs!$B$9)*(PI()*R163^2/4)*((R163/4)^(2/3))*SQRT(N163))</f>
        <v/>
      </c>
      <c r="T163" s="14" t="str">
        <f aca="false">IF(OR(S163="",L163=""),"",L163/(S163*Inputs!$B$10))</f>
        <v/>
      </c>
      <c r="U163" s="14" t="str">
        <f aca="false">IF(OR(R163="",L163=""),"",4*L163/(PI()*R163^2))</f>
        <v/>
      </c>
      <c r="V163" s="14"/>
      <c r="W163" s="14" t="str">
        <f aca="false">IF(A163="","",IF(A163=Inputs!$B$6,Inputs!$B$22,IF(B163="","",IFERROR(INDEX($X$4:$X$203,MATCH(B163,$A$4:$A$203,0))+IF(V163="",Inputs!$B$20,V163),""))))</f>
        <v/>
      </c>
      <c r="X163" s="14" t="str">
        <f aca="false">IF(OR(W163="",N163="",C163=""),"",W163+N163*C163)</f>
        <v/>
      </c>
      <c r="Y163" s="14"/>
      <c r="Z163" s="14"/>
      <c r="AA163" s="14" t="str">
        <f aca="false">IF(OR(Y163="",W163=""),"",Y163-W163)</f>
        <v/>
      </c>
      <c r="AB163" s="14" t="str">
        <f aca="false">IF(OR(Z163="",X163=""),"",Z163-X163)</f>
        <v/>
      </c>
      <c r="AC163" s="19" t="str">
        <f aca="false">IF(A163="","",IF(OR(T163&gt;1,AND(AV163&lt;&gt;"",AV163&lt;Inputs!$B$11),AND(AV163&lt;&gt;"",AV163&gt;Inputs!$B$12),AA163&lt;Inputs!$B$19,AB163&lt;Inputs!$B$19,N163&lt;Inputs!$B$7,N163&gt;Inputs!$B$8),"CHECK","OK"))</f>
        <v/>
      </c>
      <c r="AD163" s="9" t="str">
        <f aca="false">IF(A163="","",(1/Inputs!$B$9)*(PI()*(Inputs!$F$5/1000)^2/4)*((Inputs!$F$5/1000/4)^(2/3))*SQRT(N163))</f>
        <v/>
      </c>
      <c r="AE163" s="9" t="str">
        <f aca="false">IF(A163="","",(1/Inputs!$B$9)*(PI()*(Inputs!$F$6/1000)^2/4)*((Inputs!$F$6/1000/4)^(2/3))*SQRT(N163))</f>
        <v/>
      </c>
      <c r="AF163" s="9" t="str">
        <f aca="false">IF(A163="","",(1/Inputs!$B$9)*(PI()*(Inputs!$F$7/1000)^2/4)*((Inputs!$F$7/1000/4)^(2/3))*SQRT(N163))</f>
        <v/>
      </c>
      <c r="AG163" s="9" t="str">
        <f aca="false">IF(A163="","",(1/Inputs!$B$9)*(PI()*(Inputs!$F$8/1000)^2/4)*((Inputs!$F$8/1000/4)^(2/3))*SQRT(N163))</f>
        <v/>
      </c>
      <c r="AH163" s="9" t="str">
        <f aca="false">IF(A163="","",(1/Inputs!$B$9)*(PI()*(Inputs!$F$9/1000)^2/4)*((Inputs!$F$9/1000/4)^(2/3))*SQRT(N163))</f>
        <v/>
      </c>
      <c r="AI163" s="9" t="str">
        <f aca="false">IF(A163="","",(1/Inputs!$B$9)*(PI()*(Inputs!$F$10/1000)^2/4)*((Inputs!$F$10/1000/4)^(2/3))*SQRT(N163))</f>
        <v/>
      </c>
      <c r="AJ163" s="9" t="str">
        <f aca="false">IF(A163="","",(1/Inputs!$B$9)*(PI()*(Inputs!$F$11/1000)^2/4)*((Inputs!$F$11/1000/4)^(2/3))*SQRT(N163))</f>
        <v/>
      </c>
      <c r="AK163" s="9" t="str">
        <f aca="false">IF(A163="","",(1/Inputs!$B$9)*(PI()*(Inputs!$F$12/1000)^2/4)*((Inputs!$F$12/1000/4)^(2/3))*SQRT(N163))</f>
        <v/>
      </c>
      <c r="AL163" s="9" t="str">
        <f aca="false">IF(A163="","",(1/Inputs!$B$9)*(PI()*(Inputs!$F$13/1000)^2/4)*((Inputs!$F$13/1000/4)^(2/3))*SQRT(N163))</f>
        <v/>
      </c>
      <c r="AM163" s="9" t="str">
        <f aca="false">IF(A163="","",(1/Inputs!$B$9)*(PI()*(Inputs!$F$14/1000)^2/4)*((Inputs!$F$14/1000/4)^(2/3))*SQRT(N163))</f>
        <v/>
      </c>
      <c r="AN163" s="9" t="str">
        <f aca="false">IF(A163="","",COUNTIF($B$4:$B$203,$A163))</f>
        <v/>
      </c>
      <c r="AO163" s="9" t="str">
        <f aca="false">IF(A163="","",IF(AN163=0,"START","CONTINUOUS"))</f>
        <v/>
      </c>
      <c r="AP163" s="13" t="str">
        <f aca="false">IF(A163="","",IF(H163="",Inputs!$B$18,H163))</f>
        <v/>
      </c>
      <c r="AQ163" s="13" t="str">
        <f aca="false">IF(A163="","",IFERROR(maxifs($AS$4:$AS$203,$B$4:$B$203,$A163),""))</f>
        <v/>
      </c>
      <c r="AR163" s="13" t="str">
        <f aca="false">IF(A163="","",IF(OR(C163="",Inputs!$B$23=""),"",C163/(Inputs!$B$23*60)))</f>
        <v/>
      </c>
      <c r="AS163" s="13" t="str">
        <f aca="false">IF(A163="","",IF(AN163=0,AP163+AR163,IF(AQ163="",AP163+AR163,AQ163+AR163)))</f>
        <v/>
      </c>
      <c r="AT163" s="13" t="str">
        <f aca="false">IF(A163="","",U163)</f>
        <v/>
      </c>
      <c r="AU163" s="13" t="str">
        <f aca="false">IF(OR(R163="",N163=""),"",(1/Inputs!$B$9)*((R163/4)^(2/3))*SQRT(N163))</f>
        <v/>
      </c>
      <c r="AV163" s="13" t="str">
        <f aca="false">IF(A163="","",IF(AND(AT163="",AU163="",AX163=""),"",IF(OR(UPPER(TRIM(Inputs!$B$24))="MANNING",UPPER(TRIM(Inputs!$B$24))="M"),AU163,IF(OR(UPPER(TRIM(Inputs!$B$24))="PARTIAL",UPPER(TRIM(Inputs!$B$24))="P"),AX163,IF(OR(UPPER(TRIM(Inputs!$B$24))="MAX",UPPER(TRIM(Inputs!$B$24))="X"),MAX(IF(AT163="",0,AT163),IF(AU163="",0,AU163),IF(AX163="",0,AX163)),AT163)))))</f>
        <v/>
      </c>
      <c r="AW163" s="13" t="str">
        <f aca="false">IF(AY163="","",CE163)</f>
        <v/>
      </c>
      <c r="AX163" s="13" t="str">
        <f aca="false">IF(OR(AY163="",AW163="",R163="",R163&lt;=0,AW163&lt;=0),"",AY163/((R163^2/8)*(2*ACOS(1-2*AW163/R163)-SIN(2*ACOS(1-2*AW163/R163)))))</f>
        <v/>
      </c>
      <c r="AY163" s="9" t="str">
        <f aca="false">IF(OR(L163="",AZ163=""),"",MIN(L163,AZ163))</f>
        <v/>
      </c>
      <c r="AZ163" s="9" t="str">
        <f aca="false">IF(OR(L163="",R163="",N163=""),"",IF(OR(R163="",N163="",(0.94*R163)="",R163&lt;=0,(0.94*R163)&lt;=0),"",(1/Inputs!$B$9)*((R163^2/8)*((2*ACOS(1-2*(0.94*R163)/R163))-SIN((2*ACOS(1-2*(0.94*R163)/R163)))))*((((R163^2/8)*((2*ACOS(1-2*(0.94*R163)/R163))-SIN((2*ACOS(1-2*(0.94*R163)/R163)))))/((R163/2)*((2*ACOS(1-2*(0.94*R163)/R163)))))^(2/3))*SQRT(N163)))</f>
        <v/>
      </c>
      <c r="BA163" s="9" t="str">
        <f aca="false">IF(AY163="","",0.001*R163)</f>
        <v/>
      </c>
      <c r="BB163" s="9" t="str">
        <f aca="false">IF(AY163="","",0.94*R163)</f>
        <v/>
      </c>
      <c r="BC163" s="9" t="str">
        <f aca="false">IF(AY163="","",(BA163+BB163)/2)</f>
        <v/>
      </c>
      <c r="BD163" s="9" t="str">
        <f aca="false">IF(OR(R163="",N163="",BC163="",R163&lt;=0,BC163&lt;=0),"",(1/Inputs!$B$9)*((R163^2/8)*((2*ACOS(1-2*BC163/R163))-SIN((2*ACOS(1-2*BC163/R163)))))*((((R163^2/8)*((2*ACOS(1-2*BC163/R163))-SIN((2*ACOS(1-2*BC163/R163)))))/((R163/2)*((2*ACOS(1-2*BC163/R163)))))^(2/3))*SQRT(N163))</f>
        <v/>
      </c>
      <c r="BE163" s="9" t="str">
        <f aca="false">IF(AY163="","",IF(BD163&lt;AY163,BC163,BA163))</f>
        <v/>
      </c>
      <c r="BF163" s="9" t="str">
        <f aca="false">IF(AY163="","",IF(BD163&lt;AY163,BB163,BC163))</f>
        <v/>
      </c>
      <c r="BG163" s="9" t="str">
        <f aca="false">IF(AY163="","",(BE163+BF163)/2)</f>
        <v/>
      </c>
      <c r="BH163" s="9" t="str">
        <f aca="false">IF(OR(R163="",N163="",BG163="",R163&lt;=0,BG163&lt;=0),"",(1/Inputs!$B$9)*((R163^2/8)*((2*ACOS(1-2*BG163/R163))-SIN((2*ACOS(1-2*BG163/R163)))))*((((R163^2/8)*((2*ACOS(1-2*BG163/R163))-SIN((2*ACOS(1-2*BG163/R163)))))/((R163/2)*((2*ACOS(1-2*BG163/R163)))))^(2/3))*SQRT(N163))</f>
        <v/>
      </c>
      <c r="BI163" s="9" t="str">
        <f aca="false">IF(AY163="","",IF(BH163&lt;AY163,BG163,BE163))</f>
        <v/>
      </c>
      <c r="BJ163" s="9" t="str">
        <f aca="false">IF(AY163="","",IF(BH163&lt;AY163,BF163,BG163))</f>
        <v/>
      </c>
      <c r="BK163" s="9" t="str">
        <f aca="false">IF(AY163="","",(BI163+BJ163)/2)</f>
        <v/>
      </c>
      <c r="BL163" s="9" t="str">
        <f aca="false">IF(OR(R163="",N163="",BK163="",R163&lt;=0,BK163&lt;=0),"",(1/Inputs!$B$9)*((R163^2/8)*((2*ACOS(1-2*BK163/R163))-SIN((2*ACOS(1-2*BK163/R163)))))*((((R163^2/8)*((2*ACOS(1-2*BK163/R163))-SIN((2*ACOS(1-2*BK163/R163)))))/((R163/2)*((2*ACOS(1-2*BK163/R163)))))^(2/3))*SQRT(N163))</f>
        <v/>
      </c>
      <c r="BM163" s="9" t="str">
        <f aca="false">IF(AY163="","",IF(BL163&lt;AY163,BK163,BI163))</f>
        <v/>
      </c>
      <c r="BN163" s="9" t="str">
        <f aca="false">IF(AY163="","",IF(BL163&lt;AY163,BJ163,BK163))</f>
        <v/>
      </c>
      <c r="BO163" s="9" t="str">
        <f aca="false">IF(AY163="","",(BM163+BN163)/2)</f>
        <v/>
      </c>
      <c r="BP163" s="9" t="str">
        <f aca="false">IF(OR(R163="",N163="",BO163="",R163&lt;=0,BO163&lt;=0),"",(1/Inputs!$B$9)*((R163^2/8)*((2*ACOS(1-2*BO163/R163))-SIN((2*ACOS(1-2*BO163/R163)))))*((((R163^2/8)*((2*ACOS(1-2*BO163/R163))-SIN((2*ACOS(1-2*BO163/R163)))))/((R163/2)*((2*ACOS(1-2*BO163/R163)))))^(2/3))*SQRT(N163))</f>
        <v/>
      </c>
      <c r="BQ163" s="9" t="str">
        <f aca="false">IF(AY163="","",IF(BP163&lt;AY163,BO163,BM163))</f>
        <v/>
      </c>
      <c r="BR163" s="9" t="str">
        <f aca="false">IF(AY163="","",IF(BP163&lt;AY163,BN163,BO163))</f>
        <v/>
      </c>
      <c r="BS163" s="9" t="str">
        <f aca="false">IF(AY163="","",(BQ163+BR163)/2)</f>
        <v/>
      </c>
      <c r="BT163" s="9" t="str">
        <f aca="false">IF(OR(R163="",N163="",BS163="",R163&lt;=0,BS163&lt;=0),"",(1/Inputs!$B$9)*((R163^2/8)*((2*ACOS(1-2*BS163/R163))-SIN((2*ACOS(1-2*BS163/R163)))))*((((R163^2/8)*((2*ACOS(1-2*BS163/R163))-SIN((2*ACOS(1-2*BS163/R163)))))/((R163/2)*((2*ACOS(1-2*BS163/R163)))))^(2/3))*SQRT(N163))</f>
        <v/>
      </c>
      <c r="BU163" s="9" t="str">
        <f aca="false">IF(AY163="","",IF(BT163&lt;AY163,BS163,BQ163))</f>
        <v/>
      </c>
      <c r="BV163" s="9" t="str">
        <f aca="false">IF(AY163="","",IF(BT163&lt;AY163,BR163,BS163))</f>
        <v/>
      </c>
      <c r="BW163" s="9" t="str">
        <f aca="false">IF(AY163="","",(BU163+BV163)/2)</f>
        <v/>
      </c>
      <c r="BX163" s="9" t="str">
        <f aca="false">IF(OR(R163="",N163="",BW163="",R163&lt;=0,BW163&lt;=0),"",(1/Inputs!$B$9)*((R163^2/8)*((2*ACOS(1-2*BW163/R163))-SIN((2*ACOS(1-2*BW163/R163)))))*((((R163^2/8)*((2*ACOS(1-2*BW163/R163))-SIN((2*ACOS(1-2*BW163/R163)))))/((R163/2)*((2*ACOS(1-2*BW163/R163)))))^(2/3))*SQRT(N163))</f>
        <v/>
      </c>
      <c r="BY163" s="9" t="str">
        <f aca="false">IF(AY163="","",IF(BX163&lt;AY163,BW163,BU163))</f>
        <v/>
      </c>
      <c r="BZ163" s="9" t="str">
        <f aca="false">IF(AY163="","",IF(BX163&lt;AY163,BV163,BW163))</f>
        <v/>
      </c>
      <c r="CA163" s="9" t="str">
        <f aca="false">IF(AY163="","",(BY163+BZ163)/2)</f>
        <v/>
      </c>
      <c r="CB163" s="9" t="str">
        <f aca="false">IF(OR(R163="",N163="",CA163="",R163&lt;=0,CA163&lt;=0),"",(1/Inputs!$B$9)*((R163^2/8)*((2*ACOS(1-2*CA163/R163))-SIN((2*ACOS(1-2*CA163/R163)))))*((((R163^2/8)*((2*ACOS(1-2*CA163/R163))-SIN((2*ACOS(1-2*CA163/R163)))))/((R163/2)*((2*ACOS(1-2*CA163/R163)))))^(2/3))*SQRT(N163))</f>
        <v/>
      </c>
      <c r="CC163" s="9" t="str">
        <f aca="false">IF(AY163="","",IF(CB163&lt;AY163,CA163,BY163))</f>
        <v/>
      </c>
      <c r="CD163" s="9" t="str">
        <f aca="false">IF(AY163="","",IF(CB163&lt;AY163,BZ163,CA163))</f>
        <v/>
      </c>
      <c r="CE163" s="9" t="str">
        <f aca="false">IF(AY163="","",(CC163+CD163)/2)</f>
        <v/>
      </c>
    </row>
    <row r="164" customFormat="false" ht="15" hidden="false" customHeight="false" outlineLevel="0" collapsed="false">
      <c r="A164" s="9"/>
      <c r="B164" s="9"/>
      <c r="C164" s="14"/>
      <c r="D164" s="14"/>
      <c r="E164" s="14" t="n">
        <f aca="false">SUMIFS(CB_Tributaires!$C:$C,CB_Tributaires!$B:$B,$A164)</f>
        <v>0</v>
      </c>
      <c r="F164" s="14" t="n">
        <f aca="false">IF(D164="",E164,D164)</f>
        <v>0</v>
      </c>
      <c r="G164" s="9"/>
      <c r="H164" s="14"/>
      <c r="I164" s="14" t="str">
        <f aca="false">IF(A164="","",Inputs!$B$13/((IF(AS164="",Inputs!$B$18,AS164)+Inputs!$B$14)^Inputs!$B$15))</f>
        <v/>
      </c>
      <c r="J164" s="14" t="str">
        <f aca="false">IF(A164="","",0.000000278*IF(G164="",Inputs!$B$17,G164)*F164*I164)</f>
        <v/>
      </c>
      <c r="K164" s="14" t="str">
        <f aca="false">IF(A164="","",SUMIFS($L$4:$L$203,$B$4:$B$203,$A164))</f>
        <v/>
      </c>
      <c r="L164" s="14" t="str">
        <f aca="false">IF(A164="","",(J164+K164)*Inputs!$B$16)</f>
        <v/>
      </c>
      <c r="M164" s="14"/>
      <c r="N164" s="14" t="str">
        <f aca="false">IF(A164="","",IF(M164="",Inputs!$B$7,M164))</f>
        <v/>
      </c>
      <c r="O164" s="9" t="str">
        <f aca="false">IF(A164="","",IF(L164/Inputs!$B$10&lt;=AD164,Inputs!$F$5,IF(L164/Inputs!$B$10&gt;AM164,"OVERSIZE",INDEX(Inputs!$F$5:$F$14,MATCH(L164/Inputs!$B$10,AD164:AM164,1)+1))))</f>
        <v/>
      </c>
      <c r="P164" s="9"/>
      <c r="Q164" s="9" t="str">
        <f aca="false">IF(A164="","",IF(P164="",O164,P164))</f>
        <v/>
      </c>
      <c r="R164" s="14" t="str">
        <f aca="false">IF(OR(Q164="",Q164="OVERSIZE"),"",Q164/1000)</f>
        <v/>
      </c>
      <c r="S164" s="14" t="str">
        <f aca="false">IF(R164="","",(1/Inputs!$B$9)*(PI()*R164^2/4)*((R164/4)^(2/3))*SQRT(N164))</f>
        <v/>
      </c>
      <c r="T164" s="14" t="str">
        <f aca="false">IF(OR(S164="",L164=""),"",L164/(S164*Inputs!$B$10))</f>
        <v/>
      </c>
      <c r="U164" s="14" t="str">
        <f aca="false">IF(OR(R164="",L164=""),"",4*L164/(PI()*R164^2))</f>
        <v/>
      </c>
      <c r="V164" s="14"/>
      <c r="W164" s="14" t="str">
        <f aca="false">IF(A164="","",IF(A164=Inputs!$B$6,Inputs!$B$22,IF(B164="","",IFERROR(INDEX($X$4:$X$203,MATCH(B164,$A$4:$A$203,0))+IF(V164="",Inputs!$B$20,V164),""))))</f>
        <v/>
      </c>
      <c r="X164" s="14" t="str">
        <f aca="false">IF(OR(W164="",N164="",C164=""),"",W164+N164*C164)</f>
        <v/>
      </c>
      <c r="Y164" s="14"/>
      <c r="Z164" s="14"/>
      <c r="AA164" s="14" t="str">
        <f aca="false">IF(OR(Y164="",W164=""),"",Y164-W164)</f>
        <v/>
      </c>
      <c r="AB164" s="14" t="str">
        <f aca="false">IF(OR(Z164="",X164=""),"",Z164-X164)</f>
        <v/>
      </c>
      <c r="AC164" s="19" t="str">
        <f aca="false">IF(A164="","",IF(OR(T164&gt;1,AND(AV164&lt;&gt;"",AV164&lt;Inputs!$B$11),AND(AV164&lt;&gt;"",AV164&gt;Inputs!$B$12),AA164&lt;Inputs!$B$19,AB164&lt;Inputs!$B$19,N164&lt;Inputs!$B$7,N164&gt;Inputs!$B$8),"CHECK","OK"))</f>
        <v/>
      </c>
      <c r="AD164" s="9" t="str">
        <f aca="false">IF(A164="","",(1/Inputs!$B$9)*(PI()*(Inputs!$F$5/1000)^2/4)*((Inputs!$F$5/1000/4)^(2/3))*SQRT(N164))</f>
        <v/>
      </c>
      <c r="AE164" s="9" t="str">
        <f aca="false">IF(A164="","",(1/Inputs!$B$9)*(PI()*(Inputs!$F$6/1000)^2/4)*((Inputs!$F$6/1000/4)^(2/3))*SQRT(N164))</f>
        <v/>
      </c>
      <c r="AF164" s="9" t="str">
        <f aca="false">IF(A164="","",(1/Inputs!$B$9)*(PI()*(Inputs!$F$7/1000)^2/4)*((Inputs!$F$7/1000/4)^(2/3))*SQRT(N164))</f>
        <v/>
      </c>
      <c r="AG164" s="9" t="str">
        <f aca="false">IF(A164="","",(1/Inputs!$B$9)*(PI()*(Inputs!$F$8/1000)^2/4)*((Inputs!$F$8/1000/4)^(2/3))*SQRT(N164))</f>
        <v/>
      </c>
      <c r="AH164" s="9" t="str">
        <f aca="false">IF(A164="","",(1/Inputs!$B$9)*(PI()*(Inputs!$F$9/1000)^2/4)*((Inputs!$F$9/1000/4)^(2/3))*SQRT(N164))</f>
        <v/>
      </c>
      <c r="AI164" s="9" t="str">
        <f aca="false">IF(A164="","",(1/Inputs!$B$9)*(PI()*(Inputs!$F$10/1000)^2/4)*((Inputs!$F$10/1000/4)^(2/3))*SQRT(N164))</f>
        <v/>
      </c>
      <c r="AJ164" s="9" t="str">
        <f aca="false">IF(A164="","",(1/Inputs!$B$9)*(PI()*(Inputs!$F$11/1000)^2/4)*((Inputs!$F$11/1000/4)^(2/3))*SQRT(N164))</f>
        <v/>
      </c>
      <c r="AK164" s="9" t="str">
        <f aca="false">IF(A164="","",(1/Inputs!$B$9)*(PI()*(Inputs!$F$12/1000)^2/4)*((Inputs!$F$12/1000/4)^(2/3))*SQRT(N164))</f>
        <v/>
      </c>
      <c r="AL164" s="9" t="str">
        <f aca="false">IF(A164="","",(1/Inputs!$B$9)*(PI()*(Inputs!$F$13/1000)^2/4)*((Inputs!$F$13/1000/4)^(2/3))*SQRT(N164))</f>
        <v/>
      </c>
      <c r="AM164" s="9" t="str">
        <f aca="false">IF(A164="","",(1/Inputs!$B$9)*(PI()*(Inputs!$F$14/1000)^2/4)*((Inputs!$F$14/1000/4)^(2/3))*SQRT(N164))</f>
        <v/>
      </c>
      <c r="AN164" s="9" t="str">
        <f aca="false">IF(A164="","",COUNTIF($B$4:$B$203,$A164))</f>
        <v/>
      </c>
      <c r="AO164" s="9" t="str">
        <f aca="false">IF(A164="","",IF(AN164=0,"START","CONTINUOUS"))</f>
        <v/>
      </c>
      <c r="AP164" s="13" t="str">
        <f aca="false">IF(A164="","",IF(H164="",Inputs!$B$18,H164))</f>
        <v/>
      </c>
      <c r="AQ164" s="13" t="str">
        <f aca="false">IF(A164="","",IFERROR(maxifs($AS$4:$AS$203,$B$4:$B$203,$A164),""))</f>
        <v/>
      </c>
      <c r="AR164" s="13" t="str">
        <f aca="false">IF(A164="","",IF(OR(C164="",Inputs!$B$23=""),"",C164/(Inputs!$B$23*60)))</f>
        <v/>
      </c>
      <c r="AS164" s="13" t="str">
        <f aca="false">IF(A164="","",IF(AN164=0,AP164+AR164,IF(AQ164="",AP164+AR164,AQ164+AR164)))</f>
        <v/>
      </c>
      <c r="AT164" s="13" t="str">
        <f aca="false">IF(A164="","",U164)</f>
        <v/>
      </c>
      <c r="AU164" s="13" t="str">
        <f aca="false">IF(OR(R164="",N164=""),"",(1/Inputs!$B$9)*((R164/4)^(2/3))*SQRT(N164))</f>
        <v/>
      </c>
      <c r="AV164" s="13" t="str">
        <f aca="false">IF(A164="","",IF(AND(AT164="",AU164="",AX164=""),"",IF(OR(UPPER(TRIM(Inputs!$B$24))="MANNING",UPPER(TRIM(Inputs!$B$24))="M"),AU164,IF(OR(UPPER(TRIM(Inputs!$B$24))="PARTIAL",UPPER(TRIM(Inputs!$B$24))="P"),AX164,IF(OR(UPPER(TRIM(Inputs!$B$24))="MAX",UPPER(TRIM(Inputs!$B$24))="X"),MAX(IF(AT164="",0,AT164),IF(AU164="",0,AU164),IF(AX164="",0,AX164)),AT164)))))</f>
        <v/>
      </c>
      <c r="AW164" s="13" t="str">
        <f aca="false">IF(AY164="","",CE164)</f>
        <v/>
      </c>
      <c r="AX164" s="13" t="str">
        <f aca="false">IF(OR(AY164="",AW164="",R164="",R164&lt;=0,AW164&lt;=0),"",AY164/((R164^2/8)*(2*ACOS(1-2*AW164/R164)-SIN(2*ACOS(1-2*AW164/R164)))))</f>
        <v/>
      </c>
      <c r="AY164" s="9" t="str">
        <f aca="false">IF(OR(L164="",AZ164=""),"",MIN(L164,AZ164))</f>
        <v/>
      </c>
      <c r="AZ164" s="9" t="str">
        <f aca="false">IF(OR(L164="",R164="",N164=""),"",IF(OR(R164="",N164="",(0.94*R164)="",R164&lt;=0,(0.94*R164)&lt;=0),"",(1/Inputs!$B$9)*((R164^2/8)*((2*ACOS(1-2*(0.94*R164)/R164))-SIN((2*ACOS(1-2*(0.94*R164)/R164)))))*((((R164^2/8)*((2*ACOS(1-2*(0.94*R164)/R164))-SIN((2*ACOS(1-2*(0.94*R164)/R164)))))/((R164/2)*((2*ACOS(1-2*(0.94*R164)/R164)))))^(2/3))*SQRT(N164)))</f>
        <v/>
      </c>
      <c r="BA164" s="9" t="str">
        <f aca="false">IF(AY164="","",0.001*R164)</f>
        <v/>
      </c>
      <c r="BB164" s="9" t="str">
        <f aca="false">IF(AY164="","",0.94*R164)</f>
        <v/>
      </c>
      <c r="BC164" s="9" t="str">
        <f aca="false">IF(AY164="","",(BA164+BB164)/2)</f>
        <v/>
      </c>
      <c r="BD164" s="9" t="str">
        <f aca="false">IF(OR(R164="",N164="",BC164="",R164&lt;=0,BC164&lt;=0),"",(1/Inputs!$B$9)*((R164^2/8)*((2*ACOS(1-2*BC164/R164))-SIN((2*ACOS(1-2*BC164/R164)))))*((((R164^2/8)*((2*ACOS(1-2*BC164/R164))-SIN((2*ACOS(1-2*BC164/R164)))))/((R164/2)*((2*ACOS(1-2*BC164/R164)))))^(2/3))*SQRT(N164))</f>
        <v/>
      </c>
      <c r="BE164" s="9" t="str">
        <f aca="false">IF(AY164="","",IF(BD164&lt;AY164,BC164,BA164))</f>
        <v/>
      </c>
      <c r="BF164" s="9" t="str">
        <f aca="false">IF(AY164="","",IF(BD164&lt;AY164,BB164,BC164))</f>
        <v/>
      </c>
      <c r="BG164" s="9" t="str">
        <f aca="false">IF(AY164="","",(BE164+BF164)/2)</f>
        <v/>
      </c>
      <c r="BH164" s="9" t="str">
        <f aca="false">IF(OR(R164="",N164="",BG164="",R164&lt;=0,BG164&lt;=0),"",(1/Inputs!$B$9)*((R164^2/8)*((2*ACOS(1-2*BG164/R164))-SIN((2*ACOS(1-2*BG164/R164)))))*((((R164^2/8)*((2*ACOS(1-2*BG164/R164))-SIN((2*ACOS(1-2*BG164/R164)))))/((R164/2)*((2*ACOS(1-2*BG164/R164)))))^(2/3))*SQRT(N164))</f>
        <v/>
      </c>
      <c r="BI164" s="9" t="str">
        <f aca="false">IF(AY164="","",IF(BH164&lt;AY164,BG164,BE164))</f>
        <v/>
      </c>
      <c r="BJ164" s="9" t="str">
        <f aca="false">IF(AY164="","",IF(BH164&lt;AY164,BF164,BG164))</f>
        <v/>
      </c>
      <c r="BK164" s="9" t="str">
        <f aca="false">IF(AY164="","",(BI164+BJ164)/2)</f>
        <v/>
      </c>
      <c r="BL164" s="9" t="str">
        <f aca="false">IF(OR(R164="",N164="",BK164="",R164&lt;=0,BK164&lt;=0),"",(1/Inputs!$B$9)*((R164^2/8)*((2*ACOS(1-2*BK164/R164))-SIN((2*ACOS(1-2*BK164/R164)))))*((((R164^2/8)*((2*ACOS(1-2*BK164/R164))-SIN((2*ACOS(1-2*BK164/R164)))))/((R164/2)*((2*ACOS(1-2*BK164/R164)))))^(2/3))*SQRT(N164))</f>
        <v/>
      </c>
      <c r="BM164" s="9" t="str">
        <f aca="false">IF(AY164="","",IF(BL164&lt;AY164,BK164,BI164))</f>
        <v/>
      </c>
      <c r="BN164" s="9" t="str">
        <f aca="false">IF(AY164="","",IF(BL164&lt;AY164,BJ164,BK164))</f>
        <v/>
      </c>
      <c r="BO164" s="9" t="str">
        <f aca="false">IF(AY164="","",(BM164+BN164)/2)</f>
        <v/>
      </c>
      <c r="BP164" s="9" t="str">
        <f aca="false">IF(OR(R164="",N164="",BO164="",R164&lt;=0,BO164&lt;=0),"",(1/Inputs!$B$9)*((R164^2/8)*((2*ACOS(1-2*BO164/R164))-SIN((2*ACOS(1-2*BO164/R164)))))*((((R164^2/8)*((2*ACOS(1-2*BO164/R164))-SIN((2*ACOS(1-2*BO164/R164)))))/((R164/2)*((2*ACOS(1-2*BO164/R164)))))^(2/3))*SQRT(N164))</f>
        <v/>
      </c>
      <c r="BQ164" s="9" t="str">
        <f aca="false">IF(AY164="","",IF(BP164&lt;AY164,BO164,BM164))</f>
        <v/>
      </c>
      <c r="BR164" s="9" t="str">
        <f aca="false">IF(AY164="","",IF(BP164&lt;AY164,BN164,BO164))</f>
        <v/>
      </c>
      <c r="BS164" s="9" t="str">
        <f aca="false">IF(AY164="","",(BQ164+BR164)/2)</f>
        <v/>
      </c>
      <c r="BT164" s="9" t="str">
        <f aca="false">IF(OR(R164="",N164="",BS164="",R164&lt;=0,BS164&lt;=0),"",(1/Inputs!$B$9)*((R164^2/8)*((2*ACOS(1-2*BS164/R164))-SIN((2*ACOS(1-2*BS164/R164)))))*((((R164^2/8)*((2*ACOS(1-2*BS164/R164))-SIN((2*ACOS(1-2*BS164/R164)))))/((R164/2)*((2*ACOS(1-2*BS164/R164)))))^(2/3))*SQRT(N164))</f>
        <v/>
      </c>
      <c r="BU164" s="9" t="str">
        <f aca="false">IF(AY164="","",IF(BT164&lt;AY164,BS164,BQ164))</f>
        <v/>
      </c>
      <c r="BV164" s="9" t="str">
        <f aca="false">IF(AY164="","",IF(BT164&lt;AY164,BR164,BS164))</f>
        <v/>
      </c>
      <c r="BW164" s="9" t="str">
        <f aca="false">IF(AY164="","",(BU164+BV164)/2)</f>
        <v/>
      </c>
      <c r="BX164" s="9" t="str">
        <f aca="false">IF(OR(R164="",N164="",BW164="",R164&lt;=0,BW164&lt;=0),"",(1/Inputs!$B$9)*((R164^2/8)*((2*ACOS(1-2*BW164/R164))-SIN((2*ACOS(1-2*BW164/R164)))))*((((R164^2/8)*((2*ACOS(1-2*BW164/R164))-SIN((2*ACOS(1-2*BW164/R164)))))/((R164/2)*((2*ACOS(1-2*BW164/R164)))))^(2/3))*SQRT(N164))</f>
        <v/>
      </c>
      <c r="BY164" s="9" t="str">
        <f aca="false">IF(AY164="","",IF(BX164&lt;AY164,BW164,BU164))</f>
        <v/>
      </c>
      <c r="BZ164" s="9" t="str">
        <f aca="false">IF(AY164="","",IF(BX164&lt;AY164,BV164,BW164))</f>
        <v/>
      </c>
      <c r="CA164" s="9" t="str">
        <f aca="false">IF(AY164="","",(BY164+BZ164)/2)</f>
        <v/>
      </c>
      <c r="CB164" s="9" t="str">
        <f aca="false">IF(OR(R164="",N164="",CA164="",R164&lt;=0,CA164&lt;=0),"",(1/Inputs!$B$9)*((R164^2/8)*((2*ACOS(1-2*CA164/R164))-SIN((2*ACOS(1-2*CA164/R164)))))*((((R164^2/8)*((2*ACOS(1-2*CA164/R164))-SIN((2*ACOS(1-2*CA164/R164)))))/((R164/2)*((2*ACOS(1-2*CA164/R164)))))^(2/3))*SQRT(N164))</f>
        <v/>
      </c>
      <c r="CC164" s="9" t="str">
        <f aca="false">IF(AY164="","",IF(CB164&lt;AY164,CA164,BY164))</f>
        <v/>
      </c>
      <c r="CD164" s="9" t="str">
        <f aca="false">IF(AY164="","",IF(CB164&lt;AY164,BZ164,CA164))</f>
        <v/>
      </c>
      <c r="CE164" s="9" t="str">
        <f aca="false">IF(AY164="","",(CC164+CD164)/2)</f>
        <v/>
      </c>
    </row>
    <row r="165" customFormat="false" ht="15" hidden="false" customHeight="false" outlineLevel="0" collapsed="false">
      <c r="A165" s="9"/>
      <c r="B165" s="9"/>
      <c r="C165" s="14"/>
      <c r="D165" s="14"/>
      <c r="E165" s="14" t="n">
        <f aca="false">SUMIFS(CB_Tributaires!$C:$C,CB_Tributaires!$B:$B,$A165)</f>
        <v>0</v>
      </c>
      <c r="F165" s="14" t="n">
        <f aca="false">IF(D165="",E165,D165)</f>
        <v>0</v>
      </c>
      <c r="G165" s="9"/>
      <c r="H165" s="14"/>
      <c r="I165" s="14" t="str">
        <f aca="false">IF(A165="","",Inputs!$B$13/((IF(AS165="",Inputs!$B$18,AS165)+Inputs!$B$14)^Inputs!$B$15))</f>
        <v/>
      </c>
      <c r="J165" s="14" t="str">
        <f aca="false">IF(A165="","",0.000000278*IF(G165="",Inputs!$B$17,G165)*F165*I165)</f>
        <v/>
      </c>
      <c r="K165" s="14" t="str">
        <f aca="false">IF(A165="","",SUMIFS($L$4:$L$203,$B$4:$B$203,$A165))</f>
        <v/>
      </c>
      <c r="L165" s="14" t="str">
        <f aca="false">IF(A165="","",(J165+K165)*Inputs!$B$16)</f>
        <v/>
      </c>
      <c r="M165" s="14"/>
      <c r="N165" s="14" t="str">
        <f aca="false">IF(A165="","",IF(M165="",Inputs!$B$7,M165))</f>
        <v/>
      </c>
      <c r="O165" s="9" t="str">
        <f aca="false">IF(A165="","",IF(L165/Inputs!$B$10&lt;=AD165,Inputs!$F$5,IF(L165/Inputs!$B$10&gt;AM165,"OVERSIZE",INDEX(Inputs!$F$5:$F$14,MATCH(L165/Inputs!$B$10,AD165:AM165,1)+1))))</f>
        <v/>
      </c>
      <c r="P165" s="9"/>
      <c r="Q165" s="9" t="str">
        <f aca="false">IF(A165="","",IF(P165="",O165,P165))</f>
        <v/>
      </c>
      <c r="R165" s="14" t="str">
        <f aca="false">IF(OR(Q165="",Q165="OVERSIZE"),"",Q165/1000)</f>
        <v/>
      </c>
      <c r="S165" s="14" t="str">
        <f aca="false">IF(R165="","",(1/Inputs!$B$9)*(PI()*R165^2/4)*((R165/4)^(2/3))*SQRT(N165))</f>
        <v/>
      </c>
      <c r="T165" s="14" t="str">
        <f aca="false">IF(OR(S165="",L165=""),"",L165/(S165*Inputs!$B$10))</f>
        <v/>
      </c>
      <c r="U165" s="14" t="str">
        <f aca="false">IF(OR(R165="",L165=""),"",4*L165/(PI()*R165^2))</f>
        <v/>
      </c>
      <c r="V165" s="14"/>
      <c r="W165" s="14" t="str">
        <f aca="false">IF(A165="","",IF(A165=Inputs!$B$6,Inputs!$B$22,IF(B165="","",IFERROR(INDEX($X$4:$X$203,MATCH(B165,$A$4:$A$203,0))+IF(V165="",Inputs!$B$20,V165),""))))</f>
        <v/>
      </c>
      <c r="X165" s="14" t="str">
        <f aca="false">IF(OR(W165="",N165="",C165=""),"",W165+N165*C165)</f>
        <v/>
      </c>
      <c r="Y165" s="14"/>
      <c r="Z165" s="14"/>
      <c r="AA165" s="14" t="str">
        <f aca="false">IF(OR(Y165="",W165=""),"",Y165-W165)</f>
        <v/>
      </c>
      <c r="AB165" s="14" t="str">
        <f aca="false">IF(OR(Z165="",X165=""),"",Z165-X165)</f>
        <v/>
      </c>
      <c r="AC165" s="19" t="str">
        <f aca="false">IF(A165="","",IF(OR(T165&gt;1,AND(AV165&lt;&gt;"",AV165&lt;Inputs!$B$11),AND(AV165&lt;&gt;"",AV165&gt;Inputs!$B$12),AA165&lt;Inputs!$B$19,AB165&lt;Inputs!$B$19,N165&lt;Inputs!$B$7,N165&gt;Inputs!$B$8),"CHECK","OK"))</f>
        <v/>
      </c>
      <c r="AD165" s="9" t="str">
        <f aca="false">IF(A165="","",(1/Inputs!$B$9)*(PI()*(Inputs!$F$5/1000)^2/4)*((Inputs!$F$5/1000/4)^(2/3))*SQRT(N165))</f>
        <v/>
      </c>
      <c r="AE165" s="9" t="str">
        <f aca="false">IF(A165="","",(1/Inputs!$B$9)*(PI()*(Inputs!$F$6/1000)^2/4)*((Inputs!$F$6/1000/4)^(2/3))*SQRT(N165))</f>
        <v/>
      </c>
      <c r="AF165" s="9" t="str">
        <f aca="false">IF(A165="","",(1/Inputs!$B$9)*(PI()*(Inputs!$F$7/1000)^2/4)*((Inputs!$F$7/1000/4)^(2/3))*SQRT(N165))</f>
        <v/>
      </c>
      <c r="AG165" s="9" t="str">
        <f aca="false">IF(A165="","",(1/Inputs!$B$9)*(PI()*(Inputs!$F$8/1000)^2/4)*((Inputs!$F$8/1000/4)^(2/3))*SQRT(N165))</f>
        <v/>
      </c>
      <c r="AH165" s="9" t="str">
        <f aca="false">IF(A165="","",(1/Inputs!$B$9)*(PI()*(Inputs!$F$9/1000)^2/4)*((Inputs!$F$9/1000/4)^(2/3))*SQRT(N165))</f>
        <v/>
      </c>
      <c r="AI165" s="9" t="str">
        <f aca="false">IF(A165="","",(1/Inputs!$B$9)*(PI()*(Inputs!$F$10/1000)^2/4)*((Inputs!$F$10/1000/4)^(2/3))*SQRT(N165))</f>
        <v/>
      </c>
      <c r="AJ165" s="9" t="str">
        <f aca="false">IF(A165="","",(1/Inputs!$B$9)*(PI()*(Inputs!$F$11/1000)^2/4)*((Inputs!$F$11/1000/4)^(2/3))*SQRT(N165))</f>
        <v/>
      </c>
      <c r="AK165" s="9" t="str">
        <f aca="false">IF(A165="","",(1/Inputs!$B$9)*(PI()*(Inputs!$F$12/1000)^2/4)*((Inputs!$F$12/1000/4)^(2/3))*SQRT(N165))</f>
        <v/>
      </c>
      <c r="AL165" s="9" t="str">
        <f aca="false">IF(A165="","",(1/Inputs!$B$9)*(PI()*(Inputs!$F$13/1000)^2/4)*((Inputs!$F$13/1000/4)^(2/3))*SQRT(N165))</f>
        <v/>
      </c>
      <c r="AM165" s="9" t="str">
        <f aca="false">IF(A165="","",(1/Inputs!$B$9)*(PI()*(Inputs!$F$14/1000)^2/4)*((Inputs!$F$14/1000/4)^(2/3))*SQRT(N165))</f>
        <v/>
      </c>
      <c r="AN165" s="9" t="str">
        <f aca="false">IF(A165="","",COUNTIF($B$4:$B$203,$A165))</f>
        <v/>
      </c>
      <c r="AO165" s="9" t="str">
        <f aca="false">IF(A165="","",IF(AN165=0,"START","CONTINUOUS"))</f>
        <v/>
      </c>
      <c r="AP165" s="13" t="str">
        <f aca="false">IF(A165="","",IF(H165="",Inputs!$B$18,H165))</f>
        <v/>
      </c>
      <c r="AQ165" s="13" t="str">
        <f aca="false">IF(A165="","",IFERROR(maxifs($AS$4:$AS$203,$B$4:$B$203,$A165),""))</f>
        <v/>
      </c>
      <c r="AR165" s="13" t="str">
        <f aca="false">IF(A165="","",IF(OR(C165="",Inputs!$B$23=""),"",C165/(Inputs!$B$23*60)))</f>
        <v/>
      </c>
      <c r="AS165" s="13" t="str">
        <f aca="false">IF(A165="","",IF(AN165=0,AP165+AR165,IF(AQ165="",AP165+AR165,AQ165+AR165)))</f>
        <v/>
      </c>
      <c r="AT165" s="13" t="str">
        <f aca="false">IF(A165="","",U165)</f>
        <v/>
      </c>
      <c r="AU165" s="13" t="str">
        <f aca="false">IF(OR(R165="",N165=""),"",(1/Inputs!$B$9)*((R165/4)^(2/3))*SQRT(N165))</f>
        <v/>
      </c>
      <c r="AV165" s="13" t="str">
        <f aca="false">IF(A165="","",IF(AND(AT165="",AU165="",AX165=""),"",IF(OR(UPPER(TRIM(Inputs!$B$24))="MANNING",UPPER(TRIM(Inputs!$B$24))="M"),AU165,IF(OR(UPPER(TRIM(Inputs!$B$24))="PARTIAL",UPPER(TRIM(Inputs!$B$24))="P"),AX165,IF(OR(UPPER(TRIM(Inputs!$B$24))="MAX",UPPER(TRIM(Inputs!$B$24))="X"),MAX(IF(AT165="",0,AT165),IF(AU165="",0,AU165),IF(AX165="",0,AX165)),AT165)))))</f>
        <v/>
      </c>
      <c r="AW165" s="13" t="str">
        <f aca="false">IF(AY165="","",CE165)</f>
        <v/>
      </c>
      <c r="AX165" s="13" t="str">
        <f aca="false">IF(OR(AY165="",AW165="",R165="",R165&lt;=0,AW165&lt;=0),"",AY165/((R165^2/8)*(2*ACOS(1-2*AW165/R165)-SIN(2*ACOS(1-2*AW165/R165)))))</f>
        <v/>
      </c>
      <c r="AY165" s="9" t="str">
        <f aca="false">IF(OR(L165="",AZ165=""),"",MIN(L165,AZ165))</f>
        <v/>
      </c>
      <c r="AZ165" s="9" t="str">
        <f aca="false">IF(OR(L165="",R165="",N165=""),"",IF(OR(R165="",N165="",(0.94*R165)="",R165&lt;=0,(0.94*R165)&lt;=0),"",(1/Inputs!$B$9)*((R165^2/8)*((2*ACOS(1-2*(0.94*R165)/R165))-SIN((2*ACOS(1-2*(0.94*R165)/R165)))))*((((R165^2/8)*((2*ACOS(1-2*(0.94*R165)/R165))-SIN((2*ACOS(1-2*(0.94*R165)/R165)))))/((R165/2)*((2*ACOS(1-2*(0.94*R165)/R165)))))^(2/3))*SQRT(N165)))</f>
        <v/>
      </c>
      <c r="BA165" s="9" t="str">
        <f aca="false">IF(AY165="","",0.001*R165)</f>
        <v/>
      </c>
      <c r="BB165" s="9" t="str">
        <f aca="false">IF(AY165="","",0.94*R165)</f>
        <v/>
      </c>
      <c r="BC165" s="9" t="str">
        <f aca="false">IF(AY165="","",(BA165+BB165)/2)</f>
        <v/>
      </c>
      <c r="BD165" s="9" t="str">
        <f aca="false">IF(OR(R165="",N165="",BC165="",R165&lt;=0,BC165&lt;=0),"",(1/Inputs!$B$9)*((R165^2/8)*((2*ACOS(1-2*BC165/R165))-SIN((2*ACOS(1-2*BC165/R165)))))*((((R165^2/8)*((2*ACOS(1-2*BC165/R165))-SIN((2*ACOS(1-2*BC165/R165)))))/((R165/2)*((2*ACOS(1-2*BC165/R165)))))^(2/3))*SQRT(N165))</f>
        <v/>
      </c>
      <c r="BE165" s="9" t="str">
        <f aca="false">IF(AY165="","",IF(BD165&lt;AY165,BC165,BA165))</f>
        <v/>
      </c>
      <c r="BF165" s="9" t="str">
        <f aca="false">IF(AY165="","",IF(BD165&lt;AY165,BB165,BC165))</f>
        <v/>
      </c>
      <c r="BG165" s="9" t="str">
        <f aca="false">IF(AY165="","",(BE165+BF165)/2)</f>
        <v/>
      </c>
      <c r="BH165" s="9" t="str">
        <f aca="false">IF(OR(R165="",N165="",BG165="",R165&lt;=0,BG165&lt;=0),"",(1/Inputs!$B$9)*((R165^2/8)*((2*ACOS(1-2*BG165/R165))-SIN((2*ACOS(1-2*BG165/R165)))))*((((R165^2/8)*((2*ACOS(1-2*BG165/R165))-SIN((2*ACOS(1-2*BG165/R165)))))/((R165/2)*((2*ACOS(1-2*BG165/R165)))))^(2/3))*SQRT(N165))</f>
        <v/>
      </c>
      <c r="BI165" s="9" t="str">
        <f aca="false">IF(AY165="","",IF(BH165&lt;AY165,BG165,BE165))</f>
        <v/>
      </c>
      <c r="BJ165" s="9" t="str">
        <f aca="false">IF(AY165="","",IF(BH165&lt;AY165,BF165,BG165))</f>
        <v/>
      </c>
      <c r="BK165" s="9" t="str">
        <f aca="false">IF(AY165="","",(BI165+BJ165)/2)</f>
        <v/>
      </c>
      <c r="BL165" s="9" t="str">
        <f aca="false">IF(OR(R165="",N165="",BK165="",R165&lt;=0,BK165&lt;=0),"",(1/Inputs!$B$9)*((R165^2/8)*((2*ACOS(1-2*BK165/R165))-SIN((2*ACOS(1-2*BK165/R165)))))*((((R165^2/8)*((2*ACOS(1-2*BK165/R165))-SIN((2*ACOS(1-2*BK165/R165)))))/((R165/2)*((2*ACOS(1-2*BK165/R165)))))^(2/3))*SQRT(N165))</f>
        <v/>
      </c>
      <c r="BM165" s="9" t="str">
        <f aca="false">IF(AY165="","",IF(BL165&lt;AY165,BK165,BI165))</f>
        <v/>
      </c>
      <c r="BN165" s="9" t="str">
        <f aca="false">IF(AY165="","",IF(BL165&lt;AY165,BJ165,BK165))</f>
        <v/>
      </c>
      <c r="BO165" s="9" t="str">
        <f aca="false">IF(AY165="","",(BM165+BN165)/2)</f>
        <v/>
      </c>
      <c r="BP165" s="9" t="str">
        <f aca="false">IF(OR(R165="",N165="",BO165="",R165&lt;=0,BO165&lt;=0),"",(1/Inputs!$B$9)*((R165^2/8)*((2*ACOS(1-2*BO165/R165))-SIN((2*ACOS(1-2*BO165/R165)))))*((((R165^2/8)*((2*ACOS(1-2*BO165/R165))-SIN((2*ACOS(1-2*BO165/R165)))))/((R165/2)*((2*ACOS(1-2*BO165/R165)))))^(2/3))*SQRT(N165))</f>
        <v/>
      </c>
      <c r="BQ165" s="9" t="str">
        <f aca="false">IF(AY165="","",IF(BP165&lt;AY165,BO165,BM165))</f>
        <v/>
      </c>
      <c r="BR165" s="9" t="str">
        <f aca="false">IF(AY165="","",IF(BP165&lt;AY165,BN165,BO165))</f>
        <v/>
      </c>
      <c r="BS165" s="9" t="str">
        <f aca="false">IF(AY165="","",(BQ165+BR165)/2)</f>
        <v/>
      </c>
      <c r="BT165" s="9" t="str">
        <f aca="false">IF(OR(R165="",N165="",BS165="",R165&lt;=0,BS165&lt;=0),"",(1/Inputs!$B$9)*((R165^2/8)*((2*ACOS(1-2*BS165/R165))-SIN((2*ACOS(1-2*BS165/R165)))))*((((R165^2/8)*((2*ACOS(1-2*BS165/R165))-SIN((2*ACOS(1-2*BS165/R165)))))/((R165/2)*((2*ACOS(1-2*BS165/R165)))))^(2/3))*SQRT(N165))</f>
        <v/>
      </c>
      <c r="BU165" s="9" t="str">
        <f aca="false">IF(AY165="","",IF(BT165&lt;AY165,BS165,BQ165))</f>
        <v/>
      </c>
      <c r="BV165" s="9" t="str">
        <f aca="false">IF(AY165="","",IF(BT165&lt;AY165,BR165,BS165))</f>
        <v/>
      </c>
      <c r="BW165" s="9" t="str">
        <f aca="false">IF(AY165="","",(BU165+BV165)/2)</f>
        <v/>
      </c>
      <c r="BX165" s="9" t="str">
        <f aca="false">IF(OR(R165="",N165="",BW165="",R165&lt;=0,BW165&lt;=0),"",(1/Inputs!$B$9)*((R165^2/8)*((2*ACOS(1-2*BW165/R165))-SIN((2*ACOS(1-2*BW165/R165)))))*((((R165^2/8)*((2*ACOS(1-2*BW165/R165))-SIN((2*ACOS(1-2*BW165/R165)))))/((R165/2)*((2*ACOS(1-2*BW165/R165)))))^(2/3))*SQRT(N165))</f>
        <v/>
      </c>
      <c r="BY165" s="9" t="str">
        <f aca="false">IF(AY165="","",IF(BX165&lt;AY165,BW165,BU165))</f>
        <v/>
      </c>
      <c r="BZ165" s="9" t="str">
        <f aca="false">IF(AY165="","",IF(BX165&lt;AY165,BV165,BW165))</f>
        <v/>
      </c>
      <c r="CA165" s="9" t="str">
        <f aca="false">IF(AY165="","",(BY165+BZ165)/2)</f>
        <v/>
      </c>
      <c r="CB165" s="9" t="str">
        <f aca="false">IF(OR(R165="",N165="",CA165="",R165&lt;=0,CA165&lt;=0),"",(1/Inputs!$B$9)*((R165^2/8)*((2*ACOS(1-2*CA165/R165))-SIN((2*ACOS(1-2*CA165/R165)))))*((((R165^2/8)*((2*ACOS(1-2*CA165/R165))-SIN((2*ACOS(1-2*CA165/R165)))))/((R165/2)*((2*ACOS(1-2*CA165/R165)))))^(2/3))*SQRT(N165))</f>
        <v/>
      </c>
      <c r="CC165" s="9" t="str">
        <f aca="false">IF(AY165="","",IF(CB165&lt;AY165,CA165,BY165))</f>
        <v/>
      </c>
      <c r="CD165" s="9" t="str">
        <f aca="false">IF(AY165="","",IF(CB165&lt;AY165,BZ165,CA165))</f>
        <v/>
      </c>
      <c r="CE165" s="9" t="str">
        <f aca="false">IF(AY165="","",(CC165+CD165)/2)</f>
        <v/>
      </c>
    </row>
    <row r="166" customFormat="false" ht="15" hidden="false" customHeight="false" outlineLevel="0" collapsed="false">
      <c r="A166" s="9"/>
      <c r="B166" s="9"/>
      <c r="C166" s="14"/>
      <c r="D166" s="14"/>
      <c r="E166" s="14" t="n">
        <f aca="false">SUMIFS(CB_Tributaires!$C:$C,CB_Tributaires!$B:$B,$A166)</f>
        <v>0</v>
      </c>
      <c r="F166" s="14" t="n">
        <f aca="false">IF(D166="",E166,D166)</f>
        <v>0</v>
      </c>
      <c r="G166" s="9"/>
      <c r="H166" s="14"/>
      <c r="I166" s="14" t="str">
        <f aca="false">IF(A166="","",Inputs!$B$13/((IF(AS166="",Inputs!$B$18,AS166)+Inputs!$B$14)^Inputs!$B$15))</f>
        <v/>
      </c>
      <c r="J166" s="14" t="str">
        <f aca="false">IF(A166="","",0.000000278*IF(G166="",Inputs!$B$17,G166)*F166*I166)</f>
        <v/>
      </c>
      <c r="K166" s="14" t="str">
        <f aca="false">IF(A166="","",SUMIFS($L$4:$L$203,$B$4:$B$203,$A166))</f>
        <v/>
      </c>
      <c r="L166" s="14" t="str">
        <f aca="false">IF(A166="","",(J166+K166)*Inputs!$B$16)</f>
        <v/>
      </c>
      <c r="M166" s="14"/>
      <c r="N166" s="14" t="str">
        <f aca="false">IF(A166="","",IF(M166="",Inputs!$B$7,M166))</f>
        <v/>
      </c>
      <c r="O166" s="9" t="str">
        <f aca="false">IF(A166="","",IF(L166/Inputs!$B$10&lt;=AD166,Inputs!$F$5,IF(L166/Inputs!$B$10&gt;AM166,"OVERSIZE",INDEX(Inputs!$F$5:$F$14,MATCH(L166/Inputs!$B$10,AD166:AM166,1)+1))))</f>
        <v/>
      </c>
      <c r="P166" s="9"/>
      <c r="Q166" s="9" t="str">
        <f aca="false">IF(A166="","",IF(P166="",O166,P166))</f>
        <v/>
      </c>
      <c r="R166" s="14" t="str">
        <f aca="false">IF(OR(Q166="",Q166="OVERSIZE"),"",Q166/1000)</f>
        <v/>
      </c>
      <c r="S166" s="14" t="str">
        <f aca="false">IF(R166="","",(1/Inputs!$B$9)*(PI()*R166^2/4)*((R166/4)^(2/3))*SQRT(N166))</f>
        <v/>
      </c>
      <c r="T166" s="14" t="str">
        <f aca="false">IF(OR(S166="",L166=""),"",L166/(S166*Inputs!$B$10))</f>
        <v/>
      </c>
      <c r="U166" s="14" t="str">
        <f aca="false">IF(OR(R166="",L166=""),"",4*L166/(PI()*R166^2))</f>
        <v/>
      </c>
      <c r="V166" s="14"/>
      <c r="W166" s="14" t="str">
        <f aca="false">IF(A166="","",IF(A166=Inputs!$B$6,Inputs!$B$22,IF(B166="","",IFERROR(INDEX($X$4:$X$203,MATCH(B166,$A$4:$A$203,0))+IF(V166="",Inputs!$B$20,V166),""))))</f>
        <v/>
      </c>
      <c r="X166" s="14" t="str">
        <f aca="false">IF(OR(W166="",N166="",C166=""),"",W166+N166*C166)</f>
        <v/>
      </c>
      <c r="Y166" s="14"/>
      <c r="Z166" s="14"/>
      <c r="AA166" s="14" t="str">
        <f aca="false">IF(OR(Y166="",W166=""),"",Y166-W166)</f>
        <v/>
      </c>
      <c r="AB166" s="14" t="str">
        <f aca="false">IF(OR(Z166="",X166=""),"",Z166-X166)</f>
        <v/>
      </c>
      <c r="AC166" s="19" t="str">
        <f aca="false">IF(A166="","",IF(OR(T166&gt;1,AND(AV166&lt;&gt;"",AV166&lt;Inputs!$B$11),AND(AV166&lt;&gt;"",AV166&gt;Inputs!$B$12),AA166&lt;Inputs!$B$19,AB166&lt;Inputs!$B$19,N166&lt;Inputs!$B$7,N166&gt;Inputs!$B$8),"CHECK","OK"))</f>
        <v/>
      </c>
      <c r="AD166" s="9" t="str">
        <f aca="false">IF(A166="","",(1/Inputs!$B$9)*(PI()*(Inputs!$F$5/1000)^2/4)*((Inputs!$F$5/1000/4)^(2/3))*SQRT(N166))</f>
        <v/>
      </c>
      <c r="AE166" s="9" t="str">
        <f aca="false">IF(A166="","",(1/Inputs!$B$9)*(PI()*(Inputs!$F$6/1000)^2/4)*((Inputs!$F$6/1000/4)^(2/3))*SQRT(N166))</f>
        <v/>
      </c>
      <c r="AF166" s="9" t="str">
        <f aca="false">IF(A166="","",(1/Inputs!$B$9)*(PI()*(Inputs!$F$7/1000)^2/4)*((Inputs!$F$7/1000/4)^(2/3))*SQRT(N166))</f>
        <v/>
      </c>
      <c r="AG166" s="9" t="str">
        <f aca="false">IF(A166="","",(1/Inputs!$B$9)*(PI()*(Inputs!$F$8/1000)^2/4)*((Inputs!$F$8/1000/4)^(2/3))*SQRT(N166))</f>
        <v/>
      </c>
      <c r="AH166" s="9" t="str">
        <f aca="false">IF(A166="","",(1/Inputs!$B$9)*(PI()*(Inputs!$F$9/1000)^2/4)*((Inputs!$F$9/1000/4)^(2/3))*SQRT(N166))</f>
        <v/>
      </c>
      <c r="AI166" s="9" t="str">
        <f aca="false">IF(A166="","",(1/Inputs!$B$9)*(PI()*(Inputs!$F$10/1000)^2/4)*((Inputs!$F$10/1000/4)^(2/3))*SQRT(N166))</f>
        <v/>
      </c>
      <c r="AJ166" s="9" t="str">
        <f aca="false">IF(A166="","",(1/Inputs!$B$9)*(PI()*(Inputs!$F$11/1000)^2/4)*((Inputs!$F$11/1000/4)^(2/3))*SQRT(N166))</f>
        <v/>
      </c>
      <c r="AK166" s="9" t="str">
        <f aca="false">IF(A166="","",(1/Inputs!$B$9)*(PI()*(Inputs!$F$12/1000)^2/4)*((Inputs!$F$12/1000/4)^(2/3))*SQRT(N166))</f>
        <v/>
      </c>
      <c r="AL166" s="9" t="str">
        <f aca="false">IF(A166="","",(1/Inputs!$B$9)*(PI()*(Inputs!$F$13/1000)^2/4)*((Inputs!$F$13/1000/4)^(2/3))*SQRT(N166))</f>
        <v/>
      </c>
      <c r="AM166" s="9" t="str">
        <f aca="false">IF(A166="","",(1/Inputs!$B$9)*(PI()*(Inputs!$F$14/1000)^2/4)*((Inputs!$F$14/1000/4)^(2/3))*SQRT(N166))</f>
        <v/>
      </c>
      <c r="AN166" s="9" t="str">
        <f aca="false">IF(A166="","",COUNTIF($B$4:$B$203,$A166))</f>
        <v/>
      </c>
      <c r="AO166" s="9" t="str">
        <f aca="false">IF(A166="","",IF(AN166=0,"START","CONTINUOUS"))</f>
        <v/>
      </c>
      <c r="AP166" s="13" t="str">
        <f aca="false">IF(A166="","",IF(H166="",Inputs!$B$18,H166))</f>
        <v/>
      </c>
      <c r="AQ166" s="13" t="str">
        <f aca="false">IF(A166="","",IFERROR(maxifs($AS$4:$AS$203,$B$4:$B$203,$A166),""))</f>
        <v/>
      </c>
      <c r="AR166" s="13" t="str">
        <f aca="false">IF(A166="","",IF(OR(C166="",Inputs!$B$23=""),"",C166/(Inputs!$B$23*60)))</f>
        <v/>
      </c>
      <c r="AS166" s="13" t="str">
        <f aca="false">IF(A166="","",IF(AN166=0,AP166+AR166,IF(AQ166="",AP166+AR166,AQ166+AR166)))</f>
        <v/>
      </c>
      <c r="AT166" s="13" t="str">
        <f aca="false">IF(A166="","",U166)</f>
        <v/>
      </c>
      <c r="AU166" s="13" t="str">
        <f aca="false">IF(OR(R166="",N166=""),"",(1/Inputs!$B$9)*((R166/4)^(2/3))*SQRT(N166))</f>
        <v/>
      </c>
      <c r="AV166" s="13" t="str">
        <f aca="false">IF(A166="","",IF(AND(AT166="",AU166="",AX166=""),"",IF(OR(UPPER(TRIM(Inputs!$B$24))="MANNING",UPPER(TRIM(Inputs!$B$24))="M"),AU166,IF(OR(UPPER(TRIM(Inputs!$B$24))="PARTIAL",UPPER(TRIM(Inputs!$B$24))="P"),AX166,IF(OR(UPPER(TRIM(Inputs!$B$24))="MAX",UPPER(TRIM(Inputs!$B$24))="X"),MAX(IF(AT166="",0,AT166),IF(AU166="",0,AU166),IF(AX166="",0,AX166)),AT166)))))</f>
        <v/>
      </c>
      <c r="AW166" s="13" t="str">
        <f aca="false">IF(AY166="","",CE166)</f>
        <v/>
      </c>
      <c r="AX166" s="13" t="str">
        <f aca="false">IF(OR(AY166="",AW166="",R166="",R166&lt;=0,AW166&lt;=0),"",AY166/((R166^2/8)*(2*ACOS(1-2*AW166/R166)-SIN(2*ACOS(1-2*AW166/R166)))))</f>
        <v/>
      </c>
      <c r="AY166" s="9" t="str">
        <f aca="false">IF(OR(L166="",AZ166=""),"",MIN(L166,AZ166))</f>
        <v/>
      </c>
      <c r="AZ166" s="9" t="str">
        <f aca="false">IF(OR(L166="",R166="",N166=""),"",IF(OR(R166="",N166="",(0.94*R166)="",R166&lt;=0,(0.94*R166)&lt;=0),"",(1/Inputs!$B$9)*((R166^2/8)*((2*ACOS(1-2*(0.94*R166)/R166))-SIN((2*ACOS(1-2*(0.94*R166)/R166)))))*((((R166^2/8)*((2*ACOS(1-2*(0.94*R166)/R166))-SIN((2*ACOS(1-2*(0.94*R166)/R166)))))/((R166/2)*((2*ACOS(1-2*(0.94*R166)/R166)))))^(2/3))*SQRT(N166)))</f>
        <v/>
      </c>
      <c r="BA166" s="9" t="str">
        <f aca="false">IF(AY166="","",0.001*R166)</f>
        <v/>
      </c>
      <c r="BB166" s="9" t="str">
        <f aca="false">IF(AY166="","",0.94*R166)</f>
        <v/>
      </c>
      <c r="BC166" s="9" t="str">
        <f aca="false">IF(AY166="","",(BA166+BB166)/2)</f>
        <v/>
      </c>
      <c r="BD166" s="9" t="str">
        <f aca="false">IF(OR(R166="",N166="",BC166="",R166&lt;=0,BC166&lt;=0),"",(1/Inputs!$B$9)*((R166^2/8)*((2*ACOS(1-2*BC166/R166))-SIN((2*ACOS(1-2*BC166/R166)))))*((((R166^2/8)*((2*ACOS(1-2*BC166/R166))-SIN((2*ACOS(1-2*BC166/R166)))))/((R166/2)*((2*ACOS(1-2*BC166/R166)))))^(2/3))*SQRT(N166))</f>
        <v/>
      </c>
      <c r="BE166" s="9" t="str">
        <f aca="false">IF(AY166="","",IF(BD166&lt;AY166,BC166,BA166))</f>
        <v/>
      </c>
      <c r="BF166" s="9" t="str">
        <f aca="false">IF(AY166="","",IF(BD166&lt;AY166,BB166,BC166))</f>
        <v/>
      </c>
      <c r="BG166" s="9" t="str">
        <f aca="false">IF(AY166="","",(BE166+BF166)/2)</f>
        <v/>
      </c>
      <c r="BH166" s="9" t="str">
        <f aca="false">IF(OR(R166="",N166="",BG166="",R166&lt;=0,BG166&lt;=0),"",(1/Inputs!$B$9)*((R166^2/8)*((2*ACOS(1-2*BG166/R166))-SIN((2*ACOS(1-2*BG166/R166)))))*((((R166^2/8)*((2*ACOS(1-2*BG166/R166))-SIN((2*ACOS(1-2*BG166/R166)))))/((R166/2)*((2*ACOS(1-2*BG166/R166)))))^(2/3))*SQRT(N166))</f>
        <v/>
      </c>
      <c r="BI166" s="9" t="str">
        <f aca="false">IF(AY166="","",IF(BH166&lt;AY166,BG166,BE166))</f>
        <v/>
      </c>
      <c r="BJ166" s="9" t="str">
        <f aca="false">IF(AY166="","",IF(BH166&lt;AY166,BF166,BG166))</f>
        <v/>
      </c>
      <c r="BK166" s="9" t="str">
        <f aca="false">IF(AY166="","",(BI166+BJ166)/2)</f>
        <v/>
      </c>
      <c r="BL166" s="9" t="str">
        <f aca="false">IF(OR(R166="",N166="",BK166="",R166&lt;=0,BK166&lt;=0),"",(1/Inputs!$B$9)*((R166^2/8)*((2*ACOS(1-2*BK166/R166))-SIN((2*ACOS(1-2*BK166/R166)))))*((((R166^2/8)*((2*ACOS(1-2*BK166/R166))-SIN((2*ACOS(1-2*BK166/R166)))))/((R166/2)*((2*ACOS(1-2*BK166/R166)))))^(2/3))*SQRT(N166))</f>
        <v/>
      </c>
      <c r="BM166" s="9" t="str">
        <f aca="false">IF(AY166="","",IF(BL166&lt;AY166,BK166,BI166))</f>
        <v/>
      </c>
      <c r="BN166" s="9" t="str">
        <f aca="false">IF(AY166="","",IF(BL166&lt;AY166,BJ166,BK166))</f>
        <v/>
      </c>
      <c r="BO166" s="9" t="str">
        <f aca="false">IF(AY166="","",(BM166+BN166)/2)</f>
        <v/>
      </c>
      <c r="BP166" s="9" t="str">
        <f aca="false">IF(OR(R166="",N166="",BO166="",R166&lt;=0,BO166&lt;=0),"",(1/Inputs!$B$9)*((R166^2/8)*((2*ACOS(1-2*BO166/R166))-SIN((2*ACOS(1-2*BO166/R166)))))*((((R166^2/8)*((2*ACOS(1-2*BO166/R166))-SIN((2*ACOS(1-2*BO166/R166)))))/((R166/2)*((2*ACOS(1-2*BO166/R166)))))^(2/3))*SQRT(N166))</f>
        <v/>
      </c>
      <c r="BQ166" s="9" t="str">
        <f aca="false">IF(AY166="","",IF(BP166&lt;AY166,BO166,BM166))</f>
        <v/>
      </c>
      <c r="BR166" s="9" t="str">
        <f aca="false">IF(AY166="","",IF(BP166&lt;AY166,BN166,BO166))</f>
        <v/>
      </c>
      <c r="BS166" s="9" t="str">
        <f aca="false">IF(AY166="","",(BQ166+BR166)/2)</f>
        <v/>
      </c>
      <c r="BT166" s="9" t="str">
        <f aca="false">IF(OR(R166="",N166="",BS166="",R166&lt;=0,BS166&lt;=0),"",(1/Inputs!$B$9)*((R166^2/8)*((2*ACOS(1-2*BS166/R166))-SIN((2*ACOS(1-2*BS166/R166)))))*((((R166^2/8)*((2*ACOS(1-2*BS166/R166))-SIN((2*ACOS(1-2*BS166/R166)))))/((R166/2)*((2*ACOS(1-2*BS166/R166)))))^(2/3))*SQRT(N166))</f>
        <v/>
      </c>
      <c r="BU166" s="9" t="str">
        <f aca="false">IF(AY166="","",IF(BT166&lt;AY166,BS166,BQ166))</f>
        <v/>
      </c>
      <c r="BV166" s="9" t="str">
        <f aca="false">IF(AY166="","",IF(BT166&lt;AY166,BR166,BS166))</f>
        <v/>
      </c>
      <c r="BW166" s="9" t="str">
        <f aca="false">IF(AY166="","",(BU166+BV166)/2)</f>
        <v/>
      </c>
      <c r="BX166" s="9" t="str">
        <f aca="false">IF(OR(R166="",N166="",BW166="",R166&lt;=0,BW166&lt;=0),"",(1/Inputs!$B$9)*((R166^2/8)*((2*ACOS(1-2*BW166/R166))-SIN((2*ACOS(1-2*BW166/R166)))))*((((R166^2/8)*((2*ACOS(1-2*BW166/R166))-SIN((2*ACOS(1-2*BW166/R166)))))/((R166/2)*((2*ACOS(1-2*BW166/R166)))))^(2/3))*SQRT(N166))</f>
        <v/>
      </c>
      <c r="BY166" s="9" t="str">
        <f aca="false">IF(AY166="","",IF(BX166&lt;AY166,BW166,BU166))</f>
        <v/>
      </c>
      <c r="BZ166" s="9" t="str">
        <f aca="false">IF(AY166="","",IF(BX166&lt;AY166,BV166,BW166))</f>
        <v/>
      </c>
      <c r="CA166" s="9" t="str">
        <f aca="false">IF(AY166="","",(BY166+BZ166)/2)</f>
        <v/>
      </c>
      <c r="CB166" s="9" t="str">
        <f aca="false">IF(OR(R166="",N166="",CA166="",R166&lt;=0,CA166&lt;=0),"",(1/Inputs!$B$9)*((R166^2/8)*((2*ACOS(1-2*CA166/R166))-SIN((2*ACOS(1-2*CA166/R166)))))*((((R166^2/8)*((2*ACOS(1-2*CA166/R166))-SIN((2*ACOS(1-2*CA166/R166)))))/((R166/2)*((2*ACOS(1-2*CA166/R166)))))^(2/3))*SQRT(N166))</f>
        <v/>
      </c>
      <c r="CC166" s="9" t="str">
        <f aca="false">IF(AY166="","",IF(CB166&lt;AY166,CA166,BY166))</f>
        <v/>
      </c>
      <c r="CD166" s="9" t="str">
        <f aca="false">IF(AY166="","",IF(CB166&lt;AY166,BZ166,CA166))</f>
        <v/>
      </c>
      <c r="CE166" s="9" t="str">
        <f aca="false">IF(AY166="","",(CC166+CD166)/2)</f>
        <v/>
      </c>
    </row>
    <row r="167" customFormat="false" ht="15" hidden="false" customHeight="false" outlineLevel="0" collapsed="false">
      <c r="A167" s="9"/>
      <c r="B167" s="9"/>
      <c r="C167" s="14"/>
      <c r="D167" s="14"/>
      <c r="E167" s="14" t="n">
        <f aca="false">SUMIFS(CB_Tributaires!$C:$C,CB_Tributaires!$B:$B,$A167)</f>
        <v>0</v>
      </c>
      <c r="F167" s="14" t="n">
        <f aca="false">IF(D167="",E167,D167)</f>
        <v>0</v>
      </c>
      <c r="G167" s="9"/>
      <c r="H167" s="14"/>
      <c r="I167" s="14" t="str">
        <f aca="false">IF(A167="","",Inputs!$B$13/((IF(AS167="",Inputs!$B$18,AS167)+Inputs!$B$14)^Inputs!$B$15))</f>
        <v/>
      </c>
      <c r="J167" s="14" t="str">
        <f aca="false">IF(A167="","",0.000000278*IF(G167="",Inputs!$B$17,G167)*F167*I167)</f>
        <v/>
      </c>
      <c r="K167" s="14" t="str">
        <f aca="false">IF(A167="","",SUMIFS($L$4:$L$203,$B$4:$B$203,$A167))</f>
        <v/>
      </c>
      <c r="L167" s="14" t="str">
        <f aca="false">IF(A167="","",(J167+K167)*Inputs!$B$16)</f>
        <v/>
      </c>
      <c r="M167" s="14"/>
      <c r="N167" s="14" t="str">
        <f aca="false">IF(A167="","",IF(M167="",Inputs!$B$7,M167))</f>
        <v/>
      </c>
      <c r="O167" s="9" t="str">
        <f aca="false">IF(A167="","",IF(L167/Inputs!$B$10&lt;=AD167,Inputs!$F$5,IF(L167/Inputs!$B$10&gt;AM167,"OVERSIZE",INDEX(Inputs!$F$5:$F$14,MATCH(L167/Inputs!$B$10,AD167:AM167,1)+1))))</f>
        <v/>
      </c>
      <c r="P167" s="9"/>
      <c r="Q167" s="9" t="str">
        <f aca="false">IF(A167="","",IF(P167="",O167,P167))</f>
        <v/>
      </c>
      <c r="R167" s="14" t="str">
        <f aca="false">IF(OR(Q167="",Q167="OVERSIZE"),"",Q167/1000)</f>
        <v/>
      </c>
      <c r="S167" s="14" t="str">
        <f aca="false">IF(R167="","",(1/Inputs!$B$9)*(PI()*R167^2/4)*((R167/4)^(2/3))*SQRT(N167))</f>
        <v/>
      </c>
      <c r="T167" s="14" t="str">
        <f aca="false">IF(OR(S167="",L167=""),"",L167/(S167*Inputs!$B$10))</f>
        <v/>
      </c>
      <c r="U167" s="14" t="str">
        <f aca="false">IF(OR(R167="",L167=""),"",4*L167/(PI()*R167^2))</f>
        <v/>
      </c>
      <c r="V167" s="14"/>
      <c r="W167" s="14" t="str">
        <f aca="false">IF(A167="","",IF(A167=Inputs!$B$6,Inputs!$B$22,IF(B167="","",IFERROR(INDEX($X$4:$X$203,MATCH(B167,$A$4:$A$203,0))+IF(V167="",Inputs!$B$20,V167),""))))</f>
        <v/>
      </c>
      <c r="X167" s="14" t="str">
        <f aca="false">IF(OR(W167="",N167="",C167=""),"",W167+N167*C167)</f>
        <v/>
      </c>
      <c r="Y167" s="14"/>
      <c r="Z167" s="14"/>
      <c r="AA167" s="14" t="str">
        <f aca="false">IF(OR(Y167="",W167=""),"",Y167-W167)</f>
        <v/>
      </c>
      <c r="AB167" s="14" t="str">
        <f aca="false">IF(OR(Z167="",X167=""),"",Z167-X167)</f>
        <v/>
      </c>
      <c r="AC167" s="19" t="str">
        <f aca="false">IF(A167="","",IF(OR(T167&gt;1,AND(AV167&lt;&gt;"",AV167&lt;Inputs!$B$11),AND(AV167&lt;&gt;"",AV167&gt;Inputs!$B$12),AA167&lt;Inputs!$B$19,AB167&lt;Inputs!$B$19,N167&lt;Inputs!$B$7,N167&gt;Inputs!$B$8),"CHECK","OK"))</f>
        <v/>
      </c>
      <c r="AD167" s="9" t="str">
        <f aca="false">IF(A167="","",(1/Inputs!$B$9)*(PI()*(Inputs!$F$5/1000)^2/4)*((Inputs!$F$5/1000/4)^(2/3))*SQRT(N167))</f>
        <v/>
      </c>
      <c r="AE167" s="9" t="str">
        <f aca="false">IF(A167="","",(1/Inputs!$B$9)*(PI()*(Inputs!$F$6/1000)^2/4)*((Inputs!$F$6/1000/4)^(2/3))*SQRT(N167))</f>
        <v/>
      </c>
      <c r="AF167" s="9" t="str">
        <f aca="false">IF(A167="","",(1/Inputs!$B$9)*(PI()*(Inputs!$F$7/1000)^2/4)*((Inputs!$F$7/1000/4)^(2/3))*SQRT(N167))</f>
        <v/>
      </c>
      <c r="AG167" s="9" t="str">
        <f aca="false">IF(A167="","",(1/Inputs!$B$9)*(PI()*(Inputs!$F$8/1000)^2/4)*((Inputs!$F$8/1000/4)^(2/3))*SQRT(N167))</f>
        <v/>
      </c>
      <c r="AH167" s="9" t="str">
        <f aca="false">IF(A167="","",(1/Inputs!$B$9)*(PI()*(Inputs!$F$9/1000)^2/4)*((Inputs!$F$9/1000/4)^(2/3))*SQRT(N167))</f>
        <v/>
      </c>
      <c r="AI167" s="9" t="str">
        <f aca="false">IF(A167="","",(1/Inputs!$B$9)*(PI()*(Inputs!$F$10/1000)^2/4)*((Inputs!$F$10/1000/4)^(2/3))*SQRT(N167))</f>
        <v/>
      </c>
      <c r="AJ167" s="9" t="str">
        <f aca="false">IF(A167="","",(1/Inputs!$B$9)*(PI()*(Inputs!$F$11/1000)^2/4)*((Inputs!$F$11/1000/4)^(2/3))*SQRT(N167))</f>
        <v/>
      </c>
      <c r="AK167" s="9" t="str">
        <f aca="false">IF(A167="","",(1/Inputs!$B$9)*(PI()*(Inputs!$F$12/1000)^2/4)*((Inputs!$F$12/1000/4)^(2/3))*SQRT(N167))</f>
        <v/>
      </c>
      <c r="AL167" s="9" t="str">
        <f aca="false">IF(A167="","",(1/Inputs!$B$9)*(PI()*(Inputs!$F$13/1000)^2/4)*((Inputs!$F$13/1000/4)^(2/3))*SQRT(N167))</f>
        <v/>
      </c>
      <c r="AM167" s="9" t="str">
        <f aca="false">IF(A167="","",(1/Inputs!$B$9)*(PI()*(Inputs!$F$14/1000)^2/4)*((Inputs!$F$14/1000/4)^(2/3))*SQRT(N167))</f>
        <v/>
      </c>
      <c r="AN167" s="9" t="str">
        <f aca="false">IF(A167="","",COUNTIF($B$4:$B$203,$A167))</f>
        <v/>
      </c>
      <c r="AO167" s="9" t="str">
        <f aca="false">IF(A167="","",IF(AN167=0,"START","CONTINUOUS"))</f>
        <v/>
      </c>
      <c r="AP167" s="13" t="str">
        <f aca="false">IF(A167="","",IF(H167="",Inputs!$B$18,H167))</f>
        <v/>
      </c>
      <c r="AQ167" s="13" t="str">
        <f aca="false">IF(A167="","",IFERROR(maxifs($AS$4:$AS$203,$B$4:$B$203,$A167),""))</f>
        <v/>
      </c>
      <c r="AR167" s="13" t="str">
        <f aca="false">IF(A167="","",IF(OR(C167="",Inputs!$B$23=""),"",C167/(Inputs!$B$23*60)))</f>
        <v/>
      </c>
      <c r="AS167" s="13" t="str">
        <f aca="false">IF(A167="","",IF(AN167=0,AP167+AR167,IF(AQ167="",AP167+AR167,AQ167+AR167)))</f>
        <v/>
      </c>
      <c r="AT167" s="13" t="str">
        <f aca="false">IF(A167="","",U167)</f>
        <v/>
      </c>
      <c r="AU167" s="13" t="str">
        <f aca="false">IF(OR(R167="",N167=""),"",(1/Inputs!$B$9)*((R167/4)^(2/3))*SQRT(N167))</f>
        <v/>
      </c>
      <c r="AV167" s="13" t="str">
        <f aca="false">IF(A167="","",IF(AND(AT167="",AU167="",AX167=""),"",IF(OR(UPPER(TRIM(Inputs!$B$24))="MANNING",UPPER(TRIM(Inputs!$B$24))="M"),AU167,IF(OR(UPPER(TRIM(Inputs!$B$24))="PARTIAL",UPPER(TRIM(Inputs!$B$24))="P"),AX167,IF(OR(UPPER(TRIM(Inputs!$B$24))="MAX",UPPER(TRIM(Inputs!$B$24))="X"),MAX(IF(AT167="",0,AT167),IF(AU167="",0,AU167),IF(AX167="",0,AX167)),AT167)))))</f>
        <v/>
      </c>
      <c r="AW167" s="13" t="str">
        <f aca="false">IF(AY167="","",CE167)</f>
        <v/>
      </c>
      <c r="AX167" s="13" t="str">
        <f aca="false">IF(OR(AY167="",AW167="",R167="",R167&lt;=0,AW167&lt;=0),"",AY167/((R167^2/8)*(2*ACOS(1-2*AW167/R167)-SIN(2*ACOS(1-2*AW167/R167)))))</f>
        <v/>
      </c>
      <c r="AY167" s="9" t="str">
        <f aca="false">IF(OR(L167="",AZ167=""),"",MIN(L167,AZ167))</f>
        <v/>
      </c>
      <c r="AZ167" s="9" t="str">
        <f aca="false">IF(OR(L167="",R167="",N167=""),"",IF(OR(R167="",N167="",(0.94*R167)="",R167&lt;=0,(0.94*R167)&lt;=0),"",(1/Inputs!$B$9)*((R167^2/8)*((2*ACOS(1-2*(0.94*R167)/R167))-SIN((2*ACOS(1-2*(0.94*R167)/R167)))))*((((R167^2/8)*((2*ACOS(1-2*(0.94*R167)/R167))-SIN((2*ACOS(1-2*(0.94*R167)/R167)))))/((R167/2)*((2*ACOS(1-2*(0.94*R167)/R167)))))^(2/3))*SQRT(N167)))</f>
        <v/>
      </c>
      <c r="BA167" s="9" t="str">
        <f aca="false">IF(AY167="","",0.001*R167)</f>
        <v/>
      </c>
      <c r="BB167" s="9" t="str">
        <f aca="false">IF(AY167="","",0.94*R167)</f>
        <v/>
      </c>
      <c r="BC167" s="9" t="str">
        <f aca="false">IF(AY167="","",(BA167+BB167)/2)</f>
        <v/>
      </c>
      <c r="BD167" s="9" t="str">
        <f aca="false">IF(OR(R167="",N167="",BC167="",R167&lt;=0,BC167&lt;=0),"",(1/Inputs!$B$9)*((R167^2/8)*((2*ACOS(1-2*BC167/R167))-SIN((2*ACOS(1-2*BC167/R167)))))*((((R167^2/8)*((2*ACOS(1-2*BC167/R167))-SIN((2*ACOS(1-2*BC167/R167)))))/((R167/2)*((2*ACOS(1-2*BC167/R167)))))^(2/3))*SQRT(N167))</f>
        <v/>
      </c>
      <c r="BE167" s="9" t="str">
        <f aca="false">IF(AY167="","",IF(BD167&lt;AY167,BC167,BA167))</f>
        <v/>
      </c>
      <c r="BF167" s="9" t="str">
        <f aca="false">IF(AY167="","",IF(BD167&lt;AY167,BB167,BC167))</f>
        <v/>
      </c>
      <c r="BG167" s="9" t="str">
        <f aca="false">IF(AY167="","",(BE167+BF167)/2)</f>
        <v/>
      </c>
      <c r="BH167" s="9" t="str">
        <f aca="false">IF(OR(R167="",N167="",BG167="",R167&lt;=0,BG167&lt;=0),"",(1/Inputs!$B$9)*((R167^2/8)*((2*ACOS(1-2*BG167/R167))-SIN((2*ACOS(1-2*BG167/R167)))))*((((R167^2/8)*((2*ACOS(1-2*BG167/R167))-SIN((2*ACOS(1-2*BG167/R167)))))/((R167/2)*((2*ACOS(1-2*BG167/R167)))))^(2/3))*SQRT(N167))</f>
        <v/>
      </c>
      <c r="BI167" s="9" t="str">
        <f aca="false">IF(AY167="","",IF(BH167&lt;AY167,BG167,BE167))</f>
        <v/>
      </c>
      <c r="BJ167" s="9" t="str">
        <f aca="false">IF(AY167="","",IF(BH167&lt;AY167,BF167,BG167))</f>
        <v/>
      </c>
      <c r="BK167" s="9" t="str">
        <f aca="false">IF(AY167="","",(BI167+BJ167)/2)</f>
        <v/>
      </c>
      <c r="BL167" s="9" t="str">
        <f aca="false">IF(OR(R167="",N167="",BK167="",R167&lt;=0,BK167&lt;=0),"",(1/Inputs!$B$9)*((R167^2/8)*((2*ACOS(1-2*BK167/R167))-SIN((2*ACOS(1-2*BK167/R167)))))*((((R167^2/8)*((2*ACOS(1-2*BK167/R167))-SIN((2*ACOS(1-2*BK167/R167)))))/((R167/2)*((2*ACOS(1-2*BK167/R167)))))^(2/3))*SQRT(N167))</f>
        <v/>
      </c>
      <c r="BM167" s="9" t="str">
        <f aca="false">IF(AY167="","",IF(BL167&lt;AY167,BK167,BI167))</f>
        <v/>
      </c>
      <c r="BN167" s="9" t="str">
        <f aca="false">IF(AY167="","",IF(BL167&lt;AY167,BJ167,BK167))</f>
        <v/>
      </c>
      <c r="BO167" s="9" t="str">
        <f aca="false">IF(AY167="","",(BM167+BN167)/2)</f>
        <v/>
      </c>
      <c r="BP167" s="9" t="str">
        <f aca="false">IF(OR(R167="",N167="",BO167="",R167&lt;=0,BO167&lt;=0),"",(1/Inputs!$B$9)*((R167^2/8)*((2*ACOS(1-2*BO167/R167))-SIN((2*ACOS(1-2*BO167/R167)))))*((((R167^2/8)*((2*ACOS(1-2*BO167/R167))-SIN((2*ACOS(1-2*BO167/R167)))))/((R167/2)*((2*ACOS(1-2*BO167/R167)))))^(2/3))*SQRT(N167))</f>
        <v/>
      </c>
      <c r="BQ167" s="9" t="str">
        <f aca="false">IF(AY167="","",IF(BP167&lt;AY167,BO167,BM167))</f>
        <v/>
      </c>
      <c r="BR167" s="9" t="str">
        <f aca="false">IF(AY167="","",IF(BP167&lt;AY167,BN167,BO167))</f>
        <v/>
      </c>
      <c r="BS167" s="9" t="str">
        <f aca="false">IF(AY167="","",(BQ167+BR167)/2)</f>
        <v/>
      </c>
      <c r="BT167" s="9" t="str">
        <f aca="false">IF(OR(R167="",N167="",BS167="",R167&lt;=0,BS167&lt;=0),"",(1/Inputs!$B$9)*((R167^2/8)*((2*ACOS(1-2*BS167/R167))-SIN((2*ACOS(1-2*BS167/R167)))))*((((R167^2/8)*((2*ACOS(1-2*BS167/R167))-SIN((2*ACOS(1-2*BS167/R167)))))/((R167/2)*((2*ACOS(1-2*BS167/R167)))))^(2/3))*SQRT(N167))</f>
        <v/>
      </c>
      <c r="BU167" s="9" t="str">
        <f aca="false">IF(AY167="","",IF(BT167&lt;AY167,BS167,BQ167))</f>
        <v/>
      </c>
      <c r="BV167" s="9" t="str">
        <f aca="false">IF(AY167="","",IF(BT167&lt;AY167,BR167,BS167))</f>
        <v/>
      </c>
      <c r="BW167" s="9" t="str">
        <f aca="false">IF(AY167="","",(BU167+BV167)/2)</f>
        <v/>
      </c>
      <c r="BX167" s="9" t="str">
        <f aca="false">IF(OR(R167="",N167="",BW167="",R167&lt;=0,BW167&lt;=0),"",(1/Inputs!$B$9)*((R167^2/8)*((2*ACOS(1-2*BW167/R167))-SIN((2*ACOS(1-2*BW167/R167)))))*((((R167^2/8)*((2*ACOS(1-2*BW167/R167))-SIN((2*ACOS(1-2*BW167/R167)))))/((R167/2)*((2*ACOS(1-2*BW167/R167)))))^(2/3))*SQRT(N167))</f>
        <v/>
      </c>
      <c r="BY167" s="9" t="str">
        <f aca="false">IF(AY167="","",IF(BX167&lt;AY167,BW167,BU167))</f>
        <v/>
      </c>
      <c r="BZ167" s="9" t="str">
        <f aca="false">IF(AY167="","",IF(BX167&lt;AY167,BV167,BW167))</f>
        <v/>
      </c>
      <c r="CA167" s="9" t="str">
        <f aca="false">IF(AY167="","",(BY167+BZ167)/2)</f>
        <v/>
      </c>
      <c r="CB167" s="9" t="str">
        <f aca="false">IF(OR(R167="",N167="",CA167="",R167&lt;=0,CA167&lt;=0),"",(1/Inputs!$B$9)*((R167^2/8)*((2*ACOS(1-2*CA167/R167))-SIN((2*ACOS(1-2*CA167/R167)))))*((((R167^2/8)*((2*ACOS(1-2*CA167/R167))-SIN((2*ACOS(1-2*CA167/R167)))))/((R167/2)*((2*ACOS(1-2*CA167/R167)))))^(2/3))*SQRT(N167))</f>
        <v/>
      </c>
      <c r="CC167" s="9" t="str">
        <f aca="false">IF(AY167="","",IF(CB167&lt;AY167,CA167,BY167))</f>
        <v/>
      </c>
      <c r="CD167" s="9" t="str">
        <f aca="false">IF(AY167="","",IF(CB167&lt;AY167,BZ167,CA167))</f>
        <v/>
      </c>
      <c r="CE167" s="9" t="str">
        <f aca="false">IF(AY167="","",(CC167+CD167)/2)</f>
        <v/>
      </c>
    </row>
    <row r="168" customFormat="false" ht="15" hidden="false" customHeight="false" outlineLevel="0" collapsed="false">
      <c r="A168" s="9"/>
      <c r="B168" s="9"/>
      <c r="C168" s="14"/>
      <c r="D168" s="14"/>
      <c r="E168" s="14" t="n">
        <f aca="false">SUMIFS(CB_Tributaires!$C:$C,CB_Tributaires!$B:$B,$A168)</f>
        <v>0</v>
      </c>
      <c r="F168" s="14" t="n">
        <f aca="false">IF(D168="",E168,D168)</f>
        <v>0</v>
      </c>
      <c r="G168" s="9"/>
      <c r="H168" s="14"/>
      <c r="I168" s="14" t="str">
        <f aca="false">IF(A168="","",Inputs!$B$13/((IF(AS168="",Inputs!$B$18,AS168)+Inputs!$B$14)^Inputs!$B$15))</f>
        <v/>
      </c>
      <c r="J168" s="14" t="str">
        <f aca="false">IF(A168="","",0.000000278*IF(G168="",Inputs!$B$17,G168)*F168*I168)</f>
        <v/>
      </c>
      <c r="K168" s="14" t="str">
        <f aca="false">IF(A168="","",SUMIFS($L$4:$L$203,$B$4:$B$203,$A168))</f>
        <v/>
      </c>
      <c r="L168" s="14" t="str">
        <f aca="false">IF(A168="","",(J168+K168)*Inputs!$B$16)</f>
        <v/>
      </c>
      <c r="M168" s="14"/>
      <c r="N168" s="14" t="str">
        <f aca="false">IF(A168="","",IF(M168="",Inputs!$B$7,M168))</f>
        <v/>
      </c>
      <c r="O168" s="9" t="str">
        <f aca="false">IF(A168="","",IF(L168/Inputs!$B$10&lt;=AD168,Inputs!$F$5,IF(L168/Inputs!$B$10&gt;AM168,"OVERSIZE",INDEX(Inputs!$F$5:$F$14,MATCH(L168/Inputs!$B$10,AD168:AM168,1)+1))))</f>
        <v/>
      </c>
      <c r="P168" s="9"/>
      <c r="Q168" s="9" t="str">
        <f aca="false">IF(A168="","",IF(P168="",O168,P168))</f>
        <v/>
      </c>
      <c r="R168" s="14" t="str">
        <f aca="false">IF(OR(Q168="",Q168="OVERSIZE"),"",Q168/1000)</f>
        <v/>
      </c>
      <c r="S168" s="14" t="str">
        <f aca="false">IF(R168="","",(1/Inputs!$B$9)*(PI()*R168^2/4)*((R168/4)^(2/3))*SQRT(N168))</f>
        <v/>
      </c>
      <c r="T168" s="14" t="str">
        <f aca="false">IF(OR(S168="",L168=""),"",L168/(S168*Inputs!$B$10))</f>
        <v/>
      </c>
      <c r="U168" s="14" t="str">
        <f aca="false">IF(OR(R168="",L168=""),"",4*L168/(PI()*R168^2))</f>
        <v/>
      </c>
      <c r="V168" s="14"/>
      <c r="W168" s="14" t="str">
        <f aca="false">IF(A168="","",IF(A168=Inputs!$B$6,Inputs!$B$22,IF(B168="","",IFERROR(INDEX($X$4:$X$203,MATCH(B168,$A$4:$A$203,0))+IF(V168="",Inputs!$B$20,V168),""))))</f>
        <v/>
      </c>
      <c r="X168" s="14" t="str">
        <f aca="false">IF(OR(W168="",N168="",C168=""),"",W168+N168*C168)</f>
        <v/>
      </c>
      <c r="Y168" s="14"/>
      <c r="Z168" s="14"/>
      <c r="AA168" s="14" t="str">
        <f aca="false">IF(OR(Y168="",W168=""),"",Y168-W168)</f>
        <v/>
      </c>
      <c r="AB168" s="14" t="str">
        <f aca="false">IF(OR(Z168="",X168=""),"",Z168-X168)</f>
        <v/>
      </c>
      <c r="AC168" s="19" t="str">
        <f aca="false">IF(A168="","",IF(OR(T168&gt;1,AND(AV168&lt;&gt;"",AV168&lt;Inputs!$B$11),AND(AV168&lt;&gt;"",AV168&gt;Inputs!$B$12),AA168&lt;Inputs!$B$19,AB168&lt;Inputs!$B$19,N168&lt;Inputs!$B$7,N168&gt;Inputs!$B$8),"CHECK","OK"))</f>
        <v/>
      </c>
      <c r="AD168" s="9" t="str">
        <f aca="false">IF(A168="","",(1/Inputs!$B$9)*(PI()*(Inputs!$F$5/1000)^2/4)*((Inputs!$F$5/1000/4)^(2/3))*SQRT(N168))</f>
        <v/>
      </c>
      <c r="AE168" s="9" t="str">
        <f aca="false">IF(A168="","",(1/Inputs!$B$9)*(PI()*(Inputs!$F$6/1000)^2/4)*((Inputs!$F$6/1000/4)^(2/3))*SQRT(N168))</f>
        <v/>
      </c>
      <c r="AF168" s="9" t="str">
        <f aca="false">IF(A168="","",(1/Inputs!$B$9)*(PI()*(Inputs!$F$7/1000)^2/4)*((Inputs!$F$7/1000/4)^(2/3))*SQRT(N168))</f>
        <v/>
      </c>
      <c r="AG168" s="9" t="str">
        <f aca="false">IF(A168="","",(1/Inputs!$B$9)*(PI()*(Inputs!$F$8/1000)^2/4)*((Inputs!$F$8/1000/4)^(2/3))*SQRT(N168))</f>
        <v/>
      </c>
      <c r="AH168" s="9" t="str">
        <f aca="false">IF(A168="","",(1/Inputs!$B$9)*(PI()*(Inputs!$F$9/1000)^2/4)*((Inputs!$F$9/1000/4)^(2/3))*SQRT(N168))</f>
        <v/>
      </c>
      <c r="AI168" s="9" t="str">
        <f aca="false">IF(A168="","",(1/Inputs!$B$9)*(PI()*(Inputs!$F$10/1000)^2/4)*((Inputs!$F$10/1000/4)^(2/3))*SQRT(N168))</f>
        <v/>
      </c>
      <c r="AJ168" s="9" t="str">
        <f aca="false">IF(A168="","",(1/Inputs!$B$9)*(PI()*(Inputs!$F$11/1000)^2/4)*((Inputs!$F$11/1000/4)^(2/3))*SQRT(N168))</f>
        <v/>
      </c>
      <c r="AK168" s="9" t="str">
        <f aca="false">IF(A168="","",(1/Inputs!$B$9)*(PI()*(Inputs!$F$12/1000)^2/4)*((Inputs!$F$12/1000/4)^(2/3))*SQRT(N168))</f>
        <v/>
      </c>
      <c r="AL168" s="9" t="str">
        <f aca="false">IF(A168="","",(1/Inputs!$B$9)*(PI()*(Inputs!$F$13/1000)^2/4)*((Inputs!$F$13/1000/4)^(2/3))*SQRT(N168))</f>
        <v/>
      </c>
      <c r="AM168" s="9" t="str">
        <f aca="false">IF(A168="","",(1/Inputs!$B$9)*(PI()*(Inputs!$F$14/1000)^2/4)*((Inputs!$F$14/1000/4)^(2/3))*SQRT(N168))</f>
        <v/>
      </c>
      <c r="AN168" s="9" t="str">
        <f aca="false">IF(A168="","",COUNTIF($B$4:$B$203,$A168))</f>
        <v/>
      </c>
      <c r="AO168" s="9" t="str">
        <f aca="false">IF(A168="","",IF(AN168=0,"START","CONTINUOUS"))</f>
        <v/>
      </c>
      <c r="AP168" s="13" t="str">
        <f aca="false">IF(A168="","",IF(H168="",Inputs!$B$18,H168))</f>
        <v/>
      </c>
      <c r="AQ168" s="13" t="str">
        <f aca="false">IF(A168="","",IFERROR(maxifs($AS$4:$AS$203,$B$4:$B$203,$A168),""))</f>
        <v/>
      </c>
      <c r="AR168" s="13" t="str">
        <f aca="false">IF(A168="","",IF(OR(C168="",Inputs!$B$23=""),"",C168/(Inputs!$B$23*60)))</f>
        <v/>
      </c>
      <c r="AS168" s="13" t="str">
        <f aca="false">IF(A168="","",IF(AN168=0,AP168+AR168,IF(AQ168="",AP168+AR168,AQ168+AR168)))</f>
        <v/>
      </c>
      <c r="AT168" s="13" t="str">
        <f aca="false">IF(A168="","",U168)</f>
        <v/>
      </c>
      <c r="AU168" s="13" t="str">
        <f aca="false">IF(OR(R168="",N168=""),"",(1/Inputs!$B$9)*((R168/4)^(2/3))*SQRT(N168))</f>
        <v/>
      </c>
      <c r="AV168" s="13" t="str">
        <f aca="false">IF(A168="","",IF(AND(AT168="",AU168="",AX168=""),"",IF(OR(UPPER(TRIM(Inputs!$B$24))="MANNING",UPPER(TRIM(Inputs!$B$24))="M"),AU168,IF(OR(UPPER(TRIM(Inputs!$B$24))="PARTIAL",UPPER(TRIM(Inputs!$B$24))="P"),AX168,IF(OR(UPPER(TRIM(Inputs!$B$24))="MAX",UPPER(TRIM(Inputs!$B$24))="X"),MAX(IF(AT168="",0,AT168),IF(AU168="",0,AU168),IF(AX168="",0,AX168)),AT168)))))</f>
        <v/>
      </c>
      <c r="AW168" s="13" t="str">
        <f aca="false">IF(AY168="","",CE168)</f>
        <v/>
      </c>
      <c r="AX168" s="13" t="str">
        <f aca="false">IF(OR(AY168="",AW168="",R168="",R168&lt;=0,AW168&lt;=0),"",AY168/((R168^2/8)*(2*ACOS(1-2*AW168/R168)-SIN(2*ACOS(1-2*AW168/R168)))))</f>
        <v/>
      </c>
      <c r="AY168" s="9" t="str">
        <f aca="false">IF(OR(L168="",AZ168=""),"",MIN(L168,AZ168))</f>
        <v/>
      </c>
      <c r="AZ168" s="9" t="str">
        <f aca="false">IF(OR(L168="",R168="",N168=""),"",IF(OR(R168="",N168="",(0.94*R168)="",R168&lt;=0,(0.94*R168)&lt;=0),"",(1/Inputs!$B$9)*((R168^2/8)*((2*ACOS(1-2*(0.94*R168)/R168))-SIN((2*ACOS(1-2*(0.94*R168)/R168)))))*((((R168^2/8)*((2*ACOS(1-2*(0.94*R168)/R168))-SIN((2*ACOS(1-2*(0.94*R168)/R168)))))/((R168/2)*((2*ACOS(1-2*(0.94*R168)/R168)))))^(2/3))*SQRT(N168)))</f>
        <v/>
      </c>
      <c r="BA168" s="9" t="str">
        <f aca="false">IF(AY168="","",0.001*R168)</f>
        <v/>
      </c>
      <c r="BB168" s="9" t="str">
        <f aca="false">IF(AY168="","",0.94*R168)</f>
        <v/>
      </c>
      <c r="BC168" s="9" t="str">
        <f aca="false">IF(AY168="","",(BA168+BB168)/2)</f>
        <v/>
      </c>
      <c r="BD168" s="9" t="str">
        <f aca="false">IF(OR(R168="",N168="",BC168="",R168&lt;=0,BC168&lt;=0),"",(1/Inputs!$B$9)*((R168^2/8)*((2*ACOS(1-2*BC168/R168))-SIN((2*ACOS(1-2*BC168/R168)))))*((((R168^2/8)*((2*ACOS(1-2*BC168/R168))-SIN((2*ACOS(1-2*BC168/R168)))))/((R168/2)*((2*ACOS(1-2*BC168/R168)))))^(2/3))*SQRT(N168))</f>
        <v/>
      </c>
      <c r="BE168" s="9" t="str">
        <f aca="false">IF(AY168="","",IF(BD168&lt;AY168,BC168,BA168))</f>
        <v/>
      </c>
      <c r="BF168" s="9" t="str">
        <f aca="false">IF(AY168="","",IF(BD168&lt;AY168,BB168,BC168))</f>
        <v/>
      </c>
      <c r="BG168" s="9" t="str">
        <f aca="false">IF(AY168="","",(BE168+BF168)/2)</f>
        <v/>
      </c>
      <c r="BH168" s="9" t="str">
        <f aca="false">IF(OR(R168="",N168="",BG168="",R168&lt;=0,BG168&lt;=0),"",(1/Inputs!$B$9)*((R168^2/8)*((2*ACOS(1-2*BG168/R168))-SIN((2*ACOS(1-2*BG168/R168)))))*((((R168^2/8)*((2*ACOS(1-2*BG168/R168))-SIN((2*ACOS(1-2*BG168/R168)))))/((R168/2)*((2*ACOS(1-2*BG168/R168)))))^(2/3))*SQRT(N168))</f>
        <v/>
      </c>
      <c r="BI168" s="9" t="str">
        <f aca="false">IF(AY168="","",IF(BH168&lt;AY168,BG168,BE168))</f>
        <v/>
      </c>
      <c r="BJ168" s="9" t="str">
        <f aca="false">IF(AY168="","",IF(BH168&lt;AY168,BF168,BG168))</f>
        <v/>
      </c>
      <c r="BK168" s="9" t="str">
        <f aca="false">IF(AY168="","",(BI168+BJ168)/2)</f>
        <v/>
      </c>
      <c r="BL168" s="9" t="str">
        <f aca="false">IF(OR(R168="",N168="",BK168="",R168&lt;=0,BK168&lt;=0),"",(1/Inputs!$B$9)*((R168^2/8)*((2*ACOS(1-2*BK168/R168))-SIN((2*ACOS(1-2*BK168/R168)))))*((((R168^2/8)*((2*ACOS(1-2*BK168/R168))-SIN((2*ACOS(1-2*BK168/R168)))))/((R168/2)*((2*ACOS(1-2*BK168/R168)))))^(2/3))*SQRT(N168))</f>
        <v/>
      </c>
      <c r="BM168" s="9" t="str">
        <f aca="false">IF(AY168="","",IF(BL168&lt;AY168,BK168,BI168))</f>
        <v/>
      </c>
      <c r="BN168" s="9" t="str">
        <f aca="false">IF(AY168="","",IF(BL168&lt;AY168,BJ168,BK168))</f>
        <v/>
      </c>
      <c r="BO168" s="9" t="str">
        <f aca="false">IF(AY168="","",(BM168+BN168)/2)</f>
        <v/>
      </c>
      <c r="BP168" s="9" t="str">
        <f aca="false">IF(OR(R168="",N168="",BO168="",R168&lt;=0,BO168&lt;=0),"",(1/Inputs!$B$9)*((R168^2/8)*((2*ACOS(1-2*BO168/R168))-SIN((2*ACOS(1-2*BO168/R168)))))*((((R168^2/8)*((2*ACOS(1-2*BO168/R168))-SIN((2*ACOS(1-2*BO168/R168)))))/((R168/2)*((2*ACOS(1-2*BO168/R168)))))^(2/3))*SQRT(N168))</f>
        <v/>
      </c>
      <c r="BQ168" s="9" t="str">
        <f aca="false">IF(AY168="","",IF(BP168&lt;AY168,BO168,BM168))</f>
        <v/>
      </c>
      <c r="BR168" s="9" t="str">
        <f aca="false">IF(AY168="","",IF(BP168&lt;AY168,BN168,BO168))</f>
        <v/>
      </c>
      <c r="BS168" s="9" t="str">
        <f aca="false">IF(AY168="","",(BQ168+BR168)/2)</f>
        <v/>
      </c>
      <c r="BT168" s="9" t="str">
        <f aca="false">IF(OR(R168="",N168="",BS168="",R168&lt;=0,BS168&lt;=0),"",(1/Inputs!$B$9)*((R168^2/8)*((2*ACOS(1-2*BS168/R168))-SIN((2*ACOS(1-2*BS168/R168)))))*((((R168^2/8)*((2*ACOS(1-2*BS168/R168))-SIN((2*ACOS(1-2*BS168/R168)))))/((R168/2)*((2*ACOS(1-2*BS168/R168)))))^(2/3))*SQRT(N168))</f>
        <v/>
      </c>
      <c r="BU168" s="9" t="str">
        <f aca="false">IF(AY168="","",IF(BT168&lt;AY168,BS168,BQ168))</f>
        <v/>
      </c>
      <c r="BV168" s="9" t="str">
        <f aca="false">IF(AY168="","",IF(BT168&lt;AY168,BR168,BS168))</f>
        <v/>
      </c>
      <c r="BW168" s="9" t="str">
        <f aca="false">IF(AY168="","",(BU168+BV168)/2)</f>
        <v/>
      </c>
      <c r="BX168" s="9" t="str">
        <f aca="false">IF(OR(R168="",N168="",BW168="",R168&lt;=0,BW168&lt;=0),"",(1/Inputs!$B$9)*((R168^2/8)*((2*ACOS(1-2*BW168/R168))-SIN((2*ACOS(1-2*BW168/R168)))))*((((R168^2/8)*((2*ACOS(1-2*BW168/R168))-SIN((2*ACOS(1-2*BW168/R168)))))/((R168/2)*((2*ACOS(1-2*BW168/R168)))))^(2/3))*SQRT(N168))</f>
        <v/>
      </c>
      <c r="BY168" s="9" t="str">
        <f aca="false">IF(AY168="","",IF(BX168&lt;AY168,BW168,BU168))</f>
        <v/>
      </c>
      <c r="BZ168" s="9" t="str">
        <f aca="false">IF(AY168="","",IF(BX168&lt;AY168,BV168,BW168))</f>
        <v/>
      </c>
      <c r="CA168" s="9" t="str">
        <f aca="false">IF(AY168="","",(BY168+BZ168)/2)</f>
        <v/>
      </c>
      <c r="CB168" s="9" t="str">
        <f aca="false">IF(OR(R168="",N168="",CA168="",R168&lt;=0,CA168&lt;=0),"",(1/Inputs!$B$9)*((R168^2/8)*((2*ACOS(1-2*CA168/R168))-SIN((2*ACOS(1-2*CA168/R168)))))*((((R168^2/8)*((2*ACOS(1-2*CA168/R168))-SIN((2*ACOS(1-2*CA168/R168)))))/((R168/2)*((2*ACOS(1-2*CA168/R168)))))^(2/3))*SQRT(N168))</f>
        <v/>
      </c>
      <c r="CC168" s="9" t="str">
        <f aca="false">IF(AY168="","",IF(CB168&lt;AY168,CA168,BY168))</f>
        <v/>
      </c>
      <c r="CD168" s="9" t="str">
        <f aca="false">IF(AY168="","",IF(CB168&lt;AY168,BZ168,CA168))</f>
        <v/>
      </c>
      <c r="CE168" s="9" t="str">
        <f aca="false">IF(AY168="","",(CC168+CD168)/2)</f>
        <v/>
      </c>
    </row>
    <row r="169" customFormat="false" ht="15" hidden="false" customHeight="false" outlineLevel="0" collapsed="false">
      <c r="A169" s="9"/>
      <c r="B169" s="9"/>
      <c r="C169" s="14"/>
      <c r="D169" s="14"/>
      <c r="E169" s="14" t="n">
        <f aca="false">SUMIFS(CB_Tributaires!$C:$C,CB_Tributaires!$B:$B,$A169)</f>
        <v>0</v>
      </c>
      <c r="F169" s="14" t="n">
        <f aca="false">IF(D169="",E169,D169)</f>
        <v>0</v>
      </c>
      <c r="G169" s="9"/>
      <c r="H169" s="14"/>
      <c r="I169" s="14" t="str">
        <f aca="false">IF(A169="","",Inputs!$B$13/((IF(AS169="",Inputs!$B$18,AS169)+Inputs!$B$14)^Inputs!$B$15))</f>
        <v/>
      </c>
      <c r="J169" s="14" t="str">
        <f aca="false">IF(A169="","",0.000000278*IF(G169="",Inputs!$B$17,G169)*F169*I169)</f>
        <v/>
      </c>
      <c r="K169" s="14" t="str">
        <f aca="false">IF(A169="","",SUMIFS($L$4:$L$203,$B$4:$B$203,$A169))</f>
        <v/>
      </c>
      <c r="L169" s="14" t="str">
        <f aca="false">IF(A169="","",(J169+K169)*Inputs!$B$16)</f>
        <v/>
      </c>
      <c r="M169" s="14"/>
      <c r="N169" s="14" t="str">
        <f aca="false">IF(A169="","",IF(M169="",Inputs!$B$7,M169))</f>
        <v/>
      </c>
      <c r="O169" s="9" t="str">
        <f aca="false">IF(A169="","",IF(L169/Inputs!$B$10&lt;=AD169,Inputs!$F$5,IF(L169/Inputs!$B$10&gt;AM169,"OVERSIZE",INDEX(Inputs!$F$5:$F$14,MATCH(L169/Inputs!$B$10,AD169:AM169,1)+1))))</f>
        <v/>
      </c>
      <c r="P169" s="9"/>
      <c r="Q169" s="9" t="str">
        <f aca="false">IF(A169="","",IF(P169="",O169,P169))</f>
        <v/>
      </c>
      <c r="R169" s="14" t="str">
        <f aca="false">IF(OR(Q169="",Q169="OVERSIZE"),"",Q169/1000)</f>
        <v/>
      </c>
      <c r="S169" s="14" t="str">
        <f aca="false">IF(R169="","",(1/Inputs!$B$9)*(PI()*R169^2/4)*((R169/4)^(2/3))*SQRT(N169))</f>
        <v/>
      </c>
      <c r="T169" s="14" t="str">
        <f aca="false">IF(OR(S169="",L169=""),"",L169/(S169*Inputs!$B$10))</f>
        <v/>
      </c>
      <c r="U169" s="14" t="str">
        <f aca="false">IF(OR(R169="",L169=""),"",4*L169/(PI()*R169^2))</f>
        <v/>
      </c>
      <c r="V169" s="14"/>
      <c r="W169" s="14" t="str">
        <f aca="false">IF(A169="","",IF(A169=Inputs!$B$6,Inputs!$B$22,IF(B169="","",IFERROR(INDEX($X$4:$X$203,MATCH(B169,$A$4:$A$203,0))+IF(V169="",Inputs!$B$20,V169),""))))</f>
        <v/>
      </c>
      <c r="X169" s="14" t="str">
        <f aca="false">IF(OR(W169="",N169="",C169=""),"",W169+N169*C169)</f>
        <v/>
      </c>
      <c r="Y169" s="14"/>
      <c r="Z169" s="14"/>
      <c r="AA169" s="14" t="str">
        <f aca="false">IF(OR(Y169="",W169=""),"",Y169-W169)</f>
        <v/>
      </c>
      <c r="AB169" s="14" t="str">
        <f aca="false">IF(OR(Z169="",X169=""),"",Z169-X169)</f>
        <v/>
      </c>
      <c r="AC169" s="19" t="str">
        <f aca="false">IF(A169="","",IF(OR(T169&gt;1,AND(AV169&lt;&gt;"",AV169&lt;Inputs!$B$11),AND(AV169&lt;&gt;"",AV169&gt;Inputs!$B$12),AA169&lt;Inputs!$B$19,AB169&lt;Inputs!$B$19,N169&lt;Inputs!$B$7,N169&gt;Inputs!$B$8),"CHECK","OK"))</f>
        <v/>
      </c>
      <c r="AD169" s="9" t="str">
        <f aca="false">IF(A169="","",(1/Inputs!$B$9)*(PI()*(Inputs!$F$5/1000)^2/4)*((Inputs!$F$5/1000/4)^(2/3))*SQRT(N169))</f>
        <v/>
      </c>
      <c r="AE169" s="9" t="str">
        <f aca="false">IF(A169="","",(1/Inputs!$B$9)*(PI()*(Inputs!$F$6/1000)^2/4)*((Inputs!$F$6/1000/4)^(2/3))*SQRT(N169))</f>
        <v/>
      </c>
      <c r="AF169" s="9" t="str">
        <f aca="false">IF(A169="","",(1/Inputs!$B$9)*(PI()*(Inputs!$F$7/1000)^2/4)*((Inputs!$F$7/1000/4)^(2/3))*SQRT(N169))</f>
        <v/>
      </c>
      <c r="AG169" s="9" t="str">
        <f aca="false">IF(A169="","",(1/Inputs!$B$9)*(PI()*(Inputs!$F$8/1000)^2/4)*((Inputs!$F$8/1000/4)^(2/3))*SQRT(N169))</f>
        <v/>
      </c>
      <c r="AH169" s="9" t="str">
        <f aca="false">IF(A169="","",(1/Inputs!$B$9)*(PI()*(Inputs!$F$9/1000)^2/4)*((Inputs!$F$9/1000/4)^(2/3))*SQRT(N169))</f>
        <v/>
      </c>
      <c r="AI169" s="9" t="str">
        <f aca="false">IF(A169="","",(1/Inputs!$B$9)*(PI()*(Inputs!$F$10/1000)^2/4)*((Inputs!$F$10/1000/4)^(2/3))*SQRT(N169))</f>
        <v/>
      </c>
      <c r="AJ169" s="9" t="str">
        <f aca="false">IF(A169="","",(1/Inputs!$B$9)*(PI()*(Inputs!$F$11/1000)^2/4)*((Inputs!$F$11/1000/4)^(2/3))*SQRT(N169))</f>
        <v/>
      </c>
      <c r="AK169" s="9" t="str">
        <f aca="false">IF(A169="","",(1/Inputs!$B$9)*(PI()*(Inputs!$F$12/1000)^2/4)*((Inputs!$F$12/1000/4)^(2/3))*SQRT(N169))</f>
        <v/>
      </c>
      <c r="AL169" s="9" t="str">
        <f aca="false">IF(A169="","",(1/Inputs!$B$9)*(PI()*(Inputs!$F$13/1000)^2/4)*((Inputs!$F$13/1000/4)^(2/3))*SQRT(N169))</f>
        <v/>
      </c>
      <c r="AM169" s="9" t="str">
        <f aca="false">IF(A169="","",(1/Inputs!$B$9)*(PI()*(Inputs!$F$14/1000)^2/4)*((Inputs!$F$14/1000/4)^(2/3))*SQRT(N169))</f>
        <v/>
      </c>
      <c r="AN169" s="9" t="str">
        <f aca="false">IF(A169="","",COUNTIF($B$4:$B$203,$A169))</f>
        <v/>
      </c>
      <c r="AO169" s="9" t="str">
        <f aca="false">IF(A169="","",IF(AN169=0,"START","CONTINUOUS"))</f>
        <v/>
      </c>
      <c r="AP169" s="13" t="str">
        <f aca="false">IF(A169="","",IF(H169="",Inputs!$B$18,H169))</f>
        <v/>
      </c>
      <c r="AQ169" s="13" t="str">
        <f aca="false">IF(A169="","",IFERROR(maxifs($AS$4:$AS$203,$B$4:$B$203,$A169),""))</f>
        <v/>
      </c>
      <c r="AR169" s="13" t="str">
        <f aca="false">IF(A169="","",IF(OR(C169="",Inputs!$B$23=""),"",C169/(Inputs!$B$23*60)))</f>
        <v/>
      </c>
      <c r="AS169" s="13" t="str">
        <f aca="false">IF(A169="","",IF(AN169=0,AP169+AR169,IF(AQ169="",AP169+AR169,AQ169+AR169)))</f>
        <v/>
      </c>
      <c r="AT169" s="13" t="str">
        <f aca="false">IF(A169="","",U169)</f>
        <v/>
      </c>
      <c r="AU169" s="13" t="str">
        <f aca="false">IF(OR(R169="",N169=""),"",(1/Inputs!$B$9)*((R169/4)^(2/3))*SQRT(N169))</f>
        <v/>
      </c>
      <c r="AV169" s="13" t="str">
        <f aca="false">IF(A169="","",IF(AND(AT169="",AU169="",AX169=""),"",IF(OR(UPPER(TRIM(Inputs!$B$24))="MANNING",UPPER(TRIM(Inputs!$B$24))="M"),AU169,IF(OR(UPPER(TRIM(Inputs!$B$24))="PARTIAL",UPPER(TRIM(Inputs!$B$24))="P"),AX169,IF(OR(UPPER(TRIM(Inputs!$B$24))="MAX",UPPER(TRIM(Inputs!$B$24))="X"),MAX(IF(AT169="",0,AT169),IF(AU169="",0,AU169),IF(AX169="",0,AX169)),AT169)))))</f>
        <v/>
      </c>
      <c r="AW169" s="13" t="str">
        <f aca="false">IF(AY169="","",CE169)</f>
        <v/>
      </c>
      <c r="AX169" s="13" t="str">
        <f aca="false">IF(OR(AY169="",AW169="",R169="",R169&lt;=0,AW169&lt;=0),"",AY169/((R169^2/8)*(2*ACOS(1-2*AW169/R169)-SIN(2*ACOS(1-2*AW169/R169)))))</f>
        <v/>
      </c>
      <c r="AY169" s="9" t="str">
        <f aca="false">IF(OR(L169="",AZ169=""),"",MIN(L169,AZ169))</f>
        <v/>
      </c>
      <c r="AZ169" s="9" t="str">
        <f aca="false">IF(OR(L169="",R169="",N169=""),"",IF(OR(R169="",N169="",(0.94*R169)="",R169&lt;=0,(0.94*R169)&lt;=0),"",(1/Inputs!$B$9)*((R169^2/8)*((2*ACOS(1-2*(0.94*R169)/R169))-SIN((2*ACOS(1-2*(0.94*R169)/R169)))))*((((R169^2/8)*((2*ACOS(1-2*(0.94*R169)/R169))-SIN((2*ACOS(1-2*(0.94*R169)/R169)))))/((R169/2)*((2*ACOS(1-2*(0.94*R169)/R169)))))^(2/3))*SQRT(N169)))</f>
        <v/>
      </c>
      <c r="BA169" s="9" t="str">
        <f aca="false">IF(AY169="","",0.001*R169)</f>
        <v/>
      </c>
      <c r="BB169" s="9" t="str">
        <f aca="false">IF(AY169="","",0.94*R169)</f>
        <v/>
      </c>
      <c r="BC169" s="9" t="str">
        <f aca="false">IF(AY169="","",(BA169+BB169)/2)</f>
        <v/>
      </c>
      <c r="BD169" s="9" t="str">
        <f aca="false">IF(OR(R169="",N169="",BC169="",R169&lt;=0,BC169&lt;=0),"",(1/Inputs!$B$9)*((R169^2/8)*((2*ACOS(1-2*BC169/R169))-SIN((2*ACOS(1-2*BC169/R169)))))*((((R169^2/8)*((2*ACOS(1-2*BC169/R169))-SIN((2*ACOS(1-2*BC169/R169)))))/((R169/2)*((2*ACOS(1-2*BC169/R169)))))^(2/3))*SQRT(N169))</f>
        <v/>
      </c>
      <c r="BE169" s="9" t="str">
        <f aca="false">IF(AY169="","",IF(BD169&lt;AY169,BC169,BA169))</f>
        <v/>
      </c>
      <c r="BF169" s="9" t="str">
        <f aca="false">IF(AY169="","",IF(BD169&lt;AY169,BB169,BC169))</f>
        <v/>
      </c>
      <c r="BG169" s="9" t="str">
        <f aca="false">IF(AY169="","",(BE169+BF169)/2)</f>
        <v/>
      </c>
      <c r="BH169" s="9" t="str">
        <f aca="false">IF(OR(R169="",N169="",BG169="",R169&lt;=0,BG169&lt;=0),"",(1/Inputs!$B$9)*((R169^2/8)*((2*ACOS(1-2*BG169/R169))-SIN((2*ACOS(1-2*BG169/R169)))))*((((R169^2/8)*((2*ACOS(1-2*BG169/R169))-SIN((2*ACOS(1-2*BG169/R169)))))/((R169/2)*((2*ACOS(1-2*BG169/R169)))))^(2/3))*SQRT(N169))</f>
        <v/>
      </c>
      <c r="BI169" s="9" t="str">
        <f aca="false">IF(AY169="","",IF(BH169&lt;AY169,BG169,BE169))</f>
        <v/>
      </c>
      <c r="BJ169" s="9" t="str">
        <f aca="false">IF(AY169="","",IF(BH169&lt;AY169,BF169,BG169))</f>
        <v/>
      </c>
      <c r="BK169" s="9" t="str">
        <f aca="false">IF(AY169="","",(BI169+BJ169)/2)</f>
        <v/>
      </c>
      <c r="BL169" s="9" t="str">
        <f aca="false">IF(OR(R169="",N169="",BK169="",R169&lt;=0,BK169&lt;=0),"",(1/Inputs!$B$9)*((R169^2/8)*((2*ACOS(1-2*BK169/R169))-SIN((2*ACOS(1-2*BK169/R169)))))*((((R169^2/8)*((2*ACOS(1-2*BK169/R169))-SIN((2*ACOS(1-2*BK169/R169)))))/((R169/2)*((2*ACOS(1-2*BK169/R169)))))^(2/3))*SQRT(N169))</f>
        <v/>
      </c>
      <c r="BM169" s="9" t="str">
        <f aca="false">IF(AY169="","",IF(BL169&lt;AY169,BK169,BI169))</f>
        <v/>
      </c>
      <c r="BN169" s="9" t="str">
        <f aca="false">IF(AY169="","",IF(BL169&lt;AY169,BJ169,BK169))</f>
        <v/>
      </c>
      <c r="BO169" s="9" t="str">
        <f aca="false">IF(AY169="","",(BM169+BN169)/2)</f>
        <v/>
      </c>
      <c r="BP169" s="9" t="str">
        <f aca="false">IF(OR(R169="",N169="",BO169="",R169&lt;=0,BO169&lt;=0),"",(1/Inputs!$B$9)*((R169^2/8)*((2*ACOS(1-2*BO169/R169))-SIN((2*ACOS(1-2*BO169/R169)))))*((((R169^2/8)*((2*ACOS(1-2*BO169/R169))-SIN((2*ACOS(1-2*BO169/R169)))))/((R169/2)*((2*ACOS(1-2*BO169/R169)))))^(2/3))*SQRT(N169))</f>
        <v/>
      </c>
      <c r="BQ169" s="9" t="str">
        <f aca="false">IF(AY169="","",IF(BP169&lt;AY169,BO169,BM169))</f>
        <v/>
      </c>
      <c r="BR169" s="9" t="str">
        <f aca="false">IF(AY169="","",IF(BP169&lt;AY169,BN169,BO169))</f>
        <v/>
      </c>
      <c r="BS169" s="9" t="str">
        <f aca="false">IF(AY169="","",(BQ169+BR169)/2)</f>
        <v/>
      </c>
      <c r="BT169" s="9" t="str">
        <f aca="false">IF(OR(R169="",N169="",BS169="",R169&lt;=0,BS169&lt;=0),"",(1/Inputs!$B$9)*((R169^2/8)*((2*ACOS(1-2*BS169/R169))-SIN((2*ACOS(1-2*BS169/R169)))))*((((R169^2/8)*((2*ACOS(1-2*BS169/R169))-SIN((2*ACOS(1-2*BS169/R169)))))/((R169/2)*((2*ACOS(1-2*BS169/R169)))))^(2/3))*SQRT(N169))</f>
        <v/>
      </c>
      <c r="BU169" s="9" t="str">
        <f aca="false">IF(AY169="","",IF(BT169&lt;AY169,BS169,BQ169))</f>
        <v/>
      </c>
      <c r="BV169" s="9" t="str">
        <f aca="false">IF(AY169="","",IF(BT169&lt;AY169,BR169,BS169))</f>
        <v/>
      </c>
      <c r="BW169" s="9" t="str">
        <f aca="false">IF(AY169="","",(BU169+BV169)/2)</f>
        <v/>
      </c>
      <c r="BX169" s="9" t="str">
        <f aca="false">IF(OR(R169="",N169="",BW169="",R169&lt;=0,BW169&lt;=0),"",(1/Inputs!$B$9)*((R169^2/8)*((2*ACOS(1-2*BW169/R169))-SIN((2*ACOS(1-2*BW169/R169)))))*((((R169^2/8)*((2*ACOS(1-2*BW169/R169))-SIN((2*ACOS(1-2*BW169/R169)))))/((R169/2)*((2*ACOS(1-2*BW169/R169)))))^(2/3))*SQRT(N169))</f>
        <v/>
      </c>
      <c r="BY169" s="9" t="str">
        <f aca="false">IF(AY169="","",IF(BX169&lt;AY169,BW169,BU169))</f>
        <v/>
      </c>
      <c r="BZ169" s="9" t="str">
        <f aca="false">IF(AY169="","",IF(BX169&lt;AY169,BV169,BW169))</f>
        <v/>
      </c>
      <c r="CA169" s="9" t="str">
        <f aca="false">IF(AY169="","",(BY169+BZ169)/2)</f>
        <v/>
      </c>
      <c r="CB169" s="9" t="str">
        <f aca="false">IF(OR(R169="",N169="",CA169="",R169&lt;=0,CA169&lt;=0),"",(1/Inputs!$B$9)*((R169^2/8)*((2*ACOS(1-2*CA169/R169))-SIN((2*ACOS(1-2*CA169/R169)))))*((((R169^2/8)*((2*ACOS(1-2*CA169/R169))-SIN((2*ACOS(1-2*CA169/R169)))))/((R169/2)*((2*ACOS(1-2*CA169/R169)))))^(2/3))*SQRT(N169))</f>
        <v/>
      </c>
      <c r="CC169" s="9" t="str">
        <f aca="false">IF(AY169="","",IF(CB169&lt;AY169,CA169,BY169))</f>
        <v/>
      </c>
      <c r="CD169" s="9" t="str">
        <f aca="false">IF(AY169="","",IF(CB169&lt;AY169,BZ169,CA169))</f>
        <v/>
      </c>
      <c r="CE169" s="9" t="str">
        <f aca="false">IF(AY169="","",(CC169+CD169)/2)</f>
        <v/>
      </c>
    </row>
    <row r="170" customFormat="false" ht="15" hidden="false" customHeight="false" outlineLevel="0" collapsed="false">
      <c r="A170" s="9"/>
      <c r="B170" s="9"/>
      <c r="C170" s="14"/>
      <c r="D170" s="14"/>
      <c r="E170" s="14" t="n">
        <f aca="false">SUMIFS(CB_Tributaires!$C:$C,CB_Tributaires!$B:$B,$A170)</f>
        <v>0</v>
      </c>
      <c r="F170" s="14" t="n">
        <f aca="false">IF(D170="",E170,D170)</f>
        <v>0</v>
      </c>
      <c r="G170" s="9"/>
      <c r="H170" s="14"/>
      <c r="I170" s="14" t="str">
        <f aca="false">IF(A170="","",Inputs!$B$13/((IF(AS170="",Inputs!$B$18,AS170)+Inputs!$B$14)^Inputs!$B$15))</f>
        <v/>
      </c>
      <c r="J170" s="14" t="str">
        <f aca="false">IF(A170="","",0.000000278*IF(G170="",Inputs!$B$17,G170)*F170*I170)</f>
        <v/>
      </c>
      <c r="K170" s="14" t="str">
        <f aca="false">IF(A170="","",SUMIFS($L$4:$L$203,$B$4:$B$203,$A170))</f>
        <v/>
      </c>
      <c r="L170" s="14" t="str">
        <f aca="false">IF(A170="","",(J170+K170)*Inputs!$B$16)</f>
        <v/>
      </c>
      <c r="M170" s="14"/>
      <c r="N170" s="14" t="str">
        <f aca="false">IF(A170="","",IF(M170="",Inputs!$B$7,M170))</f>
        <v/>
      </c>
      <c r="O170" s="9" t="str">
        <f aca="false">IF(A170="","",IF(L170/Inputs!$B$10&lt;=AD170,Inputs!$F$5,IF(L170/Inputs!$B$10&gt;AM170,"OVERSIZE",INDEX(Inputs!$F$5:$F$14,MATCH(L170/Inputs!$B$10,AD170:AM170,1)+1))))</f>
        <v/>
      </c>
      <c r="P170" s="9"/>
      <c r="Q170" s="9" t="str">
        <f aca="false">IF(A170="","",IF(P170="",O170,P170))</f>
        <v/>
      </c>
      <c r="R170" s="14" t="str">
        <f aca="false">IF(OR(Q170="",Q170="OVERSIZE"),"",Q170/1000)</f>
        <v/>
      </c>
      <c r="S170" s="14" t="str">
        <f aca="false">IF(R170="","",(1/Inputs!$B$9)*(PI()*R170^2/4)*((R170/4)^(2/3))*SQRT(N170))</f>
        <v/>
      </c>
      <c r="T170" s="14" t="str">
        <f aca="false">IF(OR(S170="",L170=""),"",L170/(S170*Inputs!$B$10))</f>
        <v/>
      </c>
      <c r="U170" s="14" t="str">
        <f aca="false">IF(OR(R170="",L170=""),"",4*L170/(PI()*R170^2))</f>
        <v/>
      </c>
      <c r="V170" s="14"/>
      <c r="W170" s="14" t="str">
        <f aca="false">IF(A170="","",IF(A170=Inputs!$B$6,Inputs!$B$22,IF(B170="","",IFERROR(INDEX($X$4:$X$203,MATCH(B170,$A$4:$A$203,0))+IF(V170="",Inputs!$B$20,V170),""))))</f>
        <v/>
      </c>
      <c r="X170" s="14" t="str">
        <f aca="false">IF(OR(W170="",N170="",C170=""),"",W170+N170*C170)</f>
        <v/>
      </c>
      <c r="Y170" s="14"/>
      <c r="Z170" s="14"/>
      <c r="AA170" s="14" t="str">
        <f aca="false">IF(OR(Y170="",W170=""),"",Y170-W170)</f>
        <v/>
      </c>
      <c r="AB170" s="14" t="str">
        <f aca="false">IF(OR(Z170="",X170=""),"",Z170-X170)</f>
        <v/>
      </c>
      <c r="AC170" s="19" t="str">
        <f aca="false">IF(A170="","",IF(OR(T170&gt;1,AND(AV170&lt;&gt;"",AV170&lt;Inputs!$B$11),AND(AV170&lt;&gt;"",AV170&gt;Inputs!$B$12),AA170&lt;Inputs!$B$19,AB170&lt;Inputs!$B$19,N170&lt;Inputs!$B$7,N170&gt;Inputs!$B$8),"CHECK","OK"))</f>
        <v/>
      </c>
      <c r="AD170" s="9" t="str">
        <f aca="false">IF(A170="","",(1/Inputs!$B$9)*(PI()*(Inputs!$F$5/1000)^2/4)*((Inputs!$F$5/1000/4)^(2/3))*SQRT(N170))</f>
        <v/>
      </c>
      <c r="AE170" s="9" t="str">
        <f aca="false">IF(A170="","",(1/Inputs!$B$9)*(PI()*(Inputs!$F$6/1000)^2/4)*((Inputs!$F$6/1000/4)^(2/3))*SQRT(N170))</f>
        <v/>
      </c>
      <c r="AF170" s="9" t="str">
        <f aca="false">IF(A170="","",(1/Inputs!$B$9)*(PI()*(Inputs!$F$7/1000)^2/4)*((Inputs!$F$7/1000/4)^(2/3))*SQRT(N170))</f>
        <v/>
      </c>
      <c r="AG170" s="9" t="str">
        <f aca="false">IF(A170="","",(1/Inputs!$B$9)*(PI()*(Inputs!$F$8/1000)^2/4)*((Inputs!$F$8/1000/4)^(2/3))*SQRT(N170))</f>
        <v/>
      </c>
      <c r="AH170" s="9" t="str">
        <f aca="false">IF(A170="","",(1/Inputs!$B$9)*(PI()*(Inputs!$F$9/1000)^2/4)*((Inputs!$F$9/1000/4)^(2/3))*SQRT(N170))</f>
        <v/>
      </c>
      <c r="AI170" s="9" t="str">
        <f aca="false">IF(A170="","",(1/Inputs!$B$9)*(PI()*(Inputs!$F$10/1000)^2/4)*((Inputs!$F$10/1000/4)^(2/3))*SQRT(N170))</f>
        <v/>
      </c>
      <c r="AJ170" s="9" t="str">
        <f aca="false">IF(A170="","",(1/Inputs!$B$9)*(PI()*(Inputs!$F$11/1000)^2/4)*((Inputs!$F$11/1000/4)^(2/3))*SQRT(N170))</f>
        <v/>
      </c>
      <c r="AK170" s="9" t="str">
        <f aca="false">IF(A170="","",(1/Inputs!$B$9)*(PI()*(Inputs!$F$12/1000)^2/4)*((Inputs!$F$12/1000/4)^(2/3))*SQRT(N170))</f>
        <v/>
      </c>
      <c r="AL170" s="9" t="str">
        <f aca="false">IF(A170="","",(1/Inputs!$B$9)*(PI()*(Inputs!$F$13/1000)^2/4)*((Inputs!$F$13/1000/4)^(2/3))*SQRT(N170))</f>
        <v/>
      </c>
      <c r="AM170" s="9" t="str">
        <f aca="false">IF(A170="","",(1/Inputs!$B$9)*(PI()*(Inputs!$F$14/1000)^2/4)*((Inputs!$F$14/1000/4)^(2/3))*SQRT(N170))</f>
        <v/>
      </c>
      <c r="AN170" s="9" t="str">
        <f aca="false">IF(A170="","",COUNTIF($B$4:$B$203,$A170))</f>
        <v/>
      </c>
      <c r="AO170" s="9" t="str">
        <f aca="false">IF(A170="","",IF(AN170=0,"START","CONTINUOUS"))</f>
        <v/>
      </c>
      <c r="AP170" s="13" t="str">
        <f aca="false">IF(A170="","",IF(H170="",Inputs!$B$18,H170))</f>
        <v/>
      </c>
      <c r="AQ170" s="13" t="str">
        <f aca="false">IF(A170="","",IFERROR(maxifs($AS$4:$AS$203,$B$4:$B$203,$A170),""))</f>
        <v/>
      </c>
      <c r="AR170" s="13" t="str">
        <f aca="false">IF(A170="","",IF(OR(C170="",Inputs!$B$23=""),"",C170/(Inputs!$B$23*60)))</f>
        <v/>
      </c>
      <c r="AS170" s="13" t="str">
        <f aca="false">IF(A170="","",IF(AN170=0,AP170+AR170,IF(AQ170="",AP170+AR170,AQ170+AR170)))</f>
        <v/>
      </c>
      <c r="AT170" s="13" t="str">
        <f aca="false">IF(A170="","",U170)</f>
        <v/>
      </c>
      <c r="AU170" s="13" t="str">
        <f aca="false">IF(OR(R170="",N170=""),"",(1/Inputs!$B$9)*((R170/4)^(2/3))*SQRT(N170))</f>
        <v/>
      </c>
      <c r="AV170" s="13" t="str">
        <f aca="false">IF(A170="","",IF(AND(AT170="",AU170="",AX170=""),"",IF(OR(UPPER(TRIM(Inputs!$B$24))="MANNING",UPPER(TRIM(Inputs!$B$24))="M"),AU170,IF(OR(UPPER(TRIM(Inputs!$B$24))="PARTIAL",UPPER(TRIM(Inputs!$B$24))="P"),AX170,IF(OR(UPPER(TRIM(Inputs!$B$24))="MAX",UPPER(TRIM(Inputs!$B$24))="X"),MAX(IF(AT170="",0,AT170),IF(AU170="",0,AU170),IF(AX170="",0,AX170)),AT170)))))</f>
        <v/>
      </c>
      <c r="AW170" s="13" t="str">
        <f aca="false">IF(AY170="","",CE170)</f>
        <v/>
      </c>
      <c r="AX170" s="13" t="str">
        <f aca="false">IF(OR(AY170="",AW170="",R170="",R170&lt;=0,AW170&lt;=0),"",AY170/((R170^2/8)*(2*ACOS(1-2*AW170/R170)-SIN(2*ACOS(1-2*AW170/R170)))))</f>
        <v/>
      </c>
      <c r="AY170" s="9" t="str">
        <f aca="false">IF(OR(L170="",AZ170=""),"",MIN(L170,AZ170))</f>
        <v/>
      </c>
      <c r="AZ170" s="9" t="str">
        <f aca="false">IF(OR(L170="",R170="",N170=""),"",IF(OR(R170="",N170="",(0.94*R170)="",R170&lt;=0,(0.94*R170)&lt;=0),"",(1/Inputs!$B$9)*((R170^2/8)*((2*ACOS(1-2*(0.94*R170)/R170))-SIN((2*ACOS(1-2*(0.94*R170)/R170)))))*((((R170^2/8)*((2*ACOS(1-2*(0.94*R170)/R170))-SIN((2*ACOS(1-2*(0.94*R170)/R170)))))/((R170/2)*((2*ACOS(1-2*(0.94*R170)/R170)))))^(2/3))*SQRT(N170)))</f>
        <v/>
      </c>
      <c r="BA170" s="9" t="str">
        <f aca="false">IF(AY170="","",0.001*R170)</f>
        <v/>
      </c>
      <c r="BB170" s="9" t="str">
        <f aca="false">IF(AY170="","",0.94*R170)</f>
        <v/>
      </c>
      <c r="BC170" s="9" t="str">
        <f aca="false">IF(AY170="","",(BA170+BB170)/2)</f>
        <v/>
      </c>
      <c r="BD170" s="9" t="str">
        <f aca="false">IF(OR(R170="",N170="",BC170="",R170&lt;=0,BC170&lt;=0),"",(1/Inputs!$B$9)*((R170^2/8)*((2*ACOS(1-2*BC170/R170))-SIN((2*ACOS(1-2*BC170/R170)))))*((((R170^2/8)*((2*ACOS(1-2*BC170/R170))-SIN((2*ACOS(1-2*BC170/R170)))))/((R170/2)*((2*ACOS(1-2*BC170/R170)))))^(2/3))*SQRT(N170))</f>
        <v/>
      </c>
      <c r="BE170" s="9" t="str">
        <f aca="false">IF(AY170="","",IF(BD170&lt;AY170,BC170,BA170))</f>
        <v/>
      </c>
      <c r="BF170" s="9" t="str">
        <f aca="false">IF(AY170="","",IF(BD170&lt;AY170,BB170,BC170))</f>
        <v/>
      </c>
      <c r="BG170" s="9" t="str">
        <f aca="false">IF(AY170="","",(BE170+BF170)/2)</f>
        <v/>
      </c>
      <c r="BH170" s="9" t="str">
        <f aca="false">IF(OR(R170="",N170="",BG170="",R170&lt;=0,BG170&lt;=0),"",(1/Inputs!$B$9)*((R170^2/8)*((2*ACOS(1-2*BG170/R170))-SIN((2*ACOS(1-2*BG170/R170)))))*((((R170^2/8)*((2*ACOS(1-2*BG170/R170))-SIN((2*ACOS(1-2*BG170/R170)))))/((R170/2)*((2*ACOS(1-2*BG170/R170)))))^(2/3))*SQRT(N170))</f>
        <v/>
      </c>
      <c r="BI170" s="9" t="str">
        <f aca="false">IF(AY170="","",IF(BH170&lt;AY170,BG170,BE170))</f>
        <v/>
      </c>
      <c r="BJ170" s="9" t="str">
        <f aca="false">IF(AY170="","",IF(BH170&lt;AY170,BF170,BG170))</f>
        <v/>
      </c>
      <c r="BK170" s="9" t="str">
        <f aca="false">IF(AY170="","",(BI170+BJ170)/2)</f>
        <v/>
      </c>
      <c r="BL170" s="9" t="str">
        <f aca="false">IF(OR(R170="",N170="",BK170="",R170&lt;=0,BK170&lt;=0),"",(1/Inputs!$B$9)*((R170^2/8)*((2*ACOS(1-2*BK170/R170))-SIN((2*ACOS(1-2*BK170/R170)))))*((((R170^2/8)*((2*ACOS(1-2*BK170/R170))-SIN((2*ACOS(1-2*BK170/R170)))))/((R170/2)*((2*ACOS(1-2*BK170/R170)))))^(2/3))*SQRT(N170))</f>
        <v/>
      </c>
      <c r="BM170" s="9" t="str">
        <f aca="false">IF(AY170="","",IF(BL170&lt;AY170,BK170,BI170))</f>
        <v/>
      </c>
      <c r="BN170" s="9" t="str">
        <f aca="false">IF(AY170="","",IF(BL170&lt;AY170,BJ170,BK170))</f>
        <v/>
      </c>
      <c r="BO170" s="9" t="str">
        <f aca="false">IF(AY170="","",(BM170+BN170)/2)</f>
        <v/>
      </c>
      <c r="BP170" s="9" t="str">
        <f aca="false">IF(OR(R170="",N170="",BO170="",R170&lt;=0,BO170&lt;=0),"",(1/Inputs!$B$9)*((R170^2/8)*((2*ACOS(1-2*BO170/R170))-SIN((2*ACOS(1-2*BO170/R170)))))*((((R170^2/8)*((2*ACOS(1-2*BO170/R170))-SIN((2*ACOS(1-2*BO170/R170)))))/((R170/2)*((2*ACOS(1-2*BO170/R170)))))^(2/3))*SQRT(N170))</f>
        <v/>
      </c>
      <c r="BQ170" s="9" t="str">
        <f aca="false">IF(AY170="","",IF(BP170&lt;AY170,BO170,BM170))</f>
        <v/>
      </c>
      <c r="BR170" s="9" t="str">
        <f aca="false">IF(AY170="","",IF(BP170&lt;AY170,BN170,BO170))</f>
        <v/>
      </c>
      <c r="BS170" s="9" t="str">
        <f aca="false">IF(AY170="","",(BQ170+BR170)/2)</f>
        <v/>
      </c>
      <c r="BT170" s="9" t="str">
        <f aca="false">IF(OR(R170="",N170="",BS170="",R170&lt;=0,BS170&lt;=0),"",(1/Inputs!$B$9)*((R170^2/8)*((2*ACOS(1-2*BS170/R170))-SIN((2*ACOS(1-2*BS170/R170)))))*((((R170^2/8)*((2*ACOS(1-2*BS170/R170))-SIN((2*ACOS(1-2*BS170/R170)))))/((R170/2)*((2*ACOS(1-2*BS170/R170)))))^(2/3))*SQRT(N170))</f>
        <v/>
      </c>
      <c r="BU170" s="9" t="str">
        <f aca="false">IF(AY170="","",IF(BT170&lt;AY170,BS170,BQ170))</f>
        <v/>
      </c>
      <c r="BV170" s="9" t="str">
        <f aca="false">IF(AY170="","",IF(BT170&lt;AY170,BR170,BS170))</f>
        <v/>
      </c>
      <c r="BW170" s="9" t="str">
        <f aca="false">IF(AY170="","",(BU170+BV170)/2)</f>
        <v/>
      </c>
      <c r="BX170" s="9" t="str">
        <f aca="false">IF(OR(R170="",N170="",BW170="",R170&lt;=0,BW170&lt;=0),"",(1/Inputs!$B$9)*((R170^2/8)*((2*ACOS(1-2*BW170/R170))-SIN((2*ACOS(1-2*BW170/R170)))))*((((R170^2/8)*((2*ACOS(1-2*BW170/R170))-SIN((2*ACOS(1-2*BW170/R170)))))/((R170/2)*((2*ACOS(1-2*BW170/R170)))))^(2/3))*SQRT(N170))</f>
        <v/>
      </c>
      <c r="BY170" s="9" t="str">
        <f aca="false">IF(AY170="","",IF(BX170&lt;AY170,BW170,BU170))</f>
        <v/>
      </c>
      <c r="BZ170" s="9" t="str">
        <f aca="false">IF(AY170="","",IF(BX170&lt;AY170,BV170,BW170))</f>
        <v/>
      </c>
      <c r="CA170" s="9" t="str">
        <f aca="false">IF(AY170="","",(BY170+BZ170)/2)</f>
        <v/>
      </c>
      <c r="CB170" s="9" t="str">
        <f aca="false">IF(OR(R170="",N170="",CA170="",R170&lt;=0,CA170&lt;=0),"",(1/Inputs!$B$9)*((R170^2/8)*((2*ACOS(1-2*CA170/R170))-SIN((2*ACOS(1-2*CA170/R170)))))*((((R170^2/8)*((2*ACOS(1-2*CA170/R170))-SIN((2*ACOS(1-2*CA170/R170)))))/((R170/2)*((2*ACOS(1-2*CA170/R170)))))^(2/3))*SQRT(N170))</f>
        <v/>
      </c>
      <c r="CC170" s="9" t="str">
        <f aca="false">IF(AY170="","",IF(CB170&lt;AY170,CA170,BY170))</f>
        <v/>
      </c>
      <c r="CD170" s="9" t="str">
        <f aca="false">IF(AY170="","",IF(CB170&lt;AY170,BZ170,CA170))</f>
        <v/>
      </c>
      <c r="CE170" s="9" t="str">
        <f aca="false">IF(AY170="","",(CC170+CD170)/2)</f>
        <v/>
      </c>
    </row>
    <row r="171" customFormat="false" ht="15" hidden="false" customHeight="false" outlineLevel="0" collapsed="false">
      <c r="A171" s="9"/>
      <c r="B171" s="9"/>
      <c r="C171" s="14"/>
      <c r="D171" s="14"/>
      <c r="E171" s="14" t="n">
        <f aca="false">SUMIFS(CB_Tributaires!$C:$C,CB_Tributaires!$B:$B,$A171)</f>
        <v>0</v>
      </c>
      <c r="F171" s="14" t="n">
        <f aca="false">IF(D171="",E171,D171)</f>
        <v>0</v>
      </c>
      <c r="G171" s="9"/>
      <c r="H171" s="14"/>
      <c r="I171" s="14" t="str">
        <f aca="false">IF(A171="","",Inputs!$B$13/((IF(AS171="",Inputs!$B$18,AS171)+Inputs!$B$14)^Inputs!$B$15))</f>
        <v/>
      </c>
      <c r="J171" s="14" t="str">
        <f aca="false">IF(A171="","",0.000000278*IF(G171="",Inputs!$B$17,G171)*F171*I171)</f>
        <v/>
      </c>
      <c r="K171" s="14" t="str">
        <f aca="false">IF(A171="","",SUMIFS($L$4:$L$203,$B$4:$B$203,$A171))</f>
        <v/>
      </c>
      <c r="L171" s="14" t="str">
        <f aca="false">IF(A171="","",(J171+K171)*Inputs!$B$16)</f>
        <v/>
      </c>
      <c r="M171" s="14"/>
      <c r="N171" s="14" t="str">
        <f aca="false">IF(A171="","",IF(M171="",Inputs!$B$7,M171))</f>
        <v/>
      </c>
      <c r="O171" s="9" t="str">
        <f aca="false">IF(A171="","",IF(L171/Inputs!$B$10&lt;=AD171,Inputs!$F$5,IF(L171/Inputs!$B$10&gt;AM171,"OVERSIZE",INDEX(Inputs!$F$5:$F$14,MATCH(L171/Inputs!$B$10,AD171:AM171,1)+1))))</f>
        <v/>
      </c>
      <c r="P171" s="9"/>
      <c r="Q171" s="9" t="str">
        <f aca="false">IF(A171="","",IF(P171="",O171,P171))</f>
        <v/>
      </c>
      <c r="R171" s="14" t="str">
        <f aca="false">IF(OR(Q171="",Q171="OVERSIZE"),"",Q171/1000)</f>
        <v/>
      </c>
      <c r="S171" s="14" t="str">
        <f aca="false">IF(R171="","",(1/Inputs!$B$9)*(PI()*R171^2/4)*((R171/4)^(2/3))*SQRT(N171))</f>
        <v/>
      </c>
      <c r="T171" s="14" t="str">
        <f aca="false">IF(OR(S171="",L171=""),"",L171/(S171*Inputs!$B$10))</f>
        <v/>
      </c>
      <c r="U171" s="14" t="str">
        <f aca="false">IF(OR(R171="",L171=""),"",4*L171/(PI()*R171^2))</f>
        <v/>
      </c>
      <c r="V171" s="14"/>
      <c r="W171" s="14" t="str">
        <f aca="false">IF(A171="","",IF(A171=Inputs!$B$6,Inputs!$B$22,IF(B171="","",IFERROR(INDEX($X$4:$X$203,MATCH(B171,$A$4:$A$203,0))+IF(V171="",Inputs!$B$20,V171),""))))</f>
        <v/>
      </c>
      <c r="X171" s="14" t="str">
        <f aca="false">IF(OR(W171="",N171="",C171=""),"",W171+N171*C171)</f>
        <v/>
      </c>
      <c r="Y171" s="14"/>
      <c r="Z171" s="14"/>
      <c r="AA171" s="14" t="str">
        <f aca="false">IF(OR(Y171="",W171=""),"",Y171-W171)</f>
        <v/>
      </c>
      <c r="AB171" s="14" t="str">
        <f aca="false">IF(OR(Z171="",X171=""),"",Z171-X171)</f>
        <v/>
      </c>
      <c r="AC171" s="19" t="str">
        <f aca="false">IF(A171="","",IF(OR(T171&gt;1,AND(AV171&lt;&gt;"",AV171&lt;Inputs!$B$11),AND(AV171&lt;&gt;"",AV171&gt;Inputs!$B$12),AA171&lt;Inputs!$B$19,AB171&lt;Inputs!$B$19,N171&lt;Inputs!$B$7,N171&gt;Inputs!$B$8),"CHECK","OK"))</f>
        <v/>
      </c>
      <c r="AD171" s="9" t="str">
        <f aca="false">IF(A171="","",(1/Inputs!$B$9)*(PI()*(Inputs!$F$5/1000)^2/4)*((Inputs!$F$5/1000/4)^(2/3))*SQRT(N171))</f>
        <v/>
      </c>
      <c r="AE171" s="9" t="str">
        <f aca="false">IF(A171="","",(1/Inputs!$B$9)*(PI()*(Inputs!$F$6/1000)^2/4)*((Inputs!$F$6/1000/4)^(2/3))*SQRT(N171))</f>
        <v/>
      </c>
      <c r="AF171" s="9" t="str">
        <f aca="false">IF(A171="","",(1/Inputs!$B$9)*(PI()*(Inputs!$F$7/1000)^2/4)*((Inputs!$F$7/1000/4)^(2/3))*SQRT(N171))</f>
        <v/>
      </c>
      <c r="AG171" s="9" t="str">
        <f aca="false">IF(A171="","",(1/Inputs!$B$9)*(PI()*(Inputs!$F$8/1000)^2/4)*((Inputs!$F$8/1000/4)^(2/3))*SQRT(N171))</f>
        <v/>
      </c>
      <c r="AH171" s="9" t="str">
        <f aca="false">IF(A171="","",(1/Inputs!$B$9)*(PI()*(Inputs!$F$9/1000)^2/4)*((Inputs!$F$9/1000/4)^(2/3))*SQRT(N171))</f>
        <v/>
      </c>
      <c r="AI171" s="9" t="str">
        <f aca="false">IF(A171="","",(1/Inputs!$B$9)*(PI()*(Inputs!$F$10/1000)^2/4)*((Inputs!$F$10/1000/4)^(2/3))*SQRT(N171))</f>
        <v/>
      </c>
      <c r="AJ171" s="9" t="str">
        <f aca="false">IF(A171="","",(1/Inputs!$B$9)*(PI()*(Inputs!$F$11/1000)^2/4)*((Inputs!$F$11/1000/4)^(2/3))*SQRT(N171))</f>
        <v/>
      </c>
      <c r="AK171" s="9" t="str">
        <f aca="false">IF(A171="","",(1/Inputs!$B$9)*(PI()*(Inputs!$F$12/1000)^2/4)*((Inputs!$F$12/1000/4)^(2/3))*SQRT(N171))</f>
        <v/>
      </c>
      <c r="AL171" s="9" t="str">
        <f aca="false">IF(A171="","",(1/Inputs!$B$9)*(PI()*(Inputs!$F$13/1000)^2/4)*((Inputs!$F$13/1000/4)^(2/3))*SQRT(N171))</f>
        <v/>
      </c>
      <c r="AM171" s="9" t="str">
        <f aca="false">IF(A171="","",(1/Inputs!$B$9)*(PI()*(Inputs!$F$14/1000)^2/4)*((Inputs!$F$14/1000/4)^(2/3))*SQRT(N171))</f>
        <v/>
      </c>
      <c r="AN171" s="9" t="str">
        <f aca="false">IF(A171="","",COUNTIF($B$4:$B$203,$A171))</f>
        <v/>
      </c>
      <c r="AO171" s="9" t="str">
        <f aca="false">IF(A171="","",IF(AN171=0,"START","CONTINUOUS"))</f>
        <v/>
      </c>
      <c r="AP171" s="13" t="str">
        <f aca="false">IF(A171="","",IF(H171="",Inputs!$B$18,H171))</f>
        <v/>
      </c>
      <c r="AQ171" s="13" t="str">
        <f aca="false">IF(A171="","",IFERROR(maxifs($AS$4:$AS$203,$B$4:$B$203,$A171),""))</f>
        <v/>
      </c>
      <c r="AR171" s="13" t="str">
        <f aca="false">IF(A171="","",IF(OR(C171="",Inputs!$B$23=""),"",C171/(Inputs!$B$23*60)))</f>
        <v/>
      </c>
      <c r="AS171" s="13" t="str">
        <f aca="false">IF(A171="","",IF(AN171=0,AP171+AR171,IF(AQ171="",AP171+AR171,AQ171+AR171)))</f>
        <v/>
      </c>
      <c r="AT171" s="13" t="str">
        <f aca="false">IF(A171="","",U171)</f>
        <v/>
      </c>
      <c r="AU171" s="13" t="str">
        <f aca="false">IF(OR(R171="",N171=""),"",(1/Inputs!$B$9)*((R171/4)^(2/3))*SQRT(N171))</f>
        <v/>
      </c>
      <c r="AV171" s="13" t="str">
        <f aca="false">IF(A171="","",IF(AND(AT171="",AU171="",AX171=""),"",IF(OR(UPPER(TRIM(Inputs!$B$24))="MANNING",UPPER(TRIM(Inputs!$B$24))="M"),AU171,IF(OR(UPPER(TRIM(Inputs!$B$24))="PARTIAL",UPPER(TRIM(Inputs!$B$24))="P"),AX171,IF(OR(UPPER(TRIM(Inputs!$B$24))="MAX",UPPER(TRIM(Inputs!$B$24))="X"),MAX(IF(AT171="",0,AT171),IF(AU171="",0,AU171),IF(AX171="",0,AX171)),AT171)))))</f>
        <v/>
      </c>
      <c r="AW171" s="13" t="str">
        <f aca="false">IF(AY171="","",CE171)</f>
        <v/>
      </c>
      <c r="AX171" s="13" t="str">
        <f aca="false">IF(OR(AY171="",AW171="",R171="",R171&lt;=0,AW171&lt;=0),"",AY171/((R171^2/8)*(2*ACOS(1-2*AW171/R171)-SIN(2*ACOS(1-2*AW171/R171)))))</f>
        <v/>
      </c>
      <c r="AY171" s="9" t="str">
        <f aca="false">IF(OR(L171="",AZ171=""),"",MIN(L171,AZ171))</f>
        <v/>
      </c>
      <c r="AZ171" s="9" t="str">
        <f aca="false">IF(OR(L171="",R171="",N171=""),"",IF(OR(R171="",N171="",(0.94*R171)="",R171&lt;=0,(0.94*R171)&lt;=0),"",(1/Inputs!$B$9)*((R171^2/8)*((2*ACOS(1-2*(0.94*R171)/R171))-SIN((2*ACOS(1-2*(0.94*R171)/R171)))))*((((R171^2/8)*((2*ACOS(1-2*(0.94*R171)/R171))-SIN((2*ACOS(1-2*(0.94*R171)/R171)))))/((R171/2)*((2*ACOS(1-2*(0.94*R171)/R171)))))^(2/3))*SQRT(N171)))</f>
        <v/>
      </c>
      <c r="BA171" s="9" t="str">
        <f aca="false">IF(AY171="","",0.001*R171)</f>
        <v/>
      </c>
      <c r="BB171" s="9" t="str">
        <f aca="false">IF(AY171="","",0.94*R171)</f>
        <v/>
      </c>
      <c r="BC171" s="9" t="str">
        <f aca="false">IF(AY171="","",(BA171+BB171)/2)</f>
        <v/>
      </c>
      <c r="BD171" s="9" t="str">
        <f aca="false">IF(OR(R171="",N171="",BC171="",R171&lt;=0,BC171&lt;=0),"",(1/Inputs!$B$9)*((R171^2/8)*((2*ACOS(1-2*BC171/R171))-SIN((2*ACOS(1-2*BC171/R171)))))*((((R171^2/8)*((2*ACOS(1-2*BC171/R171))-SIN((2*ACOS(1-2*BC171/R171)))))/((R171/2)*((2*ACOS(1-2*BC171/R171)))))^(2/3))*SQRT(N171))</f>
        <v/>
      </c>
      <c r="BE171" s="9" t="str">
        <f aca="false">IF(AY171="","",IF(BD171&lt;AY171,BC171,BA171))</f>
        <v/>
      </c>
      <c r="BF171" s="9" t="str">
        <f aca="false">IF(AY171="","",IF(BD171&lt;AY171,BB171,BC171))</f>
        <v/>
      </c>
      <c r="BG171" s="9" t="str">
        <f aca="false">IF(AY171="","",(BE171+BF171)/2)</f>
        <v/>
      </c>
      <c r="BH171" s="9" t="str">
        <f aca="false">IF(OR(R171="",N171="",BG171="",R171&lt;=0,BG171&lt;=0),"",(1/Inputs!$B$9)*((R171^2/8)*((2*ACOS(1-2*BG171/R171))-SIN((2*ACOS(1-2*BG171/R171)))))*((((R171^2/8)*((2*ACOS(1-2*BG171/R171))-SIN((2*ACOS(1-2*BG171/R171)))))/((R171/2)*((2*ACOS(1-2*BG171/R171)))))^(2/3))*SQRT(N171))</f>
        <v/>
      </c>
      <c r="BI171" s="9" t="str">
        <f aca="false">IF(AY171="","",IF(BH171&lt;AY171,BG171,BE171))</f>
        <v/>
      </c>
      <c r="BJ171" s="9" t="str">
        <f aca="false">IF(AY171="","",IF(BH171&lt;AY171,BF171,BG171))</f>
        <v/>
      </c>
      <c r="BK171" s="9" t="str">
        <f aca="false">IF(AY171="","",(BI171+BJ171)/2)</f>
        <v/>
      </c>
      <c r="BL171" s="9" t="str">
        <f aca="false">IF(OR(R171="",N171="",BK171="",R171&lt;=0,BK171&lt;=0),"",(1/Inputs!$B$9)*((R171^2/8)*((2*ACOS(1-2*BK171/R171))-SIN((2*ACOS(1-2*BK171/R171)))))*((((R171^2/8)*((2*ACOS(1-2*BK171/R171))-SIN((2*ACOS(1-2*BK171/R171)))))/((R171/2)*((2*ACOS(1-2*BK171/R171)))))^(2/3))*SQRT(N171))</f>
        <v/>
      </c>
      <c r="BM171" s="9" t="str">
        <f aca="false">IF(AY171="","",IF(BL171&lt;AY171,BK171,BI171))</f>
        <v/>
      </c>
      <c r="BN171" s="9" t="str">
        <f aca="false">IF(AY171="","",IF(BL171&lt;AY171,BJ171,BK171))</f>
        <v/>
      </c>
      <c r="BO171" s="9" t="str">
        <f aca="false">IF(AY171="","",(BM171+BN171)/2)</f>
        <v/>
      </c>
      <c r="BP171" s="9" t="str">
        <f aca="false">IF(OR(R171="",N171="",BO171="",R171&lt;=0,BO171&lt;=0),"",(1/Inputs!$B$9)*((R171^2/8)*((2*ACOS(1-2*BO171/R171))-SIN((2*ACOS(1-2*BO171/R171)))))*((((R171^2/8)*((2*ACOS(1-2*BO171/R171))-SIN((2*ACOS(1-2*BO171/R171)))))/((R171/2)*((2*ACOS(1-2*BO171/R171)))))^(2/3))*SQRT(N171))</f>
        <v/>
      </c>
      <c r="BQ171" s="9" t="str">
        <f aca="false">IF(AY171="","",IF(BP171&lt;AY171,BO171,BM171))</f>
        <v/>
      </c>
      <c r="BR171" s="9" t="str">
        <f aca="false">IF(AY171="","",IF(BP171&lt;AY171,BN171,BO171))</f>
        <v/>
      </c>
      <c r="BS171" s="9" t="str">
        <f aca="false">IF(AY171="","",(BQ171+BR171)/2)</f>
        <v/>
      </c>
      <c r="BT171" s="9" t="str">
        <f aca="false">IF(OR(R171="",N171="",BS171="",R171&lt;=0,BS171&lt;=0),"",(1/Inputs!$B$9)*((R171^2/8)*((2*ACOS(1-2*BS171/R171))-SIN((2*ACOS(1-2*BS171/R171)))))*((((R171^2/8)*((2*ACOS(1-2*BS171/R171))-SIN((2*ACOS(1-2*BS171/R171)))))/((R171/2)*((2*ACOS(1-2*BS171/R171)))))^(2/3))*SQRT(N171))</f>
        <v/>
      </c>
      <c r="BU171" s="9" t="str">
        <f aca="false">IF(AY171="","",IF(BT171&lt;AY171,BS171,BQ171))</f>
        <v/>
      </c>
      <c r="BV171" s="9" t="str">
        <f aca="false">IF(AY171="","",IF(BT171&lt;AY171,BR171,BS171))</f>
        <v/>
      </c>
      <c r="BW171" s="9" t="str">
        <f aca="false">IF(AY171="","",(BU171+BV171)/2)</f>
        <v/>
      </c>
      <c r="BX171" s="9" t="str">
        <f aca="false">IF(OR(R171="",N171="",BW171="",R171&lt;=0,BW171&lt;=0),"",(1/Inputs!$B$9)*((R171^2/8)*((2*ACOS(1-2*BW171/R171))-SIN((2*ACOS(1-2*BW171/R171)))))*((((R171^2/8)*((2*ACOS(1-2*BW171/R171))-SIN((2*ACOS(1-2*BW171/R171)))))/((R171/2)*((2*ACOS(1-2*BW171/R171)))))^(2/3))*SQRT(N171))</f>
        <v/>
      </c>
      <c r="BY171" s="9" t="str">
        <f aca="false">IF(AY171="","",IF(BX171&lt;AY171,BW171,BU171))</f>
        <v/>
      </c>
      <c r="BZ171" s="9" t="str">
        <f aca="false">IF(AY171="","",IF(BX171&lt;AY171,BV171,BW171))</f>
        <v/>
      </c>
      <c r="CA171" s="9" t="str">
        <f aca="false">IF(AY171="","",(BY171+BZ171)/2)</f>
        <v/>
      </c>
      <c r="CB171" s="9" t="str">
        <f aca="false">IF(OR(R171="",N171="",CA171="",R171&lt;=0,CA171&lt;=0),"",(1/Inputs!$B$9)*((R171^2/8)*((2*ACOS(1-2*CA171/R171))-SIN((2*ACOS(1-2*CA171/R171)))))*((((R171^2/8)*((2*ACOS(1-2*CA171/R171))-SIN((2*ACOS(1-2*CA171/R171)))))/((R171/2)*((2*ACOS(1-2*CA171/R171)))))^(2/3))*SQRT(N171))</f>
        <v/>
      </c>
      <c r="CC171" s="9" t="str">
        <f aca="false">IF(AY171="","",IF(CB171&lt;AY171,CA171,BY171))</f>
        <v/>
      </c>
      <c r="CD171" s="9" t="str">
        <f aca="false">IF(AY171="","",IF(CB171&lt;AY171,BZ171,CA171))</f>
        <v/>
      </c>
      <c r="CE171" s="9" t="str">
        <f aca="false">IF(AY171="","",(CC171+CD171)/2)</f>
        <v/>
      </c>
    </row>
    <row r="172" customFormat="false" ht="15" hidden="false" customHeight="false" outlineLevel="0" collapsed="false">
      <c r="A172" s="9"/>
      <c r="B172" s="9"/>
      <c r="C172" s="14"/>
      <c r="D172" s="14"/>
      <c r="E172" s="14" t="n">
        <f aca="false">SUMIFS(CB_Tributaires!$C:$C,CB_Tributaires!$B:$B,$A172)</f>
        <v>0</v>
      </c>
      <c r="F172" s="14" t="n">
        <f aca="false">IF(D172="",E172,D172)</f>
        <v>0</v>
      </c>
      <c r="G172" s="9"/>
      <c r="H172" s="14"/>
      <c r="I172" s="14" t="str">
        <f aca="false">IF(A172="","",Inputs!$B$13/((IF(AS172="",Inputs!$B$18,AS172)+Inputs!$B$14)^Inputs!$B$15))</f>
        <v/>
      </c>
      <c r="J172" s="14" t="str">
        <f aca="false">IF(A172="","",0.000000278*IF(G172="",Inputs!$B$17,G172)*F172*I172)</f>
        <v/>
      </c>
      <c r="K172" s="14" t="str">
        <f aca="false">IF(A172="","",SUMIFS($L$4:$L$203,$B$4:$B$203,$A172))</f>
        <v/>
      </c>
      <c r="L172" s="14" t="str">
        <f aca="false">IF(A172="","",(J172+K172)*Inputs!$B$16)</f>
        <v/>
      </c>
      <c r="M172" s="14"/>
      <c r="N172" s="14" t="str">
        <f aca="false">IF(A172="","",IF(M172="",Inputs!$B$7,M172))</f>
        <v/>
      </c>
      <c r="O172" s="9" t="str">
        <f aca="false">IF(A172="","",IF(L172/Inputs!$B$10&lt;=AD172,Inputs!$F$5,IF(L172/Inputs!$B$10&gt;AM172,"OVERSIZE",INDEX(Inputs!$F$5:$F$14,MATCH(L172/Inputs!$B$10,AD172:AM172,1)+1))))</f>
        <v/>
      </c>
      <c r="P172" s="9"/>
      <c r="Q172" s="9" t="str">
        <f aca="false">IF(A172="","",IF(P172="",O172,P172))</f>
        <v/>
      </c>
      <c r="R172" s="14" t="str">
        <f aca="false">IF(OR(Q172="",Q172="OVERSIZE"),"",Q172/1000)</f>
        <v/>
      </c>
      <c r="S172" s="14" t="str">
        <f aca="false">IF(R172="","",(1/Inputs!$B$9)*(PI()*R172^2/4)*((R172/4)^(2/3))*SQRT(N172))</f>
        <v/>
      </c>
      <c r="T172" s="14" t="str">
        <f aca="false">IF(OR(S172="",L172=""),"",L172/(S172*Inputs!$B$10))</f>
        <v/>
      </c>
      <c r="U172" s="14" t="str">
        <f aca="false">IF(OR(R172="",L172=""),"",4*L172/(PI()*R172^2))</f>
        <v/>
      </c>
      <c r="V172" s="14"/>
      <c r="W172" s="14" t="str">
        <f aca="false">IF(A172="","",IF(A172=Inputs!$B$6,Inputs!$B$22,IF(B172="","",IFERROR(INDEX($X$4:$X$203,MATCH(B172,$A$4:$A$203,0))+IF(V172="",Inputs!$B$20,V172),""))))</f>
        <v/>
      </c>
      <c r="X172" s="14" t="str">
        <f aca="false">IF(OR(W172="",N172="",C172=""),"",W172+N172*C172)</f>
        <v/>
      </c>
      <c r="Y172" s="14"/>
      <c r="Z172" s="14"/>
      <c r="AA172" s="14" t="str">
        <f aca="false">IF(OR(Y172="",W172=""),"",Y172-W172)</f>
        <v/>
      </c>
      <c r="AB172" s="14" t="str">
        <f aca="false">IF(OR(Z172="",X172=""),"",Z172-X172)</f>
        <v/>
      </c>
      <c r="AC172" s="19" t="str">
        <f aca="false">IF(A172="","",IF(OR(T172&gt;1,AND(AV172&lt;&gt;"",AV172&lt;Inputs!$B$11),AND(AV172&lt;&gt;"",AV172&gt;Inputs!$B$12),AA172&lt;Inputs!$B$19,AB172&lt;Inputs!$B$19,N172&lt;Inputs!$B$7,N172&gt;Inputs!$B$8),"CHECK","OK"))</f>
        <v/>
      </c>
      <c r="AD172" s="9" t="str">
        <f aca="false">IF(A172="","",(1/Inputs!$B$9)*(PI()*(Inputs!$F$5/1000)^2/4)*((Inputs!$F$5/1000/4)^(2/3))*SQRT(N172))</f>
        <v/>
      </c>
      <c r="AE172" s="9" t="str">
        <f aca="false">IF(A172="","",(1/Inputs!$B$9)*(PI()*(Inputs!$F$6/1000)^2/4)*((Inputs!$F$6/1000/4)^(2/3))*SQRT(N172))</f>
        <v/>
      </c>
      <c r="AF172" s="9" t="str">
        <f aca="false">IF(A172="","",(1/Inputs!$B$9)*(PI()*(Inputs!$F$7/1000)^2/4)*((Inputs!$F$7/1000/4)^(2/3))*SQRT(N172))</f>
        <v/>
      </c>
      <c r="AG172" s="9" t="str">
        <f aca="false">IF(A172="","",(1/Inputs!$B$9)*(PI()*(Inputs!$F$8/1000)^2/4)*((Inputs!$F$8/1000/4)^(2/3))*SQRT(N172))</f>
        <v/>
      </c>
      <c r="AH172" s="9" t="str">
        <f aca="false">IF(A172="","",(1/Inputs!$B$9)*(PI()*(Inputs!$F$9/1000)^2/4)*((Inputs!$F$9/1000/4)^(2/3))*SQRT(N172))</f>
        <v/>
      </c>
      <c r="AI172" s="9" t="str">
        <f aca="false">IF(A172="","",(1/Inputs!$B$9)*(PI()*(Inputs!$F$10/1000)^2/4)*((Inputs!$F$10/1000/4)^(2/3))*SQRT(N172))</f>
        <v/>
      </c>
      <c r="AJ172" s="9" t="str">
        <f aca="false">IF(A172="","",(1/Inputs!$B$9)*(PI()*(Inputs!$F$11/1000)^2/4)*((Inputs!$F$11/1000/4)^(2/3))*SQRT(N172))</f>
        <v/>
      </c>
      <c r="AK172" s="9" t="str">
        <f aca="false">IF(A172="","",(1/Inputs!$B$9)*(PI()*(Inputs!$F$12/1000)^2/4)*((Inputs!$F$12/1000/4)^(2/3))*SQRT(N172))</f>
        <v/>
      </c>
      <c r="AL172" s="9" t="str">
        <f aca="false">IF(A172="","",(1/Inputs!$B$9)*(PI()*(Inputs!$F$13/1000)^2/4)*((Inputs!$F$13/1000/4)^(2/3))*SQRT(N172))</f>
        <v/>
      </c>
      <c r="AM172" s="9" t="str">
        <f aca="false">IF(A172="","",(1/Inputs!$B$9)*(PI()*(Inputs!$F$14/1000)^2/4)*((Inputs!$F$14/1000/4)^(2/3))*SQRT(N172))</f>
        <v/>
      </c>
      <c r="AN172" s="9" t="str">
        <f aca="false">IF(A172="","",COUNTIF($B$4:$B$203,$A172))</f>
        <v/>
      </c>
      <c r="AO172" s="9" t="str">
        <f aca="false">IF(A172="","",IF(AN172=0,"START","CONTINUOUS"))</f>
        <v/>
      </c>
      <c r="AP172" s="13" t="str">
        <f aca="false">IF(A172="","",IF(H172="",Inputs!$B$18,H172))</f>
        <v/>
      </c>
      <c r="AQ172" s="13" t="str">
        <f aca="false">IF(A172="","",IFERROR(maxifs($AS$4:$AS$203,$B$4:$B$203,$A172),""))</f>
        <v/>
      </c>
      <c r="AR172" s="13" t="str">
        <f aca="false">IF(A172="","",IF(OR(C172="",Inputs!$B$23=""),"",C172/(Inputs!$B$23*60)))</f>
        <v/>
      </c>
      <c r="AS172" s="13" t="str">
        <f aca="false">IF(A172="","",IF(AN172=0,AP172+AR172,IF(AQ172="",AP172+AR172,AQ172+AR172)))</f>
        <v/>
      </c>
      <c r="AT172" s="13" t="str">
        <f aca="false">IF(A172="","",U172)</f>
        <v/>
      </c>
      <c r="AU172" s="13" t="str">
        <f aca="false">IF(OR(R172="",N172=""),"",(1/Inputs!$B$9)*((R172/4)^(2/3))*SQRT(N172))</f>
        <v/>
      </c>
      <c r="AV172" s="13" t="str">
        <f aca="false">IF(A172="","",IF(AND(AT172="",AU172="",AX172=""),"",IF(OR(UPPER(TRIM(Inputs!$B$24))="MANNING",UPPER(TRIM(Inputs!$B$24))="M"),AU172,IF(OR(UPPER(TRIM(Inputs!$B$24))="PARTIAL",UPPER(TRIM(Inputs!$B$24))="P"),AX172,IF(OR(UPPER(TRIM(Inputs!$B$24))="MAX",UPPER(TRIM(Inputs!$B$24))="X"),MAX(IF(AT172="",0,AT172),IF(AU172="",0,AU172),IF(AX172="",0,AX172)),AT172)))))</f>
        <v/>
      </c>
      <c r="AW172" s="13" t="str">
        <f aca="false">IF(AY172="","",CE172)</f>
        <v/>
      </c>
      <c r="AX172" s="13" t="str">
        <f aca="false">IF(OR(AY172="",AW172="",R172="",R172&lt;=0,AW172&lt;=0),"",AY172/((R172^2/8)*(2*ACOS(1-2*AW172/R172)-SIN(2*ACOS(1-2*AW172/R172)))))</f>
        <v/>
      </c>
      <c r="AY172" s="9" t="str">
        <f aca="false">IF(OR(L172="",AZ172=""),"",MIN(L172,AZ172))</f>
        <v/>
      </c>
      <c r="AZ172" s="9" t="str">
        <f aca="false">IF(OR(L172="",R172="",N172=""),"",IF(OR(R172="",N172="",(0.94*R172)="",R172&lt;=0,(0.94*R172)&lt;=0),"",(1/Inputs!$B$9)*((R172^2/8)*((2*ACOS(1-2*(0.94*R172)/R172))-SIN((2*ACOS(1-2*(0.94*R172)/R172)))))*((((R172^2/8)*((2*ACOS(1-2*(0.94*R172)/R172))-SIN((2*ACOS(1-2*(0.94*R172)/R172)))))/((R172/2)*((2*ACOS(1-2*(0.94*R172)/R172)))))^(2/3))*SQRT(N172)))</f>
        <v/>
      </c>
      <c r="BA172" s="9" t="str">
        <f aca="false">IF(AY172="","",0.001*R172)</f>
        <v/>
      </c>
      <c r="BB172" s="9" t="str">
        <f aca="false">IF(AY172="","",0.94*R172)</f>
        <v/>
      </c>
      <c r="BC172" s="9" t="str">
        <f aca="false">IF(AY172="","",(BA172+BB172)/2)</f>
        <v/>
      </c>
      <c r="BD172" s="9" t="str">
        <f aca="false">IF(OR(R172="",N172="",BC172="",R172&lt;=0,BC172&lt;=0),"",(1/Inputs!$B$9)*((R172^2/8)*((2*ACOS(1-2*BC172/R172))-SIN((2*ACOS(1-2*BC172/R172)))))*((((R172^2/8)*((2*ACOS(1-2*BC172/R172))-SIN((2*ACOS(1-2*BC172/R172)))))/((R172/2)*((2*ACOS(1-2*BC172/R172)))))^(2/3))*SQRT(N172))</f>
        <v/>
      </c>
      <c r="BE172" s="9" t="str">
        <f aca="false">IF(AY172="","",IF(BD172&lt;AY172,BC172,BA172))</f>
        <v/>
      </c>
      <c r="BF172" s="9" t="str">
        <f aca="false">IF(AY172="","",IF(BD172&lt;AY172,BB172,BC172))</f>
        <v/>
      </c>
      <c r="BG172" s="9" t="str">
        <f aca="false">IF(AY172="","",(BE172+BF172)/2)</f>
        <v/>
      </c>
      <c r="BH172" s="9" t="str">
        <f aca="false">IF(OR(R172="",N172="",BG172="",R172&lt;=0,BG172&lt;=0),"",(1/Inputs!$B$9)*((R172^2/8)*((2*ACOS(1-2*BG172/R172))-SIN((2*ACOS(1-2*BG172/R172)))))*((((R172^2/8)*((2*ACOS(1-2*BG172/R172))-SIN((2*ACOS(1-2*BG172/R172)))))/((R172/2)*((2*ACOS(1-2*BG172/R172)))))^(2/3))*SQRT(N172))</f>
        <v/>
      </c>
      <c r="BI172" s="9" t="str">
        <f aca="false">IF(AY172="","",IF(BH172&lt;AY172,BG172,BE172))</f>
        <v/>
      </c>
      <c r="BJ172" s="9" t="str">
        <f aca="false">IF(AY172="","",IF(BH172&lt;AY172,BF172,BG172))</f>
        <v/>
      </c>
      <c r="BK172" s="9" t="str">
        <f aca="false">IF(AY172="","",(BI172+BJ172)/2)</f>
        <v/>
      </c>
      <c r="BL172" s="9" t="str">
        <f aca="false">IF(OR(R172="",N172="",BK172="",R172&lt;=0,BK172&lt;=0),"",(1/Inputs!$B$9)*((R172^2/8)*((2*ACOS(1-2*BK172/R172))-SIN((2*ACOS(1-2*BK172/R172)))))*((((R172^2/8)*((2*ACOS(1-2*BK172/R172))-SIN((2*ACOS(1-2*BK172/R172)))))/((R172/2)*((2*ACOS(1-2*BK172/R172)))))^(2/3))*SQRT(N172))</f>
        <v/>
      </c>
      <c r="BM172" s="9" t="str">
        <f aca="false">IF(AY172="","",IF(BL172&lt;AY172,BK172,BI172))</f>
        <v/>
      </c>
      <c r="BN172" s="9" t="str">
        <f aca="false">IF(AY172="","",IF(BL172&lt;AY172,BJ172,BK172))</f>
        <v/>
      </c>
      <c r="BO172" s="9" t="str">
        <f aca="false">IF(AY172="","",(BM172+BN172)/2)</f>
        <v/>
      </c>
      <c r="BP172" s="9" t="str">
        <f aca="false">IF(OR(R172="",N172="",BO172="",R172&lt;=0,BO172&lt;=0),"",(1/Inputs!$B$9)*((R172^2/8)*((2*ACOS(1-2*BO172/R172))-SIN((2*ACOS(1-2*BO172/R172)))))*((((R172^2/8)*((2*ACOS(1-2*BO172/R172))-SIN((2*ACOS(1-2*BO172/R172)))))/((R172/2)*((2*ACOS(1-2*BO172/R172)))))^(2/3))*SQRT(N172))</f>
        <v/>
      </c>
      <c r="BQ172" s="9" t="str">
        <f aca="false">IF(AY172="","",IF(BP172&lt;AY172,BO172,BM172))</f>
        <v/>
      </c>
      <c r="BR172" s="9" t="str">
        <f aca="false">IF(AY172="","",IF(BP172&lt;AY172,BN172,BO172))</f>
        <v/>
      </c>
      <c r="BS172" s="9" t="str">
        <f aca="false">IF(AY172="","",(BQ172+BR172)/2)</f>
        <v/>
      </c>
      <c r="BT172" s="9" t="str">
        <f aca="false">IF(OR(R172="",N172="",BS172="",R172&lt;=0,BS172&lt;=0),"",(1/Inputs!$B$9)*((R172^2/8)*((2*ACOS(1-2*BS172/R172))-SIN((2*ACOS(1-2*BS172/R172)))))*((((R172^2/8)*((2*ACOS(1-2*BS172/R172))-SIN((2*ACOS(1-2*BS172/R172)))))/((R172/2)*((2*ACOS(1-2*BS172/R172)))))^(2/3))*SQRT(N172))</f>
        <v/>
      </c>
      <c r="BU172" s="9" t="str">
        <f aca="false">IF(AY172="","",IF(BT172&lt;AY172,BS172,BQ172))</f>
        <v/>
      </c>
      <c r="BV172" s="9" t="str">
        <f aca="false">IF(AY172="","",IF(BT172&lt;AY172,BR172,BS172))</f>
        <v/>
      </c>
      <c r="BW172" s="9" t="str">
        <f aca="false">IF(AY172="","",(BU172+BV172)/2)</f>
        <v/>
      </c>
      <c r="BX172" s="9" t="str">
        <f aca="false">IF(OR(R172="",N172="",BW172="",R172&lt;=0,BW172&lt;=0),"",(1/Inputs!$B$9)*((R172^2/8)*((2*ACOS(1-2*BW172/R172))-SIN((2*ACOS(1-2*BW172/R172)))))*((((R172^2/8)*((2*ACOS(1-2*BW172/R172))-SIN((2*ACOS(1-2*BW172/R172)))))/((R172/2)*((2*ACOS(1-2*BW172/R172)))))^(2/3))*SQRT(N172))</f>
        <v/>
      </c>
      <c r="BY172" s="9" t="str">
        <f aca="false">IF(AY172="","",IF(BX172&lt;AY172,BW172,BU172))</f>
        <v/>
      </c>
      <c r="BZ172" s="9" t="str">
        <f aca="false">IF(AY172="","",IF(BX172&lt;AY172,BV172,BW172))</f>
        <v/>
      </c>
      <c r="CA172" s="9" t="str">
        <f aca="false">IF(AY172="","",(BY172+BZ172)/2)</f>
        <v/>
      </c>
      <c r="CB172" s="9" t="str">
        <f aca="false">IF(OR(R172="",N172="",CA172="",R172&lt;=0,CA172&lt;=0),"",(1/Inputs!$B$9)*((R172^2/8)*((2*ACOS(1-2*CA172/R172))-SIN((2*ACOS(1-2*CA172/R172)))))*((((R172^2/8)*((2*ACOS(1-2*CA172/R172))-SIN((2*ACOS(1-2*CA172/R172)))))/((R172/2)*((2*ACOS(1-2*CA172/R172)))))^(2/3))*SQRT(N172))</f>
        <v/>
      </c>
      <c r="CC172" s="9" t="str">
        <f aca="false">IF(AY172="","",IF(CB172&lt;AY172,CA172,BY172))</f>
        <v/>
      </c>
      <c r="CD172" s="9" t="str">
        <f aca="false">IF(AY172="","",IF(CB172&lt;AY172,BZ172,CA172))</f>
        <v/>
      </c>
      <c r="CE172" s="9" t="str">
        <f aca="false">IF(AY172="","",(CC172+CD172)/2)</f>
        <v/>
      </c>
    </row>
    <row r="173" customFormat="false" ht="15" hidden="false" customHeight="false" outlineLevel="0" collapsed="false">
      <c r="A173" s="9"/>
      <c r="B173" s="9"/>
      <c r="C173" s="14"/>
      <c r="D173" s="14"/>
      <c r="E173" s="14" t="n">
        <f aca="false">SUMIFS(CB_Tributaires!$C:$C,CB_Tributaires!$B:$B,$A173)</f>
        <v>0</v>
      </c>
      <c r="F173" s="14" t="n">
        <f aca="false">IF(D173="",E173,D173)</f>
        <v>0</v>
      </c>
      <c r="G173" s="9"/>
      <c r="H173" s="14"/>
      <c r="I173" s="14" t="str">
        <f aca="false">IF(A173="","",Inputs!$B$13/((IF(AS173="",Inputs!$B$18,AS173)+Inputs!$B$14)^Inputs!$B$15))</f>
        <v/>
      </c>
      <c r="J173" s="14" t="str">
        <f aca="false">IF(A173="","",0.000000278*IF(G173="",Inputs!$B$17,G173)*F173*I173)</f>
        <v/>
      </c>
      <c r="K173" s="14" t="str">
        <f aca="false">IF(A173="","",SUMIFS($L$4:$L$203,$B$4:$B$203,$A173))</f>
        <v/>
      </c>
      <c r="L173" s="14" t="str">
        <f aca="false">IF(A173="","",(J173+K173)*Inputs!$B$16)</f>
        <v/>
      </c>
      <c r="M173" s="14"/>
      <c r="N173" s="14" t="str">
        <f aca="false">IF(A173="","",IF(M173="",Inputs!$B$7,M173))</f>
        <v/>
      </c>
      <c r="O173" s="9" t="str">
        <f aca="false">IF(A173="","",IF(L173/Inputs!$B$10&lt;=AD173,Inputs!$F$5,IF(L173/Inputs!$B$10&gt;AM173,"OVERSIZE",INDEX(Inputs!$F$5:$F$14,MATCH(L173/Inputs!$B$10,AD173:AM173,1)+1))))</f>
        <v/>
      </c>
      <c r="P173" s="9"/>
      <c r="Q173" s="9" t="str">
        <f aca="false">IF(A173="","",IF(P173="",O173,P173))</f>
        <v/>
      </c>
      <c r="R173" s="14" t="str">
        <f aca="false">IF(OR(Q173="",Q173="OVERSIZE"),"",Q173/1000)</f>
        <v/>
      </c>
      <c r="S173" s="14" t="str">
        <f aca="false">IF(R173="","",(1/Inputs!$B$9)*(PI()*R173^2/4)*((R173/4)^(2/3))*SQRT(N173))</f>
        <v/>
      </c>
      <c r="T173" s="14" t="str">
        <f aca="false">IF(OR(S173="",L173=""),"",L173/(S173*Inputs!$B$10))</f>
        <v/>
      </c>
      <c r="U173" s="14" t="str">
        <f aca="false">IF(OR(R173="",L173=""),"",4*L173/(PI()*R173^2))</f>
        <v/>
      </c>
      <c r="V173" s="14"/>
      <c r="W173" s="14" t="str">
        <f aca="false">IF(A173="","",IF(A173=Inputs!$B$6,Inputs!$B$22,IF(B173="","",IFERROR(INDEX($X$4:$X$203,MATCH(B173,$A$4:$A$203,0))+IF(V173="",Inputs!$B$20,V173),""))))</f>
        <v/>
      </c>
      <c r="X173" s="14" t="str">
        <f aca="false">IF(OR(W173="",N173="",C173=""),"",W173+N173*C173)</f>
        <v/>
      </c>
      <c r="Y173" s="14"/>
      <c r="Z173" s="14"/>
      <c r="AA173" s="14" t="str">
        <f aca="false">IF(OR(Y173="",W173=""),"",Y173-W173)</f>
        <v/>
      </c>
      <c r="AB173" s="14" t="str">
        <f aca="false">IF(OR(Z173="",X173=""),"",Z173-X173)</f>
        <v/>
      </c>
      <c r="AC173" s="19" t="str">
        <f aca="false">IF(A173="","",IF(OR(T173&gt;1,AND(AV173&lt;&gt;"",AV173&lt;Inputs!$B$11),AND(AV173&lt;&gt;"",AV173&gt;Inputs!$B$12),AA173&lt;Inputs!$B$19,AB173&lt;Inputs!$B$19,N173&lt;Inputs!$B$7,N173&gt;Inputs!$B$8),"CHECK","OK"))</f>
        <v/>
      </c>
      <c r="AD173" s="9" t="str">
        <f aca="false">IF(A173="","",(1/Inputs!$B$9)*(PI()*(Inputs!$F$5/1000)^2/4)*((Inputs!$F$5/1000/4)^(2/3))*SQRT(N173))</f>
        <v/>
      </c>
      <c r="AE173" s="9" t="str">
        <f aca="false">IF(A173="","",(1/Inputs!$B$9)*(PI()*(Inputs!$F$6/1000)^2/4)*((Inputs!$F$6/1000/4)^(2/3))*SQRT(N173))</f>
        <v/>
      </c>
      <c r="AF173" s="9" t="str">
        <f aca="false">IF(A173="","",(1/Inputs!$B$9)*(PI()*(Inputs!$F$7/1000)^2/4)*((Inputs!$F$7/1000/4)^(2/3))*SQRT(N173))</f>
        <v/>
      </c>
      <c r="AG173" s="9" t="str">
        <f aca="false">IF(A173="","",(1/Inputs!$B$9)*(PI()*(Inputs!$F$8/1000)^2/4)*((Inputs!$F$8/1000/4)^(2/3))*SQRT(N173))</f>
        <v/>
      </c>
      <c r="AH173" s="9" t="str">
        <f aca="false">IF(A173="","",(1/Inputs!$B$9)*(PI()*(Inputs!$F$9/1000)^2/4)*((Inputs!$F$9/1000/4)^(2/3))*SQRT(N173))</f>
        <v/>
      </c>
      <c r="AI173" s="9" t="str">
        <f aca="false">IF(A173="","",(1/Inputs!$B$9)*(PI()*(Inputs!$F$10/1000)^2/4)*((Inputs!$F$10/1000/4)^(2/3))*SQRT(N173))</f>
        <v/>
      </c>
      <c r="AJ173" s="9" t="str">
        <f aca="false">IF(A173="","",(1/Inputs!$B$9)*(PI()*(Inputs!$F$11/1000)^2/4)*((Inputs!$F$11/1000/4)^(2/3))*SQRT(N173))</f>
        <v/>
      </c>
      <c r="AK173" s="9" t="str">
        <f aca="false">IF(A173="","",(1/Inputs!$B$9)*(PI()*(Inputs!$F$12/1000)^2/4)*((Inputs!$F$12/1000/4)^(2/3))*SQRT(N173))</f>
        <v/>
      </c>
      <c r="AL173" s="9" t="str">
        <f aca="false">IF(A173="","",(1/Inputs!$B$9)*(PI()*(Inputs!$F$13/1000)^2/4)*((Inputs!$F$13/1000/4)^(2/3))*SQRT(N173))</f>
        <v/>
      </c>
      <c r="AM173" s="9" t="str">
        <f aca="false">IF(A173="","",(1/Inputs!$B$9)*(PI()*(Inputs!$F$14/1000)^2/4)*((Inputs!$F$14/1000/4)^(2/3))*SQRT(N173))</f>
        <v/>
      </c>
      <c r="AN173" s="9" t="str">
        <f aca="false">IF(A173="","",COUNTIF($B$4:$B$203,$A173))</f>
        <v/>
      </c>
      <c r="AO173" s="9" t="str">
        <f aca="false">IF(A173="","",IF(AN173=0,"START","CONTINUOUS"))</f>
        <v/>
      </c>
      <c r="AP173" s="13" t="str">
        <f aca="false">IF(A173="","",IF(H173="",Inputs!$B$18,H173))</f>
        <v/>
      </c>
      <c r="AQ173" s="13" t="str">
        <f aca="false">IF(A173="","",IFERROR(maxifs($AS$4:$AS$203,$B$4:$B$203,$A173),""))</f>
        <v/>
      </c>
      <c r="AR173" s="13" t="str">
        <f aca="false">IF(A173="","",IF(OR(C173="",Inputs!$B$23=""),"",C173/(Inputs!$B$23*60)))</f>
        <v/>
      </c>
      <c r="AS173" s="13" t="str">
        <f aca="false">IF(A173="","",IF(AN173=0,AP173+AR173,IF(AQ173="",AP173+AR173,AQ173+AR173)))</f>
        <v/>
      </c>
      <c r="AT173" s="13" t="str">
        <f aca="false">IF(A173="","",U173)</f>
        <v/>
      </c>
      <c r="AU173" s="13" t="str">
        <f aca="false">IF(OR(R173="",N173=""),"",(1/Inputs!$B$9)*((R173/4)^(2/3))*SQRT(N173))</f>
        <v/>
      </c>
      <c r="AV173" s="13" t="str">
        <f aca="false">IF(A173="","",IF(AND(AT173="",AU173="",AX173=""),"",IF(OR(UPPER(TRIM(Inputs!$B$24))="MANNING",UPPER(TRIM(Inputs!$B$24))="M"),AU173,IF(OR(UPPER(TRIM(Inputs!$B$24))="PARTIAL",UPPER(TRIM(Inputs!$B$24))="P"),AX173,IF(OR(UPPER(TRIM(Inputs!$B$24))="MAX",UPPER(TRIM(Inputs!$B$24))="X"),MAX(IF(AT173="",0,AT173),IF(AU173="",0,AU173),IF(AX173="",0,AX173)),AT173)))))</f>
        <v/>
      </c>
      <c r="AW173" s="13" t="str">
        <f aca="false">IF(AY173="","",CE173)</f>
        <v/>
      </c>
      <c r="AX173" s="13" t="str">
        <f aca="false">IF(OR(AY173="",AW173="",R173="",R173&lt;=0,AW173&lt;=0),"",AY173/((R173^2/8)*(2*ACOS(1-2*AW173/R173)-SIN(2*ACOS(1-2*AW173/R173)))))</f>
        <v/>
      </c>
      <c r="AY173" s="9" t="str">
        <f aca="false">IF(OR(L173="",AZ173=""),"",MIN(L173,AZ173))</f>
        <v/>
      </c>
      <c r="AZ173" s="9" t="str">
        <f aca="false">IF(OR(L173="",R173="",N173=""),"",IF(OR(R173="",N173="",(0.94*R173)="",R173&lt;=0,(0.94*R173)&lt;=0),"",(1/Inputs!$B$9)*((R173^2/8)*((2*ACOS(1-2*(0.94*R173)/R173))-SIN((2*ACOS(1-2*(0.94*R173)/R173)))))*((((R173^2/8)*((2*ACOS(1-2*(0.94*R173)/R173))-SIN((2*ACOS(1-2*(0.94*R173)/R173)))))/((R173/2)*((2*ACOS(1-2*(0.94*R173)/R173)))))^(2/3))*SQRT(N173)))</f>
        <v/>
      </c>
      <c r="BA173" s="9" t="str">
        <f aca="false">IF(AY173="","",0.001*R173)</f>
        <v/>
      </c>
      <c r="BB173" s="9" t="str">
        <f aca="false">IF(AY173="","",0.94*R173)</f>
        <v/>
      </c>
      <c r="BC173" s="9" t="str">
        <f aca="false">IF(AY173="","",(BA173+BB173)/2)</f>
        <v/>
      </c>
      <c r="BD173" s="9" t="str">
        <f aca="false">IF(OR(R173="",N173="",BC173="",R173&lt;=0,BC173&lt;=0),"",(1/Inputs!$B$9)*((R173^2/8)*((2*ACOS(1-2*BC173/R173))-SIN((2*ACOS(1-2*BC173/R173)))))*((((R173^2/8)*((2*ACOS(1-2*BC173/R173))-SIN((2*ACOS(1-2*BC173/R173)))))/((R173/2)*((2*ACOS(1-2*BC173/R173)))))^(2/3))*SQRT(N173))</f>
        <v/>
      </c>
      <c r="BE173" s="9" t="str">
        <f aca="false">IF(AY173="","",IF(BD173&lt;AY173,BC173,BA173))</f>
        <v/>
      </c>
      <c r="BF173" s="9" t="str">
        <f aca="false">IF(AY173="","",IF(BD173&lt;AY173,BB173,BC173))</f>
        <v/>
      </c>
      <c r="BG173" s="9" t="str">
        <f aca="false">IF(AY173="","",(BE173+BF173)/2)</f>
        <v/>
      </c>
      <c r="BH173" s="9" t="str">
        <f aca="false">IF(OR(R173="",N173="",BG173="",R173&lt;=0,BG173&lt;=0),"",(1/Inputs!$B$9)*((R173^2/8)*((2*ACOS(1-2*BG173/R173))-SIN((2*ACOS(1-2*BG173/R173)))))*((((R173^2/8)*((2*ACOS(1-2*BG173/R173))-SIN((2*ACOS(1-2*BG173/R173)))))/((R173/2)*((2*ACOS(1-2*BG173/R173)))))^(2/3))*SQRT(N173))</f>
        <v/>
      </c>
      <c r="BI173" s="9" t="str">
        <f aca="false">IF(AY173="","",IF(BH173&lt;AY173,BG173,BE173))</f>
        <v/>
      </c>
      <c r="BJ173" s="9" t="str">
        <f aca="false">IF(AY173="","",IF(BH173&lt;AY173,BF173,BG173))</f>
        <v/>
      </c>
      <c r="BK173" s="9" t="str">
        <f aca="false">IF(AY173="","",(BI173+BJ173)/2)</f>
        <v/>
      </c>
      <c r="BL173" s="9" t="str">
        <f aca="false">IF(OR(R173="",N173="",BK173="",R173&lt;=0,BK173&lt;=0),"",(1/Inputs!$B$9)*((R173^2/8)*((2*ACOS(1-2*BK173/R173))-SIN((2*ACOS(1-2*BK173/R173)))))*((((R173^2/8)*((2*ACOS(1-2*BK173/R173))-SIN((2*ACOS(1-2*BK173/R173)))))/((R173/2)*((2*ACOS(1-2*BK173/R173)))))^(2/3))*SQRT(N173))</f>
        <v/>
      </c>
      <c r="BM173" s="9" t="str">
        <f aca="false">IF(AY173="","",IF(BL173&lt;AY173,BK173,BI173))</f>
        <v/>
      </c>
      <c r="BN173" s="9" t="str">
        <f aca="false">IF(AY173="","",IF(BL173&lt;AY173,BJ173,BK173))</f>
        <v/>
      </c>
      <c r="BO173" s="9" t="str">
        <f aca="false">IF(AY173="","",(BM173+BN173)/2)</f>
        <v/>
      </c>
      <c r="BP173" s="9" t="str">
        <f aca="false">IF(OR(R173="",N173="",BO173="",R173&lt;=0,BO173&lt;=0),"",(1/Inputs!$B$9)*((R173^2/8)*((2*ACOS(1-2*BO173/R173))-SIN((2*ACOS(1-2*BO173/R173)))))*((((R173^2/8)*((2*ACOS(1-2*BO173/R173))-SIN((2*ACOS(1-2*BO173/R173)))))/((R173/2)*((2*ACOS(1-2*BO173/R173)))))^(2/3))*SQRT(N173))</f>
        <v/>
      </c>
      <c r="BQ173" s="9" t="str">
        <f aca="false">IF(AY173="","",IF(BP173&lt;AY173,BO173,BM173))</f>
        <v/>
      </c>
      <c r="BR173" s="9" t="str">
        <f aca="false">IF(AY173="","",IF(BP173&lt;AY173,BN173,BO173))</f>
        <v/>
      </c>
      <c r="BS173" s="9" t="str">
        <f aca="false">IF(AY173="","",(BQ173+BR173)/2)</f>
        <v/>
      </c>
      <c r="BT173" s="9" t="str">
        <f aca="false">IF(OR(R173="",N173="",BS173="",R173&lt;=0,BS173&lt;=0),"",(1/Inputs!$B$9)*((R173^2/8)*((2*ACOS(1-2*BS173/R173))-SIN((2*ACOS(1-2*BS173/R173)))))*((((R173^2/8)*((2*ACOS(1-2*BS173/R173))-SIN((2*ACOS(1-2*BS173/R173)))))/((R173/2)*((2*ACOS(1-2*BS173/R173)))))^(2/3))*SQRT(N173))</f>
        <v/>
      </c>
      <c r="BU173" s="9" t="str">
        <f aca="false">IF(AY173="","",IF(BT173&lt;AY173,BS173,BQ173))</f>
        <v/>
      </c>
      <c r="BV173" s="9" t="str">
        <f aca="false">IF(AY173="","",IF(BT173&lt;AY173,BR173,BS173))</f>
        <v/>
      </c>
      <c r="BW173" s="9" t="str">
        <f aca="false">IF(AY173="","",(BU173+BV173)/2)</f>
        <v/>
      </c>
      <c r="BX173" s="9" t="str">
        <f aca="false">IF(OR(R173="",N173="",BW173="",R173&lt;=0,BW173&lt;=0),"",(1/Inputs!$B$9)*((R173^2/8)*((2*ACOS(1-2*BW173/R173))-SIN((2*ACOS(1-2*BW173/R173)))))*((((R173^2/8)*((2*ACOS(1-2*BW173/R173))-SIN((2*ACOS(1-2*BW173/R173)))))/((R173/2)*((2*ACOS(1-2*BW173/R173)))))^(2/3))*SQRT(N173))</f>
        <v/>
      </c>
      <c r="BY173" s="9" t="str">
        <f aca="false">IF(AY173="","",IF(BX173&lt;AY173,BW173,BU173))</f>
        <v/>
      </c>
      <c r="BZ173" s="9" t="str">
        <f aca="false">IF(AY173="","",IF(BX173&lt;AY173,BV173,BW173))</f>
        <v/>
      </c>
      <c r="CA173" s="9" t="str">
        <f aca="false">IF(AY173="","",(BY173+BZ173)/2)</f>
        <v/>
      </c>
      <c r="CB173" s="9" t="str">
        <f aca="false">IF(OR(R173="",N173="",CA173="",R173&lt;=0,CA173&lt;=0),"",(1/Inputs!$B$9)*((R173^2/8)*((2*ACOS(1-2*CA173/R173))-SIN((2*ACOS(1-2*CA173/R173)))))*((((R173^2/8)*((2*ACOS(1-2*CA173/R173))-SIN((2*ACOS(1-2*CA173/R173)))))/((R173/2)*((2*ACOS(1-2*CA173/R173)))))^(2/3))*SQRT(N173))</f>
        <v/>
      </c>
      <c r="CC173" s="9" t="str">
        <f aca="false">IF(AY173="","",IF(CB173&lt;AY173,CA173,BY173))</f>
        <v/>
      </c>
      <c r="CD173" s="9" t="str">
        <f aca="false">IF(AY173="","",IF(CB173&lt;AY173,BZ173,CA173))</f>
        <v/>
      </c>
      <c r="CE173" s="9" t="str">
        <f aca="false">IF(AY173="","",(CC173+CD173)/2)</f>
        <v/>
      </c>
    </row>
    <row r="174" customFormat="false" ht="15" hidden="false" customHeight="false" outlineLevel="0" collapsed="false">
      <c r="A174" s="9"/>
      <c r="B174" s="9"/>
      <c r="C174" s="14"/>
      <c r="D174" s="14"/>
      <c r="E174" s="14" t="n">
        <f aca="false">SUMIFS(CB_Tributaires!$C:$C,CB_Tributaires!$B:$B,$A174)</f>
        <v>0</v>
      </c>
      <c r="F174" s="14" t="n">
        <f aca="false">IF(D174="",E174,D174)</f>
        <v>0</v>
      </c>
      <c r="G174" s="9"/>
      <c r="H174" s="14"/>
      <c r="I174" s="14" t="str">
        <f aca="false">IF(A174="","",Inputs!$B$13/((IF(AS174="",Inputs!$B$18,AS174)+Inputs!$B$14)^Inputs!$B$15))</f>
        <v/>
      </c>
      <c r="J174" s="14" t="str">
        <f aca="false">IF(A174="","",0.000000278*IF(G174="",Inputs!$B$17,G174)*F174*I174)</f>
        <v/>
      </c>
      <c r="K174" s="14" t="str">
        <f aca="false">IF(A174="","",SUMIFS($L$4:$L$203,$B$4:$B$203,$A174))</f>
        <v/>
      </c>
      <c r="L174" s="14" t="str">
        <f aca="false">IF(A174="","",(J174+K174)*Inputs!$B$16)</f>
        <v/>
      </c>
      <c r="M174" s="14"/>
      <c r="N174" s="14" t="str">
        <f aca="false">IF(A174="","",IF(M174="",Inputs!$B$7,M174))</f>
        <v/>
      </c>
      <c r="O174" s="9" t="str">
        <f aca="false">IF(A174="","",IF(L174/Inputs!$B$10&lt;=AD174,Inputs!$F$5,IF(L174/Inputs!$B$10&gt;AM174,"OVERSIZE",INDEX(Inputs!$F$5:$F$14,MATCH(L174/Inputs!$B$10,AD174:AM174,1)+1))))</f>
        <v/>
      </c>
      <c r="P174" s="9"/>
      <c r="Q174" s="9" t="str">
        <f aca="false">IF(A174="","",IF(P174="",O174,P174))</f>
        <v/>
      </c>
      <c r="R174" s="14" t="str">
        <f aca="false">IF(OR(Q174="",Q174="OVERSIZE"),"",Q174/1000)</f>
        <v/>
      </c>
      <c r="S174" s="14" t="str">
        <f aca="false">IF(R174="","",(1/Inputs!$B$9)*(PI()*R174^2/4)*((R174/4)^(2/3))*SQRT(N174))</f>
        <v/>
      </c>
      <c r="T174" s="14" t="str">
        <f aca="false">IF(OR(S174="",L174=""),"",L174/(S174*Inputs!$B$10))</f>
        <v/>
      </c>
      <c r="U174" s="14" t="str">
        <f aca="false">IF(OR(R174="",L174=""),"",4*L174/(PI()*R174^2))</f>
        <v/>
      </c>
      <c r="V174" s="14"/>
      <c r="W174" s="14" t="str">
        <f aca="false">IF(A174="","",IF(A174=Inputs!$B$6,Inputs!$B$22,IF(B174="","",IFERROR(INDEX($X$4:$X$203,MATCH(B174,$A$4:$A$203,0))+IF(V174="",Inputs!$B$20,V174),""))))</f>
        <v/>
      </c>
      <c r="X174" s="14" t="str">
        <f aca="false">IF(OR(W174="",N174="",C174=""),"",W174+N174*C174)</f>
        <v/>
      </c>
      <c r="Y174" s="14"/>
      <c r="Z174" s="14"/>
      <c r="AA174" s="14" t="str">
        <f aca="false">IF(OR(Y174="",W174=""),"",Y174-W174)</f>
        <v/>
      </c>
      <c r="AB174" s="14" t="str">
        <f aca="false">IF(OR(Z174="",X174=""),"",Z174-X174)</f>
        <v/>
      </c>
      <c r="AC174" s="19" t="str">
        <f aca="false">IF(A174="","",IF(OR(T174&gt;1,AND(AV174&lt;&gt;"",AV174&lt;Inputs!$B$11),AND(AV174&lt;&gt;"",AV174&gt;Inputs!$B$12),AA174&lt;Inputs!$B$19,AB174&lt;Inputs!$B$19,N174&lt;Inputs!$B$7,N174&gt;Inputs!$B$8),"CHECK","OK"))</f>
        <v/>
      </c>
      <c r="AD174" s="9" t="str">
        <f aca="false">IF(A174="","",(1/Inputs!$B$9)*(PI()*(Inputs!$F$5/1000)^2/4)*((Inputs!$F$5/1000/4)^(2/3))*SQRT(N174))</f>
        <v/>
      </c>
      <c r="AE174" s="9" t="str">
        <f aca="false">IF(A174="","",(1/Inputs!$B$9)*(PI()*(Inputs!$F$6/1000)^2/4)*((Inputs!$F$6/1000/4)^(2/3))*SQRT(N174))</f>
        <v/>
      </c>
      <c r="AF174" s="9" t="str">
        <f aca="false">IF(A174="","",(1/Inputs!$B$9)*(PI()*(Inputs!$F$7/1000)^2/4)*((Inputs!$F$7/1000/4)^(2/3))*SQRT(N174))</f>
        <v/>
      </c>
      <c r="AG174" s="9" t="str">
        <f aca="false">IF(A174="","",(1/Inputs!$B$9)*(PI()*(Inputs!$F$8/1000)^2/4)*((Inputs!$F$8/1000/4)^(2/3))*SQRT(N174))</f>
        <v/>
      </c>
      <c r="AH174" s="9" t="str">
        <f aca="false">IF(A174="","",(1/Inputs!$B$9)*(PI()*(Inputs!$F$9/1000)^2/4)*((Inputs!$F$9/1000/4)^(2/3))*SQRT(N174))</f>
        <v/>
      </c>
      <c r="AI174" s="9" t="str">
        <f aca="false">IF(A174="","",(1/Inputs!$B$9)*(PI()*(Inputs!$F$10/1000)^2/4)*((Inputs!$F$10/1000/4)^(2/3))*SQRT(N174))</f>
        <v/>
      </c>
      <c r="AJ174" s="9" t="str">
        <f aca="false">IF(A174="","",(1/Inputs!$B$9)*(PI()*(Inputs!$F$11/1000)^2/4)*((Inputs!$F$11/1000/4)^(2/3))*SQRT(N174))</f>
        <v/>
      </c>
      <c r="AK174" s="9" t="str">
        <f aca="false">IF(A174="","",(1/Inputs!$B$9)*(PI()*(Inputs!$F$12/1000)^2/4)*((Inputs!$F$12/1000/4)^(2/3))*SQRT(N174))</f>
        <v/>
      </c>
      <c r="AL174" s="9" t="str">
        <f aca="false">IF(A174="","",(1/Inputs!$B$9)*(PI()*(Inputs!$F$13/1000)^2/4)*((Inputs!$F$13/1000/4)^(2/3))*SQRT(N174))</f>
        <v/>
      </c>
      <c r="AM174" s="9" t="str">
        <f aca="false">IF(A174="","",(1/Inputs!$B$9)*(PI()*(Inputs!$F$14/1000)^2/4)*((Inputs!$F$14/1000/4)^(2/3))*SQRT(N174))</f>
        <v/>
      </c>
      <c r="AN174" s="9" t="str">
        <f aca="false">IF(A174="","",COUNTIF($B$4:$B$203,$A174))</f>
        <v/>
      </c>
      <c r="AO174" s="9" t="str">
        <f aca="false">IF(A174="","",IF(AN174=0,"START","CONTINUOUS"))</f>
        <v/>
      </c>
      <c r="AP174" s="13" t="str">
        <f aca="false">IF(A174="","",IF(H174="",Inputs!$B$18,H174))</f>
        <v/>
      </c>
      <c r="AQ174" s="13" t="str">
        <f aca="false">IF(A174="","",IFERROR(maxifs($AS$4:$AS$203,$B$4:$B$203,$A174),""))</f>
        <v/>
      </c>
      <c r="AR174" s="13" t="str">
        <f aca="false">IF(A174="","",IF(OR(C174="",Inputs!$B$23=""),"",C174/(Inputs!$B$23*60)))</f>
        <v/>
      </c>
      <c r="AS174" s="13" t="str">
        <f aca="false">IF(A174="","",IF(AN174=0,AP174+AR174,IF(AQ174="",AP174+AR174,AQ174+AR174)))</f>
        <v/>
      </c>
      <c r="AT174" s="13" t="str">
        <f aca="false">IF(A174="","",U174)</f>
        <v/>
      </c>
      <c r="AU174" s="13" t="str">
        <f aca="false">IF(OR(R174="",N174=""),"",(1/Inputs!$B$9)*((R174/4)^(2/3))*SQRT(N174))</f>
        <v/>
      </c>
      <c r="AV174" s="13" t="str">
        <f aca="false">IF(A174="","",IF(AND(AT174="",AU174="",AX174=""),"",IF(OR(UPPER(TRIM(Inputs!$B$24))="MANNING",UPPER(TRIM(Inputs!$B$24))="M"),AU174,IF(OR(UPPER(TRIM(Inputs!$B$24))="PARTIAL",UPPER(TRIM(Inputs!$B$24))="P"),AX174,IF(OR(UPPER(TRIM(Inputs!$B$24))="MAX",UPPER(TRIM(Inputs!$B$24))="X"),MAX(IF(AT174="",0,AT174),IF(AU174="",0,AU174),IF(AX174="",0,AX174)),AT174)))))</f>
        <v/>
      </c>
      <c r="AW174" s="13" t="str">
        <f aca="false">IF(AY174="","",CE174)</f>
        <v/>
      </c>
      <c r="AX174" s="13" t="str">
        <f aca="false">IF(OR(AY174="",AW174="",R174="",R174&lt;=0,AW174&lt;=0),"",AY174/((R174^2/8)*(2*ACOS(1-2*AW174/R174)-SIN(2*ACOS(1-2*AW174/R174)))))</f>
        <v/>
      </c>
      <c r="AY174" s="9" t="str">
        <f aca="false">IF(OR(L174="",AZ174=""),"",MIN(L174,AZ174))</f>
        <v/>
      </c>
      <c r="AZ174" s="9" t="str">
        <f aca="false">IF(OR(L174="",R174="",N174=""),"",IF(OR(R174="",N174="",(0.94*R174)="",R174&lt;=0,(0.94*R174)&lt;=0),"",(1/Inputs!$B$9)*((R174^2/8)*((2*ACOS(1-2*(0.94*R174)/R174))-SIN((2*ACOS(1-2*(0.94*R174)/R174)))))*((((R174^2/8)*((2*ACOS(1-2*(0.94*R174)/R174))-SIN((2*ACOS(1-2*(0.94*R174)/R174)))))/((R174/2)*((2*ACOS(1-2*(0.94*R174)/R174)))))^(2/3))*SQRT(N174)))</f>
        <v/>
      </c>
      <c r="BA174" s="9" t="str">
        <f aca="false">IF(AY174="","",0.001*R174)</f>
        <v/>
      </c>
      <c r="BB174" s="9" t="str">
        <f aca="false">IF(AY174="","",0.94*R174)</f>
        <v/>
      </c>
      <c r="BC174" s="9" t="str">
        <f aca="false">IF(AY174="","",(BA174+BB174)/2)</f>
        <v/>
      </c>
      <c r="BD174" s="9" t="str">
        <f aca="false">IF(OR(R174="",N174="",BC174="",R174&lt;=0,BC174&lt;=0),"",(1/Inputs!$B$9)*((R174^2/8)*((2*ACOS(1-2*BC174/R174))-SIN((2*ACOS(1-2*BC174/R174)))))*((((R174^2/8)*((2*ACOS(1-2*BC174/R174))-SIN((2*ACOS(1-2*BC174/R174)))))/((R174/2)*((2*ACOS(1-2*BC174/R174)))))^(2/3))*SQRT(N174))</f>
        <v/>
      </c>
      <c r="BE174" s="9" t="str">
        <f aca="false">IF(AY174="","",IF(BD174&lt;AY174,BC174,BA174))</f>
        <v/>
      </c>
      <c r="BF174" s="9" t="str">
        <f aca="false">IF(AY174="","",IF(BD174&lt;AY174,BB174,BC174))</f>
        <v/>
      </c>
      <c r="BG174" s="9" t="str">
        <f aca="false">IF(AY174="","",(BE174+BF174)/2)</f>
        <v/>
      </c>
      <c r="BH174" s="9" t="str">
        <f aca="false">IF(OR(R174="",N174="",BG174="",R174&lt;=0,BG174&lt;=0),"",(1/Inputs!$B$9)*((R174^2/8)*((2*ACOS(1-2*BG174/R174))-SIN((2*ACOS(1-2*BG174/R174)))))*((((R174^2/8)*((2*ACOS(1-2*BG174/R174))-SIN((2*ACOS(1-2*BG174/R174)))))/((R174/2)*((2*ACOS(1-2*BG174/R174)))))^(2/3))*SQRT(N174))</f>
        <v/>
      </c>
      <c r="BI174" s="9" t="str">
        <f aca="false">IF(AY174="","",IF(BH174&lt;AY174,BG174,BE174))</f>
        <v/>
      </c>
      <c r="BJ174" s="9" t="str">
        <f aca="false">IF(AY174="","",IF(BH174&lt;AY174,BF174,BG174))</f>
        <v/>
      </c>
      <c r="BK174" s="9" t="str">
        <f aca="false">IF(AY174="","",(BI174+BJ174)/2)</f>
        <v/>
      </c>
      <c r="BL174" s="9" t="str">
        <f aca="false">IF(OR(R174="",N174="",BK174="",R174&lt;=0,BK174&lt;=0),"",(1/Inputs!$B$9)*((R174^2/8)*((2*ACOS(1-2*BK174/R174))-SIN((2*ACOS(1-2*BK174/R174)))))*((((R174^2/8)*((2*ACOS(1-2*BK174/R174))-SIN((2*ACOS(1-2*BK174/R174)))))/((R174/2)*((2*ACOS(1-2*BK174/R174)))))^(2/3))*SQRT(N174))</f>
        <v/>
      </c>
      <c r="BM174" s="9" t="str">
        <f aca="false">IF(AY174="","",IF(BL174&lt;AY174,BK174,BI174))</f>
        <v/>
      </c>
      <c r="BN174" s="9" t="str">
        <f aca="false">IF(AY174="","",IF(BL174&lt;AY174,BJ174,BK174))</f>
        <v/>
      </c>
      <c r="BO174" s="9" t="str">
        <f aca="false">IF(AY174="","",(BM174+BN174)/2)</f>
        <v/>
      </c>
      <c r="BP174" s="9" t="str">
        <f aca="false">IF(OR(R174="",N174="",BO174="",R174&lt;=0,BO174&lt;=0),"",(1/Inputs!$B$9)*((R174^2/8)*((2*ACOS(1-2*BO174/R174))-SIN((2*ACOS(1-2*BO174/R174)))))*((((R174^2/8)*((2*ACOS(1-2*BO174/R174))-SIN((2*ACOS(1-2*BO174/R174)))))/((R174/2)*((2*ACOS(1-2*BO174/R174)))))^(2/3))*SQRT(N174))</f>
        <v/>
      </c>
      <c r="BQ174" s="9" t="str">
        <f aca="false">IF(AY174="","",IF(BP174&lt;AY174,BO174,BM174))</f>
        <v/>
      </c>
      <c r="BR174" s="9" t="str">
        <f aca="false">IF(AY174="","",IF(BP174&lt;AY174,BN174,BO174))</f>
        <v/>
      </c>
      <c r="BS174" s="9" t="str">
        <f aca="false">IF(AY174="","",(BQ174+BR174)/2)</f>
        <v/>
      </c>
      <c r="BT174" s="9" t="str">
        <f aca="false">IF(OR(R174="",N174="",BS174="",R174&lt;=0,BS174&lt;=0),"",(1/Inputs!$B$9)*((R174^2/8)*((2*ACOS(1-2*BS174/R174))-SIN((2*ACOS(1-2*BS174/R174)))))*((((R174^2/8)*((2*ACOS(1-2*BS174/R174))-SIN((2*ACOS(1-2*BS174/R174)))))/((R174/2)*((2*ACOS(1-2*BS174/R174)))))^(2/3))*SQRT(N174))</f>
        <v/>
      </c>
      <c r="BU174" s="9" t="str">
        <f aca="false">IF(AY174="","",IF(BT174&lt;AY174,BS174,BQ174))</f>
        <v/>
      </c>
      <c r="BV174" s="9" t="str">
        <f aca="false">IF(AY174="","",IF(BT174&lt;AY174,BR174,BS174))</f>
        <v/>
      </c>
      <c r="BW174" s="9" t="str">
        <f aca="false">IF(AY174="","",(BU174+BV174)/2)</f>
        <v/>
      </c>
      <c r="BX174" s="9" t="str">
        <f aca="false">IF(OR(R174="",N174="",BW174="",R174&lt;=0,BW174&lt;=0),"",(1/Inputs!$B$9)*((R174^2/8)*((2*ACOS(1-2*BW174/R174))-SIN((2*ACOS(1-2*BW174/R174)))))*((((R174^2/8)*((2*ACOS(1-2*BW174/R174))-SIN((2*ACOS(1-2*BW174/R174)))))/((R174/2)*((2*ACOS(1-2*BW174/R174)))))^(2/3))*SQRT(N174))</f>
        <v/>
      </c>
      <c r="BY174" s="9" t="str">
        <f aca="false">IF(AY174="","",IF(BX174&lt;AY174,BW174,BU174))</f>
        <v/>
      </c>
      <c r="BZ174" s="9" t="str">
        <f aca="false">IF(AY174="","",IF(BX174&lt;AY174,BV174,BW174))</f>
        <v/>
      </c>
      <c r="CA174" s="9" t="str">
        <f aca="false">IF(AY174="","",(BY174+BZ174)/2)</f>
        <v/>
      </c>
      <c r="CB174" s="9" t="str">
        <f aca="false">IF(OR(R174="",N174="",CA174="",R174&lt;=0,CA174&lt;=0),"",(1/Inputs!$B$9)*((R174^2/8)*((2*ACOS(1-2*CA174/R174))-SIN((2*ACOS(1-2*CA174/R174)))))*((((R174^2/8)*((2*ACOS(1-2*CA174/R174))-SIN((2*ACOS(1-2*CA174/R174)))))/((R174/2)*((2*ACOS(1-2*CA174/R174)))))^(2/3))*SQRT(N174))</f>
        <v/>
      </c>
      <c r="CC174" s="9" t="str">
        <f aca="false">IF(AY174="","",IF(CB174&lt;AY174,CA174,BY174))</f>
        <v/>
      </c>
      <c r="CD174" s="9" t="str">
        <f aca="false">IF(AY174="","",IF(CB174&lt;AY174,BZ174,CA174))</f>
        <v/>
      </c>
      <c r="CE174" s="9" t="str">
        <f aca="false">IF(AY174="","",(CC174+CD174)/2)</f>
        <v/>
      </c>
    </row>
    <row r="175" customFormat="false" ht="15" hidden="false" customHeight="false" outlineLevel="0" collapsed="false">
      <c r="A175" s="9"/>
      <c r="B175" s="9"/>
      <c r="C175" s="14"/>
      <c r="D175" s="14"/>
      <c r="E175" s="14" t="n">
        <f aca="false">SUMIFS(CB_Tributaires!$C:$C,CB_Tributaires!$B:$B,$A175)</f>
        <v>0</v>
      </c>
      <c r="F175" s="14" t="n">
        <f aca="false">IF(D175="",E175,D175)</f>
        <v>0</v>
      </c>
      <c r="G175" s="9"/>
      <c r="H175" s="14"/>
      <c r="I175" s="14" t="str">
        <f aca="false">IF(A175="","",Inputs!$B$13/((IF(AS175="",Inputs!$B$18,AS175)+Inputs!$B$14)^Inputs!$B$15))</f>
        <v/>
      </c>
      <c r="J175" s="14" t="str">
        <f aca="false">IF(A175="","",0.000000278*IF(G175="",Inputs!$B$17,G175)*F175*I175)</f>
        <v/>
      </c>
      <c r="K175" s="14" t="str">
        <f aca="false">IF(A175="","",SUMIFS($L$4:$L$203,$B$4:$B$203,$A175))</f>
        <v/>
      </c>
      <c r="L175" s="14" t="str">
        <f aca="false">IF(A175="","",(J175+K175)*Inputs!$B$16)</f>
        <v/>
      </c>
      <c r="M175" s="14"/>
      <c r="N175" s="14" t="str">
        <f aca="false">IF(A175="","",IF(M175="",Inputs!$B$7,M175))</f>
        <v/>
      </c>
      <c r="O175" s="9" t="str">
        <f aca="false">IF(A175="","",IF(L175/Inputs!$B$10&lt;=AD175,Inputs!$F$5,IF(L175/Inputs!$B$10&gt;AM175,"OVERSIZE",INDEX(Inputs!$F$5:$F$14,MATCH(L175/Inputs!$B$10,AD175:AM175,1)+1))))</f>
        <v/>
      </c>
      <c r="P175" s="9"/>
      <c r="Q175" s="9" t="str">
        <f aca="false">IF(A175="","",IF(P175="",O175,P175))</f>
        <v/>
      </c>
      <c r="R175" s="14" t="str">
        <f aca="false">IF(OR(Q175="",Q175="OVERSIZE"),"",Q175/1000)</f>
        <v/>
      </c>
      <c r="S175" s="14" t="str">
        <f aca="false">IF(R175="","",(1/Inputs!$B$9)*(PI()*R175^2/4)*((R175/4)^(2/3))*SQRT(N175))</f>
        <v/>
      </c>
      <c r="T175" s="14" t="str">
        <f aca="false">IF(OR(S175="",L175=""),"",L175/(S175*Inputs!$B$10))</f>
        <v/>
      </c>
      <c r="U175" s="14" t="str">
        <f aca="false">IF(OR(R175="",L175=""),"",4*L175/(PI()*R175^2))</f>
        <v/>
      </c>
      <c r="V175" s="14"/>
      <c r="W175" s="14" t="str">
        <f aca="false">IF(A175="","",IF(A175=Inputs!$B$6,Inputs!$B$22,IF(B175="","",IFERROR(INDEX($X$4:$X$203,MATCH(B175,$A$4:$A$203,0))+IF(V175="",Inputs!$B$20,V175),""))))</f>
        <v/>
      </c>
      <c r="X175" s="14" t="str">
        <f aca="false">IF(OR(W175="",N175="",C175=""),"",W175+N175*C175)</f>
        <v/>
      </c>
      <c r="Y175" s="14"/>
      <c r="Z175" s="14"/>
      <c r="AA175" s="14" t="str">
        <f aca="false">IF(OR(Y175="",W175=""),"",Y175-W175)</f>
        <v/>
      </c>
      <c r="AB175" s="14" t="str">
        <f aca="false">IF(OR(Z175="",X175=""),"",Z175-X175)</f>
        <v/>
      </c>
      <c r="AC175" s="19" t="str">
        <f aca="false">IF(A175="","",IF(OR(T175&gt;1,AND(AV175&lt;&gt;"",AV175&lt;Inputs!$B$11),AND(AV175&lt;&gt;"",AV175&gt;Inputs!$B$12),AA175&lt;Inputs!$B$19,AB175&lt;Inputs!$B$19,N175&lt;Inputs!$B$7,N175&gt;Inputs!$B$8),"CHECK","OK"))</f>
        <v/>
      </c>
      <c r="AD175" s="9" t="str">
        <f aca="false">IF(A175="","",(1/Inputs!$B$9)*(PI()*(Inputs!$F$5/1000)^2/4)*((Inputs!$F$5/1000/4)^(2/3))*SQRT(N175))</f>
        <v/>
      </c>
      <c r="AE175" s="9" t="str">
        <f aca="false">IF(A175="","",(1/Inputs!$B$9)*(PI()*(Inputs!$F$6/1000)^2/4)*((Inputs!$F$6/1000/4)^(2/3))*SQRT(N175))</f>
        <v/>
      </c>
      <c r="AF175" s="9" t="str">
        <f aca="false">IF(A175="","",(1/Inputs!$B$9)*(PI()*(Inputs!$F$7/1000)^2/4)*((Inputs!$F$7/1000/4)^(2/3))*SQRT(N175))</f>
        <v/>
      </c>
      <c r="AG175" s="9" t="str">
        <f aca="false">IF(A175="","",(1/Inputs!$B$9)*(PI()*(Inputs!$F$8/1000)^2/4)*((Inputs!$F$8/1000/4)^(2/3))*SQRT(N175))</f>
        <v/>
      </c>
      <c r="AH175" s="9" t="str">
        <f aca="false">IF(A175="","",(1/Inputs!$B$9)*(PI()*(Inputs!$F$9/1000)^2/4)*((Inputs!$F$9/1000/4)^(2/3))*SQRT(N175))</f>
        <v/>
      </c>
      <c r="AI175" s="9" t="str">
        <f aca="false">IF(A175="","",(1/Inputs!$B$9)*(PI()*(Inputs!$F$10/1000)^2/4)*((Inputs!$F$10/1000/4)^(2/3))*SQRT(N175))</f>
        <v/>
      </c>
      <c r="AJ175" s="9" t="str">
        <f aca="false">IF(A175="","",(1/Inputs!$B$9)*(PI()*(Inputs!$F$11/1000)^2/4)*((Inputs!$F$11/1000/4)^(2/3))*SQRT(N175))</f>
        <v/>
      </c>
      <c r="AK175" s="9" t="str">
        <f aca="false">IF(A175="","",(1/Inputs!$B$9)*(PI()*(Inputs!$F$12/1000)^2/4)*((Inputs!$F$12/1000/4)^(2/3))*SQRT(N175))</f>
        <v/>
      </c>
      <c r="AL175" s="9" t="str">
        <f aca="false">IF(A175="","",(1/Inputs!$B$9)*(PI()*(Inputs!$F$13/1000)^2/4)*((Inputs!$F$13/1000/4)^(2/3))*SQRT(N175))</f>
        <v/>
      </c>
      <c r="AM175" s="9" t="str">
        <f aca="false">IF(A175="","",(1/Inputs!$B$9)*(PI()*(Inputs!$F$14/1000)^2/4)*((Inputs!$F$14/1000/4)^(2/3))*SQRT(N175))</f>
        <v/>
      </c>
      <c r="AN175" s="9" t="str">
        <f aca="false">IF(A175="","",COUNTIF($B$4:$B$203,$A175))</f>
        <v/>
      </c>
      <c r="AO175" s="9" t="str">
        <f aca="false">IF(A175="","",IF(AN175=0,"START","CONTINUOUS"))</f>
        <v/>
      </c>
      <c r="AP175" s="13" t="str">
        <f aca="false">IF(A175="","",IF(H175="",Inputs!$B$18,H175))</f>
        <v/>
      </c>
      <c r="AQ175" s="13" t="str">
        <f aca="false">IF(A175="","",IFERROR(maxifs($AS$4:$AS$203,$B$4:$B$203,$A175),""))</f>
        <v/>
      </c>
      <c r="AR175" s="13" t="str">
        <f aca="false">IF(A175="","",IF(OR(C175="",Inputs!$B$23=""),"",C175/(Inputs!$B$23*60)))</f>
        <v/>
      </c>
      <c r="AS175" s="13" t="str">
        <f aca="false">IF(A175="","",IF(AN175=0,AP175+AR175,IF(AQ175="",AP175+AR175,AQ175+AR175)))</f>
        <v/>
      </c>
      <c r="AT175" s="13" t="str">
        <f aca="false">IF(A175="","",U175)</f>
        <v/>
      </c>
      <c r="AU175" s="13" t="str">
        <f aca="false">IF(OR(R175="",N175=""),"",(1/Inputs!$B$9)*((R175/4)^(2/3))*SQRT(N175))</f>
        <v/>
      </c>
      <c r="AV175" s="13" t="str">
        <f aca="false">IF(A175="","",IF(AND(AT175="",AU175="",AX175=""),"",IF(OR(UPPER(TRIM(Inputs!$B$24))="MANNING",UPPER(TRIM(Inputs!$B$24))="M"),AU175,IF(OR(UPPER(TRIM(Inputs!$B$24))="PARTIAL",UPPER(TRIM(Inputs!$B$24))="P"),AX175,IF(OR(UPPER(TRIM(Inputs!$B$24))="MAX",UPPER(TRIM(Inputs!$B$24))="X"),MAX(IF(AT175="",0,AT175),IF(AU175="",0,AU175),IF(AX175="",0,AX175)),AT175)))))</f>
        <v/>
      </c>
      <c r="AW175" s="13" t="str">
        <f aca="false">IF(AY175="","",CE175)</f>
        <v/>
      </c>
      <c r="AX175" s="13" t="str">
        <f aca="false">IF(OR(AY175="",AW175="",R175="",R175&lt;=0,AW175&lt;=0),"",AY175/((R175^2/8)*(2*ACOS(1-2*AW175/R175)-SIN(2*ACOS(1-2*AW175/R175)))))</f>
        <v/>
      </c>
      <c r="AY175" s="9" t="str">
        <f aca="false">IF(OR(L175="",AZ175=""),"",MIN(L175,AZ175))</f>
        <v/>
      </c>
      <c r="AZ175" s="9" t="str">
        <f aca="false">IF(OR(L175="",R175="",N175=""),"",IF(OR(R175="",N175="",(0.94*R175)="",R175&lt;=0,(0.94*R175)&lt;=0),"",(1/Inputs!$B$9)*((R175^2/8)*((2*ACOS(1-2*(0.94*R175)/R175))-SIN((2*ACOS(1-2*(0.94*R175)/R175)))))*((((R175^2/8)*((2*ACOS(1-2*(0.94*R175)/R175))-SIN((2*ACOS(1-2*(0.94*R175)/R175)))))/((R175/2)*((2*ACOS(1-2*(0.94*R175)/R175)))))^(2/3))*SQRT(N175)))</f>
        <v/>
      </c>
      <c r="BA175" s="9" t="str">
        <f aca="false">IF(AY175="","",0.001*R175)</f>
        <v/>
      </c>
      <c r="BB175" s="9" t="str">
        <f aca="false">IF(AY175="","",0.94*R175)</f>
        <v/>
      </c>
      <c r="BC175" s="9" t="str">
        <f aca="false">IF(AY175="","",(BA175+BB175)/2)</f>
        <v/>
      </c>
      <c r="BD175" s="9" t="str">
        <f aca="false">IF(OR(R175="",N175="",BC175="",R175&lt;=0,BC175&lt;=0),"",(1/Inputs!$B$9)*((R175^2/8)*((2*ACOS(1-2*BC175/R175))-SIN((2*ACOS(1-2*BC175/R175)))))*((((R175^2/8)*((2*ACOS(1-2*BC175/R175))-SIN((2*ACOS(1-2*BC175/R175)))))/((R175/2)*((2*ACOS(1-2*BC175/R175)))))^(2/3))*SQRT(N175))</f>
        <v/>
      </c>
      <c r="BE175" s="9" t="str">
        <f aca="false">IF(AY175="","",IF(BD175&lt;AY175,BC175,BA175))</f>
        <v/>
      </c>
      <c r="BF175" s="9" t="str">
        <f aca="false">IF(AY175="","",IF(BD175&lt;AY175,BB175,BC175))</f>
        <v/>
      </c>
      <c r="BG175" s="9" t="str">
        <f aca="false">IF(AY175="","",(BE175+BF175)/2)</f>
        <v/>
      </c>
      <c r="BH175" s="9" t="str">
        <f aca="false">IF(OR(R175="",N175="",BG175="",R175&lt;=0,BG175&lt;=0),"",(1/Inputs!$B$9)*((R175^2/8)*((2*ACOS(1-2*BG175/R175))-SIN((2*ACOS(1-2*BG175/R175)))))*((((R175^2/8)*((2*ACOS(1-2*BG175/R175))-SIN((2*ACOS(1-2*BG175/R175)))))/((R175/2)*((2*ACOS(1-2*BG175/R175)))))^(2/3))*SQRT(N175))</f>
        <v/>
      </c>
      <c r="BI175" s="9" t="str">
        <f aca="false">IF(AY175="","",IF(BH175&lt;AY175,BG175,BE175))</f>
        <v/>
      </c>
      <c r="BJ175" s="9" t="str">
        <f aca="false">IF(AY175="","",IF(BH175&lt;AY175,BF175,BG175))</f>
        <v/>
      </c>
      <c r="BK175" s="9" t="str">
        <f aca="false">IF(AY175="","",(BI175+BJ175)/2)</f>
        <v/>
      </c>
      <c r="BL175" s="9" t="str">
        <f aca="false">IF(OR(R175="",N175="",BK175="",R175&lt;=0,BK175&lt;=0),"",(1/Inputs!$B$9)*((R175^2/8)*((2*ACOS(1-2*BK175/R175))-SIN((2*ACOS(1-2*BK175/R175)))))*((((R175^2/8)*((2*ACOS(1-2*BK175/R175))-SIN((2*ACOS(1-2*BK175/R175)))))/((R175/2)*((2*ACOS(1-2*BK175/R175)))))^(2/3))*SQRT(N175))</f>
        <v/>
      </c>
      <c r="BM175" s="9" t="str">
        <f aca="false">IF(AY175="","",IF(BL175&lt;AY175,BK175,BI175))</f>
        <v/>
      </c>
      <c r="BN175" s="9" t="str">
        <f aca="false">IF(AY175="","",IF(BL175&lt;AY175,BJ175,BK175))</f>
        <v/>
      </c>
      <c r="BO175" s="9" t="str">
        <f aca="false">IF(AY175="","",(BM175+BN175)/2)</f>
        <v/>
      </c>
      <c r="BP175" s="9" t="str">
        <f aca="false">IF(OR(R175="",N175="",BO175="",R175&lt;=0,BO175&lt;=0),"",(1/Inputs!$B$9)*((R175^2/8)*((2*ACOS(1-2*BO175/R175))-SIN((2*ACOS(1-2*BO175/R175)))))*((((R175^2/8)*((2*ACOS(1-2*BO175/R175))-SIN((2*ACOS(1-2*BO175/R175)))))/((R175/2)*((2*ACOS(1-2*BO175/R175)))))^(2/3))*SQRT(N175))</f>
        <v/>
      </c>
      <c r="BQ175" s="9" t="str">
        <f aca="false">IF(AY175="","",IF(BP175&lt;AY175,BO175,BM175))</f>
        <v/>
      </c>
      <c r="BR175" s="9" t="str">
        <f aca="false">IF(AY175="","",IF(BP175&lt;AY175,BN175,BO175))</f>
        <v/>
      </c>
      <c r="BS175" s="9" t="str">
        <f aca="false">IF(AY175="","",(BQ175+BR175)/2)</f>
        <v/>
      </c>
      <c r="BT175" s="9" t="str">
        <f aca="false">IF(OR(R175="",N175="",BS175="",R175&lt;=0,BS175&lt;=0),"",(1/Inputs!$B$9)*((R175^2/8)*((2*ACOS(1-2*BS175/R175))-SIN((2*ACOS(1-2*BS175/R175)))))*((((R175^2/8)*((2*ACOS(1-2*BS175/R175))-SIN((2*ACOS(1-2*BS175/R175)))))/((R175/2)*((2*ACOS(1-2*BS175/R175)))))^(2/3))*SQRT(N175))</f>
        <v/>
      </c>
      <c r="BU175" s="9" t="str">
        <f aca="false">IF(AY175="","",IF(BT175&lt;AY175,BS175,BQ175))</f>
        <v/>
      </c>
      <c r="BV175" s="9" t="str">
        <f aca="false">IF(AY175="","",IF(BT175&lt;AY175,BR175,BS175))</f>
        <v/>
      </c>
      <c r="BW175" s="9" t="str">
        <f aca="false">IF(AY175="","",(BU175+BV175)/2)</f>
        <v/>
      </c>
      <c r="BX175" s="9" t="str">
        <f aca="false">IF(OR(R175="",N175="",BW175="",R175&lt;=0,BW175&lt;=0),"",(1/Inputs!$B$9)*((R175^2/8)*((2*ACOS(1-2*BW175/R175))-SIN((2*ACOS(1-2*BW175/R175)))))*((((R175^2/8)*((2*ACOS(1-2*BW175/R175))-SIN((2*ACOS(1-2*BW175/R175)))))/((R175/2)*((2*ACOS(1-2*BW175/R175)))))^(2/3))*SQRT(N175))</f>
        <v/>
      </c>
      <c r="BY175" s="9" t="str">
        <f aca="false">IF(AY175="","",IF(BX175&lt;AY175,BW175,BU175))</f>
        <v/>
      </c>
      <c r="BZ175" s="9" t="str">
        <f aca="false">IF(AY175="","",IF(BX175&lt;AY175,BV175,BW175))</f>
        <v/>
      </c>
      <c r="CA175" s="9" t="str">
        <f aca="false">IF(AY175="","",(BY175+BZ175)/2)</f>
        <v/>
      </c>
      <c r="CB175" s="9" t="str">
        <f aca="false">IF(OR(R175="",N175="",CA175="",R175&lt;=0,CA175&lt;=0),"",(1/Inputs!$B$9)*((R175^2/8)*((2*ACOS(1-2*CA175/R175))-SIN((2*ACOS(1-2*CA175/R175)))))*((((R175^2/8)*((2*ACOS(1-2*CA175/R175))-SIN((2*ACOS(1-2*CA175/R175)))))/((R175/2)*((2*ACOS(1-2*CA175/R175)))))^(2/3))*SQRT(N175))</f>
        <v/>
      </c>
      <c r="CC175" s="9" t="str">
        <f aca="false">IF(AY175="","",IF(CB175&lt;AY175,CA175,BY175))</f>
        <v/>
      </c>
      <c r="CD175" s="9" t="str">
        <f aca="false">IF(AY175="","",IF(CB175&lt;AY175,BZ175,CA175))</f>
        <v/>
      </c>
      <c r="CE175" s="9" t="str">
        <f aca="false">IF(AY175="","",(CC175+CD175)/2)</f>
        <v/>
      </c>
    </row>
    <row r="176" customFormat="false" ht="15" hidden="false" customHeight="false" outlineLevel="0" collapsed="false">
      <c r="A176" s="9"/>
      <c r="B176" s="9"/>
      <c r="C176" s="14"/>
      <c r="D176" s="14"/>
      <c r="E176" s="14" t="n">
        <f aca="false">SUMIFS(CB_Tributaires!$C:$C,CB_Tributaires!$B:$B,$A176)</f>
        <v>0</v>
      </c>
      <c r="F176" s="14" t="n">
        <f aca="false">IF(D176="",E176,D176)</f>
        <v>0</v>
      </c>
      <c r="G176" s="9"/>
      <c r="H176" s="14"/>
      <c r="I176" s="14" t="str">
        <f aca="false">IF(A176="","",Inputs!$B$13/((IF(AS176="",Inputs!$B$18,AS176)+Inputs!$B$14)^Inputs!$B$15))</f>
        <v/>
      </c>
      <c r="J176" s="14" t="str">
        <f aca="false">IF(A176="","",0.000000278*IF(G176="",Inputs!$B$17,G176)*F176*I176)</f>
        <v/>
      </c>
      <c r="K176" s="14" t="str">
        <f aca="false">IF(A176="","",SUMIFS($L$4:$L$203,$B$4:$B$203,$A176))</f>
        <v/>
      </c>
      <c r="L176" s="14" t="str">
        <f aca="false">IF(A176="","",(J176+K176)*Inputs!$B$16)</f>
        <v/>
      </c>
      <c r="M176" s="14"/>
      <c r="N176" s="14" t="str">
        <f aca="false">IF(A176="","",IF(M176="",Inputs!$B$7,M176))</f>
        <v/>
      </c>
      <c r="O176" s="9" t="str">
        <f aca="false">IF(A176="","",IF(L176/Inputs!$B$10&lt;=AD176,Inputs!$F$5,IF(L176/Inputs!$B$10&gt;AM176,"OVERSIZE",INDEX(Inputs!$F$5:$F$14,MATCH(L176/Inputs!$B$10,AD176:AM176,1)+1))))</f>
        <v/>
      </c>
      <c r="P176" s="9"/>
      <c r="Q176" s="9" t="str">
        <f aca="false">IF(A176="","",IF(P176="",O176,P176))</f>
        <v/>
      </c>
      <c r="R176" s="14" t="str">
        <f aca="false">IF(OR(Q176="",Q176="OVERSIZE"),"",Q176/1000)</f>
        <v/>
      </c>
      <c r="S176" s="14" t="str">
        <f aca="false">IF(R176="","",(1/Inputs!$B$9)*(PI()*R176^2/4)*((R176/4)^(2/3))*SQRT(N176))</f>
        <v/>
      </c>
      <c r="T176" s="14" t="str">
        <f aca="false">IF(OR(S176="",L176=""),"",L176/(S176*Inputs!$B$10))</f>
        <v/>
      </c>
      <c r="U176" s="14" t="str">
        <f aca="false">IF(OR(R176="",L176=""),"",4*L176/(PI()*R176^2))</f>
        <v/>
      </c>
      <c r="V176" s="14"/>
      <c r="W176" s="14" t="str">
        <f aca="false">IF(A176="","",IF(A176=Inputs!$B$6,Inputs!$B$22,IF(B176="","",IFERROR(INDEX($X$4:$X$203,MATCH(B176,$A$4:$A$203,0))+IF(V176="",Inputs!$B$20,V176),""))))</f>
        <v/>
      </c>
      <c r="X176" s="14" t="str">
        <f aca="false">IF(OR(W176="",N176="",C176=""),"",W176+N176*C176)</f>
        <v/>
      </c>
      <c r="Y176" s="14"/>
      <c r="Z176" s="14"/>
      <c r="AA176" s="14" t="str">
        <f aca="false">IF(OR(Y176="",W176=""),"",Y176-W176)</f>
        <v/>
      </c>
      <c r="AB176" s="14" t="str">
        <f aca="false">IF(OR(Z176="",X176=""),"",Z176-X176)</f>
        <v/>
      </c>
      <c r="AC176" s="19" t="str">
        <f aca="false">IF(A176="","",IF(OR(T176&gt;1,AND(AV176&lt;&gt;"",AV176&lt;Inputs!$B$11),AND(AV176&lt;&gt;"",AV176&gt;Inputs!$B$12),AA176&lt;Inputs!$B$19,AB176&lt;Inputs!$B$19,N176&lt;Inputs!$B$7,N176&gt;Inputs!$B$8),"CHECK","OK"))</f>
        <v/>
      </c>
      <c r="AD176" s="9" t="str">
        <f aca="false">IF(A176="","",(1/Inputs!$B$9)*(PI()*(Inputs!$F$5/1000)^2/4)*((Inputs!$F$5/1000/4)^(2/3))*SQRT(N176))</f>
        <v/>
      </c>
      <c r="AE176" s="9" t="str">
        <f aca="false">IF(A176="","",(1/Inputs!$B$9)*(PI()*(Inputs!$F$6/1000)^2/4)*((Inputs!$F$6/1000/4)^(2/3))*SQRT(N176))</f>
        <v/>
      </c>
      <c r="AF176" s="9" t="str">
        <f aca="false">IF(A176="","",(1/Inputs!$B$9)*(PI()*(Inputs!$F$7/1000)^2/4)*((Inputs!$F$7/1000/4)^(2/3))*SQRT(N176))</f>
        <v/>
      </c>
      <c r="AG176" s="9" t="str">
        <f aca="false">IF(A176="","",(1/Inputs!$B$9)*(PI()*(Inputs!$F$8/1000)^2/4)*((Inputs!$F$8/1000/4)^(2/3))*SQRT(N176))</f>
        <v/>
      </c>
      <c r="AH176" s="9" t="str">
        <f aca="false">IF(A176="","",(1/Inputs!$B$9)*(PI()*(Inputs!$F$9/1000)^2/4)*((Inputs!$F$9/1000/4)^(2/3))*SQRT(N176))</f>
        <v/>
      </c>
      <c r="AI176" s="9" t="str">
        <f aca="false">IF(A176="","",(1/Inputs!$B$9)*(PI()*(Inputs!$F$10/1000)^2/4)*((Inputs!$F$10/1000/4)^(2/3))*SQRT(N176))</f>
        <v/>
      </c>
      <c r="AJ176" s="9" t="str">
        <f aca="false">IF(A176="","",(1/Inputs!$B$9)*(PI()*(Inputs!$F$11/1000)^2/4)*((Inputs!$F$11/1000/4)^(2/3))*SQRT(N176))</f>
        <v/>
      </c>
      <c r="AK176" s="9" t="str">
        <f aca="false">IF(A176="","",(1/Inputs!$B$9)*(PI()*(Inputs!$F$12/1000)^2/4)*((Inputs!$F$12/1000/4)^(2/3))*SQRT(N176))</f>
        <v/>
      </c>
      <c r="AL176" s="9" t="str">
        <f aca="false">IF(A176="","",(1/Inputs!$B$9)*(PI()*(Inputs!$F$13/1000)^2/4)*((Inputs!$F$13/1000/4)^(2/3))*SQRT(N176))</f>
        <v/>
      </c>
      <c r="AM176" s="9" t="str">
        <f aca="false">IF(A176="","",(1/Inputs!$B$9)*(PI()*(Inputs!$F$14/1000)^2/4)*((Inputs!$F$14/1000/4)^(2/3))*SQRT(N176))</f>
        <v/>
      </c>
      <c r="AN176" s="9" t="str">
        <f aca="false">IF(A176="","",COUNTIF($B$4:$B$203,$A176))</f>
        <v/>
      </c>
      <c r="AO176" s="9" t="str">
        <f aca="false">IF(A176="","",IF(AN176=0,"START","CONTINUOUS"))</f>
        <v/>
      </c>
      <c r="AP176" s="13" t="str">
        <f aca="false">IF(A176="","",IF(H176="",Inputs!$B$18,H176))</f>
        <v/>
      </c>
      <c r="AQ176" s="13" t="str">
        <f aca="false">IF(A176="","",IFERROR(maxifs($AS$4:$AS$203,$B$4:$B$203,$A176),""))</f>
        <v/>
      </c>
      <c r="AR176" s="13" t="str">
        <f aca="false">IF(A176="","",IF(OR(C176="",Inputs!$B$23=""),"",C176/(Inputs!$B$23*60)))</f>
        <v/>
      </c>
      <c r="AS176" s="13" t="str">
        <f aca="false">IF(A176="","",IF(AN176=0,AP176+AR176,IF(AQ176="",AP176+AR176,AQ176+AR176)))</f>
        <v/>
      </c>
      <c r="AT176" s="13" t="str">
        <f aca="false">IF(A176="","",U176)</f>
        <v/>
      </c>
      <c r="AU176" s="13" t="str">
        <f aca="false">IF(OR(R176="",N176=""),"",(1/Inputs!$B$9)*((R176/4)^(2/3))*SQRT(N176))</f>
        <v/>
      </c>
      <c r="AV176" s="13" t="str">
        <f aca="false">IF(A176="","",IF(AND(AT176="",AU176="",AX176=""),"",IF(OR(UPPER(TRIM(Inputs!$B$24))="MANNING",UPPER(TRIM(Inputs!$B$24))="M"),AU176,IF(OR(UPPER(TRIM(Inputs!$B$24))="PARTIAL",UPPER(TRIM(Inputs!$B$24))="P"),AX176,IF(OR(UPPER(TRIM(Inputs!$B$24))="MAX",UPPER(TRIM(Inputs!$B$24))="X"),MAX(IF(AT176="",0,AT176),IF(AU176="",0,AU176),IF(AX176="",0,AX176)),AT176)))))</f>
        <v/>
      </c>
      <c r="AW176" s="13" t="str">
        <f aca="false">IF(AY176="","",CE176)</f>
        <v/>
      </c>
      <c r="AX176" s="13" t="str">
        <f aca="false">IF(OR(AY176="",AW176="",R176="",R176&lt;=0,AW176&lt;=0),"",AY176/((R176^2/8)*(2*ACOS(1-2*AW176/R176)-SIN(2*ACOS(1-2*AW176/R176)))))</f>
        <v/>
      </c>
      <c r="AY176" s="9" t="str">
        <f aca="false">IF(OR(L176="",AZ176=""),"",MIN(L176,AZ176))</f>
        <v/>
      </c>
      <c r="AZ176" s="9" t="str">
        <f aca="false">IF(OR(L176="",R176="",N176=""),"",IF(OR(R176="",N176="",(0.94*R176)="",R176&lt;=0,(0.94*R176)&lt;=0),"",(1/Inputs!$B$9)*((R176^2/8)*((2*ACOS(1-2*(0.94*R176)/R176))-SIN((2*ACOS(1-2*(0.94*R176)/R176)))))*((((R176^2/8)*((2*ACOS(1-2*(0.94*R176)/R176))-SIN((2*ACOS(1-2*(0.94*R176)/R176)))))/((R176/2)*((2*ACOS(1-2*(0.94*R176)/R176)))))^(2/3))*SQRT(N176)))</f>
        <v/>
      </c>
      <c r="BA176" s="9" t="str">
        <f aca="false">IF(AY176="","",0.001*R176)</f>
        <v/>
      </c>
      <c r="BB176" s="9" t="str">
        <f aca="false">IF(AY176="","",0.94*R176)</f>
        <v/>
      </c>
      <c r="BC176" s="9" t="str">
        <f aca="false">IF(AY176="","",(BA176+BB176)/2)</f>
        <v/>
      </c>
      <c r="BD176" s="9" t="str">
        <f aca="false">IF(OR(R176="",N176="",BC176="",R176&lt;=0,BC176&lt;=0),"",(1/Inputs!$B$9)*((R176^2/8)*((2*ACOS(1-2*BC176/R176))-SIN((2*ACOS(1-2*BC176/R176)))))*((((R176^2/8)*((2*ACOS(1-2*BC176/R176))-SIN((2*ACOS(1-2*BC176/R176)))))/((R176/2)*((2*ACOS(1-2*BC176/R176)))))^(2/3))*SQRT(N176))</f>
        <v/>
      </c>
      <c r="BE176" s="9" t="str">
        <f aca="false">IF(AY176="","",IF(BD176&lt;AY176,BC176,BA176))</f>
        <v/>
      </c>
      <c r="BF176" s="9" t="str">
        <f aca="false">IF(AY176="","",IF(BD176&lt;AY176,BB176,BC176))</f>
        <v/>
      </c>
      <c r="BG176" s="9" t="str">
        <f aca="false">IF(AY176="","",(BE176+BF176)/2)</f>
        <v/>
      </c>
      <c r="BH176" s="9" t="str">
        <f aca="false">IF(OR(R176="",N176="",BG176="",R176&lt;=0,BG176&lt;=0),"",(1/Inputs!$B$9)*((R176^2/8)*((2*ACOS(1-2*BG176/R176))-SIN((2*ACOS(1-2*BG176/R176)))))*((((R176^2/8)*((2*ACOS(1-2*BG176/R176))-SIN((2*ACOS(1-2*BG176/R176)))))/((R176/2)*((2*ACOS(1-2*BG176/R176)))))^(2/3))*SQRT(N176))</f>
        <v/>
      </c>
      <c r="BI176" s="9" t="str">
        <f aca="false">IF(AY176="","",IF(BH176&lt;AY176,BG176,BE176))</f>
        <v/>
      </c>
      <c r="BJ176" s="9" t="str">
        <f aca="false">IF(AY176="","",IF(BH176&lt;AY176,BF176,BG176))</f>
        <v/>
      </c>
      <c r="BK176" s="9" t="str">
        <f aca="false">IF(AY176="","",(BI176+BJ176)/2)</f>
        <v/>
      </c>
      <c r="BL176" s="9" t="str">
        <f aca="false">IF(OR(R176="",N176="",BK176="",R176&lt;=0,BK176&lt;=0),"",(1/Inputs!$B$9)*((R176^2/8)*((2*ACOS(1-2*BK176/R176))-SIN((2*ACOS(1-2*BK176/R176)))))*((((R176^2/8)*((2*ACOS(1-2*BK176/R176))-SIN((2*ACOS(1-2*BK176/R176)))))/((R176/2)*((2*ACOS(1-2*BK176/R176)))))^(2/3))*SQRT(N176))</f>
        <v/>
      </c>
      <c r="BM176" s="9" t="str">
        <f aca="false">IF(AY176="","",IF(BL176&lt;AY176,BK176,BI176))</f>
        <v/>
      </c>
      <c r="BN176" s="9" t="str">
        <f aca="false">IF(AY176="","",IF(BL176&lt;AY176,BJ176,BK176))</f>
        <v/>
      </c>
      <c r="BO176" s="9" t="str">
        <f aca="false">IF(AY176="","",(BM176+BN176)/2)</f>
        <v/>
      </c>
      <c r="BP176" s="9" t="str">
        <f aca="false">IF(OR(R176="",N176="",BO176="",R176&lt;=0,BO176&lt;=0),"",(1/Inputs!$B$9)*((R176^2/8)*((2*ACOS(1-2*BO176/R176))-SIN((2*ACOS(1-2*BO176/R176)))))*((((R176^2/8)*((2*ACOS(1-2*BO176/R176))-SIN((2*ACOS(1-2*BO176/R176)))))/((R176/2)*((2*ACOS(1-2*BO176/R176)))))^(2/3))*SQRT(N176))</f>
        <v/>
      </c>
      <c r="BQ176" s="9" t="str">
        <f aca="false">IF(AY176="","",IF(BP176&lt;AY176,BO176,BM176))</f>
        <v/>
      </c>
      <c r="BR176" s="9" t="str">
        <f aca="false">IF(AY176="","",IF(BP176&lt;AY176,BN176,BO176))</f>
        <v/>
      </c>
      <c r="BS176" s="9" t="str">
        <f aca="false">IF(AY176="","",(BQ176+BR176)/2)</f>
        <v/>
      </c>
      <c r="BT176" s="9" t="str">
        <f aca="false">IF(OR(R176="",N176="",BS176="",R176&lt;=0,BS176&lt;=0),"",(1/Inputs!$B$9)*((R176^2/8)*((2*ACOS(1-2*BS176/R176))-SIN((2*ACOS(1-2*BS176/R176)))))*((((R176^2/8)*((2*ACOS(1-2*BS176/R176))-SIN((2*ACOS(1-2*BS176/R176)))))/((R176/2)*((2*ACOS(1-2*BS176/R176)))))^(2/3))*SQRT(N176))</f>
        <v/>
      </c>
      <c r="BU176" s="9" t="str">
        <f aca="false">IF(AY176="","",IF(BT176&lt;AY176,BS176,BQ176))</f>
        <v/>
      </c>
      <c r="BV176" s="9" t="str">
        <f aca="false">IF(AY176="","",IF(BT176&lt;AY176,BR176,BS176))</f>
        <v/>
      </c>
      <c r="BW176" s="9" t="str">
        <f aca="false">IF(AY176="","",(BU176+BV176)/2)</f>
        <v/>
      </c>
      <c r="BX176" s="9" t="str">
        <f aca="false">IF(OR(R176="",N176="",BW176="",R176&lt;=0,BW176&lt;=0),"",(1/Inputs!$B$9)*((R176^2/8)*((2*ACOS(1-2*BW176/R176))-SIN((2*ACOS(1-2*BW176/R176)))))*((((R176^2/8)*((2*ACOS(1-2*BW176/R176))-SIN((2*ACOS(1-2*BW176/R176)))))/((R176/2)*((2*ACOS(1-2*BW176/R176)))))^(2/3))*SQRT(N176))</f>
        <v/>
      </c>
      <c r="BY176" s="9" t="str">
        <f aca="false">IF(AY176="","",IF(BX176&lt;AY176,BW176,BU176))</f>
        <v/>
      </c>
      <c r="BZ176" s="9" t="str">
        <f aca="false">IF(AY176="","",IF(BX176&lt;AY176,BV176,BW176))</f>
        <v/>
      </c>
      <c r="CA176" s="9" t="str">
        <f aca="false">IF(AY176="","",(BY176+BZ176)/2)</f>
        <v/>
      </c>
      <c r="CB176" s="9" t="str">
        <f aca="false">IF(OR(R176="",N176="",CA176="",R176&lt;=0,CA176&lt;=0),"",(1/Inputs!$B$9)*((R176^2/8)*((2*ACOS(1-2*CA176/R176))-SIN((2*ACOS(1-2*CA176/R176)))))*((((R176^2/8)*((2*ACOS(1-2*CA176/R176))-SIN((2*ACOS(1-2*CA176/R176)))))/((R176/2)*((2*ACOS(1-2*CA176/R176)))))^(2/3))*SQRT(N176))</f>
        <v/>
      </c>
      <c r="CC176" s="9" t="str">
        <f aca="false">IF(AY176="","",IF(CB176&lt;AY176,CA176,BY176))</f>
        <v/>
      </c>
      <c r="CD176" s="9" t="str">
        <f aca="false">IF(AY176="","",IF(CB176&lt;AY176,BZ176,CA176))</f>
        <v/>
      </c>
      <c r="CE176" s="9" t="str">
        <f aca="false">IF(AY176="","",(CC176+CD176)/2)</f>
        <v/>
      </c>
    </row>
    <row r="177" customFormat="false" ht="15" hidden="false" customHeight="false" outlineLevel="0" collapsed="false">
      <c r="A177" s="9"/>
      <c r="B177" s="9"/>
      <c r="C177" s="14"/>
      <c r="D177" s="14"/>
      <c r="E177" s="14" t="n">
        <f aca="false">SUMIFS(CB_Tributaires!$C:$C,CB_Tributaires!$B:$B,$A177)</f>
        <v>0</v>
      </c>
      <c r="F177" s="14" t="n">
        <f aca="false">IF(D177="",E177,D177)</f>
        <v>0</v>
      </c>
      <c r="G177" s="9"/>
      <c r="H177" s="14"/>
      <c r="I177" s="14" t="str">
        <f aca="false">IF(A177="","",Inputs!$B$13/((IF(AS177="",Inputs!$B$18,AS177)+Inputs!$B$14)^Inputs!$B$15))</f>
        <v/>
      </c>
      <c r="J177" s="14" t="str">
        <f aca="false">IF(A177="","",0.000000278*IF(G177="",Inputs!$B$17,G177)*F177*I177)</f>
        <v/>
      </c>
      <c r="K177" s="14" t="str">
        <f aca="false">IF(A177="","",SUMIFS($L$4:$L$203,$B$4:$B$203,$A177))</f>
        <v/>
      </c>
      <c r="L177" s="14" t="str">
        <f aca="false">IF(A177="","",(J177+K177)*Inputs!$B$16)</f>
        <v/>
      </c>
      <c r="M177" s="14"/>
      <c r="N177" s="14" t="str">
        <f aca="false">IF(A177="","",IF(M177="",Inputs!$B$7,M177))</f>
        <v/>
      </c>
      <c r="O177" s="9" t="str">
        <f aca="false">IF(A177="","",IF(L177/Inputs!$B$10&lt;=AD177,Inputs!$F$5,IF(L177/Inputs!$B$10&gt;AM177,"OVERSIZE",INDEX(Inputs!$F$5:$F$14,MATCH(L177/Inputs!$B$10,AD177:AM177,1)+1))))</f>
        <v/>
      </c>
      <c r="P177" s="9"/>
      <c r="Q177" s="9" t="str">
        <f aca="false">IF(A177="","",IF(P177="",O177,P177))</f>
        <v/>
      </c>
      <c r="R177" s="14" t="str">
        <f aca="false">IF(OR(Q177="",Q177="OVERSIZE"),"",Q177/1000)</f>
        <v/>
      </c>
      <c r="S177" s="14" t="str">
        <f aca="false">IF(R177="","",(1/Inputs!$B$9)*(PI()*R177^2/4)*((R177/4)^(2/3))*SQRT(N177))</f>
        <v/>
      </c>
      <c r="T177" s="14" t="str">
        <f aca="false">IF(OR(S177="",L177=""),"",L177/(S177*Inputs!$B$10))</f>
        <v/>
      </c>
      <c r="U177" s="14" t="str">
        <f aca="false">IF(OR(R177="",L177=""),"",4*L177/(PI()*R177^2))</f>
        <v/>
      </c>
      <c r="V177" s="14"/>
      <c r="W177" s="14" t="str">
        <f aca="false">IF(A177="","",IF(A177=Inputs!$B$6,Inputs!$B$22,IF(B177="","",IFERROR(INDEX($X$4:$X$203,MATCH(B177,$A$4:$A$203,0))+IF(V177="",Inputs!$B$20,V177),""))))</f>
        <v/>
      </c>
      <c r="X177" s="14" t="str">
        <f aca="false">IF(OR(W177="",N177="",C177=""),"",W177+N177*C177)</f>
        <v/>
      </c>
      <c r="Y177" s="14"/>
      <c r="Z177" s="14"/>
      <c r="AA177" s="14" t="str">
        <f aca="false">IF(OR(Y177="",W177=""),"",Y177-W177)</f>
        <v/>
      </c>
      <c r="AB177" s="14" t="str">
        <f aca="false">IF(OR(Z177="",X177=""),"",Z177-X177)</f>
        <v/>
      </c>
      <c r="AC177" s="19" t="str">
        <f aca="false">IF(A177="","",IF(OR(T177&gt;1,AND(AV177&lt;&gt;"",AV177&lt;Inputs!$B$11),AND(AV177&lt;&gt;"",AV177&gt;Inputs!$B$12),AA177&lt;Inputs!$B$19,AB177&lt;Inputs!$B$19,N177&lt;Inputs!$B$7,N177&gt;Inputs!$B$8),"CHECK","OK"))</f>
        <v/>
      </c>
      <c r="AD177" s="9" t="str">
        <f aca="false">IF(A177="","",(1/Inputs!$B$9)*(PI()*(Inputs!$F$5/1000)^2/4)*((Inputs!$F$5/1000/4)^(2/3))*SQRT(N177))</f>
        <v/>
      </c>
      <c r="AE177" s="9" t="str">
        <f aca="false">IF(A177="","",(1/Inputs!$B$9)*(PI()*(Inputs!$F$6/1000)^2/4)*((Inputs!$F$6/1000/4)^(2/3))*SQRT(N177))</f>
        <v/>
      </c>
      <c r="AF177" s="9" t="str">
        <f aca="false">IF(A177="","",(1/Inputs!$B$9)*(PI()*(Inputs!$F$7/1000)^2/4)*((Inputs!$F$7/1000/4)^(2/3))*SQRT(N177))</f>
        <v/>
      </c>
      <c r="AG177" s="9" t="str">
        <f aca="false">IF(A177="","",(1/Inputs!$B$9)*(PI()*(Inputs!$F$8/1000)^2/4)*((Inputs!$F$8/1000/4)^(2/3))*SQRT(N177))</f>
        <v/>
      </c>
      <c r="AH177" s="9" t="str">
        <f aca="false">IF(A177="","",(1/Inputs!$B$9)*(PI()*(Inputs!$F$9/1000)^2/4)*((Inputs!$F$9/1000/4)^(2/3))*SQRT(N177))</f>
        <v/>
      </c>
      <c r="AI177" s="9" t="str">
        <f aca="false">IF(A177="","",(1/Inputs!$B$9)*(PI()*(Inputs!$F$10/1000)^2/4)*((Inputs!$F$10/1000/4)^(2/3))*SQRT(N177))</f>
        <v/>
      </c>
      <c r="AJ177" s="9" t="str">
        <f aca="false">IF(A177="","",(1/Inputs!$B$9)*(PI()*(Inputs!$F$11/1000)^2/4)*((Inputs!$F$11/1000/4)^(2/3))*SQRT(N177))</f>
        <v/>
      </c>
      <c r="AK177" s="9" t="str">
        <f aca="false">IF(A177="","",(1/Inputs!$B$9)*(PI()*(Inputs!$F$12/1000)^2/4)*((Inputs!$F$12/1000/4)^(2/3))*SQRT(N177))</f>
        <v/>
      </c>
      <c r="AL177" s="9" t="str">
        <f aca="false">IF(A177="","",(1/Inputs!$B$9)*(PI()*(Inputs!$F$13/1000)^2/4)*((Inputs!$F$13/1000/4)^(2/3))*SQRT(N177))</f>
        <v/>
      </c>
      <c r="AM177" s="9" t="str">
        <f aca="false">IF(A177="","",(1/Inputs!$B$9)*(PI()*(Inputs!$F$14/1000)^2/4)*((Inputs!$F$14/1000/4)^(2/3))*SQRT(N177))</f>
        <v/>
      </c>
      <c r="AN177" s="9" t="str">
        <f aca="false">IF(A177="","",COUNTIF($B$4:$B$203,$A177))</f>
        <v/>
      </c>
      <c r="AO177" s="9" t="str">
        <f aca="false">IF(A177="","",IF(AN177=0,"START","CONTINUOUS"))</f>
        <v/>
      </c>
      <c r="AP177" s="13" t="str">
        <f aca="false">IF(A177="","",IF(H177="",Inputs!$B$18,H177))</f>
        <v/>
      </c>
      <c r="AQ177" s="13" t="str">
        <f aca="false">IF(A177="","",IFERROR(maxifs($AS$4:$AS$203,$B$4:$B$203,$A177),""))</f>
        <v/>
      </c>
      <c r="AR177" s="13" t="str">
        <f aca="false">IF(A177="","",IF(OR(C177="",Inputs!$B$23=""),"",C177/(Inputs!$B$23*60)))</f>
        <v/>
      </c>
      <c r="AS177" s="13" t="str">
        <f aca="false">IF(A177="","",IF(AN177=0,AP177+AR177,IF(AQ177="",AP177+AR177,AQ177+AR177)))</f>
        <v/>
      </c>
      <c r="AT177" s="13" t="str">
        <f aca="false">IF(A177="","",U177)</f>
        <v/>
      </c>
      <c r="AU177" s="13" t="str">
        <f aca="false">IF(OR(R177="",N177=""),"",(1/Inputs!$B$9)*((R177/4)^(2/3))*SQRT(N177))</f>
        <v/>
      </c>
      <c r="AV177" s="13" t="str">
        <f aca="false">IF(A177="","",IF(AND(AT177="",AU177="",AX177=""),"",IF(OR(UPPER(TRIM(Inputs!$B$24))="MANNING",UPPER(TRIM(Inputs!$B$24))="M"),AU177,IF(OR(UPPER(TRIM(Inputs!$B$24))="PARTIAL",UPPER(TRIM(Inputs!$B$24))="P"),AX177,IF(OR(UPPER(TRIM(Inputs!$B$24))="MAX",UPPER(TRIM(Inputs!$B$24))="X"),MAX(IF(AT177="",0,AT177),IF(AU177="",0,AU177),IF(AX177="",0,AX177)),AT177)))))</f>
        <v/>
      </c>
      <c r="AW177" s="13" t="str">
        <f aca="false">IF(AY177="","",CE177)</f>
        <v/>
      </c>
      <c r="AX177" s="13" t="str">
        <f aca="false">IF(OR(AY177="",AW177="",R177="",R177&lt;=0,AW177&lt;=0),"",AY177/((R177^2/8)*(2*ACOS(1-2*AW177/R177)-SIN(2*ACOS(1-2*AW177/R177)))))</f>
        <v/>
      </c>
      <c r="AY177" s="9" t="str">
        <f aca="false">IF(OR(L177="",AZ177=""),"",MIN(L177,AZ177))</f>
        <v/>
      </c>
      <c r="AZ177" s="9" t="str">
        <f aca="false">IF(OR(L177="",R177="",N177=""),"",IF(OR(R177="",N177="",(0.94*R177)="",R177&lt;=0,(0.94*R177)&lt;=0),"",(1/Inputs!$B$9)*((R177^2/8)*((2*ACOS(1-2*(0.94*R177)/R177))-SIN((2*ACOS(1-2*(0.94*R177)/R177)))))*((((R177^2/8)*((2*ACOS(1-2*(0.94*R177)/R177))-SIN((2*ACOS(1-2*(0.94*R177)/R177)))))/((R177/2)*((2*ACOS(1-2*(0.94*R177)/R177)))))^(2/3))*SQRT(N177)))</f>
        <v/>
      </c>
      <c r="BA177" s="9" t="str">
        <f aca="false">IF(AY177="","",0.001*R177)</f>
        <v/>
      </c>
      <c r="BB177" s="9" t="str">
        <f aca="false">IF(AY177="","",0.94*R177)</f>
        <v/>
      </c>
      <c r="BC177" s="9" t="str">
        <f aca="false">IF(AY177="","",(BA177+BB177)/2)</f>
        <v/>
      </c>
      <c r="BD177" s="9" t="str">
        <f aca="false">IF(OR(R177="",N177="",BC177="",R177&lt;=0,BC177&lt;=0),"",(1/Inputs!$B$9)*((R177^2/8)*((2*ACOS(1-2*BC177/R177))-SIN((2*ACOS(1-2*BC177/R177)))))*((((R177^2/8)*((2*ACOS(1-2*BC177/R177))-SIN((2*ACOS(1-2*BC177/R177)))))/((R177/2)*((2*ACOS(1-2*BC177/R177)))))^(2/3))*SQRT(N177))</f>
        <v/>
      </c>
      <c r="BE177" s="9" t="str">
        <f aca="false">IF(AY177="","",IF(BD177&lt;AY177,BC177,BA177))</f>
        <v/>
      </c>
      <c r="BF177" s="9" t="str">
        <f aca="false">IF(AY177="","",IF(BD177&lt;AY177,BB177,BC177))</f>
        <v/>
      </c>
      <c r="BG177" s="9" t="str">
        <f aca="false">IF(AY177="","",(BE177+BF177)/2)</f>
        <v/>
      </c>
      <c r="BH177" s="9" t="str">
        <f aca="false">IF(OR(R177="",N177="",BG177="",R177&lt;=0,BG177&lt;=0),"",(1/Inputs!$B$9)*((R177^2/8)*((2*ACOS(1-2*BG177/R177))-SIN((2*ACOS(1-2*BG177/R177)))))*((((R177^2/8)*((2*ACOS(1-2*BG177/R177))-SIN((2*ACOS(1-2*BG177/R177)))))/((R177/2)*((2*ACOS(1-2*BG177/R177)))))^(2/3))*SQRT(N177))</f>
        <v/>
      </c>
      <c r="BI177" s="9" t="str">
        <f aca="false">IF(AY177="","",IF(BH177&lt;AY177,BG177,BE177))</f>
        <v/>
      </c>
      <c r="BJ177" s="9" t="str">
        <f aca="false">IF(AY177="","",IF(BH177&lt;AY177,BF177,BG177))</f>
        <v/>
      </c>
      <c r="BK177" s="9" t="str">
        <f aca="false">IF(AY177="","",(BI177+BJ177)/2)</f>
        <v/>
      </c>
      <c r="BL177" s="9" t="str">
        <f aca="false">IF(OR(R177="",N177="",BK177="",R177&lt;=0,BK177&lt;=0),"",(1/Inputs!$B$9)*((R177^2/8)*((2*ACOS(1-2*BK177/R177))-SIN((2*ACOS(1-2*BK177/R177)))))*((((R177^2/8)*((2*ACOS(1-2*BK177/R177))-SIN((2*ACOS(1-2*BK177/R177)))))/((R177/2)*((2*ACOS(1-2*BK177/R177)))))^(2/3))*SQRT(N177))</f>
        <v/>
      </c>
      <c r="BM177" s="9" t="str">
        <f aca="false">IF(AY177="","",IF(BL177&lt;AY177,BK177,BI177))</f>
        <v/>
      </c>
      <c r="BN177" s="9" t="str">
        <f aca="false">IF(AY177="","",IF(BL177&lt;AY177,BJ177,BK177))</f>
        <v/>
      </c>
      <c r="BO177" s="9" t="str">
        <f aca="false">IF(AY177="","",(BM177+BN177)/2)</f>
        <v/>
      </c>
      <c r="BP177" s="9" t="str">
        <f aca="false">IF(OR(R177="",N177="",BO177="",R177&lt;=0,BO177&lt;=0),"",(1/Inputs!$B$9)*((R177^2/8)*((2*ACOS(1-2*BO177/R177))-SIN((2*ACOS(1-2*BO177/R177)))))*((((R177^2/8)*((2*ACOS(1-2*BO177/R177))-SIN((2*ACOS(1-2*BO177/R177)))))/((R177/2)*((2*ACOS(1-2*BO177/R177)))))^(2/3))*SQRT(N177))</f>
        <v/>
      </c>
      <c r="BQ177" s="9" t="str">
        <f aca="false">IF(AY177="","",IF(BP177&lt;AY177,BO177,BM177))</f>
        <v/>
      </c>
      <c r="BR177" s="9" t="str">
        <f aca="false">IF(AY177="","",IF(BP177&lt;AY177,BN177,BO177))</f>
        <v/>
      </c>
      <c r="BS177" s="9" t="str">
        <f aca="false">IF(AY177="","",(BQ177+BR177)/2)</f>
        <v/>
      </c>
      <c r="BT177" s="9" t="str">
        <f aca="false">IF(OR(R177="",N177="",BS177="",R177&lt;=0,BS177&lt;=0),"",(1/Inputs!$B$9)*((R177^2/8)*((2*ACOS(1-2*BS177/R177))-SIN((2*ACOS(1-2*BS177/R177)))))*((((R177^2/8)*((2*ACOS(1-2*BS177/R177))-SIN((2*ACOS(1-2*BS177/R177)))))/((R177/2)*((2*ACOS(1-2*BS177/R177)))))^(2/3))*SQRT(N177))</f>
        <v/>
      </c>
      <c r="BU177" s="9" t="str">
        <f aca="false">IF(AY177="","",IF(BT177&lt;AY177,BS177,BQ177))</f>
        <v/>
      </c>
      <c r="BV177" s="9" t="str">
        <f aca="false">IF(AY177="","",IF(BT177&lt;AY177,BR177,BS177))</f>
        <v/>
      </c>
      <c r="BW177" s="9" t="str">
        <f aca="false">IF(AY177="","",(BU177+BV177)/2)</f>
        <v/>
      </c>
      <c r="BX177" s="9" t="str">
        <f aca="false">IF(OR(R177="",N177="",BW177="",R177&lt;=0,BW177&lt;=0),"",(1/Inputs!$B$9)*((R177^2/8)*((2*ACOS(1-2*BW177/R177))-SIN((2*ACOS(1-2*BW177/R177)))))*((((R177^2/8)*((2*ACOS(1-2*BW177/R177))-SIN((2*ACOS(1-2*BW177/R177)))))/((R177/2)*((2*ACOS(1-2*BW177/R177)))))^(2/3))*SQRT(N177))</f>
        <v/>
      </c>
      <c r="BY177" s="9" t="str">
        <f aca="false">IF(AY177="","",IF(BX177&lt;AY177,BW177,BU177))</f>
        <v/>
      </c>
      <c r="BZ177" s="9" t="str">
        <f aca="false">IF(AY177="","",IF(BX177&lt;AY177,BV177,BW177))</f>
        <v/>
      </c>
      <c r="CA177" s="9" t="str">
        <f aca="false">IF(AY177="","",(BY177+BZ177)/2)</f>
        <v/>
      </c>
      <c r="CB177" s="9" t="str">
        <f aca="false">IF(OR(R177="",N177="",CA177="",R177&lt;=0,CA177&lt;=0),"",(1/Inputs!$B$9)*((R177^2/8)*((2*ACOS(1-2*CA177/R177))-SIN((2*ACOS(1-2*CA177/R177)))))*((((R177^2/8)*((2*ACOS(1-2*CA177/R177))-SIN((2*ACOS(1-2*CA177/R177)))))/((R177/2)*((2*ACOS(1-2*CA177/R177)))))^(2/3))*SQRT(N177))</f>
        <v/>
      </c>
      <c r="CC177" s="9" t="str">
        <f aca="false">IF(AY177="","",IF(CB177&lt;AY177,CA177,BY177))</f>
        <v/>
      </c>
      <c r="CD177" s="9" t="str">
        <f aca="false">IF(AY177="","",IF(CB177&lt;AY177,BZ177,CA177))</f>
        <v/>
      </c>
      <c r="CE177" s="9" t="str">
        <f aca="false">IF(AY177="","",(CC177+CD177)/2)</f>
        <v/>
      </c>
    </row>
    <row r="178" customFormat="false" ht="15" hidden="false" customHeight="false" outlineLevel="0" collapsed="false">
      <c r="A178" s="9"/>
      <c r="B178" s="9"/>
      <c r="C178" s="14"/>
      <c r="D178" s="14"/>
      <c r="E178" s="14" t="n">
        <f aca="false">SUMIFS(CB_Tributaires!$C:$C,CB_Tributaires!$B:$B,$A178)</f>
        <v>0</v>
      </c>
      <c r="F178" s="14" t="n">
        <f aca="false">IF(D178="",E178,D178)</f>
        <v>0</v>
      </c>
      <c r="G178" s="9"/>
      <c r="H178" s="14"/>
      <c r="I178" s="14" t="str">
        <f aca="false">IF(A178="","",Inputs!$B$13/((IF(AS178="",Inputs!$B$18,AS178)+Inputs!$B$14)^Inputs!$B$15))</f>
        <v/>
      </c>
      <c r="J178" s="14" t="str">
        <f aca="false">IF(A178="","",0.000000278*IF(G178="",Inputs!$B$17,G178)*F178*I178)</f>
        <v/>
      </c>
      <c r="K178" s="14" t="str">
        <f aca="false">IF(A178="","",SUMIFS($L$4:$L$203,$B$4:$B$203,$A178))</f>
        <v/>
      </c>
      <c r="L178" s="14" t="str">
        <f aca="false">IF(A178="","",(J178+K178)*Inputs!$B$16)</f>
        <v/>
      </c>
      <c r="M178" s="14"/>
      <c r="N178" s="14" t="str">
        <f aca="false">IF(A178="","",IF(M178="",Inputs!$B$7,M178))</f>
        <v/>
      </c>
      <c r="O178" s="9" t="str">
        <f aca="false">IF(A178="","",IF(L178/Inputs!$B$10&lt;=AD178,Inputs!$F$5,IF(L178/Inputs!$B$10&gt;AM178,"OVERSIZE",INDEX(Inputs!$F$5:$F$14,MATCH(L178/Inputs!$B$10,AD178:AM178,1)+1))))</f>
        <v/>
      </c>
      <c r="P178" s="9"/>
      <c r="Q178" s="9" t="str">
        <f aca="false">IF(A178="","",IF(P178="",O178,P178))</f>
        <v/>
      </c>
      <c r="R178" s="14" t="str">
        <f aca="false">IF(OR(Q178="",Q178="OVERSIZE"),"",Q178/1000)</f>
        <v/>
      </c>
      <c r="S178" s="14" t="str">
        <f aca="false">IF(R178="","",(1/Inputs!$B$9)*(PI()*R178^2/4)*((R178/4)^(2/3))*SQRT(N178))</f>
        <v/>
      </c>
      <c r="T178" s="14" t="str">
        <f aca="false">IF(OR(S178="",L178=""),"",L178/(S178*Inputs!$B$10))</f>
        <v/>
      </c>
      <c r="U178" s="14" t="str">
        <f aca="false">IF(OR(R178="",L178=""),"",4*L178/(PI()*R178^2))</f>
        <v/>
      </c>
      <c r="V178" s="14"/>
      <c r="W178" s="14" t="str">
        <f aca="false">IF(A178="","",IF(A178=Inputs!$B$6,Inputs!$B$22,IF(B178="","",IFERROR(INDEX($X$4:$X$203,MATCH(B178,$A$4:$A$203,0))+IF(V178="",Inputs!$B$20,V178),""))))</f>
        <v/>
      </c>
      <c r="X178" s="14" t="str">
        <f aca="false">IF(OR(W178="",N178="",C178=""),"",W178+N178*C178)</f>
        <v/>
      </c>
      <c r="Y178" s="14"/>
      <c r="Z178" s="14"/>
      <c r="AA178" s="14" t="str">
        <f aca="false">IF(OR(Y178="",W178=""),"",Y178-W178)</f>
        <v/>
      </c>
      <c r="AB178" s="14" t="str">
        <f aca="false">IF(OR(Z178="",X178=""),"",Z178-X178)</f>
        <v/>
      </c>
      <c r="AC178" s="19" t="str">
        <f aca="false">IF(A178="","",IF(OR(T178&gt;1,AND(AV178&lt;&gt;"",AV178&lt;Inputs!$B$11),AND(AV178&lt;&gt;"",AV178&gt;Inputs!$B$12),AA178&lt;Inputs!$B$19,AB178&lt;Inputs!$B$19,N178&lt;Inputs!$B$7,N178&gt;Inputs!$B$8),"CHECK","OK"))</f>
        <v/>
      </c>
      <c r="AD178" s="9" t="str">
        <f aca="false">IF(A178="","",(1/Inputs!$B$9)*(PI()*(Inputs!$F$5/1000)^2/4)*((Inputs!$F$5/1000/4)^(2/3))*SQRT(N178))</f>
        <v/>
      </c>
      <c r="AE178" s="9" t="str">
        <f aca="false">IF(A178="","",(1/Inputs!$B$9)*(PI()*(Inputs!$F$6/1000)^2/4)*((Inputs!$F$6/1000/4)^(2/3))*SQRT(N178))</f>
        <v/>
      </c>
      <c r="AF178" s="9" t="str">
        <f aca="false">IF(A178="","",(1/Inputs!$B$9)*(PI()*(Inputs!$F$7/1000)^2/4)*((Inputs!$F$7/1000/4)^(2/3))*SQRT(N178))</f>
        <v/>
      </c>
      <c r="AG178" s="9" t="str">
        <f aca="false">IF(A178="","",(1/Inputs!$B$9)*(PI()*(Inputs!$F$8/1000)^2/4)*((Inputs!$F$8/1000/4)^(2/3))*SQRT(N178))</f>
        <v/>
      </c>
      <c r="AH178" s="9" t="str">
        <f aca="false">IF(A178="","",(1/Inputs!$B$9)*(PI()*(Inputs!$F$9/1000)^2/4)*((Inputs!$F$9/1000/4)^(2/3))*SQRT(N178))</f>
        <v/>
      </c>
      <c r="AI178" s="9" t="str">
        <f aca="false">IF(A178="","",(1/Inputs!$B$9)*(PI()*(Inputs!$F$10/1000)^2/4)*((Inputs!$F$10/1000/4)^(2/3))*SQRT(N178))</f>
        <v/>
      </c>
      <c r="AJ178" s="9" t="str">
        <f aca="false">IF(A178="","",(1/Inputs!$B$9)*(PI()*(Inputs!$F$11/1000)^2/4)*((Inputs!$F$11/1000/4)^(2/3))*SQRT(N178))</f>
        <v/>
      </c>
      <c r="AK178" s="9" t="str">
        <f aca="false">IF(A178="","",(1/Inputs!$B$9)*(PI()*(Inputs!$F$12/1000)^2/4)*((Inputs!$F$12/1000/4)^(2/3))*SQRT(N178))</f>
        <v/>
      </c>
      <c r="AL178" s="9" t="str">
        <f aca="false">IF(A178="","",(1/Inputs!$B$9)*(PI()*(Inputs!$F$13/1000)^2/4)*((Inputs!$F$13/1000/4)^(2/3))*SQRT(N178))</f>
        <v/>
      </c>
      <c r="AM178" s="9" t="str">
        <f aca="false">IF(A178="","",(1/Inputs!$B$9)*(PI()*(Inputs!$F$14/1000)^2/4)*((Inputs!$F$14/1000/4)^(2/3))*SQRT(N178))</f>
        <v/>
      </c>
      <c r="AN178" s="9" t="str">
        <f aca="false">IF(A178="","",COUNTIF($B$4:$B$203,$A178))</f>
        <v/>
      </c>
      <c r="AO178" s="9" t="str">
        <f aca="false">IF(A178="","",IF(AN178=0,"START","CONTINUOUS"))</f>
        <v/>
      </c>
      <c r="AP178" s="13" t="str">
        <f aca="false">IF(A178="","",IF(H178="",Inputs!$B$18,H178))</f>
        <v/>
      </c>
      <c r="AQ178" s="13" t="str">
        <f aca="false">IF(A178="","",IFERROR(maxifs($AS$4:$AS$203,$B$4:$B$203,$A178),""))</f>
        <v/>
      </c>
      <c r="AR178" s="13" t="str">
        <f aca="false">IF(A178="","",IF(OR(C178="",Inputs!$B$23=""),"",C178/(Inputs!$B$23*60)))</f>
        <v/>
      </c>
      <c r="AS178" s="13" t="str">
        <f aca="false">IF(A178="","",IF(AN178=0,AP178+AR178,IF(AQ178="",AP178+AR178,AQ178+AR178)))</f>
        <v/>
      </c>
      <c r="AT178" s="13" t="str">
        <f aca="false">IF(A178="","",U178)</f>
        <v/>
      </c>
      <c r="AU178" s="13" t="str">
        <f aca="false">IF(OR(R178="",N178=""),"",(1/Inputs!$B$9)*((R178/4)^(2/3))*SQRT(N178))</f>
        <v/>
      </c>
      <c r="AV178" s="13" t="str">
        <f aca="false">IF(A178="","",IF(AND(AT178="",AU178="",AX178=""),"",IF(OR(UPPER(TRIM(Inputs!$B$24))="MANNING",UPPER(TRIM(Inputs!$B$24))="M"),AU178,IF(OR(UPPER(TRIM(Inputs!$B$24))="PARTIAL",UPPER(TRIM(Inputs!$B$24))="P"),AX178,IF(OR(UPPER(TRIM(Inputs!$B$24))="MAX",UPPER(TRIM(Inputs!$B$24))="X"),MAX(IF(AT178="",0,AT178),IF(AU178="",0,AU178),IF(AX178="",0,AX178)),AT178)))))</f>
        <v/>
      </c>
      <c r="AW178" s="13" t="str">
        <f aca="false">IF(AY178="","",CE178)</f>
        <v/>
      </c>
      <c r="AX178" s="13" t="str">
        <f aca="false">IF(OR(AY178="",AW178="",R178="",R178&lt;=0,AW178&lt;=0),"",AY178/((R178^2/8)*(2*ACOS(1-2*AW178/R178)-SIN(2*ACOS(1-2*AW178/R178)))))</f>
        <v/>
      </c>
      <c r="AY178" s="9" t="str">
        <f aca="false">IF(OR(L178="",AZ178=""),"",MIN(L178,AZ178))</f>
        <v/>
      </c>
      <c r="AZ178" s="9" t="str">
        <f aca="false">IF(OR(L178="",R178="",N178=""),"",IF(OR(R178="",N178="",(0.94*R178)="",R178&lt;=0,(0.94*R178)&lt;=0),"",(1/Inputs!$B$9)*((R178^2/8)*((2*ACOS(1-2*(0.94*R178)/R178))-SIN((2*ACOS(1-2*(0.94*R178)/R178)))))*((((R178^2/8)*((2*ACOS(1-2*(0.94*R178)/R178))-SIN((2*ACOS(1-2*(0.94*R178)/R178)))))/((R178/2)*((2*ACOS(1-2*(0.94*R178)/R178)))))^(2/3))*SQRT(N178)))</f>
        <v/>
      </c>
      <c r="BA178" s="9" t="str">
        <f aca="false">IF(AY178="","",0.001*R178)</f>
        <v/>
      </c>
      <c r="BB178" s="9" t="str">
        <f aca="false">IF(AY178="","",0.94*R178)</f>
        <v/>
      </c>
      <c r="BC178" s="9" t="str">
        <f aca="false">IF(AY178="","",(BA178+BB178)/2)</f>
        <v/>
      </c>
      <c r="BD178" s="9" t="str">
        <f aca="false">IF(OR(R178="",N178="",BC178="",R178&lt;=0,BC178&lt;=0),"",(1/Inputs!$B$9)*((R178^2/8)*((2*ACOS(1-2*BC178/R178))-SIN((2*ACOS(1-2*BC178/R178)))))*((((R178^2/8)*((2*ACOS(1-2*BC178/R178))-SIN((2*ACOS(1-2*BC178/R178)))))/((R178/2)*((2*ACOS(1-2*BC178/R178)))))^(2/3))*SQRT(N178))</f>
        <v/>
      </c>
      <c r="BE178" s="9" t="str">
        <f aca="false">IF(AY178="","",IF(BD178&lt;AY178,BC178,BA178))</f>
        <v/>
      </c>
      <c r="BF178" s="9" t="str">
        <f aca="false">IF(AY178="","",IF(BD178&lt;AY178,BB178,BC178))</f>
        <v/>
      </c>
      <c r="BG178" s="9" t="str">
        <f aca="false">IF(AY178="","",(BE178+BF178)/2)</f>
        <v/>
      </c>
      <c r="BH178" s="9" t="str">
        <f aca="false">IF(OR(R178="",N178="",BG178="",R178&lt;=0,BG178&lt;=0),"",(1/Inputs!$B$9)*((R178^2/8)*((2*ACOS(1-2*BG178/R178))-SIN((2*ACOS(1-2*BG178/R178)))))*((((R178^2/8)*((2*ACOS(1-2*BG178/R178))-SIN((2*ACOS(1-2*BG178/R178)))))/((R178/2)*((2*ACOS(1-2*BG178/R178)))))^(2/3))*SQRT(N178))</f>
        <v/>
      </c>
      <c r="BI178" s="9" t="str">
        <f aca="false">IF(AY178="","",IF(BH178&lt;AY178,BG178,BE178))</f>
        <v/>
      </c>
      <c r="BJ178" s="9" t="str">
        <f aca="false">IF(AY178="","",IF(BH178&lt;AY178,BF178,BG178))</f>
        <v/>
      </c>
      <c r="BK178" s="9" t="str">
        <f aca="false">IF(AY178="","",(BI178+BJ178)/2)</f>
        <v/>
      </c>
      <c r="BL178" s="9" t="str">
        <f aca="false">IF(OR(R178="",N178="",BK178="",R178&lt;=0,BK178&lt;=0),"",(1/Inputs!$B$9)*((R178^2/8)*((2*ACOS(1-2*BK178/R178))-SIN((2*ACOS(1-2*BK178/R178)))))*((((R178^2/8)*((2*ACOS(1-2*BK178/R178))-SIN((2*ACOS(1-2*BK178/R178)))))/((R178/2)*((2*ACOS(1-2*BK178/R178)))))^(2/3))*SQRT(N178))</f>
        <v/>
      </c>
      <c r="BM178" s="9" t="str">
        <f aca="false">IF(AY178="","",IF(BL178&lt;AY178,BK178,BI178))</f>
        <v/>
      </c>
      <c r="BN178" s="9" t="str">
        <f aca="false">IF(AY178="","",IF(BL178&lt;AY178,BJ178,BK178))</f>
        <v/>
      </c>
      <c r="BO178" s="9" t="str">
        <f aca="false">IF(AY178="","",(BM178+BN178)/2)</f>
        <v/>
      </c>
      <c r="BP178" s="9" t="str">
        <f aca="false">IF(OR(R178="",N178="",BO178="",R178&lt;=0,BO178&lt;=0),"",(1/Inputs!$B$9)*((R178^2/8)*((2*ACOS(1-2*BO178/R178))-SIN((2*ACOS(1-2*BO178/R178)))))*((((R178^2/8)*((2*ACOS(1-2*BO178/R178))-SIN((2*ACOS(1-2*BO178/R178)))))/((R178/2)*((2*ACOS(1-2*BO178/R178)))))^(2/3))*SQRT(N178))</f>
        <v/>
      </c>
      <c r="BQ178" s="9" t="str">
        <f aca="false">IF(AY178="","",IF(BP178&lt;AY178,BO178,BM178))</f>
        <v/>
      </c>
      <c r="BR178" s="9" t="str">
        <f aca="false">IF(AY178="","",IF(BP178&lt;AY178,BN178,BO178))</f>
        <v/>
      </c>
      <c r="BS178" s="9" t="str">
        <f aca="false">IF(AY178="","",(BQ178+BR178)/2)</f>
        <v/>
      </c>
      <c r="BT178" s="9" t="str">
        <f aca="false">IF(OR(R178="",N178="",BS178="",R178&lt;=0,BS178&lt;=0),"",(1/Inputs!$B$9)*((R178^2/8)*((2*ACOS(1-2*BS178/R178))-SIN((2*ACOS(1-2*BS178/R178)))))*((((R178^2/8)*((2*ACOS(1-2*BS178/R178))-SIN((2*ACOS(1-2*BS178/R178)))))/((R178/2)*((2*ACOS(1-2*BS178/R178)))))^(2/3))*SQRT(N178))</f>
        <v/>
      </c>
      <c r="BU178" s="9" t="str">
        <f aca="false">IF(AY178="","",IF(BT178&lt;AY178,BS178,BQ178))</f>
        <v/>
      </c>
      <c r="BV178" s="9" t="str">
        <f aca="false">IF(AY178="","",IF(BT178&lt;AY178,BR178,BS178))</f>
        <v/>
      </c>
      <c r="BW178" s="9" t="str">
        <f aca="false">IF(AY178="","",(BU178+BV178)/2)</f>
        <v/>
      </c>
      <c r="BX178" s="9" t="str">
        <f aca="false">IF(OR(R178="",N178="",BW178="",R178&lt;=0,BW178&lt;=0),"",(1/Inputs!$B$9)*((R178^2/8)*((2*ACOS(1-2*BW178/R178))-SIN((2*ACOS(1-2*BW178/R178)))))*((((R178^2/8)*((2*ACOS(1-2*BW178/R178))-SIN((2*ACOS(1-2*BW178/R178)))))/((R178/2)*((2*ACOS(1-2*BW178/R178)))))^(2/3))*SQRT(N178))</f>
        <v/>
      </c>
      <c r="BY178" s="9" t="str">
        <f aca="false">IF(AY178="","",IF(BX178&lt;AY178,BW178,BU178))</f>
        <v/>
      </c>
      <c r="BZ178" s="9" t="str">
        <f aca="false">IF(AY178="","",IF(BX178&lt;AY178,BV178,BW178))</f>
        <v/>
      </c>
      <c r="CA178" s="9" t="str">
        <f aca="false">IF(AY178="","",(BY178+BZ178)/2)</f>
        <v/>
      </c>
      <c r="CB178" s="9" t="str">
        <f aca="false">IF(OR(R178="",N178="",CA178="",R178&lt;=0,CA178&lt;=0),"",(1/Inputs!$B$9)*((R178^2/8)*((2*ACOS(1-2*CA178/R178))-SIN((2*ACOS(1-2*CA178/R178)))))*((((R178^2/8)*((2*ACOS(1-2*CA178/R178))-SIN((2*ACOS(1-2*CA178/R178)))))/((R178/2)*((2*ACOS(1-2*CA178/R178)))))^(2/3))*SQRT(N178))</f>
        <v/>
      </c>
      <c r="CC178" s="9" t="str">
        <f aca="false">IF(AY178="","",IF(CB178&lt;AY178,CA178,BY178))</f>
        <v/>
      </c>
      <c r="CD178" s="9" t="str">
        <f aca="false">IF(AY178="","",IF(CB178&lt;AY178,BZ178,CA178))</f>
        <v/>
      </c>
      <c r="CE178" s="9" t="str">
        <f aca="false">IF(AY178="","",(CC178+CD178)/2)</f>
        <v/>
      </c>
    </row>
    <row r="179" customFormat="false" ht="15" hidden="false" customHeight="false" outlineLevel="0" collapsed="false">
      <c r="A179" s="9"/>
      <c r="B179" s="9"/>
      <c r="C179" s="14"/>
      <c r="D179" s="14"/>
      <c r="E179" s="14" t="n">
        <f aca="false">SUMIFS(CB_Tributaires!$C:$C,CB_Tributaires!$B:$B,$A179)</f>
        <v>0</v>
      </c>
      <c r="F179" s="14" t="n">
        <f aca="false">IF(D179="",E179,D179)</f>
        <v>0</v>
      </c>
      <c r="G179" s="9"/>
      <c r="H179" s="14"/>
      <c r="I179" s="14" t="str">
        <f aca="false">IF(A179="","",Inputs!$B$13/((IF(AS179="",Inputs!$B$18,AS179)+Inputs!$B$14)^Inputs!$B$15))</f>
        <v/>
      </c>
      <c r="J179" s="14" t="str">
        <f aca="false">IF(A179="","",0.000000278*IF(G179="",Inputs!$B$17,G179)*F179*I179)</f>
        <v/>
      </c>
      <c r="K179" s="14" t="str">
        <f aca="false">IF(A179="","",SUMIFS($L$4:$L$203,$B$4:$B$203,$A179))</f>
        <v/>
      </c>
      <c r="L179" s="14" t="str">
        <f aca="false">IF(A179="","",(J179+K179)*Inputs!$B$16)</f>
        <v/>
      </c>
      <c r="M179" s="14"/>
      <c r="N179" s="14" t="str">
        <f aca="false">IF(A179="","",IF(M179="",Inputs!$B$7,M179))</f>
        <v/>
      </c>
      <c r="O179" s="9" t="str">
        <f aca="false">IF(A179="","",IF(L179/Inputs!$B$10&lt;=AD179,Inputs!$F$5,IF(L179/Inputs!$B$10&gt;AM179,"OVERSIZE",INDEX(Inputs!$F$5:$F$14,MATCH(L179/Inputs!$B$10,AD179:AM179,1)+1))))</f>
        <v/>
      </c>
      <c r="P179" s="9"/>
      <c r="Q179" s="9" t="str">
        <f aca="false">IF(A179="","",IF(P179="",O179,P179))</f>
        <v/>
      </c>
      <c r="R179" s="14" t="str">
        <f aca="false">IF(OR(Q179="",Q179="OVERSIZE"),"",Q179/1000)</f>
        <v/>
      </c>
      <c r="S179" s="14" t="str">
        <f aca="false">IF(R179="","",(1/Inputs!$B$9)*(PI()*R179^2/4)*((R179/4)^(2/3))*SQRT(N179))</f>
        <v/>
      </c>
      <c r="T179" s="14" t="str">
        <f aca="false">IF(OR(S179="",L179=""),"",L179/(S179*Inputs!$B$10))</f>
        <v/>
      </c>
      <c r="U179" s="14" t="str">
        <f aca="false">IF(OR(R179="",L179=""),"",4*L179/(PI()*R179^2))</f>
        <v/>
      </c>
      <c r="V179" s="14"/>
      <c r="W179" s="14" t="str">
        <f aca="false">IF(A179="","",IF(A179=Inputs!$B$6,Inputs!$B$22,IF(B179="","",IFERROR(INDEX($X$4:$X$203,MATCH(B179,$A$4:$A$203,0))+IF(V179="",Inputs!$B$20,V179),""))))</f>
        <v/>
      </c>
      <c r="X179" s="14" t="str">
        <f aca="false">IF(OR(W179="",N179="",C179=""),"",W179+N179*C179)</f>
        <v/>
      </c>
      <c r="Y179" s="14"/>
      <c r="Z179" s="14"/>
      <c r="AA179" s="14" t="str">
        <f aca="false">IF(OR(Y179="",W179=""),"",Y179-W179)</f>
        <v/>
      </c>
      <c r="AB179" s="14" t="str">
        <f aca="false">IF(OR(Z179="",X179=""),"",Z179-X179)</f>
        <v/>
      </c>
      <c r="AC179" s="19" t="str">
        <f aca="false">IF(A179="","",IF(OR(T179&gt;1,AND(AV179&lt;&gt;"",AV179&lt;Inputs!$B$11),AND(AV179&lt;&gt;"",AV179&gt;Inputs!$B$12),AA179&lt;Inputs!$B$19,AB179&lt;Inputs!$B$19,N179&lt;Inputs!$B$7,N179&gt;Inputs!$B$8),"CHECK","OK"))</f>
        <v/>
      </c>
      <c r="AD179" s="9" t="str">
        <f aca="false">IF(A179="","",(1/Inputs!$B$9)*(PI()*(Inputs!$F$5/1000)^2/4)*((Inputs!$F$5/1000/4)^(2/3))*SQRT(N179))</f>
        <v/>
      </c>
      <c r="AE179" s="9" t="str">
        <f aca="false">IF(A179="","",(1/Inputs!$B$9)*(PI()*(Inputs!$F$6/1000)^2/4)*((Inputs!$F$6/1000/4)^(2/3))*SQRT(N179))</f>
        <v/>
      </c>
      <c r="AF179" s="9" t="str">
        <f aca="false">IF(A179="","",(1/Inputs!$B$9)*(PI()*(Inputs!$F$7/1000)^2/4)*((Inputs!$F$7/1000/4)^(2/3))*SQRT(N179))</f>
        <v/>
      </c>
      <c r="AG179" s="9" t="str">
        <f aca="false">IF(A179="","",(1/Inputs!$B$9)*(PI()*(Inputs!$F$8/1000)^2/4)*((Inputs!$F$8/1000/4)^(2/3))*SQRT(N179))</f>
        <v/>
      </c>
      <c r="AH179" s="9" t="str">
        <f aca="false">IF(A179="","",(1/Inputs!$B$9)*(PI()*(Inputs!$F$9/1000)^2/4)*((Inputs!$F$9/1000/4)^(2/3))*SQRT(N179))</f>
        <v/>
      </c>
      <c r="AI179" s="9" t="str">
        <f aca="false">IF(A179="","",(1/Inputs!$B$9)*(PI()*(Inputs!$F$10/1000)^2/4)*((Inputs!$F$10/1000/4)^(2/3))*SQRT(N179))</f>
        <v/>
      </c>
      <c r="AJ179" s="9" t="str">
        <f aca="false">IF(A179="","",(1/Inputs!$B$9)*(PI()*(Inputs!$F$11/1000)^2/4)*((Inputs!$F$11/1000/4)^(2/3))*SQRT(N179))</f>
        <v/>
      </c>
      <c r="AK179" s="9" t="str">
        <f aca="false">IF(A179="","",(1/Inputs!$B$9)*(PI()*(Inputs!$F$12/1000)^2/4)*((Inputs!$F$12/1000/4)^(2/3))*SQRT(N179))</f>
        <v/>
      </c>
      <c r="AL179" s="9" t="str">
        <f aca="false">IF(A179="","",(1/Inputs!$B$9)*(PI()*(Inputs!$F$13/1000)^2/4)*((Inputs!$F$13/1000/4)^(2/3))*SQRT(N179))</f>
        <v/>
      </c>
      <c r="AM179" s="9" t="str">
        <f aca="false">IF(A179="","",(1/Inputs!$B$9)*(PI()*(Inputs!$F$14/1000)^2/4)*((Inputs!$F$14/1000/4)^(2/3))*SQRT(N179))</f>
        <v/>
      </c>
      <c r="AN179" s="9" t="str">
        <f aca="false">IF(A179="","",COUNTIF($B$4:$B$203,$A179))</f>
        <v/>
      </c>
      <c r="AO179" s="9" t="str">
        <f aca="false">IF(A179="","",IF(AN179=0,"START","CONTINUOUS"))</f>
        <v/>
      </c>
      <c r="AP179" s="13" t="str">
        <f aca="false">IF(A179="","",IF(H179="",Inputs!$B$18,H179))</f>
        <v/>
      </c>
      <c r="AQ179" s="13" t="str">
        <f aca="false">IF(A179="","",IFERROR(maxifs($AS$4:$AS$203,$B$4:$B$203,$A179),""))</f>
        <v/>
      </c>
      <c r="AR179" s="13" t="str">
        <f aca="false">IF(A179="","",IF(OR(C179="",Inputs!$B$23=""),"",C179/(Inputs!$B$23*60)))</f>
        <v/>
      </c>
      <c r="AS179" s="13" t="str">
        <f aca="false">IF(A179="","",IF(AN179=0,AP179+AR179,IF(AQ179="",AP179+AR179,AQ179+AR179)))</f>
        <v/>
      </c>
      <c r="AT179" s="13" t="str">
        <f aca="false">IF(A179="","",U179)</f>
        <v/>
      </c>
      <c r="AU179" s="13" t="str">
        <f aca="false">IF(OR(R179="",N179=""),"",(1/Inputs!$B$9)*((R179/4)^(2/3))*SQRT(N179))</f>
        <v/>
      </c>
      <c r="AV179" s="13" t="str">
        <f aca="false">IF(A179="","",IF(AND(AT179="",AU179="",AX179=""),"",IF(OR(UPPER(TRIM(Inputs!$B$24))="MANNING",UPPER(TRIM(Inputs!$B$24))="M"),AU179,IF(OR(UPPER(TRIM(Inputs!$B$24))="PARTIAL",UPPER(TRIM(Inputs!$B$24))="P"),AX179,IF(OR(UPPER(TRIM(Inputs!$B$24))="MAX",UPPER(TRIM(Inputs!$B$24))="X"),MAX(IF(AT179="",0,AT179),IF(AU179="",0,AU179),IF(AX179="",0,AX179)),AT179)))))</f>
        <v/>
      </c>
      <c r="AW179" s="13" t="str">
        <f aca="false">IF(AY179="","",CE179)</f>
        <v/>
      </c>
      <c r="AX179" s="13" t="str">
        <f aca="false">IF(OR(AY179="",AW179="",R179="",R179&lt;=0,AW179&lt;=0),"",AY179/((R179^2/8)*(2*ACOS(1-2*AW179/R179)-SIN(2*ACOS(1-2*AW179/R179)))))</f>
        <v/>
      </c>
      <c r="AY179" s="9" t="str">
        <f aca="false">IF(OR(L179="",AZ179=""),"",MIN(L179,AZ179))</f>
        <v/>
      </c>
      <c r="AZ179" s="9" t="str">
        <f aca="false">IF(OR(L179="",R179="",N179=""),"",IF(OR(R179="",N179="",(0.94*R179)="",R179&lt;=0,(0.94*R179)&lt;=0),"",(1/Inputs!$B$9)*((R179^2/8)*((2*ACOS(1-2*(0.94*R179)/R179))-SIN((2*ACOS(1-2*(0.94*R179)/R179)))))*((((R179^2/8)*((2*ACOS(1-2*(0.94*R179)/R179))-SIN((2*ACOS(1-2*(0.94*R179)/R179)))))/((R179/2)*((2*ACOS(1-2*(0.94*R179)/R179)))))^(2/3))*SQRT(N179)))</f>
        <v/>
      </c>
      <c r="BA179" s="9" t="str">
        <f aca="false">IF(AY179="","",0.001*R179)</f>
        <v/>
      </c>
      <c r="BB179" s="9" t="str">
        <f aca="false">IF(AY179="","",0.94*R179)</f>
        <v/>
      </c>
      <c r="BC179" s="9" t="str">
        <f aca="false">IF(AY179="","",(BA179+BB179)/2)</f>
        <v/>
      </c>
      <c r="BD179" s="9" t="str">
        <f aca="false">IF(OR(R179="",N179="",BC179="",R179&lt;=0,BC179&lt;=0),"",(1/Inputs!$B$9)*((R179^2/8)*((2*ACOS(1-2*BC179/R179))-SIN((2*ACOS(1-2*BC179/R179)))))*((((R179^2/8)*((2*ACOS(1-2*BC179/R179))-SIN((2*ACOS(1-2*BC179/R179)))))/((R179/2)*((2*ACOS(1-2*BC179/R179)))))^(2/3))*SQRT(N179))</f>
        <v/>
      </c>
      <c r="BE179" s="9" t="str">
        <f aca="false">IF(AY179="","",IF(BD179&lt;AY179,BC179,BA179))</f>
        <v/>
      </c>
      <c r="BF179" s="9" t="str">
        <f aca="false">IF(AY179="","",IF(BD179&lt;AY179,BB179,BC179))</f>
        <v/>
      </c>
      <c r="BG179" s="9" t="str">
        <f aca="false">IF(AY179="","",(BE179+BF179)/2)</f>
        <v/>
      </c>
      <c r="BH179" s="9" t="str">
        <f aca="false">IF(OR(R179="",N179="",BG179="",R179&lt;=0,BG179&lt;=0),"",(1/Inputs!$B$9)*((R179^2/8)*((2*ACOS(1-2*BG179/R179))-SIN((2*ACOS(1-2*BG179/R179)))))*((((R179^2/8)*((2*ACOS(1-2*BG179/R179))-SIN((2*ACOS(1-2*BG179/R179)))))/((R179/2)*((2*ACOS(1-2*BG179/R179)))))^(2/3))*SQRT(N179))</f>
        <v/>
      </c>
      <c r="BI179" s="9" t="str">
        <f aca="false">IF(AY179="","",IF(BH179&lt;AY179,BG179,BE179))</f>
        <v/>
      </c>
      <c r="BJ179" s="9" t="str">
        <f aca="false">IF(AY179="","",IF(BH179&lt;AY179,BF179,BG179))</f>
        <v/>
      </c>
      <c r="BK179" s="9" t="str">
        <f aca="false">IF(AY179="","",(BI179+BJ179)/2)</f>
        <v/>
      </c>
      <c r="BL179" s="9" t="str">
        <f aca="false">IF(OR(R179="",N179="",BK179="",R179&lt;=0,BK179&lt;=0),"",(1/Inputs!$B$9)*((R179^2/8)*((2*ACOS(1-2*BK179/R179))-SIN((2*ACOS(1-2*BK179/R179)))))*((((R179^2/8)*((2*ACOS(1-2*BK179/R179))-SIN((2*ACOS(1-2*BK179/R179)))))/((R179/2)*((2*ACOS(1-2*BK179/R179)))))^(2/3))*SQRT(N179))</f>
        <v/>
      </c>
      <c r="BM179" s="9" t="str">
        <f aca="false">IF(AY179="","",IF(BL179&lt;AY179,BK179,BI179))</f>
        <v/>
      </c>
      <c r="BN179" s="9" t="str">
        <f aca="false">IF(AY179="","",IF(BL179&lt;AY179,BJ179,BK179))</f>
        <v/>
      </c>
      <c r="BO179" s="9" t="str">
        <f aca="false">IF(AY179="","",(BM179+BN179)/2)</f>
        <v/>
      </c>
      <c r="BP179" s="9" t="str">
        <f aca="false">IF(OR(R179="",N179="",BO179="",R179&lt;=0,BO179&lt;=0),"",(1/Inputs!$B$9)*((R179^2/8)*((2*ACOS(1-2*BO179/R179))-SIN((2*ACOS(1-2*BO179/R179)))))*((((R179^2/8)*((2*ACOS(1-2*BO179/R179))-SIN((2*ACOS(1-2*BO179/R179)))))/((R179/2)*((2*ACOS(1-2*BO179/R179)))))^(2/3))*SQRT(N179))</f>
        <v/>
      </c>
      <c r="BQ179" s="9" t="str">
        <f aca="false">IF(AY179="","",IF(BP179&lt;AY179,BO179,BM179))</f>
        <v/>
      </c>
      <c r="BR179" s="9" t="str">
        <f aca="false">IF(AY179="","",IF(BP179&lt;AY179,BN179,BO179))</f>
        <v/>
      </c>
      <c r="BS179" s="9" t="str">
        <f aca="false">IF(AY179="","",(BQ179+BR179)/2)</f>
        <v/>
      </c>
      <c r="BT179" s="9" t="str">
        <f aca="false">IF(OR(R179="",N179="",BS179="",R179&lt;=0,BS179&lt;=0),"",(1/Inputs!$B$9)*((R179^2/8)*((2*ACOS(1-2*BS179/R179))-SIN((2*ACOS(1-2*BS179/R179)))))*((((R179^2/8)*((2*ACOS(1-2*BS179/R179))-SIN((2*ACOS(1-2*BS179/R179)))))/((R179/2)*((2*ACOS(1-2*BS179/R179)))))^(2/3))*SQRT(N179))</f>
        <v/>
      </c>
      <c r="BU179" s="9" t="str">
        <f aca="false">IF(AY179="","",IF(BT179&lt;AY179,BS179,BQ179))</f>
        <v/>
      </c>
      <c r="BV179" s="9" t="str">
        <f aca="false">IF(AY179="","",IF(BT179&lt;AY179,BR179,BS179))</f>
        <v/>
      </c>
      <c r="BW179" s="9" t="str">
        <f aca="false">IF(AY179="","",(BU179+BV179)/2)</f>
        <v/>
      </c>
      <c r="BX179" s="9" t="str">
        <f aca="false">IF(OR(R179="",N179="",BW179="",R179&lt;=0,BW179&lt;=0),"",(1/Inputs!$B$9)*((R179^2/8)*((2*ACOS(1-2*BW179/R179))-SIN((2*ACOS(1-2*BW179/R179)))))*((((R179^2/8)*((2*ACOS(1-2*BW179/R179))-SIN((2*ACOS(1-2*BW179/R179)))))/((R179/2)*((2*ACOS(1-2*BW179/R179)))))^(2/3))*SQRT(N179))</f>
        <v/>
      </c>
      <c r="BY179" s="9" t="str">
        <f aca="false">IF(AY179="","",IF(BX179&lt;AY179,BW179,BU179))</f>
        <v/>
      </c>
      <c r="BZ179" s="9" t="str">
        <f aca="false">IF(AY179="","",IF(BX179&lt;AY179,BV179,BW179))</f>
        <v/>
      </c>
      <c r="CA179" s="9" t="str">
        <f aca="false">IF(AY179="","",(BY179+BZ179)/2)</f>
        <v/>
      </c>
      <c r="CB179" s="9" t="str">
        <f aca="false">IF(OR(R179="",N179="",CA179="",R179&lt;=0,CA179&lt;=0),"",(1/Inputs!$B$9)*((R179^2/8)*((2*ACOS(1-2*CA179/R179))-SIN((2*ACOS(1-2*CA179/R179)))))*((((R179^2/8)*((2*ACOS(1-2*CA179/R179))-SIN((2*ACOS(1-2*CA179/R179)))))/((R179/2)*((2*ACOS(1-2*CA179/R179)))))^(2/3))*SQRT(N179))</f>
        <v/>
      </c>
      <c r="CC179" s="9" t="str">
        <f aca="false">IF(AY179="","",IF(CB179&lt;AY179,CA179,BY179))</f>
        <v/>
      </c>
      <c r="CD179" s="9" t="str">
        <f aca="false">IF(AY179="","",IF(CB179&lt;AY179,BZ179,CA179))</f>
        <v/>
      </c>
      <c r="CE179" s="9" t="str">
        <f aca="false">IF(AY179="","",(CC179+CD179)/2)</f>
        <v/>
      </c>
    </row>
    <row r="180" customFormat="false" ht="15" hidden="false" customHeight="false" outlineLevel="0" collapsed="false">
      <c r="A180" s="9"/>
      <c r="B180" s="9"/>
      <c r="C180" s="14"/>
      <c r="D180" s="14"/>
      <c r="E180" s="14" t="n">
        <f aca="false">SUMIFS(CB_Tributaires!$C:$C,CB_Tributaires!$B:$B,$A180)</f>
        <v>0</v>
      </c>
      <c r="F180" s="14" t="n">
        <f aca="false">IF(D180="",E180,D180)</f>
        <v>0</v>
      </c>
      <c r="G180" s="9"/>
      <c r="H180" s="14"/>
      <c r="I180" s="14" t="str">
        <f aca="false">IF(A180="","",Inputs!$B$13/((IF(AS180="",Inputs!$B$18,AS180)+Inputs!$B$14)^Inputs!$B$15))</f>
        <v/>
      </c>
      <c r="J180" s="14" t="str">
        <f aca="false">IF(A180="","",0.000000278*IF(G180="",Inputs!$B$17,G180)*F180*I180)</f>
        <v/>
      </c>
      <c r="K180" s="14" t="str">
        <f aca="false">IF(A180="","",SUMIFS($L$4:$L$203,$B$4:$B$203,$A180))</f>
        <v/>
      </c>
      <c r="L180" s="14" t="str">
        <f aca="false">IF(A180="","",(J180+K180)*Inputs!$B$16)</f>
        <v/>
      </c>
      <c r="M180" s="14"/>
      <c r="N180" s="14" t="str">
        <f aca="false">IF(A180="","",IF(M180="",Inputs!$B$7,M180))</f>
        <v/>
      </c>
      <c r="O180" s="9" t="str">
        <f aca="false">IF(A180="","",IF(L180/Inputs!$B$10&lt;=AD180,Inputs!$F$5,IF(L180/Inputs!$B$10&gt;AM180,"OVERSIZE",INDEX(Inputs!$F$5:$F$14,MATCH(L180/Inputs!$B$10,AD180:AM180,1)+1))))</f>
        <v/>
      </c>
      <c r="P180" s="9"/>
      <c r="Q180" s="9" t="str">
        <f aca="false">IF(A180="","",IF(P180="",O180,P180))</f>
        <v/>
      </c>
      <c r="R180" s="14" t="str">
        <f aca="false">IF(OR(Q180="",Q180="OVERSIZE"),"",Q180/1000)</f>
        <v/>
      </c>
      <c r="S180" s="14" t="str">
        <f aca="false">IF(R180="","",(1/Inputs!$B$9)*(PI()*R180^2/4)*((R180/4)^(2/3))*SQRT(N180))</f>
        <v/>
      </c>
      <c r="T180" s="14" t="str">
        <f aca="false">IF(OR(S180="",L180=""),"",L180/(S180*Inputs!$B$10))</f>
        <v/>
      </c>
      <c r="U180" s="14" t="str">
        <f aca="false">IF(OR(R180="",L180=""),"",4*L180/(PI()*R180^2))</f>
        <v/>
      </c>
      <c r="V180" s="14"/>
      <c r="W180" s="14" t="str">
        <f aca="false">IF(A180="","",IF(A180=Inputs!$B$6,Inputs!$B$22,IF(B180="","",IFERROR(INDEX($X$4:$X$203,MATCH(B180,$A$4:$A$203,0))+IF(V180="",Inputs!$B$20,V180),""))))</f>
        <v/>
      </c>
      <c r="X180" s="14" t="str">
        <f aca="false">IF(OR(W180="",N180="",C180=""),"",W180+N180*C180)</f>
        <v/>
      </c>
      <c r="Y180" s="14"/>
      <c r="Z180" s="14"/>
      <c r="AA180" s="14" t="str">
        <f aca="false">IF(OR(Y180="",W180=""),"",Y180-W180)</f>
        <v/>
      </c>
      <c r="AB180" s="14" t="str">
        <f aca="false">IF(OR(Z180="",X180=""),"",Z180-X180)</f>
        <v/>
      </c>
      <c r="AC180" s="19" t="str">
        <f aca="false">IF(A180="","",IF(OR(T180&gt;1,AND(AV180&lt;&gt;"",AV180&lt;Inputs!$B$11),AND(AV180&lt;&gt;"",AV180&gt;Inputs!$B$12),AA180&lt;Inputs!$B$19,AB180&lt;Inputs!$B$19,N180&lt;Inputs!$B$7,N180&gt;Inputs!$B$8),"CHECK","OK"))</f>
        <v/>
      </c>
      <c r="AD180" s="9" t="str">
        <f aca="false">IF(A180="","",(1/Inputs!$B$9)*(PI()*(Inputs!$F$5/1000)^2/4)*((Inputs!$F$5/1000/4)^(2/3))*SQRT(N180))</f>
        <v/>
      </c>
      <c r="AE180" s="9" t="str">
        <f aca="false">IF(A180="","",(1/Inputs!$B$9)*(PI()*(Inputs!$F$6/1000)^2/4)*((Inputs!$F$6/1000/4)^(2/3))*SQRT(N180))</f>
        <v/>
      </c>
      <c r="AF180" s="9" t="str">
        <f aca="false">IF(A180="","",(1/Inputs!$B$9)*(PI()*(Inputs!$F$7/1000)^2/4)*((Inputs!$F$7/1000/4)^(2/3))*SQRT(N180))</f>
        <v/>
      </c>
      <c r="AG180" s="9" t="str">
        <f aca="false">IF(A180="","",(1/Inputs!$B$9)*(PI()*(Inputs!$F$8/1000)^2/4)*((Inputs!$F$8/1000/4)^(2/3))*SQRT(N180))</f>
        <v/>
      </c>
      <c r="AH180" s="9" t="str">
        <f aca="false">IF(A180="","",(1/Inputs!$B$9)*(PI()*(Inputs!$F$9/1000)^2/4)*((Inputs!$F$9/1000/4)^(2/3))*SQRT(N180))</f>
        <v/>
      </c>
      <c r="AI180" s="9" t="str">
        <f aca="false">IF(A180="","",(1/Inputs!$B$9)*(PI()*(Inputs!$F$10/1000)^2/4)*((Inputs!$F$10/1000/4)^(2/3))*SQRT(N180))</f>
        <v/>
      </c>
      <c r="AJ180" s="9" t="str">
        <f aca="false">IF(A180="","",(1/Inputs!$B$9)*(PI()*(Inputs!$F$11/1000)^2/4)*((Inputs!$F$11/1000/4)^(2/3))*SQRT(N180))</f>
        <v/>
      </c>
      <c r="AK180" s="9" t="str">
        <f aca="false">IF(A180="","",(1/Inputs!$B$9)*(PI()*(Inputs!$F$12/1000)^2/4)*((Inputs!$F$12/1000/4)^(2/3))*SQRT(N180))</f>
        <v/>
      </c>
      <c r="AL180" s="9" t="str">
        <f aca="false">IF(A180="","",(1/Inputs!$B$9)*(PI()*(Inputs!$F$13/1000)^2/4)*((Inputs!$F$13/1000/4)^(2/3))*SQRT(N180))</f>
        <v/>
      </c>
      <c r="AM180" s="9" t="str">
        <f aca="false">IF(A180="","",(1/Inputs!$B$9)*(PI()*(Inputs!$F$14/1000)^2/4)*((Inputs!$F$14/1000/4)^(2/3))*SQRT(N180))</f>
        <v/>
      </c>
      <c r="AN180" s="9" t="str">
        <f aca="false">IF(A180="","",COUNTIF($B$4:$B$203,$A180))</f>
        <v/>
      </c>
      <c r="AO180" s="9" t="str">
        <f aca="false">IF(A180="","",IF(AN180=0,"START","CONTINUOUS"))</f>
        <v/>
      </c>
      <c r="AP180" s="13" t="str">
        <f aca="false">IF(A180="","",IF(H180="",Inputs!$B$18,H180))</f>
        <v/>
      </c>
      <c r="AQ180" s="13" t="str">
        <f aca="false">IF(A180="","",IFERROR(maxifs($AS$4:$AS$203,$B$4:$B$203,$A180),""))</f>
        <v/>
      </c>
      <c r="AR180" s="13" t="str">
        <f aca="false">IF(A180="","",IF(OR(C180="",Inputs!$B$23=""),"",C180/(Inputs!$B$23*60)))</f>
        <v/>
      </c>
      <c r="AS180" s="13" t="str">
        <f aca="false">IF(A180="","",IF(AN180=0,AP180+AR180,IF(AQ180="",AP180+AR180,AQ180+AR180)))</f>
        <v/>
      </c>
      <c r="AT180" s="13" t="str">
        <f aca="false">IF(A180="","",U180)</f>
        <v/>
      </c>
      <c r="AU180" s="13" t="str">
        <f aca="false">IF(OR(R180="",N180=""),"",(1/Inputs!$B$9)*((R180/4)^(2/3))*SQRT(N180))</f>
        <v/>
      </c>
      <c r="AV180" s="13" t="str">
        <f aca="false">IF(A180="","",IF(AND(AT180="",AU180="",AX180=""),"",IF(OR(UPPER(TRIM(Inputs!$B$24))="MANNING",UPPER(TRIM(Inputs!$B$24))="M"),AU180,IF(OR(UPPER(TRIM(Inputs!$B$24))="PARTIAL",UPPER(TRIM(Inputs!$B$24))="P"),AX180,IF(OR(UPPER(TRIM(Inputs!$B$24))="MAX",UPPER(TRIM(Inputs!$B$24))="X"),MAX(IF(AT180="",0,AT180),IF(AU180="",0,AU180),IF(AX180="",0,AX180)),AT180)))))</f>
        <v/>
      </c>
      <c r="AW180" s="13" t="str">
        <f aca="false">IF(AY180="","",CE180)</f>
        <v/>
      </c>
      <c r="AX180" s="13" t="str">
        <f aca="false">IF(OR(AY180="",AW180="",R180="",R180&lt;=0,AW180&lt;=0),"",AY180/((R180^2/8)*(2*ACOS(1-2*AW180/R180)-SIN(2*ACOS(1-2*AW180/R180)))))</f>
        <v/>
      </c>
      <c r="AY180" s="9" t="str">
        <f aca="false">IF(OR(L180="",AZ180=""),"",MIN(L180,AZ180))</f>
        <v/>
      </c>
      <c r="AZ180" s="9" t="str">
        <f aca="false">IF(OR(L180="",R180="",N180=""),"",IF(OR(R180="",N180="",(0.94*R180)="",R180&lt;=0,(0.94*R180)&lt;=0),"",(1/Inputs!$B$9)*((R180^2/8)*((2*ACOS(1-2*(0.94*R180)/R180))-SIN((2*ACOS(1-2*(0.94*R180)/R180)))))*((((R180^2/8)*((2*ACOS(1-2*(0.94*R180)/R180))-SIN((2*ACOS(1-2*(0.94*R180)/R180)))))/((R180/2)*((2*ACOS(1-2*(0.94*R180)/R180)))))^(2/3))*SQRT(N180)))</f>
        <v/>
      </c>
      <c r="BA180" s="9" t="str">
        <f aca="false">IF(AY180="","",0.001*R180)</f>
        <v/>
      </c>
      <c r="BB180" s="9" t="str">
        <f aca="false">IF(AY180="","",0.94*R180)</f>
        <v/>
      </c>
      <c r="BC180" s="9" t="str">
        <f aca="false">IF(AY180="","",(BA180+BB180)/2)</f>
        <v/>
      </c>
      <c r="BD180" s="9" t="str">
        <f aca="false">IF(OR(R180="",N180="",BC180="",R180&lt;=0,BC180&lt;=0),"",(1/Inputs!$B$9)*((R180^2/8)*((2*ACOS(1-2*BC180/R180))-SIN((2*ACOS(1-2*BC180/R180)))))*((((R180^2/8)*((2*ACOS(1-2*BC180/R180))-SIN((2*ACOS(1-2*BC180/R180)))))/((R180/2)*((2*ACOS(1-2*BC180/R180)))))^(2/3))*SQRT(N180))</f>
        <v/>
      </c>
      <c r="BE180" s="9" t="str">
        <f aca="false">IF(AY180="","",IF(BD180&lt;AY180,BC180,BA180))</f>
        <v/>
      </c>
      <c r="BF180" s="9" t="str">
        <f aca="false">IF(AY180="","",IF(BD180&lt;AY180,BB180,BC180))</f>
        <v/>
      </c>
      <c r="BG180" s="9" t="str">
        <f aca="false">IF(AY180="","",(BE180+BF180)/2)</f>
        <v/>
      </c>
      <c r="BH180" s="9" t="str">
        <f aca="false">IF(OR(R180="",N180="",BG180="",R180&lt;=0,BG180&lt;=0),"",(1/Inputs!$B$9)*((R180^2/8)*((2*ACOS(1-2*BG180/R180))-SIN((2*ACOS(1-2*BG180/R180)))))*((((R180^2/8)*((2*ACOS(1-2*BG180/R180))-SIN((2*ACOS(1-2*BG180/R180)))))/((R180/2)*((2*ACOS(1-2*BG180/R180)))))^(2/3))*SQRT(N180))</f>
        <v/>
      </c>
      <c r="BI180" s="9" t="str">
        <f aca="false">IF(AY180="","",IF(BH180&lt;AY180,BG180,BE180))</f>
        <v/>
      </c>
      <c r="BJ180" s="9" t="str">
        <f aca="false">IF(AY180="","",IF(BH180&lt;AY180,BF180,BG180))</f>
        <v/>
      </c>
      <c r="BK180" s="9" t="str">
        <f aca="false">IF(AY180="","",(BI180+BJ180)/2)</f>
        <v/>
      </c>
      <c r="BL180" s="9" t="str">
        <f aca="false">IF(OR(R180="",N180="",BK180="",R180&lt;=0,BK180&lt;=0),"",(1/Inputs!$B$9)*((R180^2/8)*((2*ACOS(1-2*BK180/R180))-SIN((2*ACOS(1-2*BK180/R180)))))*((((R180^2/8)*((2*ACOS(1-2*BK180/R180))-SIN((2*ACOS(1-2*BK180/R180)))))/((R180/2)*((2*ACOS(1-2*BK180/R180)))))^(2/3))*SQRT(N180))</f>
        <v/>
      </c>
      <c r="BM180" s="9" t="str">
        <f aca="false">IF(AY180="","",IF(BL180&lt;AY180,BK180,BI180))</f>
        <v/>
      </c>
      <c r="BN180" s="9" t="str">
        <f aca="false">IF(AY180="","",IF(BL180&lt;AY180,BJ180,BK180))</f>
        <v/>
      </c>
      <c r="BO180" s="9" t="str">
        <f aca="false">IF(AY180="","",(BM180+BN180)/2)</f>
        <v/>
      </c>
      <c r="BP180" s="9" t="str">
        <f aca="false">IF(OR(R180="",N180="",BO180="",R180&lt;=0,BO180&lt;=0),"",(1/Inputs!$B$9)*((R180^2/8)*((2*ACOS(1-2*BO180/R180))-SIN((2*ACOS(1-2*BO180/R180)))))*((((R180^2/8)*((2*ACOS(1-2*BO180/R180))-SIN((2*ACOS(1-2*BO180/R180)))))/((R180/2)*((2*ACOS(1-2*BO180/R180)))))^(2/3))*SQRT(N180))</f>
        <v/>
      </c>
      <c r="BQ180" s="9" t="str">
        <f aca="false">IF(AY180="","",IF(BP180&lt;AY180,BO180,BM180))</f>
        <v/>
      </c>
      <c r="BR180" s="9" t="str">
        <f aca="false">IF(AY180="","",IF(BP180&lt;AY180,BN180,BO180))</f>
        <v/>
      </c>
      <c r="BS180" s="9" t="str">
        <f aca="false">IF(AY180="","",(BQ180+BR180)/2)</f>
        <v/>
      </c>
      <c r="BT180" s="9" t="str">
        <f aca="false">IF(OR(R180="",N180="",BS180="",R180&lt;=0,BS180&lt;=0),"",(1/Inputs!$B$9)*((R180^2/8)*((2*ACOS(1-2*BS180/R180))-SIN((2*ACOS(1-2*BS180/R180)))))*((((R180^2/8)*((2*ACOS(1-2*BS180/R180))-SIN((2*ACOS(1-2*BS180/R180)))))/((R180/2)*((2*ACOS(1-2*BS180/R180)))))^(2/3))*SQRT(N180))</f>
        <v/>
      </c>
      <c r="BU180" s="9" t="str">
        <f aca="false">IF(AY180="","",IF(BT180&lt;AY180,BS180,BQ180))</f>
        <v/>
      </c>
      <c r="BV180" s="9" t="str">
        <f aca="false">IF(AY180="","",IF(BT180&lt;AY180,BR180,BS180))</f>
        <v/>
      </c>
      <c r="BW180" s="9" t="str">
        <f aca="false">IF(AY180="","",(BU180+BV180)/2)</f>
        <v/>
      </c>
      <c r="BX180" s="9" t="str">
        <f aca="false">IF(OR(R180="",N180="",BW180="",R180&lt;=0,BW180&lt;=0),"",(1/Inputs!$B$9)*((R180^2/8)*((2*ACOS(1-2*BW180/R180))-SIN((2*ACOS(1-2*BW180/R180)))))*((((R180^2/8)*((2*ACOS(1-2*BW180/R180))-SIN((2*ACOS(1-2*BW180/R180)))))/((R180/2)*((2*ACOS(1-2*BW180/R180)))))^(2/3))*SQRT(N180))</f>
        <v/>
      </c>
      <c r="BY180" s="9" t="str">
        <f aca="false">IF(AY180="","",IF(BX180&lt;AY180,BW180,BU180))</f>
        <v/>
      </c>
      <c r="BZ180" s="9" t="str">
        <f aca="false">IF(AY180="","",IF(BX180&lt;AY180,BV180,BW180))</f>
        <v/>
      </c>
      <c r="CA180" s="9" t="str">
        <f aca="false">IF(AY180="","",(BY180+BZ180)/2)</f>
        <v/>
      </c>
      <c r="CB180" s="9" t="str">
        <f aca="false">IF(OR(R180="",N180="",CA180="",R180&lt;=0,CA180&lt;=0),"",(1/Inputs!$B$9)*((R180^2/8)*((2*ACOS(1-2*CA180/R180))-SIN((2*ACOS(1-2*CA180/R180)))))*((((R180^2/8)*((2*ACOS(1-2*CA180/R180))-SIN((2*ACOS(1-2*CA180/R180)))))/((R180/2)*((2*ACOS(1-2*CA180/R180)))))^(2/3))*SQRT(N180))</f>
        <v/>
      </c>
      <c r="CC180" s="9" t="str">
        <f aca="false">IF(AY180="","",IF(CB180&lt;AY180,CA180,BY180))</f>
        <v/>
      </c>
      <c r="CD180" s="9" t="str">
        <f aca="false">IF(AY180="","",IF(CB180&lt;AY180,BZ180,CA180))</f>
        <v/>
      </c>
      <c r="CE180" s="9" t="str">
        <f aca="false">IF(AY180="","",(CC180+CD180)/2)</f>
        <v/>
      </c>
    </row>
    <row r="181" customFormat="false" ht="15" hidden="false" customHeight="false" outlineLevel="0" collapsed="false">
      <c r="A181" s="9"/>
      <c r="B181" s="9"/>
      <c r="C181" s="14"/>
      <c r="D181" s="14"/>
      <c r="E181" s="14" t="n">
        <f aca="false">SUMIFS(CB_Tributaires!$C:$C,CB_Tributaires!$B:$B,$A181)</f>
        <v>0</v>
      </c>
      <c r="F181" s="14" t="n">
        <f aca="false">IF(D181="",E181,D181)</f>
        <v>0</v>
      </c>
      <c r="G181" s="9"/>
      <c r="H181" s="14"/>
      <c r="I181" s="14" t="str">
        <f aca="false">IF(A181="","",Inputs!$B$13/((IF(AS181="",Inputs!$B$18,AS181)+Inputs!$B$14)^Inputs!$B$15))</f>
        <v/>
      </c>
      <c r="J181" s="14" t="str">
        <f aca="false">IF(A181="","",0.000000278*IF(G181="",Inputs!$B$17,G181)*F181*I181)</f>
        <v/>
      </c>
      <c r="K181" s="14" t="str">
        <f aca="false">IF(A181="","",SUMIFS($L$4:$L$203,$B$4:$B$203,$A181))</f>
        <v/>
      </c>
      <c r="L181" s="14" t="str">
        <f aca="false">IF(A181="","",(J181+K181)*Inputs!$B$16)</f>
        <v/>
      </c>
      <c r="M181" s="14"/>
      <c r="N181" s="14" t="str">
        <f aca="false">IF(A181="","",IF(M181="",Inputs!$B$7,M181))</f>
        <v/>
      </c>
      <c r="O181" s="9" t="str">
        <f aca="false">IF(A181="","",IF(L181/Inputs!$B$10&lt;=AD181,Inputs!$F$5,IF(L181/Inputs!$B$10&gt;AM181,"OVERSIZE",INDEX(Inputs!$F$5:$F$14,MATCH(L181/Inputs!$B$10,AD181:AM181,1)+1))))</f>
        <v/>
      </c>
      <c r="P181" s="9"/>
      <c r="Q181" s="9" t="str">
        <f aca="false">IF(A181="","",IF(P181="",O181,P181))</f>
        <v/>
      </c>
      <c r="R181" s="14" t="str">
        <f aca="false">IF(OR(Q181="",Q181="OVERSIZE"),"",Q181/1000)</f>
        <v/>
      </c>
      <c r="S181" s="14" t="str">
        <f aca="false">IF(R181="","",(1/Inputs!$B$9)*(PI()*R181^2/4)*((R181/4)^(2/3))*SQRT(N181))</f>
        <v/>
      </c>
      <c r="T181" s="14" t="str">
        <f aca="false">IF(OR(S181="",L181=""),"",L181/(S181*Inputs!$B$10))</f>
        <v/>
      </c>
      <c r="U181" s="14" t="str">
        <f aca="false">IF(OR(R181="",L181=""),"",4*L181/(PI()*R181^2))</f>
        <v/>
      </c>
      <c r="V181" s="14"/>
      <c r="W181" s="14" t="str">
        <f aca="false">IF(A181="","",IF(A181=Inputs!$B$6,Inputs!$B$22,IF(B181="","",IFERROR(INDEX($X$4:$X$203,MATCH(B181,$A$4:$A$203,0))+IF(V181="",Inputs!$B$20,V181),""))))</f>
        <v/>
      </c>
      <c r="X181" s="14" t="str">
        <f aca="false">IF(OR(W181="",N181="",C181=""),"",W181+N181*C181)</f>
        <v/>
      </c>
      <c r="Y181" s="14"/>
      <c r="Z181" s="14"/>
      <c r="AA181" s="14" t="str">
        <f aca="false">IF(OR(Y181="",W181=""),"",Y181-W181)</f>
        <v/>
      </c>
      <c r="AB181" s="14" t="str">
        <f aca="false">IF(OR(Z181="",X181=""),"",Z181-X181)</f>
        <v/>
      </c>
      <c r="AC181" s="19" t="str">
        <f aca="false">IF(A181="","",IF(OR(T181&gt;1,AND(AV181&lt;&gt;"",AV181&lt;Inputs!$B$11),AND(AV181&lt;&gt;"",AV181&gt;Inputs!$B$12),AA181&lt;Inputs!$B$19,AB181&lt;Inputs!$B$19,N181&lt;Inputs!$B$7,N181&gt;Inputs!$B$8),"CHECK","OK"))</f>
        <v/>
      </c>
      <c r="AD181" s="9" t="str">
        <f aca="false">IF(A181="","",(1/Inputs!$B$9)*(PI()*(Inputs!$F$5/1000)^2/4)*((Inputs!$F$5/1000/4)^(2/3))*SQRT(N181))</f>
        <v/>
      </c>
      <c r="AE181" s="9" t="str">
        <f aca="false">IF(A181="","",(1/Inputs!$B$9)*(PI()*(Inputs!$F$6/1000)^2/4)*((Inputs!$F$6/1000/4)^(2/3))*SQRT(N181))</f>
        <v/>
      </c>
      <c r="AF181" s="9" t="str">
        <f aca="false">IF(A181="","",(1/Inputs!$B$9)*(PI()*(Inputs!$F$7/1000)^2/4)*((Inputs!$F$7/1000/4)^(2/3))*SQRT(N181))</f>
        <v/>
      </c>
      <c r="AG181" s="9" t="str">
        <f aca="false">IF(A181="","",(1/Inputs!$B$9)*(PI()*(Inputs!$F$8/1000)^2/4)*((Inputs!$F$8/1000/4)^(2/3))*SQRT(N181))</f>
        <v/>
      </c>
      <c r="AH181" s="9" t="str">
        <f aca="false">IF(A181="","",(1/Inputs!$B$9)*(PI()*(Inputs!$F$9/1000)^2/4)*((Inputs!$F$9/1000/4)^(2/3))*SQRT(N181))</f>
        <v/>
      </c>
      <c r="AI181" s="9" t="str">
        <f aca="false">IF(A181="","",(1/Inputs!$B$9)*(PI()*(Inputs!$F$10/1000)^2/4)*((Inputs!$F$10/1000/4)^(2/3))*SQRT(N181))</f>
        <v/>
      </c>
      <c r="AJ181" s="9" t="str">
        <f aca="false">IF(A181="","",(1/Inputs!$B$9)*(PI()*(Inputs!$F$11/1000)^2/4)*((Inputs!$F$11/1000/4)^(2/3))*SQRT(N181))</f>
        <v/>
      </c>
      <c r="AK181" s="9" t="str">
        <f aca="false">IF(A181="","",(1/Inputs!$B$9)*(PI()*(Inputs!$F$12/1000)^2/4)*((Inputs!$F$12/1000/4)^(2/3))*SQRT(N181))</f>
        <v/>
      </c>
      <c r="AL181" s="9" t="str">
        <f aca="false">IF(A181="","",(1/Inputs!$B$9)*(PI()*(Inputs!$F$13/1000)^2/4)*((Inputs!$F$13/1000/4)^(2/3))*SQRT(N181))</f>
        <v/>
      </c>
      <c r="AM181" s="9" t="str">
        <f aca="false">IF(A181="","",(1/Inputs!$B$9)*(PI()*(Inputs!$F$14/1000)^2/4)*((Inputs!$F$14/1000/4)^(2/3))*SQRT(N181))</f>
        <v/>
      </c>
      <c r="AN181" s="9" t="str">
        <f aca="false">IF(A181="","",COUNTIF($B$4:$B$203,$A181))</f>
        <v/>
      </c>
      <c r="AO181" s="9" t="str">
        <f aca="false">IF(A181="","",IF(AN181=0,"START","CONTINUOUS"))</f>
        <v/>
      </c>
      <c r="AP181" s="13" t="str">
        <f aca="false">IF(A181="","",IF(H181="",Inputs!$B$18,H181))</f>
        <v/>
      </c>
      <c r="AQ181" s="13" t="str">
        <f aca="false">IF(A181="","",IFERROR(maxifs($AS$4:$AS$203,$B$4:$B$203,$A181),""))</f>
        <v/>
      </c>
      <c r="AR181" s="13" t="str">
        <f aca="false">IF(A181="","",IF(OR(C181="",Inputs!$B$23=""),"",C181/(Inputs!$B$23*60)))</f>
        <v/>
      </c>
      <c r="AS181" s="13" t="str">
        <f aca="false">IF(A181="","",IF(AN181=0,AP181+AR181,IF(AQ181="",AP181+AR181,AQ181+AR181)))</f>
        <v/>
      </c>
      <c r="AT181" s="13" t="str">
        <f aca="false">IF(A181="","",U181)</f>
        <v/>
      </c>
      <c r="AU181" s="13" t="str">
        <f aca="false">IF(OR(R181="",N181=""),"",(1/Inputs!$B$9)*((R181/4)^(2/3))*SQRT(N181))</f>
        <v/>
      </c>
      <c r="AV181" s="13" t="str">
        <f aca="false">IF(A181="","",IF(AND(AT181="",AU181="",AX181=""),"",IF(OR(UPPER(TRIM(Inputs!$B$24))="MANNING",UPPER(TRIM(Inputs!$B$24))="M"),AU181,IF(OR(UPPER(TRIM(Inputs!$B$24))="PARTIAL",UPPER(TRIM(Inputs!$B$24))="P"),AX181,IF(OR(UPPER(TRIM(Inputs!$B$24))="MAX",UPPER(TRIM(Inputs!$B$24))="X"),MAX(IF(AT181="",0,AT181),IF(AU181="",0,AU181),IF(AX181="",0,AX181)),AT181)))))</f>
        <v/>
      </c>
      <c r="AW181" s="13" t="str">
        <f aca="false">IF(AY181="","",CE181)</f>
        <v/>
      </c>
      <c r="AX181" s="13" t="str">
        <f aca="false">IF(OR(AY181="",AW181="",R181="",R181&lt;=0,AW181&lt;=0),"",AY181/((R181^2/8)*(2*ACOS(1-2*AW181/R181)-SIN(2*ACOS(1-2*AW181/R181)))))</f>
        <v/>
      </c>
      <c r="AY181" s="9" t="str">
        <f aca="false">IF(OR(L181="",AZ181=""),"",MIN(L181,AZ181))</f>
        <v/>
      </c>
      <c r="AZ181" s="9" t="str">
        <f aca="false">IF(OR(L181="",R181="",N181=""),"",IF(OR(R181="",N181="",(0.94*R181)="",R181&lt;=0,(0.94*R181)&lt;=0),"",(1/Inputs!$B$9)*((R181^2/8)*((2*ACOS(1-2*(0.94*R181)/R181))-SIN((2*ACOS(1-2*(0.94*R181)/R181)))))*((((R181^2/8)*((2*ACOS(1-2*(0.94*R181)/R181))-SIN((2*ACOS(1-2*(0.94*R181)/R181)))))/((R181/2)*((2*ACOS(1-2*(0.94*R181)/R181)))))^(2/3))*SQRT(N181)))</f>
        <v/>
      </c>
      <c r="BA181" s="9" t="str">
        <f aca="false">IF(AY181="","",0.001*R181)</f>
        <v/>
      </c>
      <c r="BB181" s="9" t="str">
        <f aca="false">IF(AY181="","",0.94*R181)</f>
        <v/>
      </c>
      <c r="BC181" s="9" t="str">
        <f aca="false">IF(AY181="","",(BA181+BB181)/2)</f>
        <v/>
      </c>
      <c r="BD181" s="9" t="str">
        <f aca="false">IF(OR(R181="",N181="",BC181="",R181&lt;=0,BC181&lt;=0),"",(1/Inputs!$B$9)*((R181^2/8)*((2*ACOS(1-2*BC181/R181))-SIN((2*ACOS(1-2*BC181/R181)))))*((((R181^2/8)*((2*ACOS(1-2*BC181/R181))-SIN((2*ACOS(1-2*BC181/R181)))))/((R181/2)*((2*ACOS(1-2*BC181/R181)))))^(2/3))*SQRT(N181))</f>
        <v/>
      </c>
      <c r="BE181" s="9" t="str">
        <f aca="false">IF(AY181="","",IF(BD181&lt;AY181,BC181,BA181))</f>
        <v/>
      </c>
      <c r="BF181" s="9" t="str">
        <f aca="false">IF(AY181="","",IF(BD181&lt;AY181,BB181,BC181))</f>
        <v/>
      </c>
      <c r="BG181" s="9" t="str">
        <f aca="false">IF(AY181="","",(BE181+BF181)/2)</f>
        <v/>
      </c>
      <c r="BH181" s="9" t="str">
        <f aca="false">IF(OR(R181="",N181="",BG181="",R181&lt;=0,BG181&lt;=0),"",(1/Inputs!$B$9)*((R181^2/8)*((2*ACOS(1-2*BG181/R181))-SIN((2*ACOS(1-2*BG181/R181)))))*((((R181^2/8)*((2*ACOS(1-2*BG181/R181))-SIN((2*ACOS(1-2*BG181/R181)))))/((R181/2)*((2*ACOS(1-2*BG181/R181)))))^(2/3))*SQRT(N181))</f>
        <v/>
      </c>
      <c r="BI181" s="9" t="str">
        <f aca="false">IF(AY181="","",IF(BH181&lt;AY181,BG181,BE181))</f>
        <v/>
      </c>
      <c r="BJ181" s="9" t="str">
        <f aca="false">IF(AY181="","",IF(BH181&lt;AY181,BF181,BG181))</f>
        <v/>
      </c>
      <c r="BK181" s="9" t="str">
        <f aca="false">IF(AY181="","",(BI181+BJ181)/2)</f>
        <v/>
      </c>
      <c r="BL181" s="9" t="str">
        <f aca="false">IF(OR(R181="",N181="",BK181="",R181&lt;=0,BK181&lt;=0),"",(1/Inputs!$B$9)*((R181^2/8)*((2*ACOS(1-2*BK181/R181))-SIN((2*ACOS(1-2*BK181/R181)))))*((((R181^2/8)*((2*ACOS(1-2*BK181/R181))-SIN((2*ACOS(1-2*BK181/R181)))))/((R181/2)*((2*ACOS(1-2*BK181/R181)))))^(2/3))*SQRT(N181))</f>
        <v/>
      </c>
      <c r="BM181" s="9" t="str">
        <f aca="false">IF(AY181="","",IF(BL181&lt;AY181,BK181,BI181))</f>
        <v/>
      </c>
      <c r="BN181" s="9" t="str">
        <f aca="false">IF(AY181="","",IF(BL181&lt;AY181,BJ181,BK181))</f>
        <v/>
      </c>
      <c r="BO181" s="9" t="str">
        <f aca="false">IF(AY181="","",(BM181+BN181)/2)</f>
        <v/>
      </c>
      <c r="BP181" s="9" t="str">
        <f aca="false">IF(OR(R181="",N181="",BO181="",R181&lt;=0,BO181&lt;=0),"",(1/Inputs!$B$9)*((R181^2/8)*((2*ACOS(1-2*BO181/R181))-SIN((2*ACOS(1-2*BO181/R181)))))*((((R181^2/8)*((2*ACOS(1-2*BO181/R181))-SIN((2*ACOS(1-2*BO181/R181)))))/((R181/2)*((2*ACOS(1-2*BO181/R181)))))^(2/3))*SQRT(N181))</f>
        <v/>
      </c>
      <c r="BQ181" s="9" t="str">
        <f aca="false">IF(AY181="","",IF(BP181&lt;AY181,BO181,BM181))</f>
        <v/>
      </c>
      <c r="BR181" s="9" t="str">
        <f aca="false">IF(AY181="","",IF(BP181&lt;AY181,BN181,BO181))</f>
        <v/>
      </c>
      <c r="BS181" s="9" t="str">
        <f aca="false">IF(AY181="","",(BQ181+BR181)/2)</f>
        <v/>
      </c>
      <c r="BT181" s="9" t="str">
        <f aca="false">IF(OR(R181="",N181="",BS181="",R181&lt;=0,BS181&lt;=0),"",(1/Inputs!$B$9)*((R181^2/8)*((2*ACOS(1-2*BS181/R181))-SIN((2*ACOS(1-2*BS181/R181)))))*((((R181^2/8)*((2*ACOS(1-2*BS181/R181))-SIN((2*ACOS(1-2*BS181/R181)))))/((R181/2)*((2*ACOS(1-2*BS181/R181)))))^(2/3))*SQRT(N181))</f>
        <v/>
      </c>
      <c r="BU181" s="9" t="str">
        <f aca="false">IF(AY181="","",IF(BT181&lt;AY181,BS181,BQ181))</f>
        <v/>
      </c>
      <c r="BV181" s="9" t="str">
        <f aca="false">IF(AY181="","",IF(BT181&lt;AY181,BR181,BS181))</f>
        <v/>
      </c>
      <c r="BW181" s="9" t="str">
        <f aca="false">IF(AY181="","",(BU181+BV181)/2)</f>
        <v/>
      </c>
      <c r="BX181" s="9" t="str">
        <f aca="false">IF(OR(R181="",N181="",BW181="",R181&lt;=0,BW181&lt;=0),"",(1/Inputs!$B$9)*((R181^2/8)*((2*ACOS(1-2*BW181/R181))-SIN((2*ACOS(1-2*BW181/R181)))))*((((R181^2/8)*((2*ACOS(1-2*BW181/R181))-SIN((2*ACOS(1-2*BW181/R181)))))/((R181/2)*((2*ACOS(1-2*BW181/R181)))))^(2/3))*SQRT(N181))</f>
        <v/>
      </c>
      <c r="BY181" s="9" t="str">
        <f aca="false">IF(AY181="","",IF(BX181&lt;AY181,BW181,BU181))</f>
        <v/>
      </c>
      <c r="BZ181" s="9" t="str">
        <f aca="false">IF(AY181="","",IF(BX181&lt;AY181,BV181,BW181))</f>
        <v/>
      </c>
      <c r="CA181" s="9" t="str">
        <f aca="false">IF(AY181="","",(BY181+BZ181)/2)</f>
        <v/>
      </c>
      <c r="CB181" s="9" t="str">
        <f aca="false">IF(OR(R181="",N181="",CA181="",R181&lt;=0,CA181&lt;=0),"",(1/Inputs!$B$9)*((R181^2/8)*((2*ACOS(1-2*CA181/R181))-SIN((2*ACOS(1-2*CA181/R181)))))*((((R181^2/8)*((2*ACOS(1-2*CA181/R181))-SIN((2*ACOS(1-2*CA181/R181)))))/((R181/2)*((2*ACOS(1-2*CA181/R181)))))^(2/3))*SQRT(N181))</f>
        <v/>
      </c>
      <c r="CC181" s="9" t="str">
        <f aca="false">IF(AY181="","",IF(CB181&lt;AY181,CA181,BY181))</f>
        <v/>
      </c>
      <c r="CD181" s="9" t="str">
        <f aca="false">IF(AY181="","",IF(CB181&lt;AY181,BZ181,CA181))</f>
        <v/>
      </c>
      <c r="CE181" s="9" t="str">
        <f aca="false">IF(AY181="","",(CC181+CD181)/2)</f>
        <v/>
      </c>
    </row>
    <row r="182" customFormat="false" ht="15" hidden="false" customHeight="false" outlineLevel="0" collapsed="false">
      <c r="A182" s="9"/>
      <c r="B182" s="9"/>
      <c r="C182" s="14"/>
      <c r="D182" s="14"/>
      <c r="E182" s="14" t="n">
        <f aca="false">SUMIFS(CB_Tributaires!$C:$C,CB_Tributaires!$B:$B,$A182)</f>
        <v>0</v>
      </c>
      <c r="F182" s="14" t="n">
        <f aca="false">IF(D182="",E182,D182)</f>
        <v>0</v>
      </c>
      <c r="G182" s="9"/>
      <c r="H182" s="14"/>
      <c r="I182" s="14" t="str">
        <f aca="false">IF(A182="","",Inputs!$B$13/((IF(AS182="",Inputs!$B$18,AS182)+Inputs!$B$14)^Inputs!$B$15))</f>
        <v/>
      </c>
      <c r="J182" s="14" t="str">
        <f aca="false">IF(A182="","",0.000000278*IF(G182="",Inputs!$B$17,G182)*F182*I182)</f>
        <v/>
      </c>
      <c r="K182" s="14" t="str">
        <f aca="false">IF(A182="","",SUMIFS($L$4:$L$203,$B$4:$B$203,$A182))</f>
        <v/>
      </c>
      <c r="L182" s="14" t="str">
        <f aca="false">IF(A182="","",(J182+K182)*Inputs!$B$16)</f>
        <v/>
      </c>
      <c r="M182" s="14"/>
      <c r="N182" s="14" t="str">
        <f aca="false">IF(A182="","",IF(M182="",Inputs!$B$7,M182))</f>
        <v/>
      </c>
      <c r="O182" s="9" t="str">
        <f aca="false">IF(A182="","",IF(L182/Inputs!$B$10&lt;=AD182,Inputs!$F$5,IF(L182/Inputs!$B$10&gt;AM182,"OVERSIZE",INDEX(Inputs!$F$5:$F$14,MATCH(L182/Inputs!$B$10,AD182:AM182,1)+1))))</f>
        <v/>
      </c>
      <c r="P182" s="9"/>
      <c r="Q182" s="9" t="str">
        <f aca="false">IF(A182="","",IF(P182="",O182,P182))</f>
        <v/>
      </c>
      <c r="R182" s="14" t="str">
        <f aca="false">IF(OR(Q182="",Q182="OVERSIZE"),"",Q182/1000)</f>
        <v/>
      </c>
      <c r="S182" s="14" t="str">
        <f aca="false">IF(R182="","",(1/Inputs!$B$9)*(PI()*R182^2/4)*((R182/4)^(2/3))*SQRT(N182))</f>
        <v/>
      </c>
      <c r="T182" s="14" t="str">
        <f aca="false">IF(OR(S182="",L182=""),"",L182/(S182*Inputs!$B$10))</f>
        <v/>
      </c>
      <c r="U182" s="14" t="str">
        <f aca="false">IF(OR(R182="",L182=""),"",4*L182/(PI()*R182^2))</f>
        <v/>
      </c>
      <c r="V182" s="14"/>
      <c r="W182" s="14" t="str">
        <f aca="false">IF(A182="","",IF(A182=Inputs!$B$6,Inputs!$B$22,IF(B182="","",IFERROR(INDEX($X$4:$X$203,MATCH(B182,$A$4:$A$203,0))+IF(V182="",Inputs!$B$20,V182),""))))</f>
        <v/>
      </c>
      <c r="X182" s="14" t="str">
        <f aca="false">IF(OR(W182="",N182="",C182=""),"",W182+N182*C182)</f>
        <v/>
      </c>
      <c r="Y182" s="14"/>
      <c r="Z182" s="14"/>
      <c r="AA182" s="14" t="str">
        <f aca="false">IF(OR(Y182="",W182=""),"",Y182-W182)</f>
        <v/>
      </c>
      <c r="AB182" s="14" t="str">
        <f aca="false">IF(OR(Z182="",X182=""),"",Z182-X182)</f>
        <v/>
      </c>
      <c r="AC182" s="19" t="str">
        <f aca="false">IF(A182="","",IF(OR(T182&gt;1,AND(AV182&lt;&gt;"",AV182&lt;Inputs!$B$11),AND(AV182&lt;&gt;"",AV182&gt;Inputs!$B$12),AA182&lt;Inputs!$B$19,AB182&lt;Inputs!$B$19,N182&lt;Inputs!$B$7,N182&gt;Inputs!$B$8),"CHECK","OK"))</f>
        <v/>
      </c>
      <c r="AD182" s="9" t="str">
        <f aca="false">IF(A182="","",(1/Inputs!$B$9)*(PI()*(Inputs!$F$5/1000)^2/4)*((Inputs!$F$5/1000/4)^(2/3))*SQRT(N182))</f>
        <v/>
      </c>
      <c r="AE182" s="9" t="str">
        <f aca="false">IF(A182="","",(1/Inputs!$B$9)*(PI()*(Inputs!$F$6/1000)^2/4)*((Inputs!$F$6/1000/4)^(2/3))*SQRT(N182))</f>
        <v/>
      </c>
      <c r="AF182" s="9" t="str">
        <f aca="false">IF(A182="","",(1/Inputs!$B$9)*(PI()*(Inputs!$F$7/1000)^2/4)*((Inputs!$F$7/1000/4)^(2/3))*SQRT(N182))</f>
        <v/>
      </c>
      <c r="AG182" s="9" t="str">
        <f aca="false">IF(A182="","",(1/Inputs!$B$9)*(PI()*(Inputs!$F$8/1000)^2/4)*((Inputs!$F$8/1000/4)^(2/3))*SQRT(N182))</f>
        <v/>
      </c>
      <c r="AH182" s="9" t="str">
        <f aca="false">IF(A182="","",(1/Inputs!$B$9)*(PI()*(Inputs!$F$9/1000)^2/4)*((Inputs!$F$9/1000/4)^(2/3))*SQRT(N182))</f>
        <v/>
      </c>
      <c r="AI182" s="9" t="str">
        <f aca="false">IF(A182="","",(1/Inputs!$B$9)*(PI()*(Inputs!$F$10/1000)^2/4)*((Inputs!$F$10/1000/4)^(2/3))*SQRT(N182))</f>
        <v/>
      </c>
      <c r="AJ182" s="9" t="str">
        <f aca="false">IF(A182="","",(1/Inputs!$B$9)*(PI()*(Inputs!$F$11/1000)^2/4)*((Inputs!$F$11/1000/4)^(2/3))*SQRT(N182))</f>
        <v/>
      </c>
      <c r="AK182" s="9" t="str">
        <f aca="false">IF(A182="","",(1/Inputs!$B$9)*(PI()*(Inputs!$F$12/1000)^2/4)*((Inputs!$F$12/1000/4)^(2/3))*SQRT(N182))</f>
        <v/>
      </c>
      <c r="AL182" s="9" t="str">
        <f aca="false">IF(A182="","",(1/Inputs!$B$9)*(PI()*(Inputs!$F$13/1000)^2/4)*((Inputs!$F$13/1000/4)^(2/3))*SQRT(N182))</f>
        <v/>
      </c>
      <c r="AM182" s="9" t="str">
        <f aca="false">IF(A182="","",(1/Inputs!$B$9)*(PI()*(Inputs!$F$14/1000)^2/4)*((Inputs!$F$14/1000/4)^(2/3))*SQRT(N182))</f>
        <v/>
      </c>
      <c r="AN182" s="9" t="str">
        <f aca="false">IF(A182="","",COUNTIF($B$4:$B$203,$A182))</f>
        <v/>
      </c>
      <c r="AO182" s="9" t="str">
        <f aca="false">IF(A182="","",IF(AN182=0,"START","CONTINUOUS"))</f>
        <v/>
      </c>
      <c r="AP182" s="13" t="str">
        <f aca="false">IF(A182="","",IF(H182="",Inputs!$B$18,H182))</f>
        <v/>
      </c>
      <c r="AQ182" s="13" t="str">
        <f aca="false">IF(A182="","",IFERROR(maxifs($AS$4:$AS$203,$B$4:$B$203,$A182),""))</f>
        <v/>
      </c>
      <c r="AR182" s="13" t="str">
        <f aca="false">IF(A182="","",IF(OR(C182="",Inputs!$B$23=""),"",C182/(Inputs!$B$23*60)))</f>
        <v/>
      </c>
      <c r="AS182" s="13" t="str">
        <f aca="false">IF(A182="","",IF(AN182=0,AP182+AR182,IF(AQ182="",AP182+AR182,AQ182+AR182)))</f>
        <v/>
      </c>
      <c r="AT182" s="13" t="str">
        <f aca="false">IF(A182="","",U182)</f>
        <v/>
      </c>
      <c r="AU182" s="13" t="str">
        <f aca="false">IF(OR(R182="",N182=""),"",(1/Inputs!$B$9)*((R182/4)^(2/3))*SQRT(N182))</f>
        <v/>
      </c>
      <c r="AV182" s="13" t="str">
        <f aca="false">IF(A182="","",IF(AND(AT182="",AU182="",AX182=""),"",IF(OR(UPPER(TRIM(Inputs!$B$24))="MANNING",UPPER(TRIM(Inputs!$B$24))="M"),AU182,IF(OR(UPPER(TRIM(Inputs!$B$24))="PARTIAL",UPPER(TRIM(Inputs!$B$24))="P"),AX182,IF(OR(UPPER(TRIM(Inputs!$B$24))="MAX",UPPER(TRIM(Inputs!$B$24))="X"),MAX(IF(AT182="",0,AT182),IF(AU182="",0,AU182),IF(AX182="",0,AX182)),AT182)))))</f>
        <v/>
      </c>
      <c r="AW182" s="13" t="str">
        <f aca="false">IF(AY182="","",CE182)</f>
        <v/>
      </c>
      <c r="AX182" s="13" t="str">
        <f aca="false">IF(OR(AY182="",AW182="",R182="",R182&lt;=0,AW182&lt;=0),"",AY182/((R182^2/8)*(2*ACOS(1-2*AW182/R182)-SIN(2*ACOS(1-2*AW182/R182)))))</f>
        <v/>
      </c>
      <c r="AY182" s="9" t="str">
        <f aca="false">IF(OR(L182="",AZ182=""),"",MIN(L182,AZ182))</f>
        <v/>
      </c>
      <c r="AZ182" s="9" t="str">
        <f aca="false">IF(OR(L182="",R182="",N182=""),"",IF(OR(R182="",N182="",(0.94*R182)="",R182&lt;=0,(0.94*R182)&lt;=0),"",(1/Inputs!$B$9)*((R182^2/8)*((2*ACOS(1-2*(0.94*R182)/R182))-SIN((2*ACOS(1-2*(0.94*R182)/R182)))))*((((R182^2/8)*((2*ACOS(1-2*(0.94*R182)/R182))-SIN((2*ACOS(1-2*(0.94*R182)/R182)))))/((R182/2)*((2*ACOS(1-2*(0.94*R182)/R182)))))^(2/3))*SQRT(N182)))</f>
        <v/>
      </c>
      <c r="BA182" s="9" t="str">
        <f aca="false">IF(AY182="","",0.001*R182)</f>
        <v/>
      </c>
      <c r="BB182" s="9" t="str">
        <f aca="false">IF(AY182="","",0.94*R182)</f>
        <v/>
      </c>
      <c r="BC182" s="9" t="str">
        <f aca="false">IF(AY182="","",(BA182+BB182)/2)</f>
        <v/>
      </c>
      <c r="BD182" s="9" t="str">
        <f aca="false">IF(OR(R182="",N182="",BC182="",R182&lt;=0,BC182&lt;=0),"",(1/Inputs!$B$9)*((R182^2/8)*((2*ACOS(1-2*BC182/R182))-SIN((2*ACOS(1-2*BC182/R182)))))*((((R182^2/8)*((2*ACOS(1-2*BC182/R182))-SIN((2*ACOS(1-2*BC182/R182)))))/((R182/2)*((2*ACOS(1-2*BC182/R182)))))^(2/3))*SQRT(N182))</f>
        <v/>
      </c>
      <c r="BE182" s="9" t="str">
        <f aca="false">IF(AY182="","",IF(BD182&lt;AY182,BC182,BA182))</f>
        <v/>
      </c>
      <c r="BF182" s="9" t="str">
        <f aca="false">IF(AY182="","",IF(BD182&lt;AY182,BB182,BC182))</f>
        <v/>
      </c>
      <c r="BG182" s="9" t="str">
        <f aca="false">IF(AY182="","",(BE182+BF182)/2)</f>
        <v/>
      </c>
      <c r="BH182" s="9" t="str">
        <f aca="false">IF(OR(R182="",N182="",BG182="",R182&lt;=0,BG182&lt;=0),"",(1/Inputs!$B$9)*((R182^2/8)*((2*ACOS(1-2*BG182/R182))-SIN((2*ACOS(1-2*BG182/R182)))))*((((R182^2/8)*((2*ACOS(1-2*BG182/R182))-SIN((2*ACOS(1-2*BG182/R182)))))/((R182/2)*((2*ACOS(1-2*BG182/R182)))))^(2/3))*SQRT(N182))</f>
        <v/>
      </c>
      <c r="BI182" s="9" t="str">
        <f aca="false">IF(AY182="","",IF(BH182&lt;AY182,BG182,BE182))</f>
        <v/>
      </c>
      <c r="BJ182" s="9" t="str">
        <f aca="false">IF(AY182="","",IF(BH182&lt;AY182,BF182,BG182))</f>
        <v/>
      </c>
      <c r="BK182" s="9" t="str">
        <f aca="false">IF(AY182="","",(BI182+BJ182)/2)</f>
        <v/>
      </c>
      <c r="BL182" s="9" t="str">
        <f aca="false">IF(OR(R182="",N182="",BK182="",R182&lt;=0,BK182&lt;=0),"",(1/Inputs!$B$9)*((R182^2/8)*((2*ACOS(1-2*BK182/R182))-SIN((2*ACOS(1-2*BK182/R182)))))*((((R182^2/8)*((2*ACOS(1-2*BK182/R182))-SIN((2*ACOS(1-2*BK182/R182)))))/((R182/2)*((2*ACOS(1-2*BK182/R182)))))^(2/3))*SQRT(N182))</f>
        <v/>
      </c>
      <c r="BM182" s="9" t="str">
        <f aca="false">IF(AY182="","",IF(BL182&lt;AY182,BK182,BI182))</f>
        <v/>
      </c>
      <c r="BN182" s="9" t="str">
        <f aca="false">IF(AY182="","",IF(BL182&lt;AY182,BJ182,BK182))</f>
        <v/>
      </c>
      <c r="BO182" s="9" t="str">
        <f aca="false">IF(AY182="","",(BM182+BN182)/2)</f>
        <v/>
      </c>
      <c r="BP182" s="9" t="str">
        <f aca="false">IF(OR(R182="",N182="",BO182="",R182&lt;=0,BO182&lt;=0),"",(1/Inputs!$B$9)*((R182^2/8)*((2*ACOS(1-2*BO182/R182))-SIN((2*ACOS(1-2*BO182/R182)))))*((((R182^2/8)*((2*ACOS(1-2*BO182/R182))-SIN((2*ACOS(1-2*BO182/R182)))))/((R182/2)*((2*ACOS(1-2*BO182/R182)))))^(2/3))*SQRT(N182))</f>
        <v/>
      </c>
      <c r="BQ182" s="9" t="str">
        <f aca="false">IF(AY182="","",IF(BP182&lt;AY182,BO182,BM182))</f>
        <v/>
      </c>
      <c r="BR182" s="9" t="str">
        <f aca="false">IF(AY182="","",IF(BP182&lt;AY182,BN182,BO182))</f>
        <v/>
      </c>
      <c r="BS182" s="9" t="str">
        <f aca="false">IF(AY182="","",(BQ182+BR182)/2)</f>
        <v/>
      </c>
      <c r="BT182" s="9" t="str">
        <f aca="false">IF(OR(R182="",N182="",BS182="",R182&lt;=0,BS182&lt;=0),"",(1/Inputs!$B$9)*((R182^2/8)*((2*ACOS(1-2*BS182/R182))-SIN((2*ACOS(1-2*BS182/R182)))))*((((R182^2/8)*((2*ACOS(1-2*BS182/R182))-SIN((2*ACOS(1-2*BS182/R182)))))/((R182/2)*((2*ACOS(1-2*BS182/R182)))))^(2/3))*SQRT(N182))</f>
        <v/>
      </c>
      <c r="BU182" s="9" t="str">
        <f aca="false">IF(AY182="","",IF(BT182&lt;AY182,BS182,BQ182))</f>
        <v/>
      </c>
      <c r="BV182" s="9" t="str">
        <f aca="false">IF(AY182="","",IF(BT182&lt;AY182,BR182,BS182))</f>
        <v/>
      </c>
      <c r="BW182" s="9" t="str">
        <f aca="false">IF(AY182="","",(BU182+BV182)/2)</f>
        <v/>
      </c>
      <c r="BX182" s="9" t="str">
        <f aca="false">IF(OR(R182="",N182="",BW182="",R182&lt;=0,BW182&lt;=0),"",(1/Inputs!$B$9)*((R182^2/8)*((2*ACOS(1-2*BW182/R182))-SIN((2*ACOS(1-2*BW182/R182)))))*((((R182^2/8)*((2*ACOS(1-2*BW182/R182))-SIN((2*ACOS(1-2*BW182/R182)))))/((R182/2)*((2*ACOS(1-2*BW182/R182)))))^(2/3))*SQRT(N182))</f>
        <v/>
      </c>
      <c r="BY182" s="9" t="str">
        <f aca="false">IF(AY182="","",IF(BX182&lt;AY182,BW182,BU182))</f>
        <v/>
      </c>
      <c r="BZ182" s="9" t="str">
        <f aca="false">IF(AY182="","",IF(BX182&lt;AY182,BV182,BW182))</f>
        <v/>
      </c>
      <c r="CA182" s="9" t="str">
        <f aca="false">IF(AY182="","",(BY182+BZ182)/2)</f>
        <v/>
      </c>
      <c r="CB182" s="9" t="str">
        <f aca="false">IF(OR(R182="",N182="",CA182="",R182&lt;=0,CA182&lt;=0),"",(1/Inputs!$B$9)*((R182^2/8)*((2*ACOS(1-2*CA182/R182))-SIN((2*ACOS(1-2*CA182/R182)))))*((((R182^2/8)*((2*ACOS(1-2*CA182/R182))-SIN((2*ACOS(1-2*CA182/R182)))))/((R182/2)*((2*ACOS(1-2*CA182/R182)))))^(2/3))*SQRT(N182))</f>
        <v/>
      </c>
      <c r="CC182" s="9" t="str">
        <f aca="false">IF(AY182="","",IF(CB182&lt;AY182,CA182,BY182))</f>
        <v/>
      </c>
      <c r="CD182" s="9" t="str">
        <f aca="false">IF(AY182="","",IF(CB182&lt;AY182,BZ182,CA182))</f>
        <v/>
      </c>
      <c r="CE182" s="9" t="str">
        <f aca="false">IF(AY182="","",(CC182+CD182)/2)</f>
        <v/>
      </c>
    </row>
    <row r="183" customFormat="false" ht="15" hidden="false" customHeight="false" outlineLevel="0" collapsed="false">
      <c r="A183" s="9"/>
      <c r="B183" s="9"/>
      <c r="C183" s="14"/>
      <c r="D183" s="14"/>
      <c r="E183" s="14" t="n">
        <f aca="false">SUMIFS(CB_Tributaires!$C:$C,CB_Tributaires!$B:$B,$A183)</f>
        <v>0</v>
      </c>
      <c r="F183" s="14" t="n">
        <f aca="false">IF(D183="",E183,D183)</f>
        <v>0</v>
      </c>
      <c r="G183" s="9"/>
      <c r="H183" s="14"/>
      <c r="I183" s="14" t="str">
        <f aca="false">IF(A183="","",Inputs!$B$13/((IF(AS183="",Inputs!$B$18,AS183)+Inputs!$B$14)^Inputs!$B$15))</f>
        <v/>
      </c>
      <c r="J183" s="14" t="str">
        <f aca="false">IF(A183="","",0.000000278*IF(G183="",Inputs!$B$17,G183)*F183*I183)</f>
        <v/>
      </c>
      <c r="K183" s="14" t="str">
        <f aca="false">IF(A183="","",SUMIFS($L$4:$L$203,$B$4:$B$203,$A183))</f>
        <v/>
      </c>
      <c r="L183" s="14" t="str">
        <f aca="false">IF(A183="","",(J183+K183)*Inputs!$B$16)</f>
        <v/>
      </c>
      <c r="M183" s="14"/>
      <c r="N183" s="14" t="str">
        <f aca="false">IF(A183="","",IF(M183="",Inputs!$B$7,M183))</f>
        <v/>
      </c>
      <c r="O183" s="9" t="str">
        <f aca="false">IF(A183="","",IF(L183/Inputs!$B$10&lt;=AD183,Inputs!$F$5,IF(L183/Inputs!$B$10&gt;AM183,"OVERSIZE",INDEX(Inputs!$F$5:$F$14,MATCH(L183/Inputs!$B$10,AD183:AM183,1)+1))))</f>
        <v/>
      </c>
      <c r="P183" s="9"/>
      <c r="Q183" s="9" t="str">
        <f aca="false">IF(A183="","",IF(P183="",O183,P183))</f>
        <v/>
      </c>
      <c r="R183" s="14" t="str">
        <f aca="false">IF(OR(Q183="",Q183="OVERSIZE"),"",Q183/1000)</f>
        <v/>
      </c>
      <c r="S183" s="14" t="str">
        <f aca="false">IF(R183="","",(1/Inputs!$B$9)*(PI()*R183^2/4)*((R183/4)^(2/3))*SQRT(N183))</f>
        <v/>
      </c>
      <c r="T183" s="14" t="str">
        <f aca="false">IF(OR(S183="",L183=""),"",L183/(S183*Inputs!$B$10))</f>
        <v/>
      </c>
      <c r="U183" s="14" t="str">
        <f aca="false">IF(OR(R183="",L183=""),"",4*L183/(PI()*R183^2))</f>
        <v/>
      </c>
      <c r="V183" s="14"/>
      <c r="W183" s="14" t="str">
        <f aca="false">IF(A183="","",IF(A183=Inputs!$B$6,Inputs!$B$22,IF(B183="","",IFERROR(INDEX($X$4:$X$203,MATCH(B183,$A$4:$A$203,0))+IF(V183="",Inputs!$B$20,V183),""))))</f>
        <v/>
      </c>
      <c r="X183" s="14" t="str">
        <f aca="false">IF(OR(W183="",N183="",C183=""),"",W183+N183*C183)</f>
        <v/>
      </c>
      <c r="Y183" s="14"/>
      <c r="Z183" s="14"/>
      <c r="AA183" s="14" t="str">
        <f aca="false">IF(OR(Y183="",W183=""),"",Y183-W183)</f>
        <v/>
      </c>
      <c r="AB183" s="14" t="str">
        <f aca="false">IF(OR(Z183="",X183=""),"",Z183-X183)</f>
        <v/>
      </c>
      <c r="AC183" s="19" t="str">
        <f aca="false">IF(A183="","",IF(OR(T183&gt;1,AND(AV183&lt;&gt;"",AV183&lt;Inputs!$B$11),AND(AV183&lt;&gt;"",AV183&gt;Inputs!$B$12),AA183&lt;Inputs!$B$19,AB183&lt;Inputs!$B$19,N183&lt;Inputs!$B$7,N183&gt;Inputs!$B$8),"CHECK","OK"))</f>
        <v/>
      </c>
      <c r="AD183" s="9" t="str">
        <f aca="false">IF(A183="","",(1/Inputs!$B$9)*(PI()*(Inputs!$F$5/1000)^2/4)*((Inputs!$F$5/1000/4)^(2/3))*SQRT(N183))</f>
        <v/>
      </c>
      <c r="AE183" s="9" t="str">
        <f aca="false">IF(A183="","",(1/Inputs!$B$9)*(PI()*(Inputs!$F$6/1000)^2/4)*((Inputs!$F$6/1000/4)^(2/3))*SQRT(N183))</f>
        <v/>
      </c>
      <c r="AF183" s="9" t="str">
        <f aca="false">IF(A183="","",(1/Inputs!$B$9)*(PI()*(Inputs!$F$7/1000)^2/4)*((Inputs!$F$7/1000/4)^(2/3))*SQRT(N183))</f>
        <v/>
      </c>
      <c r="AG183" s="9" t="str">
        <f aca="false">IF(A183="","",(1/Inputs!$B$9)*(PI()*(Inputs!$F$8/1000)^2/4)*((Inputs!$F$8/1000/4)^(2/3))*SQRT(N183))</f>
        <v/>
      </c>
      <c r="AH183" s="9" t="str">
        <f aca="false">IF(A183="","",(1/Inputs!$B$9)*(PI()*(Inputs!$F$9/1000)^2/4)*((Inputs!$F$9/1000/4)^(2/3))*SQRT(N183))</f>
        <v/>
      </c>
      <c r="AI183" s="9" t="str">
        <f aca="false">IF(A183="","",(1/Inputs!$B$9)*(PI()*(Inputs!$F$10/1000)^2/4)*((Inputs!$F$10/1000/4)^(2/3))*SQRT(N183))</f>
        <v/>
      </c>
      <c r="AJ183" s="9" t="str">
        <f aca="false">IF(A183="","",(1/Inputs!$B$9)*(PI()*(Inputs!$F$11/1000)^2/4)*((Inputs!$F$11/1000/4)^(2/3))*SQRT(N183))</f>
        <v/>
      </c>
      <c r="AK183" s="9" t="str">
        <f aca="false">IF(A183="","",(1/Inputs!$B$9)*(PI()*(Inputs!$F$12/1000)^2/4)*((Inputs!$F$12/1000/4)^(2/3))*SQRT(N183))</f>
        <v/>
      </c>
      <c r="AL183" s="9" t="str">
        <f aca="false">IF(A183="","",(1/Inputs!$B$9)*(PI()*(Inputs!$F$13/1000)^2/4)*((Inputs!$F$13/1000/4)^(2/3))*SQRT(N183))</f>
        <v/>
      </c>
      <c r="AM183" s="9" t="str">
        <f aca="false">IF(A183="","",(1/Inputs!$B$9)*(PI()*(Inputs!$F$14/1000)^2/4)*((Inputs!$F$14/1000/4)^(2/3))*SQRT(N183))</f>
        <v/>
      </c>
      <c r="AN183" s="9" t="str">
        <f aca="false">IF(A183="","",COUNTIF($B$4:$B$203,$A183))</f>
        <v/>
      </c>
      <c r="AO183" s="9" t="str">
        <f aca="false">IF(A183="","",IF(AN183=0,"START","CONTINUOUS"))</f>
        <v/>
      </c>
      <c r="AP183" s="13" t="str">
        <f aca="false">IF(A183="","",IF(H183="",Inputs!$B$18,H183))</f>
        <v/>
      </c>
      <c r="AQ183" s="13" t="str">
        <f aca="false">IF(A183="","",IFERROR(maxifs($AS$4:$AS$203,$B$4:$B$203,$A183),""))</f>
        <v/>
      </c>
      <c r="AR183" s="13" t="str">
        <f aca="false">IF(A183="","",IF(OR(C183="",Inputs!$B$23=""),"",C183/(Inputs!$B$23*60)))</f>
        <v/>
      </c>
      <c r="AS183" s="13" t="str">
        <f aca="false">IF(A183="","",IF(AN183=0,AP183+AR183,IF(AQ183="",AP183+AR183,AQ183+AR183)))</f>
        <v/>
      </c>
      <c r="AT183" s="13" t="str">
        <f aca="false">IF(A183="","",U183)</f>
        <v/>
      </c>
      <c r="AU183" s="13" t="str">
        <f aca="false">IF(OR(R183="",N183=""),"",(1/Inputs!$B$9)*((R183/4)^(2/3))*SQRT(N183))</f>
        <v/>
      </c>
      <c r="AV183" s="13" t="str">
        <f aca="false">IF(A183="","",IF(AND(AT183="",AU183="",AX183=""),"",IF(OR(UPPER(TRIM(Inputs!$B$24))="MANNING",UPPER(TRIM(Inputs!$B$24))="M"),AU183,IF(OR(UPPER(TRIM(Inputs!$B$24))="PARTIAL",UPPER(TRIM(Inputs!$B$24))="P"),AX183,IF(OR(UPPER(TRIM(Inputs!$B$24))="MAX",UPPER(TRIM(Inputs!$B$24))="X"),MAX(IF(AT183="",0,AT183),IF(AU183="",0,AU183),IF(AX183="",0,AX183)),AT183)))))</f>
        <v/>
      </c>
      <c r="AW183" s="13" t="str">
        <f aca="false">IF(AY183="","",CE183)</f>
        <v/>
      </c>
      <c r="AX183" s="13" t="str">
        <f aca="false">IF(OR(AY183="",AW183="",R183="",R183&lt;=0,AW183&lt;=0),"",AY183/((R183^2/8)*(2*ACOS(1-2*AW183/R183)-SIN(2*ACOS(1-2*AW183/R183)))))</f>
        <v/>
      </c>
      <c r="AY183" s="9" t="str">
        <f aca="false">IF(OR(L183="",AZ183=""),"",MIN(L183,AZ183))</f>
        <v/>
      </c>
      <c r="AZ183" s="9" t="str">
        <f aca="false">IF(OR(L183="",R183="",N183=""),"",IF(OR(R183="",N183="",(0.94*R183)="",R183&lt;=0,(0.94*R183)&lt;=0),"",(1/Inputs!$B$9)*((R183^2/8)*((2*ACOS(1-2*(0.94*R183)/R183))-SIN((2*ACOS(1-2*(0.94*R183)/R183)))))*((((R183^2/8)*((2*ACOS(1-2*(0.94*R183)/R183))-SIN((2*ACOS(1-2*(0.94*R183)/R183)))))/((R183/2)*((2*ACOS(1-2*(0.94*R183)/R183)))))^(2/3))*SQRT(N183)))</f>
        <v/>
      </c>
      <c r="BA183" s="9" t="str">
        <f aca="false">IF(AY183="","",0.001*R183)</f>
        <v/>
      </c>
      <c r="BB183" s="9" t="str">
        <f aca="false">IF(AY183="","",0.94*R183)</f>
        <v/>
      </c>
      <c r="BC183" s="9" t="str">
        <f aca="false">IF(AY183="","",(BA183+BB183)/2)</f>
        <v/>
      </c>
      <c r="BD183" s="9" t="str">
        <f aca="false">IF(OR(R183="",N183="",BC183="",R183&lt;=0,BC183&lt;=0),"",(1/Inputs!$B$9)*((R183^2/8)*((2*ACOS(1-2*BC183/R183))-SIN((2*ACOS(1-2*BC183/R183)))))*((((R183^2/8)*((2*ACOS(1-2*BC183/R183))-SIN((2*ACOS(1-2*BC183/R183)))))/((R183/2)*((2*ACOS(1-2*BC183/R183)))))^(2/3))*SQRT(N183))</f>
        <v/>
      </c>
      <c r="BE183" s="9" t="str">
        <f aca="false">IF(AY183="","",IF(BD183&lt;AY183,BC183,BA183))</f>
        <v/>
      </c>
      <c r="BF183" s="9" t="str">
        <f aca="false">IF(AY183="","",IF(BD183&lt;AY183,BB183,BC183))</f>
        <v/>
      </c>
      <c r="BG183" s="9" t="str">
        <f aca="false">IF(AY183="","",(BE183+BF183)/2)</f>
        <v/>
      </c>
      <c r="BH183" s="9" t="str">
        <f aca="false">IF(OR(R183="",N183="",BG183="",R183&lt;=0,BG183&lt;=0),"",(1/Inputs!$B$9)*((R183^2/8)*((2*ACOS(1-2*BG183/R183))-SIN((2*ACOS(1-2*BG183/R183)))))*((((R183^2/8)*((2*ACOS(1-2*BG183/R183))-SIN((2*ACOS(1-2*BG183/R183)))))/((R183/2)*((2*ACOS(1-2*BG183/R183)))))^(2/3))*SQRT(N183))</f>
        <v/>
      </c>
      <c r="BI183" s="9" t="str">
        <f aca="false">IF(AY183="","",IF(BH183&lt;AY183,BG183,BE183))</f>
        <v/>
      </c>
      <c r="BJ183" s="9" t="str">
        <f aca="false">IF(AY183="","",IF(BH183&lt;AY183,BF183,BG183))</f>
        <v/>
      </c>
      <c r="BK183" s="9" t="str">
        <f aca="false">IF(AY183="","",(BI183+BJ183)/2)</f>
        <v/>
      </c>
      <c r="BL183" s="9" t="str">
        <f aca="false">IF(OR(R183="",N183="",BK183="",R183&lt;=0,BK183&lt;=0),"",(1/Inputs!$B$9)*((R183^2/8)*((2*ACOS(1-2*BK183/R183))-SIN((2*ACOS(1-2*BK183/R183)))))*((((R183^2/8)*((2*ACOS(1-2*BK183/R183))-SIN((2*ACOS(1-2*BK183/R183)))))/((R183/2)*((2*ACOS(1-2*BK183/R183)))))^(2/3))*SQRT(N183))</f>
        <v/>
      </c>
      <c r="BM183" s="9" t="str">
        <f aca="false">IF(AY183="","",IF(BL183&lt;AY183,BK183,BI183))</f>
        <v/>
      </c>
      <c r="BN183" s="9" t="str">
        <f aca="false">IF(AY183="","",IF(BL183&lt;AY183,BJ183,BK183))</f>
        <v/>
      </c>
      <c r="BO183" s="9" t="str">
        <f aca="false">IF(AY183="","",(BM183+BN183)/2)</f>
        <v/>
      </c>
      <c r="BP183" s="9" t="str">
        <f aca="false">IF(OR(R183="",N183="",BO183="",R183&lt;=0,BO183&lt;=0),"",(1/Inputs!$B$9)*((R183^2/8)*((2*ACOS(1-2*BO183/R183))-SIN((2*ACOS(1-2*BO183/R183)))))*((((R183^2/8)*((2*ACOS(1-2*BO183/R183))-SIN((2*ACOS(1-2*BO183/R183)))))/((R183/2)*((2*ACOS(1-2*BO183/R183)))))^(2/3))*SQRT(N183))</f>
        <v/>
      </c>
      <c r="BQ183" s="9" t="str">
        <f aca="false">IF(AY183="","",IF(BP183&lt;AY183,BO183,BM183))</f>
        <v/>
      </c>
      <c r="BR183" s="9" t="str">
        <f aca="false">IF(AY183="","",IF(BP183&lt;AY183,BN183,BO183))</f>
        <v/>
      </c>
      <c r="BS183" s="9" t="str">
        <f aca="false">IF(AY183="","",(BQ183+BR183)/2)</f>
        <v/>
      </c>
      <c r="BT183" s="9" t="str">
        <f aca="false">IF(OR(R183="",N183="",BS183="",R183&lt;=0,BS183&lt;=0),"",(1/Inputs!$B$9)*((R183^2/8)*((2*ACOS(1-2*BS183/R183))-SIN((2*ACOS(1-2*BS183/R183)))))*((((R183^2/8)*((2*ACOS(1-2*BS183/R183))-SIN((2*ACOS(1-2*BS183/R183)))))/((R183/2)*((2*ACOS(1-2*BS183/R183)))))^(2/3))*SQRT(N183))</f>
        <v/>
      </c>
      <c r="BU183" s="9" t="str">
        <f aca="false">IF(AY183="","",IF(BT183&lt;AY183,BS183,BQ183))</f>
        <v/>
      </c>
      <c r="BV183" s="9" t="str">
        <f aca="false">IF(AY183="","",IF(BT183&lt;AY183,BR183,BS183))</f>
        <v/>
      </c>
      <c r="BW183" s="9" t="str">
        <f aca="false">IF(AY183="","",(BU183+BV183)/2)</f>
        <v/>
      </c>
      <c r="BX183" s="9" t="str">
        <f aca="false">IF(OR(R183="",N183="",BW183="",R183&lt;=0,BW183&lt;=0),"",(1/Inputs!$B$9)*((R183^2/8)*((2*ACOS(1-2*BW183/R183))-SIN((2*ACOS(1-2*BW183/R183)))))*((((R183^2/8)*((2*ACOS(1-2*BW183/R183))-SIN((2*ACOS(1-2*BW183/R183)))))/((R183/2)*((2*ACOS(1-2*BW183/R183)))))^(2/3))*SQRT(N183))</f>
        <v/>
      </c>
      <c r="BY183" s="9" t="str">
        <f aca="false">IF(AY183="","",IF(BX183&lt;AY183,BW183,BU183))</f>
        <v/>
      </c>
      <c r="BZ183" s="9" t="str">
        <f aca="false">IF(AY183="","",IF(BX183&lt;AY183,BV183,BW183))</f>
        <v/>
      </c>
      <c r="CA183" s="9" t="str">
        <f aca="false">IF(AY183="","",(BY183+BZ183)/2)</f>
        <v/>
      </c>
      <c r="CB183" s="9" t="str">
        <f aca="false">IF(OR(R183="",N183="",CA183="",R183&lt;=0,CA183&lt;=0),"",(1/Inputs!$B$9)*((R183^2/8)*((2*ACOS(1-2*CA183/R183))-SIN((2*ACOS(1-2*CA183/R183)))))*((((R183^2/8)*((2*ACOS(1-2*CA183/R183))-SIN((2*ACOS(1-2*CA183/R183)))))/((R183/2)*((2*ACOS(1-2*CA183/R183)))))^(2/3))*SQRT(N183))</f>
        <v/>
      </c>
      <c r="CC183" s="9" t="str">
        <f aca="false">IF(AY183="","",IF(CB183&lt;AY183,CA183,BY183))</f>
        <v/>
      </c>
      <c r="CD183" s="9" t="str">
        <f aca="false">IF(AY183="","",IF(CB183&lt;AY183,BZ183,CA183))</f>
        <v/>
      </c>
      <c r="CE183" s="9" t="str">
        <f aca="false">IF(AY183="","",(CC183+CD183)/2)</f>
        <v/>
      </c>
    </row>
    <row r="184" customFormat="false" ht="15" hidden="false" customHeight="false" outlineLevel="0" collapsed="false">
      <c r="A184" s="9"/>
      <c r="B184" s="9"/>
      <c r="C184" s="14"/>
      <c r="D184" s="14"/>
      <c r="E184" s="14" t="n">
        <f aca="false">SUMIFS(CB_Tributaires!$C:$C,CB_Tributaires!$B:$B,$A184)</f>
        <v>0</v>
      </c>
      <c r="F184" s="14" t="n">
        <f aca="false">IF(D184="",E184,D184)</f>
        <v>0</v>
      </c>
      <c r="G184" s="9"/>
      <c r="H184" s="14"/>
      <c r="I184" s="14" t="str">
        <f aca="false">IF(A184="","",Inputs!$B$13/((IF(AS184="",Inputs!$B$18,AS184)+Inputs!$B$14)^Inputs!$B$15))</f>
        <v/>
      </c>
      <c r="J184" s="14" t="str">
        <f aca="false">IF(A184="","",0.000000278*IF(G184="",Inputs!$B$17,G184)*F184*I184)</f>
        <v/>
      </c>
      <c r="K184" s="14" t="str">
        <f aca="false">IF(A184="","",SUMIFS($L$4:$L$203,$B$4:$B$203,$A184))</f>
        <v/>
      </c>
      <c r="L184" s="14" t="str">
        <f aca="false">IF(A184="","",(J184+K184)*Inputs!$B$16)</f>
        <v/>
      </c>
      <c r="M184" s="14"/>
      <c r="N184" s="14" t="str">
        <f aca="false">IF(A184="","",IF(M184="",Inputs!$B$7,M184))</f>
        <v/>
      </c>
      <c r="O184" s="9" t="str">
        <f aca="false">IF(A184="","",IF(L184/Inputs!$B$10&lt;=AD184,Inputs!$F$5,IF(L184/Inputs!$B$10&gt;AM184,"OVERSIZE",INDEX(Inputs!$F$5:$F$14,MATCH(L184/Inputs!$B$10,AD184:AM184,1)+1))))</f>
        <v/>
      </c>
      <c r="P184" s="9"/>
      <c r="Q184" s="9" t="str">
        <f aca="false">IF(A184="","",IF(P184="",O184,P184))</f>
        <v/>
      </c>
      <c r="R184" s="14" t="str">
        <f aca="false">IF(OR(Q184="",Q184="OVERSIZE"),"",Q184/1000)</f>
        <v/>
      </c>
      <c r="S184" s="14" t="str">
        <f aca="false">IF(R184="","",(1/Inputs!$B$9)*(PI()*R184^2/4)*((R184/4)^(2/3))*SQRT(N184))</f>
        <v/>
      </c>
      <c r="T184" s="14" t="str">
        <f aca="false">IF(OR(S184="",L184=""),"",L184/(S184*Inputs!$B$10))</f>
        <v/>
      </c>
      <c r="U184" s="14" t="str">
        <f aca="false">IF(OR(R184="",L184=""),"",4*L184/(PI()*R184^2))</f>
        <v/>
      </c>
      <c r="V184" s="14"/>
      <c r="W184" s="14" t="str">
        <f aca="false">IF(A184="","",IF(A184=Inputs!$B$6,Inputs!$B$22,IF(B184="","",IFERROR(INDEX($X$4:$X$203,MATCH(B184,$A$4:$A$203,0))+IF(V184="",Inputs!$B$20,V184),""))))</f>
        <v/>
      </c>
      <c r="X184" s="14" t="str">
        <f aca="false">IF(OR(W184="",N184="",C184=""),"",W184+N184*C184)</f>
        <v/>
      </c>
      <c r="Y184" s="14"/>
      <c r="Z184" s="14"/>
      <c r="AA184" s="14" t="str">
        <f aca="false">IF(OR(Y184="",W184=""),"",Y184-W184)</f>
        <v/>
      </c>
      <c r="AB184" s="14" t="str">
        <f aca="false">IF(OR(Z184="",X184=""),"",Z184-X184)</f>
        <v/>
      </c>
      <c r="AC184" s="19" t="str">
        <f aca="false">IF(A184="","",IF(OR(T184&gt;1,AND(AV184&lt;&gt;"",AV184&lt;Inputs!$B$11),AND(AV184&lt;&gt;"",AV184&gt;Inputs!$B$12),AA184&lt;Inputs!$B$19,AB184&lt;Inputs!$B$19,N184&lt;Inputs!$B$7,N184&gt;Inputs!$B$8),"CHECK","OK"))</f>
        <v/>
      </c>
      <c r="AD184" s="9" t="str">
        <f aca="false">IF(A184="","",(1/Inputs!$B$9)*(PI()*(Inputs!$F$5/1000)^2/4)*((Inputs!$F$5/1000/4)^(2/3))*SQRT(N184))</f>
        <v/>
      </c>
      <c r="AE184" s="9" t="str">
        <f aca="false">IF(A184="","",(1/Inputs!$B$9)*(PI()*(Inputs!$F$6/1000)^2/4)*((Inputs!$F$6/1000/4)^(2/3))*SQRT(N184))</f>
        <v/>
      </c>
      <c r="AF184" s="9" t="str">
        <f aca="false">IF(A184="","",(1/Inputs!$B$9)*(PI()*(Inputs!$F$7/1000)^2/4)*((Inputs!$F$7/1000/4)^(2/3))*SQRT(N184))</f>
        <v/>
      </c>
      <c r="AG184" s="9" t="str">
        <f aca="false">IF(A184="","",(1/Inputs!$B$9)*(PI()*(Inputs!$F$8/1000)^2/4)*((Inputs!$F$8/1000/4)^(2/3))*SQRT(N184))</f>
        <v/>
      </c>
      <c r="AH184" s="9" t="str">
        <f aca="false">IF(A184="","",(1/Inputs!$B$9)*(PI()*(Inputs!$F$9/1000)^2/4)*((Inputs!$F$9/1000/4)^(2/3))*SQRT(N184))</f>
        <v/>
      </c>
      <c r="AI184" s="9" t="str">
        <f aca="false">IF(A184="","",(1/Inputs!$B$9)*(PI()*(Inputs!$F$10/1000)^2/4)*((Inputs!$F$10/1000/4)^(2/3))*SQRT(N184))</f>
        <v/>
      </c>
      <c r="AJ184" s="9" t="str">
        <f aca="false">IF(A184="","",(1/Inputs!$B$9)*(PI()*(Inputs!$F$11/1000)^2/4)*((Inputs!$F$11/1000/4)^(2/3))*SQRT(N184))</f>
        <v/>
      </c>
      <c r="AK184" s="9" t="str">
        <f aca="false">IF(A184="","",(1/Inputs!$B$9)*(PI()*(Inputs!$F$12/1000)^2/4)*((Inputs!$F$12/1000/4)^(2/3))*SQRT(N184))</f>
        <v/>
      </c>
      <c r="AL184" s="9" t="str">
        <f aca="false">IF(A184="","",(1/Inputs!$B$9)*(PI()*(Inputs!$F$13/1000)^2/4)*((Inputs!$F$13/1000/4)^(2/3))*SQRT(N184))</f>
        <v/>
      </c>
      <c r="AM184" s="9" t="str">
        <f aca="false">IF(A184="","",(1/Inputs!$B$9)*(PI()*(Inputs!$F$14/1000)^2/4)*((Inputs!$F$14/1000/4)^(2/3))*SQRT(N184))</f>
        <v/>
      </c>
      <c r="AN184" s="9" t="str">
        <f aca="false">IF(A184="","",COUNTIF($B$4:$B$203,$A184))</f>
        <v/>
      </c>
      <c r="AO184" s="9" t="str">
        <f aca="false">IF(A184="","",IF(AN184=0,"START","CONTINUOUS"))</f>
        <v/>
      </c>
      <c r="AP184" s="13" t="str">
        <f aca="false">IF(A184="","",IF(H184="",Inputs!$B$18,H184))</f>
        <v/>
      </c>
      <c r="AQ184" s="13" t="str">
        <f aca="false">IF(A184="","",IFERROR(maxifs($AS$4:$AS$203,$B$4:$B$203,$A184),""))</f>
        <v/>
      </c>
      <c r="AR184" s="13" t="str">
        <f aca="false">IF(A184="","",IF(OR(C184="",Inputs!$B$23=""),"",C184/(Inputs!$B$23*60)))</f>
        <v/>
      </c>
      <c r="AS184" s="13" t="str">
        <f aca="false">IF(A184="","",IF(AN184=0,AP184+AR184,IF(AQ184="",AP184+AR184,AQ184+AR184)))</f>
        <v/>
      </c>
      <c r="AT184" s="13" t="str">
        <f aca="false">IF(A184="","",U184)</f>
        <v/>
      </c>
      <c r="AU184" s="13" t="str">
        <f aca="false">IF(OR(R184="",N184=""),"",(1/Inputs!$B$9)*((R184/4)^(2/3))*SQRT(N184))</f>
        <v/>
      </c>
      <c r="AV184" s="13" t="str">
        <f aca="false">IF(A184="","",IF(AND(AT184="",AU184="",AX184=""),"",IF(OR(UPPER(TRIM(Inputs!$B$24))="MANNING",UPPER(TRIM(Inputs!$B$24))="M"),AU184,IF(OR(UPPER(TRIM(Inputs!$B$24))="PARTIAL",UPPER(TRIM(Inputs!$B$24))="P"),AX184,IF(OR(UPPER(TRIM(Inputs!$B$24))="MAX",UPPER(TRIM(Inputs!$B$24))="X"),MAX(IF(AT184="",0,AT184),IF(AU184="",0,AU184),IF(AX184="",0,AX184)),AT184)))))</f>
        <v/>
      </c>
      <c r="AW184" s="13" t="str">
        <f aca="false">IF(AY184="","",CE184)</f>
        <v/>
      </c>
      <c r="AX184" s="13" t="str">
        <f aca="false">IF(OR(AY184="",AW184="",R184="",R184&lt;=0,AW184&lt;=0),"",AY184/((R184^2/8)*(2*ACOS(1-2*AW184/R184)-SIN(2*ACOS(1-2*AW184/R184)))))</f>
        <v/>
      </c>
      <c r="AY184" s="9" t="str">
        <f aca="false">IF(OR(L184="",AZ184=""),"",MIN(L184,AZ184))</f>
        <v/>
      </c>
      <c r="AZ184" s="9" t="str">
        <f aca="false">IF(OR(L184="",R184="",N184=""),"",IF(OR(R184="",N184="",(0.94*R184)="",R184&lt;=0,(0.94*R184)&lt;=0),"",(1/Inputs!$B$9)*((R184^2/8)*((2*ACOS(1-2*(0.94*R184)/R184))-SIN((2*ACOS(1-2*(0.94*R184)/R184)))))*((((R184^2/8)*((2*ACOS(1-2*(0.94*R184)/R184))-SIN((2*ACOS(1-2*(0.94*R184)/R184)))))/((R184/2)*((2*ACOS(1-2*(0.94*R184)/R184)))))^(2/3))*SQRT(N184)))</f>
        <v/>
      </c>
      <c r="BA184" s="9" t="str">
        <f aca="false">IF(AY184="","",0.001*R184)</f>
        <v/>
      </c>
      <c r="BB184" s="9" t="str">
        <f aca="false">IF(AY184="","",0.94*R184)</f>
        <v/>
      </c>
      <c r="BC184" s="9" t="str">
        <f aca="false">IF(AY184="","",(BA184+BB184)/2)</f>
        <v/>
      </c>
      <c r="BD184" s="9" t="str">
        <f aca="false">IF(OR(R184="",N184="",BC184="",R184&lt;=0,BC184&lt;=0),"",(1/Inputs!$B$9)*((R184^2/8)*((2*ACOS(1-2*BC184/R184))-SIN((2*ACOS(1-2*BC184/R184)))))*((((R184^2/8)*((2*ACOS(1-2*BC184/R184))-SIN((2*ACOS(1-2*BC184/R184)))))/((R184/2)*((2*ACOS(1-2*BC184/R184)))))^(2/3))*SQRT(N184))</f>
        <v/>
      </c>
      <c r="BE184" s="9" t="str">
        <f aca="false">IF(AY184="","",IF(BD184&lt;AY184,BC184,BA184))</f>
        <v/>
      </c>
      <c r="BF184" s="9" t="str">
        <f aca="false">IF(AY184="","",IF(BD184&lt;AY184,BB184,BC184))</f>
        <v/>
      </c>
      <c r="BG184" s="9" t="str">
        <f aca="false">IF(AY184="","",(BE184+BF184)/2)</f>
        <v/>
      </c>
      <c r="BH184" s="9" t="str">
        <f aca="false">IF(OR(R184="",N184="",BG184="",R184&lt;=0,BG184&lt;=0),"",(1/Inputs!$B$9)*((R184^2/8)*((2*ACOS(1-2*BG184/R184))-SIN((2*ACOS(1-2*BG184/R184)))))*((((R184^2/8)*((2*ACOS(1-2*BG184/R184))-SIN((2*ACOS(1-2*BG184/R184)))))/((R184/2)*((2*ACOS(1-2*BG184/R184)))))^(2/3))*SQRT(N184))</f>
        <v/>
      </c>
      <c r="BI184" s="9" t="str">
        <f aca="false">IF(AY184="","",IF(BH184&lt;AY184,BG184,BE184))</f>
        <v/>
      </c>
      <c r="BJ184" s="9" t="str">
        <f aca="false">IF(AY184="","",IF(BH184&lt;AY184,BF184,BG184))</f>
        <v/>
      </c>
      <c r="BK184" s="9" t="str">
        <f aca="false">IF(AY184="","",(BI184+BJ184)/2)</f>
        <v/>
      </c>
      <c r="BL184" s="9" t="str">
        <f aca="false">IF(OR(R184="",N184="",BK184="",R184&lt;=0,BK184&lt;=0),"",(1/Inputs!$B$9)*((R184^2/8)*((2*ACOS(1-2*BK184/R184))-SIN((2*ACOS(1-2*BK184/R184)))))*((((R184^2/8)*((2*ACOS(1-2*BK184/R184))-SIN((2*ACOS(1-2*BK184/R184)))))/((R184/2)*((2*ACOS(1-2*BK184/R184)))))^(2/3))*SQRT(N184))</f>
        <v/>
      </c>
      <c r="BM184" s="9" t="str">
        <f aca="false">IF(AY184="","",IF(BL184&lt;AY184,BK184,BI184))</f>
        <v/>
      </c>
      <c r="BN184" s="9" t="str">
        <f aca="false">IF(AY184="","",IF(BL184&lt;AY184,BJ184,BK184))</f>
        <v/>
      </c>
      <c r="BO184" s="9" t="str">
        <f aca="false">IF(AY184="","",(BM184+BN184)/2)</f>
        <v/>
      </c>
      <c r="BP184" s="9" t="str">
        <f aca="false">IF(OR(R184="",N184="",BO184="",R184&lt;=0,BO184&lt;=0),"",(1/Inputs!$B$9)*((R184^2/8)*((2*ACOS(1-2*BO184/R184))-SIN((2*ACOS(1-2*BO184/R184)))))*((((R184^2/8)*((2*ACOS(1-2*BO184/R184))-SIN((2*ACOS(1-2*BO184/R184)))))/((R184/2)*((2*ACOS(1-2*BO184/R184)))))^(2/3))*SQRT(N184))</f>
        <v/>
      </c>
      <c r="BQ184" s="9" t="str">
        <f aca="false">IF(AY184="","",IF(BP184&lt;AY184,BO184,BM184))</f>
        <v/>
      </c>
      <c r="BR184" s="9" t="str">
        <f aca="false">IF(AY184="","",IF(BP184&lt;AY184,BN184,BO184))</f>
        <v/>
      </c>
      <c r="BS184" s="9" t="str">
        <f aca="false">IF(AY184="","",(BQ184+BR184)/2)</f>
        <v/>
      </c>
      <c r="BT184" s="9" t="str">
        <f aca="false">IF(OR(R184="",N184="",BS184="",R184&lt;=0,BS184&lt;=0),"",(1/Inputs!$B$9)*((R184^2/8)*((2*ACOS(1-2*BS184/R184))-SIN((2*ACOS(1-2*BS184/R184)))))*((((R184^2/8)*((2*ACOS(1-2*BS184/R184))-SIN((2*ACOS(1-2*BS184/R184)))))/((R184/2)*((2*ACOS(1-2*BS184/R184)))))^(2/3))*SQRT(N184))</f>
        <v/>
      </c>
      <c r="BU184" s="9" t="str">
        <f aca="false">IF(AY184="","",IF(BT184&lt;AY184,BS184,BQ184))</f>
        <v/>
      </c>
      <c r="BV184" s="9" t="str">
        <f aca="false">IF(AY184="","",IF(BT184&lt;AY184,BR184,BS184))</f>
        <v/>
      </c>
      <c r="BW184" s="9" t="str">
        <f aca="false">IF(AY184="","",(BU184+BV184)/2)</f>
        <v/>
      </c>
      <c r="BX184" s="9" t="str">
        <f aca="false">IF(OR(R184="",N184="",BW184="",R184&lt;=0,BW184&lt;=0),"",(1/Inputs!$B$9)*((R184^2/8)*((2*ACOS(1-2*BW184/R184))-SIN((2*ACOS(1-2*BW184/R184)))))*((((R184^2/8)*((2*ACOS(1-2*BW184/R184))-SIN((2*ACOS(1-2*BW184/R184)))))/((R184/2)*((2*ACOS(1-2*BW184/R184)))))^(2/3))*SQRT(N184))</f>
        <v/>
      </c>
      <c r="BY184" s="9" t="str">
        <f aca="false">IF(AY184="","",IF(BX184&lt;AY184,BW184,BU184))</f>
        <v/>
      </c>
      <c r="BZ184" s="9" t="str">
        <f aca="false">IF(AY184="","",IF(BX184&lt;AY184,BV184,BW184))</f>
        <v/>
      </c>
      <c r="CA184" s="9" t="str">
        <f aca="false">IF(AY184="","",(BY184+BZ184)/2)</f>
        <v/>
      </c>
      <c r="CB184" s="9" t="str">
        <f aca="false">IF(OR(R184="",N184="",CA184="",R184&lt;=0,CA184&lt;=0),"",(1/Inputs!$B$9)*((R184^2/8)*((2*ACOS(1-2*CA184/R184))-SIN((2*ACOS(1-2*CA184/R184)))))*((((R184^2/8)*((2*ACOS(1-2*CA184/R184))-SIN((2*ACOS(1-2*CA184/R184)))))/((R184/2)*((2*ACOS(1-2*CA184/R184)))))^(2/3))*SQRT(N184))</f>
        <v/>
      </c>
      <c r="CC184" s="9" t="str">
        <f aca="false">IF(AY184="","",IF(CB184&lt;AY184,CA184,BY184))</f>
        <v/>
      </c>
      <c r="CD184" s="9" t="str">
        <f aca="false">IF(AY184="","",IF(CB184&lt;AY184,BZ184,CA184))</f>
        <v/>
      </c>
      <c r="CE184" s="9" t="str">
        <f aca="false">IF(AY184="","",(CC184+CD184)/2)</f>
        <v/>
      </c>
    </row>
    <row r="185" customFormat="false" ht="15" hidden="false" customHeight="false" outlineLevel="0" collapsed="false">
      <c r="A185" s="9"/>
      <c r="B185" s="9"/>
      <c r="C185" s="14"/>
      <c r="D185" s="14"/>
      <c r="E185" s="14" t="n">
        <f aca="false">SUMIFS(CB_Tributaires!$C:$C,CB_Tributaires!$B:$B,$A185)</f>
        <v>0</v>
      </c>
      <c r="F185" s="14" t="n">
        <f aca="false">IF(D185="",E185,D185)</f>
        <v>0</v>
      </c>
      <c r="G185" s="9"/>
      <c r="H185" s="14"/>
      <c r="I185" s="14" t="str">
        <f aca="false">IF(A185="","",Inputs!$B$13/((IF(AS185="",Inputs!$B$18,AS185)+Inputs!$B$14)^Inputs!$B$15))</f>
        <v/>
      </c>
      <c r="J185" s="14" t="str">
        <f aca="false">IF(A185="","",0.000000278*IF(G185="",Inputs!$B$17,G185)*F185*I185)</f>
        <v/>
      </c>
      <c r="K185" s="14" t="str">
        <f aca="false">IF(A185="","",SUMIFS($L$4:$L$203,$B$4:$B$203,$A185))</f>
        <v/>
      </c>
      <c r="L185" s="14" t="str">
        <f aca="false">IF(A185="","",(J185+K185)*Inputs!$B$16)</f>
        <v/>
      </c>
      <c r="M185" s="14"/>
      <c r="N185" s="14" t="str">
        <f aca="false">IF(A185="","",IF(M185="",Inputs!$B$7,M185))</f>
        <v/>
      </c>
      <c r="O185" s="9" t="str">
        <f aca="false">IF(A185="","",IF(L185/Inputs!$B$10&lt;=AD185,Inputs!$F$5,IF(L185/Inputs!$B$10&gt;AM185,"OVERSIZE",INDEX(Inputs!$F$5:$F$14,MATCH(L185/Inputs!$B$10,AD185:AM185,1)+1))))</f>
        <v/>
      </c>
      <c r="P185" s="9"/>
      <c r="Q185" s="9" t="str">
        <f aca="false">IF(A185="","",IF(P185="",O185,P185))</f>
        <v/>
      </c>
      <c r="R185" s="14" t="str">
        <f aca="false">IF(OR(Q185="",Q185="OVERSIZE"),"",Q185/1000)</f>
        <v/>
      </c>
      <c r="S185" s="14" t="str">
        <f aca="false">IF(R185="","",(1/Inputs!$B$9)*(PI()*R185^2/4)*((R185/4)^(2/3))*SQRT(N185))</f>
        <v/>
      </c>
      <c r="T185" s="14" t="str">
        <f aca="false">IF(OR(S185="",L185=""),"",L185/(S185*Inputs!$B$10))</f>
        <v/>
      </c>
      <c r="U185" s="14" t="str">
        <f aca="false">IF(OR(R185="",L185=""),"",4*L185/(PI()*R185^2))</f>
        <v/>
      </c>
      <c r="V185" s="14"/>
      <c r="W185" s="14" t="str">
        <f aca="false">IF(A185="","",IF(A185=Inputs!$B$6,Inputs!$B$22,IF(B185="","",IFERROR(INDEX($X$4:$X$203,MATCH(B185,$A$4:$A$203,0))+IF(V185="",Inputs!$B$20,V185),""))))</f>
        <v/>
      </c>
      <c r="X185" s="14" t="str">
        <f aca="false">IF(OR(W185="",N185="",C185=""),"",W185+N185*C185)</f>
        <v/>
      </c>
      <c r="Y185" s="14"/>
      <c r="Z185" s="14"/>
      <c r="AA185" s="14" t="str">
        <f aca="false">IF(OR(Y185="",W185=""),"",Y185-W185)</f>
        <v/>
      </c>
      <c r="AB185" s="14" t="str">
        <f aca="false">IF(OR(Z185="",X185=""),"",Z185-X185)</f>
        <v/>
      </c>
      <c r="AC185" s="19" t="str">
        <f aca="false">IF(A185="","",IF(OR(T185&gt;1,AND(AV185&lt;&gt;"",AV185&lt;Inputs!$B$11),AND(AV185&lt;&gt;"",AV185&gt;Inputs!$B$12),AA185&lt;Inputs!$B$19,AB185&lt;Inputs!$B$19,N185&lt;Inputs!$B$7,N185&gt;Inputs!$B$8),"CHECK","OK"))</f>
        <v/>
      </c>
      <c r="AD185" s="9" t="str">
        <f aca="false">IF(A185="","",(1/Inputs!$B$9)*(PI()*(Inputs!$F$5/1000)^2/4)*((Inputs!$F$5/1000/4)^(2/3))*SQRT(N185))</f>
        <v/>
      </c>
      <c r="AE185" s="9" t="str">
        <f aca="false">IF(A185="","",(1/Inputs!$B$9)*(PI()*(Inputs!$F$6/1000)^2/4)*((Inputs!$F$6/1000/4)^(2/3))*SQRT(N185))</f>
        <v/>
      </c>
      <c r="AF185" s="9" t="str">
        <f aca="false">IF(A185="","",(1/Inputs!$B$9)*(PI()*(Inputs!$F$7/1000)^2/4)*((Inputs!$F$7/1000/4)^(2/3))*SQRT(N185))</f>
        <v/>
      </c>
      <c r="AG185" s="9" t="str">
        <f aca="false">IF(A185="","",(1/Inputs!$B$9)*(PI()*(Inputs!$F$8/1000)^2/4)*((Inputs!$F$8/1000/4)^(2/3))*SQRT(N185))</f>
        <v/>
      </c>
      <c r="AH185" s="9" t="str">
        <f aca="false">IF(A185="","",(1/Inputs!$B$9)*(PI()*(Inputs!$F$9/1000)^2/4)*((Inputs!$F$9/1000/4)^(2/3))*SQRT(N185))</f>
        <v/>
      </c>
      <c r="AI185" s="9" t="str">
        <f aca="false">IF(A185="","",(1/Inputs!$B$9)*(PI()*(Inputs!$F$10/1000)^2/4)*((Inputs!$F$10/1000/4)^(2/3))*SQRT(N185))</f>
        <v/>
      </c>
      <c r="AJ185" s="9" t="str">
        <f aca="false">IF(A185="","",(1/Inputs!$B$9)*(PI()*(Inputs!$F$11/1000)^2/4)*((Inputs!$F$11/1000/4)^(2/3))*SQRT(N185))</f>
        <v/>
      </c>
      <c r="AK185" s="9" t="str">
        <f aca="false">IF(A185="","",(1/Inputs!$B$9)*(PI()*(Inputs!$F$12/1000)^2/4)*((Inputs!$F$12/1000/4)^(2/3))*SQRT(N185))</f>
        <v/>
      </c>
      <c r="AL185" s="9" t="str">
        <f aca="false">IF(A185="","",(1/Inputs!$B$9)*(PI()*(Inputs!$F$13/1000)^2/4)*((Inputs!$F$13/1000/4)^(2/3))*SQRT(N185))</f>
        <v/>
      </c>
      <c r="AM185" s="9" t="str">
        <f aca="false">IF(A185="","",(1/Inputs!$B$9)*(PI()*(Inputs!$F$14/1000)^2/4)*((Inputs!$F$14/1000/4)^(2/3))*SQRT(N185))</f>
        <v/>
      </c>
      <c r="AN185" s="9" t="str">
        <f aca="false">IF(A185="","",COUNTIF($B$4:$B$203,$A185))</f>
        <v/>
      </c>
      <c r="AO185" s="9" t="str">
        <f aca="false">IF(A185="","",IF(AN185=0,"START","CONTINUOUS"))</f>
        <v/>
      </c>
      <c r="AP185" s="13" t="str">
        <f aca="false">IF(A185="","",IF(H185="",Inputs!$B$18,H185))</f>
        <v/>
      </c>
      <c r="AQ185" s="13" t="str">
        <f aca="false">IF(A185="","",IFERROR(maxifs($AS$4:$AS$203,$B$4:$B$203,$A185),""))</f>
        <v/>
      </c>
      <c r="AR185" s="13" t="str">
        <f aca="false">IF(A185="","",IF(OR(C185="",Inputs!$B$23=""),"",C185/(Inputs!$B$23*60)))</f>
        <v/>
      </c>
      <c r="AS185" s="13" t="str">
        <f aca="false">IF(A185="","",IF(AN185=0,AP185+AR185,IF(AQ185="",AP185+AR185,AQ185+AR185)))</f>
        <v/>
      </c>
      <c r="AT185" s="13" t="str">
        <f aca="false">IF(A185="","",U185)</f>
        <v/>
      </c>
      <c r="AU185" s="13" t="str">
        <f aca="false">IF(OR(R185="",N185=""),"",(1/Inputs!$B$9)*((R185/4)^(2/3))*SQRT(N185))</f>
        <v/>
      </c>
      <c r="AV185" s="13" t="str">
        <f aca="false">IF(A185="","",IF(AND(AT185="",AU185="",AX185=""),"",IF(OR(UPPER(TRIM(Inputs!$B$24))="MANNING",UPPER(TRIM(Inputs!$B$24))="M"),AU185,IF(OR(UPPER(TRIM(Inputs!$B$24))="PARTIAL",UPPER(TRIM(Inputs!$B$24))="P"),AX185,IF(OR(UPPER(TRIM(Inputs!$B$24))="MAX",UPPER(TRIM(Inputs!$B$24))="X"),MAX(IF(AT185="",0,AT185),IF(AU185="",0,AU185),IF(AX185="",0,AX185)),AT185)))))</f>
        <v/>
      </c>
      <c r="AW185" s="13" t="str">
        <f aca="false">IF(AY185="","",CE185)</f>
        <v/>
      </c>
      <c r="AX185" s="13" t="str">
        <f aca="false">IF(OR(AY185="",AW185="",R185="",R185&lt;=0,AW185&lt;=0),"",AY185/((R185^2/8)*(2*ACOS(1-2*AW185/R185)-SIN(2*ACOS(1-2*AW185/R185)))))</f>
        <v/>
      </c>
      <c r="AY185" s="9" t="str">
        <f aca="false">IF(OR(L185="",AZ185=""),"",MIN(L185,AZ185))</f>
        <v/>
      </c>
      <c r="AZ185" s="9" t="str">
        <f aca="false">IF(OR(L185="",R185="",N185=""),"",IF(OR(R185="",N185="",(0.94*R185)="",R185&lt;=0,(0.94*R185)&lt;=0),"",(1/Inputs!$B$9)*((R185^2/8)*((2*ACOS(1-2*(0.94*R185)/R185))-SIN((2*ACOS(1-2*(0.94*R185)/R185)))))*((((R185^2/8)*((2*ACOS(1-2*(0.94*R185)/R185))-SIN((2*ACOS(1-2*(0.94*R185)/R185)))))/((R185/2)*((2*ACOS(1-2*(0.94*R185)/R185)))))^(2/3))*SQRT(N185)))</f>
        <v/>
      </c>
      <c r="BA185" s="9" t="str">
        <f aca="false">IF(AY185="","",0.001*R185)</f>
        <v/>
      </c>
      <c r="BB185" s="9" t="str">
        <f aca="false">IF(AY185="","",0.94*R185)</f>
        <v/>
      </c>
      <c r="BC185" s="9" t="str">
        <f aca="false">IF(AY185="","",(BA185+BB185)/2)</f>
        <v/>
      </c>
      <c r="BD185" s="9" t="str">
        <f aca="false">IF(OR(R185="",N185="",BC185="",R185&lt;=0,BC185&lt;=0),"",(1/Inputs!$B$9)*((R185^2/8)*((2*ACOS(1-2*BC185/R185))-SIN((2*ACOS(1-2*BC185/R185)))))*((((R185^2/8)*((2*ACOS(1-2*BC185/R185))-SIN((2*ACOS(1-2*BC185/R185)))))/((R185/2)*((2*ACOS(1-2*BC185/R185)))))^(2/3))*SQRT(N185))</f>
        <v/>
      </c>
      <c r="BE185" s="9" t="str">
        <f aca="false">IF(AY185="","",IF(BD185&lt;AY185,BC185,BA185))</f>
        <v/>
      </c>
      <c r="BF185" s="9" t="str">
        <f aca="false">IF(AY185="","",IF(BD185&lt;AY185,BB185,BC185))</f>
        <v/>
      </c>
      <c r="BG185" s="9" t="str">
        <f aca="false">IF(AY185="","",(BE185+BF185)/2)</f>
        <v/>
      </c>
      <c r="BH185" s="9" t="str">
        <f aca="false">IF(OR(R185="",N185="",BG185="",R185&lt;=0,BG185&lt;=0),"",(1/Inputs!$B$9)*((R185^2/8)*((2*ACOS(1-2*BG185/R185))-SIN((2*ACOS(1-2*BG185/R185)))))*((((R185^2/8)*((2*ACOS(1-2*BG185/R185))-SIN((2*ACOS(1-2*BG185/R185)))))/((R185/2)*((2*ACOS(1-2*BG185/R185)))))^(2/3))*SQRT(N185))</f>
        <v/>
      </c>
      <c r="BI185" s="9" t="str">
        <f aca="false">IF(AY185="","",IF(BH185&lt;AY185,BG185,BE185))</f>
        <v/>
      </c>
      <c r="BJ185" s="9" t="str">
        <f aca="false">IF(AY185="","",IF(BH185&lt;AY185,BF185,BG185))</f>
        <v/>
      </c>
      <c r="BK185" s="9" t="str">
        <f aca="false">IF(AY185="","",(BI185+BJ185)/2)</f>
        <v/>
      </c>
      <c r="BL185" s="9" t="str">
        <f aca="false">IF(OR(R185="",N185="",BK185="",R185&lt;=0,BK185&lt;=0),"",(1/Inputs!$B$9)*((R185^2/8)*((2*ACOS(1-2*BK185/R185))-SIN((2*ACOS(1-2*BK185/R185)))))*((((R185^2/8)*((2*ACOS(1-2*BK185/R185))-SIN((2*ACOS(1-2*BK185/R185)))))/((R185/2)*((2*ACOS(1-2*BK185/R185)))))^(2/3))*SQRT(N185))</f>
        <v/>
      </c>
      <c r="BM185" s="9" t="str">
        <f aca="false">IF(AY185="","",IF(BL185&lt;AY185,BK185,BI185))</f>
        <v/>
      </c>
      <c r="BN185" s="9" t="str">
        <f aca="false">IF(AY185="","",IF(BL185&lt;AY185,BJ185,BK185))</f>
        <v/>
      </c>
      <c r="BO185" s="9" t="str">
        <f aca="false">IF(AY185="","",(BM185+BN185)/2)</f>
        <v/>
      </c>
      <c r="BP185" s="9" t="str">
        <f aca="false">IF(OR(R185="",N185="",BO185="",R185&lt;=0,BO185&lt;=0),"",(1/Inputs!$B$9)*((R185^2/8)*((2*ACOS(1-2*BO185/R185))-SIN((2*ACOS(1-2*BO185/R185)))))*((((R185^2/8)*((2*ACOS(1-2*BO185/R185))-SIN((2*ACOS(1-2*BO185/R185)))))/((R185/2)*((2*ACOS(1-2*BO185/R185)))))^(2/3))*SQRT(N185))</f>
        <v/>
      </c>
      <c r="BQ185" s="9" t="str">
        <f aca="false">IF(AY185="","",IF(BP185&lt;AY185,BO185,BM185))</f>
        <v/>
      </c>
      <c r="BR185" s="9" t="str">
        <f aca="false">IF(AY185="","",IF(BP185&lt;AY185,BN185,BO185))</f>
        <v/>
      </c>
      <c r="BS185" s="9" t="str">
        <f aca="false">IF(AY185="","",(BQ185+BR185)/2)</f>
        <v/>
      </c>
      <c r="BT185" s="9" t="str">
        <f aca="false">IF(OR(R185="",N185="",BS185="",R185&lt;=0,BS185&lt;=0),"",(1/Inputs!$B$9)*((R185^2/8)*((2*ACOS(1-2*BS185/R185))-SIN((2*ACOS(1-2*BS185/R185)))))*((((R185^2/8)*((2*ACOS(1-2*BS185/R185))-SIN((2*ACOS(1-2*BS185/R185)))))/((R185/2)*((2*ACOS(1-2*BS185/R185)))))^(2/3))*SQRT(N185))</f>
        <v/>
      </c>
      <c r="BU185" s="9" t="str">
        <f aca="false">IF(AY185="","",IF(BT185&lt;AY185,BS185,BQ185))</f>
        <v/>
      </c>
      <c r="BV185" s="9" t="str">
        <f aca="false">IF(AY185="","",IF(BT185&lt;AY185,BR185,BS185))</f>
        <v/>
      </c>
      <c r="BW185" s="9" t="str">
        <f aca="false">IF(AY185="","",(BU185+BV185)/2)</f>
        <v/>
      </c>
      <c r="BX185" s="9" t="str">
        <f aca="false">IF(OR(R185="",N185="",BW185="",R185&lt;=0,BW185&lt;=0),"",(1/Inputs!$B$9)*((R185^2/8)*((2*ACOS(1-2*BW185/R185))-SIN((2*ACOS(1-2*BW185/R185)))))*((((R185^2/8)*((2*ACOS(1-2*BW185/R185))-SIN((2*ACOS(1-2*BW185/R185)))))/((R185/2)*((2*ACOS(1-2*BW185/R185)))))^(2/3))*SQRT(N185))</f>
        <v/>
      </c>
      <c r="BY185" s="9" t="str">
        <f aca="false">IF(AY185="","",IF(BX185&lt;AY185,BW185,BU185))</f>
        <v/>
      </c>
      <c r="BZ185" s="9" t="str">
        <f aca="false">IF(AY185="","",IF(BX185&lt;AY185,BV185,BW185))</f>
        <v/>
      </c>
      <c r="CA185" s="9" t="str">
        <f aca="false">IF(AY185="","",(BY185+BZ185)/2)</f>
        <v/>
      </c>
      <c r="CB185" s="9" t="str">
        <f aca="false">IF(OR(R185="",N185="",CA185="",R185&lt;=0,CA185&lt;=0),"",(1/Inputs!$B$9)*((R185^2/8)*((2*ACOS(1-2*CA185/R185))-SIN((2*ACOS(1-2*CA185/R185)))))*((((R185^2/8)*((2*ACOS(1-2*CA185/R185))-SIN((2*ACOS(1-2*CA185/R185)))))/((R185/2)*((2*ACOS(1-2*CA185/R185)))))^(2/3))*SQRT(N185))</f>
        <v/>
      </c>
      <c r="CC185" s="9" t="str">
        <f aca="false">IF(AY185="","",IF(CB185&lt;AY185,CA185,BY185))</f>
        <v/>
      </c>
      <c r="CD185" s="9" t="str">
        <f aca="false">IF(AY185="","",IF(CB185&lt;AY185,BZ185,CA185))</f>
        <v/>
      </c>
      <c r="CE185" s="9" t="str">
        <f aca="false">IF(AY185="","",(CC185+CD185)/2)</f>
        <v/>
      </c>
    </row>
    <row r="186" customFormat="false" ht="15" hidden="false" customHeight="false" outlineLevel="0" collapsed="false">
      <c r="A186" s="9"/>
      <c r="B186" s="9"/>
      <c r="C186" s="14"/>
      <c r="D186" s="14"/>
      <c r="E186" s="14" t="n">
        <f aca="false">SUMIFS(CB_Tributaires!$C:$C,CB_Tributaires!$B:$B,$A186)</f>
        <v>0</v>
      </c>
      <c r="F186" s="14" t="n">
        <f aca="false">IF(D186="",E186,D186)</f>
        <v>0</v>
      </c>
      <c r="G186" s="9"/>
      <c r="H186" s="14"/>
      <c r="I186" s="14" t="str">
        <f aca="false">IF(A186="","",Inputs!$B$13/((IF(AS186="",Inputs!$B$18,AS186)+Inputs!$B$14)^Inputs!$B$15))</f>
        <v/>
      </c>
      <c r="J186" s="14" t="str">
        <f aca="false">IF(A186="","",0.000000278*IF(G186="",Inputs!$B$17,G186)*F186*I186)</f>
        <v/>
      </c>
      <c r="K186" s="14" t="str">
        <f aca="false">IF(A186="","",SUMIFS($L$4:$L$203,$B$4:$B$203,$A186))</f>
        <v/>
      </c>
      <c r="L186" s="14" t="str">
        <f aca="false">IF(A186="","",(J186+K186)*Inputs!$B$16)</f>
        <v/>
      </c>
      <c r="M186" s="14"/>
      <c r="N186" s="14" t="str">
        <f aca="false">IF(A186="","",IF(M186="",Inputs!$B$7,M186))</f>
        <v/>
      </c>
      <c r="O186" s="9" t="str">
        <f aca="false">IF(A186="","",IF(L186/Inputs!$B$10&lt;=AD186,Inputs!$F$5,IF(L186/Inputs!$B$10&gt;AM186,"OVERSIZE",INDEX(Inputs!$F$5:$F$14,MATCH(L186/Inputs!$B$10,AD186:AM186,1)+1))))</f>
        <v/>
      </c>
      <c r="P186" s="9"/>
      <c r="Q186" s="9" t="str">
        <f aca="false">IF(A186="","",IF(P186="",O186,P186))</f>
        <v/>
      </c>
      <c r="R186" s="14" t="str">
        <f aca="false">IF(OR(Q186="",Q186="OVERSIZE"),"",Q186/1000)</f>
        <v/>
      </c>
      <c r="S186" s="14" t="str">
        <f aca="false">IF(R186="","",(1/Inputs!$B$9)*(PI()*R186^2/4)*((R186/4)^(2/3))*SQRT(N186))</f>
        <v/>
      </c>
      <c r="T186" s="14" t="str">
        <f aca="false">IF(OR(S186="",L186=""),"",L186/(S186*Inputs!$B$10))</f>
        <v/>
      </c>
      <c r="U186" s="14" t="str">
        <f aca="false">IF(OR(R186="",L186=""),"",4*L186/(PI()*R186^2))</f>
        <v/>
      </c>
      <c r="V186" s="14"/>
      <c r="W186" s="14" t="str">
        <f aca="false">IF(A186="","",IF(A186=Inputs!$B$6,Inputs!$B$22,IF(B186="","",IFERROR(INDEX($X$4:$X$203,MATCH(B186,$A$4:$A$203,0))+IF(V186="",Inputs!$B$20,V186),""))))</f>
        <v/>
      </c>
      <c r="X186" s="14" t="str">
        <f aca="false">IF(OR(W186="",N186="",C186=""),"",W186+N186*C186)</f>
        <v/>
      </c>
      <c r="Y186" s="14"/>
      <c r="Z186" s="14"/>
      <c r="AA186" s="14" t="str">
        <f aca="false">IF(OR(Y186="",W186=""),"",Y186-W186)</f>
        <v/>
      </c>
      <c r="AB186" s="14" t="str">
        <f aca="false">IF(OR(Z186="",X186=""),"",Z186-X186)</f>
        <v/>
      </c>
      <c r="AC186" s="19" t="str">
        <f aca="false">IF(A186="","",IF(OR(T186&gt;1,AND(AV186&lt;&gt;"",AV186&lt;Inputs!$B$11),AND(AV186&lt;&gt;"",AV186&gt;Inputs!$B$12),AA186&lt;Inputs!$B$19,AB186&lt;Inputs!$B$19,N186&lt;Inputs!$B$7,N186&gt;Inputs!$B$8),"CHECK","OK"))</f>
        <v/>
      </c>
      <c r="AD186" s="9" t="str">
        <f aca="false">IF(A186="","",(1/Inputs!$B$9)*(PI()*(Inputs!$F$5/1000)^2/4)*((Inputs!$F$5/1000/4)^(2/3))*SQRT(N186))</f>
        <v/>
      </c>
      <c r="AE186" s="9" t="str">
        <f aca="false">IF(A186="","",(1/Inputs!$B$9)*(PI()*(Inputs!$F$6/1000)^2/4)*((Inputs!$F$6/1000/4)^(2/3))*SQRT(N186))</f>
        <v/>
      </c>
      <c r="AF186" s="9" t="str">
        <f aca="false">IF(A186="","",(1/Inputs!$B$9)*(PI()*(Inputs!$F$7/1000)^2/4)*((Inputs!$F$7/1000/4)^(2/3))*SQRT(N186))</f>
        <v/>
      </c>
      <c r="AG186" s="9" t="str">
        <f aca="false">IF(A186="","",(1/Inputs!$B$9)*(PI()*(Inputs!$F$8/1000)^2/4)*((Inputs!$F$8/1000/4)^(2/3))*SQRT(N186))</f>
        <v/>
      </c>
      <c r="AH186" s="9" t="str">
        <f aca="false">IF(A186="","",(1/Inputs!$B$9)*(PI()*(Inputs!$F$9/1000)^2/4)*((Inputs!$F$9/1000/4)^(2/3))*SQRT(N186))</f>
        <v/>
      </c>
      <c r="AI186" s="9" t="str">
        <f aca="false">IF(A186="","",(1/Inputs!$B$9)*(PI()*(Inputs!$F$10/1000)^2/4)*((Inputs!$F$10/1000/4)^(2/3))*SQRT(N186))</f>
        <v/>
      </c>
      <c r="AJ186" s="9" t="str">
        <f aca="false">IF(A186="","",(1/Inputs!$B$9)*(PI()*(Inputs!$F$11/1000)^2/4)*((Inputs!$F$11/1000/4)^(2/3))*SQRT(N186))</f>
        <v/>
      </c>
      <c r="AK186" s="9" t="str">
        <f aca="false">IF(A186="","",(1/Inputs!$B$9)*(PI()*(Inputs!$F$12/1000)^2/4)*((Inputs!$F$12/1000/4)^(2/3))*SQRT(N186))</f>
        <v/>
      </c>
      <c r="AL186" s="9" t="str">
        <f aca="false">IF(A186="","",(1/Inputs!$B$9)*(PI()*(Inputs!$F$13/1000)^2/4)*((Inputs!$F$13/1000/4)^(2/3))*SQRT(N186))</f>
        <v/>
      </c>
      <c r="AM186" s="9" t="str">
        <f aca="false">IF(A186="","",(1/Inputs!$B$9)*(PI()*(Inputs!$F$14/1000)^2/4)*((Inputs!$F$14/1000/4)^(2/3))*SQRT(N186))</f>
        <v/>
      </c>
      <c r="AN186" s="9" t="str">
        <f aca="false">IF(A186="","",COUNTIF($B$4:$B$203,$A186))</f>
        <v/>
      </c>
      <c r="AO186" s="9" t="str">
        <f aca="false">IF(A186="","",IF(AN186=0,"START","CONTINUOUS"))</f>
        <v/>
      </c>
      <c r="AP186" s="13" t="str">
        <f aca="false">IF(A186="","",IF(H186="",Inputs!$B$18,H186))</f>
        <v/>
      </c>
      <c r="AQ186" s="13" t="str">
        <f aca="false">IF(A186="","",IFERROR(maxifs($AS$4:$AS$203,$B$4:$B$203,$A186),""))</f>
        <v/>
      </c>
      <c r="AR186" s="13" t="str">
        <f aca="false">IF(A186="","",IF(OR(C186="",Inputs!$B$23=""),"",C186/(Inputs!$B$23*60)))</f>
        <v/>
      </c>
      <c r="AS186" s="13" t="str">
        <f aca="false">IF(A186="","",IF(AN186=0,AP186+AR186,IF(AQ186="",AP186+AR186,AQ186+AR186)))</f>
        <v/>
      </c>
      <c r="AT186" s="13" t="str">
        <f aca="false">IF(A186="","",U186)</f>
        <v/>
      </c>
      <c r="AU186" s="13" t="str">
        <f aca="false">IF(OR(R186="",N186=""),"",(1/Inputs!$B$9)*((R186/4)^(2/3))*SQRT(N186))</f>
        <v/>
      </c>
      <c r="AV186" s="13" t="str">
        <f aca="false">IF(A186="","",IF(AND(AT186="",AU186="",AX186=""),"",IF(OR(UPPER(TRIM(Inputs!$B$24))="MANNING",UPPER(TRIM(Inputs!$B$24))="M"),AU186,IF(OR(UPPER(TRIM(Inputs!$B$24))="PARTIAL",UPPER(TRIM(Inputs!$B$24))="P"),AX186,IF(OR(UPPER(TRIM(Inputs!$B$24))="MAX",UPPER(TRIM(Inputs!$B$24))="X"),MAX(IF(AT186="",0,AT186),IF(AU186="",0,AU186),IF(AX186="",0,AX186)),AT186)))))</f>
        <v/>
      </c>
      <c r="AW186" s="13" t="str">
        <f aca="false">IF(AY186="","",CE186)</f>
        <v/>
      </c>
      <c r="AX186" s="13" t="str">
        <f aca="false">IF(OR(AY186="",AW186="",R186="",R186&lt;=0,AW186&lt;=0),"",AY186/((R186^2/8)*(2*ACOS(1-2*AW186/R186)-SIN(2*ACOS(1-2*AW186/R186)))))</f>
        <v/>
      </c>
      <c r="AY186" s="9" t="str">
        <f aca="false">IF(OR(L186="",AZ186=""),"",MIN(L186,AZ186))</f>
        <v/>
      </c>
      <c r="AZ186" s="9" t="str">
        <f aca="false">IF(OR(L186="",R186="",N186=""),"",IF(OR(R186="",N186="",(0.94*R186)="",R186&lt;=0,(0.94*R186)&lt;=0),"",(1/Inputs!$B$9)*((R186^2/8)*((2*ACOS(1-2*(0.94*R186)/R186))-SIN((2*ACOS(1-2*(0.94*R186)/R186)))))*((((R186^2/8)*((2*ACOS(1-2*(0.94*R186)/R186))-SIN((2*ACOS(1-2*(0.94*R186)/R186)))))/((R186/2)*((2*ACOS(1-2*(0.94*R186)/R186)))))^(2/3))*SQRT(N186)))</f>
        <v/>
      </c>
      <c r="BA186" s="9" t="str">
        <f aca="false">IF(AY186="","",0.001*R186)</f>
        <v/>
      </c>
      <c r="BB186" s="9" t="str">
        <f aca="false">IF(AY186="","",0.94*R186)</f>
        <v/>
      </c>
      <c r="BC186" s="9" t="str">
        <f aca="false">IF(AY186="","",(BA186+BB186)/2)</f>
        <v/>
      </c>
      <c r="BD186" s="9" t="str">
        <f aca="false">IF(OR(R186="",N186="",BC186="",R186&lt;=0,BC186&lt;=0),"",(1/Inputs!$B$9)*((R186^2/8)*((2*ACOS(1-2*BC186/R186))-SIN((2*ACOS(1-2*BC186/R186)))))*((((R186^2/8)*((2*ACOS(1-2*BC186/R186))-SIN((2*ACOS(1-2*BC186/R186)))))/((R186/2)*((2*ACOS(1-2*BC186/R186)))))^(2/3))*SQRT(N186))</f>
        <v/>
      </c>
      <c r="BE186" s="9" t="str">
        <f aca="false">IF(AY186="","",IF(BD186&lt;AY186,BC186,BA186))</f>
        <v/>
      </c>
      <c r="BF186" s="9" t="str">
        <f aca="false">IF(AY186="","",IF(BD186&lt;AY186,BB186,BC186))</f>
        <v/>
      </c>
      <c r="BG186" s="9" t="str">
        <f aca="false">IF(AY186="","",(BE186+BF186)/2)</f>
        <v/>
      </c>
      <c r="BH186" s="9" t="str">
        <f aca="false">IF(OR(R186="",N186="",BG186="",R186&lt;=0,BG186&lt;=0),"",(1/Inputs!$B$9)*((R186^2/8)*((2*ACOS(1-2*BG186/R186))-SIN((2*ACOS(1-2*BG186/R186)))))*((((R186^2/8)*((2*ACOS(1-2*BG186/R186))-SIN((2*ACOS(1-2*BG186/R186)))))/((R186/2)*((2*ACOS(1-2*BG186/R186)))))^(2/3))*SQRT(N186))</f>
        <v/>
      </c>
      <c r="BI186" s="9" t="str">
        <f aca="false">IF(AY186="","",IF(BH186&lt;AY186,BG186,BE186))</f>
        <v/>
      </c>
      <c r="BJ186" s="9" t="str">
        <f aca="false">IF(AY186="","",IF(BH186&lt;AY186,BF186,BG186))</f>
        <v/>
      </c>
      <c r="BK186" s="9" t="str">
        <f aca="false">IF(AY186="","",(BI186+BJ186)/2)</f>
        <v/>
      </c>
      <c r="BL186" s="9" t="str">
        <f aca="false">IF(OR(R186="",N186="",BK186="",R186&lt;=0,BK186&lt;=0),"",(1/Inputs!$B$9)*((R186^2/8)*((2*ACOS(1-2*BK186/R186))-SIN((2*ACOS(1-2*BK186/R186)))))*((((R186^2/8)*((2*ACOS(1-2*BK186/R186))-SIN((2*ACOS(1-2*BK186/R186)))))/((R186/2)*((2*ACOS(1-2*BK186/R186)))))^(2/3))*SQRT(N186))</f>
        <v/>
      </c>
      <c r="BM186" s="9" t="str">
        <f aca="false">IF(AY186="","",IF(BL186&lt;AY186,BK186,BI186))</f>
        <v/>
      </c>
      <c r="BN186" s="9" t="str">
        <f aca="false">IF(AY186="","",IF(BL186&lt;AY186,BJ186,BK186))</f>
        <v/>
      </c>
      <c r="BO186" s="9" t="str">
        <f aca="false">IF(AY186="","",(BM186+BN186)/2)</f>
        <v/>
      </c>
      <c r="BP186" s="9" t="str">
        <f aca="false">IF(OR(R186="",N186="",BO186="",R186&lt;=0,BO186&lt;=0),"",(1/Inputs!$B$9)*((R186^2/8)*((2*ACOS(1-2*BO186/R186))-SIN((2*ACOS(1-2*BO186/R186)))))*((((R186^2/8)*((2*ACOS(1-2*BO186/R186))-SIN((2*ACOS(1-2*BO186/R186)))))/((R186/2)*((2*ACOS(1-2*BO186/R186)))))^(2/3))*SQRT(N186))</f>
        <v/>
      </c>
      <c r="BQ186" s="9" t="str">
        <f aca="false">IF(AY186="","",IF(BP186&lt;AY186,BO186,BM186))</f>
        <v/>
      </c>
      <c r="BR186" s="9" t="str">
        <f aca="false">IF(AY186="","",IF(BP186&lt;AY186,BN186,BO186))</f>
        <v/>
      </c>
      <c r="BS186" s="9" t="str">
        <f aca="false">IF(AY186="","",(BQ186+BR186)/2)</f>
        <v/>
      </c>
      <c r="BT186" s="9" t="str">
        <f aca="false">IF(OR(R186="",N186="",BS186="",R186&lt;=0,BS186&lt;=0),"",(1/Inputs!$B$9)*((R186^2/8)*((2*ACOS(1-2*BS186/R186))-SIN((2*ACOS(1-2*BS186/R186)))))*((((R186^2/8)*((2*ACOS(1-2*BS186/R186))-SIN((2*ACOS(1-2*BS186/R186)))))/((R186/2)*((2*ACOS(1-2*BS186/R186)))))^(2/3))*SQRT(N186))</f>
        <v/>
      </c>
      <c r="BU186" s="9" t="str">
        <f aca="false">IF(AY186="","",IF(BT186&lt;AY186,BS186,BQ186))</f>
        <v/>
      </c>
      <c r="BV186" s="9" t="str">
        <f aca="false">IF(AY186="","",IF(BT186&lt;AY186,BR186,BS186))</f>
        <v/>
      </c>
      <c r="BW186" s="9" t="str">
        <f aca="false">IF(AY186="","",(BU186+BV186)/2)</f>
        <v/>
      </c>
      <c r="BX186" s="9" t="str">
        <f aca="false">IF(OR(R186="",N186="",BW186="",R186&lt;=0,BW186&lt;=0),"",(1/Inputs!$B$9)*((R186^2/8)*((2*ACOS(1-2*BW186/R186))-SIN((2*ACOS(1-2*BW186/R186)))))*((((R186^2/8)*((2*ACOS(1-2*BW186/R186))-SIN((2*ACOS(1-2*BW186/R186)))))/((R186/2)*((2*ACOS(1-2*BW186/R186)))))^(2/3))*SQRT(N186))</f>
        <v/>
      </c>
      <c r="BY186" s="9" t="str">
        <f aca="false">IF(AY186="","",IF(BX186&lt;AY186,BW186,BU186))</f>
        <v/>
      </c>
      <c r="BZ186" s="9" t="str">
        <f aca="false">IF(AY186="","",IF(BX186&lt;AY186,BV186,BW186))</f>
        <v/>
      </c>
      <c r="CA186" s="9" t="str">
        <f aca="false">IF(AY186="","",(BY186+BZ186)/2)</f>
        <v/>
      </c>
      <c r="CB186" s="9" t="str">
        <f aca="false">IF(OR(R186="",N186="",CA186="",R186&lt;=0,CA186&lt;=0),"",(1/Inputs!$B$9)*((R186^2/8)*((2*ACOS(1-2*CA186/R186))-SIN((2*ACOS(1-2*CA186/R186)))))*((((R186^2/8)*((2*ACOS(1-2*CA186/R186))-SIN((2*ACOS(1-2*CA186/R186)))))/((R186/2)*((2*ACOS(1-2*CA186/R186)))))^(2/3))*SQRT(N186))</f>
        <v/>
      </c>
      <c r="CC186" s="9" t="str">
        <f aca="false">IF(AY186="","",IF(CB186&lt;AY186,CA186,BY186))</f>
        <v/>
      </c>
      <c r="CD186" s="9" t="str">
        <f aca="false">IF(AY186="","",IF(CB186&lt;AY186,BZ186,CA186))</f>
        <v/>
      </c>
      <c r="CE186" s="9" t="str">
        <f aca="false">IF(AY186="","",(CC186+CD186)/2)</f>
        <v/>
      </c>
    </row>
    <row r="187" customFormat="false" ht="15" hidden="false" customHeight="false" outlineLevel="0" collapsed="false">
      <c r="A187" s="9"/>
      <c r="B187" s="9"/>
      <c r="C187" s="14"/>
      <c r="D187" s="14"/>
      <c r="E187" s="14" t="n">
        <f aca="false">SUMIFS(CB_Tributaires!$C:$C,CB_Tributaires!$B:$B,$A187)</f>
        <v>0</v>
      </c>
      <c r="F187" s="14" t="n">
        <f aca="false">IF(D187="",E187,D187)</f>
        <v>0</v>
      </c>
      <c r="G187" s="9"/>
      <c r="H187" s="14"/>
      <c r="I187" s="14" t="str">
        <f aca="false">IF(A187="","",Inputs!$B$13/((IF(AS187="",Inputs!$B$18,AS187)+Inputs!$B$14)^Inputs!$B$15))</f>
        <v/>
      </c>
      <c r="J187" s="14" t="str">
        <f aca="false">IF(A187="","",0.000000278*IF(G187="",Inputs!$B$17,G187)*F187*I187)</f>
        <v/>
      </c>
      <c r="K187" s="14" t="str">
        <f aca="false">IF(A187="","",SUMIFS($L$4:$L$203,$B$4:$B$203,$A187))</f>
        <v/>
      </c>
      <c r="L187" s="14" t="str">
        <f aca="false">IF(A187="","",(J187+K187)*Inputs!$B$16)</f>
        <v/>
      </c>
      <c r="M187" s="14"/>
      <c r="N187" s="14" t="str">
        <f aca="false">IF(A187="","",IF(M187="",Inputs!$B$7,M187))</f>
        <v/>
      </c>
      <c r="O187" s="9" t="str">
        <f aca="false">IF(A187="","",IF(L187/Inputs!$B$10&lt;=AD187,Inputs!$F$5,IF(L187/Inputs!$B$10&gt;AM187,"OVERSIZE",INDEX(Inputs!$F$5:$F$14,MATCH(L187/Inputs!$B$10,AD187:AM187,1)+1))))</f>
        <v/>
      </c>
      <c r="P187" s="9"/>
      <c r="Q187" s="9" t="str">
        <f aca="false">IF(A187="","",IF(P187="",O187,P187))</f>
        <v/>
      </c>
      <c r="R187" s="14" t="str">
        <f aca="false">IF(OR(Q187="",Q187="OVERSIZE"),"",Q187/1000)</f>
        <v/>
      </c>
      <c r="S187" s="14" t="str">
        <f aca="false">IF(R187="","",(1/Inputs!$B$9)*(PI()*R187^2/4)*((R187/4)^(2/3))*SQRT(N187))</f>
        <v/>
      </c>
      <c r="T187" s="14" t="str">
        <f aca="false">IF(OR(S187="",L187=""),"",L187/(S187*Inputs!$B$10))</f>
        <v/>
      </c>
      <c r="U187" s="14" t="str">
        <f aca="false">IF(OR(R187="",L187=""),"",4*L187/(PI()*R187^2))</f>
        <v/>
      </c>
      <c r="V187" s="14"/>
      <c r="W187" s="14" t="str">
        <f aca="false">IF(A187="","",IF(A187=Inputs!$B$6,Inputs!$B$22,IF(B187="","",IFERROR(INDEX($X$4:$X$203,MATCH(B187,$A$4:$A$203,0))+IF(V187="",Inputs!$B$20,V187),""))))</f>
        <v/>
      </c>
      <c r="X187" s="14" t="str">
        <f aca="false">IF(OR(W187="",N187="",C187=""),"",W187+N187*C187)</f>
        <v/>
      </c>
      <c r="Y187" s="14"/>
      <c r="Z187" s="14"/>
      <c r="AA187" s="14" t="str">
        <f aca="false">IF(OR(Y187="",W187=""),"",Y187-W187)</f>
        <v/>
      </c>
      <c r="AB187" s="14" t="str">
        <f aca="false">IF(OR(Z187="",X187=""),"",Z187-X187)</f>
        <v/>
      </c>
      <c r="AC187" s="19" t="str">
        <f aca="false">IF(A187="","",IF(OR(T187&gt;1,AND(AV187&lt;&gt;"",AV187&lt;Inputs!$B$11),AND(AV187&lt;&gt;"",AV187&gt;Inputs!$B$12),AA187&lt;Inputs!$B$19,AB187&lt;Inputs!$B$19,N187&lt;Inputs!$B$7,N187&gt;Inputs!$B$8),"CHECK","OK"))</f>
        <v/>
      </c>
      <c r="AD187" s="9" t="str">
        <f aca="false">IF(A187="","",(1/Inputs!$B$9)*(PI()*(Inputs!$F$5/1000)^2/4)*((Inputs!$F$5/1000/4)^(2/3))*SQRT(N187))</f>
        <v/>
      </c>
      <c r="AE187" s="9" t="str">
        <f aca="false">IF(A187="","",(1/Inputs!$B$9)*(PI()*(Inputs!$F$6/1000)^2/4)*((Inputs!$F$6/1000/4)^(2/3))*SQRT(N187))</f>
        <v/>
      </c>
      <c r="AF187" s="9" t="str">
        <f aca="false">IF(A187="","",(1/Inputs!$B$9)*(PI()*(Inputs!$F$7/1000)^2/4)*((Inputs!$F$7/1000/4)^(2/3))*SQRT(N187))</f>
        <v/>
      </c>
      <c r="AG187" s="9" t="str">
        <f aca="false">IF(A187="","",(1/Inputs!$B$9)*(PI()*(Inputs!$F$8/1000)^2/4)*((Inputs!$F$8/1000/4)^(2/3))*SQRT(N187))</f>
        <v/>
      </c>
      <c r="AH187" s="9" t="str">
        <f aca="false">IF(A187="","",(1/Inputs!$B$9)*(PI()*(Inputs!$F$9/1000)^2/4)*((Inputs!$F$9/1000/4)^(2/3))*SQRT(N187))</f>
        <v/>
      </c>
      <c r="AI187" s="9" t="str">
        <f aca="false">IF(A187="","",(1/Inputs!$B$9)*(PI()*(Inputs!$F$10/1000)^2/4)*((Inputs!$F$10/1000/4)^(2/3))*SQRT(N187))</f>
        <v/>
      </c>
      <c r="AJ187" s="9" t="str">
        <f aca="false">IF(A187="","",(1/Inputs!$B$9)*(PI()*(Inputs!$F$11/1000)^2/4)*((Inputs!$F$11/1000/4)^(2/3))*SQRT(N187))</f>
        <v/>
      </c>
      <c r="AK187" s="9" t="str">
        <f aca="false">IF(A187="","",(1/Inputs!$B$9)*(PI()*(Inputs!$F$12/1000)^2/4)*((Inputs!$F$12/1000/4)^(2/3))*SQRT(N187))</f>
        <v/>
      </c>
      <c r="AL187" s="9" t="str">
        <f aca="false">IF(A187="","",(1/Inputs!$B$9)*(PI()*(Inputs!$F$13/1000)^2/4)*((Inputs!$F$13/1000/4)^(2/3))*SQRT(N187))</f>
        <v/>
      </c>
      <c r="AM187" s="9" t="str">
        <f aca="false">IF(A187="","",(1/Inputs!$B$9)*(PI()*(Inputs!$F$14/1000)^2/4)*((Inputs!$F$14/1000/4)^(2/3))*SQRT(N187))</f>
        <v/>
      </c>
      <c r="AN187" s="9" t="str">
        <f aca="false">IF(A187="","",COUNTIF($B$4:$B$203,$A187))</f>
        <v/>
      </c>
      <c r="AO187" s="9" t="str">
        <f aca="false">IF(A187="","",IF(AN187=0,"START","CONTINUOUS"))</f>
        <v/>
      </c>
      <c r="AP187" s="13" t="str">
        <f aca="false">IF(A187="","",IF(H187="",Inputs!$B$18,H187))</f>
        <v/>
      </c>
      <c r="AQ187" s="13" t="str">
        <f aca="false">IF(A187="","",IFERROR(maxifs($AS$4:$AS$203,$B$4:$B$203,$A187),""))</f>
        <v/>
      </c>
      <c r="AR187" s="13" t="str">
        <f aca="false">IF(A187="","",IF(OR(C187="",Inputs!$B$23=""),"",C187/(Inputs!$B$23*60)))</f>
        <v/>
      </c>
      <c r="AS187" s="13" t="str">
        <f aca="false">IF(A187="","",IF(AN187=0,AP187+AR187,IF(AQ187="",AP187+AR187,AQ187+AR187)))</f>
        <v/>
      </c>
      <c r="AT187" s="13" t="str">
        <f aca="false">IF(A187="","",U187)</f>
        <v/>
      </c>
      <c r="AU187" s="13" t="str">
        <f aca="false">IF(OR(R187="",N187=""),"",(1/Inputs!$B$9)*((R187/4)^(2/3))*SQRT(N187))</f>
        <v/>
      </c>
      <c r="AV187" s="13" t="str">
        <f aca="false">IF(A187="","",IF(AND(AT187="",AU187="",AX187=""),"",IF(OR(UPPER(TRIM(Inputs!$B$24))="MANNING",UPPER(TRIM(Inputs!$B$24))="M"),AU187,IF(OR(UPPER(TRIM(Inputs!$B$24))="PARTIAL",UPPER(TRIM(Inputs!$B$24))="P"),AX187,IF(OR(UPPER(TRIM(Inputs!$B$24))="MAX",UPPER(TRIM(Inputs!$B$24))="X"),MAX(IF(AT187="",0,AT187),IF(AU187="",0,AU187),IF(AX187="",0,AX187)),AT187)))))</f>
        <v/>
      </c>
      <c r="AW187" s="13" t="str">
        <f aca="false">IF(AY187="","",CE187)</f>
        <v/>
      </c>
      <c r="AX187" s="13" t="str">
        <f aca="false">IF(OR(AY187="",AW187="",R187="",R187&lt;=0,AW187&lt;=0),"",AY187/((R187^2/8)*(2*ACOS(1-2*AW187/R187)-SIN(2*ACOS(1-2*AW187/R187)))))</f>
        <v/>
      </c>
      <c r="AY187" s="9" t="str">
        <f aca="false">IF(OR(L187="",AZ187=""),"",MIN(L187,AZ187))</f>
        <v/>
      </c>
      <c r="AZ187" s="9" t="str">
        <f aca="false">IF(OR(L187="",R187="",N187=""),"",IF(OR(R187="",N187="",(0.94*R187)="",R187&lt;=0,(0.94*R187)&lt;=0),"",(1/Inputs!$B$9)*((R187^2/8)*((2*ACOS(1-2*(0.94*R187)/R187))-SIN((2*ACOS(1-2*(0.94*R187)/R187)))))*((((R187^2/8)*((2*ACOS(1-2*(0.94*R187)/R187))-SIN((2*ACOS(1-2*(0.94*R187)/R187)))))/((R187/2)*((2*ACOS(1-2*(0.94*R187)/R187)))))^(2/3))*SQRT(N187)))</f>
        <v/>
      </c>
      <c r="BA187" s="9" t="str">
        <f aca="false">IF(AY187="","",0.001*R187)</f>
        <v/>
      </c>
      <c r="BB187" s="9" t="str">
        <f aca="false">IF(AY187="","",0.94*R187)</f>
        <v/>
      </c>
      <c r="BC187" s="9" t="str">
        <f aca="false">IF(AY187="","",(BA187+BB187)/2)</f>
        <v/>
      </c>
      <c r="BD187" s="9" t="str">
        <f aca="false">IF(OR(R187="",N187="",BC187="",R187&lt;=0,BC187&lt;=0),"",(1/Inputs!$B$9)*((R187^2/8)*((2*ACOS(1-2*BC187/R187))-SIN((2*ACOS(1-2*BC187/R187)))))*((((R187^2/8)*((2*ACOS(1-2*BC187/R187))-SIN((2*ACOS(1-2*BC187/R187)))))/((R187/2)*((2*ACOS(1-2*BC187/R187)))))^(2/3))*SQRT(N187))</f>
        <v/>
      </c>
      <c r="BE187" s="9" t="str">
        <f aca="false">IF(AY187="","",IF(BD187&lt;AY187,BC187,BA187))</f>
        <v/>
      </c>
      <c r="BF187" s="9" t="str">
        <f aca="false">IF(AY187="","",IF(BD187&lt;AY187,BB187,BC187))</f>
        <v/>
      </c>
      <c r="BG187" s="9" t="str">
        <f aca="false">IF(AY187="","",(BE187+BF187)/2)</f>
        <v/>
      </c>
      <c r="BH187" s="9" t="str">
        <f aca="false">IF(OR(R187="",N187="",BG187="",R187&lt;=0,BG187&lt;=0),"",(1/Inputs!$B$9)*((R187^2/8)*((2*ACOS(1-2*BG187/R187))-SIN((2*ACOS(1-2*BG187/R187)))))*((((R187^2/8)*((2*ACOS(1-2*BG187/R187))-SIN((2*ACOS(1-2*BG187/R187)))))/((R187/2)*((2*ACOS(1-2*BG187/R187)))))^(2/3))*SQRT(N187))</f>
        <v/>
      </c>
      <c r="BI187" s="9" t="str">
        <f aca="false">IF(AY187="","",IF(BH187&lt;AY187,BG187,BE187))</f>
        <v/>
      </c>
      <c r="BJ187" s="9" t="str">
        <f aca="false">IF(AY187="","",IF(BH187&lt;AY187,BF187,BG187))</f>
        <v/>
      </c>
      <c r="BK187" s="9" t="str">
        <f aca="false">IF(AY187="","",(BI187+BJ187)/2)</f>
        <v/>
      </c>
      <c r="BL187" s="9" t="str">
        <f aca="false">IF(OR(R187="",N187="",BK187="",R187&lt;=0,BK187&lt;=0),"",(1/Inputs!$B$9)*((R187^2/8)*((2*ACOS(1-2*BK187/R187))-SIN((2*ACOS(1-2*BK187/R187)))))*((((R187^2/8)*((2*ACOS(1-2*BK187/R187))-SIN((2*ACOS(1-2*BK187/R187)))))/((R187/2)*((2*ACOS(1-2*BK187/R187)))))^(2/3))*SQRT(N187))</f>
        <v/>
      </c>
      <c r="BM187" s="9" t="str">
        <f aca="false">IF(AY187="","",IF(BL187&lt;AY187,BK187,BI187))</f>
        <v/>
      </c>
      <c r="BN187" s="9" t="str">
        <f aca="false">IF(AY187="","",IF(BL187&lt;AY187,BJ187,BK187))</f>
        <v/>
      </c>
      <c r="BO187" s="9" t="str">
        <f aca="false">IF(AY187="","",(BM187+BN187)/2)</f>
        <v/>
      </c>
      <c r="BP187" s="9" t="str">
        <f aca="false">IF(OR(R187="",N187="",BO187="",R187&lt;=0,BO187&lt;=0),"",(1/Inputs!$B$9)*((R187^2/8)*((2*ACOS(1-2*BO187/R187))-SIN((2*ACOS(1-2*BO187/R187)))))*((((R187^2/8)*((2*ACOS(1-2*BO187/R187))-SIN((2*ACOS(1-2*BO187/R187)))))/((R187/2)*((2*ACOS(1-2*BO187/R187)))))^(2/3))*SQRT(N187))</f>
        <v/>
      </c>
      <c r="BQ187" s="9" t="str">
        <f aca="false">IF(AY187="","",IF(BP187&lt;AY187,BO187,BM187))</f>
        <v/>
      </c>
      <c r="BR187" s="9" t="str">
        <f aca="false">IF(AY187="","",IF(BP187&lt;AY187,BN187,BO187))</f>
        <v/>
      </c>
      <c r="BS187" s="9" t="str">
        <f aca="false">IF(AY187="","",(BQ187+BR187)/2)</f>
        <v/>
      </c>
      <c r="BT187" s="9" t="str">
        <f aca="false">IF(OR(R187="",N187="",BS187="",R187&lt;=0,BS187&lt;=0),"",(1/Inputs!$B$9)*((R187^2/8)*((2*ACOS(1-2*BS187/R187))-SIN((2*ACOS(1-2*BS187/R187)))))*((((R187^2/8)*((2*ACOS(1-2*BS187/R187))-SIN((2*ACOS(1-2*BS187/R187)))))/((R187/2)*((2*ACOS(1-2*BS187/R187)))))^(2/3))*SQRT(N187))</f>
        <v/>
      </c>
      <c r="BU187" s="9" t="str">
        <f aca="false">IF(AY187="","",IF(BT187&lt;AY187,BS187,BQ187))</f>
        <v/>
      </c>
      <c r="BV187" s="9" t="str">
        <f aca="false">IF(AY187="","",IF(BT187&lt;AY187,BR187,BS187))</f>
        <v/>
      </c>
      <c r="BW187" s="9" t="str">
        <f aca="false">IF(AY187="","",(BU187+BV187)/2)</f>
        <v/>
      </c>
      <c r="BX187" s="9" t="str">
        <f aca="false">IF(OR(R187="",N187="",BW187="",R187&lt;=0,BW187&lt;=0),"",(1/Inputs!$B$9)*((R187^2/8)*((2*ACOS(1-2*BW187/R187))-SIN((2*ACOS(1-2*BW187/R187)))))*((((R187^2/8)*((2*ACOS(1-2*BW187/R187))-SIN((2*ACOS(1-2*BW187/R187)))))/((R187/2)*((2*ACOS(1-2*BW187/R187)))))^(2/3))*SQRT(N187))</f>
        <v/>
      </c>
      <c r="BY187" s="9" t="str">
        <f aca="false">IF(AY187="","",IF(BX187&lt;AY187,BW187,BU187))</f>
        <v/>
      </c>
      <c r="BZ187" s="9" t="str">
        <f aca="false">IF(AY187="","",IF(BX187&lt;AY187,BV187,BW187))</f>
        <v/>
      </c>
      <c r="CA187" s="9" t="str">
        <f aca="false">IF(AY187="","",(BY187+BZ187)/2)</f>
        <v/>
      </c>
      <c r="CB187" s="9" t="str">
        <f aca="false">IF(OR(R187="",N187="",CA187="",R187&lt;=0,CA187&lt;=0),"",(1/Inputs!$B$9)*((R187^2/8)*((2*ACOS(1-2*CA187/R187))-SIN((2*ACOS(1-2*CA187/R187)))))*((((R187^2/8)*((2*ACOS(1-2*CA187/R187))-SIN((2*ACOS(1-2*CA187/R187)))))/((R187/2)*((2*ACOS(1-2*CA187/R187)))))^(2/3))*SQRT(N187))</f>
        <v/>
      </c>
      <c r="CC187" s="9" t="str">
        <f aca="false">IF(AY187="","",IF(CB187&lt;AY187,CA187,BY187))</f>
        <v/>
      </c>
      <c r="CD187" s="9" t="str">
        <f aca="false">IF(AY187="","",IF(CB187&lt;AY187,BZ187,CA187))</f>
        <v/>
      </c>
      <c r="CE187" s="9" t="str">
        <f aca="false">IF(AY187="","",(CC187+CD187)/2)</f>
        <v/>
      </c>
    </row>
    <row r="188" customFormat="false" ht="15" hidden="false" customHeight="false" outlineLevel="0" collapsed="false">
      <c r="A188" s="9"/>
      <c r="B188" s="9"/>
      <c r="C188" s="14"/>
      <c r="D188" s="14"/>
      <c r="E188" s="14" t="n">
        <f aca="false">SUMIFS(CB_Tributaires!$C:$C,CB_Tributaires!$B:$B,$A188)</f>
        <v>0</v>
      </c>
      <c r="F188" s="14" t="n">
        <f aca="false">IF(D188="",E188,D188)</f>
        <v>0</v>
      </c>
      <c r="G188" s="9"/>
      <c r="H188" s="14"/>
      <c r="I188" s="14" t="str">
        <f aca="false">IF(A188="","",Inputs!$B$13/((IF(AS188="",Inputs!$B$18,AS188)+Inputs!$B$14)^Inputs!$B$15))</f>
        <v/>
      </c>
      <c r="J188" s="14" t="str">
        <f aca="false">IF(A188="","",0.000000278*IF(G188="",Inputs!$B$17,G188)*F188*I188)</f>
        <v/>
      </c>
      <c r="K188" s="14" t="str">
        <f aca="false">IF(A188="","",SUMIFS($L$4:$L$203,$B$4:$B$203,$A188))</f>
        <v/>
      </c>
      <c r="L188" s="14" t="str">
        <f aca="false">IF(A188="","",(J188+K188)*Inputs!$B$16)</f>
        <v/>
      </c>
      <c r="M188" s="14"/>
      <c r="N188" s="14" t="str">
        <f aca="false">IF(A188="","",IF(M188="",Inputs!$B$7,M188))</f>
        <v/>
      </c>
      <c r="O188" s="9" t="str">
        <f aca="false">IF(A188="","",IF(L188/Inputs!$B$10&lt;=AD188,Inputs!$F$5,IF(L188/Inputs!$B$10&gt;AM188,"OVERSIZE",INDEX(Inputs!$F$5:$F$14,MATCH(L188/Inputs!$B$10,AD188:AM188,1)+1))))</f>
        <v/>
      </c>
      <c r="P188" s="9"/>
      <c r="Q188" s="9" t="str">
        <f aca="false">IF(A188="","",IF(P188="",O188,P188))</f>
        <v/>
      </c>
      <c r="R188" s="14" t="str">
        <f aca="false">IF(OR(Q188="",Q188="OVERSIZE"),"",Q188/1000)</f>
        <v/>
      </c>
      <c r="S188" s="14" t="str">
        <f aca="false">IF(R188="","",(1/Inputs!$B$9)*(PI()*R188^2/4)*((R188/4)^(2/3))*SQRT(N188))</f>
        <v/>
      </c>
      <c r="T188" s="14" t="str">
        <f aca="false">IF(OR(S188="",L188=""),"",L188/(S188*Inputs!$B$10))</f>
        <v/>
      </c>
      <c r="U188" s="14" t="str">
        <f aca="false">IF(OR(R188="",L188=""),"",4*L188/(PI()*R188^2))</f>
        <v/>
      </c>
      <c r="V188" s="14"/>
      <c r="W188" s="14" t="str">
        <f aca="false">IF(A188="","",IF(A188=Inputs!$B$6,Inputs!$B$22,IF(B188="","",IFERROR(INDEX($X$4:$X$203,MATCH(B188,$A$4:$A$203,0))+IF(V188="",Inputs!$B$20,V188),""))))</f>
        <v/>
      </c>
      <c r="X188" s="14" t="str">
        <f aca="false">IF(OR(W188="",N188="",C188=""),"",W188+N188*C188)</f>
        <v/>
      </c>
      <c r="Y188" s="14"/>
      <c r="Z188" s="14"/>
      <c r="AA188" s="14" t="str">
        <f aca="false">IF(OR(Y188="",W188=""),"",Y188-W188)</f>
        <v/>
      </c>
      <c r="AB188" s="14" t="str">
        <f aca="false">IF(OR(Z188="",X188=""),"",Z188-X188)</f>
        <v/>
      </c>
      <c r="AC188" s="19" t="str">
        <f aca="false">IF(A188="","",IF(OR(T188&gt;1,AND(AV188&lt;&gt;"",AV188&lt;Inputs!$B$11),AND(AV188&lt;&gt;"",AV188&gt;Inputs!$B$12),AA188&lt;Inputs!$B$19,AB188&lt;Inputs!$B$19,N188&lt;Inputs!$B$7,N188&gt;Inputs!$B$8),"CHECK","OK"))</f>
        <v/>
      </c>
      <c r="AD188" s="9" t="str">
        <f aca="false">IF(A188="","",(1/Inputs!$B$9)*(PI()*(Inputs!$F$5/1000)^2/4)*((Inputs!$F$5/1000/4)^(2/3))*SQRT(N188))</f>
        <v/>
      </c>
      <c r="AE188" s="9" t="str">
        <f aca="false">IF(A188="","",(1/Inputs!$B$9)*(PI()*(Inputs!$F$6/1000)^2/4)*((Inputs!$F$6/1000/4)^(2/3))*SQRT(N188))</f>
        <v/>
      </c>
      <c r="AF188" s="9" t="str">
        <f aca="false">IF(A188="","",(1/Inputs!$B$9)*(PI()*(Inputs!$F$7/1000)^2/4)*((Inputs!$F$7/1000/4)^(2/3))*SQRT(N188))</f>
        <v/>
      </c>
      <c r="AG188" s="9" t="str">
        <f aca="false">IF(A188="","",(1/Inputs!$B$9)*(PI()*(Inputs!$F$8/1000)^2/4)*((Inputs!$F$8/1000/4)^(2/3))*SQRT(N188))</f>
        <v/>
      </c>
      <c r="AH188" s="9" t="str">
        <f aca="false">IF(A188="","",(1/Inputs!$B$9)*(PI()*(Inputs!$F$9/1000)^2/4)*((Inputs!$F$9/1000/4)^(2/3))*SQRT(N188))</f>
        <v/>
      </c>
      <c r="AI188" s="9" t="str">
        <f aca="false">IF(A188="","",(1/Inputs!$B$9)*(PI()*(Inputs!$F$10/1000)^2/4)*((Inputs!$F$10/1000/4)^(2/3))*SQRT(N188))</f>
        <v/>
      </c>
      <c r="AJ188" s="9" t="str">
        <f aca="false">IF(A188="","",(1/Inputs!$B$9)*(PI()*(Inputs!$F$11/1000)^2/4)*((Inputs!$F$11/1000/4)^(2/3))*SQRT(N188))</f>
        <v/>
      </c>
      <c r="AK188" s="9" t="str">
        <f aca="false">IF(A188="","",(1/Inputs!$B$9)*(PI()*(Inputs!$F$12/1000)^2/4)*((Inputs!$F$12/1000/4)^(2/3))*SQRT(N188))</f>
        <v/>
      </c>
      <c r="AL188" s="9" t="str">
        <f aca="false">IF(A188="","",(1/Inputs!$B$9)*(PI()*(Inputs!$F$13/1000)^2/4)*((Inputs!$F$13/1000/4)^(2/3))*SQRT(N188))</f>
        <v/>
      </c>
      <c r="AM188" s="9" t="str">
        <f aca="false">IF(A188="","",(1/Inputs!$B$9)*(PI()*(Inputs!$F$14/1000)^2/4)*((Inputs!$F$14/1000/4)^(2/3))*SQRT(N188))</f>
        <v/>
      </c>
      <c r="AN188" s="9" t="str">
        <f aca="false">IF(A188="","",COUNTIF($B$4:$B$203,$A188))</f>
        <v/>
      </c>
      <c r="AO188" s="9" t="str">
        <f aca="false">IF(A188="","",IF(AN188=0,"START","CONTINUOUS"))</f>
        <v/>
      </c>
      <c r="AP188" s="13" t="str">
        <f aca="false">IF(A188="","",IF(H188="",Inputs!$B$18,H188))</f>
        <v/>
      </c>
      <c r="AQ188" s="13" t="str">
        <f aca="false">IF(A188="","",IFERROR(maxifs($AS$4:$AS$203,$B$4:$B$203,$A188),""))</f>
        <v/>
      </c>
      <c r="AR188" s="13" t="str">
        <f aca="false">IF(A188="","",IF(OR(C188="",Inputs!$B$23=""),"",C188/(Inputs!$B$23*60)))</f>
        <v/>
      </c>
      <c r="AS188" s="13" t="str">
        <f aca="false">IF(A188="","",IF(AN188=0,AP188+AR188,IF(AQ188="",AP188+AR188,AQ188+AR188)))</f>
        <v/>
      </c>
      <c r="AT188" s="13" t="str">
        <f aca="false">IF(A188="","",U188)</f>
        <v/>
      </c>
      <c r="AU188" s="13" t="str">
        <f aca="false">IF(OR(R188="",N188=""),"",(1/Inputs!$B$9)*((R188/4)^(2/3))*SQRT(N188))</f>
        <v/>
      </c>
      <c r="AV188" s="13" t="str">
        <f aca="false">IF(A188="","",IF(AND(AT188="",AU188="",AX188=""),"",IF(OR(UPPER(TRIM(Inputs!$B$24))="MANNING",UPPER(TRIM(Inputs!$B$24))="M"),AU188,IF(OR(UPPER(TRIM(Inputs!$B$24))="PARTIAL",UPPER(TRIM(Inputs!$B$24))="P"),AX188,IF(OR(UPPER(TRIM(Inputs!$B$24))="MAX",UPPER(TRIM(Inputs!$B$24))="X"),MAX(IF(AT188="",0,AT188),IF(AU188="",0,AU188),IF(AX188="",0,AX188)),AT188)))))</f>
        <v/>
      </c>
      <c r="AW188" s="13" t="str">
        <f aca="false">IF(AY188="","",CE188)</f>
        <v/>
      </c>
      <c r="AX188" s="13" t="str">
        <f aca="false">IF(OR(AY188="",AW188="",R188="",R188&lt;=0,AW188&lt;=0),"",AY188/((R188^2/8)*(2*ACOS(1-2*AW188/R188)-SIN(2*ACOS(1-2*AW188/R188)))))</f>
        <v/>
      </c>
      <c r="AY188" s="9" t="str">
        <f aca="false">IF(OR(L188="",AZ188=""),"",MIN(L188,AZ188))</f>
        <v/>
      </c>
      <c r="AZ188" s="9" t="str">
        <f aca="false">IF(OR(L188="",R188="",N188=""),"",IF(OR(R188="",N188="",(0.94*R188)="",R188&lt;=0,(0.94*R188)&lt;=0),"",(1/Inputs!$B$9)*((R188^2/8)*((2*ACOS(1-2*(0.94*R188)/R188))-SIN((2*ACOS(1-2*(0.94*R188)/R188)))))*((((R188^2/8)*((2*ACOS(1-2*(0.94*R188)/R188))-SIN((2*ACOS(1-2*(0.94*R188)/R188)))))/((R188/2)*((2*ACOS(1-2*(0.94*R188)/R188)))))^(2/3))*SQRT(N188)))</f>
        <v/>
      </c>
      <c r="BA188" s="9" t="str">
        <f aca="false">IF(AY188="","",0.001*R188)</f>
        <v/>
      </c>
      <c r="BB188" s="9" t="str">
        <f aca="false">IF(AY188="","",0.94*R188)</f>
        <v/>
      </c>
      <c r="BC188" s="9" t="str">
        <f aca="false">IF(AY188="","",(BA188+BB188)/2)</f>
        <v/>
      </c>
      <c r="BD188" s="9" t="str">
        <f aca="false">IF(OR(R188="",N188="",BC188="",R188&lt;=0,BC188&lt;=0),"",(1/Inputs!$B$9)*((R188^2/8)*((2*ACOS(1-2*BC188/R188))-SIN((2*ACOS(1-2*BC188/R188)))))*((((R188^2/8)*((2*ACOS(1-2*BC188/R188))-SIN((2*ACOS(1-2*BC188/R188)))))/((R188/2)*((2*ACOS(1-2*BC188/R188)))))^(2/3))*SQRT(N188))</f>
        <v/>
      </c>
      <c r="BE188" s="9" t="str">
        <f aca="false">IF(AY188="","",IF(BD188&lt;AY188,BC188,BA188))</f>
        <v/>
      </c>
      <c r="BF188" s="9" t="str">
        <f aca="false">IF(AY188="","",IF(BD188&lt;AY188,BB188,BC188))</f>
        <v/>
      </c>
      <c r="BG188" s="9" t="str">
        <f aca="false">IF(AY188="","",(BE188+BF188)/2)</f>
        <v/>
      </c>
      <c r="BH188" s="9" t="str">
        <f aca="false">IF(OR(R188="",N188="",BG188="",R188&lt;=0,BG188&lt;=0),"",(1/Inputs!$B$9)*((R188^2/8)*((2*ACOS(1-2*BG188/R188))-SIN((2*ACOS(1-2*BG188/R188)))))*((((R188^2/8)*((2*ACOS(1-2*BG188/R188))-SIN((2*ACOS(1-2*BG188/R188)))))/((R188/2)*((2*ACOS(1-2*BG188/R188)))))^(2/3))*SQRT(N188))</f>
        <v/>
      </c>
      <c r="BI188" s="9" t="str">
        <f aca="false">IF(AY188="","",IF(BH188&lt;AY188,BG188,BE188))</f>
        <v/>
      </c>
      <c r="BJ188" s="9" t="str">
        <f aca="false">IF(AY188="","",IF(BH188&lt;AY188,BF188,BG188))</f>
        <v/>
      </c>
      <c r="BK188" s="9" t="str">
        <f aca="false">IF(AY188="","",(BI188+BJ188)/2)</f>
        <v/>
      </c>
      <c r="BL188" s="9" t="str">
        <f aca="false">IF(OR(R188="",N188="",BK188="",R188&lt;=0,BK188&lt;=0),"",(1/Inputs!$B$9)*((R188^2/8)*((2*ACOS(1-2*BK188/R188))-SIN((2*ACOS(1-2*BK188/R188)))))*((((R188^2/8)*((2*ACOS(1-2*BK188/R188))-SIN((2*ACOS(1-2*BK188/R188)))))/((R188/2)*((2*ACOS(1-2*BK188/R188)))))^(2/3))*SQRT(N188))</f>
        <v/>
      </c>
      <c r="BM188" s="9" t="str">
        <f aca="false">IF(AY188="","",IF(BL188&lt;AY188,BK188,BI188))</f>
        <v/>
      </c>
      <c r="BN188" s="9" t="str">
        <f aca="false">IF(AY188="","",IF(BL188&lt;AY188,BJ188,BK188))</f>
        <v/>
      </c>
      <c r="BO188" s="9" t="str">
        <f aca="false">IF(AY188="","",(BM188+BN188)/2)</f>
        <v/>
      </c>
      <c r="BP188" s="9" t="str">
        <f aca="false">IF(OR(R188="",N188="",BO188="",R188&lt;=0,BO188&lt;=0),"",(1/Inputs!$B$9)*((R188^2/8)*((2*ACOS(1-2*BO188/R188))-SIN((2*ACOS(1-2*BO188/R188)))))*((((R188^2/8)*((2*ACOS(1-2*BO188/R188))-SIN((2*ACOS(1-2*BO188/R188)))))/((R188/2)*((2*ACOS(1-2*BO188/R188)))))^(2/3))*SQRT(N188))</f>
        <v/>
      </c>
      <c r="BQ188" s="9" t="str">
        <f aca="false">IF(AY188="","",IF(BP188&lt;AY188,BO188,BM188))</f>
        <v/>
      </c>
      <c r="BR188" s="9" t="str">
        <f aca="false">IF(AY188="","",IF(BP188&lt;AY188,BN188,BO188))</f>
        <v/>
      </c>
      <c r="BS188" s="9" t="str">
        <f aca="false">IF(AY188="","",(BQ188+BR188)/2)</f>
        <v/>
      </c>
      <c r="BT188" s="9" t="str">
        <f aca="false">IF(OR(R188="",N188="",BS188="",R188&lt;=0,BS188&lt;=0),"",(1/Inputs!$B$9)*((R188^2/8)*((2*ACOS(1-2*BS188/R188))-SIN((2*ACOS(1-2*BS188/R188)))))*((((R188^2/8)*((2*ACOS(1-2*BS188/R188))-SIN((2*ACOS(1-2*BS188/R188)))))/((R188/2)*((2*ACOS(1-2*BS188/R188)))))^(2/3))*SQRT(N188))</f>
        <v/>
      </c>
      <c r="BU188" s="9" t="str">
        <f aca="false">IF(AY188="","",IF(BT188&lt;AY188,BS188,BQ188))</f>
        <v/>
      </c>
      <c r="BV188" s="9" t="str">
        <f aca="false">IF(AY188="","",IF(BT188&lt;AY188,BR188,BS188))</f>
        <v/>
      </c>
      <c r="BW188" s="9" t="str">
        <f aca="false">IF(AY188="","",(BU188+BV188)/2)</f>
        <v/>
      </c>
      <c r="BX188" s="9" t="str">
        <f aca="false">IF(OR(R188="",N188="",BW188="",R188&lt;=0,BW188&lt;=0),"",(1/Inputs!$B$9)*((R188^2/8)*((2*ACOS(1-2*BW188/R188))-SIN((2*ACOS(1-2*BW188/R188)))))*((((R188^2/8)*((2*ACOS(1-2*BW188/R188))-SIN((2*ACOS(1-2*BW188/R188)))))/((R188/2)*((2*ACOS(1-2*BW188/R188)))))^(2/3))*SQRT(N188))</f>
        <v/>
      </c>
      <c r="BY188" s="9" t="str">
        <f aca="false">IF(AY188="","",IF(BX188&lt;AY188,BW188,BU188))</f>
        <v/>
      </c>
      <c r="BZ188" s="9" t="str">
        <f aca="false">IF(AY188="","",IF(BX188&lt;AY188,BV188,BW188))</f>
        <v/>
      </c>
      <c r="CA188" s="9" t="str">
        <f aca="false">IF(AY188="","",(BY188+BZ188)/2)</f>
        <v/>
      </c>
      <c r="CB188" s="9" t="str">
        <f aca="false">IF(OR(R188="",N188="",CA188="",R188&lt;=0,CA188&lt;=0),"",(1/Inputs!$B$9)*((R188^2/8)*((2*ACOS(1-2*CA188/R188))-SIN((2*ACOS(1-2*CA188/R188)))))*((((R188^2/8)*((2*ACOS(1-2*CA188/R188))-SIN((2*ACOS(1-2*CA188/R188)))))/((R188/2)*((2*ACOS(1-2*CA188/R188)))))^(2/3))*SQRT(N188))</f>
        <v/>
      </c>
      <c r="CC188" s="9" t="str">
        <f aca="false">IF(AY188="","",IF(CB188&lt;AY188,CA188,BY188))</f>
        <v/>
      </c>
      <c r="CD188" s="9" t="str">
        <f aca="false">IF(AY188="","",IF(CB188&lt;AY188,BZ188,CA188))</f>
        <v/>
      </c>
      <c r="CE188" s="9" t="str">
        <f aca="false">IF(AY188="","",(CC188+CD188)/2)</f>
        <v/>
      </c>
    </row>
    <row r="189" customFormat="false" ht="15" hidden="false" customHeight="false" outlineLevel="0" collapsed="false">
      <c r="A189" s="9"/>
      <c r="B189" s="9"/>
      <c r="C189" s="14"/>
      <c r="D189" s="14"/>
      <c r="E189" s="14" t="n">
        <f aca="false">SUMIFS(CB_Tributaires!$C:$C,CB_Tributaires!$B:$B,$A189)</f>
        <v>0</v>
      </c>
      <c r="F189" s="14" t="n">
        <f aca="false">IF(D189="",E189,D189)</f>
        <v>0</v>
      </c>
      <c r="G189" s="9"/>
      <c r="H189" s="14"/>
      <c r="I189" s="14" t="str">
        <f aca="false">IF(A189="","",Inputs!$B$13/((IF(AS189="",Inputs!$B$18,AS189)+Inputs!$B$14)^Inputs!$B$15))</f>
        <v/>
      </c>
      <c r="J189" s="14" t="str">
        <f aca="false">IF(A189="","",0.000000278*IF(G189="",Inputs!$B$17,G189)*F189*I189)</f>
        <v/>
      </c>
      <c r="K189" s="14" t="str">
        <f aca="false">IF(A189="","",SUMIFS($L$4:$L$203,$B$4:$B$203,$A189))</f>
        <v/>
      </c>
      <c r="L189" s="14" t="str">
        <f aca="false">IF(A189="","",(J189+K189)*Inputs!$B$16)</f>
        <v/>
      </c>
      <c r="M189" s="14"/>
      <c r="N189" s="14" t="str">
        <f aca="false">IF(A189="","",IF(M189="",Inputs!$B$7,M189))</f>
        <v/>
      </c>
      <c r="O189" s="9" t="str">
        <f aca="false">IF(A189="","",IF(L189/Inputs!$B$10&lt;=AD189,Inputs!$F$5,IF(L189/Inputs!$B$10&gt;AM189,"OVERSIZE",INDEX(Inputs!$F$5:$F$14,MATCH(L189/Inputs!$B$10,AD189:AM189,1)+1))))</f>
        <v/>
      </c>
      <c r="P189" s="9"/>
      <c r="Q189" s="9" t="str">
        <f aca="false">IF(A189="","",IF(P189="",O189,P189))</f>
        <v/>
      </c>
      <c r="R189" s="14" t="str">
        <f aca="false">IF(OR(Q189="",Q189="OVERSIZE"),"",Q189/1000)</f>
        <v/>
      </c>
      <c r="S189" s="14" t="str">
        <f aca="false">IF(R189="","",(1/Inputs!$B$9)*(PI()*R189^2/4)*((R189/4)^(2/3))*SQRT(N189))</f>
        <v/>
      </c>
      <c r="T189" s="14" t="str">
        <f aca="false">IF(OR(S189="",L189=""),"",L189/(S189*Inputs!$B$10))</f>
        <v/>
      </c>
      <c r="U189" s="14" t="str">
        <f aca="false">IF(OR(R189="",L189=""),"",4*L189/(PI()*R189^2))</f>
        <v/>
      </c>
      <c r="V189" s="14"/>
      <c r="W189" s="14" t="str">
        <f aca="false">IF(A189="","",IF(A189=Inputs!$B$6,Inputs!$B$22,IF(B189="","",IFERROR(INDEX($X$4:$X$203,MATCH(B189,$A$4:$A$203,0))+IF(V189="",Inputs!$B$20,V189),""))))</f>
        <v/>
      </c>
      <c r="X189" s="14" t="str">
        <f aca="false">IF(OR(W189="",N189="",C189=""),"",W189+N189*C189)</f>
        <v/>
      </c>
      <c r="Y189" s="14"/>
      <c r="Z189" s="14"/>
      <c r="AA189" s="14" t="str">
        <f aca="false">IF(OR(Y189="",W189=""),"",Y189-W189)</f>
        <v/>
      </c>
      <c r="AB189" s="14" t="str">
        <f aca="false">IF(OR(Z189="",X189=""),"",Z189-X189)</f>
        <v/>
      </c>
      <c r="AC189" s="19" t="str">
        <f aca="false">IF(A189="","",IF(OR(T189&gt;1,AND(AV189&lt;&gt;"",AV189&lt;Inputs!$B$11),AND(AV189&lt;&gt;"",AV189&gt;Inputs!$B$12),AA189&lt;Inputs!$B$19,AB189&lt;Inputs!$B$19,N189&lt;Inputs!$B$7,N189&gt;Inputs!$B$8),"CHECK","OK"))</f>
        <v/>
      </c>
      <c r="AD189" s="9" t="str">
        <f aca="false">IF(A189="","",(1/Inputs!$B$9)*(PI()*(Inputs!$F$5/1000)^2/4)*((Inputs!$F$5/1000/4)^(2/3))*SQRT(N189))</f>
        <v/>
      </c>
      <c r="AE189" s="9" t="str">
        <f aca="false">IF(A189="","",(1/Inputs!$B$9)*(PI()*(Inputs!$F$6/1000)^2/4)*((Inputs!$F$6/1000/4)^(2/3))*SQRT(N189))</f>
        <v/>
      </c>
      <c r="AF189" s="9" t="str">
        <f aca="false">IF(A189="","",(1/Inputs!$B$9)*(PI()*(Inputs!$F$7/1000)^2/4)*((Inputs!$F$7/1000/4)^(2/3))*SQRT(N189))</f>
        <v/>
      </c>
      <c r="AG189" s="9" t="str">
        <f aca="false">IF(A189="","",(1/Inputs!$B$9)*(PI()*(Inputs!$F$8/1000)^2/4)*((Inputs!$F$8/1000/4)^(2/3))*SQRT(N189))</f>
        <v/>
      </c>
      <c r="AH189" s="9" t="str">
        <f aca="false">IF(A189="","",(1/Inputs!$B$9)*(PI()*(Inputs!$F$9/1000)^2/4)*((Inputs!$F$9/1000/4)^(2/3))*SQRT(N189))</f>
        <v/>
      </c>
      <c r="AI189" s="9" t="str">
        <f aca="false">IF(A189="","",(1/Inputs!$B$9)*(PI()*(Inputs!$F$10/1000)^2/4)*((Inputs!$F$10/1000/4)^(2/3))*SQRT(N189))</f>
        <v/>
      </c>
      <c r="AJ189" s="9" t="str">
        <f aca="false">IF(A189="","",(1/Inputs!$B$9)*(PI()*(Inputs!$F$11/1000)^2/4)*((Inputs!$F$11/1000/4)^(2/3))*SQRT(N189))</f>
        <v/>
      </c>
      <c r="AK189" s="9" t="str">
        <f aca="false">IF(A189="","",(1/Inputs!$B$9)*(PI()*(Inputs!$F$12/1000)^2/4)*((Inputs!$F$12/1000/4)^(2/3))*SQRT(N189))</f>
        <v/>
      </c>
      <c r="AL189" s="9" t="str">
        <f aca="false">IF(A189="","",(1/Inputs!$B$9)*(PI()*(Inputs!$F$13/1000)^2/4)*((Inputs!$F$13/1000/4)^(2/3))*SQRT(N189))</f>
        <v/>
      </c>
      <c r="AM189" s="9" t="str">
        <f aca="false">IF(A189="","",(1/Inputs!$B$9)*(PI()*(Inputs!$F$14/1000)^2/4)*((Inputs!$F$14/1000/4)^(2/3))*SQRT(N189))</f>
        <v/>
      </c>
      <c r="AN189" s="9" t="str">
        <f aca="false">IF(A189="","",COUNTIF($B$4:$B$203,$A189))</f>
        <v/>
      </c>
      <c r="AO189" s="9" t="str">
        <f aca="false">IF(A189="","",IF(AN189=0,"START","CONTINUOUS"))</f>
        <v/>
      </c>
      <c r="AP189" s="13" t="str">
        <f aca="false">IF(A189="","",IF(H189="",Inputs!$B$18,H189))</f>
        <v/>
      </c>
      <c r="AQ189" s="13" t="str">
        <f aca="false">IF(A189="","",IFERROR(maxifs($AS$4:$AS$203,$B$4:$B$203,$A189),""))</f>
        <v/>
      </c>
      <c r="AR189" s="13" t="str">
        <f aca="false">IF(A189="","",IF(OR(C189="",Inputs!$B$23=""),"",C189/(Inputs!$B$23*60)))</f>
        <v/>
      </c>
      <c r="AS189" s="13" t="str">
        <f aca="false">IF(A189="","",IF(AN189=0,AP189+AR189,IF(AQ189="",AP189+AR189,AQ189+AR189)))</f>
        <v/>
      </c>
      <c r="AT189" s="13" t="str">
        <f aca="false">IF(A189="","",U189)</f>
        <v/>
      </c>
      <c r="AU189" s="13" t="str">
        <f aca="false">IF(OR(R189="",N189=""),"",(1/Inputs!$B$9)*((R189/4)^(2/3))*SQRT(N189))</f>
        <v/>
      </c>
      <c r="AV189" s="13" t="str">
        <f aca="false">IF(A189="","",IF(AND(AT189="",AU189="",AX189=""),"",IF(OR(UPPER(TRIM(Inputs!$B$24))="MANNING",UPPER(TRIM(Inputs!$B$24))="M"),AU189,IF(OR(UPPER(TRIM(Inputs!$B$24))="PARTIAL",UPPER(TRIM(Inputs!$B$24))="P"),AX189,IF(OR(UPPER(TRIM(Inputs!$B$24))="MAX",UPPER(TRIM(Inputs!$B$24))="X"),MAX(IF(AT189="",0,AT189),IF(AU189="",0,AU189),IF(AX189="",0,AX189)),AT189)))))</f>
        <v/>
      </c>
      <c r="AW189" s="13" t="str">
        <f aca="false">IF(AY189="","",CE189)</f>
        <v/>
      </c>
      <c r="AX189" s="13" t="str">
        <f aca="false">IF(OR(AY189="",AW189="",R189="",R189&lt;=0,AW189&lt;=0),"",AY189/((R189^2/8)*(2*ACOS(1-2*AW189/R189)-SIN(2*ACOS(1-2*AW189/R189)))))</f>
        <v/>
      </c>
      <c r="AY189" s="9" t="str">
        <f aca="false">IF(OR(L189="",AZ189=""),"",MIN(L189,AZ189))</f>
        <v/>
      </c>
      <c r="AZ189" s="9" t="str">
        <f aca="false">IF(OR(L189="",R189="",N189=""),"",IF(OR(R189="",N189="",(0.94*R189)="",R189&lt;=0,(0.94*R189)&lt;=0),"",(1/Inputs!$B$9)*((R189^2/8)*((2*ACOS(1-2*(0.94*R189)/R189))-SIN((2*ACOS(1-2*(0.94*R189)/R189)))))*((((R189^2/8)*((2*ACOS(1-2*(0.94*R189)/R189))-SIN((2*ACOS(1-2*(0.94*R189)/R189)))))/((R189/2)*((2*ACOS(1-2*(0.94*R189)/R189)))))^(2/3))*SQRT(N189)))</f>
        <v/>
      </c>
      <c r="BA189" s="9" t="str">
        <f aca="false">IF(AY189="","",0.001*R189)</f>
        <v/>
      </c>
      <c r="BB189" s="9" t="str">
        <f aca="false">IF(AY189="","",0.94*R189)</f>
        <v/>
      </c>
      <c r="BC189" s="9" t="str">
        <f aca="false">IF(AY189="","",(BA189+BB189)/2)</f>
        <v/>
      </c>
      <c r="BD189" s="9" t="str">
        <f aca="false">IF(OR(R189="",N189="",BC189="",R189&lt;=0,BC189&lt;=0),"",(1/Inputs!$B$9)*((R189^2/8)*((2*ACOS(1-2*BC189/R189))-SIN((2*ACOS(1-2*BC189/R189)))))*((((R189^2/8)*((2*ACOS(1-2*BC189/R189))-SIN((2*ACOS(1-2*BC189/R189)))))/((R189/2)*((2*ACOS(1-2*BC189/R189)))))^(2/3))*SQRT(N189))</f>
        <v/>
      </c>
      <c r="BE189" s="9" t="str">
        <f aca="false">IF(AY189="","",IF(BD189&lt;AY189,BC189,BA189))</f>
        <v/>
      </c>
      <c r="BF189" s="9" t="str">
        <f aca="false">IF(AY189="","",IF(BD189&lt;AY189,BB189,BC189))</f>
        <v/>
      </c>
      <c r="BG189" s="9" t="str">
        <f aca="false">IF(AY189="","",(BE189+BF189)/2)</f>
        <v/>
      </c>
      <c r="BH189" s="9" t="str">
        <f aca="false">IF(OR(R189="",N189="",BG189="",R189&lt;=0,BG189&lt;=0),"",(1/Inputs!$B$9)*((R189^2/8)*((2*ACOS(1-2*BG189/R189))-SIN((2*ACOS(1-2*BG189/R189)))))*((((R189^2/8)*((2*ACOS(1-2*BG189/R189))-SIN((2*ACOS(1-2*BG189/R189)))))/((R189/2)*((2*ACOS(1-2*BG189/R189)))))^(2/3))*SQRT(N189))</f>
        <v/>
      </c>
      <c r="BI189" s="9" t="str">
        <f aca="false">IF(AY189="","",IF(BH189&lt;AY189,BG189,BE189))</f>
        <v/>
      </c>
      <c r="BJ189" s="9" t="str">
        <f aca="false">IF(AY189="","",IF(BH189&lt;AY189,BF189,BG189))</f>
        <v/>
      </c>
      <c r="BK189" s="9" t="str">
        <f aca="false">IF(AY189="","",(BI189+BJ189)/2)</f>
        <v/>
      </c>
      <c r="BL189" s="9" t="str">
        <f aca="false">IF(OR(R189="",N189="",BK189="",R189&lt;=0,BK189&lt;=0),"",(1/Inputs!$B$9)*((R189^2/8)*((2*ACOS(1-2*BK189/R189))-SIN((2*ACOS(1-2*BK189/R189)))))*((((R189^2/8)*((2*ACOS(1-2*BK189/R189))-SIN((2*ACOS(1-2*BK189/R189)))))/((R189/2)*((2*ACOS(1-2*BK189/R189)))))^(2/3))*SQRT(N189))</f>
        <v/>
      </c>
      <c r="BM189" s="9" t="str">
        <f aca="false">IF(AY189="","",IF(BL189&lt;AY189,BK189,BI189))</f>
        <v/>
      </c>
      <c r="BN189" s="9" t="str">
        <f aca="false">IF(AY189="","",IF(BL189&lt;AY189,BJ189,BK189))</f>
        <v/>
      </c>
      <c r="BO189" s="9" t="str">
        <f aca="false">IF(AY189="","",(BM189+BN189)/2)</f>
        <v/>
      </c>
      <c r="BP189" s="9" t="str">
        <f aca="false">IF(OR(R189="",N189="",BO189="",R189&lt;=0,BO189&lt;=0),"",(1/Inputs!$B$9)*((R189^2/8)*((2*ACOS(1-2*BO189/R189))-SIN((2*ACOS(1-2*BO189/R189)))))*((((R189^2/8)*((2*ACOS(1-2*BO189/R189))-SIN((2*ACOS(1-2*BO189/R189)))))/((R189/2)*((2*ACOS(1-2*BO189/R189)))))^(2/3))*SQRT(N189))</f>
        <v/>
      </c>
      <c r="BQ189" s="9" t="str">
        <f aca="false">IF(AY189="","",IF(BP189&lt;AY189,BO189,BM189))</f>
        <v/>
      </c>
      <c r="BR189" s="9" t="str">
        <f aca="false">IF(AY189="","",IF(BP189&lt;AY189,BN189,BO189))</f>
        <v/>
      </c>
      <c r="BS189" s="9" t="str">
        <f aca="false">IF(AY189="","",(BQ189+BR189)/2)</f>
        <v/>
      </c>
      <c r="BT189" s="9" t="str">
        <f aca="false">IF(OR(R189="",N189="",BS189="",R189&lt;=0,BS189&lt;=0),"",(1/Inputs!$B$9)*((R189^2/8)*((2*ACOS(1-2*BS189/R189))-SIN((2*ACOS(1-2*BS189/R189)))))*((((R189^2/8)*((2*ACOS(1-2*BS189/R189))-SIN((2*ACOS(1-2*BS189/R189)))))/((R189/2)*((2*ACOS(1-2*BS189/R189)))))^(2/3))*SQRT(N189))</f>
        <v/>
      </c>
      <c r="BU189" s="9" t="str">
        <f aca="false">IF(AY189="","",IF(BT189&lt;AY189,BS189,BQ189))</f>
        <v/>
      </c>
      <c r="BV189" s="9" t="str">
        <f aca="false">IF(AY189="","",IF(BT189&lt;AY189,BR189,BS189))</f>
        <v/>
      </c>
      <c r="BW189" s="9" t="str">
        <f aca="false">IF(AY189="","",(BU189+BV189)/2)</f>
        <v/>
      </c>
      <c r="BX189" s="9" t="str">
        <f aca="false">IF(OR(R189="",N189="",BW189="",R189&lt;=0,BW189&lt;=0),"",(1/Inputs!$B$9)*((R189^2/8)*((2*ACOS(1-2*BW189/R189))-SIN((2*ACOS(1-2*BW189/R189)))))*((((R189^2/8)*((2*ACOS(1-2*BW189/R189))-SIN((2*ACOS(1-2*BW189/R189)))))/((R189/2)*((2*ACOS(1-2*BW189/R189)))))^(2/3))*SQRT(N189))</f>
        <v/>
      </c>
      <c r="BY189" s="9" t="str">
        <f aca="false">IF(AY189="","",IF(BX189&lt;AY189,BW189,BU189))</f>
        <v/>
      </c>
      <c r="BZ189" s="9" t="str">
        <f aca="false">IF(AY189="","",IF(BX189&lt;AY189,BV189,BW189))</f>
        <v/>
      </c>
      <c r="CA189" s="9" t="str">
        <f aca="false">IF(AY189="","",(BY189+BZ189)/2)</f>
        <v/>
      </c>
      <c r="CB189" s="9" t="str">
        <f aca="false">IF(OR(R189="",N189="",CA189="",R189&lt;=0,CA189&lt;=0),"",(1/Inputs!$B$9)*((R189^2/8)*((2*ACOS(1-2*CA189/R189))-SIN((2*ACOS(1-2*CA189/R189)))))*((((R189^2/8)*((2*ACOS(1-2*CA189/R189))-SIN((2*ACOS(1-2*CA189/R189)))))/((R189/2)*((2*ACOS(1-2*CA189/R189)))))^(2/3))*SQRT(N189))</f>
        <v/>
      </c>
      <c r="CC189" s="9" t="str">
        <f aca="false">IF(AY189="","",IF(CB189&lt;AY189,CA189,BY189))</f>
        <v/>
      </c>
      <c r="CD189" s="9" t="str">
        <f aca="false">IF(AY189="","",IF(CB189&lt;AY189,BZ189,CA189))</f>
        <v/>
      </c>
      <c r="CE189" s="9" t="str">
        <f aca="false">IF(AY189="","",(CC189+CD189)/2)</f>
        <v/>
      </c>
    </row>
    <row r="190" customFormat="false" ht="15" hidden="false" customHeight="false" outlineLevel="0" collapsed="false">
      <c r="A190" s="9"/>
      <c r="B190" s="9"/>
      <c r="C190" s="14"/>
      <c r="D190" s="14"/>
      <c r="E190" s="14" t="n">
        <f aca="false">SUMIFS(CB_Tributaires!$C:$C,CB_Tributaires!$B:$B,$A190)</f>
        <v>0</v>
      </c>
      <c r="F190" s="14" t="n">
        <f aca="false">IF(D190="",E190,D190)</f>
        <v>0</v>
      </c>
      <c r="G190" s="9"/>
      <c r="H190" s="14"/>
      <c r="I190" s="14" t="str">
        <f aca="false">IF(A190="","",Inputs!$B$13/((IF(AS190="",Inputs!$B$18,AS190)+Inputs!$B$14)^Inputs!$B$15))</f>
        <v/>
      </c>
      <c r="J190" s="14" t="str">
        <f aca="false">IF(A190="","",0.000000278*IF(G190="",Inputs!$B$17,G190)*F190*I190)</f>
        <v/>
      </c>
      <c r="K190" s="14" t="str">
        <f aca="false">IF(A190="","",SUMIFS($L$4:$L$203,$B$4:$B$203,$A190))</f>
        <v/>
      </c>
      <c r="L190" s="14" t="str">
        <f aca="false">IF(A190="","",(J190+K190)*Inputs!$B$16)</f>
        <v/>
      </c>
      <c r="M190" s="14"/>
      <c r="N190" s="14" t="str">
        <f aca="false">IF(A190="","",IF(M190="",Inputs!$B$7,M190))</f>
        <v/>
      </c>
      <c r="O190" s="9" t="str">
        <f aca="false">IF(A190="","",IF(L190/Inputs!$B$10&lt;=AD190,Inputs!$F$5,IF(L190/Inputs!$B$10&gt;AM190,"OVERSIZE",INDEX(Inputs!$F$5:$F$14,MATCH(L190/Inputs!$B$10,AD190:AM190,1)+1))))</f>
        <v/>
      </c>
      <c r="P190" s="9"/>
      <c r="Q190" s="9" t="str">
        <f aca="false">IF(A190="","",IF(P190="",O190,P190))</f>
        <v/>
      </c>
      <c r="R190" s="14" t="str">
        <f aca="false">IF(OR(Q190="",Q190="OVERSIZE"),"",Q190/1000)</f>
        <v/>
      </c>
      <c r="S190" s="14" t="str">
        <f aca="false">IF(R190="","",(1/Inputs!$B$9)*(PI()*R190^2/4)*((R190/4)^(2/3))*SQRT(N190))</f>
        <v/>
      </c>
      <c r="T190" s="14" t="str">
        <f aca="false">IF(OR(S190="",L190=""),"",L190/(S190*Inputs!$B$10))</f>
        <v/>
      </c>
      <c r="U190" s="14" t="str">
        <f aca="false">IF(OR(R190="",L190=""),"",4*L190/(PI()*R190^2))</f>
        <v/>
      </c>
      <c r="V190" s="14"/>
      <c r="W190" s="14" t="str">
        <f aca="false">IF(A190="","",IF(A190=Inputs!$B$6,Inputs!$B$22,IF(B190="","",IFERROR(INDEX($X$4:$X$203,MATCH(B190,$A$4:$A$203,0))+IF(V190="",Inputs!$B$20,V190),""))))</f>
        <v/>
      </c>
      <c r="X190" s="14" t="str">
        <f aca="false">IF(OR(W190="",N190="",C190=""),"",W190+N190*C190)</f>
        <v/>
      </c>
      <c r="Y190" s="14"/>
      <c r="Z190" s="14"/>
      <c r="AA190" s="14" t="str">
        <f aca="false">IF(OR(Y190="",W190=""),"",Y190-W190)</f>
        <v/>
      </c>
      <c r="AB190" s="14" t="str">
        <f aca="false">IF(OR(Z190="",X190=""),"",Z190-X190)</f>
        <v/>
      </c>
      <c r="AC190" s="19" t="str">
        <f aca="false">IF(A190="","",IF(OR(T190&gt;1,AND(AV190&lt;&gt;"",AV190&lt;Inputs!$B$11),AND(AV190&lt;&gt;"",AV190&gt;Inputs!$B$12),AA190&lt;Inputs!$B$19,AB190&lt;Inputs!$B$19,N190&lt;Inputs!$B$7,N190&gt;Inputs!$B$8),"CHECK","OK"))</f>
        <v/>
      </c>
      <c r="AD190" s="9" t="str">
        <f aca="false">IF(A190="","",(1/Inputs!$B$9)*(PI()*(Inputs!$F$5/1000)^2/4)*((Inputs!$F$5/1000/4)^(2/3))*SQRT(N190))</f>
        <v/>
      </c>
      <c r="AE190" s="9" t="str">
        <f aca="false">IF(A190="","",(1/Inputs!$B$9)*(PI()*(Inputs!$F$6/1000)^2/4)*((Inputs!$F$6/1000/4)^(2/3))*SQRT(N190))</f>
        <v/>
      </c>
      <c r="AF190" s="9" t="str">
        <f aca="false">IF(A190="","",(1/Inputs!$B$9)*(PI()*(Inputs!$F$7/1000)^2/4)*((Inputs!$F$7/1000/4)^(2/3))*SQRT(N190))</f>
        <v/>
      </c>
      <c r="AG190" s="9" t="str">
        <f aca="false">IF(A190="","",(1/Inputs!$B$9)*(PI()*(Inputs!$F$8/1000)^2/4)*((Inputs!$F$8/1000/4)^(2/3))*SQRT(N190))</f>
        <v/>
      </c>
      <c r="AH190" s="9" t="str">
        <f aca="false">IF(A190="","",(1/Inputs!$B$9)*(PI()*(Inputs!$F$9/1000)^2/4)*((Inputs!$F$9/1000/4)^(2/3))*SQRT(N190))</f>
        <v/>
      </c>
      <c r="AI190" s="9" t="str">
        <f aca="false">IF(A190="","",(1/Inputs!$B$9)*(PI()*(Inputs!$F$10/1000)^2/4)*((Inputs!$F$10/1000/4)^(2/3))*SQRT(N190))</f>
        <v/>
      </c>
      <c r="AJ190" s="9" t="str">
        <f aca="false">IF(A190="","",(1/Inputs!$B$9)*(PI()*(Inputs!$F$11/1000)^2/4)*((Inputs!$F$11/1000/4)^(2/3))*SQRT(N190))</f>
        <v/>
      </c>
      <c r="AK190" s="9" t="str">
        <f aca="false">IF(A190="","",(1/Inputs!$B$9)*(PI()*(Inputs!$F$12/1000)^2/4)*((Inputs!$F$12/1000/4)^(2/3))*SQRT(N190))</f>
        <v/>
      </c>
      <c r="AL190" s="9" t="str">
        <f aca="false">IF(A190="","",(1/Inputs!$B$9)*(PI()*(Inputs!$F$13/1000)^2/4)*((Inputs!$F$13/1000/4)^(2/3))*SQRT(N190))</f>
        <v/>
      </c>
      <c r="AM190" s="9" t="str">
        <f aca="false">IF(A190="","",(1/Inputs!$B$9)*(PI()*(Inputs!$F$14/1000)^2/4)*((Inputs!$F$14/1000/4)^(2/3))*SQRT(N190))</f>
        <v/>
      </c>
      <c r="AN190" s="9" t="str">
        <f aca="false">IF(A190="","",COUNTIF($B$4:$B$203,$A190))</f>
        <v/>
      </c>
      <c r="AO190" s="9" t="str">
        <f aca="false">IF(A190="","",IF(AN190=0,"START","CONTINUOUS"))</f>
        <v/>
      </c>
      <c r="AP190" s="13" t="str">
        <f aca="false">IF(A190="","",IF(H190="",Inputs!$B$18,H190))</f>
        <v/>
      </c>
      <c r="AQ190" s="13" t="str">
        <f aca="false">IF(A190="","",IFERROR(maxifs($AS$4:$AS$203,$B$4:$B$203,$A190),""))</f>
        <v/>
      </c>
      <c r="AR190" s="13" t="str">
        <f aca="false">IF(A190="","",IF(OR(C190="",Inputs!$B$23=""),"",C190/(Inputs!$B$23*60)))</f>
        <v/>
      </c>
      <c r="AS190" s="13" t="str">
        <f aca="false">IF(A190="","",IF(AN190=0,AP190+AR190,IF(AQ190="",AP190+AR190,AQ190+AR190)))</f>
        <v/>
      </c>
      <c r="AT190" s="13" t="str">
        <f aca="false">IF(A190="","",U190)</f>
        <v/>
      </c>
      <c r="AU190" s="13" t="str">
        <f aca="false">IF(OR(R190="",N190=""),"",(1/Inputs!$B$9)*((R190/4)^(2/3))*SQRT(N190))</f>
        <v/>
      </c>
      <c r="AV190" s="13" t="str">
        <f aca="false">IF(A190="","",IF(AND(AT190="",AU190="",AX190=""),"",IF(OR(UPPER(TRIM(Inputs!$B$24))="MANNING",UPPER(TRIM(Inputs!$B$24))="M"),AU190,IF(OR(UPPER(TRIM(Inputs!$B$24))="PARTIAL",UPPER(TRIM(Inputs!$B$24))="P"),AX190,IF(OR(UPPER(TRIM(Inputs!$B$24))="MAX",UPPER(TRIM(Inputs!$B$24))="X"),MAX(IF(AT190="",0,AT190),IF(AU190="",0,AU190),IF(AX190="",0,AX190)),AT190)))))</f>
        <v/>
      </c>
      <c r="AW190" s="13" t="str">
        <f aca="false">IF(AY190="","",CE190)</f>
        <v/>
      </c>
      <c r="AX190" s="13" t="str">
        <f aca="false">IF(OR(AY190="",AW190="",R190="",R190&lt;=0,AW190&lt;=0),"",AY190/((R190^2/8)*(2*ACOS(1-2*AW190/R190)-SIN(2*ACOS(1-2*AW190/R190)))))</f>
        <v/>
      </c>
      <c r="AY190" s="9" t="str">
        <f aca="false">IF(OR(L190="",AZ190=""),"",MIN(L190,AZ190))</f>
        <v/>
      </c>
      <c r="AZ190" s="9" t="str">
        <f aca="false">IF(OR(L190="",R190="",N190=""),"",IF(OR(R190="",N190="",(0.94*R190)="",R190&lt;=0,(0.94*R190)&lt;=0),"",(1/Inputs!$B$9)*((R190^2/8)*((2*ACOS(1-2*(0.94*R190)/R190))-SIN((2*ACOS(1-2*(0.94*R190)/R190)))))*((((R190^2/8)*((2*ACOS(1-2*(0.94*R190)/R190))-SIN((2*ACOS(1-2*(0.94*R190)/R190)))))/((R190/2)*((2*ACOS(1-2*(0.94*R190)/R190)))))^(2/3))*SQRT(N190)))</f>
        <v/>
      </c>
      <c r="BA190" s="9" t="str">
        <f aca="false">IF(AY190="","",0.001*R190)</f>
        <v/>
      </c>
      <c r="BB190" s="9" t="str">
        <f aca="false">IF(AY190="","",0.94*R190)</f>
        <v/>
      </c>
      <c r="BC190" s="9" t="str">
        <f aca="false">IF(AY190="","",(BA190+BB190)/2)</f>
        <v/>
      </c>
      <c r="BD190" s="9" t="str">
        <f aca="false">IF(OR(R190="",N190="",BC190="",R190&lt;=0,BC190&lt;=0),"",(1/Inputs!$B$9)*((R190^2/8)*((2*ACOS(1-2*BC190/R190))-SIN((2*ACOS(1-2*BC190/R190)))))*((((R190^2/8)*((2*ACOS(1-2*BC190/R190))-SIN((2*ACOS(1-2*BC190/R190)))))/((R190/2)*((2*ACOS(1-2*BC190/R190)))))^(2/3))*SQRT(N190))</f>
        <v/>
      </c>
      <c r="BE190" s="9" t="str">
        <f aca="false">IF(AY190="","",IF(BD190&lt;AY190,BC190,BA190))</f>
        <v/>
      </c>
      <c r="BF190" s="9" t="str">
        <f aca="false">IF(AY190="","",IF(BD190&lt;AY190,BB190,BC190))</f>
        <v/>
      </c>
      <c r="BG190" s="9" t="str">
        <f aca="false">IF(AY190="","",(BE190+BF190)/2)</f>
        <v/>
      </c>
      <c r="BH190" s="9" t="str">
        <f aca="false">IF(OR(R190="",N190="",BG190="",R190&lt;=0,BG190&lt;=0),"",(1/Inputs!$B$9)*((R190^2/8)*((2*ACOS(1-2*BG190/R190))-SIN((2*ACOS(1-2*BG190/R190)))))*((((R190^2/8)*((2*ACOS(1-2*BG190/R190))-SIN((2*ACOS(1-2*BG190/R190)))))/((R190/2)*((2*ACOS(1-2*BG190/R190)))))^(2/3))*SQRT(N190))</f>
        <v/>
      </c>
      <c r="BI190" s="9" t="str">
        <f aca="false">IF(AY190="","",IF(BH190&lt;AY190,BG190,BE190))</f>
        <v/>
      </c>
      <c r="BJ190" s="9" t="str">
        <f aca="false">IF(AY190="","",IF(BH190&lt;AY190,BF190,BG190))</f>
        <v/>
      </c>
      <c r="BK190" s="9" t="str">
        <f aca="false">IF(AY190="","",(BI190+BJ190)/2)</f>
        <v/>
      </c>
      <c r="BL190" s="9" t="str">
        <f aca="false">IF(OR(R190="",N190="",BK190="",R190&lt;=0,BK190&lt;=0),"",(1/Inputs!$B$9)*((R190^2/8)*((2*ACOS(1-2*BK190/R190))-SIN((2*ACOS(1-2*BK190/R190)))))*((((R190^2/8)*((2*ACOS(1-2*BK190/R190))-SIN((2*ACOS(1-2*BK190/R190)))))/((R190/2)*((2*ACOS(1-2*BK190/R190)))))^(2/3))*SQRT(N190))</f>
        <v/>
      </c>
      <c r="BM190" s="9" t="str">
        <f aca="false">IF(AY190="","",IF(BL190&lt;AY190,BK190,BI190))</f>
        <v/>
      </c>
      <c r="BN190" s="9" t="str">
        <f aca="false">IF(AY190="","",IF(BL190&lt;AY190,BJ190,BK190))</f>
        <v/>
      </c>
      <c r="BO190" s="9" t="str">
        <f aca="false">IF(AY190="","",(BM190+BN190)/2)</f>
        <v/>
      </c>
      <c r="BP190" s="9" t="str">
        <f aca="false">IF(OR(R190="",N190="",BO190="",R190&lt;=0,BO190&lt;=0),"",(1/Inputs!$B$9)*((R190^2/8)*((2*ACOS(1-2*BO190/R190))-SIN((2*ACOS(1-2*BO190/R190)))))*((((R190^2/8)*((2*ACOS(1-2*BO190/R190))-SIN((2*ACOS(1-2*BO190/R190)))))/((R190/2)*((2*ACOS(1-2*BO190/R190)))))^(2/3))*SQRT(N190))</f>
        <v/>
      </c>
      <c r="BQ190" s="9" t="str">
        <f aca="false">IF(AY190="","",IF(BP190&lt;AY190,BO190,BM190))</f>
        <v/>
      </c>
      <c r="BR190" s="9" t="str">
        <f aca="false">IF(AY190="","",IF(BP190&lt;AY190,BN190,BO190))</f>
        <v/>
      </c>
      <c r="BS190" s="9" t="str">
        <f aca="false">IF(AY190="","",(BQ190+BR190)/2)</f>
        <v/>
      </c>
      <c r="BT190" s="9" t="str">
        <f aca="false">IF(OR(R190="",N190="",BS190="",R190&lt;=0,BS190&lt;=0),"",(1/Inputs!$B$9)*((R190^2/8)*((2*ACOS(1-2*BS190/R190))-SIN((2*ACOS(1-2*BS190/R190)))))*((((R190^2/8)*((2*ACOS(1-2*BS190/R190))-SIN((2*ACOS(1-2*BS190/R190)))))/((R190/2)*((2*ACOS(1-2*BS190/R190)))))^(2/3))*SQRT(N190))</f>
        <v/>
      </c>
      <c r="BU190" s="9" t="str">
        <f aca="false">IF(AY190="","",IF(BT190&lt;AY190,BS190,BQ190))</f>
        <v/>
      </c>
      <c r="BV190" s="9" t="str">
        <f aca="false">IF(AY190="","",IF(BT190&lt;AY190,BR190,BS190))</f>
        <v/>
      </c>
      <c r="BW190" s="9" t="str">
        <f aca="false">IF(AY190="","",(BU190+BV190)/2)</f>
        <v/>
      </c>
      <c r="BX190" s="9" t="str">
        <f aca="false">IF(OR(R190="",N190="",BW190="",R190&lt;=0,BW190&lt;=0),"",(1/Inputs!$B$9)*((R190^2/8)*((2*ACOS(1-2*BW190/R190))-SIN((2*ACOS(1-2*BW190/R190)))))*((((R190^2/8)*((2*ACOS(1-2*BW190/R190))-SIN((2*ACOS(1-2*BW190/R190)))))/((R190/2)*((2*ACOS(1-2*BW190/R190)))))^(2/3))*SQRT(N190))</f>
        <v/>
      </c>
      <c r="BY190" s="9" t="str">
        <f aca="false">IF(AY190="","",IF(BX190&lt;AY190,BW190,BU190))</f>
        <v/>
      </c>
      <c r="BZ190" s="9" t="str">
        <f aca="false">IF(AY190="","",IF(BX190&lt;AY190,BV190,BW190))</f>
        <v/>
      </c>
      <c r="CA190" s="9" t="str">
        <f aca="false">IF(AY190="","",(BY190+BZ190)/2)</f>
        <v/>
      </c>
      <c r="CB190" s="9" t="str">
        <f aca="false">IF(OR(R190="",N190="",CA190="",R190&lt;=0,CA190&lt;=0),"",(1/Inputs!$B$9)*((R190^2/8)*((2*ACOS(1-2*CA190/R190))-SIN((2*ACOS(1-2*CA190/R190)))))*((((R190^2/8)*((2*ACOS(1-2*CA190/R190))-SIN((2*ACOS(1-2*CA190/R190)))))/((R190/2)*((2*ACOS(1-2*CA190/R190)))))^(2/3))*SQRT(N190))</f>
        <v/>
      </c>
      <c r="CC190" s="9" t="str">
        <f aca="false">IF(AY190="","",IF(CB190&lt;AY190,CA190,BY190))</f>
        <v/>
      </c>
      <c r="CD190" s="9" t="str">
        <f aca="false">IF(AY190="","",IF(CB190&lt;AY190,BZ190,CA190))</f>
        <v/>
      </c>
      <c r="CE190" s="9" t="str">
        <f aca="false">IF(AY190="","",(CC190+CD190)/2)</f>
        <v/>
      </c>
    </row>
    <row r="191" customFormat="false" ht="15" hidden="false" customHeight="false" outlineLevel="0" collapsed="false">
      <c r="A191" s="9"/>
      <c r="B191" s="9"/>
      <c r="C191" s="14"/>
      <c r="D191" s="14"/>
      <c r="E191" s="14" t="n">
        <f aca="false">SUMIFS(CB_Tributaires!$C:$C,CB_Tributaires!$B:$B,$A191)</f>
        <v>0</v>
      </c>
      <c r="F191" s="14" t="n">
        <f aca="false">IF(D191="",E191,D191)</f>
        <v>0</v>
      </c>
      <c r="G191" s="9"/>
      <c r="H191" s="14"/>
      <c r="I191" s="14" t="str">
        <f aca="false">IF(A191="","",Inputs!$B$13/((IF(AS191="",Inputs!$B$18,AS191)+Inputs!$B$14)^Inputs!$B$15))</f>
        <v/>
      </c>
      <c r="J191" s="14" t="str">
        <f aca="false">IF(A191="","",0.000000278*IF(G191="",Inputs!$B$17,G191)*F191*I191)</f>
        <v/>
      </c>
      <c r="K191" s="14" t="str">
        <f aca="false">IF(A191="","",SUMIFS($L$4:$L$203,$B$4:$B$203,$A191))</f>
        <v/>
      </c>
      <c r="L191" s="14" t="str">
        <f aca="false">IF(A191="","",(J191+K191)*Inputs!$B$16)</f>
        <v/>
      </c>
      <c r="M191" s="14"/>
      <c r="N191" s="14" t="str">
        <f aca="false">IF(A191="","",IF(M191="",Inputs!$B$7,M191))</f>
        <v/>
      </c>
      <c r="O191" s="9" t="str">
        <f aca="false">IF(A191="","",IF(L191/Inputs!$B$10&lt;=AD191,Inputs!$F$5,IF(L191/Inputs!$B$10&gt;AM191,"OVERSIZE",INDEX(Inputs!$F$5:$F$14,MATCH(L191/Inputs!$B$10,AD191:AM191,1)+1))))</f>
        <v/>
      </c>
      <c r="P191" s="9"/>
      <c r="Q191" s="9" t="str">
        <f aca="false">IF(A191="","",IF(P191="",O191,P191))</f>
        <v/>
      </c>
      <c r="R191" s="14" t="str">
        <f aca="false">IF(OR(Q191="",Q191="OVERSIZE"),"",Q191/1000)</f>
        <v/>
      </c>
      <c r="S191" s="14" t="str">
        <f aca="false">IF(R191="","",(1/Inputs!$B$9)*(PI()*R191^2/4)*((R191/4)^(2/3))*SQRT(N191))</f>
        <v/>
      </c>
      <c r="T191" s="14" t="str">
        <f aca="false">IF(OR(S191="",L191=""),"",L191/(S191*Inputs!$B$10))</f>
        <v/>
      </c>
      <c r="U191" s="14" t="str">
        <f aca="false">IF(OR(R191="",L191=""),"",4*L191/(PI()*R191^2))</f>
        <v/>
      </c>
      <c r="V191" s="14"/>
      <c r="W191" s="14" t="str">
        <f aca="false">IF(A191="","",IF(A191=Inputs!$B$6,Inputs!$B$22,IF(B191="","",IFERROR(INDEX($X$4:$X$203,MATCH(B191,$A$4:$A$203,0))+IF(V191="",Inputs!$B$20,V191),""))))</f>
        <v/>
      </c>
      <c r="X191" s="14" t="str">
        <f aca="false">IF(OR(W191="",N191="",C191=""),"",W191+N191*C191)</f>
        <v/>
      </c>
      <c r="Y191" s="14"/>
      <c r="Z191" s="14"/>
      <c r="AA191" s="14" t="str">
        <f aca="false">IF(OR(Y191="",W191=""),"",Y191-W191)</f>
        <v/>
      </c>
      <c r="AB191" s="14" t="str">
        <f aca="false">IF(OR(Z191="",X191=""),"",Z191-X191)</f>
        <v/>
      </c>
      <c r="AC191" s="19" t="str">
        <f aca="false">IF(A191="","",IF(OR(T191&gt;1,AND(AV191&lt;&gt;"",AV191&lt;Inputs!$B$11),AND(AV191&lt;&gt;"",AV191&gt;Inputs!$B$12),AA191&lt;Inputs!$B$19,AB191&lt;Inputs!$B$19,N191&lt;Inputs!$B$7,N191&gt;Inputs!$B$8),"CHECK","OK"))</f>
        <v/>
      </c>
      <c r="AD191" s="9" t="str">
        <f aca="false">IF(A191="","",(1/Inputs!$B$9)*(PI()*(Inputs!$F$5/1000)^2/4)*((Inputs!$F$5/1000/4)^(2/3))*SQRT(N191))</f>
        <v/>
      </c>
      <c r="AE191" s="9" t="str">
        <f aca="false">IF(A191="","",(1/Inputs!$B$9)*(PI()*(Inputs!$F$6/1000)^2/4)*((Inputs!$F$6/1000/4)^(2/3))*SQRT(N191))</f>
        <v/>
      </c>
      <c r="AF191" s="9" t="str">
        <f aca="false">IF(A191="","",(1/Inputs!$B$9)*(PI()*(Inputs!$F$7/1000)^2/4)*((Inputs!$F$7/1000/4)^(2/3))*SQRT(N191))</f>
        <v/>
      </c>
      <c r="AG191" s="9" t="str">
        <f aca="false">IF(A191="","",(1/Inputs!$B$9)*(PI()*(Inputs!$F$8/1000)^2/4)*((Inputs!$F$8/1000/4)^(2/3))*SQRT(N191))</f>
        <v/>
      </c>
      <c r="AH191" s="9" t="str">
        <f aca="false">IF(A191="","",(1/Inputs!$B$9)*(PI()*(Inputs!$F$9/1000)^2/4)*((Inputs!$F$9/1000/4)^(2/3))*SQRT(N191))</f>
        <v/>
      </c>
      <c r="AI191" s="9" t="str">
        <f aca="false">IF(A191="","",(1/Inputs!$B$9)*(PI()*(Inputs!$F$10/1000)^2/4)*((Inputs!$F$10/1000/4)^(2/3))*SQRT(N191))</f>
        <v/>
      </c>
      <c r="AJ191" s="9" t="str">
        <f aca="false">IF(A191="","",(1/Inputs!$B$9)*(PI()*(Inputs!$F$11/1000)^2/4)*((Inputs!$F$11/1000/4)^(2/3))*SQRT(N191))</f>
        <v/>
      </c>
      <c r="AK191" s="9" t="str">
        <f aca="false">IF(A191="","",(1/Inputs!$B$9)*(PI()*(Inputs!$F$12/1000)^2/4)*((Inputs!$F$12/1000/4)^(2/3))*SQRT(N191))</f>
        <v/>
      </c>
      <c r="AL191" s="9" t="str">
        <f aca="false">IF(A191="","",(1/Inputs!$B$9)*(PI()*(Inputs!$F$13/1000)^2/4)*((Inputs!$F$13/1000/4)^(2/3))*SQRT(N191))</f>
        <v/>
      </c>
      <c r="AM191" s="9" t="str">
        <f aca="false">IF(A191="","",(1/Inputs!$B$9)*(PI()*(Inputs!$F$14/1000)^2/4)*((Inputs!$F$14/1000/4)^(2/3))*SQRT(N191))</f>
        <v/>
      </c>
      <c r="AN191" s="9" t="str">
        <f aca="false">IF(A191="","",COUNTIF($B$4:$B$203,$A191))</f>
        <v/>
      </c>
      <c r="AO191" s="9" t="str">
        <f aca="false">IF(A191="","",IF(AN191=0,"START","CONTINUOUS"))</f>
        <v/>
      </c>
      <c r="AP191" s="13" t="str">
        <f aca="false">IF(A191="","",IF(H191="",Inputs!$B$18,H191))</f>
        <v/>
      </c>
      <c r="AQ191" s="13" t="str">
        <f aca="false">IF(A191="","",IFERROR(maxifs($AS$4:$AS$203,$B$4:$B$203,$A191),""))</f>
        <v/>
      </c>
      <c r="AR191" s="13" t="str">
        <f aca="false">IF(A191="","",IF(OR(C191="",Inputs!$B$23=""),"",C191/(Inputs!$B$23*60)))</f>
        <v/>
      </c>
      <c r="AS191" s="13" t="str">
        <f aca="false">IF(A191="","",IF(AN191=0,AP191+AR191,IF(AQ191="",AP191+AR191,AQ191+AR191)))</f>
        <v/>
      </c>
      <c r="AT191" s="13" t="str">
        <f aca="false">IF(A191="","",U191)</f>
        <v/>
      </c>
      <c r="AU191" s="13" t="str">
        <f aca="false">IF(OR(R191="",N191=""),"",(1/Inputs!$B$9)*((R191/4)^(2/3))*SQRT(N191))</f>
        <v/>
      </c>
      <c r="AV191" s="13" t="str">
        <f aca="false">IF(A191="","",IF(AND(AT191="",AU191="",AX191=""),"",IF(OR(UPPER(TRIM(Inputs!$B$24))="MANNING",UPPER(TRIM(Inputs!$B$24))="M"),AU191,IF(OR(UPPER(TRIM(Inputs!$B$24))="PARTIAL",UPPER(TRIM(Inputs!$B$24))="P"),AX191,IF(OR(UPPER(TRIM(Inputs!$B$24))="MAX",UPPER(TRIM(Inputs!$B$24))="X"),MAX(IF(AT191="",0,AT191),IF(AU191="",0,AU191),IF(AX191="",0,AX191)),AT191)))))</f>
        <v/>
      </c>
      <c r="AW191" s="13" t="str">
        <f aca="false">IF(AY191="","",CE191)</f>
        <v/>
      </c>
      <c r="AX191" s="13" t="str">
        <f aca="false">IF(OR(AY191="",AW191="",R191="",R191&lt;=0,AW191&lt;=0),"",AY191/((R191^2/8)*(2*ACOS(1-2*AW191/R191)-SIN(2*ACOS(1-2*AW191/R191)))))</f>
        <v/>
      </c>
      <c r="AY191" s="9" t="str">
        <f aca="false">IF(OR(L191="",AZ191=""),"",MIN(L191,AZ191))</f>
        <v/>
      </c>
      <c r="AZ191" s="9" t="str">
        <f aca="false">IF(OR(L191="",R191="",N191=""),"",IF(OR(R191="",N191="",(0.94*R191)="",R191&lt;=0,(0.94*R191)&lt;=0),"",(1/Inputs!$B$9)*((R191^2/8)*((2*ACOS(1-2*(0.94*R191)/R191))-SIN((2*ACOS(1-2*(0.94*R191)/R191)))))*((((R191^2/8)*((2*ACOS(1-2*(0.94*R191)/R191))-SIN((2*ACOS(1-2*(0.94*R191)/R191)))))/((R191/2)*((2*ACOS(1-2*(0.94*R191)/R191)))))^(2/3))*SQRT(N191)))</f>
        <v/>
      </c>
      <c r="BA191" s="9" t="str">
        <f aca="false">IF(AY191="","",0.001*R191)</f>
        <v/>
      </c>
      <c r="BB191" s="9" t="str">
        <f aca="false">IF(AY191="","",0.94*R191)</f>
        <v/>
      </c>
      <c r="BC191" s="9" t="str">
        <f aca="false">IF(AY191="","",(BA191+BB191)/2)</f>
        <v/>
      </c>
      <c r="BD191" s="9" t="str">
        <f aca="false">IF(OR(R191="",N191="",BC191="",R191&lt;=0,BC191&lt;=0),"",(1/Inputs!$B$9)*((R191^2/8)*((2*ACOS(1-2*BC191/R191))-SIN((2*ACOS(1-2*BC191/R191)))))*((((R191^2/8)*((2*ACOS(1-2*BC191/R191))-SIN((2*ACOS(1-2*BC191/R191)))))/((R191/2)*((2*ACOS(1-2*BC191/R191)))))^(2/3))*SQRT(N191))</f>
        <v/>
      </c>
      <c r="BE191" s="9" t="str">
        <f aca="false">IF(AY191="","",IF(BD191&lt;AY191,BC191,BA191))</f>
        <v/>
      </c>
      <c r="BF191" s="9" t="str">
        <f aca="false">IF(AY191="","",IF(BD191&lt;AY191,BB191,BC191))</f>
        <v/>
      </c>
      <c r="BG191" s="9" t="str">
        <f aca="false">IF(AY191="","",(BE191+BF191)/2)</f>
        <v/>
      </c>
      <c r="BH191" s="9" t="str">
        <f aca="false">IF(OR(R191="",N191="",BG191="",R191&lt;=0,BG191&lt;=0),"",(1/Inputs!$B$9)*((R191^2/8)*((2*ACOS(1-2*BG191/R191))-SIN((2*ACOS(1-2*BG191/R191)))))*((((R191^2/8)*((2*ACOS(1-2*BG191/R191))-SIN((2*ACOS(1-2*BG191/R191)))))/((R191/2)*((2*ACOS(1-2*BG191/R191)))))^(2/3))*SQRT(N191))</f>
        <v/>
      </c>
      <c r="BI191" s="9" t="str">
        <f aca="false">IF(AY191="","",IF(BH191&lt;AY191,BG191,BE191))</f>
        <v/>
      </c>
      <c r="BJ191" s="9" t="str">
        <f aca="false">IF(AY191="","",IF(BH191&lt;AY191,BF191,BG191))</f>
        <v/>
      </c>
      <c r="BK191" s="9" t="str">
        <f aca="false">IF(AY191="","",(BI191+BJ191)/2)</f>
        <v/>
      </c>
      <c r="BL191" s="9" t="str">
        <f aca="false">IF(OR(R191="",N191="",BK191="",R191&lt;=0,BK191&lt;=0),"",(1/Inputs!$B$9)*((R191^2/8)*((2*ACOS(1-2*BK191/R191))-SIN((2*ACOS(1-2*BK191/R191)))))*((((R191^2/8)*((2*ACOS(1-2*BK191/R191))-SIN((2*ACOS(1-2*BK191/R191)))))/((R191/2)*((2*ACOS(1-2*BK191/R191)))))^(2/3))*SQRT(N191))</f>
        <v/>
      </c>
      <c r="BM191" s="9" t="str">
        <f aca="false">IF(AY191="","",IF(BL191&lt;AY191,BK191,BI191))</f>
        <v/>
      </c>
      <c r="BN191" s="9" t="str">
        <f aca="false">IF(AY191="","",IF(BL191&lt;AY191,BJ191,BK191))</f>
        <v/>
      </c>
      <c r="BO191" s="9" t="str">
        <f aca="false">IF(AY191="","",(BM191+BN191)/2)</f>
        <v/>
      </c>
      <c r="BP191" s="9" t="str">
        <f aca="false">IF(OR(R191="",N191="",BO191="",R191&lt;=0,BO191&lt;=0),"",(1/Inputs!$B$9)*((R191^2/8)*((2*ACOS(1-2*BO191/R191))-SIN((2*ACOS(1-2*BO191/R191)))))*((((R191^2/8)*((2*ACOS(1-2*BO191/R191))-SIN((2*ACOS(1-2*BO191/R191)))))/((R191/2)*((2*ACOS(1-2*BO191/R191)))))^(2/3))*SQRT(N191))</f>
        <v/>
      </c>
      <c r="BQ191" s="9" t="str">
        <f aca="false">IF(AY191="","",IF(BP191&lt;AY191,BO191,BM191))</f>
        <v/>
      </c>
      <c r="BR191" s="9" t="str">
        <f aca="false">IF(AY191="","",IF(BP191&lt;AY191,BN191,BO191))</f>
        <v/>
      </c>
      <c r="BS191" s="9" t="str">
        <f aca="false">IF(AY191="","",(BQ191+BR191)/2)</f>
        <v/>
      </c>
      <c r="BT191" s="9" t="str">
        <f aca="false">IF(OR(R191="",N191="",BS191="",R191&lt;=0,BS191&lt;=0),"",(1/Inputs!$B$9)*((R191^2/8)*((2*ACOS(1-2*BS191/R191))-SIN((2*ACOS(1-2*BS191/R191)))))*((((R191^2/8)*((2*ACOS(1-2*BS191/R191))-SIN((2*ACOS(1-2*BS191/R191)))))/((R191/2)*((2*ACOS(1-2*BS191/R191)))))^(2/3))*SQRT(N191))</f>
        <v/>
      </c>
      <c r="BU191" s="9" t="str">
        <f aca="false">IF(AY191="","",IF(BT191&lt;AY191,BS191,BQ191))</f>
        <v/>
      </c>
      <c r="BV191" s="9" t="str">
        <f aca="false">IF(AY191="","",IF(BT191&lt;AY191,BR191,BS191))</f>
        <v/>
      </c>
      <c r="BW191" s="9" t="str">
        <f aca="false">IF(AY191="","",(BU191+BV191)/2)</f>
        <v/>
      </c>
      <c r="BX191" s="9" t="str">
        <f aca="false">IF(OR(R191="",N191="",BW191="",R191&lt;=0,BW191&lt;=0),"",(1/Inputs!$B$9)*((R191^2/8)*((2*ACOS(1-2*BW191/R191))-SIN((2*ACOS(1-2*BW191/R191)))))*((((R191^2/8)*((2*ACOS(1-2*BW191/R191))-SIN((2*ACOS(1-2*BW191/R191)))))/((R191/2)*((2*ACOS(1-2*BW191/R191)))))^(2/3))*SQRT(N191))</f>
        <v/>
      </c>
      <c r="BY191" s="9" t="str">
        <f aca="false">IF(AY191="","",IF(BX191&lt;AY191,BW191,BU191))</f>
        <v/>
      </c>
      <c r="BZ191" s="9" t="str">
        <f aca="false">IF(AY191="","",IF(BX191&lt;AY191,BV191,BW191))</f>
        <v/>
      </c>
      <c r="CA191" s="9" t="str">
        <f aca="false">IF(AY191="","",(BY191+BZ191)/2)</f>
        <v/>
      </c>
      <c r="CB191" s="9" t="str">
        <f aca="false">IF(OR(R191="",N191="",CA191="",R191&lt;=0,CA191&lt;=0),"",(1/Inputs!$B$9)*((R191^2/8)*((2*ACOS(1-2*CA191/R191))-SIN((2*ACOS(1-2*CA191/R191)))))*((((R191^2/8)*((2*ACOS(1-2*CA191/R191))-SIN((2*ACOS(1-2*CA191/R191)))))/((R191/2)*((2*ACOS(1-2*CA191/R191)))))^(2/3))*SQRT(N191))</f>
        <v/>
      </c>
      <c r="CC191" s="9" t="str">
        <f aca="false">IF(AY191="","",IF(CB191&lt;AY191,CA191,BY191))</f>
        <v/>
      </c>
      <c r="CD191" s="9" t="str">
        <f aca="false">IF(AY191="","",IF(CB191&lt;AY191,BZ191,CA191))</f>
        <v/>
      </c>
      <c r="CE191" s="9" t="str">
        <f aca="false">IF(AY191="","",(CC191+CD191)/2)</f>
        <v/>
      </c>
    </row>
    <row r="192" customFormat="false" ht="15" hidden="false" customHeight="false" outlineLevel="0" collapsed="false">
      <c r="A192" s="9"/>
      <c r="B192" s="9"/>
      <c r="C192" s="14"/>
      <c r="D192" s="14"/>
      <c r="E192" s="14" t="n">
        <f aca="false">SUMIFS(CB_Tributaires!$C:$C,CB_Tributaires!$B:$B,$A192)</f>
        <v>0</v>
      </c>
      <c r="F192" s="14" t="n">
        <f aca="false">IF(D192="",E192,D192)</f>
        <v>0</v>
      </c>
      <c r="G192" s="9"/>
      <c r="H192" s="14"/>
      <c r="I192" s="14" t="str">
        <f aca="false">IF(A192="","",Inputs!$B$13/((IF(AS192="",Inputs!$B$18,AS192)+Inputs!$B$14)^Inputs!$B$15))</f>
        <v/>
      </c>
      <c r="J192" s="14" t="str">
        <f aca="false">IF(A192="","",0.000000278*IF(G192="",Inputs!$B$17,G192)*F192*I192)</f>
        <v/>
      </c>
      <c r="K192" s="14" t="str">
        <f aca="false">IF(A192="","",SUMIFS($L$4:$L$203,$B$4:$B$203,$A192))</f>
        <v/>
      </c>
      <c r="L192" s="14" t="str">
        <f aca="false">IF(A192="","",(J192+K192)*Inputs!$B$16)</f>
        <v/>
      </c>
      <c r="M192" s="14"/>
      <c r="N192" s="14" t="str">
        <f aca="false">IF(A192="","",IF(M192="",Inputs!$B$7,M192))</f>
        <v/>
      </c>
      <c r="O192" s="9" t="str">
        <f aca="false">IF(A192="","",IF(L192/Inputs!$B$10&lt;=AD192,Inputs!$F$5,IF(L192/Inputs!$B$10&gt;AM192,"OVERSIZE",INDEX(Inputs!$F$5:$F$14,MATCH(L192/Inputs!$B$10,AD192:AM192,1)+1))))</f>
        <v/>
      </c>
      <c r="P192" s="9"/>
      <c r="Q192" s="9" t="str">
        <f aca="false">IF(A192="","",IF(P192="",O192,P192))</f>
        <v/>
      </c>
      <c r="R192" s="14" t="str">
        <f aca="false">IF(OR(Q192="",Q192="OVERSIZE"),"",Q192/1000)</f>
        <v/>
      </c>
      <c r="S192" s="14" t="str">
        <f aca="false">IF(R192="","",(1/Inputs!$B$9)*(PI()*R192^2/4)*((R192/4)^(2/3))*SQRT(N192))</f>
        <v/>
      </c>
      <c r="T192" s="14" t="str">
        <f aca="false">IF(OR(S192="",L192=""),"",L192/(S192*Inputs!$B$10))</f>
        <v/>
      </c>
      <c r="U192" s="14" t="str">
        <f aca="false">IF(OR(R192="",L192=""),"",4*L192/(PI()*R192^2))</f>
        <v/>
      </c>
      <c r="V192" s="14"/>
      <c r="W192" s="14" t="str">
        <f aca="false">IF(A192="","",IF(A192=Inputs!$B$6,Inputs!$B$22,IF(B192="","",IFERROR(INDEX($X$4:$X$203,MATCH(B192,$A$4:$A$203,0))+IF(V192="",Inputs!$B$20,V192),""))))</f>
        <v/>
      </c>
      <c r="X192" s="14" t="str">
        <f aca="false">IF(OR(W192="",N192="",C192=""),"",W192+N192*C192)</f>
        <v/>
      </c>
      <c r="Y192" s="14"/>
      <c r="Z192" s="14"/>
      <c r="AA192" s="14" t="str">
        <f aca="false">IF(OR(Y192="",W192=""),"",Y192-W192)</f>
        <v/>
      </c>
      <c r="AB192" s="14" t="str">
        <f aca="false">IF(OR(Z192="",X192=""),"",Z192-X192)</f>
        <v/>
      </c>
      <c r="AC192" s="19" t="str">
        <f aca="false">IF(A192="","",IF(OR(T192&gt;1,AND(AV192&lt;&gt;"",AV192&lt;Inputs!$B$11),AND(AV192&lt;&gt;"",AV192&gt;Inputs!$B$12),AA192&lt;Inputs!$B$19,AB192&lt;Inputs!$B$19,N192&lt;Inputs!$B$7,N192&gt;Inputs!$B$8),"CHECK","OK"))</f>
        <v/>
      </c>
      <c r="AD192" s="9" t="str">
        <f aca="false">IF(A192="","",(1/Inputs!$B$9)*(PI()*(Inputs!$F$5/1000)^2/4)*((Inputs!$F$5/1000/4)^(2/3))*SQRT(N192))</f>
        <v/>
      </c>
      <c r="AE192" s="9" t="str">
        <f aca="false">IF(A192="","",(1/Inputs!$B$9)*(PI()*(Inputs!$F$6/1000)^2/4)*((Inputs!$F$6/1000/4)^(2/3))*SQRT(N192))</f>
        <v/>
      </c>
      <c r="AF192" s="9" t="str">
        <f aca="false">IF(A192="","",(1/Inputs!$B$9)*(PI()*(Inputs!$F$7/1000)^2/4)*((Inputs!$F$7/1000/4)^(2/3))*SQRT(N192))</f>
        <v/>
      </c>
      <c r="AG192" s="9" t="str">
        <f aca="false">IF(A192="","",(1/Inputs!$B$9)*(PI()*(Inputs!$F$8/1000)^2/4)*((Inputs!$F$8/1000/4)^(2/3))*SQRT(N192))</f>
        <v/>
      </c>
      <c r="AH192" s="9" t="str">
        <f aca="false">IF(A192="","",(1/Inputs!$B$9)*(PI()*(Inputs!$F$9/1000)^2/4)*((Inputs!$F$9/1000/4)^(2/3))*SQRT(N192))</f>
        <v/>
      </c>
      <c r="AI192" s="9" t="str">
        <f aca="false">IF(A192="","",(1/Inputs!$B$9)*(PI()*(Inputs!$F$10/1000)^2/4)*((Inputs!$F$10/1000/4)^(2/3))*SQRT(N192))</f>
        <v/>
      </c>
      <c r="AJ192" s="9" t="str">
        <f aca="false">IF(A192="","",(1/Inputs!$B$9)*(PI()*(Inputs!$F$11/1000)^2/4)*((Inputs!$F$11/1000/4)^(2/3))*SQRT(N192))</f>
        <v/>
      </c>
      <c r="AK192" s="9" t="str">
        <f aca="false">IF(A192="","",(1/Inputs!$B$9)*(PI()*(Inputs!$F$12/1000)^2/4)*((Inputs!$F$12/1000/4)^(2/3))*SQRT(N192))</f>
        <v/>
      </c>
      <c r="AL192" s="9" t="str">
        <f aca="false">IF(A192="","",(1/Inputs!$B$9)*(PI()*(Inputs!$F$13/1000)^2/4)*((Inputs!$F$13/1000/4)^(2/3))*SQRT(N192))</f>
        <v/>
      </c>
      <c r="AM192" s="9" t="str">
        <f aca="false">IF(A192="","",(1/Inputs!$B$9)*(PI()*(Inputs!$F$14/1000)^2/4)*((Inputs!$F$14/1000/4)^(2/3))*SQRT(N192))</f>
        <v/>
      </c>
      <c r="AN192" s="9" t="str">
        <f aca="false">IF(A192="","",COUNTIF($B$4:$B$203,$A192))</f>
        <v/>
      </c>
      <c r="AO192" s="9" t="str">
        <f aca="false">IF(A192="","",IF(AN192=0,"START","CONTINUOUS"))</f>
        <v/>
      </c>
      <c r="AP192" s="13" t="str">
        <f aca="false">IF(A192="","",IF(H192="",Inputs!$B$18,H192))</f>
        <v/>
      </c>
      <c r="AQ192" s="13" t="str">
        <f aca="false">IF(A192="","",IFERROR(maxifs($AS$4:$AS$203,$B$4:$B$203,$A192),""))</f>
        <v/>
      </c>
      <c r="AR192" s="13" t="str">
        <f aca="false">IF(A192="","",IF(OR(C192="",Inputs!$B$23=""),"",C192/(Inputs!$B$23*60)))</f>
        <v/>
      </c>
      <c r="AS192" s="13" t="str">
        <f aca="false">IF(A192="","",IF(AN192=0,AP192+AR192,IF(AQ192="",AP192+AR192,AQ192+AR192)))</f>
        <v/>
      </c>
      <c r="AT192" s="13" t="str">
        <f aca="false">IF(A192="","",U192)</f>
        <v/>
      </c>
      <c r="AU192" s="13" t="str">
        <f aca="false">IF(OR(R192="",N192=""),"",(1/Inputs!$B$9)*((R192/4)^(2/3))*SQRT(N192))</f>
        <v/>
      </c>
      <c r="AV192" s="13" t="str">
        <f aca="false">IF(A192="","",IF(AND(AT192="",AU192="",AX192=""),"",IF(OR(UPPER(TRIM(Inputs!$B$24))="MANNING",UPPER(TRIM(Inputs!$B$24))="M"),AU192,IF(OR(UPPER(TRIM(Inputs!$B$24))="PARTIAL",UPPER(TRIM(Inputs!$B$24))="P"),AX192,IF(OR(UPPER(TRIM(Inputs!$B$24))="MAX",UPPER(TRIM(Inputs!$B$24))="X"),MAX(IF(AT192="",0,AT192),IF(AU192="",0,AU192),IF(AX192="",0,AX192)),AT192)))))</f>
        <v/>
      </c>
      <c r="AW192" s="13" t="str">
        <f aca="false">IF(AY192="","",CE192)</f>
        <v/>
      </c>
      <c r="AX192" s="13" t="str">
        <f aca="false">IF(OR(AY192="",AW192="",R192="",R192&lt;=0,AW192&lt;=0),"",AY192/((R192^2/8)*(2*ACOS(1-2*AW192/R192)-SIN(2*ACOS(1-2*AW192/R192)))))</f>
        <v/>
      </c>
      <c r="AY192" s="9" t="str">
        <f aca="false">IF(OR(L192="",AZ192=""),"",MIN(L192,AZ192))</f>
        <v/>
      </c>
      <c r="AZ192" s="9" t="str">
        <f aca="false">IF(OR(L192="",R192="",N192=""),"",IF(OR(R192="",N192="",(0.94*R192)="",R192&lt;=0,(0.94*R192)&lt;=0),"",(1/Inputs!$B$9)*((R192^2/8)*((2*ACOS(1-2*(0.94*R192)/R192))-SIN((2*ACOS(1-2*(0.94*R192)/R192)))))*((((R192^2/8)*((2*ACOS(1-2*(0.94*R192)/R192))-SIN((2*ACOS(1-2*(0.94*R192)/R192)))))/((R192/2)*((2*ACOS(1-2*(0.94*R192)/R192)))))^(2/3))*SQRT(N192)))</f>
        <v/>
      </c>
      <c r="BA192" s="9" t="str">
        <f aca="false">IF(AY192="","",0.001*R192)</f>
        <v/>
      </c>
      <c r="BB192" s="9" t="str">
        <f aca="false">IF(AY192="","",0.94*R192)</f>
        <v/>
      </c>
      <c r="BC192" s="9" t="str">
        <f aca="false">IF(AY192="","",(BA192+BB192)/2)</f>
        <v/>
      </c>
      <c r="BD192" s="9" t="str">
        <f aca="false">IF(OR(R192="",N192="",BC192="",R192&lt;=0,BC192&lt;=0),"",(1/Inputs!$B$9)*((R192^2/8)*((2*ACOS(1-2*BC192/R192))-SIN((2*ACOS(1-2*BC192/R192)))))*((((R192^2/8)*((2*ACOS(1-2*BC192/R192))-SIN((2*ACOS(1-2*BC192/R192)))))/((R192/2)*((2*ACOS(1-2*BC192/R192)))))^(2/3))*SQRT(N192))</f>
        <v/>
      </c>
      <c r="BE192" s="9" t="str">
        <f aca="false">IF(AY192="","",IF(BD192&lt;AY192,BC192,BA192))</f>
        <v/>
      </c>
      <c r="BF192" s="9" t="str">
        <f aca="false">IF(AY192="","",IF(BD192&lt;AY192,BB192,BC192))</f>
        <v/>
      </c>
      <c r="BG192" s="9" t="str">
        <f aca="false">IF(AY192="","",(BE192+BF192)/2)</f>
        <v/>
      </c>
      <c r="BH192" s="9" t="str">
        <f aca="false">IF(OR(R192="",N192="",BG192="",R192&lt;=0,BG192&lt;=0),"",(1/Inputs!$B$9)*((R192^2/8)*((2*ACOS(1-2*BG192/R192))-SIN((2*ACOS(1-2*BG192/R192)))))*((((R192^2/8)*((2*ACOS(1-2*BG192/R192))-SIN((2*ACOS(1-2*BG192/R192)))))/((R192/2)*((2*ACOS(1-2*BG192/R192)))))^(2/3))*SQRT(N192))</f>
        <v/>
      </c>
      <c r="BI192" s="9" t="str">
        <f aca="false">IF(AY192="","",IF(BH192&lt;AY192,BG192,BE192))</f>
        <v/>
      </c>
      <c r="BJ192" s="9" t="str">
        <f aca="false">IF(AY192="","",IF(BH192&lt;AY192,BF192,BG192))</f>
        <v/>
      </c>
      <c r="BK192" s="9" t="str">
        <f aca="false">IF(AY192="","",(BI192+BJ192)/2)</f>
        <v/>
      </c>
      <c r="BL192" s="9" t="str">
        <f aca="false">IF(OR(R192="",N192="",BK192="",R192&lt;=0,BK192&lt;=0),"",(1/Inputs!$B$9)*((R192^2/8)*((2*ACOS(1-2*BK192/R192))-SIN((2*ACOS(1-2*BK192/R192)))))*((((R192^2/8)*((2*ACOS(1-2*BK192/R192))-SIN((2*ACOS(1-2*BK192/R192)))))/((R192/2)*((2*ACOS(1-2*BK192/R192)))))^(2/3))*SQRT(N192))</f>
        <v/>
      </c>
      <c r="BM192" s="9" t="str">
        <f aca="false">IF(AY192="","",IF(BL192&lt;AY192,BK192,BI192))</f>
        <v/>
      </c>
      <c r="BN192" s="9" t="str">
        <f aca="false">IF(AY192="","",IF(BL192&lt;AY192,BJ192,BK192))</f>
        <v/>
      </c>
      <c r="BO192" s="9" t="str">
        <f aca="false">IF(AY192="","",(BM192+BN192)/2)</f>
        <v/>
      </c>
      <c r="BP192" s="9" t="str">
        <f aca="false">IF(OR(R192="",N192="",BO192="",R192&lt;=0,BO192&lt;=0),"",(1/Inputs!$B$9)*((R192^2/8)*((2*ACOS(1-2*BO192/R192))-SIN((2*ACOS(1-2*BO192/R192)))))*((((R192^2/8)*((2*ACOS(1-2*BO192/R192))-SIN((2*ACOS(1-2*BO192/R192)))))/((R192/2)*((2*ACOS(1-2*BO192/R192)))))^(2/3))*SQRT(N192))</f>
        <v/>
      </c>
      <c r="BQ192" s="9" t="str">
        <f aca="false">IF(AY192="","",IF(BP192&lt;AY192,BO192,BM192))</f>
        <v/>
      </c>
      <c r="BR192" s="9" t="str">
        <f aca="false">IF(AY192="","",IF(BP192&lt;AY192,BN192,BO192))</f>
        <v/>
      </c>
      <c r="BS192" s="9" t="str">
        <f aca="false">IF(AY192="","",(BQ192+BR192)/2)</f>
        <v/>
      </c>
      <c r="BT192" s="9" t="str">
        <f aca="false">IF(OR(R192="",N192="",BS192="",R192&lt;=0,BS192&lt;=0),"",(1/Inputs!$B$9)*((R192^2/8)*((2*ACOS(1-2*BS192/R192))-SIN((2*ACOS(1-2*BS192/R192)))))*((((R192^2/8)*((2*ACOS(1-2*BS192/R192))-SIN((2*ACOS(1-2*BS192/R192)))))/((R192/2)*((2*ACOS(1-2*BS192/R192)))))^(2/3))*SQRT(N192))</f>
        <v/>
      </c>
      <c r="BU192" s="9" t="str">
        <f aca="false">IF(AY192="","",IF(BT192&lt;AY192,BS192,BQ192))</f>
        <v/>
      </c>
      <c r="BV192" s="9" t="str">
        <f aca="false">IF(AY192="","",IF(BT192&lt;AY192,BR192,BS192))</f>
        <v/>
      </c>
      <c r="BW192" s="9" t="str">
        <f aca="false">IF(AY192="","",(BU192+BV192)/2)</f>
        <v/>
      </c>
      <c r="BX192" s="9" t="str">
        <f aca="false">IF(OR(R192="",N192="",BW192="",R192&lt;=0,BW192&lt;=0),"",(1/Inputs!$B$9)*((R192^2/8)*((2*ACOS(1-2*BW192/R192))-SIN((2*ACOS(1-2*BW192/R192)))))*((((R192^2/8)*((2*ACOS(1-2*BW192/R192))-SIN((2*ACOS(1-2*BW192/R192)))))/((R192/2)*((2*ACOS(1-2*BW192/R192)))))^(2/3))*SQRT(N192))</f>
        <v/>
      </c>
      <c r="BY192" s="9" t="str">
        <f aca="false">IF(AY192="","",IF(BX192&lt;AY192,BW192,BU192))</f>
        <v/>
      </c>
      <c r="BZ192" s="9" t="str">
        <f aca="false">IF(AY192="","",IF(BX192&lt;AY192,BV192,BW192))</f>
        <v/>
      </c>
      <c r="CA192" s="9" t="str">
        <f aca="false">IF(AY192="","",(BY192+BZ192)/2)</f>
        <v/>
      </c>
      <c r="CB192" s="9" t="str">
        <f aca="false">IF(OR(R192="",N192="",CA192="",R192&lt;=0,CA192&lt;=0),"",(1/Inputs!$B$9)*((R192^2/8)*((2*ACOS(1-2*CA192/R192))-SIN((2*ACOS(1-2*CA192/R192)))))*((((R192^2/8)*((2*ACOS(1-2*CA192/R192))-SIN((2*ACOS(1-2*CA192/R192)))))/((R192/2)*((2*ACOS(1-2*CA192/R192)))))^(2/3))*SQRT(N192))</f>
        <v/>
      </c>
      <c r="CC192" s="9" t="str">
        <f aca="false">IF(AY192="","",IF(CB192&lt;AY192,CA192,BY192))</f>
        <v/>
      </c>
      <c r="CD192" s="9" t="str">
        <f aca="false">IF(AY192="","",IF(CB192&lt;AY192,BZ192,CA192))</f>
        <v/>
      </c>
      <c r="CE192" s="9" t="str">
        <f aca="false">IF(AY192="","",(CC192+CD192)/2)</f>
        <v/>
      </c>
    </row>
    <row r="193" customFormat="false" ht="15" hidden="false" customHeight="false" outlineLevel="0" collapsed="false">
      <c r="A193" s="9"/>
      <c r="B193" s="9"/>
      <c r="C193" s="14"/>
      <c r="D193" s="14"/>
      <c r="E193" s="14" t="n">
        <f aca="false">SUMIFS(CB_Tributaires!$C:$C,CB_Tributaires!$B:$B,$A193)</f>
        <v>0</v>
      </c>
      <c r="F193" s="14" t="n">
        <f aca="false">IF(D193="",E193,D193)</f>
        <v>0</v>
      </c>
      <c r="G193" s="9"/>
      <c r="H193" s="14"/>
      <c r="I193" s="14" t="str">
        <f aca="false">IF(A193="","",Inputs!$B$13/((IF(AS193="",Inputs!$B$18,AS193)+Inputs!$B$14)^Inputs!$B$15))</f>
        <v/>
      </c>
      <c r="J193" s="14" t="str">
        <f aca="false">IF(A193="","",0.000000278*IF(G193="",Inputs!$B$17,G193)*F193*I193)</f>
        <v/>
      </c>
      <c r="K193" s="14" t="str">
        <f aca="false">IF(A193="","",SUMIFS($L$4:$L$203,$B$4:$B$203,$A193))</f>
        <v/>
      </c>
      <c r="L193" s="14" t="str">
        <f aca="false">IF(A193="","",(J193+K193)*Inputs!$B$16)</f>
        <v/>
      </c>
      <c r="M193" s="14"/>
      <c r="N193" s="14" t="str">
        <f aca="false">IF(A193="","",IF(M193="",Inputs!$B$7,M193))</f>
        <v/>
      </c>
      <c r="O193" s="9" t="str">
        <f aca="false">IF(A193="","",IF(L193/Inputs!$B$10&lt;=AD193,Inputs!$F$5,IF(L193/Inputs!$B$10&gt;AM193,"OVERSIZE",INDEX(Inputs!$F$5:$F$14,MATCH(L193/Inputs!$B$10,AD193:AM193,1)+1))))</f>
        <v/>
      </c>
      <c r="P193" s="9"/>
      <c r="Q193" s="9" t="str">
        <f aca="false">IF(A193="","",IF(P193="",O193,P193))</f>
        <v/>
      </c>
      <c r="R193" s="14" t="str">
        <f aca="false">IF(OR(Q193="",Q193="OVERSIZE"),"",Q193/1000)</f>
        <v/>
      </c>
      <c r="S193" s="14" t="str">
        <f aca="false">IF(R193="","",(1/Inputs!$B$9)*(PI()*R193^2/4)*((R193/4)^(2/3))*SQRT(N193))</f>
        <v/>
      </c>
      <c r="T193" s="14" t="str">
        <f aca="false">IF(OR(S193="",L193=""),"",L193/(S193*Inputs!$B$10))</f>
        <v/>
      </c>
      <c r="U193" s="14" t="str">
        <f aca="false">IF(OR(R193="",L193=""),"",4*L193/(PI()*R193^2))</f>
        <v/>
      </c>
      <c r="V193" s="14"/>
      <c r="W193" s="14" t="str">
        <f aca="false">IF(A193="","",IF(A193=Inputs!$B$6,Inputs!$B$22,IF(B193="","",IFERROR(INDEX($X$4:$X$203,MATCH(B193,$A$4:$A$203,0))+IF(V193="",Inputs!$B$20,V193),""))))</f>
        <v/>
      </c>
      <c r="X193" s="14" t="str">
        <f aca="false">IF(OR(W193="",N193="",C193=""),"",W193+N193*C193)</f>
        <v/>
      </c>
      <c r="Y193" s="14"/>
      <c r="Z193" s="14"/>
      <c r="AA193" s="14" t="str">
        <f aca="false">IF(OR(Y193="",W193=""),"",Y193-W193)</f>
        <v/>
      </c>
      <c r="AB193" s="14" t="str">
        <f aca="false">IF(OR(Z193="",X193=""),"",Z193-X193)</f>
        <v/>
      </c>
      <c r="AC193" s="19" t="str">
        <f aca="false">IF(A193="","",IF(OR(T193&gt;1,AND(AV193&lt;&gt;"",AV193&lt;Inputs!$B$11),AND(AV193&lt;&gt;"",AV193&gt;Inputs!$B$12),AA193&lt;Inputs!$B$19,AB193&lt;Inputs!$B$19,N193&lt;Inputs!$B$7,N193&gt;Inputs!$B$8),"CHECK","OK"))</f>
        <v/>
      </c>
      <c r="AD193" s="9" t="str">
        <f aca="false">IF(A193="","",(1/Inputs!$B$9)*(PI()*(Inputs!$F$5/1000)^2/4)*((Inputs!$F$5/1000/4)^(2/3))*SQRT(N193))</f>
        <v/>
      </c>
      <c r="AE193" s="9" t="str">
        <f aca="false">IF(A193="","",(1/Inputs!$B$9)*(PI()*(Inputs!$F$6/1000)^2/4)*((Inputs!$F$6/1000/4)^(2/3))*SQRT(N193))</f>
        <v/>
      </c>
      <c r="AF193" s="9" t="str">
        <f aca="false">IF(A193="","",(1/Inputs!$B$9)*(PI()*(Inputs!$F$7/1000)^2/4)*((Inputs!$F$7/1000/4)^(2/3))*SQRT(N193))</f>
        <v/>
      </c>
      <c r="AG193" s="9" t="str">
        <f aca="false">IF(A193="","",(1/Inputs!$B$9)*(PI()*(Inputs!$F$8/1000)^2/4)*((Inputs!$F$8/1000/4)^(2/3))*SQRT(N193))</f>
        <v/>
      </c>
      <c r="AH193" s="9" t="str">
        <f aca="false">IF(A193="","",(1/Inputs!$B$9)*(PI()*(Inputs!$F$9/1000)^2/4)*((Inputs!$F$9/1000/4)^(2/3))*SQRT(N193))</f>
        <v/>
      </c>
      <c r="AI193" s="9" t="str">
        <f aca="false">IF(A193="","",(1/Inputs!$B$9)*(PI()*(Inputs!$F$10/1000)^2/4)*((Inputs!$F$10/1000/4)^(2/3))*SQRT(N193))</f>
        <v/>
      </c>
      <c r="AJ193" s="9" t="str">
        <f aca="false">IF(A193="","",(1/Inputs!$B$9)*(PI()*(Inputs!$F$11/1000)^2/4)*((Inputs!$F$11/1000/4)^(2/3))*SQRT(N193))</f>
        <v/>
      </c>
      <c r="AK193" s="9" t="str">
        <f aca="false">IF(A193="","",(1/Inputs!$B$9)*(PI()*(Inputs!$F$12/1000)^2/4)*((Inputs!$F$12/1000/4)^(2/3))*SQRT(N193))</f>
        <v/>
      </c>
      <c r="AL193" s="9" t="str">
        <f aca="false">IF(A193="","",(1/Inputs!$B$9)*(PI()*(Inputs!$F$13/1000)^2/4)*((Inputs!$F$13/1000/4)^(2/3))*SQRT(N193))</f>
        <v/>
      </c>
      <c r="AM193" s="9" t="str">
        <f aca="false">IF(A193="","",(1/Inputs!$B$9)*(PI()*(Inputs!$F$14/1000)^2/4)*((Inputs!$F$14/1000/4)^(2/3))*SQRT(N193))</f>
        <v/>
      </c>
      <c r="AN193" s="9" t="str">
        <f aca="false">IF(A193="","",COUNTIF($B$4:$B$203,$A193))</f>
        <v/>
      </c>
      <c r="AO193" s="9" t="str">
        <f aca="false">IF(A193="","",IF(AN193=0,"START","CONTINUOUS"))</f>
        <v/>
      </c>
      <c r="AP193" s="13" t="str">
        <f aca="false">IF(A193="","",IF(H193="",Inputs!$B$18,H193))</f>
        <v/>
      </c>
      <c r="AQ193" s="13" t="str">
        <f aca="false">IF(A193="","",IFERROR(maxifs($AS$4:$AS$203,$B$4:$B$203,$A193),""))</f>
        <v/>
      </c>
      <c r="AR193" s="13" t="str">
        <f aca="false">IF(A193="","",IF(OR(C193="",Inputs!$B$23=""),"",C193/(Inputs!$B$23*60)))</f>
        <v/>
      </c>
      <c r="AS193" s="13" t="str">
        <f aca="false">IF(A193="","",IF(AN193=0,AP193+AR193,IF(AQ193="",AP193+AR193,AQ193+AR193)))</f>
        <v/>
      </c>
      <c r="AT193" s="13" t="str">
        <f aca="false">IF(A193="","",U193)</f>
        <v/>
      </c>
      <c r="AU193" s="13" t="str">
        <f aca="false">IF(OR(R193="",N193=""),"",(1/Inputs!$B$9)*((R193/4)^(2/3))*SQRT(N193))</f>
        <v/>
      </c>
      <c r="AV193" s="13" t="str">
        <f aca="false">IF(A193="","",IF(AND(AT193="",AU193="",AX193=""),"",IF(OR(UPPER(TRIM(Inputs!$B$24))="MANNING",UPPER(TRIM(Inputs!$B$24))="M"),AU193,IF(OR(UPPER(TRIM(Inputs!$B$24))="PARTIAL",UPPER(TRIM(Inputs!$B$24))="P"),AX193,IF(OR(UPPER(TRIM(Inputs!$B$24))="MAX",UPPER(TRIM(Inputs!$B$24))="X"),MAX(IF(AT193="",0,AT193),IF(AU193="",0,AU193),IF(AX193="",0,AX193)),AT193)))))</f>
        <v/>
      </c>
      <c r="AW193" s="13" t="str">
        <f aca="false">IF(AY193="","",CE193)</f>
        <v/>
      </c>
      <c r="AX193" s="13" t="str">
        <f aca="false">IF(OR(AY193="",AW193="",R193="",R193&lt;=0,AW193&lt;=0),"",AY193/((R193^2/8)*(2*ACOS(1-2*AW193/R193)-SIN(2*ACOS(1-2*AW193/R193)))))</f>
        <v/>
      </c>
      <c r="AY193" s="9" t="str">
        <f aca="false">IF(OR(L193="",AZ193=""),"",MIN(L193,AZ193))</f>
        <v/>
      </c>
      <c r="AZ193" s="9" t="str">
        <f aca="false">IF(OR(L193="",R193="",N193=""),"",IF(OR(R193="",N193="",(0.94*R193)="",R193&lt;=0,(0.94*R193)&lt;=0),"",(1/Inputs!$B$9)*((R193^2/8)*((2*ACOS(1-2*(0.94*R193)/R193))-SIN((2*ACOS(1-2*(0.94*R193)/R193)))))*((((R193^2/8)*((2*ACOS(1-2*(0.94*R193)/R193))-SIN((2*ACOS(1-2*(0.94*R193)/R193)))))/((R193/2)*((2*ACOS(1-2*(0.94*R193)/R193)))))^(2/3))*SQRT(N193)))</f>
        <v/>
      </c>
      <c r="BA193" s="9" t="str">
        <f aca="false">IF(AY193="","",0.001*R193)</f>
        <v/>
      </c>
      <c r="BB193" s="9" t="str">
        <f aca="false">IF(AY193="","",0.94*R193)</f>
        <v/>
      </c>
      <c r="BC193" s="9" t="str">
        <f aca="false">IF(AY193="","",(BA193+BB193)/2)</f>
        <v/>
      </c>
      <c r="BD193" s="9" t="str">
        <f aca="false">IF(OR(R193="",N193="",BC193="",R193&lt;=0,BC193&lt;=0),"",(1/Inputs!$B$9)*((R193^2/8)*((2*ACOS(1-2*BC193/R193))-SIN((2*ACOS(1-2*BC193/R193)))))*((((R193^2/8)*((2*ACOS(1-2*BC193/R193))-SIN((2*ACOS(1-2*BC193/R193)))))/((R193/2)*((2*ACOS(1-2*BC193/R193)))))^(2/3))*SQRT(N193))</f>
        <v/>
      </c>
      <c r="BE193" s="9" t="str">
        <f aca="false">IF(AY193="","",IF(BD193&lt;AY193,BC193,BA193))</f>
        <v/>
      </c>
      <c r="BF193" s="9" t="str">
        <f aca="false">IF(AY193="","",IF(BD193&lt;AY193,BB193,BC193))</f>
        <v/>
      </c>
      <c r="BG193" s="9" t="str">
        <f aca="false">IF(AY193="","",(BE193+BF193)/2)</f>
        <v/>
      </c>
      <c r="BH193" s="9" t="str">
        <f aca="false">IF(OR(R193="",N193="",BG193="",R193&lt;=0,BG193&lt;=0),"",(1/Inputs!$B$9)*((R193^2/8)*((2*ACOS(1-2*BG193/R193))-SIN((2*ACOS(1-2*BG193/R193)))))*((((R193^2/8)*((2*ACOS(1-2*BG193/R193))-SIN((2*ACOS(1-2*BG193/R193)))))/((R193/2)*((2*ACOS(1-2*BG193/R193)))))^(2/3))*SQRT(N193))</f>
        <v/>
      </c>
      <c r="BI193" s="9" t="str">
        <f aca="false">IF(AY193="","",IF(BH193&lt;AY193,BG193,BE193))</f>
        <v/>
      </c>
      <c r="BJ193" s="9" t="str">
        <f aca="false">IF(AY193="","",IF(BH193&lt;AY193,BF193,BG193))</f>
        <v/>
      </c>
      <c r="BK193" s="9" t="str">
        <f aca="false">IF(AY193="","",(BI193+BJ193)/2)</f>
        <v/>
      </c>
      <c r="BL193" s="9" t="str">
        <f aca="false">IF(OR(R193="",N193="",BK193="",R193&lt;=0,BK193&lt;=0),"",(1/Inputs!$B$9)*((R193^2/8)*((2*ACOS(1-2*BK193/R193))-SIN((2*ACOS(1-2*BK193/R193)))))*((((R193^2/8)*((2*ACOS(1-2*BK193/R193))-SIN((2*ACOS(1-2*BK193/R193)))))/((R193/2)*((2*ACOS(1-2*BK193/R193)))))^(2/3))*SQRT(N193))</f>
        <v/>
      </c>
      <c r="BM193" s="9" t="str">
        <f aca="false">IF(AY193="","",IF(BL193&lt;AY193,BK193,BI193))</f>
        <v/>
      </c>
      <c r="BN193" s="9" t="str">
        <f aca="false">IF(AY193="","",IF(BL193&lt;AY193,BJ193,BK193))</f>
        <v/>
      </c>
      <c r="BO193" s="9" t="str">
        <f aca="false">IF(AY193="","",(BM193+BN193)/2)</f>
        <v/>
      </c>
      <c r="BP193" s="9" t="str">
        <f aca="false">IF(OR(R193="",N193="",BO193="",R193&lt;=0,BO193&lt;=0),"",(1/Inputs!$B$9)*((R193^2/8)*((2*ACOS(1-2*BO193/R193))-SIN((2*ACOS(1-2*BO193/R193)))))*((((R193^2/8)*((2*ACOS(1-2*BO193/R193))-SIN((2*ACOS(1-2*BO193/R193)))))/((R193/2)*((2*ACOS(1-2*BO193/R193)))))^(2/3))*SQRT(N193))</f>
        <v/>
      </c>
      <c r="BQ193" s="9" t="str">
        <f aca="false">IF(AY193="","",IF(BP193&lt;AY193,BO193,BM193))</f>
        <v/>
      </c>
      <c r="BR193" s="9" t="str">
        <f aca="false">IF(AY193="","",IF(BP193&lt;AY193,BN193,BO193))</f>
        <v/>
      </c>
      <c r="BS193" s="9" t="str">
        <f aca="false">IF(AY193="","",(BQ193+BR193)/2)</f>
        <v/>
      </c>
      <c r="BT193" s="9" t="str">
        <f aca="false">IF(OR(R193="",N193="",BS193="",R193&lt;=0,BS193&lt;=0),"",(1/Inputs!$B$9)*((R193^2/8)*((2*ACOS(1-2*BS193/R193))-SIN((2*ACOS(1-2*BS193/R193)))))*((((R193^2/8)*((2*ACOS(1-2*BS193/R193))-SIN((2*ACOS(1-2*BS193/R193)))))/((R193/2)*((2*ACOS(1-2*BS193/R193)))))^(2/3))*SQRT(N193))</f>
        <v/>
      </c>
      <c r="BU193" s="9" t="str">
        <f aca="false">IF(AY193="","",IF(BT193&lt;AY193,BS193,BQ193))</f>
        <v/>
      </c>
      <c r="BV193" s="9" t="str">
        <f aca="false">IF(AY193="","",IF(BT193&lt;AY193,BR193,BS193))</f>
        <v/>
      </c>
      <c r="BW193" s="9" t="str">
        <f aca="false">IF(AY193="","",(BU193+BV193)/2)</f>
        <v/>
      </c>
      <c r="BX193" s="9" t="str">
        <f aca="false">IF(OR(R193="",N193="",BW193="",R193&lt;=0,BW193&lt;=0),"",(1/Inputs!$B$9)*((R193^2/8)*((2*ACOS(1-2*BW193/R193))-SIN((2*ACOS(1-2*BW193/R193)))))*((((R193^2/8)*((2*ACOS(1-2*BW193/R193))-SIN((2*ACOS(1-2*BW193/R193)))))/((R193/2)*((2*ACOS(1-2*BW193/R193)))))^(2/3))*SQRT(N193))</f>
        <v/>
      </c>
      <c r="BY193" s="9" t="str">
        <f aca="false">IF(AY193="","",IF(BX193&lt;AY193,BW193,BU193))</f>
        <v/>
      </c>
      <c r="BZ193" s="9" t="str">
        <f aca="false">IF(AY193="","",IF(BX193&lt;AY193,BV193,BW193))</f>
        <v/>
      </c>
      <c r="CA193" s="9" t="str">
        <f aca="false">IF(AY193="","",(BY193+BZ193)/2)</f>
        <v/>
      </c>
      <c r="CB193" s="9" t="str">
        <f aca="false">IF(OR(R193="",N193="",CA193="",R193&lt;=0,CA193&lt;=0),"",(1/Inputs!$B$9)*((R193^2/8)*((2*ACOS(1-2*CA193/R193))-SIN((2*ACOS(1-2*CA193/R193)))))*((((R193^2/8)*((2*ACOS(1-2*CA193/R193))-SIN((2*ACOS(1-2*CA193/R193)))))/((R193/2)*((2*ACOS(1-2*CA193/R193)))))^(2/3))*SQRT(N193))</f>
        <v/>
      </c>
      <c r="CC193" s="9" t="str">
        <f aca="false">IF(AY193="","",IF(CB193&lt;AY193,CA193,BY193))</f>
        <v/>
      </c>
      <c r="CD193" s="9" t="str">
        <f aca="false">IF(AY193="","",IF(CB193&lt;AY193,BZ193,CA193))</f>
        <v/>
      </c>
      <c r="CE193" s="9" t="str">
        <f aca="false">IF(AY193="","",(CC193+CD193)/2)</f>
        <v/>
      </c>
    </row>
    <row r="194" customFormat="false" ht="15" hidden="false" customHeight="false" outlineLevel="0" collapsed="false">
      <c r="A194" s="9"/>
      <c r="B194" s="9"/>
      <c r="C194" s="14"/>
      <c r="D194" s="14"/>
      <c r="E194" s="14" t="n">
        <f aca="false">SUMIFS(CB_Tributaires!$C:$C,CB_Tributaires!$B:$B,$A194)</f>
        <v>0</v>
      </c>
      <c r="F194" s="14" t="n">
        <f aca="false">IF(D194="",E194,D194)</f>
        <v>0</v>
      </c>
      <c r="G194" s="9"/>
      <c r="H194" s="14"/>
      <c r="I194" s="14" t="str">
        <f aca="false">IF(A194="","",Inputs!$B$13/((IF(AS194="",Inputs!$B$18,AS194)+Inputs!$B$14)^Inputs!$B$15))</f>
        <v/>
      </c>
      <c r="J194" s="14" t="str">
        <f aca="false">IF(A194="","",0.000000278*IF(G194="",Inputs!$B$17,G194)*F194*I194)</f>
        <v/>
      </c>
      <c r="K194" s="14" t="str">
        <f aca="false">IF(A194="","",SUMIFS($L$4:$L$203,$B$4:$B$203,$A194))</f>
        <v/>
      </c>
      <c r="L194" s="14" t="str">
        <f aca="false">IF(A194="","",(J194+K194)*Inputs!$B$16)</f>
        <v/>
      </c>
      <c r="M194" s="14"/>
      <c r="N194" s="14" t="str">
        <f aca="false">IF(A194="","",IF(M194="",Inputs!$B$7,M194))</f>
        <v/>
      </c>
      <c r="O194" s="9" t="str">
        <f aca="false">IF(A194="","",IF(L194/Inputs!$B$10&lt;=AD194,Inputs!$F$5,IF(L194/Inputs!$B$10&gt;AM194,"OVERSIZE",INDEX(Inputs!$F$5:$F$14,MATCH(L194/Inputs!$B$10,AD194:AM194,1)+1))))</f>
        <v/>
      </c>
      <c r="P194" s="9"/>
      <c r="Q194" s="9" t="str">
        <f aca="false">IF(A194="","",IF(P194="",O194,P194))</f>
        <v/>
      </c>
      <c r="R194" s="14" t="str">
        <f aca="false">IF(OR(Q194="",Q194="OVERSIZE"),"",Q194/1000)</f>
        <v/>
      </c>
      <c r="S194" s="14" t="str">
        <f aca="false">IF(R194="","",(1/Inputs!$B$9)*(PI()*R194^2/4)*((R194/4)^(2/3))*SQRT(N194))</f>
        <v/>
      </c>
      <c r="T194" s="14" t="str">
        <f aca="false">IF(OR(S194="",L194=""),"",L194/(S194*Inputs!$B$10))</f>
        <v/>
      </c>
      <c r="U194" s="14" t="str">
        <f aca="false">IF(OR(R194="",L194=""),"",4*L194/(PI()*R194^2))</f>
        <v/>
      </c>
      <c r="V194" s="14"/>
      <c r="W194" s="14" t="str">
        <f aca="false">IF(A194="","",IF(A194=Inputs!$B$6,Inputs!$B$22,IF(B194="","",IFERROR(INDEX($X$4:$X$203,MATCH(B194,$A$4:$A$203,0))+IF(V194="",Inputs!$B$20,V194),""))))</f>
        <v/>
      </c>
      <c r="X194" s="14" t="str">
        <f aca="false">IF(OR(W194="",N194="",C194=""),"",W194+N194*C194)</f>
        <v/>
      </c>
      <c r="Y194" s="14"/>
      <c r="Z194" s="14"/>
      <c r="AA194" s="14" t="str">
        <f aca="false">IF(OR(Y194="",W194=""),"",Y194-W194)</f>
        <v/>
      </c>
      <c r="AB194" s="14" t="str">
        <f aca="false">IF(OR(Z194="",X194=""),"",Z194-X194)</f>
        <v/>
      </c>
      <c r="AC194" s="19" t="str">
        <f aca="false">IF(A194="","",IF(OR(T194&gt;1,AND(AV194&lt;&gt;"",AV194&lt;Inputs!$B$11),AND(AV194&lt;&gt;"",AV194&gt;Inputs!$B$12),AA194&lt;Inputs!$B$19,AB194&lt;Inputs!$B$19,N194&lt;Inputs!$B$7,N194&gt;Inputs!$B$8),"CHECK","OK"))</f>
        <v/>
      </c>
      <c r="AD194" s="9" t="str">
        <f aca="false">IF(A194="","",(1/Inputs!$B$9)*(PI()*(Inputs!$F$5/1000)^2/4)*((Inputs!$F$5/1000/4)^(2/3))*SQRT(N194))</f>
        <v/>
      </c>
      <c r="AE194" s="9" t="str">
        <f aca="false">IF(A194="","",(1/Inputs!$B$9)*(PI()*(Inputs!$F$6/1000)^2/4)*((Inputs!$F$6/1000/4)^(2/3))*SQRT(N194))</f>
        <v/>
      </c>
      <c r="AF194" s="9" t="str">
        <f aca="false">IF(A194="","",(1/Inputs!$B$9)*(PI()*(Inputs!$F$7/1000)^2/4)*((Inputs!$F$7/1000/4)^(2/3))*SQRT(N194))</f>
        <v/>
      </c>
      <c r="AG194" s="9" t="str">
        <f aca="false">IF(A194="","",(1/Inputs!$B$9)*(PI()*(Inputs!$F$8/1000)^2/4)*((Inputs!$F$8/1000/4)^(2/3))*SQRT(N194))</f>
        <v/>
      </c>
      <c r="AH194" s="9" t="str">
        <f aca="false">IF(A194="","",(1/Inputs!$B$9)*(PI()*(Inputs!$F$9/1000)^2/4)*((Inputs!$F$9/1000/4)^(2/3))*SQRT(N194))</f>
        <v/>
      </c>
      <c r="AI194" s="9" t="str">
        <f aca="false">IF(A194="","",(1/Inputs!$B$9)*(PI()*(Inputs!$F$10/1000)^2/4)*((Inputs!$F$10/1000/4)^(2/3))*SQRT(N194))</f>
        <v/>
      </c>
      <c r="AJ194" s="9" t="str">
        <f aca="false">IF(A194="","",(1/Inputs!$B$9)*(PI()*(Inputs!$F$11/1000)^2/4)*((Inputs!$F$11/1000/4)^(2/3))*SQRT(N194))</f>
        <v/>
      </c>
      <c r="AK194" s="9" t="str">
        <f aca="false">IF(A194="","",(1/Inputs!$B$9)*(PI()*(Inputs!$F$12/1000)^2/4)*((Inputs!$F$12/1000/4)^(2/3))*SQRT(N194))</f>
        <v/>
      </c>
      <c r="AL194" s="9" t="str">
        <f aca="false">IF(A194="","",(1/Inputs!$B$9)*(PI()*(Inputs!$F$13/1000)^2/4)*((Inputs!$F$13/1000/4)^(2/3))*SQRT(N194))</f>
        <v/>
      </c>
      <c r="AM194" s="9" t="str">
        <f aca="false">IF(A194="","",(1/Inputs!$B$9)*(PI()*(Inputs!$F$14/1000)^2/4)*((Inputs!$F$14/1000/4)^(2/3))*SQRT(N194))</f>
        <v/>
      </c>
      <c r="AN194" s="9" t="str">
        <f aca="false">IF(A194="","",COUNTIF($B$4:$B$203,$A194))</f>
        <v/>
      </c>
      <c r="AO194" s="9" t="str">
        <f aca="false">IF(A194="","",IF(AN194=0,"START","CONTINUOUS"))</f>
        <v/>
      </c>
      <c r="AP194" s="13" t="str">
        <f aca="false">IF(A194="","",IF(H194="",Inputs!$B$18,H194))</f>
        <v/>
      </c>
      <c r="AQ194" s="13" t="str">
        <f aca="false">IF(A194="","",IFERROR(maxifs($AS$4:$AS$203,$B$4:$B$203,$A194),""))</f>
        <v/>
      </c>
      <c r="AR194" s="13" t="str">
        <f aca="false">IF(A194="","",IF(OR(C194="",Inputs!$B$23=""),"",C194/(Inputs!$B$23*60)))</f>
        <v/>
      </c>
      <c r="AS194" s="13" t="str">
        <f aca="false">IF(A194="","",IF(AN194=0,AP194+AR194,IF(AQ194="",AP194+AR194,AQ194+AR194)))</f>
        <v/>
      </c>
      <c r="AT194" s="13" t="str">
        <f aca="false">IF(A194="","",U194)</f>
        <v/>
      </c>
      <c r="AU194" s="13" t="str">
        <f aca="false">IF(OR(R194="",N194=""),"",(1/Inputs!$B$9)*((R194/4)^(2/3))*SQRT(N194))</f>
        <v/>
      </c>
      <c r="AV194" s="13" t="str">
        <f aca="false">IF(A194="","",IF(AND(AT194="",AU194="",AX194=""),"",IF(OR(UPPER(TRIM(Inputs!$B$24))="MANNING",UPPER(TRIM(Inputs!$B$24))="M"),AU194,IF(OR(UPPER(TRIM(Inputs!$B$24))="PARTIAL",UPPER(TRIM(Inputs!$B$24))="P"),AX194,IF(OR(UPPER(TRIM(Inputs!$B$24))="MAX",UPPER(TRIM(Inputs!$B$24))="X"),MAX(IF(AT194="",0,AT194),IF(AU194="",0,AU194),IF(AX194="",0,AX194)),AT194)))))</f>
        <v/>
      </c>
      <c r="AW194" s="13" t="str">
        <f aca="false">IF(AY194="","",CE194)</f>
        <v/>
      </c>
      <c r="AX194" s="13" t="str">
        <f aca="false">IF(OR(AY194="",AW194="",R194="",R194&lt;=0,AW194&lt;=0),"",AY194/((R194^2/8)*(2*ACOS(1-2*AW194/R194)-SIN(2*ACOS(1-2*AW194/R194)))))</f>
        <v/>
      </c>
      <c r="AY194" s="9" t="str">
        <f aca="false">IF(OR(L194="",AZ194=""),"",MIN(L194,AZ194))</f>
        <v/>
      </c>
      <c r="AZ194" s="9" t="str">
        <f aca="false">IF(OR(L194="",R194="",N194=""),"",IF(OR(R194="",N194="",(0.94*R194)="",R194&lt;=0,(0.94*R194)&lt;=0),"",(1/Inputs!$B$9)*((R194^2/8)*((2*ACOS(1-2*(0.94*R194)/R194))-SIN((2*ACOS(1-2*(0.94*R194)/R194)))))*((((R194^2/8)*((2*ACOS(1-2*(0.94*R194)/R194))-SIN((2*ACOS(1-2*(0.94*R194)/R194)))))/((R194/2)*((2*ACOS(1-2*(0.94*R194)/R194)))))^(2/3))*SQRT(N194)))</f>
        <v/>
      </c>
      <c r="BA194" s="9" t="str">
        <f aca="false">IF(AY194="","",0.001*R194)</f>
        <v/>
      </c>
      <c r="BB194" s="9" t="str">
        <f aca="false">IF(AY194="","",0.94*R194)</f>
        <v/>
      </c>
      <c r="BC194" s="9" t="str">
        <f aca="false">IF(AY194="","",(BA194+BB194)/2)</f>
        <v/>
      </c>
      <c r="BD194" s="9" t="str">
        <f aca="false">IF(OR(R194="",N194="",BC194="",R194&lt;=0,BC194&lt;=0),"",(1/Inputs!$B$9)*((R194^2/8)*((2*ACOS(1-2*BC194/R194))-SIN((2*ACOS(1-2*BC194/R194)))))*((((R194^2/8)*((2*ACOS(1-2*BC194/R194))-SIN((2*ACOS(1-2*BC194/R194)))))/((R194/2)*((2*ACOS(1-2*BC194/R194)))))^(2/3))*SQRT(N194))</f>
        <v/>
      </c>
      <c r="BE194" s="9" t="str">
        <f aca="false">IF(AY194="","",IF(BD194&lt;AY194,BC194,BA194))</f>
        <v/>
      </c>
      <c r="BF194" s="9" t="str">
        <f aca="false">IF(AY194="","",IF(BD194&lt;AY194,BB194,BC194))</f>
        <v/>
      </c>
      <c r="BG194" s="9" t="str">
        <f aca="false">IF(AY194="","",(BE194+BF194)/2)</f>
        <v/>
      </c>
      <c r="BH194" s="9" t="str">
        <f aca="false">IF(OR(R194="",N194="",BG194="",R194&lt;=0,BG194&lt;=0),"",(1/Inputs!$B$9)*((R194^2/8)*((2*ACOS(1-2*BG194/R194))-SIN((2*ACOS(1-2*BG194/R194)))))*((((R194^2/8)*((2*ACOS(1-2*BG194/R194))-SIN((2*ACOS(1-2*BG194/R194)))))/((R194/2)*((2*ACOS(1-2*BG194/R194)))))^(2/3))*SQRT(N194))</f>
        <v/>
      </c>
      <c r="BI194" s="9" t="str">
        <f aca="false">IF(AY194="","",IF(BH194&lt;AY194,BG194,BE194))</f>
        <v/>
      </c>
      <c r="BJ194" s="9" t="str">
        <f aca="false">IF(AY194="","",IF(BH194&lt;AY194,BF194,BG194))</f>
        <v/>
      </c>
      <c r="BK194" s="9" t="str">
        <f aca="false">IF(AY194="","",(BI194+BJ194)/2)</f>
        <v/>
      </c>
      <c r="BL194" s="9" t="str">
        <f aca="false">IF(OR(R194="",N194="",BK194="",R194&lt;=0,BK194&lt;=0),"",(1/Inputs!$B$9)*((R194^2/8)*((2*ACOS(1-2*BK194/R194))-SIN((2*ACOS(1-2*BK194/R194)))))*((((R194^2/8)*((2*ACOS(1-2*BK194/R194))-SIN((2*ACOS(1-2*BK194/R194)))))/((R194/2)*((2*ACOS(1-2*BK194/R194)))))^(2/3))*SQRT(N194))</f>
        <v/>
      </c>
      <c r="BM194" s="9" t="str">
        <f aca="false">IF(AY194="","",IF(BL194&lt;AY194,BK194,BI194))</f>
        <v/>
      </c>
      <c r="BN194" s="9" t="str">
        <f aca="false">IF(AY194="","",IF(BL194&lt;AY194,BJ194,BK194))</f>
        <v/>
      </c>
      <c r="BO194" s="9" t="str">
        <f aca="false">IF(AY194="","",(BM194+BN194)/2)</f>
        <v/>
      </c>
      <c r="BP194" s="9" t="str">
        <f aca="false">IF(OR(R194="",N194="",BO194="",R194&lt;=0,BO194&lt;=0),"",(1/Inputs!$B$9)*((R194^2/8)*((2*ACOS(1-2*BO194/R194))-SIN((2*ACOS(1-2*BO194/R194)))))*((((R194^2/8)*((2*ACOS(1-2*BO194/R194))-SIN((2*ACOS(1-2*BO194/R194)))))/((R194/2)*((2*ACOS(1-2*BO194/R194)))))^(2/3))*SQRT(N194))</f>
        <v/>
      </c>
      <c r="BQ194" s="9" t="str">
        <f aca="false">IF(AY194="","",IF(BP194&lt;AY194,BO194,BM194))</f>
        <v/>
      </c>
      <c r="BR194" s="9" t="str">
        <f aca="false">IF(AY194="","",IF(BP194&lt;AY194,BN194,BO194))</f>
        <v/>
      </c>
      <c r="BS194" s="9" t="str">
        <f aca="false">IF(AY194="","",(BQ194+BR194)/2)</f>
        <v/>
      </c>
      <c r="BT194" s="9" t="str">
        <f aca="false">IF(OR(R194="",N194="",BS194="",R194&lt;=0,BS194&lt;=0),"",(1/Inputs!$B$9)*((R194^2/8)*((2*ACOS(1-2*BS194/R194))-SIN((2*ACOS(1-2*BS194/R194)))))*((((R194^2/8)*((2*ACOS(1-2*BS194/R194))-SIN((2*ACOS(1-2*BS194/R194)))))/((R194/2)*((2*ACOS(1-2*BS194/R194)))))^(2/3))*SQRT(N194))</f>
        <v/>
      </c>
      <c r="BU194" s="9" t="str">
        <f aca="false">IF(AY194="","",IF(BT194&lt;AY194,BS194,BQ194))</f>
        <v/>
      </c>
      <c r="BV194" s="9" t="str">
        <f aca="false">IF(AY194="","",IF(BT194&lt;AY194,BR194,BS194))</f>
        <v/>
      </c>
      <c r="BW194" s="9" t="str">
        <f aca="false">IF(AY194="","",(BU194+BV194)/2)</f>
        <v/>
      </c>
      <c r="BX194" s="9" t="str">
        <f aca="false">IF(OR(R194="",N194="",BW194="",R194&lt;=0,BW194&lt;=0),"",(1/Inputs!$B$9)*((R194^2/8)*((2*ACOS(1-2*BW194/R194))-SIN((2*ACOS(1-2*BW194/R194)))))*((((R194^2/8)*((2*ACOS(1-2*BW194/R194))-SIN((2*ACOS(1-2*BW194/R194)))))/((R194/2)*((2*ACOS(1-2*BW194/R194)))))^(2/3))*SQRT(N194))</f>
        <v/>
      </c>
      <c r="BY194" s="9" t="str">
        <f aca="false">IF(AY194="","",IF(BX194&lt;AY194,BW194,BU194))</f>
        <v/>
      </c>
      <c r="BZ194" s="9" t="str">
        <f aca="false">IF(AY194="","",IF(BX194&lt;AY194,BV194,BW194))</f>
        <v/>
      </c>
      <c r="CA194" s="9" t="str">
        <f aca="false">IF(AY194="","",(BY194+BZ194)/2)</f>
        <v/>
      </c>
      <c r="CB194" s="9" t="str">
        <f aca="false">IF(OR(R194="",N194="",CA194="",R194&lt;=0,CA194&lt;=0),"",(1/Inputs!$B$9)*((R194^2/8)*((2*ACOS(1-2*CA194/R194))-SIN((2*ACOS(1-2*CA194/R194)))))*((((R194^2/8)*((2*ACOS(1-2*CA194/R194))-SIN((2*ACOS(1-2*CA194/R194)))))/((R194/2)*((2*ACOS(1-2*CA194/R194)))))^(2/3))*SQRT(N194))</f>
        <v/>
      </c>
      <c r="CC194" s="9" t="str">
        <f aca="false">IF(AY194="","",IF(CB194&lt;AY194,CA194,BY194))</f>
        <v/>
      </c>
      <c r="CD194" s="9" t="str">
        <f aca="false">IF(AY194="","",IF(CB194&lt;AY194,BZ194,CA194))</f>
        <v/>
      </c>
      <c r="CE194" s="9" t="str">
        <f aca="false">IF(AY194="","",(CC194+CD194)/2)</f>
        <v/>
      </c>
    </row>
    <row r="195" customFormat="false" ht="15" hidden="false" customHeight="false" outlineLevel="0" collapsed="false">
      <c r="A195" s="9"/>
      <c r="B195" s="9"/>
      <c r="C195" s="14"/>
      <c r="D195" s="14"/>
      <c r="E195" s="14" t="n">
        <f aca="false">SUMIFS(CB_Tributaires!$C:$C,CB_Tributaires!$B:$B,$A195)</f>
        <v>0</v>
      </c>
      <c r="F195" s="14" t="n">
        <f aca="false">IF(D195="",E195,D195)</f>
        <v>0</v>
      </c>
      <c r="G195" s="9"/>
      <c r="H195" s="14"/>
      <c r="I195" s="14" t="str">
        <f aca="false">IF(A195="","",Inputs!$B$13/((IF(AS195="",Inputs!$B$18,AS195)+Inputs!$B$14)^Inputs!$B$15))</f>
        <v/>
      </c>
      <c r="J195" s="14" t="str">
        <f aca="false">IF(A195="","",0.000000278*IF(G195="",Inputs!$B$17,G195)*F195*I195)</f>
        <v/>
      </c>
      <c r="K195" s="14" t="str">
        <f aca="false">IF(A195="","",SUMIFS($L$4:$L$203,$B$4:$B$203,$A195))</f>
        <v/>
      </c>
      <c r="L195" s="14" t="str">
        <f aca="false">IF(A195="","",(J195+K195)*Inputs!$B$16)</f>
        <v/>
      </c>
      <c r="M195" s="14"/>
      <c r="N195" s="14" t="str">
        <f aca="false">IF(A195="","",IF(M195="",Inputs!$B$7,M195))</f>
        <v/>
      </c>
      <c r="O195" s="9" t="str">
        <f aca="false">IF(A195="","",IF(L195/Inputs!$B$10&lt;=AD195,Inputs!$F$5,IF(L195/Inputs!$B$10&gt;AM195,"OVERSIZE",INDEX(Inputs!$F$5:$F$14,MATCH(L195/Inputs!$B$10,AD195:AM195,1)+1))))</f>
        <v/>
      </c>
      <c r="P195" s="9"/>
      <c r="Q195" s="9" t="str">
        <f aca="false">IF(A195="","",IF(P195="",O195,P195))</f>
        <v/>
      </c>
      <c r="R195" s="14" t="str">
        <f aca="false">IF(OR(Q195="",Q195="OVERSIZE"),"",Q195/1000)</f>
        <v/>
      </c>
      <c r="S195" s="14" t="str">
        <f aca="false">IF(R195="","",(1/Inputs!$B$9)*(PI()*R195^2/4)*((R195/4)^(2/3))*SQRT(N195))</f>
        <v/>
      </c>
      <c r="T195" s="14" t="str">
        <f aca="false">IF(OR(S195="",L195=""),"",L195/(S195*Inputs!$B$10))</f>
        <v/>
      </c>
      <c r="U195" s="14" t="str">
        <f aca="false">IF(OR(R195="",L195=""),"",4*L195/(PI()*R195^2))</f>
        <v/>
      </c>
      <c r="V195" s="14"/>
      <c r="W195" s="14" t="str">
        <f aca="false">IF(A195="","",IF(A195=Inputs!$B$6,Inputs!$B$22,IF(B195="","",IFERROR(INDEX($X$4:$X$203,MATCH(B195,$A$4:$A$203,0))+IF(V195="",Inputs!$B$20,V195),""))))</f>
        <v/>
      </c>
      <c r="X195" s="14" t="str">
        <f aca="false">IF(OR(W195="",N195="",C195=""),"",W195+N195*C195)</f>
        <v/>
      </c>
      <c r="Y195" s="14"/>
      <c r="Z195" s="14"/>
      <c r="AA195" s="14" t="str">
        <f aca="false">IF(OR(Y195="",W195=""),"",Y195-W195)</f>
        <v/>
      </c>
      <c r="AB195" s="14" t="str">
        <f aca="false">IF(OR(Z195="",X195=""),"",Z195-X195)</f>
        <v/>
      </c>
      <c r="AC195" s="19" t="str">
        <f aca="false">IF(A195="","",IF(OR(T195&gt;1,AND(AV195&lt;&gt;"",AV195&lt;Inputs!$B$11),AND(AV195&lt;&gt;"",AV195&gt;Inputs!$B$12),AA195&lt;Inputs!$B$19,AB195&lt;Inputs!$B$19,N195&lt;Inputs!$B$7,N195&gt;Inputs!$B$8),"CHECK","OK"))</f>
        <v/>
      </c>
      <c r="AD195" s="9" t="str">
        <f aca="false">IF(A195="","",(1/Inputs!$B$9)*(PI()*(Inputs!$F$5/1000)^2/4)*((Inputs!$F$5/1000/4)^(2/3))*SQRT(N195))</f>
        <v/>
      </c>
      <c r="AE195" s="9" t="str">
        <f aca="false">IF(A195="","",(1/Inputs!$B$9)*(PI()*(Inputs!$F$6/1000)^2/4)*((Inputs!$F$6/1000/4)^(2/3))*SQRT(N195))</f>
        <v/>
      </c>
      <c r="AF195" s="9" t="str">
        <f aca="false">IF(A195="","",(1/Inputs!$B$9)*(PI()*(Inputs!$F$7/1000)^2/4)*((Inputs!$F$7/1000/4)^(2/3))*SQRT(N195))</f>
        <v/>
      </c>
      <c r="AG195" s="9" t="str">
        <f aca="false">IF(A195="","",(1/Inputs!$B$9)*(PI()*(Inputs!$F$8/1000)^2/4)*((Inputs!$F$8/1000/4)^(2/3))*SQRT(N195))</f>
        <v/>
      </c>
      <c r="AH195" s="9" t="str">
        <f aca="false">IF(A195="","",(1/Inputs!$B$9)*(PI()*(Inputs!$F$9/1000)^2/4)*((Inputs!$F$9/1000/4)^(2/3))*SQRT(N195))</f>
        <v/>
      </c>
      <c r="AI195" s="9" t="str">
        <f aca="false">IF(A195="","",(1/Inputs!$B$9)*(PI()*(Inputs!$F$10/1000)^2/4)*((Inputs!$F$10/1000/4)^(2/3))*SQRT(N195))</f>
        <v/>
      </c>
      <c r="AJ195" s="9" t="str">
        <f aca="false">IF(A195="","",(1/Inputs!$B$9)*(PI()*(Inputs!$F$11/1000)^2/4)*((Inputs!$F$11/1000/4)^(2/3))*SQRT(N195))</f>
        <v/>
      </c>
      <c r="AK195" s="9" t="str">
        <f aca="false">IF(A195="","",(1/Inputs!$B$9)*(PI()*(Inputs!$F$12/1000)^2/4)*((Inputs!$F$12/1000/4)^(2/3))*SQRT(N195))</f>
        <v/>
      </c>
      <c r="AL195" s="9" t="str">
        <f aca="false">IF(A195="","",(1/Inputs!$B$9)*(PI()*(Inputs!$F$13/1000)^2/4)*((Inputs!$F$13/1000/4)^(2/3))*SQRT(N195))</f>
        <v/>
      </c>
      <c r="AM195" s="9" t="str">
        <f aca="false">IF(A195="","",(1/Inputs!$B$9)*(PI()*(Inputs!$F$14/1000)^2/4)*((Inputs!$F$14/1000/4)^(2/3))*SQRT(N195))</f>
        <v/>
      </c>
      <c r="AN195" s="9" t="str">
        <f aca="false">IF(A195="","",COUNTIF($B$4:$B$203,$A195))</f>
        <v/>
      </c>
      <c r="AO195" s="9" t="str">
        <f aca="false">IF(A195="","",IF(AN195=0,"START","CONTINUOUS"))</f>
        <v/>
      </c>
      <c r="AP195" s="13" t="str">
        <f aca="false">IF(A195="","",IF(H195="",Inputs!$B$18,H195))</f>
        <v/>
      </c>
      <c r="AQ195" s="13" t="str">
        <f aca="false">IF(A195="","",IFERROR(maxifs($AS$4:$AS$203,$B$4:$B$203,$A195),""))</f>
        <v/>
      </c>
      <c r="AR195" s="13" t="str">
        <f aca="false">IF(A195="","",IF(OR(C195="",Inputs!$B$23=""),"",C195/(Inputs!$B$23*60)))</f>
        <v/>
      </c>
      <c r="AS195" s="13" t="str">
        <f aca="false">IF(A195="","",IF(AN195=0,AP195+AR195,IF(AQ195="",AP195+AR195,AQ195+AR195)))</f>
        <v/>
      </c>
      <c r="AT195" s="13" t="str">
        <f aca="false">IF(A195="","",U195)</f>
        <v/>
      </c>
      <c r="AU195" s="13" t="str">
        <f aca="false">IF(OR(R195="",N195=""),"",(1/Inputs!$B$9)*((R195/4)^(2/3))*SQRT(N195))</f>
        <v/>
      </c>
      <c r="AV195" s="13" t="str">
        <f aca="false">IF(A195="","",IF(AND(AT195="",AU195="",AX195=""),"",IF(OR(UPPER(TRIM(Inputs!$B$24))="MANNING",UPPER(TRIM(Inputs!$B$24))="M"),AU195,IF(OR(UPPER(TRIM(Inputs!$B$24))="PARTIAL",UPPER(TRIM(Inputs!$B$24))="P"),AX195,IF(OR(UPPER(TRIM(Inputs!$B$24))="MAX",UPPER(TRIM(Inputs!$B$24))="X"),MAX(IF(AT195="",0,AT195),IF(AU195="",0,AU195),IF(AX195="",0,AX195)),AT195)))))</f>
        <v/>
      </c>
      <c r="AW195" s="13" t="str">
        <f aca="false">IF(AY195="","",CE195)</f>
        <v/>
      </c>
      <c r="AX195" s="13" t="str">
        <f aca="false">IF(OR(AY195="",AW195="",R195="",R195&lt;=0,AW195&lt;=0),"",AY195/((R195^2/8)*(2*ACOS(1-2*AW195/R195)-SIN(2*ACOS(1-2*AW195/R195)))))</f>
        <v/>
      </c>
      <c r="AY195" s="9" t="str">
        <f aca="false">IF(OR(L195="",AZ195=""),"",MIN(L195,AZ195))</f>
        <v/>
      </c>
      <c r="AZ195" s="9" t="str">
        <f aca="false">IF(OR(L195="",R195="",N195=""),"",IF(OR(R195="",N195="",(0.94*R195)="",R195&lt;=0,(0.94*R195)&lt;=0),"",(1/Inputs!$B$9)*((R195^2/8)*((2*ACOS(1-2*(0.94*R195)/R195))-SIN((2*ACOS(1-2*(0.94*R195)/R195)))))*((((R195^2/8)*((2*ACOS(1-2*(0.94*R195)/R195))-SIN((2*ACOS(1-2*(0.94*R195)/R195)))))/((R195/2)*((2*ACOS(1-2*(0.94*R195)/R195)))))^(2/3))*SQRT(N195)))</f>
        <v/>
      </c>
      <c r="BA195" s="9" t="str">
        <f aca="false">IF(AY195="","",0.001*R195)</f>
        <v/>
      </c>
      <c r="BB195" s="9" t="str">
        <f aca="false">IF(AY195="","",0.94*R195)</f>
        <v/>
      </c>
      <c r="BC195" s="9" t="str">
        <f aca="false">IF(AY195="","",(BA195+BB195)/2)</f>
        <v/>
      </c>
      <c r="BD195" s="9" t="str">
        <f aca="false">IF(OR(R195="",N195="",BC195="",R195&lt;=0,BC195&lt;=0),"",(1/Inputs!$B$9)*((R195^2/8)*((2*ACOS(1-2*BC195/R195))-SIN((2*ACOS(1-2*BC195/R195)))))*((((R195^2/8)*((2*ACOS(1-2*BC195/R195))-SIN((2*ACOS(1-2*BC195/R195)))))/((R195/2)*((2*ACOS(1-2*BC195/R195)))))^(2/3))*SQRT(N195))</f>
        <v/>
      </c>
      <c r="BE195" s="9" t="str">
        <f aca="false">IF(AY195="","",IF(BD195&lt;AY195,BC195,BA195))</f>
        <v/>
      </c>
      <c r="BF195" s="9" t="str">
        <f aca="false">IF(AY195="","",IF(BD195&lt;AY195,BB195,BC195))</f>
        <v/>
      </c>
      <c r="BG195" s="9" t="str">
        <f aca="false">IF(AY195="","",(BE195+BF195)/2)</f>
        <v/>
      </c>
      <c r="BH195" s="9" t="str">
        <f aca="false">IF(OR(R195="",N195="",BG195="",R195&lt;=0,BG195&lt;=0),"",(1/Inputs!$B$9)*((R195^2/8)*((2*ACOS(1-2*BG195/R195))-SIN((2*ACOS(1-2*BG195/R195)))))*((((R195^2/8)*((2*ACOS(1-2*BG195/R195))-SIN((2*ACOS(1-2*BG195/R195)))))/((R195/2)*((2*ACOS(1-2*BG195/R195)))))^(2/3))*SQRT(N195))</f>
        <v/>
      </c>
      <c r="BI195" s="9" t="str">
        <f aca="false">IF(AY195="","",IF(BH195&lt;AY195,BG195,BE195))</f>
        <v/>
      </c>
      <c r="BJ195" s="9" t="str">
        <f aca="false">IF(AY195="","",IF(BH195&lt;AY195,BF195,BG195))</f>
        <v/>
      </c>
      <c r="BK195" s="9" t="str">
        <f aca="false">IF(AY195="","",(BI195+BJ195)/2)</f>
        <v/>
      </c>
      <c r="BL195" s="9" t="str">
        <f aca="false">IF(OR(R195="",N195="",BK195="",R195&lt;=0,BK195&lt;=0),"",(1/Inputs!$B$9)*((R195^2/8)*((2*ACOS(1-2*BK195/R195))-SIN((2*ACOS(1-2*BK195/R195)))))*((((R195^2/8)*((2*ACOS(1-2*BK195/R195))-SIN((2*ACOS(1-2*BK195/R195)))))/((R195/2)*((2*ACOS(1-2*BK195/R195)))))^(2/3))*SQRT(N195))</f>
        <v/>
      </c>
      <c r="BM195" s="9" t="str">
        <f aca="false">IF(AY195="","",IF(BL195&lt;AY195,BK195,BI195))</f>
        <v/>
      </c>
      <c r="BN195" s="9" t="str">
        <f aca="false">IF(AY195="","",IF(BL195&lt;AY195,BJ195,BK195))</f>
        <v/>
      </c>
      <c r="BO195" s="9" t="str">
        <f aca="false">IF(AY195="","",(BM195+BN195)/2)</f>
        <v/>
      </c>
      <c r="BP195" s="9" t="str">
        <f aca="false">IF(OR(R195="",N195="",BO195="",R195&lt;=0,BO195&lt;=0),"",(1/Inputs!$B$9)*((R195^2/8)*((2*ACOS(1-2*BO195/R195))-SIN((2*ACOS(1-2*BO195/R195)))))*((((R195^2/8)*((2*ACOS(1-2*BO195/R195))-SIN((2*ACOS(1-2*BO195/R195)))))/((R195/2)*((2*ACOS(1-2*BO195/R195)))))^(2/3))*SQRT(N195))</f>
        <v/>
      </c>
      <c r="BQ195" s="9" t="str">
        <f aca="false">IF(AY195="","",IF(BP195&lt;AY195,BO195,BM195))</f>
        <v/>
      </c>
      <c r="BR195" s="9" t="str">
        <f aca="false">IF(AY195="","",IF(BP195&lt;AY195,BN195,BO195))</f>
        <v/>
      </c>
      <c r="BS195" s="9" t="str">
        <f aca="false">IF(AY195="","",(BQ195+BR195)/2)</f>
        <v/>
      </c>
      <c r="BT195" s="9" t="str">
        <f aca="false">IF(OR(R195="",N195="",BS195="",R195&lt;=0,BS195&lt;=0),"",(1/Inputs!$B$9)*((R195^2/8)*((2*ACOS(1-2*BS195/R195))-SIN((2*ACOS(1-2*BS195/R195)))))*((((R195^2/8)*((2*ACOS(1-2*BS195/R195))-SIN((2*ACOS(1-2*BS195/R195)))))/((R195/2)*((2*ACOS(1-2*BS195/R195)))))^(2/3))*SQRT(N195))</f>
        <v/>
      </c>
      <c r="BU195" s="9" t="str">
        <f aca="false">IF(AY195="","",IF(BT195&lt;AY195,BS195,BQ195))</f>
        <v/>
      </c>
      <c r="BV195" s="9" t="str">
        <f aca="false">IF(AY195="","",IF(BT195&lt;AY195,BR195,BS195))</f>
        <v/>
      </c>
      <c r="BW195" s="9" t="str">
        <f aca="false">IF(AY195="","",(BU195+BV195)/2)</f>
        <v/>
      </c>
      <c r="BX195" s="9" t="str">
        <f aca="false">IF(OR(R195="",N195="",BW195="",R195&lt;=0,BW195&lt;=0),"",(1/Inputs!$B$9)*((R195^2/8)*((2*ACOS(1-2*BW195/R195))-SIN((2*ACOS(1-2*BW195/R195)))))*((((R195^2/8)*((2*ACOS(1-2*BW195/R195))-SIN((2*ACOS(1-2*BW195/R195)))))/((R195/2)*((2*ACOS(1-2*BW195/R195)))))^(2/3))*SQRT(N195))</f>
        <v/>
      </c>
      <c r="BY195" s="9" t="str">
        <f aca="false">IF(AY195="","",IF(BX195&lt;AY195,BW195,BU195))</f>
        <v/>
      </c>
      <c r="BZ195" s="9" t="str">
        <f aca="false">IF(AY195="","",IF(BX195&lt;AY195,BV195,BW195))</f>
        <v/>
      </c>
      <c r="CA195" s="9" t="str">
        <f aca="false">IF(AY195="","",(BY195+BZ195)/2)</f>
        <v/>
      </c>
      <c r="CB195" s="9" t="str">
        <f aca="false">IF(OR(R195="",N195="",CA195="",R195&lt;=0,CA195&lt;=0),"",(1/Inputs!$B$9)*((R195^2/8)*((2*ACOS(1-2*CA195/R195))-SIN((2*ACOS(1-2*CA195/R195)))))*((((R195^2/8)*((2*ACOS(1-2*CA195/R195))-SIN((2*ACOS(1-2*CA195/R195)))))/((R195/2)*((2*ACOS(1-2*CA195/R195)))))^(2/3))*SQRT(N195))</f>
        <v/>
      </c>
      <c r="CC195" s="9" t="str">
        <f aca="false">IF(AY195="","",IF(CB195&lt;AY195,CA195,BY195))</f>
        <v/>
      </c>
      <c r="CD195" s="9" t="str">
        <f aca="false">IF(AY195="","",IF(CB195&lt;AY195,BZ195,CA195))</f>
        <v/>
      </c>
      <c r="CE195" s="9" t="str">
        <f aca="false">IF(AY195="","",(CC195+CD195)/2)</f>
        <v/>
      </c>
    </row>
    <row r="196" customFormat="false" ht="15" hidden="false" customHeight="false" outlineLevel="0" collapsed="false">
      <c r="A196" s="9"/>
      <c r="B196" s="9"/>
      <c r="C196" s="14"/>
      <c r="D196" s="14"/>
      <c r="E196" s="14" t="n">
        <f aca="false">SUMIFS(CB_Tributaires!$C:$C,CB_Tributaires!$B:$B,$A196)</f>
        <v>0</v>
      </c>
      <c r="F196" s="14" t="n">
        <f aca="false">IF(D196="",E196,D196)</f>
        <v>0</v>
      </c>
      <c r="G196" s="9"/>
      <c r="H196" s="14"/>
      <c r="I196" s="14" t="str">
        <f aca="false">IF(A196="","",Inputs!$B$13/((IF(AS196="",Inputs!$B$18,AS196)+Inputs!$B$14)^Inputs!$B$15))</f>
        <v/>
      </c>
      <c r="J196" s="14" t="str">
        <f aca="false">IF(A196="","",0.000000278*IF(G196="",Inputs!$B$17,G196)*F196*I196)</f>
        <v/>
      </c>
      <c r="K196" s="14" t="str">
        <f aca="false">IF(A196="","",SUMIFS($L$4:$L$203,$B$4:$B$203,$A196))</f>
        <v/>
      </c>
      <c r="L196" s="14" t="str">
        <f aca="false">IF(A196="","",(J196+K196)*Inputs!$B$16)</f>
        <v/>
      </c>
      <c r="M196" s="14"/>
      <c r="N196" s="14" t="str">
        <f aca="false">IF(A196="","",IF(M196="",Inputs!$B$7,M196))</f>
        <v/>
      </c>
      <c r="O196" s="9" t="str">
        <f aca="false">IF(A196="","",IF(L196/Inputs!$B$10&lt;=AD196,Inputs!$F$5,IF(L196/Inputs!$B$10&gt;AM196,"OVERSIZE",INDEX(Inputs!$F$5:$F$14,MATCH(L196/Inputs!$B$10,AD196:AM196,1)+1))))</f>
        <v/>
      </c>
      <c r="P196" s="9"/>
      <c r="Q196" s="9" t="str">
        <f aca="false">IF(A196="","",IF(P196="",O196,P196))</f>
        <v/>
      </c>
      <c r="R196" s="14" t="str">
        <f aca="false">IF(OR(Q196="",Q196="OVERSIZE"),"",Q196/1000)</f>
        <v/>
      </c>
      <c r="S196" s="14" t="str">
        <f aca="false">IF(R196="","",(1/Inputs!$B$9)*(PI()*R196^2/4)*((R196/4)^(2/3))*SQRT(N196))</f>
        <v/>
      </c>
      <c r="T196" s="14" t="str">
        <f aca="false">IF(OR(S196="",L196=""),"",L196/(S196*Inputs!$B$10))</f>
        <v/>
      </c>
      <c r="U196" s="14" t="str">
        <f aca="false">IF(OR(R196="",L196=""),"",4*L196/(PI()*R196^2))</f>
        <v/>
      </c>
      <c r="V196" s="14"/>
      <c r="W196" s="14" t="str">
        <f aca="false">IF(A196="","",IF(A196=Inputs!$B$6,Inputs!$B$22,IF(B196="","",IFERROR(INDEX($X$4:$X$203,MATCH(B196,$A$4:$A$203,0))+IF(V196="",Inputs!$B$20,V196),""))))</f>
        <v/>
      </c>
      <c r="X196" s="14" t="str">
        <f aca="false">IF(OR(W196="",N196="",C196=""),"",W196+N196*C196)</f>
        <v/>
      </c>
      <c r="Y196" s="14"/>
      <c r="Z196" s="14"/>
      <c r="AA196" s="14" t="str">
        <f aca="false">IF(OR(Y196="",W196=""),"",Y196-W196)</f>
        <v/>
      </c>
      <c r="AB196" s="14" t="str">
        <f aca="false">IF(OR(Z196="",X196=""),"",Z196-X196)</f>
        <v/>
      </c>
      <c r="AC196" s="19" t="str">
        <f aca="false">IF(A196="","",IF(OR(T196&gt;1,AND(AV196&lt;&gt;"",AV196&lt;Inputs!$B$11),AND(AV196&lt;&gt;"",AV196&gt;Inputs!$B$12),AA196&lt;Inputs!$B$19,AB196&lt;Inputs!$B$19,N196&lt;Inputs!$B$7,N196&gt;Inputs!$B$8),"CHECK","OK"))</f>
        <v/>
      </c>
      <c r="AD196" s="9" t="str">
        <f aca="false">IF(A196="","",(1/Inputs!$B$9)*(PI()*(Inputs!$F$5/1000)^2/4)*((Inputs!$F$5/1000/4)^(2/3))*SQRT(N196))</f>
        <v/>
      </c>
      <c r="AE196" s="9" t="str">
        <f aca="false">IF(A196="","",(1/Inputs!$B$9)*(PI()*(Inputs!$F$6/1000)^2/4)*((Inputs!$F$6/1000/4)^(2/3))*SQRT(N196))</f>
        <v/>
      </c>
      <c r="AF196" s="9" t="str">
        <f aca="false">IF(A196="","",(1/Inputs!$B$9)*(PI()*(Inputs!$F$7/1000)^2/4)*((Inputs!$F$7/1000/4)^(2/3))*SQRT(N196))</f>
        <v/>
      </c>
      <c r="AG196" s="9" t="str">
        <f aca="false">IF(A196="","",(1/Inputs!$B$9)*(PI()*(Inputs!$F$8/1000)^2/4)*((Inputs!$F$8/1000/4)^(2/3))*SQRT(N196))</f>
        <v/>
      </c>
      <c r="AH196" s="9" t="str">
        <f aca="false">IF(A196="","",(1/Inputs!$B$9)*(PI()*(Inputs!$F$9/1000)^2/4)*((Inputs!$F$9/1000/4)^(2/3))*SQRT(N196))</f>
        <v/>
      </c>
      <c r="AI196" s="9" t="str">
        <f aca="false">IF(A196="","",(1/Inputs!$B$9)*(PI()*(Inputs!$F$10/1000)^2/4)*((Inputs!$F$10/1000/4)^(2/3))*SQRT(N196))</f>
        <v/>
      </c>
      <c r="AJ196" s="9" t="str">
        <f aca="false">IF(A196="","",(1/Inputs!$B$9)*(PI()*(Inputs!$F$11/1000)^2/4)*((Inputs!$F$11/1000/4)^(2/3))*SQRT(N196))</f>
        <v/>
      </c>
      <c r="AK196" s="9" t="str">
        <f aca="false">IF(A196="","",(1/Inputs!$B$9)*(PI()*(Inputs!$F$12/1000)^2/4)*((Inputs!$F$12/1000/4)^(2/3))*SQRT(N196))</f>
        <v/>
      </c>
      <c r="AL196" s="9" t="str">
        <f aca="false">IF(A196="","",(1/Inputs!$B$9)*(PI()*(Inputs!$F$13/1000)^2/4)*((Inputs!$F$13/1000/4)^(2/3))*SQRT(N196))</f>
        <v/>
      </c>
      <c r="AM196" s="9" t="str">
        <f aca="false">IF(A196="","",(1/Inputs!$B$9)*(PI()*(Inputs!$F$14/1000)^2/4)*((Inputs!$F$14/1000/4)^(2/3))*SQRT(N196))</f>
        <v/>
      </c>
      <c r="AN196" s="9" t="str">
        <f aca="false">IF(A196="","",COUNTIF($B$4:$B$203,$A196))</f>
        <v/>
      </c>
      <c r="AO196" s="9" t="str">
        <f aca="false">IF(A196="","",IF(AN196=0,"START","CONTINUOUS"))</f>
        <v/>
      </c>
      <c r="AP196" s="13" t="str">
        <f aca="false">IF(A196="","",IF(H196="",Inputs!$B$18,H196))</f>
        <v/>
      </c>
      <c r="AQ196" s="13" t="str">
        <f aca="false">IF(A196="","",IFERROR(maxifs($AS$4:$AS$203,$B$4:$B$203,$A196),""))</f>
        <v/>
      </c>
      <c r="AR196" s="13" t="str">
        <f aca="false">IF(A196="","",IF(OR(C196="",Inputs!$B$23=""),"",C196/(Inputs!$B$23*60)))</f>
        <v/>
      </c>
      <c r="AS196" s="13" t="str">
        <f aca="false">IF(A196="","",IF(AN196=0,AP196+AR196,IF(AQ196="",AP196+AR196,AQ196+AR196)))</f>
        <v/>
      </c>
      <c r="AT196" s="13" t="str">
        <f aca="false">IF(A196="","",U196)</f>
        <v/>
      </c>
      <c r="AU196" s="13" t="str">
        <f aca="false">IF(OR(R196="",N196=""),"",(1/Inputs!$B$9)*((R196/4)^(2/3))*SQRT(N196))</f>
        <v/>
      </c>
      <c r="AV196" s="13" t="str">
        <f aca="false">IF(A196="","",IF(AND(AT196="",AU196="",AX196=""),"",IF(OR(UPPER(TRIM(Inputs!$B$24))="MANNING",UPPER(TRIM(Inputs!$B$24))="M"),AU196,IF(OR(UPPER(TRIM(Inputs!$B$24))="PARTIAL",UPPER(TRIM(Inputs!$B$24))="P"),AX196,IF(OR(UPPER(TRIM(Inputs!$B$24))="MAX",UPPER(TRIM(Inputs!$B$24))="X"),MAX(IF(AT196="",0,AT196),IF(AU196="",0,AU196),IF(AX196="",0,AX196)),AT196)))))</f>
        <v/>
      </c>
      <c r="AW196" s="13" t="str">
        <f aca="false">IF(AY196="","",CE196)</f>
        <v/>
      </c>
      <c r="AX196" s="13" t="str">
        <f aca="false">IF(OR(AY196="",AW196="",R196="",R196&lt;=0,AW196&lt;=0),"",AY196/((R196^2/8)*(2*ACOS(1-2*AW196/R196)-SIN(2*ACOS(1-2*AW196/R196)))))</f>
        <v/>
      </c>
      <c r="AY196" s="9" t="str">
        <f aca="false">IF(OR(L196="",AZ196=""),"",MIN(L196,AZ196))</f>
        <v/>
      </c>
      <c r="AZ196" s="9" t="str">
        <f aca="false">IF(OR(L196="",R196="",N196=""),"",IF(OR(R196="",N196="",(0.94*R196)="",R196&lt;=0,(0.94*R196)&lt;=0),"",(1/Inputs!$B$9)*((R196^2/8)*((2*ACOS(1-2*(0.94*R196)/R196))-SIN((2*ACOS(1-2*(0.94*R196)/R196)))))*((((R196^2/8)*((2*ACOS(1-2*(0.94*R196)/R196))-SIN((2*ACOS(1-2*(0.94*R196)/R196)))))/((R196/2)*((2*ACOS(1-2*(0.94*R196)/R196)))))^(2/3))*SQRT(N196)))</f>
        <v/>
      </c>
      <c r="BA196" s="9" t="str">
        <f aca="false">IF(AY196="","",0.001*R196)</f>
        <v/>
      </c>
      <c r="BB196" s="9" t="str">
        <f aca="false">IF(AY196="","",0.94*R196)</f>
        <v/>
      </c>
      <c r="BC196" s="9" t="str">
        <f aca="false">IF(AY196="","",(BA196+BB196)/2)</f>
        <v/>
      </c>
      <c r="BD196" s="9" t="str">
        <f aca="false">IF(OR(R196="",N196="",BC196="",R196&lt;=0,BC196&lt;=0),"",(1/Inputs!$B$9)*((R196^2/8)*((2*ACOS(1-2*BC196/R196))-SIN((2*ACOS(1-2*BC196/R196)))))*((((R196^2/8)*((2*ACOS(1-2*BC196/R196))-SIN((2*ACOS(1-2*BC196/R196)))))/((R196/2)*((2*ACOS(1-2*BC196/R196)))))^(2/3))*SQRT(N196))</f>
        <v/>
      </c>
      <c r="BE196" s="9" t="str">
        <f aca="false">IF(AY196="","",IF(BD196&lt;AY196,BC196,BA196))</f>
        <v/>
      </c>
      <c r="BF196" s="9" t="str">
        <f aca="false">IF(AY196="","",IF(BD196&lt;AY196,BB196,BC196))</f>
        <v/>
      </c>
      <c r="BG196" s="9" t="str">
        <f aca="false">IF(AY196="","",(BE196+BF196)/2)</f>
        <v/>
      </c>
      <c r="BH196" s="9" t="str">
        <f aca="false">IF(OR(R196="",N196="",BG196="",R196&lt;=0,BG196&lt;=0),"",(1/Inputs!$B$9)*((R196^2/8)*((2*ACOS(1-2*BG196/R196))-SIN((2*ACOS(1-2*BG196/R196)))))*((((R196^2/8)*((2*ACOS(1-2*BG196/R196))-SIN((2*ACOS(1-2*BG196/R196)))))/((R196/2)*((2*ACOS(1-2*BG196/R196)))))^(2/3))*SQRT(N196))</f>
        <v/>
      </c>
      <c r="BI196" s="9" t="str">
        <f aca="false">IF(AY196="","",IF(BH196&lt;AY196,BG196,BE196))</f>
        <v/>
      </c>
      <c r="BJ196" s="9" t="str">
        <f aca="false">IF(AY196="","",IF(BH196&lt;AY196,BF196,BG196))</f>
        <v/>
      </c>
      <c r="BK196" s="9" t="str">
        <f aca="false">IF(AY196="","",(BI196+BJ196)/2)</f>
        <v/>
      </c>
      <c r="BL196" s="9" t="str">
        <f aca="false">IF(OR(R196="",N196="",BK196="",R196&lt;=0,BK196&lt;=0),"",(1/Inputs!$B$9)*((R196^2/8)*((2*ACOS(1-2*BK196/R196))-SIN((2*ACOS(1-2*BK196/R196)))))*((((R196^2/8)*((2*ACOS(1-2*BK196/R196))-SIN((2*ACOS(1-2*BK196/R196)))))/((R196/2)*((2*ACOS(1-2*BK196/R196)))))^(2/3))*SQRT(N196))</f>
        <v/>
      </c>
      <c r="BM196" s="9" t="str">
        <f aca="false">IF(AY196="","",IF(BL196&lt;AY196,BK196,BI196))</f>
        <v/>
      </c>
      <c r="BN196" s="9" t="str">
        <f aca="false">IF(AY196="","",IF(BL196&lt;AY196,BJ196,BK196))</f>
        <v/>
      </c>
      <c r="BO196" s="9" t="str">
        <f aca="false">IF(AY196="","",(BM196+BN196)/2)</f>
        <v/>
      </c>
      <c r="BP196" s="9" t="str">
        <f aca="false">IF(OR(R196="",N196="",BO196="",R196&lt;=0,BO196&lt;=0),"",(1/Inputs!$B$9)*((R196^2/8)*((2*ACOS(1-2*BO196/R196))-SIN((2*ACOS(1-2*BO196/R196)))))*((((R196^2/8)*((2*ACOS(1-2*BO196/R196))-SIN((2*ACOS(1-2*BO196/R196)))))/((R196/2)*((2*ACOS(1-2*BO196/R196)))))^(2/3))*SQRT(N196))</f>
        <v/>
      </c>
      <c r="BQ196" s="9" t="str">
        <f aca="false">IF(AY196="","",IF(BP196&lt;AY196,BO196,BM196))</f>
        <v/>
      </c>
      <c r="BR196" s="9" t="str">
        <f aca="false">IF(AY196="","",IF(BP196&lt;AY196,BN196,BO196))</f>
        <v/>
      </c>
      <c r="BS196" s="9" t="str">
        <f aca="false">IF(AY196="","",(BQ196+BR196)/2)</f>
        <v/>
      </c>
      <c r="BT196" s="9" t="str">
        <f aca="false">IF(OR(R196="",N196="",BS196="",R196&lt;=0,BS196&lt;=0),"",(1/Inputs!$B$9)*((R196^2/8)*((2*ACOS(1-2*BS196/R196))-SIN((2*ACOS(1-2*BS196/R196)))))*((((R196^2/8)*((2*ACOS(1-2*BS196/R196))-SIN((2*ACOS(1-2*BS196/R196)))))/((R196/2)*((2*ACOS(1-2*BS196/R196)))))^(2/3))*SQRT(N196))</f>
        <v/>
      </c>
      <c r="BU196" s="9" t="str">
        <f aca="false">IF(AY196="","",IF(BT196&lt;AY196,BS196,BQ196))</f>
        <v/>
      </c>
      <c r="BV196" s="9" t="str">
        <f aca="false">IF(AY196="","",IF(BT196&lt;AY196,BR196,BS196))</f>
        <v/>
      </c>
      <c r="BW196" s="9" t="str">
        <f aca="false">IF(AY196="","",(BU196+BV196)/2)</f>
        <v/>
      </c>
      <c r="BX196" s="9" t="str">
        <f aca="false">IF(OR(R196="",N196="",BW196="",R196&lt;=0,BW196&lt;=0),"",(1/Inputs!$B$9)*((R196^2/8)*((2*ACOS(1-2*BW196/R196))-SIN((2*ACOS(1-2*BW196/R196)))))*((((R196^2/8)*((2*ACOS(1-2*BW196/R196))-SIN((2*ACOS(1-2*BW196/R196)))))/((R196/2)*((2*ACOS(1-2*BW196/R196)))))^(2/3))*SQRT(N196))</f>
        <v/>
      </c>
      <c r="BY196" s="9" t="str">
        <f aca="false">IF(AY196="","",IF(BX196&lt;AY196,BW196,BU196))</f>
        <v/>
      </c>
      <c r="BZ196" s="9" t="str">
        <f aca="false">IF(AY196="","",IF(BX196&lt;AY196,BV196,BW196))</f>
        <v/>
      </c>
      <c r="CA196" s="9" t="str">
        <f aca="false">IF(AY196="","",(BY196+BZ196)/2)</f>
        <v/>
      </c>
      <c r="CB196" s="9" t="str">
        <f aca="false">IF(OR(R196="",N196="",CA196="",R196&lt;=0,CA196&lt;=0),"",(1/Inputs!$B$9)*((R196^2/8)*((2*ACOS(1-2*CA196/R196))-SIN((2*ACOS(1-2*CA196/R196)))))*((((R196^2/8)*((2*ACOS(1-2*CA196/R196))-SIN((2*ACOS(1-2*CA196/R196)))))/((R196/2)*((2*ACOS(1-2*CA196/R196)))))^(2/3))*SQRT(N196))</f>
        <v/>
      </c>
      <c r="CC196" s="9" t="str">
        <f aca="false">IF(AY196="","",IF(CB196&lt;AY196,CA196,BY196))</f>
        <v/>
      </c>
      <c r="CD196" s="9" t="str">
        <f aca="false">IF(AY196="","",IF(CB196&lt;AY196,BZ196,CA196))</f>
        <v/>
      </c>
      <c r="CE196" s="9" t="str">
        <f aca="false">IF(AY196="","",(CC196+CD196)/2)</f>
        <v/>
      </c>
    </row>
    <row r="197" customFormat="false" ht="15" hidden="false" customHeight="false" outlineLevel="0" collapsed="false">
      <c r="A197" s="9"/>
      <c r="B197" s="9"/>
      <c r="C197" s="14"/>
      <c r="D197" s="14"/>
      <c r="E197" s="14" t="n">
        <f aca="false">SUMIFS(CB_Tributaires!$C:$C,CB_Tributaires!$B:$B,$A197)</f>
        <v>0</v>
      </c>
      <c r="F197" s="14" t="n">
        <f aca="false">IF(D197="",E197,D197)</f>
        <v>0</v>
      </c>
      <c r="G197" s="9"/>
      <c r="H197" s="14"/>
      <c r="I197" s="14" t="str">
        <f aca="false">IF(A197="","",Inputs!$B$13/((IF(AS197="",Inputs!$B$18,AS197)+Inputs!$B$14)^Inputs!$B$15))</f>
        <v/>
      </c>
      <c r="J197" s="14" t="str">
        <f aca="false">IF(A197="","",0.000000278*IF(G197="",Inputs!$B$17,G197)*F197*I197)</f>
        <v/>
      </c>
      <c r="K197" s="14" t="str">
        <f aca="false">IF(A197="","",SUMIFS($L$4:$L$203,$B$4:$B$203,$A197))</f>
        <v/>
      </c>
      <c r="L197" s="14" t="str">
        <f aca="false">IF(A197="","",(J197+K197)*Inputs!$B$16)</f>
        <v/>
      </c>
      <c r="M197" s="14"/>
      <c r="N197" s="14" t="str">
        <f aca="false">IF(A197="","",IF(M197="",Inputs!$B$7,M197))</f>
        <v/>
      </c>
      <c r="O197" s="9" t="str">
        <f aca="false">IF(A197="","",IF(L197/Inputs!$B$10&lt;=AD197,Inputs!$F$5,IF(L197/Inputs!$B$10&gt;AM197,"OVERSIZE",INDEX(Inputs!$F$5:$F$14,MATCH(L197/Inputs!$B$10,AD197:AM197,1)+1))))</f>
        <v/>
      </c>
      <c r="P197" s="9"/>
      <c r="Q197" s="9" t="str">
        <f aca="false">IF(A197="","",IF(P197="",O197,P197))</f>
        <v/>
      </c>
      <c r="R197" s="14" t="str">
        <f aca="false">IF(OR(Q197="",Q197="OVERSIZE"),"",Q197/1000)</f>
        <v/>
      </c>
      <c r="S197" s="14" t="str">
        <f aca="false">IF(R197="","",(1/Inputs!$B$9)*(PI()*R197^2/4)*((R197/4)^(2/3))*SQRT(N197))</f>
        <v/>
      </c>
      <c r="T197" s="14" t="str">
        <f aca="false">IF(OR(S197="",L197=""),"",L197/(S197*Inputs!$B$10))</f>
        <v/>
      </c>
      <c r="U197" s="14" t="str">
        <f aca="false">IF(OR(R197="",L197=""),"",4*L197/(PI()*R197^2))</f>
        <v/>
      </c>
      <c r="V197" s="14"/>
      <c r="W197" s="14" t="str">
        <f aca="false">IF(A197="","",IF(A197=Inputs!$B$6,Inputs!$B$22,IF(B197="","",IFERROR(INDEX($X$4:$X$203,MATCH(B197,$A$4:$A$203,0))+IF(V197="",Inputs!$B$20,V197),""))))</f>
        <v/>
      </c>
      <c r="X197" s="14" t="str">
        <f aca="false">IF(OR(W197="",N197="",C197=""),"",W197+N197*C197)</f>
        <v/>
      </c>
      <c r="Y197" s="14"/>
      <c r="Z197" s="14"/>
      <c r="AA197" s="14" t="str">
        <f aca="false">IF(OR(Y197="",W197=""),"",Y197-W197)</f>
        <v/>
      </c>
      <c r="AB197" s="14" t="str">
        <f aca="false">IF(OR(Z197="",X197=""),"",Z197-X197)</f>
        <v/>
      </c>
      <c r="AC197" s="19" t="str">
        <f aca="false">IF(A197="","",IF(OR(T197&gt;1,AND(AV197&lt;&gt;"",AV197&lt;Inputs!$B$11),AND(AV197&lt;&gt;"",AV197&gt;Inputs!$B$12),AA197&lt;Inputs!$B$19,AB197&lt;Inputs!$B$19,N197&lt;Inputs!$B$7,N197&gt;Inputs!$B$8),"CHECK","OK"))</f>
        <v/>
      </c>
      <c r="AD197" s="9" t="str">
        <f aca="false">IF(A197="","",(1/Inputs!$B$9)*(PI()*(Inputs!$F$5/1000)^2/4)*((Inputs!$F$5/1000/4)^(2/3))*SQRT(N197))</f>
        <v/>
      </c>
      <c r="AE197" s="9" t="str">
        <f aca="false">IF(A197="","",(1/Inputs!$B$9)*(PI()*(Inputs!$F$6/1000)^2/4)*((Inputs!$F$6/1000/4)^(2/3))*SQRT(N197))</f>
        <v/>
      </c>
      <c r="AF197" s="9" t="str">
        <f aca="false">IF(A197="","",(1/Inputs!$B$9)*(PI()*(Inputs!$F$7/1000)^2/4)*((Inputs!$F$7/1000/4)^(2/3))*SQRT(N197))</f>
        <v/>
      </c>
      <c r="AG197" s="9" t="str">
        <f aca="false">IF(A197="","",(1/Inputs!$B$9)*(PI()*(Inputs!$F$8/1000)^2/4)*((Inputs!$F$8/1000/4)^(2/3))*SQRT(N197))</f>
        <v/>
      </c>
      <c r="AH197" s="9" t="str">
        <f aca="false">IF(A197="","",(1/Inputs!$B$9)*(PI()*(Inputs!$F$9/1000)^2/4)*((Inputs!$F$9/1000/4)^(2/3))*SQRT(N197))</f>
        <v/>
      </c>
      <c r="AI197" s="9" t="str">
        <f aca="false">IF(A197="","",(1/Inputs!$B$9)*(PI()*(Inputs!$F$10/1000)^2/4)*((Inputs!$F$10/1000/4)^(2/3))*SQRT(N197))</f>
        <v/>
      </c>
      <c r="AJ197" s="9" t="str">
        <f aca="false">IF(A197="","",(1/Inputs!$B$9)*(PI()*(Inputs!$F$11/1000)^2/4)*((Inputs!$F$11/1000/4)^(2/3))*SQRT(N197))</f>
        <v/>
      </c>
      <c r="AK197" s="9" t="str">
        <f aca="false">IF(A197="","",(1/Inputs!$B$9)*(PI()*(Inputs!$F$12/1000)^2/4)*((Inputs!$F$12/1000/4)^(2/3))*SQRT(N197))</f>
        <v/>
      </c>
      <c r="AL197" s="9" t="str">
        <f aca="false">IF(A197="","",(1/Inputs!$B$9)*(PI()*(Inputs!$F$13/1000)^2/4)*((Inputs!$F$13/1000/4)^(2/3))*SQRT(N197))</f>
        <v/>
      </c>
      <c r="AM197" s="9" t="str">
        <f aca="false">IF(A197="","",(1/Inputs!$B$9)*(PI()*(Inputs!$F$14/1000)^2/4)*((Inputs!$F$14/1000/4)^(2/3))*SQRT(N197))</f>
        <v/>
      </c>
      <c r="AN197" s="9" t="str">
        <f aca="false">IF(A197="","",COUNTIF($B$4:$B$203,$A197))</f>
        <v/>
      </c>
      <c r="AO197" s="9" t="str">
        <f aca="false">IF(A197="","",IF(AN197=0,"START","CONTINUOUS"))</f>
        <v/>
      </c>
      <c r="AP197" s="13" t="str">
        <f aca="false">IF(A197="","",IF(H197="",Inputs!$B$18,H197))</f>
        <v/>
      </c>
      <c r="AQ197" s="13" t="str">
        <f aca="false">IF(A197="","",IFERROR(maxifs($AS$4:$AS$203,$B$4:$B$203,$A197),""))</f>
        <v/>
      </c>
      <c r="AR197" s="13" t="str">
        <f aca="false">IF(A197="","",IF(OR(C197="",Inputs!$B$23=""),"",C197/(Inputs!$B$23*60)))</f>
        <v/>
      </c>
      <c r="AS197" s="13" t="str">
        <f aca="false">IF(A197="","",IF(AN197=0,AP197+AR197,IF(AQ197="",AP197+AR197,AQ197+AR197)))</f>
        <v/>
      </c>
      <c r="AT197" s="13" t="str">
        <f aca="false">IF(A197="","",U197)</f>
        <v/>
      </c>
      <c r="AU197" s="13" t="str">
        <f aca="false">IF(OR(R197="",N197=""),"",(1/Inputs!$B$9)*((R197/4)^(2/3))*SQRT(N197))</f>
        <v/>
      </c>
      <c r="AV197" s="13" t="str">
        <f aca="false">IF(A197="","",IF(AND(AT197="",AU197="",AX197=""),"",IF(OR(UPPER(TRIM(Inputs!$B$24))="MANNING",UPPER(TRIM(Inputs!$B$24))="M"),AU197,IF(OR(UPPER(TRIM(Inputs!$B$24))="PARTIAL",UPPER(TRIM(Inputs!$B$24))="P"),AX197,IF(OR(UPPER(TRIM(Inputs!$B$24))="MAX",UPPER(TRIM(Inputs!$B$24))="X"),MAX(IF(AT197="",0,AT197),IF(AU197="",0,AU197),IF(AX197="",0,AX197)),AT197)))))</f>
        <v/>
      </c>
      <c r="AW197" s="13" t="str">
        <f aca="false">IF(AY197="","",CE197)</f>
        <v/>
      </c>
      <c r="AX197" s="13" t="str">
        <f aca="false">IF(OR(AY197="",AW197="",R197="",R197&lt;=0,AW197&lt;=0),"",AY197/((R197^2/8)*(2*ACOS(1-2*AW197/R197)-SIN(2*ACOS(1-2*AW197/R197)))))</f>
        <v/>
      </c>
      <c r="AY197" s="9" t="str">
        <f aca="false">IF(OR(L197="",AZ197=""),"",MIN(L197,AZ197))</f>
        <v/>
      </c>
      <c r="AZ197" s="9" t="str">
        <f aca="false">IF(OR(L197="",R197="",N197=""),"",IF(OR(R197="",N197="",(0.94*R197)="",R197&lt;=0,(0.94*R197)&lt;=0),"",(1/Inputs!$B$9)*((R197^2/8)*((2*ACOS(1-2*(0.94*R197)/R197))-SIN((2*ACOS(1-2*(0.94*R197)/R197)))))*((((R197^2/8)*((2*ACOS(1-2*(0.94*R197)/R197))-SIN((2*ACOS(1-2*(0.94*R197)/R197)))))/((R197/2)*((2*ACOS(1-2*(0.94*R197)/R197)))))^(2/3))*SQRT(N197)))</f>
        <v/>
      </c>
      <c r="BA197" s="9" t="str">
        <f aca="false">IF(AY197="","",0.001*R197)</f>
        <v/>
      </c>
      <c r="BB197" s="9" t="str">
        <f aca="false">IF(AY197="","",0.94*R197)</f>
        <v/>
      </c>
      <c r="BC197" s="9" t="str">
        <f aca="false">IF(AY197="","",(BA197+BB197)/2)</f>
        <v/>
      </c>
      <c r="BD197" s="9" t="str">
        <f aca="false">IF(OR(R197="",N197="",BC197="",R197&lt;=0,BC197&lt;=0),"",(1/Inputs!$B$9)*((R197^2/8)*((2*ACOS(1-2*BC197/R197))-SIN((2*ACOS(1-2*BC197/R197)))))*((((R197^2/8)*((2*ACOS(1-2*BC197/R197))-SIN((2*ACOS(1-2*BC197/R197)))))/((R197/2)*((2*ACOS(1-2*BC197/R197)))))^(2/3))*SQRT(N197))</f>
        <v/>
      </c>
      <c r="BE197" s="9" t="str">
        <f aca="false">IF(AY197="","",IF(BD197&lt;AY197,BC197,BA197))</f>
        <v/>
      </c>
      <c r="BF197" s="9" t="str">
        <f aca="false">IF(AY197="","",IF(BD197&lt;AY197,BB197,BC197))</f>
        <v/>
      </c>
      <c r="BG197" s="9" t="str">
        <f aca="false">IF(AY197="","",(BE197+BF197)/2)</f>
        <v/>
      </c>
      <c r="BH197" s="9" t="str">
        <f aca="false">IF(OR(R197="",N197="",BG197="",R197&lt;=0,BG197&lt;=0),"",(1/Inputs!$B$9)*((R197^2/8)*((2*ACOS(1-2*BG197/R197))-SIN((2*ACOS(1-2*BG197/R197)))))*((((R197^2/8)*((2*ACOS(1-2*BG197/R197))-SIN((2*ACOS(1-2*BG197/R197)))))/((R197/2)*((2*ACOS(1-2*BG197/R197)))))^(2/3))*SQRT(N197))</f>
        <v/>
      </c>
      <c r="BI197" s="9" t="str">
        <f aca="false">IF(AY197="","",IF(BH197&lt;AY197,BG197,BE197))</f>
        <v/>
      </c>
      <c r="BJ197" s="9" t="str">
        <f aca="false">IF(AY197="","",IF(BH197&lt;AY197,BF197,BG197))</f>
        <v/>
      </c>
      <c r="BK197" s="9" t="str">
        <f aca="false">IF(AY197="","",(BI197+BJ197)/2)</f>
        <v/>
      </c>
      <c r="BL197" s="9" t="str">
        <f aca="false">IF(OR(R197="",N197="",BK197="",R197&lt;=0,BK197&lt;=0),"",(1/Inputs!$B$9)*((R197^2/8)*((2*ACOS(1-2*BK197/R197))-SIN((2*ACOS(1-2*BK197/R197)))))*((((R197^2/8)*((2*ACOS(1-2*BK197/R197))-SIN((2*ACOS(1-2*BK197/R197)))))/((R197/2)*((2*ACOS(1-2*BK197/R197)))))^(2/3))*SQRT(N197))</f>
        <v/>
      </c>
      <c r="BM197" s="9" t="str">
        <f aca="false">IF(AY197="","",IF(BL197&lt;AY197,BK197,BI197))</f>
        <v/>
      </c>
      <c r="BN197" s="9" t="str">
        <f aca="false">IF(AY197="","",IF(BL197&lt;AY197,BJ197,BK197))</f>
        <v/>
      </c>
      <c r="BO197" s="9" t="str">
        <f aca="false">IF(AY197="","",(BM197+BN197)/2)</f>
        <v/>
      </c>
      <c r="BP197" s="9" t="str">
        <f aca="false">IF(OR(R197="",N197="",BO197="",R197&lt;=0,BO197&lt;=0),"",(1/Inputs!$B$9)*((R197^2/8)*((2*ACOS(1-2*BO197/R197))-SIN((2*ACOS(1-2*BO197/R197)))))*((((R197^2/8)*((2*ACOS(1-2*BO197/R197))-SIN((2*ACOS(1-2*BO197/R197)))))/((R197/2)*((2*ACOS(1-2*BO197/R197)))))^(2/3))*SQRT(N197))</f>
        <v/>
      </c>
      <c r="BQ197" s="9" t="str">
        <f aca="false">IF(AY197="","",IF(BP197&lt;AY197,BO197,BM197))</f>
        <v/>
      </c>
      <c r="BR197" s="9" t="str">
        <f aca="false">IF(AY197="","",IF(BP197&lt;AY197,BN197,BO197))</f>
        <v/>
      </c>
      <c r="BS197" s="9" t="str">
        <f aca="false">IF(AY197="","",(BQ197+BR197)/2)</f>
        <v/>
      </c>
      <c r="BT197" s="9" t="str">
        <f aca="false">IF(OR(R197="",N197="",BS197="",R197&lt;=0,BS197&lt;=0),"",(1/Inputs!$B$9)*((R197^2/8)*((2*ACOS(1-2*BS197/R197))-SIN((2*ACOS(1-2*BS197/R197)))))*((((R197^2/8)*((2*ACOS(1-2*BS197/R197))-SIN((2*ACOS(1-2*BS197/R197)))))/((R197/2)*((2*ACOS(1-2*BS197/R197)))))^(2/3))*SQRT(N197))</f>
        <v/>
      </c>
      <c r="BU197" s="9" t="str">
        <f aca="false">IF(AY197="","",IF(BT197&lt;AY197,BS197,BQ197))</f>
        <v/>
      </c>
      <c r="BV197" s="9" t="str">
        <f aca="false">IF(AY197="","",IF(BT197&lt;AY197,BR197,BS197))</f>
        <v/>
      </c>
      <c r="BW197" s="9" t="str">
        <f aca="false">IF(AY197="","",(BU197+BV197)/2)</f>
        <v/>
      </c>
      <c r="BX197" s="9" t="str">
        <f aca="false">IF(OR(R197="",N197="",BW197="",R197&lt;=0,BW197&lt;=0),"",(1/Inputs!$B$9)*((R197^2/8)*((2*ACOS(1-2*BW197/R197))-SIN((2*ACOS(1-2*BW197/R197)))))*((((R197^2/8)*((2*ACOS(1-2*BW197/R197))-SIN((2*ACOS(1-2*BW197/R197)))))/((R197/2)*((2*ACOS(1-2*BW197/R197)))))^(2/3))*SQRT(N197))</f>
        <v/>
      </c>
      <c r="BY197" s="9" t="str">
        <f aca="false">IF(AY197="","",IF(BX197&lt;AY197,BW197,BU197))</f>
        <v/>
      </c>
      <c r="BZ197" s="9" t="str">
        <f aca="false">IF(AY197="","",IF(BX197&lt;AY197,BV197,BW197))</f>
        <v/>
      </c>
      <c r="CA197" s="9" t="str">
        <f aca="false">IF(AY197="","",(BY197+BZ197)/2)</f>
        <v/>
      </c>
      <c r="CB197" s="9" t="str">
        <f aca="false">IF(OR(R197="",N197="",CA197="",R197&lt;=0,CA197&lt;=0),"",(1/Inputs!$B$9)*((R197^2/8)*((2*ACOS(1-2*CA197/R197))-SIN((2*ACOS(1-2*CA197/R197)))))*((((R197^2/8)*((2*ACOS(1-2*CA197/R197))-SIN((2*ACOS(1-2*CA197/R197)))))/((R197/2)*((2*ACOS(1-2*CA197/R197)))))^(2/3))*SQRT(N197))</f>
        <v/>
      </c>
      <c r="CC197" s="9" t="str">
        <f aca="false">IF(AY197="","",IF(CB197&lt;AY197,CA197,BY197))</f>
        <v/>
      </c>
      <c r="CD197" s="9" t="str">
        <f aca="false">IF(AY197="","",IF(CB197&lt;AY197,BZ197,CA197))</f>
        <v/>
      </c>
      <c r="CE197" s="9" t="str">
        <f aca="false">IF(AY197="","",(CC197+CD197)/2)</f>
        <v/>
      </c>
    </row>
    <row r="198" customFormat="false" ht="15" hidden="false" customHeight="false" outlineLevel="0" collapsed="false">
      <c r="A198" s="9"/>
      <c r="B198" s="9"/>
      <c r="C198" s="14"/>
      <c r="D198" s="14"/>
      <c r="E198" s="14" t="n">
        <f aca="false">SUMIFS(CB_Tributaires!$C:$C,CB_Tributaires!$B:$B,$A198)</f>
        <v>0</v>
      </c>
      <c r="F198" s="14" t="n">
        <f aca="false">IF(D198="",E198,D198)</f>
        <v>0</v>
      </c>
      <c r="G198" s="9"/>
      <c r="H198" s="14"/>
      <c r="I198" s="14" t="str">
        <f aca="false">IF(A198="","",Inputs!$B$13/((IF(AS198="",Inputs!$B$18,AS198)+Inputs!$B$14)^Inputs!$B$15))</f>
        <v/>
      </c>
      <c r="J198" s="14" t="str">
        <f aca="false">IF(A198="","",0.000000278*IF(G198="",Inputs!$B$17,G198)*F198*I198)</f>
        <v/>
      </c>
      <c r="K198" s="14" t="str">
        <f aca="false">IF(A198="","",SUMIFS($L$4:$L$203,$B$4:$B$203,$A198))</f>
        <v/>
      </c>
      <c r="L198" s="14" t="str">
        <f aca="false">IF(A198="","",(J198+K198)*Inputs!$B$16)</f>
        <v/>
      </c>
      <c r="M198" s="14"/>
      <c r="N198" s="14" t="str">
        <f aca="false">IF(A198="","",IF(M198="",Inputs!$B$7,M198))</f>
        <v/>
      </c>
      <c r="O198" s="9" t="str">
        <f aca="false">IF(A198="","",IF(L198/Inputs!$B$10&lt;=AD198,Inputs!$F$5,IF(L198/Inputs!$B$10&gt;AM198,"OVERSIZE",INDEX(Inputs!$F$5:$F$14,MATCH(L198/Inputs!$B$10,AD198:AM198,1)+1))))</f>
        <v/>
      </c>
      <c r="P198" s="9"/>
      <c r="Q198" s="9" t="str">
        <f aca="false">IF(A198="","",IF(P198="",O198,P198))</f>
        <v/>
      </c>
      <c r="R198" s="14" t="str">
        <f aca="false">IF(OR(Q198="",Q198="OVERSIZE"),"",Q198/1000)</f>
        <v/>
      </c>
      <c r="S198" s="14" t="str">
        <f aca="false">IF(R198="","",(1/Inputs!$B$9)*(PI()*R198^2/4)*((R198/4)^(2/3))*SQRT(N198))</f>
        <v/>
      </c>
      <c r="T198" s="14" t="str">
        <f aca="false">IF(OR(S198="",L198=""),"",L198/(S198*Inputs!$B$10))</f>
        <v/>
      </c>
      <c r="U198" s="14" t="str">
        <f aca="false">IF(OR(R198="",L198=""),"",4*L198/(PI()*R198^2))</f>
        <v/>
      </c>
      <c r="V198" s="14"/>
      <c r="W198" s="14" t="str">
        <f aca="false">IF(A198="","",IF(A198=Inputs!$B$6,Inputs!$B$22,IF(B198="","",IFERROR(INDEX($X$4:$X$203,MATCH(B198,$A$4:$A$203,0))+IF(V198="",Inputs!$B$20,V198),""))))</f>
        <v/>
      </c>
      <c r="X198" s="14" t="str">
        <f aca="false">IF(OR(W198="",N198="",C198=""),"",W198+N198*C198)</f>
        <v/>
      </c>
      <c r="Y198" s="14"/>
      <c r="Z198" s="14"/>
      <c r="AA198" s="14" t="str">
        <f aca="false">IF(OR(Y198="",W198=""),"",Y198-W198)</f>
        <v/>
      </c>
      <c r="AB198" s="14" t="str">
        <f aca="false">IF(OR(Z198="",X198=""),"",Z198-X198)</f>
        <v/>
      </c>
      <c r="AC198" s="19" t="str">
        <f aca="false">IF(A198="","",IF(OR(T198&gt;1,AND(AV198&lt;&gt;"",AV198&lt;Inputs!$B$11),AND(AV198&lt;&gt;"",AV198&gt;Inputs!$B$12),AA198&lt;Inputs!$B$19,AB198&lt;Inputs!$B$19,N198&lt;Inputs!$B$7,N198&gt;Inputs!$B$8),"CHECK","OK"))</f>
        <v/>
      </c>
      <c r="AD198" s="9" t="str">
        <f aca="false">IF(A198="","",(1/Inputs!$B$9)*(PI()*(Inputs!$F$5/1000)^2/4)*((Inputs!$F$5/1000/4)^(2/3))*SQRT(N198))</f>
        <v/>
      </c>
      <c r="AE198" s="9" t="str">
        <f aca="false">IF(A198="","",(1/Inputs!$B$9)*(PI()*(Inputs!$F$6/1000)^2/4)*((Inputs!$F$6/1000/4)^(2/3))*SQRT(N198))</f>
        <v/>
      </c>
      <c r="AF198" s="9" t="str">
        <f aca="false">IF(A198="","",(1/Inputs!$B$9)*(PI()*(Inputs!$F$7/1000)^2/4)*((Inputs!$F$7/1000/4)^(2/3))*SQRT(N198))</f>
        <v/>
      </c>
      <c r="AG198" s="9" t="str">
        <f aca="false">IF(A198="","",(1/Inputs!$B$9)*(PI()*(Inputs!$F$8/1000)^2/4)*((Inputs!$F$8/1000/4)^(2/3))*SQRT(N198))</f>
        <v/>
      </c>
      <c r="AH198" s="9" t="str">
        <f aca="false">IF(A198="","",(1/Inputs!$B$9)*(PI()*(Inputs!$F$9/1000)^2/4)*((Inputs!$F$9/1000/4)^(2/3))*SQRT(N198))</f>
        <v/>
      </c>
      <c r="AI198" s="9" t="str">
        <f aca="false">IF(A198="","",(1/Inputs!$B$9)*(PI()*(Inputs!$F$10/1000)^2/4)*((Inputs!$F$10/1000/4)^(2/3))*SQRT(N198))</f>
        <v/>
      </c>
      <c r="AJ198" s="9" t="str">
        <f aca="false">IF(A198="","",(1/Inputs!$B$9)*(PI()*(Inputs!$F$11/1000)^2/4)*((Inputs!$F$11/1000/4)^(2/3))*SQRT(N198))</f>
        <v/>
      </c>
      <c r="AK198" s="9" t="str">
        <f aca="false">IF(A198="","",(1/Inputs!$B$9)*(PI()*(Inputs!$F$12/1000)^2/4)*((Inputs!$F$12/1000/4)^(2/3))*SQRT(N198))</f>
        <v/>
      </c>
      <c r="AL198" s="9" t="str">
        <f aca="false">IF(A198="","",(1/Inputs!$B$9)*(PI()*(Inputs!$F$13/1000)^2/4)*((Inputs!$F$13/1000/4)^(2/3))*SQRT(N198))</f>
        <v/>
      </c>
      <c r="AM198" s="9" t="str">
        <f aca="false">IF(A198="","",(1/Inputs!$B$9)*(PI()*(Inputs!$F$14/1000)^2/4)*((Inputs!$F$14/1000/4)^(2/3))*SQRT(N198))</f>
        <v/>
      </c>
      <c r="AN198" s="9" t="str">
        <f aca="false">IF(A198="","",COUNTIF($B$4:$B$203,$A198))</f>
        <v/>
      </c>
      <c r="AO198" s="9" t="str">
        <f aca="false">IF(A198="","",IF(AN198=0,"START","CONTINUOUS"))</f>
        <v/>
      </c>
      <c r="AP198" s="13" t="str">
        <f aca="false">IF(A198="","",IF(H198="",Inputs!$B$18,H198))</f>
        <v/>
      </c>
      <c r="AQ198" s="13" t="str">
        <f aca="false">IF(A198="","",IFERROR(maxifs($AS$4:$AS$203,$B$4:$B$203,$A198),""))</f>
        <v/>
      </c>
      <c r="AR198" s="13" t="str">
        <f aca="false">IF(A198="","",IF(OR(C198="",Inputs!$B$23=""),"",C198/(Inputs!$B$23*60)))</f>
        <v/>
      </c>
      <c r="AS198" s="13" t="str">
        <f aca="false">IF(A198="","",IF(AN198=0,AP198+AR198,IF(AQ198="",AP198+AR198,AQ198+AR198)))</f>
        <v/>
      </c>
      <c r="AT198" s="13" t="str">
        <f aca="false">IF(A198="","",U198)</f>
        <v/>
      </c>
      <c r="AU198" s="13" t="str">
        <f aca="false">IF(OR(R198="",N198=""),"",(1/Inputs!$B$9)*((R198/4)^(2/3))*SQRT(N198))</f>
        <v/>
      </c>
      <c r="AV198" s="13" t="str">
        <f aca="false">IF(A198="","",IF(AND(AT198="",AU198="",AX198=""),"",IF(OR(UPPER(TRIM(Inputs!$B$24))="MANNING",UPPER(TRIM(Inputs!$B$24))="M"),AU198,IF(OR(UPPER(TRIM(Inputs!$B$24))="PARTIAL",UPPER(TRIM(Inputs!$B$24))="P"),AX198,IF(OR(UPPER(TRIM(Inputs!$B$24))="MAX",UPPER(TRIM(Inputs!$B$24))="X"),MAX(IF(AT198="",0,AT198),IF(AU198="",0,AU198),IF(AX198="",0,AX198)),AT198)))))</f>
        <v/>
      </c>
      <c r="AW198" s="13" t="str">
        <f aca="false">IF(AY198="","",CE198)</f>
        <v/>
      </c>
      <c r="AX198" s="13" t="str">
        <f aca="false">IF(OR(AY198="",AW198="",R198="",R198&lt;=0,AW198&lt;=0),"",AY198/((R198^2/8)*(2*ACOS(1-2*AW198/R198)-SIN(2*ACOS(1-2*AW198/R198)))))</f>
        <v/>
      </c>
      <c r="AY198" s="9" t="str">
        <f aca="false">IF(OR(L198="",AZ198=""),"",MIN(L198,AZ198))</f>
        <v/>
      </c>
      <c r="AZ198" s="9" t="str">
        <f aca="false">IF(OR(L198="",R198="",N198=""),"",IF(OR(R198="",N198="",(0.94*R198)="",R198&lt;=0,(0.94*R198)&lt;=0),"",(1/Inputs!$B$9)*((R198^2/8)*((2*ACOS(1-2*(0.94*R198)/R198))-SIN((2*ACOS(1-2*(0.94*R198)/R198)))))*((((R198^2/8)*((2*ACOS(1-2*(0.94*R198)/R198))-SIN((2*ACOS(1-2*(0.94*R198)/R198)))))/((R198/2)*((2*ACOS(1-2*(0.94*R198)/R198)))))^(2/3))*SQRT(N198)))</f>
        <v/>
      </c>
      <c r="BA198" s="9" t="str">
        <f aca="false">IF(AY198="","",0.001*R198)</f>
        <v/>
      </c>
      <c r="BB198" s="9" t="str">
        <f aca="false">IF(AY198="","",0.94*R198)</f>
        <v/>
      </c>
      <c r="BC198" s="9" t="str">
        <f aca="false">IF(AY198="","",(BA198+BB198)/2)</f>
        <v/>
      </c>
      <c r="BD198" s="9" t="str">
        <f aca="false">IF(OR(R198="",N198="",BC198="",R198&lt;=0,BC198&lt;=0),"",(1/Inputs!$B$9)*((R198^2/8)*((2*ACOS(1-2*BC198/R198))-SIN((2*ACOS(1-2*BC198/R198)))))*((((R198^2/8)*((2*ACOS(1-2*BC198/R198))-SIN((2*ACOS(1-2*BC198/R198)))))/((R198/2)*((2*ACOS(1-2*BC198/R198)))))^(2/3))*SQRT(N198))</f>
        <v/>
      </c>
      <c r="BE198" s="9" t="str">
        <f aca="false">IF(AY198="","",IF(BD198&lt;AY198,BC198,BA198))</f>
        <v/>
      </c>
      <c r="BF198" s="9" t="str">
        <f aca="false">IF(AY198="","",IF(BD198&lt;AY198,BB198,BC198))</f>
        <v/>
      </c>
      <c r="BG198" s="9" t="str">
        <f aca="false">IF(AY198="","",(BE198+BF198)/2)</f>
        <v/>
      </c>
      <c r="BH198" s="9" t="str">
        <f aca="false">IF(OR(R198="",N198="",BG198="",R198&lt;=0,BG198&lt;=0),"",(1/Inputs!$B$9)*((R198^2/8)*((2*ACOS(1-2*BG198/R198))-SIN((2*ACOS(1-2*BG198/R198)))))*((((R198^2/8)*((2*ACOS(1-2*BG198/R198))-SIN((2*ACOS(1-2*BG198/R198)))))/((R198/2)*((2*ACOS(1-2*BG198/R198)))))^(2/3))*SQRT(N198))</f>
        <v/>
      </c>
      <c r="BI198" s="9" t="str">
        <f aca="false">IF(AY198="","",IF(BH198&lt;AY198,BG198,BE198))</f>
        <v/>
      </c>
      <c r="BJ198" s="9" t="str">
        <f aca="false">IF(AY198="","",IF(BH198&lt;AY198,BF198,BG198))</f>
        <v/>
      </c>
      <c r="BK198" s="9" t="str">
        <f aca="false">IF(AY198="","",(BI198+BJ198)/2)</f>
        <v/>
      </c>
      <c r="BL198" s="9" t="str">
        <f aca="false">IF(OR(R198="",N198="",BK198="",R198&lt;=0,BK198&lt;=0),"",(1/Inputs!$B$9)*((R198^2/8)*((2*ACOS(1-2*BK198/R198))-SIN((2*ACOS(1-2*BK198/R198)))))*((((R198^2/8)*((2*ACOS(1-2*BK198/R198))-SIN((2*ACOS(1-2*BK198/R198)))))/((R198/2)*((2*ACOS(1-2*BK198/R198)))))^(2/3))*SQRT(N198))</f>
        <v/>
      </c>
      <c r="BM198" s="9" t="str">
        <f aca="false">IF(AY198="","",IF(BL198&lt;AY198,BK198,BI198))</f>
        <v/>
      </c>
      <c r="BN198" s="9" t="str">
        <f aca="false">IF(AY198="","",IF(BL198&lt;AY198,BJ198,BK198))</f>
        <v/>
      </c>
      <c r="BO198" s="9" t="str">
        <f aca="false">IF(AY198="","",(BM198+BN198)/2)</f>
        <v/>
      </c>
      <c r="BP198" s="9" t="str">
        <f aca="false">IF(OR(R198="",N198="",BO198="",R198&lt;=0,BO198&lt;=0),"",(1/Inputs!$B$9)*((R198^2/8)*((2*ACOS(1-2*BO198/R198))-SIN((2*ACOS(1-2*BO198/R198)))))*((((R198^2/8)*((2*ACOS(1-2*BO198/R198))-SIN((2*ACOS(1-2*BO198/R198)))))/((R198/2)*((2*ACOS(1-2*BO198/R198)))))^(2/3))*SQRT(N198))</f>
        <v/>
      </c>
      <c r="BQ198" s="9" t="str">
        <f aca="false">IF(AY198="","",IF(BP198&lt;AY198,BO198,BM198))</f>
        <v/>
      </c>
      <c r="BR198" s="9" t="str">
        <f aca="false">IF(AY198="","",IF(BP198&lt;AY198,BN198,BO198))</f>
        <v/>
      </c>
      <c r="BS198" s="9" t="str">
        <f aca="false">IF(AY198="","",(BQ198+BR198)/2)</f>
        <v/>
      </c>
      <c r="BT198" s="9" t="str">
        <f aca="false">IF(OR(R198="",N198="",BS198="",R198&lt;=0,BS198&lt;=0),"",(1/Inputs!$B$9)*((R198^2/8)*((2*ACOS(1-2*BS198/R198))-SIN((2*ACOS(1-2*BS198/R198)))))*((((R198^2/8)*((2*ACOS(1-2*BS198/R198))-SIN((2*ACOS(1-2*BS198/R198)))))/((R198/2)*((2*ACOS(1-2*BS198/R198)))))^(2/3))*SQRT(N198))</f>
        <v/>
      </c>
      <c r="BU198" s="9" t="str">
        <f aca="false">IF(AY198="","",IF(BT198&lt;AY198,BS198,BQ198))</f>
        <v/>
      </c>
      <c r="BV198" s="9" t="str">
        <f aca="false">IF(AY198="","",IF(BT198&lt;AY198,BR198,BS198))</f>
        <v/>
      </c>
      <c r="BW198" s="9" t="str">
        <f aca="false">IF(AY198="","",(BU198+BV198)/2)</f>
        <v/>
      </c>
      <c r="BX198" s="9" t="str">
        <f aca="false">IF(OR(R198="",N198="",BW198="",R198&lt;=0,BW198&lt;=0),"",(1/Inputs!$B$9)*((R198^2/8)*((2*ACOS(1-2*BW198/R198))-SIN((2*ACOS(1-2*BW198/R198)))))*((((R198^2/8)*((2*ACOS(1-2*BW198/R198))-SIN((2*ACOS(1-2*BW198/R198)))))/((R198/2)*((2*ACOS(1-2*BW198/R198)))))^(2/3))*SQRT(N198))</f>
        <v/>
      </c>
      <c r="BY198" s="9" t="str">
        <f aca="false">IF(AY198="","",IF(BX198&lt;AY198,BW198,BU198))</f>
        <v/>
      </c>
      <c r="BZ198" s="9" t="str">
        <f aca="false">IF(AY198="","",IF(BX198&lt;AY198,BV198,BW198))</f>
        <v/>
      </c>
      <c r="CA198" s="9" t="str">
        <f aca="false">IF(AY198="","",(BY198+BZ198)/2)</f>
        <v/>
      </c>
      <c r="CB198" s="9" t="str">
        <f aca="false">IF(OR(R198="",N198="",CA198="",R198&lt;=0,CA198&lt;=0),"",(1/Inputs!$B$9)*((R198^2/8)*((2*ACOS(1-2*CA198/R198))-SIN((2*ACOS(1-2*CA198/R198)))))*((((R198^2/8)*((2*ACOS(1-2*CA198/R198))-SIN((2*ACOS(1-2*CA198/R198)))))/((R198/2)*((2*ACOS(1-2*CA198/R198)))))^(2/3))*SQRT(N198))</f>
        <v/>
      </c>
      <c r="CC198" s="9" t="str">
        <f aca="false">IF(AY198="","",IF(CB198&lt;AY198,CA198,BY198))</f>
        <v/>
      </c>
      <c r="CD198" s="9" t="str">
        <f aca="false">IF(AY198="","",IF(CB198&lt;AY198,BZ198,CA198))</f>
        <v/>
      </c>
      <c r="CE198" s="9" t="str">
        <f aca="false">IF(AY198="","",(CC198+CD198)/2)</f>
        <v/>
      </c>
    </row>
    <row r="199" customFormat="false" ht="15" hidden="false" customHeight="false" outlineLevel="0" collapsed="false">
      <c r="A199" s="9"/>
      <c r="B199" s="9"/>
      <c r="C199" s="14"/>
      <c r="D199" s="14"/>
      <c r="E199" s="14" t="n">
        <f aca="false">SUMIFS(CB_Tributaires!$C:$C,CB_Tributaires!$B:$B,$A199)</f>
        <v>0</v>
      </c>
      <c r="F199" s="14" t="n">
        <f aca="false">IF(D199="",E199,D199)</f>
        <v>0</v>
      </c>
      <c r="G199" s="9"/>
      <c r="H199" s="14"/>
      <c r="I199" s="14" t="str">
        <f aca="false">IF(A199="","",Inputs!$B$13/((IF(AS199="",Inputs!$B$18,AS199)+Inputs!$B$14)^Inputs!$B$15))</f>
        <v/>
      </c>
      <c r="J199" s="14" t="str">
        <f aca="false">IF(A199="","",0.000000278*IF(G199="",Inputs!$B$17,G199)*F199*I199)</f>
        <v/>
      </c>
      <c r="K199" s="14" t="str">
        <f aca="false">IF(A199="","",SUMIFS($L$4:$L$203,$B$4:$B$203,$A199))</f>
        <v/>
      </c>
      <c r="L199" s="14" t="str">
        <f aca="false">IF(A199="","",(J199+K199)*Inputs!$B$16)</f>
        <v/>
      </c>
      <c r="M199" s="14"/>
      <c r="N199" s="14" t="str">
        <f aca="false">IF(A199="","",IF(M199="",Inputs!$B$7,M199))</f>
        <v/>
      </c>
      <c r="O199" s="9" t="str">
        <f aca="false">IF(A199="","",IF(L199/Inputs!$B$10&lt;=AD199,Inputs!$F$5,IF(L199/Inputs!$B$10&gt;AM199,"OVERSIZE",INDEX(Inputs!$F$5:$F$14,MATCH(L199/Inputs!$B$10,AD199:AM199,1)+1))))</f>
        <v/>
      </c>
      <c r="P199" s="9"/>
      <c r="Q199" s="9" t="str">
        <f aca="false">IF(A199="","",IF(P199="",O199,P199))</f>
        <v/>
      </c>
      <c r="R199" s="14" t="str">
        <f aca="false">IF(OR(Q199="",Q199="OVERSIZE"),"",Q199/1000)</f>
        <v/>
      </c>
      <c r="S199" s="14" t="str">
        <f aca="false">IF(R199="","",(1/Inputs!$B$9)*(PI()*R199^2/4)*((R199/4)^(2/3))*SQRT(N199))</f>
        <v/>
      </c>
      <c r="T199" s="14" t="str">
        <f aca="false">IF(OR(S199="",L199=""),"",L199/(S199*Inputs!$B$10))</f>
        <v/>
      </c>
      <c r="U199" s="14" t="str">
        <f aca="false">IF(OR(R199="",L199=""),"",4*L199/(PI()*R199^2))</f>
        <v/>
      </c>
      <c r="V199" s="14"/>
      <c r="W199" s="14" t="str">
        <f aca="false">IF(A199="","",IF(A199=Inputs!$B$6,Inputs!$B$22,IF(B199="","",IFERROR(INDEX($X$4:$X$203,MATCH(B199,$A$4:$A$203,0))+IF(V199="",Inputs!$B$20,V199),""))))</f>
        <v/>
      </c>
      <c r="X199" s="14" t="str">
        <f aca="false">IF(OR(W199="",N199="",C199=""),"",W199+N199*C199)</f>
        <v/>
      </c>
      <c r="Y199" s="14"/>
      <c r="Z199" s="14"/>
      <c r="AA199" s="14" t="str">
        <f aca="false">IF(OR(Y199="",W199=""),"",Y199-W199)</f>
        <v/>
      </c>
      <c r="AB199" s="14" t="str">
        <f aca="false">IF(OR(Z199="",X199=""),"",Z199-X199)</f>
        <v/>
      </c>
      <c r="AC199" s="19" t="str">
        <f aca="false">IF(A199="","",IF(OR(T199&gt;1,AND(AV199&lt;&gt;"",AV199&lt;Inputs!$B$11),AND(AV199&lt;&gt;"",AV199&gt;Inputs!$B$12),AA199&lt;Inputs!$B$19,AB199&lt;Inputs!$B$19,N199&lt;Inputs!$B$7,N199&gt;Inputs!$B$8),"CHECK","OK"))</f>
        <v/>
      </c>
      <c r="AD199" s="9" t="str">
        <f aca="false">IF(A199="","",(1/Inputs!$B$9)*(PI()*(Inputs!$F$5/1000)^2/4)*((Inputs!$F$5/1000/4)^(2/3))*SQRT(N199))</f>
        <v/>
      </c>
      <c r="AE199" s="9" t="str">
        <f aca="false">IF(A199="","",(1/Inputs!$B$9)*(PI()*(Inputs!$F$6/1000)^2/4)*((Inputs!$F$6/1000/4)^(2/3))*SQRT(N199))</f>
        <v/>
      </c>
      <c r="AF199" s="9" t="str">
        <f aca="false">IF(A199="","",(1/Inputs!$B$9)*(PI()*(Inputs!$F$7/1000)^2/4)*((Inputs!$F$7/1000/4)^(2/3))*SQRT(N199))</f>
        <v/>
      </c>
      <c r="AG199" s="9" t="str">
        <f aca="false">IF(A199="","",(1/Inputs!$B$9)*(PI()*(Inputs!$F$8/1000)^2/4)*((Inputs!$F$8/1000/4)^(2/3))*SQRT(N199))</f>
        <v/>
      </c>
      <c r="AH199" s="9" t="str">
        <f aca="false">IF(A199="","",(1/Inputs!$B$9)*(PI()*(Inputs!$F$9/1000)^2/4)*((Inputs!$F$9/1000/4)^(2/3))*SQRT(N199))</f>
        <v/>
      </c>
      <c r="AI199" s="9" t="str">
        <f aca="false">IF(A199="","",(1/Inputs!$B$9)*(PI()*(Inputs!$F$10/1000)^2/4)*((Inputs!$F$10/1000/4)^(2/3))*SQRT(N199))</f>
        <v/>
      </c>
      <c r="AJ199" s="9" t="str">
        <f aca="false">IF(A199="","",(1/Inputs!$B$9)*(PI()*(Inputs!$F$11/1000)^2/4)*((Inputs!$F$11/1000/4)^(2/3))*SQRT(N199))</f>
        <v/>
      </c>
      <c r="AK199" s="9" t="str">
        <f aca="false">IF(A199="","",(1/Inputs!$B$9)*(PI()*(Inputs!$F$12/1000)^2/4)*((Inputs!$F$12/1000/4)^(2/3))*SQRT(N199))</f>
        <v/>
      </c>
      <c r="AL199" s="9" t="str">
        <f aca="false">IF(A199="","",(1/Inputs!$B$9)*(PI()*(Inputs!$F$13/1000)^2/4)*((Inputs!$F$13/1000/4)^(2/3))*SQRT(N199))</f>
        <v/>
      </c>
      <c r="AM199" s="9" t="str">
        <f aca="false">IF(A199="","",(1/Inputs!$B$9)*(PI()*(Inputs!$F$14/1000)^2/4)*((Inputs!$F$14/1000/4)^(2/3))*SQRT(N199))</f>
        <v/>
      </c>
      <c r="AN199" s="9" t="str">
        <f aca="false">IF(A199="","",COUNTIF($B$4:$B$203,$A199))</f>
        <v/>
      </c>
      <c r="AO199" s="9" t="str">
        <f aca="false">IF(A199="","",IF(AN199=0,"START","CONTINUOUS"))</f>
        <v/>
      </c>
      <c r="AP199" s="13" t="str">
        <f aca="false">IF(A199="","",IF(H199="",Inputs!$B$18,H199))</f>
        <v/>
      </c>
      <c r="AQ199" s="13" t="str">
        <f aca="false">IF(A199="","",IFERROR(maxifs($AS$4:$AS$203,$B$4:$B$203,$A199),""))</f>
        <v/>
      </c>
      <c r="AR199" s="13" t="str">
        <f aca="false">IF(A199="","",IF(OR(C199="",Inputs!$B$23=""),"",C199/(Inputs!$B$23*60)))</f>
        <v/>
      </c>
      <c r="AS199" s="13" t="str">
        <f aca="false">IF(A199="","",IF(AN199=0,AP199+AR199,IF(AQ199="",AP199+AR199,AQ199+AR199)))</f>
        <v/>
      </c>
      <c r="AT199" s="13" t="str">
        <f aca="false">IF(A199="","",U199)</f>
        <v/>
      </c>
      <c r="AU199" s="13" t="str">
        <f aca="false">IF(OR(R199="",N199=""),"",(1/Inputs!$B$9)*((R199/4)^(2/3))*SQRT(N199))</f>
        <v/>
      </c>
      <c r="AV199" s="13" t="str">
        <f aca="false">IF(A199="","",IF(AND(AT199="",AU199="",AX199=""),"",IF(OR(UPPER(TRIM(Inputs!$B$24))="MANNING",UPPER(TRIM(Inputs!$B$24))="M"),AU199,IF(OR(UPPER(TRIM(Inputs!$B$24))="PARTIAL",UPPER(TRIM(Inputs!$B$24))="P"),AX199,IF(OR(UPPER(TRIM(Inputs!$B$24))="MAX",UPPER(TRIM(Inputs!$B$24))="X"),MAX(IF(AT199="",0,AT199),IF(AU199="",0,AU199),IF(AX199="",0,AX199)),AT199)))))</f>
        <v/>
      </c>
      <c r="AW199" s="13" t="str">
        <f aca="false">IF(AY199="","",CE199)</f>
        <v/>
      </c>
      <c r="AX199" s="13" t="str">
        <f aca="false">IF(OR(AY199="",AW199="",R199="",R199&lt;=0,AW199&lt;=0),"",AY199/((R199^2/8)*(2*ACOS(1-2*AW199/R199)-SIN(2*ACOS(1-2*AW199/R199)))))</f>
        <v/>
      </c>
      <c r="AY199" s="9" t="str">
        <f aca="false">IF(OR(L199="",AZ199=""),"",MIN(L199,AZ199))</f>
        <v/>
      </c>
      <c r="AZ199" s="9" t="str">
        <f aca="false">IF(OR(L199="",R199="",N199=""),"",IF(OR(R199="",N199="",(0.94*R199)="",R199&lt;=0,(0.94*R199)&lt;=0),"",(1/Inputs!$B$9)*((R199^2/8)*((2*ACOS(1-2*(0.94*R199)/R199))-SIN((2*ACOS(1-2*(0.94*R199)/R199)))))*((((R199^2/8)*((2*ACOS(1-2*(0.94*R199)/R199))-SIN((2*ACOS(1-2*(0.94*R199)/R199)))))/((R199/2)*((2*ACOS(1-2*(0.94*R199)/R199)))))^(2/3))*SQRT(N199)))</f>
        <v/>
      </c>
      <c r="BA199" s="9" t="str">
        <f aca="false">IF(AY199="","",0.001*R199)</f>
        <v/>
      </c>
      <c r="BB199" s="9" t="str">
        <f aca="false">IF(AY199="","",0.94*R199)</f>
        <v/>
      </c>
      <c r="BC199" s="9" t="str">
        <f aca="false">IF(AY199="","",(BA199+BB199)/2)</f>
        <v/>
      </c>
      <c r="BD199" s="9" t="str">
        <f aca="false">IF(OR(R199="",N199="",BC199="",R199&lt;=0,BC199&lt;=0),"",(1/Inputs!$B$9)*((R199^2/8)*((2*ACOS(1-2*BC199/R199))-SIN((2*ACOS(1-2*BC199/R199)))))*((((R199^2/8)*((2*ACOS(1-2*BC199/R199))-SIN((2*ACOS(1-2*BC199/R199)))))/((R199/2)*((2*ACOS(1-2*BC199/R199)))))^(2/3))*SQRT(N199))</f>
        <v/>
      </c>
      <c r="BE199" s="9" t="str">
        <f aca="false">IF(AY199="","",IF(BD199&lt;AY199,BC199,BA199))</f>
        <v/>
      </c>
      <c r="BF199" s="9" t="str">
        <f aca="false">IF(AY199="","",IF(BD199&lt;AY199,BB199,BC199))</f>
        <v/>
      </c>
      <c r="BG199" s="9" t="str">
        <f aca="false">IF(AY199="","",(BE199+BF199)/2)</f>
        <v/>
      </c>
      <c r="BH199" s="9" t="str">
        <f aca="false">IF(OR(R199="",N199="",BG199="",R199&lt;=0,BG199&lt;=0),"",(1/Inputs!$B$9)*((R199^2/8)*((2*ACOS(1-2*BG199/R199))-SIN((2*ACOS(1-2*BG199/R199)))))*((((R199^2/8)*((2*ACOS(1-2*BG199/R199))-SIN((2*ACOS(1-2*BG199/R199)))))/((R199/2)*((2*ACOS(1-2*BG199/R199)))))^(2/3))*SQRT(N199))</f>
        <v/>
      </c>
      <c r="BI199" s="9" t="str">
        <f aca="false">IF(AY199="","",IF(BH199&lt;AY199,BG199,BE199))</f>
        <v/>
      </c>
      <c r="BJ199" s="9" t="str">
        <f aca="false">IF(AY199="","",IF(BH199&lt;AY199,BF199,BG199))</f>
        <v/>
      </c>
      <c r="BK199" s="9" t="str">
        <f aca="false">IF(AY199="","",(BI199+BJ199)/2)</f>
        <v/>
      </c>
      <c r="BL199" s="9" t="str">
        <f aca="false">IF(OR(R199="",N199="",BK199="",R199&lt;=0,BK199&lt;=0),"",(1/Inputs!$B$9)*((R199^2/8)*((2*ACOS(1-2*BK199/R199))-SIN((2*ACOS(1-2*BK199/R199)))))*((((R199^2/8)*((2*ACOS(1-2*BK199/R199))-SIN((2*ACOS(1-2*BK199/R199)))))/((R199/2)*((2*ACOS(1-2*BK199/R199)))))^(2/3))*SQRT(N199))</f>
        <v/>
      </c>
      <c r="BM199" s="9" t="str">
        <f aca="false">IF(AY199="","",IF(BL199&lt;AY199,BK199,BI199))</f>
        <v/>
      </c>
      <c r="BN199" s="9" t="str">
        <f aca="false">IF(AY199="","",IF(BL199&lt;AY199,BJ199,BK199))</f>
        <v/>
      </c>
      <c r="BO199" s="9" t="str">
        <f aca="false">IF(AY199="","",(BM199+BN199)/2)</f>
        <v/>
      </c>
      <c r="BP199" s="9" t="str">
        <f aca="false">IF(OR(R199="",N199="",BO199="",R199&lt;=0,BO199&lt;=0),"",(1/Inputs!$B$9)*((R199^2/8)*((2*ACOS(1-2*BO199/R199))-SIN((2*ACOS(1-2*BO199/R199)))))*((((R199^2/8)*((2*ACOS(1-2*BO199/R199))-SIN((2*ACOS(1-2*BO199/R199)))))/((R199/2)*((2*ACOS(1-2*BO199/R199)))))^(2/3))*SQRT(N199))</f>
        <v/>
      </c>
      <c r="BQ199" s="9" t="str">
        <f aca="false">IF(AY199="","",IF(BP199&lt;AY199,BO199,BM199))</f>
        <v/>
      </c>
      <c r="BR199" s="9" t="str">
        <f aca="false">IF(AY199="","",IF(BP199&lt;AY199,BN199,BO199))</f>
        <v/>
      </c>
      <c r="BS199" s="9" t="str">
        <f aca="false">IF(AY199="","",(BQ199+BR199)/2)</f>
        <v/>
      </c>
      <c r="BT199" s="9" t="str">
        <f aca="false">IF(OR(R199="",N199="",BS199="",R199&lt;=0,BS199&lt;=0),"",(1/Inputs!$B$9)*((R199^2/8)*((2*ACOS(1-2*BS199/R199))-SIN((2*ACOS(1-2*BS199/R199)))))*((((R199^2/8)*((2*ACOS(1-2*BS199/R199))-SIN((2*ACOS(1-2*BS199/R199)))))/((R199/2)*((2*ACOS(1-2*BS199/R199)))))^(2/3))*SQRT(N199))</f>
        <v/>
      </c>
      <c r="BU199" s="9" t="str">
        <f aca="false">IF(AY199="","",IF(BT199&lt;AY199,BS199,BQ199))</f>
        <v/>
      </c>
      <c r="BV199" s="9" t="str">
        <f aca="false">IF(AY199="","",IF(BT199&lt;AY199,BR199,BS199))</f>
        <v/>
      </c>
      <c r="BW199" s="9" t="str">
        <f aca="false">IF(AY199="","",(BU199+BV199)/2)</f>
        <v/>
      </c>
      <c r="BX199" s="9" t="str">
        <f aca="false">IF(OR(R199="",N199="",BW199="",R199&lt;=0,BW199&lt;=0),"",(1/Inputs!$B$9)*((R199^2/8)*((2*ACOS(1-2*BW199/R199))-SIN((2*ACOS(1-2*BW199/R199)))))*((((R199^2/8)*((2*ACOS(1-2*BW199/R199))-SIN((2*ACOS(1-2*BW199/R199)))))/((R199/2)*((2*ACOS(1-2*BW199/R199)))))^(2/3))*SQRT(N199))</f>
        <v/>
      </c>
      <c r="BY199" s="9" t="str">
        <f aca="false">IF(AY199="","",IF(BX199&lt;AY199,BW199,BU199))</f>
        <v/>
      </c>
      <c r="BZ199" s="9" t="str">
        <f aca="false">IF(AY199="","",IF(BX199&lt;AY199,BV199,BW199))</f>
        <v/>
      </c>
      <c r="CA199" s="9" t="str">
        <f aca="false">IF(AY199="","",(BY199+BZ199)/2)</f>
        <v/>
      </c>
      <c r="CB199" s="9" t="str">
        <f aca="false">IF(OR(R199="",N199="",CA199="",R199&lt;=0,CA199&lt;=0),"",(1/Inputs!$B$9)*((R199^2/8)*((2*ACOS(1-2*CA199/R199))-SIN((2*ACOS(1-2*CA199/R199)))))*((((R199^2/8)*((2*ACOS(1-2*CA199/R199))-SIN((2*ACOS(1-2*CA199/R199)))))/((R199/2)*((2*ACOS(1-2*CA199/R199)))))^(2/3))*SQRT(N199))</f>
        <v/>
      </c>
      <c r="CC199" s="9" t="str">
        <f aca="false">IF(AY199="","",IF(CB199&lt;AY199,CA199,BY199))</f>
        <v/>
      </c>
      <c r="CD199" s="9" t="str">
        <f aca="false">IF(AY199="","",IF(CB199&lt;AY199,BZ199,CA199))</f>
        <v/>
      </c>
      <c r="CE199" s="9" t="str">
        <f aca="false">IF(AY199="","",(CC199+CD199)/2)</f>
        <v/>
      </c>
    </row>
    <row r="200" customFormat="false" ht="15" hidden="false" customHeight="false" outlineLevel="0" collapsed="false">
      <c r="A200" s="9"/>
      <c r="B200" s="9"/>
      <c r="C200" s="14"/>
      <c r="D200" s="14"/>
      <c r="E200" s="14" t="n">
        <f aca="false">SUMIFS(CB_Tributaires!$C:$C,CB_Tributaires!$B:$B,$A200)</f>
        <v>0</v>
      </c>
      <c r="F200" s="14" t="n">
        <f aca="false">IF(D200="",E200,D200)</f>
        <v>0</v>
      </c>
      <c r="G200" s="9"/>
      <c r="H200" s="14"/>
      <c r="I200" s="14" t="str">
        <f aca="false">IF(A200="","",Inputs!$B$13/((IF(AS200="",Inputs!$B$18,AS200)+Inputs!$B$14)^Inputs!$B$15))</f>
        <v/>
      </c>
      <c r="J200" s="14" t="str">
        <f aca="false">IF(A200="","",0.000000278*IF(G200="",Inputs!$B$17,G200)*F200*I200)</f>
        <v/>
      </c>
      <c r="K200" s="14" t="str">
        <f aca="false">IF(A200="","",SUMIFS($L$4:$L$203,$B$4:$B$203,$A200))</f>
        <v/>
      </c>
      <c r="L200" s="14" t="str">
        <f aca="false">IF(A200="","",(J200+K200)*Inputs!$B$16)</f>
        <v/>
      </c>
      <c r="M200" s="14"/>
      <c r="N200" s="14" t="str">
        <f aca="false">IF(A200="","",IF(M200="",Inputs!$B$7,M200))</f>
        <v/>
      </c>
      <c r="O200" s="9" t="str">
        <f aca="false">IF(A200="","",IF(L200/Inputs!$B$10&lt;=AD200,Inputs!$F$5,IF(L200/Inputs!$B$10&gt;AM200,"OVERSIZE",INDEX(Inputs!$F$5:$F$14,MATCH(L200/Inputs!$B$10,AD200:AM200,1)+1))))</f>
        <v/>
      </c>
      <c r="P200" s="9"/>
      <c r="Q200" s="9" t="str">
        <f aca="false">IF(A200="","",IF(P200="",O200,P200))</f>
        <v/>
      </c>
      <c r="R200" s="14" t="str">
        <f aca="false">IF(OR(Q200="",Q200="OVERSIZE"),"",Q200/1000)</f>
        <v/>
      </c>
      <c r="S200" s="14" t="str">
        <f aca="false">IF(R200="","",(1/Inputs!$B$9)*(PI()*R200^2/4)*((R200/4)^(2/3))*SQRT(N200))</f>
        <v/>
      </c>
      <c r="T200" s="14" t="str">
        <f aca="false">IF(OR(S200="",L200=""),"",L200/(S200*Inputs!$B$10))</f>
        <v/>
      </c>
      <c r="U200" s="14" t="str">
        <f aca="false">IF(OR(R200="",L200=""),"",4*L200/(PI()*R200^2))</f>
        <v/>
      </c>
      <c r="V200" s="14"/>
      <c r="W200" s="14" t="str">
        <f aca="false">IF(A200="","",IF(A200=Inputs!$B$6,Inputs!$B$22,IF(B200="","",IFERROR(INDEX($X$4:$X$203,MATCH(B200,$A$4:$A$203,0))+IF(V200="",Inputs!$B$20,V200),""))))</f>
        <v/>
      </c>
      <c r="X200" s="14" t="str">
        <f aca="false">IF(OR(W200="",N200="",C200=""),"",W200+N200*C200)</f>
        <v/>
      </c>
      <c r="Y200" s="14"/>
      <c r="Z200" s="14"/>
      <c r="AA200" s="14" t="str">
        <f aca="false">IF(OR(Y200="",W200=""),"",Y200-W200)</f>
        <v/>
      </c>
      <c r="AB200" s="14" t="str">
        <f aca="false">IF(OR(Z200="",X200=""),"",Z200-X200)</f>
        <v/>
      </c>
      <c r="AC200" s="19" t="str">
        <f aca="false">IF(A200="","",IF(OR(T200&gt;1,AND(AV200&lt;&gt;"",AV200&lt;Inputs!$B$11),AND(AV200&lt;&gt;"",AV200&gt;Inputs!$B$12),AA200&lt;Inputs!$B$19,AB200&lt;Inputs!$B$19,N200&lt;Inputs!$B$7,N200&gt;Inputs!$B$8),"CHECK","OK"))</f>
        <v/>
      </c>
      <c r="AD200" s="9" t="str">
        <f aca="false">IF(A200="","",(1/Inputs!$B$9)*(PI()*(Inputs!$F$5/1000)^2/4)*((Inputs!$F$5/1000/4)^(2/3))*SQRT(N200))</f>
        <v/>
      </c>
      <c r="AE200" s="9" t="str">
        <f aca="false">IF(A200="","",(1/Inputs!$B$9)*(PI()*(Inputs!$F$6/1000)^2/4)*((Inputs!$F$6/1000/4)^(2/3))*SQRT(N200))</f>
        <v/>
      </c>
      <c r="AF200" s="9" t="str">
        <f aca="false">IF(A200="","",(1/Inputs!$B$9)*(PI()*(Inputs!$F$7/1000)^2/4)*((Inputs!$F$7/1000/4)^(2/3))*SQRT(N200))</f>
        <v/>
      </c>
      <c r="AG200" s="9" t="str">
        <f aca="false">IF(A200="","",(1/Inputs!$B$9)*(PI()*(Inputs!$F$8/1000)^2/4)*((Inputs!$F$8/1000/4)^(2/3))*SQRT(N200))</f>
        <v/>
      </c>
      <c r="AH200" s="9" t="str">
        <f aca="false">IF(A200="","",(1/Inputs!$B$9)*(PI()*(Inputs!$F$9/1000)^2/4)*((Inputs!$F$9/1000/4)^(2/3))*SQRT(N200))</f>
        <v/>
      </c>
      <c r="AI200" s="9" t="str">
        <f aca="false">IF(A200="","",(1/Inputs!$B$9)*(PI()*(Inputs!$F$10/1000)^2/4)*((Inputs!$F$10/1000/4)^(2/3))*SQRT(N200))</f>
        <v/>
      </c>
      <c r="AJ200" s="9" t="str">
        <f aca="false">IF(A200="","",(1/Inputs!$B$9)*(PI()*(Inputs!$F$11/1000)^2/4)*((Inputs!$F$11/1000/4)^(2/3))*SQRT(N200))</f>
        <v/>
      </c>
      <c r="AK200" s="9" t="str">
        <f aca="false">IF(A200="","",(1/Inputs!$B$9)*(PI()*(Inputs!$F$12/1000)^2/4)*((Inputs!$F$12/1000/4)^(2/3))*SQRT(N200))</f>
        <v/>
      </c>
      <c r="AL200" s="9" t="str">
        <f aca="false">IF(A200="","",(1/Inputs!$B$9)*(PI()*(Inputs!$F$13/1000)^2/4)*((Inputs!$F$13/1000/4)^(2/3))*SQRT(N200))</f>
        <v/>
      </c>
      <c r="AM200" s="9" t="str">
        <f aca="false">IF(A200="","",(1/Inputs!$B$9)*(PI()*(Inputs!$F$14/1000)^2/4)*((Inputs!$F$14/1000/4)^(2/3))*SQRT(N200))</f>
        <v/>
      </c>
      <c r="AN200" s="9" t="str">
        <f aca="false">IF(A200="","",COUNTIF($B$4:$B$203,$A200))</f>
        <v/>
      </c>
      <c r="AO200" s="9" t="str">
        <f aca="false">IF(A200="","",IF(AN200=0,"START","CONTINUOUS"))</f>
        <v/>
      </c>
      <c r="AP200" s="13" t="str">
        <f aca="false">IF(A200="","",IF(H200="",Inputs!$B$18,H200))</f>
        <v/>
      </c>
      <c r="AQ200" s="13" t="str">
        <f aca="false">IF(A200="","",IFERROR(maxifs($AS$4:$AS$203,$B$4:$B$203,$A200),""))</f>
        <v/>
      </c>
      <c r="AR200" s="13" t="str">
        <f aca="false">IF(A200="","",IF(OR(C200="",Inputs!$B$23=""),"",C200/(Inputs!$B$23*60)))</f>
        <v/>
      </c>
      <c r="AS200" s="13" t="str">
        <f aca="false">IF(A200="","",IF(AN200=0,AP200+AR200,IF(AQ200="",AP200+AR200,AQ200+AR200)))</f>
        <v/>
      </c>
      <c r="AT200" s="13" t="str">
        <f aca="false">IF(A200="","",U200)</f>
        <v/>
      </c>
      <c r="AU200" s="13" t="str">
        <f aca="false">IF(OR(R200="",N200=""),"",(1/Inputs!$B$9)*((R200/4)^(2/3))*SQRT(N200))</f>
        <v/>
      </c>
      <c r="AV200" s="13" t="str">
        <f aca="false">IF(A200="","",IF(AND(AT200="",AU200="",AX200=""),"",IF(OR(UPPER(TRIM(Inputs!$B$24))="MANNING",UPPER(TRIM(Inputs!$B$24))="M"),AU200,IF(OR(UPPER(TRIM(Inputs!$B$24))="PARTIAL",UPPER(TRIM(Inputs!$B$24))="P"),AX200,IF(OR(UPPER(TRIM(Inputs!$B$24))="MAX",UPPER(TRIM(Inputs!$B$24))="X"),MAX(IF(AT200="",0,AT200),IF(AU200="",0,AU200),IF(AX200="",0,AX200)),AT200)))))</f>
        <v/>
      </c>
      <c r="AW200" s="13" t="str">
        <f aca="false">IF(AY200="","",CE200)</f>
        <v/>
      </c>
      <c r="AX200" s="13" t="str">
        <f aca="false">IF(OR(AY200="",AW200="",R200="",R200&lt;=0,AW200&lt;=0),"",AY200/((R200^2/8)*(2*ACOS(1-2*AW200/R200)-SIN(2*ACOS(1-2*AW200/R200)))))</f>
        <v/>
      </c>
      <c r="AY200" s="9" t="str">
        <f aca="false">IF(OR(L200="",AZ200=""),"",MIN(L200,AZ200))</f>
        <v/>
      </c>
      <c r="AZ200" s="9" t="str">
        <f aca="false">IF(OR(L200="",R200="",N200=""),"",IF(OR(R200="",N200="",(0.94*R200)="",R200&lt;=0,(0.94*R200)&lt;=0),"",(1/Inputs!$B$9)*((R200^2/8)*((2*ACOS(1-2*(0.94*R200)/R200))-SIN((2*ACOS(1-2*(0.94*R200)/R200)))))*((((R200^2/8)*((2*ACOS(1-2*(0.94*R200)/R200))-SIN((2*ACOS(1-2*(0.94*R200)/R200)))))/((R200/2)*((2*ACOS(1-2*(0.94*R200)/R200)))))^(2/3))*SQRT(N200)))</f>
        <v/>
      </c>
      <c r="BA200" s="9" t="str">
        <f aca="false">IF(AY200="","",0.001*R200)</f>
        <v/>
      </c>
      <c r="BB200" s="9" t="str">
        <f aca="false">IF(AY200="","",0.94*R200)</f>
        <v/>
      </c>
      <c r="BC200" s="9" t="str">
        <f aca="false">IF(AY200="","",(BA200+BB200)/2)</f>
        <v/>
      </c>
      <c r="BD200" s="9" t="str">
        <f aca="false">IF(OR(R200="",N200="",BC200="",R200&lt;=0,BC200&lt;=0),"",(1/Inputs!$B$9)*((R200^2/8)*((2*ACOS(1-2*BC200/R200))-SIN((2*ACOS(1-2*BC200/R200)))))*((((R200^2/8)*((2*ACOS(1-2*BC200/R200))-SIN((2*ACOS(1-2*BC200/R200)))))/((R200/2)*((2*ACOS(1-2*BC200/R200)))))^(2/3))*SQRT(N200))</f>
        <v/>
      </c>
      <c r="BE200" s="9" t="str">
        <f aca="false">IF(AY200="","",IF(BD200&lt;AY200,BC200,BA200))</f>
        <v/>
      </c>
      <c r="BF200" s="9" t="str">
        <f aca="false">IF(AY200="","",IF(BD200&lt;AY200,BB200,BC200))</f>
        <v/>
      </c>
      <c r="BG200" s="9" t="str">
        <f aca="false">IF(AY200="","",(BE200+BF200)/2)</f>
        <v/>
      </c>
      <c r="BH200" s="9" t="str">
        <f aca="false">IF(OR(R200="",N200="",BG200="",R200&lt;=0,BG200&lt;=0),"",(1/Inputs!$B$9)*((R200^2/8)*((2*ACOS(1-2*BG200/R200))-SIN((2*ACOS(1-2*BG200/R200)))))*((((R200^2/8)*((2*ACOS(1-2*BG200/R200))-SIN((2*ACOS(1-2*BG200/R200)))))/((R200/2)*((2*ACOS(1-2*BG200/R200)))))^(2/3))*SQRT(N200))</f>
        <v/>
      </c>
      <c r="BI200" s="9" t="str">
        <f aca="false">IF(AY200="","",IF(BH200&lt;AY200,BG200,BE200))</f>
        <v/>
      </c>
      <c r="BJ200" s="9" t="str">
        <f aca="false">IF(AY200="","",IF(BH200&lt;AY200,BF200,BG200))</f>
        <v/>
      </c>
      <c r="BK200" s="9" t="str">
        <f aca="false">IF(AY200="","",(BI200+BJ200)/2)</f>
        <v/>
      </c>
      <c r="BL200" s="9" t="str">
        <f aca="false">IF(OR(R200="",N200="",BK200="",R200&lt;=0,BK200&lt;=0),"",(1/Inputs!$B$9)*((R200^2/8)*((2*ACOS(1-2*BK200/R200))-SIN((2*ACOS(1-2*BK200/R200)))))*((((R200^2/8)*((2*ACOS(1-2*BK200/R200))-SIN((2*ACOS(1-2*BK200/R200)))))/((R200/2)*((2*ACOS(1-2*BK200/R200)))))^(2/3))*SQRT(N200))</f>
        <v/>
      </c>
      <c r="BM200" s="9" t="str">
        <f aca="false">IF(AY200="","",IF(BL200&lt;AY200,BK200,BI200))</f>
        <v/>
      </c>
      <c r="BN200" s="9" t="str">
        <f aca="false">IF(AY200="","",IF(BL200&lt;AY200,BJ200,BK200))</f>
        <v/>
      </c>
      <c r="BO200" s="9" t="str">
        <f aca="false">IF(AY200="","",(BM200+BN200)/2)</f>
        <v/>
      </c>
      <c r="BP200" s="9" t="str">
        <f aca="false">IF(OR(R200="",N200="",BO200="",R200&lt;=0,BO200&lt;=0),"",(1/Inputs!$B$9)*((R200^2/8)*((2*ACOS(1-2*BO200/R200))-SIN((2*ACOS(1-2*BO200/R200)))))*((((R200^2/8)*((2*ACOS(1-2*BO200/R200))-SIN((2*ACOS(1-2*BO200/R200)))))/((R200/2)*((2*ACOS(1-2*BO200/R200)))))^(2/3))*SQRT(N200))</f>
        <v/>
      </c>
      <c r="BQ200" s="9" t="str">
        <f aca="false">IF(AY200="","",IF(BP200&lt;AY200,BO200,BM200))</f>
        <v/>
      </c>
      <c r="BR200" s="9" t="str">
        <f aca="false">IF(AY200="","",IF(BP200&lt;AY200,BN200,BO200))</f>
        <v/>
      </c>
      <c r="BS200" s="9" t="str">
        <f aca="false">IF(AY200="","",(BQ200+BR200)/2)</f>
        <v/>
      </c>
      <c r="BT200" s="9" t="str">
        <f aca="false">IF(OR(R200="",N200="",BS200="",R200&lt;=0,BS200&lt;=0),"",(1/Inputs!$B$9)*((R200^2/8)*((2*ACOS(1-2*BS200/R200))-SIN((2*ACOS(1-2*BS200/R200)))))*((((R200^2/8)*((2*ACOS(1-2*BS200/R200))-SIN((2*ACOS(1-2*BS200/R200)))))/((R200/2)*((2*ACOS(1-2*BS200/R200)))))^(2/3))*SQRT(N200))</f>
        <v/>
      </c>
      <c r="BU200" s="9" t="str">
        <f aca="false">IF(AY200="","",IF(BT200&lt;AY200,BS200,BQ200))</f>
        <v/>
      </c>
      <c r="BV200" s="9" t="str">
        <f aca="false">IF(AY200="","",IF(BT200&lt;AY200,BR200,BS200))</f>
        <v/>
      </c>
      <c r="BW200" s="9" t="str">
        <f aca="false">IF(AY200="","",(BU200+BV200)/2)</f>
        <v/>
      </c>
      <c r="BX200" s="9" t="str">
        <f aca="false">IF(OR(R200="",N200="",BW200="",R200&lt;=0,BW200&lt;=0),"",(1/Inputs!$B$9)*((R200^2/8)*((2*ACOS(1-2*BW200/R200))-SIN((2*ACOS(1-2*BW200/R200)))))*((((R200^2/8)*((2*ACOS(1-2*BW200/R200))-SIN((2*ACOS(1-2*BW200/R200)))))/((R200/2)*((2*ACOS(1-2*BW200/R200)))))^(2/3))*SQRT(N200))</f>
        <v/>
      </c>
      <c r="BY200" s="9" t="str">
        <f aca="false">IF(AY200="","",IF(BX200&lt;AY200,BW200,BU200))</f>
        <v/>
      </c>
      <c r="BZ200" s="9" t="str">
        <f aca="false">IF(AY200="","",IF(BX200&lt;AY200,BV200,BW200))</f>
        <v/>
      </c>
      <c r="CA200" s="9" t="str">
        <f aca="false">IF(AY200="","",(BY200+BZ200)/2)</f>
        <v/>
      </c>
      <c r="CB200" s="9" t="str">
        <f aca="false">IF(OR(R200="",N200="",CA200="",R200&lt;=0,CA200&lt;=0),"",(1/Inputs!$B$9)*((R200^2/8)*((2*ACOS(1-2*CA200/R200))-SIN((2*ACOS(1-2*CA200/R200)))))*((((R200^2/8)*((2*ACOS(1-2*CA200/R200))-SIN((2*ACOS(1-2*CA200/R200)))))/((R200/2)*((2*ACOS(1-2*CA200/R200)))))^(2/3))*SQRT(N200))</f>
        <v/>
      </c>
      <c r="CC200" s="9" t="str">
        <f aca="false">IF(AY200="","",IF(CB200&lt;AY200,CA200,BY200))</f>
        <v/>
      </c>
      <c r="CD200" s="9" t="str">
        <f aca="false">IF(AY200="","",IF(CB200&lt;AY200,BZ200,CA200))</f>
        <v/>
      </c>
      <c r="CE200" s="9" t="str">
        <f aca="false">IF(AY200="","",(CC200+CD200)/2)</f>
        <v/>
      </c>
    </row>
    <row r="201" customFormat="false" ht="15" hidden="false" customHeight="false" outlineLevel="0" collapsed="false">
      <c r="A201" s="9"/>
      <c r="B201" s="9"/>
      <c r="C201" s="14"/>
      <c r="D201" s="14"/>
      <c r="E201" s="14" t="n">
        <f aca="false">SUMIFS(CB_Tributaires!$C:$C,CB_Tributaires!$B:$B,$A201)</f>
        <v>0</v>
      </c>
      <c r="F201" s="14" t="n">
        <f aca="false">IF(D201="",E201,D201)</f>
        <v>0</v>
      </c>
      <c r="G201" s="9"/>
      <c r="H201" s="14"/>
      <c r="I201" s="14" t="str">
        <f aca="false">IF(A201="","",Inputs!$B$13/((IF(AS201="",Inputs!$B$18,AS201)+Inputs!$B$14)^Inputs!$B$15))</f>
        <v/>
      </c>
      <c r="J201" s="14" t="str">
        <f aca="false">IF(A201="","",0.000000278*IF(G201="",Inputs!$B$17,G201)*F201*I201)</f>
        <v/>
      </c>
      <c r="K201" s="14" t="str">
        <f aca="false">IF(A201="","",SUMIFS($L$4:$L$203,$B$4:$B$203,$A201))</f>
        <v/>
      </c>
      <c r="L201" s="14" t="str">
        <f aca="false">IF(A201="","",(J201+K201)*Inputs!$B$16)</f>
        <v/>
      </c>
      <c r="M201" s="14"/>
      <c r="N201" s="14" t="str">
        <f aca="false">IF(A201="","",IF(M201="",Inputs!$B$7,M201))</f>
        <v/>
      </c>
      <c r="O201" s="9" t="str">
        <f aca="false">IF(A201="","",IF(L201/Inputs!$B$10&lt;=AD201,Inputs!$F$5,IF(L201/Inputs!$B$10&gt;AM201,"OVERSIZE",INDEX(Inputs!$F$5:$F$14,MATCH(L201/Inputs!$B$10,AD201:AM201,1)+1))))</f>
        <v/>
      </c>
      <c r="P201" s="9"/>
      <c r="Q201" s="9" t="str">
        <f aca="false">IF(A201="","",IF(P201="",O201,P201))</f>
        <v/>
      </c>
      <c r="R201" s="14" t="str">
        <f aca="false">IF(OR(Q201="",Q201="OVERSIZE"),"",Q201/1000)</f>
        <v/>
      </c>
      <c r="S201" s="14" t="str">
        <f aca="false">IF(R201="","",(1/Inputs!$B$9)*(PI()*R201^2/4)*((R201/4)^(2/3))*SQRT(N201))</f>
        <v/>
      </c>
      <c r="T201" s="14" t="str">
        <f aca="false">IF(OR(S201="",L201=""),"",L201/(S201*Inputs!$B$10))</f>
        <v/>
      </c>
      <c r="U201" s="14" t="str">
        <f aca="false">IF(OR(R201="",L201=""),"",4*L201/(PI()*R201^2))</f>
        <v/>
      </c>
      <c r="V201" s="14"/>
      <c r="W201" s="14" t="str">
        <f aca="false">IF(A201="","",IF(A201=Inputs!$B$6,Inputs!$B$22,IF(B201="","",IFERROR(INDEX($X$4:$X$203,MATCH(B201,$A$4:$A$203,0))+IF(V201="",Inputs!$B$20,V201),""))))</f>
        <v/>
      </c>
      <c r="X201" s="14" t="str">
        <f aca="false">IF(OR(W201="",N201="",C201=""),"",W201+N201*C201)</f>
        <v/>
      </c>
      <c r="Y201" s="14"/>
      <c r="Z201" s="14"/>
      <c r="AA201" s="14" t="str">
        <f aca="false">IF(OR(Y201="",W201=""),"",Y201-W201)</f>
        <v/>
      </c>
      <c r="AB201" s="14" t="str">
        <f aca="false">IF(OR(Z201="",X201=""),"",Z201-X201)</f>
        <v/>
      </c>
      <c r="AC201" s="19" t="str">
        <f aca="false">IF(A201="","",IF(OR(T201&gt;1,AND(AV201&lt;&gt;"",AV201&lt;Inputs!$B$11),AND(AV201&lt;&gt;"",AV201&gt;Inputs!$B$12),AA201&lt;Inputs!$B$19,AB201&lt;Inputs!$B$19,N201&lt;Inputs!$B$7,N201&gt;Inputs!$B$8),"CHECK","OK"))</f>
        <v/>
      </c>
      <c r="AD201" s="9" t="str">
        <f aca="false">IF(A201="","",(1/Inputs!$B$9)*(PI()*(Inputs!$F$5/1000)^2/4)*((Inputs!$F$5/1000/4)^(2/3))*SQRT(N201))</f>
        <v/>
      </c>
      <c r="AE201" s="9" t="str">
        <f aca="false">IF(A201="","",(1/Inputs!$B$9)*(PI()*(Inputs!$F$6/1000)^2/4)*((Inputs!$F$6/1000/4)^(2/3))*SQRT(N201))</f>
        <v/>
      </c>
      <c r="AF201" s="9" t="str">
        <f aca="false">IF(A201="","",(1/Inputs!$B$9)*(PI()*(Inputs!$F$7/1000)^2/4)*((Inputs!$F$7/1000/4)^(2/3))*SQRT(N201))</f>
        <v/>
      </c>
      <c r="AG201" s="9" t="str">
        <f aca="false">IF(A201="","",(1/Inputs!$B$9)*(PI()*(Inputs!$F$8/1000)^2/4)*((Inputs!$F$8/1000/4)^(2/3))*SQRT(N201))</f>
        <v/>
      </c>
      <c r="AH201" s="9" t="str">
        <f aca="false">IF(A201="","",(1/Inputs!$B$9)*(PI()*(Inputs!$F$9/1000)^2/4)*((Inputs!$F$9/1000/4)^(2/3))*SQRT(N201))</f>
        <v/>
      </c>
      <c r="AI201" s="9" t="str">
        <f aca="false">IF(A201="","",(1/Inputs!$B$9)*(PI()*(Inputs!$F$10/1000)^2/4)*((Inputs!$F$10/1000/4)^(2/3))*SQRT(N201))</f>
        <v/>
      </c>
      <c r="AJ201" s="9" t="str">
        <f aca="false">IF(A201="","",(1/Inputs!$B$9)*(PI()*(Inputs!$F$11/1000)^2/4)*((Inputs!$F$11/1000/4)^(2/3))*SQRT(N201))</f>
        <v/>
      </c>
      <c r="AK201" s="9" t="str">
        <f aca="false">IF(A201="","",(1/Inputs!$B$9)*(PI()*(Inputs!$F$12/1000)^2/4)*((Inputs!$F$12/1000/4)^(2/3))*SQRT(N201))</f>
        <v/>
      </c>
      <c r="AL201" s="9" t="str">
        <f aca="false">IF(A201="","",(1/Inputs!$B$9)*(PI()*(Inputs!$F$13/1000)^2/4)*((Inputs!$F$13/1000/4)^(2/3))*SQRT(N201))</f>
        <v/>
      </c>
      <c r="AM201" s="9" t="str">
        <f aca="false">IF(A201="","",(1/Inputs!$B$9)*(PI()*(Inputs!$F$14/1000)^2/4)*((Inputs!$F$14/1000/4)^(2/3))*SQRT(N201))</f>
        <v/>
      </c>
      <c r="AN201" s="9" t="str">
        <f aca="false">IF(A201="","",COUNTIF($B$4:$B$203,$A201))</f>
        <v/>
      </c>
      <c r="AO201" s="9" t="str">
        <f aca="false">IF(A201="","",IF(AN201=0,"START","CONTINUOUS"))</f>
        <v/>
      </c>
      <c r="AP201" s="13" t="str">
        <f aca="false">IF(A201="","",IF(H201="",Inputs!$B$18,H201))</f>
        <v/>
      </c>
      <c r="AQ201" s="13" t="str">
        <f aca="false">IF(A201="","",IFERROR(maxifs($AS$4:$AS$203,$B$4:$B$203,$A201),""))</f>
        <v/>
      </c>
      <c r="AR201" s="13" t="str">
        <f aca="false">IF(A201="","",IF(OR(C201="",Inputs!$B$23=""),"",C201/(Inputs!$B$23*60)))</f>
        <v/>
      </c>
      <c r="AS201" s="13" t="str">
        <f aca="false">IF(A201="","",IF(AN201=0,AP201+AR201,IF(AQ201="",AP201+AR201,AQ201+AR201)))</f>
        <v/>
      </c>
      <c r="AT201" s="13" t="str">
        <f aca="false">IF(A201="","",U201)</f>
        <v/>
      </c>
      <c r="AU201" s="13" t="str">
        <f aca="false">IF(OR(R201="",N201=""),"",(1/Inputs!$B$9)*((R201/4)^(2/3))*SQRT(N201))</f>
        <v/>
      </c>
      <c r="AV201" s="13" t="str">
        <f aca="false">IF(A201="","",IF(AND(AT201="",AU201="",AX201=""),"",IF(OR(UPPER(TRIM(Inputs!$B$24))="MANNING",UPPER(TRIM(Inputs!$B$24))="M"),AU201,IF(OR(UPPER(TRIM(Inputs!$B$24))="PARTIAL",UPPER(TRIM(Inputs!$B$24))="P"),AX201,IF(OR(UPPER(TRIM(Inputs!$B$24))="MAX",UPPER(TRIM(Inputs!$B$24))="X"),MAX(IF(AT201="",0,AT201),IF(AU201="",0,AU201),IF(AX201="",0,AX201)),AT201)))))</f>
        <v/>
      </c>
      <c r="AW201" s="13" t="str">
        <f aca="false">IF(AY201="","",CE201)</f>
        <v/>
      </c>
      <c r="AX201" s="13" t="str">
        <f aca="false">IF(OR(AY201="",AW201="",R201="",R201&lt;=0,AW201&lt;=0),"",AY201/((R201^2/8)*(2*ACOS(1-2*AW201/R201)-SIN(2*ACOS(1-2*AW201/R201)))))</f>
        <v/>
      </c>
      <c r="AY201" s="9" t="str">
        <f aca="false">IF(OR(L201="",AZ201=""),"",MIN(L201,AZ201))</f>
        <v/>
      </c>
      <c r="AZ201" s="9" t="str">
        <f aca="false">IF(OR(L201="",R201="",N201=""),"",IF(OR(R201="",N201="",(0.94*R201)="",R201&lt;=0,(0.94*R201)&lt;=0),"",(1/Inputs!$B$9)*((R201^2/8)*((2*ACOS(1-2*(0.94*R201)/R201))-SIN((2*ACOS(1-2*(0.94*R201)/R201)))))*((((R201^2/8)*((2*ACOS(1-2*(0.94*R201)/R201))-SIN((2*ACOS(1-2*(0.94*R201)/R201)))))/((R201/2)*((2*ACOS(1-2*(0.94*R201)/R201)))))^(2/3))*SQRT(N201)))</f>
        <v/>
      </c>
      <c r="BA201" s="9" t="str">
        <f aca="false">IF(AY201="","",0.001*R201)</f>
        <v/>
      </c>
      <c r="BB201" s="9" t="str">
        <f aca="false">IF(AY201="","",0.94*R201)</f>
        <v/>
      </c>
      <c r="BC201" s="9" t="str">
        <f aca="false">IF(AY201="","",(BA201+BB201)/2)</f>
        <v/>
      </c>
      <c r="BD201" s="9" t="str">
        <f aca="false">IF(OR(R201="",N201="",BC201="",R201&lt;=0,BC201&lt;=0),"",(1/Inputs!$B$9)*((R201^2/8)*((2*ACOS(1-2*BC201/R201))-SIN((2*ACOS(1-2*BC201/R201)))))*((((R201^2/8)*((2*ACOS(1-2*BC201/R201))-SIN((2*ACOS(1-2*BC201/R201)))))/((R201/2)*((2*ACOS(1-2*BC201/R201)))))^(2/3))*SQRT(N201))</f>
        <v/>
      </c>
      <c r="BE201" s="9" t="str">
        <f aca="false">IF(AY201="","",IF(BD201&lt;AY201,BC201,BA201))</f>
        <v/>
      </c>
      <c r="BF201" s="9" t="str">
        <f aca="false">IF(AY201="","",IF(BD201&lt;AY201,BB201,BC201))</f>
        <v/>
      </c>
      <c r="BG201" s="9" t="str">
        <f aca="false">IF(AY201="","",(BE201+BF201)/2)</f>
        <v/>
      </c>
      <c r="BH201" s="9" t="str">
        <f aca="false">IF(OR(R201="",N201="",BG201="",R201&lt;=0,BG201&lt;=0),"",(1/Inputs!$B$9)*((R201^2/8)*((2*ACOS(1-2*BG201/R201))-SIN((2*ACOS(1-2*BG201/R201)))))*((((R201^2/8)*((2*ACOS(1-2*BG201/R201))-SIN((2*ACOS(1-2*BG201/R201)))))/((R201/2)*((2*ACOS(1-2*BG201/R201)))))^(2/3))*SQRT(N201))</f>
        <v/>
      </c>
      <c r="BI201" s="9" t="str">
        <f aca="false">IF(AY201="","",IF(BH201&lt;AY201,BG201,BE201))</f>
        <v/>
      </c>
      <c r="BJ201" s="9" t="str">
        <f aca="false">IF(AY201="","",IF(BH201&lt;AY201,BF201,BG201))</f>
        <v/>
      </c>
      <c r="BK201" s="9" t="str">
        <f aca="false">IF(AY201="","",(BI201+BJ201)/2)</f>
        <v/>
      </c>
      <c r="BL201" s="9" t="str">
        <f aca="false">IF(OR(R201="",N201="",BK201="",R201&lt;=0,BK201&lt;=0),"",(1/Inputs!$B$9)*((R201^2/8)*((2*ACOS(1-2*BK201/R201))-SIN((2*ACOS(1-2*BK201/R201)))))*((((R201^2/8)*((2*ACOS(1-2*BK201/R201))-SIN((2*ACOS(1-2*BK201/R201)))))/((R201/2)*((2*ACOS(1-2*BK201/R201)))))^(2/3))*SQRT(N201))</f>
        <v/>
      </c>
      <c r="BM201" s="9" t="str">
        <f aca="false">IF(AY201="","",IF(BL201&lt;AY201,BK201,BI201))</f>
        <v/>
      </c>
      <c r="BN201" s="9" t="str">
        <f aca="false">IF(AY201="","",IF(BL201&lt;AY201,BJ201,BK201))</f>
        <v/>
      </c>
      <c r="BO201" s="9" t="str">
        <f aca="false">IF(AY201="","",(BM201+BN201)/2)</f>
        <v/>
      </c>
      <c r="BP201" s="9" t="str">
        <f aca="false">IF(OR(R201="",N201="",BO201="",R201&lt;=0,BO201&lt;=0),"",(1/Inputs!$B$9)*((R201^2/8)*((2*ACOS(1-2*BO201/R201))-SIN((2*ACOS(1-2*BO201/R201)))))*((((R201^2/8)*((2*ACOS(1-2*BO201/R201))-SIN((2*ACOS(1-2*BO201/R201)))))/((R201/2)*((2*ACOS(1-2*BO201/R201)))))^(2/3))*SQRT(N201))</f>
        <v/>
      </c>
      <c r="BQ201" s="9" t="str">
        <f aca="false">IF(AY201="","",IF(BP201&lt;AY201,BO201,BM201))</f>
        <v/>
      </c>
      <c r="BR201" s="9" t="str">
        <f aca="false">IF(AY201="","",IF(BP201&lt;AY201,BN201,BO201))</f>
        <v/>
      </c>
      <c r="BS201" s="9" t="str">
        <f aca="false">IF(AY201="","",(BQ201+BR201)/2)</f>
        <v/>
      </c>
      <c r="BT201" s="9" t="str">
        <f aca="false">IF(OR(R201="",N201="",BS201="",R201&lt;=0,BS201&lt;=0),"",(1/Inputs!$B$9)*((R201^2/8)*((2*ACOS(1-2*BS201/R201))-SIN((2*ACOS(1-2*BS201/R201)))))*((((R201^2/8)*((2*ACOS(1-2*BS201/R201))-SIN((2*ACOS(1-2*BS201/R201)))))/((R201/2)*((2*ACOS(1-2*BS201/R201)))))^(2/3))*SQRT(N201))</f>
        <v/>
      </c>
      <c r="BU201" s="9" t="str">
        <f aca="false">IF(AY201="","",IF(BT201&lt;AY201,BS201,BQ201))</f>
        <v/>
      </c>
      <c r="BV201" s="9" t="str">
        <f aca="false">IF(AY201="","",IF(BT201&lt;AY201,BR201,BS201))</f>
        <v/>
      </c>
      <c r="BW201" s="9" t="str">
        <f aca="false">IF(AY201="","",(BU201+BV201)/2)</f>
        <v/>
      </c>
      <c r="BX201" s="9" t="str">
        <f aca="false">IF(OR(R201="",N201="",BW201="",R201&lt;=0,BW201&lt;=0),"",(1/Inputs!$B$9)*((R201^2/8)*((2*ACOS(1-2*BW201/R201))-SIN((2*ACOS(1-2*BW201/R201)))))*((((R201^2/8)*((2*ACOS(1-2*BW201/R201))-SIN((2*ACOS(1-2*BW201/R201)))))/((R201/2)*((2*ACOS(1-2*BW201/R201)))))^(2/3))*SQRT(N201))</f>
        <v/>
      </c>
      <c r="BY201" s="9" t="str">
        <f aca="false">IF(AY201="","",IF(BX201&lt;AY201,BW201,BU201))</f>
        <v/>
      </c>
      <c r="BZ201" s="9" t="str">
        <f aca="false">IF(AY201="","",IF(BX201&lt;AY201,BV201,BW201))</f>
        <v/>
      </c>
      <c r="CA201" s="9" t="str">
        <f aca="false">IF(AY201="","",(BY201+BZ201)/2)</f>
        <v/>
      </c>
      <c r="CB201" s="9" t="str">
        <f aca="false">IF(OR(R201="",N201="",CA201="",R201&lt;=0,CA201&lt;=0),"",(1/Inputs!$B$9)*((R201^2/8)*((2*ACOS(1-2*CA201/R201))-SIN((2*ACOS(1-2*CA201/R201)))))*((((R201^2/8)*((2*ACOS(1-2*CA201/R201))-SIN((2*ACOS(1-2*CA201/R201)))))/((R201/2)*((2*ACOS(1-2*CA201/R201)))))^(2/3))*SQRT(N201))</f>
        <v/>
      </c>
      <c r="CC201" s="9" t="str">
        <f aca="false">IF(AY201="","",IF(CB201&lt;AY201,CA201,BY201))</f>
        <v/>
      </c>
      <c r="CD201" s="9" t="str">
        <f aca="false">IF(AY201="","",IF(CB201&lt;AY201,BZ201,CA201))</f>
        <v/>
      </c>
      <c r="CE201" s="9" t="str">
        <f aca="false">IF(AY201="","",(CC201+CD201)/2)</f>
        <v/>
      </c>
    </row>
    <row r="202" customFormat="false" ht="15" hidden="false" customHeight="false" outlineLevel="0" collapsed="false">
      <c r="A202" s="9"/>
      <c r="B202" s="9"/>
      <c r="C202" s="14"/>
      <c r="D202" s="14"/>
      <c r="E202" s="14" t="n">
        <f aca="false">SUMIFS(CB_Tributaires!$C:$C,CB_Tributaires!$B:$B,$A202)</f>
        <v>0</v>
      </c>
      <c r="F202" s="14" t="n">
        <f aca="false">IF(D202="",E202,D202)</f>
        <v>0</v>
      </c>
      <c r="G202" s="9"/>
      <c r="H202" s="14"/>
      <c r="I202" s="14" t="str">
        <f aca="false">IF(A202="","",Inputs!$B$13/((IF(AS202="",Inputs!$B$18,AS202)+Inputs!$B$14)^Inputs!$B$15))</f>
        <v/>
      </c>
      <c r="J202" s="14" t="str">
        <f aca="false">IF(A202="","",0.000000278*IF(G202="",Inputs!$B$17,G202)*F202*I202)</f>
        <v/>
      </c>
      <c r="K202" s="14" t="str">
        <f aca="false">IF(A202="","",SUMIFS($L$4:$L$203,$B$4:$B$203,$A202))</f>
        <v/>
      </c>
      <c r="L202" s="14" t="str">
        <f aca="false">IF(A202="","",(J202+K202)*Inputs!$B$16)</f>
        <v/>
      </c>
      <c r="M202" s="14"/>
      <c r="N202" s="14" t="str">
        <f aca="false">IF(A202="","",IF(M202="",Inputs!$B$7,M202))</f>
        <v/>
      </c>
      <c r="O202" s="9" t="str">
        <f aca="false">IF(A202="","",IF(L202/Inputs!$B$10&lt;=AD202,Inputs!$F$5,IF(L202/Inputs!$B$10&gt;AM202,"OVERSIZE",INDEX(Inputs!$F$5:$F$14,MATCH(L202/Inputs!$B$10,AD202:AM202,1)+1))))</f>
        <v/>
      </c>
      <c r="P202" s="9"/>
      <c r="Q202" s="9" t="str">
        <f aca="false">IF(A202="","",IF(P202="",O202,P202))</f>
        <v/>
      </c>
      <c r="R202" s="14" t="str">
        <f aca="false">IF(OR(Q202="",Q202="OVERSIZE"),"",Q202/1000)</f>
        <v/>
      </c>
      <c r="S202" s="14" t="str">
        <f aca="false">IF(R202="","",(1/Inputs!$B$9)*(PI()*R202^2/4)*((R202/4)^(2/3))*SQRT(N202))</f>
        <v/>
      </c>
      <c r="T202" s="14" t="str">
        <f aca="false">IF(OR(S202="",L202=""),"",L202/(S202*Inputs!$B$10))</f>
        <v/>
      </c>
      <c r="U202" s="14" t="str">
        <f aca="false">IF(OR(R202="",L202=""),"",4*L202/(PI()*R202^2))</f>
        <v/>
      </c>
      <c r="V202" s="14"/>
      <c r="W202" s="14" t="str">
        <f aca="false">IF(A202="","",IF(A202=Inputs!$B$6,Inputs!$B$22,IF(B202="","",IFERROR(INDEX($X$4:$X$203,MATCH(B202,$A$4:$A$203,0))+IF(V202="",Inputs!$B$20,V202),""))))</f>
        <v/>
      </c>
      <c r="X202" s="14" t="str">
        <f aca="false">IF(OR(W202="",N202="",C202=""),"",W202+N202*C202)</f>
        <v/>
      </c>
      <c r="Y202" s="14"/>
      <c r="Z202" s="14"/>
      <c r="AA202" s="14" t="str">
        <f aca="false">IF(OR(Y202="",W202=""),"",Y202-W202)</f>
        <v/>
      </c>
      <c r="AB202" s="14" t="str">
        <f aca="false">IF(OR(Z202="",X202=""),"",Z202-X202)</f>
        <v/>
      </c>
      <c r="AC202" s="19" t="str">
        <f aca="false">IF(A202="","",IF(OR(T202&gt;1,AND(AV202&lt;&gt;"",AV202&lt;Inputs!$B$11),AND(AV202&lt;&gt;"",AV202&gt;Inputs!$B$12),AA202&lt;Inputs!$B$19,AB202&lt;Inputs!$B$19,N202&lt;Inputs!$B$7,N202&gt;Inputs!$B$8),"CHECK","OK"))</f>
        <v/>
      </c>
      <c r="AD202" s="9" t="str">
        <f aca="false">IF(A202="","",(1/Inputs!$B$9)*(PI()*(Inputs!$F$5/1000)^2/4)*((Inputs!$F$5/1000/4)^(2/3))*SQRT(N202))</f>
        <v/>
      </c>
      <c r="AE202" s="9" t="str">
        <f aca="false">IF(A202="","",(1/Inputs!$B$9)*(PI()*(Inputs!$F$6/1000)^2/4)*((Inputs!$F$6/1000/4)^(2/3))*SQRT(N202))</f>
        <v/>
      </c>
      <c r="AF202" s="9" t="str">
        <f aca="false">IF(A202="","",(1/Inputs!$B$9)*(PI()*(Inputs!$F$7/1000)^2/4)*((Inputs!$F$7/1000/4)^(2/3))*SQRT(N202))</f>
        <v/>
      </c>
      <c r="AG202" s="9" t="str">
        <f aca="false">IF(A202="","",(1/Inputs!$B$9)*(PI()*(Inputs!$F$8/1000)^2/4)*((Inputs!$F$8/1000/4)^(2/3))*SQRT(N202))</f>
        <v/>
      </c>
      <c r="AH202" s="9" t="str">
        <f aca="false">IF(A202="","",(1/Inputs!$B$9)*(PI()*(Inputs!$F$9/1000)^2/4)*((Inputs!$F$9/1000/4)^(2/3))*SQRT(N202))</f>
        <v/>
      </c>
      <c r="AI202" s="9" t="str">
        <f aca="false">IF(A202="","",(1/Inputs!$B$9)*(PI()*(Inputs!$F$10/1000)^2/4)*((Inputs!$F$10/1000/4)^(2/3))*SQRT(N202))</f>
        <v/>
      </c>
      <c r="AJ202" s="9" t="str">
        <f aca="false">IF(A202="","",(1/Inputs!$B$9)*(PI()*(Inputs!$F$11/1000)^2/4)*((Inputs!$F$11/1000/4)^(2/3))*SQRT(N202))</f>
        <v/>
      </c>
      <c r="AK202" s="9" t="str">
        <f aca="false">IF(A202="","",(1/Inputs!$B$9)*(PI()*(Inputs!$F$12/1000)^2/4)*((Inputs!$F$12/1000/4)^(2/3))*SQRT(N202))</f>
        <v/>
      </c>
      <c r="AL202" s="9" t="str">
        <f aca="false">IF(A202="","",(1/Inputs!$B$9)*(PI()*(Inputs!$F$13/1000)^2/4)*((Inputs!$F$13/1000/4)^(2/3))*SQRT(N202))</f>
        <v/>
      </c>
      <c r="AM202" s="9" t="str">
        <f aca="false">IF(A202="","",(1/Inputs!$B$9)*(PI()*(Inputs!$F$14/1000)^2/4)*((Inputs!$F$14/1000/4)^(2/3))*SQRT(N202))</f>
        <v/>
      </c>
      <c r="AN202" s="9" t="str">
        <f aca="false">IF(A202="","",COUNTIF($B$4:$B$203,$A202))</f>
        <v/>
      </c>
      <c r="AO202" s="9" t="str">
        <f aca="false">IF(A202="","",IF(AN202=0,"START","CONTINUOUS"))</f>
        <v/>
      </c>
      <c r="AP202" s="13" t="str">
        <f aca="false">IF(A202="","",IF(H202="",Inputs!$B$18,H202))</f>
        <v/>
      </c>
      <c r="AQ202" s="13" t="str">
        <f aca="false">IF(A202="","",IFERROR(maxifs($AS$4:$AS$203,$B$4:$B$203,$A202),""))</f>
        <v/>
      </c>
      <c r="AR202" s="13" t="str">
        <f aca="false">IF(A202="","",IF(OR(C202="",Inputs!$B$23=""),"",C202/(Inputs!$B$23*60)))</f>
        <v/>
      </c>
      <c r="AS202" s="13" t="str">
        <f aca="false">IF(A202="","",IF(AN202=0,AP202+AR202,IF(AQ202="",AP202+AR202,AQ202+AR202)))</f>
        <v/>
      </c>
      <c r="AT202" s="13" t="str">
        <f aca="false">IF(A202="","",U202)</f>
        <v/>
      </c>
      <c r="AU202" s="13" t="str">
        <f aca="false">IF(OR(R202="",N202=""),"",(1/Inputs!$B$9)*((R202/4)^(2/3))*SQRT(N202))</f>
        <v/>
      </c>
      <c r="AV202" s="13" t="str">
        <f aca="false">IF(A202="","",IF(AND(AT202="",AU202="",AX202=""),"",IF(OR(UPPER(TRIM(Inputs!$B$24))="MANNING",UPPER(TRIM(Inputs!$B$24))="M"),AU202,IF(OR(UPPER(TRIM(Inputs!$B$24))="PARTIAL",UPPER(TRIM(Inputs!$B$24))="P"),AX202,IF(OR(UPPER(TRIM(Inputs!$B$24))="MAX",UPPER(TRIM(Inputs!$B$24))="X"),MAX(IF(AT202="",0,AT202),IF(AU202="",0,AU202),IF(AX202="",0,AX202)),AT202)))))</f>
        <v/>
      </c>
      <c r="AW202" s="13" t="str">
        <f aca="false">IF(AY202="","",CE202)</f>
        <v/>
      </c>
      <c r="AX202" s="13" t="str">
        <f aca="false">IF(OR(AY202="",AW202="",R202="",R202&lt;=0,AW202&lt;=0),"",AY202/((R202^2/8)*(2*ACOS(1-2*AW202/R202)-SIN(2*ACOS(1-2*AW202/R202)))))</f>
        <v/>
      </c>
      <c r="AY202" s="9" t="str">
        <f aca="false">IF(OR(L202="",AZ202=""),"",MIN(L202,AZ202))</f>
        <v/>
      </c>
      <c r="AZ202" s="9" t="str">
        <f aca="false">IF(OR(L202="",R202="",N202=""),"",IF(OR(R202="",N202="",(0.94*R202)="",R202&lt;=0,(0.94*R202)&lt;=0),"",(1/Inputs!$B$9)*((R202^2/8)*((2*ACOS(1-2*(0.94*R202)/R202))-SIN((2*ACOS(1-2*(0.94*R202)/R202)))))*((((R202^2/8)*((2*ACOS(1-2*(0.94*R202)/R202))-SIN((2*ACOS(1-2*(0.94*R202)/R202)))))/((R202/2)*((2*ACOS(1-2*(0.94*R202)/R202)))))^(2/3))*SQRT(N202)))</f>
        <v/>
      </c>
      <c r="BA202" s="9" t="str">
        <f aca="false">IF(AY202="","",0.001*R202)</f>
        <v/>
      </c>
      <c r="BB202" s="9" t="str">
        <f aca="false">IF(AY202="","",0.94*R202)</f>
        <v/>
      </c>
      <c r="BC202" s="9" t="str">
        <f aca="false">IF(AY202="","",(BA202+BB202)/2)</f>
        <v/>
      </c>
      <c r="BD202" s="9" t="str">
        <f aca="false">IF(OR(R202="",N202="",BC202="",R202&lt;=0,BC202&lt;=0),"",(1/Inputs!$B$9)*((R202^2/8)*((2*ACOS(1-2*BC202/R202))-SIN((2*ACOS(1-2*BC202/R202)))))*((((R202^2/8)*((2*ACOS(1-2*BC202/R202))-SIN((2*ACOS(1-2*BC202/R202)))))/((R202/2)*((2*ACOS(1-2*BC202/R202)))))^(2/3))*SQRT(N202))</f>
        <v/>
      </c>
      <c r="BE202" s="9" t="str">
        <f aca="false">IF(AY202="","",IF(BD202&lt;AY202,BC202,BA202))</f>
        <v/>
      </c>
      <c r="BF202" s="9" t="str">
        <f aca="false">IF(AY202="","",IF(BD202&lt;AY202,BB202,BC202))</f>
        <v/>
      </c>
      <c r="BG202" s="9" t="str">
        <f aca="false">IF(AY202="","",(BE202+BF202)/2)</f>
        <v/>
      </c>
      <c r="BH202" s="9" t="str">
        <f aca="false">IF(OR(R202="",N202="",BG202="",R202&lt;=0,BG202&lt;=0),"",(1/Inputs!$B$9)*((R202^2/8)*((2*ACOS(1-2*BG202/R202))-SIN((2*ACOS(1-2*BG202/R202)))))*((((R202^2/8)*((2*ACOS(1-2*BG202/R202))-SIN((2*ACOS(1-2*BG202/R202)))))/((R202/2)*((2*ACOS(1-2*BG202/R202)))))^(2/3))*SQRT(N202))</f>
        <v/>
      </c>
      <c r="BI202" s="9" t="str">
        <f aca="false">IF(AY202="","",IF(BH202&lt;AY202,BG202,BE202))</f>
        <v/>
      </c>
      <c r="BJ202" s="9" t="str">
        <f aca="false">IF(AY202="","",IF(BH202&lt;AY202,BF202,BG202))</f>
        <v/>
      </c>
      <c r="BK202" s="9" t="str">
        <f aca="false">IF(AY202="","",(BI202+BJ202)/2)</f>
        <v/>
      </c>
      <c r="BL202" s="9" t="str">
        <f aca="false">IF(OR(R202="",N202="",BK202="",R202&lt;=0,BK202&lt;=0),"",(1/Inputs!$B$9)*((R202^2/8)*((2*ACOS(1-2*BK202/R202))-SIN((2*ACOS(1-2*BK202/R202)))))*((((R202^2/8)*((2*ACOS(1-2*BK202/R202))-SIN((2*ACOS(1-2*BK202/R202)))))/((R202/2)*((2*ACOS(1-2*BK202/R202)))))^(2/3))*SQRT(N202))</f>
        <v/>
      </c>
      <c r="BM202" s="9" t="str">
        <f aca="false">IF(AY202="","",IF(BL202&lt;AY202,BK202,BI202))</f>
        <v/>
      </c>
      <c r="BN202" s="9" t="str">
        <f aca="false">IF(AY202="","",IF(BL202&lt;AY202,BJ202,BK202))</f>
        <v/>
      </c>
      <c r="BO202" s="9" t="str">
        <f aca="false">IF(AY202="","",(BM202+BN202)/2)</f>
        <v/>
      </c>
      <c r="BP202" s="9" t="str">
        <f aca="false">IF(OR(R202="",N202="",BO202="",R202&lt;=0,BO202&lt;=0),"",(1/Inputs!$B$9)*((R202^2/8)*((2*ACOS(1-2*BO202/R202))-SIN((2*ACOS(1-2*BO202/R202)))))*((((R202^2/8)*((2*ACOS(1-2*BO202/R202))-SIN((2*ACOS(1-2*BO202/R202)))))/((R202/2)*((2*ACOS(1-2*BO202/R202)))))^(2/3))*SQRT(N202))</f>
        <v/>
      </c>
      <c r="BQ202" s="9" t="str">
        <f aca="false">IF(AY202="","",IF(BP202&lt;AY202,BO202,BM202))</f>
        <v/>
      </c>
      <c r="BR202" s="9" t="str">
        <f aca="false">IF(AY202="","",IF(BP202&lt;AY202,BN202,BO202))</f>
        <v/>
      </c>
      <c r="BS202" s="9" t="str">
        <f aca="false">IF(AY202="","",(BQ202+BR202)/2)</f>
        <v/>
      </c>
      <c r="BT202" s="9" t="str">
        <f aca="false">IF(OR(R202="",N202="",BS202="",R202&lt;=0,BS202&lt;=0),"",(1/Inputs!$B$9)*((R202^2/8)*((2*ACOS(1-2*BS202/R202))-SIN((2*ACOS(1-2*BS202/R202)))))*((((R202^2/8)*((2*ACOS(1-2*BS202/R202))-SIN((2*ACOS(1-2*BS202/R202)))))/((R202/2)*((2*ACOS(1-2*BS202/R202)))))^(2/3))*SQRT(N202))</f>
        <v/>
      </c>
      <c r="BU202" s="9" t="str">
        <f aca="false">IF(AY202="","",IF(BT202&lt;AY202,BS202,BQ202))</f>
        <v/>
      </c>
      <c r="BV202" s="9" t="str">
        <f aca="false">IF(AY202="","",IF(BT202&lt;AY202,BR202,BS202))</f>
        <v/>
      </c>
      <c r="BW202" s="9" t="str">
        <f aca="false">IF(AY202="","",(BU202+BV202)/2)</f>
        <v/>
      </c>
      <c r="BX202" s="9" t="str">
        <f aca="false">IF(OR(R202="",N202="",BW202="",R202&lt;=0,BW202&lt;=0),"",(1/Inputs!$B$9)*((R202^2/8)*((2*ACOS(1-2*BW202/R202))-SIN((2*ACOS(1-2*BW202/R202)))))*((((R202^2/8)*((2*ACOS(1-2*BW202/R202))-SIN((2*ACOS(1-2*BW202/R202)))))/((R202/2)*((2*ACOS(1-2*BW202/R202)))))^(2/3))*SQRT(N202))</f>
        <v/>
      </c>
      <c r="BY202" s="9" t="str">
        <f aca="false">IF(AY202="","",IF(BX202&lt;AY202,BW202,BU202))</f>
        <v/>
      </c>
      <c r="BZ202" s="9" t="str">
        <f aca="false">IF(AY202="","",IF(BX202&lt;AY202,BV202,BW202))</f>
        <v/>
      </c>
      <c r="CA202" s="9" t="str">
        <f aca="false">IF(AY202="","",(BY202+BZ202)/2)</f>
        <v/>
      </c>
      <c r="CB202" s="9" t="str">
        <f aca="false">IF(OR(R202="",N202="",CA202="",R202&lt;=0,CA202&lt;=0),"",(1/Inputs!$B$9)*((R202^2/8)*((2*ACOS(1-2*CA202/R202))-SIN((2*ACOS(1-2*CA202/R202)))))*((((R202^2/8)*((2*ACOS(1-2*CA202/R202))-SIN((2*ACOS(1-2*CA202/R202)))))/((R202/2)*((2*ACOS(1-2*CA202/R202)))))^(2/3))*SQRT(N202))</f>
        <v/>
      </c>
      <c r="CC202" s="9" t="str">
        <f aca="false">IF(AY202="","",IF(CB202&lt;AY202,CA202,BY202))</f>
        <v/>
      </c>
      <c r="CD202" s="9" t="str">
        <f aca="false">IF(AY202="","",IF(CB202&lt;AY202,BZ202,CA202))</f>
        <v/>
      </c>
      <c r="CE202" s="9" t="str">
        <f aca="false">IF(AY202="","",(CC202+CD202)/2)</f>
        <v/>
      </c>
    </row>
    <row r="203" customFormat="false" ht="15" hidden="false" customHeight="false" outlineLevel="0" collapsed="false">
      <c r="A203" s="9"/>
      <c r="B203" s="9"/>
      <c r="C203" s="14"/>
      <c r="D203" s="14"/>
      <c r="E203" s="14" t="n">
        <f aca="false">SUMIFS(CB_Tributaires!$C:$C,CB_Tributaires!$B:$B,$A203)</f>
        <v>0</v>
      </c>
      <c r="F203" s="14" t="n">
        <f aca="false">IF(D203="",E203,D203)</f>
        <v>0</v>
      </c>
      <c r="G203" s="9"/>
      <c r="H203" s="14"/>
      <c r="I203" s="14" t="str">
        <f aca="false">IF(A203="","",Inputs!$B$13/((IF(AS203="",Inputs!$B$18,AS203)+Inputs!$B$14)^Inputs!$B$15))</f>
        <v/>
      </c>
      <c r="J203" s="14" t="str">
        <f aca="false">IF(A203="","",0.000000278*IF(G203="",Inputs!$B$17,G203)*F203*I203)</f>
        <v/>
      </c>
      <c r="K203" s="14" t="str">
        <f aca="false">IF(A203="","",SUMIFS($L$4:$L$203,$B$4:$B$203,$A203))</f>
        <v/>
      </c>
      <c r="L203" s="14" t="str">
        <f aca="false">IF(A203="","",(J203+K203)*Inputs!$B$16)</f>
        <v/>
      </c>
      <c r="M203" s="14"/>
      <c r="N203" s="14" t="str">
        <f aca="false">IF(A203="","",IF(M203="",Inputs!$B$7,M203))</f>
        <v/>
      </c>
      <c r="O203" s="9" t="str">
        <f aca="false">IF(A203="","",IF(L203/Inputs!$B$10&lt;=AD203,Inputs!$F$5,IF(L203/Inputs!$B$10&gt;AM203,"OVERSIZE",INDEX(Inputs!$F$5:$F$14,MATCH(L203/Inputs!$B$10,AD203:AM203,1)+1))))</f>
        <v/>
      </c>
      <c r="P203" s="9"/>
      <c r="Q203" s="9" t="str">
        <f aca="false">IF(A203="","",IF(P203="",O203,P203))</f>
        <v/>
      </c>
      <c r="R203" s="14" t="str">
        <f aca="false">IF(OR(Q203="",Q203="OVERSIZE"),"",Q203/1000)</f>
        <v/>
      </c>
      <c r="S203" s="14" t="str">
        <f aca="false">IF(R203="","",(1/Inputs!$B$9)*(PI()*R203^2/4)*((R203/4)^(2/3))*SQRT(N203))</f>
        <v/>
      </c>
      <c r="T203" s="14" t="str">
        <f aca="false">IF(OR(S203="",L203=""),"",L203/(S203*Inputs!$B$10))</f>
        <v/>
      </c>
      <c r="U203" s="14" t="str">
        <f aca="false">IF(OR(R203="",L203=""),"",4*L203/(PI()*R203^2))</f>
        <v/>
      </c>
      <c r="V203" s="14"/>
      <c r="W203" s="14" t="str">
        <f aca="false">IF(A203="","",IF(A203=Inputs!$B$6,Inputs!$B$22,IF(B203="","",IFERROR(INDEX($X$4:$X$203,MATCH(B203,$A$4:$A$203,0))+IF(V203="",Inputs!$B$20,V203),""))))</f>
        <v/>
      </c>
      <c r="X203" s="14" t="str">
        <f aca="false">IF(OR(W203="",N203="",C203=""),"",W203+N203*C203)</f>
        <v/>
      </c>
      <c r="Y203" s="14"/>
      <c r="Z203" s="14"/>
      <c r="AA203" s="14" t="str">
        <f aca="false">IF(OR(Y203="",W203=""),"",Y203-W203)</f>
        <v/>
      </c>
      <c r="AB203" s="14" t="str">
        <f aca="false">IF(OR(Z203="",X203=""),"",Z203-X203)</f>
        <v/>
      </c>
      <c r="AC203" s="19" t="str">
        <f aca="false">IF(A203="","",IF(OR(T203&gt;1,AND(AV203&lt;&gt;"",AV203&lt;Inputs!$B$11),AND(AV203&lt;&gt;"",AV203&gt;Inputs!$B$12),AA203&lt;Inputs!$B$19,AB203&lt;Inputs!$B$19,N203&lt;Inputs!$B$7,N203&gt;Inputs!$B$8),"CHECK","OK"))</f>
        <v/>
      </c>
      <c r="AD203" s="9" t="str">
        <f aca="false">IF(A203="","",(1/Inputs!$B$9)*(PI()*(Inputs!$F$5/1000)^2/4)*((Inputs!$F$5/1000/4)^(2/3))*SQRT(N203))</f>
        <v/>
      </c>
      <c r="AE203" s="9" t="str">
        <f aca="false">IF(A203="","",(1/Inputs!$B$9)*(PI()*(Inputs!$F$6/1000)^2/4)*((Inputs!$F$6/1000/4)^(2/3))*SQRT(N203))</f>
        <v/>
      </c>
      <c r="AF203" s="9" t="str">
        <f aca="false">IF(A203="","",(1/Inputs!$B$9)*(PI()*(Inputs!$F$7/1000)^2/4)*((Inputs!$F$7/1000/4)^(2/3))*SQRT(N203))</f>
        <v/>
      </c>
      <c r="AG203" s="9" t="str">
        <f aca="false">IF(A203="","",(1/Inputs!$B$9)*(PI()*(Inputs!$F$8/1000)^2/4)*((Inputs!$F$8/1000/4)^(2/3))*SQRT(N203))</f>
        <v/>
      </c>
      <c r="AH203" s="9" t="str">
        <f aca="false">IF(A203="","",(1/Inputs!$B$9)*(PI()*(Inputs!$F$9/1000)^2/4)*((Inputs!$F$9/1000/4)^(2/3))*SQRT(N203))</f>
        <v/>
      </c>
      <c r="AI203" s="9" t="str">
        <f aca="false">IF(A203="","",(1/Inputs!$B$9)*(PI()*(Inputs!$F$10/1000)^2/4)*((Inputs!$F$10/1000/4)^(2/3))*SQRT(N203))</f>
        <v/>
      </c>
      <c r="AJ203" s="9" t="str">
        <f aca="false">IF(A203="","",(1/Inputs!$B$9)*(PI()*(Inputs!$F$11/1000)^2/4)*((Inputs!$F$11/1000/4)^(2/3))*SQRT(N203))</f>
        <v/>
      </c>
      <c r="AK203" s="9" t="str">
        <f aca="false">IF(A203="","",(1/Inputs!$B$9)*(PI()*(Inputs!$F$12/1000)^2/4)*((Inputs!$F$12/1000/4)^(2/3))*SQRT(N203))</f>
        <v/>
      </c>
      <c r="AL203" s="9" t="str">
        <f aca="false">IF(A203="","",(1/Inputs!$B$9)*(PI()*(Inputs!$F$13/1000)^2/4)*((Inputs!$F$13/1000/4)^(2/3))*SQRT(N203))</f>
        <v/>
      </c>
      <c r="AM203" s="9" t="str">
        <f aca="false">IF(A203="","",(1/Inputs!$B$9)*(PI()*(Inputs!$F$14/1000)^2/4)*((Inputs!$F$14/1000/4)^(2/3))*SQRT(N203))</f>
        <v/>
      </c>
      <c r="AN203" s="9" t="str">
        <f aca="false">IF(A203="","",COUNTIF($B$4:$B$203,$A203))</f>
        <v/>
      </c>
      <c r="AO203" s="9" t="str">
        <f aca="false">IF(A203="","",IF(AN203=0,"START","CONTINUOUS"))</f>
        <v/>
      </c>
      <c r="AP203" s="13" t="str">
        <f aca="false">IF(A203="","",IF(H203="",Inputs!$B$18,H203))</f>
        <v/>
      </c>
      <c r="AQ203" s="13" t="str">
        <f aca="false">IF(A203="","",IFERROR(maxifs($AS$4:$AS$203,$B$4:$B$203,$A203),""))</f>
        <v/>
      </c>
      <c r="AR203" s="13" t="str">
        <f aca="false">IF(A203="","",IF(OR(C203="",Inputs!$B$23=""),"",C203/(Inputs!$B$23*60)))</f>
        <v/>
      </c>
      <c r="AS203" s="13" t="str">
        <f aca="false">IF(A203="","",IF(AN203=0,AP203+AR203,IF(AQ203="",AP203+AR203,AQ203+AR203)))</f>
        <v/>
      </c>
      <c r="AT203" s="13" t="str">
        <f aca="false">IF(A203="","",U203)</f>
        <v/>
      </c>
      <c r="AU203" s="13" t="str">
        <f aca="false">IF(OR(R203="",N203=""),"",(1/Inputs!$B$9)*((R203/4)^(2/3))*SQRT(N203))</f>
        <v/>
      </c>
      <c r="AV203" s="13" t="str">
        <f aca="false">IF(A203="","",IF(AND(AT203="",AU203="",AX203=""),"",IF(OR(UPPER(TRIM(Inputs!$B$24))="MANNING",UPPER(TRIM(Inputs!$B$24))="M"),AU203,IF(OR(UPPER(TRIM(Inputs!$B$24))="PARTIAL",UPPER(TRIM(Inputs!$B$24))="P"),AX203,IF(OR(UPPER(TRIM(Inputs!$B$24))="MAX",UPPER(TRIM(Inputs!$B$24))="X"),MAX(IF(AT203="",0,AT203),IF(AU203="",0,AU203),IF(AX203="",0,AX203)),AT203)))))</f>
        <v/>
      </c>
      <c r="AW203" s="13" t="str">
        <f aca="false">IF(AY203="","",CE203)</f>
        <v/>
      </c>
      <c r="AX203" s="13" t="str">
        <f aca="false">IF(OR(AY203="",AW203="",R203="",R203&lt;=0,AW203&lt;=0),"",AY203/((R203^2/8)*(2*ACOS(1-2*AW203/R203)-SIN(2*ACOS(1-2*AW203/R203)))))</f>
        <v/>
      </c>
      <c r="AY203" s="9" t="str">
        <f aca="false">IF(OR(L203="",AZ203=""),"",MIN(L203,AZ203))</f>
        <v/>
      </c>
      <c r="AZ203" s="9" t="str">
        <f aca="false">IF(OR(L203="",R203="",N203=""),"",IF(OR(R203="",N203="",(0.94*R203)="",R203&lt;=0,(0.94*R203)&lt;=0),"",(1/Inputs!$B$9)*((R203^2/8)*((2*ACOS(1-2*(0.94*R203)/R203))-SIN((2*ACOS(1-2*(0.94*R203)/R203)))))*((((R203^2/8)*((2*ACOS(1-2*(0.94*R203)/R203))-SIN((2*ACOS(1-2*(0.94*R203)/R203)))))/((R203/2)*((2*ACOS(1-2*(0.94*R203)/R203)))))^(2/3))*SQRT(N203)))</f>
        <v/>
      </c>
      <c r="BA203" s="9" t="str">
        <f aca="false">IF(AY203="","",0.001*R203)</f>
        <v/>
      </c>
      <c r="BB203" s="9" t="str">
        <f aca="false">IF(AY203="","",0.94*R203)</f>
        <v/>
      </c>
      <c r="BC203" s="9" t="str">
        <f aca="false">IF(AY203="","",(BA203+BB203)/2)</f>
        <v/>
      </c>
      <c r="BD203" s="9" t="str">
        <f aca="false">IF(OR(R203="",N203="",BC203="",R203&lt;=0,BC203&lt;=0),"",(1/Inputs!$B$9)*((R203^2/8)*((2*ACOS(1-2*BC203/R203))-SIN((2*ACOS(1-2*BC203/R203)))))*((((R203^2/8)*((2*ACOS(1-2*BC203/R203))-SIN((2*ACOS(1-2*BC203/R203)))))/((R203/2)*((2*ACOS(1-2*BC203/R203)))))^(2/3))*SQRT(N203))</f>
        <v/>
      </c>
      <c r="BE203" s="9" t="str">
        <f aca="false">IF(AY203="","",IF(BD203&lt;AY203,BC203,BA203))</f>
        <v/>
      </c>
      <c r="BF203" s="9" t="str">
        <f aca="false">IF(AY203="","",IF(BD203&lt;AY203,BB203,BC203))</f>
        <v/>
      </c>
      <c r="BG203" s="9" t="str">
        <f aca="false">IF(AY203="","",(BE203+BF203)/2)</f>
        <v/>
      </c>
      <c r="BH203" s="9" t="str">
        <f aca="false">IF(OR(R203="",N203="",BG203="",R203&lt;=0,BG203&lt;=0),"",(1/Inputs!$B$9)*((R203^2/8)*((2*ACOS(1-2*BG203/R203))-SIN((2*ACOS(1-2*BG203/R203)))))*((((R203^2/8)*((2*ACOS(1-2*BG203/R203))-SIN((2*ACOS(1-2*BG203/R203)))))/((R203/2)*((2*ACOS(1-2*BG203/R203)))))^(2/3))*SQRT(N203))</f>
        <v/>
      </c>
      <c r="BI203" s="9" t="str">
        <f aca="false">IF(AY203="","",IF(BH203&lt;AY203,BG203,BE203))</f>
        <v/>
      </c>
      <c r="BJ203" s="9" t="str">
        <f aca="false">IF(AY203="","",IF(BH203&lt;AY203,BF203,BG203))</f>
        <v/>
      </c>
      <c r="BK203" s="9" t="str">
        <f aca="false">IF(AY203="","",(BI203+BJ203)/2)</f>
        <v/>
      </c>
      <c r="BL203" s="9" t="str">
        <f aca="false">IF(OR(R203="",N203="",BK203="",R203&lt;=0,BK203&lt;=0),"",(1/Inputs!$B$9)*((R203^2/8)*((2*ACOS(1-2*BK203/R203))-SIN((2*ACOS(1-2*BK203/R203)))))*((((R203^2/8)*((2*ACOS(1-2*BK203/R203))-SIN((2*ACOS(1-2*BK203/R203)))))/((R203/2)*((2*ACOS(1-2*BK203/R203)))))^(2/3))*SQRT(N203))</f>
        <v/>
      </c>
      <c r="BM203" s="9" t="str">
        <f aca="false">IF(AY203="","",IF(BL203&lt;AY203,BK203,BI203))</f>
        <v/>
      </c>
      <c r="BN203" s="9" t="str">
        <f aca="false">IF(AY203="","",IF(BL203&lt;AY203,BJ203,BK203))</f>
        <v/>
      </c>
      <c r="BO203" s="9" t="str">
        <f aca="false">IF(AY203="","",(BM203+BN203)/2)</f>
        <v/>
      </c>
      <c r="BP203" s="9" t="str">
        <f aca="false">IF(OR(R203="",N203="",BO203="",R203&lt;=0,BO203&lt;=0),"",(1/Inputs!$B$9)*((R203^2/8)*((2*ACOS(1-2*BO203/R203))-SIN((2*ACOS(1-2*BO203/R203)))))*((((R203^2/8)*((2*ACOS(1-2*BO203/R203))-SIN((2*ACOS(1-2*BO203/R203)))))/((R203/2)*((2*ACOS(1-2*BO203/R203)))))^(2/3))*SQRT(N203))</f>
        <v/>
      </c>
      <c r="BQ203" s="9" t="str">
        <f aca="false">IF(AY203="","",IF(BP203&lt;AY203,BO203,BM203))</f>
        <v/>
      </c>
      <c r="BR203" s="9" t="str">
        <f aca="false">IF(AY203="","",IF(BP203&lt;AY203,BN203,BO203))</f>
        <v/>
      </c>
      <c r="BS203" s="9" t="str">
        <f aca="false">IF(AY203="","",(BQ203+BR203)/2)</f>
        <v/>
      </c>
      <c r="BT203" s="9" t="str">
        <f aca="false">IF(OR(R203="",N203="",BS203="",R203&lt;=0,BS203&lt;=0),"",(1/Inputs!$B$9)*((R203^2/8)*((2*ACOS(1-2*BS203/R203))-SIN((2*ACOS(1-2*BS203/R203)))))*((((R203^2/8)*((2*ACOS(1-2*BS203/R203))-SIN((2*ACOS(1-2*BS203/R203)))))/((R203/2)*((2*ACOS(1-2*BS203/R203)))))^(2/3))*SQRT(N203))</f>
        <v/>
      </c>
      <c r="BU203" s="9" t="str">
        <f aca="false">IF(AY203="","",IF(BT203&lt;AY203,BS203,BQ203))</f>
        <v/>
      </c>
      <c r="BV203" s="9" t="str">
        <f aca="false">IF(AY203="","",IF(BT203&lt;AY203,BR203,BS203))</f>
        <v/>
      </c>
      <c r="BW203" s="9" t="str">
        <f aca="false">IF(AY203="","",(BU203+BV203)/2)</f>
        <v/>
      </c>
      <c r="BX203" s="9" t="str">
        <f aca="false">IF(OR(R203="",N203="",BW203="",R203&lt;=0,BW203&lt;=0),"",(1/Inputs!$B$9)*((R203^2/8)*((2*ACOS(1-2*BW203/R203))-SIN((2*ACOS(1-2*BW203/R203)))))*((((R203^2/8)*((2*ACOS(1-2*BW203/R203))-SIN((2*ACOS(1-2*BW203/R203)))))/((R203/2)*((2*ACOS(1-2*BW203/R203)))))^(2/3))*SQRT(N203))</f>
        <v/>
      </c>
      <c r="BY203" s="9" t="str">
        <f aca="false">IF(AY203="","",IF(BX203&lt;AY203,BW203,BU203))</f>
        <v/>
      </c>
      <c r="BZ203" s="9" t="str">
        <f aca="false">IF(AY203="","",IF(BX203&lt;AY203,BV203,BW203))</f>
        <v/>
      </c>
      <c r="CA203" s="9" t="str">
        <f aca="false">IF(AY203="","",(BY203+BZ203)/2)</f>
        <v/>
      </c>
      <c r="CB203" s="9" t="str">
        <f aca="false">IF(OR(R203="",N203="",CA203="",R203&lt;=0,CA203&lt;=0),"",(1/Inputs!$B$9)*((R203^2/8)*((2*ACOS(1-2*CA203/R203))-SIN((2*ACOS(1-2*CA203/R203)))))*((((R203^2/8)*((2*ACOS(1-2*CA203/R203))-SIN((2*ACOS(1-2*CA203/R203)))))/((R203/2)*((2*ACOS(1-2*CA203/R203)))))^(2/3))*SQRT(N203))</f>
        <v/>
      </c>
      <c r="CC203" s="9" t="str">
        <f aca="false">IF(AY203="","",IF(CB203&lt;AY203,CA203,BY203))</f>
        <v/>
      </c>
      <c r="CD203" s="9" t="str">
        <f aca="false">IF(AY203="","",IF(CB203&lt;AY203,BZ203,CA203))</f>
        <v/>
      </c>
      <c r="CE203" s="9" t="str">
        <f aca="false">IF(AY203="","",(CC203+CD203)/2)</f>
        <v/>
      </c>
    </row>
  </sheetData>
  <mergeCells count="1">
    <mergeCell ref="A1:AM1"/>
  </mergeCells>
  <conditionalFormatting sqref="AC4:AC203">
    <cfRule type="expression" priority="2" aboveAverage="0" equalAverage="0" bottom="0" percent="0" rank="0" text="" dxfId="0">
      <formula>$AC4="CHECK"</formula>
    </cfRule>
  </conditionalFormatting>
  <conditionalFormatting sqref="T4:T203">
    <cfRule type="cellIs" priority="3" operator="greaterThan" aboveAverage="0" equalAverage="0" bottom="0" percent="0" rank="0" text="" dxfId="0">
      <formula>1</formula>
    </cfRule>
  </conditionalFormatting>
  <conditionalFormatting sqref="AA4:AA203">
    <cfRule type="expression" priority="4" aboveAverage="0" equalAverage="0" bottom="0" percent="0" rank="0" text="" dxfId="0">
      <formula>$AA4&lt;Inputs!$B$19</formula>
    </cfRule>
  </conditionalFormatting>
  <conditionalFormatting sqref="AB4:AB203">
    <cfRule type="expression" priority="5" aboveAverage="0" equalAverage="0" bottom="0" percent="0" rank="0" text="" dxfId="0">
      <formula>$AB4&lt;Inputs!$B$19</formula>
    </cfRule>
  </conditionalFormatting>
  <conditionalFormatting sqref="N4:N203">
    <cfRule type="expression" priority="6" aboveAverage="0" equalAverage="0" bottom="0" percent="0" rank="0" text="" dxfId="0">
      <formula>$N4&lt;Inputs!$B$7</formula>
    </cfRule>
    <cfRule type="expression" priority="7" aboveAverage="0" equalAverage="0" bottom="0" percent="0" rank="0" text="" dxfId="0">
      <formula>$N4&gt;Inputs!$B$8</formula>
    </cfRule>
  </conditionalFormatting>
  <conditionalFormatting sqref="U4:U203">
    <cfRule type="expression" priority="8" aboveAverage="0" equalAverage="0" bottom="0" percent="0" rank="0" text="" dxfId="0">
      <formula>AND(OR(UPPER(TRIM(Inputs!$B$24))="DESIGN",UPPER(TRIM(Inputs!$B$24))="D",UPPER(TRIM(Inputs!$B$24))=""),OR($U4&lt;Inputs!$B$11,$U4&gt;Inputs!$B$12))</formula>
    </cfRule>
  </conditionalFormatting>
  <conditionalFormatting sqref="AU4:AU203">
    <cfRule type="expression" priority="9" aboveAverage="0" equalAverage="0" bottom="0" percent="0" rank="0" text="" dxfId="0">
      <formula>AND(OR(UPPER(TRIM(Inputs!$B$24))="MANNING",UPPER(TRIM(Inputs!$B$24))="M"),OR($AU4&lt;Inputs!$B$11,$AU4&gt;Inputs!$B$12))</formula>
    </cfRule>
  </conditionalFormatting>
  <conditionalFormatting sqref="AX4:AX203">
    <cfRule type="expression" priority="10" aboveAverage="0" equalAverage="0" bottom="0" percent="0" rank="0" text="" dxfId="0">
      <formula>AND(OR(UPPER(TRIM(Inputs!$B$24))="PARTIAL",UPPER(TRIM(Inputs!$B$24))="P"),OR($AX4&lt;Inputs!$B$11,$AX4&gt;Inputs!$B$12))</formula>
    </cfRule>
  </conditionalFormatting>
  <conditionalFormatting sqref="AV4:AV203">
    <cfRule type="expression" priority="11" aboveAverage="0" equalAverage="0" bottom="0" percent="0" rank="0" text="" dxfId="0">
      <formula>OR($AV4&lt;Inputs!$B$11,$AV4&gt;Inputs!$B$12)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4" activeCellId="0" sqref="C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1" t="s">
        <v>194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8" t="s">
        <v>195</v>
      </c>
      <c r="B3" s="8" t="s">
        <v>196</v>
      </c>
      <c r="C3" s="8" t="s">
        <v>197</v>
      </c>
      <c r="D3" s="8" t="s">
        <v>198</v>
      </c>
      <c r="E3" s="8" t="s">
        <v>199</v>
      </c>
      <c r="F3" s="8" t="s">
        <v>97</v>
      </c>
    </row>
    <row r="4" customFormat="false" ht="15" hidden="false" customHeight="false" outlineLevel="0" collapsed="false">
      <c r="A4" s="9" t="s">
        <v>183</v>
      </c>
      <c r="B4" s="9" t="s">
        <v>184</v>
      </c>
      <c r="C4" s="20" t="n">
        <v>104</v>
      </c>
      <c r="D4" s="21" t="n">
        <f aca="false">Inputs!$B$19</f>
        <v>2.15</v>
      </c>
      <c r="E4" s="13" t="n">
        <f aca="false">IF(OR(C4="",D4=""),"",C4-D4)</f>
        <v>101.85</v>
      </c>
      <c r="F4" s="9" t="s">
        <v>200</v>
      </c>
    </row>
    <row r="5" customFormat="false" ht="15" hidden="false" customHeight="false" outlineLevel="0" collapsed="false">
      <c r="A5" s="9" t="s">
        <v>184</v>
      </c>
      <c r="B5" s="9" t="s">
        <v>186</v>
      </c>
      <c r="C5" s="20" t="n">
        <v>104</v>
      </c>
      <c r="D5" s="21" t="n">
        <f aca="false">Inputs!$B$19</f>
        <v>2.15</v>
      </c>
      <c r="E5" s="13" t="n">
        <f aca="false">IF(OR(C5="",D5=""),"",C5-D5)</f>
        <v>101.85</v>
      </c>
      <c r="F5" s="9" t="s">
        <v>201</v>
      </c>
    </row>
    <row r="6" customFormat="false" ht="15" hidden="false" customHeight="false" outlineLevel="0" collapsed="false">
      <c r="A6" s="9" t="s">
        <v>186</v>
      </c>
      <c r="B6" s="9" t="s">
        <v>202</v>
      </c>
      <c r="C6" s="20" t="n">
        <v>103.95</v>
      </c>
      <c r="D6" s="21" t="n">
        <f aca="false">Inputs!$B$19</f>
        <v>2.15</v>
      </c>
      <c r="E6" s="13" t="n">
        <f aca="false">IF(OR(C6="",D6=""),"",C6-D6)</f>
        <v>101.8</v>
      </c>
      <c r="F6" s="9" t="s">
        <v>203</v>
      </c>
    </row>
    <row r="7" customFormat="false" ht="15" hidden="false" customHeight="false" outlineLevel="0" collapsed="false">
      <c r="A7" s="9" t="s">
        <v>187</v>
      </c>
      <c r="B7" s="9" t="s">
        <v>188</v>
      </c>
      <c r="C7" s="20" t="n">
        <v>104.32</v>
      </c>
      <c r="D7" s="21" t="n">
        <f aca="false">Inputs!$B$19</f>
        <v>2.15</v>
      </c>
      <c r="E7" s="13" t="n">
        <f aca="false">IF(OR(C7="",D7=""),"",C7-D7)</f>
        <v>102.17</v>
      </c>
      <c r="F7" s="9" t="s">
        <v>204</v>
      </c>
    </row>
    <row r="8" customFormat="false" ht="15" hidden="false" customHeight="false" outlineLevel="0" collapsed="false">
      <c r="A8" s="9" t="s">
        <v>188</v>
      </c>
      <c r="B8" s="9" t="s">
        <v>185</v>
      </c>
      <c r="C8" s="20" t="n">
        <v>104</v>
      </c>
      <c r="D8" s="21" t="n">
        <f aca="false">Inputs!$B$19</f>
        <v>2.15</v>
      </c>
      <c r="E8" s="13" t="n">
        <f aca="false">IF(OR(C8="",D8=""),"",C8-D8)</f>
        <v>101.85</v>
      </c>
      <c r="F8" s="9" t="s">
        <v>205</v>
      </c>
    </row>
    <row r="9" customFormat="false" ht="15" hidden="false" customHeight="false" outlineLevel="0" collapsed="false">
      <c r="A9" s="9" t="s">
        <v>185</v>
      </c>
      <c r="B9" s="9" t="s">
        <v>202</v>
      </c>
      <c r="C9" s="20" t="n">
        <v>104.2</v>
      </c>
      <c r="D9" s="21" t="n">
        <f aca="false">Inputs!$B$19</f>
        <v>2.15</v>
      </c>
      <c r="E9" s="13" t="n">
        <f aca="false">IF(OR(C9="",D9=""),"",C9-D9)</f>
        <v>102.05</v>
      </c>
      <c r="F9" s="9" t="s">
        <v>206</v>
      </c>
    </row>
    <row r="10" customFormat="false" ht="15" hidden="false" customHeight="false" outlineLevel="0" collapsed="false">
      <c r="A10" s="9" t="s">
        <v>189</v>
      </c>
      <c r="B10" s="9" t="s">
        <v>190</v>
      </c>
      <c r="C10" s="20" t="n">
        <v>104</v>
      </c>
      <c r="D10" s="21" t="n">
        <f aca="false">Inputs!$B$19</f>
        <v>2.15</v>
      </c>
      <c r="E10" s="13" t="n">
        <f aca="false">IF(OR(C10="",D10=""),"",C10-D10)</f>
        <v>101.85</v>
      </c>
      <c r="F10" s="9" t="s">
        <v>207</v>
      </c>
    </row>
    <row r="11" customFormat="false" ht="15" hidden="false" customHeight="false" outlineLevel="0" collapsed="false">
      <c r="A11" s="9" t="s">
        <v>190</v>
      </c>
      <c r="B11" s="9" t="s">
        <v>191</v>
      </c>
      <c r="C11" s="20" t="n">
        <v>104</v>
      </c>
      <c r="D11" s="21" t="n">
        <f aca="false">Inputs!$B$19</f>
        <v>2.15</v>
      </c>
      <c r="E11" s="13" t="n">
        <f aca="false">IF(OR(C11="",D11=""),"",C11-D11)</f>
        <v>101.85</v>
      </c>
      <c r="F11" s="9" t="s">
        <v>208</v>
      </c>
    </row>
    <row r="12" customFormat="false" ht="15" hidden="false" customHeight="false" outlineLevel="0" collapsed="false">
      <c r="A12" s="9" t="s">
        <v>191</v>
      </c>
      <c r="B12" s="9" t="s">
        <v>185</v>
      </c>
      <c r="C12" s="20" t="n">
        <v>104.3</v>
      </c>
      <c r="D12" s="21" t="n">
        <f aca="false">Inputs!$B$19</f>
        <v>2.15</v>
      </c>
      <c r="E12" s="13" t="n">
        <f aca="false">IF(OR(C12="",D12=""),"",C12-D12)</f>
        <v>102.15</v>
      </c>
      <c r="F12" s="9" t="s">
        <v>209</v>
      </c>
    </row>
    <row r="13" customFormat="false" ht="15" hidden="false" customHeight="false" outlineLevel="0" collapsed="false">
      <c r="A13" s="9" t="s">
        <v>210</v>
      </c>
      <c r="B13" s="9" t="s">
        <v>189</v>
      </c>
      <c r="C13" s="20" t="n">
        <v>104</v>
      </c>
      <c r="D13" s="21" t="n">
        <f aca="false">Inputs!$B$19</f>
        <v>2.15</v>
      </c>
      <c r="E13" s="13" t="n">
        <f aca="false">IF(OR(C13="",D13=""),"",C13-D13)</f>
        <v>101.85</v>
      </c>
      <c r="F13" s="9" t="s">
        <v>211</v>
      </c>
    </row>
    <row r="14" customFormat="false" ht="15" hidden="false" customHeight="false" outlineLevel="0" collapsed="false">
      <c r="A14" s="9" t="s">
        <v>202</v>
      </c>
      <c r="B14" s="9" t="s">
        <v>212</v>
      </c>
      <c r="C14" s="20" t="n">
        <v>104</v>
      </c>
      <c r="D14" s="21" t="n">
        <f aca="false">Inputs!$B$19</f>
        <v>2.15</v>
      </c>
      <c r="E14" s="13" t="n">
        <f aca="false">IF(OR(C14="",D14=""),"",C14-D14)</f>
        <v>101.85</v>
      </c>
      <c r="F14" s="9" t="s">
        <v>213</v>
      </c>
    </row>
    <row r="15" customFormat="false" ht="15" hidden="false" customHeight="false" outlineLevel="0" collapsed="false">
      <c r="A15" s="9" t="s">
        <v>212</v>
      </c>
      <c r="B15" s="9"/>
      <c r="C15" s="20" t="n">
        <v>104</v>
      </c>
      <c r="D15" s="21" t="n">
        <f aca="false">Inputs!$B$19</f>
        <v>2.15</v>
      </c>
      <c r="E15" s="13" t="n">
        <f aca="false">IF(OR(C15="",D15=""),"",C15-D15)</f>
        <v>101.85</v>
      </c>
      <c r="F15" s="9" t="s">
        <v>214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15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1" t="s">
        <v>215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8" t="s">
        <v>216</v>
      </c>
      <c r="B3" s="8" t="s">
        <v>93</v>
      </c>
      <c r="C3" s="8" t="s">
        <v>217</v>
      </c>
      <c r="D3" s="8" t="s">
        <v>218</v>
      </c>
      <c r="E3" s="8" t="s">
        <v>96</v>
      </c>
      <c r="F3" s="8" t="s">
        <v>219</v>
      </c>
      <c r="G3" s="8" t="s">
        <v>97</v>
      </c>
    </row>
    <row r="4" customFormat="false" ht="15" hidden="false" customHeight="false" outlineLevel="0" collapsed="false">
      <c r="A4" s="9" t="s">
        <v>220</v>
      </c>
      <c r="B4" s="9" t="s">
        <v>221</v>
      </c>
      <c r="C4" s="21" t="n">
        <v>156.08</v>
      </c>
      <c r="D4" s="22" t="n">
        <f aca="false">Inputs!$B$17</f>
        <v>0.9</v>
      </c>
      <c r="E4" s="13" t="n">
        <f aca="false">IF(OR(C4="",D4=""),"",C4*D4)</f>
        <v>140.472</v>
      </c>
      <c r="F4" s="9" t="s">
        <v>183</v>
      </c>
      <c r="G4" s="9" t="s">
        <v>222</v>
      </c>
    </row>
    <row r="5" customFormat="false" ht="15" hidden="false" customHeight="false" outlineLevel="0" collapsed="false">
      <c r="A5" s="9" t="s">
        <v>223</v>
      </c>
      <c r="B5" s="9" t="s">
        <v>224</v>
      </c>
      <c r="C5" s="21" t="n">
        <v>161.78</v>
      </c>
      <c r="D5" s="22" t="n">
        <f aca="false">Inputs!$B$17</f>
        <v>0.9</v>
      </c>
      <c r="E5" s="13" t="n">
        <f aca="false">IF(OR(C5="",D5=""),"",C5*D5)</f>
        <v>145.602</v>
      </c>
      <c r="F5" s="9" t="s">
        <v>184</v>
      </c>
      <c r="G5" s="9" t="s">
        <v>222</v>
      </c>
    </row>
    <row r="6" customFormat="false" ht="15" hidden="false" customHeight="false" outlineLevel="0" collapsed="false">
      <c r="A6" s="9" t="s">
        <v>225</v>
      </c>
      <c r="B6" s="9" t="s">
        <v>226</v>
      </c>
      <c r="C6" s="21" t="n">
        <v>142.59</v>
      </c>
      <c r="D6" s="22" t="n">
        <f aca="false">Inputs!$B$17</f>
        <v>0.9</v>
      </c>
      <c r="E6" s="13" t="n">
        <f aca="false">IF(OR(C6="",D6=""),"",C6*D6)</f>
        <v>128.331</v>
      </c>
      <c r="F6" s="9" t="s">
        <v>186</v>
      </c>
      <c r="G6" s="9" t="s">
        <v>222</v>
      </c>
    </row>
    <row r="7" customFormat="false" ht="15" hidden="false" customHeight="false" outlineLevel="0" collapsed="false">
      <c r="A7" s="9" t="s">
        <v>227</v>
      </c>
      <c r="B7" s="9" t="s">
        <v>228</v>
      </c>
      <c r="C7" s="21" t="n">
        <v>61.49</v>
      </c>
      <c r="D7" s="22" t="n">
        <f aca="false">Inputs!$B$17</f>
        <v>0.9</v>
      </c>
      <c r="E7" s="13" t="n">
        <f aca="false">IF(OR(C7="",D7=""),"",C7*D7)</f>
        <v>55.341</v>
      </c>
      <c r="F7" s="9" t="s">
        <v>187</v>
      </c>
      <c r="G7" s="9" t="s">
        <v>222</v>
      </c>
    </row>
    <row r="8" customFormat="false" ht="15" hidden="false" customHeight="false" outlineLevel="0" collapsed="false">
      <c r="A8" s="9" t="s">
        <v>229</v>
      </c>
      <c r="B8" s="9" t="s">
        <v>228</v>
      </c>
      <c r="C8" s="21" t="n">
        <v>133.95</v>
      </c>
      <c r="D8" s="22" t="n">
        <f aca="false">Inputs!$B$17</f>
        <v>0.9</v>
      </c>
      <c r="E8" s="13" t="n">
        <f aca="false">IF(OR(C8="",D8=""),"",C8*D8)</f>
        <v>120.555</v>
      </c>
      <c r="F8" s="9" t="s">
        <v>230</v>
      </c>
      <c r="G8" s="9" t="s">
        <v>222</v>
      </c>
    </row>
    <row r="9" customFormat="false" ht="15" hidden="false" customHeight="false" outlineLevel="0" collapsed="false">
      <c r="A9" s="9" t="s">
        <v>231</v>
      </c>
      <c r="B9" s="9" t="s">
        <v>232</v>
      </c>
      <c r="C9" s="21" t="n">
        <v>167.31</v>
      </c>
      <c r="D9" s="22" t="n">
        <f aca="false">Inputs!$B$17</f>
        <v>0.9</v>
      </c>
      <c r="E9" s="13" t="n">
        <f aca="false">IF(OR(C9="",D9=""),"",C9*D9)</f>
        <v>150.579</v>
      </c>
      <c r="F9" s="9" t="s">
        <v>233</v>
      </c>
      <c r="G9" s="9" t="s">
        <v>222</v>
      </c>
    </row>
    <row r="10" customFormat="false" ht="15" hidden="false" customHeight="false" outlineLevel="0" collapsed="false">
      <c r="A10" s="9" t="s">
        <v>234</v>
      </c>
      <c r="B10" s="9" t="s">
        <v>235</v>
      </c>
      <c r="C10" s="21"/>
      <c r="D10" s="22" t="n">
        <f aca="false">Inputs!$B$17</f>
        <v>0.9</v>
      </c>
      <c r="E10" s="13" t="str">
        <f aca="false">IF(OR(C10="",D10=""),"",C10*D10)</f>
        <v/>
      </c>
      <c r="F10" s="9" t="s">
        <v>185</v>
      </c>
      <c r="G10" s="9" t="s">
        <v>236</v>
      </c>
    </row>
    <row r="11" customFormat="false" ht="15" hidden="false" customHeight="false" outlineLevel="0" collapsed="false">
      <c r="A11" s="9" t="s">
        <v>237</v>
      </c>
      <c r="B11" s="9" t="s">
        <v>238</v>
      </c>
      <c r="C11" s="21" t="n">
        <v>62.97</v>
      </c>
      <c r="D11" s="22" t="n">
        <f aca="false">Inputs!$B$17</f>
        <v>0.9</v>
      </c>
      <c r="E11" s="13" t="n">
        <f aca="false">IF(OR(C11="",D11=""),"",C11*D11)</f>
        <v>56.673</v>
      </c>
      <c r="F11" s="9" t="s">
        <v>189</v>
      </c>
      <c r="G11" s="9" t="s">
        <v>222</v>
      </c>
    </row>
    <row r="12" customFormat="false" ht="15" hidden="false" customHeight="false" outlineLevel="0" collapsed="false">
      <c r="A12" s="9" t="s">
        <v>239</v>
      </c>
      <c r="B12" s="9" t="s">
        <v>240</v>
      </c>
      <c r="C12" s="21" t="n">
        <v>159.64</v>
      </c>
      <c r="D12" s="22" t="n">
        <f aca="false">Inputs!$B$17</f>
        <v>0.9</v>
      </c>
      <c r="E12" s="13" t="n">
        <f aca="false">IF(OR(C12="",D12=""),"",C12*D12)</f>
        <v>143.676</v>
      </c>
      <c r="F12" s="9" t="s">
        <v>190</v>
      </c>
      <c r="G12" s="9" t="s">
        <v>222</v>
      </c>
    </row>
    <row r="13" customFormat="false" ht="15" hidden="false" customHeight="false" outlineLevel="0" collapsed="false">
      <c r="A13" s="9" t="s">
        <v>241</v>
      </c>
      <c r="B13" s="9" t="s">
        <v>242</v>
      </c>
      <c r="C13" s="21"/>
      <c r="D13" s="22" t="n">
        <f aca="false">Inputs!$B$17</f>
        <v>0.9</v>
      </c>
      <c r="E13" s="13" t="str">
        <f aca="false">IF(OR(C13="",D13=""),"",C13*D13)</f>
        <v/>
      </c>
      <c r="F13" s="9" t="s">
        <v>191</v>
      </c>
      <c r="G13" s="9" t="s">
        <v>236</v>
      </c>
    </row>
    <row r="14" customFormat="false" ht="15" hidden="false" customHeight="false" outlineLevel="0" collapsed="false">
      <c r="A14" s="9" t="s">
        <v>243</v>
      </c>
      <c r="B14" s="9" t="s">
        <v>242</v>
      </c>
      <c r="C14" s="21"/>
      <c r="D14" s="22" t="n">
        <f aca="false">Inputs!$B$17</f>
        <v>0.9</v>
      </c>
      <c r="E14" s="13" t="str">
        <f aca="false">IF(OR(C14="",D14=""),"",C14*D14)</f>
        <v/>
      </c>
      <c r="F14" s="9" t="s">
        <v>244</v>
      </c>
      <c r="G14" s="9" t="s">
        <v>236</v>
      </c>
    </row>
    <row r="15" customFormat="false" ht="15" hidden="false" customHeight="false" outlineLevel="0" collapsed="false">
      <c r="A15" s="9" t="s">
        <v>245</v>
      </c>
      <c r="B15" s="9" t="s">
        <v>246</v>
      </c>
      <c r="C15" s="21" t="n">
        <v>42.55</v>
      </c>
      <c r="D15" s="22" t="n">
        <f aca="false">Inputs!$B$17</f>
        <v>0.9</v>
      </c>
      <c r="E15" s="13" t="n">
        <f aca="false">IF(OR(C15="",D15=""),"",C15*D15)</f>
        <v>38.295</v>
      </c>
      <c r="F15" s="9" t="s">
        <v>210</v>
      </c>
      <c r="G15" s="9" t="s">
        <v>222</v>
      </c>
    </row>
    <row r="16" customFormat="false" ht="15" hidden="false" customHeight="false" outlineLevel="0" collapsed="false">
      <c r="A16" s="9" t="s">
        <v>247</v>
      </c>
      <c r="B16" s="9" t="s">
        <v>238</v>
      </c>
      <c r="C16" s="21" t="n">
        <v>69.94</v>
      </c>
      <c r="D16" s="22" t="n">
        <f aca="false">Inputs!$B$17</f>
        <v>0.9</v>
      </c>
      <c r="E16" s="13" t="n">
        <f aca="false">IF(OR(C16="",D16=""),"",C16*D16)</f>
        <v>62.946</v>
      </c>
      <c r="F16" s="9" t="s">
        <v>248</v>
      </c>
      <c r="G16" s="9" t="s">
        <v>222</v>
      </c>
    </row>
    <row r="17" customFormat="false" ht="15" hidden="false" customHeight="false" outlineLevel="0" collapsed="false">
      <c r="A17" s="9" t="s">
        <v>249</v>
      </c>
      <c r="B17" s="9" t="s">
        <v>240</v>
      </c>
      <c r="C17" s="21" t="n">
        <v>110.39</v>
      </c>
      <c r="D17" s="22" t="n">
        <f aca="false">Inputs!$B$17</f>
        <v>0.9</v>
      </c>
      <c r="E17" s="13" t="n">
        <f aca="false">IF(OR(C17="",D17=""),"",C17*D17)</f>
        <v>99.351</v>
      </c>
      <c r="F17" s="9" t="s">
        <v>250</v>
      </c>
      <c r="G17" s="9" t="s">
        <v>222</v>
      </c>
    </row>
    <row r="18" customFormat="false" ht="15" hidden="false" customHeight="false" outlineLevel="0" collapsed="false">
      <c r="A18" s="9" t="s">
        <v>251</v>
      </c>
      <c r="B18" s="9" t="s">
        <v>246</v>
      </c>
      <c r="C18" s="21" t="n">
        <v>165.47</v>
      </c>
      <c r="D18" s="22" t="n">
        <f aca="false">Inputs!$B$17</f>
        <v>0.9</v>
      </c>
      <c r="E18" s="13" t="n">
        <f aca="false">IF(OR(C18="",D18=""),"",C18*D18)</f>
        <v>148.923</v>
      </c>
      <c r="F18" s="9" t="s">
        <v>252</v>
      </c>
      <c r="G18" s="9" t="s">
        <v>222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H203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3" topLeftCell="A4" activePane="bottomLeft" state="frozen"/>
      <selection pane="topLeft" activeCell="N1" activeCellId="0" sqref="N1"/>
      <selection pane="bottomLeft" activeCell="S17" activeCellId="0" sqref="S17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0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7" min="6" style="0" width="1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14"/>
    <col collapsed="false" customWidth="true" hidden="false" outlineLevel="0" max="15" min="14" style="0" width="12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1"/>
    <col collapsed="false" customWidth="true" hidden="false" outlineLevel="0" max="20" min="20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4" min="24" style="0" width="12"/>
    <col collapsed="false" customWidth="true" hidden="false" outlineLevel="0" max="30" min="25" style="0" width="11"/>
    <col collapsed="false" customWidth="true" hidden="false" outlineLevel="0" max="31" min="31" style="0" width="10"/>
    <col collapsed="false" customWidth="true" hidden="false" outlineLevel="0" max="32" min="32" style="0" width="42"/>
    <col collapsed="false" customWidth="true" hidden="true" outlineLevel="0" max="42" min="33" style="0" width="13"/>
    <col collapsed="false" customWidth="true" hidden="false" outlineLevel="0" max="43" min="43" style="0" width="15"/>
    <col collapsed="false" customWidth="true" hidden="false" outlineLevel="0" max="44" min="44" style="0" width="13"/>
    <col collapsed="false" customWidth="true" hidden="false" outlineLevel="0" max="45" min="45" style="0" width="14"/>
    <col collapsed="false" customWidth="true" hidden="false" outlineLevel="0" max="46" min="46" style="0" width="19"/>
    <col collapsed="false" customWidth="true" hidden="false" outlineLevel="0" max="47" min="47" style="0" width="14"/>
    <col collapsed="false" customWidth="true" hidden="false" outlineLevel="0" max="48" min="48" style="0" width="12"/>
    <col collapsed="false" customWidth="true" hidden="false" outlineLevel="0" max="49" min="49" style="0" width="18"/>
    <col collapsed="false" customWidth="true" hidden="false" outlineLevel="0" max="50" min="50" style="0" width="17"/>
    <col collapsed="false" customWidth="true" hidden="false" outlineLevel="0" max="51" min="51" style="0" width="19"/>
    <col collapsed="false" customWidth="true" hidden="false" outlineLevel="0" max="52" min="52" style="0" width="14"/>
    <col collapsed="false" customWidth="true" hidden="false" outlineLevel="0" max="53" min="53" style="0" width="11.4"/>
    <col collapsed="false" customWidth="true" hidden="true" outlineLevel="0" max="85" min="54" style="0" width="13"/>
    <col collapsed="false" customWidth="true" hidden="true" outlineLevel="0" max="86" min="86" style="0" width="11.12"/>
  </cols>
  <sheetData>
    <row r="1" customFormat="false" ht="15" hidden="false" customHeight="false" outlineLevel="0" collapsed="false">
      <c r="A1" s="1" t="s">
        <v>253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customFormat="false" ht="15" hidden="false" customHeight="false" outlineLevel="0" collapsed="false">
      <c r="A2" s="0" t="s">
        <v>99</v>
      </c>
      <c r="B2" s="16" t="str">
        <f aca="false">IF(COUNTIF(AE4:AE203,"CHECK")&gt;0,"CHECK","OK")</f>
        <v>CHECK</v>
      </c>
      <c r="D2" s="0" t="s">
        <v>100</v>
      </c>
      <c r="E2" s="17" t="n">
        <f aca="false">COUNTIF(AE4:AE203,"CHECK")</f>
        <v>5</v>
      </c>
    </row>
    <row r="3" customFormat="false" ht="39.55" hidden="false" customHeight="false" outlineLevel="0" collapsed="false">
      <c r="A3" s="18" t="s">
        <v>101</v>
      </c>
      <c r="B3" s="18" t="s">
        <v>254</v>
      </c>
      <c r="C3" s="18" t="s">
        <v>255</v>
      </c>
      <c r="D3" s="18" t="s">
        <v>93</v>
      </c>
      <c r="E3" s="18" t="s">
        <v>102</v>
      </c>
      <c r="F3" s="18" t="s">
        <v>256</v>
      </c>
      <c r="G3" s="18" t="s">
        <v>104</v>
      </c>
      <c r="H3" s="18" t="s">
        <v>105</v>
      </c>
      <c r="I3" s="18" t="s">
        <v>106</v>
      </c>
      <c r="J3" s="18" t="s">
        <v>107</v>
      </c>
      <c r="K3" s="18" t="s">
        <v>108</v>
      </c>
      <c r="L3" s="18" t="s">
        <v>109</v>
      </c>
      <c r="M3" s="18" t="s">
        <v>110</v>
      </c>
      <c r="N3" s="18" t="s">
        <v>111</v>
      </c>
      <c r="O3" s="18" t="s">
        <v>112</v>
      </c>
      <c r="P3" s="18" t="s">
        <v>113</v>
      </c>
      <c r="Q3" s="18" t="s">
        <v>114</v>
      </c>
      <c r="R3" s="18" t="s">
        <v>115</v>
      </c>
      <c r="S3" s="18" t="s">
        <v>116</v>
      </c>
      <c r="T3" s="18" t="s">
        <v>117</v>
      </c>
      <c r="U3" s="18" t="s">
        <v>118</v>
      </c>
      <c r="V3" s="18" t="s">
        <v>119</v>
      </c>
      <c r="W3" s="18" t="s">
        <v>120</v>
      </c>
      <c r="X3" s="18" t="s">
        <v>121</v>
      </c>
      <c r="Y3" s="18" t="s">
        <v>122</v>
      </c>
      <c r="Z3" s="18" t="s">
        <v>123</v>
      </c>
      <c r="AA3" s="18" t="s">
        <v>124</v>
      </c>
      <c r="AB3" s="18" t="s">
        <v>125</v>
      </c>
      <c r="AC3" s="18" t="s">
        <v>126</v>
      </c>
      <c r="AD3" s="18" t="s">
        <v>127</v>
      </c>
      <c r="AE3" s="18" t="s">
        <v>128</v>
      </c>
      <c r="AF3" s="18" t="s">
        <v>97</v>
      </c>
      <c r="AG3" s="8" t="s">
        <v>129</v>
      </c>
      <c r="AH3" s="8" t="s">
        <v>130</v>
      </c>
      <c r="AI3" s="8" t="s">
        <v>131</v>
      </c>
      <c r="AJ3" s="8" t="s">
        <v>132</v>
      </c>
      <c r="AK3" s="8" t="s">
        <v>133</v>
      </c>
      <c r="AL3" s="8" t="s">
        <v>134</v>
      </c>
      <c r="AM3" s="8" t="s">
        <v>135</v>
      </c>
      <c r="AN3" s="8" t="s">
        <v>136</v>
      </c>
      <c r="AO3" s="8" t="s">
        <v>137</v>
      </c>
      <c r="AP3" s="8" t="s">
        <v>138</v>
      </c>
      <c r="AQ3" s="18" t="s">
        <v>139</v>
      </c>
      <c r="AR3" s="18" t="s">
        <v>140</v>
      </c>
      <c r="AS3" s="18" t="s">
        <v>141</v>
      </c>
      <c r="AT3" s="18" t="s">
        <v>142</v>
      </c>
      <c r="AU3" s="18" t="s">
        <v>143</v>
      </c>
      <c r="AV3" s="18" t="s">
        <v>144</v>
      </c>
      <c r="AW3" s="18" t="s">
        <v>145</v>
      </c>
      <c r="AX3" s="18" t="s">
        <v>146</v>
      </c>
      <c r="AY3" s="18" t="s">
        <v>147</v>
      </c>
      <c r="AZ3" s="18" t="s">
        <v>148</v>
      </c>
      <c r="BA3" s="18" t="s">
        <v>149</v>
      </c>
      <c r="BB3" s="8" t="s">
        <v>150</v>
      </c>
      <c r="BC3" s="8" t="s">
        <v>151</v>
      </c>
      <c r="BD3" s="8" t="s">
        <v>152</v>
      </c>
      <c r="BE3" s="8" t="s">
        <v>153</v>
      </c>
      <c r="BF3" s="8" t="s">
        <v>154</v>
      </c>
      <c r="BG3" s="8" t="s">
        <v>155</v>
      </c>
      <c r="BH3" s="8" t="s">
        <v>156</v>
      </c>
      <c r="BI3" s="8" t="s">
        <v>157</v>
      </c>
      <c r="BJ3" s="8" t="s">
        <v>158</v>
      </c>
      <c r="BK3" s="8" t="s">
        <v>159</v>
      </c>
      <c r="BL3" s="8" t="s">
        <v>160</v>
      </c>
      <c r="BM3" s="8" t="s">
        <v>161</v>
      </c>
      <c r="BN3" s="8" t="s">
        <v>162</v>
      </c>
      <c r="BO3" s="8" t="s">
        <v>163</v>
      </c>
      <c r="BP3" s="8" t="s">
        <v>164</v>
      </c>
      <c r="BQ3" s="8" t="s">
        <v>165</v>
      </c>
      <c r="BR3" s="8" t="s">
        <v>166</v>
      </c>
      <c r="BS3" s="8" t="s">
        <v>167</v>
      </c>
      <c r="BT3" s="8" t="s">
        <v>168</v>
      </c>
      <c r="BU3" s="8" t="s">
        <v>169</v>
      </c>
      <c r="BV3" s="8" t="s">
        <v>170</v>
      </c>
      <c r="BW3" s="8" t="s">
        <v>171</v>
      </c>
      <c r="BX3" s="8" t="s">
        <v>172</v>
      </c>
      <c r="BY3" s="8" t="s">
        <v>173</v>
      </c>
      <c r="BZ3" s="8" t="s">
        <v>174</v>
      </c>
      <c r="CA3" s="8" t="s">
        <v>175</v>
      </c>
      <c r="CB3" s="8" t="s">
        <v>176</v>
      </c>
      <c r="CC3" s="8" t="s">
        <v>177</v>
      </c>
      <c r="CD3" s="8" t="s">
        <v>178</v>
      </c>
      <c r="CE3" s="8" t="s">
        <v>179</v>
      </c>
      <c r="CF3" s="8" t="s">
        <v>180</v>
      </c>
      <c r="CG3" s="8" t="s">
        <v>181</v>
      </c>
      <c r="CH3" s="8" t="s">
        <v>182</v>
      </c>
    </row>
    <row r="4" customFormat="false" ht="15" hidden="false" customHeight="false" outlineLevel="0" collapsed="false">
      <c r="A4" s="9" t="s">
        <v>221</v>
      </c>
      <c r="B4" s="9" t="s">
        <v>183</v>
      </c>
      <c r="C4" s="9" t="s">
        <v>184</v>
      </c>
      <c r="D4" s="9" t="s">
        <v>224</v>
      </c>
      <c r="E4" s="23" t="n">
        <v>7</v>
      </c>
      <c r="F4" s="14"/>
      <c r="G4" s="14" t="n">
        <f aca="false">SUMIFS(CB_plan!$C:$C,CB_plan!$B:$B,$A4)</f>
        <v>156.08</v>
      </c>
      <c r="H4" s="14" t="n">
        <f aca="false">IF(F4="",G4,F4)</f>
        <v>156.08</v>
      </c>
      <c r="I4" s="9"/>
      <c r="J4" s="14"/>
      <c r="K4" s="14" t="n">
        <f aca="false">IF(A4="","",Inputs!$B$13/((IF(AV4="",Inputs!$B$18,AV4)+Inputs!$B$14)^Inputs!$B$15))</f>
        <v>137.555325571793</v>
      </c>
      <c r="L4" s="14" t="n">
        <f aca="false">IF(A4="","",0.000000278*IF(I4="",Inputs!$B$17,I4)*H4*K4)</f>
        <v>0.00537170273085443</v>
      </c>
      <c r="M4" s="14" t="n">
        <f aca="false">IF(A4="","",SUMIFS($N$4:$N$203,$D$4:$D$203,$A4))</f>
        <v>0</v>
      </c>
      <c r="N4" s="14" t="n">
        <f aca="false">IF(A4="","",(L4+M4)*Inputs!$B$16)</f>
        <v>0.00590887300393987</v>
      </c>
      <c r="O4" s="14"/>
      <c r="P4" s="24" t="n">
        <f aca="false">IF(A4="","",IF(O4="",Inputs!$B$7,O4))</f>
        <v>0.01</v>
      </c>
      <c r="Q4" s="9" t="n">
        <f aca="false">IF(A4="","",IF(N4/Inputs!$B$10&lt;=AG4,Inputs!$F$5,IF(N4/Inputs!$B$10&gt;AP4,"OVERSIZE",INDEX(Inputs!$F$5:$F$14,MATCH(N4/Inputs!$B$10,AG4:AP4,1)+1))))</f>
        <v>200</v>
      </c>
      <c r="R4" s="9"/>
      <c r="S4" s="25" t="n">
        <f aca="false">IF(A4="","",IF(R4="",Q4,R4))</f>
        <v>200</v>
      </c>
      <c r="T4" s="14" t="n">
        <f aca="false">IF(OR(S4="",S4="OVERSIZE"),"",S4/1000)</f>
        <v>0.2</v>
      </c>
      <c r="U4" s="14" t="n">
        <f aca="false">IF(T4="","",(1/Inputs!$B$9)*(PI()*T4^2/4)*((T4/4)^(2/3))*SQRT(P4))</f>
        <v>0.0327984401656511</v>
      </c>
      <c r="V4" s="14" t="n">
        <f aca="false">IF(OR(U4="",N4=""),"",N4/(U4*Inputs!$B$10))</f>
        <v>0.225196418415657</v>
      </c>
      <c r="W4" s="14" t="n">
        <f aca="false">IF(OR(T4="",N4=""),"",4*N4/(PI()*T4^2))</f>
        <v>0.188085269335857</v>
      </c>
      <c r="X4" s="14"/>
      <c r="Y4" s="14" t="n">
        <f aca="false">IF(A4="","",IF(A4=Inputs!$B$6,Inputs!$B$22,IF(D4="","",IFERROR(INDEX($Z$4:$Z$203,MATCH(D4,$A$4:$A$203,0))+IF(X4="",Inputs!$B$20,X4),""))))</f>
        <v>101.6892</v>
      </c>
      <c r="Z4" s="14" t="n">
        <f aca="false">IF(OR(Y4="",P4="",E4=""),"",Y4+P4*E4)</f>
        <v>101.7592</v>
      </c>
      <c r="AA4" s="14" t="n">
        <f aca="false">IF(C4="","",IFERROR(INDEX(Noeuds_plan!$C$4:$C$200,MATCH(C4,Noeuds_plan!$A$4:$A$200,0)),""))</f>
        <v>104</v>
      </c>
      <c r="AB4" s="14" t="n">
        <f aca="false">IF(B4="","",IFERROR(INDEX(Noeuds_plan!$C$4:$C$200,MATCH(B4,Noeuds_plan!$A$4:$A$200,0)),""))</f>
        <v>104</v>
      </c>
      <c r="AC4" s="14" t="n">
        <f aca="false">IF(OR(AA4="",Y4=""),"",AA4-Y4)</f>
        <v>2.3108</v>
      </c>
      <c r="AD4" s="14" t="n">
        <f aca="false">IF(OR(AB4="",Z4=""),"",AB4-Z4)</f>
        <v>2.24080000000001</v>
      </c>
      <c r="AE4" s="19" t="str">
        <f aca="false">IF(A4="","",IF(OR(V4&gt;1,AND(AY4&lt;&gt;"",AY4&lt;Inputs!$B$11),AND(AY4&lt;&gt;"",AY4&gt;Inputs!$B$12),AC4&lt;Inputs!$B$19,AD4&lt;Inputs!$B$19,P4&lt;Inputs!$B$7,P4&gt;Inputs!$B$8),"CHECK","OK"))</f>
        <v>OK</v>
      </c>
      <c r="AF4" s="9" t="s">
        <v>257</v>
      </c>
      <c r="AG4" s="9" t="n">
        <f aca="false">IF(A4="","",(1/Inputs!$B$9)*(PI()*(Inputs!$F$5/1000)^2/4)*((Inputs!$F$5/1000/4)^(2/3))*SQRT(P4))</f>
        <v>0.0327984401656511</v>
      </c>
      <c r="AH4" s="9" t="n">
        <f aca="false">IF(A4="","",(1/Inputs!$B$9)*(PI()*(Inputs!$F$6/1000)^2/4)*((Inputs!$F$6/1000/4)^(2/3))*SQRT(P4))</f>
        <v>0.0594675287628136</v>
      </c>
      <c r="AI4" s="9" t="n">
        <f aca="false">IF(A4="","",(1/Inputs!$B$9)*(PI()*(Inputs!$F$7/1000)^2/4)*((Inputs!$F$7/1000/4)^(2/3))*SQRT(P4))</f>
        <v>0.0967007585335561</v>
      </c>
      <c r="AJ4" s="9" t="n">
        <f aca="false">IF(A4="","",(1/Inputs!$B$9)*(PI()*(Inputs!$F$8/1000)^2/4)*((Inputs!$F$8/1000/4)^(2/3))*SQRT(P4))</f>
        <v>0.175330141020016</v>
      </c>
      <c r="AK4" s="9" t="n">
        <f aca="false">IF(A4="","",(1/Inputs!$B$9)*(PI()*(Inputs!$F$9/1000)^2/4)*((Inputs!$F$9/1000/4)^(2/3))*SQRT(P4))</f>
        <v>0.285106140832826</v>
      </c>
      <c r="AL4" s="9" t="n">
        <f aca="false">IF(A4="","",(1/Inputs!$B$9)*(PI()*(Inputs!$F$10/1000)^2/4)*((Inputs!$F$10/1000/4)^(2/3))*SQRT(P4))</f>
        <v>0.430062270986421</v>
      </c>
      <c r="AM4" s="9" t="n">
        <f aca="false">IF(A4="","",(1/Inputs!$B$9)*(PI()*(Inputs!$F$11/1000)^2/4)*((Inputs!$F$11/1000/4)^(2/3))*SQRT(P4))</f>
        <v>0.614011543289159</v>
      </c>
      <c r="AN4" s="9" t="n">
        <f aca="false">IF(A4="","",(1/Inputs!$B$9)*(PI()*(Inputs!$F$12/1000)^2/4)*((Inputs!$F$12/1000/4)^(2/3))*SQRT(P4))</f>
        <v>0.840588148151706</v>
      </c>
      <c r="AO4" s="9" t="n">
        <f aca="false">IF(A4="","",(1/Inputs!$B$9)*(PI()*(Inputs!$F$13/1000)^2/4)*((Inputs!$F$13/1000/4)^(2/3))*SQRT(P4))</f>
        <v>1.11327700118762</v>
      </c>
      <c r="AP4" s="9" t="n">
        <f aca="false">IF(A4="","",(1/Inputs!$B$9)*(PI()*(Inputs!$F$14/1000)^2/4)*((Inputs!$F$14/1000/4)^(2/3))*SQRT(P4))</f>
        <v>1.81031115152249</v>
      </c>
      <c r="AQ4" s="9" t="n">
        <f aca="false">IF(A4="","",COUNTIF($D$4:$D$203,$A4))</f>
        <v>0</v>
      </c>
      <c r="AR4" s="9" t="str">
        <f aca="false">IF(A4="","",IF(AQ4=0,"START","CONTINUOUS"))</f>
        <v>START</v>
      </c>
      <c r="AS4" s="13" t="n">
        <f aca="false">IF(A4="","",IF(J4="",Inputs!$B$18,J4))</f>
        <v>5</v>
      </c>
      <c r="AT4" s="13" t="str">
        <f aca="false">IF(A4="","",IFERROR(maxifs($AV$4:$AV$203,$D$4:$D$203,$A4),""))</f>
        <v/>
      </c>
      <c r="AU4" s="13" t="n">
        <f aca="false">IF(A4="","",IF(OR(E4="",Inputs!$B$23=""),"",E4/(Inputs!$B$23*60)))</f>
        <v>0.116666666666667</v>
      </c>
      <c r="AV4" s="13" t="n">
        <f aca="false">IF(A4="","",IF(AQ4=0,AS4+AU4,IF(AT4="",AS4+AU4,AT4+AU4)))</f>
        <v>5.11666666666667</v>
      </c>
      <c r="AW4" s="13" t="n">
        <f aca="false">IF(A4="","",W4)</f>
        <v>0.188085269335857</v>
      </c>
      <c r="AX4" s="13" t="n">
        <f aca="false">IF(OR(T4="",P4=""),"",(1/Inputs!$B$9)*((T4/4)^(2/3))*SQRT(P4))</f>
        <v>1.04400677561343</v>
      </c>
      <c r="AY4" s="13" t="n">
        <f aca="false">IF(A4="","",IF(AND(AW4="",AX4="",BA4=""),"",IF(OR(UPPER(TRIM(Inputs!$B$24))="MANNING",UPPER(TRIM(Inputs!$B$24))="M"),AX4,IF(OR(UPPER(TRIM(Inputs!$B$24))="PARTIAL",UPPER(TRIM(Inputs!$B$24))="P"),BA4,IF(OR(UPPER(TRIM(Inputs!$B$24))="MAX",UPPER(TRIM(Inputs!$B$24))="X"),MAX(IF(AW4="",0,AW4),IF(AX4="",0,AX4),IF(BA4="",0,BA4)),AW4)))))</f>
        <v>1.04400677561343</v>
      </c>
      <c r="AZ4" s="13" t="n">
        <f aca="false">IF(BB4="","",CH4)</f>
        <v>0.05815390625</v>
      </c>
      <c r="BA4" s="13" t="n">
        <f aca="false">IF(OR(BB4="",AZ4="",T4="",T4&lt;=0,AZ4&lt;=0),"",BB4/((T4^2/8)*(2*ACOS(1-2*AZ4/T4)-SIN(2*ACOS(1-2*AZ4/T4)))))</f>
        <v>0.778522566259811</v>
      </c>
      <c r="BB4" s="9" t="n">
        <f aca="false">IF(OR(N4="",BC4=""),"",MIN(N4,BC4))</f>
        <v>0.00590887300393987</v>
      </c>
      <c r="BC4" s="9" t="n">
        <f aca="false">IF(OR(N4="",T4="",P4=""),"",IF(OR(T4="",P4="",(0.94*T4)="",T4&lt;=0,(0.94*T4)&lt;=0),"",(1/Inputs!$B$9)*((T4^2/8)*((2*ACOS(1-2*(0.94*T4)/T4))-SIN((2*ACOS(1-2*(0.94*T4)/T4)))))*((((T4^2/8)*((2*ACOS(1-2*(0.94*T4)/T4))-SIN((2*ACOS(1-2*(0.94*T4)/T4)))))/((T4/2)*((2*ACOS(1-2*(0.94*T4)/T4)))))^(2/3))*SQRT(P4)))</f>
        <v>0.0352806077891244</v>
      </c>
      <c r="BD4" s="9" t="n">
        <f aca="false">IF(BB4="","",0.001*T4)</f>
        <v>0.0002</v>
      </c>
      <c r="BE4" s="9" t="n">
        <f aca="false">IF(BB4="","",0.94*T4)</f>
        <v>0.188</v>
      </c>
      <c r="BF4" s="9" t="n">
        <f aca="false">IF(BB4="","",(BD4+BE4)/2)</f>
        <v>0.0941</v>
      </c>
      <c r="BG4" s="9" t="n">
        <f aca="false">IF(OR(T4="",P4="",BF4="",T4&lt;=0,BF4&lt;=0),"",(1/Inputs!$B$9)*((T4^2/8)*((2*ACOS(1-2*BF4/T4))-SIN((2*ACOS(1-2*BF4/T4)))))*((((T4^2/8)*((2*ACOS(1-2*BF4/T4))-SIN((2*ACOS(1-2*BF4/T4)))))/((T4/2)*((2*ACOS(1-2*BF4/T4)))))^(2/3))*SQRT(P4))</f>
        <v>0.0147714469807598</v>
      </c>
      <c r="BH4" s="9" t="n">
        <f aca="false">IF(BB4="","",IF(BG4&lt;BB4,BF4,BD4))</f>
        <v>0.0002</v>
      </c>
      <c r="BI4" s="9" t="n">
        <f aca="false">IF(BB4="","",IF(BG4&lt;BB4,BE4,BF4))</f>
        <v>0.0941</v>
      </c>
      <c r="BJ4" s="9" t="n">
        <f aca="false">IF(BB4="","",(BH4+BI4)/2)</f>
        <v>0.04715</v>
      </c>
      <c r="BK4" s="9" t="n">
        <f aca="false">IF(OR(T4="",P4="",BJ4="",T4&lt;=0,BJ4&lt;=0),"",(1/Inputs!$B$9)*((T4^2/8)*((2*ACOS(1-2*BJ4/T4))-SIN((2*ACOS(1-2*BJ4/T4)))))*((((T4^2/8)*((2*ACOS(1-2*BJ4/T4))-SIN((2*ACOS(1-2*BJ4/T4)))))/((T4/2)*((2*ACOS(1-2*BJ4/T4)))))^(2/3))*SQRT(P4))</f>
        <v>0.00399781890601551</v>
      </c>
      <c r="BL4" s="9" t="n">
        <f aca="false">IF(BB4="","",IF(BK4&lt;BB4,BJ4,BH4))</f>
        <v>0.04715</v>
      </c>
      <c r="BM4" s="9" t="n">
        <f aca="false">IF(BB4="","",IF(BK4&lt;BB4,BI4,BJ4))</f>
        <v>0.0941</v>
      </c>
      <c r="BN4" s="9" t="n">
        <f aca="false">IF(BB4="","",(BL4+BM4)/2)</f>
        <v>0.070625</v>
      </c>
      <c r="BO4" s="9" t="n">
        <f aca="false">IF(OR(T4="",P4="",BN4="",T4&lt;=0,BN4&lt;=0),"",(1/Inputs!$B$9)*((T4^2/8)*((2*ACOS(1-2*BN4/T4))-SIN((2*ACOS(1-2*BN4/T4)))))*((((T4^2/8)*((2*ACOS(1-2*BN4/T4))-SIN((2*ACOS(1-2*BN4/T4)))))/((T4/2)*((2*ACOS(1-2*BN4/T4)))))^(2/3))*SQRT(P4))</f>
        <v>0.00876961165853846</v>
      </c>
      <c r="BP4" s="9" t="n">
        <f aca="false">IF(BB4="","",IF(BO4&lt;BB4,BN4,BL4))</f>
        <v>0.04715</v>
      </c>
      <c r="BQ4" s="9" t="n">
        <f aca="false">IF(BB4="","",IF(BO4&lt;BB4,BM4,BN4))</f>
        <v>0.070625</v>
      </c>
      <c r="BR4" s="9" t="n">
        <f aca="false">IF(BB4="","",(BP4+BQ4)/2)</f>
        <v>0.0588875</v>
      </c>
      <c r="BS4" s="9" t="n">
        <f aca="false">IF(OR(T4="",P4="",BR4="",T4&lt;=0,BR4&lt;=0),"",(1/Inputs!$B$9)*((T4^2/8)*((2*ACOS(1-2*BR4/T4))-SIN((2*ACOS(1-2*BR4/T4)))))*((((T4^2/8)*((2*ACOS(1-2*BR4/T4))-SIN((2*ACOS(1-2*BR4/T4)))))/((T4/2)*((2*ACOS(1-2*BR4/T4)))))^(2/3))*SQRT(P4))</f>
        <v>0.00619408352666648</v>
      </c>
      <c r="BT4" s="9" t="n">
        <f aca="false">IF(BB4="","",IF(BS4&lt;BB4,BR4,BP4))</f>
        <v>0.04715</v>
      </c>
      <c r="BU4" s="9" t="n">
        <f aca="false">IF(BB4="","",IF(BS4&lt;BB4,BQ4,BR4))</f>
        <v>0.0588875</v>
      </c>
      <c r="BV4" s="9" t="n">
        <f aca="false">IF(BB4="","",(BT4+BU4)/2)</f>
        <v>0.05301875</v>
      </c>
      <c r="BW4" s="9" t="n">
        <f aca="false">IF(OR(T4="",P4="",BV4="",T4&lt;=0,BV4&lt;=0),"",(1/Inputs!$B$9)*((T4^2/8)*((2*ACOS(1-2*BV4/T4))-SIN((2*ACOS(1-2*BV4/T4)))))*((((T4^2/8)*((2*ACOS(1-2*BV4/T4))-SIN((2*ACOS(1-2*BV4/T4)))))/((T4/2)*((2*ACOS(1-2*BV4/T4)))))^(2/3))*SQRT(P4))</f>
        <v>0.00504450953229681</v>
      </c>
      <c r="BX4" s="9" t="n">
        <f aca="false">IF(BB4="","",IF(BW4&lt;BB4,BV4,BT4))</f>
        <v>0.05301875</v>
      </c>
      <c r="BY4" s="9" t="n">
        <f aca="false">IF(BB4="","",IF(BW4&lt;BB4,BU4,BV4))</f>
        <v>0.0588875</v>
      </c>
      <c r="BZ4" s="9" t="n">
        <f aca="false">IF(BB4="","",(BX4+BY4)/2)</f>
        <v>0.055953125</v>
      </c>
      <c r="CA4" s="9" t="n">
        <f aca="false">IF(OR(T4="",P4="",BZ4="",T4&lt;=0,BZ4&lt;=0),"",(1/Inputs!$B$9)*((T4^2/8)*((2*ACOS(1-2*BZ4/T4))-SIN((2*ACOS(1-2*BZ4/T4)))))*((((T4^2/8)*((2*ACOS(1-2*BZ4/T4))-SIN((2*ACOS(1-2*BZ4/T4)))))/((T4/2)*((2*ACOS(1-2*BZ4/T4)))))^(2/3))*SQRT(P4))</f>
        <v>0.00560691826284104</v>
      </c>
      <c r="CB4" s="9" t="n">
        <f aca="false">IF(BB4="","",IF(CA4&lt;BB4,BZ4,BX4))</f>
        <v>0.055953125</v>
      </c>
      <c r="CC4" s="9" t="n">
        <f aca="false">IF(BB4="","",IF(CA4&lt;BB4,BY4,BZ4))</f>
        <v>0.0588875</v>
      </c>
      <c r="CD4" s="9" t="n">
        <f aca="false">IF(BB4="","",(CB4+CC4)/2)</f>
        <v>0.0574203125</v>
      </c>
      <c r="CE4" s="9" t="n">
        <f aca="false">IF(OR(T4="",P4="",CD4="",T4&lt;=0,CD4&lt;=0),"",(1/Inputs!$B$9)*((T4^2/8)*((2*ACOS(1-2*CD4/T4))-SIN((2*ACOS(1-2*CD4/T4)))))*((((T4^2/8)*((2*ACOS(1-2*CD4/T4))-SIN((2*ACOS(1-2*CD4/T4)))))/((T4/2)*((2*ACOS(1-2*CD4/T4)))))^(2/3))*SQRT(P4))</f>
        <v>0.00589746861286386</v>
      </c>
      <c r="CF4" s="9" t="n">
        <f aca="false">IF(BB4="","",IF(CE4&lt;BB4,CD4,CB4))</f>
        <v>0.0574203125</v>
      </c>
      <c r="CG4" s="9" t="n">
        <f aca="false">IF(BB4="","",IF(CE4&lt;BB4,CC4,CD4))</f>
        <v>0.0588875</v>
      </c>
      <c r="CH4" s="9" t="n">
        <f aca="false">IF(BB4="","",(CF4+CG4)/2)</f>
        <v>0.05815390625</v>
      </c>
    </row>
    <row r="5" customFormat="false" ht="15" hidden="false" customHeight="false" outlineLevel="0" collapsed="false">
      <c r="A5" s="9" t="s">
        <v>224</v>
      </c>
      <c r="B5" s="9" t="s">
        <v>184</v>
      </c>
      <c r="C5" s="9" t="s">
        <v>186</v>
      </c>
      <c r="D5" s="9" t="s">
        <v>226</v>
      </c>
      <c r="E5" s="23" t="n">
        <v>9.747</v>
      </c>
      <c r="F5" s="14"/>
      <c r="G5" s="14" t="n">
        <f aca="false">SUMIFS(CB_plan!$C:$C,CB_plan!$B:$B,$A5)</f>
        <v>161.78</v>
      </c>
      <c r="H5" s="14" t="n">
        <f aca="false">IF(F5="",G5,F5)</f>
        <v>161.78</v>
      </c>
      <c r="I5" s="9"/>
      <c r="J5" s="14"/>
      <c r="K5" s="14" t="n">
        <f aca="false">IF(A5="","",Inputs!$B$13/((IF(AV5="",Inputs!$B$18,AV5)+Inputs!$B$14)^Inputs!$B$15))</f>
        <v>136.97069992368</v>
      </c>
      <c r="L5" s="14" t="n">
        <f aca="false">IF(A5="","",0.000000278*IF(I5="",Inputs!$B$17,I5)*H5*K5)</f>
        <v>0.00554421178237998</v>
      </c>
      <c r="M5" s="14" t="n">
        <f aca="false">IF(A5="","",SUMIFS($N$4:$N$203,$D$4:$D$203,$A5))</f>
        <v>0.00590887300393987</v>
      </c>
      <c r="N5" s="14" t="n">
        <f aca="false">IF(A5="","",(L5+M5)*Inputs!$B$16)</f>
        <v>0.0125983932649518</v>
      </c>
      <c r="O5" s="14"/>
      <c r="P5" s="24" t="n">
        <f aca="false">IF(A5="","",IF(O5="",Inputs!$B$7,O5))</f>
        <v>0.01</v>
      </c>
      <c r="Q5" s="9" t="n">
        <f aca="false">IF(A5="","",IF(N5/Inputs!$B$10&lt;=AG5,Inputs!$F$5,IF(N5/Inputs!$B$10&gt;AP5,"OVERSIZE",INDEX(Inputs!$F$5:$F$14,MATCH(N5/Inputs!$B$10,AG5:AP5,1)+1))))</f>
        <v>200</v>
      </c>
      <c r="R5" s="9"/>
      <c r="S5" s="25" t="n">
        <f aca="false">IF(A5="","",IF(R5="",Q5,R5))</f>
        <v>200</v>
      </c>
      <c r="T5" s="14" t="n">
        <f aca="false">IF(OR(S5="",S5="OVERSIZE"),"",S5/1000)</f>
        <v>0.2</v>
      </c>
      <c r="U5" s="14" t="n">
        <f aca="false">IF(T5="","",(1/Inputs!$B$9)*(PI()*T5^2/4)*((T5/4)^(2/3))*SQRT(P5))</f>
        <v>0.0327984401656511</v>
      </c>
      <c r="V5" s="14" t="n">
        <f aca="false">IF(OR(U5="",N5=""),"",N5/(U5*Inputs!$B$10))</f>
        <v>0.480144528265775</v>
      </c>
      <c r="W5" s="14" t="n">
        <f aca="false">IF(OR(T5="",N5=""),"",4*N5/(PI()*T5^2))</f>
        <v>0.401019312626545</v>
      </c>
      <c r="X5" s="14"/>
      <c r="Y5" s="14" t="n">
        <f aca="false">IF(A5="","",IF(A5=Inputs!$B$6,Inputs!$B$22,IF(D5="","",IFERROR(INDEX($Z$4:$Z$203,MATCH(D5,$A$4:$A$203,0))+IF(X5="",Inputs!$B$20,X5),""))))</f>
        <v>101.57173</v>
      </c>
      <c r="Z5" s="14" t="n">
        <f aca="false">IF(OR(Y5="",P5="",E5=""),"",Y5+P5*E5)</f>
        <v>101.6692</v>
      </c>
      <c r="AA5" s="14" t="n">
        <f aca="false">IF(C5="","",IFERROR(INDEX(Noeuds_plan!$C$4:$C$200,MATCH(C5,Noeuds_plan!$A$4:$A$200,0)),""))</f>
        <v>103.95</v>
      </c>
      <c r="AB5" s="14" t="n">
        <f aca="false">IF(B5="","",IFERROR(INDEX(Noeuds_plan!$C$4:$C$200,MATCH(B5,Noeuds_plan!$A$4:$A$200,0)),""))</f>
        <v>104</v>
      </c>
      <c r="AC5" s="14" t="n">
        <f aca="false">IF(OR(AA5="",Y5=""),"",AA5-Y5)</f>
        <v>2.37827</v>
      </c>
      <c r="AD5" s="14" t="n">
        <f aca="false">IF(OR(AB5="",Z5=""),"",AB5-Z5)</f>
        <v>2.3308</v>
      </c>
      <c r="AE5" s="19" t="str">
        <f aca="false">IF(A5="","",IF(OR(V5&gt;1,AND(AY5&lt;&gt;"",AY5&lt;Inputs!$B$11),AND(AY5&lt;&gt;"",AY5&gt;Inputs!$B$12),AC5&lt;Inputs!$B$19,AD5&lt;Inputs!$B$19,P5&lt;Inputs!$B$7,P5&gt;Inputs!$B$8),"CHECK","OK"))</f>
        <v>OK</v>
      </c>
      <c r="AF5" s="9" t="s">
        <v>258</v>
      </c>
      <c r="AG5" s="9" t="n">
        <f aca="false">IF(A5="","",(1/Inputs!$B$9)*(PI()*(Inputs!$F$5/1000)^2/4)*((Inputs!$F$5/1000/4)^(2/3))*SQRT(P5))</f>
        <v>0.0327984401656511</v>
      </c>
      <c r="AH5" s="9" t="n">
        <f aca="false">IF(A5="","",(1/Inputs!$B$9)*(PI()*(Inputs!$F$6/1000)^2/4)*((Inputs!$F$6/1000/4)^(2/3))*SQRT(P5))</f>
        <v>0.0594675287628136</v>
      </c>
      <c r="AI5" s="9" t="n">
        <f aca="false">IF(A5="","",(1/Inputs!$B$9)*(PI()*(Inputs!$F$7/1000)^2/4)*((Inputs!$F$7/1000/4)^(2/3))*SQRT(P5))</f>
        <v>0.0967007585335561</v>
      </c>
      <c r="AJ5" s="9" t="n">
        <f aca="false">IF(A5="","",(1/Inputs!$B$9)*(PI()*(Inputs!$F$8/1000)^2/4)*((Inputs!$F$8/1000/4)^(2/3))*SQRT(P5))</f>
        <v>0.175330141020016</v>
      </c>
      <c r="AK5" s="9" t="n">
        <f aca="false">IF(A5="","",(1/Inputs!$B$9)*(PI()*(Inputs!$F$9/1000)^2/4)*((Inputs!$F$9/1000/4)^(2/3))*SQRT(P5))</f>
        <v>0.285106140832826</v>
      </c>
      <c r="AL5" s="9" t="n">
        <f aca="false">IF(A5="","",(1/Inputs!$B$9)*(PI()*(Inputs!$F$10/1000)^2/4)*((Inputs!$F$10/1000/4)^(2/3))*SQRT(P5))</f>
        <v>0.430062270986421</v>
      </c>
      <c r="AM5" s="9" t="n">
        <f aca="false">IF(A5="","",(1/Inputs!$B$9)*(PI()*(Inputs!$F$11/1000)^2/4)*((Inputs!$F$11/1000/4)^(2/3))*SQRT(P5))</f>
        <v>0.614011543289159</v>
      </c>
      <c r="AN5" s="9" t="n">
        <f aca="false">IF(A5="","",(1/Inputs!$B$9)*(PI()*(Inputs!$F$12/1000)^2/4)*((Inputs!$F$12/1000/4)^(2/3))*SQRT(P5))</f>
        <v>0.840588148151706</v>
      </c>
      <c r="AO5" s="9" t="n">
        <f aca="false">IF(A5="","",(1/Inputs!$B$9)*(PI()*(Inputs!$F$13/1000)^2/4)*((Inputs!$F$13/1000/4)^(2/3))*SQRT(P5))</f>
        <v>1.11327700118762</v>
      </c>
      <c r="AP5" s="9" t="n">
        <f aca="false">IF(A5="","",(1/Inputs!$B$9)*(PI()*(Inputs!$F$14/1000)^2/4)*((Inputs!$F$14/1000/4)^(2/3))*SQRT(P5))</f>
        <v>1.81031115152249</v>
      </c>
      <c r="AQ5" s="9" t="n">
        <f aca="false">IF(A5="","",COUNTIF($D$4:$D$203,$A5))</f>
        <v>1</v>
      </c>
      <c r="AR5" s="9" t="str">
        <f aca="false">IF(A5="","",IF(AQ5=0,"START","CONTINUOUS"))</f>
        <v>CONTINUOUS</v>
      </c>
      <c r="AS5" s="13" t="n">
        <f aca="false">IF(A5="","",IF(J5="",Inputs!$B$18,J5))</f>
        <v>5</v>
      </c>
      <c r="AT5" s="13" t="str">
        <f aca="false">IF(A5="","",IFERROR(maxifs($AV$4:$AV$203,$D$4:$D$203,$A5),""))</f>
        <v/>
      </c>
      <c r="AU5" s="13" t="n">
        <f aca="false">IF(A5="","",IF(OR(E5="",Inputs!$B$23=""),"",E5/(Inputs!$B$23*60)))</f>
        <v>0.16245</v>
      </c>
      <c r="AV5" s="13" t="n">
        <f aca="false">IF(A5="","",IF(AQ5=0,AS5+AU5,IF(AT5="",AS5+AU5,AT5+AU5)))</f>
        <v>5.16245</v>
      </c>
      <c r="AW5" s="13" t="n">
        <f aca="false">IF(A5="","",W5)</f>
        <v>0.401019312626545</v>
      </c>
      <c r="AX5" s="13" t="n">
        <f aca="false">IF(OR(T5="",P5=""),"",(1/Inputs!$B$9)*((T5/4)^(2/3))*SQRT(P5))</f>
        <v>1.04400677561343</v>
      </c>
      <c r="AY5" s="13" t="n">
        <f aca="false">IF(A5="","",IF(AND(AW5="",AX5="",BA5=""),"",IF(OR(UPPER(TRIM(Inputs!$B$24))="MANNING",UPPER(TRIM(Inputs!$B$24))="M"),AX5,IF(OR(UPPER(TRIM(Inputs!$B$24))="PARTIAL",UPPER(TRIM(Inputs!$B$24))="P"),BA5,IF(OR(UPPER(TRIM(Inputs!$B$24))="MAX",UPPER(TRIM(Inputs!$B$24))="X"),MAX(IF(AW5="",0,AW5),IF(AX5="",0,AX5),IF(BA5="",0,BA5)),AW5)))))</f>
        <v>1.04400677561343</v>
      </c>
      <c r="AZ5" s="13" t="n">
        <f aca="false">IF(BB5="","",CH5)</f>
        <v>0.08603046875</v>
      </c>
      <c r="BA5" s="13" t="n">
        <f aca="false">IF(OR(BB5="",AZ5="",T5="",T5&lt;=0,AZ5&lt;=0),"",BB5/((T5^2/8)*(2*ACOS(1-2*AZ5/T5)-SIN(2*ACOS(1-2*AZ5/T5)))))</f>
        <v>0.974868581344992</v>
      </c>
      <c r="BB5" s="9" t="n">
        <f aca="false">IF(OR(N5="",BC5=""),"",MIN(N5,BC5))</f>
        <v>0.0125983932649518</v>
      </c>
      <c r="BC5" s="9" t="n">
        <f aca="false">IF(OR(N5="",T5="",P5=""),"",IF(OR(T5="",P5="",(0.94*T5)="",T5&lt;=0,(0.94*T5)&lt;=0),"",(1/Inputs!$B$9)*((T5^2/8)*((2*ACOS(1-2*(0.94*T5)/T5))-SIN((2*ACOS(1-2*(0.94*T5)/T5)))))*((((T5^2/8)*((2*ACOS(1-2*(0.94*T5)/T5))-SIN((2*ACOS(1-2*(0.94*T5)/T5)))))/((T5/2)*((2*ACOS(1-2*(0.94*T5)/T5)))))^(2/3))*SQRT(P5)))</f>
        <v>0.0352806077891244</v>
      </c>
      <c r="BD5" s="9" t="n">
        <f aca="false">IF(BB5="","",0.001*T5)</f>
        <v>0.0002</v>
      </c>
      <c r="BE5" s="9" t="n">
        <f aca="false">IF(BB5="","",0.94*T5)</f>
        <v>0.188</v>
      </c>
      <c r="BF5" s="9" t="n">
        <f aca="false">IF(BB5="","",(BD5+BE5)/2)</f>
        <v>0.0941</v>
      </c>
      <c r="BG5" s="9" t="n">
        <f aca="false">IF(OR(T5="",P5="",BF5="",T5&lt;=0,BF5&lt;=0),"",(1/Inputs!$B$9)*((T5^2/8)*((2*ACOS(1-2*BF5/T5))-SIN((2*ACOS(1-2*BF5/T5)))))*((((T5^2/8)*((2*ACOS(1-2*BF5/T5))-SIN((2*ACOS(1-2*BF5/T5)))))/((T5/2)*((2*ACOS(1-2*BF5/T5)))))^(2/3))*SQRT(P5))</f>
        <v>0.0147714469807598</v>
      </c>
      <c r="BH5" s="9" t="n">
        <f aca="false">IF(BB5="","",IF(BG5&lt;BB5,BF5,BD5))</f>
        <v>0.0002</v>
      </c>
      <c r="BI5" s="9" t="n">
        <f aca="false">IF(BB5="","",IF(BG5&lt;BB5,BE5,BF5))</f>
        <v>0.0941</v>
      </c>
      <c r="BJ5" s="9" t="n">
        <f aca="false">IF(BB5="","",(BH5+BI5)/2)</f>
        <v>0.04715</v>
      </c>
      <c r="BK5" s="9" t="n">
        <f aca="false">IF(OR(T5="",P5="",BJ5="",T5&lt;=0,BJ5&lt;=0),"",(1/Inputs!$B$9)*((T5^2/8)*((2*ACOS(1-2*BJ5/T5))-SIN((2*ACOS(1-2*BJ5/T5)))))*((((T5^2/8)*((2*ACOS(1-2*BJ5/T5))-SIN((2*ACOS(1-2*BJ5/T5)))))/((T5/2)*((2*ACOS(1-2*BJ5/T5)))))^(2/3))*SQRT(P5))</f>
        <v>0.00399781890601551</v>
      </c>
      <c r="BL5" s="9" t="n">
        <f aca="false">IF(BB5="","",IF(BK5&lt;BB5,BJ5,BH5))</f>
        <v>0.04715</v>
      </c>
      <c r="BM5" s="9" t="n">
        <f aca="false">IF(BB5="","",IF(BK5&lt;BB5,BI5,BJ5))</f>
        <v>0.0941</v>
      </c>
      <c r="BN5" s="9" t="n">
        <f aca="false">IF(BB5="","",(BL5+BM5)/2)</f>
        <v>0.070625</v>
      </c>
      <c r="BO5" s="9" t="n">
        <f aca="false">IF(OR(T5="",P5="",BN5="",T5&lt;=0,BN5&lt;=0),"",(1/Inputs!$B$9)*((T5^2/8)*((2*ACOS(1-2*BN5/T5))-SIN((2*ACOS(1-2*BN5/T5)))))*((((T5^2/8)*((2*ACOS(1-2*BN5/T5))-SIN((2*ACOS(1-2*BN5/T5)))))/((T5/2)*((2*ACOS(1-2*BN5/T5)))))^(2/3))*SQRT(P5))</f>
        <v>0.00876961165853846</v>
      </c>
      <c r="BP5" s="9" t="n">
        <f aca="false">IF(BB5="","",IF(BO5&lt;BB5,BN5,BL5))</f>
        <v>0.070625</v>
      </c>
      <c r="BQ5" s="9" t="n">
        <f aca="false">IF(BB5="","",IF(BO5&lt;BB5,BM5,BN5))</f>
        <v>0.0941</v>
      </c>
      <c r="BR5" s="9" t="n">
        <f aca="false">IF(BB5="","",(BP5+BQ5)/2)</f>
        <v>0.0823625</v>
      </c>
      <c r="BS5" s="9" t="n">
        <f aca="false">IF(OR(T5="",P5="",BR5="",T5&lt;=0,BR5&lt;=0),"",(1/Inputs!$B$9)*((T5^2/8)*((2*ACOS(1-2*BR5/T5))-SIN((2*ACOS(1-2*BR5/T5)))))*((((T5^2/8)*((2*ACOS(1-2*BR5/T5))-SIN((2*ACOS(1-2*BR5/T5)))))/((T5/2)*((2*ACOS(1-2*BR5/T5)))))^(2/3))*SQRT(P5))</f>
        <v>0.0116546013566984</v>
      </c>
      <c r="BT5" s="9" t="n">
        <f aca="false">IF(BB5="","",IF(BS5&lt;BB5,BR5,BP5))</f>
        <v>0.0823625</v>
      </c>
      <c r="BU5" s="9" t="n">
        <f aca="false">IF(BB5="","",IF(BS5&lt;BB5,BQ5,BR5))</f>
        <v>0.0941</v>
      </c>
      <c r="BV5" s="9" t="n">
        <f aca="false">IF(BB5="","",(BT5+BU5)/2)</f>
        <v>0.08823125</v>
      </c>
      <c r="BW5" s="9" t="n">
        <f aca="false">IF(OR(T5="",P5="",BV5="",T5&lt;=0,BV5&lt;=0),"",(1/Inputs!$B$9)*((T5^2/8)*((2*ACOS(1-2*BV5/T5))-SIN((2*ACOS(1-2*BV5/T5)))))*((((T5^2/8)*((2*ACOS(1-2*BV5/T5))-SIN((2*ACOS(1-2*BV5/T5)))))/((T5/2)*((2*ACOS(1-2*BV5/T5)))))^(2/3))*SQRT(P5))</f>
        <v>0.0131891841463524</v>
      </c>
      <c r="BX5" s="9" t="n">
        <f aca="false">IF(BB5="","",IF(BW5&lt;BB5,BV5,BT5))</f>
        <v>0.0823625</v>
      </c>
      <c r="BY5" s="9" t="n">
        <f aca="false">IF(BB5="","",IF(BW5&lt;BB5,BU5,BV5))</f>
        <v>0.08823125</v>
      </c>
      <c r="BZ5" s="9" t="n">
        <f aca="false">IF(BB5="","",(BX5+BY5)/2)</f>
        <v>0.085296875</v>
      </c>
      <c r="CA5" s="9" t="n">
        <f aca="false">IF(OR(T5="",P5="",BZ5="",T5&lt;=0,BZ5&lt;=0),"",(1/Inputs!$B$9)*((T5^2/8)*((2*ACOS(1-2*BZ5/T5))-SIN((2*ACOS(1-2*BZ5/T5)))))*((((T5^2/8)*((2*ACOS(1-2*BZ5/T5))-SIN((2*ACOS(1-2*BZ5/T5)))))/((T5/2)*((2*ACOS(1-2*BZ5/T5)))))^(2/3))*SQRT(P5))</f>
        <v>0.0124152718806636</v>
      </c>
      <c r="CB5" s="9" t="n">
        <f aca="false">IF(BB5="","",IF(CA5&lt;BB5,BZ5,BX5))</f>
        <v>0.085296875</v>
      </c>
      <c r="CC5" s="9" t="n">
        <f aca="false">IF(BB5="","",IF(CA5&lt;BB5,BY5,BZ5))</f>
        <v>0.08823125</v>
      </c>
      <c r="CD5" s="9" t="n">
        <f aca="false">IF(BB5="","",(CB5+CC5)/2)</f>
        <v>0.0867640625</v>
      </c>
      <c r="CE5" s="9" t="n">
        <f aca="false">IF(OR(T5="",P5="",CD5="",T5&lt;=0,CD5&lt;=0),"",(1/Inputs!$B$9)*((T5^2/8)*((2*ACOS(1-2*CD5/T5))-SIN((2*ACOS(1-2*CD5/T5)))))*((((T5^2/8)*((2*ACOS(1-2*CD5/T5))-SIN((2*ACOS(1-2*CD5/T5)))))/((T5/2)*((2*ACOS(1-2*CD5/T5)))))^(2/3))*SQRT(P5))</f>
        <v>0.0128006542645481</v>
      </c>
      <c r="CF5" s="9" t="n">
        <f aca="false">IF(BB5="","",IF(CE5&lt;BB5,CD5,CB5))</f>
        <v>0.085296875</v>
      </c>
      <c r="CG5" s="9" t="n">
        <f aca="false">IF(BB5="","",IF(CE5&lt;BB5,CC5,CD5))</f>
        <v>0.0867640625</v>
      </c>
      <c r="CH5" s="9" t="n">
        <f aca="false">IF(BB5="","",(CF5+CG5)/2)</f>
        <v>0.08603046875</v>
      </c>
    </row>
    <row r="6" customFormat="false" ht="15" hidden="false" customHeight="false" outlineLevel="0" collapsed="false">
      <c r="A6" s="9" t="s">
        <v>226</v>
      </c>
      <c r="B6" s="9" t="s">
        <v>186</v>
      </c>
      <c r="C6" s="9" t="s">
        <v>202</v>
      </c>
      <c r="D6" s="9" t="s">
        <v>52</v>
      </c>
      <c r="E6" s="23" t="n">
        <v>6.953</v>
      </c>
      <c r="F6" s="14"/>
      <c r="G6" s="14" t="n">
        <f aca="false">SUMIFS(CB_plan!$C:$C,CB_plan!$B:$B,$A6)</f>
        <v>142.59</v>
      </c>
      <c r="H6" s="14" t="n">
        <f aca="false">IF(F6="",G6,F6)</f>
        <v>142.59</v>
      </c>
      <c r="I6" s="9"/>
      <c r="J6" s="14"/>
      <c r="K6" s="14" t="n">
        <f aca="false">IF(A6="","",Inputs!$B$13/((IF(AV6="",Inputs!$B$18,AV6)+Inputs!$B$14)^Inputs!$B$15))</f>
        <v>137.565380169258</v>
      </c>
      <c r="L6" s="14" t="n">
        <f aca="false">IF(A6="","",0.000000278*IF(I6="",Inputs!$B$17,I6)*H6*K6)</f>
        <v>0.00490778497909529</v>
      </c>
      <c r="M6" s="14" t="n">
        <f aca="false">IF(A6="","",SUMIFS($N$4:$N$203,$D$4:$D$203,$A6))</f>
        <v>0.0125983932649518</v>
      </c>
      <c r="N6" s="14" t="n">
        <f aca="false">IF(A6="","",(L6+M6)*Inputs!$B$16)</f>
        <v>0.0192567960684518</v>
      </c>
      <c r="O6" s="14"/>
      <c r="P6" s="24" t="n">
        <f aca="false">IF(A6="","",IF(O6="",Inputs!$B$7,O6))</f>
        <v>0.01</v>
      </c>
      <c r="Q6" s="9" t="n">
        <f aca="false">IF(A6="","",IF(N6/Inputs!$B$10&lt;=AG6,Inputs!$F$5,IF(N6/Inputs!$B$10&gt;AP6,"OVERSIZE",INDEX(Inputs!$F$5:$F$14,MATCH(N6/Inputs!$B$10,AG6:AP6,1)+1))))</f>
        <v>200</v>
      </c>
      <c r="R6" s="9"/>
      <c r="S6" s="25" t="n">
        <f aca="false">IF(A6="","",IF(R6="",Q6,R6))</f>
        <v>200</v>
      </c>
      <c r="T6" s="14" t="n">
        <f aca="false">IF(OR(S6="",S6="OVERSIZE"),"",S6/1000)</f>
        <v>0.2</v>
      </c>
      <c r="U6" s="14" t="n">
        <f aca="false">IF(T6="","",(1/Inputs!$B$9)*(PI()*T6^2/4)*((T6/4)^(2/3))*SQRT(P6))</f>
        <v>0.0327984401656511</v>
      </c>
      <c r="V6" s="14" t="n">
        <f aca="false">IF(OR(U6="",N6=""),"",N6/(U6*Inputs!$B$10))</f>
        <v>0.733906703001495</v>
      </c>
      <c r="W6" s="14" t="n">
        <f aca="false">IF(OR(T6="",N6=""),"",4*N6/(PI()*T6^2))</f>
        <v>0.612962856481337</v>
      </c>
      <c r="X6" s="14"/>
      <c r="Y6" s="14" t="n">
        <f aca="false">IF(A6="","",IF(A6=Inputs!$B$6,Inputs!$B$22,IF(D6="","",IFERROR(INDEX($Z$4:$Z$203,MATCH(D6,$A$4:$A$203,0))+IF(X6="",Inputs!$B$20,X6),""))))</f>
        <v>101.4822</v>
      </c>
      <c r="Z6" s="14" t="n">
        <f aca="false">IF(OR(Y6="",P6="",E6=""),"",Y6+P6*E6)</f>
        <v>101.55173</v>
      </c>
      <c r="AA6" s="14" t="n">
        <f aca="false">IF(C6="","",IFERROR(INDEX(Noeuds_plan!$C$4:$C$200,MATCH(C6,Noeuds_plan!$A$4:$A$200,0)),""))</f>
        <v>104</v>
      </c>
      <c r="AB6" s="14" t="n">
        <f aca="false">IF(B6="","",IFERROR(INDEX(Noeuds_plan!$C$4:$C$200,MATCH(B6,Noeuds_plan!$A$4:$A$200,0)),""))</f>
        <v>103.95</v>
      </c>
      <c r="AC6" s="14" t="n">
        <f aca="false">IF(OR(AA6="",Y6=""),"",AA6-Y6)</f>
        <v>2.51779999999999</v>
      </c>
      <c r="AD6" s="14" t="n">
        <f aca="false">IF(OR(AB6="",Z6=""),"",AB6-Z6)</f>
        <v>2.39827</v>
      </c>
      <c r="AE6" s="19" t="str">
        <f aca="false">IF(A6="","",IF(OR(V6&gt;1,AND(AY6&lt;&gt;"",AY6&lt;Inputs!$B$11),AND(AY6&lt;&gt;"",AY6&gt;Inputs!$B$12),AC6&lt;Inputs!$B$19,AD6&lt;Inputs!$B$19,P6&lt;Inputs!$B$7,P6&gt;Inputs!$B$8),"CHECK","OK"))</f>
        <v>OK</v>
      </c>
      <c r="AF6" s="9" t="s">
        <v>259</v>
      </c>
      <c r="AG6" s="9" t="n">
        <f aca="false">IF(A6="","",(1/Inputs!$B$9)*(PI()*(Inputs!$F$5/1000)^2/4)*((Inputs!$F$5/1000/4)^(2/3))*SQRT(P6))</f>
        <v>0.0327984401656511</v>
      </c>
      <c r="AH6" s="9" t="n">
        <f aca="false">IF(A6="","",(1/Inputs!$B$9)*(PI()*(Inputs!$F$6/1000)^2/4)*((Inputs!$F$6/1000/4)^(2/3))*SQRT(P6))</f>
        <v>0.0594675287628136</v>
      </c>
      <c r="AI6" s="9" t="n">
        <f aca="false">IF(A6="","",(1/Inputs!$B$9)*(PI()*(Inputs!$F$7/1000)^2/4)*((Inputs!$F$7/1000/4)^(2/3))*SQRT(P6))</f>
        <v>0.0967007585335561</v>
      </c>
      <c r="AJ6" s="9" t="n">
        <f aca="false">IF(A6="","",(1/Inputs!$B$9)*(PI()*(Inputs!$F$8/1000)^2/4)*((Inputs!$F$8/1000/4)^(2/3))*SQRT(P6))</f>
        <v>0.175330141020016</v>
      </c>
      <c r="AK6" s="9" t="n">
        <f aca="false">IF(A6="","",(1/Inputs!$B$9)*(PI()*(Inputs!$F$9/1000)^2/4)*((Inputs!$F$9/1000/4)^(2/3))*SQRT(P6))</f>
        <v>0.285106140832826</v>
      </c>
      <c r="AL6" s="9" t="n">
        <f aca="false">IF(A6="","",(1/Inputs!$B$9)*(PI()*(Inputs!$F$10/1000)^2/4)*((Inputs!$F$10/1000/4)^(2/3))*SQRT(P6))</f>
        <v>0.430062270986421</v>
      </c>
      <c r="AM6" s="9" t="n">
        <f aca="false">IF(A6="","",(1/Inputs!$B$9)*(PI()*(Inputs!$F$11/1000)^2/4)*((Inputs!$F$11/1000/4)^(2/3))*SQRT(P6))</f>
        <v>0.614011543289159</v>
      </c>
      <c r="AN6" s="9" t="n">
        <f aca="false">IF(A6="","",(1/Inputs!$B$9)*(PI()*(Inputs!$F$12/1000)^2/4)*((Inputs!$F$12/1000/4)^(2/3))*SQRT(P6))</f>
        <v>0.840588148151706</v>
      </c>
      <c r="AO6" s="9" t="n">
        <f aca="false">IF(A6="","",(1/Inputs!$B$9)*(PI()*(Inputs!$F$13/1000)^2/4)*((Inputs!$F$13/1000/4)^(2/3))*SQRT(P6))</f>
        <v>1.11327700118762</v>
      </c>
      <c r="AP6" s="9" t="n">
        <f aca="false">IF(A6="","",(1/Inputs!$B$9)*(PI()*(Inputs!$F$14/1000)^2/4)*((Inputs!$F$14/1000/4)^(2/3))*SQRT(P6))</f>
        <v>1.81031115152249</v>
      </c>
      <c r="AQ6" s="9" t="n">
        <f aca="false">IF(A6="","",COUNTIF($D$4:$D$203,$A6))</f>
        <v>1</v>
      </c>
      <c r="AR6" s="9" t="str">
        <f aca="false">IF(A6="","",IF(AQ6=0,"START","CONTINUOUS"))</f>
        <v>CONTINUOUS</v>
      </c>
      <c r="AS6" s="13" t="n">
        <f aca="false">IF(A6="","",IF(J6="",Inputs!$B$18,J6))</f>
        <v>5</v>
      </c>
      <c r="AT6" s="13" t="str">
        <f aca="false">IF(A6="","",IFERROR(maxifs($AV$4:$AV$203,$D$4:$D$203,$A6),""))</f>
        <v/>
      </c>
      <c r="AU6" s="13" t="n">
        <f aca="false">IF(A6="","",IF(OR(E6="",Inputs!$B$23=""),"",E6/(Inputs!$B$23*60)))</f>
        <v>0.115883333333333</v>
      </c>
      <c r="AV6" s="13" t="n">
        <f aca="false">IF(A6="","",IF(AQ6=0,AS6+AU6,IF(AT6="",AS6+AU6,AT6+AU6)))</f>
        <v>5.11588333333333</v>
      </c>
      <c r="AW6" s="13" t="n">
        <f aca="false">IF(A6="","",W6)</f>
        <v>0.612962856481337</v>
      </c>
      <c r="AX6" s="13" t="n">
        <f aca="false">IF(OR(T6="",P6=""),"",(1/Inputs!$B$9)*((T6/4)^(2/3))*SQRT(P6))</f>
        <v>1.04400677561343</v>
      </c>
      <c r="AY6" s="13" t="n">
        <f aca="false">IF(A6="","",IF(AND(AW6="",AX6="",BA6=""),"",IF(OR(UPPER(TRIM(Inputs!$B$24))="MANNING",UPPER(TRIM(Inputs!$B$24))="M"),AX6,IF(OR(UPPER(TRIM(Inputs!$B$24))="PARTIAL",UPPER(TRIM(Inputs!$B$24))="P"),BA6,IF(OR(UPPER(TRIM(Inputs!$B$24))="MAX",UPPER(TRIM(Inputs!$B$24))="X"),MAX(IF(AW6="",0,AW6),IF(AX6="",0,AX6),IF(BA6="",0,BA6)),AW6)))))</f>
        <v>1.09375144610218</v>
      </c>
      <c r="AZ6" s="13" t="n">
        <f aca="false">IF(BB6="","",CH6)</f>
        <v>0.10950546875</v>
      </c>
      <c r="BA6" s="13" t="n">
        <f aca="false">IF(OR(BB6="",AZ6="",T6="",T6&lt;=0,AZ6&lt;=0),"",BB6/((T6^2/8)*(2*ACOS(1-2*AZ6/T6)-SIN(2*ACOS(1-2*AZ6/T6)))))</f>
        <v>1.09375144610218</v>
      </c>
      <c r="BB6" s="9" t="n">
        <f aca="false">IF(OR(N6="",BC6=""),"",MIN(N6,BC6))</f>
        <v>0.0192567960684518</v>
      </c>
      <c r="BC6" s="9" t="n">
        <f aca="false">IF(OR(N6="",T6="",P6=""),"",IF(OR(T6="",P6="",(0.94*T6)="",T6&lt;=0,(0.94*T6)&lt;=0),"",(1/Inputs!$B$9)*((T6^2/8)*((2*ACOS(1-2*(0.94*T6)/T6))-SIN((2*ACOS(1-2*(0.94*T6)/T6)))))*((((T6^2/8)*((2*ACOS(1-2*(0.94*T6)/T6))-SIN((2*ACOS(1-2*(0.94*T6)/T6)))))/((T6/2)*((2*ACOS(1-2*(0.94*T6)/T6)))))^(2/3))*SQRT(P6)))</f>
        <v>0.0352806077891244</v>
      </c>
      <c r="BD6" s="9" t="n">
        <f aca="false">IF(BB6="","",0.001*T6)</f>
        <v>0.0002</v>
      </c>
      <c r="BE6" s="9" t="n">
        <f aca="false">IF(BB6="","",0.94*T6)</f>
        <v>0.188</v>
      </c>
      <c r="BF6" s="9" t="n">
        <f aca="false">IF(BB6="","",(BD6+BE6)/2)</f>
        <v>0.0941</v>
      </c>
      <c r="BG6" s="9" t="n">
        <f aca="false">IF(OR(T6="",P6="",BF6="",T6&lt;=0,BF6&lt;=0),"",(1/Inputs!$B$9)*((T6^2/8)*((2*ACOS(1-2*BF6/T6))-SIN((2*ACOS(1-2*BF6/T6)))))*((((T6^2/8)*((2*ACOS(1-2*BF6/T6))-SIN((2*ACOS(1-2*BF6/T6)))))/((T6/2)*((2*ACOS(1-2*BF6/T6)))))^(2/3))*SQRT(P6))</f>
        <v>0.0147714469807598</v>
      </c>
      <c r="BH6" s="9" t="n">
        <f aca="false">IF(BB6="","",IF(BG6&lt;BB6,BF6,BD6))</f>
        <v>0.0941</v>
      </c>
      <c r="BI6" s="9" t="n">
        <f aca="false">IF(BB6="","",IF(BG6&lt;BB6,BE6,BF6))</f>
        <v>0.188</v>
      </c>
      <c r="BJ6" s="9" t="n">
        <f aca="false">IF(BB6="","",(BH6+BI6)/2)</f>
        <v>0.14105</v>
      </c>
      <c r="BK6" s="9" t="n">
        <f aca="false">IF(OR(T6="",P6="",BJ6="",T6&lt;=0,BJ6&lt;=0),"",(1/Inputs!$B$9)*((T6^2/8)*((2*ACOS(1-2*BJ6/T6))-SIN((2*ACOS(1-2*BJ6/T6)))))*((((T6^2/8)*((2*ACOS(1-2*BJ6/T6))-SIN((2*ACOS(1-2*BJ6/T6)))))/((T6/2)*((2*ACOS(1-2*BJ6/T6)))))^(2/3))*SQRT(P6))</f>
        <v>0.0277281678803005</v>
      </c>
      <c r="BL6" s="9" t="n">
        <f aca="false">IF(BB6="","",IF(BK6&lt;BB6,BJ6,BH6))</f>
        <v>0.0941</v>
      </c>
      <c r="BM6" s="9" t="n">
        <f aca="false">IF(BB6="","",IF(BK6&lt;BB6,BI6,BJ6))</f>
        <v>0.14105</v>
      </c>
      <c r="BN6" s="9" t="n">
        <f aca="false">IF(BB6="","",(BL6+BM6)/2)</f>
        <v>0.117575</v>
      </c>
      <c r="BO6" s="9" t="n">
        <f aca="false">IF(OR(T6="",P6="",BN6="",T6&lt;=0,BN6&lt;=0),"",(1/Inputs!$B$9)*((T6^2/8)*((2*ACOS(1-2*BN6/T6))-SIN((2*ACOS(1-2*BN6/T6)))))*((((T6^2/8)*((2*ACOS(1-2*BN6/T6))-SIN((2*ACOS(1-2*BN6/T6)))))/((T6/2)*((2*ACOS(1-2*BN6/T6)))))^(2/3))*SQRT(P6))</f>
        <v>0.0213524079287055</v>
      </c>
      <c r="BP6" s="9" t="n">
        <f aca="false">IF(BB6="","",IF(BO6&lt;BB6,BN6,BL6))</f>
        <v>0.0941</v>
      </c>
      <c r="BQ6" s="9" t="n">
        <f aca="false">IF(BB6="","",IF(BO6&lt;BB6,BM6,BN6))</f>
        <v>0.117575</v>
      </c>
      <c r="BR6" s="9" t="n">
        <f aca="false">IF(BB6="","",(BP6+BQ6)/2)</f>
        <v>0.1058375</v>
      </c>
      <c r="BS6" s="9" t="n">
        <f aca="false">IF(OR(T6="",P6="",BR6="",T6&lt;=0,BR6&lt;=0),"",(1/Inputs!$B$9)*((T6^2/8)*((2*ACOS(1-2*BR6/T6))-SIN((2*ACOS(1-2*BR6/T6)))))*((((T6^2/8)*((2*ACOS(1-2*BR6/T6))-SIN((2*ACOS(1-2*BR6/T6)))))/((T6/2)*((2*ACOS(1-2*BR6/T6)))))^(2/3))*SQRT(P6))</f>
        <v>0.0180350477060858</v>
      </c>
      <c r="BT6" s="9" t="n">
        <f aca="false">IF(BB6="","",IF(BS6&lt;BB6,BR6,BP6))</f>
        <v>0.1058375</v>
      </c>
      <c r="BU6" s="9" t="n">
        <f aca="false">IF(BB6="","",IF(BS6&lt;BB6,BQ6,BR6))</f>
        <v>0.117575</v>
      </c>
      <c r="BV6" s="9" t="n">
        <f aca="false">IF(BB6="","",(BT6+BU6)/2)</f>
        <v>0.11170625</v>
      </c>
      <c r="BW6" s="9" t="n">
        <f aca="false">IF(OR(T6="",P6="",BV6="",T6&lt;=0,BV6&lt;=0),"",(1/Inputs!$B$9)*((T6^2/8)*((2*ACOS(1-2*BV6/T6))-SIN((2*ACOS(1-2*BV6/T6)))))*((((T6^2/8)*((2*ACOS(1-2*BV6/T6))-SIN((2*ACOS(1-2*BV6/T6)))))/((T6/2)*((2*ACOS(1-2*BV6/T6)))))^(2/3))*SQRT(P6))</f>
        <v>0.0196931553029215</v>
      </c>
      <c r="BX6" s="9" t="n">
        <f aca="false">IF(BB6="","",IF(BW6&lt;BB6,BV6,BT6))</f>
        <v>0.1058375</v>
      </c>
      <c r="BY6" s="9" t="n">
        <f aca="false">IF(BB6="","",IF(BW6&lt;BB6,BU6,BV6))</f>
        <v>0.11170625</v>
      </c>
      <c r="BZ6" s="9" t="n">
        <f aca="false">IF(BB6="","",(BX6+BY6)/2)</f>
        <v>0.108771875</v>
      </c>
      <c r="CA6" s="9" t="n">
        <f aca="false">IF(OR(T6="",P6="",BZ6="",T6&lt;=0,BZ6&lt;=0),"",(1/Inputs!$B$9)*((T6^2/8)*((2*ACOS(1-2*BZ6/T6))-SIN((2*ACOS(1-2*BZ6/T6)))))*((((T6^2/8)*((2*ACOS(1-2*BZ6/T6))-SIN((2*ACOS(1-2*BZ6/T6)))))/((T6/2)*((2*ACOS(1-2*BZ6/T6)))))^(2/3))*SQRT(P6))</f>
        <v>0.01886316737024</v>
      </c>
      <c r="CB6" s="9" t="n">
        <f aca="false">IF(BB6="","",IF(CA6&lt;BB6,BZ6,BX6))</f>
        <v>0.108771875</v>
      </c>
      <c r="CC6" s="9" t="n">
        <f aca="false">IF(BB6="","",IF(CA6&lt;BB6,BY6,BZ6))</f>
        <v>0.11170625</v>
      </c>
      <c r="CD6" s="9" t="n">
        <f aca="false">IF(BB6="","",(CB6+CC6)/2)</f>
        <v>0.1102390625</v>
      </c>
      <c r="CE6" s="9" t="n">
        <f aca="false">IF(OR(T6="",P6="",CD6="",T6&lt;=0,CD6&lt;=0),"",(1/Inputs!$B$9)*((T6^2/8)*((2*ACOS(1-2*CD6/T6))-SIN((2*ACOS(1-2*CD6/T6)))))*((((T6^2/8)*((2*ACOS(1-2*CD6/T6))-SIN((2*ACOS(1-2*CD6/T6)))))/((T6/2)*((2*ACOS(1-2*CD6/T6)))))^(2/3))*SQRT(P6))</f>
        <v>0.019278025186699</v>
      </c>
      <c r="CF6" s="9" t="n">
        <f aca="false">IF(BB6="","",IF(CE6&lt;BB6,CD6,CB6))</f>
        <v>0.108771875</v>
      </c>
      <c r="CG6" s="9" t="n">
        <f aca="false">IF(BB6="","",IF(CE6&lt;BB6,CC6,CD6))</f>
        <v>0.1102390625</v>
      </c>
      <c r="CH6" s="9" t="n">
        <f aca="false">IF(BB6="","",(CF6+CG6)/2)</f>
        <v>0.10950546875</v>
      </c>
    </row>
    <row r="7" customFormat="false" ht="15" hidden="false" customHeight="false" outlineLevel="0" collapsed="false">
      <c r="A7" s="9" t="s">
        <v>228</v>
      </c>
      <c r="B7" s="9" t="s">
        <v>187</v>
      </c>
      <c r="C7" s="9" t="s">
        <v>188</v>
      </c>
      <c r="D7" s="9" t="s">
        <v>232</v>
      </c>
      <c r="E7" s="23" t="n">
        <v>11.54</v>
      </c>
      <c r="F7" s="14"/>
      <c r="G7" s="14" t="n">
        <f aca="false">SUMIFS(CB_plan!$C:$C,CB_plan!$B:$B,$A7)</f>
        <v>195.44</v>
      </c>
      <c r="H7" s="14" t="n">
        <f aca="false">IF(F7="",G7,F7)</f>
        <v>195.44</v>
      </c>
      <c r="I7" s="9"/>
      <c r="J7" s="14"/>
      <c r="K7" s="14" t="n">
        <f aca="false">IF(A7="","",Inputs!$B$13/((IF(AV7="",Inputs!$B$18,AV7)+Inputs!$B$14)^Inputs!$B$15))</f>
        <v>136.59229639403</v>
      </c>
      <c r="L7" s="14" t="n">
        <f aca="false">IF(A7="","",0.000000278*IF(I7="",Inputs!$B$17,I7)*H7*K7)</f>
        <v>0.00667923872149376</v>
      </c>
      <c r="M7" s="14" t="n">
        <f aca="false">IF(A7="","",SUMIFS($N$4:$N$203,$D$4:$D$203,$A7))</f>
        <v>0</v>
      </c>
      <c r="N7" s="14" t="n">
        <f aca="false">IF(A7="","",(L7+M7)*Inputs!$B$16)</f>
        <v>0.00734716259364313</v>
      </c>
      <c r="O7" s="14"/>
      <c r="P7" s="24" t="n">
        <f aca="false">IF(A7="","",IF(O7="",Inputs!$B$7,O7))</f>
        <v>0.01</v>
      </c>
      <c r="Q7" s="9" t="n">
        <f aca="false">IF(A7="","",IF(N7/Inputs!$B$10&lt;=AG7,Inputs!$F$5,IF(N7/Inputs!$B$10&gt;AP7,"OVERSIZE",INDEX(Inputs!$F$5:$F$14,MATCH(N7/Inputs!$B$10,AG7:AP7,1)+1))))</f>
        <v>200</v>
      </c>
      <c r="R7" s="9"/>
      <c r="S7" s="25" t="n">
        <f aca="false">IF(A7="","",IF(R7="",Q7,R7))</f>
        <v>200</v>
      </c>
      <c r="T7" s="14" t="n">
        <f aca="false">IF(OR(S7="",S7="OVERSIZE"),"",S7/1000)</f>
        <v>0.2</v>
      </c>
      <c r="U7" s="14" t="n">
        <f aca="false">IF(T7="","",(1/Inputs!$B$9)*(PI()*T7^2/4)*((T7/4)^(2/3))*SQRT(P7))</f>
        <v>0.0327984401656511</v>
      </c>
      <c r="V7" s="14" t="n">
        <f aca="false">IF(OR(U7="",N7=""),"",N7/(U7*Inputs!$B$10))</f>
        <v>0.280011890677412</v>
      </c>
      <c r="W7" s="14" t="n">
        <f aca="false">IF(OR(T7="",N7=""),"",4*N7/(PI()*T7^2))</f>
        <v>0.233867448895635</v>
      </c>
      <c r="X7" s="14"/>
      <c r="Y7" s="14" t="n">
        <f aca="false">IF(A7="","",IF(A7=Inputs!$B$6,Inputs!$B$22,IF(D7="","",IFERROR(INDEX($Z$4:$Z$203,MATCH(D7,$A$4:$A$203,0))+IF(X7="",Inputs!$B$20,X7),""))))</f>
        <v>102.05645</v>
      </c>
      <c r="Z7" s="14" t="n">
        <f aca="false">IF(OR(Y7="",P7="",E7=""),"",Y7+P7*E7)</f>
        <v>102.17185</v>
      </c>
      <c r="AA7" s="14" t="n">
        <f aca="false">IF(C7="","",IFERROR(INDEX(Noeuds_plan!$C$4:$C$200,MATCH(C7,Noeuds_plan!$A$4:$A$200,0)),""))</f>
        <v>104</v>
      </c>
      <c r="AB7" s="14" t="n">
        <f aca="false">IF(B7="","",IFERROR(INDEX(Noeuds_plan!$C$4:$C$200,MATCH(B7,Noeuds_plan!$A$4:$A$200,0)),""))</f>
        <v>104.32</v>
      </c>
      <c r="AC7" s="14" t="n">
        <f aca="false">IF(OR(AA7="",Y7=""),"",AA7-Y7)</f>
        <v>1.94355</v>
      </c>
      <c r="AD7" s="14" t="n">
        <f aca="false">IF(OR(AB7="",Z7=""),"",AB7-Z7)</f>
        <v>2.14815</v>
      </c>
      <c r="AE7" s="19" t="str">
        <f aca="false">IF(A7="","",IF(OR(V7&gt;1,AND(AY7&lt;&gt;"",AY7&lt;Inputs!$B$11),AND(AY7&lt;&gt;"",AY7&gt;Inputs!$B$12),AC7&lt;Inputs!$B$19,AD7&lt;Inputs!$B$19,P7&lt;Inputs!$B$7,P7&gt;Inputs!$B$8),"CHECK","OK"))</f>
        <v>CHECK</v>
      </c>
      <c r="AF7" s="9" t="s">
        <v>260</v>
      </c>
      <c r="AG7" s="9" t="n">
        <f aca="false">IF(A7="","",(1/Inputs!$B$9)*(PI()*(Inputs!$F$5/1000)^2/4)*((Inputs!$F$5/1000/4)^(2/3))*SQRT(P7))</f>
        <v>0.0327984401656511</v>
      </c>
      <c r="AH7" s="9" t="n">
        <f aca="false">IF(A7="","",(1/Inputs!$B$9)*(PI()*(Inputs!$F$6/1000)^2/4)*((Inputs!$F$6/1000/4)^(2/3))*SQRT(P7))</f>
        <v>0.0594675287628136</v>
      </c>
      <c r="AI7" s="9" t="n">
        <f aca="false">IF(A7="","",(1/Inputs!$B$9)*(PI()*(Inputs!$F$7/1000)^2/4)*((Inputs!$F$7/1000/4)^(2/3))*SQRT(P7))</f>
        <v>0.0967007585335561</v>
      </c>
      <c r="AJ7" s="9" t="n">
        <f aca="false">IF(A7="","",(1/Inputs!$B$9)*(PI()*(Inputs!$F$8/1000)^2/4)*((Inputs!$F$8/1000/4)^(2/3))*SQRT(P7))</f>
        <v>0.175330141020016</v>
      </c>
      <c r="AK7" s="9" t="n">
        <f aca="false">IF(A7="","",(1/Inputs!$B$9)*(PI()*(Inputs!$F$9/1000)^2/4)*((Inputs!$F$9/1000/4)^(2/3))*SQRT(P7))</f>
        <v>0.285106140832826</v>
      </c>
      <c r="AL7" s="9" t="n">
        <f aca="false">IF(A7="","",(1/Inputs!$B$9)*(PI()*(Inputs!$F$10/1000)^2/4)*((Inputs!$F$10/1000/4)^(2/3))*SQRT(P7))</f>
        <v>0.430062270986421</v>
      </c>
      <c r="AM7" s="9" t="n">
        <f aca="false">IF(A7="","",(1/Inputs!$B$9)*(PI()*(Inputs!$F$11/1000)^2/4)*((Inputs!$F$11/1000/4)^(2/3))*SQRT(P7))</f>
        <v>0.614011543289159</v>
      </c>
      <c r="AN7" s="9" t="n">
        <f aca="false">IF(A7="","",(1/Inputs!$B$9)*(PI()*(Inputs!$F$12/1000)^2/4)*((Inputs!$F$12/1000/4)^(2/3))*SQRT(P7))</f>
        <v>0.840588148151706</v>
      </c>
      <c r="AO7" s="9" t="n">
        <f aca="false">IF(A7="","",(1/Inputs!$B$9)*(PI()*(Inputs!$F$13/1000)^2/4)*((Inputs!$F$13/1000/4)^(2/3))*SQRT(P7))</f>
        <v>1.11327700118762</v>
      </c>
      <c r="AP7" s="9" t="n">
        <f aca="false">IF(A7="","",(1/Inputs!$B$9)*(PI()*(Inputs!$F$14/1000)^2/4)*((Inputs!$F$14/1000/4)^(2/3))*SQRT(P7))</f>
        <v>1.81031115152249</v>
      </c>
      <c r="AQ7" s="9" t="n">
        <f aca="false">IF(A7="","",COUNTIF($D$4:$D$203,$A7))</f>
        <v>0</v>
      </c>
      <c r="AR7" s="9" t="str">
        <f aca="false">IF(A7="","",IF(AQ7=0,"START","CONTINUOUS"))</f>
        <v>START</v>
      </c>
      <c r="AS7" s="13" t="n">
        <f aca="false">IF(A7="","",IF(J7="",Inputs!$B$18,J7))</f>
        <v>5</v>
      </c>
      <c r="AT7" s="13" t="str">
        <f aca="false">IF(A7="","",IFERROR(maxifs($AV$4:$AV$203,$D$4:$D$203,$A7),""))</f>
        <v/>
      </c>
      <c r="AU7" s="13" t="n">
        <f aca="false">IF(A7="","",IF(OR(E7="",Inputs!$B$23=""),"",E7/(Inputs!$B$23*60)))</f>
        <v>0.192333333333333</v>
      </c>
      <c r="AV7" s="13" t="n">
        <f aca="false">IF(A7="","",IF(AQ7=0,AS7+AU7,IF(AT7="",AS7+AU7,AT7+AU7)))</f>
        <v>5.19233333333333</v>
      </c>
      <c r="AW7" s="13" t="n">
        <f aca="false">IF(A7="","",W7)</f>
        <v>0.233867448895635</v>
      </c>
      <c r="AX7" s="13" t="n">
        <f aca="false">IF(OR(T7="",P7=""),"",(1/Inputs!$B$9)*((T7/4)^(2/3))*SQRT(P7))</f>
        <v>1.04400677561343</v>
      </c>
      <c r="AY7" s="13" t="n">
        <f aca="false">IF(A7="","",IF(AND(AW7="",AX7="",BA7=""),"",IF(OR(UPPER(TRIM(Inputs!$B$24))="MANNING",UPPER(TRIM(Inputs!$B$24))="M"),AX7,IF(OR(UPPER(TRIM(Inputs!$B$24))="PARTIAL",UPPER(TRIM(Inputs!$B$24))="P"),BA7,IF(OR(UPPER(TRIM(Inputs!$B$24))="MAX",UPPER(TRIM(Inputs!$B$24))="X"),MAX(IF(AW7="",0,AW7),IF(AX7="",0,AX7),IF(BA7="",0,BA7)),AW7)))))</f>
        <v>1.04400677561343</v>
      </c>
      <c r="AZ7" s="13" t="n">
        <f aca="false">IF(BB7="","",CH7)</f>
        <v>0.06402265625</v>
      </c>
      <c r="BA7" s="13" t="n">
        <f aca="false">IF(OR(BB7="",AZ7="",T7="",T7&lt;=0,AZ7&lt;=0),"",BB7/((T7^2/8)*(2*ACOS(1-2*AZ7/T7)-SIN(2*ACOS(1-2*AZ7/T7)))))</f>
        <v>0.847337233958917</v>
      </c>
      <c r="BB7" s="9" t="n">
        <f aca="false">IF(OR(N7="",BC7=""),"",MIN(N7,BC7))</f>
        <v>0.00734716259364313</v>
      </c>
      <c r="BC7" s="9" t="n">
        <f aca="false">IF(OR(N7="",T7="",P7=""),"",IF(OR(T7="",P7="",(0.94*T7)="",T7&lt;=0,(0.94*T7)&lt;=0),"",(1/Inputs!$B$9)*((T7^2/8)*((2*ACOS(1-2*(0.94*T7)/T7))-SIN((2*ACOS(1-2*(0.94*T7)/T7)))))*((((T7^2/8)*((2*ACOS(1-2*(0.94*T7)/T7))-SIN((2*ACOS(1-2*(0.94*T7)/T7)))))/((T7/2)*((2*ACOS(1-2*(0.94*T7)/T7)))))^(2/3))*SQRT(P7)))</f>
        <v>0.0352806077891244</v>
      </c>
      <c r="BD7" s="9" t="n">
        <f aca="false">IF(BB7="","",0.001*T7)</f>
        <v>0.0002</v>
      </c>
      <c r="BE7" s="9" t="n">
        <f aca="false">IF(BB7="","",0.94*T7)</f>
        <v>0.188</v>
      </c>
      <c r="BF7" s="9" t="n">
        <f aca="false">IF(BB7="","",(BD7+BE7)/2)</f>
        <v>0.0941</v>
      </c>
      <c r="BG7" s="9" t="n">
        <f aca="false">IF(OR(T7="",P7="",BF7="",T7&lt;=0,BF7&lt;=0),"",(1/Inputs!$B$9)*((T7^2/8)*((2*ACOS(1-2*BF7/T7))-SIN((2*ACOS(1-2*BF7/T7)))))*((((T7^2/8)*((2*ACOS(1-2*BF7/T7))-SIN((2*ACOS(1-2*BF7/T7)))))/((T7/2)*((2*ACOS(1-2*BF7/T7)))))^(2/3))*SQRT(P7))</f>
        <v>0.0147714469807598</v>
      </c>
      <c r="BH7" s="9" t="n">
        <f aca="false">IF(BB7="","",IF(BG7&lt;BB7,BF7,BD7))</f>
        <v>0.0002</v>
      </c>
      <c r="BI7" s="9" t="n">
        <f aca="false">IF(BB7="","",IF(BG7&lt;BB7,BE7,BF7))</f>
        <v>0.0941</v>
      </c>
      <c r="BJ7" s="9" t="n">
        <f aca="false">IF(BB7="","",(BH7+BI7)/2)</f>
        <v>0.04715</v>
      </c>
      <c r="BK7" s="9" t="n">
        <f aca="false">IF(OR(T7="",P7="",BJ7="",T7&lt;=0,BJ7&lt;=0),"",(1/Inputs!$B$9)*((T7^2/8)*((2*ACOS(1-2*BJ7/T7))-SIN((2*ACOS(1-2*BJ7/T7)))))*((((T7^2/8)*((2*ACOS(1-2*BJ7/T7))-SIN((2*ACOS(1-2*BJ7/T7)))))/((T7/2)*((2*ACOS(1-2*BJ7/T7)))))^(2/3))*SQRT(P7))</f>
        <v>0.00399781890601551</v>
      </c>
      <c r="BL7" s="9" t="n">
        <f aca="false">IF(BB7="","",IF(BK7&lt;BB7,BJ7,BH7))</f>
        <v>0.04715</v>
      </c>
      <c r="BM7" s="9" t="n">
        <f aca="false">IF(BB7="","",IF(BK7&lt;BB7,BI7,BJ7))</f>
        <v>0.0941</v>
      </c>
      <c r="BN7" s="9" t="n">
        <f aca="false">IF(BB7="","",(BL7+BM7)/2)</f>
        <v>0.070625</v>
      </c>
      <c r="BO7" s="9" t="n">
        <f aca="false">IF(OR(T7="",P7="",BN7="",T7&lt;=0,BN7&lt;=0),"",(1/Inputs!$B$9)*((T7^2/8)*((2*ACOS(1-2*BN7/T7))-SIN((2*ACOS(1-2*BN7/T7)))))*((((T7^2/8)*((2*ACOS(1-2*BN7/T7))-SIN((2*ACOS(1-2*BN7/T7)))))/((T7/2)*((2*ACOS(1-2*BN7/T7)))))^(2/3))*SQRT(P7))</f>
        <v>0.00876961165853846</v>
      </c>
      <c r="BP7" s="9" t="n">
        <f aca="false">IF(BB7="","",IF(BO7&lt;BB7,BN7,BL7))</f>
        <v>0.04715</v>
      </c>
      <c r="BQ7" s="9" t="n">
        <f aca="false">IF(BB7="","",IF(BO7&lt;BB7,BM7,BN7))</f>
        <v>0.070625</v>
      </c>
      <c r="BR7" s="9" t="n">
        <f aca="false">IF(BB7="","",(BP7+BQ7)/2)</f>
        <v>0.0588875</v>
      </c>
      <c r="BS7" s="9" t="n">
        <f aca="false">IF(OR(T7="",P7="",BR7="",T7&lt;=0,BR7&lt;=0),"",(1/Inputs!$B$9)*((T7^2/8)*((2*ACOS(1-2*BR7/T7))-SIN((2*ACOS(1-2*BR7/T7)))))*((((T7^2/8)*((2*ACOS(1-2*BR7/T7))-SIN((2*ACOS(1-2*BR7/T7)))))/((T7/2)*((2*ACOS(1-2*BR7/T7)))))^(2/3))*SQRT(P7))</f>
        <v>0.00619408352666648</v>
      </c>
      <c r="BT7" s="9" t="n">
        <f aca="false">IF(BB7="","",IF(BS7&lt;BB7,BR7,BP7))</f>
        <v>0.0588875</v>
      </c>
      <c r="BU7" s="9" t="n">
        <f aca="false">IF(BB7="","",IF(BS7&lt;BB7,BQ7,BR7))</f>
        <v>0.070625</v>
      </c>
      <c r="BV7" s="9" t="n">
        <f aca="false">IF(BB7="","",(BT7+BU7)/2)</f>
        <v>0.06475625</v>
      </c>
      <c r="BW7" s="9" t="n">
        <f aca="false">IF(OR(T7="",P7="",BV7="",T7&lt;=0,BV7&lt;=0),"",(1/Inputs!$B$9)*((T7^2/8)*((2*ACOS(1-2*BV7/T7))-SIN((2*ACOS(1-2*BV7/T7)))))*((((T7^2/8)*((2*ACOS(1-2*BV7/T7))-SIN((2*ACOS(1-2*BV7/T7)))))/((T7/2)*((2*ACOS(1-2*BV7/T7)))))^(2/3))*SQRT(P7))</f>
        <v>0.00743861076905202</v>
      </c>
      <c r="BX7" s="9" t="n">
        <f aca="false">IF(BB7="","",IF(BW7&lt;BB7,BV7,BT7))</f>
        <v>0.0588875</v>
      </c>
      <c r="BY7" s="9" t="n">
        <f aca="false">IF(BB7="","",IF(BW7&lt;BB7,BU7,BV7))</f>
        <v>0.06475625</v>
      </c>
      <c r="BZ7" s="9" t="n">
        <f aca="false">IF(BB7="","",(BX7+BY7)/2)</f>
        <v>0.061821875</v>
      </c>
      <c r="CA7" s="9" t="n">
        <f aca="false">IF(OR(T7="",P7="",BZ7="",T7&lt;=0,BZ7&lt;=0),"",(1/Inputs!$B$9)*((T7^2/8)*((2*ACOS(1-2*BZ7/T7))-SIN((2*ACOS(1-2*BZ7/T7)))))*((((T7^2/8)*((2*ACOS(1-2*BZ7/T7))-SIN((2*ACOS(1-2*BZ7/T7)))))/((T7/2)*((2*ACOS(1-2*BZ7/T7)))))^(2/3))*SQRT(P7))</f>
        <v>0.00680499565161755</v>
      </c>
      <c r="CB7" s="9" t="n">
        <f aca="false">IF(BB7="","",IF(CA7&lt;BB7,BZ7,BX7))</f>
        <v>0.061821875</v>
      </c>
      <c r="CC7" s="9" t="n">
        <f aca="false">IF(BB7="","",IF(CA7&lt;BB7,BY7,BZ7))</f>
        <v>0.06475625</v>
      </c>
      <c r="CD7" s="9" t="n">
        <f aca="false">IF(BB7="","",(CB7+CC7)/2)</f>
        <v>0.0632890625</v>
      </c>
      <c r="CE7" s="9" t="n">
        <f aca="false">IF(OR(T7="",P7="",CD7="",T7&lt;=0,CD7&lt;=0),"",(1/Inputs!$B$9)*((T7^2/8)*((2*ACOS(1-2*CD7/T7))-SIN((2*ACOS(1-2*CD7/T7)))))*((((T7^2/8)*((2*ACOS(1-2*CD7/T7))-SIN((2*ACOS(1-2*CD7/T7)))))/((T7/2)*((2*ACOS(1-2*CD7/T7)))))^(2/3))*SQRT(P7))</f>
        <v>0.00711903187383936</v>
      </c>
      <c r="CF7" s="9" t="n">
        <f aca="false">IF(BB7="","",IF(CE7&lt;BB7,CD7,CB7))</f>
        <v>0.0632890625</v>
      </c>
      <c r="CG7" s="9" t="n">
        <f aca="false">IF(BB7="","",IF(CE7&lt;BB7,CC7,CD7))</f>
        <v>0.06475625</v>
      </c>
      <c r="CH7" s="9" t="n">
        <f aca="false">IF(BB7="","",(CF7+CG7)/2)</f>
        <v>0.06402265625</v>
      </c>
    </row>
    <row r="8" customFormat="false" ht="15" hidden="false" customHeight="false" outlineLevel="0" collapsed="false">
      <c r="A8" s="9" t="s">
        <v>232</v>
      </c>
      <c r="B8" s="9" t="s">
        <v>188</v>
      </c>
      <c r="C8" s="9" t="s">
        <v>185</v>
      </c>
      <c r="D8" s="9" t="s">
        <v>235</v>
      </c>
      <c r="E8" s="23" t="n">
        <v>14.725</v>
      </c>
      <c r="F8" s="14"/>
      <c r="G8" s="14" t="n">
        <f aca="false">SUMIFS(CB_plan!$C:$C,CB_plan!$B:$B,$A8)</f>
        <v>167.31</v>
      </c>
      <c r="H8" s="14" t="n">
        <f aca="false">IF(F8="",G8,F8)</f>
        <v>167.31</v>
      </c>
      <c r="I8" s="9"/>
      <c r="J8" s="14"/>
      <c r="K8" s="14" t="n">
        <f aca="false">IF(A8="","",Inputs!$B$13/((IF(AV8="",Inputs!$B$18,AV8)+Inputs!$B$14)^Inputs!$B$15))</f>
        <v>135.926236532746</v>
      </c>
      <c r="L8" s="14" t="n">
        <f aca="false">IF(A8="","",0.000000278*IF(I8="",Inputs!$B$17,I8)*H8*K8)</f>
        <v>0.00569000302230027</v>
      </c>
      <c r="M8" s="14" t="n">
        <f aca="false">IF(A8="","",SUMIFS($N$4:$N$203,$D$4:$D$203,$A8))</f>
        <v>0.00734716259364313</v>
      </c>
      <c r="N8" s="14" t="n">
        <f aca="false">IF(A8="","",(L8+M8)*Inputs!$B$16)</f>
        <v>0.0143408821775377</v>
      </c>
      <c r="O8" s="14"/>
      <c r="P8" s="24" t="n">
        <f aca="false">IF(A8="","",IF(O8="",Inputs!$B$7,O8))</f>
        <v>0.01</v>
      </c>
      <c r="Q8" s="9" t="n">
        <f aca="false">IF(A8="","",IF(N8/Inputs!$B$10&lt;=AG8,Inputs!$F$5,IF(N8/Inputs!$B$10&gt;AP8,"OVERSIZE",INDEX(Inputs!$F$5:$F$14,MATCH(N8/Inputs!$B$10,AG8:AP8,1)+1))))</f>
        <v>200</v>
      </c>
      <c r="R8" s="9"/>
      <c r="S8" s="25" t="n">
        <f aca="false">IF(A8="","",IF(R8="",Q8,R8))</f>
        <v>200</v>
      </c>
      <c r="T8" s="14" t="n">
        <f aca="false">IF(OR(S8="",S8="OVERSIZE"),"",S8/1000)</f>
        <v>0.2</v>
      </c>
      <c r="U8" s="14" t="n">
        <f aca="false">IF(T8="","",(1/Inputs!$B$9)*(PI()*T8^2/4)*((T8/4)^(2/3))*SQRT(P8))</f>
        <v>0.0327984401656511</v>
      </c>
      <c r="V8" s="14" t="n">
        <f aca="false">IF(OR(U8="",N8=""),"",N8/(U8*Inputs!$B$10))</f>
        <v>0.546553513867886</v>
      </c>
      <c r="W8" s="14" t="n">
        <f aca="false">IF(OR(T8="",N8=""),"",4*N8/(PI()*T8^2))</f>
        <v>0.456484457370719</v>
      </c>
      <c r="X8" s="14"/>
      <c r="Y8" s="14" t="n">
        <f aca="false">IF(A8="","",IF(A8=Inputs!$B$6,Inputs!$B$22,IF(D8="","",IFERROR(INDEX($Z$4:$Z$203,MATCH(D8,$A$4:$A$203,0))+IF(X8="",Inputs!$B$20,X8),""))))</f>
        <v>101.8892</v>
      </c>
      <c r="Z8" s="14" t="n">
        <f aca="false">IF(OR(Y8="",P8="",E8=""),"",Y8+P8*E8)</f>
        <v>102.03645</v>
      </c>
      <c r="AA8" s="14" t="n">
        <f aca="false">IF(C8="","",IFERROR(INDEX(Noeuds_plan!$C$4:$C$200,MATCH(C8,Noeuds_plan!$A$4:$A$200,0)),""))</f>
        <v>104.2</v>
      </c>
      <c r="AB8" s="14" t="n">
        <f aca="false">IF(B8="","",IFERROR(INDEX(Noeuds_plan!$C$4:$C$200,MATCH(B8,Noeuds_plan!$A$4:$A$200,0)),""))</f>
        <v>104</v>
      </c>
      <c r="AC8" s="14" t="n">
        <f aca="false">IF(OR(AA8="",Y8=""),"",AA8-Y8)</f>
        <v>2.3108</v>
      </c>
      <c r="AD8" s="14" t="n">
        <f aca="false">IF(OR(AB8="",Z8=""),"",AB8-Z8)</f>
        <v>1.96355</v>
      </c>
      <c r="AE8" s="19" t="str">
        <f aca="false">IF(A8="","",IF(OR(V8&gt;1,AND(AY8&lt;&gt;"",AY8&lt;Inputs!$B$11),AND(AY8&lt;&gt;"",AY8&gt;Inputs!$B$12),AC8&lt;Inputs!$B$19,AD8&lt;Inputs!$B$19,P8&lt;Inputs!$B$7,P8&gt;Inputs!$B$8),"CHECK","OK"))</f>
        <v>CHECK</v>
      </c>
      <c r="AF8" s="9" t="s">
        <v>260</v>
      </c>
      <c r="AG8" s="9" t="n">
        <f aca="false">IF(A8="","",(1/Inputs!$B$9)*(PI()*(Inputs!$F$5/1000)^2/4)*((Inputs!$F$5/1000/4)^(2/3))*SQRT(P8))</f>
        <v>0.0327984401656511</v>
      </c>
      <c r="AH8" s="9" t="n">
        <f aca="false">IF(A8="","",(1/Inputs!$B$9)*(PI()*(Inputs!$F$6/1000)^2/4)*((Inputs!$F$6/1000/4)^(2/3))*SQRT(P8))</f>
        <v>0.0594675287628136</v>
      </c>
      <c r="AI8" s="9" t="n">
        <f aca="false">IF(A8="","",(1/Inputs!$B$9)*(PI()*(Inputs!$F$7/1000)^2/4)*((Inputs!$F$7/1000/4)^(2/3))*SQRT(P8))</f>
        <v>0.0967007585335561</v>
      </c>
      <c r="AJ8" s="9" t="n">
        <f aca="false">IF(A8="","",(1/Inputs!$B$9)*(PI()*(Inputs!$F$8/1000)^2/4)*((Inputs!$F$8/1000/4)^(2/3))*SQRT(P8))</f>
        <v>0.175330141020016</v>
      </c>
      <c r="AK8" s="9" t="n">
        <f aca="false">IF(A8="","",(1/Inputs!$B$9)*(PI()*(Inputs!$F$9/1000)^2/4)*((Inputs!$F$9/1000/4)^(2/3))*SQRT(P8))</f>
        <v>0.285106140832826</v>
      </c>
      <c r="AL8" s="9" t="n">
        <f aca="false">IF(A8="","",(1/Inputs!$B$9)*(PI()*(Inputs!$F$10/1000)^2/4)*((Inputs!$F$10/1000/4)^(2/3))*SQRT(P8))</f>
        <v>0.430062270986421</v>
      </c>
      <c r="AM8" s="9" t="n">
        <f aca="false">IF(A8="","",(1/Inputs!$B$9)*(PI()*(Inputs!$F$11/1000)^2/4)*((Inputs!$F$11/1000/4)^(2/3))*SQRT(P8))</f>
        <v>0.614011543289159</v>
      </c>
      <c r="AN8" s="9" t="n">
        <f aca="false">IF(A8="","",(1/Inputs!$B$9)*(PI()*(Inputs!$F$12/1000)^2/4)*((Inputs!$F$12/1000/4)^(2/3))*SQRT(P8))</f>
        <v>0.840588148151706</v>
      </c>
      <c r="AO8" s="9" t="n">
        <f aca="false">IF(A8="","",(1/Inputs!$B$9)*(PI()*(Inputs!$F$13/1000)^2/4)*((Inputs!$F$13/1000/4)^(2/3))*SQRT(P8))</f>
        <v>1.11327700118762</v>
      </c>
      <c r="AP8" s="9" t="n">
        <f aca="false">IF(A8="","",(1/Inputs!$B$9)*(PI()*(Inputs!$F$14/1000)^2/4)*((Inputs!$F$14/1000/4)^(2/3))*SQRT(P8))</f>
        <v>1.81031115152249</v>
      </c>
      <c r="AQ8" s="9" t="n">
        <f aca="false">IF(A8="","",COUNTIF($D$4:$D$203,$A8))</f>
        <v>1</v>
      </c>
      <c r="AR8" s="9" t="str">
        <f aca="false">IF(A8="","",IF(AQ8=0,"START","CONTINUOUS"))</f>
        <v>CONTINUOUS</v>
      </c>
      <c r="AS8" s="13" t="n">
        <f aca="false">IF(A8="","",IF(J8="",Inputs!$B$18,J8))</f>
        <v>5</v>
      </c>
      <c r="AT8" s="13" t="str">
        <f aca="false">IF(A8="","",IFERROR(maxifs($AV$4:$AV$203,$D$4:$D$203,$A8),""))</f>
        <v/>
      </c>
      <c r="AU8" s="13" t="n">
        <f aca="false">IF(A8="","",IF(OR(E8="",Inputs!$B$23=""),"",E8/(Inputs!$B$23*60)))</f>
        <v>0.245416666666667</v>
      </c>
      <c r="AV8" s="13" t="n">
        <f aca="false">IF(A8="","",IF(AQ8=0,AS8+AU8,IF(AT8="",AS8+AU8,AT8+AU8)))</f>
        <v>5.24541666666667</v>
      </c>
      <c r="AW8" s="13" t="n">
        <f aca="false">IF(A8="","",W8)</f>
        <v>0.456484457370719</v>
      </c>
      <c r="AX8" s="13" t="n">
        <f aca="false">IF(OR(T8="",P8=""),"",(1/Inputs!$B$9)*((T8/4)^(2/3))*SQRT(P8))</f>
        <v>1.04400677561343</v>
      </c>
      <c r="AY8" s="13" t="n">
        <f aca="false">IF(A8="","",IF(AND(AW8="",AX8="",BA8=""),"",IF(OR(UPPER(TRIM(Inputs!$B$24))="MANNING",UPPER(TRIM(Inputs!$B$24))="M"),AX8,IF(OR(UPPER(TRIM(Inputs!$B$24))="PARTIAL",UPPER(TRIM(Inputs!$B$24))="P"),BA8,IF(OR(UPPER(TRIM(Inputs!$B$24))="MAX",UPPER(TRIM(Inputs!$B$24))="X"),MAX(IF(AW8="",0,AW8),IF(AX8="",0,AX8),IF(BA8="",0,BA8)),AW8)))))</f>
        <v>1.04400677561343</v>
      </c>
      <c r="AZ8" s="13" t="n">
        <f aca="false">IF(BB8="","",CH8)</f>
        <v>0.09189921875</v>
      </c>
      <c r="BA8" s="13" t="n">
        <f aca="false">IF(OR(BB8="",AZ8="",T8="",T8&lt;=0,AZ8&lt;=0),"",BB8/((T8^2/8)*(2*ACOS(1-2*AZ8/T8)-SIN(2*ACOS(1-2*AZ8/T8)))))</f>
        <v>1.01783597632219</v>
      </c>
      <c r="BB8" s="9" t="n">
        <f aca="false">IF(OR(N8="",BC8=""),"",MIN(N8,BC8))</f>
        <v>0.0143408821775377</v>
      </c>
      <c r="BC8" s="9" t="n">
        <f aca="false">IF(OR(N8="",T8="",P8=""),"",IF(OR(T8="",P8="",(0.94*T8)="",T8&lt;=0,(0.94*T8)&lt;=0),"",(1/Inputs!$B$9)*((T8^2/8)*((2*ACOS(1-2*(0.94*T8)/T8))-SIN((2*ACOS(1-2*(0.94*T8)/T8)))))*((((T8^2/8)*((2*ACOS(1-2*(0.94*T8)/T8))-SIN((2*ACOS(1-2*(0.94*T8)/T8)))))/((T8/2)*((2*ACOS(1-2*(0.94*T8)/T8)))))^(2/3))*SQRT(P8)))</f>
        <v>0.0352806077891244</v>
      </c>
      <c r="BD8" s="9" t="n">
        <f aca="false">IF(BB8="","",0.001*T8)</f>
        <v>0.0002</v>
      </c>
      <c r="BE8" s="9" t="n">
        <f aca="false">IF(BB8="","",0.94*T8)</f>
        <v>0.188</v>
      </c>
      <c r="BF8" s="9" t="n">
        <f aca="false">IF(BB8="","",(BD8+BE8)/2)</f>
        <v>0.0941</v>
      </c>
      <c r="BG8" s="9" t="n">
        <f aca="false">IF(OR(T8="",P8="",BF8="",T8&lt;=0,BF8&lt;=0),"",(1/Inputs!$B$9)*((T8^2/8)*((2*ACOS(1-2*BF8/T8))-SIN((2*ACOS(1-2*BF8/T8)))))*((((T8^2/8)*((2*ACOS(1-2*BF8/T8))-SIN((2*ACOS(1-2*BF8/T8)))))/((T8/2)*((2*ACOS(1-2*BF8/T8)))))^(2/3))*SQRT(P8))</f>
        <v>0.0147714469807598</v>
      </c>
      <c r="BH8" s="9" t="n">
        <f aca="false">IF(BB8="","",IF(BG8&lt;BB8,BF8,BD8))</f>
        <v>0.0002</v>
      </c>
      <c r="BI8" s="9" t="n">
        <f aca="false">IF(BB8="","",IF(BG8&lt;BB8,BE8,BF8))</f>
        <v>0.0941</v>
      </c>
      <c r="BJ8" s="9" t="n">
        <f aca="false">IF(BB8="","",(BH8+BI8)/2)</f>
        <v>0.04715</v>
      </c>
      <c r="BK8" s="9" t="n">
        <f aca="false">IF(OR(T8="",P8="",BJ8="",T8&lt;=0,BJ8&lt;=0),"",(1/Inputs!$B$9)*((T8^2/8)*((2*ACOS(1-2*BJ8/T8))-SIN((2*ACOS(1-2*BJ8/T8)))))*((((T8^2/8)*((2*ACOS(1-2*BJ8/T8))-SIN((2*ACOS(1-2*BJ8/T8)))))/((T8/2)*((2*ACOS(1-2*BJ8/T8)))))^(2/3))*SQRT(P8))</f>
        <v>0.00399781890601551</v>
      </c>
      <c r="BL8" s="9" t="n">
        <f aca="false">IF(BB8="","",IF(BK8&lt;BB8,BJ8,BH8))</f>
        <v>0.04715</v>
      </c>
      <c r="BM8" s="9" t="n">
        <f aca="false">IF(BB8="","",IF(BK8&lt;BB8,BI8,BJ8))</f>
        <v>0.0941</v>
      </c>
      <c r="BN8" s="9" t="n">
        <f aca="false">IF(BB8="","",(BL8+BM8)/2)</f>
        <v>0.070625</v>
      </c>
      <c r="BO8" s="9" t="n">
        <f aca="false">IF(OR(T8="",P8="",BN8="",T8&lt;=0,BN8&lt;=0),"",(1/Inputs!$B$9)*((T8^2/8)*((2*ACOS(1-2*BN8/T8))-SIN((2*ACOS(1-2*BN8/T8)))))*((((T8^2/8)*((2*ACOS(1-2*BN8/T8))-SIN((2*ACOS(1-2*BN8/T8)))))/((T8/2)*((2*ACOS(1-2*BN8/T8)))))^(2/3))*SQRT(P8))</f>
        <v>0.00876961165853846</v>
      </c>
      <c r="BP8" s="9" t="n">
        <f aca="false">IF(BB8="","",IF(BO8&lt;BB8,BN8,BL8))</f>
        <v>0.070625</v>
      </c>
      <c r="BQ8" s="9" t="n">
        <f aca="false">IF(BB8="","",IF(BO8&lt;BB8,BM8,BN8))</f>
        <v>0.0941</v>
      </c>
      <c r="BR8" s="9" t="n">
        <f aca="false">IF(BB8="","",(BP8+BQ8)/2)</f>
        <v>0.0823625</v>
      </c>
      <c r="BS8" s="9" t="n">
        <f aca="false">IF(OR(T8="",P8="",BR8="",T8&lt;=0,BR8&lt;=0),"",(1/Inputs!$B$9)*((T8^2/8)*((2*ACOS(1-2*BR8/T8))-SIN((2*ACOS(1-2*BR8/T8)))))*((((T8^2/8)*((2*ACOS(1-2*BR8/T8))-SIN((2*ACOS(1-2*BR8/T8)))))/((T8/2)*((2*ACOS(1-2*BR8/T8)))))^(2/3))*SQRT(P8))</f>
        <v>0.0116546013566984</v>
      </c>
      <c r="BT8" s="9" t="n">
        <f aca="false">IF(BB8="","",IF(BS8&lt;BB8,BR8,BP8))</f>
        <v>0.0823625</v>
      </c>
      <c r="BU8" s="9" t="n">
        <f aca="false">IF(BB8="","",IF(BS8&lt;BB8,BQ8,BR8))</f>
        <v>0.0941</v>
      </c>
      <c r="BV8" s="9" t="n">
        <f aca="false">IF(BB8="","",(BT8+BU8)/2)</f>
        <v>0.08823125</v>
      </c>
      <c r="BW8" s="9" t="n">
        <f aca="false">IF(OR(T8="",P8="",BV8="",T8&lt;=0,BV8&lt;=0),"",(1/Inputs!$B$9)*((T8^2/8)*((2*ACOS(1-2*BV8/T8))-SIN((2*ACOS(1-2*BV8/T8)))))*((((T8^2/8)*((2*ACOS(1-2*BV8/T8))-SIN((2*ACOS(1-2*BV8/T8)))))/((T8/2)*((2*ACOS(1-2*BV8/T8)))))^(2/3))*SQRT(P8))</f>
        <v>0.0131891841463524</v>
      </c>
      <c r="BX8" s="9" t="n">
        <f aca="false">IF(BB8="","",IF(BW8&lt;BB8,BV8,BT8))</f>
        <v>0.08823125</v>
      </c>
      <c r="BY8" s="9" t="n">
        <f aca="false">IF(BB8="","",IF(BW8&lt;BB8,BU8,BV8))</f>
        <v>0.0941</v>
      </c>
      <c r="BZ8" s="9" t="n">
        <f aca="false">IF(BB8="","",(BX8+BY8)/2)</f>
        <v>0.091165625</v>
      </c>
      <c r="CA8" s="9" t="n">
        <f aca="false">IF(OR(T8="",P8="",BZ8="",T8&lt;=0,BZ8&lt;=0),"",(1/Inputs!$B$9)*((T8^2/8)*((2*ACOS(1-2*BZ8/T8))-SIN((2*ACOS(1-2*BZ8/T8)))))*((((T8^2/8)*((2*ACOS(1-2*BZ8/T8))-SIN((2*ACOS(1-2*BZ8/T8)))))/((T8/2)*((2*ACOS(1-2*BZ8/T8)))))^(2/3))*SQRT(P8))</f>
        <v>0.0139750237418037</v>
      </c>
      <c r="CB8" s="9" t="n">
        <f aca="false">IF(BB8="","",IF(CA8&lt;BB8,BZ8,BX8))</f>
        <v>0.091165625</v>
      </c>
      <c r="CC8" s="9" t="n">
        <f aca="false">IF(BB8="","",IF(CA8&lt;BB8,BY8,BZ8))</f>
        <v>0.0941</v>
      </c>
      <c r="CD8" s="9" t="n">
        <f aca="false">IF(BB8="","",(CB8+CC8)/2)</f>
        <v>0.0926328125</v>
      </c>
      <c r="CE8" s="9" t="n">
        <f aca="false">IF(OR(T8="",P8="",CD8="",T8&lt;=0,CD8&lt;=0),"",(1/Inputs!$B$9)*((T8^2/8)*((2*ACOS(1-2*CD8/T8))-SIN((2*ACOS(1-2*CD8/T8)))))*((((T8^2/8)*((2*ACOS(1-2*CD8/T8))-SIN((2*ACOS(1-2*CD8/T8)))))/((T8/2)*((2*ACOS(1-2*CD8/T8)))))^(2/3))*SQRT(P8))</f>
        <v>0.014371997540922</v>
      </c>
      <c r="CF8" s="9" t="n">
        <f aca="false">IF(BB8="","",IF(CE8&lt;BB8,CD8,CB8))</f>
        <v>0.091165625</v>
      </c>
      <c r="CG8" s="9" t="n">
        <f aca="false">IF(BB8="","",IF(CE8&lt;BB8,CC8,CD8))</f>
        <v>0.0926328125</v>
      </c>
      <c r="CH8" s="9" t="n">
        <f aca="false">IF(BB8="","",(CF8+CG8)/2)</f>
        <v>0.09189921875</v>
      </c>
    </row>
    <row r="9" customFormat="false" ht="15" hidden="false" customHeight="false" outlineLevel="0" collapsed="false">
      <c r="A9" s="9" t="s">
        <v>235</v>
      </c>
      <c r="B9" s="9" t="s">
        <v>185</v>
      </c>
      <c r="C9" s="9" t="s">
        <v>202</v>
      </c>
      <c r="D9" s="9" t="s">
        <v>52</v>
      </c>
      <c r="E9" s="23" t="n">
        <v>38.7</v>
      </c>
      <c r="F9" s="14"/>
      <c r="G9" s="14" t="n">
        <f aca="false">SUMIFS(CB_plan!$C:$C,CB_plan!$B:$B,$A9)</f>
        <v>0</v>
      </c>
      <c r="H9" s="14" t="n">
        <f aca="false">IF(F9="",G9,F9)</f>
        <v>0</v>
      </c>
      <c r="I9" s="9"/>
      <c r="J9" s="14"/>
      <c r="K9" s="14" t="n">
        <f aca="false">IF(A9="","",Inputs!$B$13/((IF(AV9="",Inputs!$B$18,AV9)+Inputs!$B$14)^Inputs!$B$15))</f>
        <v>131.150378168192</v>
      </c>
      <c r="L9" s="14" t="n">
        <f aca="false">IF(A9="","",0.000000278*IF(I9="",Inputs!$B$17,I9)*H9*K9)</f>
        <v>0</v>
      </c>
      <c r="M9" s="14" t="n">
        <f aca="false">IF(A9="","",SUMIFS($N$4:$N$203,$D$4:$D$203,$A9))</f>
        <v>0.0419656540758865</v>
      </c>
      <c r="N9" s="14" t="n">
        <f aca="false">IF(A9="","",(L9+M9)*Inputs!$B$16)</f>
        <v>0.0461622194834751</v>
      </c>
      <c r="O9" s="14"/>
      <c r="P9" s="24" t="n">
        <f aca="false">IF(A9="","",IF(O9="",Inputs!$B$7,O9))</f>
        <v>0.01</v>
      </c>
      <c r="Q9" s="9" t="n">
        <f aca="false">IF(A9="","",IF(N9/Inputs!$B$10&lt;=AG9,Inputs!$F$5,IF(N9/Inputs!$B$10&gt;AP9,"OVERSIZE",INDEX(Inputs!$F$5:$F$14,MATCH(N9/Inputs!$B$10,AG9:AP9,1)+1))))</f>
        <v>250</v>
      </c>
      <c r="R9" s="9"/>
      <c r="S9" s="25" t="n">
        <f aca="false">IF(A9="","",IF(R9="",Q9,R9))</f>
        <v>250</v>
      </c>
      <c r="T9" s="14" t="n">
        <f aca="false">IF(OR(S9="",S9="OVERSIZE"),"",S9/1000)</f>
        <v>0.25</v>
      </c>
      <c r="U9" s="14" t="n">
        <f aca="false">IF(T9="","",(1/Inputs!$B$9)*(PI()*T9^2/4)*((T9/4)^(2/3))*SQRT(P9))</f>
        <v>0.0594675287628136</v>
      </c>
      <c r="V9" s="14" t="n">
        <f aca="false">IF(OR(U9="",N9=""),"",N9/(U9*Inputs!$B$10))</f>
        <v>0.970324066844808</v>
      </c>
      <c r="W9" s="14" t="n">
        <f aca="false">IF(OR(T9="",N9=""),"",4*N9/(PI()*T9^2))</f>
        <v>0.940409013105672</v>
      </c>
      <c r="X9" s="14"/>
      <c r="Y9" s="14" t="n">
        <f aca="false">IF(A9="","",IF(A9=Inputs!$B$6,Inputs!$B$22,IF(D9="","",IFERROR(INDEX($Z$4:$Z$203,MATCH(D9,$A$4:$A$203,0))+IF(X9="",Inputs!$B$20,X9),""))))</f>
        <v>101.4822</v>
      </c>
      <c r="Z9" s="14" t="n">
        <f aca="false">IF(OR(Y9="",P9="",E9=""),"",Y9+P9*E9)</f>
        <v>101.8692</v>
      </c>
      <c r="AA9" s="14" t="n">
        <f aca="false">IF(C9="","",IFERROR(INDEX(Noeuds_plan!$C$4:$C$200,MATCH(C9,Noeuds_plan!$A$4:$A$200,0)),""))</f>
        <v>104</v>
      </c>
      <c r="AB9" s="14" t="n">
        <f aca="false">IF(B9="","",IFERROR(INDEX(Noeuds_plan!$C$4:$C$200,MATCH(B9,Noeuds_plan!$A$4:$A$200,0)),""))</f>
        <v>104.2</v>
      </c>
      <c r="AC9" s="14" t="n">
        <f aca="false">IF(OR(AA9="",Y9=""),"",AA9-Y9)</f>
        <v>2.51779999999999</v>
      </c>
      <c r="AD9" s="14" t="n">
        <f aca="false">IF(OR(AB9="",Z9=""),"",AB9-Z9)</f>
        <v>2.3308</v>
      </c>
      <c r="AE9" s="19" t="str">
        <f aca="false">IF(A9="","",IF(OR(V9&gt;1,AND(AY9&lt;&gt;"",AY9&lt;Inputs!$B$11),AND(AY9&lt;&gt;"",AY9&gt;Inputs!$B$12),AC9&lt;Inputs!$B$19,AD9&lt;Inputs!$B$19,P9&lt;Inputs!$B$7,P9&gt;Inputs!$B$8),"CHECK","OK"))</f>
        <v>OK</v>
      </c>
      <c r="AF9" s="9" t="s">
        <v>261</v>
      </c>
      <c r="AG9" s="9" t="n">
        <f aca="false">IF(A9="","",(1/Inputs!$B$9)*(PI()*(Inputs!$F$5/1000)^2/4)*((Inputs!$F$5/1000/4)^(2/3))*SQRT(P9))</f>
        <v>0.0327984401656511</v>
      </c>
      <c r="AH9" s="9" t="n">
        <f aca="false">IF(A9="","",(1/Inputs!$B$9)*(PI()*(Inputs!$F$6/1000)^2/4)*((Inputs!$F$6/1000/4)^(2/3))*SQRT(P9))</f>
        <v>0.0594675287628136</v>
      </c>
      <c r="AI9" s="9" t="n">
        <f aca="false">IF(A9="","",(1/Inputs!$B$9)*(PI()*(Inputs!$F$7/1000)^2/4)*((Inputs!$F$7/1000/4)^(2/3))*SQRT(P9))</f>
        <v>0.0967007585335561</v>
      </c>
      <c r="AJ9" s="9" t="n">
        <f aca="false">IF(A9="","",(1/Inputs!$B$9)*(PI()*(Inputs!$F$8/1000)^2/4)*((Inputs!$F$8/1000/4)^(2/3))*SQRT(P9))</f>
        <v>0.175330141020016</v>
      </c>
      <c r="AK9" s="9" t="n">
        <f aca="false">IF(A9="","",(1/Inputs!$B$9)*(PI()*(Inputs!$F$9/1000)^2/4)*((Inputs!$F$9/1000/4)^(2/3))*SQRT(P9))</f>
        <v>0.285106140832826</v>
      </c>
      <c r="AL9" s="9" t="n">
        <f aca="false">IF(A9="","",(1/Inputs!$B$9)*(PI()*(Inputs!$F$10/1000)^2/4)*((Inputs!$F$10/1000/4)^(2/3))*SQRT(P9))</f>
        <v>0.430062270986421</v>
      </c>
      <c r="AM9" s="9" t="n">
        <f aca="false">IF(A9="","",(1/Inputs!$B$9)*(PI()*(Inputs!$F$11/1000)^2/4)*((Inputs!$F$11/1000/4)^(2/3))*SQRT(P9))</f>
        <v>0.614011543289159</v>
      </c>
      <c r="AN9" s="9" t="n">
        <f aca="false">IF(A9="","",(1/Inputs!$B$9)*(PI()*(Inputs!$F$12/1000)^2/4)*((Inputs!$F$12/1000/4)^(2/3))*SQRT(P9))</f>
        <v>0.840588148151706</v>
      </c>
      <c r="AO9" s="9" t="n">
        <f aca="false">IF(A9="","",(1/Inputs!$B$9)*(PI()*(Inputs!$F$13/1000)^2/4)*((Inputs!$F$13/1000/4)^(2/3))*SQRT(P9))</f>
        <v>1.11327700118762</v>
      </c>
      <c r="AP9" s="9" t="n">
        <f aca="false">IF(A9="","",(1/Inputs!$B$9)*(PI()*(Inputs!$F$14/1000)^2/4)*((Inputs!$F$14/1000/4)^(2/3))*SQRT(P9))</f>
        <v>1.81031115152249</v>
      </c>
      <c r="AQ9" s="9" t="n">
        <f aca="false">IF(A9="","",COUNTIF($D$4:$D$203,$A9))</f>
        <v>2</v>
      </c>
      <c r="AR9" s="9" t="str">
        <f aca="false">IF(A9="","",IF(AQ9=0,"START","CONTINUOUS"))</f>
        <v>CONTINUOUS</v>
      </c>
      <c r="AS9" s="13" t="n">
        <f aca="false">IF(A9="","",IF(J9="",Inputs!$B$18,J9))</f>
        <v>5</v>
      </c>
      <c r="AT9" s="13" t="str">
        <f aca="false">IF(A9="","",IFERROR(maxifs($AV$4:$AV$203,$D$4:$D$203,$A9),""))</f>
        <v/>
      </c>
      <c r="AU9" s="13" t="n">
        <f aca="false">IF(A9="","",IF(OR(E9="",Inputs!$B$23=""),"",E9/(Inputs!$B$23*60)))</f>
        <v>0.645</v>
      </c>
      <c r="AV9" s="13" t="n">
        <f aca="false">IF(A9="","",IF(AQ9=0,AS9+AU9,IF(AT9="",AS9+AU9,AT9+AU9)))</f>
        <v>5.645</v>
      </c>
      <c r="AW9" s="13" t="n">
        <f aca="false">IF(A9="","",W9)</f>
        <v>0.940409013105672</v>
      </c>
      <c r="AX9" s="13" t="n">
        <f aca="false">IF(OR(T9="",P9=""),"",(1/Inputs!$B$9)*((T9/4)^(2/3))*SQRT(P9))</f>
        <v>1.21146254797584</v>
      </c>
      <c r="AY9" s="13" t="n">
        <f aca="false">IF(A9="","",IF(AND(AW9="",AX9="",BA9=""),"",IF(OR(UPPER(TRIM(Inputs!$B$24))="MANNING",UPPER(TRIM(Inputs!$B$24))="M"),AX9,IF(OR(UPPER(TRIM(Inputs!$B$24))="PARTIAL",UPPER(TRIM(Inputs!$B$24))="P"),BA9,IF(OR(UPPER(TRIM(Inputs!$B$24))="MAX",UPPER(TRIM(Inputs!$B$24))="X"),MAX(IF(AW9="",0,AW9),IF(AX9="",0,AX9),IF(BA9="",0,BA9)),AW9)))))</f>
        <v>1.33185569758454</v>
      </c>
      <c r="AZ9" s="13" t="n">
        <f aca="false">IF(BB9="","",CH9)</f>
        <v>0.1662255859375</v>
      </c>
      <c r="BA9" s="13" t="n">
        <f aca="false">IF(OR(BB9="",AZ9="",T9="",T9&lt;=0,AZ9&lt;=0),"",BB9/((T9^2/8)*(2*ACOS(1-2*AZ9/T9)-SIN(2*ACOS(1-2*AZ9/T9)))))</f>
        <v>1.33185569758454</v>
      </c>
      <c r="BB9" s="9" t="n">
        <f aca="false">IF(OR(N9="",BC9=""),"",MIN(N9,BC9))</f>
        <v>0.0461622194834751</v>
      </c>
      <c r="BC9" s="9" t="n">
        <f aca="false">IF(OR(N9="",T9="",P9=""),"",IF(OR(T9="",P9="",(0.94*T9)="",T9&lt;=0,(0.94*T9)&lt;=0),"",(1/Inputs!$B$9)*((T9^2/8)*((2*ACOS(1-2*(0.94*T9)/T9))-SIN((2*ACOS(1-2*(0.94*T9)/T9)))))*((((T9^2/8)*((2*ACOS(1-2*(0.94*T9)/T9))-SIN((2*ACOS(1-2*(0.94*T9)/T9)))))/((T9/2)*((2*ACOS(1-2*(0.94*T9)/T9)))))^(2/3))*SQRT(P9)))</f>
        <v>0.0639679981082312</v>
      </c>
      <c r="BD9" s="9" t="n">
        <f aca="false">IF(BB9="","",0.001*T9)</f>
        <v>0.00025</v>
      </c>
      <c r="BE9" s="9" t="n">
        <f aca="false">IF(BB9="","",0.94*T9)</f>
        <v>0.235</v>
      </c>
      <c r="BF9" s="9" t="n">
        <f aca="false">IF(BB9="","",(BD9+BE9)/2)</f>
        <v>0.117625</v>
      </c>
      <c r="BG9" s="9" t="n">
        <f aca="false">IF(OR(T9="",P9="",BF9="",T9&lt;=0,BF9&lt;=0),"",(1/Inputs!$B$9)*((T9^2/8)*((2*ACOS(1-2*BF9/T9))-SIN((2*ACOS(1-2*BF9/T9)))))*((((T9^2/8)*((2*ACOS(1-2*BF9/T9))-SIN((2*ACOS(1-2*BF9/T9)))))/((T9/2)*((2*ACOS(1-2*BF9/T9)))))^(2/3))*SQRT(P9))</f>
        <v>0.0267824153758586</v>
      </c>
      <c r="BH9" s="9" t="n">
        <f aca="false">IF(BB9="","",IF(BG9&lt;BB9,BF9,BD9))</f>
        <v>0.117625</v>
      </c>
      <c r="BI9" s="9" t="n">
        <f aca="false">IF(BB9="","",IF(BG9&lt;BB9,BE9,BF9))</f>
        <v>0.235</v>
      </c>
      <c r="BJ9" s="9" t="n">
        <f aca="false">IF(BB9="","",(BH9+BI9)/2)</f>
        <v>0.1763125</v>
      </c>
      <c r="BK9" s="9" t="n">
        <f aca="false">IF(OR(T9="",P9="",BJ9="",T9&lt;=0,BJ9&lt;=0),"",(1/Inputs!$B$9)*((T9^2/8)*((2*ACOS(1-2*BJ9/T9))-SIN((2*ACOS(1-2*BJ9/T9)))))*((((T9^2/8)*((2*ACOS(1-2*BJ9/T9))-SIN((2*ACOS(1-2*BJ9/T9)))))/((T9/2)*((2*ACOS(1-2*BJ9/T9)))))^(2/3))*SQRT(P9))</f>
        <v>0.050274513441306</v>
      </c>
      <c r="BL9" s="9" t="n">
        <f aca="false">IF(BB9="","",IF(BK9&lt;BB9,BJ9,BH9))</f>
        <v>0.117625</v>
      </c>
      <c r="BM9" s="9" t="n">
        <f aca="false">IF(BB9="","",IF(BK9&lt;BB9,BI9,BJ9))</f>
        <v>0.1763125</v>
      </c>
      <c r="BN9" s="9" t="n">
        <f aca="false">IF(BB9="","",(BL9+BM9)/2)</f>
        <v>0.14696875</v>
      </c>
      <c r="BO9" s="9" t="n">
        <f aca="false">IF(OR(T9="",P9="",BN9="",T9&lt;=0,BN9&lt;=0),"",(1/Inputs!$B$9)*((T9^2/8)*((2*ACOS(1-2*BN9/T9))-SIN((2*ACOS(1-2*BN9/T9)))))*((((T9^2/8)*((2*ACOS(1-2*BN9/T9))-SIN((2*ACOS(1-2*BN9/T9)))))/((T9/2)*((2*ACOS(1-2*BN9/T9)))))^(2/3))*SQRT(P9))</f>
        <v>0.0387144914893065</v>
      </c>
      <c r="BP9" s="9" t="n">
        <f aca="false">IF(BB9="","",IF(BO9&lt;BB9,BN9,BL9))</f>
        <v>0.14696875</v>
      </c>
      <c r="BQ9" s="9" t="n">
        <f aca="false">IF(BB9="","",IF(BO9&lt;BB9,BM9,BN9))</f>
        <v>0.1763125</v>
      </c>
      <c r="BR9" s="9" t="n">
        <f aca="false">IF(BB9="","",(BP9+BQ9)/2)</f>
        <v>0.161640625</v>
      </c>
      <c r="BS9" s="9" t="n">
        <f aca="false">IF(OR(T9="",P9="",BR9="",T9&lt;=0,BR9&lt;=0),"",(1/Inputs!$B$9)*((T9^2/8)*((2*ACOS(1-2*BR9/T9))-SIN((2*ACOS(1-2*BR9/T9)))))*((((T9^2/8)*((2*ACOS(1-2*BR9/T9))-SIN((2*ACOS(1-2*BR9/T9)))))/((T9/2)*((2*ACOS(1-2*BR9/T9)))))^(2/3))*SQRT(P9))</f>
        <v>0.0446415561085976</v>
      </c>
      <c r="BT9" s="9" t="n">
        <f aca="false">IF(BB9="","",IF(BS9&lt;BB9,BR9,BP9))</f>
        <v>0.161640625</v>
      </c>
      <c r="BU9" s="9" t="n">
        <f aca="false">IF(BB9="","",IF(BS9&lt;BB9,BQ9,BR9))</f>
        <v>0.1763125</v>
      </c>
      <c r="BV9" s="9" t="n">
        <f aca="false">IF(BB9="","",(BT9+BU9)/2)</f>
        <v>0.1689765625</v>
      </c>
      <c r="BW9" s="9" t="n">
        <f aca="false">IF(OR(T9="",P9="",BV9="",T9&lt;=0,BV9&lt;=0),"",(1/Inputs!$B$9)*((T9^2/8)*((2*ACOS(1-2*BV9/T9))-SIN((2*ACOS(1-2*BV9/T9)))))*((((T9^2/8)*((2*ACOS(1-2*BV9/T9))-SIN((2*ACOS(1-2*BV9/T9)))))/((T9/2)*((2*ACOS(1-2*BV9/T9)))))^(2/3))*SQRT(P9))</f>
        <v>0.0475087303820161</v>
      </c>
      <c r="BX9" s="9" t="n">
        <f aca="false">IF(BB9="","",IF(BW9&lt;BB9,BV9,BT9))</f>
        <v>0.161640625</v>
      </c>
      <c r="BY9" s="9" t="n">
        <f aca="false">IF(BB9="","",IF(BW9&lt;BB9,BU9,BV9))</f>
        <v>0.1689765625</v>
      </c>
      <c r="BZ9" s="9" t="n">
        <f aca="false">IF(BB9="","",(BX9+BY9)/2)</f>
        <v>0.16530859375</v>
      </c>
      <c r="CA9" s="9" t="n">
        <f aca="false">IF(OR(T9="",P9="",BZ9="",T9&lt;=0,BZ9&lt;=0),"",(1/Inputs!$B$9)*((T9^2/8)*((2*ACOS(1-2*BZ9/T9))-SIN((2*ACOS(1-2*BZ9/T9)))))*((((T9^2/8)*((2*ACOS(1-2*BZ9/T9))-SIN((2*ACOS(1-2*BZ9/T9)))))/((T9/2)*((2*ACOS(1-2*BZ9/T9)))))^(2/3))*SQRT(P9))</f>
        <v>0.0460859996467441</v>
      </c>
      <c r="CB9" s="9" t="n">
        <f aca="false">IF(BB9="","",IF(CA9&lt;BB9,BZ9,BX9))</f>
        <v>0.16530859375</v>
      </c>
      <c r="CC9" s="9" t="n">
        <f aca="false">IF(BB9="","",IF(CA9&lt;BB9,BY9,BZ9))</f>
        <v>0.1689765625</v>
      </c>
      <c r="CD9" s="9" t="n">
        <f aca="false">IF(BB9="","",(CB9+CC9)/2)</f>
        <v>0.167142578125</v>
      </c>
      <c r="CE9" s="9" t="n">
        <f aca="false">IF(OR(T9="",P9="",CD9="",T9&lt;=0,CD9&lt;=0),"",(1/Inputs!$B$9)*((T9^2/8)*((2*ACOS(1-2*CD9/T9))-SIN((2*ACOS(1-2*CD9/T9)))))*((((T9^2/8)*((2*ACOS(1-2*CD9/T9))-SIN((2*ACOS(1-2*CD9/T9)))))/((T9/2)*((2*ACOS(1-2*CD9/T9)))))^(2/3))*SQRT(P9))</f>
        <v>0.0468003009880689</v>
      </c>
      <c r="CF9" s="9" t="n">
        <f aca="false">IF(BB9="","",IF(CE9&lt;BB9,CD9,CB9))</f>
        <v>0.16530859375</v>
      </c>
      <c r="CG9" s="9" t="n">
        <f aca="false">IF(BB9="","",IF(CE9&lt;BB9,CC9,CD9))</f>
        <v>0.167142578125</v>
      </c>
      <c r="CH9" s="9" t="n">
        <f aca="false">IF(BB9="","",(CF9+CG9)/2)</f>
        <v>0.1662255859375</v>
      </c>
    </row>
    <row r="10" customFormat="false" ht="15" hidden="false" customHeight="false" outlineLevel="0" collapsed="false">
      <c r="A10" s="9" t="s">
        <v>238</v>
      </c>
      <c r="B10" s="9" t="s">
        <v>189</v>
      </c>
      <c r="C10" s="9" t="s">
        <v>190</v>
      </c>
      <c r="D10" s="9" t="s">
        <v>240</v>
      </c>
      <c r="E10" s="23" t="n">
        <v>12.41</v>
      </c>
      <c r="F10" s="14"/>
      <c r="G10" s="14" t="n">
        <f aca="false">SUMIFS(CB_plan!$C:$C,CB_plan!$B:$B,$A10)</f>
        <v>132.91</v>
      </c>
      <c r="H10" s="14" t="n">
        <f aca="false">IF(F10="",G10,F10)</f>
        <v>132.91</v>
      </c>
      <c r="I10" s="9"/>
      <c r="J10" s="14"/>
      <c r="K10" s="14" t="n">
        <f aca="false">IF(A10="","",Inputs!$B$13/((IF(AV10="",Inputs!$B$18,AV10)+Inputs!$B$14)^Inputs!$B$15))</f>
        <v>136.409585349162</v>
      </c>
      <c r="L10" s="14" t="n">
        <f aca="false">IF(A10="","",0.000000278*IF(I10="",Inputs!$B$17,I10)*H10*K10)</f>
        <v>0.00453617553678704</v>
      </c>
      <c r="M10" s="14" t="n">
        <f aca="false">IF(A10="","",SUMIFS($N$4:$N$203,$D$4:$D$203,$A10))</f>
        <v>0.00781154248756683</v>
      </c>
      <c r="N10" s="14" t="n">
        <f aca="false">IF(A10="","",(L10+M10)*Inputs!$B$16)</f>
        <v>0.0135824898267893</v>
      </c>
      <c r="O10" s="14"/>
      <c r="P10" s="24" t="n">
        <f aca="false">IF(A10="","",IF(O10="",Inputs!$B$7,O10))</f>
        <v>0.01</v>
      </c>
      <c r="Q10" s="9" t="n">
        <f aca="false">IF(A10="","",IF(N10/Inputs!$B$10&lt;=AG10,Inputs!$F$5,IF(N10/Inputs!$B$10&gt;AP10,"OVERSIZE",INDEX(Inputs!$F$5:$F$14,MATCH(N10/Inputs!$B$10,AG10:AP10,1)+1))))</f>
        <v>200</v>
      </c>
      <c r="R10" s="9"/>
      <c r="S10" s="25" t="n">
        <f aca="false">IF(A10="","",IF(R10="",Q10,R10))</f>
        <v>200</v>
      </c>
      <c r="T10" s="14" t="n">
        <f aca="false">IF(OR(S10="",S10="OVERSIZE"),"",S10/1000)</f>
        <v>0.2</v>
      </c>
      <c r="U10" s="14" t="n">
        <f aca="false">IF(T10="","",(1/Inputs!$B$9)*(PI()*T10^2/4)*((T10/4)^(2/3))*SQRT(P10))</f>
        <v>0.0327984401656511</v>
      </c>
      <c r="V10" s="14" t="n">
        <f aca="false">IF(OR(U10="",N10=""),"",N10/(U10*Inputs!$B$10))</f>
        <v>0.51764999182087</v>
      </c>
      <c r="W10" s="14" t="n">
        <f aca="false">IF(OR(T10="",N10=""),"",4*N10/(PI()*T10^2))</f>
        <v>0.432344079085778</v>
      </c>
      <c r="X10" s="14"/>
      <c r="Y10" s="14" t="n">
        <f aca="false">IF(A10="","",IF(A10=Inputs!$B$6,Inputs!$B$22,IF(D10="","",IFERROR(INDEX($Z$4:$Z$203,MATCH(D10,$A$4:$A$203,0))+IF(X10="",Inputs!$B$20,X10),""))))</f>
        <v>102.1212</v>
      </c>
      <c r="Z10" s="14" t="n">
        <f aca="false">IF(OR(Y10="",P10="",E10=""),"",Y10+P10*E10)</f>
        <v>102.2453</v>
      </c>
      <c r="AA10" s="14" t="n">
        <f aca="false">IF(C10="","",IFERROR(INDEX(Noeuds_plan!$C$4:$C$200,MATCH(C10,Noeuds_plan!$A$4:$A$200,0)),""))</f>
        <v>104</v>
      </c>
      <c r="AB10" s="14" t="n">
        <f aca="false">IF(B10="","",IFERROR(INDEX(Noeuds_plan!$C$4:$C$200,MATCH(B10,Noeuds_plan!$A$4:$A$200,0)),""))</f>
        <v>104</v>
      </c>
      <c r="AC10" s="14" t="n">
        <f aca="false">IF(OR(AA10="",Y10=""),"",AA10-Y10)</f>
        <v>1.87880000000001</v>
      </c>
      <c r="AD10" s="14" t="n">
        <f aca="false">IF(OR(AB10="",Z10=""),"",AB10-Z10)</f>
        <v>1.75470000000001</v>
      </c>
      <c r="AE10" s="19" t="str">
        <f aca="false">IF(A10="","",IF(OR(V10&gt;1,AND(AY10&lt;&gt;"",AY10&lt;Inputs!$B$11),AND(AY10&lt;&gt;"",AY10&gt;Inputs!$B$12),AC10&lt;Inputs!$B$19,AD10&lt;Inputs!$B$19,P10&lt;Inputs!$B$7,P10&gt;Inputs!$B$8),"CHECK","OK"))</f>
        <v>CHECK</v>
      </c>
      <c r="AF10" s="9" t="s">
        <v>262</v>
      </c>
      <c r="AG10" s="9" t="n">
        <f aca="false">IF(A10="","",(1/Inputs!$B$9)*(PI()*(Inputs!$F$5/1000)^2/4)*((Inputs!$F$5/1000/4)^(2/3))*SQRT(P10))</f>
        <v>0.0327984401656511</v>
      </c>
      <c r="AH10" s="9" t="n">
        <f aca="false">IF(A10="","",(1/Inputs!$B$9)*(PI()*(Inputs!$F$6/1000)^2/4)*((Inputs!$F$6/1000/4)^(2/3))*SQRT(P10))</f>
        <v>0.0594675287628136</v>
      </c>
      <c r="AI10" s="9" t="n">
        <f aca="false">IF(A10="","",(1/Inputs!$B$9)*(PI()*(Inputs!$F$7/1000)^2/4)*((Inputs!$F$7/1000/4)^(2/3))*SQRT(P10))</f>
        <v>0.0967007585335561</v>
      </c>
      <c r="AJ10" s="9" t="n">
        <f aca="false">IF(A10="","",(1/Inputs!$B$9)*(PI()*(Inputs!$F$8/1000)^2/4)*((Inputs!$F$8/1000/4)^(2/3))*SQRT(P10))</f>
        <v>0.175330141020016</v>
      </c>
      <c r="AK10" s="9" t="n">
        <f aca="false">IF(A10="","",(1/Inputs!$B$9)*(PI()*(Inputs!$F$9/1000)^2/4)*((Inputs!$F$9/1000/4)^(2/3))*SQRT(P10))</f>
        <v>0.285106140832826</v>
      </c>
      <c r="AL10" s="9" t="n">
        <f aca="false">IF(A10="","",(1/Inputs!$B$9)*(PI()*(Inputs!$F$10/1000)^2/4)*((Inputs!$F$10/1000/4)^(2/3))*SQRT(P10))</f>
        <v>0.430062270986421</v>
      </c>
      <c r="AM10" s="9" t="n">
        <f aca="false">IF(A10="","",(1/Inputs!$B$9)*(PI()*(Inputs!$F$11/1000)^2/4)*((Inputs!$F$11/1000/4)^(2/3))*SQRT(P10))</f>
        <v>0.614011543289159</v>
      </c>
      <c r="AN10" s="9" t="n">
        <f aca="false">IF(A10="","",(1/Inputs!$B$9)*(PI()*(Inputs!$F$12/1000)^2/4)*((Inputs!$F$12/1000/4)^(2/3))*SQRT(P10))</f>
        <v>0.840588148151706</v>
      </c>
      <c r="AO10" s="9" t="n">
        <f aca="false">IF(A10="","",(1/Inputs!$B$9)*(PI()*(Inputs!$F$13/1000)^2/4)*((Inputs!$F$13/1000/4)^(2/3))*SQRT(P10))</f>
        <v>1.11327700118762</v>
      </c>
      <c r="AP10" s="9" t="n">
        <f aca="false">IF(A10="","",(1/Inputs!$B$9)*(PI()*(Inputs!$F$14/1000)^2/4)*((Inputs!$F$14/1000/4)^(2/3))*SQRT(P10))</f>
        <v>1.81031115152249</v>
      </c>
      <c r="AQ10" s="9" t="n">
        <f aca="false">IF(A10="","",COUNTIF($D$4:$D$203,$A10))</f>
        <v>1</v>
      </c>
      <c r="AR10" s="9" t="str">
        <f aca="false">IF(A10="","",IF(AQ10=0,"START","CONTINUOUS"))</f>
        <v>CONTINUOUS</v>
      </c>
      <c r="AS10" s="13" t="n">
        <f aca="false">IF(A10="","",IF(J10="",Inputs!$B$18,J10))</f>
        <v>5</v>
      </c>
      <c r="AT10" s="13" t="str">
        <f aca="false">IF(A10="","",IFERROR(maxifs($AV$4:$AV$203,$D$4:$D$203,$A10),""))</f>
        <v/>
      </c>
      <c r="AU10" s="13" t="n">
        <f aca="false">IF(A10="","",IF(OR(E10="",Inputs!$B$23=""),"",E10/(Inputs!$B$23*60)))</f>
        <v>0.206833333333333</v>
      </c>
      <c r="AV10" s="13" t="n">
        <f aca="false">IF(A10="","",IF(AQ10=0,AS10+AU10,IF(AT10="",AS10+AU10,AT10+AU10)))</f>
        <v>5.20683333333333</v>
      </c>
      <c r="AW10" s="13" t="n">
        <f aca="false">IF(A10="","",W10)</f>
        <v>0.432344079085778</v>
      </c>
      <c r="AX10" s="13" t="n">
        <f aca="false">IF(OR(T10="",P10=""),"",(1/Inputs!$B$9)*((T10/4)^(2/3))*SQRT(P10))</f>
        <v>1.04400677561343</v>
      </c>
      <c r="AY10" s="13" t="n">
        <f aca="false">IF(A10="","",IF(AND(AW10="",AX10="",BA10=""),"",IF(OR(UPPER(TRIM(Inputs!$B$24))="MANNING",UPPER(TRIM(Inputs!$B$24))="M"),AX10,IF(OR(UPPER(TRIM(Inputs!$B$24))="PARTIAL",UPPER(TRIM(Inputs!$B$24))="P"),BA10,IF(OR(UPPER(TRIM(Inputs!$B$24))="MAX",UPPER(TRIM(Inputs!$B$24))="X"),MAX(IF(AW10="",0,AW10),IF(AX10="",0,AX10),IF(BA10="",0,BA10)),AW10)))))</f>
        <v>1.04400677561343</v>
      </c>
      <c r="AZ10" s="13" t="n">
        <f aca="false">IF(BB10="","",CH10)</f>
        <v>0.09043203125</v>
      </c>
      <c r="BA10" s="13" t="n">
        <f aca="false">IF(OR(BB10="",AZ10="",T10="",T10&lt;=0,AZ10&lt;=0),"",BB10/((T10^2/8)*(2*ACOS(1-2*AZ10/T10)-SIN(2*ACOS(1-2*AZ10/T10)))))</f>
        <v>0.984431481719113</v>
      </c>
      <c r="BB10" s="9" t="n">
        <f aca="false">IF(OR(N10="",BC10=""),"",MIN(N10,BC10))</f>
        <v>0.0135824898267893</v>
      </c>
      <c r="BC10" s="9" t="n">
        <f aca="false">IF(OR(N10="",T10="",P10=""),"",IF(OR(T10="",P10="",(0.94*T10)="",T10&lt;=0,(0.94*T10)&lt;=0),"",(1/Inputs!$B$9)*((T10^2/8)*((2*ACOS(1-2*(0.94*T10)/T10))-SIN((2*ACOS(1-2*(0.94*T10)/T10)))))*((((T10^2/8)*((2*ACOS(1-2*(0.94*T10)/T10))-SIN((2*ACOS(1-2*(0.94*T10)/T10)))))/((T10/2)*((2*ACOS(1-2*(0.94*T10)/T10)))))^(2/3))*SQRT(P10)))</f>
        <v>0.0352806077891244</v>
      </c>
      <c r="BD10" s="9" t="n">
        <f aca="false">IF(BB10="","",0.001*T10)</f>
        <v>0.0002</v>
      </c>
      <c r="BE10" s="9" t="n">
        <f aca="false">IF(BB10="","",0.94*T10)</f>
        <v>0.188</v>
      </c>
      <c r="BF10" s="9" t="n">
        <f aca="false">IF(BB10="","",(BD10+BE10)/2)</f>
        <v>0.0941</v>
      </c>
      <c r="BG10" s="9" t="n">
        <f aca="false">IF(OR(T10="",P10="",BF10="",T10&lt;=0,BF10&lt;=0),"",(1/Inputs!$B$9)*((T10^2/8)*((2*ACOS(1-2*BF10/T10))-SIN((2*ACOS(1-2*BF10/T10)))))*((((T10^2/8)*((2*ACOS(1-2*BF10/T10))-SIN((2*ACOS(1-2*BF10/T10)))))/((T10/2)*((2*ACOS(1-2*BF10/T10)))))^(2/3))*SQRT(P10))</f>
        <v>0.0147714469807598</v>
      </c>
      <c r="BH10" s="9" t="n">
        <f aca="false">IF(BB10="","",IF(BG10&lt;BB10,BF10,BD10))</f>
        <v>0.0002</v>
      </c>
      <c r="BI10" s="9" t="n">
        <f aca="false">IF(BB10="","",IF(BG10&lt;BB10,BE10,BF10))</f>
        <v>0.0941</v>
      </c>
      <c r="BJ10" s="9" t="n">
        <f aca="false">IF(BB10="","",(BH10+BI10)/2)</f>
        <v>0.04715</v>
      </c>
      <c r="BK10" s="9" t="n">
        <f aca="false">IF(OR(T10="",P10="",BJ10="",T10&lt;=0,BJ10&lt;=0),"",(1/Inputs!$B$9)*((T10^2/8)*((2*ACOS(1-2*BJ10/T10))-SIN((2*ACOS(1-2*BJ10/T10)))))*((((T10^2/8)*((2*ACOS(1-2*BJ10/T10))-SIN((2*ACOS(1-2*BJ10/T10)))))/((T10/2)*((2*ACOS(1-2*BJ10/T10)))))^(2/3))*SQRT(P10))</f>
        <v>0.00399781890601551</v>
      </c>
      <c r="BL10" s="9" t="n">
        <f aca="false">IF(BB10="","",IF(BK10&lt;BB10,BJ10,BH10))</f>
        <v>0.04715</v>
      </c>
      <c r="BM10" s="9" t="n">
        <f aca="false">IF(BB10="","",IF(BK10&lt;BB10,BI10,BJ10))</f>
        <v>0.0941</v>
      </c>
      <c r="BN10" s="9" t="n">
        <f aca="false">IF(BB10="","",(BL10+BM10)/2)</f>
        <v>0.070625</v>
      </c>
      <c r="BO10" s="9" t="n">
        <f aca="false">IF(OR(T10="",P10="",BN10="",T10&lt;=0,BN10&lt;=0),"",(1/Inputs!$B$9)*((T10^2/8)*((2*ACOS(1-2*BN10/T10))-SIN((2*ACOS(1-2*BN10/T10)))))*((((T10^2/8)*((2*ACOS(1-2*BN10/T10))-SIN((2*ACOS(1-2*BN10/T10)))))/((T10/2)*((2*ACOS(1-2*BN10/T10)))))^(2/3))*SQRT(P10))</f>
        <v>0.00876961165853846</v>
      </c>
      <c r="BP10" s="9" t="n">
        <f aca="false">IF(BB10="","",IF(BO10&lt;BB10,BN10,BL10))</f>
        <v>0.070625</v>
      </c>
      <c r="BQ10" s="9" t="n">
        <f aca="false">IF(BB10="","",IF(BO10&lt;BB10,BM10,BN10))</f>
        <v>0.0941</v>
      </c>
      <c r="BR10" s="9" t="n">
        <f aca="false">IF(BB10="","",(BP10+BQ10)/2)</f>
        <v>0.0823625</v>
      </c>
      <c r="BS10" s="9" t="n">
        <f aca="false">IF(OR(T10="",P10="",BR10="",T10&lt;=0,BR10&lt;=0),"",(1/Inputs!$B$9)*((T10^2/8)*((2*ACOS(1-2*BR10/T10))-SIN((2*ACOS(1-2*BR10/T10)))))*((((T10^2/8)*((2*ACOS(1-2*BR10/T10))-SIN((2*ACOS(1-2*BR10/T10)))))/((T10/2)*((2*ACOS(1-2*BR10/T10)))))^(2/3))*SQRT(P10))</f>
        <v>0.0116546013566984</v>
      </c>
      <c r="BT10" s="9" t="n">
        <f aca="false">IF(BB10="","",IF(BS10&lt;BB10,BR10,BP10))</f>
        <v>0.0823625</v>
      </c>
      <c r="BU10" s="9" t="n">
        <f aca="false">IF(BB10="","",IF(BS10&lt;BB10,BQ10,BR10))</f>
        <v>0.0941</v>
      </c>
      <c r="BV10" s="9" t="n">
        <f aca="false">IF(BB10="","",(BT10+BU10)/2)</f>
        <v>0.08823125</v>
      </c>
      <c r="BW10" s="9" t="n">
        <f aca="false">IF(OR(T10="",P10="",BV10="",T10&lt;=0,BV10&lt;=0),"",(1/Inputs!$B$9)*((T10^2/8)*((2*ACOS(1-2*BV10/T10))-SIN((2*ACOS(1-2*BV10/T10)))))*((((T10^2/8)*((2*ACOS(1-2*BV10/T10))-SIN((2*ACOS(1-2*BV10/T10)))))/((T10/2)*((2*ACOS(1-2*BV10/T10)))))^(2/3))*SQRT(P10))</f>
        <v>0.0131891841463524</v>
      </c>
      <c r="BX10" s="9" t="n">
        <f aca="false">IF(BB10="","",IF(BW10&lt;BB10,BV10,BT10))</f>
        <v>0.08823125</v>
      </c>
      <c r="BY10" s="9" t="n">
        <f aca="false">IF(BB10="","",IF(BW10&lt;BB10,BU10,BV10))</f>
        <v>0.0941</v>
      </c>
      <c r="BZ10" s="9" t="n">
        <f aca="false">IF(BB10="","",(BX10+BY10)/2)</f>
        <v>0.091165625</v>
      </c>
      <c r="CA10" s="9" t="n">
        <f aca="false">IF(OR(T10="",P10="",BZ10="",T10&lt;=0,BZ10&lt;=0),"",(1/Inputs!$B$9)*((T10^2/8)*((2*ACOS(1-2*BZ10/T10))-SIN((2*ACOS(1-2*BZ10/T10)))))*((((T10^2/8)*((2*ACOS(1-2*BZ10/T10))-SIN((2*ACOS(1-2*BZ10/T10)))))/((T10/2)*((2*ACOS(1-2*BZ10/T10)))))^(2/3))*SQRT(P10))</f>
        <v>0.0139750237418037</v>
      </c>
      <c r="CB10" s="9" t="n">
        <f aca="false">IF(BB10="","",IF(CA10&lt;BB10,BZ10,BX10))</f>
        <v>0.08823125</v>
      </c>
      <c r="CC10" s="9" t="n">
        <f aca="false">IF(BB10="","",IF(CA10&lt;BB10,BY10,BZ10))</f>
        <v>0.091165625</v>
      </c>
      <c r="CD10" s="9" t="n">
        <f aca="false">IF(BB10="","",(CB10+CC10)/2)</f>
        <v>0.0896984375</v>
      </c>
      <c r="CE10" s="9" t="n">
        <f aca="false">IF(OR(T10="",P10="",CD10="",T10&lt;=0,CD10&lt;=0),"",(1/Inputs!$B$9)*((T10^2/8)*((2*ACOS(1-2*CD10/T10))-SIN((2*ACOS(1-2*CD10/T10)))))*((((T10^2/8)*((2*ACOS(1-2*CD10/T10))-SIN((2*ACOS(1-2*CD10/T10)))))/((T10/2)*((2*ACOS(1-2*CD10/T10)))))^(2/3))*SQRT(P10))</f>
        <v>0.0135806963176811</v>
      </c>
      <c r="CF10" s="9" t="n">
        <f aca="false">IF(BB10="","",IF(CE10&lt;BB10,CD10,CB10))</f>
        <v>0.0896984375</v>
      </c>
      <c r="CG10" s="9" t="n">
        <f aca="false">IF(BB10="","",IF(CE10&lt;BB10,CC10,CD10))</f>
        <v>0.091165625</v>
      </c>
      <c r="CH10" s="9" t="n">
        <f aca="false">IF(BB10="","",(CF10+CG10)/2)</f>
        <v>0.09043203125</v>
      </c>
    </row>
    <row r="11" customFormat="false" ht="15" hidden="false" customHeight="false" outlineLevel="0" collapsed="false">
      <c r="A11" s="9" t="s">
        <v>240</v>
      </c>
      <c r="B11" s="9" t="s">
        <v>190</v>
      </c>
      <c r="C11" s="9" t="s">
        <v>191</v>
      </c>
      <c r="D11" s="9" t="s">
        <v>242</v>
      </c>
      <c r="E11" s="23" t="n">
        <v>10.17</v>
      </c>
      <c r="F11" s="14"/>
      <c r="G11" s="14" t="n">
        <f aca="false">SUMIFS(CB_plan!$C:$C,CB_plan!$B:$B,$A11)</f>
        <v>270.03</v>
      </c>
      <c r="H11" s="14" t="n">
        <f aca="false">IF(F11="",G11,F11)</f>
        <v>270.03</v>
      </c>
      <c r="I11" s="9"/>
      <c r="J11" s="14"/>
      <c r="K11" s="14" t="n">
        <f aca="false">IF(A11="","",Inputs!$B$13/((IF(AV11="",Inputs!$B$18,AV11)+Inputs!$B$14)^Inputs!$B$15))</f>
        <v>136.881202320239</v>
      </c>
      <c r="L11" s="14" t="n">
        <f aca="false">IF(A11="","",0.000000278*IF(I11="",Inputs!$B$17,I11)*H11*K11)</f>
        <v>0.00924790017184605</v>
      </c>
      <c r="M11" s="14" t="n">
        <f aca="false">IF(A11="","",SUMIFS($N$4:$N$203,$D$4:$D$203,$A11))</f>
        <v>0.0135824898267893</v>
      </c>
      <c r="N11" s="14" t="n">
        <f aca="false">IF(A11="","",(L11+M11)*Inputs!$B$16)</f>
        <v>0.0251134289984988</v>
      </c>
      <c r="O11" s="14"/>
      <c r="P11" s="24" t="n">
        <f aca="false">IF(A11="","",IF(O11="",Inputs!$B$7,O11))</f>
        <v>0.01</v>
      </c>
      <c r="Q11" s="9" t="n">
        <f aca="false">IF(A11="","",IF(N11/Inputs!$B$10&lt;=AG11,Inputs!$F$5,IF(N11/Inputs!$B$10&gt;AP11,"OVERSIZE",INDEX(Inputs!$F$5:$F$14,MATCH(N11/Inputs!$B$10,AG11:AP11,1)+1))))</f>
        <v>200</v>
      </c>
      <c r="R11" s="9"/>
      <c r="S11" s="25" t="n">
        <f aca="false">IF(A11="","",IF(R11="",Q11,R11))</f>
        <v>200</v>
      </c>
      <c r="T11" s="14" t="n">
        <f aca="false">IF(OR(S11="",S11="OVERSIZE"),"",S11/1000)</f>
        <v>0.2</v>
      </c>
      <c r="U11" s="14" t="n">
        <f aca="false">IF(T11="","",(1/Inputs!$B$9)*(PI()*T11^2/4)*((T11/4)^(2/3))*SQRT(P11))</f>
        <v>0.0327984401656511</v>
      </c>
      <c r="V11" s="14" t="n">
        <f aca="false">IF(OR(U11="",N11=""),"",N11/(U11*Inputs!$B$10))</f>
        <v>0.957112170261052</v>
      </c>
      <c r="W11" s="14" t="n">
        <f aca="false">IF(OR(T11="",N11=""),"",4*N11/(PI()*T11^2))</f>
        <v>0.799385272619687</v>
      </c>
      <c r="X11" s="14"/>
      <c r="Y11" s="14" t="n">
        <f aca="false">IF(A11="","",IF(A11=Inputs!$B$6,Inputs!$B$22,IF(D11="","",IFERROR(INDEX($Z$4:$Z$203,MATCH(D11,$A$4:$A$203,0))+IF(X11="",Inputs!$B$20,X11),""))))</f>
        <v>101.9995</v>
      </c>
      <c r="Z11" s="14" t="n">
        <f aca="false">IF(OR(Y11="",P11="",E11=""),"",Y11+P11*E11)</f>
        <v>102.1012</v>
      </c>
      <c r="AA11" s="14" t="n">
        <f aca="false">IF(C11="","",IFERROR(INDEX(Noeuds_plan!$C$4:$C$200,MATCH(C11,Noeuds_plan!$A$4:$A$200,0)),""))</f>
        <v>104.3</v>
      </c>
      <c r="AB11" s="14" t="n">
        <f aca="false">IF(B11="","",IFERROR(INDEX(Noeuds_plan!$C$4:$C$200,MATCH(B11,Noeuds_plan!$A$4:$A$200,0)),""))</f>
        <v>104</v>
      </c>
      <c r="AC11" s="14" t="n">
        <f aca="false">IF(OR(AA11="",Y11=""),"",AA11-Y11)</f>
        <v>2.3005</v>
      </c>
      <c r="AD11" s="14" t="n">
        <f aca="false">IF(OR(AB11="",Z11=""),"",AB11-Z11)</f>
        <v>1.89880000000001</v>
      </c>
      <c r="AE11" s="19" t="str">
        <f aca="false">IF(A11="","",IF(OR(V11&gt;1,AND(AY11&lt;&gt;"",AY11&lt;Inputs!$B$11),AND(AY11&lt;&gt;"",AY11&gt;Inputs!$B$12),AC11&lt;Inputs!$B$19,AD11&lt;Inputs!$B$19,P11&lt;Inputs!$B$7,P11&gt;Inputs!$B$8),"CHECK","OK"))</f>
        <v>CHECK</v>
      </c>
      <c r="AF11" s="9" t="s">
        <v>262</v>
      </c>
      <c r="AG11" s="9" t="n">
        <f aca="false">IF(A11="","",(1/Inputs!$B$9)*(PI()*(Inputs!$F$5/1000)^2/4)*((Inputs!$F$5/1000/4)^(2/3))*SQRT(P11))</f>
        <v>0.0327984401656511</v>
      </c>
      <c r="AH11" s="9" t="n">
        <f aca="false">IF(A11="","",(1/Inputs!$B$9)*(PI()*(Inputs!$F$6/1000)^2/4)*((Inputs!$F$6/1000/4)^(2/3))*SQRT(P11))</f>
        <v>0.0594675287628136</v>
      </c>
      <c r="AI11" s="9" t="n">
        <f aca="false">IF(A11="","",(1/Inputs!$B$9)*(PI()*(Inputs!$F$7/1000)^2/4)*((Inputs!$F$7/1000/4)^(2/3))*SQRT(P11))</f>
        <v>0.0967007585335561</v>
      </c>
      <c r="AJ11" s="9" t="n">
        <f aca="false">IF(A11="","",(1/Inputs!$B$9)*(PI()*(Inputs!$F$8/1000)^2/4)*((Inputs!$F$8/1000/4)^(2/3))*SQRT(P11))</f>
        <v>0.175330141020016</v>
      </c>
      <c r="AK11" s="9" t="n">
        <f aca="false">IF(A11="","",(1/Inputs!$B$9)*(PI()*(Inputs!$F$9/1000)^2/4)*((Inputs!$F$9/1000/4)^(2/3))*SQRT(P11))</f>
        <v>0.285106140832826</v>
      </c>
      <c r="AL11" s="9" t="n">
        <f aca="false">IF(A11="","",(1/Inputs!$B$9)*(PI()*(Inputs!$F$10/1000)^2/4)*((Inputs!$F$10/1000/4)^(2/3))*SQRT(P11))</f>
        <v>0.430062270986421</v>
      </c>
      <c r="AM11" s="9" t="n">
        <f aca="false">IF(A11="","",(1/Inputs!$B$9)*(PI()*(Inputs!$F$11/1000)^2/4)*((Inputs!$F$11/1000/4)^(2/3))*SQRT(P11))</f>
        <v>0.614011543289159</v>
      </c>
      <c r="AN11" s="9" t="n">
        <f aca="false">IF(A11="","",(1/Inputs!$B$9)*(PI()*(Inputs!$F$12/1000)^2/4)*((Inputs!$F$12/1000/4)^(2/3))*SQRT(P11))</f>
        <v>0.840588148151706</v>
      </c>
      <c r="AO11" s="9" t="n">
        <f aca="false">IF(A11="","",(1/Inputs!$B$9)*(PI()*(Inputs!$F$13/1000)^2/4)*((Inputs!$F$13/1000/4)^(2/3))*SQRT(P11))</f>
        <v>1.11327700118762</v>
      </c>
      <c r="AP11" s="9" t="n">
        <f aca="false">IF(A11="","",(1/Inputs!$B$9)*(PI()*(Inputs!$F$14/1000)^2/4)*((Inputs!$F$14/1000/4)^(2/3))*SQRT(P11))</f>
        <v>1.81031115152249</v>
      </c>
      <c r="AQ11" s="9" t="n">
        <f aca="false">IF(A11="","",COUNTIF($D$4:$D$203,$A11))</f>
        <v>1</v>
      </c>
      <c r="AR11" s="9" t="str">
        <f aca="false">IF(A11="","",IF(AQ11=0,"START","CONTINUOUS"))</f>
        <v>CONTINUOUS</v>
      </c>
      <c r="AS11" s="13" t="n">
        <f aca="false">IF(A11="","",IF(J11="",Inputs!$B$18,J11))</f>
        <v>5</v>
      </c>
      <c r="AT11" s="13" t="str">
        <f aca="false">IF(A11="","",IFERROR(maxifs($AV$4:$AV$203,$D$4:$D$203,$A11),""))</f>
        <v/>
      </c>
      <c r="AU11" s="13" t="n">
        <f aca="false">IF(A11="","",IF(OR(E11="",Inputs!$B$23=""),"",E11/(Inputs!$B$23*60)))</f>
        <v>0.1695</v>
      </c>
      <c r="AV11" s="13" t="n">
        <f aca="false">IF(A11="","",IF(AQ11=0,AS11+AU11,IF(AT11="",AS11+AU11,AT11+AU11)))</f>
        <v>5.1695</v>
      </c>
      <c r="AW11" s="13" t="n">
        <f aca="false">IF(A11="","",W11)</f>
        <v>0.799385272619687</v>
      </c>
      <c r="AX11" s="13" t="n">
        <f aca="false">IF(OR(T11="",P11=""),"",(1/Inputs!$B$9)*((T11/4)^(2/3))*SQRT(P11))</f>
        <v>1.04400677561343</v>
      </c>
      <c r="AY11" s="13" t="n">
        <f aca="false">IF(A11="","",IF(AND(AW11="",AX11="",BA11=""),"",IF(OR(UPPER(TRIM(Inputs!$B$24))="MANNING",UPPER(TRIM(Inputs!$B$24))="M"),AX11,IF(OR(UPPER(TRIM(Inputs!$B$24))="PARTIAL",UPPER(TRIM(Inputs!$B$24))="P"),BA11,IF(OR(UPPER(TRIM(Inputs!$B$24))="MAX",UPPER(TRIM(Inputs!$B$24))="X"),MAX(IF(AW11="",0,AW11),IF(AX11="",0,AX11),IF(BA11="",0,BA11)),AW11)))))</f>
        <v>1.14648641582082</v>
      </c>
      <c r="AZ11" s="13" t="n">
        <f aca="false">IF(BB11="","",CH11)</f>
        <v>0.13151328125</v>
      </c>
      <c r="BA11" s="13" t="n">
        <f aca="false">IF(OR(BB11="",AZ11="",T11="",T11&lt;=0,AZ11&lt;=0),"",BB11/((T11^2/8)*(2*ACOS(1-2*AZ11/T11)-SIN(2*ACOS(1-2*AZ11/T11)))))</f>
        <v>1.14648641582082</v>
      </c>
      <c r="BB11" s="9" t="n">
        <f aca="false">IF(OR(N11="",BC11=""),"",MIN(N11,BC11))</f>
        <v>0.0251134289984988</v>
      </c>
      <c r="BC11" s="9" t="n">
        <f aca="false">IF(OR(N11="",T11="",P11=""),"",IF(OR(T11="",P11="",(0.94*T11)="",T11&lt;=0,(0.94*T11)&lt;=0),"",(1/Inputs!$B$9)*((T11^2/8)*((2*ACOS(1-2*(0.94*T11)/T11))-SIN((2*ACOS(1-2*(0.94*T11)/T11)))))*((((T11^2/8)*((2*ACOS(1-2*(0.94*T11)/T11))-SIN((2*ACOS(1-2*(0.94*T11)/T11)))))/((T11/2)*((2*ACOS(1-2*(0.94*T11)/T11)))))^(2/3))*SQRT(P11)))</f>
        <v>0.0352806077891244</v>
      </c>
      <c r="BD11" s="9" t="n">
        <f aca="false">IF(BB11="","",0.001*T11)</f>
        <v>0.0002</v>
      </c>
      <c r="BE11" s="9" t="n">
        <f aca="false">IF(BB11="","",0.94*T11)</f>
        <v>0.188</v>
      </c>
      <c r="BF11" s="9" t="n">
        <f aca="false">IF(BB11="","",(BD11+BE11)/2)</f>
        <v>0.0941</v>
      </c>
      <c r="BG11" s="9" t="n">
        <f aca="false">IF(OR(T11="",P11="",BF11="",T11&lt;=0,BF11&lt;=0),"",(1/Inputs!$B$9)*((T11^2/8)*((2*ACOS(1-2*BF11/T11))-SIN((2*ACOS(1-2*BF11/T11)))))*((((T11^2/8)*((2*ACOS(1-2*BF11/T11))-SIN((2*ACOS(1-2*BF11/T11)))))/((T11/2)*((2*ACOS(1-2*BF11/T11)))))^(2/3))*SQRT(P11))</f>
        <v>0.0147714469807598</v>
      </c>
      <c r="BH11" s="9" t="n">
        <f aca="false">IF(BB11="","",IF(BG11&lt;BB11,BF11,BD11))</f>
        <v>0.0941</v>
      </c>
      <c r="BI11" s="9" t="n">
        <f aca="false">IF(BB11="","",IF(BG11&lt;BB11,BE11,BF11))</f>
        <v>0.188</v>
      </c>
      <c r="BJ11" s="9" t="n">
        <f aca="false">IF(BB11="","",(BH11+BI11)/2)</f>
        <v>0.14105</v>
      </c>
      <c r="BK11" s="9" t="n">
        <f aca="false">IF(OR(T11="",P11="",BJ11="",T11&lt;=0,BJ11&lt;=0),"",(1/Inputs!$B$9)*((T11^2/8)*((2*ACOS(1-2*BJ11/T11))-SIN((2*ACOS(1-2*BJ11/T11)))))*((((T11^2/8)*((2*ACOS(1-2*BJ11/T11))-SIN((2*ACOS(1-2*BJ11/T11)))))/((T11/2)*((2*ACOS(1-2*BJ11/T11)))))^(2/3))*SQRT(P11))</f>
        <v>0.0277281678803005</v>
      </c>
      <c r="BL11" s="9" t="n">
        <f aca="false">IF(BB11="","",IF(BK11&lt;BB11,BJ11,BH11))</f>
        <v>0.0941</v>
      </c>
      <c r="BM11" s="9" t="n">
        <f aca="false">IF(BB11="","",IF(BK11&lt;BB11,BI11,BJ11))</f>
        <v>0.14105</v>
      </c>
      <c r="BN11" s="9" t="n">
        <f aca="false">IF(BB11="","",(BL11+BM11)/2)</f>
        <v>0.117575</v>
      </c>
      <c r="BO11" s="9" t="n">
        <f aca="false">IF(OR(T11="",P11="",BN11="",T11&lt;=0,BN11&lt;=0),"",(1/Inputs!$B$9)*((T11^2/8)*((2*ACOS(1-2*BN11/T11))-SIN((2*ACOS(1-2*BN11/T11)))))*((((T11^2/8)*((2*ACOS(1-2*BN11/T11))-SIN((2*ACOS(1-2*BN11/T11)))))/((T11/2)*((2*ACOS(1-2*BN11/T11)))))^(2/3))*SQRT(P11))</f>
        <v>0.0213524079287055</v>
      </c>
      <c r="BP11" s="9" t="n">
        <f aca="false">IF(BB11="","",IF(BO11&lt;BB11,BN11,BL11))</f>
        <v>0.117575</v>
      </c>
      <c r="BQ11" s="9" t="n">
        <f aca="false">IF(BB11="","",IF(BO11&lt;BB11,BM11,BN11))</f>
        <v>0.14105</v>
      </c>
      <c r="BR11" s="9" t="n">
        <f aca="false">IF(BB11="","",(BP11+BQ11)/2)</f>
        <v>0.1293125</v>
      </c>
      <c r="BS11" s="9" t="n">
        <f aca="false">IF(OR(T11="",P11="",BR11="",T11&lt;=0,BR11&lt;=0),"",(1/Inputs!$B$9)*((T11^2/8)*((2*ACOS(1-2*BR11/T11))-SIN((2*ACOS(1-2*BR11/T11)))))*((((T11^2/8)*((2*ACOS(1-2*BR11/T11))-SIN((2*ACOS(1-2*BR11/T11)))))/((T11/2)*((2*ACOS(1-2*BR11/T11)))))^(2/3))*SQRT(P11))</f>
        <v>0.0246213931769261</v>
      </c>
      <c r="BT11" s="9" t="n">
        <f aca="false">IF(BB11="","",IF(BS11&lt;BB11,BR11,BP11))</f>
        <v>0.1293125</v>
      </c>
      <c r="BU11" s="9" t="n">
        <f aca="false">IF(BB11="","",IF(BS11&lt;BB11,BQ11,BR11))</f>
        <v>0.14105</v>
      </c>
      <c r="BV11" s="9" t="n">
        <f aca="false">IF(BB11="","",(BT11+BU11)/2)</f>
        <v>0.13518125</v>
      </c>
      <c r="BW11" s="9" t="n">
        <f aca="false">IF(OR(T11="",P11="",BV11="",T11&lt;=0,BV11&lt;=0),"",(1/Inputs!$B$9)*((T11^2/8)*((2*ACOS(1-2*BV11/T11))-SIN((2*ACOS(1-2*BV11/T11)))))*((((T11^2/8)*((2*ACOS(1-2*BV11/T11))-SIN((2*ACOS(1-2*BV11/T11)))))/((T11/2)*((2*ACOS(1-2*BV11/T11)))))^(2/3))*SQRT(P11))</f>
        <v>0.0262027409444831</v>
      </c>
      <c r="BX11" s="9" t="n">
        <f aca="false">IF(BB11="","",IF(BW11&lt;BB11,BV11,BT11))</f>
        <v>0.1293125</v>
      </c>
      <c r="BY11" s="9" t="n">
        <f aca="false">IF(BB11="","",IF(BW11&lt;BB11,BU11,BV11))</f>
        <v>0.13518125</v>
      </c>
      <c r="BZ11" s="9" t="n">
        <f aca="false">IF(BB11="","",(BX11+BY11)/2)</f>
        <v>0.132246875</v>
      </c>
      <c r="CA11" s="9" t="n">
        <f aca="false">IF(OR(T11="",P11="",BZ11="",T11&lt;=0,BZ11&lt;=0),"",(1/Inputs!$B$9)*((T11^2/8)*((2*ACOS(1-2*BZ11/T11))-SIN((2*ACOS(1-2*BZ11/T11)))))*((((T11^2/8)*((2*ACOS(1-2*BZ11/T11))-SIN((2*ACOS(1-2*BZ11/T11)))))/((T11/2)*((2*ACOS(1-2*BZ11/T11)))))^(2/3))*SQRT(P11))</f>
        <v>0.0254180547491181</v>
      </c>
      <c r="CB11" s="9" t="n">
        <f aca="false">IF(BB11="","",IF(CA11&lt;BB11,BZ11,BX11))</f>
        <v>0.1293125</v>
      </c>
      <c r="CC11" s="9" t="n">
        <f aca="false">IF(BB11="","",IF(CA11&lt;BB11,BY11,BZ11))</f>
        <v>0.132246875</v>
      </c>
      <c r="CD11" s="9" t="n">
        <f aca="false">IF(BB11="","",(CB11+CC11)/2)</f>
        <v>0.1307796875</v>
      </c>
      <c r="CE11" s="9" t="n">
        <f aca="false">IF(OR(T11="",P11="",CD11="",T11&lt;=0,CD11&lt;=0),"",(1/Inputs!$B$9)*((T11^2/8)*((2*ACOS(1-2*CD11/T11))-SIN((2*ACOS(1-2*CD11/T11)))))*((((T11^2/8)*((2*ACOS(1-2*CD11/T11))-SIN((2*ACOS(1-2*CD11/T11)))))/((T11/2)*((2*ACOS(1-2*CD11/T11)))))^(2/3))*SQRT(P11))</f>
        <v>0.0250210995964284</v>
      </c>
      <c r="CF11" s="9" t="n">
        <f aca="false">IF(BB11="","",IF(CE11&lt;BB11,CD11,CB11))</f>
        <v>0.1307796875</v>
      </c>
      <c r="CG11" s="9" t="n">
        <f aca="false">IF(BB11="","",IF(CE11&lt;BB11,CC11,CD11))</f>
        <v>0.132246875</v>
      </c>
      <c r="CH11" s="9" t="n">
        <f aca="false">IF(BB11="","",(CF11+CG11)/2)</f>
        <v>0.13151328125</v>
      </c>
    </row>
    <row r="12" customFormat="false" ht="15" hidden="false" customHeight="false" outlineLevel="0" collapsed="false">
      <c r="A12" s="9" t="s">
        <v>242</v>
      </c>
      <c r="B12" s="9" t="s">
        <v>191</v>
      </c>
      <c r="C12" s="9" t="s">
        <v>185</v>
      </c>
      <c r="D12" s="9" t="s">
        <v>235</v>
      </c>
      <c r="E12" s="23" t="n">
        <v>9.03</v>
      </c>
      <c r="F12" s="14"/>
      <c r="G12" s="14" t="n">
        <f aca="false">SUMIFS(CB_plan!$C:$C,CB_plan!$B:$B,$A12)</f>
        <v>0</v>
      </c>
      <c r="H12" s="14" t="n">
        <f aca="false">IF(F12="",G12,F12)</f>
        <v>0</v>
      </c>
      <c r="I12" s="9"/>
      <c r="J12" s="14"/>
      <c r="K12" s="14" t="n">
        <f aca="false">IF(A12="","",Inputs!$B$13/((IF(AV12="",Inputs!$B$18,AV12)+Inputs!$B$14)^Inputs!$B$15))</f>
        <v>137.122721300715</v>
      </c>
      <c r="L12" s="14" t="n">
        <f aca="false">IF(A12="","",0.000000278*IF(I12="",Inputs!$B$17,I12)*H12*K12)</f>
        <v>0</v>
      </c>
      <c r="M12" s="14" t="n">
        <f aca="false">IF(A12="","",SUMIFS($N$4:$N$203,$D$4:$D$203,$A12))</f>
        <v>0.0251134289984988</v>
      </c>
      <c r="N12" s="14" t="n">
        <f aca="false">IF(A12="","",(L12+M12)*Inputs!$B$16)</f>
        <v>0.0276247718983487</v>
      </c>
      <c r="O12" s="14"/>
      <c r="P12" s="24" t="n">
        <f aca="false">IF(A12="","",IF(O12="",Inputs!$B$7,O12))</f>
        <v>0.01</v>
      </c>
      <c r="Q12" s="9" t="n">
        <f aca="false">IF(A12="","",IF(N12/Inputs!$B$10&lt;=AG12,Inputs!$F$5,IF(N12/Inputs!$B$10&gt;AP12,"OVERSIZE",INDEX(Inputs!$F$5:$F$14,MATCH(N12/Inputs!$B$10,AG12:AP12,1)+1))))</f>
        <v>250</v>
      </c>
      <c r="R12" s="9"/>
      <c r="S12" s="25" t="n">
        <f aca="false">IF(A12="","",IF(R12="",Q12,R12))</f>
        <v>250</v>
      </c>
      <c r="T12" s="14" t="n">
        <f aca="false">IF(OR(S12="",S12="OVERSIZE"),"",S12/1000)</f>
        <v>0.25</v>
      </c>
      <c r="U12" s="14" t="n">
        <f aca="false">IF(T12="","",(1/Inputs!$B$9)*(PI()*T12^2/4)*((T12/4)^(2/3))*SQRT(P12))</f>
        <v>0.0594675287628136</v>
      </c>
      <c r="V12" s="14" t="n">
        <f aca="false">IF(OR(U12="",N12=""),"",N12/(U12*Inputs!$B$10))</f>
        <v>0.580669242380371</v>
      </c>
      <c r="W12" s="14" t="n">
        <f aca="false">IF(OR(T12="",N12=""),"",4*N12/(PI()*T12^2))</f>
        <v>0.56276723192426</v>
      </c>
      <c r="X12" s="14"/>
      <c r="Y12" s="14" t="n">
        <f aca="false">IF(A12="","",IF(A12=Inputs!$B$6,Inputs!$B$22,IF(D12="","",IFERROR(INDEX($Z$4:$Z$203,MATCH(D12,$A$4:$A$203,0))+IF(X12="",Inputs!$B$20,X12),""))))</f>
        <v>101.8892</v>
      </c>
      <c r="Z12" s="14" t="n">
        <f aca="false">IF(OR(Y12="",P12="",E12=""),"",Y12+P12*E12)</f>
        <v>101.9795</v>
      </c>
      <c r="AA12" s="14" t="n">
        <f aca="false">IF(C12="","",IFERROR(INDEX(Noeuds_plan!$C$4:$C$200,MATCH(C12,Noeuds_plan!$A$4:$A$200,0)),""))</f>
        <v>104.2</v>
      </c>
      <c r="AB12" s="14" t="n">
        <f aca="false">IF(B12="","",IFERROR(INDEX(Noeuds_plan!$C$4:$C$200,MATCH(B12,Noeuds_plan!$A$4:$A$200,0)),""))</f>
        <v>104.3</v>
      </c>
      <c r="AC12" s="14" t="n">
        <f aca="false">IF(OR(AA12="",Y12=""),"",AA12-Y12)</f>
        <v>2.3108</v>
      </c>
      <c r="AD12" s="14" t="n">
        <f aca="false">IF(OR(AB12="",Z12=""),"",AB12-Z12)</f>
        <v>2.3205</v>
      </c>
      <c r="AE12" s="19" t="str">
        <f aca="false">IF(A12="","",IF(OR(V12&gt;1,AND(AY12&lt;&gt;"",AY12&lt;Inputs!$B$11),AND(AY12&lt;&gt;"",AY12&gt;Inputs!$B$12),AC12&lt;Inputs!$B$19,AD12&lt;Inputs!$B$19,P12&lt;Inputs!$B$7,P12&gt;Inputs!$B$8),"CHECK","OK"))</f>
        <v>OK</v>
      </c>
      <c r="AF12" s="9" t="s">
        <v>263</v>
      </c>
      <c r="AG12" s="9" t="n">
        <f aca="false">IF(A12="","",(1/Inputs!$B$9)*(PI()*(Inputs!$F$5/1000)^2/4)*((Inputs!$F$5/1000/4)^(2/3))*SQRT(P12))</f>
        <v>0.0327984401656511</v>
      </c>
      <c r="AH12" s="9" t="n">
        <f aca="false">IF(A12="","",(1/Inputs!$B$9)*(PI()*(Inputs!$F$6/1000)^2/4)*((Inputs!$F$6/1000/4)^(2/3))*SQRT(P12))</f>
        <v>0.0594675287628136</v>
      </c>
      <c r="AI12" s="9" t="n">
        <f aca="false">IF(A12="","",(1/Inputs!$B$9)*(PI()*(Inputs!$F$7/1000)^2/4)*((Inputs!$F$7/1000/4)^(2/3))*SQRT(P12))</f>
        <v>0.0967007585335561</v>
      </c>
      <c r="AJ12" s="9" t="n">
        <f aca="false">IF(A12="","",(1/Inputs!$B$9)*(PI()*(Inputs!$F$8/1000)^2/4)*((Inputs!$F$8/1000/4)^(2/3))*SQRT(P12))</f>
        <v>0.175330141020016</v>
      </c>
      <c r="AK12" s="9" t="n">
        <f aca="false">IF(A12="","",(1/Inputs!$B$9)*(PI()*(Inputs!$F$9/1000)^2/4)*((Inputs!$F$9/1000/4)^(2/3))*SQRT(P12))</f>
        <v>0.285106140832826</v>
      </c>
      <c r="AL12" s="9" t="n">
        <f aca="false">IF(A12="","",(1/Inputs!$B$9)*(PI()*(Inputs!$F$10/1000)^2/4)*((Inputs!$F$10/1000/4)^(2/3))*SQRT(P12))</f>
        <v>0.430062270986421</v>
      </c>
      <c r="AM12" s="9" t="n">
        <f aca="false">IF(A12="","",(1/Inputs!$B$9)*(PI()*(Inputs!$F$11/1000)^2/4)*((Inputs!$F$11/1000/4)^(2/3))*SQRT(P12))</f>
        <v>0.614011543289159</v>
      </c>
      <c r="AN12" s="9" t="n">
        <f aca="false">IF(A12="","",(1/Inputs!$B$9)*(PI()*(Inputs!$F$12/1000)^2/4)*((Inputs!$F$12/1000/4)^(2/3))*SQRT(P12))</f>
        <v>0.840588148151706</v>
      </c>
      <c r="AO12" s="9" t="n">
        <f aca="false">IF(A12="","",(1/Inputs!$B$9)*(PI()*(Inputs!$F$13/1000)^2/4)*((Inputs!$F$13/1000/4)^(2/3))*SQRT(P12))</f>
        <v>1.11327700118762</v>
      </c>
      <c r="AP12" s="9" t="n">
        <f aca="false">IF(A12="","",(1/Inputs!$B$9)*(PI()*(Inputs!$F$14/1000)^2/4)*((Inputs!$F$14/1000/4)^(2/3))*SQRT(P12))</f>
        <v>1.81031115152249</v>
      </c>
      <c r="AQ12" s="9" t="n">
        <f aca="false">IF(A12="","",COUNTIF($D$4:$D$203,$A12))</f>
        <v>1</v>
      </c>
      <c r="AR12" s="9" t="str">
        <f aca="false">IF(A12="","",IF(AQ12=0,"START","CONTINUOUS"))</f>
        <v>CONTINUOUS</v>
      </c>
      <c r="AS12" s="13" t="n">
        <f aca="false">IF(A12="","",IF(J12="",Inputs!$B$18,J12))</f>
        <v>5</v>
      </c>
      <c r="AT12" s="13" t="str">
        <f aca="false">IF(A12="","",IFERROR(maxifs($AV$4:$AV$203,$D$4:$D$203,$A12),""))</f>
        <v/>
      </c>
      <c r="AU12" s="13" t="n">
        <f aca="false">IF(A12="","",IF(OR(E12="",Inputs!$B$23=""),"",E12/(Inputs!$B$23*60)))</f>
        <v>0.1505</v>
      </c>
      <c r="AV12" s="13" t="n">
        <f aca="false">IF(A12="","",IF(AQ12=0,AS12+AU12,IF(AT12="",AS12+AU12,AT12+AU12)))</f>
        <v>5.1505</v>
      </c>
      <c r="AW12" s="13" t="n">
        <f aca="false">IF(A12="","",W12)</f>
        <v>0.56276723192426</v>
      </c>
      <c r="AX12" s="13" t="n">
        <f aca="false">IF(OR(T12="",P12=""),"",(1/Inputs!$B$9)*((T12/4)^(2/3))*SQRT(P12))</f>
        <v>1.21146254797584</v>
      </c>
      <c r="AY12" s="13" t="n">
        <f aca="false">IF(A12="","",IF(AND(AW12="",AX12="",BA12=""),"",IF(OR(UPPER(TRIM(Inputs!$B$24))="MANNING",UPPER(TRIM(Inputs!$B$24))="M"),AX12,IF(OR(UPPER(TRIM(Inputs!$B$24))="PARTIAL",UPPER(TRIM(Inputs!$B$24))="P"),BA12,IF(OR(UPPER(TRIM(Inputs!$B$24))="MAX",UPPER(TRIM(Inputs!$B$24))="X"),MAX(IF(AW12="",0,AW12),IF(AX12="",0,AX12),IF(BA12="",0,BA12)),AW12)))))</f>
        <v>1.21146254797584</v>
      </c>
      <c r="AZ12" s="13" t="n">
        <f aca="false">IF(BB12="","",CH12)</f>
        <v>0.1203759765625</v>
      </c>
      <c r="BA12" s="13" t="n">
        <f aca="false">IF(OR(BB12="",AZ12="",T12="",T12&lt;=0,AZ12&lt;=0),"",BB12/((T12^2/8)*(2*ACOS(1-2*AZ12/T12)-SIN(2*ACOS(1-2*AZ12/T12)))))</f>
        <v>1.18115402867615</v>
      </c>
      <c r="BB12" s="9" t="n">
        <f aca="false">IF(OR(N12="",BC12=""),"",MIN(N12,BC12))</f>
        <v>0.0276247718983487</v>
      </c>
      <c r="BC12" s="9" t="n">
        <f aca="false">IF(OR(N12="",T12="",P12=""),"",IF(OR(T12="",P12="",(0.94*T12)="",T12&lt;=0,(0.94*T12)&lt;=0),"",(1/Inputs!$B$9)*((T12^2/8)*((2*ACOS(1-2*(0.94*T12)/T12))-SIN((2*ACOS(1-2*(0.94*T12)/T12)))))*((((T12^2/8)*((2*ACOS(1-2*(0.94*T12)/T12))-SIN((2*ACOS(1-2*(0.94*T12)/T12)))))/((T12/2)*((2*ACOS(1-2*(0.94*T12)/T12)))))^(2/3))*SQRT(P12)))</f>
        <v>0.0639679981082312</v>
      </c>
      <c r="BD12" s="9" t="n">
        <f aca="false">IF(BB12="","",0.001*T12)</f>
        <v>0.00025</v>
      </c>
      <c r="BE12" s="9" t="n">
        <f aca="false">IF(BB12="","",0.94*T12)</f>
        <v>0.235</v>
      </c>
      <c r="BF12" s="9" t="n">
        <f aca="false">IF(BB12="","",(BD12+BE12)/2)</f>
        <v>0.117625</v>
      </c>
      <c r="BG12" s="9" t="n">
        <f aca="false">IF(OR(T12="",P12="",BF12="",T12&lt;=0,BF12&lt;=0),"",(1/Inputs!$B$9)*((T12^2/8)*((2*ACOS(1-2*BF12/T12))-SIN((2*ACOS(1-2*BF12/T12)))))*((((T12^2/8)*((2*ACOS(1-2*BF12/T12))-SIN((2*ACOS(1-2*BF12/T12)))))/((T12/2)*((2*ACOS(1-2*BF12/T12)))))^(2/3))*SQRT(P12))</f>
        <v>0.0267824153758586</v>
      </c>
      <c r="BH12" s="9" t="n">
        <f aca="false">IF(BB12="","",IF(BG12&lt;BB12,BF12,BD12))</f>
        <v>0.117625</v>
      </c>
      <c r="BI12" s="9" t="n">
        <f aca="false">IF(BB12="","",IF(BG12&lt;BB12,BE12,BF12))</f>
        <v>0.235</v>
      </c>
      <c r="BJ12" s="9" t="n">
        <f aca="false">IF(BB12="","",(BH12+BI12)/2)</f>
        <v>0.1763125</v>
      </c>
      <c r="BK12" s="9" t="n">
        <f aca="false">IF(OR(T12="",P12="",BJ12="",T12&lt;=0,BJ12&lt;=0),"",(1/Inputs!$B$9)*((T12^2/8)*((2*ACOS(1-2*BJ12/T12))-SIN((2*ACOS(1-2*BJ12/T12)))))*((((T12^2/8)*((2*ACOS(1-2*BJ12/T12))-SIN((2*ACOS(1-2*BJ12/T12)))))/((T12/2)*((2*ACOS(1-2*BJ12/T12)))))^(2/3))*SQRT(P12))</f>
        <v>0.050274513441306</v>
      </c>
      <c r="BL12" s="9" t="n">
        <f aca="false">IF(BB12="","",IF(BK12&lt;BB12,BJ12,BH12))</f>
        <v>0.117625</v>
      </c>
      <c r="BM12" s="9" t="n">
        <f aca="false">IF(BB12="","",IF(BK12&lt;BB12,BI12,BJ12))</f>
        <v>0.1763125</v>
      </c>
      <c r="BN12" s="9" t="n">
        <f aca="false">IF(BB12="","",(BL12+BM12)/2)</f>
        <v>0.14696875</v>
      </c>
      <c r="BO12" s="9" t="n">
        <f aca="false">IF(OR(T12="",P12="",BN12="",T12&lt;=0,BN12&lt;=0),"",(1/Inputs!$B$9)*((T12^2/8)*((2*ACOS(1-2*BN12/T12))-SIN((2*ACOS(1-2*BN12/T12)))))*((((T12^2/8)*((2*ACOS(1-2*BN12/T12))-SIN((2*ACOS(1-2*BN12/T12)))))/((T12/2)*((2*ACOS(1-2*BN12/T12)))))^(2/3))*SQRT(P12))</f>
        <v>0.0387144914893065</v>
      </c>
      <c r="BP12" s="9" t="n">
        <f aca="false">IF(BB12="","",IF(BO12&lt;BB12,BN12,BL12))</f>
        <v>0.117625</v>
      </c>
      <c r="BQ12" s="9" t="n">
        <f aca="false">IF(BB12="","",IF(BO12&lt;BB12,BM12,BN12))</f>
        <v>0.14696875</v>
      </c>
      <c r="BR12" s="9" t="n">
        <f aca="false">IF(BB12="","",(BP12+BQ12)/2)</f>
        <v>0.132296875</v>
      </c>
      <c r="BS12" s="9" t="n">
        <f aca="false">IF(OR(T12="",P12="",BR12="",T12&lt;=0,BR12&lt;=0),"",(1/Inputs!$B$9)*((T12^2/8)*((2*ACOS(1-2*BR12/T12))-SIN((2*ACOS(1-2*BR12/T12)))))*((((T12^2/8)*((2*ACOS(1-2*BR12/T12))-SIN((2*ACOS(1-2*BR12/T12)))))/((T12/2)*((2*ACOS(1-2*BR12/T12)))))^(2/3))*SQRT(P12))</f>
        <v>0.0326997172055631</v>
      </c>
      <c r="BT12" s="9" t="n">
        <f aca="false">IF(BB12="","",IF(BS12&lt;BB12,BR12,BP12))</f>
        <v>0.117625</v>
      </c>
      <c r="BU12" s="9" t="n">
        <f aca="false">IF(BB12="","",IF(BS12&lt;BB12,BQ12,BR12))</f>
        <v>0.132296875</v>
      </c>
      <c r="BV12" s="9" t="n">
        <f aca="false">IF(BB12="","",(BT12+BU12)/2)</f>
        <v>0.1249609375</v>
      </c>
      <c r="BW12" s="9" t="n">
        <f aca="false">IF(OR(T12="",P12="",BV12="",T12&lt;=0,BV12&lt;=0),"",(1/Inputs!$B$9)*((T12^2/8)*((2*ACOS(1-2*BV12/T12))-SIN((2*ACOS(1-2*BV12/T12)))))*((((T12^2/8)*((2*ACOS(1-2*BV12/T12))-SIN((2*ACOS(1-2*BV12/T12)))))/((T12/2)*((2*ACOS(1-2*BV12/T12)))))^(2/3))*SQRT(P12))</f>
        <v>0.0297179907837987</v>
      </c>
      <c r="BX12" s="9" t="n">
        <f aca="false">IF(BB12="","",IF(BW12&lt;BB12,BV12,BT12))</f>
        <v>0.117625</v>
      </c>
      <c r="BY12" s="9" t="n">
        <f aca="false">IF(BB12="","",IF(BW12&lt;BB12,BU12,BV12))</f>
        <v>0.1249609375</v>
      </c>
      <c r="BZ12" s="9" t="n">
        <f aca="false">IF(BB12="","",(BX12+BY12)/2)</f>
        <v>0.12129296875</v>
      </c>
      <c r="CA12" s="9" t="n">
        <f aca="false">IF(OR(T12="",P12="",BZ12="",T12&lt;=0,BZ12&lt;=0),"",(1/Inputs!$B$9)*((T12^2/8)*((2*ACOS(1-2*BZ12/T12))-SIN((2*ACOS(1-2*BZ12/T12)))))*((((T12^2/8)*((2*ACOS(1-2*BZ12/T12))-SIN((2*ACOS(1-2*BZ12/T12)))))/((T12/2)*((2*ACOS(1-2*BZ12/T12)))))^(2/3))*SQRT(P12))</f>
        <v>0.0282431260479924</v>
      </c>
      <c r="CB12" s="9" t="n">
        <f aca="false">IF(BB12="","",IF(CA12&lt;BB12,BZ12,BX12))</f>
        <v>0.117625</v>
      </c>
      <c r="CC12" s="9" t="n">
        <f aca="false">IF(BB12="","",IF(CA12&lt;BB12,BY12,BZ12))</f>
        <v>0.12129296875</v>
      </c>
      <c r="CD12" s="9" t="n">
        <f aca="false">IF(BB12="","",(CB12+CC12)/2)</f>
        <v>0.119458984375</v>
      </c>
      <c r="CE12" s="9" t="n">
        <f aca="false">IF(OR(T12="",P12="",CD12="",T12&lt;=0,CD12&lt;=0),"",(1/Inputs!$B$9)*((T12^2/8)*((2*ACOS(1-2*CD12/T12))-SIN((2*ACOS(1-2*CD12/T12)))))*((((T12^2/8)*((2*ACOS(1-2*CD12/T12))-SIN((2*ACOS(1-2*CD12/T12)))))/((T12/2)*((2*ACOS(1-2*CD12/T12)))))^(2/3))*SQRT(P12))</f>
        <v>0.0275108410736048</v>
      </c>
      <c r="CF12" s="9" t="n">
        <f aca="false">IF(BB12="","",IF(CE12&lt;BB12,CD12,CB12))</f>
        <v>0.119458984375</v>
      </c>
      <c r="CG12" s="9" t="n">
        <f aca="false">IF(BB12="","",IF(CE12&lt;BB12,CC12,CD12))</f>
        <v>0.12129296875</v>
      </c>
      <c r="CH12" s="9" t="n">
        <f aca="false">IF(BB12="","",(CF12+CG12)/2)</f>
        <v>0.1203759765625</v>
      </c>
    </row>
    <row r="13" customFormat="false" ht="15" hidden="false" customHeight="false" outlineLevel="0" collapsed="false">
      <c r="A13" s="9" t="s">
        <v>246</v>
      </c>
      <c r="B13" s="9" t="s">
        <v>210</v>
      </c>
      <c r="C13" s="9" t="s">
        <v>189</v>
      </c>
      <c r="D13" s="9" t="s">
        <v>238</v>
      </c>
      <c r="E13" s="23" t="n">
        <v>12.25</v>
      </c>
      <c r="F13" s="14"/>
      <c r="G13" s="14" t="n">
        <f aca="false">SUMIFS(CB_plan!$C:$C,CB_plan!$B:$B,$A13)</f>
        <v>208.02</v>
      </c>
      <c r="H13" s="14" t="n">
        <f aca="false">IF(F13="",G13,F13)</f>
        <v>208.02</v>
      </c>
      <c r="I13" s="9"/>
      <c r="J13" s="14"/>
      <c r="K13" s="14" t="n">
        <f aca="false">IF(A13="","",Inputs!$B$13/((IF(AV13="",Inputs!$B$18,AV13)+Inputs!$B$14)^Inputs!$B$15))</f>
        <v>136.443143560805</v>
      </c>
      <c r="L13" s="14" t="n">
        <f aca="false">IF(A13="","",0.000000278*IF(I13="",Inputs!$B$17,I13)*H13*K13)</f>
        <v>0.00710140226142439</v>
      </c>
      <c r="M13" s="14" t="n">
        <f aca="false">IF(A13="","",SUMIFS($N$4:$N$203,$D$4:$D$203,$A13))</f>
        <v>0</v>
      </c>
      <c r="N13" s="14" t="n">
        <f aca="false">IF(A13="","",(L13+M13)*Inputs!$B$16)</f>
        <v>0.00781154248756683</v>
      </c>
      <c r="O13" s="14"/>
      <c r="P13" s="24" t="n">
        <f aca="false">IF(A13="","",IF(O13="",Inputs!$B$7,O13))</f>
        <v>0.01</v>
      </c>
      <c r="Q13" s="9" t="n">
        <f aca="false">IF(A13="","",IF(N13/Inputs!$B$10&lt;=AG13,Inputs!$F$5,IF(N13/Inputs!$B$10&gt;AP13,"OVERSIZE",INDEX(Inputs!$F$5:$F$14,MATCH(N13/Inputs!$B$10,AG13:AP13,1)+1))))</f>
        <v>200</v>
      </c>
      <c r="R13" s="9"/>
      <c r="S13" s="25" t="n">
        <f aca="false">IF(A13="","",IF(R13="",Q13,R13))</f>
        <v>200</v>
      </c>
      <c r="T13" s="14" t="n">
        <f aca="false">IF(OR(S13="",S13="OVERSIZE"),"",S13/1000)</f>
        <v>0.2</v>
      </c>
      <c r="U13" s="14" t="n">
        <f aca="false">IF(T13="","",(1/Inputs!$B$9)*(PI()*T13^2/4)*((T13/4)^(2/3))*SQRT(P13))</f>
        <v>0.0327984401656511</v>
      </c>
      <c r="V13" s="14" t="n">
        <f aca="false">IF(OR(U13="",N13=""),"",N13/(U13*Inputs!$B$10))</f>
        <v>0.297710136827926</v>
      </c>
      <c r="W13" s="14" t="n">
        <f aca="false">IF(OR(T13="",N13=""),"",4*N13/(PI()*T13^2))</f>
        <v>0.248649120013724</v>
      </c>
      <c r="X13" s="14"/>
      <c r="Y13" s="14" t="n">
        <f aca="false">IF(A13="","",IF(A13=Inputs!$B$6,Inputs!$B$22,IF(D13="","",IFERROR(INDEX($Z$4:$Z$203,MATCH(D13,$A$4:$A$203,0))+IF(X13="",Inputs!$B$20,X13),""))))</f>
        <v>102.2653</v>
      </c>
      <c r="Z13" s="14" t="n">
        <f aca="false">IF(OR(Y13="",P13="",E13=""),"",Y13+P13*E13)</f>
        <v>102.3878</v>
      </c>
      <c r="AA13" s="14" t="n">
        <f aca="false">IF(C13="","",IFERROR(INDEX(Noeuds_plan!$C$4:$C$200,MATCH(C13,Noeuds_plan!$A$4:$A$200,0)),""))</f>
        <v>104</v>
      </c>
      <c r="AB13" s="14" t="n">
        <f aca="false">IF(B13="","",IFERROR(INDEX(Noeuds_plan!$C$4:$C$200,MATCH(B13,Noeuds_plan!$A$4:$A$200,0)),""))</f>
        <v>104</v>
      </c>
      <c r="AC13" s="14" t="n">
        <f aca="false">IF(OR(AA13="",Y13=""),"",AA13-Y13)</f>
        <v>1.73470000000002</v>
      </c>
      <c r="AD13" s="14" t="n">
        <f aca="false">IF(OR(AB13="",Z13=""),"",AB13-Z13)</f>
        <v>1.61220000000002</v>
      </c>
      <c r="AE13" s="19" t="str">
        <f aca="false">IF(A13="","",IF(OR(V13&gt;1,AND(AY13&lt;&gt;"",AY13&lt;Inputs!$B$11),AND(AY13&lt;&gt;"",AY13&gt;Inputs!$B$12),AC13&lt;Inputs!$B$19,AD13&lt;Inputs!$B$19,P13&lt;Inputs!$B$7,P13&gt;Inputs!$B$8),"CHECK","OK"))</f>
        <v>CHECK</v>
      </c>
      <c r="AF13" s="9" t="s">
        <v>264</v>
      </c>
      <c r="AG13" s="9" t="n">
        <f aca="false">IF(A13="","",(1/Inputs!$B$9)*(PI()*(Inputs!$F$5/1000)^2/4)*((Inputs!$F$5/1000/4)^(2/3))*SQRT(P13))</f>
        <v>0.0327984401656511</v>
      </c>
      <c r="AH13" s="9" t="n">
        <f aca="false">IF(A13="","",(1/Inputs!$B$9)*(PI()*(Inputs!$F$6/1000)^2/4)*((Inputs!$F$6/1000/4)^(2/3))*SQRT(P13))</f>
        <v>0.0594675287628136</v>
      </c>
      <c r="AI13" s="9" t="n">
        <f aca="false">IF(A13="","",(1/Inputs!$B$9)*(PI()*(Inputs!$F$7/1000)^2/4)*((Inputs!$F$7/1000/4)^(2/3))*SQRT(P13))</f>
        <v>0.0967007585335561</v>
      </c>
      <c r="AJ13" s="9" t="n">
        <f aca="false">IF(A13="","",(1/Inputs!$B$9)*(PI()*(Inputs!$F$8/1000)^2/4)*((Inputs!$F$8/1000/4)^(2/3))*SQRT(P13))</f>
        <v>0.175330141020016</v>
      </c>
      <c r="AK13" s="9" t="n">
        <f aca="false">IF(A13="","",(1/Inputs!$B$9)*(PI()*(Inputs!$F$9/1000)^2/4)*((Inputs!$F$9/1000/4)^(2/3))*SQRT(P13))</f>
        <v>0.285106140832826</v>
      </c>
      <c r="AL13" s="9" t="n">
        <f aca="false">IF(A13="","",(1/Inputs!$B$9)*(PI()*(Inputs!$F$10/1000)^2/4)*((Inputs!$F$10/1000/4)^(2/3))*SQRT(P13))</f>
        <v>0.430062270986421</v>
      </c>
      <c r="AM13" s="9" t="n">
        <f aca="false">IF(A13="","",(1/Inputs!$B$9)*(PI()*(Inputs!$F$11/1000)^2/4)*((Inputs!$F$11/1000/4)^(2/3))*SQRT(P13))</f>
        <v>0.614011543289159</v>
      </c>
      <c r="AN13" s="9" t="n">
        <f aca="false">IF(A13="","",(1/Inputs!$B$9)*(PI()*(Inputs!$F$12/1000)^2/4)*((Inputs!$F$12/1000/4)^(2/3))*SQRT(P13))</f>
        <v>0.840588148151706</v>
      </c>
      <c r="AO13" s="9" t="n">
        <f aca="false">IF(A13="","",(1/Inputs!$B$9)*(PI()*(Inputs!$F$13/1000)^2/4)*((Inputs!$F$13/1000/4)^(2/3))*SQRT(P13))</f>
        <v>1.11327700118762</v>
      </c>
      <c r="AP13" s="9" t="n">
        <f aca="false">IF(A13="","",(1/Inputs!$B$9)*(PI()*(Inputs!$F$14/1000)^2/4)*((Inputs!$F$14/1000/4)^(2/3))*SQRT(P13))</f>
        <v>1.81031115152249</v>
      </c>
      <c r="AQ13" s="9" t="n">
        <f aca="false">IF(A13="","",COUNTIF($D$4:$D$203,$A13))</f>
        <v>0</v>
      </c>
      <c r="AR13" s="9" t="str">
        <f aca="false">IF(A13="","",IF(AQ13=0,"START","CONTINUOUS"))</f>
        <v>START</v>
      </c>
      <c r="AS13" s="13" t="n">
        <f aca="false">IF(A13="","",IF(J13="",Inputs!$B$18,J13))</f>
        <v>5</v>
      </c>
      <c r="AT13" s="13" t="str">
        <f aca="false">IF(A13="","",IFERROR(maxifs($AV$4:$AV$203,$D$4:$D$203,$A13),""))</f>
        <v/>
      </c>
      <c r="AU13" s="13" t="n">
        <f aca="false">IF(A13="","",IF(OR(E13="",Inputs!$B$23=""),"",E13/(Inputs!$B$23*60)))</f>
        <v>0.204166666666667</v>
      </c>
      <c r="AV13" s="13" t="n">
        <f aca="false">IF(A13="","",IF(AQ13=0,AS13+AU13,IF(AT13="",AS13+AU13,AT13+AU13)))</f>
        <v>5.20416666666667</v>
      </c>
      <c r="AW13" s="13" t="n">
        <f aca="false">IF(A13="","",W13)</f>
        <v>0.248649120013724</v>
      </c>
      <c r="AX13" s="13" t="n">
        <f aca="false">IF(OR(T13="",P13=""),"",(1/Inputs!$B$9)*((T13/4)^(2/3))*SQRT(P13))</f>
        <v>1.04400677561343</v>
      </c>
      <c r="AY13" s="13" t="n">
        <f aca="false">IF(A13="","",IF(AND(AW13="",AX13="",BA13=""),"",IF(OR(UPPER(TRIM(Inputs!$B$24))="MANNING",UPPER(TRIM(Inputs!$B$24))="M"),AX13,IF(OR(UPPER(TRIM(Inputs!$B$24))="PARTIAL",UPPER(TRIM(Inputs!$B$24))="P"),BA13,IF(OR(UPPER(TRIM(Inputs!$B$24))="MAX",UPPER(TRIM(Inputs!$B$24))="X"),MAX(IF(AW13="",0,AW13),IF(AX13="",0,AX13),IF(BA13="",0,BA13)),AW13)))))</f>
        <v>1.04400677561343</v>
      </c>
      <c r="AZ13" s="13" t="n">
        <f aca="false">IF(BB13="","",CH13)</f>
        <v>0.06695703125</v>
      </c>
      <c r="BA13" s="13" t="n">
        <f aca="false">IF(OR(BB13="",AZ13="",T13="",T13&lt;=0,AZ13&lt;=0),"",BB13/((T13^2/8)*(2*ACOS(1-2*AZ13/T13)-SIN(2*ACOS(1-2*AZ13/T13)))))</f>
        <v>0.8470846468419</v>
      </c>
      <c r="BB13" s="9" t="n">
        <f aca="false">IF(OR(N13="",BC13=""),"",MIN(N13,BC13))</f>
        <v>0.00781154248756683</v>
      </c>
      <c r="BC13" s="9" t="n">
        <f aca="false">IF(OR(N13="",T13="",P13=""),"",IF(OR(T13="",P13="",(0.94*T13)="",T13&lt;=0,(0.94*T13)&lt;=0),"",(1/Inputs!$B$9)*((T13^2/8)*((2*ACOS(1-2*(0.94*T13)/T13))-SIN((2*ACOS(1-2*(0.94*T13)/T13)))))*((((T13^2/8)*((2*ACOS(1-2*(0.94*T13)/T13))-SIN((2*ACOS(1-2*(0.94*T13)/T13)))))/((T13/2)*((2*ACOS(1-2*(0.94*T13)/T13)))))^(2/3))*SQRT(P13)))</f>
        <v>0.0352806077891244</v>
      </c>
      <c r="BD13" s="9" t="n">
        <f aca="false">IF(BB13="","",0.001*T13)</f>
        <v>0.0002</v>
      </c>
      <c r="BE13" s="9" t="n">
        <f aca="false">IF(BB13="","",0.94*T13)</f>
        <v>0.188</v>
      </c>
      <c r="BF13" s="9" t="n">
        <f aca="false">IF(BB13="","",(BD13+BE13)/2)</f>
        <v>0.0941</v>
      </c>
      <c r="BG13" s="9" t="n">
        <f aca="false">IF(OR(T13="",P13="",BF13="",T13&lt;=0,BF13&lt;=0),"",(1/Inputs!$B$9)*((T13^2/8)*((2*ACOS(1-2*BF13/T13))-SIN((2*ACOS(1-2*BF13/T13)))))*((((T13^2/8)*((2*ACOS(1-2*BF13/T13))-SIN((2*ACOS(1-2*BF13/T13)))))/((T13/2)*((2*ACOS(1-2*BF13/T13)))))^(2/3))*SQRT(P13))</f>
        <v>0.0147714469807598</v>
      </c>
      <c r="BH13" s="9" t="n">
        <f aca="false">IF(BB13="","",IF(BG13&lt;BB13,BF13,BD13))</f>
        <v>0.0002</v>
      </c>
      <c r="BI13" s="9" t="n">
        <f aca="false">IF(BB13="","",IF(BG13&lt;BB13,BE13,BF13))</f>
        <v>0.0941</v>
      </c>
      <c r="BJ13" s="9" t="n">
        <f aca="false">IF(BB13="","",(BH13+BI13)/2)</f>
        <v>0.04715</v>
      </c>
      <c r="BK13" s="9" t="n">
        <f aca="false">IF(OR(T13="",P13="",BJ13="",T13&lt;=0,BJ13&lt;=0),"",(1/Inputs!$B$9)*((T13^2/8)*((2*ACOS(1-2*BJ13/T13))-SIN((2*ACOS(1-2*BJ13/T13)))))*((((T13^2/8)*((2*ACOS(1-2*BJ13/T13))-SIN((2*ACOS(1-2*BJ13/T13)))))/((T13/2)*((2*ACOS(1-2*BJ13/T13)))))^(2/3))*SQRT(P13))</f>
        <v>0.00399781890601551</v>
      </c>
      <c r="BL13" s="9" t="n">
        <f aca="false">IF(BB13="","",IF(BK13&lt;BB13,BJ13,BH13))</f>
        <v>0.04715</v>
      </c>
      <c r="BM13" s="9" t="n">
        <f aca="false">IF(BB13="","",IF(BK13&lt;BB13,BI13,BJ13))</f>
        <v>0.0941</v>
      </c>
      <c r="BN13" s="9" t="n">
        <f aca="false">IF(BB13="","",(BL13+BM13)/2)</f>
        <v>0.070625</v>
      </c>
      <c r="BO13" s="9" t="n">
        <f aca="false">IF(OR(T13="",P13="",BN13="",T13&lt;=0,BN13&lt;=0),"",(1/Inputs!$B$9)*((T13^2/8)*((2*ACOS(1-2*BN13/T13))-SIN((2*ACOS(1-2*BN13/T13)))))*((((T13^2/8)*((2*ACOS(1-2*BN13/T13))-SIN((2*ACOS(1-2*BN13/T13)))))/((T13/2)*((2*ACOS(1-2*BN13/T13)))))^(2/3))*SQRT(P13))</f>
        <v>0.00876961165853846</v>
      </c>
      <c r="BP13" s="9" t="n">
        <f aca="false">IF(BB13="","",IF(BO13&lt;BB13,BN13,BL13))</f>
        <v>0.04715</v>
      </c>
      <c r="BQ13" s="9" t="n">
        <f aca="false">IF(BB13="","",IF(BO13&lt;BB13,BM13,BN13))</f>
        <v>0.070625</v>
      </c>
      <c r="BR13" s="9" t="n">
        <f aca="false">IF(BB13="","",(BP13+BQ13)/2)</f>
        <v>0.0588875</v>
      </c>
      <c r="BS13" s="9" t="n">
        <f aca="false">IF(OR(T13="",P13="",BR13="",T13&lt;=0,BR13&lt;=0),"",(1/Inputs!$B$9)*((T13^2/8)*((2*ACOS(1-2*BR13/T13))-SIN((2*ACOS(1-2*BR13/T13)))))*((((T13^2/8)*((2*ACOS(1-2*BR13/T13))-SIN((2*ACOS(1-2*BR13/T13)))))/((T13/2)*((2*ACOS(1-2*BR13/T13)))))^(2/3))*SQRT(P13))</f>
        <v>0.00619408352666648</v>
      </c>
      <c r="BT13" s="9" t="n">
        <f aca="false">IF(BB13="","",IF(BS13&lt;BB13,BR13,BP13))</f>
        <v>0.0588875</v>
      </c>
      <c r="BU13" s="9" t="n">
        <f aca="false">IF(BB13="","",IF(BS13&lt;BB13,BQ13,BR13))</f>
        <v>0.070625</v>
      </c>
      <c r="BV13" s="9" t="n">
        <f aca="false">IF(BB13="","",(BT13+BU13)/2)</f>
        <v>0.06475625</v>
      </c>
      <c r="BW13" s="9" t="n">
        <f aca="false">IF(OR(T13="",P13="",BV13="",T13&lt;=0,BV13&lt;=0),"",(1/Inputs!$B$9)*((T13^2/8)*((2*ACOS(1-2*BV13/T13))-SIN((2*ACOS(1-2*BV13/T13)))))*((((T13^2/8)*((2*ACOS(1-2*BV13/T13))-SIN((2*ACOS(1-2*BV13/T13)))))/((T13/2)*((2*ACOS(1-2*BV13/T13)))))^(2/3))*SQRT(P13))</f>
        <v>0.00743861076905202</v>
      </c>
      <c r="BX13" s="9" t="n">
        <f aca="false">IF(BB13="","",IF(BW13&lt;BB13,BV13,BT13))</f>
        <v>0.06475625</v>
      </c>
      <c r="BY13" s="9" t="n">
        <f aca="false">IF(BB13="","",IF(BW13&lt;BB13,BU13,BV13))</f>
        <v>0.070625</v>
      </c>
      <c r="BZ13" s="9" t="n">
        <f aca="false">IF(BB13="","",(BX13+BY13)/2)</f>
        <v>0.067690625</v>
      </c>
      <c r="CA13" s="9" t="n">
        <f aca="false">IF(OR(T13="",P13="",BZ13="",T13&lt;=0,BZ13&lt;=0),"",(1/Inputs!$B$9)*((T13^2/8)*((2*ACOS(1-2*BZ13/T13))-SIN((2*ACOS(1-2*BZ13/T13)))))*((((T13^2/8)*((2*ACOS(1-2*BZ13/T13))-SIN((2*ACOS(1-2*BZ13/T13)))))/((T13/2)*((2*ACOS(1-2*BZ13/T13)))))^(2/3))*SQRT(P13))</f>
        <v>0.00809385221160298</v>
      </c>
      <c r="CB13" s="9" t="n">
        <f aca="false">IF(BB13="","",IF(CA13&lt;BB13,BZ13,BX13))</f>
        <v>0.06475625</v>
      </c>
      <c r="CC13" s="9" t="n">
        <f aca="false">IF(BB13="","",IF(CA13&lt;BB13,BY13,BZ13))</f>
        <v>0.067690625</v>
      </c>
      <c r="CD13" s="9" t="n">
        <f aca="false">IF(BB13="","",(CB13+CC13)/2)</f>
        <v>0.0662234375</v>
      </c>
      <c r="CE13" s="9" t="n">
        <f aca="false">IF(OR(T13="",P13="",CD13="",T13&lt;=0,CD13&lt;=0),"",(1/Inputs!$B$9)*((T13^2/8)*((2*ACOS(1-2*CD13/T13))-SIN((2*ACOS(1-2*CD13/T13)))))*((((T13^2/8)*((2*ACOS(1-2*CD13/T13))-SIN((2*ACOS(1-2*CD13/T13)))))/((T13/2)*((2*ACOS(1-2*CD13/T13)))))^(2/3))*SQRT(P13))</f>
        <v>0.00776359673969401</v>
      </c>
      <c r="CF13" s="9" t="n">
        <f aca="false">IF(BB13="","",IF(CE13&lt;BB13,CD13,CB13))</f>
        <v>0.0662234375</v>
      </c>
      <c r="CG13" s="9" t="n">
        <f aca="false">IF(BB13="","",IF(CE13&lt;BB13,CC13,CD13))</f>
        <v>0.067690625</v>
      </c>
      <c r="CH13" s="9" t="n">
        <f aca="false">IF(BB13="","",(CF13+CG13)/2)</f>
        <v>0.06695703125</v>
      </c>
    </row>
    <row r="14" customFormat="false" ht="15" hidden="false" customHeight="false" outlineLevel="0" collapsed="false">
      <c r="A14" s="9" t="s">
        <v>52</v>
      </c>
      <c r="B14" s="9" t="s">
        <v>202</v>
      </c>
      <c r="C14" s="9" t="s">
        <v>212</v>
      </c>
      <c r="D14" s="9"/>
      <c r="E14" s="23" t="n">
        <v>6.22</v>
      </c>
      <c r="F14" s="14"/>
      <c r="G14" s="14" t="n">
        <f aca="false">SUMIFS(CB_plan!$C:$C,CB_plan!$B:$B,$A14)</f>
        <v>0</v>
      </c>
      <c r="H14" s="14" t="n">
        <f aca="false">IF(F14="",G14,F14)</f>
        <v>0</v>
      </c>
      <c r="I14" s="9"/>
      <c r="J14" s="14"/>
      <c r="K14" s="14" t="n">
        <f aca="false">IF(A14="","",Inputs!$B$13/((IF(AV14="",Inputs!$B$18,AV14)+Inputs!$B$14)^Inputs!$B$15))</f>
        <v>137.722416639501</v>
      </c>
      <c r="L14" s="14" t="n">
        <f aca="false">IF(A14="","",0.000000278*IF(I14="",Inputs!$B$17,I14)*H14*K14)</f>
        <v>0</v>
      </c>
      <c r="M14" s="14" t="n">
        <f aca="false">IF(A14="","",SUMIFS($N$4:$N$203,$D$4:$D$203,$A14))</f>
        <v>0.065419015551927</v>
      </c>
      <c r="N14" s="14" t="n">
        <f aca="false">IF(A14="","",(L14+M14)*Inputs!$B$16)</f>
        <v>0.0719609171071197</v>
      </c>
      <c r="O14" s="14"/>
      <c r="P14" s="24" t="n">
        <f aca="false">IF(A14="","",IF(O14="",Inputs!$B$7,O14))</f>
        <v>0.01</v>
      </c>
      <c r="Q14" s="9" t="n">
        <v>375</v>
      </c>
      <c r="R14" s="9"/>
      <c r="S14" s="25" t="n">
        <f aca="false">IF(A14="","",IF(R14="",Q14,R14))</f>
        <v>375</v>
      </c>
      <c r="T14" s="14" t="n">
        <f aca="false">IF(OR(S14="",S14="OVERSIZE"),"",S14/1000)</f>
        <v>0.375</v>
      </c>
      <c r="U14" s="14" t="n">
        <f aca="false">IF(T14="","",(1/Inputs!$B$9)*(PI()*T14^2/4)*((T14/4)^(2/3))*SQRT(P14))</f>
        <v>0.175330141020016</v>
      </c>
      <c r="V14" s="14" t="n">
        <f aca="false">IF(OR(U14="",N14=""),"",N14/(U14*Inputs!$B$10))</f>
        <v>0.513038692951435</v>
      </c>
      <c r="W14" s="14" t="n">
        <f aca="false">IF(OR(T14="",N14=""),"",4*N14/(PI()*T14^2))</f>
        <v>0.651544784612934</v>
      </c>
      <c r="X14" s="14"/>
      <c r="Y14" s="14" t="n">
        <f aca="false">IF(A14="","",IF(A14=Inputs!$B$6,Inputs!$B$22,IF(D14="","",IFERROR(INDEX($Z$4:$Z$203,MATCH(D14,$A$4:$A$203,0))+IF(X14="",Inputs!$B$20,X14),""))))</f>
        <v>101.4</v>
      </c>
      <c r="Z14" s="14" t="n">
        <f aca="false">IF(OR(Y14="",P14="",E14=""),"",Y14+P14*E14)</f>
        <v>101.4622</v>
      </c>
      <c r="AA14" s="14" t="n">
        <f aca="false">IF(C14="","",IFERROR(INDEX(Noeuds_plan!$C$4:$C$200,MATCH(C14,Noeuds_plan!$A$4:$A$200,0)),""))</f>
        <v>104</v>
      </c>
      <c r="AB14" s="14" t="n">
        <f aca="false">IF(B14="","",IFERROR(INDEX(Noeuds_plan!$C$4:$C$200,MATCH(B14,Noeuds_plan!$A$4:$A$200,0)),""))</f>
        <v>104</v>
      </c>
      <c r="AC14" s="14" t="n">
        <f aca="false">IF(OR(AA14="",Y14=""),"",AA14-Y14)</f>
        <v>2.59999999999999</v>
      </c>
      <c r="AD14" s="14" t="n">
        <f aca="false">IF(OR(AB14="",Z14=""),"",AB14-Z14)</f>
        <v>2.53779999999999</v>
      </c>
      <c r="AE14" s="19" t="str">
        <f aca="false">IF(A14="","",IF(OR(V14&gt;1,AND(AY14&lt;&gt;"",AY14&lt;Inputs!$B$11),AND(AY14&lt;&gt;"",AY14&gt;Inputs!$B$12),AC14&lt;Inputs!$B$19,AD14&lt;Inputs!$B$19,P14&lt;Inputs!$B$7,P14&gt;Inputs!$B$8),"CHECK","OK"))</f>
        <v>OK</v>
      </c>
      <c r="AF14" s="9" t="s">
        <v>265</v>
      </c>
      <c r="AG14" s="9" t="n">
        <f aca="false">IF(A14="","",(1/Inputs!$B$9)*(PI()*(Inputs!$F$5/1000)^2/4)*((Inputs!$F$5/1000/4)^(2/3))*SQRT(P14))</f>
        <v>0.0327984401656511</v>
      </c>
      <c r="AH14" s="9" t="n">
        <f aca="false">IF(A14="","",(1/Inputs!$B$9)*(PI()*(Inputs!$F$6/1000)^2/4)*((Inputs!$F$6/1000/4)^(2/3))*SQRT(P14))</f>
        <v>0.0594675287628136</v>
      </c>
      <c r="AI14" s="9" t="n">
        <f aca="false">IF(A14="","",(1/Inputs!$B$9)*(PI()*(Inputs!$F$7/1000)^2/4)*((Inputs!$F$7/1000/4)^(2/3))*SQRT(P14))</f>
        <v>0.0967007585335561</v>
      </c>
      <c r="AJ14" s="9" t="n">
        <f aca="false">IF(A14="","",(1/Inputs!$B$9)*(PI()*(Inputs!$F$8/1000)^2/4)*((Inputs!$F$8/1000/4)^(2/3))*SQRT(P14))</f>
        <v>0.175330141020016</v>
      </c>
      <c r="AK14" s="9" t="n">
        <f aca="false">IF(A14="","",(1/Inputs!$B$9)*(PI()*(Inputs!$F$9/1000)^2/4)*((Inputs!$F$9/1000/4)^(2/3))*SQRT(P14))</f>
        <v>0.285106140832826</v>
      </c>
      <c r="AL14" s="9" t="n">
        <f aca="false">IF(A14="","",(1/Inputs!$B$9)*(PI()*(Inputs!$F$10/1000)^2/4)*((Inputs!$F$10/1000/4)^(2/3))*SQRT(P14))</f>
        <v>0.430062270986421</v>
      </c>
      <c r="AM14" s="9" t="n">
        <f aca="false">IF(A14="","",(1/Inputs!$B$9)*(PI()*(Inputs!$F$11/1000)^2/4)*((Inputs!$F$11/1000/4)^(2/3))*SQRT(P14))</f>
        <v>0.614011543289159</v>
      </c>
      <c r="AN14" s="9" t="n">
        <f aca="false">IF(A14="","",(1/Inputs!$B$9)*(PI()*(Inputs!$F$12/1000)^2/4)*((Inputs!$F$12/1000/4)^(2/3))*SQRT(P14))</f>
        <v>0.840588148151706</v>
      </c>
      <c r="AO14" s="9" t="n">
        <f aca="false">IF(A14="","",(1/Inputs!$B$9)*(PI()*(Inputs!$F$13/1000)^2/4)*((Inputs!$F$13/1000/4)^(2/3))*SQRT(P14))</f>
        <v>1.11327700118762</v>
      </c>
      <c r="AP14" s="9" t="n">
        <f aca="false">IF(A14="","",(1/Inputs!$B$9)*(PI()*(Inputs!$F$14/1000)^2/4)*((Inputs!$F$14/1000/4)^(2/3))*SQRT(P14))</f>
        <v>1.81031115152249</v>
      </c>
      <c r="AQ14" s="9" t="n">
        <f aca="false">IF(A14="","",COUNTIF($D$4:$D$203,$A14))</f>
        <v>2</v>
      </c>
      <c r="AR14" s="9" t="str">
        <f aca="false">IF(A14="","",IF(AQ14=0,"START","CONTINUOUS"))</f>
        <v>CONTINUOUS</v>
      </c>
      <c r="AS14" s="13" t="n">
        <f aca="false">IF(A14="","",IF(J14="",Inputs!$B$18,J14))</f>
        <v>5</v>
      </c>
      <c r="AT14" s="13" t="str">
        <f aca="false">IF(A14="","",IFERROR(maxifs($AV$4:$AV$203,$D$4:$D$203,$A14),""))</f>
        <v/>
      </c>
      <c r="AU14" s="13" t="n">
        <f aca="false">IF(A14="","",IF(OR(E14="",Inputs!$B$23=""),"",E14/(Inputs!$B$23*60)))</f>
        <v>0.103666666666667</v>
      </c>
      <c r="AV14" s="13" t="n">
        <f aca="false">IF(A14="","",IF(AQ14=0,AS14+AU14,IF(AT14="",AS14+AU14,AT14+AU14)))</f>
        <v>5.10366666666667</v>
      </c>
      <c r="AW14" s="13" t="n">
        <f aca="false">IF(A14="","",W14)</f>
        <v>0.651544784612934</v>
      </c>
      <c r="AX14" s="13" t="n">
        <f aca="false">IF(OR(T14="",P14=""),"",(1/Inputs!$B$9)*((T14/4)^(2/3))*SQRT(P14))</f>
        <v>1.58746502350703</v>
      </c>
      <c r="AY14" s="13" t="n">
        <f aca="false">IF(A14="","",IF(AND(AW14="",AX14="",BA14=""),"",IF(OR(UPPER(TRIM(Inputs!$B$24))="MANNING",UPPER(TRIM(Inputs!$B$24))="M"),AX14,IF(OR(UPPER(TRIM(Inputs!$B$24))="PARTIAL",UPPER(TRIM(Inputs!$B$24))="P"),BA14,IF(OR(UPPER(TRIM(Inputs!$B$24))="MAX",UPPER(TRIM(Inputs!$B$24))="X"),MAX(IF(AW14="",0,AW14),IF(AX14="",0,AX14),IF(BA14="",0,BA14)),AW14)))))</f>
        <v>1.58746502350703</v>
      </c>
      <c r="AZ14" s="13" t="n">
        <f aca="false">IF(BB14="","",CH14)</f>
        <v>0.16680908203125</v>
      </c>
      <c r="BA14" s="13" t="n">
        <f aca="false">IF(OR(BB14="",AZ14="",T14="",T14&lt;=0,AZ14&lt;=0),"",BB14/((T14^2/8)*(2*ACOS(1-2*AZ14/T14)-SIN(2*ACOS(1-2*AZ14/T14)))))</f>
        <v>1.51560512212072</v>
      </c>
      <c r="BB14" s="9" t="n">
        <f aca="false">IF(OR(N14="",BC14=""),"",MIN(N14,BC14))</f>
        <v>0.0719609171071197</v>
      </c>
      <c r="BC14" s="9" t="n">
        <f aca="false">IF(OR(N14="",T14="",P14=""),"",IF(OR(T14="",P14="",(0.94*T14)="",T14&lt;=0,(0.94*T14)&lt;=0),"",(1/Inputs!$B$9)*((T14^2/8)*((2*ACOS(1-2*(0.94*T14)/T14))-SIN((2*ACOS(1-2*(0.94*T14)/T14)))))*((((T14^2/8)*((2*ACOS(1-2*(0.94*T14)/T14))-SIN((2*ACOS(1-2*(0.94*T14)/T14)))))/((T14/2)*((2*ACOS(1-2*(0.94*T14)/T14)))))^(2/3))*SQRT(P14)))</f>
        <v>0.188599028115283</v>
      </c>
      <c r="BD14" s="9" t="n">
        <f aca="false">IF(BB14="","",0.001*T14)</f>
        <v>0.000375</v>
      </c>
      <c r="BE14" s="9" t="n">
        <f aca="false">IF(BB14="","",0.94*T14)</f>
        <v>0.3525</v>
      </c>
      <c r="BF14" s="9" t="n">
        <f aca="false">IF(BB14="","",(BD14+BE14)/2)</f>
        <v>0.1764375</v>
      </c>
      <c r="BG14" s="9" t="n">
        <f aca="false">IF(OR(T14="",P14="",BF14="",T14&lt;=0,BF14&lt;=0),"",(1/Inputs!$B$9)*((T14^2/8)*((2*ACOS(1-2*BF14/T14))-SIN((2*ACOS(1-2*BF14/T14)))))*((((T14^2/8)*((2*ACOS(1-2*BF14/T14))-SIN((2*ACOS(1-2*BF14/T14)))))/((T14/2)*((2*ACOS(1-2*BF14/T14)))))^(2/3))*SQRT(P14))</f>
        <v>0.0789635076889607</v>
      </c>
      <c r="BH14" s="9" t="n">
        <f aca="false">IF(BB14="","",IF(BG14&lt;BB14,BF14,BD14))</f>
        <v>0.000375</v>
      </c>
      <c r="BI14" s="9" t="n">
        <f aca="false">IF(BB14="","",IF(BG14&lt;BB14,BE14,BF14))</f>
        <v>0.1764375</v>
      </c>
      <c r="BJ14" s="9" t="n">
        <f aca="false">IF(BB14="","",(BH14+BI14)/2)</f>
        <v>0.08840625</v>
      </c>
      <c r="BK14" s="9" t="n">
        <f aca="false">IF(OR(T14="",P14="",BJ14="",T14&lt;=0,BJ14&lt;=0),"",(1/Inputs!$B$9)*((T14^2/8)*((2*ACOS(1-2*BJ14/T14))-SIN((2*ACOS(1-2*BJ14/T14)))))*((((T14^2/8)*((2*ACOS(1-2*BJ14/T14))-SIN((2*ACOS(1-2*BJ14/T14)))))/((T14/2)*((2*ACOS(1-2*BJ14/T14)))))^(2/3))*SQRT(P14))</f>
        <v>0.021371081948533</v>
      </c>
      <c r="BL14" s="9" t="n">
        <f aca="false">IF(BB14="","",IF(BK14&lt;BB14,BJ14,BH14))</f>
        <v>0.08840625</v>
      </c>
      <c r="BM14" s="9" t="n">
        <f aca="false">IF(BB14="","",IF(BK14&lt;BB14,BI14,BJ14))</f>
        <v>0.1764375</v>
      </c>
      <c r="BN14" s="9" t="n">
        <f aca="false">IF(BB14="","",(BL14+BM14)/2)</f>
        <v>0.132421875</v>
      </c>
      <c r="BO14" s="9" t="n">
        <f aca="false">IF(OR(T14="",P14="",BN14="",T14&lt;=0,BN14&lt;=0),"",(1/Inputs!$B$9)*((T14^2/8)*((2*ACOS(1-2*BN14/T14))-SIN((2*ACOS(1-2*BN14/T14)))))*((((T14^2/8)*((2*ACOS(1-2*BN14/T14))-SIN((2*ACOS(1-2*BN14/T14)))))/((T14/2)*((2*ACOS(1-2*BN14/T14)))))^(2/3))*SQRT(P14))</f>
        <v>0.046879584547822</v>
      </c>
      <c r="BP14" s="9" t="n">
        <f aca="false">IF(BB14="","",IF(BO14&lt;BB14,BN14,BL14))</f>
        <v>0.132421875</v>
      </c>
      <c r="BQ14" s="9" t="n">
        <f aca="false">IF(BB14="","",IF(BO14&lt;BB14,BM14,BN14))</f>
        <v>0.1764375</v>
      </c>
      <c r="BR14" s="9" t="n">
        <f aca="false">IF(BB14="","",(BP14+BQ14)/2)</f>
        <v>0.1544296875</v>
      </c>
      <c r="BS14" s="9" t="n">
        <f aca="false">IF(OR(T14="",P14="",BR14="",T14&lt;=0,BR14&lt;=0),"",(1/Inputs!$B$9)*((T14^2/8)*((2*ACOS(1-2*BR14/T14))-SIN((2*ACOS(1-2*BR14/T14)))))*((((T14^2/8)*((2*ACOS(1-2*BR14/T14))-SIN((2*ACOS(1-2*BR14/T14)))))/((T14/2)*((2*ACOS(1-2*BR14/T14)))))^(2/3))*SQRT(P14))</f>
        <v>0.06230183170546</v>
      </c>
      <c r="BT14" s="9" t="n">
        <f aca="false">IF(BB14="","",IF(BS14&lt;BB14,BR14,BP14))</f>
        <v>0.1544296875</v>
      </c>
      <c r="BU14" s="9" t="n">
        <f aca="false">IF(BB14="","",IF(BS14&lt;BB14,BQ14,BR14))</f>
        <v>0.1764375</v>
      </c>
      <c r="BV14" s="9" t="n">
        <f aca="false">IF(BB14="","",(BT14+BU14)/2)</f>
        <v>0.16543359375</v>
      </c>
      <c r="BW14" s="9" t="n">
        <f aca="false">IF(OR(T14="",P14="",BV14="",T14&lt;=0,BV14&lt;=0),"",(1/Inputs!$B$9)*((T14^2/8)*((2*ACOS(1-2*BV14/T14))-SIN((2*ACOS(1-2*BV14/T14)))))*((((T14^2/8)*((2*ACOS(1-2*BV14/T14))-SIN((2*ACOS(1-2*BV14/T14)))))/((T14/2)*((2*ACOS(1-2*BV14/T14)))))^(2/3))*SQRT(P14))</f>
        <v>0.0705052284389029</v>
      </c>
      <c r="BX14" s="9" t="n">
        <f aca="false">IF(BB14="","",IF(BW14&lt;BB14,BV14,BT14))</f>
        <v>0.16543359375</v>
      </c>
      <c r="BY14" s="9" t="n">
        <f aca="false">IF(BB14="","",IF(BW14&lt;BB14,BU14,BV14))</f>
        <v>0.1764375</v>
      </c>
      <c r="BZ14" s="9" t="n">
        <f aca="false">IF(BB14="","",(BX14+BY14)/2)</f>
        <v>0.170935546875</v>
      </c>
      <c r="CA14" s="9" t="n">
        <f aca="false">IF(OR(T14="",P14="",BZ14="",T14&lt;=0,BZ14&lt;=0),"",(1/Inputs!$B$9)*((T14^2/8)*((2*ACOS(1-2*BZ14/T14))-SIN((2*ACOS(1-2*BZ14/T14)))))*((((T14^2/8)*((2*ACOS(1-2*BZ14/T14))-SIN((2*ACOS(1-2*BZ14/T14)))))/((T14/2)*((2*ACOS(1-2*BZ14/T14)))))^(2/3))*SQRT(P14))</f>
        <v>0.0747060796499272</v>
      </c>
      <c r="CB14" s="9" t="n">
        <f aca="false">IF(BB14="","",IF(CA14&lt;BB14,BZ14,BX14))</f>
        <v>0.16543359375</v>
      </c>
      <c r="CC14" s="9" t="n">
        <f aca="false">IF(BB14="","",IF(CA14&lt;BB14,BY14,BZ14))</f>
        <v>0.170935546875</v>
      </c>
      <c r="CD14" s="9" t="n">
        <f aca="false">IF(BB14="","",(CB14+CC14)/2)</f>
        <v>0.1681845703125</v>
      </c>
      <c r="CE14" s="9" t="n">
        <f aca="false">IF(OR(T14="",P14="",CD14="",T14&lt;=0,CD14&lt;=0),"",(1/Inputs!$B$9)*((T14^2/8)*((2*ACOS(1-2*CD14/T14))-SIN((2*ACOS(1-2*CD14/T14)))))*((((T14^2/8)*((2*ACOS(1-2*CD14/T14))-SIN((2*ACOS(1-2*CD14/T14)))))/((T14/2)*((2*ACOS(1-2*CD14/T14)))))^(2/3))*SQRT(P14))</f>
        <v>0.0725981293166101</v>
      </c>
      <c r="CF14" s="9" t="n">
        <f aca="false">IF(BB14="","",IF(CE14&lt;BB14,CD14,CB14))</f>
        <v>0.16543359375</v>
      </c>
      <c r="CG14" s="9" t="n">
        <f aca="false">IF(BB14="","",IF(CE14&lt;BB14,CC14,CD14))</f>
        <v>0.1681845703125</v>
      </c>
      <c r="CH14" s="9" t="n">
        <f aca="false">IF(BB14="","",(CF14+CG14)/2)</f>
        <v>0.16680908203125</v>
      </c>
    </row>
    <row r="15" customFormat="false" ht="15" hidden="false" customHeight="false" outlineLevel="0" collapsed="false">
      <c r="A15" s="9" t="s">
        <v>266</v>
      </c>
      <c r="B15" s="9" t="s">
        <v>184</v>
      </c>
      <c r="C15" s="9" t="s">
        <v>188</v>
      </c>
      <c r="D15" s="9"/>
      <c r="E15" s="14"/>
      <c r="F15" s="14"/>
      <c r="G15" s="14" t="n">
        <f aca="false">SUMIFS(CB_plan!$C:$C,CB_plan!$B:$B,$A15)</f>
        <v>0</v>
      </c>
      <c r="H15" s="14" t="n">
        <f aca="false">IF(F15="",G15,F15)</f>
        <v>0</v>
      </c>
      <c r="I15" s="9"/>
      <c r="J15" s="14"/>
      <c r="K15" s="14" t="e">
        <f aca="false">IF(A15="","",Inputs!$B$13/((IF(AV15="",Inputs!$B$18,AV15)+Inputs!$B$14)^Inputs!$B$15))</f>
        <v>#VALUE!</v>
      </c>
      <c r="L15" s="14" t="e">
        <f aca="false">IF(A15="","",0.000000278*IF(I15="",Inputs!$B$17,I15)*H15*K15)</f>
        <v>#VALUE!</v>
      </c>
      <c r="M15" s="14" t="n">
        <f aca="false">IF(A15="","",SUMIFS($N$4:$N$203,$D$4:$D$203,$A15))</f>
        <v>0</v>
      </c>
      <c r="N15" s="14" t="e">
        <f aca="false">IF(A15="","",(L15+M15)*Inputs!$B$16)</f>
        <v>#VALUE!</v>
      </c>
      <c r="O15" s="14"/>
      <c r="P15" s="24" t="n">
        <f aca="false">IF(A15="","",IF(O15="",Inputs!$B$7,O15))</f>
        <v>0.01</v>
      </c>
      <c r="Q15" s="9" t="e">
        <f aca="false">IF(A15="","",IF(N15/Inputs!$B$10&lt;=AG15,Inputs!$F$5,IF(N15/Inputs!$B$10&gt;AP15,"OVERSIZE",INDEX(Inputs!$F$5:$F$14,MATCH(N15/Inputs!$B$10,AG15:AP15,1)+1))))</f>
        <v>#VALUE!</v>
      </c>
      <c r="R15" s="9"/>
      <c r="S15" s="25" t="e">
        <f aca="false">IF(A15="","",IF(R15="",Q15,R15))</f>
        <v>#VALUE!</v>
      </c>
      <c r="T15" s="14" t="e">
        <f aca="false">IF(OR(S15="",S15="OVERSIZE"),"",S15/1000)</f>
        <v>#VALUE!</v>
      </c>
      <c r="U15" s="14" t="e">
        <f aca="false">IF(T15="","",(1/Inputs!$B$9)*(PI()*T15^2/4)*((T15/4)^(2/3))*SQRT(P15))</f>
        <v>#VALUE!</v>
      </c>
      <c r="V15" s="14" t="e">
        <f aca="false">IF(OR(U15="",N15=""),"",N15/(U15*Inputs!$B$10))</f>
        <v>#VALUE!</v>
      </c>
      <c r="W15" s="14" t="e">
        <f aca="false">IF(OR(T15="",N15=""),"",4*N15/(PI()*T15^2))</f>
        <v>#VALUE!</v>
      </c>
      <c r="X15" s="14"/>
      <c r="Y15" s="14" t="str">
        <f aca="false">IF(A15="","",IF(A15=Inputs!$B$6,Inputs!$B$22,IF(D15="","",IFERROR(INDEX($Z$4:$Z$203,MATCH(D15,$A$4:$A$203,0))+IF(X15="",Inputs!$B$20,X15),""))))</f>
        <v/>
      </c>
      <c r="Z15" s="14" t="str">
        <f aca="false">IF(OR(Y15="",P15="",E15=""),"",Y15+P15*E15)</f>
        <v/>
      </c>
      <c r="AA15" s="14" t="n">
        <f aca="false">IF(C15="","",IFERROR(INDEX(Noeuds_plan!$C$4:$C$200,MATCH(C15,Noeuds_plan!$A$4:$A$200,0)),""))</f>
        <v>104</v>
      </c>
      <c r="AB15" s="14" t="n">
        <f aca="false">IF(B15="","",IFERROR(INDEX(Noeuds_plan!$C$4:$C$200,MATCH(B15,Noeuds_plan!$A$4:$A$200,0)),""))</f>
        <v>104</v>
      </c>
      <c r="AC15" s="14" t="str">
        <f aca="false">IF(OR(AA15="",Y15=""),"",AA15-Y15)</f>
        <v/>
      </c>
      <c r="AD15" s="14" t="str">
        <f aca="false">IF(OR(AB15="",Z15=""),"",AB15-Z15)</f>
        <v/>
      </c>
      <c r="AE15" s="19" t="e">
        <f aca="false">IF(A15="","",IF(OR(V15&gt;1,AND(AY15&lt;&gt;"",AY15&lt;Inputs!$B$11),AND(AY15&lt;&gt;"",AY15&gt;Inputs!$B$12),AC15&lt;Inputs!$B$19,AD15&lt;Inputs!$B$19,P15&lt;Inputs!$B$7,P15&gt;Inputs!$B$8),"CHECK","OK"))</f>
        <v>#VALUE!</v>
      </c>
      <c r="AF15" s="9" t="s">
        <v>267</v>
      </c>
      <c r="AG15" s="9" t="n">
        <f aca="false">IF(A15="","",(1/Inputs!$B$9)*(PI()*(Inputs!$F$5/1000)^2/4)*((Inputs!$F$5/1000/4)^(2/3))*SQRT(P15))</f>
        <v>0.0327984401656511</v>
      </c>
      <c r="AH15" s="9" t="n">
        <f aca="false">IF(A15="","",(1/Inputs!$B$9)*(PI()*(Inputs!$F$6/1000)^2/4)*((Inputs!$F$6/1000/4)^(2/3))*SQRT(P15))</f>
        <v>0.0594675287628136</v>
      </c>
      <c r="AI15" s="9" t="n">
        <f aca="false">IF(A15="","",(1/Inputs!$B$9)*(PI()*(Inputs!$F$7/1000)^2/4)*((Inputs!$F$7/1000/4)^(2/3))*SQRT(P15))</f>
        <v>0.0967007585335561</v>
      </c>
      <c r="AJ15" s="9" t="n">
        <f aca="false">IF(A15="","",(1/Inputs!$B$9)*(PI()*(Inputs!$F$8/1000)^2/4)*((Inputs!$F$8/1000/4)^(2/3))*SQRT(P15))</f>
        <v>0.175330141020016</v>
      </c>
      <c r="AK15" s="9" t="n">
        <f aca="false">IF(A15="","",(1/Inputs!$B$9)*(PI()*(Inputs!$F$9/1000)^2/4)*((Inputs!$F$9/1000/4)^(2/3))*SQRT(P15))</f>
        <v>0.285106140832826</v>
      </c>
      <c r="AL15" s="9" t="n">
        <f aca="false">IF(A15="","",(1/Inputs!$B$9)*(PI()*(Inputs!$F$10/1000)^2/4)*((Inputs!$F$10/1000/4)^(2/3))*SQRT(P15))</f>
        <v>0.430062270986421</v>
      </c>
      <c r="AM15" s="9" t="n">
        <f aca="false">IF(A15="","",(1/Inputs!$B$9)*(PI()*(Inputs!$F$11/1000)^2/4)*((Inputs!$F$11/1000/4)^(2/3))*SQRT(P15))</f>
        <v>0.614011543289159</v>
      </c>
      <c r="AN15" s="9" t="n">
        <f aca="false">IF(A15="","",(1/Inputs!$B$9)*(PI()*(Inputs!$F$12/1000)^2/4)*((Inputs!$F$12/1000/4)^(2/3))*SQRT(P15))</f>
        <v>0.840588148151706</v>
      </c>
      <c r="AO15" s="9" t="n">
        <f aca="false">IF(A15="","",(1/Inputs!$B$9)*(PI()*(Inputs!$F$13/1000)^2/4)*((Inputs!$F$13/1000/4)^(2/3))*SQRT(P15))</f>
        <v>1.11327700118762</v>
      </c>
      <c r="AP15" s="9" t="n">
        <f aca="false">IF(A15="","",(1/Inputs!$B$9)*(PI()*(Inputs!$F$14/1000)^2/4)*((Inputs!$F$14/1000/4)^(2/3))*SQRT(P15))</f>
        <v>1.81031115152249</v>
      </c>
      <c r="AQ15" s="9" t="n">
        <f aca="false">IF(A15="","",COUNTIF($D$4:$D$203,$A15))</f>
        <v>0</v>
      </c>
      <c r="AR15" s="9" t="str">
        <f aca="false">IF(A15="","",IF(AQ15=0,"START","CONTINUOUS"))</f>
        <v>START</v>
      </c>
      <c r="AS15" s="13" t="n">
        <f aca="false">IF(A15="","",IF(J15="",Inputs!$B$18,J15))</f>
        <v>5</v>
      </c>
      <c r="AT15" s="13" t="str">
        <f aca="false">IF(A15="","",IFERROR(maxifs($AV$4:$AV$203,$D$4:$D$203,$A15),""))</f>
        <v/>
      </c>
      <c r="AU15" s="13" t="str">
        <f aca="false">IF(A15="","",IF(OR(E15="",Inputs!$B$23=""),"",E15/(Inputs!$B$23*60)))</f>
        <v/>
      </c>
      <c r="AV15" s="13" t="e">
        <f aca="false">IF(A15="","",IF(AQ15=0,AS15+AU15,IF(AT15="",AS15+AU15,AT15+AU15)))</f>
        <v>#VALUE!</v>
      </c>
      <c r="AW15" s="13" t="e">
        <f aca="false">IF(A15="","",W15)</f>
        <v>#VALUE!</v>
      </c>
      <c r="AX15" s="13" t="e">
        <f aca="false">IF(OR(T15="",P15=""),"",(1/Inputs!$B$9)*((T15/4)^(2/3))*SQRT(P15))</f>
        <v>#VALUE!</v>
      </c>
      <c r="AY15" s="13" t="e">
        <f aca="false">IF(A15="","",IF(AND(AW15="",AX15="",BA15=""),"",IF(OR(UPPER(TRIM(Inputs!$B$24))="MANNING",UPPER(TRIM(Inputs!$B$24))="M"),AX15,IF(OR(UPPER(TRIM(Inputs!$B$24))="PARTIAL",UPPER(TRIM(Inputs!$B$24))="P"),BA15,IF(OR(UPPER(TRIM(Inputs!$B$24))="MAX",UPPER(TRIM(Inputs!$B$24))="X"),MAX(IF(AW15="",0,AW15),IF(AX15="",0,AX15),IF(BA15="",0,BA15)),AW15)))))</f>
        <v>#VALUE!</v>
      </c>
      <c r="AZ15" s="13" t="e">
        <f aca="false">IF(BB15="","",CH15)</f>
        <v>#VALUE!</v>
      </c>
      <c r="BA15" s="13" t="e">
        <f aca="false">IF(OR(BB15="",AZ15="",T15="",T15&lt;=0,AZ15&lt;=0),"",BB15/((T15^2/8)*(2*ACOS(1-2*AZ15/T15)-SIN(2*ACOS(1-2*AZ15/T15)))))</f>
        <v>#VALUE!</v>
      </c>
      <c r="BB15" s="9" t="e">
        <f aca="false">IF(OR(N15="",BC15=""),"",MIN(N15,BC15))</f>
        <v>#VALUE!</v>
      </c>
      <c r="BC15" s="9" t="e">
        <f aca="false">IF(OR(N15="",T15="",P15=""),"",IF(OR(T15="",P15="",(0.94*T15)="",T15&lt;=0,(0.94*T15)&lt;=0),"",(1/Inputs!$B$9)*((T15^2/8)*((2*ACOS(1-2*(0.94*T15)/T15))-SIN((2*ACOS(1-2*(0.94*T15)/T15)))))*((((T15^2/8)*((2*ACOS(1-2*(0.94*T15)/T15))-SIN((2*ACOS(1-2*(0.94*T15)/T15)))))/((T15/2)*((2*ACOS(1-2*(0.94*T15)/T15)))))^(2/3))*SQRT(P15)))</f>
        <v>#VALUE!</v>
      </c>
      <c r="BD15" s="9" t="e">
        <f aca="false">IF(BB15="","",0.001*T15)</f>
        <v>#VALUE!</v>
      </c>
      <c r="BE15" s="9" t="e">
        <f aca="false">IF(BB15="","",0.94*T15)</f>
        <v>#VALUE!</v>
      </c>
      <c r="BF15" s="9" t="e">
        <f aca="false">IF(BB15="","",(BD15+BE15)/2)</f>
        <v>#VALUE!</v>
      </c>
      <c r="BG15" s="9" t="e">
        <f aca="false">IF(OR(T15="",P15="",BF15="",T15&lt;=0,BF15&lt;=0),"",(1/Inputs!$B$9)*((T15^2/8)*((2*ACOS(1-2*BF15/T15))-SIN((2*ACOS(1-2*BF15/T15)))))*((((T15^2/8)*((2*ACOS(1-2*BF15/T15))-SIN((2*ACOS(1-2*BF15/T15)))))/((T15/2)*((2*ACOS(1-2*BF15/T15)))))^(2/3))*SQRT(P15))</f>
        <v>#VALUE!</v>
      </c>
      <c r="BH15" s="9" t="e">
        <f aca="false">IF(BB15="","",IF(BG15&lt;BB15,BF15,BD15))</f>
        <v>#VALUE!</v>
      </c>
      <c r="BI15" s="9" t="e">
        <f aca="false">IF(BB15="","",IF(BG15&lt;BB15,BE15,BF15))</f>
        <v>#VALUE!</v>
      </c>
      <c r="BJ15" s="9" t="e">
        <f aca="false">IF(BB15="","",(BH15+BI15)/2)</f>
        <v>#VALUE!</v>
      </c>
      <c r="BK15" s="9" t="e">
        <f aca="false">IF(OR(T15="",P15="",BJ15="",T15&lt;=0,BJ15&lt;=0),"",(1/Inputs!$B$9)*((T15^2/8)*((2*ACOS(1-2*BJ15/T15))-SIN((2*ACOS(1-2*BJ15/T15)))))*((((T15^2/8)*((2*ACOS(1-2*BJ15/T15))-SIN((2*ACOS(1-2*BJ15/T15)))))/((T15/2)*((2*ACOS(1-2*BJ15/T15)))))^(2/3))*SQRT(P15))</f>
        <v>#VALUE!</v>
      </c>
      <c r="BL15" s="9" t="e">
        <f aca="false">IF(BB15="","",IF(BK15&lt;BB15,BJ15,BH15))</f>
        <v>#VALUE!</v>
      </c>
      <c r="BM15" s="9" t="e">
        <f aca="false">IF(BB15="","",IF(BK15&lt;BB15,BI15,BJ15))</f>
        <v>#VALUE!</v>
      </c>
      <c r="BN15" s="9" t="e">
        <f aca="false">IF(BB15="","",(BL15+BM15)/2)</f>
        <v>#VALUE!</v>
      </c>
      <c r="BO15" s="9" t="e">
        <f aca="false">IF(OR(T15="",P15="",BN15="",T15&lt;=0,BN15&lt;=0),"",(1/Inputs!$B$9)*((T15^2/8)*((2*ACOS(1-2*BN15/T15))-SIN((2*ACOS(1-2*BN15/T15)))))*((((T15^2/8)*((2*ACOS(1-2*BN15/T15))-SIN((2*ACOS(1-2*BN15/T15)))))/((T15/2)*((2*ACOS(1-2*BN15/T15)))))^(2/3))*SQRT(P15))</f>
        <v>#VALUE!</v>
      </c>
      <c r="BP15" s="9" t="e">
        <f aca="false">IF(BB15="","",IF(BO15&lt;BB15,BN15,BL15))</f>
        <v>#VALUE!</v>
      </c>
      <c r="BQ15" s="9" t="e">
        <f aca="false">IF(BB15="","",IF(BO15&lt;BB15,BM15,BN15))</f>
        <v>#VALUE!</v>
      </c>
      <c r="BR15" s="9" t="e">
        <f aca="false">IF(BB15="","",(BP15+BQ15)/2)</f>
        <v>#VALUE!</v>
      </c>
      <c r="BS15" s="9" t="e">
        <f aca="false">IF(OR(T15="",P15="",BR15="",T15&lt;=0,BR15&lt;=0),"",(1/Inputs!$B$9)*((T15^2/8)*((2*ACOS(1-2*BR15/T15))-SIN((2*ACOS(1-2*BR15/T15)))))*((((T15^2/8)*((2*ACOS(1-2*BR15/T15))-SIN((2*ACOS(1-2*BR15/T15)))))/((T15/2)*((2*ACOS(1-2*BR15/T15)))))^(2/3))*SQRT(P15))</f>
        <v>#VALUE!</v>
      </c>
      <c r="BT15" s="9" t="e">
        <f aca="false">IF(BB15="","",IF(BS15&lt;BB15,BR15,BP15))</f>
        <v>#VALUE!</v>
      </c>
      <c r="BU15" s="9" t="e">
        <f aca="false">IF(BB15="","",IF(BS15&lt;BB15,BQ15,BR15))</f>
        <v>#VALUE!</v>
      </c>
      <c r="BV15" s="9" t="e">
        <f aca="false">IF(BB15="","",(BT15+BU15)/2)</f>
        <v>#VALUE!</v>
      </c>
      <c r="BW15" s="9" t="e">
        <f aca="false">IF(OR(T15="",P15="",BV15="",T15&lt;=0,BV15&lt;=0),"",(1/Inputs!$B$9)*((T15^2/8)*((2*ACOS(1-2*BV15/T15))-SIN((2*ACOS(1-2*BV15/T15)))))*((((T15^2/8)*((2*ACOS(1-2*BV15/T15))-SIN((2*ACOS(1-2*BV15/T15)))))/((T15/2)*((2*ACOS(1-2*BV15/T15)))))^(2/3))*SQRT(P15))</f>
        <v>#VALUE!</v>
      </c>
      <c r="BX15" s="9" t="e">
        <f aca="false">IF(BB15="","",IF(BW15&lt;BB15,BV15,BT15))</f>
        <v>#VALUE!</v>
      </c>
      <c r="BY15" s="9" t="e">
        <f aca="false">IF(BB15="","",IF(BW15&lt;BB15,BU15,BV15))</f>
        <v>#VALUE!</v>
      </c>
      <c r="BZ15" s="9" t="e">
        <f aca="false">IF(BB15="","",(BX15+BY15)/2)</f>
        <v>#VALUE!</v>
      </c>
      <c r="CA15" s="9" t="e">
        <f aca="false">IF(OR(T15="",P15="",BZ15="",T15&lt;=0,BZ15&lt;=0),"",(1/Inputs!$B$9)*((T15^2/8)*((2*ACOS(1-2*BZ15/T15))-SIN((2*ACOS(1-2*BZ15/T15)))))*((((T15^2/8)*((2*ACOS(1-2*BZ15/T15))-SIN((2*ACOS(1-2*BZ15/T15)))))/((T15/2)*((2*ACOS(1-2*BZ15/T15)))))^(2/3))*SQRT(P15))</f>
        <v>#VALUE!</v>
      </c>
      <c r="CB15" s="9" t="e">
        <f aca="false">IF(BB15="","",IF(CA15&lt;BB15,BZ15,BX15))</f>
        <v>#VALUE!</v>
      </c>
      <c r="CC15" s="9" t="e">
        <f aca="false">IF(BB15="","",IF(CA15&lt;BB15,BY15,BZ15))</f>
        <v>#VALUE!</v>
      </c>
      <c r="CD15" s="9" t="e">
        <f aca="false">IF(BB15="","",(CB15+CC15)/2)</f>
        <v>#VALUE!</v>
      </c>
      <c r="CE15" s="9" t="e">
        <f aca="false">IF(OR(T15="",P15="",CD15="",T15&lt;=0,CD15&lt;=0),"",(1/Inputs!$B$9)*((T15^2/8)*((2*ACOS(1-2*CD15/T15))-SIN((2*ACOS(1-2*CD15/T15)))))*((((T15^2/8)*((2*ACOS(1-2*CD15/T15))-SIN((2*ACOS(1-2*CD15/T15)))))/((T15/2)*((2*ACOS(1-2*CD15/T15)))))^(2/3))*SQRT(P15))</f>
        <v>#VALUE!</v>
      </c>
      <c r="CF15" s="9" t="e">
        <f aca="false">IF(BB15="","",IF(CE15&lt;BB15,CD15,CB15))</f>
        <v>#VALUE!</v>
      </c>
      <c r="CG15" s="9" t="e">
        <f aca="false">IF(BB15="","",IF(CE15&lt;BB15,CC15,CD15))</f>
        <v>#VALUE!</v>
      </c>
      <c r="CH15" s="9" t="e">
        <f aca="false">IF(BB15="","",(CF15+CG15)/2)</f>
        <v>#VALUE!</v>
      </c>
    </row>
    <row r="16" customFormat="false" ht="15" hidden="false" customHeight="false" outlineLevel="0" collapsed="false">
      <c r="A16" s="9"/>
      <c r="B16" s="9"/>
      <c r="C16" s="9"/>
      <c r="D16" s="9"/>
      <c r="E16" s="14"/>
      <c r="F16" s="14"/>
      <c r="G16" s="14" t="n">
        <f aca="false">SUMIFS(CB_plan!$C:$C,CB_plan!$B:$B,$A16)</f>
        <v>0</v>
      </c>
      <c r="H16" s="14" t="n">
        <f aca="false">IF(F16="",G16,F16)</f>
        <v>0</v>
      </c>
      <c r="I16" s="9"/>
      <c r="J16" s="14"/>
      <c r="K16" s="14" t="str">
        <f aca="false">IF(A16="","",Inputs!$B$13/((IF(AV16="",Inputs!$B$18,AV16)+Inputs!$B$14)^Inputs!$B$15))</f>
        <v/>
      </c>
      <c r="L16" s="14" t="str">
        <f aca="false">IF(A16="","",0.000000278*IF(I16="",Inputs!$B$17,I16)*H16*K16)</f>
        <v/>
      </c>
      <c r="M16" s="14" t="str">
        <f aca="false">IF(A16="","",SUMIFS($N$4:$N$203,$D$4:$D$203,$A16))</f>
        <v/>
      </c>
      <c r="N16" s="14" t="str">
        <f aca="false">IF(A16="","",(L16+M16)*Inputs!$B$16)</f>
        <v/>
      </c>
      <c r="O16" s="14"/>
      <c r="P16" s="14" t="str">
        <f aca="false">IF(A16="","",IF(O16="",Inputs!$B$7,O16))</f>
        <v/>
      </c>
      <c r="Q16" s="9" t="str">
        <f aca="false">IF(A16="","",IF(N16/Inputs!$B$10&lt;=AG16,Inputs!$F$5,IF(N16/Inputs!$B$10&gt;AP16,"OVERSIZE",INDEX(Inputs!$F$5:$F$14,MATCH(N16/Inputs!$B$10,AG16:AP16,1)+1))))</f>
        <v/>
      </c>
      <c r="R16" s="9"/>
      <c r="S16" s="9" t="str">
        <f aca="false">IF(A16="","",IF(R16="",Q16,R16))</f>
        <v/>
      </c>
      <c r="T16" s="14" t="str">
        <f aca="false">IF(OR(S16="",S16="OVERSIZE"),"",S16/1000)</f>
        <v/>
      </c>
      <c r="U16" s="14" t="str">
        <f aca="false">IF(T16="","",(1/Inputs!$B$9)*(PI()*T16^2/4)*((T16/4)^(2/3))*SQRT(P16))</f>
        <v/>
      </c>
      <c r="V16" s="14" t="str">
        <f aca="false">IF(OR(U16="",N16=""),"",N16/(U16*Inputs!$B$10))</f>
        <v/>
      </c>
      <c r="W16" s="14" t="str">
        <f aca="false">IF(OR(T16="",N16=""),"",4*N16/(PI()*T16^2))</f>
        <v/>
      </c>
      <c r="X16" s="14"/>
      <c r="Y16" s="14" t="str">
        <f aca="false">IF(A16="","",IF(A16=Inputs!$B$6,Inputs!$B$22,IF(D16="","",IFERROR(INDEX($Z$4:$Z$203,MATCH(D16,$A$4:$A$203,0))+IF(X16="",Inputs!$B$20,X16),""))))</f>
        <v/>
      </c>
      <c r="Z16" s="14" t="str">
        <f aca="false">IF(OR(Y16="",P16="",E16=""),"",Y16+P16*E16)</f>
        <v/>
      </c>
      <c r="AA16" s="14" t="str">
        <f aca="false">IF(C16="","",IFERROR(INDEX(Noeuds_plan!$C$4:$C$200,MATCH(C16,Noeuds_plan!$A$4:$A$200,0)),""))</f>
        <v/>
      </c>
      <c r="AB16" s="14" t="str">
        <f aca="false">IF(B16="","",IFERROR(INDEX(Noeuds_plan!$C$4:$C$200,MATCH(B16,Noeuds_plan!$A$4:$A$200,0)),""))</f>
        <v/>
      </c>
      <c r="AC16" s="14" t="str">
        <f aca="false">IF(OR(AA16="",Y16=""),"",AA16-Y16)</f>
        <v/>
      </c>
      <c r="AD16" s="14" t="str">
        <f aca="false">IF(OR(AB16="",Z16=""),"",AB16-Z16)</f>
        <v/>
      </c>
      <c r="AE16" s="19" t="str">
        <f aca="false">IF(A16="","",IF(OR(V16&gt;1,AND(AY16&lt;&gt;"",AY16&lt;Inputs!$B$11),AND(AY16&lt;&gt;"",AY16&gt;Inputs!$B$12),AC16&lt;Inputs!$B$19,AD16&lt;Inputs!$B$19,P16&lt;Inputs!$B$7,P16&gt;Inputs!$B$8),"CHECK","OK"))</f>
        <v/>
      </c>
      <c r="AF16" s="9"/>
      <c r="AG16" s="9" t="str">
        <f aca="false">IF(A16="","",(1/Inputs!$B$9)*(PI()*(Inputs!$F$5/1000)^2/4)*((Inputs!$F$5/1000/4)^(2/3))*SQRT(P16))</f>
        <v/>
      </c>
      <c r="AH16" s="9" t="str">
        <f aca="false">IF(A16="","",(1/Inputs!$B$9)*(PI()*(Inputs!$F$6/1000)^2/4)*((Inputs!$F$6/1000/4)^(2/3))*SQRT(P16))</f>
        <v/>
      </c>
      <c r="AI16" s="9" t="str">
        <f aca="false">IF(A16="","",(1/Inputs!$B$9)*(PI()*(Inputs!$F$7/1000)^2/4)*((Inputs!$F$7/1000/4)^(2/3))*SQRT(P16))</f>
        <v/>
      </c>
      <c r="AJ16" s="9" t="str">
        <f aca="false">IF(A16="","",(1/Inputs!$B$9)*(PI()*(Inputs!$F$8/1000)^2/4)*((Inputs!$F$8/1000/4)^(2/3))*SQRT(P16))</f>
        <v/>
      </c>
      <c r="AK16" s="9" t="str">
        <f aca="false">IF(A16="","",(1/Inputs!$B$9)*(PI()*(Inputs!$F$9/1000)^2/4)*((Inputs!$F$9/1000/4)^(2/3))*SQRT(P16))</f>
        <v/>
      </c>
      <c r="AL16" s="9" t="str">
        <f aca="false">IF(A16="","",(1/Inputs!$B$9)*(PI()*(Inputs!$F$10/1000)^2/4)*((Inputs!$F$10/1000/4)^(2/3))*SQRT(P16))</f>
        <v/>
      </c>
      <c r="AM16" s="9" t="str">
        <f aca="false">IF(A16="","",(1/Inputs!$B$9)*(PI()*(Inputs!$F$11/1000)^2/4)*((Inputs!$F$11/1000/4)^(2/3))*SQRT(P16))</f>
        <v/>
      </c>
      <c r="AN16" s="9" t="str">
        <f aca="false">IF(A16="","",(1/Inputs!$B$9)*(PI()*(Inputs!$F$12/1000)^2/4)*((Inputs!$F$12/1000/4)^(2/3))*SQRT(P16))</f>
        <v/>
      </c>
      <c r="AO16" s="9" t="str">
        <f aca="false">IF(A16="","",(1/Inputs!$B$9)*(PI()*(Inputs!$F$13/1000)^2/4)*((Inputs!$F$13/1000/4)^(2/3))*SQRT(P16))</f>
        <v/>
      </c>
      <c r="AP16" s="9" t="str">
        <f aca="false">IF(A16="","",(1/Inputs!$B$9)*(PI()*(Inputs!$F$14/1000)^2/4)*((Inputs!$F$14/1000/4)^(2/3))*SQRT(P16))</f>
        <v/>
      </c>
      <c r="AQ16" s="9" t="str">
        <f aca="false">IF(A16="","",COUNTIF($D$4:$D$203,$A16))</f>
        <v/>
      </c>
      <c r="AR16" s="9" t="str">
        <f aca="false">IF(A16="","",IF(AQ16=0,"START","CONTINUOUS"))</f>
        <v/>
      </c>
      <c r="AS16" s="13" t="str">
        <f aca="false">IF(A16="","",IF(J16="",Inputs!$B$18,J16))</f>
        <v/>
      </c>
      <c r="AT16" s="13" t="str">
        <f aca="false">IF(A16="","",IFERROR(maxifs($AV$4:$AV$203,$D$4:$D$203,$A16),""))</f>
        <v/>
      </c>
      <c r="AU16" s="13" t="str">
        <f aca="false">IF(A16="","",IF(OR(E16="",Inputs!$B$23=""),"",E16/(Inputs!$B$23*60)))</f>
        <v/>
      </c>
      <c r="AV16" s="13" t="str">
        <f aca="false">IF(A16="","",IF(AQ16=0,AS16+AU16,IF(AT16="",AS16+AU16,AT16+AU16)))</f>
        <v/>
      </c>
      <c r="AW16" s="13" t="str">
        <f aca="false">IF(A16="","",W16)</f>
        <v/>
      </c>
      <c r="AX16" s="13" t="str">
        <f aca="false">IF(OR(T16="",P16=""),"",(1/Inputs!$B$9)*((T16/4)^(2/3))*SQRT(P16))</f>
        <v/>
      </c>
      <c r="AY16" s="13" t="str">
        <f aca="false">IF(A16="","",IF(AND(AW16="",AX16="",BA16=""),"",IF(OR(UPPER(TRIM(Inputs!$B$24))="MANNING",UPPER(TRIM(Inputs!$B$24))="M"),AX16,IF(OR(UPPER(TRIM(Inputs!$B$24))="PARTIAL",UPPER(TRIM(Inputs!$B$24))="P"),BA16,IF(OR(UPPER(TRIM(Inputs!$B$24))="MAX",UPPER(TRIM(Inputs!$B$24))="X"),MAX(IF(AW16="",0,AW16),IF(AX16="",0,AX16),IF(BA16="",0,BA16)),AW16)))))</f>
        <v/>
      </c>
      <c r="AZ16" s="13" t="str">
        <f aca="false">IF(BB16="","",CH16)</f>
        <v/>
      </c>
      <c r="BA16" s="13" t="str">
        <f aca="false">IF(OR(BB16="",AZ16="",T16="",T16&lt;=0,AZ16&lt;=0),"",BB16/((T16^2/8)*(2*ACOS(1-2*AZ16/T16)-SIN(2*ACOS(1-2*AZ16/T16)))))</f>
        <v/>
      </c>
      <c r="BB16" s="9" t="str">
        <f aca="false">IF(OR(N16="",BC16=""),"",MIN(N16,BC16))</f>
        <v/>
      </c>
      <c r="BC16" s="9" t="str">
        <f aca="false">IF(OR(N16="",T16="",P16=""),"",IF(OR(T16="",P16="",(0.94*T16)="",T16&lt;=0,(0.94*T16)&lt;=0),"",(1/Inputs!$B$9)*((T16^2/8)*((2*ACOS(1-2*(0.94*T16)/T16))-SIN((2*ACOS(1-2*(0.94*T16)/T16)))))*((((T16^2/8)*((2*ACOS(1-2*(0.94*T16)/T16))-SIN((2*ACOS(1-2*(0.94*T16)/T16)))))/((T16/2)*((2*ACOS(1-2*(0.94*T16)/T16)))))^(2/3))*SQRT(P16)))</f>
        <v/>
      </c>
      <c r="BD16" s="9" t="str">
        <f aca="false">IF(BB16="","",0.001*T16)</f>
        <v/>
      </c>
      <c r="BE16" s="9" t="str">
        <f aca="false">IF(BB16="","",0.94*T16)</f>
        <v/>
      </c>
      <c r="BF16" s="9" t="str">
        <f aca="false">IF(BB16="","",(BD16+BE16)/2)</f>
        <v/>
      </c>
      <c r="BG16" s="9" t="str">
        <f aca="false">IF(OR(T16="",P16="",BF16="",T16&lt;=0,BF16&lt;=0),"",(1/Inputs!$B$9)*((T16^2/8)*((2*ACOS(1-2*BF16/T16))-SIN((2*ACOS(1-2*BF16/T16)))))*((((T16^2/8)*((2*ACOS(1-2*BF16/T16))-SIN((2*ACOS(1-2*BF16/T16)))))/((T16/2)*((2*ACOS(1-2*BF16/T16)))))^(2/3))*SQRT(P16))</f>
        <v/>
      </c>
      <c r="BH16" s="9" t="str">
        <f aca="false">IF(BB16="","",IF(BG16&lt;BB16,BF16,BD16))</f>
        <v/>
      </c>
      <c r="BI16" s="9" t="str">
        <f aca="false">IF(BB16="","",IF(BG16&lt;BB16,BE16,BF16))</f>
        <v/>
      </c>
      <c r="BJ16" s="9" t="str">
        <f aca="false">IF(BB16="","",(BH16+BI16)/2)</f>
        <v/>
      </c>
      <c r="BK16" s="9" t="str">
        <f aca="false">IF(OR(T16="",P16="",BJ16="",T16&lt;=0,BJ16&lt;=0),"",(1/Inputs!$B$9)*((T16^2/8)*((2*ACOS(1-2*BJ16/T16))-SIN((2*ACOS(1-2*BJ16/T16)))))*((((T16^2/8)*((2*ACOS(1-2*BJ16/T16))-SIN((2*ACOS(1-2*BJ16/T16)))))/((T16/2)*((2*ACOS(1-2*BJ16/T16)))))^(2/3))*SQRT(P16))</f>
        <v/>
      </c>
      <c r="BL16" s="9" t="str">
        <f aca="false">IF(BB16="","",IF(BK16&lt;BB16,BJ16,BH16))</f>
        <v/>
      </c>
      <c r="BM16" s="9" t="str">
        <f aca="false">IF(BB16="","",IF(BK16&lt;BB16,BI16,BJ16))</f>
        <v/>
      </c>
      <c r="BN16" s="9" t="str">
        <f aca="false">IF(BB16="","",(BL16+BM16)/2)</f>
        <v/>
      </c>
      <c r="BO16" s="9" t="str">
        <f aca="false">IF(OR(T16="",P16="",BN16="",T16&lt;=0,BN16&lt;=0),"",(1/Inputs!$B$9)*((T16^2/8)*((2*ACOS(1-2*BN16/T16))-SIN((2*ACOS(1-2*BN16/T16)))))*((((T16^2/8)*((2*ACOS(1-2*BN16/T16))-SIN((2*ACOS(1-2*BN16/T16)))))/((T16/2)*((2*ACOS(1-2*BN16/T16)))))^(2/3))*SQRT(P16))</f>
        <v/>
      </c>
      <c r="BP16" s="9" t="str">
        <f aca="false">IF(BB16="","",IF(BO16&lt;BB16,BN16,BL16))</f>
        <v/>
      </c>
      <c r="BQ16" s="9" t="str">
        <f aca="false">IF(BB16="","",IF(BO16&lt;BB16,BM16,BN16))</f>
        <v/>
      </c>
      <c r="BR16" s="9" t="str">
        <f aca="false">IF(BB16="","",(BP16+BQ16)/2)</f>
        <v/>
      </c>
      <c r="BS16" s="9" t="str">
        <f aca="false">IF(OR(T16="",P16="",BR16="",T16&lt;=0,BR16&lt;=0),"",(1/Inputs!$B$9)*((T16^2/8)*((2*ACOS(1-2*BR16/T16))-SIN((2*ACOS(1-2*BR16/T16)))))*((((T16^2/8)*((2*ACOS(1-2*BR16/T16))-SIN((2*ACOS(1-2*BR16/T16)))))/((T16/2)*((2*ACOS(1-2*BR16/T16)))))^(2/3))*SQRT(P16))</f>
        <v/>
      </c>
      <c r="BT16" s="9" t="str">
        <f aca="false">IF(BB16="","",IF(BS16&lt;BB16,BR16,BP16))</f>
        <v/>
      </c>
      <c r="BU16" s="9" t="str">
        <f aca="false">IF(BB16="","",IF(BS16&lt;BB16,BQ16,BR16))</f>
        <v/>
      </c>
      <c r="BV16" s="9" t="str">
        <f aca="false">IF(BB16="","",(BT16+BU16)/2)</f>
        <v/>
      </c>
      <c r="BW16" s="9" t="str">
        <f aca="false">IF(OR(T16="",P16="",BV16="",T16&lt;=0,BV16&lt;=0),"",(1/Inputs!$B$9)*((T16^2/8)*((2*ACOS(1-2*BV16/T16))-SIN((2*ACOS(1-2*BV16/T16)))))*((((T16^2/8)*((2*ACOS(1-2*BV16/T16))-SIN((2*ACOS(1-2*BV16/T16)))))/((T16/2)*((2*ACOS(1-2*BV16/T16)))))^(2/3))*SQRT(P16))</f>
        <v/>
      </c>
      <c r="BX16" s="9" t="str">
        <f aca="false">IF(BB16="","",IF(BW16&lt;BB16,BV16,BT16))</f>
        <v/>
      </c>
      <c r="BY16" s="9" t="str">
        <f aca="false">IF(BB16="","",IF(BW16&lt;BB16,BU16,BV16))</f>
        <v/>
      </c>
      <c r="BZ16" s="9" t="str">
        <f aca="false">IF(BB16="","",(BX16+BY16)/2)</f>
        <v/>
      </c>
      <c r="CA16" s="9" t="str">
        <f aca="false">IF(OR(T16="",P16="",BZ16="",T16&lt;=0,BZ16&lt;=0),"",(1/Inputs!$B$9)*((T16^2/8)*((2*ACOS(1-2*BZ16/T16))-SIN((2*ACOS(1-2*BZ16/T16)))))*((((T16^2/8)*((2*ACOS(1-2*BZ16/T16))-SIN((2*ACOS(1-2*BZ16/T16)))))/((T16/2)*((2*ACOS(1-2*BZ16/T16)))))^(2/3))*SQRT(P16))</f>
        <v/>
      </c>
      <c r="CB16" s="9" t="str">
        <f aca="false">IF(BB16="","",IF(CA16&lt;BB16,BZ16,BX16))</f>
        <v/>
      </c>
      <c r="CC16" s="9" t="str">
        <f aca="false">IF(BB16="","",IF(CA16&lt;BB16,BY16,BZ16))</f>
        <v/>
      </c>
      <c r="CD16" s="9" t="str">
        <f aca="false">IF(BB16="","",(CB16+CC16)/2)</f>
        <v/>
      </c>
      <c r="CE16" s="9" t="str">
        <f aca="false">IF(OR(T16="",P16="",CD16="",T16&lt;=0,CD16&lt;=0),"",(1/Inputs!$B$9)*((T16^2/8)*((2*ACOS(1-2*CD16/T16))-SIN((2*ACOS(1-2*CD16/T16)))))*((((T16^2/8)*((2*ACOS(1-2*CD16/T16))-SIN((2*ACOS(1-2*CD16/T16)))))/((T16/2)*((2*ACOS(1-2*CD16/T16)))))^(2/3))*SQRT(P16))</f>
        <v/>
      </c>
      <c r="CF16" s="9" t="str">
        <f aca="false">IF(BB16="","",IF(CE16&lt;BB16,CD16,CB16))</f>
        <v/>
      </c>
      <c r="CG16" s="9" t="str">
        <f aca="false">IF(BB16="","",IF(CE16&lt;BB16,CC16,CD16))</f>
        <v/>
      </c>
      <c r="CH16" s="9" t="str">
        <f aca="false">IF(BB16="","",(CF16+CG16)/2)</f>
        <v/>
      </c>
    </row>
    <row r="17" customFormat="false" ht="15" hidden="false" customHeight="false" outlineLevel="0" collapsed="false">
      <c r="A17" s="9"/>
      <c r="B17" s="9"/>
      <c r="C17" s="9"/>
      <c r="D17" s="9"/>
      <c r="E17" s="14"/>
      <c r="F17" s="14"/>
      <c r="G17" s="14" t="n">
        <f aca="false">SUMIFS(CB_plan!$C:$C,CB_plan!$B:$B,$A17)</f>
        <v>0</v>
      </c>
      <c r="H17" s="14" t="n">
        <f aca="false">IF(F17="",G17,F17)</f>
        <v>0</v>
      </c>
      <c r="I17" s="9"/>
      <c r="J17" s="14"/>
      <c r="K17" s="14" t="str">
        <f aca="false">IF(A17="","",Inputs!$B$13/((IF(AV17="",Inputs!$B$18,AV17)+Inputs!$B$14)^Inputs!$B$15))</f>
        <v/>
      </c>
      <c r="L17" s="14" t="str">
        <f aca="false">IF(A17="","",0.000000278*IF(I17="",Inputs!$B$17,I17)*H17*K17)</f>
        <v/>
      </c>
      <c r="M17" s="14" t="str">
        <f aca="false">IF(A17="","",SUMIFS($N$4:$N$203,$D$4:$D$203,$A17))</f>
        <v/>
      </c>
      <c r="N17" s="14" t="str">
        <f aca="false">IF(A17="","",(L17+M17)*Inputs!$B$16)</f>
        <v/>
      </c>
      <c r="O17" s="14"/>
      <c r="P17" s="14" t="str">
        <f aca="false">IF(A17="","",IF(O17="",Inputs!$B$7,O17))</f>
        <v/>
      </c>
      <c r="Q17" s="9" t="str">
        <f aca="false">IF(A17="","",IF(N17/Inputs!$B$10&lt;=AG17,Inputs!$F$5,IF(N17/Inputs!$B$10&gt;AP17,"OVERSIZE",INDEX(Inputs!$F$5:$F$14,MATCH(N17/Inputs!$B$10,AG17:AP17,1)+1))))</f>
        <v/>
      </c>
      <c r="R17" s="9"/>
      <c r="S17" s="9" t="str">
        <f aca="false">IF(A17="","",IF(R17="",Q17,R17))</f>
        <v/>
      </c>
      <c r="T17" s="14" t="str">
        <f aca="false">IF(OR(S17="",S17="OVERSIZE"),"",S17/1000)</f>
        <v/>
      </c>
      <c r="U17" s="14" t="str">
        <f aca="false">IF(T17="","",(1/Inputs!$B$9)*(PI()*T17^2/4)*((T17/4)^(2/3))*SQRT(P17))</f>
        <v/>
      </c>
      <c r="V17" s="14" t="str">
        <f aca="false">IF(OR(U17="",N17=""),"",N17/(U17*Inputs!$B$10))</f>
        <v/>
      </c>
      <c r="W17" s="14" t="str">
        <f aca="false">IF(OR(T17="",N17=""),"",4*N17/(PI()*T17^2))</f>
        <v/>
      </c>
      <c r="X17" s="14"/>
      <c r="Y17" s="14" t="str">
        <f aca="false">IF(A17="","",IF(A17=Inputs!$B$6,Inputs!$B$22,IF(D17="","",IFERROR(INDEX($Z$4:$Z$203,MATCH(D17,$A$4:$A$203,0))+IF(X17="",Inputs!$B$20,X17),""))))</f>
        <v/>
      </c>
      <c r="Z17" s="14" t="str">
        <f aca="false">IF(OR(Y17="",P17="",E17=""),"",Y17+P17*E17)</f>
        <v/>
      </c>
      <c r="AA17" s="14" t="str">
        <f aca="false">IF(C17="","",IFERROR(INDEX(Noeuds_plan!$C$4:$C$200,MATCH(C17,Noeuds_plan!$A$4:$A$200,0)),""))</f>
        <v/>
      </c>
      <c r="AB17" s="14" t="str">
        <f aca="false">IF(B17="","",IFERROR(INDEX(Noeuds_plan!$C$4:$C$200,MATCH(B17,Noeuds_plan!$A$4:$A$200,0)),""))</f>
        <v/>
      </c>
      <c r="AC17" s="14" t="str">
        <f aca="false">IF(OR(AA17="",Y17=""),"",AA17-Y17)</f>
        <v/>
      </c>
      <c r="AD17" s="14" t="str">
        <f aca="false">IF(OR(AB17="",Z17=""),"",AB17-Z17)</f>
        <v/>
      </c>
      <c r="AE17" s="19" t="str">
        <f aca="false">IF(A17="","",IF(OR(V17&gt;1,AND(AY17&lt;&gt;"",AY17&lt;Inputs!$B$11),AND(AY17&lt;&gt;"",AY17&gt;Inputs!$B$12),AC17&lt;Inputs!$B$19,AD17&lt;Inputs!$B$19,P17&lt;Inputs!$B$7,P17&gt;Inputs!$B$8),"CHECK","OK"))</f>
        <v/>
      </c>
      <c r="AF17" s="9"/>
      <c r="AG17" s="9" t="str">
        <f aca="false">IF(A17="","",(1/Inputs!$B$9)*(PI()*(Inputs!$F$5/1000)^2/4)*((Inputs!$F$5/1000/4)^(2/3))*SQRT(P17))</f>
        <v/>
      </c>
      <c r="AH17" s="9" t="str">
        <f aca="false">IF(A17="","",(1/Inputs!$B$9)*(PI()*(Inputs!$F$6/1000)^2/4)*((Inputs!$F$6/1000/4)^(2/3))*SQRT(P17))</f>
        <v/>
      </c>
      <c r="AI17" s="9" t="str">
        <f aca="false">IF(A17="","",(1/Inputs!$B$9)*(PI()*(Inputs!$F$7/1000)^2/4)*((Inputs!$F$7/1000/4)^(2/3))*SQRT(P17))</f>
        <v/>
      </c>
      <c r="AJ17" s="9" t="str">
        <f aca="false">IF(A17="","",(1/Inputs!$B$9)*(PI()*(Inputs!$F$8/1000)^2/4)*((Inputs!$F$8/1000/4)^(2/3))*SQRT(P17))</f>
        <v/>
      </c>
      <c r="AK17" s="9" t="str">
        <f aca="false">IF(A17="","",(1/Inputs!$B$9)*(PI()*(Inputs!$F$9/1000)^2/4)*((Inputs!$F$9/1000/4)^(2/3))*SQRT(P17))</f>
        <v/>
      </c>
      <c r="AL17" s="9" t="str">
        <f aca="false">IF(A17="","",(1/Inputs!$B$9)*(PI()*(Inputs!$F$10/1000)^2/4)*((Inputs!$F$10/1000/4)^(2/3))*SQRT(P17))</f>
        <v/>
      </c>
      <c r="AM17" s="9" t="str">
        <f aca="false">IF(A17="","",(1/Inputs!$B$9)*(PI()*(Inputs!$F$11/1000)^2/4)*((Inputs!$F$11/1000/4)^(2/3))*SQRT(P17))</f>
        <v/>
      </c>
      <c r="AN17" s="9" t="str">
        <f aca="false">IF(A17="","",(1/Inputs!$B$9)*(PI()*(Inputs!$F$12/1000)^2/4)*((Inputs!$F$12/1000/4)^(2/3))*SQRT(P17))</f>
        <v/>
      </c>
      <c r="AO17" s="9" t="str">
        <f aca="false">IF(A17="","",(1/Inputs!$B$9)*(PI()*(Inputs!$F$13/1000)^2/4)*((Inputs!$F$13/1000/4)^(2/3))*SQRT(P17))</f>
        <v/>
      </c>
      <c r="AP17" s="9" t="str">
        <f aca="false">IF(A17="","",(1/Inputs!$B$9)*(PI()*(Inputs!$F$14/1000)^2/4)*((Inputs!$F$14/1000/4)^(2/3))*SQRT(P17))</f>
        <v/>
      </c>
      <c r="AQ17" s="9" t="str">
        <f aca="false">IF(A17="","",COUNTIF($D$4:$D$203,$A17))</f>
        <v/>
      </c>
      <c r="AR17" s="9" t="str">
        <f aca="false">IF(A17="","",IF(AQ17=0,"START","CONTINUOUS"))</f>
        <v/>
      </c>
      <c r="AS17" s="13" t="str">
        <f aca="false">IF(A17="","",IF(J17="",Inputs!$B$18,J17))</f>
        <v/>
      </c>
      <c r="AT17" s="13" t="str">
        <f aca="false">IF(A17="","",IFERROR(maxifs($AV$4:$AV$203,$D$4:$D$203,$A17),""))</f>
        <v/>
      </c>
      <c r="AU17" s="13" t="str">
        <f aca="false">IF(A17="","",IF(OR(E17="",Inputs!$B$23=""),"",E17/(Inputs!$B$23*60)))</f>
        <v/>
      </c>
      <c r="AV17" s="13" t="str">
        <f aca="false">IF(A17="","",IF(AQ17=0,AS17+AU17,IF(AT17="",AS17+AU17,AT17+AU17)))</f>
        <v/>
      </c>
      <c r="AW17" s="13" t="str">
        <f aca="false">IF(A17="","",W17)</f>
        <v/>
      </c>
      <c r="AX17" s="13" t="str">
        <f aca="false">IF(OR(T17="",P17=""),"",(1/Inputs!$B$9)*((T17/4)^(2/3))*SQRT(P17))</f>
        <v/>
      </c>
      <c r="AY17" s="13" t="str">
        <f aca="false">IF(A17="","",IF(AND(AW17="",AX17="",BA17=""),"",IF(OR(UPPER(TRIM(Inputs!$B$24))="MANNING",UPPER(TRIM(Inputs!$B$24))="M"),AX17,IF(OR(UPPER(TRIM(Inputs!$B$24))="PARTIAL",UPPER(TRIM(Inputs!$B$24))="P"),BA17,IF(OR(UPPER(TRIM(Inputs!$B$24))="MAX",UPPER(TRIM(Inputs!$B$24))="X"),MAX(IF(AW17="",0,AW17),IF(AX17="",0,AX17),IF(BA17="",0,BA17)),AW17)))))</f>
        <v/>
      </c>
      <c r="AZ17" s="13" t="str">
        <f aca="false">IF(BB17="","",CH17)</f>
        <v/>
      </c>
      <c r="BA17" s="13" t="str">
        <f aca="false">IF(OR(BB17="",AZ17="",T17="",T17&lt;=0,AZ17&lt;=0),"",BB17/((T17^2/8)*(2*ACOS(1-2*AZ17/T17)-SIN(2*ACOS(1-2*AZ17/T17)))))</f>
        <v/>
      </c>
      <c r="BB17" s="9" t="str">
        <f aca="false">IF(OR(N17="",BC17=""),"",MIN(N17,BC17))</f>
        <v/>
      </c>
      <c r="BC17" s="9" t="str">
        <f aca="false">IF(OR(N17="",T17="",P17=""),"",IF(OR(T17="",P17="",(0.94*T17)="",T17&lt;=0,(0.94*T17)&lt;=0),"",(1/Inputs!$B$9)*((T17^2/8)*((2*ACOS(1-2*(0.94*T17)/T17))-SIN((2*ACOS(1-2*(0.94*T17)/T17)))))*((((T17^2/8)*((2*ACOS(1-2*(0.94*T17)/T17))-SIN((2*ACOS(1-2*(0.94*T17)/T17)))))/((T17/2)*((2*ACOS(1-2*(0.94*T17)/T17)))))^(2/3))*SQRT(P17)))</f>
        <v/>
      </c>
      <c r="BD17" s="9" t="str">
        <f aca="false">IF(BB17="","",0.001*T17)</f>
        <v/>
      </c>
      <c r="BE17" s="9" t="str">
        <f aca="false">IF(BB17="","",0.94*T17)</f>
        <v/>
      </c>
      <c r="BF17" s="9" t="str">
        <f aca="false">IF(BB17="","",(BD17+BE17)/2)</f>
        <v/>
      </c>
      <c r="BG17" s="9" t="str">
        <f aca="false">IF(OR(T17="",P17="",BF17="",T17&lt;=0,BF17&lt;=0),"",(1/Inputs!$B$9)*((T17^2/8)*((2*ACOS(1-2*BF17/T17))-SIN((2*ACOS(1-2*BF17/T17)))))*((((T17^2/8)*((2*ACOS(1-2*BF17/T17))-SIN((2*ACOS(1-2*BF17/T17)))))/((T17/2)*((2*ACOS(1-2*BF17/T17)))))^(2/3))*SQRT(P17))</f>
        <v/>
      </c>
      <c r="BH17" s="9" t="str">
        <f aca="false">IF(BB17="","",IF(BG17&lt;BB17,BF17,BD17))</f>
        <v/>
      </c>
      <c r="BI17" s="9" t="str">
        <f aca="false">IF(BB17="","",IF(BG17&lt;BB17,BE17,BF17))</f>
        <v/>
      </c>
      <c r="BJ17" s="9" t="str">
        <f aca="false">IF(BB17="","",(BH17+BI17)/2)</f>
        <v/>
      </c>
      <c r="BK17" s="9" t="str">
        <f aca="false">IF(OR(T17="",P17="",BJ17="",T17&lt;=0,BJ17&lt;=0),"",(1/Inputs!$B$9)*((T17^2/8)*((2*ACOS(1-2*BJ17/T17))-SIN((2*ACOS(1-2*BJ17/T17)))))*((((T17^2/8)*((2*ACOS(1-2*BJ17/T17))-SIN((2*ACOS(1-2*BJ17/T17)))))/((T17/2)*((2*ACOS(1-2*BJ17/T17)))))^(2/3))*SQRT(P17))</f>
        <v/>
      </c>
      <c r="BL17" s="9" t="str">
        <f aca="false">IF(BB17="","",IF(BK17&lt;BB17,BJ17,BH17))</f>
        <v/>
      </c>
      <c r="BM17" s="9" t="str">
        <f aca="false">IF(BB17="","",IF(BK17&lt;BB17,BI17,BJ17))</f>
        <v/>
      </c>
      <c r="BN17" s="9" t="str">
        <f aca="false">IF(BB17="","",(BL17+BM17)/2)</f>
        <v/>
      </c>
      <c r="BO17" s="9" t="str">
        <f aca="false">IF(OR(T17="",P17="",BN17="",T17&lt;=0,BN17&lt;=0),"",(1/Inputs!$B$9)*((T17^2/8)*((2*ACOS(1-2*BN17/T17))-SIN((2*ACOS(1-2*BN17/T17)))))*((((T17^2/8)*((2*ACOS(1-2*BN17/T17))-SIN((2*ACOS(1-2*BN17/T17)))))/((T17/2)*((2*ACOS(1-2*BN17/T17)))))^(2/3))*SQRT(P17))</f>
        <v/>
      </c>
      <c r="BP17" s="9" t="str">
        <f aca="false">IF(BB17="","",IF(BO17&lt;BB17,BN17,BL17))</f>
        <v/>
      </c>
      <c r="BQ17" s="9" t="str">
        <f aca="false">IF(BB17="","",IF(BO17&lt;BB17,BM17,BN17))</f>
        <v/>
      </c>
      <c r="BR17" s="9" t="str">
        <f aca="false">IF(BB17="","",(BP17+BQ17)/2)</f>
        <v/>
      </c>
      <c r="BS17" s="9" t="str">
        <f aca="false">IF(OR(T17="",P17="",BR17="",T17&lt;=0,BR17&lt;=0),"",(1/Inputs!$B$9)*((T17^2/8)*((2*ACOS(1-2*BR17/T17))-SIN((2*ACOS(1-2*BR17/T17)))))*((((T17^2/8)*((2*ACOS(1-2*BR17/T17))-SIN((2*ACOS(1-2*BR17/T17)))))/((T17/2)*((2*ACOS(1-2*BR17/T17)))))^(2/3))*SQRT(P17))</f>
        <v/>
      </c>
      <c r="BT17" s="9" t="str">
        <f aca="false">IF(BB17="","",IF(BS17&lt;BB17,BR17,BP17))</f>
        <v/>
      </c>
      <c r="BU17" s="9" t="str">
        <f aca="false">IF(BB17="","",IF(BS17&lt;BB17,BQ17,BR17))</f>
        <v/>
      </c>
      <c r="BV17" s="9" t="str">
        <f aca="false">IF(BB17="","",(BT17+BU17)/2)</f>
        <v/>
      </c>
      <c r="BW17" s="9" t="str">
        <f aca="false">IF(OR(T17="",P17="",BV17="",T17&lt;=0,BV17&lt;=0),"",(1/Inputs!$B$9)*((T17^2/8)*((2*ACOS(1-2*BV17/T17))-SIN((2*ACOS(1-2*BV17/T17)))))*((((T17^2/8)*((2*ACOS(1-2*BV17/T17))-SIN((2*ACOS(1-2*BV17/T17)))))/((T17/2)*((2*ACOS(1-2*BV17/T17)))))^(2/3))*SQRT(P17))</f>
        <v/>
      </c>
      <c r="BX17" s="9" t="str">
        <f aca="false">IF(BB17="","",IF(BW17&lt;BB17,BV17,BT17))</f>
        <v/>
      </c>
      <c r="BY17" s="9" t="str">
        <f aca="false">IF(BB17="","",IF(BW17&lt;BB17,BU17,BV17))</f>
        <v/>
      </c>
      <c r="BZ17" s="9" t="str">
        <f aca="false">IF(BB17="","",(BX17+BY17)/2)</f>
        <v/>
      </c>
      <c r="CA17" s="9" t="str">
        <f aca="false">IF(OR(T17="",P17="",BZ17="",T17&lt;=0,BZ17&lt;=0),"",(1/Inputs!$B$9)*((T17^2/8)*((2*ACOS(1-2*BZ17/T17))-SIN((2*ACOS(1-2*BZ17/T17)))))*((((T17^2/8)*((2*ACOS(1-2*BZ17/T17))-SIN((2*ACOS(1-2*BZ17/T17)))))/((T17/2)*((2*ACOS(1-2*BZ17/T17)))))^(2/3))*SQRT(P17))</f>
        <v/>
      </c>
      <c r="CB17" s="9" t="str">
        <f aca="false">IF(BB17="","",IF(CA17&lt;BB17,BZ17,BX17))</f>
        <v/>
      </c>
      <c r="CC17" s="9" t="str">
        <f aca="false">IF(BB17="","",IF(CA17&lt;BB17,BY17,BZ17))</f>
        <v/>
      </c>
      <c r="CD17" s="9" t="str">
        <f aca="false">IF(BB17="","",(CB17+CC17)/2)</f>
        <v/>
      </c>
      <c r="CE17" s="9" t="str">
        <f aca="false">IF(OR(T17="",P17="",CD17="",T17&lt;=0,CD17&lt;=0),"",(1/Inputs!$B$9)*((T17^2/8)*((2*ACOS(1-2*CD17/T17))-SIN((2*ACOS(1-2*CD17/T17)))))*((((T17^2/8)*((2*ACOS(1-2*CD17/T17))-SIN((2*ACOS(1-2*CD17/T17)))))/((T17/2)*((2*ACOS(1-2*CD17/T17)))))^(2/3))*SQRT(P17))</f>
        <v/>
      </c>
      <c r="CF17" s="9" t="str">
        <f aca="false">IF(BB17="","",IF(CE17&lt;BB17,CD17,CB17))</f>
        <v/>
      </c>
      <c r="CG17" s="9" t="str">
        <f aca="false">IF(BB17="","",IF(CE17&lt;BB17,CC17,CD17))</f>
        <v/>
      </c>
      <c r="CH17" s="9" t="str">
        <f aca="false">IF(BB17="","",(CF17+CG17)/2)</f>
        <v/>
      </c>
    </row>
    <row r="18" customFormat="false" ht="15" hidden="false" customHeight="false" outlineLevel="0" collapsed="false">
      <c r="A18" s="9"/>
      <c r="B18" s="9"/>
      <c r="C18" s="9"/>
      <c r="D18" s="9"/>
      <c r="E18" s="14"/>
      <c r="F18" s="14"/>
      <c r="G18" s="14" t="n">
        <f aca="false">SUMIFS(CB_plan!$C:$C,CB_plan!$B:$B,$A18)</f>
        <v>0</v>
      </c>
      <c r="H18" s="14" t="n">
        <f aca="false">IF(F18="",G18,F18)</f>
        <v>0</v>
      </c>
      <c r="I18" s="9"/>
      <c r="J18" s="14"/>
      <c r="K18" s="14" t="str">
        <f aca="false">IF(A18="","",Inputs!$B$13/((IF(AV18="",Inputs!$B$18,AV18)+Inputs!$B$14)^Inputs!$B$15))</f>
        <v/>
      </c>
      <c r="L18" s="14" t="str">
        <f aca="false">IF(A18="","",0.000000278*IF(I18="",Inputs!$B$17,I18)*H18*K18)</f>
        <v/>
      </c>
      <c r="M18" s="14" t="str">
        <f aca="false">IF(A18="","",SUMIFS($N$4:$N$203,$D$4:$D$203,$A18))</f>
        <v/>
      </c>
      <c r="N18" s="14" t="str">
        <f aca="false">IF(A18="","",(L18+M18)*Inputs!$B$16)</f>
        <v/>
      </c>
      <c r="O18" s="14"/>
      <c r="P18" s="14" t="str">
        <f aca="false">IF(A18="","",IF(O18="",Inputs!$B$7,O18))</f>
        <v/>
      </c>
      <c r="Q18" s="9" t="str">
        <f aca="false">IF(A18="","",IF(N18/Inputs!$B$10&lt;=AG18,Inputs!$F$5,IF(N18/Inputs!$B$10&gt;AP18,"OVERSIZE",INDEX(Inputs!$F$5:$F$14,MATCH(N18/Inputs!$B$10,AG18:AP18,1)+1))))</f>
        <v/>
      </c>
      <c r="R18" s="9"/>
      <c r="S18" s="9" t="str">
        <f aca="false">IF(A18="","",IF(R18="",Q18,R18))</f>
        <v/>
      </c>
      <c r="T18" s="14" t="str">
        <f aca="false">IF(OR(S18="",S18="OVERSIZE"),"",S18/1000)</f>
        <v/>
      </c>
      <c r="U18" s="14" t="str">
        <f aca="false">IF(T18="","",(1/Inputs!$B$9)*(PI()*T18^2/4)*((T18/4)^(2/3))*SQRT(P18))</f>
        <v/>
      </c>
      <c r="V18" s="14" t="str">
        <f aca="false">IF(OR(U18="",N18=""),"",N18/(U18*Inputs!$B$10))</f>
        <v/>
      </c>
      <c r="W18" s="14" t="str">
        <f aca="false">IF(OR(T18="",N18=""),"",4*N18/(PI()*T18^2))</f>
        <v/>
      </c>
      <c r="X18" s="14"/>
      <c r="Y18" s="14" t="str">
        <f aca="false">IF(A18="","",IF(A18=Inputs!$B$6,Inputs!$B$22,IF(D18="","",IFERROR(INDEX($Z$4:$Z$203,MATCH(D18,$A$4:$A$203,0))+IF(X18="",Inputs!$B$20,X18),""))))</f>
        <v/>
      </c>
      <c r="Z18" s="14" t="str">
        <f aca="false">IF(OR(Y18="",P18="",E18=""),"",Y18+P18*E18)</f>
        <v/>
      </c>
      <c r="AA18" s="14" t="str">
        <f aca="false">IF(C18="","",IFERROR(INDEX(Noeuds_plan!$C$4:$C$200,MATCH(C18,Noeuds_plan!$A$4:$A$200,0)),""))</f>
        <v/>
      </c>
      <c r="AB18" s="14" t="str">
        <f aca="false">IF(B18="","",IFERROR(INDEX(Noeuds_plan!$C$4:$C$200,MATCH(B18,Noeuds_plan!$A$4:$A$200,0)),""))</f>
        <v/>
      </c>
      <c r="AC18" s="14" t="str">
        <f aca="false">IF(OR(AA18="",Y18=""),"",AA18-Y18)</f>
        <v/>
      </c>
      <c r="AD18" s="14" t="str">
        <f aca="false">IF(OR(AB18="",Z18=""),"",AB18-Z18)</f>
        <v/>
      </c>
      <c r="AE18" s="19" t="str">
        <f aca="false">IF(A18="","",IF(OR(V18&gt;1,AND(AY18&lt;&gt;"",AY18&lt;Inputs!$B$11),AND(AY18&lt;&gt;"",AY18&gt;Inputs!$B$12),AC18&lt;Inputs!$B$19,AD18&lt;Inputs!$B$19,P18&lt;Inputs!$B$7,P18&gt;Inputs!$B$8),"CHECK","OK"))</f>
        <v/>
      </c>
      <c r="AF18" s="9"/>
      <c r="AG18" s="9" t="str">
        <f aca="false">IF(A18="","",(1/Inputs!$B$9)*(PI()*(Inputs!$F$5/1000)^2/4)*((Inputs!$F$5/1000/4)^(2/3))*SQRT(P18))</f>
        <v/>
      </c>
      <c r="AH18" s="9" t="str">
        <f aca="false">IF(A18="","",(1/Inputs!$B$9)*(PI()*(Inputs!$F$6/1000)^2/4)*((Inputs!$F$6/1000/4)^(2/3))*SQRT(P18))</f>
        <v/>
      </c>
      <c r="AI18" s="9" t="str">
        <f aca="false">IF(A18="","",(1/Inputs!$B$9)*(PI()*(Inputs!$F$7/1000)^2/4)*((Inputs!$F$7/1000/4)^(2/3))*SQRT(P18))</f>
        <v/>
      </c>
      <c r="AJ18" s="9" t="str">
        <f aca="false">IF(A18="","",(1/Inputs!$B$9)*(PI()*(Inputs!$F$8/1000)^2/4)*((Inputs!$F$8/1000/4)^(2/3))*SQRT(P18))</f>
        <v/>
      </c>
      <c r="AK18" s="9" t="str">
        <f aca="false">IF(A18="","",(1/Inputs!$B$9)*(PI()*(Inputs!$F$9/1000)^2/4)*((Inputs!$F$9/1000/4)^(2/3))*SQRT(P18))</f>
        <v/>
      </c>
      <c r="AL18" s="9" t="str">
        <f aca="false">IF(A18="","",(1/Inputs!$B$9)*(PI()*(Inputs!$F$10/1000)^2/4)*((Inputs!$F$10/1000/4)^(2/3))*SQRT(P18))</f>
        <v/>
      </c>
      <c r="AM18" s="9" t="str">
        <f aca="false">IF(A18="","",(1/Inputs!$B$9)*(PI()*(Inputs!$F$11/1000)^2/4)*((Inputs!$F$11/1000/4)^(2/3))*SQRT(P18))</f>
        <v/>
      </c>
      <c r="AN18" s="9" t="str">
        <f aca="false">IF(A18="","",(1/Inputs!$B$9)*(PI()*(Inputs!$F$12/1000)^2/4)*((Inputs!$F$12/1000/4)^(2/3))*SQRT(P18))</f>
        <v/>
      </c>
      <c r="AO18" s="9" t="str">
        <f aca="false">IF(A18="","",(1/Inputs!$B$9)*(PI()*(Inputs!$F$13/1000)^2/4)*((Inputs!$F$13/1000/4)^(2/3))*SQRT(P18))</f>
        <v/>
      </c>
      <c r="AP18" s="9" t="str">
        <f aca="false">IF(A18="","",(1/Inputs!$B$9)*(PI()*(Inputs!$F$14/1000)^2/4)*((Inputs!$F$14/1000/4)^(2/3))*SQRT(P18))</f>
        <v/>
      </c>
      <c r="AQ18" s="9" t="str">
        <f aca="false">IF(A18="","",COUNTIF($D$4:$D$203,$A18))</f>
        <v/>
      </c>
      <c r="AR18" s="9" t="str">
        <f aca="false">IF(A18="","",IF(AQ18=0,"START","CONTINUOUS"))</f>
        <v/>
      </c>
      <c r="AS18" s="13" t="str">
        <f aca="false">IF(A18="","",IF(J18="",Inputs!$B$18,J18))</f>
        <v/>
      </c>
      <c r="AT18" s="13" t="str">
        <f aca="false">IF(A18="","",IFERROR(maxifs($AV$4:$AV$203,$D$4:$D$203,$A18),""))</f>
        <v/>
      </c>
      <c r="AU18" s="13" t="str">
        <f aca="false">IF(A18="","",IF(OR(E18="",Inputs!$B$23=""),"",E18/(Inputs!$B$23*60)))</f>
        <v/>
      </c>
      <c r="AV18" s="13" t="str">
        <f aca="false">IF(A18="","",IF(AQ18=0,AS18+AU18,IF(AT18="",AS18+AU18,AT18+AU18)))</f>
        <v/>
      </c>
      <c r="AW18" s="13" t="str">
        <f aca="false">IF(A18="","",W18)</f>
        <v/>
      </c>
      <c r="AX18" s="13" t="str">
        <f aca="false">IF(OR(T18="",P18=""),"",(1/Inputs!$B$9)*((T18/4)^(2/3))*SQRT(P18))</f>
        <v/>
      </c>
      <c r="AY18" s="13" t="str">
        <f aca="false">IF(A18="","",IF(AND(AW18="",AX18="",BA18=""),"",IF(OR(UPPER(TRIM(Inputs!$B$24))="MANNING",UPPER(TRIM(Inputs!$B$24))="M"),AX18,IF(OR(UPPER(TRIM(Inputs!$B$24))="PARTIAL",UPPER(TRIM(Inputs!$B$24))="P"),BA18,IF(OR(UPPER(TRIM(Inputs!$B$24))="MAX",UPPER(TRIM(Inputs!$B$24))="X"),MAX(IF(AW18="",0,AW18),IF(AX18="",0,AX18),IF(BA18="",0,BA18)),AW18)))))</f>
        <v/>
      </c>
      <c r="AZ18" s="13" t="str">
        <f aca="false">IF(BB18="","",CH18)</f>
        <v/>
      </c>
      <c r="BA18" s="13" t="str">
        <f aca="false">IF(OR(BB18="",AZ18="",T18="",T18&lt;=0,AZ18&lt;=0),"",BB18/((T18^2/8)*(2*ACOS(1-2*AZ18/T18)-SIN(2*ACOS(1-2*AZ18/T18)))))</f>
        <v/>
      </c>
      <c r="BB18" s="9" t="str">
        <f aca="false">IF(OR(N18="",BC18=""),"",MIN(N18,BC18))</f>
        <v/>
      </c>
      <c r="BC18" s="9" t="str">
        <f aca="false">IF(OR(N18="",T18="",P18=""),"",IF(OR(T18="",P18="",(0.94*T18)="",T18&lt;=0,(0.94*T18)&lt;=0),"",(1/Inputs!$B$9)*((T18^2/8)*((2*ACOS(1-2*(0.94*T18)/T18))-SIN((2*ACOS(1-2*(0.94*T18)/T18)))))*((((T18^2/8)*((2*ACOS(1-2*(0.94*T18)/T18))-SIN((2*ACOS(1-2*(0.94*T18)/T18)))))/((T18/2)*((2*ACOS(1-2*(0.94*T18)/T18)))))^(2/3))*SQRT(P18)))</f>
        <v/>
      </c>
      <c r="BD18" s="9" t="str">
        <f aca="false">IF(BB18="","",0.001*T18)</f>
        <v/>
      </c>
      <c r="BE18" s="9" t="str">
        <f aca="false">IF(BB18="","",0.94*T18)</f>
        <v/>
      </c>
      <c r="BF18" s="9" t="str">
        <f aca="false">IF(BB18="","",(BD18+BE18)/2)</f>
        <v/>
      </c>
      <c r="BG18" s="9" t="str">
        <f aca="false">IF(OR(T18="",P18="",BF18="",T18&lt;=0,BF18&lt;=0),"",(1/Inputs!$B$9)*((T18^2/8)*((2*ACOS(1-2*BF18/T18))-SIN((2*ACOS(1-2*BF18/T18)))))*((((T18^2/8)*((2*ACOS(1-2*BF18/T18))-SIN((2*ACOS(1-2*BF18/T18)))))/((T18/2)*((2*ACOS(1-2*BF18/T18)))))^(2/3))*SQRT(P18))</f>
        <v/>
      </c>
      <c r="BH18" s="9" t="str">
        <f aca="false">IF(BB18="","",IF(BG18&lt;BB18,BF18,BD18))</f>
        <v/>
      </c>
      <c r="BI18" s="9" t="str">
        <f aca="false">IF(BB18="","",IF(BG18&lt;BB18,BE18,BF18))</f>
        <v/>
      </c>
      <c r="BJ18" s="9" t="str">
        <f aca="false">IF(BB18="","",(BH18+BI18)/2)</f>
        <v/>
      </c>
      <c r="BK18" s="9" t="str">
        <f aca="false">IF(OR(T18="",P18="",BJ18="",T18&lt;=0,BJ18&lt;=0),"",(1/Inputs!$B$9)*((T18^2/8)*((2*ACOS(1-2*BJ18/T18))-SIN((2*ACOS(1-2*BJ18/T18)))))*((((T18^2/8)*((2*ACOS(1-2*BJ18/T18))-SIN((2*ACOS(1-2*BJ18/T18)))))/((T18/2)*((2*ACOS(1-2*BJ18/T18)))))^(2/3))*SQRT(P18))</f>
        <v/>
      </c>
      <c r="BL18" s="9" t="str">
        <f aca="false">IF(BB18="","",IF(BK18&lt;BB18,BJ18,BH18))</f>
        <v/>
      </c>
      <c r="BM18" s="9" t="str">
        <f aca="false">IF(BB18="","",IF(BK18&lt;BB18,BI18,BJ18))</f>
        <v/>
      </c>
      <c r="BN18" s="9" t="str">
        <f aca="false">IF(BB18="","",(BL18+BM18)/2)</f>
        <v/>
      </c>
      <c r="BO18" s="9" t="str">
        <f aca="false">IF(OR(T18="",P18="",BN18="",T18&lt;=0,BN18&lt;=0),"",(1/Inputs!$B$9)*((T18^2/8)*((2*ACOS(1-2*BN18/T18))-SIN((2*ACOS(1-2*BN18/T18)))))*((((T18^2/8)*((2*ACOS(1-2*BN18/T18))-SIN((2*ACOS(1-2*BN18/T18)))))/((T18/2)*((2*ACOS(1-2*BN18/T18)))))^(2/3))*SQRT(P18))</f>
        <v/>
      </c>
      <c r="BP18" s="9" t="str">
        <f aca="false">IF(BB18="","",IF(BO18&lt;BB18,BN18,BL18))</f>
        <v/>
      </c>
      <c r="BQ18" s="9" t="str">
        <f aca="false">IF(BB18="","",IF(BO18&lt;BB18,BM18,BN18))</f>
        <v/>
      </c>
      <c r="BR18" s="9" t="str">
        <f aca="false">IF(BB18="","",(BP18+BQ18)/2)</f>
        <v/>
      </c>
      <c r="BS18" s="9" t="str">
        <f aca="false">IF(OR(T18="",P18="",BR18="",T18&lt;=0,BR18&lt;=0),"",(1/Inputs!$B$9)*((T18^2/8)*((2*ACOS(1-2*BR18/T18))-SIN((2*ACOS(1-2*BR18/T18)))))*((((T18^2/8)*((2*ACOS(1-2*BR18/T18))-SIN((2*ACOS(1-2*BR18/T18)))))/((T18/2)*((2*ACOS(1-2*BR18/T18)))))^(2/3))*SQRT(P18))</f>
        <v/>
      </c>
      <c r="BT18" s="9" t="str">
        <f aca="false">IF(BB18="","",IF(BS18&lt;BB18,BR18,BP18))</f>
        <v/>
      </c>
      <c r="BU18" s="9" t="str">
        <f aca="false">IF(BB18="","",IF(BS18&lt;BB18,BQ18,BR18))</f>
        <v/>
      </c>
      <c r="BV18" s="9" t="str">
        <f aca="false">IF(BB18="","",(BT18+BU18)/2)</f>
        <v/>
      </c>
      <c r="BW18" s="9" t="str">
        <f aca="false">IF(OR(T18="",P18="",BV18="",T18&lt;=0,BV18&lt;=0),"",(1/Inputs!$B$9)*((T18^2/8)*((2*ACOS(1-2*BV18/T18))-SIN((2*ACOS(1-2*BV18/T18)))))*((((T18^2/8)*((2*ACOS(1-2*BV18/T18))-SIN((2*ACOS(1-2*BV18/T18)))))/((T18/2)*((2*ACOS(1-2*BV18/T18)))))^(2/3))*SQRT(P18))</f>
        <v/>
      </c>
      <c r="BX18" s="9" t="str">
        <f aca="false">IF(BB18="","",IF(BW18&lt;BB18,BV18,BT18))</f>
        <v/>
      </c>
      <c r="BY18" s="9" t="str">
        <f aca="false">IF(BB18="","",IF(BW18&lt;BB18,BU18,BV18))</f>
        <v/>
      </c>
      <c r="BZ18" s="9" t="str">
        <f aca="false">IF(BB18="","",(BX18+BY18)/2)</f>
        <v/>
      </c>
      <c r="CA18" s="9" t="str">
        <f aca="false">IF(OR(T18="",P18="",BZ18="",T18&lt;=0,BZ18&lt;=0),"",(1/Inputs!$B$9)*((T18^2/8)*((2*ACOS(1-2*BZ18/T18))-SIN((2*ACOS(1-2*BZ18/T18)))))*((((T18^2/8)*((2*ACOS(1-2*BZ18/T18))-SIN((2*ACOS(1-2*BZ18/T18)))))/((T18/2)*((2*ACOS(1-2*BZ18/T18)))))^(2/3))*SQRT(P18))</f>
        <v/>
      </c>
      <c r="CB18" s="9" t="str">
        <f aca="false">IF(BB18="","",IF(CA18&lt;BB18,BZ18,BX18))</f>
        <v/>
      </c>
      <c r="CC18" s="9" t="str">
        <f aca="false">IF(BB18="","",IF(CA18&lt;BB18,BY18,BZ18))</f>
        <v/>
      </c>
      <c r="CD18" s="9" t="str">
        <f aca="false">IF(BB18="","",(CB18+CC18)/2)</f>
        <v/>
      </c>
      <c r="CE18" s="9" t="str">
        <f aca="false">IF(OR(T18="",P18="",CD18="",T18&lt;=0,CD18&lt;=0),"",(1/Inputs!$B$9)*((T18^2/8)*((2*ACOS(1-2*CD18/T18))-SIN((2*ACOS(1-2*CD18/T18)))))*((((T18^2/8)*((2*ACOS(1-2*CD18/T18))-SIN((2*ACOS(1-2*CD18/T18)))))/((T18/2)*((2*ACOS(1-2*CD18/T18)))))^(2/3))*SQRT(P18))</f>
        <v/>
      </c>
      <c r="CF18" s="9" t="str">
        <f aca="false">IF(BB18="","",IF(CE18&lt;BB18,CD18,CB18))</f>
        <v/>
      </c>
      <c r="CG18" s="9" t="str">
        <f aca="false">IF(BB18="","",IF(CE18&lt;BB18,CC18,CD18))</f>
        <v/>
      </c>
      <c r="CH18" s="9" t="str">
        <f aca="false">IF(BB18="","",(CF18+CG18)/2)</f>
        <v/>
      </c>
    </row>
    <row r="19" customFormat="false" ht="15" hidden="false" customHeight="false" outlineLevel="0" collapsed="false">
      <c r="A19" s="9"/>
      <c r="B19" s="9"/>
      <c r="C19" s="9"/>
      <c r="D19" s="9"/>
      <c r="E19" s="14"/>
      <c r="F19" s="14"/>
      <c r="G19" s="14" t="n">
        <f aca="false">SUMIFS(CB_plan!$C:$C,CB_plan!$B:$B,$A19)</f>
        <v>0</v>
      </c>
      <c r="H19" s="14" t="n">
        <f aca="false">IF(F19="",G19,F19)</f>
        <v>0</v>
      </c>
      <c r="I19" s="9"/>
      <c r="J19" s="14"/>
      <c r="K19" s="14" t="str">
        <f aca="false">IF(A19="","",Inputs!$B$13/((IF(AV19="",Inputs!$B$18,AV19)+Inputs!$B$14)^Inputs!$B$15))</f>
        <v/>
      </c>
      <c r="L19" s="14" t="str">
        <f aca="false">IF(A19="","",0.000000278*IF(I19="",Inputs!$B$17,I19)*H19*K19)</f>
        <v/>
      </c>
      <c r="M19" s="14" t="str">
        <f aca="false">IF(A19="","",SUMIFS($N$4:$N$203,$D$4:$D$203,$A19))</f>
        <v/>
      </c>
      <c r="N19" s="14" t="str">
        <f aca="false">IF(A19="","",(L19+M19)*Inputs!$B$16)</f>
        <v/>
      </c>
      <c r="O19" s="14"/>
      <c r="P19" s="14" t="str">
        <f aca="false">IF(A19="","",IF(O19="",Inputs!$B$7,O19))</f>
        <v/>
      </c>
      <c r="Q19" s="9" t="str">
        <f aca="false">IF(A19="","",IF(N19/Inputs!$B$10&lt;=AG19,Inputs!$F$5,IF(N19/Inputs!$B$10&gt;AP19,"OVERSIZE",INDEX(Inputs!$F$5:$F$14,MATCH(N19/Inputs!$B$10,AG19:AP19,1)+1))))</f>
        <v/>
      </c>
      <c r="R19" s="9"/>
      <c r="S19" s="9" t="str">
        <f aca="false">IF(A19="","",IF(R19="",Q19,R19))</f>
        <v/>
      </c>
      <c r="T19" s="14" t="str">
        <f aca="false">IF(OR(S19="",S19="OVERSIZE"),"",S19/1000)</f>
        <v/>
      </c>
      <c r="U19" s="14" t="str">
        <f aca="false">IF(T19="","",(1/Inputs!$B$9)*(PI()*T19^2/4)*((T19/4)^(2/3))*SQRT(P19))</f>
        <v/>
      </c>
      <c r="V19" s="14" t="str">
        <f aca="false">IF(OR(U19="",N19=""),"",N19/(U19*Inputs!$B$10))</f>
        <v/>
      </c>
      <c r="W19" s="14" t="str">
        <f aca="false">IF(OR(T19="",N19=""),"",4*N19/(PI()*T19^2))</f>
        <v/>
      </c>
      <c r="X19" s="14"/>
      <c r="Y19" s="14" t="str">
        <f aca="false">IF(A19="","",IF(A19=Inputs!$B$6,Inputs!$B$22,IF(D19="","",IFERROR(INDEX($Z$4:$Z$203,MATCH(D19,$A$4:$A$203,0))+IF(X19="",Inputs!$B$20,X19),""))))</f>
        <v/>
      </c>
      <c r="Z19" s="14" t="str">
        <f aca="false">IF(OR(Y19="",P19="",E19=""),"",Y19+P19*E19)</f>
        <v/>
      </c>
      <c r="AA19" s="14" t="str">
        <f aca="false">IF(C19="","",IFERROR(INDEX(Noeuds_plan!$C$4:$C$200,MATCH(C19,Noeuds_plan!$A$4:$A$200,0)),""))</f>
        <v/>
      </c>
      <c r="AB19" s="14" t="str">
        <f aca="false">IF(B19="","",IFERROR(INDEX(Noeuds_plan!$C$4:$C$200,MATCH(B19,Noeuds_plan!$A$4:$A$200,0)),""))</f>
        <v/>
      </c>
      <c r="AC19" s="14" t="str">
        <f aca="false">IF(OR(AA19="",Y19=""),"",AA19-Y19)</f>
        <v/>
      </c>
      <c r="AD19" s="14" t="str">
        <f aca="false">IF(OR(AB19="",Z19=""),"",AB19-Z19)</f>
        <v/>
      </c>
      <c r="AE19" s="19" t="str">
        <f aca="false">IF(A19="","",IF(OR(V19&gt;1,AND(AY19&lt;&gt;"",AY19&lt;Inputs!$B$11),AND(AY19&lt;&gt;"",AY19&gt;Inputs!$B$12),AC19&lt;Inputs!$B$19,AD19&lt;Inputs!$B$19,P19&lt;Inputs!$B$7,P19&gt;Inputs!$B$8),"CHECK","OK"))</f>
        <v/>
      </c>
      <c r="AF19" s="9"/>
      <c r="AG19" s="9" t="str">
        <f aca="false">IF(A19="","",(1/Inputs!$B$9)*(PI()*(Inputs!$F$5/1000)^2/4)*((Inputs!$F$5/1000/4)^(2/3))*SQRT(P19))</f>
        <v/>
      </c>
      <c r="AH19" s="9" t="str">
        <f aca="false">IF(A19="","",(1/Inputs!$B$9)*(PI()*(Inputs!$F$6/1000)^2/4)*((Inputs!$F$6/1000/4)^(2/3))*SQRT(P19))</f>
        <v/>
      </c>
      <c r="AI19" s="9" t="str">
        <f aca="false">IF(A19="","",(1/Inputs!$B$9)*(PI()*(Inputs!$F$7/1000)^2/4)*((Inputs!$F$7/1000/4)^(2/3))*SQRT(P19))</f>
        <v/>
      </c>
      <c r="AJ19" s="9" t="str">
        <f aca="false">IF(A19="","",(1/Inputs!$B$9)*(PI()*(Inputs!$F$8/1000)^2/4)*((Inputs!$F$8/1000/4)^(2/3))*SQRT(P19))</f>
        <v/>
      </c>
      <c r="AK19" s="9" t="str">
        <f aca="false">IF(A19="","",(1/Inputs!$B$9)*(PI()*(Inputs!$F$9/1000)^2/4)*((Inputs!$F$9/1000/4)^(2/3))*SQRT(P19))</f>
        <v/>
      </c>
      <c r="AL19" s="9" t="str">
        <f aca="false">IF(A19="","",(1/Inputs!$B$9)*(PI()*(Inputs!$F$10/1000)^2/4)*((Inputs!$F$10/1000/4)^(2/3))*SQRT(P19))</f>
        <v/>
      </c>
      <c r="AM19" s="9" t="str">
        <f aca="false">IF(A19="","",(1/Inputs!$B$9)*(PI()*(Inputs!$F$11/1000)^2/4)*((Inputs!$F$11/1000/4)^(2/3))*SQRT(P19))</f>
        <v/>
      </c>
      <c r="AN19" s="9" t="str">
        <f aca="false">IF(A19="","",(1/Inputs!$B$9)*(PI()*(Inputs!$F$12/1000)^2/4)*((Inputs!$F$12/1000/4)^(2/3))*SQRT(P19))</f>
        <v/>
      </c>
      <c r="AO19" s="9" t="str">
        <f aca="false">IF(A19="","",(1/Inputs!$B$9)*(PI()*(Inputs!$F$13/1000)^2/4)*((Inputs!$F$13/1000/4)^(2/3))*SQRT(P19))</f>
        <v/>
      </c>
      <c r="AP19" s="9" t="str">
        <f aca="false">IF(A19="","",(1/Inputs!$B$9)*(PI()*(Inputs!$F$14/1000)^2/4)*((Inputs!$F$14/1000/4)^(2/3))*SQRT(P19))</f>
        <v/>
      </c>
      <c r="AQ19" s="9" t="str">
        <f aca="false">IF(A19="","",COUNTIF($D$4:$D$203,$A19))</f>
        <v/>
      </c>
      <c r="AR19" s="9" t="str">
        <f aca="false">IF(A19="","",IF(AQ19=0,"START","CONTINUOUS"))</f>
        <v/>
      </c>
      <c r="AS19" s="13" t="str">
        <f aca="false">IF(A19="","",IF(J19="",Inputs!$B$18,J19))</f>
        <v/>
      </c>
      <c r="AT19" s="13" t="str">
        <f aca="false">IF(A19="","",IFERROR(maxifs($AV$4:$AV$203,$D$4:$D$203,$A19),""))</f>
        <v/>
      </c>
      <c r="AU19" s="13" t="str">
        <f aca="false">IF(A19="","",IF(OR(E19="",Inputs!$B$23=""),"",E19/(Inputs!$B$23*60)))</f>
        <v/>
      </c>
      <c r="AV19" s="13" t="str">
        <f aca="false">IF(A19="","",IF(AQ19=0,AS19+AU19,IF(AT19="",AS19+AU19,AT19+AU19)))</f>
        <v/>
      </c>
      <c r="AW19" s="13" t="str">
        <f aca="false">IF(A19="","",W19)</f>
        <v/>
      </c>
      <c r="AX19" s="13" t="str">
        <f aca="false">IF(OR(T19="",P19=""),"",(1/Inputs!$B$9)*((T19/4)^(2/3))*SQRT(P19))</f>
        <v/>
      </c>
      <c r="AY19" s="13" t="str">
        <f aca="false">IF(A19="","",IF(AND(AW19="",AX19="",BA19=""),"",IF(OR(UPPER(TRIM(Inputs!$B$24))="MANNING",UPPER(TRIM(Inputs!$B$24))="M"),AX19,IF(OR(UPPER(TRIM(Inputs!$B$24))="PARTIAL",UPPER(TRIM(Inputs!$B$24))="P"),BA19,IF(OR(UPPER(TRIM(Inputs!$B$24))="MAX",UPPER(TRIM(Inputs!$B$24))="X"),MAX(IF(AW19="",0,AW19),IF(AX19="",0,AX19),IF(BA19="",0,BA19)),AW19)))))</f>
        <v/>
      </c>
      <c r="AZ19" s="13" t="str">
        <f aca="false">IF(BB19="","",CH19)</f>
        <v/>
      </c>
      <c r="BA19" s="13" t="str">
        <f aca="false">IF(OR(BB19="",AZ19="",T19="",T19&lt;=0,AZ19&lt;=0),"",BB19/((T19^2/8)*(2*ACOS(1-2*AZ19/T19)-SIN(2*ACOS(1-2*AZ19/T19)))))</f>
        <v/>
      </c>
      <c r="BB19" s="9" t="str">
        <f aca="false">IF(OR(N19="",BC19=""),"",MIN(N19,BC19))</f>
        <v/>
      </c>
      <c r="BC19" s="9" t="str">
        <f aca="false">IF(OR(N19="",T19="",P19=""),"",IF(OR(T19="",P19="",(0.94*T19)="",T19&lt;=0,(0.94*T19)&lt;=0),"",(1/Inputs!$B$9)*((T19^2/8)*((2*ACOS(1-2*(0.94*T19)/T19))-SIN((2*ACOS(1-2*(0.94*T19)/T19)))))*((((T19^2/8)*((2*ACOS(1-2*(0.94*T19)/T19))-SIN((2*ACOS(1-2*(0.94*T19)/T19)))))/((T19/2)*((2*ACOS(1-2*(0.94*T19)/T19)))))^(2/3))*SQRT(P19)))</f>
        <v/>
      </c>
      <c r="BD19" s="9" t="str">
        <f aca="false">IF(BB19="","",0.001*T19)</f>
        <v/>
      </c>
      <c r="BE19" s="9" t="str">
        <f aca="false">IF(BB19="","",0.94*T19)</f>
        <v/>
      </c>
      <c r="BF19" s="9" t="str">
        <f aca="false">IF(BB19="","",(BD19+BE19)/2)</f>
        <v/>
      </c>
      <c r="BG19" s="9" t="str">
        <f aca="false">IF(OR(T19="",P19="",BF19="",T19&lt;=0,BF19&lt;=0),"",(1/Inputs!$B$9)*((T19^2/8)*((2*ACOS(1-2*BF19/T19))-SIN((2*ACOS(1-2*BF19/T19)))))*((((T19^2/8)*((2*ACOS(1-2*BF19/T19))-SIN((2*ACOS(1-2*BF19/T19)))))/((T19/2)*((2*ACOS(1-2*BF19/T19)))))^(2/3))*SQRT(P19))</f>
        <v/>
      </c>
      <c r="BH19" s="9" t="str">
        <f aca="false">IF(BB19="","",IF(BG19&lt;BB19,BF19,BD19))</f>
        <v/>
      </c>
      <c r="BI19" s="9" t="str">
        <f aca="false">IF(BB19="","",IF(BG19&lt;BB19,BE19,BF19))</f>
        <v/>
      </c>
      <c r="BJ19" s="9" t="str">
        <f aca="false">IF(BB19="","",(BH19+BI19)/2)</f>
        <v/>
      </c>
      <c r="BK19" s="9" t="str">
        <f aca="false">IF(OR(T19="",P19="",BJ19="",T19&lt;=0,BJ19&lt;=0),"",(1/Inputs!$B$9)*((T19^2/8)*((2*ACOS(1-2*BJ19/T19))-SIN((2*ACOS(1-2*BJ19/T19)))))*((((T19^2/8)*((2*ACOS(1-2*BJ19/T19))-SIN((2*ACOS(1-2*BJ19/T19)))))/((T19/2)*((2*ACOS(1-2*BJ19/T19)))))^(2/3))*SQRT(P19))</f>
        <v/>
      </c>
      <c r="BL19" s="9" t="str">
        <f aca="false">IF(BB19="","",IF(BK19&lt;BB19,BJ19,BH19))</f>
        <v/>
      </c>
      <c r="BM19" s="9" t="str">
        <f aca="false">IF(BB19="","",IF(BK19&lt;BB19,BI19,BJ19))</f>
        <v/>
      </c>
      <c r="BN19" s="9" t="str">
        <f aca="false">IF(BB19="","",(BL19+BM19)/2)</f>
        <v/>
      </c>
      <c r="BO19" s="9" t="str">
        <f aca="false">IF(OR(T19="",P19="",BN19="",T19&lt;=0,BN19&lt;=0),"",(1/Inputs!$B$9)*((T19^2/8)*((2*ACOS(1-2*BN19/T19))-SIN((2*ACOS(1-2*BN19/T19)))))*((((T19^2/8)*((2*ACOS(1-2*BN19/T19))-SIN((2*ACOS(1-2*BN19/T19)))))/((T19/2)*((2*ACOS(1-2*BN19/T19)))))^(2/3))*SQRT(P19))</f>
        <v/>
      </c>
      <c r="BP19" s="9" t="str">
        <f aca="false">IF(BB19="","",IF(BO19&lt;BB19,BN19,BL19))</f>
        <v/>
      </c>
      <c r="BQ19" s="9" t="str">
        <f aca="false">IF(BB19="","",IF(BO19&lt;BB19,BM19,BN19))</f>
        <v/>
      </c>
      <c r="BR19" s="9" t="str">
        <f aca="false">IF(BB19="","",(BP19+BQ19)/2)</f>
        <v/>
      </c>
      <c r="BS19" s="9" t="str">
        <f aca="false">IF(OR(T19="",P19="",BR19="",T19&lt;=0,BR19&lt;=0),"",(1/Inputs!$B$9)*((T19^2/8)*((2*ACOS(1-2*BR19/T19))-SIN((2*ACOS(1-2*BR19/T19)))))*((((T19^2/8)*((2*ACOS(1-2*BR19/T19))-SIN((2*ACOS(1-2*BR19/T19)))))/((T19/2)*((2*ACOS(1-2*BR19/T19)))))^(2/3))*SQRT(P19))</f>
        <v/>
      </c>
      <c r="BT19" s="9" t="str">
        <f aca="false">IF(BB19="","",IF(BS19&lt;BB19,BR19,BP19))</f>
        <v/>
      </c>
      <c r="BU19" s="9" t="str">
        <f aca="false">IF(BB19="","",IF(BS19&lt;BB19,BQ19,BR19))</f>
        <v/>
      </c>
      <c r="BV19" s="9" t="str">
        <f aca="false">IF(BB19="","",(BT19+BU19)/2)</f>
        <v/>
      </c>
      <c r="BW19" s="9" t="str">
        <f aca="false">IF(OR(T19="",P19="",BV19="",T19&lt;=0,BV19&lt;=0),"",(1/Inputs!$B$9)*((T19^2/8)*((2*ACOS(1-2*BV19/T19))-SIN((2*ACOS(1-2*BV19/T19)))))*((((T19^2/8)*((2*ACOS(1-2*BV19/T19))-SIN((2*ACOS(1-2*BV19/T19)))))/((T19/2)*((2*ACOS(1-2*BV19/T19)))))^(2/3))*SQRT(P19))</f>
        <v/>
      </c>
      <c r="BX19" s="9" t="str">
        <f aca="false">IF(BB19="","",IF(BW19&lt;BB19,BV19,BT19))</f>
        <v/>
      </c>
      <c r="BY19" s="9" t="str">
        <f aca="false">IF(BB19="","",IF(BW19&lt;BB19,BU19,BV19))</f>
        <v/>
      </c>
      <c r="BZ19" s="9" t="str">
        <f aca="false">IF(BB19="","",(BX19+BY19)/2)</f>
        <v/>
      </c>
      <c r="CA19" s="9" t="str">
        <f aca="false">IF(OR(T19="",P19="",BZ19="",T19&lt;=0,BZ19&lt;=0),"",(1/Inputs!$B$9)*((T19^2/8)*((2*ACOS(1-2*BZ19/T19))-SIN((2*ACOS(1-2*BZ19/T19)))))*((((T19^2/8)*((2*ACOS(1-2*BZ19/T19))-SIN((2*ACOS(1-2*BZ19/T19)))))/((T19/2)*((2*ACOS(1-2*BZ19/T19)))))^(2/3))*SQRT(P19))</f>
        <v/>
      </c>
      <c r="CB19" s="9" t="str">
        <f aca="false">IF(BB19="","",IF(CA19&lt;BB19,BZ19,BX19))</f>
        <v/>
      </c>
      <c r="CC19" s="9" t="str">
        <f aca="false">IF(BB19="","",IF(CA19&lt;BB19,BY19,BZ19))</f>
        <v/>
      </c>
      <c r="CD19" s="9" t="str">
        <f aca="false">IF(BB19="","",(CB19+CC19)/2)</f>
        <v/>
      </c>
      <c r="CE19" s="9" t="str">
        <f aca="false">IF(OR(T19="",P19="",CD19="",T19&lt;=0,CD19&lt;=0),"",(1/Inputs!$B$9)*((T19^2/8)*((2*ACOS(1-2*CD19/T19))-SIN((2*ACOS(1-2*CD19/T19)))))*((((T19^2/8)*((2*ACOS(1-2*CD19/T19))-SIN((2*ACOS(1-2*CD19/T19)))))/((T19/2)*((2*ACOS(1-2*CD19/T19)))))^(2/3))*SQRT(P19))</f>
        <v/>
      </c>
      <c r="CF19" s="9" t="str">
        <f aca="false">IF(BB19="","",IF(CE19&lt;BB19,CD19,CB19))</f>
        <v/>
      </c>
      <c r="CG19" s="9" t="str">
        <f aca="false">IF(BB19="","",IF(CE19&lt;BB19,CC19,CD19))</f>
        <v/>
      </c>
      <c r="CH19" s="9" t="str">
        <f aca="false">IF(BB19="","",(CF19+CG19)/2)</f>
        <v/>
      </c>
    </row>
    <row r="20" customFormat="false" ht="15" hidden="false" customHeight="false" outlineLevel="0" collapsed="false">
      <c r="A20" s="9"/>
      <c r="B20" s="9"/>
      <c r="C20" s="9"/>
      <c r="D20" s="9"/>
      <c r="E20" s="14"/>
      <c r="F20" s="14"/>
      <c r="G20" s="14" t="n">
        <f aca="false">SUMIFS(CB_plan!$C:$C,CB_plan!$B:$B,$A20)</f>
        <v>0</v>
      </c>
      <c r="H20" s="14" t="n">
        <f aca="false">IF(F20="",G20,F20)</f>
        <v>0</v>
      </c>
      <c r="I20" s="9"/>
      <c r="J20" s="14"/>
      <c r="K20" s="14" t="str">
        <f aca="false">IF(A20="","",Inputs!$B$13/((IF(AV20="",Inputs!$B$18,AV20)+Inputs!$B$14)^Inputs!$B$15))</f>
        <v/>
      </c>
      <c r="L20" s="14" t="str">
        <f aca="false">IF(A20="","",0.000000278*IF(I20="",Inputs!$B$17,I20)*H20*K20)</f>
        <v/>
      </c>
      <c r="M20" s="14" t="str">
        <f aca="false">IF(A20="","",SUMIFS($N$4:$N$203,$D$4:$D$203,$A20))</f>
        <v/>
      </c>
      <c r="N20" s="14" t="str">
        <f aca="false">IF(A20="","",(L20+M20)*Inputs!$B$16)</f>
        <v/>
      </c>
      <c r="O20" s="14"/>
      <c r="P20" s="14" t="str">
        <f aca="false">IF(A20="","",IF(O20="",Inputs!$B$7,O20))</f>
        <v/>
      </c>
      <c r="Q20" s="9" t="str">
        <f aca="false">IF(A20="","",IF(N20/Inputs!$B$10&lt;=AG20,Inputs!$F$5,IF(N20/Inputs!$B$10&gt;AP20,"OVERSIZE",INDEX(Inputs!$F$5:$F$14,MATCH(N20/Inputs!$B$10,AG20:AP20,1)+1))))</f>
        <v/>
      </c>
      <c r="R20" s="9"/>
      <c r="S20" s="9" t="str">
        <f aca="false">IF(A20="","",IF(R20="",Q20,R20))</f>
        <v/>
      </c>
      <c r="T20" s="14" t="str">
        <f aca="false">IF(OR(S20="",S20="OVERSIZE"),"",S20/1000)</f>
        <v/>
      </c>
      <c r="U20" s="14" t="str">
        <f aca="false">IF(T20="","",(1/Inputs!$B$9)*(PI()*T20^2/4)*((T20/4)^(2/3))*SQRT(P20))</f>
        <v/>
      </c>
      <c r="V20" s="14" t="str">
        <f aca="false">IF(OR(U20="",N20=""),"",N20/(U20*Inputs!$B$10))</f>
        <v/>
      </c>
      <c r="W20" s="14" t="str">
        <f aca="false">IF(OR(T20="",N20=""),"",4*N20/(PI()*T20^2))</f>
        <v/>
      </c>
      <c r="X20" s="14"/>
      <c r="Y20" s="14" t="str">
        <f aca="false">IF(A20="","",IF(A20=Inputs!$B$6,Inputs!$B$22,IF(D20="","",IFERROR(INDEX($Z$4:$Z$203,MATCH(D20,$A$4:$A$203,0))+IF(X20="",Inputs!$B$20,X20),""))))</f>
        <v/>
      </c>
      <c r="Z20" s="14" t="str">
        <f aca="false">IF(OR(Y20="",P20="",E20=""),"",Y20+P20*E20)</f>
        <v/>
      </c>
      <c r="AA20" s="14" t="str">
        <f aca="false">IF(C20="","",IFERROR(INDEX(Noeuds_plan!$C$4:$C$200,MATCH(C20,Noeuds_plan!$A$4:$A$200,0)),""))</f>
        <v/>
      </c>
      <c r="AB20" s="14" t="str">
        <f aca="false">IF(B20="","",IFERROR(INDEX(Noeuds_plan!$C$4:$C$200,MATCH(B20,Noeuds_plan!$A$4:$A$200,0)),""))</f>
        <v/>
      </c>
      <c r="AC20" s="14" t="str">
        <f aca="false">IF(OR(AA20="",Y20=""),"",AA20-Y20)</f>
        <v/>
      </c>
      <c r="AD20" s="14" t="str">
        <f aca="false">IF(OR(AB20="",Z20=""),"",AB20-Z20)</f>
        <v/>
      </c>
      <c r="AE20" s="19" t="str">
        <f aca="false">IF(A20="","",IF(OR(V20&gt;1,AND(AY20&lt;&gt;"",AY20&lt;Inputs!$B$11),AND(AY20&lt;&gt;"",AY20&gt;Inputs!$B$12),AC20&lt;Inputs!$B$19,AD20&lt;Inputs!$B$19,P20&lt;Inputs!$B$7,P20&gt;Inputs!$B$8),"CHECK","OK"))</f>
        <v/>
      </c>
      <c r="AF20" s="9"/>
      <c r="AG20" s="9" t="str">
        <f aca="false">IF(A20="","",(1/Inputs!$B$9)*(PI()*(Inputs!$F$5/1000)^2/4)*((Inputs!$F$5/1000/4)^(2/3))*SQRT(P20))</f>
        <v/>
      </c>
      <c r="AH20" s="9" t="str">
        <f aca="false">IF(A20="","",(1/Inputs!$B$9)*(PI()*(Inputs!$F$6/1000)^2/4)*((Inputs!$F$6/1000/4)^(2/3))*SQRT(P20))</f>
        <v/>
      </c>
      <c r="AI20" s="9" t="str">
        <f aca="false">IF(A20="","",(1/Inputs!$B$9)*(PI()*(Inputs!$F$7/1000)^2/4)*((Inputs!$F$7/1000/4)^(2/3))*SQRT(P20))</f>
        <v/>
      </c>
      <c r="AJ20" s="9" t="str">
        <f aca="false">IF(A20="","",(1/Inputs!$B$9)*(PI()*(Inputs!$F$8/1000)^2/4)*((Inputs!$F$8/1000/4)^(2/3))*SQRT(P20))</f>
        <v/>
      </c>
      <c r="AK20" s="9" t="str">
        <f aca="false">IF(A20="","",(1/Inputs!$B$9)*(PI()*(Inputs!$F$9/1000)^2/4)*((Inputs!$F$9/1000/4)^(2/3))*SQRT(P20))</f>
        <v/>
      </c>
      <c r="AL20" s="9" t="str">
        <f aca="false">IF(A20="","",(1/Inputs!$B$9)*(PI()*(Inputs!$F$10/1000)^2/4)*((Inputs!$F$10/1000/4)^(2/3))*SQRT(P20))</f>
        <v/>
      </c>
      <c r="AM20" s="9" t="str">
        <f aca="false">IF(A20="","",(1/Inputs!$B$9)*(PI()*(Inputs!$F$11/1000)^2/4)*((Inputs!$F$11/1000/4)^(2/3))*SQRT(P20))</f>
        <v/>
      </c>
      <c r="AN20" s="9" t="str">
        <f aca="false">IF(A20="","",(1/Inputs!$B$9)*(PI()*(Inputs!$F$12/1000)^2/4)*((Inputs!$F$12/1000/4)^(2/3))*SQRT(P20))</f>
        <v/>
      </c>
      <c r="AO20" s="9" t="str">
        <f aca="false">IF(A20="","",(1/Inputs!$B$9)*(PI()*(Inputs!$F$13/1000)^2/4)*((Inputs!$F$13/1000/4)^(2/3))*SQRT(P20))</f>
        <v/>
      </c>
      <c r="AP20" s="9" t="str">
        <f aca="false">IF(A20="","",(1/Inputs!$B$9)*(PI()*(Inputs!$F$14/1000)^2/4)*((Inputs!$F$14/1000/4)^(2/3))*SQRT(P20))</f>
        <v/>
      </c>
      <c r="AQ20" s="9" t="str">
        <f aca="false">IF(A20="","",COUNTIF($D$4:$D$203,$A20))</f>
        <v/>
      </c>
      <c r="AR20" s="9" t="str">
        <f aca="false">IF(A20="","",IF(AQ20=0,"START","CONTINUOUS"))</f>
        <v/>
      </c>
      <c r="AS20" s="13" t="str">
        <f aca="false">IF(A20="","",IF(J20="",Inputs!$B$18,J20))</f>
        <v/>
      </c>
      <c r="AT20" s="13" t="str">
        <f aca="false">IF(A20="","",IFERROR(maxifs($AV$4:$AV$203,$D$4:$D$203,$A20),""))</f>
        <v/>
      </c>
      <c r="AU20" s="13" t="str">
        <f aca="false">IF(A20="","",IF(OR(E20="",Inputs!$B$23=""),"",E20/(Inputs!$B$23*60)))</f>
        <v/>
      </c>
      <c r="AV20" s="13" t="str">
        <f aca="false">IF(A20="","",IF(AQ20=0,AS20+AU20,IF(AT20="",AS20+AU20,AT20+AU20)))</f>
        <v/>
      </c>
      <c r="AW20" s="13" t="str">
        <f aca="false">IF(A20="","",W20)</f>
        <v/>
      </c>
      <c r="AX20" s="13" t="str">
        <f aca="false">IF(OR(T20="",P20=""),"",(1/Inputs!$B$9)*((T20/4)^(2/3))*SQRT(P20))</f>
        <v/>
      </c>
      <c r="AY20" s="13" t="str">
        <f aca="false">IF(A20="","",IF(AND(AW20="",AX20="",BA20=""),"",IF(OR(UPPER(TRIM(Inputs!$B$24))="MANNING",UPPER(TRIM(Inputs!$B$24))="M"),AX20,IF(OR(UPPER(TRIM(Inputs!$B$24))="PARTIAL",UPPER(TRIM(Inputs!$B$24))="P"),BA20,IF(OR(UPPER(TRIM(Inputs!$B$24))="MAX",UPPER(TRIM(Inputs!$B$24))="X"),MAX(IF(AW20="",0,AW20),IF(AX20="",0,AX20),IF(BA20="",0,BA20)),AW20)))))</f>
        <v/>
      </c>
      <c r="AZ20" s="13" t="str">
        <f aca="false">IF(BB20="","",CH20)</f>
        <v/>
      </c>
      <c r="BA20" s="13" t="str">
        <f aca="false">IF(OR(BB20="",AZ20="",T20="",T20&lt;=0,AZ20&lt;=0),"",BB20/((T20^2/8)*(2*ACOS(1-2*AZ20/T20)-SIN(2*ACOS(1-2*AZ20/T20)))))</f>
        <v/>
      </c>
      <c r="BB20" s="9" t="str">
        <f aca="false">IF(OR(N20="",BC20=""),"",MIN(N20,BC20))</f>
        <v/>
      </c>
      <c r="BC20" s="9" t="str">
        <f aca="false">IF(OR(N20="",T20="",P20=""),"",IF(OR(T20="",P20="",(0.94*T20)="",T20&lt;=0,(0.94*T20)&lt;=0),"",(1/Inputs!$B$9)*((T20^2/8)*((2*ACOS(1-2*(0.94*T20)/T20))-SIN((2*ACOS(1-2*(0.94*T20)/T20)))))*((((T20^2/8)*((2*ACOS(1-2*(0.94*T20)/T20))-SIN((2*ACOS(1-2*(0.94*T20)/T20)))))/((T20/2)*((2*ACOS(1-2*(0.94*T20)/T20)))))^(2/3))*SQRT(P20)))</f>
        <v/>
      </c>
      <c r="BD20" s="9" t="str">
        <f aca="false">IF(BB20="","",0.001*T20)</f>
        <v/>
      </c>
      <c r="BE20" s="9" t="str">
        <f aca="false">IF(BB20="","",0.94*T20)</f>
        <v/>
      </c>
      <c r="BF20" s="9" t="str">
        <f aca="false">IF(BB20="","",(BD20+BE20)/2)</f>
        <v/>
      </c>
      <c r="BG20" s="9" t="str">
        <f aca="false">IF(OR(T20="",P20="",BF20="",T20&lt;=0,BF20&lt;=0),"",(1/Inputs!$B$9)*((T20^2/8)*((2*ACOS(1-2*BF20/T20))-SIN((2*ACOS(1-2*BF20/T20)))))*((((T20^2/8)*((2*ACOS(1-2*BF20/T20))-SIN((2*ACOS(1-2*BF20/T20)))))/((T20/2)*((2*ACOS(1-2*BF20/T20)))))^(2/3))*SQRT(P20))</f>
        <v/>
      </c>
      <c r="BH20" s="9" t="str">
        <f aca="false">IF(BB20="","",IF(BG20&lt;BB20,BF20,BD20))</f>
        <v/>
      </c>
      <c r="BI20" s="9" t="str">
        <f aca="false">IF(BB20="","",IF(BG20&lt;BB20,BE20,BF20))</f>
        <v/>
      </c>
      <c r="BJ20" s="9" t="str">
        <f aca="false">IF(BB20="","",(BH20+BI20)/2)</f>
        <v/>
      </c>
      <c r="BK20" s="9" t="str">
        <f aca="false">IF(OR(T20="",P20="",BJ20="",T20&lt;=0,BJ20&lt;=0),"",(1/Inputs!$B$9)*((T20^2/8)*((2*ACOS(1-2*BJ20/T20))-SIN((2*ACOS(1-2*BJ20/T20)))))*((((T20^2/8)*((2*ACOS(1-2*BJ20/T20))-SIN((2*ACOS(1-2*BJ20/T20)))))/((T20/2)*((2*ACOS(1-2*BJ20/T20)))))^(2/3))*SQRT(P20))</f>
        <v/>
      </c>
      <c r="BL20" s="9" t="str">
        <f aca="false">IF(BB20="","",IF(BK20&lt;BB20,BJ20,BH20))</f>
        <v/>
      </c>
      <c r="BM20" s="9" t="str">
        <f aca="false">IF(BB20="","",IF(BK20&lt;BB20,BI20,BJ20))</f>
        <v/>
      </c>
      <c r="BN20" s="9" t="str">
        <f aca="false">IF(BB20="","",(BL20+BM20)/2)</f>
        <v/>
      </c>
      <c r="BO20" s="9" t="str">
        <f aca="false">IF(OR(T20="",P20="",BN20="",T20&lt;=0,BN20&lt;=0),"",(1/Inputs!$B$9)*((T20^2/8)*((2*ACOS(1-2*BN20/T20))-SIN((2*ACOS(1-2*BN20/T20)))))*((((T20^2/8)*((2*ACOS(1-2*BN20/T20))-SIN((2*ACOS(1-2*BN20/T20)))))/((T20/2)*((2*ACOS(1-2*BN20/T20)))))^(2/3))*SQRT(P20))</f>
        <v/>
      </c>
      <c r="BP20" s="9" t="str">
        <f aca="false">IF(BB20="","",IF(BO20&lt;BB20,BN20,BL20))</f>
        <v/>
      </c>
      <c r="BQ20" s="9" t="str">
        <f aca="false">IF(BB20="","",IF(BO20&lt;BB20,BM20,BN20))</f>
        <v/>
      </c>
      <c r="BR20" s="9" t="str">
        <f aca="false">IF(BB20="","",(BP20+BQ20)/2)</f>
        <v/>
      </c>
      <c r="BS20" s="9" t="str">
        <f aca="false">IF(OR(T20="",P20="",BR20="",T20&lt;=0,BR20&lt;=0),"",(1/Inputs!$B$9)*((T20^2/8)*((2*ACOS(1-2*BR20/T20))-SIN((2*ACOS(1-2*BR20/T20)))))*((((T20^2/8)*((2*ACOS(1-2*BR20/T20))-SIN((2*ACOS(1-2*BR20/T20)))))/((T20/2)*((2*ACOS(1-2*BR20/T20)))))^(2/3))*SQRT(P20))</f>
        <v/>
      </c>
      <c r="BT20" s="9" t="str">
        <f aca="false">IF(BB20="","",IF(BS20&lt;BB20,BR20,BP20))</f>
        <v/>
      </c>
      <c r="BU20" s="9" t="str">
        <f aca="false">IF(BB20="","",IF(BS20&lt;BB20,BQ20,BR20))</f>
        <v/>
      </c>
      <c r="BV20" s="9" t="str">
        <f aca="false">IF(BB20="","",(BT20+BU20)/2)</f>
        <v/>
      </c>
      <c r="BW20" s="9" t="str">
        <f aca="false">IF(OR(T20="",P20="",BV20="",T20&lt;=0,BV20&lt;=0),"",(1/Inputs!$B$9)*((T20^2/8)*((2*ACOS(1-2*BV20/T20))-SIN((2*ACOS(1-2*BV20/T20)))))*((((T20^2/8)*((2*ACOS(1-2*BV20/T20))-SIN((2*ACOS(1-2*BV20/T20)))))/((T20/2)*((2*ACOS(1-2*BV20/T20)))))^(2/3))*SQRT(P20))</f>
        <v/>
      </c>
      <c r="BX20" s="9" t="str">
        <f aca="false">IF(BB20="","",IF(BW20&lt;BB20,BV20,BT20))</f>
        <v/>
      </c>
      <c r="BY20" s="9" t="str">
        <f aca="false">IF(BB20="","",IF(BW20&lt;BB20,BU20,BV20))</f>
        <v/>
      </c>
      <c r="BZ20" s="9" t="str">
        <f aca="false">IF(BB20="","",(BX20+BY20)/2)</f>
        <v/>
      </c>
      <c r="CA20" s="9" t="str">
        <f aca="false">IF(OR(T20="",P20="",BZ20="",T20&lt;=0,BZ20&lt;=0),"",(1/Inputs!$B$9)*((T20^2/8)*((2*ACOS(1-2*BZ20/T20))-SIN((2*ACOS(1-2*BZ20/T20)))))*((((T20^2/8)*((2*ACOS(1-2*BZ20/T20))-SIN((2*ACOS(1-2*BZ20/T20)))))/((T20/2)*((2*ACOS(1-2*BZ20/T20)))))^(2/3))*SQRT(P20))</f>
        <v/>
      </c>
      <c r="CB20" s="9" t="str">
        <f aca="false">IF(BB20="","",IF(CA20&lt;BB20,BZ20,BX20))</f>
        <v/>
      </c>
      <c r="CC20" s="9" t="str">
        <f aca="false">IF(BB20="","",IF(CA20&lt;BB20,BY20,BZ20))</f>
        <v/>
      </c>
      <c r="CD20" s="9" t="str">
        <f aca="false">IF(BB20="","",(CB20+CC20)/2)</f>
        <v/>
      </c>
      <c r="CE20" s="9" t="str">
        <f aca="false">IF(OR(T20="",P20="",CD20="",T20&lt;=0,CD20&lt;=0),"",(1/Inputs!$B$9)*((T20^2/8)*((2*ACOS(1-2*CD20/T20))-SIN((2*ACOS(1-2*CD20/T20)))))*((((T20^2/8)*((2*ACOS(1-2*CD20/T20))-SIN((2*ACOS(1-2*CD20/T20)))))/((T20/2)*((2*ACOS(1-2*CD20/T20)))))^(2/3))*SQRT(P20))</f>
        <v/>
      </c>
      <c r="CF20" s="9" t="str">
        <f aca="false">IF(BB20="","",IF(CE20&lt;BB20,CD20,CB20))</f>
        <v/>
      </c>
      <c r="CG20" s="9" t="str">
        <f aca="false">IF(BB20="","",IF(CE20&lt;BB20,CC20,CD20))</f>
        <v/>
      </c>
      <c r="CH20" s="9" t="str">
        <f aca="false">IF(BB20="","",(CF20+CG20)/2)</f>
        <v/>
      </c>
    </row>
    <row r="21" customFormat="false" ht="15" hidden="false" customHeight="false" outlineLevel="0" collapsed="false">
      <c r="A21" s="9"/>
      <c r="B21" s="9"/>
      <c r="C21" s="9"/>
      <c r="D21" s="9"/>
      <c r="E21" s="14"/>
      <c r="F21" s="14"/>
      <c r="G21" s="14" t="n">
        <f aca="false">SUMIFS(CB_plan!$C:$C,CB_plan!$B:$B,$A21)</f>
        <v>0</v>
      </c>
      <c r="H21" s="14" t="n">
        <f aca="false">IF(F21="",G21,F21)</f>
        <v>0</v>
      </c>
      <c r="I21" s="9"/>
      <c r="J21" s="14"/>
      <c r="K21" s="14" t="str">
        <f aca="false">IF(A21="","",Inputs!$B$13/((IF(AV21="",Inputs!$B$18,AV21)+Inputs!$B$14)^Inputs!$B$15))</f>
        <v/>
      </c>
      <c r="L21" s="14" t="str">
        <f aca="false">IF(A21="","",0.000000278*IF(I21="",Inputs!$B$17,I21)*H21*K21)</f>
        <v/>
      </c>
      <c r="M21" s="14" t="str">
        <f aca="false">IF(A21="","",SUMIFS($N$4:$N$203,$D$4:$D$203,$A21))</f>
        <v/>
      </c>
      <c r="N21" s="14" t="str">
        <f aca="false">IF(A21="","",(L21+M21)*Inputs!$B$16)</f>
        <v/>
      </c>
      <c r="O21" s="14"/>
      <c r="P21" s="14" t="str">
        <f aca="false">IF(A21="","",IF(O21="",Inputs!$B$7,O21))</f>
        <v/>
      </c>
      <c r="Q21" s="9" t="str">
        <f aca="false">IF(A21="","",IF(N21/Inputs!$B$10&lt;=AG21,Inputs!$F$5,IF(N21/Inputs!$B$10&gt;AP21,"OVERSIZE",INDEX(Inputs!$F$5:$F$14,MATCH(N21/Inputs!$B$10,AG21:AP21,1)+1))))</f>
        <v/>
      </c>
      <c r="R21" s="9"/>
      <c r="S21" s="9" t="str">
        <f aca="false">IF(A21="","",IF(R21="",Q21,R21))</f>
        <v/>
      </c>
      <c r="T21" s="14" t="str">
        <f aca="false">IF(OR(S21="",S21="OVERSIZE"),"",S21/1000)</f>
        <v/>
      </c>
      <c r="U21" s="14" t="str">
        <f aca="false">IF(T21="","",(1/Inputs!$B$9)*(PI()*T21^2/4)*((T21/4)^(2/3))*SQRT(P21))</f>
        <v/>
      </c>
      <c r="V21" s="14" t="str">
        <f aca="false">IF(OR(U21="",N21=""),"",N21/(U21*Inputs!$B$10))</f>
        <v/>
      </c>
      <c r="W21" s="14" t="str">
        <f aca="false">IF(OR(T21="",N21=""),"",4*N21/(PI()*T21^2))</f>
        <v/>
      </c>
      <c r="X21" s="14"/>
      <c r="Y21" s="14" t="str">
        <f aca="false">IF(A21="","",IF(A21=Inputs!$B$6,Inputs!$B$22,IF(D21="","",IFERROR(INDEX($Z$4:$Z$203,MATCH(D21,$A$4:$A$203,0))+IF(X21="",Inputs!$B$20,X21),""))))</f>
        <v/>
      </c>
      <c r="Z21" s="14" t="str">
        <f aca="false">IF(OR(Y21="",P21="",E21=""),"",Y21+P21*E21)</f>
        <v/>
      </c>
      <c r="AA21" s="14" t="str">
        <f aca="false">IF(C21="","",IFERROR(INDEX(Noeuds_plan!$C$4:$C$200,MATCH(C21,Noeuds_plan!$A$4:$A$200,0)),""))</f>
        <v/>
      </c>
      <c r="AB21" s="14" t="str">
        <f aca="false">IF(B21="","",IFERROR(INDEX(Noeuds_plan!$C$4:$C$200,MATCH(B21,Noeuds_plan!$A$4:$A$200,0)),""))</f>
        <v/>
      </c>
      <c r="AC21" s="14" t="str">
        <f aca="false">IF(OR(AA21="",Y21=""),"",AA21-Y21)</f>
        <v/>
      </c>
      <c r="AD21" s="14" t="str">
        <f aca="false">IF(OR(AB21="",Z21=""),"",AB21-Z21)</f>
        <v/>
      </c>
      <c r="AE21" s="19" t="str">
        <f aca="false">IF(A21="","",IF(OR(V21&gt;1,AND(AY21&lt;&gt;"",AY21&lt;Inputs!$B$11),AND(AY21&lt;&gt;"",AY21&gt;Inputs!$B$12),AC21&lt;Inputs!$B$19,AD21&lt;Inputs!$B$19,P21&lt;Inputs!$B$7,P21&gt;Inputs!$B$8),"CHECK","OK"))</f>
        <v/>
      </c>
      <c r="AF21" s="9"/>
      <c r="AG21" s="9" t="str">
        <f aca="false">IF(A21="","",(1/Inputs!$B$9)*(PI()*(Inputs!$F$5/1000)^2/4)*((Inputs!$F$5/1000/4)^(2/3))*SQRT(P21))</f>
        <v/>
      </c>
      <c r="AH21" s="9" t="str">
        <f aca="false">IF(A21="","",(1/Inputs!$B$9)*(PI()*(Inputs!$F$6/1000)^2/4)*((Inputs!$F$6/1000/4)^(2/3))*SQRT(P21))</f>
        <v/>
      </c>
      <c r="AI21" s="9" t="str">
        <f aca="false">IF(A21="","",(1/Inputs!$B$9)*(PI()*(Inputs!$F$7/1000)^2/4)*((Inputs!$F$7/1000/4)^(2/3))*SQRT(P21))</f>
        <v/>
      </c>
      <c r="AJ21" s="9" t="str">
        <f aca="false">IF(A21="","",(1/Inputs!$B$9)*(PI()*(Inputs!$F$8/1000)^2/4)*((Inputs!$F$8/1000/4)^(2/3))*SQRT(P21))</f>
        <v/>
      </c>
      <c r="AK21" s="9" t="str">
        <f aca="false">IF(A21="","",(1/Inputs!$B$9)*(PI()*(Inputs!$F$9/1000)^2/4)*((Inputs!$F$9/1000/4)^(2/3))*SQRT(P21))</f>
        <v/>
      </c>
      <c r="AL21" s="9" t="str">
        <f aca="false">IF(A21="","",(1/Inputs!$B$9)*(PI()*(Inputs!$F$10/1000)^2/4)*((Inputs!$F$10/1000/4)^(2/3))*SQRT(P21))</f>
        <v/>
      </c>
      <c r="AM21" s="9" t="str">
        <f aca="false">IF(A21="","",(1/Inputs!$B$9)*(PI()*(Inputs!$F$11/1000)^2/4)*((Inputs!$F$11/1000/4)^(2/3))*SQRT(P21))</f>
        <v/>
      </c>
      <c r="AN21" s="9" t="str">
        <f aca="false">IF(A21="","",(1/Inputs!$B$9)*(PI()*(Inputs!$F$12/1000)^2/4)*((Inputs!$F$12/1000/4)^(2/3))*SQRT(P21))</f>
        <v/>
      </c>
      <c r="AO21" s="9" t="str">
        <f aca="false">IF(A21="","",(1/Inputs!$B$9)*(PI()*(Inputs!$F$13/1000)^2/4)*((Inputs!$F$13/1000/4)^(2/3))*SQRT(P21))</f>
        <v/>
      </c>
      <c r="AP21" s="9" t="str">
        <f aca="false">IF(A21="","",(1/Inputs!$B$9)*(PI()*(Inputs!$F$14/1000)^2/4)*((Inputs!$F$14/1000/4)^(2/3))*SQRT(P21))</f>
        <v/>
      </c>
      <c r="AQ21" s="9" t="str">
        <f aca="false">IF(A21="","",COUNTIF($D$4:$D$203,$A21))</f>
        <v/>
      </c>
      <c r="AR21" s="9" t="str">
        <f aca="false">IF(A21="","",IF(AQ21=0,"START","CONTINUOUS"))</f>
        <v/>
      </c>
      <c r="AS21" s="13" t="str">
        <f aca="false">IF(A21="","",IF(J21="",Inputs!$B$18,J21))</f>
        <v/>
      </c>
      <c r="AT21" s="13" t="str">
        <f aca="false">IF(A21="","",IFERROR(maxifs($AV$4:$AV$203,$D$4:$D$203,$A21),""))</f>
        <v/>
      </c>
      <c r="AU21" s="13" t="str">
        <f aca="false">IF(A21="","",IF(OR(E21="",Inputs!$B$23=""),"",E21/(Inputs!$B$23*60)))</f>
        <v/>
      </c>
      <c r="AV21" s="13" t="str">
        <f aca="false">IF(A21="","",IF(AQ21=0,AS21+AU21,IF(AT21="",AS21+AU21,AT21+AU21)))</f>
        <v/>
      </c>
      <c r="AW21" s="13" t="str">
        <f aca="false">IF(A21="","",W21)</f>
        <v/>
      </c>
      <c r="AX21" s="13" t="str">
        <f aca="false">IF(OR(T21="",P21=""),"",(1/Inputs!$B$9)*((T21/4)^(2/3))*SQRT(P21))</f>
        <v/>
      </c>
      <c r="AY21" s="13" t="str">
        <f aca="false">IF(A21="","",IF(AND(AW21="",AX21="",BA21=""),"",IF(OR(UPPER(TRIM(Inputs!$B$24))="MANNING",UPPER(TRIM(Inputs!$B$24))="M"),AX21,IF(OR(UPPER(TRIM(Inputs!$B$24))="PARTIAL",UPPER(TRIM(Inputs!$B$24))="P"),BA21,IF(OR(UPPER(TRIM(Inputs!$B$24))="MAX",UPPER(TRIM(Inputs!$B$24))="X"),MAX(IF(AW21="",0,AW21),IF(AX21="",0,AX21),IF(BA21="",0,BA21)),AW21)))))</f>
        <v/>
      </c>
      <c r="AZ21" s="13" t="str">
        <f aca="false">IF(BB21="","",CH21)</f>
        <v/>
      </c>
      <c r="BA21" s="13" t="str">
        <f aca="false">IF(OR(BB21="",AZ21="",T21="",T21&lt;=0,AZ21&lt;=0),"",BB21/((T21^2/8)*(2*ACOS(1-2*AZ21/T21)-SIN(2*ACOS(1-2*AZ21/T21)))))</f>
        <v/>
      </c>
      <c r="BB21" s="9" t="str">
        <f aca="false">IF(OR(N21="",BC21=""),"",MIN(N21,BC21))</f>
        <v/>
      </c>
      <c r="BC21" s="9" t="str">
        <f aca="false">IF(OR(N21="",T21="",P21=""),"",IF(OR(T21="",P21="",(0.94*T21)="",T21&lt;=0,(0.94*T21)&lt;=0),"",(1/Inputs!$B$9)*((T21^2/8)*((2*ACOS(1-2*(0.94*T21)/T21))-SIN((2*ACOS(1-2*(0.94*T21)/T21)))))*((((T21^2/8)*((2*ACOS(1-2*(0.94*T21)/T21))-SIN((2*ACOS(1-2*(0.94*T21)/T21)))))/((T21/2)*((2*ACOS(1-2*(0.94*T21)/T21)))))^(2/3))*SQRT(P21)))</f>
        <v/>
      </c>
      <c r="BD21" s="9" t="str">
        <f aca="false">IF(BB21="","",0.001*T21)</f>
        <v/>
      </c>
      <c r="BE21" s="9" t="str">
        <f aca="false">IF(BB21="","",0.94*T21)</f>
        <v/>
      </c>
      <c r="BF21" s="9" t="str">
        <f aca="false">IF(BB21="","",(BD21+BE21)/2)</f>
        <v/>
      </c>
      <c r="BG21" s="9" t="str">
        <f aca="false">IF(OR(T21="",P21="",BF21="",T21&lt;=0,BF21&lt;=0),"",(1/Inputs!$B$9)*((T21^2/8)*((2*ACOS(1-2*BF21/T21))-SIN((2*ACOS(1-2*BF21/T21)))))*((((T21^2/8)*((2*ACOS(1-2*BF21/T21))-SIN((2*ACOS(1-2*BF21/T21)))))/((T21/2)*((2*ACOS(1-2*BF21/T21)))))^(2/3))*SQRT(P21))</f>
        <v/>
      </c>
      <c r="BH21" s="9" t="str">
        <f aca="false">IF(BB21="","",IF(BG21&lt;BB21,BF21,BD21))</f>
        <v/>
      </c>
      <c r="BI21" s="9" t="str">
        <f aca="false">IF(BB21="","",IF(BG21&lt;BB21,BE21,BF21))</f>
        <v/>
      </c>
      <c r="BJ21" s="9" t="str">
        <f aca="false">IF(BB21="","",(BH21+BI21)/2)</f>
        <v/>
      </c>
      <c r="BK21" s="9" t="str">
        <f aca="false">IF(OR(T21="",P21="",BJ21="",T21&lt;=0,BJ21&lt;=0),"",(1/Inputs!$B$9)*((T21^2/8)*((2*ACOS(1-2*BJ21/T21))-SIN((2*ACOS(1-2*BJ21/T21)))))*((((T21^2/8)*((2*ACOS(1-2*BJ21/T21))-SIN((2*ACOS(1-2*BJ21/T21)))))/((T21/2)*((2*ACOS(1-2*BJ21/T21)))))^(2/3))*SQRT(P21))</f>
        <v/>
      </c>
      <c r="BL21" s="9" t="str">
        <f aca="false">IF(BB21="","",IF(BK21&lt;BB21,BJ21,BH21))</f>
        <v/>
      </c>
      <c r="BM21" s="9" t="str">
        <f aca="false">IF(BB21="","",IF(BK21&lt;BB21,BI21,BJ21))</f>
        <v/>
      </c>
      <c r="BN21" s="9" t="str">
        <f aca="false">IF(BB21="","",(BL21+BM21)/2)</f>
        <v/>
      </c>
      <c r="BO21" s="9" t="str">
        <f aca="false">IF(OR(T21="",P21="",BN21="",T21&lt;=0,BN21&lt;=0),"",(1/Inputs!$B$9)*((T21^2/8)*((2*ACOS(1-2*BN21/T21))-SIN((2*ACOS(1-2*BN21/T21)))))*((((T21^2/8)*((2*ACOS(1-2*BN21/T21))-SIN((2*ACOS(1-2*BN21/T21)))))/((T21/2)*((2*ACOS(1-2*BN21/T21)))))^(2/3))*SQRT(P21))</f>
        <v/>
      </c>
      <c r="BP21" s="9" t="str">
        <f aca="false">IF(BB21="","",IF(BO21&lt;BB21,BN21,BL21))</f>
        <v/>
      </c>
      <c r="BQ21" s="9" t="str">
        <f aca="false">IF(BB21="","",IF(BO21&lt;BB21,BM21,BN21))</f>
        <v/>
      </c>
      <c r="BR21" s="9" t="str">
        <f aca="false">IF(BB21="","",(BP21+BQ21)/2)</f>
        <v/>
      </c>
      <c r="BS21" s="9" t="str">
        <f aca="false">IF(OR(T21="",P21="",BR21="",T21&lt;=0,BR21&lt;=0),"",(1/Inputs!$B$9)*((T21^2/8)*((2*ACOS(1-2*BR21/T21))-SIN((2*ACOS(1-2*BR21/T21)))))*((((T21^2/8)*((2*ACOS(1-2*BR21/T21))-SIN((2*ACOS(1-2*BR21/T21)))))/((T21/2)*((2*ACOS(1-2*BR21/T21)))))^(2/3))*SQRT(P21))</f>
        <v/>
      </c>
      <c r="BT21" s="9" t="str">
        <f aca="false">IF(BB21="","",IF(BS21&lt;BB21,BR21,BP21))</f>
        <v/>
      </c>
      <c r="BU21" s="9" t="str">
        <f aca="false">IF(BB21="","",IF(BS21&lt;BB21,BQ21,BR21))</f>
        <v/>
      </c>
      <c r="BV21" s="9" t="str">
        <f aca="false">IF(BB21="","",(BT21+BU21)/2)</f>
        <v/>
      </c>
      <c r="BW21" s="9" t="str">
        <f aca="false">IF(OR(T21="",P21="",BV21="",T21&lt;=0,BV21&lt;=0),"",(1/Inputs!$B$9)*((T21^2/8)*((2*ACOS(1-2*BV21/T21))-SIN((2*ACOS(1-2*BV21/T21)))))*((((T21^2/8)*((2*ACOS(1-2*BV21/T21))-SIN((2*ACOS(1-2*BV21/T21)))))/((T21/2)*((2*ACOS(1-2*BV21/T21)))))^(2/3))*SQRT(P21))</f>
        <v/>
      </c>
      <c r="BX21" s="9" t="str">
        <f aca="false">IF(BB21="","",IF(BW21&lt;BB21,BV21,BT21))</f>
        <v/>
      </c>
      <c r="BY21" s="9" t="str">
        <f aca="false">IF(BB21="","",IF(BW21&lt;BB21,BU21,BV21))</f>
        <v/>
      </c>
      <c r="BZ21" s="9" t="str">
        <f aca="false">IF(BB21="","",(BX21+BY21)/2)</f>
        <v/>
      </c>
      <c r="CA21" s="9" t="str">
        <f aca="false">IF(OR(T21="",P21="",BZ21="",T21&lt;=0,BZ21&lt;=0),"",(1/Inputs!$B$9)*((T21^2/8)*((2*ACOS(1-2*BZ21/T21))-SIN((2*ACOS(1-2*BZ21/T21)))))*((((T21^2/8)*((2*ACOS(1-2*BZ21/T21))-SIN((2*ACOS(1-2*BZ21/T21)))))/((T21/2)*((2*ACOS(1-2*BZ21/T21)))))^(2/3))*SQRT(P21))</f>
        <v/>
      </c>
      <c r="CB21" s="9" t="str">
        <f aca="false">IF(BB21="","",IF(CA21&lt;BB21,BZ21,BX21))</f>
        <v/>
      </c>
      <c r="CC21" s="9" t="str">
        <f aca="false">IF(BB21="","",IF(CA21&lt;BB21,BY21,BZ21))</f>
        <v/>
      </c>
      <c r="CD21" s="9" t="str">
        <f aca="false">IF(BB21="","",(CB21+CC21)/2)</f>
        <v/>
      </c>
      <c r="CE21" s="9" t="str">
        <f aca="false">IF(OR(T21="",P21="",CD21="",T21&lt;=0,CD21&lt;=0),"",(1/Inputs!$B$9)*((T21^2/8)*((2*ACOS(1-2*CD21/T21))-SIN((2*ACOS(1-2*CD21/T21)))))*((((T21^2/8)*((2*ACOS(1-2*CD21/T21))-SIN((2*ACOS(1-2*CD21/T21)))))/((T21/2)*((2*ACOS(1-2*CD21/T21)))))^(2/3))*SQRT(P21))</f>
        <v/>
      </c>
      <c r="CF21" s="9" t="str">
        <f aca="false">IF(BB21="","",IF(CE21&lt;BB21,CD21,CB21))</f>
        <v/>
      </c>
      <c r="CG21" s="9" t="str">
        <f aca="false">IF(BB21="","",IF(CE21&lt;BB21,CC21,CD21))</f>
        <v/>
      </c>
      <c r="CH21" s="9" t="str">
        <f aca="false">IF(BB21="","",(CF21+CG21)/2)</f>
        <v/>
      </c>
    </row>
    <row r="22" customFormat="false" ht="15" hidden="false" customHeight="false" outlineLevel="0" collapsed="false">
      <c r="A22" s="9"/>
      <c r="B22" s="9"/>
      <c r="C22" s="9"/>
      <c r="D22" s="9"/>
      <c r="E22" s="14"/>
      <c r="F22" s="14"/>
      <c r="G22" s="14" t="n">
        <f aca="false">SUMIFS(CB_plan!$C:$C,CB_plan!$B:$B,$A22)</f>
        <v>0</v>
      </c>
      <c r="H22" s="14" t="n">
        <f aca="false">IF(F22="",G22,F22)</f>
        <v>0</v>
      </c>
      <c r="I22" s="9"/>
      <c r="J22" s="14"/>
      <c r="K22" s="14" t="str">
        <f aca="false">IF(A22="","",Inputs!$B$13/((IF(AV22="",Inputs!$B$18,AV22)+Inputs!$B$14)^Inputs!$B$15))</f>
        <v/>
      </c>
      <c r="L22" s="14" t="str">
        <f aca="false">IF(A22="","",0.000000278*IF(I22="",Inputs!$B$17,I22)*H22*K22)</f>
        <v/>
      </c>
      <c r="M22" s="14" t="str">
        <f aca="false">IF(A22="","",SUMIFS($N$4:$N$203,$D$4:$D$203,$A22))</f>
        <v/>
      </c>
      <c r="N22" s="14" t="str">
        <f aca="false">IF(A22="","",(L22+M22)*Inputs!$B$16)</f>
        <v/>
      </c>
      <c r="O22" s="14"/>
      <c r="P22" s="14" t="str">
        <f aca="false">IF(A22="","",IF(O22="",Inputs!$B$7,O22))</f>
        <v/>
      </c>
      <c r="Q22" s="9" t="str">
        <f aca="false">IF(A22="","",IF(N22/Inputs!$B$10&lt;=AG22,Inputs!$F$5,IF(N22/Inputs!$B$10&gt;AP22,"OVERSIZE",INDEX(Inputs!$F$5:$F$14,MATCH(N22/Inputs!$B$10,AG22:AP22,1)+1))))</f>
        <v/>
      </c>
      <c r="R22" s="9"/>
      <c r="S22" s="9" t="str">
        <f aca="false">IF(A22="","",IF(R22="",Q22,R22))</f>
        <v/>
      </c>
      <c r="T22" s="14" t="str">
        <f aca="false">IF(OR(S22="",S22="OVERSIZE"),"",S22/1000)</f>
        <v/>
      </c>
      <c r="U22" s="14" t="str">
        <f aca="false">IF(T22="","",(1/Inputs!$B$9)*(PI()*T22^2/4)*((T22/4)^(2/3))*SQRT(P22))</f>
        <v/>
      </c>
      <c r="V22" s="14" t="str">
        <f aca="false">IF(OR(U22="",N22=""),"",N22/(U22*Inputs!$B$10))</f>
        <v/>
      </c>
      <c r="W22" s="14" t="str">
        <f aca="false">IF(OR(T22="",N22=""),"",4*N22/(PI()*T22^2))</f>
        <v/>
      </c>
      <c r="X22" s="14"/>
      <c r="Y22" s="14" t="str">
        <f aca="false">IF(A22="","",IF(A22=Inputs!$B$6,Inputs!$B$22,IF(D22="","",IFERROR(INDEX($Z$4:$Z$203,MATCH(D22,$A$4:$A$203,0))+IF(X22="",Inputs!$B$20,X22),""))))</f>
        <v/>
      </c>
      <c r="Z22" s="14" t="str">
        <f aca="false">IF(OR(Y22="",P22="",E22=""),"",Y22+P22*E22)</f>
        <v/>
      </c>
      <c r="AA22" s="14" t="str">
        <f aca="false">IF(C22="","",IFERROR(INDEX(Noeuds_plan!$C$4:$C$200,MATCH(C22,Noeuds_plan!$A$4:$A$200,0)),""))</f>
        <v/>
      </c>
      <c r="AB22" s="14" t="str">
        <f aca="false">IF(B22="","",IFERROR(INDEX(Noeuds_plan!$C$4:$C$200,MATCH(B22,Noeuds_plan!$A$4:$A$200,0)),""))</f>
        <v/>
      </c>
      <c r="AC22" s="14" t="str">
        <f aca="false">IF(OR(AA22="",Y22=""),"",AA22-Y22)</f>
        <v/>
      </c>
      <c r="AD22" s="14" t="str">
        <f aca="false">IF(OR(AB22="",Z22=""),"",AB22-Z22)</f>
        <v/>
      </c>
      <c r="AE22" s="19" t="str">
        <f aca="false">IF(A22="","",IF(OR(V22&gt;1,AND(AY22&lt;&gt;"",AY22&lt;Inputs!$B$11),AND(AY22&lt;&gt;"",AY22&gt;Inputs!$B$12),AC22&lt;Inputs!$B$19,AD22&lt;Inputs!$B$19,P22&lt;Inputs!$B$7,P22&gt;Inputs!$B$8),"CHECK","OK"))</f>
        <v/>
      </c>
      <c r="AF22" s="9"/>
      <c r="AG22" s="9" t="str">
        <f aca="false">IF(A22="","",(1/Inputs!$B$9)*(PI()*(Inputs!$F$5/1000)^2/4)*((Inputs!$F$5/1000/4)^(2/3))*SQRT(P22))</f>
        <v/>
      </c>
      <c r="AH22" s="9" t="str">
        <f aca="false">IF(A22="","",(1/Inputs!$B$9)*(PI()*(Inputs!$F$6/1000)^2/4)*((Inputs!$F$6/1000/4)^(2/3))*SQRT(P22))</f>
        <v/>
      </c>
      <c r="AI22" s="9" t="str">
        <f aca="false">IF(A22="","",(1/Inputs!$B$9)*(PI()*(Inputs!$F$7/1000)^2/4)*((Inputs!$F$7/1000/4)^(2/3))*SQRT(P22))</f>
        <v/>
      </c>
      <c r="AJ22" s="9" t="str">
        <f aca="false">IF(A22="","",(1/Inputs!$B$9)*(PI()*(Inputs!$F$8/1000)^2/4)*((Inputs!$F$8/1000/4)^(2/3))*SQRT(P22))</f>
        <v/>
      </c>
      <c r="AK22" s="9" t="str">
        <f aca="false">IF(A22="","",(1/Inputs!$B$9)*(PI()*(Inputs!$F$9/1000)^2/4)*((Inputs!$F$9/1000/4)^(2/3))*SQRT(P22))</f>
        <v/>
      </c>
      <c r="AL22" s="9" t="str">
        <f aca="false">IF(A22="","",(1/Inputs!$B$9)*(PI()*(Inputs!$F$10/1000)^2/4)*((Inputs!$F$10/1000/4)^(2/3))*SQRT(P22))</f>
        <v/>
      </c>
      <c r="AM22" s="9" t="str">
        <f aca="false">IF(A22="","",(1/Inputs!$B$9)*(PI()*(Inputs!$F$11/1000)^2/4)*((Inputs!$F$11/1000/4)^(2/3))*SQRT(P22))</f>
        <v/>
      </c>
      <c r="AN22" s="9" t="str">
        <f aca="false">IF(A22="","",(1/Inputs!$B$9)*(PI()*(Inputs!$F$12/1000)^2/4)*((Inputs!$F$12/1000/4)^(2/3))*SQRT(P22))</f>
        <v/>
      </c>
      <c r="AO22" s="9" t="str">
        <f aca="false">IF(A22="","",(1/Inputs!$B$9)*(PI()*(Inputs!$F$13/1000)^2/4)*((Inputs!$F$13/1000/4)^(2/3))*SQRT(P22))</f>
        <v/>
      </c>
      <c r="AP22" s="9" t="str">
        <f aca="false">IF(A22="","",(1/Inputs!$B$9)*(PI()*(Inputs!$F$14/1000)^2/4)*((Inputs!$F$14/1000/4)^(2/3))*SQRT(P22))</f>
        <v/>
      </c>
      <c r="AQ22" s="9" t="str">
        <f aca="false">IF(A22="","",COUNTIF($D$4:$D$203,$A22))</f>
        <v/>
      </c>
      <c r="AR22" s="9" t="str">
        <f aca="false">IF(A22="","",IF(AQ22=0,"START","CONTINUOUS"))</f>
        <v/>
      </c>
      <c r="AS22" s="13" t="str">
        <f aca="false">IF(A22="","",IF(J22="",Inputs!$B$18,J22))</f>
        <v/>
      </c>
      <c r="AT22" s="13" t="str">
        <f aca="false">IF(A22="","",IFERROR(maxifs($AV$4:$AV$203,$D$4:$D$203,$A22),""))</f>
        <v/>
      </c>
      <c r="AU22" s="13" t="str">
        <f aca="false">IF(A22="","",IF(OR(E22="",Inputs!$B$23=""),"",E22/(Inputs!$B$23*60)))</f>
        <v/>
      </c>
      <c r="AV22" s="13" t="str">
        <f aca="false">IF(A22="","",IF(AQ22=0,AS22+AU22,IF(AT22="",AS22+AU22,AT22+AU22)))</f>
        <v/>
      </c>
      <c r="AW22" s="13" t="str">
        <f aca="false">IF(A22="","",W22)</f>
        <v/>
      </c>
      <c r="AX22" s="13" t="str">
        <f aca="false">IF(OR(T22="",P22=""),"",(1/Inputs!$B$9)*((T22/4)^(2/3))*SQRT(P22))</f>
        <v/>
      </c>
      <c r="AY22" s="13" t="str">
        <f aca="false">IF(A22="","",IF(AND(AW22="",AX22="",BA22=""),"",IF(OR(UPPER(TRIM(Inputs!$B$24))="MANNING",UPPER(TRIM(Inputs!$B$24))="M"),AX22,IF(OR(UPPER(TRIM(Inputs!$B$24))="PARTIAL",UPPER(TRIM(Inputs!$B$24))="P"),BA22,IF(OR(UPPER(TRIM(Inputs!$B$24))="MAX",UPPER(TRIM(Inputs!$B$24))="X"),MAX(IF(AW22="",0,AW22),IF(AX22="",0,AX22),IF(BA22="",0,BA22)),AW22)))))</f>
        <v/>
      </c>
      <c r="AZ22" s="13" t="str">
        <f aca="false">IF(BB22="","",CH22)</f>
        <v/>
      </c>
      <c r="BA22" s="13" t="str">
        <f aca="false">IF(OR(BB22="",AZ22="",T22="",T22&lt;=0,AZ22&lt;=0),"",BB22/((T22^2/8)*(2*ACOS(1-2*AZ22/T22)-SIN(2*ACOS(1-2*AZ22/T22)))))</f>
        <v/>
      </c>
      <c r="BB22" s="9" t="str">
        <f aca="false">IF(OR(N22="",BC22=""),"",MIN(N22,BC22))</f>
        <v/>
      </c>
      <c r="BC22" s="9" t="str">
        <f aca="false">IF(OR(N22="",T22="",P22=""),"",IF(OR(T22="",P22="",(0.94*T22)="",T22&lt;=0,(0.94*T22)&lt;=0),"",(1/Inputs!$B$9)*((T22^2/8)*((2*ACOS(1-2*(0.94*T22)/T22))-SIN((2*ACOS(1-2*(0.94*T22)/T22)))))*((((T22^2/8)*((2*ACOS(1-2*(0.94*T22)/T22))-SIN((2*ACOS(1-2*(0.94*T22)/T22)))))/((T22/2)*((2*ACOS(1-2*(0.94*T22)/T22)))))^(2/3))*SQRT(P22)))</f>
        <v/>
      </c>
      <c r="BD22" s="9" t="str">
        <f aca="false">IF(BB22="","",0.001*T22)</f>
        <v/>
      </c>
      <c r="BE22" s="9" t="str">
        <f aca="false">IF(BB22="","",0.94*T22)</f>
        <v/>
      </c>
      <c r="BF22" s="9" t="str">
        <f aca="false">IF(BB22="","",(BD22+BE22)/2)</f>
        <v/>
      </c>
      <c r="BG22" s="9" t="str">
        <f aca="false">IF(OR(T22="",P22="",BF22="",T22&lt;=0,BF22&lt;=0),"",(1/Inputs!$B$9)*((T22^2/8)*((2*ACOS(1-2*BF22/T22))-SIN((2*ACOS(1-2*BF22/T22)))))*((((T22^2/8)*((2*ACOS(1-2*BF22/T22))-SIN((2*ACOS(1-2*BF22/T22)))))/((T22/2)*((2*ACOS(1-2*BF22/T22)))))^(2/3))*SQRT(P22))</f>
        <v/>
      </c>
      <c r="BH22" s="9" t="str">
        <f aca="false">IF(BB22="","",IF(BG22&lt;BB22,BF22,BD22))</f>
        <v/>
      </c>
      <c r="BI22" s="9" t="str">
        <f aca="false">IF(BB22="","",IF(BG22&lt;BB22,BE22,BF22))</f>
        <v/>
      </c>
      <c r="BJ22" s="9" t="str">
        <f aca="false">IF(BB22="","",(BH22+BI22)/2)</f>
        <v/>
      </c>
      <c r="BK22" s="9" t="str">
        <f aca="false">IF(OR(T22="",P22="",BJ22="",T22&lt;=0,BJ22&lt;=0),"",(1/Inputs!$B$9)*((T22^2/8)*((2*ACOS(1-2*BJ22/T22))-SIN((2*ACOS(1-2*BJ22/T22)))))*((((T22^2/8)*((2*ACOS(1-2*BJ22/T22))-SIN((2*ACOS(1-2*BJ22/T22)))))/((T22/2)*((2*ACOS(1-2*BJ22/T22)))))^(2/3))*SQRT(P22))</f>
        <v/>
      </c>
      <c r="BL22" s="9" t="str">
        <f aca="false">IF(BB22="","",IF(BK22&lt;BB22,BJ22,BH22))</f>
        <v/>
      </c>
      <c r="BM22" s="9" t="str">
        <f aca="false">IF(BB22="","",IF(BK22&lt;BB22,BI22,BJ22))</f>
        <v/>
      </c>
      <c r="BN22" s="9" t="str">
        <f aca="false">IF(BB22="","",(BL22+BM22)/2)</f>
        <v/>
      </c>
      <c r="BO22" s="9" t="str">
        <f aca="false">IF(OR(T22="",P22="",BN22="",T22&lt;=0,BN22&lt;=0),"",(1/Inputs!$B$9)*((T22^2/8)*((2*ACOS(1-2*BN22/T22))-SIN((2*ACOS(1-2*BN22/T22)))))*((((T22^2/8)*((2*ACOS(1-2*BN22/T22))-SIN((2*ACOS(1-2*BN22/T22)))))/((T22/2)*((2*ACOS(1-2*BN22/T22)))))^(2/3))*SQRT(P22))</f>
        <v/>
      </c>
      <c r="BP22" s="9" t="str">
        <f aca="false">IF(BB22="","",IF(BO22&lt;BB22,BN22,BL22))</f>
        <v/>
      </c>
      <c r="BQ22" s="9" t="str">
        <f aca="false">IF(BB22="","",IF(BO22&lt;BB22,BM22,BN22))</f>
        <v/>
      </c>
      <c r="BR22" s="9" t="str">
        <f aca="false">IF(BB22="","",(BP22+BQ22)/2)</f>
        <v/>
      </c>
      <c r="BS22" s="9" t="str">
        <f aca="false">IF(OR(T22="",P22="",BR22="",T22&lt;=0,BR22&lt;=0),"",(1/Inputs!$B$9)*((T22^2/8)*((2*ACOS(1-2*BR22/T22))-SIN((2*ACOS(1-2*BR22/T22)))))*((((T22^2/8)*((2*ACOS(1-2*BR22/T22))-SIN((2*ACOS(1-2*BR22/T22)))))/((T22/2)*((2*ACOS(1-2*BR22/T22)))))^(2/3))*SQRT(P22))</f>
        <v/>
      </c>
      <c r="BT22" s="9" t="str">
        <f aca="false">IF(BB22="","",IF(BS22&lt;BB22,BR22,BP22))</f>
        <v/>
      </c>
      <c r="BU22" s="9" t="str">
        <f aca="false">IF(BB22="","",IF(BS22&lt;BB22,BQ22,BR22))</f>
        <v/>
      </c>
      <c r="BV22" s="9" t="str">
        <f aca="false">IF(BB22="","",(BT22+BU22)/2)</f>
        <v/>
      </c>
      <c r="BW22" s="9" t="str">
        <f aca="false">IF(OR(T22="",P22="",BV22="",T22&lt;=0,BV22&lt;=0),"",(1/Inputs!$B$9)*((T22^2/8)*((2*ACOS(1-2*BV22/T22))-SIN((2*ACOS(1-2*BV22/T22)))))*((((T22^2/8)*((2*ACOS(1-2*BV22/T22))-SIN((2*ACOS(1-2*BV22/T22)))))/((T22/2)*((2*ACOS(1-2*BV22/T22)))))^(2/3))*SQRT(P22))</f>
        <v/>
      </c>
      <c r="BX22" s="9" t="str">
        <f aca="false">IF(BB22="","",IF(BW22&lt;BB22,BV22,BT22))</f>
        <v/>
      </c>
      <c r="BY22" s="9" t="str">
        <f aca="false">IF(BB22="","",IF(BW22&lt;BB22,BU22,BV22))</f>
        <v/>
      </c>
      <c r="BZ22" s="9" t="str">
        <f aca="false">IF(BB22="","",(BX22+BY22)/2)</f>
        <v/>
      </c>
      <c r="CA22" s="9" t="str">
        <f aca="false">IF(OR(T22="",P22="",BZ22="",T22&lt;=0,BZ22&lt;=0),"",(1/Inputs!$B$9)*((T22^2/8)*((2*ACOS(1-2*BZ22/T22))-SIN((2*ACOS(1-2*BZ22/T22)))))*((((T22^2/8)*((2*ACOS(1-2*BZ22/T22))-SIN((2*ACOS(1-2*BZ22/T22)))))/((T22/2)*((2*ACOS(1-2*BZ22/T22)))))^(2/3))*SQRT(P22))</f>
        <v/>
      </c>
      <c r="CB22" s="9" t="str">
        <f aca="false">IF(BB22="","",IF(CA22&lt;BB22,BZ22,BX22))</f>
        <v/>
      </c>
      <c r="CC22" s="9" t="str">
        <f aca="false">IF(BB22="","",IF(CA22&lt;BB22,BY22,BZ22))</f>
        <v/>
      </c>
      <c r="CD22" s="9" t="str">
        <f aca="false">IF(BB22="","",(CB22+CC22)/2)</f>
        <v/>
      </c>
      <c r="CE22" s="9" t="str">
        <f aca="false">IF(OR(T22="",P22="",CD22="",T22&lt;=0,CD22&lt;=0),"",(1/Inputs!$B$9)*((T22^2/8)*((2*ACOS(1-2*CD22/T22))-SIN((2*ACOS(1-2*CD22/T22)))))*((((T22^2/8)*((2*ACOS(1-2*CD22/T22))-SIN((2*ACOS(1-2*CD22/T22)))))/((T22/2)*((2*ACOS(1-2*CD22/T22)))))^(2/3))*SQRT(P22))</f>
        <v/>
      </c>
      <c r="CF22" s="9" t="str">
        <f aca="false">IF(BB22="","",IF(CE22&lt;BB22,CD22,CB22))</f>
        <v/>
      </c>
      <c r="CG22" s="9" t="str">
        <f aca="false">IF(BB22="","",IF(CE22&lt;BB22,CC22,CD22))</f>
        <v/>
      </c>
      <c r="CH22" s="9" t="str">
        <f aca="false">IF(BB22="","",(CF22+CG22)/2)</f>
        <v/>
      </c>
    </row>
    <row r="23" customFormat="false" ht="15" hidden="false" customHeight="false" outlineLevel="0" collapsed="false">
      <c r="A23" s="9"/>
      <c r="B23" s="9"/>
      <c r="C23" s="9"/>
      <c r="D23" s="9"/>
      <c r="E23" s="14"/>
      <c r="F23" s="14"/>
      <c r="G23" s="14" t="n">
        <f aca="false">SUMIFS(CB_plan!$C:$C,CB_plan!$B:$B,$A23)</f>
        <v>0</v>
      </c>
      <c r="H23" s="14" t="n">
        <f aca="false">IF(F23="",G23,F23)</f>
        <v>0</v>
      </c>
      <c r="I23" s="9"/>
      <c r="J23" s="14"/>
      <c r="K23" s="14" t="str">
        <f aca="false">IF(A23="","",Inputs!$B$13/((IF(AV23="",Inputs!$B$18,AV23)+Inputs!$B$14)^Inputs!$B$15))</f>
        <v/>
      </c>
      <c r="L23" s="14" t="str">
        <f aca="false">IF(A23="","",0.000000278*IF(I23="",Inputs!$B$17,I23)*H23*K23)</f>
        <v/>
      </c>
      <c r="M23" s="14" t="str">
        <f aca="false">IF(A23="","",SUMIFS($N$4:$N$203,$D$4:$D$203,$A23))</f>
        <v/>
      </c>
      <c r="N23" s="14" t="str">
        <f aca="false">IF(A23="","",(L23+M23)*Inputs!$B$16)</f>
        <v/>
      </c>
      <c r="O23" s="14"/>
      <c r="P23" s="14" t="str">
        <f aca="false">IF(A23="","",IF(O23="",Inputs!$B$7,O23))</f>
        <v/>
      </c>
      <c r="Q23" s="9" t="str">
        <f aca="false">IF(A23="","",IF(N23/Inputs!$B$10&lt;=AG23,Inputs!$F$5,IF(N23/Inputs!$B$10&gt;AP23,"OVERSIZE",INDEX(Inputs!$F$5:$F$14,MATCH(N23/Inputs!$B$10,AG23:AP23,1)+1))))</f>
        <v/>
      </c>
      <c r="R23" s="9"/>
      <c r="S23" s="9" t="str">
        <f aca="false">IF(A23="","",IF(R23="",Q23,R23))</f>
        <v/>
      </c>
      <c r="T23" s="14" t="str">
        <f aca="false">IF(OR(S23="",S23="OVERSIZE"),"",S23/1000)</f>
        <v/>
      </c>
      <c r="U23" s="14" t="str">
        <f aca="false">IF(T23="","",(1/Inputs!$B$9)*(PI()*T23^2/4)*((T23/4)^(2/3))*SQRT(P23))</f>
        <v/>
      </c>
      <c r="V23" s="14" t="str">
        <f aca="false">IF(OR(U23="",N23=""),"",N23/(U23*Inputs!$B$10))</f>
        <v/>
      </c>
      <c r="W23" s="14" t="str">
        <f aca="false">IF(OR(T23="",N23=""),"",4*N23/(PI()*T23^2))</f>
        <v/>
      </c>
      <c r="X23" s="14"/>
      <c r="Y23" s="14" t="str">
        <f aca="false">IF(A23="","",IF(A23=Inputs!$B$6,Inputs!$B$22,IF(D23="","",IFERROR(INDEX($Z$4:$Z$203,MATCH(D23,$A$4:$A$203,0))+IF(X23="",Inputs!$B$20,X23),""))))</f>
        <v/>
      </c>
      <c r="Z23" s="14" t="str">
        <f aca="false">IF(OR(Y23="",P23="",E23=""),"",Y23+P23*E23)</f>
        <v/>
      </c>
      <c r="AA23" s="14" t="str">
        <f aca="false">IF(C23="","",IFERROR(INDEX(Noeuds_plan!$C$4:$C$200,MATCH(C23,Noeuds_plan!$A$4:$A$200,0)),""))</f>
        <v/>
      </c>
      <c r="AB23" s="14" t="str">
        <f aca="false">IF(B23="","",IFERROR(INDEX(Noeuds_plan!$C$4:$C$200,MATCH(B23,Noeuds_plan!$A$4:$A$200,0)),""))</f>
        <v/>
      </c>
      <c r="AC23" s="14" t="str">
        <f aca="false">IF(OR(AA23="",Y23=""),"",AA23-Y23)</f>
        <v/>
      </c>
      <c r="AD23" s="14" t="str">
        <f aca="false">IF(OR(AB23="",Z23=""),"",AB23-Z23)</f>
        <v/>
      </c>
      <c r="AE23" s="19" t="str">
        <f aca="false">IF(A23="","",IF(OR(V23&gt;1,AND(AY23&lt;&gt;"",AY23&lt;Inputs!$B$11),AND(AY23&lt;&gt;"",AY23&gt;Inputs!$B$12),AC23&lt;Inputs!$B$19,AD23&lt;Inputs!$B$19,P23&lt;Inputs!$B$7,P23&gt;Inputs!$B$8),"CHECK","OK"))</f>
        <v/>
      </c>
      <c r="AF23" s="9"/>
      <c r="AG23" s="9" t="str">
        <f aca="false">IF(A23="","",(1/Inputs!$B$9)*(PI()*(Inputs!$F$5/1000)^2/4)*((Inputs!$F$5/1000/4)^(2/3))*SQRT(P23))</f>
        <v/>
      </c>
      <c r="AH23" s="9" t="str">
        <f aca="false">IF(A23="","",(1/Inputs!$B$9)*(PI()*(Inputs!$F$6/1000)^2/4)*((Inputs!$F$6/1000/4)^(2/3))*SQRT(P23))</f>
        <v/>
      </c>
      <c r="AI23" s="9" t="str">
        <f aca="false">IF(A23="","",(1/Inputs!$B$9)*(PI()*(Inputs!$F$7/1000)^2/4)*((Inputs!$F$7/1000/4)^(2/3))*SQRT(P23))</f>
        <v/>
      </c>
      <c r="AJ23" s="9" t="str">
        <f aca="false">IF(A23="","",(1/Inputs!$B$9)*(PI()*(Inputs!$F$8/1000)^2/4)*((Inputs!$F$8/1000/4)^(2/3))*SQRT(P23))</f>
        <v/>
      </c>
      <c r="AK23" s="9" t="str">
        <f aca="false">IF(A23="","",(1/Inputs!$B$9)*(PI()*(Inputs!$F$9/1000)^2/4)*((Inputs!$F$9/1000/4)^(2/3))*SQRT(P23))</f>
        <v/>
      </c>
      <c r="AL23" s="9" t="str">
        <f aca="false">IF(A23="","",(1/Inputs!$B$9)*(PI()*(Inputs!$F$10/1000)^2/4)*((Inputs!$F$10/1000/4)^(2/3))*SQRT(P23))</f>
        <v/>
      </c>
      <c r="AM23" s="9" t="str">
        <f aca="false">IF(A23="","",(1/Inputs!$B$9)*(PI()*(Inputs!$F$11/1000)^2/4)*((Inputs!$F$11/1000/4)^(2/3))*SQRT(P23))</f>
        <v/>
      </c>
      <c r="AN23" s="9" t="str">
        <f aca="false">IF(A23="","",(1/Inputs!$B$9)*(PI()*(Inputs!$F$12/1000)^2/4)*((Inputs!$F$12/1000/4)^(2/3))*SQRT(P23))</f>
        <v/>
      </c>
      <c r="AO23" s="9" t="str">
        <f aca="false">IF(A23="","",(1/Inputs!$B$9)*(PI()*(Inputs!$F$13/1000)^2/4)*((Inputs!$F$13/1000/4)^(2/3))*SQRT(P23))</f>
        <v/>
      </c>
      <c r="AP23" s="9" t="str">
        <f aca="false">IF(A23="","",(1/Inputs!$B$9)*(PI()*(Inputs!$F$14/1000)^2/4)*((Inputs!$F$14/1000/4)^(2/3))*SQRT(P23))</f>
        <v/>
      </c>
      <c r="AQ23" s="9" t="str">
        <f aca="false">IF(A23="","",COUNTIF($D$4:$D$203,$A23))</f>
        <v/>
      </c>
      <c r="AR23" s="9" t="str">
        <f aca="false">IF(A23="","",IF(AQ23=0,"START","CONTINUOUS"))</f>
        <v/>
      </c>
      <c r="AS23" s="13" t="str">
        <f aca="false">IF(A23="","",IF(J23="",Inputs!$B$18,J23))</f>
        <v/>
      </c>
      <c r="AT23" s="13" t="str">
        <f aca="false">IF(A23="","",IFERROR(maxifs($AV$4:$AV$203,$D$4:$D$203,$A23),""))</f>
        <v/>
      </c>
      <c r="AU23" s="13" t="str">
        <f aca="false">IF(A23="","",IF(OR(E23="",Inputs!$B$23=""),"",E23/(Inputs!$B$23*60)))</f>
        <v/>
      </c>
      <c r="AV23" s="13" t="str">
        <f aca="false">IF(A23="","",IF(AQ23=0,AS23+AU23,IF(AT23="",AS23+AU23,AT23+AU23)))</f>
        <v/>
      </c>
      <c r="AW23" s="13" t="str">
        <f aca="false">IF(A23="","",W23)</f>
        <v/>
      </c>
      <c r="AX23" s="13" t="str">
        <f aca="false">IF(OR(T23="",P23=""),"",(1/Inputs!$B$9)*((T23/4)^(2/3))*SQRT(P23))</f>
        <v/>
      </c>
      <c r="AY23" s="13" t="str">
        <f aca="false">IF(A23="","",IF(AND(AW23="",AX23="",BA23=""),"",IF(OR(UPPER(TRIM(Inputs!$B$24))="MANNING",UPPER(TRIM(Inputs!$B$24))="M"),AX23,IF(OR(UPPER(TRIM(Inputs!$B$24))="PARTIAL",UPPER(TRIM(Inputs!$B$24))="P"),BA23,IF(OR(UPPER(TRIM(Inputs!$B$24))="MAX",UPPER(TRIM(Inputs!$B$24))="X"),MAX(IF(AW23="",0,AW23),IF(AX23="",0,AX23),IF(BA23="",0,BA23)),AW23)))))</f>
        <v/>
      </c>
      <c r="AZ23" s="13" t="str">
        <f aca="false">IF(BB23="","",CH23)</f>
        <v/>
      </c>
      <c r="BA23" s="13" t="str">
        <f aca="false">IF(OR(BB23="",AZ23="",T23="",T23&lt;=0,AZ23&lt;=0),"",BB23/((T23^2/8)*(2*ACOS(1-2*AZ23/T23)-SIN(2*ACOS(1-2*AZ23/T23)))))</f>
        <v/>
      </c>
      <c r="BB23" s="9" t="str">
        <f aca="false">IF(OR(N23="",BC23=""),"",MIN(N23,BC23))</f>
        <v/>
      </c>
      <c r="BC23" s="9" t="str">
        <f aca="false">IF(OR(N23="",T23="",P23=""),"",IF(OR(T23="",P23="",(0.94*T23)="",T23&lt;=0,(0.94*T23)&lt;=0),"",(1/Inputs!$B$9)*((T23^2/8)*((2*ACOS(1-2*(0.94*T23)/T23))-SIN((2*ACOS(1-2*(0.94*T23)/T23)))))*((((T23^2/8)*((2*ACOS(1-2*(0.94*T23)/T23))-SIN((2*ACOS(1-2*(0.94*T23)/T23)))))/((T23/2)*((2*ACOS(1-2*(0.94*T23)/T23)))))^(2/3))*SQRT(P23)))</f>
        <v/>
      </c>
      <c r="BD23" s="9" t="str">
        <f aca="false">IF(BB23="","",0.001*T23)</f>
        <v/>
      </c>
      <c r="BE23" s="9" t="str">
        <f aca="false">IF(BB23="","",0.94*T23)</f>
        <v/>
      </c>
      <c r="BF23" s="9" t="str">
        <f aca="false">IF(BB23="","",(BD23+BE23)/2)</f>
        <v/>
      </c>
      <c r="BG23" s="9" t="str">
        <f aca="false">IF(OR(T23="",P23="",BF23="",T23&lt;=0,BF23&lt;=0),"",(1/Inputs!$B$9)*((T23^2/8)*((2*ACOS(1-2*BF23/T23))-SIN((2*ACOS(1-2*BF23/T23)))))*((((T23^2/8)*((2*ACOS(1-2*BF23/T23))-SIN((2*ACOS(1-2*BF23/T23)))))/((T23/2)*((2*ACOS(1-2*BF23/T23)))))^(2/3))*SQRT(P23))</f>
        <v/>
      </c>
      <c r="BH23" s="9" t="str">
        <f aca="false">IF(BB23="","",IF(BG23&lt;BB23,BF23,BD23))</f>
        <v/>
      </c>
      <c r="BI23" s="9" t="str">
        <f aca="false">IF(BB23="","",IF(BG23&lt;BB23,BE23,BF23))</f>
        <v/>
      </c>
      <c r="BJ23" s="9" t="str">
        <f aca="false">IF(BB23="","",(BH23+BI23)/2)</f>
        <v/>
      </c>
      <c r="BK23" s="9" t="str">
        <f aca="false">IF(OR(T23="",P23="",BJ23="",T23&lt;=0,BJ23&lt;=0),"",(1/Inputs!$B$9)*((T23^2/8)*((2*ACOS(1-2*BJ23/T23))-SIN((2*ACOS(1-2*BJ23/T23)))))*((((T23^2/8)*((2*ACOS(1-2*BJ23/T23))-SIN((2*ACOS(1-2*BJ23/T23)))))/((T23/2)*((2*ACOS(1-2*BJ23/T23)))))^(2/3))*SQRT(P23))</f>
        <v/>
      </c>
      <c r="BL23" s="9" t="str">
        <f aca="false">IF(BB23="","",IF(BK23&lt;BB23,BJ23,BH23))</f>
        <v/>
      </c>
      <c r="BM23" s="9" t="str">
        <f aca="false">IF(BB23="","",IF(BK23&lt;BB23,BI23,BJ23))</f>
        <v/>
      </c>
      <c r="BN23" s="9" t="str">
        <f aca="false">IF(BB23="","",(BL23+BM23)/2)</f>
        <v/>
      </c>
      <c r="BO23" s="9" t="str">
        <f aca="false">IF(OR(T23="",P23="",BN23="",T23&lt;=0,BN23&lt;=0),"",(1/Inputs!$B$9)*((T23^2/8)*((2*ACOS(1-2*BN23/T23))-SIN((2*ACOS(1-2*BN23/T23)))))*((((T23^2/8)*((2*ACOS(1-2*BN23/T23))-SIN((2*ACOS(1-2*BN23/T23)))))/((T23/2)*((2*ACOS(1-2*BN23/T23)))))^(2/3))*SQRT(P23))</f>
        <v/>
      </c>
      <c r="BP23" s="9" t="str">
        <f aca="false">IF(BB23="","",IF(BO23&lt;BB23,BN23,BL23))</f>
        <v/>
      </c>
      <c r="BQ23" s="9" t="str">
        <f aca="false">IF(BB23="","",IF(BO23&lt;BB23,BM23,BN23))</f>
        <v/>
      </c>
      <c r="BR23" s="9" t="str">
        <f aca="false">IF(BB23="","",(BP23+BQ23)/2)</f>
        <v/>
      </c>
      <c r="BS23" s="9" t="str">
        <f aca="false">IF(OR(T23="",P23="",BR23="",T23&lt;=0,BR23&lt;=0),"",(1/Inputs!$B$9)*((T23^2/8)*((2*ACOS(1-2*BR23/T23))-SIN((2*ACOS(1-2*BR23/T23)))))*((((T23^2/8)*((2*ACOS(1-2*BR23/T23))-SIN((2*ACOS(1-2*BR23/T23)))))/((T23/2)*((2*ACOS(1-2*BR23/T23)))))^(2/3))*SQRT(P23))</f>
        <v/>
      </c>
      <c r="BT23" s="9" t="str">
        <f aca="false">IF(BB23="","",IF(BS23&lt;BB23,BR23,BP23))</f>
        <v/>
      </c>
      <c r="BU23" s="9" t="str">
        <f aca="false">IF(BB23="","",IF(BS23&lt;BB23,BQ23,BR23))</f>
        <v/>
      </c>
      <c r="BV23" s="9" t="str">
        <f aca="false">IF(BB23="","",(BT23+BU23)/2)</f>
        <v/>
      </c>
      <c r="BW23" s="9" t="str">
        <f aca="false">IF(OR(T23="",P23="",BV23="",T23&lt;=0,BV23&lt;=0),"",(1/Inputs!$B$9)*((T23^2/8)*((2*ACOS(1-2*BV23/T23))-SIN((2*ACOS(1-2*BV23/T23)))))*((((T23^2/8)*((2*ACOS(1-2*BV23/T23))-SIN((2*ACOS(1-2*BV23/T23)))))/((T23/2)*((2*ACOS(1-2*BV23/T23)))))^(2/3))*SQRT(P23))</f>
        <v/>
      </c>
      <c r="BX23" s="9" t="str">
        <f aca="false">IF(BB23="","",IF(BW23&lt;BB23,BV23,BT23))</f>
        <v/>
      </c>
      <c r="BY23" s="9" t="str">
        <f aca="false">IF(BB23="","",IF(BW23&lt;BB23,BU23,BV23))</f>
        <v/>
      </c>
      <c r="BZ23" s="9" t="str">
        <f aca="false">IF(BB23="","",(BX23+BY23)/2)</f>
        <v/>
      </c>
      <c r="CA23" s="9" t="str">
        <f aca="false">IF(OR(T23="",P23="",BZ23="",T23&lt;=0,BZ23&lt;=0),"",(1/Inputs!$B$9)*((T23^2/8)*((2*ACOS(1-2*BZ23/T23))-SIN((2*ACOS(1-2*BZ23/T23)))))*((((T23^2/8)*((2*ACOS(1-2*BZ23/T23))-SIN((2*ACOS(1-2*BZ23/T23)))))/((T23/2)*((2*ACOS(1-2*BZ23/T23)))))^(2/3))*SQRT(P23))</f>
        <v/>
      </c>
      <c r="CB23" s="9" t="str">
        <f aca="false">IF(BB23="","",IF(CA23&lt;BB23,BZ23,BX23))</f>
        <v/>
      </c>
      <c r="CC23" s="9" t="str">
        <f aca="false">IF(BB23="","",IF(CA23&lt;BB23,BY23,BZ23))</f>
        <v/>
      </c>
      <c r="CD23" s="9" t="str">
        <f aca="false">IF(BB23="","",(CB23+CC23)/2)</f>
        <v/>
      </c>
      <c r="CE23" s="9" t="str">
        <f aca="false">IF(OR(T23="",P23="",CD23="",T23&lt;=0,CD23&lt;=0),"",(1/Inputs!$B$9)*((T23^2/8)*((2*ACOS(1-2*CD23/T23))-SIN((2*ACOS(1-2*CD23/T23)))))*((((T23^2/8)*((2*ACOS(1-2*CD23/T23))-SIN((2*ACOS(1-2*CD23/T23)))))/((T23/2)*((2*ACOS(1-2*CD23/T23)))))^(2/3))*SQRT(P23))</f>
        <v/>
      </c>
      <c r="CF23" s="9" t="str">
        <f aca="false">IF(BB23="","",IF(CE23&lt;BB23,CD23,CB23))</f>
        <v/>
      </c>
      <c r="CG23" s="9" t="str">
        <f aca="false">IF(BB23="","",IF(CE23&lt;BB23,CC23,CD23))</f>
        <v/>
      </c>
      <c r="CH23" s="9" t="str">
        <f aca="false">IF(BB23="","",(CF23+CG23)/2)</f>
        <v/>
      </c>
    </row>
    <row r="24" customFormat="false" ht="15" hidden="false" customHeight="false" outlineLevel="0" collapsed="false">
      <c r="A24" s="9"/>
      <c r="B24" s="9"/>
      <c r="C24" s="9"/>
      <c r="D24" s="9"/>
      <c r="E24" s="14"/>
      <c r="F24" s="14"/>
      <c r="G24" s="14" t="n">
        <f aca="false">SUMIFS(CB_plan!$C:$C,CB_plan!$B:$B,$A24)</f>
        <v>0</v>
      </c>
      <c r="H24" s="14" t="n">
        <f aca="false">IF(F24="",G24,F24)</f>
        <v>0</v>
      </c>
      <c r="I24" s="9"/>
      <c r="J24" s="14"/>
      <c r="K24" s="14" t="str">
        <f aca="false">IF(A24="","",Inputs!$B$13/((IF(AV24="",Inputs!$B$18,AV24)+Inputs!$B$14)^Inputs!$B$15))</f>
        <v/>
      </c>
      <c r="L24" s="14" t="str">
        <f aca="false">IF(A24="","",0.000000278*IF(I24="",Inputs!$B$17,I24)*H24*K24)</f>
        <v/>
      </c>
      <c r="M24" s="14" t="str">
        <f aca="false">IF(A24="","",SUMIFS($N$4:$N$203,$D$4:$D$203,$A24))</f>
        <v/>
      </c>
      <c r="N24" s="14" t="str">
        <f aca="false">IF(A24="","",(L24+M24)*Inputs!$B$16)</f>
        <v/>
      </c>
      <c r="O24" s="14"/>
      <c r="P24" s="14" t="str">
        <f aca="false">IF(A24="","",IF(O24="",Inputs!$B$7,O24))</f>
        <v/>
      </c>
      <c r="Q24" s="9" t="str">
        <f aca="false">IF(A24="","",IF(N24/Inputs!$B$10&lt;=AG24,Inputs!$F$5,IF(N24/Inputs!$B$10&gt;AP24,"OVERSIZE",INDEX(Inputs!$F$5:$F$14,MATCH(N24/Inputs!$B$10,AG24:AP24,1)+1))))</f>
        <v/>
      </c>
      <c r="R24" s="9"/>
      <c r="S24" s="9" t="str">
        <f aca="false">IF(A24="","",IF(R24="",Q24,R24))</f>
        <v/>
      </c>
      <c r="T24" s="14" t="str">
        <f aca="false">IF(OR(S24="",S24="OVERSIZE"),"",S24/1000)</f>
        <v/>
      </c>
      <c r="U24" s="14" t="str">
        <f aca="false">IF(T24="","",(1/Inputs!$B$9)*(PI()*T24^2/4)*((T24/4)^(2/3))*SQRT(P24))</f>
        <v/>
      </c>
      <c r="V24" s="14" t="str">
        <f aca="false">IF(OR(U24="",N24=""),"",N24/(U24*Inputs!$B$10))</f>
        <v/>
      </c>
      <c r="W24" s="14" t="str">
        <f aca="false">IF(OR(T24="",N24=""),"",4*N24/(PI()*T24^2))</f>
        <v/>
      </c>
      <c r="X24" s="14"/>
      <c r="Y24" s="14" t="str">
        <f aca="false">IF(A24="","",IF(A24=Inputs!$B$6,Inputs!$B$22,IF(D24="","",IFERROR(INDEX($Z$4:$Z$203,MATCH(D24,$A$4:$A$203,0))+IF(X24="",Inputs!$B$20,X24),""))))</f>
        <v/>
      </c>
      <c r="Z24" s="14" t="str">
        <f aca="false">IF(OR(Y24="",P24="",E24=""),"",Y24+P24*E24)</f>
        <v/>
      </c>
      <c r="AA24" s="14" t="str">
        <f aca="false">IF(C24="","",IFERROR(INDEX(Noeuds_plan!$C$4:$C$200,MATCH(C24,Noeuds_plan!$A$4:$A$200,0)),""))</f>
        <v/>
      </c>
      <c r="AB24" s="14" t="str">
        <f aca="false">IF(B24="","",IFERROR(INDEX(Noeuds_plan!$C$4:$C$200,MATCH(B24,Noeuds_plan!$A$4:$A$200,0)),""))</f>
        <v/>
      </c>
      <c r="AC24" s="14" t="str">
        <f aca="false">IF(OR(AA24="",Y24=""),"",AA24-Y24)</f>
        <v/>
      </c>
      <c r="AD24" s="14" t="str">
        <f aca="false">IF(OR(AB24="",Z24=""),"",AB24-Z24)</f>
        <v/>
      </c>
      <c r="AE24" s="19" t="str">
        <f aca="false">IF(A24="","",IF(OR(V24&gt;1,AND(AY24&lt;&gt;"",AY24&lt;Inputs!$B$11),AND(AY24&lt;&gt;"",AY24&gt;Inputs!$B$12),AC24&lt;Inputs!$B$19,AD24&lt;Inputs!$B$19,P24&lt;Inputs!$B$7,P24&gt;Inputs!$B$8),"CHECK","OK"))</f>
        <v/>
      </c>
      <c r="AF24" s="9"/>
      <c r="AG24" s="9" t="str">
        <f aca="false">IF(A24="","",(1/Inputs!$B$9)*(PI()*(Inputs!$F$5/1000)^2/4)*((Inputs!$F$5/1000/4)^(2/3))*SQRT(P24))</f>
        <v/>
      </c>
      <c r="AH24" s="9" t="str">
        <f aca="false">IF(A24="","",(1/Inputs!$B$9)*(PI()*(Inputs!$F$6/1000)^2/4)*((Inputs!$F$6/1000/4)^(2/3))*SQRT(P24))</f>
        <v/>
      </c>
      <c r="AI24" s="9" t="str">
        <f aca="false">IF(A24="","",(1/Inputs!$B$9)*(PI()*(Inputs!$F$7/1000)^2/4)*((Inputs!$F$7/1000/4)^(2/3))*SQRT(P24))</f>
        <v/>
      </c>
      <c r="AJ24" s="9" t="str">
        <f aca="false">IF(A24="","",(1/Inputs!$B$9)*(PI()*(Inputs!$F$8/1000)^2/4)*((Inputs!$F$8/1000/4)^(2/3))*SQRT(P24))</f>
        <v/>
      </c>
      <c r="AK24" s="9" t="str">
        <f aca="false">IF(A24="","",(1/Inputs!$B$9)*(PI()*(Inputs!$F$9/1000)^2/4)*((Inputs!$F$9/1000/4)^(2/3))*SQRT(P24))</f>
        <v/>
      </c>
      <c r="AL24" s="9" t="str">
        <f aca="false">IF(A24="","",(1/Inputs!$B$9)*(PI()*(Inputs!$F$10/1000)^2/4)*((Inputs!$F$10/1000/4)^(2/3))*SQRT(P24))</f>
        <v/>
      </c>
      <c r="AM24" s="9" t="str">
        <f aca="false">IF(A24="","",(1/Inputs!$B$9)*(PI()*(Inputs!$F$11/1000)^2/4)*((Inputs!$F$11/1000/4)^(2/3))*SQRT(P24))</f>
        <v/>
      </c>
      <c r="AN24" s="9" t="str">
        <f aca="false">IF(A24="","",(1/Inputs!$B$9)*(PI()*(Inputs!$F$12/1000)^2/4)*((Inputs!$F$12/1000/4)^(2/3))*SQRT(P24))</f>
        <v/>
      </c>
      <c r="AO24" s="9" t="str">
        <f aca="false">IF(A24="","",(1/Inputs!$B$9)*(PI()*(Inputs!$F$13/1000)^2/4)*((Inputs!$F$13/1000/4)^(2/3))*SQRT(P24))</f>
        <v/>
      </c>
      <c r="AP24" s="9" t="str">
        <f aca="false">IF(A24="","",(1/Inputs!$B$9)*(PI()*(Inputs!$F$14/1000)^2/4)*((Inputs!$F$14/1000/4)^(2/3))*SQRT(P24))</f>
        <v/>
      </c>
      <c r="AQ24" s="9" t="str">
        <f aca="false">IF(A24="","",COUNTIF($D$4:$D$203,$A24))</f>
        <v/>
      </c>
      <c r="AR24" s="9" t="str">
        <f aca="false">IF(A24="","",IF(AQ24=0,"START","CONTINUOUS"))</f>
        <v/>
      </c>
      <c r="AS24" s="13" t="str">
        <f aca="false">IF(A24="","",IF(J24="",Inputs!$B$18,J24))</f>
        <v/>
      </c>
      <c r="AT24" s="13" t="str">
        <f aca="false">IF(A24="","",IFERROR(maxifs($AV$4:$AV$203,$D$4:$D$203,$A24),""))</f>
        <v/>
      </c>
      <c r="AU24" s="13" t="str">
        <f aca="false">IF(A24="","",IF(OR(E24="",Inputs!$B$23=""),"",E24/(Inputs!$B$23*60)))</f>
        <v/>
      </c>
      <c r="AV24" s="13" t="str">
        <f aca="false">IF(A24="","",IF(AQ24=0,AS24+AU24,IF(AT24="",AS24+AU24,AT24+AU24)))</f>
        <v/>
      </c>
      <c r="AW24" s="13" t="str">
        <f aca="false">IF(A24="","",W24)</f>
        <v/>
      </c>
      <c r="AX24" s="13" t="str">
        <f aca="false">IF(OR(T24="",P24=""),"",(1/Inputs!$B$9)*((T24/4)^(2/3))*SQRT(P24))</f>
        <v/>
      </c>
      <c r="AY24" s="13" t="str">
        <f aca="false">IF(A24="","",IF(AND(AW24="",AX24="",BA24=""),"",IF(OR(UPPER(TRIM(Inputs!$B$24))="MANNING",UPPER(TRIM(Inputs!$B$24))="M"),AX24,IF(OR(UPPER(TRIM(Inputs!$B$24))="PARTIAL",UPPER(TRIM(Inputs!$B$24))="P"),BA24,IF(OR(UPPER(TRIM(Inputs!$B$24))="MAX",UPPER(TRIM(Inputs!$B$24))="X"),MAX(IF(AW24="",0,AW24),IF(AX24="",0,AX24),IF(BA24="",0,BA24)),AW24)))))</f>
        <v/>
      </c>
      <c r="AZ24" s="13" t="str">
        <f aca="false">IF(BB24="","",CH24)</f>
        <v/>
      </c>
      <c r="BA24" s="13" t="str">
        <f aca="false">IF(OR(BB24="",AZ24="",T24="",T24&lt;=0,AZ24&lt;=0),"",BB24/((T24^2/8)*(2*ACOS(1-2*AZ24/T24)-SIN(2*ACOS(1-2*AZ24/T24)))))</f>
        <v/>
      </c>
      <c r="BB24" s="9" t="str">
        <f aca="false">IF(OR(N24="",BC24=""),"",MIN(N24,BC24))</f>
        <v/>
      </c>
      <c r="BC24" s="9" t="str">
        <f aca="false">IF(OR(N24="",T24="",P24=""),"",IF(OR(T24="",P24="",(0.94*T24)="",T24&lt;=0,(0.94*T24)&lt;=0),"",(1/Inputs!$B$9)*((T24^2/8)*((2*ACOS(1-2*(0.94*T24)/T24))-SIN((2*ACOS(1-2*(0.94*T24)/T24)))))*((((T24^2/8)*((2*ACOS(1-2*(0.94*T24)/T24))-SIN((2*ACOS(1-2*(0.94*T24)/T24)))))/((T24/2)*((2*ACOS(1-2*(0.94*T24)/T24)))))^(2/3))*SQRT(P24)))</f>
        <v/>
      </c>
      <c r="BD24" s="9" t="str">
        <f aca="false">IF(BB24="","",0.001*T24)</f>
        <v/>
      </c>
      <c r="BE24" s="9" t="str">
        <f aca="false">IF(BB24="","",0.94*T24)</f>
        <v/>
      </c>
      <c r="BF24" s="9" t="str">
        <f aca="false">IF(BB24="","",(BD24+BE24)/2)</f>
        <v/>
      </c>
      <c r="BG24" s="9" t="str">
        <f aca="false">IF(OR(T24="",P24="",BF24="",T24&lt;=0,BF24&lt;=0),"",(1/Inputs!$B$9)*((T24^2/8)*((2*ACOS(1-2*BF24/T24))-SIN((2*ACOS(1-2*BF24/T24)))))*((((T24^2/8)*((2*ACOS(1-2*BF24/T24))-SIN((2*ACOS(1-2*BF24/T24)))))/((T24/2)*((2*ACOS(1-2*BF24/T24)))))^(2/3))*SQRT(P24))</f>
        <v/>
      </c>
      <c r="BH24" s="9" t="str">
        <f aca="false">IF(BB24="","",IF(BG24&lt;BB24,BF24,BD24))</f>
        <v/>
      </c>
      <c r="BI24" s="9" t="str">
        <f aca="false">IF(BB24="","",IF(BG24&lt;BB24,BE24,BF24))</f>
        <v/>
      </c>
      <c r="BJ24" s="9" t="str">
        <f aca="false">IF(BB24="","",(BH24+BI24)/2)</f>
        <v/>
      </c>
      <c r="BK24" s="9" t="str">
        <f aca="false">IF(OR(T24="",P24="",BJ24="",T24&lt;=0,BJ24&lt;=0),"",(1/Inputs!$B$9)*((T24^2/8)*((2*ACOS(1-2*BJ24/T24))-SIN((2*ACOS(1-2*BJ24/T24)))))*((((T24^2/8)*((2*ACOS(1-2*BJ24/T24))-SIN((2*ACOS(1-2*BJ24/T24)))))/((T24/2)*((2*ACOS(1-2*BJ24/T24)))))^(2/3))*SQRT(P24))</f>
        <v/>
      </c>
      <c r="BL24" s="9" t="str">
        <f aca="false">IF(BB24="","",IF(BK24&lt;BB24,BJ24,BH24))</f>
        <v/>
      </c>
      <c r="BM24" s="9" t="str">
        <f aca="false">IF(BB24="","",IF(BK24&lt;BB24,BI24,BJ24))</f>
        <v/>
      </c>
      <c r="BN24" s="9" t="str">
        <f aca="false">IF(BB24="","",(BL24+BM24)/2)</f>
        <v/>
      </c>
      <c r="BO24" s="9" t="str">
        <f aca="false">IF(OR(T24="",P24="",BN24="",T24&lt;=0,BN24&lt;=0),"",(1/Inputs!$B$9)*((T24^2/8)*((2*ACOS(1-2*BN24/T24))-SIN((2*ACOS(1-2*BN24/T24)))))*((((T24^2/8)*((2*ACOS(1-2*BN24/T24))-SIN((2*ACOS(1-2*BN24/T24)))))/((T24/2)*((2*ACOS(1-2*BN24/T24)))))^(2/3))*SQRT(P24))</f>
        <v/>
      </c>
      <c r="BP24" s="9" t="str">
        <f aca="false">IF(BB24="","",IF(BO24&lt;BB24,BN24,BL24))</f>
        <v/>
      </c>
      <c r="BQ24" s="9" t="str">
        <f aca="false">IF(BB24="","",IF(BO24&lt;BB24,BM24,BN24))</f>
        <v/>
      </c>
      <c r="BR24" s="9" t="str">
        <f aca="false">IF(BB24="","",(BP24+BQ24)/2)</f>
        <v/>
      </c>
      <c r="BS24" s="9" t="str">
        <f aca="false">IF(OR(T24="",P24="",BR24="",T24&lt;=0,BR24&lt;=0),"",(1/Inputs!$B$9)*((T24^2/8)*((2*ACOS(1-2*BR24/T24))-SIN((2*ACOS(1-2*BR24/T24)))))*((((T24^2/8)*((2*ACOS(1-2*BR24/T24))-SIN((2*ACOS(1-2*BR24/T24)))))/((T24/2)*((2*ACOS(1-2*BR24/T24)))))^(2/3))*SQRT(P24))</f>
        <v/>
      </c>
      <c r="BT24" s="9" t="str">
        <f aca="false">IF(BB24="","",IF(BS24&lt;BB24,BR24,BP24))</f>
        <v/>
      </c>
      <c r="BU24" s="9" t="str">
        <f aca="false">IF(BB24="","",IF(BS24&lt;BB24,BQ24,BR24))</f>
        <v/>
      </c>
      <c r="BV24" s="9" t="str">
        <f aca="false">IF(BB24="","",(BT24+BU24)/2)</f>
        <v/>
      </c>
      <c r="BW24" s="9" t="str">
        <f aca="false">IF(OR(T24="",P24="",BV24="",T24&lt;=0,BV24&lt;=0),"",(1/Inputs!$B$9)*((T24^2/8)*((2*ACOS(1-2*BV24/T24))-SIN((2*ACOS(1-2*BV24/T24)))))*((((T24^2/8)*((2*ACOS(1-2*BV24/T24))-SIN((2*ACOS(1-2*BV24/T24)))))/((T24/2)*((2*ACOS(1-2*BV24/T24)))))^(2/3))*SQRT(P24))</f>
        <v/>
      </c>
      <c r="BX24" s="9" t="str">
        <f aca="false">IF(BB24="","",IF(BW24&lt;BB24,BV24,BT24))</f>
        <v/>
      </c>
      <c r="BY24" s="9" t="str">
        <f aca="false">IF(BB24="","",IF(BW24&lt;BB24,BU24,BV24))</f>
        <v/>
      </c>
      <c r="BZ24" s="9" t="str">
        <f aca="false">IF(BB24="","",(BX24+BY24)/2)</f>
        <v/>
      </c>
      <c r="CA24" s="9" t="str">
        <f aca="false">IF(OR(T24="",P24="",BZ24="",T24&lt;=0,BZ24&lt;=0),"",(1/Inputs!$B$9)*((T24^2/8)*((2*ACOS(1-2*BZ24/T24))-SIN((2*ACOS(1-2*BZ24/T24)))))*((((T24^2/8)*((2*ACOS(1-2*BZ24/T24))-SIN((2*ACOS(1-2*BZ24/T24)))))/((T24/2)*((2*ACOS(1-2*BZ24/T24)))))^(2/3))*SQRT(P24))</f>
        <v/>
      </c>
      <c r="CB24" s="9" t="str">
        <f aca="false">IF(BB24="","",IF(CA24&lt;BB24,BZ24,BX24))</f>
        <v/>
      </c>
      <c r="CC24" s="9" t="str">
        <f aca="false">IF(BB24="","",IF(CA24&lt;BB24,BY24,BZ24))</f>
        <v/>
      </c>
      <c r="CD24" s="9" t="str">
        <f aca="false">IF(BB24="","",(CB24+CC24)/2)</f>
        <v/>
      </c>
      <c r="CE24" s="9" t="str">
        <f aca="false">IF(OR(T24="",P24="",CD24="",T24&lt;=0,CD24&lt;=0),"",(1/Inputs!$B$9)*((T24^2/8)*((2*ACOS(1-2*CD24/T24))-SIN((2*ACOS(1-2*CD24/T24)))))*((((T24^2/8)*((2*ACOS(1-2*CD24/T24))-SIN((2*ACOS(1-2*CD24/T24)))))/((T24/2)*((2*ACOS(1-2*CD24/T24)))))^(2/3))*SQRT(P24))</f>
        <v/>
      </c>
      <c r="CF24" s="9" t="str">
        <f aca="false">IF(BB24="","",IF(CE24&lt;BB24,CD24,CB24))</f>
        <v/>
      </c>
      <c r="CG24" s="9" t="str">
        <f aca="false">IF(BB24="","",IF(CE24&lt;BB24,CC24,CD24))</f>
        <v/>
      </c>
      <c r="CH24" s="9" t="str">
        <f aca="false">IF(BB24="","",(CF24+CG24)/2)</f>
        <v/>
      </c>
    </row>
    <row r="25" customFormat="false" ht="15" hidden="false" customHeight="false" outlineLevel="0" collapsed="false">
      <c r="A25" s="9"/>
      <c r="B25" s="9"/>
      <c r="C25" s="9"/>
      <c r="D25" s="9"/>
      <c r="E25" s="14"/>
      <c r="F25" s="14"/>
      <c r="G25" s="14" t="n">
        <f aca="false">SUMIFS(CB_plan!$C:$C,CB_plan!$B:$B,$A25)</f>
        <v>0</v>
      </c>
      <c r="H25" s="14" t="n">
        <f aca="false">IF(F25="",G25,F25)</f>
        <v>0</v>
      </c>
      <c r="I25" s="9"/>
      <c r="J25" s="14"/>
      <c r="K25" s="14" t="str">
        <f aca="false">IF(A25="","",Inputs!$B$13/((IF(AV25="",Inputs!$B$18,AV25)+Inputs!$B$14)^Inputs!$B$15))</f>
        <v/>
      </c>
      <c r="L25" s="14" t="str">
        <f aca="false">IF(A25="","",0.000000278*IF(I25="",Inputs!$B$17,I25)*H25*K25)</f>
        <v/>
      </c>
      <c r="M25" s="14" t="str">
        <f aca="false">IF(A25="","",SUMIFS($N$4:$N$203,$D$4:$D$203,$A25))</f>
        <v/>
      </c>
      <c r="N25" s="14" t="str">
        <f aca="false">IF(A25="","",(L25+M25)*Inputs!$B$16)</f>
        <v/>
      </c>
      <c r="O25" s="14"/>
      <c r="P25" s="14" t="str">
        <f aca="false">IF(A25="","",IF(O25="",Inputs!$B$7,O25))</f>
        <v/>
      </c>
      <c r="Q25" s="9" t="str">
        <f aca="false">IF(A25="","",IF(N25/Inputs!$B$10&lt;=AG25,Inputs!$F$5,IF(N25/Inputs!$B$10&gt;AP25,"OVERSIZE",INDEX(Inputs!$F$5:$F$14,MATCH(N25/Inputs!$B$10,AG25:AP25,1)+1))))</f>
        <v/>
      </c>
      <c r="R25" s="9"/>
      <c r="S25" s="9" t="str">
        <f aca="false">IF(A25="","",IF(R25="",Q25,R25))</f>
        <v/>
      </c>
      <c r="T25" s="14" t="str">
        <f aca="false">IF(OR(S25="",S25="OVERSIZE"),"",S25/1000)</f>
        <v/>
      </c>
      <c r="U25" s="14" t="str">
        <f aca="false">IF(T25="","",(1/Inputs!$B$9)*(PI()*T25^2/4)*((T25/4)^(2/3))*SQRT(P25))</f>
        <v/>
      </c>
      <c r="V25" s="14" t="str">
        <f aca="false">IF(OR(U25="",N25=""),"",N25/(U25*Inputs!$B$10))</f>
        <v/>
      </c>
      <c r="W25" s="14" t="str">
        <f aca="false">IF(OR(T25="",N25=""),"",4*N25/(PI()*T25^2))</f>
        <v/>
      </c>
      <c r="X25" s="14"/>
      <c r="Y25" s="14" t="str">
        <f aca="false">IF(A25="","",IF(A25=Inputs!$B$6,Inputs!$B$22,IF(D25="","",IFERROR(INDEX($Z$4:$Z$203,MATCH(D25,$A$4:$A$203,0))+IF(X25="",Inputs!$B$20,X25),""))))</f>
        <v/>
      </c>
      <c r="Z25" s="14" t="str">
        <f aca="false">IF(OR(Y25="",P25="",E25=""),"",Y25+P25*E25)</f>
        <v/>
      </c>
      <c r="AA25" s="14" t="str">
        <f aca="false">IF(C25="","",IFERROR(INDEX(Noeuds_plan!$C$4:$C$200,MATCH(C25,Noeuds_plan!$A$4:$A$200,0)),""))</f>
        <v/>
      </c>
      <c r="AB25" s="14" t="str">
        <f aca="false">IF(B25="","",IFERROR(INDEX(Noeuds_plan!$C$4:$C$200,MATCH(B25,Noeuds_plan!$A$4:$A$200,0)),""))</f>
        <v/>
      </c>
      <c r="AC25" s="14" t="str">
        <f aca="false">IF(OR(AA25="",Y25=""),"",AA25-Y25)</f>
        <v/>
      </c>
      <c r="AD25" s="14" t="str">
        <f aca="false">IF(OR(AB25="",Z25=""),"",AB25-Z25)</f>
        <v/>
      </c>
      <c r="AE25" s="19" t="str">
        <f aca="false">IF(A25="","",IF(OR(V25&gt;1,AND(AY25&lt;&gt;"",AY25&lt;Inputs!$B$11),AND(AY25&lt;&gt;"",AY25&gt;Inputs!$B$12),AC25&lt;Inputs!$B$19,AD25&lt;Inputs!$B$19,P25&lt;Inputs!$B$7,P25&gt;Inputs!$B$8),"CHECK","OK"))</f>
        <v/>
      </c>
      <c r="AF25" s="9"/>
      <c r="AG25" s="9" t="str">
        <f aca="false">IF(A25="","",(1/Inputs!$B$9)*(PI()*(Inputs!$F$5/1000)^2/4)*((Inputs!$F$5/1000/4)^(2/3))*SQRT(P25))</f>
        <v/>
      </c>
      <c r="AH25" s="9" t="str">
        <f aca="false">IF(A25="","",(1/Inputs!$B$9)*(PI()*(Inputs!$F$6/1000)^2/4)*((Inputs!$F$6/1000/4)^(2/3))*SQRT(P25))</f>
        <v/>
      </c>
      <c r="AI25" s="9" t="str">
        <f aca="false">IF(A25="","",(1/Inputs!$B$9)*(PI()*(Inputs!$F$7/1000)^2/4)*((Inputs!$F$7/1000/4)^(2/3))*SQRT(P25))</f>
        <v/>
      </c>
      <c r="AJ25" s="9" t="str">
        <f aca="false">IF(A25="","",(1/Inputs!$B$9)*(PI()*(Inputs!$F$8/1000)^2/4)*((Inputs!$F$8/1000/4)^(2/3))*SQRT(P25))</f>
        <v/>
      </c>
      <c r="AK25" s="9" t="str">
        <f aca="false">IF(A25="","",(1/Inputs!$B$9)*(PI()*(Inputs!$F$9/1000)^2/4)*((Inputs!$F$9/1000/4)^(2/3))*SQRT(P25))</f>
        <v/>
      </c>
      <c r="AL25" s="9" t="str">
        <f aca="false">IF(A25="","",(1/Inputs!$B$9)*(PI()*(Inputs!$F$10/1000)^2/4)*((Inputs!$F$10/1000/4)^(2/3))*SQRT(P25))</f>
        <v/>
      </c>
      <c r="AM25" s="9" t="str">
        <f aca="false">IF(A25="","",(1/Inputs!$B$9)*(PI()*(Inputs!$F$11/1000)^2/4)*((Inputs!$F$11/1000/4)^(2/3))*SQRT(P25))</f>
        <v/>
      </c>
      <c r="AN25" s="9" t="str">
        <f aca="false">IF(A25="","",(1/Inputs!$B$9)*(PI()*(Inputs!$F$12/1000)^2/4)*((Inputs!$F$12/1000/4)^(2/3))*SQRT(P25))</f>
        <v/>
      </c>
      <c r="AO25" s="9" t="str">
        <f aca="false">IF(A25="","",(1/Inputs!$B$9)*(PI()*(Inputs!$F$13/1000)^2/4)*((Inputs!$F$13/1000/4)^(2/3))*SQRT(P25))</f>
        <v/>
      </c>
      <c r="AP25" s="9" t="str">
        <f aca="false">IF(A25="","",(1/Inputs!$B$9)*(PI()*(Inputs!$F$14/1000)^2/4)*((Inputs!$F$14/1000/4)^(2/3))*SQRT(P25))</f>
        <v/>
      </c>
      <c r="AQ25" s="9" t="str">
        <f aca="false">IF(A25="","",COUNTIF($D$4:$D$203,$A25))</f>
        <v/>
      </c>
      <c r="AR25" s="9" t="str">
        <f aca="false">IF(A25="","",IF(AQ25=0,"START","CONTINUOUS"))</f>
        <v/>
      </c>
      <c r="AS25" s="13" t="str">
        <f aca="false">IF(A25="","",IF(J25="",Inputs!$B$18,J25))</f>
        <v/>
      </c>
      <c r="AT25" s="13" t="str">
        <f aca="false">IF(A25="","",IFERROR(maxifs($AV$4:$AV$203,$D$4:$D$203,$A25),""))</f>
        <v/>
      </c>
      <c r="AU25" s="13" t="str">
        <f aca="false">IF(A25="","",IF(OR(E25="",Inputs!$B$23=""),"",E25/(Inputs!$B$23*60)))</f>
        <v/>
      </c>
      <c r="AV25" s="13" t="str">
        <f aca="false">IF(A25="","",IF(AQ25=0,AS25+AU25,IF(AT25="",AS25+AU25,AT25+AU25)))</f>
        <v/>
      </c>
      <c r="AW25" s="13" t="str">
        <f aca="false">IF(A25="","",W25)</f>
        <v/>
      </c>
      <c r="AX25" s="13" t="str">
        <f aca="false">IF(OR(T25="",P25=""),"",(1/Inputs!$B$9)*((T25/4)^(2/3))*SQRT(P25))</f>
        <v/>
      </c>
      <c r="AY25" s="13" t="str">
        <f aca="false">IF(A25="","",IF(AND(AW25="",AX25="",BA25=""),"",IF(OR(UPPER(TRIM(Inputs!$B$24))="MANNING",UPPER(TRIM(Inputs!$B$24))="M"),AX25,IF(OR(UPPER(TRIM(Inputs!$B$24))="PARTIAL",UPPER(TRIM(Inputs!$B$24))="P"),BA25,IF(OR(UPPER(TRIM(Inputs!$B$24))="MAX",UPPER(TRIM(Inputs!$B$24))="X"),MAX(IF(AW25="",0,AW25),IF(AX25="",0,AX25),IF(BA25="",0,BA25)),AW25)))))</f>
        <v/>
      </c>
      <c r="AZ25" s="13" t="str">
        <f aca="false">IF(BB25="","",CH25)</f>
        <v/>
      </c>
      <c r="BA25" s="13" t="str">
        <f aca="false">IF(OR(BB25="",AZ25="",T25="",T25&lt;=0,AZ25&lt;=0),"",BB25/((T25^2/8)*(2*ACOS(1-2*AZ25/T25)-SIN(2*ACOS(1-2*AZ25/T25)))))</f>
        <v/>
      </c>
      <c r="BB25" s="9" t="str">
        <f aca="false">IF(OR(N25="",BC25=""),"",MIN(N25,BC25))</f>
        <v/>
      </c>
      <c r="BC25" s="9" t="str">
        <f aca="false">IF(OR(N25="",T25="",P25=""),"",IF(OR(T25="",P25="",(0.94*T25)="",T25&lt;=0,(0.94*T25)&lt;=0),"",(1/Inputs!$B$9)*((T25^2/8)*((2*ACOS(1-2*(0.94*T25)/T25))-SIN((2*ACOS(1-2*(0.94*T25)/T25)))))*((((T25^2/8)*((2*ACOS(1-2*(0.94*T25)/T25))-SIN((2*ACOS(1-2*(0.94*T25)/T25)))))/((T25/2)*((2*ACOS(1-2*(0.94*T25)/T25)))))^(2/3))*SQRT(P25)))</f>
        <v/>
      </c>
      <c r="BD25" s="9" t="str">
        <f aca="false">IF(BB25="","",0.001*T25)</f>
        <v/>
      </c>
      <c r="BE25" s="9" t="str">
        <f aca="false">IF(BB25="","",0.94*T25)</f>
        <v/>
      </c>
      <c r="BF25" s="9" t="str">
        <f aca="false">IF(BB25="","",(BD25+BE25)/2)</f>
        <v/>
      </c>
      <c r="BG25" s="9" t="str">
        <f aca="false">IF(OR(T25="",P25="",BF25="",T25&lt;=0,BF25&lt;=0),"",(1/Inputs!$B$9)*((T25^2/8)*((2*ACOS(1-2*BF25/T25))-SIN((2*ACOS(1-2*BF25/T25)))))*((((T25^2/8)*((2*ACOS(1-2*BF25/T25))-SIN((2*ACOS(1-2*BF25/T25)))))/((T25/2)*((2*ACOS(1-2*BF25/T25)))))^(2/3))*SQRT(P25))</f>
        <v/>
      </c>
      <c r="BH25" s="9" t="str">
        <f aca="false">IF(BB25="","",IF(BG25&lt;BB25,BF25,BD25))</f>
        <v/>
      </c>
      <c r="BI25" s="9" t="str">
        <f aca="false">IF(BB25="","",IF(BG25&lt;BB25,BE25,BF25))</f>
        <v/>
      </c>
      <c r="BJ25" s="9" t="str">
        <f aca="false">IF(BB25="","",(BH25+BI25)/2)</f>
        <v/>
      </c>
      <c r="BK25" s="9" t="str">
        <f aca="false">IF(OR(T25="",P25="",BJ25="",T25&lt;=0,BJ25&lt;=0),"",(1/Inputs!$B$9)*((T25^2/8)*((2*ACOS(1-2*BJ25/T25))-SIN((2*ACOS(1-2*BJ25/T25)))))*((((T25^2/8)*((2*ACOS(1-2*BJ25/T25))-SIN((2*ACOS(1-2*BJ25/T25)))))/((T25/2)*((2*ACOS(1-2*BJ25/T25)))))^(2/3))*SQRT(P25))</f>
        <v/>
      </c>
      <c r="BL25" s="9" t="str">
        <f aca="false">IF(BB25="","",IF(BK25&lt;BB25,BJ25,BH25))</f>
        <v/>
      </c>
      <c r="BM25" s="9" t="str">
        <f aca="false">IF(BB25="","",IF(BK25&lt;BB25,BI25,BJ25))</f>
        <v/>
      </c>
      <c r="BN25" s="9" t="str">
        <f aca="false">IF(BB25="","",(BL25+BM25)/2)</f>
        <v/>
      </c>
      <c r="BO25" s="9" t="str">
        <f aca="false">IF(OR(T25="",P25="",BN25="",T25&lt;=0,BN25&lt;=0),"",(1/Inputs!$B$9)*((T25^2/8)*((2*ACOS(1-2*BN25/T25))-SIN((2*ACOS(1-2*BN25/T25)))))*((((T25^2/8)*((2*ACOS(1-2*BN25/T25))-SIN((2*ACOS(1-2*BN25/T25)))))/((T25/2)*((2*ACOS(1-2*BN25/T25)))))^(2/3))*SQRT(P25))</f>
        <v/>
      </c>
      <c r="BP25" s="9" t="str">
        <f aca="false">IF(BB25="","",IF(BO25&lt;BB25,BN25,BL25))</f>
        <v/>
      </c>
      <c r="BQ25" s="9" t="str">
        <f aca="false">IF(BB25="","",IF(BO25&lt;BB25,BM25,BN25))</f>
        <v/>
      </c>
      <c r="BR25" s="9" t="str">
        <f aca="false">IF(BB25="","",(BP25+BQ25)/2)</f>
        <v/>
      </c>
      <c r="BS25" s="9" t="str">
        <f aca="false">IF(OR(T25="",P25="",BR25="",T25&lt;=0,BR25&lt;=0),"",(1/Inputs!$B$9)*((T25^2/8)*((2*ACOS(1-2*BR25/T25))-SIN((2*ACOS(1-2*BR25/T25)))))*((((T25^2/8)*((2*ACOS(1-2*BR25/T25))-SIN((2*ACOS(1-2*BR25/T25)))))/((T25/2)*((2*ACOS(1-2*BR25/T25)))))^(2/3))*SQRT(P25))</f>
        <v/>
      </c>
      <c r="BT25" s="9" t="str">
        <f aca="false">IF(BB25="","",IF(BS25&lt;BB25,BR25,BP25))</f>
        <v/>
      </c>
      <c r="BU25" s="9" t="str">
        <f aca="false">IF(BB25="","",IF(BS25&lt;BB25,BQ25,BR25))</f>
        <v/>
      </c>
      <c r="BV25" s="9" t="str">
        <f aca="false">IF(BB25="","",(BT25+BU25)/2)</f>
        <v/>
      </c>
      <c r="BW25" s="9" t="str">
        <f aca="false">IF(OR(T25="",P25="",BV25="",T25&lt;=0,BV25&lt;=0),"",(1/Inputs!$B$9)*((T25^2/8)*((2*ACOS(1-2*BV25/T25))-SIN((2*ACOS(1-2*BV25/T25)))))*((((T25^2/8)*((2*ACOS(1-2*BV25/T25))-SIN((2*ACOS(1-2*BV25/T25)))))/((T25/2)*((2*ACOS(1-2*BV25/T25)))))^(2/3))*SQRT(P25))</f>
        <v/>
      </c>
      <c r="BX25" s="9" t="str">
        <f aca="false">IF(BB25="","",IF(BW25&lt;BB25,BV25,BT25))</f>
        <v/>
      </c>
      <c r="BY25" s="9" t="str">
        <f aca="false">IF(BB25="","",IF(BW25&lt;BB25,BU25,BV25))</f>
        <v/>
      </c>
      <c r="BZ25" s="9" t="str">
        <f aca="false">IF(BB25="","",(BX25+BY25)/2)</f>
        <v/>
      </c>
      <c r="CA25" s="9" t="str">
        <f aca="false">IF(OR(T25="",P25="",BZ25="",T25&lt;=0,BZ25&lt;=0),"",(1/Inputs!$B$9)*((T25^2/8)*((2*ACOS(1-2*BZ25/T25))-SIN((2*ACOS(1-2*BZ25/T25)))))*((((T25^2/8)*((2*ACOS(1-2*BZ25/T25))-SIN((2*ACOS(1-2*BZ25/T25)))))/((T25/2)*((2*ACOS(1-2*BZ25/T25)))))^(2/3))*SQRT(P25))</f>
        <v/>
      </c>
      <c r="CB25" s="9" t="str">
        <f aca="false">IF(BB25="","",IF(CA25&lt;BB25,BZ25,BX25))</f>
        <v/>
      </c>
      <c r="CC25" s="9" t="str">
        <f aca="false">IF(BB25="","",IF(CA25&lt;BB25,BY25,BZ25))</f>
        <v/>
      </c>
      <c r="CD25" s="9" t="str">
        <f aca="false">IF(BB25="","",(CB25+CC25)/2)</f>
        <v/>
      </c>
      <c r="CE25" s="9" t="str">
        <f aca="false">IF(OR(T25="",P25="",CD25="",T25&lt;=0,CD25&lt;=0),"",(1/Inputs!$B$9)*((T25^2/8)*((2*ACOS(1-2*CD25/T25))-SIN((2*ACOS(1-2*CD25/T25)))))*((((T25^2/8)*((2*ACOS(1-2*CD25/T25))-SIN((2*ACOS(1-2*CD25/T25)))))/((T25/2)*((2*ACOS(1-2*CD25/T25)))))^(2/3))*SQRT(P25))</f>
        <v/>
      </c>
      <c r="CF25" s="9" t="str">
        <f aca="false">IF(BB25="","",IF(CE25&lt;BB25,CD25,CB25))</f>
        <v/>
      </c>
      <c r="CG25" s="9" t="str">
        <f aca="false">IF(BB25="","",IF(CE25&lt;BB25,CC25,CD25))</f>
        <v/>
      </c>
      <c r="CH25" s="9" t="str">
        <f aca="false">IF(BB25="","",(CF25+CG25)/2)</f>
        <v/>
      </c>
    </row>
    <row r="26" customFormat="false" ht="15" hidden="false" customHeight="false" outlineLevel="0" collapsed="false">
      <c r="A26" s="9"/>
      <c r="B26" s="9"/>
      <c r="C26" s="9"/>
      <c r="D26" s="9"/>
      <c r="E26" s="14"/>
      <c r="F26" s="14"/>
      <c r="G26" s="14" t="n">
        <f aca="false">SUMIFS(CB_plan!$C:$C,CB_plan!$B:$B,$A26)</f>
        <v>0</v>
      </c>
      <c r="H26" s="14" t="n">
        <f aca="false">IF(F26="",G26,F26)</f>
        <v>0</v>
      </c>
      <c r="I26" s="9"/>
      <c r="J26" s="14"/>
      <c r="K26" s="14" t="str">
        <f aca="false">IF(A26="","",Inputs!$B$13/((IF(AV26="",Inputs!$B$18,AV26)+Inputs!$B$14)^Inputs!$B$15))</f>
        <v/>
      </c>
      <c r="L26" s="14" t="str">
        <f aca="false">IF(A26="","",0.000000278*IF(I26="",Inputs!$B$17,I26)*H26*K26)</f>
        <v/>
      </c>
      <c r="M26" s="14" t="str">
        <f aca="false">IF(A26="","",SUMIFS($N$4:$N$203,$D$4:$D$203,$A26))</f>
        <v/>
      </c>
      <c r="N26" s="14" t="str">
        <f aca="false">IF(A26="","",(L26+M26)*Inputs!$B$16)</f>
        <v/>
      </c>
      <c r="O26" s="14"/>
      <c r="P26" s="14" t="str">
        <f aca="false">IF(A26="","",IF(O26="",Inputs!$B$7,O26))</f>
        <v/>
      </c>
      <c r="Q26" s="9" t="str">
        <f aca="false">IF(A26="","",IF(N26/Inputs!$B$10&lt;=AG26,Inputs!$F$5,IF(N26/Inputs!$B$10&gt;AP26,"OVERSIZE",INDEX(Inputs!$F$5:$F$14,MATCH(N26/Inputs!$B$10,AG26:AP26,1)+1))))</f>
        <v/>
      </c>
      <c r="R26" s="9"/>
      <c r="S26" s="9" t="str">
        <f aca="false">IF(A26="","",IF(R26="",Q26,R26))</f>
        <v/>
      </c>
      <c r="T26" s="14" t="str">
        <f aca="false">IF(OR(S26="",S26="OVERSIZE"),"",S26/1000)</f>
        <v/>
      </c>
      <c r="U26" s="14" t="str">
        <f aca="false">IF(T26="","",(1/Inputs!$B$9)*(PI()*T26^2/4)*((T26/4)^(2/3))*SQRT(P26))</f>
        <v/>
      </c>
      <c r="V26" s="14" t="str">
        <f aca="false">IF(OR(U26="",N26=""),"",N26/(U26*Inputs!$B$10))</f>
        <v/>
      </c>
      <c r="W26" s="14" t="str">
        <f aca="false">IF(OR(T26="",N26=""),"",4*N26/(PI()*T26^2))</f>
        <v/>
      </c>
      <c r="X26" s="14"/>
      <c r="Y26" s="14" t="str">
        <f aca="false">IF(A26="","",IF(A26=Inputs!$B$6,Inputs!$B$22,IF(D26="","",IFERROR(INDEX($Z$4:$Z$203,MATCH(D26,$A$4:$A$203,0))+IF(X26="",Inputs!$B$20,X26),""))))</f>
        <v/>
      </c>
      <c r="Z26" s="14" t="str">
        <f aca="false">IF(OR(Y26="",P26="",E26=""),"",Y26+P26*E26)</f>
        <v/>
      </c>
      <c r="AA26" s="14" t="str">
        <f aca="false">IF(C26="","",IFERROR(INDEX(Noeuds_plan!$C$4:$C$200,MATCH(C26,Noeuds_plan!$A$4:$A$200,0)),""))</f>
        <v/>
      </c>
      <c r="AB26" s="14" t="str">
        <f aca="false">IF(B26="","",IFERROR(INDEX(Noeuds_plan!$C$4:$C$200,MATCH(B26,Noeuds_plan!$A$4:$A$200,0)),""))</f>
        <v/>
      </c>
      <c r="AC26" s="14" t="str">
        <f aca="false">IF(OR(AA26="",Y26=""),"",AA26-Y26)</f>
        <v/>
      </c>
      <c r="AD26" s="14" t="str">
        <f aca="false">IF(OR(AB26="",Z26=""),"",AB26-Z26)</f>
        <v/>
      </c>
      <c r="AE26" s="19" t="str">
        <f aca="false">IF(A26="","",IF(OR(V26&gt;1,AND(AY26&lt;&gt;"",AY26&lt;Inputs!$B$11),AND(AY26&lt;&gt;"",AY26&gt;Inputs!$B$12),AC26&lt;Inputs!$B$19,AD26&lt;Inputs!$B$19,P26&lt;Inputs!$B$7,P26&gt;Inputs!$B$8),"CHECK","OK"))</f>
        <v/>
      </c>
      <c r="AF26" s="9"/>
      <c r="AG26" s="9" t="str">
        <f aca="false">IF(A26="","",(1/Inputs!$B$9)*(PI()*(Inputs!$F$5/1000)^2/4)*((Inputs!$F$5/1000/4)^(2/3))*SQRT(P26))</f>
        <v/>
      </c>
      <c r="AH26" s="9" t="str">
        <f aca="false">IF(A26="","",(1/Inputs!$B$9)*(PI()*(Inputs!$F$6/1000)^2/4)*((Inputs!$F$6/1000/4)^(2/3))*SQRT(P26))</f>
        <v/>
      </c>
      <c r="AI26" s="9" t="str">
        <f aca="false">IF(A26="","",(1/Inputs!$B$9)*(PI()*(Inputs!$F$7/1000)^2/4)*((Inputs!$F$7/1000/4)^(2/3))*SQRT(P26))</f>
        <v/>
      </c>
      <c r="AJ26" s="9" t="str">
        <f aca="false">IF(A26="","",(1/Inputs!$B$9)*(PI()*(Inputs!$F$8/1000)^2/4)*((Inputs!$F$8/1000/4)^(2/3))*SQRT(P26))</f>
        <v/>
      </c>
      <c r="AK26" s="9" t="str">
        <f aca="false">IF(A26="","",(1/Inputs!$B$9)*(PI()*(Inputs!$F$9/1000)^2/4)*((Inputs!$F$9/1000/4)^(2/3))*SQRT(P26))</f>
        <v/>
      </c>
      <c r="AL26" s="9" t="str">
        <f aca="false">IF(A26="","",(1/Inputs!$B$9)*(PI()*(Inputs!$F$10/1000)^2/4)*((Inputs!$F$10/1000/4)^(2/3))*SQRT(P26))</f>
        <v/>
      </c>
      <c r="AM26" s="9" t="str">
        <f aca="false">IF(A26="","",(1/Inputs!$B$9)*(PI()*(Inputs!$F$11/1000)^2/4)*((Inputs!$F$11/1000/4)^(2/3))*SQRT(P26))</f>
        <v/>
      </c>
      <c r="AN26" s="9" t="str">
        <f aca="false">IF(A26="","",(1/Inputs!$B$9)*(PI()*(Inputs!$F$12/1000)^2/4)*((Inputs!$F$12/1000/4)^(2/3))*SQRT(P26))</f>
        <v/>
      </c>
      <c r="AO26" s="9" t="str">
        <f aca="false">IF(A26="","",(1/Inputs!$B$9)*(PI()*(Inputs!$F$13/1000)^2/4)*((Inputs!$F$13/1000/4)^(2/3))*SQRT(P26))</f>
        <v/>
      </c>
      <c r="AP26" s="9" t="str">
        <f aca="false">IF(A26="","",(1/Inputs!$B$9)*(PI()*(Inputs!$F$14/1000)^2/4)*((Inputs!$F$14/1000/4)^(2/3))*SQRT(P26))</f>
        <v/>
      </c>
      <c r="AQ26" s="9" t="str">
        <f aca="false">IF(A26="","",COUNTIF($D$4:$D$203,$A26))</f>
        <v/>
      </c>
      <c r="AR26" s="9" t="str">
        <f aca="false">IF(A26="","",IF(AQ26=0,"START","CONTINUOUS"))</f>
        <v/>
      </c>
      <c r="AS26" s="13" t="str">
        <f aca="false">IF(A26="","",IF(J26="",Inputs!$B$18,J26))</f>
        <v/>
      </c>
      <c r="AT26" s="13" t="str">
        <f aca="false">IF(A26="","",IFERROR(maxifs($AV$4:$AV$203,$D$4:$D$203,$A26),""))</f>
        <v/>
      </c>
      <c r="AU26" s="13" t="str">
        <f aca="false">IF(A26="","",IF(OR(E26="",Inputs!$B$23=""),"",E26/(Inputs!$B$23*60)))</f>
        <v/>
      </c>
      <c r="AV26" s="13" t="str">
        <f aca="false">IF(A26="","",IF(AQ26=0,AS26+AU26,IF(AT26="",AS26+AU26,AT26+AU26)))</f>
        <v/>
      </c>
      <c r="AW26" s="13" t="str">
        <f aca="false">IF(A26="","",W26)</f>
        <v/>
      </c>
      <c r="AX26" s="13" t="str">
        <f aca="false">IF(OR(T26="",P26=""),"",(1/Inputs!$B$9)*((T26/4)^(2/3))*SQRT(P26))</f>
        <v/>
      </c>
      <c r="AY26" s="13" t="str">
        <f aca="false">IF(A26="","",IF(AND(AW26="",AX26="",BA26=""),"",IF(OR(UPPER(TRIM(Inputs!$B$24))="MANNING",UPPER(TRIM(Inputs!$B$24))="M"),AX26,IF(OR(UPPER(TRIM(Inputs!$B$24))="PARTIAL",UPPER(TRIM(Inputs!$B$24))="P"),BA26,IF(OR(UPPER(TRIM(Inputs!$B$24))="MAX",UPPER(TRIM(Inputs!$B$24))="X"),MAX(IF(AW26="",0,AW26),IF(AX26="",0,AX26),IF(BA26="",0,BA26)),AW26)))))</f>
        <v/>
      </c>
      <c r="AZ26" s="13" t="str">
        <f aca="false">IF(BB26="","",CH26)</f>
        <v/>
      </c>
      <c r="BA26" s="13" t="str">
        <f aca="false">IF(OR(BB26="",AZ26="",T26="",T26&lt;=0,AZ26&lt;=0),"",BB26/((T26^2/8)*(2*ACOS(1-2*AZ26/T26)-SIN(2*ACOS(1-2*AZ26/T26)))))</f>
        <v/>
      </c>
      <c r="BB26" s="9" t="str">
        <f aca="false">IF(OR(N26="",BC26=""),"",MIN(N26,BC26))</f>
        <v/>
      </c>
      <c r="BC26" s="9" t="str">
        <f aca="false">IF(OR(N26="",T26="",P26=""),"",IF(OR(T26="",P26="",(0.94*T26)="",T26&lt;=0,(0.94*T26)&lt;=0),"",(1/Inputs!$B$9)*((T26^2/8)*((2*ACOS(1-2*(0.94*T26)/T26))-SIN((2*ACOS(1-2*(0.94*T26)/T26)))))*((((T26^2/8)*((2*ACOS(1-2*(0.94*T26)/T26))-SIN((2*ACOS(1-2*(0.94*T26)/T26)))))/((T26/2)*((2*ACOS(1-2*(0.94*T26)/T26)))))^(2/3))*SQRT(P26)))</f>
        <v/>
      </c>
      <c r="BD26" s="9" t="str">
        <f aca="false">IF(BB26="","",0.001*T26)</f>
        <v/>
      </c>
      <c r="BE26" s="9" t="str">
        <f aca="false">IF(BB26="","",0.94*T26)</f>
        <v/>
      </c>
      <c r="BF26" s="9" t="str">
        <f aca="false">IF(BB26="","",(BD26+BE26)/2)</f>
        <v/>
      </c>
      <c r="BG26" s="9" t="str">
        <f aca="false">IF(OR(T26="",P26="",BF26="",T26&lt;=0,BF26&lt;=0),"",(1/Inputs!$B$9)*((T26^2/8)*((2*ACOS(1-2*BF26/T26))-SIN((2*ACOS(1-2*BF26/T26)))))*((((T26^2/8)*((2*ACOS(1-2*BF26/T26))-SIN((2*ACOS(1-2*BF26/T26)))))/((T26/2)*((2*ACOS(1-2*BF26/T26)))))^(2/3))*SQRT(P26))</f>
        <v/>
      </c>
      <c r="BH26" s="9" t="str">
        <f aca="false">IF(BB26="","",IF(BG26&lt;BB26,BF26,BD26))</f>
        <v/>
      </c>
      <c r="BI26" s="9" t="str">
        <f aca="false">IF(BB26="","",IF(BG26&lt;BB26,BE26,BF26))</f>
        <v/>
      </c>
      <c r="BJ26" s="9" t="str">
        <f aca="false">IF(BB26="","",(BH26+BI26)/2)</f>
        <v/>
      </c>
      <c r="BK26" s="9" t="str">
        <f aca="false">IF(OR(T26="",P26="",BJ26="",T26&lt;=0,BJ26&lt;=0),"",(1/Inputs!$B$9)*((T26^2/8)*((2*ACOS(1-2*BJ26/T26))-SIN((2*ACOS(1-2*BJ26/T26)))))*((((T26^2/8)*((2*ACOS(1-2*BJ26/T26))-SIN((2*ACOS(1-2*BJ26/T26)))))/((T26/2)*((2*ACOS(1-2*BJ26/T26)))))^(2/3))*SQRT(P26))</f>
        <v/>
      </c>
      <c r="BL26" s="9" t="str">
        <f aca="false">IF(BB26="","",IF(BK26&lt;BB26,BJ26,BH26))</f>
        <v/>
      </c>
      <c r="BM26" s="9" t="str">
        <f aca="false">IF(BB26="","",IF(BK26&lt;BB26,BI26,BJ26))</f>
        <v/>
      </c>
      <c r="BN26" s="9" t="str">
        <f aca="false">IF(BB26="","",(BL26+BM26)/2)</f>
        <v/>
      </c>
      <c r="BO26" s="9" t="str">
        <f aca="false">IF(OR(T26="",P26="",BN26="",T26&lt;=0,BN26&lt;=0),"",(1/Inputs!$B$9)*((T26^2/8)*((2*ACOS(1-2*BN26/T26))-SIN((2*ACOS(1-2*BN26/T26)))))*((((T26^2/8)*((2*ACOS(1-2*BN26/T26))-SIN((2*ACOS(1-2*BN26/T26)))))/((T26/2)*((2*ACOS(1-2*BN26/T26)))))^(2/3))*SQRT(P26))</f>
        <v/>
      </c>
      <c r="BP26" s="9" t="str">
        <f aca="false">IF(BB26="","",IF(BO26&lt;BB26,BN26,BL26))</f>
        <v/>
      </c>
      <c r="BQ26" s="9" t="str">
        <f aca="false">IF(BB26="","",IF(BO26&lt;BB26,BM26,BN26))</f>
        <v/>
      </c>
      <c r="BR26" s="9" t="str">
        <f aca="false">IF(BB26="","",(BP26+BQ26)/2)</f>
        <v/>
      </c>
      <c r="BS26" s="9" t="str">
        <f aca="false">IF(OR(T26="",P26="",BR26="",T26&lt;=0,BR26&lt;=0),"",(1/Inputs!$B$9)*((T26^2/8)*((2*ACOS(1-2*BR26/T26))-SIN((2*ACOS(1-2*BR26/T26)))))*((((T26^2/8)*((2*ACOS(1-2*BR26/T26))-SIN((2*ACOS(1-2*BR26/T26)))))/((T26/2)*((2*ACOS(1-2*BR26/T26)))))^(2/3))*SQRT(P26))</f>
        <v/>
      </c>
      <c r="BT26" s="9" t="str">
        <f aca="false">IF(BB26="","",IF(BS26&lt;BB26,BR26,BP26))</f>
        <v/>
      </c>
      <c r="BU26" s="9" t="str">
        <f aca="false">IF(BB26="","",IF(BS26&lt;BB26,BQ26,BR26))</f>
        <v/>
      </c>
      <c r="BV26" s="9" t="str">
        <f aca="false">IF(BB26="","",(BT26+BU26)/2)</f>
        <v/>
      </c>
      <c r="BW26" s="9" t="str">
        <f aca="false">IF(OR(T26="",P26="",BV26="",T26&lt;=0,BV26&lt;=0),"",(1/Inputs!$B$9)*((T26^2/8)*((2*ACOS(1-2*BV26/T26))-SIN((2*ACOS(1-2*BV26/T26)))))*((((T26^2/8)*((2*ACOS(1-2*BV26/T26))-SIN((2*ACOS(1-2*BV26/T26)))))/((T26/2)*((2*ACOS(1-2*BV26/T26)))))^(2/3))*SQRT(P26))</f>
        <v/>
      </c>
      <c r="BX26" s="9" t="str">
        <f aca="false">IF(BB26="","",IF(BW26&lt;BB26,BV26,BT26))</f>
        <v/>
      </c>
      <c r="BY26" s="9" t="str">
        <f aca="false">IF(BB26="","",IF(BW26&lt;BB26,BU26,BV26))</f>
        <v/>
      </c>
      <c r="BZ26" s="9" t="str">
        <f aca="false">IF(BB26="","",(BX26+BY26)/2)</f>
        <v/>
      </c>
      <c r="CA26" s="9" t="str">
        <f aca="false">IF(OR(T26="",P26="",BZ26="",T26&lt;=0,BZ26&lt;=0),"",(1/Inputs!$B$9)*((T26^2/8)*((2*ACOS(1-2*BZ26/T26))-SIN((2*ACOS(1-2*BZ26/T26)))))*((((T26^2/8)*((2*ACOS(1-2*BZ26/T26))-SIN((2*ACOS(1-2*BZ26/T26)))))/((T26/2)*((2*ACOS(1-2*BZ26/T26)))))^(2/3))*SQRT(P26))</f>
        <v/>
      </c>
      <c r="CB26" s="9" t="str">
        <f aca="false">IF(BB26="","",IF(CA26&lt;BB26,BZ26,BX26))</f>
        <v/>
      </c>
      <c r="CC26" s="9" t="str">
        <f aca="false">IF(BB26="","",IF(CA26&lt;BB26,BY26,BZ26))</f>
        <v/>
      </c>
      <c r="CD26" s="9" t="str">
        <f aca="false">IF(BB26="","",(CB26+CC26)/2)</f>
        <v/>
      </c>
      <c r="CE26" s="9" t="str">
        <f aca="false">IF(OR(T26="",P26="",CD26="",T26&lt;=0,CD26&lt;=0),"",(1/Inputs!$B$9)*((T26^2/8)*((2*ACOS(1-2*CD26/T26))-SIN((2*ACOS(1-2*CD26/T26)))))*((((T26^2/8)*((2*ACOS(1-2*CD26/T26))-SIN((2*ACOS(1-2*CD26/T26)))))/((T26/2)*((2*ACOS(1-2*CD26/T26)))))^(2/3))*SQRT(P26))</f>
        <v/>
      </c>
      <c r="CF26" s="9" t="str">
        <f aca="false">IF(BB26="","",IF(CE26&lt;BB26,CD26,CB26))</f>
        <v/>
      </c>
      <c r="CG26" s="9" t="str">
        <f aca="false">IF(BB26="","",IF(CE26&lt;BB26,CC26,CD26))</f>
        <v/>
      </c>
      <c r="CH26" s="9" t="str">
        <f aca="false">IF(BB26="","",(CF26+CG26)/2)</f>
        <v/>
      </c>
    </row>
    <row r="27" customFormat="false" ht="15" hidden="false" customHeight="false" outlineLevel="0" collapsed="false">
      <c r="A27" s="9"/>
      <c r="B27" s="9"/>
      <c r="C27" s="9"/>
      <c r="D27" s="9"/>
      <c r="E27" s="14"/>
      <c r="F27" s="14"/>
      <c r="G27" s="14" t="n">
        <f aca="false">SUMIFS(CB_plan!$C:$C,CB_plan!$B:$B,$A27)</f>
        <v>0</v>
      </c>
      <c r="H27" s="14" t="n">
        <f aca="false">IF(F27="",G27,F27)</f>
        <v>0</v>
      </c>
      <c r="I27" s="9"/>
      <c r="J27" s="14"/>
      <c r="K27" s="14" t="str">
        <f aca="false">IF(A27="","",Inputs!$B$13/((IF(AV27="",Inputs!$B$18,AV27)+Inputs!$B$14)^Inputs!$B$15))</f>
        <v/>
      </c>
      <c r="L27" s="14" t="str">
        <f aca="false">IF(A27="","",0.000000278*IF(I27="",Inputs!$B$17,I27)*H27*K27)</f>
        <v/>
      </c>
      <c r="M27" s="14" t="str">
        <f aca="false">IF(A27="","",SUMIFS($N$4:$N$203,$D$4:$D$203,$A27))</f>
        <v/>
      </c>
      <c r="N27" s="14" t="str">
        <f aca="false">IF(A27="","",(L27+M27)*Inputs!$B$16)</f>
        <v/>
      </c>
      <c r="O27" s="14"/>
      <c r="P27" s="14" t="str">
        <f aca="false">IF(A27="","",IF(O27="",Inputs!$B$7,O27))</f>
        <v/>
      </c>
      <c r="Q27" s="9" t="str">
        <f aca="false">IF(A27="","",IF(N27/Inputs!$B$10&lt;=AG27,Inputs!$F$5,IF(N27/Inputs!$B$10&gt;AP27,"OVERSIZE",INDEX(Inputs!$F$5:$F$14,MATCH(N27/Inputs!$B$10,AG27:AP27,1)+1))))</f>
        <v/>
      </c>
      <c r="R27" s="9"/>
      <c r="S27" s="9" t="str">
        <f aca="false">IF(A27="","",IF(R27="",Q27,R27))</f>
        <v/>
      </c>
      <c r="T27" s="14" t="str">
        <f aca="false">IF(OR(S27="",S27="OVERSIZE"),"",S27/1000)</f>
        <v/>
      </c>
      <c r="U27" s="14" t="str">
        <f aca="false">IF(T27="","",(1/Inputs!$B$9)*(PI()*T27^2/4)*((T27/4)^(2/3))*SQRT(P27))</f>
        <v/>
      </c>
      <c r="V27" s="14" t="str">
        <f aca="false">IF(OR(U27="",N27=""),"",N27/(U27*Inputs!$B$10))</f>
        <v/>
      </c>
      <c r="W27" s="14" t="str">
        <f aca="false">IF(OR(T27="",N27=""),"",4*N27/(PI()*T27^2))</f>
        <v/>
      </c>
      <c r="X27" s="14"/>
      <c r="Y27" s="14" t="str">
        <f aca="false">IF(A27="","",IF(A27=Inputs!$B$6,Inputs!$B$22,IF(D27="","",IFERROR(INDEX($Z$4:$Z$203,MATCH(D27,$A$4:$A$203,0))+IF(X27="",Inputs!$B$20,X27),""))))</f>
        <v/>
      </c>
      <c r="Z27" s="14" t="str">
        <f aca="false">IF(OR(Y27="",P27="",E27=""),"",Y27+P27*E27)</f>
        <v/>
      </c>
      <c r="AA27" s="14" t="str">
        <f aca="false">IF(C27="","",IFERROR(INDEX(Noeuds_plan!$C$4:$C$200,MATCH(C27,Noeuds_plan!$A$4:$A$200,0)),""))</f>
        <v/>
      </c>
      <c r="AB27" s="14" t="str">
        <f aca="false">IF(B27="","",IFERROR(INDEX(Noeuds_plan!$C$4:$C$200,MATCH(B27,Noeuds_plan!$A$4:$A$200,0)),""))</f>
        <v/>
      </c>
      <c r="AC27" s="14" t="str">
        <f aca="false">IF(OR(AA27="",Y27=""),"",AA27-Y27)</f>
        <v/>
      </c>
      <c r="AD27" s="14" t="str">
        <f aca="false">IF(OR(AB27="",Z27=""),"",AB27-Z27)</f>
        <v/>
      </c>
      <c r="AE27" s="19" t="str">
        <f aca="false">IF(A27="","",IF(OR(V27&gt;1,AND(AY27&lt;&gt;"",AY27&lt;Inputs!$B$11),AND(AY27&lt;&gt;"",AY27&gt;Inputs!$B$12),AC27&lt;Inputs!$B$19,AD27&lt;Inputs!$B$19,P27&lt;Inputs!$B$7,P27&gt;Inputs!$B$8),"CHECK","OK"))</f>
        <v/>
      </c>
      <c r="AF27" s="9"/>
      <c r="AG27" s="9" t="str">
        <f aca="false">IF(A27="","",(1/Inputs!$B$9)*(PI()*(Inputs!$F$5/1000)^2/4)*((Inputs!$F$5/1000/4)^(2/3))*SQRT(P27))</f>
        <v/>
      </c>
      <c r="AH27" s="9" t="str">
        <f aca="false">IF(A27="","",(1/Inputs!$B$9)*(PI()*(Inputs!$F$6/1000)^2/4)*((Inputs!$F$6/1000/4)^(2/3))*SQRT(P27))</f>
        <v/>
      </c>
      <c r="AI27" s="9" t="str">
        <f aca="false">IF(A27="","",(1/Inputs!$B$9)*(PI()*(Inputs!$F$7/1000)^2/4)*((Inputs!$F$7/1000/4)^(2/3))*SQRT(P27))</f>
        <v/>
      </c>
      <c r="AJ27" s="9" t="str">
        <f aca="false">IF(A27="","",(1/Inputs!$B$9)*(PI()*(Inputs!$F$8/1000)^2/4)*((Inputs!$F$8/1000/4)^(2/3))*SQRT(P27))</f>
        <v/>
      </c>
      <c r="AK27" s="9" t="str">
        <f aca="false">IF(A27="","",(1/Inputs!$B$9)*(PI()*(Inputs!$F$9/1000)^2/4)*((Inputs!$F$9/1000/4)^(2/3))*SQRT(P27))</f>
        <v/>
      </c>
      <c r="AL27" s="9" t="str">
        <f aca="false">IF(A27="","",(1/Inputs!$B$9)*(PI()*(Inputs!$F$10/1000)^2/4)*((Inputs!$F$10/1000/4)^(2/3))*SQRT(P27))</f>
        <v/>
      </c>
      <c r="AM27" s="9" t="str">
        <f aca="false">IF(A27="","",(1/Inputs!$B$9)*(PI()*(Inputs!$F$11/1000)^2/4)*((Inputs!$F$11/1000/4)^(2/3))*SQRT(P27))</f>
        <v/>
      </c>
      <c r="AN27" s="9" t="str">
        <f aca="false">IF(A27="","",(1/Inputs!$B$9)*(PI()*(Inputs!$F$12/1000)^2/4)*((Inputs!$F$12/1000/4)^(2/3))*SQRT(P27))</f>
        <v/>
      </c>
      <c r="AO27" s="9" t="str">
        <f aca="false">IF(A27="","",(1/Inputs!$B$9)*(PI()*(Inputs!$F$13/1000)^2/4)*((Inputs!$F$13/1000/4)^(2/3))*SQRT(P27))</f>
        <v/>
      </c>
      <c r="AP27" s="9" t="str">
        <f aca="false">IF(A27="","",(1/Inputs!$B$9)*(PI()*(Inputs!$F$14/1000)^2/4)*((Inputs!$F$14/1000/4)^(2/3))*SQRT(P27))</f>
        <v/>
      </c>
      <c r="AQ27" s="9" t="str">
        <f aca="false">IF(A27="","",COUNTIF($D$4:$D$203,$A27))</f>
        <v/>
      </c>
      <c r="AR27" s="9" t="str">
        <f aca="false">IF(A27="","",IF(AQ27=0,"START","CONTINUOUS"))</f>
        <v/>
      </c>
      <c r="AS27" s="13" t="str">
        <f aca="false">IF(A27="","",IF(J27="",Inputs!$B$18,J27))</f>
        <v/>
      </c>
      <c r="AT27" s="13" t="str">
        <f aca="false">IF(A27="","",IFERROR(maxifs($AV$4:$AV$203,$D$4:$D$203,$A27),""))</f>
        <v/>
      </c>
      <c r="AU27" s="13" t="str">
        <f aca="false">IF(A27="","",IF(OR(E27="",Inputs!$B$23=""),"",E27/(Inputs!$B$23*60)))</f>
        <v/>
      </c>
      <c r="AV27" s="13" t="str">
        <f aca="false">IF(A27="","",IF(AQ27=0,AS27+AU27,IF(AT27="",AS27+AU27,AT27+AU27)))</f>
        <v/>
      </c>
      <c r="AW27" s="13" t="str">
        <f aca="false">IF(A27="","",W27)</f>
        <v/>
      </c>
      <c r="AX27" s="13" t="str">
        <f aca="false">IF(OR(T27="",P27=""),"",(1/Inputs!$B$9)*((T27/4)^(2/3))*SQRT(P27))</f>
        <v/>
      </c>
      <c r="AY27" s="13" t="str">
        <f aca="false">IF(A27="","",IF(AND(AW27="",AX27="",BA27=""),"",IF(OR(UPPER(TRIM(Inputs!$B$24))="MANNING",UPPER(TRIM(Inputs!$B$24))="M"),AX27,IF(OR(UPPER(TRIM(Inputs!$B$24))="PARTIAL",UPPER(TRIM(Inputs!$B$24))="P"),BA27,IF(OR(UPPER(TRIM(Inputs!$B$24))="MAX",UPPER(TRIM(Inputs!$B$24))="X"),MAX(IF(AW27="",0,AW27),IF(AX27="",0,AX27),IF(BA27="",0,BA27)),AW27)))))</f>
        <v/>
      </c>
      <c r="AZ27" s="13" t="str">
        <f aca="false">IF(BB27="","",CH27)</f>
        <v/>
      </c>
      <c r="BA27" s="13" t="str">
        <f aca="false">IF(OR(BB27="",AZ27="",T27="",T27&lt;=0,AZ27&lt;=0),"",BB27/((T27^2/8)*(2*ACOS(1-2*AZ27/T27)-SIN(2*ACOS(1-2*AZ27/T27)))))</f>
        <v/>
      </c>
      <c r="BB27" s="9" t="str">
        <f aca="false">IF(OR(N27="",BC27=""),"",MIN(N27,BC27))</f>
        <v/>
      </c>
      <c r="BC27" s="9" t="str">
        <f aca="false">IF(OR(N27="",T27="",P27=""),"",IF(OR(T27="",P27="",(0.94*T27)="",T27&lt;=0,(0.94*T27)&lt;=0),"",(1/Inputs!$B$9)*((T27^2/8)*((2*ACOS(1-2*(0.94*T27)/T27))-SIN((2*ACOS(1-2*(0.94*T27)/T27)))))*((((T27^2/8)*((2*ACOS(1-2*(0.94*T27)/T27))-SIN((2*ACOS(1-2*(0.94*T27)/T27)))))/((T27/2)*((2*ACOS(1-2*(0.94*T27)/T27)))))^(2/3))*SQRT(P27)))</f>
        <v/>
      </c>
      <c r="BD27" s="9" t="str">
        <f aca="false">IF(BB27="","",0.001*T27)</f>
        <v/>
      </c>
      <c r="BE27" s="9" t="str">
        <f aca="false">IF(BB27="","",0.94*T27)</f>
        <v/>
      </c>
      <c r="BF27" s="9" t="str">
        <f aca="false">IF(BB27="","",(BD27+BE27)/2)</f>
        <v/>
      </c>
      <c r="BG27" s="9" t="str">
        <f aca="false">IF(OR(T27="",P27="",BF27="",T27&lt;=0,BF27&lt;=0),"",(1/Inputs!$B$9)*((T27^2/8)*((2*ACOS(1-2*BF27/T27))-SIN((2*ACOS(1-2*BF27/T27)))))*((((T27^2/8)*((2*ACOS(1-2*BF27/T27))-SIN((2*ACOS(1-2*BF27/T27)))))/((T27/2)*((2*ACOS(1-2*BF27/T27)))))^(2/3))*SQRT(P27))</f>
        <v/>
      </c>
      <c r="BH27" s="9" t="str">
        <f aca="false">IF(BB27="","",IF(BG27&lt;BB27,BF27,BD27))</f>
        <v/>
      </c>
      <c r="BI27" s="9" t="str">
        <f aca="false">IF(BB27="","",IF(BG27&lt;BB27,BE27,BF27))</f>
        <v/>
      </c>
      <c r="BJ27" s="9" t="str">
        <f aca="false">IF(BB27="","",(BH27+BI27)/2)</f>
        <v/>
      </c>
      <c r="BK27" s="9" t="str">
        <f aca="false">IF(OR(T27="",P27="",BJ27="",T27&lt;=0,BJ27&lt;=0),"",(1/Inputs!$B$9)*((T27^2/8)*((2*ACOS(1-2*BJ27/T27))-SIN((2*ACOS(1-2*BJ27/T27)))))*((((T27^2/8)*((2*ACOS(1-2*BJ27/T27))-SIN((2*ACOS(1-2*BJ27/T27)))))/((T27/2)*((2*ACOS(1-2*BJ27/T27)))))^(2/3))*SQRT(P27))</f>
        <v/>
      </c>
      <c r="BL27" s="9" t="str">
        <f aca="false">IF(BB27="","",IF(BK27&lt;BB27,BJ27,BH27))</f>
        <v/>
      </c>
      <c r="BM27" s="9" t="str">
        <f aca="false">IF(BB27="","",IF(BK27&lt;BB27,BI27,BJ27))</f>
        <v/>
      </c>
      <c r="BN27" s="9" t="str">
        <f aca="false">IF(BB27="","",(BL27+BM27)/2)</f>
        <v/>
      </c>
      <c r="BO27" s="9" t="str">
        <f aca="false">IF(OR(T27="",P27="",BN27="",T27&lt;=0,BN27&lt;=0),"",(1/Inputs!$B$9)*((T27^2/8)*((2*ACOS(1-2*BN27/T27))-SIN((2*ACOS(1-2*BN27/T27)))))*((((T27^2/8)*((2*ACOS(1-2*BN27/T27))-SIN((2*ACOS(1-2*BN27/T27)))))/((T27/2)*((2*ACOS(1-2*BN27/T27)))))^(2/3))*SQRT(P27))</f>
        <v/>
      </c>
      <c r="BP27" s="9" t="str">
        <f aca="false">IF(BB27="","",IF(BO27&lt;BB27,BN27,BL27))</f>
        <v/>
      </c>
      <c r="BQ27" s="9" t="str">
        <f aca="false">IF(BB27="","",IF(BO27&lt;BB27,BM27,BN27))</f>
        <v/>
      </c>
      <c r="BR27" s="9" t="str">
        <f aca="false">IF(BB27="","",(BP27+BQ27)/2)</f>
        <v/>
      </c>
      <c r="BS27" s="9" t="str">
        <f aca="false">IF(OR(T27="",P27="",BR27="",T27&lt;=0,BR27&lt;=0),"",(1/Inputs!$B$9)*((T27^2/8)*((2*ACOS(1-2*BR27/T27))-SIN((2*ACOS(1-2*BR27/T27)))))*((((T27^2/8)*((2*ACOS(1-2*BR27/T27))-SIN((2*ACOS(1-2*BR27/T27)))))/((T27/2)*((2*ACOS(1-2*BR27/T27)))))^(2/3))*SQRT(P27))</f>
        <v/>
      </c>
      <c r="BT27" s="9" t="str">
        <f aca="false">IF(BB27="","",IF(BS27&lt;BB27,BR27,BP27))</f>
        <v/>
      </c>
      <c r="BU27" s="9" t="str">
        <f aca="false">IF(BB27="","",IF(BS27&lt;BB27,BQ27,BR27))</f>
        <v/>
      </c>
      <c r="BV27" s="9" t="str">
        <f aca="false">IF(BB27="","",(BT27+BU27)/2)</f>
        <v/>
      </c>
      <c r="BW27" s="9" t="str">
        <f aca="false">IF(OR(T27="",P27="",BV27="",T27&lt;=0,BV27&lt;=0),"",(1/Inputs!$B$9)*((T27^2/8)*((2*ACOS(1-2*BV27/T27))-SIN((2*ACOS(1-2*BV27/T27)))))*((((T27^2/8)*((2*ACOS(1-2*BV27/T27))-SIN((2*ACOS(1-2*BV27/T27)))))/((T27/2)*((2*ACOS(1-2*BV27/T27)))))^(2/3))*SQRT(P27))</f>
        <v/>
      </c>
      <c r="BX27" s="9" t="str">
        <f aca="false">IF(BB27="","",IF(BW27&lt;BB27,BV27,BT27))</f>
        <v/>
      </c>
      <c r="BY27" s="9" t="str">
        <f aca="false">IF(BB27="","",IF(BW27&lt;BB27,BU27,BV27))</f>
        <v/>
      </c>
      <c r="BZ27" s="9" t="str">
        <f aca="false">IF(BB27="","",(BX27+BY27)/2)</f>
        <v/>
      </c>
      <c r="CA27" s="9" t="str">
        <f aca="false">IF(OR(T27="",P27="",BZ27="",T27&lt;=0,BZ27&lt;=0),"",(1/Inputs!$B$9)*((T27^2/8)*((2*ACOS(1-2*BZ27/T27))-SIN((2*ACOS(1-2*BZ27/T27)))))*((((T27^2/8)*((2*ACOS(1-2*BZ27/T27))-SIN((2*ACOS(1-2*BZ27/T27)))))/((T27/2)*((2*ACOS(1-2*BZ27/T27)))))^(2/3))*SQRT(P27))</f>
        <v/>
      </c>
      <c r="CB27" s="9" t="str">
        <f aca="false">IF(BB27="","",IF(CA27&lt;BB27,BZ27,BX27))</f>
        <v/>
      </c>
      <c r="CC27" s="9" t="str">
        <f aca="false">IF(BB27="","",IF(CA27&lt;BB27,BY27,BZ27))</f>
        <v/>
      </c>
      <c r="CD27" s="9" t="str">
        <f aca="false">IF(BB27="","",(CB27+CC27)/2)</f>
        <v/>
      </c>
      <c r="CE27" s="9" t="str">
        <f aca="false">IF(OR(T27="",P27="",CD27="",T27&lt;=0,CD27&lt;=0),"",(1/Inputs!$B$9)*((T27^2/8)*((2*ACOS(1-2*CD27/T27))-SIN((2*ACOS(1-2*CD27/T27)))))*((((T27^2/8)*((2*ACOS(1-2*CD27/T27))-SIN((2*ACOS(1-2*CD27/T27)))))/((T27/2)*((2*ACOS(1-2*CD27/T27)))))^(2/3))*SQRT(P27))</f>
        <v/>
      </c>
      <c r="CF27" s="9" t="str">
        <f aca="false">IF(BB27="","",IF(CE27&lt;BB27,CD27,CB27))</f>
        <v/>
      </c>
      <c r="CG27" s="9" t="str">
        <f aca="false">IF(BB27="","",IF(CE27&lt;BB27,CC27,CD27))</f>
        <v/>
      </c>
      <c r="CH27" s="9" t="str">
        <f aca="false">IF(BB27="","",(CF27+CG27)/2)</f>
        <v/>
      </c>
    </row>
    <row r="28" customFormat="false" ht="15" hidden="false" customHeight="false" outlineLevel="0" collapsed="false">
      <c r="A28" s="9"/>
      <c r="B28" s="9"/>
      <c r="C28" s="9"/>
      <c r="D28" s="9"/>
      <c r="E28" s="14"/>
      <c r="F28" s="14"/>
      <c r="G28" s="14" t="n">
        <f aca="false">SUMIFS(CB_plan!$C:$C,CB_plan!$B:$B,$A28)</f>
        <v>0</v>
      </c>
      <c r="H28" s="14" t="n">
        <f aca="false">IF(F28="",G28,F28)</f>
        <v>0</v>
      </c>
      <c r="I28" s="9"/>
      <c r="J28" s="14"/>
      <c r="K28" s="14" t="str">
        <f aca="false">IF(A28="","",Inputs!$B$13/((IF(AV28="",Inputs!$B$18,AV28)+Inputs!$B$14)^Inputs!$B$15))</f>
        <v/>
      </c>
      <c r="L28" s="14" t="str">
        <f aca="false">IF(A28="","",0.000000278*IF(I28="",Inputs!$B$17,I28)*H28*K28)</f>
        <v/>
      </c>
      <c r="M28" s="14" t="str">
        <f aca="false">IF(A28="","",SUMIFS($N$4:$N$203,$D$4:$D$203,$A28))</f>
        <v/>
      </c>
      <c r="N28" s="14" t="str">
        <f aca="false">IF(A28="","",(L28+M28)*Inputs!$B$16)</f>
        <v/>
      </c>
      <c r="O28" s="14"/>
      <c r="P28" s="14" t="str">
        <f aca="false">IF(A28="","",IF(O28="",Inputs!$B$7,O28))</f>
        <v/>
      </c>
      <c r="Q28" s="9" t="str">
        <f aca="false">IF(A28="","",IF(N28/Inputs!$B$10&lt;=AG28,Inputs!$F$5,IF(N28/Inputs!$B$10&gt;AP28,"OVERSIZE",INDEX(Inputs!$F$5:$F$14,MATCH(N28/Inputs!$B$10,AG28:AP28,1)+1))))</f>
        <v/>
      </c>
      <c r="R28" s="9"/>
      <c r="S28" s="9" t="str">
        <f aca="false">IF(A28="","",IF(R28="",Q28,R28))</f>
        <v/>
      </c>
      <c r="T28" s="14" t="str">
        <f aca="false">IF(OR(S28="",S28="OVERSIZE"),"",S28/1000)</f>
        <v/>
      </c>
      <c r="U28" s="14" t="str">
        <f aca="false">IF(T28="","",(1/Inputs!$B$9)*(PI()*T28^2/4)*((T28/4)^(2/3))*SQRT(P28))</f>
        <v/>
      </c>
      <c r="V28" s="14" t="str">
        <f aca="false">IF(OR(U28="",N28=""),"",N28/(U28*Inputs!$B$10))</f>
        <v/>
      </c>
      <c r="W28" s="14" t="str">
        <f aca="false">IF(OR(T28="",N28=""),"",4*N28/(PI()*T28^2))</f>
        <v/>
      </c>
      <c r="X28" s="14"/>
      <c r="Y28" s="14" t="str">
        <f aca="false">IF(A28="","",IF(A28=Inputs!$B$6,Inputs!$B$22,IF(D28="","",IFERROR(INDEX($Z$4:$Z$203,MATCH(D28,$A$4:$A$203,0))+IF(X28="",Inputs!$B$20,X28),""))))</f>
        <v/>
      </c>
      <c r="Z28" s="14" t="str">
        <f aca="false">IF(OR(Y28="",P28="",E28=""),"",Y28+P28*E28)</f>
        <v/>
      </c>
      <c r="AA28" s="14" t="str">
        <f aca="false">IF(C28="","",IFERROR(INDEX(Noeuds_plan!$C$4:$C$200,MATCH(C28,Noeuds_plan!$A$4:$A$200,0)),""))</f>
        <v/>
      </c>
      <c r="AB28" s="14" t="str">
        <f aca="false">IF(B28="","",IFERROR(INDEX(Noeuds_plan!$C$4:$C$200,MATCH(B28,Noeuds_plan!$A$4:$A$200,0)),""))</f>
        <v/>
      </c>
      <c r="AC28" s="14" t="str">
        <f aca="false">IF(OR(AA28="",Y28=""),"",AA28-Y28)</f>
        <v/>
      </c>
      <c r="AD28" s="14" t="str">
        <f aca="false">IF(OR(AB28="",Z28=""),"",AB28-Z28)</f>
        <v/>
      </c>
      <c r="AE28" s="19" t="str">
        <f aca="false">IF(A28="","",IF(OR(V28&gt;1,AND(AY28&lt;&gt;"",AY28&lt;Inputs!$B$11),AND(AY28&lt;&gt;"",AY28&gt;Inputs!$B$12),AC28&lt;Inputs!$B$19,AD28&lt;Inputs!$B$19,P28&lt;Inputs!$B$7,P28&gt;Inputs!$B$8),"CHECK","OK"))</f>
        <v/>
      </c>
      <c r="AF28" s="9"/>
      <c r="AG28" s="9" t="str">
        <f aca="false">IF(A28="","",(1/Inputs!$B$9)*(PI()*(Inputs!$F$5/1000)^2/4)*((Inputs!$F$5/1000/4)^(2/3))*SQRT(P28))</f>
        <v/>
      </c>
      <c r="AH28" s="9" t="str">
        <f aca="false">IF(A28="","",(1/Inputs!$B$9)*(PI()*(Inputs!$F$6/1000)^2/4)*((Inputs!$F$6/1000/4)^(2/3))*SQRT(P28))</f>
        <v/>
      </c>
      <c r="AI28" s="9" t="str">
        <f aca="false">IF(A28="","",(1/Inputs!$B$9)*(PI()*(Inputs!$F$7/1000)^2/4)*((Inputs!$F$7/1000/4)^(2/3))*SQRT(P28))</f>
        <v/>
      </c>
      <c r="AJ28" s="9" t="str">
        <f aca="false">IF(A28="","",(1/Inputs!$B$9)*(PI()*(Inputs!$F$8/1000)^2/4)*((Inputs!$F$8/1000/4)^(2/3))*SQRT(P28))</f>
        <v/>
      </c>
      <c r="AK28" s="9" t="str">
        <f aca="false">IF(A28="","",(1/Inputs!$B$9)*(PI()*(Inputs!$F$9/1000)^2/4)*((Inputs!$F$9/1000/4)^(2/3))*SQRT(P28))</f>
        <v/>
      </c>
      <c r="AL28" s="9" t="str">
        <f aca="false">IF(A28="","",(1/Inputs!$B$9)*(PI()*(Inputs!$F$10/1000)^2/4)*((Inputs!$F$10/1000/4)^(2/3))*SQRT(P28))</f>
        <v/>
      </c>
      <c r="AM28" s="9" t="str">
        <f aca="false">IF(A28="","",(1/Inputs!$B$9)*(PI()*(Inputs!$F$11/1000)^2/4)*((Inputs!$F$11/1000/4)^(2/3))*SQRT(P28))</f>
        <v/>
      </c>
      <c r="AN28" s="9" t="str">
        <f aca="false">IF(A28="","",(1/Inputs!$B$9)*(PI()*(Inputs!$F$12/1000)^2/4)*((Inputs!$F$12/1000/4)^(2/3))*SQRT(P28))</f>
        <v/>
      </c>
      <c r="AO28" s="9" t="str">
        <f aca="false">IF(A28="","",(1/Inputs!$B$9)*(PI()*(Inputs!$F$13/1000)^2/4)*((Inputs!$F$13/1000/4)^(2/3))*SQRT(P28))</f>
        <v/>
      </c>
      <c r="AP28" s="9" t="str">
        <f aca="false">IF(A28="","",(1/Inputs!$B$9)*(PI()*(Inputs!$F$14/1000)^2/4)*((Inputs!$F$14/1000/4)^(2/3))*SQRT(P28))</f>
        <v/>
      </c>
      <c r="AQ28" s="9" t="str">
        <f aca="false">IF(A28="","",COUNTIF($D$4:$D$203,$A28))</f>
        <v/>
      </c>
      <c r="AR28" s="9" t="str">
        <f aca="false">IF(A28="","",IF(AQ28=0,"START","CONTINUOUS"))</f>
        <v/>
      </c>
      <c r="AS28" s="13" t="str">
        <f aca="false">IF(A28="","",IF(J28="",Inputs!$B$18,J28))</f>
        <v/>
      </c>
      <c r="AT28" s="13" t="str">
        <f aca="false">IF(A28="","",IFERROR(maxifs($AV$4:$AV$203,$D$4:$D$203,$A28),""))</f>
        <v/>
      </c>
      <c r="AU28" s="13" t="str">
        <f aca="false">IF(A28="","",IF(OR(E28="",Inputs!$B$23=""),"",E28/(Inputs!$B$23*60)))</f>
        <v/>
      </c>
      <c r="AV28" s="13" t="str">
        <f aca="false">IF(A28="","",IF(AQ28=0,AS28+AU28,IF(AT28="",AS28+AU28,AT28+AU28)))</f>
        <v/>
      </c>
      <c r="AW28" s="13" t="str">
        <f aca="false">IF(A28="","",W28)</f>
        <v/>
      </c>
      <c r="AX28" s="13" t="str">
        <f aca="false">IF(OR(T28="",P28=""),"",(1/Inputs!$B$9)*((T28/4)^(2/3))*SQRT(P28))</f>
        <v/>
      </c>
      <c r="AY28" s="13" t="str">
        <f aca="false">IF(A28="","",IF(AND(AW28="",AX28="",BA28=""),"",IF(OR(UPPER(TRIM(Inputs!$B$24))="MANNING",UPPER(TRIM(Inputs!$B$24))="M"),AX28,IF(OR(UPPER(TRIM(Inputs!$B$24))="PARTIAL",UPPER(TRIM(Inputs!$B$24))="P"),BA28,IF(OR(UPPER(TRIM(Inputs!$B$24))="MAX",UPPER(TRIM(Inputs!$B$24))="X"),MAX(IF(AW28="",0,AW28),IF(AX28="",0,AX28),IF(BA28="",0,BA28)),AW28)))))</f>
        <v/>
      </c>
      <c r="AZ28" s="13" t="str">
        <f aca="false">IF(BB28="","",CH28)</f>
        <v/>
      </c>
      <c r="BA28" s="13" t="str">
        <f aca="false">IF(OR(BB28="",AZ28="",T28="",T28&lt;=0,AZ28&lt;=0),"",BB28/((T28^2/8)*(2*ACOS(1-2*AZ28/T28)-SIN(2*ACOS(1-2*AZ28/T28)))))</f>
        <v/>
      </c>
      <c r="BB28" s="9" t="str">
        <f aca="false">IF(OR(N28="",BC28=""),"",MIN(N28,BC28))</f>
        <v/>
      </c>
      <c r="BC28" s="9" t="str">
        <f aca="false">IF(OR(N28="",T28="",P28=""),"",IF(OR(T28="",P28="",(0.94*T28)="",T28&lt;=0,(0.94*T28)&lt;=0),"",(1/Inputs!$B$9)*((T28^2/8)*((2*ACOS(1-2*(0.94*T28)/T28))-SIN((2*ACOS(1-2*(0.94*T28)/T28)))))*((((T28^2/8)*((2*ACOS(1-2*(0.94*T28)/T28))-SIN((2*ACOS(1-2*(0.94*T28)/T28)))))/((T28/2)*((2*ACOS(1-2*(0.94*T28)/T28)))))^(2/3))*SQRT(P28)))</f>
        <v/>
      </c>
      <c r="BD28" s="9" t="str">
        <f aca="false">IF(BB28="","",0.001*T28)</f>
        <v/>
      </c>
      <c r="BE28" s="9" t="str">
        <f aca="false">IF(BB28="","",0.94*T28)</f>
        <v/>
      </c>
      <c r="BF28" s="9" t="str">
        <f aca="false">IF(BB28="","",(BD28+BE28)/2)</f>
        <v/>
      </c>
      <c r="BG28" s="9" t="str">
        <f aca="false">IF(OR(T28="",P28="",BF28="",T28&lt;=0,BF28&lt;=0),"",(1/Inputs!$B$9)*((T28^2/8)*((2*ACOS(1-2*BF28/T28))-SIN((2*ACOS(1-2*BF28/T28)))))*((((T28^2/8)*((2*ACOS(1-2*BF28/T28))-SIN((2*ACOS(1-2*BF28/T28)))))/((T28/2)*((2*ACOS(1-2*BF28/T28)))))^(2/3))*SQRT(P28))</f>
        <v/>
      </c>
      <c r="BH28" s="9" t="str">
        <f aca="false">IF(BB28="","",IF(BG28&lt;BB28,BF28,BD28))</f>
        <v/>
      </c>
      <c r="BI28" s="9" t="str">
        <f aca="false">IF(BB28="","",IF(BG28&lt;BB28,BE28,BF28))</f>
        <v/>
      </c>
      <c r="BJ28" s="9" t="str">
        <f aca="false">IF(BB28="","",(BH28+BI28)/2)</f>
        <v/>
      </c>
      <c r="BK28" s="9" t="str">
        <f aca="false">IF(OR(T28="",P28="",BJ28="",T28&lt;=0,BJ28&lt;=0),"",(1/Inputs!$B$9)*((T28^2/8)*((2*ACOS(1-2*BJ28/T28))-SIN((2*ACOS(1-2*BJ28/T28)))))*((((T28^2/8)*((2*ACOS(1-2*BJ28/T28))-SIN((2*ACOS(1-2*BJ28/T28)))))/((T28/2)*((2*ACOS(1-2*BJ28/T28)))))^(2/3))*SQRT(P28))</f>
        <v/>
      </c>
      <c r="BL28" s="9" t="str">
        <f aca="false">IF(BB28="","",IF(BK28&lt;BB28,BJ28,BH28))</f>
        <v/>
      </c>
      <c r="BM28" s="9" t="str">
        <f aca="false">IF(BB28="","",IF(BK28&lt;BB28,BI28,BJ28))</f>
        <v/>
      </c>
      <c r="BN28" s="9" t="str">
        <f aca="false">IF(BB28="","",(BL28+BM28)/2)</f>
        <v/>
      </c>
      <c r="BO28" s="9" t="str">
        <f aca="false">IF(OR(T28="",P28="",BN28="",T28&lt;=0,BN28&lt;=0),"",(1/Inputs!$B$9)*((T28^2/8)*((2*ACOS(1-2*BN28/T28))-SIN((2*ACOS(1-2*BN28/T28)))))*((((T28^2/8)*((2*ACOS(1-2*BN28/T28))-SIN((2*ACOS(1-2*BN28/T28)))))/((T28/2)*((2*ACOS(1-2*BN28/T28)))))^(2/3))*SQRT(P28))</f>
        <v/>
      </c>
      <c r="BP28" s="9" t="str">
        <f aca="false">IF(BB28="","",IF(BO28&lt;BB28,BN28,BL28))</f>
        <v/>
      </c>
      <c r="BQ28" s="9" t="str">
        <f aca="false">IF(BB28="","",IF(BO28&lt;BB28,BM28,BN28))</f>
        <v/>
      </c>
      <c r="BR28" s="9" t="str">
        <f aca="false">IF(BB28="","",(BP28+BQ28)/2)</f>
        <v/>
      </c>
      <c r="BS28" s="9" t="str">
        <f aca="false">IF(OR(T28="",P28="",BR28="",T28&lt;=0,BR28&lt;=0),"",(1/Inputs!$B$9)*((T28^2/8)*((2*ACOS(1-2*BR28/T28))-SIN((2*ACOS(1-2*BR28/T28)))))*((((T28^2/8)*((2*ACOS(1-2*BR28/T28))-SIN((2*ACOS(1-2*BR28/T28)))))/((T28/2)*((2*ACOS(1-2*BR28/T28)))))^(2/3))*SQRT(P28))</f>
        <v/>
      </c>
      <c r="BT28" s="9" t="str">
        <f aca="false">IF(BB28="","",IF(BS28&lt;BB28,BR28,BP28))</f>
        <v/>
      </c>
      <c r="BU28" s="9" t="str">
        <f aca="false">IF(BB28="","",IF(BS28&lt;BB28,BQ28,BR28))</f>
        <v/>
      </c>
      <c r="BV28" s="9" t="str">
        <f aca="false">IF(BB28="","",(BT28+BU28)/2)</f>
        <v/>
      </c>
      <c r="BW28" s="9" t="str">
        <f aca="false">IF(OR(T28="",P28="",BV28="",T28&lt;=0,BV28&lt;=0),"",(1/Inputs!$B$9)*((T28^2/8)*((2*ACOS(1-2*BV28/T28))-SIN((2*ACOS(1-2*BV28/T28)))))*((((T28^2/8)*((2*ACOS(1-2*BV28/T28))-SIN((2*ACOS(1-2*BV28/T28)))))/((T28/2)*((2*ACOS(1-2*BV28/T28)))))^(2/3))*SQRT(P28))</f>
        <v/>
      </c>
      <c r="BX28" s="9" t="str">
        <f aca="false">IF(BB28="","",IF(BW28&lt;BB28,BV28,BT28))</f>
        <v/>
      </c>
      <c r="BY28" s="9" t="str">
        <f aca="false">IF(BB28="","",IF(BW28&lt;BB28,BU28,BV28))</f>
        <v/>
      </c>
      <c r="BZ28" s="9" t="str">
        <f aca="false">IF(BB28="","",(BX28+BY28)/2)</f>
        <v/>
      </c>
      <c r="CA28" s="9" t="str">
        <f aca="false">IF(OR(T28="",P28="",BZ28="",T28&lt;=0,BZ28&lt;=0),"",(1/Inputs!$B$9)*((T28^2/8)*((2*ACOS(1-2*BZ28/T28))-SIN((2*ACOS(1-2*BZ28/T28)))))*((((T28^2/8)*((2*ACOS(1-2*BZ28/T28))-SIN((2*ACOS(1-2*BZ28/T28)))))/((T28/2)*((2*ACOS(1-2*BZ28/T28)))))^(2/3))*SQRT(P28))</f>
        <v/>
      </c>
      <c r="CB28" s="9" t="str">
        <f aca="false">IF(BB28="","",IF(CA28&lt;BB28,BZ28,BX28))</f>
        <v/>
      </c>
      <c r="CC28" s="9" t="str">
        <f aca="false">IF(BB28="","",IF(CA28&lt;BB28,BY28,BZ28))</f>
        <v/>
      </c>
      <c r="CD28" s="9" t="str">
        <f aca="false">IF(BB28="","",(CB28+CC28)/2)</f>
        <v/>
      </c>
      <c r="CE28" s="9" t="str">
        <f aca="false">IF(OR(T28="",P28="",CD28="",T28&lt;=0,CD28&lt;=0),"",(1/Inputs!$B$9)*((T28^2/8)*((2*ACOS(1-2*CD28/T28))-SIN((2*ACOS(1-2*CD28/T28)))))*((((T28^2/8)*((2*ACOS(1-2*CD28/T28))-SIN((2*ACOS(1-2*CD28/T28)))))/((T28/2)*((2*ACOS(1-2*CD28/T28)))))^(2/3))*SQRT(P28))</f>
        <v/>
      </c>
      <c r="CF28" s="9" t="str">
        <f aca="false">IF(BB28="","",IF(CE28&lt;BB28,CD28,CB28))</f>
        <v/>
      </c>
      <c r="CG28" s="9" t="str">
        <f aca="false">IF(BB28="","",IF(CE28&lt;BB28,CC28,CD28))</f>
        <v/>
      </c>
      <c r="CH28" s="9" t="str">
        <f aca="false">IF(BB28="","",(CF28+CG28)/2)</f>
        <v/>
      </c>
    </row>
    <row r="29" customFormat="false" ht="15" hidden="false" customHeight="false" outlineLevel="0" collapsed="false">
      <c r="A29" s="9"/>
      <c r="B29" s="9"/>
      <c r="C29" s="9"/>
      <c r="D29" s="9"/>
      <c r="E29" s="14"/>
      <c r="F29" s="14"/>
      <c r="G29" s="14" t="n">
        <f aca="false">SUMIFS(CB_plan!$C:$C,CB_plan!$B:$B,$A29)</f>
        <v>0</v>
      </c>
      <c r="H29" s="14" t="n">
        <f aca="false">IF(F29="",G29,F29)</f>
        <v>0</v>
      </c>
      <c r="I29" s="9"/>
      <c r="J29" s="14"/>
      <c r="K29" s="14" t="str">
        <f aca="false">IF(A29="","",Inputs!$B$13/((IF(AV29="",Inputs!$B$18,AV29)+Inputs!$B$14)^Inputs!$B$15))</f>
        <v/>
      </c>
      <c r="L29" s="14" t="str">
        <f aca="false">IF(A29="","",0.000000278*IF(I29="",Inputs!$B$17,I29)*H29*K29)</f>
        <v/>
      </c>
      <c r="M29" s="14" t="str">
        <f aca="false">IF(A29="","",SUMIFS($N$4:$N$203,$D$4:$D$203,$A29))</f>
        <v/>
      </c>
      <c r="N29" s="14" t="str">
        <f aca="false">IF(A29="","",(L29+M29)*Inputs!$B$16)</f>
        <v/>
      </c>
      <c r="O29" s="14"/>
      <c r="P29" s="14" t="str">
        <f aca="false">IF(A29="","",IF(O29="",Inputs!$B$7,O29))</f>
        <v/>
      </c>
      <c r="Q29" s="9" t="str">
        <f aca="false">IF(A29="","",IF(N29/Inputs!$B$10&lt;=AG29,Inputs!$F$5,IF(N29/Inputs!$B$10&gt;AP29,"OVERSIZE",INDEX(Inputs!$F$5:$F$14,MATCH(N29/Inputs!$B$10,AG29:AP29,1)+1))))</f>
        <v/>
      </c>
      <c r="R29" s="9"/>
      <c r="S29" s="9" t="str">
        <f aca="false">IF(A29="","",IF(R29="",Q29,R29))</f>
        <v/>
      </c>
      <c r="T29" s="14" t="str">
        <f aca="false">IF(OR(S29="",S29="OVERSIZE"),"",S29/1000)</f>
        <v/>
      </c>
      <c r="U29" s="14" t="str">
        <f aca="false">IF(T29="","",(1/Inputs!$B$9)*(PI()*T29^2/4)*((T29/4)^(2/3))*SQRT(P29))</f>
        <v/>
      </c>
      <c r="V29" s="14" t="str">
        <f aca="false">IF(OR(U29="",N29=""),"",N29/(U29*Inputs!$B$10))</f>
        <v/>
      </c>
      <c r="W29" s="14" t="str">
        <f aca="false">IF(OR(T29="",N29=""),"",4*N29/(PI()*T29^2))</f>
        <v/>
      </c>
      <c r="X29" s="14"/>
      <c r="Y29" s="14" t="str">
        <f aca="false">IF(A29="","",IF(A29=Inputs!$B$6,Inputs!$B$22,IF(D29="","",IFERROR(INDEX($Z$4:$Z$203,MATCH(D29,$A$4:$A$203,0))+IF(X29="",Inputs!$B$20,X29),""))))</f>
        <v/>
      </c>
      <c r="Z29" s="14" t="str">
        <f aca="false">IF(OR(Y29="",P29="",E29=""),"",Y29+P29*E29)</f>
        <v/>
      </c>
      <c r="AA29" s="14" t="str">
        <f aca="false">IF(C29="","",IFERROR(INDEX(Noeuds_plan!$C$4:$C$200,MATCH(C29,Noeuds_plan!$A$4:$A$200,0)),""))</f>
        <v/>
      </c>
      <c r="AB29" s="14" t="str">
        <f aca="false">IF(B29="","",IFERROR(INDEX(Noeuds_plan!$C$4:$C$200,MATCH(B29,Noeuds_plan!$A$4:$A$200,0)),""))</f>
        <v/>
      </c>
      <c r="AC29" s="14" t="str">
        <f aca="false">IF(OR(AA29="",Y29=""),"",AA29-Y29)</f>
        <v/>
      </c>
      <c r="AD29" s="14" t="str">
        <f aca="false">IF(OR(AB29="",Z29=""),"",AB29-Z29)</f>
        <v/>
      </c>
      <c r="AE29" s="19" t="str">
        <f aca="false">IF(A29="","",IF(OR(V29&gt;1,AND(AY29&lt;&gt;"",AY29&lt;Inputs!$B$11),AND(AY29&lt;&gt;"",AY29&gt;Inputs!$B$12),AC29&lt;Inputs!$B$19,AD29&lt;Inputs!$B$19,P29&lt;Inputs!$B$7,P29&gt;Inputs!$B$8),"CHECK","OK"))</f>
        <v/>
      </c>
      <c r="AF29" s="9"/>
      <c r="AG29" s="9" t="str">
        <f aca="false">IF(A29="","",(1/Inputs!$B$9)*(PI()*(Inputs!$F$5/1000)^2/4)*((Inputs!$F$5/1000/4)^(2/3))*SQRT(P29))</f>
        <v/>
      </c>
      <c r="AH29" s="9" t="str">
        <f aca="false">IF(A29="","",(1/Inputs!$B$9)*(PI()*(Inputs!$F$6/1000)^2/4)*((Inputs!$F$6/1000/4)^(2/3))*SQRT(P29))</f>
        <v/>
      </c>
      <c r="AI29" s="9" t="str">
        <f aca="false">IF(A29="","",(1/Inputs!$B$9)*(PI()*(Inputs!$F$7/1000)^2/4)*((Inputs!$F$7/1000/4)^(2/3))*SQRT(P29))</f>
        <v/>
      </c>
      <c r="AJ29" s="9" t="str">
        <f aca="false">IF(A29="","",(1/Inputs!$B$9)*(PI()*(Inputs!$F$8/1000)^2/4)*((Inputs!$F$8/1000/4)^(2/3))*SQRT(P29))</f>
        <v/>
      </c>
      <c r="AK29" s="9" t="str">
        <f aca="false">IF(A29="","",(1/Inputs!$B$9)*(PI()*(Inputs!$F$9/1000)^2/4)*((Inputs!$F$9/1000/4)^(2/3))*SQRT(P29))</f>
        <v/>
      </c>
      <c r="AL29" s="9" t="str">
        <f aca="false">IF(A29="","",(1/Inputs!$B$9)*(PI()*(Inputs!$F$10/1000)^2/4)*((Inputs!$F$10/1000/4)^(2/3))*SQRT(P29))</f>
        <v/>
      </c>
      <c r="AM29" s="9" t="str">
        <f aca="false">IF(A29="","",(1/Inputs!$B$9)*(PI()*(Inputs!$F$11/1000)^2/4)*((Inputs!$F$11/1000/4)^(2/3))*SQRT(P29))</f>
        <v/>
      </c>
      <c r="AN29" s="9" t="str">
        <f aca="false">IF(A29="","",(1/Inputs!$B$9)*(PI()*(Inputs!$F$12/1000)^2/4)*((Inputs!$F$12/1000/4)^(2/3))*SQRT(P29))</f>
        <v/>
      </c>
      <c r="AO29" s="9" t="str">
        <f aca="false">IF(A29="","",(1/Inputs!$B$9)*(PI()*(Inputs!$F$13/1000)^2/4)*((Inputs!$F$13/1000/4)^(2/3))*SQRT(P29))</f>
        <v/>
      </c>
      <c r="AP29" s="9" t="str">
        <f aca="false">IF(A29="","",(1/Inputs!$B$9)*(PI()*(Inputs!$F$14/1000)^2/4)*((Inputs!$F$14/1000/4)^(2/3))*SQRT(P29))</f>
        <v/>
      </c>
      <c r="AQ29" s="9" t="str">
        <f aca="false">IF(A29="","",COUNTIF($D$4:$D$203,$A29))</f>
        <v/>
      </c>
      <c r="AR29" s="9" t="str">
        <f aca="false">IF(A29="","",IF(AQ29=0,"START","CONTINUOUS"))</f>
        <v/>
      </c>
      <c r="AS29" s="13" t="str">
        <f aca="false">IF(A29="","",IF(J29="",Inputs!$B$18,J29))</f>
        <v/>
      </c>
      <c r="AT29" s="13" t="str">
        <f aca="false">IF(A29="","",IFERROR(maxifs($AV$4:$AV$203,$D$4:$D$203,$A29),""))</f>
        <v/>
      </c>
      <c r="AU29" s="13" t="str">
        <f aca="false">IF(A29="","",IF(OR(E29="",Inputs!$B$23=""),"",E29/(Inputs!$B$23*60)))</f>
        <v/>
      </c>
      <c r="AV29" s="13" t="str">
        <f aca="false">IF(A29="","",IF(AQ29=0,AS29+AU29,IF(AT29="",AS29+AU29,AT29+AU29)))</f>
        <v/>
      </c>
      <c r="AW29" s="13" t="str">
        <f aca="false">IF(A29="","",W29)</f>
        <v/>
      </c>
      <c r="AX29" s="13" t="str">
        <f aca="false">IF(OR(T29="",P29=""),"",(1/Inputs!$B$9)*((T29/4)^(2/3))*SQRT(P29))</f>
        <v/>
      </c>
      <c r="AY29" s="13" t="str">
        <f aca="false">IF(A29="","",IF(AND(AW29="",AX29="",BA29=""),"",IF(OR(UPPER(TRIM(Inputs!$B$24))="MANNING",UPPER(TRIM(Inputs!$B$24))="M"),AX29,IF(OR(UPPER(TRIM(Inputs!$B$24))="PARTIAL",UPPER(TRIM(Inputs!$B$24))="P"),BA29,IF(OR(UPPER(TRIM(Inputs!$B$24))="MAX",UPPER(TRIM(Inputs!$B$24))="X"),MAX(IF(AW29="",0,AW29),IF(AX29="",0,AX29),IF(BA29="",0,BA29)),AW29)))))</f>
        <v/>
      </c>
      <c r="AZ29" s="13" t="str">
        <f aca="false">IF(BB29="","",CH29)</f>
        <v/>
      </c>
      <c r="BA29" s="13" t="str">
        <f aca="false">IF(OR(BB29="",AZ29="",T29="",T29&lt;=0,AZ29&lt;=0),"",BB29/((T29^2/8)*(2*ACOS(1-2*AZ29/T29)-SIN(2*ACOS(1-2*AZ29/T29)))))</f>
        <v/>
      </c>
      <c r="BB29" s="9" t="str">
        <f aca="false">IF(OR(N29="",BC29=""),"",MIN(N29,BC29))</f>
        <v/>
      </c>
      <c r="BC29" s="9" t="str">
        <f aca="false">IF(OR(N29="",T29="",P29=""),"",IF(OR(T29="",P29="",(0.94*T29)="",T29&lt;=0,(0.94*T29)&lt;=0),"",(1/Inputs!$B$9)*((T29^2/8)*((2*ACOS(1-2*(0.94*T29)/T29))-SIN((2*ACOS(1-2*(0.94*T29)/T29)))))*((((T29^2/8)*((2*ACOS(1-2*(0.94*T29)/T29))-SIN((2*ACOS(1-2*(0.94*T29)/T29)))))/((T29/2)*((2*ACOS(1-2*(0.94*T29)/T29)))))^(2/3))*SQRT(P29)))</f>
        <v/>
      </c>
      <c r="BD29" s="9" t="str">
        <f aca="false">IF(BB29="","",0.001*T29)</f>
        <v/>
      </c>
      <c r="BE29" s="9" t="str">
        <f aca="false">IF(BB29="","",0.94*T29)</f>
        <v/>
      </c>
      <c r="BF29" s="9" t="str">
        <f aca="false">IF(BB29="","",(BD29+BE29)/2)</f>
        <v/>
      </c>
      <c r="BG29" s="9" t="str">
        <f aca="false">IF(OR(T29="",P29="",BF29="",T29&lt;=0,BF29&lt;=0),"",(1/Inputs!$B$9)*((T29^2/8)*((2*ACOS(1-2*BF29/T29))-SIN((2*ACOS(1-2*BF29/T29)))))*((((T29^2/8)*((2*ACOS(1-2*BF29/T29))-SIN((2*ACOS(1-2*BF29/T29)))))/((T29/2)*((2*ACOS(1-2*BF29/T29)))))^(2/3))*SQRT(P29))</f>
        <v/>
      </c>
      <c r="BH29" s="9" t="str">
        <f aca="false">IF(BB29="","",IF(BG29&lt;BB29,BF29,BD29))</f>
        <v/>
      </c>
      <c r="BI29" s="9" t="str">
        <f aca="false">IF(BB29="","",IF(BG29&lt;BB29,BE29,BF29))</f>
        <v/>
      </c>
      <c r="BJ29" s="9" t="str">
        <f aca="false">IF(BB29="","",(BH29+BI29)/2)</f>
        <v/>
      </c>
      <c r="BK29" s="9" t="str">
        <f aca="false">IF(OR(T29="",P29="",BJ29="",T29&lt;=0,BJ29&lt;=0),"",(1/Inputs!$B$9)*((T29^2/8)*((2*ACOS(1-2*BJ29/T29))-SIN((2*ACOS(1-2*BJ29/T29)))))*((((T29^2/8)*((2*ACOS(1-2*BJ29/T29))-SIN((2*ACOS(1-2*BJ29/T29)))))/((T29/2)*((2*ACOS(1-2*BJ29/T29)))))^(2/3))*SQRT(P29))</f>
        <v/>
      </c>
      <c r="BL29" s="9" t="str">
        <f aca="false">IF(BB29="","",IF(BK29&lt;BB29,BJ29,BH29))</f>
        <v/>
      </c>
      <c r="BM29" s="9" t="str">
        <f aca="false">IF(BB29="","",IF(BK29&lt;BB29,BI29,BJ29))</f>
        <v/>
      </c>
      <c r="BN29" s="9" t="str">
        <f aca="false">IF(BB29="","",(BL29+BM29)/2)</f>
        <v/>
      </c>
      <c r="BO29" s="9" t="str">
        <f aca="false">IF(OR(T29="",P29="",BN29="",T29&lt;=0,BN29&lt;=0),"",(1/Inputs!$B$9)*((T29^2/8)*((2*ACOS(1-2*BN29/T29))-SIN((2*ACOS(1-2*BN29/T29)))))*((((T29^2/8)*((2*ACOS(1-2*BN29/T29))-SIN((2*ACOS(1-2*BN29/T29)))))/((T29/2)*((2*ACOS(1-2*BN29/T29)))))^(2/3))*SQRT(P29))</f>
        <v/>
      </c>
      <c r="BP29" s="9" t="str">
        <f aca="false">IF(BB29="","",IF(BO29&lt;BB29,BN29,BL29))</f>
        <v/>
      </c>
      <c r="BQ29" s="9" t="str">
        <f aca="false">IF(BB29="","",IF(BO29&lt;BB29,BM29,BN29))</f>
        <v/>
      </c>
      <c r="BR29" s="9" t="str">
        <f aca="false">IF(BB29="","",(BP29+BQ29)/2)</f>
        <v/>
      </c>
      <c r="BS29" s="9" t="str">
        <f aca="false">IF(OR(T29="",P29="",BR29="",T29&lt;=0,BR29&lt;=0),"",(1/Inputs!$B$9)*((T29^2/8)*((2*ACOS(1-2*BR29/T29))-SIN((2*ACOS(1-2*BR29/T29)))))*((((T29^2/8)*((2*ACOS(1-2*BR29/T29))-SIN((2*ACOS(1-2*BR29/T29)))))/((T29/2)*((2*ACOS(1-2*BR29/T29)))))^(2/3))*SQRT(P29))</f>
        <v/>
      </c>
      <c r="BT29" s="9" t="str">
        <f aca="false">IF(BB29="","",IF(BS29&lt;BB29,BR29,BP29))</f>
        <v/>
      </c>
      <c r="BU29" s="9" t="str">
        <f aca="false">IF(BB29="","",IF(BS29&lt;BB29,BQ29,BR29))</f>
        <v/>
      </c>
      <c r="BV29" s="9" t="str">
        <f aca="false">IF(BB29="","",(BT29+BU29)/2)</f>
        <v/>
      </c>
      <c r="BW29" s="9" t="str">
        <f aca="false">IF(OR(T29="",P29="",BV29="",T29&lt;=0,BV29&lt;=0),"",(1/Inputs!$B$9)*((T29^2/8)*((2*ACOS(1-2*BV29/T29))-SIN((2*ACOS(1-2*BV29/T29)))))*((((T29^2/8)*((2*ACOS(1-2*BV29/T29))-SIN((2*ACOS(1-2*BV29/T29)))))/((T29/2)*((2*ACOS(1-2*BV29/T29)))))^(2/3))*SQRT(P29))</f>
        <v/>
      </c>
      <c r="BX29" s="9" t="str">
        <f aca="false">IF(BB29="","",IF(BW29&lt;BB29,BV29,BT29))</f>
        <v/>
      </c>
      <c r="BY29" s="9" t="str">
        <f aca="false">IF(BB29="","",IF(BW29&lt;BB29,BU29,BV29))</f>
        <v/>
      </c>
      <c r="BZ29" s="9" t="str">
        <f aca="false">IF(BB29="","",(BX29+BY29)/2)</f>
        <v/>
      </c>
      <c r="CA29" s="9" t="str">
        <f aca="false">IF(OR(T29="",P29="",BZ29="",T29&lt;=0,BZ29&lt;=0),"",(1/Inputs!$B$9)*((T29^2/8)*((2*ACOS(1-2*BZ29/T29))-SIN((2*ACOS(1-2*BZ29/T29)))))*((((T29^2/8)*((2*ACOS(1-2*BZ29/T29))-SIN((2*ACOS(1-2*BZ29/T29)))))/((T29/2)*((2*ACOS(1-2*BZ29/T29)))))^(2/3))*SQRT(P29))</f>
        <v/>
      </c>
      <c r="CB29" s="9" t="str">
        <f aca="false">IF(BB29="","",IF(CA29&lt;BB29,BZ29,BX29))</f>
        <v/>
      </c>
      <c r="CC29" s="9" t="str">
        <f aca="false">IF(BB29="","",IF(CA29&lt;BB29,BY29,BZ29))</f>
        <v/>
      </c>
      <c r="CD29" s="9" t="str">
        <f aca="false">IF(BB29="","",(CB29+CC29)/2)</f>
        <v/>
      </c>
      <c r="CE29" s="9" t="str">
        <f aca="false">IF(OR(T29="",P29="",CD29="",T29&lt;=0,CD29&lt;=0),"",(1/Inputs!$B$9)*((T29^2/8)*((2*ACOS(1-2*CD29/T29))-SIN((2*ACOS(1-2*CD29/T29)))))*((((T29^2/8)*((2*ACOS(1-2*CD29/T29))-SIN((2*ACOS(1-2*CD29/T29)))))/((T29/2)*((2*ACOS(1-2*CD29/T29)))))^(2/3))*SQRT(P29))</f>
        <v/>
      </c>
      <c r="CF29" s="9" t="str">
        <f aca="false">IF(BB29="","",IF(CE29&lt;BB29,CD29,CB29))</f>
        <v/>
      </c>
      <c r="CG29" s="9" t="str">
        <f aca="false">IF(BB29="","",IF(CE29&lt;BB29,CC29,CD29))</f>
        <v/>
      </c>
      <c r="CH29" s="9" t="str">
        <f aca="false">IF(BB29="","",(CF29+CG29)/2)</f>
        <v/>
      </c>
    </row>
    <row r="30" customFormat="false" ht="15" hidden="false" customHeight="false" outlineLevel="0" collapsed="false">
      <c r="A30" s="9"/>
      <c r="B30" s="9"/>
      <c r="C30" s="9"/>
      <c r="D30" s="9"/>
      <c r="E30" s="14"/>
      <c r="F30" s="14"/>
      <c r="G30" s="14" t="n">
        <f aca="false">SUMIFS(CB_plan!$C:$C,CB_plan!$B:$B,$A30)</f>
        <v>0</v>
      </c>
      <c r="H30" s="14" t="n">
        <f aca="false">IF(F30="",G30,F30)</f>
        <v>0</v>
      </c>
      <c r="I30" s="9"/>
      <c r="J30" s="14"/>
      <c r="K30" s="14" t="str">
        <f aca="false">IF(A30="","",Inputs!$B$13/((IF(AV30="",Inputs!$B$18,AV30)+Inputs!$B$14)^Inputs!$B$15))</f>
        <v/>
      </c>
      <c r="L30" s="14" t="str">
        <f aca="false">IF(A30="","",0.000000278*IF(I30="",Inputs!$B$17,I30)*H30*K30)</f>
        <v/>
      </c>
      <c r="M30" s="14" t="str">
        <f aca="false">IF(A30="","",SUMIFS($N$4:$N$203,$D$4:$D$203,$A30))</f>
        <v/>
      </c>
      <c r="N30" s="14" t="str">
        <f aca="false">IF(A30="","",(L30+M30)*Inputs!$B$16)</f>
        <v/>
      </c>
      <c r="O30" s="14"/>
      <c r="P30" s="14" t="str">
        <f aca="false">IF(A30="","",IF(O30="",Inputs!$B$7,O30))</f>
        <v/>
      </c>
      <c r="Q30" s="9" t="str">
        <f aca="false">IF(A30="","",IF(N30/Inputs!$B$10&lt;=AG30,Inputs!$F$5,IF(N30/Inputs!$B$10&gt;AP30,"OVERSIZE",INDEX(Inputs!$F$5:$F$14,MATCH(N30/Inputs!$B$10,AG30:AP30,1)+1))))</f>
        <v/>
      </c>
      <c r="R30" s="9"/>
      <c r="S30" s="9" t="str">
        <f aca="false">IF(A30="","",IF(R30="",Q30,R30))</f>
        <v/>
      </c>
      <c r="T30" s="14" t="str">
        <f aca="false">IF(OR(S30="",S30="OVERSIZE"),"",S30/1000)</f>
        <v/>
      </c>
      <c r="U30" s="14" t="str">
        <f aca="false">IF(T30="","",(1/Inputs!$B$9)*(PI()*T30^2/4)*((T30/4)^(2/3))*SQRT(P30))</f>
        <v/>
      </c>
      <c r="V30" s="14" t="str">
        <f aca="false">IF(OR(U30="",N30=""),"",N30/(U30*Inputs!$B$10))</f>
        <v/>
      </c>
      <c r="W30" s="14" t="str">
        <f aca="false">IF(OR(T30="",N30=""),"",4*N30/(PI()*T30^2))</f>
        <v/>
      </c>
      <c r="X30" s="14"/>
      <c r="Y30" s="14" t="str">
        <f aca="false">IF(A30="","",IF(A30=Inputs!$B$6,Inputs!$B$22,IF(D30="","",IFERROR(INDEX($Z$4:$Z$203,MATCH(D30,$A$4:$A$203,0))+IF(X30="",Inputs!$B$20,X30),""))))</f>
        <v/>
      </c>
      <c r="Z30" s="14" t="str">
        <f aca="false">IF(OR(Y30="",P30="",E30=""),"",Y30+P30*E30)</f>
        <v/>
      </c>
      <c r="AA30" s="14" t="str">
        <f aca="false">IF(C30="","",IFERROR(INDEX(Noeuds_plan!$C$4:$C$200,MATCH(C30,Noeuds_plan!$A$4:$A$200,0)),""))</f>
        <v/>
      </c>
      <c r="AB30" s="14" t="str">
        <f aca="false">IF(B30="","",IFERROR(INDEX(Noeuds_plan!$C$4:$C$200,MATCH(B30,Noeuds_plan!$A$4:$A$200,0)),""))</f>
        <v/>
      </c>
      <c r="AC30" s="14" t="str">
        <f aca="false">IF(OR(AA30="",Y30=""),"",AA30-Y30)</f>
        <v/>
      </c>
      <c r="AD30" s="14" t="str">
        <f aca="false">IF(OR(AB30="",Z30=""),"",AB30-Z30)</f>
        <v/>
      </c>
      <c r="AE30" s="19" t="str">
        <f aca="false">IF(A30="","",IF(OR(V30&gt;1,AND(AY30&lt;&gt;"",AY30&lt;Inputs!$B$11),AND(AY30&lt;&gt;"",AY30&gt;Inputs!$B$12),AC30&lt;Inputs!$B$19,AD30&lt;Inputs!$B$19,P30&lt;Inputs!$B$7,P30&gt;Inputs!$B$8),"CHECK","OK"))</f>
        <v/>
      </c>
      <c r="AF30" s="9"/>
      <c r="AG30" s="9" t="str">
        <f aca="false">IF(A30="","",(1/Inputs!$B$9)*(PI()*(Inputs!$F$5/1000)^2/4)*((Inputs!$F$5/1000/4)^(2/3))*SQRT(P30))</f>
        <v/>
      </c>
      <c r="AH30" s="9" t="str">
        <f aca="false">IF(A30="","",(1/Inputs!$B$9)*(PI()*(Inputs!$F$6/1000)^2/4)*((Inputs!$F$6/1000/4)^(2/3))*SQRT(P30))</f>
        <v/>
      </c>
      <c r="AI30" s="9" t="str">
        <f aca="false">IF(A30="","",(1/Inputs!$B$9)*(PI()*(Inputs!$F$7/1000)^2/4)*((Inputs!$F$7/1000/4)^(2/3))*SQRT(P30))</f>
        <v/>
      </c>
      <c r="AJ30" s="9" t="str">
        <f aca="false">IF(A30="","",(1/Inputs!$B$9)*(PI()*(Inputs!$F$8/1000)^2/4)*((Inputs!$F$8/1000/4)^(2/3))*SQRT(P30))</f>
        <v/>
      </c>
      <c r="AK30" s="9" t="str">
        <f aca="false">IF(A30="","",(1/Inputs!$B$9)*(PI()*(Inputs!$F$9/1000)^2/4)*((Inputs!$F$9/1000/4)^(2/3))*SQRT(P30))</f>
        <v/>
      </c>
      <c r="AL30" s="9" t="str">
        <f aca="false">IF(A30="","",(1/Inputs!$B$9)*(PI()*(Inputs!$F$10/1000)^2/4)*((Inputs!$F$10/1000/4)^(2/3))*SQRT(P30))</f>
        <v/>
      </c>
      <c r="AM30" s="9" t="str">
        <f aca="false">IF(A30="","",(1/Inputs!$B$9)*(PI()*(Inputs!$F$11/1000)^2/4)*((Inputs!$F$11/1000/4)^(2/3))*SQRT(P30))</f>
        <v/>
      </c>
      <c r="AN30" s="9" t="str">
        <f aca="false">IF(A30="","",(1/Inputs!$B$9)*(PI()*(Inputs!$F$12/1000)^2/4)*((Inputs!$F$12/1000/4)^(2/3))*SQRT(P30))</f>
        <v/>
      </c>
      <c r="AO30" s="9" t="str">
        <f aca="false">IF(A30="","",(1/Inputs!$B$9)*(PI()*(Inputs!$F$13/1000)^2/4)*((Inputs!$F$13/1000/4)^(2/3))*SQRT(P30))</f>
        <v/>
      </c>
      <c r="AP30" s="9" t="str">
        <f aca="false">IF(A30="","",(1/Inputs!$B$9)*(PI()*(Inputs!$F$14/1000)^2/4)*((Inputs!$F$14/1000/4)^(2/3))*SQRT(P30))</f>
        <v/>
      </c>
      <c r="AQ30" s="9" t="str">
        <f aca="false">IF(A30="","",COUNTIF($D$4:$D$203,$A30))</f>
        <v/>
      </c>
      <c r="AR30" s="9" t="str">
        <f aca="false">IF(A30="","",IF(AQ30=0,"START","CONTINUOUS"))</f>
        <v/>
      </c>
      <c r="AS30" s="13" t="str">
        <f aca="false">IF(A30="","",IF(J30="",Inputs!$B$18,J30))</f>
        <v/>
      </c>
      <c r="AT30" s="13" t="str">
        <f aca="false">IF(A30="","",IFERROR(maxifs($AV$4:$AV$203,$D$4:$D$203,$A30),""))</f>
        <v/>
      </c>
      <c r="AU30" s="13" t="str">
        <f aca="false">IF(A30="","",IF(OR(E30="",Inputs!$B$23=""),"",E30/(Inputs!$B$23*60)))</f>
        <v/>
      </c>
      <c r="AV30" s="13" t="str">
        <f aca="false">IF(A30="","",IF(AQ30=0,AS30+AU30,IF(AT30="",AS30+AU30,AT30+AU30)))</f>
        <v/>
      </c>
      <c r="AW30" s="13" t="str">
        <f aca="false">IF(A30="","",W30)</f>
        <v/>
      </c>
      <c r="AX30" s="13" t="str">
        <f aca="false">IF(OR(T30="",P30=""),"",(1/Inputs!$B$9)*((T30/4)^(2/3))*SQRT(P30))</f>
        <v/>
      </c>
      <c r="AY30" s="13" t="str">
        <f aca="false">IF(A30="","",IF(AND(AW30="",AX30="",BA30=""),"",IF(OR(UPPER(TRIM(Inputs!$B$24))="MANNING",UPPER(TRIM(Inputs!$B$24))="M"),AX30,IF(OR(UPPER(TRIM(Inputs!$B$24))="PARTIAL",UPPER(TRIM(Inputs!$B$24))="P"),BA30,IF(OR(UPPER(TRIM(Inputs!$B$24))="MAX",UPPER(TRIM(Inputs!$B$24))="X"),MAX(IF(AW30="",0,AW30),IF(AX30="",0,AX30),IF(BA30="",0,BA30)),AW30)))))</f>
        <v/>
      </c>
      <c r="AZ30" s="13" t="str">
        <f aca="false">IF(BB30="","",CH30)</f>
        <v/>
      </c>
      <c r="BA30" s="13" t="str">
        <f aca="false">IF(OR(BB30="",AZ30="",T30="",T30&lt;=0,AZ30&lt;=0),"",BB30/((T30^2/8)*(2*ACOS(1-2*AZ30/T30)-SIN(2*ACOS(1-2*AZ30/T30)))))</f>
        <v/>
      </c>
      <c r="BB30" s="9" t="str">
        <f aca="false">IF(OR(N30="",BC30=""),"",MIN(N30,BC30))</f>
        <v/>
      </c>
      <c r="BC30" s="9" t="str">
        <f aca="false">IF(OR(N30="",T30="",P30=""),"",IF(OR(T30="",P30="",(0.94*T30)="",T30&lt;=0,(0.94*T30)&lt;=0),"",(1/Inputs!$B$9)*((T30^2/8)*((2*ACOS(1-2*(0.94*T30)/T30))-SIN((2*ACOS(1-2*(0.94*T30)/T30)))))*((((T30^2/8)*((2*ACOS(1-2*(0.94*T30)/T30))-SIN((2*ACOS(1-2*(0.94*T30)/T30)))))/((T30/2)*((2*ACOS(1-2*(0.94*T30)/T30)))))^(2/3))*SQRT(P30)))</f>
        <v/>
      </c>
      <c r="BD30" s="9" t="str">
        <f aca="false">IF(BB30="","",0.001*T30)</f>
        <v/>
      </c>
      <c r="BE30" s="9" t="str">
        <f aca="false">IF(BB30="","",0.94*T30)</f>
        <v/>
      </c>
      <c r="BF30" s="9" t="str">
        <f aca="false">IF(BB30="","",(BD30+BE30)/2)</f>
        <v/>
      </c>
      <c r="BG30" s="9" t="str">
        <f aca="false">IF(OR(T30="",P30="",BF30="",T30&lt;=0,BF30&lt;=0),"",(1/Inputs!$B$9)*((T30^2/8)*((2*ACOS(1-2*BF30/T30))-SIN((2*ACOS(1-2*BF30/T30)))))*((((T30^2/8)*((2*ACOS(1-2*BF30/T30))-SIN((2*ACOS(1-2*BF30/T30)))))/((T30/2)*((2*ACOS(1-2*BF30/T30)))))^(2/3))*SQRT(P30))</f>
        <v/>
      </c>
      <c r="BH30" s="9" t="str">
        <f aca="false">IF(BB30="","",IF(BG30&lt;BB30,BF30,BD30))</f>
        <v/>
      </c>
      <c r="BI30" s="9" t="str">
        <f aca="false">IF(BB30="","",IF(BG30&lt;BB30,BE30,BF30))</f>
        <v/>
      </c>
      <c r="BJ30" s="9" t="str">
        <f aca="false">IF(BB30="","",(BH30+BI30)/2)</f>
        <v/>
      </c>
      <c r="BK30" s="9" t="str">
        <f aca="false">IF(OR(T30="",P30="",BJ30="",T30&lt;=0,BJ30&lt;=0),"",(1/Inputs!$B$9)*((T30^2/8)*((2*ACOS(1-2*BJ30/T30))-SIN((2*ACOS(1-2*BJ30/T30)))))*((((T30^2/8)*((2*ACOS(1-2*BJ30/T30))-SIN((2*ACOS(1-2*BJ30/T30)))))/((T30/2)*((2*ACOS(1-2*BJ30/T30)))))^(2/3))*SQRT(P30))</f>
        <v/>
      </c>
      <c r="BL30" s="9" t="str">
        <f aca="false">IF(BB30="","",IF(BK30&lt;BB30,BJ30,BH30))</f>
        <v/>
      </c>
      <c r="BM30" s="9" t="str">
        <f aca="false">IF(BB30="","",IF(BK30&lt;BB30,BI30,BJ30))</f>
        <v/>
      </c>
      <c r="BN30" s="9" t="str">
        <f aca="false">IF(BB30="","",(BL30+BM30)/2)</f>
        <v/>
      </c>
      <c r="BO30" s="9" t="str">
        <f aca="false">IF(OR(T30="",P30="",BN30="",T30&lt;=0,BN30&lt;=0),"",(1/Inputs!$B$9)*((T30^2/8)*((2*ACOS(1-2*BN30/T30))-SIN((2*ACOS(1-2*BN30/T30)))))*((((T30^2/8)*((2*ACOS(1-2*BN30/T30))-SIN((2*ACOS(1-2*BN30/T30)))))/((T30/2)*((2*ACOS(1-2*BN30/T30)))))^(2/3))*SQRT(P30))</f>
        <v/>
      </c>
      <c r="BP30" s="9" t="str">
        <f aca="false">IF(BB30="","",IF(BO30&lt;BB30,BN30,BL30))</f>
        <v/>
      </c>
      <c r="BQ30" s="9" t="str">
        <f aca="false">IF(BB30="","",IF(BO30&lt;BB30,BM30,BN30))</f>
        <v/>
      </c>
      <c r="BR30" s="9" t="str">
        <f aca="false">IF(BB30="","",(BP30+BQ30)/2)</f>
        <v/>
      </c>
      <c r="BS30" s="9" t="str">
        <f aca="false">IF(OR(T30="",P30="",BR30="",T30&lt;=0,BR30&lt;=0),"",(1/Inputs!$B$9)*((T30^2/8)*((2*ACOS(1-2*BR30/T30))-SIN((2*ACOS(1-2*BR30/T30)))))*((((T30^2/8)*((2*ACOS(1-2*BR30/T30))-SIN((2*ACOS(1-2*BR30/T30)))))/((T30/2)*((2*ACOS(1-2*BR30/T30)))))^(2/3))*SQRT(P30))</f>
        <v/>
      </c>
      <c r="BT30" s="9" t="str">
        <f aca="false">IF(BB30="","",IF(BS30&lt;BB30,BR30,BP30))</f>
        <v/>
      </c>
      <c r="BU30" s="9" t="str">
        <f aca="false">IF(BB30="","",IF(BS30&lt;BB30,BQ30,BR30))</f>
        <v/>
      </c>
      <c r="BV30" s="9" t="str">
        <f aca="false">IF(BB30="","",(BT30+BU30)/2)</f>
        <v/>
      </c>
      <c r="BW30" s="9" t="str">
        <f aca="false">IF(OR(T30="",P30="",BV30="",T30&lt;=0,BV30&lt;=0),"",(1/Inputs!$B$9)*((T30^2/8)*((2*ACOS(1-2*BV30/T30))-SIN((2*ACOS(1-2*BV30/T30)))))*((((T30^2/8)*((2*ACOS(1-2*BV30/T30))-SIN((2*ACOS(1-2*BV30/T30)))))/((T30/2)*((2*ACOS(1-2*BV30/T30)))))^(2/3))*SQRT(P30))</f>
        <v/>
      </c>
      <c r="BX30" s="9" t="str">
        <f aca="false">IF(BB30="","",IF(BW30&lt;BB30,BV30,BT30))</f>
        <v/>
      </c>
      <c r="BY30" s="9" t="str">
        <f aca="false">IF(BB30="","",IF(BW30&lt;BB30,BU30,BV30))</f>
        <v/>
      </c>
      <c r="BZ30" s="9" t="str">
        <f aca="false">IF(BB30="","",(BX30+BY30)/2)</f>
        <v/>
      </c>
      <c r="CA30" s="9" t="str">
        <f aca="false">IF(OR(T30="",P30="",BZ30="",T30&lt;=0,BZ30&lt;=0),"",(1/Inputs!$B$9)*((T30^2/8)*((2*ACOS(1-2*BZ30/T30))-SIN((2*ACOS(1-2*BZ30/T30)))))*((((T30^2/8)*((2*ACOS(1-2*BZ30/T30))-SIN((2*ACOS(1-2*BZ30/T30)))))/((T30/2)*((2*ACOS(1-2*BZ30/T30)))))^(2/3))*SQRT(P30))</f>
        <v/>
      </c>
      <c r="CB30" s="9" t="str">
        <f aca="false">IF(BB30="","",IF(CA30&lt;BB30,BZ30,BX30))</f>
        <v/>
      </c>
      <c r="CC30" s="9" t="str">
        <f aca="false">IF(BB30="","",IF(CA30&lt;BB30,BY30,BZ30))</f>
        <v/>
      </c>
      <c r="CD30" s="9" t="str">
        <f aca="false">IF(BB30="","",(CB30+CC30)/2)</f>
        <v/>
      </c>
      <c r="CE30" s="9" t="str">
        <f aca="false">IF(OR(T30="",P30="",CD30="",T30&lt;=0,CD30&lt;=0),"",(1/Inputs!$B$9)*((T30^2/8)*((2*ACOS(1-2*CD30/T30))-SIN((2*ACOS(1-2*CD30/T30)))))*((((T30^2/8)*((2*ACOS(1-2*CD30/T30))-SIN((2*ACOS(1-2*CD30/T30)))))/((T30/2)*((2*ACOS(1-2*CD30/T30)))))^(2/3))*SQRT(P30))</f>
        <v/>
      </c>
      <c r="CF30" s="9" t="str">
        <f aca="false">IF(BB30="","",IF(CE30&lt;BB30,CD30,CB30))</f>
        <v/>
      </c>
      <c r="CG30" s="9" t="str">
        <f aca="false">IF(BB30="","",IF(CE30&lt;BB30,CC30,CD30))</f>
        <v/>
      </c>
      <c r="CH30" s="9" t="str">
        <f aca="false">IF(BB30="","",(CF30+CG30)/2)</f>
        <v/>
      </c>
    </row>
    <row r="31" customFormat="false" ht="15" hidden="false" customHeight="false" outlineLevel="0" collapsed="false">
      <c r="A31" s="9"/>
      <c r="B31" s="9"/>
      <c r="C31" s="9"/>
      <c r="D31" s="9"/>
      <c r="E31" s="14"/>
      <c r="F31" s="14"/>
      <c r="G31" s="14" t="n">
        <f aca="false">SUMIFS(CB_plan!$C:$C,CB_plan!$B:$B,$A31)</f>
        <v>0</v>
      </c>
      <c r="H31" s="14" t="n">
        <f aca="false">IF(F31="",G31,F31)</f>
        <v>0</v>
      </c>
      <c r="I31" s="9"/>
      <c r="J31" s="14"/>
      <c r="K31" s="14" t="str">
        <f aca="false">IF(A31="","",Inputs!$B$13/((IF(AV31="",Inputs!$B$18,AV31)+Inputs!$B$14)^Inputs!$B$15))</f>
        <v/>
      </c>
      <c r="L31" s="14" t="str">
        <f aca="false">IF(A31="","",0.000000278*IF(I31="",Inputs!$B$17,I31)*H31*K31)</f>
        <v/>
      </c>
      <c r="M31" s="14" t="str">
        <f aca="false">IF(A31="","",SUMIFS($N$4:$N$203,$D$4:$D$203,$A31))</f>
        <v/>
      </c>
      <c r="N31" s="14" t="str">
        <f aca="false">IF(A31="","",(L31+M31)*Inputs!$B$16)</f>
        <v/>
      </c>
      <c r="O31" s="14"/>
      <c r="P31" s="14" t="str">
        <f aca="false">IF(A31="","",IF(O31="",Inputs!$B$7,O31))</f>
        <v/>
      </c>
      <c r="Q31" s="9" t="str">
        <f aca="false">IF(A31="","",IF(N31/Inputs!$B$10&lt;=AG31,Inputs!$F$5,IF(N31/Inputs!$B$10&gt;AP31,"OVERSIZE",INDEX(Inputs!$F$5:$F$14,MATCH(N31/Inputs!$B$10,AG31:AP31,1)+1))))</f>
        <v/>
      </c>
      <c r="R31" s="9"/>
      <c r="S31" s="9" t="str">
        <f aca="false">IF(A31="","",IF(R31="",Q31,R31))</f>
        <v/>
      </c>
      <c r="T31" s="14" t="str">
        <f aca="false">IF(OR(S31="",S31="OVERSIZE"),"",S31/1000)</f>
        <v/>
      </c>
      <c r="U31" s="14" t="str">
        <f aca="false">IF(T31="","",(1/Inputs!$B$9)*(PI()*T31^2/4)*((T31/4)^(2/3))*SQRT(P31))</f>
        <v/>
      </c>
      <c r="V31" s="14" t="str">
        <f aca="false">IF(OR(U31="",N31=""),"",N31/(U31*Inputs!$B$10))</f>
        <v/>
      </c>
      <c r="W31" s="14" t="str">
        <f aca="false">IF(OR(T31="",N31=""),"",4*N31/(PI()*T31^2))</f>
        <v/>
      </c>
      <c r="X31" s="14"/>
      <c r="Y31" s="14" t="str">
        <f aca="false">IF(A31="","",IF(A31=Inputs!$B$6,Inputs!$B$22,IF(D31="","",IFERROR(INDEX($Z$4:$Z$203,MATCH(D31,$A$4:$A$203,0))+IF(X31="",Inputs!$B$20,X31),""))))</f>
        <v/>
      </c>
      <c r="Z31" s="14" t="str">
        <f aca="false">IF(OR(Y31="",P31="",E31=""),"",Y31+P31*E31)</f>
        <v/>
      </c>
      <c r="AA31" s="14" t="str">
        <f aca="false">IF(C31="","",IFERROR(INDEX(Noeuds_plan!$C$4:$C$200,MATCH(C31,Noeuds_plan!$A$4:$A$200,0)),""))</f>
        <v/>
      </c>
      <c r="AB31" s="14" t="str">
        <f aca="false">IF(B31="","",IFERROR(INDEX(Noeuds_plan!$C$4:$C$200,MATCH(B31,Noeuds_plan!$A$4:$A$200,0)),""))</f>
        <v/>
      </c>
      <c r="AC31" s="14" t="str">
        <f aca="false">IF(OR(AA31="",Y31=""),"",AA31-Y31)</f>
        <v/>
      </c>
      <c r="AD31" s="14" t="str">
        <f aca="false">IF(OR(AB31="",Z31=""),"",AB31-Z31)</f>
        <v/>
      </c>
      <c r="AE31" s="19" t="str">
        <f aca="false">IF(A31="","",IF(OR(V31&gt;1,AND(AY31&lt;&gt;"",AY31&lt;Inputs!$B$11),AND(AY31&lt;&gt;"",AY31&gt;Inputs!$B$12),AC31&lt;Inputs!$B$19,AD31&lt;Inputs!$B$19,P31&lt;Inputs!$B$7,P31&gt;Inputs!$B$8),"CHECK","OK"))</f>
        <v/>
      </c>
      <c r="AF31" s="9"/>
      <c r="AG31" s="9" t="str">
        <f aca="false">IF(A31="","",(1/Inputs!$B$9)*(PI()*(Inputs!$F$5/1000)^2/4)*((Inputs!$F$5/1000/4)^(2/3))*SQRT(P31))</f>
        <v/>
      </c>
      <c r="AH31" s="9" t="str">
        <f aca="false">IF(A31="","",(1/Inputs!$B$9)*(PI()*(Inputs!$F$6/1000)^2/4)*((Inputs!$F$6/1000/4)^(2/3))*SQRT(P31))</f>
        <v/>
      </c>
      <c r="AI31" s="9" t="str">
        <f aca="false">IF(A31="","",(1/Inputs!$B$9)*(PI()*(Inputs!$F$7/1000)^2/4)*((Inputs!$F$7/1000/4)^(2/3))*SQRT(P31))</f>
        <v/>
      </c>
      <c r="AJ31" s="9" t="str">
        <f aca="false">IF(A31="","",(1/Inputs!$B$9)*(PI()*(Inputs!$F$8/1000)^2/4)*((Inputs!$F$8/1000/4)^(2/3))*SQRT(P31))</f>
        <v/>
      </c>
      <c r="AK31" s="9" t="str">
        <f aca="false">IF(A31="","",(1/Inputs!$B$9)*(PI()*(Inputs!$F$9/1000)^2/4)*((Inputs!$F$9/1000/4)^(2/3))*SQRT(P31))</f>
        <v/>
      </c>
      <c r="AL31" s="9" t="str">
        <f aca="false">IF(A31="","",(1/Inputs!$B$9)*(PI()*(Inputs!$F$10/1000)^2/4)*((Inputs!$F$10/1000/4)^(2/3))*SQRT(P31))</f>
        <v/>
      </c>
      <c r="AM31" s="9" t="str">
        <f aca="false">IF(A31="","",(1/Inputs!$B$9)*(PI()*(Inputs!$F$11/1000)^2/4)*((Inputs!$F$11/1000/4)^(2/3))*SQRT(P31))</f>
        <v/>
      </c>
      <c r="AN31" s="9" t="str">
        <f aca="false">IF(A31="","",(1/Inputs!$B$9)*(PI()*(Inputs!$F$12/1000)^2/4)*((Inputs!$F$12/1000/4)^(2/3))*SQRT(P31))</f>
        <v/>
      </c>
      <c r="AO31" s="9" t="str">
        <f aca="false">IF(A31="","",(1/Inputs!$B$9)*(PI()*(Inputs!$F$13/1000)^2/4)*((Inputs!$F$13/1000/4)^(2/3))*SQRT(P31))</f>
        <v/>
      </c>
      <c r="AP31" s="9" t="str">
        <f aca="false">IF(A31="","",(1/Inputs!$B$9)*(PI()*(Inputs!$F$14/1000)^2/4)*((Inputs!$F$14/1000/4)^(2/3))*SQRT(P31))</f>
        <v/>
      </c>
      <c r="AQ31" s="9" t="str">
        <f aca="false">IF(A31="","",COUNTIF($D$4:$D$203,$A31))</f>
        <v/>
      </c>
      <c r="AR31" s="9" t="str">
        <f aca="false">IF(A31="","",IF(AQ31=0,"START","CONTINUOUS"))</f>
        <v/>
      </c>
      <c r="AS31" s="13" t="str">
        <f aca="false">IF(A31="","",IF(J31="",Inputs!$B$18,J31))</f>
        <v/>
      </c>
      <c r="AT31" s="13" t="str">
        <f aca="false">IF(A31="","",IFERROR(maxifs($AV$4:$AV$203,$D$4:$D$203,$A31),""))</f>
        <v/>
      </c>
      <c r="AU31" s="13" t="str">
        <f aca="false">IF(A31="","",IF(OR(E31="",Inputs!$B$23=""),"",E31/(Inputs!$B$23*60)))</f>
        <v/>
      </c>
      <c r="AV31" s="13" t="str">
        <f aca="false">IF(A31="","",IF(AQ31=0,AS31+AU31,IF(AT31="",AS31+AU31,AT31+AU31)))</f>
        <v/>
      </c>
      <c r="AW31" s="13" t="str">
        <f aca="false">IF(A31="","",W31)</f>
        <v/>
      </c>
      <c r="AX31" s="13" t="str">
        <f aca="false">IF(OR(T31="",P31=""),"",(1/Inputs!$B$9)*((T31/4)^(2/3))*SQRT(P31))</f>
        <v/>
      </c>
      <c r="AY31" s="13" t="str">
        <f aca="false">IF(A31="","",IF(AND(AW31="",AX31="",BA31=""),"",IF(OR(UPPER(TRIM(Inputs!$B$24))="MANNING",UPPER(TRIM(Inputs!$B$24))="M"),AX31,IF(OR(UPPER(TRIM(Inputs!$B$24))="PARTIAL",UPPER(TRIM(Inputs!$B$24))="P"),BA31,IF(OR(UPPER(TRIM(Inputs!$B$24))="MAX",UPPER(TRIM(Inputs!$B$24))="X"),MAX(IF(AW31="",0,AW31),IF(AX31="",0,AX31),IF(BA31="",0,BA31)),AW31)))))</f>
        <v/>
      </c>
      <c r="AZ31" s="13" t="str">
        <f aca="false">IF(BB31="","",CH31)</f>
        <v/>
      </c>
      <c r="BA31" s="13" t="str">
        <f aca="false">IF(OR(BB31="",AZ31="",T31="",T31&lt;=0,AZ31&lt;=0),"",BB31/((T31^2/8)*(2*ACOS(1-2*AZ31/T31)-SIN(2*ACOS(1-2*AZ31/T31)))))</f>
        <v/>
      </c>
      <c r="BB31" s="9" t="str">
        <f aca="false">IF(OR(N31="",BC31=""),"",MIN(N31,BC31))</f>
        <v/>
      </c>
      <c r="BC31" s="9" t="str">
        <f aca="false">IF(OR(N31="",T31="",P31=""),"",IF(OR(T31="",P31="",(0.94*T31)="",T31&lt;=0,(0.94*T31)&lt;=0),"",(1/Inputs!$B$9)*((T31^2/8)*((2*ACOS(1-2*(0.94*T31)/T31))-SIN((2*ACOS(1-2*(0.94*T31)/T31)))))*((((T31^2/8)*((2*ACOS(1-2*(0.94*T31)/T31))-SIN((2*ACOS(1-2*(0.94*T31)/T31)))))/((T31/2)*((2*ACOS(1-2*(0.94*T31)/T31)))))^(2/3))*SQRT(P31)))</f>
        <v/>
      </c>
      <c r="BD31" s="9" t="str">
        <f aca="false">IF(BB31="","",0.001*T31)</f>
        <v/>
      </c>
      <c r="BE31" s="9" t="str">
        <f aca="false">IF(BB31="","",0.94*T31)</f>
        <v/>
      </c>
      <c r="BF31" s="9" t="str">
        <f aca="false">IF(BB31="","",(BD31+BE31)/2)</f>
        <v/>
      </c>
      <c r="BG31" s="9" t="str">
        <f aca="false">IF(OR(T31="",P31="",BF31="",T31&lt;=0,BF31&lt;=0),"",(1/Inputs!$B$9)*((T31^2/8)*((2*ACOS(1-2*BF31/T31))-SIN((2*ACOS(1-2*BF31/T31)))))*((((T31^2/8)*((2*ACOS(1-2*BF31/T31))-SIN((2*ACOS(1-2*BF31/T31)))))/((T31/2)*((2*ACOS(1-2*BF31/T31)))))^(2/3))*SQRT(P31))</f>
        <v/>
      </c>
      <c r="BH31" s="9" t="str">
        <f aca="false">IF(BB31="","",IF(BG31&lt;BB31,BF31,BD31))</f>
        <v/>
      </c>
      <c r="BI31" s="9" t="str">
        <f aca="false">IF(BB31="","",IF(BG31&lt;BB31,BE31,BF31))</f>
        <v/>
      </c>
      <c r="BJ31" s="9" t="str">
        <f aca="false">IF(BB31="","",(BH31+BI31)/2)</f>
        <v/>
      </c>
      <c r="BK31" s="9" t="str">
        <f aca="false">IF(OR(T31="",P31="",BJ31="",T31&lt;=0,BJ31&lt;=0),"",(1/Inputs!$B$9)*((T31^2/8)*((2*ACOS(1-2*BJ31/T31))-SIN((2*ACOS(1-2*BJ31/T31)))))*((((T31^2/8)*((2*ACOS(1-2*BJ31/T31))-SIN((2*ACOS(1-2*BJ31/T31)))))/((T31/2)*((2*ACOS(1-2*BJ31/T31)))))^(2/3))*SQRT(P31))</f>
        <v/>
      </c>
      <c r="BL31" s="9" t="str">
        <f aca="false">IF(BB31="","",IF(BK31&lt;BB31,BJ31,BH31))</f>
        <v/>
      </c>
      <c r="BM31" s="9" t="str">
        <f aca="false">IF(BB31="","",IF(BK31&lt;BB31,BI31,BJ31))</f>
        <v/>
      </c>
      <c r="BN31" s="9" t="str">
        <f aca="false">IF(BB31="","",(BL31+BM31)/2)</f>
        <v/>
      </c>
      <c r="BO31" s="9" t="str">
        <f aca="false">IF(OR(T31="",P31="",BN31="",T31&lt;=0,BN31&lt;=0),"",(1/Inputs!$B$9)*((T31^2/8)*((2*ACOS(1-2*BN31/T31))-SIN((2*ACOS(1-2*BN31/T31)))))*((((T31^2/8)*((2*ACOS(1-2*BN31/T31))-SIN((2*ACOS(1-2*BN31/T31)))))/((T31/2)*((2*ACOS(1-2*BN31/T31)))))^(2/3))*SQRT(P31))</f>
        <v/>
      </c>
      <c r="BP31" s="9" t="str">
        <f aca="false">IF(BB31="","",IF(BO31&lt;BB31,BN31,BL31))</f>
        <v/>
      </c>
      <c r="BQ31" s="9" t="str">
        <f aca="false">IF(BB31="","",IF(BO31&lt;BB31,BM31,BN31))</f>
        <v/>
      </c>
      <c r="BR31" s="9" t="str">
        <f aca="false">IF(BB31="","",(BP31+BQ31)/2)</f>
        <v/>
      </c>
      <c r="BS31" s="9" t="str">
        <f aca="false">IF(OR(T31="",P31="",BR31="",T31&lt;=0,BR31&lt;=0),"",(1/Inputs!$B$9)*((T31^2/8)*((2*ACOS(1-2*BR31/T31))-SIN((2*ACOS(1-2*BR31/T31)))))*((((T31^2/8)*((2*ACOS(1-2*BR31/T31))-SIN((2*ACOS(1-2*BR31/T31)))))/((T31/2)*((2*ACOS(1-2*BR31/T31)))))^(2/3))*SQRT(P31))</f>
        <v/>
      </c>
      <c r="BT31" s="9" t="str">
        <f aca="false">IF(BB31="","",IF(BS31&lt;BB31,BR31,BP31))</f>
        <v/>
      </c>
      <c r="BU31" s="9" t="str">
        <f aca="false">IF(BB31="","",IF(BS31&lt;BB31,BQ31,BR31))</f>
        <v/>
      </c>
      <c r="BV31" s="9" t="str">
        <f aca="false">IF(BB31="","",(BT31+BU31)/2)</f>
        <v/>
      </c>
      <c r="BW31" s="9" t="str">
        <f aca="false">IF(OR(T31="",P31="",BV31="",T31&lt;=0,BV31&lt;=0),"",(1/Inputs!$B$9)*((T31^2/8)*((2*ACOS(1-2*BV31/T31))-SIN((2*ACOS(1-2*BV31/T31)))))*((((T31^2/8)*((2*ACOS(1-2*BV31/T31))-SIN((2*ACOS(1-2*BV31/T31)))))/((T31/2)*((2*ACOS(1-2*BV31/T31)))))^(2/3))*SQRT(P31))</f>
        <v/>
      </c>
      <c r="BX31" s="9" t="str">
        <f aca="false">IF(BB31="","",IF(BW31&lt;BB31,BV31,BT31))</f>
        <v/>
      </c>
      <c r="BY31" s="9" t="str">
        <f aca="false">IF(BB31="","",IF(BW31&lt;BB31,BU31,BV31))</f>
        <v/>
      </c>
      <c r="BZ31" s="9" t="str">
        <f aca="false">IF(BB31="","",(BX31+BY31)/2)</f>
        <v/>
      </c>
      <c r="CA31" s="9" t="str">
        <f aca="false">IF(OR(T31="",P31="",BZ31="",T31&lt;=0,BZ31&lt;=0),"",(1/Inputs!$B$9)*((T31^2/8)*((2*ACOS(1-2*BZ31/T31))-SIN((2*ACOS(1-2*BZ31/T31)))))*((((T31^2/8)*((2*ACOS(1-2*BZ31/T31))-SIN((2*ACOS(1-2*BZ31/T31)))))/((T31/2)*((2*ACOS(1-2*BZ31/T31)))))^(2/3))*SQRT(P31))</f>
        <v/>
      </c>
      <c r="CB31" s="9" t="str">
        <f aca="false">IF(BB31="","",IF(CA31&lt;BB31,BZ31,BX31))</f>
        <v/>
      </c>
      <c r="CC31" s="9" t="str">
        <f aca="false">IF(BB31="","",IF(CA31&lt;BB31,BY31,BZ31))</f>
        <v/>
      </c>
      <c r="CD31" s="9" t="str">
        <f aca="false">IF(BB31="","",(CB31+CC31)/2)</f>
        <v/>
      </c>
      <c r="CE31" s="9" t="str">
        <f aca="false">IF(OR(T31="",P31="",CD31="",T31&lt;=0,CD31&lt;=0),"",(1/Inputs!$B$9)*((T31^2/8)*((2*ACOS(1-2*CD31/T31))-SIN((2*ACOS(1-2*CD31/T31)))))*((((T31^2/8)*((2*ACOS(1-2*CD31/T31))-SIN((2*ACOS(1-2*CD31/T31)))))/((T31/2)*((2*ACOS(1-2*CD31/T31)))))^(2/3))*SQRT(P31))</f>
        <v/>
      </c>
      <c r="CF31" s="9" t="str">
        <f aca="false">IF(BB31="","",IF(CE31&lt;BB31,CD31,CB31))</f>
        <v/>
      </c>
      <c r="CG31" s="9" t="str">
        <f aca="false">IF(BB31="","",IF(CE31&lt;BB31,CC31,CD31))</f>
        <v/>
      </c>
      <c r="CH31" s="9" t="str">
        <f aca="false">IF(BB31="","",(CF31+CG31)/2)</f>
        <v/>
      </c>
    </row>
    <row r="32" customFormat="false" ht="15" hidden="false" customHeight="false" outlineLevel="0" collapsed="false">
      <c r="A32" s="9"/>
      <c r="B32" s="9"/>
      <c r="C32" s="9"/>
      <c r="D32" s="9"/>
      <c r="E32" s="14"/>
      <c r="F32" s="14"/>
      <c r="G32" s="14" t="n">
        <f aca="false">SUMIFS(CB_plan!$C:$C,CB_plan!$B:$B,$A32)</f>
        <v>0</v>
      </c>
      <c r="H32" s="14" t="n">
        <f aca="false">IF(F32="",G32,F32)</f>
        <v>0</v>
      </c>
      <c r="I32" s="9"/>
      <c r="J32" s="14"/>
      <c r="K32" s="14" t="str">
        <f aca="false">IF(A32="","",Inputs!$B$13/((IF(AV32="",Inputs!$B$18,AV32)+Inputs!$B$14)^Inputs!$B$15))</f>
        <v/>
      </c>
      <c r="L32" s="14" t="str">
        <f aca="false">IF(A32="","",0.000000278*IF(I32="",Inputs!$B$17,I32)*H32*K32)</f>
        <v/>
      </c>
      <c r="M32" s="14" t="str">
        <f aca="false">IF(A32="","",SUMIFS($N$4:$N$203,$D$4:$D$203,$A32))</f>
        <v/>
      </c>
      <c r="N32" s="14" t="str">
        <f aca="false">IF(A32="","",(L32+M32)*Inputs!$B$16)</f>
        <v/>
      </c>
      <c r="O32" s="14"/>
      <c r="P32" s="14" t="str">
        <f aca="false">IF(A32="","",IF(O32="",Inputs!$B$7,O32))</f>
        <v/>
      </c>
      <c r="Q32" s="9" t="str">
        <f aca="false">IF(A32="","",IF(N32/Inputs!$B$10&lt;=AG32,Inputs!$F$5,IF(N32/Inputs!$B$10&gt;AP32,"OVERSIZE",INDEX(Inputs!$F$5:$F$14,MATCH(N32/Inputs!$B$10,AG32:AP32,1)+1))))</f>
        <v/>
      </c>
      <c r="R32" s="9"/>
      <c r="S32" s="9" t="str">
        <f aca="false">IF(A32="","",IF(R32="",Q32,R32))</f>
        <v/>
      </c>
      <c r="T32" s="14" t="str">
        <f aca="false">IF(OR(S32="",S32="OVERSIZE"),"",S32/1000)</f>
        <v/>
      </c>
      <c r="U32" s="14" t="str">
        <f aca="false">IF(T32="","",(1/Inputs!$B$9)*(PI()*T32^2/4)*((T32/4)^(2/3))*SQRT(P32))</f>
        <v/>
      </c>
      <c r="V32" s="14" t="str">
        <f aca="false">IF(OR(U32="",N32=""),"",N32/(U32*Inputs!$B$10))</f>
        <v/>
      </c>
      <c r="W32" s="14" t="str">
        <f aca="false">IF(OR(T32="",N32=""),"",4*N32/(PI()*T32^2))</f>
        <v/>
      </c>
      <c r="X32" s="14"/>
      <c r="Y32" s="14" t="str">
        <f aca="false">IF(A32="","",IF(A32=Inputs!$B$6,Inputs!$B$22,IF(D32="","",IFERROR(INDEX($Z$4:$Z$203,MATCH(D32,$A$4:$A$203,0))+IF(X32="",Inputs!$B$20,X32),""))))</f>
        <v/>
      </c>
      <c r="Z32" s="14" t="str">
        <f aca="false">IF(OR(Y32="",P32="",E32=""),"",Y32+P32*E32)</f>
        <v/>
      </c>
      <c r="AA32" s="14" t="str">
        <f aca="false">IF(C32="","",IFERROR(INDEX(Noeuds_plan!$C$4:$C$200,MATCH(C32,Noeuds_plan!$A$4:$A$200,0)),""))</f>
        <v/>
      </c>
      <c r="AB32" s="14" t="str">
        <f aca="false">IF(B32="","",IFERROR(INDEX(Noeuds_plan!$C$4:$C$200,MATCH(B32,Noeuds_plan!$A$4:$A$200,0)),""))</f>
        <v/>
      </c>
      <c r="AC32" s="14" t="str">
        <f aca="false">IF(OR(AA32="",Y32=""),"",AA32-Y32)</f>
        <v/>
      </c>
      <c r="AD32" s="14" t="str">
        <f aca="false">IF(OR(AB32="",Z32=""),"",AB32-Z32)</f>
        <v/>
      </c>
      <c r="AE32" s="19" t="str">
        <f aca="false">IF(A32="","",IF(OR(V32&gt;1,AND(AY32&lt;&gt;"",AY32&lt;Inputs!$B$11),AND(AY32&lt;&gt;"",AY32&gt;Inputs!$B$12),AC32&lt;Inputs!$B$19,AD32&lt;Inputs!$B$19,P32&lt;Inputs!$B$7,P32&gt;Inputs!$B$8),"CHECK","OK"))</f>
        <v/>
      </c>
      <c r="AF32" s="9"/>
      <c r="AG32" s="9" t="str">
        <f aca="false">IF(A32="","",(1/Inputs!$B$9)*(PI()*(Inputs!$F$5/1000)^2/4)*((Inputs!$F$5/1000/4)^(2/3))*SQRT(P32))</f>
        <v/>
      </c>
      <c r="AH32" s="9" t="str">
        <f aca="false">IF(A32="","",(1/Inputs!$B$9)*(PI()*(Inputs!$F$6/1000)^2/4)*((Inputs!$F$6/1000/4)^(2/3))*SQRT(P32))</f>
        <v/>
      </c>
      <c r="AI32" s="9" t="str">
        <f aca="false">IF(A32="","",(1/Inputs!$B$9)*(PI()*(Inputs!$F$7/1000)^2/4)*((Inputs!$F$7/1000/4)^(2/3))*SQRT(P32))</f>
        <v/>
      </c>
      <c r="AJ32" s="9" t="str">
        <f aca="false">IF(A32="","",(1/Inputs!$B$9)*(PI()*(Inputs!$F$8/1000)^2/4)*((Inputs!$F$8/1000/4)^(2/3))*SQRT(P32))</f>
        <v/>
      </c>
      <c r="AK32" s="9" t="str">
        <f aca="false">IF(A32="","",(1/Inputs!$B$9)*(PI()*(Inputs!$F$9/1000)^2/4)*((Inputs!$F$9/1000/4)^(2/3))*SQRT(P32))</f>
        <v/>
      </c>
      <c r="AL32" s="9" t="str">
        <f aca="false">IF(A32="","",(1/Inputs!$B$9)*(PI()*(Inputs!$F$10/1000)^2/4)*((Inputs!$F$10/1000/4)^(2/3))*SQRT(P32))</f>
        <v/>
      </c>
      <c r="AM32" s="9" t="str">
        <f aca="false">IF(A32="","",(1/Inputs!$B$9)*(PI()*(Inputs!$F$11/1000)^2/4)*((Inputs!$F$11/1000/4)^(2/3))*SQRT(P32))</f>
        <v/>
      </c>
      <c r="AN32" s="9" t="str">
        <f aca="false">IF(A32="","",(1/Inputs!$B$9)*(PI()*(Inputs!$F$12/1000)^2/4)*((Inputs!$F$12/1000/4)^(2/3))*SQRT(P32))</f>
        <v/>
      </c>
      <c r="AO32" s="9" t="str">
        <f aca="false">IF(A32="","",(1/Inputs!$B$9)*(PI()*(Inputs!$F$13/1000)^2/4)*((Inputs!$F$13/1000/4)^(2/3))*SQRT(P32))</f>
        <v/>
      </c>
      <c r="AP32" s="9" t="str">
        <f aca="false">IF(A32="","",(1/Inputs!$B$9)*(PI()*(Inputs!$F$14/1000)^2/4)*((Inputs!$F$14/1000/4)^(2/3))*SQRT(P32))</f>
        <v/>
      </c>
      <c r="AQ32" s="9" t="str">
        <f aca="false">IF(A32="","",COUNTIF($D$4:$D$203,$A32))</f>
        <v/>
      </c>
      <c r="AR32" s="9" t="str">
        <f aca="false">IF(A32="","",IF(AQ32=0,"START","CONTINUOUS"))</f>
        <v/>
      </c>
      <c r="AS32" s="13" t="str">
        <f aca="false">IF(A32="","",IF(J32="",Inputs!$B$18,J32))</f>
        <v/>
      </c>
      <c r="AT32" s="13" t="str">
        <f aca="false">IF(A32="","",IFERROR(maxifs($AV$4:$AV$203,$D$4:$D$203,$A32),""))</f>
        <v/>
      </c>
      <c r="AU32" s="13" t="str">
        <f aca="false">IF(A32="","",IF(OR(E32="",Inputs!$B$23=""),"",E32/(Inputs!$B$23*60)))</f>
        <v/>
      </c>
      <c r="AV32" s="13" t="str">
        <f aca="false">IF(A32="","",IF(AQ32=0,AS32+AU32,IF(AT32="",AS32+AU32,AT32+AU32)))</f>
        <v/>
      </c>
      <c r="AW32" s="13" t="str">
        <f aca="false">IF(A32="","",W32)</f>
        <v/>
      </c>
      <c r="AX32" s="13" t="str">
        <f aca="false">IF(OR(T32="",P32=""),"",(1/Inputs!$B$9)*((T32/4)^(2/3))*SQRT(P32))</f>
        <v/>
      </c>
      <c r="AY32" s="13" t="str">
        <f aca="false">IF(A32="","",IF(AND(AW32="",AX32="",BA32=""),"",IF(OR(UPPER(TRIM(Inputs!$B$24))="MANNING",UPPER(TRIM(Inputs!$B$24))="M"),AX32,IF(OR(UPPER(TRIM(Inputs!$B$24))="PARTIAL",UPPER(TRIM(Inputs!$B$24))="P"),BA32,IF(OR(UPPER(TRIM(Inputs!$B$24))="MAX",UPPER(TRIM(Inputs!$B$24))="X"),MAX(IF(AW32="",0,AW32),IF(AX32="",0,AX32),IF(BA32="",0,BA32)),AW32)))))</f>
        <v/>
      </c>
      <c r="AZ32" s="13" t="str">
        <f aca="false">IF(BB32="","",CH32)</f>
        <v/>
      </c>
      <c r="BA32" s="13" t="str">
        <f aca="false">IF(OR(BB32="",AZ32="",T32="",T32&lt;=0,AZ32&lt;=0),"",BB32/((T32^2/8)*(2*ACOS(1-2*AZ32/T32)-SIN(2*ACOS(1-2*AZ32/T32)))))</f>
        <v/>
      </c>
      <c r="BB32" s="9" t="str">
        <f aca="false">IF(OR(N32="",BC32=""),"",MIN(N32,BC32))</f>
        <v/>
      </c>
      <c r="BC32" s="9" t="str">
        <f aca="false">IF(OR(N32="",T32="",P32=""),"",IF(OR(T32="",P32="",(0.94*T32)="",T32&lt;=0,(0.94*T32)&lt;=0),"",(1/Inputs!$B$9)*((T32^2/8)*((2*ACOS(1-2*(0.94*T32)/T32))-SIN((2*ACOS(1-2*(0.94*T32)/T32)))))*((((T32^2/8)*((2*ACOS(1-2*(0.94*T32)/T32))-SIN((2*ACOS(1-2*(0.94*T32)/T32)))))/((T32/2)*((2*ACOS(1-2*(0.94*T32)/T32)))))^(2/3))*SQRT(P32)))</f>
        <v/>
      </c>
      <c r="BD32" s="9" t="str">
        <f aca="false">IF(BB32="","",0.001*T32)</f>
        <v/>
      </c>
      <c r="BE32" s="9" t="str">
        <f aca="false">IF(BB32="","",0.94*T32)</f>
        <v/>
      </c>
      <c r="BF32" s="9" t="str">
        <f aca="false">IF(BB32="","",(BD32+BE32)/2)</f>
        <v/>
      </c>
      <c r="BG32" s="9" t="str">
        <f aca="false">IF(OR(T32="",P32="",BF32="",T32&lt;=0,BF32&lt;=0),"",(1/Inputs!$B$9)*((T32^2/8)*((2*ACOS(1-2*BF32/T32))-SIN((2*ACOS(1-2*BF32/T32)))))*((((T32^2/8)*((2*ACOS(1-2*BF32/T32))-SIN((2*ACOS(1-2*BF32/T32)))))/((T32/2)*((2*ACOS(1-2*BF32/T32)))))^(2/3))*SQRT(P32))</f>
        <v/>
      </c>
      <c r="BH32" s="9" t="str">
        <f aca="false">IF(BB32="","",IF(BG32&lt;BB32,BF32,BD32))</f>
        <v/>
      </c>
      <c r="BI32" s="9" t="str">
        <f aca="false">IF(BB32="","",IF(BG32&lt;BB32,BE32,BF32))</f>
        <v/>
      </c>
      <c r="BJ32" s="9" t="str">
        <f aca="false">IF(BB32="","",(BH32+BI32)/2)</f>
        <v/>
      </c>
      <c r="BK32" s="9" t="str">
        <f aca="false">IF(OR(T32="",P32="",BJ32="",T32&lt;=0,BJ32&lt;=0),"",(1/Inputs!$B$9)*((T32^2/8)*((2*ACOS(1-2*BJ32/T32))-SIN((2*ACOS(1-2*BJ32/T32)))))*((((T32^2/8)*((2*ACOS(1-2*BJ32/T32))-SIN((2*ACOS(1-2*BJ32/T32)))))/((T32/2)*((2*ACOS(1-2*BJ32/T32)))))^(2/3))*SQRT(P32))</f>
        <v/>
      </c>
      <c r="BL32" s="9" t="str">
        <f aca="false">IF(BB32="","",IF(BK32&lt;BB32,BJ32,BH32))</f>
        <v/>
      </c>
      <c r="BM32" s="9" t="str">
        <f aca="false">IF(BB32="","",IF(BK32&lt;BB32,BI32,BJ32))</f>
        <v/>
      </c>
      <c r="BN32" s="9" t="str">
        <f aca="false">IF(BB32="","",(BL32+BM32)/2)</f>
        <v/>
      </c>
      <c r="BO32" s="9" t="str">
        <f aca="false">IF(OR(T32="",P32="",BN32="",T32&lt;=0,BN32&lt;=0),"",(1/Inputs!$B$9)*((T32^2/8)*((2*ACOS(1-2*BN32/T32))-SIN((2*ACOS(1-2*BN32/T32)))))*((((T32^2/8)*((2*ACOS(1-2*BN32/T32))-SIN((2*ACOS(1-2*BN32/T32)))))/((T32/2)*((2*ACOS(1-2*BN32/T32)))))^(2/3))*SQRT(P32))</f>
        <v/>
      </c>
      <c r="BP32" s="9" t="str">
        <f aca="false">IF(BB32="","",IF(BO32&lt;BB32,BN32,BL32))</f>
        <v/>
      </c>
      <c r="BQ32" s="9" t="str">
        <f aca="false">IF(BB32="","",IF(BO32&lt;BB32,BM32,BN32))</f>
        <v/>
      </c>
      <c r="BR32" s="9" t="str">
        <f aca="false">IF(BB32="","",(BP32+BQ32)/2)</f>
        <v/>
      </c>
      <c r="BS32" s="9" t="str">
        <f aca="false">IF(OR(T32="",P32="",BR32="",T32&lt;=0,BR32&lt;=0),"",(1/Inputs!$B$9)*((T32^2/8)*((2*ACOS(1-2*BR32/T32))-SIN((2*ACOS(1-2*BR32/T32)))))*((((T32^2/8)*((2*ACOS(1-2*BR32/T32))-SIN((2*ACOS(1-2*BR32/T32)))))/((T32/2)*((2*ACOS(1-2*BR32/T32)))))^(2/3))*SQRT(P32))</f>
        <v/>
      </c>
      <c r="BT32" s="9" t="str">
        <f aca="false">IF(BB32="","",IF(BS32&lt;BB32,BR32,BP32))</f>
        <v/>
      </c>
      <c r="BU32" s="9" t="str">
        <f aca="false">IF(BB32="","",IF(BS32&lt;BB32,BQ32,BR32))</f>
        <v/>
      </c>
      <c r="BV32" s="9" t="str">
        <f aca="false">IF(BB32="","",(BT32+BU32)/2)</f>
        <v/>
      </c>
      <c r="BW32" s="9" t="str">
        <f aca="false">IF(OR(T32="",P32="",BV32="",T32&lt;=0,BV32&lt;=0),"",(1/Inputs!$B$9)*((T32^2/8)*((2*ACOS(1-2*BV32/T32))-SIN((2*ACOS(1-2*BV32/T32)))))*((((T32^2/8)*((2*ACOS(1-2*BV32/T32))-SIN((2*ACOS(1-2*BV32/T32)))))/((T32/2)*((2*ACOS(1-2*BV32/T32)))))^(2/3))*SQRT(P32))</f>
        <v/>
      </c>
      <c r="BX32" s="9" t="str">
        <f aca="false">IF(BB32="","",IF(BW32&lt;BB32,BV32,BT32))</f>
        <v/>
      </c>
      <c r="BY32" s="9" t="str">
        <f aca="false">IF(BB32="","",IF(BW32&lt;BB32,BU32,BV32))</f>
        <v/>
      </c>
      <c r="BZ32" s="9" t="str">
        <f aca="false">IF(BB32="","",(BX32+BY32)/2)</f>
        <v/>
      </c>
      <c r="CA32" s="9" t="str">
        <f aca="false">IF(OR(T32="",P32="",BZ32="",T32&lt;=0,BZ32&lt;=0),"",(1/Inputs!$B$9)*((T32^2/8)*((2*ACOS(1-2*BZ32/T32))-SIN((2*ACOS(1-2*BZ32/T32)))))*((((T32^2/8)*((2*ACOS(1-2*BZ32/T32))-SIN((2*ACOS(1-2*BZ32/T32)))))/((T32/2)*((2*ACOS(1-2*BZ32/T32)))))^(2/3))*SQRT(P32))</f>
        <v/>
      </c>
      <c r="CB32" s="9" t="str">
        <f aca="false">IF(BB32="","",IF(CA32&lt;BB32,BZ32,BX32))</f>
        <v/>
      </c>
      <c r="CC32" s="9" t="str">
        <f aca="false">IF(BB32="","",IF(CA32&lt;BB32,BY32,BZ32))</f>
        <v/>
      </c>
      <c r="CD32" s="9" t="str">
        <f aca="false">IF(BB32="","",(CB32+CC32)/2)</f>
        <v/>
      </c>
      <c r="CE32" s="9" t="str">
        <f aca="false">IF(OR(T32="",P32="",CD32="",T32&lt;=0,CD32&lt;=0),"",(1/Inputs!$B$9)*((T32^2/8)*((2*ACOS(1-2*CD32/T32))-SIN((2*ACOS(1-2*CD32/T32)))))*((((T32^2/8)*((2*ACOS(1-2*CD32/T32))-SIN((2*ACOS(1-2*CD32/T32)))))/((T32/2)*((2*ACOS(1-2*CD32/T32)))))^(2/3))*SQRT(P32))</f>
        <v/>
      </c>
      <c r="CF32" s="9" t="str">
        <f aca="false">IF(BB32="","",IF(CE32&lt;BB32,CD32,CB32))</f>
        <v/>
      </c>
      <c r="CG32" s="9" t="str">
        <f aca="false">IF(BB32="","",IF(CE32&lt;BB32,CC32,CD32))</f>
        <v/>
      </c>
      <c r="CH32" s="9" t="str">
        <f aca="false">IF(BB32="","",(CF32+CG32)/2)</f>
        <v/>
      </c>
    </row>
    <row r="33" customFormat="false" ht="15" hidden="false" customHeight="false" outlineLevel="0" collapsed="false">
      <c r="A33" s="9"/>
      <c r="B33" s="9"/>
      <c r="C33" s="9"/>
      <c r="D33" s="9"/>
      <c r="E33" s="14"/>
      <c r="F33" s="14"/>
      <c r="G33" s="14" t="n">
        <f aca="false">SUMIFS(CB_plan!$C:$C,CB_plan!$B:$B,$A33)</f>
        <v>0</v>
      </c>
      <c r="H33" s="14" t="n">
        <f aca="false">IF(F33="",G33,F33)</f>
        <v>0</v>
      </c>
      <c r="I33" s="9"/>
      <c r="J33" s="14"/>
      <c r="K33" s="14" t="str">
        <f aca="false">IF(A33="","",Inputs!$B$13/((IF(AV33="",Inputs!$B$18,AV33)+Inputs!$B$14)^Inputs!$B$15))</f>
        <v/>
      </c>
      <c r="L33" s="14" t="str">
        <f aca="false">IF(A33="","",0.000000278*IF(I33="",Inputs!$B$17,I33)*H33*K33)</f>
        <v/>
      </c>
      <c r="M33" s="14" t="str">
        <f aca="false">IF(A33="","",SUMIFS($N$4:$N$203,$D$4:$D$203,$A33))</f>
        <v/>
      </c>
      <c r="N33" s="14" t="str">
        <f aca="false">IF(A33="","",(L33+M33)*Inputs!$B$16)</f>
        <v/>
      </c>
      <c r="O33" s="14"/>
      <c r="P33" s="14" t="str">
        <f aca="false">IF(A33="","",IF(O33="",Inputs!$B$7,O33))</f>
        <v/>
      </c>
      <c r="Q33" s="9" t="str">
        <f aca="false">IF(A33="","",IF(N33/Inputs!$B$10&lt;=AG33,Inputs!$F$5,IF(N33/Inputs!$B$10&gt;AP33,"OVERSIZE",INDEX(Inputs!$F$5:$F$14,MATCH(N33/Inputs!$B$10,AG33:AP33,1)+1))))</f>
        <v/>
      </c>
      <c r="R33" s="9"/>
      <c r="S33" s="9" t="str">
        <f aca="false">IF(A33="","",IF(R33="",Q33,R33))</f>
        <v/>
      </c>
      <c r="T33" s="14" t="str">
        <f aca="false">IF(OR(S33="",S33="OVERSIZE"),"",S33/1000)</f>
        <v/>
      </c>
      <c r="U33" s="14" t="str">
        <f aca="false">IF(T33="","",(1/Inputs!$B$9)*(PI()*T33^2/4)*((T33/4)^(2/3))*SQRT(P33))</f>
        <v/>
      </c>
      <c r="V33" s="14" t="str">
        <f aca="false">IF(OR(U33="",N33=""),"",N33/(U33*Inputs!$B$10))</f>
        <v/>
      </c>
      <c r="W33" s="14" t="str">
        <f aca="false">IF(OR(T33="",N33=""),"",4*N33/(PI()*T33^2))</f>
        <v/>
      </c>
      <c r="X33" s="14"/>
      <c r="Y33" s="14" t="str">
        <f aca="false">IF(A33="","",IF(A33=Inputs!$B$6,Inputs!$B$22,IF(D33="","",IFERROR(INDEX($Z$4:$Z$203,MATCH(D33,$A$4:$A$203,0))+IF(X33="",Inputs!$B$20,X33),""))))</f>
        <v/>
      </c>
      <c r="Z33" s="14" t="str">
        <f aca="false">IF(OR(Y33="",P33="",E33=""),"",Y33+P33*E33)</f>
        <v/>
      </c>
      <c r="AA33" s="14" t="str">
        <f aca="false">IF(C33="","",IFERROR(INDEX(Noeuds_plan!$C$4:$C$200,MATCH(C33,Noeuds_plan!$A$4:$A$200,0)),""))</f>
        <v/>
      </c>
      <c r="AB33" s="14" t="str">
        <f aca="false">IF(B33="","",IFERROR(INDEX(Noeuds_plan!$C$4:$C$200,MATCH(B33,Noeuds_plan!$A$4:$A$200,0)),""))</f>
        <v/>
      </c>
      <c r="AC33" s="14" t="str">
        <f aca="false">IF(OR(AA33="",Y33=""),"",AA33-Y33)</f>
        <v/>
      </c>
      <c r="AD33" s="14" t="str">
        <f aca="false">IF(OR(AB33="",Z33=""),"",AB33-Z33)</f>
        <v/>
      </c>
      <c r="AE33" s="19" t="str">
        <f aca="false">IF(A33="","",IF(OR(V33&gt;1,AND(AY33&lt;&gt;"",AY33&lt;Inputs!$B$11),AND(AY33&lt;&gt;"",AY33&gt;Inputs!$B$12),AC33&lt;Inputs!$B$19,AD33&lt;Inputs!$B$19,P33&lt;Inputs!$B$7,P33&gt;Inputs!$B$8),"CHECK","OK"))</f>
        <v/>
      </c>
      <c r="AF33" s="9"/>
      <c r="AG33" s="9" t="str">
        <f aca="false">IF(A33="","",(1/Inputs!$B$9)*(PI()*(Inputs!$F$5/1000)^2/4)*((Inputs!$F$5/1000/4)^(2/3))*SQRT(P33))</f>
        <v/>
      </c>
      <c r="AH33" s="9" t="str">
        <f aca="false">IF(A33="","",(1/Inputs!$B$9)*(PI()*(Inputs!$F$6/1000)^2/4)*((Inputs!$F$6/1000/4)^(2/3))*SQRT(P33))</f>
        <v/>
      </c>
      <c r="AI33" s="9" t="str">
        <f aca="false">IF(A33="","",(1/Inputs!$B$9)*(PI()*(Inputs!$F$7/1000)^2/4)*((Inputs!$F$7/1000/4)^(2/3))*SQRT(P33))</f>
        <v/>
      </c>
      <c r="AJ33" s="9" t="str">
        <f aca="false">IF(A33="","",(1/Inputs!$B$9)*(PI()*(Inputs!$F$8/1000)^2/4)*((Inputs!$F$8/1000/4)^(2/3))*SQRT(P33))</f>
        <v/>
      </c>
      <c r="AK33" s="9" t="str">
        <f aca="false">IF(A33="","",(1/Inputs!$B$9)*(PI()*(Inputs!$F$9/1000)^2/4)*((Inputs!$F$9/1000/4)^(2/3))*SQRT(P33))</f>
        <v/>
      </c>
      <c r="AL33" s="9" t="str">
        <f aca="false">IF(A33="","",(1/Inputs!$B$9)*(PI()*(Inputs!$F$10/1000)^2/4)*((Inputs!$F$10/1000/4)^(2/3))*SQRT(P33))</f>
        <v/>
      </c>
      <c r="AM33" s="9" t="str">
        <f aca="false">IF(A33="","",(1/Inputs!$B$9)*(PI()*(Inputs!$F$11/1000)^2/4)*((Inputs!$F$11/1000/4)^(2/3))*SQRT(P33))</f>
        <v/>
      </c>
      <c r="AN33" s="9" t="str">
        <f aca="false">IF(A33="","",(1/Inputs!$B$9)*(PI()*(Inputs!$F$12/1000)^2/4)*((Inputs!$F$12/1000/4)^(2/3))*SQRT(P33))</f>
        <v/>
      </c>
      <c r="AO33" s="9" t="str">
        <f aca="false">IF(A33="","",(1/Inputs!$B$9)*(PI()*(Inputs!$F$13/1000)^2/4)*((Inputs!$F$13/1000/4)^(2/3))*SQRT(P33))</f>
        <v/>
      </c>
      <c r="AP33" s="9" t="str">
        <f aca="false">IF(A33="","",(1/Inputs!$B$9)*(PI()*(Inputs!$F$14/1000)^2/4)*((Inputs!$F$14/1000/4)^(2/3))*SQRT(P33))</f>
        <v/>
      </c>
      <c r="AQ33" s="9" t="str">
        <f aca="false">IF(A33="","",COUNTIF($D$4:$D$203,$A33))</f>
        <v/>
      </c>
      <c r="AR33" s="9" t="str">
        <f aca="false">IF(A33="","",IF(AQ33=0,"START","CONTINUOUS"))</f>
        <v/>
      </c>
      <c r="AS33" s="13" t="str">
        <f aca="false">IF(A33="","",IF(J33="",Inputs!$B$18,J33))</f>
        <v/>
      </c>
      <c r="AT33" s="13" t="str">
        <f aca="false">IF(A33="","",IFERROR(maxifs($AV$4:$AV$203,$D$4:$D$203,$A33),""))</f>
        <v/>
      </c>
      <c r="AU33" s="13" t="str">
        <f aca="false">IF(A33="","",IF(OR(E33="",Inputs!$B$23=""),"",E33/(Inputs!$B$23*60)))</f>
        <v/>
      </c>
      <c r="AV33" s="13" t="str">
        <f aca="false">IF(A33="","",IF(AQ33=0,AS33+AU33,IF(AT33="",AS33+AU33,AT33+AU33)))</f>
        <v/>
      </c>
      <c r="AW33" s="13" t="str">
        <f aca="false">IF(A33="","",W33)</f>
        <v/>
      </c>
      <c r="AX33" s="13" t="str">
        <f aca="false">IF(OR(T33="",P33=""),"",(1/Inputs!$B$9)*((T33/4)^(2/3))*SQRT(P33))</f>
        <v/>
      </c>
      <c r="AY33" s="13" t="str">
        <f aca="false">IF(A33="","",IF(AND(AW33="",AX33="",BA33=""),"",IF(OR(UPPER(TRIM(Inputs!$B$24))="MANNING",UPPER(TRIM(Inputs!$B$24))="M"),AX33,IF(OR(UPPER(TRIM(Inputs!$B$24))="PARTIAL",UPPER(TRIM(Inputs!$B$24))="P"),BA33,IF(OR(UPPER(TRIM(Inputs!$B$24))="MAX",UPPER(TRIM(Inputs!$B$24))="X"),MAX(IF(AW33="",0,AW33),IF(AX33="",0,AX33),IF(BA33="",0,BA33)),AW33)))))</f>
        <v/>
      </c>
      <c r="AZ33" s="13" t="str">
        <f aca="false">IF(BB33="","",CH33)</f>
        <v/>
      </c>
      <c r="BA33" s="13" t="str">
        <f aca="false">IF(OR(BB33="",AZ33="",T33="",T33&lt;=0,AZ33&lt;=0),"",BB33/((T33^2/8)*(2*ACOS(1-2*AZ33/T33)-SIN(2*ACOS(1-2*AZ33/T33)))))</f>
        <v/>
      </c>
      <c r="BB33" s="9" t="str">
        <f aca="false">IF(OR(N33="",BC33=""),"",MIN(N33,BC33))</f>
        <v/>
      </c>
      <c r="BC33" s="9" t="str">
        <f aca="false">IF(OR(N33="",T33="",P33=""),"",IF(OR(T33="",P33="",(0.94*T33)="",T33&lt;=0,(0.94*T33)&lt;=0),"",(1/Inputs!$B$9)*((T33^2/8)*((2*ACOS(1-2*(0.94*T33)/T33))-SIN((2*ACOS(1-2*(0.94*T33)/T33)))))*((((T33^2/8)*((2*ACOS(1-2*(0.94*T33)/T33))-SIN((2*ACOS(1-2*(0.94*T33)/T33)))))/((T33/2)*((2*ACOS(1-2*(0.94*T33)/T33)))))^(2/3))*SQRT(P33)))</f>
        <v/>
      </c>
      <c r="BD33" s="9" t="str">
        <f aca="false">IF(BB33="","",0.001*T33)</f>
        <v/>
      </c>
      <c r="BE33" s="9" t="str">
        <f aca="false">IF(BB33="","",0.94*T33)</f>
        <v/>
      </c>
      <c r="BF33" s="9" t="str">
        <f aca="false">IF(BB33="","",(BD33+BE33)/2)</f>
        <v/>
      </c>
      <c r="BG33" s="9" t="str">
        <f aca="false">IF(OR(T33="",P33="",BF33="",T33&lt;=0,BF33&lt;=0),"",(1/Inputs!$B$9)*((T33^2/8)*((2*ACOS(1-2*BF33/T33))-SIN((2*ACOS(1-2*BF33/T33)))))*((((T33^2/8)*((2*ACOS(1-2*BF33/T33))-SIN((2*ACOS(1-2*BF33/T33)))))/((T33/2)*((2*ACOS(1-2*BF33/T33)))))^(2/3))*SQRT(P33))</f>
        <v/>
      </c>
      <c r="BH33" s="9" t="str">
        <f aca="false">IF(BB33="","",IF(BG33&lt;BB33,BF33,BD33))</f>
        <v/>
      </c>
      <c r="BI33" s="9" t="str">
        <f aca="false">IF(BB33="","",IF(BG33&lt;BB33,BE33,BF33))</f>
        <v/>
      </c>
      <c r="BJ33" s="9" t="str">
        <f aca="false">IF(BB33="","",(BH33+BI33)/2)</f>
        <v/>
      </c>
      <c r="BK33" s="9" t="str">
        <f aca="false">IF(OR(T33="",P33="",BJ33="",T33&lt;=0,BJ33&lt;=0),"",(1/Inputs!$B$9)*((T33^2/8)*((2*ACOS(1-2*BJ33/T33))-SIN((2*ACOS(1-2*BJ33/T33)))))*((((T33^2/8)*((2*ACOS(1-2*BJ33/T33))-SIN((2*ACOS(1-2*BJ33/T33)))))/((T33/2)*((2*ACOS(1-2*BJ33/T33)))))^(2/3))*SQRT(P33))</f>
        <v/>
      </c>
      <c r="BL33" s="9" t="str">
        <f aca="false">IF(BB33="","",IF(BK33&lt;BB33,BJ33,BH33))</f>
        <v/>
      </c>
      <c r="BM33" s="9" t="str">
        <f aca="false">IF(BB33="","",IF(BK33&lt;BB33,BI33,BJ33))</f>
        <v/>
      </c>
      <c r="BN33" s="9" t="str">
        <f aca="false">IF(BB33="","",(BL33+BM33)/2)</f>
        <v/>
      </c>
      <c r="BO33" s="9" t="str">
        <f aca="false">IF(OR(T33="",P33="",BN33="",T33&lt;=0,BN33&lt;=0),"",(1/Inputs!$B$9)*((T33^2/8)*((2*ACOS(1-2*BN33/T33))-SIN((2*ACOS(1-2*BN33/T33)))))*((((T33^2/8)*((2*ACOS(1-2*BN33/T33))-SIN((2*ACOS(1-2*BN33/T33)))))/((T33/2)*((2*ACOS(1-2*BN33/T33)))))^(2/3))*SQRT(P33))</f>
        <v/>
      </c>
      <c r="BP33" s="9" t="str">
        <f aca="false">IF(BB33="","",IF(BO33&lt;BB33,BN33,BL33))</f>
        <v/>
      </c>
      <c r="BQ33" s="9" t="str">
        <f aca="false">IF(BB33="","",IF(BO33&lt;BB33,BM33,BN33))</f>
        <v/>
      </c>
      <c r="BR33" s="9" t="str">
        <f aca="false">IF(BB33="","",(BP33+BQ33)/2)</f>
        <v/>
      </c>
      <c r="BS33" s="9" t="str">
        <f aca="false">IF(OR(T33="",P33="",BR33="",T33&lt;=0,BR33&lt;=0),"",(1/Inputs!$B$9)*((T33^2/8)*((2*ACOS(1-2*BR33/T33))-SIN((2*ACOS(1-2*BR33/T33)))))*((((T33^2/8)*((2*ACOS(1-2*BR33/T33))-SIN((2*ACOS(1-2*BR33/T33)))))/((T33/2)*((2*ACOS(1-2*BR33/T33)))))^(2/3))*SQRT(P33))</f>
        <v/>
      </c>
      <c r="BT33" s="9" t="str">
        <f aca="false">IF(BB33="","",IF(BS33&lt;BB33,BR33,BP33))</f>
        <v/>
      </c>
      <c r="BU33" s="9" t="str">
        <f aca="false">IF(BB33="","",IF(BS33&lt;BB33,BQ33,BR33))</f>
        <v/>
      </c>
      <c r="BV33" s="9" t="str">
        <f aca="false">IF(BB33="","",(BT33+BU33)/2)</f>
        <v/>
      </c>
      <c r="BW33" s="9" t="str">
        <f aca="false">IF(OR(T33="",P33="",BV33="",T33&lt;=0,BV33&lt;=0),"",(1/Inputs!$B$9)*((T33^2/8)*((2*ACOS(1-2*BV33/T33))-SIN((2*ACOS(1-2*BV33/T33)))))*((((T33^2/8)*((2*ACOS(1-2*BV33/T33))-SIN((2*ACOS(1-2*BV33/T33)))))/((T33/2)*((2*ACOS(1-2*BV33/T33)))))^(2/3))*SQRT(P33))</f>
        <v/>
      </c>
      <c r="BX33" s="9" t="str">
        <f aca="false">IF(BB33="","",IF(BW33&lt;BB33,BV33,BT33))</f>
        <v/>
      </c>
      <c r="BY33" s="9" t="str">
        <f aca="false">IF(BB33="","",IF(BW33&lt;BB33,BU33,BV33))</f>
        <v/>
      </c>
      <c r="BZ33" s="9" t="str">
        <f aca="false">IF(BB33="","",(BX33+BY33)/2)</f>
        <v/>
      </c>
      <c r="CA33" s="9" t="str">
        <f aca="false">IF(OR(T33="",P33="",BZ33="",T33&lt;=0,BZ33&lt;=0),"",(1/Inputs!$B$9)*((T33^2/8)*((2*ACOS(1-2*BZ33/T33))-SIN((2*ACOS(1-2*BZ33/T33)))))*((((T33^2/8)*((2*ACOS(1-2*BZ33/T33))-SIN((2*ACOS(1-2*BZ33/T33)))))/((T33/2)*((2*ACOS(1-2*BZ33/T33)))))^(2/3))*SQRT(P33))</f>
        <v/>
      </c>
      <c r="CB33" s="9" t="str">
        <f aca="false">IF(BB33="","",IF(CA33&lt;BB33,BZ33,BX33))</f>
        <v/>
      </c>
      <c r="CC33" s="9" t="str">
        <f aca="false">IF(BB33="","",IF(CA33&lt;BB33,BY33,BZ33))</f>
        <v/>
      </c>
      <c r="CD33" s="9" t="str">
        <f aca="false">IF(BB33="","",(CB33+CC33)/2)</f>
        <v/>
      </c>
      <c r="CE33" s="9" t="str">
        <f aca="false">IF(OR(T33="",P33="",CD33="",T33&lt;=0,CD33&lt;=0),"",(1/Inputs!$B$9)*((T33^2/8)*((2*ACOS(1-2*CD33/T33))-SIN((2*ACOS(1-2*CD33/T33)))))*((((T33^2/8)*((2*ACOS(1-2*CD33/T33))-SIN((2*ACOS(1-2*CD33/T33)))))/((T33/2)*((2*ACOS(1-2*CD33/T33)))))^(2/3))*SQRT(P33))</f>
        <v/>
      </c>
      <c r="CF33" s="9" t="str">
        <f aca="false">IF(BB33="","",IF(CE33&lt;BB33,CD33,CB33))</f>
        <v/>
      </c>
      <c r="CG33" s="9" t="str">
        <f aca="false">IF(BB33="","",IF(CE33&lt;BB33,CC33,CD33))</f>
        <v/>
      </c>
      <c r="CH33" s="9" t="str">
        <f aca="false">IF(BB33="","",(CF33+CG33)/2)</f>
        <v/>
      </c>
    </row>
    <row r="34" customFormat="false" ht="15" hidden="false" customHeight="false" outlineLevel="0" collapsed="false">
      <c r="A34" s="9"/>
      <c r="B34" s="9"/>
      <c r="C34" s="9"/>
      <c r="D34" s="9"/>
      <c r="E34" s="14"/>
      <c r="F34" s="14"/>
      <c r="G34" s="14" t="n">
        <f aca="false">SUMIFS(CB_plan!$C:$C,CB_plan!$B:$B,$A34)</f>
        <v>0</v>
      </c>
      <c r="H34" s="14" t="n">
        <f aca="false">IF(F34="",G34,F34)</f>
        <v>0</v>
      </c>
      <c r="I34" s="9"/>
      <c r="J34" s="14"/>
      <c r="K34" s="14" t="str">
        <f aca="false">IF(A34="","",Inputs!$B$13/((IF(AV34="",Inputs!$B$18,AV34)+Inputs!$B$14)^Inputs!$B$15))</f>
        <v/>
      </c>
      <c r="L34" s="14" t="str">
        <f aca="false">IF(A34="","",0.000000278*IF(I34="",Inputs!$B$17,I34)*H34*K34)</f>
        <v/>
      </c>
      <c r="M34" s="14" t="str">
        <f aca="false">IF(A34="","",SUMIFS($N$4:$N$203,$D$4:$D$203,$A34))</f>
        <v/>
      </c>
      <c r="N34" s="14" t="str">
        <f aca="false">IF(A34="","",(L34+M34)*Inputs!$B$16)</f>
        <v/>
      </c>
      <c r="O34" s="14"/>
      <c r="P34" s="14" t="str">
        <f aca="false">IF(A34="","",IF(O34="",Inputs!$B$7,O34))</f>
        <v/>
      </c>
      <c r="Q34" s="9" t="str">
        <f aca="false">IF(A34="","",IF(N34/Inputs!$B$10&lt;=AG34,Inputs!$F$5,IF(N34/Inputs!$B$10&gt;AP34,"OVERSIZE",INDEX(Inputs!$F$5:$F$14,MATCH(N34/Inputs!$B$10,AG34:AP34,1)+1))))</f>
        <v/>
      </c>
      <c r="R34" s="9"/>
      <c r="S34" s="9" t="str">
        <f aca="false">IF(A34="","",IF(R34="",Q34,R34))</f>
        <v/>
      </c>
      <c r="T34" s="14" t="str">
        <f aca="false">IF(OR(S34="",S34="OVERSIZE"),"",S34/1000)</f>
        <v/>
      </c>
      <c r="U34" s="14" t="str">
        <f aca="false">IF(T34="","",(1/Inputs!$B$9)*(PI()*T34^2/4)*((T34/4)^(2/3))*SQRT(P34))</f>
        <v/>
      </c>
      <c r="V34" s="14" t="str">
        <f aca="false">IF(OR(U34="",N34=""),"",N34/(U34*Inputs!$B$10))</f>
        <v/>
      </c>
      <c r="W34" s="14" t="str">
        <f aca="false">IF(OR(T34="",N34=""),"",4*N34/(PI()*T34^2))</f>
        <v/>
      </c>
      <c r="X34" s="14"/>
      <c r="Y34" s="14" t="str">
        <f aca="false">IF(A34="","",IF(A34=Inputs!$B$6,Inputs!$B$22,IF(D34="","",IFERROR(INDEX($Z$4:$Z$203,MATCH(D34,$A$4:$A$203,0))+IF(X34="",Inputs!$B$20,X34),""))))</f>
        <v/>
      </c>
      <c r="Z34" s="14" t="str">
        <f aca="false">IF(OR(Y34="",P34="",E34=""),"",Y34+P34*E34)</f>
        <v/>
      </c>
      <c r="AA34" s="14" t="str">
        <f aca="false">IF(C34="","",IFERROR(INDEX(Noeuds_plan!$C$4:$C$200,MATCH(C34,Noeuds_plan!$A$4:$A$200,0)),""))</f>
        <v/>
      </c>
      <c r="AB34" s="14" t="str">
        <f aca="false">IF(B34="","",IFERROR(INDEX(Noeuds_plan!$C$4:$C$200,MATCH(B34,Noeuds_plan!$A$4:$A$200,0)),""))</f>
        <v/>
      </c>
      <c r="AC34" s="14" t="str">
        <f aca="false">IF(OR(AA34="",Y34=""),"",AA34-Y34)</f>
        <v/>
      </c>
      <c r="AD34" s="14" t="str">
        <f aca="false">IF(OR(AB34="",Z34=""),"",AB34-Z34)</f>
        <v/>
      </c>
      <c r="AE34" s="19" t="str">
        <f aca="false">IF(A34="","",IF(OR(V34&gt;1,AND(AY34&lt;&gt;"",AY34&lt;Inputs!$B$11),AND(AY34&lt;&gt;"",AY34&gt;Inputs!$B$12),AC34&lt;Inputs!$B$19,AD34&lt;Inputs!$B$19,P34&lt;Inputs!$B$7,P34&gt;Inputs!$B$8),"CHECK","OK"))</f>
        <v/>
      </c>
      <c r="AF34" s="9"/>
      <c r="AG34" s="9" t="str">
        <f aca="false">IF(A34="","",(1/Inputs!$B$9)*(PI()*(Inputs!$F$5/1000)^2/4)*((Inputs!$F$5/1000/4)^(2/3))*SQRT(P34))</f>
        <v/>
      </c>
      <c r="AH34" s="9" t="str">
        <f aca="false">IF(A34="","",(1/Inputs!$B$9)*(PI()*(Inputs!$F$6/1000)^2/4)*((Inputs!$F$6/1000/4)^(2/3))*SQRT(P34))</f>
        <v/>
      </c>
      <c r="AI34" s="9" t="str">
        <f aca="false">IF(A34="","",(1/Inputs!$B$9)*(PI()*(Inputs!$F$7/1000)^2/4)*((Inputs!$F$7/1000/4)^(2/3))*SQRT(P34))</f>
        <v/>
      </c>
      <c r="AJ34" s="9" t="str">
        <f aca="false">IF(A34="","",(1/Inputs!$B$9)*(PI()*(Inputs!$F$8/1000)^2/4)*((Inputs!$F$8/1000/4)^(2/3))*SQRT(P34))</f>
        <v/>
      </c>
      <c r="AK34" s="9" t="str">
        <f aca="false">IF(A34="","",(1/Inputs!$B$9)*(PI()*(Inputs!$F$9/1000)^2/4)*((Inputs!$F$9/1000/4)^(2/3))*SQRT(P34))</f>
        <v/>
      </c>
      <c r="AL34" s="9" t="str">
        <f aca="false">IF(A34="","",(1/Inputs!$B$9)*(PI()*(Inputs!$F$10/1000)^2/4)*((Inputs!$F$10/1000/4)^(2/3))*SQRT(P34))</f>
        <v/>
      </c>
      <c r="AM34" s="9" t="str">
        <f aca="false">IF(A34="","",(1/Inputs!$B$9)*(PI()*(Inputs!$F$11/1000)^2/4)*((Inputs!$F$11/1000/4)^(2/3))*SQRT(P34))</f>
        <v/>
      </c>
      <c r="AN34" s="9" t="str">
        <f aca="false">IF(A34="","",(1/Inputs!$B$9)*(PI()*(Inputs!$F$12/1000)^2/4)*((Inputs!$F$12/1000/4)^(2/3))*SQRT(P34))</f>
        <v/>
      </c>
      <c r="AO34" s="9" t="str">
        <f aca="false">IF(A34="","",(1/Inputs!$B$9)*(PI()*(Inputs!$F$13/1000)^2/4)*((Inputs!$F$13/1000/4)^(2/3))*SQRT(P34))</f>
        <v/>
      </c>
      <c r="AP34" s="9" t="str">
        <f aca="false">IF(A34="","",(1/Inputs!$B$9)*(PI()*(Inputs!$F$14/1000)^2/4)*((Inputs!$F$14/1000/4)^(2/3))*SQRT(P34))</f>
        <v/>
      </c>
      <c r="AQ34" s="9" t="str">
        <f aca="false">IF(A34="","",COUNTIF($D$4:$D$203,$A34))</f>
        <v/>
      </c>
      <c r="AR34" s="9" t="str">
        <f aca="false">IF(A34="","",IF(AQ34=0,"START","CONTINUOUS"))</f>
        <v/>
      </c>
      <c r="AS34" s="13" t="str">
        <f aca="false">IF(A34="","",IF(J34="",Inputs!$B$18,J34))</f>
        <v/>
      </c>
      <c r="AT34" s="13" t="str">
        <f aca="false">IF(A34="","",IFERROR(maxifs($AV$4:$AV$203,$D$4:$D$203,$A34),""))</f>
        <v/>
      </c>
      <c r="AU34" s="13" t="str">
        <f aca="false">IF(A34="","",IF(OR(E34="",Inputs!$B$23=""),"",E34/(Inputs!$B$23*60)))</f>
        <v/>
      </c>
      <c r="AV34" s="13" t="str">
        <f aca="false">IF(A34="","",IF(AQ34=0,AS34+AU34,IF(AT34="",AS34+AU34,AT34+AU34)))</f>
        <v/>
      </c>
      <c r="AW34" s="13" t="str">
        <f aca="false">IF(A34="","",W34)</f>
        <v/>
      </c>
      <c r="AX34" s="13" t="str">
        <f aca="false">IF(OR(T34="",P34=""),"",(1/Inputs!$B$9)*((T34/4)^(2/3))*SQRT(P34))</f>
        <v/>
      </c>
      <c r="AY34" s="13" t="str">
        <f aca="false">IF(A34="","",IF(AND(AW34="",AX34="",BA34=""),"",IF(OR(UPPER(TRIM(Inputs!$B$24))="MANNING",UPPER(TRIM(Inputs!$B$24))="M"),AX34,IF(OR(UPPER(TRIM(Inputs!$B$24))="PARTIAL",UPPER(TRIM(Inputs!$B$24))="P"),BA34,IF(OR(UPPER(TRIM(Inputs!$B$24))="MAX",UPPER(TRIM(Inputs!$B$24))="X"),MAX(IF(AW34="",0,AW34),IF(AX34="",0,AX34),IF(BA34="",0,BA34)),AW34)))))</f>
        <v/>
      </c>
      <c r="AZ34" s="13" t="str">
        <f aca="false">IF(BB34="","",CH34)</f>
        <v/>
      </c>
      <c r="BA34" s="13" t="str">
        <f aca="false">IF(OR(BB34="",AZ34="",T34="",T34&lt;=0,AZ34&lt;=0),"",BB34/((T34^2/8)*(2*ACOS(1-2*AZ34/T34)-SIN(2*ACOS(1-2*AZ34/T34)))))</f>
        <v/>
      </c>
      <c r="BB34" s="9" t="str">
        <f aca="false">IF(OR(N34="",BC34=""),"",MIN(N34,BC34))</f>
        <v/>
      </c>
      <c r="BC34" s="9" t="str">
        <f aca="false">IF(OR(N34="",T34="",P34=""),"",IF(OR(T34="",P34="",(0.94*T34)="",T34&lt;=0,(0.94*T34)&lt;=0),"",(1/Inputs!$B$9)*((T34^2/8)*((2*ACOS(1-2*(0.94*T34)/T34))-SIN((2*ACOS(1-2*(0.94*T34)/T34)))))*((((T34^2/8)*((2*ACOS(1-2*(0.94*T34)/T34))-SIN((2*ACOS(1-2*(0.94*T34)/T34)))))/((T34/2)*((2*ACOS(1-2*(0.94*T34)/T34)))))^(2/3))*SQRT(P34)))</f>
        <v/>
      </c>
      <c r="BD34" s="9" t="str">
        <f aca="false">IF(BB34="","",0.001*T34)</f>
        <v/>
      </c>
      <c r="BE34" s="9" t="str">
        <f aca="false">IF(BB34="","",0.94*T34)</f>
        <v/>
      </c>
      <c r="BF34" s="9" t="str">
        <f aca="false">IF(BB34="","",(BD34+BE34)/2)</f>
        <v/>
      </c>
      <c r="BG34" s="9" t="str">
        <f aca="false">IF(OR(T34="",P34="",BF34="",T34&lt;=0,BF34&lt;=0),"",(1/Inputs!$B$9)*((T34^2/8)*((2*ACOS(1-2*BF34/T34))-SIN((2*ACOS(1-2*BF34/T34)))))*((((T34^2/8)*((2*ACOS(1-2*BF34/T34))-SIN((2*ACOS(1-2*BF34/T34)))))/((T34/2)*((2*ACOS(1-2*BF34/T34)))))^(2/3))*SQRT(P34))</f>
        <v/>
      </c>
      <c r="BH34" s="9" t="str">
        <f aca="false">IF(BB34="","",IF(BG34&lt;BB34,BF34,BD34))</f>
        <v/>
      </c>
      <c r="BI34" s="9" t="str">
        <f aca="false">IF(BB34="","",IF(BG34&lt;BB34,BE34,BF34))</f>
        <v/>
      </c>
      <c r="BJ34" s="9" t="str">
        <f aca="false">IF(BB34="","",(BH34+BI34)/2)</f>
        <v/>
      </c>
      <c r="BK34" s="9" t="str">
        <f aca="false">IF(OR(T34="",P34="",BJ34="",T34&lt;=0,BJ34&lt;=0),"",(1/Inputs!$B$9)*((T34^2/8)*((2*ACOS(1-2*BJ34/T34))-SIN((2*ACOS(1-2*BJ34/T34)))))*((((T34^2/8)*((2*ACOS(1-2*BJ34/T34))-SIN((2*ACOS(1-2*BJ34/T34)))))/((T34/2)*((2*ACOS(1-2*BJ34/T34)))))^(2/3))*SQRT(P34))</f>
        <v/>
      </c>
      <c r="BL34" s="9" t="str">
        <f aca="false">IF(BB34="","",IF(BK34&lt;BB34,BJ34,BH34))</f>
        <v/>
      </c>
      <c r="BM34" s="9" t="str">
        <f aca="false">IF(BB34="","",IF(BK34&lt;BB34,BI34,BJ34))</f>
        <v/>
      </c>
      <c r="BN34" s="9" t="str">
        <f aca="false">IF(BB34="","",(BL34+BM34)/2)</f>
        <v/>
      </c>
      <c r="BO34" s="9" t="str">
        <f aca="false">IF(OR(T34="",P34="",BN34="",T34&lt;=0,BN34&lt;=0),"",(1/Inputs!$B$9)*((T34^2/8)*((2*ACOS(1-2*BN34/T34))-SIN((2*ACOS(1-2*BN34/T34)))))*((((T34^2/8)*((2*ACOS(1-2*BN34/T34))-SIN((2*ACOS(1-2*BN34/T34)))))/((T34/2)*((2*ACOS(1-2*BN34/T34)))))^(2/3))*SQRT(P34))</f>
        <v/>
      </c>
      <c r="BP34" s="9" t="str">
        <f aca="false">IF(BB34="","",IF(BO34&lt;BB34,BN34,BL34))</f>
        <v/>
      </c>
      <c r="BQ34" s="9" t="str">
        <f aca="false">IF(BB34="","",IF(BO34&lt;BB34,BM34,BN34))</f>
        <v/>
      </c>
      <c r="BR34" s="9" t="str">
        <f aca="false">IF(BB34="","",(BP34+BQ34)/2)</f>
        <v/>
      </c>
      <c r="BS34" s="9" t="str">
        <f aca="false">IF(OR(T34="",P34="",BR34="",T34&lt;=0,BR34&lt;=0),"",(1/Inputs!$B$9)*((T34^2/8)*((2*ACOS(1-2*BR34/T34))-SIN((2*ACOS(1-2*BR34/T34)))))*((((T34^2/8)*((2*ACOS(1-2*BR34/T34))-SIN((2*ACOS(1-2*BR34/T34)))))/((T34/2)*((2*ACOS(1-2*BR34/T34)))))^(2/3))*SQRT(P34))</f>
        <v/>
      </c>
      <c r="BT34" s="9" t="str">
        <f aca="false">IF(BB34="","",IF(BS34&lt;BB34,BR34,BP34))</f>
        <v/>
      </c>
      <c r="BU34" s="9" t="str">
        <f aca="false">IF(BB34="","",IF(BS34&lt;BB34,BQ34,BR34))</f>
        <v/>
      </c>
      <c r="BV34" s="9" t="str">
        <f aca="false">IF(BB34="","",(BT34+BU34)/2)</f>
        <v/>
      </c>
      <c r="BW34" s="9" t="str">
        <f aca="false">IF(OR(T34="",P34="",BV34="",T34&lt;=0,BV34&lt;=0),"",(1/Inputs!$B$9)*((T34^2/8)*((2*ACOS(1-2*BV34/T34))-SIN((2*ACOS(1-2*BV34/T34)))))*((((T34^2/8)*((2*ACOS(1-2*BV34/T34))-SIN((2*ACOS(1-2*BV34/T34)))))/((T34/2)*((2*ACOS(1-2*BV34/T34)))))^(2/3))*SQRT(P34))</f>
        <v/>
      </c>
      <c r="BX34" s="9" t="str">
        <f aca="false">IF(BB34="","",IF(BW34&lt;BB34,BV34,BT34))</f>
        <v/>
      </c>
      <c r="BY34" s="9" t="str">
        <f aca="false">IF(BB34="","",IF(BW34&lt;BB34,BU34,BV34))</f>
        <v/>
      </c>
      <c r="BZ34" s="9" t="str">
        <f aca="false">IF(BB34="","",(BX34+BY34)/2)</f>
        <v/>
      </c>
      <c r="CA34" s="9" t="str">
        <f aca="false">IF(OR(T34="",P34="",BZ34="",T34&lt;=0,BZ34&lt;=0),"",(1/Inputs!$B$9)*((T34^2/8)*((2*ACOS(1-2*BZ34/T34))-SIN((2*ACOS(1-2*BZ34/T34)))))*((((T34^2/8)*((2*ACOS(1-2*BZ34/T34))-SIN((2*ACOS(1-2*BZ34/T34)))))/((T34/2)*((2*ACOS(1-2*BZ34/T34)))))^(2/3))*SQRT(P34))</f>
        <v/>
      </c>
      <c r="CB34" s="9" t="str">
        <f aca="false">IF(BB34="","",IF(CA34&lt;BB34,BZ34,BX34))</f>
        <v/>
      </c>
      <c r="CC34" s="9" t="str">
        <f aca="false">IF(BB34="","",IF(CA34&lt;BB34,BY34,BZ34))</f>
        <v/>
      </c>
      <c r="CD34" s="9" t="str">
        <f aca="false">IF(BB34="","",(CB34+CC34)/2)</f>
        <v/>
      </c>
      <c r="CE34" s="9" t="str">
        <f aca="false">IF(OR(T34="",P34="",CD34="",T34&lt;=0,CD34&lt;=0),"",(1/Inputs!$B$9)*((T34^2/8)*((2*ACOS(1-2*CD34/T34))-SIN((2*ACOS(1-2*CD34/T34)))))*((((T34^2/8)*((2*ACOS(1-2*CD34/T34))-SIN((2*ACOS(1-2*CD34/T34)))))/((T34/2)*((2*ACOS(1-2*CD34/T34)))))^(2/3))*SQRT(P34))</f>
        <v/>
      </c>
      <c r="CF34" s="9" t="str">
        <f aca="false">IF(BB34="","",IF(CE34&lt;BB34,CD34,CB34))</f>
        <v/>
      </c>
      <c r="CG34" s="9" t="str">
        <f aca="false">IF(BB34="","",IF(CE34&lt;BB34,CC34,CD34))</f>
        <v/>
      </c>
      <c r="CH34" s="9" t="str">
        <f aca="false">IF(BB34="","",(CF34+CG34)/2)</f>
        <v/>
      </c>
    </row>
    <row r="35" customFormat="false" ht="15" hidden="false" customHeight="false" outlineLevel="0" collapsed="false">
      <c r="A35" s="9"/>
      <c r="B35" s="9"/>
      <c r="C35" s="9"/>
      <c r="D35" s="9"/>
      <c r="E35" s="14"/>
      <c r="F35" s="14"/>
      <c r="G35" s="14" t="n">
        <f aca="false">SUMIFS(CB_plan!$C:$C,CB_plan!$B:$B,$A35)</f>
        <v>0</v>
      </c>
      <c r="H35" s="14" t="n">
        <f aca="false">IF(F35="",G35,F35)</f>
        <v>0</v>
      </c>
      <c r="I35" s="9"/>
      <c r="J35" s="14"/>
      <c r="K35" s="14" t="str">
        <f aca="false">IF(A35="","",Inputs!$B$13/((IF(AV35="",Inputs!$B$18,AV35)+Inputs!$B$14)^Inputs!$B$15))</f>
        <v/>
      </c>
      <c r="L35" s="14" t="str">
        <f aca="false">IF(A35="","",0.000000278*IF(I35="",Inputs!$B$17,I35)*H35*K35)</f>
        <v/>
      </c>
      <c r="M35" s="14" t="str">
        <f aca="false">IF(A35="","",SUMIFS($N$4:$N$203,$D$4:$D$203,$A35))</f>
        <v/>
      </c>
      <c r="N35" s="14" t="str">
        <f aca="false">IF(A35="","",(L35+M35)*Inputs!$B$16)</f>
        <v/>
      </c>
      <c r="O35" s="14"/>
      <c r="P35" s="14" t="str">
        <f aca="false">IF(A35="","",IF(O35="",Inputs!$B$7,O35))</f>
        <v/>
      </c>
      <c r="Q35" s="9" t="str">
        <f aca="false">IF(A35="","",IF(N35/Inputs!$B$10&lt;=AG35,Inputs!$F$5,IF(N35/Inputs!$B$10&gt;AP35,"OVERSIZE",INDEX(Inputs!$F$5:$F$14,MATCH(N35/Inputs!$B$10,AG35:AP35,1)+1))))</f>
        <v/>
      </c>
      <c r="R35" s="9"/>
      <c r="S35" s="9" t="str">
        <f aca="false">IF(A35="","",IF(R35="",Q35,R35))</f>
        <v/>
      </c>
      <c r="T35" s="14" t="str">
        <f aca="false">IF(OR(S35="",S35="OVERSIZE"),"",S35/1000)</f>
        <v/>
      </c>
      <c r="U35" s="14" t="str">
        <f aca="false">IF(T35="","",(1/Inputs!$B$9)*(PI()*T35^2/4)*((T35/4)^(2/3))*SQRT(P35))</f>
        <v/>
      </c>
      <c r="V35" s="14" t="str">
        <f aca="false">IF(OR(U35="",N35=""),"",N35/(U35*Inputs!$B$10))</f>
        <v/>
      </c>
      <c r="W35" s="14" t="str">
        <f aca="false">IF(OR(T35="",N35=""),"",4*N35/(PI()*T35^2))</f>
        <v/>
      </c>
      <c r="X35" s="14"/>
      <c r="Y35" s="14" t="str">
        <f aca="false">IF(A35="","",IF(A35=Inputs!$B$6,Inputs!$B$22,IF(D35="","",IFERROR(INDEX($Z$4:$Z$203,MATCH(D35,$A$4:$A$203,0))+IF(X35="",Inputs!$B$20,X35),""))))</f>
        <v/>
      </c>
      <c r="Z35" s="14" t="str">
        <f aca="false">IF(OR(Y35="",P35="",E35=""),"",Y35+P35*E35)</f>
        <v/>
      </c>
      <c r="AA35" s="14" t="str">
        <f aca="false">IF(C35="","",IFERROR(INDEX(Noeuds_plan!$C$4:$C$200,MATCH(C35,Noeuds_plan!$A$4:$A$200,0)),""))</f>
        <v/>
      </c>
      <c r="AB35" s="14" t="str">
        <f aca="false">IF(B35="","",IFERROR(INDEX(Noeuds_plan!$C$4:$C$200,MATCH(B35,Noeuds_plan!$A$4:$A$200,0)),""))</f>
        <v/>
      </c>
      <c r="AC35" s="14" t="str">
        <f aca="false">IF(OR(AA35="",Y35=""),"",AA35-Y35)</f>
        <v/>
      </c>
      <c r="AD35" s="14" t="str">
        <f aca="false">IF(OR(AB35="",Z35=""),"",AB35-Z35)</f>
        <v/>
      </c>
      <c r="AE35" s="19" t="str">
        <f aca="false">IF(A35="","",IF(OR(V35&gt;1,AND(AY35&lt;&gt;"",AY35&lt;Inputs!$B$11),AND(AY35&lt;&gt;"",AY35&gt;Inputs!$B$12),AC35&lt;Inputs!$B$19,AD35&lt;Inputs!$B$19,P35&lt;Inputs!$B$7,P35&gt;Inputs!$B$8),"CHECK","OK"))</f>
        <v/>
      </c>
      <c r="AF35" s="9"/>
      <c r="AG35" s="9" t="str">
        <f aca="false">IF(A35="","",(1/Inputs!$B$9)*(PI()*(Inputs!$F$5/1000)^2/4)*((Inputs!$F$5/1000/4)^(2/3))*SQRT(P35))</f>
        <v/>
      </c>
      <c r="AH35" s="9" t="str">
        <f aca="false">IF(A35="","",(1/Inputs!$B$9)*(PI()*(Inputs!$F$6/1000)^2/4)*((Inputs!$F$6/1000/4)^(2/3))*SQRT(P35))</f>
        <v/>
      </c>
      <c r="AI35" s="9" t="str">
        <f aca="false">IF(A35="","",(1/Inputs!$B$9)*(PI()*(Inputs!$F$7/1000)^2/4)*((Inputs!$F$7/1000/4)^(2/3))*SQRT(P35))</f>
        <v/>
      </c>
      <c r="AJ35" s="9" t="str">
        <f aca="false">IF(A35="","",(1/Inputs!$B$9)*(PI()*(Inputs!$F$8/1000)^2/4)*((Inputs!$F$8/1000/4)^(2/3))*SQRT(P35))</f>
        <v/>
      </c>
      <c r="AK35" s="9" t="str">
        <f aca="false">IF(A35="","",(1/Inputs!$B$9)*(PI()*(Inputs!$F$9/1000)^2/4)*((Inputs!$F$9/1000/4)^(2/3))*SQRT(P35))</f>
        <v/>
      </c>
      <c r="AL35" s="9" t="str">
        <f aca="false">IF(A35="","",(1/Inputs!$B$9)*(PI()*(Inputs!$F$10/1000)^2/4)*((Inputs!$F$10/1000/4)^(2/3))*SQRT(P35))</f>
        <v/>
      </c>
      <c r="AM35" s="9" t="str">
        <f aca="false">IF(A35="","",(1/Inputs!$B$9)*(PI()*(Inputs!$F$11/1000)^2/4)*((Inputs!$F$11/1000/4)^(2/3))*SQRT(P35))</f>
        <v/>
      </c>
      <c r="AN35" s="9" t="str">
        <f aca="false">IF(A35="","",(1/Inputs!$B$9)*(PI()*(Inputs!$F$12/1000)^2/4)*((Inputs!$F$12/1000/4)^(2/3))*SQRT(P35))</f>
        <v/>
      </c>
      <c r="AO35" s="9" t="str">
        <f aca="false">IF(A35="","",(1/Inputs!$B$9)*(PI()*(Inputs!$F$13/1000)^2/4)*((Inputs!$F$13/1000/4)^(2/3))*SQRT(P35))</f>
        <v/>
      </c>
      <c r="AP35" s="9" t="str">
        <f aca="false">IF(A35="","",(1/Inputs!$B$9)*(PI()*(Inputs!$F$14/1000)^2/4)*((Inputs!$F$14/1000/4)^(2/3))*SQRT(P35))</f>
        <v/>
      </c>
      <c r="AQ35" s="9" t="str">
        <f aca="false">IF(A35="","",COUNTIF($D$4:$D$203,$A35))</f>
        <v/>
      </c>
      <c r="AR35" s="9" t="str">
        <f aca="false">IF(A35="","",IF(AQ35=0,"START","CONTINUOUS"))</f>
        <v/>
      </c>
      <c r="AS35" s="13" t="str">
        <f aca="false">IF(A35="","",IF(J35="",Inputs!$B$18,J35))</f>
        <v/>
      </c>
      <c r="AT35" s="13" t="str">
        <f aca="false">IF(A35="","",IFERROR(maxifs($AV$4:$AV$203,$D$4:$D$203,$A35),""))</f>
        <v/>
      </c>
      <c r="AU35" s="13" t="str">
        <f aca="false">IF(A35="","",IF(OR(E35="",Inputs!$B$23=""),"",E35/(Inputs!$B$23*60)))</f>
        <v/>
      </c>
      <c r="AV35" s="13" t="str">
        <f aca="false">IF(A35="","",IF(AQ35=0,AS35+AU35,IF(AT35="",AS35+AU35,AT35+AU35)))</f>
        <v/>
      </c>
      <c r="AW35" s="13" t="str">
        <f aca="false">IF(A35="","",W35)</f>
        <v/>
      </c>
      <c r="AX35" s="13" t="str">
        <f aca="false">IF(OR(T35="",P35=""),"",(1/Inputs!$B$9)*((T35/4)^(2/3))*SQRT(P35))</f>
        <v/>
      </c>
      <c r="AY35" s="13" t="str">
        <f aca="false">IF(A35="","",IF(AND(AW35="",AX35="",BA35=""),"",IF(OR(UPPER(TRIM(Inputs!$B$24))="MANNING",UPPER(TRIM(Inputs!$B$24))="M"),AX35,IF(OR(UPPER(TRIM(Inputs!$B$24))="PARTIAL",UPPER(TRIM(Inputs!$B$24))="P"),BA35,IF(OR(UPPER(TRIM(Inputs!$B$24))="MAX",UPPER(TRIM(Inputs!$B$24))="X"),MAX(IF(AW35="",0,AW35),IF(AX35="",0,AX35),IF(BA35="",0,BA35)),AW35)))))</f>
        <v/>
      </c>
      <c r="AZ35" s="13" t="str">
        <f aca="false">IF(BB35="","",CH35)</f>
        <v/>
      </c>
      <c r="BA35" s="13" t="str">
        <f aca="false">IF(OR(BB35="",AZ35="",T35="",T35&lt;=0,AZ35&lt;=0),"",BB35/((T35^2/8)*(2*ACOS(1-2*AZ35/T35)-SIN(2*ACOS(1-2*AZ35/T35)))))</f>
        <v/>
      </c>
      <c r="BB35" s="9" t="str">
        <f aca="false">IF(OR(N35="",BC35=""),"",MIN(N35,BC35))</f>
        <v/>
      </c>
      <c r="BC35" s="9" t="str">
        <f aca="false">IF(OR(N35="",T35="",P35=""),"",IF(OR(T35="",P35="",(0.94*T35)="",T35&lt;=0,(0.94*T35)&lt;=0),"",(1/Inputs!$B$9)*((T35^2/8)*((2*ACOS(1-2*(0.94*T35)/T35))-SIN((2*ACOS(1-2*(0.94*T35)/T35)))))*((((T35^2/8)*((2*ACOS(1-2*(0.94*T35)/T35))-SIN((2*ACOS(1-2*(0.94*T35)/T35)))))/((T35/2)*((2*ACOS(1-2*(0.94*T35)/T35)))))^(2/3))*SQRT(P35)))</f>
        <v/>
      </c>
      <c r="BD35" s="9" t="str">
        <f aca="false">IF(BB35="","",0.001*T35)</f>
        <v/>
      </c>
      <c r="BE35" s="9" t="str">
        <f aca="false">IF(BB35="","",0.94*T35)</f>
        <v/>
      </c>
      <c r="BF35" s="9" t="str">
        <f aca="false">IF(BB35="","",(BD35+BE35)/2)</f>
        <v/>
      </c>
      <c r="BG35" s="9" t="str">
        <f aca="false">IF(OR(T35="",P35="",BF35="",T35&lt;=0,BF35&lt;=0),"",(1/Inputs!$B$9)*((T35^2/8)*((2*ACOS(1-2*BF35/T35))-SIN((2*ACOS(1-2*BF35/T35)))))*((((T35^2/8)*((2*ACOS(1-2*BF35/T35))-SIN((2*ACOS(1-2*BF35/T35)))))/((T35/2)*((2*ACOS(1-2*BF35/T35)))))^(2/3))*SQRT(P35))</f>
        <v/>
      </c>
      <c r="BH35" s="9" t="str">
        <f aca="false">IF(BB35="","",IF(BG35&lt;BB35,BF35,BD35))</f>
        <v/>
      </c>
      <c r="BI35" s="9" t="str">
        <f aca="false">IF(BB35="","",IF(BG35&lt;BB35,BE35,BF35))</f>
        <v/>
      </c>
      <c r="BJ35" s="9" t="str">
        <f aca="false">IF(BB35="","",(BH35+BI35)/2)</f>
        <v/>
      </c>
      <c r="BK35" s="9" t="str">
        <f aca="false">IF(OR(T35="",P35="",BJ35="",T35&lt;=0,BJ35&lt;=0),"",(1/Inputs!$B$9)*((T35^2/8)*((2*ACOS(1-2*BJ35/T35))-SIN((2*ACOS(1-2*BJ35/T35)))))*((((T35^2/8)*((2*ACOS(1-2*BJ35/T35))-SIN((2*ACOS(1-2*BJ35/T35)))))/((T35/2)*((2*ACOS(1-2*BJ35/T35)))))^(2/3))*SQRT(P35))</f>
        <v/>
      </c>
      <c r="BL35" s="9" t="str">
        <f aca="false">IF(BB35="","",IF(BK35&lt;BB35,BJ35,BH35))</f>
        <v/>
      </c>
      <c r="BM35" s="9" t="str">
        <f aca="false">IF(BB35="","",IF(BK35&lt;BB35,BI35,BJ35))</f>
        <v/>
      </c>
      <c r="BN35" s="9" t="str">
        <f aca="false">IF(BB35="","",(BL35+BM35)/2)</f>
        <v/>
      </c>
      <c r="BO35" s="9" t="str">
        <f aca="false">IF(OR(T35="",P35="",BN35="",T35&lt;=0,BN35&lt;=0),"",(1/Inputs!$B$9)*((T35^2/8)*((2*ACOS(1-2*BN35/T35))-SIN((2*ACOS(1-2*BN35/T35)))))*((((T35^2/8)*((2*ACOS(1-2*BN35/T35))-SIN((2*ACOS(1-2*BN35/T35)))))/((T35/2)*((2*ACOS(1-2*BN35/T35)))))^(2/3))*SQRT(P35))</f>
        <v/>
      </c>
      <c r="BP35" s="9" t="str">
        <f aca="false">IF(BB35="","",IF(BO35&lt;BB35,BN35,BL35))</f>
        <v/>
      </c>
      <c r="BQ35" s="9" t="str">
        <f aca="false">IF(BB35="","",IF(BO35&lt;BB35,BM35,BN35))</f>
        <v/>
      </c>
      <c r="BR35" s="9" t="str">
        <f aca="false">IF(BB35="","",(BP35+BQ35)/2)</f>
        <v/>
      </c>
      <c r="BS35" s="9" t="str">
        <f aca="false">IF(OR(T35="",P35="",BR35="",T35&lt;=0,BR35&lt;=0),"",(1/Inputs!$B$9)*((T35^2/8)*((2*ACOS(1-2*BR35/T35))-SIN((2*ACOS(1-2*BR35/T35)))))*((((T35^2/8)*((2*ACOS(1-2*BR35/T35))-SIN((2*ACOS(1-2*BR35/T35)))))/((T35/2)*((2*ACOS(1-2*BR35/T35)))))^(2/3))*SQRT(P35))</f>
        <v/>
      </c>
      <c r="BT35" s="9" t="str">
        <f aca="false">IF(BB35="","",IF(BS35&lt;BB35,BR35,BP35))</f>
        <v/>
      </c>
      <c r="BU35" s="9" t="str">
        <f aca="false">IF(BB35="","",IF(BS35&lt;BB35,BQ35,BR35))</f>
        <v/>
      </c>
      <c r="BV35" s="9" t="str">
        <f aca="false">IF(BB35="","",(BT35+BU35)/2)</f>
        <v/>
      </c>
      <c r="BW35" s="9" t="str">
        <f aca="false">IF(OR(T35="",P35="",BV35="",T35&lt;=0,BV35&lt;=0),"",(1/Inputs!$B$9)*((T35^2/8)*((2*ACOS(1-2*BV35/T35))-SIN((2*ACOS(1-2*BV35/T35)))))*((((T35^2/8)*((2*ACOS(1-2*BV35/T35))-SIN((2*ACOS(1-2*BV35/T35)))))/((T35/2)*((2*ACOS(1-2*BV35/T35)))))^(2/3))*SQRT(P35))</f>
        <v/>
      </c>
      <c r="BX35" s="9" t="str">
        <f aca="false">IF(BB35="","",IF(BW35&lt;BB35,BV35,BT35))</f>
        <v/>
      </c>
      <c r="BY35" s="9" t="str">
        <f aca="false">IF(BB35="","",IF(BW35&lt;BB35,BU35,BV35))</f>
        <v/>
      </c>
      <c r="BZ35" s="9" t="str">
        <f aca="false">IF(BB35="","",(BX35+BY35)/2)</f>
        <v/>
      </c>
      <c r="CA35" s="9" t="str">
        <f aca="false">IF(OR(T35="",P35="",BZ35="",T35&lt;=0,BZ35&lt;=0),"",(1/Inputs!$B$9)*((T35^2/8)*((2*ACOS(1-2*BZ35/T35))-SIN((2*ACOS(1-2*BZ35/T35)))))*((((T35^2/8)*((2*ACOS(1-2*BZ35/T35))-SIN((2*ACOS(1-2*BZ35/T35)))))/((T35/2)*((2*ACOS(1-2*BZ35/T35)))))^(2/3))*SQRT(P35))</f>
        <v/>
      </c>
      <c r="CB35" s="9" t="str">
        <f aca="false">IF(BB35="","",IF(CA35&lt;BB35,BZ35,BX35))</f>
        <v/>
      </c>
      <c r="CC35" s="9" t="str">
        <f aca="false">IF(BB35="","",IF(CA35&lt;BB35,BY35,BZ35))</f>
        <v/>
      </c>
      <c r="CD35" s="9" t="str">
        <f aca="false">IF(BB35="","",(CB35+CC35)/2)</f>
        <v/>
      </c>
      <c r="CE35" s="9" t="str">
        <f aca="false">IF(OR(T35="",P35="",CD35="",T35&lt;=0,CD35&lt;=0),"",(1/Inputs!$B$9)*((T35^2/8)*((2*ACOS(1-2*CD35/T35))-SIN((2*ACOS(1-2*CD35/T35)))))*((((T35^2/8)*((2*ACOS(1-2*CD35/T35))-SIN((2*ACOS(1-2*CD35/T35)))))/((T35/2)*((2*ACOS(1-2*CD35/T35)))))^(2/3))*SQRT(P35))</f>
        <v/>
      </c>
      <c r="CF35" s="9" t="str">
        <f aca="false">IF(BB35="","",IF(CE35&lt;BB35,CD35,CB35))</f>
        <v/>
      </c>
      <c r="CG35" s="9" t="str">
        <f aca="false">IF(BB35="","",IF(CE35&lt;BB35,CC35,CD35))</f>
        <v/>
      </c>
      <c r="CH35" s="9" t="str">
        <f aca="false">IF(BB35="","",(CF35+CG35)/2)</f>
        <v/>
      </c>
    </row>
    <row r="36" customFormat="false" ht="15" hidden="false" customHeight="false" outlineLevel="0" collapsed="false">
      <c r="A36" s="9"/>
      <c r="B36" s="9"/>
      <c r="C36" s="9"/>
      <c r="D36" s="9"/>
      <c r="E36" s="14"/>
      <c r="F36" s="14"/>
      <c r="G36" s="14" t="n">
        <f aca="false">SUMIFS(CB_plan!$C:$C,CB_plan!$B:$B,$A36)</f>
        <v>0</v>
      </c>
      <c r="H36" s="14" t="n">
        <f aca="false">IF(F36="",G36,F36)</f>
        <v>0</v>
      </c>
      <c r="I36" s="9"/>
      <c r="J36" s="14"/>
      <c r="K36" s="14" t="str">
        <f aca="false">IF(A36="","",Inputs!$B$13/((IF(AV36="",Inputs!$B$18,AV36)+Inputs!$B$14)^Inputs!$B$15))</f>
        <v/>
      </c>
      <c r="L36" s="14" t="str">
        <f aca="false">IF(A36="","",0.000000278*IF(I36="",Inputs!$B$17,I36)*H36*K36)</f>
        <v/>
      </c>
      <c r="M36" s="14" t="str">
        <f aca="false">IF(A36="","",SUMIFS($N$4:$N$203,$D$4:$D$203,$A36))</f>
        <v/>
      </c>
      <c r="N36" s="14" t="str">
        <f aca="false">IF(A36="","",(L36+M36)*Inputs!$B$16)</f>
        <v/>
      </c>
      <c r="O36" s="14"/>
      <c r="P36" s="14" t="str">
        <f aca="false">IF(A36="","",IF(O36="",Inputs!$B$7,O36))</f>
        <v/>
      </c>
      <c r="Q36" s="9" t="str">
        <f aca="false">IF(A36="","",IF(N36/Inputs!$B$10&lt;=AG36,Inputs!$F$5,IF(N36/Inputs!$B$10&gt;AP36,"OVERSIZE",INDEX(Inputs!$F$5:$F$14,MATCH(N36/Inputs!$B$10,AG36:AP36,1)+1))))</f>
        <v/>
      </c>
      <c r="R36" s="9"/>
      <c r="S36" s="9" t="str">
        <f aca="false">IF(A36="","",IF(R36="",Q36,R36))</f>
        <v/>
      </c>
      <c r="T36" s="14" t="str">
        <f aca="false">IF(OR(S36="",S36="OVERSIZE"),"",S36/1000)</f>
        <v/>
      </c>
      <c r="U36" s="14" t="str">
        <f aca="false">IF(T36="","",(1/Inputs!$B$9)*(PI()*T36^2/4)*((T36/4)^(2/3))*SQRT(P36))</f>
        <v/>
      </c>
      <c r="V36" s="14" t="str">
        <f aca="false">IF(OR(U36="",N36=""),"",N36/(U36*Inputs!$B$10))</f>
        <v/>
      </c>
      <c r="W36" s="14" t="str">
        <f aca="false">IF(OR(T36="",N36=""),"",4*N36/(PI()*T36^2))</f>
        <v/>
      </c>
      <c r="X36" s="14"/>
      <c r="Y36" s="14" t="str">
        <f aca="false">IF(A36="","",IF(A36=Inputs!$B$6,Inputs!$B$22,IF(D36="","",IFERROR(INDEX($Z$4:$Z$203,MATCH(D36,$A$4:$A$203,0))+IF(X36="",Inputs!$B$20,X36),""))))</f>
        <v/>
      </c>
      <c r="Z36" s="14" t="str">
        <f aca="false">IF(OR(Y36="",P36="",E36=""),"",Y36+P36*E36)</f>
        <v/>
      </c>
      <c r="AA36" s="14" t="str">
        <f aca="false">IF(C36="","",IFERROR(INDEX(Noeuds_plan!$C$4:$C$200,MATCH(C36,Noeuds_plan!$A$4:$A$200,0)),""))</f>
        <v/>
      </c>
      <c r="AB36" s="14" t="str">
        <f aca="false">IF(B36="","",IFERROR(INDEX(Noeuds_plan!$C$4:$C$200,MATCH(B36,Noeuds_plan!$A$4:$A$200,0)),""))</f>
        <v/>
      </c>
      <c r="AC36" s="14" t="str">
        <f aca="false">IF(OR(AA36="",Y36=""),"",AA36-Y36)</f>
        <v/>
      </c>
      <c r="AD36" s="14" t="str">
        <f aca="false">IF(OR(AB36="",Z36=""),"",AB36-Z36)</f>
        <v/>
      </c>
      <c r="AE36" s="19" t="str">
        <f aca="false">IF(A36="","",IF(OR(V36&gt;1,AND(AY36&lt;&gt;"",AY36&lt;Inputs!$B$11),AND(AY36&lt;&gt;"",AY36&gt;Inputs!$B$12),AC36&lt;Inputs!$B$19,AD36&lt;Inputs!$B$19,P36&lt;Inputs!$B$7,P36&gt;Inputs!$B$8),"CHECK","OK"))</f>
        <v/>
      </c>
      <c r="AF36" s="9"/>
      <c r="AG36" s="9" t="str">
        <f aca="false">IF(A36="","",(1/Inputs!$B$9)*(PI()*(Inputs!$F$5/1000)^2/4)*((Inputs!$F$5/1000/4)^(2/3))*SQRT(P36))</f>
        <v/>
      </c>
      <c r="AH36" s="9" t="str">
        <f aca="false">IF(A36="","",(1/Inputs!$B$9)*(PI()*(Inputs!$F$6/1000)^2/4)*((Inputs!$F$6/1000/4)^(2/3))*SQRT(P36))</f>
        <v/>
      </c>
      <c r="AI36" s="9" t="str">
        <f aca="false">IF(A36="","",(1/Inputs!$B$9)*(PI()*(Inputs!$F$7/1000)^2/4)*((Inputs!$F$7/1000/4)^(2/3))*SQRT(P36))</f>
        <v/>
      </c>
      <c r="AJ36" s="9" t="str">
        <f aca="false">IF(A36="","",(1/Inputs!$B$9)*(PI()*(Inputs!$F$8/1000)^2/4)*((Inputs!$F$8/1000/4)^(2/3))*SQRT(P36))</f>
        <v/>
      </c>
      <c r="AK36" s="9" t="str">
        <f aca="false">IF(A36="","",(1/Inputs!$B$9)*(PI()*(Inputs!$F$9/1000)^2/4)*((Inputs!$F$9/1000/4)^(2/3))*SQRT(P36))</f>
        <v/>
      </c>
      <c r="AL36" s="9" t="str">
        <f aca="false">IF(A36="","",(1/Inputs!$B$9)*(PI()*(Inputs!$F$10/1000)^2/4)*((Inputs!$F$10/1000/4)^(2/3))*SQRT(P36))</f>
        <v/>
      </c>
      <c r="AM36" s="9" t="str">
        <f aca="false">IF(A36="","",(1/Inputs!$B$9)*(PI()*(Inputs!$F$11/1000)^2/4)*((Inputs!$F$11/1000/4)^(2/3))*SQRT(P36))</f>
        <v/>
      </c>
      <c r="AN36" s="9" t="str">
        <f aca="false">IF(A36="","",(1/Inputs!$B$9)*(PI()*(Inputs!$F$12/1000)^2/4)*((Inputs!$F$12/1000/4)^(2/3))*SQRT(P36))</f>
        <v/>
      </c>
      <c r="AO36" s="9" t="str">
        <f aca="false">IF(A36="","",(1/Inputs!$B$9)*(PI()*(Inputs!$F$13/1000)^2/4)*((Inputs!$F$13/1000/4)^(2/3))*SQRT(P36))</f>
        <v/>
      </c>
      <c r="AP36" s="9" t="str">
        <f aca="false">IF(A36="","",(1/Inputs!$B$9)*(PI()*(Inputs!$F$14/1000)^2/4)*((Inputs!$F$14/1000/4)^(2/3))*SQRT(P36))</f>
        <v/>
      </c>
      <c r="AQ36" s="9" t="str">
        <f aca="false">IF(A36="","",COUNTIF($D$4:$D$203,$A36))</f>
        <v/>
      </c>
      <c r="AR36" s="9" t="str">
        <f aca="false">IF(A36="","",IF(AQ36=0,"START","CONTINUOUS"))</f>
        <v/>
      </c>
      <c r="AS36" s="13" t="str">
        <f aca="false">IF(A36="","",IF(J36="",Inputs!$B$18,J36))</f>
        <v/>
      </c>
      <c r="AT36" s="13" t="str">
        <f aca="false">IF(A36="","",IFERROR(maxifs($AV$4:$AV$203,$D$4:$D$203,$A36),""))</f>
        <v/>
      </c>
      <c r="AU36" s="13" t="str">
        <f aca="false">IF(A36="","",IF(OR(E36="",Inputs!$B$23=""),"",E36/(Inputs!$B$23*60)))</f>
        <v/>
      </c>
      <c r="AV36" s="13" t="str">
        <f aca="false">IF(A36="","",IF(AQ36=0,AS36+AU36,IF(AT36="",AS36+AU36,AT36+AU36)))</f>
        <v/>
      </c>
      <c r="AW36" s="13" t="str">
        <f aca="false">IF(A36="","",W36)</f>
        <v/>
      </c>
      <c r="AX36" s="13" t="str">
        <f aca="false">IF(OR(T36="",P36=""),"",(1/Inputs!$B$9)*((T36/4)^(2/3))*SQRT(P36))</f>
        <v/>
      </c>
      <c r="AY36" s="13" t="str">
        <f aca="false">IF(A36="","",IF(AND(AW36="",AX36="",BA36=""),"",IF(OR(UPPER(TRIM(Inputs!$B$24))="MANNING",UPPER(TRIM(Inputs!$B$24))="M"),AX36,IF(OR(UPPER(TRIM(Inputs!$B$24))="PARTIAL",UPPER(TRIM(Inputs!$B$24))="P"),BA36,IF(OR(UPPER(TRIM(Inputs!$B$24))="MAX",UPPER(TRIM(Inputs!$B$24))="X"),MAX(IF(AW36="",0,AW36),IF(AX36="",0,AX36),IF(BA36="",0,BA36)),AW36)))))</f>
        <v/>
      </c>
      <c r="AZ36" s="13" t="str">
        <f aca="false">IF(BB36="","",CH36)</f>
        <v/>
      </c>
      <c r="BA36" s="13" t="str">
        <f aca="false">IF(OR(BB36="",AZ36="",T36="",T36&lt;=0,AZ36&lt;=0),"",BB36/((T36^2/8)*(2*ACOS(1-2*AZ36/T36)-SIN(2*ACOS(1-2*AZ36/T36)))))</f>
        <v/>
      </c>
      <c r="BB36" s="9" t="str">
        <f aca="false">IF(OR(N36="",BC36=""),"",MIN(N36,BC36))</f>
        <v/>
      </c>
      <c r="BC36" s="9" t="str">
        <f aca="false">IF(OR(N36="",T36="",P36=""),"",IF(OR(T36="",P36="",(0.94*T36)="",T36&lt;=0,(0.94*T36)&lt;=0),"",(1/Inputs!$B$9)*((T36^2/8)*((2*ACOS(1-2*(0.94*T36)/T36))-SIN((2*ACOS(1-2*(0.94*T36)/T36)))))*((((T36^2/8)*((2*ACOS(1-2*(0.94*T36)/T36))-SIN((2*ACOS(1-2*(0.94*T36)/T36)))))/((T36/2)*((2*ACOS(1-2*(0.94*T36)/T36)))))^(2/3))*SQRT(P36)))</f>
        <v/>
      </c>
      <c r="BD36" s="9" t="str">
        <f aca="false">IF(BB36="","",0.001*T36)</f>
        <v/>
      </c>
      <c r="BE36" s="9" t="str">
        <f aca="false">IF(BB36="","",0.94*T36)</f>
        <v/>
      </c>
      <c r="BF36" s="9" t="str">
        <f aca="false">IF(BB36="","",(BD36+BE36)/2)</f>
        <v/>
      </c>
      <c r="BG36" s="9" t="str">
        <f aca="false">IF(OR(T36="",P36="",BF36="",T36&lt;=0,BF36&lt;=0),"",(1/Inputs!$B$9)*((T36^2/8)*((2*ACOS(1-2*BF36/T36))-SIN((2*ACOS(1-2*BF36/T36)))))*((((T36^2/8)*((2*ACOS(1-2*BF36/T36))-SIN((2*ACOS(1-2*BF36/T36)))))/((T36/2)*((2*ACOS(1-2*BF36/T36)))))^(2/3))*SQRT(P36))</f>
        <v/>
      </c>
      <c r="BH36" s="9" t="str">
        <f aca="false">IF(BB36="","",IF(BG36&lt;BB36,BF36,BD36))</f>
        <v/>
      </c>
      <c r="BI36" s="9" t="str">
        <f aca="false">IF(BB36="","",IF(BG36&lt;BB36,BE36,BF36))</f>
        <v/>
      </c>
      <c r="BJ36" s="9" t="str">
        <f aca="false">IF(BB36="","",(BH36+BI36)/2)</f>
        <v/>
      </c>
      <c r="BK36" s="9" t="str">
        <f aca="false">IF(OR(T36="",P36="",BJ36="",T36&lt;=0,BJ36&lt;=0),"",(1/Inputs!$B$9)*((T36^2/8)*((2*ACOS(1-2*BJ36/T36))-SIN((2*ACOS(1-2*BJ36/T36)))))*((((T36^2/8)*((2*ACOS(1-2*BJ36/T36))-SIN((2*ACOS(1-2*BJ36/T36)))))/((T36/2)*((2*ACOS(1-2*BJ36/T36)))))^(2/3))*SQRT(P36))</f>
        <v/>
      </c>
      <c r="BL36" s="9" t="str">
        <f aca="false">IF(BB36="","",IF(BK36&lt;BB36,BJ36,BH36))</f>
        <v/>
      </c>
      <c r="BM36" s="9" t="str">
        <f aca="false">IF(BB36="","",IF(BK36&lt;BB36,BI36,BJ36))</f>
        <v/>
      </c>
      <c r="BN36" s="9" t="str">
        <f aca="false">IF(BB36="","",(BL36+BM36)/2)</f>
        <v/>
      </c>
      <c r="BO36" s="9" t="str">
        <f aca="false">IF(OR(T36="",P36="",BN36="",T36&lt;=0,BN36&lt;=0),"",(1/Inputs!$B$9)*((T36^2/8)*((2*ACOS(1-2*BN36/T36))-SIN((2*ACOS(1-2*BN36/T36)))))*((((T36^2/8)*((2*ACOS(1-2*BN36/T36))-SIN((2*ACOS(1-2*BN36/T36)))))/((T36/2)*((2*ACOS(1-2*BN36/T36)))))^(2/3))*SQRT(P36))</f>
        <v/>
      </c>
      <c r="BP36" s="9" t="str">
        <f aca="false">IF(BB36="","",IF(BO36&lt;BB36,BN36,BL36))</f>
        <v/>
      </c>
      <c r="BQ36" s="9" t="str">
        <f aca="false">IF(BB36="","",IF(BO36&lt;BB36,BM36,BN36))</f>
        <v/>
      </c>
      <c r="BR36" s="9" t="str">
        <f aca="false">IF(BB36="","",(BP36+BQ36)/2)</f>
        <v/>
      </c>
      <c r="BS36" s="9" t="str">
        <f aca="false">IF(OR(T36="",P36="",BR36="",T36&lt;=0,BR36&lt;=0),"",(1/Inputs!$B$9)*((T36^2/8)*((2*ACOS(1-2*BR36/T36))-SIN((2*ACOS(1-2*BR36/T36)))))*((((T36^2/8)*((2*ACOS(1-2*BR36/T36))-SIN((2*ACOS(1-2*BR36/T36)))))/((T36/2)*((2*ACOS(1-2*BR36/T36)))))^(2/3))*SQRT(P36))</f>
        <v/>
      </c>
      <c r="BT36" s="9" t="str">
        <f aca="false">IF(BB36="","",IF(BS36&lt;BB36,BR36,BP36))</f>
        <v/>
      </c>
      <c r="BU36" s="9" t="str">
        <f aca="false">IF(BB36="","",IF(BS36&lt;BB36,BQ36,BR36))</f>
        <v/>
      </c>
      <c r="BV36" s="9" t="str">
        <f aca="false">IF(BB36="","",(BT36+BU36)/2)</f>
        <v/>
      </c>
      <c r="BW36" s="9" t="str">
        <f aca="false">IF(OR(T36="",P36="",BV36="",T36&lt;=0,BV36&lt;=0),"",(1/Inputs!$B$9)*((T36^2/8)*((2*ACOS(1-2*BV36/T36))-SIN((2*ACOS(1-2*BV36/T36)))))*((((T36^2/8)*((2*ACOS(1-2*BV36/T36))-SIN((2*ACOS(1-2*BV36/T36)))))/((T36/2)*((2*ACOS(1-2*BV36/T36)))))^(2/3))*SQRT(P36))</f>
        <v/>
      </c>
      <c r="BX36" s="9" t="str">
        <f aca="false">IF(BB36="","",IF(BW36&lt;BB36,BV36,BT36))</f>
        <v/>
      </c>
      <c r="BY36" s="9" t="str">
        <f aca="false">IF(BB36="","",IF(BW36&lt;BB36,BU36,BV36))</f>
        <v/>
      </c>
      <c r="BZ36" s="9" t="str">
        <f aca="false">IF(BB36="","",(BX36+BY36)/2)</f>
        <v/>
      </c>
      <c r="CA36" s="9" t="str">
        <f aca="false">IF(OR(T36="",P36="",BZ36="",T36&lt;=0,BZ36&lt;=0),"",(1/Inputs!$B$9)*((T36^2/8)*((2*ACOS(1-2*BZ36/T36))-SIN((2*ACOS(1-2*BZ36/T36)))))*((((T36^2/8)*((2*ACOS(1-2*BZ36/T36))-SIN((2*ACOS(1-2*BZ36/T36)))))/((T36/2)*((2*ACOS(1-2*BZ36/T36)))))^(2/3))*SQRT(P36))</f>
        <v/>
      </c>
      <c r="CB36" s="9" t="str">
        <f aca="false">IF(BB36="","",IF(CA36&lt;BB36,BZ36,BX36))</f>
        <v/>
      </c>
      <c r="CC36" s="9" t="str">
        <f aca="false">IF(BB36="","",IF(CA36&lt;BB36,BY36,BZ36))</f>
        <v/>
      </c>
      <c r="CD36" s="9" t="str">
        <f aca="false">IF(BB36="","",(CB36+CC36)/2)</f>
        <v/>
      </c>
      <c r="CE36" s="9" t="str">
        <f aca="false">IF(OR(T36="",P36="",CD36="",T36&lt;=0,CD36&lt;=0),"",(1/Inputs!$B$9)*((T36^2/8)*((2*ACOS(1-2*CD36/T36))-SIN((2*ACOS(1-2*CD36/T36)))))*((((T36^2/8)*((2*ACOS(1-2*CD36/T36))-SIN((2*ACOS(1-2*CD36/T36)))))/((T36/2)*((2*ACOS(1-2*CD36/T36)))))^(2/3))*SQRT(P36))</f>
        <v/>
      </c>
      <c r="CF36" s="9" t="str">
        <f aca="false">IF(BB36="","",IF(CE36&lt;BB36,CD36,CB36))</f>
        <v/>
      </c>
      <c r="CG36" s="9" t="str">
        <f aca="false">IF(BB36="","",IF(CE36&lt;BB36,CC36,CD36))</f>
        <v/>
      </c>
      <c r="CH36" s="9" t="str">
        <f aca="false">IF(BB36="","",(CF36+CG36)/2)</f>
        <v/>
      </c>
    </row>
    <row r="37" customFormat="false" ht="15" hidden="false" customHeight="false" outlineLevel="0" collapsed="false">
      <c r="A37" s="9"/>
      <c r="B37" s="9"/>
      <c r="C37" s="9"/>
      <c r="D37" s="9"/>
      <c r="E37" s="14"/>
      <c r="F37" s="14"/>
      <c r="G37" s="14" t="n">
        <f aca="false">SUMIFS(CB_plan!$C:$C,CB_plan!$B:$B,$A37)</f>
        <v>0</v>
      </c>
      <c r="H37" s="14" t="n">
        <f aca="false">IF(F37="",G37,F37)</f>
        <v>0</v>
      </c>
      <c r="I37" s="9"/>
      <c r="J37" s="14"/>
      <c r="K37" s="14" t="str">
        <f aca="false">IF(A37="","",Inputs!$B$13/((IF(AV37="",Inputs!$B$18,AV37)+Inputs!$B$14)^Inputs!$B$15))</f>
        <v/>
      </c>
      <c r="L37" s="14" t="str">
        <f aca="false">IF(A37="","",0.000000278*IF(I37="",Inputs!$B$17,I37)*H37*K37)</f>
        <v/>
      </c>
      <c r="M37" s="14" t="str">
        <f aca="false">IF(A37="","",SUMIFS($N$4:$N$203,$D$4:$D$203,$A37))</f>
        <v/>
      </c>
      <c r="N37" s="14" t="str">
        <f aca="false">IF(A37="","",(L37+M37)*Inputs!$B$16)</f>
        <v/>
      </c>
      <c r="O37" s="14"/>
      <c r="P37" s="14" t="str">
        <f aca="false">IF(A37="","",IF(O37="",Inputs!$B$7,O37))</f>
        <v/>
      </c>
      <c r="Q37" s="9" t="str">
        <f aca="false">IF(A37="","",IF(N37/Inputs!$B$10&lt;=AG37,Inputs!$F$5,IF(N37/Inputs!$B$10&gt;AP37,"OVERSIZE",INDEX(Inputs!$F$5:$F$14,MATCH(N37/Inputs!$B$10,AG37:AP37,1)+1))))</f>
        <v/>
      </c>
      <c r="R37" s="9"/>
      <c r="S37" s="9" t="str">
        <f aca="false">IF(A37="","",IF(R37="",Q37,R37))</f>
        <v/>
      </c>
      <c r="T37" s="14" t="str">
        <f aca="false">IF(OR(S37="",S37="OVERSIZE"),"",S37/1000)</f>
        <v/>
      </c>
      <c r="U37" s="14" t="str">
        <f aca="false">IF(T37="","",(1/Inputs!$B$9)*(PI()*T37^2/4)*((T37/4)^(2/3))*SQRT(P37))</f>
        <v/>
      </c>
      <c r="V37" s="14" t="str">
        <f aca="false">IF(OR(U37="",N37=""),"",N37/(U37*Inputs!$B$10))</f>
        <v/>
      </c>
      <c r="W37" s="14" t="str">
        <f aca="false">IF(OR(T37="",N37=""),"",4*N37/(PI()*T37^2))</f>
        <v/>
      </c>
      <c r="X37" s="14"/>
      <c r="Y37" s="14" t="str">
        <f aca="false">IF(A37="","",IF(A37=Inputs!$B$6,Inputs!$B$22,IF(D37="","",IFERROR(INDEX($Z$4:$Z$203,MATCH(D37,$A$4:$A$203,0))+IF(X37="",Inputs!$B$20,X37),""))))</f>
        <v/>
      </c>
      <c r="Z37" s="14" t="str">
        <f aca="false">IF(OR(Y37="",P37="",E37=""),"",Y37+P37*E37)</f>
        <v/>
      </c>
      <c r="AA37" s="14" t="str">
        <f aca="false">IF(C37="","",IFERROR(INDEX(Noeuds_plan!$C$4:$C$200,MATCH(C37,Noeuds_plan!$A$4:$A$200,0)),""))</f>
        <v/>
      </c>
      <c r="AB37" s="14" t="str">
        <f aca="false">IF(B37="","",IFERROR(INDEX(Noeuds_plan!$C$4:$C$200,MATCH(B37,Noeuds_plan!$A$4:$A$200,0)),""))</f>
        <v/>
      </c>
      <c r="AC37" s="14" t="str">
        <f aca="false">IF(OR(AA37="",Y37=""),"",AA37-Y37)</f>
        <v/>
      </c>
      <c r="AD37" s="14" t="str">
        <f aca="false">IF(OR(AB37="",Z37=""),"",AB37-Z37)</f>
        <v/>
      </c>
      <c r="AE37" s="19" t="str">
        <f aca="false">IF(A37="","",IF(OR(V37&gt;1,AND(AY37&lt;&gt;"",AY37&lt;Inputs!$B$11),AND(AY37&lt;&gt;"",AY37&gt;Inputs!$B$12),AC37&lt;Inputs!$B$19,AD37&lt;Inputs!$B$19,P37&lt;Inputs!$B$7,P37&gt;Inputs!$B$8),"CHECK","OK"))</f>
        <v/>
      </c>
      <c r="AF37" s="9"/>
      <c r="AG37" s="9" t="str">
        <f aca="false">IF(A37="","",(1/Inputs!$B$9)*(PI()*(Inputs!$F$5/1000)^2/4)*((Inputs!$F$5/1000/4)^(2/3))*SQRT(P37))</f>
        <v/>
      </c>
      <c r="AH37" s="9" t="str">
        <f aca="false">IF(A37="","",(1/Inputs!$B$9)*(PI()*(Inputs!$F$6/1000)^2/4)*((Inputs!$F$6/1000/4)^(2/3))*SQRT(P37))</f>
        <v/>
      </c>
      <c r="AI37" s="9" t="str">
        <f aca="false">IF(A37="","",(1/Inputs!$B$9)*(PI()*(Inputs!$F$7/1000)^2/4)*((Inputs!$F$7/1000/4)^(2/3))*SQRT(P37))</f>
        <v/>
      </c>
      <c r="AJ37" s="9" t="str">
        <f aca="false">IF(A37="","",(1/Inputs!$B$9)*(PI()*(Inputs!$F$8/1000)^2/4)*((Inputs!$F$8/1000/4)^(2/3))*SQRT(P37))</f>
        <v/>
      </c>
      <c r="AK37" s="9" t="str">
        <f aca="false">IF(A37="","",(1/Inputs!$B$9)*(PI()*(Inputs!$F$9/1000)^2/4)*((Inputs!$F$9/1000/4)^(2/3))*SQRT(P37))</f>
        <v/>
      </c>
      <c r="AL37" s="9" t="str">
        <f aca="false">IF(A37="","",(1/Inputs!$B$9)*(PI()*(Inputs!$F$10/1000)^2/4)*((Inputs!$F$10/1000/4)^(2/3))*SQRT(P37))</f>
        <v/>
      </c>
      <c r="AM37" s="9" t="str">
        <f aca="false">IF(A37="","",(1/Inputs!$B$9)*(PI()*(Inputs!$F$11/1000)^2/4)*((Inputs!$F$11/1000/4)^(2/3))*SQRT(P37))</f>
        <v/>
      </c>
      <c r="AN37" s="9" t="str">
        <f aca="false">IF(A37="","",(1/Inputs!$B$9)*(PI()*(Inputs!$F$12/1000)^2/4)*((Inputs!$F$12/1000/4)^(2/3))*SQRT(P37))</f>
        <v/>
      </c>
      <c r="AO37" s="9" t="str">
        <f aca="false">IF(A37="","",(1/Inputs!$B$9)*(PI()*(Inputs!$F$13/1000)^2/4)*((Inputs!$F$13/1000/4)^(2/3))*SQRT(P37))</f>
        <v/>
      </c>
      <c r="AP37" s="9" t="str">
        <f aca="false">IF(A37="","",(1/Inputs!$B$9)*(PI()*(Inputs!$F$14/1000)^2/4)*((Inputs!$F$14/1000/4)^(2/3))*SQRT(P37))</f>
        <v/>
      </c>
      <c r="AQ37" s="9" t="str">
        <f aca="false">IF(A37="","",COUNTIF($D$4:$D$203,$A37))</f>
        <v/>
      </c>
      <c r="AR37" s="9" t="str">
        <f aca="false">IF(A37="","",IF(AQ37=0,"START","CONTINUOUS"))</f>
        <v/>
      </c>
      <c r="AS37" s="13" t="str">
        <f aca="false">IF(A37="","",IF(J37="",Inputs!$B$18,J37))</f>
        <v/>
      </c>
      <c r="AT37" s="13" t="str">
        <f aca="false">IF(A37="","",IFERROR(maxifs($AV$4:$AV$203,$D$4:$D$203,$A37),""))</f>
        <v/>
      </c>
      <c r="AU37" s="13" t="str">
        <f aca="false">IF(A37="","",IF(OR(E37="",Inputs!$B$23=""),"",E37/(Inputs!$B$23*60)))</f>
        <v/>
      </c>
      <c r="AV37" s="13" t="str">
        <f aca="false">IF(A37="","",IF(AQ37=0,AS37+AU37,IF(AT37="",AS37+AU37,AT37+AU37)))</f>
        <v/>
      </c>
      <c r="AW37" s="13" t="str">
        <f aca="false">IF(A37="","",W37)</f>
        <v/>
      </c>
      <c r="AX37" s="13" t="str">
        <f aca="false">IF(OR(T37="",P37=""),"",(1/Inputs!$B$9)*((T37/4)^(2/3))*SQRT(P37))</f>
        <v/>
      </c>
      <c r="AY37" s="13" t="str">
        <f aca="false">IF(A37="","",IF(AND(AW37="",AX37="",BA37=""),"",IF(OR(UPPER(TRIM(Inputs!$B$24))="MANNING",UPPER(TRIM(Inputs!$B$24))="M"),AX37,IF(OR(UPPER(TRIM(Inputs!$B$24))="PARTIAL",UPPER(TRIM(Inputs!$B$24))="P"),BA37,IF(OR(UPPER(TRIM(Inputs!$B$24))="MAX",UPPER(TRIM(Inputs!$B$24))="X"),MAX(IF(AW37="",0,AW37),IF(AX37="",0,AX37),IF(BA37="",0,BA37)),AW37)))))</f>
        <v/>
      </c>
      <c r="AZ37" s="13" t="str">
        <f aca="false">IF(BB37="","",CH37)</f>
        <v/>
      </c>
      <c r="BA37" s="13" t="str">
        <f aca="false">IF(OR(BB37="",AZ37="",T37="",T37&lt;=0,AZ37&lt;=0),"",BB37/((T37^2/8)*(2*ACOS(1-2*AZ37/T37)-SIN(2*ACOS(1-2*AZ37/T37)))))</f>
        <v/>
      </c>
      <c r="BB37" s="9" t="str">
        <f aca="false">IF(OR(N37="",BC37=""),"",MIN(N37,BC37))</f>
        <v/>
      </c>
      <c r="BC37" s="9" t="str">
        <f aca="false">IF(OR(N37="",T37="",P37=""),"",IF(OR(T37="",P37="",(0.94*T37)="",T37&lt;=0,(0.94*T37)&lt;=0),"",(1/Inputs!$B$9)*((T37^2/8)*((2*ACOS(1-2*(0.94*T37)/T37))-SIN((2*ACOS(1-2*(0.94*T37)/T37)))))*((((T37^2/8)*((2*ACOS(1-2*(0.94*T37)/T37))-SIN((2*ACOS(1-2*(0.94*T37)/T37)))))/((T37/2)*((2*ACOS(1-2*(0.94*T37)/T37)))))^(2/3))*SQRT(P37)))</f>
        <v/>
      </c>
      <c r="BD37" s="9" t="str">
        <f aca="false">IF(BB37="","",0.001*T37)</f>
        <v/>
      </c>
      <c r="BE37" s="9" t="str">
        <f aca="false">IF(BB37="","",0.94*T37)</f>
        <v/>
      </c>
      <c r="BF37" s="9" t="str">
        <f aca="false">IF(BB37="","",(BD37+BE37)/2)</f>
        <v/>
      </c>
      <c r="BG37" s="9" t="str">
        <f aca="false">IF(OR(T37="",P37="",BF37="",T37&lt;=0,BF37&lt;=0),"",(1/Inputs!$B$9)*((T37^2/8)*((2*ACOS(1-2*BF37/T37))-SIN((2*ACOS(1-2*BF37/T37)))))*((((T37^2/8)*((2*ACOS(1-2*BF37/T37))-SIN((2*ACOS(1-2*BF37/T37)))))/((T37/2)*((2*ACOS(1-2*BF37/T37)))))^(2/3))*SQRT(P37))</f>
        <v/>
      </c>
      <c r="BH37" s="9" t="str">
        <f aca="false">IF(BB37="","",IF(BG37&lt;BB37,BF37,BD37))</f>
        <v/>
      </c>
      <c r="BI37" s="9" t="str">
        <f aca="false">IF(BB37="","",IF(BG37&lt;BB37,BE37,BF37))</f>
        <v/>
      </c>
      <c r="BJ37" s="9" t="str">
        <f aca="false">IF(BB37="","",(BH37+BI37)/2)</f>
        <v/>
      </c>
      <c r="BK37" s="9" t="str">
        <f aca="false">IF(OR(T37="",P37="",BJ37="",T37&lt;=0,BJ37&lt;=0),"",(1/Inputs!$B$9)*((T37^2/8)*((2*ACOS(1-2*BJ37/T37))-SIN((2*ACOS(1-2*BJ37/T37)))))*((((T37^2/8)*((2*ACOS(1-2*BJ37/T37))-SIN((2*ACOS(1-2*BJ37/T37)))))/((T37/2)*((2*ACOS(1-2*BJ37/T37)))))^(2/3))*SQRT(P37))</f>
        <v/>
      </c>
      <c r="BL37" s="9" t="str">
        <f aca="false">IF(BB37="","",IF(BK37&lt;BB37,BJ37,BH37))</f>
        <v/>
      </c>
      <c r="BM37" s="9" t="str">
        <f aca="false">IF(BB37="","",IF(BK37&lt;BB37,BI37,BJ37))</f>
        <v/>
      </c>
      <c r="BN37" s="9" t="str">
        <f aca="false">IF(BB37="","",(BL37+BM37)/2)</f>
        <v/>
      </c>
      <c r="BO37" s="9" t="str">
        <f aca="false">IF(OR(T37="",P37="",BN37="",T37&lt;=0,BN37&lt;=0),"",(1/Inputs!$B$9)*((T37^2/8)*((2*ACOS(1-2*BN37/T37))-SIN((2*ACOS(1-2*BN37/T37)))))*((((T37^2/8)*((2*ACOS(1-2*BN37/T37))-SIN((2*ACOS(1-2*BN37/T37)))))/((T37/2)*((2*ACOS(1-2*BN37/T37)))))^(2/3))*SQRT(P37))</f>
        <v/>
      </c>
      <c r="BP37" s="9" t="str">
        <f aca="false">IF(BB37="","",IF(BO37&lt;BB37,BN37,BL37))</f>
        <v/>
      </c>
      <c r="BQ37" s="9" t="str">
        <f aca="false">IF(BB37="","",IF(BO37&lt;BB37,BM37,BN37))</f>
        <v/>
      </c>
      <c r="BR37" s="9" t="str">
        <f aca="false">IF(BB37="","",(BP37+BQ37)/2)</f>
        <v/>
      </c>
      <c r="BS37" s="9" t="str">
        <f aca="false">IF(OR(T37="",P37="",BR37="",T37&lt;=0,BR37&lt;=0),"",(1/Inputs!$B$9)*((T37^2/8)*((2*ACOS(1-2*BR37/T37))-SIN((2*ACOS(1-2*BR37/T37)))))*((((T37^2/8)*((2*ACOS(1-2*BR37/T37))-SIN((2*ACOS(1-2*BR37/T37)))))/((T37/2)*((2*ACOS(1-2*BR37/T37)))))^(2/3))*SQRT(P37))</f>
        <v/>
      </c>
      <c r="BT37" s="9" t="str">
        <f aca="false">IF(BB37="","",IF(BS37&lt;BB37,BR37,BP37))</f>
        <v/>
      </c>
      <c r="BU37" s="9" t="str">
        <f aca="false">IF(BB37="","",IF(BS37&lt;BB37,BQ37,BR37))</f>
        <v/>
      </c>
      <c r="BV37" s="9" t="str">
        <f aca="false">IF(BB37="","",(BT37+BU37)/2)</f>
        <v/>
      </c>
      <c r="BW37" s="9" t="str">
        <f aca="false">IF(OR(T37="",P37="",BV37="",T37&lt;=0,BV37&lt;=0),"",(1/Inputs!$B$9)*((T37^2/8)*((2*ACOS(1-2*BV37/T37))-SIN((2*ACOS(1-2*BV37/T37)))))*((((T37^2/8)*((2*ACOS(1-2*BV37/T37))-SIN((2*ACOS(1-2*BV37/T37)))))/((T37/2)*((2*ACOS(1-2*BV37/T37)))))^(2/3))*SQRT(P37))</f>
        <v/>
      </c>
      <c r="BX37" s="9" t="str">
        <f aca="false">IF(BB37="","",IF(BW37&lt;BB37,BV37,BT37))</f>
        <v/>
      </c>
      <c r="BY37" s="9" t="str">
        <f aca="false">IF(BB37="","",IF(BW37&lt;BB37,BU37,BV37))</f>
        <v/>
      </c>
      <c r="BZ37" s="9" t="str">
        <f aca="false">IF(BB37="","",(BX37+BY37)/2)</f>
        <v/>
      </c>
      <c r="CA37" s="9" t="str">
        <f aca="false">IF(OR(T37="",P37="",BZ37="",T37&lt;=0,BZ37&lt;=0),"",(1/Inputs!$B$9)*((T37^2/8)*((2*ACOS(1-2*BZ37/T37))-SIN((2*ACOS(1-2*BZ37/T37)))))*((((T37^2/8)*((2*ACOS(1-2*BZ37/T37))-SIN((2*ACOS(1-2*BZ37/T37)))))/((T37/2)*((2*ACOS(1-2*BZ37/T37)))))^(2/3))*SQRT(P37))</f>
        <v/>
      </c>
      <c r="CB37" s="9" t="str">
        <f aca="false">IF(BB37="","",IF(CA37&lt;BB37,BZ37,BX37))</f>
        <v/>
      </c>
      <c r="CC37" s="9" t="str">
        <f aca="false">IF(BB37="","",IF(CA37&lt;BB37,BY37,BZ37))</f>
        <v/>
      </c>
      <c r="CD37" s="9" t="str">
        <f aca="false">IF(BB37="","",(CB37+CC37)/2)</f>
        <v/>
      </c>
      <c r="CE37" s="9" t="str">
        <f aca="false">IF(OR(T37="",P37="",CD37="",T37&lt;=0,CD37&lt;=0),"",(1/Inputs!$B$9)*((T37^2/8)*((2*ACOS(1-2*CD37/T37))-SIN((2*ACOS(1-2*CD37/T37)))))*((((T37^2/8)*((2*ACOS(1-2*CD37/T37))-SIN((2*ACOS(1-2*CD37/T37)))))/((T37/2)*((2*ACOS(1-2*CD37/T37)))))^(2/3))*SQRT(P37))</f>
        <v/>
      </c>
      <c r="CF37" s="9" t="str">
        <f aca="false">IF(BB37="","",IF(CE37&lt;BB37,CD37,CB37))</f>
        <v/>
      </c>
      <c r="CG37" s="9" t="str">
        <f aca="false">IF(BB37="","",IF(CE37&lt;BB37,CC37,CD37))</f>
        <v/>
      </c>
      <c r="CH37" s="9" t="str">
        <f aca="false">IF(BB37="","",(CF37+CG37)/2)</f>
        <v/>
      </c>
    </row>
    <row r="38" customFormat="false" ht="15" hidden="false" customHeight="false" outlineLevel="0" collapsed="false">
      <c r="A38" s="9"/>
      <c r="B38" s="9"/>
      <c r="C38" s="9"/>
      <c r="D38" s="9"/>
      <c r="E38" s="14"/>
      <c r="F38" s="14"/>
      <c r="G38" s="14" t="n">
        <f aca="false">SUMIFS(CB_plan!$C:$C,CB_plan!$B:$B,$A38)</f>
        <v>0</v>
      </c>
      <c r="H38" s="14" t="n">
        <f aca="false">IF(F38="",G38,F38)</f>
        <v>0</v>
      </c>
      <c r="I38" s="9"/>
      <c r="J38" s="14"/>
      <c r="K38" s="14" t="str">
        <f aca="false">IF(A38="","",Inputs!$B$13/((IF(AV38="",Inputs!$B$18,AV38)+Inputs!$B$14)^Inputs!$B$15))</f>
        <v/>
      </c>
      <c r="L38" s="14" t="str">
        <f aca="false">IF(A38="","",0.000000278*IF(I38="",Inputs!$B$17,I38)*H38*K38)</f>
        <v/>
      </c>
      <c r="M38" s="14" t="str">
        <f aca="false">IF(A38="","",SUMIFS($N$4:$N$203,$D$4:$D$203,$A38))</f>
        <v/>
      </c>
      <c r="N38" s="14" t="str">
        <f aca="false">IF(A38="","",(L38+M38)*Inputs!$B$16)</f>
        <v/>
      </c>
      <c r="O38" s="14"/>
      <c r="P38" s="14" t="str">
        <f aca="false">IF(A38="","",IF(O38="",Inputs!$B$7,O38))</f>
        <v/>
      </c>
      <c r="Q38" s="9" t="str">
        <f aca="false">IF(A38="","",IF(N38/Inputs!$B$10&lt;=AG38,Inputs!$F$5,IF(N38/Inputs!$B$10&gt;AP38,"OVERSIZE",INDEX(Inputs!$F$5:$F$14,MATCH(N38/Inputs!$B$10,AG38:AP38,1)+1))))</f>
        <v/>
      </c>
      <c r="R38" s="9"/>
      <c r="S38" s="9" t="str">
        <f aca="false">IF(A38="","",IF(R38="",Q38,R38))</f>
        <v/>
      </c>
      <c r="T38" s="14" t="str">
        <f aca="false">IF(OR(S38="",S38="OVERSIZE"),"",S38/1000)</f>
        <v/>
      </c>
      <c r="U38" s="14" t="str">
        <f aca="false">IF(T38="","",(1/Inputs!$B$9)*(PI()*T38^2/4)*((T38/4)^(2/3))*SQRT(P38))</f>
        <v/>
      </c>
      <c r="V38" s="14" t="str">
        <f aca="false">IF(OR(U38="",N38=""),"",N38/(U38*Inputs!$B$10))</f>
        <v/>
      </c>
      <c r="W38" s="14" t="str">
        <f aca="false">IF(OR(T38="",N38=""),"",4*N38/(PI()*T38^2))</f>
        <v/>
      </c>
      <c r="X38" s="14"/>
      <c r="Y38" s="14" t="str">
        <f aca="false">IF(A38="","",IF(A38=Inputs!$B$6,Inputs!$B$22,IF(D38="","",IFERROR(INDEX($Z$4:$Z$203,MATCH(D38,$A$4:$A$203,0))+IF(X38="",Inputs!$B$20,X38),""))))</f>
        <v/>
      </c>
      <c r="Z38" s="14" t="str">
        <f aca="false">IF(OR(Y38="",P38="",E38=""),"",Y38+P38*E38)</f>
        <v/>
      </c>
      <c r="AA38" s="14" t="str">
        <f aca="false">IF(C38="","",IFERROR(INDEX(Noeuds_plan!$C$4:$C$200,MATCH(C38,Noeuds_plan!$A$4:$A$200,0)),""))</f>
        <v/>
      </c>
      <c r="AB38" s="14" t="str">
        <f aca="false">IF(B38="","",IFERROR(INDEX(Noeuds_plan!$C$4:$C$200,MATCH(B38,Noeuds_plan!$A$4:$A$200,0)),""))</f>
        <v/>
      </c>
      <c r="AC38" s="14" t="str">
        <f aca="false">IF(OR(AA38="",Y38=""),"",AA38-Y38)</f>
        <v/>
      </c>
      <c r="AD38" s="14" t="str">
        <f aca="false">IF(OR(AB38="",Z38=""),"",AB38-Z38)</f>
        <v/>
      </c>
      <c r="AE38" s="19" t="str">
        <f aca="false">IF(A38="","",IF(OR(V38&gt;1,AND(AY38&lt;&gt;"",AY38&lt;Inputs!$B$11),AND(AY38&lt;&gt;"",AY38&gt;Inputs!$B$12),AC38&lt;Inputs!$B$19,AD38&lt;Inputs!$B$19,P38&lt;Inputs!$B$7,P38&gt;Inputs!$B$8),"CHECK","OK"))</f>
        <v/>
      </c>
      <c r="AF38" s="9"/>
      <c r="AG38" s="9" t="str">
        <f aca="false">IF(A38="","",(1/Inputs!$B$9)*(PI()*(Inputs!$F$5/1000)^2/4)*((Inputs!$F$5/1000/4)^(2/3))*SQRT(P38))</f>
        <v/>
      </c>
      <c r="AH38" s="9" t="str">
        <f aca="false">IF(A38="","",(1/Inputs!$B$9)*(PI()*(Inputs!$F$6/1000)^2/4)*((Inputs!$F$6/1000/4)^(2/3))*SQRT(P38))</f>
        <v/>
      </c>
      <c r="AI38" s="9" t="str">
        <f aca="false">IF(A38="","",(1/Inputs!$B$9)*(PI()*(Inputs!$F$7/1000)^2/4)*((Inputs!$F$7/1000/4)^(2/3))*SQRT(P38))</f>
        <v/>
      </c>
      <c r="AJ38" s="9" t="str">
        <f aca="false">IF(A38="","",(1/Inputs!$B$9)*(PI()*(Inputs!$F$8/1000)^2/4)*((Inputs!$F$8/1000/4)^(2/3))*SQRT(P38))</f>
        <v/>
      </c>
      <c r="AK38" s="9" t="str">
        <f aca="false">IF(A38="","",(1/Inputs!$B$9)*(PI()*(Inputs!$F$9/1000)^2/4)*((Inputs!$F$9/1000/4)^(2/3))*SQRT(P38))</f>
        <v/>
      </c>
      <c r="AL38" s="9" t="str">
        <f aca="false">IF(A38="","",(1/Inputs!$B$9)*(PI()*(Inputs!$F$10/1000)^2/4)*((Inputs!$F$10/1000/4)^(2/3))*SQRT(P38))</f>
        <v/>
      </c>
      <c r="AM38" s="9" t="str">
        <f aca="false">IF(A38="","",(1/Inputs!$B$9)*(PI()*(Inputs!$F$11/1000)^2/4)*((Inputs!$F$11/1000/4)^(2/3))*SQRT(P38))</f>
        <v/>
      </c>
      <c r="AN38" s="9" t="str">
        <f aca="false">IF(A38="","",(1/Inputs!$B$9)*(PI()*(Inputs!$F$12/1000)^2/4)*((Inputs!$F$12/1000/4)^(2/3))*SQRT(P38))</f>
        <v/>
      </c>
      <c r="AO38" s="9" t="str">
        <f aca="false">IF(A38="","",(1/Inputs!$B$9)*(PI()*(Inputs!$F$13/1000)^2/4)*((Inputs!$F$13/1000/4)^(2/3))*SQRT(P38))</f>
        <v/>
      </c>
      <c r="AP38" s="9" t="str">
        <f aca="false">IF(A38="","",(1/Inputs!$B$9)*(PI()*(Inputs!$F$14/1000)^2/4)*((Inputs!$F$14/1000/4)^(2/3))*SQRT(P38))</f>
        <v/>
      </c>
      <c r="AQ38" s="9" t="str">
        <f aca="false">IF(A38="","",COUNTIF($D$4:$D$203,$A38))</f>
        <v/>
      </c>
      <c r="AR38" s="9" t="str">
        <f aca="false">IF(A38="","",IF(AQ38=0,"START","CONTINUOUS"))</f>
        <v/>
      </c>
      <c r="AS38" s="13" t="str">
        <f aca="false">IF(A38="","",IF(J38="",Inputs!$B$18,J38))</f>
        <v/>
      </c>
      <c r="AT38" s="13" t="str">
        <f aca="false">IF(A38="","",IFERROR(maxifs($AV$4:$AV$203,$D$4:$D$203,$A38),""))</f>
        <v/>
      </c>
      <c r="AU38" s="13" t="str">
        <f aca="false">IF(A38="","",IF(OR(E38="",Inputs!$B$23=""),"",E38/(Inputs!$B$23*60)))</f>
        <v/>
      </c>
      <c r="AV38" s="13" t="str">
        <f aca="false">IF(A38="","",IF(AQ38=0,AS38+AU38,IF(AT38="",AS38+AU38,AT38+AU38)))</f>
        <v/>
      </c>
      <c r="AW38" s="13" t="str">
        <f aca="false">IF(A38="","",W38)</f>
        <v/>
      </c>
      <c r="AX38" s="13" t="str">
        <f aca="false">IF(OR(T38="",P38=""),"",(1/Inputs!$B$9)*((T38/4)^(2/3))*SQRT(P38))</f>
        <v/>
      </c>
      <c r="AY38" s="13" t="str">
        <f aca="false">IF(A38="","",IF(AND(AW38="",AX38="",BA38=""),"",IF(OR(UPPER(TRIM(Inputs!$B$24))="MANNING",UPPER(TRIM(Inputs!$B$24))="M"),AX38,IF(OR(UPPER(TRIM(Inputs!$B$24))="PARTIAL",UPPER(TRIM(Inputs!$B$24))="P"),BA38,IF(OR(UPPER(TRIM(Inputs!$B$24))="MAX",UPPER(TRIM(Inputs!$B$24))="X"),MAX(IF(AW38="",0,AW38),IF(AX38="",0,AX38),IF(BA38="",0,BA38)),AW38)))))</f>
        <v/>
      </c>
      <c r="AZ38" s="13" t="str">
        <f aca="false">IF(BB38="","",CH38)</f>
        <v/>
      </c>
      <c r="BA38" s="13" t="str">
        <f aca="false">IF(OR(BB38="",AZ38="",T38="",T38&lt;=0,AZ38&lt;=0),"",BB38/((T38^2/8)*(2*ACOS(1-2*AZ38/T38)-SIN(2*ACOS(1-2*AZ38/T38)))))</f>
        <v/>
      </c>
      <c r="BB38" s="9" t="str">
        <f aca="false">IF(OR(N38="",BC38=""),"",MIN(N38,BC38))</f>
        <v/>
      </c>
      <c r="BC38" s="9" t="str">
        <f aca="false">IF(OR(N38="",T38="",P38=""),"",IF(OR(T38="",P38="",(0.94*T38)="",T38&lt;=0,(0.94*T38)&lt;=0),"",(1/Inputs!$B$9)*((T38^2/8)*((2*ACOS(1-2*(0.94*T38)/T38))-SIN((2*ACOS(1-2*(0.94*T38)/T38)))))*((((T38^2/8)*((2*ACOS(1-2*(0.94*T38)/T38))-SIN((2*ACOS(1-2*(0.94*T38)/T38)))))/((T38/2)*((2*ACOS(1-2*(0.94*T38)/T38)))))^(2/3))*SQRT(P38)))</f>
        <v/>
      </c>
      <c r="BD38" s="9" t="str">
        <f aca="false">IF(BB38="","",0.001*T38)</f>
        <v/>
      </c>
      <c r="BE38" s="9" t="str">
        <f aca="false">IF(BB38="","",0.94*T38)</f>
        <v/>
      </c>
      <c r="BF38" s="9" t="str">
        <f aca="false">IF(BB38="","",(BD38+BE38)/2)</f>
        <v/>
      </c>
      <c r="BG38" s="9" t="str">
        <f aca="false">IF(OR(T38="",P38="",BF38="",T38&lt;=0,BF38&lt;=0),"",(1/Inputs!$B$9)*((T38^2/8)*((2*ACOS(1-2*BF38/T38))-SIN((2*ACOS(1-2*BF38/T38)))))*((((T38^2/8)*((2*ACOS(1-2*BF38/T38))-SIN((2*ACOS(1-2*BF38/T38)))))/((T38/2)*((2*ACOS(1-2*BF38/T38)))))^(2/3))*SQRT(P38))</f>
        <v/>
      </c>
      <c r="BH38" s="9" t="str">
        <f aca="false">IF(BB38="","",IF(BG38&lt;BB38,BF38,BD38))</f>
        <v/>
      </c>
      <c r="BI38" s="9" t="str">
        <f aca="false">IF(BB38="","",IF(BG38&lt;BB38,BE38,BF38))</f>
        <v/>
      </c>
      <c r="BJ38" s="9" t="str">
        <f aca="false">IF(BB38="","",(BH38+BI38)/2)</f>
        <v/>
      </c>
      <c r="BK38" s="9" t="str">
        <f aca="false">IF(OR(T38="",P38="",BJ38="",T38&lt;=0,BJ38&lt;=0),"",(1/Inputs!$B$9)*((T38^2/8)*((2*ACOS(1-2*BJ38/T38))-SIN((2*ACOS(1-2*BJ38/T38)))))*((((T38^2/8)*((2*ACOS(1-2*BJ38/T38))-SIN((2*ACOS(1-2*BJ38/T38)))))/((T38/2)*((2*ACOS(1-2*BJ38/T38)))))^(2/3))*SQRT(P38))</f>
        <v/>
      </c>
      <c r="BL38" s="9" t="str">
        <f aca="false">IF(BB38="","",IF(BK38&lt;BB38,BJ38,BH38))</f>
        <v/>
      </c>
      <c r="BM38" s="9" t="str">
        <f aca="false">IF(BB38="","",IF(BK38&lt;BB38,BI38,BJ38))</f>
        <v/>
      </c>
      <c r="BN38" s="9" t="str">
        <f aca="false">IF(BB38="","",(BL38+BM38)/2)</f>
        <v/>
      </c>
      <c r="BO38" s="9" t="str">
        <f aca="false">IF(OR(T38="",P38="",BN38="",T38&lt;=0,BN38&lt;=0),"",(1/Inputs!$B$9)*((T38^2/8)*((2*ACOS(1-2*BN38/T38))-SIN((2*ACOS(1-2*BN38/T38)))))*((((T38^2/8)*((2*ACOS(1-2*BN38/T38))-SIN((2*ACOS(1-2*BN38/T38)))))/((T38/2)*((2*ACOS(1-2*BN38/T38)))))^(2/3))*SQRT(P38))</f>
        <v/>
      </c>
      <c r="BP38" s="9" t="str">
        <f aca="false">IF(BB38="","",IF(BO38&lt;BB38,BN38,BL38))</f>
        <v/>
      </c>
      <c r="BQ38" s="9" t="str">
        <f aca="false">IF(BB38="","",IF(BO38&lt;BB38,BM38,BN38))</f>
        <v/>
      </c>
      <c r="BR38" s="9" t="str">
        <f aca="false">IF(BB38="","",(BP38+BQ38)/2)</f>
        <v/>
      </c>
      <c r="BS38" s="9" t="str">
        <f aca="false">IF(OR(T38="",P38="",BR38="",T38&lt;=0,BR38&lt;=0),"",(1/Inputs!$B$9)*((T38^2/8)*((2*ACOS(1-2*BR38/T38))-SIN((2*ACOS(1-2*BR38/T38)))))*((((T38^2/8)*((2*ACOS(1-2*BR38/T38))-SIN((2*ACOS(1-2*BR38/T38)))))/((T38/2)*((2*ACOS(1-2*BR38/T38)))))^(2/3))*SQRT(P38))</f>
        <v/>
      </c>
      <c r="BT38" s="9" t="str">
        <f aca="false">IF(BB38="","",IF(BS38&lt;BB38,BR38,BP38))</f>
        <v/>
      </c>
      <c r="BU38" s="9" t="str">
        <f aca="false">IF(BB38="","",IF(BS38&lt;BB38,BQ38,BR38))</f>
        <v/>
      </c>
      <c r="BV38" s="9" t="str">
        <f aca="false">IF(BB38="","",(BT38+BU38)/2)</f>
        <v/>
      </c>
      <c r="BW38" s="9" t="str">
        <f aca="false">IF(OR(T38="",P38="",BV38="",T38&lt;=0,BV38&lt;=0),"",(1/Inputs!$B$9)*((T38^2/8)*((2*ACOS(1-2*BV38/T38))-SIN((2*ACOS(1-2*BV38/T38)))))*((((T38^2/8)*((2*ACOS(1-2*BV38/T38))-SIN((2*ACOS(1-2*BV38/T38)))))/((T38/2)*((2*ACOS(1-2*BV38/T38)))))^(2/3))*SQRT(P38))</f>
        <v/>
      </c>
      <c r="BX38" s="9" t="str">
        <f aca="false">IF(BB38="","",IF(BW38&lt;BB38,BV38,BT38))</f>
        <v/>
      </c>
      <c r="BY38" s="9" t="str">
        <f aca="false">IF(BB38="","",IF(BW38&lt;BB38,BU38,BV38))</f>
        <v/>
      </c>
      <c r="BZ38" s="9" t="str">
        <f aca="false">IF(BB38="","",(BX38+BY38)/2)</f>
        <v/>
      </c>
      <c r="CA38" s="9" t="str">
        <f aca="false">IF(OR(T38="",P38="",BZ38="",T38&lt;=0,BZ38&lt;=0),"",(1/Inputs!$B$9)*((T38^2/8)*((2*ACOS(1-2*BZ38/T38))-SIN((2*ACOS(1-2*BZ38/T38)))))*((((T38^2/8)*((2*ACOS(1-2*BZ38/T38))-SIN((2*ACOS(1-2*BZ38/T38)))))/((T38/2)*((2*ACOS(1-2*BZ38/T38)))))^(2/3))*SQRT(P38))</f>
        <v/>
      </c>
      <c r="CB38" s="9" t="str">
        <f aca="false">IF(BB38="","",IF(CA38&lt;BB38,BZ38,BX38))</f>
        <v/>
      </c>
      <c r="CC38" s="9" t="str">
        <f aca="false">IF(BB38="","",IF(CA38&lt;BB38,BY38,BZ38))</f>
        <v/>
      </c>
      <c r="CD38" s="9" t="str">
        <f aca="false">IF(BB38="","",(CB38+CC38)/2)</f>
        <v/>
      </c>
      <c r="CE38" s="9" t="str">
        <f aca="false">IF(OR(T38="",P38="",CD38="",T38&lt;=0,CD38&lt;=0),"",(1/Inputs!$B$9)*((T38^2/8)*((2*ACOS(1-2*CD38/T38))-SIN((2*ACOS(1-2*CD38/T38)))))*((((T38^2/8)*((2*ACOS(1-2*CD38/T38))-SIN((2*ACOS(1-2*CD38/T38)))))/((T38/2)*((2*ACOS(1-2*CD38/T38)))))^(2/3))*SQRT(P38))</f>
        <v/>
      </c>
      <c r="CF38" s="9" t="str">
        <f aca="false">IF(BB38="","",IF(CE38&lt;BB38,CD38,CB38))</f>
        <v/>
      </c>
      <c r="CG38" s="9" t="str">
        <f aca="false">IF(BB38="","",IF(CE38&lt;BB38,CC38,CD38))</f>
        <v/>
      </c>
      <c r="CH38" s="9" t="str">
        <f aca="false">IF(BB38="","",(CF38+CG38)/2)</f>
        <v/>
      </c>
    </row>
    <row r="39" customFormat="false" ht="15" hidden="false" customHeight="false" outlineLevel="0" collapsed="false">
      <c r="A39" s="9"/>
      <c r="B39" s="9"/>
      <c r="C39" s="9"/>
      <c r="D39" s="9"/>
      <c r="E39" s="14"/>
      <c r="F39" s="14"/>
      <c r="G39" s="14" t="n">
        <f aca="false">SUMIFS(CB_plan!$C:$C,CB_plan!$B:$B,$A39)</f>
        <v>0</v>
      </c>
      <c r="H39" s="14" t="n">
        <f aca="false">IF(F39="",G39,F39)</f>
        <v>0</v>
      </c>
      <c r="I39" s="9"/>
      <c r="J39" s="14"/>
      <c r="K39" s="14" t="str">
        <f aca="false">IF(A39="","",Inputs!$B$13/((IF(AV39="",Inputs!$B$18,AV39)+Inputs!$B$14)^Inputs!$B$15))</f>
        <v/>
      </c>
      <c r="L39" s="14" t="str">
        <f aca="false">IF(A39="","",0.000000278*IF(I39="",Inputs!$B$17,I39)*H39*K39)</f>
        <v/>
      </c>
      <c r="M39" s="14" t="str">
        <f aca="false">IF(A39="","",SUMIFS($N$4:$N$203,$D$4:$D$203,$A39))</f>
        <v/>
      </c>
      <c r="N39" s="14" t="str">
        <f aca="false">IF(A39="","",(L39+M39)*Inputs!$B$16)</f>
        <v/>
      </c>
      <c r="O39" s="14"/>
      <c r="P39" s="14" t="str">
        <f aca="false">IF(A39="","",IF(O39="",Inputs!$B$7,O39))</f>
        <v/>
      </c>
      <c r="Q39" s="9" t="str">
        <f aca="false">IF(A39="","",IF(N39/Inputs!$B$10&lt;=AG39,Inputs!$F$5,IF(N39/Inputs!$B$10&gt;AP39,"OVERSIZE",INDEX(Inputs!$F$5:$F$14,MATCH(N39/Inputs!$B$10,AG39:AP39,1)+1))))</f>
        <v/>
      </c>
      <c r="R39" s="9"/>
      <c r="S39" s="9" t="str">
        <f aca="false">IF(A39="","",IF(R39="",Q39,R39))</f>
        <v/>
      </c>
      <c r="T39" s="14" t="str">
        <f aca="false">IF(OR(S39="",S39="OVERSIZE"),"",S39/1000)</f>
        <v/>
      </c>
      <c r="U39" s="14" t="str">
        <f aca="false">IF(T39="","",(1/Inputs!$B$9)*(PI()*T39^2/4)*((T39/4)^(2/3))*SQRT(P39))</f>
        <v/>
      </c>
      <c r="V39" s="14" t="str">
        <f aca="false">IF(OR(U39="",N39=""),"",N39/(U39*Inputs!$B$10))</f>
        <v/>
      </c>
      <c r="W39" s="14" t="str">
        <f aca="false">IF(OR(T39="",N39=""),"",4*N39/(PI()*T39^2))</f>
        <v/>
      </c>
      <c r="X39" s="14"/>
      <c r="Y39" s="14" t="str">
        <f aca="false">IF(A39="","",IF(A39=Inputs!$B$6,Inputs!$B$22,IF(D39="","",IFERROR(INDEX($Z$4:$Z$203,MATCH(D39,$A$4:$A$203,0))+IF(X39="",Inputs!$B$20,X39),""))))</f>
        <v/>
      </c>
      <c r="Z39" s="14" t="str">
        <f aca="false">IF(OR(Y39="",P39="",E39=""),"",Y39+P39*E39)</f>
        <v/>
      </c>
      <c r="AA39" s="14" t="str">
        <f aca="false">IF(C39="","",IFERROR(INDEX(Noeuds_plan!$C$4:$C$200,MATCH(C39,Noeuds_plan!$A$4:$A$200,0)),""))</f>
        <v/>
      </c>
      <c r="AB39" s="14" t="str">
        <f aca="false">IF(B39="","",IFERROR(INDEX(Noeuds_plan!$C$4:$C$200,MATCH(B39,Noeuds_plan!$A$4:$A$200,0)),""))</f>
        <v/>
      </c>
      <c r="AC39" s="14" t="str">
        <f aca="false">IF(OR(AA39="",Y39=""),"",AA39-Y39)</f>
        <v/>
      </c>
      <c r="AD39" s="14" t="str">
        <f aca="false">IF(OR(AB39="",Z39=""),"",AB39-Z39)</f>
        <v/>
      </c>
      <c r="AE39" s="19" t="str">
        <f aca="false">IF(A39="","",IF(OR(V39&gt;1,AND(AY39&lt;&gt;"",AY39&lt;Inputs!$B$11),AND(AY39&lt;&gt;"",AY39&gt;Inputs!$B$12),AC39&lt;Inputs!$B$19,AD39&lt;Inputs!$B$19,P39&lt;Inputs!$B$7,P39&gt;Inputs!$B$8),"CHECK","OK"))</f>
        <v/>
      </c>
      <c r="AF39" s="9"/>
      <c r="AG39" s="9" t="str">
        <f aca="false">IF(A39="","",(1/Inputs!$B$9)*(PI()*(Inputs!$F$5/1000)^2/4)*((Inputs!$F$5/1000/4)^(2/3))*SQRT(P39))</f>
        <v/>
      </c>
      <c r="AH39" s="9" t="str">
        <f aca="false">IF(A39="","",(1/Inputs!$B$9)*(PI()*(Inputs!$F$6/1000)^2/4)*((Inputs!$F$6/1000/4)^(2/3))*SQRT(P39))</f>
        <v/>
      </c>
      <c r="AI39" s="9" t="str">
        <f aca="false">IF(A39="","",(1/Inputs!$B$9)*(PI()*(Inputs!$F$7/1000)^2/4)*((Inputs!$F$7/1000/4)^(2/3))*SQRT(P39))</f>
        <v/>
      </c>
      <c r="AJ39" s="9" t="str">
        <f aca="false">IF(A39="","",(1/Inputs!$B$9)*(PI()*(Inputs!$F$8/1000)^2/4)*((Inputs!$F$8/1000/4)^(2/3))*SQRT(P39))</f>
        <v/>
      </c>
      <c r="AK39" s="9" t="str">
        <f aca="false">IF(A39="","",(1/Inputs!$B$9)*(PI()*(Inputs!$F$9/1000)^2/4)*((Inputs!$F$9/1000/4)^(2/3))*SQRT(P39))</f>
        <v/>
      </c>
      <c r="AL39" s="9" t="str">
        <f aca="false">IF(A39="","",(1/Inputs!$B$9)*(PI()*(Inputs!$F$10/1000)^2/4)*((Inputs!$F$10/1000/4)^(2/3))*SQRT(P39))</f>
        <v/>
      </c>
      <c r="AM39" s="9" t="str">
        <f aca="false">IF(A39="","",(1/Inputs!$B$9)*(PI()*(Inputs!$F$11/1000)^2/4)*((Inputs!$F$11/1000/4)^(2/3))*SQRT(P39))</f>
        <v/>
      </c>
      <c r="AN39" s="9" t="str">
        <f aca="false">IF(A39="","",(1/Inputs!$B$9)*(PI()*(Inputs!$F$12/1000)^2/4)*((Inputs!$F$12/1000/4)^(2/3))*SQRT(P39))</f>
        <v/>
      </c>
      <c r="AO39" s="9" t="str">
        <f aca="false">IF(A39="","",(1/Inputs!$B$9)*(PI()*(Inputs!$F$13/1000)^2/4)*((Inputs!$F$13/1000/4)^(2/3))*SQRT(P39))</f>
        <v/>
      </c>
      <c r="AP39" s="9" t="str">
        <f aca="false">IF(A39="","",(1/Inputs!$B$9)*(PI()*(Inputs!$F$14/1000)^2/4)*((Inputs!$F$14/1000/4)^(2/3))*SQRT(P39))</f>
        <v/>
      </c>
      <c r="AQ39" s="9" t="str">
        <f aca="false">IF(A39="","",COUNTIF($D$4:$D$203,$A39))</f>
        <v/>
      </c>
      <c r="AR39" s="9" t="str">
        <f aca="false">IF(A39="","",IF(AQ39=0,"START","CONTINUOUS"))</f>
        <v/>
      </c>
      <c r="AS39" s="13" t="str">
        <f aca="false">IF(A39="","",IF(J39="",Inputs!$B$18,J39))</f>
        <v/>
      </c>
      <c r="AT39" s="13" t="str">
        <f aca="false">IF(A39="","",IFERROR(maxifs($AV$4:$AV$203,$D$4:$D$203,$A39),""))</f>
        <v/>
      </c>
      <c r="AU39" s="13" t="str">
        <f aca="false">IF(A39="","",IF(OR(E39="",Inputs!$B$23=""),"",E39/(Inputs!$B$23*60)))</f>
        <v/>
      </c>
      <c r="AV39" s="13" t="str">
        <f aca="false">IF(A39="","",IF(AQ39=0,AS39+AU39,IF(AT39="",AS39+AU39,AT39+AU39)))</f>
        <v/>
      </c>
      <c r="AW39" s="13" t="str">
        <f aca="false">IF(A39="","",W39)</f>
        <v/>
      </c>
      <c r="AX39" s="13" t="str">
        <f aca="false">IF(OR(T39="",P39=""),"",(1/Inputs!$B$9)*((T39/4)^(2/3))*SQRT(P39))</f>
        <v/>
      </c>
      <c r="AY39" s="13" t="str">
        <f aca="false">IF(A39="","",IF(AND(AW39="",AX39="",BA39=""),"",IF(OR(UPPER(TRIM(Inputs!$B$24))="MANNING",UPPER(TRIM(Inputs!$B$24))="M"),AX39,IF(OR(UPPER(TRIM(Inputs!$B$24))="PARTIAL",UPPER(TRIM(Inputs!$B$24))="P"),BA39,IF(OR(UPPER(TRIM(Inputs!$B$24))="MAX",UPPER(TRIM(Inputs!$B$24))="X"),MAX(IF(AW39="",0,AW39),IF(AX39="",0,AX39),IF(BA39="",0,BA39)),AW39)))))</f>
        <v/>
      </c>
      <c r="AZ39" s="13" t="str">
        <f aca="false">IF(BB39="","",CH39)</f>
        <v/>
      </c>
      <c r="BA39" s="13" t="str">
        <f aca="false">IF(OR(BB39="",AZ39="",T39="",T39&lt;=0,AZ39&lt;=0),"",BB39/((T39^2/8)*(2*ACOS(1-2*AZ39/T39)-SIN(2*ACOS(1-2*AZ39/T39)))))</f>
        <v/>
      </c>
      <c r="BB39" s="9" t="str">
        <f aca="false">IF(OR(N39="",BC39=""),"",MIN(N39,BC39))</f>
        <v/>
      </c>
      <c r="BC39" s="9" t="str">
        <f aca="false">IF(OR(N39="",T39="",P39=""),"",IF(OR(T39="",P39="",(0.94*T39)="",T39&lt;=0,(0.94*T39)&lt;=0),"",(1/Inputs!$B$9)*((T39^2/8)*((2*ACOS(1-2*(0.94*T39)/T39))-SIN((2*ACOS(1-2*(0.94*T39)/T39)))))*((((T39^2/8)*((2*ACOS(1-2*(0.94*T39)/T39))-SIN((2*ACOS(1-2*(0.94*T39)/T39)))))/((T39/2)*((2*ACOS(1-2*(0.94*T39)/T39)))))^(2/3))*SQRT(P39)))</f>
        <v/>
      </c>
      <c r="BD39" s="9" t="str">
        <f aca="false">IF(BB39="","",0.001*T39)</f>
        <v/>
      </c>
      <c r="BE39" s="9" t="str">
        <f aca="false">IF(BB39="","",0.94*T39)</f>
        <v/>
      </c>
      <c r="BF39" s="9" t="str">
        <f aca="false">IF(BB39="","",(BD39+BE39)/2)</f>
        <v/>
      </c>
      <c r="BG39" s="9" t="str">
        <f aca="false">IF(OR(T39="",P39="",BF39="",T39&lt;=0,BF39&lt;=0),"",(1/Inputs!$B$9)*((T39^2/8)*((2*ACOS(1-2*BF39/T39))-SIN((2*ACOS(1-2*BF39/T39)))))*((((T39^2/8)*((2*ACOS(1-2*BF39/T39))-SIN((2*ACOS(1-2*BF39/T39)))))/((T39/2)*((2*ACOS(1-2*BF39/T39)))))^(2/3))*SQRT(P39))</f>
        <v/>
      </c>
      <c r="BH39" s="9" t="str">
        <f aca="false">IF(BB39="","",IF(BG39&lt;BB39,BF39,BD39))</f>
        <v/>
      </c>
      <c r="BI39" s="9" t="str">
        <f aca="false">IF(BB39="","",IF(BG39&lt;BB39,BE39,BF39))</f>
        <v/>
      </c>
      <c r="BJ39" s="9" t="str">
        <f aca="false">IF(BB39="","",(BH39+BI39)/2)</f>
        <v/>
      </c>
      <c r="BK39" s="9" t="str">
        <f aca="false">IF(OR(T39="",P39="",BJ39="",T39&lt;=0,BJ39&lt;=0),"",(1/Inputs!$B$9)*((T39^2/8)*((2*ACOS(1-2*BJ39/T39))-SIN((2*ACOS(1-2*BJ39/T39)))))*((((T39^2/8)*((2*ACOS(1-2*BJ39/T39))-SIN((2*ACOS(1-2*BJ39/T39)))))/((T39/2)*((2*ACOS(1-2*BJ39/T39)))))^(2/3))*SQRT(P39))</f>
        <v/>
      </c>
      <c r="BL39" s="9" t="str">
        <f aca="false">IF(BB39="","",IF(BK39&lt;BB39,BJ39,BH39))</f>
        <v/>
      </c>
      <c r="BM39" s="9" t="str">
        <f aca="false">IF(BB39="","",IF(BK39&lt;BB39,BI39,BJ39))</f>
        <v/>
      </c>
      <c r="BN39" s="9" t="str">
        <f aca="false">IF(BB39="","",(BL39+BM39)/2)</f>
        <v/>
      </c>
      <c r="BO39" s="9" t="str">
        <f aca="false">IF(OR(T39="",P39="",BN39="",T39&lt;=0,BN39&lt;=0),"",(1/Inputs!$B$9)*((T39^2/8)*((2*ACOS(1-2*BN39/T39))-SIN((2*ACOS(1-2*BN39/T39)))))*((((T39^2/8)*((2*ACOS(1-2*BN39/T39))-SIN((2*ACOS(1-2*BN39/T39)))))/((T39/2)*((2*ACOS(1-2*BN39/T39)))))^(2/3))*SQRT(P39))</f>
        <v/>
      </c>
      <c r="BP39" s="9" t="str">
        <f aca="false">IF(BB39="","",IF(BO39&lt;BB39,BN39,BL39))</f>
        <v/>
      </c>
      <c r="BQ39" s="9" t="str">
        <f aca="false">IF(BB39="","",IF(BO39&lt;BB39,BM39,BN39))</f>
        <v/>
      </c>
      <c r="BR39" s="9" t="str">
        <f aca="false">IF(BB39="","",(BP39+BQ39)/2)</f>
        <v/>
      </c>
      <c r="BS39" s="9" t="str">
        <f aca="false">IF(OR(T39="",P39="",BR39="",T39&lt;=0,BR39&lt;=0),"",(1/Inputs!$B$9)*((T39^2/8)*((2*ACOS(1-2*BR39/T39))-SIN((2*ACOS(1-2*BR39/T39)))))*((((T39^2/8)*((2*ACOS(1-2*BR39/T39))-SIN((2*ACOS(1-2*BR39/T39)))))/((T39/2)*((2*ACOS(1-2*BR39/T39)))))^(2/3))*SQRT(P39))</f>
        <v/>
      </c>
      <c r="BT39" s="9" t="str">
        <f aca="false">IF(BB39="","",IF(BS39&lt;BB39,BR39,BP39))</f>
        <v/>
      </c>
      <c r="BU39" s="9" t="str">
        <f aca="false">IF(BB39="","",IF(BS39&lt;BB39,BQ39,BR39))</f>
        <v/>
      </c>
      <c r="BV39" s="9" t="str">
        <f aca="false">IF(BB39="","",(BT39+BU39)/2)</f>
        <v/>
      </c>
      <c r="BW39" s="9" t="str">
        <f aca="false">IF(OR(T39="",P39="",BV39="",T39&lt;=0,BV39&lt;=0),"",(1/Inputs!$B$9)*((T39^2/8)*((2*ACOS(1-2*BV39/T39))-SIN((2*ACOS(1-2*BV39/T39)))))*((((T39^2/8)*((2*ACOS(1-2*BV39/T39))-SIN((2*ACOS(1-2*BV39/T39)))))/((T39/2)*((2*ACOS(1-2*BV39/T39)))))^(2/3))*SQRT(P39))</f>
        <v/>
      </c>
      <c r="BX39" s="9" t="str">
        <f aca="false">IF(BB39="","",IF(BW39&lt;BB39,BV39,BT39))</f>
        <v/>
      </c>
      <c r="BY39" s="9" t="str">
        <f aca="false">IF(BB39="","",IF(BW39&lt;BB39,BU39,BV39))</f>
        <v/>
      </c>
      <c r="BZ39" s="9" t="str">
        <f aca="false">IF(BB39="","",(BX39+BY39)/2)</f>
        <v/>
      </c>
      <c r="CA39" s="9" t="str">
        <f aca="false">IF(OR(T39="",P39="",BZ39="",T39&lt;=0,BZ39&lt;=0),"",(1/Inputs!$B$9)*((T39^2/8)*((2*ACOS(1-2*BZ39/T39))-SIN((2*ACOS(1-2*BZ39/T39)))))*((((T39^2/8)*((2*ACOS(1-2*BZ39/T39))-SIN((2*ACOS(1-2*BZ39/T39)))))/((T39/2)*((2*ACOS(1-2*BZ39/T39)))))^(2/3))*SQRT(P39))</f>
        <v/>
      </c>
      <c r="CB39" s="9" t="str">
        <f aca="false">IF(BB39="","",IF(CA39&lt;BB39,BZ39,BX39))</f>
        <v/>
      </c>
      <c r="CC39" s="9" t="str">
        <f aca="false">IF(BB39="","",IF(CA39&lt;BB39,BY39,BZ39))</f>
        <v/>
      </c>
      <c r="CD39" s="9" t="str">
        <f aca="false">IF(BB39="","",(CB39+CC39)/2)</f>
        <v/>
      </c>
      <c r="CE39" s="9" t="str">
        <f aca="false">IF(OR(T39="",P39="",CD39="",T39&lt;=0,CD39&lt;=0),"",(1/Inputs!$B$9)*((T39^2/8)*((2*ACOS(1-2*CD39/T39))-SIN((2*ACOS(1-2*CD39/T39)))))*((((T39^2/8)*((2*ACOS(1-2*CD39/T39))-SIN((2*ACOS(1-2*CD39/T39)))))/((T39/2)*((2*ACOS(1-2*CD39/T39)))))^(2/3))*SQRT(P39))</f>
        <v/>
      </c>
      <c r="CF39" s="9" t="str">
        <f aca="false">IF(BB39="","",IF(CE39&lt;BB39,CD39,CB39))</f>
        <v/>
      </c>
      <c r="CG39" s="9" t="str">
        <f aca="false">IF(BB39="","",IF(CE39&lt;BB39,CC39,CD39))</f>
        <v/>
      </c>
      <c r="CH39" s="9" t="str">
        <f aca="false">IF(BB39="","",(CF39+CG39)/2)</f>
        <v/>
      </c>
    </row>
    <row r="40" customFormat="false" ht="15" hidden="false" customHeight="false" outlineLevel="0" collapsed="false">
      <c r="A40" s="9"/>
      <c r="B40" s="9"/>
      <c r="C40" s="9"/>
      <c r="D40" s="9"/>
      <c r="E40" s="14"/>
      <c r="F40" s="14"/>
      <c r="G40" s="14" t="n">
        <f aca="false">SUMIFS(CB_plan!$C:$C,CB_plan!$B:$B,$A40)</f>
        <v>0</v>
      </c>
      <c r="H40" s="14" t="n">
        <f aca="false">IF(F40="",G40,F40)</f>
        <v>0</v>
      </c>
      <c r="I40" s="9"/>
      <c r="J40" s="14"/>
      <c r="K40" s="14" t="str">
        <f aca="false">IF(A40="","",Inputs!$B$13/((IF(AV40="",Inputs!$B$18,AV40)+Inputs!$B$14)^Inputs!$B$15))</f>
        <v/>
      </c>
      <c r="L40" s="14" t="str">
        <f aca="false">IF(A40="","",0.000000278*IF(I40="",Inputs!$B$17,I40)*H40*K40)</f>
        <v/>
      </c>
      <c r="M40" s="14" t="str">
        <f aca="false">IF(A40="","",SUMIFS($N$4:$N$203,$D$4:$D$203,$A40))</f>
        <v/>
      </c>
      <c r="N40" s="14" t="str">
        <f aca="false">IF(A40="","",(L40+M40)*Inputs!$B$16)</f>
        <v/>
      </c>
      <c r="O40" s="14"/>
      <c r="P40" s="14" t="str">
        <f aca="false">IF(A40="","",IF(O40="",Inputs!$B$7,O40))</f>
        <v/>
      </c>
      <c r="Q40" s="9" t="str">
        <f aca="false">IF(A40="","",IF(N40/Inputs!$B$10&lt;=AG40,Inputs!$F$5,IF(N40/Inputs!$B$10&gt;AP40,"OVERSIZE",INDEX(Inputs!$F$5:$F$14,MATCH(N40/Inputs!$B$10,AG40:AP40,1)+1))))</f>
        <v/>
      </c>
      <c r="R40" s="9"/>
      <c r="S40" s="9" t="str">
        <f aca="false">IF(A40="","",IF(R40="",Q40,R40))</f>
        <v/>
      </c>
      <c r="T40" s="14" t="str">
        <f aca="false">IF(OR(S40="",S40="OVERSIZE"),"",S40/1000)</f>
        <v/>
      </c>
      <c r="U40" s="14" t="str">
        <f aca="false">IF(T40="","",(1/Inputs!$B$9)*(PI()*T40^2/4)*((T40/4)^(2/3))*SQRT(P40))</f>
        <v/>
      </c>
      <c r="V40" s="14" t="str">
        <f aca="false">IF(OR(U40="",N40=""),"",N40/(U40*Inputs!$B$10))</f>
        <v/>
      </c>
      <c r="W40" s="14" t="str">
        <f aca="false">IF(OR(T40="",N40=""),"",4*N40/(PI()*T40^2))</f>
        <v/>
      </c>
      <c r="X40" s="14"/>
      <c r="Y40" s="14" t="str">
        <f aca="false">IF(A40="","",IF(A40=Inputs!$B$6,Inputs!$B$22,IF(D40="","",IFERROR(INDEX($Z$4:$Z$203,MATCH(D40,$A$4:$A$203,0))+IF(X40="",Inputs!$B$20,X40),""))))</f>
        <v/>
      </c>
      <c r="Z40" s="14" t="str">
        <f aca="false">IF(OR(Y40="",P40="",E40=""),"",Y40+P40*E40)</f>
        <v/>
      </c>
      <c r="AA40" s="14" t="str">
        <f aca="false">IF(C40="","",IFERROR(INDEX(Noeuds_plan!$C$4:$C$200,MATCH(C40,Noeuds_plan!$A$4:$A$200,0)),""))</f>
        <v/>
      </c>
      <c r="AB40" s="14" t="str">
        <f aca="false">IF(B40="","",IFERROR(INDEX(Noeuds_plan!$C$4:$C$200,MATCH(B40,Noeuds_plan!$A$4:$A$200,0)),""))</f>
        <v/>
      </c>
      <c r="AC40" s="14" t="str">
        <f aca="false">IF(OR(AA40="",Y40=""),"",AA40-Y40)</f>
        <v/>
      </c>
      <c r="AD40" s="14" t="str">
        <f aca="false">IF(OR(AB40="",Z40=""),"",AB40-Z40)</f>
        <v/>
      </c>
      <c r="AE40" s="19" t="str">
        <f aca="false">IF(A40="","",IF(OR(V40&gt;1,AND(AY40&lt;&gt;"",AY40&lt;Inputs!$B$11),AND(AY40&lt;&gt;"",AY40&gt;Inputs!$B$12),AC40&lt;Inputs!$B$19,AD40&lt;Inputs!$B$19,P40&lt;Inputs!$B$7,P40&gt;Inputs!$B$8),"CHECK","OK"))</f>
        <v/>
      </c>
      <c r="AF40" s="9"/>
      <c r="AG40" s="9" t="str">
        <f aca="false">IF(A40="","",(1/Inputs!$B$9)*(PI()*(Inputs!$F$5/1000)^2/4)*((Inputs!$F$5/1000/4)^(2/3))*SQRT(P40))</f>
        <v/>
      </c>
      <c r="AH40" s="9" t="str">
        <f aca="false">IF(A40="","",(1/Inputs!$B$9)*(PI()*(Inputs!$F$6/1000)^2/4)*((Inputs!$F$6/1000/4)^(2/3))*SQRT(P40))</f>
        <v/>
      </c>
      <c r="AI40" s="9" t="str">
        <f aca="false">IF(A40="","",(1/Inputs!$B$9)*(PI()*(Inputs!$F$7/1000)^2/4)*((Inputs!$F$7/1000/4)^(2/3))*SQRT(P40))</f>
        <v/>
      </c>
      <c r="AJ40" s="9" t="str">
        <f aca="false">IF(A40="","",(1/Inputs!$B$9)*(PI()*(Inputs!$F$8/1000)^2/4)*((Inputs!$F$8/1000/4)^(2/3))*SQRT(P40))</f>
        <v/>
      </c>
      <c r="AK40" s="9" t="str">
        <f aca="false">IF(A40="","",(1/Inputs!$B$9)*(PI()*(Inputs!$F$9/1000)^2/4)*((Inputs!$F$9/1000/4)^(2/3))*SQRT(P40))</f>
        <v/>
      </c>
      <c r="AL40" s="9" t="str">
        <f aca="false">IF(A40="","",(1/Inputs!$B$9)*(PI()*(Inputs!$F$10/1000)^2/4)*((Inputs!$F$10/1000/4)^(2/3))*SQRT(P40))</f>
        <v/>
      </c>
      <c r="AM40" s="9" t="str">
        <f aca="false">IF(A40="","",(1/Inputs!$B$9)*(PI()*(Inputs!$F$11/1000)^2/4)*((Inputs!$F$11/1000/4)^(2/3))*SQRT(P40))</f>
        <v/>
      </c>
      <c r="AN40" s="9" t="str">
        <f aca="false">IF(A40="","",(1/Inputs!$B$9)*(PI()*(Inputs!$F$12/1000)^2/4)*((Inputs!$F$12/1000/4)^(2/3))*SQRT(P40))</f>
        <v/>
      </c>
      <c r="AO40" s="9" t="str">
        <f aca="false">IF(A40="","",(1/Inputs!$B$9)*(PI()*(Inputs!$F$13/1000)^2/4)*((Inputs!$F$13/1000/4)^(2/3))*SQRT(P40))</f>
        <v/>
      </c>
      <c r="AP40" s="9" t="str">
        <f aca="false">IF(A40="","",(1/Inputs!$B$9)*(PI()*(Inputs!$F$14/1000)^2/4)*((Inputs!$F$14/1000/4)^(2/3))*SQRT(P40))</f>
        <v/>
      </c>
      <c r="AQ40" s="9" t="str">
        <f aca="false">IF(A40="","",COUNTIF($D$4:$D$203,$A40))</f>
        <v/>
      </c>
      <c r="AR40" s="9" t="str">
        <f aca="false">IF(A40="","",IF(AQ40=0,"START","CONTINUOUS"))</f>
        <v/>
      </c>
      <c r="AS40" s="13" t="str">
        <f aca="false">IF(A40="","",IF(J40="",Inputs!$B$18,J40))</f>
        <v/>
      </c>
      <c r="AT40" s="13" t="str">
        <f aca="false">IF(A40="","",IFERROR(maxifs($AV$4:$AV$203,$D$4:$D$203,$A40),""))</f>
        <v/>
      </c>
      <c r="AU40" s="13" t="str">
        <f aca="false">IF(A40="","",IF(OR(E40="",Inputs!$B$23=""),"",E40/(Inputs!$B$23*60)))</f>
        <v/>
      </c>
      <c r="AV40" s="13" t="str">
        <f aca="false">IF(A40="","",IF(AQ40=0,AS40+AU40,IF(AT40="",AS40+AU40,AT40+AU40)))</f>
        <v/>
      </c>
      <c r="AW40" s="13" t="str">
        <f aca="false">IF(A40="","",W40)</f>
        <v/>
      </c>
      <c r="AX40" s="13" t="str">
        <f aca="false">IF(OR(T40="",P40=""),"",(1/Inputs!$B$9)*((T40/4)^(2/3))*SQRT(P40))</f>
        <v/>
      </c>
      <c r="AY40" s="13" t="str">
        <f aca="false">IF(A40="","",IF(AND(AW40="",AX40="",BA40=""),"",IF(OR(UPPER(TRIM(Inputs!$B$24))="MANNING",UPPER(TRIM(Inputs!$B$24))="M"),AX40,IF(OR(UPPER(TRIM(Inputs!$B$24))="PARTIAL",UPPER(TRIM(Inputs!$B$24))="P"),BA40,IF(OR(UPPER(TRIM(Inputs!$B$24))="MAX",UPPER(TRIM(Inputs!$B$24))="X"),MAX(IF(AW40="",0,AW40),IF(AX40="",0,AX40),IF(BA40="",0,BA40)),AW40)))))</f>
        <v/>
      </c>
      <c r="AZ40" s="13" t="str">
        <f aca="false">IF(BB40="","",CH40)</f>
        <v/>
      </c>
      <c r="BA40" s="13" t="str">
        <f aca="false">IF(OR(BB40="",AZ40="",T40="",T40&lt;=0,AZ40&lt;=0),"",BB40/((T40^2/8)*(2*ACOS(1-2*AZ40/T40)-SIN(2*ACOS(1-2*AZ40/T40)))))</f>
        <v/>
      </c>
      <c r="BB40" s="9" t="str">
        <f aca="false">IF(OR(N40="",BC40=""),"",MIN(N40,BC40))</f>
        <v/>
      </c>
      <c r="BC40" s="9" t="str">
        <f aca="false">IF(OR(N40="",T40="",P40=""),"",IF(OR(T40="",P40="",(0.94*T40)="",T40&lt;=0,(0.94*T40)&lt;=0),"",(1/Inputs!$B$9)*((T40^2/8)*((2*ACOS(1-2*(0.94*T40)/T40))-SIN((2*ACOS(1-2*(0.94*T40)/T40)))))*((((T40^2/8)*((2*ACOS(1-2*(0.94*T40)/T40))-SIN((2*ACOS(1-2*(0.94*T40)/T40)))))/((T40/2)*((2*ACOS(1-2*(0.94*T40)/T40)))))^(2/3))*SQRT(P40)))</f>
        <v/>
      </c>
      <c r="BD40" s="9" t="str">
        <f aca="false">IF(BB40="","",0.001*T40)</f>
        <v/>
      </c>
      <c r="BE40" s="9" t="str">
        <f aca="false">IF(BB40="","",0.94*T40)</f>
        <v/>
      </c>
      <c r="BF40" s="9" t="str">
        <f aca="false">IF(BB40="","",(BD40+BE40)/2)</f>
        <v/>
      </c>
      <c r="BG40" s="9" t="str">
        <f aca="false">IF(OR(T40="",P40="",BF40="",T40&lt;=0,BF40&lt;=0),"",(1/Inputs!$B$9)*((T40^2/8)*((2*ACOS(1-2*BF40/T40))-SIN((2*ACOS(1-2*BF40/T40)))))*((((T40^2/8)*((2*ACOS(1-2*BF40/T40))-SIN((2*ACOS(1-2*BF40/T40)))))/((T40/2)*((2*ACOS(1-2*BF40/T40)))))^(2/3))*SQRT(P40))</f>
        <v/>
      </c>
      <c r="BH40" s="9" t="str">
        <f aca="false">IF(BB40="","",IF(BG40&lt;BB40,BF40,BD40))</f>
        <v/>
      </c>
      <c r="BI40" s="9" t="str">
        <f aca="false">IF(BB40="","",IF(BG40&lt;BB40,BE40,BF40))</f>
        <v/>
      </c>
      <c r="BJ40" s="9" t="str">
        <f aca="false">IF(BB40="","",(BH40+BI40)/2)</f>
        <v/>
      </c>
      <c r="BK40" s="9" t="str">
        <f aca="false">IF(OR(T40="",P40="",BJ40="",T40&lt;=0,BJ40&lt;=0),"",(1/Inputs!$B$9)*((T40^2/8)*((2*ACOS(1-2*BJ40/T40))-SIN((2*ACOS(1-2*BJ40/T40)))))*((((T40^2/8)*((2*ACOS(1-2*BJ40/T40))-SIN((2*ACOS(1-2*BJ40/T40)))))/((T40/2)*((2*ACOS(1-2*BJ40/T40)))))^(2/3))*SQRT(P40))</f>
        <v/>
      </c>
      <c r="BL40" s="9" t="str">
        <f aca="false">IF(BB40="","",IF(BK40&lt;BB40,BJ40,BH40))</f>
        <v/>
      </c>
      <c r="BM40" s="9" t="str">
        <f aca="false">IF(BB40="","",IF(BK40&lt;BB40,BI40,BJ40))</f>
        <v/>
      </c>
      <c r="BN40" s="9" t="str">
        <f aca="false">IF(BB40="","",(BL40+BM40)/2)</f>
        <v/>
      </c>
      <c r="BO40" s="9" t="str">
        <f aca="false">IF(OR(T40="",P40="",BN40="",T40&lt;=0,BN40&lt;=0),"",(1/Inputs!$B$9)*((T40^2/8)*((2*ACOS(1-2*BN40/T40))-SIN((2*ACOS(1-2*BN40/T40)))))*((((T40^2/8)*((2*ACOS(1-2*BN40/T40))-SIN((2*ACOS(1-2*BN40/T40)))))/((T40/2)*((2*ACOS(1-2*BN40/T40)))))^(2/3))*SQRT(P40))</f>
        <v/>
      </c>
      <c r="BP40" s="9" t="str">
        <f aca="false">IF(BB40="","",IF(BO40&lt;BB40,BN40,BL40))</f>
        <v/>
      </c>
      <c r="BQ40" s="9" t="str">
        <f aca="false">IF(BB40="","",IF(BO40&lt;BB40,BM40,BN40))</f>
        <v/>
      </c>
      <c r="BR40" s="9" t="str">
        <f aca="false">IF(BB40="","",(BP40+BQ40)/2)</f>
        <v/>
      </c>
      <c r="BS40" s="9" t="str">
        <f aca="false">IF(OR(T40="",P40="",BR40="",T40&lt;=0,BR40&lt;=0),"",(1/Inputs!$B$9)*((T40^2/8)*((2*ACOS(1-2*BR40/T40))-SIN((2*ACOS(1-2*BR40/T40)))))*((((T40^2/8)*((2*ACOS(1-2*BR40/T40))-SIN((2*ACOS(1-2*BR40/T40)))))/((T40/2)*((2*ACOS(1-2*BR40/T40)))))^(2/3))*SQRT(P40))</f>
        <v/>
      </c>
      <c r="BT40" s="9" t="str">
        <f aca="false">IF(BB40="","",IF(BS40&lt;BB40,BR40,BP40))</f>
        <v/>
      </c>
      <c r="BU40" s="9" t="str">
        <f aca="false">IF(BB40="","",IF(BS40&lt;BB40,BQ40,BR40))</f>
        <v/>
      </c>
      <c r="BV40" s="9" t="str">
        <f aca="false">IF(BB40="","",(BT40+BU40)/2)</f>
        <v/>
      </c>
      <c r="BW40" s="9" t="str">
        <f aca="false">IF(OR(T40="",P40="",BV40="",T40&lt;=0,BV40&lt;=0),"",(1/Inputs!$B$9)*((T40^2/8)*((2*ACOS(1-2*BV40/T40))-SIN((2*ACOS(1-2*BV40/T40)))))*((((T40^2/8)*((2*ACOS(1-2*BV40/T40))-SIN((2*ACOS(1-2*BV40/T40)))))/((T40/2)*((2*ACOS(1-2*BV40/T40)))))^(2/3))*SQRT(P40))</f>
        <v/>
      </c>
      <c r="BX40" s="9" t="str">
        <f aca="false">IF(BB40="","",IF(BW40&lt;BB40,BV40,BT40))</f>
        <v/>
      </c>
      <c r="BY40" s="9" t="str">
        <f aca="false">IF(BB40="","",IF(BW40&lt;BB40,BU40,BV40))</f>
        <v/>
      </c>
      <c r="BZ40" s="9" t="str">
        <f aca="false">IF(BB40="","",(BX40+BY40)/2)</f>
        <v/>
      </c>
      <c r="CA40" s="9" t="str">
        <f aca="false">IF(OR(T40="",P40="",BZ40="",T40&lt;=0,BZ40&lt;=0),"",(1/Inputs!$B$9)*((T40^2/8)*((2*ACOS(1-2*BZ40/T40))-SIN((2*ACOS(1-2*BZ40/T40)))))*((((T40^2/8)*((2*ACOS(1-2*BZ40/T40))-SIN((2*ACOS(1-2*BZ40/T40)))))/((T40/2)*((2*ACOS(1-2*BZ40/T40)))))^(2/3))*SQRT(P40))</f>
        <v/>
      </c>
      <c r="CB40" s="9" t="str">
        <f aca="false">IF(BB40="","",IF(CA40&lt;BB40,BZ40,BX40))</f>
        <v/>
      </c>
      <c r="CC40" s="9" t="str">
        <f aca="false">IF(BB40="","",IF(CA40&lt;BB40,BY40,BZ40))</f>
        <v/>
      </c>
      <c r="CD40" s="9" t="str">
        <f aca="false">IF(BB40="","",(CB40+CC40)/2)</f>
        <v/>
      </c>
      <c r="CE40" s="9" t="str">
        <f aca="false">IF(OR(T40="",P40="",CD40="",T40&lt;=0,CD40&lt;=0),"",(1/Inputs!$B$9)*((T40^2/8)*((2*ACOS(1-2*CD40/T40))-SIN((2*ACOS(1-2*CD40/T40)))))*((((T40^2/8)*((2*ACOS(1-2*CD40/T40))-SIN((2*ACOS(1-2*CD40/T40)))))/((T40/2)*((2*ACOS(1-2*CD40/T40)))))^(2/3))*SQRT(P40))</f>
        <v/>
      </c>
      <c r="CF40" s="9" t="str">
        <f aca="false">IF(BB40="","",IF(CE40&lt;BB40,CD40,CB40))</f>
        <v/>
      </c>
      <c r="CG40" s="9" t="str">
        <f aca="false">IF(BB40="","",IF(CE40&lt;BB40,CC40,CD40))</f>
        <v/>
      </c>
      <c r="CH40" s="9" t="str">
        <f aca="false">IF(BB40="","",(CF40+CG40)/2)</f>
        <v/>
      </c>
    </row>
    <row r="41" customFormat="false" ht="15" hidden="false" customHeight="false" outlineLevel="0" collapsed="false">
      <c r="A41" s="9"/>
      <c r="B41" s="9"/>
      <c r="C41" s="9"/>
      <c r="D41" s="9"/>
      <c r="E41" s="14"/>
      <c r="F41" s="14"/>
      <c r="G41" s="14" t="n">
        <f aca="false">SUMIFS(CB_plan!$C:$C,CB_plan!$B:$B,$A41)</f>
        <v>0</v>
      </c>
      <c r="H41" s="14" t="n">
        <f aca="false">IF(F41="",G41,F41)</f>
        <v>0</v>
      </c>
      <c r="I41" s="9"/>
      <c r="J41" s="14"/>
      <c r="K41" s="14" t="str">
        <f aca="false">IF(A41="","",Inputs!$B$13/((IF(AV41="",Inputs!$B$18,AV41)+Inputs!$B$14)^Inputs!$B$15))</f>
        <v/>
      </c>
      <c r="L41" s="14" t="str">
        <f aca="false">IF(A41="","",0.000000278*IF(I41="",Inputs!$B$17,I41)*H41*K41)</f>
        <v/>
      </c>
      <c r="M41" s="14" t="str">
        <f aca="false">IF(A41="","",SUMIFS($N$4:$N$203,$D$4:$D$203,$A41))</f>
        <v/>
      </c>
      <c r="N41" s="14" t="str">
        <f aca="false">IF(A41="","",(L41+M41)*Inputs!$B$16)</f>
        <v/>
      </c>
      <c r="O41" s="14"/>
      <c r="P41" s="14" t="str">
        <f aca="false">IF(A41="","",IF(O41="",Inputs!$B$7,O41))</f>
        <v/>
      </c>
      <c r="Q41" s="9" t="str">
        <f aca="false">IF(A41="","",IF(N41/Inputs!$B$10&lt;=AG41,Inputs!$F$5,IF(N41/Inputs!$B$10&gt;AP41,"OVERSIZE",INDEX(Inputs!$F$5:$F$14,MATCH(N41/Inputs!$B$10,AG41:AP41,1)+1))))</f>
        <v/>
      </c>
      <c r="R41" s="9"/>
      <c r="S41" s="9" t="str">
        <f aca="false">IF(A41="","",IF(R41="",Q41,R41))</f>
        <v/>
      </c>
      <c r="T41" s="14" t="str">
        <f aca="false">IF(OR(S41="",S41="OVERSIZE"),"",S41/1000)</f>
        <v/>
      </c>
      <c r="U41" s="14" t="str">
        <f aca="false">IF(T41="","",(1/Inputs!$B$9)*(PI()*T41^2/4)*((T41/4)^(2/3))*SQRT(P41))</f>
        <v/>
      </c>
      <c r="V41" s="14" t="str">
        <f aca="false">IF(OR(U41="",N41=""),"",N41/(U41*Inputs!$B$10))</f>
        <v/>
      </c>
      <c r="W41" s="14" t="str">
        <f aca="false">IF(OR(T41="",N41=""),"",4*N41/(PI()*T41^2))</f>
        <v/>
      </c>
      <c r="X41" s="14"/>
      <c r="Y41" s="14" t="str">
        <f aca="false">IF(A41="","",IF(A41=Inputs!$B$6,Inputs!$B$22,IF(D41="","",IFERROR(INDEX($Z$4:$Z$203,MATCH(D41,$A$4:$A$203,0))+IF(X41="",Inputs!$B$20,X41),""))))</f>
        <v/>
      </c>
      <c r="Z41" s="14" t="str">
        <f aca="false">IF(OR(Y41="",P41="",E41=""),"",Y41+P41*E41)</f>
        <v/>
      </c>
      <c r="AA41" s="14" t="str">
        <f aca="false">IF(C41="","",IFERROR(INDEX(Noeuds_plan!$C$4:$C$200,MATCH(C41,Noeuds_plan!$A$4:$A$200,0)),""))</f>
        <v/>
      </c>
      <c r="AB41" s="14" t="str">
        <f aca="false">IF(B41="","",IFERROR(INDEX(Noeuds_plan!$C$4:$C$200,MATCH(B41,Noeuds_plan!$A$4:$A$200,0)),""))</f>
        <v/>
      </c>
      <c r="AC41" s="14" t="str">
        <f aca="false">IF(OR(AA41="",Y41=""),"",AA41-Y41)</f>
        <v/>
      </c>
      <c r="AD41" s="14" t="str">
        <f aca="false">IF(OR(AB41="",Z41=""),"",AB41-Z41)</f>
        <v/>
      </c>
      <c r="AE41" s="19" t="str">
        <f aca="false">IF(A41="","",IF(OR(V41&gt;1,AND(AY41&lt;&gt;"",AY41&lt;Inputs!$B$11),AND(AY41&lt;&gt;"",AY41&gt;Inputs!$B$12),AC41&lt;Inputs!$B$19,AD41&lt;Inputs!$B$19,P41&lt;Inputs!$B$7,P41&gt;Inputs!$B$8),"CHECK","OK"))</f>
        <v/>
      </c>
      <c r="AF41" s="9"/>
      <c r="AG41" s="9" t="str">
        <f aca="false">IF(A41="","",(1/Inputs!$B$9)*(PI()*(Inputs!$F$5/1000)^2/4)*((Inputs!$F$5/1000/4)^(2/3))*SQRT(P41))</f>
        <v/>
      </c>
      <c r="AH41" s="9" t="str">
        <f aca="false">IF(A41="","",(1/Inputs!$B$9)*(PI()*(Inputs!$F$6/1000)^2/4)*((Inputs!$F$6/1000/4)^(2/3))*SQRT(P41))</f>
        <v/>
      </c>
      <c r="AI41" s="9" t="str">
        <f aca="false">IF(A41="","",(1/Inputs!$B$9)*(PI()*(Inputs!$F$7/1000)^2/4)*((Inputs!$F$7/1000/4)^(2/3))*SQRT(P41))</f>
        <v/>
      </c>
      <c r="AJ41" s="9" t="str">
        <f aca="false">IF(A41="","",(1/Inputs!$B$9)*(PI()*(Inputs!$F$8/1000)^2/4)*((Inputs!$F$8/1000/4)^(2/3))*SQRT(P41))</f>
        <v/>
      </c>
      <c r="AK41" s="9" t="str">
        <f aca="false">IF(A41="","",(1/Inputs!$B$9)*(PI()*(Inputs!$F$9/1000)^2/4)*((Inputs!$F$9/1000/4)^(2/3))*SQRT(P41))</f>
        <v/>
      </c>
      <c r="AL41" s="9" t="str">
        <f aca="false">IF(A41="","",(1/Inputs!$B$9)*(PI()*(Inputs!$F$10/1000)^2/4)*((Inputs!$F$10/1000/4)^(2/3))*SQRT(P41))</f>
        <v/>
      </c>
      <c r="AM41" s="9" t="str">
        <f aca="false">IF(A41="","",(1/Inputs!$B$9)*(PI()*(Inputs!$F$11/1000)^2/4)*((Inputs!$F$11/1000/4)^(2/3))*SQRT(P41))</f>
        <v/>
      </c>
      <c r="AN41" s="9" t="str">
        <f aca="false">IF(A41="","",(1/Inputs!$B$9)*(PI()*(Inputs!$F$12/1000)^2/4)*((Inputs!$F$12/1000/4)^(2/3))*SQRT(P41))</f>
        <v/>
      </c>
      <c r="AO41" s="9" t="str">
        <f aca="false">IF(A41="","",(1/Inputs!$B$9)*(PI()*(Inputs!$F$13/1000)^2/4)*((Inputs!$F$13/1000/4)^(2/3))*SQRT(P41))</f>
        <v/>
      </c>
      <c r="AP41" s="9" t="str">
        <f aca="false">IF(A41="","",(1/Inputs!$B$9)*(PI()*(Inputs!$F$14/1000)^2/4)*((Inputs!$F$14/1000/4)^(2/3))*SQRT(P41))</f>
        <v/>
      </c>
      <c r="AQ41" s="9" t="str">
        <f aca="false">IF(A41="","",COUNTIF($D$4:$D$203,$A41))</f>
        <v/>
      </c>
      <c r="AR41" s="9" t="str">
        <f aca="false">IF(A41="","",IF(AQ41=0,"START","CONTINUOUS"))</f>
        <v/>
      </c>
      <c r="AS41" s="13" t="str">
        <f aca="false">IF(A41="","",IF(J41="",Inputs!$B$18,J41))</f>
        <v/>
      </c>
      <c r="AT41" s="13" t="str">
        <f aca="false">IF(A41="","",IFERROR(maxifs($AV$4:$AV$203,$D$4:$D$203,$A41),""))</f>
        <v/>
      </c>
      <c r="AU41" s="13" t="str">
        <f aca="false">IF(A41="","",IF(OR(E41="",Inputs!$B$23=""),"",E41/(Inputs!$B$23*60)))</f>
        <v/>
      </c>
      <c r="AV41" s="13" t="str">
        <f aca="false">IF(A41="","",IF(AQ41=0,AS41+AU41,IF(AT41="",AS41+AU41,AT41+AU41)))</f>
        <v/>
      </c>
      <c r="AW41" s="13" t="str">
        <f aca="false">IF(A41="","",W41)</f>
        <v/>
      </c>
      <c r="AX41" s="13" t="str">
        <f aca="false">IF(OR(T41="",P41=""),"",(1/Inputs!$B$9)*((T41/4)^(2/3))*SQRT(P41))</f>
        <v/>
      </c>
      <c r="AY41" s="13" t="str">
        <f aca="false">IF(A41="","",IF(AND(AW41="",AX41="",BA41=""),"",IF(OR(UPPER(TRIM(Inputs!$B$24))="MANNING",UPPER(TRIM(Inputs!$B$24))="M"),AX41,IF(OR(UPPER(TRIM(Inputs!$B$24))="PARTIAL",UPPER(TRIM(Inputs!$B$24))="P"),BA41,IF(OR(UPPER(TRIM(Inputs!$B$24))="MAX",UPPER(TRIM(Inputs!$B$24))="X"),MAX(IF(AW41="",0,AW41),IF(AX41="",0,AX41),IF(BA41="",0,BA41)),AW41)))))</f>
        <v/>
      </c>
      <c r="AZ41" s="13" t="str">
        <f aca="false">IF(BB41="","",CH41)</f>
        <v/>
      </c>
      <c r="BA41" s="13" t="str">
        <f aca="false">IF(OR(BB41="",AZ41="",T41="",T41&lt;=0,AZ41&lt;=0),"",BB41/((T41^2/8)*(2*ACOS(1-2*AZ41/T41)-SIN(2*ACOS(1-2*AZ41/T41)))))</f>
        <v/>
      </c>
      <c r="BB41" s="9" t="str">
        <f aca="false">IF(OR(N41="",BC41=""),"",MIN(N41,BC41))</f>
        <v/>
      </c>
      <c r="BC41" s="9" t="str">
        <f aca="false">IF(OR(N41="",T41="",P41=""),"",IF(OR(T41="",P41="",(0.94*T41)="",T41&lt;=0,(0.94*T41)&lt;=0),"",(1/Inputs!$B$9)*((T41^2/8)*((2*ACOS(1-2*(0.94*T41)/T41))-SIN((2*ACOS(1-2*(0.94*T41)/T41)))))*((((T41^2/8)*((2*ACOS(1-2*(0.94*T41)/T41))-SIN((2*ACOS(1-2*(0.94*T41)/T41)))))/((T41/2)*((2*ACOS(1-2*(0.94*T41)/T41)))))^(2/3))*SQRT(P41)))</f>
        <v/>
      </c>
      <c r="BD41" s="9" t="str">
        <f aca="false">IF(BB41="","",0.001*T41)</f>
        <v/>
      </c>
      <c r="BE41" s="9" t="str">
        <f aca="false">IF(BB41="","",0.94*T41)</f>
        <v/>
      </c>
      <c r="BF41" s="9" t="str">
        <f aca="false">IF(BB41="","",(BD41+BE41)/2)</f>
        <v/>
      </c>
      <c r="BG41" s="9" t="str">
        <f aca="false">IF(OR(T41="",P41="",BF41="",T41&lt;=0,BF41&lt;=0),"",(1/Inputs!$B$9)*((T41^2/8)*((2*ACOS(1-2*BF41/T41))-SIN((2*ACOS(1-2*BF41/T41)))))*((((T41^2/8)*((2*ACOS(1-2*BF41/T41))-SIN((2*ACOS(1-2*BF41/T41)))))/((T41/2)*((2*ACOS(1-2*BF41/T41)))))^(2/3))*SQRT(P41))</f>
        <v/>
      </c>
      <c r="BH41" s="9" t="str">
        <f aca="false">IF(BB41="","",IF(BG41&lt;BB41,BF41,BD41))</f>
        <v/>
      </c>
      <c r="BI41" s="9" t="str">
        <f aca="false">IF(BB41="","",IF(BG41&lt;BB41,BE41,BF41))</f>
        <v/>
      </c>
      <c r="BJ41" s="9" t="str">
        <f aca="false">IF(BB41="","",(BH41+BI41)/2)</f>
        <v/>
      </c>
      <c r="BK41" s="9" t="str">
        <f aca="false">IF(OR(T41="",P41="",BJ41="",T41&lt;=0,BJ41&lt;=0),"",(1/Inputs!$B$9)*((T41^2/8)*((2*ACOS(1-2*BJ41/T41))-SIN((2*ACOS(1-2*BJ41/T41)))))*((((T41^2/8)*((2*ACOS(1-2*BJ41/T41))-SIN((2*ACOS(1-2*BJ41/T41)))))/((T41/2)*((2*ACOS(1-2*BJ41/T41)))))^(2/3))*SQRT(P41))</f>
        <v/>
      </c>
      <c r="BL41" s="9" t="str">
        <f aca="false">IF(BB41="","",IF(BK41&lt;BB41,BJ41,BH41))</f>
        <v/>
      </c>
      <c r="BM41" s="9" t="str">
        <f aca="false">IF(BB41="","",IF(BK41&lt;BB41,BI41,BJ41))</f>
        <v/>
      </c>
      <c r="BN41" s="9" t="str">
        <f aca="false">IF(BB41="","",(BL41+BM41)/2)</f>
        <v/>
      </c>
      <c r="BO41" s="9" t="str">
        <f aca="false">IF(OR(T41="",P41="",BN41="",T41&lt;=0,BN41&lt;=0),"",(1/Inputs!$B$9)*((T41^2/8)*((2*ACOS(1-2*BN41/T41))-SIN((2*ACOS(1-2*BN41/T41)))))*((((T41^2/8)*((2*ACOS(1-2*BN41/T41))-SIN((2*ACOS(1-2*BN41/T41)))))/((T41/2)*((2*ACOS(1-2*BN41/T41)))))^(2/3))*SQRT(P41))</f>
        <v/>
      </c>
      <c r="BP41" s="9" t="str">
        <f aca="false">IF(BB41="","",IF(BO41&lt;BB41,BN41,BL41))</f>
        <v/>
      </c>
      <c r="BQ41" s="9" t="str">
        <f aca="false">IF(BB41="","",IF(BO41&lt;BB41,BM41,BN41))</f>
        <v/>
      </c>
      <c r="BR41" s="9" t="str">
        <f aca="false">IF(BB41="","",(BP41+BQ41)/2)</f>
        <v/>
      </c>
      <c r="BS41" s="9" t="str">
        <f aca="false">IF(OR(T41="",P41="",BR41="",T41&lt;=0,BR41&lt;=0),"",(1/Inputs!$B$9)*((T41^2/8)*((2*ACOS(1-2*BR41/T41))-SIN((2*ACOS(1-2*BR41/T41)))))*((((T41^2/8)*((2*ACOS(1-2*BR41/T41))-SIN((2*ACOS(1-2*BR41/T41)))))/((T41/2)*((2*ACOS(1-2*BR41/T41)))))^(2/3))*SQRT(P41))</f>
        <v/>
      </c>
      <c r="BT41" s="9" t="str">
        <f aca="false">IF(BB41="","",IF(BS41&lt;BB41,BR41,BP41))</f>
        <v/>
      </c>
      <c r="BU41" s="9" t="str">
        <f aca="false">IF(BB41="","",IF(BS41&lt;BB41,BQ41,BR41))</f>
        <v/>
      </c>
      <c r="BV41" s="9" t="str">
        <f aca="false">IF(BB41="","",(BT41+BU41)/2)</f>
        <v/>
      </c>
      <c r="BW41" s="9" t="str">
        <f aca="false">IF(OR(T41="",P41="",BV41="",T41&lt;=0,BV41&lt;=0),"",(1/Inputs!$B$9)*((T41^2/8)*((2*ACOS(1-2*BV41/T41))-SIN((2*ACOS(1-2*BV41/T41)))))*((((T41^2/8)*((2*ACOS(1-2*BV41/T41))-SIN((2*ACOS(1-2*BV41/T41)))))/((T41/2)*((2*ACOS(1-2*BV41/T41)))))^(2/3))*SQRT(P41))</f>
        <v/>
      </c>
      <c r="BX41" s="9" t="str">
        <f aca="false">IF(BB41="","",IF(BW41&lt;BB41,BV41,BT41))</f>
        <v/>
      </c>
      <c r="BY41" s="9" t="str">
        <f aca="false">IF(BB41="","",IF(BW41&lt;BB41,BU41,BV41))</f>
        <v/>
      </c>
      <c r="BZ41" s="9" t="str">
        <f aca="false">IF(BB41="","",(BX41+BY41)/2)</f>
        <v/>
      </c>
      <c r="CA41" s="9" t="str">
        <f aca="false">IF(OR(T41="",P41="",BZ41="",T41&lt;=0,BZ41&lt;=0),"",(1/Inputs!$B$9)*((T41^2/8)*((2*ACOS(1-2*BZ41/T41))-SIN((2*ACOS(1-2*BZ41/T41)))))*((((T41^2/8)*((2*ACOS(1-2*BZ41/T41))-SIN((2*ACOS(1-2*BZ41/T41)))))/((T41/2)*((2*ACOS(1-2*BZ41/T41)))))^(2/3))*SQRT(P41))</f>
        <v/>
      </c>
      <c r="CB41" s="9" t="str">
        <f aca="false">IF(BB41="","",IF(CA41&lt;BB41,BZ41,BX41))</f>
        <v/>
      </c>
      <c r="CC41" s="9" t="str">
        <f aca="false">IF(BB41="","",IF(CA41&lt;BB41,BY41,BZ41))</f>
        <v/>
      </c>
      <c r="CD41" s="9" t="str">
        <f aca="false">IF(BB41="","",(CB41+CC41)/2)</f>
        <v/>
      </c>
      <c r="CE41" s="9" t="str">
        <f aca="false">IF(OR(T41="",P41="",CD41="",T41&lt;=0,CD41&lt;=0),"",(1/Inputs!$B$9)*((T41^2/8)*((2*ACOS(1-2*CD41/T41))-SIN((2*ACOS(1-2*CD41/T41)))))*((((T41^2/8)*((2*ACOS(1-2*CD41/T41))-SIN((2*ACOS(1-2*CD41/T41)))))/((T41/2)*((2*ACOS(1-2*CD41/T41)))))^(2/3))*SQRT(P41))</f>
        <v/>
      </c>
      <c r="CF41" s="9" t="str">
        <f aca="false">IF(BB41="","",IF(CE41&lt;BB41,CD41,CB41))</f>
        <v/>
      </c>
      <c r="CG41" s="9" t="str">
        <f aca="false">IF(BB41="","",IF(CE41&lt;BB41,CC41,CD41))</f>
        <v/>
      </c>
      <c r="CH41" s="9" t="str">
        <f aca="false">IF(BB41="","",(CF41+CG41)/2)</f>
        <v/>
      </c>
    </row>
    <row r="42" customFormat="false" ht="15" hidden="false" customHeight="false" outlineLevel="0" collapsed="false">
      <c r="A42" s="9"/>
      <c r="B42" s="9"/>
      <c r="C42" s="9"/>
      <c r="D42" s="9"/>
      <c r="E42" s="14"/>
      <c r="F42" s="14"/>
      <c r="G42" s="14" t="n">
        <f aca="false">SUMIFS(CB_plan!$C:$C,CB_plan!$B:$B,$A42)</f>
        <v>0</v>
      </c>
      <c r="H42" s="14" t="n">
        <f aca="false">IF(F42="",G42,F42)</f>
        <v>0</v>
      </c>
      <c r="I42" s="9"/>
      <c r="J42" s="14"/>
      <c r="K42" s="14" t="str">
        <f aca="false">IF(A42="","",Inputs!$B$13/((IF(AV42="",Inputs!$B$18,AV42)+Inputs!$B$14)^Inputs!$B$15))</f>
        <v/>
      </c>
      <c r="L42" s="14" t="str">
        <f aca="false">IF(A42="","",0.000000278*IF(I42="",Inputs!$B$17,I42)*H42*K42)</f>
        <v/>
      </c>
      <c r="M42" s="14" t="str">
        <f aca="false">IF(A42="","",SUMIFS($N$4:$N$203,$D$4:$D$203,$A42))</f>
        <v/>
      </c>
      <c r="N42" s="14" t="str">
        <f aca="false">IF(A42="","",(L42+M42)*Inputs!$B$16)</f>
        <v/>
      </c>
      <c r="O42" s="14"/>
      <c r="P42" s="14" t="str">
        <f aca="false">IF(A42="","",IF(O42="",Inputs!$B$7,O42))</f>
        <v/>
      </c>
      <c r="Q42" s="9" t="str">
        <f aca="false">IF(A42="","",IF(N42/Inputs!$B$10&lt;=AG42,Inputs!$F$5,IF(N42/Inputs!$B$10&gt;AP42,"OVERSIZE",INDEX(Inputs!$F$5:$F$14,MATCH(N42/Inputs!$B$10,AG42:AP42,1)+1))))</f>
        <v/>
      </c>
      <c r="R42" s="9"/>
      <c r="S42" s="9" t="str">
        <f aca="false">IF(A42="","",IF(R42="",Q42,R42))</f>
        <v/>
      </c>
      <c r="T42" s="14" t="str">
        <f aca="false">IF(OR(S42="",S42="OVERSIZE"),"",S42/1000)</f>
        <v/>
      </c>
      <c r="U42" s="14" t="str">
        <f aca="false">IF(T42="","",(1/Inputs!$B$9)*(PI()*T42^2/4)*((T42/4)^(2/3))*SQRT(P42))</f>
        <v/>
      </c>
      <c r="V42" s="14" t="str">
        <f aca="false">IF(OR(U42="",N42=""),"",N42/(U42*Inputs!$B$10))</f>
        <v/>
      </c>
      <c r="W42" s="14" t="str">
        <f aca="false">IF(OR(T42="",N42=""),"",4*N42/(PI()*T42^2))</f>
        <v/>
      </c>
      <c r="X42" s="14"/>
      <c r="Y42" s="14" t="str">
        <f aca="false">IF(A42="","",IF(A42=Inputs!$B$6,Inputs!$B$22,IF(D42="","",IFERROR(INDEX($Z$4:$Z$203,MATCH(D42,$A$4:$A$203,0))+IF(X42="",Inputs!$B$20,X42),""))))</f>
        <v/>
      </c>
      <c r="Z42" s="14" t="str">
        <f aca="false">IF(OR(Y42="",P42="",E42=""),"",Y42+P42*E42)</f>
        <v/>
      </c>
      <c r="AA42" s="14" t="str">
        <f aca="false">IF(C42="","",IFERROR(INDEX(Noeuds_plan!$C$4:$C$200,MATCH(C42,Noeuds_plan!$A$4:$A$200,0)),""))</f>
        <v/>
      </c>
      <c r="AB42" s="14" t="str">
        <f aca="false">IF(B42="","",IFERROR(INDEX(Noeuds_plan!$C$4:$C$200,MATCH(B42,Noeuds_plan!$A$4:$A$200,0)),""))</f>
        <v/>
      </c>
      <c r="AC42" s="14" t="str">
        <f aca="false">IF(OR(AA42="",Y42=""),"",AA42-Y42)</f>
        <v/>
      </c>
      <c r="AD42" s="14" t="str">
        <f aca="false">IF(OR(AB42="",Z42=""),"",AB42-Z42)</f>
        <v/>
      </c>
      <c r="AE42" s="19" t="str">
        <f aca="false">IF(A42="","",IF(OR(V42&gt;1,AND(AY42&lt;&gt;"",AY42&lt;Inputs!$B$11),AND(AY42&lt;&gt;"",AY42&gt;Inputs!$B$12),AC42&lt;Inputs!$B$19,AD42&lt;Inputs!$B$19,P42&lt;Inputs!$B$7,P42&gt;Inputs!$B$8),"CHECK","OK"))</f>
        <v/>
      </c>
      <c r="AF42" s="9"/>
      <c r="AG42" s="9" t="str">
        <f aca="false">IF(A42="","",(1/Inputs!$B$9)*(PI()*(Inputs!$F$5/1000)^2/4)*((Inputs!$F$5/1000/4)^(2/3))*SQRT(P42))</f>
        <v/>
      </c>
      <c r="AH42" s="9" t="str">
        <f aca="false">IF(A42="","",(1/Inputs!$B$9)*(PI()*(Inputs!$F$6/1000)^2/4)*((Inputs!$F$6/1000/4)^(2/3))*SQRT(P42))</f>
        <v/>
      </c>
      <c r="AI42" s="9" t="str">
        <f aca="false">IF(A42="","",(1/Inputs!$B$9)*(PI()*(Inputs!$F$7/1000)^2/4)*((Inputs!$F$7/1000/4)^(2/3))*SQRT(P42))</f>
        <v/>
      </c>
      <c r="AJ42" s="9" t="str">
        <f aca="false">IF(A42="","",(1/Inputs!$B$9)*(PI()*(Inputs!$F$8/1000)^2/4)*((Inputs!$F$8/1000/4)^(2/3))*SQRT(P42))</f>
        <v/>
      </c>
      <c r="AK42" s="9" t="str">
        <f aca="false">IF(A42="","",(1/Inputs!$B$9)*(PI()*(Inputs!$F$9/1000)^2/4)*((Inputs!$F$9/1000/4)^(2/3))*SQRT(P42))</f>
        <v/>
      </c>
      <c r="AL42" s="9" t="str">
        <f aca="false">IF(A42="","",(1/Inputs!$B$9)*(PI()*(Inputs!$F$10/1000)^2/4)*((Inputs!$F$10/1000/4)^(2/3))*SQRT(P42))</f>
        <v/>
      </c>
      <c r="AM42" s="9" t="str">
        <f aca="false">IF(A42="","",(1/Inputs!$B$9)*(PI()*(Inputs!$F$11/1000)^2/4)*((Inputs!$F$11/1000/4)^(2/3))*SQRT(P42))</f>
        <v/>
      </c>
      <c r="AN42" s="9" t="str">
        <f aca="false">IF(A42="","",(1/Inputs!$B$9)*(PI()*(Inputs!$F$12/1000)^2/4)*((Inputs!$F$12/1000/4)^(2/3))*SQRT(P42))</f>
        <v/>
      </c>
      <c r="AO42" s="9" t="str">
        <f aca="false">IF(A42="","",(1/Inputs!$B$9)*(PI()*(Inputs!$F$13/1000)^2/4)*((Inputs!$F$13/1000/4)^(2/3))*SQRT(P42))</f>
        <v/>
      </c>
      <c r="AP42" s="9" t="str">
        <f aca="false">IF(A42="","",(1/Inputs!$B$9)*(PI()*(Inputs!$F$14/1000)^2/4)*((Inputs!$F$14/1000/4)^(2/3))*SQRT(P42))</f>
        <v/>
      </c>
      <c r="AQ42" s="9" t="str">
        <f aca="false">IF(A42="","",COUNTIF($D$4:$D$203,$A42))</f>
        <v/>
      </c>
      <c r="AR42" s="9" t="str">
        <f aca="false">IF(A42="","",IF(AQ42=0,"START","CONTINUOUS"))</f>
        <v/>
      </c>
      <c r="AS42" s="13" t="str">
        <f aca="false">IF(A42="","",IF(J42="",Inputs!$B$18,J42))</f>
        <v/>
      </c>
      <c r="AT42" s="13" t="str">
        <f aca="false">IF(A42="","",IFERROR(maxifs($AV$4:$AV$203,$D$4:$D$203,$A42),""))</f>
        <v/>
      </c>
      <c r="AU42" s="13" t="str">
        <f aca="false">IF(A42="","",IF(OR(E42="",Inputs!$B$23=""),"",E42/(Inputs!$B$23*60)))</f>
        <v/>
      </c>
      <c r="AV42" s="13" t="str">
        <f aca="false">IF(A42="","",IF(AQ42=0,AS42+AU42,IF(AT42="",AS42+AU42,AT42+AU42)))</f>
        <v/>
      </c>
      <c r="AW42" s="13" t="str">
        <f aca="false">IF(A42="","",W42)</f>
        <v/>
      </c>
      <c r="AX42" s="13" t="str">
        <f aca="false">IF(OR(T42="",P42=""),"",(1/Inputs!$B$9)*((T42/4)^(2/3))*SQRT(P42))</f>
        <v/>
      </c>
      <c r="AY42" s="13" t="str">
        <f aca="false">IF(A42="","",IF(AND(AW42="",AX42="",BA42=""),"",IF(OR(UPPER(TRIM(Inputs!$B$24))="MANNING",UPPER(TRIM(Inputs!$B$24))="M"),AX42,IF(OR(UPPER(TRIM(Inputs!$B$24))="PARTIAL",UPPER(TRIM(Inputs!$B$24))="P"),BA42,IF(OR(UPPER(TRIM(Inputs!$B$24))="MAX",UPPER(TRIM(Inputs!$B$24))="X"),MAX(IF(AW42="",0,AW42),IF(AX42="",0,AX42),IF(BA42="",0,BA42)),AW42)))))</f>
        <v/>
      </c>
      <c r="AZ42" s="13" t="str">
        <f aca="false">IF(BB42="","",CH42)</f>
        <v/>
      </c>
      <c r="BA42" s="13" t="str">
        <f aca="false">IF(OR(BB42="",AZ42="",T42="",T42&lt;=0,AZ42&lt;=0),"",BB42/((T42^2/8)*(2*ACOS(1-2*AZ42/T42)-SIN(2*ACOS(1-2*AZ42/T42)))))</f>
        <v/>
      </c>
      <c r="BB42" s="9" t="str">
        <f aca="false">IF(OR(N42="",BC42=""),"",MIN(N42,BC42))</f>
        <v/>
      </c>
      <c r="BC42" s="9" t="str">
        <f aca="false">IF(OR(N42="",T42="",P42=""),"",IF(OR(T42="",P42="",(0.94*T42)="",T42&lt;=0,(0.94*T42)&lt;=0),"",(1/Inputs!$B$9)*((T42^2/8)*((2*ACOS(1-2*(0.94*T42)/T42))-SIN((2*ACOS(1-2*(0.94*T42)/T42)))))*((((T42^2/8)*((2*ACOS(1-2*(0.94*T42)/T42))-SIN((2*ACOS(1-2*(0.94*T42)/T42)))))/((T42/2)*((2*ACOS(1-2*(0.94*T42)/T42)))))^(2/3))*SQRT(P42)))</f>
        <v/>
      </c>
      <c r="BD42" s="9" t="str">
        <f aca="false">IF(BB42="","",0.001*T42)</f>
        <v/>
      </c>
      <c r="BE42" s="9" t="str">
        <f aca="false">IF(BB42="","",0.94*T42)</f>
        <v/>
      </c>
      <c r="BF42" s="9" t="str">
        <f aca="false">IF(BB42="","",(BD42+BE42)/2)</f>
        <v/>
      </c>
      <c r="BG42" s="9" t="str">
        <f aca="false">IF(OR(T42="",P42="",BF42="",T42&lt;=0,BF42&lt;=0),"",(1/Inputs!$B$9)*((T42^2/8)*((2*ACOS(1-2*BF42/T42))-SIN((2*ACOS(1-2*BF42/T42)))))*((((T42^2/8)*((2*ACOS(1-2*BF42/T42))-SIN((2*ACOS(1-2*BF42/T42)))))/((T42/2)*((2*ACOS(1-2*BF42/T42)))))^(2/3))*SQRT(P42))</f>
        <v/>
      </c>
      <c r="BH42" s="9" t="str">
        <f aca="false">IF(BB42="","",IF(BG42&lt;BB42,BF42,BD42))</f>
        <v/>
      </c>
      <c r="BI42" s="9" t="str">
        <f aca="false">IF(BB42="","",IF(BG42&lt;BB42,BE42,BF42))</f>
        <v/>
      </c>
      <c r="BJ42" s="9" t="str">
        <f aca="false">IF(BB42="","",(BH42+BI42)/2)</f>
        <v/>
      </c>
      <c r="BK42" s="9" t="str">
        <f aca="false">IF(OR(T42="",P42="",BJ42="",T42&lt;=0,BJ42&lt;=0),"",(1/Inputs!$B$9)*((T42^2/8)*((2*ACOS(1-2*BJ42/T42))-SIN((2*ACOS(1-2*BJ42/T42)))))*((((T42^2/8)*((2*ACOS(1-2*BJ42/T42))-SIN((2*ACOS(1-2*BJ42/T42)))))/((T42/2)*((2*ACOS(1-2*BJ42/T42)))))^(2/3))*SQRT(P42))</f>
        <v/>
      </c>
      <c r="BL42" s="9" t="str">
        <f aca="false">IF(BB42="","",IF(BK42&lt;BB42,BJ42,BH42))</f>
        <v/>
      </c>
      <c r="BM42" s="9" t="str">
        <f aca="false">IF(BB42="","",IF(BK42&lt;BB42,BI42,BJ42))</f>
        <v/>
      </c>
      <c r="BN42" s="9" t="str">
        <f aca="false">IF(BB42="","",(BL42+BM42)/2)</f>
        <v/>
      </c>
      <c r="BO42" s="9" t="str">
        <f aca="false">IF(OR(T42="",P42="",BN42="",T42&lt;=0,BN42&lt;=0),"",(1/Inputs!$B$9)*((T42^2/8)*((2*ACOS(1-2*BN42/T42))-SIN((2*ACOS(1-2*BN42/T42)))))*((((T42^2/8)*((2*ACOS(1-2*BN42/T42))-SIN((2*ACOS(1-2*BN42/T42)))))/((T42/2)*((2*ACOS(1-2*BN42/T42)))))^(2/3))*SQRT(P42))</f>
        <v/>
      </c>
      <c r="BP42" s="9" t="str">
        <f aca="false">IF(BB42="","",IF(BO42&lt;BB42,BN42,BL42))</f>
        <v/>
      </c>
      <c r="BQ42" s="9" t="str">
        <f aca="false">IF(BB42="","",IF(BO42&lt;BB42,BM42,BN42))</f>
        <v/>
      </c>
      <c r="BR42" s="9" t="str">
        <f aca="false">IF(BB42="","",(BP42+BQ42)/2)</f>
        <v/>
      </c>
      <c r="BS42" s="9" t="str">
        <f aca="false">IF(OR(T42="",P42="",BR42="",T42&lt;=0,BR42&lt;=0),"",(1/Inputs!$B$9)*((T42^2/8)*((2*ACOS(1-2*BR42/T42))-SIN((2*ACOS(1-2*BR42/T42)))))*((((T42^2/8)*((2*ACOS(1-2*BR42/T42))-SIN((2*ACOS(1-2*BR42/T42)))))/((T42/2)*((2*ACOS(1-2*BR42/T42)))))^(2/3))*SQRT(P42))</f>
        <v/>
      </c>
      <c r="BT42" s="9" t="str">
        <f aca="false">IF(BB42="","",IF(BS42&lt;BB42,BR42,BP42))</f>
        <v/>
      </c>
      <c r="BU42" s="9" t="str">
        <f aca="false">IF(BB42="","",IF(BS42&lt;BB42,BQ42,BR42))</f>
        <v/>
      </c>
      <c r="BV42" s="9" t="str">
        <f aca="false">IF(BB42="","",(BT42+BU42)/2)</f>
        <v/>
      </c>
      <c r="BW42" s="9" t="str">
        <f aca="false">IF(OR(T42="",P42="",BV42="",T42&lt;=0,BV42&lt;=0),"",(1/Inputs!$B$9)*((T42^2/8)*((2*ACOS(1-2*BV42/T42))-SIN((2*ACOS(1-2*BV42/T42)))))*((((T42^2/8)*((2*ACOS(1-2*BV42/T42))-SIN((2*ACOS(1-2*BV42/T42)))))/((T42/2)*((2*ACOS(1-2*BV42/T42)))))^(2/3))*SQRT(P42))</f>
        <v/>
      </c>
      <c r="BX42" s="9" t="str">
        <f aca="false">IF(BB42="","",IF(BW42&lt;BB42,BV42,BT42))</f>
        <v/>
      </c>
      <c r="BY42" s="9" t="str">
        <f aca="false">IF(BB42="","",IF(BW42&lt;BB42,BU42,BV42))</f>
        <v/>
      </c>
      <c r="BZ42" s="9" t="str">
        <f aca="false">IF(BB42="","",(BX42+BY42)/2)</f>
        <v/>
      </c>
      <c r="CA42" s="9" t="str">
        <f aca="false">IF(OR(T42="",P42="",BZ42="",T42&lt;=0,BZ42&lt;=0),"",(1/Inputs!$B$9)*((T42^2/8)*((2*ACOS(1-2*BZ42/T42))-SIN((2*ACOS(1-2*BZ42/T42)))))*((((T42^2/8)*((2*ACOS(1-2*BZ42/T42))-SIN((2*ACOS(1-2*BZ42/T42)))))/((T42/2)*((2*ACOS(1-2*BZ42/T42)))))^(2/3))*SQRT(P42))</f>
        <v/>
      </c>
      <c r="CB42" s="9" t="str">
        <f aca="false">IF(BB42="","",IF(CA42&lt;BB42,BZ42,BX42))</f>
        <v/>
      </c>
      <c r="CC42" s="9" t="str">
        <f aca="false">IF(BB42="","",IF(CA42&lt;BB42,BY42,BZ42))</f>
        <v/>
      </c>
      <c r="CD42" s="9" t="str">
        <f aca="false">IF(BB42="","",(CB42+CC42)/2)</f>
        <v/>
      </c>
      <c r="CE42" s="9" t="str">
        <f aca="false">IF(OR(T42="",P42="",CD42="",T42&lt;=0,CD42&lt;=0),"",(1/Inputs!$B$9)*((T42^2/8)*((2*ACOS(1-2*CD42/T42))-SIN((2*ACOS(1-2*CD42/T42)))))*((((T42^2/8)*((2*ACOS(1-2*CD42/T42))-SIN((2*ACOS(1-2*CD42/T42)))))/((T42/2)*((2*ACOS(1-2*CD42/T42)))))^(2/3))*SQRT(P42))</f>
        <v/>
      </c>
      <c r="CF42" s="9" t="str">
        <f aca="false">IF(BB42="","",IF(CE42&lt;BB42,CD42,CB42))</f>
        <v/>
      </c>
      <c r="CG42" s="9" t="str">
        <f aca="false">IF(BB42="","",IF(CE42&lt;BB42,CC42,CD42))</f>
        <v/>
      </c>
      <c r="CH42" s="9" t="str">
        <f aca="false">IF(BB42="","",(CF42+CG42)/2)</f>
        <v/>
      </c>
    </row>
    <row r="43" customFormat="false" ht="15" hidden="false" customHeight="false" outlineLevel="0" collapsed="false">
      <c r="A43" s="9"/>
      <c r="B43" s="9"/>
      <c r="C43" s="9"/>
      <c r="D43" s="9"/>
      <c r="E43" s="14"/>
      <c r="F43" s="14"/>
      <c r="G43" s="14" t="n">
        <f aca="false">SUMIFS(CB_plan!$C:$C,CB_plan!$B:$B,$A43)</f>
        <v>0</v>
      </c>
      <c r="H43" s="14" t="n">
        <f aca="false">IF(F43="",G43,F43)</f>
        <v>0</v>
      </c>
      <c r="I43" s="9"/>
      <c r="J43" s="14"/>
      <c r="K43" s="14" t="str">
        <f aca="false">IF(A43="","",Inputs!$B$13/((IF(AV43="",Inputs!$B$18,AV43)+Inputs!$B$14)^Inputs!$B$15))</f>
        <v/>
      </c>
      <c r="L43" s="14" t="str">
        <f aca="false">IF(A43="","",0.000000278*IF(I43="",Inputs!$B$17,I43)*H43*K43)</f>
        <v/>
      </c>
      <c r="M43" s="14" t="str">
        <f aca="false">IF(A43="","",SUMIFS($N$4:$N$203,$D$4:$D$203,$A43))</f>
        <v/>
      </c>
      <c r="N43" s="14" t="str">
        <f aca="false">IF(A43="","",(L43+M43)*Inputs!$B$16)</f>
        <v/>
      </c>
      <c r="O43" s="14"/>
      <c r="P43" s="14" t="str">
        <f aca="false">IF(A43="","",IF(O43="",Inputs!$B$7,O43))</f>
        <v/>
      </c>
      <c r="Q43" s="9" t="str">
        <f aca="false">IF(A43="","",IF(N43/Inputs!$B$10&lt;=AG43,Inputs!$F$5,IF(N43/Inputs!$B$10&gt;AP43,"OVERSIZE",INDEX(Inputs!$F$5:$F$14,MATCH(N43/Inputs!$B$10,AG43:AP43,1)+1))))</f>
        <v/>
      </c>
      <c r="R43" s="9"/>
      <c r="S43" s="9" t="str">
        <f aca="false">IF(A43="","",IF(R43="",Q43,R43))</f>
        <v/>
      </c>
      <c r="T43" s="14" t="str">
        <f aca="false">IF(OR(S43="",S43="OVERSIZE"),"",S43/1000)</f>
        <v/>
      </c>
      <c r="U43" s="14" t="str">
        <f aca="false">IF(T43="","",(1/Inputs!$B$9)*(PI()*T43^2/4)*((T43/4)^(2/3))*SQRT(P43))</f>
        <v/>
      </c>
      <c r="V43" s="14" t="str">
        <f aca="false">IF(OR(U43="",N43=""),"",N43/(U43*Inputs!$B$10))</f>
        <v/>
      </c>
      <c r="W43" s="14" t="str">
        <f aca="false">IF(OR(T43="",N43=""),"",4*N43/(PI()*T43^2))</f>
        <v/>
      </c>
      <c r="X43" s="14"/>
      <c r="Y43" s="14" t="str">
        <f aca="false">IF(A43="","",IF(A43=Inputs!$B$6,Inputs!$B$22,IF(D43="","",IFERROR(INDEX($Z$4:$Z$203,MATCH(D43,$A$4:$A$203,0))+IF(X43="",Inputs!$B$20,X43),""))))</f>
        <v/>
      </c>
      <c r="Z43" s="14" t="str">
        <f aca="false">IF(OR(Y43="",P43="",E43=""),"",Y43+P43*E43)</f>
        <v/>
      </c>
      <c r="AA43" s="14" t="str">
        <f aca="false">IF(C43="","",IFERROR(INDEX(Noeuds_plan!$C$4:$C$200,MATCH(C43,Noeuds_plan!$A$4:$A$200,0)),""))</f>
        <v/>
      </c>
      <c r="AB43" s="14" t="str">
        <f aca="false">IF(B43="","",IFERROR(INDEX(Noeuds_plan!$C$4:$C$200,MATCH(B43,Noeuds_plan!$A$4:$A$200,0)),""))</f>
        <v/>
      </c>
      <c r="AC43" s="14" t="str">
        <f aca="false">IF(OR(AA43="",Y43=""),"",AA43-Y43)</f>
        <v/>
      </c>
      <c r="AD43" s="14" t="str">
        <f aca="false">IF(OR(AB43="",Z43=""),"",AB43-Z43)</f>
        <v/>
      </c>
      <c r="AE43" s="19" t="str">
        <f aca="false">IF(A43="","",IF(OR(V43&gt;1,AND(AY43&lt;&gt;"",AY43&lt;Inputs!$B$11),AND(AY43&lt;&gt;"",AY43&gt;Inputs!$B$12),AC43&lt;Inputs!$B$19,AD43&lt;Inputs!$B$19,P43&lt;Inputs!$B$7,P43&gt;Inputs!$B$8),"CHECK","OK"))</f>
        <v/>
      </c>
      <c r="AF43" s="9"/>
      <c r="AG43" s="9" t="str">
        <f aca="false">IF(A43="","",(1/Inputs!$B$9)*(PI()*(Inputs!$F$5/1000)^2/4)*((Inputs!$F$5/1000/4)^(2/3))*SQRT(P43))</f>
        <v/>
      </c>
      <c r="AH43" s="9" t="str">
        <f aca="false">IF(A43="","",(1/Inputs!$B$9)*(PI()*(Inputs!$F$6/1000)^2/4)*((Inputs!$F$6/1000/4)^(2/3))*SQRT(P43))</f>
        <v/>
      </c>
      <c r="AI43" s="9" t="str">
        <f aca="false">IF(A43="","",(1/Inputs!$B$9)*(PI()*(Inputs!$F$7/1000)^2/4)*((Inputs!$F$7/1000/4)^(2/3))*SQRT(P43))</f>
        <v/>
      </c>
      <c r="AJ43" s="9" t="str">
        <f aca="false">IF(A43="","",(1/Inputs!$B$9)*(PI()*(Inputs!$F$8/1000)^2/4)*((Inputs!$F$8/1000/4)^(2/3))*SQRT(P43))</f>
        <v/>
      </c>
      <c r="AK43" s="9" t="str">
        <f aca="false">IF(A43="","",(1/Inputs!$B$9)*(PI()*(Inputs!$F$9/1000)^2/4)*((Inputs!$F$9/1000/4)^(2/3))*SQRT(P43))</f>
        <v/>
      </c>
      <c r="AL43" s="9" t="str">
        <f aca="false">IF(A43="","",(1/Inputs!$B$9)*(PI()*(Inputs!$F$10/1000)^2/4)*((Inputs!$F$10/1000/4)^(2/3))*SQRT(P43))</f>
        <v/>
      </c>
      <c r="AM43" s="9" t="str">
        <f aca="false">IF(A43="","",(1/Inputs!$B$9)*(PI()*(Inputs!$F$11/1000)^2/4)*((Inputs!$F$11/1000/4)^(2/3))*SQRT(P43))</f>
        <v/>
      </c>
      <c r="AN43" s="9" t="str">
        <f aca="false">IF(A43="","",(1/Inputs!$B$9)*(PI()*(Inputs!$F$12/1000)^2/4)*((Inputs!$F$12/1000/4)^(2/3))*SQRT(P43))</f>
        <v/>
      </c>
      <c r="AO43" s="9" t="str">
        <f aca="false">IF(A43="","",(1/Inputs!$B$9)*(PI()*(Inputs!$F$13/1000)^2/4)*((Inputs!$F$13/1000/4)^(2/3))*SQRT(P43))</f>
        <v/>
      </c>
      <c r="AP43" s="9" t="str">
        <f aca="false">IF(A43="","",(1/Inputs!$B$9)*(PI()*(Inputs!$F$14/1000)^2/4)*((Inputs!$F$14/1000/4)^(2/3))*SQRT(P43))</f>
        <v/>
      </c>
      <c r="AQ43" s="9" t="str">
        <f aca="false">IF(A43="","",COUNTIF($D$4:$D$203,$A43))</f>
        <v/>
      </c>
      <c r="AR43" s="9" t="str">
        <f aca="false">IF(A43="","",IF(AQ43=0,"START","CONTINUOUS"))</f>
        <v/>
      </c>
      <c r="AS43" s="13" t="str">
        <f aca="false">IF(A43="","",IF(J43="",Inputs!$B$18,J43))</f>
        <v/>
      </c>
      <c r="AT43" s="13" t="str">
        <f aca="false">IF(A43="","",IFERROR(maxifs($AV$4:$AV$203,$D$4:$D$203,$A43),""))</f>
        <v/>
      </c>
      <c r="AU43" s="13" t="str">
        <f aca="false">IF(A43="","",IF(OR(E43="",Inputs!$B$23=""),"",E43/(Inputs!$B$23*60)))</f>
        <v/>
      </c>
      <c r="AV43" s="13" t="str">
        <f aca="false">IF(A43="","",IF(AQ43=0,AS43+AU43,IF(AT43="",AS43+AU43,AT43+AU43)))</f>
        <v/>
      </c>
      <c r="AW43" s="13" t="str">
        <f aca="false">IF(A43="","",W43)</f>
        <v/>
      </c>
      <c r="AX43" s="13" t="str">
        <f aca="false">IF(OR(T43="",P43=""),"",(1/Inputs!$B$9)*((T43/4)^(2/3))*SQRT(P43))</f>
        <v/>
      </c>
      <c r="AY43" s="13" t="str">
        <f aca="false">IF(A43="","",IF(AND(AW43="",AX43="",BA43=""),"",IF(OR(UPPER(TRIM(Inputs!$B$24))="MANNING",UPPER(TRIM(Inputs!$B$24))="M"),AX43,IF(OR(UPPER(TRIM(Inputs!$B$24))="PARTIAL",UPPER(TRIM(Inputs!$B$24))="P"),BA43,IF(OR(UPPER(TRIM(Inputs!$B$24))="MAX",UPPER(TRIM(Inputs!$B$24))="X"),MAX(IF(AW43="",0,AW43),IF(AX43="",0,AX43),IF(BA43="",0,BA43)),AW43)))))</f>
        <v/>
      </c>
      <c r="AZ43" s="13" t="str">
        <f aca="false">IF(BB43="","",CH43)</f>
        <v/>
      </c>
      <c r="BA43" s="13" t="str">
        <f aca="false">IF(OR(BB43="",AZ43="",T43="",T43&lt;=0,AZ43&lt;=0),"",BB43/((T43^2/8)*(2*ACOS(1-2*AZ43/T43)-SIN(2*ACOS(1-2*AZ43/T43)))))</f>
        <v/>
      </c>
      <c r="BB43" s="9" t="str">
        <f aca="false">IF(OR(N43="",BC43=""),"",MIN(N43,BC43))</f>
        <v/>
      </c>
      <c r="BC43" s="9" t="str">
        <f aca="false">IF(OR(N43="",T43="",P43=""),"",IF(OR(T43="",P43="",(0.94*T43)="",T43&lt;=0,(0.94*T43)&lt;=0),"",(1/Inputs!$B$9)*((T43^2/8)*((2*ACOS(1-2*(0.94*T43)/T43))-SIN((2*ACOS(1-2*(0.94*T43)/T43)))))*((((T43^2/8)*((2*ACOS(1-2*(0.94*T43)/T43))-SIN((2*ACOS(1-2*(0.94*T43)/T43)))))/((T43/2)*((2*ACOS(1-2*(0.94*T43)/T43)))))^(2/3))*SQRT(P43)))</f>
        <v/>
      </c>
      <c r="BD43" s="9" t="str">
        <f aca="false">IF(BB43="","",0.001*T43)</f>
        <v/>
      </c>
      <c r="BE43" s="9" t="str">
        <f aca="false">IF(BB43="","",0.94*T43)</f>
        <v/>
      </c>
      <c r="BF43" s="9" t="str">
        <f aca="false">IF(BB43="","",(BD43+BE43)/2)</f>
        <v/>
      </c>
      <c r="BG43" s="9" t="str">
        <f aca="false">IF(OR(T43="",P43="",BF43="",T43&lt;=0,BF43&lt;=0),"",(1/Inputs!$B$9)*((T43^2/8)*((2*ACOS(1-2*BF43/T43))-SIN((2*ACOS(1-2*BF43/T43)))))*((((T43^2/8)*((2*ACOS(1-2*BF43/T43))-SIN((2*ACOS(1-2*BF43/T43)))))/((T43/2)*((2*ACOS(1-2*BF43/T43)))))^(2/3))*SQRT(P43))</f>
        <v/>
      </c>
      <c r="BH43" s="9" t="str">
        <f aca="false">IF(BB43="","",IF(BG43&lt;BB43,BF43,BD43))</f>
        <v/>
      </c>
      <c r="BI43" s="9" t="str">
        <f aca="false">IF(BB43="","",IF(BG43&lt;BB43,BE43,BF43))</f>
        <v/>
      </c>
      <c r="BJ43" s="9" t="str">
        <f aca="false">IF(BB43="","",(BH43+BI43)/2)</f>
        <v/>
      </c>
      <c r="BK43" s="9" t="str">
        <f aca="false">IF(OR(T43="",P43="",BJ43="",T43&lt;=0,BJ43&lt;=0),"",(1/Inputs!$B$9)*((T43^2/8)*((2*ACOS(1-2*BJ43/T43))-SIN((2*ACOS(1-2*BJ43/T43)))))*((((T43^2/8)*((2*ACOS(1-2*BJ43/T43))-SIN((2*ACOS(1-2*BJ43/T43)))))/((T43/2)*((2*ACOS(1-2*BJ43/T43)))))^(2/3))*SQRT(P43))</f>
        <v/>
      </c>
      <c r="BL43" s="9" t="str">
        <f aca="false">IF(BB43="","",IF(BK43&lt;BB43,BJ43,BH43))</f>
        <v/>
      </c>
      <c r="BM43" s="9" t="str">
        <f aca="false">IF(BB43="","",IF(BK43&lt;BB43,BI43,BJ43))</f>
        <v/>
      </c>
      <c r="BN43" s="9" t="str">
        <f aca="false">IF(BB43="","",(BL43+BM43)/2)</f>
        <v/>
      </c>
      <c r="BO43" s="9" t="str">
        <f aca="false">IF(OR(T43="",P43="",BN43="",T43&lt;=0,BN43&lt;=0),"",(1/Inputs!$B$9)*((T43^2/8)*((2*ACOS(1-2*BN43/T43))-SIN((2*ACOS(1-2*BN43/T43)))))*((((T43^2/8)*((2*ACOS(1-2*BN43/T43))-SIN((2*ACOS(1-2*BN43/T43)))))/((T43/2)*((2*ACOS(1-2*BN43/T43)))))^(2/3))*SQRT(P43))</f>
        <v/>
      </c>
      <c r="BP43" s="9" t="str">
        <f aca="false">IF(BB43="","",IF(BO43&lt;BB43,BN43,BL43))</f>
        <v/>
      </c>
      <c r="BQ43" s="9" t="str">
        <f aca="false">IF(BB43="","",IF(BO43&lt;BB43,BM43,BN43))</f>
        <v/>
      </c>
      <c r="BR43" s="9" t="str">
        <f aca="false">IF(BB43="","",(BP43+BQ43)/2)</f>
        <v/>
      </c>
      <c r="BS43" s="9" t="str">
        <f aca="false">IF(OR(T43="",P43="",BR43="",T43&lt;=0,BR43&lt;=0),"",(1/Inputs!$B$9)*((T43^2/8)*((2*ACOS(1-2*BR43/T43))-SIN((2*ACOS(1-2*BR43/T43)))))*((((T43^2/8)*((2*ACOS(1-2*BR43/T43))-SIN((2*ACOS(1-2*BR43/T43)))))/((T43/2)*((2*ACOS(1-2*BR43/T43)))))^(2/3))*SQRT(P43))</f>
        <v/>
      </c>
      <c r="BT43" s="9" t="str">
        <f aca="false">IF(BB43="","",IF(BS43&lt;BB43,BR43,BP43))</f>
        <v/>
      </c>
      <c r="BU43" s="9" t="str">
        <f aca="false">IF(BB43="","",IF(BS43&lt;BB43,BQ43,BR43))</f>
        <v/>
      </c>
      <c r="BV43" s="9" t="str">
        <f aca="false">IF(BB43="","",(BT43+BU43)/2)</f>
        <v/>
      </c>
      <c r="BW43" s="9" t="str">
        <f aca="false">IF(OR(T43="",P43="",BV43="",T43&lt;=0,BV43&lt;=0),"",(1/Inputs!$B$9)*((T43^2/8)*((2*ACOS(1-2*BV43/T43))-SIN((2*ACOS(1-2*BV43/T43)))))*((((T43^2/8)*((2*ACOS(1-2*BV43/T43))-SIN((2*ACOS(1-2*BV43/T43)))))/((T43/2)*((2*ACOS(1-2*BV43/T43)))))^(2/3))*SQRT(P43))</f>
        <v/>
      </c>
      <c r="BX43" s="9" t="str">
        <f aca="false">IF(BB43="","",IF(BW43&lt;BB43,BV43,BT43))</f>
        <v/>
      </c>
      <c r="BY43" s="9" t="str">
        <f aca="false">IF(BB43="","",IF(BW43&lt;BB43,BU43,BV43))</f>
        <v/>
      </c>
      <c r="BZ43" s="9" t="str">
        <f aca="false">IF(BB43="","",(BX43+BY43)/2)</f>
        <v/>
      </c>
      <c r="CA43" s="9" t="str">
        <f aca="false">IF(OR(T43="",P43="",BZ43="",T43&lt;=0,BZ43&lt;=0),"",(1/Inputs!$B$9)*((T43^2/8)*((2*ACOS(1-2*BZ43/T43))-SIN((2*ACOS(1-2*BZ43/T43)))))*((((T43^2/8)*((2*ACOS(1-2*BZ43/T43))-SIN((2*ACOS(1-2*BZ43/T43)))))/((T43/2)*((2*ACOS(1-2*BZ43/T43)))))^(2/3))*SQRT(P43))</f>
        <v/>
      </c>
      <c r="CB43" s="9" t="str">
        <f aca="false">IF(BB43="","",IF(CA43&lt;BB43,BZ43,BX43))</f>
        <v/>
      </c>
      <c r="CC43" s="9" t="str">
        <f aca="false">IF(BB43="","",IF(CA43&lt;BB43,BY43,BZ43))</f>
        <v/>
      </c>
      <c r="CD43" s="9" t="str">
        <f aca="false">IF(BB43="","",(CB43+CC43)/2)</f>
        <v/>
      </c>
      <c r="CE43" s="9" t="str">
        <f aca="false">IF(OR(T43="",P43="",CD43="",T43&lt;=0,CD43&lt;=0),"",(1/Inputs!$B$9)*((T43^2/8)*((2*ACOS(1-2*CD43/T43))-SIN((2*ACOS(1-2*CD43/T43)))))*((((T43^2/8)*((2*ACOS(1-2*CD43/T43))-SIN((2*ACOS(1-2*CD43/T43)))))/((T43/2)*((2*ACOS(1-2*CD43/T43)))))^(2/3))*SQRT(P43))</f>
        <v/>
      </c>
      <c r="CF43" s="9" t="str">
        <f aca="false">IF(BB43="","",IF(CE43&lt;BB43,CD43,CB43))</f>
        <v/>
      </c>
      <c r="CG43" s="9" t="str">
        <f aca="false">IF(BB43="","",IF(CE43&lt;BB43,CC43,CD43))</f>
        <v/>
      </c>
      <c r="CH43" s="9" t="str">
        <f aca="false">IF(BB43="","",(CF43+CG43)/2)</f>
        <v/>
      </c>
    </row>
    <row r="44" customFormat="false" ht="15" hidden="false" customHeight="false" outlineLevel="0" collapsed="false">
      <c r="A44" s="9"/>
      <c r="B44" s="9"/>
      <c r="C44" s="9"/>
      <c r="D44" s="9"/>
      <c r="E44" s="14"/>
      <c r="F44" s="14"/>
      <c r="G44" s="14" t="n">
        <f aca="false">SUMIFS(CB_plan!$C:$C,CB_plan!$B:$B,$A44)</f>
        <v>0</v>
      </c>
      <c r="H44" s="14" t="n">
        <f aca="false">IF(F44="",G44,F44)</f>
        <v>0</v>
      </c>
      <c r="I44" s="9"/>
      <c r="J44" s="14"/>
      <c r="K44" s="14" t="str">
        <f aca="false">IF(A44="","",Inputs!$B$13/((IF(AV44="",Inputs!$B$18,AV44)+Inputs!$B$14)^Inputs!$B$15))</f>
        <v/>
      </c>
      <c r="L44" s="14" t="str">
        <f aca="false">IF(A44="","",0.000000278*IF(I44="",Inputs!$B$17,I44)*H44*K44)</f>
        <v/>
      </c>
      <c r="M44" s="14" t="str">
        <f aca="false">IF(A44="","",SUMIFS($N$4:$N$203,$D$4:$D$203,$A44))</f>
        <v/>
      </c>
      <c r="N44" s="14" t="str">
        <f aca="false">IF(A44="","",(L44+M44)*Inputs!$B$16)</f>
        <v/>
      </c>
      <c r="O44" s="14"/>
      <c r="P44" s="14" t="str">
        <f aca="false">IF(A44="","",IF(O44="",Inputs!$B$7,O44))</f>
        <v/>
      </c>
      <c r="Q44" s="9" t="str">
        <f aca="false">IF(A44="","",IF(N44/Inputs!$B$10&lt;=AG44,Inputs!$F$5,IF(N44/Inputs!$B$10&gt;AP44,"OVERSIZE",INDEX(Inputs!$F$5:$F$14,MATCH(N44/Inputs!$B$10,AG44:AP44,1)+1))))</f>
        <v/>
      </c>
      <c r="R44" s="9"/>
      <c r="S44" s="9" t="str">
        <f aca="false">IF(A44="","",IF(R44="",Q44,R44))</f>
        <v/>
      </c>
      <c r="T44" s="14" t="str">
        <f aca="false">IF(OR(S44="",S44="OVERSIZE"),"",S44/1000)</f>
        <v/>
      </c>
      <c r="U44" s="14" t="str">
        <f aca="false">IF(T44="","",(1/Inputs!$B$9)*(PI()*T44^2/4)*((T44/4)^(2/3))*SQRT(P44))</f>
        <v/>
      </c>
      <c r="V44" s="14" t="str">
        <f aca="false">IF(OR(U44="",N44=""),"",N44/(U44*Inputs!$B$10))</f>
        <v/>
      </c>
      <c r="W44" s="14" t="str">
        <f aca="false">IF(OR(T44="",N44=""),"",4*N44/(PI()*T44^2))</f>
        <v/>
      </c>
      <c r="X44" s="14"/>
      <c r="Y44" s="14" t="str">
        <f aca="false">IF(A44="","",IF(A44=Inputs!$B$6,Inputs!$B$22,IF(D44="","",IFERROR(INDEX($Z$4:$Z$203,MATCH(D44,$A$4:$A$203,0))+IF(X44="",Inputs!$B$20,X44),""))))</f>
        <v/>
      </c>
      <c r="Z44" s="14" t="str">
        <f aca="false">IF(OR(Y44="",P44="",E44=""),"",Y44+P44*E44)</f>
        <v/>
      </c>
      <c r="AA44" s="14" t="str">
        <f aca="false">IF(C44="","",IFERROR(INDEX(Noeuds_plan!$C$4:$C$200,MATCH(C44,Noeuds_plan!$A$4:$A$200,0)),""))</f>
        <v/>
      </c>
      <c r="AB44" s="14" t="str">
        <f aca="false">IF(B44="","",IFERROR(INDEX(Noeuds_plan!$C$4:$C$200,MATCH(B44,Noeuds_plan!$A$4:$A$200,0)),""))</f>
        <v/>
      </c>
      <c r="AC44" s="14" t="str">
        <f aca="false">IF(OR(AA44="",Y44=""),"",AA44-Y44)</f>
        <v/>
      </c>
      <c r="AD44" s="14" t="str">
        <f aca="false">IF(OR(AB44="",Z44=""),"",AB44-Z44)</f>
        <v/>
      </c>
      <c r="AE44" s="19" t="str">
        <f aca="false">IF(A44="","",IF(OR(V44&gt;1,AND(AY44&lt;&gt;"",AY44&lt;Inputs!$B$11),AND(AY44&lt;&gt;"",AY44&gt;Inputs!$B$12),AC44&lt;Inputs!$B$19,AD44&lt;Inputs!$B$19,P44&lt;Inputs!$B$7,P44&gt;Inputs!$B$8),"CHECK","OK"))</f>
        <v/>
      </c>
      <c r="AF44" s="9"/>
      <c r="AG44" s="9" t="str">
        <f aca="false">IF(A44="","",(1/Inputs!$B$9)*(PI()*(Inputs!$F$5/1000)^2/4)*((Inputs!$F$5/1000/4)^(2/3))*SQRT(P44))</f>
        <v/>
      </c>
      <c r="AH44" s="9" t="str">
        <f aca="false">IF(A44="","",(1/Inputs!$B$9)*(PI()*(Inputs!$F$6/1000)^2/4)*((Inputs!$F$6/1000/4)^(2/3))*SQRT(P44))</f>
        <v/>
      </c>
      <c r="AI44" s="9" t="str">
        <f aca="false">IF(A44="","",(1/Inputs!$B$9)*(PI()*(Inputs!$F$7/1000)^2/4)*((Inputs!$F$7/1000/4)^(2/3))*SQRT(P44))</f>
        <v/>
      </c>
      <c r="AJ44" s="9" t="str">
        <f aca="false">IF(A44="","",(1/Inputs!$B$9)*(PI()*(Inputs!$F$8/1000)^2/4)*((Inputs!$F$8/1000/4)^(2/3))*SQRT(P44))</f>
        <v/>
      </c>
      <c r="AK44" s="9" t="str">
        <f aca="false">IF(A44="","",(1/Inputs!$B$9)*(PI()*(Inputs!$F$9/1000)^2/4)*((Inputs!$F$9/1000/4)^(2/3))*SQRT(P44))</f>
        <v/>
      </c>
      <c r="AL44" s="9" t="str">
        <f aca="false">IF(A44="","",(1/Inputs!$B$9)*(PI()*(Inputs!$F$10/1000)^2/4)*((Inputs!$F$10/1000/4)^(2/3))*SQRT(P44))</f>
        <v/>
      </c>
      <c r="AM44" s="9" t="str">
        <f aca="false">IF(A44="","",(1/Inputs!$B$9)*(PI()*(Inputs!$F$11/1000)^2/4)*((Inputs!$F$11/1000/4)^(2/3))*SQRT(P44))</f>
        <v/>
      </c>
      <c r="AN44" s="9" t="str">
        <f aca="false">IF(A44="","",(1/Inputs!$B$9)*(PI()*(Inputs!$F$12/1000)^2/4)*((Inputs!$F$12/1000/4)^(2/3))*SQRT(P44))</f>
        <v/>
      </c>
      <c r="AO44" s="9" t="str">
        <f aca="false">IF(A44="","",(1/Inputs!$B$9)*(PI()*(Inputs!$F$13/1000)^2/4)*((Inputs!$F$13/1000/4)^(2/3))*SQRT(P44))</f>
        <v/>
      </c>
      <c r="AP44" s="9" t="str">
        <f aca="false">IF(A44="","",(1/Inputs!$B$9)*(PI()*(Inputs!$F$14/1000)^2/4)*((Inputs!$F$14/1000/4)^(2/3))*SQRT(P44))</f>
        <v/>
      </c>
      <c r="AQ44" s="9" t="str">
        <f aca="false">IF(A44="","",COUNTIF($D$4:$D$203,$A44))</f>
        <v/>
      </c>
      <c r="AR44" s="9" t="str">
        <f aca="false">IF(A44="","",IF(AQ44=0,"START","CONTINUOUS"))</f>
        <v/>
      </c>
      <c r="AS44" s="13" t="str">
        <f aca="false">IF(A44="","",IF(J44="",Inputs!$B$18,J44))</f>
        <v/>
      </c>
      <c r="AT44" s="13" t="str">
        <f aca="false">IF(A44="","",IFERROR(maxifs($AV$4:$AV$203,$D$4:$D$203,$A44),""))</f>
        <v/>
      </c>
      <c r="AU44" s="13" t="str">
        <f aca="false">IF(A44="","",IF(OR(E44="",Inputs!$B$23=""),"",E44/(Inputs!$B$23*60)))</f>
        <v/>
      </c>
      <c r="AV44" s="13" t="str">
        <f aca="false">IF(A44="","",IF(AQ44=0,AS44+AU44,IF(AT44="",AS44+AU44,AT44+AU44)))</f>
        <v/>
      </c>
      <c r="AW44" s="13" t="str">
        <f aca="false">IF(A44="","",W44)</f>
        <v/>
      </c>
      <c r="AX44" s="13" t="str">
        <f aca="false">IF(OR(T44="",P44=""),"",(1/Inputs!$B$9)*((T44/4)^(2/3))*SQRT(P44))</f>
        <v/>
      </c>
      <c r="AY44" s="13" t="str">
        <f aca="false">IF(A44="","",IF(AND(AW44="",AX44="",BA44=""),"",IF(OR(UPPER(TRIM(Inputs!$B$24))="MANNING",UPPER(TRIM(Inputs!$B$24))="M"),AX44,IF(OR(UPPER(TRIM(Inputs!$B$24))="PARTIAL",UPPER(TRIM(Inputs!$B$24))="P"),BA44,IF(OR(UPPER(TRIM(Inputs!$B$24))="MAX",UPPER(TRIM(Inputs!$B$24))="X"),MAX(IF(AW44="",0,AW44),IF(AX44="",0,AX44),IF(BA44="",0,BA44)),AW44)))))</f>
        <v/>
      </c>
      <c r="AZ44" s="13" t="str">
        <f aca="false">IF(BB44="","",CH44)</f>
        <v/>
      </c>
      <c r="BA44" s="13" t="str">
        <f aca="false">IF(OR(BB44="",AZ44="",T44="",T44&lt;=0,AZ44&lt;=0),"",BB44/((T44^2/8)*(2*ACOS(1-2*AZ44/T44)-SIN(2*ACOS(1-2*AZ44/T44)))))</f>
        <v/>
      </c>
      <c r="BB44" s="9" t="str">
        <f aca="false">IF(OR(N44="",BC44=""),"",MIN(N44,BC44))</f>
        <v/>
      </c>
      <c r="BC44" s="9" t="str">
        <f aca="false">IF(OR(N44="",T44="",P44=""),"",IF(OR(T44="",P44="",(0.94*T44)="",T44&lt;=0,(0.94*T44)&lt;=0),"",(1/Inputs!$B$9)*((T44^2/8)*((2*ACOS(1-2*(0.94*T44)/T44))-SIN((2*ACOS(1-2*(0.94*T44)/T44)))))*((((T44^2/8)*((2*ACOS(1-2*(0.94*T44)/T44))-SIN((2*ACOS(1-2*(0.94*T44)/T44)))))/((T44/2)*((2*ACOS(1-2*(0.94*T44)/T44)))))^(2/3))*SQRT(P44)))</f>
        <v/>
      </c>
      <c r="BD44" s="9" t="str">
        <f aca="false">IF(BB44="","",0.001*T44)</f>
        <v/>
      </c>
      <c r="BE44" s="9" t="str">
        <f aca="false">IF(BB44="","",0.94*T44)</f>
        <v/>
      </c>
      <c r="BF44" s="9" t="str">
        <f aca="false">IF(BB44="","",(BD44+BE44)/2)</f>
        <v/>
      </c>
      <c r="BG44" s="9" t="str">
        <f aca="false">IF(OR(T44="",P44="",BF44="",T44&lt;=0,BF44&lt;=0),"",(1/Inputs!$B$9)*((T44^2/8)*((2*ACOS(1-2*BF44/T44))-SIN((2*ACOS(1-2*BF44/T44)))))*((((T44^2/8)*((2*ACOS(1-2*BF44/T44))-SIN((2*ACOS(1-2*BF44/T44)))))/((T44/2)*((2*ACOS(1-2*BF44/T44)))))^(2/3))*SQRT(P44))</f>
        <v/>
      </c>
      <c r="BH44" s="9" t="str">
        <f aca="false">IF(BB44="","",IF(BG44&lt;BB44,BF44,BD44))</f>
        <v/>
      </c>
      <c r="BI44" s="9" t="str">
        <f aca="false">IF(BB44="","",IF(BG44&lt;BB44,BE44,BF44))</f>
        <v/>
      </c>
      <c r="BJ44" s="9" t="str">
        <f aca="false">IF(BB44="","",(BH44+BI44)/2)</f>
        <v/>
      </c>
      <c r="BK44" s="9" t="str">
        <f aca="false">IF(OR(T44="",P44="",BJ44="",T44&lt;=0,BJ44&lt;=0),"",(1/Inputs!$B$9)*((T44^2/8)*((2*ACOS(1-2*BJ44/T44))-SIN((2*ACOS(1-2*BJ44/T44)))))*((((T44^2/8)*((2*ACOS(1-2*BJ44/T44))-SIN((2*ACOS(1-2*BJ44/T44)))))/((T44/2)*((2*ACOS(1-2*BJ44/T44)))))^(2/3))*SQRT(P44))</f>
        <v/>
      </c>
      <c r="BL44" s="9" t="str">
        <f aca="false">IF(BB44="","",IF(BK44&lt;BB44,BJ44,BH44))</f>
        <v/>
      </c>
      <c r="BM44" s="9" t="str">
        <f aca="false">IF(BB44="","",IF(BK44&lt;BB44,BI44,BJ44))</f>
        <v/>
      </c>
      <c r="BN44" s="9" t="str">
        <f aca="false">IF(BB44="","",(BL44+BM44)/2)</f>
        <v/>
      </c>
      <c r="BO44" s="9" t="str">
        <f aca="false">IF(OR(T44="",P44="",BN44="",T44&lt;=0,BN44&lt;=0),"",(1/Inputs!$B$9)*((T44^2/8)*((2*ACOS(1-2*BN44/T44))-SIN((2*ACOS(1-2*BN44/T44)))))*((((T44^2/8)*((2*ACOS(1-2*BN44/T44))-SIN((2*ACOS(1-2*BN44/T44)))))/((T44/2)*((2*ACOS(1-2*BN44/T44)))))^(2/3))*SQRT(P44))</f>
        <v/>
      </c>
      <c r="BP44" s="9" t="str">
        <f aca="false">IF(BB44="","",IF(BO44&lt;BB44,BN44,BL44))</f>
        <v/>
      </c>
      <c r="BQ44" s="9" t="str">
        <f aca="false">IF(BB44="","",IF(BO44&lt;BB44,BM44,BN44))</f>
        <v/>
      </c>
      <c r="BR44" s="9" t="str">
        <f aca="false">IF(BB44="","",(BP44+BQ44)/2)</f>
        <v/>
      </c>
      <c r="BS44" s="9" t="str">
        <f aca="false">IF(OR(T44="",P44="",BR44="",T44&lt;=0,BR44&lt;=0),"",(1/Inputs!$B$9)*((T44^2/8)*((2*ACOS(1-2*BR44/T44))-SIN((2*ACOS(1-2*BR44/T44)))))*((((T44^2/8)*((2*ACOS(1-2*BR44/T44))-SIN((2*ACOS(1-2*BR44/T44)))))/((T44/2)*((2*ACOS(1-2*BR44/T44)))))^(2/3))*SQRT(P44))</f>
        <v/>
      </c>
      <c r="BT44" s="9" t="str">
        <f aca="false">IF(BB44="","",IF(BS44&lt;BB44,BR44,BP44))</f>
        <v/>
      </c>
      <c r="BU44" s="9" t="str">
        <f aca="false">IF(BB44="","",IF(BS44&lt;BB44,BQ44,BR44))</f>
        <v/>
      </c>
      <c r="BV44" s="9" t="str">
        <f aca="false">IF(BB44="","",(BT44+BU44)/2)</f>
        <v/>
      </c>
      <c r="BW44" s="9" t="str">
        <f aca="false">IF(OR(T44="",P44="",BV44="",T44&lt;=0,BV44&lt;=0),"",(1/Inputs!$B$9)*((T44^2/8)*((2*ACOS(1-2*BV44/T44))-SIN((2*ACOS(1-2*BV44/T44)))))*((((T44^2/8)*((2*ACOS(1-2*BV44/T44))-SIN((2*ACOS(1-2*BV44/T44)))))/((T44/2)*((2*ACOS(1-2*BV44/T44)))))^(2/3))*SQRT(P44))</f>
        <v/>
      </c>
      <c r="BX44" s="9" t="str">
        <f aca="false">IF(BB44="","",IF(BW44&lt;BB44,BV44,BT44))</f>
        <v/>
      </c>
      <c r="BY44" s="9" t="str">
        <f aca="false">IF(BB44="","",IF(BW44&lt;BB44,BU44,BV44))</f>
        <v/>
      </c>
      <c r="BZ44" s="9" t="str">
        <f aca="false">IF(BB44="","",(BX44+BY44)/2)</f>
        <v/>
      </c>
      <c r="CA44" s="9" t="str">
        <f aca="false">IF(OR(T44="",P44="",BZ44="",T44&lt;=0,BZ44&lt;=0),"",(1/Inputs!$B$9)*((T44^2/8)*((2*ACOS(1-2*BZ44/T44))-SIN((2*ACOS(1-2*BZ44/T44)))))*((((T44^2/8)*((2*ACOS(1-2*BZ44/T44))-SIN((2*ACOS(1-2*BZ44/T44)))))/((T44/2)*((2*ACOS(1-2*BZ44/T44)))))^(2/3))*SQRT(P44))</f>
        <v/>
      </c>
      <c r="CB44" s="9" t="str">
        <f aca="false">IF(BB44="","",IF(CA44&lt;BB44,BZ44,BX44))</f>
        <v/>
      </c>
      <c r="CC44" s="9" t="str">
        <f aca="false">IF(BB44="","",IF(CA44&lt;BB44,BY44,BZ44))</f>
        <v/>
      </c>
      <c r="CD44" s="9" t="str">
        <f aca="false">IF(BB44="","",(CB44+CC44)/2)</f>
        <v/>
      </c>
      <c r="CE44" s="9" t="str">
        <f aca="false">IF(OR(T44="",P44="",CD44="",T44&lt;=0,CD44&lt;=0),"",(1/Inputs!$B$9)*((T44^2/8)*((2*ACOS(1-2*CD44/T44))-SIN((2*ACOS(1-2*CD44/T44)))))*((((T44^2/8)*((2*ACOS(1-2*CD44/T44))-SIN((2*ACOS(1-2*CD44/T44)))))/((T44/2)*((2*ACOS(1-2*CD44/T44)))))^(2/3))*SQRT(P44))</f>
        <v/>
      </c>
      <c r="CF44" s="9" t="str">
        <f aca="false">IF(BB44="","",IF(CE44&lt;BB44,CD44,CB44))</f>
        <v/>
      </c>
      <c r="CG44" s="9" t="str">
        <f aca="false">IF(BB44="","",IF(CE44&lt;BB44,CC44,CD44))</f>
        <v/>
      </c>
      <c r="CH44" s="9" t="str">
        <f aca="false">IF(BB44="","",(CF44+CG44)/2)</f>
        <v/>
      </c>
    </row>
    <row r="45" customFormat="false" ht="15" hidden="false" customHeight="false" outlineLevel="0" collapsed="false">
      <c r="A45" s="9"/>
      <c r="B45" s="9"/>
      <c r="C45" s="9"/>
      <c r="D45" s="9"/>
      <c r="E45" s="14"/>
      <c r="F45" s="14"/>
      <c r="G45" s="14" t="n">
        <f aca="false">SUMIFS(CB_plan!$C:$C,CB_plan!$B:$B,$A45)</f>
        <v>0</v>
      </c>
      <c r="H45" s="14" t="n">
        <f aca="false">IF(F45="",G45,F45)</f>
        <v>0</v>
      </c>
      <c r="I45" s="9"/>
      <c r="J45" s="14"/>
      <c r="K45" s="14" t="str">
        <f aca="false">IF(A45="","",Inputs!$B$13/((IF(AV45="",Inputs!$B$18,AV45)+Inputs!$B$14)^Inputs!$B$15))</f>
        <v/>
      </c>
      <c r="L45" s="14" t="str">
        <f aca="false">IF(A45="","",0.000000278*IF(I45="",Inputs!$B$17,I45)*H45*K45)</f>
        <v/>
      </c>
      <c r="M45" s="14" t="str">
        <f aca="false">IF(A45="","",SUMIFS($N$4:$N$203,$D$4:$D$203,$A45))</f>
        <v/>
      </c>
      <c r="N45" s="14" t="str">
        <f aca="false">IF(A45="","",(L45+M45)*Inputs!$B$16)</f>
        <v/>
      </c>
      <c r="O45" s="14"/>
      <c r="P45" s="14" t="str">
        <f aca="false">IF(A45="","",IF(O45="",Inputs!$B$7,O45))</f>
        <v/>
      </c>
      <c r="Q45" s="9" t="str">
        <f aca="false">IF(A45="","",IF(N45/Inputs!$B$10&lt;=AG45,Inputs!$F$5,IF(N45/Inputs!$B$10&gt;AP45,"OVERSIZE",INDEX(Inputs!$F$5:$F$14,MATCH(N45/Inputs!$B$10,AG45:AP45,1)+1))))</f>
        <v/>
      </c>
      <c r="R45" s="9"/>
      <c r="S45" s="9" t="str">
        <f aca="false">IF(A45="","",IF(R45="",Q45,R45))</f>
        <v/>
      </c>
      <c r="T45" s="14" t="str">
        <f aca="false">IF(OR(S45="",S45="OVERSIZE"),"",S45/1000)</f>
        <v/>
      </c>
      <c r="U45" s="14" t="str">
        <f aca="false">IF(T45="","",(1/Inputs!$B$9)*(PI()*T45^2/4)*((T45/4)^(2/3))*SQRT(P45))</f>
        <v/>
      </c>
      <c r="V45" s="14" t="str">
        <f aca="false">IF(OR(U45="",N45=""),"",N45/(U45*Inputs!$B$10))</f>
        <v/>
      </c>
      <c r="W45" s="14" t="str">
        <f aca="false">IF(OR(T45="",N45=""),"",4*N45/(PI()*T45^2))</f>
        <v/>
      </c>
      <c r="X45" s="14"/>
      <c r="Y45" s="14" t="str">
        <f aca="false">IF(A45="","",IF(A45=Inputs!$B$6,Inputs!$B$22,IF(D45="","",IFERROR(INDEX($Z$4:$Z$203,MATCH(D45,$A$4:$A$203,0))+IF(X45="",Inputs!$B$20,X45),""))))</f>
        <v/>
      </c>
      <c r="Z45" s="14" t="str">
        <f aca="false">IF(OR(Y45="",P45="",E45=""),"",Y45+P45*E45)</f>
        <v/>
      </c>
      <c r="AA45" s="14" t="str">
        <f aca="false">IF(C45="","",IFERROR(INDEX(Noeuds_plan!$C$4:$C$200,MATCH(C45,Noeuds_plan!$A$4:$A$200,0)),""))</f>
        <v/>
      </c>
      <c r="AB45" s="14" t="str">
        <f aca="false">IF(B45="","",IFERROR(INDEX(Noeuds_plan!$C$4:$C$200,MATCH(B45,Noeuds_plan!$A$4:$A$200,0)),""))</f>
        <v/>
      </c>
      <c r="AC45" s="14" t="str">
        <f aca="false">IF(OR(AA45="",Y45=""),"",AA45-Y45)</f>
        <v/>
      </c>
      <c r="AD45" s="14" t="str">
        <f aca="false">IF(OR(AB45="",Z45=""),"",AB45-Z45)</f>
        <v/>
      </c>
      <c r="AE45" s="19" t="str">
        <f aca="false">IF(A45="","",IF(OR(V45&gt;1,AND(AY45&lt;&gt;"",AY45&lt;Inputs!$B$11),AND(AY45&lt;&gt;"",AY45&gt;Inputs!$B$12),AC45&lt;Inputs!$B$19,AD45&lt;Inputs!$B$19,P45&lt;Inputs!$B$7,P45&gt;Inputs!$B$8),"CHECK","OK"))</f>
        <v/>
      </c>
      <c r="AF45" s="9"/>
      <c r="AG45" s="9" t="str">
        <f aca="false">IF(A45="","",(1/Inputs!$B$9)*(PI()*(Inputs!$F$5/1000)^2/4)*((Inputs!$F$5/1000/4)^(2/3))*SQRT(P45))</f>
        <v/>
      </c>
      <c r="AH45" s="9" t="str">
        <f aca="false">IF(A45="","",(1/Inputs!$B$9)*(PI()*(Inputs!$F$6/1000)^2/4)*((Inputs!$F$6/1000/4)^(2/3))*SQRT(P45))</f>
        <v/>
      </c>
      <c r="AI45" s="9" t="str">
        <f aca="false">IF(A45="","",(1/Inputs!$B$9)*(PI()*(Inputs!$F$7/1000)^2/4)*((Inputs!$F$7/1000/4)^(2/3))*SQRT(P45))</f>
        <v/>
      </c>
      <c r="AJ45" s="9" t="str">
        <f aca="false">IF(A45="","",(1/Inputs!$B$9)*(PI()*(Inputs!$F$8/1000)^2/4)*((Inputs!$F$8/1000/4)^(2/3))*SQRT(P45))</f>
        <v/>
      </c>
      <c r="AK45" s="9" t="str">
        <f aca="false">IF(A45="","",(1/Inputs!$B$9)*(PI()*(Inputs!$F$9/1000)^2/4)*((Inputs!$F$9/1000/4)^(2/3))*SQRT(P45))</f>
        <v/>
      </c>
      <c r="AL45" s="9" t="str">
        <f aca="false">IF(A45="","",(1/Inputs!$B$9)*(PI()*(Inputs!$F$10/1000)^2/4)*((Inputs!$F$10/1000/4)^(2/3))*SQRT(P45))</f>
        <v/>
      </c>
      <c r="AM45" s="9" t="str">
        <f aca="false">IF(A45="","",(1/Inputs!$B$9)*(PI()*(Inputs!$F$11/1000)^2/4)*((Inputs!$F$11/1000/4)^(2/3))*SQRT(P45))</f>
        <v/>
      </c>
      <c r="AN45" s="9" t="str">
        <f aca="false">IF(A45="","",(1/Inputs!$B$9)*(PI()*(Inputs!$F$12/1000)^2/4)*((Inputs!$F$12/1000/4)^(2/3))*SQRT(P45))</f>
        <v/>
      </c>
      <c r="AO45" s="9" t="str">
        <f aca="false">IF(A45="","",(1/Inputs!$B$9)*(PI()*(Inputs!$F$13/1000)^2/4)*((Inputs!$F$13/1000/4)^(2/3))*SQRT(P45))</f>
        <v/>
      </c>
      <c r="AP45" s="9" t="str">
        <f aca="false">IF(A45="","",(1/Inputs!$B$9)*(PI()*(Inputs!$F$14/1000)^2/4)*((Inputs!$F$14/1000/4)^(2/3))*SQRT(P45))</f>
        <v/>
      </c>
      <c r="AQ45" s="9" t="str">
        <f aca="false">IF(A45="","",COUNTIF($D$4:$D$203,$A45))</f>
        <v/>
      </c>
      <c r="AR45" s="9" t="str">
        <f aca="false">IF(A45="","",IF(AQ45=0,"START","CONTINUOUS"))</f>
        <v/>
      </c>
      <c r="AS45" s="13" t="str">
        <f aca="false">IF(A45="","",IF(J45="",Inputs!$B$18,J45))</f>
        <v/>
      </c>
      <c r="AT45" s="13" t="str">
        <f aca="false">IF(A45="","",IFERROR(maxifs($AV$4:$AV$203,$D$4:$D$203,$A45),""))</f>
        <v/>
      </c>
      <c r="AU45" s="13" t="str">
        <f aca="false">IF(A45="","",IF(OR(E45="",Inputs!$B$23=""),"",E45/(Inputs!$B$23*60)))</f>
        <v/>
      </c>
      <c r="AV45" s="13" t="str">
        <f aca="false">IF(A45="","",IF(AQ45=0,AS45+AU45,IF(AT45="",AS45+AU45,AT45+AU45)))</f>
        <v/>
      </c>
      <c r="AW45" s="13" t="str">
        <f aca="false">IF(A45="","",W45)</f>
        <v/>
      </c>
      <c r="AX45" s="13" t="str">
        <f aca="false">IF(OR(T45="",P45=""),"",(1/Inputs!$B$9)*((T45/4)^(2/3))*SQRT(P45))</f>
        <v/>
      </c>
      <c r="AY45" s="13" t="str">
        <f aca="false">IF(A45="","",IF(AND(AW45="",AX45="",BA45=""),"",IF(OR(UPPER(TRIM(Inputs!$B$24))="MANNING",UPPER(TRIM(Inputs!$B$24))="M"),AX45,IF(OR(UPPER(TRIM(Inputs!$B$24))="PARTIAL",UPPER(TRIM(Inputs!$B$24))="P"),BA45,IF(OR(UPPER(TRIM(Inputs!$B$24))="MAX",UPPER(TRIM(Inputs!$B$24))="X"),MAX(IF(AW45="",0,AW45),IF(AX45="",0,AX45),IF(BA45="",0,BA45)),AW45)))))</f>
        <v/>
      </c>
      <c r="AZ45" s="13" t="str">
        <f aca="false">IF(BB45="","",CH45)</f>
        <v/>
      </c>
      <c r="BA45" s="13" t="str">
        <f aca="false">IF(OR(BB45="",AZ45="",T45="",T45&lt;=0,AZ45&lt;=0),"",BB45/((T45^2/8)*(2*ACOS(1-2*AZ45/T45)-SIN(2*ACOS(1-2*AZ45/T45)))))</f>
        <v/>
      </c>
      <c r="BB45" s="9" t="str">
        <f aca="false">IF(OR(N45="",BC45=""),"",MIN(N45,BC45))</f>
        <v/>
      </c>
      <c r="BC45" s="9" t="str">
        <f aca="false">IF(OR(N45="",T45="",P45=""),"",IF(OR(T45="",P45="",(0.94*T45)="",T45&lt;=0,(0.94*T45)&lt;=0),"",(1/Inputs!$B$9)*((T45^2/8)*((2*ACOS(1-2*(0.94*T45)/T45))-SIN((2*ACOS(1-2*(0.94*T45)/T45)))))*((((T45^2/8)*((2*ACOS(1-2*(0.94*T45)/T45))-SIN((2*ACOS(1-2*(0.94*T45)/T45)))))/((T45/2)*((2*ACOS(1-2*(0.94*T45)/T45)))))^(2/3))*SQRT(P45)))</f>
        <v/>
      </c>
      <c r="BD45" s="9" t="str">
        <f aca="false">IF(BB45="","",0.001*T45)</f>
        <v/>
      </c>
      <c r="BE45" s="9" t="str">
        <f aca="false">IF(BB45="","",0.94*T45)</f>
        <v/>
      </c>
      <c r="BF45" s="9" t="str">
        <f aca="false">IF(BB45="","",(BD45+BE45)/2)</f>
        <v/>
      </c>
      <c r="BG45" s="9" t="str">
        <f aca="false">IF(OR(T45="",P45="",BF45="",T45&lt;=0,BF45&lt;=0),"",(1/Inputs!$B$9)*((T45^2/8)*((2*ACOS(1-2*BF45/T45))-SIN((2*ACOS(1-2*BF45/T45)))))*((((T45^2/8)*((2*ACOS(1-2*BF45/T45))-SIN((2*ACOS(1-2*BF45/T45)))))/((T45/2)*((2*ACOS(1-2*BF45/T45)))))^(2/3))*SQRT(P45))</f>
        <v/>
      </c>
      <c r="BH45" s="9" t="str">
        <f aca="false">IF(BB45="","",IF(BG45&lt;BB45,BF45,BD45))</f>
        <v/>
      </c>
      <c r="BI45" s="9" t="str">
        <f aca="false">IF(BB45="","",IF(BG45&lt;BB45,BE45,BF45))</f>
        <v/>
      </c>
      <c r="BJ45" s="9" t="str">
        <f aca="false">IF(BB45="","",(BH45+BI45)/2)</f>
        <v/>
      </c>
      <c r="BK45" s="9" t="str">
        <f aca="false">IF(OR(T45="",P45="",BJ45="",T45&lt;=0,BJ45&lt;=0),"",(1/Inputs!$B$9)*((T45^2/8)*((2*ACOS(1-2*BJ45/T45))-SIN((2*ACOS(1-2*BJ45/T45)))))*((((T45^2/8)*((2*ACOS(1-2*BJ45/T45))-SIN((2*ACOS(1-2*BJ45/T45)))))/((T45/2)*((2*ACOS(1-2*BJ45/T45)))))^(2/3))*SQRT(P45))</f>
        <v/>
      </c>
      <c r="BL45" s="9" t="str">
        <f aca="false">IF(BB45="","",IF(BK45&lt;BB45,BJ45,BH45))</f>
        <v/>
      </c>
      <c r="BM45" s="9" t="str">
        <f aca="false">IF(BB45="","",IF(BK45&lt;BB45,BI45,BJ45))</f>
        <v/>
      </c>
      <c r="BN45" s="9" t="str">
        <f aca="false">IF(BB45="","",(BL45+BM45)/2)</f>
        <v/>
      </c>
      <c r="BO45" s="9" t="str">
        <f aca="false">IF(OR(T45="",P45="",BN45="",T45&lt;=0,BN45&lt;=0),"",(1/Inputs!$B$9)*((T45^2/8)*((2*ACOS(1-2*BN45/T45))-SIN((2*ACOS(1-2*BN45/T45)))))*((((T45^2/8)*((2*ACOS(1-2*BN45/T45))-SIN((2*ACOS(1-2*BN45/T45)))))/((T45/2)*((2*ACOS(1-2*BN45/T45)))))^(2/3))*SQRT(P45))</f>
        <v/>
      </c>
      <c r="BP45" s="9" t="str">
        <f aca="false">IF(BB45="","",IF(BO45&lt;BB45,BN45,BL45))</f>
        <v/>
      </c>
      <c r="BQ45" s="9" t="str">
        <f aca="false">IF(BB45="","",IF(BO45&lt;BB45,BM45,BN45))</f>
        <v/>
      </c>
      <c r="BR45" s="9" t="str">
        <f aca="false">IF(BB45="","",(BP45+BQ45)/2)</f>
        <v/>
      </c>
      <c r="BS45" s="9" t="str">
        <f aca="false">IF(OR(T45="",P45="",BR45="",T45&lt;=0,BR45&lt;=0),"",(1/Inputs!$B$9)*((T45^2/8)*((2*ACOS(1-2*BR45/T45))-SIN((2*ACOS(1-2*BR45/T45)))))*((((T45^2/8)*((2*ACOS(1-2*BR45/T45))-SIN((2*ACOS(1-2*BR45/T45)))))/((T45/2)*((2*ACOS(1-2*BR45/T45)))))^(2/3))*SQRT(P45))</f>
        <v/>
      </c>
      <c r="BT45" s="9" t="str">
        <f aca="false">IF(BB45="","",IF(BS45&lt;BB45,BR45,BP45))</f>
        <v/>
      </c>
      <c r="BU45" s="9" t="str">
        <f aca="false">IF(BB45="","",IF(BS45&lt;BB45,BQ45,BR45))</f>
        <v/>
      </c>
      <c r="BV45" s="9" t="str">
        <f aca="false">IF(BB45="","",(BT45+BU45)/2)</f>
        <v/>
      </c>
      <c r="BW45" s="9" t="str">
        <f aca="false">IF(OR(T45="",P45="",BV45="",T45&lt;=0,BV45&lt;=0),"",(1/Inputs!$B$9)*((T45^2/8)*((2*ACOS(1-2*BV45/T45))-SIN((2*ACOS(1-2*BV45/T45)))))*((((T45^2/8)*((2*ACOS(1-2*BV45/T45))-SIN((2*ACOS(1-2*BV45/T45)))))/((T45/2)*((2*ACOS(1-2*BV45/T45)))))^(2/3))*SQRT(P45))</f>
        <v/>
      </c>
      <c r="BX45" s="9" t="str">
        <f aca="false">IF(BB45="","",IF(BW45&lt;BB45,BV45,BT45))</f>
        <v/>
      </c>
      <c r="BY45" s="9" t="str">
        <f aca="false">IF(BB45="","",IF(BW45&lt;BB45,BU45,BV45))</f>
        <v/>
      </c>
      <c r="BZ45" s="9" t="str">
        <f aca="false">IF(BB45="","",(BX45+BY45)/2)</f>
        <v/>
      </c>
      <c r="CA45" s="9" t="str">
        <f aca="false">IF(OR(T45="",P45="",BZ45="",T45&lt;=0,BZ45&lt;=0),"",(1/Inputs!$B$9)*((T45^2/8)*((2*ACOS(1-2*BZ45/T45))-SIN((2*ACOS(1-2*BZ45/T45)))))*((((T45^2/8)*((2*ACOS(1-2*BZ45/T45))-SIN((2*ACOS(1-2*BZ45/T45)))))/((T45/2)*((2*ACOS(1-2*BZ45/T45)))))^(2/3))*SQRT(P45))</f>
        <v/>
      </c>
      <c r="CB45" s="9" t="str">
        <f aca="false">IF(BB45="","",IF(CA45&lt;BB45,BZ45,BX45))</f>
        <v/>
      </c>
      <c r="CC45" s="9" t="str">
        <f aca="false">IF(BB45="","",IF(CA45&lt;BB45,BY45,BZ45))</f>
        <v/>
      </c>
      <c r="CD45" s="9" t="str">
        <f aca="false">IF(BB45="","",(CB45+CC45)/2)</f>
        <v/>
      </c>
      <c r="CE45" s="9" t="str">
        <f aca="false">IF(OR(T45="",P45="",CD45="",T45&lt;=0,CD45&lt;=0),"",(1/Inputs!$B$9)*((T45^2/8)*((2*ACOS(1-2*CD45/T45))-SIN((2*ACOS(1-2*CD45/T45)))))*((((T45^2/8)*((2*ACOS(1-2*CD45/T45))-SIN((2*ACOS(1-2*CD45/T45)))))/((T45/2)*((2*ACOS(1-2*CD45/T45)))))^(2/3))*SQRT(P45))</f>
        <v/>
      </c>
      <c r="CF45" s="9" t="str">
        <f aca="false">IF(BB45="","",IF(CE45&lt;BB45,CD45,CB45))</f>
        <v/>
      </c>
      <c r="CG45" s="9" t="str">
        <f aca="false">IF(BB45="","",IF(CE45&lt;BB45,CC45,CD45))</f>
        <v/>
      </c>
      <c r="CH45" s="9" t="str">
        <f aca="false">IF(BB45="","",(CF45+CG45)/2)</f>
        <v/>
      </c>
    </row>
    <row r="46" customFormat="false" ht="15" hidden="false" customHeight="false" outlineLevel="0" collapsed="false">
      <c r="A46" s="9"/>
      <c r="B46" s="9"/>
      <c r="C46" s="9"/>
      <c r="D46" s="9"/>
      <c r="E46" s="14"/>
      <c r="F46" s="14"/>
      <c r="G46" s="14" t="n">
        <f aca="false">SUMIFS(CB_plan!$C:$C,CB_plan!$B:$B,$A46)</f>
        <v>0</v>
      </c>
      <c r="H46" s="14" t="n">
        <f aca="false">IF(F46="",G46,F46)</f>
        <v>0</v>
      </c>
      <c r="I46" s="9"/>
      <c r="J46" s="14"/>
      <c r="K46" s="14" t="str">
        <f aca="false">IF(A46="","",Inputs!$B$13/((IF(AV46="",Inputs!$B$18,AV46)+Inputs!$B$14)^Inputs!$B$15))</f>
        <v/>
      </c>
      <c r="L46" s="14" t="str">
        <f aca="false">IF(A46="","",0.000000278*IF(I46="",Inputs!$B$17,I46)*H46*K46)</f>
        <v/>
      </c>
      <c r="M46" s="14" t="str">
        <f aca="false">IF(A46="","",SUMIFS($N$4:$N$203,$D$4:$D$203,$A46))</f>
        <v/>
      </c>
      <c r="N46" s="14" t="str">
        <f aca="false">IF(A46="","",(L46+M46)*Inputs!$B$16)</f>
        <v/>
      </c>
      <c r="O46" s="14"/>
      <c r="P46" s="14" t="str">
        <f aca="false">IF(A46="","",IF(O46="",Inputs!$B$7,O46))</f>
        <v/>
      </c>
      <c r="Q46" s="9" t="str">
        <f aca="false">IF(A46="","",IF(N46/Inputs!$B$10&lt;=AG46,Inputs!$F$5,IF(N46/Inputs!$B$10&gt;AP46,"OVERSIZE",INDEX(Inputs!$F$5:$F$14,MATCH(N46/Inputs!$B$10,AG46:AP46,1)+1))))</f>
        <v/>
      </c>
      <c r="R46" s="9"/>
      <c r="S46" s="9" t="str">
        <f aca="false">IF(A46="","",IF(R46="",Q46,R46))</f>
        <v/>
      </c>
      <c r="T46" s="14" t="str">
        <f aca="false">IF(OR(S46="",S46="OVERSIZE"),"",S46/1000)</f>
        <v/>
      </c>
      <c r="U46" s="14" t="str">
        <f aca="false">IF(T46="","",(1/Inputs!$B$9)*(PI()*T46^2/4)*((T46/4)^(2/3))*SQRT(P46))</f>
        <v/>
      </c>
      <c r="V46" s="14" t="str">
        <f aca="false">IF(OR(U46="",N46=""),"",N46/(U46*Inputs!$B$10))</f>
        <v/>
      </c>
      <c r="W46" s="14" t="str">
        <f aca="false">IF(OR(T46="",N46=""),"",4*N46/(PI()*T46^2))</f>
        <v/>
      </c>
      <c r="X46" s="14"/>
      <c r="Y46" s="14" t="str">
        <f aca="false">IF(A46="","",IF(A46=Inputs!$B$6,Inputs!$B$22,IF(D46="","",IFERROR(INDEX($Z$4:$Z$203,MATCH(D46,$A$4:$A$203,0))+IF(X46="",Inputs!$B$20,X46),""))))</f>
        <v/>
      </c>
      <c r="Z46" s="14" t="str">
        <f aca="false">IF(OR(Y46="",P46="",E46=""),"",Y46+P46*E46)</f>
        <v/>
      </c>
      <c r="AA46" s="14" t="str">
        <f aca="false">IF(C46="","",IFERROR(INDEX(Noeuds_plan!$C$4:$C$200,MATCH(C46,Noeuds_plan!$A$4:$A$200,0)),""))</f>
        <v/>
      </c>
      <c r="AB46" s="14" t="str">
        <f aca="false">IF(B46="","",IFERROR(INDEX(Noeuds_plan!$C$4:$C$200,MATCH(B46,Noeuds_plan!$A$4:$A$200,0)),""))</f>
        <v/>
      </c>
      <c r="AC46" s="14" t="str">
        <f aca="false">IF(OR(AA46="",Y46=""),"",AA46-Y46)</f>
        <v/>
      </c>
      <c r="AD46" s="14" t="str">
        <f aca="false">IF(OR(AB46="",Z46=""),"",AB46-Z46)</f>
        <v/>
      </c>
      <c r="AE46" s="19" t="str">
        <f aca="false">IF(A46="","",IF(OR(V46&gt;1,AND(AY46&lt;&gt;"",AY46&lt;Inputs!$B$11),AND(AY46&lt;&gt;"",AY46&gt;Inputs!$B$12),AC46&lt;Inputs!$B$19,AD46&lt;Inputs!$B$19,P46&lt;Inputs!$B$7,P46&gt;Inputs!$B$8),"CHECK","OK"))</f>
        <v/>
      </c>
      <c r="AF46" s="9"/>
      <c r="AG46" s="9" t="str">
        <f aca="false">IF(A46="","",(1/Inputs!$B$9)*(PI()*(Inputs!$F$5/1000)^2/4)*((Inputs!$F$5/1000/4)^(2/3))*SQRT(P46))</f>
        <v/>
      </c>
      <c r="AH46" s="9" t="str">
        <f aca="false">IF(A46="","",(1/Inputs!$B$9)*(PI()*(Inputs!$F$6/1000)^2/4)*((Inputs!$F$6/1000/4)^(2/3))*SQRT(P46))</f>
        <v/>
      </c>
      <c r="AI46" s="9" t="str">
        <f aca="false">IF(A46="","",(1/Inputs!$B$9)*(PI()*(Inputs!$F$7/1000)^2/4)*((Inputs!$F$7/1000/4)^(2/3))*SQRT(P46))</f>
        <v/>
      </c>
      <c r="AJ46" s="9" t="str">
        <f aca="false">IF(A46="","",(1/Inputs!$B$9)*(PI()*(Inputs!$F$8/1000)^2/4)*((Inputs!$F$8/1000/4)^(2/3))*SQRT(P46))</f>
        <v/>
      </c>
      <c r="AK46" s="9" t="str">
        <f aca="false">IF(A46="","",(1/Inputs!$B$9)*(PI()*(Inputs!$F$9/1000)^2/4)*((Inputs!$F$9/1000/4)^(2/3))*SQRT(P46))</f>
        <v/>
      </c>
      <c r="AL46" s="9" t="str">
        <f aca="false">IF(A46="","",(1/Inputs!$B$9)*(PI()*(Inputs!$F$10/1000)^2/4)*((Inputs!$F$10/1000/4)^(2/3))*SQRT(P46))</f>
        <v/>
      </c>
      <c r="AM46" s="9" t="str">
        <f aca="false">IF(A46="","",(1/Inputs!$B$9)*(PI()*(Inputs!$F$11/1000)^2/4)*((Inputs!$F$11/1000/4)^(2/3))*SQRT(P46))</f>
        <v/>
      </c>
      <c r="AN46" s="9" t="str">
        <f aca="false">IF(A46="","",(1/Inputs!$B$9)*(PI()*(Inputs!$F$12/1000)^2/4)*((Inputs!$F$12/1000/4)^(2/3))*SQRT(P46))</f>
        <v/>
      </c>
      <c r="AO46" s="9" t="str">
        <f aca="false">IF(A46="","",(1/Inputs!$B$9)*(PI()*(Inputs!$F$13/1000)^2/4)*((Inputs!$F$13/1000/4)^(2/3))*SQRT(P46))</f>
        <v/>
      </c>
      <c r="AP46" s="9" t="str">
        <f aca="false">IF(A46="","",(1/Inputs!$B$9)*(PI()*(Inputs!$F$14/1000)^2/4)*((Inputs!$F$14/1000/4)^(2/3))*SQRT(P46))</f>
        <v/>
      </c>
      <c r="AQ46" s="9" t="str">
        <f aca="false">IF(A46="","",COUNTIF($D$4:$D$203,$A46))</f>
        <v/>
      </c>
      <c r="AR46" s="9" t="str">
        <f aca="false">IF(A46="","",IF(AQ46=0,"START","CONTINUOUS"))</f>
        <v/>
      </c>
      <c r="AS46" s="13" t="str">
        <f aca="false">IF(A46="","",IF(J46="",Inputs!$B$18,J46))</f>
        <v/>
      </c>
      <c r="AT46" s="13" t="str">
        <f aca="false">IF(A46="","",IFERROR(maxifs($AV$4:$AV$203,$D$4:$D$203,$A46),""))</f>
        <v/>
      </c>
      <c r="AU46" s="13" t="str">
        <f aca="false">IF(A46="","",IF(OR(E46="",Inputs!$B$23=""),"",E46/(Inputs!$B$23*60)))</f>
        <v/>
      </c>
      <c r="AV46" s="13" t="str">
        <f aca="false">IF(A46="","",IF(AQ46=0,AS46+AU46,IF(AT46="",AS46+AU46,AT46+AU46)))</f>
        <v/>
      </c>
      <c r="AW46" s="13" t="str">
        <f aca="false">IF(A46="","",W46)</f>
        <v/>
      </c>
      <c r="AX46" s="13" t="str">
        <f aca="false">IF(OR(T46="",P46=""),"",(1/Inputs!$B$9)*((T46/4)^(2/3))*SQRT(P46))</f>
        <v/>
      </c>
      <c r="AY46" s="13" t="str">
        <f aca="false">IF(A46="","",IF(AND(AW46="",AX46="",BA46=""),"",IF(OR(UPPER(TRIM(Inputs!$B$24))="MANNING",UPPER(TRIM(Inputs!$B$24))="M"),AX46,IF(OR(UPPER(TRIM(Inputs!$B$24))="PARTIAL",UPPER(TRIM(Inputs!$B$24))="P"),BA46,IF(OR(UPPER(TRIM(Inputs!$B$24))="MAX",UPPER(TRIM(Inputs!$B$24))="X"),MAX(IF(AW46="",0,AW46),IF(AX46="",0,AX46),IF(BA46="",0,BA46)),AW46)))))</f>
        <v/>
      </c>
      <c r="AZ46" s="13" t="str">
        <f aca="false">IF(BB46="","",CH46)</f>
        <v/>
      </c>
      <c r="BA46" s="13" t="str">
        <f aca="false">IF(OR(BB46="",AZ46="",T46="",T46&lt;=0,AZ46&lt;=0),"",BB46/((T46^2/8)*(2*ACOS(1-2*AZ46/T46)-SIN(2*ACOS(1-2*AZ46/T46)))))</f>
        <v/>
      </c>
      <c r="BB46" s="9" t="str">
        <f aca="false">IF(OR(N46="",BC46=""),"",MIN(N46,BC46))</f>
        <v/>
      </c>
      <c r="BC46" s="9" t="str">
        <f aca="false">IF(OR(N46="",T46="",P46=""),"",IF(OR(T46="",P46="",(0.94*T46)="",T46&lt;=0,(0.94*T46)&lt;=0),"",(1/Inputs!$B$9)*((T46^2/8)*((2*ACOS(1-2*(0.94*T46)/T46))-SIN((2*ACOS(1-2*(0.94*T46)/T46)))))*((((T46^2/8)*((2*ACOS(1-2*(0.94*T46)/T46))-SIN((2*ACOS(1-2*(0.94*T46)/T46)))))/((T46/2)*((2*ACOS(1-2*(0.94*T46)/T46)))))^(2/3))*SQRT(P46)))</f>
        <v/>
      </c>
      <c r="BD46" s="9" t="str">
        <f aca="false">IF(BB46="","",0.001*T46)</f>
        <v/>
      </c>
      <c r="BE46" s="9" t="str">
        <f aca="false">IF(BB46="","",0.94*T46)</f>
        <v/>
      </c>
      <c r="BF46" s="9" t="str">
        <f aca="false">IF(BB46="","",(BD46+BE46)/2)</f>
        <v/>
      </c>
      <c r="BG46" s="9" t="str">
        <f aca="false">IF(OR(T46="",P46="",BF46="",T46&lt;=0,BF46&lt;=0),"",(1/Inputs!$B$9)*((T46^2/8)*((2*ACOS(1-2*BF46/T46))-SIN((2*ACOS(1-2*BF46/T46)))))*((((T46^2/8)*((2*ACOS(1-2*BF46/T46))-SIN((2*ACOS(1-2*BF46/T46)))))/((T46/2)*((2*ACOS(1-2*BF46/T46)))))^(2/3))*SQRT(P46))</f>
        <v/>
      </c>
      <c r="BH46" s="9" t="str">
        <f aca="false">IF(BB46="","",IF(BG46&lt;BB46,BF46,BD46))</f>
        <v/>
      </c>
      <c r="BI46" s="9" t="str">
        <f aca="false">IF(BB46="","",IF(BG46&lt;BB46,BE46,BF46))</f>
        <v/>
      </c>
      <c r="BJ46" s="9" t="str">
        <f aca="false">IF(BB46="","",(BH46+BI46)/2)</f>
        <v/>
      </c>
      <c r="BK46" s="9" t="str">
        <f aca="false">IF(OR(T46="",P46="",BJ46="",T46&lt;=0,BJ46&lt;=0),"",(1/Inputs!$B$9)*((T46^2/8)*((2*ACOS(1-2*BJ46/T46))-SIN((2*ACOS(1-2*BJ46/T46)))))*((((T46^2/8)*((2*ACOS(1-2*BJ46/T46))-SIN((2*ACOS(1-2*BJ46/T46)))))/((T46/2)*((2*ACOS(1-2*BJ46/T46)))))^(2/3))*SQRT(P46))</f>
        <v/>
      </c>
      <c r="BL46" s="9" t="str">
        <f aca="false">IF(BB46="","",IF(BK46&lt;BB46,BJ46,BH46))</f>
        <v/>
      </c>
      <c r="BM46" s="9" t="str">
        <f aca="false">IF(BB46="","",IF(BK46&lt;BB46,BI46,BJ46))</f>
        <v/>
      </c>
      <c r="BN46" s="9" t="str">
        <f aca="false">IF(BB46="","",(BL46+BM46)/2)</f>
        <v/>
      </c>
      <c r="BO46" s="9" t="str">
        <f aca="false">IF(OR(T46="",P46="",BN46="",T46&lt;=0,BN46&lt;=0),"",(1/Inputs!$B$9)*((T46^2/8)*((2*ACOS(1-2*BN46/T46))-SIN((2*ACOS(1-2*BN46/T46)))))*((((T46^2/8)*((2*ACOS(1-2*BN46/T46))-SIN((2*ACOS(1-2*BN46/T46)))))/((T46/2)*((2*ACOS(1-2*BN46/T46)))))^(2/3))*SQRT(P46))</f>
        <v/>
      </c>
      <c r="BP46" s="9" t="str">
        <f aca="false">IF(BB46="","",IF(BO46&lt;BB46,BN46,BL46))</f>
        <v/>
      </c>
      <c r="BQ46" s="9" t="str">
        <f aca="false">IF(BB46="","",IF(BO46&lt;BB46,BM46,BN46))</f>
        <v/>
      </c>
      <c r="BR46" s="9" t="str">
        <f aca="false">IF(BB46="","",(BP46+BQ46)/2)</f>
        <v/>
      </c>
      <c r="BS46" s="9" t="str">
        <f aca="false">IF(OR(T46="",P46="",BR46="",T46&lt;=0,BR46&lt;=0),"",(1/Inputs!$B$9)*((T46^2/8)*((2*ACOS(1-2*BR46/T46))-SIN((2*ACOS(1-2*BR46/T46)))))*((((T46^2/8)*((2*ACOS(1-2*BR46/T46))-SIN((2*ACOS(1-2*BR46/T46)))))/((T46/2)*((2*ACOS(1-2*BR46/T46)))))^(2/3))*SQRT(P46))</f>
        <v/>
      </c>
      <c r="BT46" s="9" t="str">
        <f aca="false">IF(BB46="","",IF(BS46&lt;BB46,BR46,BP46))</f>
        <v/>
      </c>
      <c r="BU46" s="9" t="str">
        <f aca="false">IF(BB46="","",IF(BS46&lt;BB46,BQ46,BR46))</f>
        <v/>
      </c>
      <c r="BV46" s="9" t="str">
        <f aca="false">IF(BB46="","",(BT46+BU46)/2)</f>
        <v/>
      </c>
      <c r="BW46" s="9" t="str">
        <f aca="false">IF(OR(T46="",P46="",BV46="",T46&lt;=0,BV46&lt;=0),"",(1/Inputs!$B$9)*((T46^2/8)*((2*ACOS(1-2*BV46/T46))-SIN((2*ACOS(1-2*BV46/T46)))))*((((T46^2/8)*((2*ACOS(1-2*BV46/T46))-SIN((2*ACOS(1-2*BV46/T46)))))/((T46/2)*((2*ACOS(1-2*BV46/T46)))))^(2/3))*SQRT(P46))</f>
        <v/>
      </c>
      <c r="BX46" s="9" t="str">
        <f aca="false">IF(BB46="","",IF(BW46&lt;BB46,BV46,BT46))</f>
        <v/>
      </c>
      <c r="BY46" s="9" t="str">
        <f aca="false">IF(BB46="","",IF(BW46&lt;BB46,BU46,BV46))</f>
        <v/>
      </c>
      <c r="BZ46" s="9" t="str">
        <f aca="false">IF(BB46="","",(BX46+BY46)/2)</f>
        <v/>
      </c>
      <c r="CA46" s="9" t="str">
        <f aca="false">IF(OR(T46="",P46="",BZ46="",T46&lt;=0,BZ46&lt;=0),"",(1/Inputs!$B$9)*((T46^2/8)*((2*ACOS(1-2*BZ46/T46))-SIN((2*ACOS(1-2*BZ46/T46)))))*((((T46^2/8)*((2*ACOS(1-2*BZ46/T46))-SIN((2*ACOS(1-2*BZ46/T46)))))/((T46/2)*((2*ACOS(1-2*BZ46/T46)))))^(2/3))*SQRT(P46))</f>
        <v/>
      </c>
      <c r="CB46" s="9" t="str">
        <f aca="false">IF(BB46="","",IF(CA46&lt;BB46,BZ46,BX46))</f>
        <v/>
      </c>
      <c r="CC46" s="9" t="str">
        <f aca="false">IF(BB46="","",IF(CA46&lt;BB46,BY46,BZ46))</f>
        <v/>
      </c>
      <c r="CD46" s="9" t="str">
        <f aca="false">IF(BB46="","",(CB46+CC46)/2)</f>
        <v/>
      </c>
      <c r="CE46" s="9" t="str">
        <f aca="false">IF(OR(T46="",P46="",CD46="",T46&lt;=0,CD46&lt;=0),"",(1/Inputs!$B$9)*((T46^2/8)*((2*ACOS(1-2*CD46/T46))-SIN((2*ACOS(1-2*CD46/T46)))))*((((T46^2/8)*((2*ACOS(1-2*CD46/T46))-SIN((2*ACOS(1-2*CD46/T46)))))/((T46/2)*((2*ACOS(1-2*CD46/T46)))))^(2/3))*SQRT(P46))</f>
        <v/>
      </c>
      <c r="CF46" s="9" t="str">
        <f aca="false">IF(BB46="","",IF(CE46&lt;BB46,CD46,CB46))</f>
        <v/>
      </c>
      <c r="CG46" s="9" t="str">
        <f aca="false">IF(BB46="","",IF(CE46&lt;BB46,CC46,CD46))</f>
        <v/>
      </c>
      <c r="CH46" s="9" t="str">
        <f aca="false">IF(BB46="","",(CF46+CG46)/2)</f>
        <v/>
      </c>
    </row>
    <row r="47" customFormat="false" ht="15" hidden="false" customHeight="false" outlineLevel="0" collapsed="false">
      <c r="A47" s="9"/>
      <c r="B47" s="9"/>
      <c r="C47" s="9"/>
      <c r="D47" s="9"/>
      <c r="E47" s="14"/>
      <c r="F47" s="14"/>
      <c r="G47" s="14" t="n">
        <f aca="false">SUMIFS(CB_plan!$C:$C,CB_plan!$B:$B,$A47)</f>
        <v>0</v>
      </c>
      <c r="H47" s="14" t="n">
        <f aca="false">IF(F47="",G47,F47)</f>
        <v>0</v>
      </c>
      <c r="I47" s="9"/>
      <c r="J47" s="14"/>
      <c r="K47" s="14" t="str">
        <f aca="false">IF(A47="","",Inputs!$B$13/((IF(AV47="",Inputs!$B$18,AV47)+Inputs!$B$14)^Inputs!$B$15))</f>
        <v/>
      </c>
      <c r="L47" s="14" t="str">
        <f aca="false">IF(A47="","",0.000000278*IF(I47="",Inputs!$B$17,I47)*H47*K47)</f>
        <v/>
      </c>
      <c r="M47" s="14" t="str">
        <f aca="false">IF(A47="","",SUMIFS($N$4:$N$203,$D$4:$D$203,$A47))</f>
        <v/>
      </c>
      <c r="N47" s="14" t="str">
        <f aca="false">IF(A47="","",(L47+M47)*Inputs!$B$16)</f>
        <v/>
      </c>
      <c r="O47" s="14"/>
      <c r="P47" s="14" t="str">
        <f aca="false">IF(A47="","",IF(O47="",Inputs!$B$7,O47))</f>
        <v/>
      </c>
      <c r="Q47" s="9" t="str">
        <f aca="false">IF(A47="","",IF(N47/Inputs!$B$10&lt;=AG47,Inputs!$F$5,IF(N47/Inputs!$B$10&gt;AP47,"OVERSIZE",INDEX(Inputs!$F$5:$F$14,MATCH(N47/Inputs!$B$10,AG47:AP47,1)+1))))</f>
        <v/>
      </c>
      <c r="R47" s="9"/>
      <c r="S47" s="9" t="str">
        <f aca="false">IF(A47="","",IF(R47="",Q47,R47))</f>
        <v/>
      </c>
      <c r="T47" s="14" t="str">
        <f aca="false">IF(OR(S47="",S47="OVERSIZE"),"",S47/1000)</f>
        <v/>
      </c>
      <c r="U47" s="14" t="str">
        <f aca="false">IF(T47="","",(1/Inputs!$B$9)*(PI()*T47^2/4)*((T47/4)^(2/3))*SQRT(P47))</f>
        <v/>
      </c>
      <c r="V47" s="14" t="str">
        <f aca="false">IF(OR(U47="",N47=""),"",N47/(U47*Inputs!$B$10))</f>
        <v/>
      </c>
      <c r="W47" s="14" t="str">
        <f aca="false">IF(OR(T47="",N47=""),"",4*N47/(PI()*T47^2))</f>
        <v/>
      </c>
      <c r="X47" s="14"/>
      <c r="Y47" s="14" t="str">
        <f aca="false">IF(A47="","",IF(A47=Inputs!$B$6,Inputs!$B$22,IF(D47="","",IFERROR(INDEX($Z$4:$Z$203,MATCH(D47,$A$4:$A$203,0))+IF(X47="",Inputs!$B$20,X47),""))))</f>
        <v/>
      </c>
      <c r="Z47" s="14" t="str">
        <f aca="false">IF(OR(Y47="",P47="",E47=""),"",Y47+P47*E47)</f>
        <v/>
      </c>
      <c r="AA47" s="14" t="str">
        <f aca="false">IF(C47="","",IFERROR(INDEX(Noeuds_plan!$C$4:$C$200,MATCH(C47,Noeuds_plan!$A$4:$A$200,0)),""))</f>
        <v/>
      </c>
      <c r="AB47" s="14" t="str">
        <f aca="false">IF(B47="","",IFERROR(INDEX(Noeuds_plan!$C$4:$C$200,MATCH(B47,Noeuds_plan!$A$4:$A$200,0)),""))</f>
        <v/>
      </c>
      <c r="AC47" s="14" t="str">
        <f aca="false">IF(OR(AA47="",Y47=""),"",AA47-Y47)</f>
        <v/>
      </c>
      <c r="AD47" s="14" t="str">
        <f aca="false">IF(OR(AB47="",Z47=""),"",AB47-Z47)</f>
        <v/>
      </c>
      <c r="AE47" s="19" t="str">
        <f aca="false">IF(A47="","",IF(OR(V47&gt;1,AND(AY47&lt;&gt;"",AY47&lt;Inputs!$B$11),AND(AY47&lt;&gt;"",AY47&gt;Inputs!$B$12),AC47&lt;Inputs!$B$19,AD47&lt;Inputs!$B$19,P47&lt;Inputs!$B$7,P47&gt;Inputs!$B$8),"CHECK","OK"))</f>
        <v/>
      </c>
      <c r="AF47" s="9"/>
      <c r="AG47" s="9" t="str">
        <f aca="false">IF(A47="","",(1/Inputs!$B$9)*(PI()*(Inputs!$F$5/1000)^2/4)*((Inputs!$F$5/1000/4)^(2/3))*SQRT(P47))</f>
        <v/>
      </c>
      <c r="AH47" s="9" t="str">
        <f aca="false">IF(A47="","",(1/Inputs!$B$9)*(PI()*(Inputs!$F$6/1000)^2/4)*((Inputs!$F$6/1000/4)^(2/3))*SQRT(P47))</f>
        <v/>
      </c>
      <c r="AI47" s="9" t="str">
        <f aca="false">IF(A47="","",(1/Inputs!$B$9)*(PI()*(Inputs!$F$7/1000)^2/4)*((Inputs!$F$7/1000/4)^(2/3))*SQRT(P47))</f>
        <v/>
      </c>
      <c r="AJ47" s="9" t="str">
        <f aca="false">IF(A47="","",(1/Inputs!$B$9)*(PI()*(Inputs!$F$8/1000)^2/4)*((Inputs!$F$8/1000/4)^(2/3))*SQRT(P47))</f>
        <v/>
      </c>
      <c r="AK47" s="9" t="str">
        <f aca="false">IF(A47="","",(1/Inputs!$B$9)*(PI()*(Inputs!$F$9/1000)^2/4)*((Inputs!$F$9/1000/4)^(2/3))*SQRT(P47))</f>
        <v/>
      </c>
      <c r="AL47" s="9" t="str">
        <f aca="false">IF(A47="","",(1/Inputs!$B$9)*(PI()*(Inputs!$F$10/1000)^2/4)*((Inputs!$F$10/1000/4)^(2/3))*SQRT(P47))</f>
        <v/>
      </c>
      <c r="AM47" s="9" t="str">
        <f aca="false">IF(A47="","",(1/Inputs!$B$9)*(PI()*(Inputs!$F$11/1000)^2/4)*((Inputs!$F$11/1000/4)^(2/3))*SQRT(P47))</f>
        <v/>
      </c>
      <c r="AN47" s="9" t="str">
        <f aca="false">IF(A47="","",(1/Inputs!$B$9)*(PI()*(Inputs!$F$12/1000)^2/4)*((Inputs!$F$12/1000/4)^(2/3))*SQRT(P47))</f>
        <v/>
      </c>
      <c r="AO47" s="9" t="str">
        <f aca="false">IF(A47="","",(1/Inputs!$B$9)*(PI()*(Inputs!$F$13/1000)^2/4)*((Inputs!$F$13/1000/4)^(2/3))*SQRT(P47))</f>
        <v/>
      </c>
      <c r="AP47" s="9" t="str">
        <f aca="false">IF(A47="","",(1/Inputs!$B$9)*(PI()*(Inputs!$F$14/1000)^2/4)*((Inputs!$F$14/1000/4)^(2/3))*SQRT(P47))</f>
        <v/>
      </c>
      <c r="AQ47" s="9" t="str">
        <f aca="false">IF(A47="","",COUNTIF($D$4:$D$203,$A47))</f>
        <v/>
      </c>
      <c r="AR47" s="9" t="str">
        <f aca="false">IF(A47="","",IF(AQ47=0,"START","CONTINUOUS"))</f>
        <v/>
      </c>
      <c r="AS47" s="13" t="str">
        <f aca="false">IF(A47="","",IF(J47="",Inputs!$B$18,J47))</f>
        <v/>
      </c>
      <c r="AT47" s="13" t="str">
        <f aca="false">IF(A47="","",IFERROR(maxifs($AV$4:$AV$203,$D$4:$D$203,$A47),""))</f>
        <v/>
      </c>
      <c r="AU47" s="13" t="str">
        <f aca="false">IF(A47="","",IF(OR(E47="",Inputs!$B$23=""),"",E47/(Inputs!$B$23*60)))</f>
        <v/>
      </c>
      <c r="AV47" s="13" t="str">
        <f aca="false">IF(A47="","",IF(AQ47=0,AS47+AU47,IF(AT47="",AS47+AU47,AT47+AU47)))</f>
        <v/>
      </c>
      <c r="AW47" s="13" t="str">
        <f aca="false">IF(A47="","",W47)</f>
        <v/>
      </c>
      <c r="AX47" s="13" t="str">
        <f aca="false">IF(OR(T47="",P47=""),"",(1/Inputs!$B$9)*((T47/4)^(2/3))*SQRT(P47))</f>
        <v/>
      </c>
      <c r="AY47" s="13" t="str">
        <f aca="false">IF(A47="","",IF(AND(AW47="",AX47="",BA47=""),"",IF(OR(UPPER(TRIM(Inputs!$B$24))="MANNING",UPPER(TRIM(Inputs!$B$24))="M"),AX47,IF(OR(UPPER(TRIM(Inputs!$B$24))="PARTIAL",UPPER(TRIM(Inputs!$B$24))="P"),BA47,IF(OR(UPPER(TRIM(Inputs!$B$24))="MAX",UPPER(TRIM(Inputs!$B$24))="X"),MAX(IF(AW47="",0,AW47),IF(AX47="",0,AX47),IF(BA47="",0,BA47)),AW47)))))</f>
        <v/>
      </c>
      <c r="AZ47" s="13" t="str">
        <f aca="false">IF(BB47="","",CH47)</f>
        <v/>
      </c>
      <c r="BA47" s="13" t="str">
        <f aca="false">IF(OR(BB47="",AZ47="",T47="",T47&lt;=0,AZ47&lt;=0),"",BB47/((T47^2/8)*(2*ACOS(1-2*AZ47/T47)-SIN(2*ACOS(1-2*AZ47/T47)))))</f>
        <v/>
      </c>
      <c r="BB47" s="9" t="str">
        <f aca="false">IF(OR(N47="",BC47=""),"",MIN(N47,BC47))</f>
        <v/>
      </c>
      <c r="BC47" s="9" t="str">
        <f aca="false">IF(OR(N47="",T47="",P47=""),"",IF(OR(T47="",P47="",(0.94*T47)="",T47&lt;=0,(0.94*T47)&lt;=0),"",(1/Inputs!$B$9)*((T47^2/8)*((2*ACOS(1-2*(0.94*T47)/T47))-SIN((2*ACOS(1-2*(0.94*T47)/T47)))))*((((T47^2/8)*((2*ACOS(1-2*(0.94*T47)/T47))-SIN((2*ACOS(1-2*(0.94*T47)/T47)))))/((T47/2)*((2*ACOS(1-2*(0.94*T47)/T47)))))^(2/3))*SQRT(P47)))</f>
        <v/>
      </c>
      <c r="BD47" s="9" t="str">
        <f aca="false">IF(BB47="","",0.001*T47)</f>
        <v/>
      </c>
      <c r="BE47" s="9" t="str">
        <f aca="false">IF(BB47="","",0.94*T47)</f>
        <v/>
      </c>
      <c r="BF47" s="9" t="str">
        <f aca="false">IF(BB47="","",(BD47+BE47)/2)</f>
        <v/>
      </c>
      <c r="BG47" s="9" t="str">
        <f aca="false">IF(OR(T47="",P47="",BF47="",T47&lt;=0,BF47&lt;=0),"",(1/Inputs!$B$9)*((T47^2/8)*((2*ACOS(1-2*BF47/T47))-SIN((2*ACOS(1-2*BF47/T47)))))*((((T47^2/8)*((2*ACOS(1-2*BF47/T47))-SIN((2*ACOS(1-2*BF47/T47)))))/((T47/2)*((2*ACOS(1-2*BF47/T47)))))^(2/3))*SQRT(P47))</f>
        <v/>
      </c>
      <c r="BH47" s="9" t="str">
        <f aca="false">IF(BB47="","",IF(BG47&lt;BB47,BF47,BD47))</f>
        <v/>
      </c>
      <c r="BI47" s="9" t="str">
        <f aca="false">IF(BB47="","",IF(BG47&lt;BB47,BE47,BF47))</f>
        <v/>
      </c>
      <c r="BJ47" s="9" t="str">
        <f aca="false">IF(BB47="","",(BH47+BI47)/2)</f>
        <v/>
      </c>
      <c r="BK47" s="9" t="str">
        <f aca="false">IF(OR(T47="",P47="",BJ47="",T47&lt;=0,BJ47&lt;=0),"",(1/Inputs!$B$9)*((T47^2/8)*((2*ACOS(1-2*BJ47/T47))-SIN((2*ACOS(1-2*BJ47/T47)))))*((((T47^2/8)*((2*ACOS(1-2*BJ47/T47))-SIN((2*ACOS(1-2*BJ47/T47)))))/((T47/2)*((2*ACOS(1-2*BJ47/T47)))))^(2/3))*SQRT(P47))</f>
        <v/>
      </c>
      <c r="BL47" s="9" t="str">
        <f aca="false">IF(BB47="","",IF(BK47&lt;BB47,BJ47,BH47))</f>
        <v/>
      </c>
      <c r="BM47" s="9" t="str">
        <f aca="false">IF(BB47="","",IF(BK47&lt;BB47,BI47,BJ47))</f>
        <v/>
      </c>
      <c r="BN47" s="9" t="str">
        <f aca="false">IF(BB47="","",(BL47+BM47)/2)</f>
        <v/>
      </c>
      <c r="BO47" s="9" t="str">
        <f aca="false">IF(OR(T47="",P47="",BN47="",T47&lt;=0,BN47&lt;=0),"",(1/Inputs!$B$9)*((T47^2/8)*((2*ACOS(1-2*BN47/T47))-SIN((2*ACOS(1-2*BN47/T47)))))*((((T47^2/8)*((2*ACOS(1-2*BN47/T47))-SIN((2*ACOS(1-2*BN47/T47)))))/((T47/2)*((2*ACOS(1-2*BN47/T47)))))^(2/3))*SQRT(P47))</f>
        <v/>
      </c>
      <c r="BP47" s="9" t="str">
        <f aca="false">IF(BB47="","",IF(BO47&lt;BB47,BN47,BL47))</f>
        <v/>
      </c>
      <c r="BQ47" s="9" t="str">
        <f aca="false">IF(BB47="","",IF(BO47&lt;BB47,BM47,BN47))</f>
        <v/>
      </c>
      <c r="BR47" s="9" t="str">
        <f aca="false">IF(BB47="","",(BP47+BQ47)/2)</f>
        <v/>
      </c>
      <c r="BS47" s="9" t="str">
        <f aca="false">IF(OR(T47="",P47="",BR47="",T47&lt;=0,BR47&lt;=0),"",(1/Inputs!$B$9)*((T47^2/8)*((2*ACOS(1-2*BR47/T47))-SIN((2*ACOS(1-2*BR47/T47)))))*((((T47^2/8)*((2*ACOS(1-2*BR47/T47))-SIN((2*ACOS(1-2*BR47/T47)))))/((T47/2)*((2*ACOS(1-2*BR47/T47)))))^(2/3))*SQRT(P47))</f>
        <v/>
      </c>
      <c r="BT47" s="9" t="str">
        <f aca="false">IF(BB47="","",IF(BS47&lt;BB47,BR47,BP47))</f>
        <v/>
      </c>
      <c r="BU47" s="9" t="str">
        <f aca="false">IF(BB47="","",IF(BS47&lt;BB47,BQ47,BR47))</f>
        <v/>
      </c>
      <c r="BV47" s="9" t="str">
        <f aca="false">IF(BB47="","",(BT47+BU47)/2)</f>
        <v/>
      </c>
      <c r="BW47" s="9" t="str">
        <f aca="false">IF(OR(T47="",P47="",BV47="",T47&lt;=0,BV47&lt;=0),"",(1/Inputs!$B$9)*((T47^2/8)*((2*ACOS(1-2*BV47/T47))-SIN((2*ACOS(1-2*BV47/T47)))))*((((T47^2/8)*((2*ACOS(1-2*BV47/T47))-SIN((2*ACOS(1-2*BV47/T47)))))/((T47/2)*((2*ACOS(1-2*BV47/T47)))))^(2/3))*SQRT(P47))</f>
        <v/>
      </c>
      <c r="BX47" s="9" t="str">
        <f aca="false">IF(BB47="","",IF(BW47&lt;BB47,BV47,BT47))</f>
        <v/>
      </c>
      <c r="BY47" s="9" t="str">
        <f aca="false">IF(BB47="","",IF(BW47&lt;BB47,BU47,BV47))</f>
        <v/>
      </c>
      <c r="BZ47" s="9" t="str">
        <f aca="false">IF(BB47="","",(BX47+BY47)/2)</f>
        <v/>
      </c>
      <c r="CA47" s="9" t="str">
        <f aca="false">IF(OR(T47="",P47="",BZ47="",T47&lt;=0,BZ47&lt;=0),"",(1/Inputs!$B$9)*((T47^2/8)*((2*ACOS(1-2*BZ47/T47))-SIN((2*ACOS(1-2*BZ47/T47)))))*((((T47^2/8)*((2*ACOS(1-2*BZ47/T47))-SIN((2*ACOS(1-2*BZ47/T47)))))/((T47/2)*((2*ACOS(1-2*BZ47/T47)))))^(2/3))*SQRT(P47))</f>
        <v/>
      </c>
      <c r="CB47" s="9" t="str">
        <f aca="false">IF(BB47="","",IF(CA47&lt;BB47,BZ47,BX47))</f>
        <v/>
      </c>
      <c r="CC47" s="9" t="str">
        <f aca="false">IF(BB47="","",IF(CA47&lt;BB47,BY47,BZ47))</f>
        <v/>
      </c>
      <c r="CD47" s="9" t="str">
        <f aca="false">IF(BB47="","",(CB47+CC47)/2)</f>
        <v/>
      </c>
      <c r="CE47" s="9" t="str">
        <f aca="false">IF(OR(T47="",P47="",CD47="",T47&lt;=0,CD47&lt;=0),"",(1/Inputs!$B$9)*((T47^2/8)*((2*ACOS(1-2*CD47/T47))-SIN((2*ACOS(1-2*CD47/T47)))))*((((T47^2/8)*((2*ACOS(1-2*CD47/T47))-SIN((2*ACOS(1-2*CD47/T47)))))/((T47/2)*((2*ACOS(1-2*CD47/T47)))))^(2/3))*SQRT(P47))</f>
        <v/>
      </c>
      <c r="CF47" s="9" t="str">
        <f aca="false">IF(BB47="","",IF(CE47&lt;BB47,CD47,CB47))</f>
        <v/>
      </c>
      <c r="CG47" s="9" t="str">
        <f aca="false">IF(BB47="","",IF(CE47&lt;BB47,CC47,CD47))</f>
        <v/>
      </c>
      <c r="CH47" s="9" t="str">
        <f aca="false">IF(BB47="","",(CF47+CG47)/2)</f>
        <v/>
      </c>
    </row>
    <row r="48" customFormat="false" ht="15" hidden="false" customHeight="false" outlineLevel="0" collapsed="false">
      <c r="A48" s="9"/>
      <c r="B48" s="9"/>
      <c r="C48" s="9"/>
      <c r="D48" s="9"/>
      <c r="E48" s="14"/>
      <c r="F48" s="14"/>
      <c r="G48" s="14" t="n">
        <f aca="false">SUMIFS(CB_plan!$C:$C,CB_plan!$B:$B,$A48)</f>
        <v>0</v>
      </c>
      <c r="H48" s="14" t="n">
        <f aca="false">IF(F48="",G48,F48)</f>
        <v>0</v>
      </c>
      <c r="I48" s="9"/>
      <c r="J48" s="14"/>
      <c r="K48" s="14" t="str">
        <f aca="false">IF(A48="","",Inputs!$B$13/((IF(AV48="",Inputs!$B$18,AV48)+Inputs!$B$14)^Inputs!$B$15))</f>
        <v/>
      </c>
      <c r="L48" s="14" t="str">
        <f aca="false">IF(A48="","",0.000000278*IF(I48="",Inputs!$B$17,I48)*H48*K48)</f>
        <v/>
      </c>
      <c r="M48" s="14" t="str">
        <f aca="false">IF(A48="","",SUMIFS($N$4:$N$203,$D$4:$D$203,$A48))</f>
        <v/>
      </c>
      <c r="N48" s="14" t="str">
        <f aca="false">IF(A48="","",(L48+M48)*Inputs!$B$16)</f>
        <v/>
      </c>
      <c r="O48" s="14"/>
      <c r="P48" s="14" t="str">
        <f aca="false">IF(A48="","",IF(O48="",Inputs!$B$7,O48))</f>
        <v/>
      </c>
      <c r="Q48" s="9" t="str">
        <f aca="false">IF(A48="","",IF(N48/Inputs!$B$10&lt;=AG48,Inputs!$F$5,IF(N48/Inputs!$B$10&gt;AP48,"OVERSIZE",INDEX(Inputs!$F$5:$F$14,MATCH(N48/Inputs!$B$10,AG48:AP48,1)+1))))</f>
        <v/>
      </c>
      <c r="R48" s="9"/>
      <c r="S48" s="9" t="str">
        <f aca="false">IF(A48="","",IF(R48="",Q48,R48))</f>
        <v/>
      </c>
      <c r="T48" s="14" t="str">
        <f aca="false">IF(OR(S48="",S48="OVERSIZE"),"",S48/1000)</f>
        <v/>
      </c>
      <c r="U48" s="14" t="str">
        <f aca="false">IF(T48="","",(1/Inputs!$B$9)*(PI()*T48^2/4)*((T48/4)^(2/3))*SQRT(P48))</f>
        <v/>
      </c>
      <c r="V48" s="14" t="str">
        <f aca="false">IF(OR(U48="",N48=""),"",N48/(U48*Inputs!$B$10))</f>
        <v/>
      </c>
      <c r="W48" s="14" t="str">
        <f aca="false">IF(OR(T48="",N48=""),"",4*N48/(PI()*T48^2))</f>
        <v/>
      </c>
      <c r="X48" s="14"/>
      <c r="Y48" s="14" t="str">
        <f aca="false">IF(A48="","",IF(A48=Inputs!$B$6,Inputs!$B$22,IF(D48="","",IFERROR(INDEX($Z$4:$Z$203,MATCH(D48,$A$4:$A$203,0))+IF(X48="",Inputs!$B$20,X48),""))))</f>
        <v/>
      </c>
      <c r="Z48" s="14" t="str">
        <f aca="false">IF(OR(Y48="",P48="",E48=""),"",Y48+P48*E48)</f>
        <v/>
      </c>
      <c r="AA48" s="14" t="str">
        <f aca="false">IF(C48="","",IFERROR(INDEX(Noeuds_plan!$C$4:$C$200,MATCH(C48,Noeuds_plan!$A$4:$A$200,0)),""))</f>
        <v/>
      </c>
      <c r="AB48" s="14" t="str">
        <f aca="false">IF(B48="","",IFERROR(INDEX(Noeuds_plan!$C$4:$C$200,MATCH(B48,Noeuds_plan!$A$4:$A$200,0)),""))</f>
        <v/>
      </c>
      <c r="AC48" s="14" t="str">
        <f aca="false">IF(OR(AA48="",Y48=""),"",AA48-Y48)</f>
        <v/>
      </c>
      <c r="AD48" s="14" t="str">
        <f aca="false">IF(OR(AB48="",Z48=""),"",AB48-Z48)</f>
        <v/>
      </c>
      <c r="AE48" s="19" t="str">
        <f aca="false">IF(A48="","",IF(OR(V48&gt;1,AND(AY48&lt;&gt;"",AY48&lt;Inputs!$B$11),AND(AY48&lt;&gt;"",AY48&gt;Inputs!$B$12),AC48&lt;Inputs!$B$19,AD48&lt;Inputs!$B$19,P48&lt;Inputs!$B$7,P48&gt;Inputs!$B$8),"CHECK","OK"))</f>
        <v/>
      </c>
      <c r="AF48" s="9"/>
      <c r="AG48" s="9" t="str">
        <f aca="false">IF(A48="","",(1/Inputs!$B$9)*(PI()*(Inputs!$F$5/1000)^2/4)*((Inputs!$F$5/1000/4)^(2/3))*SQRT(P48))</f>
        <v/>
      </c>
      <c r="AH48" s="9" t="str">
        <f aca="false">IF(A48="","",(1/Inputs!$B$9)*(PI()*(Inputs!$F$6/1000)^2/4)*((Inputs!$F$6/1000/4)^(2/3))*SQRT(P48))</f>
        <v/>
      </c>
      <c r="AI48" s="9" t="str">
        <f aca="false">IF(A48="","",(1/Inputs!$B$9)*(PI()*(Inputs!$F$7/1000)^2/4)*((Inputs!$F$7/1000/4)^(2/3))*SQRT(P48))</f>
        <v/>
      </c>
      <c r="AJ48" s="9" t="str">
        <f aca="false">IF(A48="","",(1/Inputs!$B$9)*(PI()*(Inputs!$F$8/1000)^2/4)*((Inputs!$F$8/1000/4)^(2/3))*SQRT(P48))</f>
        <v/>
      </c>
      <c r="AK48" s="9" t="str">
        <f aca="false">IF(A48="","",(1/Inputs!$B$9)*(PI()*(Inputs!$F$9/1000)^2/4)*((Inputs!$F$9/1000/4)^(2/3))*SQRT(P48))</f>
        <v/>
      </c>
      <c r="AL48" s="9" t="str">
        <f aca="false">IF(A48="","",(1/Inputs!$B$9)*(PI()*(Inputs!$F$10/1000)^2/4)*((Inputs!$F$10/1000/4)^(2/3))*SQRT(P48))</f>
        <v/>
      </c>
      <c r="AM48" s="9" t="str">
        <f aca="false">IF(A48="","",(1/Inputs!$B$9)*(PI()*(Inputs!$F$11/1000)^2/4)*((Inputs!$F$11/1000/4)^(2/3))*SQRT(P48))</f>
        <v/>
      </c>
      <c r="AN48" s="9" t="str">
        <f aca="false">IF(A48="","",(1/Inputs!$B$9)*(PI()*(Inputs!$F$12/1000)^2/4)*((Inputs!$F$12/1000/4)^(2/3))*SQRT(P48))</f>
        <v/>
      </c>
      <c r="AO48" s="9" t="str">
        <f aca="false">IF(A48="","",(1/Inputs!$B$9)*(PI()*(Inputs!$F$13/1000)^2/4)*((Inputs!$F$13/1000/4)^(2/3))*SQRT(P48))</f>
        <v/>
      </c>
      <c r="AP48" s="9" t="str">
        <f aca="false">IF(A48="","",(1/Inputs!$B$9)*(PI()*(Inputs!$F$14/1000)^2/4)*((Inputs!$F$14/1000/4)^(2/3))*SQRT(P48))</f>
        <v/>
      </c>
      <c r="AQ48" s="9" t="str">
        <f aca="false">IF(A48="","",COUNTIF($D$4:$D$203,$A48))</f>
        <v/>
      </c>
      <c r="AR48" s="9" t="str">
        <f aca="false">IF(A48="","",IF(AQ48=0,"START","CONTINUOUS"))</f>
        <v/>
      </c>
      <c r="AS48" s="13" t="str">
        <f aca="false">IF(A48="","",IF(J48="",Inputs!$B$18,J48))</f>
        <v/>
      </c>
      <c r="AT48" s="13" t="str">
        <f aca="false">IF(A48="","",IFERROR(maxifs($AV$4:$AV$203,$D$4:$D$203,$A48),""))</f>
        <v/>
      </c>
      <c r="AU48" s="13" t="str">
        <f aca="false">IF(A48="","",IF(OR(E48="",Inputs!$B$23=""),"",E48/(Inputs!$B$23*60)))</f>
        <v/>
      </c>
      <c r="AV48" s="13" t="str">
        <f aca="false">IF(A48="","",IF(AQ48=0,AS48+AU48,IF(AT48="",AS48+AU48,AT48+AU48)))</f>
        <v/>
      </c>
      <c r="AW48" s="13" t="str">
        <f aca="false">IF(A48="","",W48)</f>
        <v/>
      </c>
      <c r="AX48" s="13" t="str">
        <f aca="false">IF(OR(T48="",P48=""),"",(1/Inputs!$B$9)*((T48/4)^(2/3))*SQRT(P48))</f>
        <v/>
      </c>
      <c r="AY48" s="13" t="str">
        <f aca="false">IF(A48="","",IF(AND(AW48="",AX48="",BA48=""),"",IF(OR(UPPER(TRIM(Inputs!$B$24))="MANNING",UPPER(TRIM(Inputs!$B$24))="M"),AX48,IF(OR(UPPER(TRIM(Inputs!$B$24))="PARTIAL",UPPER(TRIM(Inputs!$B$24))="P"),BA48,IF(OR(UPPER(TRIM(Inputs!$B$24))="MAX",UPPER(TRIM(Inputs!$B$24))="X"),MAX(IF(AW48="",0,AW48),IF(AX48="",0,AX48),IF(BA48="",0,BA48)),AW48)))))</f>
        <v/>
      </c>
      <c r="AZ48" s="13" t="str">
        <f aca="false">IF(BB48="","",CH48)</f>
        <v/>
      </c>
      <c r="BA48" s="13" t="str">
        <f aca="false">IF(OR(BB48="",AZ48="",T48="",T48&lt;=0,AZ48&lt;=0),"",BB48/((T48^2/8)*(2*ACOS(1-2*AZ48/T48)-SIN(2*ACOS(1-2*AZ48/T48)))))</f>
        <v/>
      </c>
      <c r="BB48" s="9" t="str">
        <f aca="false">IF(OR(N48="",BC48=""),"",MIN(N48,BC48))</f>
        <v/>
      </c>
      <c r="BC48" s="9" t="str">
        <f aca="false">IF(OR(N48="",T48="",P48=""),"",IF(OR(T48="",P48="",(0.94*T48)="",T48&lt;=0,(0.94*T48)&lt;=0),"",(1/Inputs!$B$9)*((T48^2/8)*((2*ACOS(1-2*(0.94*T48)/T48))-SIN((2*ACOS(1-2*(0.94*T48)/T48)))))*((((T48^2/8)*((2*ACOS(1-2*(0.94*T48)/T48))-SIN((2*ACOS(1-2*(0.94*T48)/T48)))))/((T48/2)*((2*ACOS(1-2*(0.94*T48)/T48)))))^(2/3))*SQRT(P48)))</f>
        <v/>
      </c>
      <c r="BD48" s="9" t="str">
        <f aca="false">IF(BB48="","",0.001*T48)</f>
        <v/>
      </c>
      <c r="BE48" s="9" t="str">
        <f aca="false">IF(BB48="","",0.94*T48)</f>
        <v/>
      </c>
      <c r="BF48" s="9" t="str">
        <f aca="false">IF(BB48="","",(BD48+BE48)/2)</f>
        <v/>
      </c>
      <c r="BG48" s="9" t="str">
        <f aca="false">IF(OR(T48="",P48="",BF48="",T48&lt;=0,BF48&lt;=0),"",(1/Inputs!$B$9)*((T48^2/8)*((2*ACOS(1-2*BF48/T48))-SIN((2*ACOS(1-2*BF48/T48)))))*((((T48^2/8)*((2*ACOS(1-2*BF48/T48))-SIN((2*ACOS(1-2*BF48/T48)))))/((T48/2)*((2*ACOS(1-2*BF48/T48)))))^(2/3))*SQRT(P48))</f>
        <v/>
      </c>
      <c r="BH48" s="9" t="str">
        <f aca="false">IF(BB48="","",IF(BG48&lt;BB48,BF48,BD48))</f>
        <v/>
      </c>
      <c r="BI48" s="9" t="str">
        <f aca="false">IF(BB48="","",IF(BG48&lt;BB48,BE48,BF48))</f>
        <v/>
      </c>
      <c r="BJ48" s="9" t="str">
        <f aca="false">IF(BB48="","",(BH48+BI48)/2)</f>
        <v/>
      </c>
      <c r="BK48" s="9" t="str">
        <f aca="false">IF(OR(T48="",P48="",BJ48="",T48&lt;=0,BJ48&lt;=0),"",(1/Inputs!$B$9)*((T48^2/8)*((2*ACOS(1-2*BJ48/T48))-SIN((2*ACOS(1-2*BJ48/T48)))))*((((T48^2/8)*((2*ACOS(1-2*BJ48/T48))-SIN((2*ACOS(1-2*BJ48/T48)))))/((T48/2)*((2*ACOS(1-2*BJ48/T48)))))^(2/3))*SQRT(P48))</f>
        <v/>
      </c>
      <c r="BL48" s="9" t="str">
        <f aca="false">IF(BB48="","",IF(BK48&lt;BB48,BJ48,BH48))</f>
        <v/>
      </c>
      <c r="BM48" s="9" t="str">
        <f aca="false">IF(BB48="","",IF(BK48&lt;BB48,BI48,BJ48))</f>
        <v/>
      </c>
      <c r="BN48" s="9" t="str">
        <f aca="false">IF(BB48="","",(BL48+BM48)/2)</f>
        <v/>
      </c>
      <c r="BO48" s="9" t="str">
        <f aca="false">IF(OR(T48="",P48="",BN48="",T48&lt;=0,BN48&lt;=0),"",(1/Inputs!$B$9)*((T48^2/8)*((2*ACOS(1-2*BN48/T48))-SIN((2*ACOS(1-2*BN48/T48)))))*((((T48^2/8)*((2*ACOS(1-2*BN48/T48))-SIN((2*ACOS(1-2*BN48/T48)))))/((T48/2)*((2*ACOS(1-2*BN48/T48)))))^(2/3))*SQRT(P48))</f>
        <v/>
      </c>
      <c r="BP48" s="9" t="str">
        <f aca="false">IF(BB48="","",IF(BO48&lt;BB48,BN48,BL48))</f>
        <v/>
      </c>
      <c r="BQ48" s="9" t="str">
        <f aca="false">IF(BB48="","",IF(BO48&lt;BB48,BM48,BN48))</f>
        <v/>
      </c>
      <c r="BR48" s="9" t="str">
        <f aca="false">IF(BB48="","",(BP48+BQ48)/2)</f>
        <v/>
      </c>
      <c r="BS48" s="9" t="str">
        <f aca="false">IF(OR(T48="",P48="",BR48="",T48&lt;=0,BR48&lt;=0),"",(1/Inputs!$B$9)*((T48^2/8)*((2*ACOS(1-2*BR48/T48))-SIN((2*ACOS(1-2*BR48/T48)))))*((((T48^2/8)*((2*ACOS(1-2*BR48/T48))-SIN((2*ACOS(1-2*BR48/T48)))))/((T48/2)*((2*ACOS(1-2*BR48/T48)))))^(2/3))*SQRT(P48))</f>
        <v/>
      </c>
      <c r="BT48" s="9" t="str">
        <f aca="false">IF(BB48="","",IF(BS48&lt;BB48,BR48,BP48))</f>
        <v/>
      </c>
      <c r="BU48" s="9" t="str">
        <f aca="false">IF(BB48="","",IF(BS48&lt;BB48,BQ48,BR48))</f>
        <v/>
      </c>
      <c r="BV48" s="9" t="str">
        <f aca="false">IF(BB48="","",(BT48+BU48)/2)</f>
        <v/>
      </c>
      <c r="BW48" s="9" t="str">
        <f aca="false">IF(OR(T48="",P48="",BV48="",T48&lt;=0,BV48&lt;=0),"",(1/Inputs!$B$9)*((T48^2/8)*((2*ACOS(1-2*BV48/T48))-SIN((2*ACOS(1-2*BV48/T48)))))*((((T48^2/8)*((2*ACOS(1-2*BV48/T48))-SIN((2*ACOS(1-2*BV48/T48)))))/((T48/2)*((2*ACOS(1-2*BV48/T48)))))^(2/3))*SQRT(P48))</f>
        <v/>
      </c>
      <c r="BX48" s="9" t="str">
        <f aca="false">IF(BB48="","",IF(BW48&lt;BB48,BV48,BT48))</f>
        <v/>
      </c>
      <c r="BY48" s="9" t="str">
        <f aca="false">IF(BB48="","",IF(BW48&lt;BB48,BU48,BV48))</f>
        <v/>
      </c>
      <c r="BZ48" s="9" t="str">
        <f aca="false">IF(BB48="","",(BX48+BY48)/2)</f>
        <v/>
      </c>
      <c r="CA48" s="9" t="str">
        <f aca="false">IF(OR(T48="",P48="",BZ48="",T48&lt;=0,BZ48&lt;=0),"",(1/Inputs!$B$9)*((T48^2/8)*((2*ACOS(1-2*BZ48/T48))-SIN((2*ACOS(1-2*BZ48/T48)))))*((((T48^2/8)*((2*ACOS(1-2*BZ48/T48))-SIN((2*ACOS(1-2*BZ48/T48)))))/((T48/2)*((2*ACOS(1-2*BZ48/T48)))))^(2/3))*SQRT(P48))</f>
        <v/>
      </c>
      <c r="CB48" s="9" t="str">
        <f aca="false">IF(BB48="","",IF(CA48&lt;BB48,BZ48,BX48))</f>
        <v/>
      </c>
      <c r="CC48" s="9" t="str">
        <f aca="false">IF(BB48="","",IF(CA48&lt;BB48,BY48,BZ48))</f>
        <v/>
      </c>
      <c r="CD48" s="9" t="str">
        <f aca="false">IF(BB48="","",(CB48+CC48)/2)</f>
        <v/>
      </c>
      <c r="CE48" s="9" t="str">
        <f aca="false">IF(OR(T48="",P48="",CD48="",T48&lt;=0,CD48&lt;=0),"",(1/Inputs!$B$9)*((T48^2/8)*((2*ACOS(1-2*CD48/T48))-SIN((2*ACOS(1-2*CD48/T48)))))*((((T48^2/8)*((2*ACOS(1-2*CD48/T48))-SIN((2*ACOS(1-2*CD48/T48)))))/((T48/2)*((2*ACOS(1-2*CD48/T48)))))^(2/3))*SQRT(P48))</f>
        <v/>
      </c>
      <c r="CF48" s="9" t="str">
        <f aca="false">IF(BB48="","",IF(CE48&lt;BB48,CD48,CB48))</f>
        <v/>
      </c>
      <c r="CG48" s="9" t="str">
        <f aca="false">IF(BB48="","",IF(CE48&lt;BB48,CC48,CD48))</f>
        <v/>
      </c>
      <c r="CH48" s="9" t="str">
        <f aca="false">IF(BB48="","",(CF48+CG48)/2)</f>
        <v/>
      </c>
    </row>
    <row r="49" customFormat="false" ht="15" hidden="false" customHeight="false" outlineLevel="0" collapsed="false">
      <c r="A49" s="9"/>
      <c r="B49" s="9"/>
      <c r="C49" s="9"/>
      <c r="D49" s="9"/>
      <c r="E49" s="14"/>
      <c r="F49" s="14"/>
      <c r="G49" s="14" t="n">
        <f aca="false">SUMIFS(CB_plan!$C:$C,CB_plan!$B:$B,$A49)</f>
        <v>0</v>
      </c>
      <c r="H49" s="14" t="n">
        <f aca="false">IF(F49="",G49,F49)</f>
        <v>0</v>
      </c>
      <c r="I49" s="9"/>
      <c r="J49" s="14"/>
      <c r="K49" s="14" t="str">
        <f aca="false">IF(A49="","",Inputs!$B$13/((IF(AV49="",Inputs!$B$18,AV49)+Inputs!$B$14)^Inputs!$B$15))</f>
        <v/>
      </c>
      <c r="L49" s="14" t="str">
        <f aca="false">IF(A49="","",0.000000278*IF(I49="",Inputs!$B$17,I49)*H49*K49)</f>
        <v/>
      </c>
      <c r="M49" s="14" t="str">
        <f aca="false">IF(A49="","",SUMIFS($N$4:$N$203,$D$4:$D$203,$A49))</f>
        <v/>
      </c>
      <c r="N49" s="14" t="str">
        <f aca="false">IF(A49="","",(L49+M49)*Inputs!$B$16)</f>
        <v/>
      </c>
      <c r="O49" s="14"/>
      <c r="P49" s="14" t="str">
        <f aca="false">IF(A49="","",IF(O49="",Inputs!$B$7,O49))</f>
        <v/>
      </c>
      <c r="Q49" s="9" t="str">
        <f aca="false">IF(A49="","",IF(N49/Inputs!$B$10&lt;=AG49,Inputs!$F$5,IF(N49/Inputs!$B$10&gt;AP49,"OVERSIZE",INDEX(Inputs!$F$5:$F$14,MATCH(N49/Inputs!$B$10,AG49:AP49,1)+1))))</f>
        <v/>
      </c>
      <c r="R49" s="9"/>
      <c r="S49" s="9" t="str">
        <f aca="false">IF(A49="","",IF(R49="",Q49,R49))</f>
        <v/>
      </c>
      <c r="T49" s="14" t="str">
        <f aca="false">IF(OR(S49="",S49="OVERSIZE"),"",S49/1000)</f>
        <v/>
      </c>
      <c r="U49" s="14" t="str">
        <f aca="false">IF(T49="","",(1/Inputs!$B$9)*(PI()*T49^2/4)*((T49/4)^(2/3))*SQRT(P49))</f>
        <v/>
      </c>
      <c r="V49" s="14" t="str">
        <f aca="false">IF(OR(U49="",N49=""),"",N49/(U49*Inputs!$B$10))</f>
        <v/>
      </c>
      <c r="W49" s="14" t="str">
        <f aca="false">IF(OR(T49="",N49=""),"",4*N49/(PI()*T49^2))</f>
        <v/>
      </c>
      <c r="X49" s="14"/>
      <c r="Y49" s="14" t="str">
        <f aca="false">IF(A49="","",IF(A49=Inputs!$B$6,Inputs!$B$22,IF(D49="","",IFERROR(INDEX($Z$4:$Z$203,MATCH(D49,$A$4:$A$203,0))+IF(X49="",Inputs!$B$20,X49),""))))</f>
        <v/>
      </c>
      <c r="Z49" s="14" t="str">
        <f aca="false">IF(OR(Y49="",P49="",E49=""),"",Y49+P49*E49)</f>
        <v/>
      </c>
      <c r="AA49" s="14" t="str">
        <f aca="false">IF(C49="","",IFERROR(INDEX(Noeuds_plan!$C$4:$C$200,MATCH(C49,Noeuds_plan!$A$4:$A$200,0)),""))</f>
        <v/>
      </c>
      <c r="AB49" s="14" t="str">
        <f aca="false">IF(B49="","",IFERROR(INDEX(Noeuds_plan!$C$4:$C$200,MATCH(B49,Noeuds_plan!$A$4:$A$200,0)),""))</f>
        <v/>
      </c>
      <c r="AC49" s="14" t="str">
        <f aca="false">IF(OR(AA49="",Y49=""),"",AA49-Y49)</f>
        <v/>
      </c>
      <c r="AD49" s="14" t="str">
        <f aca="false">IF(OR(AB49="",Z49=""),"",AB49-Z49)</f>
        <v/>
      </c>
      <c r="AE49" s="19" t="str">
        <f aca="false">IF(A49="","",IF(OR(V49&gt;1,AND(AY49&lt;&gt;"",AY49&lt;Inputs!$B$11),AND(AY49&lt;&gt;"",AY49&gt;Inputs!$B$12),AC49&lt;Inputs!$B$19,AD49&lt;Inputs!$B$19,P49&lt;Inputs!$B$7,P49&gt;Inputs!$B$8),"CHECK","OK"))</f>
        <v/>
      </c>
      <c r="AF49" s="9"/>
      <c r="AG49" s="9" t="str">
        <f aca="false">IF(A49="","",(1/Inputs!$B$9)*(PI()*(Inputs!$F$5/1000)^2/4)*((Inputs!$F$5/1000/4)^(2/3))*SQRT(P49))</f>
        <v/>
      </c>
      <c r="AH49" s="9" t="str">
        <f aca="false">IF(A49="","",(1/Inputs!$B$9)*(PI()*(Inputs!$F$6/1000)^2/4)*((Inputs!$F$6/1000/4)^(2/3))*SQRT(P49))</f>
        <v/>
      </c>
      <c r="AI49" s="9" t="str">
        <f aca="false">IF(A49="","",(1/Inputs!$B$9)*(PI()*(Inputs!$F$7/1000)^2/4)*((Inputs!$F$7/1000/4)^(2/3))*SQRT(P49))</f>
        <v/>
      </c>
      <c r="AJ49" s="9" t="str">
        <f aca="false">IF(A49="","",(1/Inputs!$B$9)*(PI()*(Inputs!$F$8/1000)^2/4)*((Inputs!$F$8/1000/4)^(2/3))*SQRT(P49))</f>
        <v/>
      </c>
      <c r="AK49" s="9" t="str">
        <f aca="false">IF(A49="","",(1/Inputs!$B$9)*(PI()*(Inputs!$F$9/1000)^2/4)*((Inputs!$F$9/1000/4)^(2/3))*SQRT(P49))</f>
        <v/>
      </c>
      <c r="AL49" s="9" t="str">
        <f aca="false">IF(A49="","",(1/Inputs!$B$9)*(PI()*(Inputs!$F$10/1000)^2/4)*((Inputs!$F$10/1000/4)^(2/3))*SQRT(P49))</f>
        <v/>
      </c>
      <c r="AM49" s="9" t="str">
        <f aca="false">IF(A49="","",(1/Inputs!$B$9)*(PI()*(Inputs!$F$11/1000)^2/4)*((Inputs!$F$11/1000/4)^(2/3))*SQRT(P49))</f>
        <v/>
      </c>
      <c r="AN49" s="9" t="str">
        <f aca="false">IF(A49="","",(1/Inputs!$B$9)*(PI()*(Inputs!$F$12/1000)^2/4)*((Inputs!$F$12/1000/4)^(2/3))*SQRT(P49))</f>
        <v/>
      </c>
      <c r="AO49" s="9" t="str">
        <f aca="false">IF(A49="","",(1/Inputs!$B$9)*(PI()*(Inputs!$F$13/1000)^2/4)*((Inputs!$F$13/1000/4)^(2/3))*SQRT(P49))</f>
        <v/>
      </c>
      <c r="AP49" s="9" t="str">
        <f aca="false">IF(A49="","",(1/Inputs!$B$9)*(PI()*(Inputs!$F$14/1000)^2/4)*((Inputs!$F$14/1000/4)^(2/3))*SQRT(P49))</f>
        <v/>
      </c>
      <c r="AQ49" s="9" t="str">
        <f aca="false">IF(A49="","",COUNTIF($D$4:$D$203,$A49))</f>
        <v/>
      </c>
      <c r="AR49" s="9" t="str">
        <f aca="false">IF(A49="","",IF(AQ49=0,"START","CONTINUOUS"))</f>
        <v/>
      </c>
      <c r="AS49" s="13" t="str">
        <f aca="false">IF(A49="","",IF(J49="",Inputs!$B$18,J49))</f>
        <v/>
      </c>
      <c r="AT49" s="13" t="str">
        <f aca="false">IF(A49="","",IFERROR(maxifs($AV$4:$AV$203,$D$4:$D$203,$A49),""))</f>
        <v/>
      </c>
      <c r="AU49" s="13" t="str">
        <f aca="false">IF(A49="","",IF(OR(E49="",Inputs!$B$23=""),"",E49/(Inputs!$B$23*60)))</f>
        <v/>
      </c>
      <c r="AV49" s="13" t="str">
        <f aca="false">IF(A49="","",IF(AQ49=0,AS49+AU49,IF(AT49="",AS49+AU49,AT49+AU49)))</f>
        <v/>
      </c>
      <c r="AW49" s="13" t="str">
        <f aca="false">IF(A49="","",W49)</f>
        <v/>
      </c>
      <c r="AX49" s="13" t="str">
        <f aca="false">IF(OR(T49="",P49=""),"",(1/Inputs!$B$9)*((T49/4)^(2/3))*SQRT(P49))</f>
        <v/>
      </c>
      <c r="AY49" s="13" t="str">
        <f aca="false">IF(A49="","",IF(AND(AW49="",AX49="",BA49=""),"",IF(OR(UPPER(TRIM(Inputs!$B$24))="MANNING",UPPER(TRIM(Inputs!$B$24))="M"),AX49,IF(OR(UPPER(TRIM(Inputs!$B$24))="PARTIAL",UPPER(TRIM(Inputs!$B$24))="P"),BA49,IF(OR(UPPER(TRIM(Inputs!$B$24))="MAX",UPPER(TRIM(Inputs!$B$24))="X"),MAX(IF(AW49="",0,AW49),IF(AX49="",0,AX49),IF(BA49="",0,BA49)),AW49)))))</f>
        <v/>
      </c>
      <c r="AZ49" s="13" t="str">
        <f aca="false">IF(BB49="","",CH49)</f>
        <v/>
      </c>
      <c r="BA49" s="13" t="str">
        <f aca="false">IF(OR(BB49="",AZ49="",T49="",T49&lt;=0,AZ49&lt;=0),"",BB49/((T49^2/8)*(2*ACOS(1-2*AZ49/T49)-SIN(2*ACOS(1-2*AZ49/T49)))))</f>
        <v/>
      </c>
      <c r="BB49" s="9" t="str">
        <f aca="false">IF(OR(N49="",BC49=""),"",MIN(N49,BC49))</f>
        <v/>
      </c>
      <c r="BC49" s="9" t="str">
        <f aca="false">IF(OR(N49="",T49="",P49=""),"",IF(OR(T49="",P49="",(0.94*T49)="",T49&lt;=0,(0.94*T49)&lt;=0),"",(1/Inputs!$B$9)*((T49^2/8)*((2*ACOS(1-2*(0.94*T49)/T49))-SIN((2*ACOS(1-2*(0.94*T49)/T49)))))*((((T49^2/8)*((2*ACOS(1-2*(0.94*T49)/T49))-SIN((2*ACOS(1-2*(0.94*T49)/T49)))))/((T49/2)*((2*ACOS(1-2*(0.94*T49)/T49)))))^(2/3))*SQRT(P49)))</f>
        <v/>
      </c>
      <c r="BD49" s="9" t="str">
        <f aca="false">IF(BB49="","",0.001*T49)</f>
        <v/>
      </c>
      <c r="BE49" s="9" t="str">
        <f aca="false">IF(BB49="","",0.94*T49)</f>
        <v/>
      </c>
      <c r="BF49" s="9" t="str">
        <f aca="false">IF(BB49="","",(BD49+BE49)/2)</f>
        <v/>
      </c>
      <c r="BG49" s="9" t="str">
        <f aca="false">IF(OR(T49="",P49="",BF49="",T49&lt;=0,BF49&lt;=0),"",(1/Inputs!$B$9)*((T49^2/8)*((2*ACOS(1-2*BF49/T49))-SIN((2*ACOS(1-2*BF49/T49)))))*((((T49^2/8)*((2*ACOS(1-2*BF49/T49))-SIN((2*ACOS(1-2*BF49/T49)))))/((T49/2)*((2*ACOS(1-2*BF49/T49)))))^(2/3))*SQRT(P49))</f>
        <v/>
      </c>
      <c r="BH49" s="9" t="str">
        <f aca="false">IF(BB49="","",IF(BG49&lt;BB49,BF49,BD49))</f>
        <v/>
      </c>
      <c r="BI49" s="9" t="str">
        <f aca="false">IF(BB49="","",IF(BG49&lt;BB49,BE49,BF49))</f>
        <v/>
      </c>
      <c r="BJ49" s="9" t="str">
        <f aca="false">IF(BB49="","",(BH49+BI49)/2)</f>
        <v/>
      </c>
      <c r="BK49" s="9" t="str">
        <f aca="false">IF(OR(T49="",P49="",BJ49="",T49&lt;=0,BJ49&lt;=0),"",(1/Inputs!$B$9)*((T49^2/8)*((2*ACOS(1-2*BJ49/T49))-SIN((2*ACOS(1-2*BJ49/T49)))))*((((T49^2/8)*((2*ACOS(1-2*BJ49/T49))-SIN((2*ACOS(1-2*BJ49/T49)))))/((T49/2)*((2*ACOS(1-2*BJ49/T49)))))^(2/3))*SQRT(P49))</f>
        <v/>
      </c>
      <c r="BL49" s="9" t="str">
        <f aca="false">IF(BB49="","",IF(BK49&lt;BB49,BJ49,BH49))</f>
        <v/>
      </c>
      <c r="BM49" s="9" t="str">
        <f aca="false">IF(BB49="","",IF(BK49&lt;BB49,BI49,BJ49))</f>
        <v/>
      </c>
      <c r="BN49" s="9" t="str">
        <f aca="false">IF(BB49="","",(BL49+BM49)/2)</f>
        <v/>
      </c>
      <c r="BO49" s="9" t="str">
        <f aca="false">IF(OR(T49="",P49="",BN49="",T49&lt;=0,BN49&lt;=0),"",(1/Inputs!$B$9)*((T49^2/8)*((2*ACOS(1-2*BN49/T49))-SIN((2*ACOS(1-2*BN49/T49)))))*((((T49^2/8)*((2*ACOS(1-2*BN49/T49))-SIN((2*ACOS(1-2*BN49/T49)))))/((T49/2)*((2*ACOS(1-2*BN49/T49)))))^(2/3))*SQRT(P49))</f>
        <v/>
      </c>
      <c r="BP49" s="9" t="str">
        <f aca="false">IF(BB49="","",IF(BO49&lt;BB49,BN49,BL49))</f>
        <v/>
      </c>
      <c r="BQ49" s="9" t="str">
        <f aca="false">IF(BB49="","",IF(BO49&lt;BB49,BM49,BN49))</f>
        <v/>
      </c>
      <c r="BR49" s="9" t="str">
        <f aca="false">IF(BB49="","",(BP49+BQ49)/2)</f>
        <v/>
      </c>
      <c r="BS49" s="9" t="str">
        <f aca="false">IF(OR(T49="",P49="",BR49="",T49&lt;=0,BR49&lt;=0),"",(1/Inputs!$B$9)*((T49^2/8)*((2*ACOS(1-2*BR49/T49))-SIN((2*ACOS(1-2*BR49/T49)))))*((((T49^2/8)*((2*ACOS(1-2*BR49/T49))-SIN((2*ACOS(1-2*BR49/T49)))))/((T49/2)*((2*ACOS(1-2*BR49/T49)))))^(2/3))*SQRT(P49))</f>
        <v/>
      </c>
      <c r="BT49" s="9" t="str">
        <f aca="false">IF(BB49="","",IF(BS49&lt;BB49,BR49,BP49))</f>
        <v/>
      </c>
      <c r="BU49" s="9" t="str">
        <f aca="false">IF(BB49="","",IF(BS49&lt;BB49,BQ49,BR49))</f>
        <v/>
      </c>
      <c r="BV49" s="9" t="str">
        <f aca="false">IF(BB49="","",(BT49+BU49)/2)</f>
        <v/>
      </c>
      <c r="BW49" s="9" t="str">
        <f aca="false">IF(OR(T49="",P49="",BV49="",T49&lt;=0,BV49&lt;=0),"",(1/Inputs!$B$9)*((T49^2/8)*((2*ACOS(1-2*BV49/T49))-SIN((2*ACOS(1-2*BV49/T49)))))*((((T49^2/8)*((2*ACOS(1-2*BV49/T49))-SIN((2*ACOS(1-2*BV49/T49)))))/((T49/2)*((2*ACOS(1-2*BV49/T49)))))^(2/3))*SQRT(P49))</f>
        <v/>
      </c>
      <c r="BX49" s="9" t="str">
        <f aca="false">IF(BB49="","",IF(BW49&lt;BB49,BV49,BT49))</f>
        <v/>
      </c>
      <c r="BY49" s="9" t="str">
        <f aca="false">IF(BB49="","",IF(BW49&lt;BB49,BU49,BV49))</f>
        <v/>
      </c>
      <c r="BZ49" s="9" t="str">
        <f aca="false">IF(BB49="","",(BX49+BY49)/2)</f>
        <v/>
      </c>
      <c r="CA49" s="9" t="str">
        <f aca="false">IF(OR(T49="",P49="",BZ49="",T49&lt;=0,BZ49&lt;=0),"",(1/Inputs!$B$9)*((T49^2/8)*((2*ACOS(1-2*BZ49/T49))-SIN((2*ACOS(1-2*BZ49/T49)))))*((((T49^2/8)*((2*ACOS(1-2*BZ49/T49))-SIN((2*ACOS(1-2*BZ49/T49)))))/((T49/2)*((2*ACOS(1-2*BZ49/T49)))))^(2/3))*SQRT(P49))</f>
        <v/>
      </c>
      <c r="CB49" s="9" t="str">
        <f aca="false">IF(BB49="","",IF(CA49&lt;BB49,BZ49,BX49))</f>
        <v/>
      </c>
      <c r="CC49" s="9" t="str">
        <f aca="false">IF(BB49="","",IF(CA49&lt;BB49,BY49,BZ49))</f>
        <v/>
      </c>
      <c r="CD49" s="9" t="str">
        <f aca="false">IF(BB49="","",(CB49+CC49)/2)</f>
        <v/>
      </c>
      <c r="CE49" s="9" t="str">
        <f aca="false">IF(OR(T49="",P49="",CD49="",T49&lt;=0,CD49&lt;=0),"",(1/Inputs!$B$9)*((T49^2/8)*((2*ACOS(1-2*CD49/T49))-SIN((2*ACOS(1-2*CD49/T49)))))*((((T49^2/8)*((2*ACOS(1-2*CD49/T49))-SIN((2*ACOS(1-2*CD49/T49)))))/((T49/2)*((2*ACOS(1-2*CD49/T49)))))^(2/3))*SQRT(P49))</f>
        <v/>
      </c>
      <c r="CF49" s="9" t="str">
        <f aca="false">IF(BB49="","",IF(CE49&lt;BB49,CD49,CB49))</f>
        <v/>
      </c>
      <c r="CG49" s="9" t="str">
        <f aca="false">IF(BB49="","",IF(CE49&lt;BB49,CC49,CD49))</f>
        <v/>
      </c>
      <c r="CH49" s="9" t="str">
        <f aca="false">IF(BB49="","",(CF49+CG49)/2)</f>
        <v/>
      </c>
    </row>
    <row r="50" customFormat="false" ht="15" hidden="false" customHeight="false" outlineLevel="0" collapsed="false">
      <c r="A50" s="9"/>
      <c r="B50" s="9"/>
      <c r="C50" s="9"/>
      <c r="D50" s="9"/>
      <c r="E50" s="14"/>
      <c r="F50" s="14"/>
      <c r="G50" s="14" t="n">
        <f aca="false">SUMIFS(CB_plan!$C:$C,CB_plan!$B:$B,$A50)</f>
        <v>0</v>
      </c>
      <c r="H50" s="14" t="n">
        <f aca="false">IF(F50="",G50,F50)</f>
        <v>0</v>
      </c>
      <c r="I50" s="9"/>
      <c r="J50" s="14"/>
      <c r="K50" s="14" t="str">
        <f aca="false">IF(A50="","",Inputs!$B$13/((IF(AV50="",Inputs!$B$18,AV50)+Inputs!$B$14)^Inputs!$B$15))</f>
        <v/>
      </c>
      <c r="L50" s="14" t="str">
        <f aca="false">IF(A50="","",0.000000278*IF(I50="",Inputs!$B$17,I50)*H50*K50)</f>
        <v/>
      </c>
      <c r="M50" s="14" t="str">
        <f aca="false">IF(A50="","",SUMIFS($N$4:$N$203,$D$4:$D$203,$A50))</f>
        <v/>
      </c>
      <c r="N50" s="14" t="str">
        <f aca="false">IF(A50="","",(L50+M50)*Inputs!$B$16)</f>
        <v/>
      </c>
      <c r="O50" s="14"/>
      <c r="P50" s="14" t="str">
        <f aca="false">IF(A50="","",IF(O50="",Inputs!$B$7,O50))</f>
        <v/>
      </c>
      <c r="Q50" s="9" t="str">
        <f aca="false">IF(A50="","",IF(N50/Inputs!$B$10&lt;=AG50,Inputs!$F$5,IF(N50/Inputs!$B$10&gt;AP50,"OVERSIZE",INDEX(Inputs!$F$5:$F$14,MATCH(N50/Inputs!$B$10,AG50:AP50,1)+1))))</f>
        <v/>
      </c>
      <c r="R50" s="9"/>
      <c r="S50" s="9" t="str">
        <f aca="false">IF(A50="","",IF(R50="",Q50,R50))</f>
        <v/>
      </c>
      <c r="T50" s="14" t="str">
        <f aca="false">IF(OR(S50="",S50="OVERSIZE"),"",S50/1000)</f>
        <v/>
      </c>
      <c r="U50" s="14" t="str">
        <f aca="false">IF(T50="","",(1/Inputs!$B$9)*(PI()*T50^2/4)*((T50/4)^(2/3))*SQRT(P50))</f>
        <v/>
      </c>
      <c r="V50" s="14" t="str">
        <f aca="false">IF(OR(U50="",N50=""),"",N50/(U50*Inputs!$B$10))</f>
        <v/>
      </c>
      <c r="W50" s="14" t="str">
        <f aca="false">IF(OR(T50="",N50=""),"",4*N50/(PI()*T50^2))</f>
        <v/>
      </c>
      <c r="X50" s="14"/>
      <c r="Y50" s="14" t="str">
        <f aca="false">IF(A50="","",IF(A50=Inputs!$B$6,Inputs!$B$22,IF(D50="","",IFERROR(INDEX($Z$4:$Z$203,MATCH(D50,$A$4:$A$203,0))+IF(X50="",Inputs!$B$20,X50),""))))</f>
        <v/>
      </c>
      <c r="Z50" s="14" t="str">
        <f aca="false">IF(OR(Y50="",P50="",E50=""),"",Y50+P50*E50)</f>
        <v/>
      </c>
      <c r="AA50" s="14" t="str">
        <f aca="false">IF(C50="","",IFERROR(INDEX(Noeuds_plan!$C$4:$C$200,MATCH(C50,Noeuds_plan!$A$4:$A$200,0)),""))</f>
        <v/>
      </c>
      <c r="AB50" s="14" t="str">
        <f aca="false">IF(B50="","",IFERROR(INDEX(Noeuds_plan!$C$4:$C$200,MATCH(B50,Noeuds_plan!$A$4:$A$200,0)),""))</f>
        <v/>
      </c>
      <c r="AC50" s="14" t="str">
        <f aca="false">IF(OR(AA50="",Y50=""),"",AA50-Y50)</f>
        <v/>
      </c>
      <c r="AD50" s="14" t="str">
        <f aca="false">IF(OR(AB50="",Z50=""),"",AB50-Z50)</f>
        <v/>
      </c>
      <c r="AE50" s="19" t="str">
        <f aca="false">IF(A50="","",IF(OR(V50&gt;1,AND(AY50&lt;&gt;"",AY50&lt;Inputs!$B$11),AND(AY50&lt;&gt;"",AY50&gt;Inputs!$B$12),AC50&lt;Inputs!$B$19,AD50&lt;Inputs!$B$19,P50&lt;Inputs!$B$7,P50&gt;Inputs!$B$8),"CHECK","OK"))</f>
        <v/>
      </c>
      <c r="AF50" s="9"/>
      <c r="AG50" s="9" t="str">
        <f aca="false">IF(A50="","",(1/Inputs!$B$9)*(PI()*(Inputs!$F$5/1000)^2/4)*((Inputs!$F$5/1000/4)^(2/3))*SQRT(P50))</f>
        <v/>
      </c>
      <c r="AH50" s="9" t="str">
        <f aca="false">IF(A50="","",(1/Inputs!$B$9)*(PI()*(Inputs!$F$6/1000)^2/4)*((Inputs!$F$6/1000/4)^(2/3))*SQRT(P50))</f>
        <v/>
      </c>
      <c r="AI50" s="9" t="str">
        <f aca="false">IF(A50="","",(1/Inputs!$B$9)*(PI()*(Inputs!$F$7/1000)^2/4)*((Inputs!$F$7/1000/4)^(2/3))*SQRT(P50))</f>
        <v/>
      </c>
      <c r="AJ50" s="9" t="str">
        <f aca="false">IF(A50="","",(1/Inputs!$B$9)*(PI()*(Inputs!$F$8/1000)^2/4)*((Inputs!$F$8/1000/4)^(2/3))*SQRT(P50))</f>
        <v/>
      </c>
      <c r="AK50" s="9" t="str">
        <f aca="false">IF(A50="","",(1/Inputs!$B$9)*(PI()*(Inputs!$F$9/1000)^2/4)*((Inputs!$F$9/1000/4)^(2/3))*SQRT(P50))</f>
        <v/>
      </c>
      <c r="AL50" s="9" t="str">
        <f aca="false">IF(A50="","",(1/Inputs!$B$9)*(PI()*(Inputs!$F$10/1000)^2/4)*((Inputs!$F$10/1000/4)^(2/3))*SQRT(P50))</f>
        <v/>
      </c>
      <c r="AM50" s="9" t="str">
        <f aca="false">IF(A50="","",(1/Inputs!$B$9)*(PI()*(Inputs!$F$11/1000)^2/4)*((Inputs!$F$11/1000/4)^(2/3))*SQRT(P50))</f>
        <v/>
      </c>
      <c r="AN50" s="9" t="str">
        <f aca="false">IF(A50="","",(1/Inputs!$B$9)*(PI()*(Inputs!$F$12/1000)^2/4)*((Inputs!$F$12/1000/4)^(2/3))*SQRT(P50))</f>
        <v/>
      </c>
      <c r="AO50" s="9" t="str">
        <f aca="false">IF(A50="","",(1/Inputs!$B$9)*(PI()*(Inputs!$F$13/1000)^2/4)*((Inputs!$F$13/1000/4)^(2/3))*SQRT(P50))</f>
        <v/>
      </c>
      <c r="AP50" s="9" t="str">
        <f aca="false">IF(A50="","",(1/Inputs!$B$9)*(PI()*(Inputs!$F$14/1000)^2/4)*((Inputs!$F$14/1000/4)^(2/3))*SQRT(P50))</f>
        <v/>
      </c>
      <c r="AQ50" s="9" t="str">
        <f aca="false">IF(A50="","",COUNTIF($D$4:$D$203,$A50))</f>
        <v/>
      </c>
      <c r="AR50" s="9" t="str">
        <f aca="false">IF(A50="","",IF(AQ50=0,"START","CONTINUOUS"))</f>
        <v/>
      </c>
      <c r="AS50" s="13" t="str">
        <f aca="false">IF(A50="","",IF(J50="",Inputs!$B$18,J50))</f>
        <v/>
      </c>
      <c r="AT50" s="13" t="str">
        <f aca="false">IF(A50="","",IFERROR(maxifs($AV$4:$AV$203,$D$4:$D$203,$A50),""))</f>
        <v/>
      </c>
      <c r="AU50" s="13" t="str">
        <f aca="false">IF(A50="","",IF(OR(E50="",Inputs!$B$23=""),"",E50/(Inputs!$B$23*60)))</f>
        <v/>
      </c>
      <c r="AV50" s="13" t="str">
        <f aca="false">IF(A50="","",IF(AQ50=0,AS50+AU50,IF(AT50="",AS50+AU50,AT50+AU50)))</f>
        <v/>
      </c>
      <c r="AW50" s="13" t="str">
        <f aca="false">IF(A50="","",W50)</f>
        <v/>
      </c>
      <c r="AX50" s="13" t="str">
        <f aca="false">IF(OR(T50="",P50=""),"",(1/Inputs!$B$9)*((T50/4)^(2/3))*SQRT(P50))</f>
        <v/>
      </c>
      <c r="AY50" s="13" t="str">
        <f aca="false">IF(A50="","",IF(AND(AW50="",AX50="",BA50=""),"",IF(OR(UPPER(TRIM(Inputs!$B$24))="MANNING",UPPER(TRIM(Inputs!$B$24))="M"),AX50,IF(OR(UPPER(TRIM(Inputs!$B$24))="PARTIAL",UPPER(TRIM(Inputs!$B$24))="P"),BA50,IF(OR(UPPER(TRIM(Inputs!$B$24))="MAX",UPPER(TRIM(Inputs!$B$24))="X"),MAX(IF(AW50="",0,AW50),IF(AX50="",0,AX50),IF(BA50="",0,BA50)),AW50)))))</f>
        <v/>
      </c>
      <c r="AZ50" s="13" t="str">
        <f aca="false">IF(BB50="","",CH50)</f>
        <v/>
      </c>
      <c r="BA50" s="13" t="str">
        <f aca="false">IF(OR(BB50="",AZ50="",T50="",T50&lt;=0,AZ50&lt;=0),"",BB50/((T50^2/8)*(2*ACOS(1-2*AZ50/T50)-SIN(2*ACOS(1-2*AZ50/T50)))))</f>
        <v/>
      </c>
      <c r="BB50" s="9" t="str">
        <f aca="false">IF(OR(N50="",BC50=""),"",MIN(N50,BC50))</f>
        <v/>
      </c>
      <c r="BC50" s="9" t="str">
        <f aca="false">IF(OR(N50="",T50="",P50=""),"",IF(OR(T50="",P50="",(0.94*T50)="",T50&lt;=0,(0.94*T50)&lt;=0),"",(1/Inputs!$B$9)*((T50^2/8)*((2*ACOS(1-2*(0.94*T50)/T50))-SIN((2*ACOS(1-2*(0.94*T50)/T50)))))*((((T50^2/8)*((2*ACOS(1-2*(0.94*T50)/T50))-SIN((2*ACOS(1-2*(0.94*T50)/T50)))))/((T50/2)*((2*ACOS(1-2*(0.94*T50)/T50)))))^(2/3))*SQRT(P50)))</f>
        <v/>
      </c>
      <c r="BD50" s="9" t="str">
        <f aca="false">IF(BB50="","",0.001*T50)</f>
        <v/>
      </c>
      <c r="BE50" s="9" t="str">
        <f aca="false">IF(BB50="","",0.94*T50)</f>
        <v/>
      </c>
      <c r="BF50" s="9" t="str">
        <f aca="false">IF(BB50="","",(BD50+BE50)/2)</f>
        <v/>
      </c>
      <c r="BG50" s="9" t="str">
        <f aca="false">IF(OR(T50="",P50="",BF50="",T50&lt;=0,BF50&lt;=0),"",(1/Inputs!$B$9)*((T50^2/8)*((2*ACOS(1-2*BF50/T50))-SIN((2*ACOS(1-2*BF50/T50)))))*((((T50^2/8)*((2*ACOS(1-2*BF50/T50))-SIN((2*ACOS(1-2*BF50/T50)))))/((T50/2)*((2*ACOS(1-2*BF50/T50)))))^(2/3))*SQRT(P50))</f>
        <v/>
      </c>
      <c r="BH50" s="9" t="str">
        <f aca="false">IF(BB50="","",IF(BG50&lt;BB50,BF50,BD50))</f>
        <v/>
      </c>
      <c r="BI50" s="9" t="str">
        <f aca="false">IF(BB50="","",IF(BG50&lt;BB50,BE50,BF50))</f>
        <v/>
      </c>
      <c r="BJ50" s="9" t="str">
        <f aca="false">IF(BB50="","",(BH50+BI50)/2)</f>
        <v/>
      </c>
      <c r="BK50" s="9" t="str">
        <f aca="false">IF(OR(T50="",P50="",BJ50="",T50&lt;=0,BJ50&lt;=0),"",(1/Inputs!$B$9)*((T50^2/8)*((2*ACOS(1-2*BJ50/T50))-SIN((2*ACOS(1-2*BJ50/T50)))))*((((T50^2/8)*((2*ACOS(1-2*BJ50/T50))-SIN((2*ACOS(1-2*BJ50/T50)))))/((T50/2)*((2*ACOS(1-2*BJ50/T50)))))^(2/3))*SQRT(P50))</f>
        <v/>
      </c>
      <c r="BL50" s="9" t="str">
        <f aca="false">IF(BB50="","",IF(BK50&lt;BB50,BJ50,BH50))</f>
        <v/>
      </c>
      <c r="BM50" s="9" t="str">
        <f aca="false">IF(BB50="","",IF(BK50&lt;BB50,BI50,BJ50))</f>
        <v/>
      </c>
      <c r="BN50" s="9" t="str">
        <f aca="false">IF(BB50="","",(BL50+BM50)/2)</f>
        <v/>
      </c>
      <c r="BO50" s="9" t="str">
        <f aca="false">IF(OR(T50="",P50="",BN50="",T50&lt;=0,BN50&lt;=0),"",(1/Inputs!$B$9)*((T50^2/8)*((2*ACOS(1-2*BN50/T50))-SIN((2*ACOS(1-2*BN50/T50)))))*((((T50^2/8)*((2*ACOS(1-2*BN50/T50))-SIN((2*ACOS(1-2*BN50/T50)))))/((T50/2)*((2*ACOS(1-2*BN50/T50)))))^(2/3))*SQRT(P50))</f>
        <v/>
      </c>
      <c r="BP50" s="9" t="str">
        <f aca="false">IF(BB50="","",IF(BO50&lt;BB50,BN50,BL50))</f>
        <v/>
      </c>
      <c r="BQ50" s="9" t="str">
        <f aca="false">IF(BB50="","",IF(BO50&lt;BB50,BM50,BN50))</f>
        <v/>
      </c>
      <c r="BR50" s="9" t="str">
        <f aca="false">IF(BB50="","",(BP50+BQ50)/2)</f>
        <v/>
      </c>
      <c r="BS50" s="9" t="str">
        <f aca="false">IF(OR(T50="",P50="",BR50="",T50&lt;=0,BR50&lt;=0),"",(1/Inputs!$B$9)*((T50^2/8)*((2*ACOS(1-2*BR50/T50))-SIN((2*ACOS(1-2*BR50/T50)))))*((((T50^2/8)*((2*ACOS(1-2*BR50/T50))-SIN((2*ACOS(1-2*BR50/T50)))))/((T50/2)*((2*ACOS(1-2*BR50/T50)))))^(2/3))*SQRT(P50))</f>
        <v/>
      </c>
      <c r="BT50" s="9" t="str">
        <f aca="false">IF(BB50="","",IF(BS50&lt;BB50,BR50,BP50))</f>
        <v/>
      </c>
      <c r="BU50" s="9" t="str">
        <f aca="false">IF(BB50="","",IF(BS50&lt;BB50,BQ50,BR50))</f>
        <v/>
      </c>
      <c r="BV50" s="9" t="str">
        <f aca="false">IF(BB50="","",(BT50+BU50)/2)</f>
        <v/>
      </c>
      <c r="BW50" s="9" t="str">
        <f aca="false">IF(OR(T50="",P50="",BV50="",T50&lt;=0,BV50&lt;=0),"",(1/Inputs!$B$9)*((T50^2/8)*((2*ACOS(1-2*BV50/T50))-SIN((2*ACOS(1-2*BV50/T50)))))*((((T50^2/8)*((2*ACOS(1-2*BV50/T50))-SIN((2*ACOS(1-2*BV50/T50)))))/((T50/2)*((2*ACOS(1-2*BV50/T50)))))^(2/3))*SQRT(P50))</f>
        <v/>
      </c>
      <c r="BX50" s="9" t="str">
        <f aca="false">IF(BB50="","",IF(BW50&lt;BB50,BV50,BT50))</f>
        <v/>
      </c>
      <c r="BY50" s="9" t="str">
        <f aca="false">IF(BB50="","",IF(BW50&lt;BB50,BU50,BV50))</f>
        <v/>
      </c>
      <c r="BZ50" s="9" t="str">
        <f aca="false">IF(BB50="","",(BX50+BY50)/2)</f>
        <v/>
      </c>
      <c r="CA50" s="9" t="str">
        <f aca="false">IF(OR(T50="",P50="",BZ50="",T50&lt;=0,BZ50&lt;=0),"",(1/Inputs!$B$9)*((T50^2/8)*((2*ACOS(1-2*BZ50/T50))-SIN((2*ACOS(1-2*BZ50/T50)))))*((((T50^2/8)*((2*ACOS(1-2*BZ50/T50))-SIN((2*ACOS(1-2*BZ50/T50)))))/((T50/2)*((2*ACOS(1-2*BZ50/T50)))))^(2/3))*SQRT(P50))</f>
        <v/>
      </c>
      <c r="CB50" s="9" t="str">
        <f aca="false">IF(BB50="","",IF(CA50&lt;BB50,BZ50,BX50))</f>
        <v/>
      </c>
      <c r="CC50" s="9" t="str">
        <f aca="false">IF(BB50="","",IF(CA50&lt;BB50,BY50,BZ50))</f>
        <v/>
      </c>
      <c r="CD50" s="9" t="str">
        <f aca="false">IF(BB50="","",(CB50+CC50)/2)</f>
        <v/>
      </c>
      <c r="CE50" s="9" t="str">
        <f aca="false">IF(OR(T50="",P50="",CD50="",T50&lt;=0,CD50&lt;=0),"",(1/Inputs!$B$9)*((T50^2/8)*((2*ACOS(1-2*CD50/T50))-SIN((2*ACOS(1-2*CD50/T50)))))*((((T50^2/8)*((2*ACOS(1-2*CD50/T50))-SIN((2*ACOS(1-2*CD50/T50)))))/((T50/2)*((2*ACOS(1-2*CD50/T50)))))^(2/3))*SQRT(P50))</f>
        <v/>
      </c>
      <c r="CF50" s="9" t="str">
        <f aca="false">IF(BB50="","",IF(CE50&lt;BB50,CD50,CB50))</f>
        <v/>
      </c>
      <c r="CG50" s="9" t="str">
        <f aca="false">IF(BB50="","",IF(CE50&lt;BB50,CC50,CD50))</f>
        <v/>
      </c>
      <c r="CH50" s="9" t="str">
        <f aca="false">IF(BB50="","",(CF50+CG50)/2)</f>
        <v/>
      </c>
    </row>
    <row r="51" customFormat="false" ht="15" hidden="false" customHeight="false" outlineLevel="0" collapsed="false">
      <c r="A51" s="9"/>
      <c r="B51" s="9"/>
      <c r="C51" s="9"/>
      <c r="D51" s="9"/>
      <c r="E51" s="14"/>
      <c r="F51" s="14"/>
      <c r="G51" s="14" t="n">
        <f aca="false">SUMIFS(CB_plan!$C:$C,CB_plan!$B:$B,$A51)</f>
        <v>0</v>
      </c>
      <c r="H51" s="14" t="n">
        <f aca="false">IF(F51="",G51,F51)</f>
        <v>0</v>
      </c>
      <c r="I51" s="9"/>
      <c r="J51" s="14"/>
      <c r="K51" s="14" t="str">
        <f aca="false">IF(A51="","",Inputs!$B$13/((IF(AV51="",Inputs!$B$18,AV51)+Inputs!$B$14)^Inputs!$B$15))</f>
        <v/>
      </c>
      <c r="L51" s="14" t="str">
        <f aca="false">IF(A51="","",0.000000278*IF(I51="",Inputs!$B$17,I51)*H51*K51)</f>
        <v/>
      </c>
      <c r="M51" s="14" t="str">
        <f aca="false">IF(A51="","",SUMIFS($N$4:$N$203,$D$4:$D$203,$A51))</f>
        <v/>
      </c>
      <c r="N51" s="14" t="str">
        <f aca="false">IF(A51="","",(L51+M51)*Inputs!$B$16)</f>
        <v/>
      </c>
      <c r="O51" s="14"/>
      <c r="P51" s="14" t="str">
        <f aca="false">IF(A51="","",IF(O51="",Inputs!$B$7,O51))</f>
        <v/>
      </c>
      <c r="Q51" s="9" t="str">
        <f aca="false">IF(A51="","",IF(N51/Inputs!$B$10&lt;=AG51,Inputs!$F$5,IF(N51/Inputs!$B$10&gt;AP51,"OVERSIZE",INDEX(Inputs!$F$5:$F$14,MATCH(N51/Inputs!$B$10,AG51:AP51,1)+1))))</f>
        <v/>
      </c>
      <c r="R51" s="9"/>
      <c r="S51" s="9" t="str">
        <f aca="false">IF(A51="","",IF(R51="",Q51,R51))</f>
        <v/>
      </c>
      <c r="T51" s="14" t="str">
        <f aca="false">IF(OR(S51="",S51="OVERSIZE"),"",S51/1000)</f>
        <v/>
      </c>
      <c r="U51" s="14" t="str">
        <f aca="false">IF(T51="","",(1/Inputs!$B$9)*(PI()*T51^2/4)*((T51/4)^(2/3))*SQRT(P51))</f>
        <v/>
      </c>
      <c r="V51" s="14" t="str">
        <f aca="false">IF(OR(U51="",N51=""),"",N51/(U51*Inputs!$B$10))</f>
        <v/>
      </c>
      <c r="W51" s="14" t="str">
        <f aca="false">IF(OR(T51="",N51=""),"",4*N51/(PI()*T51^2))</f>
        <v/>
      </c>
      <c r="X51" s="14"/>
      <c r="Y51" s="14" t="str">
        <f aca="false">IF(A51="","",IF(A51=Inputs!$B$6,Inputs!$B$22,IF(D51="","",IFERROR(INDEX($Z$4:$Z$203,MATCH(D51,$A$4:$A$203,0))+IF(X51="",Inputs!$B$20,X51),""))))</f>
        <v/>
      </c>
      <c r="Z51" s="14" t="str">
        <f aca="false">IF(OR(Y51="",P51="",E51=""),"",Y51+P51*E51)</f>
        <v/>
      </c>
      <c r="AA51" s="14" t="str">
        <f aca="false">IF(C51="","",IFERROR(INDEX(Noeuds_plan!$C$4:$C$200,MATCH(C51,Noeuds_plan!$A$4:$A$200,0)),""))</f>
        <v/>
      </c>
      <c r="AB51" s="14" t="str">
        <f aca="false">IF(B51="","",IFERROR(INDEX(Noeuds_plan!$C$4:$C$200,MATCH(B51,Noeuds_plan!$A$4:$A$200,0)),""))</f>
        <v/>
      </c>
      <c r="AC51" s="14" t="str">
        <f aca="false">IF(OR(AA51="",Y51=""),"",AA51-Y51)</f>
        <v/>
      </c>
      <c r="AD51" s="14" t="str">
        <f aca="false">IF(OR(AB51="",Z51=""),"",AB51-Z51)</f>
        <v/>
      </c>
      <c r="AE51" s="19" t="str">
        <f aca="false">IF(A51="","",IF(OR(V51&gt;1,AND(AY51&lt;&gt;"",AY51&lt;Inputs!$B$11),AND(AY51&lt;&gt;"",AY51&gt;Inputs!$B$12),AC51&lt;Inputs!$B$19,AD51&lt;Inputs!$B$19,P51&lt;Inputs!$B$7,P51&gt;Inputs!$B$8),"CHECK","OK"))</f>
        <v/>
      </c>
      <c r="AF51" s="9"/>
      <c r="AG51" s="9" t="str">
        <f aca="false">IF(A51="","",(1/Inputs!$B$9)*(PI()*(Inputs!$F$5/1000)^2/4)*((Inputs!$F$5/1000/4)^(2/3))*SQRT(P51))</f>
        <v/>
      </c>
      <c r="AH51" s="9" t="str">
        <f aca="false">IF(A51="","",(1/Inputs!$B$9)*(PI()*(Inputs!$F$6/1000)^2/4)*((Inputs!$F$6/1000/4)^(2/3))*SQRT(P51))</f>
        <v/>
      </c>
      <c r="AI51" s="9" t="str">
        <f aca="false">IF(A51="","",(1/Inputs!$B$9)*(PI()*(Inputs!$F$7/1000)^2/4)*((Inputs!$F$7/1000/4)^(2/3))*SQRT(P51))</f>
        <v/>
      </c>
      <c r="AJ51" s="9" t="str">
        <f aca="false">IF(A51="","",(1/Inputs!$B$9)*(PI()*(Inputs!$F$8/1000)^2/4)*((Inputs!$F$8/1000/4)^(2/3))*SQRT(P51))</f>
        <v/>
      </c>
      <c r="AK51" s="9" t="str">
        <f aca="false">IF(A51="","",(1/Inputs!$B$9)*(PI()*(Inputs!$F$9/1000)^2/4)*((Inputs!$F$9/1000/4)^(2/3))*SQRT(P51))</f>
        <v/>
      </c>
      <c r="AL51" s="9" t="str">
        <f aca="false">IF(A51="","",(1/Inputs!$B$9)*(PI()*(Inputs!$F$10/1000)^2/4)*((Inputs!$F$10/1000/4)^(2/3))*SQRT(P51))</f>
        <v/>
      </c>
      <c r="AM51" s="9" t="str">
        <f aca="false">IF(A51="","",(1/Inputs!$B$9)*(PI()*(Inputs!$F$11/1000)^2/4)*((Inputs!$F$11/1000/4)^(2/3))*SQRT(P51))</f>
        <v/>
      </c>
      <c r="AN51" s="9" t="str">
        <f aca="false">IF(A51="","",(1/Inputs!$B$9)*(PI()*(Inputs!$F$12/1000)^2/4)*((Inputs!$F$12/1000/4)^(2/3))*SQRT(P51))</f>
        <v/>
      </c>
      <c r="AO51" s="9" t="str">
        <f aca="false">IF(A51="","",(1/Inputs!$B$9)*(PI()*(Inputs!$F$13/1000)^2/4)*((Inputs!$F$13/1000/4)^(2/3))*SQRT(P51))</f>
        <v/>
      </c>
      <c r="AP51" s="9" t="str">
        <f aca="false">IF(A51="","",(1/Inputs!$B$9)*(PI()*(Inputs!$F$14/1000)^2/4)*((Inputs!$F$14/1000/4)^(2/3))*SQRT(P51))</f>
        <v/>
      </c>
      <c r="AQ51" s="9" t="str">
        <f aca="false">IF(A51="","",COUNTIF($D$4:$D$203,$A51))</f>
        <v/>
      </c>
      <c r="AR51" s="9" t="str">
        <f aca="false">IF(A51="","",IF(AQ51=0,"START","CONTINUOUS"))</f>
        <v/>
      </c>
      <c r="AS51" s="13" t="str">
        <f aca="false">IF(A51="","",IF(J51="",Inputs!$B$18,J51))</f>
        <v/>
      </c>
      <c r="AT51" s="13" t="str">
        <f aca="false">IF(A51="","",IFERROR(maxifs($AV$4:$AV$203,$D$4:$D$203,$A51),""))</f>
        <v/>
      </c>
      <c r="AU51" s="13" t="str">
        <f aca="false">IF(A51="","",IF(OR(E51="",Inputs!$B$23=""),"",E51/(Inputs!$B$23*60)))</f>
        <v/>
      </c>
      <c r="AV51" s="13" t="str">
        <f aca="false">IF(A51="","",IF(AQ51=0,AS51+AU51,IF(AT51="",AS51+AU51,AT51+AU51)))</f>
        <v/>
      </c>
      <c r="AW51" s="13" t="str">
        <f aca="false">IF(A51="","",W51)</f>
        <v/>
      </c>
      <c r="AX51" s="13" t="str">
        <f aca="false">IF(OR(T51="",P51=""),"",(1/Inputs!$B$9)*((T51/4)^(2/3))*SQRT(P51))</f>
        <v/>
      </c>
      <c r="AY51" s="13" t="str">
        <f aca="false">IF(A51="","",IF(AND(AW51="",AX51="",BA51=""),"",IF(OR(UPPER(TRIM(Inputs!$B$24))="MANNING",UPPER(TRIM(Inputs!$B$24))="M"),AX51,IF(OR(UPPER(TRIM(Inputs!$B$24))="PARTIAL",UPPER(TRIM(Inputs!$B$24))="P"),BA51,IF(OR(UPPER(TRIM(Inputs!$B$24))="MAX",UPPER(TRIM(Inputs!$B$24))="X"),MAX(IF(AW51="",0,AW51),IF(AX51="",0,AX51),IF(BA51="",0,BA51)),AW51)))))</f>
        <v/>
      </c>
      <c r="AZ51" s="13" t="str">
        <f aca="false">IF(BB51="","",CH51)</f>
        <v/>
      </c>
      <c r="BA51" s="13" t="str">
        <f aca="false">IF(OR(BB51="",AZ51="",T51="",T51&lt;=0,AZ51&lt;=0),"",BB51/((T51^2/8)*(2*ACOS(1-2*AZ51/T51)-SIN(2*ACOS(1-2*AZ51/T51)))))</f>
        <v/>
      </c>
      <c r="BB51" s="9" t="str">
        <f aca="false">IF(OR(N51="",BC51=""),"",MIN(N51,BC51))</f>
        <v/>
      </c>
      <c r="BC51" s="9" t="str">
        <f aca="false">IF(OR(N51="",T51="",P51=""),"",IF(OR(T51="",P51="",(0.94*T51)="",T51&lt;=0,(0.94*T51)&lt;=0),"",(1/Inputs!$B$9)*((T51^2/8)*((2*ACOS(1-2*(0.94*T51)/T51))-SIN((2*ACOS(1-2*(0.94*T51)/T51)))))*((((T51^2/8)*((2*ACOS(1-2*(0.94*T51)/T51))-SIN((2*ACOS(1-2*(0.94*T51)/T51)))))/((T51/2)*((2*ACOS(1-2*(0.94*T51)/T51)))))^(2/3))*SQRT(P51)))</f>
        <v/>
      </c>
      <c r="BD51" s="9" t="str">
        <f aca="false">IF(BB51="","",0.001*T51)</f>
        <v/>
      </c>
      <c r="BE51" s="9" t="str">
        <f aca="false">IF(BB51="","",0.94*T51)</f>
        <v/>
      </c>
      <c r="BF51" s="9" t="str">
        <f aca="false">IF(BB51="","",(BD51+BE51)/2)</f>
        <v/>
      </c>
      <c r="BG51" s="9" t="str">
        <f aca="false">IF(OR(T51="",P51="",BF51="",T51&lt;=0,BF51&lt;=0),"",(1/Inputs!$B$9)*((T51^2/8)*((2*ACOS(1-2*BF51/T51))-SIN((2*ACOS(1-2*BF51/T51)))))*((((T51^2/8)*((2*ACOS(1-2*BF51/T51))-SIN((2*ACOS(1-2*BF51/T51)))))/((T51/2)*((2*ACOS(1-2*BF51/T51)))))^(2/3))*SQRT(P51))</f>
        <v/>
      </c>
      <c r="BH51" s="9" t="str">
        <f aca="false">IF(BB51="","",IF(BG51&lt;BB51,BF51,BD51))</f>
        <v/>
      </c>
      <c r="BI51" s="9" t="str">
        <f aca="false">IF(BB51="","",IF(BG51&lt;BB51,BE51,BF51))</f>
        <v/>
      </c>
      <c r="BJ51" s="9" t="str">
        <f aca="false">IF(BB51="","",(BH51+BI51)/2)</f>
        <v/>
      </c>
      <c r="BK51" s="9" t="str">
        <f aca="false">IF(OR(T51="",P51="",BJ51="",T51&lt;=0,BJ51&lt;=0),"",(1/Inputs!$B$9)*((T51^2/8)*((2*ACOS(1-2*BJ51/T51))-SIN((2*ACOS(1-2*BJ51/T51)))))*((((T51^2/8)*((2*ACOS(1-2*BJ51/T51))-SIN((2*ACOS(1-2*BJ51/T51)))))/((T51/2)*((2*ACOS(1-2*BJ51/T51)))))^(2/3))*SQRT(P51))</f>
        <v/>
      </c>
      <c r="BL51" s="9" t="str">
        <f aca="false">IF(BB51="","",IF(BK51&lt;BB51,BJ51,BH51))</f>
        <v/>
      </c>
      <c r="BM51" s="9" t="str">
        <f aca="false">IF(BB51="","",IF(BK51&lt;BB51,BI51,BJ51))</f>
        <v/>
      </c>
      <c r="BN51" s="9" t="str">
        <f aca="false">IF(BB51="","",(BL51+BM51)/2)</f>
        <v/>
      </c>
      <c r="BO51" s="9" t="str">
        <f aca="false">IF(OR(T51="",P51="",BN51="",T51&lt;=0,BN51&lt;=0),"",(1/Inputs!$B$9)*((T51^2/8)*((2*ACOS(1-2*BN51/T51))-SIN((2*ACOS(1-2*BN51/T51)))))*((((T51^2/8)*((2*ACOS(1-2*BN51/T51))-SIN((2*ACOS(1-2*BN51/T51)))))/((T51/2)*((2*ACOS(1-2*BN51/T51)))))^(2/3))*SQRT(P51))</f>
        <v/>
      </c>
      <c r="BP51" s="9" t="str">
        <f aca="false">IF(BB51="","",IF(BO51&lt;BB51,BN51,BL51))</f>
        <v/>
      </c>
      <c r="BQ51" s="9" t="str">
        <f aca="false">IF(BB51="","",IF(BO51&lt;BB51,BM51,BN51))</f>
        <v/>
      </c>
      <c r="BR51" s="9" t="str">
        <f aca="false">IF(BB51="","",(BP51+BQ51)/2)</f>
        <v/>
      </c>
      <c r="BS51" s="9" t="str">
        <f aca="false">IF(OR(T51="",P51="",BR51="",T51&lt;=0,BR51&lt;=0),"",(1/Inputs!$B$9)*((T51^2/8)*((2*ACOS(1-2*BR51/T51))-SIN((2*ACOS(1-2*BR51/T51)))))*((((T51^2/8)*((2*ACOS(1-2*BR51/T51))-SIN((2*ACOS(1-2*BR51/T51)))))/((T51/2)*((2*ACOS(1-2*BR51/T51)))))^(2/3))*SQRT(P51))</f>
        <v/>
      </c>
      <c r="BT51" s="9" t="str">
        <f aca="false">IF(BB51="","",IF(BS51&lt;BB51,BR51,BP51))</f>
        <v/>
      </c>
      <c r="BU51" s="9" t="str">
        <f aca="false">IF(BB51="","",IF(BS51&lt;BB51,BQ51,BR51))</f>
        <v/>
      </c>
      <c r="BV51" s="9" t="str">
        <f aca="false">IF(BB51="","",(BT51+BU51)/2)</f>
        <v/>
      </c>
      <c r="BW51" s="9" t="str">
        <f aca="false">IF(OR(T51="",P51="",BV51="",T51&lt;=0,BV51&lt;=0),"",(1/Inputs!$B$9)*((T51^2/8)*((2*ACOS(1-2*BV51/T51))-SIN((2*ACOS(1-2*BV51/T51)))))*((((T51^2/8)*((2*ACOS(1-2*BV51/T51))-SIN((2*ACOS(1-2*BV51/T51)))))/((T51/2)*((2*ACOS(1-2*BV51/T51)))))^(2/3))*SQRT(P51))</f>
        <v/>
      </c>
      <c r="BX51" s="9" t="str">
        <f aca="false">IF(BB51="","",IF(BW51&lt;BB51,BV51,BT51))</f>
        <v/>
      </c>
      <c r="BY51" s="9" t="str">
        <f aca="false">IF(BB51="","",IF(BW51&lt;BB51,BU51,BV51))</f>
        <v/>
      </c>
      <c r="BZ51" s="9" t="str">
        <f aca="false">IF(BB51="","",(BX51+BY51)/2)</f>
        <v/>
      </c>
      <c r="CA51" s="9" t="str">
        <f aca="false">IF(OR(T51="",P51="",BZ51="",T51&lt;=0,BZ51&lt;=0),"",(1/Inputs!$B$9)*((T51^2/8)*((2*ACOS(1-2*BZ51/T51))-SIN((2*ACOS(1-2*BZ51/T51)))))*((((T51^2/8)*((2*ACOS(1-2*BZ51/T51))-SIN((2*ACOS(1-2*BZ51/T51)))))/((T51/2)*((2*ACOS(1-2*BZ51/T51)))))^(2/3))*SQRT(P51))</f>
        <v/>
      </c>
      <c r="CB51" s="9" t="str">
        <f aca="false">IF(BB51="","",IF(CA51&lt;BB51,BZ51,BX51))</f>
        <v/>
      </c>
      <c r="CC51" s="9" t="str">
        <f aca="false">IF(BB51="","",IF(CA51&lt;BB51,BY51,BZ51))</f>
        <v/>
      </c>
      <c r="CD51" s="9" t="str">
        <f aca="false">IF(BB51="","",(CB51+CC51)/2)</f>
        <v/>
      </c>
      <c r="CE51" s="9" t="str">
        <f aca="false">IF(OR(T51="",P51="",CD51="",T51&lt;=0,CD51&lt;=0),"",(1/Inputs!$B$9)*((T51^2/8)*((2*ACOS(1-2*CD51/T51))-SIN((2*ACOS(1-2*CD51/T51)))))*((((T51^2/8)*((2*ACOS(1-2*CD51/T51))-SIN((2*ACOS(1-2*CD51/T51)))))/((T51/2)*((2*ACOS(1-2*CD51/T51)))))^(2/3))*SQRT(P51))</f>
        <v/>
      </c>
      <c r="CF51" s="9" t="str">
        <f aca="false">IF(BB51="","",IF(CE51&lt;BB51,CD51,CB51))</f>
        <v/>
      </c>
      <c r="CG51" s="9" t="str">
        <f aca="false">IF(BB51="","",IF(CE51&lt;BB51,CC51,CD51))</f>
        <v/>
      </c>
      <c r="CH51" s="9" t="str">
        <f aca="false">IF(BB51="","",(CF51+CG51)/2)</f>
        <v/>
      </c>
    </row>
    <row r="52" customFormat="false" ht="15" hidden="false" customHeight="false" outlineLevel="0" collapsed="false">
      <c r="A52" s="9"/>
      <c r="B52" s="9"/>
      <c r="C52" s="9"/>
      <c r="D52" s="9"/>
      <c r="E52" s="14"/>
      <c r="F52" s="14"/>
      <c r="G52" s="14" t="n">
        <f aca="false">SUMIFS(CB_plan!$C:$C,CB_plan!$B:$B,$A52)</f>
        <v>0</v>
      </c>
      <c r="H52" s="14" t="n">
        <f aca="false">IF(F52="",G52,F52)</f>
        <v>0</v>
      </c>
      <c r="I52" s="9"/>
      <c r="J52" s="14"/>
      <c r="K52" s="14" t="str">
        <f aca="false">IF(A52="","",Inputs!$B$13/((IF(AV52="",Inputs!$B$18,AV52)+Inputs!$B$14)^Inputs!$B$15))</f>
        <v/>
      </c>
      <c r="L52" s="14" t="str">
        <f aca="false">IF(A52="","",0.000000278*IF(I52="",Inputs!$B$17,I52)*H52*K52)</f>
        <v/>
      </c>
      <c r="M52" s="14" t="str">
        <f aca="false">IF(A52="","",SUMIFS($N$4:$N$203,$D$4:$D$203,$A52))</f>
        <v/>
      </c>
      <c r="N52" s="14" t="str">
        <f aca="false">IF(A52="","",(L52+M52)*Inputs!$B$16)</f>
        <v/>
      </c>
      <c r="O52" s="14"/>
      <c r="P52" s="14" t="str">
        <f aca="false">IF(A52="","",IF(O52="",Inputs!$B$7,O52))</f>
        <v/>
      </c>
      <c r="Q52" s="9" t="str">
        <f aca="false">IF(A52="","",IF(N52/Inputs!$B$10&lt;=AG52,Inputs!$F$5,IF(N52/Inputs!$B$10&gt;AP52,"OVERSIZE",INDEX(Inputs!$F$5:$F$14,MATCH(N52/Inputs!$B$10,AG52:AP52,1)+1))))</f>
        <v/>
      </c>
      <c r="R52" s="9"/>
      <c r="S52" s="9" t="str">
        <f aca="false">IF(A52="","",IF(R52="",Q52,R52))</f>
        <v/>
      </c>
      <c r="T52" s="14" t="str">
        <f aca="false">IF(OR(S52="",S52="OVERSIZE"),"",S52/1000)</f>
        <v/>
      </c>
      <c r="U52" s="14" t="str">
        <f aca="false">IF(T52="","",(1/Inputs!$B$9)*(PI()*T52^2/4)*((T52/4)^(2/3))*SQRT(P52))</f>
        <v/>
      </c>
      <c r="V52" s="14" t="str">
        <f aca="false">IF(OR(U52="",N52=""),"",N52/(U52*Inputs!$B$10))</f>
        <v/>
      </c>
      <c r="W52" s="14" t="str">
        <f aca="false">IF(OR(T52="",N52=""),"",4*N52/(PI()*T52^2))</f>
        <v/>
      </c>
      <c r="X52" s="14"/>
      <c r="Y52" s="14" t="str">
        <f aca="false">IF(A52="","",IF(A52=Inputs!$B$6,Inputs!$B$22,IF(D52="","",IFERROR(INDEX($Z$4:$Z$203,MATCH(D52,$A$4:$A$203,0))+IF(X52="",Inputs!$B$20,X52),""))))</f>
        <v/>
      </c>
      <c r="Z52" s="14" t="str">
        <f aca="false">IF(OR(Y52="",P52="",E52=""),"",Y52+P52*E52)</f>
        <v/>
      </c>
      <c r="AA52" s="14" t="str">
        <f aca="false">IF(C52="","",IFERROR(INDEX(Noeuds_plan!$C$4:$C$200,MATCH(C52,Noeuds_plan!$A$4:$A$200,0)),""))</f>
        <v/>
      </c>
      <c r="AB52" s="14" t="str">
        <f aca="false">IF(B52="","",IFERROR(INDEX(Noeuds_plan!$C$4:$C$200,MATCH(B52,Noeuds_plan!$A$4:$A$200,0)),""))</f>
        <v/>
      </c>
      <c r="AC52" s="14" t="str">
        <f aca="false">IF(OR(AA52="",Y52=""),"",AA52-Y52)</f>
        <v/>
      </c>
      <c r="AD52" s="14" t="str">
        <f aca="false">IF(OR(AB52="",Z52=""),"",AB52-Z52)</f>
        <v/>
      </c>
      <c r="AE52" s="19" t="str">
        <f aca="false">IF(A52="","",IF(OR(V52&gt;1,AND(AY52&lt;&gt;"",AY52&lt;Inputs!$B$11),AND(AY52&lt;&gt;"",AY52&gt;Inputs!$B$12),AC52&lt;Inputs!$B$19,AD52&lt;Inputs!$B$19,P52&lt;Inputs!$B$7,P52&gt;Inputs!$B$8),"CHECK","OK"))</f>
        <v/>
      </c>
      <c r="AF52" s="9"/>
      <c r="AG52" s="9" t="str">
        <f aca="false">IF(A52="","",(1/Inputs!$B$9)*(PI()*(Inputs!$F$5/1000)^2/4)*((Inputs!$F$5/1000/4)^(2/3))*SQRT(P52))</f>
        <v/>
      </c>
      <c r="AH52" s="9" t="str">
        <f aca="false">IF(A52="","",(1/Inputs!$B$9)*(PI()*(Inputs!$F$6/1000)^2/4)*((Inputs!$F$6/1000/4)^(2/3))*SQRT(P52))</f>
        <v/>
      </c>
      <c r="AI52" s="9" t="str">
        <f aca="false">IF(A52="","",(1/Inputs!$B$9)*(PI()*(Inputs!$F$7/1000)^2/4)*((Inputs!$F$7/1000/4)^(2/3))*SQRT(P52))</f>
        <v/>
      </c>
      <c r="AJ52" s="9" t="str">
        <f aca="false">IF(A52="","",(1/Inputs!$B$9)*(PI()*(Inputs!$F$8/1000)^2/4)*((Inputs!$F$8/1000/4)^(2/3))*SQRT(P52))</f>
        <v/>
      </c>
      <c r="AK52" s="9" t="str">
        <f aca="false">IF(A52="","",(1/Inputs!$B$9)*(PI()*(Inputs!$F$9/1000)^2/4)*((Inputs!$F$9/1000/4)^(2/3))*SQRT(P52))</f>
        <v/>
      </c>
      <c r="AL52" s="9" t="str">
        <f aca="false">IF(A52="","",(1/Inputs!$B$9)*(PI()*(Inputs!$F$10/1000)^2/4)*((Inputs!$F$10/1000/4)^(2/3))*SQRT(P52))</f>
        <v/>
      </c>
      <c r="AM52" s="9" t="str">
        <f aca="false">IF(A52="","",(1/Inputs!$B$9)*(PI()*(Inputs!$F$11/1000)^2/4)*((Inputs!$F$11/1000/4)^(2/3))*SQRT(P52))</f>
        <v/>
      </c>
      <c r="AN52" s="9" t="str">
        <f aca="false">IF(A52="","",(1/Inputs!$B$9)*(PI()*(Inputs!$F$12/1000)^2/4)*((Inputs!$F$12/1000/4)^(2/3))*SQRT(P52))</f>
        <v/>
      </c>
      <c r="AO52" s="9" t="str">
        <f aca="false">IF(A52="","",(1/Inputs!$B$9)*(PI()*(Inputs!$F$13/1000)^2/4)*((Inputs!$F$13/1000/4)^(2/3))*SQRT(P52))</f>
        <v/>
      </c>
      <c r="AP52" s="9" t="str">
        <f aca="false">IF(A52="","",(1/Inputs!$B$9)*(PI()*(Inputs!$F$14/1000)^2/4)*((Inputs!$F$14/1000/4)^(2/3))*SQRT(P52))</f>
        <v/>
      </c>
      <c r="AQ52" s="9" t="str">
        <f aca="false">IF(A52="","",COUNTIF($D$4:$D$203,$A52))</f>
        <v/>
      </c>
      <c r="AR52" s="9" t="str">
        <f aca="false">IF(A52="","",IF(AQ52=0,"START","CONTINUOUS"))</f>
        <v/>
      </c>
      <c r="AS52" s="13" t="str">
        <f aca="false">IF(A52="","",IF(J52="",Inputs!$B$18,J52))</f>
        <v/>
      </c>
      <c r="AT52" s="13" t="str">
        <f aca="false">IF(A52="","",IFERROR(maxifs($AV$4:$AV$203,$D$4:$D$203,$A52),""))</f>
        <v/>
      </c>
      <c r="AU52" s="13" t="str">
        <f aca="false">IF(A52="","",IF(OR(E52="",Inputs!$B$23=""),"",E52/(Inputs!$B$23*60)))</f>
        <v/>
      </c>
      <c r="AV52" s="13" t="str">
        <f aca="false">IF(A52="","",IF(AQ52=0,AS52+AU52,IF(AT52="",AS52+AU52,AT52+AU52)))</f>
        <v/>
      </c>
      <c r="AW52" s="13" t="str">
        <f aca="false">IF(A52="","",W52)</f>
        <v/>
      </c>
      <c r="AX52" s="13" t="str">
        <f aca="false">IF(OR(T52="",P52=""),"",(1/Inputs!$B$9)*((T52/4)^(2/3))*SQRT(P52))</f>
        <v/>
      </c>
      <c r="AY52" s="13" t="str">
        <f aca="false">IF(A52="","",IF(AND(AW52="",AX52="",BA52=""),"",IF(OR(UPPER(TRIM(Inputs!$B$24))="MANNING",UPPER(TRIM(Inputs!$B$24))="M"),AX52,IF(OR(UPPER(TRIM(Inputs!$B$24))="PARTIAL",UPPER(TRIM(Inputs!$B$24))="P"),BA52,IF(OR(UPPER(TRIM(Inputs!$B$24))="MAX",UPPER(TRIM(Inputs!$B$24))="X"),MAX(IF(AW52="",0,AW52),IF(AX52="",0,AX52),IF(BA52="",0,BA52)),AW52)))))</f>
        <v/>
      </c>
      <c r="AZ52" s="13" t="str">
        <f aca="false">IF(BB52="","",CH52)</f>
        <v/>
      </c>
      <c r="BA52" s="13" t="str">
        <f aca="false">IF(OR(BB52="",AZ52="",T52="",T52&lt;=0,AZ52&lt;=0),"",BB52/((T52^2/8)*(2*ACOS(1-2*AZ52/T52)-SIN(2*ACOS(1-2*AZ52/T52)))))</f>
        <v/>
      </c>
      <c r="BB52" s="9" t="str">
        <f aca="false">IF(OR(N52="",BC52=""),"",MIN(N52,BC52))</f>
        <v/>
      </c>
      <c r="BC52" s="9" t="str">
        <f aca="false">IF(OR(N52="",T52="",P52=""),"",IF(OR(T52="",P52="",(0.94*T52)="",T52&lt;=0,(0.94*T52)&lt;=0),"",(1/Inputs!$B$9)*((T52^2/8)*((2*ACOS(1-2*(0.94*T52)/T52))-SIN((2*ACOS(1-2*(0.94*T52)/T52)))))*((((T52^2/8)*((2*ACOS(1-2*(0.94*T52)/T52))-SIN((2*ACOS(1-2*(0.94*T52)/T52)))))/((T52/2)*((2*ACOS(1-2*(0.94*T52)/T52)))))^(2/3))*SQRT(P52)))</f>
        <v/>
      </c>
      <c r="BD52" s="9" t="str">
        <f aca="false">IF(BB52="","",0.001*T52)</f>
        <v/>
      </c>
      <c r="BE52" s="9" t="str">
        <f aca="false">IF(BB52="","",0.94*T52)</f>
        <v/>
      </c>
      <c r="BF52" s="9" t="str">
        <f aca="false">IF(BB52="","",(BD52+BE52)/2)</f>
        <v/>
      </c>
      <c r="BG52" s="9" t="str">
        <f aca="false">IF(OR(T52="",P52="",BF52="",T52&lt;=0,BF52&lt;=0),"",(1/Inputs!$B$9)*((T52^2/8)*((2*ACOS(1-2*BF52/T52))-SIN((2*ACOS(1-2*BF52/T52)))))*((((T52^2/8)*((2*ACOS(1-2*BF52/T52))-SIN((2*ACOS(1-2*BF52/T52)))))/((T52/2)*((2*ACOS(1-2*BF52/T52)))))^(2/3))*SQRT(P52))</f>
        <v/>
      </c>
      <c r="BH52" s="9" t="str">
        <f aca="false">IF(BB52="","",IF(BG52&lt;BB52,BF52,BD52))</f>
        <v/>
      </c>
      <c r="BI52" s="9" t="str">
        <f aca="false">IF(BB52="","",IF(BG52&lt;BB52,BE52,BF52))</f>
        <v/>
      </c>
      <c r="BJ52" s="9" t="str">
        <f aca="false">IF(BB52="","",(BH52+BI52)/2)</f>
        <v/>
      </c>
      <c r="BK52" s="9" t="str">
        <f aca="false">IF(OR(T52="",P52="",BJ52="",T52&lt;=0,BJ52&lt;=0),"",(1/Inputs!$B$9)*((T52^2/8)*((2*ACOS(1-2*BJ52/T52))-SIN((2*ACOS(1-2*BJ52/T52)))))*((((T52^2/8)*((2*ACOS(1-2*BJ52/T52))-SIN((2*ACOS(1-2*BJ52/T52)))))/((T52/2)*((2*ACOS(1-2*BJ52/T52)))))^(2/3))*SQRT(P52))</f>
        <v/>
      </c>
      <c r="BL52" s="9" t="str">
        <f aca="false">IF(BB52="","",IF(BK52&lt;BB52,BJ52,BH52))</f>
        <v/>
      </c>
      <c r="BM52" s="9" t="str">
        <f aca="false">IF(BB52="","",IF(BK52&lt;BB52,BI52,BJ52))</f>
        <v/>
      </c>
      <c r="BN52" s="9" t="str">
        <f aca="false">IF(BB52="","",(BL52+BM52)/2)</f>
        <v/>
      </c>
      <c r="BO52" s="9" t="str">
        <f aca="false">IF(OR(T52="",P52="",BN52="",T52&lt;=0,BN52&lt;=0),"",(1/Inputs!$B$9)*((T52^2/8)*((2*ACOS(1-2*BN52/T52))-SIN((2*ACOS(1-2*BN52/T52)))))*((((T52^2/8)*((2*ACOS(1-2*BN52/T52))-SIN((2*ACOS(1-2*BN52/T52)))))/((T52/2)*((2*ACOS(1-2*BN52/T52)))))^(2/3))*SQRT(P52))</f>
        <v/>
      </c>
      <c r="BP52" s="9" t="str">
        <f aca="false">IF(BB52="","",IF(BO52&lt;BB52,BN52,BL52))</f>
        <v/>
      </c>
      <c r="BQ52" s="9" t="str">
        <f aca="false">IF(BB52="","",IF(BO52&lt;BB52,BM52,BN52))</f>
        <v/>
      </c>
      <c r="BR52" s="9" t="str">
        <f aca="false">IF(BB52="","",(BP52+BQ52)/2)</f>
        <v/>
      </c>
      <c r="BS52" s="9" t="str">
        <f aca="false">IF(OR(T52="",P52="",BR52="",T52&lt;=0,BR52&lt;=0),"",(1/Inputs!$B$9)*((T52^2/8)*((2*ACOS(1-2*BR52/T52))-SIN((2*ACOS(1-2*BR52/T52)))))*((((T52^2/8)*((2*ACOS(1-2*BR52/T52))-SIN((2*ACOS(1-2*BR52/T52)))))/((T52/2)*((2*ACOS(1-2*BR52/T52)))))^(2/3))*SQRT(P52))</f>
        <v/>
      </c>
      <c r="BT52" s="9" t="str">
        <f aca="false">IF(BB52="","",IF(BS52&lt;BB52,BR52,BP52))</f>
        <v/>
      </c>
      <c r="BU52" s="9" t="str">
        <f aca="false">IF(BB52="","",IF(BS52&lt;BB52,BQ52,BR52))</f>
        <v/>
      </c>
      <c r="BV52" s="9" t="str">
        <f aca="false">IF(BB52="","",(BT52+BU52)/2)</f>
        <v/>
      </c>
      <c r="BW52" s="9" t="str">
        <f aca="false">IF(OR(T52="",P52="",BV52="",T52&lt;=0,BV52&lt;=0),"",(1/Inputs!$B$9)*((T52^2/8)*((2*ACOS(1-2*BV52/T52))-SIN((2*ACOS(1-2*BV52/T52)))))*((((T52^2/8)*((2*ACOS(1-2*BV52/T52))-SIN((2*ACOS(1-2*BV52/T52)))))/((T52/2)*((2*ACOS(1-2*BV52/T52)))))^(2/3))*SQRT(P52))</f>
        <v/>
      </c>
      <c r="BX52" s="9" t="str">
        <f aca="false">IF(BB52="","",IF(BW52&lt;BB52,BV52,BT52))</f>
        <v/>
      </c>
      <c r="BY52" s="9" t="str">
        <f aca="false">IF(BB52="","",IF(BW52&lt;BB52,BU52,BV52))</f>
        <v/>
      </c>
      <c r="BZ52" s="9" t="str">
        <f aca="false">IF(BB52="","",(BX52+BY52)/2)</f>
        <v/>
      </c>
      <c r="CA52" s="9" t="str">
        <f aca="false">IF(OR(T52="",P52="",BZ52="",T52&lt;=0,BZ52&lt;=0),"",(1/Inputs!$B$9)*((T52^2/8)*((2*ACOS(1-2*BZ52/T52))-SIN((2*ACOS(1-2*BZ52/T52)))))*((((T52^2/8)*((2*ACOS(1-2*BZ52/T52))-SIN((2*ACOS(1-2*BZ52/T52)))))/((T52/2)*((2*ACOS(1-2*BZ52/T52)))))^(2/3))*SQRT(P52))</f>
        <v/>
      </c>
      <c r="CB52" s="9" t="str">
        <f aca="false">IF(BB52="","",IF(CA52&lt;BB52,BZ52,BX52))</f>
        <v/>
      </c>
      <c r="CC52" s="9" t="str">
        <f aca="false">IF(BB52="","",IF(CA52&lt;BB52,BY52,BZ52))</f>
        <v/>
      </c>
      <c r="CD52" s="9" t="str">
        <f aca="false">IF(BB52="","",(CB52+CC52)/2)</f>
        <v/>
      </c>
      <c r="CE52" s="9" t="str">
        <f aca="false">IF(OR(T52="",P52="",CD52="",T52&lt;=0,CD52&lt;=0),"",(1/Inputs!$B$9)*((T52^2/8)*((2*ACOS(1-2*CD52/T52))-SIN((2*ACOS(1-2*CD52/T52)))))*((((T52^2/8)*((2*ACOS(1-2*CD52/T52))-SIN((2*ACOS(1-2*CD52/T52)))))/((T52/2)*((2*ACOS(1-2*CD52/T52)))))^(2/3))*SQRT(P52))</f>
        <v/>
      </c>
      <c r="CF52" s="9" t="str">
        <f aca="false">IF(BB52="","",IF(CE52&lt;BB52,CD52,CB52))</f>
        <v/>
      </c>
      <c r="CG52" s="9" t="str">
        <f aca="false">IF(BB52="","",IF(CE52&lt;BB52,CC52,CD52))</f>
        <v/>
      </c>
      <c r="CH52" s="9" t="str">
        <f aca="false">IF(BB52="","",(CF52+CG52)/2)</f>
        <v/>
      </c>
    </row>
    <row r="53" customFormat="false" ht="15" hidden="false" customHeight="false" outlineLevel="0" collapsed="false">
      <c r="A53" s="9"/>
      <c r="B53" s="9"/>
      <c r="C53" s="9"/>
      <c r="D53" s="9"/>
      <c r="E53" s="14"/>
      <c r="F53" s="14"/>
      <c r="G53" s="14" t="n">
        <f aca="false">SUMIFS(CB_plan!$C:$C,CB_plan!$B:$B,$A53)</f>
        <v>0</v>
      </c>
      <c r="H53" s="14" t="n">
        <f aca="false">IF(F53="",G53,F53)</f>
        <v>0</v>
      </c>
      <c r="I53" s="9"/>
      <c r="J53" s="14"/>
      <c r="K53" s="14" t="str">
        <f aca="false">IF(A53="","",Inputs!$B$13/((IF(AV53="",Inputs!$B$18,AV53)+Inputs!$B$14)^Inputs!$B$15))</f>
        <v/>
      </c>
      <c r="L53" s="14" t="str">
        <f aca="false">IF(A53="","",0.000000278*IF(I53="",Inputs!$B$17,I53)*H53*K53)</f>
        <v/>
      </c>
      <c r="M53" s="14" t="str">
        <f aca="false">IF(A53="","",SUMIFS($N$4:$N$203,$D$4:$D$203,$A53))</f>
        <v/>
      </c>
      <c r="N53" s="14" t="str">
        <f aca="false">IF(A53="","",(L53+M53)*Inputs!$B$16)</f>
        <v/>
      </c>
      <c r="O53" s="14"/>
      <c r="P53" s="14" t="str">
        <f aca="false">IF(A53="","",IF(O53="",Inputs!$B$7,O53))</f>
        <v/>
      </c>
      <c r="Q53" s="9" t="str">
        <f aca="false">IF(A53="","",IF(N53/Inputs!$B$10&lt;=AG53,Inputs!$F$5,IF(N53/Inputs!$B$10&gt;AP53,"OVERSIZE",INDEX(Inputs!$F$5:$F$14,MATCH(N53/Inputs!$B$10,AG53:AP53,1)+1))))</f>
        <v/>
      </c>
      <c r="R53" s="9"/>
      <c r="S53" s="9" t="str">
        <f aca="false">IF(A53="","",IF(R53="",Q53,R53))</f>
        <v/>
      </c>
      <c r="T53" s="14" t="str">
        <f aca="false">IF(OR(S53="",S53="OVERSIZE"),"",S53/1000)</f>
        <v/>
      </c>
      <c r="U53" s="14" t="str">
        <f aca="false">IF(T53="","",(1/Inputs!$B$9)*(PI()*T53^2/4)*((T53/4)^(2/3))*SQRT(P53))</f>
        <v/>
      </c>
      <c r="V53" s="14" t="str">
        <f aca="false">IF(OR(U53="",N53=""),"",N53/(U53*Inputs!$B$10))</f>
        <v/>
      </c>
      <c r="W53" s="14" t="str">
        <f aca="false">IF(OR(T53="",N53=""),"",4*N53/(PI()*T53^2))</f>
        <v/>
      </c>
      <c r="X53" s="14"/>
      <c r="Y53" s="14" t="str">
        <f aca="false">IF(A53="","",IF(A53=Inputs!$B$6,Inputs!$B$22,IF(D53="","",IFERROR(INDEX($Z$4:$Z$203,MATCH(D53,$A$4:$A$203,0))+IF(X53="",Inputs!$B$20,X53),""))))</f>
        <v/>
      </c>
      <c r="Z53" s="14" t="str">
        <f aca="false">IF(OR(Y53="",P53="",E53=""),"",Y53+P53*E53)</f>
        <v/>
      </c>
      <c r="AA53" s="14" t="str">
        <f aca="false">IF(C53="","",IFERROR(INDEX(Noeuds_plan!$C$4:$C$200,MATCH(C53,Noeuds_plan!$A$4:$A$200,0)),""))</f>
        <v/>
      </c>
      <c r="AB53" s="14" t="str">
        <f aca="false">IF(B53="","",IFERROR(INDEX(Noeuds_plan!$C$4:$C$200,MATCH(B53,Noeuds_plan!$A$4:$A$200,0)),""))</f>
        <v/>
      </c>
      <c r="AC53" s="14" t="str">
        <f aca="false">IF(OR(AA53="",Y53=""),"",AA53-Y53)</f>
        <v/>
      </c>
      <c r="AD53" s="14" t="str">
        <f aca="false">IF(OR(AB53="",Z53=""),"",AB53-Z53)</f>
        <v/>
      </c>
      <c r="AE53" s="19" t="str">
        <f aca="false">IF(A53="","",IF(OR(V53&gt;1,AND(AY53&lt;&gt;"",AY53&lt;Inputs!$B$11),AND(AY53&lt;&gt;"",AY53&gt;Inputs!$B$12),AC53&lt;Inputs!$B$19,AD53&lt;Inputs!$B$19,P53&lt;Inputs!$B$7,P53&gt;Inputs!$B$8),"CHECK","OK"))</f>
        <v/>
      </c>
      <c r="AF53" s="9"/>
      <c r="AG53" s="9" t="str">
        <f aca="false">IF(A53="","",(1/Inputs!$B$9)*(PI()*(Inputs!$F$5/1000)^2/4)*((Inputs!$F$5/1000/4)^(2/3))*SQRT(P53))</f>
        <v/>
      </c>
      <c r="AH53" s="9" t="str">
        <f aca="false">IF(A53="","",(1/Inputs!$B$9)*(PI()*(Inputs!$F$6/1000)^2/4)*((Inputs!$F$6/1000/4)^(2/3))*SQRT(P53))</f>
        <v/>
      </c>
      <c r="AI53" s="9" t="str">
        <f aca="false">IF(A53="","",(1/Inputs!$B$9)*(PI()*(Inputs!$F$7/1000)^2/4)*((Inputs!$F$7/1000/4)^(2/3))*SQRT(P53))</f>
        <v/>
      </c>
      <c r="AJ53" s="9" t="str">
        <f aca="false">IF(A53="","",(1/Inputs!$B$9)*(PI()*(Inputs!$F$8/1000)^2/4)*((Inputs!$F$8/1000/4)^(2/3))*SQRT(P53))</f>
        <v/>
      </c>
      <c r="AK53" s="9" t="str">
        <f aca="false">IF(A53="","",(1/Inputs!$B$9)*(PI()*(Inputs!$F$9/1000)^2/4)*((Inputs!$F$9/1000/4)^(2/3))*SQRT(P53))</f>
        <v/>
      </c>
      <c r="AL53" s="9" t="str">
        <f aca="false">IF(A53="","",(1/Inputs!$B$9)*(PI()*(Inputs!$F$10/1000)^2/4)*((Inputs!$F$10/1000/4)^(2/3))*SQRT(P53))</f>
        <v/>
      </c>
      <c r="AM53" s="9" t="str">
        <f aca="false">IF(A53="","",(1/Inputs!$B$9)*(PI()*(Inputs!$F$11/1000)^2/4)*((Inputs!$F$11/1000/4)^(2/3))*SQRT(P53))</f>
        <v/>
      </c>
      <c r="AN53" s="9" t="str">
        <f aca="false">IF(A53="","",(1/Inputs!$B$9)*(PI()*(Inputs!$F$12/1000)^2/4)*((Inputs!$F$12/1000/4)^(2/3))*SQRT(P53))</f>
        <v/>
      </c>
      <c r="AO53" s="9" t="str">
        <f aca="false">IF(A53="","",(1/Inputs!$B$9)*(PI()*(Inputs!$F$13/1000)^2/4)*((Inputs!$F$13/1000/4)^(2/3))*SQRT(P53))</f>
        <v/>
      </c>
      <c r="AP53" s="9" t="str">
        <f aca="false">IF(A53="","",(1/Inputs!$B$9)*(PI()*(Inputs!$F$14/1000)^2/4)*((Inputs!$F$14/1000/4)^(2/3))*SQRT(P53))</f>
        <v/>
      </c>
      <c r="AQ53" s="9" t="str">
        <f aca="false">IF(A53="","",COUNTIF($D$4:$D$203,$A53))</f>
        <v/>
      </c>
      <c r="AR53" s="9" t="str">
        <f aca="false">IF(A53="","",IF(AQ53=0,"START","CONTINUOUS"))</f>
        <v/>
      </c>
      <c r="AS53" s="13" t="str">
        <f aca="false">IF(A53="","",IF(J53="",Inputs!$B$18,J53))</f>
        <v/>
      </c>
      <c r="AT53" s="13" t="str">
        <f aca="false">IF(A53="","",IFERROR(maxifs($AV$4:$AV$203,$D$4:$D$203,$A53),""))</f>
        <v/>
      </c>
      <c r="AU53" s="13" t="str">
        <f aca="false">IF(A53="","",IF(OR(E53="",Inputs!$B$23=""),"",E53/(Inputs!$B$23*60)))</f>
        <v/>
      </c>
      <c r="AV53" s="13" t="str">
        <f aca="false">IF(A53="","",IF(AQ53=0,AS53+AU53,IF(AT53="",AS53+AU53,AT53+AU53)))</f>
        <v/>
      </c>
      <c r="AW53" s="13" t="str">
        <f aca="false">IF(A53="","",W53)</f>
        <v/>
      </c>
      <c r="AX53" s="13" t="str">
        <f aca="false">IF(OR(T53="",P53=""),"",(1/Inputs!$B$9)*((T53/4)^(2/3))*SQRT(P53))</f>
        <v/>
      </c>
      <c r="AY53" s="13" t="str">
        <f aca="false">IF(A53="","",IF(AND(AW53="",AX53="",BA53=""),"",IF(OR(UPPER(TRIM(Inputs!$B$24))="MANNING",UPPER(TRIM(Inputs!$B$24))="M"),AX53,IF(OR(UPPER(TRIM(Inputs!$B$24))="PARTIAL",UPPER(TRIM(Inputs!$B$24))="P"),BA53,IF(OR(UPPER(TRIM(Inputs!$B$24))="MAX",UPPER(TRIM(Inputs!$B$24))="X"),MAX(IF(AW53="",0,AW53),IF(AX53="",0,AX53),IF(BA53="",0,BA53)),AW53)))))</f>
        <v/>
      </c>
      <c r="AZ53" s="13" t="str">
        <f aca="false">IF(BB53="","",CH53)</f>
        <v/>
      </c>
      <c r="BA53" s="13" t="str">
        <f aca="false">IF(OR(BB53="",AZ53="",T53="",T53&lt;=0,AZ53&lt;=0),"",BB53/((T53^2/8)*(2*ACOS(1-2*AZ53/T53)-SIN(2*ACOS(1-2*AZ53/T53)))))</f>
        <v/>
      </c>
      <c r="BB53" s="9" t="str">
        <f aca="false">IF(OR(N53="",BC53=""),"",MIN(N53,BC53))</f>
        <v/>
      </c>
      <c r="BC53" s="9" t="str">
        <f aca="false">IF(OR(N53="",T53="",P53=""),"",IF(OR(T53="",P53="",(0.94*T53)="",T53&lt;=0,(0.94*T53)&lt;=0),"",(1/Inputs!$B$9)*((T53^2/8)*((2*ACOS(1-2*(0.94*T53)/T53))-SIN((2*ACOS(1-2*(0.94*T53)/T53)))))*((((T53^2/8)*((2*ACOS(1-2*(0.94*T53)/T53))-SIN((2*ACOS(1-2*(0.94*T53)/T53)))))/((T53/2)*((2*ACOS(1-2*(0.94*T53)/T53)))))^(2/3))*SQRT(P53)))</f>
        <v/>
      </c>
      <c r="BD53" s="9" t="str">
        <f aca="false">IF(BB53="","",0.001*T53)</f>
        <v/>
      </c>
      <c r="BE53" s="9" t="str">
        <f aca="false">IF(BB53="","",0.94*T53)</f>
        <v/>
      </c>
      <c r="BF53" s="9" t="str">
        <f aca="false">IF(BB53="","",(BD53+BE53)/2)</f>
        <v/>
      </c>
      <c r="BG53" s="9" t="str">
        <f aca="false">IF(OR(T53="",P53="",BF53="",T53&lt;=0,BF53&lt;=0),"",(1/Inputs!$B$9)*((T53^2/8)*((2*ACOS(1-2*BF53/T53))-SIN((2*ACOS(1-2*BF53/T53)))))*((((T53^2/8)*((2*ACOS(1-2*BF53/T53))-SIN((2*ACOS(1-2*BF53/T53)))))/((T53/2)*((2*ACOS(1-2*BF53/T53)))))^(2/3))*SQRT(P53))</f>
        <v/>
      </c>
      <c r="BH53" s="9" t="str">
        <f aca="false">IF(BB53="","",IF(BG53&lt;BB53,BF53,BD53))</f>
        <v/>
      </c>
      <c r="BI53" s="9" t="str">
        <f aca="false">IF(BB53="","",IF(BG53&lt;BB53,BE53,BF53))</f>
        <v/>
      </c>
      <c r="BJ53" s="9" t="str">
        <f aca="false">IF(BB53="","",(BH53+BI53)/2)</f>
        <v/>
      </c>
      <c r="BK53" s="9" t="str">
        <f aca="false">IF(OR(T53="",P53="",BJ53="",T53&lt;=0,BJ53&lt;=0),"",(1/Inputs!$B$9)*((T53^2/8)*((2*ACOS(1-2*BJ53/T53))-SIN((2*ACOS(1-2*BJ53/T53)))))*((((T53^2/8)*((2*ACOS(1-2*BJ53/T53))-SIN((2*ACOS(1-2*BJ53/T53)))))/((T53/2)*((2*ACOS(1-2*BJ53/T53)))))^(2/3))*SQRT(P53))</f>
        <v/>
      </c>
      <c r="BL53" s="9" t="str">
        <f aca="false">IF(BB53="","",IF(BK53&lt;BB53,BJ53,BH53))</f>
        <v/>
      </c>
      <c r="BM53" s="9" t="str">
        <f aca="false">IF(BB53="","",IF(BK53&lt;BB53,BI53,BJ53))</f>
        <v/>
      </c>
      <c r="BN53" s="9" t="str">
        <f aca="false">IF(BB53="","",(BL53+BM53)/2)</f>
        <v/>
      </c>
      <c r="BO53" s="9" t="str">
        <f aca="false">IF(OR(T53="",P53="",BN53="",T53&lt;=0,BN53&lt;=0),"",(1/Inputs!$B$9)*((T53^2/8)*((2*ACOS(1-2*BN53/T53))-SIN((2*ACOS(1-2*BN53/T53)))))*((((T53^2/8)*((2*ACOS(1-2*BN53/T53))-SIN((2*ACOS(1-2*BN53/T53)))))/((T53/2)*((2*ACOS(1-2*BN53/T53)))))^(2/3))*SQRT(P53))</f>
        <v/>
      </c>
      <c r="BP53" s="9" t="str">
        <f aca="false">IF(BB53="","",IF(BO53&lt;BB53,BN53,BL53))</f>
        <v/>
      </c>
      <c r="BQ53" s="9" t="str">
        <f aca="false">IF(BB53="","",IF(BO53&lt;BB53,BM53,BN53))</f>
        <v/>
      </c>
      <c r="BR53" s="9" t="str">
        <f aca="false">IF(BB53="","",(BP53+BQ53)/2)</f>
        <v/>
      </c>
      <c r="BS53" s="9" t="str">
        <f aca="false">IF(OR(T53="",P53="",BR53="",T53&lt;=0,BR53&lt;=0),"",(1/Inputs!$B$9)*((T53^2/8)*((2*ACOS(1-2*BR53/T53))-SIN((2*ACOS(1-2*BR53/T53)))))*((((T53^2/8)*((2*ACOS(1-2*BR53/T53))-SIN((2*ACOS(1-2*BR53/T53)))))/((T53/2)*((2*ACOS(1-2*BR53/T53)))))^(2/3))*SQRT(P53))</f>
        <v/>
      </c>
      <c r="BT53" s="9" t="str">
        <f aca="false">IF(BB53="","",IF(BS53&lt;BB53,BR53,BP53))</f>
        <v/>
      </c>
      <c r="BU53" s="9" t="str">
        <f aca="false">IF(BB53="","",IF(BS53&lt;BB53,BQ53,BR53))</f>
        <v/>
      </c>
      <c r="BV53" s="9" t="str">
        <f aca="false">IF(BB53="","",(BT53+BU53)/2)</f>
        <v/>
      </c>
      <c r="BW53" s="9" t="str">
        <f aca="false">IF(OR(T53="",P53="",BV53="",T53&lt;=0,BV53&lt;=0),"",(1/Inputs!$B$9)*((T53^2/8)*((2*ACOS(1-2*BV53/T53))-SIN((2*ACOS(1-2*BV53/T53)))))*((((T53^2/8)*((2*ACOS(1-2*BV53/T53))-SIN((2*ACOS(1-2*BV53/T53)))))/((T53/2)*((2*ACOS(1-2*BV53/T53)))))^(2/3))*SQRT(P53))</f>
        <v/>
      </c>
      <c r="BX53" s="9" t="str">
        <f aca="false">IF(BB53="","",IF(BW53&lt;BB53,BV53,BT53))</f>
        <v/>
      </c>
      <c r="BY53" s="9" t="str">
        <f aca="false">IF(BB53="","",IF(BW53&lt;BB53,BU53,BV53))</f>
        <v/>
      </c>
      <c r="BZ53" s="9" t="str">
        <f aca="false">IF(BB53="","",(BX53+BY53)/2)</f>
        <v/>
      </c>
      <c r="CA53" s="9" t="str">
        <f aca="false">IF(OR(T53="",P53="",BZ53="",T53&lt;=0,BZ53&lt;=0),"",(1/Inputs!$B$9)*((T53^2/8)*((2*ACOS(1-2*BZ53/T53))-SIN((2*ACOS(1-2*BZ53/T53)))))*((((T53^2/8)*((2*ACOS(1-2*BZ53/T53))-SIN((2*ACOS(1-2*BZ53/T53)))))/((T53/2)*((2*ACOS(1-2*BZ53/T53)))))^(2/3))*SQRT(P53))</f>
        <v/>
      </c>
      <c r="CB53" s="9" t="str">
        <f aca="false">IF(BB53="","",IF(CA53&lt;BB53,BZ53,BX53))</f>
        <v/>
      </c>
      <c r="CC53" s="9" t="str">
        <f aca="false">IF(BB53="","",IF(CA53&lt;BB53,BY53,BZ53))</f>
        <v/>
      </c>
      <c r="CD53" s="9" t="str">
        <f aca="false">IF(BB53="","",(CB53+CC53)/2)</f>
        <v/>
      </c>
      <c r="CE53" s="9" t="str">
        <f aca="false">IF(OR(T53="",P53="",CD53="",T53&lt;=0,CD53&lt;=0),"",(1/Inputs!$B$9)*((T53^2/8)*((2*ACOS(1-2*CD53/T53))-SIN((2*ACOS(1-2*CD53/T53)))))*((((T53^2/8)*((2*ACOS(1-2*CD53/T53))-SIN((2*ACOS(1-2*CD53/T53)))))/((T53/2)*((2*ACOS(1-2*CD53/T53)))))^(2/3))*SQRT(P53))</f>
        <v/>
      </c>
      <c r="CF53" s="9" t="str">
        <f aca="false">IF(BB53="","",IF(CE53&lt;BB53,CD53,CB53))</f>
        <v/>
      </c>
      <c r="CG53" s="9" t="str">
        <f aca="false">IF(BB53="","",IF(CE53&lt;BB53,CC53,CD53))</f>
        <v/>
      </c>
      <c r="CH53" s="9" t="str">
        <f aca="false">IF(BB53="","",(CF53+CG53)/2)</f>
        <v/>
      </c>
    </row>
    <row r="54" customFormat="false" ht="15" hidden="false" customHeight="false" outlineLevel="0" collapsed="false">
      <c r="A54" s="9"/>
      <c r="B54" s="9"/>
      <c r="C54" s="9"/>
      <c r="D54" s="9"/>
      <c r="E54" s="14"/>
      <c r="F54" s="14"/>
      <c r="G54" s="14" t="n">
        <f aca="false">SUMIFS(CB_plan!$C:$C,CB_plan!$B:$B,$A54)</f>
        <v>0</v>
      </c>
      <c r="H54" s="14" t="n">
        <f aca="false">IF(F54="",G54,F54)</f>
        <v>0</v>
      </c>
      <c r="I54" s="9"/>
      <c r="J54" s="14"/>
      <c r="K54" s="14" t="str">
        <f aca="false">IF(A54="","",Inputs!$B$13/((IF(AV54="",Inputs!$B$18,AV54)+Inputs!$B$14)^Inputs!$B$15))</f>
        <v/>
      </c>
      <c r="L54" s="14" t="str">
        <f aca="false">IF(A54="","",0.000000278*IF(I54="",Inputs!$B$17,I54)*H54*K54)</f>
        <v/>
      </c>
      <c r="M54" s="14" t="str">
        <f aca="false">IF(A54="","",SUMIFS($N$4:$N$203,$D$4:$D$203,$A54))</f>
        <v/>
      </c>
      <c r="N54" s="14" t="str">
        <f aca="false">IF(A54="","",(L54+M54)*Inputs!$B$16)</f>
        <v/>
      </c>
      <c r="O54" s="14"/>
      <c r="P54" s="14" t="str">
        <f aca="false">IF(A54="","",IF(O54="",Inputs!$B$7,O54))</f>
        <v/>
      </c>
      <c r="Q54" s="9" t="str">
        <f aca="false">IF(A54="","",IF(N54/Inputs!$B$10&lt;=AG54,Inputs!$F$5,IF(N54/Inputs!$B$10&gt;AP54,"OVERSIZE",INDEX(Inputs!$F$5:$F$14,MATCH(N54/Inputs!$B$10,AG54:AP54,1)+1))))</f>
        <v/>
      </c>
      <c r="R54" s="9"/>
      <c r="S54" s="9" t="str">
        <f aca="false">IF(A54="","",IF(R54="",Q54,R54))</f>
        <v/>
      </c>
      <c r="T54" s="14" t="str">
        <f aca="false">IF(OR(S54="",S54="OVERSIZE"),"",S54/1000)</f>
        <v/>
      </c>
      <c r="U54" s="14" t="str">
        <f aca="false">IF(T54="","",(1/Inputs!$B$9)*(PI()*T54^2/4)*((T54/4)^(2/3))*SQRT(P54))</f>
        <v/>
      </c>
      <c r="V54" s="14" t="str">
        <f aca="false">IF(OR(U54="",N54=""),"",N54/(U54*Inputs!$B$10))</f>
        <v/>
      </c>
      <c r="W54" s="14" t="str">
        <f aca="false">IF(OR(T54="",N54=""),"",4*N54/(PI()*T54^2))</f>
        <v/>
      </c>
      <c r="X54" s="14"/>
      <c r="Y54" s="14" t="str">
        <f aca="false">IF(A54="","",IF(A54=Inputs!$B$6,Inputs!$B$22,IF(D54="","",IFERROR(INDEX($Z$4:$Z$203,MATCH(D54,$A$4:$A$203,0))+IF(X54="",Inputs!$B$20,X54),""))))</f>
        <v/>
      </c>
      <c r="Z54" s="14" t="str">
        <f aca="false">IF(OR(Y54="",P54="",E54=""),"",Y54+P54*E54)</f>
        <v/>
      </c>
      <c r="AA54" s="14" t="str">
        <f aca="false">IF(C54="","",IFERROR(INDEX(Noeuds_plan!$C$4:$C$200,MATCH(C54,Noeuds_plan!$A$4:$A$200,0)),""))</f>
        <v/>
      </c>
      <c r="AB54" s="14" t="str">
        <f aca="false">IF(B54="","",IFERROR(INDEX(Noeuds_plan!$C$4:$C$200,MATCH(B54,Noeuds_plan!$A$4:$A$200,0)),""))</f>
        <v/>
      </c>
      <c r="AC54" s="14" t="str">
        <f aca="false">IF(OR(AA54="",Y54=""),"",AA54-Y54)</f>
        <v/>
      </c>
      <c r="AD54" s="14" t="str">
        <f aca="false">IF(OR(AB54="",Z54=""),"",AB54-Z54)</f>
        <v/>
      </c>
      <c r="AE54" s="19" t="str">
        <f aca="false">IF(A54="","",IF(OR(V54&gt;1,AND(AY54&lt;&gt;"",AY54&lt;Inputs!$B$11),AND(AY54&lt;&gt;"",AY54&gt;Inputs!$B$12),AC54&lt;Inputs!$B$19,AD54&lt;Inputs!$B$19,P54&lt;Inputs!$B$7,P54&gt;Inputs!$B$8),"CHECK","OK"))</f>
        <v/>
      </c>
      <c r="AF54" s="9"/>
      <c r="AG54" s="9" t="str">
        <f aca="false">IF(A54="","",(1/Inputs!$B$9)*(PI()*(Inputs!$F$5/1000)^2/4)*((Inputs!$F$5/1000/4)^(2/3))*SQRT(P54))</f>
        <v/>
      </c>
      <c r="AH54" s="9" t="str">
        <f aca="false">IF(A54="","",(1/Inputs!$B$9)*(PI()*(Inputs!$F$6/1000)^2/4)*((Inputs!$F$6/1000/4)^(2/3))*SQRT(P54))</f>
        <v/>
      </c>
      <c r="AI54" s="9" t="str">
        <f aca="false">IF(A54="","",(1/Inputs!$B$9)*(PI()*(Inputs!$F$7/1000)^2/4)*((Inputs!$F$7/1000/4)^(2/3))*SQRT(P54))</f>
        <v/>
      </c>
      <c r="AJ54" s="9" t="str">
        <f aca="false">IF(A54="","",(1/Inputs!$B$9)*(PI()*(Inputs!$F$8/1000)^2/4)*((Inputs!$F$8/1000/4)^(2/3))*SQRT(P54))</f>
        <v/>
      </c>
      <c r="AK54" s="9" t="str">
        <f aca="false">IF(A54="","",(1/Inputs!$B$9)*(PI()*(Inputs!$F$9/1000)^2/4)*((Inputs!$F$9/1000/4)^(2/3))*SQRT(P54))</f>
        <v/>
      </c>
      <c r="AL54" s="9" t="str">
        <f aca="false">IF(A54="","",(1/Inputs!$B$9)*(PI()*(Inputs!$F$10/1000)^2/4)*((Inputs!$F$10/1000/4)^(2/3))*SQRT(P54))</f>
        <v/>
      </c>
      <c r="AM54" s="9" t="str">
        <f aca="false">IF(A54="","",(1/Inputs!$B$9)*(PI()*(Inputs!$F$11/1000)^2/4)*((Inputs!$F$11/1000/4)^(2/3))*SQRT(P54))</f>
        <v/>
      </c>
      <c r="AN54" s="9" t="str">
        <f aca="false">IF(A54="","",(1/Inputs!$B$9)*(PI()*(Inputs!$F$12/1000)^2/4)*((Inputs!$F$12/1000/4)^(2/3))*SQRT(P54))</f>
        <v/>
      </c>
      <c r="AO54" s="9" t="str">
        <f aca="false">IF(A54="","",(1/Inputs!$B$9)*(PI()*(Inputs!$F$13/1000)^2/4)*((Inputs!$F$13/1000/4)^(2/3))*SQRT(P54))</f>
        <v/>
      </c>
      <c r="AP54" s="9" t="str">
        <f aca="false">IF(A54="","",(1/Inputs!$B$9)*(PI()*(Inputs!$F$14/1000)^2/4)*((Inputs!$F$14/1000/4)^(2/3))*SQRT(P54))</f>
        <v/>
      </c>
      <c r="AQ54" s="9" t="str">
        <f aca="false">IF(A54="","",COUNTIF($D$4:$D$203,$A54))</f>
        <v/>
      </c>
      <c r="AR54" s="9" t="str">
        <f aca="false">IF(A54="","",IF(AQ54=0,"START","CONTINUOUS"))</f>
        <v/>
      </c>
      <c r="AS54" s="13" t="str">
        <f aca="false">IF(A54="","",IF(J54="",Inputs!$B$18,J54))</f>
        <v/>
      </c>
      <c r="AT54" s="13" t="str">
        <f aca="false">IF(A54="","",IFERROR(maxifs($AV$4:$AV$203,$D$4:$D$203,$A54),""))</f>
        <v/>
      </c>
      <c r="AU54" s="13" t="str">
        <f aca="false">IF(A54="","",IF(OR(E54="",Inputs!$B$23=""),"",E54/(Inputs!$B$23*60)))</f>
        <v/>
      </c>
      <c r="AV54" s="13" t="str">
        <f aca="false">IF(A54="","",IF(AQ54=0,AS54+AU54,IF(AT54="",AS54+AU54,AT54+AU54)))</f>
        <v/>
      </c>
      <c r="AW54" s="13" t="str">
        <f aca="false">IF(A54="","",W54)</f>
        <v/>
      </c>
      <c r="AX54" s="13" t="str">
        <f aca="false">IF(OR(T54="",P54=""),"",(1/Inputs!$B$9)*((T54/4)^(2/3))*SQRT(P54))</f>
        <v/>
      </c>
      <c r="AY54" s="13" t="str">
        <f aca="false">IF(A54="","",IF(AND(AW54="",AX54="",BA54=""),"",IF(OR(UPPER(TRIM(Inputs!$B$24))="MANNING",UPPER(TRIM(Inputs!$B$24))="M"),AX54,IF(OR(UPPER(TRIM(Inputs!$B$24))="PARTIAL",UPPER(TRIM(Inputs!$B$24))="P"),BA54,IF(OR(UPPER(TRIM(Inputs!$B$24))="MAX",UPPER(TRIM(Inputs!$B$24))="X"),MAX(IF(AW54="",0,AW54),IF(AX54="",0,AX54),IF(BA54="",0,BA54)),AW54)))))</f>
        <v/>
      </c>
      <c r="AZ54" s="13" t="str">
        <f aca="false">IF(BB54="","",CH54)</f>
        <v/>
      </c>
      <c r="BA54" s="13" t="str">
        <f aca="false">IF(OR(BB54="",AZ54="",T54="",T54&lt;=0,AZ54&lt;=0),"",BB54/((T54^2/8)*(2*ACOS(1-2*AZ54/T54)-SIN(2*ACOS(1-2*AZ54/T54)))))</f>
        <v/>
      </c>
      <c r="BB54" s="9" t="str">
        <f aca="false">IF(OR(N54="",BC54=""),"",MIN(N54,BC54))</f>
        <v/>
      </c>
      <c r="BC54" s="9" t="str">
        <f aca="false">IF(OR(N54="",T54="",P54=""),"",IF(OR(T54="",P54="",(0.94*T54)="",T54&lt;=0,(0.94*T54)&lt;=0),"",(1/Inputs!$B$9)*((T54^2/8)*((2*ACOS(1-2*(0.94*T54)/T54))-SIN((2*ACOS(1-2*(0.94*T54)/T54)))))*((((T54^2/8)*((2*ACOS(1-2*(0.94*T54)/T54))-SIN((2*ACOS(1-2*(0.94*T54)/T54)))))/((T54/2)*((2*ACOS(1-2*(0.94*T54)/T54)))))^(2/3))*SQRT(P54)))</f>
        <v/>
      </c>
      <c r="BD54" s="9" t="str">
        <f aca="false">IF(BB54="","",0.001*T54)</f>
        <v/>
      </c>
      <c r="BE54" s="9" t="str">
        <f aca="false">IF(BB54="","",0.94*T54)</f>
        <v/>
      </c>
      <c r="BF54" s="9" t="str">
        <f aca="false">IF(BB54="","",(BD54+BE54)/2)</f>
        <v/>
      </c>
      <c r="BG54" s="9" t="str">
        <f aca="false">IF(OR(T54="",P54="",BF54="",T54&lt;=0,BF54&lt;=0),"",(1/Inputs!$B$9)*((T54^2/8)*((2*ACOS(1-2*BF54/T54))-SIN((2*ACOS(1-2*BF54/T54)))))*((((T54^2/8)*((2*ACOS(1-2*BF54/T54))-SIN((2*ACOS(1-2*BF54/T54)))))/((T54/2)*((2*ACOS(1-2*BF54/T54)))))^(2/3))*SQRT(P54))</f>
        <v/>
      </c>
      <c r="BH54" s="9" t="str">
        <f aca="false">IF(BB54="","",IF(BG54&lt;BB54,BF54,BD54))</f>
        <v/>
      </c>
      <c r="BI54" s="9" t="str">
        <f aca="false">IF(BB54="","",IF(BG54&lt;BB54,BE54,BF54))</f>
        <v/>
      </c>
      <c r="BJ54" s="9" t="str">
        <f aca="false">IF(BB54="","",(BH54+BI54)/2)</f>
        <v/>
      </c>
      <c r="BK54" s="9" t="str">
        <f aca="false">IF(OR(T54="",P54="",BJ54="",T54&lt;=0,BJ54&lt;=0),"",(1/Inputs!$B$9)*((T54^2/8)*((2*ACOS(1-2*BJ54/T54))-SIN((2*ACOS(1-2*BJ54/T54)))))*((((T54^2/8)*((2*ACOS(1-2*BJ54/T54))-SIN((2*ACOS(1-2*BJ54/T54)))))/((T54/2)*((2*ACOS(1-2*BJ54/T54)))))^(2/3))*SQRT(P54))</f>
        <v/>
      </c>
      <c r="BL54" s="9" t="str">
        <f aca="false">IF(BB54="","",IF(BK54&lt;BB54,BJ54,BH54))</f>
        <v/>
      </c>
      <c r="BM54" s="9" t="str">
        <f aca="false">IF(BB54="","",IF(BK54&lt;BB54,BI54,BJ54))</f>
        <v/>
      </c>
      <c r="BN54" s="9" t="str">
        <f aca="false">IF(BB54="","",(BL54+BM54)/2)</f>
        <v/>
      </c>
      <c r="BO54" s="9" t="str">
        <f aca="false">IF(OR(T54="",P54="",BN54="",T54&lt;=0,BN54&lt;=0),"",(1/Inputs!$B$9)*((T54^2/8)*((2*ACOS(1-2*BN54/T54))-SIN((2*ACOS(1-2*BN54/T54)))))*((((T54^2/8)*((2*ACOS(1-2*BN54/T54))-SIN((2*ACOS(1-2*BN54/T54)))))/((T54/2)*((2*ACOS(1-2*BN54/T54)))))^(2/3))*SQRT(P54))</f>
        <v/>
      </c>
      <c r="BP54" s="9" t="str">
        <f aca="false">IF(BB54="","",IF(BO54&lt;BB54,BN54,BL54))</f>
        <v/>
      </c>
      <c r="BQ54" s="9" t="str">
        <f aca="false">IF(BB54="","",IF(BO54&lt;BB54,BM54,BN54))</f>
        <v/>
      </c>
      <c r="BR54" s="9" t="str">
        <f aca="false">IF(BB54="","",(BP54+BQ54)/2)</f>
        <v/>
      </c>
      <c r="BS54" s="9" t="str">
        <f aca="false">IF(OR(T54="",P54="",BR54="",T54&lt;=0,BR54&lt;=0),"",(1/Inputs!$B$9)*((T54^2/8)*((2*ACOS(1-2*BR54/T54))-SIN((2*ACOS(1-2*BR54/T54)))))*((((T54^2/8)*((2*ACOS(1-2*BR54/T54))-SIN((2*ACOS(1-2*BR54/T54)))))/((T54/2)*((2*ACOS(1-2*BR54/T54)))))^(2/3))*SQRT(P54))</f>
        <v/>
      </c>
      <c r="BT54" s="9" t="str">
        <f aca="false">IF(BB54="","",IF(BS54&lt;BB54,BR54,BP54))</f>
        <v/>
      </c>
      <c r="BU54" s="9" t="str">
        <f aca="false">IF(BB54="","",IF(BS54&lt;BB54,BQ54,BR54))</f>
        <v/>
      </c>
      <c r="BV54" s="9" t="str">
        <f aca="false">IF(BB54="","",(BT54+BU54)/2)</f>
        <v/>
      </c>
      <c r="BW54" s="9" t="str">
        <f aca="false">IF(OR(T54="",P54="",BV54="",T54&lt;=0,BV54&lt;=0),"",(1/Inputs!$B$9)*((T54^2/8)*((2*ACOS(1-2*BV54/T54))-SIN((2*ACOS(1-2*BV54/T54)))))*((((T54^2/8)*((2*ACOS(1-2*BV54/T54))-SIN((2*ACOS(1-2*BV54/T54)))))/((T54/2)*((2*ACOS(1-2*BV54/T54)))))^(2/3))*SQRT(P54))</f>
        <v/>
      </c>
      <c r="BX54" s="9" t="str">
        <f aca="false">IF(BB54="","",IF(BW54&lt;BB54,BV54,BT54))</f>
        <v/>
      </c>
      <c r="BY54" s="9" t="str">
        <f aca="false">IF(BB54="","",IF(BW54&lt;BB54,BU54,BV54))</f>
        <v/>
      </c>
      <c r="BZ54" s="9" t="str">
        <f aca="false">IF(BB54="","",(BX54+BY54)/2)</f>
        <v/>
      </c>
      <c r="CA54" s="9" t="str">
        <f aca="false">IF(OR(T54="",P54="",BZ54="",T54&lt;=0,BZ54&lt;=0),"",(1/Inputs!$B$9)*((T54^2/8)*((2*ACOS(1-2*BZ54/T54))-SIN((2*ACOS(1-2*BZ54/T54)))))*((((T54^2/8)*((2*ACOS(1-2*BZ54/T54))-SIN((2*ACOS(1-2*BZ54/T54)))))/((T54/2)*((2*ACOS(1-2*BZ54/T54)))))^(2/3))*SQRT(P54))</f>
        <v/>
      </c>
      <c r="CB54" s="9" t="str">
        <f aca="false">IF(BB54="","",IF(CA54&lt;BB54,BZ54,BX54))</f>
        <v/>
      </c>
      <c r="CC54" s="9" t="str">
        <f aca="false">IF(BB54="","",IF(CA54&lt;BB54,BY54,BZ54))</f>
        <v/>
      </c>
      <c r="CD54" s="9" t="str">
        <f aca="false">IF(BB54="","",(CB54+CC54)/2)</f>
        <v/>
      </c>
      <c r="CE54" s="9" t="str">
        <f aca="false">IF(OR(T54="",P54="",CD54="",T54&lt;=0,CD54&lt;=0),"",(1/Inputs!$B$9)*((T54^2/8)*((2*ACOS(1-2*CD54/T54))-SIN((2*ACOS(1-2*CD54/T54)))))*((((T54^2/8)*((2*ACOS(1-2*CD54/T54))-SIN((2*ACOS(1-2*CD54/T54)))))/((T54/2)*((2*ACOS(1-2*CD54/T54)))))^(2/3))*SQRT(P54))</f>
        <v/>
      </c>
      <c r="CF54" s="9" t="str">
        <f aca="false">IF(BB54="","",IF(CE54&lt;BB54,CD54,CB54))</f>
        <v/>
      </c>
      <c r="CG54" s="9" t="str">
        <f aca="false">IF(BB54="","",IF(CE54&lt;BB54,CC54,CD54))</f>
        <v/>
      </c>
      <c r="CH54" s="9" t="str">
        <f aca="false">IF(BB54="","",(CF54+CG54)/2)</f>
        <v/>
      </c>
    </row>
    <row r="55" customFormat="false" ht="15" hidden="false" customHeight="false" outlineLevel="0" collapsed="false">
      <c r="A55" s="9"/>
      <c r="B55" s="9"/>
      <c r="C55" s="9"/>
      <c r="D55" s="9"/>
      <c r="E55" s="14"/>
      <c r="F55" s="14"/>
      <c r="G55" s="14" t="n">
        <f aca="false">SUMIFS(CB_plan!$C:$C,CB_plan!$B:$B,$A55)</f>
        <v>0</v>
      </c>
      <c r="H55" s="14" t="n">
        <f aca="false">IF(F55="",G55,F55)</f>
        <v>0</v>
      </c>
      <c r="I55" s="9"/>
      <c r="J55" s="14"/>
      <c r="K55" s="14" t="str">
        <f aca="false">IF(A55="","",Inputs!$B$13/((IF(AV55="",Inputs!$B$18,AV55)+Inputs!$B$14)^Inputs!$B$15))</f>
        <v/>
      </c>
      <c r="L55" s="14" t="str">
        <f aca="false">IF(A55="","",0.000000278*IF(I55="",Inputs!$B$17,I55)*H55*K55)</f>
        <v/>
      </c>
      <c r="M55" s="14" t="str">
        <f aca="false">IF(A55="","",SUMIFS($N$4:$N$203,$D$4:$D$203,$A55))</f>
        <v/>
      </c>
      <c r="N55" s="14" t="str">
        <f aca="false">IF(A55="","",(L55+M55)*Inputs!$B$16)</f>
        <v/>
      </c>
      <c r="O55" s="14"/>
      <c r="P55" s="14" t="str">
        <f aca="false">IF(A55="","",IF(O55="",Inputs!$B$7,O55))</f>
        <v/>
      </c>
      <c r="Q55" s="9" t="str">
        <f aca="false">IF(A55="","",IF(N55/Inputs!$B$10&lt;=AG55,Inputs!$F$5,IF(N55/Inputs!$B$10&gt;AP55,"OVERSIZE",INDEX(Inputs!$F$5:$F$14,MATCH(N55/Inputs!$B$10,AG55:AP55,1)+1))))</f>
        <v/>
      </c>
      <c r="R55" s="9"/>
      <c r="S55" s="9" t="str">
        <f aca="false">IF(A55="","",IF(R55="",Q55,R55))</f>
        <v/>
      </c>
      <c r="T55" s="14" t="str">
        <f aca="false">IF(OR(S55="",S55="OVERSIZE"),"",S55/1000)</f>
        <v/>
      </c>
      <c r="U55" s="14" t="str">
        <f aca="false">IF(T55="","",(1/Inputs!$B$9)*(PI()*T55^2/4)*((T55/4)^(2/3))*SQRT(P55))</f>
        <v/>
      </c>
      <c r="V55" s="14" t="str">
        <f aca="false">IF(OR(U55="",N55=""),"",N55/(U55*Inputs!$B$10))</f>
        <v/>
      </c>
      <c r="W55" s="14" t="str">
        <f aca="false">IF(OR(T55="",N55=""),"",4*N55/(PI()*T55^2))</f>
        <v/>
      </c>
      <c r="X55" s="14"/>
      <c r="Y55" s="14" t="str">
        <f aca="false">IF(A55="","",IF(A55=Inputs!$B$6,Inputs!$B$22,IF(D55="","",IFERROR(INDEX($Z$4:$Z$203,MATCH(D55,$A$4:$A$203,0))+IF(X55="",Inputs!$B$20,X55),""))))</f>
        <v/>
      </c>
      <c r="Z55" s="14" t="str">
        <f aca="false">IF(OR(Y55="",P55="",E55=""),"",Y55+P55*E55)</f>
        <v/>
      </c>
      <c r="AA55" s="14" t="str">
        <f aca="false">IF(C55="","",IFERROR(INDEX(Noeuds_plan!$C$4:$C$200,MATCH(C55,Noeuds_plan!$A$4:$A$200,0)),""))</f>
        <v/>
      </c>
      <c r="AB55" s="14" t="str">
        <f aca="false">IF(B55="","",IFERROR(INDEX(Noeuds_plan!$C$4:$C$200,MATCH(B55,Noeuds_plan!$A$4:$A$200,0)),""))</f>
        <v/>
      </c>
      <c r="AC55" s="14" t="str">
        <f aca="false">IF(OR(AA55="",Y55=""),"",AA55-Y55)</f>
        <v/>
      </c>
      <c r="AD55" s="14" t="str">
        <f aca="false">IF(OR(AB55="",Z55=""),"",AB55-Z55)</f>
        <v/>
      </c>
      <c r="AE55" s="19" t="str">
        <f aca="false">IF(A55="","",IF(OR(V55&gt;1,AND(AY55&lt;&gt;"",AY55&lt;Inputs!$B$11),AND(AY55&lt;&gt;"",AY55&gt;Inputs!$B$12),AC55&lt;Inputs!$B$19,AD55&lt;Inputs!$B$19,P55&lt;Inputs!$B$7,P55&gt;Inputs!$B$8),"CHECK","OK"))</f>
        <v/>
      </c>
      <c r="AF55" s="9"/>
      <c r="AG55" s="9" t="str">
        <f aca="false">IF(A55="","",(1/Inputs!$B$9)*(PI()*(Inputs!$F$5/1000)^2/4)*((Inputs!$F$5/1000/4)^(2/3))*SQRT(P55))</f>
        <v/>
      </c>
      <c r="AH55" s="9" t="str">
        <f aca="false">IF(A55="","",(1/Inputs!$B$9)*(PI()*(Inputs!$F$6/1000)^2/4)*((Inputs!$F$6/1000/4)^(2/3))*SQRT(P55))</f>
        <v/>
      </c>
      <c r="AI55" s="9" t="str">
        <f aca="false">IF(A55="","",(1/Inputs!$B$9)*(PI()*(Inputs!$F$7/1000)^2/4)*((Inputs!$F$7/1000/4)^(2/3))*SQRT(P55))</f>
        <v/>
      </c>
      <c r="AJ55" s="9" t="str">
        <f aca="false">IF(A55="","",(1/Inputs!$B$9)*(PI()*(Inputs!$F$8/1000)^2/4)*((Inputs!$F$8/1000/4)^(2/3))*SQRT(P55))</f>
        <v/>
      </c>
      <c r="AK55" s="9" t="str">
        <f aca="false">IF(A55="","",(1/Inputs!$B$9)*(PI()*(Inputs!$F$9/1000)^2/4)*((Inputs!$F$9/1000/4)^(2/3))*SQRT(P55))</f>
        <v/>
      </c>
      <c r="AL55" s="9" t="str">
        <f aca="false">IF(A55="","",(1/Inputs!$B$9)*(PI()*(Inputs!$F$10/1000)^2/4)*((Inputs!$F$10/1000/4)^(2/3))*SQRT(P55))</f>
        <v/>
      </c>
      <c r="AM55" s="9" t="str">
        <f aca="false">IF(A55="","",(1/Inputs!$B$9)*(PI()*(Inputs!$F$11/1000)^2/4)*((Inputs!$F$11/1000/4)^(2/3))*SQRT(P55))</f>
        <v/>
      </c>
      <c r="AN55" s="9" t="str">
        <f aca="false">IF(A55="","",(1/Inputs!$B$9)*(PI()*(Inputs!$F$12/1000)^2/4)*((Inputs!$F$12/1000/4)^(2/3))*SQRT(P55))</f>
        <v/>
      </c>
      <c r="AO55" s="9" t="str">
        <f aca="false">IF(A55="","",(1/Inputs!$B$9)*(PI()*(Inputs!$F$13/1000)^2/4)*((Inputs!$F$13/1000/4)^(2/3))*SQRT(P55))</f>
        <v/>
      </c>
      <c r="AP55" s="9" t="str">
        <f aca="false">IF(A55="","",(1/Inputs!$B$9)*(PI()*(Inputs!$F$14/1000)^2/4)*((Inputs!$F$14/1000/4)^(2/3))*SQRT(P55))</f>
        <v/>
      </c>
      <c r="AQ55" s="9" t="str">
        <f aca="false">IF(A55="","",COUNTIF($D$4:$D$203,$A55))</f>
        <v/>
      </c>
      <c r="AR55" s="9" t="str">
        <f aca="false">IF(A55="","",IF(AQ55=0,"START","CONTINUOUS"))</f>
        <v/>
      </c>
      <c r="AS55" s="13" t="str">
        <f aca="false">IF(A55="","",IF(J55="",Inputs!$B$18,J55))</f>
        <v/>
      </c>
      <c r="AT55" s="13" t="str">
        <f aca="false">IF(A55="","",IFERROR(maxifs($AV$4:$AV$203,$D$4:$D$203,$A55),""))</f>
        <v/>
      </c>
      <c r="AU55" s="13" t="str">
        <f aca="false">IF(A55="","",IF(OR(E55="",Inputs!$B$23=""),"",E55/(Inputs!$B$23*60)))</f>
        <v/>
      </c>
      <c r="AV55" s="13" t="str">
        <f aca="false">IF(A55="","",IF(AQ55=0,AS55+AU55,IF(AT55="",AS55+AU55,AT55+AU55)))</f>
        <v/>
      </c>
      <c r="AW55" s="13" t="str">
        <f aca="false">IF(A55="","",W55)</f>
        <v/>
      </c>
      <c r="AX55" s="13" t="str">
        <f aca="false">IF(OR(T55="",P55=""),"",(1/Inputs!$B$9)*((T55/4)^(2/3))*SQRT(P55))</f>
        <v/>
      </c>
      <c r="AY55" s="13" t="str">
        <f aca="false">IF(A55="","",IF(AND(AW55="",AX55="",BA55=""),"",IF(OR(UPPER(TRIM(Inputs!$B$24))="MANNING",UPPER(TRIM(Inputs!$B$24))="M"),AX55,IF(OR(UPPER(TRIM(Inputs!$B$24))="PARTIAL",UPPER(TRIM(Inputs!$B$24))="P"),BA55,IF(OR(UPPER(TRIM(Inputs!$B$24))="MAX",UPPER(TRIM(Inputs!$B$24))="X"),MAX(IF(AW55="",0,AW55),IF(AX55="",0,AX55),IF(BA55="",0,BA55)),AW55)))))</f>
        <v/>
      </c>
      <c r="AZ55" s="13" t="str">
        <f aca="false">IF(BB55="","",CH55)</f>
        <v/>
      </c>
      <c r="BA55" s="13" t="str">
        <f aca="false">IF(OR(BB55="",AZ55="",T55="",T55&lt;=0,AZ55&lt;=0),"",BB55/((T55^2/8)*(2*ACOS(1-2*AZ55/T55)-SIN(2*ACOS(1-2*AZ55/T55)))))</f>
        <v/>
      </c>
      <c r="BB55" s="9" t="str">
        <f aca="false">IF(OR(N55="",BC55=""),"",MIN(N55,BC55))</f>
        <v/>
      </c>
      <c r="BC55" s="9" t="str">
        <f aca="false">IF(OR(N55="",T55="",P55=""),"",IF(OR(T55="",P55="",(0.94*T55)="",T55&lt;=0,(0.94*T55)&lt;=0),"",(1/Inputs!$B$9)*((T55^2/8)*((2*ACOS(1-2*(0.94*T55)/T55))-SIN((2*ACOS(1-2*(0.94*T55)/T55)))))*((((T55^2/8)*((2*ACOS(1-2*(0.94*T55)/T55))-SIN((2*ACOS(1-2*(0.94*T55)/T55)))))/((T55/2)*((2*ACOS(1-2*(0.94*T55)/T55)))))^(2/3))*SQRT(P55)))</f>
        <v/>
      </c>
      <c r="BD55" s="9" t="str">
        <f aca="false">IF(BB55="","",0.001*T55)</f>
        <v/>
      </c>
      <c r="BE55" s="9" t="str">
        <f aca="false">IF(BB55="","",0.94*T55)</f>
        <v/>
      </c>
      <c r="BF55" s="9" t="str">
        <f aca="false">IF(BB55="","",(BD55+BE55)/2)</f>
        <v/>
      </c>
      <c r="BG55" s="9" t="str">
        <f aca="false">IF(OR(T55="",P55="",BF55="",T55&lt;=0,BF55&lt;=0),"",(1/Inputs!$B$9)*((T55^2/8)*((2*ACOS(1-2*BF55/T55))-SIN((2*ACOS(1-2*BF55/T55)))))*((((T55^2/8)*((2*ACOS(1-2*BF55/T55))-SIN((2*ACOS(1-2*BF55/T55)))))/((T55/2)*((2*ACOS(1-2*BF55/T55)))))^(2/3))*SQRT(P55))</f>
        <v/>
      </c>
      <c r="BH55" s="9" t="str">
        <f aca="false">IF(BB55="","",IF(BG55&lt;BB55,BF55,BD55))</f>
        <v/>
      </c>
      <c r="BI55" s="9" t="str">
        <f aca="false">IF(BB55="","",IF(BG55&lt;BB55,BE55,BF55))</f>
        <v/>
      </c>
      <c r="BJ55" s="9" t="str">
        <f aca="false">IF(BB55="","",(BH55+BI55)/2)</f>
        <v/>
      </c>
      <c r="BK55" s="9" t="str">
        <f aca="false">IF(OR(T55="",P55="",BJ55="",T55&lt;=0,BJ55&lt;=0),"",(1/Inputs!$B$9)*((T55^2/8)*((2*ACOS(1-2*BJ55/T55))-SIN((2*ACOS(1-2*BJ55/T55)))))*((((T55^2/8)*((2*ACOS(1-2*BJ55/T55))-SIN((2*ACOS(1-2*BJ55/T55)))))/((T55/2)*((2*ACOS(1-2*BJ55/T55)))))^(2/3))*SQRT(P55))</f>
        <v/>
      </c>
      <c r="BL55" s="9" t="str">
        <f aca="false">IF(BB55="","",IF(BK55&lt;BB55,BJ55,BH55))</f>
        <v/>
      </c>
      <c r="BM55" s="9" t="str">
        <f aca="false">IF(BB55="","",IF(BK55&lt;BB55,BI55,BJ55))</f>
        <v/>
      </c>
      <c r="BN55" s="9" t="str">
        <f aca="false">IF(BB55="","",(BL55+BM55)/2)</f>
        <v/>
      </c>
      <c r="BO55" s="9" t="str">
        <f aca="false">IF(OR(T55="",P55="",BN55="",T55&lt;=0,BN55&lt;=0),"",(1/Inputs!$B$9)*((T55^2/8)*((2*ACOS(1-2*BN55/T55))-SIN((2*ACOS(1-2*BN55/T55)))))*((((T55^2/8)*((2*ACOS(1-2*BN55/T55))-SIN((2*ACOS(1-2*BN55/T55)))))/((T55/2)*((2*ACOS(1-2*BN55/T55)))))^(2/3))*SQRT(P55))</f>
        <v/>
      </c>
      <c r="BP55" s="9" t="str">
        <f aca="false">IF(BB55="","",IF(BO55&lt;BB55,BN55,BL55))</f>
        <v/>
      </c>
      <c r="BQ55" s="9" t="str">
        <f aca="false">IF(BB55="","",IF(BO55&lt;BB55,BM55,BN55))</f>
        <v/>
      </c>
      <c r="BR55" s="9" t="str">
        <f aca="false">IF(BB55="","",(BP55+BQ55)/2)</f>
        <v/>
      </c>
      <c r="BS55" s="9" t="str">
        <f aca="false">IF(OR(T55="",P55="",BR55="",T55&lt;=0,BR55&lt;=0),"",(1/Inputs!$B$9)*((T55^2/8)*((2*ACOS(1-2*BR55/T55))-SIN((2*ACOS(1-2*BR55/T55)))))*((((T55^2/8)*((2*ACOS(1-2*BR55/T55))-SIN((2*ACOS(1-2*BR55/T55)))))/((T55/2)*((2*ACOS(1-2*BR55/T55)))))^(2/3))*SQRT(P55))</f>
        <v/>
      </c>
      <c r="BT55" s="9" t="str">
        <f aca="false">IF(BB55="","",IF(BS55&lt;BB55,BR55,BP55))</f>
        <v/>
      </c>
      <c r="BU55" s="9" t="str">
        <f aca="false">IF(BB55="","",IF(BS55&lt;BB55,BQ55,BR55))</f>
        <v/>
      </c>
      <c r="BV55" s="9" t="str">
        <f aca="false">IF(BB55="","",(BT55+BU55)/2)</f>
        <v/>
      </c>
      <c r="BW55" s="9" t="str">
        <f aca="false">IF(OR(T55="",P55="",BV55="",T55&lt;=0,BV55&lt;=0),"",(1/Inputs!$B$9)*((T55^2/8)*((2*ACOS(1-2*BV55/T55))-SIN((2*ACOS(1-2*BV55/T55)))))*((((T55^2/8)*((2*ACOS(1-2*BV55/T55))-SIN((2*ACOS(1-2*BV55/T55)))))/((T55/2)*((2*ACOS(1-2*BV55/T55)))))^(2/3))*SQRT(P55))</f>
        <v/>
      </c>
      <c r="BX55" s="9" t="str">
        <f aca="false">IF(BB55="","",IF(BW55&lt;BB55,BV55,BT55))</f>
        <v/>
      </c>
      <c r="BY55" s="9" t="str">
        <f aca="false">IF(BB55="","",IF(BW55&lt;BB55,BU55,BV55))</f>
        <v/>
      </c>
      <c r="BZ55" s="9" t="str">
        <f aca="false">IF(BB55="","",(BX55+BY55)/2)</f>
        <v/>
      </c>
      <c r="CA55" s="9" t="str">
        <f aca="false">IF(OR(T55="",P55="",BZ55="",T55&lt;=0,BZ55&lt;=0),"",(1/Inputs!$B$9)*((T55^2/8)*((2*ACOS(1-2*BZ55/T55))-SIN((2*ACOS(1-2*BZ55/T55)))))*((((T55^2/8)*((2*ACOS(1-2*BZ55/T55))-SIN((2*ACOS(1-2*BZ55/T55)))))/((T55/2)*((2*ACOS(1-2*BZ55/T55)))))^(2/3))*SQRT(P55))</f>
        <v/>
      </c>
      <c r="CB55" s="9" t="str">
        <f aca="false">IF(BB55="","",IF(CA55&lt;BB55,BZ55,BX55))</f>
        <v/>
      </c>
      <c r="CC55" s="9" t="str">
        <f aca="false">IF(BB55="","",IF(CA55&lt;BB55,BY55,BZ55))</f>
        <v/>
      </c>
      <c r="CD55" s="9" t="str">
        <f aca="false">IF(BB55="","",(CB55+CC55)/2)</f>
        <v/>
      </c>
      <c r="CE55" s="9" t="str">
        <f aca="false">IF(OR(T55="",P55="",CD55="",T55&lt;=0,CD55&lt;=0),"",(1/Inputs!$B$9)*((T55^2/8)*((2*ACOS(1-2*CD55/T55))-SIN((2*ACOS(1-2*CD55/T55)))))*((((T55^2/8)*((2*ACOS(1-2*CD55/T55))-SIN((2*ACOS(1-2*CD55/T55)))))/((T55/2)*((2*ACOS(1-2*CD55/T55)))))^(2/3))*SQRT(P55))</f>
        <v/>
      </c>
      <c r="CF55" s="9" t="str">
        <f aca="false">IF(BB55="","",IF(CE55&lt;BB55,CD55,CB55))</f>
        <v/>
      </c>
      <c r="CG55" s="9" t="str">
        <f aca="false">IF(BB55="","",IF(CE55&lt;BB55,CC55,CD55))</f>
        <v/>
      </c>
      <c r="CH55" s="9" t="str">
        <f aca="false">IF(BB55="","",(CF55+CG55)/2)</f>
        <v/>
      </c>
    </row>
    <row r="56" customFormat="false" ht="15" hidden="false" customHeight="false" outlineLevel="0" collapsed="false">
      <c r="A56" s="9"/>
      <c r="B56" s="9"/>
      <c r="C56" s="9"/>
      <c r="D56" s="9"/>
      <c r="E56" s="14"/>
      <c r="F56" s="14"/>
      <c r="G56" s="14" t="n">
        <f aca="false">SUMIFS(CB_plan!$C:$C,CB_plan!$B:$B,$A56)</f>
        <v>0</v>
      </c>
      <c r="H56" s="14" t="n">
        <f aca="false">IF(F56="",G56,F56)</f>
        <v>0</v>
      </c>
      <c r="I56" s="9"/>
      <c r="J56" s="14"/>
      <c r="K56" s="14" t="str">
        <f aca="false">IF(A56="","",Inputs!$B$13/((IF(AV56="",Inputs!$B$18,AV56)+Inputs!$B$14)^Inputs!$B$15))</f>
        <v/>
      </c>
      <c r="L56" s="14" t="str">
        <f aca="false">IF(A56="","",0.000000278*IF(I56="",Inputs!$B$17,I56)*H56*K56)</f>
        <v/>
      </c>
      <c r="M56" s="14" t="str">
        <f aca="false">IF(A56="","",SUMIFS($N$4:$N$203,$D$4:$D$203,$A56))</f>
        <v/>
      </c>
      <c r="N56" s="14" t="str">
        <f aca="false">IF(A56="","",(L56+M56)*Inputs!$B$16)</f>
        <v/>
      </c>
      <c r="O56" s="14"/>
      <c r="P56" s="14" t="str">
        <f aca="false">IF(A56="","",IF(O56="",Inputs!$B$7,O56))</f>
        <v/>
      </c>
      <c r="Q56" s="9" t="str">
        <f aca="false">IF(A56="","",IF(N56/Inputs!$B$10&lt;=AG56,Inputs!$F$5,IF(N56/Inputs!$B$10&gt;AP56,"OVERSIZE",INDEX(Inputs!$F$5:$F$14,MATCH(N56/Inputs!$B$10,AG56:AP56,1)+1))))</f>
        <v/>
      </c>
      <c r="R56" s="9"/>
      <c r="S56" s="9" t="str">
        <f aca="false">IF(A56="","",IF(R56="",Q56,R56))</f>
        <v/>
      </c>
      <c r="T56" s="14" t="str">
        <f aca="false">IF(OR(S56="",S56="OVERSIZE"),"",S56/1000)</f>
        <v/>
      </c>
      <c r="U56" s="14" t="str">
        <f aca="false">IF(T56="","",(1/Inputs!$B$9)*(PI()*T56^2/4)*((T56/4)^(2/3))*SQRT(P56))</f>
        <v/>
      </c>
      <c r="V56" s="14" t="str">
        <f aca="false">IF(OR(U56="",N56=""),"",N56/(U56*Inputs!$B$10))</f>
        <v/>
      </c>
      <c r="W56" s="14" t="str">
        <f aca="false">IF(OR(T56="",N56=""),"",4*N56/(PI()*T56^2))</f>
        <v/>
      </c>
      <c r="X56" s="14"/>
      <c r="Y56" s="14" t="str">
        <f aca="false">IF(A56="","",IF(A56=Inputs!$B$6,Inputs!$B$22,IF(D56="","",IFERROR(INDEX($Z$4:$Z$203,MATCH(D56,$A$4:$A$203,0))+IF(X56="",Inputs!$B$20,X56),""))))</f>
        <v/>
      </c>
      <c r="Z56" s="14" t="str">
        <f aca="false">IF(OR(Y56="",P56="",E56=""),"",Y56+P56*E56)</f>
        <v/>
      </c>
      <c r="AA56" s="14" t="str">
        <f aca="false">IF(C56="","",IFERROR(INDEX(Noeuds_plan!$C$4:$C$200,MATCH(C56,Noeuds_plan!$A$4:$A$200,0)),""))</f>
        <v/>
      </c>
      <c r="AB56" s="14" t="str">
        <f aca="false">IF(B56="","",IFERROR(INDEX(Noeuds_plan!$C$4:$C$200,MATCH(B56,Noeuds_plan!$A$4:$A$200,0)),""))</f>
        <v/>
      </c>
      <c r="AC56" s="14" t="str">
        <f aca="false">IF(OR(AA56="",Y56=""),"",AA56-Y56)</f>
        <v/>
      </c>
      <c r="AD56" s="14" t="str">
        <f aca="false">IF(OR(AB56="",Z56=""),"",AB56-Z56)</f>
        <v/>
      </c>
      <c r="AE56" s="19" t="str">
        <f aca="false">IF(A56="","",IF(OR(V56&gt;1,AND(AY56&lt;&gt;"",AY56&lt;Inputs!$B$11),AND(AY56&lt;&gt;"",AY56&gt;Inputs!$B$12),AC56&lt;Inputs!$B$19,AD56&lt;Inputs!$B$19,P56&lt;Inputs!$B$7,P56&gt;Inputs!$B$8),"CHECK","OK"))</f>
        <v/>
      </c>
      <c r="AF56" s="9"/>
      <c r="AG56" s="9" t="str">
        <f aca="false">IF(A56="","",(1/Inputs!$B$9)*(PI()*(Inputs!$F$5/1000)^2/4)*((Inputs!$F$5/1000/4)^(2/3))*SQRT(P56))</f>
        <v/>
      </c>
      <c r="AH56" s="9" t="str">
        <f aca="false">IF(A56="","",(1/Inputs!$B$9)*(PI()*(Inputs!$F$6/1000)^2/4)*((Inputs!$F$6/1000/4)^(2/3))*SQRT(P56))</f>
        <v/>
      </c>
      <c r="AI56" s="9" t="str">
        <f aca="false">IF(A56="","",(1/Inputs!$B$9)*(PI()*(Inputs!$F$7/1000)^2/4)*((Inputs!$F$7/1000/4)^(2/3))*SQRT(P56))</f>
        <v/>
      </c>
      <c r="AJ56" s="9" t="str">
        <f aca="false">IF(A56="","",(1/Inputs!$B$9)*(PI()*(Inputs!$F$8/1000)^2/4)*((Inputs!$F$8/1000/4)^(2/3))*SQRT(P56))</f>
        <v/>
      </c>
      <c r="AK56" s="9" t="str">
        <f aca="false">IF(A56="","",(1/Inputs!$B$9)*(PI()*(Inputs!$F$9/1000)^2/4)*((Inputs!$F$9/1000/4)^(2/3))*SQRT(P56))</f>
        <v/>
      </c>
      <c r="AL56" s="9" t="str">
        <f aca="false">IF(A56="","",(1/Inputs!$B$9)*(PI()*(Inputs!$F$10/1000)^2/4)*((Inputs!$F$10/1000/4)^(2/3))*SQRT(P56))</f>
        <v/>
      </c>
      <c r="AM56" s="9" t="str">
        <f aca="false">IF(A56="","",(1/Inputs!$B$9)*(PI()*(Inputs!$F$11/1000)^2/4)*((Inputs!$F$11/1000/4)^(2/3))*SQRT(P56))</f>
        <v/>
      </c>
      <c r="AN56" s="9" t="str">
        <f aca="false">IF(A56="","",(1/Inputs!$B$9)*(PI()*(Inputs!$F$12/1000)^2/4)*((Inputs!$F$12/1000/4)^(2/3))*SQRT(P56))</f>
        <v/>
      </c>
      <c r="AO56" s="9" t="str">
        <f aca="false">IF(A56="","",(1/Inputs!$B$9)*(PI()*(Inputs!$F$13/1000)^2/4)*((Inputs!$F$13/1000/4)^(2/3))*SQRT(P56))</f>
        <v/>
      </c>
      <c r="AP56" s="9" t="str">
        <f aca="false">IF(A56="","",(1/Inputs!$B$9)*(PI()*(Inputs!$F$14/1000)^2/4)*((Inputs!$F$14/1000/4)^(2/3))*SQRT(P56))</f>
        <v/>
      </c>
      <c r="AQ56" s="9" t="str">
        <f aca="false">IF(A56="","",COUNTIF($D$4:$D$203,$A56))</f>
        <v/>
      </c>
      <c r="AR56" s="9" t="str">
        <f aca="false">IF(A56="","",IF(AQ56=0,"START","CONTINUOUS"))</f>
        <v/>
      </c>
      <c r="AS56" s="13" t="str">
        <f aca="false">IF(A56="","",IF(J56="",Inputs!$B$18,J56))</f>
        <v/>
      </c>
      <c r="AT56" s="13" t="str">
        <f aca="false">IF(A56="","",IFERROR(maxifs($AV$4:$AV$203,$D$4:$D$203,$A56),""))</f>
        <v/>
      </c>
      <c r="AU56" s="13" t="str">
        <f aca="false">IF(A56="","",IF(OR(E56="",Inputs!$B$23=""),"",E56/(Inputs!$B$23*60)))</f>
        <v/>
      </c>
      <c r="AV56" s="13" t="str">
        <f aca="false">IF(A56="","",IF(AQ56=0,AS56+AU56,IF(AT56="",AS56+AU56,AT56+AU56)))</f>
        <v/>
      </c>
      <c r="AW56" s="13" t="str">
        <f aca="false">IF(A56="","",W56)</f>
        <v/>
      </c>
      <c r="AX56" s="13" t="str">
        <f aca="false">IF(OR(T56="",P56=""),"",(1/Inputs!$B$9)*((T56/4)^(2/3))*SQRT(P56))</f>
        <v/>
      </c>
      <c r="AY56" s="13" t="str">
        <f aca="false">IF(A56="","",IF(AND(AW56="",AX56="",BA56=""),"",IF(OR(UPPER(TRIM(Inputs!$B$24))="MANNING",UPPER(TRIM(Inputs!$B$24))="M"),AX56,IF(OR(UPPER(TRIM(Inputs!$B$24))="PARTIAL",UPPER(TRIM(Inputs!$B$24))="P"),BA56,IF(OR(UPPER(TRIM(Inputs!$B$24))="MAX",UPPER(TRIM(Inputs!$B$24))="X"),MAX(IF(AW56="",0,AW56),IF(AX56="",0,AX56),IF(BA56="",0,BA56)),AW56)))))</f>
        <v/>
      </c>
      <c r="AZ56" s="13" t="str">
        <f aca="false">IF(BB56="","",CH56)</f>
        <v/>
      </c>
      <c r="BA56" s="13" t="str">
        <f aca="false">IF(OR(BB56="",AZ56="",T56="",T56&lt;=0,AZ56&lt;=0),"",BB56/((T56^2/8)*(2*ACOS(1-2*AZ56/T56)-SIN(2*ACOS(1-2*AZ56/T56)))))</f>
        <v/>
      </c>
      <c r="BB56" s="9" t="str">
        <f aca="false">IF(OR(N56="",BC56=""),"",MIN(N56,BC56))</f>
        <v/>
      </c>
      <c r="BC56" s="9" t="str">
        <f aca="false">IF(OR(N56="",T56="",P56=""),"",IF(OR(T56="",P56="",(0.94*T56)="",T56&lt;=0,(0.94*T56)&lt;=0),"",(1/Inputs!$B$9)*((T56^2/8)*((2*ACOS(1-2*(0.94*T56)/T56))-SIN((2*ACOS(1-2*(0.94*T56)/T56)))))*((((T56^2/8)*((2*ACOS(1-2*(0.94*T56)/T56))-SIN((2*ACOS(1-2*(0.94*T56)/T56)))))/((T56/2)*((2*ACOS(1-2*(0.94*T56)/T56)))))^(2/3))*SQRT(P56)))</f>
        <v/>
      </c>
      <c r="BD56" s="9" t="str">
        <f aca="false">IF(BB56="","",0.001*T56)</f>
        <v/>
      </c>
      <c r="BE56" s="9" t="str">
        <f aca="false">IF(BB56="","",0.94*T56)</f>
        <v/>
      </c>
      <c r="BF56" s="9" t="str">
        <f aca="false">IF(BB56="","",(BD56+BE56)/2)</f>
        <v/>
      </c>
      <c r="BG56" s="9" t="str">
        <f aca="false">IF(OR(T56="",P56="",BF56="",T56&lt;=0,BF56&lt;=0),"",(1/Inputs!$B$9)*((T56^2/8)*((2*ACOS(1-2*BF56/T56))-SIN((2*ACOS(1-2*BF56/T56)))))*((((T56^2/8)*((2*ACOS(1-2*BF56/T56))-SIN((2*ACOS(1-2*BF56/T56)))))/((T56/2)*((2*ACOS(1-2*BF56/T56)))))^(2/3))*SQRT(P56))</f>
        <v/>
      </c>
      <c r="BH56" s="9" t="str">
        <f aca="false">IF(BB56="","",IF(BG56&lt;BB56,BF56,BD56))</f>
        <v/>
      </c>
      <c r="BI56" s="9" t="str">
        <f aca="false">IF(BB56="","",IF(BG56&lt;BB56,BE56,BF56))</f>
        <v/>
      </c>
      <c r="BJ56" s="9" t="str">
        <f aca="false">IF(BB56="","",(BH56+BI56)/2)</f>
        <v/>
      </c>
      <c r="BK56" s="9" t="str">
        <f aca="false">IF(OR(T56="",P56="",BJ56="",T56&lt;=0,BJ56&lt;=0),"",(1/Inputs!$B$9)*((T56^2/8)*((2*ACOS(1-2*BJ56/T56))-SIN((2*ACOS(1-2*BJ56/T56)))))*((((T56^2/8)*((2*ACOS(1-2*BJ56/T56))-SIN((2*ACOS(1-2*BJ56/T56)))))/((T56/2)*((2*ACOS(1-2*BJ56/T56)))))^(2/3))*SQRT(P56))</f>
        <v/>
      </c>
      <c r="BL56" s="9" t="str">
        <f aca="false">IF(BB56="","",IF(BK56&lt;BB56,BJ56,BH56))</f>
        <v/>
      </c>
      <c r="BM56" s="9" t="str">
        <f aca="false">IF(BB56="","",IF(BK56&lt;BB56,BI56,BJ56))</f>
        <v/>
      </c>
      <c r="BN56" s="9" t="str">
        <f aca="false">IF(BB56="","",(BL56+BM56)/2)</f>
        <v/>
      </c>
      <c r="BO56" s="9" t="str">
        <f aca="false">IF(OR(T56="",P56="",BN56="",T56&lt;=0,BN56&lt;=0),"",(1/Inputs!$B$9)*((T56^2/8)*((2*ACOS(1-2*BN56/T56))-SIN((2*ACOS(1-2*BN56/T56)))))*((((T56^2/8)*((2*ACOS(1-2*BN56/T56))-SIN((2*ACOS(1-2*BN56/T56)))))/((T56/2)*((2*ACOS(1-2*BN56/T56)))))^(2/3))*SQRT(P56))</f>
        <v/>
      </c>
      <c r="BP56" s="9" t="str">
        <f aca="false">IF(BB56="","",IF(BO56&lt;BB56,BN56,BL56))</f>
        <v/>
      </c>
      <c r="BQ56" s="9" t="str">
        <f aca="false">IF(BB56="","",IF(BO56&lt;BB56,BM56,BN56))</f>
        <v/>
      </c>
      <c r="BR56" s="9" t="str">
        <f aca="false">IF(BB56="","",(BP56+BQ56)/2)</f>
        <v/>
      </c>
      <c r="BS56" s="9" t="str">
        <f aca="false">IF(OR(T56="",P56="",BR56="",T56&lt;=0,BR56&lt;=0),"",(1/Inputs!$B$9)*((T56^2/8)*((2*ACOS(1-2*BR56/T56))-SIN((2*ACOS(1-2*BR56/T56)))))*((((T56^2/8)*((2*ACOS(1-2*BR56/T56))-SIN((2*ACOS(1-2*BR56/T56)))))/((T56/2)*((2*ACOS(1-2*BR56/T56)))))^(2/3))*SQRT(P56))</f>
        <v/>
      </c>
      <c r="BT56" s="9" t="str">
        <f aca="false">IF(BB56="","",IF(BS56&lt;BB56,BR56,BP56))</f>
        <v/>
      </c>
      <c r="BU56" s="9" t="str">
        <f aca="false">IF(BB56="","",IF(BS56&lt;BB56,BQ56,BR56))</f>
        <v/>
      </c>
      <c r="BV56" s="9" t="str">
        <f aca="false">IF(BB56="","",(BT56+BU56)/2)</f>
        <v/>
      </c>
      <c r="BW56" s="9" t="str">
        <f aca="false">IF(OR(T56="",P56="",BV56="",T56&lt;=0,BV56&lt;=0),"",(1/Inputs!$B$9)*((T56^2/8)*((2*ACOS(1-2*BV56/T56))-SIN((2*ACOS(1-2*BV56/T56)))))*((((T56^2/8)*((2*ACOS(1-2*BV56/T56))-SIN((2*ACOS(1-2*BV56/T56)))))/((T56/2)*((2*ACOS(1-2*BV56/T56)))))^(2/3))*SQRT(P56))</f>
        <v/>
      </c>
      <c r="BX56" s="9" t="str">
        <f aca="false">IF(BB56="","",IF(BW56&lt;BB56,BV56,BT56))</f>
        <v/>
      </c>
      <c r="BY56" s="9" t="str">
        <f aca="false">IF(BB56="","",IF(BW56&lt;BB56,BU56,BV56))</f>
        <v/>
      </c>
      <c r="BZ56" s="9" t="str">
        <f aca="false">IF(BB56="","",(BX56+BY56)/2)</f>
        <v/>
      </c>
      <c r="CA56" s="9" t="str">
        <f aca="false">IF(OR(T56="",P56="",BZ56="",T56&lt;=0,BZ56&lt;=0),"",(1/Inputs!$B$9)*((T56^2/8)*((2*ACOS(1-2*BZ56/T56))-SIN((2*ACOS(1-2*BZ56/T56)))))*((((T56^2/8)*((2*ACOS(1-2*BZ56/T56))-SIN((2*ACOS(1-2*BZ56/T56)))))/((T56/2)*((2*ACOS(1-2*BZ56/T56)))))^(2/3))*SQRT(P56))</f>
        <v/>
      </c>
      <c r="CB56" s="9" t="str">
        <f aca="false">IF(BB56="","",IF(CA56&lt;BB56,BZ56,BX56))</f>
        <v/>
      </c>
      <c r="CC56" s="9" t="str">
        <f aca="false">IF(BB56="","",IF(CA56&lt;BB56,BY56,BZ56))</f>
        <v/>
      </c>
      <c r="CD56" s="9" t="str">
        <f aca="false">IF(BB56="","",(CB56+CC56)/2)</f>
        <v/>
      </c>
      <c r="CE56" s="9" t="str">
        <f aca="false">IF(OR(T56="",P56="",CD56="",T56&lt;=0,CD56&lt;=0),"",(1/Inputs!$B$9)*((T56^2/8)*((2*ACOS(1-2*CD56/T56))-SIN((2*ACOS(1-2*CD56/T56)))))*((((T56^2/8)*((2*ACOS(1-2*CD56/T56))-SIN((2*ACOS(1-2*CD56/T56)))))/((T56/2)*((2*ACOS(1-2*CD56/T56)))))^(2/3))*SQRT(P56))</f>
        <v/>
      </c>
      <c r="CF56" s="9" t="str">
        <f aca="false">IF(BB56="","",IF(CE56&lt;BB56,CD56,CB56))</f>
        <v/>
      </c>
      <c r="CG56" s="9" t="str">
        <f aca="false">IF(BB56="","",IF(CE56&lt;BB56,CC56,CD56))</f>
        <v/>
      </c>
      <c r="CH56" s="9" t="str">
        <f aca="false">IF(BB56="","",(CF56+CG56)/2)</f>
        <v/>
      </c>
    </row>
    <row r="57" customFormat="false" ht="15" hidden="false" customHeight="false" outlineLevel="0" collapsed="false">
      <c r="A57" s="9"/>
      <c r="B57" s="9"/>
      <c r="C57" s="9"/>
      <c r="D57" s="9"/>
      <c r="E57" s="14"/>
      <c r="F57" s="14"/>
      <c r="G57" s="14" t="n">
        <f aca="false">SUMIFS(CB_plan!$C:$C,CB_plan!$B:$B,$A57)</f>
        <v>0</v>
      </c>
      <c r="H57" s="14" t="n">
        <f aca="false">IF(F57="",G57,F57)</f>
        <v>0</v>
      </c>
      <c r="I57" s="9"/>
      <c r="J57" s="14"/>
      <c r="K57" s="14" t="str">
        <f aca="false">IF(A57="","",Inputs!$B$13/((IF(AV57="",Inputs!$B$18,AV57)+Inputs!$B$14)^Inputs!$B$15))</f>
        <v/>
      </c>
      <c r="L57" s="14" t="str">
        <f aca="false">IF(A57="","",0.000000278*IF(I57="",Inputs!$B$17,I57)*H57*K57)</f>
        <v/>
      </c>
      <c r="M57" s="14" t="str">
        <f aca="false">IF(A57="","",SUMIFS($N$4:$N$203,$D$4:$D$203,$A57))</f>
        <v/>
      </c>
      <c r="N57" s="14" t="str">
        <f aca="false">IF(A57="","",(L57+M57)*Inputs!$B$16)</f>
        <v/>
      </c>
      <c r="O57" s="14"/>
      <c r="P57" s="14" t="str">
        <f aca="false">IF(A57="","",IF(O57="",Inputs!$B$7,O57))</f>
        <v/>
      </c>
      <c r="Q57" s="9" t="str">
        <f aca="false">IF(A57="","",IF(N57/Inputs!$B$10&lt;=AG57,Inputs!$F$5,IF(N57/Inputs!$B$10&gt;AP57,"OVERSIZE",INDEX(Inputs!$F$5:$F$14,MATCH(N57/Inputs!$B$10,AG57:AP57,1)+1))))</f>
        <v/>
      </c>
      <c r="R57" s="9"/>
      <c r="S57" s="9" t="str">
        <f aca="false">IF(A57="","",IF(R57="",Q57,R57))</f>
        <v/>
      </c>
      <c r="T57" s="14" t="str">
        <f aca="false">IF(OR(S57="",S57="OVERSIZE"),"",S57/1000)</f>
        <v/>
      </c>
      <c r="U57" s="14" t="str">
        <f aca="false">IF(T57="","",(1/Inputs!$B$9)*(PI()*T57^2/4)*((T57/4)^(2/3))*SQRT(P57))</f>
        <v/>
      </c>
      <c r="V57" s="14" t="str">
        <f aca="false">IF(OR(U57="",N57=""),"",N57/(U57*Inputs!$B$10))</f>
        <v/>
      </c>
      <c r="W57" s="14" t="str">
        <f aca="false">IF(OR(T57="",N57=""),"",4*N57/(PI()*T57^2))</f>
        <v/>
      </c>
      <c r="X57" s="14"/>
      <c r="Y57" s="14" t="str">
        <f aca="false">IF(A57="","",IF(A57=Inputs!$B$6,Inputs!$B$22,IF(D57="","",IFERROR(INDEX($Z$4:$Z$203,MATCH(D57,$A$4:$A$203,0))+IF(X57="",Inputs!$B$20,X57),""))))</f>
        <v/>
      </c>
      <c r="Z57" s="14" t="str">
        <f aca="false">IF(OR(Y57="",P57="",E57=""),"",Y57+P57*E57)</f>
        <v/>
      </c>
      <c r="AA57" s="14" t="str">
        <f aca="false">IF(C57="","",IFERROR(INDEX(Noeuds_plan!$C$4:$C$200,MATCH(C57,Noeuds_plan!$A$4:$A$200,0)),""))</f>
        <v/>
      </c>
      <c r="AB57" s="14" t="str">
        <f aca="false">IF(B57="","",IFERROR(INDEX(Noeuds_plan!$C$4:$C$200,MATCH(B57,Noeuds_plan!$A$4:$A$200,0)),""))</f>
        <v/>
      </c>
      <c r="AC57" s="14" t="str">
        <f aca="false">IF(OR(AA57="",Y57=""),"",AA57-Y57)</f>
        <v/>
      </c>
      <c r="AD57" s="14" t="str">
        <f aca="false">IF(OR(AB57="",Z57=""),"",AB57-Z57)</f>
        <v/>
      </c>
      <c r="AE57" s="19" t="str">
        <f aca="false">IF(A57="","",IF(OR(V57&gt;1,AND(AY57&lt;&gt;"",AY57&lt;Inputs!$B$11),AND(AY57&lt;&gt;"",AY57&gt;Inputs!$B$12),AC57&lt;Inputs!$B$19,AD57&lt;Inputs!$B$19,P57&lt;Inputs!$B$7,P57&gt;Inputs!$B$8),"CHECK","OK"))</f>
        <v/>
      </c>
      <c r="AF57" s="9"/>
      <c r="AG57" s="9" t="str">
        <f aca="false">IF(A57="","",(1/Inputs!$B$9)*(PI()*(Inputs!$F$5/1000)^2/4)*((Inputs!$F$5/1000/4)^(2/3))*SQRT(P57))</f>
        <v/>
      </c>
      <c r="AH57" s="9" t="str">
        <f aca="false">IF(A57="","",(1/Inputs!$B$9)*(PI()*(Inputs!$F$6/1000)^2/4)*((Inputs!$F$6/1000/4)^(2/3))*SQRT(P57))</f>
        <v/>
      </c>
      <c r="AI57" s="9" t="str">
        <f aca="false">IF(A57="","",(1/Inputs!$B$9)*(PI()*(Inputs!$F$7/1000)^2/4)*((Inputs!$F$7/1000/4)^(2/3))*SQRT(P57))</f>
        <v/>
      </c>
      <c r="AJ57" s="9" t="str">
        <f aca="false">IF(A57="","",(1/Inputs!$B$9)*(PI()*(Inputs!$F$8/1000)^2/4)*((Inputs!$F$8/1000/4)^(2/3))*SQRT(P57))</f>
        <v/>
      </c>
      <c r="AK57" s="9" t="str">
        <f aca="false">IF(A57="","",(1/Inputs!$B$9)*(PI()*(Inputs!$F$9/1000)^2/4)*((Inputs!$F$9/1000/4)^(2/3))*SQRT(P57))</f>
        <v/>
      </c>
      <c r="AL57" s="9" t="str">
        <f aca="false">IF(A57="","",(1/Inputs!$B$9)*(PI()*(Inputs!$F$10/1000)^2/4)*((Inputs!$F$10/1000/4)^(2/3))*SQRT(P57))</f>
        <v/>
      </c>
      <c r="AM57" s="9" t="str">
        <f aca="false">IF(A57="","",(1/Inputs!$B$9)*(PI()*(Inputs!$F$11/1000)^2/4)*((Inputs!$F$11/1000/4)^(2/3))*SQRT(P57))</f>
        <v/>
      </c>
      <c r="AN57" s="9" t="str">
        <f aca="false">IF(A57="","",(1/Inputs!$B$9)*(PI()*(Inputs!$F$12/1000)^2/4)*((Inputs!$F$12/1000/4)^(2/3))*SQRT(P57))</f>
        <v/>
      </c>
      <c r="AO57" s="9" t="str">
        <f aca="false">IF(A57="","",(1/Inputs!$B$9)*(PI()*(Inputs!$F$13/1000)^2/4)*((Inputs!$F$13/1000/4)^(2/3))*SQRT(P57))</f>
        <v/>
      </c>
      <c r="AP57" s="9" t="str">
        <f aca="false">IF(A57="","",(1/Inputs!$B$9)*(PI()*(Inputs!$F$14/1000)^2/4)*((Inputs!$F$14/1000/4)^(2/3))*SQRT(P57))</f>
        <v/>
      </c>
      <c r="AQ57" s="9" t="str">
        <f aca="false">IF(A57="","",COUNTIF($D$4:$D$203,$A57))</f>
        <v/>
      </c>
      <c r="AR57" s="9" t="str">
        <f aca="false">IF(A57="","",IF(AQ57=0,"START","CONTINUOUS"))</f>
        <v/>
      </c>
      <c r="AS57" s="13" t="str">
        <f aca="false">IF(A57="","",IF(J57="",Inputs!$B$18,J57))</f>
        <v/>
      </c>
      <c r="AT57" s="13" t="str">
        <f aca="false">IF(A57="","",IFERROR(maxifs($AV$4:$AV$203,$D$4:$D$203,$A57),""))</f>
        <v/>
      </c>
      <c r="AU57" s="13" t="str">
        <f aca="false">IF(A57="","",IF(OR(E57="",Inputs!$B$23=""),"",E57/(Inputs!$B$23*60)))</f>
        <v/>
      </c>
      <c r="AV57" s="13" t="str">
        <f aca="false">IF(A57="","",IF(AQ57=0,AS57+AU57,IF(AT57="",AS57+AU57,AT57+AU57)))</f>
        <v/>
      </c>
      <c r="AW57" s="13" t="str">
        <f aca="false">IF(A57="","",W57)</f>
        <v/>
      </c>
      <c r="AX57" s="13" t="str">
        <f aca="false">IF(OR(T57="",P57=""),"",(1/Inputs!$B$9)*((T57/4)^(2/3))*SQRT(P57))</f>
        <v/>
      </c>
      <c r="AY57" s="13" t="str">
        <f aca="false">IF(A57="","",IF(AND(AW57="",AX57="",BA57=""),"",IF(OR(UPPER(TRIM(Inputs!$B$24))="MANNING",UPPER(TRIM(Inputs!$B$24))="M"),AX57,IF(OR(UPPER(TRIM(Inputs!$B$24))="PARTIAL",UPPER(TRIM(Inputs!$B$24))="P"),BA57,IF(OR(UPPER(TRIM(Inputs!$B$24))="MAX",UPPER(TRIM(Inputs!$B$24))="X"),MAX(IF(AW57="",0,AW57),IF(AX57="",0,AX57),IF(BA57="",0,BA57)),AW57)))))</f>
        <v/>
      </c>
      <c r="AZ57" s="13" t="str">
        <f aca="false">IF(BB57="","",CH57)</f>
        <v/>
      </c>
      <c r="BA57" s="13" t="str">
        <f aca="false">IF(OR(BB57="",AZ57="",T57="",T57&lt;=0,AZ57&lt;=0),"",BB57/((T57^2/8)*(2*ACOS(1-2*AZ57/T57)-SIN(2*ACOS(1-2*AZ57/T57)))))</f>
        <v/>
      </c>
      <c r="BB57" s="9" t="str">
        <f aca="false">IF(OR(N57="",BC57=""),"",MIN(N57,BC57))</f>
        <v/>
      </c>
      <c r="BC57" s="9" t="str">
        <f aca="false">IF(OR(N57="",T57="",P57=""),"",IF(OR(T57="",P57="",(0.94*T57)="",T57&lt;=0,(0.94*T57)&lt;=0),"",(1/Inputs!$B$9)*((T57^2/8)*((2*ACOS(1-2*(0.94*T57)/T57))-SIN((2*ACOS(1-2*(0.94*T57)/T57)))))*((((T57^2/8)*((2*ACOS(1-2*(0.94*T57)/T57))-SIN((2*ACOS(1-2*(0.94*T57)/T57)))))/((T57/2)*((2*ACOS(1-2*(0.94*T57)/T57)))))^(2/3))*SQRT(P57)))</f>
        <v/>
      </c>
      <c r="BD57" s="9" t="str">
        <f aca="false">IF(BB57="","",0.001*T57)</f>
        <v/>
      </c>
      <c r="BE57" s="9" t="str">
        <f aca="false">IF(BB57="","",0.94*T57)</f>
        <v/>
      </c>
      <c r="BF57" s="9" t="str">
        <f aca="false">IF(BB57="","",(BD57+BE57)/2)</f>
        <v/>
      </c>
      <c r="BG57" s="9" t="str">
        <f aca="false">IF(OR(T57="",P57="",BF57="",T57&lt;=0,BF57&lt;=0),"",(1/Inputs!$B$9)*((T57^2/8)*((2*ACOS(1-2*BF57/T57))-SIN((2*ACOS(1-2*BF57/T57)))))*((((T57^2/8)*((2*ACOS(1-2*BF57/T57))-SIN((2*ACOS(1-2*BF57/T57)))))/((T57/2)*((2*ACOS(1-2*BF57/T57)))))^(2/3))*SQRT(P57))</f>
        <v/>
      </c>
      <c r="BH57" s="9" t="str">
        <f aca="false">IF(BB57="","",IF(BG57&lt;BB57,BF57,BD57))</f>
        <v/>
      </c>
      <c r="BI57" s="9" t="str">
        <f aca="false">IF(BB57="","",IF(BG57&lt;BB57,BE57,BF57))</f>
        <v/>
      </c>
      <c r="BJ57" s="9" t="str">
        <f aca="false">IF(BB57="","",(BH57+BI57)/2)</f>
        <v/>
      </c>
      <c r="BK57" s="9" t="str">
        <f aca="false">IF(OR(T57="",P57="",BJ57="",T57&lt;=0,BJ57&lt;=0),"",(1/Inputs!$B$9)*((T57^2/8)*((2*ACOS(1-2*BJ57/T57))-SIN((2*ACOS(1-2*BJ57/T57)))))*((((T57^2/8)*((2*ACOS(1-2*BJ57/T57))-SIN((2*ACOS(1-2*BJ57/T57)))))/((T57/2)*((2*ACOS(1-2*BJ57/T57)))))^(2/3))*SQRT(P57))</f>
        <v/>
      </c>
      <c r="BL57" s="9" t="str">
        <f aca="false">IF(BB57="","",IF(BK57&lt;BB57,BJ57,BH57))</f>
        <v/>
      </c>
      <c r="BM57" s="9" t="str">
        <f aca="false">IF(BB57="","",IF(BK57&lt;BB57,BI57,BJ57))</f>
        <v/>
      </c>
      <c r="BN57" s="9" t="str">
        <f aca="false">IF(BB57="","",(BL57+BM57)/2)</f>
        <v/>
      </c>
      <c r="BO57" s="9" t="str">
        <f aca="false">IF(OR(T57="",P57="",BN57="",T57&lt;=0,BN57&lt;=0),"",(1/Inputs!$B$9)*((T57^2/8)*((2*ACOS(1-2*BN57/T57))-SIN((2*ACOS(1-2*BN57/T57)))))*((((T57^2/8)*((2*ACOS(1-2*BN57/T57))-SIN((2*ACOS(1-2*BN57/T57)))))/((T57/2)*((2*ACOS(1-2*BN57/T57)))))^(2/3))*SQRT(P57))</f>
        <v/>
      </c>
      <c r="BP57" s="9" t="str">
        <f aca="false">IF(BB57="","",IF(BO57&lt;BB57,BN57,BL57))</f>
        <v/>
      </c>
      <c r="BQ57" s="9" t="str">
        <f aca="false">IF(BB57="","",IF(BO57&lt;BB57,BM57,BN57))</f>
        <v/>
      </c>
      <c r="BR57" s="9" t="str">
        <f aca="false">IF(BB57="","",(BP57+BQ57)/2)</f>
        <v/>
      </c>
      <c r="BS57" s="9" t="str">
        <f aca="false">IF(OR(T57="",P57="",BR57="",T57&lt;=0,BR57&lt;=0),"",(1/Inputs!$B$9)*((T57^2/8)*((2*ACOS(1-2*BR57/T57))-SIN((2*ACOS(1-2*BR57/T57)))))*((((T57^2/8)*((2*ACOS(1-2*BR57/T57))-SIN((2*ACOS(1-2*BR57/T57)))))/((T57/2)*((2*ACOS(1-2*BR57/T57)))))^(2/3))*SQRT(P57))</f>
        <v/>
      </c>
      <c r="BT57" s="9" t="str">
        <f aca="false">IF(BB57="","",IF(BS57&lt;BB57,BR57,BP57))</f>
        <v/>
      </c>
      <c r="BU57" s="9" t="str">
        <f aca="false">IF(BB57="","",IF(BS57&lt;BB57,BQ57,BR57))</f>
        <v/>
      </c>
      <c r="BV57" s="9" t="str">
        <f aca="false">IF(BB57="","",(BT57+BU57)/2)</f>
        <v/>
      </c>
      <c r="BW57" s="9" t="str">
        <f aca="false">IF(OR(T57="",P57="",BV57="",T57&lt;=0,BV57&lt;=0),"",(1/Inputs!$B$9)*((T57^2/8)*((2*ACOS(1-2*BV57/T57))-SIN((2*ACOS(1-2*BV57/T57)))))*((((T57^2/8)*((2*ACOS(1-2*BV57/T57))-SIN((2*ACOS(1-2*BV57/T57)))))/((T57/2)*((2*ACOS(1-2*BV57/T57)))))^(2/3))*SQRT(P57))</f>
        <v/>
      </c>
      <c r="BX57" s="9" t="str">
        <f aca="false">IF(BB57="","",IF(BW57&lt;BB57,BV57,BT57))</f>
        <v/>
      </c>
      <c r="BY57" s="9" t="str">
        <f aca="false">IF(BB57="","",IF(BW57&lt;BB57,BU57,BV57))</f>
        <v/>
      </c>
      <c r="BZ57" s="9" t="str">
        <f aca="false">IF(BB57="","",(BX57+BY57)/2)</f>
        <v/>
      </c>
      <c r="CA57" s="9" t="str">
        <f aca="false">IF(OR(T57="",P57="",BZ57="",T57&lt;=0,BZ57&lt;=0),"",(1/Inputs!$B$9)*((T57^2/8)*((2*ACOS(1-2*BZ57/T57))-SIN((2*ACOS(1-2*BZ57/T57)))))*((((T57^2/8)*((2*ACOS(1-2*BZ57/T57))-SIN((2*ACOS(1-2*BZ57/T57)))))/((T57/2)*((2*ACOS(1-2*BZ57/T57)))))^(2/3))*SQRT(P57))</f>
        <v/>
      </c>
      <c r="CB57" s="9" t="str">
        <f aca="false">IF(BB57="","",IF(CA57&lt;BB57,BZ57,BX57))</f>
        <v/>
      </c>
      <c r="CC57" s="9" t="str">
        <f aca="false">IF(BB57="","",IF(CA57&lt;BB57,BY57,BZ57))</f>
        <v/>
      </c>
      <c r="CD57" s="9" t="str">
        <f aca="false">IF(BB57="","",(CB57+CC57)/2)</f>
        <v/>
      </c>
      <c r="CE57" s="9" t="str">
        <f aca="false">IF(OR(T57="",P57="",CD57="",T57&lt;=0,CD57&lt;=0),"",(1/Inputs!$B$9)*((T57^2/8)*((2*ACOS(1-2*CD57/T57))-SIN((2*ACOS(1-2*CD57/T57)))))*((((T57^2/8)*((2*ACOS(1-2*CD57/T57))-SIN((2*ACOS(1-2*CD57/T57)))))/((T57/2)*((2*ACOS(1-2*CD57/T57)))))^(2/3))*SQRT(P57))</f>
        <v/>
      </c>
      <c r="CF57" s="9" t="str">
        <f aca="false">IF(BB57="","",IF(CE57&lt;BB57,CD57,CB57))</f>
        <v/>
      </c>
      <c r="CG57" s="9" t="str">
        <f aca="false">IF(BB57="","",IF(CE57&lt;BB57,CC57,CD57))</f>
        <v/>
      </c>
      <c r="CH57" s="9" t="str">
        <f aca="false">IF(BB57="","",(CF57+CG57)/2)</f>
        <v/>
      </c>
    </row>
    <row r="58" customFormat="false" ht="15" hidden="false" customHeight="false" outlineLevel="0" collapsed="false">
      <c r="A58" s="9"/>
      <c r="B58" s="9"/>
      <c r="C58" s="9"/>
      <c r="D58" s="9"/>
      <c r="E58" s="14"/>
      <c r="F58" s="14"/>
      <c r="G58" s="14" t="n">
        <f aca="false">SUMIFS(CB_plan!$C:$C,CB_plan!$B:$B,$A58)</f>
        <v>0</v>
      </c>
      <c r="H58" s="14" t="n">
        <f aca="false">IF(F58="",G58,F58)</f>
        <v>0</v>
      </c>
      <c r="I58" s="9"/>
      <c r="J58" s="14"/>
      <c r="K58" s="14" t="str">
        <f aca="false">IF(A58="","",Inputs!$B$13/((IF(AV58="",Inputs!$B$18,AV58)+Inputs!$B$14)^Inputs!$B$15))</f>
        <v/>
      </c>
      <c r="L58" s="14" t="str">
        <f aca="false">IF(A58="","",0.000000278*IF(I58="",Inputs!$B$17,I58)*H58*K58)</f>
        <v/>
      </c>
      <c r="M58" s="14" t="str">
        <f aca="false">IF(A58="","",SUMIFS($N$4:$N$203,$D$4:$D$203,$A58))</f>
        <v/>
      </c>
      <c r="N58" s="14" t="str">
        <f aca="false">IF(A58="","",(L58+M58)*Inputs!$B$16)</f>
        <v/>
      </c>
      <c r="O58" s="14"/>
      <c r="P58" s="14" t="str">
        <f aca="false">IF(A58="","",IF(O58="",Inputs!$B$7,O58))</f>
        <v/>
      </c>
      <c r="Q58" s="9" t="str">
        <f aca="false">IF(A58="","",IF(N58/Inputs!$B$10&lt;=AG58,Inputs!$F$5,IF(N58/Inputs!$B$10&gt;AP58,"OVERSIZE",INDEX(Inputs!$F$5:$F$14,MATCH(N58/Inputs!$B$10,AG58:AP58,1)+1))))</f>
        <v/>
      </c>
      <c r="R58" s="9"/>
      <c r="S58" s="9" t="str">
        <f aca="false">IF(A58="","",IF(R58="",Q58,R58))</f>
        <v/>
      </c>
      <c r="T58" s="14" t="str">
        <f aca="false">IF(OR(S58="",S58="OVERSIZE"),"",S58/1000)</f>
        <v/>
      </c>
      <c r="U58" s="14" t="str">
        <f aca="false">IF(T58="","",(1/Inputs!$B$9)*(PI()*T58^2/4)*((T58/4)^(2/3))*SQRT(P58))</f>
        <v/>
      </c>
      <c r="V58" s="14" t="str">
        <f aca="false">IF(OR(U58="",N58=""),"",N58/(U58*Inputs!$B$10))</f>
        <v/>
      </c>
      <c r="W58" s="14" t="str">
        <f aca="false">IF(OR(T58="",N58=""),"",4*N58/(PI()*T58^2))</f>
        <v/>
      </c>
      <c r="X58" s="14"/>
      <c r="Y58" s="14" t="str">
        <f aca="false">IF(A58="","",IF(A58=Inputs!$B$6,Inputs!$B$22,IF(D58="","",IFERROR(INDEX($Z$4:$Z$203,MATCH(D58,$A$4:$A$203,0))+IF(X58="",Inputs!$B$20,X58),""))))</f>
        <v/>
      </c>
      <c r="Z58" s="14" t="str">
        <f aca="false">IF(OR(Y58="",P58="",E58=""),"",Y58+P58*E58)</f>
        <v/>
      </c>
      <c r="AA58" s="14" t="str">
        <f aca="false">IF(C58="","",IFERROR(INDEX(Noeuds_plan!$C$4:$C$200,MATCH(C58,Noeuds_plan!$A$4:$A$200,0)),""))</f>
        <v/>
      </c>
      <c r="AB58" s="14" t="str">
        <f aca="false">IF(B58="","",IFERROR(INDEX(Noeuds_plan!$C$4:$C$200,MATCH(B58,Noeuds_plan!$A$4:$A$200,0)),""))</f>
        <v/>
      </c>
      <c r="AC58" s="14" t="str">
        <f aca="false">IF(OR(AA58="",Y58=""),"",AA58-Y58)</f>
        <v/>
      </c>
      <c r="AD58" s="14" t="str">
        <f aca="false">IF(OR(AB58="",Z58=""),"",AB58-Z58)</f>
        <v/>
      </c>
      <c r="AE58" s="19" t="str">
        <f aca="false">IF(A58="","",IF(OR(V58&gt;1,AND(AY58&lt;&gt;"",AY58&lt;Inputs!$B$11),AND(AY58&lt;&gt;"",AY58&gt;Inputs!$B$12),AC58&lt;Inputs!$B$19,AD58&lt;Inputs!$B$19,P58&lt;Inputs!$B$7,P58&gt;Inputs!$B$8),"CHECK","OK"))</f>
        <v/>
      </c>
      <c r="AF58" s="9"/>
      <c r="AG58" s="9" t="str">
        <f aca="false">IF(A58="","",(1/Inputs!$B$9)*(PI()*(Inputs!$F$5/1000)^2/4)*((Inputs!$F$5/1000/4)^(2/3))*SQRT(P58))</f>
        <v/>
      </c>
      <c r="AH58" s="9" t="str">
        <f aca="false">IF(A58="","",(1/Inputs!$B$9)*(PI()*(Inputs!$F$6/1000)^2/4)*((Inputs!$F$6/1000/4)^(2/3))*SQRT(P58))</f>
        <v/>
      </c>
      <c r="AI58" s="9" t="str">
        <f aca="false">IF(A58="","",(1/Inputs!$B$9)*(PI()*(Inputs!$F$7/1000)^2/4)*((Inputs!$F$7/1000/4)^(2/3))*SQRT(P58))</f>
        <v/>
      </c>
      <c r="AJ58" s="9" t="str">
        <f aca="false">IF(A58="","",(1/Inputs!$B$9)*(PI()*(Inputs!$F$8/1000)^2/4)*((Inputs!$F$8/1000/4)^(2/3))*SQRT(P58))</f>
        <v/>
      </c>
      <c r="AK58" s="9" t="str">
        <f aca="false">IF(A58="","",(1/Inputs!$B$9)*(PI()*(Inputs!$F$9/1000)^2/4)*((Inputs!$F$9/1000/4)^(2/3))*SQRT(P58))</f>
        <v/>
      </c>
      <c r="AL58" s="9" t="str">
        <f aca="false">IF(A58="","",(1/Inputs!$B$9)*(PI()*(Inputs!$F$10/1000)^2/4)*((Inputs!$F$10/1000/4)^(2/3))*SQRT(P58))</f>
        <v/>
      </c>
      <c r="AM58" s="9" t="str">
        <f aca="false">IF(A58="","",(1/Inputs!$B$9)*(PI()*(Inputs!$F$11/1000)^2/4)*((Inputs!$F$11/1000/4)^(2/3))*SQRT(P58))</f>
        <v/>
      </c>
      <c r="AN58" s="9" t="str">
        <f aca="false">IF(A58="","",(1/Inputs!$B$9)*(PI()*(Inputs!$F$12/1000)^2/4)*((Inputs!$F$12/1000/4)^(2/3))*SQRT(P58))</f>
        <v/>
      </c>
      <c r="AO58" s="9" t="str">
        <f aca="false">IF(A58="","",(1/Inputs!$B$9)*(PI()*(Inputs!$F$13/1000)^2/4)*((Inputs!$F$13/1000/4)^(2/3))*SQRT(P58))</f>
        <v/>
      </c>
      <c r="AP58" s="9" t="str">
        <f aca="false">IF(A58="","",(1/Inputs!$B$9)*(PI()*(Inputs!$F$14/1000)^2/4)*((Inputs!$F$14/1000/4)^(2/3))*SQRT(P58))</f>
        <v/>
      </c>
      <c r="AQ58" s="9" t="str">
        <f aca="false">IF(A58="","",COUNTIF($D$4:$D$203,$A58))</f>
        <v/>
      </c>
      <c r="AR58" s="9" t="str">
        <f aca="false">IF(A58="","",IF(AQ58=0,"START","CONTINUOUS"))</f>
        <v/>
      </c>
      <c r="AS58" s="13" t="str">
        <f aca="false">IF(A58="","",IF(J58="",Inputs!$B$18,J58))</f>
        <v/>
      </c>
      <c r="AT58" s="13" t="str">
        <f aca="false">IF(A58="","",IFERROR(maxifs($AV$4:$AV$203,$D$4:$D$203,$A58),""))</f>
        <v/>
      </c>
      <c r="AU58" s="13" t="str">
        <f aca="false">IF(A58="","",IF(OR(E58="",Inputs!$B$23=""),"",E58/(Inputs!$B$23*60)))</f>
        <v/>
      </c>
      <c r="AV58" s="13" t="str">
        <f aca="false">IF(A58="","",IF(AQ58=0,AS58+AU58,IF(AT58="",AS58+AU58,AT58+AU58)))</f>
        <v/>
      </c>
      <c r="AW58" s="13" t="str">
        <f aca="false">IF(A58="","",W58)</f>
        <v/>
      </c>
      <c r="AX58" s="13" t="str">
        <f aca="false">IF(OR(T58="",P58=""),"",(1/Inputs!$B$9)*((T58/4)^(2/3))*SQRT(P58))</f>
        <v/>
      </c>
      <c r="AY58" s="13" t="str">
        <f aca="false">IF(A58="","",IF(AND(AW58="",AX58="",BA58=""),"",IF(OR(UPPER(TRIM(Inputs!$B$24))="MANNING",UPPER(TRIM(Inputs!$B$24))="M"),AX58,IF(OR(UPPER(TRIM(Inputs!$B$24))="PARTIAL",UPPER(TRIM(Inputs!$B$24))="P"),BA58,IF(OR(UPPER(TRIM(Inputs!$B$24))="MAX",UPPER(TRIM(Inputs!$B$24))="X"),MAX(IF(AW58="",0,AW58),IF(AX58="",0,AX58),IF(BA58="",0,BA58)),AW58)))))</f>
        <v/>
      </c>
      <c r="AZ58" s="13" t="str">
        <f aca="false">IF(BB58="","",CH58)</f>
        <v/>
      </c>
      <c r="BA58" s="13" t="str">
        <f aca="false">IF(OR(BB58="",AZ58="",T58="",T58&lt;=0,AZ58&lt;=0),"",BB58/((T58^2/8)*(2*ACOS(1-2*AZ58/T58)-SIN(2*ACOS(1-2*AZ58/T58)))))</f>
        <v/>
      </c>
      <c r="BB58" s="9" t="str">
        <f aca="false">IF(OR(N58="",BC58=""),"",MIN(N58,BC58))</f>
        <v/>
      </c>
      <c r="BC58" s="9" t="str">
        <f aca="false">IF(OR(N58="",T58="",P58=""),"",IF(OR(T58="",P58="",(0.94*T58)="",T58&lt;=0,(0.94*T58)&lt;=0),"",(1/Inputs!$B$9)*((T58^2/8)*((2*ACOS(1-2*(0.94*T58)/T58))-SIN((2*ACOS(1-2*(0.94*T58)/T58)))))*((((T58^2/8)*((2*ACOS(1-2*(0.94*T58)/T58))-SIN((2*ACOS(1-2*(0.94*T58)/T58)))))/((T58/2)*((2*ACOS(1-2*(0.94*T58)/T58)))))^(2/3))*SQRT(P58)))</f>
        <v/>
      </c>
      <c r="BD58" s="9" t="str">
        <f aca="false">IF(BB58="","",0.001*T58)</f>
        <v/>
      </c>
      <c r="BE58" s="9" t="str">
        <f aca="false">IF(BB58="","",0.94*T58)</f>
        <v/>
      </c>
      <c r="BF58" s="9" t="str">
        <f aca="false">IF(BB58="","",(BD58+BE58)/2)</f>
        <v/>
      </c>
      <c r="BG58" s="9" t="str">
        <f aca="false">IF(OR(T58="",P58="",BF58="",T58&lt;=0,BF58&lt;=0),"",(1/Inputs!$B$9)*((T58^2/8)*((2*ACOS(1-2*BF58/T58))-SIN((2*ACOS(1-2*BF58/T58)))))*((((T58^2/8)*((2*ACOS(1-2*BF58/T58))-SIN((2*ACOS(1-2*BF58/T58)))))/((T58/2)*((2*ACOS(1-2*BF58/T58)))))^(2/3))*SQRT(P58))</f>
        <v/>
      </c>
      <c r="BH58" s="9" t="str">
        <f aca="false">IF(BB58="","",IF(BG58&lt;BB58,BF58,BD58))</f>
        <v/>
      </c>
      <c r="BI58" s="9" t="str">
        <f aca="false">IF(BB58="","",IF(BG58&lt;BB58,BE58,BF58))</f>
        <v/>
      </c>
      <c r="BJ58" s="9" t="str">
        <f aca="false">IF(BB58="","",(BH58+BI58)/2)</f>
        <v/>
      </c>
      <c r="BK58" s="9" t="str">
        <f aca="false">IF(OR(T58="",P58="",BJ58="",T58&lt;=0,BJ58&lt;=0),"",(1/Inputs!$B$9)*((T58^2/8)*((2*ACOS(1-2*BJ58/T58))-SIN((2*ACOS(1-2*BJ58/T58)))))*((((T58^2/8)*((2*ACOS(1-2*BJ58/T58))-SIN((2*ACOS(1-2*BJ58/T58)))))/((T58/2)*((2*ACOS(1-2*BJ58/T58)))))^(2/3))*SQRT(P58))</f>
        <v/>
      </c>
      <c r="BL58" s="9" t="str">
        <f aca="false">IF(BB58="","",IF(BK58&lt;BB58,BJ58,BH58))</f>
        <v/>
      </c>
      <c r="BM58" s="9" t="str">
        <f aca="false">IF(BB58="","",IF(BK58&lt;BB58,BI58,BJ58))</f>
        <v/>
      </c>
      <c r="BN58" s="9" t="str">
        <f aca="false">IF(BB58="","",(BL58+BM58)/2)</f>
        <v/>
      </c>
      <c r="BO58" s="9" t="str">
        <f aca="false">IF(OR(T58="",P58="",BN58="",T58&lt;=0,BN58&lt;=0),"",(1/Inputs!$B$9)*((T58^2/8)*((2*ACOS(1-2*BN58/T58))-SIN((2*ACOS(1-2*BN58/T58)))))*((((T58^2/8)*((2*ACOS(1-2*BN58/T58))-SIN((2*ACOS(1-2*BN58/T58)))))/((T58/2)*((2*ACOS(1-2*BN58/T58)))))^(2/3))*SQRT(P58))</f>
        <v/>
      </c>
      <c r="BP58" s="9" t="str">
        <f aca="false">IF(BB58="","",IF(BO58&lt;BB58,BN58,BL58))</f>
        <v/>
      </c>
      <c r="BQ58" s="9" t="str">
        <f aca="false">IF(BB58="","",IF(BO58&lt;BB58,BM58,BN58))</f>
        <v/>
      </c>
      <c r="BR58" s="9" t="str">
        <f aca="false">IF(BB58="","",(BP58+BQ58)/2)</f>
        <v/>
      </c>
      <c r="BS58" s="9" t="str">
        <f aca="false">IF(OR(T58="",P58="",BR58="",T58&lt;=0,BR58&lt;=0),"",(1/Inputs!$B$9)*((T58^2/8)*((2*ACOS(1-2*BR58/T58))-SIN((2*ACOS(1-2*BR58/T58)))))*((((T58^2/8)*((2*ACOS(1-2*BR58/T58))-SIN((2*ACOS(1-2*BR58/T58)))))/((T58/2)*((2*ACOS(1-2*BR58/T58)))))^(2/3))*SQRT(P58))</f>
        <v/>
      </c>
      <c r="BT58" s="9" t="str">
        <f aca="false">IF(BB58="","",IF(BS58&lt;BB58,BR58,BP58))</f>
        <v/>
      </c>
      <c r="BU58" s="9" t="str">
        <f aca="false">IF(BB58="","",IF(BS58&lt;BB58,BQ58,BR58))</f>
        <v/>
      </c>
      <c r="BV58" s="9" t="str">
        <f aca="false">IF(BB58="","",(BT58+BU58)/2)</f>
        <v/>
      </c>
      <c r="BW58" s="9" t="str">
        <f aca="false">IF(OR(T58="",P58="",BV58="",T58&lt;=0,BV58&lt;=0),"",(1/Inputs!$B$9)*((T58^2/8)*((2*ACOS(1-2*BV58/T58))-SIN((2*ACOS(1-2*BV58/T58)))))*((((T58^2/8)*((2*ACOS(1-2*BV58/T58))-SIN((2*ACOS(1-2*BV58/T58)))))/((T58/2)*((2*ACOS(1-2*BV58/T58)))))^(2/3))*SQRT(P58))</f>
        <v/>
      </c>
      <c r="BX58" s="9" t="str">
        <f aca="false">IF(BB58="","",IF(BW58&lt;BB58,BV58,BT58))</f>
        <v/>
      </c>
      <c r="BY58" s="9" t="str">
        <f aca="false">IF(BB58="","",IF(BW58&lt;BB58,BU58,BV58))</f>
        <v/>
      </c>
      <c r="BZ58" s="9" t="str">
        <f aca="false">IF(BB58="","",(BX58+BY58)/2)</f>
        <v/>
      </c>
      <c r="CA58" s="9" t="str">
        <f aca="false">IF(OR(T58="",P58="",BZ58="",T58&lt;=0,BZ58&lt;=0),"",(1/Inputs!$B$9)*((T58^2/8)*((2*ACOS(1-2*BZ58/T58))-SIN((2*ACOS(1-2*BZ58/T58)))))*((((T58^2/8)*((2*ACOS(1-2*BZ58/T58))-SIN((2*ACOS(1-2*BZ58/T58)))))/((T58/2)*((2*ACOS(1-2*BZ58/T58)))))^(2/3))*SQRT(P58))</f>
        <v/>
      </c>
      <c r="CB58" s="9" t="str">
        <f aca="false">IF(BB58="","",IF(CA58&lt;BB58,BZ58,BX58))</f>
        <v/>
      </c>
      <c r="CC58" s="9" t="str">
        <f aca="false">IF(BB58="","",IF(CA58&lt;BB58,BY58,BZ58))</f>
        <v/>
      </c>
      <c r="CD58" s="9" t="str">
        <f aca="false">IF(BB58="","",(CB58+CC58)/2)</f>
        <v/>
      </c>
      <c r="CE58" s="9" t="str">
        <f aca="false">IF(OR(T58="",P58="",CD58="",T58&lt;=0,CD58&lt;=0),"",(1/Inputs!$B$9)*((T58^2/8)*((2*ACOS(1-2*CD58/T58))-SIN((2*ACOS(1-2*CD58/T58)))))*((((T58^2/8)*((2*ACOS(1-2*CD58/T58))-SIN((2*ACOS(1-2*CD58/T58)))))/((T58/2)*((2*ACOS(1-2*CD58/T58)))))^(2/3))*SQRT(P58))</f>
        <v/>
      </c>
      <c r="CF58" s="9" t="str">
        <f aca="false">IF(BB58="","",IF(CE58&lt;BB58,CD58,CB58))</f>
        <v/>
      </c>
      <c r="CG58" s="9" t="str">
        <f aca="false">IF(BB58="","",IF(CE58&lt;BB58,CC58,CD58))</f>
        <v/>
      </c>
      <c r="CH58" s="9" t="str">
        <f aca="false">IF(BB58="","",(CF58+CG58)/2)</f>
        <v/>
      </c>
    </row>
    <row r="59" customFormat="false" ht="15" hidden="false" customHeight="false" outlineLevel="0" collapsed="false">
      <c r="A59" s="9"/>
      <c r="B59" s="9"/>
      <c r="C59" s="9"/>
      <c r="D59" s="9"/>
      <c r="E59" s="14"/>
      <c r="F59" s="14"/>
      <c r="G59" s="14" t="n">
        <f aca="false">SUMIFS(CB_plan!$C:$C,CB_plan!$B:$B,$A59)</f>
        <v>0</v>
      </c>
      <c r="H59" s="14" t="n">
        <f aca="false">IF(F59="",G59,F59)</f>
        <v>0</v>
      </c>
      <c r="I59" s="9"/>
      <c r="J59" s="14"/>
      <c r="K59" s="14" t="str">
        <f aca="false">IF(A59="","",Inputs!$B$13/((IF(AV59="",Inputs!$B$18,AV59)+Inputs!$B$14)^Inputs!$B$15))</f>
        <v/>
      </c>
      <c r="L59" s="14" t="str">
        <f aca="false">IF(A59="","",0.000000278*IF(I59="",Inputs!$B$17,I59)*H59*K59)</f>
        <v/>
      </c>
      <c r="M59" s="14" t="str">
        <f aca="false">IF(A59="","",SUMIFS($N$4:$N$203,$D$4:$D$203,$A59))</f>
        <v/>
      </c>
      <c r="N59" s="14" t="str">
        <f aca="false">IF(A59="","",(L59+M59)*Inputs!$B$16)</f>
        <v/>
      </c>
      <c r="O59" s="14"/>
      <c r="P59" s="14" t="str">
        <f aca="false">IF(A59="","",IF(O59="",Inputs!$B$7,O59))</f>
        <v/>
      </c>
      <c r="Q59" s="9" t="str">
        <f aca="false">IF(A59="","",IF(N59/Inputs!$B$10&lt;=AG59,Inputs!$F$5,IF(N59/Inputs!$B$10&gt;AP59,"OVERSIZE",INDEX(Inputs!$F$5:$F$14,MATCH(N59/Inputs!$B$10,AG59:AP59,1)+1))))</f>
        <v/>
      </c>
      <c r="R59" s="9"/>
      <c r="S59" s="9" t="str">
        <f aca="false">IF(A59="","",IF(R59="",Q59,R59))</f>
        <v/>
      </c>
      <c r="T59" s="14" t="str">
        <f aca="false">IF(OR(S59="",S59="OVERSIZE"),"",S59/1000)</f>
        <v/>
      </c>
      <c r="U59" s="14" t="str">
        <f aca="false">IF(T59="","",(1/Inputs!$B$9)*(PI()*T59^2/4)*((T59/4)^(2/3))*SQRT(P59))</f>
        <v/>
      </c>
      <c r="V59" s="14" t="str">
        <f aca="false">IF(OR(U59="",N59=""),"",N59/(U59*Inputs!$B$10))</f>
        <v/>
      </c>
      <c r="W59" s="14" t="str">
        <f aca="false">IF(OR(T59="",N59=""),"",4*N59/(PI()*T59^2))</f>
        <v/>
      </c>
      <c r="X59" s="14"/>
      <c r="Y59" s="14" t="str">
        <f aca="false">IF(A59="","",IF(A59=Inputs!$B$6,Inputs!$B$22,IF(D59="","",IFERROR(INDEX($Z$4:$Z$203,MATCH(D59,$A$4:$A$203,0))+IF(X59="",Inputs!$B$20,X59),""))))</f>
        <v/>
      </c>
      <c r="Z59" s="14" t="str">
        <f aca="false">IF(OR(Y59="",P59="",E59=""),"",Y59+P59*E59)</f>
        <v/>
      </c>
      <c r="AA59" s="14" t="str">
        <f aca="false">IF(C59="","",IFERROR(INDEX(Noeuds_plan!$C$4:$C$200,MATCH(C59,Noeuds_plan!$A$4:$A$200,0)),""))</f>
        <v/>
      </c>
      <c r="AB59" s="14" t="str">
        <f aca="false">IF(B59="","",IFERROR(INDEX(Noeuds_plan!$C$4:$C$200,MATCH(B59,Noeuds_plan!$A$4:$A$200,0)),""))</f>
        <v/>
      </c>
      <c r="AC59" s="14" t="str">
        <f aca="false">IF(OR(AA59="",Y59=""),"",AA59-Y59)</f>
        <v/>
      </c>
      <c r="AD59" s="14" t="str">
        <f aca="false">IF(OR(AB59="",Z59=""),"",AB59-Z59)</f>
        <v/>
      </c>
      <c r="AE59" s="19" t="str">
        <f aca="false">IF(A59="","",IF(OR(V59&gt;1,AND(AY59&lt;&gt;"",AY59&lt;Inputs!$B$11),AND(AY59&lt;&gt;"",AY59&gt;Inputs!$B$12),AC59&lt;Inputs!$B$19,AD59&lt;Inputs!$B$19,P59&lt;Inputs!$B$7,P59&gt;Inputs!$B$8),"CHECK","OK"))</f>
        <v/>
      </c>
      <c r="AF59" s="9"/>
      <c r="AG59" s="9" t="str">
        <f aca="false">IF(A59="","",(1/Inputs!$B$9)*(PI()*(Inputs!$F$5/1000)^2/4)*((Inputs!$F$5/1000/4)^(2/3))*SQRT(P59))</f>
        <v/>
      </c>
      <c r="AH59" s="9" t="str">
        <f aca="false">IF(A59="","",(1/Inputs!$B$9)*(PI()*(Inputs!$F$6/1000)^2/4)*((Inputs!$F$6/1000/4)^(2/3))*SQRT(P59))</f>
        <v/>
      </c>
      <c r="AI59" s="9" t="str">
        <f aca="false">IF(A59="","",(1/Inputs!$B$9)*(PI()*(Inputs!$F$7/1000)^2/4)*((Inputs!$F$7/1000/4)^(2/3))*SQRT(P59))</f>
        <v/>
      </c>
      <c r="AJ59" s="9" t="str">
        <f aca="false">IF(A59="","",(1/Inputs!$B$9)*(PI()*(Inputs!$F$8/1000)^2/4)*((Inputs!$F$8/1000/4)^(2/3))*SQRT(P59))</f>
        <v/>
      </c>
      <c r="AK59" s="9" t="str">
        <f aca="false">IF(A59="","",(1/Inputs!$B$9)*(PI()*(Inputs!$F$9/1000)^2/4)*((Inputs!$F$9/1000/4)^(2/3))*SQRT(P59))</f>
        <v/>
      </c>
      <c r="AL59" s="9" t="str">
        <f aca="false">IF(A59="","",(1/Inputs!$B$9)*(PI()*(Inputs!$F$10/1000)^2/4)*((Inputs!$F$10/1000/4)^(2/3))*SQRT(P59))</f>
        <v/>
      </c>
      <c r="AM59" s="9" t="str">
        <f aca="false">IF(A59="","",(1/Inputs!$B$9)*(PI()*(Inputs!$F$11/1000)^2/4)*((Inputs!$F$11/1000/4)^(2/3))*SQRT(P59))</f>
        <v/>
      </c>
      <c r="AN59" s="9" t="str">
        <f aca="false">IF(A59="","",(1/Inputs!$B$9)*(PI()*(Inputs!$F$12/1000)^2/4)*((Inputs!$F$12/1000/4)^(2/3))*SQRT(P59))</f>
        <v/>
      </c>
      <c r="AO59" s="9" t="str">
        <f aca="false">IF(A59="","",(1/Inputs!$B$9)*(PI()*(Inputs!$F$13/1000)^2/4)*((Inputs!$F$13/1000/4)^(2/3))*SQRT(P59))</f>
        <v/>
      </c>
      <c r="AP59" s="9" t="str">
        <f aca="false">IF(A59="","",(1/Inputs!$B$9)*(PI()*(Inputs!$F$14/1000)^2/4)*((Inputs!$F$14/1000/4)^(2/3))*SQRT(P59))</f>
        <v/>
      </c>
      <c r="AQ59" s="9" t="str">
        <f aca="false">IF(A59="","",COUNTIF($D$4:$D$203,$A59))</f>
        <v/>
      </c>
      <c r="AR59" s="9" t="str">
        <f aca="false">IF(A59="","",IF(AQ59=0,"START","CONTINUOUS"))</f>
        <v/>
      </c>
      <c r="AS59" s="13" t="str">
        <f aca="false">IF(A59="","",IF(J59="",Inputs!$B$18,J59))</f>
        <v/>
      </c>
      <c r="AT59" s="13" t="str">
        <f aca="false">IF(A59="","",IFERROR(maxifs($AV$4:$AV$203,$D$4:$D$203,$A59),""))</f>
        <v/>
      </c>
      <c r="AU59" s="13" t="str">
        <f aca="false">IF(A59="","",IF(OR(E59="",Inputs!$B$23=""),"",E59/(Inputs!$B$23*60)))</f>
        <v/>
      </c>
      <c r="AV59" s="13" t="str">
        <f aca="false">IF(A59="","",IF(AQ59=0,AS59+AU59,IF(AT59="",AS59+AU59,AT59+AU59)))</f>
        <v/>
      </c>
      <c r="AW59" s="13" t="str">
        <f aca="false">IF(A59="","",W59)</f>
        <v/>
      </c>
      <c r="AX59" s="13" t="str">
        <f aca="false">IF(OR(T59="",P59=""),"",(1/Inputs!$B$9)*((T59/4)^(2/3))*SQRT(P59))</f>
        <v/>
      </c>
      <c r="AY59" s="13" t="str">
        <f aca="false">IF(A59="","",IF(AND(AW59="",AX59="",BA59=""),"",IF(OR(UPPER(TRIM(Inputs!$B$24))="MANNING",UPPER(TRIM(Inputs!$B$24))="M"),AX59,IF(OR(UPPER(TRIM(Inputs!$B$24))="PARTIAL",UPPER(TRIM(Inputs!$B$24))="P"),BA59,IF(OR(UPPER(TRIM(Inputs!$B$24))="MAX",UPPER(TRIM(Inputs!$B$24))="X"),MAX(IF(AW59="",0,AW59),IF(AX59="",0,AX59),IF(BA59="",0,BA59)),AW59)))))</f>
        <v/>
      </c>
      <c r="AZ59" s="13" t="str">
        <f aca="false">IF(BB59="","",CH59)</f>
        <v/>
      </c>
      <c r="BA59" s="13" t="str">
        <f aca="false">IF(OR(BB59="",AZ59="",T59="",T59&lt;=0,AZ59&lt;=0),"",BB59/((T59^2/8)*(2*ACOS(1-2*AZ59/T59)-SIN(2*ACOS(1-2*AZ59/T59)))))</f>
        <v/>
      </c>
      <c r="BB59" s="9" t="str">
        <f aca="false">IF(OR(N59="",BC59=""),"",MIN(N59,BC59))</f>
        <v/>
      </c>
      <c r="BC59" s="9" t="str">
        <f aca="false">IF(OR(N59="",T59="",P59=""),"",IF(OR(T59="",P59="",(0.94*T59)="",T59&lt;=0,(0.94*T59)&lt;=0),"",(1/Inputs!$B$9)*((T59^2/8)*((2*ACOS(1-2*(0.94*T59)/T59))-SIN((2*ACOS(1-2*(0.94*T59)/T59)))))*((((T59^2/8)*((2*ACOS(1-2*(0.94*T59)/T59))-SIN((2*ACOS(1-2*(0.94*T59)/T59)))))/((T59/2)*((2*ACOS(1-2*(0.94*T59)/T59)))))^(2/3))*SQRT(P59)))</f>
        <v/>
      </c>
      <c r="BD59" s="9" t="str">
        <f aca="false">IF(BB59="","",0.001*T59)</f>
        <v/>
      </c>
      <c r="BE59" s="9" t="str">
        <f aca="false">IF(BB59="","",0.94*T59)</f>
        <v/>
      </c>
      <c r="BF59" s="9" t="str">
        <f aca="false">IF(BB59="","",(BD59+BE59)/2)</f>
        <v/>
      </c>
      <c r="BG59" s="9" t="str">
        <f aca="false">IF(OR(T59="",P59="",BF59="",T59&lt;=0,BF59&lt;=0),"",(1/Inputs!$B$9)*((T59^2/8)*((2*ACOS(1-2*BF59/T59))-SIN((2*ACOS(1-2*BF59/T59)))))*((((T59^2/8)*((2*ACOS(1-2*BF59/T59))-SIN((2*ACOS(1-2*BF59/T59)))))/((T59/2)*((2*ACOS(1-2*BF59/T59)))))^(2/3))*SQRT(P59))</f>
        <v/>
      </c>
      <c r="BH59" s="9" t="str">
        <f aca="false">IF(BB59="","",IF(BG59&lt;BB59,BF59,BD59))</f>
        <v/>
      </c>
      <c r="BI59" s="9" t="str">
        <f aca="false">IF(BB59="","",IF(BG59&lt;BB59,BE59,BF59))</f>
        <v/>
      </c>
      <c r="BJ59" s="9" t="str">
        <f aca="false">IF(BB59="","",(BH59+BI59)/2)</f>
        <v/>
      </c>
      <c r="BK59" s="9" t="str">
        <f aca="false">IF(OR(T59="",P59="",BJ59="",T59&lt;=0,BJ59&lt;=0),"",(1/Inputs!$B$9)*((T59^2/8)*((2*ACOS(1-2*BJ59/T59))-SIN((2*ACOS(1-2*BJ59/T59)))))*((((T59^2/8)*((2*ACOS(1-2*BJ59/T59))-SIN((2*ACOS(1-2*BJ59/T59)))))/((T59/2)*((2*ACOS(1-2*BJ59/T59)))))^(2/3))*SQRT(P59))</f>
        <v/>
      </c>
      <c r="BL59" s="9" t="str">
        <f aca="false">IF(BB59="","",IF(BK59&lt;BB59,BJ59,BH59))</f>
        <v/>
      </c>
      <c r="BM59" s="9" t="str">
        <f aca="false">IF(BB59="","",IF(BK59&lt;BB59,BI59,BJ59))</f>
        <v/>
      </c>
      <c r="BN59" s="9" t="str">
        <f aca="false">IF(BB59="","",(BL59+BM59)/2)</f>
        <v/>
      </c>
      <c r="BO59" s="9" t="str">
        <f aca="false">IF(OR(T59="",P59="",BN59="",T59&lt;=0,BN59&lt;=0),"",(1/Inputs!$B$9)*((T59^2/8)*((2*ACOS(1-2*BN59/T59))-SIN((2*ACOS(1-2*BN59/T59)))))*((((T59^2/8)*((2*ACOS(1-2*BN59/T59))-SIN((2*ACOS(1-2*BN59/T59)))))/((T59/2)*((2*ACOS(1-2*BN59/T59)))))^(2/3))*SQRT(P59))</f>
        <v/>
      </c>
      <c r="BP59" s="9" t="str">
        <f aca="false">IF(BB59="","",IF(BO59&lt;BB59,BN59,BL59))</f>
        <v/>
      </c>
      <c r="BQ59" s="9" t="str">
        <f aca="false">IF(BB59="","",IF(BO59&lt;BB59,BM59,BN59))</f>
        <v/>
      </c>
      <c r="BR59" s="9" t="str">
        <f aca="false">IF(BB59="","",(BP59+BQ59)/2)</f>
        <v/>
      </c>
      <c r="BS59" s="9" t="str">
        <f aca="false">IF(OR(T59="",P59="",BR59="",T59&lt;=0,BR59&lt;=0),"",(1/Inputs!$B$9)*((T59^2/8)*((2*ACOS(1-2*BR59/T59))-SIN((2*ACOS(1-2*BR59/T59)))))*((((T59^2/8)*((2*ACOS(1-2*BR59/T59))-SIN((2*ACOS(1-2*BR59/T59)))))/((T59/2)*((2*ACOS(1-2*BR59/T59)))))^(2/3))*SQRT(P59))</f>
        <v/>
      </c>
      <c r="BT59" s="9" t="str">
        <f aca="false">IF(BB59="","",IF(BS59&lt;BB59,BR59,BP59))</f>
        <v/>
      </c>
      <c r="BU59" s="9" t="str">
        <f aca="false">IF(BB59="","",IF(BS59&lt;BB59,BQ59,BR59))</f>
        <v/>
      </c>
      <c r="BV59" s="9" t="str">
        <f aca="false">IF(BB59="","",(BT59+BU59)/2)</f>
        <v/>
      </c>
      <c r="BW59" s="9" t="str">
        <f aca="false">IF(OR(T59="",P59="",BV59="",T59&lt;=0,BV59&lt;=0),"",(1/Inputs!$B$9)*((T59^2/8)*((2*ACOS(1-2*BV59/T59))-SIN((2*ACOS(1-2*BV59/T59)))))*((((T59^2/8)*((2*ACOS(1-2*BV59/T59))-SIN((2*ACOS(1-2*BV59/T59)))))/((T59/2)*((2*ACOS(1-2*BV59/T59)))))^(2/3))*SQRT(P59))</f>
        <v/>
      </c>
      <c r="BX59" s="9" t="str">
        <f aca="false">IF(BB59="","",IF(BW59&lt;BB59,BV59,BT59))</f>
        <v/>
      </c>
      <c r="BY59" s="9" t="str">
        <f aca="false">IF(BB59="","",IF(BW59&lt;BB59,BU59,BV59))</f>
        <v/>
      </c>
      <c r="BZ59" s="9" t="str">
        <f aca="false">IF(BB59="","",(BX59+BY59)/2)</f>
        <v/>
      </c>
      <c r="CA59" s="9" t="str">
        <f aca="false">IF(OR(T59="",P59="",BZ59="",T59&lt;=0,BZ59&lt;=0),"",(1/Inputs!$B$9)*((T59^2/8)*((2*ACOS(1-2*BZ59/T59))-SIN((2*ACOS(1-2*BZ59/T59)))))*((((T59^2/8)*((2*ACOS(1-2*BZ59/T59))-SIN((2*ACOS(1-2*BZ59/T59)))))/((T59/2)*((2*ACOS(1-2*BZ59/T59)))))^(2/3))*SQRT(P59))</f>
        <v/>
      </c>
      <c r="CB59" s="9" t="str">
        <f aca="false">IF(BB59="","",IF(CA59&lt;BB59,BZ59,BX59))</f>
        <v/>
      </c>
      <c r="CC59" s="9" t="str">
        <f aca="false">IF(BB59="","",IF(CA59&lt;BB59,BY59,BZ59))</f>
        <v/>
      </c>
      <c r="CD59" s="9" t="str">
        <f aca="false">IF(BB59="","",(CB59+CC59)/2)</f>
        <v/>
      </c>
      <c r="CE59" s="9" t="str">
        <f aca="false">IF(OR(T59="",P59="",CD59="",T59&lt;=0,CD59&lt;=0),"",(1/Inputs!$B$9)*((T59^2/8)*((2*ACOS(1-2*CD59/T59))-SIN((2*ACOS(1-2*CD59/T59)))))*((((T59^2/8)*((2*ACOS(1-2*CD59/T59))-SIN((2*ACOS(1-2*CD59/T59)))))/((T59/2)*((2*ACOS(1-2*CD59/T59)))))^(2/3))*SQRT(P59))</f>
        <v/>
      </c>
      <c r="CF59" s="9" t="str">
        <f aca="false">IF(BB59="","",IF(CE59&lt;BB59,CD59,CB59))</f>
        <v/>
      </c>
      <c r="CG59" s="9" t="str">
        <f aca="false">IF(BB59="","",IF(CE59&lt;BB59,CC59,CD59))</f>
        <v/>
      </c>
      <c r="CH59" s="9" t="str">
        <f aca="false">IF(BB59="","",(CF59+CG59)/2)</f>
        <v/>
      </c>
    </row>
    <row r="60" customFormat="false" ht="15" hidden="false" customHeight="false" outlineLevel="0" collapsed="false">
      <c r="A60" s="9"/>
      <c r="B60" s="9"/>
      <c r="C60" s="9"/>
      <c r="D60" s="9"/>
      <c r="E60" s="14"/>
      <c r="F60" s="14"/>
      <c r="G60" s="14" t="n">
        <f aca="false">SUMIFS(CB_plan!$C:$C,CB_plan!$B:$B,$A60)</f>
        <v>0</v>
      </c>
      <c r="H60" s="14" t="n">
        <f aca="false">IF(F60="",G60,F60)</f>
        <v>0</v>
      </c>
      <c r="I60" s="9"/>
      <c r="J60" s="14"/>
      <c r="K60" s="14" t="str">
        <f aca="false">IF(A60="","",Inputs!$B$13/((IF(AV60="",Inputs!$B$18,AV60)+Inputs!$B$14)^Inputs!$B$15))</f>
        <v/>
      </c>
      <c r="L60" s="14" t="str">
        <f aca="false">IF(A60="","",0.000000278*IF(I60="",Inputs!$B$17,I60)*H60*K60)</f>
        <v/>
      </c>
      <c r="M60" s="14" t="str">
        <f aca="false">IF(A60="","",SUMIFS($N$4:$N$203,$D$4:$D$203,$A60))</f>
        <v/>
      </c>
      <c r="N60" s="14" t="str">
        <f aca="false">IF(A60="","",(L60+M60)*Inputs!$B$16)</f>
        <v/>
      </c>
      <c r="O60" s="14"/>
      <c r="P60" s="14" t="str">
        <f aca="false">IF(A60="","",IF(O60="",Inputs!$B$7,O60))</f>
        <v/>
      </c>
      <c r="Q60" s="9" t="str">
        <f aca="false">IF(A60="","",IF(N60/Inputs!$B$10&lt;=AG60,Inputs!$F$5,IF(N60/Inputs!$B$10&gt;AP60,"OVERSIZE",INDEX(Inputs!$F$5:$F$14,MATCH(N60/Inputs!$B$10,AG60:AP60,1)+1))))</f>
        <v/>
      </c>
      <c r="R60" s="9"/>
      <c r="S60" s="9" t="str">
        <f aca="false">IF(A60="","",IF(R60="",Q60,R60))</f>
        <v/>
      </c>
      <c r="T60" s="14" t="str">
        <f aca="false">IF(OR(S60="",S60="OVERSIZE"),"",S60/1000)</f>
        <v/>
      </c>
      <c r="U60" s="14" t="str">
        <f aca="false">IF(T60="","",(1/Inputs!$B$9)*(PI()*T60^2/4)*((T60/4)^(2/3))*SQRT(P60))</f>
        <v/>
      </c>
      <c r="V60" s="14" t="str">
        <f aca="false">IF(OR(U60="",N60=""),"",N60/(U60*Inputs!$B$10))</f>
        <v/>
      </c>
      <c r="W60" s="14" t="str">
        <f aca="false">IF(OR(T60="",N60=""),"",4*N60/(PI()*T60^2))</f>
        <v/>
      </c>
      <c r="X60" s="14"/>
      <c r="Y60" s="14" t="str">
        <f aca="false">IF(A60="","",IF(A60=Inputs!$B$6,Inputs!$B$22,IF(D60="","",IFERROR(INDEX($Z$4:$Z$203,MATCH(D60,$A$4:$A$203,0))+IF(X60="",Inputs!$B$20,X60),""))))</f>
        <v/>
      </c>
      <c r="Z60" s="14" t="str">
        <f aca="false">IF(OR(Y60="",P60="",E60=""),"",Y60+P60*E60)</f>
        <v/>
      </c>
      <c r="AA60" s="14" t="str">
        <f aca="false">IF(C60="","",IFERROR(INDEX(Noeuds_plan!$C$4:$C$200,MATCH(C60,Noeuds_plan!$A$4:$A$200,0)),""))</f>
        <v/>
      </c>
      <c r="AB60" s="14" t="str">
        <f aca="false">IF(B60="","",IFERROR(INDEX(Noeuds_plan!$C$4:$C$200,MATCH(B60,Noeuds_plan!$A$4:$A$200,0)),""))</f>
        <v/>
      </c>
      <c r="AC60" s="14" t="str">
        <f aca="false">IF(OR(AA60="",Y60=""),"",AA60-Y60)</f>
        <v/>
      </c>
      <c r="AD60" s="14" t="str">
        <f aca="false">IF(OR(AB60="",Z60=""),"",AB60-Z60)</f>
        <v/>
      </c>
      <c r="AE60" s="19" t="str">
        <f aca="false">IF(A60="","",IF(OR(V60&gt;1,AND(AY60&lt;&gt;"",AY60&lt;Inputs!$B$11),AND(AY60&lt;&gt;"",AY60&gt;Inputs!$B$12),AC60&lt;Inputs!$B$19,AD60&lt;Inputs!$B$19,P60&lt;Inputs!$B$7,P60&gt;Inputs!$B$8),"CHECK","OK"))</f>
        <v/>
      </c>
      <c r="AF60" s="9"/>
      <c r="AG60" s="9" t="str">
        <f aca="false">IF(A60="","",(1/Inputs!$B$9)*(PI()*(Inputs!$F$5/1000)^2/4)*((Inputs!$F$5/1000/4)^(2/3))*SQRT(P60))</f>
        <v/>
      </c>
      <c r="AH60" s="9" t="str">
        <f aca="false">IF(A60="","",(1/Inputs!$B$9)*(PI()*(Inputs!$F$6/1000)^2/4)*((Inputs!$F$6/1000/4)^(2/3))*SQRT(P60))</f>
        <v/>
      </c>
      <c r="AI60" s="9" t="str">
        <f aca="false">IF(A60="","",(1/Inputs!$B$9)*(PI()*(Inputs!$F$7/1000)^2/4)*((Inputs!$F$7/1000/4)^(2/3))*SQRT(P60))</f>
        <v/>
      </c>
      <c r="AJ60" s="9" t="str">
        <f aca="false">IF(A60="","",(1/Inputs!$B$9)*(PI()*(Inputs!$F$8/1000)^2/4)*((Inputs!$F$8/1000/4)^(2/3))*SQRT(P60))</f>
        <v/>
      </c>
      <c r="AK60" s="9" t="str">
        <f aca="false">IF(A60="","",(1/Inputs!$B$9)*(PI()*(Inputs!$F$9/1000)^2/4)*((Inputs!$F$9/1000/4)^(2/3))*SQRT(P60))</f>
        <v/>
      </c>
      <c r="AL60" s="9" t="str">
        <f aca="false">IF(A60="","",(1/Inputs!$B$9)*(PI()*(Inputs!$F$10/1000)^2/4)*((Inputs!$F$10/1000/4)^(2/3))*SQRT(P60))</f>
        <v/>
      </c>
      <c r="AM60" s="9" t="str">
        <f aca="false">IF(A60="","",(1/Inputs!$B$9)*(PI()*(Inputs!$F$11/1000)^2/4)*((Inputs!$F$11/1000/4)^(2/3))*SQRT(P60))</f>
        <v/>
      </c>
      <c r="AN60" s="9" t="str">
        <f aca="false">IF(A60="","",(1/Inputs!$B$9)*(PI()*(Inputs!$F$12/1000)^2/4)*((Inputs!$F$12/1000/4)^(2/3))*SQRT(P60))</f>
        <v/>
      </c>
      <c r="AO60" s="9" t="str">
        <f aca="false">IF(A60="","",(1/Inputs!$B$9)*(PI()*(Inputs!$F$13/1000)^2/4)*((Inputs!$F$13/1000/4)^(2/3))*SQRT(P60))</f>
        <v/>
      </c>
      <c r="AP60" s="9" t="str">
        <f aca="false">IF(A60="","",(1/Inputs!$B$9)*(PI()*(Inputs!$F$14/1000)^2/4)*((Inputs!$F$14/1000/4)^(2/3))*SQRT(P60))</f>
        <v/>
      </c>
      <c r="AQ60" s="9" t="str">
        <f aca="false">IF(A60="","",COUNTIF($D$4:$D$203,$A60))</f>
        <v/>
      </c>
      <c r="AR60" s="9" t="str">
        <f aca="false">IF(A60="","",IF(AQ60=0,"START","CONTINUOUS"))</f>
        <v/>
      </c>
      <c r="AS60" s="13" t="str">
        <f aca="false">IF(A60="","",IF(J60="",Inputs!$B$18,J60))</f>
        <v/>
      </c>
      <c r="AT60" s="13" t="str">
        <f aca="false">IF(A60="","",IFERROR(maxifs($AV$4:$AV$203,$D$4:$D$203,$A60),""))</f>
        <v/>
      </c>
      <c r="AU60" s="13" t="str">
        <f aca="false">IF(A60="","",IF(OR(E60="",Inputs!$B$23=""),"",E60/(Inputs!$B$23*60)))</f>
        <v/>
      </c>
      <c r="AV60" s="13" t="str">
        <f aca="false">IF(A60="","",IF(AQ60=0,AS60+AU60,IF(AT60="",AS60+AU60,AT60+AU60)))</f>
        <v/>
      </c>
      <c r="AW60" s="13" t="str">
        <f aca="false">IF(A60="","",W60)</f>
        <v/>
      </c>
      <c r="AX60" s="13" t="str">
        <f aca="false">IF(OR(T60="",P60=""),"",(1/Inputs!$B$9)*((T60/4)^(2/3))*SQRT(P60))</f>
        <v/>
      </c>
      <c r="AY60" s="13" t="str">
        <f aca="false">IF(A60="","",IF(AND(AW60="",AX60="",BA60=""),"",IF(OR(UPPER(TRIM(Inputs!$B$24))="MANNING",UPPER(TRIM(Inputs!$B$24))="M"),AX60,IF(OR(UPPER(TRIM(Inputs!$B$24))="PARTIAL",UPPER(TRIM(Inputs!$B$24))="P"),BA60,IF(OR(UPPER(TRIM(Inputs!$B$24))="MAX",UPPER(TRIM(Inputs!$B$24))="X"),MAX(IF(AW60="",0,AW60),IF(AX60="",0,AX60),IF(BA60="",0,BA60)),AW60)))))</f>
        <v/>
      </c>
      <c r="AZ60" s="13" t="str">
        <f aca="false">IF(BB60="","",CH60)</f>
        <v/>
      </c>
      <c r="BA60" s="13" t="str">
        <f aca="false">IF(OR(BB60="",AZ60="",T60="",T60&lt;=0,AZ60&lt;=0),"",BB60/((T60^2/8)*(2*ACOS(1-2*AZ60/T60)-SIN(2*ACOS(1-2*AZ60/T60)))))</f>
        <v/>
      </c>
      <c r="BB60" s="9" t="str">
        <f aca="false">IF(OR(N60="",BC60=""),"",MIN(N60,BC60))</f>
        <v/>
      </c>
      <c r="BC60" s="9" t="str">
        <f aca="false">IF(OR(N60="",T60="",P60=""),"",IF(OR(T60="",P60="",(0.94*T60)="",T60&lt;=0,(0.94*T60)&lt;=0),"",(1/Inputs!$B$9)*((T60^2/8)*((2*ACOS(1-2*(0.94*T60)/T60))-SIN((2*ACOS(1-2*(0.94*T60)/T60)))))*((((T60^2/8)*((2*ACOS(1-2*(0.94*T60)/T60))-SIN((2*ACOS(1-2*(0.94*T60)/T60)))))/((T60/2)*((2*ACOS(1-2*(0.94*T60)/T60)))))^(2/3))*SQRT(P60)))</f>
        <v/>
      </c>
      <c r="BD60" s="9" t="str">
        <f aca="false">IF(BB60="","",0.001*T60)</f>
        <v/>
      </c>
      <c r="BE60" s="9" t="str">
        <f aca="false">IF(BB60="","",0.94*T60)</f>
        <v/>
      </c>
      <c r="BF60" s="9" t="str">
        <f aca="false">IF(BB60="","",(BD60+BE60)/2)</f>
        <v/>
      </c>
      <c r="BG60" s="9" t="str">
        <f aca="false">IF(OR(T60="",P60="",BF60="",T60&lt;=0,BF60&lt;=0),"",(1/Inputs!$B$9)*((T60^2/8)*((2*ACOS(1-2*BF60/T60))-SIN((2*ACOS(1-2*BF60/T60)))))*((((T60^2/8)*((2*ACOS(1-2*BF60/T60))-SIN((2*ACOS(1-2*BF60/T60)))))/((T60/2)*((2*ACOS(1-2*BF60/T60)))))^(2/3))*SQRT(P60))</f>
        <v/>
      </c>
      <c r="BH60" s="9" t="str">
        <f aca="false">IF(BB60="","",IF(BG60&lt;BB60,BF60,BD60))</f>
        <v/>
      </c>
      <c r="BI60" s="9" t="str">
        <f aca="false">IF(BB60="","",IF(BG60&lt;BB60,BE60,BF60))</f>
        <v/>
      </c>
      <c r="BJ60" s="9" t="str">
        <f aca="false">IF(BB60="","",(BH60+BI60)/2)</f>
        <v/>
      </c>
      <c r="BK60" s="9" t="str">
        <f aca="false">IF(OR(T60="",P60="",BJ60="",T60&lt;=0,BJ60&lt;=0),"",(1/Inputs!$B$9)*((T60^2/8)*((2*ACOS(1-2*BJ60/T60))-SIN((2*ACOS(1-2*BJ60/T60)))))*((((T60^2/8)*((2*ACOS(1-2*BJ60/T60))-SIN((2*ACOS(1-2*BJ60/T60)))))/((T60/2)*((2*ACOS(1-2*BJ60/T60)))))^(2/3))*SQRT(P60))</f>
        <v/>
      </c>
      <c r="BL60" s="9" t="str">
        <f aca="false">IF(BB60="","",IF(BK60&lt;BB60,BJ60,BH60))</f>
        <v/>
      </c>
      <c r="BM60" s="9" t="str">
        <f aca="false">IF(BB60="","",IF(BK60&lt;BB60,BI60,BJ60))</f>
        <v/>
      </c>
      <c r="BN60" s="9" t="str">
        <f aca="false">IF(BB60="","",(BL60+BM60)/2)</f>
        <v/>
      </c>
      <c r="BO60" s="9" t="str">
        <f aca="false">IF(OR(T60="",P60="",BN60="",T60&lt;=0,BN60&lt;=0),"",(1/Inputs!$B$9)*((T60^2/8)*((2*ACOS(1-2*BN60/T60))-SIN((2*ACOS(1-2*BN60/T60)))))*((((T60^2/8)*((2*ACOS(1-2*BN60/T60))-SIN((2*ACOS(1-2*BN60/T60)))))/((T60/2)*((2*ACOS(1-2*BN60/T60)))))^(2/3))*SQRT(P60))</f>
        <v/>
      </c>
      <c r="BP60" s="9" t="str">
        <f aca="false">IF(BB60="","",IF(BO60&lt;BB60,BN60,BL60))</f>
        <v/>
      </c>
      <c r="BQ60" s="9" t="str">
        <f aca="false">IF(BB60="","",IF(BO60&lt;BB60,BM60,BN60))</f>
        <v/>
      </c>
      <c r="BR60" s="9" t="str">
        <f aca="false">IF(BB60="","",(BP60+BQ60)/2)</f>
        <v/>
      </c>
      <c r="BS60" s="9" t="str">
        <f aca="false">IF(OR(T60="",P60="",BR60="",T60&lt;=0,BR60&lt;=0),"",(1/Inputs!$B$9)*((T60^2/8)*((2*ACOS(1-2*BR60/T60))-SIN((2*ACOS(1-2*BR60/T60)))))*((((T60^2/8)*((2*ACOS(1-2*BR60/T60))-SIN((2*ACOS(1-2*BR60/T60)))))/((T60/2)*((2*ACOS(1-2*BR60/T60)))))^(2/3))*SQRT(P60))</f>
        <v/>
      </c>
      <c r="BT60" s="9" t="str">
        <f aca="false">IF(BB60="","",IF(BS60&lt;BB60,BR60,BP60))</f>
        <v/>
      </c>
      <c r="BU60" s="9" t="str">
        <f aca="false">IF(BB60="","",IF(BS60&lt;BB60,BQ60,BR60))</f>
        <v/>
      </c>
      <c r="BV60" s="9" t="str">
        <f aca="false">IF(BB60="","",(BT60+BU60)/2)</f>
        <v/>
      </c>
      <c r="BW60" s="9" t="str">
        <f aca="false">IF(OR(T60="",P60="",BV60="",T60&lt;=0,BV60&lt;=0),"",(1/Inputs!$B$9)*((T60^2/8)*((2*ACOS(1-2*BV60/T60))-SIN((2*ACOS(1-2*BV60/T60)))))*((((T60^2/8)*((2*ACOS(1-2*BV60/T60))-SIN((2*ACOS(1-2*BV60/T60)))))/((T60/2)*((2*ACOS(1-2*BV60/T60)))))^(2/3))*SQRT(P60))</f>
        <v/>
      </c>
      <c r="BX60" s="9" t="str">
        <f aca="false">IF(BB60="","",IF(BW60&lt;BB60,BV60,BT60))</f>
        <v/>
      </c>
      <c r="BY60" s="9" t="str">
        <f aca="false">IF(BB60="","",IF(BW60&lt;BB60,BU60,BV60))</f>
        <v/>
      </c>
      <c r="BZ60" s="9" t="str">
        <f aca="false">IF(BB60="","",(BX60+BY60)/2)</f>
        <v/>
      </c>
      <c r="CA60" s="9" t="str">
        <f aca="false">IF(OR(T60="",P60="",BZ60="",T60&lt;=0,BZ60&lt;=0),"",(1/Inputs!$B$9)*((T60^2/8)*((2*ACOS(1-2*BZ60/T60))-SIN((2*ACOS(1-2*BZ60/T60)))))*((((T60^2/8)*((2*ACOS(1-2*BZ60/T60))-SIN((2*ACOS(1-2*BZ60/T60)))))/((T60/2)*((2*ACOS(1-2*BZ60/T60)))))^(2/3))*SQRT(P60))</f>
        <v/>
      </c>
      <c r="CB60" s="9" t="str">
        <f aca="false">IF(BB60="","",IF(CA60&lt;BB60,BZ60,BX60))</f>
        <v/>
      </c>
      <c r="CC60" s="9" t="str">
        <f aca="false">IF(BB60="","",IF(CA60&lt;BB60,BY60,BZ60))</f>
        <v/>
      </c>
      <c r="CD60" s="9" t="str">
        <f aca="false">IF(BB60="","",(CB60+CC60)/2)</f>
        <v/>
      </c>
      <c r="CE60" s="9" t="str">
        <f aca="false">IF(OR(T60="",P60="",CD60="",T60&lt;=0,CD60&lt;=0),"",(1/Inputs!$B$9)*((T60^2/8)*((2*ACOS(1-2*CD60/T60))-SIN((2*ACOS(1-2*CD60/T60)))))*((((T60^2/8)*((2*ACOS(1-2*CD60/T60))-SIN((2*ACOS(1-2*CD60/T60)))))/((T60/2)*((2*ACOS(1-2*CD60/T60)))))^(2/3))*SQRT(P60))</f>
        <v/>
      </c>
      <c r="CF60" s="9" t="str">
        <f aca="false">IF(BB60="","",IF(CE60&lt;BB60,CD60,CB60))</f>
        <v/>
      </c>
      <c r="CG60" s="9" t="str">
        <f aca="false">IF(BB60="","",IF(CE60&lt;BB60,CC60,CD60))</f>
        <v/>
      </c>
      <c r="CH60" s="9" t="str">
        <f aca="false">IF(BB60="","",(CF60+CG60)/2)</f>
        <v/>
      </c>
    </row>
    <row r="61" customFormat="false" ht="15" hidden="false" customHeight="false" outlineLevel="0" collapsed="false">
      <c r="A61" s="9"/>
      <c r="B61" s="9"/>
      <c r="C61" s="9"/>
      <c r="D61" s="9"/>
      <c r="E61" s="14"/>
      <c r="F61" s="14"/>
      <c r="G61" s="14" t="n">
        <f aca="false">SUMIFS(CB_plan!$C:$C,CB_plan!$B:$B,$A61)</f>
        <v>0</v>
      </c>
      <c r="H61" s="14" t="n">
        <f aca="false">IF(F61="",G61,F61)</f>
        <v>0</v>
      </c>
      <c r="I61" s="9"/>
      <c r="J61" s="14"/>
      <c r="K61" s="14" t="str">
        <f aca="false">IF(A61="","",Inputs!$B$13/((IF(AV61="",Inputs!$B$18,AV61)+Inputs!$B$14)^Inputs!$B$15))</f>
        <v/>
      </c>
      <c r="L61" s="14" t="str">
        <f aca="false">IF(A61="","",0.000000278*IF(I61="",Inputs!$B$17,I61)*H61*K61)</f>
        <v/>
      </c>
      <c r="M61" s="14" t="str">
        <f aca="false">IF(A61="","",SUMIFS($N$4:$N$203,$D$4:$D$203,$A61))</f>
        <v/>
      </c>
      <c r="N61" s="14" t="str">
        <f aca="false">IF(A61="","",(L61+M61)*Inputs!$B$16)</f>
        <v/>
      </c>
      <c r="O61" s="14"/>
      <c r="P61" s="14" t="str">
        <f aca="false">IF(A61="","",IF(O61="",Inputs!$B$7,O61))</f>
        <v/>
      </c>
      <c r="Q61" s="9" t="str">
        <f aca="false">IF(A61="","",IF(N61/Inputs!$B$10&lt;=AG61,Inputs!$F$5,IF(N61/Inputs!$B$10&gt;AP61,"OVERSIZE",INDEX(Inputs!$F$5:$F$14,MATCH(N61/Inputs!$B$10,AG61:AP61,1)+1))))</f>
        <v/>
      </c>
      <c r="R61" s="9"/>
      <c r="S61" s="9" t="str">
        <f aca="false">IF(A61="","",IF(R61="",Q61,R61))</f>
        <v/>
      </c>
      <c r="T61" s="14" t="str">
        <f aca="false">IF(OR(S61="",S61="OVERSIZE"),"",S61/1000)</f>
        <v/>
      </c>
      <c r="U61" s="14" t="str">
        <f aca="false">IF(T61="","",(1/Inputs!$B$9)*(PI()*T61^2/4)*((T61/4)^(2/3))*SQRT(P61))</f>
        <v/>
      </c>
      <c r="V61" s="14" t="str">
        <f aca="false">IF(OR(U61="",N61=""),"",N61/(U61*Inputs!$B$10))</f>
        <v/>
      </c>
      <c r="W61" s="14" t="str">
        <f aca="false">IF(OR(T61="",N61=""),"",4*N61/(PI()*T61^2))</f>
        <v/>
      </c>
      <c r="X61" s="14"/>
      <c r="Y61" s="14" t="str">
        <f aca="false">IF(A61="","",IF(A61=Inputs!$B$6,Inputs!$B$22,IF(D61="","",IFERROR(INDEX($Z$4:$Z$203,MATCH(D61,$A$4:$A$203,0))+IF(X61="",Inputs!$B$20,X61),""))))</f>
        <v/>
      </c>
      <c r="Z61" s="14" t="str">
        <f aca="false">IF(OR(Y61="",P61="",E61=""),"",Y61+P61*E61)</f>
        <v/>
      </c>
      <c r="AA61" s="14" t="str">
        <f aca="false">IF(C61="","",IFERROR(INDEX(Noeuds_plan!$C$4:$C$200,MATCH(C61,Noeuds_plan!$A$4:$A$200,0)),""))</f>
        <v/>
      </c>
      <c r="AB61" s="14" t="str">
        <f aca="false">IF(B61="","",IFERROR(INDEX(Noeuds_plan!$C$4:$C$200,MATCH(B61,Noeuds_plan!$A$4:$A$200,0)),""))</f>
        <v/>
      </c>
      <c r="AC61" s="14" t="str">
        <f aca="false">IF(OR(AA61="",Y61=""),"",AA61-Y61)</f>
        <v/>
      </c>
      <c r="AD61" s="14" t="str">
        <f aca="false">IF(OR(AB61="",Z61=""),"",AB61-Z61)</f>
        <v/>
      </c>
      <c r="AE61" s="19" t="str">
        <f aca="false">IF(A61="","",IF(OR(V61&gt;1,AND(AY61&lt;&gt;"",AY61&lt;Inputs!$B$11),AND(AY61&lt;&gt;"",AY61&gt;Inputs!$B$12),AC61&lt;Inputs!$B$19,AD61&lt;Inputs!$B$19,P61&lt;Inputs!$B$7,P61&gt;Inputs!$B$8),"CHECK","OK"))</f>
        <v/>
      </c>
      <c r="AF61" s="9"/>
      <c r="AG61" s="9" t="str">
        <f aca="false">IF(A61="","",(1/Inputs!$B$9)*(PI()*(Inputs!$F$5/1000)^2/4)*((Inputs!$F$5/1000/4)^(2/3))*SQRT(P61))</f>
        <v/>
      </c>
      <c r="AH61" s="9" t="str">
        <f aca="false">IF(A61="","",(1/Inputs!$B$9)*(PI()*(Inputs!$F$6/1000)^2/4)*((Inputs!$F$6/1000/4)^(2/3))*SQRT(P61))</f>
        <v/>
      </c>
      <c r="AI61" s="9" t="str">
        <f aca="false">IF(A61="","",(1/Inputs!$B$9)*(PI()*(Inputs!$F$7/1000)^2/4)*((Inputs!$F$7/1000/4)^(2/3))*SQRT(P61))</f>
        <v/>
      </c>
      <c r="AJ61" s="9" t="str">
        <f aca="false">IF(A61="","",(1/Inputs!$B$9)*(PI()*(Inputs!$F$8/1000)^2/4)*((Inputs!$F$8/1000/4)^(2/3))*SQRT(P61))</f>
        <v/>
      </c>
      <c r="AK61" s="9" t="str">
        <f aca="false">IF(A61="","",(1/Inputs!$B$9)*(PI()*(Inputs!$F$9/1000)^2/4)*((Inputs!$F$9/1000/4)^(2/3))*SQRT(P61))</f>
        <v/>
      </c>
      <c r="AL61" s="9" t="str">
        <f aca="false">IF(A61="","",(1/Inputs!$B$9)*(PI()*(Inputs!$F$10/1000)^2/4)*((Inputs!$F$10/1000/4)^(2/3))*SQRT(P61))</f>
        <v/>
      </c>
      <c r="AM61" s="9" t="str">
        <f aca="false">IF(A61="","",(1/Inputs!$B$9)*(PI()*(Inputs!$F$11/1000)^2/4)*((Inputs!$F$11/1000/4)^(2/3))*SQRT(P61))</f>
        <v/>
      </c>
      <c r="AN61" s="9" t="str">
        <f aca="false">IF(A61="","",(1/Inputs!$B$9)*(PI()*(Inputs!$F$12/1000)^2/4)*((Inputs!$F$12/1000/4)^(2/3))*SQRT(P61))</f>
        <v/>
      </c>
      <c r="AO61" s="9" t="str">
        <f aca="false">IF(A61="","",(1/Inputs!$B$9)*(PI()*(Inputs!$F$13/1000)^2/4)*((Inputs!$F$13/1000/4)^(2/3))*SQRT(P61))</f>
        <v/>
      </c>
      <c r="AP61" s="9" t="str">
        <f aca="false">IF(A61="","",(1/Inputs!$B$9)*(PI()*(Inputs!$F$14/1000)^2/4)*((Inputs!$F$14/1000/4)^(2/3))*SQRT(P61))</f>
        <v/>
      </c>
      <c r="AQ61" s="9" t="str">
        <f aca="false">IF(A61="","",COUNTIF($D$4:$D$203,$A61))</f>
        <v/>
      </c>
      <c r="AR61" s="9" t="str">
        <f aca="false">IF(A61="","",IF(AQ61=0,"START","CONTINUOUS"))</f>
        <v/>
      </c>
      <c r="AS61" s="13" t="str">
        <f aca="false">IF(A61="","",IF(J61="",Inputs!$B$18,J61))</f>
        <v/>
      </c>
      <c r="AT61" s="13" t="str">
        <f aca="false">IF(A61="","",IFERROR(maxifs($AV$4:$AV$203,$D$4:$D$203,$A61),""))</f>
        <v/>
      </c>
      <c r="AU61" s="13" t="str">
        <f aca="false">IF(A61="","",IF(OR(E61="",Inputs!$B$23=""),"",E61/(Inputs!$B$23*60)))</f>
        <v/>
      </c>
      <c r="AV61" s="13" t="str">
        <f aca="false">IF(A61="","",IF(AQ61=0,AS61+AU61,IF(AT61="",AS61+AU61,AT61+AU61)))</f>
        <v/>
      </c>
      <c r="AW61" s="13" t="str">
        <f aca="false">IF(A61="","",W61)</f>
        <v/>
      </c>
      <c r="AX61" s="13" t="str">
        <f aca="false">IF(OR(T61="",P61=""),"",(1/Inputs!$B$9)*((T61/4)^(2/3))*SQRT(P61))</f>
        <v/>
      </c>
      <c r="AY61" s="13" t="str">
        <f aca="false">IF(A61="","",IF(AND(AW61="",AX61="",BA61=""),"",IF(OR(UPPER(TRIM(Inputs!$B$24))="MANNING",UPPER(TRIM(Inputs!$B$24))="M"),AX61,IF(OR(UPPER(TRIM(Inputs!$B$24))="PARTIAL",UPPER(TRIM(Inputs!$B$24))="P"),BA61,IF(OR(UPPER(TRIM(Inputs!$B$24))="MAX",UPPER(TRIM(Inputs!$B$24))="X"),MAX(IF(AW61="",0,AW61),IF(AX61="",0,AX61),IF(BA61="",0,BA61)),AW61)))))</f>
        <v/>
      </c>
      <c r="AZ61" s="13" t="str">
        <f aca="false">IF(BB61="","",CH61)</f>
        <v/>
      </c>
      <c r="BA61" s="13" t="str">
        <f aca="false">IF(OR(BB61="",AZ61="",T61="",T61&lt;=0,AZ61&lt;=0),"",BB61/((T61^2/8)*(2*ACOS(1-2*AZ61/T61)-SIN(2*ACOS(1-2*AZ61/T61)))))</f>
        <v/>
      </c>
      <c r="BB61" s="9" t="str">
        <f aca="false">IF(OR(N61="",BC61=""),"",MIN(N61,BC61))</f>
        <v/>
      </c>
      <c r="BC61" s="9" t="str">
        <f aca="false">IF(OR(N61="",T61="",P61=""),"",IF(OR(T61="",P61="",(0.94*T61)="",T61&lt;=0,(0.94*T61)&lt;=0),"",(1/Inputs!$B$9)*((T61^2/8)*((2*ACOS(1-2*(0.94*T61)/T61))-SIN((2*ACOS(1-2*(0.94*T61)/T61)))))*((((T61^2/8)*((2*ACOS(1-2*(0.94*T61)/T61))-SIN((2*ACOS(1-2*(0.94*T61)/T61)))))/((T61/2)*((2*ACOS(1-2*(0.94*T61)/T61)))))^(2/3))*SQRT(P61)))</f>
        <v/>
      </c>
      <c r="BD61" s="9" t="str">
        <f aca="false">IF(BB61="","",0.001*T61)</f>
        <v/>
      </c>
      <c r="BE61" s="9" t="str">
        <f aca="false">IF(BB61="","",0.94*T61)</f>
        <v/>
      </c>
      <c r="BF61" s="9" t="str">
        <f aca="false">IF(BB61="","",(BD61+BE61)/2)</f>
        <v/>
      </c>
      <c r="BG61" s="9" t="str">
        <f aca="false">IF(OR(T61="",P61="",BF61="",T61&lt;=0,BF61&lt;=0),"",(1/Inputs!$B$9)*((T61^2/8)*((2*ACOS(1-2*BF61/T61))-SIN((2*ACOS(1-2*BF61/T61)))))*((((T61^2/8)*((2*ACOS(1-2*BF61/T61))-SIN((2*ACOS(1-2*BF61/T61)))))/((T61/2)*((2*ACOS(1-2*BF61/T61)))))^(2/3))*SQRT(P61))</f>
        <v/>
      </c>
      <c r="BH61" s="9" t="str">
        <f aca="false">IF(BB61="","",IF(BG61&lt;BB61,BF61,BD61))</f>
        <v/>
      </c>
      <c r="BI61" s="9" t="str">
        <f aca="false">IF(BB61="","",IF(BG61&lt;BB61,BE61,BF61))</f>
        <v/>
      </c>
      <c r="BJ61" s="9" t="str">
        <f aca="false">IF(BB61="","",(BH61+BI61)/2)</f>
        <v/>
      </c>
      <c r="BK61" s="9" t="str">
        <f aca="false">IF(OR(T61="",P61="",BJ61="",T61&lt;=0,BJ61&lt;=0),"",(1/Inputs!$B$9)*((T61^2/8)*((2*ACOS(1-2*BJ61/T61))-SIN((2*ACOS(1-2*BJ61/T61)))))*((((T61^2/8)*((2*ACOS(1-2*BJ61/T61))-SIN((2*ACOS(1-2*BJ61/T61)))))/((T61/2)*((2*ACOS(1-2*BJ61/T61)))))^(2/3))*SQRT(P61))</f>
        <v/>
      </c>
      <c r="BL61" s="9" t="str">
        <f aca="false">IF(BB61="","",IF(BK61&lt;BB61,BJ61,BH61))</f>
        <v/>
      </c>
      <c r="BM61" s="9" t="str">
        <f aca="false">IF(BB61="","",IF(BK61&lt;BB61,BI61,BJ61))</f>
        <v/>
      </c>
      <c r="BN61" s="9" t="str">
        <f aca="false">IF(BB61="","",(BL61+BM61)/2)</f>
        <v/>
      </c>
      <c r="BO61" s="9" t="str">
        <f aca="false">IF(OR(T61="",P61="",BN61="",T61&lt;=0,BN61&lt;=0),"",(1/Inputs!$B$9)*((T61^2/8)*((2*ACOS(1-2*BN61/T61))-SIN((2*ACOS(1-2*BN61/T61)))))*((((T61^2/8)*((2*ACOS(1-2*BN61/T61))-SIN((2*ACOS(1-2*BN61/T61)))))/((T61/2)*((2*ACOS(1-2*BN61/T61)))))^(2/3))*SQRT(P61))</f>
        <v/>
      </c>
      <c r="BP61" s="9" t="str">
        <f aca="false">IF(BB61="","",IF(BO61&lt;BB61,BN61,BL61))</f>
        <v/>
      </c>
      <c r="BQ61" s="9" t="str">
        <f aca="false">IF(BB61="","",IF(BO61&lt;BB61,BM61,BN61))</f>
        <v/>
      </c>
      <c r="BR61" s="9" t="str">
        <f aca="false">IF(BB61="","",(BP61+BQ61)/2)</f>
        <v/>
      </c>
      <c r="BS61" s="9" t="str">
        <f aca="false">IF(OR(T61="",P61="",BR61="",T61&lt;=0,BR61&lt;=0),"",(1/Inputs!$B$9)*((T61^2/8)*((2*ACOS(1-2*BR61/T61))-SIN((2*ACOS(1-2*BR61/T61)))))*((((T61^2/8)*((2*ACOS(1-2*BR61/T61))-SIN((2*ACOS(1-2*BR61/T61)))))/((T61/2)*((2*ACOS(1-2*BR61/T61)))))^(2/3))*SQRT(P61))</f>
        <v/>
      </c>
      <c r="BT61" s="9" t="str">
        <f aca="false">IF(BB61="","",IF(BS61&lt;BB61,BR61,BP61))</f>
        <v/>
      </c>
      <c r="BU61" s="9" t="str">
        <f aca="false">IF(BB61="","",IF(BS61&lt;BB61,BQ61,BR61))</f>
        <v/>
      </c>
      <c r="BV61" s="9" t="str">
        <f aca="false">IF(BB61="","",(BT61+BU61)/2)</f>
        <v/>
      </c>
      <c r="BW61" s="9" t="str">
        <f aca="false">IF(OR(T61="",P61="",BV61="",T61&lt;=0,BV61&lt;=0),"",(1/Inputs!$B$9)*((T61^2/8)*((2*ACOS(1-2*BV61/T61))-SIN((2*ACOS(1-2*BV61/T61)))))*((((T61^2/8)*((2*ACOS(1-2*BV61/T61))-SIN((2*ACOS(1-2*BV61/T61)))))/((T61/2)*((2*ACOS(1-2*BV61/T61)))))^(2/3))*SQRT(P61))</f>
        <v/>
      </c>
      <c r="BX61" s="9" t="str">
        <f aca="false">IF(BB61="","",IF(BW61&lt;BB61,BV61,BT61))</f>
        <v/>
      </c>
      <c r="BY61" s="9" t="str">
        <f aca="false">IF(BB61="","",IF(BW61&lt;BB61,BU61,BV61))</f>
        <v/>
      </c>
      <c r="BZ61" s="9" t="str">
        <f aca="false">IF(BB61="","",(BX61+BY61)/2)</f>
        <v/>
      </c>
      <c r="CA61" s="9" t="str">
        <f aca="false">IF(OR(T61="",P61="",BZ61="",T61&lt;=0,BZ61&lt;=0),"",(1/Inputs!$B$9)*((T61^2/8)*((2*ACOS(1-2*BZ61/T61))-SIN((2*ACOS(1-2*BZ61/T61)))))*((((T61^2/8)*((2*ACOS(1-2*BZ61/T61))-SIN((2*ACOS(1-2*BZ61/T61)))))/((T61/2)*((2*ACOS(1-2*BZ61/T61)))))^(2/3))*SQRT(P61))</f>
        <v/>
      </c>
      <c r="CB61" s="9" t="str">
        <f aca="false">IF(BB61="","",IF(CA61&lt;BB61,BZ61,BX61))</f>
        <v/>
      </c>
      <c r="CC61" s="9" t="str">
        <f aca="false">IF(BB61="","",IF(CA61&lt;BB61,BY61,BZ61))</f>
        <v/>
      </c>
      <c r="CD61" s="9" t="str">
        <f aca="false">IF(BB61="","",(CB61+CC61)/2)</f>
        <v/>
      </c>
      <c r="CE61" s="9" t="str">
        <f aca="false">IF(OR(T61="",P61="",CD61="",T61&lt;=0,CD61&lt;=0),"",(1/Inputs!$B$9)*((T61^2/8)*((2*ACOS(1-2*CD61/T61))-SIN((2*ACOS(1-2*CD61/T61)))))*((((T61^2/8)*((2*ACOS(1-2*CD61/T61))-SIN((2*ACOS(1-2*CD61/T61)))))/((T61/2)*((2*ACOS(1-2*CD61/T61)))))^(2/3))*SQRT(P61))</f>
        <v/>
      </c>
      <c r="CF61" s="9" t="str">
        <f aca="false">IF(BB61="","",IF(CE61&lt;BB61,CD61,CB61))</f>
        <v/>
      </c>
      <c r="CG61" s="9" t="str">
        <f aca="false">IF(BB61="","",IF(CE61&lt;BB61,CC61,CD61))</f>
        <v/>
      </c>
      <c r="CH61" s="9" t="str">
        <f aca="false">IF(BB61="","",(CF61+CG61)/2)</f>
        <v/>
      </c>
    </row>
    <row r="62" customFormat="false" ht="15" hidden="false" customHeight="false" outlineLevel="0" collapsed="false">
      <c r="A62" s="9"/>
      <c r="B62" s="9"/>
      <c r="C62" s="9"/>
      <c r="D62" s="9"/>
      <c r="E62" s="14"/>
      <c r="F62" s="14"/>
      <c r="G62" s="14" t="n">
        <f aca="false">SUMIFS(CB_plan!$C:$C,CB_plan!$B:$B,$A62)</f>
        <v>0</v>
      </c>
      <c r="H62" s="14" t="n">
        <f aca="false">IF(F62="",G62,F62)</f>
        <v>0</v>
      </c>
      <c r="I62" s="9"/>
      <c r="J62" s="14"/>
      <c r="K62" s="14" t="str">
        <f aca="false">IF(A62="","",Inputs!$B$13/((IF(AV62="",Inputs!$B$18,AV62)+Inputs!$B$14)^Inputs!$B$15))</f>
        <v/>
      </c>
      <c r="L62" s="14" t="str">
        <f aca="false">IF(A62="","",0.000000278*IF(I62="",Inputs!$B$17,I62)*H62*K62)</f>
        <v/>
      </c>
      <c r="M62" s="14" t="str">
        <f aca="false">IF(A62="","",SUMIFS($N$4:$N$203,$D$4:$D$203,$A62))</f>
        <v/>
      </c>
      <c r="N62" s="14" t="str">
        <f aca="false">IF(A62="","",(L62+M62)*Inputs!$B$16)</f>
        <v/>
      </c>
      <c r="O62" s="14"/>
      <c r="P62" s="14" t="str">
        <f aca="false">IF(A62="","",IF(O62="",Inputs!$B$7,O62))</f>
        <v/>
      </c>
      <c r="Q62" s="9" t="str">
        <f aca="false">IF(A62="","",IF(N62/Inputs!$B$10&lt;=AG62,Inputs!$F$5,IF(N62/Inputs!$B$10&gt;AP62,"OVERSIZE",INDEX(Inputs!$F$5:$F$14,MATCH(N62/Inputs!$B$10,AG62:AP62,1)+1))))</f>
        <v/>
      </c>
      <c r="R62" s="9"/>
      <c r="S62" s="9" t="str">
        <f aca="false">IF(A62="","",IF(R62="",Q62,R62))</f>
        <v/>
      </c>
      <c r="T62" s="14" t="str">
        <f aca="false">IF(OR(S62="",S62="OVERSIZE"),"",S62/1000)</f>
        <v/>
      </c>
      <c r="U62" s="14" t="str">
        <f aca="false">IF(T62="","",(1/Inputs!$B$9)*(PI()*T62^2/4)*((T62/4)^(2/3))*SQRT(P62))</f>
        <v/>
      </c>
      <c r="V62" s="14" t="str">
        <f aca="false">IF(OR(U62="",N62=""),"",N62/(U62*Inputs!$B$10))</f>
        <v/>
      </c>
      <c r="W62" s="14" t="str">
        <f aca="false">IF(OR(T62="",N62=""),"",4*N62/(PI()*T62^2))</f>
        <v/>
      </c>
      <c r="X62" s="14"/>
      <c r="Y62" s="14" t="str">
        <f aca="false">IF(A62="","",IF(A62=Inputs!$B$6,Inputs!$B$22,IF(D62="","",IFERROR(INDEX($Z$4:$Z$203,MATCH(D62,$A$4:$A$203,0))+IF(X62="",Inputs!$B$20,X62),""))))</f>
        <v/>
      </c>
      <c r="Z62" s="14" t="str">
        <f aca="false">IF(OR(Y62="",P62="",E62=""),"",Y62+P62*E62)</f>
        <v/>
      </c>
      <c r="AA62" s="14" t="str">
        <f aca="false">IF(C62="","",IFERROR(INDEX(Noeuds_plan!$C$4:$C$200,MATCH(C62,Noeuds_plan!$A$4:$A$200,0)),""))</f>
        <v/>
      </c>
      <c r="AB62" s="14" t="str">
        <f aca="false">IF(B62="","",IFERROR(INDEX(Noeuds_plan!$C$4:$C$200,MATCH(B62,Noeuds_plan!$A$4:$A$200,0)),""))</f>
        <v/>
      </c>
      <c r="AC62" s="14" t="str">
        <f aca="false">IF(OR(AA62="",Y62=""),"",AA62-Y62)</f>
        <v/>
      </c>
      <c r="AD62" s="14" t="str">
        <f aca="false">IF(OR(AB62="",Z62=""),"",AB62-Z62)</f>
        <v/>
      </c>
      <c r="AE62" s="19" t="str">
        <f aca="false">IF(A62="","",IF(OR(V62&gt;1,AND(AY62&lt;&gt;"",AY62&lt;Inputs!$B$11),AND(AY62&lt;&gt;"",AY62&gt;Inputs!$B$12),AC62&lt;Inputs!$B$19,AD62&lt;Inputs!$B$19,P62&lt;Inputs!$B$7,P62&gt;Inputs!$B$8),"CHECK","OK"))</f>
        <v/>
      </c>
      <c r="AF62" s="9"/>
      <c r="AG62" s="9" t="str">
        <f aca="false">IF(A62="","",(1/Inputs!$B$9)*(PI()*(Inputs!$F$5/1000)^2/4)*((Inputs!$F$5/1000/4)^(2/3))*SQRT(P62))</f>
        <v/>
      </c>
      <c r="AH62" s="9" t="str">
        <f aca="false">IF(A62="","",(1/Inputs!$B$9)*(PI()*(Inputs!$F$6/1000)^2/4)*((Inputs!$F$6/1000/4)^(2/3))*SQRT(P62))</f>
        <v/>
      </c>
      <c r="AI62" s="9" t="str">
        <f aca="false">IF(A62="","",(1/Inputs!$B$9)*(PI()*(Inputs!$F$7/1000)^2/4)*((Inputs!$F$7/1000/4)^(2/3))*SQRT(P62))</f>
        <v/>
      </c>
      <c r="AJ62" s="9" t="str">
        <f aca="false">IF(A62="","",(1/Inputs!$B$9)*(PI()*(Inputs!$F$8/1000)^2/4)*((Inputs!$F$8/1000/4)^(2/3))*SQRT(P62))</f>
        <v/>
      </c>
      <c r="AK62" s="9" t="str">
        <f aca="false">IF(A62="","",(1/Inputs!$B$9)*(PI()*(Inputs!$F$9/1000)^2/4)*((Inputs!$F$9/1000/4)^(2/3))*SQRT(P62))</f>
        <v/>
      </c>
      <c r="AL62" s="9" t="str">
        <f aca="false">IF(A62="","",(1/Inputs!$B$9)*(PI()*(Inputs!$F$10/1000)^2/4)*((Inputs!$F$10/1000/4)^(2/3))*SQRT(P62))</f>
        <v/>
      </c>
      <c r="AM62" s="9" t="str">
        <f aca="false">IF(A62="","",(1/Inputs!$B$9)*(PI()*(Inputs!$F$11/1000)^2/4)*((Inputs!$F$11/1000/4)^(2/3))*SQRT(P62))</f>
        <v/>
      </c>
      <c r="AN62" s="9" t="str">
        <f aca="false">IF(A62="","",(1/Inputs!$B$9)*(PI()*(Inputs!$F$12/1000)^2/4)*((Inputs!$F$12/1000/4)^(2/3))*SQRT(P62))</f>
        <v/>
      </c>
      <c r="AO62" s="9" t="str">
        <f aca="false">IF(A62="","",(1/Inputs!$B$9)*(PI()*(Inputs!$F$13/1000)^2/4)*((Inputs!$F$13/1000/4)^(2/3))*SQRT(P62))</f>
        <v/>
      </c>
      <c r="AP62" s="9" t="str">
        <f aca="false">IF(A62="","",(1/Inputs!$B$9)*(PI()*(Inputs!$F$14/1000)^2/4)*((Inputs!$F$14/1000/4)^(2/3))*SQRT(P62))</f>
        <v/>
      </c>
      <c r="AQ62" s="9" t="str">
        <f aca="false">IF(A62="","",COUNTIF($D$4:$D$203,$A62))</f>
        <v/>
      </c>
      <c r="AR62" s="9" t="str">
        <f aca="false">IF(A62="","",IF(AQ62=0,"START","CONTINUOUS"))</f>
        <v/>
      </c>
      <c r="AS62" s="13" t="str">
        <f aca="false">IF(A62="","",IF(J62="",Inputs!$B$18,J62))</f>
        <v/>
      </c>
      <c r="AT62" s="13" t="str">
        <f aca="false">IF(A62="","",IFERROR(maxifs($AV$4:$AV$203,$D$4:$D$203,$A62),""))</f>
        <v/>
      </c>
      <c r="AU62" s="13" t="str">
        <f aca="false">IF(A62="","",IF(OR(E62="",Inputs!$B$23=""),"",E62/(Inputs!$B$23*60)))</f>
        <v/>
      </c>
      <c r="AV62" s="13" t="str">
        <f aca="false">IF(A62="","",IF(AQ62=0,AS62+AU62,IF(AT62="",AS62+AU62,AT62+AU62)))</f>
        <v/>
      </c>
      <c r="AW62" s="13" t="str">
        <f aca="false">IF(A62="","",W62)</f>
        <v/>
      </c>
      <c r="AX62" s="13" t="str">
        <f aca="false">IF(OR(T62="",P62=""),"",(1/Inputs!$B$9)*((T62/4)^(2/3))*SQRT(P62))</f>
        <v/>
      </c>
      <c r="AY62" s="13" t="str">
        <f aca="false">IF(A62="","",IF(AND(AW62="",AX62="",BA62=""),"",IF(OR(UPPER(TRIM(Inputs!$B$24))="MANNING",UPPER(TRIM(Inputs!$B$24))="M"),AX62,IF(OR(UPPER(TRIM(Inputs!$B$24))="PARTIAL",UPPER(TRIM(Inputs!$B$24))="P"),BA62,IF(OR(UPPER(TRIM(Inputs!$B$24))="MAX",UPPER(TRIM(Inputs!$B$24))="X"),MAX(IF(AW62="",0,AW62),IF(AX62="",0,AX62),IF(BA62="",0,BA62)),AW62)))))</f>
        <v/>
      </c>
      <c r="AZ62" s="13" t="str">
        <f aca="false">IF(BB62="","",CH62)</f>
        <v/>
      </c>
      <c r="BA62" s="13" t="str">
        <f aca="false">IF(OR(BB62="",AZ62="",T62="",T62&lt;=0,AZ62&lt;=0),"",BB62/((T62^2/8)*(2*ACOS(1-2*AZ62/T62)-SIN(2*ACOS(1-2*AZ62/T62)))))</f>
        <v/>
      </c>
      <c r="BB62" s="9" t="str">
        <f aca="false">IF(OR(N62="",BC62=""),"",MIN(N62,BC62))</f>
        <v/>
      </c>
      <c r="BC62" s="9" t="str">
        <f aca="false">IF(OR(N62="",T62="",P62=""),"",IF(OR(T62="",P62="",(0.94*T62)="",T62&lt;=0,(0.94*T62)&lt;=0),"",(1/Inputs!$B$9)*((T62^2/8)*((2*ACOS(1-2*(0.94*T62)/T62))-SIN((2*ACOS(1-2*(0.94*T62)/T62)))))*((((T62^2/8)*((2*ACOS(1-2*(0.94*T62)/T62))-SIN((2*ACOS(1-2*(0.94*T62)/T62)))))/((T62/2)*((2*ACOS(1-2*(0.94*T62)/T62)))))^(2/3))*SQRT(P62)))</f>
        <v/>
      </c>
      <c r="BD62" s="9" t="str">
        <f aca="false">IF(BB62="","",0.001*T62)</f>
        <v/>
      </c>
      <c r="BE62" s="9" t="str">
        <f aca="false">IF(BB62="","",0.94*T62)</f>
        <v/>
      </c>
      <c r="BF62" s="9" t="str">
        <f aca="false">IF(BB62="","",(BD62+BE62)/2)</f>
        <v/>
      </c>
      <c r="BG62" s="9" t="str">
        <f aca="false">IF(OR(T62="",P62="",BF62="",T62&lt;=0,BF62&lt;=0),"",(1/Inputs!$B$9)*((T62^2/8)*((2*ACOS(1-2*BF62/T62))-SIN((2*ACOS(1-2*BF62/T62)))))*((((T62^2/8)*((2*ACOS(1-2*BF62/T62))-SIN((2*ACOS(1-2*BF62/T62)))))/((T62/2)*((2*ACOS(1-2*BF62/T62)))))^(2/3))*SQRT(P62))</f>
        <v/>
      </c>
      <c r="BH62" s="9" t="str">
        <f aca="false">IF(BB62="","",IF(BG62&lt;BB62,BF62,BD62))</f>
        <v/>
      </c>
      <c r="BI62" s="9" t="str">
        <f aca="false">IF(BB62="","",IF(BG62&lt;BB62,BE62,BF62))</f>
        <v/>
      </c>
      <c r="BJ62" s="9" t="str">
        <f aca="false">IF(BB62="","",(BH62+BI62)/2)</f>
        <v/>
      </c>
      <c r="BK62" s="9" t="str">
        <f aca="false">IF(OR(T62="",P62="",BJ62="",T62&lt;=0,BJ62&lt;=0),"",(1/Inputs!$B$9)*((T62^2/8)*((2*ACOS(1-2*BJ62/T62))-SIN((2*ACOS(1-2*BJ62/T62)))))*((((T62^2/8)*((2*ACOS(1-2*BJ62/T62))-SIN((2*ACOS(1-2*BJ62/T62)))))/((T62/2)*((2*ACOS(1-2*BJ62/T62)))))^(2/3))*SQRT(P62))</f>
        <v/>
      </c>
      <c r="BL62" s="9" t="str">
        <f aca="false">IF(BB62="","",IF(BK62&lt;BB62,BJ62,BH62))</f>
        <v/>
      </c>
      <c r="BM62" s="9" t="str">
        <f aca="false">IF(BB62="","",IF(BK62&lt;BB62,BI62,BJ62))</f>
        <v/>
      </c>
      <c r="BN62" s="9" t="str">
        <f aca="false">IF(BB62="","",(BL62+BM62)/2)</f>
        <v/>
      </c>
      <c r="BO62" s="9" t="str">
        <f aca="false">IF(OR(T62="",P62="",BN62="",T62&lt;=0,BN62&lt;=0),"",(1/Inputs!$B$9)*((T62^2/8)*((2*ACOS(1-2*BN62/T62))-SIN((2*ACOS(1-2*BN62/T62)))))*((((T62^2/8)*((2*ACOS(1-2*BN62/T62))-SIN((2*ACOS(1-2*BN62/T62)))))/((T62/2)*((2*ACOS(1-2*BN62/T62)))))^(2/3))*SQRT(P62))</f>
        <v/>
      </c>
      <c r="BP62" s="9" t="str">
        <f aca="false">IF(BB62="","",IF(BO62&lt;BB62,BN62,BL62))</f>
        <v/>
      </c>
      <c r="BQ62" s="9" t="str">
        <f aca="false">IF(BB62="","",IF(BO62&lt;BB62,BM62,BN62))</f>
        <v/>
      </c>
      <c r="BR62" s="9" t="str">
        <f aca="false">IF(BB62="","",(BP62+BQ62)/2)</f>
        <v/>
      </c>
      <c r="BS62" s="9" t="str">
        <f aca="false">IF(OR(T62="",P62="",BR62="",T62&lt;=0,BR62&lt;=0),"",(1/Inputs!$B$9)*((T62^2/8)*((2*ACOS(1-2*BR62/T62))-SIN((2*ACOS(1-2*BR62/T62)))))*((((T62^2/8)*((2*ACOS(1-2*BR62/T62))-SIN((2*ACOS(1-2*BR62/T62)))))/((T62/2)*((2*ACOS(1-2*BR62/T62)))))^(2/3))*SQRT(P62))</f>
        <v/>
      </c>
      <c r="BT62" s="9" t="str">
        <f aca="false">IF(BB62="","",IF(BS62&lt;BB62,BR62,BP62))</f>
        <v/>
      </c>
      <c r="BU62" s="9" t="str">
        <f aca="false">IF(BB62="","",IF(BS62&lt;BB62,BQ62,BR62))</f>
        <v/>
      </c>
      <c r="BV62" s="9" t="str">
        <f aca="false">IF(BB62="","",(BT62+BU62)/2)</f>
        <v/>
      </c>
      <c r="BW62" s="9" t="str">
        <f aca="false">IF(OR(T62="",P62="",BV62="",T62&lt;=0,BV62&lt;=0),"",(1/Inputs!$B$9)*((T62^2/8)*((2*ACOS(1-2*BV62/T62))-SIN((2*ACOS(1-2*BV62/T62)))))*((((T62^2/8)*((2*ACOS(1-2*BV62/T62))-SIN((2*ACOS(1-2*BV62/T62)))))/((T62/2)*((2*ACOS(1-2*BV62/T62)))))^(2/3))*SQRT(P62))</f>
        <v/>
      </c>
      <c r="BX62" s="9" t="str">
        <f aca="false">IF(BB62="","",IF(BW62&lt;BB62,BV62,BT62))</f>
        <v/>
      </c>
      <c r="BY62" s="9" t="str">
        <f aca="false">IF(BB62="","",IF(BW62&lt;BB62,BU62,BV62))</f>
        <v/>
      </c>
      <c r="BZ62" s="9" t="str">
        <f aca="false">IF(BB62="","",(BX62+BY62)/2)</f>
        <v/>
      </c>
      <c r="CA62" s="9" t="str">
        <f aca="false">IF(OR(T62="",P62="",BZ62="",T62&lt;=0,BZ62&lt;=0),"",(1/Inputs!$B$9)*((T62^2/8)*((2*ACOS(1-2*BZ62/T62))-SIN((2*ACOS(1-2*BZ62/T62)))))*((((T62^2/8)*((2*ACOS(1-2*BZ62/T62))-SIN((2*ACOS(1-2*BZ62/T62)))))/((T62/2)*((2*ACOS(1-2*BZ62/T62)))))^(2/3))*SQRT(P62))</f>
        <v/>
      </c>
      <c r="CB62" s="9" t="str">
        <f aca="false">IF(BB62="","",IF(CA62&lt;BB62,BZ62,BX62))</f>
        <v/>
      </c>
      <c r="CC62" s="9" t="str">
        <f aca="false">IF(BB62="","",IF(CA62&lt;BB62,BY62,BZ62))</f>
        <v/>
      </c>
      <c r="CD62" s="9" t="str">
        <f aca="false">IF(BB62="","",(CB62+CC62)/2)</f>
        <v/>
      </c>
      <c r="CE62" s="9" t="str">
        <f aca="false">IF(OR(T62="",P62="",CD62="",T62&lt;=0,CD62&lt;=0),"",(1/Inputs!$B$9)*((T62^2/8)*((2*ACOS(1-2*CD62/T62))-SIN((2*ACOS(1-2*CD62/T62)))))*((((T62^2/8)*((2*ACOS(1-2*CD62/T62))-SIN((2*ACOS(1-2*CD62/T62)))))/((T62/2)*((2*ACOS(1-2*CD62/T62)))))^(2/3))*SQRT(P62))</f>
        <v/>
      </c>
      <c r="CF62" s="9" t="str">
        <f aca="false">IF(BB62="","",IF(CE62&lt;BB62,CD62,CB62))</f>
        <v/>
      </c>
      <c r="CG62" s="9" t="str">
        <f aca="false">IF(BB62="","",IF(CE62&lt;BB62,CC62,CD62))</f>
        <v/>
      </c>
      <c r="CH62" s="9" t="str">
        <f aca="false">IF(BB62="","",(CF62+CG62)/2)</f>
        <v/>
      </c>
    </row>
    <row r="63" customFormat="false" ht="15" hidden="false" customHeight="false" outlineLevel="0" collapsed="false">
      <c r="A63" s="9"/>
      <c r="B63" s="9"/>
      <c r="C63" s="9"/>
      <c r="D63" s="9"/>
      <c r="E63" s="14"/>
      <c r="F63" s="14"/>
      <c r="G63" s="14" t="n">
        <f aca="false">SUMIFS(CB_plan!$C:$C,CB_plan!$B:$B,$A63)</f>
        <v>0</v>
      </c>
      <c r="H63" s="14" t="n">
        <f aca="false">IF(F63="",G63,F63)</f>
        <v>0</v>
      </c>
      <c r="I63" s="9"/>
      <c r="J63" s="14"/>
      <c r="K63" s="14" t="str">
        <f aca="false">IF(A63="","",Inputs!$B$13/((IF(AV63="",Inputs!$B$18,AV63)+Inputs!$B$14)^Inputs!$B$15))</f>
        <v/>
      </c>
      <c r="L63" s="14" t="str">
        <f aca="false">IF(A63="","",0.000000278*IF(I63="",Inputs!$B$17,I63)*H63*K63)</f>
        <v/>
      </c>
      <c r="M63" s="14" t="str">
        <f aca="false">IF(A63="","",SUMIFS($N$4:$N$203,$D$4:$D$203,$A63))</f>
        <v/>
      </c>
      <c r="N63" s="14" t="str">
        <f aca="false">IF(A63="","",(L63+M63)*Inputs!$B$16)</f>
        <v/>
      </c>
      <c r="O63" s="14"/>
      <c r="P63" s="14" t="str">
        <f aca="false">IF(A63="","",IF(O63="",Inputs!$B$7,O63))</f>
        <v/>
      </c>
      <c r="Q63" s="9" t="str">
        <f aca="false">IF(A63="","",IF(N63/Inputs!$B$10&lt;=AG63,Inputs!$F$5,IF(N63/Inputs!$B$10&gt;AP63,"OVERSIZE",INDEX(Inputs!$F$5:$F$14,MATCH(N63/Inputs!$B$10,AG63:AP63,1)+1))))</f>
        <v/>
      </c>
      <c r="R63" s="9"/>
      <c r="S63" s="9" t="str">
        <f aca="false">IF(A63="","",IF(R63="",Q63,R63))</f>
        <v/>
      </c>
      <c r="T63" s="14" t="str">
        <f aca="false">IF(OR(S63="",S63="OVERSIZE"),"",S63/1000)</f>
        <v/>
      </c>
      <c r="U63" s="14" t="str">
        <f aca="false">IF(T63="","",(1/Inputs!$B$9)*(PI()*T63^2/4)*((T63/4)^(2/3))*SQRT(P63))</f>
        <v/>
      </c>
      <c r="V63" s="14" t="str">
        <f aca="false">IF(OR(U63="",N63=""),"",N63/(U63*Inputs!$B$10))</f>
        <v/>
      </c>
      <c r="W63" s="14" t="str">
        <f aca="false">IF(OR(T63="",N63=""),"",4*N63/(PI()*T63^2))</f>
        <v/>
      </c>
      <c r="X63" s="14"/>
      <c r="Y63" s="14" t="str">
        <f aca="false">IF(A63="","",IF(A63=Inputs!$B$6,Inputs!$B$22,IF(D63="","",IFERROR(INDEX($Z$4:$Z$203,MATCH(D63,$A$4:$A$203,0))+IF(X63="",Inputs!$B$20,X63),""))))</f>
        <v/>
      </c>
      <c r="Z63" s="14" t="str">
        <f aca="false">IF(OR(Y63="",P63="",E63=""),"",Y63+P63*E63)</f>
        <v/>
      </c>
      <c r="AA63" s="14" t="str">
        <f aca="false">IF(C63="","",IFERROR(INDEX(Noeuds_plan!$C$4:$C$200,MATCH(C63,Noeuds_plan!$A$4:$A$200,0)),""))</f>
        <v/>
      </c>
      <c r="AB63" s="14" t="str">
        <f aca="false">IF(B63="","",IFERROR(INDEX(Noeuds_plan!$C$4:$C$200,MATCH(B63,Noeuds_plan!$A$4:$A$200,0)),""))</f>
        <v/>
      </c>
      <c r="AC63" s="14" t="str">
        <f aca="false">IF(OR(AA63="",Y63=""),"",AA63-Y63)</f>
        <v/>
      </c>
      <c r="AD63" s="14" t="str">
        <f aca="false">IF(OR(AB63="",Z63=""),"",AB63-Z63)</f>
        <v/>
      </c>
      <c r="AE63" s="19" t="str">
        <f aca="false">IF(A63="","",IF(OR(V63&gt;1,AND(AY63&lt;&gt;"",AY63&lt;Inputs!$B$11),AND(AY63&lt;&gt;"",AY63&gt;Inputs!$B$12),AC63&lt;Inputs!$B$19,AD63&lt;Inputs!$B$19,P63&lt;Inputs!$B$7,P63&gt;Inputs!$B$8),"CHECK","OK"))</f>
        <v/>
      </c>
      <c r="AF63" s="9"/>
      <c r="AG63" s="9" t="str">
        <f aca="false">IF(A63="","",(1/Inputs!$B$9)*(PI()*(Inputs!$F$5/1000)^2/4)*((Inputs!$F$5/1000/4)^(2/3))*SQRT(P63))</f>
        <v/>
      </c>
      <c r="AH63" s="9" t="str">
        <f aca="false">IF(A63="","",(1/Inputs!$B$9)*(PI()*(Inputs!$F$6/1000)^2/4)*((Inputs!$F$6/1000/4)^(2/3))*SQRT(P63))</f>
        <v/>
      </c>
      <c r="AI63" s="9" t="str">
        <f aca="false">IF(A63="","",(1/Inputs!$B$9)*(PI()*(Inputs!$F$7/1000)^2/4)*((Inputs!$F$7/1000/4)^(2/3))*SQRT(P63))</f>
        <v/>
      </c>
      <c r="AJ63" s="9" t="str">
        <f aca="false">IF(A63="","",(1/Inputs!$B$9)*(PI()*(Inputs!$F$8/1000)^2/4)*((Inputs!$F$8/1000/4)^(2/3))*SQRT(P63))</f>
        <v/>
      </c>
      <c r="AK63" s="9" t="str">
        <f aca="false">IF(A63="","",(1/Inputs!$B$9)*(PI()*(Inputs!$F$9/1000)^2/4)*((Inputs!$F$9/1000/4)^(2/3))*SQRT(P63))</f>
        <v/>
      </c>
      <c r="AL63" s="9" t="str">
        <f aca="false">IF(A63="","",(1/Inputs!$B$9)*(PI()*(Inputs!$F$10/1000)^2/4)*((Inputs!$F$10/1000/4)^(2/3))*SQRT(P63))</f>
        <v/>
      </c>
      <c r="AM63" s="9" t="str">
        <f aca="false">IF(A63="","",(1/Inputs!$B$9)*(PI()*(Inputs!$F$11/1000)^2/4)*((Inputs!$F$11/1000/4)^(2/3))*SQRT(P63))</f>
        <v/>
      </c>
      <c r="AN63" s="9" t="str">
        <f aca="false">IF(A63="","",(1/Inputs!$B$9)*(PI()*(Inputs!$F$12/1000)^2/4)*((Inputs!$F$12/1000/4)^(2/3))*SQRT(P63))</f>
        <v/>
      </c>
      <c r="AO63" s="9" t="str">
        <f aca="false">IF(A63="","",(1/Inputs!$B$9)*(PI()*(Inputs!$F$13/1000)^2/4)*((Inputs!$F$13/1000/4)^(2/3))*SQRT(P63))</f>
        <v/>
      </c>
      <c r="AP63" s="9" t="str">
        <f aca="false">IF(A63="","",(1/Inputs!$B$9)*(PI()*(Inputs!$F$14/1000)^2/4)*((Inputs!$F$14/1000/4)^(2/3))*SQRT(P63))</f>
        <v/>
      </c>
      <c r="AQ63" s="9" t="str">
        <f aca="false">IF(A63="","",COUNTIF($D$4:$D$203,$A63))</f>
        <v/>
      </c>
      <c r="AR63" s="9" t="str">
        <f aca="false">IF(A63="","",IF(AQ63=0,"START","CONTINUOUS"))</f>
        <v/>
      </c>
      <c r="AS63" s="13" t="str">
        <f aca="false">IF(A63="","",IF(J63="",Inputs!$B$18,J63))</f>
        <v/>
      </c>
      <c r="AT63" s="13" t="str">
        <f aca="false">IF(A63="","",IFERROR(maxifs($AV$4:$AV$203,$D$4:$D$203,$A63),""))</f>
        <v/>
      </c>
      <c r="AU63" s="13" t="str">
        <f aca="false">IF(A63="","",IF(OR(E63="",Inputs!$B$23=""),"",E63/(Inputs!$B$23*60)))</f>
        <v/>
      </c>
      <c r="AV63" s="13" t="str">
        <f aca="false">IF(A63="","",IF(AQ63=0,AS63+AU63,IF(AT63="",AS63+AU63,AT63+AU63)))</f>
        <v/>
      </c>
      <c r="AW63" s="13" t="str">
        <f aca="false">IF(A63="","",W63)</f>
        <v/>
      </c>
      <c r="AX63" s="13" t="str">
        <f aca="false">IF(OR(T63="",P63=""),"",(1/Inputs!$B$9)*((T63/4)^(2/3))*SQRT(P63))</f>
        <v/>
      </c>
      <c r="AY63" s="13" t="str">
        <f aca="false">IF(A63="","",IF(AND(AW63="",AX63="",BA63=""),"",IF(OR(UPPER(TRIM(Inputs!$B$24))="MANNING",UPPER(TRIM(Inputs!$B$24))="M"),AX63,IF(OR(UPPER(TRIM(Inputs!$B$24))="PARTIAL",UPPER(TRIM(Inputs!$B$24))="P"),BA63,IF(OR(UPPER(TRIM(Inputs!$B$24))="MAX",UPPER(TRIM(Inputs!$B$24))="X"),MAX(IF(AW63="",0,AW63),IF(AX63="",0,AX63),IF(BA63="",0,BA63)),AW63)))))</f>
        <v/>
      </c>
      <c r="AZ63" s="13" t="str">
        <f aca="false">IF(BB63="","",CH63)</f>
        <v/>
      </c>
      <c r="BA63" s="13" t="str">
        <f aca="false">IF(OR(BB63="",AZ63="",T63="",T63&lt;=0,AZ63&lt;=0),"",BB63/((T63^2/8)*(2*ACOS(1-2*AZ63/T63)-SIN(2*ACOS(1-2*AZ63/T63)))))</f>
        <v/>
      </c>
      <c r="BB63" s="9" t="str">
        <f aca="false">IF(OR(N63="",BC63=""),"",MIN(N63,BC63))</f>
        <v/>
      </c>
      <c r="BC63" s="9" t="str">
        <f aca="false">IF(OR(N63="",T63="",P63=""),"",IF(OR(T63="",P63="",(0.94*T63)="",T63&lt;=0,(0.94*T63)&lt;=0),"",(1/Inputs!$B$9)*((T63^2/8)*((2*ACOS(1-2*(0.94*T63)/T63))-SIN((2*ACOS(1-2*(0.94*T63)/T63)))))*((((T63^2/8)*((2*ACOS(1-2*(0.94*T63)/T63))-SIN((2*ACOS(1-2*(0.94*T63)/T63)))))/((T63/2)*((2*ACOS(1-2*(0.94*T63)/T63)))))^(2/3))*SQRT(P63)))</f>
        <v/>
      </c>
      <c r="BD63" s="9" t="str">
        <f aca="false">IF(BB63="","",0.001*T63)</f>
        <v/>
      </c>
      <c r="BE63" s="9" t="str">
        <f aca="false">IF(BB63="","",0.94*T63)</f>
        <v/>
      </c>
      <c r="BF63" s="9" t="str">
        <f aca="false">IF(BB63="","",(BD63+BE63)/2)</f>
        <v/>
      </c>
      <c r="BG63" s="9" t="str">
        <f aca="false">IF(OR(T63="",P63="",BF63="",T63&lt;=0,BF63&lt;=0),"",(1/Inputs!$B$9)*((T63^2/8)*((2*ACOS(1-2*BF63/T63))-SIN((2*ACOS(1-2*BF63/T63)))))*((((T63^2/8)*((2*ACOS(1-2*BF63/T63))-SIN((2*ACOS(1-2*BF63/T63)))))/((T63/2)*((2*ACOS(1-2*BF63/T63)))))^(2/3))*SQRT(P63))</f>
        <v/>
      </c>
      <c r="BH63" s="9" t="str">
        <f aca="false">IF(BB63="","",IF(BG63&lt;BB63,BF63,BD63))</f>
        <v/>
      </c>
      <c r="BI63" s="9" t="str">
        <f aca="false">IF(BB63="","",IF(BG63&lt;BB63,BE63,BF63))</f>
        <v/>
      </c>
      <c r="BJ63" s="9" t="str">
        <f aca="false">IF(BB63="","",(BH63+BI63)/2)</f>
        <v/>
      </c>
      <c r="BK63" s="9" t="str">
        <f aca="false">IF(OR(T63="",P63="",BJ63="",T63&lt;=0,BJ63&lt;=0),"",(1/Inputs!$B$9)*((T63^2/8)*((2*ACOS(1-2*BJ63/T63))-SIN((2*ACOS(1-2*BJ63/T63)))))*((((T63^2/8)*((2*ACOS(1-2*BJ63/T63))-SIN((2*ACOS(1-2*BJ63/T63)))))/((T63/2)*((2*ACOS(1-2*BJ63/T63)))))^(2/3))*SQRT(P63))</f>
        <v/>
      </c>
      <c r="BL63" s="9" t="str">
        <f aca="false">IF(BB63="","",IF(BK63&lt;BB63,BJ63,BH63))</f>
        <v/>
      </c>
      <c r="BM63" s="9" t="str">
        <f aca="false">IF(BB63="","",IF(BK63&lt;BB63,BI63,BJ63))</f>
        <v/>
      </c>
      <c r="BN63" s="9" t="str">
        <f aca="false">IF(BB63="","",(BL63+BM63)/2)</f>
        <v/>
      </c>
      <c r="BO63" s="9" t="str">
        <f aca="false">IF(OR(T63="",P63="",BN63="",T63&lt;=0,BN63&lt;=0),"",(1/Inputs!$B$9)*((T63^2/8)*((2*ACOS(1-2*BN63/T63))-SIN((2*ACOS(1-2*BN63/T63)))))*((((T63^2/8)*((2*ACOS(1-2*BN63/T63))-SIN((2*ACOS(1-2*BN63/T63)))))/((T63/2)*((2*ACOS(1-2*BN63/T63)))))^(2/3))*SQRT(P63))</f>
        <v/>
      </c>
      <c r="BP63" s="9" t="str">
        <f aca="false">IF(BB63="","",IF(BO63&lt;BB63,BN63,BL63))</f>
        <v/>
      </c>
      <c r="BQ63" s="9" t="str">
        <f aca="false">IF(BB63="","",IF(BO63&lt;BB63,BM63,BN63))</f>
        <v/>
      </c>
      <c r="BR63" s="9" t="str">
        <f aca="false">IF(BB63="","",(BP63+BQ63)/2)</f>
        <v/>
      </c>
      <c r="BS63" s="9" t="str">
        <f aca="false">IF(OR(T63="",P63="",BR63="",T63&lt;=0,BR63&lt;=0),"",(1/Inputs!$B$9)*((T63^2/8)*((2*ACOS(1-2*BR63/T63))-SIN((2*ACOS(1-2*BR63/T63)))))*((((T63^2/8)*((2*ACOS(1-2*BR63/T63))-SIN((2*ACOS(1-2*BR63/T63)))))/((T63/2)*((2*ACOS(1-2*BR63/T63)))))^(2/3))*SQRT(P63))</f>
        <v/>
      </c>
      <c r="BT63" s="9" t="str">
        <f aca="false">IF(BB63="","",IF(BS63&lt;BB63,BR63,BP63))</f>
        <v/>
      </c>
      <c r="BU63" s="9" t="str">
        <f aca="false">IF(BB63="","",IF(BS63&lt;BB63,BQ63,BR63))</f>
        <v/>
      </c>
      <c r="BV63" s="9" t="str">
        <f aca="false">IF(BB63="","",(BT63+BU63)/2)</f>
        <v/>
      </c>
      <c r="BW63" s="9" t="str">
        <f aca="false">IF(OR(T63="",P63="",BV63="",T63&lt;=0,BV63&lt;=0),"",(1/Inputs!$B$9)*((T63^2/8)*((2*ACOS(1-2*BV63/T63))-SIN((2*ACOS(1-2*BV63/T63)))))*((((T63^2/8)*((2*ACOS(1-2*BV63/T63))-SIN((2*ACOS(1-2*BV63/T63)))))/((T63/2)*((2*ACOS(1-2*BV63/T63)))))^(2/3))*SQRT(P63))</f>
        <v/>
      </c>
      <c r="BX63" s="9" t="str">
        <f aca="false">IF(BB63="","",IF(BW63&lt;BB63,BV63,BT63))</f>
        <v/>
      </c>
      <c r="BY63" s="9" t="str">
        <f aca="false">IF(BB63="","",IF(BW63&lt;BB63,BU63,BV63))</f>
        <v/>
      </c>
      <c r="BZ63" s="9" t="str">
        <f aca="false">IF(BB63="","",(BX63+BY63)/2)</f>
        <v/>
      </c>
      <c r="CA63" s="9" t="str">
        <f aca="false">IF(OR(T63="",P63="",BZ63="",T63&lt;=0,BZ63&lt;=0),"",(1/Inputs!$B$9)*((T63^2/8)*((2*ACOS(1-2*BZ63/T63))-SIN((2*ACOS(1-2*BZ63/T63)))))*((((T63^2/8)*((2*ACOS(1-2*BZ63/T63))-SIN((2*ACOS(1-2*BZ63/T63)))))/((T63/2)*((2*ACOS(1-2*BZ63/T63)))))^(2/3))*SQRT(P63))</f>
        <v/>
      </c>
      <c r="CB63" s="9" t="str">
        <f aca="false">IF(BB63="","",IF(CA63&lt;BB63,BZ63,BX63))</f>
        <v/>
      </c>
      <c r="CC63" s="9" t="str">
        <f aca="false">IF(BB63="","",IF(CA63&lt;BB63,BY63,BZ63))</f>
        <v/>
      </c>
      <c r="CD63" s="9" t="str">
        <f aca="false">IF(BB63="","",(CB63+CC63)/2)</f>
        <v/>
      </c>
      <c r="CE63" s="9" t="str">
        <f aca="false">IF(OR(T63="",P63="",CD63="",T63&lt;=0,CD63&lt;=0),"",(1/Inputs!$B$9)*((T63^2/8)*((2*ACOS(1-2*CD63/T63))-SIN((2*ACOS(1-2*CD63/T63)))))*((((T63^2/8)*((2*ACOS(1-2*CD63/T63))-SIN((2*ACOS(1-2*CD63/T63)))))/((T63/2)*((2*ACOS(1-2*CD63/T63)))))^(2/3))*SQRT(P63))</f>
        <v/>
      </c>
      <c r="CF63" s="9" t="str">
        <f aca="false">IF(BB63="","",IF(CE63&lt;BB63,CD63,CB63))</f>
        <v/>
      </c>
      <c r="CG63" s="9" t="str">
        <f aca="false">IF(BB63="","",IF(CE63&lt;BB63,CC63,CD63))</f>
        <v/>
      </c>
      <c r="CH63" s="9" t="str">
        <f aca="false">IF(BB63="","",(CF63+CG63)/2)</f>
        <v/>
      </c>
    </row>
    <row r="64" customFormat="false" ht="15" hidden="false" customHeight="false" outlineLevel="0" collapsed="false">
      <c r="A64" s="9"/>
      <c r="B64" s="9"/>
      <c r="C64" s="9"/>
      <c r="D64" s="9"/>
      <c r="E64" s="14"/>
      <c r="F64" s="14"/>
      <c r="G64" s="14" t="n">
        <f aca="false">SUMIFS(CB_plan!$C:$C,CB_plan!$B:$B,$A64)</f>
        <v>0</v>
      </c>
      <c r="H64" s="14" t="n">
        <f aca="false">IF(F64="",G64,F64)</f>
        <v>0</v>
      </c>
      <c r="I64" s="9"/>
      <c r="J64" s="14"/>
      <c r="K64" s="14" t="str">
        <f aca="false">IF(A64="","",Inputs!$B$13/((IF(AV64="",Inputs!$B$18,AV64)+Inputs!$B$14)^Inputs!$B$15))</f>
        <v/>
      </c>
      <c r="L64" s="14" t="str">
        <f aca="false">IF(A64="","",0.000000278*IF(I64="",Inputs!$B$17,I64)*H64*K64)</f>
        <v/>
      </c>
      <c r="M64" s="14" t="str">
        <f aca="false">IF(A64="","",SUMIFS($N$4:$N$203,$D$4:$D$203,$A64))</f>
        <v/>
      </c>
      <c r="N64" s="14" t="str">
        <f aca="false">IF(A64="","",(L64+M64)*Inputs!$B$16)</f>
        <v/>
      </c>
      <c r="O64" s="14"/>
      <c r="P64" s="14" t="str">
        <f aca="false">IF(A64="","",IF(O64="",Inputs!$B$7,O64))</f>
        <v/>
      </c>
      <c r="Q64" s="9" t="str">
        <f aca="false">IF(A64="","",IF(N64/Inputs!$B$10&lt;=AG64,Inputs!$F$5,IF(N64/Inputs!$B$10&gt;AP64,"OVERSIZE",INDEX(Inputs!$F$5:$F$14,MATCH(N64/Inputs!$B$10,AG64:AP64,1)+1))))</f>
        <v/>
      </c>
      <c r="R64" s="9"/>
      <c r="S64" s="9" t="str">
        <f aca="false">IF(A64="","",IF(R64="",Q64,R64))</f>
        <v/>
      </c>
      <c r="T64" s="14" t="str">
        <f aca="false">IF(OR(S64="",S64="OVERSIZE"),"",S64/1000)</f>
        <v/>
      </c>
      <c r="U64" s="14" t="str">
        <f aca="false">IF(T64="","",(1/Inputs!$B$9)*(PI()*T64^2/4)*((T64/4)^(2/3))*SQRT(P64))</f>
        <v/>
      </c>
      <c r="V64" s="14" t="str">
        <f aca="false">IF(OR(U64="",N64=""),"",N64/(U64*Inputs!$B$10))</f>
        <v/>
      </c>
      <c r="W64" s="14" t="str">
        <f aca="false">IF(OR(T64="",N64=""),"",4*N64/(PI()*T64^2))</f>
        <v/>
      </c>
      <c r="X64" s="14"/>
      <c r="Y64" s="14" t="str">
        <f aca="false">IF(A64="","",IF(A64=Inputs!$B$6,Inputs!$B$22,IF(D64="","",IFERROR(INDEX($Z$4:$Z$203,MATCH(D64,$A$4:$A$203,0))+IF(X64="",Inputs!$B$20,X64),""))))</f>
        <v/>
      </c>
      <c r="Z64" s="14" t="str">
        <f aca="false">IF(OR(Y64="",P64="",E64=""),"",Y64+P64*E64)</f>
        <v/>
      </c>
      <c r="AA64" s="14" t="str">
        <f aca="false">IF(C64="","",IFERROR(INDEX(Noeuds_plan!$C$4:$C$200,MATCH(C64,Noeuds_plan!$A$4:$A$200,0)),""))</f>
        <v/>
      </c>
      <c r="AB64" s="14" t="str">
        <f aca="false">IF(B64="","",IFERROR(INDEX(Noeuds_plan!$C$4:$C$200,MATCH(B64,Noeuds_plan!$A$4:$A$200,0)),""))</f>
        <v/>
      </c>
      <c r="AC64" s="14" t="str">
        <f aca="false">IF(OR(AA64="",Y64=""),"",AA64-Y64)</f>
        <v/>
      </c>
      <c r="AD64" s="14" t="str">
        <f aca="false">IF(OR(AB64="",Z64=""),"",AB64-Z64)</f>
        <v/>
      </c>
      <c r="AE64" s="19" t="str">
        <f aca="false">IF(A64="","",IF(OR(V64&gt;1,AND(AY64&lt;&gt;"",AY64&lt;Inputs!$B$11),AND(AY64&lt;&gt;"",AY64&gt;Inputs!$B$12),AC64&lt;Inputs!$B$19,AD64&lt;Inputs!$B$19,P64&lt;Inputs!$B$7,P64&gt;Inputs!$B$8),"CHECK","OK"))</f>
        <v/>
      </c>
      <c r="AF64" s="9"/>
      <c r="AG64" s="9" t="str">
        <f aca="false">IF(A64="","",(1/Inputs!$B$9)*(PI()*(Inputs!$F$5/1000)^2/4)*((Inputs!$F$5/1000/4)^(2/3))*SQRT(P64))</f>
        <v/>
      </c>
      <c r="AH64" s="9" t="str">
        <f aca="false">IF(A64="","",(1/Inputs!$B$9)*(PI()*(Inputs!$F$6/1000)^2/4)*((Inputs!$F$6/1000/4)^(2/3))*SQRT(P64))</f>
        <v/>
      </c>
      <c r="AI64" s="9" t="str">
        <f aca="false">IF(A64="","",(1/Inputs!$B$9)*(PI()*(Inputs!$F$7/1000)^2/4)*((Inputs!$F$7/1000/4)^(2/3))*SQRT(P64))</f>
        <v/>
      </c>
      <c r="AJ64" s="9" t="str">
        <f aca="false">IF(A64="","",(1/Inputs!$B$9)*(PI()*(Inputs!$F$8/1000)^2/4)*((Inputs!$F$8/1000/4)^(2/3))*SQRT(P64))</f>
        <v/>
      </c>
      <c r="AK64" s="9" t="str">
        <f aca="false">IF(A64="","",(1/Inputs!$B$9)*(PI()*(Inputs!$F$9/1000)^2/4)*((Inputs!$F$9/1000/4)^(2/3))*SQRT(P64))</f>
        <v/>
      </c>
      <c r="AL64" s="9" t="str">
        <f aca="false">IF(A64="","",(1/Inputs!$B$9)*(PI()*(Inputs!$F$10/1000)^2/4)*((Inputs!$F$10/1000/4)^(2/3))*SQRT(P64))</f>
        <v/>
      </c>
      <c r="AM64" s="9" t="str">
        <f aca="false">IF(A64="","",(1/Inputs!$B$9)*(PI()*(Inputs!$F$11/1000)^2/4)*((Inputs!$F$11/1000/4)^(2/3))*SQRT(P64))</f>
        <v/>
      </c>
      <c r="AN64" s="9" t="str">
        <f aca="false">IF(A64="","",(1/Inputs!$B$9)*(PI()*(Inputs!$F$12/1000)^2/4)*((Inputs!$F$12/1000/4)^(2/3))*SQRT(P64))</f>
        <v/>
      </c>
      <c r="AO64" s="9" t="str">
        <f aca="false">IF(A64="","",(1/Inputs!$B$9)*(PI()*(Inputs!$F$13/1000)^2/4)*((Inputs!$F$13/1000/4)^(2/3))*SQRT(P64))</f>
        <v/>
      </c>
      <c r="AP64" s="9" t="str">
        <f aca="false">IF(A64="","",(1/Inputs!$B$9)*(PI()*(Inputs!$F$14/1000)^2/4)*((Inputs!$F$14/1000/4)^(2/3))*SQRT(P64))</f>
        <v/>
      </c>
      <c r="AQ64" s="9" t="str">
        <f aca="false">IF(A64="","",COUNTIF($D$4:$D$203,$A64))</f>
        <v/>
      </c>
      <c r="AR64" s="9" t="str">
        <f aca="false">IF(A64="","",IF(AQ64=0,"START","CONTINUOUS"))</f>
        <v/>
      </c>
      <c r="AS64" s="13" t="str">
        <f aca="false">IF(A64="","",IF(J64="",Inputs!$B$18,J64))</f>
        <v/>
      </c>
      <c r="AT64" s="13" t="str">
        <f aca="false">IF(A64="","",IFERROR(maxifs($AV$4:$AV$203,$D$4:$D$203,$A64),""))</f>
        <v/>
      </c>
      <c r="AU64" s="13" t="str">
        <f aca="false">IF(A64="","",IF(OR(E64="",Inputs!$B$23=""),"",E64/(Inputs!$B$23*60)))</f>
        <v/>
      </c>
      <c r="AV64" s="13" t="str">
        <f aca="false">IF(A64="","",IF(AQ64=0,AS64+AU64,IF(AT64="",AS64+AU64,AT64+AU64)))</f>
        <v/>
      </c>
      <c r="AW64" s="13" t="str">
        <f aca="false">IF(A64="","",W64)</f>
        <v/>
      </c>
      <c r="AX64" s="13" t="str">
        <f aca="false">IF(OR(T64="",P64=""),"",(1/Inputs!$B$9)*((T64/4)^(2/3))*SQRT(P64))</f>
        <v/>
      </c>
      <c r="AY64" s="13" t="str">
        <f aca="false">IF(A64="","",IF(AND(AW64="",AX64="",BA64=""),"",IF(OR(UPPER(TRIM(Inputs!$B$24))="MANNING",UPPER(TRIM(Inputs!$B$24))="M"),AX64,IF(OR(UPPER(TRIM(Inputs!$B$24))="PARTIAL",UPPER(TRIM(Inputs!$B$24))="P"),BA64,IF(OR(UPPER(TRIM(Inputs!$B$24))="MAX",UPPER(TRIM(Inputs!$B$24))="X"),MAX(IF(AW64="",0,AW64),IF(AX64="",0,AX64),IF(BA64="",0,BA64)),AW64)))))</f>
        <v/>
      </c>
      <c r="AZ64" s="13" t="str">
        <f aca="false">IF(BB64="","",CH64)</f>
        <v/>
      </c>
      <c r="BA64" s="13" t="str">
        <f aca="false">IF(OR(BB64="",AZ64="",T64="",T64&lt;=0,AZ64&lt;=0),"",BB64/((T64^2/8)*(2*ACOS(1-2*AZ64/T64)-SIN(2*ACOS(1-2*AZ64/T64)))))</f>
        <v/>
      </c>
      <c r="BB64" s="9" t="str">
        <f aca="false">IF(OR(N64="",BC64=""),"",MIN(N64,BC64))</f>
        <v/>
      </c>
      <c r="BC64" s="9" t="str">
        <f aca="false">IF(OR(N64="",T64="",P64=""),"",IF(OR(T64="",P64="",(0.94*T64)="",T64&lt;=0,(0.94*T64)&lt;=0),"",(1/Inputs!$B$9)*((T64^2/8)*((2*ACOS(1-2*(0.94*T64)/T64))-SIN((2*ACOS(1-2*(0.94*T64)/T64)))))*((((T64^2/8)*((2*ACOS(1-2*(0.94*T64)/T64))-SIN((2*ACOS(1-2*(0.94*T64)/T64)))))/((T64/2)*((2*ACOS(1-2*(0.94*T64)/T64)))))^(2/3))*SQRT(P64)))</f>
        <v/>
      </c>
      <c r="BD64" s="9" t="str">
        <f aca="false">IF(BB64="","",0.001*T64)</f>
        <v/>
      </c>
      <c r="BE64" s="9" t="str">
        <f aca="false">IF(BB64="","",0.94*T64)</f>
        <v/>
      </c>
      <c r="BF64" s="9" t="str">
        <f aca="false">IF(BB64="","",(BD64+BE64)/2)</f>
        <v/>
      </c>
      <c r="BG64" s="9" t="str">
        <f aca="false">IF(OR(T64="",P64="",BF64="",T64&lt;=0,BF64&lt;=0),"",(1/Inputs!$B$9)*((T64^2/8)*((2*ACOS(1-2*BF64/T64))-SIN((2*ACOS(1-2*BF64/T64)))))*((((T64^2/8)*((2*ACOS(1-2*BF64/T64))-SIN((2*ACOS(1-2*BF64/T64)))))/((T64/2)*((2*ACOS(1-2*BF64/T64)))))^(2/3))*SQRT(P64))</f>
        <v/>
      </c>
      <c r="BH64" s="9" t="str">
        <f aca="false">IF(BB64="","",IF(BG64&lt;BB64,BF64,BD64))</f>
        <v/>
      </c>
      <c r="BI64" s="9" t="str">
        <f aca="false">IF(BB64="","",IF(BG64&lt;BB64,BE64,BF64))</f>
        <v/>
      </c>
      <c r="BJ64" s="9" t="str">
        <f aca="false">IF(BB64="","",(BH64+BI64)/2)</f>
        <v/>
      </c>
      <c r="BK64" s="9" t="str">
        <f aca="false">IF(OR(T64="",P64="",BJ64="",T64&lt;=0,BJ64&lt;=0),"",(1/Inputs!$B$9)*((T64^2/8)*((2*ACOS(1-2*BJ64/T64))-SIN((2*ACOS(1-2*BJ64/T64)))))*((((T64^2/8)*((2*ACOS(1-2*BJ64/T64))-SIN((2*ACOS(1-2*BJ64/T64)))))/((T64/2)*((2*ACOS(1-2*BJ64/T64)))))^(2/3))*SQRT(P64))</f>
        <v/>
      </c>
      <c r="BL64" s="9" t="str">
        <f aca="false">IF(BB64="","",IF(BK64&lt;BB64,BJ64,BH64))</f>
        <v/>
      </c>
      <c r="BM64" s="9" t="str">
        <f aca="false">IF(BB64="","",IF(BK64&lt;BB64,BI64,BJ64))</f>
        <v/>
      </c>
      <c r="BN64" s="9" t="str">
        <f aca="false">IF(BB64="","",(BL64+BM64)/2)</f>
        <v/>
      </c>
      <c r="BO64" s="9" t="str">
        <f aca="false">IF(OR(T64="",P64="",BN64="",T64&lt;=0,BN64&lt;=0),"",(1/Inputs!$B$9)*((T64^2/8)*((2*ACOS(1-2*BN64/T64))-SIN((2*ACOS(1-2*BN64/T64)))))*((((T64^2/8)*((2*ACOS(1-2*BN64/T64))-SIN((2*ACOS(1-2*BN64/T64)))))/((T64/2)*((2*ACOS(1-2*BN64/T64)))))^(2/3))*SQRT(P64))</f>
        <v/>
      </c>
      <c r="BP64" s="9" t="str">
        <f aca="false">IF(BB64="","",IF(BO64&lt;BB64,BN64,BL64))</f>
        <v/>
      </c>
      <c r="BQ64" s="9" t="str">
        <f aca="false">IF(BB64="","",IF(BO64&lt;BB64,BM64,BN64))</f>
        <v/>
      </c>
      <c r="BR64" s="9" t="str">
        <f aca="false">IF(BB64="","",(BP64+BQ64)/2)</f>
        <v/>
      </c>
      <c r="BS64" s="9" t="str">
        <f aca="false">IF(OR(T64="",P64="",BR64="",T64&lt;=0,BR64&lt;=0),"",(1/Inputs!$B$9)*((T64^2/8)*((2*ACOS(1-2*BR64/T64))-SIN((2*ACOS(1-2*BR64/T64)))))*((((T64^2/8)*((2*ACOS(1-2*BR64/T64))-SIN((2*ACOS(1-2*BR64/T64)))))/((T64/2)*((2*ACOS(1-2*BR64/T64)))))^(2/3))*SQRT(P64))</f>
        <v/>
      </c>
      <c r="BT64" s="9" t="str">
        <f aca="false">IF(BB64="","",IF(BS64&lt;BB64,BR64,BP64))</f>
        <v/>
      </c>
      <c r="BU64" s="9" t="str">
        <f aca="false">IF(BB64="","",IF(BS64&lt;BB64,BQ64,BR64))</f>
        <v/>
      </c>
      <c r="BV64" s="9" t="str">
        <f aca="false">IF(BB64="","",(BT64+BU64)/2)</f>
        <v/>
      </c>
      <c r="BW64" s="9" t="str">
        <f aca="false">IF(OR(T64="",P64="",BV64="",T64&lt;=0,BV64&lt;=0),"",(1/Inputs!$B$9)*((T64^2/8)*((2*ACOS(1-2*BV64/T64))-SIN((2*ACOS(1-2*BV64/T64)))))*((((T64^2/8)*((2*ACOS(1-2*BV64/T64))-SIN((2*ACOS(1-2*BV64/T64)))))/((T64/2)*((2*ACOS(1-2*BV64/T64)))))^(2/3))*SQRT(P64))</f>
        <v/>
      </c>
      <c r="BX64" s="9" t="str">
        <f aca="false">IF(BB64="","",IF(BW64&lt;BB64,BV64,BT64))</f>
        <v/>
      </c>
      <c r="BY64" s="9" t="str">
        <f aca="false">IF(BB64="","",IF(BW64&lt;BB64,BU64,BV64))</f>
        <v/>
      </c>
      <c r="BZ64" s="9" t="str">
        <f aca="false">IF(BB64="","",(BX64+BY64)/2)</f>
        <v/>
      </c>
      <c r="CA64" s="9" t="str">
        <f aca="false">IF(OR(T64="",P64="",BZ64="",T64&lt;=0,BZ64&lt;=0),"",(1/Inputs!$B$9)*((T64^2/8)*((2*ACOS(1-2*BZ64/T64))-SIN((2*ACOS(1-2*BZ64/T64)))))*((((T64^2/8)*((2*ACOS(1-2*BZ64/T64))-SIN((2*ACOS(1-2*BZ64/T64)))))/((T64/2)*((2*ACOS(1-2*BZ64/T64)))))^(2/3))*SQRT(P64))</f>
        <v/>
      </c>
      <c r="CB64" s="9" t="str">
        <f aca="false">IF(BB64="","",IF(CA64&lt;BB64,BZ64,BX64))</f>
        <v/>
      </c>
      <c r="CC64" s="9" t="str">
        <f aca="false">IF(BB64="","",IF(CA64&lt;BB64,BY64,BZ64))</f>
        <v/>
      </c>
      <c r="CD64" s="9" t="str">
        <f aca="false">IF(BB64="","",(CB64+CC64)/2)</f>
        <v/>
      </c>
      <c r="CE64" s="9" t="str">
        <f aca="false">IF(OR(T64="",P64="",CD64="",T64&lt;=0,CD64&lt;=0),"",(1/Inputs!$B$9)*((T64^2/8)*((2*ACOS(1-2*CD64/T64))-SIN((2*ACOS(1-2*CD64/T64)))))*((((T64^2/8)*((2*ACOS(1-2*CD64/T64))-SIN((2*ACOS(1-2*CD64/T64)))))/((T64/2)*((2*ACOS(1-2*CD64/T64)))))^(2/3))*SQRT(P64))</f>
        <v/>
      </c>
      <c r="CF64" s="9" t="str">
        <f aca="false">IF(BB64="","",IF(CE64&lt;BB64,CD64,CB64))</f>
        <v/>
      </c>
      <c r="CG64" s="9" t="str">
        <f aca="false">IF(BB64="","",IF(CE64&lt;BB64,CC64,CD64))</f>
        <v/>
      </c>
      <c r="CH64" s="9" t="str">
        <f aca="false">IF(BB64="","",(CF64+CG64)/2)</f>
        <v/>
      </c>
    </row>
    <row r="65" customFormat="false" ht="15" hidden="false" customHeight="false" outlineLevel="0" collapsed="false">
      <c r="A65" s="9"/>
      <c r="B65" s="9"/>
      <c r="C65" s="9"/>
      <c r="D65" s="9"/>
      <c r="E65" s="14"/>
      <c r="F65" s="14"/>
      <c r="G65" s="14" t="n">
        <f aca="false">SUMIFS(CB_plan!$C:$C,CB_plan!$B:$B,$A65)</f>
        <v>0</v>
      </c>
      <c r="H65" s="14" t="n">
        <f aca="false">IF(F65="",G65,F65)</f>
        <v>0</v>
      </c>
      <c r="I65" s="9"/>
      <c r="J65" s="14"/>
      <c r="K65" s="14" t="str">
        <f aca="false">IF(A65="","",Inputs!$B$13/((IF(AV65="",Inputs!$B$18,AV65)+Inputs!$B$14)^Inputs!$B$15))</f>
        <v/>
      </c>
      <c r="L65" s="14" t="str">
        <f aca="false">IF(A65="","",0.000000278*IF(I65="",Inputs!$B$17,I65)*H65*K65)</f>
        <v/>
      </c>
      <c r="M65" s="14" t="str">
        <f aca="false">IF(A65="","",SUMIFS($N$4:$N$203,$D$4:$D$203,$A65))</f>
        <v/>
      </c>
      <c r="N65" s="14" t="str">
        <f aca="false">IF(A65="","",(L65+M65)*Inputs!$B$16)</f>
        <v/>
      </c>
      <c r="O65" s="14"/>
      <c r="P65" s="14" t="str">
        <f aca="false">IF(A65="","",IF(O65="",Inputs!$B$7,O65))</f>
        <v/>
      </c>
      <c r="Q65" s="9" t="str">
        <f aca="false">IF(A65="","",IF(N65/Inputs!$B$10&lt;=AG65,Inputs!$F$5,IF(N65/Inputs!$B$10&gt;AP65,"OVERSIZE",INDEX(Inputs!$F$5:$F$14,MATCH(N65/Inputs!$B$10,AG65:AP65,1)+1))))</f>
        <v/>
      </c>
      <c r="R65" s="9"/>
      <c r="S65" s="9" t="str">
        <f aca="false">IF(A65="","",IF(R65="",Q65,R65))</f>
        <v/>
      </c>
      <c r="T65" s="14" t="str">
        <f aca="false">IF(OR(S65="",S65="OVERSIZE"),"",S65/1000)</f>
        <v/>
      </c>
      <c r="U65" s="14" t="str">
        <f aca="false">IF(T65="","",(1/Inputs!$B$9)*(PI()*T65^2/4)*((T65/4)^(2/3))*SQRT(P65))</f>
        <v/>
      </c>
      <c r="V65" s="14" t="str">
        <f aca="false">IF(OR(U65="",N65=""),"",N65/(U65*Inputs!$B$10))</f>
        <v/>
      </c>
      <c r="W65" s="14" t="str">
        <f aca="false">IF(OR(T65="",N65=""),"",4*N65/(PI()*T65^2))</f>
        <v/>
      </c>
      <c r="X65" s="14"/>
      <c r="Y65" s="14" t="str">
        <f aca="false">IF(A65="","",IF(A65=Inputs!$B$6,Inputs!$B$22,IF(D65="","",IFERROR(INDEX($Z$4:$Z$203,MATCH(D65,$A$4:$A$203,0))+IF(X65="",Inputs!$B$20,X65),""))))</f>
        <v/>
      </c>
      <c r="Z65" s="14" t="str">
        <f aca="false">IF(OR(Y65="",P65="",E65=""),"",Y65+P65*E65)</f>
        <v/>
      </c>
      <c r="AA65" s="14" t="str">
        <f aca="false">IF(C65="","",IFERROR(INDEX(Noeuds_plan!$C$4:$C$200,MATCH(C65,Noeuds_plan!$A$4:$A$200,0)),""))</f>
        <v/>
      </c>
      <c r="AB65" s="14" t="str">
        <f aca="false">IF(B65="","",IFERROR(INDEX(Noeuds_plan!$C$4:$C$200,MATCH(B65,Noeuds_plan!$A$4:$A$200,0)),""))</f>
        <v/>
      </c>
      <c r="AC65" s="14" t="str">
        <f aca="false">IF(OR(AA65="",Y65=""),"",AA65-Y65)</f>
        <v/>
      </c>
      <c r="AD65" s="14" t="str">
        <f aca="false">IF(OR(AB65="",Z65=""),"",AB65-Z65)</f>
        <v/>
      </c>
      <c r="AE65" s="19" t="str">
        <f aca="false">IF(A65="","",IF(OR(V65&gt;1,AND(AY65&lt;&gt;"",AY65&lt;Inputs!$B$11),AND(AY65&lt;&gt;"",AY65&gt;Inputs!$B$12),AC65&lt;Inputs!$B$19,AD65&lt;Inputs!$B$19,P65&lt;Inputs!$B$7,P65&gt;Inputs!$B$8),"CHECK","OK"))</f>
        <v/>
      </c>
      <c r="AF65" s="9"/>
      <c r="AG65" s="9" t="str">
        <f aca="false">IF(A65="","",(1/Inputs!$B$9)*(PI()*(Inputs!$F$5/1000)^2/4)*((Inputs!$F$5/1000/4)^(2/3))*SQRT(P65))</f>
        <v/>
      </c>
      <c r="AH65" s="9" t="str">
        <f aca="false">IF(A65="","",(1/Inputs!$B$9)*(PI()*(Inputs!$F$6/1000)^2/4)*((Inputs!$F$6/1000/4)^(2/3))*SQRT(P65))</f>
        <v/>
      </c>
      <c r="AI65" s="9" t="str">
        <f aca="false">IF(A65="","",(1/Inputs!$B$9)*(PI()*(Inputs!$F$7/1000)^2/4)*((Inputs!$F$7/1000/4)^(2/3))*SQRT(P65))</f>
        <v/>
      </c>
      <c r="AJ65" s="9" t="str">
        <f aca="false">IF(A65="","",(1/Inputs!$B$9)*(PI()*(Inputs!$F$8/1000)^2/4)*((Inputs!$F$8/1000/4)^(2/3))*SQRT(P65))</f>
        <v/>
      </c>
      <c r="AK65" s="9" t="str">
        <f aca="false">IF(A65="","",(1/Inputs!$B$9)*(PI()*(Inputs!$F$9/1000)^2/4)*((Inputs!$F$9/1000/4)^(2/3))*SQRT(P65))</f>
        <v/>
      </c>
      <c r="AL65" s="9" t="str">
        <f aca="false">IF(A65="","",(1/Inputs!$B$9)*(PI()*(Inputs!$F$10/1000)^2/4)*((Inputs!$F$10/1000/4)^(2/3))*SQRT(P65))</f>
        <v/>
      </c>
      <c r="AM65" s="9" t="str">
        <f aca="false">IF(A65="","",(1/Inputs!$B$9)*(PI()*(Inputs!$F$11/1000)^2/4)*((Inputs!$F$11/1000/4)^(2/3))*SQRT(P65))</f>
        <v/>
      </c>
      <c r="AN65" s="9" t="str">
        <f aca="false">IF(A65="","",(1/Inputs!$B$9)*(PI()*(Inputs!$F$12/1000)^2/4)*((Inputs!$F$12/1000/4)^(2/3))*SQRT(P65))</f>
        <v/>
      </c>
      <c r="AO65" s="9" t="str">
        <f aca="false">IF(A65="","",(1/Inputs!$B$9)*(PI()*(Inputs!$F$13/1000)^2/4)*((Inputs!$F$13/1000/4)^(2/3))*SQRT(P65))</f>
        <v/>
      </c>
      <c r="AP65" s="9" t="str">
        <f aca="false">IF(A65="","",(1/Inputs!$B$9)*(PI()*(Inputs!$F$14/1000)^2/4)*((Inputs!$F$14/1000/4)^(2/3))*SQRT(P65))</f>
        <v/>
      </c>
      <c r="AQ65" s="9" t="str">
        <f aca="false">IF(A65="","",COUNTIF($D$4:$D$203,$A65))</f>
        <v/>
      </c>
      <c r="AR65" s="9" t="str">
        <f aca="false">IF(A65="","",IF(AQ65=0,"START","CONTINUOUS"))</f>
        <v/>
      </c>
      <c r="AS65" s="13" t="str">
        <f aca="false">IF(A65="","",IF(J65="",Inputs!$B$18,J65))</f>
        <v/>
      </c>
      <c r="AT65" s="13" t="str">
        <f aca="false">IF(A65="","",IFERROR(maxifs($AV$4:$AV$203,$D$4:$D$203,$A65),""))</f>
        <v/>
      </c>
      <c r="AU65" s="13" t="str">
        <f aca="false">IF(A65="","",IF(OR(E65="",Inputs!$B$23=""),"",E65/(Inputs!$B$23*60)))</f>
        <v/>
      </c>
      <c r="AV65" s="13" t="str">
        <f aca="false">IF(A65="","",IF(AQ65=0,AS65+AU65,IF(AT65="",AS65+AU65,AT65+AU65)))</f>
        <v/>
      </c>
      <c r="AW65" s="13" t="str">
        <f aca="false">IF(A65="","",W65)</f>
        <v/>
      </c>
      <c r="AX65" s="13" t="str">
        <f aca="false">IF(OR(T65="",P65=""),"",(1/Inputs!$B$9)*((T65/4)^(2/3))*SQRT(P65))</f>
        <v/>
      </c>
      <c r="AY65" s="13" t="str">
        <f aca="false">IF(A65="","",IF(AND(AW65="",AX65="",BA65=""),"",IF(OR(UPPER(TRIM(Inputs!$B$24))="MANNING",UPPER(TRIM(Inputs!$B$24))="M"),AX65,IF(OR(UPPER(TRIM(Inputs!$B$24))="PARTIAL",UPPER(TRIM(Inputs!$B$24))="P"),BA65,IF(OR(UPPER(TRIM(Inputs!$B$24))="MAX",UPPER(TRIM(Inputs!$B$24))="X"),MAX(IF(AW65="",0,AW65),IF(AX65="",0,AX65),IF(BA65="",0,BA65)),AW65)))))</f>
        <v/>
      </c>
      <c r="AZ65" s="13" t="str">
        <f aca="false">IF(BB65="","",CH65)</f>
        <v/>
      </c>
      <c r="BA65" s="13" t="str">
        <f aca="false">IF(OR(BB65="",AZ65="",T65="",T65&lt;=0,AZ65&lt;=0),"",BB65/((T65^2/8)*(2*ACOS(1-2*AZ65/T65)-SIN(2*ACOS(1-2*AZ65/T65)))))</f>
        <v/>
      </c>
      <c r="BB65" s="9" t="str">
        <f aca="false">IF(OR(N65="",BC65=""),"",MIN(N65,BC65))</f>
        <v/>
      </c>
      <c r="BC65" s="9" t="str">
        <f aca="false">IF(OR(N65="",T65="",P65=""),"",IF(OR(T65="",P65="",(0.94*T65)="",T65&lt;=0,(0.94*T65)&lt;=0),"",(1/Inputs!$B$9)*((T65^2/8)*((2*ACOS(1-2*(0.94*T65)/T65))-SIN((2*ACOS(1-2*(0.94*T65)/T65)))))*((((T65^2/8)*((2*ACOS(1-2*(0.94*T65)/T65))-SIN((2*ACOS(1-2*(0.94*T65)/T65)))))/((T65/2)*((2*ACOS(1-2*(0.94*T65)/T65)))))^(2/3))*SQRT(P65)))</f>
        <v/>
      </c>
      <c r="BD65" s="9" t="str">
        <f aca="false">IF(BB65="","",0.001*T65)</f>
        <v/>
      </c>
      <c r="BE65" s="9" t="str">
        <f aca="false">IF(BB65="","",0.94*T65)</f>
        <v/>
      </c>
      <c r="BF65" s="9" t="str">
        <f aca="false">IF(BB65="","",(BD65+BE65)/2)</f>
        <v/>
      </c>
      <c r="BG65" s="9" t="str">
        <f aca="false">IF(OR(T65="",P65="",BF65="",T65&lt;=0,BF65&lt;=0),"",(1/Inputs!$B$9)*((T65^2/8)*((2*ACOS(1-2*BF65/T65))-SIN((2*ACOS(1-2*BF65/T65)))))*((((T65^2/8)*((2*ACOS(1-2*BF65/T65))-SIN((2*ACOS(1-2*BF65/T65)))))/((T65/2)*((2*ACOS(1-2*BF65/T65)))))^(2/3))*SQRT(P65))</f>
        <v/>
      </c>
      <c r="BH65" s="9" t="str">
        <f aca="false">IF(BB65="","",IF(BG65&lt;BB65,BF65,BD65))</f>
        <v/>
      </c>
      <c r="BI65" s="9" t="str">
        <f aca="false">IF(BB65="","",IF(BG65&lt;BB65,BE65,BF65))</f>
        <v/>
      </c>
      <c r="BJ65" s="9" t="str">
        <f aca="false">IF(BB65="","",(BH65+BI65)/2)</f>
        <v/>
      </c>
      <c r="BK65" s="9" t="str">
        <f aca="false">IF(OR(T65="",P65="",BJ65="",T65&lt;=0,BJ65&lt;=0),"",(1/Inputs!$B$9)*((T65^2/8)*((2*ACOS(1-2*BJ65/T65))-SIN((2*ACOS(1-2*BJ65/T65)))))*((((T65^2/8)*((2*ACOS(1-2*BJ65/T65))-SIN((2*ACOS(1-2*BJ65/T65)))))/((T65/2)*((2*ACOS(1-2*BJ65/T65)))))^(2/3))*SQRT(P65))</f>
        <v/>
      </c>
      <c r="BL65" s="9" t="str">
        <f aca="false">IF(BB65="","",IF(BK65&lt;BB65,BJ65,BH65))</f>
        <v/>
      </c>
      <c r="BM65" s="9" t="str">
        <f aca="false">IF(BB65="","",IF(BK65&lt;BB65,BI65,BJ65))</f>
        <v/>
      </c>
      <c r="BN65" s="9" t="str">
        <f aca="false">IF(BB65="","",(BL65+BM65)/2)</f>
        <v/>
      </c>
      <c r="BO65" s="9" t="str">
        <f aca="false">IF(OR(T65="",P65="",BN65="",T65&lt;=0,BN65&lt;=0),"",(1/Inputs!$B$9)*((T65^2/8)*((2*ACOS(1-2*BN65/T65))-SIN((2*ACOS(1-2*BN65/T65)))))*((((T65^2/8)*((2*ACOS(1-2*BN65/T65))-SIN((2*ACOS(1-2*BN65/T65)))))/((T65/2)*((2*ACOS(1-2*BN65/T65)))))^(2/3))*SQRT(P65))</f>
        <v/>
      </c>
      <c r="BP65" s="9" t="str">
        <f aca="false">IF(BB65="","",IF(BO65&lt;BB65,BN65,BL65))</f>
        <v/>
      </c>
      <c r="BQ65" s="9" t="str">
        <f aca="false">IF(BB65="","",IF(BO65&lt;BB65,BM65,BN65))</f>
        <v/>
      </c>
      <c r="BR65" s="9" t="str">
        <f aca="false">IF(BB65="","",(BP65+BQ65)/2)</f>
        <v/>
      </c>
      <c r="BS65" s="9" t="str">
        <f aca="false">IF(OR(T65="",P65="",BR65="",T65&lt;=0,BR65&lt;=0),"",(1/Inputs!$B$9)*((T65^2/8)*((2*ACOS(1-2*BR65/T65))-SIN((2*ACOS(1-2*BR65/T65)))))*((((T65^2/8)*((2*ACOS(1-2*BR65/T65))-SIN((2*ACOS(1-2*BR65/T65)))))/((T65/2)*((2*ACOS(1-2*BR65/T65)))))^(2/3))*SQRT(P65))</f>
        <v/>
      </c>
      <c r="BT65" s="9" t="str">
        <f aca="false">IF(BB65="","",IF(BS65&lt;BB65,BR65,BP65))</f>
        <v/>
      </c>
      <c r="BU65" s="9" t="str">
        <f aca="false">IF(BB65="","",IF(BS65&lt;BB65,BQ65,BR65))</f>
        <v/>
      </c>
      <c r="BV65" s="9" t="str">
        <f aca="false">IF(BB65="","",(BT65+BU65)/2)</f>
        <v/>
      </c>
      <c r="BW65" s="9" t="str">
        <f aca="false">IF(OR(T65="",P65="",BV65="",T65&lt;=0,BV65&lt;=0),"",(1/Inputs!$B$9)*((T65^2/8)*((2*ACOS(1-2*BV65/T65))-SIN((2*ACOS(1-2*BV65/T65)))))*((((T65^2/8)*((2*ACOS(1-2*BV65/T65))-SIN((2*ACOS(1-2*BV65/T65)))))/((T65/2)*((2*ACOS(1-2*BV65/T65)))))^(2/3))*SQRT(P65))</f>
        <v/>
      </c>
      <c r="BX65" s="9" t="str">
        <f aca="false">IF(BB65="","",IF(BW65&lt;BB65,BV65,BT65))</f>
        <v/>
      </c>
      <c r="BY65" s="9" t="str">
        <f aca="false">IF(BB65="","",IF(BW65&lt;BB65,BU65,BV65))</f>
        <v/>
      </c>
      <c r="BZ65" s="9" t="str">
        <f aca="false">IF(BB65="","",(BX65+BY65)/2)</f>
        <v/>
      </c>
      <c r="CA65" s="9" t="str">
        <f aca="false">IF(OR(T65="",P65="",BZ65="",T65&lt;=0,BZ65&lt;=0),"",(1/Inputs!$B$9)*((T65^2/8)*((2*ACOS(1-2*BZ65/T65))-SIN((2*ACOS(1-2*BZ65/T65)))))*((((T65^2/8)*((2*ACOS(1-2*BZ65/T65))-SIN((2*ACOS(1-2*BZ65/T65)))))/((T65/2)*((2*ACOS(1-2*BZ65/T65)))))^(2/3))*SQRT(P65))</f>
        <v/>
      </c>
      <c r="CB65" s="9" t="str">
        <f aca="false">IF(BB65="","",IF(CA65&lt;BB65,BZ65,BX65))</f>
        <v/>
      </c>
      <c r="CC65" s="9" t="str">
        <f aca="false">IF(BB65="","",IF(CA65&lt;BB65,BY65,BZ65))</f>
        <v/>
      </c>
      <c r="CD65" s="9" t="str">
        <f aca="false">IF(BB65="","",(CB65+CC65)/2)</f>
        <v/>
      </c>
      <c r="CE65" s="9" t="str">
        <f aca="false">IF(OR(T65="",P65="",CD65="",T65&lt;=0,CD65&lt;=0),"",(1/Inputs!$B$9)*((T65^2/8)*((2*ACOS(1-2*CD65/T65))-SIN((2*ACOS(1-2*CD65/T65)))))*((((T65^2/8)*((2*ACOS(1-2*CD65/T65))-SIN((2*ACOS(1-2*CD65/T65)))))/((T65/2)*((2*ACOS(1-2*CD65/T65)))))^(2/3))*SQRT(P65))</f>
        <v/>
      </c>
      <c r="CF65" s="9" t="str">
        <f aca="false">IF(BB65="","",IF(CE65&lt;BB65,CD65,CB65))</f>
        <v/>
      </c>
      <c r="CG65" s="9" t="str">
        <f aca="false">IF(BB65="","",IF(CE65&lt;BB65,CC65,CD65))</f>
        <v/>
      </c>
      <c r="CH65" s="9" t="str">
        <f aca="false">IF(BB65="","",(CF65+CG65)/2)</f>
        <v/>
      </c>
    </row>
    <row r="66" customFormat="false" ht="15" hidden="false" customHeight="false" outlineLevel="0" collapsed="false">
      <c r="A66" s="9"/>
      <c r="B66" s="9"/>
      <c r="C66" s="9"/>
      <c r="D66" s="9"/>
      <c r="E66" s="14"/>
      <c r="F66" s="14"/>
      <c r="G66" s="14" t="n">
        <f aca="false">SUMIFS(CB_plan!$C:$C,CB_plan!$B:$B,$A66)</f>
        <v>0</v>
      </c>
      <c r="H66" s="14" t="n">
        <f aca="false">IF(F66="",G66,F66)</f>
        <v>0</v>
      </c>
      <c r="I66" s="9"/>
      <c r="J66" s="14"/>
      <c r="K66" s="14" t="str">
        <f aca="false">IF(A66="","",Inputs!$B$13/((IF(AV66="",Inputs!$B$18,AV66)+Inputs!$B$14)^Inputs!$B$15))</f>
        <v/>
      </c>
      <c r="L66" s="14" t="str">
        <f aca="false">IF(A66="","",0.000000278*IF(I66="",Inputs!$B$17,I66)*H66*K66)</f>
        <v/>
      </c>
      <c r="M66" s="14" t="str">
        <f aca="false">IF(A66="","",SUMIFS($N$4:$N$203,$D$4:$D$203,$A66))</f>
        <v/>
      </c>
      <c r="N66" s="14" t="str">
        <f aca="false">IF(A66="","",(L66+M66)*Inputs!$B$16)</f>
        <v/>
      </c>
      <c r="O66" s="14"/>
      <c r="P66" s="14" t="str">
        <f aca="false">IF(A66="","",IF(O66="",Inputs!$B$7,O66))</f>
        <v/>
      </c>
      <c r="Q66" s="9" t="str">
        <f aca="false">IF(A66="","",IF(N66/Inputs!$B$10&lt;=AG66,Inputs!$F$5,IF(N66/Inputs!$B$10&gt;AP66,"OVERSIZE",INDEX(Inputs!$F$5:$F$14,MATCH(N66/Inputs!$B$10,AG66:AP66,1)+1))))</f>
        <v/>
      </c>
      <c r="R66" s="9"/>
      <c r="S66" s="9" t="str">
        <f aca="false">IF(A66="","",IF(R66="",Q66,R66))</f>
        <v/>
      </c>
      <c r="T66" s="14" t="str">
        <f aca="false">IF(OR(S66="",S66="OVERSIZE"),"",S66/1000)</f>
        <v/>
      </c>
      <c r="U66" s="14" t="str">
        <f aca="false">IF(T66="","",(1/Inputs!$B$9)*(PI()*T66^2/4)*((T66/4)^(2/3))*SQRT(P66))</f>
        <v/>
      </c>
      <c r="V66" s="14" t="str">
        <f aca="false">IF(OR(U66="",N66=""),"",N66/(U66*Inputs!$B$10))</f>
        <v/>
      </c>
      <c r="W66" s="14" t="str">
        <f aca="false">IF(OR(T66="",N66=""),"",4*N66/(PI()*T66^2))</f>
        <v/>
      </c>
      <c r="X66" s="14"/>
      <c r="Y66" s="14" t="str">
        <f aca="false">IF(A66="","",IF(A66=Inputs!$B$6,Inputs!$B$22,IF(D66="","",IFERROR(INDEX($Z$4:$Z$203,MATCH(D66,$A$4:$A$203,0))+IF(X66="",Inputs!$B$20,X66),""))))</f>
        <v/>
      </c>
      <c r="Z66" s="14" t="str">
        <f aca="false">IF(OR(Y66="",P66="",E66=""),"",Y66+P66*E66)</f>
        <v/>
      </c>
      <c r="AA66" s="14" t="str">
        <f aca="false">IF(C66="","",IFERROR(INDEX(Noeuds_plan!$C$4:$C$200,MATCH(C66,Noeuds_plan!$A$4:$A$200,0)),""))</f>
        <v/>
      </c>
      <c r="AB66" s="14" t="str">
        <f aca="false">IF(B66="","",IFERROR(INDEX(Noeuds_plan!$C$4:$C$200,MATCH(B66,Noeuds_plan!$A$4:$A$200,0)),""))</f>
        <v/>
      </c>
      <c r="AC66" s="14" t="str">
        <f aca="false">IF(OR(AA66="",Y66=""),"",AA66-Y66)</f>
        <v/>
      </c>
      <c r="AD66" s="14" t="str">
        <f aca="false">IF(OR(AB66="",Z66=""),"",AB66-Z66)</f>
        <v/>
      </c>
      <c r="AE66" s="19" t="str">
        <f aca="false">IF(A66="","",IF(OR(V66&gt;1,AND(AY66&lt;&gt;"",AY66&lt;Inputs!$B$11),AND(AY66&lt;&gt;"",AY66&gt;Inputs!$B$12),AC66&lt;Inputs!$B$19,AD66&lt;Inputs!$B$19,P66&lt;Inputs!$B$7,P66&gt;Inputs!$B$8),"CHECK","OK"))</f>
        <v/>
      </c>
      <c r="AF66" s="9"/>
      <c r="AG66" s="9" t="str">
        <f aca="false">IF(A66="","",(1/Inputs!$B$9)*(PI()*(Inputs!$F$5/1000)^2/4)*((Inputs!$F$5/1000/4)^(2/3))*SQRT(P66))</f>
        <v/>
      </c>
      <c r="AH66" s="9" t="str">
        <f aca="false">IF(A66="","",(1/Inputs!$B$9)*(PI()*(Inputs!$F$6/1000)^2/4)*((Inputs!$F$6/1000/4)^(2/3))*SQRT(P66))</f>
        <v/>
      </c>
      <c r="AI66" s="9" t="str">
        <f aca="false">IF(A66="","",(1/Inputs!$B$9)*(PI()*(Inputs!$F$7/1000)^2/4)*((Inputs!$F$7/1000/4)^(2/3))*SQRT(P66))</f>
        <v/>
      </c>
      <c r="AJ66" s="9" t="str">
        <f aca="false">IF(A66="","",(1/Inputs!$B$9)*(PI()*(Inputs!$F$8/1000)^2/4)*((Inputs!$F$8/1000/4)^(2/3))*SQRT(P66))</f>
        <v/>
      </c>
      <c r="AK66" s="9" t="str">
        <f aca="false">IF(A66="","",(1/Inputs!$B$9)*(PI()*(Inputs!$F$9/1000)^2/4)*((Inputs!$F$9/1000/4)^(2/3))*SQRT(P66))</f>
        <v/>
      </c>
      <c r="AL66" s="9" t="str">
        <f aca="false">IF(A66="","",(1/Inputs!$B$9)*(PI()*(Inputs!$F$10/1000)^2/4)*((Inputs!$F$10/1000/4)^(2/3))*SQRT(P66))</f>
        <v/>
      </c>
      <c r="AM66" s="9" t="str">
        <f aca="false">IF(A66="","",(1/Inputs!$B$9)*(PI()*(Inputs!$F$11/1000)^2/4)*((Inputs!$F$11/1000/4)^(2/3))*SQRT(P66))</f>
        <v/>
      </c>
      <c r="AN66" s="9" t="str">
        <f aca="false">IF(A66="","",(1/Inputs!$B$9)*(PI()*(Inputs!$F$12/1000)^2/4)*((Inputs!$F$12/1000/4)^(2/3))*SQRT(P66))</f>
        <v/>
      </c>
      <c r="AO66" s="9" t="str">
        <f aca="false">IF(A66="","",(1/Inputs!$B$9)*(PI()*(Inputs!$F$13/1000)^2/4)*((Inputs!$F$13/1000/4)^(2/3))*SQRT(P66))</f>
        <v/>
      </c>
      <c r="AP66" s="9" t="str">
        <f aca="false">IF(A66="","",(1/Inputs!$B$9)*(PI()*(Inputs!$F$14/1000)^2/4)*((Inputs!$F$14/1000/4)^(2/3))*SQRT(P66))</f>
        <v/>
      </c>
      <c r="AQ66" s="9" t="str">
        <f aca="false">IF(A66="","",COUNTIF($D$4:$D$203,$A66))</f>
        <v/>
      </c>
      <c r="AR66" s="9" t="str">
        <f aca="false">IF(A66="","",IF(AQ66=0,"START","CONTINUOUS"))</f>
        <v/>
      </c>
      <c r="AS66" s="13" t="str">
        <f aca="false">IF(A66="","",IF(J66="",Inputs!$B$18,J66))</f>
        <v/>
      </c>
      <c r="AT66" s="13" t="str">
        <f aca="false">IF(A66="","",IFERROR(maxifs($AV$4:$AV$203,$D$4:$D$203,$A66),""))</f>
        <v/>
      </c>
      <c r="AU66" s="13" t="str">
        <f aca="false">IF(A66="","",IF(OR(E66="",Inputs!$B$23=""),"",E66/(Inputs!$B$23*60)))</f>
        <v/>
      </c>
      <c r="AV66" s="13" t="str">
        <f aca="false">IF(A66="","",IF(AQ66=0,AS66+AU66,IF(AT66="",AS66+AU66,AT66+AU66)))</f>
        <v/>
      </c>
      <c r="AW66" s="13" t="str">
        <f aca="false">IF(A66="","",W66)</f>
        <v/>
      </c>
      <c r="AX66" s="13" t="str">
        <f aca="false">IF(OR(T66="",P66=""),"",(1/Inputs!$B$9)*((T66/4)^(2/3))*SQRT(P66))</f>
        <v/>
      </c>
      <c r="AY66" s="13" t="str">
        <f aca="false">IF(A66="","",IF(AND(AW66="",AX66="",BA66=""),"",IF(OR(UPPER(TRIM(Inputs!$B$24))="MANNING",UPPER(TRIM(Inputs!$B$24))="M"),AX66,IF(OR(UPPER(TRIM(Inputs!$B$24))="PARTIAL",UPPER(TRIM(Inputs!$B$24))="P"),BA66,IF(OR(UPPER(TRIM(Inputs!$B$24))="MAX",UPPER(TRIM(Inputs!$B$24))="X"),MAX(IF(AW66="",0,AW66),IF(AX66="",0,AX66),IF(BA66="",0,BA66)),AW66)))))</f>
        <v/>
      </c>
      <c r="AZ66" s="13" t="str">
        <f aca="false">IF(BB66="","",CH66)</f>
        <v/>
      </c>
      <c r="BA66" s="13" t="str">
        <f aca="false">IF(OR(BB66="",AZ66="",T66="",T66&lt;=0,AZ66&lt;=0),"",BB66/((T66^2/8)*(2*ACOS(1-2*AZ66/T66)-SIN(2*ACOS(1-2*AZ66/T66)))))</f>
        <v/>
      </c>
      <c r="BB66" s="9" t="str">
        <f aca="false">IF(OR(N66="",BC66=""),"",MIN(N66,BC66))</f>
        <v/>
      </c>
      <c r="BC66" s="9" t="str">
        <f aca="false">IF(OR(N66="",T66="",P66=""),"",IF(OR(T66="",P66="",(0.94*T66)="",T66&lt;=0,(0.94*T66)&lt;=0),"",(1/Inputs!$B$9)*((T66^2/8)*((2*ACOS(1-2*(0.94*T66)/T66))-SIN((2*ACOS(1-2*(0.94*T66)/T66)))))*((((T66^2/8)*((2*ACOS(1-2*(0.94*T66)/T66))-SIN((2*ACOS(1-2*(0.94*T66)/T66)))))/((T66/2)*((2*ACOS(1-2*(0.94*T66)/T66)))))^(2/3))*SQRT(P66)))</f>
        <v/>
      </c>
      <c r="BD66" s="9" t="str">
        <f aca="false">IF(BB66="","",0.001*T66)</f>
        <v/>
      </c>
      <c r="BE66" s="9" t="str">
        <f aca="false">IF(BB66="","",0.94*T66)</f>
        <v/>
      </c>
      <c r="BF66" s="9" t="str">
        <f aca="false">IF(BB66="","",(BD66+BE66)/2)</f>
        <v/>
      </c>
      <c r="BG66" s="9" t="str">
        <f aca="false">IF(OR(T66="",P66="",BF66="",T66&lt;=0,BF66&lt;=0),"",(1/Inputs!$B$9)*((T66^2/8)*((2*ACOS(1-2*BF66/T66))-SIN((2*ACOS(1-2*BF66/T66)))))*((((T66^2/8)*((2*ACOS(1-2*BF66/T66))-SIN((2*ACOS(1-2*BF66/T66)))))/((T66/2)*((2*ACOS(1-2*BF66/T66)))))^(2/3))*SQRT(P66))</f>
        <v/>
      </c>
      <c r="BH66" s="9" t="str">
        <f aca="false">IF(BB66="","",IF(BG66&lt;BB66,BF66,BD66))</f>
        <v/>
      </c>
      <c r="BI66" s="9" t="str">
        <f aca="false">IF(BB66="","",IF(BG66&lt;BB66,BE66,BF66))</f>
        <v/>
      </c>
      <c r="BJ66" s="9" t="str">
        <f aca="false">IF(BB66="","",(BH66+BI66)/2)</f>
        <v/>
      </c>
      <c r="BK66" s="9" t="str">
        <f aca="false">IF(OR(T66="",P66="",BJ66="",T66&lt;=0,BJ66&lt;=0),"",(1/Inputs!$B$9)*((T66^2/8)*((2*ACOS(1-2*BJ66/T66))-SIN((2*ACOS(1-2*BJ66/T66)))))*((((T66^2/8)*((2*ACOS(1-2*BJ66/T66))-SIN((2*ACOS(1-2*BJ66/T66)))))/((T66/2)*((2*ACOS(1-2*BJ66/T66)))))^(2/3))*SQRT(P66))</f>
        <v/>
      </c>
      <c r="BL66" s="9" t="str">
        <f aca="false">IF(BB66="","",IF(BK66&lt;BB66,BJ66,BH66))</f>
        <v/>
      </c>
      <c r="BM66" s="9" t="str">
        <f aca="false">IF(BB66="","",IF(BK66&lt;BB66,BI66,BJ66))</f>
        <v/>
      </c>
      <c r="BN66" s="9" t="str">
        <f aca="false">IF(BB66="","",(BL66+BM66)/2)</f>
        <v/>
      </c>
      <c r="BO66" s="9" t="str">
        <f aca="false">IF(OR(T66="",P66="",BN66="",T66&lt;=0,BN66&lt;=0),"",(1/Inputs!$B$9)*((T66^2/8)*((2*ACOS(1-2*BN66/T66))-SIN((2*ACOS(1-2*BN66/T66)))))*((((T66^2/8)*((2*ACOS(1-2*BN66/T66))-SIN((2*ACOS(1-2*BN66/T66)))))/((T66/2)*((2*ACOS(1-2*BN66/T66)))))^(2/3))*SQRT(P66))</f>
        <v/>
      </c>
      <c r="BP66" s="9" t="str">
        <f aca="false">IF(BB66="","",IF(BO66&lt;BB66,BN66,BL66))</f>
        <v/>
      </c>
      <c r="BQ66" s="9" t="str">
        <f aca="false">IF(BB66="","",IF(BO66&lt;BB66,BM66,BN66))</f>
        <v/>
      </c>
      <c r="BR66" s="9" t="str">
        <f aca="false">IF(BB66="","",(BP66+BQ66)/2)</f>
        <v/>
      </c>
      <c r="BS66" s="9" t="str">
        <f aca="false">IF(OR(T66="",P66="",BR66="",T66&lt;=0,BR66&lt;=0),"",(1/Inputs!$B$9)*((T66^2/8)*((2*ACOS(1-2*BR66/T66))-SIN((2*ACOS(1-2*BR66/T66)))))*((((T66^2/8)*((2*ACOS(1-2*BR66/T66))-SIN((2*ACOS(1-2*BR66/T66)))))/((T66/2)*((2*ACOS(1-2*BR66/T66)))))^(2/3))*SQRT(P66))</f>
        <v/>
      </c>
      <c r="BT66" s="9" t="str">
        <f aca="false">IF(BB66="","",IF(BS66&lt;BB66,BR66,BP66))</f>
        <v/>
      </c>
      <c r="BU66" s="9" t="str">
        <f aca="false">IF(BB66="","",IF(BS66&lt;BB66,BQ66,BR66))</f>
        <v/>
      </c>
      <c r="BV66" s="9" t="str">
        <f aca="false">IF(BB66="","",(BT66+BU66)/2)</f>
        <v/>
      </c>
      <c r="BW66" s="9" t="str">
        <f aca="false">IF(OR(T66="",P66="",BV66="",T66&lt;=0,BV66&lt;=0),"",(1/Inputs!$B$9)*((T66^2/8)*((2*ACOS(1-2*BV66/T66))-SIN((2*ACOS(1-2*BV66/T66)))))*((((T66^2/8)*((2*ACOS(1-2*BV66/T66))-SIN((2*ACOS(1-2*BV66/T66)))))/((T66/2)*((2*ACOS(1-2*BV66/T66)))))^(2/3))*SQRT(P66))</f>
        <v/>
      </c>
      <c r="BX66" s="9" t="str">
        <f aca="false">IF(BB66="","",IF(BW66&lt;BB66,BV66,BT66))</f>
        <v/>
      </c>
      <c r="BY66" s="9" t="str">
        <f aca="false">IF(BB66="","",IF(BW66&lt;BB66,BU66,BV66))</f>
        <v/>
      </c>
      <c r="BZ66" s="9" t="str">
        <f aca="false">IF(BB66="","",(BX66+BY66)/2)</f>
        <v/>
      </c>
      <c r="CA66" s="9" t="str">
        <f aca="false">IF(OR(T66="",P66="",BZ66="",T66&lt;=0,BZ66&lt;=0),"",(1/Inputs!$B$9)*((T66^2/8)*((2*ACOS(1-2*BZ66/T66))-SIN((2*ACOS(1-2*BZ66/T66)))))*((((T66^2/8)*((2*ACOS(1-2*BZ66/T66))-SIN((2*ACOS(1-2*BZ66/T66)))))/((T66/2)*((2*ACOS(1-2*BZ66/T66)))))^(2/3))*SQRT(P66))</f>
        <v/>
      </c>
      <c r="CB66" s="9" t="str">
        <f aca="false">IF(BB66="","",IF(CA66&lt;BB66,BZ66,BX66))</f>
        <v/>
      </c>
      <c r="CC66" s="9" t="str">
        <f aca="false">IF(BB66="","",IF(CA66&lt;BB66,BY66,BZ66))</f>
        <v/>
      </c>
      <c r="CD66" s="9" t="str">
        <f aca="false">IF(BB66="","",(CB66+CC66)/2)</f>
        <v/>
      </c>
      <c r="CE66" s="9" t="str">
        <f aca="false">IF(OR(T66="",P66="",CD66="",T66&lt;=0,CD66&lt;=0),"",(1/Inputs!$B$9)*((T66^2/8)*((2*ACOS(1-2*CD66/T66))-SIN((2*ACOS(1-2*CD66/T66)))))*((((T66^2/8)*((2*ACOS(1-2*CD66/T66))-SIN((2*ACOS(1-2*CD66/T66)))))/((T66/2)*((2*ACOS(1-2*CD66/T66)))))^(2/3))*SQRT(P66))</f>
        <v/>
      </c>
      <c r="CF66" s="9" t="str">
        <f aca="false">IF(BB66="","",IF(CE66&lt;BB66,CD66,CB66))</f>
        <v/>
      </c>
      <c r="CG66" s="9" t="str">
        <f aca="false">IF(BB66="","",IF(CE66&lt;BB66,CC66,CD66))</f>
        <v/>
      </c>
      <c r="CH66" s="9" t="str">
        <f aca="false">IF(BB66="","",(CF66+CG66)/2)</f>
        <v/>
      </c>
    </row>
    <row r="67" customFormat="false" ht="15" hidden="false" customHeight="false" outlineLevel="0" collapsed="false">
      <c r="A67" s="9"/>
      <c r="B67" s="9"/>
      <c r="C67" s="9"/>
      <c r="D67" s="9"/>
      <c r="E67" s="14"/>
      <c r="F67" s="14"/>
      <c r="G67" s="14" t="n">
        <f aca="false">SUMIFS(CB_plan!$C:$C,CB_plan!$B:$B,$A67)</f>
        <v>0</v>
      </c>
      <c r="H67" s="14" t="n">
        <f aca="false">IF(F67="",G67,F67)</f>
        <v>0</v>
      </c>
      <c r="I67" s="9"/>
      <c r="J67" s="14"/>
      <c r="K67" s="14" t="str">
        <f aca="false">IF(A67="","",Inputs!$B$13/((IF(AV67="",Inputs!$B$18,AV67)+Inputs!$B$14)^Inputs!$B$15))</f>
        <v/>
      </c>
      <c r="L67" s="14" t="str">
        <f aca="false">IF(A67="","",0.000000278*IF(I67="",Inputs!$B$17,I67)*H67*K67)</f>
        <v/>
      </c>
      <c r="M67" s="14" t="str">
        <f aca="false">IF(A67="","",SUMIFS($N$4:$N$203,$D$4:$D$203,$A67))</f>
        <v/>
      </c>
      <c r="N67" s="14" t="str">
        <f aca="false">IF(A67="","",(L67+M67)*Inputs!$B$16)</f>
        <v/>
      </c>
      <c r="O67" s="14"/>
      <c r="P67" s="14" t="str">
        <f aca="false">IF(A67="","",IF(O67="",Inputs!$B$7,O67))</f>
        <v/>
      </c>
      <c r="Q67" s="9" t="str">
        <f aca="false">IF(A67="","",IF(N67/Inputs!$B$10&lt;=AG67,Inputs!$F$5,IF(N67/Inputs!$B$10&gt;AP67,"OVERSIZE",INDEX(Inputs!$F$5:$F$14,MATCH(N67/Inputs!$B$10,AG67:AP67,1)+1))))</f>
        <v/>
      </c>
      <c r="R67" s="9"/>
      <c r="S67" s="9" t="str">
        <f aca="false">IF(A67="","",IF(R67="",Q67,R67))</f>
        <v/>
      </c>
      <c r="T67" s="14" t="str">
        <f aca="false">IF(OR(S67="",S67="OVERSIZE"),"",S67/1000)</f>
        <v/>
      </c>
      <c r="U67" s="14" t="str">
        <f aca="false">IF(T67="","",(1/Inputs!$B$9)*(PI()*T67^2/4)*((T67/4)^(2/3))*SQRT(P67))</f>
        <v/>
      </c>
      <c r="V67" s="14" t="str">
        <f aca="false">IF(OR(U67="",N67=""),"",N67/(U67*Inputs!$B$10))</f>
        <v/>
      </c>
      <c r="W67" s="14" t="str">
        <f aca="false">IF(OR(T67="",N67=""),"",4*N67/(PI()*T67^2))</f>
        <v/>
      </c>
      <c r="X67" s="14"/>
      <c r="Y67" s="14" t="str">
        <f aca="false">IF(A67="","",IF(A67=Inputs!$B$6,Inputs!$B$22,IF(D67="","",IFERROR(INDEX($Z$4:$Z$203,MATCH(D67,$A$4:$A$203,0))+IF(X67="",Inputs!$B$20,X67),""))))</f>
        <v/>
      </c>
      <c r="Z67" s="14" t="str">
        <f aca="false">IF(OR(Y67="",P67="",E67=""),"",Y67+P67*E67)</f>
        <v/>
      </c>
      <c r="AA67" s="14" t="str">
        <f aca="false">IF(C67="","",IFERROR(INDEX(Noeuds_plan!$C$4:$C$200,MATCH(C67,Noeuds_plan!$A$4:$A$200,0)),""))</f>
        <v/>
      </c>
      <c r="AB67" s="14" t="str">
        <f aca="false">IF(B67="","",IFERROR(INDEX(Noeuds_plan!$C$4:$C$200,MATCH(B67,Noeuds_plan!$A$4:$A$200,0)),""))</f>
        <v/>
      </c>
      <c r="AC67" s="14" t="str">
        <f aca="false">IF(OR(AA67="",Y67=""),"",AA67-Y67)</f>
        <v/>
      </c>
      <c r="AD67" s="14" t="str">
        <f aca="false">IF(OR(AB67="",Z67=""),"",AB67-Z67)</f>
        <v/>
      </c>
      <c r="AE67" s="19" t="str">
        <f aca="false">IF(A67="","",IF(OR(V67&gt;1,AND(AY67&lt;&gt;"",AY67&lt;Inputs!$B$11),AND(AY67&lt;&gt;"",AY67&gt;Inputs!$B$12),AC67&lt;Inputs!$B$19,AD67&lt;Inputs!$B$19,P67&lt;Inputs!$B$7,P67&gt;Inputs!$B$8),"CHECK","OK"))</f>
        <v/>
      </c>
      <c r="AF67" s="9"/>
      <c r="AG67" s="9" t="str">
        <f aca="false">IF(A67="","",(1/Inputs!$B$9)*(PI()*(Inputs!$F$5/1000)^2/4)*((Inputs!$F$5/1000/4)^(2/3))*SQRT(P67))</f>
        <v/>
      </c>
      <c r="AH67" s="9" t="str">
        <f aca="false">IF(A67="","",(1/Inputs!$B$9)*(PI()*(Inputs!$F$6/1000)^2/4)*((Inputs!$F$6/1000/4)^(2/3))*SQRT(P67))</f>
        <v/>
      </c>
      <c r="AI67" s="9" t="str">
        <f aca="false">IF(A67="","",(1/Inputs!$B$9)*(PI()*(Inputs!$F$7/1000)^2/4)*((Inputs!$F$7/1000/4)^(2/3))*SQRT(P67))</f>
        <v/>
      </c>
      <c r="AJ67" s="9" t="str">
        <f aca="false">IF(A67="","",(1/Inputs!$B$9)*(PI()*(Inputs!$F$8/1000)^2/4)*((Inputs!$F$8/1000/4)^(2/3))*SQRT(P67))</f>
        <v/>
      </c>
      <c r="AK67" s="9" t="str">
        <f aca="false">IF(A67="","",(1/Inputs!$B$9)*(PI()*(Inputs!$F$9/1000)^2/4)*((Inputs!$F$9/1000/4)^(2/3))*SQRT(P67))</f>
        <v/>
      </c>
      <c r="AL67" s="9" t="str">
        <f aca="false">IF(A67="","",(1/Inputs!$B$9)*(PI()*(Inputs!$F$10/1000)^2/4)*((Inputs!$F$10/1000/4)^(2/3))*SQRT(P67))</f>
        <v/>
      </c>
      <c r="AM67" s="9" t="str">
        <f aca="false">IF(A67="","",(1/Inputs!$B$9)*(PI()*(Inputs!$F$11/1000)^2/4)*((Inputs!$F$11/1000/4)^(2/3))*SQRT(P67))</f>
        <v/>
      </c>
      <c r="AN67" s="9" t="str">
        <f aca="false">IF(A67="","",(1/Inputs!$B$9)*(PI()*(Inputs!$F$12/1000)^2/4)*((Inputs!$F$12/1000/4)^(2/3))*SQRT(P67))</f>
        <v/>
      </c>
      <c r="AO67" s="9" t="str">
        <f aca="false">IF(A67="","",(1/Inputs!$B$9)*(PI()*(Inputs!$F$13/1000)^2/4)*((Inputs!$F$13/1000/4)^(2/3))*SQRT(P67))</f>
        <v/>
      </c>
      <c r="AP67" s="9" t="str">
        <f aca="false">IF(A67="","",(1/Inputs!$B$9)*(PI()*(Inputs!$F$14/1000)^2/4)*((Inputs!$F$14/1000/4)^(2/3))*SQRT(P67))</f>
        <v/>
      </c>
      <c r="AQ67" s="9" t="str">
        <f aca="false">IF(A67="","",COUNTIF($D$4:$D$203,$A67))</f>
        <v/>
      </c>
      <c r="AR67" s="9" t="str">
        <f aca="false">IF(A67="","",IF(AQ67=0,"START","CONTINUOUS"))</f>
        <v/>
      </c>
      <c r="AS67" s="13" t="str">
        <f aca="false">IF(A67="","",IF(J67="",Inputs!$B$18,J67))</f>
        <v/>
      </c>
      <c r="AT67" s="13" t="str">
        <f aca="false">IF(A67="","",IFERROR(maxifs($AV$4:$AV$203,$D$4:$D$203,$A67),""))</f>
        <v/>
      </c>
      <c r="AU67" s="13" t="str">
        <f aca="false">IF(A67="","",IF(OR(E67="",Inputs!$B$23=""),"",E67/(Inputs!$B$23*60)))</f>
        <v/>
      </c>
      <c r="AV67" s="13" t="str">
        <f aca="false">IF(A67="","",IF(AQ67=0,AS67+AU67,IF(AT67="",AS67+AU67,AT67+AU67)))</f>
        <v/>
      </c>
      <c r="AW67" s="13" t="str">
        <f aca="false">IF(A67="","",W67)</f>
        <v/>
      </c>
      <c r="AX67" s="13" t="str">
        <f aca="false">IF(OR(T67="",P67=""),"",(1/Inputs!$B$9)*((T67/4)^(2/3))*SQRT(P67))</f>
        <v/>
      </c>
      <c r="AY67" s="13" t="str">
        <f aca="false">IF(A67="","",IF(AND(AW67="",AX67="",BA67=""),"",IF(OR(UPPER(TRIM(Inputs!$B$24))="MANNING",UPPER(TRIM(Inputs!$B$24))="M"),AX67,IF(OR(UPPER(TRIM(Inputs!$B$24))="PARTIAL",UPPER(TRIM(Inputs!$B$24))="P"),BA67,IF(OR(UPPER(TRIM(Inputs!$B$24))="MAX",UPPER(TRIM(Inputs!$B$24))="X"),MAX(IF(AW67="",0,AW67),IF(AX67="",0,AX67),IF(BA67="",0,BA67)),AW67)))))</f>
        <v/>
      </c>
      <c r="AZ67" s="13" t="str">
        <f aca="false">IF(BB67="","",CH67)</f>
        <v/>
      </c>
      <c r="BA67" s="13" t="str">
        <f aca="false">IF(OR(BB67="",AZ67="",T67="",T67&lt;=0,AZ67&lt;=0),"",BB67/((T67^2/8)*(2*ACOS(1-2*AZ67/T67)-SIN(2*ACOS(1-2*AZ67/T67)))))</f>
        <v/>
      </c>
      <c r="BB67" s="9" t="str">
        <f aca="false">IF(OR(N67="",BC67=""),"",MIN(N67,BC67))</f>
        <v/>
      </c>
      <c r="BC67" s="9" t="str">
        <f aca="false">IF(OR(N67="",T67="",P67=""),"",IF(OR(T67="",P67="",(0.94*T67)="",T67&lt;=0,(0.94*T67)&lt;=0),"",(1/Inputs!$B$9)*((T67^2/8)*((2*ACOS(1-2*(0.94*T67)/T67))-SIN((2*ACOS(1-2*(0.94*T67)/T67)))))*((((T67^2/8)*((2*ACOS(1-2*(0.94*T67)/T67))-SIN((2*ACOS(1-2*(0.94*T67)/T67)))))/((T67/2)*((2*ACOS(1-2*(0.94*T67)/T67)))))^(2/3))*SQRT(P67)))</f>
        <v/>
      </c>
      <c r="BD67" s="9" t="str">
        <f aca="false">IF(BB67="","",0.001*T67)</f>
        <v/>
      </c>
      <c r="BE67" s="9" t="str">
        <f aca="false">IF(BB67="","",0.94*T67)</f>
        <v/>
      </c>
      <c r="BF67" s="9" t="str">
        <f aca="false">IF(BB67="","",(BD67+BE67)/2)</f>
        <v/>
      </c>
      <c r="BG67" s="9" t="str">
        <f aca="false">IF(OR(T67="",P67="",BF67="",T67&lt;=0,BF67&lt;=0),"",(1/Inputs!$B$9)*((T67^2/8)*((2*ACOS(1-2*BF67/T67))-SIN((2*ACOS(1-2*BF67/T67)))))*((((T67^2/8)*((2*ACOS(1-2*BF67/T67))-SIN((2*ACOS(1-2*BF67/T67)))))/((T67/2)*((2*ACOS(1-2*BF67/T67)))))^(2/3))*SQRT(P67))</f>
        <v/>
      </c>
      <c r="BH67" s="9" t="str">
        <f aca="false">IF(BB67="","",IF(BG67&lt;BB67,BF67,BD67))</f>
        <v/>
      </c>
      <c r="BI67" s="9" t="str">
        <f aca="false">IF(BB67="","",IF(BG67&lt;BB67,BE67,BF67))</f>
        <v/>
      </c>
      <c r="BJ67" s="9" t="str">
        <f aca="false">IF(BB67="","",(BH67+BI67)/2)</f>
        <v/>
      </c>
      <c r="BK67" s="9" t="str">
        <f aca="false">IF(OR(T67="",P67="",BJ67="",T67&lt;=0,BJ67&lt;=0),"",(1/Inputs!$B$9)*((T67^2/8)*((2*ACOS(1-2*BJ67/T67))-SIN((2*ACOS(1-2*BJ67/T67)))))*((((T67^2/8)*((2*ACOS(1-2*BJ67/T67))-SIN((2*ACOS(1-2*BJ67/T67)))))/((T67/2)*((2*ACOS(1-2*BJ67/T67)))))^(2/3))*SQRT(P67))</f>
        <v/>
      </c>
      <c r="BL67" s="9" t="str">
        <f aca="false">IF(BB67="","",IF(BK67&lt;BB67,BJ67,BH67))</f>
        <v/>
      </c>
      <c r="BM67" s="9" t="str">
        <f aca="false">IF(BB67="","",IF(BK67&lt;BB67,BI67,BJ67))</f>
        <v/>
      </c>
      <c r="BN67" s="9" t="str">
        <f aca="false">IF(BB67="","",(BL67+BM67)/2)</f>
        <v/>
      </c>
      <c r="BO67" s="9" t="str">
        <f aca="false">IF(OR(T67="",P67="",BN67="",T67&lt;=0,BN67&lt;=0),"",(1/Inputs!$B$9)*((T67^2/8)*((2*ACOS(1-2*BN67/T67))-SIN((2*ACOS(1-2*BN67/T67)))))*((((T67^2/8)*((2*ACOS(1-2*BN67/T67))-SIN((2*ACOS(1-2*BN67/T67)))))/((T67/2)*((2*ACOS(1-2*BN67/T67)))))^(2/3))*SQRT(P67))</f>
        <v/>
      </c>
      <c r="BP67" s="9" t="str">
        <f aca="false">IF(BB67="","",IF(BO67&lt;BB67,BN67,BL67))</f>
        <v/>
      </c>
      <c r="BQ67" s="9" t="str">
        <f aca="false">IF(BB67="","",IF(BO67&lt;BB67,BM67,BN67))</f>
        <v/>
      </c>
      <c r="BR67" s="9" t="str">
        <f aca="false">IF(BB67="","",(BP67+BQ67)/2)</f>
        <v/>
      </c>
      <c r="BS67" s="9" t="str">
        <f aca="false">IF(OR(T67="",P67="",BR67="",T67&lt;=0,BR67&lt;=0),"",(1/Inputs!$B$9)*((T67^2/8)*((2*ACOS(1-2*BR67/T67))-SIN((2*ACOS(1-2*BR67/T67)))))*((((T67^2/8)*((2*ACOS(1-2*BR67/T67))-SIN((2*ACOS(1-2*BR67/T67)))))/((T67/2)*((2*ACOS(1-2*BR67/T67)))))^(2/3))*SQRT(P67))</f>
        <v/>
      </c>
      <c r="BT67" s="9" t="str">
        <f aca="false">IF(BB67="","",IF(BS67&lt;BB67,BR67,BP67))</f>
        <v/>
      </c>
      <c r="BU67" s="9" t="str">
        <f aca="false">IF(BB67="","",IF(BS67&lt;BB67,BQ67,BR67))</f>
        <v/>
      </c>
      <c r="BV67" s="9" t="str">
        <f aca="false">IF(BB67="","",(BT67+BU67)/2)</f>
        <v/>
      </c>
      <c r="BW67" s="9" t="str">
        <f aca="false">IF(OR(T67="",P67="",BV67="",T67&lt;=0,BV67&lt;=0),"",(1/Inputs!$B$9)*((T67^2/8)*((2*ACOS(1-2*BV67/T67))-SIN((2*ACOS(1-2*BV67/T67)))))*((((T67^2/8)*((2*ACOS(1-2*BV67/T67))-SIN((2*ACOS(1-2*BV67/T67)))))/((T67/2)*((2*ACOS(1-2*BV67/T67)))))^(2/3))*SQRT(P67))</f>
        <v/>
      </c>
      <c r="BX67" s="9" t="str">
        <f aca="false">IF(BB67="","",IF(BW67&lt;BB67,BV67,BT67))</f>
        <v/>
      </c>
      <c r="BY67" s="9" t="str">
        <f aca="false">IF(BB67="","",IF(BW67&lt;BB67,BU67,BV67))</f>
        <v/>
      </c>
      <c r="BZ67" s="9" t="str">
        <f aca="false">IF(BB67="","",(BX67+BY67)/2)</f>
        <v/>
      </c>
      <c r="CA67" s="9" t="str">
        <f aca="false">IF(OR(T67="",P67="",BZ67="",T67&lt;=0,BZ67&lt;=0),"",(1/Inputs!$B$9)*((T67^2/8)*((2*ACOS(1-2*BZ67/T67))-SIN((2*ACOS(1-2*BZ67/T67)))))*((((T67^2/8)*((2*ACOS(1-2*BZ67/T67))-SIN((2*ACOS(1-2*BZ67/T67)))))/((T67/2)*((2*ACOS(1-2*BZ67/T67)))))^(2/3))*SQRT(P67))</f>
        <v/>
      </c>
      <c r="CB67" s="9" t="str">
        <f aca="false">IF(BB67="","",IF(CA67&lt;BB67,BZ67,BX67))</f>
        <v/>
      </c>
      <c r="CC67" s="9" t="str">
        <f aca="false">IF(BB67="","",IF(CA67&lt;BB67,BY67,BZ67))</f>
        <v/>
      </c>
      <c r="CD67" s="9" t="str">
        <f aca="false">IF(BB67="","",(CB67+CC67)/2)</f>
        <v/>
      </c>
      <c r="CE67" s="9" t="str">
        <f aca="false">IF(OR(T67="",P67="",CD67="",T67&lt;=0,CD67&lt;=0),"",(1/Inputs!$B$9)*((T67^2/8)*((2*ACOS(1-2*CD67/T67))-SIN((2*ACOS(1-2*CD67/T67)))))*((((T67^2/8)*((2*ACOS(1-2*CD67/T67))-SIN((2*ACOS(1-2*CD67/T67)))))/((T67/2)*((2*ACOS(1-2*CD67/T67)))))^(2/3))*SQRT(P67))</f>
        <v/>
      </c>
      <c r="CF67" s="9" t="str">
        <f aca="false">IF(BB67="","",IF(CE67&lt;BB67,CD67,CB67))</f>
        <v/>
      </c>
      <c r="CG67" s="9" t="str">
        <f aca="false">IF(BB67="","",IF(CE67&lt;BB67,CC67,CD67))</f>
        <v/>
      </c>
      <c r="CH67" s="9" t="str">
        <f aca="false">IF(BB67="","",(CF67+CG67)/2)</f>
        <v/>
      </c>
    </row>
    <row r="68" customFormat="false" ht="15" hidden="false" customHeight="false" outlineLevel="0" collapsed="false">
      <c r="A68" s="9"/>
      <c r="B68" s="9"/>
      <c r="C68" s="9"/>
      <c r="D68" s="9"/>
      <c r="E68" s="14"/>
      <c r="F68" s="14"/>
      <c r="G68" s="14" t="n">
        <f aca="false">SUMIFS(CB_plan!$C:$C,CB_plan!$B:$B,$A68)</f>
        <v>0</v>
      </c>
      <c r="H68" s="14" t="n">
        <f aca="false">IF(F68="",G68,F68)</f>
        <v>0</v>
      </c>
      <c r="I68" s="9"/>
      <c r="J68" s="14"/>
      <c r="K68" s="14" t="str">
        <f aca="false">IF(A68="","",Inputs!$B$13/((IF(AV68="",Inputs!$B$18,AV68)+Inputs!$B$14)^Inputs!$B$15))</f>
        <v/>
      </c>
      <c r="L68" s="14" t="str">
        <f aca="false">IF(A68="","",0.000000278*IF(I68="",Inputs!$B$17,I68)*H68*K68)</f>
        <v/>
      </c>
      <c r="M68" s="14" t="str">
        <f aca="false">IF(A68="","",SUMIFS($N$4:$N$203,$D$4:$D$203,$A68))</f>
        <v/>
      </c>
      <c r="N68" s="14" t="str">
        <f aca="false">IF(A68="","",(L68+M68)*Inputs!$B$16)</f>
        <v/>
      </c>
      <c r="O68" s="14"/>
      <c r="P68" s="14" t="str">
        <f aca="false">IF(A68="","",IF(O68="",Inputs!$B$7,O68))</f>
        <v/>
      </c>
      <c r="Q68" s="9" t="str">
        <f aca="false">IF(A68="","",IF(N68/Inputs!$B$10&lt;=AG68,Inputs!$F$5,IF(N68/Inputs!$B$10&gt;AP68,"OVERSIZE",INDEX(Inputs!$F$5:$F$14,MATCH(N68/Inputs!$B$10,AG68:AP68,1)+1))))</f>
        <v/>
      </c>
      <c r="R68" s="9"/>
      <c r="S68" s="9" t="str">
        <f aca="false">IF(A68="","",IF(R68="",Q68,R68))</f>
        <v/>
      </c>
      <c r="T68" s="14" t="str">
        <f aca="false">IF(OR(S68="",S68="OVERSIZE"),"",S68/1000)</f>
        <v/>
      </c>
      <c r="U68" s="14" t="str">
        <f aca="false">IF(T68="","",(1/Inputs!$B$9)*(PI()*T68^2/4)*((T68/4)^(2/3))*SQRT(P68))</f>
        <v/>
      </c>
      <c r="V68" s="14" t="str">
        <f aca="false">IF(OR(U68="",N68=""),"",N68/(U68*Inputs!$B$10))</f>
        <v/>
      </c>
      <c r="W68" s="14" t="str">
        <f aca="false">IF(OR(T68="",N68=""),"",4*N68/(PI()*T68^2))</f>
        <v/>
      </c>
      <c r="X68" s="14"/>
      <c r="Y68" s="14" t="str">
        <f aca="false">IF(A68="","",IF(A68=Inputs!$B$6,Inputs!$B$22,IF(D68="","",IFERROR(INDEX($Z$4:$Z$203,MATCH(D68,$A$4:$A$203,0))+IF(X68="",Inputs!$B$20,X68),""))))</f>
        <v/>
      </c>
      <c r="Z68" s="14" t="str">
        <f aca="false">IF(OR(Y68="",P68="",E68=""),"",Y68+P68*E68)</f>
        <v/>
      </c>
      <c r="AA68" s="14" t="str">
        <f aca="false">IF(C68="","",IFERROR(INDEX(Noeuds_plan!$C$4:$C$200,MATCH(C68,Noeuds_plan!$A$4:$A$200,0)),""))</f>
        <v/>
      </c>
      <c r="AB68" s="14" t="str">
        <f aca="false">IF(B68="","",IFERROR(INDEX(Noeuds_plan!$C$4:$C$200,MATCH(B68,Noeuds_plan!$A$4:$A$200,0)),""))</f>
        <v/>
      </c>
      <c r="AC68" s="14" t="str">
        <f aca="false">IF(OR(AA68="",Y68=""),"",AA68-Y68)</f>
        <v/>
      </c>
      <c r="AD68" s="14" t="str">
        <f aca="false">IF(OR(AB68="",Z68=""),"",AB68-Z68)</f>
        <v/>
      </c>
      <c r="AE68" s="19" t="str">
        <f aca="false">IF(A68="","",IF(OR(V68&gt;1,AND(AY68&lt;&gt;"",AY68&lt;Inputs!$B$11),AND(AY68&lt;&gt;"",AY68&gt;Inputs!$B$12),AC68&lt;Inputs!$B$19,AD68&lt;Inputs!$B$19,P68&lt;Inputs!$B$7,P68&gt;Inputs!$B$8),"CHECK","OK"))</f>
        <v/>
      </c>
      <c r="AF68" s="9"/>
      <c r="AG68" s="9" t="str">
        <f aca="false">IF(A68="","",(1/Inputs!$B$9)*(PI()*(Inputs!$F$5/1000)^2/4)*((Inputs!$F$5/1000/4)^(2/3))*SQRT(P68))</f>
        <v/>
      </c>
      <c r="AH68" s="9" t="str">
        <f aca="false">IF(A68="","",(1/Inputs!$B$9)*(PI()*(Inputs!$F$6/1000)^2/4)*((Inputs!$F$6/1000/4)^(2/3))*SQRT(P68))</f>
        <v/>
      </c>
      <c r="AI68" s="9" t="str">
        <f aca="false">IF(A68="","",(1/Inputs!$B$9)*(PI()*(Inputs!$F$7/1000)^2/4)*((Inputs!$F$7/1000/4)^(2/3))*SQRT(P68))</f>
        <v/>
      </c>
      <c r="AJ68" s="9" t="str">
        <f aca="false">IF(A68="","",(1/Inputs!$B$9)*(PI()*(Inputs!$F$8/1000)^2/4)*((Inputs!$F$8/1000/4)^(2/3))*SQRT(P68))</f>
        <v/>
      </c>
      <c r="AK68" s="9" t="str">
        <f aca="false">IF(A68="","",(1/Inputs!$B$9)*(PI()*(Inputs!$F$9/1000)^2/4)*((Inputs!$F$9/1000/4)^(2/3))*SQRT(P68))</f>
        <v/>
      </c>
      <c r="AL68" s="9" t="str">
        <f aca="false">IF(A68="","",(1/Inputs!$B$9)*(PI()*(Inputs!$F$10/1000)^2/4)*((Inputs!$F$10/1000/4)^(2/3))*SQRT(P68))</f>
        <v/>
      </c>
      <c r="AM68" s="9" t="str">
        <f aca="false">IF(A68="","",(1/Inputs!$B$9)*(PI()*(Inputs!$F$11/1000)^2/4)*((Inputs!$F$11/1000/4)^(2/3))*SQRT(P68))</f>
        <v/>
      </c>
      <c r="AN68" s="9" t="str">
        <f aca="false">IF(A68="","",(1/Inputs!$B$9)*(PI()*(Inputs!$F$12/1000)^2/4)*((Inputs!$F$12/1000/4)^(2/3))*SQRT(P68))</f>
        <v/>
      </c>
      <c r="AO68" s="9" t="str">
        <f aca="false">IF(A68="","",(1/Inputs!$B$9)*(PI()*(Inputs!$F$13/1000)^2/4)*((Inputs!$F$13/1000/4)^(2/3))*SQRT(P68))</f>
        <v/>
      </c>
      <c r="AP68" s="9" t="str">
        <f aca="false">IF(A68="","",(1/Inputs!$B$9)*(PI()*(Inputs!$F$14/1000)^2/4)*((Inputs!$F$14/1000/4)^(2/3))*SQRT(P68))</f>
        <v/>
      </c>
      <c r="AQ68" s="9" t="str">
        <f aca="false">IF(A68="","",COUNTIF($D$4:$D$203,$A68))</f>
        <v/>
      </c>
      <c r="AR68" s="9" t="str">
        <f aca="false">IF(A68="","",IF(AQ68=0,"START","CONTINUOUS"))</f>
        <v/>
      </c>
      <c r="AS68" s="13" t="str">
        <f aca="false">IF(A68="","",IF(J68="",Inputs!$B$18,J68))</f>
        <v/>
      </c>
      <c r="AT68" s="13" t="str">
        <f aca="false">IF(A68="","",IFERROR(maxifs($AV$4:$AV$203,$D$4:$D$203,$A68),""))</f>
        <v/>
      </c>
      <c r="AU68" s="13" t="str">
        <f aca="false">IF(A68="","",IF(OR(E68="",Inputs!$B$23=""),"",E68/(Inputs!$B$23*60)))</f>
        <v/>
      </c>
      <c r="AV68" s="13" t="str">
        <f aca="false">IF(A68="","",IF(AQ68=0,AS68+AU68,IF(AT68="",AS68+AU68,AT68+AU68)))</f>
        <v/>
      </c>
      <c r="AW68" s="13" t="str">
        <f aca="false">IF(A68="","",W68)</f>
        <v/>
      </c>
      <c r="AX68" s="13" t="str">
        <f aca="false">IF(OR(T68="",P68=""),"",(1/Inputs!$B$9)*((T68/4)^(2/3))*SQRT(P68))</f>
        <v/>
      </c>
      <c r="AY68" s="13" t="str">
        <f aca="false">IF(A68="","",IF(AND(AW68="",AX68="",BA68=""),"",IF(OR(UPPER(TRIM(Inputs!$B$24))="MANNING",UPPER(TRIM(Inputs!$B$24))="M"),AX68,IF(OR(UPPER(TRIM(Inputs!$B$24))="PARTIAL",UPPER(TRIM(Inputs!$B$24))="P"),BA68,IF(OR(UPPER(TRIM(Inputs!$B$24))="MAX",UPPER(TRIM(Inputs!$B$24))="X"),MAX(IF(AW68="",0,AW68),IF(AX68="",0,AX68),IF(BA68="",0,BA68)),AW68)))))</f>
        <v/>
      </c>
      <c r="AZ68" s="13" t="str">
        <f aca="false">IF(BB68="","",CH68)</f>
        <v/>
      </c>
      <c r="BA68" s="13" t="str">
        <f aca="false">IF(OR(BB68="",AZ68="",T68="",T68&lt;=0,AZ68&lt;=0),"",BB68/((T68^2/8)*(2*ACOS(1-2*AZ68/T68)-SIN(2*ACOS(1-2*AZ68/T68)))))</f>
        <v/>
      </c>
      <c r="BB68" s="9" t="str">
        <f aca="false">IF(OR(N68="",BC68=""),"",MIN(N68,BC68))</f>
        <v/>
      </c>
      <c r="BC68" s="9" t="str">
        <f aca="false">IF(OR(N68="",T68="",P68=""),"",IF(OR(T68="",P68="",(0.94*T68)="",T68&lt;=0,(0.94*T68)&lt;=0),"",(1/Inputs!$B$9)*((T68^2/8)*((2*ACOS(1-2*(0.94*T68)/T68))-SIN((2*ACOS(1-2*(0.94*T68)/T68)))))*((((T68^2/8)*((2*ACOS(1-2*(0.94*T68)/T68))-SIN((2*ACOS(1-2*(0.94*T68)/T68)))))/((T68/2)*((2*ACOS(1-2*(0.94*T68)/T68)))))^(2/3))*SQRT(P68)))</f>
        <v/>
      </c>
      <c r="BD68" s="9" t="str">
        <f aca="false">IF(BB68="","",0.001*T68)</f>
        <v/>
      </c>
      <c r="BE68" s="9" t="str">
        <f aca="false">IF(BB68="","",0.94*T68)</f>
        <v/>
      </c>
      <c r="BF68" s="9" t="str">
        <f aca="false">IF(BB68="","",(BD68+BE68)/2)</f>
        <v/>
      </c>
      <c r="BG68" s="9" t="str">
        <f aca="false">IF(OR(T68="",P68="",BF68="",T68&lt;=0,BF68&lt;=0),"",(1/Inputs!$B$9)*((T68^2/8)*((2*ACOS(1-2*BF68/T68))-SIN((2*ACOS(1-2*BF68/T68)))))*((((T68^2/8)*((2*ACOS(1-2*BF68/T68))-SIN((2*ACOS(1-2*BF68/T68)))))/((T68/2)*((2*ACOS(1-2*BF68/T68)))))^(2/3))*SQRT(P68))</f>
        <v/>
      </c>
      <c r="BH68" s="9" t="str">
        <f aca="false">IF(BB68="","",IF(BG68&lt;BB68,BF68,BD68))</f>
        <v/>
      </c>
      <c r="BI68" s="9" t="str">
        <f aca="false">IF(BB68="","",IF(BG68&lt;BB68,BE68,BF68))</f>
        <v/>
      </c>
      <c r="BJ68" s="9" t="str">
        <f aca="false">IF(BB68="","",(BH68+BI68)/2)</f>
        <v/>
      </c>
      <c r="BK68" s="9" t="str">
        <f aca="false">IF(OR(T68="",P68="",BJ68="",T68&lt;=0,BJ68&lt;=0),"",(1/Inputs!$B$9)*((T68^2/8)*((2*ACOS(1-2*BJ68/T68))-SIN((2*ACOS(1-2*BJ68/T68)))))*((((T68^2/8)*((2*ACOS(1-2*BJ68/T68))-SIN((2*ACOS(1-2*BJ68/T68)))))/((T68/2)*((2*ACOS(1-2*BJ68/T68)))))^(2/3))*SQRT(P68))</f>
        <v/>
      </c>
      <c r="BL68" s="9" t="str">
        <f aca="false">IF(BB68="","",IF(BK68&lt;BB68,BJ68,BH68))</f>
        <v/>
      </c>
      <c r="BM68" s="9" t="str">
        <f aca="false">IF(BB68="","",IF(BK68&lt;BB68,BI68,BJ68))</f>
        <v/>
      </c>
      <c r="BN68" s="9" t="str">
        <f aca="false">IF(BB68="","",(BL68+BM68)/2)</f>
        <v/>
      </c>
      <c r="BO68" s="9" t="str">
        <f aca="false">IF(OR(T68="",P68="",BN68="",T68&lt;=0,BN68&lt;=0),"",(1/Inputs!$B$9)*((T68^2/8)*((2*ACOS(1-2*BN68/T68))-SIN((2*ACOS(1-2*BN68/T68)))))*((((T68^2/8)*((2*ACOS(1-2*BN68/T68))-SIN((2*ACOS(1-2*BN68/T68)))))/((T68/2)*((2*ACOS(1-2*BN68/T68)))))^(2/3))*SQRT(P68))</f>
        <v/>
      </c>
      <c r="BP68" s="9" t="str">
        <f aca="false">IF(BB68="","",IF(BO68&lt;BB68,BN68,BL68))</f>
        <v/>
      </c>
      <c r="BQ68" s="9" t="str">
        <f aca="false">IF(BB68="","",IF(BO68&lt;BB68,BM68,BN68))</f>
        <v/>
      </c>
      <c r="BR68" s="9" t="str">
        <f aca="false">IF(BB68="","",(BP68+BQ68)/2)</f>
        <v/>
      </c>
      <c r="BS68" s="9" t="str">
        <f aca="false">IF(OR(T68="",P68="",BR68="",T68&lt;=0,BR68&lt;=0),"",(1/Inputs!$B$9)*((T68^2/8)*((2*ACOS(1-2*BR68/T68))-SIN((2*ACOS(1-2*BR68/T68)))))*((((T68^2/8)*((2*ACOS(1-2*BR68/T68))-SIN((2*ACOS(1-2*BR68/T68)))))/((T68/2)*((2*ACOS(1-2*BR68/T68)))))^(2/3))*SQRT(P68))</f>
        <v/>
      </c>
      <c r="BT68" s="9" t="str">
        <f aca="false">IF(BB68="","",IF(BS68&lt;BB68,BR68,BP68))</f>
        <v/>
      </c>
      <c r="BU68" s="9" t="str">
        <f aca="false">IF(BB68="","",IF(BS68&lt;BB68,BQ68,BR68))</f>
        <v/>
      </c>
      <c r="BV68" s="9" t="str">
        <f aca="false">IF(BB68="","",(BT68+BU68)/2)</f>
        <v/>
      </c>
      <c r="BW68" s="9" t="str">
        <f aca="false">IF(OR(T68="",P68="",BV68="",T68&lt;=0,BV68&lt;=0),"",(1/Inputs!$B$9)*((T68^2/8)*((2*ACOS(1-2*BV68/T68))-SIN((2*ACOS(1-2*BV68/T68)))))*((((T68^2/8)*((2*ACOS(1-2*BV68/T68))-SIN((2*ACOS(1-2*BV68/T68)))))/((T68/2)*((2*ACOS(1-2*BV68/T68)))))^(2/3))*SQRT(P68))</f>
        <v/>
      </c>
      <c r="BX68" s="9" t="str">
        <f aca="false">IF(BB68="","",IF(BW68&lt;BB68,BV68,BT68))</f>
        <v/>
      </c>
      <c r="BY68" s="9" t="str">
        <f aca="false">IF(BB68="","",IF(BW68&lt;BB68,BU68,BV68))</f>
        <v/>
      </c>
      <c r="BZ68" s="9" t="str">
        <f aca="false">IF(BB68="","",(BX68+BY68)/2)</f>
        <v/>
      </c>
      <c r="CA68" s="9" t="str">
        <f aca="false">IF(OR(T68="",P68="",BZ68="",T68&lt;=0,BZ68&lt;=0),"",(1/Inputs!$B$9)*((T68^2/8)*((2*ACOS(1-2*BZ68/T68))-SIN((2*ACOS(1-2*BZ68/T68)))))*((((T68^2/8)*((2*ACOS(1-2*BZ68/T68))-SIN((2*ACOS(1-2*BZ68/T68)))))/((T68/2)*((2*ACOS(1-2*BZ68/T68)))))^(2/3))*SQRT(P68))</f>
        <v/>
      </c>
      <c r="CB68" s="9" t="str">
        <f aca="false">IF(BB68="","",IF(CA68&lt;BB68,BZ68,BX68))</f>
        <v/>
      </c>
      <c r="CC68" s="9" t="str">
        <f aca="false">IF(BB68="","",IF(CA68&lt;BB68,BY68,BZ68))</f>
        <v/>
      </c>
      <c r="CD68" s="9" t="str">
        <f aca="false">IF(BB68="","",(CB68+CC68)/2)</f>
        <v/>
      </c>
      <c r="CE68" s="9" t="str">
        <f aca="false">IF(OR(T68="",P68="",CD68="",T68&lt;=0,CD68&lt;=0),"",(1/Inputs!$B$9)*((T68^2/8)*((2*ACOS(1-2*CD68/T68))-SIN((2*ACOS(1-2*CD68/T68)))))*((((T68^2/8)*((2*ACOS(1-2*CD68/T68))-SIN((2*ACOS(1-2*CD68/T68)))))/((T68/2)*((2*ACOS(1-2*CD68/T68)))))^(2/3))*SQRT(P68))</f>
        <v/>
      </c>
      <c r="CF68" s="9" t="str">
        <f aca="false">IF(BB68="","",IF(CE68&lt;BB68,CD68,CB68))</f>
        <v/>
      </c>
      <c r="CG68" s="9" t="str">
        <f aca="false">IF(BB68="","",IF(CE68&lt;BB68,CC68,CD68))</f>
        <v/>
      </c>
      <c r="CH68" s="9" t="str">
        <f aca="false">IF(BB68="","",(CF68+CG68)/2)</f>
        <v/>
      </c>
    </row>
    <row r="69" customFormat="false" ht="15" hidden="false" customHeight="false" outlineLevel="0" collapsed="false">
      <c r="A69" s="9"/>
      <c r="B69" s="9"/>
      <c r="C69" s="9"/>
      <c r="D69" s="9"/>
      <c r="E69" s="14"/>
      <c r="F69" s="14"/>
      <c r="G69" s="14" t="n">
        <f aca="false">SUMIFS(CB_plan!$C:$C,CB_plan!$B:$B,$A69)</f>
        <v>0</v>
      </c>
      <c r="H69" s="14" t="n">
        <f aca="false">IF(F69="",G69,F69)</f>
        <v>0</v>
      </c>
      <c r="I69" s="9"/>
      <c r="J69" s="14"/>
      <c r="K69" s="14" t="str">
        <f aca="false">IF(A69="","",Inputs!$B$13/((IF(AV69="",Inputs!$B$18,AV69)+Inputs!$B$14)^Inputs!$B$15))</f>
        <v/>
      </c>
      <c r="L69" s="14" t="str">
        <f aca="false">IF(A69="","",0.000000278*IF(I69="",Inputs!$B$17,I69)*H69*K69)</f>
        <v/>
      </c>
      <c r="M69" s="14" t="str">
        <f aca="false">IF(A69="","",SUMIFS($N$4:$N$203,$D$4:$D$203,$A69))</f>
        <v/>
      </c>
      <c r="N69" s="14" t="str">
        <f aca="false">IF(A69="","",(L69+M69)*Inputs!$B$16)</f>
        <v/>
      </c>
      <c r="O69" s="14"/>
      <c r="P69" s="14" t="str">
        <f aca="false">IF(A69="","",IF(O69="",Inputs!$B$7,O69))</f>
        <v/>
      </c>
      <c r="Q69" s="9" t="str">
        <f aca="false">IF(A69="","",IF(N69/Inputs!$B$10&lt;=AG69,Inputs!$F$5,IF(N69/Inputs!$B$10&gt;AP69,"OVERSIZE",INDEX(Inputs!$F$5:$F$14,MATCH(N69/Inputs!$B$10,AG69:AP69,1)+1))))</f>
        <v/>
      </c>
      <c r="R69" s="9"/>
      <c r="S69" s="9" t="str">
        <f aca="false">IF(A69="","",IF(R69="",Q69,R69))</f>
        <v/>
      </c>
      <c r="T69" s="14" t="str">
        <f aca="false">IF(OR(S69="",S69="OVERSIZE"),"",S69/1000)</f>
        <v/>
      </c>
      <c r="U69" s="14" t="str">
        <f aca="false">IF(T69="","",(1/Inputs!$B$9)*(PI()*T69^2/4)*((T69/4)^(2/3))*SQRT(P69))</f>
        <v/>
      </c>
      <c r="V69" s="14" t="str">
        <f aca="false">IF(OR(U69="",N69=""),"",N69/(U69*Inputs!$B$10))</f>
        <v/>
      </c>
      <c r="W69" s="14" t="str">
        <f aca="false">IF(OR(T69="",N69=""),"",4*N69/(PI()*T69^2))</f>
        <v/>
      </c>
      <c r="X69" s="14"/>
      <c r="Y69" s="14" t="str">
        <f aca="false">IF(A69="","",IF(A69=Inputs!$B$6,Inputs!$B$22,IF(D69="","",IFERROR(INDEX($Z$4:$Z$203,MATCH(D69,$A$4:$A$203,0))+IF(X69="",Inputs!$B$20,X69),""))))</f>
        <v/>
      </c>
      <c r="Z69" s="14" t="str">
        <f aca="false">IF(OR(Y69="",P69="",E69=""),"",Y69+P69*E69)</f>
        <v/>
      </c>
      <c r="AA69" s="14" t="str">
        <f aca="false">IF(C69="","",IFERROR(INDEX(Noeuds_plan!$C$4:$C$200,MATCH(C69,Noeuds_plan!$A$4:$A$200,0)),""))</f>
        <v/>
      </c>
      <c r="AB69" s="14" t="str">
        <f aca="false">IF(B69="","",IFERROR(INDEX(Noeuds_plan!$C$4:$C$200,MATCH(B69,Noeuds_plan!$A$4:$A$200,0)),""))</f>
        <v/>
      </c>
      <c r="AC69" s="14" t="str">
        <f aca="false">IF(OR(AA69="",Y69=""),"",AA69-Y69)</f>
        <v/>
      </c>
      <c r="AD69" s="14" t="str">
        <f aca="false">IF(OR(AB69="",Z69=""),"",AB69-Z69)</f>
        <v/>
      </c>
      <c r="AE69" s="19" t="str">
        <f aca="false">IF(A69="","",IF(OR(V69&gt;1,AND(AY69&lt;&gt;"",AY69&lt;Inputs!$B$11),AND(AY69&lt;&gt;"",AY69&gt;Inputs!$B$12),AC69&lt;Inputs!$B$19,AD69&lt;Inputs!$B$19,P69&lt;Inputs!$B$7,P69&gt;Inputs!$B$8),"CHECK","OK"))</f>
        <v/>
      </c>
      <c r="AF69" s="9"/>
      <c r="AG69" s="9" t="str">
        <f aca="false">IF(A69="","",(1/Inputs!$B$9)*(PI()*(Inputs!$F$5/1000)^2/4)*((Inputs!$F$5/1000/4)^(2/3))*SQRT(P69))</f>
        <v/>
      </c>
      <c r="AH69" s="9" t="str">
        <f aca="false">IF(A69="","",(1/Inputs!$B$9)*(PI()*(Inputs!$F$6/1000)^2/4)*((Inputs!$F$6/1000/4)^(2/3))*SQRT(P69))</f>
        <v/>
      </c>
      <c r="AI69" s="9" t="str">
        <f aca="false">IF(A69="","",(1/Inputs!$B$9)*(PI()*(Inputs!$F$7/1000)^2/4)*((Inputs!$F$7/1000/4)^(2/3))*SQRT(P69))</f>
        <v/>
      </c>
      <c r="AJ69" s="9" t="str">
        <f aca="false">IF(A69="","",(1/Inputs!$B$9)*(PI()*(Inputs!$F$8/1000)^2/4)*((Inputs!$F$8/1000/4)^(2/3))*SQRT(P69))</f>
        <v/>
      </c>
      <c r="AK69" s="9" t="str">
        <f aca="false">IF(A69="","",(1/Inputs!$B$9)*(PI()*(Inputs!$F$9/1000)^2/4)*((Inputs!$F$9/1000/4)^(2/3))*SQRT(P69))</f>
        <v/>
      </c>
      <c r="AL69" s="9" t="str">
        <f aca="false">IF(A69="","",(1/Inputs!$B$9)*(PI()*(Inputs!$F$10/1000)^2/4)*((Inputs!$F$10/1000/4)^(2/3))*SQRT(P69))</f>
        <v/>
      </c>
      <c r="AM69" s="9" t="str">
        <f aca="false">IF(A69="","",(1/Inputs!$B$9)*(PI()*(Inputs!$F$11/1000)^2/4)*((Inputs!$F$11/1000/4)^(2/3))*SQRT(P69))</f>
        <v/>
      </c>
      <c r="AN69" s="9" t="str">
        <f aca="false">IF(A69="","",(1/Inputs!$B$9)*(PI()*(Inputs!$F$12/1000)^2/4)*((Inputs!$F$12/1000/4)^(2/3))*SQRT(P69))</f>
        <v/>
      </c>
      <c r="AO69" s="9" t="str">
        <f aca="false">IF(A69="","",(1/Inputs!$B$9)*(PI()*(Inputs!$F$13/1000)^2/4)*((Inputs!$F$13/1000/4)^(2/3))*SQRT(P69))</f>
        <v/>
      </c>
      <c r="AP69" s="9" t="str">
        <f aca="false">IF(A69="","",(1/Inputs!$B$9)*(PI()*(Inputs!$F$14/1000)^2/4)*((Inputs!$F$14/1000/4)^(2/3))*SQRT(P69))</f>
        <v/>
      </c>
      <c r="AQ69" s="9" t="str">
        <f aca="false">IF(A69="","",COUNTIF($D$4:$D$203,$A69))</f>
        <v/>
      </c>
      <c r="AR69" s="9" t="str">
        <f aca="false">IF(A69="","",IF(AQ69=0,"START","CONTINUOUS"))</f>
        <v/>
      </c>
      <c r="AS69" s="13" t="str">
        <f aca="false">IF(A69="","",IF(J69="",Inputs!$B$18,J69))</f>
        <v/>
      </c>
      <c r="AT69" s="13" t="str">
        <f aca="false">IF(A69="","",IFERROR(maxifs($AV$4:$AV$203,$D$4:$D$203,$A69),""))</f>
        <v/>
      </c>
      <c r="AU69" s="13" t="str">
        <f aca="false">IF(A69="","",IF(OR(E69="",Inputs!$B$23=""),"",E69/(Inputs!$B$23*60)))</f>
        <v/>
      </c>
      <c r="AV69" s="13" t="str">
        <f aca="false">IF(A69="","",IF(AQ69=0,AS69+AU69,IF(AT69="",AS69+AU69,AT69+AU69)))</f>
        <v/>
      </c>
      <c r="AW69" s="13" t="str">
        <f aca="false">IF(A69="","",W69)</f>
        <v/>
      </c>
      <c r="AX69" s="13" t="str">
        <f aca="false">IF(OR(T69="",P69=""),"",(1/Inputs!$B$9)*((T69/4)^(2/3))*SQRT(P69))</f>
        <v/>
      </c>
      <c r="AY69" s="13" t="str">
        <f aca="false">IF(A69="","",IF(AND(AW69="",AX69="",BA69=""),"",IF(OR(UPPER(TRIM(Inputs!$B$24))="MANNING",UPPER(TRIM(Inputs!$B$24))="M"),AX69,IF(OR(UPPER(TRIM(Inputs!$B$24))="PARTIAL",UPPER(TRIM(Inputs!$B$24))="P"),BA69,IF(OR(UPPER(TRIM(Inputs!$B$24))="MAX",UPPER(TRIM(Inputs!$B$24))="X"),MAX(IF(AW69="",0,AW69),IF(AX69="",0,AX69),IF(BA69="",0,BA69)),AW69)))))</f>
        <v/>
      </c>
      <c r="AZ69" s="13" t="str">
        <f aca="false">IF(BB69="","",CH69)</f>
        <v/>
      </c>
      <c r="BA69" s="13" t="str">
        <f aca="false">IF(OR(BB69="",AZ69="",T69="",T69&lt;=0,AZ69&lt;=0),"",BB69/((T69^2/8)*(2*ACOS(1-2*AZ69/T69)-SIN(2*ACOS(1-2*AZ69/T69)))))</f>
        <v/>
      </c>
      <c r="BB69" s="9" t="str">
        <f aca="false">IF(OR(N69="",BC69=""),"",MIN(N69,BC69))</f>
        <v/>
      </c>
      <c r="BC69" s="9" t="str">
        <f aca="false">IF(OR(N69="",T69="",P69=""),"",IF(OR(T69="",P69="",(0.94*T69)="",T69&lt;=0,(0.94*T69)&lt;=0),"",(1/Inputs!$B$9)*((T69^2/8)*((2*ACOS(1-2*(0.94*T69)/T69))-SIN((2*ACOS(1-2*(0.94*T69)/T69)))))*((((T69^2/8)*((2*ACOS(1-2*(0.94*T69)/T69))-SIN((2*ACOS(1-2*(0.94*T69)/T69)))))/((T69/2)*((2*ACOS(1-2*(0.94*T69)/T69)))))^(2/3))*SQRT(P69)))</f>
        <v/>
      </c>
      <c r="BD69" s="9" t="str">
        <f aca="false">IF(BB69="","",0.001*T69)</f>
        <v/>
      </c>
      <c r="BE69" s="9" t="str">
        <f aca="false">IF(BB69="","",0.94*T69)</f>
        <v/>
      </c>
      <c r="BF69" s="9" t="str">
        <f aca="false">IF(BB69="","",(BD69+BE69)/2)</f>
        <v/>
      </c>
      <c r="BG69" s="9" t="str">
        <f aca="false">IF(OR(T69="",P69="",BF69="",T69&lt;=0,BF69&lt;=0),"",(1/Inputs!$B$9)*((T69^2/8)*((2*ACOS(1-2*BF69/T69))-SIN((2*ACOS(1-2*BF69/T69)))))*((((T69^2/8)*((2*ACOS(1-2*BF69/T69))-SIN((2*ACOS(1-2*BF69/T69)))))/((T69/2)*((2*ACOS(1-2*BF69/T69)))))^(2/3))*SQRT(P69))</f>
        <v/>
      </c>
      <c r="BH69" s="9" t="str">
        <f aca="false">IF(BB69="","",IF(BG69&lt;BB69,BF69,BD69))</f>
        <v/>
      </c>
      <c r="BI69" s="9" t="str">
        <f aca="false">IF(BB69="","",IF(BG69&lt;BB69,BE69,BF69))</f>
        <v/>
      </c>
      <c r="BJ69" s="9" t="str">
        <f aca="false">IF(BB69="","",(BH69+BI69)/2)</f>
        <v/>
      </c>
      <c r="BK69" s="9" t="str">
        <f aca="false">IF(OR(T69="",P69="",BJ69="",T69&lt;=0,BJ69&lt;=0),"",(1/Inputs!$B$9)*((T69^2/8)*((2*ACOS(1-2*BJ69/T69))-SIN((2*ACOS(1-2*BJ69/T69)))))*((((T69^2/8)*((2*ACOS(1-2*BJ69/T69))-SIN((2*ACOS(1-2*BJ69/T69)))))/((T69/2)*((2*ACOS(1-2*BJ69/T69)))))^(2/3))*SQRT(P69))</f>
        <v/>
      </c>
      <c r="BL69" s="9" t="str">
        <f aca="false">IF(BB69="","",IF(BK69&lt;BB69,BJ69,BH69))</f>
        <v/>
      </c>
      <c r="BM69" s="9" t="str">
        <f aca="false">IF(BB69="","",IF(BK69&lt;BB69,BI69,BJ69))</f>
        <v/>
      </c>
      <c r="BN69" s="9" t="str">
        <f aca="false">IF(BB69="","",(BL69+BM69)/2)</f>
        <v/>
      </c>
      <c r="BO69" s="9" t="str">
        <f aca="false">IF(OR(T69="",P69="",BN69="",T69&lt;=0,BN69&lt;=0),"",(1/Inputs!$B$9)*((T69^2/8)*((2*ACOS(1-2*BN69/T69))-SIN((2*ACOS(1-2*BN69/T69)))))*((((T69^2/8)*((2*ACOS(1-2*BN69/T69))-SIN((2*ACOS(1-2*BN69/T69)))))/((T69/2)*((2*ACOS(1-2*BN69/T69)))))^(2/3))*SQRT(P69))</f>
        <v/>
      </c>
      <c r="BP69" s="9" t="str">
        <f aca="false">IF(BB69="","",IF(BO69&lt;BB69,BN69,BL69))</f>
        <v/>
      </c>
      <c r="BQ69" s="9" t="str">
        <f aca="false">IF(BB69="","",IF(BO69&lt;BB69,BM69,BN69))</f>
        <v/>
      </c>
      <c r="BR69" s="9" t="str">
        <f aca="false">IF(BB69="","",(BP69+BQ69)/2)</f>
        <v/>
      </c>
      <c r="BS69" s="9" t="str">
        <f aca="false">IF(OR(T69="",P69="",BR69="",T69&lt;=0,BR69&lt;=0),"",(1/Inputs!$B$9)*((T69^2/8)*((2*ACOS(1-2*BR69/T69))-SIN((2*ACOS(1-2*BR69/T69)))))*((((T69^2/8)*((2*ACOS(1-2*BR69/T69))-SIN((2*ACOS(1-2*BR69/T69)))))/((T69/2)*((2*ACOS(1-2*BR69/T69)))))^(2/3))*SQRT(P69))</f>
        <v/>
      </c>
      <c r="BT69" s="9" t="str">
        <f aca="false">IF(BB69="","",IF(BS69&lt;BB69,BR69,BP69))</f>
        <v/>
      </c>
      <c r="BU69" s="9" t="str">
        <f aca="false">IF(BB69="","",IF(BS69&lt;BB69,BQ69,BR69))</f>
        <v/>
      </c>
      <c r="BV69" s="9" t="str">
        <f aca="false">IF(BB69="","",(BT69+BU69)/2)</f>
        <v/>
      </c>
      <c r="BW69" s="9" t="str">
        <f aca="false">IF(OR(T69="",P69="",BV69="",T69&lt;=0,BV69&lt;=0),"",(1/Inputs!$B$9)*((T69^2/8)*((2*ACOS(1-2*BV69/T69))-SIN((2*ACOS(1-2*BV69/T69)))))*((((T69^2/8)*((2*ACOS(1-2*BV69/T69))-SIN((2*ACOS(1-2*BV69/T69)))))/((T69/2)*((2*ACOS(1-2*BV69/T69)))))^(2/3))*SQRT(P69))</f>
        <v/>
      </c>
      <c r="BX69" s="9" t="str">
        <f aca="false">IF(BB69="","",IF(BW69&lt;BB69,BV69,BT69))</f>
        <v/>
      </c>
      <c r="BY69" s="9" t="str">
        <f aca="false">IF(BB69="","",IF(BW69&lt;BB69,BU69,BV69))</f>
        <v/>
      </c>
      <c r="BZ69" s="9" t="str">
        <f aca="false">IF(BB69="","",(BX69+BY69)/2)</f>
        <v/>
      </c>
      <c r="CA69" s="9" t="str">
        <f aca="false">IF(OR(T69="",P69="",BZ69="",T69&lt;=0,BZ69&lt;=0),"",(1/Inputs!$B$9)*((T69^2/8)*((2*ACOS(1-2*BZ69/T69))-SIN((2*ACOS(1-2*BZ69/T69)))))*((((T69^2/8)*((2*ACOS(1-2*BZ69/T69))-SIN((2*ACOS(1-2*BZ69/T69)))))/((T69/2)*((2*ACOS(1-2*BZ69/T69)))))^(2/3))*SQRT(P69))</f>
        <v/>
      </c>
      <c r="CB69" s="9" t="str">
        <f aca="false">IF(BB69="","",IF(CA69&lt;BB69,BZ69,BX69))</f>
        <v/>
      </c>
      <c r="CC69" s="9" t="str">
        <f aca="false">IF(BB69="","",IF(CA69&lt;BB69,BY69,BZ69))</f>
        <v/>
      </c>
      <c r="CD69" s="9" t="str">
        <f aca="false">IF(BB69="","",(CB69+CC69)/2)</f>
        <v/>
      </c>
      <c r="CE69" s="9" t="str">
        <f aca="false">IF(OR(T69="",P69="",CD69="",T69&lt;=0,CD69&lt;=0),"",(1/Inputs!$B$9)*((T69^2/8)*((2*ACOS(1-2*CD69/T69))-SIN((2*ACOS(1-2*CD69/T69)))))*((((T69^2/8)*((2*ACOS(1-2*CD69/T69))-SIN((2*ACOS(1-2*CD69/T69)))))/((T69/2)*((2*ACOS(1-2*CD69/T69)))))^(2/3))*SQRT(P69))</f>
        <v/>
      </c>
      <c r="CF69" s="9" t="str">
        <f aca="false">IF(BB69="","",IF(CE69&lt;BB69,CD69,CB69))</f>
        <v/>
      </c>
      <c r="CG69" s="9" t="str">
        <f aca="false">IF(BB69="","",IF(CE69&lt;BB69,CC69,CD69))</f>
        <v/>
      </c>
      <c r="CH69" s="9" t="str">
        <f aca="false">IF(BB69="","",(CF69+CG69)/2)</f>
        <v/>
      </c>
    </row>
    <row r="70" customFormat="false" ht="15" hidden="false" customHeight="false" outlineLevel="0" collapsed="false">
      <c r="A70" s="9"/>
      <c r="B70" s="9"/>
      <c r="C70" s="9"/>
      <c r="D70" s="9"/>
      <c r="E70" s="14"/>
      <c r="F70" s="14"/>
      <c r="G70" s="14" t="n">
        <f aca="false">SUMIFS(CB_plan!$C:$C,CB_plan!$B:$B,$A70)</f>
        <v>0</v>
      </c>
      <c r="H70" s="14" t="n">
        <f aca="false">IF(F70="",G70,F70)</f>
        <v>0</v>
      </c>
      <c r="I70" s="9"/>
      <c r="J70" s="14"/>
      <c r="K70" s="14" t="str">
        <f aca="false">IF(A70="","",Inputs!$B$13/((IF(AV70="",Inputs!$B$18,AV70)+Inputs!$B$14)^Inputs!$B$15))</f>
        <v/>
      </c>
      <c r="L70" s="14" t="str">
        <f aca="false">IF(A70="","",0.000000278*IF(I70="",Inputs!$B$17,I70)*H70*K70)</f>
        <v/>
      </c>
      <c r="M70" s="14" t="str">
        <f aca="false">IF(A70="","",SUMIFS($N$4:$N$203,$D$4:$D$203,$A70))</f>
        <v/>
      </c>
      <c r="N70" s="14" t="str">
        <f aca="false">IF(A70="","",(L70+M70)*Inputs!$B$16)</f>
        <v/>
      </c>
      <c r="O70" s="14"/>
      <c r="P70" s="14" t="str">
        <f aca="false">IF(A70="","",IF(O70="",Inputs!$B$7,O70))</f>
        <v/>
      </c>
      <c r="Q70" s="9" t="str">
        <f aca="false">IF(A70="","",IF(N70/Inputs!$B$10&lt;=AG70,Inputs!$F$5,IF(N70/Inputs!$B$10&gt;AP70,"OVERSIZE",INDEX(Inputs!$F$5:$F$14,MATCH(N70/Inputs!$B$10,AG70:AP70,1)+1))))</f>
        <v/>
      </c>
      <c r="R70" s="9"/>
      <c r="S70" s="9" t="str">
        <f aca="false">IF(A70="","",IF(R70="",Q70,R70))</f>
        <v/>
      </c>
      <c r="T70" s="14" t="str">
        <f aca="false">IF(OR(S70="",S70="OVERSIZE"),"",S70/1000)</f>
        <v/>
      </c>
      <c r="U70" s="14" t="str">
        <f aca="false">IF(T70="","",(1/Inputs!$B$9)*(PI()*T70^2/4)*((T70/4)^(2/3))*SQRT(P70))</f>
        <v/>
      </c>
      <c r="V70" s="14" t="str">
        <f aca="false">IF(OR(U70="",N70=""),"",N70/(U70*Inputs!$B$10))</f>
        <v/>
      </c>
      <c r="W70" s="14" t="str">
        <f aca="false">IF(OR(T70="",N70=""),"",4*N70/(PI()*T70^2))</f>
        <v/>
      </c>
      <c r="X70" s="14"/>
      <c r="Y70" s="14" t="str">
        <f aca="false">IF(A70="","",IF(A70=Inputs!$B$6,Inputs!$B$22,IF(D70="","",IFERROR(INDEX($Z$4:$Z$203,MATCH(D70,$A$4:$A$203,0))+IF(X70="",Inputs!$B$20,X70),""))))</f>
        <v/>
      </c>
      <c r="Z70" s="14" t="str">
        <f aca="false">IF(OR(Y70="",P70="",E70=""),"",Y70+P70*E70)</f>
        <v/>
      </c>
      <c r="AA70" s="14" t="str">
        <f aca="false">IF(C70="","",IFERROR(INDEX(Noeuds_plan!$C$4:$C$200,MATCH(C70,Noeuds_plan!$A$4:$A$200,0)),""))</f>
        <v/>
      </c>
      <c r="AB70" s="14" t="str">
        <f aca="false">IF(B70="","",IFERROR(INDEX(Noeuds_plan!$C$4:$C$200,MATCH(B70,Noeuds_plan!$A$4:$A$200,0)),""))</f>
        <v/>
      </c>
      <c r="AC70" s="14" t="str">
        <f aca="false">IF(OR(AA70="",Y70=""),"",AA70-Y70)</f>
        <v/>
      </c>
      <c r="AD70" s="14" t="str">
        <f aca="false">IF(OR(AB70="",Z70=""),"",AB70-Z70)</f>
        <v/>
      </c>
      <c r="AE70" s="19" t="str">
        <f aca="false">IF(A70="","",IF(OR(V70&gt;1,AND(AY70&lt;&gt;"",AY70&lt;Inputs!$B$11),AND(AY70&lt;&gt;"",AY70&gt;Inputs!$B$12),AC70&lt;Inputs!$B$19,AD70&lt;Inputs!$B$19,P70&lt;Inputs!$B$7,P70&gt;Inputs!$B$8),"CHECK","OK"))</f>
        <v/>
      </c>
      <c r="AF70" s="9"/>
      <c r="AG70" s="9" t="str">
        <f aca="false">IF(A70="","",(1/Inputs!$B$9)*(PI()*(Inputs!$F$5/1000)^2/4)*((Inputs!$F$5/1000/4)^(2/3))*SQRT(P70))</f>
        <v/>
      </c>
      <c r="AH70" s="9" t="str">
        <f aca="false">IF(A70="","",(1/Inputs!$B$9)*(PI()*(Inputs!$F$6/1000)^2/4)*((Inputs!$F$6/1000/4)^(2/3))*SQRT(P70))</f>
        <v/>
      </c>
      <c r="AI70" s="9" t="str">
        <f aca="false">IF(A70="","",(1/Inputs!$B$9)*(PI()*(Inputs!$F$7/1000)^2/4)*((Inputs!$F$7/1000/4)^(2/3))*SQRT(P70))</f>
        <v/>
      </c>
      <c r="AJ70" s="9" t="str">
        <f aca="false">IF(A70="","",(1/Inputs!$B$9)*(PI()*(Inputs!$F$8/1000)^2/4)*((Inputs!$F$8/1000/4)^(2/3))*SQRT(P70))</f>
        <v/>
      </c>
      <c r="AK70" s="9" t="str">
        <f aca="false">IF(A70="","",(1/Inputs!$B$9)*(PI()*(Inputs!$F$9/1000)^2/4)*((Inputs!$F$9/1000/4)^(2/3))*SQRT(P70))</f>
        <v/>
      </c>
      <c r="AL70" s="9" t="str">
        <f aca="false">IF(A70="","",(1/Inputs!$B$9)*(PI()*(Inputs!$F$10/1000)^2/4)*((Inputs!$F$10/1000/4)^(2/3))*SQRT(P70))</f>
        <v/>
      </c>
      <c r="AM70" s="9" t="str">
        <f aca="false">IF(A70="","",(1/Inputs!$B$9)*(PI()*(Inputs!$F$11/1000)^2/4)*((Inputs!$F$11/1000/4)^(2/3))*SQRT(P70))</f>
        <v/>
      </c>
      <c r="AN70" s="9" t="str">
        <f aca="false">IF(A70="","",(1/Inputs!$B$9)*(PI()*(Inputs!$F$12/1000)^2/4)*((Inputs!$F$12/1000/4)^(2/3))*SQRT(P70))</f>
        <v/>
      </c>
      <c r="AO70" s="9" t="str">
        <f aca="false">IF(A70="","",(1/Inputs!$B$9)*(PI()*(Inputs!$F$13/1000)^2/4)*((Inputs!$F$13/1000/4)^(2/3))*SQRT(P70))</f>
        <v/>
      </c>
      <c r="AP70" s="9" t="str">
        <f aca="false">IF(A70="","",(1/Inputs!$B$9)*(PI()*(Inputs!$F$14/1000)^2/4)*((Inputs!$F$14/1000/4)^(2/3))*SQRT(P70))</f>
        <v/>
      </c>
      <c r="AQ70" s="9" t="str">
        <f aca="false">IF(A70="","",COUNTIF($D$4:$D$203,$A70))</f>
        <v/>
      </c>
      <c r="AR70" s="9" t="str">
        <f aca="false">IF(A70="","",IF(AQ70=0,"START","CONTINUOUS"))</f>
        <v/>
      </c>
      <c r="AS70" s="13" t="str">
        <f aca="false">IF(A70="","",IF(J70="",Inputs!$B$18,J70))</f>
        <v/>
      </c>
      <c r="AT70" s="13" t="str">
        <f aca="false">IF(A70="","",IFERROR(maxifs($AV$4:$AV$203,$D$4:$D$203,$A70),""))</f>
        <v/>
      </c>
      <c r="AU70" s="13" t="str">
        <f aca="false">IF(A70="","",IF(OR(E70="",Inputs!$B$23=""),"",E70/(Inputs!$B$23*60)))</f>
        <v/>
      </c>
      <c r="AV70" s="13" t="str">
        <f aca="false">IF(A70="","",IF(AQ70=0,AS70+AU70,IF(AT70="",AS70+AU70,AT70+AU70)))</f>
        <v/>
      </c>
      <c r="AW70" s="13" t="str">
        <f aca="false">IF(A70="","",W70)</f>
        <v/>
      </c>
      <c r="AX70" s="13" t="str">
        <f aca="false">IF(OR(T70="",P70=""),"",(1/Inputs!$B$9)*((T70/4)^(2/3))*SQRT(P70))</f>
        <v/>
      </c>
      <c r="AY70" s="13" t="str">
        <f aca="false">IF(A70="","",IF(AND(AW70="",AX70="",BA70=""),"",IF(OR(UPPER(TRIM(Inputs!$B$24))="MANNING",UPPER(TRIM(Inputs!$B$24))="M"),AX70,IF(OR(UPPER(TRIM(Inputs!$B$24))="PARTIAL",UPPER(TRIM(Inputs!$B$24))="P"),BA70,IF(OR(UPPER(TRIM(Inputs!$B$24))="MAX",UPPER(TRIM(Inputs!$B$24))="X"),MAX(IF(AW70="",0,AW70),IF(AX70="",0,AX70),IF(BA70="",0,BA70)),AW70)))))</f>
        <v/>
      </c>
      <c r="AZ70" s="13" t="str">
        <f aca="false">IF(BB70="","",CH70)</f>
        <v/>
      </c>
      <c r="BA70" s="13" t="str">
        <f aca="false">IF(OR(BB70="",AZ70="",T70="",T70&lt;=0,AZ70&lt;=0),"",BB70/((T70^2/8)*(2*ACOS(1-2*AZ70/T70)-SIN(2*ACOS(1-2*AZ70/T70)))))</f>
        <v/>
      </c>
      <c r="BB70" s="9" t="str">
        <f aca="false">IF(OR(N70="",BC70=""),"",MIN(N70,BC70))</f>
        <v/>
      </c>
      <c r="BC70" s="9" t="str">
        <f aca="false">IF(OR(N70="",T70="",P70=""),"",IF(OR(T70="",P70="",(0.94*T70)="",T70&lt;=0,(0.94*T70)&lt;=0),"",(1/Inputs!$B$9)*((T70^2/8)*((2*ACOS(1-2*(0.94*T70)/T70))-SIN((2*ACOS(1-2*(0.94*T70)/T70)))))*((((T70^2/8)*((2*ACOS(1-2*(0.94*T70)/T70))-SIN((2*ACOS(1-2*(0.94*T70)/T70)))))/((T70/2)*((2*ACOS(1-2*(0.94*T70)/T70)))))^(2/3))*SQRT(P70)))</f>
        <v/>
      </c>
      <c r="BD70" s="9" t="str">
        <f aca="false">IF(BB70="","",0.001*T70)</f>
        <v/>
      </c>
      <c r="BE70" s="9" t="str">
        <f aca="false">IF(BB70="","",0.94*T70)</f>
        <v/>
      </c>
      <c r="BF70" s="9" t="str">
        <f aca="false">IF(BB70="","",(BD70+BE70)/2)</f>
        <v/>
      </c>
      <c r="BG70" s="9" t="str">
        <f aca="false">IF(OR(T70="",P70="",BF70="",T70&lt;=0,BF70&lt;=0),"",(1/Inputs!$B$9)*((T70^2/8)*((2*ACOS(1-2*BF70/T70))-SIN((2*ACOS(1-2*BF70/T70)))))*((((T70^2/8)*((2*ACOS(1-2*BF70/T70))-SIN((2*ACOS(1-2*BF70/T70)))))/((T70/2)*((2*ACOS(1-2*BF70/T70)))))^(2/3))*SQRT(P70))</f>
        <v/>
      </c>
      <c r="BH70" s="9" t="str">
        <f aca="false">IF(BB70="","",IF(BG70&lt;BB70,BF70,BD70))</f>
        <v/>
      </c>
      <c r="BI70" s="9" t="str">
        <f aca="false">IF(BB70="","",IF(BG70&lt;BB70,BE70,BF70))</f>
        <v/>
      </c>
      <c r="BJ70" s="9" t="str">
        <f aca="false">IF(BB70="","",(BH70+BI70)/2)</f>
        <v/>
      </c>
      <c r="BK70" s="9" t="str">
        <f aca="false">IF(OR(T70="",P70="",BJ70="",T70&lt;=0,BJ70&lt;=0),"",(1/Inputs!$B$9)*((T70^2/8)*((2*ACOS(1-2*BJ70/T70))-SIN((2*ACOS(1-2*BJ70/T70)))))*((((T70^2/8)*((2*ACOS(1-2*BJ70/T70))-SIN((2*ACOS(1-2*BJ70/T70)))))/((T70/2)*((2*ACOS(1-2*BJ70/T70)))))^(2/3))*SQRT(P70))</f>
        <v/>
      </c>
      <c r="BL70" s="9" t="str">
        <f aca="false">IF(BB70="","",IF(BK70&lt;BB70,BJ70,BH70))</f>
        <v/>
      </c>
      <c r="BM70" s="9" t="str">
        <f aca="false">IF(BB70="","",IF(BK70&lt;BB70,BI70,BJ70))</f>
        <v/>
      </c>
      <c r="BN70" s="9" t="str">
        <f aca="false">IF(BB70="","",(BL70+BM70)/2)</f>
        <v/>
      </c>
      <c r="BO70" s="9" t="str">
        <f aca="false">IF(OR(T70="",P70="",BN70="",T70&lt;=0,BN70&lt;=0),"",(1/Inputs!$B$9)*((T70^2/8)*((2*ACOS(1-2*BN70/T70))-SIN((2*ACOS(1-2*BN70/T70)))))*((((T70^2/8)*((2*ACOS(1-2*BN70/T70))-SIN((2*ACOS(1-2*BN70/T70)))))/((T70/2)*((2*ACOS(1-2*BN70/T70)))))^(2/3))*SQRT(P70))</f>
        <v/>
      </c>
      <c r="BP70" s="9" t="str">
        <f aca="false">IF(BB70="","",IF(BO70&lt;BB70,BN70,BL70))</f>
        <v/>
      </c>
      <c r="BQ70" s="9" t="str">
        <f aca="false">IF(BB70="","",IF(BO70&lt;BB70,BM70,BN70))</f>
        <v/>
      </c>
      <c r="BR70" s="9" t="str">
        <f aca="false">IF(BB70="","",(BP70+BQ70)/2)</f>
        <v/>
      </c>
      <c r="BS70" s="9" t="str">
        <f aca="false">IF(OR(T70="",P70="",BR70="",T70&lt;=0,BR70&lt;=0),"",(1/Inputs!$B$9)*((T70^2/8)*((2*ACOS(1-2*BR70/T70))-SIN((2*ACOS(1-2*BR70/T70)))))*((((T70^2/8)*((2*ACOS(1-2*BR70/T70))-SIN((2*ACOS(1-2*BR70/T70)))))/((T70/2)*((2*ACOS(1-2*BR70/T70)))))^(2/3))*SQRT(P70))</f>
        <v/>
      </c>
      <c r="BT70" s="9" t="str">
        <f aca="false">IF(BB70="","",IF(BS70&lt;BB70,BR70,BP70))</f>
        <v/>
      </c>
      <c r="BU70" s="9" t="str">
        <f aca="false">IF(BB70="","",IF(BS70&lt;BB70,BQ70,BR70))</f>
        <v/>
      </c>
      <c r="BV70" s="9" t="str">
        <f aca="false">IF(BB70="","",(BT70+BU70)/2)</f>
        <v/>
      </c>
      <c r="BW70" s="9" t="str">
        <f aca="false">IF(OR(T70="",P70="",BV70="",T70&lt;=0,BV70&lt;=0),"",(1/Inputs!$B$9)*((T70^2/8)*((2*ACOS(1-2*BV70/T70))-SIN((2*ACOS(1-2*BV70/T70)))))*((((T70^2/8)*((2*ACOS(1-2*BV70/T70))-SIN((2*ACOS(1-2*BV70/T70)))))/((T70/2)*((2*ACOS(1-2*BV70/T70)))))^(2/3))*SQRT(P70))</f>
        <v/>
      </c>
      <c r="BX70" s="9" t="str">
        <f aca="false">IF(BB70="","",IF(BW70&lt;BB70,BV70,BT70))</f>
        <v/>
      </c>
      <c r="BY70" s="9" t="str">
        <f aca="false">IF(BB70="","",IF(BW70&lt;BB70,BU70,BV70))</f>
        <v/>
      </c>
      <c r="BZ70" s="9" t="str">
        <f aca="false">IF(BB70="","",(BX70+BY70)/2)</f>
        <v/>
      </c>
      <c r="CA70" s="9" t="str">
        <f aca="false">IF(OR(T70="",P70="",BZ70="",T70&lt;=0,BZ70&lt;=0),"",(1/Inputs!$B$9)*((T70^2/8)*((2*ACOS(1-2*BZ70/T70))-SIN((2*ACOS(1-2*BZ70/T70)))))*((((T70^2/8)*((2*ACOS(1-2*BZ70/T70))-SIN((2*ACOS(1-2*BZ70/T70)))))/((T70/2)*((2*ACOS(1-2*BZ70/T70)))))^(2/3))*SQRT(P70))</f>
        <v/>
      </c>
      <c r="CB70" s="9" t="str">
        <f aca="false">IF(BB70="","",IF(CA70&lt;BB70,BZ70,BX70))</f>
        <v/>
      </c>
      <c r="CC70" s="9" t="str">
        <f aca="false">IF(BB70="","",IF(CA70&lt;BB70,BY70,BZ70))</f>
        <v/>
      </c>
      <c r="CD70" s="9" t="str">
        <f aca="false">IF(BB70="","",(CB70+CC70)/2)</f>
        <v/>
      </c>
      <c r="CE70" s="9" t="str">
        <f aca="false">IF(OR(T70="",P70="",CD70="",T70&lt;=0,CD70&lt;=0),"",(1/Inputs!$B$9)*((T70^2/8)*((2*ACOS(1-2*CD70/T70))-SIN((2*ACOS(1-2*CD70/T70)))))*((((T70^2/8)*((2*ACOS(1-2*CD70/T70))-SIN((2*ACOS(1-2*CD70/T70)))))/((T70/2)*((2*ACOS(1-2*CD70/T70)))))^(2/3))*SQRT(P70))</f>
        <v/>
      </c>
      <c r="CF70" s="9" t="str">
        <f aca="false">IF(BB70="","",IF(CE70&lt;BB70,CD70,CB70))</f>
        <v/>
      </c>
      <c r="CG70" s="9" t="str">
        <f aca="false">IF(BB70="","",IF(CE70&lt;BB70,CC70,CD70))</f>
        <v/>
      </c>
      <c r="CH70" s="9" t="str">
        <f aca="false">IF(BB70="","",(CF70+CG70)/2)</f>
        <v/>
      </c>
    </row>
    <row r="71" customFormat="false" ht="15" hidden="false" customHeight="false" outlineLevel="0" collapsed="false">
      <c r="A71" s="9"/>
      <c r="B71" s="9"/>
      <c r="C71" s="9"/>
      <c r="D71" s="9"/>
      <c r="E71" s="14"/>
      <c r="F71" s="14"/>
      <c r="G71" s="14" t="n">
        <f aca="false">SUMIFS(CB_plan!$C:$C,CB_plan!$B:$B,$A71)</f>
        <v>0</v>
      </c>
      <c r="H71" s="14" t="n">
        <f aca="false">IF(F71="",G71,F71)</f>
        <v>0</v>
      </c>
      <c r="I71" s="9"/>
      <c r="J71" s="14"/>
      <c r="K71" s="14" t="str">
        <f aca="false">IF(A71="","",Inputs!$B$13/((IF(AV71="",Inputs!$B$18,AV71)+Inputs!$B$14)^Inputs!$B$15))</f>
        <v/>
      </c>
      <c r="L71" s="14" t="str">
        <f aca="false">IF(A71="","",0.000000278*IF(I71="",Inputs!$B$17,I71)*H71*K71)</f>
        <v/>
      </c>
      <c r="M71" s="14" t="str">
        <f aca="false">IF(A71="","",SUMIFS($N$4:$N$203,$D$4:$D$203,$A71))</f>
        <v/>
      </c>
      <c r="N71" s="14" t="str">
        <f aca="false">IF(A71="","",(L71+M71)*Inputs!$B$16)</f>
        <v/>
      </c>
      <c r="O71" s="14"/>
      <c r="P71" s="14" t="str">
        <f aca="false">IF(A71="","",IF(O71="",Inputs!$B$7,O71))</f>
        <v/>
      </c>
      <c r="Q71" s="9" t="str">
        <f aca="false">IF(A71="","",IF(N71/Inputs!$B$10&lt;=AG71,Inputs!$F$5,IF(N71/Inputs!$B$10&gt;AP71,"OVERSIZE",INDEX(Inputs!$F$5:$F$14,MATCH(N71/Inputs!$B$10,AG71:AP71,1)+1))))</f>
        <v/>
      </c>
      <c r="R71" s="9"/>
      <c r="S71" s="9" t="str">
        <f aca="false">IF(A71="","",IF(R71="",Q71,R71))</f>
        <v/>
      </c>
      <c r="T71" s="14" t="str">
        <f aca="false">IF(OR(S71="",S71="OVERSIZE"),"",S71/1000)</f>
        <v/>
      </c>
      <c r="U71" s="14" t="str">
        <f aca="false">IF(T71="","",(1/Inputs!$B$9)*(PI()*T71^2/4)*((T71/4)^(2/3))*SQRT(P71))</f>
        <v/>
      </c>
      <c r="V71" s="14" t="str">
        <f aca="false">IF(OR(U71="",N71=""),"",N71/(U71*Inputs!$B$10))</f>
        <v/>
      </c>
      <c r="W71" s="14" t="str">
        <f aca="false">IF(OR(T71="",N71=""),"",4*N71/(PI()*T71^2))</f>
        <v/>
      </c>
      <c r="X71" s="14"/>
      <c r="Y71" s="14" t="str">
        <f aca="false">IF(A71="","",IF(A71=Inputs!$B$6,Inputs!$B$22,IF(D71="","",IFERROR(INDEX($Z$4:$Z$203,MATCH(D71,$A$4:$A$203,0))+IF(X71="",Inputs!$B$20,X71),""))))</f>
        <v/>
      </c>
      <c r="Z71" s="14" t="str">
        <f aca="false">IF(OR(Y71="",P71="",E71=""),"",Y71+P71*E71)</f>
        <v/>
      </c>
      <c r="AA71" s="14" t="str">
        <f aca="false">IF(C71="","",IFERROR(INDEX(Noeuds_plan!$C$4:$C$200,MATCH(C71,Noeuds_plan!$A$4:$A$200,0)),""))</f>
        <v/>
      </c>
      <c r="AB71" s="14" t="str">
        <f aca="false">IF(B71="","",IFERROR(INDEX(Noeuds_plan!$C$4:$C$200,MATCH(B71,Noeuds_plan!$A$4:$A$200,0)),""))</f>
        <v/>
      </c>
      <c r="AC71" s="14" t="str">
        <f aca="false">IF(OR(AA71="",Y71=""),"",AA71-Y71)</f>
        <v/>
      </c>
      <c r="AD71" s="14" t="str">
        <f aca="false">IF(OR(AB71="",Z71=""),"",AB71-Z71)</f>
        <v/>
      </c>
      <c r="AE71" s="19" t="str">
        <f aca="false">IF(A71="","",IF(OR(V71&gt;1,AND(AY71&lt;&gt;"",AY71&lt;Inputs!$B$11),AND(AY71&lt;&gt;"",AY71&gt;Inputs!$B$12),AC71&lt;Inputs!$B$19,AD71&lt;Inputs!$B$19,P71&lt;Inputs!$B$7,P71&gt;Inputs!$B$8),"CHECK","OK"))</f>
        <v/>
      </c>
      <c r="AF71" s="9"/>
      <c r="AG71" s="9" t="str">
        <f aca="false">IF(A71="","",(1/Inputs!$B$9)*(PI()*(Inputs!$F$5/1000)^2/4)*((Inputs!$F$5/1000/4)^(2/3))*SQRT(P71))</f>
        <v/>
      </c>
      <c r="AH71" s="9" t="str">
        <f aca="false">IF(A71="","",(1/Inputs!$B$9)*(PI()*(Inputs!$F$6/1000)^2/4)*((Inputs!$F$6/1000/4)^(2/3))*SQRT(P71))</f>
        <v/>
      </c>
      <c r="AI71" s="9" t="str">
        <f aca="false">IF(A71="","",(1/Inputs!$B$9)*(PI()*(Inputs!$F$7/1000)^2/4)*((Inputs!$F$7/1000/4)^(2/3))*SQRT(P71))</f>
        <v/>
      </c>
      <c r="AJ71" s="9" t="str">
        <f aca="false">IF(A71="","",(1/Inputs!$B$9)*(PI()*(Inputs!$F$8/1000)^2/4)*((Inputs!$F$8/1000/4)^(2/3))*SQRT(P71))</f>
        <v/>
      </c>
      <c r="AK71" s="9" t="str">
        <f aca="false">IF(A71="","",(1/Inputs!$B$9)*(PI()*(Inputs!$F$9/1000)^2/4)*((Inputs!$F$9/1000/4)^(2/3))*SQRT(P71))</f>
        <v/>
      </c>
      <c r="AL71" s="9" t="str">
        <f aca="false">IF(A71="","",(1/Inputs!$B$9)*(PI()*(Inputs!$F$10/1000)^2/4)*((Inputs!$F$10/1000/4)^(2/3))*SQRT(P71))</f>
        <v/>
      </c>
      <c r="AM71" s="9" t="str">
        <f aca="false">IF(A71="","",(1/Inputs!$B$9)*(PI()*(Inputs!$F$11/1000)^2/4)*((Inputs!$F$11/1000/4)^(2/3))*SQRT(P71))</f>
        <v/>
      </c>
      <c r="AN71" s="9" t="str">
        <f aca="false">IF(A71="","",(1/Inputs!$B$9)*(PI()*(Inputs!$F$12/1000)^2/4)*((Inputs!$F$12/1000/4)^(2/3))*SQRT(P71))</f>
        <v/>
      </c>
      <c r="AO71" s="9" t="str">
        <f aca="false">IF(A71="","",(1/Inputs!$B$9)*(PI()*(Inputs!$F$13/1000)^2/4)*((Inputs!$F$13/1000/4)^(2/3))*SQRT(P71))</f>
        <v/>
      </c>
      <c r="AP71" s="9" t="str">
        <f aca="false">IF(A71="","",(1/Inputs!$B$9)*(PI()*(Inputs!$F$14/1000)^2/4)*((Inputs!$F$14/1000/4)^(2/3))*SQRT(P71))</f>
        <v/>
      </c>
      <c r="AQ71" s="9" t="str">
        <f aca="false">IF(A71="","",COUNTIF($D$4:$D$203,$A71))</f>
        <v/>
      </c>
      <c r="AR71" s="9" t="str">
        <f aca="false">IF(A71="","",IF(AQ71=0,"START","CONTINUOUS"))</f>
        <v/>
      </c>
      <c r="AS71" s="13" t="str">
        <f aca="false">IF(A71="","",IF(J71="",Inputs!$B$18,J71))</f>
        <v/>
      </c>
      <c r="AT71" s="13" t="str">
        <f aca="false">IF(A71="","",IFERROR(maxifs($AV$4:$AV$203,$D$4:$D$203,$A71),""))</f>
        <v/>
      </c>
      <c r="AU71" s="13" t="str">
        <f aca="false">IF(A71="","",IF(OR(E71="",Inputs!$B$23=""),"",E71/(Inputs!$B$23*60)))</f>
        <v/>
      </c>
      <c r="AV71" s="13" t="str">
        <f aca="false">IF(A71="","",IF(AQ71=0,AS71+AU71,IF(AT71="",AS71+AU71,AT71+AU71)))</f>
        <v/>
      </c>
      <c r="AW71" s="13" t="str">
        <f aca="false">IF(A71="","",W71)</f>
        <v/>
      </c>
      <c r="AX71" s="13" t="str">
        <f aca="false">IF(OR(T71="",P71=""),"",(1/Inputs!$B$9)*((T71/4)^(2/3))*SQRT(P71))</f>
        <v/>
      </c>
      <c r="AY71" s="13" t="str">
        <f aca="false">IF(A71="","",IF(AND(AW71="",AX71="",BA71=""),"",IF(OR(UPPER(TRIM(Inputs!$B$24))="MANNING",UPPER(TRIM(Inputs!$B$24))="M"),AX71,IF(OR(UPPER(TRIM(Inputs!$B$24))="PARTIAL",UPPER(TRIM(Inputs!$B$24))="P"),BA71,IF(OR(UPPER(TRIM(Inputs!$B$24))="MAX",UPPER(TRIM(Inputs!$B$24))="X"),MAX(IF(AW71="",0,AW71),IF(AX71="",0,AX71),IF(BA71="",0,BA71)),AW71)))))</f>
        <v/>
      </c>
      <c r="AZ71" s="13" t="str">
        <f aca="false">IF(BB71="","",CH71)</f>
        <v/>
      </c>
      <c r="BA71" s="13" t="str">
        <f aca="false">IF(OR(BB71="",AZ71="",T71="",T71&lt;=0,AZ71&lt;=0),"",BB71/((T71^2/8)*(2*ACOS(1-2*AZ71/T71)-SIN(2*ACOS(1-2*AZ71/T71)))))</f>
        <v/>
      </c>
      <c r="BB71" s="9" t="str">
        <f aca="false">IF(OR(N71="",BC71=""),"",MIN(N71,BC71))</f>
        <v/>
      </c>
      <c r="BC71" s="9" t="str">
        <f aca="false">IF(OR(N71="",T71="",P71=""),"",IF(OR(T71="",P71="",(0.94*T71)="",T71&lt;=0,(0.94*T71)&lt;=0),"",(1/Inputs!$B$9)*((T71^2/8)*((2*ACOS(1-2*(0.94*T71)/T71))-SIN((2*ACOS(1-2*(0.94*T71)/T71)))))*((((T71^2/8)*((2*ACOS(1-2*(0.94*T71)/T71))-SIN((2*ACOS(1-2*(0.94*T71)/T71)))))/((T71/2)*((2*ACOS(1-2*(0.94*T71)/T71)))))^(2/3))*SQRT(P71)))</f>
        <v/>
      </c>
      <c r="BD71" s="9" t="str">
        <f aca="false">IF(BB71="","",0.001*T71)</f>
        <v/>
      </c>
      <c r="BE71" s="9" t="str">
        <f aca="false">IF(BB71="","",0.94*T71)</f>
        <v/>
      </c>
      <c r="BF71" s="9" t="str">
        <f aca="false">IF(BB71="","",(BD71+BE71)/2)</f>
        <v/>
      </c>
      <c r="BG71" s="9" t="str">
        <f aca="false">IF(OR(T71="",P71="",BF71="",T71&lt;=0,BF71&lt;=0),"",(1/Inputs!$B$9)*((T71^2/8)*((2*ACOS(1-2*BF71/T71))-SIN((2*ACOS(1-2*BF71/T71)))))*((((T71^2/8)*((2*ACOS(1-2*BF71/T71))-SIN((2*ACOS(1-2*BF71/T71)))))/((T71/2)*((2*ACOS(1-2*BF71/T71)))))^(2/3))*SQRT(P71))</f>
        <v/>
      </c>
      <c r="BH71" s="9" t="str">
        <f aca="false">IF(BB71="","",IF(BG71&lt;BB71,BF71,BD71))</f>
        <v/>
      </c>
      <c r="BI71" s="9" t="str">
        <f aca="false">IF(BB71="","",IF(BG71&lt;BB71,BE71,BF71))</f>
        <v/>
      </c>
      <c r="BJ71" s="9" t="str">
        <f aca="false">IF(BB71="","",(BH71+BI71)/2)</f>
        <v/>
      </c>
      <c r="BK71" s="9" t="str">
        <f aca="false">IF(OR(T71="",P71="",BJ71="",T71&lt;=0,BJ71&lt;=0),"",(1/Inputs!$B$9)*((T71^2/8)*((2*ACOS(1-2*BJ71/T71))-SIN((2*ACOS(1-2*BJ71/T71)))))*((((T71^2/8)*((2*ACOS(1-2*BJ71/T71))-SIN((2*ACOS(1-2*BJ71/T71)))))/((T71/2)*((2*ACOS(1-2*BJ71/T71)))))^(2/3))*SQRT(P71))</f>
        <v/>
      </c>
      <c r="BL71" s="9" t="str">
        <f aca="false">IF(BB71="","",IF(BK71&lt;BB71,BJ71,BH71))</f>
        <v/>
      </c>
      <c r="BM71" s="9" t="str">
        <f aca="false">IF(BB71="","",IF(BK71&lt;BB71,BI71,BJ71))</f>
        <v/>
      </c>
      <c r="BN71" s="9" t="str">
        <f aca="false">IF(BB71="","",(BL71+BM71)/2)</f>
        <v/>
      </c>
      <c r="BO71" s="9" t="str">
        <f aca="false">IF(OR(T71="",P71="",BN71="",T71&lt;=0,BN71&lt;=0),"",(1/Inputs!$B$9)*((T71^2/8)*((2*ACOS(1-2*BN71/T71))-SIN((2*ACOS(1-2*BN71/T71)))))*((((T71^2/8)*((2*ACOS(1-2*BN71/T71))-SIN((2*ACOS(1-2*BN71/T71)))))/((T71/2)*((2*ACOS(1-2*BN71/T71)))))^(2/3))*SQRT(P71))</f>
        <v/>
      </c>
      <c r="BP71" s="9" t="str">
        <f aca="false">IF(BB71="","",IF(BO71&lt;BB71,BN71,BL71))</f>
        <v/>
      </c>
      <c r="BQ71" s="9" t="str">
        <f aca="false">IF(BB71="","",IF(BO71&lt;BB71,BM71,BN71))</f>
        <v/>
      </c>
      <c r="BR71" s="9" t="str">
        <f aca="false">IF(BB71="","",(BP71+BQ71)/2)</f>
        <v/>
      </c>
      <c r="BS71" s="9" t="str">
        <f aca="false">IF(OR(T71="",P71="",BR71="",T71&lt;=0,BR71&lt;=0),"",(1/Inputs!$B$9)*((T71^2/8)*((2*ACOS(1-2*BR71/T71))-SIN((2*ACOS(1-2*BR71/T71)))))*((((T71^2/8)*((2*ACOS(1-2*BR71/T71))-SIN((2*ACOS(1-2*BR71/T71)))))/((T71/2)*((2*ACOS(1-2*BR71/T71)))))^(2/3))*SQRT(P71))</f>
        <v/>
      </c>
      <c r="BT71" s="9" t="str">
        <f aca="false">IF(BB71="","",IF(BS71&lt;BB71,BR71,BP71))</f>
        <v/>
      </c>
      <c r="BU71" s="9" t="str">
        <f aca="false">IF(BB71="","",IF(BS71&lt;BB71,BQ71,BR71))</f>
        <v/>
      </c>
      <c r="BV71" s="9" t="str">
        <f aca="false">IF(BB71="","",(BT71+BU71)/2)</f>
        <v/>
      </c>
      <c r="BW71" s="9" t="str">
        <f aca="false">IF(OR(T71="",P71="",BV71="",T71&lt;=0,BV71&lt;=0),"",(1/Inputs!$B$9)*((T71^2/8)*((2*ACOS(1-2*BV71/T71))-SIN((2*ACOS(1-2*BV71/T71)))))*((((T71^2/8)*((2*ACOS(1-2*BV71/T71))-SIN((2*ACOS(1-2*BV71/T71)))))/((T71/2)*((2*ACOS(1-2*BV71/T71)))))^(2/3))*SQRT(P71))</f>
        <v/>
      </c>
      <c r="BX71" s="9" t="str">
        <f aca="false">IF(BB71="","",IF(BW71&lt;BB71,BV71,BT71))</f>
        <v/>
      </c>
      <c r="BY71" s="9" t="str">
        <f aca="false">IF(BB71="","",IF(BW71&lt;BB71,BU71,BV71))</f>
        <v/>
      </c>
      <c r="BZ71" s="9" t="str">
        <f aca="false">IF(BB71="","",(BX71+BY71)/2)</f>
        <v/>
      </c>
      <c r="CA71" s="9" t="str">
        <f aca="false">IF(OR(T71="",P71="",BZ71="",T71&lt;=0,BZ71&lt;=0),"",(1/Inputs!$B$9)*((T71^2/8)*((2*ACOS(1-2*BZ71/T71))-SIN((2*ACOS(1-2*BZ71/T71)))))*((((T71^2/8)*((2*ACOS(1-2*BZ71/T71))-SIN((2*ACOS(1-2*BZ71/T71)))))/((T71/2)*((2*ACOS(1-2*BZ71/T71)))))^(2/3))*SQRT(P71))</f>
        <v/>
      </c>
      <c r="CB71" s="9" t="str">
        <f aca="false">IF(BB71="","",IF(CA71&lt;BB71,BZ71,BX71))</f>
        <v/>
      </c>
      <c r="CC71" s="9" t="str">
        <f aca="false">IF(BB71="","",IF(CA71&lt;BB71,BY71,BZ71))</f>
        <v/>
      </c>
      <c r="CD71" s="9" t="str">
        <f aca="false">IF(BB71="","",(CB71+CC71)/2)</f>
        <v/>
      </c>
      <c r="CE71" s="9" t="str">
        <f aca="false">IF(OR(T71="",P71="",CD71="",T71&lt;=0,CD71&lt;=0),"",(1/Inputs!$B$9)*((T71^2/8)*((2*ACOS(1-2*CD71/T71))-SIN((2*ACOS(1-2*CD71/T71)))))*((((T71^2/8)*((2*ACOS(1-2*CD71/T71))-SIN((2*ACOS(1-2*CD71/T71)))))/((T71/2)*((2*ACOS(1-2*CD71/T71)))))^(2/3))*SQRT(P71))</f>
        <v/>
      </c>
      <c r="CF71" s="9" t="str">
        <f aca="false">IF(BB71="","",IF(CE71&lt;BB71,CD71,CB71))</f>
        <v/>
      </c>
      <c r="CG71" s="9" t="str">
        <f aca="false">IF(BB71="","",IF(CE71&lt;BB71,CC71,CD71))</f>
        <v/>
      </c>
      <c r="CH71" s="9" t="str">
        <f aca="false">IF(BB71="","",(CF71+CG71)/2)</f>
        <v/>
      </c>
    </row>
    <row r="72" customFormat="false" ht="15" hidden="false" customHeight="false" outlineLevel="0" collapsed="false">
      <c r="A72" s="9"/>
      <c r="B72" s="9"/>
      <c r="C72" s="9"/>
      <c r="D72" s="9"/>
      <c r="E72" s="14"/>
      <c r="F72" s="14"/>
      <c r="G72" s="14" t="n">
        <f aca="false">SUMIFS(CB_plan!$C:$C,CB_plan!$B:$B,$A72)</f>
        <v>0</v>
      </c>
      <c r="H72" s="14" t="n">
        <f aca="false">IF(F72="",G72,F72)</f>
        <v>0</v>
      </c>
      <c r="I72" s="9"/>
      <c r="J72" s="14"/>
      <c r="K72" s="14" t="str">
        <f aca="false">IF(A72="","",Inputs!$B$13/((IF(AV72="",Inputs!$B$18,AV72)+Inputs!$B$14)^Inputs!$B$15))</f>
        <v/>
      </c>
      <c r="L72" s="14" t="str">
        <f aca="false">IF(A72="","",0.000000278*IF(I72="",Inputs!$B$17,I72)*H72*K72)</f>
        <v/>
      </c>
      <c r="M72" s="14" t="str">
        <f aca="false">IF(A72="","",SUMIFS($N$4:$N$203,$D$4:$D$203,$A72))</f>
        <v/>
      </c>
      <c r="N72" s="14" t="str">
        <f aca="false">IF(A72="","",(L72+M72)*Inputs!$B$16)</f>
        <v/>
      </c>
      <c r="O72" s="14"/>
      <c r="P72" s="14" t="str">
        <f aca="false">IF(A72="","",IF(O72="",Inputs!$B$7,O72))</f>
        <v/>
      </c>
      <c r="Q72" s="9" t="str">
        <f aca="false">IF(A72="","",IF(N72/Inputs!$B$10&lt;=AG72,Inputs!$F$5,IF(N72/Inputs!$B$10&gt;AP72,"OVERSIZE",INDEX(Inputs!$F$5:$F$14,MATCH(N72/Inputs!$B$10,AG72:AP72,1)+1))))</f>
        <v/>
      </c>
      <c r="R72" s="9"/>
      <c r="S72" s="9" t="str">
        <f aca="false">IF(A72="","",IF(R72="",Q72,R72))</f>
        <v/>
      </c>
      <c r="T72" s="14" t="str">
        <f aca="false">IF(OR(S72="",S72="OVERSIZE"),"",S72/1000)</f>
        <v/>
      </c>
      <c r="U72" s="14" t="str">
        <f aca="false">IF(T72="","",(1/Inputs!$B$9)*(PI()*T72^2/4)*((T72/4)^(2/3))*SQRT(P72))</f>
        <v/>
      </c>
      <c r="V72" s="14" t="str">
        <f aca="false">IF(OR(U72="",N72=""),"",N72/(U72*Inputs!$B$10))</f>
        <v/>
      </c>
      <c r="W72" s="14" t="str">
        <f aca="false">IF(OR(T72="",N72=""),"",4*N72/(PI()*T72^2))</f>
        <v/>
      </c>
      <c r="X72" s="14"/>
      <c r="Y72" s="14" t="str">
        <f aca="false">IF(A72="","",IF(A72=Inputs!$B$6,Inputs!$B$22,IF(D72="","",IFERROR(INDEX($Z$4:$Z$203,MATCH(D72,$A$4:$A$203,0))+IF(X72="",Inputs!$B$20,X72),""))))</f>
        <v/>
      </c>
      <c r="Z72" s="14" t="str">
        <f aca="false">IF(OR(Y72="",P72="",E72=""),"",Y72+P72*E72)</f>
        <v/>
      </c>
      <c r="AA72" s="14" t="str">
        <f aca="false">IF(C72="","",IFERROR(INDEX(Noeuds_plan!$C$4:$C$200,MATCH(C72,Noeuds_plan!$A$4:$A$200,0)),""))</f>
        <v/>
      </c>
      <c r="AB72" s="14" t="str">
        <f aca="false">IF(B72="","",IFERROR(INDEX(Noeuds_plan!$C$4:$C$200,MATCH(B72,Noeuds_plan!$A$4:$A$200,0)),""))</f>
        <v/>
      </c>
      <c r="AC72" s="14" t="str">
        <f aca="false">IF(OR(AA72="",Y72=""),"",AA72-Y72)</f>
        <v/>
      </c>
      <c r="AD72" s="14" t="str">
        <f aca="false">IF(OR(AB72="",Z72=""),"",AB72-Z72)</f>
        <v/>
      </c>
      <c r="AE72" s="19" t="str">
        <f aca="false">IF(A72="","",IF(OR(V72&gt;1,AND(AY72&lt;&gt;"",AY72&lt;Inputs!$B$11),AND(AY72&lt;&gt;"",AY72&gt;Inputs!$B$12),AC72&lt;Inputs!$B$19,AD72&lt;Inputs!$B$19,P72&lt;Inputs!$B$7,P72&gt;Inputs!$B$8),"CHECK","OK"))</f>
        <v/>
      </c>
      <c r="AF72" s="9"/>
      <c r="AG72" s="9" t="str">
        <f aca="false">IF(A72="","",(1/Inputs!$B$9)*(PI()*(Inputs!$F$5/1000)^2/4)*((Inputs!$F$5/1000/4)^(2/3))*SQRT(P72))</f>
        <v/>
      </c>
      <c r="AH72" s="9" t="str">
        <f aca="false">IF(A72="","",(1/Inputs!$B$9)*(PI()*(Inputs!$F$6/1000)^2/4)*((Inputs!$F$6/1000/4)^(2/3))*SQRT(P72))</f>
        <v/>
      </c>
      <c r="AI72" s="9" t="str">
        <f aca="false">IF(A72="","",(1/Inputs!$B$9)*(PI()*(Inputs!$F$7/1000)^2/4)*((Inputs!$F$7/1000/4)^(2/3))*SQRT(P72))</f>
        <v/>
      </c>
      <c r="AJ72" s="9" t="str">
        <f aca="false">IF(A72="","",(1/Inputs!$B$9)*(PI()*(Inputs!$F$8/1000)^2/4)*((Inputs!$F$8/1000/4)^(2/3))*SQRT(P72))</f>
        <v/>
      </c>
      <c r="AK72" s="9" t="str">
        <f aca="false">IF(A72="","",(1/Inputs!$B$9)*(PI()*(Inputs!$F$9/1000)^2/4)*((Inputs!$F$9/1000/4)^(2/3))*SQRT(P72))</f>
        <v/>
      </c>
      <c r="AL72" s="9" t="str">
        <f aca="false">IF(A72="","",(1/Inputs!$B$9)*(PI()*(Inputs!$F$10/1000)^2/4)*((Inputs!$F$10/1000/4)^(2/3))*SQRT(P72))</f>
        <v/>
      </c>
      <c r="AM72" s="9" t="str">
        <f aca="false">IF(A72="","",(1/Inputs!$B$9)*(PI()*(Inputs!$F$11/1000)^2/4)*((Inputs!$F$11/1000/4)^(2/3))*SQRT(P72))</f>
        <v/>
      </c>
      <c r="AN72" s="9" t="str">
        <f aca="false">IF(A72="","",(1/Inputs!$B$9)*(PI()*(Inputs!$F$12/1000)^2/4)*((Inputs!$F$12/1000/4)^(2/3))*SQRT(P72))</f>
        <v/>
      </c>
      <c r="AO72" s="9" t="str">
        <f aca="false">IF(A72="","",(1/Inputs!$B$9)*(PI()*(Inputs!$F$13/1000)^2/4)*((Inputs!$F$13/1000/4)^(2/3))*SQRT(P72))</f>
        <v/>
      </c>
      <c r="AP72" s="9" t="str">
        <f aca="false">IF(A72="","",(1/Inputs!$B$9)*(PI()*(Inputs!$F$14/1000)^2/4)*((Inputs!$F$14/1000/4)^(2/3))*SQRT(P72))</f>
        <v/>
      </c>
      <c r="AQ72" s="9" t="str">
        <f aca="false">IF(A72="","",COUNTIF($D$4:$D$203,$A72))</f>
        <v/>
      </c>
      <c r="AR72" s="9" t="str">
        <f aca="false">IF(A72="","",IF(AQ72=0,"START","CONTINUOUS"))</f>
        <v/>
      </c>
      <c r="AS72" s="13" t="str">
        <f aca="false">IF(A72="","",IF(J72="",Inputs!$B$18,J72))</f>
        <v/>
      </c>
      <c r="AT72" s="13" t="str">
        <f aca="false">IF(A72="","",IFERROR(maxifs($AV$4:$AV$203,$D$4:$D$203,$A72),""))</f>
        <v/>
      </c>
      <c r="AU72" s="13" t="str">
        <f aca="false">IF(A72="","",IF(OR(E72="",Inputs!$B$23=""),"",E72/(Inputs!$B$23*60)))</f>
        <v/>
      </c>
      <c r="AV72" s="13" t="str">
        <f aca="false">IF(A72="","",IF(AQ72=0,AS72+AU72,IF(AT72="",AS72+AU72,AT72+AU72)))</f>
        <v/>
      </c>
      <c r="AW72" s="13" t="str">
        <f aca="false">IF(A72="","",W72)</f>
        <v/>
      </c>
      <c r="AX72" s="13" t="str">
        <f aca="false">IF(OR(T72="",P72=""),"",(1/Inputs!$B$9)*((T72/4)^(2/3))*SQRT(P72))</f>
        <v/>
      </c>
      <c r="AY72" s="13" t="str">
        <f aca="false">IF(A72="","",IF(AND(AW72="",AX72="",BA72=""),"",IF(OR(UPPER(TRIM(Inputs!$B$24))="MANNING",UPPER(TRIM(Inputs!$B$24))="M"),AX72,IF(OR(UPPER(TRIM(Inputs!$B$24))="PARTIAL",UPPER(TRIM(Inputs!$B$24))="P"),BA72,IF(OR(UPPER(TRIM(Inputs!$B$24))="MAX",UPPER(TRIM(Inputs!$B$24))="X"),MAX(IF(AW72="",0,AW72),IF(AX72="",0,AX72),IF(BA72="",0,BA72)),AW72)))))</f>
        <v/>
      </c>
      <c r="AZ72" s="13" t="str">
        <f aca="false">IF(BB72="","",CH72)</f>
        <v/>
      </c>
      <c r="BA72" s="13" t="str">
        <f aca="false">IF(OR(BB72="",AZ72="",T72="",T72&lt;=0,AZ72&lt;=0),"",BB72/((T72^2/8)*(2*ACOS(1-2*AZ72/T72)-SIN(2*ACOS(1-2*AZ72/T72)))))</f>
        <v/>
      </c>
      <c r="BB72" s="9" t="str">
        <f aca="false">IF(OR(N72="",BC72=""),"",MIN(N72,BC72))</f>
        <v/>
      </c>
      <c r="BC72" s="9" t="str">
        <f aca="false">IF(OR(N72="",T72="",P72=""),"",IF(OR(T72="",P72="",(0.94*T72)="",T72&lt;=0,(0.94*T72)&lt;=0),"",(1/Inputs!$B$9)*((T72^2/8)*((2*ACOS(1-2*(0.94*T72)/T72))-SIN((2*ACOS(1-2*(0.94*T72)/T72)))))*((((T72^2/8)*((2*ACOS(1-2*(0.94*T72)/T72))-SIN((2*ACOS(1-2*(0.94*T72)/T72)))))/((T72/2)*((2*ACOS(1-2*(0.94*T72)/T72)))))^(2/3))*SQRT(P72)))</f>
        <v/>
      </c>
      <c r="BD72" s="9" t="str">
        <f aca="false">IF(BB72="","",0.001*T72)</f>
        <v/>
      </c>
      <c r="BE72" s="9" t="str">
        <f aca="false">IF(BB72="","",0.94*T72)</f>
        <v/>
      </c>
      <c r="BF72" s="9" t="str">
        <f aca="false">IF(BB72="","",(BD72+BE72)/2)</f>
        <v/>
      </c>
      <c r="BG72" s="9" t="str">
        <f aca="false">IF(OR(T72="",P72="",BF72="",T72&lt;=0,BF72&lt;=0),"",(1/Inputs!$B$9)*((T72^2/8)*((2*ACOS(1-2*BF72/T72))-SIN((2*ACOS(1-2*BF72/T72)))))*((((T72^2/8)*((2*ACOS(1-2*BF72/T72))-SIN((2*ACOS(1-2*BF72/T72)))))/((T72/2)*((2*ACOS(1-2*BF72/T72)))))^(2/3))*SQRT(P72))</f>
        <v/>
      </c>
      <c r="BH72" s="9" t="str">
        <f aca="false">IF(BB72="","",IF(BG72&lt;BB72,BF72,BD72))</f>
        <v/>
      </c>
      <c r="BI72" s="9" t="str">
        <f aca="false">IF(BB72="","",IF(BG72&lt;BB72,BE72,BF72))</f>
        <v/>
      </c>
      <c r="BJ72" s="9" t="str">
        <f aca="false">IF(BB72="","",(BH72+BI72)/2)</f>
        <v/>
      </c>
      <c r="BK72" s="9" t="str">
        <f aca="false">IF(OR(T72="",P72="",BJ72="",T72&lt;=0,BJ72&lt;=0),"",(1/Inputs!$B$9)*((T72^2/8)*((2*ACOS(1-2*BJ72/T72))-SIN((2*ACOS(1-2*BJ72/T72)))))*((((T72^2/8)*((2*ACOS(1-2*BJ72/T72))-SIN((2*ACOS(1-2*BJ72/T72)))))/((T72/2)*((2*ACOS(1-2*BJ72/T72)))))^(2/3))*SQRT(P72))</f>
        <v/>
      </c>
      <c r="BL72" s="9" t="str">
        <f aca="false">IF(BB72="","",IF(BK72&lt;BB72,BJ72,BH72))</f>
        <v/>
      </c>
      <c r="BM72" s="9" t="str">
        <f aca="false">IF(BB72="","",IF(BK72&lt;BB72,BI72,BJ72))</f>
        <v/>
      </c>
      <c r="BN72" s="9" t="str">
        <f aca="false">IF(BB72="","",(BL72+BM72)/2)</f>
        <v/>
      </c>
      <c r="BO72" s="9" t="str">
        <f aca="false">IF(OR(T72="",P72="",BN72="",T72&lt;=0,BN72&lt;=0),"",(1/Inputs!$B$9)*((T72^2/8)*((2*ACOS(1-2*BN72/T72))-SIN((2*ACOS(1-2*BN72/T72)))))*((((T72^2/8)*((2*ACOS(1-2*BN72/T72))-SIN((2*ACOS(1-2*BN72/T72)))))/((T72/2)*((2*ACOS(1-2*BN72/T72)))))^(2/3))*SQRT(P72))</f>
        <v/>
      </c>
      <c r="BP72" s="9" t="str">
        <f aca="false">IF(BB72="","",IF(BO72&lt;BB72,BN72,BL72))</f>
        <v/>
      </c>
      <c r="BQ72" s="9" t="str">
        <f aca="false">IF(BB72="","",IF(BO72&lt;BB72,BM72,BN72))</f>
        <v/>
      </c>
      <c r="BR72" s="9" t="str">
        <f aca="false">IF(BB72="","",(BP72+BQ72)/2)</f>
        <v/>
      </c>
      <c r="BS72" s="9" t="str">
        <f aca="false">IF(OR(T72="",P72="",BR72="",T72&lt;=0,BR72&lt;=0),"",(1/Inputs!$B$9)*((T72^2/8)*((2*ACOS(1-2*BR72/T72))-SIN((2*ACOS(1-2*BR72/T72)))))*((((T72^2/8)*((2*ACOS(1-2*BR72/T72))-SIN((2*ACOS(1-2*BR72/T72)))))/((T72/2)*((2*ACOS(1-2*BR72/T72)))))^(2/3))*SQRT(P72))</f>
        <v/>
      </c>
      <c r="BT72" s="9" t="str">
        <f aca="false">IF(BB72="","",IF(BS72&lt;BB72,BR72,BP72))</f>
        <v/>
      </c>
      <c r="BU72" s="9" t="str">
        <f aca="false">IF(BB72="","",IF(BS72&lt;BB72,BQ72,BR72))</f>
        <v/>
      </c>
      <c r="BV72" s="9" t="str">
        <f aca="false">IF(BB72="","",(BT72+BU72)/2)</f>
        <v/>
      </c>
      <c r="BW72" s="9" t="str">
        <f aca="false">IF(OR(T72="",P72="",BV72="",T72&lt;=0,BV72&lt;=0),"",(1/Inputs!$B$9)*((T72^2/8)*((2*ACOS(1-2*BV72/T72))-SIN((2*ACOS(1-2*BV72/T72)))))*((((T72^2/8)*((2*ACOS(1-2*BV72/T72))-SIN((2*ACOS(1-2*BV72/T72)))))/((T72/2)*((2*ACOS(1-2*BV72/T72)))))^(2/3))*SQRT(P72))</f>
        <v/>
      </c>
      <c r="BX72" s="9" t="str">
        <f aca="false">IF(BB72="","",IF(BW72&lt;BB72,BV72,BT72))</f>
        <v/>
      </c>
      <c r="BY72" s="9" t="str">
        <f aca="false">IF(BB72="","",IF(BW72&lt;BB72,BU72,BV72))</f>
        <v/>
      </c>
      <c r="BZ72" s="9" t="str">
        <f aca="false">IF(BB72="","",(BX72+BY72)/2)</f>
        <v/>
      </c>
      <c r="CA72" s="9" t="str">
        <f aca="false">IF(OR(T72="",P72="",BZ72="",T72&lt;=0,BZ72&lt;=0),"",(1/Inputs!$B$9)*((T72^2/8)*((2*ACOS(1-2*BZ72/T72))-SIN((2*ACOS(1-2*BZ72/T72)))))*((((T72^2/8)*((2*ACOS(1-2*BZ72/T72))-SIN((2*ACOS(1-2*BZ72/T72)))))/((T72/2)*((2*ACOS(1-2*BZ72/T72)))))^(2/3))*SQRT(P72))</f>
        <v/>
      </c>
      <c r="CB72" s="9" t="str">
        <f aca="false">IF(BB72="","",IF(CA72&lt;BB72,BZ72,BX72))</f>
        <v/>
      </c>
      <c r="CC72" s="9" t="str">
        <f aca="false">IF(BB72="","",IF(CA72&lt;BB72,BY72,BZ72))</f>
        <v/>
      </c>
      <c r="CD72" s="9" t="str">
        <f aca="false">IF(BB72="","",(CB72+CC72)/2)</f>
        <v/>
      </c>
      <c r="CE72" s="9" t="str">
        <f aca="false">IF(OR(T72="",P72="",CD72="",T72&lt;=0,CD72&lt;=0),"",(1/Inputs!$B$9)*((T72^2/8)*((2*ACOS(1-2*CD72/T72))-SIN((2*ACOS(1-2*CD72/T72)))))*((((T72^2/8)*((2*ACOS(1-2*CD72/T72))-SIN((2*ACOS(1-2*CD72/T72)))))/((T72/2)*((2*ACOS(1-2*CD72/T72)))))^(2/3))*SQRT(P72))</f>
        <v/>
      </c>
      <c r="CF72" s="9" t="str">
        <f aca="false">IF(BB72="","",IF(CE72&lt;BB72,CD72,CB72))</f>
        <v/>
      </c>
      <c r="CG72" s="9" t="str">
        <f aca="false">IF(BB72="","",IF(CE72&lt;BB72,CC72,CD72))</f>
        <v/>
      </c>
      <c r="CH72" s="9" t="str">
        <f aca="false">IF(BB72="","",(CF72+CG72)/2)</f>
        <v/>
      </c>
    </row>
    <row r="73" customFormat="false" ht="15" hidden="false" customHeight="false" outlineLevel="0" collapsed="false">
      <c r="A73" s="9"/>
      <c r="B73" s="9"/>
      <c r="C73" s="9"/>
      <c r="D73" s="9"/>
      <c r="E73" s="14"/>
      <c r="F73" s="14"/>
      <c r="G73" s="14" t="n">
        <f aca="false">SUMIFS(CB_plan!$C:$C,CB_plan!$B:$B,$A73)</f>
        <v>0</v>
      </c>
      <c r="H73" s="14" t="n">
        <f aca="false">IF(F73="",G73,F73)</f>
        <v>0</v>
      </c>
      <c r="I73" s="9"/>
      <c r="J73" s="14"/>
      <c r="K73" s="14" t="str">
        <f aca="false">IF(A73="","",Inputs!$B$13/((IF(AV73="",Inputs!$B$18,AV73)+Inputs!$B$14)^Inputs!$B$15))</f>
        <v/>
      </c>
      <c r="L73" s="14" t="str">
        <f aca="false">IF(A73="","",0.000000278*IF(I73="",Inputs!$B$17,I73)*H73*K73)</f>
        <v/>
      </c>
      <c r="M73" s="14" t="str">
        <f aca="false">IF(A73="","",SUMIFS($N$4:$N$203,$D$4:$D$203,$A73))</f>
        <v/>
      </c>
      <c r="N73" s="14" t="str">
        <f aca="false">IF(A73="","",(L73+M73)*Inputs!$B$16)</f>
        <v/>
      </c>
      <c r="O73" s="14"/>
      <c r="P73" s="14" t="str">
        <f aca="false">IF(A73="","",IF(O73="",Inputs!$B$7,O73))</f>
        <v/>
      </c>
      <c r="Q73" s="9" t="str">
        <f aca="false">IF(A73="","",IF(N73/Inputs!$B$10&lt;=AG73,Inputs!$F$5,IF(N73/Inputs!$B$10&gt;AP73,"OVERSIZE",INDEX(Inputs!$F$5:$F$14,MATCH(N73/Inputs!$B$10,AG73:AP73,1)+1))))</f>
        <v/>
      </c>
      <c r="R73" s="9"/>
      <c r="S73" s="9" t="str">
        <f aca="false">IF(A73="","",IF(R73="",Q73,R73))</f>
        <v/>
      </c>
      <c r="T73" s="14" t="str">
        <f aca="false">IF(OR(S73="",S73="OVERSIZE"),"",S73/1000)</f>
        <v/>
      </c>
      <c r="U73" s="14" t="str">
        <f aca="false">IF(T73="","",(1/Inputs!$B$9)*(PI()*T73^2/4)*((T73/4)^(2/3))*SQRT(P73))</f>
        <v/>
      </c>
      <c r="V73" s="14" t="str">
        <f aca="false">IF(OR(U73="",N73=""),"",N73/(U73*Inputs!$B$10))</f>
        <v/>
      </c>
      <c r="W73" s="14" t="str">
        <f aca="false">IF(OR(T73="",N73=""),"",4*N73/(PI()*T73^2))</f>
        <v/>
      </c>
      <c r="X73" s="14"/>
      <c r="Y73" s="14" t="str">
        <f aca="false">IF(A73="","",IF(A73=Inputs!$B$6,Inputs!$B$22,IF(D73="","",IFERROR(INDEX($Z$4:$Z$203,MATCH(D73,$A$4:$A$203,0))+IF(X73="",Inputs!$B$20,X73),""))))</f>
        <v/>
      </c>
      <c r="Z73" s="14" t="str">
        <f aca="false">IF(OR(Y73="",P73="",E73=""),"",Y73+P73*E73)</f>
        <v/>
      </c>
      <c r="AA73" s="14" t="str">
        <f aca="false">IF(C73="","",IFERROR(INDEX(Noeuds_plan!$C$4:$C$200,MATCH(C73,Noeuds_plan!$A$4:$A$200,0)),""))</f>
        <v/>
      </c>
      <c r="AB73" s="14" t="str">
        <f aca="false">IF(B73="","",IFERROR(INDEX(Noeuds_plan!$C$4:$C$200,MATCH(B73,Noeuds_plan!$A$4:$A$200,0)),""))</f>
        <v/>
      </c>
      <c r="AC73" s="14" t="str">
        <f aca="false">IF(OR(AA73="",Y73=""),"",AA73-Y73)</f>
        <v/>
      </c>
      <c r="AD73" s="14" t="str">
        <f aca="false">IF(OR(AB73="",Z73=""),"",AB73-Z73)</f>
        <v/>
      </c>
      <c r="AE73" s="19" t="str">
        <f aca="false">IF(A73="","",IF(OR(V73&gt;1,AND(AY73&lt;&gt;"",AY73&lt;Inputs!$B$11),AND(AY73&lt;&gt;"",AY73&gt;Inputs!$B$12),AC73&lt;Inputs!$B$19,AD73&lt;Inputs!$B$19,P73&lt;Inputs!$B$7,P73&gt;Inputs!$B$8),"CHECK","OK"))</f>
        <v/>
      </c>
      <c r="AF73" s="9"/>
      <c r="AG73" s="9" t="str">
        <f aca="false">IF(A73="","",(1/Inputs!$B$9)*(PI()*(Inputs!$F$5/1000)^2/4)*((Inputs!$F$5/1000/4)^(2/3))*SQRT(P73))</f>
        <v/>
      </c>
      <c r="AH73" s="9" t="str">
        <f aca="false">IF(A73="","",(1/Inputs!$B$9)*(PI()*(Inputs!$F$6/1000)^2/4)*((Inputs!$F$6/1000/4)^(2/3))*SQRT(P73))</f>
        <v/>
      </c>
      <c r="AI73" s="9" t="str">
        <f aca="false">IF(A73="","",(1/Inputs!$B$9)*(PI()*(Inputs!$F$7/1000)^2/4)*((Inputs!$F$7/1000/4)^(2/3))*SQRT(P73))</f>
        <v/>
      </c>
      <c r="AJ73" s="9" t="str">
        <f aca="false">IF(A73="","",(1/Inputs!$B$9)*(PI()*(Inputs!$F$8/1000)^2/4)*((Inputs!$F$8/1000/4)^(2/3))*SQRT(P73))</f>
        <v/>
      </c>
      <c r="AK73" s="9" t="str">
        <f aca="false">IF(A73="","",(1/Inputs!$B$9)*(PI()*(Inputs!$F$9/1000)^2/4)*((Inputs!$F$9/1000/4)^(2/3))*SQRT(P73))</f>
        <v/>
      </c>
      <c r="AL73" s="9" t="str">
        <f aca="false">IF(A73="","",(1/Inputs!$B$9)*(PI()*(Inputs!$F$10/1000)^2/4)*((Inputs!$F$10/1000/4)^(2/3))*SQRT(P73))</f>
        <v/>
      </c>
      <c r="AM73" s="9" t="str">
        <f aca="false">IF(A73="","",(1/Inputs!$B$9)*(PI()*(Inputs!$F$11/1000)^2/4)*((Inputs!$F$11/1000/4)^(2/3))*SQRT(P73))</f>
        <v/>
      </c>
      <c r="AN73" s="9" t="str">
        <f aca="false">IF(A73="","",(1/Inputs!$B$9)*(PI()*(Inputs!$F$12/1000)^2/4)*((Inputs!$F$12/1000/4)^(2/3))*SQRT(P73))</f>
        <v/>
      </c>
      <c r="AO73" s="9" t="str">
        <f aca="false">IF(A73="","",(1/Inputs!$B$9)*(PI()*(Inputs!$F$13/1000)^2/4)*((Inputs!$F$13/1000/4)^(2/3))*SQRT(P73))</f>
        <v/>
      </c>
      <c r="AP73" s="9" t="str">
        <f aca="false">IF(A73="","",(1/Inputs!$B$9)*(PI()*(Inputs!$F$14/1000)^2/4)*((Inputs!$F$14/1000/4)^(2/3))*SQRT(P73))</f>
        <v/>
      </c>
      <c r="AQ73" s="9" t="str">
        <f aca="false">IF(A73="","",COUNTIF($D$4:$D$203,$A73))</f>
        <v/>
      </c>
      <c r="AR73" s="9" t="str">
        <f aca="false">IF(A73="","",IF(AQ73=0,"START","CONTINUOUS"))</f>
        <v/>
      </c>
      <c r="AS73" s="13" t="str">
        <f aca="false">IF(A73="","",IF(J73="",Inputs!$B$18,J73))</f>
        <v/>
      </c>
      <c r="AT73" s="13" t="str">
        <f aca="false">IF(A73="","",IFERROR(maxifs($AV$4:$AV$203,$D$4:$D$203,$A73),""))</f>
        <v/>
      </c>
      <c r="AU73" s="13" t="str">
        <f aca="false">IF(A73="","",IF(OR(E73="",Inputs!$B$23=""),"",E73/(Inputs!$B$23*60)))</f>
        <v/>
      </c>
      <c r="AV73" s="13" t="str">
        <f aca="false">IF(A73="","",IF(AQ73=0,AS73+AU73,IF(AT73="",AS73+AU73,AT73+AU73)))</f>
        <v/>
      </c>
      <c r="AW73" s="13" t="str">
        <f aca="false">IF(A73="","",W73)</f>
        <v/>
      </c>
      <c r="AX73" s="13" t="str">
        <f aca="false">IF(OR(T73="",P73=""),"",(1/Inputs!$B$9)*((T73/4)^(2/3))*SQRT(P73))</f>
        <v/>
      </c>
      <c r="AY73" s="13" t="str">
        <f aca="false">IF(A73="","",IF(AND(AW73="",AX73="",BA73=""),"",IF(OR(UPPER(TRIM(Inputs!$B$24))="MANNING",UPPER(TRIM(Inputs!$B$24))="M"),AX73,IF(OR(UPPER(TRIM(Inputs!$B$24))="PARTIAL",UPPER(TRIM(Inputs!$B$24))="P"),BA73,IF(OR(UPPER(TRIM(Inputs!$B$24))="MAX",UPPER(TRIM(Inputs!$B$24))="X"),MAX(IF(AW73="",0,AW73),IF(AX73="",0,AX73),IF(BA73="",0,BA73)),AW73)))))</f>
        <v/>
      </c>
      <c r="AZ73" s="13" t="str">
        <f aca="false">IF(BB73="","",CH73)</f>
        <v/>
      </c>
      <c r="BA73" s="13" t="str">
        <f aca="false">IF(OR(BB73="",AZ73="",T73="",T73&lt;=0,AZ73&lt;=0),"",BB73/((T73^2/8)*(2*ACOS(1-2*AZ73/T73)-SIN(2*ACOS(1-2*AZ73/T73)))))</f>
        <v/>
      </c>
      <c r="BB73" s="9" t="str">
        <f aca="false">IF(OR(N73="",BC73=""),"",MIN(N73,BC73))</f>
        <v/>
      </c>
      <c r="BC73" s="9" t="str">
        <f aca="false">IF(OR(N73="",T73="",P73=""),"",IF(OR(T73="",P73="",(0.94*T73)="",T73&lt;=0,(0.94*T73)&lt;=0),"",(1/Inputs!$B$9)*((T73^2/8)*((2*ACOS(1-2*(0.94*T73)/T73))-SIN((2*ACOS(1-2*(0.94*T73)/T73)))))*((((T73^2/8)*((2*ACOS(1-2*(0.94*T73)/T73))-SIN((2*ACOS(1-2*(0.94*T73)/T73)))))/((T73/2)*((2*ACOS(1-2*(0.94*T73)/T73)))))^(2/3))*SQRT(P73)))</f>
        <v/>
      </c>
      <c r="BD73" s="9" t="str">
        <f aca="false">IF(BB73="","",0.001*T73)</f>
        <v/>
      </c>
      <c r="BE73" s="9" t="str">
        <f aca="false">IF(BB73="","",0.94*T73)</f>
        <v/>
      </c>
      <c r="BF73" s="9" t="str">
        <f aca="false">IF(BB73="","",(BD73+BE73)/2)</f>
        <v/>
      </c>
      <c r="BG73" s="9" t="str">
        <f aca="false">IF(OR(T73="",P73="",BF73="",T73&lt;=0,BF73&lt;=0),"",(1/Inputs!$B$9)*((T73^2/8)*((2*ACOS(1-2*BF73/T73))-SIN((2*ACOS(1-2*BF73/T73)))))*((((T73^2/8)*((2*ACOS(1-2*BF73/T73))-SIN((2*ACOS(1-2*BF73/T73)))))/((T73/2)*((2*ACOS(1-2*BF73/T73)))))^(2/3))*SQRT(P73))</f>
        <v/>
      </c>
      <c r="BH73" s="9" t="str">
        <f aca="false">IF(BB73="","",IF(BG73&lt;BB73,BF73,BD73))</f>
        <v/>
      </c>
      <c r="BI73" s="9" t="str">
        <f aca="false">IF(BB73="","",IF(BG73&lt;BB73,BE73,BF73))</f>
        <v/>
      </c>
      <c r="BJ73" s="9" t="str">
        <f aca="false">IF(BB73="","",(BH73+BI73)/2)</f>
        <v/>
      </c>
      <c r="BK73" s="9" t="str">
        <f aca="false">IF(OR(T73="",P73="",BJ73="",T73&lt;=0,BJ73&lt;=0),"",(1/Inputs!$B$9)*((T73^2/8)*((2*ACOS(1-2*BJ73/T73))-SIN((2*ACOS(1-2*BJ73/T73)))))*((((T73^2/8)*((2*ACOS(1-2*BJ73/T73))-SIN((2*ACOS(1-2*BJ73/T73)))))/((T73/2)*((2*ACOS(1-2*BJ73/T73)))))^(2/3))*SQRT(P73))</f>
        <v/>
      </c>
      <c r="BL73" s="9" t="str">
        <f aca="false">IF(BB73="","",IF(BK73&lt;BB73,BJ73,BH73))</f>
        <v/>
      </c>
      <c r="BM73" s="9" t="str">
        <f aca="false">IF(BB73="","",IF(BK73&lt;BB73,BI73,BJ73))</f>
        <v/>
      </c>
      <c r="BN73" s="9" t="str">
        <f aca="false">IF(BB73="","",(BL73+BM73)/2)</f>
        <v/>
      </c>
      <c r="BO73" s="9" t="str">
        <f aca="false">IF(OR(T73="",P73="",BN73="",T73&lt;=0,BN73&lt;=0),"",(1/Inputs!$B$9)*((T73^2/8)*((2*ACOS(1-2*BN73/T73))-SIN((2*ACOS(1-2*BN73/T73)))))*((((T73^2/8)*((2*ACOS(1-2*BN73/T73))-SIN((2*ACOS(1-2*BN73/T73)))))/((T73/2)*((2*ACOS(1-2*BN73/T73)))))^(2/3))*SQRT(P73))</f>
        <v/>
      </c>
      <c r="BP73" s="9" t="str">
        <f aca="false">IF(BB73="","",IF(BO73&lt;BB73,BN73,BL73))</f>
        <v/>
      </c>
      <c r="BQ73" s="9" t="str">
        <f aca="false">IF(BB73="","",IF(BO73&lt;BB73,BM73,BN73))</f>
        <v/>
      </c>
      <c r="BR73" s="9" t="str">
        <f aca="false">IF(BB73="","",(BP73+BQ73)/2)</f>
        <v/>
      </c>
      <c r="BS73" s="9" t="str">
        <f aca="false">IF(OR(T73="",P73="",BR73="",T73&lt;=0,BR73&lt;=0),"",(1/Inputs!$B$9)*((T73^2/8)*((2*ACOS(1-2*BR73/T73))-SIN((2*ACOS(1-2*BR73/T73)))))*((((T73^2/8)*((2*ACOS(1-2*BR73/T73))-SIN((2*ACOS(1-2*BR73/T73)))))/((T73/2)*((2*ACOS(1-2*BR73/T73)))))^(2/3))*SQRT(P73))</f>
        <v/>
      </c>
      <c r="BT73" s="9" t="str">
        <f aca="false">IF(BB73="","",IF(BS73&lt;BB73,BR73,BP73))</f>
        <v/>
      </c>
      <c r="BU73" s="9" t="str">
        <f aca="false">IF(BB73="","",IF(BS73&lt;BB73,BQ73,BR73))</f>
        <v/>
      </c>
      <c r="BV73" s="9" t="str">
        <f aca="false">IF(BB73="","",(BT73+BU73)/2)</f>
        <v/>
      </c>
      <c r="BW73" s="9" t="str">
        <f aca="false">IF(OR(T73="",P73="",BV73="",T73&lt;=0,BV73&lt;=0),"",(1/Inputs!$B$9)*((T73^2/8)*((2*ACOS(1-2*BV73/T73))-SIN((2*ACOS(1-2*BV73/T73)))))*((((T73^2/8)*((2*ACOS(1-2*BV73/T73))-SIN((2*ACOS(1-2*BV73/T73)))))/((T73/2)*((2*ACOS(1-2*BV73/T73)))))^(2/3))*SQRT(P73))</f>
        <v/>
      </c>
      <c r="BX73" s="9" t="str">
        <f aca="false">IF(BB73="","",IF(BW73&lt;BB73,BV73,BT73))</f>
        <v/>
      </c>
      <c r="BY73" s="9" t="str">
        <f aca="false">IF(BB73="","",IF(BW73&lt;BB73,BU73,BV73))</f>
        <v/>
      </c>
      <c r="BZ73" s="9" t="str">
        <f aca="false">IF(BB73="","",(BX73+BY73)/2)</f>
        <v/>
      </c>
      <c r="CA73" s="9" t="str">
        <f aca="false">IF(OR(T73="",P73="",BZ73="",T73&lt;=0,BZ73&lt;=0),"",(1/Inputs!$B$9)*((T73^2/8)*((2*ACOS(1-2*BZ73/T73))-SIN((2*ACOS(1-2*BZ73/T73)))))*((((T73^2/8)*((2*ACOS(1-2*BZ73/T73))-SIN((2*ACOS(1-2*BZ73/T73)))))/((T73/2)*((2*ACOS(1-2*BZ73/T73)))))^(2/3))*SQRT(P73))</f>
        <v/>
      </c>
      <c r="CB73" s="9" t="str">
        <f aca="false">IF(BB73="","",IF(CA73&lt;BB73,BZ73,BX73))</f>
        <v/>
      </c>
      <c r="CC73" s="9" t="str">
        <f aca="false">IF(BB73="","",IF(CA73&lt;BB73,BY73,BZ73))</f>
        <v/>
      </c>
      <c r="CD73" s="9" t="str">
        <f aca="false">IF(BB73="","",(CB73+CC73)/2)</f>
        <v/>
      </c>
      <c r="CE73" s="9" t="str">
        <f aca="false">IF(OR(T73="",P73="",CD73="",T73&lt;=0,CD73&lt;=0),"",(1/Inputs!$B$9)*((T73^2/8)*((2*ACOS(1-2*CD73/T73))-SIN((2*ACOS(1-2*CD73/T73)))))*((((T73^2/8)*((2*ACOS(1-2*CD73/T73))-SIN((2*ACOS(1-2*CD73/T73)))))/((T73/2)*((2*ACOS(1-2*CD73/T73)))))^(2/3))*SQRT(P73))</f>
        <v/>
      </c>
      <c r="CF73" s="9" t="str">
        <f aca="false">IF(BB73="","",IF(CE73&lt;BB73,CD73,CB73))</f>
        <v/>
      </c>
      <c r="CG73" s="9" t="str">
        <f aca="false">IF(BB73="","",IF(CE73&lt;BB73,CC73,CD73))</f>
        <v/>
      </c>
      <c r="CH73" s="9" t="str">
        <f aca="false">IF(BB73="","",(CF73+CG73)/2)</f>
        <v/>
      </c>
    </row>
    <row r="74" customFormat="false" ht="15" hidden="false" customHeight="false" outlineLevel="0" collapsed="false">
      <c r="A74" s="9"/>
      <c r="B74" s="9"/>
      <c r="C74" s="9"/>
      <c r="D74" s="9"/>
      <c r="E74" s="14"/>
      <c r="F74" s="14"/>
      <c r="G74" s="14" t="n">
        <f aca="false">SUMIFS(CB_plan!$C:$C,CB_plan!$B:$B,$A74)</f>
        <v>0</v>
      </c>
      <c r="H74" s="14" t="n">
        <f aca="false">IF(F74="",G74,F74)</f>
        <v>0</v>
      </c>
      <c r="I74" s="9"/>
      <c r="J74" s="14"/>
      <c r="K74" s="14" t="str">
        <f aca="false">IF(A74="","",Inputs!$B$13/((IF(AV74="",Inputs!$B$18,AV74)+Inputs!$B$14)^Inputs!$B$15))</f>
        <v/>
      </c>
      <c r="L74" s="14" t="str">
        <f aca="false">IF(A74="","",0.000000278*IF(I74="",Inputs!$B$17,I74)*H74*K74)</f>
        <v/>
      </c>
      <c r="M74" s="14" t="str">
        <f aca="false">IF(A74="","",SUMIFS($N$4:$N$203,$D$4:$D$203,$A74))</f>
        <v/>
      </c>
      <c r="N74" s="14" t="str">
        <f aca="false">IF(A74="","",(L74+M74)*Inputs!$B$16)</f>
        <v/>
      </c>
      <c r="O74" s="14"/>
      <c r="P74" s="14" t="str">
        <f aca="false">IF(A74="","",IF(O74="",Inputs!$B$7,O74))</f>
        <v/>
      </c>
      <c r="Q74" s="9" t="str">
        <f aca="false">IF(A74="","",IF(N74/Inputs!$B$10&lt;=AG74,Inputs!$F$5,IF(N74/Inputs!$B$10&gt;AP74,"OVERSIZE",INDEX(Inputs!$F$5:$F$14,MATCH(N74/Inputs!$B$10,AG74:AP74,1)+1))))</f>
        <v/>
      </c>
      <c r="R74" s="9"/>
      <c r="S74" s="9" t="str">
        <f aca="false">IF(A74="","",IF(R74="",Q74,R74))</f>
        <v/>
      </c>
      <c r="T74" s="14" t="str">
        <f aca="false">IF(OR(S74="",S74="OVERSIZE"),"",S74/1000)</f>
        <v/>
      </c>
      <c r="U74" s="14" t="str">
        <f aca="false">IF(T74="","",(1/Inputs!$B$9)*(PI()*T74^2/4)*((T74/4)^(2/3))*SQRT(P74))</f>
        <v/>
      </c>
      <c r="V74" s="14" t="str">
        <f aca="false">IF(OR(U74="",N74=""),"",N74/(U74*Inputs!$B$10))</f>
        <v/>
      </c>
      <c r="W74" s="14" t="str">
        <f aca="false">IF(OR(T74="",N74=""),"",4*N74/(PI()*T74^2))</f>
        <v/>
      </c>
      <c r="X74" s="14"/>
      <c r="Y74" s="14" t="str">
        <f aca="false">IF(A74="","",IF(A74=Inputs!$B$6,Inputs!$B$22,IF(D74="","",IFERROR(INDEX($Z$4:$Z$203,MATCH(D74,$A$4:$A$203,0))+IF(X74="",Inputs!$B$20,X74),""))))</f>
        <v/>
      </c>
      <c r="Z74" s="14" t="str">
        <f aca="false">IF(OR(Y74="",P74="",E74=""),"",Y74+P74*E74)</f>
        <v/>
      </c>
      <c r="AA74" s="14" t="str">
        <f aca="false">IF(C74="","",IFERROR(INDEX(Noeuds_plan!$C$4:$C$200,MATCH(C74,Noeuds_plan!$A$4:$A$200,0)),""))</f>
        <v/>
      </c>
      <c r="AB74" s="14" t="str">
        <f aca="false">IF(B74="","",IFERROR(INDEX(Noeuds_plan!$C$4:$C$200,MATCH(B74,Noeuds_plan!$A$4:$A$200,0)),""))</f>
        <v/>
      </c>
      <c r="AC74" s="14" t="str">
        <f aca="false">IF(OR(AA74="",Y74=""),"",AA74-Y74)</f>
        <v/>
      </c>
      <c r="AD74" s="14" t="str">
        <f aca="false">IF(OR(AB74="",Z74=""),"",AB74-Z74)</f>
        <v/>
      </c>
      <c r="AE74" s="19" t="str">
        <f aca="false">IF(A74="","",IF(OR(V74&gt;1,AND(AY74&lt;&gt;"",AY74&lt;Inputs!$B$11),AND(AY74&lt;&gt;"",AY74&gt;Inputs!$B$12),AC74&lt;Inputs!$B$19,AD74&lt;Inputs!$B$19,P74&lt;Inputs!$B$7,P74&gt;Inputs!$B$8),"CHECK","OK"))</f>
        <v/>
      </c>
      <c r="AF74" s="9"/>
      <c r="AG74" s="9" t="str">
        <f aca="false">IF(A74="","",(1/Inputs!$B$9)*(PI()*(Inputs!$F$5/1000)^2/4)*((Inputs!$F$5/1000/4)^(2/3))*SQRT(P74))</f>
        <v/>
      </c>
      <c r="AH74" s="9" t="str">
        <f aca="false">IF(A74="","",(1/Inputs!$B$9)*(PI()*(Inputs!$F$6/1000)^2/4)*((Inputs!$F$6/1000/4)^(2/3))*SQRT(P74))</f>
        <v/>
      </c>
      <c r="AI74" s="9" t="str">
        <f aca="false">IF(A74="","",(1/Inputs!$B$9)*(PI()*(Inputs!$F$7/1000)^2/4)*((Inputs!$F$7/1000/4)^(2/3))*SQRT(P74))</f>
        <v/>
      </c>
      <c r="AJ74" s="9" t="str">
        <f aca="false">IF(A74="","",(1/Inputs!$B$9)*(PI()*(Inputs!$F$8/1000)^2/4)*((Inputs!$F$8/1000/4)^(2/3))*SQRT(P74))</f>
        <v/>
      </c>
      <c r="AK74" s="9" t="str">
        <f aca="false">IF(A74="","",(1/Inputs!$B$9)*(PI()*(Inputs!$F$9/1000)^2/4)*((Inputs!$F$9/1000/4)^(2/3))*SQRT(P74))</f>
        <v/>
      </c>
      <c r="AL74" s="9" t="str">
        <f aca="false">IF(A74="","",(1/Inputs!$B$9)*(PI()*(Inputs!$F$10/1000)^2/4)*((Inputs!$F$10/1000/4)^(2/3))*SQRT(P74))</f>
        <v/>
      </c>
      <c r="AM74" s="9" t="str">
        <f aca="false">IF(A74="","",(1/Inputs!$B$9)*(PI()*(Inputs!$F$11/1000)^2/4)*((Inputs!$F$11/1000/4)^(2/3))*SQRT(P74))</f>
        <v/>
      </c>
      <c r="AN74" s="9" t="str">
        <f aca="false">IF(A74="","",(1/Inputs!$B$9)*(PI()*(Inputs!$F$12/1000)^2/4)*((Inputs!$F$12/1000/4)^(2/3))*SQRT(P74))</f>
        <v/>
      </c>
      <c r="AO74" s="9" t="str">
        <f aca="false">IF(A74="","",(1/Inputs!$B$9)*(PI()*(Inputs!$F$13/1000)^2/4)*((Inputs!$F$13/1000/4)^(2/3))*SQRT(P74))</f>
        <v/>
      </c>
      <c r="AP74" s="9" t="str">
        <f aca="false">IF(A74="","",(1/Inputs!$B$9)*(PI()*(Inputs!$F$14/1000)^2/4)*((Inputs!$F$14/1000/4)^(2/3))*SQRT(P74))</f>
        <v/>
      </c>
      <c r="AQ74" s="9" t="str">
        <f aca="false">IF(A74="","",COUNTIF($D$4:$D$203,$A74))</f>
        <v/>
      </c>
      <c r="AR74" s="9" t="str">
        <f aca="false">IF(A74="","",IF(AQ74=0,"START","CONTINUOUS"))</f>
        <v/>
      </c>
      <c r="AS74" s="13" t="str">
        <f aca="false">IF(A74="","",IF(J74="",Inputs!$B$18,J74))</f>
        <v/>
      </c>
      <c r="AT74" s="13" t="str">
        <f aca="false">IF(A74="","",IFERROR(maxifs($AV$4:$AV$203,$D$4:$D$203,$A74),""))</f>
        <v/>
      </c>
      <c r="AU74" s="13" t="str">
        <f aca="false">IF(A74="","",IF(OR(E74="",Inputs!$B$23=""),"",E74/(Inputs!$B$23*60)))</f>
        <v/>
      </c>
      <c r="AV74" s="13" t="str">
        <f aca="false">IF(A74="","",IF(AQ74=0,AS74+AU74,IF(AT74="",AS74+AU74,AT74+AU74)))</f>
        <v/>
      </c>
      <c r="AW74" s="13" t="str">
        <f aca="false">IF(A74="","",W74)</f>
        <v/>
      </c>
      <c r="AX74" s="13" t="str">
        <f aca="false">IF(OR(T74="",P74=""),"",(1/Inputs!$B$9)*((T74/4)^(2/3))*SQRT(P74))</f>
        <v/>
      </c>
      <c r="AY74" s="13" t="str">
        <f aca="false">IF(A74="","",IF(AND(AW74="",AX74="",BA74=""),"",IF(OR(UPPER(TRIM(Inputs!$B$24))="MANNING",UPPER(TRIM(Inputs!$B$24))="M"),AX74,IF(OR(UPPER(TRIM(Inputs!$B$24))="PARTIAL",UPPER(TRIM(Inputs!$B$24))="P"),BA74,IF(OR(UPPER(TRIM(Inputs!$B$24))="MAX",UPPER(TRIM(Inputs!$B$24))="X"),MAX(IF(AW74="",0,AW74),IF(AX74="",0,AX74),IF(BA74="",0,BA74)),AW74)))))</f>
        <v/>
      </c>
      <c r="AZ74" s="13" t="str">
        <f aca="false">IF(BB74="","",CH74)</f>
        <v/>
      </c>
      <c r="BA74" s="13" t="str">
        <f aca="false">IF(OR(BB74="",AZ74="",T74="",T74&lt;=0,AZ74&lt;=0),"",BB74/((T74^2/8)*(2*ACOS(1-2*AZ74/T74)-SIN(2*ACOS(1-2*AZ74/T74)))))</f>
        <v/>
      </c>
      <c r="BB74" s="9" t="str">
        <f aca="false">IF(OR(N74="",BC74=""),"",MIN(N74,BC74))</f>
        <v/>
      </c>
      <c r="BC74" s="9" t="str">
        <f aca="false">IF(OR(N74="",T74="",P74=""),"",IF(OR(T74="",P74="",(0.94*T74)="",T74&lt;=0,(0.94*T74)&lt;=0),"",(1/Inputs!$B$9)*((T74^2/8)*((2*ACOS(1-2*(0.94*T74)/T74))-SIN((2*ACOS(1-2*(0.94*T74)/T74)))))*((((T74^2/8)*((2*ACOS(1-2*(0.94*T74)/T74))-SIN((2*ACOS(1-2*(0.94*T74)/T74)))))/((T74/2)*((2*ACOS(1-2*(0.94*T74)/T74)))))^(2/3))*SQRT(P74)))</f>
        <v/>
      </c>
      <c r="BD74" s="9" t="str">
        <f aca="false">IF(BB74="","",0.001*T74)</f>
        <v/>
      </c>
      <c r="BE74" s="9" t="str">
        <f aca="false">IF(BB74="","",0.94*T74)</f>
        <v/>
      </c>
      <c r="BF74" s="9" t="str">
        <f aca="false">IF(BB74="","",(BD74+BE74)/2)</f>
        <v/>
      </c>
      <c r="BG74" s="9" t="str">
        <f aca="false">IF(OR(T74="",P74="",BF74="",T74&lt;=0,BF74&lt;=0),"",(1/Inputs!$B$9)*((T74^2/8)*((2*ACOS(1-2*BF74/T74))-SIN((2*ACOS(1-2*BF74/T74)))))*((((T74^2/8)*((2*ACOS(1-2*BF74/T74))-SIN((2*ACOS(1-2*BF74/T74)))))/((T74/2)*((2*ACOS(1-2*BF74/T74)))))^(2/3))*SQRT(P74))</f>
        <v/>
      </c>
      <c r="BH74" s="9" t="str">
        <f aca="false">IF(BB74="","",IF(BG74&lt;BB74,BF74,BD74))</f>
        <v/>
      </c>
      <c r="BI74" s="9" t="str">
        <f aca="false">IF(BB74="","",IF(BG74&lt;BB74,BE74,BF74))</f>
        <v/>
      </c>
      <c r="BJ74" s="9" t="str">
        <f aca="false">IF(BB74="","",(BH74+BI74)/2)</f>
        <v/>
      </c>
      <c r="BK74" s="9" t="str">
        <f aca="false">IF(OR(T74="",P74="",BJ74="",T74&lt;=0,BJ74&lt;=0),"",(1/Inputs!$B$9)*((T74^2/8)*((2*ACOS(1-2*BJ74/T74))-SIN((2*ACOS(1-2*BJ74/T74)))))*((((T74^2/8)*((2*ACOS(1-2*BJ74/T74))-SIN((2*ACOS(1-2*BJ74/T74)))))/((T74/2)*((2*ACOS(1-2*BJ74/T74)))))^(2/3))*SQRT(P74))</f>
        <v/>
      </c>
      <c r="BL74" s="9" t="str">
        <f aca="false">IF(BB74="","",IF(BK74&lt;BB74,BJ74,BH74))</f>
        <v/>
      </c>
      <c r="BM74" s="9" t="str">
        <f aca="false">IF(BB74="","",IF(BK74&lt;BB74,BI74,BJ74))</f>
        <v/>
      </c>
      <c r="BN74" s="9" t="str">
        <f aca="false">IF(BB74="","",(BL74+BM74)/2)</f>
        <v/>
      </c>
      <c r="BO74" s="9" t="str">
        <f aca="false">IF(OR(T74="",P74="",BN74="",T74&lt;=0,BN74&lt;=0),"",(1/Inputs!$B$9)*((T74^2/8)*((2*ACOS(1-2*BN74/T74))-SIN((2*ACOS(1-2*BN74/T74)))))*((((T74^2/8)*((2*ACOS(1-2*BN74/T74))-SIN((2*ACOS(1-2*BN74/T74)))))/((T74/2)*((2*ACOS(1-2*BN74/T74)))))^(2/3))*SQRT(P74))</f>
        <v/>
      </c>
      <c r="BP74" s="9" t="str">
        <f aca="false">IF(BB74="","",IF(BO74&lt;BB74,BN74,BL74))</f>
        <v/>
      </c>
      <c r="BQ74" s="9" t="str">
        <f aca="false">IF(BB74="","",IF(BO74&lt;BB74,BM74,BN74))</f>
        <v/>
      </c>
      <c r="BR74" s="9" t="str">
        <f aca="false">IF(BB74="","",(BP74+BQ74)/2)</f>
        <v/>
      </c>
      <c r="BS74" s="9" t="str">
        <f aca="false">IF(OR(T74="",P74="",BR74="",T74&lt;=0,BR74&lt;=0),"",(1/Inputs!$B$9)*((T74^2/8)*((2*ACOS(1-2*BR74/T74))-SIN((2*ACOS(1-2*BR74/T74)))))*((((T74^2/8)*((2*ACOS(1-2*BR74/T74))-SIN((2*ACOS(1-2*BR74/T74)))))/((T74/2)*((2*ACOS(1-2*BR74/T74)))))^(2/3))*SQRT(P74))</f>
        <v/>
      </c>
      <c r="BT74" s="9" t="str">
        <f aca="false">IF(BB74="","",IF(BS74&lt;BB74,BR74,BP74))</f>
        <v/>
      </c>
      <c r="BU74" s="9" t="str">
        <f aca="false">IF(BB74="","",IF(BS74&lt;BB74,BQ74,BR74))</f>
        <v/>
      </c>
      <c r="BV74" s="9" t="str">
        <f aca="false">IF(BB74="","",(BT74+BU74)/2)</f>
        <v/>
      </c>
      <c r="BW74" s="9" t="str">
        <f aca="false">IF(OR(T74="",P74="",BV74="",T74&lt;=0,BV74&lt;=0),"",(1/Inputs!$B$9)*((T74^2/8)*((2*ACOS(1-2*BV74/T74))-SIN((2*ACOS(1-2*BV74/T74)))))*((((T74^2/8)*((2*ACOS(1-2*BV74/T74))-SIN((2*ACOS(1-2*BV74/T74)))))/((T74/2)*((2*ACOS(1-2*BV74/T74)))))^(2/3))*SQRT(P74))</f>
        <v/>
      </c>
      <c r="BX74" s="9" t="str">
        <f aca="false">IF(BB74="","",IF(BW74&lt;BB74,BV74,BT74))</f>
        <v/>
      </c>
      <c r="BY74" s="9" t="str">
        <f aca="false">IF(BB74="","",IF(BW74&lt;BB74,BU74,BV74))</f>
        <v/>
      </c>
      <c r="BZ74" s="9" t="str">
        <f aca="false">IF(BB74="","",(BX74+BY74)/2)</f>
        <v/>
      </c>
      <c r="CA74" s="9" t="str">
        <f aca="false">IF(OR(T74="",P74="",BZ74="",T74&lt;=0,BZ74&lt;=0),"",(1/Inputs!$B$9)*((T74^2/8)*((2*ACOS(1-2*BZ74/T74))-SIN((2*ACOS(1-2*BZ74/T74)))))*((((T74^2/8)*((2*ACOS(1-2*BZ74/T74))-SIN((2*ACOS(1-2*BZ74/T74)))))/((T74/2)*((2*ACOS(1-2*BZ74/T74)))))^(2/3))*SQRT(P74))</f>
        <v/>
      </c>
      <c r="CB74" s="9" t="str">
        <f aca="false">IF(BB74="","",IF(CA74&lt;BB74,BZ74,BX74))</f>
        <v/>
      </c>
      <c r="CC74" s="9" t="str">
        <f aca="false">IF(BB74="","",IF(CA74&lt;BB74,BY74,BZ74))</f>
        <v/>
      </c>
      <c r="CD74" s="9" t="str">
        <f aca="false">IF(BB74="","",(CB74+CC74)/2)</f>
        <v/>
      </c>
      <c r="CE74" s="9" t="str">
        <f aca="false">IF(OR(T74="",P74="",CD74="",T74&lt;=0,CD74&lt;=0),"",(1/Inputs!$B$9)*((T74^2/8)*((2*ACOS(1-2*CD74/T74))-SIN((2*ACOS(1-2*CD74/T74)))))*((((T74^2/8)*((2*ACOS(1-2*CD74/T74))-SIN((2*ACOS(1-2*CD74/T74)))))/((T74/2)*((2*ACOS(1-2*CD74/T74)))))^(2/3))*SQRT(P74))</f>
        <v/>
      </c>
      <c r="CF74" s="9" t="str">
        <f aca="false">IF(BB74="","",IF(CE74&lt;BB74,CD74,CB74))</f>
        <v/>
      </c>
      <c r="CG74" s="9" t="str">
        <f aca="false">IF(BB74="","",IF(CE74&lt;BB74,CC74,CD74))</f>
        <v/>
      </c>
      <c r="CH74" s="9" t="str">
        <f aca="false">IF(BB74="","",(CF74+CG74)/2)</f>
        <v/>
      </c>
    </row>
    <row r="75" customFormat="false" ht="15" hidden="false" customHeight="false" outlineLevel="0" collapsed="false">
      <c r="A75" s="9"/>
      <c r="B75" s="9"/>
      <c r="C75" s="9"/>
      <c r="D75" s="9"/>
      <c r="E75" s="14"/>
      <c r="F75" s="14"/>
      <c r="G75" s="14" t="n">
        <f aca="false">SUMIFS(CB_plan!$C:$C,CB_plan!$B:$B,$A75)</f>
        <v>0</v>
      </c>
      <c r="H75" s="14" t="n">
        <f aca="false">IF(F75="",G75,F75)</f>
        <v>0</v>
      </c>
      <c r="I75" s="9"/>
      <c r="J75" s="14"/>
      <c r="K75" s="14" t="str">
        <f aca="false">IF(A75="","",Inputs!$B$13/((IF(AV75="",Inputs!$B$18,AV75)+Inputs!$B$14)^Inputs!$B$15))</f>
        <v/>
      </c>
      <c r="L75" s="14" t="str">
        <f aca="false">IF(A75="","",0.000000278*IF(I75="",Inputs!$B$17,I75)*H75*K75)</f>
        <v/>
      </c>
      <c r="M75" s="14" t="str">
        <f aca="false">IF(A75="","",SUMIFS($N$4:$N$203,$D$4:$D$203,$A75))</f>
        <v/>
      </c>
      <c r="N75" s="14" t="str">
        <f aca="false">IF(A75="","",(L75+M75)*Inputs!$B$16)</f>
        <v/>
      </c>
      <c r="O75" s="14"/>
      <c r="P75" s="14" t="str">
        <f aca="false">IF(A75="","",IF(O75="",Inputs!$B$7,O75))</f>
        <v/>
      </c>
      <c r="Q75" s="9" t="str">
        <f aca="false">IF(A75="","",IF(N75/Inputs!$B$10&lt;=AG75,Inputs!$F$5,IF(N75/Inputs!$B$10&gt;AP75,"OVERSIZE",INDEX(Inputs!$F$5:$F$14,MATCH(N75/Inputs!$B$10,AG75:AP75,1)+1))))</f>
        <v/>
      </c>
      <c r="R75" s="9"/>
      <c r="S75" s="9" t="str">
        <f aca="false">IF(A75="","",IF(R75="",Q75,R75))</f>
        <v/>
      </c>
      <c r="T75" s="14" t="str">
        <f aca="false">IF(OR(S75="",S75="OVERSIZE"),"",S75/1000)</f>
        <v/>
      </c>
      <c r="U75" s="14" t="str">
        <f aca="false">IF(T75="","",(1/Inputs!$B$9)*(PI()*T75^2/4)*((T75/4)^(2/3))*SQRT(P75))</f>
        <v/>
      </c>
      <c r="V75" s="14" t="str">
        <f aca="false">IF(OR(U75="",N75=""),"",N75/(U75*Inputs!$B$10))</f>
        <v/>
      </c>
      <c r="W75" s="14" t="str">
        <f aca="false">IF(OR(T75="",N75=""),"",4*N75/(PI()*T75^2))</f>
        <v/>
      </c>
      <c r="X75" s="14"/>
      <c r="Y75" s="14" t="str">
        <f aca="false">IF(A75="","",IF(A75=Inputs!$B$6,Inputs!$B$22,IF(D75="","",IFERROR(INDEX($Z$4:$Z$203,MATCH(D75,$A$4:$A$203,0))+IF(X75="",Inputs!$B$20,X75),""))))</f>
        <v/>
      </c>
      <c r="Z75" s="14" t="str">
        <f aca="false">IF(OR(Y75="",P75="",E75=""),"",Y75+P75*E75)</f>
        <v/>
      </c>
      <c r="AA75" s="14" t="str">
        <f aca="false">IF(C75="","",IFERROR(INDEX(Noeuds_plan!$C$4:$C$200,MATCH(C75,Noeuds_plan!$A$4:$A$200,0)),""))</f>
        <v/>
      </c>
      <c r="AB75" s="14" t="str">
        <f aca="false">IF(B75="","",IFERROR(INDEX(Noeuds_plan!$C$4:$C$200,MATCH(B75,Noeuds_plan!$A$4:$A$200,0)),""))</f>
        <v/>
      </c>
      <c r="AC75" s="14" t="str">
        <f aca="false">IF(OR(AA75="",Y75=""),"",AA75-Y75)</f>
        <v/>
      </c>
      <c r="AD75" s="14" t="str">
        <f aca="false">IF(OR(AB75="",Z75=""),"",AB75-Z75)</f>
        <v/>
      </c>
      <c r="AE75" s="19" t="str">
        <f aca="false">IF(A75="","",IF(OR(V75&gt;1,AND(AY75&lt;&gt;"",AY75&lt;Inputs!$B$11),AND(AY75&lt;&gt;"",AY75&gt;Inputs!$B$12),AC75&lt;Inputs!$B$19,AD75&lt;Inputs!$B$19,P75&lt;Inputs!$B$7,P75&gt;Inputs!$B$8),"CHECK","OK"))</f>
        <v/>
      </c>
      <c r="AF75" s="9"/>
      <c r="AG75" s="9" t="str">
        <f aca="false">IF(A75="","",(1/Inputs!$B$9)*(PI()*(Inputs!$F$5/1000)^2/4)*((Inputs!$F$5/1000/4)^(2/3))*SQRT(P75))</f>
        <v/>
      </c>
      <c r="AH75" s="9" t="str">
        <f aca="false">IF(A75="","",(1/Inputs!$B$9)*(PI()*(Inputs!$F$6/1000)^2/4)*((Inputs!$F$6/1000/4)^(2/3))*SQRT(P75))</f>
        <v/>
      </c>
      <c r="AI75" s="9" t="str">
        <f aca="false">IF(A75="","",(1/Inputs!$B$9)*(PI()*(Inputs!$F$7/1000)^2/4)*((Inputs!$F$7/1000/4)^(2/3))*SQRT(P75))</f>
        <v/>
      </c>
      <c r="AJ75" s="9" t="str">
        <f aca="false">IF(A75="","",(1/Inputs!$B$9)*(PI()*(Inputs!$F$8/1000)^2/4)*((Inputs!$F$8/1000/4)^(2/3))*SQRT(P75))</f>
        <v/>
      </c>
      <c r="AK75" s="9" t="str">
        <f aca="false">IF(A75="","",(1/Inputs!$B$9)*(PI()*(Inputs!$F$9/1000)^2/4)*((Inputs!$F$9/1000/4)^(2/3))*SQRT(P75))</f>
        <v/>
      </c>
      <c r="AL75" s="9" t="str">
        <f aca="false">IF(A75="","",(1/Inputs!$B$9)*(PI()*(Inputs!$F$10/1000)^2/4)*((Inputs!$F$10/1000/4)^(2/3))*SQRT(P75))</f>
        <v/>
      </c>
      <c r="AM75" s="9" t="str">
        <f aca="false">IF(A75="","",(1/Inputs!$B$9)*(PI()*(Inputs!$F$11/1000)^2/4)*((Inputs!$F$11/1000/4)^(2/3))*SQRT(P75))</f>
        <v/>
      </c>
      <c r="AN75" s="9" t="str">
        <f aca="false">IF(A75="","",(1/Inputs!$B$9)*(PI()*(Inputs!$F$12/1000)^2/4)*((Inputs!$F$12/1000/4)^(2/3))*SQRT(P75))</f>
        <v/>
      </c>
      <c r="AO75" s="9" t="str">
        <f aca="false">IF(A75="","",(1/Inputs!$B$9)*(PI()*(Inputs!$F$13/1000)^2/4)*((Inputs!$F$13/1000/4)^(2/3))*SQRT(P75))</f>
        <v/>
      </c>
      <c r="AP75" s="9" t="str">
        <f aca="false">IF(A75="","",(1/Inputs!$B$9)*(PI()*(Inputs!$F$14/1000)^2/4)*((Inputs!$F$14/1000/4)^(2/3))*SQRT(P75))</f>
        <v/>
      </c>
      <c r="AQ75" s="9" t="str">
        <f aca="false">IF(A75="","",COUNTIF($D$4:$D$203,$A75))</f>
        <v/>
      </c>
      <c r="AR75" s="9" t="str">
        <f aca="false">IF(A75="","",IF(AQ75=0,"START","CONTINUOUS"))</f>
        <v/>
      </c>
      <c r="AS75" s="13" t="str">
        <f aca="false">IF(A75="","",IF(J75="",Inputs!$B$18,J75))</f>
        <v/>
      </c>
      <c r="AT75" s="13" t="str">
        <f aca="false">IF(A75="","",IFERROR(maxifs($AV$4:$AV$203,$D$4:$D$203,$A75),""))</f>
        <v/>
      </c>
      <c r="AU75" s="13" t="str">
        <f aca="false">IF(A75="","",IF(OR(E75="",Inputs!$B$23=""),"",E75/(Inputs!$B$23*60)))</f>
        <v/>
      </c>
      <c r="AV75" s="13" t="str">
        <f aca="false">IF(A75="","",IF(AQ75=0,AS75+AU75,IF(AT75="",AS75+AU75,AT75+AU75)))</f>
        <v/>
      </c>
      <c r="AW75" s="13" t="str">
        <f aca="false">IF(A75="","",W75)</f>
        <v/>
      </c>
      <c r="AX75" s="13" t="str">
        <f aca="false">IF(OR(T75="",P75=""),"",(1/Inputs!$B$9)*((T75/4)^(2/3))*SQRT(P75))</f>
        <v/>
      </c>
      <c r="AY75" s="13" t="str">
        <f aca="false">IF(A75="","",IF(AND(AW75="",AX75="",BA75=""),"",IF(OR(UPPER(TRIM(Inputs!$B$24))="MANNING",UPPER(TRIM(Inputs!$B$24))="M"),AX75,IF(OR(UPPER(TRIM(Inputs!$B$24))="PARTIAL",UPPER(TRIM(Inputs!$B$24))="P"),BA75,IF(OR(UPPER(TRIM(Inputs!$B$24))="MAX",UPPER(TRIM(Inputs!$B$24))="X"),MAX(IF(AW75="",0,AW75),IF(AX75="",0,AX75),IF(BA75="",0,BA75)),AW75)))))</f>
        <v/>
      </c>
      <c r="AZ75" s="13" t="str">
        <f aca="false">IF(BB75="","",CH75)</f>
        <v/>
      </c>
      <c r="BA75" s="13" t="str">
        <f aca="false">IF(OR(BB75="",AZ75="",T75="",T75&lt;=0,AZ75&lt;=0),"",BB75/((T75^2/8)*(2*ACOS(1-2*AZ75/T75)-SIN(2*ACOS(1-2*AZ75/T75)))))</f>
        <v/>
      </c>
      <c r="BB75" s="9" t="str">
        <f aca="false">IF(OR(N75="",BC75=""),"",MIN(N75,BC75))</f>
        <v/>
      </c>
      <c r="BC75" s="9" t="str">
        <f aca="false">IF(OR(N75="",T75="",P75=""),"",IF(OR(T75="",P75="",(0.94*T75)="",T75&lt;=0,(0.94*T75)&lt;=0),"",(1/Inputs!$B$9)*((T75^2/8)*((2*ACOS(1-2*(0.94*T75)/T75))-SIN((2*ACOS(1-2*(0.94*T75)/T75)))))*((((T75^2/8)*((2*ACOS(1-2*(0.94*T75)/T75))-SIN((2*ACOS(1-2*(0.94*T75)/T75)))))/((T75/2)*((2*ACOS(1-2*(0.94*T75)/T75)))))^(2/3))*SQRT(P75)))</f>
        <v/>
      </c>
      <c r="BD75" s="9" t="str">
        <f aca="false">IF(BB75="","",0.001*T75)</f>
        <v/>
      </c>
      <c r="BE75" s="9" t="str">
        <f aca="false">IF(BB75="","",0.94*T75)</f>
        <v/>
      </c>
      <c r="BF75" s="9" t="str">
        <f aca="false">IF(BB75="","",(BD75+BE75)/2)</f>
        <v/>
      </c>
      <c r="BG75" s="9" t="str">
        <f aca="false">IF(OR(T75="",P75="",BF75="",T75&lt;=0,BF75&lt;=0),"",(1/Inputs!$B$9)*((T75^2/8)*((2*ACOS(1-2*BF75/T75))-SIN((2*ACOS(1-2*BF75/T75)))))*((((T75^2/8)*((2*ACOS(1-2*BF75/T75))-SIN((2*ACOS(1-2*BF75/T75)))))/((T75/2)*((2*ACOS(1-2*BF75/T75)))))^(2/3))*SQRT(P75))</f>
        <v/>
      </c>
      <c r="BH75" s="9" t="str">
        <f aca="false">IF(BB75="","",IF(BG75&lt;BB75,BF75,BD75))</f>
        <v/>
      </c>
      <c r="BI75" s="9" t="str">
        <f aca="false">IF(BB75="","",IF(BG75&lt;BB75,BE75,BF75))</f>
        <v/>
      </c>
      <c r="BJ75" s="9" t="str">
        <f aca="false">IF(BB75="","",(BH75+BI75)/2)</f>
        <v/>
      </c>
      <c r="BK75" s="9" t="str">
        <f aca="false">IF(OR(T75="",P75="",BJ75="",T75&lt;=0,BJ75&lt;=0),"",(1/Inputs!$B$9)*((T75^2/8)*((2*ACOS(1-2*BJ75/T75))-SIN((2*ACOS(1-2*BJ75/T75)))))*((((T75^2/8)*((2*ACOS(1-2*BJ75/T75))-SIN((2*ACOS(1-2*BJ75/T75)))))/((T75/2)*((2*ACOS(1-2*BJ75/T75)))))^(2/3))*SQRT(P75))</f>
        <v/>
      </c>
      <c r="BL75" s="9" t="str">
        <f aca="false">IF(BB75="","",IF(BK75&lt;BB75,BJ75,BH75))</f>
        <v/>
      </c>
      <c r="BM75" s="9" t="str">
        <f aca="false">IF(BB75="","",IF(BK75&lt;BB75,BI75,BJ75))</f>
        <v/>
      </c>
      <c r="BN75" s="9" t="str">
        <f aca="false">IF(BB75="","",(BL75+BM75)/2)</f>
        <v/>
      </c>
      <c r="BO75" s="9" t="str">
        <f aca="false">IF(OR(T75="",P75="",BN75="",T75&lt;=0,BN75&lt;=0),"",(1/Inputs!$B$9)*((T75^2/8)*((2*ACOS(1-2*BN75/T75))-SIN((2*ACOS(1-2*BN75/T75)))))*((((T75^2/8)*((2*ACOS(1-2*BN75/T75))-SIN((2*ACOS(1-2*BN75/T75)))))/((T75/2)*((2*ACOS(1-2*BN75/T75)))))^(2/3))*SQRT(P75))</f>
        <v/>
      </c>
      <c r="BP75" s="9" t="str">
        <f aca="false">IF(BB75="","",IF(BO75&lt;BB75,BN75,BL75))</f>
        <v/>
      </c>
      <c r="BQ75" s="9" t="str">
        <f aca="false">IF(BB75="","",IF(BO75&lt;BB75,BM75,BN75))</f>
        <v/>
      </c>
      <c r="BR75" s="9" t="str">
        <f aca="false">IF(BB75="","",(BP75+BQ75)/2)</f>
        <v/>
      </c>
      <c r="BS75" s="9" t="str">
        <f aca="false">IF(OR(T75="",P75="",BR75="",T75&lt;=0,BR75&lt;=0),"",(1/Inputs!$B$9)*((T75^2/8)*((2*ACOS(1-2*BR75/T75))-SIN((2*ACOS(1-2*BR75/T75)))))*((((T75^2/8)*((2*ACOS(1-2*BR75/T75))-SIN((2*ACOS(1-2*BR75/T75)))))/((T75/2)*((2*ACOS(1-2*BR75/T75)))))^(2/3))*SQRT(P75))</f>
        <v/>
      </c>
      <c r="BT75" s="9" t="str">
        <f aca="false">IF(BB75="","",IF(BS75&lt;BB75,BR75,BP75))</f>
        <v/>
      </c>
      <c r="BU75" s="9" t="str">
        <f aca="false">IF(BB75="","",IF(BS75&lt;BB75,BQ75,BR75))</f>
        <v/>
      </c>
      <c r="BV75" s="9" t="str">
        <f aca="false">IF(BB75="","",(BT75+BU75)/2)</f>
        <v/>
      </c>
      <c r="BW75" s="9" t="str">
        <f aca="false">IF(OR(T75="",P75="",BV75="",T75&lt;=0,BV75&lt;=0),"",(1/Inputs!$B$9)*((T75^2/8)*((2*ACOS(1-2*BV75/T75))-SIN((2*ACOS(1-2*BV75/T75)))))*((((T75^2/8)*((2*ACOS(1-2*BV75/T75))-SIN((2*ACOS(1-2*BV75/T75)))))/((T75/2)*((2*ACOS(1-2*BV75/T75)))))^(2/3))*SQRT(P75))</f>
        <v/>
      </c>
      <c r="BX75" s="9" t="str">
        <f aca="false">IF(BB75="","",IF(BW75&lt;BB75,BV75,BT75))</f>
        <v/>
      </c>
      <c r="BY75" s="9" t="str">
        <f aca="false">IF(BB75="","",IF(BW75&lt;BB75,BU75,BV75))</f>
        <v/>
      </c>
      <c r="BZ75" s="9" t="str">
        <f aca="false">IF(BB75="","",(BX75+BY75)/2)</f>
        <v/>
      </c>
      <c r="CA75" s="9" t="str">
        <f aca="false">IF(OR(T75="",P75="",BZ75="",T75&lt;=0,BZ75&lt;=0),"",(1/Inputs!$B$9)*((T75^2/8)*((2*ACOS(1-2*BZ75/T75))-SIN((2*ACOS(1-2*BZ75/T75)))))*((((T75^2/8)*((2*ACOS(1-2*BZ75/T75))-SIN((2*ACOS(1-2*BZ75/T75)))))/((T75/2)*((2*ACOS(1-2*BZ75/T75)))))^(2/3))*SQRT(P75))</f>
        <v/>
      </c>
      <c r="CB75" s="9" t="str">
        <f aca="false">IF(BB75="","",IF(CA75&lt;BB75,BZ75,BX75))</f>
        <v/>
      </c>
      <c r="CC75" s="9" t="str">
        <f aca="false">IF(BB75="","",IF(CA75&lt;BB75,BY75,BZ75))</f>
        <v/>
      </c>
      <c r="CD75" s="9" t="str">
        <f aca="false">IF(BB75="","",(CB75+CC75)/2)</f>
        <v/>
      </c>
      <c r="CE75" s="9" t="str">
        <f aca="false">IF(OR(T75="",P75="",CD75="",T75&lt;=0,CD75&lt;=0),"",(1/Inputs!$B$9)*((T75^2/8)*((2*ACOS(1-2*CD75/T75))-SIN((2*ACOS(1-2*CD75/T75)))))*((((T75^2/8)*((2*ACOS(1-2*CD75/T75))-SIN((2*ACOS(1-2*CD75/T75)))))/((T75/2)*((2*ACOS(1-2*CD75/T75)))))^(2/3))*SQRT(P75))</f>
        <v/>
      </c>
      <c r="CF75" s="9" t="str">
        <f aca="false">IF(BB75="","",IF(CE75&lt;BB75,CD75,CB75))</f>
        <v/>
      </c>
      <c r="CG75" s="9" t="str">
        <f aca="false">IF(BB75="","",IF(CE75&lt;BB75,CC75,CD75))</f>
        <v/>
      </c>
      <c r="CH75" s="9" t="str">
        <f aca="false">IF(BB75="","",(CF75+CG75)/2)</f>
        <v/>
      </c>
    </row>
    <row r="76" customFormat="false" ht="15" hidden="false" customHeight="false" outlineLevel="0" collapsed="false">
      <c r="A76" s="9"/>
      <c r="B76" s="9"/>
      <c r="C76" s="9"/>
      <c r="D76" s="9"/>
      <c r="E76" s="14"/>
      <c r="F76" s="14"/>
      <c r="G76" s="14" t="n">
        <f aca="false">SUMIFS(CB_plan!$C:$C,CB_plan!$B:$B,$A76)</f>
        <v>0</v>
      </c>
      <c r="H76" s="14" t="n">
        <f aca="false">IF(F76="",G76,F76)</f>
        <v>0</v>
      </c>
      <c r="I76" s="9"/>
      <c r="J76" s="14"/>
      <c r="K76" s="14" t="str">
        <f aca="false">IF(A76="","",Inputs!$B$13/((IF(AV76="",Inputs!$B$18,AV76)+Inputs!$B$14)^Inputs!$B$15))</f>
        <v/>
      </c>
      <c r="L76" s="14" t="str">
        <f aca="false">IF(A76="","",0.000000278*IF(I76="",Inputs!$B$17,I76)*H76*K76)</f>
        <v/>
      </c>
      <c r="M76" s="14" t="str">
        <f aca="false">IF(A76="","",SUMIFS($N$4:$N$203,$D$4:$D$203,$A76))</f>
        <v/>
      </c>
      <c r="N76" s="14" t="str">
        <f aca="false">IF(A76="","",(L76+M76)*Inputs!$B$16)</f>
        <v/>
      </c>
      <c r="O76" s="14"/>
      <c r="P76" s="14" t="str">
        <f aca="false">IF(A76="","",IF(O76="",Inputs!$B$7,O76))</f>
        <v/>
      </c>
      <c r="Q76" s="9" t="str">
        <f aca="false">IF(A76="","",IF(N76/Inputs!$B$10&lt;=AG76,Inputs!$F$5,IF(N76/Inputs!$B$10&gt;AP76,"OVERSIZE",INDEX(Inputs!$F$5:$F$14,MATCH(N76/Inputs!$B$10,AG76:AP76,1)+1))))</f>
        <v/>
      </c>
      <c r="R76" s="9"/>
      <c r="S76" s="9" t="str">
        <f aca="false">IF(A76="","",IF(R76="",Q76,R76))</f>
        <v/>
      </c>
      <c r="T76" s="14" t="str">
        <f aca="false">IF(OR(S76="",S76="OVERSIZE"),"",S76/1000)</f>
        <v/>
      </c>
      <c r="U76" s="14" t="str">
        <f aca="false">IF(T76="","",(1/Inputs!$B$9)*(PI()*T76^2/4)*((T76/4)^(2/3))*SQRT(P76))</f>
        <v/>
      </c>
      <c r="V76" s="14" t="str">
        <f aca="false">IF(OR(U76="",N76=""),"",N76/(U76*Inputs!$B$10))</f>
        <v/>
      </c>
      <c r="W76" s="14" t="str">
        <f aca="false">IF(OR(T76="",N76=""),"",4*N76/(PI()*T76^2))</f>
        <v/>
      </c>
      <c r="X76" s="14"/>
      <c r="Y76" s="14" t="str">
        <f aca="false">IF(A76="","",IF(A76=Inputs!$B$6,Inputs!$B$22,IF(D76="","",IFERROR(INDEX($Z$4:$Z$203,MATCH(D76,$A$4:$A$203,0))+IF(X76="",Inputs!$B$20,X76),""))))</f>
        <v/>
      </c>
      <c r="Z76" s="14" t="str">
        <f aca="false">IF(OR(Y76="",P76="",E76=""),"",Y76+P76*E76)</f>
        <v/>
      </c>
      <c r="AA76" s="14" t="str">
        <f aca="false">IF(C76="","",IFERROR(INDEX(Noeuds_plan!$C$4:$C$200,MATCH(C76,Noeuds_plan!$A$4:$A$200,0)),""))</f>
        <v/>
      </c>
      <c r="AB76" s="14" t="str">
        <f aca="false">IF(B76="","",IFERROR(INDEX(Noeuds_plan!$C$4:$C$200,MATCH(B76,Noeuds_plan!$A$4:$A$200,0)),""))</f>
        <v/>
      </c>
      <c r="AC76" s="14" t="str">
        <f aca="false">IF(OR(AA76="",Y76=""),"",AA76-Y76)</f>
        <v/>
      </c>
      <c r="AD76" s="14" t="str">
        <f aca="false">IF(OR(AB76="",Z76=""),"",AB76-Z76)</f>
        <v/>
      </c>
      <c r="AE76" s="19" t="str">
        <f aca="false">IF(A76="","",IF(OR(V76&gt;1,AND(AY76&lt;&gt;"",AY76&lt;Inputs!$B$11),AND(AY76&lt;&gt;"",AY76&gt;Inputs!$B$12),AC76&lt;Inputs!$B$19,AD76&lt;Inputs!$B$19,P76&lt;Inputs!$B$7,P76&gt;Inputs!$B$8),"CHECK","OK"))</f>
        <v/>
      </c>
      <c r="AF76" s="9"/>
      <c r="AG76" s="9" t="str">
        <f aca="false">IF(A76="","",(1/Inputs!$B$9)*(PI()*(Inputs!$F$5/1000)^2/4)*((Inputs!$F$5/1000/4)^(2/3))*SQRT(P76))</f>
        <v/>
      </c>
      <c r="AH76" s="9" t="str">
        <f aca="false">IF(A76="","",(1/Inputs!$B$9)*(PI()*(Inputs!$F$6/1000)^2/4)*((Inputs!$F$6/1000/4)^(2/3))*SQRT(P76))</f>
        <v/>
      </c>
      <c r="AI76" s="9" t="str">
        <f aca="false">IF(A76="","",(1/Inputs!$B$9)*(PI()*(Inputs!$F$7/1000)^2/4)*((Inputs!$F$7/1000/4)^(2/3))*SQRT(P76))</f>
        <v/>
      </c>
      <c r="AJ76" s="9" t="str">
        <f aca="false">IF(A76="","",(1/Inputs!$B$9)*(PI()*(Inputs!$F$8/1000)^2/4)*((Inputs!$F$8/1000/4)^(2/3))*SQRT(P76))</f>
        <v/>
      </c>
      <c r="AK76" s="9" t="str">
        <f aca="false">IF(A76="","",(1/Inputs!$B$9)*(PI()*(Inputs!$F$9/1000)^2/4)*((Inputs!$F$9/1000/4)^(2/3))*SQRT(P76))</f>
        <v/>
      </c>
      <c r="AL76" s="9" t="str">
        <f aca="false">IF(A76="","",(1/Inputs!$B$9)*(PI()*(Inputs!$F$10/1000)^2/4)*((Inputs!$F$10/1000/4)^(2/3))*SQRT(P76))</f>
        <v/>
      </c>
      <c r="AM76" s="9" t="str">
        <f aca="false">IF(A76="","",(1/Inputs!$B$9)*(PI()*(Inputs!$F$11/1000)^2/4)*((Inputs!$F$11/1000/4)^(2/3))*SQRT(P76))</f>
        <v/>
      </c>
      <c r="AN76" s="9" t="str">
        <f aca="false">IF(A76="","",(1/Inputs!$B$9)*(PI()*(Inputs!$F$12/1000)^2/4)*((Inputs!$F$12/1000/4)^(2/3))*SQRT(P76))</f>
        <v/>
      </c>
      <c r="AO76" s="9" t="str">
        <f aca="false">IF(A76="","",(1/Inputs!$B$9)*(PI()*(Inputs!$F$13/1000)^2/4)*((Inputs!$F$13/1000/4)^(2/3))*SQRT(P76))</f>
        <v/>
      </c>
      <c r="AP76" s="9" t="str">
        <f aca="false">IF(A76="","",(1/Inputs!$B$9)*(PI()*(Inputs!$F$14/1000)^2/4)*((Inputs!$F$14/1000/4)^(2/3))*SQRT(P76))</f>
        <v/>
      </c>
      <c r="AQ76" s="9" t="str">
        <f aca="false">IF(A76="","",COUNTIF($D$4:$D$203,$A76))</f>
        <v/>
      </c>
      <c r="AR76" s="9" t="str">
        <f aca="false">IF(A76="","",IF(AQ76=0,"START","CONTINUOUS"))</f>
        <v/>
      </c>
      <c r="AS76" s="13" t="str">
        <f aca="false">IF(A76="","",IF(J76="",Inputs!$B$18,J76))</f>
        <v/>
      </c>
      <c r="AT76" s="13" t="str">
        <f aca="false">IF(A76="","",IFERROR(maxifs($AV$4:$AV$203,$D$4:$D$203,$A76),""))</f>
        <v/>
      </c>
      <c r="AU76" s="13" t="str">
        <f aca="false">IF(A76="","",IF(OR(E76="",Inputs!$B$23=""),"",E76/(Inputs!$B$23*60)))</f>
        <v/>
      </c>
      <c r="AV76" s="13" t="str">
        <f aca="false">IF(A76="","",IF(AQ76=0,AS76+AU76,IF(AT76="",AS76+AU76,AT76+AU76)))</f>
        <v/>
      </c>
      <c r="AW76" s="13" t="str">
        <f aca="false">IF(A76="","",W76)</f>
        <v/>
      </c>
      <c r="AX76" s="13" t="str">
        <f aca="false">IF(OR(T76="",P76=""),"",(1/Inputs!$B$9)*((T76/4)^(2/3))*SQRT(P76))</f>
        <v/>
      </c>
      <c r="AY76" s="13" t="str">
        <f aca="false">IF(A76="","",IF(AND(AW76="",AX76="",BA76=""),"",IF(OR(UPPER(TRIM(Inputs!$B$24))="MANNING",UPPER(TRIM(Inputs!$B$24))="M"),AX76,IF(OR(UPPER(TRIM(Inputs!$B$24))="PARTIAL",UPPER(TRIM(Inputs!$B$24))="P"),BA76,IF(OR(UPPER(TRIM(Inputs!$B$24))="MAX",UPPER(TRIM(Inputs!$B$24))="X"),MAX(IF(AW76="",0,AW76),IF(AX76="",0,AX76),IF(BA76="",0,BA76)),AW76)))))</f>
        <v/>
      </c>
      <c r="AZ76" s="13" t="str">
        <f aca="false">IF(BB76="","",CH76)</f>
        <v/>
      </c>
      <c r="BA76" s="13" t="str">
        <f aca="false">IF(OR(BB76="",AZ76="",T76="",T76&lt;=0,AZ76&lt;=0),"",BB76/((T76^2/8)*(2*ACOS(1-2*AZ76/T76)-SIN(2*ACOS(1-2*AZ76/T76)))))</f>
        <v/>
      </c>
      <c r="BB76" s="9" t="str">
        <f aca="false">IF(OR(N76="",BC76=""),"",MIN(N76,BC76))</f>
        <v/>
      </c>
      <c r="BC76" s="9" t="str">
        <f aca="false">IF(OR(N76="",T76="",P76=""),"",IF(OR(T76="",P76="",(0.94*T76)="",T76&lt;=0,(0.94*T76)&lt;=0),"",(1/Inputs!$B$9)*((T76^2/8)*((2*ACOS(1-2*(0.94*T76)/T76))-SIN((2*ACOS(1-2*(0.94*T76)/T76)))))*((((T76^2/8)*((2*ACOS(1-2*(0.94*T76)/T76))-SIN((2*ACOS(1-2*(0.94*T76)/T76)))))/((T76/2)*((2*ACOS(1-2*(0.94*T76)/T76)))))^(2/3))*SQRT(P76)))</f>
        <v/>
      </c>
      <c r="BD76" s="9" t="str">
        <f aca="false">IF(BB76="","",0.001*T76)</f>
        <v/>
      </c>
      <c r="BE76" s="9" t="str">
        <f aca="false">IF(BB76="","",0.94*T76)</f>
        <v/>
      </c>
      <c r="BF76" s="9" t="str">
        <f aca="false">IF(BB76="","",(BD76+BE76)/2)</f>
        <v/>
      </c>
      <c r="BG76" s="9" t="str">
        <f aca="false">IF(OR(T76="",P76="",BF76="",T76&lt;=0,BF76&lt;=0),"",(1/Inputs!$B$9)*((T76^2/8)*((2*ACOS(1-2*BF76/T76))-SIN((2*ACOS(1-2*BF76/T76)))))*((((T76^2/8)*((2*ACOS(1-2*BF76/T76))-SIN((2*ACOS(1-2*BF76/T76)))))/((T76/2)*((2*ACOS(1-2*BF76/T76)))))^(2/3))*SQRT(P76))</f>
        <v/>
      </c>
      <c r="BH76" s="9" t="str">
        <f aca="false">IF(BB76="","",IF(BG76&lt;BB76,BF76,BD76))</f>
        <v/>
      </c>
      <c r="BI76" s="9" t="str">
        <f aca="false">IF(BB76="","",IF(BG76&lt;BB76,BE76,BF76))</f>
        <v/>
      </c>
      <c r="BJ76" s="9" t="str">
        <f aca="false">IF(BB76="","",(BH76+BI76)/2)</f>
        <v/>
      </c>
      <c r="BK76" s="9" t="str">
        <f aca="false">IF(OR(T76="",P76="",BJ76="",T76&lt;=0,BJ76&lt;=0),"",(1/Inputs!$B$9)*((T76^2/8)*((2*ACOS(1-2*BJ76/T76))-SIN((2*ACOS(1-2*BJ76/T76)))))*((((T76^2/8)*((2*ACOS(1-2*BJ76/T76))-SIN((2*ACOS(1-2*BJ76/T76)))))/((T76/2)*((2*ACOS(1-2*BJ76/T76)))))^(2/3))*SQRT(P76))</f>
        <v/>
      </c>
      <c r="BL76" s="9" t="str">
        <f aca="false">IF(BB76="","",IF(BK76&lt;BB76,BJ76,BH76))</f>
        <v/>
      </c>
      <c r="BM76" s="9" t="str">
        <f aca="false">IF(BB76="","",IF(BK76&lt;BB76,BI76,BJ76))</f>
        <v/>
      </c>
      <c r="BN76" s="9" t="str">
        <f aca="false">IF(BB76="","",(BL76+BM76)/2)</f>
        <v/>
      </c>
      <c r="BO76" s="9" t="str">
        <f aca="false">IF(OR(T76="",P76="",BN76="",T76&lt;=0,BN76&lt;=0),"",(1/Inputs!$B$9)*((T76^2/8)*((2*ACOS(1-2*BN76/T76))-SIN((2*ACOS(1-2*BN76/T76)))))*((((T76^2/8)*((2*ACOS(1-2*BN76/T76))-SIN((2*ACOS(1-2*BN76/T76)))))/((T76/2)*((2*ACOS(1-2*BN76/T76)))))^(2/3))*SQRT(P76))</f>
        <v/>
      </c>
      <c r="BP76" s="9" t="str">
        <f aca="false">IF(BB76="","",IF(BO76&lt;BB76,BN76,BL76))</f>
        <v/>
      </c>
      <c r="BQ76" s="9" t="str">
        <f aca="false">IF(BB76="","",IF(BO76&lt;BB76,BM76,BN76))</f>
        <v/>
      </c>
      <c r="BR76" s="9" t="str">
        <f aca="false">IF(BB76="","",(BP76+BQ76)/2)</f>
        <v/>
      </c>
      <c r="BS76" s="9" t="str">
        <f aca="false">IF(OR(T76="",P76="",BR76="",T76&lt;=0,BR76&lt;=0),"",(1/Inputs!$B$9)*((T76^2/8)*((2*ACOS(1-2*BR76/T76))-SIN((2*ACOS(1-2*BR76/T76)))))*((((T76^2/8)*((2*ACOS(1-2*BR76/T76))-SIN((2*ACOS(1-2*BR76/T76)))))/((T76/2)*((2*ACOS(1-2*BR76/T76)))))^(2/3))*SQRT(P76))</f>
        <v/>
      </c>
      <c r="BT76" s="9" t="str">
        <f aca="false">IF(BB76="","",IF(BS76&lt;BB76,BR76,BP76))</f>
        <v/>
      </c>
      <c r="BU76" s="9" t="str">
        <f aca="false">IF(BB76="","",IF(BS76&lt;BB76,BQ76,BR76))</f>
        <v/>
      </c>
      <c r="BV76" s="9" t="str">
        <f aca="false">IF(BB76="","",(BT76+BU76)/2)</f>
        <v/>
      </c>
      <c r="BW76" s="9" t="str">
        <f aca="false">IF(OR(T76="",P76="",BV76="",T76&lt;=0,BV76&lt;=0),"",(1/Inputs!$B$9)*((T76^2/8)*((2*ACOS(1-2*BV76/T76))-SIN((2*ACOS(1-2*BV76/T76)))))*((((T76^2/8)*((2*ACOS(1-2*BV76/T76))-SIN((2*ACOS(1-2*BV76/T76)))))/((T76/2)*((2*ACOS(1-2*BV76/T76)))))^(2/3))*SQRT(P76))</f>
        <v/>
      </c>
      <c r="BX76" s="9" t="str">
        <f aca="false">IF(BB76="","",IF(BW76&lt;BB76,BV76,BT76))</f>
        <v/>
      </c>
      <c r="BY76" s="9" t="str">
        <f aca="false">IF(BB76="","",IF(BW76&lt;BB76,BU76,BV76))</f>
        <v/>
      </c>
      <c r="BZ76" s="9" t="str">
        <f aca="false">IF(BB76="","",(BX76+BY76)/2)</f>
        <v/>
      </c>
      <c r="CA76" s="9" t="str">
        <f aca="false">IF(OR(T76="",P76="",BZ76="",T76&lt;=0,BZ76&lt;=0),"",(1/Inputs!$B$9)*((T76^2/8)*((2*ACOS(1-2*BZ76/T76))-SIN((2*ACOS(1-2*BZ76/T76)))))*((((T76^2/8)*((2*ACOS(1-2*BZ76/T76))-SIN((2*ACOS(1-2*BZ76/T76)))))/((T76/2)*((2*ACOS(1-2*BZ76/T76)))))^(2/3))*SQRT(P76))</f>
        <v/>
      </c>
      <c r="CB76" s="9" t="str">
        <f aca="false">IF(BB76="","",IF(CA76&lt;BB76,BZ76,BX76))</f>
        <v/>
      </c>
      <c r="CC76" s="9" t="str">
        <f aca="false">IF(BB76="","",IF(CA76&lt;BB76,BY76,BZ76))</f>
        <v/>
      </c>
      <c r="CD76" s="9" t="str">
        <f aca="false">IF(BB76="","",(CB76+CC76)/2)</f>
        <v/>
      </c>
      <c r="CE76" s="9" t="str">
        <f aca="false">IF(OR(T76="",P76="",CD76="",T76&lt;=0,CD76&lt;=0),"",(1/Inputs!$B$9)*((T76^2/8)*((2*ACOS(1-2*CD76/T76))-SIN((2*ACOS(1-2*CD76/T76)))))*((((T76^2/8)*((2*ACOS(1-2*CD76/T76))-SIN((2*ACOS(1-2*CD76/T76)))))/((T76/2)*((2*ACOS(1-2*CD76/T76)))))^(2/3))*SQRT(P76))</f>
        <v/>
      </c>
      <c r="CF76" s="9" t="str">
        <f aca="false">IF(BB76="","",IF(CE76&lt;BB76,CD76,CB76))</f>
        <v/>
      </c>
      <c r="CG76" s="9" t="str">
        <f aca="false">IF(BB76="","",IF(CE76&lt;BB76,CC76,CD76))</f>
        <v/>
      </c>
      <c r="CH76" s="9" t="str">
        <f aca="false">IF(BB76="","",(CF76+CG76)/2)</f>
        <v/>
      </c>
    </row>
    <row r="77" customFormat="false" ht="15" hidden="false" customHeight="false" outlineLevel="0" collapsed="false">
      <c r="A77" s="9"/>
      <c r="B77" s="9"/>
      <c r="C77" s="9"/>
      <c r="D77" s="9"/>
      <c r="E77" s="14"/>
      <c r="F77" s="14"/>
      <c r="G77" s="14" t="n">
        <f aca="false">SUMIFS(CB_plan!$C:$C,CB_plan!$B:$B,$A77)</f>
        <v>0</v>
      </c>
      <c r="H77" s="14" t="n">
        <f aca="false">IF(F77="",G77,F77)</f>
        <v>0</v>
      </c>
      <c r="I77" s="9"/>
      <c r="J77" s="14"/>
      <c r="K77" s="14" t="str">
        <f aca="false">IF(A77="","",Inputs!$B$13/((IF(AV77="",Inputs!$B$18,AV77)+Inputs!$B$14)^Inputs!$B$15))</f>
        <v/>
      </c>
      <c r="L77" s="14" t="str">
        <f aca="false">IF(A77="","",0.000000278*IF(I77="",Inputs!$B$17,I77)*H77*K77)</f>
        <v/>
      </c>
      <c r="M77" s="14" t="str">
        <f aca="false">IF(A77="","",SUMIFS($N$4:$N$203,$D$4:$D$203,$A77))</f>
        <v/>
      </c>
      <c r="N77" s="14" t="str">
        <f aca="false">IF(A77="","",(L77+M77)*Inputs!$B$16)</f>
        <v/>
      </c>
      <c r="O77" s="14"/>
      <c r="P77" s="14" t="str">
        <f aca="false">IF(A77="","",IF(O77="",Inputs!$B$7,O77))</f>
        <v/>
      </c>
      <c r="Q77" s="9" t="str">
        <f aca="false">IF(A77="","",IF(N77/Inputs!$B$10&lt;=AG77,Inputs!$F$5,IF(N77/Inputs!$B$10&gt;AP77,"OVERSIZE",INDEX(Inputs!$F$5:$F$14,MATCH(N77/Inputs!$B$10,AG77:AP77,1)+1))))</f>
        <v/>
      </c>
      <c r="R77" s="9"/>
      <c r="S77" s="9" t="str">
        <f aca="false">IF(A77="","",IF(R77="",Q77,R77))</f>
        <v/>
      </c>
      <c r="T77" s="14" t="str">
        <f aca="false">IF(OR(S77="",S77="OVERSIZE"),"",S77/1000)</f>
        <v/>
      </c>
      <c r="U77" s="14" t="str">
        <f aca="false">IF(T77="","",(1/Inputs!$B$9)*(PI()*T77^2/4)*((T77/4)^(2/3))*SQRT(P77))</f>
        <v/>
      </c>
      <c r="V77" s="14" t="str">
        <f aca="false">IF(OR(U77="",N77=""),"",N77/(U77*Inputs!$B$10))</f>
        <v/>
      </c>
      <c r="W77" s="14" t="str">
        <f aca="false">IF(OR(T77="",N77=""),"",4*N77/(PI()*T77^2))</f>
        <v/>
      </c>
      <c r="X77" s="14"/>
      <c r="Y77" s="14" t="str">
        <f aca="false">IF(A77="","",IF(A77=Inputs!$B$6,Inputs!$B$22,IF(D77="","",IFERROR(INDEX($Z$4:$Z$203,MATCH(D77,$A$4:$A$203,0))+IF(X77="",Inputs!$B$20,X77),""))))</f>
        <v/>
      </c>
      <c r="Z77" s="14" t="str">
        <f aca="false">IF(OR(Y77="",P77="",E77=""),"",Y77+P77*E77)</f>
        <v/>
      </c>
      <c r="AA77" s="14" t="str">
        <f aca="false">IF(C77="","",IFERROR(INDEX(Noeuds_plan!$C$4:$C$200,MATCH(C77,Noeuds_plan!$A$4:$A$200,0)),""))</f>
        <v/>
      </c>
      <c r="AB77" s="14" t="str">
        <f aca="false">IF(B77="","",IFERROR(INDEX(Noeuds_plan!$C$4:$C$200,MATCH(B77,Noeuds_plan!$A$4:$A$200,0)),""))</f>
        <v/>
      </c>
      <c r="AC77" s="14" t="str">
        <f aca="false">IF(OR(AA77="",Y77=""),"",AA77-Y77)</f>
        <v/>
      </c>
      <c r="AD77" s="14" t="str">
        <f aca="false">IF(OR(AB77="",Z77=""),"",AB77-Z77)</f>
        <v/>
      </c>
      <c r="AE77" s="19" t="str">
        <f aca="false">IF(A77="","",IF(OR(V77&gt;1,AND(AY77&lt;&gt;"",AY77&lt;Inputs!$B$11),AND(AY77&lt;&gt;"",AY77&gt;Inputs!$B$12),AC77&lt;Inputs!$B$19,AD77&lt;Inputs!$B$19,P77&lt;Inputs!$B$7,P77&gt;Inputs!$B$8),"CHECK","OK"))</f>
        <v/>
      </c>
      <c r="AF77" s="9"/>
      <c r="AG77" s="9" t="str">
        <f aca="false">IF(A77="","",(1/Inputs!$B$9)*(PI()*(Inputs!$F$5/1000)^2/4)*((Inputs!$F$5/1000/4)^(2/3))*SQRT(P77))</f>
        <v/>
      </c>
      <c r="AH77" s="9" t="str">
        <f aca="false">IF(A77="","",(1/Inputs!$B$9)*(PI()*(Inputs!$F$6/1000)^2/4)*((Inputs!$F$6/1000/4)^(2/3))*SQRT(P77))</f>
        <v/>
      </c>
      <c r="AI77" s="9" t="str">
        <f aca="false">IF(A77="","",(1/Inputs!$B$9)*(PI()*(Inputs!$F$7/1000)^2/4)*((Inputs!$F$7/1000/4)^(2/3))*SQRT(P77))</f>
        <v/>
      </c>
      <c r="AJ77" s="9" t="str">
        <f aca="false">IF(A77="","",(1/Inputs!$B$9)*(PI()*(Inputs!$F$8/1000)^2/4)*((Inputs!$F$8/1000/4)^(2/3))*SQRT(P77))</f>
        <v/>
      </c>
      <c r="AK77" s="9" t="str">
        <f aca="false">IF(A77="","",(1/Inputs!$B$9)*(PI()*(Inputs!$F$9/1000)^2/4)*((Inputs!$F$9/1000/4)^(2/3))*SQRT(P77))</f>
        <v/>
      </c>
      <c r="AL77" s="9" t="str">
        <f aca="false">IF(A77="","",(1/Inputs!$B$9)*(PI()*(Inputs!$F$10/1000)^2/4)*((Inputs!$F$10/1000/4)^(2/3))*SQRT(P77))</f>
        <v/>
      </c>
      <c r="AM77" s="9" t="str">
        <f aca="false">IF(A77="","",(1/Inputs!$B$9)*(PI()*(Inputs!$F$11/1000)^2/4)*((Inputs!$F$11/1000/4)^(2/3))*SQRT(P77))</f>
        <v/>
      </c>
      <c r="AN77" s="9" t="str">
        <f aca="false">IF(A77="","",(1/Inputs!$B$9)*(PI()*(Inputs!$F$12/1000)^2/4)*((Inputs!$F$12/1000/4)^(2/3))*SQRT(P77))</f>
        <v/>
      </c>
      <c r="AO77" s="9" t="str">
        <f aca="false">IF(A77="","",(1/Inputs!$B$9)*(PI()*(Inputs!$F$13/1000)^2/4)*((Inputs!$F$13/1000/4)^(2/3))*SQRT(P77))</f>
        <v/>
      </c>
      <c r="AP77" s="9" t="str">
        <f aca="false">IF(A77="","",(1/Inputs!$B$9)*(PI()*(Inputs!$F$14/1000)^2/4)*((Inputs!$F$14/1000/4)^(2/3))*SQRT(P77))</f>
        <v/>
      </c>
      <c r="AQ77" s="9" t="str">
        <f aca="false">IF(A77="","",COUNTIF($D$4:$D$203,$A77))</f>
        <v/>
      </c>
      <c r="AR77" s="9" t="str">
        <f aca="false">IF(A77="","",IF(AQ77=0,"START","CONTINUOUS"))</f>
        <v/>
      </c>
      <c r="AS77" s="13" t="str">
        <f aca="false">IF(A77="","",IF(J77="",Inputs!$B$18,J77))</f>
        <v/>
      </c>
      <c r="AT77" s="13" t="str">
        <f aca="false">IF(A77="","",IFERROR(maxifs($AV$4:$AV$203,$D$4:$D$203,$A77),""))</f>
        <v/>
      </c>
      <c r="AU77" s="13" t="str">
        <f aca="false">IF(A77="","",IF(OR(E77="",Inputs!$B$23=""),"",E77/(Inputs!$B$23*60)))</f>
        <v/>
      </c>
      <c r="AV77" s="13" t="str">
        <f aca="false">IF(A77="","",IF(AQ77=0,AS77+AU77,IF(AT77="",AS77+AU77,AT77+AU77)))</f>
        <v/>
      </c>
      <c r="AW77" s="13" t="str">
        <f aca="false">IF(A77="","",W77)</f>
        <v/>
      </c>
      <c r="AX77" s="13" t="str">
        <f aca="false">IF(OR(T77="",P77=""),"",(1/Inputs!$B$9)*((T77/4)^(2/3))*SQRT(P77))</f>
        <v/>
      </c>
      <c r="AY77" s="13" t="str">
        <f aca="false">IF(A77="","",IF(AND(AW77="",AX77="",BA77=""),"",IF(OR(UPPER(TRIM(Inputs!$B$24))="MANNING",UPPER(TRIM(Inputs!$B$24))="M"),AX77,IF(OR(UPPER(TRIM(Inputs!$B$24))="PARTIAL",UPPER(TRIM(Inputs!$B$24))="P"),BA77,IF(OR(UPPER(TRIM(Inputs!$B$24))="MAX",UPPER(TRIM(Inputs!$B$24))="X"),MAX(IF(AW77="",0,AW77),IF(AX77="",0,AX77),IF(BA77="",0,BA77)),AW77)))))</f>
        <v/>
      </c>
      <c r="AZ77" s="13" t="str">
        <f aca="false">IF(BB77="","",CH77)</f>
        <v/>
      </c>
      <c r="BA77" s="13" t="str">
        <f aca="false">IF(OR(BB77="",AZ77="",T77="",T77&lt;=0,AZ77&lt;=0),"",BB77/((T77^2/8)*(2*ACOS(1-2*AZ77/T77)-SIN(2*ACOS(1-2*AZ77/T77)))))</f>
        <v/>
      </c>
      <c r="BB77" s="9" t="str">
        <f aca="false">IF(OR(N77="",BC77=""),"",MIN(N77,BC77))</f>
        <v/>
      </c>
      <c r="BC77" s="9" t="str">
        <f aca="false">IF(OR(N77="",T77="",P77=""),"",IF(OR(T77="",P77="",(0.94*T77)="",T77&lt;=0,(0.94*T77)&lt;=0),"",(1/Inputs!$B$9)*((T77^2/8)*((2*ACOS(1-2*(0.94*T77)/T77))-SIN((2*ACOS(1-2*(0.94*T77)/T77)))))*((((T77^2/8)*((2*ACOS(1-2*(0.94*T77)/T77))-SIN((2*ACOS(1-2*(0.94*T77)/T77)))))/((T77/2)*((2*ACOS(1-2*(0.94*T77)/T77)))))^(2/3))*SQRT(P77)))</f>
        <v/>
      </c>
      <c r="BD77" s="9" t="str">
        <f aca="false">IF(BB77="","",0.001*T77)</f>
        <v/>
      </c>
      <c r="BE77" s="9" t="str">
        <f aca="false">IF(BB77="","",0.94*T77)</f>
        <v/>
      </c>
      <c r="BF77" s="9" t="str">
        <f aca="false">IF(BB77="","",(BD77+BE77)/2)</f>
        <v/>
      </c>
      <c r="BG77" s="9" t="str">
        <f aca="false">IF(OR(T77="",P77="",BF77="",T77&lt;=0,BF77&lt;=0),"",(1/Inputs!$B$9)*((T77^2/8)*((2*ACOS(1-2*BF77/T77))-SIN((2*ACOS(1-2*BF77/T77)))))*((((T77^2/8)*((2*ACOS(1-2*BF77/T77))-SIN((2*ACOS(1-2*BF77/T77)))))/((T77/2)*((2*ACOS(1-2*BF77/T77)))))^(2/3))*SQRT(P77))</f>
        <v/>
      </c>
      <c r="BH77" s="9" t="str">
        <f aca="false">IF(BB77="","",IF(BG77&lt;BB77,BF77,BD77))</f>
        <v/>
      </c>
      <c r="BI77" s="9" t="str">
        <f aca="false">IF(BB77="","",IF(BG77&lt;BB77,BE77,BF77))</f>
        <v/>
      </c>
      <c r="BJ77" s="9" t="str">
        <f aca="false">IF(BB77="","",(BH77+BI77)/2)</f>
        <v/>
      </c>
      <c r="BK77" s="9" t="str">
        <f aca="false">IF(OR(T77="",P77="",BJ77="",T77&lt;=0,BJ77&lt;=0),"",(1/Inputs!$B$9)*((T77^2/8)*((2*ACOS(1-2*BJ77/T77))-SIN((2*ACOS(1-2*BJ77/T77)))))*((((T77^2/8)*((2*ACOS(1-2*BJ77/T77))-SIN((2*ACOS(1-2*BJ77/T77)))))/((T77/2)*((2*ACOS(1-2*BJ77/T77)))))^(2/3))*SQRT(P77))</f>
        <v/>
      </c>
      <c r="BL77" s="9" t="str">
        <f aca="false">IF(BB77="","",IF(BK77&lt;BB77,BJ77,BH77))</f>
        <v/>
      </c>
      <c r="BM77" s="9" t="str">
        <f aca="false">IF(BB77="","",IF(BK77&lt;BB77,BI77,BJ77))</f>
        <v/>
      </c>
      <c r="BN77" s="9" t="str">
        <f aca="false">IF(BB77="","",(BL77+BM77)/2)</f>
        <v/>
      </c>
      <c r="BO77" s="9" t="str">
        <f aca="false">IF(OR(T77="",P77="",BN77="",T77&lt;=0,BN77&lt;=0),"",(1/Inputs!$B$9)*((T77^2/8)*((2*ACOS(1-2*BN77/T77))-SIN((2*ACOS(1-2*BN77/T77)))))*((((T77^2/8)*((2*ACOS(1-2*BN77/T77))-SIN((2*ACOS(1-2*BN77/T77)))))/((T77/2)*((2*ACOS(1-2*BN77/T77)))))^(2/3))*SQRT(P77))</f>
        <v/>
      </c>
      <c r="BP77" s="9" t="str">
        <f aca="false">IF(BB77="","",IF(BO77&lt;BB77,BN77,BL77))</f>
        <v/>
      </c>
      <c r="BQ77" s="9" t="str">
        <f aca="false">IF(BB77="","",IF(BO77&lt;BB77,BM77,BN77))</f>
        <v/>
      </c>
      <c r="BR77" s="9" t="str">
        <f aca="false">IF(BB77="","",(BP77+BQ77)/2)</f>
        <v/>
      </c>
      <c r="BS77" s="9" t="str">
        <f aca="false">IF(OR(T77="",P77="",BR77="",T77&lt;=0,BR77&lt;=0),"",(1/Inputs!$B$9)*((T77^2/8)*((2*ACOS(1-2*BR77/T77))-SIN((2*ACOS(1-2*BR77/T77)))))*((((T77^2/8)*((2*ACOS(1-2*BR77/T77))-SIN((2*ACOS(1-2*BR77/T77)))))/((T77/2)*((2*ACOS(1-2*BR77/T77)))))^(2/3))*SQRT(P77))</f>
        <v/>
      </c>
      <c r="BT77" s="9" t="str">
        <f aca="false">IF(BB77="","",IF(BS77&lt;BB77,BR77,BP77))</f>
        <v/>
      </c>
      <c r="BU77" s="9" t="str">
        <f aca="false">IF(BB77="","",IF(BS77&lt;BB77,BQ77,BR77))</f>
        <v/>
      </c>
      <c r="BV77" s="9" t="str">
        <f aca="false">IF(BB77="","",(BT77+BU77)/2)</f>
        <v/>
      </c>
      <c r="BW77" s="9" t="str">
        <f aca="false">IF(OR(T77="",P77="",BV77="",T77&lt;=0,BV77&lt;=0),"",(1/Inputs!$B$9)*((T77^2/8)*((2*ACOS(1-2*BV77/T77))-SIN((2*ACOS(1-2*BV77/T77)))))*((((T77^2/8)*((2*ACOS(1-2*BV77/T77))-SIN((2*ACOS(1-2*BV77/T77)))))/((T77/2)*((2*ACOS(1-2*BV77/T77)))))^(2/3))*SQRT(P77))</f>
        <v/>
      </c>
      <c r="BX77" s="9" t="str">
        <f aca="false">IF(BB77="","",IF(BW77&lt;BB77,BV77,BT77))</f>
        <v/>
      </c>
      <c r="BY77" s="9" t="str">
        <f aca="false">IF(BB77="","",IF(BW77&lt;BB77,BU77,BV77))</f>
        <v/>
      </c>
      <c r="BZ77" s="9" t="str">
        <f aca="false">IF(BB77="","",(BX77+BY77)/2)</f>
        <v/>
      </c>
      <c r="CA77" s="9" t="str">
        <f aca="false">IF(OR(T77="",P77="",BZ77="",T77&lt;=0,BZ77&lt;=0),"",(1/Inputs!$B$9)*((T77^2/8)*((2*ACOS(1-2*BZ77/T77))-SIN((2*ACOS(1-2*BZ77/T77)))))*((((T77^2/8)*((2*ACOS(1-2*BZ77/T77))-SIN((2*ACOS(1-2*BZ77/T77)))))/((T77/2)*((2*ACOS(1-2*BZ77/T77)))))^(2/3))*SQRT(P77))</f>
        <v/>
      </c>
      <c r="CB77" s="9" t="str">
        <f aca="false">IF(BB77="","",IF(CA77&lt;BB77,BZ77,BX77))</f>
        <v/>
      </c>
      <c r="CC77" s="9" t="str">
        <f aca="false">IF(BB77="","",IF(CA77&lt;BB77,BY77,BZ77))</f>
        <v/>
      </c>
      <c r="CD77" s="9" t="str">
        <f aca="false">IF(BB77="","",(CB77+CC77)/2)</f>
        <v/>
      </c>
      <c r="CE77" s="9" t="str">
        <f aca="false">IF(OR(T77="",P77="",CD77="",T77&lt;=0,CD77&lt;=0),"",(1/Inputs!$B$9)*((T77^2/8)*((2*ACOS(1-2*CD77/T77))-SIN((2*ACOS(1-2*CD77/T77)))))*((((T77^2/8)*((2*ACOS(1-2*CD77/T77))-SIN((2*ACOS(1-2*CD77/T77)))))/((T77/2)*((2*ACOS(1-2*CD77/T77)))))^(2/3))*SQRT(P77))</f>
        <v/>
      </c>
      <c r="CF77" s="9" t="str">
        <f aca="false">IF(BB77="","",IF(CE77&lt;BB77,CD77,CB77))</f>
        <v/>
      </c>
      <c r="CG77" s="9" t="str">
        <f aca="false">IF(BB77="","",IF(CE77&lt;BB77,CC77,CD77))</f>
        <v/>
      </c>
      <c r="CH77" s="9" t="str">
        <f aca="false">IF(BB77="","",(CF77+CG77)/2)</f>
        <v/>
      </c>
    </row>
    <row r="78" customFormat="false" ht="15" hidden="false" customHeight="false" outlineLevel="0" collapsed="false">
      <c r="A78" s="9"/>
      <c r="B78" s="9"/>
      <c r="C78" s="9"/>
      <c r="D78" s="9"/>
      <c r="E78" s="14"/>
      <c r="F78" s="14"/>
      <c r="G78" s="14" t="n">
        <f aca="false">SUMIFS(CB_plan!$C:$C,CB_plan!$B:$B,$A78)</f>
        <v>0</v>
      </c>
      <c r="H78" s="14" t="n">
        <f aca="false">IF(F78="",G78,F78)</f>
        <v>0</v>
      </c>
      <c r="I78" s="9"/>
      <c r="J78" s="14"/>
      <c r="K78" s="14" t="str">
        <f aca="false">IF(A78="","",Inputs!$B$13/((IF(AV78="",Inputs!$B$18,AV78)+Inputs!$B$14)^Inputs!$B$15))</f>
        <v/>
      </c>
      <c r="L78" s="14" t="str">
        <f aca="false">IF(A78="","",0.000000278*IF(I78="",Inputs!$B$17,I78)*H78*K78)</f>
        <v/>
      </c>
      <c r="M78" s="14" t="str">
        <f aca="false">IF(A78="","",SUMIFS($N$4:$N$203,$D$4:$D$203,$A78))</f>
        <v/>
      </c>
      <c r="N78" s="14" t="str">
        <f aca="false">IF(A78="","",(L78+M78)*Inputs!$B$16)</f>
        <v/>
      </c>
      <c r="O78" s="14"/>
      <c r="P78" s="14" t="str">
        <f aca="false">IF(A78="","",IF(O78="",Inputs!$B$7,O78))</f>
        <v/>
      </c>
      <c r="Q78" s="9" t="str">
        <f aca="false">IF(A78="","",IF(N78/Inputs!$B$10&lt;=AG78,Inputs!$F$5,IF(N78/Inputs!$B$10&gt;AP78,"OVERSIZE",INDEX(Inputs!$F$5:$F$14,MATCH(N78/Inputs!$B$10,AG78:AP78,1)+1))))</f>
        <v/>
      </c>
      <c r="R78" s="9"/>
      <c r="S78" s="9" t="str">
        <f aca="false">IF(A78="","",IF(R78="",Q78,R78))</f>
        <v/>
      </c>
      <c r="T78" s="14" t="str">
        <f aca="false">IF(OR(S78="",S78="OVERSIZE"),"",S78/1000)</f>
        <v/>
      </c>
      <c r="U78" s="14" t="str">
        <f aca="false">IF(T78="","",(1/Inputs!$B$9)*(PI()*T78^2/4)*((T78/4)^(2/3))*SQRT(P78))</f>
        <v/>
      </c>
      <c r="V78" s="14" t="str">
        <f aca="false">IF(OR(U78="",N78=""),"",N78/(U78*Inputs!$B$10))</f>
        <v/>
      </c>
      <c r="W78" s="14" t="str">
        <f aca="false">IF(OR(T78="",N78=""),"",4*N78/(PI()*T78^2))</f>
        <v/>
      </c>
      <c r="X78" s="14"/>
      <c r="Y78" s="14" t="str">
        <f aca="false">IF(A78="","",IF(A78=Inputs!$B$6,Inputs!$B$22,IF(D78="","",IFERROR(INDEX($Z$4:$Z$203,MATCH(D78,$A$4:$A$203,0))+IF(X78="",Inputs!$B$20,X78),""))))</f>
        <v/>
      </c>
      <c r="Z78" s="14" t="str">
        <f aca="false">IF(OR(Y78="",P78="",E78=""),"",Y78+P78*E78)</f>
        <v/>
      </c>
      <c r="AA78" s="14" t="str">
        <f aca="false">IF(C78="","",IFERROR(INDEX(Noeuds_plan!$C$4:$C$200,MATCH(C78,Noeuds_plan!$A$4:$A$200,0)),""))</f>
        <v/>
      </c>
      <c r="AB78" s="14" t="str">
        <f aca="false">IF(B78="","",IFERROR(INDEX(Noeuds_plan!$C$4:$C$200,MATCH(B78,Noeuds_plan!$A$4:$A$200,0)),""))</f>
        <v/>
      </c>
      <c r="AC78" s="14" t="str">
        <f aca="false">IF(OR(AA78="",Y78=""),"",AA78-Y78)</f>
        <v/>
      </c>
      <c r="AD78" s="14" t="str">
        <f aca="false">IF(OR(AB78="",Z78=""),"",AB78-Z78)</f>
        <v/>
      </c>
      <c r="AE78" s="19" t="str">
        <f aca="false">IF(A78="","",IF(OR(V78&gt;1,AND(AY78&lt;&gt;"",AY78&lt;Inputs!$B$11),AND(AY78&lt;&gt;"",AY78&gt;Inputs!$B$12),AC78&lt;Inputs!$B$19,AD78&lt;Inputs!$B$19,P78&lt;Inputs!$B$7,P78&gt;Inputs!$B$8),"CHECK","OK"))</f>
        <v/>
      </c>
      <c r="AF78" s="9"/>
      <c r="AG78" s="9" t="str">
        <f aca="false">IF(A78="","",(1/Inputs!$B$9)*(PI()*(Inputs!$F$5/1000)^2/4)*((Inputs!$F$5/1000/4)^(2/3))*SQRT(P78))</f>
        <v/>
      </c>
      <c r="AH78" s="9" t="str">
        <f aca="false">IF(A78="","",(1/Inputs!$B$9)*(PI()*(Inputs!$F$6/1000)^2/4)*((Inputs!$F$6/1000/4)^(2/3))*SQRT(P78))</f>
        <v/>
      </c>
      <c r="AI78" s="9" t="str">
        <f aca="false">IF(A78="","",(1/Inputs!$B$9)*(PI()*(Inputs!$F$7/1000)^2/4)*((Inputs!$F$7/1000/4)^(2/3))*SQRT(P78))</f>
        <v/>
      </c>
      <c r="AJ78" s="9" t="str">
        <f aca="false">IF(A78="","",(1/Inputs!$B$9)*(PI()*(Inputs!$F$8/1000)^2/4)*((Inputs!$F$8/1000/4)^(2/3))*SQRT(P78))</f>
        <v/>
      </c>
      <c r="AK78" s="9" t="str">
        <f aca="false">IF(A78="","",(1/Inputs!$B$9)*(PI()*(Inputs!$F$9/1000)^2/4)*((Inputs!$F$9/1000/4)^(2/3))*SQRT(P78))</f>
        <v/>
      </c>
      <c r="AL78" s="9" t="str">
        <f aca="false">IF(A78="","",(1/Inputs!$B$9)*(PI()*(Inputs!$F$10/1000)^2/4)*((Inputs!$F$10/1000/4)^(2/3))*SQRT(P78))</f>
        <v/>
      </c>
      <c r="AM78" s="9" t="str">
        <f aca="false">IF(A78="","",(1/Inputs!$B$9)*(PI()*(Inputs!$F$11/1000)^2/4)*((Inputs!$F$11/1000/4)^(2/3))*SQRT(P78))</f>
        <v/>
      </c>
      <c r="AN78" s="9" t="str">
        <f aca="false">IF(A78="","",(1/Inputs!$B$9)*(PI()*(Inputs!$F$12/1000)^2/4)*((Inputs!$F$12/1000/4)^(2/3))*SQRT(P78))</f>
        <v/>
      </c>
      <c r="AO78" s="9" t="str">
        <f aca="false">IF(A78="","",(1/Inputs!$B$9)*(PI()*(Inputs!$F$13/1000)^2/4)*((Inputs!$F$13/1000/4)^(2/3))*SQRT(P78))</f>
        <v/>
      </c>
      <c r="AP78" s="9" t="str">
        <f aca="false">IF(A78="","",(1/Inputs!$B$9)*(PI()*(Inputs!$F$14/1000)^2/4)*((Inputs!$F$14/1000/4)^(2/3))*SQRT(P78))</f>
        <v/>
      </c>
      <c r="AQ78" s="9" t="str">
        <f aca="false">IF(A78="","",COUNTIF($D$4:$D$203,$A78))</f>
        <v/>
      </c>
      <c r="AR78" s="9" t="str">
        <f aca="false">IF(A78="","",IF(AQ78=0,"START","CONTINUOUS"))</f>
        <v/>
      </c>
      <c r="AS78" s="13" t="str">
        <f aca="false">IF(A78="","",IF(J78="",Inputs!$B$18,J78))</f>
        <v/>
      </c>
      <c r="AT78" s="13" t="str">
        <f aca="false">IF(A78="","",IFERROR(maxifs($AV$4:$AV$203,$D$4:$D$203,$A78),""))</f>
        <v/>
      </c>
      <c r="AU78" s="13" t="str">
        <f aca="false">IF(A78="","",IF(OR(E78="",Inputs!$B$23=""),"",E78/(Inputs!$B$23*60)))</f>
        <v/>
      </c>
      <c r="AV78" s="13" t="str">
        <f aca="false">IF(A78="","",IF(AQ78=0,AS78+AU78,IF(AT78="",AS78+AU78,AT78+AU78)))</f>
        <v/>
      </c>
      <c r="AW78" s="13" t="str">
        <f aca="false">IF(A78="","",W78)</f>
        <v/>
      </c>
      <c r="AX78" s="13" t="str">
        <f aca="false">IF(OR(T78="",P78=""),"",(1/Inputs!$B$9)*((T78/4)^(2/3))*SQRT(P78))</f>
        <v/>
      </c>
      <c r="AY78" s="13" t="str">
        <f aca="false">IF(A78="","",IF(AND(AW78="",AX78="",BA78=""),"",IF(OR(UPPER(TRIM(Inputs!$B$24))="MANNING",UPPER(TRIM(Inputs!$B$24))="M"),AX78,IF(OR(UPPER(TRIM(Inputs!$B$24))="PARTIAL",UPPER(TRIM(Inputs!$B$24))="P"),BA78,IF(OR(UPPER(TRIM(Inputs!$B$24))="MAX",UPPER(TRIM(Inputs!$B$24))="X"),MAX(IF(AW78="",0,AW78),IF(AX78="",0,AX78),IF(BA78="",0,BA78)),AW78)))))</f>
        <v/>
      </c>
      <c r="AZ78" s="13" t="str">
        <f aca="false">IF(BB78="","",CH78)</f>
        <v/>
      </c>
      <c r="BA78" s="13" t="str">
        <f aca="false">IF(OR(BB78="",AZ78="",T78="",T78&lt;=0,AZ78&lt;=0),"",BB78/((T78^2/8)*(2*ACOS(1-2*AZ78/T78)-SIN(2*ACOS(1-2*AZ78/T78)))))</f>
        <v/>
      </c>
      <c r="BB78" s="9" t="str">
        <f aca="false">IF(OR(N78="",BC78=""),"",MIN(N78,BC78))</f>
        <v/>
      </c>
      <c r="BC78" s="9" t="str">
        <f aca="false">IF(OR(N78="",T78="",P78=""),"",IF(OR(T78="",P78="",(0.94*T78)="",T78&lt;=0,(0.94*T78)&lt;=0),"",(1/Inputs!$B$9)*((T78^2/8)*((2*ACOS(1-2*(0.94*T78)/T78))-SIN((2*ACOS(1-2*(0.94*T78)/T78)))))*((((T78^2/8)*((2*ACOS(1-2*(0.94*T78)/T78))-SIN((2*ACOS(1-2*(0.94*T78)/T78)))))/((T78/2)*((2*ACOS(1-2*(0.94*T78)/T78)))))^(2/3))*SQRT(P78)))</f>
        <v/>
      </c>
      <c r="BD78" s="9" t="str">
        <f aca="false">IF(BB78="","",0.001*T78)</f>
        <v/>
      </c>
      <c r="BE78" s="9" t="str">
        <f aca="false">IF(BB78="","",0.94*T78)</f>
        <v/>
      </c>
      <c r="BF78" s="9" t="str">
        <f aca="false">IF(BB78="","",(BD78+BE78)/2)</f>
        <v/>
      </c>
      <c r="BG78" s="9" t="str">
        <f aca="false">IF(OR(T78="",P78="",BF78="",T78&lt;=0,BF78&lt;=0),"",(1/Inputs!$B$9)*((T78^2/8)*((2*ACOS(1-2*BF78/T78))-SIN((2*ACOS(1-2*BF78/T78)))))*((((T78^2/8)*((2*ACOS(1-2*BF78/T78))-SIN((2*ACOS(1-2*BF78/T78)))))/((T78/2)*((2*ACOS(1-2*BF78/T78)))))^(2/3))*SQRT(P78))</f>
        <v/>
      </c>
      <c r="BH78" s="9" t="str">
        <f aca="false">IF(BB78="","",IF(BG78&lt;BB78,BF78,BD78))</f>
        <v/>
      </c>
      <c r="BI78" s="9" t="str">
        <f aca="false">IF(BB78="","",IF(BG78&lt;BB78,BE78,BF78))</f>
        <v/>
      </c>
      <c r="BJ78" s="9" t="str">
        <f aca="false">IF(BB78="","",(BH78+BI78)/2)</f>
        <v/>
      </c>
      <c r="BK78" s="9" t="str">
        <f aca="false">IF(OR(T78="",P78="",BJ78="",T78&lt;=0,BJ78&lt;=0),"",(1/Inputs!$B$9)*((T78^2/8)*((2*ACOS(1-2*BJ78/T78))-SIN((2*ACOS(1-2*BJ78/T78)))))*((((T78^2/8)*((2*ACOS(1-2*BJ78/T78))-SIN((2*ACOS(1-2*BJ78/T78)))))/((T78/2)*((2*ACOS(1-2*BJ78/T78)))))^(2/3))*SQRT(P78))</f>
        <v/>
      </c>
      <c r="BL78" s="9" t="str">
        <f aca="false">IF(BB78="","",IF(BK78&lt;BB78,BJ78,BH78))</f>
        <v/>
      </c>
      <c r="BM78" s="9" t="str">
        <f aca="false">IF(BB78="","",IF(BK78&lt;BB78,BI78,BJ78))</f>
        <v/>
      </c>
      <c r="BN78" s="9" t="str">
        <f aca="false">IF(BB78="","",(BL78+BM78)/2)</f>
        <v/>
      </c>
      <c r="BO78" s="9" t="str">
        <f aca="false">IF(OR(T78="",P78="",BN78="",T78&lt;=0,BN78&lt;=0),"",(1/Inputs!$B$9)*((T78^2/8)*((2*ACOS(1-2*BN78/T78))-SIN((2*ACOS(1-2*BN78/T78)))))*((((T78^2/8)*((2*ACOS(1-2*BN78/T78))-SIN((2*ACOS(1-2*BN78/T78)))))/((T78/2)*((2*ACOS(1-2*BN78/T78)))))^(2/3))*SQRT(P78))</f>
        <v/>
      </c>
      <c r="BP78" s="9" t="str">
        <f aca="false">IF(BB78="","",IF(BO78&lt;BB78,BN78,BL78))</f>
        <v/>
      </c>
      <c r="BQ78" s="9" t="str">
        <f aca="false">IF(BB78="","",IF(BO78&lt;BB78,BM78,BN78))</f>
        <v/>
      </c>
      <c r="BR78" s="9" t="str">
        <f aca="false">IF(BB78="","",(BP78+BQ78)/2)</f>
        <v/>
      </c>
      <c r="BS78" s="9" t="str">
        <f aca="false">IF(OR(T78="",P78="",BR78="",T78&lt;=0,BR78&lt;=0),"",(1/Inputs!$B$9)*((T78^2/8)*((2*ACOS(1-2*BR78/T78))-SIN((2*ACOS(1-2*BR78/T78)))))*((((T78^2/8)*((2*ACOS(1-2*BR78/T78))-SIN((2*ACOS(1-2*BR78/T78)))))/((T78/2)*((2*ACOS(1-2*BR78/T78)))))^(2/3))*SQRT(P78))</f>
        <v/>
      </c>
      <c r="BT78" s="9" t="str">
        <f aca="false">IF(BB78="","",IF(BS78&lt;BB78,BR78,BP78))</f>
        <v/>
      </c>
      <c r="BU78" s="9" t="str">
        <f aca="false">IF(BB78="","",IF(BS78&lt;BB78,BQ78,BR78))</f>
        <v/>
      </c>
      <c r="BV78" s="9" t="str">
        <f aca="false">IF(BB78="","",(BT78+BU78)/2)</f>
        <v/>
      </c>
      <c r="BW78" s="9" t="str">
        <f aca="false">IF(OR(T78="",P78="",BV78="",T78&lt;=0,BV78&lt;=0),"",(1/Inputs!$B$9)*((T78^2/8)*((2*ACOS(1-2*BV78/T78))-SIN((2*ACOS(1-2*BV78/T78)))))*((((T78^2/8)*((2*ACOS(1-2*BV78/T78))-SIN((2*ACOS(1-2*BV78/T78)))))/((T78/2)*((2*ACOS(1-2*BV78/T78)))))^(2/3))*SQRT(P78))</f>
        <v/>
      </c>
      <c r="BX78" s="9" t="str">
        <f aca="false">IF(BB78="","",IF(BW78&lt;BB78,BV78,BT78))</f>
        <v/>
      </c>
      <c r="BY78" s="9" t="str">
        <f aca="false">IF(BB78="","",IF(BW78&lt;BB78,BU78,BV78))</f>
        <v/>
      </c>
      <c r="BZ78" s="9" t="str">
        <f aca="false">IF(BB78="","",(BX78+BY78)/2)</f>
        <v/>
      </c>
      <c r="CA78" s="9" t="str">
        <f aca="false">IF(OR(T78="",P78="",BZ78="",T78&lt;=0,BZ78&lt;=0),"",(1/Inputs!$B$9)*((T78^2/8)*((2*ACOS(1-2*BZ78/T78))-SIN((2*ACOS(1-2*BZ78/T78)))))*((((T78^2/8)*((2*ACOS(1-2*BZ78/T78))-SIN((2*ACOS(1-2*BZ78/T78)))))/((T78/2)*((2*ACOS(1-2*BZ78/T78)))))^(2/3))*SQRT(P78))</f>
        <v/>
      </c>
      <c r="CB78" s="9" t="str">
        <f aca="false">IF(BB78="","",IF(CA78&lt;BB78,BZ78,BX78))</f>
        <v/>
      </c>
      <c r="CC78" s="9" t="str">
        <f aca="false">IF(BB78="","",IF(CA78&lt;BB78,BY78,BZ78))</f>
        <v/>
      </c>
      <c r="CD78" s="9" t="str">
        <f aca="false">IF(BB78="","",(CB78+CC78)/2)</f>
        <v/>
      </c>
      <c r="CE78" s="9" t="str">
        <f aca="false">IF(OR(T78="",P78="",CD78="",T78&lt;=0,CD78&lt;=0),"",(1/Inputs!$B$9)*((T78^2/8)*((2*ACOS(1-2*CD78/T78))-SIN((2*ACOS(1-2*CD78/T78)))))*((((T78^2/8)*((2*ACOS(1-2*CD78/T78))-SIN((2*ACOS(1-2*CD78/T78)))))/((T78/2)*((2*ACOS(1-2*CD78/T78)))))^(2/3))*SQRT(P78))</f>
        <v/>
      </c>
      <c r="CF78" s="9" t="str">
        <f aca="false">IF(BB78="","",IF(CE78&lt;BB78,CD78,CB78))</f>
        <v/>
      </c>
      <c r="CG78" s="9" t="str">
        <f aca="false">IF(BB78="","",IF(CE78&lt;BB78,CC78,CD78))</f>
        <v/>
      </c>
      <c r="CH78" s="9" t="str">
        <f aca="false">IF(BB78="","",(CF78+CG78)/2)</f>
        <v/>
      </c>
    </row>
    <row r="79" customFormat="false" ht="15" hidden="false" customHeight="false" outlineLevel="0" collapsed="false">
      <c r="A79" s="9"/>
      <c r="B79" s="9"/>
      <c r="C79" s="9"/>
      <c r="D79" s="9"/>
      <c r="E79" s="14"/>
      <c r="F79" s="14"/>
      <c r="G79" s="14" t="n">
        <f aca="false">SUMIFS(CB_plan!$C:$C,CB_plan!$B:$B,$A79)</f>
        <v>0</v>
      </c>
      <c r="H79" s="14" t="n">
        <f aca="false">IF(F79="",G79,F79)</f>
        <v>0</v>
      </c>
      <c r="I79" s="9"/>
      <c r="J79" s="14"/>
      <c r="K79" s="14" t="str">
        <f aca="false">IF(A79="","",Inputs!$B$13/((IF(AV79="",Inputs!$B$18,AV79)+Inputs!$B$14)^Inputs!$B$15))</f>
        <v/>
      </c>
      <c r="L79" s="14" t="str">
        <f aca="false">IF(A79="","",0.000000278*IF(I79="",Inputs!$B$17,I79)*H79*K79)</f>
        <v/>
      </c>
      <c r="M79" s="14" t="str">
        <f aca="false">IF(A79="","",SUMIFS($N$4:$N$203,$D$4:$D$203,$A79))</f>
        <v/>
      </c>
      <c r="N79" s="14" t="str">
        <f aca="false">IF(A79="","",(L79+M79)*Inputs!$B$16)</f>
        <v/>
      </c>
      <c r="O79" s="14"/>
      <c r="P79" s="14" t="str">
        <f aca="false">IF(A79="","",IF(O79="",Inputs!$B$7,O79))</f>
        <v/>
      </c>
      <c r="Q79" s="9" t="str">
        <f aca="false">IF(A79="","",IF(N79/Inputs!$B$10&lt;=AG79,Inputs!$F$5,IF(N79/Inputs!$B$10&gt;AP79,"OVERSIZE",INDEX(Inputs!$F$5:$F$14,MATCH(N79/Inputs!$B$10,AG79:AP79,1)+1))))</f>
        <v/>
      </c>
      <c r="R79" s="9"/>
      <c r="S79" s="9" t="str">
        <f aca="false">IF(A79="","",IF(R79="",Q79,R79))</f>
        <v/>
      </c>
      <c r="T79" s="14" t="str">
        <f aca="false">IF(OR(S79="",S79="OVERSIZE"),"",S79/1000)</f>
        <v/>
      </c>
      <c r="U79" s="14" t="str">
        <f aca="false">IF(T79="","",(1/Inputs!$B$9)*(PI()*T79^2/4)*((T79/4)^(2/3))*SQRT(P79))</f>
        <v/>
      </c>
      <c r="V79" s="14" t="str">
        <f aca="false">IF(OR(U79="",N79=""),"",N79/(U79*Inputs!$B$10))</f>
        <v/>
      </c>
      <c r="W79" s="14" t="str">
        <f aca="false">IF(OR(T79="",N79=""),"",4*N79/(PI()*T79^2))</f>
        <v/>
      </c>
      <c r="X79" s="14"/>
      <c r="Y79" s="14" t="str">
        <f aca="false">IF(A79="","",IF(A79=Inputs!$B$6,Inputs!$B$22,IF(D79="","",IFERROR(INDEX($Z$4:$Z$203,MATCH(D79,$A$4:$A$203,0))+IF(X79="",Inputs!$B$20,X79),""))))</f>
        <v/>
      </c>
      <c r="Z79" s="14" t="str">
        <f aca="false">IF(OR(Y79="",P79="",E79=""),"",Y79+P79*E79)</f>
        <v/>
      </c>
      <c r="AA79" s="14" t="str">
        <f aca="false">IF(C79="","",IFERROR(INDEX(Noeuds_plan!$C$4:$C$200,MATCH(C79,Noeuds_plan!$A$4:$A$200,0)),""))</f>
        <v/>
      </c>
      <c r="AB79" s="14" t="str">
        <f aca="false">IF(B79="","",IFERROR(INDEX(Noeuds_plan!$C$4:$C$200,MATCH(B79,Noeuds_plan!$A$4:$A$200,0)),""))</f>
        <v/>
      </c>
      <c r="AC79" s="14" t="str">
        <f aca="false">IF(OR(AA79="",Y79=""),"",AA79-Y79)</f>
        <v/>
      </c>
      <c r="AD79" s="14" t="str">
        <f aca="false">IF(OR(AB79="",Z79=""),"",AB79-Z79)</f>
        <v/>
      </c>
      <c r="AE79" s="19" t="str">
        <f aca="false">IF(A79="","",IF(OR(V79&gt;1,AND(AY79&lt;&gt;"",AY79&lt;Inputs!$B$11),AND(AY79&lt;&gt;"",AY79&gt;Inputs!$B$12),AC79&lt;Inputs!$B$19,AD79&lt;Inputs!$B$19,P79&lt;Inputs!$B$7,P79&gt;Inputs!$B$8),"CHECK","OK"))</f>
        <v/>
      </c>
      <c r="AF79" s="9"/>
      <c r="AG79" s="9" t="str">
        <f aca="false">IF(A79="","",(1/Inputs!$B$9)*(PI()*(Inputs!$F$5/1000)^2/4)*((Inputs!$F$5/1000/4)^(2/3))*SQRT(P79))</f>
        <v/>
      </c>
      <c r="AH79" s="9" t="str">
        <f aca="false">IF(A79="","",(1/Inputs!$B$9)*(PI()*(Inputs!$F$6/1000)^2/4)*((Inputs!$F$6/1000/4)^(2/3))*SQRT(P79))</f>
        <v/>
      </c>
      <c r="AI79" s="9" t="str">
        <f aca="false">IF(A79="","",(1/Inputs!$B$9)*(PI()*(Inputs!$F$7/1000)^2/4)*((Inputs!$F$7/1000/4)^(2/3))*SQRT(P79))</f>
        <v/>
      </c>
      <c r="AJ79" s="9" t="str">
        <f aca="false">IF(A79="","",(1/Inputs!$B$9)*(PI()*(Inputs!$F$8/1000)^2/4)*((Inputs!$F$8/1000/4)^(2/3))*SQRT(P79))</f>
        <v/>
      </c>
      <c r="AK79" s="9" t="str">
        <f aca="false">IF(A79="","",(1/Inputs!$B$9)*(PI()*(Inputs!$F$9/1000)^2/4)*((Inputs!$F$9/1000/4)^(2/3))*SQRT(P79))</f>
        <v/>
      </c>
      <c r="AL79" s="9" t="str">
        <f aca="false">IF(A79="","",(1/Inputs!$B$9)*(PI()*(Inputs!$F$10/1000)^2/4)*((Inputs!$F$10/1000/4)^(2/3))*SQRT(P79))</f>
        <v/>
      </c>
      <c r="AM79" s="9" t="str">
        <f aca="false">IF(A79="","",(1/Inputs!$B$9)*(PI()*(Inputs!$F$11/1000)^2/4)*((Inputs!$F$11/1000/4)^(2/3))*SQRT(P79))</f>
        <v/>
      </c>
      <c r="AN79" s="9" t="str">
        <f aca="false">IF(A79="","",(1/Inputs!$B$9)*(PI()*(Inputs!$F$12/1000)^2/4)*((Inputs!$F$12/1000/4)^(2/3))*SQRT(P79))</f>
        <v/>
      </c>
      <c r="AO79" s="9" t="str">
        <f aca="false">IF(A79="","",(1/Inputs!$B$9)*(PI()*(Inputs!$F$13/1000)^2/4)*((Inputs!$F$13/1000/4)^(2/3))*SQRT(P79))</f>
        <v/>
      </c>
      <c r="AP79" s="9" t="str">
        <f aca="false">IF(A79="","",(1/Inputs!$B$9)*(PI()*(Inputs!$F$14/1000)^2/4)*((Inputs!$F$14/1000/4)^(2/3))*SQRT(P79))</f>
        <v/>
      </c>
      <c r="AQ79" s="9" t="str">
        <f aca="false">IF(A79="","",COUNTIF($D$4:$D$203,$A79))</f>
        <v/>
      </c>
      <c r="AR79" s="9" t="str">
        <f aca="false">IF(A79="","",IF(AQ79=0,"START","CONTINUOUS"))</f>
        <v/>
      </c>
      <c r="AS79" s="13" t="str">
        <f aca="false">IF(A79="","",IF(J79="",Inputs!$B$18,J79))</f>
        <v/>
      </c>
      <c r="AT79" s="13" t="str">
        <f aca="false">IF(A79="","",IFERROR(maxifs($AV$4:$AV$203,$D$4:$D$203,$A79),""))</f>
        <v/>
      </c>
      <c r="AU79" s="13" t="str">
        <f aca="false">IF(A79="","",IF(OR(E79="",Inputs!$B$23=""),"",E79/(Inputs!$B$23*60)))</f>
        <v/>
      </c>
      <c r="AV79" s="13" t="str">
        <f aca="false">IF(A79="","",IF(AQ79=0,AS79+AU79,IF(AT79="",AS79+AU79,AT79+AU79)))</f>
        <v/>
      </c>
      <c r="AW79" s="13" t="str">
        <f aca="false">IF(A79="","",W79)</f>
        <v/>
      </c>
      <c r="AX79" s="13" t="str">
        <f aca="false">IF(OR(T79="",P79=""),"",(1/Inputs!$B$9)*((T79/4)^(2/3))*SQRT(P79))</f>
        <v/>
      </c>
      <c r="AY79" s="13" t="str">
        <f aca="false">IF(A79="","",IF(AND(AW79="",AX79="",BA79=""),"",IF(OR(UPPER(TRIM(Inputs!$B$24))="MANNING",UPPER(TRIM(Inputs!$B$24))="M"),AX79,IF(OR(UPPER(TRIM(Inputs!$B$24))="PARTIAL",UPPER(TRIM(Inputs!$B$24))="P"),BA79,IF(OR(UPPER(TRIM(Inputs!$B$24))="MAX",UPPER(TRIM(Inputs!$B$24))="X"),MAX(IF(AW79="",0,AW79),IF(AX79="",0,AX79),IF(BA79="",0,BA79)),AW79)))))</f>
        <v/>
      </c>
      <c r="AZ79" s="13" t="str">
        <f aca="false">IF(BB79="","",CH79)</f>
        <v/>
      </c>
      <c r="BA79" s="13" t="str">
        <f aca="false">IF(OR(BB79="",AZ79="",T79="",T79&lt;=0,AZ79&lt;=0),"",BB79/((T79^2/8)*(2*ACOS(1-2*AZ79/T79)-SIN(2*ACOS(1-2*AZ79/T79)))))</f>
        <v/>
      </c>
      <c r="BB79" s="9" t="str">
        <f aca="false">IF(OR(N79="",BC79=""),"",MIN(N79,BC79))</f>
        <v/>
      </c>
      <c r="BC79" s="9" t="str">
        <f aca="false">IF(OR(N79="",T79="",P79=""),"",IF(OR(T79="",P79="",(0.94*T79)="",T79&lt;=0,(0.94*T79)&lt;=0),"",(1/Inputs!$B$9)*((T79^2/8)*((2*ACOS(1-2*(0.94*T79)/T79))-SIN((2*ACOS(1-2*(0.94*T79)/T79)))))*((((T79^2/8)*((2*ACOS(1-2*(0.94*T79)/T79))-SIN((2*ACOS(1-2*(0.94*T79)/T79)))))/((T79/2)*((2*ACOS(1-2*(0.94*T79)/T79)))))^(2/3))*SQRT(P79)))</f>
        <v/>
      </c>
      <c r="BD79" s="9" t="str">
        <f aca="false">IF(BB79="","",0.001*T79)</f>
        <v/>
      </c>
      <c r="BE79" s="9" t="str">
        <f aca="false">IF(BB79="","",0.94*T79)</f>
        <v/>
      </c>
      <c r="BF79" s="9" t="str">
        <f aca="false">IF(BB79="","",(BD79+BE79)/2)</f>
        <v/>
      </c>
      <c r="BG79" s="9" t="str">
        <f aca="false">IF(OR(T79="",P79="",BF79="",T79&lt;=0,BF79&lt;=0),"",(1/Inputs!$B$9)*((T79^2/8)*((2*ACOS(1-2*BF79/T79))-SIN((2*ACOS(1-2*BF79/T79)))))*((((T79^2/8)*((2*ACOS(1-2*BF79/T79))-SIN((2*ACOS(1-2*BF79/T79)))))/((T79/2)*((2*ACOS(1-2*BF79/T79)))))^(2/3))*SQRT(P79))</f>
        <v/>
      </c>
      <c r="BH79" s="9" t="str">
        <f aca="false">IF(BB79="","",IF(BG79&lt;BB79,BF79,BD79))</f>
        <v/>
      </c>
      <c r="BI79" s="9" t="str">
        <f aca="false">IF(BB79="","",IF(BG79&lt;BB79,BE79,BF79))</f>
        <v/>
      </c>
      <c r="BJ79" s="9" t="str">
        <f aca="false">IF(BB79="","",(BH79+BI79)/2)</f>
        <v/>
      </c>
      <c r="BK79" s="9" t="str">
        <f aca="false">IF(OR(T79="",P79="",BJ79="",T79&lt;=0,BJ79&lt;=0),"",(1/Inputs!$B$9)*((T79^2/8)*((2*ACOS(1-2*BJ79/T79))-SIN((2*ACOS(1-2*BJ79/T79)))))*((((T79^2/8)*((2*ACOS(1-2*BJ79/T79))-SIN((2*ACOS(1-2*BJ79/T79)))))/((T79/2)*((2*ACOS(1-2*BJ79/T79)))))^(2/3))*SQRT(P79))</f>
        <v/>
      </c>
      <c r="BL79" s="9" t="str">
        <f aca="false">IF(BB79="","",IF(BK79&lt;BB79,BJ79,BH79))</f>
        <v/>
      </c>
      <c r="BM79" s="9" t="str">
        <f aca="false">IF(BB79="","",IF(BK79&lt;BB79,BI79,BJ79))</f>
        <v/>
      </c>
      <c r="BN79" s="9" t="str">
        <f aca="false">IF(BB79="","",(BL79+BM79)/2)</f>
        <v/>
      </c>
      <c r="BO79" s="9" t="str">
        <f aca="false">IF(OR(T79="",P79="",BN79="",T79&lt;=0,BN79&lt;=0),"",(1/Inputs!$B$9)*((T79^2/8)*((2*ACOS(1-2*BN79/T79))-SIN((2*ACOS(1-2*BN79/T79)))))*((((T79^2/8)*((2*ACOS(1-2*BN79/T79))-SIN((2*ACOS(1-2*BN79/T79)))))/((T79/2)*((2*ACOS(1-2*BN79/T79)))))^(2/3))*SQRT(P79))</f>
        <v/>
      </c>
      <c r="BP79" s="9" t="str">
        <f aca="false">IF(BB79="","",IF(BO79&lt;BB79,BN79,BL79))</f>
        <v/>
      </c>
      <c r="BQ79" s="9" t="str">
        <f aca="false">IF(BB79="","",IF(BO79&lt;BB79,BM79,BN79))</f>
        <v/>
      </c>
      <c r="BR79" s="9" t="str">
        <f aca="false">IF(BB79="","",(BP79+BQ79)/2)</f>
        <v/>
      </c>
      <c r="BS79" s="9" t="str">
        <f aca="false">IF(OR(T79="",P79="",BR79="",T79&lt;=0,BR79&lt;=0),"",(1/Inputs!$B$9)*((T79^2/8)*((2*ACOS(1-2*BR79/T79))-SIN((2*ACOS(1-2*BR79/T79)))))*((((T79^2/8)*((2*ACOS(1-2*BR79/T79))-SIN((2*ACOS(1-2*BR79/T79)))))/((T79/2)*((2*ACOS(1-2*BR79/T79)))))^(2/3))*SQRT(P79))</f>
        <v/>
      </c>
      <c r="BT79" s="9" t="str">
        <f aca="false">IF(BB79="","",IF(BS79&lt;BB79,BR79,BP79))</f>
        <v/>
      </c>
      <c r="BU79" s="9" t="str">
        <f aca="false">IF(BB79="","",IF(BS79&lt;BB79,BQ79,BR79))</f>
        <v/>
      </c>
      <c r="BV79" s="9" t="str">
        <f aca="false">IF(BB79="","",(BT79+BU79)/2)</f>
        <v/>
      </c>
      <c r="BW79" s="9" t="str">
        <f aca="false">IF(OR(T79="",P79="",BV79="",T79&lt;=0,BV79&lt;=0),"",(1/Inputs!$B$9)*((T79^2/8)*((2*ACOS(1-2*BV79/T79))-SIN((2*ACOS(1-2*BV79/T79)))))*((((T79^2/8)*((2*ACOS(1-2*BV79/T79))-SIN((2*ACOS(1-2*BV79/T79)))))/((T79/2)*((2*ACOS(1-2*BV79/T79)))))^(2/3))*SQRT(P79))</f>
        <v/>
      </c>
      <c r="BX79" s="9" t="str">
        <f aca="false">IF(BB79="","",IF(BW79&lt;BB79,BV79,BT79))</f>
        <v/>
      </c>
      <c r="BY79" s="9" t="str">
        <f aca="false">IF(BB79="","",IF(BW79&lt;BB79,BU79,BV79))</f>
        <v/>
      </c>
      <c r="BZ79" s="9" t="str">
        <f aca="false">IF(BB79="","",(BX79+BY79)/2)</f>
        <v/>
      </c>
      <c r="CA79" s="9" t="str">
        <f aca="false">IF(OR(T79="",P79="",BZ79="",T79&lt;=0,BZ79&lt;=0),"",(1/Inputs!$B$9)*((T79^2/8)*((2*ACOS(1-2*BZ79/T79))-SIN((2*ACOS(1-2*BZ79/T79)))))*((((T79^2/8)*((2*ACOS(1-2*BZ79/T79))-SIN((2*ACOS(1-2*BZ79/T79)))))/((T79/2)*((2*ACOS(1-2*BZ79/T79)))))^(2/3))*SQRT(P79))</f>
        <v/>
      </c>
      <c r="CB79" s="9" t="str">
        <f aca="false">IF(BB79="","",IF(CA79&lt;BB79,BZ79,BX79))</f>
        <v/>
      </c>
      <c r="CC79" s="9" t="str">
        <f aca="false">IF(BB79="","",IF(CA79&lt;BB79,BY79,BZ79))</f>
        <v/>
      </c>
      <c r="CD79" s="9" t="str">
        <f aca="false">IF(BB79="","",(CB79+CC79)/2)</f>
        <v/>
      </c>
      <c r="CE79" s="9" t="str">
        <f aca="false">IF(OR(T79="",P79="",CD79="",T79&lt;=0,CD79&lt;=0),"",(1/Inputs!$B$9)*((T79^2/8)*((2*ACOS(1-2*CD79/T79))-SIN((2*ACOS(1-2*CD79/T79)))))*((((T79^2/8)*((2*ACOS(1-2*CD79/T79))-SIN((2*ACOS(1-2*CD79/T79)))))/((T79/2)*((2*ACOS(1-2*CD79/T79)))))^(2/3))*SQRT(P79))</f>
        <v/>
      </c>
      <c r="CF79" s="9" t="str">
        <f aca="false">IF(BB79="","",IF(CE79&lt;BB79,CD79,CB79))</f>
        <v/>
      </c>
      <c r="CG79" s="9" t="str">
        <f aca="false">IF(BB79="","",IF(CE79&lt;BB79,CC79,CD79))</f>
        <v/>
      </c>
      <c r="CH79" s="9" t="str">
        <f aca="false">IF(BB79="","",(CF79+CG79)/2)</f>
        <v/>
      </c>
    </row>
    <row r="80" customFormat="false" ht="15" hidden="false" customHeight="false" outlineLevel="0" collapsed="false">
      <c r="A80" s="9"/>
      <c r="B80" s="9"/>
      <c r="C80" s="9"/>
      <c r="D80" s="9"/>
      <c r="E80" s="14"/>
      <c r="F80" s="14"/>
      <c r="G80" s="14" t="n">
        <f aca="false">SUMIFS(CB_plan!$C:$C,CB_plan!$B:$B,$A80)</f>
        <v>0</v>
      </c>
      <c r="H80" s="14" t="n">
        <f aca="false">IF(F80="",G80,F80)</f>
        <v>0</v>
      </c>
      <c r="I80" s="9"/>
      <c r="J80" s="14"/>
      <c r="K80" s="14" t="str">
        <f aca="false">IF(A80="","",Inputs!$B$13/((IF(AV80="",Inputs!$B$18,AV80)+Inputs!$B$14)^Inputs!$B$15))</f>
        <v/>
      </c>
      <c r="L80" s="14" t="str">
        <f aca="false">IF(A80="","",0.000000278*IF(I80="",Inputs!$B$17,I80)*H80*K80)</f>
        <v/>
      </c>
      <c r="M80" s="14" t="str">
        <f aca="false">IF(A80="","",SUMIFS($N$4:$N$203,$D$4:$D$203,$A80))</f>
        <v/>
      </c>
      <c r="N80" s="14" t="str">
        <f aca="false">IF(A80="","",(L80+M80)*Inputs!$B$16)</f>
        <v/>
      </c>
      <c r="O80" s="14"/>
      <c r="P80" s="14" t="str">
        <f aca="false">IF(A80="","",IF(O80="",Inputs!$B$7,O80))</f>
        <v/>
      </c>
      <c r="Q80" s="9" t="str">
        <f aca="false">IF(A80="","",IF(N80/Inputs!$B$10&lt;=AG80,Inputs!$F$5,IF(N80/Inputs!$B$10&gt;AP80,"OVERSIZE",INDEX(Inputs!$F$5:$F$14,MATCH(N80/Inputs!$B$10,AG80:AP80,1)+1))))</f>
        <v/>
      </c>
      <c r="R80" s="9"/>
      <c r="S80" s="9" t="str">
        <f aca="false">IF(A80="","",IF(R80="",Q80,R80))</f>
        <v/>
      </c>
      <c r="T80" s="14" t="str">
        <f aca="false">IF(OR(S80="",S80="OVERSIZE"),"",S80/1000)</f>
        <v/>
      </c>
      <c r="U80" s="14" t="str">
        <f aca="false">IF(T80="","",(1/Inputs!$B$9)*(PI()*T80^2/4)*((T80/4)^(2/3))*SQRT(P80))</f>
        <v/>
      </c>
      <c r="V80" s="14" t="str">
        <f aca="false">IF(OR(U80="",N80=""),"",N80/(U80*Inputs!$B$10))</f>
        <v/>
      </c>
      <c r="W80" s="14" t="str">
        <f aca="false">IF(OR(T80="",N80=""),"",4*N80/(PI()*T80^2))</f>
        <v/>
      </c>
      <c r="X80" s="14"/>
      <c r="Y80" s="14" t="str">
        <f aca="false">IF(A80="","",IF(A80=Inputs!$B$6,Inputs!$B$22,IF(D80="","",IFERROR(INDEX($Z$4:$Z$203,MATCH(D80,$A$4:$A$203,0))+IF(X80="",Inputs!$B$20,X80),""))))</f>
        <v/>
      </c>
      <c r="Z80" s="14" t="str">
        <f aca="false">IF(OR(Y80="",P80="",E80=""),"",Y80+P80*E80)</f>
        <v/>
      </c>
      <c r="AA80" s="14" t="str">
        <f aca="false">IF(C80="","",IFERROR(INDEX(Noeuds_plan!$C$4:$C$200,MATCH(C80,Noeuds_plan!$A$4:$A$200,0)),""))</f>
        <v/>
      </c>
      <c r="AB80" s="14" t="str">
        <f aca="false">IF(B80="","",IFERROR(INDEX(Noeuds_plan!$C$4:$C$200,MATCH(B80,Noeuds_plan!$A$4:$A$200,0)),""))</f>
        <v/>
      </c>
      <c r="AC80" s="14" t="str">
        <f aca="false">IF(OR(AA80="",Y80=""),"",AA80-Y80)</f>
        <v/>
      </c>
      <c r="AD80" s="14" t="str">
        <f aca="false">IF(OR(AB80="",Z80=""),"",AB80-Z80)</f>
        <v/>
      </c>
      <c r="AE80" s="19" t="str">
        <f aca="false">IF(A80="","",IF(OR(V80&gt;1,AND(AY80&lt;&gt;"",AY80&lt;Inputs!$B$11),AND(AY80&lt;&gt;"",AY80&gt;Inputs!$B$12),AC80&lt;Inputs!$B$19,AD80&lt;Inputs!$B$19,P80&lt;Inputs!$B$7,P80&gt;Inputs!$B$8),"CHECK","OK"))</f>
        <v/>
      </c>
      <c r="AF80" s="9"/>
      <c r="AG80" s="9" t="str">
        <f aca="false">IF(A80="","",(1/Inputs!$B$9)*(PI()*(Inputs!$F$5/1000)^2/4)*((Inputs!$F$5/1000/4)^(2/3))*SQRT(P80))</f>
        <v/>
      </c>
      <c r="AH80" s="9" t="str">
        <f aca="false">IF(A80="","",(1/Inputs!$B$9)*(PI()*(Inputs!$F$6/1000)^2/4)*((Inputs!$F$6/1000/4)^(2/3))*SQRT(P80))</f>
        <v/>
      </c>
      <c r="AI80" s="9" t="str">
        <f aca="false">IF(A80="","",(1/Inputs!$B$9)*(PI()*(Inputs!$F$7/1000)^2/4)*((Inputs!$F$7/1000/4)^(2/3))*SQRT(P80))</f>
        <v/>
      </c>
      <c r="AJ80" s="9" t="str">
        <f aca="false">IF(A80="","",(1/Inputs!$B$9)*(PI()*(Inputs!$F$8/1000)^2/4)*((Inputs!$F$8/1000/4)^(2/3))*SQRT(P80))</f>
        <v/>
      </c>
      <c r="AK80" s="9" t="str">
        <f aca="false">IF(A80="","",(1/Inputs!$B$9)*(PI()*(Inputs!$F$9/1000)^2/4)*((Inputs!$F$9/1000/4)^(2/3))*SQRT(P80))</f>
        <v/>
      </c>
      <c r="AL80" s="9" t="str">
        <f aca="false">IF(A80="","",(1/Inputs!$B$9)*(PI()*(Inputs!$F$10/1000)^2/4)*((Inputs!$F$10/1000/4)^(2/3))*SQRT(P80))</f>
        <v/>
      </c>
      <c r="AM80" s="9" t="str">
        <f aca="false">IF(A80="","",(1/Inputs!$B$9)*(PI()*(Inputs!$F$11/1000)^2/4)*((Inputs!$F$11/1000/4)^(2/3))*SQRT(P80))</f>
        <v/>
      </c>
      <c r="AN80" s="9" t="str">
        <f aca="false">IF(A80="","",(1/Inputs!$B$9)*(PI()*(Inputs!$F$12/1000)^2/4)*((Inputs!$F$12/1000/4)^(2/3))*SQRT(P80))</f>
        <v/>
      </c>
      <c r="AO80" s="9" t="str">
        <f aca="false">IF(A80="","",(1/Inputs!$B$9)*(PI()*(Inputs!$F$13/1000)^2/4)*((Inputs!$F$13/1000/4)^(2/3))*SQRT(P80))</f>
        <v/>
      </c>
      <c r="AP80" s="9" t="str">
        <f aca="false">IF(A80="","",(1/Inputs!$B$9)*(PI()*(Inputs!$F$14/1000)^2/4)*((Inputs!$F$14/1000/4)^(2/3))*SQRT(P80))</f>
        <v/>
      </c>
      <c r="AQ80" s="9" t="str">
        <f aca="false">IF(A80="","",COUNTIF($D$4:$D$203,$A80))</f>
        <v/>
      </c>
      <c r="AR80" s="9" t="str">
        <f aca="false">IF(A80="","",IF(AQ80=0,"START","CONTINUOUS"))</f>
        <v/>
      </c>
      <c r="AS80" s="13" t="str">
        <f aca="false">IF(A80="","",IF(J80="",Inputs!$B$18,J80))</f>
        <v/>
      </c>
      <c r="AT80" s="13" t="str">
        <f aca="false">IF(A80="","",IFERROR(maxifs($AV$4:$AV$203,$D$4:$D$203,$A80),""))</f>
        <v/>
      </c>
      <c r="AU80" s="13" t="str">
        <f aca="false">IF(A80="","",IF(OR(E80="",Inputs!$B$23=""),"",E80/(Inputs!$B$23*60)))</f>
        <v/>
      </c>
      <c r="AV80" s="13" t="str">
        <f aca="false">IF(A80="","",IF(AQ80=0,AS80+AU80,IF(AT80="",AS80+AU80,AT80+AU80)))</f>
        <v/>
      </c>
      <c r="AW80" s="13" t="str">
        <f aca="false">IF(A80="","",W80)</f>
        <v/>
      </c>
      <c r="AX80" s="13" t="str">
        <f aca="false">IF(OR(T80="",P80=""),"",(1/Inputs!$B$9)*((T80/4)^(2/3))*SQRT(P80))</f>
        <v/>
      </c>
      <c r="AY80" s="13" t="str">
        <f aca="false">IF(A80="","",IF(AND(AW80="",AX80="",BA80=""),"",IF(OR(UPPER(TRIM(Inputs!$B$24))="MANNING",UPPER(TRIM(Inputs!$B$24))="M"),AX80,IF(OR(UPPER(TRIM(Inputs!$B$24))="PARTIAL",UPPER(TRIM(Inputs!$B$24))="P"),BA80,IF(OR(UPPER(TRIM(Inputs!$B$24))="MAX",UPPER(TRIM(Inputs!$B$24))="X"),MAX(IF(AW80="",0,AW80),IF(AX80="",0,AX80),IF(BA80="",0,BA80)),AW80)))))</f>
        <v/>
      </c>
      <c r="AZ80" s="13" t="str">
        <f aca="false">IF(BB80="","",CH80)</f>
        <v/>
      </c>
      <c r="BA80" s="13" t="str">
        <f aca="false">IF(OR(BB80="",AZ80="",T80="",T80&lt;=0,AZ80&lt;=0),"",BB80/((T80^2/8)*(2*ACOS(1-2*AZ80/T80)-SIN(2*ACOS(1-2*AZ80/T80)))))</f>
        <v/>
      </c>
      <c r="BB80" s="9" t="str">
        <f aca="false">IF(OR(N80="",BC80=""),"",MIN(N80,BC80))</f>
        <v/>
      </c>
      <c r="BC80" s="9" t="str">
        <f aca="false">IF(OR(N80="",T80="",P80=""),"",IF(OR(T80="",P80="",(0.94*T80)="",T80&lt;=0,(0.94*T80)&lt;=0),"",(1/Inputs!$B$9)*((T80^2/8)*((2*ACOS(1-2*(0.94*T80)/T80))-SIN((2*ACOS(1-2*(0.94*T80)/T80)))))*((((T80^2/8)*((2*ACOS(1-2*(0.94*T80)/T80))-SIN((2*ACOS(1-2*(0.94*T80)/T80)))))/((T80/2)*((2*ACOS(1-2*(0.94*T80)/T80)))))^(2/3))*SQRT(P80)))</f>
        <v/>
      </c>
      <c r="BD80" s="9" t="str">
        <f aca="false">IF(BB80="","",0.001*T80)</f>
        <v/>
      </c>
      <c r="BE80" s="9" t="str">
        <f aca="false">IF(BB80="","",0.94*T80)</f>
        <v/>
      </c>
      <c r="BF80" s="9" t="str">
        <f aca="false">IF(BB80="","",(BD80+BE80)/2)</f>
        <v/>
      </c>
      <c r="BG80" s="9" t="str">
        <f aca="false">IF(OR(T80="",P80="",BF80="",T80&lt;=0,BF80&lt;=0),"",(1/Inputs!$B$9)*((T80^2/8)*((2*ACOS(1-2*BF80/T80))-SIN((2*ACOS(1-2*BF80/T80)))))*((((T80^2/8)*((2*ACOS(1-2*BF80/T80))-SIN((2*ACOS(1-2*BF80/T80)))))/((T80/2)*((2*ACOS(1-2*BF80/T80)))))^(2/3))*SQRT(P80))</f>
        <v/>
      </c>
      <c r="BH80" s="9" t="str">
        <f aca="false">IF(BB80="","",IF(BG80&lt;BB80,BF80,BD80))</f>
        <v/>
      </c>
      <c r="BI80" s="9" t="str">
        <f aca="false">IF(BB80="","",IF(BG80&lt;BB80,BE80,BF80))</f>
        <v/>
      </c>
      <c r="BJ80" s="9" t="str">
        <f aca="false">IF(BB80="","",(BH80+BI80)/2)</f>
        <v/>
      </c>
      <c r="BK80" s="9" t="str">
        <f aca="false">IF(OR(T80="",P80="",BJ80="",T80&lt;=0,BJ80&lt;=0),"",(1/Inputs!$B$9)*((T80^2/8)*((2*ACOS(1-2*BJ80/T80))-SIN((2*ACOS(1-2*BJ80/T80)))))*((((T80^2/8)*((2*ACOS(1-2*BJ80/T80))-SIN((2*ACOS(1-2*BJ80/T80)))))/((T80/2)*((2*ACOS(1-2*BJ80/T80)))))^(2/3))*SQRT(P80))</f>
        <v/>
      </c>
      <c r="BL80" s="9" t="str">
        <f aca="false">IF(BB80="","",IF(BK80&lt;BB80,BJ80,BH80))</f>
        <v/>
      </c>
      <c r="BM80" s="9" t="str">
        <f aca="false">IF(BB80="","",IF(BK80&lt;BB80,BI80,BJ80))</f>
        <v/>
      </c>
      <c r="BN80" s="9" t="str">
        <f aca="false">IF(BB80="","",(BL80+BM80)/2)</f>
        <v/>
      </c>
      <c r="BO80" s="9" t="str">
        <f aca="false">IF(OR(T80="",P80="",BN80="",T80&lt;=0,BN80&lt;=0),"",(1/Inputs!$B$9)*((T80^2/8)*((2*ACOS(1-2*BN80/T80))-SIN((2*ACOS(1-2*BN80/T80)))))*((((T80^2/8)*((2*ACOS(1-2*BN80/T80))-SIN((2*ACOS(1-2*BN80/T80)))))/((T80/2)*((2*ACOS(1-2*BN80/T80)))))^(2/3))*SQRT(P80))</f>
        <v/>
      </c>
      <c r="BP80" s="9" t="str">
        <f aca="false">IF(BB80="","",IF(BO80&lt;BB80,BN80,BL80))</f>
        <v/>
      </c>
      <c r="BQ80" s="9" t="str">
        <f aca="false">IF(BB80="","",IF(BO80&lt;BB80,BM80,BN80))</f>
        <v/>
      </c>
      <c r="BR80" s="9" t="str">
        <f aca="false">IF(BB80="","",(BP80+BQ80)/2)</f>
        <v/>
      </c>
      <c r="BS80" s="9" t="str">
        <f aca="false">IF(OR(T80="",P80="",BR80="",T80&lt;=0,BR80&lt;=0),"",(1/Inputs!$B$9)*((T80^2/8)*((2*ACOS(1-2*BR80/T80))-SIN((2*ACOS(1-2*BR80/T80)))))*((((T80^2/8)*((2*ACOS(1-2*BR80/T80))-SIN((2*ACOS(1-2*BR80/T80)))))/((T80/2)*((2*ACOS(1-2*BR80/T80)))))^(2/3))*SQRT(P80))</f>
        <v/>
      </c>
      <c r="BT80" s="9" t="str">
        <f aca="false">IF(BB80="","",IF(BS80&lt;BB80,BR80,BP80))</f>
        <v/>
      </c>
      <c r="BU80" s="9" t="str">
        <f aca="false">IF(BB80="","",IF(BS80&lt;BB80,BQ80,BR80))</f>
        <v/>
      </c>
      <c r="BV80" s="9" t="str">
        <f aca="false">IF(BB80="","",(BT80+BU80)/2)</f>
        <v/>
      </c>
      <c r="BW80" s="9" t="str">
        <f aca="false">IF(OR(T80="",P80="",BV80="",T80&lt;=0,BV80&lt;=0),"",(1/Inputs!$B$9)*((T80^2/8)*((2*ACOS(1-2*BV80/T80))-SIN((2*ACOS(1-2*BV80/T80)))))*((((T80^2/8)*((2*ACOS(1-2*BV80/T80))-SIN((2*ACOS(1-2*BV80/T80)))))/((T80/2)*((2*ACOS(1-2*BV80/T80)))))^(2/3))*SQRT(P80))</f>
        <v/>
      </c>
      <c r="BX80" s="9" t="str">
        <f aca="false">IF(BB80="","",IF(BW80&lt;BB80,BV80,BT80))</f>
        <v/>
      </c>
      <c r="BY80" s="9" t="str">
        <f aca="false">IF(BB80="","",IF(BW80&lt;BB80,BU80,BV80))</f>
        <v/>
      </c>
      <c r="BZ80" s="9" t="str">
        <f aca="false">IF(BB80="","",(BX80+BY80)/2)</f>
        <v/>
      </c>
      <c r="CA80" s="9" t="str">
        <f aca="false">IF(OR(T80="",P80="",BZ80="",T80&lt;=0,BZ80&lt;=0),"",(1/Inputs!$B$9)*((T80^2/8)*((2*ACOS(1-2*BZ80/T80))-SIN((2*ACOS(1-2*BZ80/T80)))))*((((T80^2/8)*((2*ACOS(1-2*BZ80/T80))-SIN((2*ACOS(1-2*BZ80/T80)))))/((T80/2)*((2*ACOS(1-2*BZ80/T80)))))^(2/3))*SQRT(P80))</f>
        <v/>
      </c>
      <c r="CB80" s="9" t="str">
        <f aca="false">IF(BB80="","",IF(CA80&lt;BB80,BZ80,BX80))</f>
        <v/>
      </c>
      <c r="CC80" s="9" t="str">
        <f aca="false">IF(BB80="","",IF(CA80&lt;BB80,BY80,BZ80))</f>
        <v/>
      </c>
      <c r="CD80" s="9" t="str">
        <f aca="false">IF(BB80="","",(CB80+CC80)/2)</f>
        <v/>
      </c>
      <c r="CE80" s="9" t="str">
        <f aca="false">IF(OR(T80="",P80="",CD80="",T80&lt;=0,CD80&lt;=0),"",(1/Inputs!$B$9)*((T80^2/8)*((2*ACOS(1-2*CD80/T80))-SIN((2*ACOS(1-2*CD80/T80)))))*((((T80^2/8)*((2*ACOS(1-2*CD80/T80))-SIN((2*ACOS(1-2*CD80/T80)))))/((T80/2)*((2*ACOS(1-2*CD80/T80)))))^(2/3))*SQRT(P80))</f>
        <v/>
      </c>
      <c r="CF80" s="9" t="str">
        <f aca="false">IF(BB80="","",IF(CE80&lt;BB80,CD80,CB80))</f>
        <v/>
      </c>
      <c r="CG80" s="9" t="str">
        <f aca="false">IF(BB80="","",IF(CE80&lt;BB80,CC80,CD80))</f>
        <v/>
      </c>
      <c r="CH80" s="9" t="str">
        <f aca="false">IF(BB80="","",(CF80+CG80)/2)</f>
        <v/>
      </c>
    </row>
    <row r="81" customFormat="false" ht="15" hidden="false" customHeight="false" outlineLevel="0" collapsed="false">
      <c r="A81" s="9"/>
      <c r="B81" s="9"/>
      <c r="C81" s="9"/>
      <c r="D81" s="9"/>
      <c r="E81" s="14"/>
      <c r="F81" s="14"/>
      <c r="G81" s="14" t="n">
        <f aca="false">SUMIFS(CB_plan!$C:$C,CB_plan!$B:$B,$A81)</f>
        <v>0</v>
      </c>
      <c r="H81" s="14" t="n">
        <f aca="false">IF(F81="",G81,F81)</f>
        <v>0</v>
      </c>
      <c r="I81" s="9"/>
      <c r="J81" s="14"/>
      <c r="K81" s="14" t="str">
        <f aca="false">IF(A81="","",Inputs!$B$13/((IF(AV81="",Inputs!$B$18,AV81)+Inputs!$B$14)^Inputs!$B$15))</f>
        <v/>
      </c>
      <c r="L81" s="14" t="str">
        <f aca="false">IF(A81="","",0.000000278*IF(I81="",Inputs!$B$17,I81)*H81*K81)</f>
        <v/>
      </c>
      <c r="M81" s="14" t="str">
        <f aca="false">IF(A81="","",SUMIFS($N$4:$N$203,$D$4:$D$203,$A81))</f>
        <v/>
      </c>
      <c r="N81" s="14" t="str">
        <f aca="false">IF(A81="","",(L81+M81)*Inputs!$B$16)</f>
        <v/>
      </c>
      <c r="O81" s="14"/>
      <c r="P81" s="14" t="str">
        <f aca="false">IF(A81="","",IF(O81="",Inputs!$B$7,O81))</f>
        <v/>
      </c>
      <c r="Q81" s="9" t="str">
        <f aca="false">IF(A81="","",IF(N81/Inputs!$B$10&lt;=AG81,Inputs!$F$5,IF(N81/Inputs!$B$10&gt;AP81,"OVERSIZE",INDEX(Inputs!$F$5:$F$14,MATCH(N81/Inputs!$B$10,AG81:AP81,1)+1))))</f>
        <v/>
      </c>
      <c r="R81" s="9"/>
      <c r="S81" s="9" t="str">
        <f aca="false">IF(A81="","",IF(R81="",Q81,R81))</f>
        <v/>
      </c>
      <c r="T81" s="14" t="str">
        <f aca="false">IF(OR(S81="",S81="OVERSIZE"),"",S81/1000)</f>
        <v/>
      </c>
      <c r="U81" s="14" t="str">
        <f aca="false">IF(T81="","",(1/Inputs!$B$9)*(PI()*T81^2/4)*((T81/4)^(2/3))*SQRT(P81))</f>
        <v/>
      </c>
      <c r="V81" s="14" t="str">
        <f aca="false">IF(OR(U81="",N81=""),"",N81/(U81*Inputs!$B$10))</f>
        <v/>
      </c>
      <c r="W81" s="14" t="str">
        <f aca="false">IF(OR(T81="",N81=""),"",4*N81/(PI()*T81^2))</f>
        <v/>
      </c>
      <c r="X81" s="14"/>
      <c r="Y81" s="14" t="str">
        <f aca="false">IF(A81="","",IF(A81=Inputs!$B$6,Inputs!$B$22,IF(D81="","",IFERROR(INDEX($Z$4:$Z$203,MATCH(D81,$A$4:$A$203,0))+IF(X81="",Inputs!$B$20,X81),""))))</f>
        <v/>
      </c>
      <c r="Z81" s="14" t="str">
        <f aca="false">IF(OR(Y81="",P81="",E81=""),"",Y81+P81*E81)</f>
        <v/>
      </c>
      <c r="AA81" s="14" t="str">
        <f aca="false">IF(C81="","",IFERROR(INDEX(Noeuds_plan!$C$4:$C$200,MATCH(C81,Noeuds_plan!$A$4:$A$200,0)),""))</f>
        <v/>
      </c>
      <c r="AB81" s="14" t="str">
        <f aca="false">IF(B81="","",IFERROR(INDEX(Noeuds_plan!$C$4:$C$200,MATCH(B81,Noeuds_plan!$A$4:$A$200,0)),""))</f>
        <v/>
      </c>
      <c r="AC81" s="14" t="str">
        <f aca="false">IF(OR(AA81="",Y81=""),"",AA81-Y81)</f>
        <v/>
      </c>
      <c r="AD81" s="14" t="str">
        <f aca="false">IF(OR(AB81="",Z81=""),"",AB81-Z81)</f>
        <v/>
      </c>
      <c r="AE81" s="19" t="str">
        <f aca="false">IF(A81="","",IF(OR(V81&gt;1,AND(AY81&lt;&gt;"",AY81&lt;Inputs!$B$11),AND(AY81&lt;&gt;"",AY81&gt;Inputs!$B$12),AC81&lt;Inputs!$B$19,AD81&lt;Inputs!$B$19,P81&lt;Inputs!$B$7,P81&gt;Inputs!$B$8),"CHECK","OK"))</f>
        <v/>
      </c>
      <c r="AF81" s="9"/>
      <c r="AG81" s="9" t="str">
        <f aca="false">IF(A81="","",(1/Inputs!$B$9)*(PI()*(Inputs!$F$5/1000)^2/4)*((Inputs!$F$5/1000/4)^(2/3))*SQRT(P81))</f>
        <v/>
      </c>
      <c r="AH81" s="9" t="str">
        <f aca="false">IF(A81="","",(1/Inputs!$B$9)*(PI()*(Inputs!$F$6/1000)^2/4)*((Inputs!$F$6/1000/4)^(2/3))*SQRT(P81))</f>
        <v/>
      </c>
      <c r="AI81" s="9" t="str">
        <f aca="false">IF(A81="","",(1/Inputs!$B$9)*(PI()*(Inputs!$F$7/1000)^2/4)*((Inputs!$F$7/1000/4)^(2/3))*SQRT(P81))</f>
        <v/>
      </c>
      <c r="AJ81" s="9" t="str">
        <f aca="false">IF(A81="","",(1/Inputs!$B$9)*(PI()*(Inputs!$F$8/1000)^2/4)*((Inputs!$F$8/1000/4)^(2/3))*SQRT(P81))</f>
        <v/>
      </c>
      <c r="AK81" s="9" t="str">
        <f aca="false">IF(A81="","",(1/Inputs!$B$9)*(PI()*(Inputs!$F$9/1000)^2/4)*((Inputs!$F$9/1000/4)^(2/3))*SQRT(P81))</f>
        <v/>
      </c>
      <c r="AL81" s="9" t="str">
        <f aca="false">IF(A81="","",(1/Inputs!$B$9)*(PI()*(Inputs!$F$10/1000)^2/4)*((Inputs!$F$10/1000/4)^(2/3))*SQRT(P81))</f>
        <v/>
      </c>
      <c r="AM81" s="9" t="str">
        <f aca="false">IF(A81="","",(1/Inputs!$B$9)*(PI()*(Inputs!$F$11/1000)^2/4)*((Inputs!$F$11/1000/4)^(2/3))*SQRT(P81))</f>
        <v/>
      </c>
      <c r="AN81" s="9" t="str">
        <f aca="false">IF(A81="","",(1/Inputs!$B$9)*(PI()*(Inputs!$F$12/1000)^2/4)*((Inputs!$F$12/1000/4)^(2/3))*SQRT(P81))</f>
        <v/>
      </c>
      <c r="AO81" s="9" t="str">
        <f aca="false">IF(A81="","",(1/Inputs!$B$9)*(PI()*(Inputs!$F$13/1000)^2/4)*((Inputs!$F$13/1000/4)^(2/3))*SQRT(P81))</f>
        <v/>
      </c>
      <c r="AP81" s="9" t="str">
        <f aca="false">IF(A81="","",(1/Inputs!$B$9)*(PI()*(Inputs!$F$14/1000)^2/4)*((Inputs!$F$14/1000/4)^(2/3))*SQRT(P81))</f>
        <v/>
      </c>
      <c r="AQ81" s="9" t="str">
        <f aca="false">IF(A81="","",COUNTIF($D$4:$D$203,$A81))</f>
        <v/>
      </c>
      <c r="AR81" s="9" t="str">
        <f aca="false">IF(A81="","",IF(AQ81=0,"START","CONTINUOUS"))</f>
        <v/>
      </c>
      <c r="AS81" s="13" t="str">
        <f aca="false">IF(A81="","",IF(J81="",Inputs!$B$18,J81))</f>
        <v/>
      </c>
      <c r="AT81" s="13" t="str">
        <f aca="false">IF(A81="","",IFERROR(maxifs($AV$4:$AV$203,$D$4:$D$203,$A81),""))</f>
        <v/>
      </c>
      <c r="AU81" s="13" t="str">
        <f aca="false">IF(A81="","",IF(OR(E81="",Inputs!$B$23=""),"",E81/(Inputs!$B$23*60)))</f>
        <v/>
      </c>
      <c r="AV81" s="13" t="str">
        <f aca="false">IF(A81="","",IF(AQ81=0,AS81+AU81,IF(AT81="",AS81+AU81,AT81+AU81)))</f>
        <v/>
      </c>
      <c r="AW81" s="13" t="str">
        <f aca="false">IF(A81="","",W81)</f>
        <v/>
      </c>
      <c r="AX81" s="13" t="str">
        <f aca="false">IF(OR(T81="",P81=""),"",(1/Inputs!$B$9)*((T81/4)^(2/3))*SQRT(P81))</f>
        <v/>
      </c>
      <c r="AY81" s="13" t="str">
        <f aca="false">IF(A81="","",IF(AND(AW81="",AX81="",BA81=""),"",IF(OR(UPPER(TRIM(Inputs!$B$24))="MANNING",UPPER(TRIM(Inputs!$B$24))="M"),AX81,IF(OR(UPPER(TRIM(Inputs!$B$24))="PARTIAL",UPPER(TRIM(Inputs!$B$24))="P"),BA81,IF(OR(UPPER(TRIM(Inputs!$B$24))="MAX",UPPER(TRIM(Inputs!$B$24))="X"),MAX(IF(AW81="",0,AW81),IF(AX81="",0,AX81),IF(BA81="",0,BA81)),AW81)))))</f>
        <v/>
      </c>
      <c r="AZ81" s="13" t="str">
        <f aca="false">IF(BB81="","",CH81)</f>
        <v/>
      </c>
      <c r="BA81" s="13" t="str">
        <f aca="false">IF(OR(BB81="",AZ81="",T81="",T81&lt;=0,AZ81&lt;=0),"",BB81/((T81^2/8)*(2*ACOS(1-2*AZ81/T81)-SIN(2*ACOS(1-2*AZ81/T81)))))</f>
        <v/>
      </c>
      <c r="BB81" s="9" t="str">
        <f aca="false">IF(OR(N81="",BC81=""),"",MIN(N81,BC81))</f>
        <v/>
      </c>
      <c r="BC81" s="9" t="str">
        <f aca="false">IF(OR(N81="",T81="",P81=""),"",IF(OR(T81="",P81="",(0.94*T81)="",T81&lt;=0,(0.94*T81)&lt;=0),"",(1/Inputs!$B$9)*((T81^2/8)*((2*ACOS(1-2*(0.94*T81)/T81))-SIN((2*ACOS(1-2*(0.94*T81)/T81)))))*((((T81^2/8)*((2*ACOS(1-2*(0.94*T81)/T81))-SIN((2*ACOS(1-2*(0.94*T81)/T81)))))/((T81/2)*((2*ACOS(1-2*(0.94*T81)/T81)))))^(2/3))*SQRT(P81)))</f>
        <v/>
      </c>
      <c r="BD81" s="9" t="str">
        <f aca="false">IF(BB81="","",0.001*T81)</f>
        <v/>
      </c>
      <c r="BE81" s="9" t="str">
        <f aca="false">IF(BB81="","",0.94*T81)</f>
        <v/>
      </c>
      <c r="BF81" s="9" t="str">
        <f aca="false">IF(BB81="","",(BD81+BE81)/2)</f>
        <v/>
      </c>
      <c r="BG81" s="9" t="str">
        <f aca="false">IF(OR(T81="",P81="",BF81="",T81&lt;=0,BF81&lt;=0),"",(1/Inputs!$B$9)*((T81^2/8)*((2*ACOS(1-2*BF81/T81))-SIN((2*ACOS(1-2*BF81/T81)))))*((((T81^2/8)*((2*ACOS(1-2*BF81/T81))-SIN((2*ACOS(1-2*BF81/T81)))))/((T81/2)*((2*ACOS(1-2*BF81/T81)))))^(2/3))*SQRT(P81))</f>
        <v/>
      </c>
      <c r="BH81" s="9" t="str">
        <f aca="false">IF(BB81="","",IF(BG81&lt;BB81,BF81,BD81))</f>
        <v/>
      </c>
      <c r="BI81" s="9" t="str">
        <f aca="false">IF(BB81="","",IF(BG81&lt;BB81,BE81,BF81))</f>
        <v/>
      </c>
      <c r="BJ81" s="9" t="str">
        <f aca="false">IF(BB81="","",(BH81+BI81)/2)</f>
        <v/>
      </c>
      <c r="BK81" s="9" t="str">
        <f aca="false">IF(OR(T81="",P81="",BJ81="",T81&lt;=0,BJ81&lt;=0),"",(1/Inputs!$B$9)*((T81^2/8)*((2*ACOS(1-2*BJ81/T81))-SIN((2*ACOS(1-2*BJ81/T81)))))*((((T81^2/8)*((2*ACOS(1-2*BJ81/T81))-SIN((2*ACOS(1-2*BJ81/T81)))))/((T81/2)*((2*ACOS(1-2*BJ81/T81)))))^(2/3))*SQRT(P81))</f>
        <v/>
      </c>
      <c r="BL81" s="9" t="str">
        <f aca="false">IF(BB81="","",IF(BK81&lt;BB81,BJ81,BH81))</f>
        <v/>
      </c>
      <c r="BM81" s="9" t="str">
        <f aca="false">IF(BB81="","",IF(BK81&lt;BB81,BI81,BJ81))</f>
        <v/>
      </c>
      <c r="BN81" s="9" t="str">
        <f aca="false">IF(BB81="","",(BL81+BM81)/2)</f>
        <v/>
      </c>
      <c r="BO81" s="9" t="str">
        <f aca="false">IF(OR(T81="",P81="",BN81="",T81&lt;=0,BN81&lt;=0),"",(1/Inputs!$B$9)*((T81^2/8)*((2*ACOS(1-2*BN81/T81))-SIN((2*ACOS(1-2*BN81/T81)))))*((((T81^2/8)*((2*ACOS(1-2*BN81/T81))-SIN((2*ACOS(1-2*BN81/T81)))))/((T81/2)*((2*ACOS(1-2*BN81/T81)))))^(2/3))*SQRT(P81))</f>
        <v/>
      </c>
      <c r="BP81" s="9" t="str">
        <f aca="false">IF(BB81="","",IF(BO81&lt;BB81,BN81,BL81))</f>
        <v/>
      </c>
      <c r="BQ81" s="9" t="str">
        <f aca="false">IF(BB81="","",IF(BO81&lt;BB81,BM81,BN81))</f>
        <v/>
      </c>
      <c r="BR81" s="9" t="str">
        <f aca="false">IF(BB81="","",(BP81+BQ81)/2)</f>
        <v/>
      </c>
      <c r="BS81" s="9" t="str">
        <f aca="false">IF(OR(T81="",P81="",BR81="",T81&lt;=0,BR81&lt;=0),"",(1/Inputs!$B$9)*((T81^2/8)*((2*ACOS(1-2*BR81/T81))-SIN((2*ACOS(1-2*BR81/T81)))))*((((T81^2/8)*((2*ACOS(1-2*BR81/T81))-SIN((2*ACOS(1-2*BR81/T81)))))/((T81/2)*((2*ACOS(1-2*BR81/T81)))))^(2/3))*SQRT(P81))</f>
        <v/>
      </c>
      <c r="BT81" s="9" t="str">
        <f aca="false">IF(BB81="","",IF(BS81&lt;BB81,BR81,BP81))</f>
        <v/>
      </c>
      <c r="BU81" s="9" t="str">
        <f aca="false">IF(BB81="","",IF(BS81&lt;BB81,BQ81,BR81))</f>
        <v/>
      </c>
      <c r="BV81" s="9" t="str">
        <f aca="false">IF(BB81="","",(BT81+BU81)/2)</f>
        <v/>
      </c>
      <c r="BW81" s="9" t="str">
        <f aca="false">IF(OR(T81="",P81="",BV81="",T81&lt;=0,BV81&lt;=0),"",(1/Inputs!$B$9)*((T81^2/8)*((2*ACOS(1-2*BV81/T81))-SIN((2*ACOS(1-2*BV81/T81)))))*((((T81^2/8)*((2*ACOS(1-2*BV81/T81))-SIN((2*ACOS(1-2*BV81/T81)))))/((T81/2)*((2*ACOS(1-2*BV81/T81)))))^(2/3))*SQRT(P81))</f>
        <v/>
      </c>
      <c r="BX81" s="9" t="str">
        <f aca="false">IF(BB81="","",IF(BW81&lt;BB81,BV81,BT81))</f>
        <v/>
      </c>
      <c r="BY81" s="9" t="str">
        <f aca="false">IF(BB81="","",IF(BW81&lt;BB81,BU81,BV81))</f>
        <v/>
      </c>
      <c r="BZ81" s="9" t="str">
        <f aca="false">IF(BB81="","",(BX81+BY81)/2)</f>
        <v/>
      </c>
      <c r="CA81" s="9" t="str">
        <f aca="false">IF(OR(T81="",P81="",BZ81="",T81&lt;=0,BZ81&lt;=0),"",(1/Inputs!$B$9)*((T81^2/8)*((2*ACOS(1-2*BZ81/T81))-SIN((2*ACOS(1-2*BZ81/T81)))))*((((T81^2/8)*((2*ACOS(1-2*BZ81/T81))-SIN((2*ACOS(1-2*BZ81/T81)))))/((T81/2)*((2*ACOS(1-2*BZ81/T81)))))^(2/3))*SQRT(P81))</f>
        <v/>
      </c>
      <c r="CB81" s="9" t="str">
        <f aca="false">IF(BB81="","",IF(CA81&lt;BB81,BZ81,BX81))</f>
        <v/>
      </c>
      <c r="CC81" s="9" t="str">
        <f aca="false">IF(BB81="","",IF(CA81&lt;BB81,BY81,BZ81))</f>
        <v/>
      </c>
      <c r="CD81" s="9" t="str">
        <f aca="false">IF(BB81="","",(CB81+CC81)/2)</f>
        <v/>
      </c>
      <c r="CE81" s="9" t="str">
        <f aca="false">IF(OR(T81="",P81="",CD81="",T81&lt;=0,CD81&lt;=0),"",(1/Inputs!$B$9)*((T81^2/8)*((2*ACOS(1-2*CD81/T81))-SIN((2*ACOS(1-2*CD81/T81)))))*((((T81^2/8)*((2*ACOS(1-2*CD81/T81))-SIN((2*ACOS(1-2*CD81/T81)))))/((T81/2)*((2*ACOS(1-2*CD81/T81)))))^(2/3))*SQRT(P81))</f>
        <v/>
      </c>
      <c r="CF81" s="9" t="str">
        <f aca="false">IF(BB81="","",IF(CE81&lt;BB81,CD81,CB81))</f>
        <v/>
      </c>
      <c r="CG81" s="9" t="str">
        <f aca="false">IF(BB81="","",IF(CE81&lt;BB81,CC81,CD81))</f>
        <v/>
      </c>
      <c r="CH81" s="9" t="str">
        <f aca="false">IF(BB81="","",(CF81+CG81)/2)</f>
        <v/>
      </c>
    </row>
    <row r="82" customFormat="false" ht="15" hidden="false" customHeight="false" outlineLevel="0" collapsed="false">
      <c r="A82" s="9"/>
      <c r="B82" s="9"/>
      <c r="C82" s="9"/>
      <c r="D82" s="9"/>
      <c r="E82" s="14"/>
      <c r="F82" s="14"/>
      <c r="G82" s="14" t="n">
        <f aca="false">SUMIFS(CB_plan!$C:$C,CB_plan!$B:$B,$A82)</f>
        <v>0</v>
      </c>
      <c r="H82" s="14" t="n">
        <f aca="false">IF(F82="",G82,F82)</f>
        <v>0</v>
      </c>
      <c r="I82" s="9"/>
      <c r="J82" s="14"/>
      <c r="K82" s="14" t="str">
        <f aca="false">IF(A82="","",Inputs!$B$13/((IF(AV82="",Inputs!$B$18,AV82)+Inputs!$B$14)^Inputs!$B$15))</f>
        <v/>
      </c>
      <c r="L82" s="14" t="str">
        <f aca="false">IF(A82="","",0.000000278*IF(I82="",Inputs!$B$17,I82)*H82*K82)</f>
        <v/>
      </c>
      <c r="M82" s="14" t="str">
        <f aca="false">IF(A82="","",SUMIFS($N$4:$N$203,$D$4:$D$203,$A82))</f>
        <v/>
      </c>
      <c r="N82" s="14" t="str">
        <f aca="false">IF(A82="","",(L82+M82)*Inputs!$B$16)</f>
        <v/>
      </c>
      <c r="O82" s="14"/>
      <c r="P82" s="14" t="str">
        <f aca="false">IF(A82="","",IF(O82="",Inputs!$B$7,O82))</f>
        <v/>
      </c>
      <c r="Q82" s="9" t="str">
        <f aca="false">IF(A82="","",IF(N82/Inputs!$B$10&lt;=AG82,Inputs!$F$5,IF(N82/Inputs!$B$10&gt;AP82,"OVERSIZE",INDEX(Inputs!$F$5:$F$14,MATCH(N82/Inputs!$B$10,AG82:AP82,1)+1))))</f>
        <v/>
      </c>
      <c r="R82" s="9"/>
      <c r="S82" s="9" t="str">
        <f aca="false">IF(A82="","",IF(R82="",Q82,R82))</f>
        <v/>
      </c>
      <c r="T82" s="14" t="str">
        <f aca="false">IF(OR(S82="",S82="OVERSIZE"),"",S82/1000)</f>
        <v/>
      </c>
      <c r="U82" s="14" t="str">
        <f aca="false">IF(T82="","",(1/Inputs!$B$9)*(PI()*T82^2/4)*((T82/4)^(2/3))*SQRT(P82))</f>
        <v/>
      </c>
      <c r="V82" s="14" t="str">
        <f aca="false">IF(OR(U82="",N82=""),"",N82/(U82*Inputs!$B$10))</f>
        <v/>
      </c>
      <c r="W82" s="14" t="str">
        <f aca="false">IF(OR(T82="",N82=""),"",4*N82/(PI()*T82^2))</f>
        <v/>
      </c>
      <c r="X82" s="14"/>
      <c r="Y82" s="14" t="str">
        <f aca="false">IF(A82="","",IF(A82=Inputs!$B$6,Inputs!$B$22,IF(D82="","",IFERROR(INDEX($Z$4:$Z$203,MATCH(D82,$A$4:$A$203,0))+IF(X82="",Inputs!$B$20,X82),""))))</f>
        <v/>
      </c>
      <c r="Z82" s="14" t="str">
        <f aca="false">IF(OR(Y82="",P82="",E82=""),"",Y82+P82*E82)</f>
        <v/>
      </c>
      <c r="AA82" s="14" t="str">
        <f aca="false">IF(C82="","",IFERROR(INDEX(Noeuds_plan!$C$4:$C$200,MATCH(C82,Noeuds_plan!$A$4:$A$200,0)),""))</f>
        <v/>
      </c>
      <c r="AB82" s="14" t="str">
        <f aca="false">IF(B82="","",IFERROR(INDEX(Noeuds_plan!$C$4:$C$200,MATCH(B82,Noeuds_plan!$A$4:$A$200,0)),""))</f>
        <v/>
      </c>
      <c r="AC82" s="14" t="str">
        <f aca="false">IF(OR(AA82="",Y82=""),"",AA82-Y82)</f>
        <v/>
      </c>
      <c r="AD82" s="14" t="str">
        <f aca="false">IF(OR(AB82="",Z82=""),"",AB82-Z82)</f>
        <v/>
      </c>
      <c r="AE82" s="19" t="str">
        <f aca="false">IF(A82="","",IF(OR(V82&gt;1,AND(AY82&lt;&gt;"",AY82&lt;Inputs!$B$11),AND(AY82&lt;&gt;"",AY82&gt;Inputs!$B$12),AC82&lt;Inputs!$B$19,AD82&lt;Inputs!$B$19,P82&lt;Inputs!$B$7,P82&gt;Inputs!$B$8),"CHECK","OK"))</f>
        <v/>
      </c>
      <c r="AF82" s="9"/>
      <c r="AG82" s="9" t="str">
        <f aca="false">IF(A82="","",(1/Inputs!$B$9)*(PI()*(Inputs!$F$5/1000)^2/4)*((Inputs!$F$5/1000/4)^(2/3))*SQRT(P82))</f>
        <v/>
      </c>
      <c r="AH82" s="9" t="str">
        <f aca="false">IF(A82="","",(1/Inputs!$B$9)*(PI()*(Inputs!$F$6/1000)^2/4)*((Inputs!$F$6/1000/4)^(2/3))*SQRT(P82))</f>
        <v/>
      </c>
      <c r="AI82" s="9" t="str">
        <f aca="false">IF(A82="","",(1/Inputs!$B$9)*(PI()*(Inputs!$F$7/1000)^2/4)*((Inputs!$F$7/1000/4)^(2/3))*SQRT(P82))</f>
        <v/>
      </c>
      <c r="AJ82" s="9" t="str">
        <f aca="false">IF(A82="","",(1/Inputs!$B$9)*(PI()*(Inputs!$F$8/1000)^2/4)*((Inputs!$F$8/1000/4)^(2/3))*SQRT(P82))</f>
        <v/>
      </c>
      <c r="AK82" s="9" t="str">
        <f aca="false">IF(A82="","",(1/Inputs!$B$9)*(PI()*(Inputs!$F$9/1000)^2/4)*((Inputs!$F$9/1000/4)^(2/3))*SQRT(P82))</f>
        <v/>
      </c>
      <c r="AL82" s="9" t="str">
        <f aca="false">IF(A82="","",(1/Inputs!$B$9)*(PI()*(Inputs!$F$10/1000)^2/4)*((Inputs!$F$10/1000/4)^(2/3))*SQRT(P82))</f>
        <v/>
      </c>
      <c r="AM82" s="9" t="str">
        <f aca="false">IF(A82="","",(1/Inputs!$B$9)*(PI()*(Inputs!$F$11/1000)^2/4)*((Inputs!$F$11/1000/4)^(2/3))*SQRT(P82))</f>
        <v/>
      </c>
      <c r="AN82" s="9" t="str">
        <f aca="false">IF(A82="","",(1/Inputs!$B$9)*(PI()*(Inputs!$F$12/1000)^2/4)*((Inputs!$F$12/1000/4)^(2/3))*SQRT(P82))</f>
        <v/>
      </c>
      <c r="AO82" s="9" t="str">
        <f aca="false">IF(A82="","",(1/Inputs!$B$9)*(PI()*(Inputs!$F$13/1000)^2/4)*((Inputs!$F$13/1000/4)^(2/3))*SQRT(P82))</f>
        <v/>
      </c>
      <c r="AP82" s="9" t="str">
        <f aca="false">IF(A82="","",(1/Inputs!$B$9)*(PI()*(Inputs!$F$14/1000)^2/4)*((Inputs!$F$14/1000/4)^(2/3))*SQRT(P82))</f>
        <v/>
      </c>
      <c r="AQ82" s="9" t="str">
        <f aca="false">IF(A82="","",COUNTIF($D$4:$D$203,$A82))</f>
        <v/>
      </c>
      <c r="AR82" s="9" t="str">
        <f aca="false">IF(A82="","",IF(AQ82=0,"START","CONTINUOUS"))</f>
        <v/>
      </c>
      <c r="AS82" s="13" t="str">
        <f aca="false">IF(A82="","",IF(J82="",Inputs!$B$18,J82))</f>
        <v/>
      </c>
      <c r="AT82" s="13" t="str">
        <f aca="false">IF(A82="","",IFERROR(maxifs($AV$4:$AV$203,$D$4:$D$203,$A82),""))</f>
        <v/>
      </c>
      <c r="AU82" s="13" t="str">
        <f aca="false">IF(A82="","",IF(OR(E82="",Inputs!$B$23=""),"",E82/(Inputs!$B$23*60)))</f>
        <v/>
      </c>
      <c r="AV82" s="13" t="str">
        <f aca="false">IF(A82="","",IF(AQ82=0,AS82+AU82,IF(AT82="",AS82+AU82,AT82+AU82)))</f>
        <v/>
      </c>
      <c r="AW82" s="13" t="str">
        <f aca="false">IF(A82="","",W82)</f>
        <v/>
      </c>
      <c r="AX82" s="13" t="str">
        <f aca="false">IF(OR(T82="",P82=""),"",(1/Inputs!$B$9)*((T82/4)^(2/3))*SQRT(P82))</f>
        <v/>
      </c>
      <c r="AY82" s="13" t="str">
        <f aca="false">IF(A82="","",IF(AND(AW82="",AX82="",BA82=""),"",IF(OR(UPPER(TRIM(Inputs!$B$24))="MANNING",UPPER(TRIM(Inputs!$B$24))="M"),AX82,IF(OR(UPPER(TRIM(Inputs!$B$24))="PARTIAL",UPPER(TRIM(Inputs!$B$24))="P"),BA82,IF(OR(UPPER(TRIM(Inputs!$B$24))="MAX",UPPER(TRIM(Inputs!$B$24))="X"),MAX(IF(AW82="",0,AW82),IF(AX82="",0,AX82),IF(BA82="",0,BA82)),AW82)))))</f>
        <v/>
      </c>
      <c r="AZ82" s="13" t="str">
        <f aca="false">IF(BB82="","",CH82)</f>
        <v/>
      </c>
      <c r="BA82" s="13" t="str">
        <f aca="false">IF(OR(BB82="",AZ82="",T82="",T82&lt;=0,AZ82&lt;=0),"",BB82/((T82^2/8)*(2*ACOS(1-2*AZ82/T82)-SIN(2*ACOS(1-2*AZ82/T82)))))</f>
        <v/>
      </c>
      <c r="BB82" s="9" t="str">
        <f aca="false">IF(OR(N82="",BC82=""),"",MIN(N82,BC82))</f>
        <v/>
      </c>
      <c r="BC82" s="9" t="str">
        <f aca="false">IF(OR(N82="",T82="",P82=""),"",IF(OR(T82="",P82="",(0.94*T82)="",T82&lt;=0,(0.94*T82)&lt;=0),"",(1/Inputs!$B$9)*((T82^2/8)*((2*ACOS(1-2*(0.94*T82)/T82))-SIN((2*ACOS(1-2*(0.94*T82)/T82)))))*((((T82^2/8)*((2*ACOS(1-2*(0.94*T82)/T82))-SIN((2*ACOS(1-2*(0.94*T82)/T82)))))/((T82/2)*((2*ACOS(1-2*(0.94*T82)/T82)))))^(2/3))*SQRT(P82)))</f>
        <v/>
      </c>
      <c r="BD82" s="9" t="str">
        <f aca="false">IF(BB82="","",0.001*T82)</f>
        <v/>
      </c>
      <c r="BE82" s="9" t="str">
        <f aca="false">IF(BB82="","",0.94*T82)</f>
        <v/>
      </c>
      <c r="BF82" s="9" t="str">
        <f aca="false">IF(BB82="","",(BD82+BE82)/2)</f>
        <v/>
      </c>
      <c r="BG82" s="9" t="str">
        <f aca="false">IF(OR(T82="",P82="",BF82="",T82&lt;=0,BF82&lt;=0),"",(1/Inputs!$B$9)*((T82^2/8)*((2*ACOS(1-2*BF82/T82))-SIN((2*ACOS(1-2*BF82/T82)))))*((((T82^2/8)*((2*ACOS(1-2*BF82/T82))-SIN((2*ACOS(1-2*BF82/T82)))))/((T82/2)*((2*ACOS(1-2*BF82/T82)))))^(2/3))*SQRT(P82))</f>
        <v/>
      </c>
      <c r="BH82" s="9" t="str">
        <f aca="false">IF(BB82="","",IF(BG82&lt;BB82,BF82,BD82))</f>
        <v/>
      </c>
      <c r="BI82" s="9" t="str">
        <f aca="false">IF(BB82="","",IF(BG82&lt;BB82,BE82,BF82))</f>
        <v/>
      </c>
      <c r="BJ82" s="9" t="str">
        <f aca="false">IF(BB82="","",(BH82+BI82)/2)</f>
        <v/>
      </c>
      <c r="BK82" s="9" t="str">
        <f aca="false">IF(OR(T82="",P82="",BJ82="",T82&lt;=0,BJ82&lt;=0),"",(1/Inputs!$B$9)*((T82^2/8)*((2*ACOS(1-2*BJ82/T82))-SIN((2*ACOS(1-2*BJ82/T82)))))*((((T82^2/8)*((2*ACOS(1-2*BJ82/T82))-SIN((2*ACOS(1-2*BJ82/T82)))))/((T82/2)*((2*ACOS(1-2*BJ82/T82)))))^(2/3))*SQRT(P82))</f>
        <v/>
      </c>
      <c r="BL82" s="9" t="str">
        <f aca="false">IF(BB82="","",IF(BK82&lt;BB82,BJ82,BH82))</f>
        <v/>
      </c>
      <c r="BM82" s="9" t="str">
        <f aca="false">IF(BB82="","",IF(BK82&lt;BB82,BI82,BJ82))</f>
        <v/>
      </c>
      <c r="BN82" s="9" t="str">
        <f aca="false">IF(BB82="","",(BL82+BM82)/2)</f>
        <v/>
      </c>
      <c r="BO82" s="9" t="str">
        <f aca="false">IF(OR(T82="",P82="",BN82="",T82&lt;=0,BN82&lt;=0),"",(1/Inputs!$B$9)*((T82^2/8)*((2*ACOS(1-2*BN82/T82))-SIN((2*ACOS(1-2*BN82/T82)))))*((((T82^2/8)*((2*ACOS(1-2*BN82/T82))-SIN((2*ACOS(1-2*BN82/T82)))))/((T82/2)*((2*ACOS(1-2*BN82/T82)))))^(2/3))*SQRT(P82))</f>
        <v/>
      </c>
      <c r="BP82" s="9" t="str">
        <f aca="false">IF(BB82="","",IF(BO82&lt;BB82,BN82,BL82))</f>
        <v/>
      </c>
      <c r="BQ82" s="9" t="str">
        <f aca="false">IF(BB82="","",IF(BO82&lt;BB82,BM82,BN82))</f>
        <v/>
      </c>
      <c r="BR82" s="9" t="str">
        <f aca="false">IF(BB82="","",(BP82+BQ82)/2)</f>
        <v/>
      </c>
      <c r="BS82" s="9" t="str">
        <f aca="false">IF(OR(T82="",P82="",BR82="",T82&lt;=0,BR82&lt;=0),"",(1/Inputs!$B$9)*((T82^2/8)*((2*ACOS(1-2*BR82/T82))-SIN((2*ACOS(1-2*BR82/T82)))))*((((T82^2/8)*((2*ACOS(1-2*BR82/T82))-SIN((2*ACOS(1-2*BR82/T82)))))/((T82/2)*((2*ACOS(1-2*BR82/T82)))))^(2/3))*SQRT(P82))</f>
        <v/>
      </c>
      <c r="BT82" s="9" t="str">
        <f aca="false">IF(BB82="","",IF(BS82&lt;BB82,BR82,BP82))</f>
        <v/>
      </c>
      <c r="BU82" s="9" t="str">
        <f aca="false">IF(BB82="","",IF(BS82&lt;BB82,BQ82,BR82))</f>
        <v/>
      </c>
      <c r="BV82" s="9" t="str">
        <f aca="false">IF(BB82="","",(BT82+BU82)/2)</f>
        <v/>
      </c>
      <c r="BW82" s="9" t="str">
        <f aca="false">IF(OR(T82="",P82="",BV82="",T82&lt;=0,BV82&lt;=0),"",(1/Inputs!$B$9)*((T82^2/8)*((2*ACOS(1-2*BV82/T82))-SIN((2*ACOS(1-2*BV82/T82)))))*((((T82^2/8)*((2*ACOS(1-2*BV82/T82))-SIN((2*ACOS(1-2*BV82/T82)))))/((T82/2)*((2*ACOS(1-2*BV82/T82)))))^(2/3))*SQRT(P82))</f>
        <v/>
      </c>
      <c r="BX82" s="9" t="str">
        <f aca="false">IF(BB82="","",IF(BW82&lt;BB82,BV82,BT82))</f>
        <v/>
      </c>
      <c r="BY82" s="9" t="str">
        <f aca="false">IF(BB82="","",IF(BW82&lt;BB82,BU82,BV82))</f>
        <v/>
      </c>
      <c r="BZ82" s="9" t="str">
        <f aca="false">IF(BB82="","",(BX82+BY82)/2)</f>
        <v/>
      </c>
      <c r="CA82" s="9" t="str">
        <f aca="false">IF(OR(T82="",P82="",BZ82="",T82&lt;=0,BZ82&lt;=0),"",(1/Inputs!$B$9)*((T82^2/8)*((2*ACOS(1-2*BZ82/T82))-SIN((2*ACOS(1-2*BZ82/T82)))))*((((T82^2/8)*((2*ACOS(1-2*BZ82/T82))-SIN((2*ACOS(1-2*BZ82/T82)))))/((T82/2)*((2*ACOS(1-2*BZ82/T82)))))^(2/3))*SQRT(P82))</f>
        <v/>
      </c>
      <c r="CB82" s="9" t="str">
        <f aca="false">IF(BB82="","",IF(CA82&lt;BB82,BZ82,BX82))</f>
        <v/>
      </c>
      <c r="CC82" s="9" t="str">
        <f aca="false">IF(BB82="","",IF(CA82&lt;BB82,BY82,BZ82))</f>
        <v/>
      </c>
      <c r="CD82" s="9" t="str">
        <f aca="false">IF(BB82="","",(CB82+CC82)/2)</f>
        <v/>
      </c>
      <c r="CE82" s="9" t="str">
        <f aca="false">IF(OR(T82="",P82="",CD82="",T82&lt;=0,CD82&lt;=0),"",(1/Inputs!$B$9)*((T82^2/8)*((2*ACOS(1-2*CD82/T82))-SIN((2*ACOS(1-2*CD82/T82)))))*((((T82^2/8)*((2*ACOS(1-2*CD82/T82))-SIN((2*ACOS(1-2*CD82/T82)))))/((T82/2)*((2*ACOS(1-2*CD82/T82)))))^(2/3))*SQRT(P82))</f>
        <v/>
      </c>
      <c r="CF82" s="9" t="str">
        <f aca="false">IF(BB82="","",IF(CE82&lt;BB82,CD82,CB82))</f>
        <v/>
      </c>
      <c r="CG82" s="9" t="str">
        <f aca="false">IF(BB82="","",IF(CE82&lt;BB82,CC82,CD82))</f>
        <v/>
      </c>
      <c r="CH82" s="9" t="str">
        <f aca="false">IF(BB82="","",(CF82+CG82)/2)</f>
        <v/>
      </c>
    </row>
    <row r="83" customFormat="false" ht="15" hidden="false" customHeight="false" outlineLevel="0" collapsed="false">
      <c r="A83" s="9"/>
      <c r="B83" s="9"/>
      <c r="C83" s="9"/>
      <c r="D83" s="9"/>
      <c r="E83" s="14"/>
      <c r="F83" s="14"/>
      <c r="G83" s="14" t="n">
        <f aca="false">SUMIFS(CB_plan!$C:$C,CB_plan!$B:$B,$A83)</f>
        <v>0</v>
      </c>
      <c r="H83" s="14" t="n">
        <f aca="false">IF(F83="",G83,F83)</f>
        <v>0</v>
      </c>
      <c r="I83" s="9"/>
      <c r="J83" s="14"/>
      <c r="K83" s="14" t="str">
        <f aca="false">IF(A83="","",Inputs!$B$13/((IF(AV83="",Inputs!$B$18,AV83)+Inputs!$B$14)^Inputs!$B$15))</f>
        <v/>
      </c>
      <c r="L83" s="14" t="str">
        <f aca="false">IF(A83="","",0.000000278*IF(I83="",Inputs!$B$17,I83)*H83*K83)</f>
        <v/>
      </c>
      <c r="M83" s="14" t="str">
        <f aca="false">IF(A83="","",SUMIFS($N$4:$N$203,$D$4:$D$203,$A83))</f>
        <v/>
      </c>
      <c r="N83" s="14" t="str">
        <f aca="false">IF(A83="","",(L83+M83)*Inputs!$B$16)</f>
        <v/>
      </c>
      <c r="O83" s="14"/>
      <c r="P83" s="14" t="str">
        <f aca="false">IF(A83="","",IF(O83="",Inputs!$B$7,O83))</f>
        <v/>
      </c>
      <c r="Q83" s="9" t="str">
        <f aca="false">IF(A83="","",IF(N83/Inputs!$B$10&lt;=AG83,Inputs!$F$5,IF(N83/Inputs!$B$10&gt;AP83,"OVERSIZE",INDEX(Inputs!$F$5:$F$14,MATCH(N83/Inputs!$B$10,AG83:AP83,1)+1))))</f>
        <v/>
      </c>
      <c r="R83" s="9"/>
      <c r="S83" s="9" t="str">
        <f aca="false">IF(A83="","",IF(R83="",Q83,R83))</f>
        <v/>
      </c>
      <c r="T83" s="14" t="str">
        <f aca="false">IF(OR(S83="",S83="OVERSIZE"),"",S83/1000)</f>
        <v/>
      </c>
      <c r="U83" s="14" t="str">
        <f aca="false">IF(T83="","",(1/Inputs!$B$9)*(PI()*T83^2/4)*((T83/4)^(2/3))*SQRT(P83))</f>
        <v/>
      </c>
      <c r="V83" s="14" t="str">
        <f aca="false">IF(OR(U83="",N83=""),"",N83/(U83*Inputs!$B$10))</f>
        <v/>
      </c>
      <c r="W83" s="14" t="str">
        <f aca="false">IF(OR(T83="",N83=""),"",4*N83/(PI()*T83^2))</f>
        <v/>
      </c>
      <c r="X83" s="14"/>
      <c r="Y83" s="14" t="str">
        <f aca="false">IF(A83="","",IF(A83=Inputs!$B$6,Inputs!$B$22,IF(D83="","",IFERROR(INDEX($Z$4:$Z$203,MATCH(D83,$A$4:$A$203,0))+IF(X83="",Inputs!$B$20,X83),""))))</f>
        <v/>
      </c>
      <c r="Z83" s="14" t="str">
        <f aca="false">IF(OR(Y83="",P83="",E83=""),"",Y83+P83*E83)</f>
        <v/>
      </c>
      <c r="AA83" s="14" t="str">
        <f aca="false">IF(C83="","",IFERROR(INDEX(Noeuds_plan!$C$4:$C$200,MATCH(C83,Noeuds_plan!$A$4:$A$200,0)),""))</f>
        <v/>
      </c>
      <c r="AB83" s="14" t="str">
        <f aca="false">IF(B83="","",IFERROR(INDEX(Noeuds_plan!$C$4:$C$200,MATCH(B83,Noeuds_plan!$A$4:$A$200,0)),""))</f>
        <v/>
      </c>
      <c r="AC83" s="14" t="str">
        <f aca="false">IF(OR(AA83="",Y83=""),"",AA83-Y83)</f>
        <v/>
      </c>
      <c r="AD83" s="14" t="str">
        <f aca="false">IF(OR(AB83="",Z83=""),"",AB83-Z83)</f>
        <v/>
      </c>
      <c r="AE83" s="19" t="str">
        <f aca="false">IF(A83="","",IF(OR(V83&gt;1,AND(AY83&lt;&gt;"",AY83&lt;Inputs!$B$11),AND(AY83&lt;&gt;"",AY83&gt;Inputs!$B$12),AC83&lt;Inputs!$B$19,AD83&lt;Inputs!$B$19,P83&lt;Inputs!$B$7,P83&gt;Inputs!$B$8),"CHECK","OK"))</f>
        <v/>
      </c>
      <c r="AF83" s="9"/>
      <c r="AG83" s="9" t="str">
        <f aca="false">IF(A83="","",(1/Inputs!$B$9)*(PI()*(Inputs!$F$5/1000)^2/4)*((Inputs!$F$5/1000/4)^(2/3))*SQRT(P83))</f>
        <v/>
      </c>
      <c r="AH83" s="9" t="str">
        <f aca="false">IF(A83="","",(1/Inputs!$B$9)*(PI()*(Inputs!$F$6/1000)^2/4)*((Inputs!$F$6/1000/4)^(2/3))*SQRT(P83))</f>
        <v/>
      </c>
      <c r="AI83" s="9" t="str">
        <f aca="false">IF(A83="","",(1/Inputs!$B$9)*(PI()*(Inputs!$F$7/1000)^2/4)*((Inputs!$F$7/1000/4)^(2/3))*SQRT(P83))</f>
        <v/>
      </c>
      <c r="AJ83" s="9" t="str">
        <f aca="false">IF(A83="","",(1/Inputs!$B$9)*(PI()*(Inputs!$F$8/1000)^2/4)*((Inputs!$F$8/1000/4)^(2/3))*SQRT(P83))</f>
        <v/>
      </c>
      <c r="AK83" s="9" t="str">
        <f aca="false">IF(A83="","",(1/Inputs!$B$9)*(PI()*(Inputs!$F$9/1000)^2/4)*((Inputs!$F$9/1000/4)^(2/3))*SQRT(P83))</f>
        <v/>
      </c>
      <c r="AL83" s="9" t="str">
        <f aca="false">IF(A83="","",(1/Inputs!$B$9)*(PI()*(Inputs!$F$10/1000)^2/4)*((Inputs!$F$10/1000/4)^(2/3))*SQRT(P83))</f>
        <v/>
      </c>
      <c r="AM83" s="9" t="str">
        <f aca="false">IF(A83="","",(1/Inputs!$B$9)*(PI()*(Inputs!$F$11/1000)^2/4)*((Inputs!$F$11/1000/4)^(2/3))*SQRT(P83))</f>
        <v/>
      </c>
      <c r="AN83" s="9" t="str">
        <f aca="false">IF(A83="","",(1/Inputs!$B$9)*(PI()*(Inputs!$F$12/1000)^2/4)*((Inputs!$F$12/1000/4)^(2/3))*SQRT(P83))</f>
        <v/>
      </c>
      <c r="AO83" s="9" t="str">
        <f aca="false">IF(A83="","",(1/Inputs!$B$9)*(PI()*(Inputs!$F$13/1000)^2/4)*((Inputs!$F$13/1000/4)^(2/3))*SQRT(P83))</f>
        <v/>
      </c>
      <c r="AP83" s="9" t="str">
        <f aca="false">IF(A83="","",(1/Inputs!$B$9)*(PI()*(Inputs!$F$14/1000)^2/4)*((Inputs!$F$14/1000/4)^(2/3))*SQRT(P83))</f>
        <v/>
      </c>
      <c r="AQ83" s="9" t="str">
        <f aca="false">IF(A83="","",COUNTIF($D$4:$D$203,$A83))</f>
        <v/>
      </c>
      <c r="AR83" s="9" t="str">
        <f aca="false">IF(A83="","",IF(AQ83=0,"START","CONTINUOUS"))</f>
        <v/>
      </c>
      <c r="AS83" s="13" t="str">
        <f aca="false">IF(A83="","",IF(J83="",Inputs!$B$18,J83))</f>
        <v/>
      </c>
      <c r="AT83" s="13" t="str">
        <f aca="false">IF(A83="","",IFERROR(maxifs($AV$4:$AV$203,$D$4:$D$203,$A83),""))</f>
        <v/>
      </c>
      <c r="AU83" s="13" t="str">
        <f aca="false">IF(A83="","",IF(OR(E83="",Inputs!$B$23=""),"",E83/(Inputs!$B$23*60)))</f>
        <v/>
      </c>
      <c r="AV83" s="13" t="str">
        <f aca="false">IF(A83="","",IF(AQ83=0,AS83+AU83,IF(AT83="",AS83+AU83,AT83+AU83)))</f>
        <v/>
      </c>
      <c r="AW83" s="13" t="str">
        <f aca="false">IF(A83="","",W83)</f>
        <v/>
      </c>
      <c r="AX83" s="13" t="str">
        <f aca="false">IF(OR(T83="",P83=""),"",(1/Inputs!$B$9)*((T83/4)^(2/3))*SQRT(P83))</f>
        <v/>
      </c>
      <c r="AY83" s="13" t="str">
        <f aca="false">IF(A83="","",IF(AND(AW83="",AX83="",BA83=""),"",IF(OR(UPPER(TRIM(Inputs!$B$24))="MANNING",UPPER(TRIM(Inputs!$B$24))="M"),AX83,IF(OR(UPPER(TRIM(Inputs!$B$24))="PARTIAL",UPPER(TRIM(Inputs!$B$24))="P"),BA83,IF(OR(UPPER(TRIM(Inputs!$B$24))="MAX",UPPER(TRIM(Inputs!$B$24))="X"),MAX(IF(AW83="",0,AW83),IF(AX83="",0,AX83),IF(BA83="",0,BA83)),AW83)))))</f>
        <v/>
      </c>
      <c r="AZ83" s="13" t="str">
        <f aca="false">IF(BB83="","",CH83)</f>
        <v/>
      </c>
      <c r="BA83" s="13" t="str">
        <f aca="false">IF(OR(BB83="",AZ83="",T83="",T83&lt;=0,AZ83&lt;=0),"",BB83/((T83^2/8)*(2*ACOS(1-2*AZ83/T83)-SIN(2*ACOS(1-2*AZ83/T83)))))</f>
        <v/>
      </c>
      <c r="BB83" s="9" t="str">
        <f aca="false">IF(OR(N83="",BC83=""),"",MIN(N83,BC83))</f>
        <v/>
      </c>
      <c r="BC83" s="9" t="str">
        <f aca="false">IF(OR(N83="",T83="",P83=""),"",IF(OR(T83="",P83="",(0.94*T83)="",T83&lt;=0,(0.94*T83)&lt;=0),"",(1/Inputs!$B$9)*((T83^2/8)*((2*ACOS(1-2*(0.94*T83)/T83))-SIN((2*ACOS(1-2*(0.94*T83)/T83)))))*((((T83^2/8)*((2*ACOS(1-2*(0.94*T83)/T83))-SIN((2*ACOS(1-2*(0.94*T83)/T83)))))/((T83/2)*((2*ACOS(1-2*(0.94*T83)/T83)))))^(2/3))*SQRT(P83)))</f>
        <v/>
      </c>
      <c r="BD83" s="9" t="str">
        <f aca="false">IF(BB83="","",0.001*T83)</f>
        <v/>
      </c>
      <c r="BE83" s="9" t="str">
        <f aca="false">IF(BB83="","",0.94*T83)</f>
        <v/>
      </c>
      <c r="BF83" s="9" t="str">
        <f aca="false">IF(BB83="","",(BD83+BE83)/2)</f>
        <v/>
      </c>
      <c r="BG83" s="9" t="str">
        <f aca="false">IF(OR(T83="",P83="",BF83="",T83&lt;=0,BF83&lt;=0),"",(1/Inputs!$B$9)*((T83^2/8)*((2*ACOS(1-2*BF83/T83))-SIN((2*ACOS(1-2*BF83/T83)))))*((((T83^2/8)*((2*ACOS(1-2*BF83/T83))-SIN((2*ACOS(1-2*BF83/T83)))))/((T83/2)*((2*ACOS(1-2*BF83/T83)))))^(2/3))*SQRT(P83))</f>
        <v/>
      </c>
      <c r="BH83" s="9" t="str">
        <f aca="false">IF(BB83="","",IF(BG83&lt;BB83,BF83,BD83))</f>
        <v/>
      </c>
      <c r="BI83" s="9" t="str">
        <f aca="false">IF(BB83="","",IF(BG83&lt;BB83,BE83,BF83))</f>
        <v/>
      </c>
      <c r="BJ83" s="9" t="str">
        <f aca="false">IF(BB83="","",(BH83+BI83)/2)</f>
        <v/>
      </c>
      <c r="BK83" s="9" t="str">
        <f aca="false">IF(OR(T83="",P83="",BJ83="",T83&lt;=0,BJ83&lt;=0),"",(1/Inputs!$B$9)*((T83^2/8)*((2*ACOS(1-2*BJ83/T83))-SIN((2*ACOS(1-2*BJ83/T83)))))*((((T83^2/8)*((2*ACOS(1-2*BJ83/T83))-SIN((2*ACOS(1-2*BJ83/T83)))))/((T83/2)*((2*ACOS(1-2*BJ83/T83)))))^(2/3))*SQRT(P83))</f>
        <v/>
      </c>
      <c r="BL83" s="9" t="str">
        <f aca="false">IF(BB83="","",IF(BK83&lt;BB83,BJ83,BH83))</f>
        <v/>
      </c>
      <c r="BM83" s="9" t="str">
        <f aca="false">IF(BB83="","",IF(BK83&lt;BB83,BI83,BJ83))</f>
        <v/>
      </c>
      <c r="BN83" s="9" t="str">
        <f aca="false">IF(BB83="","",(BL83+BM83)/2)</f>
        <v/>
      </c>
      <c r="BO83" s="9" t="str">
        <f aca="false">IF(OR(T83="",P83="",BN83="",T83&lt;=0,BN83&lt;=0),"",(1/Inputs!$B$9)*((T83^2/8)*((2*ACOS(1-2*BN83/T83))-SIN((2*ACOS(1-2*BN83/T83)))))*((((T83^2/8)*((2*ACOS(1-2*BN83/T83))-SIN((2*ACOS(1-2*BN83/T83)))))/((T83/2)*((2*ACOS(1-2*BN83/T83)))))^(2/3))*SQRT(P83))</f>
        <v/>
      </c>
      <c r="BP83" s="9" t="str">
        <f aca="false">IF(BB83="","",IF(BO83&lt;BB83,BN83,BL83))</f>
        <v/>
      </c>
      <c r="BQ83" s="9" t="str">
        <f aca="false">IF(BB83="","",IF(BO83&lt;BB83,BM83,BN83))</f>
        <v/>
      </c>
      <c r="BR83" s="9" t="str">
        <f aca="false">IF(BB83="","",(BP83+BQ83)/2)</f>
        <v/>
      </c>
      <c r="BS83" s="9" t="str">
        <f aca="false">IF(OR(T83="",P83="",BR83="",T83&lt;=0,BR83&lt;=0),"",(1/Inputs!$B$9)*((T83^2/8)*((2*ACOS(1-2*BR83/T83))-SIN((2*ACOS(1-2*BR83/T83)))))*((((T83^2/8)*((2*ACOS(1-2*BR83/T83))-SIN((2*ACOS(1-2*BR83/T83)))))/((T83/2)*((2*ACOS(1-2*BR83/T83)))))^(2/3))*SQRT(P83))</f>
        <v/>
      </c>
      <c r="BT83" s="9" t="str">
        <f aca="false">IF(BB83="","",IF(BS83&lt;BB83,BR83,BP83))</f>
        <v/>
      </c>
      <c r="BU83" s="9" t="str">
        <f aca="false">IF(BB83="","",IF(BS83&lt;BB83,BQ83,BR83))</f>
        <v/>
      </c>
      <c r="BV83" s="9" t="str">
        <f aca="false">IF(BB83="","",(BT83+BU83)/2)</f>
        <v/>
      </c>
      <c r="BW83" s="9" t="str">
        <f aca="false">IF(OR(T83="",P83="",BV83="",T83&lt;=0,BV83&lt;=0),"",(1/Inputs!$B$9)*((T83^2/8)*((2*ACOS(1-2*BV83/T83))-SIN((2*ACOS(1-2*BV83/T83)))))*((((T83^2/8)*((2*ACOS(1-2*BV83/T83))-SIN((2*ACOS(1-2*BV83/T83)))))/((T83/2)*((2*ACOS(1-2*BV83/T83)))))^(2/3))*SQRT(P83))</f>
        <v/>
      </c>
      <c r="BX83" s="9" t="str">
        <f aca="false">IF(BB83="","",IF(BW83&lt;BB83,BV83,BT83))</f>
        <v/>
      </c>
      <c r="BY83" s="9" t="str">
        <f aca="false">IF(BB83="","",IF(BW83&lt;BB83,BU83,BV83))</f>
        <v/>
      </c>
      <c r="BZ83" s="9" t="str">
        <f aca="false">IF(BB83="","",(BX83+BY83)/2)</f>
        <v/>
      </c>
      <c r="CA83" s="9" t="str">
        <f aca="false">IF(OR(T83="",P83="",BZ83="",T83&lt;=0,BZ83&lt;=0),"",(1/Inputs!$B$9)*((T83^2/8)*((2*ACOS(1-2*BZ83/T83))-SIN((2*ACOS(1-2*BZ83/T83)))))*((((T83^2/8)*((2*ACOS(1-2*BZ83/T83))-SIN((2*ACOS(1-2*BZ83/T83)))))/((T83/2)*((2*ACOS(1-2*BZ83/T83)))))^(2/3))*SQRT(P83))</f>
        <v/>
      </c>
      <c r="CB83" s="9" t="str">
        <f aca="false">IF(BB83="","",IF(CA83&lt;BB83,BZ83,BX83))</f>
        <v/>
      </c>
      <c r="CC83" s="9" t="str">
        <f aca="false">IF(BB83="","",IF(CA83&lt;BB83,BY83,BZ83))</f>
        <v/>
      </c>
      <c r="CD83" s="9" t="str">
        <f aca="false">IF(BB83="","",(CB83+CC83)/2)</f>
        <v/>
      </c>
      <c r="CE83" s="9" t="str">
        <f aca="false">IF(OR(T83="",P83="",CD83="",T83&lt;=0,CD83&lt;=0),"",(1/Inputs!$B$9)*((T83^2/8)*((2*ACOS(1-2*CD83/T83))-SIN((2*ACOS(1-2*CD83/T83)))))*((((T83^2/8)*((2*ACOS(1-2*CD83/T83))-SIN((2*ACOS(1-2*CD83/T83)))))/((T83/2)*((2*ACOS(1-2*CD83/T83)))))^(2/3))*SQRT(P83))</f>
        <v/>
      </c>
      <c r="CF83" s="9" t="str">
        <f aca="false">IF(BB83="","",IF(CE83&lt;BB83,CD83,CB83))</f>
        <v/>
      </c>
      <c r="CG83" s="9" t="str">
        <f aca="false">IF(BB83="","",IF(CE83&lt;BB83,CC83,CD83))</f>
        <v/>
      </c>
      <c r="CH83" s="9" t="str">
        <f aca="false">IF(BB83="","",(CF83+CG83)/2)</f>
        <v/>
      </c>
    </row>
    <row r="84" customFormat="false" ht="15" hidden="false" customHeight="false" outlineLevel="0" collapsed="false">
      <c r="A84" s="9"/>
      <c r="B84" s="9"/>
      <c r="C84" s="9"/>
      <c r="D84" s="9"/>
      <c r="E84" s="14"/>
      <c r="F84" s="14"/>
      <c r="G84" s="14" t="n">
        <f aca="false">SUMIFS(CB_plan!$C:$C,CB_plan!$B:$B,$A84)</f>
        <v>0</v>
      </c>
      <c r="H84" s="14" t="n">
        <f aca="false">IF(F84="",G84,F84)</f>
        <v>0</v>
      </c>
      <c r="I84" s="9"/>
      <c r="J84" s="14"/>
      <c r="K84" s="14" t="str">
        <f aca="false">IF(A84="","",Inputs!$B$13/((IF(AV84="",Inputs!$B$18,AV84)+Inputs!$B$14)^Inputs!$B$15))</f>
        <v/>
      </c>
      <c r="L84" s="14" t="str">
        <f aca="false">IF(A84="","",0.000000278*IF(I84="",Inputs!$B$17,I84)*H84*K84)</f>
        <v/>
      </c>
      <c r="M84" s="14" t="str">
        <f aca="false">IF(A84="","",SUMIFS($N$4:$N$203,$D$4:$D$203,$A84))</f>
        <v/>
      </c>
      <c r="N84" s="14" t="str">
        <f aca="false">IF(A84="","",(L84+M84)*Inputs!$B$16)</f>
        <v/>
      </c>
      <c r="O84" s="14"/>
      <c r="P84" s="14" t="str">
        <f aca="false">IF(A84="","",IF(O84="",Inputs!$B$7,O84))</f>
        <v/>
      </c>
      <c r="Q84" s="9" t="str">
        <f aca="false">IF(A84="","",IF(N84/Inputs!$B$10&lt;=AG84,Inputs!$F$5,IF(N84/Inputs!$B$10&gt;AP84,"OVERSIZE",INDEX(Inputs!$F$5:$F$14,MATCH(N84/Inputs!$B$10,AG84:AP84,1)+1))))</f>
        <v/>
      </c>
      <c r="R84" s="9"/>
      <c r="S84" s="9" t="str">
        <f aca="false">IF(A84="","",IF(R84="",Q84,R84))</f>
        <v/>
      </c>
      <c r="T84" s="14" t="str">
        <f aca="false">IF(OR(S84="",S84="OVERSIZE"),"",S84/1000)</f>
        <v/>
      </c>
      <c r="U84" s="14" t="str">
        <f aca="false">IF(T84="","",(1/Inputs!$B$9)*(PI()*T84^2/4)*((T84/4)^(2/3))*SQRT(P84))</f>
        <v/>
      </c>
      <c r="V84" s="14" t="str">
        <f aca="false">IF(OR(U84="",N84=""),"",N84/(U84*Inputs!$B$10))</f>
        <v/>
      </c>
      <c r="W84" s="14" t="str">
        <f aca="false">IF(OR(T84="",N84=""),"",4*N84/(PI()*T84^2))</f>
        <v/>
      </c>
      <c r="X84" s="14"/>
      <c r="Y84" s="14" t="str">
        <f aca="false">IF(A84="","",IF(A84=Inputs!$B$6,Inputs!$B$22,IF(D84="","",IFERROR(INDEX($Z$4:$Z$203,MATCH(D84,$A$4:$A$203,0))+IF(X84="",Inputs!$B$20,X84),""))))</f>
        <v/>
      </c>
      <c r="Z84" s="14" t="str">
        <f aca="false">IF(OR(Y84="",P84="",E84=""),"",Y84+P84*E84)</f>
        <v/>
      </c>
      <c r="AA84" s="14" t="str">
        <f aca="false">IF(C84="","",IFERROR(INDEX(Noeuds_plan!$C$4:$C$200,MATCH(C84,Noeuds_plan!$A$4:$A$200,0)),""))</f>
        <v/>
      </c>
      <c r="AB84" s="14" t="str">
        <f aca="false">IF(B84="","",IFERROR(INDEX(Noeuds_plan!$C$4:$C$200,MATCH(B84,Noeuds_plan!$A$4:$A$200,0)),""))</f>
        <v/>
      </c>
      <c r="AC84" s="14" t="str">
        <f aca="false">IF(OR(AA84="",Y84=""),"",AA84-Y84)</f>
        <v/>
      </c>
      <c r="AD84" s="14" t="str">
        <f aca="false">IF(OR(AB84="",Z84=""),"",AB84-Z84)</f>
        <v/>
      </c>
      <c r="AE84" s="19" t="str">
        <f aca="false">IF(A84="","",IF(OR(V84&gt;1,AND(AY84&lt;&gt;"",AY84&lt;Inputs!$B$11),AND(AY84&lt;&gt;"",AY84&gt;Inputs!$B$12),AC84&lt;Inputs!$B$19,AD84&lt;Inputs!$B$19,P84&lt;Inputs!$B$7,P84&gt;Inputs!$B$8),"CHECK","OK"))</f>
        <v/>
      </c>
      <c r="AF84" s="9"/>
      <c r="AG84" s="9" t="str">
        <f aca="false">IF(A84="","",(1/Inputs!$B$9)*(PI()*(Inputs!$F$5/1000)^2/4)*((Inputs!$F$5/1000/4)^(2/3))*SQRT(P84))</f>
        <v/>
      </c>
      <c r="AH84" s="9" t="str">
        <f aca="false">IF(A84="","",(1/Inputs!$B$9)*(PI()*(Inputs!$F$6/1000)^2/4)*((Inputs!$F$6/1000/4)^(2/3))*SQRT(P84))</f>
        <v/>
      </c>
      <c r="AI84" s="9" t="str">
        <f aca="false">IF(A84="","",(1/Inputs!$B$9)*(PI()*(Inputs!$F$7/1000)^2/4)*((Inputs!$F$7/1000/4)^(2/3))*SQRT(P84))</f>
        <v/>
      </c>
      <c r="AJ84" s="9" t="str">
        <f aca="false">IF(A84="","",(1/Inputs!$B$9)*(PI()*(Inputs!$F$8/1000)^2/4)*((Inputs!$F$8/1000/4)^(2/3))*SQRT(P84))</f>
        <v/>
      </c>
      <c r="AK84" s="9" t="str">
        <f aca="false">IF(A84="","",(1/Inputs!$B$9)*(PI()*(Inputs!$F$9/1000)^2/4)*((Inputs!$F$9/1000/4)^(2/3))*SQRT(P84))</f>
        <v/>
      </c>
      <c r="AL84" s="9" t="str">
        <f aca="false">IF(A84="","",(1/Inputs!$B$9)*(PI()*(Inputs!$F$10/1000)^2/4)*((Inputs!$F$10/1000/4)^(2/3))*SQRT(P84))</f>
        <v/>
      </c>
      <c r="AM84" s="9" t="str">
        <f aca="false">IF(A84="","",(1/Inputs!$B$9)*(PI()*(Inputs!$F$11/1000)^2/4)*((Inputs!$F$11/1000/4)^(2/3))*SQRT(P84))</f>
        <v/>
      </c>
      <c r="AN84" s="9" t="str">
        <f aca="false">IF(A84="","",(1/Inputs!$B$9)*(PI()*(Inputs!$F$12/1000)^2/4)*((Inputs!$F$12/1000/4)^(2/3))*SQRT(P84))</f>
        <v/>
      </c>
      <c r="AO84" s="9" t="str">
        <f aca="false">IF(A84="","",(1/Inputs!$B$9)*(PI()*(Inputs!$F$13/1000)^2/4)*((Inputs!$F$13/1000/4)^(2/3))*SQRT(P84))</f>
        <v/>
      </c>
      <c r="AP84" s="9" t="str">
        <f aca="false">IF(A84="","",(1/Inputs!$B$9)*(PI()*(Inputs!$F$14/1000)^2/4)*((Inputs!$F$14/1000/4)^(2/3))*SQRT(P84))</f>
        <v/>
      </c>
      <c r="AQ84" s="9" t="str">
        <f aca="false">IF(A84="","",COUNTIF($D$4:$D$203,$A84))</f>
        <v/>
      </c>
      <c r="AR84" s="9" t="str">
        <f aca="false">IF(A84="","",IF(AQ84=0,"START","CONTINUOUS"))</f>
        <v/>
      </c>
      <c r="AS84" s="13" t="str">
        <f aca="false">IF(A84="","",IF(J84="",Inputs!$B$18,J84))</f>
        <v/>
      </c>
      <c r="AT84" s="13" t="str">
        <f aca="false">IF(A84="","",IFERROR(maxifs($AV$4:$AV$203,$D$4:$D$203,$A84),""))</f>
        <v/>
      </c>
      <c r="AU84" s="13" t="str">
        <f aca="false">IF(A84="","",IF(OR(E84="",Inputs!$B$23=""),"",E84/(Inputs!$B$23*60)))</f>
        <v/>
      </c>
      <c r="AV84" s="13" t="str">
        <f aca="false">IF(A84="","",IF(AQ84=0,AS84+AU84,IF(AT84="",AS84+AU84,AT84+AU84)))</f>
        <v/>
      </c>
      <c r="AW84" s="13" t="str">
        <f aca="false">IF(A84="","",W84)</f>
        <v/>
      </c>
      <c r="AX84" s="13" t="str">
        <f aca="false">IF(OR(T84="",P84=""),"",(1/Inputs!$B$9)*((T84/4)^(2/3))*SQRT(P84))</f>
        <v/>
      </c>
      <c r="AY84" s="13" t="str">
        <f aca="false">IF(A84="","",IF(AND(AW84="",AX84="",BA84=""),"",IF(OR(UPPER(TRIM(Inputs!$B$24))="MANNING",UPPER(TRIM(Inputs!$B$24))="M"),AX84,IF(OR(UPPER(TRIM(Inputs!$B$24))="PARTIAL",UPPER(TRIM(Inputs!$B$24))="P"),BA84,IF(OR(UPPER(TRIM(Inputs!$B$24))="MAX",UPPER(TRIM(Inputs!$B$24))="X"),MAX(IF(AW84="",0,AW84),IF(AX84="",0,AX84),IF(BA84="",0,BA84)),AW84)))))</f>
        <v/>
      </c>
      <c r="AZ84" s="13" t="str">
        <f aca="false">IF(BB84="","",CH84)</f>
        <v/>
      </c>
      <c r="BA84" s="13" t="str">
        <f aca="false">IF(OR(BB84="",AZ84="",T84="",T84&lt;=0,AZ84&lt;=0),"",BB84/((T84^2/8)*(2*ACOS(1-2*AZ84/T84)-SIN(2*ACOS(1-2*AZ84/T84)))))</f>
        <v/>
      </c>
      <c r="BB84" s="9" t="str">
        <f aca="false">IF(OR(N84="",BC84=""),"",MIN(N84,BC84))</f>
        <v/>
      </c>
      <c r="BC84" s="9" t="str">
        <f aca="false">IF(OR(N84="",T84="",P84=""),"",IF(OR(T84="",P84="",(0.94*T84)="",T84&lt;=0,(0.94*T84)&lt;=0),"",(1/Inputs!$B$9)*((T84^2/8)*((2*ACOS(1-2*(0.94*T84)/T84))-SIN((2*ACOS(1-2*(0.94*T84)/T84)))))*((((T84^2/8)*((2*ACOS(1-2*(0.94*T84)/T84))-SIN((2*ACOS(1-2*(0.94*T84)/T84)))))/((T84/2)*((2*ACOS(1-2*(0.94*T84)/T84)))))^(2/3))*SQRT(P84)))</f>
        <v/>
      </c>
      <c r="BD84" s="9" t="str">
        <f aca="false">IF(BB84="","",0.001*T84)</f>
        <v/>
      </c>
      <c r="BE84" s="9" t="str">
        <f aca="false">IF(BB84="","",0.94*T84)</f>
        <v/>
      </c>
      <c r="BF84" s="9" t="str">
        <f aca="false">IF(BB84="","",(BD84+BE84)/2)</f>
        <v/>
      </c>
      <c r="BG84" s="9" t="str">
        <f aca="false">IF(OR(T84="",P84="",BF84="",T84&lt;=0,BF84&lt;=0),"",(1/Inputs!$B$9)*((T84^2/8)*((2*ACOS(1-2*BF84/T84))-SIN((2*ACOS(1-2*BF84/T84)))))*((((T84^2/8)*((2*ACOS(1-2*BF84/T84))-SIN((2*ACOS(1-2*BF84/T84)))))/((T84/2)*((2*ACOS(1-2*BF84/T84)))))^(2/3))*SQRT(P84))</f>
        <v/>
      </c>
      <c r="BH84" s="9" t="str">
        <f aca="false">IF(BB84="","",IF(BG84&lt;BB84,BF84,BD84))</f>
        <v/>
      </c>
      <c r="BI84" s="9" t="str">
        <f aca="false">IF(BB84="","",IF(BG84&lt;BB84,BE84,BF84))</f>
        <v/>
      </c>
      <c r="BJ84" s="9" t="str">
        <f aca="false">IF(BB84="","",(BH84+BI84)/2)</f>
        <v/>
      </c>
      <c r="BK84" s="9" t="str">
        <f aca="false">IF(OR(T84="",P84="",BJ84="",T84&lt;=0,BJ84&lt;=0),"",(1/Inputs!$B$9)*((T84^2/8)*((2*ACOS(1-2*BJ84/T84))-SIN((2*ACOS(1-2*BJ84/T84)))))*((((T84^2/8)*((2*ACOS(1-2*BJ84/T84))-SIN((2*ACOS(1-2*BJ84/T84)))))/((T84/2)*((2*ACOS(1-2*BJ84/T84)))))^(2/3))*SQRT(P84))</f>
        <v/>
      </c>
      <c r="BL84" s="9" t="str">
        <f aca="false">IF(BB84="","",IF(BK84&lt;BB84,BJ84,BH84))</f>
        <v/>
      </c>
      <c r="BM84" s="9" t="str">
        <f aca="false">IF(BB84="","",IF(BK84&lt;BB84,BI84,BJ84))</f>
        <v/>
      </c>
      <c r="BN84" s="9" t="str">
        <f aca="false">IF(BB84="","",(BL84+BM84)/2)</f>
        <v/>
      </c>
      <c r="BO84" s="9" t="str">
        <f aca="false">IF(OR(T84="",P84="",BN84="",T84&lt;=0,BN84&lt;=0),"",(1/Inputs!$B$9)*((T84^2/8)*((2*ACOS(1-2*BN84/T84))-SIN((2*ACOS(1-2*BN84/T84)))))*((((T84^2/8)*((2*ACOS(1-2*BN84/T84))-SIN((2*ACOS(1-2*BN84/T84)))))/((T84/2)*((2*ACOS(1-2*BN84/T84)))))^(2/3))*SQRT(P84))</f>
        <v/>
      </c>
      <c r="BP84" s="9" t="str">
        <f aca="false">IF(BB84="","",IF(BO84&lt;BB84,BN84,BL84))</f>
        <v/>
      </c>
      <c r="BQ84" s="9" t="str">
        <f aca="false">IF(BB84="","",IF(BO84&lt;BB84,BM84,BN84))</f>
        <v/>
      </c>
      <c r="BR84" s="9" t="str">
        <f aca="false">IF(BB84="","",(BP84+BQ84)/2)</f>
        <v/>
      </c>
      <c r="BS84" s="9" t="str">
        <f aca="false">IF(OR(T84="",P84="",BR84="",T84&lt;=0,BR84&lt;=0),"",(1/Inputs!$B$9)*((T84^2/8)*((2*ACOS(1-2*BR84/T84))-SIN((2*ACOS(1-2*BR84/T84)))))*((((T84^2/8)*((2*ACOS(1-2*BR84/T84))-SIN((2*ACOS(1-2*BR84/T84)))))/((T84/2)*((2*ACOS(1-2*BR84/T84)))))^(2/3))*SQRT(P84))</f>
        <v/>
      </c>
      <c r="BT84" s="9" t="str">
        <f aca="false">IF(BB84="","",IF(BS84&lt;BB84,BR84,BP84))</f>
        <v/>
      </c>
      <c r="BU84" s="9" t="str">
        <f aca="false">IF(BB84="","",IF(BS84&lt;BB84,BQ84,BR84))</f>
        <v/>
      </c>
      <c r="BV84" s="9" t="str">
        <f aca="false">IF(BB84="","",(BT84+BU84)/2)</f>
        <v/>
      </c>
      <c r="BW84" s="9" t="str">
        <f aca="false">IF(OR(T84="",P84="",BV84="",T84&lt;=0,BV84&lt;=0),"",(1/Inputs!$B$9)*((T84^2/8)*((2*ACOS(1-2*BV84/T84))-SIN((2*ACOS(1-2*BV84/T84)))))*((((T84^2/8)*((2*ACOS(1-2*BV84/T84))-SIN((2*ACOS(1-2*BV84/T84)))))/((T84/2)*((2*ACOS(1-2*BV84/T84)))))^(2/3))*SQRT(P84))</f>
        <v/>
      </c>
      <c r="BX84" s="9" t="str">
        <f aca="false">IF(BB84="","",IF(BW84&lt;BB84,BV84,BT84))</f>
        <v/>
      </c>
      <c r="BY84" s="9" t="str">
        <f aca="false">IF(BB84="","",IF(BW84&lt;BB84,BU84,BV84))</f>
        <v/>
      </c>
      <c r="BZ84" s="9" t="str">
        <f aca="false">IF(BB84="","",(BX84+BY84)/2)</f>
        <v/>
      </c>
      <c r="CA84" s="9" t="str">
        <f aca="false">IF(OR(T84="",P84="",BZ84="",T84&lt;=0,BZ84&lt;=0),"",(1/Inputs!$B$9)*((T84^2/8)*((2*ACOS(1-2*BZ84/T84))-SIN((2*ACOS(1-2*BZ84/T84)))))*((((T84^2/8)*((2*ACOS(1-2*BZ84/T84))-SIN((2*ACOS(1-2*BZ84/T84)))))/((T84/2)*((2*ACOS(1-2*BZ84/T84)))))^(2/3))*SQRT(P84))</f>
        <v/>
      </c>
      <c r="CB84" s="9" t="str">
        <f aca="false">IF(BB84="","",IF(CA84&lt;BB84,BZ84,BX84))</f>
        <v/>
      </c>
      <c r="CC84" s="9" t="str">
        <f aca="false">IF(BB84="","",IF(CA84&lt;BB84,BY84,BZ84))</f>
        <v/>
      </c>
      <c r="CD84" s="9" t="str">
        <f aca="false">IF(BB84="","",(CB84+CC84)/2)</f>
        <v/>
      </c>
      <c r="CE84" s="9" t="str">
        <f aca="false">IF(OR(T84="",P84="",CD84="",T84&lt;=0,CD84&lt;=0),"",(1/Inputs!$B$9)*((T84^2/8)*((2*ACOS(1-2*CD84/T84))-SIN((2*ACOS(1-2*CD84/T84)))))*((((T84^2/8)*((2*ACOS(1-2*CD84/T84))-SIN((2*ACOS(1-2*CD84/T84)))))/((T84/2)*((2*ACOS(1-2*CD84/T84)))))^(2/3))*SQRT(P84))</f>
        <v/>
      </c>
      <c r="CF84" s="9" t="str">
        <f aca="false">IF(BB84="","",IF(CE84&lt;BB84,CD84,CB84))</f>
        <v/>
      </c>
      <c r="CG84" s="9" t="str">
        <f aca="false">IF(BB84="","",IF(CE84&lt;BB84,CC84,CD84))</f>
        <v/>
      </c>
      <c r="CH84" s="9" t="str">
        <f aca="false">IF(BB84="","",(CF84+CG84)/2)</f>
        <v/>
      </c>
    </row>
    <row r="85" customFormat="false" ht="15" hidden="false" customHeight="false" outlineLevel="0" collapsed="false">
      <c r="A85" s="9"/>
      <c r="B85" s="9"/>
      <c r="C85" s="9"/>
      <c r="D85" s="9"/>
      <c r="E85" s="14"/>
      <c r="F85" s="14"/>
      <c r="G85" s="14" t="n">
        <f aca="false">SUMIFS(CB_plan!$C:$C,CB_plan!$B:$B,$A85)</f>
        <v>0</v>
      </c>
      <c r="H85" s="14" t="n">
        <f aca="false">IF(F85="",G85,F85)</f>
        <v>0</v>
      </c>
      <c r="I85" s="9"/>
      <c r="J85" s="14"/>
      <c r="K85" s="14" t="str">
        <f aca="false">IF(A85="","",Inputs!$B$13/((IF(AV85="",Inputs!$B$18,AV85)+Inputs!$B$14)^Inputs!$B$15))</f>
        <v/>
      </c>
      <c r="L85" s="14" t="str">
        <f aca="false">IF(A85="","",0.000000278*IF(I85="",Inputs!$B$17,I85)*H85*K85)</f>
        <v/>
      </c>
      <c r="M85" s="14" t="str">
        <f aca="false">IF(A85="","",SUMIFS($N$4:$N$203,$D$4:$D$203,$A85))</f>
        <v/>
      </c>
      <c r="N85" s="14" t="str">
        <f aca="false">IF(A85="","",(L85+M85)*Inputs!$B$16)</f>
        <v/>
      </c>
      <c r="O85" s="14"/>
      <c r="P85" s="14" t="str">
        <f aca="false">IF(A85="","",IF(O85="",Inputs!$B$7,O85))</f>
        <v/>
      </c>
      <c r="Q85" s="9" t="str">
        <f aca="false">IF(A85="","",IF(N85/Inputs!$B$10&lt;=AG85,Inputs!$F$5,IF(N85/Inputs!$B$10&gt;AP85,"OVERSIZE",INDEX(Inputs!$F$5:$F$14,MATCH(N85/Inputs!$B$10,AG85:AP85,1)+1))))</f>
        <v/>
      </c>
      <c r="R85" s="9"/>
      <c r="S85" s="9" t="str">
        <f aca="false">IF(A85="","",IF(R85="",Q85,R85))</f>
        <v/>
      </c>
      <c r="T85" s="14" t="str">
        <f aca="false">IF(OR(S85="",S85="OVERSIZE"),"",S85/1000)</f>
        <v/>
      </c>
      <c r="U85" s="14" t="str">
        <f aca="false">IF(T85="","",(1/Inputs!$B$9)*(PI()*T85^2/4)*((T85/4)^(2/3))*SQRT(P85))</f>
        <v/>
      </c>
      <c r="V85" s="14" t="str">
        <f aca="false">IF(OR(U85="",N85=""),"",N85/(U85*Inputs!$B$10))</f>
        <v/>
      </c>
      <c r="W85" s="14" t="str">
        <f aca="false">IF(OR(T85="",N85=""),"",4*N85/(PI()*T85^2))</f>
        <v/>
      </c>
      <c r="X85" s="14"/>
      <c r="Y85" s="14" t="str">
        <f aca="false">IF(A85="","",IF(A85=Inputs!$B$6,Inputs!$B$22,IF(D85="","",IFERROR(INDEX($Z$4:$Z$203,MATCH(D85,$A$4:$A$203,0))+IF(X85="",Inputs!$B$20,X85),""))))</f>
        <v/>
      </c>
      <c r="Z85" s="14" t="str">
        <f aca="false">IF(OR(Y85="",P85="",E85=""),"",Y85+P85*E85)</f>
        <v/>
      </c>
      <c r="AA85" s="14" t="str">
        <f aca="false">IF(C85="","",IFERROR(INDEX(Noeuds_plan!$C$4:$C$200,MATCH(C85,Noeuds_plan!$A$4:$A$200,0)),""))</f>
        <v/>
      </c>
      <c r="AB85" s="14" t="str">
        <f aca="false">IF(B85="","",IFERROR(INDEX(Noeuds_plan!$C$4:$C$200,MATCH(B85,Noeuds_plan!$A$4:$A$200,0)),""))</f>
        <v/>
      </c>
      <c r="AC85" s="14" t="str">
        <f aca="false">IF(OR(AA85="",Y85=""),"",AA85-Y85)</f>
        <v/>
      </c>
      <c r="AD85" s="14" t="str">
        <f aca="false">IF(OR(AB85="",Z85=""),"",AB85-Z85)</f>
        <v/>
      </c>
      <c r="AE85" s="19" t="str">
        <f aca="false">IF(A85="","",IF(OR(V85&gt;1,AND(AY85&lt;&gt;"",AY85&lt;Inputs!$B$11),AND(AY85&lt;&gt;"",AY85&gt;Inputs!$B$12),AC85&lt;Inputs!$B$19,AD85&lt;Inputs!$B$19,P85&lt;Inputs!$B$7,P85&gt;Inputs!$B$8),"CHECK","OK"))</f>
        <v/>
      </c>
      <c r="AF85" s="9"/>
      <c r="AG85" s="9" t="str">
        <f aca="false">IF(A85="","",(1/Inputs!$B$9)*(PI()*(Inputs!$F$5/1000)^2/4)*((Inputs!$F$5/1000/4)^(2/3))*SQRT(P85))</f>
        <v/>
      </c>
      <c r="AH85" s="9" t="str">
        <f aca="false">IF(A85="","",(1/Inputs!$B$9)*(PI()*(Inputs!$F$6/1000)^2/4)*((Inputs!$F$6/1000/4)^(2/3))*SQRT(P85))</f>
        <v/>
      </c>
      <c r="AI85" s="9" t="str">
        <f aca="false">IF(A85="","",(1/Inputs!$B$9)*(PI()*(Inputs!$F$7/1000)^2/4)*((Inputs!$F$7/1000/4)^(2/3))*SQRT(P85))</f>
        <v/>
      </c>
      <c r="AJ85" s="9" t="str">
        <f aca="false">IF(A85="","",(1/Inputs!$B$9)*(PI()*(Inputs!$F$8/1000)^2/4)*((Inputs!$F$8/1000/4)^(2/3))*SQRT(P85))</f>
        <v/>
      </c>
      <c r="AK85" s="9" t="str">
        <f aca="false">IF(A85="","",(1/Inputs!$B$9)*(PI()*(Inputs!$F$9/1000)^2/4)*((Inputs!$F$9/1000/4)^(2/3))*SQRT(P85))</f>
        <v/>
      </c>
      <c r="AL85" s="9" t="str">
        <f aca="false">IF(A85="","",(1/Inputs!$B$9)*(PI()*(Inputs!$F$10/1000)^2/4)*((Inputs!$F$10/1000/4)^(2/3))*SQRT(P85))</f>
        <v/>
      </c>
      <c r="AM85" s="9" t="str">
        <f aca="false">IF(A85="","",(1/Inputs!$B$9)*(PI()*(Inputs!$F$11/1000)^2/4)*((Inputs!$F$11/1000/4)^(2/3))*SQRT(P85))</f>
        <v/>
      </c>
      <c r="AN85" s="9" t="str">
        <f aca="false">IF(A85="","",(1/Inputs!$B$9)*(PI()*(Inputs!$F$12/1000)^2/4)*((Inputs!$F$12/1000/4)^(2/3))*SQRT(P85))</f>
        <v/>
      </c>
      <c r="AO85" s="9" t="str">
        <f aca="false">IF(A85="","",(1/Inputs!$B$9)*(PI()*(Inputs!$F$13/1000)^2/4)*((Inputs!$F$13/1000/4)^(2/3))*SQRT(P85))</f>
        <v/>
      </c>
      <c r="AP85" s="9" t="str">
        <f aca="false">IF(A85="","",(1/Inputs!$B$9)*(PI()*(Inputs!$F$14/1000)^2/4)*((Inputs!$F$14/1000/4)^(2/3))*SQRT(P85))</f>
        <v/>
      </c>
      <c r="AQ85" s="9" t="str">
        <f aca="false">IF(A85="","",COUNTIF($D$4:$D$203,$A85))</f>
        <v/>
      </c>
      <c r="AR85" s="9" t="str">
        <f aca="false">IF(A85="","",IF(AQ85=0,"START","CONTINUOUS"))</f>
        <v/>
      </c>
      <c r="AS85" s="13" t="str">
        <f aca="false">IF(A85="","",IF(J85="",Inputs!$B$18,J85))</f>
        <v/>
      </c>
      <c r="AT85" s="13" t="str">
        <f aca="false">IF(A85="","",IFERROR(maxifs($AV$4:$AV$203,$D$4:$D$203,$A85),""))</f>
        <v/>
      </c>
      <c r="AU85" s="13" t="str">
        <f aca="false">IF(A85="","",IF(OR(E85="",Inputs!$B$23=""),"",E85/(Inputs!$B$23*60)))</f>
        <v/>
      </c>
      <c r="AV85" s="13" t="str">
        <f aca="false">IF(A85="","",IF(AQ85=0,AS85+AU85,IF(AT85="",AS85+AU85,AT85+AU85)))</f>
        <v/>
      </c>
      <c r="AW85" s="13" t="str">
        <f aca="false">IF(A85="","",W85)</f>
        <v/>
      </c>
      <c r="AX85" s="13" t="str">
        <f aca="false">IF(OR(T85="",P85=""),"",(1/Inputs!$B$9)*((T85/4)^(2/3))*SQRT(P85))</f>
        <v/>
      </c>
      <c r="AY85" s="13" t="str">
        <f aca="false">IF(A85="","",IF(AND(AW85="",AX85="",BA85=""),"",IF(OR(UPPER(TRIM(Inputs!$B$24))="MANNING",UPPER(TRIM(Inputs!$B$24))="M"),AX85,IF(OR(UPPER(TRIM(Inputs!$B$24))="PARTIAL",UPPER(TRIM(Inputs!$B$24))="P"),BA85,IF(OR(UPPER(TRIM(Inputs!$B$24))="MAX",UPPER(TRIM(Inputs!$B$24))="X"),MAX(IF(AW85="",0,AW85),IF(AX85="",0,AX85),IF(BA85="",0,BA85)),AW85)))))</f>
        <v/>
      </c>
      <c r="AZ85" s="13" t="str">
        <f aca="false">IF(BB85="","",CH85)</f>
        <v/>
      </c>
      <c r="BA85" s="13" t="str">
        <f aca="false">IF(OR(BB85="",AZ85="",T85="",T85&lt;=0,AZ85&lt;=0),"",BB85/((T85^2/8)*(2*ACOS(1-2*AZ85/T85)-SIN(2*ACOS(1-2*AZ85/T85)))))</f>
        <v/>
      </c>
      <c r="BB85" s="9" t="str">
        <f aca="false">IF(OR(N85="",BC85=""),"",MIN(N85,BC85))</f>
        <v/>
      </c>
      <c r="BC85" s="9" t="str">
        <f aca="false">IF(OR(N85="",T85="",P85=""),"",IF(OR(T85="",P85="",(0.94*T85)="",T85&lt;=0,(0.94*T85)&lt;=0),"",(1/Inputs!$B$9)*((T85^2/8)*((2*ACOS(1-2*(0.94*T85)/T85))-SIN((2*ACOS(1-2*(0.94*T85)/T85)))))*((((T85^2/8)*((2*ACOS(1-2*(0.94*T85)/T85))-SIN((2*ACOS(1-2*(0.94*T85)/T85)))))/((T85/2)*((2*ACOS(1-2*(0.94*T85)/T85)))))^(2/3))*SQRT(P85)))</f>
        <v/>
      </c>
      <c r="BD85" s="9" t="str">
        <f aca="false">IF(BB85="","",0.001*T85)</f>
        <v/>
      </c>
      <c r="BE85" s="9" t="str">
        <f aca="false">IF(BB85="","",0.94*T85)</f>
        <v/>
      </c>
      <c r="BF85" s="9" t="str">
        <f aca="false">IF(BB85="","",(BD85+BE85)/2)</f>
        <v/>
      </c>
      <c r="BG85" s="9" t="str">
        <f aca="false">IF(OR(T85="",P85="",BF85="",T85&lt;=0,BF85&lt;=0),"",(1/Inputs!$B$9)*((T85^2/8)*((2*ACOS(1-2*BF85/T85))-SIN((2*ACOS(1-2*BF85/T85)))))*((((T85^2/8)*((2*ACOS(1-2*BF85/T85))-SIN((2*ACOS(1-2*BF85/T85)))))/((T85/2)*((2*ACOS(1-2*BF85/T85)))))^(2/3))*SQRT(P85))</f>
        <v/>
      </c>
      <c r="BH85" s="9" t="str">
        <f aca="false">IF(BB85="","",IF(BG85&lt;BB85,BF85,BD85))</f>
        <v/>
      </c>
      <c r="BI85" s="9" t="str">
        <f aca="false">IF(BB85="","",IF(BG85&lt;BB85,BE85,BF85))</f>
        <v/>
      </c>
      <c r="BJ85" s="9" t="str">
        <f aca="false">IF(BB85="","",(BH85+BI85)/2)</f>
        <v/>
      </c>
      <c r="BK85" s="9" t="str">
        <f aca="false">IF(OR(T85="",P85="",BJ85="",T85&lt;=0,BJ85&lt;=0),"",(1/Inputs!$B$9)*((T85^2/8)*((2*ACOS(1-2*BJ85/T85))-SIN((2*ACOS(1-2*BJ85/T85)))))*((((T85^2/8)*((2*ACOS(1-2*BJ85/T85))-SIN((2*ACOS(1-2*BJ85/T85)))))/((T85/2)*((2*ACOS(1-2*BJ85/T85)))))^(2/3))*SQRT(P85))</f>
        <v/>
      </c>
      <c r="BL85" s="9" t="str">
        <f aca="false">IF(BB85="","",IF(BK85&lt;BB85,BJ85,BH85))</f>
        <v/>
      </c>
      <c r="BM85" s="9" t="str">
        <f aca="false">IF(BB85="","",IF(BK85&lt;BB85,BI85,BJ85))</f>
        <v/>
      </c>
      <c r="BN85" s="9" t="str">
        <f aca="false">IF(BB85="","",(BL85+BM85)/2)</f>
        <v/>
      </c>
      <c r="BO85" s="9" t="str">
        <f aca="false">IF(OR(T85="",P85="",BN85="",T85&lt;=0,BN85&lt;=0),"",(1/Inputs!$B$9)*((T85^2/8)*((2*ACOS(1-2*BN85/T85))-SIN((2*ACOS(1-2*BN85/T85)))))*((((T85^2/8)*((2*ACOS(1-2*BN85/T85))-SIN((2*ACOS(1-2*BN85/T85)))))/((T85/2)*((2*ACOS(1-2*BN85/T85)))))^(2/3))*SQRT(P85))</f>
        <v/>
      </c>
      <c r="BP85" s="9" t="str">
        <f aca="false">IF(BB85="","",IF(BO85&lt;BB85,BN85,BL85))</f>
        <v/>
      </c>
      <c r="BQ85" s="9" t="str">
        <f aca="false">IF(BB85="","",IF(BO85&lt;BB85,BM85,BN85))</f>
        <v/>
      </c>
      <c r="BR85" s="9" t="str">
        <f aca="false">IF(BB85="","",(BP85+BQ85)/2)</f>
        <v/>
      </c>
      <c r="BS85" s="9" t="str">
        <f aca="false">IF(OR(T85="",P85="",BR85="",T85&lt;=0,BR85&lt;=0),"",(1/Inputs!$B$9)*((T85^2/8)*((2*ACOS(1-2*BR85/T85))-SIN((2*ACOS(1-2*BR85/T85)))))*((((T85^2/8)*((2*ACOS(1-2*BR85/T85))-SIN((2*ACOS(1-2*BR85/T85)))))/((T85/2)*((2*ACOS(1-2*BR85/T85)))))^(2/3))*SQRT(P85))</f>
        <v/>
      </c>
      <c r="BT85" s="9" t="str">
        <f aca="false">IF(BB85="","",IF(BS85&lt;BB85,BR85,BP85))</f>
        <v/>
      </c>
      <c r="BU85" s="9" t="str">
        <f aca="false">IF(BB85="","",IF(BS85&lt;BB85,BQ85,BR85))</f>
        <v/>
      </c>
      <c r="BV85" s="9" t="str">
        <f aca="false">IF(BB85="","",(BT85+BU85)/2)</f>
        <v/>
      </c>
      <c r="BW85" s="9" t="str">
        <f aca="false">IF(OR(T85="",P85="",BV85="",T85&lt;=0,BV85&lt;=0),"",(1/Inputs!$B$9)*((T85^2/8)*((2*ACOS(1-2*BV85/T85))-SIN((2*ACOS(1-2*BV85/T85)))))*((((T85^2/8)*((2*ACOS(1-2*BV85/T85))-SIN((2*ACOS(1-2*BV85/T85)))))/((T85/2)*((2*ACOS(1-2*BV85/T85)))))^(2/3))*SQRT(P85))</f>
        <v/>
      </c>
      <c r="BX85" s="9" t="str">
        <f aca="false">IF(BB85="","",IF(BW85&lt;BB85,BV85,BT85))</f>
        <v/>
      </c>
      <c r="BY85" s="9" t="str">
        <f aca="false">IF(BB85="","",IF(BW85&lt;BB85,BU85,BV85))</f>
        <v/>
      </c>
      <c r="BZ85" s="9" t="str">
        <f aca="false">IF(BB85="","",(BX85+BY85)/2)</f>
        <v/>
      </c>
      <c r="CA85" s="9" t="str">
        <f aca="false">IF(OR(T85="",P85="",BZ85="",T85&lt;=0,BZ85&lt;=0),"",(1/Inputs!$B$9)*((T85^2/8)*((2*ACOS(1-2*BZ85/T85))-SIN((2*ACOS(1-2*BZ85/T85)))))*((((T85^2/8)*((2*ACOS(1-2*BZ85/T85))-SIN((2*ACOS(1-2*BZ85/T85)))))/((T85/2)*((2*ACOS(1-2*BZ85/T85)))))^(2/3))*SQRT(P85))</f>
        <v/>
      </c>
      <c r="CB85" s="9" t="str">
        <f aca="false">IF(BB85="","",IF(CA85&lt;BB85,BZ85,BX85))</f>
        <v/>
      </c>
      <c r="CC85" s="9" t="str">
        <f aca="false">IF(BB85="","",IF(CA85&lt;BB85,BY85,BZ85))</f>
        <v/>
      </c>
      <c r="CD85" s="9" t="str">
        <f aca="false">IF(BB85="","",(CB85+CC85)/2)</f>
        <v/>
      </c>
      <c r="CE85" s="9" t="str">
        <f aca="false">IF(OR(T85="",P85="",CD85="",T85&lt;=0,CD85&lt;=0),"",(1/Inputs!$B$9)*((T85^2/8)*((2*ACOS(1-2*CD85/T85))-SIN((2*ACOS(1-2*CD85/T85)))))*((((T85^2/8)*((2*ACOS(1-2*CD85/T85))-SIN((2*ACOS(1-2*CD85/T85)))))/((T85/2)*((2*ACOS(1-2*CD85/T85)))))^(2/3))*SQRT(P85))</f>
        <v/>
      </c>
      <c r="CF85" s="9" t="str">
        <f aca="false">IF(BB85="","",IF(CE85&lt;BB85,CD85,CB85))</f>
        <v/>
      </c>
      <c r="CG85" s="9" t="str">
        <f aca="false">IF(BB85="","",IF(CE85&lt;BB85,CC85,CD85))</f>
        <v/>
      </c>
      <c r="CH85" s="9" t="str">
        <f aca="false">IF(BB85="","",(CF85+CG85)/2)</f>
        <v/>
      </c>
    </row>
    <row r="86" customFormat="false" ht="15" hidden="false" customHeight="false" outlineLevel="0" collapsed="false">
      <c r="A86" s="9"/>
      <c r="B86" s="9"/>
      <c r="C86" s="9"/>
      <c r="D86" s="9"/>
      <c r="E86" s="14"/>
      <c r="F86" s="14"/>
      <c r="G86" s="14" t="n">
        <f aca="false">SUMIFS(CB_plan!$C:$C,CB_plan!$B:$B,$A86)</f>
        <v>0</v>
      </c>
      <c r="H86" s="14" t="n">
        <f aca="false">IF(F86="",G86,F86)</f>
        <v>0</v>
      </c>
      <c r="I86" s="9"/>
      <c r="J86" s="14"/>
      <c r="K86" s="14" t="str">
        <f aca="false">IF(A86="","",Inputs!$B$13/((IF(AV86="",Inputs!$B$18,AV86)+Inputs!$B$14)^Inputs!$B$15))</f>
        <v/>
      </c>
      <c r="L86" s="14" t="str">
        <f aca="false">IF(A86="","",0.000000278*IF(I86="",Inputs!$B$17,I86)*H86*K86)</f>
        <v/>
      </c>
      <c r="M86" s="14" t="str">
        <f aca="false">IF(A86="","",SUMIFS($N$4:$N$203,$D$4:$D$203,$A86))</f>
        <v/>
      </c>
      <c r="N86" s="14" t="str">
        <f aca="false">IF(A86="","",(L86+M86)*Inputs!$B$16)</f>
        <v/>
      </c>
      <c r="O86" s="14"/>
      <c r="P86" s="14" t="str">
        <f aca="false">IF(A86="","",IF(O86="",Inputs!$B$7,O86))</f>
        <v/>
      </c>
      <c r="Q86" s="9" t="str">
        <f aca="false">IF(A86="","",IF(N86/Inputs!$B$10&lt;=AG86,Inputs!$F$5,IF(N86/Inputs!$B$10&gt;AP86,"OVERSIZE",INDEX(Inputs!$F$5:$F$14,MATCH(N86/Inputs!$B$10,AG86:AP86,1)+1))))</f>
        <v/>
      </c>
      <c r="R86" s="9"/>
      <c r="S86" s="9" t="str">
        <f aca="false">IF(A86="","",IF(R86="",Q86,R86))</f>
        <v/>
      </c>
      <c r="T86" s="14" t="str">
        <f aca="false">IF(OR(S86="",S86="OVERSIZE"),"",S86/1000)</f>
        <v/>
      </c>
      <c r="U86" s="14" t="str">
        <f aca="false">IF(T86="","",(1/Inputs!$B$9)*(PI()*T86^2/4)*((T86/4)^(2/3))*SQRT(P86))</f>
        <v/>
      </c>
      <c r="V86" s="14" t="str">
        <f aca="false">IF(OR(U86="",N86=""),"",N86/(U86*Inputs!$B$10))</f>
        <v/>
      </c>
      <c r="W86" s="14" t="str">
        <f aca="false">IF(OR(T86="",N86=""),"",4*N86/(PI()*T86^2))</f>
        <v/>
      </c>
      <c r="X86" s="14"/>
      <c r="Y86" s="14" t="str">
        <f aca="false">IF(A86="","",IF(A86=Inputs!$B$6,Inputs!$B$22,IF(D86="","",IFERROR(INDEX($Z$4:$Z$203,MATCH(D86,$A$4:$A$203,0))+IF(X86="",Inputs!$B$20,X86),""))))</f>
        <v/>
      </c>
      <c r="Z86" s="14" t="str">
        <f aca="false">IF(OR(Y86="",P86="",E86=""),"",Y86+P86*E86)</f>
        <v/>
      </c>
      <c r="AA86" s="14" t="str">
        <f aca="false">IF(C86="","",IFERROR(INDEX(Noeuds_plan!$C$4:$C$200,MATCH(C86,Noeuds_plan!$A$4:$A$200,0)),""))</f>
        <v/>
      </c>
      <c r="AB86" s="14" t="str">
        <f aca="false">IF(B86="","",IFERROR(INDEX(Noeuds_plan!$C$4:$C$200,MATCH(B86,Noeuds_plan!$A$4:$A$200,0)),""))</f>
        <v/>
      </c>
      <c r="AC86" s="14" t="str">
        <f aca="false">IF(OR(AA86="",Y86=""),"",AA86-Y86)</f>
        <v/>
      </c>
      <c r="AD86" s="14" t="str">
        <f aca="false">IF(OR(AB86="",Z86=""),"",AB86-Z86)</f>
        <v/>
      </c>
      <c r="AE86" s="19" t="str">
        <f aca="false">IF(A86="","",IF(OR(V86&gt;1,AND(AY86&lt;&gt;"",AY86&lt;Inputs!$B$11),AND(AY86&lt;&gt;"",AY86&gt;Inputs!$B$12),AC86&lt;Inputs!$B$19,AD86&lt;Inputs!$B$19,P86&lt;Inputs!$B$7,P86&gt;Inputs!$B$8),"CHECK","OK"))</f>
        <v/>
      </c>
      <c r="AF86" s="9"/>
      <c r="AG86" s="9" t="str">
        <f aca="false">IF(A86="","",(1/Inputs!$B$9)*(PI()*(Inputs!$F$5/1000)^2/4)*((Inputs!$F$5/1000/4)^(2/3))*SQRT(P86))</f>
        <v/>
      </c>
      <c r="AH86" s="9" t="str">
        <f aca="false">IF(A86="","",(1/Inputs!$B$9)*(PI()*(Inputs!$F$6/1000)^2/4)*((Inputs!$F$6/1000/4)^(2/3))*SQRT(P86))</f>
        <v/>
      </c>
      <c r="AI86" s="9" t="str">
        <f aca="false">IF(A86="","",(1/Inputs!$B$9)*(PI()*(Inputs!$F$7/1000)^2/4)*((Inputs!$F$7/1000/4)^(2/3))*SQRT(P86))</f>
        <v/>
      </c>
      <c r="AJ86" s="9" t="str">
        <f aca="false">IF(A86="","",(1/Inputs!$B$9)*(PI()*(Inputs!$F$8/1000)^2/4)*((Inputs!$F$8/1000/4)^(2/3))*SQRT(P86))</f>
        <v/>
      </c>
      <c r="AK86" s="9" t="str">
        <f aca="false">IF(A86="","",(1/Inputs!$B$9)*(PI()*(Inputs!$F$9/1000)^2/4)*((Inputs!$F$9/1000/4)^(2/3))*SQRT(P86))</f>
        <v/>
      </c>
      <c r="AL86" s="9" t="str">
        <f aca="false">IF(A86="","",(1/Inputs!$B$9)*(PI()*(Inputs!$F$10/1000)^2/4)*((Inputs!$F$10/1000/4)^(2/3))*SQRT(P86))</f>
        <v/>
      </c>
      <c r="AM86" s="9" t="str">
        <f aca="false">IF(A86="","",(1/Inputs!$B$9)*(PI()*(Inputs!$F$11/1000)^2/4)*((Inputs!$F$11/1000/4)^(2/3))*SQRT(P86))</f>
        <v/>
      </c>
      <c r="AN86" s="9" t="str">
        <f aca="false">IF(A86="","",(1/Inputs!$B$9)*(PI()*(Inputs!$F$12/1000)^2/4)*((Inputs!$F$12/1000/4)^(2/3))*SQRT(P86))</f>
        <v/>
      </c>
      <c r="AO86" s="9" t="str">
        <f aca="false">IF(A86="","",(1/Inputs!$B$9)*(PI()*(Inputs!$F$13/1000)^2/4)*((Inputs!$F$13/1000/4)^(2/3))*SQRT(P86))</f>
        <v/>
      </c>
      <c r="AP86" s="9" t="str">
        <f aca="false">IF(A86="","",(1/Inputs!$B$9)*(PI()*(Inputs!$F$14/1000)^2/4)*((Inputs!$F$14/1000/4)^(2/3))*SQRT(P86))</f>
        <v/>
      </c>
      <c r="AQ86" s="9" t="str">
        <f aca="false">IF(A86="","",COUNTIF($D$4:$D$203,$A86))</f>
        <v/>
      </c>
      <c r="AR86" s="9" t="str">
        <f aca="false">IF(A86="","",IF(AQ86=0,"START","CONTINUOUS"))</f>
        <v/>
      </c>
      <c r="AS86" s="13" t="str">
        <f aca="false">IF(A86="","",IF(J86="",Inputs!$B$18,J86))</f>
        <v/>
      </c>
      <c r="AT86" s="13" t="str">
        <f aca="false">IF(A86="","",IFERROR(maxifs($AV$4:$AV$203,$D$4:$D$203,$A86),""))</f>
        <v/>
      </c>
      <c r="AU86" s="13" t="str">
        <f aca="false">IF(A86="","",IF(OR(E86="",Inputs!$B$23=""),"",E86/(Inputs!$B$23*60)))</f>
        <v/>
      </c>
      <c r="AV86" s="13" t="str">
        <f aca="false">IF(A86="","",IF(AQ86=0,AS86+AU86,IF(AT86="",AS86+AU86,AT86+AU86)))</f>
        <v/>
      </c>
      <c r="AW86" s="13" t="str">
        <f aca="false">IF(A86="","",W86)</f>
        <v/>
      </c>
      <c r="AX86" s="13" t="str">
        <f aca="false">IF(OR(T86="",P86=""),"",(1/Inputs!$B$9)*((T86/4)^(2/3))*SQRT(P86))</f>
        <v/>
      </c>
      <c r="AY86" s="13" t="str">
        <f aca="false">IF(A86="","",IF(AND(AW86="",AX86="",BA86=""),"",IF(OR(UPPER(TRIM(Inputs!$B$24))="MANNING",UPPER(TRIM(Inputs!$B$24))="M"),AX86,IF(OR(UPPER(TRIM(Inputs!$B$24))="PARTIAL",UPPER(TRIM(Inputs!$B$24))="P"),BA86,IF(OR(UPPER(TRIM(Inputs!$B$24))="MAX",UPPER(TRIM(Inputs!$B$24))="X"),MAX(IF(AW86="",0,AW86),IF(AX86="",0,AX86),IF(BA86="",0,BA86)),AW86)))))</f>
        <v/>
      </c>
      <c r="AZ86" s="13" t="str">
        <f aca="false">IF(BB86="","",CH86)</f>
        <v/>
      </c>
      <c r="BA86" s="13" t="str">
        <f aca="false">IF(OR(BB86="",AZ86="",T86="",T86&lt;=0,AZ86&lt;=0),"",BB86/((T86^2/8)*(2*ACOS(1-2*AZ86/T86)-SIN(2*ACOS(1-2*AZ86/T86)))))</f>
        <v/>
      </c>
      <c r="BB86" s="9" t="str">
        <f aca="false">IF(OR(N86="",BC86=""),"",MIN(N86,BC86))</f>
        <v/>
      </c>
      <c r="BC86" s="9" t="str">
        <f aca="false">IF(OR(N86="",T86="",P86=""),"",IF(OR(T86="",P86="",(0.94*T86)="",T86&lt;=0,(0.94*T86)&lt;=0),"",(1/Inputs!$B$9)*((T86^2/8)*((2*ACOS(1-2*(0.94*T86)/T86))-SIN((2*ACOS(1-2*(0.94*T86)/T86)))))*((((T86^2/8)*((2*ACOS(1-2*(0.94*T86)/T86))-SIN((2*ACOS(1-2*(0.94*T86)/T86)))))/((T86/2)*((2*ACOS(1-2*(0.94*T86)/T86)))))^(2/3))*SQRT(P86)))</f>
        <v/>
      </c>
      <c r="BD86" s="9" t="str">
        <f aca="false">IF(BB86="","",0.001*T86)</f>
        <v/>
      </c>
      <c r="BE86" s="9" t="str">
        <f aca="false">IF(BB86="","",0.94*T86)</f>
        <v/>
      </c>
      <c r="BF86" s="9" t="str">
        <f aca="false">IF(BB86="","",(BD86+BE86)/2)</f>
        <v/>
      </c>
      <c r="BG86" s="9" t="str">
        <f aca="false">IF(OR(T86="",P86="",BF86="",T86&lt;=0,BF86&lt;=0),"",(1/Inputs!$B$9)*((T86^2/8)*((2*ACOS(1-2*BF86/T86))-SIN((2*ACOS(1-2*BF86/T86)))))*((((T86^2/8)*((2*ACOS(1-2*BF86/T86))-SIN((2*ACOS(1-2*BF86/T86)))))/((T86/2)*((2*ACOS(1-2*BF86/T86)))))^(2/3))*SQRT(P86))</f>
        <v/>
      </c>
      <c r="BH86" s="9" t="str">
        <f aca="false">IF(BB86="","",IF(BG86&lt;BB86,BF86,BD86))</f>
        <v/>
      </c>
      <c r="BI86" s="9" t="str">
        <f aca="false">IF(BB86="","",IF(BG86&lt;BB86,BE86,BF86))</f>
        <v/>
      </c>
      <c r="BJ86" s="9" t="str">
        <f aca="false">IF(BB86="","",(BH86+BI86)/2)</f>
        <v/>
      </c>
      <c r="BK86" s="9" t="str">
        <f aca="false">IF(OR(T86="",P86="",BJ86="",T86&lt;=0,BJ86&lt;=0),"",(1/Inputs!$B$9)*((T86^2/8)*((2*ACOS(1-2*BJ86/T86))-SIN((2*ACOS(1-2*BJ86/T86)))))*((((T86^2/8)*((2*ACOS(1-2*BJ86/T86))-SIN((2*ACOS(1-2*BJ86/T86)))))/((T86/2)*((2*ACOS(1-2*BJ86/T86)))))^(2/3))*SQRT(P86))</f>
        <v/>
      </c>
      <c r="BL86" s="9" t="str">
        <f aca="false">IF(BB86="","",IF(BK86&lt;BB86,BJ86,BH86))</f>
        <v/>
      </c>
      <c r="BM86" s="9" t="str">
        <f aca="false">IF(BB86="","",IF(BK86&lt;BB86,BI86,BJ86))</f>
        <v/>
      </c>
      <c r="BN86" s="9" t="str">
        <f aca="false">IF(BB86="","",(BL86+BM86)/2)</f>
        <v/>
      </c>
      <c r="BO86" s="9" t="str">
        <f aca="false">IF(OR(T86="",P86="",BN86="",T86&lt;=0,BN86&lt;=0),"",(1/Inputs!$B$9)*((T86^2/8)*((2*ACOS(1-2*BN86/T86))-SIN((2*ACOS(1-2*BN86/T86)))))*((((T86^2/8)*((2*ACOS(1-2*BN86/T86))-SIN((2*ACOS(1-2*BN86/T86)))))/((T86/2)*((2*ACOS(1-2*BN86/T86)))))^(2/3))*SQRT(P86))</f>
        <v/>
      </c>
      <c r="BP86" s="9" t="str">
        <f aca="false">IF(BB86="","",IF(BO86&lt;BB86,BN86,BL86))</f>
        <v/>
      </c>
      <c r="BQ86" s="9" t="str">
        <f aca="false">IF(BB86="","",IF(BO86&lt;BB86,BM86,BN86))</f>
        <v/>
      </c>
      <c r="BR86" s="9" t="str">
        <f aca="false">IF(BB86="","",(BP86+BQ86)/2)</f>
        <v/>
      </c>
      <c r="BS86" s="9" t="str">
        <f aca="false">IF(OR(T86="",P86="",BR86="",T86&lt;=0,BR86&lt;=0),"",(1/Inputs!$B$9)*((T86^2/8)*((2*ACOS(1-2*BR86/T86))-SIN((2*ACOS(1-2*BR86/T86)))))*((((T86^2/8)*((2*ACOS(1-2*BR86/T86))-SIN((2*ACOS(1-2*BR86/T86)))))/((T86/2)*((2*ACOS(1-2*BR86/T86)))))^(2/3))*SQRT(P86))</f>
        <v/>
      </c>
      <c r="BT86" s="9" t="str">
        <f aca="false">IF(BB86="","",IF(BS86&lt;BB86,BR86,BP86))</f>
        <v/>
      </c>
      <c r="BU86" s="9" t="str">
        <f aca="false">IF(BB86="","",IF(BS86&lt;BB86,BQ86,BR86))</f>
        <v/>
      </c>
      <c r="BV86" s="9" t="str">
        <f aca="false">IF(BB86="","",(BT86+BU86)/2)</f>
        <v/>
      </c>
      <c r="BW86" s="9" t="str">
        <f aca="false">IF(OR(T86="",P86="",BV86="",T86&lt;=0,BV86&lt;=0),"",(1/Inputs!$B$9)*((T86^2/8)*((2*ACOS(1-2*BV86/T86))-SIN((2*ACOS(1-2*BV86/T86)))))*((((T86^2/8)*((2*ACOS(1-2*BV86/T86))-SIN((2*ACOS(1-2*BV86/T86)))))/((T86/2)*((2*ACOS(1-2*BV86/T86)))))^(2/3))*SQRT(P86))</f>
        <v/>
      </c>
      <c r="BX86" s="9" t="str">
        <f aca="false">IF(BB86="","",IF(BW86&lt;BB86,BV86,BT86))</f>
        <v/>
      </c>
      <c r="BY86" s="9" t="str">
        <f aca="false">IF(BB86="","",IF(BW86&lt;BB86,BU86,BV86))</f>
        <v/>
      </c>
      <c r="BZ86" s="9" t="str">
        <f aca="false">IF(BB86="","",(BX86+BY86)/2)</f>
        <v/>
      </c>
      <c r="CA86" s="9" t="str">
        <f aca="false">IF(OR(T86="",P86="",BZ86="",T86&lt;=0,BZ86&lt;=0),"",(1/Inputs!$B$9)*((T86^2/8)*((2*ACOS(1-2*BZ86/T86))-SIN((2*ACOS(1-2*BZ86/T86)))))*((((T86^2/8)*((2*ACOS(1-2*BZ86/T86))-SIN((2*ACOS(1-2*BZ86/T86)))))/((T86/2)*((2*ACOS(1-2*BZ86/T86)))))^(2/3))*SQRT(P86))</f>
        <v/>
      </c>
      <c r="CB86" s="9" t="str">
        <f aca="false">IF(BB86="","",IF(CA86&lt;BB86,BZ86,BX86))</f>
        <v/>
      </c>
      <c r="CC86" s="9" t="str">
        <f aca="false">IF(BB86="","",IF(CA86&lt;BB86,BY86,BZ86))</f>
        <v/>
      </c>
      <c r="CD86" s="9" t="str">
        <f aca="false">IF(BB86="","",(CB86+CC86)/2)</f>
        <v/>
      </c>
      <c r="CE86" s="9" t="str">
        <f aca="false">IF(OR(T86="",P86="",CD86="",T86&lt;=0,CD86&lt;=0),"",(1/Inputs!$B$9)*((T86^2/8)*((2*ACOS(1-2*CD86/T86))-SIN((2*ACOS(1-2*CD86/T86)))))*((((T86^2/8)*((2*ACOS(1-2*CD86/T86))-SIN((2*ACOS(1-2*CD86/T86)))))/((T86/2)*((2*ACOS(1-2*CD86/T86)))))^(2/3))*SQRT(P86))</f>
        <v/>
      </c>
      <c r="CF86" s="9" t="str">
        <f aca="false">IF(BB86="","",IF(CE86&lt;BB86,CD86,CB86))</f>
        <v/>
      </c>
      <c r="CG86" s="9" t="str">
        <f aca="false">IF(BB86="","",IF(CE86&lt;BB86,CC86,CD86))</f>
        <v/>
      </c>
      <c r="CH86" s="9" t="str">
        <f aca="false">IF(BB86="","",(CF86+CG86)/2)</f>
        <v/>
      </c>
    </row>
    <row r="87" customFormat="false" ht="15" hidden="false" customHeight="false" outlineLevel="0" collapsed="false">
      <c r="A87" s="9"/>
      <c r="B87" s="9"/>
      <c r="C87" s="9"/>
      <c r="D87" s="9"/>
      <c r="E87" s="14"/>
      <c r="F87" s="14"/>
      <c r="G87" s="14" t="n">
        <f aca="false">SUMIFS(CB_plan!$C:$C,CB_plan!$B:$B,$A87)</f>
        <v>0</v>
      </c>
      <c r="H87" s="14" t="n">
        <f aca="false">IF(F87="",G87,F87)</f>
        <v>0</v>
      </c>
      <c r="I87" s="9"/>
      <c r="J87" s="14"/>
      <c r="K87" s="14" t="str">
        <f aca="false">IF(A87="","",Inputs!$B$13/((IF(AV87="",Inputs!$B$18,AV87)+Inputs!$B$14)^Inputs!$B$15))</f>
        <v/>
      </c>
      <c r="L87" s="14" t="str">
        <f aca="false">IF(A87="","",0.000000278*IF(I87="",Inputs!$B$17,I87)*H87*K87)</f>
        <v/>
      </c>
      <c r="M87" s="14" t="str">
        <f aca="false">IF(A87="","",SUMIFS($N$4:$N$203,$D$4:$D$203,$A87))</f>
        <v/>
      </c>
      <c r="N87" s="14" t="str">
        <f aca="false">IF(A87="","",(L87+M87)*Inputs!$B$16)</f>
        <v/>
      </c>
      <c r="O87" s="14"/>
      <c r="P87" s="14" t="str">
        <f aca="false">IF(A87="","",IF(O87="",Inputs!$B$7,O87))</f>
        <v/>
      </c>
      <c r="Q87" s="9" t="str">
        <f aca="false">IF(A87="","",IF(N87/Inputs!$B$10&lt;=AG87,Inputs!$F$5,IF(N87/Inputs!$B$10&gt;AP87,"OVERSIZE",INDEX(Inputs!$F$5:$F$14,MATCH(N87/Inputs!$B$10,AG87:AP87,1)+1))))</f>
        <v/>
      </c>
      <c r="R87" s="9"/>
      <c r="S87" s="9" t="str">
        <f aca="false">IF(A87="","",IF(R87="",Q87,R87))</f>
        <v/>
      </c>
      <c r="T87" s="14" t="str">
        <f aca="false">IF(OR(S87="",S87="OVERSIZE"),"",S87/1000)</f>
        <v/>
      </c>
      <c r="U87" s="14" t="str">
        <f aca="false">IF(T87="","",(1/Inputs!$B$9)*(PI()*T87^2/4)*((T87/4)^(2/3))*SQRT(P87))</f>
        <v/>
      </c>
      <c r="V87" s="14" t="str">
        <f aca="false">IF(OR(U87="",N87=""),"",N87/(U87*Inputs!$B$10))</f>
        <v/>
      </c>
      <c r="W87" s="14" t="str">
        <f aca="false">IF(OR(T87="",N87=""),"",4*N87/(PI()*T87^2))</f>
        <v/>
      </c>
      <c r="X87" s="14"/>
      <c r="Y87" s="14" t="str">
        <f aca="false">IF(A87="","",IF(A87=Inputs!$B$6,Inputs!$B$22,IF(D87="","",IFERROR(INDEX($Z$4:$Z$203,MATCH(D87,$A$4:$A$203,0))+IF(X87="",Inputs!$B$20,X87),""))))</f>
        <v/>
      </c>
      <c r="Z87" s="14" t="str">
        <f aca="false">IF(OR(Y87="",P87="",E87=""),"",Y87+P87*E87)</f>
        <v/>
      </c>
      <c r="AA87" s="14" t="str">
        <f aca="false">IF(C87="","",IFERROR(INDEX(Noeuds_plan!$C$4:$C$200,MATCH(C87,Noeuds_plan!$A$4:$A$200,0)),""))</f>
        <v/>
      </c>
      <c r="AB87" s="14" t="str">
        <f aca="false">IF(B87="","",IFERROR(INDEX(Noeuds_plan!$C$4:$C$200,MATCH(B87,Noeuds_plan!$A$4:$A$200,0)),""))</f>
        <v/>
      </c>
      <c r="AC87" s="14" t="str">
        <f aca="false">IF(OR(AA87="",Y87=""),"",AA87-Y87)</f>
        <v/>
      </c>
      <c r="AD87" s="14" t="str">
        <f aca="false">IF(OR(AB87="",Z87=""),"",AB87-Z87)</f>
        <v/>
      </c>
      <c r="AE87" s="19" t="str">
        <f aca="false">IF(A87="","",IF(OR(V87&gt;1,AND(AY87&lt;&gt;"",AY87&lt;Inputs!$B$11),AND(AY87&lt;&gt;"",AY87&gt;Inputs!$B$12),AC87&lt;Inputs!$B$19,AD87&lt;Inputs!$B$19,P87&lt;Inputs!$B$7,P87&gt;Inputs!$B$8),"CHECK","OK"))</f>
        <v/>
      </c>
      <c r="AF87" s="9"/>
      <c r="AG87" s="9" t="str">
        <f aca="false">IF(A87="","",(1/Inputs!$B$9)*(PI()*(Inputs!$F$5/1000)^2/4)*((Inputs!$F$5/1000/4)^(2/3))*SQRT(P87))</f>
        <v/>
      </c>
      <c r="AH87" s="9" t="str">
        <f aca="false">IF(A87="","",(1/Inputs!$B$9)*(PI()*(Inputs!$F$6/1000)^2/4)*((Inputs!$F$6/1000/4)^(2/3))*SQRT(P87))</f>
        <v/>
      </c>
      <c r="AI87" s="9" t="str">
        <f aca="false">IF(A87="","",(1/Inputs!$B$9)*(PI()*(Inputs!$F$7/1000)^2/4)*((Inputs!$F$7/1000/4)^(2/3))*SQRT(P87))</f>
        <v/>
      </c>
      <c r="AJ87" s="9" t="str">
        <f aca="false">IF(A87="","",(1/Inputs!$B$9)*(PI()*(Inputs!$F$8/1000)^2/4)*((Inputs!$F$8/1000/4)^(2/3))*SQRT(P87))</f>
        <v/>
      </c>
      <c r="AK87" s="9" t="str">
        <f aca="false">IF(A87="","",(1/Inputs!$B$9)*(PI()*(Inputs!$F$9/1000)^2/4)*((Inputs!$F$9/1000/4)^(2/3))*SQRT(P87))</f>
        <v/>
      </c>
      <c r="AL87" s="9" t="str">
        <f aca="false">IF(A87="","",(1/Inputs!$B$9)*(PI()*(Inputs!$F$10/1000)^2/4)*((Inputs!$F$10/1000/4)^(2/3))*SQRT(P87))</f>
        <v/>
      </c>
      <c r="AM87" s="9" t="str">
        <f aca="false">IF(A87="","",(1/Inputs!$B$9)*(PI()*(Inputs!$F$11/1000)^2/4)*((Inputs!$F$11/1000/4)^(2/3))*SQRT(P87))</f>
        <v/>
      </c>
      <c r="AN87" s="9" t="str">
        <f aca="false">IF(A87="","",(1/Inputs!$B$9)*(PI()*(Inputs!$F$12/1000)^2/4)*((Inputs!$F$12/1000/4)^(2/3))*SQRT(P87))</f>
        <v/>
      </c>
      <c r="AO87" s="9" t="str">
        <f aca="false">IF(A87="","",(1/Inputs!$B$9)*(PI()*(Inputs!$F$13/1000)^2/4)*((Inputs!$F$13/1000/4)^(2/3))*SQRT(P87))</f>
        <v/>
      </c>
      <c r="AP87" s="9" t="str">
        <f aca="false">IF(A87="","",(1/Inputs!$B$9)*(PI()*(Inputs!$F$14/1000)^2/4)*((Inputs!$F$14/1000/4)^(2/3))*SQRT(P87))</f>
        <v/>
      </c>
      <c r="AQ87" s="9" t="str">
        <f aca="false">IF(A87="","",COUNTIF($D$4:$D$203,$A87))</f>
        <v/>
      </c>
      <c r="AR87" s="9" t="str">
        <f aca="false">IF(A87="","",IF(AQ87=0,"START","CONTINUOUS"))</f>
        <v/>
      </c>
      <c r="AS87" s="13" t="str">
        <f aca="false">IF(A87="","",IF(J87="",Inputs!$B$18,J87))</f>
        <v/>
      </c>
      <c r="AT87" s="13" t="str">
        <f aca="false">IF(A87="","",IFERROR(maxifs($AV$4:$AV$203,$D$4:$D$203,$A87),""))</f>
        <v/>
      </c>
      <c r="AU87" s="13" t="str">
        <f aca="false">IF(A87="","",IF(OR(E87="",Inputs!$B$23=""),"",E87/(Inputs!$B$23*60)))</f>
        <v/>
      </c>
      <c r="AV87" s="13" t="str">
        <f aca="false">IF(A87="","",IF(AQ87=0,AS87+AU87,IF(AT87="",AS87+AU87,AT87+AU87)))</f>
        <v/>
      </c>
      <c r="AW87" s="13" t="str">
        <f aca="false">IF(A87="","",W87)</f>
        <v/>
      </c>
      <c r="AX87" s="13" t="str">
        <f aca="false">IF(OR(T87="",P87=""),"",(1/Inputs!$B$9)*((T87/4)^(2/3))*SQRT(P87))</f>
        <v/>
      </c>
      <c r="AY87" s="13" t="str">
        <f aca="false">IF(A87="","",IF(AND(AW87="",AX87="",BA87=""),"",IF(OR(UPPER(TRIM(Inputs!$B$24))="MANNING",UPPER(TRIM(Inputs!$B$24))="M"),AX87,IF(OR(UPPER(TRIM(Inputs!$B$24))="PARTIAL",UPPER(TRIM(Inputs!$B$24))="P"),BA87,IF(OR(UPPER(TRIM(Inputs!$B$24))="MAX",UPPER(TRIM(Inputs!$B$24))="X"),MAX(IF(AW87="",0,AW87),IF(AX87="",0,AX87),IF(BA87="",0,BA87)),AW87)))))</f>
        <v/>
      </c>
      <c r="AZ87" s="13" t="str">
        <f aca="false">IF(BB87="","",CH87)</f>
        <v/>
      </c>
      <c r="BA87" s="13" t="str">
        <f aca="false">IF(OR(BB87="",AZ87="",T87="",T87&lt;=0,AZ87&lt;=0),"",BB87/((T87^2/8)*(2*ACOS(1-2*AZ87/T87)-SIN(2*ACOS(1-2*AZ87/T87)))))</f>
        <v/>
      </c>
      <c r="BB87" s="9" t="str">
        <f aca="false">IF(OR(N87="",BC87=""),"",MIN(N87,BC87))</f>
        <v/>
      </c>
      <c r="BC87" s="9" t="str">
        <f aca="false">IF(OR(N87="",T87="",P87=""),"",IF(OR(T87="",P87="",(0.94*T87)="",T87&lt;=0,(0.94*T87)&lt;=0),"",(1/Inputs!$B$9)*((T87^2/8)*((2*ACOS(1-2*(0.94*T87)/T87))-SIN((2*ACOS(1-2*(0.94*T87)/T87)))))*((((T87^2/8)*((2*ACOS(1-2*(0.94*T87)/T87))-SIN((2*ACOS(1-2*(0.94*T87)/T87)))))/((T87/2)*((2*ACOS(1-2*(0.94*T87)/T87)))))^(2/3))*SQRT(P87)))</f>
        <v/>
      </c>
      <c r="BD87" s="9" t="str">
        <f aca="false">IF(BB87="","",0.001*T87)</f>
        <v/>
      </c>
      <c r="BE87" s="9" t="str">
        <f aca="false">IF(BB87="","",0.94*T87)</f>
        <v/>
      </c>
      <c r="BF87" s="9" t="str">
        <f aca="false">IF(BB87="","",(BD87+BE87)/2)</f>
        <v/>
      </c>
      <c r="BG87" s="9" t="str">
        <f aca="false">IF(OR(T87="",P87="",BF87="",T87&lt;=0,BF87&lt;=0),"",(1/Inputs!$B$9)*((T87^2/8)*((2*ACOS(1-2*BF87/T87))-SIN((2*ACOS(1-2*BF87/T87)))))*((((T87^2/8)*((2*ACOS(1-2*BF87/T87))-SIN((2*ACOS(1-2*BF87/T87)))))/((T87/2)*((2*ACOS(1-2*BF87/T87)))))^(2/3))*SQRT(P87))</f>
        <v/>
      </c>
      <c r="BH87" s="9" t="str">
        <f aca="false">IF(BB87="","",IF(BG87&lt;BB87,BF87,BD87))</f>
        <v/>
      </c>
      <c r="BI87" s="9" t="str">
        <f aca="false">IF(BB87="","",IF(BG87&lt;BB87,BE87,BF87))</f>
        <v/>
      </c>
      <c r="BJ87" s="9" t="str">
        <f aca="false">IF(BB87="","",(BH87+BI87)/2)</f>
        <v/>
      </c>
      <c r="BK87" s="9" t="str">
        <f aca="false">IF(OR(T87="",P87="",BJ87="",T87&lt;=0,BJ87&lt;=0),"",(1/Inputs!$B$9)*((T87^2/8)*((2*ACOS(1-2*BJ87/T87))-SIN((2*ACOS(1-2*BJ87/T87)))))*((((T87^2/8)*((2*ACOS(1-2*BJ87/T87))-SIN((2*ACOS(1-2*BJ87/T87)))))/((T87/2)*((2*ACOS(1-2*BJ87/T87)))))^(2/3))*SQRT(P87))</f>
        <v/>
      </c>
      <c r="BL87" s="9" t="str">
        <f aca="false">IF(BB87="","",IF(BK87&lt;BB87,BJ87,BH87))</f>
        <v/>
      </c>
      <c r="BM87" s="9" t="str">
        <f aca="false">IF(BB87="","",IF(BK87&lt;BB87,BI87,BJ87))</f>
        <v/>
      </c>
      <c r="BN87" s="9" t="str">
        <f aca="false">IF(BB87="","",(BL87+BM87)/2)</f>
        <v/>
      </c>
      <c r="BO87" s="9" t="str">
        <f aca="false">IF(OR(T87="",P87="",BN87="",T87&lt;=0,BN87&lt;=0),"",(1/Inputs!$B$9)*((T87^2/8)*((2*ACOS(1-2*BN87/T87))-SIN((2*ACOS(1-2*BN87/T87)))))*((((T87^2/8)*((2*ACOS(1-2*BN87/T87))-SIN((2*ACOS(1-2*BN87/T87)))))/((T87/2)*((2*ACOS(1-2*BN87/T87)))))^(2/3))*SQRT(P87))</f>
        <v/>
      </c>
      <c r="BP87" s="9" t="str">
        <f aca="false">IF(BB87="","",IF(BO87&lt;BB87,BN87,BL87))</f>
        <v/>
      </c>
      <c r="BQ87" s="9" t="str">
        <f aca="false">IF(BB87="","",IF(BO87&lt;BB87,BM87,BN87))</f>
        <v/>
      </c>
      <c r="BR87" s="9" t="str">
        <f aca="false">IF(BB87="","",(BP87+BQ87)/2)</f>
        <v/>
      </c>
      <c r="BS87" s="9" t="str">
        <f aca="false">IF(OR(T87="",P87="",BR87="",T87&lt;=0,BR87&lt;=0),"",(1/Inputs!$B$9)*((T87^2/8)*((2*ACOS(1-2*BR87/T87))-SIN((2*ACOS(1-2*BR87/T87)))))*((((T87^2/8)*((2*ACOS(1-2*BR87/T87))-SIN((2*ACOS(1-2*BR87/T87)))))/((T87/2)*((2*ACOS(1-2*BR87/T87)))))^(2/3))*SQRT(P87))</f>
        <v/>
      </c>
      <c r="BT87" s="9" t="str">
        <f aca="false">IF(BB87="","",IF(BS87&lt;BB87,BR87,BP87))</f>
        <v/>
      </c>
      <c r="BU87" s="9" t="str">
        <f aca="false">IF(BB87="","",IF(BS87&lt;BB87,BQ87,BR87))</f>
        <v/>
      </c>
      <c r="BV87" s="9" t="str">
        <f aca="false">IF(BB87="","",(BT87+BU87)/2)</f>
        <v/>
      </c>
      <c r="BW87" s="9" t="str">
        <f aca="false">IF(OR(T87="",P87="",BV87="",T87&lt;=0,BV87&lt;=0),"",(1/Inputs!$B$9)*((T87^2/8)*((2*ACOS(1-2*BV87/T87))-SIN((2*ACOS(1-2*BV87/T87)))))*((((T87^2/8)*((2*ACOS(1-2*BV87/T87))-SIN((2*ACOS(1-2*BV87/T87)))))/((T87/2)*((2*ACOS(1-2*BV87/T87)))))^(2/3))*SQRT(P87))</f>
        <v/>
      </c>
      <c r="BX87" s="9" t="str">
        <f aca="false">IF(BB87="","",IF(BW87&lt;BB87,BV87,BT87))</f>
        <v/>
      </c>
      <c r="BY87" s="9" t="str">
        <f aca="false">IF(BB87="","",IF(BW87&lt;BB87,BU87,BV87))</f>
        <v/>
      </c>
      <c r="BZ87" s="9" t="str">
        <f aca="false">IF(BB87="","",(BX87+BY87)/2)</f>
        <v/>
      </c>
      <c r="CA87" s="9" t="str">
        <f aca="false">IF(OR(T87="",P87="",BZ87="",T87&lt;=0,BZ87&lt;=0),"",(1/Inputs!$B$9)*((T87^2/8)*((2*ACOS(1-2*BZ87/T87))-SIN((2*ACOS(1-2*BZ87/T87)))))*((((T87^2/8)*((2*ACOS(1-2*BZ87/T87))-SIN((2*ACOS(1-2*BZ87/T87)))))/((T87/2)*((2*ACOS(1-2*BZ87/T87)))))^(2/3))*SQRT(P87))</f>
        <v/>
      </c>
      <c r="CB87" s="9" t="str">
        <f aca="false">IF(BB87="","",IF(CA87&lt;BB87,BZ87,BX87))</f>
        <v/>
      </c>
      <c r="CC87" s="9" t="str">
        <f aca="false">IF(BB87="","",IF(CA87&lt;BB87,BY87,BZ87))</f>
        <v/>
      </c>
      <c r="CD87" s="9" t="str">
        <f aca="false">IF(BB87="","",(CB87+CC87)/2)</f>
        <v/>
      </c>
      <c r="CE87" s="9" t="str">
        <f aca="false">IF(OR(T87="",P87="",CD87="",T87&lt;=0,CD87&lt;=0),"",(1/Inputs!$B$9)*((T87^2/8)*((2*ACOS(1-2*CD87/T87))-SIN((2*ACOS(1-2*CD87/T87)))))*((((T87^2/8)*((2*ACOS(1-2*CD87/T87))-SIN((2*ACOS(1-2*CD87/T87)))))/((T87/2)*((2*ACOS(1-2*CD87/T87)))))^(2/3))*SQRT(P87))</f>
        <v/>
      </c>
      <c r="CF87" s="9" t="str">
        <f aca="false">IF(BB87="","",IF(CE87&lt;BB87,CD87,CB87))</f>
        <v/>
      </c>
      <c r="CG87" s="9" t="str">
        <f aca="false">IF(BB87="","",IF(CE87&lt;BB87,CC87,CD87))</f>
        <v/>
      </c>
      <c r="CH87" s="9" t="str">
        <f aca="false">IF(BB87="","",(CF87+CG87)/2)</f>
        <v/>
      </c>
    </row>
    <row r="88" customFormat="false" ht="15" hidden="false" customHeight="false" outlineLevel="0" collapsed="false">
      <c r="A88" s="9"/>
      <c r="B88" s="9"/>
      <c r="C88" s="9"/>
      <c r="D88" s="9"/>
      <c r="E88" s="14"/>
      <c r="F88" s="14"/>
      <c r="G88" s="14" t="n">
        <f aca="false">SUMIFS(CB_plan!$C:$C,CB_plan!$B:$B,$A88)</f>
        <v>0</v>
      </c>
      <c r="H88" s="14" t="n">
        <f aca="false">IF(F88="",G88,F88)</f>
        <v>0</v>
      </c>
      <c r="I88" s="9"/>
      <c r="J88" s="14"/>
      <c r="K88" s="14" t="str">
        <f aca="false">IF(A88="","",Inputs!$B$13/((IF(AV88="",Inputs!$B$18,AV88)+Inputs!$B$14)^Inputs!$B$15))</f>
        <v/>
      </c>
      <c r="L88" s="14" t="str">
        <f aca="false">IF(A88="","",0.000000278*IF(I88="",Inputs!$B$17,I88)*H88*K88)</f>
        <v/>
      </c>
      <c r="M88" s="14" t="str">
        <f aca="false">IF(A88="","",SUMIFS($N$4:$N$203,$D$4:$D$203,$A88))</f>
        <v/>
      </c>
      <c r="N88" s="14" t="str">
        <f aca="false">IF(A88="","",(L88+M88)*Inputs!$B$16)</f>
        <v/>
      </c>
      <c r="O88" s="14"/>
      <c r="P88" s="14" t="str">
        <f aca="false">IF(A88="","",IF(O88="",Inputs!$B$7,O88))</f>
        <v/>
      </c>
      <c r="Q88" s="9" t="str">
        <f aca="false">IF(A88="","",IF(N88/Inputs!$B$10&lt;=AG88,Inputs!$F$5,IF(N88/Inputs!$B$10&gt;AP88,"OVERSIZE",INDEX(Inputs!$F$5:$F$14,MATCH(N88/Inputs!$B$10,AG88:AP88,1)+1))))</f>
        <v/>
      </c>
      <c r="R88" s="9"/>
      <c r="S88" s="9" t="str">
        <f aca="false">IF(A88="","",IF(R88="",Q88,R88))</f>
        <v/>
      </c>
      <c r="T88" s="14" t="str">
        <f aca="false">IF(OR(S88="",S88="OVERSIZE"),"",S88/1000)</f>
        <v/>
      </c>
      <c r="U88" s="14" t="str">
        <f aca="false">IF(T88="","",(1/Inputs!$B$9)*(PI()*T88^2/4)*((T88/4)^(2/3))*SQRT(P88))</f>
        <v/>
      </c>
      <c r="V88" s="14" t="str">
        <f aca="false">IF(OR(U88="",N88=""),"",N88/(U88*Inputs!$B$10))</f>
        <v/>
      </c>
      <c r="W88" s="14" t="str">
        <f aca="false">IF(OR(T88="",N88=""),"",4*N88/(PI()*T88^2))</f>
        <v/>
      </c>
      <c r="X88" s="14"/>
      <c r="Y88" s="14" t="str">
        <f aca="false">IF(A88="","",IF(A88=Inputs!$B$6,Inputs!$B$22,IF(D88="","",IFERROR(INDEX($Z$4:$Z$203,MATCH(D88,$A$4:$A$203,0))+IF(X88="",Inputs!$B$20,X88),""))))</f>
        <v/>
      </c>
      <c r="Z88" s="14" t="str">
        <f aca="false">IF(OR(Y88="",P88="",E88=""),"",Y88+P88*E88)</f>
        <v/>
      </c>
      <c r="AA88" s="14" t="str">
        <f aca="false">IF(C88="","",IFERROR(INDEX(Noeuds_plan!$C$4:$C$200,MATCH(C88,Noeuds_plan!$A$4:$A$200,0)),""))</f>
        <v/>
      </c>
      <c r="AB88" s="14" t="str">
        <f aca="false">IF(B88="","",IFERROR(INDEX(Noeuds_plan!$C$4:$C$200,MATCH(B88,Noeuds_plan!$A$4:$A$200,0)),""))</f>
        <v/>
      </c>
      <c r="AC88" s="14" t="str">
        <f aca="false">IF(OR(AA88="",Y88=""),"",AA88-Y88)</f>
        <v/>
      </c>
      <c r="AD88" s="14" t="str">
        <f aca="false">IF(OR(AB88="",Z88=""),"",AB88-Z88)</f>
        <v/>
      </c>
      <c r="AE88" s="19" t="str">
        <f aca="false">IF(A88="","",IF(OR(V88&gt;1,AND(AY88&lt;&gt;"",AY88&lt;Inputs!$B$11),AND(AY88&lt;&gt;"",AY88&gt;Inputs!$B$12),AC88&lt;Inputs!$B$19,AD88&lt;Inputs!$B$19,P88&lt;Inputs!$B$7,P88&gt;Inputs!$B$8),"CHECK","OK"))</f>
        <v/>
      </c>
      <c r="AF88" s="9"/>
      <c r="AG88" s="9" t="str">
        <f aca="false">IF(A88="","",(1/Inputs!$B$9)*(PI()*(Inputs!$F$5/1000)^2/4)*((Inputs!$F$5/1000/4)^(2/3))*SQRT(P88))</f>
        <v/>
      </c>
      <c r="AH88" s="9" t="str">
        <f aca="false">IF(A88="","",(1/Inputs!$B$9)*(PI()*(Inputs!$F$6/1000)^2/4)*((Inputs!$F$6/1000/4)^(2/3))*SQRT(P88))</f>
        <v/>
      </c>
      <c r="AI88" s="9" t="str">
        <f aca="false">IF(A88="","",(1/Inputs!$B$9)*(PI()*(Inputs!$F$7/1000)^2/4)*((Inputs!$F$7/1000/4)^(2/3))*SQRT(P88))</f>
        <v/>
      </c>
      <c r="AJ88" s="9" t="str">
        <f aca="false">IF(A88="","",(1/Inputs!$B$9)*(PI()*(Inputs!$F$8/1000)^2/4)*((Inputs!$F$8/1000/4)^(2/3))*SQRT(P88))</f>
        <v/>
      </c>
      <c r="AK88" s="9" t="str">
        <f aca="false">IF(A88="","",(1/Inputs!$B$9)*(PI()*(Inputs!$F$9/1000)^2/4)*((Inputs!$F$9/1000/4)^(2/3))*SQRT(P88))</f>
        <v/>
      </c>
      <c r="AL88" s="9" t="str">
        <f aca="false">IF(A88="","",(1/Inputs!$B$9)*(PI()*(Inputs!$F$10/1000)^2/4)*((Inputs!$F$10/1000/4)^(2/3))*SQRT(P88))</f>
        <v/>
      </c>
      <c r="AM88" s="9" t="str">
        <f aca="false">IF(A88="","",(1/Inputs!$B$9)*(PI()*(Inputs!$F$11/1000)^2/4)*((Inputs!$F$11/1000/4)^(2/3))*SQRT(P88))</f>
        <v/>
      </c>
      <c r="AN88" s="9" t="str">
        <f aca="false">IF(A88="","",(1/Inputs!$B$9)*(PI()*(Inputs!$F$12/1000)^2/4)*((Inputs!$F$12/1000/4)^(2/3))*SQRT(P88))</f>
        <v/>
      </c>
      <c r="AO88" s="9" t="str">
        <f aca="false">IF(A88="","",(1/Inputs!$B$9)*(PI()*(Inputs!$F$13/1000)^2/4)*((Inputs!$F$13/1000/4)^(2/3))*SQRT(P88))</f>
        <v/>
      </c>
      <c r="AP88" s="9" t="str">
        <f aca="false">IF(A88="","",(1/Inputs!$B$9)*(PI()*(Inputs!$F$14/1000)^2/4)*((Inputs!$F$14/1000/4)^(2/3))*SQRT(P88))</f>
        <v/>
      </c>
      <c r="AQ88" s="9" t="str">
        <f aca="false">IF(A88="","",COUNTIF($D$4:$D$203,$A88))</f>
        <v/>
      </c>
      <c r="AR88" s="9" t="str">
        <f aca="false">IF(A88="","",IF(AQ88=0,"START","CONTINUOUS"))</f>
        <v/>
      </c>
      <c r="AS88" s="13" t="str">
        <f aca="false">IF(A88="","",IF(J88="",Inputs!$B$18,J88))</f>
        <v/>
      </c>
      <c r="AT88" s="13" t="str">
        <f aca="false">IF(A88="","",IFERROR(maxifs($AV$4:$AV$203,$D$4:$D$203,$A88),""))</f>
        <v/>
      </c>
      <c r="AU88" s="13" t="str">
        <f aca="false">IF(A88="","",IF(OR(E88="",Inputs!$B$23=""),"",E88/(Inputs!$B$23*60)))</f>
        <v/>
      </c>
      <c r="AV88" s="13" t="str">
        <f aca="false">IF(A88="","",IF(AQ88=0,AS88+AU88,IF(AT88="",AS88+AU88,AT88+AU88)))</f>
        <v/>
      </c>
      <c r="AW88" s="13" t="str">
        <f aca="false">IF(A88="","",W88)</f>
        <v/>
      </c>
      <c r="AX88" s="13" t="str">
        <f aca="false">IF(OR(T88="",P88=""),"",(1/Inputs!$B$9)*((T88/4)^(2/3))*SQRT(P88))</f>
        <v/>
      </c>
      <c r="AY88" s="13" t="str">
        <f aca="false">IF(A88="","",IF(AND(AW88="",AX88="",BA88=""),"",IF(OR(UPPER(TRIM(Inputs!$B$24))="MANNING",UPPER(TRIM(Inputs!$B$24))="M"),AX88,IF(OR(UPPER(TRIM(Inputs!$B$24))="PARTIAL",UPPER(TRIM(Inputs!$B$24))="P"),BA88,IF(OR(UPPER(TRIM(Inputs!$B$24))="MAX",UPPER(TRIM(Inputs!$B$24))="X"),MAX(IF(AW88="",0,AW88),IF(AX88="",0,AX88),IF(BA88="",0,BA88)),AW88)))))</f>
        <v/>
      </c>
      <c r="AZ88" s="13" t="str">
        <f aca="false">IF(BB88="","",CH88)</f>
        <v/>
      </c>
      <c r="BA88" s="13" t="str">
        <f aca="false">IF(OR(BB88="",AZ88="",T88="",T88&lt;=0,AZ88&lt;=0),"",BB88/((T88^2/8)*(2*ACOS(1-2*AZ88/T88)-SIN(2*ACOS(1-2*AZ88/T88)))))</f>
        <v/>
      </c>
      <c r="BB88" s="9" t="str">
        <f aca="false">IF(OR(N88="",BC88=""),"",MIN(N88,BC88))</f>
        <v/>
      </c>
      <c r="BC88" s="9" t="str">
        <f aca="false">IF(OR(N88="",T88="",P88=""),"",IF(OR(T88="",P88="",(0.94*T88)="",T88&lt;=0,(0.94*T88)&lt;=0),"",(1/Inputs!$B$9)*((T88^2/8)*((2*ACOS(1-2*(0.94*T88)/T88))-SIN((2*ACOS(1-2*(0.94*T88)/T88)))))*((((T88^2/8)*((2*ACOS(1-2*(0.94*T88)/T88))-SIN((2*ACOS(1-2*(0.94*T88)/T88)))))/((T88/2)*((2*ACOS(1-2*(0.94*T88)/T88)))))^(2/3))*SQRT(P88)))</f>
        <v/>
      </c>
      <c r="BD88" s="9" t="str">
        <f aca="false">IF(BB88="","",0.001*T88)</f>
        <v/>
      </c>
      <c r="BE88" s="9" t="str">
        <f aca="false">IF(BB88="","",0.94*T88)</f>
        <v/>
      </c>
      <c r="BF88" s="9" t="str">
        <f aca="false">IF(BB88="","",(BD88+BE88)/2)</f>
        <v/>
      </c>
      <c r="BG88" s="9" t="str">
        <f aca="false">IF(OR(T88="",P88="",BF88="",T88&lt;=0,BF88&lt;=0),"",(1/Inputs!$B$9)*((T88^2/8)*((2*ACOS(1-2*BF88/T88))-SIN((2*ACOS(1-2*BF88/T88)))))*((((T88^2/8)*((2*ACOS(1-2*BF88/T88))-SIN((2*ACOS(1-2*BF88/T88)))))/((T88/2)*((2*ACOS(1-2*BF88/T88)))))^(2/3))*SQRT(P88))</f>
        <v/>
      </c>
      <c r="BH88" s="9" t="str">
        <f aca="false">IF(BB88="","",IF(BG88&lt;BB88,BF88,BD88))</f>
        <v/>
      </c>
      <c r="BI88" s="9" t="str">
        <f aca="false">IF(BB88="","",IF(BG88&lt;BB88,BE88,BF88))</f>
        <v/>
      </c>
      <c r="BJ88" s="9" t="str">
        <f aca="false">IF(BB88="","",(BH88+BI88)/2)</f>
        <v/>
      </c>
      <c r="BK88" s="9" t="str">
        <f aca="false">IF(OR(T88="",P88="",BJ88="",T88&lt;=0,BJ88&lt;=0),"",(1/Inputs!$B$9)*((T88^2/8)*((2*ACOS(1-2*BJ88/T88))-SIN((2*ACOS(1-2*BJ88/T88)))))*((((T88^2/8)*((2*ACOS(1-2*BJ88/T88))-SIN((2*ACOS(1-2*BJ88/T88)))))/((T88/2)*((2*ACOS(1-2*BJ88/T88)))))^(2/3))*SQRT(P88))</f>
        <v/>
      </c>
      <c r="BL88" s="9" t="str">
        <f aca="false">IF(BB88="","",IF(BK88&lt;BB88,BJ88,BH88))</f>
        <v/>
      </c>
      <c r="BM88" s="9" t="str">
        <f aca="false">IF(BB88="","",IF(BK88&lt;BB88,BI88,BJ88))</f>
        <v/>
      </c>
      <c r="BN88" s="9" t="str">
        <f aca="false">IF(BB88="","",(BL88+BM88)/2)</f>
        <v/>
      </c>
      <c r="BO88" s="9" t="str">
        <f aca="false">IF(OR(T88="",P88="",BN88="",T88&lt;=0,BN88&lt;=0),"",(1/Inputs!$B$9)*((T88^2/8)*((2*ACOS(1-2*BN88/T88))-SIN((2*ACOS(1-2*BN88/T88)))))*((((T88^2/8)*((2*ACOS(1-2*BN88/T88))-SIN((2*ACOS(1-2*BN88/T88)))))/((T88/2)*((2*ACOS(1-2*BN88/T88)))))^(2/3))*SQRT(P88))</f>
        <v/>
      </c>
      <c r="BP88" s="9" t="str">
        <f aca="false">IF(BB88="","",IF(BO88&lt;BB88,BN88,BL88))</f>
        <v/>
      </c>
      <c r="BQ88" s="9" t="str">
        <f aca="false">IF(BB88="","",IF(BO88&lt;BB88,BM88,BN88))</f>
        <v/>
      </c>
      <c r="BR88" s="9" t="str">
        <f aca="false">IF(BB88="","",(BP88+BQ88)/2)</f>
        <v/>
      </c>
      <c r="BS88" s="9" t="str">
        <f aca="false">IF(OR(T88="",P88="",BR88="",T88&lt;=0,BR88&lt;=0),"",(1/Inputs!$B$9)*((T88^2/8)*((2*ACOS(1-2*BR88/T88))-SIN((2*ACOS(1-2*BR88/T88)))))*((((T88^2/8)*((2*ACOS(1-2*BR88/T88))-SIN((2*ACOS(1-2*BR88/T88)))))/((T88/2)*((2*ACOS(1-2*BR88/T88)))))^(2/3))*SQRT(P88))</f>
        <v/>
      </c>
      <c r="BT88" s="9" t="str">
        <f aca="false">IF(BB88="","",IF(BS88&lt;BB88,BR88,BP88))</f>
        <v/>
      </c>
      <c r="BU88" s="9" t="str">
        <f aca="false">IF(BB88="","",IF(BS88&lt;BB88,BQ88,BR88))</f>
        <v/>
      </c>
      <c r="BV88" s="9" t="str">
        <f aca="false">IF(BB88="","",(BT88+BU88)/2)</f>
        <v/>
      </c>
      <c r="BW88" s="9" t="str">
        <f aca="false">IF(OR(T88="",P88="",BV88="",T88&lt;=0,BV88&lt;=0),"",(1/Inputs!$B$9)*((T88^2/8)*((2*ACOS(1-2*BV88/T88))-SIN((2*ACOS(1-2*BV88/T88)))))*((((T88^2/8)*((2*ACOS(1-2*BV88/T88))-SIN((2*ACOS(1-2*BV88/T88)))))/((T88/2)*((2*ACOS(1-2*BV88/T88)))))^(2/3))*SQRT(P88))</f>
        <v/>
      </c>
      <c r="BX88" s="9" t="str">
        <f aca="false">IF(BB88="","",IF(BW88&lt;BB88,BV88,BT88))</f>
        <v/>
      </c>
      <c r="BY88" s="9" t="str">
        <f aca="false">IF(BB88="","",IF(BW88&lt;BB88,BU88,BV88))</f>
        <v/>
      </c>
      <c r="BZ88" s="9" t="str">
        <f aca="false">IF(BB88="","",(BX88+BY88)/2)</f>
        <v/>
      </c>
      <c r="CA88" s="9" t="str">
        <f aca="false">IF(OR(T88="",P88="",BZ88="",T88&lt;=0,BZ88&lt;=0),"",(1/Inputs!$B$9)*((T88^2/8)*((2*ACOS(1-2*BZ88/T88))-SIN((2*ACOS(1-2*BZ88/T88)))))*((((T88^2/8)*((2*ACOS(1-2*BZ88/T88))-SIN((2*ACOS(1-2*BZ88/T88)))))/((T88/2)*((2*ACOS(1-2*BZ88/T88)))))^(2/3))*SQRT(P88))</f>
        <v/>
      </c>
      <c r="CB88" s="9" t="str">
        <f aca="false">IF(BB88="","",IF(CA88&lt;BB88,BZ88,BX88))</f>
        <v/>
      </c>
      <c r="CC88" s="9" t="str">
        <f aca="false">IF(BB88="","",IF(CA88&lt;BB88,BY88,BZ88))</f>
        <v/>
      </c>
      <c r="CD88" s="9" t="str">
        <f aca="false">IF(BB88="","",(CB88+CC88)/2)</f>
        <v/>
      </c>
      <c r="CE88" s="9" t="str">
        <f aca="false">IF(OR(T88="",P88="",CD88="",T88&lt;=0,CD88&lt;=0),"",(1/Inputs!$B$9)*((T88^2/8)*((2*ACOS(1-2*CD88/T88))-SIN((2*ACOS(1-2*CD88/T88)))))*((((T88^2/8)*((2*ACOS(1-2*CD88/T88))-SIN((2*ACOS(1-2*CD88/T88)))))/((T88/2)*((2*ACOS(1-2*CD88/T88)))))^(2/3))*SQRT(P88))</f>
        <v/>
      </c>
      <c r="CF88" s="9" t="str">
        <f aca="false">IF(BB88="","",IF(CE88&lt;BB88,CD88,CB88))</f>
        <v/>
      </c>
      <c r="CG88" s="9" t="str">
        <f aca="false">IF(BB88="","",IF(CE88&lt;BB88,CC88,CD88))</f>
        <v/>
      </c>
      <c r="CH88" s="9" t="str">
        <f aca="false">IF(BB88="","",(CF88+CG88)/2)</f>
        <v/>
      </c>
    </row>
    <row r="89" customFormat="false" ht="15" hidden="false" customHeight="false" outlineLevel="0" collapsed="false">
      <c r="A89" s="9"/>
      <c r="B89" s="9"/>
      <c r="C89" s="9"/>
      <c r="D89" s="9"/>
      <c r="E89" s="14"/>
      <c r="F89" s="14"/>
      <c r="G89" s="14" t="n">
        <f aca="false">SUMIFS(CB_plan!$C:$C,CB_plan!$B:$B,$A89)</f>
        <v>0</v>
      </c>
      <c r="H89" s="14" t="n">
        <f aca="false">IF(F89="",G89,F89)</f>
        <v>0</v>
      </c>
      <c r="I89" s="9"/>
      <c r="J89" s="14"/>
      <c r="K89" s="14" t="str">
        <f aca="false">IF(A89="","",Inputs!$B$13/((IF(AV89="",Inputs!$B$18,AV89)+Inputs!$B$14)^Inputs!$B$15))</f>
        <v/>
      </c>
      <c r="L89" s="14" t="str">
        <f aca="false">IF(A89="","",0.000000278*IF(I89="",Inputs!$B$17,I89)*H89*K89)</f>
        <v/>
      </c>
      <c r="M89" s="14" t="str">
        <f aca="false">IF(A89="","",SUMIFS($N$4:$N$203,$D$4:$D$203,$A89))</f>
        <v/>
      </c>
      <c r="N89" s="14" t="str">
        <f aca="false">IF(A89="","",(L89+M89)*Inputs!$B$16)</f>
        <v/>
      </c>
      <c r="O89" s="14"/>
      <c r="P89" s="14" t="str">
        <f aca="false">IF(A89="","",IF(O89="",Inputs!$B$7,O89))</f>
        <v/>
      </c>
      <c r="Q89" s="9" t="str">
        <f aca="false">IF(A89="","",IF(N89/Inputs!$B$10&lt;=AG89,Inputs!$F$5,IF(N89/Inputs!$B$10&gt;AP89,"OVERSIZE",INDEX(Inputs!$F$5:$F$14,MATCH(N89/Inputs!$B$10,AG89:AP89,1)+1))))</f>
        <v/>
      </c>
      <c r="R89" s="9"/>
      <c r="S89" s="9" t="str">
        <f aca="false">IF(A89="","",IF(R89="",Q89,R89))</f>
        <v/>
      </c>
      <c r="T89" s="14" t="str">
        <f aca="false">IF(OR(S89="",S89="OVERSIZE"),"",S89/1000)</f>
        <v/>
      </c>
      <c r="U89" s="14" t="str">
        <f aca="false">IF(T89="","",(1/Inputs!$B$9)*(PI()*T89^2/4)*((T89/4)^(2/3))*SQRT(P89))</f>
        <v/>
      </c>
      <c r="V89" s="14" t="str">
        <f aca="false">IF(OR(U89="",N89=""),"",N89/(U89*Inputs!$B$10))</f>
        <v/>
      </c>
      <c r="W89" s="14" t="str">
        <f aca="false">IF(OR(T89="",N89=""),"",4*N89/(PI()*T89^2))</f>
        <v/>
      </c>
      <c r="X89" s="14"/>
      <c r="Y89" s="14" t="str">
        <f aca="false">IF(A89="","",IF(A89=Inputs!$B$6,Inputs!$B$22,IF(D89="","",IFERROR(INDEX($Z$4:$Z$203,MATCH(D89,$A$4:$A$203,0))+IF(X89="",Inputs!$B$20,X89),""))))</f>
        <v/>
      </c>
      <c r="Z89" s="14" t="str">
        <f aca="false">IF(OR(Y89="",P89="",E89=""),"",Y89+P89*E89)</f>
        <v/>
      </c>
      <c r="AA89" s="14" t="str">
        <f aca="false">IF(C89="","",IFERROR(INDEX(Noeuds_plan!$C$4:$C$200,MATCH(C89,Noeuds_plan!$A$4:$A$200,0)),""))</f>
        <v/>
      </c>
      <c r="AB89" s="14" t="str">
        <f aca="false">IF(B89="","",IFERROR(INDEX(Noeuds_plan!$C$4:$C$200,MATCH(B89,Noeuds_plan!$A$4:$A$200,0)),""))</f>
        <v/>
      </c>
      <c r="AC89" s="14" t="str">
        <f aca="false">IF(OR(AA89="",Y89=""),"",AA89-Y89)</f>
        <v/>
      </c>
      <c r="AD89" s="14" t="str">
        <f aca="false">IF(OR(AB89="",Z89=""),"",AB89-Z89)</f>
        <v/>
      </c>
      <c r="AE89" s="19" t="str">
        <f aca="false">IF(A89="","",IF(OR(V89&gt;1,AND(AY89&lt;&gt;"",AY89&lt;Inputs!$B$11),AND(AY89&lt;&gt;"",AY89&gt;Inputs!$B$12),AC89&lt;Inputs!$B$19,AD89&lt;Inputs!$B$19,P89&lt;Inputs!$B$7,P89&gt;Inputs!$B$8),"CHECK","OK"))</f>
        <v/>
      </c>
      <c r="AF89" s="9"/>
      <c r="AG89" s="9" t="str">
        <f aca="false">IF(A89="","",(1/Inputs!$B$9)*(PI()*(Inputs!$F$5/1000)^2/4)*((Inputs!$F$5/1000/4)^(2/3))*SQRT(P89))</f>
        <v/>
      </c>
      <c r="AH89" s="9" t="str">
        <f aca="false">IF(A89="","",(1/Inputs!$B$9)*(PI()*(Inputs!$F$6/1000)^2/4)*((Inputs!$F$6/1000/4)^(2/3))*SQRT(P89))</f>
        <v/>
      </c>
      <c r="AI89" s="9" t="str">
        <f aca="false">IF(A89="","",(1/Inputs!$B$9)*(PI()*(Inputs!$F$7/1000)^2/4)*((Inputs!$F$7/1000/4)^(2/3))*SQRT(P89))</f>
        <v/>
      </c>
      <c r="AJ89" s="9" t="str">
        <f aca="false">IF(A89="","",(1/Inputs!$B$9)*(PI()*(Inputs!$F$8/1000)^2/4)*((Inputs!$F$8/1000/4)^(2/3))*SQRT(P89))</f>
        <v/>
      </c>
      <c r="AK89" s="9" t="str">
        <f aca="false">IF(A89="","",(1/Inputs!$B$9)*(PI()*(Inputs!$F$9/1000)^2/4)*((Inputs!$F$9/1000/4)^(2/3))*SQRT(P89))</f>
        <v/>
      </c>
      <c r="AL89" s="9" t="str">
        <f aca="false">IF(A89="","",(1/Inputs!$B$9)*(PI()*(Inputs!$F$10/1000)^2/4)*((Inputs!$F$10/1000/4)^(2/3))*SQRT(P89))</f>
        <v/>
      </c>
      <c r="AM89" s="9" t="str">
        <f aca="false">IF(A89="","",(1/Inputs!$B$9)*(PI()*(Inputs!$F$11/1000)^2/4)*((Inputs!$F$11/1000/4)^(2/3))*SQRT(P89))</f>
        <v/>
      </c>
      <c r="AN89" s="9" t="str">
        <f aca="false">IF(A89="","",(1/Inputs!$B$9)*(PI()*(Inputs!$F$12/1000)^2/4)*((Inputs!$F$12/1000/4)^(2/3))*SQRT(P89))</f>
        <v/>
      </c>
      <c r="AO89" s="9" t="str">
        <f aca="false">IF(A89="","",(1/Inputs!$B$9)*(PI()*(Inputs!$F$13/1000)^2/4)*((Inputs!$F$13/1000/4)^(2/3))*SQRT(P89))</f>
        <v/>
      </c>
      <c r="AP89" s="9" t="str">
        <f aca="false">IF(A89="","",(1/Inputs!$B$9)*(PI()*(Inputs!$F$14/1000)^2/4)*((Inputs!$F$14/1000/4)^(2/3))*SQRT(P89))</f>
        <v/>
      </c>
      <c r="AQ89" s="9" t="str">
        <f aca="false">IF(A89="","",COUNTIF($D$4:$D$203,$A89))</f>
        <v/>
      </c>
      <c r="AR89" s="9" t="str">
        <f aca="false">IF(A89="","",IF(AQ89=0,"START","CONTINUOUS"))</f>
        <v/>
      </c>
      <c r="AS89" s="13" t="str">
        <f aca="false">IF(A89="","",IF(J89="",Inputs!$B$18,J89))</f>
        <v/>
      </c>
      <c r="AT89" s="13" t="str">
        <f aca="false">IF(A89="","",IFERROR(maxifs($AV$4:$AV$203,$D$4:$D$203,$A89),""))</f>
        <v/>
      </c>
      <c r="AU89" s="13" t="str">
        <f aca="false">IF(A89="","",IF(OR(E89="",Inputs!$B$23=""),"",E89/(Inputs!$B$23*60)))</f>
        <v/>
      </c>
      <c r="AV89" s="13" t="str">
        <f aca="false">IF(A89="","",IF(AQ89=0,AS89+AU89,IF(AT89="",AS89+AU89,AT89+AU89)))</f>
        <v/>
      </c>
      <c r="AW89" s="13" t="str">
        <f aca="false">IF(A89="","",W89)</f>
        <v/>
      </c>
      <c r="AX89" s="13" t="str">
        <f aca="false">IF(OR(T89="",P89=""),"",(1/Inputs!$B$9)*((T89/4)^(2/3))*SQRT(P89))</f>
        <v/>
      </c>
      <c r="AY89" s="13" t="str">
        <f aca="false">IF(A89="","",IF(AND(AW89="",AX89="",BA89=""),"",IF(OR(UPPER(TRIM(Inputs!$B$24))="MANNING",UPPER(TRIM(Inputs!$B$24))="M"),AX89,IF(OR(UPPER(TRIM(Inputs!$B$24))="PARTIAL",UPPER(TRIM(Inputs!$B$24))="P"),BA89,IF(OR(UPPER(TRIM(Inputs!$B$24))="MAX",UPPER(TRIM(Inputs!$B$24))="X"),MAX(IF(AW89="",0,AW89),IF(AX89="",0,AX89),IF(BA89="",0,BA89)),AW89)))))</f>
        <v/>
      </c>
      <c r="AZ89" s="13" t="str">
        <f aca="false">IF(BB89="","",CH89)</f>
        <v/>
      </c>
      <c r="BA89" s="13" t="str">
        <f aca="false">IF(OR(BB89="",AZ89="",T89="",T89&lt;=0,AZ89&lt;=0),"",BB89/((T89^2/8)*(2*ACOS(1-2*AZ89/T89)-SIN(2*ACOS(1-2*AZ89/T89)))))</f>
        <v/>
      </c>
      <c r="BB89" s="9" t="str">
        <f aca="false">IF(OR(N89="",BC89=""),"",MIN(N89,BC89))</f>
        <v/>
      </c>
      <c r="BC89" s="9" t="str">
        <f aca="false">IF(OR(N89="",T89="",P89=""),"",IF(OR(T89="",P89="",(0.94*T89)="",T89&lt;=0,(0.94*T89)&lt;=0),"",(1/Inputs!$B$9)*((T89^2/8)*((2*ACOS(1-2*(0.94*T89)/T89))-SIN((2*ACOS(1-2*(0.94*T89)/T89)))))*((((T89^2/8)*((2*ACOS(1-2*(0.94*T89)/T89))-SIN((2*ACOS(1-2*(0.94*T89)/T89)))))/((T89/2)*((2*ACOS(1-2*(0.94*T89)/T89)))))^(2/3))*SQRT(P89)))</f>
        <v/>
      </c>
      <c r="BD89" s="9" t="str">
        <f aca="false">IF(BB89="","",0.001*T89)</f>
        <v/>
      </c>
      <c r="BE89" s="9" t="str">
        <f aca="false">IF(BB89="","",0.94*T89)</f>
        <v/>
      </c>
      <c r="BF89" s="9" t="str">
        <f aca="false">IF(BB89="","",(BD89+BE89)/2)</f>
        <v/>
      </c>
      <c r="BG89" s="9" t="str">
        <f aca="false">IF(OR(T89="",P89="",BF89="",T89&lt;=0,BF89&lt;=0),"",(1/Inputs!$B$9)*((T89^2/8)*((2*ACOS(1-2*BF89/T89))-SIN((2*ACOS(1-2*BF89/T89)))))*((((T89^2/8)*((2*ACOS(1-2*BF89/T89))-SIN((2*ACOS(1-2*BF89/T89)))))/((T89/2)*((2*ACOS(1-2*BF89/T89)))))^(2/3))*SQRT(P89))</f>
        <v/>
      </c>
      <c r="BH89" s="9" t="str">
        <f aca="false">IF(BB89="","",IF(BG89&lt;BB89,BF89,BD89))</f>
        <v/>
      </c>
      <c r="BI89" s="9" t="str">
        <f aca="false">IF(BB89="","",IF(BG89&lt;BB89,BE89,BF89))</f>
        <v/>
      </c>
      <c r="BJ89" s="9" t="str">
        <f aca="false">IF(BB89="","",(BH89+BI89)/2)</f>
        <v/>
      </c>
      <c r="BK89" s="9" t="str">
        <f aca="false">IF(OR(T89="",P89="",BJ89="",T89&lt;=0,BJ89&lt;=0),"",(1/Inputs!$B$9)*((T89^2/8)*((2*ACOS(1-2*BJ89/T89))-SIN((2*ACOS(1-2*BJ89/T89)))))*((((T89^2/8)*((2*ACOS(1-2*BJ89/T89))-SIN((2*ACOS(1-2*BJ89/T89)))))/((T89/2)*((2*ACOS(1-2*BJ89/T89)))))^(2/3))*SQRT(P89))</f>
        <v/>
      </c>
      <c r="BL89" s="9" t="str">
        <f aca="false">IF(BB89="","",IF(BK89&lt;BB89,BJ89,BH89))</f>
        <v/>
      </c>
      <c r="BM89" s="9" t="str">
        <f aca="false">IF(BB89="","",IF(BK89&lt;BB89,BI89,BJ89))</f>
        <v/>
      </c>
      <c r="BN89" s="9" t="str">
        <f aca="false">IF(BB89="","",(BL89+BM89)/2)</f>
        <v/>
      </c>
      <c r="BO89" s="9" t="str">
        <f aca="false">IF(OR(T89="",P89="",BN89="",T89&lt;=0,BN89&lt;=0),"",(1/Inputs!$B$9)*((T89^2/8)*((2*ACOS(1-2*BN89/T89))-SIN((2*ACOS(1-2*BN89/T89)))))*((((T89^2/8)*((2*ACOS(1-2*BN89/T89))-SIN((2*ACOS(1-2*BN89/T89)))))/((T89/2)*((2*ACOS(1-2*BN89/T89)))))^(2/3))*SQRT(P89))</f>
        <v/>
      </c>
      <c r="BP89" s="9" t="str">
        <f aca="false">IF(BB89="","",IF(BO89&lt;BB89,BN89,BL89))</f>
        <v/>
      </c>
      <c r="BQ89" s="9" t="str">
        <f aca="false">IF(BB89="","",IF(BO89&lt;BB89,BM89,BN89))</f>
        <v/>
      </c>
      <c r="BR89" s="9" t="str">
        <f aca="false">IF(BB89="","",(BP89+BQ89)/2)</f>
        <v/>
      </c>
      <c r="BS89" s="9" t="str">
        <f aca="false">IF(OR(T89="",P89="",BR89="",T89&lt;=0,BR89&lt;=0),"",(1/Inputs!$B$9)*((T89^2/8)*((2*ACOS(1-2*BR89/T89))-SIN((2*ACOS(1-2*BR89/T89)))))*((((T89^2/8)*((2*ACOS(1-2*BR89/T89))-SIN((2*ACOS(1-2*BR89/T89)))))/((T89/2)*((2*ACOS(1-2*BR89/T89)))))^(2/3))*SQRT(P89))</f>
        <v/>
      </c>
      <c r="BT89" s="9" t="str">
        <f aca="false">IF(BB89="","",IF(BS89&lt;BB89,BR89,BP89))</f>
        <v/>
      </c>
      <c r="BU89" s="9" t="str">
        <f aca="false">IF(BB89="","",IF(BS89&lt;BB89,BQ89,BR89))</f>
        <v/>
      </c>
      <c r="BV89" s="9" t="str">
        <f aca="false">IF(BB89="","",(BT89+BU89)/2)</f>
        <v/>
      </c>
      <c r="BW89" s="9" t="str">
        <f aca="false">IF(OR(T89="",P89="",BV89="",T89&lt;=0,BV89&lt;=0),"",(1/Inputs!$B$9)*((T89^2/8)*((2*ACOS(1-2*BV89/T89))-SIN((2*ACOS(1-2*BV89/T89)))))*((((T89^2/8)*((2*ACOS(1-2*BV89/T89))-SIN((2*ACOS(1-2*BV89/T89)))))/((T89/2)*((2*ACOS(1-2*BV89/T89)))))^(2/3))*SQRT(P89))</f>
        <v/>
      </c>
      <c r="BX89" s="9" t="str">
        <f aca="false">IF(BB89="","",IF(BW89&lt;BB89,BV89,BT89))</f>
        <v/>
      </c>
      <c r="BY89" s="9" t="str">
        <f aca="false">IF(BB89="","",IF(BW89&lt;BB89,BU89,BV89))</f>
        <v/>
      </c>
      <c r="BZ89" s="9" t="str">
        <f aca="false">IF(BB89="","",(BX89+BY89)/2)</f>
        <v/>
      </c>
      <c r="CA89" s="9" t="str">
        <f aca="false">IF(OR(T89="",P89="",BZ89="",T89&lt;=0,BZ89&lt;=0),"",(1/Inputs!$B$9)*((T89^2/8)*((2*ACOS(1-2*BZ89/T89))-SIN((2*ACOS(1-2*BZ89/T89)))))*((((T89^2/8)*((2*ACOS(1-2*BZ89/T89))-SIN((2*ACOS(1-2*BZ89/T89)))))/((T89/2)*((2*ACOS(1-2*BZ89/T89)))))^(2/3))*SQRT(P89))</f>
        <v/>
      </c>
      <c r="CB89" s="9" t="str">
        <f aca="false">IF(BB89="","",IF(CA89&lt;BB89,BZ89,BX89))</f>
        <v/>
      </c>
      <c r="CC89" s="9" t="str">
        <f aca="false">IF(BB89="","",IF(CA89&lt;BB89,BY89,BZ89))</f>
        <v/>
      </c>
      <c r="CD89" s="9" t="str">
        <f aca="false">IF(BB89="","",(CB89+CC89)/2)</f>
        <v/>
      </c>
      <c r="CE89" s="9" t="str">
        <f aca="false">IF(OR(T89="",P89="",CD89="",T89&lt;=0,CD89&lt;=0),"",(1/Inputs!$B$9)*((T89^2/8)*((2*ACOS(1-2*CD89/T89))-SIN((2*ACOS(1-2*CD89/T89)))))*((((T89^2/8)*((2*ACOS(1-2*CD89/T89))-SIN((2*ACOS(1-2*CD89/T89)))))/((T89/2)*((2*ACOS(1-2*CD89/T89)))))^(2/3))*SQRT(P89))</f>
        <v/>
      </c>
      <c r="CF89" s="9" t="str">
        <f aca="false">IF(BB89="","",IF(CE89&lt;BB89,CD89,CB89))</f>
        <v/>
      </c>
      <c r="CG89" s="9" t="str">
        <f aca="false">IF(BB89="","",IF(CE89&lt;BB89,CC89,CD89))</f>
        <v/>
      </c>
      <c r="CH89" s="9" t="str">
        <f aca="false">IF(BB89="","",(CF89+CG89)/2)</f>
        <v/>
      </c>
    </row>
    <row r="90" customFormat="false" ht="15" hidden="false" customHeight="false" outlineLevel="0" collapsed="false">
      <c r="A90" s="9"/>
      <c r="B90" s="9"/>
      <c r="C90" s="9"/>
      <c r="D90" s="9"/>
      <c r="E90" s="14"/>
      <c r="F90" s="14"/>
      <c r="G90" s="14" t="n">
        <f aca="false">SUMIFS(CB_plan!$C:$C,CB_plan!$B:$B,$A90)</f>
        <v>0</v>
      </c>
      <c r="H90" s="14" t="n">
        <f aca="false">IF(F90="",G90,F90)</f>
        <v>0</v>
      </c>
      <c r="I90" s="9"/>
      <c r="J90" s="14"/>
      <c r="K90" s="14" t="str">
        <f aca="false">IF(A90="","",Inputs!$B$13/((IF(AV90="",Inputs!$B$18,AV90)+Inputs!$B$14)^Inputs!$B$15))</f>
        <v/>
      </c>
      <c r="L90" s="14" t="str">
        <f aca="false">IF(A90="","",0.000000278*IF(I90="",Inputs!$B$17,I90)*H90*K90)</f>
        <v/>
      </c>
      <c r="M90" s="14" t="str">
        <f aca="false">IF(A90="","",SUMIFS($N$4:$N$203,$D$4:$D$203,$A90))</f>
        <v/>
      </c>
      <c r="N90" s="14" t="str">
        <f aca="false">IF(A90="","",(L90+M90)*Inputs!$B$16)</f>
        <v/>
      </c>
      <c r="O90" s="14"/>
      <c r="P90" s="14" t="str">
        <f aca="false">IF(A90="","",IF(O90="",Inputs!$B$7,O90))</f>
        <v/>
      </c>
      <c r="Q90" s="9" t="str">
        <f aca="false">IF(A90="","",IF(N90/Inputs!$B$10&lt;=AG90,Inputs!$F$5,IF(N90/Inputs!$B$10&gt;AP90,"OVERSIZE",INDEX(Inputs!$F$5:$F$14,MATCH(N90/Inputs!$B$10,AG90:AP90,1)+1))))</f>
        <v/>
      </c>
      <c r="R90" s="9"/>
      <c r="S90" s="9" t="str">
        <f aca="false">IF(A90="","",IF(R90="",Q90,R90))</f>
        <v/>
      </c>
      <c r="T90" s="14" t="str">
        <f aca="false">IF(OR(S90="",S90="OVERSIZE"),"",S90/1000)</f>
        <v/>
      </c>
      <c r="U90" s="14" t="str">
        <f aca="false">IF(T90="","",(1/Inputs!$B$9)*(PI()*T90^2/4)*((T90/4)^(2/3))*SQRT(P90))</f>
        <v/>
      </c>
      <c r="V90" s="14" t="str">
        <f aca="false">IF(OR(U90="",N90=""),"",N90/(U90*Inputs!$B$10))</f>
        <v/>
      </c>
      <c r="W90" s="14" t="str">
        <f aca="false">IF(OR(T90="",N90=""),"",4*N90/(PI()*T90^2))</f>
        <v/>
      </c>
      <c r="X90" s="14"/>
      <c r="Y90" s="14" t="str">
        <f aca="false">IF(A90="","",IF(A90=Inputs!$B$6,Inputs!$B$22,IF(D90="","",IFERROR(INDEX($Z$4:$Z$203,MATCH(D90,$A$4:$A$203,0))+IF(X90="",Inputs!$B$20,X90),""))))</f>
        <v/>
      </c>
      <c r="Z90" s="14" t="str">
        <f aca="false">IF(OR(Y90="",P90="",E90=""),"",Y90+P90*E90)</f>
        <v/>
      </c>
      <c r="AA90" s="14" t="str">
        <f aca="false">IF(C90="","",IFERROR(INDEX(Noeuds_plan!$C$4:$C$200,MATCH(C90,Noeuds_plan!$A$4:$A$200,0)),""))</f>
        <v/>
      </c>
      <c r="AB90" s="14" t="str">
        <f aca="false">IF(B90="","",IFERROR(INDEX(Noeuds_plan!$C$4:$C$200,MATCH(B90,Noeuds_plan!$A$4:$A$200,0)),""))</f>
        <v/>
      </c>
      <c r="AC90" s="14" t="str">
        <f aca="false">IF(OR(AA90="",Y90=""),"",AA90-Y90)</f>
        <v/>
      </c>
      <c r="AD90" s="14" t="str">
        <f aca="false">IF(OR(AB90="",Z90=""),"",AB90-Z90)</f>
        <v/>
      </c>
      <c r="AE90" s="19" t="str">
        <f aca="false">IF(A90="","",IF(OR(V90&gt;1,AND(AY90&lt;&gt;"",AY90&lt;Inputs!$B$11),AND(AY90&lt;&gt;"",AY90&gt;Inputs!$B$12),AC90&lt;Inputs!$B$19,AD90&lt;Inputs!$B$19,P90&lt;Inputs!$B$7,P90&gt;Inputs!$B$8),"CHECK","OK"))</f>
        <v/>
      </c>
      <c r="AF90" s="9"/>
      <c r="AG90" s="9" t="str">
        <f aca="false">IF(A90="","",(1/Inputs!$B$9)*(PI()*(Inputs!$F$5/1000)^2/4)*((Inputs!$F$5/1000/4)^(2/3))*SQRT(P90))</f>
        <v/>
      </c>
      <c r="AH90" s="9" t="str">
        <f aca="false">IF(A90="","",(1/Inputs!$B$9)*(PI()*(Inputs!$F$6/1000)^2/4)*((Inputs!$F$6/1000/4)^(2/3))*SQRT(P90))</f>
        <v/>
      </c>
      <c r="AI90" s="9" t="str">
        <f aca="false">IF(A90="","",(1/Inputs!$B$9)*(PI()*(Inputs!$F$7/1000)^2/4)*((Inputs!$F$7/1000/4)^(2/3))*SQRT(P90))</f>
        <v/>
      </c>
      <c r="AJ90" s="9" t="str">
        <f aca="false">IF(A90="","",(1/Inputs!$B$9)*(PI()*(Inputs!$F$8/1000)^2/4)*((Inputs!$F$8/1000/4)^(2/3))*SQRT(P90))</f>
        <v/>
      </c>
      <c r="AK90" s="9" t="str">
        <f aca="false">IF(A90="","",(1/Inputs!$B$9)*(PI()*(Inputs!$F$9/1000)^2/4)*((Inputs!$F$9/1000/4)^(2/3))*SQRT(P90))</f>
        <v/>
      </c>
      <c r="AL90" s="9" t="str">
        <f aca="false">IF(A90="","",(1/Inputs!$B$9)*(PI()*(Inputs!$F$10/1000)^2/4)*((Inputs!$F$10/1000/4)^(2/3))*SQRT(P90))</f>
        <v/>
      </c>
      <c r="AM90" s="9" t="str">
        <f aca="false">IF(A90="","",(1/Inputs!$B$9)*(PI()*(Inputs!$F$11/1000)^2/4)*((Inputs!$F$11/1000/4)^(2/3))*SQRT(P90))</f>
        <v/>
      </c>
      <c r="AN90" s="9" t="str">
        <f aca="false">IF(A90="","",(1/Inputs!$B$9)*(PI()*(Inputs!$F$12/1000)^2/4)*((Inputs!$F$12/1000/4)^(2/3))*SQRT(P90))</f>
        <v/>
      </c>
      <c r="AO90" s="9" t="str">
        <f aca="false">IF(A90="","",(1/Inputs!$B$9)*(PI()*(Inputs!$F$13/1000)^2/4)*((Inputs!$F$13/1000/4)^(2/3))*SQRT(P90))</f>
        <v/>
      </c>
      <c r="AP90" s="9" t="str">
        <f aca="false">IF(A90="","",(1/Inputs!$B$9)*(PI()*(Inputs!$F$14/1000)^2/4)*((Inputs!$F$14/1000/4)^(2/3))*SQRT(P90))</f>
        <v/>
      </c>
      <c r="AQ90" s="9" t="str">
        <f aca="false">IF(A90="","",COUNTIF($D$4:$D$203,$A90))</f>
        <v/>
      </c>
      <c r="AR90" s="9" t="str">
        <f aca="false">IF(A90="","",IF(AQ90=0,"START","CONTINUOUS"))</f>
        <v/>
      </c>
      <c r="AS90" s="13" t="str">
        <f aca="false">IF(A90="","",IF(J90="",Inputs!$B$18,J90))</f>
        <v/>
      </c>
      <c r="AT90" s="13" t="str">
        <f aca="false">IF(A90="","",IFERROR(maxifs($AV$4:$AV$203,$D$4:$D$203,$A90),""))</f>
        <v/>
      </c>
      <c r="AU90" s="13" t="str">
        <f aca="false">IF(A90="","",IF(OR(E90="",Inputs!$B$23=""),"",E90/(Inputs!$B$23*60)))</f>
        <v/>
      </c>
      <c r="AV90" s="13" t="str">
        <f aca="false">IF(A90="","",IF(AQ90=0,AS90+AU90,IF(AT90="",AS90+AU90,AT90+AU90)))</f>
        <v/>
      </c>
      <c r="AW90" s="13" t="str">
        <f aca="false">IF(A90="","",W90)</f>
        <v/>
      </c>
      <c r="AX90" s="13" t="str">
        <f aca="false">IF(OR(T90="",P90=""),"",(1/Inputs!$B$9)*((T90/4)^(2/3))*SQRT(P90))</f>
        <v/>
      </c>
      <c r="AY90" s="13" t="str">
        <f aca="false">IF(A90="","",IF(AND(AW90="",AX90="",BA90=""),"",IF(OR(UPPER(TRIM(Inputs!$B$24))="MANNING",UPPER(TRIM(Inputs!$B$24))="M"),AX90,IF(OR(UPPER(TRIM(Inputs!$B$24))="PARTIAL",UPPER(TRIM(Inputs!$B$24))="P"),BA90,IF(OR(UPPER(TRIM(Inputs!$B$24))="MAX",UPPER(TRIM(Inputs!$B$24))="X"),MAX(IF(AW90="",0,AW90),IF(AX90="",0,AX90),IF(BA90="",0,BA90)),AW90)))))</f>
        <v/>
      </c>
      <c r="AZ90" s="13" t="str">
        <f aca="false">IF(BB90="","",CH90)</f>
        <v/>
      </c>
      <c r="BA90" s="13" t="str">
        <f aca="false">IF(OR(BB90="",AZ90="",T90="",T90&lt;=0,AZ90&lt;=0),"",BB90/((T90^2/8)*(2*ACOS(1-2*AZ90/T90)-SIN(2*ACOS(1-2*AZ90/T90)))))</f>
        <v/>
      </c>
      <c r="BB90" s="9" t="str">
        <f aca="false">IF(OR(N90="",BC90=""),"",MIN(N90,BC90))</f>
        <v/>
      </c>
      <c r="BC90" s="9" t="str">
        <f aca="false">IF(OR(N90="",T90="",P90=""),"",IF(OR(T90="",P90="",(0.94*T90)="",T90&lt;=0,(0.94*T90)&lt;=0),"",(1/Inputs!$B$9)*((T90^2/8)*((2*ACOS(1-2*(0.94*T90)/T90))-SIN((2*ACOS(1-2*(0.94*T90)/T90)))))*((((T90^2/8)*((2*ACOS(1-2*(0.94*T90)/T90))-SIN((2*ACOS(1-2*(0.94*T90)/T90)))))/((T90/2)*((2*ACOS(1-2*(0.94*T90)/T90)))))^(2/3))*SQRT(P90)))</f>
        <v/>
      </c>
      <c r="BD90" s="9" t="str">
        <f aca="false">IF(BB90="","",0.001*T90)</f>
        <v/>
      </c>
      <c r="BE90" s="9" t="str">
        <f aca="false">IF(BB90="","",0.94*T90)</f>
        <v/>
      </c>
      <c r="BF90" s="9" t="str">
        <f aca="false">IF(BB90="","",(BD90+BE90)/2)</f>
        <v/>
      </c>
      <c r="BG90" s="9" t="str">
        <f aca="false">IF(OR(T90="",P90="",BF90="",T90&lt;=0,BF90&lt;=0),"",(1/Inputs!$B$9)*((T90^2/8)*((2*ACOS(1-2*BF90/T90))-SIN((2*ACOS(1-2*BF90/T90)))))*((((T90^2/8)*((2*ACOS(1-2*BF90/T90))-SIN((2*ACOS(1-2*BF90/T90)))))/((T90/2)*((2*ACOS(1-2*BF90/T90)))))^(2/3))*SQRT(P90))</f>
        <v/>
      </c>
      <c r="BH90" s="9" t="str">
        <f aca="false">IF(BB90="","",IF(BG90&lt;BB90,BF90,BD90))</f>
        <v/>
      </c>
      <c r="BI90" s="9" t="str">
        <f aca="false">IF(BB90="","",IF(BG90&lt;BB90,BE90,BF90))</f>
        <v/>
      </c>
      <c r="BJ90" s="9" t="str">
        <f aca="false">IF(BB90="","",(BH90+BI90)/2)</f>
        <v/>
      </c>
      <c r="BK90" s="9" t="str">
        <f aca="false">IF(OR(T90="",P90="",BJ90="",T90&lt;=0,BJ90&lt;=0),"",(1/Inputs!$B$9)*((T90^2/8)*((2*ACOS(1-2*BJ90/T90))-SIN((2*ACOS(1-2*BJ90/T90)))))*((((T90^2/8)*((2*ACOS(1-2*BJ90/T90))-SIN((2*ACOS(1-2*BJ90/T90)))))/((T90/2)*((2*ACOS(1-2*BJ90/T90)))))^(2/3))*SQRT(P90))</f>
        <v/>
      </c>
      <c r="BL90" s="9" t="str">
        <f aca="false">IF(BB90="","",IF(BK90&lt;BB90,BJ90,BH90))</f>
        <v/>
      </c>
      <c r="BM90" s="9" t="str">
        <f aca="false">IF(BB90="","",IF(BK90&lt;BB90,BI90,BJ90))</f>
        <v/>
      </c>
      <c r="BN90" s="9" t="str">
        <f aca="false">IF(BB90="","",(BL90+BM90)/2)</f>
        <v/>
      </c>
      <c r="BO90" s="9" t="str">
        <f aca="false">IF(OR(T90="",P90="",BN90="",T90&lt;=0,BN90&lt;=0),"",(1/Inputs!$B$9)*((T90^2/8)*((2*ACOS(1-2*BN90/T90))-SIN((2*ACOS(1-2*BN90/T90)))))*((((T90^2/8)*((2*ACOS(1-2*BN90/T90))-SIN((2*ACOS(1-2*BN90/T90)))))/((T90/2)*((2*ACOS(1-2*BN90/T90)))))^(2/3))*SQRT(P90))</f>
        <v/>
      </c>
      <c r="BP90" s="9" t="str">
        <f aca="false">IF(BB90="","",IF(BO90&lt;BB90,BN90,BL90))</f>
        <v/>
      </c>
      <c r="BQ90" s="9" t="str">
        <f aca="false">IF(BB90="","",IF(BO90&lt;BB90,BM90,BN90))</f>
        <v/>
      </c>
      <c r="BR90" s="9" t="str">
        <f aca="false">IF(BB90="","",(BP90+BQ90)/2)</f>
        <v/>
      </c>
      <c r="BS90" s="9" t="str">
        <f aca="false">IF(OR(T90="",P90="",BR90="",T90&lt;=0,BR90&lt;=0),"",(1/Inputs!$B$9)*((T90^2/8)*((2*ACOS(1-2*BR90/T90))-SIN((2*ACOS(1-2*BR90/T90)))))*((((T90^2/8)*((2*ACOS(1-2*BR90/T90))-SIN((2*ACOS(1-2*BR90/T90)))))/((T90/2)*((2*ACOS(1-2*BR90/T90)))))^(2/3))*SQRT(P90))</f>
        <v/>
      </c>
      <c r="BT90" s="9" t="str">
        <f aca="false">IF(BB90="","",IF(BS90&lt;BB90,BR90,BP90))</f>
        <v/>
      </c>
      <c r="BU90" s="9" t="str">
        <f aca="false">IF(BB90="","",IF(BS90&lt;BB90,BQ90,BR90))</f>
        <v/>
      </c>
      <c r="BV90" s="9" t="str">
        <f aca="false">IF(BB90="","",(BT90+BU90)/2)</f>
        <v/>
      </c>
      <c r="BW90" s="9" t="str">
        <f aca="false">IF(OR(T90="",P90="",BV90="",T90&lt;=0,BV90&lt;=0),"",(1/Inputs!$B$9)*((T90^2/8)*((2*ACOS(1-2*BV90/T90))-SIN((2*ACOS(1-2*BV90/T90)))))*((((T90^2/8)*((2*ACOS(1-2*BV90/T90))-SIN((2*ACOS(1-2*BV90/T90)))))/((T90/2)*((2*ACOS(1-2*BV90/T90)))))^(2/3))*SQRT(P90))</f>
        <v/>
      </c>
      <c r="BX90" s="9" t="str">
        <f aca="false">IF(BB90="","",IF(BW90&lt;BB90,BV90,BT90))</f>
        <v/>
      </c>
      <c r="BY90" s="9" t="str">
        <f aca="false">IF(BB90="","",IF(BW90&lt;BB90,BU90,BV90))</f>
        <v/>
      </c>
      <c r="BZ90" s="9" t="str">
        <f aca="false">IF(BB90="","",(BX90+BY90)/2)</f>
        <v/>
      </c>
      <c r="CA90" s="9" t="str">
        <f aca="false">IF(OR(T90="",P90="",BZ90="",T90&lt;=0,BZ90&lt;=0),"",(1/Inputs!$B$9)*((T90^2/8)*((2*ACOS(1-2*BZ90/T90))-SIN((2*ACOS(1-2*BZ90/T90)))))*((((T90^2/8)*((2*ACOS(1-2*BZ90/T90))-SIN((2*ACOS(1-2*BZ90/T90)))))/((T90/2)*((2*ACOS(1-2*BZ90/T90)))))^(2/3))*SQRT(P90))</f>
        <v/>
      </c>
      <c r="CB90" s="9" t="str">
        <f aca="false">IF(BB90="","",IF(CA90&lt;BB90,BZ90,BX90))</f>
        <v/>
      </c>
      <c r="CC90" s="9" t="str">
        <f aca="false">IF(BB90="","",IF(CA90&lt;BB90,BY90,BZ90))</f>
        <v/>
      </c>
      <c r="CD90" s="9" t="str">
        <f aca="false">IF(BB90="","",(CB90+CC90)/2)</f>
        <v/>
      </c>
      <c r="CE90" s="9" t="str">
        <f aca="false">IF(OR(T90="",P90="",CD90="",T90&lt;=0,CD90&lt;=0),"",(1/Inputs!$B$9)*((T90^2/8)*((2*ACOS(1-2*CD90/T90))-SIN((2*ACOS(1-2*CD90/T90)))))*((((T90^2/8)*((2*ACOS(1-2*CD90/T90))-SIN((2*ACOS(1-2*CD90/T90)))))/((T90/2)*((2*ACOS(1-2*CD90/T90)))))^(2/3))*SQRT(P90))</f>
        <v/>
      </c>
      <c r="CF90" s="9" t="str">
        <f aca="false">IF(BB90="","",IF(CE90&lt;BB90,CD90,CB90))</f>
        <v/>
      </c>
      <c r="CG90" s="9" t="str">
        <f aca="false">IF(BB90="","",IF(CE90&lt;BB90,CC90,CD90))</f>
        <v/>
      </c>
      <c r="CH90" s="9" t="str">
        <f aca="false">IF(BB90="","",(CF90+CG90)/2)</f>
        <v/>
      </c>
    </row>
    <row r="91" customFormat="false" ht="15" hidden="false" customHeight="false" outlineLevel="0" collapsed="false">
      <c r="A91" s="9"/>
      <c r="B91" s="9"/>
      <c r="C91" s="9"/>
      <c r="D91" s="9"/>
      <c r="E91" s="14"/>
      <c r="F91" s="14"/>
      <c r="G91" s="14" t="n">
        <f aca="false">SUMIFS(CB_plan!$C:$C,CB_plan!$B:$B,$A91)</f>
        <v>0</v>
      </c>
      <c r="H91" s="14" t="n">
        <f aca="false">IF(F91="",G91,F91)</f>
        <v>0</v>
      </c>
      <c r="I91" s="9"/>
      <c r="J91" s="14"/>
      <c r="K91" s="14" t="str">
        <f aca="false">IF(A91="","",Inputs!$B$13/((IF(AV91="",Inputs!$B$18,AV91)+Inputs!$B$14)^Inputs!$B$15))</f>
        <v/>
      </c>
      <c r="L91" s="14" t="str">
        <f aca="false">IF(A91="","",0.000000278*IF(I91="",Inputs!$B$17,I91)*H91*K91)</f>
        <v/>
      </c>
      <c r="M91" s="14" t="str">
        <f aca="false">IF(A91="","",SUMIFS($N$4:$N$203,$D$4:$D$203,$A91))</f>
        <v/>
      </c>
      <c r="N91" s="14" t="str">
        <f aca="false">IF(A91="","",(L91+M91)*Inputs!$B$16)</f>
        <v/>
      </c>
      <c r="O91" s="14"/>
      <c r="P91" s="14" t="str">
        <f aca="false">IF(A91="","",IF(O91="",Inputs!$B$7,O91))</f>
        <v/>
      </c>
      <c r="Q91" s="9" t="str">
        <f aca="false">IF(A91="","",IF(N91/Inputs!$B$10&lt;=AG91,Inputs!$F$5,IF(N91/Inputs!$B$10&gt;AP91,"OVERSIZE",INDEX(Inputs!$F$5:$F$14,MATCH(N91/Inputs!$B$10,AG91:AP91,1)+1))))</f>
        <v/>
      </c>
      <c r="R91" s="9"/>
      <c r="S91" s="9" t="str">
        <f aca="false">IF(A91="","",IF(R91="",Q91,R91))</f>
        <v/>
      </c>
      <c r="T91" s="14" t="str">
        <f aca="false">IF(OR(S91="",S91="OVERSIZE"),"",S91/1000)</f>
        <v/>
      </c>
      <c r="U91" s="14" t="str">
        <f aca="false">IF(T91="","",(1/Inputs!$B$9)*(PI()*T91^2/4)*((T91/4)^(2/3))*SQRT(P91))</f>
        <v/>
      </c>
      <c r="V91" s="14" t="str">
        <f aca="false">IF(OR(U91="",N91=""),"",N91/(U91*Inputs!$B$10))</f>
        <v/>
      </c>
      <c r="W91" s="14" t="str">
        <f aca="false">IF(OR(T91="",N91=""),"",4*N91/(PI()*T91^2))</f>
        <v/>
      </c>
      <c r="X91" s="14"/>
      <c r="Y91" s="14" t="str">
        <f aca="false">IF(A91="","",IF(A91=Inputs!$B$6,Inputs!$B$22,IF(D91="","",IFERROR(INDEX($Z$4:$Z$203,MATCH(D91,$A$4:$A$203,0))+IF(X91="",Inputs!$B$20,X91),""))))</f>
        <v/>
      </c>
      <c r="Z91" s="14" t="str">
        <f aca="false">IF(OR(Y91="",P91="",E91=""),"",Y91+P91*E91)</f>
        <v/>
      </c>
      <c r="AA91" s="14" t="str">
        <f aca="false">IF(C91="","",IFERROR(INDEX(Noeuds_plan!$C$4:$C$200,MATCH(C91,Noeuds_plan!$A$4:$A$200,0)),""))</f>
        <v/>
      </c>
      <c r="AB91" s="14" t="str">
        <f aca="false">IF(B91="","",IFERROR(INDEX(Noeuds_plan!$C$4:$C$200,MATCH(B91,Noeuds_plan!$A$4:$A$200,0)),""))</f>
        <v/>
      </c>
      <c r="AC91" s="14" t="str">
        <f aca="false">IF(OR(AA91="",Y91=""),"",AA91-Y91)</f>
        <v/>
      </c>
      <c r="AD91" s="14" t="str">
        <f aca="false">IF(OR(AB91="",Z91=""),"",AB91-Z91)</f>
        <v/>
      </c>
      <c r="AE91" s="19" t="str">
        <f aca="false">IF(A91="","",IF(OR(V91&gt;1,AND(AY91&lt;&gt;"",AY91&lt;Inputs!$B$11),AND(AY91&lt;&gt;"",AY91&gt;Inputs!$B$12),AC91&lt;Inputs!$B$19,AD91&lt;Inputs!$B$19,P91&lt;Inputs!$B$7,P91&gt;Inputs!$B$8),"CHECK","OK"))</f>
        <v/>
      </c>
      <c r="AF91" s="9"/>
      <c r="AG91" s="9" t="str">
        <f aca="false">IF(A91="","",(1/Inputs!$B$9)*(PI()*(Inputs!$F$5/1000)^2/4)*((Inputs!$F$5/1000/4)^(2/3))*SQRT(P91))</f>
        <v/>
      </c>
      <c r="AH91" s="9" t="str">
        <f aca="false">IF(A91="","",(1/Inputs!$B$9)*(PI()*(Inputs!$F$6/1000)^2/4)*((Inputs!$F$6/1000/4)^(2/3))*SQRT(P91))</f>
        <v/>
      </c>
      <c r="AI91" s="9" t="str">
        <f aca="false">IF(A91="","",(1/Inputs!$B$9)*(PI()*(Inputs!$F$7/1000)^2/4)*((Inputs!$F$7/1000/4)^(2/3))*SQRT(P91))</f>
        <v/>
      </c>
      <c r="AJ91" s="9" t="str">
        <f aca="false">IF(A91="","",(1/Inputs!$B$9)*(PI()*(Inputs!$F$8/1000)^2/4)*((Inputs!$F$8/1000/4)^(2/3))*SQRT(P91))</f>
        <v/>
      </c>
      <c r="AK91" s="9" t="str">
        <f aca="false">IF(A91="","",(1/Inputs!$B$9)*(PI()*(Inputs!$F$9/1000)^2/4)*((Inputs!$F$9/1000/4)^(2/3))*SQRT(P91))</f>
        <v/>
      </c>
      <c r="AL91" s="9" t="str">
        <f aca="false">IF(A91="","",(1/Inputs!$B$9)*(PI()*(Inputs!$F$10/1000)^2/4)*((Inputs!$F$10/1000/4)^(2/3))*SQRT(P91))</f>
        <v/>
      </c>
      <c r="AM91" s="9" t="str">
        <f aca="false">IF(A91="","",(1/Inputs!$B$9)*(PI()*(Inputs!$F$11/1000)^2/4)*((Inputs!$F$11/1000/4)^(2/3))*SQRT(P91))</f>
        <v/>
      </c>
      <c r="AN91" s="9" t="str">
        <f aca="false">IF(A91="","",(1/Inputs!$B$9)*(PI()*(Inputs!$F$12/1000)^2/4)*((Inputs!$F$12/1000/4)^(2/3))*SQRT(P91))</f>
        <v/>
      </c>
      <c r="AO91" s="9" t="str">
        <f aca="false">IF(A91="","",(1/Inputs!$B$9)*(PI()*(Inputs!$F$13/1000)^2/4)*((Inputs!$F$13/1000/4)^(2/3))*SQRT(P91))</f>
        <v/>
      </c>
      <c r="AP91" s="9" t="str">
        <f aca="false">IF(A91="","",(1/Inputs!$B$9)*(PI()*(Inputs!$F$14/1000)^2/4)*((Inputs!$F$14/1000/4)^(2/3))*SQRT(P91))</f>
        <v/>
      </c>
      <c r="AQ91" s="9" t="str">
        <f aca="false">IF(A91="","",COUNTIF($D$4:$D$203,$A91))</f>
        <v/>
      </c>
      <c r="AR91" s="9" t="str">
        <f aca="false">IF(A91="","",IF(AQ91=0,"START","CONTINUOUS"))</f>
        <v/>
      </c>
      <c r="AS91" s="13" t="str">
        <f aca="false">IF(A91="","",IF(J91="",Inputs!$B$18,J91))</f>
        <v/>
      </c>
      <c r="AT91" s="13" t="str">
        <f aca="false">IF(A91="","",IFERROR(maxifs($AV$4:$AV$203,$D$4:$D$203,$A91),""))</f>
        <v/>
      </c>
      <c r="AU91" s="13" t="str">
        <f aca="false">IF(A91="","",IF(OR(E91="",Inputs!$B$23=""),"",E91/(Inputs!$B$23*60)))</f>
        <v/>
      </c>
      <c r="AV91" s="13" t="str">
        <f aca="false">IF(A91="","",IF(AQ91=0,AS91+AU91,IF(AT91="",AS91+AU91,AT91+AU91)))</f>
        <v/>
      </c>
      <c r="AW91" s="13" t="str">
        <f aca="false">IF(A91="","",W91)</f>
        <v/>
      </c>
      <c r="AX91" s="13" t="str">
        <f aca="false">IF(OR(T91="",P91=""),"",(1/Inputs!$B$9)*((T91/4)^(2/3))*SQRT(P91))</f>
        <v/>
      </c>
      <c r="AY91" s="13" t="str">
        <f aca="false">IF(A91="","",IF(AND(AW91="",AX91="",BA91=""),"",IF(OR(UPPER(TRIM(Inputs!$B$24))="MANNING",UPPER(TRIM(Inputs!$B$24))="M"),AX91,IF(OR(UPPER(TRIM(Inputs!$B$24))="PARTIAL",UPPER(TRIM(Inputs!$B$24))="P"),BA91,IF(OR(UPPER(TRIM(Inputs!$B$24))="MAX",UPPER(TRIM(Inputs!$B$24))="X"),MAX(IF(AW91="",0,AW91),IF(AX91="",0,AX91),IF(BA91="",0,BA91)),AW91)))))</f>
        <v/>
      </c>
      <c r="AZ91" s="13" t="str">
        <f aca="false">IF(BB91="","",CH91)</f>
        <v/>
      </c>
      <c r="BA91" s="13" t="str">
        <f aca="false">IF(OR(BB91="",AZ91="",T91="",T91&lt;=0,AZ91&lt;=0),"",BB91/((T91^2/8)*(2*ACOS(1-2*AZ91/T91)-SIN(2*ACOS(1-2*AZ91/T91)))))</f>
        <v/>
      </c>
      <c r="BB91" s="9" t="str">
        <f aca="false">IF(OR(N91="",BC91=""),"",MIN(N91,BC91))</f>
        <v/>
      </c>
      <c r="BC91" s="9" t="str">
        <f aca="false">IF(OR(N91="",T91="",P91=""),"",IF(OR(T91="",P91="",(0.94*T91)="",T91&lt;=0,(0.94*T91)&lt;=0),"",(1/Inputs!$B$9)*((T91^2/8)*((2*ACOS(1-2*(0.94*T91)/T91))-SIN((2*ACOS(1-2*(0.94*T91)/T91)))))*((((T91^2/8)*((2*ACOS(1-2*(0.94*T91)/T91))-SIN((2*ACOS(1-2*(0.94*T91)/T91)))))/((T91/2)*((2*ACOS(1-2*(0.94*T91)/T91)))))^(2/3))*SQRT(P91)))</f>
        <v/>
      </c>
      <c r="BD91" s="9" t="str">
        <f aca="false">IF(BB91="","",0.001*T91)</f>
        <v/>
      </c>
      <c r="BE91" s="9" t="str">
        <f aca="false">IF(BB91="","",0.94*T91)</f>
        <v/>
      </c>
      <c r="BF91" s="9" t="str">
        <f aca="false">IF(BB91="","",(BD91+BE91)/2)</f>
        <v/>
      </c>
      <c r="BG91" s="9" t="str">
        <f aca="false">IF(OR(T91="",P91="",BF91="",T91&lt;=0,BF91&lt;=0),"",(1/Inputs!$B$9)*((T91^2/8)*((2*ACOS(1-2*BF91/T91))-SIN((2*ACOS(1-2*BF91/T91)))))*((((T91^2/8)*((2*ACOS(1-2*BF91/T91))-SIN((2*ACOS(1-2*BF91/T91)))))/((T91/2)*((2*ACOS(1-2*BF91/T91)))))^(2/3))*SQRT(P91))</f>
        <v/>
      </c>
      <c r="BH91" s="9" t="str">
        <f aca="false">IF(BB91="","",IF(BG91&lt;BB91,BF91,BD91))</f>
        <v/>
      </c>
      <c r="BI91" s="9" t="str">
        <f aca="false">IF(BB91="","",IF(BG91&lt;BB91,BE91,BF91))</f>
        <v/>
      </c>
      <c r="BJ91" s="9" t="str">
        <f aca="false">IF(BB91="","",(BH91+BI91)/2)</f>
        <v/>
      </c>
      <c r="BK91" s="9" t="str">
        <f aca="false">IF(OR(T91="",P91="",BJ91="",T91&lt;=0,BJ91&lt;=0),"",(1/Inputs!$B$9)*((T91^2/8)*((2*ACOS(1-2*BJ91/T91))-SIN((2*ACOS(1-2*BJ91/T91)))))*((((T91^2/8)*((2*ACOS(1-2*BJ91/T91))-SIN((2*ACOS(1-2*BJ91/T91)))))/((T91/2)*((2*ACOS(1-2*BJ91/T91)))))^(2/3))*SQRT(P91))</f>
        <v/>
      </c>
      <c r="BL91" s="9" t="str">
        <f aca="false">IF(BB91="","",IF(BK91&lt;BB91,BJ91,BH91))</f>
        <v/>
      </c>
      <c r="BM91" s="9" t="str">
        <f aca="false">IF(BB91="","",IF(BK91&lt;BB91,BI91,BJ91))</f>
        <v/>
      </c>
      <c r="BN91" s="9" t="str">
        <f aca="false">IF(BB91="","",(BL91+BM91)/2)</f>
        <v/>
      </c>
      <c r="BO91" s="9" t="str">
        <f aca="false">IF(OR(T91="",P91="",BN91="",T91&lt;=0,BN91&lt;=0),"",(1/Inputs!$B$9)*((T91^2/8)*((2*ACOS(1-2*BN91/T91))-SIN((2*ACOS(1-2*BN91/T91)))))*((((T91^2/8)*((2*ACOS(1-2*BN91/T91))-SIN((2*ACOS(1-2*BN91/T91)))))/((T91/2)*((2*ACOS(1-2*BN91/T91)))))^(2/3))*SQRT(P91))</f>
        <v/>
      </c>
      <c r="BP91" s="9" t="str">
        <f aca="false">IF(BB91="","",IF(BO91&lt;BB91,BN91,BL91))</f>
        <v/>
      </c>
      <c r="BQ91" s="9" t="str">
        <f aca="false">IF(BB91="","",IF(BO91&lt;BB91,BM91,BN91))</f>
        <v/>
      </c>
      <c r="BR91" s="9" t="str">
        <f aca="false">IF(BB91="","",(BP91+BQ91)/2)</f>
        <v/>
      </c>
      <c r="BS91" s="9" t="str">
        <f aca="false">IF(OR(T91="",P91="",BR91="",T91&lt;=0,BR91&lt;=0),"",(1/Inputs!$B$9)*((T91^2/8)*((2*ACOS(1-2*BR91/T91))-SIN((2*ACOS(1-2*BR91/T91)))))*((((T91^2/8)*((2*ACOS(1-2*BR91/T91))-SIN((2*ACOS(1-2*BR91/T91)))))/((T91/2)*((2*ACOS(1-2*BR91/T91)))))^(2/3))*SQRT(P91))</f>
        <v/>
      </c>
      <c r="BT91" s="9" t="str">
        <f aca="false">IF(BB91="","",IF(BS91&lt;BB91,BR91,BP91))</f>
        <v/>
      </c>
      <c r="BU91" s="9" t="str">
        <f aca="false">IF(BB91="","",IF(BS91&lt;BB91,BQ91,BR91))</f>
        <v/>
      </c>
      <c r="BV91" s="9" t="str">
        <f aca="false">IF(BB91="","",(BT91+BU91)/2)</f>
        <v/>
      </c>
      <c r="BW91" s="9" t="str">
        <f aca="false">IF(OR(T91="",P91="",BV91="",T91&lt;=0,BV91&lt;=0),"",(1/Inputs!$B$9)*((T91^2/8)*((2*ACOS(1-2*BV91/T91))-SIN((2*ACOS(1-2*BV91/T91)))))*((((T91^2/8)*((2*ACOS(1-2*BV91/T91))-SIN((2*ACOS(1-2*BV91/T91)))))/((T91/2)*((2*ACOS(1-2*BV91/T91)))))^(2/3))*SQRT(P91))</f>
        <v/>
      </c>
      <c r="BX91" s="9" t="str">
        <f aca="false">IF(BB91="","",IF(BW91&lt;BB91,BV91,BT91))</f>
        <v/>
      </c>
      <c r="BY91" s="9" t="str">
        <f aca="false">IF(BB91="","",IF(BW91&lt;BB91,BU91,BV91))</f>
        <v/>
      </c>
      <c r="BZ91" s="9" t="str">
        <f aca="false">IF(BB91="","",(BX91+BY91)/2)</f>
        <v/>
      </c>
      <c r="CA91" s="9" t="str">
        <f aca="false">IF(OR(T91="",P91="",BZ91="",T91&lt;=0,BZ91&lt;=0),"",(1/Inputs!$B$9)*((T91^2/8)*((2*ACOS(1-2*BZ91/T91))-SIN((2*ACOS(1-2*BZ91/T91)))))*((((T91^2/8)*((2*ACOS(1-2*BZ91/T91))-SIN((2*ACOS(1-2*BZ91/T91)))))/((T91/2)*((2*ACOS(1-2*BZ91/T91)))))^(2/3))*SQRT(P91))</f>
        <v/>
      </c>
      <c r="CB91" s="9" t="str">
        <f aca="false">IF(BB91="","",IF(CA91&lt;BB91,BZ91,BX91))</f>
        <v/>
      </c>
      <c r="CC91" s="9" t="str">
        <f aca="false">IF(BB91="","",IF(CA91&lt;BB91,BY91,BZ91))</f>
        <v/>
      </c>
      <c r="CD91" s="9" t="str">
        <f aca="false">IF(BB91="","",(CB91+CC91)/2)</f>
        <v/>
      </c>
      <c r="CE91" s="9" t="str">
        <f aca="false">IF(OR(T91="",P91="",CD91="",T91&lt;=0,CD91&lt;=0),"",(1/Inputs!$B$9)*((T91^2/8)*((2*ACOS(1-2*CD91/T91))-SIN((2*ACOS(1-2*CD91/T91)))))*((((T91^2/8)*((2*ACOS(1-2*CD91/T91))-SIN((2*ACOS(1-2*CD91/T91)))))/((T91/2)*((2*ACOS(1-2*CD91/T91)))))^(2/3))*SQRT(P91))</f>
        <v/>
      </c>
      <c r="CF91" s="9" t="str">
        <f aca="false">IF(BB91="","",IF(CE91&lt;BB91,CD91,CB91))</f>
        <v/>
      </c>
      <c r="CG91" s="9" t="str">
        <f aca="false">IF(BB91="","",IF(CE91&lt;BB91,CC91,CD91))</f>
        <v/>
      </c>
      <c r="CH91" s="9" t="str">
        <f aca="false">IF(BB91="","",(CF91+CG91)/2)</f>
        <v/>
      </c>
    </row>
    <row r="92" customFormat="false" ht="15" hidden="false" customHeight="false" outlineLevel="0" collapsed="false">
      <c r="A92" s="9"/>
      <c r="B92" s="9"/>
      <c r="C92" s="9"/>
      <c r="D92" s="9"/>
      <c r="E92" s="14"/>
      <c r="F92" s="14"/>
      <c r="G92" s="14" t="n">
        <f aca="false">SUMIFS(CB_plan!$C:$C,CB_plan!$B:$B,$A92)</f>
        <v>0</v>
      </c>
      <c r="H92" s="14" t="n">
        <f aca="false">IF(F92="",G92,F92)</f>
        <v>0</v>
      </c>
      <c r="I92" s="9"/>
      <c r="J92" s="14"/>
      <c r="K92" s="14" t="str">
        <f aca="false">IF(A92="","",Inputs!$B$13/((IF(AV92="",Inputs!$B$18,AV92)+Inputs!$B$14)^Inputs!$B$15))</f>
        <v/>
      </c>
      <c r="L92" s="14" t="str">
        <f aca="false">IF(A92="","",0.000000278*IF(I92="",Inputs!$B$17,I92)*H92*K92)</f>
        <v/>
      </c>
      <c r="M92" s="14" t="str">
        <f aca="false">IF(A92="","",SUMIFS($N$4:$N$203,$D$4:$D$203,$A92))</f>
        <v/>
      </c>
      <c r="N92" s="14" t="str">
        <f aca="false">IF(A92="","",(L92+M92)*Inputs!$B$16)</f>
        <v/>
      </c>
      <c r="O92" s="14"/>
      <c r="P92" s="14" t="str">
        <f aca="false">IF(A92="","",IF(O92="",Inputs!$B$7,O92))</f>
        <v/>
      </c>
      <c r="Q92" s="9" t="str">
        <f aca="false">IF(A92="","",IF(N92/Inputs!$B$10&lt;=AG92,Inputs!$F$5,IF(N92/Inputs!$B$10&gt;AP92,"OVERSIZE",INDEX(Inputs!$F$5:$F$14,MATCH(N92/Inputs!$B$10,AG92:AP92,1)+1))))</f>
        <v/>
      </c>
      <c r="R92" s="9"/>
      <c r="S92" s="9" t="str">
        <f aca="false">IF(A92="","",IF(R92="",Q92,R92))</f>
        <v/>
      </c>
      <c r="T92" s="14" t="str">
        <f aca="false">IF(OR(S92="",S92="OVERSIZE"),"",S92/1000)</f>
        <v/>
      </c>
      <c r="U92" s="14" t="str">
        <f aca="false">IF(T92="","",(1/Inputs!$B$9)*(PI()*T92^2/4)*((T92/4)^(2/3))*SQRT(P92))</f>
        <v/>
      </c>
      <c r="V92" s="14" t="str">
        <f aca="false">IF(OR(U92="",N92=""),"",N92/(U92*Inputs!$B$10))</f>
        <v/>
      </c>
      <c r="W92" s="14" t="str">
        <f aca="false">IF(OR(T92="",N92=""),"",4*N92/(PI()*T92^2))</f>
        <v/>
      </c>
      <c r="X92" s="14"/>
      <c r="Y92" s="14" t="str">
        <f aca="false">IF(A92="","",IF(A92=Inputs!$B$6,Inputs!$B$22,IF(D92="","",IFERROR(INDEX($Z$4:$Z$203,MATCH(D92,$A$4:$A$203,0))+IF(X92="",Inputs!$B$20,X92),""))))</f>
        <v/>
      </c>
      <c r="Z92" s="14" t="str">
        <f aca="false">IF(OR(Y92="",P92="",E92=""),"",Y92+P92*E92)</f>
        <v/>
      </c>
      <c r="AA92" s="14" t="str">
        <f aca="false">IF(C92="","",IFERROR(INDEX(Noeuds_plan!$C$4:$C$200,MATCH(C92,Noeuds_plan!$A$4:$A$200,0)),""))</f>
        <v/>
      </c>
      <c r="AB92" s="14" t="str">
        <f aca="false">IF(B92="","",IFERROR(INDEX(Noeuds_plan!$C$4:$C$200,MATCH(B92,Noeuds_plan!$A$4:$A$200,0)),""))</f>
        <v/>
      </c>
      <c r="AC92" s="14" t="str">
        <f aca="false">IF(OR(AA92="",Y92=""),"",AA92-Y92)</f>
        <v/>
      </c>
      <c r="AD92" s="14" t="str">
        <f aca="false">IF(OR(AB92="",Z92=""),"",AB92-Z92)</f>
        <v/>
      </c>
      <c r="AE92" s="19" t="str">
        <f aca="false">IF(A92="","",IF(OR(V92&gt;1,AND(AY92&lt;&gt;"",AY92&lt;Inputs!$B$11),AND(AY92&lt;&gt;"",AY92&gt;Inputs!$B$12),AC92&lt;Inputs!$B$19,AD92&lt;Inputs!$B$19,P92&lt;Inputs!$B$7,P92&gt;Inputs!$B$8),"CHECK","OK"))</f>
        <v/>
      </c>
      <c r="AF92" s="9"/>
      <c r="AG92" s="9" t="str">
        <f aca="false">IF(A92="","",(1/Inputs!$B$9)*(PI()*(Inputs!$F$5/1000)^2/4)*((Inputs!$F$5/1000/4)^(2/3))*SQRT(P92))</f>
        <v/>
      </c>
      <c r="AH92" s="9" t="str">
        <f aca="false">IF(A92="","",(1/Inputs!$B$9)*(PI()*(Inputs!$F$6/1000)^2/4)*((Inputs!$F$6/1000/4)^(2/3))*SQRT(P92))</f>
        <v/>
      </c>
      <c r="AI92" s="9" t="str">
        <f aca="false">IF(A92="","",(1/Inputs!$B$9)*(PI()*(Inputs!$F$7/1000)^2/4)*((Inputs!$F$7/1000/4)^(2/3))*SQRT(P92))</f>
        <v/>
      </c>
      <c r="AJ92" s="9" t="str">
        <f aca="false">IF(A92="","",(1/Inputs!$B$9)*(PI()*(Inputs!$F$8/1000)^2/4)*((Inputs!$F$8/1000/4)^(2/3))*SQRT(P92))</f>
        <v/>
      </c>
      <c r="AK92" s="9" t="str">
        <f aca="false">IF(A92="","",(1/Inputs!$B$9)*(PI()*(Inputs!$F$9/1000)^2/4)*((Inputs!$F$9/1000/4)^(2/3))*SQRT(P92))</f>
        <v/>
      </c>
      <c r="AL92" s="9" t="str">
        <f aca="false">IF(A92="","",(1/Inputs!$B$9)*(PI()*(Inputs!$F$10/1000)^2/4)*((Inputs!$F$10/1000/4)^(2/3))*SQRT(P92))</f>
        <v/>
      </c>
      <c r="AM92" s="9" t="str">
        <f aca="false">IF(A92="","",(1/Inputs!$B$9)*(PI()*(Inputs!$F$11/1000)^2/4)*((Inputs!$F$11/1000/4)^(2/3))*SQRT(P92))</f>
        <v/>
      </c>
      <c r="AN92" s="9" t="str">
        <f aca="false">IF(A92="","",(1/Inputs!$B$9)*(PI()*(Inputs!$F$12/1000)^2/4)*((Inputs!$F$12/1000/4)^(2/3))*SQRT(P92))</f>
        <v/>
      </c>
      <c r="AO92" s="9" t="str">
        <f aca="false">IF(A92="","",(1/Inputs!$B$9)*(PI()*(Inputs!$F$13/1000)^2/4)*((Inputs!$F$13/1000/4)^(2/3))*SQRT(P92))</f>
        <v/>
      </c>
      <c r="AP92" s="9" t="str">
        <f aca="false">IF(A92="","",(1/Inputs!$B$9)*(PI()*(Inputs!$F$14/1000)^2/4)*((Inputs!$F$14/1000/4)^(2/3))*SQRT(P92))</f>
        <v/>
      </c>
      <c r="AQ92" s="9" t="str">
        <f aca="false">IF(A92="","",COUNTIF($D$4:$D$203,$A92))</f>
        <v/>
      </c>
      <c r="AR92" s="9" t="str">
        <f aca="false">IF(A92="","",IF(AQ92=0,"START","CONTINUOUS"))</f>
        <v/>
      </c>
      <c r="AS92" s="13" t="str">
        <f aca="false">IF(A92="","",IF(J92="",Inputs!$B$18,J92))</f>
        <v/>
      </c>
      <c r="AT92" s="13" t="str">
        <f aca="false">IF(A92="","",IFERROR(maxifs($AV$4:$AV$203,$D$4:$D$203,$A92),""))</f>
        <v/>
      </c>
      <c r="AU92" s="13" t="str">
        <f aca="false">IF(A92="","",IF(OR(E92="",Inputs!$B$23=""),"",E92/(Inputs!$B$23*60)))</f>
        <v/>
      </c>
      <c r="AV92" s="13" t="str">
        <f aca="false">IF(A92="","",IF(AQ92=0,AS92+AU92,IF(AT92="",AS92+AU92,AT92+AU92)))</f>
        <v/>
      </c>
      <c r="AW92" s="13" t="str">
        <f aca="false">IF(A92="","",W92)</f>
        <v/>
      </c>
      <c r="AX92" s="13" t="str">
        <f aca="false">IF(OR(T92="",P92=""),"",(1/Inputs!$B$9)*((T92/4)^(2/3))*SQRT(P92))</f>
        <v/>
      </c>
      <c r="AY92" s="13" t="str">
        <f aca="false">IF(A92="","",IF(AND(AW92="",AX92="",BA92=""),"",IF(OR(UPPER(TRIM(Inputs!$B$24))="MANNING",UPPER(TRIM(Inputs!$B$24))="M"),AX92,IF(OR(UPPER(TRIM(Inputs!$B$24))="PARTIAL",UPPER(TRIM(Inputs!$B$24))="P"),BA92,IF(OR(UPPER(TRIM(Inputs!$B$24))="MAX",UPPER(TRIM(Inputs!$B$24))="X"),MAX(IF(AW92="",0,AW92),IF(AX92="",0,AX92),IF(BA92="",0,BA92)),AW92)))))</f>
        <v/>
      </c>
      <c r="AZ92" s="13" t="str">
        <f aca="false">IF(BB92="","",CH92)</f>
        <v/>
      </c>
      <c r="BA92" s="13" t="str">
        <f aca="false">IF(OR(BB92="",AZ92="",T92="",T92&lt;=0,AZ92&lt;=0),"",BB92/((T92^2/8)*(2*ACOS(1-2*AZ92/T92)-SIN(2*ACOS(1-2*AZ92/T92)))))</f>
        <v/>
      </c>
      <c r="BB92" s="9" t="str">
        <f aca="false">IF(OR(N92="",BC92=""),"",MIN(N92,BC92))</f>
        <v/>
      </c>
      <c r="BC92" s="9" t="str">
        <f aca="false">IF(OR(N92="",T92="",P92=""),"",IF(OR(T92="",P92="",(0.94*T92)="",T92&lt;=0,(0.94*T92)&lt;=0),"",(1/Inputs!$B$9)*((T92^2/8)*((2*ACOS(1-2*(0.94*T92)/T92))-SIN((2*ACOS(1-2*(0.94*T92)/T92)))))*((((T92^2/8)*((2*ACOS(1-2*(0.94*T92)/T92))-SIN((2*ACOS(1-2*(0.94*T92)/T92)))))/((T92/2)*((2*ACOS(1-2*(0.94*T92)/T92)))))^(2/3))*SQRT(P92)))</f>
        <v/>
      </c>
      <c r="BD92" s="9" t="str">
        <f aca="false">IF(BB92="","",0.001*T92)</f>
        <v/>
      </c>
      <c r="BE92" s="9" t="str">
        <f aca="false">IF(BB92="","",0.94*T92)</f>
        <v/>
      </c>
      <c r="BF92" s="9" t="str">
        <f aca="false">IF(BB92="","",(BD92+BE92)/2)</f>
        <v/>
      </c>
      <c r="BG92" s="9" t="str">
        <f aca="false">IF(OR(T92="",P92="",BF92="",T92&lt;=0,BF92&lt;=0),"",(1/Inputs!$B$9)*((T92^2/8)*((2*ACOS(1-2*BF92/T92))-SIN((2*ACOS(1-2*BF92/T92)))))*((((T92^2/8)*((2*ACOS(1-2*BF92/T92))-SIN((2*ACOS(1-2*BF92/T92)))))/((T92/2)*((2*ACOS(1-2*BF92/T92)))))^(2/3))*SQRT(P92))</f>
        <v/>
      </c>
      <c r="BH92" s="9" t="str">
        <f aca="false">IF(BB92="","",IF(BG92&lt;BB92,BF92,BD92))</f>
        <v/>
      </c>
      <c r="BI92" s="9" t="str">
        <f aca="false">IF(BB92="","",IF(BG92&lt;BB92,BE92,BF92))</f>
        <v/>
      </c>
      <c r="BJ92" s="9" t="str">
        <f aca="false">IF(BB92="","",(BH92+BI92)/2)</f>
        <v/>
      </c>
      <c r="BK92" s="9" t="str">
        <f aca="false">IF(OR(T92="",P92="",BJ92="",T92&lt;=0,BJ92&lt;=0),"",(1/Inputs!$B$9)*((T92^2/8)*((2*ACOS(1-2*BJ92/T92))-SIN((2*ACOS(1-2*BJ92/T92)))))*((((T92^2/8)*((2*ACOS(1-2*BJ92/T92))-SIN((2*ACOS(1-2*BJ92/T92)))))/((T92/2)*((2*ACOS(1-2*BJ92/T92)))))^(2/3))*SQRT(P92))</f>
        <v/>
      </c>
      <c r="BL92" s="9" t="str">
        <f aca="false">IF(BB92="","",IF(BK92&lt;BB92,BJ92,BH92))</f>
        <v/>
      </c>
      <c r="BM92" s="9" t="str">
        <f aca="false">IF(BB92="","",IF(BK92&lt;BB92,BI92,BJ92))</f>
        <v/>
      </c>
      <c r="BN92" s="9" t="str">
        <f aca="false">IF(BB92="","",(BL92+BM92)/2)</f>
        <v/>
      </c>
      <c r="BO92" s="9" t="str">
        <f aca="false">IF(OR(T92="",P92="",BN92="",T92&lt;=0,BN92&lt;=0),"",(1/Inputs!$B$9)*((T92^2/8)*((2*ACOS(1-2*BN92/T92))-SIN((2*ACOS(1-2*BN92/T92)))))*((((T92^2/8)*((2*ACOS(1-2*BN92/T92))-SIN((2*ACOS(1-2*BN92/T92)))))/((T92/2)*((2*ACOS(1-2*BN92/T92)))))^(2/3))*SQRT(P92))</f>
        <v/>
      </c>
      <c r="BP92" s="9" t="str">
        <f aca="false">IF(BB92="","",IF(BO92&lt;BB92,BN92,BL92))</f>
        <v/>
      </c>
      <c r="BQ92" s="9" t="str">
        <f aca="false">IF(BB92="","",IF(BO92&lt;BB92,BM92,BN92))</f>
        <v/>
      </c>
      <c r="BR92" s="9" t="str">
        <f aca="false">IF(BB92="","",(BP92+BQ92)/2)</f>
        <v/>
      </c>
      <c r="BS92" s="9" t="str">
        <f aca="false">IF(OR(T92="",P92="",BR92="",T92&lt;=0,BR92&lt;=0),"",(1/Inputs!$B$9)*((T92^2/8)*((2*ACOS(1-2*BR92/T92))-SIN((2*ACOS(1-2*BR92/T92)))))*((((T92^2/8)*((2*ACOS(1-2*BR92/T92))-SIN((2*ACOS(1-2*BR92/T92)))))/((T92/2)*((2*ACOS(1-2*BR92/T92)))))^(2/3))*SQRT(P92))</f>
        <v/>
      </c>
      <c r="BT92" s="9" t="str">
        <f aca="false">IF(BB92="","",IF(BS92&lt;BB92,BR92,BP92))</f>
        <v/>
      </c>
      <c r="BU92" s="9" t="str">
        <f aca="false">IF(BB92="","",IF(BS92&lt;BB92,BQ92,BR92))</f>
        <v/>
      </c>
      <c r="BV92" s="9" t="str">
        <f aca="false">IF(BB92="","",(BT92+BU92)/2)</f>
        <v/>
      </c>
      <c r="BW92" s="9" t="str">
        <f aca="false">IF(OR(T92="",P92="",BV92="",T92&lt;=0,BV92&lt;=0),"",(1/Inputs!$B$9)*((T92^2/8)*((2*ACOS(1-2*BV92/T92))-SIN((2*ACOS(1-2*BV92/T92)))))*((((T92^2/8)*((2*ACOS(1-2*BV92/T92))-SIN((2*ACOS(1-2*BV92/T92)))))/((T92/2)*((2*ACOS(1-2*BV92/T92)))))^(2/3))*SQRT(P92))</f>
        <v/>
      </c>
      <c r="BX92" s="9" t="str">
        <f aca="false">IF(BB92="","",IF(BW92&lt;BB92,BV92,BT92))</f>
        <v/>
      </c>
      <c r="BY92" s="9" t="str">
        <f aca="false">IF(BB92="","",IF(BW92&lt;BB92,BU92,BV92))</f>
        <v/>
      </c>
      <c r="BZ92" s="9" t="str">
        <f aca="false">IF(BB92="","",(BX92+BY92)/2)</f>
        <v/>
      </c>
      <c r="CA92" s="9" t="str">
        <f aca="false">IF(OR(T92="",P92="",BZ92="",T92&lt;=0,BZ92&lt;=0),"",(1/Inputs!$B$9)*((T92^2/8)*((2*ACOS(1-2*BZ92/T92))-SIN((2*ACOS(1-2*BZ92/T92)))))*((((T92^2/8)*((2*ACOS(1-2*BZ92/T92))-SIN((2*ACOS(1-2*BZ92/T92)))))/((T92/2)*((2*ACOS(1-2*BZ92/T92)))))^(2/3))*SQRT(P92))</f>
        <v/>
      </c>
      <c r="CB92" s="9" t="str">
        <f aca="false">IF(BB92="","",IF(CA92&lt;BB92,BZ92,BX92))</f>
        <v/>
      </c>
      <c r="CC92" s="9" t="str">
        <f aca="false">IF(BB92="","",IF(CA92&lt;BB92,BY92,BZ92))</f>
        <v/>
      </c>
      <c r="CD92" s="9" t="str">
        <f aca="false">IF(BB92="","",(CB92+CC92)/2)</f>
        <v/>
      </c>
      <c r="CE92" s="9" t="str">
        <f aca="false">IF(OR(T92="",P92="",CD92="",T92&lt;=0,CD92&lt;=0),"",(1/Inputs!$B$9)*((T92^2/8)*((2*ACOS(1-2*CD92/T92))-SIN((2*ACOS(1-2*CD92/T92)))))*((((T92^2/8)*((2*ACOS(1-2*CD92/T92))-SIN((2*ACOS(1-2*CD92/T92)))))/((T92/2)*((2*ACOS(1-2*CD92/T92)))))^(2/3))*SQRT(P92))</f>
        <v/>
      </c>
      <c r="CF92" s="9" t="str">
        <f aca="false">IF(BB92="","",IF(CE92&lt;BB92,CD92,CB92))</f>
        <v/>
      </c>
      <c r="CG92" s="9" t="str">
        <f aca="false">IF(BB92="","",IF(CE92&lt;BB92,CC92,CD92))</f>
        <v/>
      </c>
      <c r="CH92" s="9" t="str">
        <f aca="false">IF(BB92="","",(CF92+CG92)/2)</f>
        <v/>
      </c>
    </row>
    <row r="93" customFormat="false" ht="15" hidden="false" customHeight="false" outlineLevel="0" collapsed="false">
      <c r="A93" s="9"/>
      <c r="B93" s="9"/>
      <c r="C93" s="9"/>
      <c r="D93" s="9"/>
      <c r="E93" s="14"/>
      <c r="F93" s="14"/>
      <c r="G93" s="14" t="n">
        <f aca="false">SUMIFS(CB_plan!$C:$C,CB_plan!$B:$B,$A93)</f>
        <v>0</v>
      </c>
      <c r="H93" s="14" t="n">
        <f aca="false">IF(F93="",G93,F93)</f>
        <v>0</v>
      </c>
      <c r="I93" s="9"/>
      <c r="J93" s="14"/>
      <c r="K93" s="14" t="str">
        <f aca="false">IF(A93="","",Inputs!$B$13/((IF(AV93="",Inputs!$B$18,AV93)+Inputs!$B$14)^Inputs!$B$15))</f>
        <v/>
      </c>
      <c r="L93" s="14" t="str">
        <f aca="false">IF(A93="","",0.000000278*IF(I93="",Inputs!$B$17,I93)*H93*K93)</f>
        <v/>
      </c>
      <c r="M93" s="14" t="str">
        <f aca="false">IF(A93="","",SUMIFS($N$4:$N$203,$D$4:$D$203,$A93))</f>
        <v/>
      </c>
      <c r="N93" s="14" t="str">
        <f aca="false">IF(A93="","",(L93+M93)*Inputs!$B$16)</f>
        <v/>
      </c>
      <c r="O93" s="14"/>
      <c r="P93" s="14" t="str">
        <f aca="false">IF(A93="","",IF(O93="",Inputs!$B$7,O93))</f>
        <v/>
      </c>
      <c r="Q93" s="9" t="str">
        <f aca="false">IF(A93="","",IF(N93/Inputs!$B$10&lt;=AG93,Inputs!$F$5,IF(N93/Inputs!$B$10&gt;AP93,"OVERSIZE",INDEX(Inputs!$F$5:$F$14,MATCH(N93/Inputs!$B$10,AG93:AP93,1)+1))))</f>
        <v/>
      </c>
      <c r="R93" s="9"/>
      <c r="S93" s="9" t="str">
        <f aca="false">IF(A93="","",IF(R93="",Q93,R93))</f>
        <v/>
      </c>
      <c r="T93" s="14" t="str">
        <f aca="false">IF(OR(S93="",S93="OVERSIZE"),"",S93/1000)</f>
        <v/>
      </c>
      <c r="U93" s="14" t="str">
        <f aca="false">IF(T93="","",(1/Inputs!$B$9)*(PI()*T93^2/4)*((T93/4)^(2/3))*SQRT(P93))</f>
        <v/>
      </c>
      <c r="V93" s="14" t="str">
        <f aca="false">IF(OR(U93="",N93=""),"",N93/(U93*Inputs!$B$10))</f>
        <v/>
      </c>
      <c r="W93" s="14" t="str">
        <f aca="false">IF(OR(T93="",N93=""),"",4*N93/(PI()*T93^2))</f>
        <v/>
      </c>
      <c r="X93" s="14"/>
      <c r="Y93" s="14" t="str">
        <f aca="false">IF(A93="","",IF(A93=Inputs!$B$6,Inputs!$B$22,IF(D93="","",IFERROR(INDEX($Z$4:$Z$203,MATCH(D93,$A$4:$A$203,0))+IF(X93="",Inputs!$B$20,X93),""))))</f>
        <v/>
      </c>
      <c r="Z93" s="14" t="str">
        <f aca="false">IF(OR(Y93="",P93="",E93=""),"",Y93+P93*E93)</f>
        <v/>
      </c>
      <c r="AA93" s="14" t="str">
        <f aca="false">IF(C93="","",IFERROR(INDEX(Noeuds_plan!$C$4:$C$200,MATCH(C93,Noeuds_plan!$A$4:$A$200,0)),""))</f>
        <v/>
      </c>
      <c r="AB93" s="14" t="str">
        <f aca="false">IF(B93="","",IFERROR(INDEX(Noeuds_plan!$C$4:$C$200,MATCH(B93,Noeuds_plan!$A$4:$A$200,0)),""))</f>
        <v/>
      </c>
      <c r="AC93" s="14" t="str">
        <f aca="false">IF(OR(AA93="",Y93=""),"",AA93-Y93)</f>
        <v/>
      </c>
      <c r="AD93" s="14" t="str">
        <f aca="false">IF(OR(AB93="",Z93=""),"",AB93-Z93)</f>
        <v/>
      </c>
      <c r="AE93" s="19" t="str">
        <f aca="false">IF(A93="","",IF(OR(V93&gt;1,AND(AY93&lt;&gt;"",AY93&lt;Inputs!$B$11),AND(AY93&lt;&gt;"",AY93&gt;Inputs!$B$12),AC93&lt;Inputs!$B$19,AD93&lt;Inputs!$B$19,P93&lt;Inputs!$B$7,P93&gt;Inputs!$B$8),"CHECK","OK"))</f>
        <v/>
      </c>
      <c r="AF93" s="9"/>
      <c r="AG93" s="9" t="str">
        <f aca="false">IF(A93="","",(1/Inputs!$B$9)*(PI()*(Inputs!$F$5/1000)^2/4)*((Inputs!$F$5/1000/4)^(2/3))*SQRT(P93))</f>
        <v/>
      </c>
      <c r="AH93" s="9" t="str">
        <f aca="false">IF(A93="","",(1/Inputs!$B$9)*(PI()*(Inputs!$F$6/1000)^2/4)*((Inputs!$F$6/1000/4)^(2/3))*SQRT(P93))</f>
        <v/>
      </c>
      <c r="AI93" s="9" t="str">
        <f aca="false">IF(A93="","",(1/Inputs!$B$9)*(PI()*(Inputs!$F$7/1000)^2/4)*((Inputs!$F$7/1000/4)^(2/3))*SQRT(P93))</f>
        <v/>
      </c>
      <c r="AJ93" s="9" t="str">
        <f aca="false">IF(A93="","",(1/Inputs!$B$9)*(PI()*(Inputs!$F$8/1000)^2/4)*((Inputs!$F$8/1000/4)^(2/3))*SQRT(P93))</f>
        <v/>
      </c>
      <c r="AK93" s="9" t="str">
        <f aca="false">IF(A93="","",(1/Inputs!$B$9)*(PI()*(Inputs!$F$9/1000)^2/4)*((Inputs!$F$9/1000/4)^(2/3))*SQRT(P93))</f>
        <v/>
      </c>
      <c r="AL93" s="9" t="str">
        <f aca="false">IF(A93="","",(1/Inputs!$B$9)*(PI()*(Inputs!$F$10/1000)^2/4)*((Inputs!$F$10/1000/4)^(2/3))*SQRT(P93))</f>
        <v/>
      </c>
      <c r="AM93" s="9" t="str">
        <f aca="false">IF(A93="","",(1/Inputs!$B$9)*(PI()*(Inputs!$F$11/1000)^2/4)*((Inputs!$F$11/1000/4)^(2/3))*SQRT(P93))</f>
        <v/>
      </c>
      <c r="AN93" s="9" t="str">
        <f aca="false">IF(A93="","",(1/Inputs!$B$9)*(PI()*(Inputs!$F$12/1000)^2/4)*((Inputs!$F$12/1000/4)^(2/3))*SQRT(P93))</f>
        <v/>
      </c>
      <c r="AO93" s="9" t="str">
        <f aca="false">IF(A93="","",(1/Inputs!$B$9)*(PI()*(Inputs!$F$13/1000)^2/4)*((Inputs!$F$13/1000/4)^(2/3))*SQRT(P93))</f>
        <v/>
      </c>
      <c r="AP93" s="9" t="str">
        <f aca="false">IF(A93="","",(1/Inputs!$B$9)*(PI()*(Inputs!$F$14/1000)^2/4)*((Inputs!$F$14/1000/4)^(2/3))*SQRT(P93))</f>
        <v/>
      </c>
      <c r="AQ93" s="9" t="str">
        <f aca="false">IF(A93="","",COUNTIF($D$4:$D$203,$A93))</f>
        <v/>
      </c>
      <c r="AR93" s="9" t="str">
        <f aca="false">IF(A93="","",IF(AQ93=0,"START","CONTINUOUS"))</f>
        <v/>
      </c>
      <c r="AS93" s="13" t="str">
        <f aca="false">IF(A93="","",IF(J93="",Inputs!$B$18,J93))</f>
        <v/>
      </c>
      <c r="AT93" s="13" t="str">
        <f aca="false">IF(A93="","",IFERROR(maxifs($AV$4:$AV$203,$D$4:$D$203,$A93),""))</f>
        <v/>
      </c>
      <c r="AU93" s="13" t="str">
        <f aca="false">IF(A93="","",IF(OR(E93="",Inputs!$B$23=""),"",E93/(Inputs!$B$23*60)))</f>
        <v/>
      </c>
      <c r="AV93" s="13" t="str">
        <f aca="false">IF(A93="","",IF(AQ93=0,AS93+AU93,IF(AT93="",AS93+AU93,AT93+AU93)))</f>
        <v/>
      </c>
      <c r="AW93" s="13" t="str">
        <f aca="false">IF(A93="","",W93)</f>
        <v/>
      </c>
      <c r="AX93" s="13" t="str">
        <f aca="false">IF(OR(T93="",P93=""),"",(1/Inputs!$B$9)*((T93/4)^(2/3))*SQRT(P93))</f>
        <v/>
      </c>
      <c r="AY93" s="13" t="str">
        <f aca="false">IF(A93="","",IF(AND(AW93="",AX93="",BA93=""),"",IF(OR(UPPER(TRIM(Inputs!$B$24))="MANNING",UPPER(TRIM(Inputs!$B$24))="M"),AX93,IF(OR(UPPER(TRIM(Inputs!$B$24))="PARTIAL",UPPER(TRIM(Inputs!$B$24))="P"),BA93,IF(OR(UPPER(TRIM(Inputs!$B$24))="MAX",UPPER(TRIM(Inputs!$B$24))="X"),MAX(IF(AW93="",0,AW93),IF(AX93="",0,AX93),IF(BA93="",0,BA93)),AW93)))))</f>
        <v/>
      </c>
      <c r="AZ93" s="13" t="str">
        <f aca="false">IF(BB93="","",CH93)</f>
        <v/>
      </c>
      <c r="BA93" s="13" t="str">
        <f aca="false">IF(OR(BB93="",AZ93="",T93="",T93&lt;=0,AZ93&lt;=0),"",BB93/((T93^2/8)*(2*ACOS(1-2*AZ93/T93)-SIN(2*ACOS(1-2*AZ93/T93)))))</f>
        <v/>
      </c>
      <c r="BB93" s="9" t="str">
        <f aca="false">IF(OR(N93="",BC93=""),"",MIN(N93,BC93))</f>
        <v/>
      </c>
      <c r="BC93" s="9" t="str">
        <f aca="false">IF(OR(N93="",T93="",P93=""),"",IF(OR(T93="",P93="",(0.94*T93)="",T93&lt;=0,(0.94*T93)&lt;=0),"",(1/Inputs!$B$9)*((T93^2/8)*((2*ACOS(1-2*(0.94*T93)/T93))-SIN((2*ACOS(1-2*(0.94*T93)/T93)))))*((((T93^2/8)*((2*ACOS(1-2*(0.94*T93)/T93))-SIN((2*ACOS(1-2*(0.94*T93)/T93)))))/((T93/2)*((2*ACOS(1-2*(0.94*T93)/T93)))))^(2/3))*SQRT(P93)))</f>
        <v/>
      </c>
      <c r="BD93" s="9" t="str">
        <f aca="false">IF(BB93="","",0.001*T93)</f>
        <v/>
      </c>
      <c r="BE93" s="9" t="str">
        <f aca="false">IF(BB93="","",0.94*T93)</f>
        <v/>
      </c>
      <c r="BF93" s="9" t="str">
        <f aca="false">IF(BB93="","",(BD93+BE93)/2)</f>
        <v/>
      </c>
      <c r="BG93" s="9" t="str">
        <f aca="false">IF(OR(T93="",P93="",BF93="",T93&lt;=0,BF93&lt;=0),"",(1/Inputs!$B$9)*((T93^2/8)*((2*ACOS(1-2*BF93/T93))-SIN((2*ACOS(1-2*BF93/T93)))))*((((T93^2/8)*((2*ACOS(1-2*BF93/T93))-SIN((2*ACOS(1-2*BF93/T93)))))/((T93/2)*((2*ACOS(1-2*BF93/T93)))))^(2/3))*SQRT(P93))</f>
        <v/>
      </c>
      <c r="BH93" s="9" t="str">
        <f aca="false">IF(BB93="","",IF(BG93&lt;BB93,BF93,BD93))</f>
        <v/>
      </c>
      <c r="BI93" s="9" t="str">
        <f aca="false">IF(BB93="","",IF(BG93&lt;BB93,BE93,BF93))</f>
        <v/>
      </c>
      <c r="BJ93" s="9" t="str">
        <f aca="false">IF(BB93="","",(BH93+BI93)/2)</f>
        <v/>
      </c>
      <c r="BK93" s="9" t="str">
        <f aca="false">IF(OR(T93="",P93="",BJ93="",T93&lt;=0,BJ93&lt;=0),"",(1/Inputs!$B$9)*((T93^2/8)*((2*ACOS(1-2*BJ93/T93))-SIN((2*ACOS(1-2*BJ93/T93)))))*((((T93^2/8)*((2*ACOS(1-2*BJ93/T93))-SIN((2*ACOS(1-2*BJ93/T93)))))/((T93/2)*((2*ACOS(1-2*BJ93/T93)))))^(2/3))*SQRT(P93))</f>
        <v/>
      </c>
      <c r="BL93" s="9" t="str">
        <f aca="false">IF(BB93="","",IF(BK93&lt;BB93,BJ93,BH93))</f>
        <v/>
      </c>
      <c r="BM93" s="9" t="str">
        <f aca="false">IF(BB93="","",IF(BK93&lt;BB93,BI93,BJ93))</f>
        <v/>
      </c>
      <c r="BN93" s="9" t="str">
        <f aca="false">IF(BB93="","",(BL93+BM93)/2)</f>
        <v/>
      </c>
      <c r="BO93" s="9" t="str">
        <f aca="false">IF(OR(T93="",P93="",BN93="",T93&lt;=0,BN93&lt;=0),"",(1/Inputs!$B$9)*((T93^2/8)*((2*ACOS(1-2*BN93/T93))-SIN((2*ACOS(1-2*BN93/T93)))))*((((T93^2/8)*((2*ACOS(1-2*BN93/T93))-SIN((2*ACOS(1-2*BN93/T93)))))/((T93/2)*((2*ACOS(1-2*BN93/T93)))))^(2/3))*SQRT(P93))</f>
        <v/>
      </c>
      <c r="BP93" s="9" t="str">
        <f aca="false">IF(BB93="","",IF(BO93&lt;BB93,BN93,BL93))</f>
        <v/>
      </c>
      <c r="BQ93" s="9" t="str">
        <f aca="false">IF(BB93="","",IF(BO93&lt;BB93,BM93,BN93))</f>
        <v/>
      </c>
      <c r="BR93" s="9" t="str">
        <f aca="false">IF(BB93="","",(BP93+BQ93)/2)</f>
        <v/>
      </c>
      <c r="BS93" s="9" t="str">
        <f aca="false">IF(OR(T93="",P93="",BR93="",T93&lt;=0,BR93&lt;=0),"",(1/Inputs!$B$9)*((T93^2/8)*((2*ACOS(1-2*BR93/T93))-SIN((2*ACOS(1-2*BR93/T93)))))*((((T93^2/8)*((2*ACOS(1-2*BR93/T93))-SIN((2*ACOS(1-2*BR93/T93)))))/((T93/2)*((2*ACOS(1-2*BR93/T93)))))^(2/3))*SQRT(P93))</f>
        <v/>
      </c>
      <c r="BT93" s="9" t="str">
        <f aca="false">IF(BB93="","",IF(BS93&lt;BB93,BR93,BP93))</f>
        <v/>
      </c>
      <c r="BU93" s="9" t="str">
        <f aca="false">IF(BB93="","",IF(BS93&lt;BB93,BQ93,BR93))</f>
        <v/>
      </c>
      <c r="BV93" s="9" t="str">
        <f aca="false">IF(BB93="","",(BT93+BU93)/2)</f>
        <v/>
      </c>
      <c r="BW93" s="9" t="str">
        <f aca="false">IF(OR(T93="",P93="",BV93="",T93&lt;=0,BV93&lt;=0),"",(1/Inputs!$B$9)*((T93^2/8)*((2*ACOS(1-2*BV93/T93))-SIN((2*ACOS(1-2*BV93/T93)))))*((((T93^2/8)*((2*ACOS(1-2*BV93/T93))-SIN((2*ACOS(1-2*BV93/T93)))))/((T93/2)*((2*ACOS(1-2*BV93/T93)))))^(2/3))*SQRT(P93))</f>
        <v/>
      </c>
      <c r="BX93" s="9" t="str">
        <f aca="false">IF(BB93="","",IF(BW93&lt;BB93,BV93,BT93))</f>
        <v/>
      </c>
      <c r="BY93" s="9" t="str">
        <f aca="false">IF(BB93="","",IF(BW93&lt;BB93,BU93,BV93))</f>
        <v/>
      </c>
      <c r="BZ93" s="9" t="str">
        <f aca="false">IF(BB93="","",(BX93+BY93)/2)</f>
        <v/>
      </c>
      <c r="CA93" s="9" t="str">
        <f aca="false">IF(OR(T93="",P93="",BZ93="",T93&lt;=0,BZ93&lt;=0),"",(1/Inputs!$B$9)*((T93^2/8)*((2*ACOS(1-2*BZ93/T93))-SIN((2*ACOS(1-2*BZ93/T93)))))*((((T93^2/8)*((2*ACOS(1-2*BZ93/T93))-SIN((2*ACOS(1-2*BZ93/T93)))))/((T93/2)*((2*ACOS(1-2*BZ93/T93)))))^(2/3))*SQRT(P93))</f>
        <v/>
      </c>
      <c r="CB93" s="9" t="str">
        <f aca="false">IF(BB93="","",IF(CA93&lt;BB93,BZ93,BX93))</f>
        <v/>
      </c>
      <c r="CC93" s="9" t="str">
        <f aca="false">IF(BB93="","",IF(CA93&lt;BB93,BY93,BZ93))</f>
        <v/>
      </c>
      <c r="CD93" s="9" t="str">
        <f aca="false">IF(BB93="","",(CB93+CC93)/2)</f>
        <v/>
      </c>
      <c r="CE93" s="9" t="str">
        <f aca="false">IF(OR(T93="",P93="",CD93="",T93&lt;=0,CD93&lt;=0),"",(1/Inputs!$B$9)*((T93^2/8)*((2*ACOS(1-2*CD93/T93))-SIN((2*ACOS(1-2*CD93/T93)))))*((((T93^2/8)*((2*ACOS(1-2*CD93/T93))-SIN((2*ACOS(1-2*CD93/T93)))))/((T93/2)*((2*ACOS(1-2*CD93/T93)))))^(2/3))*SQRT(P93))</f>
        <v/>
      </c>
      <c r="CF93" s="9" t="str">
        <f aca="false">IF(BB93="","",IF(CE93&lt;BB93,CD93,CB93))</f>
        <v/>
      </c>
      <c r="CG93" s="9" t="str">
        <f aca="false">IF(BB93="","",IF(CE93&lt;BB93,CC93,CD93))</f>
        <v/>
      </c>
      <c r="CH93" s="9" t="str">
        <f aca="false">IF(BB93="","",(CF93+CG93)/2)</f>
        <v/>
      </c>
    </row>
    <row r="94" customFormat="false" ht="15" hidden="false" customHeight="false" outlineLevel="0" collapsed="false">
      <c r="A94" s="9"/>
      <c r="B94" s="9"/>
      <c r="C94" s="9"/>
      <c r="D94" s="9"/>
      <c r="E94" s="14"/>
      <c r="F94" s="14"/>
      <c r="G94" s="14" t="n">
        <f aca="false">SUMIFS(CB_plan!$C:$C,CB_plan!$B:$B,$A94)</f>
        <v>0</v>
      </c>
      <c r="H94" s="14" t="n">
        <f aca="false">IF(F94="",G94,F94)</f>
        <v>0</v>
      </c>
      <c r="I94" s="9"/>
      <c r="J94" s="14"/>
      <c r="K94" s="14" t="str">
        <f aca="false">IF(A94="","",Inputs!$B$13/((IF(AV94="",Inputs!$B$18,AV94)+Inputs!$B$14)^Inputs!$B$15))</f>
        <v/>
      </c>
      <c r="L94" s="14" t="str">
        <f aca="false">IF(A94="","",0.000000278*IF(I94="",Inputs!$B$17,I94)*H94*K94)</f>
        <v/>
      </c>
      <c r="M94" s="14" t="str">
        <f aca="false">IF(A94="","",SUMIFS($N$4:$N$203,$D$4:$D$203,$A94))</f>
        <v/>
      </c>
      <c r="N94" s="14" t="str">
        <f aca="false">IF(A94="","",(L94+M94)*Inputs!$B$16)</f>
        <v/>
      </c>
      <c r="O94" s="14"/>
      <c r="P94" s="14" t="str">
        <f aca="false">IF(A94="","",IF(O94="",Inputs!$B$7,O94))</f>
        <v/>
      </c>
      <c r="Q94" s="9" t="str">
        <f aca="false">IF(A94="","",IF(N94/Inputs!$B$10&lt;=AG94,Inputs!$F$5,IF(N94/Inputs!$B$10&gt;AP94,"OVERSIZE",INDEX(Inputs!$F$5:$F$14,MATCH(N94/Inputs!$B$10,AG94:AP94,1)+1))))</f>
        <v/>
      </c>
      <c r="R94" s="9"/>
      <c r="S94" s="9" t="str">
        <f aca="false">IF(A94="","",IF(R94="",Q94,R94))</f>
        <v/>
      </c>
      <c r="T94" s="14" t="str">
        <f aca="false">IF(OR(S94="",S94="OVERSIZE"),"",S94/1000)</f>
        <v/>
      </c>
      <c r="U94" s="14" t="str">
        <f aca="false">IF(T94="","",(1/Inputs!$B$9)*(PI()*T94^2/4)*((T94/4)^(2/3))*SQRT(P94))</f>
        <v/>
      </c>
      <c r="V94" s="14" t="str">
        <f aca="false">IF(OR(U94="",N94=""),"",N94/(U94*Inputs!$B$10))</f>
        <v/>
      </c>
      <c r="W94" s="14" t="str">
        <f aca="false">IF(OR(T94="",N94=""),"",4*N94/(PI()*T94^2))</f>
        <v/>
      </c>
      <c r="X94" s="14"/>
      <c r="Y94" s="14" t="str">
        <f aca="false">IF(A94="","",IF(A94=Inputs!$B$6,Inputs!$B$22,IF(D94="","",IFERROR(INDEX($Z$4:$Z$203,MATCH(D94,$A$4:$A$203,0))+IF(X94="",Inputs!$B$20,X94),""))))</f>
        <v/>
      </c>
      <c r="Z94" s="14" t="str">
        <f aca="false">IF(OR(Y94="",P94="",E94=""),"",Y94+P94*E94)</f>
        <v/>
      </c>
      <c r="AA94" s="14" t="str">
        <f aca="false">IF(C94="","",IFERROR(INDEX(Noeuds_plan!$C$4:$C$200,MATCH(C94,Noeuds_plan!$A$4:$A$200,0)),""))</f>
        <v/>
      </c>
      <c r="AB94" s="14" t="str">
        <f aca="false">IF(B94="","",IFERROR(INDEX(Noeuds_plan!$C$4:$C$200,MATCH(B94,Noeuds_plan!$A$4:$A$200,0)),""))</f>
        <v/>
      </c>
      <c r="AC94" s="14" t="str">
        <f aca="false">IF(OR(AA94="",Y94=""),"",AA94-Y94)</f>
        <v/>
      </c>
      <c r="AD94" s="14" t="str">
        <f aca="false">IF(OR(AB94="",Z94=""),"",AB94-Z94)</f>
        <v/>
      </c>
      <c r="AE94" s="19" t="str">
        <f aca="false">IF(A94="","",IF(OR(V94&gt;1,AND(AY94&lt;&gt;"",AY94&lt;Inputs!$B$11),AND(AY94&lt;&gt;"",AY94&gt;Inputs!$B$12),AC94&lt;Inputs!$B$19,AD94&lt;Inputs!$B$19,P94&lt;Inputs!$B$7,P94&gt;Inputs!$B$8),"CHECK","OK"))</f>
        <v/>
      </c>
      <c r="AF94" s="9"/>
      <c r="AG94" s="9" t="str">
        <f aca="false">IF(A94="","",(1/Inputs!$B$9)*(PI()*(Inputs!$F$5/1000)^2/4)*((Inputs!$F$5/1000/4)^(2/3))*SQRT(P94))</f>
        <v/>
      </c>
      <c r="AH94" s="9" t="str">
        <f aca="false">IF(A94="","",(1/Inputs!$B$9)*(PI()*(Inputs!$F$6/1000)^2/4)*((Inputs!$F$6/1000/4)^(2/3))*SQRT(P94))</f>
        <v/>
      </c>
      <c r="AI94" s="9" t="str">
        <f aca="false">IF(A94="","",(1/Inputs!$B$9)*(PI()*(Inputs!$F$7/1000)^2/4)*((Inputs!$F$7/1000/4)^(2/3))*SQRT(P94))</f>
        <v/>
      </c>
      <c r="AJ94" s="9" t="str">
        <f aca="false">IF(A94="","",(1/Inputs!$B$9)*(PI()*(Inputs!$F$8/1000)^2/4)*((Inputs!$F$8/1000/4)^(2/3))*SQRT(P94))</f>
        <v/>
      </c>
      <c r="AK94" s="9" t="str">
        <f aca="false">IF(A94="","",(1/Inputs!$B$9)*(PI()*(Inputs!$F$9/1000)^2/4)*((Inputs!$F$9/1000/4)^(2/3))*SQRT(P94))</f>
        <v/>
      </c>
      <c r="AL94" s="9" t="str">
        <f aca="false">IF(A94="","",(1/Inputs!$B$9)*(PI()*(Inputs!$F$10/1000)^2/4)*((Inputs!$F$10/1000/4)^(2/3))*SQRT(P94))</f>
        <v/>
      </c>
      <c r="AM94" s="9" t="str">
        <f aca="false">IF(A94="","",(1/Inputs!$B$9)*(PI()*(Inputs!$F$11/1000)^2/4)*((Inputs!$F$11/1000/4)^(2/3))*SQRT(P94))</f>
        <v/>
      </c>
      <c r="AN94" s="9" t="str">
        <f aca="false">IF(A94="","",(1/Inputs!$B$9)*(PI()*(Inputs!$F$12/1000)^2/4)*((Inputs!$F$12/1000/4)^(2/3))*SQRT(P94))</f>
        <v/>
      </c>
      <c r="AO94" s="9" t="str">
        <f aca="false">IF(A94="","",(1/Inputs!$B$9)*(PI()*(Inputs!$F$13/1000)^2/4)*((Inputs!$F$13/1000/4)^(2/3))*SQRT(P94))</f>
        <v/>
      </c>
      <c r="AP94" s="9" t="str">
        <f aca="false">IF(A94="","",(1/Inputs!$B$9)*(PI()*(Inputs!$F$14/1000)^2/4)*((Inputs!$F$14/1000/4)^(2/3))*SQRT(P94))</f>
        <v/>
      </c>
      <c r="AQ94" s="9" t="str">
        <f aca="false">IF(A94="","",COUNTIF($D$4:$D$203,$A94))</f>
        <v/>
      </c>
      <c r="AR94" s="9" t="str">
        <f aca="false">IF(A94="","",IF(AQ94=0,"START","CONTINUOUS"))</f>
        <v/>
      </c>
      <c r="AS94" s="13" t="str">
        <f aca="false">IF(A94="","",IF(J94="",Inputs!$B$18,J94))</f>
        <v/>
      </c>
      <c r="AT94" s="13" t="str">
        <f aca="false">IF(A94="","",IFERROR(maxifs($AV$4:$AV$203,$D$4:$D$203,$A94),""))</f>
        <v/>
      </c>
      <c r="AU94" s="13" t="str">
        <f aca="false">IF(A94="","",IF(OR(E94="",Inputs!$B$23=""),"",E94/(Inputs!$B$23*60)))</f>
        <v/>
      </c>
      <c r="AV94" s="13" t="str">
        <f aca="false">IF(A94="","",IF(AQ94=0,AS94+AU94,IF(AT94="",AS94+AU94,AT94+AU94)))</f>
        <v/>
      </c>
      <c r="AW94" s="13" t="str">
        <f aca="false">IF(A94="","",W94)</f>
        <v/>
      </c>
      <c r="AX94" s="13" t="str">
        <f aca="false">IF(OR(T94="",P94=""),"",(1/Inputs!$B$9)*((T94/4)^(2/3))*SQRT(P94))</f>
        <v/>
      </c>
      <c r="AY94" s="13" t="str">
        <f aca="false">IF(A94="","",IF(AND(AW94="",AX94="",BA94=""),"",IF(OR(UPPER(TRIM(Inputs!$B$24))="MANNING",UPPER(TRIM(Inputs!$B$24))="M"),AX94,IF(OR(UPPER(TRIM(Inputs!$B$24))="PARTIAL",UPPER(TRIM(Inputs!$B$24))="P"),BA94,IF(OR(UPPER(TRIM(Inputs!$B$24))="MAX",UPPER(TRIM(Inputs!$B$24))="X"),MAX(IF(AW94="",0,AW94),IF(AX94="",0,AX94),IF(BA94="",0,BA94)),AW94)))))</f>
        <v/>
      </c>
      <c r="AZ94" s="13" t="str">
        <f aca="false">IF(BB94="","",CH94)</f>
        <v/>
      </c>
      <c r="BA94" s="13" t="str">
        <f aca="false">IF(OR(BB94="",AZ94="",T94="",T94&lt;=0,AZ94&lt;=0),"",BB94/((T94^2/8)*(2*ACOS(1-2*AZ94/T94)-SIN(2*ACOS(1-2*AZ94/T94)))))</f>
        <v/>
      </c>
      <c r="BB94" s="9" t="str">
        <f aca="false">IF(OR(N94="",BC94=""),"",MIN(N94,BC94))</f>
        <v/>
      </c>
      <c r="BC94" s="9" t="str">
        <f aca="false">IF(OR(N94="",T94="",P94=""),"",IF(OR(T94="",P94="",(0.94*T94)="",T94&lt;=0,(0.94*T94)&lt;=0),"",(1/Inputs!$B$9)*((T94^2/8)*((2*ACOS(1-2*(0.94*T94)/T94))-SIN((2*ACOS(1-2*(0.94*T94)/T94)))))*((((T94^2/8)*((2*ACOS(1-2*(0.94*T94)/T94))-SIN((2*ACOS(1-2*(0.94*T94)/T94)))))/((T94/2)*((2*ACOS(1-2*(0.94*T94)/T94)))))^(2/3))*SQRT(P94)))</f>
        <v/>
      </c>
      <c r="BD94" s="9" t="str">
        <f aca="false">IF(BB94="","",0.001*T94)</f>
        <v/>
      </c>
      <c r="BE94" s="9" t="str">
        <f aca="false">IF(BB94="","",0.94*T94)</f>
        <v/>
      </c>
      <c r="BF94" s="9" t="str">
        <f aca="false">IF(BB94="","",(BD94+BE94)/2)</f>
        <v/>
      </c>
      <c r="BG94" s="9" t="str">
        <f aca="false">IF(OR(T94="",P94="",BF94="",T94&lt;=0,BF94&lt;=0),"",(1/Inputs!$B$9)*((T94^2/8)*((2*ACOS(1-2*BF94/T94))-SIN((2*ACOS(1-2*BF94/T94)))))*((((T94^2/8)*((2*ACOS(1-2*BF94/T94))-SIN((2*ACOS(1-2*BF94/T94)))))/((T94/2)*((2*ACOS(1-2*BF94/T94)))))^(2/3))*SQRT(P94))</f>
        <v/>
      </c>
      <c r="BH94" s="9" t="str">
        <f aca="false">IF(BB94="","",IF(BG94&lt;BB94,BF94,BD94))</f>
        <v/>
      </c>
      <c r="BI94" s="9" t="str">
        <f aca="false">IF(BB94="","",IF(BG94&lt;BB94,BE94,BF94))</f>
        <v/>
      </c>
      <c r="BJ94" s="9" t="str">
        <f aca="false">IF(BB94="","",(BH94+BI94)/2)</f>
        <v/>
      </c>
      <c r="BK94" s="9" t="str">
        <f aca="false">IF(OR(T94="",P94="",BJ94="",T94&lt;=0,BJ94&lt;=0),"",(1/Inputs!$B$9)*((T94^2/8)*((2*ACOS(1-2*BJ94/T94))-SIN((2*ACOS(1-2*BJ94/T94)))))*((((T94^2/8)*((2*ACOS(1-2*BJ94/T94))-SIN((2*ACOS(1-2*BJ94/T94)))))/((T94/2)*((2*ACOS(1-2*BJ94/T94)))))^(2/3))*SQRT(P94))</f>
        <v/>
      </c>
      <c r="BL94" s="9" t="str">
        <f aca="false">IF(BB94="","",IF(BK94&lt;BB94,BJ94,BH94))</f>
        <v/>
      </c>
      <c r="BM94" s="9" t="str">
        <f aca="false">IF(BB94="","",IF(BK94&lt;BB94,BI94,BJ94))</f>
        <v/>
      </c>
      <c r="BN94" s="9" t="str">
        <f aca="false">IF(BB94="","",(BL94+BM94)/2)</f>
        <v/>
      </c>
      <c r="BO94" s="9" t="str">
        <f aca="false">IF(OR(T94="",P94="",BN94="",T94&lt;=0,BN94&lt;=0),"",(1/Inputs!$B$9)*((T94^2/8)*((2*ACOS(1-2*BN94/T94))-SIN((2*ACOS(1-2*BN94/T94)))))*((((T94^2/8)*((2*ACOS(1-2*BN94/T94))-SIN((2*ACOS(1-2*BN94/T94)))))/((T94/2)*((2*ACOS(1-2*BN94/T94)))))^(2/3))*SQRT(P94))</f>
        <v/>
      </c>
      <c r="BP94" s="9" t="str">
        <f aca="false">IF(BB94="","",IF(BO94&lt;BB94,BN94,BL94))</f>
        <v/>
      </c>
      <c r="BQ94" s="9" t="str">
        <f aca="false">IF(BB94="","",IF(BO94&lt;BB94,BM94,BN94))</f>
        <v/>
      </c>
      <c r="BR94" s="9" t="str">
        <f aca="false">IF(BB94="","",(BP94+BQ94)/2)</f>
        <v/>
      </c>
      <c r="BS94" s="9" t="str">
        <f aca="false">IF(OR(T94="",P94="",BR94="",T94&lt;=0,BR94&lt;=0),"",(1/Inputs!$B$9)*((T94^2/8)*((2*ACOS(1-2*BR94/T94))-SIN((2*ACOS(1-2*BR94/T94)))))*((((T94^2/8)*((2*ACOS(1-2*BR94/T94))-SIN((2*ACOS(1-2*BR94/T94)))))/((T94/2)*((2*ACOS(1-2*BR94/T94)))))^(2/3))*SQRT(P94))</f>
        <v/>
      </c>
      <c r="BT94" s="9" t="str">
        <f aca="false">IF(BB94="","",IF(BS94&lt;BB94,BR94,BP94))</f>
        <v/>
      </c>
      <c r="BU94" s="9" t="str">
        <f aca="false">IF(BB94="","",IF(BS94&lt;BB94,BQ94,BR94))</f>
        <v/>
      </c>
      <c r="BV94" s="9" t="str">
        <f aca="false">IF(BB94="","",(BT94+BU94)/2)</f>
        <v/>
      </c>
      <c r="BW94" s="9" t="str">
        <f aca="false">IF(OR(T94="",P94="",BV94="",T94&lt;=0,BV94&lt;=0),"",(1/Inputs!$B$9)*((T94^2/8)*((2*ACOS(1-2*BV94/T94))-SIN((2*ACOS(1-2*BV94/T94)))))*((((T94^2/8)*((2*ACOS(1-2*BV94/T94))-SIN((2*ACOS(1-2*BV94/T94)))))/((T94/2)*((2*ACOS(1-2*BV94/T94)))))^(2/3))*SQRT(P94))</f>
        <v/>
      </c>
      <c r="BX94" s="9" t="str">
        <f aca="false">IF(BB94="","",IF(BW94&lt;BB94,BV94,BT94))</f>
        <v/>
      </c>
      <c r="BY94" s="9" t="str">
        <f aca="false">IF(BB94="","",IF(BW94&lt;BB94,BU94,BV94))</f>
        <v/>
      </c>
      <c r="BZ94" s="9" t="str">
        <f aca="false">IF(BB94="","",(BX94+BY94)/2)</f>
        <v/>
      </c>
      <c r="CA94" s="9" t="str">
        <f aca="false">IF(OR(T94="",P94="",BZ94="",T94&lt;=0,BZ94&lt;=0),"",(1/Inputs!$B$9)*((T94^2/8)*((2*ACOS(1-2*BZ94/T94))-SIN((2*ACOS(1-2*BZ94/T94)))))*((((T94^2/8)*((2*ACOS(1-2*BZ94/T94))-SIN((2*ACOS(1-2*BZ94/T94)))))/((T94/2)*((2*ACOS(1-2*BZ94/T94)))))^(2/3))*SQRT(P94))</f>
        <v/>
      </c>
      <c r="CB94" s="9" t="str">
        <f aca="false">IF(BB94="","",IF(CA94&lt;BB94,BZ94,BX94))</f>
        <v/>
      </c>
      <c r="CC94" s="9" t="str">
        <f aca="false">IF(BB94="","",IF(CA94&lt;BB94,BY94,BZ94))</f>
        <v/>
      </c>
      <c r="CD94" s="9" t="str">
        <f aca="false">IF(BB94="","",(CB94+CC94)/2)</f>
        <v/>
      </c>
      <c r="CE94" s="9" t="str">
        <f aca="false">IF(OR(T94="",P94="",CD94="",T94&lt;=0,CD94&lt;=0),"",(1/Inputs!$B$9)*((T94^2/8)*((2*ACOS(1-2*CD94/T94))-SIN((2*ACOS(1-2*CD94/T94)))))*((((T94^2/8)*((2*ACOS(1-2*CD94/T94))-SIN((2*ACOS(1-2*CD94/T94)))))/((T94/2)*((2*ACOS(1-2*CD94/T94)))))^(2/3))*SQRT(P94))</f>
        <v/>
      </c>
      <c r="CF94" s="9" t="str">
        <f aca="false">IF(BB94="","",IF(CE94&lt;BB94,CD94,CB94))</f>
        <v/>
      </c>
      <c r="CG94" s="9" t="str">
        <f aca="false">IF(BB94="","",IF(CE94&lt;BB94,CC94,CD94))</f>
        <v/>
      </c>
      <c r="CH94" s="9" t="str">
        <f aca="false">IF(BB94="","",(CF94+CG94)/2)</f>
        <v/>
      </c>
    </row>
    <row r="95" customFormat="false" ht="15" hidden="false" customHeight="false" outlineLevel="0" collapsed="false">
      <c r="A95" s="9"/>
      <c r="B95" s="9"/>
      <c r="C95" s="9"/>
      <c r="D95" s="9"/>
      <c r="E95" s="14"/>
      <c r="F95" s="14"/>
      <c r="G95" s="14" t="n">
        <f aca="false">SUMIFS(CB_plan!$C:$C,CB_plan!$B:$B,$A95)</f>
        <v>0</v>
      </c>
      <c r="H95" s="14" t="n">
        <f aca="false">IF(F95="",G95,F95)</f>
        <v>0</v>
      </c>
      <c r="I95" s="9"/>
      <c r="J95" s="14"/>
      <c r="K95" s="14" t="str">
        <f aca="false">IF(A95="","",Inputs!$B$13/((IF(AV95="",Inputs!$B$18,AV95)+Inputs!$B$14)^Inputs!$B$15))</f>
        <v/>
      </c>
      <c r="L95" s="14" t="str">
        <f aca="false">IF(A95="","",0.000000278*IF(I95="",Inputs!$B$17,I95)*H95*K95)</f>
        <v/>
      </c>
      <c r="M95" s="14" t="str">
        <f aca="false">IF(A95="","",SUMIFS($N$4:$N$203,$D$4:$D$203,$A95))</f>
        <v/>
      </c>
      <c r="N95" s="14" t="str">
        <f aca="false">IF(A95="","",(L95+M95)*Inputs!$B$16)</f>
        <v/>
      </c>
      <c r="O95" s="14"/>
      <c r="P95" s="14" t="str">
        <f aca="false">IF(A95="","",IF(O95="",Inputs!$B$7,O95))</f>
        <v/>
      </c>
      <c r="Q95" s="9" t="str">
        <f aca="false">IF(A95="","",IF(N95/Inputs!$B$10&lt;=AG95,Inputs!$F$5,IF(N95/Inputs!$B$10&gt;AP95,"OVERSIZE",INDEX(Inputs!$F$5:$F$14,MATCH(N95/Inputs!$B$10,AG95:AP95,1)+1))))</f>
        <v/>
      </c>
      <c r="R95" s="9"/>
      <c r="S95" s="9" t="str">
        <f aca="false">IF(A95="","",IF(R95="",Q95,R95))</f>
        <v/>
      </c>
      <c r="T95" s="14" t="str">
        <f aca="false">IF(OR(S95="",S95="OVERSIZE"),"",S95/1000)</f>
        <v/>
      </c>
      <c r="U95" s="14" t="str">
        <f aca="false">IF(T95="","",(1/Inputs!$B$9)*(PI()*T95^2/4)*((T95/4)^(2/3))*SQRT(P95))</f>
        <v/>
      </c>
      <c r="V95" s="14" t="str">
        <f aca="false">IF(OR(U95="",N95=""),"",N95/(U95*Inputs!$B$10))</f>
        <v/>
      </c>
      <c r="W95" s="14" t="str">
        <f aca="false">IF(OR(T95="",N95=""),"",4*N95/(PI()*T95^2))</f>
        <v/>
      </c>
      <c r="X95" s="14"/>
      <c r="Y95" s="14" t="str">
        <f aca="false">IF(A95="","",IF(A95=Inputs!$B$6,Inputs!$B$22,IF(D95="","",IFERROR(INDEX($Z$4:$Z$203,MATCH(D95,$A$4:$A$203,0))+IF(X95="",Inputs!$B$20,X95),""))))</f>
        <v/>
      </c>
      <c r="Z95" s="14" t="str">
        <f aca="false">IF(OR(Y95="",P95="",E95=""),"",Y95+P95*E95)</f>
        <v/>
      </c>
      <c r="AA95" s="14" t="str">
        <f aca="false">IF(C95="","",IFERROR(INDEX(Noeuds_plan!$C$4:$C$200,MATCH(C95,Noeuds_plan!$A$4:$A$200,0)),""))</f>
        <v/>
      </c>
      <c r="AB95" s="14" t="str">
        <f aca="false">IF(B95="","",IFERROR(INDEX(Noeuds_plan!$C$4:$C$200,MATCH(B95,Noeuds_plan!$A$4:$A$200,0)),""))</f>
        <v/>
      </c>
      <c r="AC95" s="14" t="str">
        <f aca="false">IF(OR(AA95="",Y95=""),"",AA95-Y95)</f>
        <v/>
      </c>
      <c r="AD95" s="14" t="str">
        <f aca="false">IF(OR(AB95="",Z95=""),"",AB95-Z95)</f>
        <v/>
      </c>
      <c r="AE95" s="19" t="str">
        <f aca="false">IF(A95="","",IF(OR(V95&gt;1,AND(AY95&lt;&gt;"",AY95&lt;Inputs!$B$11),AND(AY95&lt;&gt;"",AY95&gt;Inputs!$B$12),AC95&lt;Inputs!$B$19,AD95&lt;Inputs!$B$19,P95&lt;Inputs!$B$7,P95&gt;Inputs!$B$8),"CHECK","OK"))</f>
        <v/>
      </c>
      <c r="AF95" s="9"/>
      <c r="AG95" s="9" t="str">
        <f aca="false">IF(A95="","",(1/Inputs!$B$9)*(PI()*(Inputs!$F$5/1000)^2/4)*((Inputs!$F$5/1000/4)^(2/3))*SQRT(P95))</f>
        <v/>
      </c>
      <c r="AH95" s="9" t="str">
        <f aca="false">IF(A95="","",(1/Inputs!$B$9)*(PI()*(Inputs!$F$6/1000)^2/4)*((Inputs!$F$6/1000/4)^(2/3))*SQRT(P95))</f>
        <v/>
      </c>
      <c r="AI95" s="9" t="str">
        <f aca="false">IF(A95="","",(1/Inputs!$B$9)*(PI()*(Inputs!$F$7/1000)^2/4)*((Inputs!$F$7/1000/4)^(2/3))*SQRT(P95))</f>
        <v/>
      </c>
      <c r="AJ95" s="9" t="str">
        <f aca="false">IF(A95="","",(1/Inputs!$B$9)*(PI()*(Inputs!$F$8/1000)^2/4)*((Inputs!$F$8/1000/4)^(2/3))*SQRT(P95))</f>
        <v/>
      </c>
      <c r="AK95" s="9" t="str">
        <f aca="false">IF(A95="","",(1/Inputs!$B$9)*(PI()*(Inputs!$F$9/1000)^2/4)*((Inputs!$F$9/1000/4)^(2/3))*SQRT(P95))</f>
        <v/>
      </c>
      <c r="AL95" s="9" t="str">
        <f aca="false">IF(A95="","",(1/Inputs!$B$9)*(PI()*(Inputs!$F$10/1000)^2/4)*((Inputs!$F$10/1000/4)^(2/3))*SQRT(P95))</f>
        <v/>
      </c>
      <c r="AM95" s="9" t="str">
        <f aca="false">IF(A95="","",(1/Inputs!$B$9)*(PI()*(Inputs!$F$11/1000)^2/4)*((Inputs!$F$11/1000/4)^(2/3))*SQRT(P95))</f>
        <v/>
      </c>
      <c r="AN95" s="9" t="str">
        <f aca="false">IF(A95="","",(1/Inputs!$B$9)*(PI()*(Inputs!$F$12/1000)^2/4)*((Inputs!$F$12/1000/4)^(2/3))*SQRT(P95))</f>
        <v/>
      </c>
      <c r="AO95" s="9" t="str">
        <f aca="false">IF(A95="","",(1/Inputs!$B$9)*(PI()*(Inputs!$F$13/1000)^2/4)*((Inputs!$F$13/1000/4)^(2/3))*SQRT(P95))</f>
        <v/>
      </c>
      <c r="AP95" s="9" t="str">
        <f aca="false">IF(A95="","",(1/Inputs!$B$9)*(PI()*(Inputs!$F$14/1000)^2/4)*((Inputs!$F$14/1000/4)^(2/3))*SQRT(P95))</f>
        <v/>
      </c>
      <c r="AQ95" s="9" t="str">
        <f aca="false">IF(A95="","",COUNTIF($D$4:$D$203,$A95))</f>
        <v/>
      </c>
      <c r="AR95" s="9" t="str">
        <f aca="false">IF(A95="","",IF(AQ95=0,"START","CONTINUOUS"))</f>
        <v/>
      </c>
      <c r="AS95" s="13" t="str">
        <f aca="false">IF(A95="","",IF(J95="",Inputs!$B$18,J95))</f>
        <v/>
      </c>
      <c r="AT95" s="13" t="str">
        <f aca="false">IF(A95="","",IFERROR(maxifs($AV$4:$AV$203,$D$4:$D$203,$A95),""))</f>
        <v/>
      </c>
      <c r="AU95" s="13" t="str">
        <f aca="false">IF(A95="","",IF(OR(E95="",Inputs!$B$23=""),"",E95/(Inputs!$B$23*60)))</f>
        <v/>
      </c>
      <c r="AV95" s="13" t="str">
        <f aca="false">IF(A95="","",IF(AQ95=0,AS95+AU95,IF(AT95="",AS95+AU95,AT95+AU95)))</f>
        <v/>
      </c>
      <c r="AW95" s="13" t="str">
        <f aca="false">IF(A95="","",W95)</f>
        <v/>
      </c>
      <c r="AX95" s="13" t="str">
        <f aca="false">IF(OR(T95="",P95=""),"",(1/Inputs!$B$9)*((T95/4)^(2/3))*SQRT(P95))</f>
        <v/>
      </c>
      <c r="AY95" s="13" t="str">
        <f aca="false">IF(A95="","",IF(AND(AW95="",AX95="",BA95=""),"",IF(OR(UPPER(TRIM(Inputs!$B$24))="MANNING",UPPER(TRIM(Inputs!$B$24))="M"),AX95,IF(OR(UPPER(TRIM(Inputs!$B$24))="PARTIAL",UPPER(TRIM(Inputs!$B$24))="P"),BA95,IF(OR(UPPER(TRIM(Inputs!$B$24))="MAX",UPPER(TRIM(Inputs!$B$24))="X"),MAX(IF(AW95="",0,AW95),IF(AX95="",0,AX95),IF(BA95="",0,BA95)),AW95)))))</f>
        <v/>
      </c>
      <c r="AZ95" s="13" t="str">
        <f aca="false">IF(BB95="","",CH95)</f>
        <v/>
      </c>
      <c r="BA95" s="13" t="str">
        <f aca="false">IF(OR(BB95="",AZ95="",T95="",T95&lt;=0,AZ95&lt;=0),"",BB95/((T95^2/8)*(2*ACOS(1-2*AZ95/T95)-SIN(2*ACOS(1-2*AZ95/T95)))))</f>
        <v/>
      </c>
      <c r="BB95" s="9" t="str">
        <f aca="false">IF(OR(N95="",BC95=""),"",MIN(N95,BC95))</f>
        <v/>
      </c>
      <c r="BC95" s="9" t="str">
        <f aca="false">IF(OR(N95="",T95="",P95=""),"",IF(OR(T95="",P95="",(0.94*T95)="",T95&lt;=0,(0.94*T95)&lt;=0),"",(1/Inputs!$B$9)*((T95^2/8)*((2*ACOS(1-2*(0.94*T95)/T95))-SIN((2*ACOS(1-2*(0.94*T95)/T95)))))*((((T95^2/8)*((2*ACOS(1-2*(0.94*T95)/T95))-SIN((2*ACOS(1-2*(0.94*T95)/T95)))))/((T95/2)*((2*ACOS(1-2*(0.94*T95)/T95)))))^(2/3))*SQRT(P95)))</f>
        <v/>
      </c>
      <c r="BD95" s="9" t="str">
        <f aca="false">IF(BB95="","",0.001*T95)</f>
        <v/>
      </c>
      <c r="BE95" s="9" t="str">
        <f aca="false">IF(BB95="","",0.94*T95)</f>
        <v/>
      </c>
      <c r="BF95" s="9" t="str">
        <f aca="false">IF(BB95="","",(BD95+BE95)/2)</f>
        <v/>
      </c>
      <c r="BG95" s="9" t="str">
        <f aca="false">IF(OR(T95="",P95="",BF95="",T95&lt;=0,BF95&lt;=0),"",(1/Inputs!$B$9)*((T95^2/8)*((2*ACOS(1-2*BF95/T95))-SIN((2*ACOS(1-2*BF95/T95)))))*((((T95^2/8)*((2*ACOS(1-2*BF95/T95))-SIN((2*ACOS(1-2*BF95/T95)))))/((T95/2)*((2*ACOS(1-2*BF95/T95)))))^(2/3))*SQRT(P95))</f>
        <v/>
      </c>
      <c r="BH95" s="9" t="str">
        <f aca="false">IF(BB95="","",IF(BG95&lt;BB95,BF95,BD95))</f>
        <v/>
      </c>
      <c r="BI95" s="9" t="str">
        <f aca="false">IF(BB95="","",IF(BG95&lt;BB95,BE95,BF95))</f>
        <v/>
      </c>
      <c r="BJ95" s="9" t="str">
        <f aca="false">IF(BB95="","",(BH95+BI95)/2)</f>
        <v/>
      </c>
      <c r="BK95" s="9" t="str">
        <f aca="false">IF(OR(T95="",P95="",BJ95="",T95&lt;=0,BJ95&lt;=0),"",(1/Inputs!$B$9)*((T95^2/8)*((2*ACOS(1-2*BJ95/T95))-SIN((2*ACOS(1-2*BJ95/T95)))))*((((T95^2/8)*((2*ACOS(1-2*BJ95/T95))-SIN((2*ACOS(1-2*BJ95/T95)))))/((T95/2)*((2*ACOS(1-2*BJ95/T95)))))^(2/3))*SQRT(P95))</f>
        <v/>
      </c>
      <c r="BL95" s="9" t="str">
        <f aca="false">IF(BB95="","",IF(BK95&lt;BB95,BJ95,BH95))</f>
        <v/>
      </c>
      <c r="BM95" s="9" t="str">
        <f aca="false">IF(BB95="","",IF(BK95&lt;BB95,BI95,BJ95))</f>
        <v/>
      </c>
      <c r="BN95" s="9" t="str">
        <f aca="false">IF(BB95="","",(BL95+BM95)/2)</f>
        <v/>
      </c>
      <c r="BO95" s="9" t="str">
        <f aca="false">IF(OR(T95="",P95="",BN95="",T95&lt;=0,BN95&lt;=0),"",(1/Inputs!$B$9)*((T95^2/8)*((2*ACOS(1-2*BN95/T95))-SIN((2*ACOS(1-2*BN95/T95)))))*((((T95^2/8)*((2*ACOS(1-2*BN95/T95))-SIN((2*ACOS(1-2*BN95/T95)))))/((T95/2)*((2*ACOS(1-2*BN95/T95)))))^(2/3))*SQRT(P95))</f>
        <v/>
      </c>
      <c r="BP95" s="9" t="str">
        <f aca="false">IF(BB95="","",IF(BO95&lt;BB95,BN95,BL95))</f>
        <v/>
      </c>
      <c r="BQ95" s="9" t="str">
        <f aca="false">IF(BB95="","",IF(BO95&lt;BB95,BM95,BN95))</f>
        <v/>
      </c>
      <c r="BR95" s="9" t="str">
        <f aca="false">IF(BB95="","",(BP95+BQ95)/2)</f>
        <v/>
      </c>
      <c r="BS95" s="9" t="str">
        <f aca="false">IF(OR(T95="",P95="",BR95="",T95&lt;=0,BR95&lt;=0),"",(1/Inputs!$B$9)*((T95^2/8)*((2*ACOS(1-2*BR95/T95))-SIN((2*ACOS(1-2*BR95/T95)))))*((((T95^2/8)*((2*ACOS(1-2*BR95/T95))-SIN((2*ACOS(1-2*BR95/T95)))))/((T95/2)*((2*ACOS(1-2*BR95/T95)))))^(2/3))*SQRT(P95))</f>
        <v/>
      </c>
      <c r="BT95" s="9" t="str">
        <f aca="false">IF(BB95="","",IF(BS95&lt;BB95,BR95,BP95))</f>
        <v/>
      </c>
      <c r="BU95" s="9" t="str">
        <f aca="false">IF(BB95="","",IF(BS95&lt;BB95,BQ95,BR95))</f>
        <v/>
      </c>
      <c r="BV95" s="9" t="str">
        <f aca="false">IF(BB95="","",(BT95+BU95)/2)</f>
        <v/>
      </c>
      <c r="BW95" s="9" t="str">
        <f aca="false">IF(OR(T95="",P95="",BV95="",T95&lt;=0,BV95&lt;=0),"",(1/Inputs!$B$9)*((T95^2/8)*((2*ACOS(1-2*BV95/T95))-SIN((2*ACOS(1-2*BV95/T95)))))*((((T95^2/8)*((2*ACOS(1-2*BV95/T95))-SIN((2*ACOS(1-2*BV95/T95)))))/((T95/2)*((2*ACOS(1-2*BV95/T95)))))^(2/3))*SQRT(P95))</f>
        <v/>
      </c>
      <c r="BX95" s="9" t="str">
        <f aca="false">IF(BB95="","",IF(BW95&lt;BB95,BV95,BT95))</f>
        <v/>
      </c>
      <c r="BY95" s="9" t="str">
        <f aca="false">IF(BB95="","",IF(BW95&lt;BB95,BU95,BV95))</f>
        <v/>
      </c>
      <c r="BZ95" s="9" t="str">
        <f aca="false">IF(BB95="","",(BX95+BY95)/2)</f>
        <v/>
      </c>
      <c r="CA95" s="9" t="str">
        <f aca="false">IF(OR(T95="",P95="",BZ95="",T95&lt;=0,BZ95&lt;=0),"",(1/Inputs!$B$9)*((T95^2/8)*((2*ACOS(1-2*BZ95/T95))-SIN((2*ACOS(1-2*BZ95/T95)))))*((((T95^2/8)*((2*ACOS(1-2*BZ95/T95))-SIN((2*ACOS(1-2*BZ95/T95)))))/((T95/2)*((2*ACOS(1-2*BZ95/T95)))))^(2/3))*SQRT(P95))</f>
        <v/>
      </c>
      <c r="CB95" s="9" t="str">
        <f aca="false">IF(BB95="","",IF(CA95&lt;BB95,BZ95,BX95))</f>
        <v/>
      </c>
      <c r="CC95" s="9" t="str">
        <f aca="false">IF(BB95="","",IF(CA95&lt;BB95,BY95,BZ95))</f>
        <v/>
      </c>
      <c r="CD95" s="9" t="str">
        <f aca="false">IF(BB95="","",(CB95+CC95)/2)</f>
        <v/>
      </c>
      <c r="CE95" s="9" t="str">
        <f aca="false">IF(OR(T95="",P95="",CD95="",T95&lt;=0,CD95&lt;=0),"",(1/Inputs!$B$9)*((T95^2/8)*((2*ACOS(1-2*CD95/T95))-SIN((2*ACOS(1-2*CD95/T95)))))*((((T95^2/8)*((2*ACOS(1-2*CD95/T95))-SIN((2*ACOS(1-2*CD95/T95)))))/((T95/2)*((2*ACOS(1-2*CD95/T95)))))^(2/3))*SQRT(P95))</f>
        <v/>
      </c>
      <c r="CF95" s="9" t="str">
        <f aca="false">IF(BB95="","",IF(CE95&lt;BB95,CD95,CB95))</f>
        <v/>
      </c>
      <c r="CG95" s="9" t="str">
        <f aca="false">IF(BB95="","",IF(CE95&lt;BB95,CC95,CD95))</f>
        <v/>
      </c>
      <c r="CH95" s="9" t="str">
        <f aca="false">IF(BB95="","",(CF95+CG95)/2)</f>
        <v/>
      </c>
    </row>
    <row r="96" customFormat="false" ht="15" hidden="false" customHeight="false" outlineLevel="0" collapsed="false">
      <c r="A96" s="9"/>
      <c r="B96" s="9"/>
      <c r="C96" s="9"/>
      <c r="D96" s="9"/>
      <c r="E96" s="14"/>
      <c r="F96" s="14"/>
      <c r="G96" s="14" t="n">
        <f aca="false">SUMIFS(CB_plan!$C:$C,CB_plan!$B:$B,$A96)</f>
        <v>0</v>
      </c>
      <c r="H96" s="14" t="n">
        <f aca="false">IF(F96="",G96,F96)</f>
        <v>0</v>
      </c>
      <c r="I96" s="9"/>
      <c r="J96" s="14"/>
      <c r="K96" s="14" t="str">
        <f aca="false">IF(A96="","",Inputs!$B$13/((IF(AV96="",Inputs!$B$18,AV96)+Inputs!$B$14)^Inputs!$B$15))</f>
        <v/>
      </c>
      <c r="L96" s="14" t="str">
        <f aca="false">IF(A96="","",0.000000278*IF(I96="",Inputs!$B$17,I96)*H96*K96)</f>
        <v/>
      </c>
      <c r="M96" s="14" t="str">
        <f aca="false">IF(A96="","",SUMIFS($N$4:$N$203,$D$4:$D$203,$A96))</f>
        <v/>
      </c>
      <c r="N96" s="14" t="str">
        <f aca="false">IF(A96="","",(L96+M96)*Inputs!$B$16)</f>
        <v/>
      </c>
      <c r="O96" s="14"/>
      <c r="P96" s="14" t="str">
        <f aca="false">IF(A96="","",IF(O96="",Inputs!$B$7,O96))</f>
        <v/>
      </c>
      <c r="Q96" s="9" t="str">
        <f aca="false">IF(A96="","",IF(N96/Inputs!$B$10&lt;=AG96,Inputs!$F$5,IF(N96/Inputs!$B$10&gt;AP96,"OVERSIZE",INDEX(Inputs!$F$5:$F$14,MATCH(N96/Inputs!$B$10,AG96:AP96,1)+1))))</f>
        <v/>
      </c>
      <c r="R96" s="9"/>
      <c r="S96" s="9" t="str">
        <f aca="false">IF(A96="","",IF(R96="",Q96,R96))</f>
        <v/>
      </c>
      <c r="T96" s="14" t="str">
        <f aca="false">IF(OR(S96="",S96="OVERSIZE"),"",S96/1000)</f>
        <v/>
      </c>
      <c r="U96" s="14" t="str">
        <f aca="false">IF(T96="","",(1/Inputs!$B$9)*(PI()*T96^2/4)*((T96/4)^(2/3))*SQRT(P96))</f>
        <v/>
      </c>
      <c r="V96" s="14" t="str">
        <f aca="false">IF(OR(U96="",N96=""),"",N96/(U96*Inputs!$B$10))</f>
        <v/>
      </c>
      <c r="W96" s="14" t="str">
        <f aca="false">IF(OR(T96="",N96=""),"",4*N96/(PI()*T96^2))</f>
        <v/>
      </c>
      <c r="X96" s="14"/>
      <c r="Y96" s="14" t="str">
        <f aca="false">IF(A96="","",IF(A96=Inputs!$B$6,Inputs!$B$22,IF(D96="","",IFERROR(INDEX($Z$4:$Z$203,MATCH(D96,$A$4:$A$203,0))+IF(X96="",Inputs!$B$20,X96),""))))</f>
        <v/>
      </c>
      <c r="Z96" s="14" t="str">
        <f aca="false">IF(OR(Y96="",P96="",E96=""),"",Y96+P96*E96)</f>
        <v/>
      </c>
      <c r="AA96" s="14" t="str">
        <f aca="false">IF(C96="","",IFERROR(INDEX(Noeuds_plan!$C$4:$C$200,MATCH(C96,Noeuds_plan!$A$4:$A$200,0)),""))</f>
        <v/>
      </c>
      <c r="AB96" s="14" t="str">
        <f aca="false">IF(B96="","",IFERROR(INDEX(Noeuds_plan!$C$4:$C$200,MATCH(B96,Noeuds_plan!$A$4:$A$200,0)),""))</f>
        <v/>
      </c>
      <c r="AC96" s="14" t="str">
        <f aca="false">IF(OR(AA96="",Y96=""),"",AA96-Y96)</f>
        <v/>
      </c>
      <c r="AD96" s="14" t="str">
        <f aca="false">IF(OR(AB96="",Z96=""),"",AB96-Z96)</f>
        <v/>
      </c>
      <c r="AE96" s="19" t="str">
        <f aca="false">IF(A96="","",IF(OR(V96&gt;1,AND(AY96&lt;&gt;"",AY96&lt;Inputs!$B$11),AND(AY96&lt;&gt;"",AY96&gt;Inputs!$B$12),AC96&lt;Inputs!$B$19,AD96&lt;Inputs!$B$19,P96&lt;Inputs!$B$7,P96&gt;Inputs!$B$8),"CHECK","OK"))</f>
        <v/>
      </c>
      <c r="AF96" s="9"/>
      <c r="AG96" s="9" t="str">
        <f aca="false">IF(A96="","",(1/Inputs!$B$9)*(PI()*(Inputs!$F$5/1000)^2/4)*((Inputs!$F$5/1000/4)^(2/3))*SQRT(P96))</f>
        <v/>
      </c>
      <c r="AH96" s="9" t="str">
        <f aca="false">IF(A96="","",(1/Inputs!$B$9)*(PI()*(Inputs!$F$6/1000)^2/4)*((Inputs!$F$6/1000/4)^(2/3))*SQRT(P96))</f>
        <v/>
      </c>
      <c r="AI96" s="9" t="str">
        <f aca="false">IF(A96="","",(1/Inputs!$B$9)*(PI()*(Inputs!$F$7/1000)^2/4)*((Inputs!$F$7/1000/4)^(2/3))*SQRT(P96))</f>
        <v/>
      </c>
      <c r="AJ96" s="9" t="str">
        <f aca="false">IF(A96="","",(1/Inputs!$B$9)*(PI()*(Inputs!$F$8/1000)^2/4)*((Inputs!$F$8/1000/4)^(2/3))*SQRT(P96))</f>
        <v/>
      </c>
      <c r="AK96" s="9" t="str">
        <f aca="false">IF(A96="","",(1/Inputs!$B$9)*(PI()*(Inputs!$F$9/1000)^2/4)*((Inputs!$F$9/1000/4)^(2/3))*SQRT(P96))</f>
        <v/>
      </c>
      <c r="AL96" s="9" t="str">
        <f aca="false">IF(A96="","",(1/Inputs!$B$9)*(PI()*(Inputs!$F$10/1000)^2/4)*((Inputs!$F$10/1000/4)^(2/3))*SQRT(P96))</f>
        <v/>
      </c>
      <c r="AM96" s="9" t="str">
        <f aca="false">IF(A96="","",(1/Inputs!$B$9)*(PI()*(Inputs!$F$11/1000)^2/4)*((Inputs!$F$11/1000/4)^(2/3))*SQRT(P96))</f>
        <v/>
      </c>
      <c r="AN96" s="9" t="str">
        <f aca="false">IF(A96="","",(1/Inputs!$B$9)*(PI()*(Inputs!$F$12/1000)^2/4)*((Inputs!$F$12/1000/4)^(2/3))*SQRT(P96))</f>
        <v/>
      </c>
      <c r="AO96" s="9" t="str">
        <f aca="false">IF(A96="","",(1/Inputs!$B$9)*(PI()*(Inputs!$F$13/1000)^2/4)*((Inputs!$F$13/1000/4)^(2/3))*SQRT(P96))</f>
        <v/>
      </c>
      <c r="AP96" s="9" t="str">
        <f aca="false">IF(A96="","",(1/Inputs!$B$9)*(PI()*(Inputs!$F$14/1000)^2/4)*((Inputs!$F$14/1000/4)^(2/3))*SQRT(P96))</f>
        <v/>
      </c>
      <c r="AQ96" s="9" t="str">
        <f aca="false">IF(A96="","",COUNTIF($D$4:$D$203,$A96))</f>
        <v/>
      </c>
      <c r="AR96" s="9" t="str">
        <f aca="false">IF(A96="","",IF(AQ96=0,"START","CONTINUOUS"))</f>
        <v/>
      </c>
      <c r="AS96" s="13" t="str">
        <f aca="false">IF(A96="","",IF(J96="",Inputs!$B$18,J96))</f>
        <v/>
      </c>
      <c r="AT96" s="13" t="str">
        <f aca="false">IF(A96="","",IFERROR(maxifs($AV$4:$AV$203,$D$4:$D$203,$A96),""))</f>
        <v/>
      </c>
      <c r="AU96" s="13" t="str">
        <f aca="false">IF(A96="","",IF(OR(E96="",Inputs!$B$23=""),"",E96/(Inputs!$B$23*60)))</f>
        <v/>
      </c>
      <c r="AV96" s="13" t="str">
        <f aca="false">IF(A96="","",IF(AQ96=0,AS96+AU96,IF(AT96="",AS96+AU96,AT96+AU96)))</f>
        <v/>
      </c>
      <c r="AW96" s="13" t="str">
        <f aca="false">IF(A96="","",W96)</f>
        <v/>
      </c>
      <c r="AX96" s="13" t="str">
        <f aca="false">IF(OR(T96="",P96=""),"",(1/Inputs!$B$9)*((T96/4)^(2/3))*SQRT(P96))</f>
        <v/>
      </c>
      <c r="AY96" s="13" t="str">
        <f aca="false">IF(A96="","",IF(AND(AW96="",AX96="",BA96=""),"",IF(OR(UPPER(TRIM(Inputs!$B$24))="MANNING",UPPER(TRIM(Inputs!$B$24))="M"),AX96,IF(OR(UPPER(TRIM(Inputs!$B$24))="PARTIAL",UPPER(TRIM(Inputs!$B$24))="P"),BA96,IF(OR(UPPER(TRIM(Inputs!$B$24))="MAX",UPPER(TRIM(Inputs!$B$24))="X"),MAX(IF(AW96="",0,AW96),IF(AX96="",0,AX96),IF(BA96="",0,BA96)),AW96)))))</f>
        <v/>
      </c>
      <c r="AZ96" s="13" t="str">
        <f aca="false">IF(BB96="","",CH96)</f>
        <v/>
      </c>
      <c r="BA96" s="13" t="str">
        <f aca="false">IF(OR(BB96="",AZ96="",T96="",T96&lt;=0,AZ96&lt;=0),"",BB96/((T96^2/8)*(2*ACOS(1-2*AZ96/T96)-SIN(2*ACOS(1-2*AZ96/T96)))))</f>
        <v/>
      </c>
      <c r="BB96" s="9" t="str">
        <f aca="false">IF(OR(N96="",BC96=""),"",MIN(N96,BC96))</f>
        <v/>
      </c>
      <c r="BC96" s="9" t="str">
        <f aca="false">IF(OR(N96="",T96="",P96=""),"",IF(OR(T96="",P96="",(0.94*T96)="",T96&lt;=0,(0.94*T96)&lt;=0),"",(1/Inputs!$B$9)*((T96^2/8)*((2*ACOS(1-2*(0.94*T96)/T96))-SIN((2*ACOS(1-2*(0.94*T96)/T96)))))*((((T96^2/8)*((2*ACOS(1-2*(0.94*T96)/T96))-SIN((2*ACOS(1-2*(0.94*T96)/T96)))))/((T96/2)*((2*ACOS(1-2*(0.94*T96)/T96)))))^(2/3))*SQRT(P96)))</f>
        <v/>
      </c>
      <c r="BD96" s="9" t="str">
        <f aca="false">IF(BB96="","",0.001*T96)</f>
        <v/>
      </c>
      <c r="BE96" s="9" t="str">
        <f aca="false">IF(BB96="","",0.94*T96)</f>
        <v/>
      </c>
      <c r="BF96" s="9" t="str">
        <f aca="false">IF(BB96="","",(BD96+BE96)/2)</f>
        <v/>
      </c>
      <c r="BG96" s="9" t="str">
        <f aca="false">IF(OR(T96="",P96="",BF96="",T96&lt;=0,BF96&lt;=0),"",(1/Inputs!$B$9)*((T96^2/8)*((2*ACOS(1-2*BF96/T96))-SIN((2*ACOS(1-2*BF96/T96)))))*((((T96^2/8)*((2*ACOS(1-2*BF96/T96))-SIN((2*ACOS(1-2*BF96/T96)))))/((T96/2)*((2*ACOS(1-2*BF96/T96)))))^(2/3))*SQRT(P96))</f>
        <v/>
      </c>
      <c r="BH96" s="9" t="str">
        <f aca="false">IF(BB96="","",IF(BG96&lt;BB96,BF96,BD96))</f>
        <v/>
      </c>
      <c r="BI96" s="9" t="str">
        <f aca="false">IF(BB96="","",IF(BG96&lt;BB96,BE96,BF96))</f>
        <v/>
      </c>
      <c r="BJ96" s="9" t="str">
        <f aca="false">IF(BB96="","",(BH96+BI96)/2)</f>
        <v/>
      </c>
      <c r="BK96" s="9" t="str">
        <f aca="false">IF(OR(T96="",P96="",BJ96="",T96&lt;=0,BJ96&lt;=0),"",(1/Inputs!$B$9)*((T96^2/8)*((2*ACOS(1-2*BJ96/T96))-SIN((2*ACOS(1-2*BJ96/T96)))))*((((T96^2/8)*((2*ACOS(1-2*BJ96/T96))-SIN((2*ACOS(1-2*BJ96/T96)))))/((T96/2)*((2*ACOS(1-2*BJ96/T96)))))^(2/3))*SQRT(P96))</f>
        <v/>
      </c>
      <c r="BL96" s="9" t="str">
        <f aca="false">IF(BB96="","",IF(BK96&lt;BB96,BJ96,BH96))</f>
        <v/>
      </c>
      <c r="BM96" s="9" t="str">
        <f aca="false">IF(BB96="","",IF(BK96&lt;BB96,BI96,BJ96))</f>
        <v/>
      </c>
      <c r="BN96" s="9" t="str">
        <f aca="false">IF(BB96="","",(BL96+BM96)/2)</f>
        <v/>
      </c>
      <c r="BO96" s="9" t="str">
        <f aca="false">IF(OR(T96="",P96="",BN96="",T96&lt;=0,BN96&lt;=0),"",(1/Inputs!$B$9)*((T96^2/8)*((2*ACOS(1-2*BN96/T96))-SIN((2*ACOS(1-2*BN96/T96)))))*((((T96^2/8)*((2*ACOS(1-2*BN96/T96))-SIN((2*ACOS(1-2*BN96/T96)))))/((T96/2)*((2*ACOS(1-2*BN96/T96)))))^(2/3))*SQRT(P96))</f>
        <v/>
      </c>
      <c r="BP96" s="9" t="str">
        <f aca="false">IF(BB96="","",IF(BO96&lt;BB96,BN96,BL96))</f>
        <v/>
      </c>
      <c r="BQ96" s="9" t="str">
        <f aca="false">IF(BB96="","",IF(BO96&lt;BB96,BM96,BN96))</f>
        <v/>
      </c>
      <c r="BR96" s="9" t="str">
        <f aca="false">IF(BB96="","",(BP96+BQ96)/2)</f>
        <v/>
      </c>
      <c r="BS96" s="9" t="str">
        <f aca="false">IF(OR(T96="",P96="",BR96="",T96&lt;=0,BR96&lt;=0),"",(1/Inputs!$B$9)*((T96^2/8)*((2*ACOS(1-2*BR96/T96))-SIN((2*ACOS(1-2*BR96/T96)))))*((((T96^2/8)*((2*ACOS(1-2*BR96/T96))-SIN((2*ACOS(1-2*BR96/T96)))))/((T96/2)*((2*ACOS(1-2*BR96/T96)))))^(2/3))*SQRT(P96))</f>
        <v/>
      </c>
      <c r="BT96" s="9" t="str">
        <f aca="false">IF(BB96="","",IF(BS96&lt;BB96,BR96,BP96))</f>
        <v/>
      </c>
      <c r="BU96" s="9" t="str">
        <f aca="false">IF(BB96="","",IF(BS96&lt;BB96,BQ96,BR96))</f>
        <v/>
      </c>
      <c r="BV96" s="9" t="str">
        <f aca="false">IF(BB96="","",(BT96+BU96)/2)</f>
        <v/>
      </c>
      <c r="BW96" s="9" t="str">
        <f aca="false">IF(OR(T96="",P96="",BV96="",T96&lt;=0,BV96&lt;=0),"",(1/Inputs!$B$9)*((T96^2/8)*((2*ACOS(1-2*BV96/T96))-SIN((2*ACOS(1-2*BV96/T96)))))*((((T96^2/8)*((2*ACOS(1-2*BV96/T96))-SIN((2*ACOS(1-2*BV96/T96)))))/((T96/2)*((2*ACOS(1-2*BV96/T96)))))^(2/3))*SQRT(P96))</f>
        <v/>
      </c>
      <c r="BX96" s="9" t="str">
        <f aca="false">IF(BB96="","",IF(BW96&lt;BB96,BV96,BT96))</f>
        <v/>
      </c>
      <c r="BY96" s="9" t="str">
        <f aca="false">IF(BB96="","",IF(BW96&lt;BB96,BU96,BV96))</f>
        <v/>
      </c>
      <c r="BZ96" s="9" t="str">
        <f aca="false">IF(BB96="","",(BX96+BY96)/2)</f>
        <v/>
      </c>
      <c r="CA96" s="9" t="str">
        <f aca="false">IF(OR(T96="",P96="",BZ96="",T96&lt;=0,BZ96&lt;=0),"",(1/Inputs!$B$9)*((T96^2/8)*((2*ACOS(1-2*BZ96/T96))-SIN((2*ACOS(1-2*BZ96/T96)))))*((((T96^2/8)*((2*ACOS(1-2*BZ96/T96))-SIN((2*ACOS(1-2*BZ96/T96)))))/((T96/2)*((2*ACOS(1-2*BZ96/T96)))))^(2/3))*SQRT(P96))</f>
        <v/>
      </c>
      <c r="CB96" s="9" t="str">
        <f aca="false">IF(BB96="","",IF(CA96&lt;BB96,BZ96,BX96))</f>
        <v/>
      </c>
      <c r="CC96" s="9" t="str">
        <f aca="false">IF(BB96="","",IF(CA96&lt;BB96,BY96,BZ96))</f>
        <v/>
      </c>
      <c r="CD96" s="9" t="str">
        <f aca="false">IF(BB96="","",(CB96+CC96)/2)</f>
        <v/>
      </c>
      <c r="CE96" s="9" t="str">
        <f aca="false">IF(OR(T96="",P96="",CD96="",T96&lt;=0,CD96&lt;=0),"",(1/Inputs!$B$9)*((T96^2/8)*((2*ACOS(1-2*CD96/T96))-SIN((2*ACOS(1-2*CD96/T96)))))*((((T96^2/8)*((2*ACOS(1-2*CD96/T96))-SIN((2*ACOS(1-2*CD96/T96)))))/((T96/2)*((2*ACOS(1-2*CD96/T96)))))^(2/3))*SQRT(P96))</f>
        <v/>
      </c>
      <c r="CF96" s="9" t="str">
        <f aca="false">IF(BB96="","",IF(CE96&lt;BB96,CD96,CB96))</f>
        <v/>
      </c>
      <c r="CG96" s="9" t="str">
        <f aca="false">IF(BB96="","",IF(CE96&lt;BB96,CC96,CD96))</f>
        <v/>
      </c>
      <c r="CH96" s="9" t="str">
        <f aca="false">IF(BB96="","",(CF96+CG96)/2)</f>
        <v/>
      </c>
    </row>
    <row r="97" customFormat="false" ht="15" hidden="false" customHeight="false" outlineLevel="0" collapsed="false">
      <c r="A97" s="9"/>
      <c r="B97" s="9"/>
      <c r="C97" s="9"/>
      <c r="D97" s="9"/>
      <c r="E97" s="14"/>
      <c r="F97" s="14"/>
      <c r="G97" s="14" t="n">
        <f aca="false">SUMIFS(CB_plan!$C:$C,CB_plan!$B:$B,$A97)</f>
        <v>0</v>
      </c>
      <c r="H97" s="14" t="n">
        <f aca="false">IF(F97="",G97,F97)</f>
        <v>0</v>
      </c>
      <c r="I97" s="9"/>
      <c r="J97" s="14"/>
      <c r="K97" s="14" t="str">
        <f aca="false">IF(A97="","",Inputs!$B$13/((IF(AV97="",Inputs!$B$18,AV97)+Inputs!$B$14)^Inputs!$B$15))</f>
        <v/>
      </c>
      <c r="L97" s="14" t="str">
        <f aca="false">IF(A97="","",0.000000278*IF(I97="",Inputs!$B$17,I97)*H97*K97)</f>
        <v/>
      </c>
      <c r="M97" s="14" t="str">
        <f aca="false">IF(A97="","",SUMIFS($N$4:$N$203,$D$4:$D$203,$A97))</f>
        <v/>
      </c>
      <c r="N97" s="14" t="str">
        <f aca="false">IF(A97="","",(L97+M97)*Inputs!$B$16)</f>
        <v/>
      </c>
      <c r="O97" s="14"/>
      <c r="P97" s="14" t="str">
        <f aca="false">IF(A97="","",IF(O97="",Inputs!$B$7,O97))</f>
        <v/>
      </c>
      <c r="Q97" s="9" t="str">
        <f aca="false">IF(A97="","",IF(N97/Inputs!$B$10&lt;=AG97,Inputs!$F$5,IF(N97/Inputs!$B$10&gt;AP97,"OVERSIZE",INDEX(Inputs!$F$5:$F$14,MATCH(N97/Inputs!$B$10,AG97:AP97,1)+1))))</f>
        <v/>
      </c>
      <c r="R97" s="9"/>
      <c r="S97" s="9" t="str">
        <f aca="false">IF(A97="","",IF(R97="",Q97,R97))</f>
        <v/>
      </c>
      <c r="T97" s="14" t="str">
        <f aca="false">IF(OR(S97="",S97="OVERSIZE"),"",S97/1000)</f>
        <v/>
      </c>
      <c r="U97" s="14" t="str">
        <f aca="false">IF(T97="","",(1/Inputs!$B$9)*(PI()*T97^2/4)*((T97/4)^(2/3))*SQRT(P97))</f>
        <v/>
      </c>
      <c r="V97" s="14" t="str">
        <f aca="false">IF(OR(U97="",N97=""),"",N97/(U97*Inputs!$B$10))</f>
        <v/>
      </c>
      <c r="W97" s="14" t="str">
        <f aca="false">IF(OR(T97="",N97=""),"",4*N97/(PI()*T97^2))</f>
        <v/>
      </c>
      <c r="X97" s="14"/>
      <c r="Y97" s="14" t="str">
        <f aca="false">IF(A97="","",IF(A97=Inputs!$B$6,Inputs!$B$22,IF(D97="","",IFERROR(INDEX($Z$4:$Z$203,MATCH(D97,$A$4:$A$203,0))+IF(X97="",Inputs!$B$20,X97),""))))</f>
        <v/>
      </c>
      <c r="Z97" s="14" t="str">
        <f aca="false">IF(OR(Y97="",P97="",E97=""),"",Y97+P97*E97)</f>
        <v/>
      </c>
      <c r="AA97" s="14" t="str">
        <f aca="false">IF(C97="","",IFERROR(INDEX(Noeuds_plan!$C$4:$C$200,MATCH(C97,Noeuds_plan!$A$4:$A$200,0)),""))</f>
        <v/>
      </c>
      <c r="AB97" s="14" t="str">
        <f aca="false">IF(B97="","",IFERROR(INDEX(Noeuds_plan!$C$4:$C$200,MATCH(B97,Noeuds_plan!$A$4:$A$200,0)),""))</f>
        <v/>
      </c>
      <c r="AC97" s="14" t="str">
        <f aca="false">IF(OR(AA97="",Y97=""),"",AA97-Y97)</f>
        <v/>
      </c>
      <c r="AD97" s="14" t="str">
        <f aca="false">IF(OR(AB97="",Z97=""),"",AB97-Z97)</f>
        <v/>
      </c>
      <c r="AE97" s="19" t="str">
        <f aca="false">IF(A97="","",IF(OR(V97&gt;1,AND(AY97&lt;&gt;"",AY97&lt;Inputs!$B$11),AND(AY97&lt;&gt;"",AY97&gt;Inputs!$B$12),AC97&lt;Inputs!$B$19,AD97&lt;Inputs!$B$19,P97&lt;Inputs!$B$7,P97&gt;Inputs!$B$8),"CHECK","OK"))</f>
        <v/>
      </c>
      <c r="AF97" s="9"/>
      <c r="AG97" s="9" t="str">
        <f aca="false">IF(A97="","",(1/Inputs!$B$9)*(PI()*(Inputs!$F$5/1000)^2/4)*((Inputs!$F$5/1000/4)^(2/3))*SQRT(P97))</f>
        <v/>
      </c>
      <c r="AH97" s="9" t="str">
        <f aca="false">IF(A97="","",(1/Inputs!$B$9)*(PI()*(Inputs!$F$6/1000)^2/4)*((Inputs!$F$6/1000/4)^(2/3))*SQRT(P97))</f>
        <v/>
      </c>
      <c r="AI97" s="9" t="str">
        <f aca="false">IF(A97="","",(1/Inputs!$B$9)*(PI()*(Inputs!$F$7/1000)^2/4)*((Inputs!$F$7/1000/4)^(2/3))*SQRT(P97))</f>
        <v/>
      </c>
      <c r="AJ97" s="9" t="str">
        <f aca="false">IF(A97="","",(1/Inputs!$B$9)*(PI()*(Inputs!$F$8/1000)^2/4)*((Inputs!$F$8/1000/4)^(2/3))*SQRT(P97))</f>
        <v/>
      </c>
      <c r="AK97" s="9" t="str">
        <f aca="false">IF(A97="","",(1/Inputs!$B$9)*(PI()*(Inputs!$F$9/1000)^2/4)*((Inputs!$F$9/1000/4)^(2/3))*SQRT(P97))</f>
        <v/>
      </c>
      <c r="AL97" s="9" t="str">
        <f aca="false">IF(A97="","",(1/Inputs!$B$9)*(PI()*(Inputs!$F$10/1000)^2/4)*((Inputs!$F$10/1000/4)^(2/3))*SQRT(P97))</f>
        <v/>
      </c>
      <c r="AM97" s="9" t="str">
        <f aca="false">IF(A97="","",(1/Inputs!$B$9)*(PI()*(Inputs!$F$11/1000)^2/4)*((Inputs!$F$11/1000/4)^(2/3))*SQRT(P97))</f>
        <v/>
      </c>
      <c r="AN97" s="9" t="str">
        <f aca="false">IF(A97="","",(1/Inputs!$B$9)*(PI()*(Inputs!$F$12/1000)^2/4)*((Inputs!$F$12/1000/4)^(2/3))*SQRT(P97))</f>
        <v/>
      </c>
      <c r="AO97" s="9" t="str">
        <f aca="false">IF(A97="","",(1/Inputs!$B$9)*(PI()*(Inputs!$F$13/1000)^2/4)*((Inputs!$F$13/1000/4)^(2/3))*SQRT(P97))</f>
        <v/>
      </c>
      <c r="AP97" s="9" t="str">
        <f aca="false">IF(A97="","",(1/Inputs!$B$9)*(PI()*(Inputs!$F$14/1000)^2/4)*((Inputs!$F$14/1000/4)^(2/3))*SQRT(P97))</f>
        <v/>
      </c>
      <c r="AQ97" s="9" t="str">
        <f aca="false">IF(A97="","",COUNTIF($D$4:$D$203,$A97))</f>
        <v/>
      </c>
      <c r="AR97" s="9" t="str">
        <f aca="false">IF(A97="","",IF(AQ97=0,"START","CONTINUOUS"))</f>
        <v/>
      </c>
      <c r="AS97" s="13" t="str">
        <f aca="false">IF(A97="","",IF(J97="",Inputs!$B$18,J97))</f>
        <v/>
      </c>
      <c r="AT97" s="13" t="str">
        <f aca="false">IF(A97="","",IFERROR(maxifs($AV$4:$AV$203,$D$4:$D$203,$A97),""))</f>
        <v/>
      </c>
      <c r="AU97" s="13" t="str">
        <f aca="false">IF(A97="","",IF(OR(E97="",Inputs!$B$23=""),"",E97/(Inputs!$B$23*60)))</f>
        <v/>
      </c>
      <c r="AV97" s="13" t="str">
        <f aca="false">IF(A97="","",IF(AQ97=0,AS97+AU97,IF(AT97="",AS97+AU97,AT97+AU97)))</f>
        <v/>
      </c>
      <c r="AW97" s="13" t="str">
        <f aca="false">IF(A97="","",W97)</f>
        <v/>
      </c>
      <c r="AX97" s="13" t="str">
        <f aca="false">IF(OR(T97="",P97=""),"",(1/Inputs!$B$9)*((T97/4)^(2/3))*SQRT(P97))</f>
        <v/>
      </c>
      <c r="AY97" s="13" t="str">
        <f aca="false">IF(A97="","",IF(AND(AW97="",AX97="",BA97=""),"",IF(OR(UPPER(TRIM(Inputs!$B$24))="MANNING",UPPER(TRIM(Inputs!$B$24))="M"),AX97,IF(OR(UPPER(TRIM(Inputs!$B$24))="PARTIAL",UPPER(TRIM(Inputs!$B$24))="P"),BA97,IF(OR(UPPER(TRIM(Inputs!$B$24))="MAX",UPPER(TRIM(Inputs!$B$24))="X"),MAX(IF(AW97="",0,AW97),IF(AX97="",0,AX97),IF(BA97="",0,BA97)),AW97)))))</f>
        <v/>
      </c>
      <c r="AZ97" s="13" t="str">
        <f aca="false">IF(BB97="","",CH97)</f>
        <v/>
      </c>
      <c r="BA97" s="13" t="str">
        <f aca="false">IF(OR(BB97="",AZ97="",T97="",T97&lt;=0,AZ97&lt;=0),"",BB97/((T97^2/8)*(2*ACOS(1-2*AZ97/T97)-SIN(2*ACOS(1-2*AZ97/T97)))))</f>
        <v/>
      </c>
      <c r="BB97" s="9" t="str">
        <f aca="false">IF(OR(N97="",BC97=""),"",MIN(N97,BC97))</f>
        <v/>
      </c>
      <c r="BC97" s="9" t="str">
        <f aca="false">IF(OR(N97="",T97="",P97=""),"",IF(OR(T97="",P97="",(0.94*T97)="",T97&lt;=0,(0.94*T97)&lt;=0),"",(1/Inputs!$B$9)*((T97^2/8)*((2*ACOS(1-2*(0.94*T97)/T97))-SIN((2*ACOS(1-2*(0.94*T97)/T97)))))*((((T97^2/8)*((2*ACOS(1-2*(0.94*T97)/T97))-SIN((2*ACOS(1-2*(0.94*T97)/T97)))))/((T97/2)*((2*ACOS(1-2*(0.94*T97)/T97)))))^(2/3))*SQRT(P97)))</f>
        <v/>
      </c>
      <c r="BD97" s="9" t="str">
        <f aca="false">IF(BB97="","",0.001*T97)</f>
        <v/>
      </c>
      <c r="BE97" s="9" t="str">
        <f aca="false">IF(BB97="","",0.94*T97)</f>
        <v/>
      </c>
      <c r="BF97" s="9" t="str">
        <f aca="false">IF(BB97="","",(BD97+BE97)/2)</f>
        <v/>
      </c>
      <c r="BG97" s="9" t="str">
        <f aca="false">IF(OR(T97="",P97="",BF97="",T97&lt;=0,BF97&lt;=0),"",(1/Inputs!$B$9)*((T97^2/8)*((2*ACOS(1-2*BF97/T97))-SIN((2*ACOS(1-2*BF97/T97)))))*((((T97^2/8)*((2*ACOS(1-2*BF97/T97))-SIN((2*ACOS(1-2*BF97/T97)))))/((T97/2)*((2*ACOS(1-2*BF97/T97)))))^(2/3))*SQRT(P97))</f>
        <v/>
      </c>
      <c r="BH97" s="9" t="str">
        <f aca="false">IF(BB97="","",IF(BG97&lt;BB97,BF97,BD97))</f>
        <v/>
      </c>
      <c r="BI97" s="9" t="str">
        <f aca="false">IF(BB97="","",IF(BG97&lt;BB97,BE97,BF97))</f>
        <v/>
      </c>
      <c r="BJ97" s="9" t="str">
        <f aca="false">IF(BB97="","",(BH97+BI97)/2)</f>
        <v/>
      </c>
      <c r="BK97" s="9" t="str">
        <f aca="false">IF(OR(T97="",P97="",BJ97="",T97&lt;=0,BJ97&lt;=0),"",(1/Inputs!$B$9)*((T97^2/8)*((2*ACOS(1-2*BJ97/T97))-SIN((2*ACOS(1-2*BJ97/T97)))))*((((T97^2/8)*((2*ACOS(1-2*BJ97/T97))-SIN((2*ACOS(1-2*BJ97/T97)))))/((T97/2)*((2*ACOS(1-2*BJ97/T97)))))^(2/3))*SQRT(P97))</f>
        <v/>
      </c>
      <c r="BL97" s="9" t="str">
        <f aca="false">IF(BB97="","",IF(BK97&lt;BB97,BJ97,BH97))</f>
        <v/>
      </c>
      <c r="BM97" s="9" t="str">
        <f aca="false">IF(BB97="","",IF(BK97&lt;BB97,BI97,BJ97))</f>
        <v/>
      </c>
      <c r="BN97" s="9" t="str">
        <f aca="false">IF(BB97="","",(BL97+BM97)/2)</f>
        <v/>
      </c>
      <c r="BO97" s="9" t="str">
        <f aca="false">IF(OR(T97="",P97="",BN97="",T97&lt;=0,BN97&lt;=0),"",(1/Inputs!$B$9)*((T97^2/8)*((2*ACOS(1-2*BN97/T97))-SIN((2*ACOS(1-2*BN97/T97)))))*((((T97^2/8)*((2*ACOS(1-2*BN97/T97))-SIN((2*ACOS(1-2*BN97/T97)))))/((T97/2)*((2*ACOS(1-2*BN97/T97)))))^(2/3))*SQRT(P97))</f>
        <v/>
      </c>
      <c r="BP97" s="9" t="str">
        <f aca="false">IF(BB97="","",IF(BO97&lt;BB97,BN97,BL97))</f>
        <v/>
      </c>
      <c r="BQ97" s="9" t="str">
        <f aca="false">IF(BB97="","",IF(BO97&lt;BB97,BM97,BN97))</f>
        <v/>
      </c>
      <c r="BR97" s="9" t="str">
        <f aca="false">IF(BB97="","",(BP97+BQ97)/2)</f>
        <v/>
      </c>
      <c r="BS97" s="9" t="str">
        <f aca="false">IF(OR(T97="",P97="",BR97="",T97&lt;=0,BR97&lt;=0),"",(1/Inputs!$B$9)*((T97^2/8)*((2*ACOS(1-2*BR97/T97))-SIN((2*ACOS(1-2*BR97/T97)))))*((((T97^2/8)*((2*ACOS(1-2*BR97/T97))-SIN((2*ACOS(1-2*BR97/T97)))))/((T97/2)*((2*ACOS(1-2*BR97/T97)))))^(2/3))*SQRT(P97))</f>
        <v/>
      </c>
      <c r="BT97" s="9" t="str">
        <f aca="false">IF(BB97="","",IF(BS97&lt;BB97,BR97,BP97))</f>
        <v/>
      </c>
      <c r="BU97" s="9" t="str">
        <f aca="false">IF(BB97="","",IF(BS97&lt;BB97,BQ97,BR97))</f>
        <v/>
      </c>
      <c r="BV97" s="9" t="str">
        <f aca="false">IF(BB97="","",(BT97+BU97)/2)</f>
        <v/>
      </c>
      <c r="BW97" s="9" t="str">
        <f aca="false">IF(OR(T97="",P97="",BV97="",T97&lt;=0,BV97&lt;=0),"",(1/Inputs!$B$9)*((T97^2/8)*((2*ACOS(1-2*BV97/T97))-SIN((2*ACOS(1-2*BV97/T97)))))*((((T97^2/8)*((2*ACOS(1-2*BV97/T97))-SIN((2*ACOS(1-2*BV97/T97)))))/((T97/2)*((2*ACOS(1-2*BV97/T97)))))^(2/3))*SQRT(P97))</f>
        <v/>
      </c>
      <c r="BX97" s="9" t="str">
        <f aca="false">IF(BB97="","",IF(BW97&lt;BB97,BV97,BT97))</f>
        <v/>
      </c>
      <c r="BY97" s="9" t="str">
        <f aca="false">IF(BB97="","",IF(BW97&lt;BB97,BU97,BV97))</f>
        <v/>
      </c>
      <c r="BZ97" s="9" t="str">
        <f aca="false">IF(BB97="","",(BX97+BY97)/2)</f>
        <v/>
      </c>
      <c r="CA97" s="9" t="str">
        <f aca="false">IF(OR(T97="",P97="",BZ97="",T97&lt;=0,BZ97&lt;=0),"",(1/Inputs!$B$9)*((T97^2/8)*((2*ACOS(1-2*BZ97/T97))-SIN((2*ACOS(1-2*BZ97/T97)))))*((((T97^2/8)*((2*ACOS(1-2*BZ97/T97))-SIN((2*ACOS(1-2*BZ97/T97)))))/((T97/2)*((2*ACOS(1-2*BZ97/T97)))))^(2/3))*SQRT(P97))</f>
        <v/>
      </c>
      <c r="CB97" s="9" t="str">
        <f aca="false">IF(BB97="","",IF(CA97&lt;BB97,BZ97,BX97))</f>
        <v/>
      </c>
      <c r="CC97" s="9" t="str">
        <f aca="false">IF(BB97="","",IF(CA97&lt;BB97,BY97,BZ97))</f>
        <v/>
      </c>
      <c r="CD97" s="9" t="str">
        <f aca="false">IF(BB97="","",(CB97+CC97)/2)</f>
        <v/>
      </c>
      <c r="CE97" s="9" t="str">
        <f aca="false">IF(OR(T97="",P97="",CD97="",T97&lt;=0,CD97&lt;=0),"",(1/Inputs!$B$9)*((T97^2/8)*((2*ACOS(1-2*CD97/T97))-SIN((2*ACOS(1-2*CD97/T97)))))*((((T97^2/8)*((2*ACOS(1-2*CD97/T97))-SIN((2*ACOS(1-2*CD97/T97)))))/((T97/2)*((2*ACOS(1-2*CD97/T97)))))^(2/3))*SQRT(P97))</f>
        <v/>
      </c>
      <c r="CF97" s="9" t="str">
        <f aca="false">IF(BB97="","",IF(CE97&lt;BB97,CD97,CB97))</f>
        <v/>
      </c>
      <c r="CG97" s="9" t="str">
        <f aca="false">IF(BB97="","",IF(CE97&lt;BB97,CC97,CD97))</f>
        <v/>
      </c>
      <c r="CH97" s="9" t="str">
        <f aca="false">IF(BB97="","",(CF97+CG97)/2)</f>
        <v/>
      </c>
    </row>
    <row r="98" customFormat="false" ht="15" hidden="false" customHeight="false" outlineLevel="0" collapsed="false">
      <c r="A98" s="9"/>
      <c r="B98" s="9"/>
      <c r="C98" s="9"/>
      <c r="D98" s="9"/>
      <c r="E98" s="14"/>
      <c r="F98" s="14"/>
      <c r="G98" s="14" t="n">
        <f aca="false">SUMIFS(CB_plan!$C:$C,CB_plan!$B:$B,$A98)</f>
        <v>0</v>
      </c>
      <c r="H98" s="14" t="n">
        <f aca="false">IF(F98="",G98,F98)</f>
        <v>0</v>
      </c>
      <c r="I98" s="9"/>
      <c r="J98" s="14"/>
      <c r="K98" s="14" t="str">
        <f aca="false">IF(A98="","",Inputs!$B$13/((IF(AV98="",Inputs!$B$18,AV98)+Inputs!$B$14)^Inputs!$B$15))</f>
        <v/>
      </c>
      <c r="L98" s="14" t="str">
        <f aca="false">IF(A98="","",0.000000278*IF(I98="",Inputs!$B$17,I98)*H98*K98)</f>
        <v/>
      </c>
      <c r="M98" s="14" t="str">
        <f aca="false">IF(A98="","",SUMIFS($N$4:$N$203,$D$4:$D$203,$A98))</f>
        <v/>
      </c>
      <c r="N98" s="14" t="str">
        <f aca="false">IF(A98="","",(L98+M98)*Inputs!$B$16)</f>
        <v/>
      </c>
      <c r="O98" s="14"/>
      <c r="P98" s="14" t="str">
        <f aca="false">IF(A98="","",IF(O98="",Inputs!$B$7,O98))</f>
        <v/>
      </c>
      <c r="Q98" s="9" t="str">
        <f aca="false">IF(A98="","",IF(N98/Inputs!$B$10&lt;=AG98,Inputs!$F$5,IF(N98/Inputs!$B$10&gt;AP98,"OVERSIZE",INDEX(Inputs!$F$5:$F$14,MATCH(N98/Inputs!$B$10,AG98:AP98,1)+1))))</f>
        <v/>
      </c>
      <c r="R98" s="9"/>
      <c r="S98" s="9" t="str">
        <f aca="false">IF(A98="","",IF(R98="",Q98,R98))</f>
        <v/>
      </c>
      <c r="T98" s="14" t="str">
        <f aca="false">IF(OR(S98="",S98="OVERSIZE"),"",S98/1000)</f>
        <v/>
      </c>
      <c r="U98" s="14" t="str">
        <f aca="false">IF(T98="","",(1/Inputs!$B$9)*(PI()*T98^2/4)*((T98/4)^(2/3))*SQRT(P98))</f>
        <v/>
      </c>
      <c r="V98" s="14" t="str">
        <f aca="false">IF(OR(U98="",N98=""),"",N98/(U98*Inputs!$B$10))</f>
        <v/>
      </c>
      <c r="W98" s="14" t="str">
        <f aca="false">IF(OR(T98="",N98=""),"",4*N98/(PI()*T98^2))</f>
        <v/>
      </c>
      <c r="X98" s="14"/>
      <c r="Y98" s="14" t="str">
        <f aca="false">IF(A98="","",IF(A98=Inputs!$B$6,Inputs!$B$22,IF(D98="","",IFERROR(INDEX($Z$4:$Z$203,MATCH(D98,$A$4:$A$203,0))+IF(X98="",Inputs!$B$20,X98),""))))</f>
        <v/>
      </c>
      <c r="Z98" s="14" t="str">
        <f aca="false">IF(OR(Y98="",P98="",E98=""),"",Y98+P98*E98)</f>
        <v/>
      </c>
      <c r="AA98" s="14" t="str">
        <f aca="false">IF(C98="","",IFERROR(INDEX(Noeuds_plan!$C$4:$C$200,MATCH(C98,Noeuds_plan!$A$4:$A$200,0)),""))</f>
        <v/>
      </c>
      <c r="AB98" s="14" t="str">
        <f aca="false">IF(B98="","",IFERROR(INDEX(Noeuds_plan!$C$4:$C$200,MATCH(B98,Noeuds_plan!$A$4:$A$200,0)),""))</f>
        <v/>
      </c>
      <c r="AC98" s="14" t="str">
        <f aca="false">IF(OR(AA98="",Y98=""),"",AA98-Y98)</f>
        <v/>
      </c>
      <c r="AD98" s="14" t="str">
        <f aca="false">IF(OR(AB98="",Z98=""),"",AB98-Z98)</f>
        <v/>
      </c>
      <c r="AE98" s="19" t="str">
        <f aca="false">IF(A98="","",IF(OR(V98&gt;1,AND(AY98&lt;&gt;"",AY98&lt;Inputs!$B$11),AND(AY98&lt;&gt;"",AY98&gt;Inputs!$B$12),AC98&lt;Inputs!$B$19,AD98&lt;Inputs!$B$19,P98&lt;Inputs!$B$7,P98&gt;Inputs!$B$8),"CHECK","OK"))</f>
        <v/>
      </c>
      <c r="AF98" s="9"/>
      <c r="AG98" s="9" t="str">
        <f aca="false">IF(A98="","",(1/Inputs!$B$9)*(PI()*(Inputs!$F$5/1000)^2/4)*((Inputs!$F$5/1000/4)^(2/3))*SQRT(P98))</f>
        <v/>
      </c>
      <c r="AH98" s="9" t="str">
        <f aca="false">IF(A98="","",(1/Inputs!$B$9)*(PI()*(Inputs!$F$6/1000)^2/4)*((Inputs!$F$6/1000/4)^(2/3))*SQRT(P98))</f>
        <v/>
      </c>
      <c r="AI98" s="9" t="str">
        <f aca="false">IF(A98="","",(1/Inputs!$B$9)*(PI()*(Inputs!$F$7/1000)^2/4)*((Inputs!$F$7/1000/4)^(2/3))*SQRT(P98))</f>
        <v/>
      </c>
      <c r="AJ98" s="9" t="str">
        <f aca="false">IF(A98="","",(1/Inputs!$B$9)*(PI()*(Inputs!$F$8/1000)^2/4)*((Inputs!$F$8/1000/4)^(2/3))*SQRT(P98))</f>
        <v/>
      </c>
      <c r="AK98" s="9" t="str">
        <f aca="false">IF(A98="","",(1/Inputs!$B$9)*(PI()*(Inputs!$F$9/1000)^2/4)*((Inputs!$F$9/1000/4)^(2/3))*SQRT(P98))</f>
        <v/>
      </c>
      <c r="AL98" s="9" t="str">
        <f aca="false">IF(A98="","",(1/Inputs!$B$9)*(PI()*(Inputs!$F$10/1000)^2/4)*((Inputs!$F$10/1000/4)^(2/3))*SQRT(P98))</f>
        <v/>
      </c>
      <c r="AM98" s="9" t="str">
        <f aca="false">IF(A98="","",(1/Inputs!$B$9)*(PI()*(Inputs!$F$11/1000)^2/4)*((Inputs!$F$11/1000/4)^(2/3))*SQRT(P98))</f>
        <v/>
      </c>
      <c r="AN98" s="9" t="str">
        <f aca="false">IF(A98="","",(1/Inputs!$B$9)*(PI()*(Inputs!$F$12/1000)^2/4)*((Inputs!$F$12/1000/4)^(2/3))*SQRT(P98))</f>
        <v/>
      </c>
      <c r="AO98" s="9" t="str">
        <f aca="false">IF(A98="","",(1/Inputs!$B$9)*(PI()*(Inputs!$F$13/1000)^2/4)*((Inputs!$F$13/1000/4)^(2/3))*SQRT(P98))</f>
        <v/>
      </c>
      <c r="AP98" s="9" t="str">
        <f aca="false">IF(A98="","",(1/Inputs!$B$9)*(PI()*(Inputs!$F$14/1000)^2/4)*((Inputs!$F$14/1000/4)^(2/3))*SQRT(P98))</f>
        <v/>
      </c>
      <c r="AQ98" s="9" t="str">
        <f aca="false">IF(A98="","",COUNTIF($D$4:$D$203,$A98))</f>
        <v/>
      </c>
      <c r="AR98" s="9" t="str">
        <f aca="false">IF(A98="","",IF(AQ98=0,"START","CONTINUOUS"))</f>
        <v/>
      </c>
      <c r="AS98" s="13" t="str">
        <f aca="false">IF(A98="","",IF(J98="",Inputs!$B$18,J98))</f>
        <v/>
      </c>
      <c r="AT98" s="13" t="str">
        <f aca="false">IF(A98="","",IFERROR(maxifs($AV$4:$AV$203,$D$4:$D$203,$A98),""))</f>
        <v/>
      </c>
      <c r="AU98" s="13" t="str">
        <f aca="false">IF(A98="","",IF(OR(E98="",Inputs!$B$23=""),"",E98/(Inputs!$B$23*60)))</f>
        <v/>
      </c>
      <c r="AV98" s="13" t="str">
        <f aca="false">IF(A98="","",IF(AQ98=0,AS98+AU98,IF(AT98="",AS98+AU98,AT98+AU98)))</f>
        <v/>
      </c>
      <c r="AW98" s="13" t="str">
        <f aca="false">IF(A98="","",W98)</f>
        <v/>
      </c>
      <c r="AX98" s="13" t="str">
        <f aca="false">IF(OR(T98="",P98=""),"",(1/Inputs!$B$9)*((T98/4)^(2/3))*SQRT(P98))</f>
        <v/>
      </c>
      <c r="AY98" s="13" t="str">
        <f aca="false">IF(A98="","",IF(AND(AW98="",AX98="",BA98=""),"",IF(OR(UPPER(TRIM(Inputs!$B$24))="MANNING",UPPER(TRIM(Inputs!$B$24))="M"),AX98,IF(OR(UPPER(TRIM(Inputs!$B$24))="PARTIAL",UPPER(TRIM(Inputs!$B$24))="P"),BA98,IF(OR(UPPER(TRIM(Inputs!$B$24))="MAX",UPPER(TRIM(Inputs!$B$24))="X"),MAX(IF(AW98="",0,AW98),IF(AX98="",0,AX98),IF(BA98="",0,BA98)),AW98)))))</f>
        <v/>
      </c>
      <c r="AZ98" s="13" t="str">
        <f aca="false">IF(BB98="","",CH98)</f>
        <v/>
      </c>
      <c r="BA98" s="13" t="str">
        <f aca="false">IF(OR(BB98="",AZ98="",T98="",T98&lt;=0,AZ98&lt;=0),"",BB98/((T98^2/8)*(2*ACOS(1-2*AZ98/T98)-SIN(2*ACOS(1-2*AZ98/T98)))))</f>
        <v/>
      </c>
      <c r="BB98" s="9" t="str">
        <f aca="false">IF(OR(N98="",BC98=""),"",MIN(N98,BC98))</f>
        <v/>
      </c>
      <c r="BC98" s="9" t="str">
        <f aca="false">IF(OR(N98="",T98="",P98=""),"",IF(OR(T98="",P98="",(0.94*T98)="",T98&lt;=0,(0.94*T98)&lt;=0),"",(1/Inputs!$B$9)*((T98^2/8)*((2*ACOS(1-2*(0.94*T98)/T98))-SIN((2*ACOS(1-2*(0.94*T98)/T98)))))*((((T98^2/8)*((2*ACOS(1-2*(0.94*T98)/T98))-SIN((2*ACOS(1-2*(0.94*T98)/T98)))))/((T98/2)*((2*ACOS(1-2*(0.94*T98)/T98)))))^(2/3))*SQRT(P98)))</f>
        <v/>
      </c>
      <c r="BD98" s="9" t="str">
        <f aca="false">IF(BB98="","",0.001*T98)</f>
        <v/>
      </c>
      <c r="BE98" s="9" t="str">
        <f aca="false">IF(BB98="","",0.94*T98)</f>
        <v/>
      </c>
      <c r="BF98" s="9" t="str">
        <f aca="false">IF(BB98="","",(BD98+BE98)/2)</f>
        <v/>
      </c>
      <c r="BG98" s="9" t="str">
        <f aca="false">IF(OR(T98="",P98="",BF98="",T98&lt;=0,BF98&lt;=0),"",(1/Inputs!$B$9)*((T98^2/8)*((2*ACOS(1-2*BF98/T98))-SIN((2*ACOS(1-2*BF98/T98)))))*((((T98^2/8)*((2*ACOS(1-2*BF98/T98))-SIN((2*ACOS(1-2*BF98/T98)))))/((T98/2)*((2*ACOS(1-2*BF98/T98)))))^(2/3))*SQRT(P98))</f>
        <v/>
      </c>
      <c r="BH98" s="9" t="str">
        <f aca="false">IF(BB98="","",IF(BG98&lt;BB98,BF98,BD98))</f>
        <v/>
      </c>
      <c r="BI98" s="9" t="str">
        <f aca="false">IF(BB98="","",IF(BG98&lt;BB98,BE98,BF98))</f>
        <v/>
      </c>
      <c r="BJ98" s="9" t="str">
        <f aca="false">IF(BB98="","",(BH98+BI98)/2)</f>
        <v/>
      </c>
      <c r="BK98" s="9" t="str">
        <f aca="false">IF(OR(T98="",P98="",BJ98="",T98&lt;=0,BJ98&lt;=0),"",(1/Inputs!$B$9)*((T98^2/8)*((2*ACOS(1-2*BJ98/T98))-SIN((2*ACOS(1-2*BJ98/T98)))))*((((T98^2/8)*((2*ACOS(1-2*BJ98/T98))-SIN((2*ACOS(1-2*BJ98/T98)))))/((T98/2)*((2*ACOS(1-2*BJ98/T98)))))^(2/3))*SQRT(P98))</f>
        <v/>
      </c>
      <c r="BL98" s="9" t="str">
        <f aca="false">IF(BB98="","",IF(BK98&lt;BB98,BJ98,BH98))</f>
        <v/>
      </c>
      <c r="BM98" s="9" t="str">
        <f aca="false">IF(BB98="","",IF(BK98&lt;BB98,BI98,BJ98))</f>
        <v/>
      </c>
      <c r="BN98" s="9" t="str">
        <f aca="false">IF(BB98="","",(BL98+BM98)/2)</f>
        <v/>
      </c>
      <c r="BO98" s="9" t="str">
        <f aca="false">IF(OR(T98="",P98="",BN98="",T98&lt;=0,BN98&lt;=0),"",(1/Inputs!$B$9)*((T98^2/8)*((2*ACOS(1-2*BN98/T98))-SIN((2*ACOS(1-2*BN98/T98)))))*((((T98^2/8)*((2*ACOS(1-2*BN98/T98))-SIN((2*ACOS(1-2*BN98/T98)))))/((T98/2)*((2*ACOS(1-2*BN98/T98)))))^(2/3))*SQRT(P98))</f>
        <v/>
      </c>
      <c r="BP98" s="9" t="str">
        <f aca="false">IF(BB98="","",IF(BO98&lt;BB98,BN98,BL98))</f>
        <v/>
      </c>
      <c r="BQ98" s="9" t="str">
        <f aca="false">IF(BB98="","",IF(BO98&lt;BB98,BM98,BN98))</f>
        <v/>
      </c>
      <c r="BR98" s="9" t="str">
        <f aca="false">IF(BB98="","",(BP98+BQ98)/2)</f>
        <v/>
      </c>
      <c r="BS98" s="9" t="str">
        <f aca="false">IF(OR(T98="",P98="",BR98="",T98&lt;=0,BR98&lt;=0),"",(1/Inputs!$B$9)*((T98^2/8)*((2*ACOS(1-2*BR98/T98))-SIN((2*ACOS(1-2*BR98/T98)))))*((((T98^2/8)*((2*ACOS(1-2*BR98/T98))-SIN((2*ACOS(1-2*BR98/T98)))))/((T98/2)*((2*ACOS(1-2*BR98/T98)))))^(2/3))*SQRT(P98))</f>
        <v/>
      </c>
      <c r="BT98" s="9" t="str">
        <f aca="false">IF(BB98="","",IF(BS98&lt;BB98,BR98,BP98))</f>
        <v/>
      </c>
      <c r="BU98" s="9" t="str">
        <f aca="false">IF(BB98="","",IF(BS98&lt;BB98,BQ98,BR98))</f>
        <v/>
      </c>
      <c r="BV98" s="9" t="str">
        <f aca="false">IF(BB98="","",(BT98+BU98)/2)</f>
        <v/>
      </c>
      <c r="BW98" s="9" t="str">
        <f aca="false">IF(OR(T98="",P98="",BV98="",T98&lt;=0,BV98&lt;=0),"",(1/Inputs!$B$9)*((T98^2/8)*((2*ACOS(1-2*BV98/T98))-SIN((2*ACOS(1-2*BV98/T98)))))*((((T98^2/8)*((2*ACOS(1-2*BV98/T98))-SIN((2*ACOS(1-2*BV98/T98)))))/((T98/2)*((2*ACOS(1-2*BV98/T98)))))^(2/3))*SQRT(P98))</f>
        <v/>
      </c>
      <c r="BX98" s="9" t="str">
        <f aca="false">IF(BB98="","",IF(BW98&lt;BB98,BV98,BT98))</f>
        <v/>
      </c>
      <c r="BY98" s="9" t="str">
        <f aca="false">IF(BB98="","",IF(BW98&lt;BB98,BU98,BV98))</f>
        <v/>
      </c>
      <c r="BZ98" s="9" t="str">
        <f aca="false">IF(BB98="","",(BX98+BY98)/2)</f>
        <v/>
      </c>
      <c r="CA98" s="9" t="str">
        <f aca="false">IF(OR(T98="",P98="",BZ98="",T98&lt;=0,BZ98&lt;=0),"",(1/Inputs!$B$9)*((T98^2/8)*((2*ACOS(1-2*BZ98/T98))-SIN((2*ACOS(1-2*BZ98/T98)))))*((((T98^2/8)*((2*ACOS(1-2*BZ98/T98))-SIN((2*ACOS(1-2*BZ98/T98)))))/((T98/2)*((2*ACOS(1-2*BZ98/T98)))))^(2/3))*SQRT(P98))</f>
        <v/>
      </c>
      <c r="CB98" s="9" t="str">
        <f aca="false">IF(BB98="","",IF(CA98&lt;BB98,BZ98,BX98))</f>
        <v/>
      </c>
      <c r="CC98" s="9" t="str">
        <f aca="false">IF(BB98="","",IF(CA98&lt;BB98,BY98,BZ98))</f>
        <v/>
      </c>
      <c r="CD98" s="9" t="str">
        <f aca="false">IF(BB98="","",(CB98+CC98)/2)</f>
        <v/>
      </c>
      <c r="CE98" s="9" t="str">
        <f aca="false">IF(OR(T98="",P98="",CD98="",T98&lt;=0,CD98&lt;=0),"",(1/Inputs!$B$9)*((T98^2/8)*((2*ACOS(1-2*CD98/T98))-SIN((2*ACOS(1-2*CD98/T98)))))*((((T98^2/8)*((2*ACOS(1-2*CD98/T98))-SIN((2*ACOS(1-2*CD98/T98)))))/((T98/2)*((2*ACOS(1-2*CD98/T98)))))^(2/3))*SQRT(P98))</f>
        <v/>
      </c>
      <c r="CF98" s="9" t="str">
        <f aca="false">IF(BB98="","",IF(CE98&lt;BB98,CD98,CB98))</f>
        <v/>
      </c>
      <c r="CG98" s="9" t="str">
        <f aca="false">IF(BB98="","",IF(CE98&lt;BB98,CC98,CD98))</f>
        <v/>
      </c>
      <c r="CH98" s="9" t="str">
        <f aca="false">IF(BB98="","",(CF98+CG98)/2)</f>
        <v/>
      </c>
    </row>
    <row r="99" customFormat="false" ht="15" hidden="false" customHeight="false" outlineLevel="0" collapsed="false">
      <c r="A99" s="9"/>
      <c r="B99" s="9"/>
      <c r="C99" s="9"/>
      <c r="D99" s="9"/>
      <c r="E99" s="14"/>
      <c r="F99" s="14"/>
      <c r="G99" s="14" t="n">
        <f aca="false">SUMIFS(CB_plan!$C:$C,CB_plan!$B:$B,$A99)</f>
        <v>0</v>
      </c>
      <c r="H99" s="14" t="n">
        <f aca="false">IF(F99="",G99,F99)</f>
        <v>0</v>
      </c>
      <c r="I99" s="9"/>
      <c r="J99" s="14"/>
      <c r="K99" s="14" t="str">
        <f aca="false">IF(A99="","",Inputs!$B$13/((IF(AV99="",Inputs!$B$18,AV99)+Inputs!$B$14)^Inputs!$B$15))</f>
        <v/>
      </c>
      <c r="L99" s="14" t="str">
        <f aca="false">IF(A99="","",0.000000278*IF(I99="",Inputs!$B$17,I99)*H99*K99)</f>
        <v/>
      </c>
      <c r="M99" s="14" t="str">
        <f aca="false">IF(A99="","",SUMIFS($N$4:$N$203,$D$4:$D$203,$A99))</f>
        <v/>
      </c>
      <c r="N99" s="14" t="str">
        <f aca="false">IF(A99="","",(L99+M99)*Inputs!$B$16)</f>
        <v/>
      </c>
      <c r="O99" s="14"/>
      <c r="P99" s="14" t="str">
        <f aca="false">IF(A99="","",IF(O99="",Inputs!$B$7,O99))</f>
        <v/>
      </c>
      <c r="Q99" s="9" t="str">
        <f aca="false">IF(A99="","",IF(N99/Inputs!$B$10&lt;=AG99,Inputs!$F$5,IF(N99/Inputs!$B$10&gt;AP99,"OVERSIZE",INDEX(Inputs!$F$5:$F$14,MATCH(N99/Inputs!$B$10,AG99:AP99,1)+1))))</f>
        <v/>
      </c>
      <c r="R99" s="9"/>
      <c r="S99" s="9" t="str">
        <f aca="false">IF(A99="","",IF(R99="",Q99,R99))</f>
        <v/>
      </c>
      <c r="T99" s="14" t="str">
        <f aca="false">IF(OR(S99="",S99="OVERSIZE"),"",S99/1000)</f>
        <v/>
      </c>
      <c r="U99" s="14" t="str">
        <f aca="false">IF(T99="","",(1/Inputs!$B$9)*(PI()*T99^2/4)*((T99/4)^(2/3))*SQRT(P99))</f>
        <v/>
      </c>
      <c r="V99" s="14" t="str">
        <f aca="false">IF(OR(U99="",N99=""),"",N99/(U99*Inputs!$B$10))</f>
        <v/>
      </c>
      <c r="W99" s="14" t="str">
        <f aca="false">IF(OR(T99="",N99=""),"",4*N99/(PI()*T99^2))</f>
        <v/>
      </c>
      <c r="X99" s="14"/>
      <c r="Y99" s="14" t="str">
        <f aca="false">IF(A99="","",IF(A99=Inputs!$B$6,Inputs!$B$22,IF(D99="","",IFERROR(INDEX($Z$4:$Z$203,MATCH(D99,$A$4:$A$203,0))+IF(X99="",Inputs!$B$20,X99),""))))</f>
        <v/>
      </c>
      <c r="Z99" s="14" t="str">
        <f aca="false">IF(OR(Y99="",P99="",E99=""),"",Y99+P99*E99)</f>
        <v/>
      </c>
      <c r="AA99" s="14" t="str">
        <f aca="false">IF(C99="","",IFERROR(INDEX(Noeuds_plan!$C$4:$C$200,MATCH(C99,Noeuds_plan!$A$4:$A$200,0)),""))</f>
        <v/>
      </c>
      <c r="AB99" s="14" t="str">
        <f aca="false">IF(B99="","",IFERROR(INDEX(Noeuds_plan!$C$4:$C$200,MATCH(B99,Noeuds_plan!$A$4:$A$200,0)),""))</f>
        <v/>
      </c>
      <c r="AC99" s="14" t="str">
        <f aca="false">IF(OR(AA99="",Y99=""),"",AA99-Y99)</f>
        <v/>
      </c>
      <c r="AD99" s="14" t="str">
        <f aca="false">IF(OR(AB99="",Z99=""),"",AB99-Z99)</f>
        <v/>
      </c>
      <c r="AE99" s="19" t="str">
        <f aca="false">IF(A99="","",IF(OR(V99&gt;1,AND(AY99&lt;&gt;"",AY99&lt;Inputs!$B$11),AND(AY99&lt;&gt;"",AY99&gt;Inputs!$B$12),AC99&lt;Inputs!$B$19,AD99&lt;Inputs!$B$19,P99&lt;Inputs!$B$7,P99&gt;Inputs!$B$8),"CHECK","OK"))</f>
        <v/>
      </c>
      <c r="AF99" s="9"/>
      <c r="AG99" s="9" t="str">
        <f aca="false">IF(A99="","",(1/Inputs!$B$9)*(PI()*(Inputs!$F$5/1000)^2/4)*((Inputs!$F$5/1000/4)^(2/3))*SQRT(P99))</f>
        <v/>
      </c>
      <c r="AH99" s="9" t="str">
        <f aca="false">IF(A99="","",(1/Inputs!$B$9)*(PI()*(Inputs!$F$6/1000)^2/4)*((Inputs!$F$6/1000/4)^(2/3))*SQRT(P99))</f>
        <v/>
      </c>
      <c r="AI99" s="9" t="str">
        <f aca="false">IF(A99="","",(1/Inputs!$B$9)*(PI()*(Inputs!$F$7/1000)^2/4)*((Inputs!$F$7/1000/4)^(2/3))*SQRT(P99))</f>
        <v/>
      </c>
      <c r="AJ99" s="9" t="str">
        <f aca="false">IF(A99="","",(1/Inputs!$B$9)*(PI()*(Inputs!$F$8/1000)^2/4)*((Inputs!$F$8/1000/4)^(2/3))*SQRT(P99))</f>
        <v/>
      </c>
      <c r="AK99" s="9" t="str">
        <f aca="false">IF(A99="","",(1/Inputs!$B$9)*(PI()*(Inputs!$F$9/1000)^2/4)*((Inputs!$F$9/1000/4)^(2/3))*SQRT(P99))</f>
        <v/>
      </c>
      <c r="AL99" s="9" t="str">
        <f aca="false">IF(A99="","",(1/Inputs!$B$9)*(PI()*(Inputs!$F$10/1000)^2/4)*((Inputs!$F$10/1000/4)^(2/3))*SQRT(P99))</f>
        <v/>
      </c>
      <c r="AM99" s="9" t="str">
        <f aca="false">IF(A99="","",(1/Inputs!$B$9)*(PI()*(Inputs!$F$11/1000)^2/4)*((Inputs!$F$11/1000/4)^(2/3))*SQRT(P99))</f>
        <v/>
      </c>
      <c r="AN99" s="9" t="str">
        <f aca="false">IF(A99="","",(1/Inputs!$B$9)*(PI()*(Inputs!$F$12/1000)^2/4)*((Inputs!$F$12/1000/4)^(2/3))*SQRT(P99))</f>
        <v/>
      </c>
      <c r="AO99" s="9" t="str">
        <f aca="false">IF(A99="","",(1/Inputs!$B$9)*(PI()*(Inputs!$F$13/1000)^2/4)*((Inputs!$F$13/1000/4)^(2/3))*SQRT(P99))</f>
        <v/>
      </c>
      <c r="AP99" s="9" t="str">
        <f aca="false">IF(A99="","",(1/Inputs!$B$9)*(PI()*(Inputs!$F$14/1000)^2/4)*((Inputs!$F$14/1000/4)^(2/3))*SQRT(P99))</f>
        <v/>
      </c>
      <c r="AQ99" s="9" t="str">
        <f aca="false">IF(A99="","",COUNTIF($D$4:$D$203,$A99))</f>
        <v/>
      </c>
      <c r="AR99" s="9" t="str">
        <f aca="false">IF(A99="","",IF(AQ99=0,"START","CONTINUOUS"))</f>
        <v/>
      </c>
      <c r="AS99" s="13" t="str">
        <f aca="false">IF(A99="","",IF(J99="",Inputs!$B$18,J99))</f>
        <v/>
      </c>
      <c r="AT99" s="13" t="str">
        <f aca="false">IF(A99="","",IFERROR(maxifs($AV$4:$AV$203,$D$4:$D$203,$A99),""))</f>
        <v/>
      </c>
      <c r="AU99" s="13" t="str">
        <f aca="false">IF(A99="","",IF(OR(E99="",Inputs!$B$23=""),"",E99/(Inputs!$B$23*60)))</f>
        <v/>
      </c>
      <c r="AV99" s="13" t="str">
        <f aca="false">IF(A99="","",IF(AQ99=0,AS99+AU99,IF(AT99="",AS99+AU99,AT99+AU99)))</f>
        <v/>
      </c>
      <c r="AW99" s="13" t="str">
        <f aca="false">IF(A99="","",W99)</f>
        <v/>
      </c>
      <c r="AX99" s="13" t="str">
        <f aca="false">IF(OR(T99="",P99=""),"",(1/Inputs!$B$9)*((T99/4)^(2/3))*SQRT(P99))</f>
        <v/>
      </c>
      <c r="AY99" s="13" t="str">
        <f aca="false">IF(A99="","",IF(AND(AW99="",AX99="",BA99=""),"",IF(OR(UPPER(TRIM(Inputs!$B$24))="MANNING",UPPER(TRIM(Inputs!$B$24))="M"),AX99,IF(OR(UPPER(TRIM(Inputs!$B$24))="PARTIAL",UPPER(TRIM(Inputs!$B$24))="P"),BA99,IF(OR(UPPER(TRIM(Inputs!$B$24))="MAX",UPPER(TRIM(Inputs!$B$24))="X"),MAX(IF(AW99="",0,AW99),IF(AX99="",0,AX99),IF(BA99="",0,BA99)),AW99)))))</f>
        <v/>
      </c>
      <c r="AZ99" s="13" t="str">
        <f aca="false">IF(BB99="","",CH99)</f>
        <v/>
      </c>
      <c r="BA99" s="13" t="str">
        <f aca="false">IF(OR(BB99="",AZ99="",T99="",T99&lt;=0,AZ99&lt;=0),"",BB99/((T99^2/8)*(2*ACOS(1-2*AZ99/T99)-SIN(2*ACOS(1-2*AZ99/T99)))))</f>
        <v/>
      </c>
      <c r="BB99" s="9" t="str">
        <f aca="false">IF(OR(N99="",BC99=""),"",MIN(N99,BC99))</f>
        <v/>
      </c>
      <c r="BC99" s="9" t="str">
        <f aca="false">IF(OR(N99="",T99="",P99=""),"",IF(OR(T99="",P99="",(0.94*T99)="",T99&lt;=0,(0.94*T99)&lt;=0),"",(1/Inputs!$B$9)*((T99^2/8)*((2*ACOS(1-2*(0.94*T99)/T99))-SIN((2*ACOS(1-2*(0.94*T99)/T99)))))*((((T99^2/8)*((2*ACOS(1-2*(0.94*T99)/T99))-SIN((2*ACOS(1-2*(0.94*T99)/T99)))))/((T99/2)*((2*ACOS(1-2*(0.94*T99)/T99)))))^(2/3))*SQRT(P99)))</f>
        <v/>
      </c>
      <c r="BD99" s="9" t="str">
        <f aca="false">IF(BB99="","",0.001*T99)</f>
        <v/>
      </c>
      <c r="BE99" s="9" t="str">
        <f aca="false">IF(BB99="","",0.94*T99)</f>
        <v/>
      </c>
      <c r="BF99" s="9" t="str">
        <f aca="false">IF(BB99="","",(BD99+BE99)/2)</f>
        <v/>
      </c>
      <c r="BG99" s="9" t="str">
        <f aca="false">IF(OR(T99="",P99="",BF99="",T99&lt;=0,BF99&lt;=0),"",(1/Inputs!$B$9)*((T99^2/8)*((2*ACOS(1-2*BF99/T99))-SIN((2*ACOS(1-2*BF99/T99)))))*((((T99^2/8)*((2*ACOS(1-2*BF99/T99))-SIN((2*ACOS(1-2*BF99/T99)))))/((T99/2)*((2*ACOS(1-2*BF99/T99)))))^(2/3))*SQRT(P99))</f>
        <v/>
      </c>
      <c r="BH99" s="9" t="str">
        <f aca="false">IF(BB99="","",IF(BG99&lt;BB99,BF99,BD99))</f>
        <v/>
      </c>
      <c r="BI99" s="9" t="str">
        <f aca="false">IF(BB99="","",IF(BG99&lt;BB99,BE99,BF99))</f>
        <v/>
      </c>
      <c r="BJ99" s="9" t="str">
        <f aca="false">IF(BB99="","",(BH99+BI99)/2)</f>
        <v/>
      </c>
      <c r="BK99" s="9" t="str">
        <f aca="false">IF(OR(T99="",P99="",BJ99="",T99&lt;=0,BJ99&lt;=0),"",(1/Inputs!$B$9)*((T99^2/8)*((2*ACOS(1-2*BJ99/T99))-SIN((2*ACOS(1-2*BJ99/T99)))))*((((T99^2/8)*((2*ACOS(1-2*BJ99/T99))-SIN((2*ACOS(1-2*BJ99/T99)))))/((T99/2)*((2*ACOS(1-2*BJ99/T99)))))^(2/3))*SQRT(P99))</f>
        <v/>
      </c>
      <c r="BL99" s="9" t="str">
        <f aca="false">IF(BB99="","",IF(BK99&lt;BB99,BJ99,BH99))</f>
        <v/>
      </c>
      <c r="BM99" s="9" t="str">
        <f aca="false">IF(BB99="","",IF(BK99&lt;BB99,BI99,BJ99))</f>
        <v/>
      </c>
      <c r="BN99" s="9" t="str">
        <f aca="false">IF(BB99="","",(BL99+BM99)/2)</f>
        <v/>
      </c>
      <c r="BO99" s="9" t="str">
        <f aca="false">IF(OR(T99="",P99="",BN99="",T99&lt;=0,BN99&lt;=0),"",(1/Inputs!$B$9)*((T99^2/8)*((2*ACOS(1-2*BN99/T99))-SIN((2*ACOS(1-2*BN99/T99)))))*((((T99^2/8)*((2*ACOS(1-2*BN99/T99))-SIN((2*ACOS(1-2*BN99/T99)))))/((T99/2)*((2*ACOS(1-2*BN99/T99)))))^(2/3))*SQRT(P99))</f>
        <v/>
      </c>
      <c r="BP99" s="9" t="str">
        <f aca="false">IF(BB99="","",IF(BO99&lt;BB99,BN99,BL99))</f>
        <v/>
      </c>
      <c r="BQ99" s="9" t="str">
        <f aca="false">IF(BB99="","",IF(BO99&lt;BB99,BM99,BN99))</f>
        <v/>
      </c>
      <c r="BR99" s="9" t="str">
        <f aca="false">IF(BB99="","",(BP99+BQ99)/2)</f>
        <v/>
      </c>
      <c r="BS99" s="9" t="str">
        <f aca="false">IF(OR(T99="",P99="",BR99="",T99&lt;=0,BR99&lt;=0),"",(1/Inputs!$B$9)*((T99^2/8)*((2*ACOS(1-2*BR99/T99))-SIN((2*ACOS(1-2*BR99/T99)))))*((((T99^2/8)*((2*ACOS(1-2*BR99/T99))-SIN((2*ACOS(1-2*BR99/T99)))))/((T99/2)*((2*ACOS(1-2*BR99/T99)))))^(2/3))*SQRT(P99))</f>
        <v/>
      </c>
      <c r="BT99" s="9" t="str">
        <f aca="false">IF(BB99="","",IF(BS99&lt;BB99,BR99,BP99))</f>
        <v/>
      </c>
      <c r="BU99" s="9" t="str">
        <f aca="false">IF(BB99="","",IF(BS99&lt;BB99,BQ99,BR99))</f>
        <v/>
      </c>
      <c r="BV99" s="9" t="str">
        <f aca="false">IF(BB99="","",(BT99+BU99)/2)</f>
        <v/>
      </c>
      <c r="BW99" s="9" t="str">
        <f aca="false">IF(OR(T99="",P99="",BV99="",T99&lt;=0,BV99&lt;=0),"",(1/Inputs!$B$9)*((T99^2/8)*((2*ACOS(1-2*BV99/T99))-SIN((2*ACOS(1-2*BV99/T99)))))*((((T99^2/8)*((2*ACOS(1-2*BV99/T99))-SIN((2*ACOS(1-2*BV99/T99)))))/((T99/2)*((2*ACOS(1-2*BV99/T99)))))^(2/3))*SQRT(P99))</f>
        <v/>
      </c>
      <c r="BX99" s="9" t="str">
        <f aca="false">IF(BB99="","",IF(BW99&lt;BB99,BV99,BT99))</f>
        <v/>
      </c>
      <c r="BY99" s="9" t="str">
        <f aca="false">IF(BB99="","",IF(BW99&lt;BB99,BU99,BV99))</f>
        <v/>
      </c>
      <c r="BZ99" s="9" t="str">
        <f aca="false">IF(BB99="","",(BX99+BY99)/2)</f>
        <v/>
      </c>
      <c r="CA99" s="9" t="str">
        <f aca="false">IF(OR(T99="",P99="",BZ99="",T99&lt;=0,BZ99&lt;=0),"",(1/Inputs!$B$9)*((T99^2/8)*((2*ACOS(1-2*BZ99/T99))-SIN((2*ACOS(1-2*BZ99/T99)))))*((((T99^2/8)*((2*ACOS(1-2*BZ99/T99))-SIN((2*ACOS(1-2*BZ99/T99)))))/((T99/2)*((2*ACOS(1-2*BZ99/T99)))))^(2/3))*SQRT(P99))</f>
        <v/>
      </c>
      <c r="CB99" s="9" t="str">
        <f aca="false">IF(BB99="","",IF(CA99&lt;BB99,BZ99,BX99))</f>
        <v/>
      </c>
      <c r="CC99" s="9" t="str">
        <f aca="false">IF(BB99="","",IF(CA99&lt;BB99,BY99,BZ99))</f>
        <v/>
      </c>
      <c r="CD99" s="9" t="str">
        <f aca="false">IF(BB99="","",(CB99+CC99)/2)</f>
        <v/>
      </c>
      <c r="CE99" s="9" t="str">
        <f aca="false">IF(OR(T99="",P99="",CD99="",T99&lt;=0,CD99&lt;=0),"",(1/Inputs!$B$9)*((T99^2/8)*((2*ACOS(1-2*CD99/T99))-SIN((2*ACOS(1-2*CD99/T99)))))*((((T99^2/8)*((2*ACOS(1-2*CD99/T99))-SIN((2*ACOS(1-2*CD99/T99)))))/((T99/2)*((2*ACOS(1-2*CD99/T99)))))^(2/3))*SQRT(P99))</f>
        <v/>
      </c>
      <c r="CF99" s="9" t="str">
        <f aca="false">IF(BB99="","",IF(CE99&lt;BB99,CD99,CB99))</f>
        <v/>
      </c>
      <c r="CG99" s="9" t="str">
        <f aca="false">IF(BB99="","",IF(CE99&lt;BB99,CC99,CD99))</f>
        <v/>
      </c>
      <c r="CH99" s="9" t="str">
        <f aca="false">IF(BB99="","",(CF99+CG99)/2)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14"/>
      <c r="F100" s="14"/>
      <c r="G100" s="14" t="n">
        <f aca="false">SUMIFS(CB_plan!$C:$C,CB_plan!$B:$B,$A100)</f>
        <v>0</v>
      </c>
      <c r="H100" s="14" t="n">
        <f aca="false">IF(F100="",G100,F100)</f>
        <v>0</v>
      </c>
      <c r="I100" s="9"/>
      <c r="J100" s="14"/>
      <c r="K100" s="14" t="str">
        <f aca="false">IF(A100="","",Inputs!$B$13/((IF(AV100="",Inputs!$B$18,AV100)+Inputs!$B$14)^Inputs!$B$15))</f>
        <v/>
      </c>
      <c r="L100" s="14" t="str">
        <f aca="false">IF(A100="","",0.000000278*IF(I100="",Inputs!$B$17,I100)*H100*K100)</f>
        <v/>
      </c>
      <c r="M100" s="14" t="str">
        <f aca="false">IF(A100="","",SUMIFS($N$4:$N$203,$D$4:$D$203,$A100))</f>
        <v/>
      </c>
      <c r="N100" s="14" t="str">
        <f aca="false">IF(A100="","",(L100+M100)*Inputs!$B$16)</f>
        <v/>
      </c>
      <c r="O100" s="14"/>
      <c r="P100" s="14" t="str">
        <f aca="false">IF(A100="","",IF(O100="",Inputs!$B$7,O100))</f>
        <v/>
      </c>
      <c r="Q100" s="9" t="str">
        <f aca="false">IF(A100="","",IF(N100/Inputs!$B$10&lt;=AG100,Inputs!$F$5,IF(N100/Inputs!$B$10&gt;AP100,"OVERSIZE",INDEX(Inputs!$F$5:$F$14,MATCH(N100/Inputs!$B$10,AG100:AP100,1)+1))))</f>
        <v/>
      </c>
      <c r="R100" s="9"/>
      <c r="S100" s="9" t="str">
        <f aca="false">IF(A100="","",IF(R100="",Q100,R100))</f>
        <v/>
      </c>
      <c r="T100" s="14" t="str">
        <f aca="false">IF(OR(S100="",S100="OVERSIZE"),"",S100/1000)</f>
        <v/>
      </c>
      <c r="U100" s="14" t="str">
        <f aca="false">IF(T100="","",(1/Inputs!$B$9)*(PI()*T100^2/4)*((T100/4)^(2/3))*SQRT(P100))</f>
        <v/>
      </c>
      <c r="V100" s="14" t="str">
        <f aca="false">IF(OR(U100="",N100=""),"",N100/(U100*Inputs!$B$10))</f>
        <v/>
      </c>
      <c r="W100" s="14" t="str">
        <f aca="false">IF(OR(T100="",N100=""),"",4*N100/(PI()*T100^2))</f>
        <v/>
      </c>
      <c r="X100" s="14"/>
      <c r="Y100" s="14" t="str">
        <f aca="false">IF(A100="","",IF(A100=Inputs!$B$6,Inputs!$B$22,IF(D100="","",IFERROR(INDEX($Z$4:$Z$203,MATCH(D100,$A$4:$A$203,0))+IF(X100="",Inputs!$B$20,X100),""))))</f>
        <v/>
      </c>
      <c r="Z100" s="14" t="str">
        <f aca="false">IF(OR(Y100="",P100="",E100=""),"",Y100+P100*E100)</f>
        <v/>
      </c>
      <c r="AA100" s="14" t="str">
        <f aca="false">IF(C100="","",IFERROR(INDEX(Noeuds_plan!$C$4:$C$200,MATCH(C100,Noeuds_plan!$A$4:$A$200,0)),""))</f>
        <v/>
      </c>
      <c r="AB100" s="14" t="str">
        <f aca="false">IF(B100="","",IFERROR(INDEX(Noeuds_plan!$C$4:$C$200,MATCH(B100,Noeuds_plan!$A$4:$A$200,0)),""))</f>
        <v/>
      </c>
      <c r="AC100" s="14" t="str">
        <f aca="false">IF(OR(AA100="",Y100=""),"",AA100-Y100)</f>
        <v/>
      </c>
      <c r="AD100" s="14" t="str">
        <f aca="false">IF(OR(AB100="",Z100=""),"",AB100-Z100)</f>
        <v/>
      </c>
      <c r="AE100" s="19" t="str">
        <f aca="false">IF(A100="","",IF(OR(V100&gt;1,AND(AY100&lt;&gt;"",AY100&lt;Inputs!$B$11),AND(AY100&lt;&gt;"",AY100&gt;Inputs!$B$12),AC100&lt;Inputs!$B$19,AD100&lt;Inputs!$B$19,P100&lt;Inputs!$B$7,P100&gt;Inputs!$B$8),"CHECK","OK"))</f>
        <v/>
      </c>
      <c r="AF100" s="9"/>
      <c r="AG100" s="9" t="str">
        <f aca="false">IF(A100="","",(1/Inputs!$B$9)*(PI()*(Inputs!$F$5/1000)^2/4)*((Inputs!$F$5/1000/4)^(2/3))*SQRT(P100))</f>
        <v/>
      </c>
      <c r="AH100" s="9" t="str">
        <f aca="false">IF(A100="","",(1/Inputs!$B$9)*(PI()*(Inputs!$F$6/1000)^2/4)*((Inputs!$F$6/1000/4)^(2/3))*SQRT(P100))</f>
        <v/>
      </c>
      <c r="AI100" s="9" t="str">
        <f aca="false">IF(A100="","",(1/Inputs!$B$9)*(PI()*(Inputs!$F$7/1000)^2/4)*((Inputs!$F$7/1000/4)^(2/3))*SQRT(P100))</f>
        <v/>
      </c>
      <c r="AJ100" s="9" t="str">
        <f aca="false">IF(A100="","",(1/Inputs!$B$9)*(PI()*(Inputs!$F$8/1000)^2/4)*((Inputs!$F$8/1000/4)^(2/3))*SQRT(P100))</f>
        <v/>
      </c>
      <c r="AK100" s="9" t="str">
        <f aca="false">IF(A100="","",(1/Inputs!$B$9)*(PI()*(Inputs!$F$9/1000)^2/4)*((Inputs!$F$9/1000/4)^(2/3))*SQRT(P100))</f>
        <v/>
      </c>
      <c r="AL100" s="9" t="str">
        <f aca="false">IF(A100="","",(1/Inputs!$B$9)*(PI()*(Inputs!$F$10/1000)^2/4)*((Inputs!$F$10/1000/4)^(2/3))*SQRT(P100))</f>
        <v/>
      </c>
      <c r="AM100" s="9" t="str">
        <f aca="false">IF(A100="","",(1/Inputs!$B$9)*(PI()*(Inputs!$F$11/1000)^2/4)*((Inputs!$F$11/1000/4)^(2/3))*SQRT(P100))</f>
        <v/>
      </c>
      <c r="AN100" s="9" t="str">
        <f aca="false">IF(A100="","",(1/Inputs!$B$9)*(PI()*(Inputs!$F$12/1000)^2/4)*((Inputs!$F$12/1000/4)^(2/3))*SQRT(P100))</f>
        <v/>
      </c>
      <c r="AO100" s="9" t="str">
        <f aca="false">IF(A100="","",(1/Inputs!$B$9)*(PI()*(Inputs!$F$13/1000)^2/4)*((Inputs!$F$13/1000/4)^(2/3))*SQRT(P100))</f>
        <v/>
      </c>
      <c r="AP100" s="9" t="str">
        <f aca="false">IF(A100="","",(1/Inputs!$B$9)*(PI()*(Inputs!$F$14/1000)^2/4)*((Inputs!$F$14/1000/4)^(2/3))*SQRT(P100))</f>
        <v/>
      </c>
      <c r="AQ100" s="9" t="str">
        <f aca="false">IF(A100="","",COUNTIF($D$4:$D$203,$A100))</f>
        <v/>
      </c>
      <c r="AR100" s="9" t="str">
        <f aca="false">IF(A100="","",IF(AQ100=0,"START","CONTINUOUS"))</f>
        <v/>
      </c>
      <c r="AS100" s="13" t="str">
        <f aca="false">IF(A100="","",IF(J100="",Inputs!$B$18,J100))</f>
        <v/>
      </c>
      <c r="AT100" s="13" t="str">
        <f aca="false">IF(A100="","",IFERROR(maxifs($AV$4:$AV$203,$D$4:$D$203,$A100),""))</f>
        <v/>
      </c>
      <c r="AU100" s="13" t="str">
        <f aca="false">IF(A100="","",IF(OR(E100="",Inputs!$B$23=""),"",E100/(Inputs!$B$23*60)))</f>
        <v/>
      </c>
      <c r="AV100" s="13" t="str">
        <f aca="false">IF(A100="","",IF(AQ100=0,AS100+AU100,IF(AT100="",AS100+AU100,AT100+AU100)))</f>
        <v/>
      </c>
      <c r="AW100" s="13" t="str">
        <f aca="false">IF(A100="","",W100)</f>
        <v/>
      </c>
      <c r="AX100" s="13" t="str">
        <f aca="false">IF(OR(T100="",P100=""),"",(1/Inputs!$B$9)*((T100/4)^(2/3))*SQRT(P100))</f>
        <v/>
      </c>
      <c r="AY100" s="13" t="str">
        <f aca="false">IF(A100="","",IF(AND(AW100="",AX100="",BA100=""),"",IF(OR(UPPER(TRIM(Inputs!$B$24))="MANNING",UPPER(TRIM(Inputs!$B$24))="M"),AX100,IF(OR(UPPER(TRIM(Inputs!$B$24))="PARTIAL",UPPER(TRIM(Inputs!$B$24))="P"),BA100,IF(OR(UPPER(TRIM(Inputs!$B$24))="MAX",UPPER(TRIM(Inputs!$B$24))="X"),MAX(IF(AW100="",0,AW100),IF(AX100="",0,AX100),IF(BA100="",0,BA100)),AW100)))))</f>
        <v/>
      </c>
      <c r="AZ100" s="13" t="str">
        <f aca="false">IF(BB100="","",CH100)</f>
        <v/>
      </c>
      <c r="BA100" s="13" t="str">
        <f aca="false">IF(OR(BB100="",AZ100="",T100="",T100&lt;=0,AZ100&lt;=0),"",BB100/((T100^2/8)*(2*ACOS(1-2*AZ100/T100)-SIN(2*ACOS(1-2*AZ100/T100)))))</f>
        <v/>
      </c>
      <c r="BB100" s="9" t="str">
        <f aca="false">IF(OR(N100="",BC100=""),"",MIN(N100,BC100))</f>
        <v/>
      </c>
      <c r="BC100" s="9" t="str">
        <f aca="false">IF(OR(N100="",T100="",P100=""),"",IF(OR(T100="",P100="",(0.94*T100)="",T100&lt;=0,(0.94*T100)&lt;=0),"",(1/Inputs!$B$9)*((T100^2/8)*((2*ACOS(1-2*(0.94*T100)/T100))-SIN((2*ACOS(1-2*(0.94*T100)/T100)))))*((((T100^2/8)*((2*ACOS(1-2*(0.94*T100)/T100))-SIN((2*ACOS(1-2*(0.94*T100)/T100)))))/((T100/2)*((2*ACOS(1-2*(0.94*T100)/T100)))))^(2/3))*SQRT(P100)))</f>
        <v/>
      </c>
      <c r="BD100" s="9" t="str">
        <f aca="false">IF(BB100="","",0.001*T100)</f>
        <v/>
      </c>
      <c r="BE100" s="9" t="str">
        <f aca="false">IF(BB100="","",0.94*T100)</f>
        <v/>
      </c>
      <c r="BF100" s="9" t="str">
        <f aca="false">IF(BB100="","",(BD100+BE100)/2)</f>
        <v/>
      </c>
      <c r="BG100" s="9" t="str">
        <f aca="false">IF(OR(T100="",P100="",BF100="",T100&lt;=0,BF100&lt;=0),"",(1/Inputs!$B$9)*((T100^2/8)*((2*ACOS(1-2*BF100/T100))-SIN((2*ACOS(1-2*BF100/T100)))))*((((T100^2/8)*((2*ACOS(1-2*BF100/T100))-SIN((2*ACOS(1-2*BF100/T100)))))/((T100/2)*((2*ACOS(1-2*BF100/T100)))))^(2/3))*SQRT(P100))</f>
        <v/>
      </c>
      <c r="BH100" s="9" t="str">
        <f aca="false">IF(BB100="","",IF(BG100&lt;BB100,BF100,BD100))</f>
        <v/>
      </c>
      <c r="BI100" s="9" t="str">
        <f aca="false">IF(BB100="","",IF(BG100&lt;BB100,BE100,BF100))</f>
        <v/>
      </c>
      <c r="BJ100" s="9" t="str">
        <f aca="false">IF(BB100="","",(BH100+BI100)/2)</f>
        <v/>
      </c>
      <c r="BK100" s="9" t="str">
        <f aca="false">IF(OR(T100="",P100="",BJ100="",T100&lt;=0,BJ100&lt;=0),"",(1/Inputs!$B$9)*((T100^2/8)*((2*ACOS(1-2*BJ100/T100))-SIN((2*ACOS(1-2*BJ100/T100)))))*((((T100^2/8)*((2*ACOS(1-2*BJ100/T100))-SIN((2*ACOS(1-2*BJ100/T100)))))/((T100/2)*((2*ACOS(1-2*BJ100/T100)))))^(2/3))*SQRT(P100))</f>
        <v/>
      </c>
      <c r="BL100" s="9" t="str">
        <f aca="false">IF(BB100="","",IF(BK100&lt;BB100,BJ100,BH100))</f>
        <v/>
      </c>
      <c r="BM100" s="9" t="str">
        <f aca="false">IF(BB100="","",IF(BK100&lt;BB100,BI100,BJ100))</f>
        <v/>
      </c>
      <c r="BN100" s="9" t="str">
        <f aca="false">IF(BB100="","",(BL100+BM100)/2)</f>
        <v/>
      </c>
      <c r="BO100" s="9" t="str">
        <f aca="false">IF(OR(T100="",P100="",BN100="",T100&lt;=0,BN100&lt;=0),"",(1/Inputs!$B$9)*((T100^2/8)*((2*ACOS(1-2*BN100/T100))-SIN((2*ACOS(1-2*BN100/T100)))))*((((T100^2/8)*((2*ACOS(1-2*BN100/T100))-SIN((2*ACOS(1-2*BN100/T100)))))/((T100/2)*((2*ACOS(1-2*BN100/T100)))))^(2/3))*SQRT(P100))</f>
        <v/>
      </c>
      <c r="BP100" s="9" t="str">
        <f aca="false">IF(BB100="","",IF(BO100&lt;BB100,BN100,BL100))</f>
        <v/>
      </c>
      <c r="BQ100" s="9" t="str">
        <f aca="false">IF(BB100="","",IF(BO100&lt;BB100,BM100,BN100))</f>
        <v/>
      </c>
      <c r="BR100" s="9" t="str">
        <f aca="false">IF(BB100="","",(BP100+BQ100)/2)</f>
        <v/>
      </c>
      <c r="BS100" s="9" t="str">
        <f aca="false">IF(OR(T100="",P100="",BR100="",T100&lt;=0,BR100&lt;=0),"",(1/Inputs!$B$9)*((T100^2/8)*((2*ACOS(1-2*BR100/T100))-SIN((2*ACOS(1-2*BR100/T100)))))*((((T100^2/8)*((2*ACOS(1-2*BR100/T100))-SIN((2*ACOS(1-2*BR100/T100)))))/((T100/2)*((2*ACOS(1-2*BR100/T100)))))^(2/3))*SQRT(P100))</f>
        <v/>
      </c>
      <c r="BT100" s="9" t="str">
        <f aca="false">IF(BB100="","",IF(BS100&lt;BB100,BR100,BP100))</f>
        <v/>
      </c>
      <c r="BU100" s="9" t="str">
        <f aca="false">IF(BB100="","",IF(BS100&lt;BB100,BQ100,BR100))</f>
        <v/>
      </c>
      <c r="BV100" s="9" t="str">
        <f aca="false">IF(BB100="","",(BT100+BU100)/2)</f>
        <v/>
      </c>
      <c r="BW100" s="9" t="str">
        <f aca="false">IF(OR(T100="",P100="",BV100="",T100&lt;=0,BV100&lt;=0),"",(1/Inputs!$B$9)*((T100^2/8)*((2*ACOS(1-2*BV100/T100))-SIN((2*ACOS(1-2*BV100/T100)))))*((((T100^2/8)*((2*ACOS(1-2*BV100/T100))-SIN((2*ACOS(1-2*BV100/T100)))))/((T100/2)*((2*ACOS(1-2*BV100/T100)))))^(2/3))*SQRT(P100))</f>
        <v/>
      </c>
      <c r="BX100" s="9" t="str">
        <f aca="false">IF(BB100="","",IF(BW100&lt;BB100,BV100,BT100))</f>
        <v/>
      </c>
      <c r="BY100" s="9" t="str">
        <f aca="false">IF(BB100="","",IF(BW100&lt;BB100,BU100,BV100))</f>
        <v/>
      </c>
      <c r="BZ100" s="9" t="str">
        <f aca="false">IF(BB100="","",(BX100+BY100)/2)</f>
        <v/>
      </c>
      <c r="CA100" s="9" t="str">
        <f aca="false">IF(OR(T100="",P100="",BZ100="",T100&lt;=0,BZ100&lt;=0),"",(1/Inputs!$B$9)*((T100^2/8)*((2*ACOS(1-2*BZ100/T100))-SIN((2*ACOS(1-2*BZ100/T100)))))*((((T100^2/8)*((2*ACOS(1-2*BZ100/T100))-SIN((2*ACOS(1-2*BZ100/T100)))))/((T100/2)*((2*ACOS(1-2*BZ100/T100)))))^(2/3))*SQRT(P100))</f>
        <v/>
      </c>
      <c r="CB100" s="9" t="str">
        <f aca="false">IF(BB100="","",IF(CA100&lt;BB100,BZ100,BX100))</f>
        <v/>
      </c>
      <c r="CC100" s="9" t="str">
        <f aca="false">IF(BB100="","",IF(CA100&lt;BB100,BY100,BZ100))</f>
        <v/>
      </c>
      <c r="CD100" s="9" t="str">
        <f aca="false">IF(BB100="","",(CB100+CC100)/2)</f>
        <v/>
      </c>
      <c r="CE100" s="9" t="str">
        <f aca="false">IF(OR(T100="",P100="",CD100="",T100&lt;=0,CD100&lt;=0),"",(1/Inputs!$B$9)*((T100^2/8)*((2*ACOS(1-2*CD100/T100))-SIN((2*ACOS(1-2*CD100/T100)))))*((((T100^2/8)*((2*ACOS(1-2*CD100/T100))-SIN((2*ACOS(1-2*CD100/T100)))))/((T100/2)*((2*ACOS(1-2*CD100/T100)))))^(2/3))*SQRT(P100))</f>
        <v/>
      </c>
      <c r="CF100" s="9" t="str">
        <f aca="false">IF(BB100="","",IF(CE100&lt;BB100,CD100,CB100))</f>
        <v/>
      </c>
      <c r="CG100" s="9" t="str">
        <f aca="false">IF(BB100="","",IF(CE100&lt;BB100,CC100,CD100))</f>
        <v/>
      </c>
      <c r="CH100" s="9" t="str">
        <f aca="false">IF(BB100="","",(CF100+CG100)/2)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14"/>
      <c r="F101" s="14"/>
      <c r="G101" s="14" t="n">
        <f aca="false">SUMIFS(CB_plan!$C:$C,CB_plan!$B:$B,$A101)</f>
        <v>0</v>
      </c>
      <c r="H101" s="14" t="n">
        <f aca="false">IF(F101="",G101,F101)</f>
        <v>0</v>
      </c>
      <c r="I101" s="9"/>
      <c r="J101" s="14"/>
      <c r="K101" s="14" t="str">
        <f aca="false">IF(A101="","",Inputs!$B$13/((IF(AV101="",Inputs!$B$18,AV101)+Inputs!$B$14)^Inputs!$B$15))</f>
        <v/>
      </c>
      <c r="L101" s="14" t="str">
        <f aca="false">IF(A101="","",0.000000278*IF(I101="",Inputs!$B$17,I101)*H101*K101)</f>
        <v/>
      </c>
      <c r="M101" s="14" t="str">
        <f aca="false">IF(A101="","",SUMIFS($N$4:$N$203,$D$4:$D$203,$A101))</f>
        <v/>
      </c>
      <c r="N101" s="14" t="str">
        <f aca="false">IF(A101="","",(L101+M101)*Inputs!$B$16)</f>
        <v/>
      </c>
      <c r="O101" s="14"/>
      <c r="P101" s="14" t="str">
        <f aca="false">IF(A101="","",IF(O101="",Inputs!$B$7,O101))</f>
        <v/>
      </c>
      <c r="Q101" s="9" t="str">
        <f aca="false">IF(A101="","",IF(N101/Inputs!$B$10&lt;=AG101,Inputs!$F$5,IF(N101/Inputs!$B$10&gt;AP101,"OVERSIZE",INDEX(Inputs!$F$5:$F$14,MATCH(N101/Inputs!$B$10,AG101:AP101,1)+1))))</f>
        <v/>
      </c>
      <c r="R101" s="9"/>
      <c r="S101" s="9" t="str">
        <f aca="false">IF(A101="","",IF(R101="",Q101,R101))</f>
        <v/>
      </c>
      <c r="T101" s="14" t="str">
        <f aca="false">IF(OR(S101="",S101="OVERSIZE"),"",S101/1000)</f>
        <v/>
      </c>
      <c r="U101" s="14" t="str">
        <f aca="false">IF(T101="","",(1/Inputs!$B$9)*(PI()*T101^2/4)*((T101/4)^(2/3))*SQRT(P101))</f>
        <v/>
      </c>
      <c r="V101" s="14" t="str">
        <f aca="false">IF(OR(U101="",N101=""),"",N101/(U101*Inputs!$B$10))</f>
        <v/>
      </c>
      <c r="W101" s="14" t="str">
        <f aca="false">IF(OR(T101="",N101=""),"",4*N101/(PI()*T101^2))</f>
        <v/>
      </c>
      <c r="X101" s="14"/>
      <c r="Y101" s="14" t="str">
        <f aca="false">IF(A101="","",IF(A101=Inputs!$B$6,Inputs!$B$22,IF(D101="","",IFERROR(INDEX($Z$4:$Z$203,MATCH(D101,$A$4:$A$203,0))+IF(X101="",Inputs!$B$20,X101),""))))</f>
        <v/>
      </c>
      <c r="Z101" s="14" t="str">
        <f aca="false">IF(OR(Y101="",P101="",E101=""),"",Y101+P101*E101)</f>
        <v/>
      </c>
      <c r="AA101" s="14" t="str">
        <f aca="false">IF(C101="","",IFERROR(INDEX(Noeuds_plan!$C$4:$C$200,MATCH(C101,Noeuds_plan!$A$4:$A$200,0)),""))</f>
        <v/>
      </c>
      <c r="AB101" s="14" t="str">
        <f aca="false">IF(B101="","",IFERROR(INDEX(Noeuds_plan!$C$4:$C$200,MATCH(B101,Noeuds_plan!$A$4:$A$200,0)),""))</f>
        <v/>
      </c>
      <c r="AC101" s="14" t="str">
        <f aca="false">IF(OR(AA101="",Y101=""),"",AA101-Y101)</f>
        <v/>
      </c>
      <c r="AD101" s="14" t="str">
        <f aca="false">IF(OR(AB101="",Z101=""),"",AB101-Z101)</f>
        <v/>
      </c>
      <c r="AE101" s="19" t="str">
        <f aca="false">IF(A101="","",IF(OR(V101&gt;1,AND(AY101&lt;&gt;"",AY101&lt;Inputs!$B$11),AND(AY101&lt;&gt;"",AY101&gt;Inputs!$B$12),AC101&lt;Inputs!$B$19,AD101&lt;Inputs!$B$19,P101&lt;Inputs!$B$7,P101&gt;Inputs!$B$8),"CHECK","OK"))</f>
        <v/>
      </c>
      <c r="AF101" s="9"/>
      <c r="AG101" s="9" t="str">
        <f aca="false">IF(A101="","",(1/Inputs!$B$9)*(PI()*(Inputs!$F$5/1000)^2/4)*((Inputs!$F$5/1000/4)^(2/3))*SQRT(P101))</f>
        <v/>
      </c>
      <c r="AH101" s="9" t="str">
        <f aca="false">IF(A101="","",(1/Inputs!$B$9)*(PI()*(Inputs!$F$6/1000)^2/4)*((Inputs!$F$6/1000/4)^(2/3))*SQRT(P101))</f>
        <v/>
      </c>
      <c r="AI101" s="9" t="str">
        <f aca="false">IF(A101="","",(1/Inputs!$B$9)*(PI()*(Inputs!$F$7/1000)^2/4)*((Inputs!$F$7/1000/4)^(2/3))*SQRT(P101))</f>
        <v/>
      </c>
      <c r="AJ101" s="9" t="str">
        <f aca="false">IF(A101="","",(1/Inputs!$B$9)*(PI()*(Inputs!$F$8/1000)^2/4)*((Inputs!$F$8/1000/4)^(2/3))*SQRT(P101))</f>
        <v/>
      </c>
      <c r="AK101" s="9" t="str">
        <f aca="false">IF(A101="","",(1/Inputs!$B$9)*(PI()*(Inputs!$F$9/1000)^2/4)*((Inputs!$F$9/1000/4)^(2/3))*SQRT(P101))</f>
        <v/>
      </c>
      <c r="AL101" s="9" t="str">
        <f aca="false">IF(A101="","",(1/Inputs!$B$9)*(PI()*(Inputs!$F$10/1000)^2/4)*((Inputs!$F$10/1000/4)^(2/3))*SQRT(P101))</f>
        <v/>
      </c>
      <c r="AM101" s="9" t="str">
        <f aca="false">IF(A101="","",(1/Inputs!$B$9)*(PI()*(Inputs!$F$11/1000)^2/4)*((Inputs!$F$11/1000/4)^(2/3))*SQRT(P101))</f>
        <v/>
      </c>
      <c r="AN101" s="9" t="str">
        <f aca="false">IF(A101="","",(1/Inputs!$B$9)*(PI()*(Inputs!$F$12/1000)^2/4)*((Inputs!$F$12/1000/4)^(2/3))*SQRT(P101))</f>
        <v/>
      </c>
      <c r="AO101" s="9" t="str">
        <f aca="false">IF(A101="","",(1/Inputs!$B$9)*(PI()*(Inputs!$F$13/1000)^2/4)*((Inputs!$F$13/1000/4)^(2/3))*SQRT(P101))</f>
        <v/>
      </c>
      <c r="AP101" s="9" t="str">
        <f aca="false">IF(A101="","",(1/Inputs!$B$9)*(PI()*(Inputs!$F$14/1000)^2/4)*((Inputs!$F$14/1000/4)^(2/3))*SQRT(P101))</f>
        <v/>
      </c>
      <c r="AQ101" s="9" t="str">
        <f aca="false">IF(A101="","",COUNTIF($D$4:$D$203,$A101))</f>
        <v/>
      </c>
      <c r="AR101" s="9" t="str">
        <f aca="false">IF(A101="","",IF(AQ101=0,"START","CONTINUOUS"))</f>
        <v/>
      </c>
      <c r="AS101" s="13" t="str">
        <f aca="false">IF(A101="","",IF(J101="",Inputs!$B$18,J101))</f>
        <v/>
      </c>
      <c r="AT101" s="13" t="str">
        <f aca="false">IF(A101="","",IFERROR(maxifs($AV$4:$AV$203,$D$4:$D$203,$A101),""))</f>
        <v/>
      </c>
      <c r="AU101" s="13" t="str">
        <f aca="false">IF(A101="","",IF(OR(E101="",Inputs!$B$23=""),"",E101/(Inputs!$B$23*60)))</f>
        <v/>
      </c>
      <c r="AV101" s="13" t="str">
        <f aca="false">IF(A101="","",IF(AQ101=0,AS101+AU101,IF(AT101="",AS101+AU101,AT101+AU101)))</f>
        <v/>
      </c>
      <c r="AW101" s="13" t="str">
        <f aca="false">IF(A101="","",W101)</f>
        <v/>
      </c>
      <c r="AX101" s="13" t="str">
        <f aca="false">IF(OR(T101="",P101=""),"",(1/Inputs!$B$9)*((T101/4)^(2/3))*SQRT(P101))</f>
        <v/>
      </c>
      <c r="AY101" s="13" t="str">
        <f aca="false">IF(A101="","",IF(AND(AW101="",AX101="",BA101=""),"",IF(OR(UPPER(TRIM(Inputs!$B$24))="MANNING",UPPER(TRIM(Inputs!$B$24))="M"),AX101,IF(OR(UPPER(TRIM(Inputs!$B$24))="PARTIAL",UPPER(TRIM(Inputs!$B$24))="P"),BA101,IF(OR(UPPER(TRIM(Inputs!$B$24))="MAX",UPPER(TRIM(Inputs!$B$24))="X"),MAX(IF(AW101="",0,AW101),IF(AX101="",0,AX101),IF(BA101="",0,BA101)),AW101)))))</f>
        <v/>
      </c>
      <c r="AZ101" s="13" t="str">
        <f aca="false">IF(BB101="","",CH101)</f>
        <v/>
      </c>
      <c r="BA101" s="13" t="str">
        <f aca="false">IF(OR(BB101="",AZ101="",T101="",T101&lt;=0,AZ101&lt;=0),"",BB101/((T101^2/8)*(2*ACOS(1-2*AZ101/T101)-SIN(2*ACOS(1-2*AZ101/T101)))))</f>
        <v/>
      </c>
      <c r="BB101" s="9" t="str">
        <f aca="false">IF(OR(N101="",BC101=""),"",MIN(N101,BC101))</f>
        <v/>
      </c>
      <c r="BC101" s="9" t="str">
        <f aca="false">IF(OR(N101="",T101="",P101=""),"",IF(OR(T101="",P101="",(0.94*T101)="",T101&lt;=0,(0.94*T101)&lt;=0),"",(1/Inputs!$B$9)*((T101^2/8)*((2*ACOS(1-2*(0.94*T101)/T101))-SIN((2*ACOS(1-2*(0.94*T101)/T101)))))*((((T101^2/8)*((2*ACOS(1-2*(0.94*T101)/T101))-SIN((2*ACOS(1-2*(0.94*T101)/T101)))))/((T101/2)*((2*ACOS(1-2*(0.94*T101)/T101)))))^(2/3))*SQRT(P101)))</f>
        <v/>
      </c>
      <c r="BD101" s="9" t="str">
        <f aca="false">IF(BB101="","",0.001*T101)</f>
        <v/>
      </c>
      <c r="BE101" s="9" t="str">
        <f aca="false">IF(BB101="","",0.94*T101)</f>
        <v/>
      </c>
      <c r="BF101" s="9" t="str">
        <f aca="false">IF(BB101="","",(BD101+BE101)/2)</f>
        <v/>
      </c>
      <c r="BG101" s="9" t="str">
        <f aca="false">IF(OR(T101="",P101="",BF101="",T101&lt;=0,BF101&lt;=0),"",(1/Inputs!$B$9)*((T101^2/8)*((2*ACOS(1-2*BF101/T101))-SIN((2*ACOS(1-2*BF101/T101)))))*((((T101^2/8)*((2*ACOS(1-2*BF101/T101))-SIN((2*ACOS(1-2*BF101/T101)))))/((T101/2)*((2*ACOS(1-2*BF101/T101)))))^(2/3))*SQRT(P101))</f>
        <v/>
      </c>
      <c r="BH101" s="9" t="str">
        <f aca="false">IF(BB101="","",IF(BG101&lt;BB101,BF101,BD101))</f>
        <v/>
      </c>
      <c r="BI101" s="9" t="str">
        <f aca="false">IF(BB101="","",IF(BG101&lt;BB101,BE101,BF101))</f>
        <v/>
      </c>
      <c r="BJ101" s="9" t="str">
        <f aca="false">IF(BB101="","",(BH101+BI101)/2)</f>
        <v/>
      </c>
      <c r="BK101" s="9" t="str">
        <f aca="false">IF(OR(T101="",P101="",BJ101="",T101&lt;=0,BJ101&lt;=0),"",(1/Inputs!$B$9)*((T101^2/8)*((2*ACOS(1-2*BJ101/T101))-SIN((2*ACOS(1-2*BJ101/T101)))))*((((T101^2/8)*((2*ACOS(1-2*BJ101/T101))-SIN((2*ACOS(1-2*BJ101/T101)))))/((T101/2)*((2*ACOS(1-2*BJ101/T101)))))^(2/3))*SQRT(P101))</f>
        <v/>
      </c>
      <c r="BL101" s="9" t="str">
        <f aca="false">IF(BB101="","",IF(BK101&lt;BB101,BJ101,BH101))</f>
        <v/>
      </c>
      <c r="BM101" s="9" t="str">
        <f aca="false">IF(BB101="","",IF(BK101&lt;BB101,BI101,BJ101))</f>
        <v/>
      </c>
      <c r="BN101" s="9" t="str">
        <f aca="false">IF(BB101="","",(BL101+BM101)/2)</f>
        <v/>
      </c>
      <c r="BO101" s="9" t="str">
        <f aca="false">IF(OR(T101="",P101="",BN101="",T101&lt;=0,BN101&lt;=0),"",(1/Inputs!$B$9)*((T101^2/8)*((2*ACOS(1-2*BN101/T101))-SIN((2*ACOS(1-2*BN101/T101)))))*((((T101^2/8)*((2*ACOS(1-2*BN101/T101))-SIN((2*ACOS(1-2*BN101/T101)))))/((T101/2)*((2*ACOS(1-2*BN101/T101)))))^(2/3))*SQRT(P101))</f>
        <v/>
      </c>
      <c r="BP101" s="9" t="str">
        <f aca="false">IF(BB101="","",IF(BO101&lt;BB101,BN101,BL101))</f>
        <v/>
      </c>
      <c r="BQ101" s="9" t="str">
        <f aca="false">IF(BB101="","",IF(BO101&lt;BB101,BM101,BN101))</f>
        <v/>
      </c>
      <c r="BR101" s="9" t="str">
        <f aca="false">IF(BB101="","",(BP101+BQ101)/2)</f>
        <v/>
      </c>
      <c r="BS101" s="9" t="str">
        <f aca="false">IF(OR(T101="",P101="",BR101="",T101&lt;=0,BR101&lt;=0),"",(1/Inputs!$B$9)*((T101^2/8)*((2*ACOS(1-2*BR101/T101))-SIN((2*ACOS(1-2*BR101/T101)))))*((((T101^2/8)*((2*ACOS(1-2*BR101/T101))-SIN((2*ACOS(1-2*BR101/T101)))))/((T101/2)*((2*ACOS(1-2*BR101/T101)))))^(2/3))*SQRT(P101))</f>
        <v/>
      </c>
      <c r="BT101" s="9" t="str">
        <f aca="false">IF(BB101="","",IF(BS101&lt;BB101,BR101,BP101))</f>
        <v/>
      </c>
      <c r="BU101" s="9" t="str">
        <f aca="false">IF(BB101="","",IF(BS101&lt;BB101,BQ101,BR101))</f>
        <v/>
      </c>
      <c r="BV101" s="9" t="str">
        <f aca="false">IF(BB101="","",(BT101+BU101)/2)</f>
        <v/>
      </c>
      <c r="BW101" s="9" t="str">
        <f aca="false">IF(OR(T101="",P101="",BV101="",T101&lt;=0,BV101&lt;=0),"",(1/Inputs!$B$9)*((T101^2/8)*((2*ACOS(1-2*BV101/T101))-SIN((2*ACOS(1-2*BV101/T101)))))*((((T101^2/8)*((2*ACOS(1-2*BV101/T101))-SIN((2*ACOS(1-2*BV101/T101)))))/((T101/2)*((2*ACOS(1-2*BV101/T101)))))^(2/3))*SQRT(P101))</f>
        <v/>
      </c>
      <c r="BX101" s="9" t="str">
        <f aca="false">IF(BB101="","",IF(BW101&lt;BB101,BV101,BT101))</f>
        <v/>
      </c>
      <c r="BY101" s="9" t="str">
        <f aca="false">IF(BB101="","",IF(BW101&lt;BB101,BU101,BV101))</f>
        <v/>
      </c>
      <c r="BZ101" s="9" t="str">
        <f aca="false">IF(BB101="","",(BX101+BY101)/2)</f>
        <v/>
      </c>
      <c r="CA101" s="9" t="str">
        <f aca="false">IF(OR(T101="",P101="",BZ101="",T101&lt;=0,BZ101&lt;=0),"",(1/Inputs!$B$9)*((T101^2/8)*((2*ACOS(1-2*BZ101/T101))-SIN((2*ACOS(1-2*BZ101/T101)))))*((((T101^2/8)*((2*ACOS(1-2*BZ101/T101))-SIN((2*ACOS(1-2*BZ101/T101)))))/((T101/2)*((2*ACOS(1-2*BZ101/T101)))))^(2/3))*SQRT(P101))</f>
        <v/>
      </c>
      <c r="CB101" s="9" t="str">
        <f aca="false">IF(BB101="","",IF(CA101&lt;BB101,BZ101,BX101))</f>
        <v/>
      </c>
      <c r="CC101" s="9" t="str">
        <f aca="false">IF(BB101="","",IF(CA101&lt;BB101,BY101,BZ101))</f>
        <v/>
      </c>
      <c r="CD101" s="9" t="str">
        <f aca="false">IF(BB101="","",(CB101+CC101)/2)</f>
        <v/>
      </c>
      <c r="CE101" s="9" t="str">
        <f aca="false">IF(OR(T101="",P101="",CD101="",T101&lt;=0,CD101&lt;=0),"",(1/Inputs!$B$9)*((T101^2/8)*((2*ACOS(1-2*CD101/T101))-SIN((2*ACOS(1-2*CD101/T101)))))*((((T101^2/8)*((2*ACOS(1-2*CD101/T101))-SIN((2*ACOS(1-2*CD101/T101)))))/((T101/2)*((2*ACOS(1-2*CD101/T101)))))^(2/3))*SQRT(P101))</f>
        <v/>
      </c>
      <c r="CF101" s="9" t="str">
        <f aca="false">IF(BB101="","",IF(CE101&lt;BB101,CD101,CB101))</f>
        <v/>
      </c>
      <c r="CG101" s="9" t="str">
        <f aca="false">IF(BB101="","",IF(CE101&lt;BB101,CC101,CD101))</f>
        <v/>
      </c>
      <c r="CH101" s="9" t="str">
        <f aca="false">IF(BB101="","",(CF101+CG101)/2)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14"/>
      <c r="F102" s="14"/>
      <c r="G102" s="14" t="n">
        <f aca="false">SUMIFS(CB_plan!$C:$C,CB_plan!$B:$B,$A102)</f>
        <v>0</v>
      </c>
      <c r="H102" s="14" t="n">
        <f aca="false">IF(F102="",G102,F102)</f>
        <v>0</v>
      </c>
      <c r="I102" s="9"/>
      <c r="J102" s="14"/>
      <c r="K102" s="14" t="str">
        <f aca="false">IF(A102="","",Inputs!$B$13/((IF(AV102="",Inputs!$B$18,AV102)+Inputs!$B$14)^Inputs!$B$15))</f>
        <v/>
      </c>
      <c r="L102" s="14" t="str">
        <f aca="false">IF(A102="","",0.000000278*IF(I102="",Inputs!$B$17,I102)*H102*K102)</f>
        <v/>
      </c>
      <c r="M102" s="14" t="str">
        <f aca="false">IF(A102="","",SUMIFS($N$4:$N$203,$D$4:$D$203,$A102))</f>
        <v/>
      </c>
      <c r="N102" s="14" t="str">
        <f aca="false">IF(A102="","",(L102+M102)*Inputs!$B$16)</f>
        <v/>
      </c>
      <c r="O102" s="14"/>
      <c r="P102" s="14" t="str">
        <f aca="false">IF(A102="","",IF(O102="",Inputs!$B$7,O102))</f>
        <v/>
      </c>
      <c r="Q102" s="9" t="str">
        <f aca="false">IF(A102="","",IF(N102/Inputs!$B$10&lt;=AG102,Inputs!$F$5,IF(N102/Inputs!$B$10&gt;AP102,"OVERSIZE",INDEX(Inputs!$F$5:$F$14,MATCH(N102/Inputs!$B$10,AG102:AP102,1)+1))))</f>
        <v/>
      </c>
      <c r="R102" s="9"/>
      <c r="S102" s="9" t="str">
        <f aca="false">IF(A102="","",IF(R102="",Q102,R102))</f>
        <v/>
      </c>
      <c r="T102" s="14" t="str">
        <f aca="false">IF(OR(S102="",S102="OVERSIZE"),"",S102/1000)</f>
        <v/>
      </c>
      <c r="U102" s="14" t="str">
        <f aca="false">IF(T102="","",(1/Inputs!$B$9)*(PI()*T102^2/4)*((T102/4)^(2/3))*SQRT(P102))</f>
        <v/>
      </c>
      <c r="V102" s="14" t="str">
        <f aca="false">IF(OR(U102="",N102=""),"",N102/(U102*Inputs!$B$10))</f>
        <v/>
      </c>
      <c r="W102" s="14" t="str">
        <f aca="false">IF(OR(T102="",N102=""),"",4*N102/(PI()*T102^2))</f>
        <v/>
      </c>
      <c r="X102" s="14"/>
      <c r="Y102" s="14" t="str">
        <f aca="false">IF(A102="","",IF(A102=Inputs!$B$6,Inputs!$B$22,IF(D102="","",IFERROR(INDEX($Z$4:$Z$203,MATCH(D102,$A$4:$A$203,0))+IF(X102="",Inputs!$B$20,X102),""))))</f>
        <v/>
      </c>
      <c r="Z102" s="14" t="str">
        <f aca="false">IF(OR(Y102="",P102="",E102=""),"",Y102+P102*E102)</f>
        <v/>
      </c>
      <c r="AA102" s="14" t="str">
        <f aca="false">IF(C102="","",IFERROR(INDEX(Noeuds_plan!$C$4:$C$200,MATCH(C102,Noeuds_plan!$A$4:$A$200,0)),""))</f>
        <v/>
      </c>
      <c r="AB102" s="14" t="str">
        <f aca="false">IF(B102="","",IFERROR(INDEX(Noeuds_plan!$C$4:$C$200,MATCH(B102,Noeuds_plan!$A$4:$A$200,0)),""))</f>
        <v/>
      </c>
      <c r="AC102" s="14" t="str">
        <f aca="false">IF(OR(AA102="",Y102=""),"",AA102-Y102)</f>
        <v/>
      </c>
      <c r="AD102" s="14" t="str">
        <f aca="false">IF(OR(AB102="",Z102=""),"",AB102-Z102)</f>
        <v/>
      </c>
      <c r="AE102" s="19" t="str">
        <f aca="false">IF(A102="","",IF(OR(V102&gt;1,AND(AY102&lt;&gt;"",AY102&lt;Inputs!$B$11),AND(AY102&lt;&gt;"",AY102&gt;Inputs!$B$12),AC102&lt;Inputs!$B$19,AD102&lt;Inputs!$B$19,P102&lt;Inputs!$B$7,P102&gt;Inputs!$B$8),"CHECK","OK"))</f>
        <v/>
      </c>
      <c r="AF102" s="9"/>
      <c r="AG102" s="9" t="str">
        <f aca="false">IF(A102="","",(1/Inputs!$B$9)*(PI()*(Inputs!$F$5/1000)^2/4)*((Inputs!$F$5/1000/4)^(2/3))*SQRT(P102))</f>
        <v/>
      </c>
      <c r="AH102" s="9" t="str">
        <f aca="false">IF(A102="","",(1/Inputs!$B$9)*(PI()*(Inputs!$F$6/1000)^2/4)*((Inputs!$F$6/1000/4)^(2/3))*SQRT(P102))</f>
        <v/>
      </c>
      <c r="AI102" s="9" t="str">
        <f aca="false">IF(A102="","",(1/Inputs!$B$9)*(PI()*(Inputs!$F$7/1000)^2/4)*((Inputs!$F$7/1000/4)^(2/3))*SQRT(P102))</f>
        <v/>
      </c>
      <c r="AJ102" s="9" t="str">
        <f aca="false">IF(A102="","",(1/Inputs!$B$9)*(PI()*(Inputs!$F$8/1000)^2/4)*((Inputs!$F$8/1000/4)^(2/3))*SQRT(P102))</f>
        <v/>
      </c>
      <c r="AK102" s="9" t="str">
        <f aca="false">IF(A102="","",(1/Inputs!$B$9)*(PI()*(Inputs!$F$9/1000)^2/4)*((Inputs!$F$9/1000/4)^(2/3))*SQRT(P102))</f>
        <v/>
      </c>
      <c r="AL102" s="9" t="str">
        <f aca="false">IF(A102="","",(1/Inputs!$B$9)*(PI()*(Inputs!$F$10/1000)^2/4)*((Inputs!$F$10/1000/4)^(2/3))*SQRT(P102))</f>
        <v/>
      </c>
      <c r="AM102" s="9" t="str">
        <f aca="false">IF(A102="","",(1/Inputs!$B$9)*(PI()*(Inputs!$F$11/1000)^2/4)*((Inputs!$F$11/1000/4)^(2/3))*SQRT(P102))</f>
        <v/>
      </c>
      <c r="AN102" s="9" t="str">
        <f aca="false">IF(A102="","",(1/Inputs!$B$9)*(PI()*(Inputs!$F$12/1000)^2/4)*((Inputs!$F$12/1000/4)^(2/3))*SQRT(P102))</f>
        <v/>
      </c>
      <c r="AO102" s="9" t="str">
        <f aca="false">IF(A102="","",(1/Inputs!$B$9)*(PI()*(Inputs!$F$13/1000)^2/4)*((Inputs!$F$13/1000/4)^(2/3))*SQRT(P102))</f>
        <v/>
      </c>
      <c r="AP102" s="9" t="str">
        <f aca="false">IF(A102="","",(1/Inputs!$B$9)*(PI()*(Inputs!$F$14/1000)^2/4)*((Inputs!$F$14/1000/4)^(2/3))*SQRT(P102))</f>
        <v/>
      </c>
      <c r="AQ102" s="9" t="str">
        <f aca="false">IF(A102="","",COUNTIF($D$4:$D$203,$A102))</f>
        <v/>
      </c>
      <c r="AR102" s="9" t="str">
        <f aca="false">IF(A102="","",IF(AQ102=0,"START","CONTINUOUS"))</f>
        <v/>
      </c>
      <c r="AS102" s="13" t="str">
        <f aca="false">IF(A102="","",IF(J102="",Inputs!$B$18,J102))</f>
        <v/>
      </c>
      <c r="AT102" s="13" t="str">
        <f aca="false">IF(A102="","",IFERROR(maxifs($AV$4:$AV$203,$D$4:$D$203,$A102),""))</f>
        <v/>
      </c>
      <c r="AU102" s="13" t="str">
        <f aca="false">IF(A102="","",IF(OR(E102="",Inputs!$B$23=""),"",E102/(Inputs!$B$23*60)))</f>
        <v/>
      </c>
      <c r="AV102" s="13" t="str">
        <f aca="false">IF(A102="","",IF(AQ102=0,AS102+AU102,IF(AT102="",AS102+AU102,AT102+AU102)))</f>
        <v/>
      </c>
      <c r="AW102" s="13" t="str">
        <f aca="false">IF(A102="","",W102)</f>
        <v/>
      </c>
      <c r="AX102" s="13" t="str">
        <f aca="false">IF(OR(T102="",P102=""),"",(1/Inputs!$B$9)*((T102/4)^(2/3))*SQRT(P102))</f>
        <v/>
      </c>
      <c r="AY102" s="13" t="str">
        <f aca="false">IF(A102="","",IF(AND(AW102="",AX102="",BA102=""),"",IF(OR(UPPER(TRIM(Inputs!$B$24))="MANNING",UPPER(TRIM(Inputs!$B$24))="M"),AX102,IF(OR(UPPER(TRIM(Inputs!$B$24))="PARTIAL",UPPER(TRIM(Inputs!$B$24))="P"),BA102,IF(OR(UPPER(TRIM(Inputs!$B$24))="MAX",UPPER(TRIM(Inputs!$B$24))="X"),MAX(IF(AW102="",0,AW102),IF(AX102="",0,AX102),IF(BA102="",0,BA102)),AW102)))))</f>
        <v/>
      </c>
      <c r="AZ102" s="13" t="str">
        <f aca="false">IF(BB102="","",CH102)</f>
        <v/>
      </c>
      <c r="BA102" s="13" t="str">
        <f aca="false">IF(OR(BB102="",AZ102="",T102="",T102&lt;=0,AZ102&lt;=0),"",BB102/((T102^2/8)*(2*ACOS(1-2*AZ102/T102)-SIN(2*ACOS(1-2*AZ102/T102)))))</f>
        <v/>
      </c>
      <c r="BB102" s="9" t="str">
        <f aca="false">IF(OR(N102="",BC102=""),"",MIN(N102,BC102))</f>
        <v/>
      </c>
      <c r="BC102" s="9" t="str">
        <f aca="false">IF(OR(N102="",T102="",P102=""),"",IF(OR(T102="",P102="",(0.94*T102)="",T102&lt;=0,(0.94*T102)&lt;=0),"",(1/Inputs!$B$9)*((T102^2/8)*((2*ACOS(1-2*(0.94*T102)/T102))-SIN((2*ACOS(1-2*(0.94*T102)/T102)))))*((((T102^2/8)*((2*ACOS(1-2*(0.94*T102)/T102))-SIN((2*ACOS(1-2*(0.94*T102)/T102)))))/((T102/2)*((2*ACOS(1-2*(0.94*T102)/T102)))))^(2/3))*SQRT(P102)))</f>
        <v/>
      </c>
      <c r="BD102" s="9" t="str">
        <f aca="false">IF(BB102="","",0.001*T102)</f>
        <v/>
      </c>
      <c r="BE102" s="9" t="str">
        <f aca="false">IF(BB102="","",0.94*T102)</f>
        <v/>
      </c>
      <c r="BF102" s="9" t="str">
        <f aca="false">IF(BB102="","",(BD102+BE102)/2)</f>
        <v/>
      </c>
      <c r="BG102" s="9" t="str">
        <f aca="false">IF(OR(T102="",P102="",BF102="",T102&lt;=0,BF102&lt;=0),"",(1/Inputs!$B$9)*((T102^2/8)*((2*ACOS(1-2*BF102/T102))-SIN((2*ACOS(1-2*BF102/T102)))))*((((T102^2/8)*((2*ACOS(1-2*BF102/T102))-SIN((2*ACOS(1-2*BF102/T102)))))/((T102/2)*((2*ACOS(1-2*BF102/T102)))))^(2/3))*SQRT(P102))</f>
        <v/>
      </c>
      <c r="BH102" s="9" t="str">
        <f aca="false">IF(BB102="","",IF(BG102&lt;BB102,BF102,BD102))</f>
        <v/>
      </c>
      <c r="BI102" s="9" t="str">
        <f aca="false">IF(BB102="","",IF(BG102&lt;BB102,BE102,BF102))</f>
        <v/>
      </c>
      <c r="BJ102" s="9" t="str">
        <f aca="false">IF(BB102="","",(BH102+BI102)/2)</f>
        <v/>
      </c>
      <c r="BK102" s="9" t="str">
        <f aca="false">IF(OR(T102="",P102="",BJ102="",T102&lt;=0,BJ102&lt;=0),"",(1/Inputs!$B$9)*((T102^2/8)*((2*ACOS(1-2*BJ102/T102))-SIN((2*ACOS(1-2*BJ102/T102)))))*((((T102^2/8)*((2*ACOS(1-2*BJ102/T102))-SIN((2*ACOS(1-2*BJ102/T102)))))/((T102/2)*((2*ACOS(1-2*BJ102/T102)))))^(2/3))*SQRT(P102))</f>
        <v/>
      </c>
      <c r="BL102" s="9" t="str">
        <f aca="false">IF(BB102="","",IF(BK102&lt;BB102,BJ102,BH102))</f>
        <v/>
      </c>
      <c r="BM102" s="9" t="str">
        <f aca="false">IF(BB102="","",IF(BK102&lt;BB102,BI102,BJ102))</f>
        <v/>
      </c>
      <c r="BN102" s="9" t="str">
        <f aca="false">IF(BB102="","",(BL102+BM102)/2)</f>
        <v/>
      </c>
      <c r="BO102" s="9" t="str">
        <f aca="false">IF(OR(T102="",P102="",BN102="",T102&lt;=0,BN102&lt;=0),"",(1/Inputs!$B$9)*((T102^2/8)*((2*ACOS(1-2*BN102/T102))-SIN((2*ACOS(1-2*BN102/T102)))))*((((T102^2/8)*((2*ACOS(1-2*BN102/T102))-SIN((2*ACOS(1-2*BN102/T102)))))/((T102/2)*((2*ACOS(1-2*BN102/T102)))))^(2/3))*SQRT(P102))</f>
        <v/>
      </c>
      <c r="BP102" s="9" t="str">
        <f aca="false">IF(BB102="","",IF(BO102&lt;BB102,BN102,BL102))</f>
        <v/>
      </c>
      <c r="BQ102" s="9" t="str">
        <f aca="false">IF(BB102="","",IF(BO102&lt;BB102,BM102,BN102))</f>
        <v/>
      </c>
      <c r="BR102" s="9" t="str">
        <f aca="false">IF(BB102="","",(BP102+BQ102)/2)</f>
        <v/>
      </c>
      <c r="BS102" s="9" t="str">
        <f aca="false">IF(OR(T102="",P102="",BR102="",T102&lt;=0,BR102&lt;=0),"",(1/Inputs!$B$9)*((T102^2/8)*((2*ACOS(1-2*BR102/T102))-SIN((2*ACOS(1-2*BR102/T102)))))*((((T102^2/8)*((2*ACOS(1-2*BR102/T102))-SIN((2*ACOS(1-2*BR102/T102)))))/((T102/2)*((2*ACOS(1-2*BR102/T102)))))^(2/3))*SQRT(P102))</f>
        <v/>
      </c>
      <c r="BT102" s="9" t="str">
        <f aca="false">IF(BB102="","",IF(BS102&lt;BB102,BR102,BP102))</f>
        <v/>
      </c>
      <c r="BU102" s="9" t="str">
        <f aca="false">IF(BB102="","",IF(BS102&lt;BB102,BQ102,BR102))</f>
        <v/>
      </c>
      <c r="BV102" s="9" t="str">
        <f aca="false">IF(BB102="","",(BT102+BU102)/2)</f>
        <v/>
      </c>
      <c r="BW102" s="9" t="str">
        <f aca="false">IF(OR(T102="",P102="",BV102="",T102&lt;=0,BV102&lt;=0),"",(1/Inputs!$B$9)*((T102^2/8)*((2*ACOS(1-2*BV102/T102))-SIN((2*ACOS(1-2*BV102/T102)))))*((((T102^2/8)*((2*ACOS(1-2*BV102/T102))-SIN((2*ACOS(1-2*BV102/T102)))))/((T102/2)*((2*ACOS(1-2*BV102/T102)))))^(2/3))*SQRT(P102))</f>
        <v/>
      </c>
      <c r="BX102" s="9" t="str">
        <f aca="false">IF(BB102="","",IF(BW102&lt;BB102,BV102,BT102))</f>
        <v/>
      </c>
      <c r="BY102" s="9" t="str">
        <f aca="false">IF(BB102="","",IF(BW102&lt;BB102,BU102,BV102))</f>
        <v/>
      </c>
      <c r="BZ102" s="9" t="str">
        <f aca="false">IF(BB102="","",(BX102+BY102)/2)</f>
        <v/>
      </c>
      <c r="CA102" s="9" t="str">
        <f aca="false">IF(OR(T102="",P102="",BZ102="",T102&lt;=0,BZ102&lt;=0),"",(1/Inputs!$B$9)*((T102^2/8)*((2*ACOS(1-2*BZ102/T102))-SIN((2*ACOS(1-2*BZ102/T102)))))*((((T102^2/8)*((2*ACOS(1-2*BZ102/T102))-SIN((2*ACOS(1-2*BZ102/T102)))))/((T102/2)*((2*ACOS(1-2*BZ102/T102)))))^(2/3))*SQRT(P102))</f>
        <v/>
      </c>
      <c r="CB102" s="9" t="str">
        <f aca="false">IF(BB102="","",IF(CA102&lt;BB102,BZ102,BX102))</f>
        <v/>
      </c>
      <c r="CC102" s="9" t="str">
        <f aca="false">IF(BB102="","",IF(CA102&lt;BB102,BY102,BZ102))</f>
        <v/>
      </c>
      <c r="CD102" s="9" t="str">
        <f aca="false">IF(BB102="","",(CB102+CC102)/2)</f>
        <v/>
      </c>
      <c r="CE102" s="9" t="str">
        <f aca="false">IF(OR(T102="",P102="",CD102="",T102&lt;=0,CD102&lt;=0),"",(1/Inputs!$B$9)*((T102^2/8)*((2*ACOS(1-2*CD102/T102))-SIN((2*ACOS(1-2*CD102/T102)))))*((((T102^2/8)*((2*ACOS(1-2*CD102/T102))-SIN((2*ACOS(1-2*CD102/T102)))))/((T102/2)*((2*ACOS(1-2*CD102/T102)))))^(2/3))*SQRT(P102))</f>
        <v/>
      </c>
      <c r="CF102" s="9" t="str">
        <f aca="false">IF(BB102="","",IF(CE102&lt;BB102,CD102,CB102))</f>
        <v/>
      </c>
      <c r="CG102" s="9" t="str">
        <f aca="false">IF(BB102="","",IF(CE102&lt;BB102,CC102,CD102))</f>
        <v/>
      </c>
      <c r="CH102" s="9" t="str">
        <f aca="false">IF(BB102="","",(CF102+CG102)/2)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14"/>
      <c r="F103" s="14"/>
      <c r="G103" s="14" t="n">
        <f aca="false">SUMIFS(CB_plan!$C:$C,CB_plan!$B:$B,$A103)</f>
        <v>0</v>
      </c>
      <c r="H103" s="14" t="n">
        <f aca="false">IF(F103="",G103,F103)</f>
        <v>0</v>
      </c>
      <c r="I103" s="9"/>
      <c r="J103" s="14"/>
      <c r="K103" s="14" t="str">
        <f aca="false">IF(A103="","",Inputs!$B$13/((IF(AV103="",Inputs!$B$18,AV103)+Inputs!$B$14)^Inputs!$B$15))</f>
        <v/>
      </c>
      <c r="L103" s="14" t="str">
        <f aca="false">IF(A103="","",0.000000278*IF(I103="",Inputs!$B$17,I103)*H103*K103)</f>
        <v/>
      </c>
      <c r="M103" s="14" t="str">
        <f aca="false">IF(A103="","",SUMIFS($N$4:$N$203,$D$4:$D$203,$A103))</f>
        <v/>
      </c>
      <c r="N103" s="14" t="str">
        <f aca="false">IF(A103="","",(L103+M103)*Inputs!$B$16)</f>
        <v/>
      </c>
      <c r="O103" s="14"/>
      <c r="P103" s="14" t="str">
        <f aca="false">IF(A103="","",IF(O103="",Inputs!$B$7,O103))</f>
        <v/>
      </c>
      <c r="Q103" s="9" t="str">
        <f aca="false">IF(A103="","",IF(N103/Inputs!$B$10&lt;=AG103,Inputs!$F$5,IF(N103/Inputs!$B$10&gt;AP103,"OVERSIZE",INDEX(Inputs!$F$5:$F$14,MATCH(N103/Inputs!$B$10,AG103:AP103,1)+1))))</f>
        <v/>
      </c>
      <c r="R103" s="9"/>
      <c r="S103" s="9" t="str">
        <f aca="false">IF(A103="","",IF(R103="",Q103,R103))</f>
        <v/>
      </c>
      <c r="T103" s="14" t="str">
        <f aca="false">IF(OR(S103="",S103="OVERSIZE"),"",S103/1000)</f>
        <v/>
      </c>
      <c r="U103" s="14" t="str">
        <f aca="false">IF(T103="","",(1/Inputs!$B$9)*(PI()*T103^2/4)*((T103/4)^(2/3))*SQRT(P103))</f>
        <v/>
      </c>
      <c r="V103" s="14" t="str">
        <f aca="false">IF(OR(U103="",N103=""),"",N103/(U103*Inputs!$B$10))</f>
        <v/>
      </c>
      <c r="W103" s="14" t="str">
        <f aca="false">IF(OR(T103="",N103=""),"",4*N103/(PI()*T103^2))</f>
        <v/>
      </c>
      <c r="X103" s="14"/>
      <c r="Y103" s="14" t="str">
        <f aca="false">IF(A103="","",IF(A103=Inputs!$B$6,Inputs!$B$22,IF(D103="","",IFERROR(INDEX($Z$4:$Z$203,MATCH(D103,$A$4:$A$203,0))+IF(X103="",Inputs!$B$20,X103),""))))</f>
        <v/>
      </c>
      <c r="Z103" s="14" t="str">
        <f aca="false">IF(OR(Y103="",P103="",E103=""),"",Y103+P103*E103)</f>
        <v/>
      </c>
      <c r="AA103" s="14" t="str">
        <f aca="false">IF(C103="","",IFERROR(INDEX(Noeuds_plan!$C$4:$C$200,MATCH(C103,Noeuds_plan!$A$4:$A$200,0)),""))</f>
        <v/>
      </c>
      <c r="AB103" s="14" t="str">
        <f aca="false">IF(B103="","",IFERROR(INDEX(Noeuds_plan!$C$4:$C$200,MATCH(B103,Noeuds_plan!$A$4:$A$200,0)),""))</f>
        <v/>
      </c>
      <c r="AC103" s="14" t="str">
        <f aca="false">IF(OR(AA103="",Y103=""),"",AA103-Y103)</f>
        <v/>
      </c>
      <c r="AD103" s="14" t="str">
        <f aca="false">IF(OR(AB103="",Z103=""),"",AB103-Z103)</f>
        <v/>
      </c>
      <c r="AE103" s="19" t="str">
        <f aca="false">IF(A103="","",IF(OR(V103&gt;1,AND(AY103&lt;&gt;"",AY103&lt;Inputs!$B$11),AND(AY103&lt;&gt;"",AY103&gt;Inputs!$B$12),AC103&lt;Inputs!$B$19,AD103&lt;Inputs!$B$19,P103&lt;Inputs!$B$7,P103&gt;Inputs!$B$8),"CHECK","OK"))</f>
        <v/>
      </c>
      <c r="AF103" s="9"/>
      <c r="AG103" s="9" t="str">
        <f aca="false">IF(A103="","",(1/Inputs!$B$9)*(PI()*(Inputs!$F$5/1000)^2/4)*((Inputs!$F$5/1000/4)^(2/3))*SQRT(P103))</f>
        <v/>
      </c>
      <c r="AH103" s="9" t="str">
        <f aca="false">IF(A103="","",(1/Inputs!$B$9)*(PI()*(Inputs!$F$6/1000)^2/4)*((Inputs!$F$6/1000/4)^(2/3))*SQRT(P103))</f>
        <v/>
      </c>
      <c r="AI103" s="9" t="str">
        <f aca="false">IF(A103="","",(1/Inputs!$B$9)*(PI()*(Inputs!$F$7/1000)^2/4)*((Inputs!$F$7/1000/4)^(2/3))*SQRT(P103))</f>
        <v/>
      </c>
      <c r="AJ103" s="9" t="str">
        <f aca="false">IF(A103="","",(1/Inputs!$B$9)*(PI()*(Inputs!$F$8/1000)^2/4)*((Inputs!$F$8/1000/4)^(2/3))*SQRT(P103))</f>
        <v/>
      </c>
      <c r="AK103" s="9" t="str">
        <f aca="false">IF(A103="","",(1/Inputs!$B$9)*(PI()*(Inputs!$F$9/1000)^2/4)*((Inputs!$F$9/1000/4)^(2/3))*SQRT(P103))</f>
        <v/>
      </c>
      <c r="AL103" s="9" t="str">
        <f aca="false">IF(A103="","",(1/Inputs!$B$9)*(PI()*(Inputs!$F$10/1000)^2/4)*((Inputs!$F$10/1000/4)^(2/3))*SQRT(P103))</f>
        <v/>
      </c>
      <c r="AM103" s="9" t="str">
        <f aca="false">IF(A103="","",(1/Inputs!$B$9)*(PI()*(Inputs!$F$11/1000)^2/4)*((Inputs!$F$11/1000/4)^(2/3))*SQRT(P103))</f>
        <v/>
      </c>
      <c r="AN103" s="9" t="str">
        <f aca="false">IF(A103="","",(1/Inputs!$B$9)*(PI()*(Inputs!$F$12/1000)^2/4)*((Inputs!$F$12/1000/4)^(2/3))*SQRT(P103))</f>
        <v/>
      </c>
      <c r="AO103" s="9" t="str">
        <f aca="false">IF(A103="","",(1/Inputs!$B$9)*(PI()*(Inputs!$F$13/1000)^2/4)*((Inputs!$F$13/1000/4)^(2/3))*SQRT(P103))</f>
        <v/>
      </c>
      <c r="AP103" s="9" t="str">
        <f aca="false">IF(A103="","",(1/Inputs!$B$9)*(PI()*(Inputs!$F$14/1000)^2/4)*((Inputs!$F$14/1000/4)^(2/3))*SQRT(P103))</f>
        <v/>
      </c>
      <c r="AQ103" s="9" t="str">
        <f aca="false">IF(A103="","",COUNTIF($D$4:$D$203,$A103))</f>
        <v/>
      </c>
      <c r="AR103" s="9" t="str">
        <f aca="false">IF(A103="","",IF(AQ103=0,"START","CONTINUOUS"))</f>
        <v/>
      </c>
      <c r="AS103" s="13" t="str">
        <f aca="false">IF(A103="","",IF(J103="",Inputs!$B$18,J103))</f>
        <v/>
      </c>
      <c r="AT103" s="13" t="str">
        <f aca="false">IF(A103="","",IFERROR(maxifs($AV$4:$AV$203,$D$4:$D$203,$A103),""))</f>
        <v/>
      </c>
      <c r="AU103" s="13" t="str">
        <f aca="false">IF(A103="","",IF(OR(E103="",Inputs!$B$23=""),"",E103/(Inputs!$B$23*60)))</f>
        <v/>
      </c>
      <c r="AV103" s="13" t="str">
        <f aca="false">IF(A103="","",IF(AQ103=0,AS103+AU103,IF(AT103="",AS103+AU103,AT103+AU103)))</f>
        <v/>
      </c>
      <c r="AW103" s="13" t="str">
        <f aca="false">IF(A103="","",W103)</f>
        <v/>
      </c>
      <c r="AX103" s="13" t="str">
        <f aca="false">IF(OR(T103="",P103=""),"",(1/Inputs!$B$9)*((T103/4)^(2/3))*SQRT(P103))</f>
        <v/>
      </c>
      <c r="AY103" s="13" t="str">
        <f aca="false">IF(A103="","",IF(AND(AW103="",AX103="",BA103=""),"",IF(OR(UPPER(TRIM(Inputs!$B$24))="MANNING",UPPER(TRIM(Inputs!$B$24))="M"),AX103,IF(OR(UPPER(TRIM(Inputs!$B$24))="PARTIAL",UPPER(TRIM(Inputs!$B$24))="P"),BA103,IF(OR(UPPER(TRIM(Inputs!$B$24))="MAX",UPPER(TRIM(Inputs!$B$24))="X"),MAX(IF(AW103="",0,AW103),IF(AX103="",0,AX103),IF(BA103="",0,BA103)),AW103)))))</f>
        <v/>
      </c>
      <c r="AZ103" s="13" t="str">
        <f aca="false">IF(BB103="","",CH103)</f>
        <v/>
      </c>
      <c r="BA103" s="13" t="str">
        <f aca="false">IF(OR(BB103="",AZ103="",T103="",T103&lt;=0,AZ103&lt;=0),"",BB103/((T103^2/8)*(2*ACOS(1-2*AZ103/T103)-SIN(2*ACOS(1-2*AZ103/T103)))))</f>
        <v/>
      </c>
      <c r="BB103" s="9" t="str">
        <f aca="false">IF(OR(N103="",BC103=""),"",MIN(N103,BC103))</f>
        <v/>
      </c>
      <c r="BC103" s="9" t="str">
        <f aca="false">IF(OR(N103="",T103="",P103=""),"",IF(OR(T103="",P103="",(0.94*T103)="",T103&lt;=0,(0.94*T103)&lt;=0),"",(1/Inputs!$B$9)*((T103^2/8)*((2*ACOS(1-2*(0.94*T103)/T103))-SIN((2*ACOS(1-2*(0.94*T103)/T103)))))*((((T103^2/8)*((2*ACOS(1-2*(0.94*T103)/T103))-SIN((2*ACOS(1-2*(0.94*T103)/T103)))))/((T103/2)*((2*ACOS(1-2*(0.94*T103)/T103)))))^(2/3))*SQRT(P103)))</f>
        <v/>
      </c>
      <c r="BD103" s="9" t="str">
        <f aca="false">IF(BB103="","",0.001*T103)</f>
        <v/>
      </c>
      <c r="BE103" s="9" t="str">
        <f aca="false">IF(BB103="","",0.94*T103)</f>
        <v/>
      </c>
      <c r="BF103" s="9" t="str">
        <f aca="false">IF(BB103="","",(BD103+BE103)/2)</f>
        <v/>
      </c>
      <c r="BG103" s="9" t="str">
        <f aca="false">IF(OR(T103="",P103="",BF103="",T103&lt;=0,BF103&lt;=0),"",(1/Inputs!$B$9)*((T103^2/8)*((2*ACOS(1-2*BF103/T103))-SIN((2*ACOS(1-2*BF103/T103)))))*((((T103^2/8)*((2*ACOS(1-2*BF103/T103))-SIN((2*ACOS(1-2*BF103/T103)))))/((T103/2)*((2*ACOS(1-2*BF103/T103)))))^(2/3))*SQRT(P103))</f>
        <v/>
      </c>
      <c r="BH103" s="9" t="str">
        <f aca="false">IF(BB103="","",IF(BG103&lt;BB103,BF103,BD103))</f>
        <v/>
      </c>
      <c r="BI103" s="9" t="str">
        <f aca="false">IF(BB103="","",IF(BG103&lt;BB103,BE103,BF103))</f>
        <v/>
      </c>
      <c r="BJ103" s="9" t="str">
        <f aca="false">IF(BB103="","",(BH103+BI103)/2)</f>
        <v/>
      </c>
      <c r="BK103" s="9" t="str">
        <f aca="false">IF(OR(T103="",P103="",BJ103="",T103&lt;=0,BJ103&lt;=0),"",(1/Inputs!$B$9)*((T103^2/8)*((2*ACOS(1-2*BJ103/T103))-SIN((2*ACOS(1-2*BJ103/T103)))))*((((T103^2/8)*((2*ACOS(1-2*BJ103/T103))-SIN((2*ACOS(1-2*BJ103/T103)))))/((T103/2)*((2*ACOS(1-2*BJ103/T103)))))^(2/3))*SQRT(P103))</f>
        <v/>
      </c>
      <c r="BL103" s="9" t="str">
        <f aca="false">IF(BB103="","",IF(BK103&lt;BB103,BJ103,BH103))</f>
        <v/>
      </c>
      <c r="BM103" s="9" t="str">
        <f aca="false">IF(BB103="","",IF(BK103&lt;BB103,BI103,BJ103))</f>
        <v/>
      </c>
      <c r="BN103" s="9" t="str">
        <f aca="false">IF(BB103="","",(BL103+BM103)/2)</f>
        <v/>
      </c>
      <c r="BO103" s="9" t="str">
        <f aca="false">IF(OR(T103="",P103="",BN103="",T103&lt;=0,BN103&lt;=0),"",(1/Inputs!$B$9)*((T103^2/8)*((2*ACOS(1-2*BN103/T103))-SIN((2*ACOS(1-2*BN103/T103)))))*((((T103^2/8)*((2*ACOS(1-2*BN103/T103))-SIN((2*ACOS(1-2*BN103/T103)))))/((T103/2)*((2*ACOS(1-2*BN103/T103)))))^(2/3))*SQRT(P103))</f>
        <v/>
      </c>
      <c r="BP103" s="9" t="str">
        <f aca="false">IF(BB103="","",IF(BO103&lt;BB103,BN103,BL103))</f>
        <v/>
      </c>
      <c r="BQ103" s="9" t="str">
        <f aca="false">IF(BB103="","",IF(BO103&lt;BB103,BM103,BN103))</f>
        <v/>
      </c>
      <c r="BR103" s="9" t="str">
        <f aca="false">IF(BB103="","",(BP103+BQ103)/2)</f>
        <v/>
      </c>
      <c r="BS103" s="9" t="str">
        <f aca="false">IF(OR(T103="",P103="",BR103="",T103&lt;=0,BR103&lt;=0),"",(1/Inputs!$B$9)*((T103^2/8)*((2*ACOS(1-2*BR103/T103))-SIN((2*ACOS(1-2*BR103/T103)))))*((((T103^2/8)*((2*ACOS(1-2*BR103/T103))-SIN((2*ACOS(1-2*BR103/T103)))))/((T103/2)*((2*ACOS(1-2*BR103/T103)))))^(2/3))*SQRT(P103))</f>
        <v/>
      </c>
      <c r="BT103" s="9" t="str">
        <f aca="false">IF(BB103="","",IF(BS103&lt;BB103,BR103,BP103))</f>
        <v/>
      </c>
      <c r="BU103" s="9" t="str">
        <f aca="false">IF(BB103="","",IF(BS103&lt;BB103,BQ103,BR103))</f>
        <v/>
      </c>
      <c r="BV103" s="9" t="str">
        <f aca="false">IF(BB103="","",(BT103+BU103)/2)</f>
        <v/>
      </c>
      <c r="BW103" s="9" t="str">
        <f aca="false">IF(OR(T103="",P103="",BV103="",T103&lt;=0,BV103&lt;=0),"",(1/Inputs!$B$9)*((T103^2/8)*((2*ACOS(1-2*BV103/T103))-SIN((2*ACOS(1-2*BV103/T103)))))*((((T103^2/8)*((2*ACOS(1-2*BV103/T103))-SIN((2*ACOS(1-2*BV103/T103)))))/((T103/2)*((2*ACOS(1-2*BV103/T103)))))^(2/3))*SQRT(P103))</f>
        <v/>
      </c>
      <c r="BX103" s="9" t="str">
        <f aca="false">IF(BB103="","",IF(BW103&lt;BB103,BV103,BT103))</f>
        <v/>
      </c>
      <c r="BY103" s="9" t="str">
        <f aca="false">IF(BB103="","",IF(BW103&lt;BB103,BU103,BV103))</f>
        <v/>
      </c>
      <c r="BZ103" s="9" t="str">
        <f aca="false">IF(BB103="","",(BX103+BY103)/2)</f>
        <v/>
      </c>
      <c r="CA103" s="9" t="str">
        <f aca="false">IF(OR(T103="",P103="",BZ103="",T103&lt;=0,BZ103&lt;=0),"",(1/Inputs!$B$9)*((T103^2/8)*((2*ACOS(1-2*BZ103/T103))-SIN((2*ACOS(1-2*BZ103/T103)))))*((((T103^2/8)*((2*ACOS(1-2*BZ103/T103))-SIN((2*ACOS(1-2*BZ103/T103)))))/((T103/2)*((2*ACOS(1-2*BZ103/T103)))))^(2/3))*SQRT(P103))</f>
        <v/>
      </c>
      <c r="CB103" s="9" t="str">
        <f aca="false">IF(BB103="","",IF(CA103&lt;BB103,BZ103,BX103))</f>
        <v/>
      </c>
      <c r="CC103" s="9" t="str">
        <f aca="false">IF(BB103="","",IF(CA103&lt;BB103,BY103,BZ103))</f>
        <v/>
      </c>
      <c r="CD103" s="9" t="str">
        <f aca="false">IF(BB103="","",(CB103+CC103)/2)</f>
        <v/>
      </c>
      <c r="CE103" s="9" t="str">
        <f aca="false">IF(OR(T103="",P103="",CD103="",T103&lt;=0,CD103&lt;=0),"",(1/Inputs!$B$9)*((T103^2/8)*((2*ACOS(1-2*CD103/T103))-SIN((2*ACOS(1-2*CD103/T103)))))*((((T103^2/8)*((2*ACOS(1-2*CD103/T103))-SIN((2*ACOS(1-2*CD103/T103)))))/((T103/2)*((2*ACOS(1-2*CD103/T103)))))^(2/3))*SQRT(P103))</f>
        <v/>
      </c>
      <c r="CF103" s="9" t="str">
        <f aca="false">IF(BB103="","",IF(CE103&lt;BB103,CD103,CB103))</f>
        <v/>
      </c>
      <c r="CG103" s="9" t="str">
        <f aca="false">IF(BB103="","",IF(CE103&lt;BB103,CC103,CD103))</f>
        <v/>
      </c>
      <c r="CH103" s="9" t="str">
        <f aca="false">IF(BB103="","",(CF103+CG103)/2)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14"/>
      <c r="F104" s="14"/>
      <c r="G104" s="14" t="n">
        <f aca="false">SUMIFS(CB_plan!$C:$C,CB_plan!$B:$B,$A104)</f>
        <v>0</v>
      </c>
      <c r="H104" s="14" t="n">
        <f aca="false">IF(F104="",G104,F104)</f>
        <v>0</v>
      </c>
      <c r="I104" s="9"/>
      <c r="J104" s="14"/>
      <c r="K104" s="14" t="str">
        <f aca="false">IF(A104="","",Inputs!$B$13/((IF(AV104="",Inputs!$B$18,AV104)+Inputs!$B$14)^Inputs!$B$15))</f>
        <v/>
      </c>
      <c r="L104" s="14" t="str">
        <f aca="false">IF(A104="","",0.000000278*IF(I104="",Inputs!$B$17,I104)*H104*K104)</f>
        <v/>
      </c>
      <c r="M104" s="14" t="str">
        <f aca="false">IF(A104="","",SUMIFS($N$4:$N$203,$D$4:$D$203,$A104))</f>
        <v/>
      </c>
      <c r="N104" s="14" t="str">
        <f aca="false">IF(A104="","",(L104+M104)*Inputs!$B$16)</f>
        <v/>
      </c>
      <c r="O104" s="14"/>
      <c r="P104" s="14" t="str">
        <f aca="false">IF(A104="","",IF(O104="",Inputs!$B$7,O104))</f>
        <v/>
      </c>
      <c r="Q104" s="9" t="str">
        <f aca="false">IF(A104="","",IF(N104/Inputs!$B$10&lt;=AG104,Inputs!$F$5,IF(N104/Inputs!$B$10&gt;AP104,"OVERSIZE",INDEX(Inputs!$F$5:$F$14,MATCH(N104/Inputs!$B$10,AG104:AP104,1)+1))))</f>
        <v/>
      </c>
      <c r="R104" s="9"/>
      <c r="S104" s="9" t="str">
        <f aca="false">IF(A104="","",IF(R104="",Q104,R104))</f>
        <v/>
      </c>
      <c r="T104" s="14" t="str">
        <f aca="false">IF(OR(S104="",S104="OVERSIZE"),"",S104/1000)</f>
        <v/>
      </c>
      <c r="U104" s="14" t="str">
        <f aca="false">IF(T104="","",(1/Inputs!$B$9)*(PI()*T104^2/4)*((T104/4)^(2/3))*SQRT(P104))</f>
        <v/>
      </c>
      <c r="V104" s="14" t="str">
        <f aca="false">IF(OR(U104="",N104=""),"",N104/(U104*Inputs!$B$10))</f>
        <v/>
      </c>
      <c r="W104" s="14" t="str">
        <f aca="false">IF(OR(T104="",N104=""),"",4*N104/(PI()*T104^2))</f>
        <v/>
      </c>
      <c r="X104" s="14"/>
      <c r="Y104" s="14" t="str">
        <f aca="false">IF(A104="","",IF(A104=Inputs!$B$6,Inputs!$B$22,IF(D104="","",IFERROR(INDEX($Z$4:$Z$203,MATCH(D104,$A$4:$A$203,0))+IF(X104="",Inputs!$B$20,X104),""))))</f>
        <v/>
      </c>
      <c r="Z104" s="14" t="str">
        <f aca="false">IF(OR(Y104="",P104="",E104=""),"",Y104+P104*E104)</f>
        <v/>
      </c>
      <c r="AA104" s="14" t="str">
        <f aca="false">IF(C104="","",IFERROR(INDEX(Noeuds_plan!$C$4:$C$200,MATCH(C104,Noeuds_plan!$A$4:$A$200,0)),""))</f>
        <v/>
      </c>
      <c r="AB104" s="14" t="str">
        <f aca="false">IF(B104="","",IFERROR(INDEX(Noeuds_plan!$C$4:$C$200,MATCH(B104,Noeuds_plan!$A$4:$A$200,0)),""))</f>
        <v/>
      </c>
      <c r="AC104" s="14" t="str">
        <f aca="false">IF(OR(AA104="",Y104=""),"",AA104-Y104)</f>
        <v/>
      </c>
      <c r="AD104" s="14" t="str">
        <f aca="false">IF(OR(AB104="",Z104=""),"",AB104-Z104)</f>
        <v/>
      </c>
      <c r="AE104" s="19" t="str">
        <f aca="false">IF(A104="","",IF(OR(V104&gt;1,AND(AY104&lt;&gt;"",AY104&lt;Inputs!$B$11),AND(AY104&lt;&gt;"",AY104&gt;Inputs!$B$12),AC104&lt;Inputs!$B$19,AD104&lt;Inputs!$B$19,P104&lt;Inputs!$B$7,P104&gt;Inputs!$B$8),"CHECK","OK"))</f>
        <v/>
      </c>
      <c r="AF104" s="9"/>
      <c r="AG104" s="9" t="str">
        <f aca="false">IF(A104="","",(1/Inputs!$B$9)*(PI()*(Inputs!$F$5/1000)^2/4)*((Inputs!$F$5/1000/4)^(2/3))*SQRT(P104))</f>
        <v/>
      </c>
      <c r="AH104" s="9" t="str">
        <f aca="false">IF(A104="","",(1/Inputs!$B$9)*(PI()*(Inputs!$F$6/1000)^2/4)*((Inputs!$F$6/1000/4)^(2/3))*SQRT(P104))</f>
        <v/>
      </c>
      <c r="AI104" s="9" t="str">
        <f aca="false">IF(A104="","",(1/Inputs!$B$9)*(PI()*(Inputs!$F$7/1000)^2/4)*((Inputs!$F$7/1000/4)^(2/3))*SQRT(P104))</f>
        <v/>
      </c>
      <c r="AJ104" s="9" t="str">
        <f aca="false">IF(A104="","",(1/Inputs!$B$9)*(PI()*(Inputs!$F$8/1000)^2/4)*((Inputs!$F$8/1000/4)^(2/3))*SQRT(P104))</f>
        <v/>
      </c>
      <c r="AK104" s="9" t="str">
        <f aca="false">IF(A104="","",(1/Inputs!$B$9)*(PI()*(Inputs!$F$9/1000)^2/4)*((Inputs!$F$9/1000/4)^(2/3))*SQRT(P104))</f>
        <v/>
      </c>
      <c r="AL104" s="9" t="str">
        <f aca="false">IF(A104="","",(1/Inputs!$B$9)*(PI()*(Inputs!$F$10/1000)^2/4)*((Inputs!$F$10/1000/4)^(2/3))*SQRT(P104))</f>
        <v/>
      </c>
      <c r="AM104" s="9" t="str">
        <f aca="false">IF(A104="","",(1/Inputs!$B$9)*(PI()*(Inputs!$F$11/1000)^2/4)*((Inputs!$F$11/1000/4)^(2/3))*SQRT(P104))</f>
        <v/>
      </c>
      <c r="AN104" s="9" t="str">
        <f aca="false">IF(A104="","",(1/Inputs!$B$9)*(PI()*(Inputs!$F$12/1000)^2/4)*((Inputs!$F$12/1000/4)^(2/3))*SQRT(P104))</f>
        <v/>
      </c>
      <c r="AO104" s="9" t="str">
        <f aca="false">IF(A104="","",(1/Inputs!$B$9)*(PI()*(Inputs!$F$13/1000)^2/4)*((Inputs!$F$13/1000/4)^(2/3))*SQRT(P104))</f>
        <v/>
      </c>
      <c r="AP104" s="9" t="str">
        <f aca="false">IF(A104="","",(1/Inputs!$B$9)*(PI()*(Inputs!$F$14/1000)^2/4)*((Inputs!$F$14/1000/4)^(2/3))*SQRT(P104))</f>
        <v/>
      </c>
      <c r="AQ104" s="9" t="str">
        <f aca="false">IF(A104="","",COUNTIF($D$4:$D$203,$A104))</f>
        <v/>
      </c>
      <c r="AR104" s="9" t="str">
        <f aca="false">IF(A104="","",IF(AQ104=0,"START","CONTINUOUS"))</f>
        <v/>
      </c>
      <c r="AS104" s="13" t="str">
        <f aca="false">IF(A104="","",IF(J104="",Inputs!$B$18,J104))</f>
        <v/>
      </c>
      <c r="AT104" s="13" t="str">
        <f aca="false">IF(A104="","",IFERROR(maxifs($AV$4:$AV$203,$D$4:$D$203,$A104),""))</f>
        <v/>
      </c>
      <c r="AU104" s="13" t="str">
        <f aca="false">IF(A104="","",IF(OR(E104="",Inputs!$B$23=""),"",E104/(Inputs!$B$23*60)))</f>
        <v/>
      </c>
      <c r="AV104" s="13" t="str">
        <f aca="false">IF(A104="","",IF(AQ104=0,AS104+AU104,IF(AT104="",AS104+AU104,AT104+AU104)))</f>
        <v/>
      </c>
      <c r="AW104" s="13" t="str">
        <f aca="false">IF(A104="","",W104)</f>
        <v/>
      </c>
      <c r="AX104" s="13" t="str">
        <f aca="false">IF(OR(T104="",P104=""),"",(1/Inputs!$B$9)*((T104/4)^(2/3))*SQRT(P104))</f>
        <v/>
      </c>
      <c r="AY104" s="13" t="str">
        <f aca="false">IF(A104="","",IF(AND(AW104="",AX104="",BA104=""),"",IF(OR(UPPER(TRIM(Inputs!$B$24))="MANNING",UPPER(TRIM(Inputs!$B$24))="M"),AX104,IF(OR(UPPER(TRIM(Inputs!$B$24))="PARTIAL",UPPER(TRIM(Inputs!$B$24))="P"),BA104,IF(OR(UPPER(TRIM(Inputs!$B$24))="MAX",UPPER(TRIM(Inputs!$B$24))="X"),MAX(IF(AW104="",0,AW104),IF(AX104="",0,AX104),IF(BA104="",0,BA104)),AW104)))))</f>
        <v/>
      </c>
      <c r="AZ104" s="13" t="str">
        <f aca="false">IF(BB104="","",CH104)</f>
        <v/>
      </c>
      <c r="BA104" s="13" t="str">
        <f aca="false">IF(OR(BB104="",AZ104="",T104="",T104&lt;=0,AZ104&lt;=0),"",BB104/((T104^2/8)*(2*ACOS(1-2*AZ104/T104)-SIN(2*ACOS(1-2*AZ104/T104)))))</f>
        <v/>
      </c>
      <c r="BB104" s="9" t="str">
        <f aca="false">IF(OR(N104="",BC104=""),"",MIN(N104,BC104))</f>
        <v/>
      </c>
      <c r="BC104" s="9" t="str">
        <f aca="false">IF(OR(N104="",T104="",P104=""),"",IF(OR(T104="",P104="",(0.94*T104)="",T104&lt;=0,(0.94*T104)&lt;=0),"",(1/Inputs!$B$9)*((T104^2/8)*((2*ACOS(1-2*(0.94*T104)/T104))-SIN((2*ACOS(1-2*(0.94*T104)/T104)))))*((((T104^2/8)*((2*ACOS(1-2*(0.94*T104)/T104))-SIN((2*ACOS(1-2*(0.94*T104)/T104)))))/((T104/2)*((2*ACOS(1-2*(0.94*T104)/T104)))))^(2/3))*SQRT(P104)))</f>
        <v/>
      </c>
      <c r="BD104" s="9" t="str">
        <f aca="false">IF(BB104="","",0.001*T104)</f>
        <v/>
      </c>
      <c r="BE104" s="9" t="str">
        <f aca="false">IF(BB104="","",0.94*T104)</f>
        <v/>
      </c>
      <c r="BF104" s="9" t="str">
        <f aca="false">IF(BB104="","",(BD104+BE104)/2)</f>
        <v/>
      </c>
      <c r="BG104" s="9" t="str">
        <f aca="false">IF(OR(T104="",P104="",BF104="",T104&lt;=0,BF104&lt;=0),"",(1/Inputs!$B$9)*((T104^2/8)*((2*ACOS(1-2*BF104/T104))-SIN((2*ACOS(1-2*BF104/T104)))))*((((T104^2/8)*((2*ACOS(1-2*BF104/T104))-SIN((2*ACOS(1-2*BF104/T104)))))/((T104/2)*((2*ACOS(1-2*BF104/T104)))))^(2/3))*SQRT(P104))</f>
        <v/>
      </c>
      <c r="BH104" s="9" t="str">
        <f aca="false">IF(BB104="","",IF(BG104&lt;BB104,BF104,BD104))</f>
        <v/>
      </c>
      <c r="BI104" s="9" t="str">
        <f aca="false">IF(BB104="","",IF(BG104&lt;BB104,BE104,BF104))</f>
        <v/>
      </c>
      <c r="BJ104" s="9" t="str">
        <f aca="false">IF(BB104="","",(BH104+BI104)/2)</f>
        <v/>
      </c>
      <c r="BK104" s="9" t="str">
        <f aca="false">IF(OR(T104="",P104="",BJ104="",T104&lt;=0,BJ104&lt;=0),"",(1/Inputs!$B$9)*((T104^2/8)*((2*ACOS(1-2*BJ104/T104))-SIN((2*ACOS(1-2*BJ104/T104)))))*((((T104^2/8)*((2*ACOS(1-2*BJ104/T104))-SIN((2*ACOS(1-2*BJ104/T104)))))/((T104/2)*((2*ACOS(1-2*BJ104/T104)))))^(2/3))*SQRT(P104))</f>
        <v/>
      </c>
      <c r="BL104" s="9" t="str">
        <f aca="false">IF(BB104="","",IF(BK104&lt;BB104,BJ104,BH104))</f>
        <v/>
      </c>
      <c r="BM104" s="9" t="str">
        <f aca="false">IF(BB104="","",IF(BK104&lt;BB104,BI104,BJ104))</f>
        <v/>
      </c>
      <c r="BN104" s="9" t="str">
        <f aca="false">IF(BB104="","",(BL104+BM104)/2)</f>
        <v/>
      </c>
      <c r="BO104" s="9" t="str">
        <f aca="false">IF(OR(T104="",P104="",BN104="",T104&lt;=0,BN104&lt;=0),"",(1/Inputs!$B$9)*((T104^2/8)*((2*ACOS(1-2*BN104/T104))-SIN((2*ACOS(1-2*BN104/T104)))))*((((T104^2/8)*((2*ACOS(1-2*BN104/T104))-SIN((2*ACOS(1-2*BN104/T104)))))/((T104/2)*((2*ACOS(1-2*BN104/T104)))))^(2/3))*SQRT(P104))</f>
        <v/>
      </c>
      <c r="BP104" s="9" t="str">
        <f aca="false">IF(BB104="","",IF(BO104&lt;BB104,BN104,BL104))</f>
        <v/>
      </c>
      <c r="BQ104" s="9" t="str">
        <f aca="false">IF(BB104="","",IF(BO104&lt;BB104,BM104,BN104))</f>
        <v/>
      </c>
      <c r="BR104" s="9" t="str">
        <f aca="false">IF(BB104="","",(BP104+BQ104)/2)</f>
        <v/>
      </c>
      <c r="BS104" s="9" t="str">
        <f aca="false">IF(OR(T104="",P104="",BR104="",T104&lt;=0,BR104&lt;=0),"",(1/Inputs!$B$9)*((T104^2/8)*((2*ACOS(1-2*BR104/T104))-SIN((2*ACOS(1-2*BR104/T104)))))*((((T104^2/8)*((2*ACOS(1-2*BR104/T104))-SIN((2*ACOS(1-2*BR104/T104)))))/((T104/2)*((2*ACOS(1-2*BR104/T104)))))^(2/3))*SQRT(P104))</f>
        <v/>
      </c>
      <c r="BT104" s="9" t="str">
        <f aca="false">IF(BB104="","",IF(BS104&lt;BB104,BR104,BP104))</f>
        <v/>
      </c>
      <c r="BU104" s="9" t="str">
        <f aca="false">IF(BB104="","",IF(BS104&lt;BB104,BQ104,BR104))</f>
        <v/>
      </c>
      <c r="BV104" s="9" t="str">
        <f aca="false">IF(BB104="","",(BT104+BU104)/2)</f>
        <v/>
      </c>
      <c r="BW104" s="9" t="str">
        <f aca="false">IF(OR(T104="",P104="",BV104="",T104&lt;=0,BV104&lt;=0),"",(1/Inputs!$B$9)*((T104^2/8)*((2*ACOS(1-2*BV104/T104))-SIN((2*ACOS(1-2*BV104/T104)))))*((((T104^2/8)*((2*ACOS(1-2*BV104/T104))-SIN((2*ACOS(1-2*BV104/T104)))))/((T104/2)*((2*ACOS(1-2*BV104/T104)))))^(2/3))*SQRT(P104))</f>
        <v/>
      </c>
      <c r="BX104" s="9" t="str">
        <f aca="false">IF(BB104="","",IF(BW104&lt;BB104,BV104,BT104))</f>
        <v/>
      </c>
      <c r="BY104" s="9" t="str">
        <f aca="false">IF(BB104="","",IF(BW104&lt;BB104,BU104,BV104))</f>
        <v/>
      </c>
      <c r="BZ104" s="9" t="str">
        <f aca="false">IF(BB104="","",(BX104+BY104)/2)</f>
        <v/>
      </c>
      <c r="CA104" s="9" t="str">
        <f aca="false">IF(OR(T104="",P104="",BZ104="",T104&lt;=0,BZ104&lt;=0),"",(1/Inputs!$B$9)*((T104^2/8)*((2*ACOS(1-2*BZ104/T104))-SIN((2*ACOS(1-2*BZ104/T104)))))*((((T104^2/8)*((2*ACOS(1-2*BZ104/T104))-SIN((2*ACOS(1-2*BZ104/T104)))))/((T104/2)*((2*ACOS(1-2*BZ104/T104)))))^(2/3))*SQRT(P104))</f>
        <v/>
      </c>
      <c r="CB104" s="9" t="str">
        <f aca="false">IF(BB104="","",IF(CA104&lt;BB104,BZ104,BX104))</f>
        <v/>
      </c>
      <c r="CC104" s="9" t="str">
        <f aca="false">IF(BB104="","",IF(CA104&lt;BB104,BY104,BZ104))</f>
        <v/>
      </c>
      <c r="CD104" s="9" t="str">
        <f aca="false">IF(BB104="","",(CB104+CC104)/2)</f>
        <v/>
      </c>
      <c r="CE104" s="9" t="str">
        <f aca="false">IF(OR(T104="",P104="",CD104="",T104&lt;=0,CD104&lt;=0),"",(1/Inputs!$B$9)*((T104^2/8)*((2*ACOS(1-2*CD104/T104))-SIN((2*ACOS(1-2*CD104/T104)))))*((((T104^2/8)*((2*ACOS(1-2*CD104/T104))-SIN((2*ACOS(1-2*CD104/T104)))))/((T104/2)*((2*ACOS(1-2*CD104/T104)))))^(2/3))*SQRT(P104))</f>
        <v/>
      </c>
      <c r="CF104" s="9" t="str">
        <f aca="false">IF(BB104="","",IF(CE104&lt;BB104,CD104,CB104))</f>
        <v/>
      </c>
      <c r="CG104" s="9" t="str">
        <f aca="false">IF(BB104="","",IF(CE104&lt;BB104,CC104,CD104))</f>
        <v/>
      </c>
      <c r="CH104" s="9" t="str">
        <f aca="false">IF(BB104="","",(CF104+CG104)/2)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14"/>
      <c r="F105" s="14"/>
      <c r="G105" s="14" t="n">
        <f aca="false">SUMIFS(CB_plan!$C:$C,CB_plan!$B:$B,$A105)</f>
        <v>0</v>
      </c>
      <c r="H105" s="14" t="n">
        <f aca="false">IF(F105="",G105,F105)</f>
        <v>0</v>
      </c>
      <c r="I105" s="9"/>
      <c r="J105" s="14"/>
      <c r="K105" s="14" t="str">
        <f aca="false">IF(A105="","",Inputs!$B$13/((IF(AV105="",Inputs!$B$18,AV105)+Inputs!$B$14)^Inputs!$B$15))</f>
        <v/>
      </c>
      <c r="L105" s="14" t="str">
        <f aca="false">IF(A105="","",0.000000278*IF(I105="",Inputs!$B$17,I105)*H105*K105)</f>
        <v/>
      </c>
      <c r="M105" s="14" t="str">
        <f aca="false">IF(A105="","",SUMIFS($N$4:$N$203,$D$4:$D$203,$A105))</f>
        <v/>
      </c>
      <c r="N105" s="14" t="str">
        <f aca="false">IF(A105="","",(L105+M105)*Inputs!$B$16)</f>
        <v/>
      </c>
      <c r="O105" s="14"/>
      <c r="P105" s="14" t="str">
        <f aca="false">IF(A105="","",IF(O105="",Inputs!$B$7,O105))</f>
        <v/>
      </c>
      <c r="Q105" s="9" t="str">
        <f aca="false">IF(A105="","",IF(N105/Inputs!$B$10&lt;=AG105,Inputs!$F$5,IF(N105/Inputs!$B$10&gt;AP105,"OVERSIZE",INDEX(Inputs!$F$5:$F$14,MATCH(N105/Inputs!$B$10,AG105:AP105,1)+1))))</f>
        <v/>
      </c>
      <c r="R105" s="9"/>
      <c r="S105" s="9" t="str">
        <f aca="false">IF(A105="","",IF(R105="",Q105,R105))</f>
        <v/>
      </c>
      <c r="T105" s="14" t="str">
        <f aca="false">IF(OR(S105="",S105="OVERSIZE"),"",S105/1000)</f>
        <v/>
      </c>
      <c r="U105" s="14" t="str">
        <f aca="false">IF(T105="","",(1/Inputs!$B$9)*(PI()*T105^2/4)*((T105/4)^(2/3))*SQRT(P105))</f>
        <v/>
      </c>
      <c r="V105" s="14" t="str">
        <f aca="false">IF(OR(U105="",N105=""),"",N105/(U105*Inputs!$B$10))</f>
        <v/>
      </c>
      <c r="W105" s="14" t="str">
        <f aca="false">IF(OR(T105="",N105=""),"",4*N105/(PI()*T105^2))</f>
        <v/>
      </c>
      <c r="X105" s="14"/>
      <c r="Y105" s="14" t="str">
        <f aca="false">IF(A105="","",IF(A105=Inputs!$B$6,Inputs!$B$22,IF(D105="","",IFERROR(INDEX($Z$4:$Z$203,MATCH(D105,$A$4:$A$203,0))+IF(X105="",Inputs!$B$20,X105),""))))</f>
        <v/>
      </c>
      <c r="Z105" s="14" t="str">
        <f aca="false">IF(OR(Y105="",P105="",E105=""),"",Y105+P105*E105)</f>
        <v/>
      </c>
      <c r="AA105" s="14" t="str">
        <f aca="false">IF(C105="","",IFERROR(INDEX(Noeuds_plan!$C$4:$C$200,MATCH(C105,Noeuds_plan!$A$4:$A$200,0)),""))</f>
        <v/>
      </c>
      <c r="AB105" s="14" t="str">
        <f aca="false">IF(B105="","",IFERROR(INDEX(Noeuds_plan!$C$4:$C$200,MATCH(B105,Noeuds_plan!$A$4:$A$200,0)),""))</f>
        <v/>
      </c>
      <c r="AC105" s="14" t="str">
        <f aca="false">IF(OR(AA105="",Y105=""),"",AA105-Y105)</f>
        <v/>
      </c>
      <c r="AD105" s="14" t="str">
        <f aca="false">IF(OR(AB105="",Z105=""),"",AB105-Z105)</f>
        <v/>
      </c>
      <c r="AE105" s="19" t="str">
        <f aca="false">IF(A105="","",IF(OR(V105&gt;1,AND(AY105&lt;&gt;"",AY105&lt;Inputs!$B$11),AND(AY105&lt;&gt;"",AY105&gt;Inputs!$B$12),AC105&lt;Inputs!$B$19,AD105&lt;Inputs!$B$19,P105&lt;Inputs!$B$7,P105&gt;Inputs!$B$8),"CHECK","OK"))</f>
        <v/>
      </c>
      <c r="AF105" s="9"/>
      <c r="AG105" s="9" t="str">
        <f aca="false">IF(A105="","",(1/Inputs!$B$9)*(PI()*(Inputs!$F$5/1000)^2/4)*((Inputs!$F$5/1000/4)^(2/3))*SQRT(P105))</f>
        <v/>
      </c>
      <c r="AH105" s="9" t="str">
        <f aca="false">IF(A105="","",(1/Inputs!$B$9)*(PI()*(Inputs!$F$6/1000)^2/4)*((Inputs!$F$6/1000/4)^(2/3))*SQRT(P105))</f>
        <v/>
      </c>
      <c r="AI105" s="9" t="str">
        <f aca="false">IF(A105="","",(1/Inputs!$B$9)*(PI()*(Inputs!$F$7/1000)^2/4)*((Inputs!$F$7/1000/4)^(2/3))*SQRT(P105))</f>
        <v/>
      </c>
      <c r="AJ105" s="9" t="str">
        <f aca="false">IF(A105="","",(1/Inputs!$B$9)*(PI()*(Inputs!$F$8/1000)^2/4)*((Inputs!$F$8/1000/4)^(2/3))*SQRT(P105))</f>
        <v/>
      </c>
      <c r="AK105" s="9" t="str">
        <f aca="false">IF(A105="","",(1/Inputs!$B$9)*(PI()*(Inputs!$F$9/1000)^2/4)*((Inputs!$F$9/1000/4)^(2/3))*SQRT(P105))</f>
        <v/>
      </c>
      <c r="AL105" s="9" t="str">
        <f aca="false">IF(A105="","",(1/Inputs!$B$9)*(PI()*(Inputs!$F$10/1000)^2/4)*((Inputs!$F$10/1000/4)^(2/3))*SQRT(P105))</f>
        <v/>
      </c>
      <c r="AM105" s="9" t="str">
        <f aca="false">IF(A105="","",(1/Inputs!$B$9)*(PI()*(Inputs!$F$11/1000)^2/4)*((Inputs!$F$11/1000/4)^(2/3))*SQRT(P105))</f>
        <v/>
      </c>
      <c r="AN105" s="9" t="str">
        <f aca="false">IF(A105="","",(1/Inputs!$B$9)*(PI()*(Inputs!$F$12/1000)^2/4)*((Inputs!$F$12/1000/4)^(2/3))*SQRT(P105))</f>
        <v/>
      </c>
      <c r="AO105" s="9" t="str">
        <f aca="false">IF(A105="","",(1/Inputs!$B$9)*(PI()*(Inputs!$F$13/1000)^2/4)*((Inputs!$F$13/1000/4)^(2/3))*SQRT(P105))</f>
        <v/>
      </c>
      <c r="AP105" s="9" t="str">
        <f aca="false">IF(A105="","",(1/Inputs!$B$9)*(PI()*(Inputs!$F$14/1000)^2/4)*((Inputs!$F$14/1000/4)^(2/3))*SQRT(P105))</f>
        <v/>
      </c>
      <c r="AQ105" s="9" t="str">
        <f aca="false">IF(A105="","",COUNTIF($D$4:$D$203,$A105))</f>
        <v/>
      </c>
      <c r="AR105" s="9" t="str">
        <f aca="false">IF(A105="","",IF(AQ105=0,"START","CONTINUOUS"))</f>
        <v/>
      </c>
      <c r="AS105" s="13" t="str">
        <f aca="false">IF(A105="","",IF(J105="",Inputs!$B$18,J105))</f>
        <v/>
      </c>
      <c r="AT105" s="13" t="str">
        <f aca="false">IF(A105="","",IFERROR(maxifs($AV$4:$AV$203,$D$4:$D$203,$A105),""))</f>
        <v/>
      </c>
      <c r="AU105" s="13" t="str">
        <f aca="false">IF(A105="","",IF(OR(E105="",Inputs!$B$23=""),"",E105/(Inputs!$B$23*60)))</f>
        <v/>
      </c>
      <c r="AV105" s="13" t="str">
        <f aca="false">IF(A105="","",IF(AQ105=0,AS105+AU105,IF(AT105="",AS105+AU105,AT105+AU105)))</f>
        <v/>
      </c>
      <c r="AW105" s="13" t="str">
        <f aca="false">IF(A105="","",W105)</f>
        <v/>
      </c>
      <c r="AX105" s="13" t="str">
        <f aca="false">IF(OR(T105="",P105=""),"",(1/Inputs!$B$9)*((T105/4)^(2/3))*SQRT(P105))</f>
        <v/>
      </c>
      <c r="AY105" s="13" t="str">
        <f aca="false">IF(A105="","",IF(AND(AW105="",AX105="",BA105=""),"",IF(OR(UPPER(TRIM(Inputs!$B$24))="MANNING",UPPER(TRIM(Inputs!$B$24))="M"),AX105,IF(OR(UPPER(TRIM(Inputs!$B$24))="PARTIAL",UPPER(TRIM(Inputs!$B$24))="P"),BA105,IF(OR(UPPER(TRIM(Inputs!$B$24))="MAX",UPPER(TRIM(Inputs!$B$24))="X"),MAX(IF(AW105="",0,AW105),IF(AX105="",0,AX105),IF(BA105="",0,BA105)),AW105)))))</f>
        <v/>
      </c>
      <c r="AZ105" s="13" t="str">
        <f aca="false">IF(BB105="","",CH105)</f>
        <v/>
      </c>
      <c r="BA105" s="13" t="str">
        <f aca="false">IF(OR(BB105="",AZ105="",T105="",T105&lt;=0,AZ105&lt;=0),"",BB105/((T105^2/8)*(2*ACOS(1-2*AZ105/T105)-SIN(2*ACOS(1-2*AZ105/T105)))))</f>
        <v/>
      </c>
      <c r="BB105" s="9" t="str">
        <f aca="false">IF(OR(N105="",BC105=""),"",MIN(N105,BC105))</f>
        <v/>
      </c>
      <c r="BC105" s="9" t="str">
        <f aca="false">IF(OR(N105="",T105="",P105=""),"",IF(OR(T105="",P105="",(0.94*T105)="",T105&lt;=0,(0.94*T105)&lt;=0),"",(1/Inputs!$B$9)*((T105^2/8)*((2*ACOS(1-2*(0.94*T105)/T105))-SIN((2*ACOS(1-2*(0.94*T105)/T105)))))*((((T105^2/8)*((2*ACOS(1-2*(0.94*T105)/T105))-SIN((2*ACOS(1-2*(0.94*T105)/T105)))))/((T105/2)*((2*ACOS(1-2*(0.94*T105)/T105)))))^(2/3))*SQRT(P105)))</f>
        <v/>
      </c>
      <c r="BD105" s="9" t="str">
        <f aca="false">IF(BB105="","",0.001*T105)</f>
        <v/>
      </c>
      <c r="BE105" s="9" t="str">
        <f aca="false">IF(BB105="","",0.94*T105)</f>
        <v/>
      </c>
      <c r="BF105" s="9" t="str">
        <f aca="false">IF(BB105="","",(BD105+BE105)/2)</f>
        <v/>
      </c>
      <c r="BG105" s="9" t="str">
        <f aca="false">IF(OR(T105="",P105="",BF105="",T105&lt;=0,BF105&lt;=0),"",(1/Inputs!$B$9)*((T105^2/8)*((2*ACOS(1-2*BF105/T105))-SIN((2*ACOS(1-2*BF105/T105)))))*((((T105^2/8)*((2*ACOS(1-2*BF105/T105))-SIN((2*ACOS(1-2*BF105/T105)))))/((T105/2)*((2*ACOS(1-2*BF105/T105)))))^(2/3))*SQRT(P105))</f>
        <v/>
      </c>
      <c r="BH105" s="9" t="str">
        <f aca="false">IF(BB105="","",IF(BG105&lt;BB105,BF105,BD105))</f>
        <v/>
      </c>
      <c r="BI105" s="9" t="str">
        <f aca="false">IF(BB105="","",IF(BG105&lt;BB105,BE105,BF105))</f>
        <v/>
      </c>
      <c r="BJ105" s="9" t="str">
        <f aca="false">IF(BB105="","",(BH105+BI105)/2)</f>
        <v/>
      </c>
      <c r="BK105" s="9" t="str">
        <f aca="false">IF(OR(T105="",P105="",BJ105="",T105&lt;=0,BJ105&lt;=0),"",(1/Inputs!$B$9)*((T105^2/8)*((2*ACOS(1-2*BJ105/T105))-SIN((2*ACOS(1-2*BJ105/T105)))))*((((T105^2/8)*((2*ACOS(1-2*BJ105/T105))-SIN((2*ACOS(1-2*BJ105/T105)))))/((T105/2)*((2*ACOS(1-2*BJ105/T105)))))^(2/3))*SQRT(P105))</f>
        <v/>
      </c>
      <c r="BL105" s="9" t="str">
        <f aca="false">IF(BB105="","",IF(BK105&lt;BB105,BJ105,BH105))</f>
        <v/>
      </c>
      <c r="BM105" s="9" t="str">
        <f aca="false">IF(BB105="","",IF(BK105&lt;BB105,BI105,BJ105))</f>
        <v/>
      </c>
      <c r="BN105" s="9" t="str">
        <f aca="false">IF(BB105="","",(BL105+BM105)/2)</f>
        <v/>
      </c>
      <c r="BO105" s="9" t="str">
        <f aca="false">IF(OR(T105="",P105="",BN105="",T105&lt;=0,BN105&lt;=0),"",(1/Inputs!$B$9)*((T105^2/8)*((2*ACOS(1-2*BN105/T105))-SIN((2*ACOS(1-2*BN105/T105)))))*((((T105^2/8)*((2*ACOS(1-2*BN105/T105))-SIN((2*ACOS(1-2*BN105/T105)))))/((T105/2)*((2*ACOS(1-2*BN105/T105)))))^(2/3))*SQRT(P105))</f>
        <v/>
      </c>
      <c r="BP105" s="9" t="str">
        <f aca="false">IF(BB105="","",IF(BO105&lt;BB105,BN105,BL105))</f>
        <v/>
      </c>
      <c r="BQ105" s="9" t="str">
        <f aca="false">IF(BB105="","",IF(BO105&lt;BB105,BM105,BN105))</f>
        <v/>
      </c>
      <c r="BR105" s="9" t="str">
        <f aca="false">IF(BB105="","",(BP105+BQ105)/2)</f>
        <v/>
      </c>
      <c r="BS105" s="9" t="str">
        <f aca="false">IF(OR(T105="",P105="",BR105="",T105&lt;=0,BR105&lt;=0),"",(1/Inputs!$B$9)*((T105^2/8)*((2*ACOS(1-2*BR105/T105))-SIN((2*ACOS(1-2*BR105/T105)))))*((((T105^2/8)*((2*ACOS(1-2*BR105/T105))-SIN((2*ACOS(1-2*BR105/T105)))))/((T105/2)*((2*ACOS(1-2*BR105/T105)))))^(2/3))*SQRT(P105))</f>
        <v/>
      </c>
      <c r="BT105" s="9" t="str">
        <f aca="false">IF(BB105="","",IF(BS105&lt;BB105,BR105,BP105))</f>
        <v/>
      </c>
      <c r="BU105" s="9" t="str">
        <f aca="false">IF(BB105="","",IF(BS105&lt;BB105,BQ105,BR105))</f>
        <v/>
      </c>
      <c r="BV105" s="9" t="str">
        <f aca="false">IF(BB105="","",(BT105+BU105)/2)</f>
        <v/>
      </c>
      <c r="BW105" s="9" t="str">
        <f aca="false">IF(OR(T105="",P105="",BV105="",T105&lt;=0,BV105&lt;=0),"",(1/Inputs!$B$9)*((T105^2/8)*((2*ACOS(1-2*BV105/T105))-SIN((2*ACOS(1-2*BV105/T105)))))*((((T105^2/8)*((2*ACOS(1-2*BV105/T105))-SIN((2*ACOS(1-2*BV105/T105)))))/((T105/2)*((2*ACOS(1-2*BV105/T105)))))^(2/3))*SQRT(P105))</f>
        <v/>
      </c>
      <c r="BX105" s="9" t="str">
        <f aca="false">IF(BB105="","",IF(BW105&lt;BB105,BV105,BT105))</f>
        <v/>
      </c>
      <c r="BY105" s="9" t="str">
        <f aca="false">IF(BB105="","",IF(BW105&lt;BB105,BU105,BV105))</f>
        <v/>
      </c>
      <c r="BZ105" s="9" t="str">
        <f aca="false">IF(BB105="","",(BX105+BY105)/2)</f>
        <v/>
      </c>
      <c r="CA105" s="9" t="str">
        <f aca="false">IF(OR(T105="",P105="",BZ105="",T105&lt;=0,BZ105&lt;=0),"",(1/Inputs!$B$9)*((T105^2/8)*((2*ACOS(1-2*BZ105/T105))-SIN((2*ACOS(1-2*BZ105/T105)))))*((((T105^2/8)*((2*ACOS(1-2*BZ105/T105))-SIN((2*ACOS(1-2*BZ105/T105)))))/((T105/2)*((2*ACOS(1-2*BZ105/T105)))))^(2/3))*SQRT(P105))</f>
        <v/>
      </c>
      <c r="CB105" s="9" t="str">
        <f aca="false">IF(BB105="","",IF(CA105&lt;BB105,BZ105,BX105))</f>
        <v/>
      </c>
      <c r="CC105" s="9" t="str">
        <f aca="false">IF(BB105="","",IF(CA105&lt;BB105,BY105,BZ105))</f>
        <v/>
      </c>
      <c r="CD105" s="9" t="str">
        <f aca="false">IF(BB105="","",(CB105+CC105)/2)</f>
        <v/>
      </c>
      <c r="CE105" s="9" t="str">
        <f aca="false">IF(OR(T105="",P105="",CD105="",T105&lt;=0,CD105&lt;=0),"",(1/Inputs!$B$9)*((T105^2/8)*((2*ACOS(1-2*CD105/T105))-SIN((2*ACOS(1-2*CD105/T105)))))*((((T105^2/8)*((2*ACOS(1-2*CD105/T105))-SIN((2*ACOS(1-2*CD105/T105)))))/((T105/2)*((2*ACOS(1-2*CD105/T105)))))^(2/3))*SQRT(P105))</f>
        <v/>
      </c>
      <c r="CF105" s="9" t="str">
        <f aca="false">IF(BB105="","",IF(CE105&lt;BB105,CD105,CB105))</f>
        <v/>
      </c>
      <c r="CG105" s="9" t="str">
        <f aca="false">IF(BB105="","",IF(CE105&lt;BB105,CC105,CD105))</f>
        <v/>
      </c>
      <c r="CH105" s="9" t="str">
        <f aca="false">IF(BB105="","",(CF105+CG105)/2)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14"/>
      <c r="F106" s="14"/>
      <c r="G106" s="14" t="n">
        <f aca="false">SUMIFS(CB_plan!$C:$C,CB_plan!$B:$B,$A106)</f>
        <v>0</v>
      </c>
      <c r="H106" s="14" t="n">
        <f aca="false">IF(F106="",G106,F106)</f>
        <v>0</v>
      </c>
      <c r="I106" s="9"/>
      <c r="J106" s="14"/>
      <c r="K106" s="14" t="str">
        <f aca="false">IF(A106="","",Inputs!$B$13/((IF(AV106="",Inputs!$B$18,AV106)+Inputs!$B$14)^Inputs!$B$15))</f>
        <v/>
      </c>
      <c r="L106" s="14" t="str">
        <f aca="false">IF(A106="","",0.000000278*IF(I106="",Inputs!$B$17,I106)*H106*K106)</f>
        <v/>
      </c>
      <c r="M106" s="14" t="str">
        <f aca="false">IF(A106="","",SUMIFS($N$4:$N$203,$D$4:$D$203,$A106))</f>
        <v/>
      </c>
      <c r="N106" s="14" t="str">
        <f aca="false">IF(A106="","",(L106+M106)*Inputs!$B$16)</f>
        <v/>
      </c>
      <c r="O106" s="14"/>
      <c r="P106" s="14" t="str">
        <f aca="false">IF(A106="","",IF(O106="",Inputs!$B$7,O106))</f>
        <v/>
      </c>
      <c r="Q106" s="9" t="str">
        <f aca="false">IF(A106="","",IF(N106/Inputs!$B$10&lt;=AG106,Inputs!$F$5,IF(N106/Inputs!$B$10&gt;AP106,"OVERSIZE",INDEX(Inputs!$F$5:$F$14,MATCH(N106/Inputs!$B$10,AG106:AP106,1)+1))))</f>
        <v/>
      </c>
      <c r="R106" s="9"/>
      <c r="S106" s="9" t="str">
        <f aca="false">IF(A106="","",IF(R106="",Q106,R106))</f>
        <v/>
      </c>
      <c r="T106" s="14" t="str">
        <f aca="false">IF(OR(S106="",S106="OVERSIZE"),"",S106/1000)</f>
        <v/>
      </c>
      <c r="U106" s="14" t="str">
        <f aca="false">IF(T106="","",(1/Inputs!$B$9)*(PI()*T106^2/4)*((T106/4)^(2/3))*SQRT(P106))</f>
        <v/>
      </c>
      <c r="V106" s="14" t="str">
        <f aca="false">IF(OR(U106="",N106=""),"",N106/(U106*Inputs!$B$10))</f>
        <v/>
      </c>
      <c r="W106" s="14" t="str">
        <f aca="false">IF(OR(T106="",N106=""),"",4*N106/(PI()*T106^2))</f>
        <v/>
      </c>
      <c r="X106" s="14"/>
      <c r="Y106" s="14" t="str">
        <f aca="false">IF(A106="","",IF(A106=Inputs!$B$6,Inputs!$B$22,IF(D106="","",IFERROR(INDEX($Z$4:$Z$203,MATCH(D106,$A$4:$A$203,0))+IF(X106="",Inputs!$B$20,X106),""))))</f>
        <v/>
      </c>
      <c r="Z106" s="14" t="str">
        <f aca="false">IF(OR(Y106="",P106="",E106=""),"",Y106+P106*E106)</f>
        <v/>
      </c>
      <c r="AA106" s="14" t="str">
        <f aca="false">IF(C106="","",IFERROR(INDEX(Noeuds_plan!$C$4:$C$200,MATCH(C106,Noeuds_plan!$A$4:$A$200,0)),""))</f>
        <v/>
      </c>
      <c r="AB106" s="14" t="str">
        <f aca="false">IF(B106="","",IFERROR(INDEX(Noeuds_plan!$C$4:$C$200,MATCH(B106,Noeuds_plan!$A$4:$A$200,0)),""))</f>
        <v/>
      </c>
      <c r="AC106" s="14" t="str">
        <f aca="false">IF(OR(AA106="",Y106=""),"",AA106-Y106)</f>
        <v/>
      </c>
      <c r="AD106" s="14" t="str">
        <f aca="false">IF(OR(AB106="",Z106=""),"",AB106-Z106)</f>
        <v/>
      </c>
      <c r="AE106" s="19" t="str">
        <f aca="false">IF(A106="","",IF(OR(V106&gt;1,AND(AY106&lt;&gt;"",AY106&lt;Inputs!$B$11),AND(AY106&lt;&gt;"",AY106&gt;Inputs!$B$12),AC106&lt;Inputs!$B$19,AD106&lt;Inputs!$B$19,P106&lt;Inputs!$B$7,P106&gt;Inputs!$B$8),"CHECK","OK"))</f>
        <v/>
      </c>
      <c r="AF106" s="9"/>
      <c r="AG106" s="9" t="str">
        <f aca="false">IF(A106="","",(1/Inputs!$B$9)*(PI()*(Inputs!$F$5/1000)^2/4)*((Inputs!$F$5/1000/4)^(2/3))*SQRT(P106))</f>
        <v/>
      </c>
      <c r="AH106" s="9" t="str">
        <f aca="false">IF(A106="","",(1/Inputs!$B$9)*(PI()*(Inputs!$F$6/1000)^2/4)*((Inputs!$F$6/1000/4)^(2/3))*SQRT(P106))</f>
        <v/>
      </c>
      <c r="AI106" s="9" t="str">
        <f aca="false">IF(A106="","",(1/Inputs!$B$9)*(PI()*(Inputs!$F$7/1000)^2/4)*((Inputs!$F$7/1000/4)^(2/3))*SQRT(P106))</f>
        <v/>
      </c>
      <c r="AJ106" s="9" t="str">
        <f aca="false">IF(A106="","",(1/Inputs!$B$9)*(PI()*(Inputs!$F$8/1000)^2/4)*((Inputs!$F$8/1000/4)^(2/3))*SQRT(P106))</f>
        <v/>
      </c>
      <c r="AK106" s="9" t="str">
        <f aca="false">IF(A106="","",(1/Inputs!$B$9)*(PI()*(Inputs!$F$9/1000)^2/4)*((Inputs!$F$9/1000/4)^(2/3))*SQRT(P106))</f>
        <v/>
      </c>
      <c r="AL106" s="9" t="str">
        <f aca="false">IF(A106="","",(1/Inputs!$B$9)*(PI()*(Inputs!$F$10/1000)^2/4)*((Inputs!$F$10/1000/4)^(2/3))*SQRT(P106))</f>
        <v/>
      </c>
      <c r="AM106" s="9" t="str">
        <f aca="false">IF(A106="","",(1/Inputs!$B$9)*(PI()*(Inputs!$F$11/1000)^2/4)*((Inputs!$F$11/1000/4)^(2/3))*SQRT(P106))</f>
        <v/>
      </c>
      <c r="AN106" s="9" t="str">
        <f aca="false">IF(A106="","",(1/Inputs!$B$9)*(PI()*(Inputs!$F$12/1000)^2/4)*((Inputs!$F$12/1000/4)^(2/3))*SQRT(P106))</f>
        <v/>
      </c>
      <c r="AO106" s="9" t="str">
        <f aca="false">IF(A106="","",(1/Inputs!$B$9)*(PI()*(Inputs!$F$13/1000)^2/4)*((Inputs!$F$13/1000/4)^(2/3))*SQRT(P106))</f>
        <v/>
      </c>
      <c r="AP106" s="9" t="str">
        <f aca="false">IF(A106="","",(1/Inputs!$B$9)*(PI()*(Inputs!$F$14/1000)^2/4)*((Inputs!$F$14/1000/4)^(2/3))*SQRT(P106))</f>
        <v/>
      </c>
      <c r="AQ106" s="9" t="str">
        <f aca="false">IF(A106="","",COUNTIF($D$4:$D$203,$A106))</f>
        <v/>
      </c>
      <c r="AR106" s="9" t="str">
        <f aca="false">IF(A106="","",IF(AQ106=0,"START","CONTINUOUS"))</f>
        <v/>
      </c>
      <c r="AS106" s="13" t="str">
        <f aca="false">IF(A106="","",IF(J106="",Inputs!$B$18,J106))</f>
        <v/>
      </c>
      <c r="AT106" s="13" t="str">
        <f aca="false">IF(A106="","",IFERROR(maxifs($AV$4:$AV$203,$D$4:$D$203,$A106),""))</f>
        <v/>
      </c>
      <c r="AU106" s="13" t="str">
        <f aca="false">IF(A106="","",IF(OR(E106="",Inputs!$B$23=""),"",E106/(Inputs!$B$23*60)))</f>
        <v/>
      </c>
      <c r="AV106" s="13" t="str">
        <f aca="false">IF(A106="","",IF(AQ106=0,AS106+AU106,IF(AT106="",AS106+AU106,AT106+AU106)))</f>
        <v/>
      </c>
      <c r="AW106" s="13" t="str">
        <f aca="false">IF(A106="","",W106)</f>
        <v/>
      </c>
      <c r="AX106" s="13" t="str">
        <f aca="false">IF(OR(T106="",P106=""),"",(1/Inputs!$B$9)*((T106/4)^(2/3))*SQRT(P106))</f>
        <v/>
      </c>
      <c r="AY106" s="13" t="str">
        <f aca="false">IF(A106="","",IF(AND(AW106="",AX106="",BA106=""),"",IF(OR(UPPER(TRIM(Inputs!$B$24))="MANNING",UPPER(TRIM(Inputs!$B$24))="M"),AX106,IF(OR(UPPER(TRIM(Inputs!$B$24))="PARTIAL",UPPER(TRIM(Inputs!$B$24))="P"),BA106,IF(OR(UPPER(TRIM(Inputs!$B$24))="MAX",UPPER(TRIM(Inputs!$B$24))="X"),MAX(IF(AW106="",0,AW106),IF(AX106="",0,AX106),IF(BA106="",0,BA106)),AW106)))))</f>
        <v/>
      </c>
      <c r="AZ106" s="13" t="str">
        <f aca="false">IF(BB106="","",CH106)</f>
        <v/>
      </c>
      <c r="BA106" s="13" t="str">
        <f aca="false">IF(OR(BB106="",AZ106="",T106="",T106&lt;=0,AZ106&lt;=0),"",BB106/((T106^2/8)*(2*ACOS(1-2*AZ106/T106)-SIN(2*ACOS(1-2*AZ106/T106)))))</f>
        <v/>
      </c>
      <c r="BB106" s="9" t="str">
        <f aca="false">IF(OR(N106="",BC106=""),"",MIN(N106,BC106))</f>
        <v/>
      </c>
      <c r="BC106" s="9" t="str">
        <f aca="false">IF(OR(N106="",T106="",P106=""),"",IF(OR(T106="",P106="",(0.94*T106)="",T106&lt;=0,(0.94*T106)&lt;=0),"",(1/Inputs!$B$9)*((T106^2/8)*((2*ACOS(1-2*(0.94*T106)/T106))-SIN((2*ACOS(1-2*(0.94*T106)/T106)))))*((((T106^2/8)*((2*ACOS(1-2*(0.94*T106)/T106))-SIN((2*ACOS(1-2*(0.94*T106)/T106)))))/((T106/2)*((2*ACOS(1-2*(0.94*T106)/T106)))))^(2/3))*SQRT(P106)))</f>
        <v/>
      </c>
      <c r="BD106" s="9" t="str">
        <f aca="false">IF(BB106="","",0.001*T106)</f>
        <v/>
      </c>
      <c r="BE106" s="9" t="str">
        <f aca="false">IF(BB106="","",0.94*T106)</f>
        <v/>
      </c>
      <c r="BF106" s="9" t="str">
        <f aca="false">IF(BB106="","",(BD106+BE106)/2)</f>
        <v/>
      </c>
      <c r="BG106" s="9" t="str">
        <f aca="false">IF(OR(T106="",P106="",BF106="",T106&lt;=0,BF106&lt;=0),"",(1/Inputs!$B$9)*((T106^2/8)*((2*ACOS(1-2*BF106/T106))-SIN((2*ACOS(1-2*BF106/T106)))))*((((T106^2/8)*((2*ACOS(1-2*BF106/T106))-SIN((2*ACOS(1-2*BF106/T106)))))/((T106/2)*((2*ACOS(1-2*BF106/T106)))))^(2/3))*SQRT(P106))</f>
        <v/>
      </c>
      <c r="BH106" s="9" t="str">
        <f aca="false">IF(BB106="","",IF(BG106&lt;BB106,BF106,BD106))</f>
        <v/>
      </c>
      <c r="BI106" s="9" t="str">
        <f aca="false">IF(BB106="","",IF(BG106&lt;BB106,BE106,BF106))</f>
        <v/>
      </c>
      <c r="BJ106" s="9" t="str">
        <f aca="false">IF(BB106="","",(BH106+BI106)/2)</f>
        <v/>
      </c>
      <c r="BK106" s="9" t="str">
        <f aca="false">IF(OR(T106="",P106="",BJ106="",T106&lt;=0,BJ106&lt;=0),"",(1/Inputs!$B$9)*((T106^2/8)*((2*ACOS(1-2*BJ106/T106))-SIN((2*ACOS(1-2*BJ106/T106)))))*((((T106^2/8)*((2*ACOS(1-2*BJ106/T106))-SIN((2*ACOS(1-2*BJ106/T106)))))/((T106/2)*((2*ACOS(1-2*BJ106/T106)))))^(2/3))*SQRT(P106))</f>
        <v/>
      </c>
      <c r="BL106" s="9" t="str">
        <f aca="false">IF(BB106="","",IF(BK106&lt;BB106,BJ106,BH106))</f>
        <v/>
      </c>
      <c r="BM106" s="9" t="str">
        <f aca="false">IF(BB106="","",IF(BK106&lt;BB106,BI106,BJ106))</f>
        <v/>
      </c>
      <c r="BN106" s="9" t="str">
        <f aca="false">IF(BB106="","",(BL106+BM106)/2)</f>
        <v/>
      </c>
      <c r="BO106" s="9" t="str">
        <f aca="false">IF(OR(T106="",P106="",BN106="",T106&lt;=0,BN106&lt;=0),"",(1/Inputs!$B$9)*((T106^2/8)*((2*ACOS(1-2*BN106/T106))-SIN((2*ACOS(1-2*BN106/T106)))))*((((T106^2/8)*((2*ACOS(1-2*BN106/T106))-SIN((2*ACOS(1-2*BN106/T106)))))/((T106/2)*((2*ACOS(1-2*BN106/T106)))))^(2/3))*SQRT(P106))</f>
        <v/>
      </c>
      <c r="BP106" s="9" t="str">
        <f aca="false">IF(BB106="","",IF(BO106&lt;BB106,BN106,BL106))</f>
        <v/>
      </c>
      <c r="BQ106" s="9" t="str">
        <f aca="false">IF(BB106="","",IF(BO106&lt;BB106,BM106,BN106))</f>
        <v/>
      </c>
      <c r="BR106" s="9" t="str">
        <f aca="false">IF(BB106="","",(BP106+BQ106)/2)</f>
        <v/>
      </c>
      <c r="BS106" s="9" t="str">
        <f aca="false">IF(OR(T106="",P106="",BR106="",T106&lt;=0,BR106&lt;=0),"",(1/Inputs!$B$9)*((T106^2/8)*((2*ACOS(1-2*BR106/T106))-SIN((2*ACOS(1-2*BR106/T106)))))*((((T106^2/8)*((2*ACOS(1-2*BR106/T106))-SIN((2*ACOS(1-2*BR106/T106)))))/((T106/2)*((2*ACOS(1-2*BR106/T106)))))^(2/3))*SQRT(P106))</f>
        <v/>
      </c>
      <c r="BT106" s="9" t="str">
        <f aca="false">IF(BB106="","",IF(BS106&lt;BB106,BR106,BP106))</f>
        <v/>
      </c>
      <c r="BU106" s="9" t="str">
        <f aca="false">IF(BB106="","",IF(BS106&lt;BB106,BQ106,BR106))</f>
        <v/>
      </c>
      <c r="BV106" s="9" t="str">
        <f aca="false">IF(BB106="","",(BT106+BU106)/2)</f>
        <v/>
      </c>
      <c r="BW106" s="9" t="str">
        <f aca="false">IF(OR(T106="",P106="",BV106="",T106&lt;=0,BV106&lt;=0),"",(1/Inputs!$B$9)*((T106^2/8)*((2*ACOS(1-2*BV106/T106))-SIN((2*ACOS(1-2*BV106/T106)))))*((((T106^2/8)*((2*ACOS(1-2*BV106/T106))-SIN((2*ACOS(1-2*BV106/T106)))))/((T106/2)*((2*ACOS(1-2*BV106/T106)))))^(2/3))*SQRT(P106))</f>
        <v/>
      </c>
      <c r="BX106" s="9" t="str">
        <f aca="false">IF(BB106="","",IF(BW106&lt;BB106,BV106,BT106))</f>
        <v/>
      </c>
      <c r="BY106" s="9" t="str">
        <f aca="false">IF(BB106="","",IF(BW106&lt;BB106,BU106,BV106))</f>
        <v/>
      </c>
      <c r="BZ106" s="9" t="str">
        <f aca="false">IF(BB106="","",(BX106+BY106)/2)</f>
        <v/>
      </c>
      <c r="CA106" s="9" t="str">
        <f aca="false">IF(OR(T106="",P106="",BZ106="",T106&lt;=0,BZ106&lt;=0),"",(1/Inputs!$B$9)*((T106^2/8)*((2*ACOS(1-2*BZ106/T106))-SIN((2*ACOS(1-2*BZ106/T106)))))*((((T106^2/8)*((2*ACOS(1-2*BZ106/T106))-SIN((2*ACOS(1-2*BZ106/T106)))))/((T106/2)*((2*ACOS(1-2*BZ106/T106)))))^(2/3))*SQRT(P106))</f>
        <v/>
      </c>
      <c r="CB106" s="9" t="str">
        <f aca="false">IF(BB106="","",IF(CA106&lt;BB106,BZ106,BX106))</f>
        <v/>
      </c>
      <c r="CC106" s="9" t="str">
        <f aca="false">IF(BB106="","",IF(CA106&lt;BB106,BY106,BZ106))</f>
        <v/>
      </c>
      <c r="CD106" s="9" t="str">
        <f aca="false">IF(BB106="","",(CB106+CC106)/2)</f>
        <v/>
      </c>
      <c r="CE106" s="9" t="str">
        <f aca="false">IF(OR(T106="",P106="",CD106="",T106&lt;=0,CD106&lt;=0),"",(1/Inputs!$B$9)*((T106^2/8)*((2*ACOS(1-2*CD106/T106))-SIN((2*ACOS(1-2*CD106/T106)))))*((((T106^2/8)*((2*ACOS(1-2*CD106/T106))-SIN((2*ACOS(1-2*CD106/T106)))))/((T106/2)*((2*ACOS(1-2*CD106/T106)))))^(2/3))*SQRT(P106))</f>
        <v/>
      </c>
      <c r="CF106" s="9" t="str">
        <f aca="false">IF(BB106="","",IF(CE106&lt;BB106,CD106,CB106))</f>
        <v/>
      </c>
      <c r="CG106" s="9" t="str">
        <f aca="false">IF(BB106="","",IF(CE106&lt;BB106,CC106,CD106))</f>
        <v/>
      </c>
      <c r="CH106" s="9" t="str">
        <f aca="false">IF(BB106="","",(CF106+CG106)/2)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14"/>
      <c r="F107" s="14"/>
      <c r="G107" s="14" t="n">
        <f aca="false">SUMIFS(CB_plan!$C:$C,CB_plan!$B:$B,$A107)</f>
        <v>0</v>
      </c>
      <c r="H107" s="14" t="n">
        <f aca="false">IF(F107="",G107,F107)</f>
        <v>0</v>
      </c>
      <c r="I107" s="9"/>
      <c r="J107" s="14"/>
      <c r="K107" s="14" t="str">
        <f aca="false">IF(A107="","",Inputs!$B$13/((IF(AV107="",Inputs!$B$18,AV107)+Inputs!$B$14)^Inputs!$B$15))</f>
        <v/>
      </c>
      <c r="L107" s="14" t="str">
        <f aca="false">IF(A107="","",0.000000278*IF(I107="",Inputs!$B$17,I107)*H107*K107)</f>
        <v/>
      </c>
      <c r="M107" s="14" t="str">
        <f aca="false">IF(A107="","",SUMIFS($N$4:$N$203,$D$4:$D$203,$A107))</f>
        <v/>
      </c>
      <c r="N107" s="14" t="str">
        <f aca="false">IF(A107="","",(L107+M107)*Inputs!$B$16)</f>
        <v/>
      </c>
      <c r="O107" s="14"/>
      <c r="P107" s="14" t="str">
        <f aca="false">IF(A107="","",IF(O107="",Inputs!$B$7,O107))</f>
        <v/>
      </c>
      <c r="Q107" s="9" t="str">
        <f aca="false">IF(A107="","",IF(N107/Inputs!$B$10&lt;=AG107,Inputs!$F$5,IF(N107/Inputs!$B$10&gt;AP107,"OVERSIZE",INDEX(Inputs!$F$5:$F$14,MATCH(N107/Inputs!$B$10,AG107:AP107,1)+1))))</f>
        <v/>
      </c>
      <c r="R107" s="9"/>
      <c r="S107" s="9" t="str">
        <f aca="false">IF(A107="","",IF(R107="",Q107,R107))</f>
        <v/>
      </c>
      <c r="T107" s="14" t="str">
        <f aca="false">IF(OR(S107="",S107="OVERSIZE"),"",S107/1000)</f>
        <v/>
      </c>
      <c r="U107" s="14" t="str">
        <f aca="false">IF(T107="","",(1/Inputs!$B$9)*(PI()*T107^2/4)*((T107/4)^(2/3))*SQRT(P107))</f>
        <v/>
      </c>
      <c r="V107" s="14" t="str">
        <f aca="false">IF(OR(U107="",N107=""),"",N107/(U107*Inputs!$B$10))</f>
        <v/>
      </c>
      <c r="W107" s="14" t="str">
        <f aca="false">IF(OR(T107="",N107=""),"",4*N107/(PI()*T107^2))</f>
        <v/>
      </c>
      <c r="X107" s="14"/>
      <c r="Y107" s="14" t="str">
        <f aca="false">IF(A107="","",IF(A107=Inputs!$B$6,Inputs!$B$22,IF(D107="","",IFERROR(INDEX($Z$4:$Z$203,MATCH(D107,$A$4:$A$203,0))+IF(X107="",Inputs!$B$20,X107),""))))</f>
        <v/>
      </c>
      <c r="Z107" s="14" t="str">
        <f aca="false">IF(OR(Y107="",P107="",E107=""),"",Y107+P107*E107)</f>
        <v/>
      </c>
      <c r="AA107" s="14" t="str">
        <f aca="false">IF(C107="","",IFERROR(INDEX(Noeuds_plan!$C$4:$C$200,MATCH(C107,Noeuds_plan!$A$4:$A$200,0)),""))</f>
        <v/>
      </c>
      <c r="AB107" s="14" t="str">
        <f aca="false">IF(B107="","",IFERROR(INDEX(Noeuds_plan!$C$4:$C$200,MATCH(B107,Noeuds_plan!$A$4:$A$200,0)),""))</f>
        <v/>
      </c>
      <c r="AC107" s="14" t="str">
        <f aca="false">IF(OR(AA107="",Y107=""),"",AA107-Y107)</f>
        <v/>
      </c>
      <c r="AD107" s="14" t="str">
        <f aca="false">IF(OR(AB107="",Z107=""),"",AB107-Z107)</f>
        <v/>
      </c>
      <c r="AE107" s="19" t="str">
        <f aca="false">IF(A107="","",IF(OR(V107&gt;1,AND(AY107&lt;&gt;"",AY107&lt;Inputs!$B$11),AND(AY107&lt;&gt;"",AY107&gt;Inputs!$B$12),AC107&lt;Inputs!$B$19,AD107&lt;Inputs!$B$19,P107&lt;Inputs!$B$7,P107&gt;Inputs!$B$8),"CHECK","OK"))</f>
        <v/>
      </c>
      <c r="AF107" s="9"/>
      <c r="AG107" s="9" t="str">
        <f aca="false">IF(A107="","",(1/Inputs!$B$9)*(PI()*(Inputs!$F$5/1000)^2/4)*((Inputs!$F$5/1000/4)^(2/3))*SQRT(P107))</f>
        <v/>
      </c>
      <c r="AH107" s="9" t="str">
        <f aca="false">IF(A107="","",(1/Inputs!$B$9)*(PI()*(Inputs!$F$6/1000)^2/4)*((Inputs!$F$6/1000/4)^(2/3))*SQRT(P107))</f>
        <v/>
      </c>
      <c r="AI107" s="9" t="str">
        <f aca="false">IF(A107="","",(1/Inputs!$B$9)*(PI()*(Inputs!$F$7/1000)^2/4)*((Inputs!$F$7/1000/4)^(2/3))*SQRT(P107))</f>
        <v/>
      </c>
      <c r="AJ107" s="9" t="str">
        <f aca="false">IF(A107="","",(1/Inputs!$B$9)*(PI()*(Inputs!$F$8/1000)^2/4)*((Inputs!$F$8/1000/4)^(2/3))*SQRT(P107))</f>
        <v/>
      </c>
      <c r="AK107" s="9" t="str">
        <f aca="false">IF(A107="","",(1/Inputs!$B$9)*(PI()*(Inputs!$F$9/1000)^2/4)*((Inputs!$F$9/1000/4)^(2/3))*SQRT(P107))</f>
        <v/>
      </c>
      <c r="AL107" s="9" t="str">
        <f aca="false">IF(A107="","",(1/Inputs!$B$9)*(PI()*(Inputs!$F$10/1000)^2/4)*((Inputs!$F$10/1000/4)^(2/3))*SQRT(P107))</f>
        <v/>
      </c>
      <c r="AM107" s="9" t="str">
        <f aca="false">IF(A107="","",(1/Inputs!$B$9)*(PI()*(Inputs!$F$11/1000)^2/4)*((Inputs!$F$11/1000/4)^(2/3))*SQRT(P107))</f>
        <v/>
      </c>
      <c r="AN107" s="9" t="str">
        <f aca="false">IF(A107="","",(1/Inputs!$B$9)*(PI()*(Inputs!$F$12/1000)^2/4)*((Inputs!$F$12/1000/4)^(2/3))*SQRT(P107))</f>
        <v/>
      </c>
      <c r="AO107" s="9" t="str">
        <f aca="false">IF(A107="","",(1/Inputs!$B$9)*(PI()*(Inputs!$F$13/1000)^2/4)*((Inputs!$F$13/1000/4)^(2/3))*SQRT(P107))</f>
        <v/>
      </c>
      <c r="AP107" s="9" t="str">
        <f aca="false">IF(A107="","",(1/Inputs!$B$9)*(PI()*(Inputs!$F$14/1000)^2/4)*((Inputs!$F$14/1000/4)^(2/3))*SQRT(P107))</f>
        <v/>
      </c>
      <c r="AQ107" s="9" t="str">
        <f aca="false">IF(A107="","",COUNTIF($D$4:$D$203,$A107))</f>
        <v/>
      </c>
      <c r="AR107" s="9" t="str">
        <f aca="false">IF(A107="","",IF(AQ107=0,"START","CONTINUOUS"))</f>
        <v/>
      </c>
      <c r="AS107" s="13" t="str">
        <f aca="false">IF(A107="","",IF(J107="",Inputs!$B$18,J107))</f>
        <v/>
      </c>
      <c r="AT107" s="13" t="str">
        <f aca="false">IF(A107="","",IFERROR(maxifs($AV$4:$AV$203,$D$4:$D$203,$A107),""))</f>
        <v/>
      </c>
      <c r="AU107" s="13" t="str">
        <f aca="false">IF(A107="","",IF(OR(E107="",Inputs!$B$23=""),"",E107/(Inputs!$B$23*60)))</f>
        <v/>
      </c>
      <c r="AV107" s="13" t="str">
        <f aca="false">IF(A107="","",IF(AQ107=0,AS107+AU107,IF(AT107="",AS107+AU107,AT107+AU107)))</f>
        <v/>
      </c>
      <c r="AW107" s="13" t="str">
        <f aca="false">IF(A107="","",W107)</f>
        <v/>
      </c>
      <c r="AX107" s="13" t="str">
        <f aca="false">IF(OR(T107="",P107=""),"",(1/Inputs!$B$9)*((T107/4)^(2/3))*SQRT(P107))</f>
        <v/>
      </c>
      <c r="AY107" s="13" t="str">
        <f aca="false">IF(A107="","",IF(AND(AW107="",AX107="",BA107=""),"",IF(OR(UPPER(TRIM(Inputs!$B$24))="MANNING",UPPER(TRIM(Inputs!$B$24))="M"),AX107,IF(OR(UPPER(TRIM(Inputs!$B$24))="PARTIAL",UPPER(TRIM(Inputs!$B$24))="P"),BA107,IF(OR(UPPER(TRIM(Inputs!$B$24))="MAX",UPPER(TRIM(Inputs!$B$24))="X"),MAX(IF(AW107="",0,AW107),IF(AX107="",0,AX107),IF(BA107="",0,BA107)),AW107)))))</f>
        <v/>
      </c>
      <c r="AZ107" s="13" t="str">
        <f aca="false">IF(BB107="","",CH107)</f>
        <v/>
      </c>
      <c r="BA107" s="13" t="str">
        <f aca="false">IF(OR(BB107="",AZ107="",T107="",T107&lt;=0,AZ107&lt;=0),"",BB107/((T107^2/8)*(2*ACOS(1-2*AZ107/T107)-SIN(2*ACOS(1-2*AZ107/T107)))))</f>
        <v/>
      </c>
      <c r="BB107" s="9" t="str">
        <f aca="false">IF(OR(N107="",BC107=""),"",MIN(N107,BC107))</f>
        <v/>
      </c>
      <c r="BC107" s="9" t="str">
        <f aca="false">IF(OR(N107="",T107="",P107=""),"",IF(OR(T107="",P107="",(0.94*T107)="",T107&lt;=0,(0.94*T107)&lt;=0),"",(1/Inputs!$B$9)*((T107^2/8)*((2*ACOS(1-2*(0.94*T107)/T107))-SIN((2*ACOS(1-2*(0.94*T107)/T107)))))*((((T107^2/8)*((2*ACOS(1-2*(0.94*T107)/T107))-SIN((2*ACOS(1-2*(0.94*T107)/T107)))))/((T107/2)*((2*ACOS(1-2*(0.94*T107)/T107)))))^(2/3))*SQRT(P107)))</f>
        <v/>
      </c>
      <c r="BD107" s="9" t="str">
        <f aca="false">IF(BB107="","",0.001*T107)</f>
        <v/>
      </c>
      <c r="BE107" s="9" t="str">
        <f aca="false">IF(BB107="","",0.94*T107)</f>
        <v/>
      </c>
      <c r="BF107" s="9" t="str">
        <f aca="false">IF(BB107="","",(BD107+BE107)/2)</f>
        <v/>
      </c>
      <c r="BG107" s="9" t="str">
        <f aca="false">IF(OR(T107="",P107="",BF107="",T107&lt;=0,BF107&lt;=0),"",(1/Inputs!$B$9)*((T107^2/8)*((2*ACOS(1-2*BF107/T107))-SIN((2*ACOS(1-2*BF107/T107)))))*((((T107^2/8)*((2*ACOS(1-2*BF107/T107))-SIN((2*ACOS(1-2*BF107/T107)))))/((T107/2)*((2*ACOS(1-2*BF107/T107)))))^(2/3))*SQRT(P107))</f>
        <v/>
      </c>
      <c r="BH107" s="9" t="str">
        <f aca="false">IF(BB107="","",IF(BG107&lt;BB107,BF107,BD107))</f>
        <v/>
      </c>
      <c r="BI107" s="9" t="str">
        <f aca="false">IF(BB107="","",IF(BG107&lt;BB107,BE107,BF107))</f>
        <v/>
      </c>
      <c r="BJ107" s="9" t="str">
        <f aca="false">IF(BB107="","",(BH107+BI107)/2)</f>
        <v/>
      </c>
      <c r="BK107" s="9" t="str">
        <f aca="false">IF(OR(T107="",P107="",BJ107="",T107&lt;=0,BJ107&lt;=0),"",(1/Inputs!$B$9)*((T107^2/8)*((2*ACOS(1-2*BJ107/T107))-SIN((2*ACOS(1-2*BJ107/T107)))))*((((T107^2/8)*((2*ACOS(1-2*BJ107/T107))-SIN((2*ACOS(1-2*BJ107/T107)))))/((T107/2)*((2*ACOS(1-2*BJ107/T107)))))^(2/3))*SQRT(P107))</f>
        <v/>
      </c>
      <c r="BL107" s="9" t="str">
        <f aca="false">IF(BB107="","",IF(BK107&lt;BB107,BJ107,BH107))</f>
        <v/>
      </c>
      <c r="BM107" s="9" t="str">
        <f aca="false">IF(BB107="","",IF(BK107&lt;BB107,BI107,BJ107))</f>
        <v/>
      </c>
      <c r="BN107" s="9" t="str">
        <f aca="false">IF(BB107="","",(BL107+BM107)/2)</f>
        <v/>
      </c>
      <c r="BO107" s="9" t="str">
        <f aca="false">IF(OR(T107="",P107="",BN107="",T107&lt;=0,BN107&lt;=0),"",(1/Inputs!$B$9)*((T107^2/8)*((2*ACOS(1-2*BN107/T107))-SIN((2*ACOS(1-2*BN107/T107)))))*((((T107^2/8)*((2*ACOS(1-2*BN107/T107))-SIN((2*ACOS(1-2*BN107/T107)))))/((T107/2)*((2*ACOS(1-2*BN107/T107)))))^(2/3))*SQRT(P107))</f>
        <v/>
      </c>
      <c r="BP107" s="9" t="str">
        <f aca="false">IF(BB107="","",IF(BO107&lt;BB107,BN107,BL107))</f>
        <v/>
      </c>
      <c r="BQ107" s="9" t="str">
        <f aca="false">IF(BB107="","",IF(BO107&lt;BB107,BM107,BN107))</f>
        <v/>
      </c>
      <c r="BR107" s="9" t="str">
        <f aca="false">IF(BB107="","",(BP107+BQ107)/2)</f>
        <v/>
      </c>
      <c r="BS107" s="9" t="str">
        <f aca="false">IF(OR(T107="",P107="",BR107="",T107&lt;=0,BR107&lt;=0),"",(1/Inputs!$B$9)*((T107^2/8)*((2*ACOS(1-2*BR107/T107))-SIN((2*ACOS(1-2*BR107/T107)))))*((((T107^2/8)*((2*ACOS(1-2*BR107/T107))-SIN((2*ACOS(1-2*BR107/T107)))))/((T107/2)*((2*ACOS(1-2*BR107/T107)))))^(2/3))*SQRT(P107))</f>
        <v/>
      </c>
      <c r="BT107" s="9" t="str">
        <f aca="false">IF(BB107="","",IF(BS107&lt;BB107,BR107,BP107))</f>
        <v/>
      </c>
      <c r="BU107" s="9" t="str">
        <f aca="false">IF(BB107="","",IF(BS107&lt;BB107,BQ107,BR107))</f>
        <v/>
      </c>
      <c r="BV107" s="9" t="str">
        <f aca="false">IF(BB107="","",(BT107+BU107)/2)</f>
        <v/>
      </c>
      <c r="BW107" s="9" t="str">
        <f aca="false">IF(OR(T107="",P107="",BV107="",T107&lt;=0,BV107&lt;=0),"",(1/Inputs!$B$9)*((T107^2/8)*((2*ACOS(1-2*BV107/T107))-SIN((2*ACOS(1-2*BV107/T107)))))*((((T107^2/8)*((2*ACOS(1-2*BV107/T107))-SIN((2*ACOS(1-2*BV107/T107)))))/((T107/2)*((2*ACOS(1-2*BV107/T107)))))^(2/3))*SQRT(P107))</f>
        <v/>
      </c>
      <c r="BX107" s="9" t="str">
        <f aca="false">IF(BB107="","",IF(BW107&lt;BB107,BV107,BT107))</f>
        <v/>
      </c>
      <c r="BY107" s="9" t="str">
        <f aca="false">IF(BB107="","",IF(BW107&lt;BB107,BU107,BV107))</f>
        <v/>
      </c>
      <c r="BZ107" s="9" t="str">
        <f aca="false">IF(BB107="","",(BX107+BY107)/2)</f>
        <v/>
      </c>
      <c r="CA107" s="9" t="str">
        <f aca="false">IF(OR(T107="",P107="",BZ107="",T107&lt;=0,BZ107&lt;=0),"",(1/Inputs!$B$9)*((T107^2/8)*((2*ACOS(1-2*BZ107/T107))-SIN((2*ACOS(1-2*BZ107/T107)))))*((((T107^2/8)*((2*ACOS(1-2*BZ107/T107))-SIN((2*ACOS(1-2*BZ107/T107)))))/((T107/2)*((2*ACOS(1-2*BZ107/T107)))))^(2/3))*SQRT(P107))</f>
        <v/>
      </c>
      <c r="CB107" s="9" t="str">
        <f aca="false">IF(BB107="","",IF(CA107&lt;BB107,BZ107,BX107))</f>
        <v/>
      </c>
      <c r="CC107" s="9" t="str">
        <f aca="false">IF(BB107="","",IF(CA107&lt;BB107,BY107,BZ107))</f>
        <v/>
      </c>
      <c r="CD107" s="9" t="str">
        <f aca="false">IF(BB107="","",(CB107+CC107)/2)</f>
        <v/>
      </c>
      <c r="CE107" s="9" t="str">
        <f aca="false">IF(OR(T107="",P107="",CD107="",T107&lt;=0,CD107&lt;=0),"",(1/Inputs!$B$9)*((T107^2/8)*((2*ACOS(1-2*CD107/T107))-SIN((2*ACOS(1-2*CD107/T107)))))*((((T107^2/8)*((2*ACOS(1-2*CD107/T107))-SIN((2*ACOS(1-2*CD107/T107)))))/((T107/2)*((2*ACOS(1-2*CD107/T107)))))^(2/3))*SQRT(P107))</f>
        <v/>
      </c>
      <c r="CF107" s="9" t="str">
        <f aca="false">IF(BB107="","",IF(CE107&lt;BB107,CD107,CB107))</f>
        <v/>
      </c>
      <c r="CG107" s="9" t="str">
        <f aca="false">IF(BB107="","",IF(CE107&lt;BB107,CC107,CD107))</f>
        <v/>
      </c>
      <c r="CH107" s="9" t="str">
        <f aca="false">IF(BB107="","",(CF107+CG107)/2)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14"/>
      <c r="F108" s="14"/>
      <c r="G108" s="14" t="n">
        <f aca="false">SUMIFS(CB_plan!$C:$C,CB_plan!$B:$B,$A108)</f>
        <v>0</v>
      </c>
      <c r="H108" s="14" t="n">
        <f aca="false">IF(F108="",G108,F108)</f>
        <v>0</v>
      </c>
      <c r="I108" s="9"/>
      <c r="J108" s="14"/>
      <c r="K108" s="14" t="str">
        <f aca="false">IF(A108="","",Inputs!$B$13/((IF(AV108="",Inputs!$B$18,AV108)+Inputs!$B$14)^Inputs!$B$15))</f>
        <v/>
      </c>
      <c r="L108" s="14" t="str">
        <f aca="false">IF(A108="","",0.000000278*IF(I108="",Inputs!$B$17,I108)*H108*K108)</f>
        <v/>
      </c>
      <c r="M108" s="14" t="str">
        <f aca="false">IF(A108="","",SUMIFS($N$4:$N$203,$D$4:$D$203,$A108))</f>
        <v/>
      </c>
      <c r="N108" s="14" t="str">
        <f aca="false">IF(A108="","",(L108+M108)*Inputs!$B$16)</f>
        <v/>
      </c>
      <c r="O108" s="14"/>
      <c r="P108" s="14" t="str">
        <f aca="false">IF(A108="","",IF(O108="",Inputs!$B$7,O108))</f>
        <v/>
      </c>
      <c r="Q108" s="9" t="str">
        <f aca="false">IF(A108="","",IF(N108/Inputs!$B$10&lt;=AG108,Inputs!$F$5,IF(N108/Inputs!$B$10&gt;AP108,"OVERSIZE",INDEX(Inputs!$F$5:$F$14,MATCH(N108/Inputs!$B$10,AG108:AP108,1)+1))))</f>
        <v/>
      </c>
      <c r="R108" s="9"/>
      <c r="S108" s="9" t="str">
        <f aca="false">IF(A108="","",IF(R108="",Q108,R108))</f>
        <v/>
      </c>
      <c r="T108" s="14" t="str">
        <f aca="false">IF(OR(S108="",S108="OVERSIZE"),"",S108/1000)</f>
        <v/>
      </c>
      <c r="U108" s="14" t="str">
        <f aca="false">IF(T108="","",(1/Inputs!$B$9)*(PI()*T108^2/4)*((T108/4)^(2/3))*SQRT(P108))</f>
        <v/>
      </c>
      <c r="V108" s="14" t="str">
        <f aca="false">IF(OR(U108="",N108=""),"",N108/(U108*Inputs!$B$10))</f>
        <v/>
      </c>
      <c r="W108" s="14" t="str">
        <f aca="false">IF(OR(T108="",N108=""),"",4*N108/(PI()*T108^2))</f>
        <v/>
      </c>
      <c r="X108" s="14"/>
      <c r="Y108" s="14" t="str">
        <f aca="false">IF(A108="","",IF(A108=Inputs!$B$6,Inputs!$B$22,IF(D108="","",IFERROR(INDEX($Z$4:$Z$203,MATCH(D108,$A$4:$A$203,0))+IF(X108="",Inputs!$B$20,X108),""))))</f>
        <v/>
      </c>
      <c r="Z108" s="14" t="str">
        <f aca="false">IF(OR(Y108="",P108="",E108=""),"",Y108+P108*E108)</f>
        <v/>
      </c>
      <c r="AA108" s="14" t="str">
        <f aca="false">IF(C108="","",IFERROR(INDEX(Noeuds_plan!$C$4:$C$200,MATCH(C108,Noeuds_plan!$A$4:$A$200,0)),""))</f>
        <v/>
      </c>
      <c r="AB108" s="14" t="str">
        <f aca="false">IF(B108="","",IFERROR(INDEX(Noeuds_plan!$C$4:$C$200,MATCH(B108,Noeuds_plan!$A$4:$A$200,0)),""))</f>
        <v/>
      </c>
      <c r="AC108" s="14" t="str">
        <f aca="false">IF(OR(AA108="",Y108=""),"",AA108-Y108)</f>
        <v/>
      </c>
      <c r="AD108" s="14" t="str">
        <f aca="false">IF(OR(AB108="",Z108=""),"",AB108-Z108)</f>
        <v/>
      </c>
      <c r="AE108" s="19" t="str">
        <f aca="false">IF(A108="","",IF(OR(V108&gt;1,AND(AY108&lt;&gt;"",AY108&lt;Inputs!$B$11),AND(AY108&lt;&gt;"",AY108&gt;Inputs!$B$12),AC108&lt;Inputs!$B$19,AD108&lt;Inputs!$B$19,P108&lt;Inputs!$B$7,P108&gt;Inputs!$B$8),"CHECK","OK"))</f>
        <v/>
      </c>
      <c r="AF108" s="9"/>
      <c r="AG108" s="9" t="str">
        <f aca="false">IF(A108="","",(1/Inputs!$B$9)*(PI()*(Inputs!$F$5/1000)^2/4)*((Inputs!$F$5/1000/4)^(2/3))*SQRT(P108))</f>
        <v/>
      </c>
      <c r="AH108" s="9" t="str">
        <f aca="false">IF(A108="","",(1/Inputs!$B$9)*(PI()*(Inputs!$F$6/1000)^2/4)*((Inputs!$F$6/1000/4)^(2/3))*SQRT(P108))</f>
        <v/>
      </c>
      <c r="AI108" s="9" t="str">
        <f aca="false">IF(A108="","",(1/Inputs!$B$9)*(PI()*(Inputs!$F$7/1000)^2/4)*((Inputs!$F$7/1000/4)^(2/3))*SQRT(P108))</f>
        <v/>
      </c>
      <c r="AJ108" s="9" t="str">
        <f aca="false">IF(A108="","",(1/Inputs!$B$9)*(PI()*(Inputs!$F$8/1000)^2/4)*((Inputs!$F$8/1000/4)^(2/3))*SQRT(P108))</f>
        <v/>
      </c>
      <c r="AK108" s="9" t="str">
        <f aca="false">IF(A108="","",(1/Inputs!$B$9)*(PI()*(Inputs!$F$9/1000)^2/4)*((Inputs!$F$9/1000/4)^(2/3))*SQRT(P108))</f>
        <v/>
      </c>
      <c r="AL108" s="9" t="str">
        <f aca="false">IF(A108="","",(1/Inputs!$B$9)*(PI()*(Inputs!$F$10/1000)^2/4)*((Inputs!$F$10/1000/4)^(2/3))*SQRT(P108))</f>
        <v/>
      </c>
      <c r="AM108" s="9" t="str">
        <f aca="false">IF(A108="","",(1/Inputs!$B$9)*(PI()*(Inputs!$F$11/1000)^2/4)*((Inputs!$F$11/1000/4)^(2/3))*SQRT(P108))</f>
        <v/>
      </c>
      <c r="AN108" s="9" t="str">
        <f aca="false">IF(A108="","",(1/Inputs!$B$9)*(PI()*(Inputs!$F$12/1000)^2/4)*((Inputs!$F$12/1000/4)^(2/3))*SQRT(P108))</f>
        <v/>
      </c>
      <c r="AO108" s="9" t="str">
        <f aca="false">IF(A108="","",(1/Inputs!$B$9)*(PI()*(Inputs!$F$13/1000)^2/4)*((Inputs!$F$13/1000/4)^(2/3))*SQRT(P108))</f>
        <v/>
      </c>
      <c r="AP108" s="9" t="str">
        <f aca="false">IF(A108="","",(1/Inputs!$B$9)*(PI()*(Inputs!$F$14/1000)^2/4)*((Inputs!$F$14/1000/4)^(2/3))*SQRT(P108))</f>
        <v/>
      </c>
      <c r="AQ108" s="9" t="str">
        <f aca="false">IF(A108="","",COUNTIF($D$4:$D$203,$A108))</f>
        <v/>
      </c>
      <c r="AR108" s="9" t="str">
        <f aca="false">IF(A108="","",IF(AQ108=0,"START","CONTINUOUS"))</f>
        <v/>
      </c>
      <c r="AS108" s="13" t="str">
        <f aca="false">IF(A108="","",IF(J108="",Inputs!$B$18,J108))</f>
        <v/>
      </c>
      <c r="AT108" s="13" t="str">
        <f aca="false">IF(A108="","",IFERROR(maxifs($AV$4:$AV$203,$D$4:$D$203,$A108),""))</f>
        <v/>
      </c>
      <c r="AU108" s="13" t="str">
        <f aca="false">IF(A108="","",IF(OR(E108="",Inputs!$B$23=""),"",E108/(Inputs!$B$23*60)))</f>
        <v/>
      </c>
      <c r="AV108" s="13" t="str">
        <f aca="false">IF(A108="","",IF(AQ108=0,AS108+AU108,IF(AT108="",AS108+AU108,AT108+AU108)))</f>
        <v/>
      </c>
      <c r="AW108" s="13" t="str">
        <f aca="false">IF(A108="","",W108)</f>
        <v/>
      </c>
      <c r="AX108" s="13" t="str">
        <f aca="false">IF(OR(T108="",P108=""),"",(1/Inputs!$B$9)*((T108/4)^(2/3))*SQRT(P108))</f>
        <v/>
      </c>
      <c r="AY108" s="13" t="str">
        <f aca="false">IF(A108="","",IF(AND(AW108="",AX108="",BA108=""),"",IF(OR(UPPER(TRIM(Inputs!$B$24))="MANNING",UPPER(TRIM(Inputs!$B$24))="M"),AX108,IF(OR(UPPER(TRIM(Inputs!$B$24))="PARTIAL",UPPER(TRIM(Inputs!$B$24))="P"),BA108,IF(OR(UPPER(TRIM(Inputs!$B$24))="MAX",UPPER(TRIM(Inputs!$B$24))="X"),MAX(IF(AW108="",0,AW108),IF(AX108="",0,AX108),IF(BA108="",0,BA108)),AW108)))))</f>
        <v/>
      </c>
      <c r="AZ108" s="13" t="str">
        <f aca="false">IF(BB108="","",CH108)</f>
        <v/>
      </c>
      <c r="BA108" s="13" t="str">
        <f aca="false">IF(OR(BB108="",AZ108="",T108="",T108&lt;=0,AZ108&lt;=0),"",BB108/((T108^2/8)*(2*ACOS(1-2*AZ108/T108)-SIN(2*ACOS(1-2*AZ108/T108)))))</f>
        <v/>
      </c>
      <c r="BB108" s="9" t="str">
        <f aca="false">IF(OR(N108="",BC108=""),"",MIN(N108,BC108))</f>
        <v/>
      </c>
      <c r="BC108" s="9" t="str">
        <f aca="false">IF(OR(N108="",T108="",P108=""),"",IF(OR(T108="",P108="",(0.94*T108)="",T108&lt;=0,(0.94*T108)&lt;=0),"",(1/Inputs!$B$9)*((T108^2/8)*((2*ACOS(1-2*(0.94*T108)/T108))-SIN((2*ACOS(1-2*(0.94*T108)/T108)))))*((((T108^2/8)*((2*ACOS(1-2*(0.94*T108)/T108))-SIN((2*ACOS(1-2*(0.94*T108)/T108)))))/((T108/2)*((2*ACOS(1-2*(0.94*T108)/T108)))))^(2/3))*SQRT(P108)))</f>
        <v/>
      </c>
      <c r="BD108" s="9" t="str">
        <f aca="false">IF(BB108="","",0.001*T108)</f>
        <v/>
      </c>
      <c r="BE108" s="9" t="str">
        <f aca="false">IF(BB108="","",0.94*T108)</f>
        <v/>
      </c>
      <c r="BF108" s="9" t="str">
        <f aca="false">IF(BB108="","",(BD108+BE108)/2)</f>
        <v/>
      </c>
      <c r="BG108" s="9" t="str">
        <f aca="false">IF(OR(T108="",P108="",BF108="",T108&lt;=0,BF108&lt;=0),"",(1/Inputs!$B$9)*((T108^2/8)*((2*ACOS(1-2*BF108/T108))-SIN((2*ACOS(1-2*BF108/T108)))))*((((T108^2/8)*((2*ACOS(1-2*BF108/T108))-SIN((2*ACOS(1-2*BF108/T108)))))/((T108/2)*((2*ACOS(1-2*BF108/T108)))))^(2/3))*SQRT(P108))</f>
        <v/>
      </c>
      <c r="BH108" s="9" t="str">
        <f aca="false">IF(BB108="","",IF(BG108&lt;BB108,BF108,BD108))</f>
        <v/>
      </c>
      <c r="BI108" s="9" t="str">
        <f aca="false">IF(BB108="","",IF(BG108&lt;BB108,BE108,BF108))</f>
        <v/>
      </c>
      <c r="BJ108" s="9" t="str">
        <f aca="false">IF(BB108="","",(BH108+BI108)/2)</f>
        <v/>
      </c>
      <c r="BK108" s="9" t="str">
        <f aca="false">IF(OR(T108="",P108="",BJ108="",T108&lt;=0,BJ108&lt;=0),"",(1/Inputs!$B$9)*((T108^2/8)*((2*ACOS(1-2*BJ108/T108))-SIN((2*ACOS(1-2*BJ108/T108)))))*((((T108^2/8)*((2*ACOS(1-2*BJ108/T108))-SIN((2*ACOS(1-2*BJ108/T108)))))/((T108/2)*((2*ACOS(1-2*BJ108/T108)))))^(2/3))*SQRT(P108))</f>
        <v/>
      </c>
      <c r="BL108" s="9" t="str">
        <f aca="false">IF(BB108="","",IF(BK108&lt;BB108,BJ108,BH108))</f>
        <v/>
      </c>
      <c r="BM108" s="9" t="str">
        <f aca="false">IF(BB108="","",IF(BK108&lt;BB108,BI108,BJ108))</f>
        <v/>
      </c>
      <c r="BN108" s="9" t="str">
        <f aca="false">IF(BB108="","",(BL108+BM108)/2)</f>
        <v/>
      </c>
      <c r="BO108" s="9" t="str">
        <f aca="false">IF(OR(T108="",P108="",BN108="",T108&lt;=0,BN108&lt;=0),"",(1/Inputs!$B$9)*((T108^2/8)*((2*ACOS(1-2*BN108/T108))-SIN((2*ACOS(1-2*BN108/T108)))))*((((T108^2/8)*((2*ACOS(1-2*BN108/T108))-SIN((2*ACOS(1-2*BN108/T108)))))/((T108/2)*((2*ACOS(1-2*BN108/T108)))))^(2/3))*SQRT(P108))</f>
        <v/>
      </c>
      <c r="BP108" s="9" t="str">
        <f aca="false">IF(BB108="","",IF(BO108&lt;BB108,BN108,BL108))</f>
        <v/>
      </c>
      <c r="BQ108" s="9" t="str">
        <f aca="false">IF(BB108="","",IF(BO108&lt;BB108,BM108,BN108))</f>
        <v/>
      </c>
      <c r="BR108" s="9" t="str">
        <f aca="false">IF(BB108="","",(BP108+BQ108)/2)</f>
        <v/>
      </c>
      <c r="BS108" s="9" t="str">
        <f aca="false">IF(OR(T108="",P108="",BR108="",T108&lt;=0,BR108&lt;=0),"",(1/Inputs!$B$9)*((T108^2/8)*((2*ACOS(1-2*BR108/T108))-SIN((2*ACOS(1-2*BR108/T108)))))*((((T108^2/8)*((2*ACOS(1-2*BR108/T108))-SIN((2*ACOS(1-2*BR108/T108)))))/((T108/2)*((2*ACOS(1-2*BR108/T108)))))^(2/3))*SQRT(P108))</f>
        <v/>
      </c>
      <c r="BT108" s="9" t="str">
        <f aca="false">IF(BB108="","",IF(BS108&lt;BB108,BR108,BP108))</f>
        <v/>
      </c>
      <c r="BU108" s="9" t="str">
        <f aca="false">IF(BB108="","",IF(BS108&lt;BB108,BQ108,BR108))</f>
        <v/>
      </c>
      <c r="BV108" s="9" t="str">
        <f aca="false">IF(BB108="","",(BT108+BU108)/2)</f>
        <v/>
      </c>
      <c r="BW108" s="9" t="str">
        <f aca="false">IF(OR(T108="",P108="",BV108="",T108&lt;=0,BV108&lt;=0),"",(1/Inputs!$B$9)*((T108^2/8)*((2*ACOS(1-2*BV108/T108))-SIN((2*ACOS(1-2*BV108/T108)))))*((((T108^2/8)*((2*ACOS(1-2*BV108/T108))-SIN((2*ACOS(1-2*BV108/T108)))))/((T108/2)*((2*ACOS(1-2*BV108/T108)))))^(2/3))*SQRT(P108))</f>
        <v/>
      </c>
      <c r="BX108" s="9" t="str">
        <f aca="false">IF(BB108="","",IF(BW108&lt;BB108,BV108,BT108))</f>
        <v/>
      </c>
      <c r="BY108" s="9" t="str">
        <f aca="false">IF(BB108="","",IF(BW108&lt;BB108,BU108,BV108))</f>
        <v/>
      </c>
      <c r="BZ108" s="9" t="str">
        <f aca="false">IF(BB108="","",(BX108+BY108)/2)</f>
        <v/>
      </c>
      <c r="CA108" s="9" t="str">
        <f aca="false">IF(OR(T108="",P108="",BZ108="",T108&lt;=0,BZ108&lt;=0),"",(1/Inputs!$B$9)*((T108^2/8)*((2*ACOS(1-2*BZ108/T108))-SIN((2*ACOS(1-2*BZ108/T108)))))*((((T108^2/8)*((2*ACOS(1-2*BZ108/T108))-SIN((2*ACOS(1-2*BZ108/T108)))))/((T108/2)*((2*ACOS(1-2*BZ108/T108)))))^(2/3))*SQRT(P108))</f>
        <v/>
      </c>
      <c r="CB108" s="9" t="str">
        <f aca="false">IF(BB108="","",IF(CA108&lt;BB108,BZ108,BX108))</f>
        <v/>
      </c>
      <c r="CC108" s="9" t="str">
        <f aca="false">IF(BB108="","",IF(CA108&lt;BB108,BY108,BZ108))</f>
        <v/>
      </c>
      <c r="CD108" s="9" t="str">
        <f aca="false">IF(BB108="","",(CB108+CC108)/2)</f>
        <v/>
      </c>
      <c r="CE108" s="9" t="str">
        <f aca="false">IF(OR(T108="",P108="",CD108="",T108&lt;=0,CD108&lt;=0),"",(1/Inputs!$B$9)*((T108^2/8)*((2*ACOS(1-2*CD108/T108))-SIN((2*ACOS(1-2*CD108/T108)))))*((((T108^2/8)*((2*ACOS(1-2*CD108/T108))-SIN((2*ACOS(1-2*CD108/T108)))))/((T108/2)*((2*ACOS(1-2*CD108/T108)))))^(2/3))*SQRT(P108))</f>
        <v/>
      </c>
      <c r="CF108" s="9" t="str">
        <f aca="false">IF(BB108="","",IF(CE108&lt;BB108,CD108,CB108))</f>
        <v/>
      </c>
      <c r="CG108" s="9" t="str">
        <f aca="false">IF(BB108="","",IF(CE108&lt;BB108,CC108,CD108))</f>
        <v/>
      </c>
      <c r="CH108" s="9" t="str">
        <f aca="false">IF(BB108="","",(CF108+CG108)/2)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14"/>
      <c r="F109" s="14"/>
      <c r="G109" s="14" t="n">
        <f aca="false">SUMIFS(CB_plan!$C:$C,CB_plan!$B:$B,$A109)</f>
        <v>0</v>
      </c>
      <c r="H109" s="14" t="n">
        <f aca="false">IF(F109="",G109,F109)</f>
        <v>0</v>
      </c>
      <c r="I109" s="9"/>
      <c r="J109" s="14"/>
      <c r="K109" s="14" t="str">
        <f aca="false">IF(A109="","",Inputs!$B$13/((IF(AV109="",Inputs!$B$18,AV109)+Inputs!$B$14)^Inputs!$B$15))</f>
        <v/>
      </c>
      <c r="L109" s="14" t="str">
        <f aca="false">IF(A109="","",0.000000278*IF(I109="",Inputs!$B$17,I109)*H109*K109)</f>
        <v/>
      </c>
      <c r="M109" s="14" t="str">
        <f aca="false">IF(A109="","",SUMIFS($N$4:$N$203,$D$4:$D$203,$A109))</f>
        <v/>
      </c>
      <c r="N109" s="14" t="str">
        <f aca="false">IF(A109="","",(L109+M109)*Inputs!$B$16)</f>
        <v/>
      </c>
      <c r="O109" s="14"/>
      <c r="P109" s="14" t="str">
        <f aca="false">IF(A109="","",IF(O109="",Inputs!$B$7,O109))</f>
        <v/>
      </c>
      <c r="Q109" s="9" t="str">
        <f aca="false">IF(A109="","",IF(N109/Inputs!$B$10&lt;=AG109,Inputs!$F$5,IF(N109/Inputs!$B$10&gt;AP109,"OVERSIZE",INDEX(Inputs!$F$5:$F$14,MATCH(N109/Inputs!$B$10,AG109:AP109,1)+1))))</f>
        <v/>
      </c>
      <c r="R109" s="9"/>
      <c r="S109" s="9" t="str">
        <f aca="false">IF(A109="","",IF(R109="",Q109,R109))</f>
        <v/>
      </c>
      <c r="T109" s="14" t="str">
        <f aca="false">IF(OR(S109="",S109="OVERSIZE"),"",S109/1000)</f>
        <v/>
      </c>
      <c r="U109" s="14" t="str">
        <f aca="false">IF(T109="","",(1/Inputs!$B$9)*(PI()*T109^2/4)*((T109/4)^(2/3))*SQRT(P109))</f>
        <v/>
      </c>
      <c r="V109" s="14" t="str">
        <f aca="false">IF(OR(U109="",N109=""),"",N109/(U109*Inputs!$B$10))</f>
        <v/>
      </c>
      <c r="W109" s="14" t="str">
        <f aca="false">IF(OR(T109="",N109=""),"",4*N109/(PI()*T109^2))</f>
        <v/>
      </c>
      <c r="X109" s="14"/>
      <c r="Y109" s="14" t="str">
        <f aca="false">IF(A109="","",IF(A109=Inputs!$B$6,Inputs!$B$22,IF(D109="","",IFERROR(INDEX($Z$4:$Z$203,MATCH(D109,$A$4:$A$203,0))+IF(X109="",Inputs!$B$20,X109),""))))</f>
        <v/>
      </c>
      <c r="Z109" s="14" t="str">
        <f aca="false">IF(OR(Y109="",P109="",E109=""),"",Y109+P109*E109)</f>
        <v/>
      </c>
      <c r="AA109" s="14" t="str">
        <f aca="false">IF(C109="","",IFERROR(INDEX(Noeuds_plan!$C$4:$C$200,MATCH(C109,Noeuds_plan!$A$4:$A$200,0)),""))</f>
        <v/>
      </c>
      <c r="AB109" s="14" t="str">
        <f aca="false">IF(B109="","",IFERROR(INDEX(Noeuds_plan!$C$4:$C$200,MATCH(B109,Noeuds_plan!$A$4:$A$200,0)),""))</f>
        <v/>
      </c>
      <c r="AC109" s="14" t="str">
        <f aca="false">IF(OR(AA109="",Y109=""),"",AA109-Y109)</f>
        <v/>
      </c>
      <c r="AD109" s="14" t="str">
        <f aca="false">IF(OR(AB109="",Z109=""),"",AB109-Z109)</f>
        <v/>
      </c>
      <c r="AE109" s="19" t="str">
        <f aca="false">IF(A109="","",IF(OR(V109&gt;1,AND(AY109&lt;&gt;"",AY109&lt;Inputs!$B$11),AND(AY109&lt;&gt;"",AY109&gt;Inputs!$B$12),AC109&lt;Inputs!$B$19,AD109&lt;Inputs!$B$19,P109&lt;Inputs!$B$7,P109&gt;Inputs!$B$8),"CHECK","OK"))</f>
        <v/>
      </c>
      <c r="AF109" s="9"/>
      <c r="AG109" s="9" t="str">
        <f aca="false">IF(A109="","",(1/Inputs!$B$9)*(PI()*(Inputs!$F$5/1000)^2/4)*((Inputs!$F$5/1000/4)^(2/3))*SQRT(P109))</f>
        <v/>
      </c>
      <c r="AH109" s="9" t="str">
        <f aca="false">IF(A109="","",(1/Inputs!$B$9)*(PI()*(Inputs!$F$6/1000)^2/4)*((Inputs!$F$6/1000/4)^(2/3))*SQRT(P109))</f>
        <v/>
      </c>
      <c r="AI109" s="9" t="str">
        <f aca="false">IF(A109="","",(1/Inputs!$B$9)*(PI()*(Inputs!$F$7/1000)^2/4)*((Inputs!$F$7/1000/4)^(2/3))*SQRT(P109))</f>
        <v/>
      </c>
      <c r="AJ109" s="9" t="str">
        <f aca="false">IF(A109="","",(1/Inputs!$B$9)*(PI()*(Inputs!$F$8/1000)^2/4)*((Inputs!$F$8/1000/4)^(2/3))*SQRT(P109))</f>
        <v/>
      </c>
      <c r="AK109" s="9" t="str">
        <f aca="false">IF(A109="","",(1/Inputs!$B$9)*(PI()*(Inputs!$F$9/1000)^2/4)*((Inputs!$F$9/1000/4)^(2/3))*SQRT(P109))</f>
        <v/>
      </c>
      <c r="AL109" s="9" t="str">
        <f aca="false">IF(A109="","",(1/Inputs!$B$9)*(PI()*(Inputs!$F$10/1000)^2/4)*((Inputs!$F$10/1000/4)^(2/3))*SQRT(P109))</f>
        <v/>
      </c>
      <c r="AM109" s="9" t="str">
        <f aca="false">IF(A109="","",(1/Inputs!$B$9)*(PI()*(Inputs!$F$11/1000)^2/4)*((Inputs!$F$11/1000/4)^(2/3))*SQRT(P109))</f>
        <v/>
      </c>
      <c r="AN109" s="9" t="str">
        <f aca="false">IF(A109="","",(1/Inputs!$B$9)*(PI()*(Inputs!$F$12/1000)^2/4)*((Inputs!$F$12/1000/4)^(2/3))*SQRT(P109))</f>
        <v/>
      </c>
      <c r="AO109" s="9" t="str">
        <f aca="false">IF(A109="","",(1/Inputs!$B$9)*(PI()*(Inputs!$F$13/1000)^2/4)*((Inputs!$F$13/1000/4)^(2/3))*SQRT(P109))</f>
        <v/>
      </c>
      <c r="AP109" s="9" t="str">
        <f aca="false">IF(A109="","",(1/Inputs!$B$9)*(PI()*(Inputs!$F$14/1000)^2/4)*((Inputs!$F$14/1000/4)^(2/3))*SQRT(P109))</f>
        <v/>
      </c>
      <c r="AQ109" s="9" t="str">
        <f aca="false">IF(A109="","",COUNTIF($D$4:$D$203,$A109))</f>
        <v/>
      </c>
      <c r="AR109" s="9" t="str">
        <f aca="false">IF(A109="","",IF(AQ109=0,"START","CONTINUOUS"))</f>
        <v/>
      </c>
      <c r="AS109" s="13" t="str">
        <f aca="false">IF(A109="","",IF(J109="",Inputs!$B$18,J109))</f>
        <v/>
      </c>
      <c r="AT109" s="13" t="str">
        <f aca="false">IF(A109="","",IFERROR(maxifs($AV$4:$AV$203,$D$4:$D$203,$A109),""))</f>
        <v/>
      </c>
      <c r="AU109" s="13" t="str">
        <f aca="false">IF(A109="","",IF(OR(E109="",Inputs!$B$23=""),"",E109/(Inputs!$B$23*60)))</f>
        <v/>
      </c>
      <c r="AV109" s="13" t="str">
        <f aca="false">IF(A109="","",IF(AQ109=0,AS109+AU109,IF(AT109="",AS109+AU109,AT109+AU109)))</f>
        <v/>
      </c>
      <c r="AW109" s="13" t="str">
        <f aca="false">IF(A109="","",W109)</f>
        <v/>
      </c>
      <c r="AX109" s="13" t="str">
        <f aca="false">IF(OR(T109="",P109=""),"",(1/Inputs!$B$9)*((T109/4)^(2/3))*SQRT(P109))</f>
        <v/>
      </c>
      <c r="AY109" s="13" t="str">
        <f aca="false">IF(A109="","",IF(AND(AW109="",AX109="",BA109=""),"",IF(OR(UPPER(TRIM(Inputs!$B$24))="MANNING",UPPER(TRIM(Inputs!$B$24))="M"),AX109,IF(OR(UPPER(TRIM(Inputs!$B$24))="PARTIAL",UPPER(TRIM(Inputs!$B$24))="P"),BA109,IF(OR(UPPER(TRIM(Inputs!$B$24))="MAX",UPPER(TRIM(Inputs!$B$24))="X"),MAX(IF(AW109="",0,AW109),IF(AX109="",0,AX109),IF(BA109="",0,BA109)),AW109)))))</f>
        <v/>
      </c>
      <c r="AZ109" s="13" t="str">
        <f aca="false">IF(BB109="","",CH109)</f>
        <v/>
      </c>
      <c r="BA109" s="13" t="str">
        <f aca="false">IF(OR(BB109="",AZ109="",T109="",T109&lt;=0,AZ109&lt;=0),"",BB109/((T109^2/8)*(2*ACOS(1-2*AZ109/T109)-SIN(2*ACOS(1-2*AZ109/T109)))))</f>
        <v/>
      </c>
      <c r="BB109" s="9" t="str">
        <f aca="false">IF(OR(N109="",BC109=""),"",MIN(N109,BC109))</f>
        <v/>
      </c>
      <c r="BC109" s="9" t="str">
        <f aca="false">IF(OR(N109="",T109="",P109=""),"",IF(OR(T109="",P109="",(0.94*T109)="",T109&lt;=0,(0.94*T109)&lt;=0),"",(1/Inputs!$B$9)*((T109^2/8)*((2*ACOS(1-2*(0.94*T109)/T109))-SIN((2*ACOS(1-2*(0.94*T109)/T109)))))*((((T109^2/8)*((2*ACOS(1-2*(0.94*T109)/T109))-SIN((2*ACOS(1-2*(0.94*T109)/T109)))))/((T109/2)*((2*ACOS(1-2*(0.94*T109)/T109)))))^(2/3))*SQRT(P109)))</f>
        <v/>
      </c>
      <c r="BD109" s="9" t="str">
        <f aca="false">IF(BB109="","",0.001*T109)</f>
        <v/>
      </c>
      <c r="BE109" s="9" t="str">
        <f aca="false">IF(BB109="","",0.94*T109)</f>
        <v/>
      </c>
      <c r="BF109" s="9" t="str">
        <f aca="false">IF(BB109="","",(BD109+BE109)/2)</f>
        <v/>
      </c>
      <c r="BG109" s="9" t="str">
        <f aca="false">IF(OR(T109="",P109="",BF109="",T109&lt;=0,BF109&lt;=0),"",(1/Inputs!$B$9)*((T109^2/8)*((2*ACOS(1-2*BF109/T109))-SIN((2*ACOS(1-2*BF109/T109)))))*((((T109^2/8)*((2*ACOS(1-2*BF109/T109))-SIN((2*ACOS(1-2*BF109/T109)))))/((T109/2)*((2*ACOS(1-2*BF109/T109)))))^(2/3))*SQRT(P109))</f>
        <v/>
      </c>
      <c r="BH109" s="9" t="str">
        <f aca="false">IF(BB109="","",IF(BG109&lt;BB109,BF109,BD109))</f>
        <v/>
      </c>
      <c r="BI109" s="9" t="str">
        <f aca="false">IF(BB109="","",IF(BG109&lt;BB109,BE109,BF109))</f>
        <v/>
      </c>
      <c r="BJ109" s="9" t="str">
        <f aca="false">IF(BB109="","",(BH109+BI109)/2)</f>
        <v/>
      </c>
      <c r="BK109" s="9" t="str">
        <f aca="false">IF(OR(T109="",P109="",BJ109="",T109&lt;=0,BJ109&lt;=0),"",(1/Inputs!$B$9)*((T109^2/8)*((2*ACOS(1-2*BJ109/T109))-SIN((2*ACOS(1-2*BJ109/T109)))))*((((T109^2/8)*((2*ACOS(1-2*BJ109/T109))-SIN((2*ACOS(1-2*BJ109/T109)))))/((T109/2)*((2*ACOS(1-2*BJ109/T109)))))^(2/3))*SQRT(P109))</f>
        <v/>
      </c>
      <c r="BL109" s="9" t="str">
        <f aca="false">IF(BB109="","",IF(BK109&lt;BB109,BJ109,BH109))</f>
        <v/>
      </c>
      <c r="BM109" s="9" t="str">
        <f aca="false">IF(BB109="","",IF(BK109&lt;BB109,BI109,BJ109))</f>
        <v/>
      </c>
      <c r="BN109" s="9" t="str">
        <f aca="false">IF(BB109="","",(BL109+BM109)/2)</f>
        <v/>
      </c>
      <c r="BO109" s="9" t="str">
        <f aca="false">IF(OR(T109="",P109="",BN109="",T109&lt;=0,BN109&lt;=0),"",(1/Inputs!$B$9)*((T109^2/8)*((2*ACOS(1-2*BN109/T109))-SIN((2*ACOS(1-2*BN109/T109)))))*((((T109^2/8)*((2*ACOS(1-2*BN109/T109))-SIN((2*ACOS(1-2*BN109/T109)))))/((T109/2)*((2*ACOS(1-2*BN109/T109)))))^(2/3))*SQRT(P109))</f>
        <v/>
      </c>
      <c r="BP109" s="9" t="str">
        <f aca="false">IF(BB109="","",IF(BO109&lt;BB109,BN109,BL109))</f>
        <v/>
      </c>
      <c r="BQ109" s="9" t="str">
        <f aca="false">IF(BB109="","",IF(BO109&lt;BB109,BM109,BN109))</f>
        <v/>
      </c>
      <c r="BR109" s="9" t="str">
        <f aca="false">IF(BB109="","",(BP109+BQ109)/2)</f>
        <v/>
      </c>
      <c r="BS109" s="9" t="str">
        <f aca="false">IF(OR(T109="",P109="",BR109="",T109&lt;=0,BR109&lt;=0),"",(1/Inputs!$B$9)*((T109^2/8)*((2*ACOS(1-2*BR109/T109))-SIN((2*ACOS(1-2*BR109/T109)))))*((((T109^2/8)*((2*ACOS(1-2*BR109/T109))-SIN((2*ACOS(1-2*BR109/T109)))))/((T109/2)*((2*ACOS(1-2*BR109/T109)))))^(2/3))*SQRT(P109))</f>
        <v/>
      </c>
      <c r="BT109" s="9" t="str">
        <f aca="false">IF(BB109="","",IF(BS109&lt;BB109,BR109,BP109))</f>
        <v/>
      </c>
      <c r="BU109" s="9" t="str">
        <f aca="false">IF(BB109="","",IF(BS109&lt;BB109,BQ109,BR109))</f>
        <v/>
      </c>
      <c r="BV109" s="9" t="str">
        <f aca="false">IF(BB109="","",(BT109+BU109)/2)</f>
        <v/>
      </c>
      <c r="BW109" s="9" t="str">
        <f aca="false">IF(OR(T109="",P109="",BV109="",T109&lt;=0,BV109&lt;=0),"",(1/Inputs!$B$9)*((T109^2/8)*((2*ACOS(1-2*BV109/T109))-SIN((2*ACOS(1-2*BV109/T109)))))*((((T109^2/8)*((2*ACOS(1-2*BV109/T109))-SIN((2*ACOS(1-2*BV109/T109)))))/((T109/2)*((2*ACOS(1-2*BV109/T109)))))^(2/3))*SQRT(P109))</f>
        <v/>
      </c>
      <c r="BX109" s="9" t="str">
        <f aca="false">IF(BB109="","",IF(BW109&lt;BB109,BV109,BT109))</f>
        <v/>
      </c>
      <c r="BY109" s="9" t="str">
        <f aca="false">IF(BB109="","",IF(BW109&lt;BB109,BU109,BV109))</f>
        <v/>
      </c>
      <c r="BZ109" s="9" t="str">
        <f aca="false">IF(BB109="","",(BX109+BY109)/2)</f>
        <v/>
      </c>
      <c r="CA109" s="9" t="str">
        <f aca="false">IF(OR(T109="",P109="",BZ109="",T109&lt;=0,BZ109&lt;=0),"",(1/Inputs!$B$9)*((T109^2/8)*((2*ACOS(1-2*BZ109/T109))-SIN((2*ACOS(1-2*BZ109/T109)))))*((((T109^2/8)*((2*ACOS(1-2*BZ109/T109))-SIN((2*ACOS(1-2*BZ109/T109)))))/((T109/2)*((2*ACOS(1-2*BZ109/T109)))))^(2/3))*SQRT(P109))</f>
        <v/>
      </c>
      <c r="CB109" s="9" t="str">
        <f aca="false">IF(BB109="","",IF(CA109&lt;BB109,BZ109,BX109))</f>
        <v/>
      </c>
      <c r="CC109" s="9" t="str">
        <f aca="false">IF(BB109="","",IF(CA109&lt;BB109,BY109,BZ109))</f>
        <v/>
      </c>
      <c r="CD109" s="9" t="str">
        <f aca="false">IF(BB109="","",(CB109+CC109)/2)</f>
        <v/>
      </c>
      <c r="CE109" s="9" t="str">
        <f aca="false">IF(OR(T109="",P109="",CD109="",T109&lt;=0,CD109&lt;=0),"",(1/Inputs!$B$9)*((T109^2/8)*((2*ACOS(1-2*CD109/T109))-SIN((2*ACOS(1-2*CD109/T109)))))*((((T109^2/8)*((2*ACOS(1-2*CD109/T109))-SIN((2*ACOS(1-2*CD109/T109)))))/((T109/2)*((2*ACOS(1-2*CD109/T109)))))^(2/3))*SQRT(P109))</f>
        <v/>
      </c>
      <c r="CF109" s="9" t="str">
        <f aca="false">IF(BB109="","",IF(CE109&lt;BB109,CD109,CB109))</f>
        <v/>
      </c>
      <c r="CG109" s="9" t="str">
        <f aca="false">IF(BB109="","",IF(CE109&lt;BB109,CC109,CD109))</f>
        <v/>
      </c>
      <c r="CH109" s="9" t="str">
        <f aca="false">IF(BB109="","",(CF109+CG109)/2)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14"/>
      <c r="F110" s="14"/>
      <c r="G110" s="14" t="n">
        <f aca="false">SUMIFS(CB_plan!$C:$C,CB_plan!$B:$B,$A110)</f>
        <v>0</v>
      </c>
      <c r="H110" s="14" t="n">
        <f aca="false">IF(F110="",G110,F110)</f>
        <v>0</v>
      </c>
      <c r="I110" s="9"/>
      <c r="J110" s="14"/>
      <c r="K110" s="14" t="str">
        <f aca="false">IF(A110="","",Inputs!$B$13/((IF(AV110="",Inputs!$B$18,AV110)+Inputs!$B$14)^Inputs!$B$15))</f>
        <v/>
      </c>
      <c r="L110" s="14" t="str">
        <f aca="false">IF(A110="","",0.000000278*IF(I110="",Inputs!$B$17,I110)*H110*K110)</f>
        <v/>
      </c>
      <c r="M110" s="14" t="str">
        <f aca="false">IF(A110="","",SUMIFS($N$4:$N$203,$D$4:$D$203,$A110))</f>
        <v/>
      </c>
      <c r="N110" s="14" t="str">
        <f aca="false">IF(A110="","",(L110+M110)*Inputs!$B$16)</f>
        <v/>
      </c>
      <c r="O110" s="14"/>
      <c r="P110" s="14" t="str">
        <f aca="false">IF(A110="","",IF(O110="",Inputs!$B$7,O110))</f>
        <v/>
      </c>
      <c r="Q110" s="9" t="str">
        <f aca="false">IF(A110="","",IF(N110/Inputs!$B$10&lt;=AG110,Inputs!$F$5,IF(N110/Inputs!$B$10&gt;AP110,"OVERSIZE",INDEX(Inputs!$F$5:$F$14,MATCH(N110/Inputs!$B$10,AG110:AP110,1)+1))))</f>
        <v/>
      </c>
      <c r="R110" s="9"/>
      <c r="S110" s="9" t="str">
        <f aca="false">IF(A110="","",IF(R110="",Q110,R110))</f>
        <v/>
      </c>
      <c r="T110" s="14" t="str">
        <f aca="false">IF(OR(S110="",S110="OVERSIZE"),"",S110/1000)</f>
        <v/>
      </c>
      <c r="U110" s="14" t="str">
        <f aca="false">IF(T110="","",(1/Inputs!$B$9)*(PI()*T110^2/4)*((T110/4)^(2/3))*SQRT(P110))</f>
        <v/>
      </c>
      <c r="V110" s="14" t="str">
        <f aca="false">IF(OR(U110="",N110=""),"",N110/(U110*Inputs!$B$10))</f>
        <v/>
      </c>
      <c r="W110" s="14" t="str">
        <f aca="false">IF(OR(T110="",N110=""),"",4*N110/(PI()*T110^2))</f>
        <v/>
      </c>
      <c r="X110" s="14"/>
      <c r="Y110" s="14" t="str">
        <f aca="false">IF(A110="","",IF(A110=Inputs!$B$6,Inputs!$B$22,IF(D110="","",IFERROR(INDEX($Z$4:$Z$203,MATCH(D110,$A$4:$A$203,0))+IF(X110="",Inputs!$B$20,X110),""))))</f>
        <v/>
      </c>
      <c r="Z110" s="14" t="str">
        <f aca="false">IF(OR(Y110="",P110="",E110=""),"",Y110+P110*E110)</f>
        <v/>
      </c>
      <c r="AA110" s="14" t="str">
        <f aca="false">IF(C110="","",IFERROR(INDEX(Noeuds_plan!$C$4:$C$200,MATCH(C110,Noeuds_plan!$A$4:$A$200,0)),""))</f>
        <v/>
      </c>
      <c r="AB110" s="14" t="str">
        <f aca="false">IF(B110="","",IFERROR(INDEX(Noeuds_plan!$C$4:$C$200,MATCH(B110,Noeuds_plan!$A$4:$A$200,0)),""))</f>
        <v/>
      </c>
      <c r="AC110" s="14" t="str">
        <f aca="false">IF(OR(AA110="",Y110=""),"",AA110-Y110)</f>
        <v/>
      </c>
      <c r="AD110" s="14" t="str">
        <f aca="false">IF(OR(AB110="",Z110=""),"",AB110-Z110)</f>
        <v/>
      </c>
      <c r="AE110" s="19" t="str">
        <f aca="false">IF(A110="","",IF(OR(V110&gt;1,AND(AY110&lt;&gt;"",AY110&lt;Inputs!$B$11),AND(AY110&lt;&gt;"",AY110&gt;Inputs!$B$12),AC110&lt;Inputs!$B$19,AD110&lt;Inputs!$B$19,P110&lt;Inputs!$B$7,P110&gt;Inputs!$B$8),"CHECK","OK"))</f>
        <v/>
      </c>
      <c r="AF110" s="9"/>
      <c r="AG110" s="9" t="str">
        <f aca="false">IF(A110="","",(1/Inputs!$B$9)*(PI()*(Inputs!$F$5/1000)^2/4)*((Inputs!$F$5/1000/4)^(2/3))*SQRT(P110))</f>
        <v/>
      </c>
      <c r="AH110" s="9" t="str">
        <f aca="false">IF(A110="","",(1/Inputs!$B$9)*(PI()*(Inputs!$F$6/1000)^2/4)*((Inputs!$F$6/1000/4)^(2/3))*SQRT(P110))</f>
        <v/>
      </c>
      <c r="AI110" s="9" t="str">
        <f aca="false">IF(A110="","",(1/Inputs!$B$9)*(PI()*(Inputs!$F$7/1000)^2/4)*((Inputs!$F$7/1000/4)^(2/3))*SQRT(P110))</f>
        <v/>
      </c>
      <c r="AJ110" s="9" t="str">
        <f aca="false">IF(A110="","",(1/Inputs!$B$9)*(PI()*(Inputs!$F$8/1000)^2/4)*((Inputs!$F$8/1000/4)^(2/3))*SQRT(P110))</f>
        <v/>
      </c>
      <c r="AK110" s="9" t="str">
        <f aca="false">IF(A110="","",(1/Inputs!$B$9)*(PI()*(Inputs!$F$9/1000)^2/4)*((Inputs!$F$9/1000/4)^(2/3))*SQRT(P110))</f>
        <v/>
      </c>
      <c r="AL110" s="9" t="str">
        <f aca="false">IF(A110="","",(1/Inputs!$B$9)*(PI()*(Inputs!$F$10/1000)^2/4)*((Inputs!$F$10/1000/4)^(2/3))*SQRT(P110))</f>
        <v/>
      </c>
      <c r="AM110" s="9" t="str">
        <f aca="false">IF(A110="","",(1/Inputs!$B$9)*(PI()*(Inputs!$F$11/1000)^2/4)*((Inputs!$F$11/1000/4)^(2/3))*SQRT(P110))</f>
        <v/>
      </c>
      <c r="AN110" s="9" t="str">
        <f aca="false">IF(A110="","",(1/Inputs!$B$9)*(PI()*(Inputs!$F$12/1000)^2/4)*((Inputs!$F$12/1000/4)^(2/3))*SQRT(P110))</f>
        <v/>
      </c>
      <c r="AO110" s="9" t="str">
        <f aca="false">IF(A110="","",(1/Inputs!$B$9)*(PI()*(Inputs!$F$13/1000)^2/4)*((Inputs!$F$13/1000/4)^(2/3))*SQRT(P110))</f>
        <v/>
      </c>
      <c r="AP110" s="9" t="str">
        <f aca="false">IF(A110="","",(1/Inputs!$B$9)*(PI()*(Inputs!$F$14/1000)^2/4)*((Inputs!$F$14/1000/4)^(2/3))*SQRT(P110))</f>
        <v/>
      </c>
      <c r="AQ110" s="9" t="str">
        <f aca="false">IF(A110="","",COUNTIF($D$4:$D$203,$A110))</f>
        <v/>
      </c>
      <c r="AR110" s="9" t="str">
        <f aca="false">IF(A110="","",IF(AQ110=0,"START","CONTINUOUS"))</f>
        <v/>
      </c>
      <c r="AS110" s="13" t="str">
        <f aca="false">IF(A110="","",IF(J110="",Inputs!$B$18,J110))</f>
        <v/>
      </c>
      <c r="AT110" s="13" t="str">
        <f aca="false">IF(A110="","",IFERROR(maxifs($AV$4:$AV$203,$D$4:$D$203,$A110),""))</f>
        <v/>
      </c>
      <c r="AU110" s="13" t="str">
        <f aca="false">IF(A110="","",IF(OR(E110="",Inputs!$B$23=""),"",E110/(Inputs!$B$23*60)))</f>
        <v/>
      </c>
      <c r="AV110" s="13" t="str">
        <f aca="false">IF(A110="","",IF(AQ110=0,AS110+AU110,IF(AT110="",AS110+AU110,AT110+AU110)))</f>
        <v/>
      </c>
      <c r="AW110" s="13" t="str">
        <f aca="false">IF(A110="","",W110)</f>
        <v/>
      </c>
      <c r="AX110" s="13" t="str">
        <f aca="false">IF(OR(T110="",P110=""),"",(1/Inputs!$B$9)*((T110/4)^(2/3))*SQRT(P110))</f>
        <v/>
      </c>
      <c r="AY110" s="13" t="str">
        <f aca="false">IF(A110="","",IF(AND(AW110="",AX110="",BA110=""),"",IF(OR(UPPER(TRIM(Inputs!$B$24))="MANNING",UPPER(TRIM(Inputs!$B$24))="M"),AX110,IF(OR(UPPER(TRIM(Inputs!$B$24))="PARTIAL",UPPER(TRIM(Inputs!$B$24))="P"),BA110,IF(OR(UPPER(TRIM(Inputs!$B$24))="MAX",UPPER(TRIM(Inputs!$B$24))="X"),MAX(IF(AW110="",0,AW110),IF(AX110="",0,AX110),IF(BA110="",0,BA110)),AW110)))))</f>
        <v/>
      </c>
      <c r="AZ110" s="13" t="str">
        <f aca="false">IF(BB110="","",CH110)</f>
        <v/>
      </c>
      <c r="BA110" s="13" t="str">
        <f aca="false">IF(OR(BB110="",AZ110="",T110="",T110&lt;=0,AZ110&lt;=0),"",BB110/((T110^2/8)*(2*ACOS(1-2*AZ110/T110)-SIN(2*ACOS(1-2*AZ110/T110)))))</f>
        <v/>
      </c>
      <c r="BB110" s="9" t="str">
        <f aca="false">IF(OR(N110="",BC110=""),"",MIN(N110,BC110))</f>
        <v/>
      </c>
      <c r="BC110" s="9" t="str">
        <f aca="false">IF(OR(N110="",T110="",P110=""),"",IF(OR(T110="",P110="",(0.94*T110)="",T110&lt;=0,(0.94*T110)&lt;=0),"",(1/Inputs!$B$9)*((T110^2/8)*((2*ACOS(1-2*(0.94*T110)/T110))-SIN((2*ACOS(1-2*(0.94*T110)/T110)))))*((((T110^2/8)*((2*ACOS(1-2*(0.94*T110)/T110))-SIN((2*ACOS(1-2*(0.94*T110)/T110)))))/((T110/2)*((2*ACOS(1-2*(0.94*T110)/T110)))))^(2/3))*SQRT(P110)))</f>
        <v/>
      </c>
      <c r="BD110" s="9" t="str">
        <f aca="false">IF(BB110="","",0.001*T110)</f>
        <v/>
      </c>
      <c r="BE110" s="9" t="str">
        <f aca="false">IF(BB110="","",0.94*T110)</f>
        <v/>
      </c>
      <c r="BF110" s="9" t="str">
        <f aca="false">IF(BB110="","",(BD110+BE110)/2)</f>
        <v/>
      </c>
      <c r="BG110" s="9" t="str">
        <f aca="false">IF(OR(T110="",P110="",BF110="",T110&lt;=0,BF110&lt;=0),"",(1/Inputs!$B$9)*((T110^2/8)*((2*ACOS(1-2*BF110/T110))-SIN((2*ACOS(1-2*BF110/T110)))))*((((T110^2/8)*((2*ACOS(1-2*BF110/T110))-SIN((2*ACOS(1-2*BF110/T110)))))/((T110/2)*((2*ACOS(1-2*BF110/T110)))))^(2/3))*SQRT(P110))</f>
        <v/>
      </c>
      <c r="BH110" s="9" t="str">
        <f aca="false">IF(BB110="","",IF(BG110&lt;BB110,BF110,BD110))</f>
        <v/>
      </c>
      <c r="BI110" s="9" t="str">
        <f aca="false">IF(BB110="","",IF(BG110&lt;BB110,BE110,BF110))</f>
        <v/>
      </c>
      <c r="BJ110" s="9" t="str">
        <f aca="false">IF(BB110="","",(BH110+BI110)/2)</f>
        <v/>
      </c>
      <c r="BK110" s="9" t="str">
        <f aca="false">IF(OR(T110="",P110="",BJ110="",T110&lt;=0,BJ110&lt;=0),"",(1/Inputs!$B$9)*((T110^2/8)*((2*ACOS(1-2*BJ110/T110))-SIN((2*ACOS(1-2*BJ110/T110)))))*((((T110^2/8)*((2*ACOS(1-2*BJ110/T110))-SIN((2*ACOS(1-2*BJ110/T110)))))/((T110/2)*((2*ACOS(1-2*BJ110/T110)))))^(2/3))*SQRT(P110))</f>
        <v/>
      </c>
      <c r="BL110" s="9" t="str">
        <f aca="false">IF(BB110="","",IF(BK110&lt;BB110,BJ110,BH110))</f>
        <v/>
      </c>
      <c r="BM110" s="9" t="str">
        <f aca="false">IF(BB110="","",IF(BK110&lt;BB110,BI110,BJ110))</f>
        <v/>
      </c>
      <c r="BN110" s="9" t="str">
        <f aca="false">IF(BB110="","",(BL110+BM110)/2)</f>
        <v/>
      </c>
      <c r="BO110" s="9" t="str">
        <f aca="false">IF(OR(T110="",P110="",BN110="",T110&lt;=0,BN110&lt;=0),"",(1/Inputs!$B$9)*((T110^2/8)*((2*ACOS(1-2*BN110/T110))-SIN((2*ACOS(1-2*BN110/T110)))))*((((T110^2/8)*((2*ACOS(1-2*BN110/T110))-SIN((2*ACOS(1-2*BN110/T110)))))/((T110/2)*((2*ACOS(1-2*BN110/T110)))))^(2/3))*SQRT(P110))</f>
        <v/>
      </c>
      <c r="BP110" s="9" t="str">
        <f aca="false">IF(BB110="","",IF(BO110&lt;BB110,BN110,BL110))</f>
        <v/>
      </c>
      <c r="BQ110" s="9" t="str">
        <f aca="false">IF(BB110="","",IF(BO110&lt;BB110,BM110,BN110))</f>
        <v/>
      </c>
      <c r="BR110" s="9" t="str">
        <f aca="false">IF(BB110="","",(BP110+BQ110)/2)</f>
        <v/>
      </c>
      <c r="BS110" s="9" t="str">
        <f aca="false">IF(OR(T110="",P110="",BR110="",T110&lt;=0,BR110&lt;=0),"",(1/Inputs!$B$9)*((T110^2/8)*((2*ACOS(1-2*BR110/T110))-SIN((2*ACOS(1-2*BR110/T110)))))*((((T110^2/8)*((2*ACOS(1-2*BR110/T110))-SIN((2*ACOS(1-2*BR110/T110)))))/((T110/2)*((2*ACOS(1-2*BR110/T110)))))^(2/3))*SQRT(P110))</f>
        <v/>
      </c>
      <c r="BT110" s="9" t="str">
        <f aca="false">IF(BB110="","",IF(BS110&lt;BB110,BR110,BP110))</f>
        <v/>
      </c>
      <c r="BU110" s="9" t="str">
        <f aca="false">IF(BB110="","",IF(BS110&lt;BB110,BQ110,BR110))</f>
        <v/>
      </c>
      <c r="BV110" s="9" t="str">
        <f aca="false">IF(BB110="","",(BT110+BU110)/2)</f>
        <v/>
      </c>
      <c r="BW110" s="9" t="str">
        <f aca="false">IF(OR(T110="",P110="",BV110="",T110&lt;=0,BV110&lt;=0),"",(1/Inputs!$B$9)*((T110^2/8)*((2*ACOS(1-2*BV110/T110))-SIN((2*ACOS(1-2*BV110/T110)))))*((((T110^2/8)*((2*ACOS(1-2*BV110/T110))-SIN((2*ACOS(1-2*BV110/T110)))))/((T110/2)*((2*ACOS(1-2*BV110/T110)))))^(2/3))*SQRT(P110))</f>
        <v/>
      </c>
      <c r="BX110" s="9" t="str">
        <f aca="false">IF(BB110="","",IF(BW110&lt;BB110,BV110,BT110))</f>
        <v/>
      </c>
      <c r="BY110" s="9" t="str">
        <f aca="false">IF(BB110="","",IF(BW110&lt;BB110,BU110,BV110))</f>
        <v/>
      </c>
      <c r="BZ110" s="9" t="str">
        <f aca="false">IF(BB110="","",(BX110+BY110)/2)</f>
        <v/>
      </c>
      <c r="CA110" s="9" t="str">
        <f aca="false">IF(OR(T110="",P110="",BZ110="",T110&lt;=0,BZ110&lt;=0),"",(1/Inputs!$B$9)*((T110^2/8)*((2*ACOS(1-2*BZ110/T110))-SIN((2*ACOS(1-2*BZ110/T110)))))*((((T110^2/8)*((2*ACOS(1-2*BZ110/T110))-SIN((2*ACOS(1-2*BZ110/T110)))))/((T110/2)*((2*ACOS(1-2*BZ110/T110)))))^(2/3))*SQRT(P110))</f>
        <v/>
      </c>
      <c r="CB110" s="9" t="str">
        <f aca="false">IF(BB110="","",IF(CA110&lt;BB110,BZ110,BX110))</f>
        <v/>
      </c>
      <c r="CC110" s="9" t="str">
        <f aca="false">IF(BB110="","",IF(CA110&lt;BB110,BY110,BZ110))</f>
        <v/>
      </c>
      <c r="CD110" s="9" t="str">
        <f aca="false">IF(BB110="","",(CB110+CC110)/2)</f>
        <v/>
      </c>
      <c r="CE110" s="9" t="str">
        <f aca="false">IF(OR(T110="",P110="",CD110="",T110&lt;=0,CD110&lt;=0),"",(1/Inputs!$B$9)*((T110^2/8)*((2*ACOS(1-2*CD110/T110))-SIN((2*ACOS(1-2*CD110/T110)))))*((((T110^2/8)*((2*ACOS(1-2*CD110/T110))-SIN((2*ACOS(1-2*CD110/T110)))))/((T110/2)*((2*ACOS(1-2*CD110/T110)))))^(2/3))*SQRT(P110))</f>
        <v/>
      </c>
      <c r="CF110" s="9" t="str">
        <f aca="false">IF(BB110="","",IF(CE110&lt;BB110,CD110,CB110))</f>
        <v/>
      </c>
      <c r="CG110" s="9" t="str">
        <f aca="false">IF(BB110="","",IF(CE110&lt;BB110,CC110,CD110))</f>
        <v/>
      </c>
      <c r="CH110" s="9" t="str">
        <f aca="false">IF(BB110="","",(CF110+CG110)/2)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14"/>
      <c r="F111" s="14"/>
      <c r="G111" s="14" t="n">
        <f aca="false">SUMIFS(CB_plan!$C:$C,CB_plan!$B:$B,$A111)</f>
        <v>0</v>
      </c>
      <c r="H111" s="14" t="n">
        <f aca="false">IF(F111="",G111,F111)</f>
        <v>0</v>
      </c>
      <c r="I111" s="9"/>
      <c r="J111" s="14"/>
      <c r="K111" s="14" t="str">
        <f aca="false">IF(A111="","",Inputs!$B$13/((IF(AV111="",Inputs!$B$18,AV111)+Inputs!$B$14)^Inputs!$B$15))</f>
        <v/>
      </c>
      <c r="L111" s="14" t="str">
        <f aca="false">IF(A111="","",0.000000278*IF(I111="",Inputs!$B$17,I111)*H111*K111)</f>
        <v/>
      </c>
      <c r="M111" s="14" t="str">
        <f aca="false">IF(A111="","",SUMIFS($N$4:$N$203,$D$4:$D$203,$A111))</f>
        <v/>
      </c>
      <c r="N111" s="14" t="str">
        <f aca="false">IF(A111="","",(L111+M111)*Inputs!$B$16)</f>
        <v/>
      </c>
      <c r="O111" s="14"/>
      <c r="P111" s="14" t="str">
        <f aca="false">IF(A111="","",IF(O111="",Inputs!$B$7,O111))</f>
        <v/>
      </c>
      <c r="Q111" s="9" t="str">
        <f aca="false">IF(A111="","",IF(N111/Inputs!$B$10&lt;=AG111,Inputs!$F$5,IF(N111/Inputs!$B$10&gt;AP111,"OVERSIZE",INDEX(Inputs!$F$5:$F$14,MATCH(N111/Inputs!$B$10,AG111:AP111,1)+1))))</f>
        <v/>
      </c>
      <c r="R111" s="9"/>
      <c r="S111" s="9" t="str">
        <f aca="false">IF(A111="","",IF(R111="",Q111,R111))</f>
        <v/>
      </c>
      <c r="T111" s="14" t="str">
        <f aca="false">IF(OR(S111="",S111="OVERSIZE"),"",S111/1000)</f>
        <v/>
      </c>
      <c r="U111" s="14" t="str">
        <f aca="false">IF(T111="","",(1/Inputs!$B$9)*(PI()*T111^2/4)*((T111/4)^(2/3))*SQRT(P111))</f>
        <v/>
      </c>
      <c r="V111" s="14" t="str">
        <f aca="false">IF(OR(U111="",N111=""),"",N111/(U111*Inputs!$B$10))</f>
        <v/>
      </c>
      <c r="W111" s="14" t="str">
        <f aca="false">IF(OR(T111="",N111=""),"",4*N111/(PI()*T111^2))</f>
        <v/>
      </c>
      <c r="X111" s="14"/>
      <c r="Y111" s="14" t="str">
        <f aca="false">IF(A111="","",IF(A111=Inputs!$B$6,Inputs!$B$22,IF(D111="","",IFERROR(INDEX($Z$4:$Z$203,MATCH(D111,$A$4:$A$203,0))+IF(X111="",Inputs!$B$20,X111),""))))</f>
        <v/>
      </c>
      <c r="Z111" s="14" t="str">
        <f aca="false">IF(OR(Y111="",P111="",E111=""),"",Y111+P111*E111)</f>
        <v/>
      </c>
      <c r="AA111" s="14" t="str">
        <f aca="false">IF(C111="","",IFERROR(INDEX(Noeuds_plan!$C$4:$C$200,MATCH(C111,Noeuds_plan!$A$4:$A$200,0)),""))</f>
        <v/>
      </c>
      <c r="AB111" s="14" t="str">
        <f aca="false">IF(B111="","",IFERROR(INDEX(Noeuds_plan!$C$4:$C$200,MATCH(B111,Noeuds_plan!$A$4:$A$200,0)),""))</f>
        <v/>
      </c>
      <c r="AC111" s="14" t="str">
        <f aca="false">IF(OR(AA111="",Y111=""),"",AA111-Y111)</f>
        <v/>
      </c>
      <c r="AD111" s="14" t="str">
        <f aca="false">IF(OR(AB111="",Z111=""),"",AB111-Z111)</f>
        <v/>
      </c>
      <c r="AE111" s="19" t="str">
        <f aca="false">IF(A111="","",IF(OR(V111&gt;1,AND(AY111&lt;&gt;"",AY111&lt;Inputs!$B$11),AND(AY111&lt;&gt;"",AY111&gt;Inputs!$B$12),AC111&lt;Inputs!$B$19,AD111&lt;Inputs!$B$19,P111&lt;Inputs!$B$7,P111&gt;Inputs!$B$8),"CHECK","OK"))</f>
        <v/>
      </c>
      <c r="AF111" s="9"/>
      <c r="AG111" s="9" t="str">
        <f aca="false">IF(A111="","",(1/Inputs!$B$9)*(PI()*(Inputs!$F$5/1000)^2/4)*((Inputs!$F$5/1000/4)^(2/3))*SQRT(P111))</f>
        <v/>
      </c>
      <c r="AH111" s="9" t="str">
        <f aca="false">IF(A111="","",(1/Inputs!$B$9)*(PI()*(Inputs!$F$6/1000)^2/4)*((Inputs!$F$6/1000/4)^(2/3))*SQRT(P111))</f>
        <v/>
      </c>
      <c r="AI111" s="9" t="str">
        <f aca="false">IF(A111="","",(1/Inputs!$B$9)*(PI()*(Inputs!$F$7/1000)^2/4)*((Inputs!$F$7/1000/4)^(2/3))*SQRT(P111))</f>
        <v/>
      </c>
      <c r="AJ111" s="9" t="str">
        <f aca="false">IF(A111="","",(1/Inputs!$B$9)*(PI()*(Inputs!$F$8/1000)^2/4)*((Inputs!$F$8/1000/4)^(2/3))*SQRT(P111))</f>
        <v/>
      </c>
      <c r="AK111" s="9" t="str">
        <f aca="false">IF(A111="","",(1/Inputs!$B$9)*(PI()*(Inputs!$F$9/1000)^2/4)*((Inputs!$F$9/1000/4)^(2/3))*SQRT(P111))</f>
        <v/>
      </c>
      <c r="AL111" s="9" t="str">
        <f aca="false">IF(A111="","",(1/Inputs!$B$9)*(PI()*(Inputs!$F$10/1000)^2/4)*((Inputs!$F$10/1000/4)^(2/3))*SQRT(P111))</f>
        <v/>
      </c>
      <c r="AM111" s="9" t="str">
        <f aca="false">IF(A111="","",(1/Inputs!$B$9)*(PI()*(Inputs!$F$11/1000)^2/4)*((Inputs!$F$11/1000/4)^(2/3))*SQRT(P111))</f>
        <v/>
      </c>
      <c r="AN111" s="9" t="str">
        <f aca="false">IF(A111="","",(1/Inputs!$B$9)*(PI()*(Inputs!$F$12/1000)^2/4)*((Inputs!$F$12/1000/4)^(2/3))*SQRT(P111))</f>
        <v/>
      </c>
      <c r="AO111" s="9" t="str">
        <f aca="false">IF(A111="","",(1/Inputs!$B$9)*(PI()*(Inputs!$F$13/1000)^2/4)*((Inputs!$F$13/1000/4)^(2/3))*SQRT(P111))</f>
        <v/>
      </c>
      <c r="AP111" s="9" t="str">
        <f aca="false">IF(A111="","",(1/Inputs!$B$9)*(PI()*(Inputs!$F$14/1000)^2/4)*((Inputs!$F$14/1000/4)^(2/3))*SQRT(P111))</f>
        <v/>
      </c>
      <c r="AQ111" s="9" t="str">
        <f aca="false">IF(A111="","",COUNTIF($D$4:$D$203,$A111))</f>
        <v/>
      </c>
      <c r="AR111" s="9" t="str">
        <f aca="false">IF(A111="","",IF(AQ111=0,"START","CONTINUOUS"))</f>
        <v/>
      </c>
      <c r="AS111" s="13" t="str">
        <f aca="false">IF(A111="","",IF(J111="",Inputs!$B$18,J111))</f>
        <v/>
      </c>
      <c r="AT111" s="13" t="str">
        <f aca="false">IF(A111="","",IFERROR(maxifs($AV$4:$AV$203,$D$4:$D$203,$A111),""))</f>
        <v/>
      </c>
      <c r="AU111" s="13" t="str">
        <f aca="false">IF(A111="","",IF(OR(E111="",Inputs!$B$23=""),"",E111/(Inputs!$B$23*60)))</f>
        <v/>
      </c>
      <c r="AV111" s="13" t="str">
        <f aca="false">IF(A111="","",IF(AQ111=0,AS111+AU111,IF(AT111="",AS111+AU111,AT111+AU111)))</f>
        <v/>
      </c>
      <c r="AW111" s="13" t="str">
        <f aca="false">IF(A111="","",W111)</f>
        <v/>
      </c>
      <c r="AX111" s="13" t="str">
        <f aca="false">IF(OR(T111="",P111=""),"",(1/Inputs!$B$9)*((T111/4)^(2/3))*SQRT(P111))</f>
        <v/>
      </c>
      <c r="AY111" s="13" t="str">
        <f aca="false">IF(A111="","",IF(AND(AW111="",AX111="",BA111=""),"",IF(OR(UPPER(TRIM(Inputs!$B$24))="MANNING",UPPER(TRIM(Inputs!$B$24))="M"),AX111,IF(OR(UPPER(TRIM(Inputs!$B$24))="PARTIAL",UPPER(TRIM(Inputs!$B$24))="P"),BA111,IF(OR(UPPER(TRIM(Inputs!$B$24))="MAX",UPPER(TRIM(Inputs!$B$24))="X"),MAX(IF(AW111="",0,AW111),IF(AX111="",0,AX111),IF(BA111="",0,BA111)),AW111)))))</f>
        <v/>
      </c>
      <c r="AZ111" s="13" t="str">
        <f aca="false">IF(BB111="","",CH111)</f>
        <v/>
      </c>
      <c r="BA111" s="13" t="str">
        <f aca="false">IF(OR(BB111="",AZ111="",T111="",T111&lt;=0,AZ111&lt;=0),"",BB111/((T111^2/8)*(2*ACOS(1-2*AZ111/T111)-SIN(2*ACOS(1-2*AZ111/T111)))))</f>
        <v/>
      </c>
      <c r="BB111" s="9" t="str">
        <f aca="false">IF(OR(N111="",BC111=""),"",MIN(N111,BC111))</f>
        <v/>
      </c>
      <c r="BC111" s="9" t="str">
        <f aca="false">IF(OR(N111="",T111="",P111=""),"",IF(OR(T111="",P111="",(0.94*T111)="",T111&lt;=0,(0.94*T111)&lt;=0),"",(1/Inputs!$B$9)*((T111^2/8)*((2*ACOS(1-2*(0.94*T111)/T111))-SIN((2*ACOS(1-2*(0.94*T111)/T111)))))*((((T111^2/8)*((2*ACOS(1-2*(0.94*T111)/T111))-SIN((2*ACOS(1-2*(0.94*T111)/T111)))))/((T111/2)*((2*ACOS(1-2*(0.94*T111)/T111)))))^(2/3))*SQRT(P111)))</f>
        <v/>
      </c>
      <c r="BD111" s="9" t="str">
        <f aca="false">IF(BB111="","",0.001*T111)</f>
        <v/>
      </c>
      <c r="BE111" s="9" t="str">
        <f aca="false">IF(BB111="","",0.94*T111)</f>
        <v/>
      </c>
      <c r="BF111" s="9" t="str">
        <f aca="false">IF(BB111="","",(BD111+BE111)/2)</f>
        <v/>
      </c>
      <c r="BG111" s="9" t="str">
        <f aca="false">IF(OR(T111="",P111="",BF111="",T111&lt;=0,BF111&lt;=0),"",(1/Inputs!$B$9)*((T111^2/8)*((2*ACOS(1-2*BF111/T111))-SIN((2*ACOS(1-2*BF111/T111)))))*((((T111^2/8)*((2*ACOS(1-2*BF111/T111))-SIN((2*ACOS(1-2*BF111/T111)))))/((T111/2)*((2*ACOS(1-2*BF111/T111)))))^(2/3))*SQRT(P111))</f>
        <v/>
      </c>
      <c r="BH111" s="9" t="str">
        <f aca="false">IF(BB111="","",IF(BG111&lt;BB111,BF111,BD111))</f>
        <v/>
      </c>
      <c r="BI111" s="9" t="str">
        <f aca="false">IF(BB111="","",IF(BG111&lt;BB111,BE111,BF111))</f>
        <v/>
      </c>
      <c r="BJ111" s="9" t="str">
        <f aca="false">IF(BB111="","",(BH111+BI111)/2)</f>
        <v/>
      </c>
      <c r="BK111" s="9" t="str">
        <f aca="false">IF(OR(T111="",P111="",BJ111="",T111&lt;=0,BJ111&lt;=0),"",(1/Inputs!$B$9)*((T111^2/8)*((2*ACOS(1-2*BJ111/T111))-SIN((2*ACOS(1-2*BJ111/T111)))))*((((T111^2/8)*((2*ACOS(1-2*BJ111/T111))-SIN((2*ACOS(1-2*BJ111/T111)))))/((T111/2)*((2*ACOS(1-2*BJ111/T111)))))^(2/3))*SQRT(P111))</f>
        <v/>
      </c>
      <c r="BL111" s="9" t="str">
        <f aca="false">IF(BB111="","",IF(BK111&lt;BB111,BJ111,BH111))</f>
        <v/>
      </c>
      <c r="BM111" s="9" t="str">
        <f aca="false">IF(BB111="","",IF(BK111&lt;BB111,BI111,BJ111))</f>
        <v/>
      </c>
      <c r="BN111" s="9" t="str">
        <f aca="false">IF(BB111="","",(BL111+BM111)/2)</f>
        <v/>
      </c>
      <c r="BO111" s="9" t="str">
        <f aca="false">IF(OR(T111="",P111="",BN111="",T111&lt;=0,BN111&lt;=0),"",(1/Inputs!$B$9)*((T111^2/8)*((2*ACOS(1-2*BN111/T111))-SIN((2*ACOS(1-2*BN111/T111)))))*((((T111^2/8)*((2*ACOS(1-2*BN111/T111))-SIN((2*ACOS(1-2*BN111/T111)))))/((T111/2)*((2*ACOS(1-2*BN111/T111)))))^(2/3))*SQRT(P111))</f>
        <v/>
      </c>
      <c r="BP111" s="9" t="str">
        <f aca="false">IF(BB111="","",IF(BO111&lt;BB111,BN111,BL111))</f>
        <v/>
      </c>
      <c r="BQ111" s="9" t="str">
        <f aca="false">IF(BB111="","",IF(BO111&lt;BB111,BM111,BN111))</f>
        <v/>
      </c>
      <c r="BR111" s="9" t="str">
        <f aca="false">IF(BB111="","",(BP111+BQ111)/2)</f>
        <v/>
      </c>
      <c r="BS111" s="9" t="str">
        <f aca="false">IF(OR(T111="",P111="",BR111="",T111&lt;=0,BR111&lt;=0),"",(1/Inputs!$B$9)*((T111^2/8)*((2*ACOS(1-2*BR111/T111))-SIN((2*ACOS(1-2*BR111/T111)))))*((((T111^2/8)*((2*ACOS(1-2*BR111/T111))-SIN((2*ACOS(1-2*BR111/T111)))))/((T111/2)*((2*ACOS(1-2*BR111/T111)))))^(2/3))*SQRT(P111))</f>
        <v/>
      </c>
      <c r="BT111" s="9" t="str">
        <f aca="false">IF(BB111="","",IF(BS111&lt;BB111,BR111,BP111))</f>
        <v/>
      </c>
      <c r="BU111" s="9" t="str">
        <f aca="false">IF(BB111="","",IF(BS111&lt;BB111,BQ111,BR111))</f>
        <v/>
      </c>
      <c r="BV111" s="9" t="str">
        <f aca="false">IF(BB111="","",(BT111+BU111)/2)</f>
        <v/>
      </c>
      <c r="BW111" s="9" t="str">
        <f aca="false">IF(OR(T111="",P111="",BV111="",T111&lt;=0,BV111&lt;=0),"",(1/Inputs!$B$9)*((T111^2/8)*((2*ACOS(1-2*BV111/T111))-SIN((2*ACOS(1-2*BV111/T111)))))*((((T111^2/8)*((2*ACOS(1-2*BV111/T111))-SIN((2*ACOS(1-2*BV111/T111)))))/((T111/2)*((2*ACOS(1-2*BV111/T111)))))^(2/3))*SQRT(P111))</f>
        <v/>
      </c>
      <c r="BX111" s="9" t="str">
        <f aca="false">IF(BB111="","",IF(BW111&lt;BB111,BV111,BT111))</f>
        <v/>
      </c>
      <c r="BY111" s="9" t="str">
        <f aca="false">IF(BB111="","",IF(BW111&lt;BB111,BU111,BV111))</f>
        <v/>
      </c>
      <c r="BZ111" s="9" t="str">
        <f aca="false">IF(BB111="","",(BX111+BY111)/2)</f>
        <v/>
      </c>
      <c r="CA111" s="9" t="str">
        <f aca="false">IF(OR(T111="",P111="",BZ111="",T111&lt;=0,BZ111&lt;=0),"",(1/Inputs!$B$9)*((T111^2/8)*((2*ACOS(1-2*BZ111/T111))-SIN((2*ACOS(1-2*BZ111/T111)))))*((((T111^2/8)*((2*ACOS(1-2*BZ111/T111))-SIN((2*ACOS(1-2*BZ111/T111)))))/((T111/2)*((2*ACOS(1-2*BZ111/T111)))))^(2/3))*SQRT(P111))</f>
        <v/>
      </c>
      <c r="CB111" s="9" t="str">
        <f aca="false">IF(BB111="","",IF(CA111&lt;BB111,BZ111,BX111))</f>
        <v/>
      </c>
      <c r="CC111" s="9" t="str">
        <f aca="false">IF(BB111="","",IF(CA111&lt;BB111,BY111,BZ111))</f>
        <v/>
      </c>
      <c r="CD111" s="9" t="str">
        <f aca="false">IF(BB111="","",(CB111+CC111)/2)</f>
        <v/>
      </c>
      <c r="CE111" s="9" t="str">
        <f aca="false">IF(OR(T111="",P111="",CD111="",T111&lt;=0,CD111&lt;=0),"",(1/Inputs!$B$9)*((T111^2/8)*((2*ACOS(1-2*CD111/T111))-SIN((2*ACOS(1-2*CD111/T111)))))*((((T111^2/8)*((2*ACOS(1-2*CD111/T111))-SIN((2*ACOS(1-2*CD111/T111)))))/((T111/2)*((2*ACOS(1-2*CD111/T111)))))^(2/3))*SQRT(P111))</f>
        <v/>
      </c>
      <c r="CF111" s="9" t="str">
        <f aca="false">IF(BB111="","",IF(CE111&lt;BB111,CD111,CB111))</f>
        <v/>
      </c>
      <c r="CG111" s="9" t="str">
        <f aca="false">IF(BB111="","",IF(CE111&lt;BB111,CC111,CD111))</f>
        <v/>
      </c>
      <c r="CH111" s="9" t="str">
        <f aca="false">IF(BB111="","",(CF111+CG111)/2)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14"/>
      <c r="F112" s="14"/>
      <c r="G112" s="14" t="n">
        <f aca="false">SUMIFS(CB_plan!$C:$C,CB_plan!$B:$B,$A112)</f>
        <v>0</v>
      </c>
      <c r="H112" s="14" t="n">
        <f aca="false">IF(F112="",G112,F112)</f>
        <v>0</v>
      </c>
      <c r="I112" s="9"/>
      <c r="J112" s="14"/>
      <c r="K112" s="14" t="str">
        <f aca="false">IF(A112="","",Inputs!$B$13/((IF(AV112="",Inputs!$B$18,AV112)+Inputs!$B$14)^Inputs!$B$15))</f>
        <v/>
      </c>
      <c r="L112" s="14" t="str">
        <f aca="false">IF(A112="","",0.000000278*IF(I112="",Inputs!$B$17,I112)*H112*K112)</f>
        <v/>
      </c>
      <c r="M112" s="14" t="str">
        <f aca="false">IF(A112="","",SUMIFS($N$4:$N$203,$D$4:$D$203,$A112))</f>
        <v/>
      </c>
      <c r="N112" s="14" t="str">
        <f aca="false">IF(A112="","",(L112+M112)*Inputs!$B$16)</f>
        <v/>
      </c>
      <c r="O112" s="14"/>
      <c r="P112" s="14" t="str">
        <f aca="false">IF(A112="","",IF(O112="",Inputs!$B$7,O112))</f>
        <v/>
      </c>
      <c r="Q112" s="9" t="str">
        <f aca="false">IF(A112="","",IF(N112/Inputs!$B$10&lt;=AG112,Inputs!$F$5,IF(N112/Inputs!$B$10&gt;AP112,"OVERSIZE",INDEX(Inputs!$F$5:$F$14,MATCH(N112/Inputs!$B$10,AG112:AP112,1)+1))))</f>
        <v/>
      </c>
      <c r="R112" s="9"/>
      <c r="S112" s="9" t="str">
        <f aca="false">IF(A112="","",IF(R112="",Q112,R112))</f>
        <v/>
      </c>
      <c r="T112" s="14" t="str">
        <f aca="false">IF(OR(S112="",S112="OVERSIZE"),"",S112/1000)</f>
        <v/>
      </c>
      <c r="U112" s="14" t="str">
        <f aca="false">IF(T112="","",(1/Inputs!$B$9)*(PI()*T112^2/4)*((T112/4)^(2/3))*SQRT(P112))</f>
        <v/>
      </c>
      <c r="V112" s="14" t="str">
        <f aca="false">IF(OR(U112="",N112=""),"",N112/(U112*Inputs!$B$10))</f>
        <v/>
      </c>
      <c r="W112" s="14" t="str">
        <f aca="false">IF(OR(T112="",N112=""),"",4*N112/(PI()*T112^2))</f>
        <v/>
      </c>
      <c r="X112" s="14"/>
      <c r="Y112" s="14" t="str">
        <f aca="false">IF(A112="","",IF(A112=Inputs!$B$6,Inputs!$B$22,IF(D112="","",IFERROR(INDEX($Z$4:$Z$203,MATCH(D112,$A$4:$A$203,0))+IF(X112="",Inputs!$B$20,X112),""))))</f>
        <v/>
      </c>
      <c r="Z112" s="14" t="str">
        <f aca="false">IF(OR(Y112="",P112="",E112=""),"",Y112+P112*E112)</f>
        <v/>
      </c>
      <c r="AA112" s="14" t="str">
        <f aca="false">IF(C112="","",IFERROR(INDEX(Noeuds_plan!$C$4:$C$200,MATCH(C112,Noeuds_plan!$A$4:$A$200,0)),""))</f>
        <v/>
      </c>
      <c r="AB112" s="14" t="str">
        <f aca="false">IF(B112="","",IFERROR(INDEX(Noeuds_plan!$C$4:$C$200,MATCH(B112,Noeuds_plan!$A$4:$A$200,0)),""))</f>
        <v/>
      </c>
      <c r="AC112" s="14" t="str">
        <f aca="false">IF(OR(AA112="",Y112=""),"",AA112-Y112)</f>
        <v/>
      </c>
      <c r="AD112" s="14" t="str">
        <f aca="false">IF(OR(AB112="",Z112=""),"",AB112-Z112)</f>
        <v/>
      </c>
      <c r="AE112" s="19" t="str">
        <f aca="false">IF(A112="","",IF(OR(V112&gt;1,AND(AY112&lt;&gt;"",AY112&lt;Inputs!$B$11),AND(AY112&lt;&gt;"",AY112&gt;Inputs!$B$12),AC112&lt;Inputs!$B$19,AD112&lt;Inputs!$B$19,P112&lt;Inputs!$B$7,P112&gt;Inputs!$B$8),"CHECK","OK"))</f>
        <v/>
      </c>
      <c r="AF112" s="9"/>
      <c r="AG112" s="9" t="str">
        <f aca="false">IF(A112="","",(1/Inputs!$B$9)*(PI()*(Inputs!$F$5/1000)^2/4)*((Inputs!$F$5/1000/4)^(2/3))*SQRT(P112))</f>
        <v/>
      </c>
      <c r="AH112" s="9" t="str">
        <f aca="false">IF(A112="","",(1/Inputs!$B$9)*(PI()*(Inputs!$F$6/1000)^2/4)*((Inputs!$F$6/1000/4)^(2/3))*SQRT(P112))</f>
        <v/>
      </c>
      <c r="AI112" s="9" t="str">
        <f aca="false">IF(A112="","",(1/Inputs!$B$9)*(PI()*(Inputs!$F$7/1000)^2/4)*((Inputs!$F$7/1000/4)^(2/3))*SQRT(P112))</f>
        <v/>
      </c>
      <c r="AJ112" s="9" t="str">
        <f aca="false">IF(A112="","",(1/Inputs!$B$9)*(PI()*(Inputs!$F$8/1000)^2/4)*((Inputs!$F$8/1000/4)^(2/3))*SQRT(P112))</f>
        <v/>
      </c>
      <c r="AK112" s="9" t="str">
        <f aca="false">IF(A112="","",(1/Inputs!$B$9)*(PI()*(Inputs!$F$9/1000)^2/4)*((Inputs!$F$9/1000/4)^(2/3))*SQRT(P112))</f>
        <v/>
      </c>
      <c r="AL112" s="9" t="str">
        <f aca="false">IF(A112="","",(1/Inputs!$B$9)*(PI()*(Inputs!$F$10/1000)^2/4)*((Inputs!$F$10/1000/4)^(2/3))*SQRT(P112))</f>
        <v/>
      </c>
      <c r="AM112" s="9" t="str">
        <f aca="false">IF(A112="","",(1/Inputs!$B$9)*(PI()*(Inputs!$F$11/1000)^2/4)*((Inputs!$F$11/1000/4)^(2/3))*SQRT(P112))</f>
        <v/>
      </c>
      <c r="AN112" s="9" t="str">
        <f aca="false">IF(A112="","",(1/Inputs!$B$9)*(PI()*(Inputs!$F$12/1000)^2/4)*((Inputs!$F$12/1000/4)^(2/3))*SQRT(P112))</f>
        <v/>
      </c>
      <c r="AO112" s="9" t="str">
        <f aca="false">IF(A112="","",(1/Inputs!$B$9)*(PI()*(Inputs!$F$13/1000)^2/4)*((Inputs!$F$13/1000/4)^(2/3))*SQRT(P112))</f>
        <v/>
      </c>
      <c r="AP112" s="9" t="str">
        <f aca="false">IF(A112="","",(1/Inputs!$B$9)*(PI()*(Inputs!$F$14/1000)^2/4)*((Inputs!$F$14/1000/4)^(2/3))*SQRT(P112))</f>
        <v/>
      </c>
      <c r="AQ112" s="9" t="str">
        <f aca="false">IF(A112="","",COUNTIF($D$4:$D$203,$A112))</f>
        <v/>
      </c>
      <c r="AR112" s="9" t="str">
        <f aca="false">IF(A112="","",IF(AQ112=0,"START","CONTINUOUS"))</f>
        <v/>
      </c>
      <c r="AS112" s="13" t="str">
        <f aca="false">IF(A112="","",IF(J112="",Inputs!$B$18,J112))</f>
        <v/>
      </c>
      <c r="AT112" s="13" t="str">
        <f aca="false">IF(A112="","",IFERROR(maxifs($AV$4:$AV$203,$D$4:$D$203,$A112),""))</f>
        <v/>
      </c>
      <c r="AU112" s="13" t="str">
        <f aca="false">IF(A112="","",IF(OR(E112="",Inputs!$B$23=""),"",E112/(Inputs!$B$23*60)))</f>
        <v/>
      </c>
      <c r="AV112" s="13" t="str">
        <f aca="false">IF(A112="","",IF(AQ112=0,AS112+AU112,IF(AT112="",AS112+AU112,AT112+AU112)))</f>
        <v/>
      </c>
      <c r="AW112" s="13" t="str">
        <f aca="false">IF(A112="","",W112)</f>
        <v/>
      </c>
      <c r="AX112" s="13" t="str">
        <f aca="false">IF(OR(T112="",P112=""),"",(1/Inputs!$B$9)*((T112/4)^(2/3))*SQRT(P112))</f>
        <v/>
      </c>
      <c r="AY112" s="13" t="str">
        <f aca="false">IF(A112="","",IF(AND(AW112="",AX112="",BA112=""),"",IF(OR(UPPER(TRIM(Inputs!$B$24))="MANNING",UPPER(TRIM(Inputs!$B$24))="M"),AX112,IF(OR(UPPER(TRIM(Inputs!$B$24))="PARTIAL",UPPER(TRIM(Inputs!$B$24))="P"),BA112,IF(OR(UPPER(TRIM(Inputs!$B$24))="MAX",UPPER(TRIM(Inputs!$B$24))="X"),MAX(IF(AW112="",0,AW112),IF(AX112="",0,AX112),IF(BA112="",0,BA112)),AW112)))))</f>
        <v/>
      </c>
      <c r="AZ112" s="13" t="str">
        <f aca="false">IF(BB112="","",CH112)</f>
        <v/>
      </c>
      <c r="BA112" s="13" t="str">
        <f aca="false">IF(OR(BB112="",AZ112="",T112="",T112&lt;=0,AZ112&lt;=0),"",BB112/((T112^2/8)*(2*ACOS(1-2*AZ112/T112)-SIN(2*ACOS(1-2*AZ112/T112)))))</f>
        <v/>
      </c>
      <c r="BB112" s="9" t="str">
        <f aca="false">IF(OR(N112="",BC112=""),"",MIN(N112,BC112))</f>
        <v/>
      </c>
      <c r="BC112" s="9" t="str">
        <f aca="false">IF(OR(N112="",T112="",P112=""),"",IF(OR(T112="",P112="",(0.94*T112)="",T112&lt;=0,(0.94*T112)&lt;=0),"",(1/Inputs!$B$9)*((T112^2/8)*((2*ACOS(1-2*(0.94*T112)/T112))-SIN((2*ACOS(1-2*(0.94*T112)/T112)))))*((((T112^2/8)*((2*ACOS(1-2*(0.94*T112)/T112))-SIN((2*ACOS(1-2*(0.94*T112)/T112)))))/((T112/2)*((2*ACOS(1-2*(0.94*T112)/T112)))))^(2/3))*SQRT(P112)))</f>
        <v/>
      </c>
      <c r="BD112" s="9" t="str">
        <f aca="false">IF(BB112="","",0.001*T112)</f>
        <v/>
      </c>
      <c r="BE112" s="9" t="str">
        <f aca="false">IF(BB112="","",0.94*T112)</f>
        <v/>
      </c>
      <c r="BF112" s="9" t="str">
        <f aca="false">IF(BB112="","",(BD112+BE112)/2)</f>
        <v/>
      </c>
      <c r="BG112" s="9" t="str">
        <f aca="false">IF(OR(T112="",P112="",BF112="",T112&lt;=0,BF112&lt;=0),"",(1/Inputs!$B$9)*((T112^2/8)*((2*ACOS(1-2*BF112/T112))-SIN((2*ACOS(1-2*BF112/T112)))))*((((T112^2/8)*((2*ACOS(1-2*BF112/T112))-SIN((2*ACOS(1-2*BF112/T112)))))/((T112/2)*((2*ACOS(1-2*BF112/T112)))))^(2/3))*SQRT(P112))</f>
        <v/>
      </c>
      <c r="BH112" s="9" t="str">
        <f aca="false">IF(BB112="","",IF(BG112&lt;BB112,BF112,BD112))</f>
        <v/>
      </c>
      <c r="BI112" s="9" t="str">
        <f aca="false">IF(BB112="","",IF(BG112&lt;BB112,BE112,BF112))</f>
        <v/>
      </c>
      <c r="BJ112" s="9" t="str">
        <f aca="false">IF(BB112="","",(BH112+BI112)/2)</f>
        <v/>
      </c>
      <c r="BK112" s="9" t="str">
        <f aca="false">IF(OR(T112="",P112="",BJ112="",T112&lt;=0,BJ112&lt;=0),"",(1/Inputs!$B$9)*((T112^2/8)*((2*ACOS(1-2*BJ112/T112))-SIN((2*ACOS(1-2*BJ112/T112)))))*((((T112^2/8)*((2*ACOS(1-2*BJ112/T112))-SIN((2*ACOS(1-2*BJ112/T112)))))/((T112/2)*((2*ACOS(1-2*BJ112/T112)))))^(2/3))*SQRT(P112))</f>
        <v/>
      </c>
      <c r="BL112" s="9" t="str">
        <f aca="false">IF(BB112="","",IF(BK112&lt;BB112,BJ112,BH112))</f>
        <v/>
      </c>
      <c r="BM112" s="9" t="str">
        <f aca="false">IF(BB112="","",IF(BK112&lt;BB112,BI112,BJ112))</f>
        <v/>
      </c>
      <c r="BN112" s="9" t="str">
        <f aca="false">IF(BB112="","",(BL112+BM112)/2)</f>
        <v/>
      </c>
      <c r="BO112" s="9" t="str">
        <f aca="false">IF(OR(T112="",P112="",BN112="",T112&lt;=0,BN112&lt;=0),"",(1/Inputs!$B$9)*((T112^2/8)*((2*ACOS(1-2*BN112/T112))-SIN((2*ACOS(1-2*BN112/T112)))))*((((T112^2/8)*((2*ACOS(1-2*BN112/T112))-SIN((2*ACOS(1-2*BN112/T112)))))/((T112/2)*((2*ACOS(1-2*BN112/T112)))))^(2/3))*SQRT(P112))</f>
        <v/>
      </c>
      <c r="BP112" s="9" t="str">
        <f aca="false">IF(BB112="","",IF(BO112&lt;BB112,BN112,BL112))</f>
        <v/>
      </c>
      <c r="BQ112" s="9" t="str">
        <f aca="false">IF(BB112="","",IF(BO112&lt;BB112,BM112,BN112))</f>
        <v/>
      </c>
      <c r="BR112" s="9" t="str">
        <f aca="false">IF(BB112="","",(BP112+BQ112)/2)</f>
        <v/>
      </c>
      <c r="BS112" s="9" t="str">
        <f aca="false">IF(OR(T112="",P112="",BR112="",T112&lt;=0,BR112&lt;=0),"",(1/Inputs!$B$9)*((T112^2/8)*((2*ACOS(1-2*BR112/T112))-SIN((2*ACOS(1-2*BR112/T112)))))*((((T112^2/8)*((2*ACOS(1-2*BR112/T112))-SIN((2*ACOS(1-2*BR112/T112)))))/((T112/2)*((2*ACOS(1-2*BR112/T112)))))^(2/3))*SQRT(P112))</f>
        <v/>
      </c>
      <c r="BT112" s="9" t="str">
        <f aca="false">IF(BB112="","",IF(BS112&lt;BB112,BR112,BP112))</f>
        <v/>
      </c>
      <c r="BU112" s="9" t="str">
        <f aca="false">IF(BB112="","",IF(BS112&lt;BB112,BQ112,BR112))</f>
        <v/>
      </c>
      <c r="BV112" s="9" t="str">
        <f aca="false">IF(BB112="","",(BT112+BU112)/2)</f>
        <v/>
      </c>
      <c r="BW112" s="9" t="str">
        <f aca="false">IF(OR(T112="",P112="",BV112="",T112&lt;=0,BV112&lt;=0),"",(1/Inputs!$B$9)*((T112^2/8)*((2*ACOS(1-2*BV112/T112))-SIN((2*ACOS(1-2*BV112/T112)))))*((((T112^2/8)*((2*ACOS(1-2*BV112/T112))-SIN((2*ACOS(1-2*BV112/T112)))))/((T112/2)*((2*ACOS(1-2*BV112/T112)))))^(2/3))*SQRT(P112))</f>
        <v/>
      </c>
      <c r="BX112" s="9" t="str">
        <f aca="false">IF(BB112="","",IF(BW112&lt;BB112,BV112,BT112))</f>
        <v/>
      </c>
      <c r="BY112" s="9" t="str">
        <f aca="false">IF(BB112="","",IF(BW112&lt;BB112,BU112,BV112))</f>
        <v/>
      </c>
      <c r="BZ112" s="9" t="str">
        <f aca="false">IF(BB112="","",(BX112+BY112)/2)</f>
        <v/>
      </c>
      <c r="CA112" s="9" t="str">
        <f aca="false">IF(OR(T112="",P112="",BZ112="",T112&lt;=0,BZ112&lt;=0),"",(1/Inputs!$B$9)*((T112^2/8)*((2*ACOS(1-2*BZ112/T112))-SIN((2*ACOS(1-2*BZ112/T112)))))*((((T112^2/8)*((2*ACOS(1-2*BZ112/T112))-SIN((2*ACOS(1-2*BZ112/T112)))))/((T112/2)*((2*ACOS(1-2*BZ112/T112)))))^(2/3))*SQRT(P112))</f>
        <v/>
      </c>
      <c r="CB112" s="9" t="str">
        <f aca="false">IF(BB112="","",IF(CA112&lt;BB112,BZ112,BX112))</f>
        <v/>
      </c>
      <c r="CC112" s="9" t="str">
        <f aca="false">IF(BB112="","",IF(CA112&lt;BB112,BY112,BZ112))</f>
        <v/>
      </c>
      <c r="CD112" s="9" t="str">
        <f aca="false">IF(BB112="","",(CB112+CC112)/2)</f>
        <v/>
      </c>
      <c r="CE112" s="9" t="str">
        <f aca="false">IF(OR(T112="",P112="",CD112="",T112&lt;=0,CD112&lt;=0),"",(1/Inputs!$B$9)*((T112^2/8)*((2*ACOS(1-2*CD112/T112))-SIN((2*ACOS(1-2*CD112/T112)))))*((((T112^2/8)*((2*ACOS(1-2*CD112/T112))-SIN((2*ACOS(1-2*CD112/T112)))))/((T112/2)*((2*ACOS(1-2*CD112/T112)))))^(2/3))*SQRT(P112))</f>
        <v/>
      </c>
      <c r="CF112" s="9" t="str">
        <f aca="false">IF(BB112="","",IF(CE112&lt;BB112,CD112,CB112))</f>
        <v/>
      </c>
      <c r="CG112" s="9" t="str">
        <f aca="false">IF(BB112="","",IF(CE112&lt;BB112,CC112,CD112))</f>
        <v/>
      </c>
      <c r="CH112" s="9" t="str">
        <f aca="false">IF(BB112="","",(CF112+CG112)/2)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14"/>
      <c r="F113" s="14"/>
      <c r="G113" s="14" t="n">
        <f aca="false">SUMIFS(CB_plan!$C:$C,CB_plan!$B:$B,$A113)</f>
        <v>0</v>
      </c>
      <c r="H113" s="14" t="n">
        <f aca="false">IF(F113="",G113,F113)</f>
        <v>0</v>
      </c>
      <c r="I113" s="9"/>
      <c r="J113" s="14"/>
      <c r="K113" s="14" t="str">
        <f aca="false">IF(A113="","",Inputs!$B$13/((IF(AV113="",Inputs!$B$18,AV113)+Inputs!$B$14)^Inputs!$B$15))</f>
        <v/>
      </c>
      <c r="L113" s="14" t="str">
        <f aca="false">IF(A113="","",0.000000278*IF(I113="",Inputs!$B$17,I113)*H113*K113)</f>
        <v/>
      </c>
      <c r="M113" s="14" t="str">
        <f aca="false">IF(A113="","",SUMIFS($N$4:$N$203,$D$4:$D$203,$A113))</f>
        <v/>
      </c>
      <c r="N113" s="14" t="str">
        <f aca="false">IF(A113="","",(L113+M113)*Inputs!$B$16)</f>
        <v/>
      </c>
      <c r="O113" s="14"/>
      <c r="P113" s="14" t="str">
        <f aca="false">IF(A113="","",IF(O113="",Inputs!$B$7,O113))</f>
        <v/>
      </c>
      <c r="Q113" s="9" t="str">
        <f aca="false">IF(A113="","",IF(N113/Inputs!$B$10&lt;=AG113,Inputs!$F$5,IF(N113/Inputs!$B$10&gt;AP113,"OVERSIZE",INDEX(Inputs!$F$5:$F$14,MATCH(N113/Inputs!$B$10,AG113:AP113,1)+1))))</f>
        <v/>
      </c>
      <c r="R113" s="9"/>
      <c r="S113" s="9" t="str">
        <f aca="false">IF(A113="","",IF(R113="",Q113,R113))</f>
        <v/>
      </c>
      <c r="T113" s="14" t="str">
        <f aca="false">IF(OR(S113="",S113="OVERSIZE"),"",S113/1000)</f>
        <v/>
      </c>
      <c r="U113" s="14" t="str">
        <f aca="false">IF(T113="","",(1/Inputs!$B$9)*(PI()*T113^2/4)*((T113/4)^(2/3))*SQRT(P113))</f>
        <v/>
      </c>
      <c r="V113" s="14" t="str">
        <f aca="false">IF(OR(U113="",N113=""),"",N113/(U113*Inputs!$B$10))</f>
        <v/>
      </c>
      <c r="W113" s="14" t="str">
        <f aca="false">IF(OR(T113="",N113=""),"",4*N113/(PI()*T113^2))</f>
        <v/>
      </c>
      <c r="X113" s="14"/>
      <c r="Y113" s="14" t="str">
        <f aca="false">IF(A113="","",IF(A113=Inputs!$B$6,Inputs!$B$22,IF(D113="","",IFERROR(INDEX($Z$4:$Z$203,MATCH(D113,$A$4:$A$203,0))+IF(X113="",Inputs!$B$20,X113),""))))</f>
        <v/>
      </c>
      <c r="Z113" s="14" t="str">
        <f aca="false">IF(OR(Y113="",P113="",E113=""),"",Y113+P113*E113)</f>
        <v/>
      </c>
      <c r="AA113" s="14" t="str">
        <f aca="false">IF(C113="","",IFERROR(INDEX(Noeuds_plan!$C$4:$C$200,MATCH(C113,Noeuds_plan!$A$4:$A$200,0)),""))</f>
        <v/>
      </c>
      <c r="AB113" s="14" t="str">
        <f aca="false">IF(B113="","",IFERROR(INDEX(Noeuds_plan!$C$4:$C$200,MATCH(B113,Noeuds_plan!$A$4:$A$200,0)),""))</f>
        <v/>
      </c>
      <c r="AC113" s="14" t="str">
        <f aca="false">IF(OR(AA113="",Y113=""),"",AA113-Y113)</f>
        <v/>
      </c>
      <c r="AD113" s="14" t="str">
        <f aca="false">IF(OR(AB113="",Z113=""),"",AB113-Z113)</f>
        <v/>
      </c>
      <c r="AE113" s="19" t="str">
        <f aca="false">IF(A113="","",IF(OR(V113&gt;1,AND(AY113&lt;&gt;"",AY113&lt;Inputs!$B$11),AND(AY113&lt;&gt;"",AY113&gt;Inputs!$B$12),AC113&lt;Inputs!$B$19,AD113&lt;Inputs!$B$19,P113&lt;Inputs!$B$7,P113&gt;Inputs!$B$8),"CHECK","OK"))</f>
        <v/>
      </c>
      <c r="AF113" s="9"/>
      <c r="AG113" s="9" t="str">
        <f aca="false">IF(A113="","",(1/Inputs!$B$9)*(PI()*(Inputs!$F$5/1000)^2/4)*((Inputs!$F$5/1000/4)^(2/3))*SQRT(P113))</f>
        <v/>
      </c>
      <c r="AH113" s="9" t="str">
        <f aca="false">IF(A113="","",(1/Inputs!$B$9)*(PI()*(Inputs!$F$6/1000)^2/4)*((Inputs!$F$6/1000/4)^(2/3))*SQRT(P113))</f>
        <v/>
      </c>
      <c r="AI113" s="9" t="str">
        <f aca="false">IF(A113="","",(1/Inputs!$B$9)*(PI()*(Inputs!$F$7/1000)^2/4)*((Inputs!$F$7/1000/4)^(2/3))*SQRT(P113))</f>
        <v/>
      </c>
      <c r="AJ113" s="9" t="str">
        <f aca="false">IF(A113="","",(1/Inputs!$B$9)*(PI()*(Inputs!$F$8/1000)^2/4)*((Inputs!$F$8/1000/4)^(2/3))*SQRT(P113))</f>
        <v/>
      </c>
      <c r="AK113" s="9" t="str">
        <f aca="false">IF(A113="","",(1/Inputs!$B$9)*(PI()*(Inputs!$F$9/1000)^2/4)*((Inputs!$F$9/1000/4)^(2/3))*SQRT(P113))</f>
        <v/>
      </c>
      <c r="AL113" s="9" t="str">
        <f aca="false">IF(A113="","",(1/Inputs!$B$9)*(PI()*(Inputs!$F$10/1000)^2/4)*((Inputs!$F$10/1000/4)^(2/3))*SQRT(P113))</f>
        <v/>
      </c>
      <c r="AM113" s="9" t="str">
        <f aca="false">IF(A113="","",(1/Inputs!$B$9)*(PI()*(Inputs!$F$11/1000)^2/4)*((Inputs!$F$11/1000/4)^(2/3))*SQRT(P113))</f>
        <v/>
      </c>
      <c r="AN113" s="9" t="str">
        <f aca="false">IF(A113="","",(1/Inputs!$B$9)*(PI()*(Inputs!$F$12/1000)^2/4)*((Inputs!$F$12/1000/4)^(2/3))*SQRT(P113))</f>
        <v/>
      </c>
      <c r="AO113" s="9" t="str">
        <f aca="false">IF(A113="","",(1/Inputs!$B$9)*(PI()*(Inputs!$F$13/1000)^2/4)*((Inputs!$F$13/1000/4)^(2/3))*SQRT(P113))</f>
        <v/>
      </c>
      <c r="AP113" s="9" t="str">
        <f aca="false">IF(A113="","",(1/Inputs!$B$9)*(PI()*(Inputs!$F$14/1000)^2/4)*((Inputs!$F$14/1000/4)^(2/3))*SQRT(P113))</f>
        <v/>
      </c>
      <c r="AQ113" s="9" t="str">
        <f aca="false">IF(A113="","",COUNTIF($D$4:$D$203,$A113))</f>
        <v/>
      </c>
      <c r="AR113" s="9" t="str">
        <f aca="false">IF(A113="","",IF(AQ113=0,"START","CONTINUOUS"))</f>
        <v/>
      </c>
      <c r="AS113" s="13" t="str">
        <f aca="false">IF(A113="","",IF(J113="",Inputs!$B$18,J113))</f>
        <v/>
      </c>
      <c r="AT113" s="13" t="str">
        <f aca="false">IF(A113="","",IFERROR(maxifs($AV$4:$AV$203,$D$4:$D$203,$A113),""))</f>
        <v/>
      </c>
      <c r="AU113" s="13" t="str">
        <f aca="false">IF(A113="","",IF(OR(E113="",Inputs!$B$23=""),"",E113/(Inputs!$B$23*60)))</f>
        <v/>
      </c>
      <c r="AV113" s="13" t="str">
        <f aca="false">IF(A113="","",IF(AQ113=0,AS113+AU113,IF(AT113="",AS113+AU113,AT113+AU113)))</f>
        <v/>
      </c>
      <c r="AW113" s="13" t="str">
        <f aca="false">IF(A113="","",W113)</f>
        <v/>
      </c>
      <c r="AX113" s="13" t="str">
        <f aca="false">IF(OR(T113="",P113=""),"",(1/Inputs!$B$9)*((T113/4)^(2/3))*SQRT(P113))</f>
        <v/>
      </c>
      <c r="AY113" s="13" t="str">
        <f aca="false">IF(A113="","",IF(AND(AW113="",AX113="",BA113=""),"",IF(OR(UPPER(TRIM(Inputs!$B$24))="MANNING",UPPER(TRIM(Inputs!$B$24))="M"),AX113,IF(OR(UPPER(TRIM(Inputs!$B$24))="PARTIAL",UPPER(TRIM(Inputs!$B$24))="P"),BA113,IF(OR(UPPER(TRIM(Inputs!$B$24))="MAX",UPPER(TRIM(Inputs!$B$24))="X"),MAX(IF(AW113="",0,AW113),IF(AX113="",0,AX113),IF(BA113="",0,BA113)),AW113)))))</f>
        <v/>
      </c>
      <c r="AZ113" s="13" t="str">
        <f aca="false">IF(BB113="","",CH113)</f>
        <v/>
      </c>
      <c r="BA113" s="13" t="str">
        <f aca="false">IF(OR(BB113="",AZ113="",T113="",T113&lt;=0,AZ113&lt;=0),"",BB113/((T113^2/8)*(2*ACOS(1-2*AZ113/T113)-SIN(2*ACOS(1-2*AZ113/T113)))))</f>
        <v/>
      </c>
      <c r="BB113" s="9" t="str">
        <f aca="false">IF(OR(N113="",BC113=""),"",MIN(N113,BC113))</f>
        <v/>
      </c>
      <c r="BC113" s="9" t="str">
        <f aca="false">IF(OR(N113="",T113="",P113=""),"",IF(OR(T113="",P113="",(0.94*T113)="",T113&lt;=0,(0.94*T113)&lt;=0),"",(1/Inputs!$B$9)*((T113^2/8)*((2*ACOS(1-2*(0.94*T113)/T113))-SIN((2*ACOS(1-2*(0.94*T113)/T113)))))*((((T113^2/8)*((2*ACOS(1-2*(0.94*T113)/T113))-SIN((2*ACOS(1-2*(0.94*T113)/T113)))))/((T113/2)*((2*ACOS(1-2*(0.94*T113)/T113)))))^(2/3))*SQRT(P113)))</f>
        <v/>
      </c>
      <c r="BD113" s="9" t="str">
        <f aca="false">IF(BB113="","",0.001*T113)</f>
        <v/>
      </c>
      <c r="BE113" s="9" t="str">
        <f aca="false">IF(BB113="","",0.94*T113)</f>
        <v/>
      </c>
      <c r="BF113" s="9" t="str">
        <f aca="false">IF(BB113="","",(BD113+BE113)/2)</f>
        <v/>
      </c>
      <c r="BG113" s="9" t="str">
        <f aca="false">IF(OR(T113="",P113="",BF113="",T113&lt;=0,BF113&lt;=0),"",(1/Inputs!$B$9)*((T113^2/8)*((2*ACOS(1-2*BF113/T113))-SIN((2*ACOS(1-2*BF113/T113)))))*((((T113^2/8)*((2*ACOS(1-2*BF113/T113))-SIN((2*ACOS(1-2*BF113/T113)))))/((T113/2)*((2*ACOS(1-2*BF113/T113)))))^(2/3))*SQRT(P113))</f>
        <v/>
      </c>
      <c r="BH113" s="9" t="str">
        <f aca="false">IF(BB113="","",IF(BG113&lt;BB113,BF113,BD113))</f>
        <v/>
      </c>
      <c r="BI113" s="9" t="str">
        <f aca="false">IF(BB113="","",IF(BG113&lt;BB113,BE113,BF113))</f>
        <v/>
      </c>
      <c r="BJ113" s="9" t="str">
        <f aca="false">IF(BB113="","",(BH113+BI113)/2)</f>
        <v/>
      </c>
      <c r="BK113" s="9" t="str">
        <f aca="false">IF(OR(T113="",P113="",BJ113="",T113&lt;=0,BJ113&lt;=0),"",(1/Inputs!$B$9)*((T113^2/8)*((2*ACOS(1-2*BJ113/T113))-SIN((2*ACOS(1-2*BJ113/T113)))))*((((T113^2/8)*((2*ACOS(1-2*BJ113/T113))-SIN((2*ACOS(1-2*BJ113/T113)))))/((T113/2)*((2*ACOS(1-2*BJ113/T113)))))^(2/3))*SQRT(P113))</f>
        <v/>
      </c>
      <c r="BL113" s="9" t="str">
        <f aca="false">IF(BB113="","",IF(BK113&lt;BB113,BJ113,BH113))</f>
        <v/>
      </c>
      <c r="BM113" s="9" t="str">
        <f aca="false">IF(BB113="","",IF(BK113&lt;BB113,BI113,BJ113))</f>
        <v/>
      </c>
      <c r="BN113" s="9" t="str">
        <f aca="false">IF(BB113="","",(BL113+BM113)/2)</f>
        <v/>
      </c>
      <c r="BO113" s="9" t="str">
        <f aca="false">IF(OR(T113="",P113="",BN113="",T113&lt;=0,BN113&lt;=0),"",(1/Inputs!$B$9)*((T113^2/8)*((2*ACOS(1-2*BN113/T113))-SIN((2*ACOS(1-2*BN113/T113)))))*((((T113^2/8)*((2*ACOS(1-2*BN113/T113))-SIN((2*ACOS(1-2*BN113/T113)))))/((T113/2)*((2*ACOS(1-2*BN113/T113)))))^(2/3))*SQRT(P113))</f>
        <v/>
      </c>
      <c r="BP113" s="9" t="str">
        <f aca="false">IF(BB113="","",IF(BO113&lt;BB113,BN113,BL113))</f>
        <v/>
      </c>
      <c r="BQ113" s="9" t="str">
        <f aca="false">IF(BB113="","",IF(BO113&lt;BB113,BM113,BN113))</f>
        <v/>
      </c>
      <c r="BR113" s="9" t="str">
        <f aca="false">IF(BB113="","",(BP113+BQ113)/2)</f>
        <v/>
      </c>
      <c r="BS113" s="9" t="str">
        <f aca="false">IF(OR(T113="",P113="",BR113="",T113&lt;=0,BR113&lt;=0),"",(1/Inputs!$B$9)*((T113^2/8)*((2*ACOS(1-2*BR113/T113))-SIN((2*ACOS(1-2*BR113/T113)))))*((((T113^2/8)*((2*ACOS(1-2*BR113/T113))-SIN((2*ACOS(1-2*BR113/T113)))))/((T113/2)*((2*ACOS(1-2*BR113/T113)))))^(2/3))*SQRT(P113))</f>
        <v/>
      </c>
      <c r="BT113" s="9" t="str">
        <f aca="false">IF(BB113="","",IF(BS113&lt;BB113,BR113,BP113))</f>
        <v/>
      </c>
      <c r="BU113" s="9" t="str">
        <f aca="false">IF(BB113="","",IF(BS113&lt;BB113,BQ113,BR113))</f>
        <v/>
      </c>
      <c r="BV113" s="9" t="str">
        <f aca="false">IF(BB113="","",(BT113+BU113)/2)</f>
        <v/>
      </c>
      <c r="BW113" s="9" t="str">
        <f aca="false">IF(OR(T113="",P113="",BV113="",T113&lt;=0,BV113&lt;=0),"",(1/Inputs!$B$9)*((T113^2/8)*((2*ACOS(1-2*BV113/T113))-SIN((2*ACOS(1-2*BV113/T113)))))*((((T113^2/8)*((2*ACOS(1-2*BV113/T113))-SIN((2*ACOS(1-2*BV113/T113)))))/((T113/2)*((2*ACOS(1-2*BV113/T113)))))^(2/3))*SQRT(P113))</f>
        <v/>
      </c>
      <c r="BX113" s="9" t="str">
        <f aca="false">IF(BB113="","",IF(BW113&lt;BB113,BV113,BT113))</f>
        <v/>
      </c>
      <c r="BY113" s="9" t="str">
        <f aca="false">IF(BB113="","",IF(BW113&lt;BB113,BU113,BV113))</f>
        <v/>
      </c>
      <c r="BZ113" s="9" t="str">
        <f aca="false">IF(BB113="","",(BX113+BY113)/2)</f>
        <v/>
      </c>
      <c r="CA113" s="9" t="str">
        <f aca="false">IF(OR(T113="",P113="",BZ113="",T113&lt;=0,BZ113&lt;=0),"",(1/Inputs!$B$9)*((T113^2/8)*((2*ACOS(1-2*BZ113/T113))-SIN((2*ACOS(1-2*BZ113/T113)))))*((((T113^2/8)*((2*ACOS(1-2*BZ113/T113))-SIN((2*ACOS(1-2*BZ113/T113)))))/((T113/2)*((2*ACOS(1-2*BZ113/T113)))))^(2/3))*SQRT(P113))</f>
        <v/>
      </c>
      <c r="CB113" s="9" t="str">
        <f aca="false">IF(BB113="","",IF(CA113&lt;BB113,BZ113,BX113))</f>
        <v/>
      </c>
      <c r="CC113" s="9" t="str">
        <f aca="false">IF(BB113="","",IF(CA113&lt;BB113,BY113,BZ113))</f>
        <v/>
      </c>
      <c r="CD113" s="9" t="str">
        <f aca="false">IF(BB113="","",(CB113+CC113)/2)</f>
        <v/>
      </c>
      <c r="CE113" s="9" t="str">
        <f aca="false">IF(OR(T113="",P113="",CD113="",T113&lt;=0,CD113&lt;=0),"",(1/Inputs!$B$9)*((T113^2/8)*((2*ACOS(1-2*CD113/T113))-SIN((2*ACOS(1-2*CD113/T113)))))*((((T113^2/8)*((2*ACOS(1-2*CD113/T113))-SIN((2*ACOS(1-2*CD113/T113)))))/((T113/2)*((2*ACOS(1-2*CD113/T113)))))^(2/3))*SQRT(P113))</f>
        <v/>
      </c>
      <c r="CF113" s="9" t="str">
        <f aca="false">IF(BB113="","",IF(CE113&lt;BB113,CD113,CB113))</f>
        <v/>
      </c>
      <c r="CG113" s="9" t="str">
        <f aca="false">IF(BB113="","",IF(CE113&lt;BB113,CC113,CD113))</f>
        <v/>
      </c>
      <c r="CH113" s="9" t="str">
        <f aca="false">IF(BB113="","",(CF113+CG113)/2)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14"/>
      <c r="F114" s="14"/>
      <c r="G114" s="14" t="n">
        <f aca="false">SUMIFS(CB_plan!$C:$C,CB_plan!$B:$B,$A114)</f>
        <v>0</v>
      </c>
      <c r="H114" s="14" t="n">
        <f aca="false">IF(F114="",G114,F114)</f>
        <v>0</v>
      </c>
      <c r="I114" s="9"/>
      <c r="J114" s="14"/>
      <c r="K114" s="14" t="str">
        <f aca="false">IF(A114="","",Inputs!$B$13/((IF(AV114="",Inputs!$B$18,AV114)+Inputs!$B$14)^Inputs!$B$15))</f>
        <v/>
      </c>
      <c r="L114" s="14" t="str">
        <f aca="false">IF(A114="","",0.000000278*IF(I114="",Inputs!$B$17,I114)*H114*K114)</f>
        <v/>
      </c>
      <c r="M114" s="14" t="str">
        <f aca="false">IF(A114="","",SUMIFS($N$4:$N$203,$D$4:$D$203,$A114))</f>
        <v/>
      </c>
      <c r="N114" s="14" t="str">
        <f aca="false">IF(A114="","",(L114+M114)*Inputs!$B$16)</f>
        <v/>
      </c>
      <c r="O114" s="14"/>
      <c r="P114" s="14" t="str">
        <f aca="false">IF(A114="","",IF(O114="",Inputs!$B$7,O114))</f>
        <v/>
      </c>
      <c r="Q114" s="9" t="str">
        <f aca="false">IF(A114="","",IF(N114/Inputs!$B$10&lt;=AG114,Inputs!$F$5,IF(N114/Inputs!$B$10&gt;AP114,"OVERSIZE",INDEX(Inputs!$F$5:$F$14,MATCH(N114/Inputs!$B$10,AG114:AP114,1)+1))))</f>
        <v/>
      </c>
      <c r="R114" s="9"/>
      <c r="S114" s="9" t="str">
        <f aca="false">IF(A114="","",IF(R114="",Q114,R114))</f>
        <v/>
      </c>
      <c r="T114" s="14" t="str">
        <f aca="false">IF(OR(S114="",S114="OVERSIZE"),"",S114/1000)</f>
        <v/>
      </c>
      <c r="U114" s="14" t="str">
        <f aca="false">IF(T114="","",(1/Inputs!$B$9)*(PI()*T114^2/4)*((T114/4)^(2/3))*SQRT(P114))</f>
        <v/>
      </c>
      <c r="V114" s="14" t="str">
        <f aca="false">IF(OR(U114="",N114=""),"",N114/(U114*Inputs!$B$10))</f>
        <v/>
      </c>
      <c r="W114" s="14" t="str">
        <f aca="false">IF(OR(T114="",N114=""),"",4*N114/(PI()*T114^2))</f>
        <v/>
      </c>
      <c r="X114" s="14"/>
      <c r="Y114" s="14" t="str">
        <f aca="false">IF(A114="","",IF(A114=Inputs!$B$6,Inputs!$B$22,IF(D114="","",IFERROR(INDEX($Z$4:$Z$203,MATCH(D114,$A$4:$A$203,0))+IF(X114="",Inputs!$B$20,X114),""))))</f>
        <v/>
      </c>
      <c r="Z114" s="14" t="str">
        <f aca="false">IF(OR(Y114="",P114="",E114=""),"",Y114+P114*E114)</f>
        <v/>
      </c>
      <c r="AA114" s="14" t="str">
        <f aca="false">IF(C114="","",IFERROR(INDEX(Noeuds_plan!$C$4:$C$200,MATCH(C114,Noeuds_plan!$A$4:$A$200,0)),""))</f>
        <v/>
      </c>
      <c r="AB114" s="14" t="str">
        <f aca="false">IF(B114="","",IFERROR(INDEX(Noeuds_plan!$C$4:$C$200,MATCH(B114,Noeuds_plan!$A$4:$A$200,0)),""))</f>
        <v/>
      </c>
      <c r="AC114" s="14" t="str">
        <f aca="false">IF(OR(AA114="",Y114=""),"",AA114-Y114)</f>
        <v/>
      </c>
      <c r="AD114" s="14" t="str">
        <f aca="false">IF(OR(AB114="",Z114=""),"",AB114-Z114)</f>
        <v/>
      </c>
      <c r="AE114" s="19" t="str">
        <f aca="false">IF(A114="","",IF(OR(V114&gt;1,AND(AY114&lt;&gt;"",AY114&lt;Inputs!$B$11),AND(AY114&lt;&gt;"",AY114&gt;Inputs!$B$12),AC114&lt;Inputs!$B$19,AD114&lt;Inputs!$B$19,P114&lt;Inputs!$B$7,P114&gt;Inputs!$B$8),"CHECK","OK"))</f>
        <v/>
      </c>
      <c r="AF114" s="9"/>
      <c r="AG114" s="9" t="str">
        <f aca="false">IF(A114="","",(1/Inputs!$B$9)*(PI()*(Inputs!$F$5/1000)^2/4)*((Inputs!$F$5/1000/4)^(2/3))*SQRT(P114))</f>
        <v/>
      </c>
      <c r="AH114" s="9" t="str">
        <f aca="false">IF(A114="","",(1/Inputs!$B$9)*(PI()*(Inputs!$F$6/1000)^2/4)*((Inputs!$F$6/1000/4)^(2/3))*SQRT(P114))</f>
        <v/>
      </c>
      <c r="AI114" s="9" t="str">
        <f aca="false">IF(A114="","",(1/Inputs!$B$9)*(PI()*(Inputs!$F$7/1000)^2/4)*((Inputs!$F$7/1000/4)^(2/3))*SQRT(P114))</f>
        <v/>
      </c>
      <c r="AJ114" s="9" t="str">
        <f aca="false">IF(A114="","",(1/Inputs!$B$9)*(PI()*(Inputs!$F$8/1000)^2/4)*((Inputs!$F$8/1000/4)^(2/3))*SQRT(P114))</f>
        <v/>
      </c>
      <c r="AK114" s="9" t="str">
        <f aca="false">IF(A114="","",(1/Inputs!$B$9)*(PI()*(Inputs!$F$9/1000)^2/4)*((Inputs!$F$9/1000/4)^(2/3))*SQRT(P114))</f>
        <v/>
      </c>
      <c r="AL114" s="9" t="str">
        <f aca="false">IF(A114="","",(1/Inputs!$B$9)*(PI()*(Inputs!$F$10/1000)^2/4)*((Inputs!$F$10/1000/4)^(2/3))*SQRT(P114))</f>
        <v/>
      </c>
      <c r="AM114" s="9" t="str">
        <f aca="false">IF(A114="","",(1/Inputs!$B$9)*(PI()*(Inputs!$F$11/1000)^2/4)*((Inputs!$F$11/1000/4)^(2/3))*SQRT(P114))</f>
        <v/>
      </c>
      <c r="AN114" s="9" t="str">
        <f aca="false">IF(A114="","",(1/Inputs!$B$9)*(PI()*(Inputs!$F$12/1000)^2/4)*((Inputs!$F$12/1000/4)^(2/3))*SQRT(P114))</f>
        <v/>
      </c>
      <c r="AO114" s="9" t="str">
        <f aca="false">IF(A114="","",(1/Inputs!$B$9)*(PI()*(Inputs!$F$13/1000)^2/4)*((Inputs!$F$13/1000/4)^(2/3))*SQRT(P114))</f>
        <v/>
      </c>
      <c r="AP114" s="9" t="str">
        <f aca="false">IF(A114="","",(1/Inputs!$B$9)*(PI()*(Inputs!$F$14/1000)^2/4)*((Inputs!$F$14/1000/4)^(2/3))*SQRT(P114))</f>
        <v/>
      </c>
      <c r="AQ114" s="9" t="str">
        <f aca="false">IF(A114="","",COUNTIF($D$4:$D$203,$A114))</f>
        <v/>
      </c>
      <c r="AR114" s="9" t="str">
        <f aca="false">IF(A114="","",IF(AQ114=0,"START","CONTINUOUS"))</f>
        <v/>
      </c>
      <c r="AS114" s="13" t="str">
        <f aca="false">IF(A114="","",IF(J114="",Inputs!$B$18,J114))</f>
        <v/>
      </c>
      <c r="AT114" s="13" t="str">
        <f aca="false">IF(A114="","",IFERROR(maxifs($AV$4:$AV$203,$D$4:$D$203,$A114),""))</f>
        <v/>
      </c>
      <c r="AU114" s="13" t="str">
        <f aca="false">IF(A114="","",IF(OR(E114="",Inputs!$B$23=""),"",E114/(Inputs!$B$23*60)))</f>
        <v/>
      </c>
      <c r="AV114" s="13" t="str">
        <f aca="false">IF(A114="","",IF(AQ114=0,AS114+AU114,IF(AT114="",AS114+AU114,AT114+AU114)))</f>
        <v/>
      </c>
      <c r="AW114" s="13" t="str">
        <f aca="false">IF(A114="","",W114)</f>
        <v/>
      </c>
      <c r="AX114" s="13" t="str">
        <f aca="false">IF(OR(T114="",P114=""),"",(1/Inputs!$B$9)*((T114/4)^(2/3))*SQRT(P114))</f>
        <v/>
      </c>
      <c r="AY114" s="13" t="str">
        <f aca="false">IF(A114="","",IF(AND(AW114="",AX114="",BA114=""),"",IF(OR(UPPER(TRIM(Inputs!$B$24))="MANNING",UPPER(TRIM(Inputs!$B$24))="M"),AX114,IF(OR(UPPER(TRIM(Inputs!$B$24))="PARTIAL",UPPER(TRIM(Inputs!$B$24))="P"),BA114,IF(OR(UPPER(TRIM(Inputs!$B$24))="MAX",UPPER(TRIM(Inputs!$B$24))="X"),MAX(IF(AW114="",0,AW114),IF(AX114="",0,AX114),IF(BA114="",0,BA114)),AW114)))))</f>
        <v/>
      </c>
      <c r="AZ114" s="13" t="str">
        <f aca="false">IF(BB114="","",CH114)</f>
        <v/>
      </c>
      <c r="BA114" s="13" t="str">
        <f aca="false">IF(OR(BB114="",AZ114="",T114="",T114&lt;=0,AZ114&lt;=0),"",BB114/((T114^2/8)*(2*ACOS(1-2*AZ114/T114)-SIN(2*ACOS(1-2*AZ114/T114)))))</f>
        <v/>
      </c>
      <c r="BB114" s="9" t="str">
        <f aca="false">IF(OR(N114="",BC114=""),"",MIN(N114,BC114))</f>
        <v/>
      </c>
      <c r="BC114" s="9" t="str">
        <f aca="false">IF(OR(N114="",T114="",P114=""),"",IF(OR(T114="",P114="",(0.94*T114)="",T114&lt;=0,(0.94*T114)&lt;=0),"",(1/Inputs!$B$9)*((T114^2/8)*((2*ACOS(1-2*(0.94*T114)/T114))-SIN((2*ACOS(1-2*(0.94*T114)/T114)))))*((((T114^2/8)*((2*ACOS(1-2*(0.94*T114)/T114))-SIN((2*ACOS(1-2*(0.94*T114)/T114)))))/((T114/2)*((2*ACOS(1-2*(0.94*T114)/T114)))))^(2/3))*SQRT(P114)))</f>
        <v/>
      </c>
      <c r="BD114" s="9" t="str">
        <f aca="false">IF(BB114="","",0.001*T114)</f>
        <v/>
      </c>
      <c r="BE114" s="9" t="str">
        <f aca="false">IF(BB114="","",0.94*T114)</f>
        <v/>
      </c>
      <c r="BF114" s="9" t="str">
        <f aca="false">IF(BB114="","",(BD114+BE114)/2)</f>
        <v/>
      </c>
      <c r="BG114" s="9" t="str">
        <f aca="false">IF(OR(T114="",P114="",BF114="",T114&lt;=0,BF114&lt;=0),"",(1/Inputs!$B$9)*((T114^2/8)*((2*ACOS(1-2*BF114/T114))-SIN((2*ACOS(1-2*BF114/T114)))))*((((T114^2/8)*((2*ACOS(1-2*BF114/T114))-SIN((2*ACOS(1-2*BF114/T114)))))/((T114/2)*((2*ACOS(1-2*BF114/T114)))))^(2/3))*SQRT(P114))</f>
        <v/>
      </c>
      <c r="BH114" s="9" t="str">
        <f aca="false">IF(BB114="","",IF(BG114&lt;BB114,BF114,BD114))</f>
        <v/>
      </c>
      <c r="BI114" s="9" t="str">
        <f aca="false">IF(BB114="","",IF(BG114&lt;BB114,BE114,BF114))</f>
        <v/>
      </c>
      <c r="BJ114" s="9" t="str">
        <f aca="false">IF(BB114="","",(BH114+BI114)/2)</f>
        <v/>
      </c>
      <c r="BK114" s="9" t="str">
        <f aca="false">IF(OR(T114="",P114="",BJ114="",T114&lt;=0,BJ114&lt;=0),"",(1/Inputs!$B$9)*((T114^2/8)*((2*ACOS(1-2*BJ114/T114))-SIN((2*ACOS(1-2*BJ114/T114)))))*((((T114^2/8)*((2*ACOS(1-2*BJ114/T114))-SIN((2*ACOS(1-2*BJ114/T114)))))/((T114/2)*((2*ACOS(1-2*BJ114/T114)))))^(2/3))*SQRT(P114))</f>
        <v/>
      </c>
      <c r="BL114" s="9" t="str">
        <f aca="false">IF(BB114="","",IF(BK114&lt;BB114,BJ114,BH114))</f>
        <v/>
      </c>
      <c r="BM114" s="9" t="str">
        <f aca="false">IF(BB114="","",IF(BK114&lt;BB114,BI114,BJ114))</f>
        <v/>
      </c>
      <c r="BN114" s="9" t="str">
        <f aca="false">IF(BB114="","",(BL114+BM114)/2)</f>
        <v/>
      </c>
      <c r="BO114" s="9" t="str">
        <f aca="false">IF(OR(T114="",P114="",BN114="",T114&lt;=0,BN114&lt;=0),"",(1/Inputs!$B$9)*((T114^2/8)*((2*ACOS(1-2*BN114/T114))-SIN((2*ACOS(1-2*BN114/T114)))))*((((T114^2/8)*((2*ACOS(1-2*BN114/T114))-SIN((2*ACOS(1-2*BN114/T114)))))/((T114/2)*((2*ACOS(1-2*BN114/T114)))))^(2/3))*SQRT(P114))</f>
        <v/>
      </c>
      <c r="BP114" s="9" t="str">
        <f aca="false">IF(BB114="","",IF(BO114&lt;BB114,BN114,BL114))</f>
        <v/>
      </c>
      <c r="BQ114" s="9" t="str">
        <f aca="false">IF(BB114="","",IF(BO114&lt;BB114,BM114,BN114))</f>
        <v/>
      </c>
      <c r="BR114" s="9" t="str">
        <f aca="false">IF(BB114="","",(BP114+BQ114)/2)</f>
        <v/>
      </c>
      <c r="BS114" s="9" t="str">
        <f aca="false">IF(OR(T114="",P114="",BR114="",T114&lt;=0,BR114&lt;=0),"",(1/Inputs!$B$9)*((T114^2/8)*((2*ACOS(1-2*BR114/T114))-SIN((2*ACOS(1-2*BR114/T114)))))*((((T114^2/8)*((2*ACOS(1-2*BR114/T114))-SIN((2*ACOS(1-2*BR114/T114)))))/((T114/2)*((2*ACOS(1-2*BR114/T114)))))^(2/3))*SQRT(P114))</f>
        <v/>
      </c>
      <c r="BT114" s="9" t="str">
        <f aca="false">IF(BB114="","",IF(BS114&lt;BB114,BR114,BP114))</f>
        <v/>
      </c>
      <c r="BU114" s="9" t="str">
        <f aca="false">IF(BB114="","",IF(BS114&lt;BB114,BQ114,BR114))</f>
        <v/>
      </c>
      <c r="BV114" s="9" t="str">
        <f aca="false">IF(BB114="","",(BT114+BU114)/2)</f>
        <v/>
      </c>
      <c r="BW114" s="9" t="str">
        <f aca="false">IF(OR(T114="",P114="",BV114="",T114&lt;=0,BV114&lt;=0),"",(1/Inputs!$B$9)*((T114^2/8)*((2*ACOS(1-2*BV114/T114))-SIN((2*ACOS(1-2*BV114/T114)))))*((((T114^2/8)*((2*ACOS(1-2*BV114/T114))-SIN((2*ACOS(1-2*BV114/T114)))))/((T114/2)*((2*ACOS(1-2*BV114/T114)))))^(2/3))*SQRT(P114))</f>
        <v/>
      </c>
      <c r="BX114" s="9" t="str">
        <f aca="false">IF(BB114="","",IF(BW114&lt;BB114,BV114,BT114))</f>
        <v/>
      </c>
      <c r="BY114" s="9" t="str">
        <f aca="false">IF(BB114="","",IF(BW114&lt;BB114,BU114,BV114))</f>
        <v/>
      </c>
      <c r="BZ114" s="9" t="str">
        <f aca="false">IF(BB114="","",(BX114+BY114)/2)</f>
        <v/>
      </c>
      <c r="CA114" s="9" t="str">
        <f aca="false">IF(OR(T114="",P114="",BZ114="",T114&lt;=0,BZ114&lt;=0),"",(1/Inputs!$B$9)*((T114^2/8)*((2*ACOS(1-2*BZ114/T114))-SIN((2*ACOS(1-2*BZ114/T114)))))*((((T114^2/8)*((2*ACOS(1-2*BZ114/T114))-SIN((2*ACOS(1-2*BZ114/T114)))))/((T114/2)*((2*ACOS(1-2*BZ114/T114)))))^(2/3))*SQRT(P114))</f>
        <v/>
      </c>
      <c r="CB114" s="9" t="str">
        <f aca="false">IF(BB114="","",IF(CA114&lt;BB114,BZ114,BX114))</f>
        <v/>
      </c>
      <c r="CC114" s="9" t="str">
        <f aca="false">IF(BB114="","",IF(CA114&lt;BB114,BY114,BZ114))</f>
        <v/>
      </c>
      <c r="CD114" s="9" t="str">
        <f aca="false">IF(BB114="","",(CB114+CC114)/2)</f>
        <v/>
      </c>
      <c r="CE114" s="9" t="str">
        <f aca="false">IF(OR(T114="",P114="",CD114="",T114&lt;=0,CD114&lt;=0),"",(1/Inputs!$B$9)*((T114^2/8)*((2*ACOS(1-2*CD114/T114))-SIN((2*ACOS(1-2*CD114/T114)))))*((((T114^2/8)*((2*ACOS(1-2*CD114/T114))-SIN((2*ACOS(1-2*CD114/T114)))))/((T114/2)*((2*ACOS(1-2*CD114/T114)))))^(2/3))*SQRT(P114))</f>
        <v/>
      </c>
      <c r="CF114" s="9" t="str">
        <f aca="false">IF(BB114="","",IF(CE114&lt;BB114,CD114,CB114))</f>
        <v/>
      </c>
      <c r="CG114" s="9" t="str">
        <f aca="false">IF(BB114="","",IF(CE114&lt;BB114,CC114,CD114))</f>
        <v/>
      </c>
      <c r="CH114" s="9" t="str">
        <f aca="false">IF(BB114="","",(CF114+CG114)/2)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14"/>
      <c r="F115" s="14"/>
      <c r="G115" s="14" t="n">
        <f aca="false">SUMIFS(CB_plan!$C:$C,CB_plan!$B:$B,$A115)</f>
        <v>0</v>
      </c>
      <c r="H115" s="14" t="n">
        <f aca="false">IF(F115="",G115,F115)</f>
        <v>0</v>
      </c>
      <c r="I115" s="9"/>
      <c r="J115" s="14"/>
      <c r="K115" s="14" t="str">
        <f aca="false">IF(A115="","",Inputs!$B$13/((IF(AV115="",Inputs!$B$18,AV115)+Inputs!$B$14)^Inputs!$B$15))</f>
        <v/>
      </c>
      <c r="L115" s="14" t="str">
        <f aca="false">IF(A115="","",0.000000278*IF(I115="",Inputs!$B$17,I115)*H115*K115)</f>
        <v/>
      </c>
      <c r="M115" s="14" t="str">
        <f aca="false">IF(A115="","",SUMIFS($N$4:$N$203,$D$4:$D$203,$A115))</f>
        <v/>
      </c>
      <c r="N115" s="14" t="str">
        <f aca="false">IF(A115="","",(L115+M115)*Inputs!$B$16)</f>
        <v/>
      </c>
      <c r="O115" s="14"/>
      <c r="P115" s="14" t="str">
        <f aca="false">IF(A115="","",IF(O115="",Inputs!$B$7,O115))</f>
        <v/>
      </c>
      <c r="Q115" s="9" t="str">
        <f aca="false">IF(A115="","",IF(N115/Inputs!$B$10&lt;=AG115,Inputs!$F$5,IF(N115/Inputs!$B$10&gt;AP115,"OVERSIZE",INDEX(Inputs!$F$5:$F$14,MATCH(N115/Inputs!$B$10,AG115:AP115,1)+1))))</f>
        <v/>
      </c>
      <c r="R115" s="9"/>
      <c r="S115" s="9" t="str">
        <f aca="false">IF(A115="","",IF(R115="",Q115,R115))</f>
        <v/>
      </c>
      <c r="T115" s="14" t="str">
        <f aca="false">IF(OR(S115="",S115="OVERSIZE"),"",S115/1000)</f>
        <v/>
      </c>
      <c r="U115" s="14" t="str">
        <f aca="false">IF(T115="","",(1/Inputs!$B$9)*(PI()*T115^2/4)*((T115/4)^(2/3))*SQRT(P115))</f>
        <v/>
      </c>
      <c r="V115" s="14" t="str">
        <f aca="false">IF(OR(U115="",N115=""),"",N115/(U115*Inputs!$B$10))</f>
        <v/>
      </c>
      <c r="W115" s="14" t="str">
        <f aca="false">IF(OR(T115="",N115=""),"",4*N115/(PI()*T115^2))</f>
        <v/>
      </c>
      <c r="X115" s="14"/>
      <c r="Y115" s="14" t="str">
        <f aca="false">IF(A115="","",IF(A115=Inputs!$B$6,Inputs!$B$22,IF(D115="","",IFERROR(INDEX($Z$4:$Z$203,MATCH(D115,$A$4:$A$203,0))+IF(X115="",Inputs!$B$20,X115),""))))</f>
        <v/>
      </c>
      <c r="Z115" s="14" t="str">
        <f aca="false">IF(OR(Y115="",P115="",E115=""),"",Y115+P115*E115)</f>
        <v/>
      </c>
      <c r="AA115" s="14" t="str">
        <f aca="false">IF(C115="","",IFERROR(INDEX(Noeuds_plan!$C$4:$C$200,MATCH(C115,Noeuds_plan!$A$4:$A$200,0)),""))</f>
        <v/>
      </c>
      <c r="AB115" s="14" t="str">
        <f aca="false">IF(B115="","",IFERROR(INDEX(Noeuds_plan!$C$4:$C$200,MATCH(B115,Noeuds_plan!$A$4:$A$200,0)),""))</f>
        <v/>
      </c>
      <c r="AC115" s="14" t="str">
        <f aca="false">IF(OR(AA115="",Y115=""),"",AA115-Y115)</f>
        <v/>
      </c>
      <c r="AD115" s="14" t="str">
        <f aca="false">IF(OR(AB115="",Z115=""),"",AB115-Z115)</f>
        <v/>
      </c>
      <c r="AE115" s="19" t="str">
        <f aca="false">IF(A115="","",IF(OR(V115&gt;1,AND(AY115&lt;&gt;"",AY115&lt;Inputs!$B$11),AND(AY115&lt;&gt;"",AY115&gt;Inputs!$B$12),AC115&lt;Inputs!$B$19,AD115&lt;Inputs!$B$19,P115&lt;Inputs!$B$7,P115&gt;Inputs!$B$8),"CHECK","OK"))</f>
        <v/>
      </c>
      <c r="AF115" s="9"/>
      <c r="AG115" s="9" t="str">
        <f aca="false">IF(A115="","",(1/Inputs!$B$9)*(PI()*(Inputs!$F$5/1000)^2/4)*((Inputs!$F$5/1000/4)^(2/3))*SQRT(P115))</f>
        <v/>
      </c>
      <c r="AH115" s="9" t="str">
        <f aca="false">IF(A115="","",(1/Inputs!$B$9)*(PI()*(Inputs!$F$6/1000)^2/4)*((Inputs!$F$6/1000/4)^(2/3))*SQRT(P115))</f>
        <v/>
      </c>
      <c r="AI115" s="9" t="str">
        <f aca="false">IF(A115="","",(1/Inputs!$B$9)*(PI()*(Inputs!$F$7/1000)^2/4)*((Inputs!$F$7/1000/4)^(2/3))*SQRT(P115))</f>
        <v/>
      </c>
      <c r="AJ115" s="9" t="str">
        <f aca="false">IF(A115="","",(1/Inputs!$B$9)*(PI()*(Inputs!$F$8/1000)^2/4)*((Inputs!$F$8/1000/4)^(2/3))*SQRT(P115))</f>
        <v/>
      </c>
      <c r="AK115" s="9" t="str">
        <f aca="false">IF(A115="","",(1/Inputs!$B$9)*(PI()*(Inputs!$F$9/1000)^2/4)*((Inputs!$F$9/1000/4)^(2/3))*SQRT(P115))</f>
        <v/>
      </c>
      <c r="AL115" s="9" t="str">
        <f aca="false">IF(A115="","",(1/Inputs!$B$9)*(PI()*(Inputs!$F$10/1000)^2/4)*((Inputs!$F$10/1000/4)^(2/3))*SQRT(P115))</f>
        <v/>
      </c>
      <c r="AM115" s="9" t="str">
        <f aca="false">IF(A115="","",(1/Inputs!$B$9)*(PI()*(Inputs!$F$11/1000)^2/4)*((Inputs!$F$11/1000/4)^(2/3))*SQRT(P115))</f>
        <v/>
      </c>
      <c r="AN115" s="9" t="str">
        <f aca="false">IF(A115="","",(1/Inputs!$B$9)*(PI()*(Inputs!$F$12/1000)^2/4)*((Inputs!$F$12/1000/4)^(2/3))*SQRT(P115))</f>
        <v/>
      </c>
      <c r="AO115" s="9" t="str">
        <f aca="false">IF(A115="","",(1/Inputs!$B$9)*(PI()*(Inputs!$F$13/1000)^2/4)*((Inputs!$F$13/1000/4)^(2/3))*SQRT(P115))</f>
        <v/>
      </c>
      <c r="AP115" s="9" t="str">
        <f aca="false">IF(A115="","",(1/Inputs!$B$9)*(PI()*(Inputs!$F$14/1000)^2/4)*((Inputs!$F$14/1000/4)^(2/3))*SQRT(P115))</f>
        <v/>
      </c>
      <c r="AQ115" s="9" t="str">
        <f aca="false">IF(A115="","",COUNTIF($D$4:$D$203,$A115))</f>
        <v/>
      </c>
      <c r="AR115" s="9" t="str">
        <f aca="false">IF(A115="","",IF(AQ115=0,"START","CONTINUOUS"))</f>
        <v/>
      </c>
      <c r="AS115" s="13" t="str">
        <f aca="false">IF(A115="","",IF(J115="",Inputs!$B$18,J115))</f>
        <v/>
      </c>
      <c r="AT115" s="13" t="str">
        <f aca="false">IF(A115="","",IFERROR(maxifs($AV$4:$AV$203,$D$4:$D$203,$A115),""))</f>
        <v/>
      </c>
      <c r="AU115" s="13" t="str">
        <f aca="false">IF(A115="","",IF(OR(E115="",Inputs!$B$23=""),"",E115/(Inputs!$B$23*60)))</f>
        <v/>
      </c>
      <c r="AV115" s="13" t="str">
        <f aca="false">IF(A115="","",IF(AQ115=0,AS115+AU115,IF(AT115="",AS115+AU115,AT115+AU115)))</f>
        <v/>
      </c>
      <c r="AW115" s="13" t="str">
        <f aca="false">IF(A115="","",W115)</f>
        <v/>
      </c>
      <c r="AX115" s="13" t="str">
        <f aca="false">IF(OR(T115="",P115=""),"",(1/Inputs!$B$9)*((T115/4)^(2/3))*SQRT(P115))</f>
        <v/>
      </c>
      <c r="AY115" s="13" t="str">
        <f aca="false">IF(A115="","",IF(AND(AW115="",AX115="",BA115=""),"",IF(OR(UPPER(TRIM(Inputs!$B$24))="MANNING",UPPER(TRIM(Inputs!$B$24))="M"),AX115,IF(OR(UPPER(TRIM(Inputs!$B$24))="PARTIAL",UPPER(TRIM(Inputs!$B$24))="P"),BA115,IF(OR(UPPER(TRIM(Inputs!$B$24))="MAX",UPPER(TRIM(Inputs!$B$24))="X"),MAX(IF(AW115="",0,AW115),IF(AX115="",0,AX115),IF(BA115="",0,BA115)),AW115)))))</f>
        <v/>
      </c>
      <c r="AZ115" s="13" t="str">
        <f aca="false">IF(BB115="","",CH115)</f>
        <v/>
      </c>
      <c r="BA115" s="13" t="str">
        <f aca="false">IF(OR(BB115="",AZ115="",T115="",T115&lt;=0,AZ115&lt;=0),"",BB115/((T115^2/8)*(2*ACOS(1-2*AZ115/T115)-SIN(2*ACOS(1-2*AZ115/T115)))))</f>
        <v/>
      </c>
      <c r="BB115" s="9" t="str">
        <f aca="false">IF(OR(N115="",BC115=""),"",MIN(N115,BC115))</f>
        <v/>
      </c>
      <c r="BC115" s="9" t="str">
        <f aca="false">IF(OR(N115="",T115="",P115=""),"",IF(OR(T115="",P115="",(0.94*T115)="",T115&lt;=0,(0.94*T115)&lt;=0),"",(1/Inputs!$B$9)*((T115^2/8)*((2*ACOS(1-2*(0.94*T115)/T115))-SIN((2*ACOS(1-2*(0.94*T115)/T115)))))*((((T115^2/8)*((2*ACOS(1-2*(0.94*T115)/T115))-SIN((2*ACOS(1-2*(0.94*T115)/T115)))))/((T115/2)*((2*ACOS(1-2*(0.94*T115)/T115)))))^(2/3))*SQRT(P115)))</f>
        <v/>
      </c>
      <c r="BD115" s="9" t="str">
        <f aca="false">IF(BB115="","",0.001*T115)</f>
        <v/>
      </c>
      <c r="BE115" s="9" t="str">
        <f aca="false">IF(BB115="","",0.94*T115)</f>
        <v/>
      </c>
      <c r="BF115" s="9" t="str">
        <f aca="false">IF(BB115="","",(BD115+BE115)/2)</f>
        <v/>
      </c>
      <c r="BG115" s="9" t="str">
        <f aca="false">IF(OR(T115="",P115="",BF115="",T115&lt;=0,BF115&lt;=0),"",(1/Inputs!$B$9)*((T115^2/8)*((2*ACOS(1-2*BF115/T115))-SIN((2*ACOS(1-2*BF115/T115)))))*((((T115^2/8)*((2*ACOS(1-2*BF115/T115))-SIN((2*ACOS(1-2*BF115/T115)))))/((T115/2)*((2*ACOS(1-2*BF115/T115)))))^(2/3))*SQRT(P115))</f>
        <v/>
      </c>
      <c r="BH115" s="9" t="str">
        <f aca="false">IF(BB115="","",IF(BG115&lt;BB115,BF115,BD115))</f>
        <v/>
      </c>
      <c r="BI115" s="9" t="str">
        <f aca="false">IF(BB115="","",IF(BG115&lt;BB115,BE115,BF115))</f>
        <v/>
      </c>
      <c r="BJ115" s="9" t="str">
        <f aca="false">IF(BB115="","",(BH115+BI115)/2)</f>
        <v/>
      </c>
      <c r="BK115" s="9" t="str">
        <f aca="false">IF(OR(T115="",P115="",BJ115="",T115&lt;=0,BJ115&lt;=0),"",(1/Inputs!$B$9)*((T115^2/8)*((2*ACOS(1-2*BJ115/T115))-SIN((2*ACOS(1-2*BJ115/T115)))))*((((T115^2/8)*((2*ACOS(1-2*BJ115/T115))-SIN((2*ACOS(1-2*BJ115/T115)))))/((T115/2)*((2*ACOS(1-2*BJ115/T115)))))^(2/3))*SQRT(P115))</f>
        <v/>
      </c>
      <c r="BL115" s="9" t="str">
        <f aca="false">IF(BB115="","",IF(BK115&lt;BB115,BJ115,BH115))</f>
        <v/>
      </c>
      <c r="BM115" s="9" t="str">
        <f aca="false">IF(BB115="","",IF(BK115&lt;BB115,BI115,BJ115))</f>
        <v/>
      </c>
      <c r="BN115" s="9" t="str">
        <f aca="false">IF(BB115="","",(BL115+BM115)/2)</f>
        <v/>
      </c>
      <c r="BO115" s="9" t="str">
        <f aca="false">IF(OR(T115="",P115="",BN115="",T115&lt;=0,BN115&lt;=0),"",(1/Inputs!$B$9)*((T115^2/8)*((2*ACOS(1-2*BN115/T115))-SIN((2*ACOS(1-2*BN115/T115)))))*((((T115^2/8)*((2*ACOS(1-2*BN115/T115))-SIN((2*ACOS(1-2*BN115/T115)))))/((T115/2)*((2*ACOS(1-2*BN115/T115)))))^(2/3))*SQRT(P115))</f>
        <v/>
      </c>
      <c r="BP115" s="9" t="str">
        <f aca="false">IF(BB115="","",IF(BO115&lt;BB115,BN115,BL115))</f>
        <v/>
      </c>
      <c r="BQ115" s="9" t="str">
        <f aca="false">IF(BB115="","",IF(BO115&lt;BB115,BM115,BN115))</f>
        <v/>
      </c>
      <c r="BR115" s="9" t="str">
        <f aca="false">IF(BB115="","",(BP115+BQ115)/2)</f>
        <v/>
      </c>
      <c r="BS115" s="9" t="str">
        <f aca="false">IF(OR(T115="",P115="",BR115="",T115&lt;=0,BR115&lt;=0),"",(1/Inputs!$B$9)*((T115^2/8)*((2*ACOS(1-2*BR115/T115))-SIN((2*ACOS(1-2*BR115/T115)))))*((((T115^2/8)*((2*ACOS(1-2*BR115/T115))-SIN((2*ACOS(1-2*BR115/T115)))))/((T115/2)*((2*ACOS(1-2*BR115/T115)))))^(2/3))*SQRT(P115))</f>
        <v/>
      </c>
      <c r="BT115" s="9" t="str">
        <f aca="false">IF(BB115="","",IF(BS115&lt;BB115,BR115,BP115))</f>
        <v/>
      </c>
      <c r="BU115" s="9" t="str">
        <f aca="false">IF(BB115="","",IF(BS115&lt;BB115,BQ115,BR115))</f>
        <v/>
      </c>
      <c r="BV115" s="9" t="str">
        <f aca="false">IF(BB115="","",(BT115+BU115)/2)</f>
        <v/>
      </c>
      <c r="BW115" s="9" t="str">
        <f aca="false">IF(OR(T115="",P115="",BV115="",T115&lt;=0,BV115&lt;=0),"",(1/Inputs!$B$9)*((T115^2/8)*((2*ACOS(1-2*BV115/T115))-SIN((2*ACOS(1-2*BV115/T115)))))*((((T115^2/8)*((2*ACOS(1-2*BV115/T115))-SIN((2*ACOS(1-2*BV115/T115)))))/((T115/2)*((2*ACOS(1-2*BV115/T115)))))^(2/3))*SQRT(P115))</f>
        <v/>
      </c>
      <c r="BX115" s="9" t="str">
        <f aca="false">IF(BB115="","",IF(BW115&lt;BB115,BV115,BT115))</f>
        <v/>
      </c>
      <c r="BY115" s="9" t="str">
        <f aca="false">IF(BB115="","",IF(BW115&lt;BB115,BU115,BV115))</f>
        <v/>
      </c>
      <c r="BZ115" s="9" t="str">
        <f aca="false">IF(BB115="","",(BX115+BY115)/2)</f>
        <v/>
      </c>
      <c r="CA115" s="9" t="str">
        <f aca="false">IF(OR(T115="",P115="",BZ115="",T115&lt;=0,BZ115&lt;=0),"",(1/Inputs!$B$9)*((T115^2/8)*((2*ACOS(1-2*BZ115/T115))-SIN((2*ACOS(1-2*BZ115/T115)))))*((((T115^2/8)*((2*ACOS(1-2*BZ115/T115))-SIN((2*ACOS(1-2*BZ115/T115)))))/((T115/2)*((2*ACOS(1-2*BZ115/T115)))))^(2/3))*SQRT(P115))</f>
        <v/>
      </c>
      <c r="CB115" s="9" t="str">
        <f aca="false">IF(BB115="","",IF(CA115&lt;BB115,BZ115,BX115))</f>
        <v/>
      </c>
      <c r="CC115" s="9" t="str">
        <f aca="false">IF(BB115="","",IF(CA115&lt;BB115,BY115,BZ115))</f>
        <v/>
      </c>
      <c r="CD115" s="9" t="str">
        <f aca="false">IF(BB115="","",(CB115+CC115)/2)</f>
        <v/>
      </c>
      <c r="CE115" s="9" t="str">
        <f aca="false">IF(OR(T115="",P115="",CD115="",T115&lt;=0,CD115&lt;=0),"",(1/Inputs!$B$9)*((T115^2/8)*((2*ACOS(1-2*CD115/T115))-SIN((2*ACOS(1-2*CD115/T115)))))*((((T115^2/8)*((2*ACOS(1-2*CD115/T115))-SIN((2*ACOS(1-2*CD115/T115)))))/((T115/2)*((2*ACOS(1-2*CD115/T115)))))^(2/3))*SQRT(P115))</f>
        <v/>
      </c>
      <c r="CF115" s="9" t="str">
        <f aca="false">IF(BB115="","",IF(CE115&lt;BB115,CD115,CB115))</f>
        <v/>
      </c>
      <c r="CG115" s="9" t="str">
        <f aca="false">IF(BB115="","",IF(CE115&lt;BB115,CC115,CD115))</f>
        <v/>
      </c>
      <c r="CH115" s="9" t="str">
        <f aca="false">IF(BB115="","",(CF115+CG115)/2)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14"/>
      <c r="F116" s="14"/>
      <c r="G116" s="14" t="n">
        <f aca="false">SUMIFS(CB_plan!$C:$C,CB_plan!$B:$B,$A116)</f>
        <v>0</v>
      </c>
      <c r="H116" s="14" t="n">
        <f aca="false">IF(F116="",G116,F116)</f>
        <v>0</v>
      </c>
      <c r="I116" s="9"/>
      <c r="J116" s="14"/>
      <c r="K116" s="14" t="str">
        <f aca="false">IF(A116="","",Inputs!$B$13/((IF(AV116="",Inputs!$B$18,AV116)+Inputs!$B$14)^Inputs!$B$15))</f>
        <v/>
      </c>
      <c r="L116" s="14" t="str">
        <f aca="false">IF(A116="","",0.000000278*IF(I116="",Inputs!$B$17,I116)*H116*K116)</f>
        <v/>
      </c>
      <c r="M116" s="14" t="str">
        <f aca="false">IF(A116="","",SUMIFS($N$4:$N$203,$D$4:$D$203,$A116))</f>
        <v/>
      </c>
      <c r="N116" s="14" t="str">
        <f aca="false">IF(A116="","",(L116+M116)*Inputs!$B$16)</f>
        <v/>
      </c>
      <c r="O116" s="14"/>
      <c r="P116" s="14" t="str">
        <f aca="false">IF(A116="","",IF(O116="",Inputs!$B$7,O116))</f>
        <v/>
      </c>
      <c r="Q116" s="9" t="str">
        <f aca="false">IF(A116="","",IF(N116/Inputs!$B$10&lt;=AG116,Inputs!$F$5,IF(N116/Inputs!$B$10&gt;AP116,"OVERSIZE",INDEX(Inputs!$F$5:$F$14,MATCH(N116/Inputs!$B$10,AG116:AP116,1)+1))))</f>
        <v/>
      </c>
      <c r="R116" s="9"/>
      <c r="S116" s="9" t="str">
        <f aca="false">IF(A116="","",IF(R116="",Q116,R116))</f>
        <v/>
      </c>
      <c r="T116" s="14" t="str">
        <f aca="false">IF(OR(S116="",S116="OVERSIZE"),"",S116/1000)</f>
        <v/>
      </c>
      <c r="U116" s="14" t="str">
        <f aca="false">IF(T116="","",(1/Inputs!$B$9)*(PI()*T116^2/4)*((T116/4)^(2/3))*SQRT(P116))</f>
        <v/>
      </c>
      <c r="V116" s="14" t="str">
        <f aca="false">IF(OR(U116="",N116=""),"",N116/(U116*Inputs!$B$10))</f>
        <v/>
      </c>
      <c r="W116" s="14" t="str">
        <f aca="false">IF(OR(T116="",N116=""),"",4*N116/(PI()*T116^2))</f>
        <v/>
      </c>
      <c r="X116" s="14"/>
      <c r="Y116" s="14" t="str">
        <f aca="false">IF(A116="","",IF(A116=Inputs!$B$6,Inputs!$B$22,IF(D116="","",IFERROR(INDEX($Z$4:$Z$203,MATCH(D116,$A$4:$A$203,0))+IF(X116="",Inputs!$B$20,X116),""))))</f>
        <v/>
      </c>
      <c r="Z116" s="14" t="str">
        <f aca="false">IF(OR(Y116="",P116="",E116=""),"",Y116+P116*E116)</f>
        <v/>
      </c>
      <c r="AA116" s="14" t="str">
        <f aca="false">IF(C116="","",IFERROR(INDEX(Noeuds_plan!$C$4:$C$200,MATCH(C116,Noeuds_plan!$A$4:$A$200,0)),""))</f>
        <v/>
      </c>
      <c r="AB116" s="14" t="str">
        <f aca="false">IF(B116="","",IFERROR(INDEX(Noeuds_plan!$C$4:$C$200,MATCH(B116,Noeuds_plan!$A$4:$A$200,0)),""))</f>
        <v/>
      </c>
      <c r="AC116" s="14" t="str">
        <f aca="false">IF(OR(AA116="",Y116=""),"",AA116-Y116)</f>
        <v/>
      </c>
      <c r="AD116" s="14" t="str">
        <f aca="false">IF(OR(AB116="",Z116=""),"",AB116-Z116)</f>
        <v/>
      </c>
      <c r="AE116" s="19" t="str">
        <f aca="false">IF(A116="","",IF(OR(V116&gt;1,AND(AY116&lt;&gt;"",AY116&lt;Inputs!$B$11),AND(AY116&lt;&gt;"",AY116&gt;Inputs!$B$12),AC116&lt;Inputs!$B$19,AD116&lt;Inputs!$B$19,P116&lt;Inputs!$B$7,P116&gt;Inputs!$B$8),"CHECK","OK"))</f>
        <v/>
      </c>
      <c r="AF116" s="9"/>
      <c r="AG116" s="9" t="str">
        <f aca="false">IF(A116="","",(1/Inputs!$B$9)*(PI()*(Inputs!$F$5/1000)^2/4)*((Inputs!$F$5/1000/4)^(2/3))*SQRT(P116))</f>
        <v/>
      </c>
      <c r="AH116" s="9" t="str">
        <f aca="false">IF(A116="","",(1/Inputs!$B$9)*(PI()*(Inputs!$F$6/1000)^2/4)*((Inputs!$F$6/1000/4)^(2/3))*SQRT(P116))</f>
        <v/>
      </c>
      <c r="AI116" s="9" t="str">
        <f aca="false">IF(A116="","",(1/Inputs!$B$9)*(PI()*(Inputs!$F$7/1000)^2/4)*((Inputs!$F$7/1000/4)^(2/3))*SQRT(P116))</f>
        <v/>
      </c>
      <c r="AJ116" s="9" t="str">
        <f aca="false">IF(A116="","",(1/Inputs!$B$9)*(PI()*(Inputs!$F$8/1000)^2/4)*((Inputs!$F$8/1000/4)^(2/3))*SQRT(P116))</f>
        <v/>
      </c>
      <c r="AK116" s="9" t="str">
        <f aca="false">IF(A116="","",(1/Inputs!$B$9)*(PI()*(Inputs!$F$9/1000)^2/4)*((Inputs!$F$9/1000/4)^(2/3))*SQRT(P116))</f>
        <v/>
      </c>
      <c r="AL116" s="9" t="str">
        <f aca="false">IF(A116="","",(1/Inputs!$B$9)*(PI()*(Inputs!$F$10/1000)^2/4)*((Inputs!$F$10/1000/4)^(2/3))*SQRT(P116))</f>
        <v/>
      </c>
      <c r="AM116" s="9" t="str">
        <f aca="false">IF(A116="","",(1/Inputs!$B$9)*(PI()*(Inputs!$F$11/1000)^2/4)*((Inputs!$F$11/1000/4)^(2/3))*SQRT(P116))</f>
        <v/>
      </c>
      <c r="AN116" s="9" t="str">
        <f aca="false">IF(A116="","",(1/Inputs!$B$9)*(PI()*(Inputs!$F$12/1000)^2/4)*((Inputs!$F$12/1000/4)^(2/3))*SQRT(P116))</f>
        <v/>
      </c>
      <c r="AO116" s="9" t="str">
        <f aca="false">IF(A116="","",(1/Inputs!$B$9)*(PI()*(Inputs!$F$13/1000)^2/4)*((Inputs!$F$13/1000/4)^(2/3))*SQRT(P116))</f>
        <v/>
      </c>
      <c r="AP116" s="9" t="str">
        <f aca="false">IF(A116="","",(1/Inputs!$B$9)*(PI()*(Inputs!$F$14/1000)^2/4)*((Inputs!$F$14/1000/4)^(2/3))*SQRT(P116))</f>
        <v/>
      </c>
      <c r="AQ116" s="9" t="str">
        <f aca="false">IF(A116="","",COUNTIF($D$4:$D$203,$A116))</f>
        <v/>
      </c>
      <c r="AR116" s="9" t="str">
        <f aca="false">IF(A116="","",IF(AQ116=0,"START","CONTINUOUS"))</f>
        <v/>
      </c>
      <c r="AS116" s="13" t="str">
        <f aca="false">IF(A116="","",IF(J116="",Inputs!$B$18,J116))</f>
        <v/>
      </c>
      <c r="AT116" s="13" t="str">
        <f aca="false">IF(A116="","",IFERROR(maxifs($AV$4:$AV$203,$D$4:$D$203,$A116),""))</f>
        <v/>
      </c>
      <c r="AU116" s="13" t="str">
        <f aca="false">IF(A116="","",IF(OR(E116="",Inputs!$B$23=""),"",E116/(Inputs!$B$23*60)))</f>
        <v/>
      </c>
      <c r="AV116" s="13" t="str">
        <f aca="false">IF(A116="","",IF(AQ116=0,AS116+AU116,IF(AT116="",AS116+AU116,AT116+AU116)))</f>
        <v/>
      </c>
      <c r="AW116" s="13" t="str">
        <f aca="false">IF(A116="","",W116)</f>
        <v/>
      </c>
      <c r="AX116" s="13" t="str">
        <f aca="false">IF(OR(T116="",P116=""),"",(1/Inputs!$B$9)*((T116/4)^(2/3))*SQRT(P116))</f>
        <v/>
      </c>
      <c r="AY116" s="13" t="str">
        <f aca="false">IF(A116="","",IF(AND(AW116="",AX116="",BA116=""),"",IF(OR(UPPER(TRIM(Inputs!$B$24))="MANNING",UPPER(TRIM(Inputs!$B$24))="M"),AX116,IF(OR(UPPER(TRIM(Inputs!$B$24))="PARTIAL",UPPER(TRIM(Inputs!$B$24))="P"),BA116,IF(OR(UPPER(TRIM(Inputs!$B$24))="MAX",UPPER(TRIM(Inputs!$B$24))="X"),MAX(IF(AW116="",0,AW116),IF(AX116="",0,AX116),IF(BA116="",0,BA116)),AW116)))))</f>
        <v/>
      </c>
      <c r="AZ116" s="13" t="str">
        <f aca="false">IF(BB116="","",CH116)</f>
        <v/>
      </c>
      <c r="BA116" s="13" t="str">
        <f aca="false">IF(OR(BB116="",AZ116="",T116="",T116&lt;=0,AZ116&lt;=0),"",BB116/((T116^2/8)*(2*ACOS(1-2*AZ116/T116)-SIN(2*ACOS(1-2*AZ116/T116)))))</f>
        <v/>
      </c>
      <c r="BB116" s="9" t="str">
        <f aca="false">IF(OR(N116="",BC116=""),"",MIN(N116,BC116))</f>
        <v/>
      </c>
      <c r="BC116" s="9" t="str">
        <f aca="false">IF(OR(N116="",T116="",P116=""),"",IF(OR(T116="",P116="",(0.94*T116)="",T116&lt;=0,(0.94*T116)&lt;=0),"",(1/Inputs!$B$9)*((T116^2/8)*((2*ACOS(1-2*(0.94*T116)/T116))-SIN((2*ACOS(1-2*(0.94*T116)/T116)))))*((((T116^2/8)*((2*ACOS(1-2*(0.94*T116)/T116))-SIN((2*ACOS(1-2*(0.94*T116)/T116)))))/((T116/2)*((2*ACOS(1-2*(0.94*T116)/T116)))))^(2/3))*SQRT(P116)))</f>
        <v/>
      </c>
      <c r="BD116" s="9" t="str">
        <f aca="false">IF(BB116="","",0.001*T116)</f>
        <v/>
      </c>
      <c r="BE116" s="9" t="str">
        <f aca="false">IF(BB116="","",0.94*T116)</f>
        <v/>
      </c>
      <c r="BF116" s="9" t="str">
        <f aca="false">IF(BB116="","",(BD116+BE116)/2)</f>
        <v/>
      </c>
      <c r="BG116" s="9" t="str">
        <f aca="false">IF(OR(T116="",P116="",BF116="",T116&lt;=0,BF116&lt;=0),"",(1/Inputs!$B$9)*((T116^2/8)*((2*ACOS(1-2*BF116/T116))-SIN((2*ACOS(1-2*BF116/T116)))))*((((T116^2/8)*((2*ACOS(1-2*BF116/T116))-SIN((2*ACOS(1-2*BF116/T116)))))/((T116/2)*((2*ACOS(1-2*BF116/T116)))))^(2/3))*SQRT(P116))</f>
        <v/>
      </c>
      <c r="BH116" s="9" t="str">
        <f aca="false">IF(BB116="","",IF(BG116&lt;BB116,BF116,BD116))</f>
        <v/>
      </c>
      <c r="BI116" s="9" t="str">
        <f aca="false">IF(BB116="","",IF(BG116&lt;BB116,BE116,BF116))</f>
        <v/>
      </c>
      <c r="BJ116" s="9" t="str">
        <f aca="false">IF(BB116="","",(BH116+BI116)/2)</f>
        <v/>
      </c>
      <c r="BK116" s="9" t="str">
        <f aca="false">IF(OR(T116="",P116="",BJ116="",T116&lt;=0,BJ116&lt;=0),"",(1/Inputs!$B$9)*((T116^2/8)*((2*ACOS(1-2*BJ116/T116))-SIN((2*ACOS(1-2*BJ116/T116)))))*((((T116^2/8)*((2*ACOS(1-2*BJ116/T116))-SIN((2*ACOS(1-2*BJ116/T116)))))/((T116/2)*((2*ACOS(1-2*BJ116/T116)))))^(2/3))*SQRT(P116))</f>
        <v/>
      </c>
      <c r="BL116" s="9" t="str">
        <f aca="false">IF(BB116="","",IF(BK116&lt;BB116,BJ116,BH116))</f>
        <v/>
      </c>
      <c r="BM116" s="9" t="str">
        <f aca="false">IF(BB116="","",IF(BK116&lt;BB116,BI116,BJ116))</f>
        <v/>
      </c>
      <c r="BN116" s="9" t="str">
        <f aca="false">IF(BB116="","",(BL116+BM116)/2)</f>
        <v/>
      </c>
      <c r="BO116" s="9" t="str">
        <f aca="false">IF(OR(T116="",P116="",BN116="",T116&lt;=0,BN116&lt;=0),"",(1/Inputs!$B$9)*((T116^2/8)*((2*ACOS(1-2*BN116/T116))-SIN((2*ACOS(1-2*BN116/T116)))))*((((T116^2/8)*((2*ACOS(1-2*BN116/T116))-SIN((2*ACOS(1-2*BN116/T116)))))/((T116/2)*((2*ACOS(1-2*BN116/T116)))))^(2/3))*SQRT(P116))</f>
        <v/>
      </c>
      <c r="BP116" s="9" t="str">
        <f aca="false">IF(BB116="","",IF(BO116&lt;BB116,BN116,BL116))</f>
        <v/>
      </c>
      <c r="BQ116" s="9" t="str">
        <f aca="false">IF(BB116="","",IF(BO116&lt;BB116,BM116,BN116))</f>
        <v/>
      </c>
      <c r="BR116" s="9" t="str">
        <f aca="false">IF(BB116="","",(BP116+BQ116)/2)</f>
        <v/>
      </c>
      <c r="BS116" s="9" t="str">
        <f aca="false">IF(OR(T116="",P116="",BR116="",T116&lt;=0,BR116&lt;=0),"",(1/Inputs!$B$9)*((T116^2/8)*((2*ACOS(1-2*BR116/T116))-SIN((2*ACOS(1-2*BR116/T116)))))*((((T116^2/8)*((2*ACOS(1-2*BR116/T116))-SIN((2*ACOS(1-2*BR116/T116)))))/((T116/2)*((2*ACOS(1-2*BR116/T116)))))^(2/3))*SQRT(P116))</f>
        <v/>
      </c>
      <c r="BT116" s="9" t="str">
        <f aca="false">IF(BB116="","",IF(BS116&lt;BB116,BR116,BP116))</f>
        <v/>
      </c>
      <c r="BU116" s="9" t="str">
        <f aca="false">IF(BB116="","",IF(BS116&lt;BB116,BQ116,BR116))</f>
        <v/>
      </c>
      <c r="BV116" s="9" t="str">
        <f aca="false">IF(BB116="","",(BT116+BU116)/2)</f>
        <v/>
      </c>
      <c r="BW116" s="9" t="str">
        <f aca="false">IF(OR(T116="",P116="",BV116="",T116&lt;=0,BV116&lt;=0),"",(1/Inputs!$B$9)*((T116^2/8)*((2*ACOS(1-2*BV116/T116))-SIN((2*ACOS(1-2*BV116/T116)))))*((((T116^2/8)*((2*ACOS(1-2*BV116/T116))-SIN((2*ACOS(1-2*BV116/T116)))))/((T116/2)*((2*ACOS(1-2*BV116/T116)))))^(2/3))*SQRT(P116))</f>
        <v/>
      </c>
      <c r="BX116" s="9" t="str">
        <f aca="false">IF(BB116="","",IF(BW116&lt;BB116,BV116,BT116))</f>
        <v/>
      </c>
      <c r="BY116" s="9" t="str">
        <f aca="false">IF(BB116="","",IF(BW116&lt;BB116,BU116,BV116))</f>
        <v/>
      </c>
      <c r="BZ116" s="9" t="str">
        <f aca="false">IF(BB116="","",(BX116+BY116)/2)</f>
        <v/>
      </c>
      <c r="CA116" s="9" t="str">
        <f aca="false">IF(OR(T116="",P116="",BZ116="",T116&lt;=0,BZ116&lt;=0),"",(1/Inputs!$B$9)*((T116^2/8)*((2*ACOS(1-2*BZ116/T116))-SIN((2*ACOS(1-2*BZ116/T116)))))*((((T116^2/8)*((2*ACOS(1-2*BZ116/T116))-SIN((2*ACOS(1-2*BZ116/T116)))))/((T116/2)*((2*ACOS(1-2*BZ116/T116)))))^(2/3))*SQRT(P116))</f>
        <v/>
      </c>
      <c r="CB116" s="9" t="str">
        <f aca="false">IF(BB116="","",IF(CA116&lt;BB116,BZ116,BX116))</f>
        <v/>
      </c>
      <c r="CC116" s="9" t="str">
        <f aca="false">IF(BB116="","",IF(CA116&lt;BB116,BY116,BZ116))</f>
        <v/>
      </c>
      <c r="CD116" s="9" t="str">
        <f aca="false">IF(BB116="","",(CB116+CC116)/2)</f>
        <v/>
      </c>
      <c r="CE116" s="9" t="str">
        <f aca="false">IF(OR(T116="",P116="",CD116="",T116&lt;=0,CD116&lt;=0),"",(1/Inputs!$B$9)*((T116^2/8)*((2*ACOS(1-2*CD116/T116))-SIN((2*ACOS(1-2*CD116/T116)))))*((((T116^2/8)*((2*ACOS(1-2*CD116/T116))-SIN((2*ACOS(1-2*CD116/T116)))))/((T116/2)*((2*ACOS(1-2*CD116/T116)))))^(2/3))*SQRT(P116))</f>
        <v/>
      </c>
      <c r="CF116" s="9" t="str">
        <f aca="false">IF(BB116="","",IF(CE116&lt;BB116,CD116,CB116))</f>
        <v/>
      </c>
      <c r="CG116" s="9" t="str">
        <f aca="false">IF(BB116="","",IF(CE116&lt;BB116,CC116,CD116))</f>
        <v/>
      </c>
      <c r="CH116" s="9" t="str">
        <f aca="false">IF(BB116="","",(CF116+CG116)/2)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14"/>
      <c r="F117" s="14"/>
      <c r="G117" s="14" t="n">
        <f aca="false">SUMIFS(CB_plan!$C:$C,CB_plan!$B:$B,$A117)</f>
        <v>0</v>
      </c>
      <c r="H117" s="14" t="n">
        <f aca="false">IF(F117="",G117,F117)</f>
        <v>0</v>
      </c>
      <c r="I117" s="9"/>
      <c r="J117" s="14"/>
      <c r="K117" s="14" t="str">
        <f aca="false">IF(A117="","",Inputs!$B$13/((IF(AV117="",Inputs!$B$18,AV117)+Inputs!$B$14)^Inputs!$B$15))</f>
        <v/>
      </c>
      <c r="L117" s="14" t="str">
        <f aca="false">IF(A117="","",0.000000278*IF(I117="",Inputs!$B$17,I117)*H117*K117)</f>
        <v/>
      </c>
      <c r="M117" s="14" t="str">
        <f aca="false">IF(A117="","",SUMIFS($N$4:$N$203,$D$4:$D$203,$A117))</f>
        <v/>
      </c>
      <c r="N117" s="14" t="str">
        <f aca="false">IF(A117="","",(L117+M117)*Inputs!$B$16)</f>
        <v/>
      </c>
      <c r="O117" s="14"/>
      <c r="P117" s="14" t="str">
        <f aca="false">IF(A117="","",IF(O117="",Inputs!$B$7,O117))</f>
        <v/>
      </c>
      <c r="Q117" s="9" t="str">
        <f aca="false">IF(A117="","",IF(N117/Inputs!$B$10&lt;=AG117,Inputs!$F$5,IF(N117/Inputs!$B$10&gt;AP117,"OVERSIZE",INDEX(Inputs!$F$5:$F$14,MATCH(N117/Inputs!$B$10,AG117:AP117,1)+1))))</f>
        <v/>
      </c>
      <c r="R117" s="9"/>
      <c r="S117" s="9" t="str">
        <f aca="false">IF(A117="","",IF(R117="",Q117,R117))</f>
        <v/>
      </c>
      <c r="T117" s="14" t="str">
        <f aca="false">IF(OR(S117="",S117="OVERSIZE"),"",S117/1000)</f>
        <v/>
      </c>
      <c r="U117" s="14" t="str">
        <f aca="false">IF(T117="","",(1/Inputs!$B$9)*(PI()*T117^2/4)*((T117/4)^(2/3))*SQRT(P117))</f>
        <v/>
      </c>
      <c r="V117" s="14" t="str">
        <f aca="false">IF(OR(U117="",N117=""),"",N117/(U117*Inputs!$B$10))</f>
        <v/>
      </c>
      <c r="W117" s="14" t="str">
        <f aca="false">IF(OR(T117="",N117=""),"",4*N117/(PI()*T117^2))</f>
        <v/>
      </c>
      <c r="X117" s="14"/>
      <c r="Y117" s="14" t="str">
        <f aca="false">IF(A117="","",IF(A117=Inputs!$B$6,Inputs!$B$22,IF(D117="","",IFERROR(INDEX($Z$4:$Z$203,MATCH(D117,$A$4:$A$203,0))+IF(X117="",Inputs!$B$20,X117),""))))</f>
        <v/>
      </c>
      <c r="Z117" s="14" t="str">
        <f aca="false">IF(OR(Y117="",P117="",E117=""),"",Y117+P117*E117)</f>
        <v/>
      </c>
      <c r="AA117" s="14" t="str">
        <f aca="false">IF(C117="","",IFERROR(INDEX(Noeuds_plan!$C$4:$C$200,MATCH(C117,Noeuds_plan!$A$4:$A$200,0)),""))</f>
        <v/>
      </c>
      <c r="AB117" s="14" t="str">
        <f aca="false">IF(B117="","",IFERROR(INDEX(Noeuds_plan!$C$4:$C$200,MATCH(B117,Noeuds_plan!$A$4:$A$200,0)),""))</f>
        <v/>
      </c>
      <c r="AC117" s="14" t="str">
        <f aca="false">IF(OR(AA117="",Y117=""),"",AA117-Y117)</f>
        <v/>
      </c>
      <c r="AD117" s="14" t="str">
        <f aca="false">IF(OR(AB117="",Z117=""),"",AB117-Z117)</f>
        <v/>
      </c>
      <c r="AE117" s="19" t="str">
        <f aca="false">IF(A117="","",IF(OR(V117&gt;1,AND(AY117&lt;&gt;"",AY117&lt;Inputs!$B$11),AND(AY117&lt;&gt;"",AY117&gt;Inputs!$B$12),AC117&lt;Inputs!$B$19,AD117&lt;Inputs!$B$19,P117&lt;Inputs!$B$7,P117&gt;Inputs!$B$8),"CHECK","OK"))</f>
        <v/>
      </c>
      <c r="AF117" s="9"/>
      <c r="AG117" s="9" t="str">
        <f aca="false">IF(A117="","",(1/Inputs!$B$9)*(PI()*(Inputs!$F$5/1000)^2/4)*((Inputs!$F$5/1000/4)^(2/3))*SQRT(P117))</f>
        <v/>
      </c>
      <c r="AH117" s="9" t="str">
        <f aca="false">IF(A117="","",(1/Inputs!$B$9)*(PI()*(Inputs!$F$6/1000)^2/4)*((Inputs!$F$6/1000/4)^(2/3))*SQRT(P117))</f>
        <v/>
      </c>
      <c r="AI117" s="9" t="str">
        <f aca="false">IF(A117="","",(1/Inputs!$B$9)*(PI()*(Inputs!$F$7/1000)^2/4)*((Inputs!$F$7/1000/4)^(2/3))*SQRT(P117))</f>
        <v/>
      </c>
      <c r="AJ117" s="9" t="str">
        <f aca="false">IF(A117="","",(1/Inputs!$B$9)*(PI()*(Inputs!$F$8/1000)^2/4)*((Inputs!$F$8/1000/4)^(2/3))*SQRT(P117))</f>
        <v/>
      </c>
      <c r="AK117" s="9" t="str">
        <f aca="false">IF(A117="","",(1/Inputs!$B$9)*(PI()*(Inputs!$F$9/1000)^2/4)*((Inputs!$F$9/1000/4)^(2/3))*SQRT(P117))</f>
        <v/>
      </c>
      <c r="AL117" s="9" t="str">
        <f aca="false">IF(A117="","",(1/Inputs!$B$9)*(PI()*(Inputs!$F$10/1000)^2/4)*((Inputs!$F$10/1000/4)^(2/3))*SQRT(P117))</f>
        <v/>
      </c>
      <c r="AM117" s="9" t="str">
        <f aca="false">IF(A117="","",(1/Inputs!$B$9)*(PI()*(Inputs!$F$11/1000)^2/4)*((Inputs!$F$11/1000/4)^(2/3))*SQRT(P117))</f>
        <v/>
      </c>
      <c r="AN117" s="9" t="str">
        <f aca="false">IF(A117="","",(1/Inputs!$B$9)*(PI()*(Inputs!$F$12/1000)^2/4)*((Inputs!$F$12/1000/4)^(2/3))*SQRT(P117))</f>
        <v/>
      </c>
      <c r="AO117" s="9" t="str">
        <f aca="false">IF(A117="","",(1/Inputs!$B$9)*(PI()*(Inputs!$F$13/1000)^2/4)*((Inputs!$F$13/1000/4)^(2/3))*SQRT(P117))</f>
        <v/>
      </c>
      <c r="AP117" s="9" t="str">
        <f aca="false">IF(A117="","",(1/Inputs!$B$9)*(PI()*(Inputs!$F$14/1000)^2/4)*((Inputs!$F$14/1000/4)^(2/3))*SQRT(P117))</f>
        <v/>
      </c>
      <c r="AQ117" s="9" t="str">
        <f aca="false">IF(A117="","",COUNTIF($D$4:$D$203,$A117))</f>
        <v/>
      </c>
      <c r="AR117" s="9" t="str">
        <f aca="false">IF(A117="","",IF(AQ117=0,"START","CONTINUOUS"))</f>
        <v/>
      </c>
      <c r="AS117" s="13" t="str">
        <f aca="false">IF(A117="","",IF(J117="",Inputs!$B$18,J117))</f>
        <v/>
      </c>
      <c r="AT117" s="13" t="str">
        <f aca="false">IF(A117="","",IFERROR(maxifs($AV$4:$AV$203,$D$4:$D$203,$A117),""))</f>
        <v/>
      </c>
      <c r="AU117" s="13" t="str">
        <f aca="false">IF(A117="","",IF(OR(E117="",Inputs!$B$23=""),"",E117/(Inputs!$B$23*60)))</f>
        <v/>
      </c>
      <c r="AV117" s="13" t="str">
        <f aca="false">IF(A117="","",IF(AQ117=0,AS117+AU117,IF(AT117="",AS117+AU117,AT117+AU117)))</f>
        <v/>
      </c>
      <c r="AW117" s="13" t="str">
        <f aca="false">IF(A117="","",W117)</f>
        <v/>
      </c>
      <c r="AX117" s="13" t="str">
        <f aca="false">IF(OR(T117="",P117=""),"",(1/Inputs!$B$9)*((T117/4)^(2/3))*SQRT(P117))</f>
        <v/>
      </c>
      <c r="AY117" s="13" t="str">
        <f aca="false">IF(A117="","",IF(AND(AW117="",AX117="",BA117=""),"",IF(OR(UPPER(TRIM(Inputs!$B$24))="MANNING",UPPER(TRIM(Inputs!$B$24))="M"),AX117,IF(OR(UPPER(TRIM(Inputs!$B$24))="PARTIAL",UPPER(TRIM(Inputs!$B$24))="P"),BA117,IF(OR(UPPER(TRIM(Inputs!$B$24))="MAX",UPPER(TRIM(Inputs!$B$24))="X"),MAX(IF(AW117="",0,AW117),IF(AX117="",0,AX117),IF(BA117="",0,BA117)),AW117)))))</f>
        <v/>
      </c>
      <c r="AZ117" s="13" t="str">
        <f aca="false">IF(BB117="","",CH117)</f>
        <v/>
      </c>
      <c r="BA117" s="13" t="str">
        <f aca="false">IF(OR(BB117="",AZ117="",T117="",T117&lt;=0,AZ117&lt;=0),"",BB117/((T117^2/8)*(2*ACOS(1-2*AZ117/T117)-SIN(2*ACOS(1-2*AZ117/T117)))))</f>
        <v/>
      </c>
      <c r="BB117" s="9" t="str">
        <f aca="false">IF(OR(N117="",BC117=""),"",MIN(N117,BC117))</f>
        <v/>
      </c>
      <c r="BC117" s="9" t="str">
        <f aca="false">IF(OR(N117="",T117="",P117=""),"",IF(OR(T117="",P117="",(0.94*T117)="",T117&lt;=0,(0.94*T117)&lt;=0),"",(1/Inputs!$B$9)*((T117^2/8)*((2*ACOS(1-2*(0.94*T117)/T117))-SIN((2*ACOS(1-2*(0.94*T117)/T117)))))*((((T117^2/8)*((2*ACOS(1-2*(0.94*T117)/T117))-SIN((2*ACOS(1-2*(0.94*T117)/T117)))))/((T117/2)*((2*ACOS(1-2*(0.94*T117)/T117)))))^(2/3))*SQRT(P117)))</f>
        <v/>
      </c>
      <c r="BD117" s="9" t="str">
        <f aca="false">IF(BB117="","",0.001*T117)</f>
        <v/>
      </c>
      <c r="BE117" s="9" t="str">
        <f aca="false">IF(BB117="","",0.94*T117)</f>
        <v/>
      </c>
      <c r="BF117" s="9" t="str">
        <f aca="false">IF(BB117="","",(BD117+BE117)/2)</f>
        <v/>
      </c>
      <c r="BG117" s="9" t="str">
        <f aca="false">IF(OR(T117="",P117="",BF117="",T117&lt;=0,BF117&lt;=0),"",(1/Inputs!$B$9)*((T117^2/8)*((2*ACOS(1-2*BF117/T117))-SIN((2*ACOS(1-2*BF117/T117)))))*((((T117^2/8)*((2*ACOS(1-2*BF117/T117))-SIN((2*ACOS(1-2*BF117/T117)))))/((T117/2)*((2*ACOS(1-2*BF117/T117)))))^(2/3))*SQRT(P117))</f>
        <v/>
      </c>
      <c r="BH117" s="9" t="str">
        <f aca="false">IF(BB117="","",IF(BG117&lt;BB117,BF117,BD117))</f>
        <v/>
      </c>
      <c r="BI117" s="9" t="str">
        <f aca="false">IF(BB117="","",IF(BG117&lt;BB117,BE117,BF117))</f>
        <v/>
      </c>
      <c r="BJ117" s="9" t="str">
        <f aca="false">IF(BB117="","",(BH117+BI117)/2)</f>
        <v/>
      </c>
      <c r="BK117" s="9" t="str">
        <f aca="false">IF(OR(T117="",P117="",BJ117="",T117&lt;=0,BJ117&lt;=0),"",(1/Inputs!$B$9)*((T117^2/8)*((2*ACOS(1-2*BJ117/T117))-SIN((2*ACOS(1-2*BJ117/T117)))))*((((T117^2/8)*((2*ACOS(1-2*BJ117/T117))-SIN((2*ACOS(1-2*BJ117/T117)))))/((T117/2)*((2*ACOS(1-2*BJ117/T117)))))^(2/3))*SQRT(P117))</f>
        <v/>
      </c>
      <c r="BL117" s="9" t="str">
        <f aca="false">IF(BB117="","",IF(BK117&lt;BB117,BJ117,BH117))</f>
        <v/>
      </c>
      <c r="BM117" s="9" t="str">
        <f aca="false">IF(BB117="","",IF(BK117&lt;BB117,BI117,BJ117))</f>
        <v/>
      </c>
      <c r="BN117" s="9" t="str">
        <f aca="false">IF(BB117="","",(BL117+BM117)/2)</f>
        <v/>
      </c>
      <c r="BO117" s="9" t="str">
        <f aca="false">IF(OR(T117="",P117="",BN117="",T117&lt;=0,BN117&lt;=0),"",(1/Inputs!$B$9)*((T117^2/8)*((2*ACOS(1-2*BN117/T117))-SIN((2*ACOS(1-2*BN117/T117)))))*((((T117^2/8)*((2*ACOS(1-2*BN117/T117))-SIN((2*ACOS(1-2*BN117/T117)))))/((T117/2)*((2*ACOS(1-2*BN117/T117)))))^(2/3))*SQRT(P117))</f>
        <v/>
      </c>
      <c r="BP117" s="9" t="str">
        <f aca="false">IF(BB117="","",IF(BO117&lt;BB117,BN117,BL117))</f>
        <v/>
      </c>
      <c r="BQ117" s="9" t="str">
        <f aca="false">IF(BB117="","",IF(BO117&lt;BB117,BM117,BN117))</f>
        <v/>
      </c>
      <c r="BR117" s="9" t="str">
        <f aca="false">IF(BB117="","",(BP117+BQ117)/2)</f>
        <v/>
      </c>
      <c r="BS117" s="9" t="str">
        <f aca="false">IF(OR(T117="",P117="",BR117="",T117&lt;=0,BR117&lt;=0),"",(1/Inputs!$B$9)*((T117^2/8)*((2*ACOS(1-2*BR117/T117))-SIN((2*ACOS(1-2*BR117/T117)))))*((((T117^2/8)*((2*ACOS(1-2*BR117/T117))-SIN((2*ACOS(1-2*BR117/T117)))))/((T117/2)*((2*ACOS(1-2*BR117/T117)))))^(2/3))*SQRT(P117))</f>
        <v/>
      </c>
      <c r="BT117" s="9" t="str">
        <f aca="false">IF(BB117="","",IF(BS117&lt;BB117,BR117,BP117))</f>
        <v/>
      </c>
      <c r="BU117" s="9" t="str">
        <f aca="false">IF(BB117="","",IF(BS117&lt;BB117,BQ117,BR117))</f>
        <v/>
      </c>
      <c r="BV117" s="9" t="str">
        <f aca="false">IF(BB117="","",(BT117+BU117)/2)</f>
        <v/>
      </c>
      <c r="BW117" s="9" t="str">
        <f aca="false">IF(OR(T117="",P117="",BV117="",T117&lt;=0,BV117&lt;=0),"",(1/Inputs!$B$9)*((T117^2/8)*((2*ACOS(1-2*BV117/T117))-SIN((2*ACOS(1-2*BV117/T117)))))*((((T117^2/8)*((2*ACOS(1-2*BV117/T117))-SIN((2*ACOS(1-2*BV117/T117)))))/((T117/2)*((2*ACOS(1-2*BV117/T117)))))^(2/3))*SQRT(P117))</f>
        <v/>
      </c>
      <c r="BX117" s="9" t="str">
        <f aca="false">IF(BB117="","",IF(BW117&lt;BB117,BV117,BT117))</f>
        <v/>
      </c>
      <c r="BY117" s="9" t="str">
        <f aca="false">IF(BB117="","",IF(BW117&lt;BB117,BU117,BV117))</f>
        <v/>
      </c>
      <c r="BZ117" s="9" t="str">
        <f aca="false">IF(BB117="","",(BX117+BY117)/2)</f>
        <v/>
      </c>
      <c r="CA117" s="9" t="str">
        <f aca="false">IF(OR(T117="",P117="",BZ117="",T117&lt;=0,BZ117&lt;=0),"",(1/Inputs!$B$9)*((T117^2/8)*((2*ACOS(1-2*BZ117/T117))-SIN((2*ACOS(1-2*BZ117/T117)))))*((((T117^2/8)*((2*ACOS(1-2*BZ117/T117))-SIN((2*ACOS(1-2*BZ117/T117)))))/((T117/2)*((2*ACOS(1-2*BZ117/T117)))))^(2/3))*SQRT(P117))</f>
        <v/>
      </c>
      <c r="CB117" s="9" t="str">
        <f aca="false">IF(BB117="","",IF(CA117&lt;BB117,BZ117,BX117))</f>
        <v/>
      </c>
      <c r="CC117" s="9" t="str">
        <f aca="false">IF(BB117="","",IF(CA117&lt;BB117,BY117,BZ117))</f>
        <v/>
      </c>
      <c r="CD117" s="9" t="str">
        <f aca="false">IF(BB117="","",(CB117+CC117)/2)</f>
        <v/>
      </c>
      <c r="CE117" s="9" t="str">
        <f aca="false">IF(OR(T117="",P117="",CD117="",T117&lt;=0,CD117&lt;=0),"",(1/Inputs!$B$9)*((T117^2/8)*((2*ACOS(1-2*CD117/T117))-SIN((2*ACOS(1-2*CD117/T117)))))*((((T117^2/8)*((2*ACOS(1-2*CD117/T117))-SIN((2*ACOS(1-2*CD117/T117)))))/((T117/2)*((2*ACOS(1-2*CD117/T117)))))^(2/3))*SQRT(P117))</f>
        <v/>
      </c>
      <c r="CF117" s="9" t="str">
        <f aca="false">IF(BB117="","",IF(CE117&lt;BB117,CD117,CB117))</f>
        <v/>
      </c>
      <c r="CG117" s="9" t="str">
        <f aca="false">IF(BB117="","",IF(CE117&lt;BB117,CC117,CD117))</f>
        <v/>
      </c>
      <c r="CH117" s="9" t="str">
        <f aca="false">IF(BB117="","",(CF117+CG117)/2)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14"/>
      <c r="F118" s="14"/>
      <c r="G118" s="14" t="n">
        <f aca="false">SUMIFS(CB_plan!$C:$C,CB_plan!$B:$B,$A118)</f>
        <v>0</v>
      </c>
      <c r="H118" s="14" t="n">
        <f aca="false">IF(F118="",G118,F118)</f>
        <v>0</v>
      </c>
      <c r="I118" s="9"/>
      <c r="J118" s="14"/>
      <c r="K118" s="14" t="str">
        <f aca="false">IF(A118="","",Inputs!$B$13/((IF(AV118="",Inputs!$B$18,AV118)+Inputs!$B$14)^Inputs!$B$15))</f>
        <v/>
      </c>
      <c r="L118" s="14" t="str">
        <f aca="false">IF(A118="","",0.000000278*IF(I118="",Inputs!$B$17,I118)*H118*K118)</f>
        <v/>
      </c>
      <c r="M118" s="14" t="str">
        <f aca="false">IF(A118="","",SUMIFS($N$4:$N$203,$D$4:$D$203,$A118))</f>
        <v/>
      </c>
      <c r="N118" s="14" t="str">
        <f aca="false">IF(A118="","",(L118+M118)*Inputs!$B$16)</f>
        <v/>
      </c>
      <c r="O118" s="14"/>
      <c r="P118" s="14" t="str">
        <f aca="false">IF(A118="","",IF(O118="",Inputs!$B$7,O118))</f>
        <v/>
      </c>
      <c r="Q118" s="9" t="str">
        <f aca="false">IF(A118="","",IF(N118/Inputs!$B$10&lt;=AG118,Inputs!$F$5,IF(N118/Inputs!$B$10&gt;AP118,"OVERSIZE",INDEX(Inputs!$F$5:$F$14,MATCH(N118/Inputs!$B$10,AG118:AP118,1)+1))))</f>
        <v/>
      </c>
      <c r="R118" s="9"/>
      <c r="S118" s="9" t="str">
        <f aca="false">IF(A118="","",IF(R118="",Q118,R118))</f>
        <v/>
      </c>
      <c r="T118" s="14" t="str">
        <f aca="false">IF(OR(S118="",S118="OVERSIZE"),"",S118/1000)</f>
        <v/>
      </c>
      <c r="U118" s="14" t="str">
        <f aca="false">IF(T118="","",(1/Inputs!$B$9)*(PI()*T118^2/4)*((T118/4)^(2/3))*SQRT(P118))</f>
        <v/>
      </c>
      <c r="V118" s="14" t="str">
        <f aca="false">IF(OR(U118="",N118=""),"",N118/(U118*Inputs!$B$10))</f>
        <v/>
      </c>
      <c r="W118" s="14" t="str">
        <f aca="false">IF(OR(T118="",N118=""),"",4*N118/(PI()*T118^2))</f>
        <v/>
      </c>
      <c r="X118" s="14"/>
      <c r="Y118" s="14" t="str">
        <f aca="false">IF(A118="","",IF(A118=Inputs!$B$6,Inputs!$B$22,IF(D118="","",IFERROR(INDEX($Z$4:$Z$203,MATCH(D118,$A$4:$A$203,0))+IF(X118="",Inputs!$B$20,X118),""))))</f>
        <v/>
      </c>
      <c r="Z118" s="14" t="str">
        <f aca="false">IF(OR(Y118="",P118="",E118=""),"",Y118+P118*E118)</f>
        <v/>
      </c>
      <c r="AA118" s="14" t="str">
        <f aca="false">IF(C118="","",IFERROR(INDEX(Noeuds_plan!$C$4:$C$200,MATCH(C118,Noeuds_plan!$A$4:$A$200,0)),""))</f>
        <v/>
      </c>
      <c r="AB118" s="14" t="str">
        <f aca="false">IF(B118="","",IFERROR(INDEX(Noeuds_plan!$C$4:$C$200,MATCH(B118,Noeuds_plan!$A$4:$A$200,0)),""))</f>
        <v/>
      </c>
      <c r="AC118" s="14" t="str">
        <f aca="false">IF(OR(AA118="",Y118=""),"",AA118-Y118)</f>
        <v/>
      </c>
      <c r="AD118" s="14" t="str">
        <f aca="false">IF(OR(AB118="",Z118=""),"",AB118-Z118)</f>
        <v/>
      </c>
      <c r="AE118" s="19" t="str">
        <f aca="false">IF(A118="","",IF(OR(V118&gt;1,AND(AY118&lt;&gt;"",AY118&lt;Inputs!$B$11),AND(AY118&lt;&gt;"",AY118&gt;Inputs!$B$12),AC118&lt;Inputs!$B$19,AD118&lt;Inputs!$B$19,P118&lt;Inputs!$B$7,P118&gt;Inputs!$B$8),"CHECK","OK"))</f>
        <v/>
      </c>
      <c r="AF118" s="9"/>
      <c r="AG118" s="9" t="str">
        <f aca="false">IF(A118="","",(1/Inputs!$B$9)*(PI()*(Inputs!$F$5/1000)^2/4)*((Inputs!$F$5/1000/4)^(2/3))*SQRT(P118))</f>
        <v/>
      </c>
      <c r="AH118" s="9" t="str">
        <f aca="false">IF(A118="","",(1/Inputs!$B$9)*(PI()*(Inputs!$F$6/1000)^2/4)*((Inputs!$F$6/1000/4)^(2/3))*SQRT(P118))</f>
        <v/>
      </c>
      <c r="AI118" s="9" t="str">
        <f aca="false">IF(A118="","",(1/Inputs!$B$9)*(PI()*(Inputs!$F$7/1000)^2/4)*((Inputs!$F$7/1000/4)^(2/3))*SQRT(P118))</f>
        <v/>
      </c>
      <c r="AJ118" s="9" t="str">
        <f aca="false">IF(A118="","",(1/Inputs!$B$9)*(PI()*(Inputs!$F$8/1000)^2/4)*((Inputs!$F$8/1000/4)^(2/3))*SQRT(P118))</f>
        <v/>
      </c>
      <c r="AK118" s="9" t="str">
        <f aca="false">IF(A118="","",(1/Inputs!$B$9)*(PI()*(Inputs!$F$9/1000)^2/4)*((Inputs!$F$9/1000/4)^(2/3))*SQRT(P118))</f>
        <v/>
      </c>
      <c r="AL118" s="9" t="str">
        <f aca="false">IF(A118="","",(1/Inputs!$B$9)*(PI()*(Inputs!$F$10/1000)^2/4)*((Inputs!$F$10/1000/4)^(2/3))*SQRT(P118))</f>
        <v/>
      </c>
      <c r="AM118" s="9" t="str">
        <f aca="false">IF(A118="","",(1/Inputs!$B$9)*(PI()*(Inputs!$F$11/1000)^2/4)*((Inputs!$F$11/1000/4)^(2/3))*SQRT(P118))</f>
        <v/>
      </c>
      <c r="AN118" s="9" t="str">
        <f aca="false">IF(A118="","",(1/Inputs!$B$9)*(PI()*(Inputs!$F$12/1000)^2/4)*((Inputs!$F$12/1000/4)^(2/3))*SQRT(P118))</f>
        <v/>
      </c>
      <c r="AO118" s="9" t="str">
        <f aca="false">IF(A118="","",(1/Inputs!$B$9)*(PI()*(Inputs!$F$13/1000)^2/4)*((Inputs!$F$13/1000/4)^(2/3))*SQRT(P118))</f>
        <v/>
      </c>
      <c r="AP118" s="9" t="str">
        <f aca="false">IF(A118="","",(1/Inputs!$B$9)*(PI()*(Inputs!$F$14/1000)^2/4)*((Inputs!$F$14/1000/4)^(2/3))*SQRT(P118))</f>
        <v/>
      </c>
      <c r="AQ118" s="9" t="str">
        <f aca="false">IF(A118="","",COUNTIF($D$4:$D$203,$A118))</f>
        <v/>
      </c>
      <c r="AR118" s="9" t="str">
        <f aca="false">IF(A118="","",IF(AQ118=0,"START","CONTINUOUS"))</f>
        <v/>
      </c>
      <c r="AS118" s="13" t="str">
        <f aca="false">IF(A118="","",IF(J118="",Inputs!$B$18,J118))</f>
        <v/>
      </c>
      <c r="AT118" s="13" t="str">
        <f aca="false">IF(A118="","",IFERROR(maxifs($AV$4:$AV$203,$D$4:$D$203,$A118),""))</f>
        <v/>
      </c>
      <c r="AU118" s="13" t="str">
        <f aca="false">IF(A118="","",IF(OR(E118="",Inputs!$B$23=""),"",E118/(Inputs!$B$23*60)))</f>
        <v/>
      </c>
      <c r="AV118" s="13" t="str">
        <f aca="false">IF(A118="","",IF(AQ118=0,AS118+AU118,IF(AT118="",AS118+AU118,AT118+AU118)))</f>
        <v/>
      </c>
      <c r="AW118" s="13" t="str">
        <f aca="false">IF(A118="","",W118)</f>
        <v/>
      </c>
      <c r="AX118" s="13" t="str">
        <f aca="false">IF(OR(T118="",P118=""),"",(1/Inputs!$B$9)*((T118/4)^(2/3))*SQRT(P118))</f>
        <v/>
      </c>
      <c r="AY118" s="13" t="str">
        <f aca="false">IF(A118="","",IF(AND(AW118="",AX118="",BA118=""),"",IF(OR(UPPER(TRIM(Inputs!$B$24))="MANNING",UPPER(TRIM(Inputs!$B$24))="M"),AX118,IF(OR(UPPER(TRIM(Inputs!$B$24))="PARTIAL",UPPER(TRIM(Inputs!$B$24))="P"),BA118,IF(OR(UPPER(TRIM(Inputs!$B$24))="MAX",UPPER(TRIM(Inputs!$B$24))="X"),MAX(IF(AW118="",0,AW118),IF(AX118="",0,AX118),IF(BA118="",0,BA118)),AW118)))))</f>
        <v/>
      </c>
      <c r="AZ118" s="13" t="str">
        <f aca="false">IF(BB118="","",CH118)</f>
        <v/>
      </c>
      <c r="BA118" s="13" t="str">
        <f aca="false">IF(OR(BB118="",AZ118="",T118="",T118&lt;=0,AZ118&lt;=0),"",BB118/((T118^2/8)*(2*ACOS(1-2*AZ118/T118)-SIN(2*ACOS(1-2*AZ118/T118)))))</f>
        <v/>
      </c>
      <c r="BB118" s="9" t="str">
        <f aca="false">IF(OR(N118="",BC118=""),"",MIN(N118,BC118))</f>
        <v/>
      </c>
      <c r="BC118" s="9" t="str">
        <f aca="false">IF(OR(N118="",T118="",P118=""),"",IF(OR(T118="",P118="",(0.94*T118)="",T118&lt;=0,(0.94*T118)&lt;=0),"",(1/Inputs!$B$9)*((T118^2/8)*((2*ACOS(1-2*(0.94*T118)/T118))-SIN((2*ACOS(1-2*(0.94*T118)/T118)))))*((((T118^2/8)*((2*ACOS(1-2*(0.94*T118)/T118))-SIN((2*ACOS(1-2*(0.94*T118)/T118)))))/((T118/2)*((2*ACOS(1-2*(0.94*T118)/T118)))))^(2/3))*SQRT(P118)))</f>
        <v/>
      </c>
      <c r="BD118" s="9" t="str">
        <f aca="false">IF(BB118="","",0.001*T118)</f>
        <v/>
      </c>
      <c r="BE118" s="9" t="str">
        <f aca="false">IF(BB118="","",0.94*T118)</f>
        <v/>
      </c>
      <c r="BF118" s="9" t="str">
        <f aca="false">IF(BB118="","",(BD118+BE118)/2)</f>
        <v/>
      </c>
      <c r="BG118" s="9" t="str">
        <f aca="false">IF(OR(T118="",P118="",BF118="",T118&lt;=0,BF118&lt;=0),"",(1/Inputs!$B$9)*((T118^2/8)*((2*ACOS(1-2*BF118/T118))-SIN((2*ACOS(1-2*BF118/T118)))))*((((T118^2/8)*((2*ACOS(1-2*BF118/T118))-SIN((2*ACOS(1-2*BF118/T118)))))/((T118/2)*((2*ACOS(1-2*BF118/T118)))))^(2/3))*SQRT(P118))</f>
        <v/>
      </c>
      <c r="BH118" s="9" t="str">
        <f aca="false">IF(BB118="","",IF(BG118&lt;BB118,BF118,BD118))</f>
        <v/>
      </c>
      <c r="BI118" s="9" t="str">
        <f aca="false">IF(BB118="","",IF(BG118&lt;BB118,BE118,BF118))</f>
        <v/>
      </c>
      <c r="BJ118" s="9" t="str">
        <f aca="false">IF(BB118="","",(BH118+BI118)/2)</f>
        <v/>
      </c>
      <c r="BK118" s="9" t="str">
        <f aca="false">IF(OR(T118="",P118="",BJ118="",T118&lt;=0,BJ118&lt;=0),"",(1/Inputs!$B$9)*((T118^2/8)*((2*ACOS(1-2*BJ118/T118))-SIN((2*ACOS(1-2*BJ118/T118)))))*((((T118^2/8)*((2*ACOS(1-2*BJ118/T118))-SIN((2*ACOS(1-2*BJ118/T118)))))/((T118/2)*((2*ACOS(1-2*BJ118/T118)))))^(2/3))*SQRT(P118))</f>
        <v/>
      </c>
      <c r="BL118" s="9" t="str">
        <f aca="false">IF(BB118="","",IF(BK118&lt;BB118,BJ118,BH118))</f>
        <v/>
      </c>
      <c r="BM118" s="9" t="str">
        <f aca="false">IF(BB118="","",IF(BK118&lt;BB118,BI118,BJ118))</f>
        <v/>
      </c>
      <c r="BN118" s="9" t="str">
        <f aca="false">IF(BB118="","",(BL118+BM118)/2)</f>
        <v/>
      </c>
      <c r="BO118" s="9" t="str">
        <f aca="false">IF(OR(T118="",P118="",BN118="",T118&lt;=0,BN118&lt;=0),"",(1/Inputs!$B$9)*((T118^2/8)*((2*ACOS(1-2*BN118/T118))-SIN((2*ACOS(1-2*BN118/T118)))))*((((T118^2/8)*((2*ACOS(1-2*BN118/T118))-SIN((2*ACOS(1-2*BN118/T118)))))/((T118/2)*((2*ACOS(1-2*BN118/T118)))))^(2/3))*SQRT(P118))</f>
        <v/>
      </c>
      <c r="BP118" s="9" t="str">
        <f aca="false">IF(BB118="","",IF(BO118&lt;BB118,BN118,BL118))</f>
        <v/>
      </c>
      <c r="BQ118" s="9" t="str">
        <f aca="false">IF(BB118="","",IF(BO118&lt;BB118,BM118,BN118))</f>
        <v/>
      </c>
      <c r="BR118" s="9" t="str">
        <f aca="false">IF(BB118="","",(BP118+BQ118)/2)</f>
        <v/>
      </c>
      <c r="BS118" s="9" t="str">
        <f aca="false">IF(OR(T118="",P118="",BR118="",T118&lt;=0,BR118&lt;=0),"",(1/Inputs!$B$9)*((T118^2/8)*((2*ACOS(1-2*BR118/T118))-SIN((2*ACOS(1-2*BR118/T118)))))*((((T118^2/8)*((2*ACOS(1-2*BR118/T118))-SIN((2*ACOS(1-2*BR118/T118)))))/((T118/2)*((2*ACOS(1-2*BR118/T118)))))^(2/3))*SQRT(P118))</f>
        <v/>
      </c>
      <c r="BT118" s="9" t="str">
        <f aca="false">IF(BB118="","",IF(BS118&lt;BB118,BR118,BP118))</f>
        <v/>
      </c>
      <c r="BU118" s="9" t="str">
        <f aca="false">IF(BB118="","",IF(BS118&lt;BB118,BQ118,BR118))</f>
        <v/>
      </c>
      <c r="BV118" s="9" t="str">
        <f aca="false">IF(BB118="","",(BT118+BU118)/2)</f>
        <v/>
      </c>
      <c r="BW118" s="9" t="str">
        <f aca="false">IF(OR(T118="",P118="",BV118="",T118&lt;=0,BV118&lt;=0),"",(1/Inputs!$B$9)*((T118^2/8)*((2*ACOS(1-2*BV118/T118))-SIN((2*ACOS(1-2*BV118/T118)))))*((((T118^2/8)*((2*ACOS(1-2*BV118/T118))-SIN((2*ACOS(1-2*BV118/T118)))))/((T118/2)*((2*ACOS(1-2*BV118/T118)))))^(2/3))*SQRT(P118))</f>
        <v/>
      </c>
      <c r="BX118" s="9" t="str">
        <f aca="false">IF(BB118="","",IF(BW118&lt;BB118,BV118,BT118))</f>
        <v/>
      </c>
      <c r="BY118" s="9" t="str">
        <f aca="false">IF(BB118="","",IF(BW118&lt;BB118,BU118,BV118))</f>
        <v/>
      </c>
      <c r="BZ118" s="9" t="str">
        <f aca="false">IF(BB118="","",(BX118+BY118)/2)</f>
        <v/>
      </c>
      <c r="CA118" s="9" t="str">
        <f aca="false">IF(OR(T118="",P118="",BZ118="",T118&lt;=0,BZ118&lt;=0),"",(1/Inputs!$B$9)*((T118^2/8)*((2*ACOS(1-2*BZ118/T118))-SIN((2*ACOS(1-2*BZ118/T118)))))*((((T118^2/8)*((2*ACOS(1-2*BZ118/T118))-SIN((2*ACOS(1-2*BZ118/T118)))))/((T118/2)*((2*ACOS(1-2*BZ118/T118)))))^(2/3))*SQRT(P118))</f>
        <v/>
      </c>
      <c r="CB118" s="9" t="str">
        <f aca="false">IF(BB118="","",IF(CA118&lt;BB118,BZ118,BX118))</f>
        <v/>
      </c>
      <c r="CC118" s="9" t="str">
        <f aca="false">IF(BB118="","",IF(CA118&lt;BB118,BY118,BZ118))</f>
        <v/>
      </c>
      <c r="CD118" s="9" t="str">
        <f aca="false">IF(BB118="","",(CB118+CC118)/2)</f>
        <v/>
      </c>
      <c r="CE118" s="9" t="str">
        <f aca="false">IF(OR(T118="",P118="",CD118="",T118&lt;=0,CD118&lt;=0),"",(1/Inputs!$B$9)*((T118^2/8)*((2*ACOS(1-2*CD118/T118))-SIN((2*ACOS(1-2*CD118/T118)))))*((((T118^2/8)*((2*ACOS(1-2*CD118/T118))-SIN((2*ACOS(1-2*CD118/T118)))))/((T118/2)*((2*ACOS(1-2*CD118/T118)))))^(2/3))*SQRT(P118))</f>
        <v/>
      </c>
      <c r="CF118" s="9" t="str">
        <f aca="false">IF(BB118="","",IF(CE118&lt;BB118,CD118,CB118))</f>
        <v/>
      </c>
      <c r="CG118" s="9" t="str">
        <f aca="false">IF(BB118="","",IF(CE118&lt;BB118,CC118,CD118))</f>
        <v/>
      </c>
      <c r="CH118" s="9" t="str">
        <f aca="false">IF(BB118="","",(CF118+CG118)/2)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14"/>
      <c r="F119" s="14"/>
      <c r="G119" s="14" t="n">
        <f aca="false">SUMIFS(CB_plan!$C:$C,CB_plan!$B:$B,$A119)</f>
        <v>0</v>
      </c>
      <c r="H119" s="14" t="n">
        <f aca="false">IF(F119="",G119,F119)</f>
        <v>0</v>
      </c>
      <c r="I119" s="9"/>
      <c r="J119" s="14"/>
      <c r="K119" s="14" t="str">
        <f aca="false">IF(A119="","",Inputs!$B$13/((IF(AV119="",Inputs!$B$18,AV119)+Inputs!$B$14)^Inputs!$B$15))</f>
        <v/>
      </c>
      <c r="L119" s="14" t="str">
        <f aca="false">IF(A119="","",0.000000278*IF(I119="",Inputs!$B$17,I119)*H119*K119)</f>
        <v/>
      </c>
      <c r="M119" s="14" t="str">
        <f aca="false">IF(A119="","",SUMIFS($N$4:$N$203,$D$4:$D$203,$A119))</f>
        <v/>
      </c>
      <c r="N119" s="14" t="str">
        <f aca="false">IF(A119="","",(L119+M119)*Inputs!$B$16)</f>
        <v/>
      </c>
      <c r="O119" s="14"/>
      <c r="P119" s="14" t="str">
        <f aca="false">IF(A119="","",IF(O119="",Inputs!$B$7,O119))</f>
        <v/>
      </c>
      <c r="Q119" s="9" t="str">
        <f aca="false">IF(A119="","",IF(N119/Inputs!$B$10&lt;=AG119,Inputs!$F$5,IF(N119/Inputs!$B$10&gt;AP119,"OVERSIZE",INDEX(Inputs!$F$5:$F$14,MATCH(N119/Inputs!$B$10,AG119:AP119,1)+1))))</f>
        <v/>
      </c>
      <c r="R119" s="9"/>
      <c r="S119" s="9" t="str">
        <f aca="false">IF(A119="","",IF(R119="",Q119,R119))</f>
        <v/>
      </c>
      <c r="T119" s="14" t="str">
        <f aca="false">IF(OR(S119="",S119="OVERSIZE"),"",S119/1000)</f>
        <v/>
      </c>
      <c r="U119" s="14" t="str">
        <f aca="false">IF(T119="","",(1/Inputs!$B$9)*(PI()*T119^2/4)*((T119/4)^(2/3))*SQRT(P119))</f>
        <v/>
      </c>
      <c r="V119" s="14" t="str">
        <f aca="false">IF(OR(U119="",N119=""),"",N119/(U119*Inputs!$B$10))</f>
        <v/>
      </c>
      <c r="W119" s="14" t="str">
        <f aca="false">IF(OR(T119="",N119=""),"",4*N119/(PI()*T119^2))</f>
        <v/>
      </c>
      <c r="X119" s="14"/>
      <c r="Y119" s="14" t="str">
        <f aca="false">IF(A119="","",IF(A119=Inputs!$B$6,Inputs!$B$22,IF(D119="","",IFERROR(INDEX($Z$4:$Z$203,MATCH(D119,$A$4:$A$203,0))+IF(X119="",Inputs!$B$20,X119),""))))</f>
        <v/>
      </c>
      <c r="Z119" s="14" t="str">
        <f aca="false">IF(OR(Y119="",P119="",E119=""),"",Y119+P119*E119)</f>
        <v/>
      </c>
      <c r="AA119" s="14" t="str">
        <f aca="false">IF(C119="","",IFERROR(INDEX(Noeuds_plan!$C$4:$C$200,MATCH(C119,Noeuds_plan!$A$4:$A$200,0)),""))</f>
        <v/>
      </c>
      <c r="AB119" s="14" t="str">
        <f aca="false">IF(B119="","",IFERROR(INDEX(Noeuds_plan!$C$4:$C$200,MATCH(B119,Noeuds_plan!$A$4:$A$200,0)),""))</f>
        <v/>
      </c>
      <c r="AC119" s="14" t="str">
        <f aca="false">IF(OR(AA119="",Y119=""),"",AA119-Y119)</f>
        <v/>
      </c>
      <c r="AD119" s="14" t="str">
        <f aca="false">IF(OR(AB119="",Z119=""),"",AB119-Z119)</f>
        <v/>
      </c>
      <c r="AE119" s="19" t="str">
        <f aca="false">IF(A119="","",IF(OR(V119&gt;1,AND(AY119&lt;&gt;"",AY119&lt;Inputs!$B$11),AND(AY119&lt;&gt;"",AY119&gt;Inputs!$B$12),AC119&lt;Inputs!$B$19,AD119&lt;Inputs!$B$19,P119&lt;Inputs!$B$7,P119&gt;Inputs!$B$8),"CHECK","OK"))</f>
        <v/>
      </c>
      <c r="AF119" s="9"/>
      <c r="AG119" s="9" t="str">
        <f aca="false">IF(A119="","",(1/Inputs!$B$9)*(PI()*(Inputs!$F$5/1000)^2/4)*((Inputs!$F$5/1000/4)^(2/3))*SQRT(P119))</f>
        <v/>
      </c>
      <c r="AH119" s="9" t="str">
        <f aca="false">IF(A119="","",(1/Inputs!$B$9)*(PI()*(Inputs!$F$6/1000)^2/4)*((Inputs!$F$6/1000/4)^(2/3))*SQRT(P119))</f>
        <v/>
      </c>
      <c r="AI119" s="9" t="str">
        <f aca="false">IF(A119="","",(1/Inputs!$B$9)*(PI()*(Inputs!$F$7/1000)^2/4)*((Inputs!$F$7/1000/4)^(2/3))*SQRT(P119))</f>
        <v/>
      </c>
      <c r="AJ119" s="9" t="str">
        <f aca="false">IF(A119="","",(1/Inputs!$B$9)*(PI()*(Inputs!$F$8/1000)^2/4)*((Inputs!$F$8/1000/4)^(2/3))*SQRT(P119))</f>
        <v/>
      </c>
      <c r="AK119" s="9" t="str">
        <f aca="false">IF(A119="","",(1/Inputs!$B$9)*(PI()*(Inputs!$F$9/1000)^2/4)*((Inputs!$F$9/1000/4)^(2/3))*SQRT(P119))</f>
        <v/>
      </c>
      <c r="AL119" s="9" t="str">
        <f aca="false">IF(A119="","",(1/Inputs!$B$9)*(PI()*(Inputs!$F$10/1000)^2/4)*((Inputs!$F$10/1000/4)^(2/3))*SQRT(P119))</f>
        <v/>
      </c>
      <c r="AM119" s="9" t="str">
        <f aca="false">IF(A119="","",(1/Inputs!$B$9)*(PI()*(Inputs!$F$11/1000)^2/4)*((Inputs!$F$11/1000/4)^(2/3))*SQRT(P119))</f>
        <v/>
      </c>
      <c r="AN119" s="9" t="str">
        <f aca="false">IF(A119="","",(1/Inputs!$B$9)*(PI()*(Inputs!$F$12/1000)^2/4)*((Inputs!$F$12/1000/4)^(2/3))*SQRT(P119))</f>
        <v/>
      </c>
      <c r="AO119" s="9" t="str">
        <f aca="false">IF(A119="","",(1/Inputs!$B$9)*(PI()*(Inputs!$F$13/1000)^2/4)*((Inputs!$F$13/1000/4)^(2/3))*SQRT(P119))</f>
        <v/>
      </c>
      <c r="AP119" s="9" t="str">
        <f aca="false">IF(A119="","",(1/Inputs!$B$9)*(PI()*(Inputs!$F$14/1000)^2/4)*((Inputs!$F$14/1000/4)^(2/3))*SQRT(P119))</f>
        <v/>
      </c>
      <c r="AQ119" s="9" t="str">
        <f aca="false">IF(A119="","",COUNTIF($D$4:$D$203,$A119))</f>
        <v/>
      </c>
      <c r="AR119" s="9" t="str">
        <f aca="false">IF(A119="","",IF(AQ119=0,"START","CONTINUOUS"))</f>
        <v/>
      </c>
      <c r="AS119" s="13" t="str">
        <f aca="false">IF(A119="","",IF(J119="",Inputs!$B$18,J119))</f>
        <v/>
      </c>
      <c r="AT119" s="13" t="str">
        <f aca="false">IF(A119="","",IFERROR(maxifs($AV$4:$AV$203,$D$4:$D$203,$A119),""))</f>
        <v/>
      </c>
      <c r="AU119" s="13" t="str">
        <f aca="false">IF(A119="","",IF(OR(E119="",Inputs!$B$23=""),"",E119/(Inputs!$B$23*60)))</f>
        <v/>
      </c>
      <c r="AV119" s="13" t="str">
        <f aca="false">IF(A119="","",IF(AQ119=0,AS119+AU119,IF(AT119="",AS119+AU119,AT119+AU119)))</f>
        <v/>
      </c>
      <c r="AW119" s="13" t="str">
        <f aca="false">IF(A119="","",W119)</f>
        <v/>
      </c>
      <c r="AX119" s="13" t="str">
        <f aca="false">IF(OR(T119="",P119=""),"",(1/Inputs!$B$9)*((T119/4)^(2/3))*SQRT(P119))</f>
        <v/>
      </c>
      <c r="AY119" s="13" t="str">
        <f aca="false">IF(A119="","",IF(AND(AW119="",AX119="",BA119=""),"",IF(OR(UPPER(TRIM(Inputs!$B$24))="MANNING",UPPER(TRIM(Inputs!$B$24))="M"),AX119,IF(OR(UPPER(TRIM(Inputs!$B$24))="PARTIAL",UPPER(TRIM(Inputs!$B$24))="P"),BA119,IF(OR(UPPER(TRIM(Inputs!$B$24))="MAX",UPPER(TRIM(Inputs!$B$24))="X"),MAX(IF(AW119="",0,AW119),IF(AX119="",0,AX119),IF(BA119="",0,BA119)),AW119)))))</f>
        <v/>
      </c>
      <c r="AZ119" s="13" t="str">
        <f aca="false">IF(BB119="","",CH119)</f>
        <v/>
      </c>
      <c r="BA119" s="13" t="str">
        <f aca="false">IF(OR(BB119="",AZ119="",T119="",T119&lt;=0,AZ119&lt;=0),"",BB119/((T119^2/8)*(2*ACOS(1-2*AZ119/T119)-SIN(2*ACOS(1-2*AZ119/T119)))))</f>
        <v/>
      </c>
      <c r="BB119" s="9" t="str">
        <f aca="false">IF(OR(N119="",BC119=""),"",MIN(N119,BC119))</f>
        <v/>
      </c>
      <c r="BC119" s="9" t="str">
        <f aca="false">IF(OR(N119="",T119="",P119=""),"",IF(OR(T119="",P119="",(0.94*T119)="",T119&lt;=0,(0.94*T119)&lt;=0),"",(1/Inputs!$B$9)*((T119^2/8)*((2*ACOS(1-2*(0.94*T119)/T119))-SIN((2*ACOS(1-2*(0.94*T119)/T119)))))*((((T119^2/8)*((2*ACOS(1-2*(0.94*T119)/T119))-SIN((2*ACOS(1-2*(0.94*T119)/T119)))))/((T119/2)*((2*ACOS(1-2*(0.94*T119)/T119)))))^(2/3))*SQRT(P119)))</f>
        <v/>
      </c>
      <c r="BD119" s="9" t="str">
        <f aca="false">IF(BB119="","",0.001*T119)</f>
        <v/>
      </c>
      <c r="BE119" s="9" t="str">
        <f aca="false">IF(BB119="","",0.94*T119)</f>
        <v/>
      </c>
      <c r="BF119" s="9" t="str">
        <f aca="false">IF(BB119="","",(BD119+BE119)/2)</f>
        <v/>
      </c>
      <c r="BG119" s="9" t="str">
        <f aca="false">IF(OR(T119="",P119="",BF119="",T119&lt;=0,BF119&lt;=0),"",(1/Inputs!$B$9)*((T119^2/8)*((2*ACOS(1-2*BF119/T119))-SIN((2*ACOS(1-2*BF119/T119)))))*((((T119^2/8)*((2*ACOS(1-2*BF119/T119))-SIN((2*ACOS(1-2*BF119/T119)))))/((T119/2)*((2*ACOS(1-2*BF119/T119)))))^(2/3))*SQRT(P119))</f>
        <v/>
      </c>
      <c r="BH119" s="9" t="str">
        <f aca="false">IF(BB119="","",IF(BG119&lt;BB119,BF119,BD119))</f>
        <v/>
      </c>
      <c r="BI119" s="9" t="str">
        <f aca="false">IF(BB119="","",IF(BG119&lt;BB119,BE119,BF119))</f>
        <v/>
      </c>
      <c r="BJ119" s="9" t="str">
        <f aca="false">IF(BB119="","",(BH119+BI119)/2)</f>
        <v/>
      </c>
      <c r="BK119" s="9" t="str">
        <f aca="false">IF(OR(T119="",P119="",BJ119="",T119&lt;=0,BJ119&lt;=0),"",(1/Inputs!$B$9)*((T119^2/8)*((2*ACOS(1-2*BJ119/T119))-SIN((2*ACOS(1-2*BJ119/T119)))))*((((T119^2/8)*((2*ACOS(1-2*BJ119/T119))-SIN((2*ACOS(1-2*BJ119/T119)))))/((T119/2)*((2*ACOS(1-2*BJ119/T119)))))^(2/3))*SQRT(P119))</f>
        <v/>
      </c>
      <c r="BL119" s="9" t="str">
        <f aca="false">IF(BB119="","",IF(BK119&lt;BB119,BJ119,BH119))</f>
        <v/>
      </c>
      <c r="BM119" s="9" t="str">
        <f aca="false">IF(BB119="","",IF(BK119&lt;BB119,BI119,BJ119))</f>
        <v/>
      </c>
      <c r="BN119" s="9" t="str">
        <f aca="false">IF(BB119="","",(BL119+BM119)/2)</f>
        <v/>
      </c>
      <c r="BO119" s="9" t="str">
        <f aca="false">IF(OR(T119="",P119="",BN119="",T119&lt;=0,BN119&lt;=0),"",(1/Inputs!$B$9)*((T119^2/8)*((2*ACOS(1-2*BN119/T119))-SIN((2*ACOS(1-2*BN119/T119)))))*((((T119^2/8)*((2*ACOS(1-2*BN119/T119))-SIN((2*ACOS(1-2*BN119/T119)))))/((T119/2)*((2*ACOS(1-2*BN119/T119)))))^(2/3))*SQRT(P119))</f>
        <v/>
      </c>
      <c r="BP119" s="9" t="str">
        <f aca="false">IF(BB119="","",IF(BO119&lt;BB119,BN119,BL119))</f>
        <v/>
      </c>
      <c r="BQ119" s="9" t="str">
        <f aca="false">IF(BB119="","",IF(BO119&lt;BB119,BM119,BN119))</f>
        <v/>
      </c>
      <c r="BR119" s="9" t="str">
        <f aca="false">IF(BB119="","",(BP119+BQ119)/2)</f>
        <v/>
      </c>
      <c r="BS119" s="9" t="str">
        <f aca="false">IF(OR(T119="",P119="",BR119="",T119&lt;=0,BR119&lt;=0),"",(1/Inputs!$B$9)*((T119^2/8)*((2*ACOS(1-2*BR119/T119))-SIN((2*ACOS(1-2*BR119/T119)))))*((((T119^2/8)*((2*ACOS(1-2*BR119/T119))-SIN((2*ACOS(1-2*BR119/T119)))))/((T119/2)*((2*ACOS(1-2*BR119/T119)))))^(2/3))*SQRT(P119))</f>
        <v/>
      </c>
      <c r="BT119" s="9" t="str">
        <f aca="false">IF(BB119="","",IF(BS119&lt;BB119,BR119,BP119))</f>
        <v/>
      </c>
      <c r="BU119" s="9" t="str">
        <f aca="false">IF(BB119="","",IF(BS119&lt;BB119,BQ119,BR119))</f>
        <v/>
      </c>
      <c r="BV119" s="9" t="str">
        <f aca="false">IF(BB119="","",(BT119+BU119)/2)</f>
        <v/>
      </c>
      <c r="BW119" s="9" t="str">
        <f aca="false">IF(OR(T119="",P119="",BV119="",T119&lt;=0,BV119&lt;=0),"",(1/Inputs!$B$9)*((T119^2/8)*((2*ACOS(1-2*BV119/T119))-SIN((2*ACOS(1-2*BV119/T119)))))*((((T119^2/8)*((2*ACOS(1-2*BV119/T119))-SIN((2*ACOS(1-2*BV119/T119)))))/((T119/2)*((2*ACOS(1-2*BV119/T119)))))^(2/3))*SQRT(P119))</f>
        <v/>
      </c>
      <c r="BX119" s="9" t="str">
        <f aca="false">IF(BB119="","",IF(BW119&lt;BB119,BV119,BT119))</f>
        <v/>
      </c>
      <c r="BY119" s="9" t="str">
        <f aca="false">IF(BB119="","",IF(BW119&lt;BB119,BU119,BV119))</f>
        <v/>
      </c>
      <c r="BZ119" s="9" t="str">
        <f aca="false">IF(BB119="","",(BX119+BY119)/2)</f>
        <v/>
      </c>
      <c r="CA119" s="9" t="str">
        <f aca="false">IF(OR(T119="",P119="",BZ119="",T119&lt;=0,BZ119&lt;=0),"",(1/Inputs!$B$9)*((T119^2/8)*((2*ACOS(1-2*BZ119/T119))-SIN((2*ACOS(1-2*BZ119/T119)))))*((((T119^2/8)*((2*ACOS(1-2*BZ119/T119))-SIN((2*ACOS(1-2*BZ119/T119)))))/((T119/2)*((2*ACOS(1-2*BZ119/T119)))))^(2/3))*SQRT(P119))</f>
        <v/>
      </c>
      <c r="CB119" s="9" t="str">
        <f aca="false">IF(BB119="","",IF(CA119&lt;BB119,BZ119,BX119))</f>
        <v/>
      </c>
      <c r="CC119" s="9" t="str">
        <f aca="false">IF(BB119="","",IF(CA119&lt;BB119,BY119,BZ119))</f>
        <v/>
      </c>
      <c r="CD119" s="9" t="str">
        <f aca="false">IF(BB119="","",(CB119+CC119)/2)</f>
        <v/>
      </c>
      <c r="CE119" s="9" t="str">
        <f aca="false">IF(OR(T119="",P119="",CD119="",T119&lt;=0,CD119&lt;=0),"",(1/Inputs!$B$9)*((T119^2/8)*((2*ACOS(1-2*CD119/T119))-SIN((2*ACOS(1-2*CD119/T119)))))*((((T119^2/8)*((2*ACOS(1-2*CD119/T119))-SIN((2*ACOS(1-2*CD119/T119)))))/((T119/2)*((2*ACOS(1-2*CD119/T119)))))^(2/3))*SQRT(P119))</f>
        <v/>
      </c>
      <c r="CF119" s="9" t="str">
        <f aca="false">IF(BB119="","",IF(CE119&lt;BB119,CD119,CB119))</f>
        <v/>
      </c>
      <c r="CG119" s="9" t="str">
        <f aca="false">IF(BB119="","",IF(CE119&lt;BB119,CC119,CD119))</f>
        <v/>
      </c>
      <c r="CH119" s="9" t="str">
        <f aca="false">IF(BB119="","",(CF119+CG119)/2)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14"/>
      <c r="F120" s="14"/>
      <c r="G120" s="14" t="n">
        <f aca="false">SUMIFS(CB_plan!$C:$C,CB_plan!$B:$B,$A120)</f>
        <v>0</v>
      </c>
      <c r="H120" s="14" t="n">
        <f aca="false">IF(F120="",G120,F120)</f>
        <v>0</v>
      </c>
      <c r="I120" s="9"/>
      <c r="J120" s="14"/>
      <c r="K120" s="14" t="str">
        <f aca="false">IF(A120="","",Inputs!$B$13/((IF(AV120="",Inputs!$B$18,AV120)+Inputs!$B$14)^Inputs!$B$15))</f>
        <v/>
      </c>
      <c r="L120" s="14" t="str">
        <f aca="false">IF(A120="","",0.000000278*IF(I120="",Inputs!$B$17,I120)*H120*K120)</f>
        <v/>
      </c>
      <c r="M120" s="14" t="str">
        <f aca="false">IF(A120="","",SUMIFS($N$4:$N$203,$D$4:$D$203,$A120))</f>
        <v/>
      </c>
      <c r="N120" s="14" t="str">
        <f aca="false">IF(A120="","",(L120+M120)*Inputs!$B$16)</f>
        <v/>
      </c>
      <c r="O120" s="14"/>
      <c r="P120" s="14" t="str">
        <f aca="false">IF(A120="","",IF(O120="",Inputs!$B$7,O120))</f>
        <v/>
      </c>
      <c r="Q120" s="9" t="str">
        <f aca="false">IF(A120="","",IF(N120/Inputs!$B$10&lt;=AG120,Inputs!$F$5,IF(N120/Inputs!$B$10&gt;AP120,"OVERSIZE",INDEX(Inputs!$F$5:$F$14,MATCH(N120/Inputs!$B$10,AG120:AP120,1)+1))))</f>
        <v/>
      </c>
      <c r="R120" s="9"/>
      <c r="S120" s="9" t="str">
        <f aca="false">IF(A120="","",IF(R120="",Q120,R120))</f>
        <v/>
      </c>
      <c r="T120" s="14" t="str">
        <f aca="false">IF(OR(S120="",S120="OVERSIZE"),"",S120/1000)</f>
        <v/>
      </c>
      <c r="U120" s="14" t="str">
        <f aca="false">IF(T120="","",(1/Inputs!$B$9)*(PI()*T120^2/4)*((T120/4)^(2/3))*SQRT(P120))</f>
        <v/>
      </c>
      <c r="V120" s="14" t="str">
        <f aca="false">IF(OR(U120="",N120=""),"",N120/(U120*Inputs!$B$10))</f>
        <v/>
      </c>
      <c r="W120" s="14" t="str">
        <f aca="false">IF(OR(T120="",N120=""),"",4*N120/(PI()*T120^2))</f>
        <v/>
      </c>
      <c r="X120" s="14"/>
      <c r="Y120" s="14" t="str">
        <f aca="false">IF(A120="","",IF(A120=Inputs!$B$6,Inputs!$B$22,IF(D120="","",IFERROR(INDEX($Z$4:$Z$203,MATCH(D120,$A$4:$A$203,0))+IF(X120="",Inputs!$B$20,X120),""))))</f>
        <v/>
      </c>
      <c r="Z120" s="14" t="str">
        <f aca="false">IF(OR(Y120="",P120="",E120=""),"",Y120+P120*E120)</f>
        <v/>
      </c>
      <c r="AA120" s="14" t="str">
        <f aca="false">IF(C120="","",IFERROR(INDEX(Noeuds_plan!$C$4:$C$200,MATCH(C120,Noeuds_plan!$A$4:$A$200,0)),""))</f>
        <v/>
      </c>
      <c r="AB120" s="14" t="str">
        <f aca="false">IF(B120="","",IFERROR(INDEX(Noeuds_plan!$C$4:$C$200,MATCH(B120,Noeuds_plan!$A$4:$A$200,0)),""))</f>
        <v/>
      </c>
      <c r="AC120" s="14" t="str">
        <f aca="false">IF(OR(AA120="",Y120=""),"",AA120-Y120)</f>
        <v/>
      </c>
      <c r="AD120" s="14" t="str">
        <f aca="false">IF(OR(AB120="",Z120=""),"",AB120-Z120)</f>
        <v/>
      </c>
      <c r="AE120" s="19" t="str">
        <f aca="false">IF(A120="","",IF(OR(V120&gt;1,AND(AY120&lt;&gt;"",AY120&lt;Inputs!$B$11),AND(AY120&lt;&gt;"",AY120&gt;Inputs!$B$12),AC120&lt;Inputs!$B$19,AD120&lt;Inputs!$B$19,P120&lt;Inputs!$B$7,P120&gt;Inputs!$B$8),"CHECK","OK"))</f>
        <v/>
      </c>
      <c r="AF120" s="9"/>
      <c r="AG120" s="9" t="str">
        <f aca="false">IF(A120="","",(1/Inputs!$B$9)*(PI()*(Inputs!$F$5/1000)^2/4)*((Inputs!$F$5/1000/4)^(2/3))*SQRT(P120))</f>
        <v/>
      </c>
      <c r="AH120" s="9" t="str">
        <f aca="false">IF(A120="","",(1/Inputs!$B$9)*(PI()*(Inputs!$F$6/1000)^2/4)*((Inputs!$F$6/1000/4)^(2/3))*SQRT(P120))</f>
        <v/>
      </c>
      <c r="AI120" s="9" t="str">
        <f aca="false">IF(A120="","",(1/Inputs!$B$9)*(PI()*(Inputs!$F$7/1000)^2/4)*((Inputs!$F$7/1000/4)^(2/3))*SQRT(P120))</f>
        <v/>
      </c>
      <c r="AJ120" s="9" t="str">
        <f aca="false">IF(A120="","",(1/Inputs!$B$9)*(PI()*(Inputs!$F$8/1000)^2/4)*((Inputs!$F$8/1000/4)^(2/3))*SQRT(P120))</f>
        <v/>
      </c>
      <c r="AK120" s="9" t="str">
        <f aca="false">IF(A120="","",(1/Inputs!$B$9)*(PI()*(Inputs!$F$9/1000)^2/4)*((Inputs!$F$9/1000/4)^(2/3))*SQRT(P120))</f>
        <v/>
      </c>
      <c r="AL120" s="9" t="str">
        <f aca="false">IF(A120="","",(1/Inputs!$B$9)*(PI()*(Inputs!$F$10/1000)^2/4)*((Inputs!$F$10/1000/4)^(2/3))*SQRT(P120))</f>
        <v/>
      </c>
      <c r="AM120" s="9" t="str">
        <f aca="false">IF(A120="","",(1/Inputs!$B$9)*(PI()*(Inputs!$F$11/1000)^2/4)*((Inputs!$F$11/1000/4)^(2/3))*SQRT(P120))</f>
        <v/>
      </c>
      <c r="AN120" s="9" t="str">
        <f aca="false">IF(A120="","",(1/Inputs!$B$9)*(PI()*(Inputs!$F$12/1000)^2/4)*((Inputs!$F$12/1000/4)^(2/3))*SQRT(P120))</f>
        <v/>
      </c>
      <c r="AO120" s="9" t="str">
        <f aca="false">IF(A120="","",(1/Inputs!$B$9)*(PI()*(Inputs!$F$13/1000)^2/4)*((Inputs!$F$13/1000/4)^(2/3))*SQRT(P120))</f>
        <v/>
      </c>
      <c r="AP120" s="9" t="str">
        <f aca="false">IF(A120="","",(1/Inputs!$B$9)*(PI()*(Inputs!$F$14/1000)^2/4)*((Inputs!$F$14/1000/4)^(2/3))*SQRT(P120))</f>
        <v/>
      </c>
      <c r="AQ120" s="9" t="str">
        <f aca="false">IF(A120="","",COUNTIF($D$4:$D$203,$A120))</f>
        <v/>
      </c>
      <c r="AR120" s="9" t="str">
        <f aca="false">IF(A120="","",IF(AQ120=0,"START","CONTINUOUS"))</f>
        <v/>
      </c>
      <c r="AS120" s="13" t="str">
        <f aca="false">IF(A120="","",IF(J120="",Inputs!$B$18,J120))</f>
        <v/>
      </c>
      <c r="AT120" s="13" t="str">
        <f aca="false">IF(A120="","",IFERROR(maxifs($AV$4:$AV$203,$D$4:$D$203,$A120),""))</f>
        <v/>
      </c>
      <c r="AU120" s="13" t="str">
        <f aca="false">IF(A120="","",IF(OR(E120="",Inputs!$B$23=""),"",E120/(Inputs!$B$23*60)))</f>
        <v/>
      </c>
      <c r="AV120" s="13" t="str">
        <f aca="false">IF(A120="","",IF(AQ120=0,AS120+AU120,IF(AT120="",AS120+AU120,AT120+AU120)))</f>
        <v/>
      </c>
      <c r="AW120" s="13" t="str">
        <f aca="false">IF(A120="","",W120)</f>
        <v/>
      </c>
      <c r="AX120" s="13" t="str">
        <f aca="false">IF(OR(T120="",P120=""),"",(1/Inputs!$B$9)*((T120/4)^(2/3))*SQRT(P120))</f>
        <v/>
      </c>
      <c r="AY120" s="13" t="str">
        <f aca="false">IF(A120="","",IF(AND(AW120="",AX120="",BA120=""),"",IF(OR(UPPER(TRIM(Inputs!$B$24))="MANNING",UPPER(TRIM(Inputs!$B$24))="M"),AX120,IF(OR(UPPER(TRIM(Inputs!$B$24))="PARTIAL",UPPER(TRIM(Inputs!$B$24))="P"),BA120,IF(OR(UPPER(TRIM(Inputs!$B$24))="MAX",UPPER(TRIM(Inputs!$B$24))="X"),MAX(IF(AW120="",0,AW120),IF(AX120="",0,AX120),IF(BA120="",0,BA120)),AW120)))))</f>
        <v/>
      </c>
      <c r="AZ120" s="13" t="str">
        <f aca="false">IF(BB120="","",CH120)</f>
        <v/>
      </c>
      <c r="BA120" s="13" t="str">
        <f aca="false">IF(OR(BB120="",AZ120="",T120="",T120&lt;=0,AZ120&lt;=0),"",BB120/((T120^2/8)*(2*ACOS(1-2*AZ120/T120)-SIN(2*ACOS(1-2*AZ120/T120)))))</f>
        <v/>
      </c>
      <c r="BB120" s="9" t="str">
        <f aca="false">IF(OR(N120="",BC120=""),"",MIN(N120,BC120))</f>
        <v/>
      </c>
      <c r="BC120" s="9" t="str">
        <f aca="false">IF(OR(N120="",T120="",P120=""),"",IF(OR(T120="",P120="",(0.94*T120)="",T120&lt;=0,(0.94*T120)&lt;=0),"",(1/Inputs!$B$9)*((T120^2/8)*((2*ACOS(1-2*(0.94*T120)/T120))-SIN((2*ACOS(1-2*(0.94*T120)/T120)))))*((((T120^2/8)*((2*ACOS(1-2*(0.94*T120)/T120))-SIN((2*ACOS(1-2*(0.94*T120)/T120)))))/((T120/2)*((2*ACOS(1-2*(0.94*T120)/T120)))))^(2/3))*SQRT(P120)))</f>
        <v/>
      </c>
      <c r="BD120" s="9" t="str">
        <f aca="false">IF(BB120="","",0.001*T120)</f>
        <v/>
      </c>
      <c r="BE120" s="9" t="str">
        <f aca="false">IF(BB120="","",0.94*T120)</f>
        <v/>
      </c>
      <c r="BF120" s="9" t="str">
        <f aca="false">IF(BB120="","",(BD120+BE120)/2)</f>
        <v/>
      </c>
      <c r="BG120" s="9" t="str">
        <f aca="false">IF(OR(T120="",P120="",BF120="",T120&lt;=0,BF120&lt;=0),"",(1/Inputs!$B$9)*((T120^2/8)*((2*ACOS(1-2*BF120/T120))-SIN((2*ACOS(1-2*BF120/T120)))))*((((T120^2/8)*((2*ACOS(1-2*BF120/T120))-SIN((2*ACOS(1-2*BF120/T120)))))/((T120/2)*((2*ACOS(1-2*BF120/T120)))))^(2/3))*SQRT(P120))</f>
        <v/>
      </c>
      <c r="BH120" s="9" t="str">
        <f aca="false">IF(BB120="","",IF(BG120&lt;BB120,BF120,BD120))</f>
        <v/>
      </c>
      <c r="BI120" s="9" t="str">
        <f aca="false">IF(BB120="","",IF(BG120&lt;BB120,BE120,BF120))</f>
        <v/>
      </c>
      <c r="BJ120" s="9" t="str">
        <f aca="false">IF(BB120="","",(BH120+BI120)/2)</f>
        <v/>
      </c>
      <c r="BK120" s="9" t="str">
        <f aca="false">IF(OR(T120="",P120="",BJ120="",T120&lt;=0,BJ120&lt;=0),"",(1/Inputs!$B$9)*((T120^2/8)*((2*ACOS(1-2*BJ120/T120))-SIN((2*ACOS(1-2*BJ120/T120)))))*((((T120^2/8)*((2*ACOS(1-2*BJ120/T120))-SIN((2*ACOS(1-2*BJ120/T120)))))/((T120/2)*((2*ACOS(1-2*BJ120/T120)))))^(2/3))*SQRT(P120))</f>
        <v/>
      </c>
      <c r="BL120" s="9" t="str">
        <f aca="false">IF(BB120="","",IF(BK120&lt;BB120,BJ120,BH120))</f>
        <v/>
      </c>
      <c r="BM120" s="9" t="str">
        <f aca="false">IF(BB120="","",IF(BK120&lt;BB120,BI120,BJ120))</f>
        <v/>
      </c>
      <c r="BN120" s="9" t="str">
        <f aca="false">IF(BB120="","",(BL120+BM120)/2)</f>
        <v/>
      </c>
      <c r="BO120" s="9" t="str">
        <f aca="false">IF(OR(T120="",P120="",BN120="",T120&lt;=0,BN120&lt;=0),"",(1/Inputs!$B$9)*((T120^2/8)*((2*ACOS(1-2*BN120/T120))-SIN((2*ACOS(1-2*BN120/T120)))))*((((T120^2/8)*((2*ACOS(1-2*BN120/T120))-SIN((2*ACOS(1-2*BN120/T120)))))/((T120/2)*((2*ACOS(1-2*BN120/T120)))))^(2/3))*SQRT(P120))</f>
        <v/>
      </c>
      <c r="BP120" s="9" t="str">
        <f aca="false">IF(BB120="","",IF(BO120&lt;BB120,BN120,BL120))</f>
        <v/>
      </c>
      <c r="BQ120" s="9" t="str">
        <f aca="false">IF(BB120="","",IF(BO120&lt;BB120,BM120,BN120))</f>
        <v/>
      </c>
      <c r="BR120" s="9" t="str">
        <f aca="false">IF(BB120="","",(BP120+BQ120)/2)</f>
        <v/>
      </c>
      <c r="BS120" s="9" t="str">
        <f aca="false">IF(OR(T120="",P120="",BR120="",T120&lt;=0,BR120&lt;=0),"",(1/Inputs!$B$9)*((T120^2/8)*((2*ACOS(1-2*BR120/T120))-SIN((2*ACOS(1-2*BR120/T120)))))*((((T120^2/8)*((2*ACOS(1-2*BR120/T120))-SIN((2*ACOS(1-2*BR120/T120)))))/((T120/2)*((2*ACOS(1-2*BR120/T120)))))^(2/3))*SQRT(P120))</f>
        <v/>
      </c>
      <c r="BT120" s="9" t="str">
        <f aca="false">IF(BB120="","",IF(BS120&lt;BB120,BR120,BP120))</f>
        <v/>
      </c>
      <c r="BU120" s="9" t="str">
        <f aca="false">IF(BB120="","",IF(BS120&lt;BB120,BQ120,BR120))</f>
        <v/>
      </c>
      <c r="BV120" s="9" t="str">
        <f aca="false">IF(BB120="","",(BT120+BU120)/2)</f>
        <v/>
      </c>
      <c r="BW120" s="9" t="str">
        <f aca="false">IF(OR(T120="",P120="",BV120="",T120&lt;=0,BV120&lt;=0),"",(1/Inputs!$B$9)*((T120^2/8)*((2*ACOS(1-2*BV120/T120))-SIN((2*ACOS(1-2*BV120/T120)))))*((((T120^2/8)*((2*ACOS(1-2*BV120/T120))-SIN((2*ACOS(1-2*BV120/T120)))))/((T120/2)*((2*ACOS(1-2*BV120/T120)))))^(2/3))*SQRT(P120))</f>
        <v/>
      </c>
      <c r="BX120" s="9" t="str">
        <f aca="false">IF(BB120="","",IF(BW120&lt;BB120,BV120,BT120))</f>
        <v/>
      </c>
      <c r="BY120" s="9" t="str">
        <f aca="false">IF(BB120="","",IF(BW120&lt;BB120,BU120,BV120))</f>
        <v/>
      </c>
      <c r="BZ120" s="9" t="str">
        <f aca="false">IF(BB120="","",(BX120+BY120)/2)</f>
        <v/>
      </c>
      <c r="CA120" s="9" t="str">
        <f aca="false">IF(OR(T120="",P120="",BZ120="",T120&lt;=0,BZ120&lt;=0),"",(1/Inputs!$B$9)*((T120^2/8)*((2*ACOS(1-2*BZ120/T120))-SIN((2*ACOS(1-2*BZ120/T120)))))*((((T120^2/8)*((2*ACOS(1-2*BZ120/T120))-SIN((2*ACOS(1-2*BZ120/T120)))))/((T120/2)*((2*ACOS(1-2*BZ120/T120)))))^(2/3))*SQRT(P120))</f>
        <v/>
      </c>
      <c r="CB120" s="9" t="str">
        <f aca="false">IF(BB120="","",IF(CA120&lt;BB120,BZ120,BX120))</f>
        <v/>
      </c>
      <c r="CC120" s="9" t="str">
        <f aca="false">IF(BB120="","",IF(CA120&lt;BB120,BY120,BZ120))</f>
        <v/>
      </c>
      <c r="CD120" s="9" t="str">
        <f aca="false">IF(BB120="","",(CB120+CC120)/2)</f>
        <v/>
      </c>
      <c r="CE120" s="9" t="str">
        <f aca="false">IF(OR(T120="",P120="",CD120="",T120&lt;=0,CD120&lt;=0),"",(1/Inputs!$B$9)*((T120^2/8)*((2*ACOS(1-2*CD120/T120))-SIN((2*ACOS(1-2*CD120/T120)))))*((((T120^2/8)*((2*ACOS(1-2*CD120/T120))-SIN((2*ACOS(1-2*CD120/T120)))))/((T120/2)*((2*ACOS(1-2*CD120/T120)))))^(2/3))*SQRT(P120))</f>
        <v/>
      </c>
      <c r="CF120" s="9" t="str">
        <f aca="false">IF(BB120="","",IF(CE120&lt;BB120,CD120,CB120))</f>
        <v/>
      </c>
      <c r="CG120" s="9" t="str">
        <f aca="false">IF(BB120="","",IF(CE120&lt;BB120,CC120,CD120))</f>
        <v/>
      </c>
      <c r="CH120" s="9" t="str">
        <f aca="false">IF(BB120="","",(CF120+CG120)/2)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14"/>
      <c r="F121" s="14"/>
      <c r="G121" s="14" t="n">
        <f aca="false">SUMIFS(CB_plan!$C:$C,CB_plan!$B:$B,$A121)</f>
        <v>0</v>
      </c>
      <c r="H121" s="14" t="n">
        <f aca="false">IF(F121="",G121,F121)</f>
        <v>0</v>
      </c>
      <c r="I121" s="9"/>
      <c r="J121" s="14"/>
      <c r="K121" s="14" t="str">
        <f aca="false">IF(A121="","",Inputs!$B$13/((IF(AV121="",Inputs!$B$18,AV121)+Inputs!$B$14)^Inputs!$B$15))</f>
        <v/>
      </c>
      <c r="L121" s="14" t="str">
        <f aca="false">IF(A121="","",0.000000278*IF(I121="",Inputs!$B$17,I121)*H121*K121)</f>
        <v/>
      </c>
      <c r="M121" s="14" t="str">
        <f aca="false">IF(A121="","",SUMIFS($N$4:$N$203,$D$4:$D$203,$A121))</f>
        <v/>
      </c>
      <c r="N121" s="14" t="str">
        <f aca="false">IF(A121="","",(L121+M121)*Inputs!$B$16)</f>
        <v/>
      </c>
      <c r="O121" s="14"/>
      <c r="P121" s="14" t="str">
        <f aca="false">IF(A121="","",IF(O121="",Inputs!$B$7,O121))</f>
        <v/>
      </c>
      <c r="Q121" s="9" t="str">
        <f aca="false">IF(A121="","",IF(N121/Inputs!$B$10&lt;=AG121,Inputs!$F$5,IF(N121/Inputs!$B$10&gt;AP121,"OVERSIZE",INDEX(Inputs!$F$5:$F$14,MATCH(N121/Inputs!$B$10,AG121:AP121,1)+1))))</f>
        <v/>
      </c>
      <c r="R121" s="9"/>
      <c r="S121" s="9" t="str">
        <f aca="false">IF(A121="","",IF(R121="",Q121,R121))</f>
        <v/>
      </c>
      <c r="T121" s="14" t="str">
        <f aca="false">IF(OR(S121="",S121="OVERSIZE"),"",S121/1000)</f>
        <v/>
      </c>
      <c r="U121" s="14" t="str">
        <f aca="false">IF(T121="","",(1/Inputs!$B$9)*(PI()*T121^2/4)*((T121/4)^(2/3))*SQRT(P121))</f>
        <v/>
      </c>
      <c r="V121" s="14" t="str">
        <f aca="false">IF(OR(U121="",N121=""),"",N121/(U121*Inputs!$B$10))</f>
        <v/>
      </c>
      <c r="W121" s="14" t="str">
        <f aca="false">IF(OR(T121="",N121=""),"",4*N121/(PI()*T121^2))</f>
        <v/>
      </c>
      <c r="X121" s="14"/>
      <c r="Y121" s="14" t="str">
        <f aca="false">IF(A121="","",IF(A121=Inputs!$B$6,Inputs!$B$22,IF(D121="","",IFERROR(INDEX($Z$4:$Z$203,MATCH(D121,$A$4:$A$203,0))+IF(X121="",Inputs!$B$20,X121),""))))</f>
        <v/>
      </c>
      <c r="Z121" s="14" t="str">
        <f aca="false">IF(OR(Y121="",P121="",E121=""),"",Y121+P121*E121)</f>
        <v/>
      </c>
      <c r="AA121" s="14" t="str">
        <f aca="false">IF(C121="","",IFERROR(INDEX(Noeuds_plan!$C$4:$C$200,MATCH(C121,Noeuds_plan!$A$4:$A$200,0)),""))</f>
        <v/>
      </c>
      <c r="AB121" s="14" t="str">
        <f aca="false">IF(B121="","",IFERROR(INDEX(Noeuds_plan!$C$4:$C$200,MATCH(B121,Noeuds_plan!$A$4:$A$200,0)),""))</f>
        <v/>
      </c>
      <c r="AC121" s="14" t="str">
        <f aca="false">IF(OR(AA121="",Y121=""),"",AA121-Y121)</f>
        <v/>
      </c>
      <c r="AD121" s="14" t="str">
        <f aca="false">IF(OR(AB121="",Z121=""),"",AB121-Z121)</f>
        <v/>
      </c>
      <c r="AE121" s="19" t="str">
        <f aca="false">IF(A121="","",IF(OR(V121&gt;1,AND(AY121&lt;&gt;"",AY121&lt;Inputs!$B$11),AND(AY121&lt;&gt;"",AY121&gt;Inputs!$B$12),AC121&lt;Inputs!$B$19,AD121&lt;Inputs!$B$19,P121&lt;Inputs!$B$7,P121&gt;Inputs!$B$8),"CHECK","OK"))</f>
        <v/>
      </c>
      <c r="AF121" s="9"/>
      <c r="AG121" s="9" t="str">
        <f aca="false">IF(A121="","",(1/Inputs!$B$9)*(PI()*(Inputs!$F$5/1000)^2/4)*((Inputs!$F$5/1000/4)^(2/3))*SQRT(P121))</f>
        <v/>
      </c>
      <c r="AH121" s="9" t="str">
        <f aca="false">IF(A121="","",(1/Inputs!$B$9)*(PI()*(Inputs!$F$6/1000)^2/4)*((Inputs!$F$6/1000/4)^(2/3))*SQRT(P121))</f>
        <v/>
      </c>
      <c r="AI121" s="9" t="str">
        <f aca="false">IF(A121="","",(1/Inputs!$B$9)*(PI()*(Inputs!$F$7/1000)^2/4)*((Inputs!$F$7/1000/4)^(2/3))*SQRT(P121))</f>
        <v/>
      </c>
      <c r="AJ121" s="9" t="str">
        <f aca="false">IF(A121="","",(1/Inputs!$B$9)*(PI()*(Inputs!$F$8/1000)^2/4)*((Inputs!$F$8/1000/4)^(2/3))*SQRT(P121))</f>
        <v/>
      </c>
      <c r="AK121" s="9" t="str">
        <f aca="false">IF(A121="","",(1/Inputs!$B$9)*(PI()*(Inputs!$F$9/1000)^2/4)*((Inputs!$F$9/1000/4)^(2/3))*SQRT(P121))</f>
        <v/>
      </c>
      <c r="AL121" s="9" t="str">
        <f aca="false">IF(A121="","",(1/Inputs!$B$9)*(PI()*(Inputs!$F$10/1000)^2/4)*((Inputs!$F$10/1000/4)^(2/3))*SQRT(P121))</f>
        <v/>
      </c>
      <c r="AM121" s="9" t="str">
        <f aca="false">IF(A121="","",(1/Inputs!$B$9)*(PI()*(Inputs!$F$11/1000)^2/4)*((Inputs!$F$11/1000/4)^(2/3))*SQRT(P121))</f>
        <v/>
      </c>
      <c r="AN121" s="9" t="str">
        <f aca="false">IF(A121="","",(1/Inputs!$B$9)*(PI()*(Inputs!$F$12/1000)^2/4)*((Inputs!$F$12/1000/4)^(2/3))*SQRT(P121))</f>
        <v/>
      </c>
      <c r="AO121" s="9" t="str">
        <f aca="false">IF(A121="","",(1/Inputs!$B$9)*(PI()*(Inputs!$F$13/1000)^2/4)*((Inputs!$F$13/1000/4)^(2/3))*SQRT(P121))</f>
        <v/>
      </c>
      <c r="AP121" s="9" t="str">
        <f aca="false">IF(A121="","",(1/Inputs!$B$9)*(PI()*(Inputs!$F$14/1000)^2/4)*((Inputs!$F$14/1000/4)^(2/3))*SQRT(P121))</f>
        <v/>
      </c>
      <c r="AQ121" s="9" t="str">
        <f aca="false">IF(A121="","",COUNTIF($D$4:$D$203,$A121))</f>
        <v/>
      </c>
      <c r="AR121" s="9" t="str">
        <f aca="false">IF(A121="","",IF(AQ121=0,"START","CONTINUOUS"))</f>
        <v/>
      </c>
      <c r="AS121" s="13" t="str">
        <f aca="false">IF(A121="","",IF(J121="",Inputs!$B$18,J121))</f>
        <v/>
      </c>
      <c r="AT121" s="13" t="str">
        <f aca="false">IF(A121="","",IFERROR(maxifs($AV$4:$AV$203,$D$4:$D$203,$A121),""))</f>
        <v/>
      </c>
      <c r="AU121" s="13" t="str">
        <f aca="false">IF(A121="","",IF(OR(E121="",Inputs!$B$23=""),"",E121/(Inputs!$B$23*60)))</f>
        <v/>
      </c>
      <c r="AV121" s="13" t="str">
        <f aca="false">IF(A121="","",IF(AQ121=0,AS121+AU121,IF(AT121="",AS121+AU121,AT121+AU121)))</f>
        <v/>
      </c>
      <c r="AW121" s="13" t="str">
        <f aca="false">IF(A121="","",W121)</f>
        <v/>
      </c>
      <c r="AX121" s="13" t="str">
        <f aca="false">IF(OR(T121="",P121=""),"",(1/Inputs!$B$9)*((T121/4)^(2/3))*SQRT(P121))</f>
        <v/>
      </c>
      <c r="AY121" s="13" t="str">
        <f aca="false">IF(A121="","",IF(AND(AW121="",AX121="",BA121=""),"",IF(OR(UPPER(TRIM(Inputs!$B$24))="MANNING",UPPER(TRIM(Inputs!$B$24))="M"),AX121,IF(OR(UPPER(TRIM(Inputs!$B$24))="PARTIAL",UPPER(TRIM(Inputs!$B$24))="P"),BA121,IF(OR(UPPER(TRIM(Inputs!$B$24))="MAX",UPPER(TRIM(Inputs!$B$24))="X"),MAX(IF(AW121="",0,AW121),IF(AX121="",0,AX121),IF(BA121="",0,BA121)),AW121)))))</f>
        <v/>
      </c>
      <c r="AZ121" s="13" t="str">
        <f aca="false">IF(BB121="","",CH121)</f>
        <v/>
      </c>
      <c r="BA121" s="13" t="str">
        <f aca="false">IF(OR(BB121="",AZ121="",T121="",T121&lt;=0,AZ121&lt;=0),"",BB121/((T121^2/8)*(2*ACOS(1-2*AZ121/T121)-SIN(2*ACOS(1-2*AZ121/T121)))))</f>
        <v/>
      </c>
      <c r="BB121" s="9" t="str">
        <f aca="false">IF(OR(N121="",BC121=""),"",MIN(N121,BC121))</f>
        <v/>
      </c>
      <c r="BC121" s="9" t="str">
        <f aca="false">IF(OR(N121="",T121="",P121=""),"",IF(OR(T121="",P121="",(0.94*T121)="",T121&lt;=0,(0.94*T121)&lt;=0),"",(1/Inputs!$B$9)*((T121^2/8)*((2*ACOS(1-2*(0.94*T121)/T121))-SIN((2*ACOS(1-2*(0.94*T121)/T121)))))*((((T121^2/8)*((2*ACOS(1-2*(0.94*T121)/T121))-SIN((2*ACOS(1-2*(0.94*T121)/T121)))))/((T121/2)*((2*ACOS(1-2*(0.94*T121)/T121)))))^(2/3))*SQRT(P121)))</f>
        <v/>
      </c>
      <c r="BD121" s="9" t="str">
        <f aca="false">IF(BB121="","",0.001*T121)</f>
        <v/>
      </c>
      <c r="BE121" s="9" t="str">
        <f aca="false">IF(BB121="","",0.94*T121)</f>
        <v/>
      </c>
      <c r="BF121" s="9" t="str">
        <f aca="false">IF(BB121="","",(BD121+BE121)/2)</f>
        <v/>
      </c>
      <c r="BG121" s="9" t="str">
        <f aca="false">IF(OR(T121="",P121="",BF121="",T121&lt;=0,BF121&lt;=0),"",(1/Inputs!$B$9)*((T121^2/8)*((2*ACOS(1-2*BF121/T121))-SIN((2*ACOS(1-2*BF121/T121)))))*((((T121^2/8)*((2*ACOS(1-2*BF121/T121))-SIN((2*ACOS(1-2*BF121/T121)))))/((T121/2)*((2*ACOS(1-2*BF121/T121)))))^(2/3))*SQRT(P121))</f>
        <v/>
      </c>
      <c r="BH121" s="9" t="str">
        <f aca="false">IF(BB121="","",IF(BG121&lt;BB121,BF121,BD121))</f>
        <v/>
      </c>
      <c r="BI121" s="9" t="str">
        <f aca="false">IF(BB121="","",IF(BG121&lt;BB121,BE121,BF121))</f>
        <v/>
      </c>
      <c r="BJ121" s="9" t="str">
        <f aca="false">IF(BB121="","",(BH121+BI121)/2)</f>
        <v/>
      </c>
      <c r="BK121" s="9" t="str">
        <f aca="false">IF(OR(T121="",P121="",BJ121="",T121&lt;=0,BJ121&lt;=0),"",(1/Inputs!$B$9)*((T121^2/8)*((2*ACOS(1-2*BJ121/T121))-SIN((2*ACOS(1-2*BJ121/T121)))))*((((T121^2/8)*((2*ACOS(1-2*BJ121/T121))-SIN((2*ACOS(1-2*BJ121/T121)))))/((T121/2)*((2*ACOS(1-2*BJ121/T121)))))^(2/3))*SQRT(P121))</f>
        <v/>
      </c>
      <c r="BL121" s="9" t="str">
        <f aca="false">IF(BB121="","",IF(BK121&lt;BB121,BJ121,BH121))</f>
        <v/>
      </c>
      <c r="BM121" s="9" t="str">
        <f aca="false">IF(BB121="","",IF(BK121&lt;BB121,BI121,BJ121))</f>
        <v/>
      </c>
      <c r="BN121" s="9" t="str">
        <f aca="false">IF(BB121="","",(BL121+BM121)/2)</f>
        <v/>
      </c>
      <c r="BO121" s="9" t="str">
        <f aca="false">IF(OR(T121="",P121="",BN121="",T121&lt;=0,BN121&lt;=0),"",(1/Inputs!$B$9)*((T121^2/8)*((2*ACOS(1-2*BN121/T121))-SIN((2*ACOS(1-2*BN121/T121)))))*((((T121^2/8)*((2*ACOS(1-2*BN121/T121))-SIN((2*ACOS(1-2*BN121/T121)))))/((T121/2)*((2*ACOS(1-2*BN121/T121)))))^(2/3))*SQRT(P121))</f>
        <v/>
      </c>
      <c r="BP121" s="9" t="str">
        <f aca="false">IF(BB121="","",IF(BO121&lt;BB121,BN121,BL121))</f>
        <v/>
      </c>
      <c r="BQ121" s="9" t="str">
        <f aca="false">IF(BB121="","",IF(BO121&lt;BB121,BM121,BN121))</f>
        <v/>
      </c>
      <c r="BR121" s="9" t="str">
        <f aca="false">IF(BB121="","",(BP121+BQ121)/2)</f>
        <v/>
      </c>
      <c r="BS121" s="9" t="str">
        <f aca="false">IF(OR(T121="",P121="",BR121="",T121&lt;=0,BR121&lt;=0),"",(1/Inputs!$B$9)*((T121^2/8)*((2*ACOS(1-2*BR121/T121))-SIN((2*ACOS(1-2*BR121/T121)))))*((((T121^2/8)*((2*ACOS(1-2*BR121/T121))-SIN((2*ACOS(1-2*BR121/T121)))))/((T121/2)*((2*ACOS(1-2*BR121/T121)))))^(2/3))*SQRT(P121))</f>
        <v/>
      </c>
      <c r="BT121" s="9" t="str">
        <f aca="false">IF(BB121="","",IF(BS121&lt;BB121,BR121,BP121))</f>
        <v/>
      </c>
      <c r="BU121" s="9" t="str">
        <f aca="false">IF(BB121="","",IF(BS121&lt;BB121,BQ121,BR121))</f>
        <v/>
      </c>
      <c r="BV121" s="9" t="str">
        <f aca="false">IF(BB121="","",(BT121+BU121)/2)</f>
        <v/>
      </c>
      <c r="BW121" s="9" t="str">
        <f aca="false">IF(OR(T121="",P121="",BV121="",T121&lt;=0,BV121&lt;=0),"",(1/Inputs!$B$9)*((T121^2/8)*((2*ACOS(1-2*BV121/T121))-SIN((2*ACOS(1-2*BV121/T121)))))*((((T121^2/8)*((2*ACOS(1-2*BV121/T121))-SIN((2*ACOS(1-2*BV121/T121)))))/((T121/2)*((2*ACOS(1-2*BV121/T121)))))^(2/3))*SQRT(P121))</f>
        <v/>
      </c>
      <c r="BX121" s="9" t="str">
        <f aca="false">IF(BB121="","",IF(BW121&lt;BB121,BV121,BT121))</f>
        <v/>
      </c>
      <c r="BY121" s="9" t="str">
        <f aca="false">IF(BB121="","",IF(BW121&lt;BB121,BU121,BV121))</f>
        <v/>
      </c>
      <c r="BZ121" s="9" t="str">
        <f aca="false">IF(BB121="","",(BX121+BY121)/2)</f>
        <v/>
      </c>
      <c r="CA121" s="9" t="str">
        <f aca="false">IF(OR(T121="",P121="",BZ121="",T121&lt;=0,BZ121&lt;=0),"",(1/Inputs!$B$9)*((T121^2/8)*((2*ACOS(1-2*BZ121/T121))-SIN((2*ACOS(1-2*BZ121/T121)))))*((((T121^2/8)*((2*ACOS(1-2*BZ121/T121))-SIN((2*ACOS(1-2*BZ121/T121)))))/((T121/2)*((2*ACOS(1-2*BZ121/T121)))))^(2/3))*SQRT(P121))</f>
        <v/>
      </c>
      <c r="CB121" s="9" t="str">
        <f aca="false">IF(BB121="","",IF(CA121&lt;BB121,BZ121,BX121))</f>
        <v/>
      </c>
      <c r="CC121" s="9" t="str">
        <f aca="false">IF(BB121="","",IF(CA121&lt;BB121,BY121,BZ121))</f>
        <v/>
      </c>
      <c r="CD121" s="9" t="str">
        <f aca="false">IF(BB121="","",(CB121+CC121)/2)</f>
        <v/>
      </c>
      <c r="CE121" s="9" t="str">
        <f aca="false">IF(OR(T121="",P121="",CD121="",T121&lt;=0,CD121&lt;=0),"",(1/Inputs!$B$9)*((T121^2/8)*((2*ACOS(1-2*CD121/T121))-SIN((2*ACOS(1-2*CD121/T121)))))*((((T121^2/8)*((2*ACOS(1-2*CD121/T121))-SIN((2*ACOS(1-2*CD121/T121)))))/((T121/2)*((2*ACOS(1-2*CD121/T121)))))^(2/3))*SQRT(P121))</f>
        <v/>
      </c>
      <c r="CF121" s="9" t="str">
        <f aca="false">IF(BB121="","",IF(CE121&lt;BB121,CD121,CB121))</f>
        <v/>
      </c>
      <c r="CG121" s="9" t="str">
        <f aca="false">IF(BB121="","",IF(CE121&lt;BB121,CC121,CD121))</f>
        <v/>
      </c>
      <c r="CH121" s="9" t="str">
        <f aca="false">IF(BB121="","",(CF121+CG121)/2)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14"/>
      <c r="F122" s="14"/>
      <c r="G122" s="14" t="n">
        <f aca="false">SUMIFS(CB_plan!$C:$C,CB_plan!$B:$B,$A122)</f>
        <v>0</v>
      </c>
      <c r="H122" s="14" t="n">
        <f aca="false">IF(F122="",G122,F122)</f>
        <v>0</v>
      </c>
      <c r="I122" s="9"/>
      <c r="J122" s="14"/>
      <c r="K122" s="14" t="str">
        <f aca="false">IF(A122="","",Inputs!$B$13/((IF(AV122="",Inputs!$B$18,AV122)+Inputs!$B$14)^Inputs!$B$15))</f>
        <v/>
      </c>
      <c r="L122" s="14" t="str">
        <f aca="false">IF(A122="","",0.000000278*IF(I122="",Inputs!$B$17,I122)*H122*K122)</f>
        <v/>
      </c>
      <c r="M122" s="14" t="str">
        <f aca="false">IF(A122="","",SUMIFS($N$4:$N$203,$D$4:$D$203,$A122))</f>
        <v/>
      </c>
      <c r="N122" s="14" t="str">
        <f aca="false">IF(A122="","",(L122+M122)*Inputs!$B$16)</f>
        <v/>
      </c>
      <c r="O122" s="14"/>
      <c r="P122" s="14" t="str">
        <f aca="false">IF(A122="","",IF(O122="",Inputs!$B$7,O122))</f>
        <v/>
      </c>
      <c r="Q122" s="9" t="str">
        <f aca="false">IF(A122="","",IF(N122/Inputs!$B$10&lt;=AG122,Inputs!$F$5,IF(N122/Inputs!$B$10&gt;AP122,"OVERSIZE",INDEX(Inputs!$F$5:$F$14,MATCH(N122/Inputs!$B$10,AG122:AP122,1)+1))))</f>
        <v/>
      </c>
      <c r="R122" s="9"/>
      <c r="S122" s="9" t="str">
        <f aca="false">IF(A122="","",IF(R122="",Q122,R122))</f>
        <v/>
      </c>
      <c r="T122" s="14" t="str">
        <f aca="false">IF(OR(S122="",S122="OVERSIZE"),"",S122/1000)</f>
        <v/>
      </c>
      <c r="U122" s="14" t="str">
        <f aca="false">IF(T122="","",(1/Inputs!$B$9)*(PI()*T122^2/4)*((T122/4)^(2/3))*SQRT(P122))</f>
        <v/>
      </c>
      <c r="V122" s="14" t="str">
        <f aca="false">IF(OR(U122="",N122=""),"",N122/(U122*Inputs!$B$10))</f>
        <v/>
      </c>
      <c r="W122" s="14" t="str">
        <f aca="false">IF(OR(T122="",N122=""),"",4*N122/(PI()*T122^2))</f>
        <v/>
      </c>
      <c r="X122" s="14"/>
      <c r="Y122" s="14" t="str">
        <f aca="false">IF(A122="","",IF(A122=Inputs!$B$6,Inputs!$B$22,IF(D122="","",IFERROR(INDEX($Z$4:$Z$203,MATCH(D122,$A$4:$A$203,0))+IF(X122="",Inputs!$B$20,X122),""))))</f>
        <v/>
      </c>
      <c r="Z122" s="14" t="str">
        <f aca="false">IF(OR(Y122="",P122="",E122=""),"",Y122+P122*E122)</f>
        <v/>
      </c>
      <c r="AA122" s="14" t="str">
        <f aca="false">IF(C122="","",IFERROR(INDEX(Noeuds_plan!$C$4:$C$200,MATCH(C122,Noeuds_plan!$A$4:$A$200,0)),""))</f>
        <v/>
      </c>
      <c r="AB122" s="14" t="str">
        <f aca="false">IF(B122="","",IFERROR(INDEX(Noeuds_plan!$C$4:$C$200,MATCH(B122,Noeuds_plan!$A$4:$A$200,0)),""))</f>
        <v/>
      </c>
      <c r="AC122" s="14" t="str">
        <f aca="false">IF(OR(AA122="",Y122=""),"",AA122-Y122)</f>
        <v/>
      </c>
      <c r="AD122" s="14" t="str">
        <f aca="false">IF(OR(AB122="",Z122=""),"",AB122-Z122)</f>
        <v/>
      </c>
      <c r="AE122" s="19" t="str">
        <f aca="false">IF(A122="","",IF(OR(V122&gt;1,AND(AY122&lt;&gt;"",AY122&lt;Inputs!$B$11),AND(AY122&lt;&gt;"",AY122&gt;Inputs!$B$12),AC122&lt;Inputs!$B$19,AD122&lt;Inputs!$B$19,P122&lt;Inputs!$B$7,P122&gt;Inputs!$B$8),"CHECK","OK"))</f>
        <v/>
      </c>
      <c r="AF122" s="9"/>
      <c r="AG122" s="9" t="str">
        <f aca="false">IF(A122="","",(1/Inputs!$B$9)*(PI()*(Inputs!$F$5/1000)^2/4)*((Inputs!$F$5/1000/4)^(2/3))*SQRT(P122))</f>
        <v/>
      </c>
      <c r="AH122" s="9" t="str">
        <f aca="false">IF(A122="","",(1/Inputs!$B$9)*(PI()*(Inputs!$F$6/1000)^2/4)*((Inputs!$F$6/1000/4)^(2/3))*SQRT(P122))</f>
        <v/>
      </c>
      <c r="AI122" s="9" t="str">
        <f aca="false">IF(A122="","",(1/Inputs!$B$9)*(PI()*(Inputs!$F$7/1000)^2/4)*((Inputs!$F$7/1000/4)^(2/3))*SQRT(P122))</f>
        <v/>
      </c>
      <c r="AJ122" s="9" t="str">
        <f aca="false">IF(A122="","",(1/Inputs!$B$9)*(PI()*(Inputs!$F$8/1000)^2/4)*((Inputs!$F$8/1000/4)^(2/3))*SQRT(P122))</f>
        <v/>
      </c>
      <c r="AK122" s="9" t="str">
        <f aca="false">IF(A122="","",(1/Inputs!$B$9)*(PI()*(Inputs!$F$9/1000)^2/4)*((Inputs!$F$9/1000/4)^(2/3))*SQRT(P122))</f>
        <v/>
      </c>
      <c r="AL122" s="9" t="str">
        <f aca="false">IF(A122="","",(1/Inputs!$B$9)*(PI()*(Inputs!$F$10/1000)^2/4)*((Inputs!$F$10/1000/4)^(2/3))*SQRT(P122))</f>
        <v/>
      </c>
      <c r="AM122" s="9" t="str">
        <f aca="false">IF(A122="","",(1/Inputs!$B$9)*(PI()*(Inputs!$F$11/1000)^2/4)*((Inputs!$F$11/1000/4)^(2/3))*SQRT(P122))</f>
        <v/>
      </c>
      <c r="AN122" s="9" t="str">
        <f aca="false">IF(A122="","",(1/Inputs!$B$9)*(PI()*(Inputs!$F$12/1000)^2/4)*((Inputs!$F$12/1000/4)^(2/3))*SQRT(P122))</f>
        <v/>
      </c>
      <c r="AO122" s="9" t="str">
        <f aca="false">IF(A122="","",(1/Inputs!$B$9)*(PI()*(Inputs!$F$13/1000)^2/4)*((Inputs!$F$13/1000/4)^(2/3))*SQRT(P122))</f>
        <v/>
      </c>
      <c r="AP122" s="9" t="str">
        <f aca="false">IF(A122="","",(1/Inputs!$B$9)*(PI()*(Inputs!$F$14/1000)^2/4)*((Inputs!$F$14/1000/4)^(2/3))*SQRT(P122))</f>
        <v/>
      </c>
      <c r="AQ122" s="9" t="str">
        <f aca="false">IF(A122="","",COUNTIF($D$4:$D$203,$A122))</f>
        <v/>
      </c>
      <c r="AR122" s="9" t="str">
        <f aca="false">IF(A122="","",IF(AQ122=0,"START","CONTINUOUS"))</f>
        <v/>
      </c>
      <c r="AS122" s="13" t="str">
        <f aca="false">IF(A122="","",IF(J122="",Inputs!$B$18,J122))</f>
        <v/>
      </c>
      <c r="AT122" s="13" t="str">
        <f aca="false">IF(A122="","",IFERROR(maxifs($AV$4:$AV$203,$D$4:$D$203,$A122),""))</f>
        <v/>
      </c>
      <c r="AU122" s="13" t="str">
        <f aca="false">IF(A122="","",IF(OR(E122="",Inputs!$B$23=""),"",E122/(Inputs!$B$23*60)))</f>
        <v/>
      </c>
      <c r="AV122" s="13" t="str">
        <f aca="false">IF(A122="","",IF(AQ122=0,AS122+AU122,IF(AT122="",AS122+AU122,AT122+AU122)))</f>
        <v/>
      </c>
      <c r="AW122" s="13" t="str">
        <f aca="false">IF(A122="","",W122)</f>
        <v/>
      </c>
      <c r="AX122" s="13" t="str">
        <f aca="false">IF(OR(T122="",P122=""),"",(1/Inputs!$B$9)*((T122/4)^(2/3))*SQRT(P122))</f>
        <v/>
      </c>
      <c r="AY122" s="13" t="str">
        <f aca="false">IF(A122="","",IF(AND(AW122="",AX122="",BA122=""),"",IF(OR(UPPER(TRIM(Inputs!$B$24))="MANNING",UPPER(TRIM(Inputs!$B$24))="M"),AX122,IF(OR(UPPER(TRIM(Inputs!$B$24))="PARTIAL",UPPER(TRIM(Inputs!$B$24))="P"),BA122,IF(OR(UPPER(TRIM(Inputs!$B$24))="MAX",UPPER(TRIM(Inputs!$B$24))="X"),MAX(IF(AW122="",0,AW122),IF(AX122="",0,AX122),IF(BA122="",0,BA122)),AW122)))))</f>
        <v/>
      </c>
      <c r="AZ122" s="13" t="str">
        <f aca="false">IF(BB122="","",CH122)</f>
        <v/>
      </c>
      <c r="BA122" s="13" t="str">
        <f aca="false">IF(OR(BB122="",AZ122="",T122="",T122&lt;=0,AZ122&lt;=0),"",BB122/((T122^2/8)*(2*ACOS(1-2*AZ122/T122)-SIN(2*ACOS(1-2*AZ122/T122)))))</f>
        <v/>
      </c>
      <c r="BB122" s="9" t="str">
        <f aca="false">IF(OR(N122="",BC122=""),"",MIN(N122,BC122))</f>
        <v/>
      </c>
      <c r="BC122" s="9" t="str">
        <f aca="false">IF(OR(N122="",T122="",P122=""),"",IF(OR(T122="",P122="",(0.94*T122)="",T122&lt;=0,(0.94*T122)&lt;=0),"",(1/Inputs!$B$9)*((T122^2/8)*((2*ACOS(1-2*(0.94*T122)/T122))-SIN((2*ACOS(1-2*(0.94*T122)/T122)))))*((((T122^2/8)*((2*ACOS(1-2*(0.94*T122)/T122))-SIN((2*ACOS(1-2*(0.94*T122)/T122)))))/((T122/2)*((2*ACOS(1-2*(0.94*T122)/T122)))))^(2/3))*SQRT(P122)))</f>
        <v/>
      </c>
      <c r="BD122" s="9" t="str">
        <f aca="false">IF(BB122="","",0.001*T122)</f>
        <v/>
      </c>
      <c r="BE122" s="9" t="str">
        <f aca="false">IF(BB122="","",0.94*T122)</f>
        <v/>
      </c>
      <c r="BF122" s="9" t="str">
        <f aca="false">IF(BB122="","",(BD122+BE122)/2)</f>
        <v/>
      </c>
      <c r="BG122" s="9" t="str">
        <f aca="false">IF(OR(T122="",P122="",BF122="",T122&lt;=0,BF122&lt;=0),"",(1/Inputs!$B$9)*((T122^2/8)*((2*ACOS(1-2*BF122/T122))-SIN((2*ACOS(1-2*BF122/T122)))))*((((T122^2/8)*((2*ACOS(1-2*BF122/T122))-SIN((2*ACOS(1-2*BF122/T122)))))/((T122/2)*((2*ACOS(1-2*BF122/T122)))))^(2/3))*SQRT(P122))</f>
        <v/>
      </c>
      <c r="BH122" s="9" t="str">
        <f aca="false">IF(BB122="","",IF(BG122&lt;BB122,BF122,BD122))</f>
        <v/>
      </c>
      <c r="BI122" s="9" t="str">
        <f aca="false">IF(BB122="","",IF(BG122&lt;BB122,BE122,BF122))</f>
        <v/>
      </c>
      <c r="BJ122" s="9" t="str">
        <f aca="false">IF(BB122="","",(BH122+BI122)/2)</f>
        <v/>
      </c>
      <c r="BK122" s="9" t="str">
        <f aca="false">IF(OR(T122="",P122="",BJ122="",T122&lt;=0,BJ122&lt;=0),"",(1/Inputs!$B$9)*((T122^2/8)*((2*ACOS(1-2*BJ122/T122))-SIN((2*ACOS(1-2*BJ122/T122)))))*((((T122^2/8)*((2*ACOS(1-2*BJ122/T122))-SIN((2*ACOS(1-2*BJ122/T122)))))/((T122/2)*((2*ACOS(1-2*BJ122/T122)))))^(2/3))*SQRT(P122))</f>
        <v/>
      </c>
      <c r="BL122" s="9" t="str">
        <f aca="false">IF(BB122="","",IF(BK122&lt;BB122,BJ122,BH122))</f>
        <v/>
      </c>
      <c r="BM122" s="9" t="str">
        <f aca="false">IF(BB122="","",IF(BK122&lt;BB122,BI122,BJ122))</f>
        <v/>
      </c>
      <c r="BN122" s="9" t="str">
        <f aca="false">IF(BB122="","",(BL122+BM122)/2)</f>
        <v/>
      </c>
      <c r="BO122" s="9" t="str">
        <f aca="false">IF(OR(T122="",P122="",BN122="",T122&lt;=0,BN122&lt;=0),"",(1/Inputs!$B$9)*((T122^2/8)*((2*ACOS(1-2*BN122/T122))-SIN((2*ACOS(1-2*BN122/T122)))))*((((T122^2/8)*((2*ACOS(1-2*BN122/T122))-SIN((2*ACOS(1-2*BN122/T122)))))/((T122/2)*((2*ACOS(1-2*BN122/T122)))))^(2/3))*SQRT(P122))</f>
        <v/>
      </c>
      <c r="BP122" s="9" t="str">
        <f aca="false">IF(BB122="","",IF(BO122&lt;BB122,BN122,BL122))</f>
        <v/>
      </c>
      <c r="BQ122" s="9" t="str">
        <f aca="false">IF(BB122="","",IF(BO122&lt;BB122,BM122,BN122))</f>
        <v/>
      </c>
      <c r="BR122" s="9" t="str">
        <f aca="false">IF(BB122="","",(BP122+BQ122)/2)</f>
        <v/>
      </c>
      <c r="BS122" s="9" t="str">
        <f aca="false">IF(OR(T122="",P122="",BR122="",T122&lt;=0,BR122&lt;=0),"",(1/Inputs!$B$9)*((T122^2/8)*((2*ACOS(1-2*BR122/T122))-SIN((2*ACOS(1-2*BR122/T122)))))*((((T122^2/8)*((2*ACOS(1-2*BR122/T122))-SIN((2*ACOS(1-2*BR122/T122)))))/((T122/2)*((2*ACOS(1-2*BR122/T122)))))^(2/3))*SQRT(P122))</f>
        <v/>
      </c>
      <c r="BT122" s="9" t="str">
        <f aca="false">IF(BB122="","",IF(BS122&lt;BB122,BR122,BP122))</f>
        <v/>
      </c>
      <c r="BU122" s="9" t="str">
        <f aca="false">IF(BB122="","",IF(BS122&lt;BB122,BQ122,BR122))</f>
        <v/>
      </c>
      <c r="BV122" s="9" t="str">
        <f aca="false">IF(BB122="","",(BT122+BU122)/2)</f>
        <v/>
      </c>
      <c r="BW122" s="9" t="str">
        <f aca="false">IF(OR(T122="",P122="",BV122="",T122&lt;=0,BV122&lt;=0),"",(1/Inputs!$B$9)*((T122^2/8)*((2*ACOS(1-2*BV122/T122))-SIN((2*ACOS(1-2*BV122/T122)))))*((((T122^2/8)*((2*ACOS(1-2*BV122/T122))-SIN((2*ACOS(1-2*BV122/T122)))))/((T122/2)*((2*ACOS(1-2*BV122/T122)))))^(2/3))*SQRT(P122))</f>
        <v/>
      </c>
      <c r="BX122" s="9" t="str">
        <f aca="false">IF(BB122="","",IF(BW122&lt;BB122,BV122,BT122))</f>
        <v/>
      </c>
      <c r="BY122" s="9" t="str">
        <f aca="false">IF(BB122="","",IF(BW122&lt;BB122,BU122,BV122))</f>
        <v/>
      </c>
      <c r="BZ122" s="9" t="str">
        <f aca="false">IF(BB122="","",(BX122+BY122)/2)</f>
        <v/>
      </c>
      <c r="CA122" s="9" t="str">
        <f aca="false">IF(OR(T122="",P122="",BZ122="",T122&lt;=0,BZ122&lt;=0),"",(1/Inputs!$B$9)*((T122^2/8)*((2*ACOS(1-2*BZ122/T122))-SIN((2*ACOS(1-2*BZ122/T122)))))*((((T122^2/8)*((2*ACOS(1-2*BZ122/T122))-SIN((2*ACOS(1-2*BZ122/T122)))))/((T122/2)*((2*ACOS(1-2*BZ122/T122)))))^(2/3))*SQRT(P122))</f>
        <v/>
      </c>
      <c r="CB122" s="9" t="str">
        <f aca="false">IF(BB122="","",IF(CA122&lt;BB122,BZ122,BX122))</f>
        <v/>
      </c>
      <c r="CC122" s="9" t="str">
        <f aca="false">IF(BB122="","",IF(CA122&lt;BB122,BY122,BZ122))</f>
        <v/>
      </c>
      <c r="CD122" s="9" t="str">
        <f aca="false">IF(BB122="","",(CB122+CC122)/2)</f>
        <v/>
      </c>
      <c r="CE122" s="9" t="str">
        <f aca="false">IF(OR(T122="",P122="",CD122="",T122&lt;=0,CD122&lt;=0),"",(1/Inputs!$B$9)*((T122^2/8)*((2*ACOS(1-2*CD122/T122))-SIN((2*ACOS(1-2*CD122/T122)))))*((((T122^2/8)*((2*ACOS(1-2*CD122/T122))-SIN((2*ACOS(1-2*CD122/T122)))))/((T122/2)*((2*ACOS(1-2*CD122/T122)))))^(2/3))*SQRT(P122))</f>
        <v/>
      </c>
      <c r="CF122" s="9" t="str">
        <f aca="false">IF(BB122="","",IF(CE122&lt;BB122,CD122,CB122))</f>
        <v/>
      </c>
      <c r="CG122" s="9" t="str">
        <f aca="false">IF(BB122="","",IF(CE122&lt;BB122,CC122,CD122))</f>
        <v/>
      </c>
      <c r="CH122" s="9" t="str">
        <f aca="false">IF(BB122="","",(CF122+CG122)/2)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14"/>
      <c r="F123" s="14"/>
      <c r="G123" s="14" t="n">
        <f aca="false">SUMIFS(CB_plan!$C:$C,CB_plan!$B:$B,$A123)</f>
        <v>0</v>
      </c>
      <c r="H123" s="14" t="n">
        <f aca="false">IF(F123="",G123,F123)</f>
        <v>0</v>
      </c>
      <c r="I123" s="9"/>
      <c r="J123" s="14"/>
      <c r="K123" s="14" t="str">
        <f aca="false">IF(A123="","",Inputs!$B$13/((IF(AV123="",Inputs!$B$18,AV123)+Inputs!$B$14)^Inputs!$B$15))</f>
        <v/>
      </c>
      <c r="L123" s="14" t="str">
        <f aca="false">IF(A123="","",0.000000278*IF(I123="",Inputs!$B$17,I123)*H123*K123)</f>
        <v/>
      </c>
      <c r="M123" s="14" t="str">
        <f aca="false">IF(A123="","",SUMIFS($N$4:$N$203,$D$4:$D$203,$A123))</f>
        <v/>
      </c>
      <c r="N123" s="14" t="str">
        <f aca="false">IF(A123="","",(L123+M123)*Inputs!$B$16)</f>
        <v/>
      </c>
      <c r="O123" s="14"/>
      <c r="P123" s="14" t="str">
        <f aca="false">IF(A123="","",IF(O123="",Inputs!$B$7,O123))</f>
        <v/>
      </c>
      <c r="Q123" s="9" t="str">
        <f aca="false">IF(A123="","",IF(N123/Inputs!$B$10&lt;=AG123,Inputs!$F$5,IF(N123/Inputs!$B$10&gt;AP123,"OVERSIZE",INDEX(Inputs!$F$5:$F$14,MATCH(N123/Inputs!$B$10,AG123:AP123,1)+1))))</f>
        <v/>
      </c>
      <c r="R123" s="9"/>
      <c r="S123" s="9" t="str">
        <f aca="false">IF(A123="","",IF(R123="",Q123,R123))</f>
        <v/>
      </c>
      <c r="T123" s="14" t="str">
        <f aca="false">IF(OR(S123="",S123="OVERSIZE"),"",S123/1000)</f>
        <v/>
      </c>
      <c r="U123" s="14" t="str">
        <f aca="false">IF(T123="","",(1/Inputs!$B$9)*(PI()*T123^2/4)*((T123/4)^(2/3))*SQRT(P123))</f>
        <v/>
      </c>
      <c r="V123" s="14" t="str">
        <f aca="false">IF(OR(U123="",N123=""),"",N123/(U123*Inputs!$B$10))</f>
        <v/>
      </c>
      <c r="W123" s="14" t="str">
        <f aca="false">IF(OR(T123="",N123=""),"",4*N123/(PI()*T123^2))</f>
        <v/>
      </c>
      <c r="X123" s="14"/>
      <c r="Y123" s="14" t="str">
        <f aca="false">IF(A123="","",IF(A123=Inputs!$B$6,Inputs!$B$22,IF(D123="","",IFERROR(INDEX($Z$4:$Z$203,MATCH(D123,$A$4:$A$203,0))+IF(X123="",Inputs!$B$20,X123),""))))</f>
        <v/>
      </c>
      <c r="Z123" s="14" t="str">
        <f aca="false">IF(OR(Y123="",P123="",E123=""),"",Y123+P123*E123)</f>
        <v/>
      </c>
      <c r="AA123" s="14" t="str">
        <f aca="false">IF(C123="","",IFERROR(INDEX(Noeuds_plan!$C$4:$C$200,MATCH(C123,Noeuds_plan!$A$4:$A$200,0)),""))</f>
        <v/>
      </c>
      <c r="AB123" s="14" t="str">
        <f aca="false">IF(B123="","",IFERROR(INDEX(Noeuds_plan!$C$4:$C$200,MATCH(B123,Noeuds_plan!$A$4:$A$200,0)),""))</f>
        <v/>
      </c>
      <c r="AC123" s="14" t="str">
        <f aca="false">IF(OR(AA123="",Y123=""),"",AA123-Y123)</f>
        <v/>
      </c>
      <c r="AD123" s="14" t="str">
        <f aca="false">IF(OR(AB123="",Z123=""),"",AB123-Z123)</f>
        <v/>
      </c>
      <c r="AE123" s="19" t="str">
        <f aca="false">IF(A123="","",IF(OR(V123&gt;1,AND(AY123&lt;&gt;"",AY123&lt;Inputs!$B$11),AND(AY123&lt;&gt;"",AY123&gt;Inputs!$B$12),AC123&lt;Inputs!$B$19,AD123&lt;Inputs!$B$19,P123&lt;Inputs!$B$7,P123&gt;Inputs!$B$8),"CHECK","OK"))</f>
        <v/>
      </c>
      <c r="AF123" s="9"/>
      <c r="AG123" s="9" t="str">
        <f aca="false">IF(A123="","",(1/Inputs!$B$9)*(PI()*(Inputs!$F$5/1000)^2/4)*((Inputs!$F$5/1000/4)^(2/3))*SQRT(P123))</f>
        <v/>
      </c>
      <c r="AH123" s="9" t="str">
        <f aca="false">IF(A123="","",(1/Inputs!$B$9)*(PI()*(Inputs!$F$6/1000)^2/4)*((Inputs!$F$6/1000/4)^(2/3))*SQRT(P123))</f>
        <v/>
      </c>
      <c r="AI123" s="9" t="str">
        <f aca="false">IF(A123="","",(1/Inputs!$B$9)*(PI()*(Inputs!$F$7/1000)^2/4)*((Inputs!$F$7/1000/4)^(2/3))*SQRT(P123))</f>
        <v/>
      </c>
      <c r="AJ123" s="9" t="str">
        <f aca="false">IF(A123="","",(1/Inputs!$B$9)*(PI()*(Inputs!$F$8/1000)^2/4)*((Inputs!$F$8/1000/4)^(2/3))*SQRT(P123))</f>
        <v/>
      </c>
      <c r="AK123" s="9" t="str">
        <f aca="false">IF(A123="","",(1/Inputs!$B$9)*(PI()*(Inputs!$F$9/1000)^2/4)*((Inputs!$F$9/1000/4)^(2/3))*SQRT(P123))</f>
        <v/>
      </c>
      <c r="AL123" s="9" t="str">
        <f aca="false">IF(A123="","",(1/Inputs!$B$9)*(PI()*(Inputs!$F$10/1000)^2/4)*((Inputs!$F$10/1000/4)^(2/3))*SQRT(P123))</f>
        <v/>
      </c>
      <c r="AM123" s="9" t="str">
        <f aca="false">IF(A123="","",(1/Inputs!$B$9)*(PI()*(Inputs!$F$11/1000)^2/4)*((Inputs!$F$11/1000/4)^(2/3))*SQRT(P123))</f>
        <v/>
      </c>
      <c r="AN123" s="9" t="str">
        <f aca="false">IF(A123="","",(1/Inputs!$B$9)*(PI()*(Inputs!$F$12/1000)^2/4)*((Inputs!$F$12/1000/4)^(2/3))*SQRT(P123))</f>
        <v/>
      </c>
      <c r="AO123" s="9" t="str">
        <f aca="false">IF(A123="","",(1/Inputs!$B$9)*(PI()*(Inputs!$F$13/1000)^2/4)*((Inputs!$F$13/1000/4)^(2/3))*SQRT(P123))</f>
        <v/>
      </c>
      <c r="AP123" s="9" t="str">
        <f aca="false">IF(A123="","",(1/Inputs!$B$9)*(PI()*(Inputs!$F$14/1000)^2/4)*((Inputs!$F$14/1000/4)^(2/3))*SQRT(P123))</f>
        <v/>
      </c>
      <c r="AQ123" s="9" t="str">
        <f aca="false">IF(A123="","",COUNTIF($D$4:$D$203,$A123))</f>
        <v/>
      </c>
      <c r="AR123" s="9" t="str">
        <f aca="false">IF(A123="","",IF(AQ123=0,"START","CONTINUOUS"))</f>
        <v/>
      </c>
      <c r="AS123" s="13" t="str">
        <f aca="false">IF(A123="","",IF(J123="",Inputs!$B$18,J123))</f>
        <v/>
      </c>
      <c r="AT123" s="13" t="str">
        <f aca="false">IF(A123="","",IFERROR(maxifs($AV$4:$AV$203,$D$4:$D$203,$A123),""))</f>
        <v/>
      </c>
      <c r="AU123" s="13" t="str">
        <f aca="false">IF(A123="","",IF(OR(E123="",Inputs!$B$23=""),"",E123/(Inputs!$B$23*60)))</f>
        <v/>
      </c>
      <c r="AV123" s="13" t="str">
        <f aca="false">IF(A123="","",IF(AQ123=0,AS123+AU123,IF(AT123="",AS123+AU123,AT123+AU123)))</f>
        <v/>
      </c>
      <c r="AW123" s="13" t="str">
        <f aca="false">IF(A123="","",W123)</f>
        <v/>
      </c>
      <c r="AX123" s="13" t="str">
        <f aca="false">IF(OR(T123="",P123=""),"",(1/Inputs!$B$9)*((T123/4)^(2/3))*SQRT(P123))</f>
        <v/>
      </c>
      <c r="AY123" s="13" t="str">
        <f aca="false">IF(A123="","",IF(AND(AW123="",AX123="",BA123=""),"",IF(OR(UPPER(TRIM(Inputs!$B$24))="MANNING",UPPER(TRIM(Inputs!$B$24))="M"),AX123,IF(OR(UPPER(TRIM(Inputs!$B$24))="PARTIAL",UPPER(TRIM(Inputs!$B$24))="P"),BA123,IF(OR(UPPER(TRIM(Inputs!$B$24))="MAX",UPPER(TRIM(Inputs!$B$24))="X"),MAX(IF(AW123="",0,AW123),IF(AX123="",0,AX123),IF(BA123="",0,BA123)),AW123)))))</f>
        <v/>
      </c>
      <c r="AZ123" s="13" t="str">
        <f aca="false">IF(BB123="","",CH123)</f>
        <v/>
      </c>
      <c r="BA123" s="13" t="str">
        <f aca="false">IF(OR(BB123="",AZ123="",T123="",T123&lt;=0,AZ123&lt;=0),"",BB123/((T123^2/8)*(2*ACOS(1-2*AZ123/T123)-SIN(2*ACOS(1-2*AZ123/T123)))))</f>
        <v/>
      </c>
      <c r="BB123" s="9" t="str">
        <f aca="false">IF(OR(N123="",BC123=""),"",MIN(N123,BC123))</f>
        <v/>
      </c>
      <c r="BC123" s="9" t="str">
        <f aca="false">IF(OR(N123="",T123="",P123=""),"",IF(OR(T123="",P123="",(0.94*T123)="",T123&lt;=0,(0.94*T123)&lt;=0),"",(1/Inputs!$B$9)*((T123^2/8)*((2*ACOS(1-2*(0.94*T123)/T123))-SIN((2*ACOS(1-2*(0.94*T123)/T123)))))*((((T123^2/8)*((2*ACOS(1-2*(0.94*T123)/T123))-SIN((2*ACOS(1-2*(0.94*T123)/T123)))))/((T123/2)*((2*ACOS(1-2*(0.94*T123)/T123)))))^(2/3))*SQRT(P123)))</f>
        <v/>
      </c>
      <c r="BD123" s="9" t="str">
        <f aca="false">IF(BB123="","",0.001*T123)</f>
        <v/>
      </c>
      <c r="BE123" s="9" t="str">
        <f aca="false">IF(BB123="","",0.94*T123)</f>
        <v/>
      </c>
      <c r="BF123" s="9" t="str">
        <f aca="false">IF(BB123="","",(BD123+BE123)/2)</f>
        <v/>
      </c>
      <c r="BG123" s="9" t="str">
        <f aca="false">IF(OR(T123="",P123="",BF123="",T123&lt;=0,BF123&lt;=0),"",(1/Inputs!$B$9)*((T123^2/8)*((2*ACOS(1-2*BF123/T123))-SIN((2*ACOS(1-2*BF123/T123)))))*((((T123^2/8)*((2*ACOS(1-2*BF123/T123))-SIN((2*ACOS(1-2*BF123/T123)))))/((T123/2)*((2*ACOS(1-2*BF123/T123)))))^(2/3))*SQRT(P123))</f>
        <v/>
      </c>
      <c r="BH123" s="9" t="str">
        <f aca="false">IF(BB123="","",IF(BG123&lt;BB123,BF123,BD123))</f>
        <v/>
      </c>
      <c r="BI123" s="9" t="str">
        <f aca="false">IF(BB123="","",IF(BG123&lt;BB123,BE123,BF123))</f>
        <v/>
      </c>
      <c r="BJ123" s="9" t="str">
        <f aca="false">IF(BB123="","",(BH123+BI123)/2)</f>
        <v/>
      </c>
      <c r="BK123" s="9" t="str">
        <f aca="false">IF(OR(T123="",P123="",BJ123="",T123&lt;=0,BJ123&lt;=0),"",(1/Inputs!$B$9)*((T123^2/8)*((2*ACOS(1-2*BJ123/T123))-SIN((2*ACOS(1-2*BJ123/T123)))))*((((T123^2/8)*((2*ACOS(1-2*BJ123/T123))-SIN((2*ACOS(1-2*BJ123/T123)))))/((T123/2)*((2*ACOS(1-2*BJ123/T123)))))^(2/3))*SQRT(P123))</f>
        <v/>
      </c>
      <c r="BL123" s="9" t="str">
        <f aca="false">IF(BB123="","",IF(BK123&lt;BB123,BJ123,BH123))</f>
        <v/>
      </c>
      <c r="BM123" s="9" t="str">
        <f aca="false">IF(BB123="","",IF(BK123&lt;BB123,BI123,BJ123))</f>
        <v/>
      </c>
      <c r="BN123" s="9" t="str">
        <f aca="false">IF(BB123="","",(BL123+BM123)/2)</f>
        <v/>
      </c>
      <c r="BO123" s="9" t="str">
        <f aca="false">IF(OR(T123="",P123="",BN123="",T123&lt;=0,BN123&lt;=0),"",(1/Inputs!$B$9)*((T123^2/8)*((2*ACOS(1-2*BN123/T123))-SIN((2*ACOS(1-2*BN123/T123)))))*((((T123^2/8)*((2*ACOS(1-2*BN123/T123))-SIN((2*ACOS(1-2*BN123/T123)))))/((T123/2)*((2*ACOS(1-2*BN123/T123)))))^(2/3))*SQRT(P123))</f>
        <v/>
      </c>
      <c r="BP123" s="9" t="str">
        <f aca="false">IF(BB123="","",IF(BO123&lt;BB123,BN123,BL123))</f>
        <v/>
      </c>
      <c r="BQ123" s="9" t="str">
        <f aca="false">IF(BB123="","",IF(BO123&lt;BB123,BM123,BN123))</f>
        <v/>
      </c>
      <c r="BR123" s="9" t="str">
        <f aca="false">IF(BB123="","",(BP123+BQ123)/2)</f>
        <v/>
      </c>
      <c r="BS123" s="9" t="str">
        <f aca="false">IF(OR(T123="",P123="",BR123="",T123&lt;=0,BR123&lt;=0),"",(1/Inputs!$B$9)*((T123^2/8)*((2*ACOS(1-2*BR123/T123))-SIN((2*ACOS(1-2*BR123/T123)))))*((((T123^2/8)*((2*ACOS(1-2*BR123/T123))-SIN((2*ACOS(1-2*BR123/T123)))))/((T123/2)*((2*ACOS(1-2*BR123/T123)))))^(2/3))*SQRT(P123))</f>
        <v/>
      </c>
      <c r="BT123" s="9" t="str">
        <f aca="false">IF(BB123="","",IF(BS123&lt;BB123,BR123,BP123))</f>
        <v/>
      </c>
      <c r="BU123" s="9" t="str">
        <f aca="false">IF(BB123="","",IF(BS123&lt;BB123,BQ123,BR123))</f>
        <v/>
      </c>
      <c r="BV123" s="9" t="str">
        <f aca="false">IF(BB123="","",(BT123+BU123)/2)</f>
        <v/>
      </c>
      <c r="BW123" s="9" t="str">
        <f aca="false">IF(OR(T123="",P123="",BV123="",T123&lt;=0,BV123&lt;=0),"",(1/Inputs!$B$9)*((T123^2/8)*((2*ACOS(1-2*BV123/T123))-SIN((2*ACOS(1-2*BV123/T123)))))*((((T123^2/8)*((2*ACOS(1-2*BV123/T123))-SIN((2*ACOS(1-2*BV123/T123)))))/((T123/2)*((2*ACOS(1-2*BV123/T123)))))^(2/3))*SQRT(P123))</f>
        <v/>
      </c>
      <c r="BX123" s="9" t="str">
        <f aca="false">IF(BB123="","",IF(BW123&lt;BB123,BV123,BT123))</f>
        <v/>
      </c>
      <c r="BY123" s="9" t="str">
        <f aca="false">IF(BB123="","",IF(BW123&lt;BB123,BU123,BV123))</f>
        <v/>
      </c>
      <c r="BZ123" s="9" t="str">
        <f aca="false">IF(BB123="","",(BX123+BY123)/2)</f>
        <v/>
      </c>
      <c r="CA123" s="9" t="str">
        <f aca="false">IF(OR(T123="",P123="",BZ123="",T123&lt;=0,BZ123&lt;=0),"",(1/Inputs!$B$9)*((T123^2/8)*((2*ACOS(1-2*BZ123/T123))-SIN((2*ACOS(1-2*BZ123/T123)))))*((((T123^2/8)*((2*ACOS(1-2*BZ123/T123))-SIN((2*ACOS(1-2*BZ123/T123)))))/((T123/2)*((2*ACOS(1-2*BZ123/T123)))))^(2/3))*SQRT(P123))</f>
        <v/>
      </c>
      <c r="CB123" s="9" t="str">
        <f aca="false">IF(BB123="","",IF(CA123&lt;BB123,BZ123,BX123))</f>
        <v/>
      </c>
      <c r="CC123" s="9" t="str">
        <f aca="false">IF(BB123="","",IF(CA123&lt;BB123,BY123,BZ123))</f>
        <v/>
      </c>
      <c r="CD123" s="9" t="str">
        <f aca="false">IF(BB123="","",(CB123+CC123)/2)</f>
        <v/>
      </c>
      <c r="CE123" s="9" t="str">
        <f aca="false">IF(OR(T123="",P123="",CD123="",T123&lt;=0,CD123&lt;=0),"",(1/Inputs!$B$9)*((T123^2/8)*((2*ACOS(1-2*CD123/T123))-SIN((2*ACOS(1-2*CD123/T123)))))*((((T123^2/8)*((2*ACOS(1-2*CD123/T123))-SIN((2*ACOS(1-2*CD123/T123)))))/((T123/2)*((2*ACOS(1-2*CD123/T123)))))^(2/3))*SQRT(P123))</f>
        <v/>
      </c>
      <c r="CF123" s="9" t="str">
        <f aca="false">IF(BB123="","",IF(CE123&lt;BB123,CD123,CB123))</f>
        <v/>
      </c>
      <c r="CG123" s="9" t="str">
        <f aca="false">IF(BB123="","",IF(CE123&lt;BB123,CC123,CD123))</f>
        <v/>
      </c>
      <c r="CH123" s="9" t="str">
        <f aca="false">IF(BB123="","",(CF123+CG123)/2)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14"/>
      <c r="F124" s="14"/>
      <c r="G124" s="14" t="n">
        <f aca="false">SUMIFS(CB_plan!$C:$C,CB_plan!$B:$B,$A124)</f>
        <v>0</v>
      </c>
      <c r="H124" s="14" t="n">
        <f aca="false">IF(F124="",G124,F124)</f>
        <v>0</v>
      </c>
      <c r="I124" s="9"/>
      <c r="J124" s="14"/>
      <c r="K124" s="14" t="str">
        <f aca="false">IF(A124="","",Inputs!$B$13/((IF(AV124="",Inputs!$B$18,AV124)+Inputs!$B$14)^Inputs!$B$15))</f>
        <v/>
      </c>
      <c r="L124" s="14" t="str">
        <f aca="false">IF(A124="","",0.000000278*IF(I124="",Inputs!$B$17,I124)*H124*K124)</f>
        <v/>
      </c>
      <c r="M124" s="14" t="str">
        <f aca="false">IF(A124="","",SUMIFS($N$4:$N$203,$D$4:$D$203,$A124))</f>
        <v/>
      </c>
      <c r="N124" s="14" t="str">
        <f aca="false">IF(A124="","",(L124+M124)*Inputs!$B$16)</f>
        <v/>
      </c>
      <c r="O124" s="14"/>
      <c r="P124" s="14" t="str">
        <f aca="false">IF(A124="","",IF(O124="",Inputs!$B$7,O124))</f>
        <v/>
      </c>
      <c r="Q124" s="9" t="str">
        <f aca="false">IF(A124="","",IF(N124/Inputs!$B$10&lt;=AG124,Inputs!$F$5,IF(N124/Inputs!$B$10&gt;AP124,"OVERSIZE",INDEX(Inputs!$F$5:$F$14,MATCH(N124/Inputs!$B$10,AG124:AP124,1)+1))))</f>
        <v/>
      </c>
      <c r="R124" s="9"/>
      <c r="S124" s="9" t="str">
        <f aca="false">IF(A124="","",IF(R124="",Q124,R124))</f>
        <v/>
      </c>
      <c r="T124" s="14" t="str">
        <f aca="false">IF(OR(S124="",S124="OVERSIZE"),"",S124/1000)</f>
        <v/>
      </c>
      <c r="U124" s="14" t="str">
        <f aca="false">IF(T124="","",(1/Inputs!$B$9)*(PI()*T124^2/4)*((T124/4)^(2/3))*SQRT(P124))</f>
        <v/>
      </c>
      <c r="V124" s="14" t="str">
        <f aca="false">IF(OR(U124="",N124=""),"",N124/(U124*Inputs!$B$10))</f>
        <v/>
      </c>
      <c r="W124" s="14" t="str">
        <f aca="false">IF(OR(T124="",N124=""),"",4*N124/(PI()*T124^2))</f>
        <v/>
      </c>
      <c r="X124" s="14"/>
      <c r="Y124" s="14" t="str">
        <f aca="false">IF(A124="","",IF(A124=Inputs!$B$6,Inputs!$B$22,IF(D124="","",IFERROR(INDEX($Z$4:$Z$203,MATCH(D124,$A$4:$A$203,0))+IF(X124="",Inputs!$B$20,X124),""))))</f>
        <v/>
      </c>
      <c r="Z124" s="14" t="str">
        <f aca="false">IF(OR(Y124="",P124="",E124=""),"",Y124+P124*E124)</f>
        <v/>
      </c>
      <c r="AA124" s="14" t="str">
        <f aca="false">IF(C124="","",IFERROR(INDEX(Noeuds_plan!$C$4:$C$200,MATCH(C124,Noeuds_plan!$A$4:$A$200,0)),""))</f>
        <v/>
      </c>
      <c r="AB124" s="14" t="str">
        <f aca="false">IF(B124="","",IFERROR(INDEX(Noeuds_plan!$C$4:$C$200,MATCH(B124,Noeuds_plan!$A$4:$A$200,0)),""))</f>
        <v/>
      </c>
      <c r="AC124" s="14" t="str">
        <f aca="false">IF(OR(AA124="",Y124=""),"",AA124-Y124)</f>
        <v/>
      </c>
      <c r="AD124" s="14" t="str">
        <f aca="false">IF(OR(AB124="",Z124=""),"",AB124-Z124)</f>
        <v/>
      </c>
      <c r="AE124" s="19" t="str">
        <f aca="false">IF(A124="","",IF(OR(V124&gt;1,AND(AY124&lt;&gt;"",AY124&lt;Inputs!$B$11),AND(AY124&lt;&gt;"",AY124&gt;Inputs!$B$12),AC124&lt;Inputs!$B$19,AD124&lt;Inputs!$B$19,P124&lt;Inputs!$B$7,P124&gt;Inputs!$B$8),"CHECK","OK"))</f>
        <v/>
      </c>
      <c r="AF124" s="9"/>
      <c r="AG124" s="9" t="str">
        <f aca="false">IF(A124="","",(1/Inputs!$B$9)*(PI()*(Inputs!$F$5/1000)^2/4)*((Inputs!$F$5/1000/4)^(2/3))*SQRT(P124))</f>
        <v/>
      </c>
      <c r="AH124" s="9" t="str">
        <f aca="false">IF(A124="","",(1/Inputs!$B$9)*(PI()*(Inputs!$F$6/1000)^2/4)*((Inputs!$F$6/1000/4)^(2/3))*SQRT(P124))</f>
        <v/>
      </c>
      <c r="AI124" s="9" t="str">
        <f aca="false">IF(A124="","",(1/Inputs!$B$9)*(PI()*(Inputs!$F$7/1000)^2/4)*((Inputs!$F$7/1000/4)^(2/3))*SQRT(P124))</f>
        <v/>
      </c>
      <c r="AJ124" s="9" t="str">
        <f aca="false">IF(A124="","",(1/Inputs!$B$9)*(PI()*(Inputs!$F$8/1000)^2/4)*((Inputs!$F$8/1000/4)^(2/3))*SQRT(P124))</f>
        <v/>
      </c>
      <c r="AK124" s="9" t="str">
        <f aca="false">IF(A124="","",(1/Inputs!$B$9)*(PI()*(Inputs!$F$9/1000)^2/4)*((Inputs!$F$9/1000/4)^(2/3))*SQRT(P124))</f>
        <v/>
      </c>
      <c r="AL124" s="9" t="str">
        <f aca="false">IF(A124="","",(1/Inputs!$B$9)*(PI()*(Inputs!$F$10/1000)^2/4)*((Inputs!$F$10/1000/4)^(2/3))*SQRT(P124))</f>
        <v/>
      </c>
      <c r="AM124" s="9" t="str">
        <f aca="false">IF(A124="","",(1/Inputs!$B$9)*(PI()*(Inputs!$F$11/1000)^2/4)*((Inputs!$F$11/1000/4)^(2/3))*SQRT(P124))</f>
        <v/>
      </c>
      <c r="AN124" s="9" t="str">
        <f aca="false">IF(A124="","",(1/Inputs!$B$9)*(PI()*(Inputs!$F$12/1000)^2/4)*((Inputs!$F$12/1000/4)^(2/3))*SQRT(P124))</f>
        <v/>
      </c>
      <c r="AO124" s="9" t="str">
        <f aca="false">IF(A124="","",(1/Inputs!$B$9)*(PI()*(Inputs!$F$13/1000)^2/4)*((Inputs!$F$13/1000/4)^(2/3))*SQRT(P124))</f>
        <v/>
      </c>
      <c r="AP124" s="9" t="str">
        <f aca="false">IF(A124="","",(1/Inputs!$B$9)*(PI()*(Inputs!$F$14/1000)^2/4)*((Inputs!$F$14/1000/4)^(2/3))*SQRT(P124))</f>
        <v/>
      </c>
      <c r="AQ124" s="9" t="str">
        <f aca="false">IF(A124="","",COUNTIF($D$4:$D$203,$A124))</f>
        <v/>
      </c>
      <c r="AR124" s="9" t="str">
        <f aca="false">IF(A124="","",IF(AQ124=0,"START","CONTINUOUS"))</f>
        <v/>
      </c>
      <c r="AS124" s="13" t="str">
        <f aca="false">IF(A124="","",IF(J124="",Inputs!$B$18,J124))</f>
        <v/>
      </c>
      <c r="AT124" s="13" t="str">
        <f aca="false">IF(A124="","",IFERROR(maxifs($AV$4:$AV$203,$D$4:$D$203,$A124),""))</f>
        <v/>
      </c>
      <c r="AU124" s="13" t="str">
        <f aca="false">IF(A124="","",IF(OR(E124="",Inputs!$B$23=""),"",E124/(Inputs!$B$23*60)))</f>
        <v/>
      </c>
      <c r="AV124" s="13" t="str">
        <f aca="false">IF(A124="","",IF(AQ124=0,AS124+AU124,IF(AT124="",AS124+AU124,AT124+AU124)))</f>
        <v/>
      </c>
      <c r="AW124" s="13" t="str">
        <f aca="false">IF(A124="","",W124)</f>
        <v/>
      </c>
      <c r="AX124" s="13" t="str">
        <f aca="false">IF(OR(T124="",P124=""),"",(1/Inputs!$B$9)*((T124/4)^(2/3))*SQRT(P124))</f>
        <v/>
      </c>
      <c r="AY124" s="13" t="str">
        <f aca="false">IF(A124="","",IF(AND(AW124="",AX124="",BA124=""),"",IF(OR(UPPER(TRIM(Inputs!$B$24))="MANNING",UPPER(TRIM(Inputs!$B$24))="M"),AX124,IF(OR(UPPER(TRIM(Inputs!$B$24))="PARTIAL",UPPER(TRIM(Inputs!$B$24))="P"),BA124,IF(OR(UPPER(TRIM(Inputs!$B$24))="MAX",UPPER(TRIM(Inputs!$B$24))="X"),MAX(IF(AW124="",0,AW124),IF(AX124="",0,AX124),IF(BA124="",0,BA124)),AW124)))))</f>
        <v/>
      </c>
      <c r="AZ124" s="13" t="str">
        <f aca="false">IF(BB124="","",CH124)</f>
        <v/>
      </c>
      <c r="BA124" s="13" t="str">
        <f aca="false">IF(OR(BB124="",AZ124="",T124="",T124&lt;=0,AZ124&lt;=0),"",BB124/((T124^2/8)*(2*ACOS(1-2*AZ124/T124)-SIN(2*ACOS(1-2*AZ124/T124)))))</f>
        <v/>
      </c>
      <c r="BB124" s="9" t="str">
        <f aca="false">IF(OR(N124="",BC124=""),"",MIN(N124,BC124))</f>
        <v/>
      </c>
      <c r="BC124" s="9" t="str">
        <f aca="false">IF(OR(N124="",T124="",P124=""),"",IF(OR(T124="",P124="",(0.94*T124)="",T124&lt;=0,(0.94*T124)&lt;=0),"",(1/Inputs!$B$9)*((T124^2/8)*((2*ACOS(1-2*(0.94*T124)/T124))-SIN((2*ACOS(1-2*(0.94*T124)/T124)))))*((((T124^2/8)*((2*ACOS(1-2*(0.94*T124)/T124))-SIN((2*ACOS(1-2*(0.94*T124)/T124)))))/((T124/2)*((2*ACOS(1-2*(0.94*T124)/T124)))))^(2/3))*SQRT(P124)))</f>
        <v/>
      </c>
      <c r="BD124" s="9" t="str">
        <f aca="false">IF(BB124="","",0.001*T124)</f>
        <v/>
      </c>
      <c r="BE124" s="9" t="str">
        <f aca="false">IF(BB124="","",0.94*T124)</f>
        <v/>
      </c>
      <c r="BF124" s="9" t="str">
        <f aca="false">IF(BB124="","",(BD124+BE124)/2)</f>
        <v/>
      </c>
      <c r="BG124" s="9" t="str">
        <f aca="false">IF(OR(T124="",P124="",BF124="",T124&lt;=0,BF124&lt;=0),"",(1/Inputs!$B$9)*((T124^2/8)*((2*ACOS(1-2*BF124/T124))-SIN((2*ACOS(1-2*BF124/T124)))))*((((T124^2/8)*((2*ACOS(1-2*BF124/T124))-SIN((2*ACOS(1-2*BF124/T124)))))/((T124/2)*((2*ACOS(1-2*BF124/T124)))))^(2/3))*SQRT(P124))</f>
        <v/>
      </c>
      <c r="BH124" s="9" t="str">
        <f aca="false">IF(BB124="","",IF(BG124&lt;BB124,BF124,BD124))</f>
        <v/>
      </c>
      <c r="BI124" s="9" t="str">
        <f aca="false">IF(BB124="","",IF(BG124&lt;BB124,BE124,BF124))</f>
        <v/>
      </c>
      <c r="BJ124" s="9" t="str">
        <f aca="false">IF(BB124="","",(BH124+BI124)/2)</f>
        <v/>
      </c>
      <c r="BK124" s="9" t="str">
        <f aca="false">IF(OR(T124="",P124="",BJ124="",T124&lt;=0,BJ124&lt;=0),"",(1/Inputs!$B$9)*((T124^2/8)*((2*ACOS(1-2*BJ124/T124))-SIN((2*ACOS(1-2*BJ124/T124)))))*((((T124^2/8)*((2*ACOS(1-2*BJ124/T124))-SIN((2*ACOS(1-2*BJ124/T124)))))/((T124/2)*((2*ACOS(1-2*BJ124/T124)))))^(2/3))*SQRT(P124))</f>
        <v/>
      </c>
      <c r="BL124" s="9" t="str">
        <f aca="false">IF(BB124="","",IF(BK124&lt;BB124,BJ124,BH124))</f>
        <v/>
      </c>
      <c r="BM124" s="9" t="str">
        <f aca="false">IF(BB124="","",IF(BK124&lt;BB124,BI124,BJ124))</f>
        <v/>
      </c>
      <c r="BN124" s="9" t="str">
        <f aca="false">IF(BB124="","",(BL124+BM124)/2)</f>
        <v/>
      </c>
      <c r="BO124" s="9" t="str">
        <f aca="false">IF(OR(T124="",P124="",BN124="",T124&lt;=0,BN124&lt;=0),"",(1/Inputs!$B$9)*((T124^2/8)*((2*ACOS(1-2*BN124/T124))-SIN((2*ACOS(1-2*BN124/T124)))))*((((T124^2/8)*((2*ACOS(1-2*BN124/T124))-SIN((2*ACOS(1-2*BN124/T124)))))/((T124/2)*((2*ACOS(1-2*BN124/T124)))))^(2/3))*SQRT(P124))</f>
        <v/>
      </c>
      <c r="BP124" s="9" t="str">
        <f aca="false">IF(BB124="","",IF(BO124&lt;BB124,BN124,BL124))</f>
        <v/>
      </c>
      <c r="BQ124" s="9" t="str">
        <f aca="false">IF(BB124="","",IF(BO124&lt;BB124,BM124,BN124))</f>
        <v/>
      </c>
      <c r="BR124" s="9" t="str">
        <f aca="false">IF(BB124="","",(BP124+BQ124)/2)</f>
        <v/>
      </c>
      <c r="BS124" s="9" t="str">
        <f aca="false">IF(OR(T124="",P124="",BR124="",T124&lt;=0,BR124&lt;=0),"",(1/Inputs!$B$9)*((T124^2/8)*((2*ACOS(1-2*BR124/T124))-SIN((2*ACOS(1-2*BR124/T124)))))*((((T124^2/8)*((2*ACOS(1-2*BR124/T124))-SIN((2*ACOS(1-2*BR124/T124)))))/((T124/2)*((2*ACOS(1-2*BR124/T124)))))^(2/3))*SQRT(P124))</f>
        <v/>
      </c>
      <c r="BT124" s="9" t="str">
        <f aca="false">IF(BB124="","",IF(BS124&lt;BB124,BR124,BP124))</f>
        <v/>
      </c>
      <c r="BU124" s="9" t="str">
        <f aca="false">IF(BB124="","",IF(BS124&lt;BB124,BQ124,BR124))</f>
        <v/>
      </c>
      <c r="BV124" s="9" t="str">
        <f aca="false">IF(BB124="","",(BT124+BU124)/2)</f>
        <v/>
      </c>
      <c r="BW124" s="9" t="str">
        <f aca="false">IF(OR(T124="",P124="",BV124="",T124&lt;=0,BV124&lt;=0),"",(1/Inputs!$B$9)*((T124^2/8)*((2*ACOS(1-2*BV124/T124))-SIN((2*ACOS(1-2*BV124/T124)))))*((((T124^2/8)*((2*ACOS(1-2*BV124/T124))-SIN((2*ACOS(1-2*BV124/T124)))))/((T124/2)*((2*ACOS(1-2*BV124/T124)))))^(2/3))*SQRT(P124))</f>
        <v/>
      </c>
      <c r="BX124" s="9" t="str">
        <f aca="false">IF(BB124="","",IF(BW124&lt;BB124,BV124,BT124))</f>
        <v/>
      </c>
      <c r="BY124" s="9" t="str">
        <f aca="false">IF(BB124="","",IF(BW124&lt;BB124,BU124,BV124))</f>
        <v/>
      </c>
      <c r="BZ124" s="9" t="str">
        <f aca="false">IF(BB124="","",(BX124+BY124)/2)</f>
        <v/>
      </c>
      <c r="CA124" s="9" t="str">
        <f aca="false">IF(OR(T124="",P124="",BZ124="",T124&lt;=0,BZ124&lt;=0),"",(1/Inputs!$B$9)*((T124^2/8)*((2*ACOS(1-2*BZ124/T124))-SIN((2*ACOS(1-2*BZ124/T124)))))*((((T124^2/8)*((2*ACOS(1-2*BZ124/T124))-SIN((2*ACOS(1-2*BZ124/T124)))))/((T124/2)*((2*ACOS(1-2*BZ124/T124)))))^(2/3))*SQRT(P124))</f>
        <v/>
      </c>
      <c r="CB124" s="9" t="str">
        <f aca="false">IF(BB124="","",IF(CA124&lt;BB124,BZ124,BX124))</f>
        <v/>
      </c>
      <c r="CC124" s="9" t="str">
        <f aca="false">IF(BB124="","",IF(CA124&lt;BB124,BY124,BZ124))</f>
        <v/>
      </c>
      <c r="CD124" s="9" t="str">
        <f aca="false">IF(BB124="","",(CB124+CC124)/2)</f>
        <v/>
      </c>
      <c r="CE124" s="9" t="str">
        <f aca="false">IF(OR(T124="",P124="",CD124="",T124&lt;=0,CD124&lt;=0),"",(1/Inputs!$B$9)*((T124^2/8)*((2*ACOS(1-2*CD124/T124))-SIN((2*ACOS(1-2*CD124/T124)))))*((((T124^2/8)*((2*ACOS(1-2*CD124/T124))-SIN((2*ACOS(1-2*CD124/T124)))))/((T124/2)*((2*ACOS(1-2*CD124/T124)))))^(2/3))*SQRT(P124))</f>
        <v/>
      </c>
      <c r="CF124" s="9" t="str">
        <f aca="false">IF(BB124="","",IF(CE124&lt;BB124,CD124,CB124))</f>
        <v/>
      </c>
      <c r="CG124" s="9" t="str">
        <f aca="false">IF(BB124="","",IF(CE124&lt;BB124,CC124,CD124))</f>
        <v/>
      </c>
      <c r="CH124" s="9" t="str">
        <f aca="false">IF(BB124="","",(CF124+CG124)/2)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14"/>
      <c r="F125" s="14"/>
      <c r="G125" s="14" t="n">
        <f aca="false">SUMIFS(CB_plan!$C:$C,CB_plan!$B:$B,$A125)</f>
        <v>0</v>
      </c>
      <c r="H125" s="14" t="n">
        <f aca="false">IF(F125="",G125,F125)</f>
        <v>0</v>
      </c>
      <c r="I125" s="9"/>
      <c r="J125" s="14"/>
      <c r="K125" s="14" t="str">
        <f aca="false">IF(A125="","",Inputs!$B$13/((IF(AV125="",Inputs!$B$18,AV125)+Inputs!$B$14)^Inputs!$B$15))</f>
        <v/>
      </c>
      <c r="L125" s="14" t="str">
        <f aca="false">IF(A125="","",0.000000278*IF(I125="",Inputs!$B$17,I125)*H125*K125)</f>
        <v/>
      </c>
      <c r="M125" s="14" t="str">
        <f aca="false">IF(A125="","",SUMIFS($N$4:$N$203,$D$4:$D$203,$A125))</f>
        <v/>
      </c>
      <c r="N125" s="14" t="str">
        <f aca="false">IF(A125="","",(L125+M125)*Inputs!$B$16)</f>
        <v/>
      </c>
      <c r="O125" s="14"/>
      <c r="P125" s="14" t="str">
        <f aca="false">IF(A125="","",IF(O125="",Inputs!$B$7,O125))</f>
        <v/>
      </c>
      <c r="Q125" s="9" t="str">
        <f aca="false">IF(A125="","",IF(N125/Inputs!$B$10&lt;=AG125,Inputs!$F$5,IF(N125/Inputs!$B$10&gt;AP125,"OVERSIZE",INDEX(Inputs!$F$5:$F$14,MATCH(N125/Inputs!$B$10,AG125:AP125,1)+1))))</f>
        <v/>
      </c>
      <c r="R125" s="9"/>
      <c r="S125" s="9" t="str">
        <f aca="false">IF(A125="","",IF(R125="",Q125,R125))</f>
        <v/>
      </c>
      <c r="T125" s="14" t="str">
        <f aca="false">IF(OR(S125="",S125="OVERSIZE"),"",S125/1000)</f>
        <v/>
      </c>
      <c r="U125" s="14" t="str">
        <f aca="false">IF(T125="","",(1/Inputs!$B$9)*(PI()*T125^2/4)*((T125/4)^(2/3))*SQRT(P125))</f>
        <v/>
      </c>
      <c r="V125" s="14" t="str">
        <f aca="false">IF(OR(U125="",N125=""),"",N125/(U125*Inputs!$B$10))</f>
        <v/>
      </c>
      <c r="W125" s="14" t="str">
        <f aca="false">IF(OR(T125="",N125=""),"",4*N125/(PI()*T125^2))</f>
        <v/>
      </c>
      <c r="X125" s="14"/>
      <c r="Y125" s="14" t="str">
        <f aca="false">IF(A125="","",IF(A125=Inputs!$B$6,Inputs!$B$22,IF(D125="","",IFERROR(INDEX($Z$4:$Z$203,MATCH(D125,$A$4:$A$203,0))+IF(X125="",Inputs!$B$20,X125),""))))</f>
        <v/>
      </c>
      <c r="Z125" s="14" t="str">
        <f aca="false">IF(OR(Y125="",P125="",E125=""),"",Y125+P125*E125)</f>
        <v/>
      </c>
      <c r="AA125" s="14" t="str">
        <f aca="false">IF(C125="","",IFERROR(INDEX(Noeuds_plan!$C$4:$C$200,MATCH(C125,Noeuds_plan!$A$4:$A$200,0)),""))</f>
        <v/>
      </c>
      <c r="AB125" s="14" t="str">
        <f aca="false">IF(B125="","",IFERROR(INDEX(Noeuds_plan!$C$4:$C$200,MATCH(B125,Noeuds_plan!$A$4:$A$200,0)),""))</f>
        <v/>
      </c>
      <c r="AC125" s="14" t="str">
        <f aca="false">IF(OR(AA125="",Y125=""),"",AA125-Y125)</f>
        <v/>
      </c>
      <c r="AD125" s="14" t="str">
        <f aca="false">IF(OR(AB125="",Z125=""),"",AB125-Z125)</f>
        <v/>
      </c>
      <c r="AE125" s="19" t="str">
        <f aca="false">IF(A125="","",IF(OR(V125&gt;1,AND(AY125&lt;&gt;"",AY125&lt;Inputs!$B$11),AND(AY125&lt;&gt;"",AY125&gt;Inputs!$B$12),AC125&lt;Inputs!$B$19,AD125&lt;Inputs!$B$19,P125&lt;Inputs!$B$7,P125&gt;Inputs!$B$8),"CHECK","OK"))</f>
        <v/>
      </c>
      <c r="AF125" s="9"/>
      <c r="AG125" s="9" t="str">
        <f aca="false">IF(A125="","",(1/Inputs!$B$9)*(PI()*(Inputs!$F$5/1000)^2/4)*((Inputs!$F$5/1000/4)^(2/3))*SQRT(P125))</f>
        <v/>
      </c>
      <c r="AH125" s="9" t="str">
        <f aca="false">IF(A125="","",(1/Inputs!$B$9)*(PI()*(Inputs!$F$6/1000)^2/4)*((Inputs!$F$6/1000/4)^(2/3))*SQRT(P125))</f>
        <v/>
      </c>
      <c r="AI125" s="9" t="str">
        <f aca="false">IF(A125="","",(1/Inputs!$B$9)*(PI()*(Inputs!$F$7/1000)^2/4)*((Inputs!$F$7/1000/4)^(2/3))*SQRT(P125))</f>
        <v/>
      </c>
      <c r="AJ125" s="9" t="str">
        <f aca="false">IF(A125="","",(1/Inputs!$B$9)*(PI()*(Inputs!$F$8/1000)^2/4)*((Inputs!$F$8/1000/4)^(2/3))*SQRT(P125))</f>
        <v/>
      </c>
      <c r="AK125" s="9" t="str">
        <f aca="false">IF(A125="","",(1/Inputs!$B$9)*(PI()*(Inputs!$F$9/1000)^2/4)*((Inputs!$F$9/1000/4)^(2/3))*SQRT(P125))</f>
        <v/>
      </c>
      <c r="AL125" s="9" t="str">
        <f aca="false">IF(A125="","",(1/Inputs!$B$9)*(PI()*(Inputs!$F$10/1000)^2/4)*((Inputs!$F$10/1000/4)^(2/3))*SQRT(P125))</f>
        <v/>
      </c>
      <c r="AM125" s="9" t="str">
        <f aca="false">IF(A125="","",(1/Inputs!$B$9)*(PI()*(Inputs!$F$11/1000)^2/4)*((Inputs!$F$11/1000/4)^(2/3))*SQRT(P125))</f>
        <v/>
      </c>
      <c r="AN125" s="9" t="str">
        <f aca="false">IF(A125="","",(1/Inputs!$B$9)*(PI()*(Inputs!$F$12/1000)^2/4)*((Inputs!$F$12/1000/4)^(2/3))*SQRT(P125))</f>
        <v/>
      </c>
      <c r="AO125" s="9" t="str">
        <f aca="false">IF(A125="","",(1/Inputs!$B$9)*(PI()*(Inputs!$F$13/1000)^2/4)*((Inputs!$F$13/1000/4)^(2/3))*SQRT(P125))</f>
        <v/>
      </c>
      <c r="AP125" s="9" t="str">
        <f aca="false">IF(A125="","",(1/Inputs!$B$9)*(PI()*(Inputs!$F$14/1000)^2/4)*((Inputs!$F$14/1000/4)^(2/3))*SQRT(P125))</f>
        <v/>
      </c>
      <c r="AQ125" s="9" t="str">
        <f aca="false">IF(A125="","",COUNTIF($D$4:$D$203,$A125))</f>
        <v/>
      </c>
      <c r="AR125" s="9" t="str">
        <f aca="false">IF(A125="","",IF(AQ125=0,"START","CONTINUOUS"))</f>
        <v/>
      </c>
      <c r="AS125" s="13" t="str">
        <f aca="false">IF(A125="","",IF(J125="",Inputs!$B$18,J125))</f>
        <v/>
      </c>
      <c r="AT125" s="13" t="str">
        <f aca="false">IF(A125="","",IFERROR(maxifs($AV$4:$AV$203,$D$4:$D$203,$A125),""))</f>
        <v/>
      </c>
      <c r="AU125" s="13" t="str">
        <f aca="false">IF(A125="","",IF(OR(E125="",Inputs!$B$23=""),"",E125/(Inputs!$B$23*60)))</f>
        <v/>
      </c>
      <c r="AV125" s="13" t="str">
        <f aca="false">IF(A125="","",IF(AQ125=0,AS125+AU125,IF(AT125="",AS125+AU125,AT125+AU125)))</f>
        <v/>
      </c>
      <c r="AW125" s="13" t="str">
        <f aca="false">IF(A125="","",W125)</f>
        <v/>
      </c>
      <c r="AX125" s="13" t="str">
        <f aca="false">IF(OR(T125="",P125=""),"",(1/Inputs!$B$9)*((T125/4)^(2/3))*SQRT(P125))</f>
        <v/>
      </c>
      <c r="AY125" s="13" t="str">
        <f aca="false">IF(A125="","",IF(AND(AW125="",AX125="",BA125=""),"",IF(OR(UPPER(TRIM(Inputs!$B$24))="MANNING",UPPER(TRIM(Inputs!$B$24))="M"),AX125,IF(OR(UPPER(TRIM(Inputs!$B$24))="PARTIAL",UPPER(TRIM(Inputs!$B$24))="P"),BA125,IF(OR(UPPER(TRIM(Inputs!$B$24))="MAX",UPPER(TRIM(Inputs!$B$24))="X"),MAX(IF(AW125="",0,AW125),IF(AX125="",0,AX125),IF(BA125="",0,BA125)),AW125)))))</f>
        <v/>
      </c>
      <c r="AZ125" s="13" t="str">
        <f aca="false">IF(BB125="","",CH125)</f>
        <v/>
      </c>
      <c r="BA125" s="13" t="str">
        <f aca="false">IF(OR(BB125="",AZ125="",T125="",T125&lt;=0,AZ125&lt;=0),"",BB125/((T125^2/8)*(2*ACOS(1-2*AZ125/T125)-SIN(2*ACOS(1-2*AZ125/T125)))))</f>
        <v/>
      </c>
      <c r="BB125" s="9" t="str">
        <f aca="false">IF(OR(N125="",BC125=""),"",MIN(N125,BC125))</f>
        <v/>
      </c>
      <c r="BC125" s="9" t="str">
        <f aca="false">IF(OR(N125="",T125="",P125=""),"",IF(OR(T125="",P125="",(0.94*T125)="",T125&lt;=0,(0.94*T125)&lt;=0),"",(1/Inputs!$B$9)*((T125^2/8)*((2*ACOS(1-2*(0.94*T125)/T125))-SIN((2*ACOS(1-2*(0.94*T125)/T125)))))*((((T125^2/8)*((2*ACOS(1-2*(0.94*T125)/T125))-SIN((2*ACOS(1-2*(0.94*T125)/T125)))))/((T125/2)*((2*ACOS(1-2*(0.94*T125)/T125)))))^(2/3))*SQRT(P125)))</f>
        <v/>
      </c>
      <c r="BD125" s="9" t="str">
        <f aca="false">IF(BB125="","",0.001*T125)</f>
        <v/>
      </c>
      <c r="BE125" s="9" t="str">
        <f aca="false">IF(BB125="","",0.94*T125)</f>
        <v/>
      </c>
      <c r="BF125" s="9" t="str">
        <f aca="false">IF(BB125="","",(BD125+BE125)/2)</f>
        <v/>
      </c>
      <c r="BG125" s="9" t="str">
        <f aca="false">IF(OR(T125="",P125="",BF125="",T125&lt;=0,BF125&lt;=0),"",(1/Inputs!$B$9)*((T125^2/8)*((2*ACOS(1-2*BF125/T125))-SIN((2*ACOS(1-2*BF125/T125)))))*((((T125^2/8)*((2*ACOS(1-2*BF125/T125))-SIN((2*ACOS(1-2*BF125/T125)))))/((T125/2)*((2*ACOS(1-2*BF125/T125)))))^(2/3))*SQRT(P125))</f>
        <v/>
      </c>
      <c r="BH125" s="9" t="str">
        <f aca="false">IF(BB125="","",IF(BG125&lt;BB125,BF125,BD125))</f>
        <v/>
      </c>
      <c r="BI125" s="9" t="str">
        <f aca="false">IF(BB125="","",IF(BG125&lt;BB125,BE125,BF125))</f>
        <v/>
      </c>
      <c r="BJ125" s="9" t="str">
        <f aca="false">IF(BB125="","",(BH125+BI125)/2)</f>
        <v/>
      </c>
      <c r="BK125" s="9" t="str">
        <f aca="false">IF(OR(T125="",P125="",BJ125="",T125&lt;=0,BJ125&lt;=0),"",(1/Inputs!$B$9)*((T125^2/8)*((2*ACOS(1-2*BJ125/T125))-SIN((2*ACOS(1-2*BJ125/T125)))))*((((T125^2/8)*((2*ACOS(1-2*BJ125/T125))-SIN((2*ACOS(1-2*BJ125/T125)))))/((T125/2)*((2*ACOS(1-2*BJ125/T125)))))^(2/3))*SQRT(P125))</f>
        <v/>
      </c>
      <c r="BL125" s="9" t="str">
        <f aca="false">IF(BB125="","",IF(BK125&lt;BB125,BJ125,BH125))</f>
        <v/>
      </c>
      <c r="BM125" s="9" t="str">
        <f aca="false">IF(BB125="","",IF(BK125&lt;BB125,BI125,BJ125))</f>
        <v/>
      </c>
      <c r="BN125" s="9" t="str">
        <f aca="false">IF(BB125="","",(BL125+BM125)/2)</f>
        <v/>
      </c>
      <c r="BO125" s="9" t="str">
        <f aca="false">IF(OR(T125="",P125="",BN125="",T125&lt;=0,BN125&lt;=0),"",(1/Inputs!$B$9)*((T125^2/8)*((2*ACOS(1-2*BN125/T125))-SIN((2*ACOS(1-2*BN125/T125)))))*((((T125^2/8)*((2*ACOS(1-2*BN125/T125))-SIN((2*ACOS(1-2*BN125/T125)))))/((T125/2)*((2*ACOS(1-2*BN125/T125)))))^(2/3))*SQRT(P125))</f>
        <v/>
      </c>
      <c r="BP125" s="9" t="str">
        <f aca="false">IF(BB125="","",IF(BO125&lt;BB125,BN125,BL125))</f>
        <v/>
      </c>
      <c r="BQ125" s="9" t="str">
        <f aca="false">IF(BB125="","",IF(BO125&lt;BB125,BM125,BN125))</f>
        <v/>
      </c>
      <c r="BR125" s="9" t="str">
        <f aca="false">IF(BB125="","",(BP125+BQ125)/2)</f>
        <v/>
      </c>
      <c r="BS125" s="9" t="str">
        <f aca="false">IF(OR(T125="",P125="",BR125="",T125&lt;=0,BR125&lt;=0),"",(1/Inputs!$B$9)*((T125^2/8)*((2*ACOS(1-2*BR125/T125))-SIN((2*ACOS(1-2*BR125/T125)))))*((((T125^2/8)*((2*ACOS(1-2*BR125/T125))-SIN((2*ACOS(1-2*BR125/T125)))))/((T125/2)*((2*ACOS(1-2*BR125/T125)))))^(2/3))*SQRT(P125))</f>
        <v/>
      </c>
      <c r="BT125" s="9" t="str">
        <f aca="false">IF(BB125="","",IF(BS125&lt;BB125,BR125,BP125))</f>
        <v/>
      </c>
      <c r="BU125" s="9" t="str">
        <f aca="false">IF(BB125="","",IF(BS125&lt;BB125,BQ125,BR125))</f>
        <v/>
      </c>
      <c r="BV125" s="9" t="str">
        <f aca="false">IF(BB125="","",(BT125+BU125)/2)</f>
        <v/>
      </c>
      <c r="BW125" s="9" t="str">
        <f aca="false">IF(OR(T125="",P125="",BV125="",T125&lt;=0,BV125&lt;=0),"",(1/Inputs!$B$9)*((T125^2/8)*((2*ACOS(1-2*BV125/T125))-SIN((2*ACOS(1-2*BV125/T125)))))*((((T125^2/8)*((2*ACOS(1-2*BV125/T125))-SIN((2*ACOS(1-2*BV125/T125)))))/((T125/2)*((2*ACOS(1-2*BV125/T125)))))^(2/3))*SQRT(P125))</f>
        <v/>
      </c>
      <c r="BX125" s="9" t="str">
        <f aca="false">IF(BB125="","",IF(BW125&lt;BB125,BV125,BT125))</f>
        <v/>
      </c>
      <c r="BY125" s="9" t="str">
        <f aca="false">IF(BB125="","",IF(BW125&lt;BB125,BU125,BV125))</f>
        <v/>
      </c>
      <c r="BZ125" s="9" t="str">
        <f aca="false">IF(BB125="","",(BX125+BY125)/2)</f>
        <v/>
      </c>
      <c r="CA125" s="9" t="str">
        <f aca="false">IF(OR(T125="",P125="",BZ125="",T125&lt;=0,BZ125&lt;=0),"",(1/Inputs!$B$9)*((T125^2/8)*((2*ACOS(1-2*BZ125/T125))-SIN((2*ACOS(1-2*BZ125/T125)))))*((((T125^2/8)*((2*ACOS(1-2*BZ125/T125))-SIN((2*ACOS(1-2*BZ125/T125)))))/((T125/2)*((2*ACOS(1-2*BZ125/T125)))))^(2/3))*SQRT(P125))</f>
        <v/>
      </c>
      <c r="CB125" s="9" t="str">
        <f aca="false">IF(BB125="","",IF(CA125&lt;BB125,BZ125,BX125))</f>
        <v/>
      </c>
      <c r="CC125" s="9" t="str">
        <f aca="false">IF(BB125="","",IF(CA125&lt;BB125,BY125,BZ125))</f>
        <v/>
      </c>
      <c r="CD125" s="9" t="str">
        <f aca="false">IF(BB125="","",(CB125+CC125)/2)</f>
        <v/>
      </c>
      <c r="CE125" s="9" t="str">
        <f aca="false">IF(OR(T125="",P125="",CD125="",T125&lt;=0,CD125&lt;=0),"",(1/Inputs!$B$9)*((T125^2/8)*((2*ACOS(1-2*CD125/T125))-SIN((2*ACOS(1-2*CD125/T125)))))*((((T125^2/8)*((2*ACOS(1-2*CD125/T125))-SIN((2*ACOS(1-2*CD125/T125)))))/((T125/2)*((2*ACOS(1-2*CD125/T125)))))^(2/3))*SQRT(P125))</f>
        <v/>
      </c>
      <c r="CF125" s="9" t="str">
        <f aca="false">IF(BB125="","",IF(CE125&lt;BB125,CD125,CB125))</f>
        <v/>
      </c>
      <c r="CG125" s="9" t="str">
        <f aca="false">IF(BB125="","",IF(CE125&lt;BB125,CC125,CD125))</f>
        <v/>
      </c>
      <c r="CH125" s="9" t="str">
        <f aca="false">IF(BB125="","",(CF125+CG125)/2)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14"/>
      <c r="F126" s="14"/>
      <c r="G126" s="14" t="n">
        <f aca="false">SUMIFS(CB_plan!$C:$C,CB_plan!$B:$B,$A126)</f>
        <v>0</v>
      </c>
      <c r="H126" s="14" t="n">
        <f aca="false">IF(F126="",G126,F126)</f>
        <v>0</v>
      </c>
      <c r="I126" s="9"/>
      <c r="J126" s="14"/>
      <c r="K126" s="14" t="str">
        <f aca="false">IF(A126="","",Inputs!$B$13/((IF(AV126="",Inputs!$B$18,AV126)+Inputs!$B$14)^Inputs!$B$15))</f>
        <v/>
      </c>
      <c r="L126" s="14" t="str">
        <f aca="false">IF(A126="","",0.000000278*IF(I126="",Inputs!$B$17,I126)*H126*K126)</f>
        <v/>
      </c>
      <c r="M126" s="14" t="str">
        <f aca="false">IF(A126="","",SUMIFS($N$4:$N$203,$D$4:$D$203,$A126))</f>
        <v/>
      </c>
      <c r="N126" s="14" t="str">
        <f aca="false">IF(A126="","",(L126+M126)*Inputs!$B$16)</f>
        <v/>
      </c>
      <c r="O126" s="14"/>
      <c r="P126" s="14" t="str">
        <f aca="false">IF(A126="","",IF(O126="",Inputs!$B$7,O126))</f>
        <v/>
      </c>
      <c r="Q126" s="9" t="str">
        <f aca="false">IF(A126="","",IF(N126/Inputs!$B$10&lt;=AG126,Inputs!$F$5,IF(N126/Inputs!$B$10&gt;AP126,"OVERSIZE",INDEX(Inputs!$F$5:$F$14,MATCH(N126/Inputs!$B$10,AG126:AP126,1)+1))))</f>
        <v/>
      </c>
      <c r="R126" s="9"/>
      <c r="S126" s="9" t="str">
        <f aca="false">IF(A126="","",IF(R126="",Q126,R126))</f>
        <v/>
      </c>
      <c r="T126" s="14" t="str">
        <f aca="false">IF(OR(S126="",S126="OVERSIZE"),"",S126/1000)</f>
        <v/>
      </c>
      <c r="U126" s="14" t="str">
        <f aca="false">IF(T126="","",(1/Inputs!$B$9)*(PI()*T126^2/4)*((T126/4)^(2/3))*SQRT(P126))</f>
        <v/>
      </c>
      <c r="V126" s="14" t="str">
        <f aca="false">IF(OR(U126="",N126=""),"",N126/(U126*Inputs!$B$10))</f>
        <v/>
      </c>
      <c r="W126" s="14" t="str">
        <f aca="false">IF(OR(T126="",N126=""),"",4*N126/(PI()*T126^2))</f>
        <v/>
      </c>
      <c r="X126" s="14"/>
      <c r="Y126" s="14" t="str">
        <f aca="false">IF(A126="","",IF(A126=Inputs!$B$6,Inputs!$B$22,IF(D126="","",IFERROR(INDEX($Z$4:$Z$203,MATCH(D126,$A$4:$A$203,0))+IF(X126="",Inputs!$B$20,X126),""))))</f>
        <v/>
      </c>
      <c r="Z126" s="14" t="str">
        <f aca="false">IF(OR(Y126="",P126="",E126=""),"",Y126+P126*E126)</f>
        <v/>
      </c>
      <c r="AA126" s="14" t="str">
        <f aca="false">IF(C126="","",IFERROR(INDEX(Noeuds_plan!$C$4:$C$200,MATCH(C126,Noeuds_plan!$A$4:$A$200,0)),""))</f>
        <v/>
      </c>
      <c r="AB126" s="14" t="str">
        <f aca="false">IF(B126="","",IFERROR(INDEX(Noeuds_plan!$C$4:$C$200,MATCH(B126,Noeuds_plan!$A$4:$A$200,0)),""))</f>
        <v/>
      </c>
      <c r="AC126" s="14" t="str">
        <f aca="false">IF(OR(AA126="",Y126=""),"",AA126-Y126)</f>
        <v/>
      </c>
      <c r="AD126" s="14" t="str">
        <f aca="false">IF(OR(AB126="",Z126=""),"",AB126-Z126)</f>
        <v/>
      </c>
      <c r="AE126" s="19" t="str">
        <f aca="false">IF(A126="","",IF(OR(V126&gt;1,AND(AY126&lt;&gt;"",AY126&lt;Inputs!$B$11),AND(AY126&lt;&gt;"",AY126&gt;Inputs!$B$12),AC126&lt;Inputs!$B$19,AD126&lt;Inputs!$B$19,P126&lt;Inputs!$B$7,P126&gt;Inputs!$B$8),"CHECK","OK"))</f>
        <v/>
      </c>
      <c r="AF126" s="9"/>
      <c r="AG126" s="9" t="str">
        <f aca="false">IF(A126="","",(1/Inputs!$B$9)*(PI()*(Inputs!$F$5/1000)^2/4)*((Inputs!$F$5/1000/4)^(2/3))*SQRT(P126))</f>
        <v/>
      </c>
      <c r="AH126" s="9" t="str">
        <f aca="false">IF(A126="","",(1/Inputs!$B$9)*(PI()*(Inputs!$F$6/1000)^2/4)*((Inputs!$F$6/1000/4)^(2/3))*SQRT(P126))</f>
        <v/>
      </c>
      <c r="AI126" s="9" t="str">
        <f aca="false">IF(A126="","",(1/Inputs!$B$9)*(PI()*(Inputs!$F$7/1000)^2/4)*((Inputs!$F$7/1000/4)^(2/3))*SQRT(P126))</f>
        <v/>
      </c>
      <c r="AJ126" s="9" t="str">
        <f aca="false">IF(A126="","",(1/Inputs!$B$9)*(PI()*(Inputs!$F$8/1000)^2/4)*((Inputs!$F$8/1000/4)^(2/3))*SQRT(P126))</f>
        <v/>
      </c>
      <c r="AK126" s="9" t="str">
        <f aca="false">IF(A126="","",(1/Inputs!$B$9)*(PI()*(Inputs!$F$9/1000)^2/4)*((Inputs!$F$9/1000/4)^(2/3))*SQRT(P126))</f>
        <v/>
      </c>
      <c r="AL126" s="9" t="str">
        <f aca="false">IF(A126="","",(1/Inputs!$B$9)*(PI()*(Inputs!$F$10/1000)^2/4)*((Inputs!$F$10/1000/4)^(2/3))*SQRT(P126))</f>
        <v/>
      </c>
      <c r="AM126" s="9" t="str">
        <f aca="false">IF(A126="","",(1/Inputs!$B$9)*(PI()*(Inputs!$F$11/1000)^2/4)*((Inputs!$F$11/1000/4)^(2/3))*SQRT(P126))</f>
        <v/>
      </c>
      <c r="AN126" s="9" t="str">
        <f aca="false">IF(A126="","",(1/Inputs!$B$9)*(PI()*(Inputs!$F$12/1000)^2/4)*((Inputs!$F$12/1000/4)^(2/3))*SQRT(P126))</f>
        <v/>
      </c>
      <c r="AO126" s="9" t="str">
        <f aca="false">IF(A126="","",(1/Inputs!$B$9)*(PI()*(Inputs!$F$13/1000)^2/4)*((Inputs!$F$13/1000/4)^(2/3))*SQRT(P126))</f>
        <v/>
      </c>
      <c r="AP126" s="9" t="str">
        <f aca="false">IF(A126="","",(1/Inputs!$B$9)*(PI()*(Inputs!$F$14/1000)^2/4)*((Inputs!$F$14/1000/4)^(2/3))*SQRT(P126))</f>
        <v/>
      </c>
      <c r="AQ126" s="9" t="str">
        <f aca="false">IF(A126="","",COUNTIF($D$4:$D$203,$A126))</f>
        <v/>
      </c>
      <c r="AR126" s="9" t="str">
        <f aca="false">IF(A126="","",IF(AQ126=0,"START","CONTINUOUS"))</f>
        <v/>
      </c>
      <c r="AS126" s="13" t="str">
        <f aca="false">IF(A126="","",IF(J126="",Inputs!$B$18,J126))</f>
        <v/>
      </c>
      <c r="AT126" s="13" t="str">
        <f aca="false">IF(A126="","",IFERROR(maxifs($AV$4:$AV$203,$D$4:$D$203,$A126),""))</f>
        <v/>
      </c>
      <c r="AU126" s="13" t="str">
        <f aca="false">IF(A126="","",IF(OR(E126="",Inputs!$B$23=""),"",E126/(Inputs!$B$23*60)))</f>
        <v/>
      </c>
      <c r="AV126" s="13" t="str">
        <f aca="false">IF(A126="","",IF(AQ126=0,AS126+AU126,IF(AT126="",AS126+AU126,AT126+AU126)))</f>
        <v/>
      </c>
      <c r="AW126" s="13" t="str">
        <f aca="false">IF(A126="","",W126)</f>
        <v/>
      </c>
      <c r="AX126" s="13" t="str">
        <f aca="false">IF(OR(T126="",P126=""),"",(1/Inputs!$B$9)*((T126/4)^(2/3))*SQRT(P126))</f>
        <v/>
      </c>
      <c r="AY126" s="13" t="str">
        <f aca="false">IF(A126="","",IF(AND(AW126="",AX126="",BA126=""),"",IF(OR(UPPER(TRIM(Inputs!$B$24))="MANNING",UPPER(TRIM(Inputs!$B$24))="M"),AX126,IF(OR(UPPER(TRIM(Inputs!$B$24))="PARTIAL",UPPER(TRIM(Inputs!$B$24))="P"),BA126,IF(OR(UPPER(TRIM(Inputs!$B$24))="MAX",UPPER(TRIM(Inputs!$B$24))="X"),MAX(IF(AW126="",0,AW126),IF(AX126="",0,AX126),IF(BA126="",0,BA126)),AW126)))))</f>
        <v/>
      </c>
      <c r="AZ126" s="13" t="str">
        <f aca="false">IF(BB126="","",CH126)</f>
        <v/>
      </c>
      <c r="BA126" s="13" t="str">
        <f aca="false">IF(OR(BB126="",AZ126="",T126="",T126&lt;=0,AZ126&lt;=0),"",BB126/((T126^2/8)*(2*ACOS(1-2*AZ126/T126)-SIN(2*ACOS(1-2*AZ126/T126)))))</f>
        <v/>
      </c>
      <c r="BB126" s="9" t="str">
        <f aca="false">IF(OR(N126="",BC126=""),"",MIN(N126,BC126))</f>
        <v/>
      </c>
      <c r="BC126" s="9" t="str">
        <f aca="false">IF(OR(N126="",T126="",P126=""),"",IF(OR(T126="",P126="",(0.94*T126)="",T126&lt;=0,(0.94*T126)&lt;=0),"",(1/Inputs!$B$9)*((T126^2/8)*((2*ACOS(1-2*(0.94*T126)/T126))-SIN((2*ACOS(1-2*(0.94*T126)/T126)))))*((((T126^2/8)*((2*ACOS(1-2*(0.94*T126)/T126))-SIN((2*ACOS(1-2*(0.94*T126)/T126)))))/((T126/2)*((2*ACOS(1-2*(0.94*T126)/T126)))))^(2/3))*SQRT(P126)))</f>
        <v/>
      </c>
      <c r="BD126" s="9" t="str">
        <f aca="false">IF(BB126="","",0.001*T126)</f>
        <v/>
      </c>
      <c r="BE126" s="9" t="str">
        <f aca="false">IF(BB126="","",0.94*T126)</f>
        <v/>
      </c>
      <c r="BF126" s="9" t="str">
        <f aca="false">IF(BB126="","",(BD126+BE126)/2)</f>
        <v/>
      </c>
      <c r="BG126" s="9" t="str">
        <f aca="false">IF(OR(T126="",P126="",BF126="",T126&lt;=0,BF126&lt;=0),"",(1/Inputs!$B$9)*((T126^2/8)*((2*ACOS(1-2*BF126/T126))-SIN((2*ACOS(1-2*BF126/T126)))))*((((T126^2/8)*((2*ACOS(1-2*BF126/T126))-SIN((2*ACOS(1-2*BF126/T126)))))/((T126/2)*((2*ACOS(1-2*BF126/T126)))))^(2/3))*SQRT(P126))</f>
        <v/>
      </c>
      <c r="BH126" s="9" t="str">
        <f aca="false">IF(BB126="","",IF(BG126&lt;BB126,BF126,BD126))</f>
        <v/>
      </c>
      <c r="BI126" s="9" t="str">
        <f aca="false">IF(BB126="","",IF(BG126&lt;BB126,BE126,BF126))</f>
        <v/>
      </c>
      <c r="BJ126" s="9" t="str">
        <f aca="false">IF(BB126="","",(BH126+BI126)/2)</f>
        <v/>
      </c>
      <c r="BK126" s="9" t="str">
        <f aca="false">IF(OR(T126="",P126="",BJ126="",T126&lt;=0,BJ126&lt;=0),"",(1/Inputs!$B$9)*((T126^2/8)*((2*ACOS(1-2*BJ126/T126))-SIN((2*ACOS(1-2*BJ126/T126)))))*((((T126^2/8)*((2*ACOS(1-2*BJ126/T126))-SIN((2*ACOS(1-2*BJ126/T126)))))/((T126/2)*((2*ACOS(1-2*BJ126/T126)))))^(2/3))*SQRT(P126))</f>
        <v/>
      </c>
      <c r="BL126" s="9" t="str">
        <f aca="false">IF(BB126="","",IF(BK126&lt;BB126,BJ126,BH126))</f>
        <v/>
      </c>
      <c r="BM126" s="9" t="str">
        <f aca="false">IF(BB126="","",IF(BK126&lt;BB126,BI126,BJ126))</f>
        <v/>
      </c>
      <c r="BN126" s="9" t="str">
        <f aca="false">IF(BB126="","",(BL126+BM126)/2)</f>
        <v/>
      </c>
      <c r="BO126" s="9" t="str">
        <f aca="false">IF(OR(T126="",P126="",BN126="",T126&lt;=0,BN126&lt;=0),"",(1/Inputs!$B$9)*((T126^2/8)*((2*ACOS(1-2*BN126/T126))-SIN((2*ACOS(1-2*BN126/T126)))))*((((T126^2/8)*((2*ACOS(1-2*BN126/T126))-SIN((2*ACOS(1-2*BN126/T126)))))/((T126/2)*((2*ACOS(1-2*BN126/T126)))))^(2/3))*SQRT(P126))</f>
        <v/>
      </c>
      <c r="BP126" s="9" t="str">
        <f aca="false">IF(BB126="","",IF(BO126&lt;BB126,BN126,BL126))</f>
        <v/>
      </c>
      <c r="BQ126" s="9" t="str">
        <f aca="false">IF(BB126="","",IF(BO126&lt;BB126,BM126,BN126))</f>
        <v/>
      </c>
      <c r="BR126" s="9" t="str">
        <f aca="false">IF(BB126="","",(BP126+BQ126)/2)</f>
        <v/>
      </c>
      <c r="BS126" s="9" t="str">
        <f aca="false">IF(OR(T126="",P126="",BR126="",T126&lt;=0,BR126&lt;=0),"",(1/Inputs!$B$9)*((T126^2/8)*((2*ACOS(1-2*BR126/T126))-SIN((2*ACOS(1-2*BR126/T126)))))*((((T126^2/8)*((2*ACOS(1-2*BR126/T126))-SIN((2*ACOS(1-2*BR126/T126)))))/((T126/2)*((2*ACOS(1-2*BR126/T126)))))^(2/3))*SQRT(P126))</f>
        <v/>
      </c>
      <c r="BT126" s="9" t="str">
        <f aca="false">IF(BB126="","",IF(BS126&lt;BB126,BR126,BP126))</f>
        <v/>
      </c>
      <c r="BU126" s="9" t="str">
        <f aca="false">IF(BB126="","",IF(BS126&lt;BB126,BQ126,BR126))</f>
        <v/>
      </c>
      <c r="BV126" s="9" t="str">
        <f aca="false">IF(BB126="","",(BT126+BU126)/2)</f>
        <v/>
      </c>
      <c r="BW126" s="9" t="str">
        <f aca="false">IF(OR(T126="",P126="",BV126="",T126&lt;=0,BV126&lt;=0),"",(1/Inputs!$B$9)*((T126^2/8)*((2*ACOS(1-2*BV126/T126))-SIN((2*ACOS(1-2*BV126/T126)))))*((((T126^2/8)*((2*ACOS(1-2*BV126/T126))-SIN((2*ACOS(1-2*BV126/T126)))))/((T126/2)*((2*ACOS(1-2*BV126/T126)))))^(2/3))*SQRT(P126))</f>
        <v/>
      </c>
      <c r="BX126" s="9" t="str">
        <f aca="false">IF(BB126="","",IF(BW126&lt;BB126,BV126,BT126))</f>
        <v/>
      </c>
      <c r="BY126" s="9" t="str">
        <f aca="false">IF(BB126="","",IF(BW126&lt;BB126,BU126,BV126))</f>
        <v/>
      </c>
      <c r="BZ126" s="9" t="str">
        <f aca="false">IF(BB126="","",(BX126+BY126)/2)</f>
        <v/>
      </c>
      <c r="CA126" s="9" t="str">
        <f aca="false">IF(OR(T126="",P126="",BZ126="",T126&lt;=0,BZ126&lt;=0),"",(1/Inputs!$B$9)*((T126^2/8)*((2*ACOS(1-2*BZ126/T126))-SIN((2*ACOS(1-2*BZ126/T126)))))*((((T126^2/8)*((2*ACOS(1-2*BZ126/T126))-SIN((2*ACOS(1-2*BZ126/T126)))))/((T126/2)*((2*ACOS(1-2*BZ126/T126)))))^(2/3))*SQRT(P126))</f>
        <v/>
      </c>
      <c r="CB126" s="9" t="str">
        <f aca="false">IF(BB126="","",IF(CA126&lt;BB126,BZ126,BX126))</f>
        <v/>
      </c>
      <c r="CC126" s="9" t="str">
        <f aca="false">IF(BB126="","",IF(CA126&lt;BB126,BY126,BZ126))</f>
        <v/>
      </c>
      <c r="CD126" s="9" t="str">
        <f aca="false">IF(BB126="","",(CB126+CC126)/2)</f>
        <v/>
      </c>
      <c r="CE126" s="9" t="str">
        <f aca="false">IF(OR(T126="",P126="",CD126="",T126&lt;=0,CD126&lt;=0),"",(1/Inputs!$B$9)*((T126^2/8)*((2*ACOS(1-2*CD126/T126))-SIN((2*ACOS(1-2*CD126/T126)))))*((((T126^2/8)*((2*ACOS(1-2*CD126/T126))-SIN((2*ACOS(1-2*CD126/T126)))))/((T126/2)*((2*ACOS(1-2*CD126/T126)))))^(2/3))*SQRT(P126))</f>
        <v/>
      </c>
      <c r="CF126" s="9" t="str">
        <f aca="false">IF(BB126="","",IF(CE126&lt;BB126,CD126,CB126))</f>
        <v/>
      </c>
      <c r="CG126" s="9" t="str">
        <f aca="false">IF(BB126="","",IF(CE126&lt;BB126,CC126,CD126))</f>
        <v/>
      </c>
      <c r="CH126" s="9" t="str">
        <f aca="false">IF(BB126="","",(CF126+CG126)/2)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14"/>
      <c r="F127" s="14"/>
      <c r="G127" s="14" t="n">
        <f aca="false">SUMIFS(CB_plan!$C:$C,CB_plan!$B:$B,$A127)</f>
        <v>0</v>
      </c>
      <c r="H127" s="14" t="n">
        <f aca="false">IF(F127="",G127,F127)</f>
        <v>0</v>
      </c>
      <c r="I127" s="9"/>
      <c r="J127" s="14"/>
      <c r="K127" s="14" t="str">
        <f aca="false">IF(A127="","",Inputs!$B$13/((IF(AV127="",Inputs!$B$18,AV127)+Inputs!$B$14)^Inputs!$B$15))</f>
        <v/>
      </c>
      <c r="L127" s="14" t="str">
        <f aca="false">IF(A127="","",0.000000278*IF(I127="",Inputs!$B$17,I127)*H127*K127)</f>
        <v/>
      </c>
      <c r="M127" s="14" t="str">
        <f aca="false">IF(A127="","",SUMIFS($N$4:$N$203,$D$4:$D$203,$A127))</f>
        <v/>
      </c>
      <c r="N127" s="14" t="str">
        <f aca="false">IF(A127="","",(L127+M127)*Inputs!$B$16)</f>
        <v/>
      </c>
      <c r="O127" s="14"/>
      <c r="P127" s="14" t="str">
        <f aca="false">IF(A127="","",IF(O127="",Inputs!$B$7,O127))</f>
        <v/>
      </c>
      <c r="Q127" s="9" t="str">
        <f aca="false">IF(A127="","",IF(N127/Inputs!$B$10&lt;=AG127,Inputs!$F$5,IF(N127/Inputs!$B$10&gt;AP127,"OVERSIZE",INDEX(Inputs!$F$5:$F$14,MATCH(N127/Inputs!$B$10,AG127:AP127,1)+1))))</f>
        <v/>
      </c>
      <c r="R127" s="9"/>
      <c r="S127" s="9" t="str">
        <f aca="false">IF(A127="","",IF(R127="",Q127,R127))</f>
        <v/>
      </c>
      <c r="T127" s="14" t="str">
        <f aca="false">IF(OR(S127="",S127="OVERSIZE"),"",S127/1000)</f>
        <v/>
      </c>
      <c r="U127" s="14" t="str">
        <f aca="false">IF(T127="","",(1/Inputs!$B$9)*(PI()*T127^2/4)*((T127/4)^(2/3))*SQRT(P127))</f>
        <v/>
      </c>
      <c r="V127" s="14" t="str">
        <f aca="false">IF(OR(U127="",N127=""),"",N127/(U127*Inputs!$B$10))</f>
        <v/>
      </c>
      <c r="W127" s="14" t="str">
        <f aca="false">IF(OR(T127="",N127=""),"",4*N127/(PI()*T127^2))</f>
        <v/>
      </c>
      <c r="X127" s="14"/>
      <c r="Y127" s="14" t="str">
        <f aca="false">IF(A127="","",IF(A127=Inputs!$B$6,Inputs!$B$22,IF(D127="","",IFERROR(INDEX($Z$4:$Z$203,MATCH(D127,$A$4:$A$203,0))+IF(X127="",Inputs!$B$20,X127),""))))</f>
        <v/>
      </c>
      <c r="Z127" s="14" t="str">
        <f aca="false">IF(OR(Y127="",P127="",E127=""),"",Y127+P127*E127)</f>
        <v/>
      </c>
      <c r="AA127" s="14" t="str">
        <f aca="false">IF(C127="","",IFERROR(INDEX(Noeuds_plan!$C$4:$C$200,MATCH(C127,Noeuds_plan!$A$4:$A$200,0)),""))</f>
        <v/>
      </c>
      <c r="AB127" s="14" t="str">
        <f aca="false">IF(B127="","",IFERROR(INDEX(Noeuds_plan!$C$4:$C$200,MATCH(B127,Noeuds_plan!$A$4:$A$200,0)),""))</f>
        <v/>
      </c>
      <c r="AC127" s="14" t="str">
        <f aca="false">IF(OR(AA127="",Y127=""),"",AA127-Y127)</f>
        <v/>
      </c>
      <c r="AD127" s="14" t="str">
        <f aca="false">IF(OR(AB127="",Z127=""),"",AB127-Z127)</f>
        <v/>
      </c>
      <c r="AE127" s="19" t="str">
        <f aca="false">IF(A127="","",IF(OR(V127&gt;1,AND(AY127&lt;&gt;"",AY127&lt;Inputs!$B$11),AND(AY127&lt;&gt;"",AY127&gt;Inputs!$B$12),AC127&lt;Inputs!$B$19,AD127&lt;Inputs!$B$19,P127&lt;Inputs!$B$7,P127&gt;Inputs!$B$8),"CHECK","OK"))</f>
        <v/>
      </c>
      <c r="AF127" s="9"/>
      <c r="AG127" s="9" t="str">
        <f aca="false">IF(A127="","",(1/Inputs!$B$9)*(PI()*(Inputs!$F$5/1000)^2/4)*((Inputs!$F$5/1000/4)^(2/3))*SQRT(P127))</f>
        <v/>
      </c>
      <c r="AH127" s="9" t="str">
        <f aca="false">IF(A127="","",(1/Inputs!$B$9)*(PI()*(Inputs!$F$6/1000)^2/4)*((Inputs!$F$6/1000/4)^(2/3))*SQRT(P127))</f>
        <v/>
      </c>
      <c r="AI127" s="9" t="str">
        <f aca="false">IF(A127="","",(1/Inputs!$B$9)*(PI()*(Inputs!$F$7/1000)^2/4)*((Inputs!$F$7/1000/4)^(2/3))*SQRT(P127))</f>
        <v/>
      </c>
      <c r="AJ127" s="9" t="str">
        <f aca="false">IF(A127="","",(1/Inputs!$B$9)*(PI()*(Inputs!$F$8/1000)^2/4)*((Inputs!$F$8/1000/4)^(2/3))*SQRT(P127))</f>
        <v/>
      </c>
      <c r="AK127" s="9" t="str">
        <f aca="false">IF(A127="","",(1/Inputs!$B$9)*(PI()*(Inputs!$F$9/1000)^2/4)*((Inputs!$F$9/1000/4)^(2/3))*SQRT(P127))</f>
        <v/>
      </c>
      <c r="AL127" s="9" t="str">
        <f aca="false">IF(A127="","",(1/Inputs!$B$9)*(PI()*(Inputs!$F$10/1000)^2/4)*((Inputs!$F$10/1000/4)^(2/3))*SQRT(P127))</f>
        <v/>
      </c>
      <c r="AM127" s="9" t="str">
        <f aca="false">IF(A127="","",(1/Inputs!$B$9)*(PI()*(Inputs!$F$11/1000)^2/4)*((Inputs!$F$11/1000/4)^(2/3))*SQRT(P127))</f>
        <v/>
      </c>
      <c r="AN127" s="9" t="str">
        <f aca="false">IF(A127="","",(1/Inputs!$B$9)*(PI()*(Inputs!$F$12/1000)^2/4)*((Inputs!$F$12/1000/4)^(2/3))*SQRT(P127))</f>
        <v/>
      </c>
      <c r="AO127" s="9" t="str">
        <f aca="false">IF(A127="","",(1/Inputs!$B$9)*(PI()*(Inputs!$F$13/1000)^2/4)*((Inputs!$F$13/1000/4)^(2/3))*SQRT(P127))</f>
        <v/>
      </c>
      <c r="AP127" s="9" t="str">
        <f aca="false">IF(A127="","",(1/Inputs!$B$9)*(PI()*(Inputs!$F$14/1000)^2/4)*((Inputs!$F$14/1000/4)^(2/3))*SQRT(P127))</f>
        <v/>
      </c>
      <c r="AQ127" s="9" t="str">
        <f aca="false">IF(A127="","",COUNTIF($D$4:$D$203,$A127))</f>
        <v/>
      </c>
      <c r="AR127" s="9" t="str">
        <f aca="false">IF(A127="","",IF(AQ127=0,"START","CONTINUOUS"))</f>
        <v/>
      </c>
      <c r="AS127" s="13" t="str">
        <f aca="false">IF(A127="","",IF(J127="",Inputs!$B$18,J127))</f>
        <v/>
      </c>
      <c r="AT127" s="13" t="str">
        <f aca="false">IF(A127="","",IFERROR(maxifs($AV$4:$AV$203,$D$4:$D$203,$A127),""))</f>
        <v/>
      </c>
      <c r="AU127" s="13" t="str">
        <f aca="false">IF(A127="","",IF(OR(E127="",Inputs!$B$23=""),"",E127/(Inputs!$B$23*60)))</f>
        <v/>
      </c>
      <c r="AV127" s="13" t="str">
        <f aca="false">IF(A127="","",IF(AQ127=0,AS127+AU127,IF(AT127="",AS127+AU127,AT127+AU127)))</f>
        <v/>
      </c>
      <c r="AW127" s="13" t="str">
        <f aca="false">IF(A127="","",W127)</f>
        <v/>
      </c>
      <c r="AX127" s="13" t="str">
        <f aca="false">IF(OR(T127="",P127=""),"",(1/Inputs!$B$9)*((T127/4)^(2/3))*SQRT(P127))</f>
        <v/>
      </c>
      <c r="AY127" s="13" t="str">
        <f aca="false">IF(A127="","",IF(AND(AW127="",AX127="",BA127=""),"",IF(OR(UPPER(TRIM(Inputs!$B$24))="MANNING",UPPER(TRIM(Inputs!$B$24))="M"),AX127,IF(OR(UPPER(TRIM(Inputs!$B$24))="PARTIAL",UPPER(TRIM(Inputs!$B$24))="P"),BA127,IF(OR(UPPER(TRIM(Inputs!$B$24))="MAX",UPPER(TRIM(Inputs!$B$24))="X"),MAX(IF(AW127="",0,AW127),IF(AX127="",0,AX127),IF(BA127="",0,BA127)),AW127)))))</f>
        <v/>
      </c>
      <c r="AZ127" s="13" t="str">
        <f aca="false">IF(BB127="","",CH127)</f>
        <v/>
      </c>
      <c r="BA127" s="13" t="str">
        <f aca="false">IF(OR(BB127="",AZ127="",T127="",T127&lt;=0,AZ127&lt;=0),"",BB127/((T127^2/8)*(2*ACOS(1-2*AZ127/T127)-SIN(2*ACOS(1-2*AZ127/T127)))))</f>
        <v/>
      </c>
      <c r="BB127" s="9" t="str">
        <f aca="false">IF(OR(N127="",BC127=""),"",MIN(N127,BC127))</f>
        <v/>
      </c>
      <c r="BC127" s="9" t="str">
        <f aca="false">IF(OR(N127="",T127="",P127=""),"",IF(OR(T127="",P127="",(0.94*T127)="",T127&lt;=0,(0.94*T127)&lt;=0),"",(1/Inputs!$B$9)*((T127^2/8)*((2*ACOS(1-2*(0.94*T127)/T127))-SIN((2*ACOS(1-2*(0.94*T127)/T127)))))*((((T127^2/8)*((2*ACOS(1-2*(0.94*T127)/T127))-SIN((2*ACOS(1-2*(0.94*T127)/T127)))))/((T127/2)*((2*ACOS(1-2*(0.94*T127)/T127)))))^(2/3))*SQRT(P127)))</f>
        <v/>
      </c>
      <c r="BD127" s="9" t="str">
        <f aca="false">IF(BB127="","",0.001*T127)</f>
        <v/>
      </c>
      <c r="BE127" s="9" t="str">
        <f aca="false">IF(BB127="","",0.94*T127)</f>
        <v/>
      </c>
      <c r="BF127" s="9" t="str">
        <f aca="false">IF(BB127="","",(BD127+BE127)/2)</f>
        <v/>
      </c>
      <c r="BG127" s="9" t="str">
        <f aca="false">IF(OR(T127="",P127="",BF127="",T127&lt;=0,BF127&lt;=0),"",(1/Inputs!$B$9)*((T127^2/8)*((2*ACOS(1-2*BF127/T127))-SIN((2*ACOS(1-2*BF127/T127)))))*((((T127^2/8)*((2*ACOS(1-2*BF127/T127))-SIN((2*ACOS(1-2*BF127/T127)))))/((T127/2)*((2*ACOS(1-2*BF127/T127)))))^(2/3))*SQRT(P127))</f>
        <v/>
      </c>
      <c r="BH127" s="9" t="str">
        <f aca="false">IF(BB127="","",IF(BG127&lt;BB127,BF127,BD127))</f>
        <v/>
      </c>
      <c r="BI127" s="9" t="str">
        <f aca="false">IF(BB127="","",IF(BG127&lt;BB127,BE127,BF127))</f>
        <v/>
      </c>
      <c r="BJ127" s="9" t="str">
        <f aca="false">IF(BB127="","",(BH127+BI127)/2)</f>
        <v/>
      </c>
      <c r="BK127" s="9" t="str">
        <f aca="false">IF(OR(T127="",P127="",BJ127="",T127&lt;=0,BJ127&lt;=0),"",(1/Inputs!$B$9)*((T127^2/8)*((2*ACOS(1-2*BJ127/T127))-SIN((2*ACOS(1-2*BJ127/T127)))))*((((T127^2/8)*((2*ACOS(1-2*BJ127/T127))-SIN((2*ACOS(1-2*BJ127/T127)))))/((T127/2)*((2*ACOS(1-2*BJ127/T127)))))^(2/3))*SQRT(P127))</f>
        <v/>
      </c>
      <c r="BL127" s="9" t="str">
        <f aca="false">IF(BB127="","",IF(BK127&lt;BB127,BJ127,BH127))</f>
        <v/>
      </c>
      <c r="BM127" s="9" t="str">
        <f aca="false">IF(BB127="","",IF(BK127&lt;BB127,BI127,BJ127))</f>
        <v/>
      </c>
      <c r="BN127" s="9" t="str">
        <f aca="false">IF(BB127="","",(BL127+BM127)/2)</f>
        <v/>
      </c>
      <c r="BO127" s="9" t="str">
        <f aca="false">IF(OR(T127="",P127="",BN127="",T127&lt;=0,BN127&lt;=0),"",(1/Inputs!$B$9)*((T127^2/8)*((2*ACOS(1-2*BN127/T127))-SIN((2*ACOS(1-2*BN127/T127)))))*((((T127^2/8)*((2*ACOS(1-2*BN127/T127))-SIN((2*ACOS(1-2*BN127/T127)))))/((T127/2)*((2*ACOS(1-2*BN127/T127)))))^(2/3))*SQRT(P127))</f>
        <v/>
      </c>
      <c r="BP127" s="9" t="str">
        <f aca="false">IF(BB127="","",IF(BO127&lt;BB127,BN127,BL127))</f>
        <v/>
      </c>
      <c r="BQ127" s="9" t="str">
        <f aca="false">IF(BB127="","",IF(BO127&lt;BB127,BM127,BN127))</f>
        <v/>
      </c>
      <c r="BR127" s="9" t="str">
        <f aca="false">IF(BB127="","",(BP127+BQ127)/2)</f>
        <v/>
      </c>
      <c r="BS127" s="9" t="str">
        <f aca="false">IF(OR(T127="",P127="",BR127="",T127&lt;=0,BR127&lt;=0),"",(1/Inputs!$B$9)*((T127^2/8)*((2*ACOS(1-2*BR127/T127))-SIN((2*ACOS(1-2*BR127/T127)))))*((((T127^2/8)*((2*ACOS(1-2*BR127/T127))-SIN((2*ACOS(1-2*BR127/T127)))))/((T127/2)*((2*ACOS(1-2*BR127/T127)))))^(2/3))*SQRT(P127))</f>
        <v/>
      </c>
      <c r="BT127" s="9" t="str">
        <f aca="false">IF(BB127="","",IF(BS127&lt;BB127,BR127,BP127))</f>
        <v/>
      </c>
      <c r="BU127" s="9" t="str">
        <f aca="false">IF(BB127="","",IF(BS127&lt;BB127,BQ127,BR127))</f>
        <v/>
      </c>
      <c r="BV127" s="9" t="str">
        <f aca="false">IF(BB127="","",(BT127+BU127)/2)</f>
        <v/>
      </c>
      <c r="BW127" s="9" t="str">
        <f aca="false">IF(OR(T127="",P127="",BV127="",T127&lt;=0,BV127&lt;=0),"",(1/Inputs!$B$9)*((T127^2/8)*((2*ACOS(1-2*BV127/T127))-SIN((2*ACOS(1-2*BV127/T127)))))*((((T127^2/8)*((2*ACOS(1-2*BV127/T127))-SIN((2*ACOS(1-2*BV127/T127)))))/((T127/2)*((2*ACOS(1-2*BV127/T127)))))^(2/3))*SQRT(P127))</f>
        <v/>
      </c>
      <c r="BX127" s="9" t="str">
        <f aca="false">IF(BB127="","",IF(BW127&lt;BB127,BV127,BT127))</f>
        <v/>
      </c>
      <c r="BY127" s="9" t="str">
        <f aca="false">IF(BB127="","",IF(BW127&lt;BB127,BU127,BV127))</f>
        <v/>
      </c>
      <c r="BZ127" s="9" t="str">
        <f aca="false">IF(BB127="","",(BX127+BY127)/2)</f>
        <v/>
      </c>
      <c r="CA127" s="9" t="str">
        <f aca="false">IF(OR(T127="",P127="",BZ127="",T127&lt;=0,BZ127&lt;=0),"",(1/Inputs!$B$9)*((T127^2/8)*((2*ACOS(1-2*BZ127/T127))-SIN((2*ACOS(1-2*BZ127/T127)))))*((((T127^2/8)*((2*ACOS(1-2*BZ127/T127))-SIN((2*ACOS(1-2*BZ127/T127)))))/((T127/2)*((2*ACOS(1-2*BZ127/T127)))))^(2/3))*SQRT(P127))</f>
        <v/>
      </c>
      <c r="CB127" s="9" t="str">
        <f aca="false">IF(BB127="","",IF(CA127&lt;BB127,BZ127,BX127))</f>
        <v/>
      </c>
      <c r="CC127" s="9" t="str">
        <f aca="false">IF(BB127="","",IF(CA127&lt;BB127,BY127,BZ127))</f>
        <v/>
      </c>
      <c r="CD127" s="9" t="str">
        <f aca="false">IF(BB127="","",(CB127+CC127)/2)</f>
        <v/>
      </c>
      <c r="CE127" s="9" t="str">
        <f aca="false">IF(OR(T127="",P127="",CD127="",T127&lt;=0,CD127&lt;=0),"",(1/Inputs!$B$9)*((T127^2/8)*((2*ACOS(1-2*CD127/T127))-SIN((2*ACOS(1-2*CD127/T127)))))*((((T127^2/8)*((2*ACOS(1-2*CD127/T127))-SIN((2*ACOS(1-2*CD127/T127)))))/((T127/2)*((2*ACOS(1-2*CD127/T127)))))^(2/3))*SQRT(P127))</f>
        <v/>
      </c>
      <c r="CF127" s="9" t="str">
        <f aca="false">IF(BB127="","",IF(CE127&lt;BB127,CD127,CB127))</f>
        <v/>
      </c>
      <c r="CG127" s="9" t="str">
        <f aca="false">IF(BB127="","",IF(CE127&lt;BB127,CC127,CD127))</f>
        <v/>
      </c>
      <c r="CH127" s="9" t="str">
        <f aca="false">IF(BB127="","",(CF127+CG127)/2)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14"/>
      <c r="F128" s="14"/>
      <c r="G128" s="14" t="n">
        <f aca="false">SUMIFS(CB_plan!$C:$C,CB_plan!$B:$B,$A128)</f>
        <v>0</v>
      </c>
      <c r="H128" s="14" t="n">
        <f aca="false">IF(F128="",G128,F128)</f>
        <v>0</v>
      </c>
      <c r="I128" s="9"/>
      <c r="J128" s="14"/>
      <c r="K128" s="14" t="str">
        <f aca="false">IF(A128="","",Inputs!$B$13/((IF(AV128="",Inputs!$B$18,AV128)+Inputs!$B$14)^Inputs!$B$15))</f>
        <v/>
      </c>
      <c r="L128" s="14" t="str">
        <f aca="false">IF(A128="","",0.000000278*IF(I128="",Inputs!$B$17,I128)*H128*K128)</f>
        <v/>
      </c>
      <c r="M128" s="14" t="str">
        <f aca="false">IF(A128="","",SUMIFS($N$4:$N$203,$D$4:$D$203,$A128))</f>
        <v/>
      </c>
      <c r="N128" s="14" t="str">
        <f aca="false">IF(A128="","",(L128+M128)*Inputs!$B$16)</f>
        <v/>
      </c>
      <c r="O128" s="14"/>
      <c r="P128" s="14" t="str">
        <f aca="false">IF(A128="","",IF(O128="",Inputs!$B$7,O128))</f>
        <v/>
      </c>
      <c r="Q128" s="9" t="str">
        <f aca="false">IF(A128="","",IF(N128/Inputs!$B$10&lt;=AG128,Inputs!$F$5,IF(N128/Inputs!$B$10&gt;AP128,"OVERSIZE",INDEX(Inputs!$F$5:$F$14,MATCH(N128/Inputs!$B$10,AG128:AP128,1)+1))))</f>
        <v/>
      </c>
      <c r="R128" s="9"/>
      <c r="S128" s="9" t="str">
        <f aca="false">IF(A128="","",IF(R128="",Q128,R128))</f>
        <v/>
      </c>
      <c r="T128" s="14" t="str">
        <f aca="false">IF(OR(S128="",S128="OVERSIZE"),"",S128/1000)</f>
        <v/>
      </c>
      <c r="U128" s="14" t="str">
        <f aca="false">IF(T128="","",(1/Inputs!$B$9)*(PI()*T128^2/4)*((T128/4)^(2/3))*SQRT(P128))</f>
        <v/>
      </c>
      <c r="V128" s="14" t="str">
        <f aca="false">IF(OR(U128="",N128=""),"",N128/(U128*Inputs!$B$10))</f>
        <v/>
      </c>
      <c r="W128" s="14" t="str">
        <f aca="false">IF(OR(T128="",N128=""),"",4*N128/(PI()*T128^2))</f>
        <v/>
      </c>
      <c r="X128" s="14"/>
      <c r="Y128" s="14" t="str">
        <f aca="false">IF(A128="","",IF(A128=Inputs!$B$6,Inputs!$B$22,IF(D128="","",IFERROR(INDEX($Z$4:$Z$203,MATCH(D128,$A$4:$A$203,0))+IF(X128="",Inputs!$B$20,X128),""))))</f>
        <v/>
      </c>
      <c r="Z128" s="14" t="str">
        <f aca="false">IF(OR(Y128="",P128="",E128=""),"",Y128+P128*E128)</f>
        <v/>
      </c>
      <c r="AA128" s="14" t="str">
        <f aca="false">IF(C128="","",IFERROR(INDEX(Noeuds_plan!$C$4:$C$200,MATCH(C128,Noeuds_plan!$A$4:$A$200,0)),""))</f>
        <v/>
      </c>
      <c r="AB128" s="14" t="str">
        <f aca="false">IF(B128="","",IFERROR(INDEX(Noeuds_plan!$C$4:$C$200,MATCH(B128,Noeuds_plan!$A$4:$A$200,0)),""))</f>
        <v/>
      </c>
      <c r="AC128" s="14" t="str">
        <f aca="false">IF(OR(AA128="",Y128=""),"",AA128-Y128)</f>
        <v/>
      </c>
      <c r="AD128" s="14" t="str">
        <f aca="false">IF(OR(AB128="",Z128=""),"",AB128-Z128)</f>
        <v/>
      </c>
      <c r="AE128" s="19" t="str">
        <f aca="false">IF(A128="","",IF(OR(V128&gt;1,AND(AY128&lt;&gt;"",AY128&lt;Inputs!$B$11),AND(AY128&lt;&gt;"",AY128&gt;Inputs!$B$12),AC128&lt;Inputs!$B$19,AD128&lt;Inputs!$B$19,P128&lt;Inputs!$B$7,P128&gt;Inputs!$B$8),"CHECK","OK"))</f>
        <v/>
      </c>
      <c r="AF128" s="9"/>
      <c r="AG128" s="9" t="str">
        <f aca="false">IF(A128="","",(1/Inputs!$B$9)*(PI()*(Inputs!$F$5/1000)^2/4)*((Inputs!$F$5/1000/4)^(2/3))*SQRT(P128))</f>
        <v/>
      </c>
      <c r="AH128" s="9" t="str">
        <f aca="false">IF(A128="","",(1/Inputs!$B$9)*(PI()*(Inputs!$F$6/1000)^2/4)*((Inputs!$F$6/1000/4)^(2/3))*SQRT(P128))</f>
        <v/>
      </c>
      <c r="AI128" s="9" t="str">
        <f aca="false">IF(A128="","",(1/Inputs!$B$9)*(PI()*(Inputs!$F$7/1000)^2/4)*((Inputs!$F$7/1000/4)^(2/3))*SQRT(P128))</f>
        <v/>
      </c>
      <c r="AJ128" s="9" t="str">
        <f aca="false">IF(A128="","",(1/Inputs!$B$9)*(PI()*(Inputs!$F$8/1000)^2/4)*((Inputs!$F$8/1000/4)^(2/3))*SQRT(P128))</f>
        <v/>
      </c>
      <c r="AK128" s="9" t="str">
        <f aca="false">IF(A128="","",(1/Inputs!$B$9)*(PI()*(Inputs!$F$9/1000)^2/4)*((Inputs!$F$9/1000/4)^(2/3))*SQRT(P128))</f>
        <v/>
      </c>
      <c r="AL128" s="9" t="str">
        <f aca="false">IF(A128="","",(1/Inputs!$B$9)*(PI()*(Inputs!$F$10/1000)^2/4)*((Inputs!$F$10/1000/4)^(2/3))*SQRT(P128))</f>
        <v/>
      </c>
      <c r="AM128" s="9" t="str">
        <f aca="false">IF(A128="","",(1/Inputs!$B$9)*(PI()*(Inputs!$F$11/1000)^2/4)*((Inputs!$F$11/1000/4)^(2/3))*SQRT(P128))</f>
        <v/>
      </c>
      <c r="AN128" s="9" t="str">
        <f aca="false">IF(A128="","",(1/Inputs!$B$9)*(PI()*(Inputs!$F$12/1000)^2/4)*((Inputs!$F$12/1000/4)^(2/3))*SQRT(P128))</f>
        <v/>
      </c>
      <c r="AO128" s="9" t="str">
        <f aca="false">IF(A128="","",(1/Inputs!$B$9)*(PI()*(Inputs!$F$13/1000)^2/4)*((Inputs!$F$13/1000/4)^(2/3))*SQRT(P128))</f>
        <v/>
      </c>
      <c r="AP128" s="9" t="str">
        <f aca="false">IF(A128="","",(1/Inputs!$B$9)*(PI()*(Inputs!$F$14/1000)^2/4)*((Inputs!$F$14/1000/4)^(2/3))*SQRT(P128))</f>
        <v/>
      </c>
      <c r="AQ128" s="9" t="str">
        <f aca="false">IF(A128="","",COUNTIF($D$4:$D$203,$A128))</f>
        <v/>
      </c>
      <c r="AR128" s="9" t="str">
        <f aca="false">IF(A128="","",IF(AQ128=0,"START","CONTINUOUS"))</f>
        <v/>
      </c>
      <c r="AS128" s="13" t="str">
        <f aca="false">IF(A128="","",IF(J128="",Inputs!$B$18,J128))</f>
        <v/>
      </c>
      <c r="AT128" s="13" t="str">
        <f aca="false">IF(A128="","",IFERROR(maxifs($AV$4:$AV$203,$D$4:$D$203,$A128),""))</f>
        <v/>
      </c>
      <c r="AU128" s="13" t="str">
        <f aca="false">IF(A128="","",IF(OR(E128="",Inputs!$B$23=""),"",E128/(Inputs!$B$23*60)))</f>
        <v/>
      </c>
      <c r="AV128" s="13" t="str">
        <f aca="false">IF(A128="","",IF(AQ128=0,AS128+AU128,IF(AT128="",AS128+AU128,AT128+AU128)))</f>
        <v/>
      </c>
      <c r="AW128" s="13" t="str">
        <f aca="false">IF(A128="","",W128)</f>
        <v/>
      </c>
      <c r="AX128" s="13" t="str">
        <f aca="false">IF(OR(T128="",P128=""),"",(1/Inputs!$B$9)*((T128/4)^(2/3))*SQRT(P128))</f>
        <v/>
      </c>
      <c r="AY128" s="13" t="str">
        <f aca="false">IF(A128="","",IF(AND(AW128="",AX128="",BA128=""),"",IF(OR(UPPER(TRIM(Inputs!$B$24))="MANNING",UPPER(TRIM(Inputs!$B$24))="M"),AX128,IF(OR(UPPER(TRIM(Inputs!$B$24))="PARTIAL",UPPER(TRIM(Inputs!$B$24))="P"),BA128,IF(OR(UPPER(TRIM(Inputs!$B$24))="MAX",UPPER(TRIM(Inputs!$B$24))="X"),MAX(IF(AW128="",0,AW128),IF(AX128="",0,AX128),IF(BA128="",0,BA128)),AW128)))))</f>
        <v/>
      </c>
      <c r="AZ128" s="13" t="str">
        <f aca="false">IF(BB128="","",CH128)</f>
        <v/>
      </c>
      <c r="BA128" s="13" t="str">
        <f aca="false">IF(OR(BB128="",AZ128="",T128="",T128&lt;=0,AZ128&lt;=0),"",BB128/((T128^2/8)*(2*ACOS(1-2*AZ128/T128)-SIN(2*ACOS(1-2*AZ128/T128)))))</f>
        <v/>
      </c>
      <c r="BB128" s="9" t="str">
        <f aca="false">IF(OR(N128="",BC128=""),"",MIN(N128,BC128))</f>
        <v/>
      </c>
      <c r="BC128" s="9" t="str">
        <f aca="false">IF(OR(N128="",T128="",P128=""),"",IF(OR(T128="",P128="",(0.94*T128)="",T128&lt;=0,(0.94*T128)&lt;=0),"",(1/Inputs!$B$9)*((T128^2/8)*((2*ACOS(1-2*(0.94*T128)/T128))-SIN((2*ACOS(1-2*(0.94*T128)/T128)))))*((((T128^2/8)*((2*ACOS(1-2*(0.94*T128)/T128))-SIN((2*ACOS(1-2*(0.94*T128)/T128)))))/((T128/2)*((2*ACOS(1-2*(0.94*T128)/T128)))))^(2/3))*SQRT(P128)))</f>
        <v/>
      </c>
      <c r="BD128" s="9" t="str">
        <f aca="false">IF(BB128="","",0.001*T128)</f>
        <v/>
      </c>
      <c r="BE128" s="9" t="str">
        <f aca="false">IF(BB128="","",0.94*T128)</f>
        <v/>
      </c>
      <c r="BF128" s="9" t="str">
        <f aca="false">IF(BB128="","",(BD128+BE128)/2)</f>
        <v/>
      </c>
      <c r="BG128" s="9" t="str">
        <f aca="false">IF(OR(T128="",P128="",BF128="",T128&lt;=0,BF128&lt;=0),"",(1/Inputs!$B$9)*((T128^2/8)*((2*ACOS(1-2*BF128/T128))-SIN((2*ACOS(1-2*BF128/T128)))))*((((T128^2/8)*((2*ACOS(1-2*BF128/T128))-SIN((2*ACOS(1-2*BF128/T128)))))/((T128/2)*((2*ACOS(1-2*BF128/T128)))))^(2/3))*SQRT(P128))</f>
        <v/>
      </c>
      <c r="BH128" s="9" t="str">
        <f aca="false">IF(BB128="","",IF(BG128&lt;BB128,BF128,BD128))</f>
        <v/>
      </c>
      <c r="BI128" s="9" t="str">
        <f aca="false">IF(BB128="","",IF(BG128&lt;BB128,BE128,BF128))</f>
        <v/>
      </c>
      <c r="BJ128" s="9" t="str">
        <f aca="false">IF(BB128="","",(BH128+BI128)/2)</f>
        <v/>
      </c>
      <c r="BK128" s="9" t="str">
        <f aca="false">IF(OR(T128="",P128="",BJ128="",T128&lt;=0,BJ128&lt;=0),"",(1/Inputs!$B$9)*((T128^2/8)*((2*ACOS(1-2*BJ128/T128))-SIN((2*ACOS(1-2*BJ128/T128)))))*((((T128^2/8)*((2*ACOS(1-2*BJ128/T128))-SIN((2*ACOS(1-2*BJ128/T128)))))/((T128/2)*((2*ACOS(1-2*BJ128/T128)))))^(2/3))*SQRT(P128))</f>
        <v/>
      </c>
      <c r="BL128" s="9" t="str">
        <f aca="false">IF(BB128="","",IF(BK128&lt;BB128,BJ128,BH128))</f>
        <v/>
      </c>
      <c r="BM128" s="9" t="str">
        <f aca="false">IF(BB128="","",IF(BK128&lt;BB128,BI128,BJ128))</f>
        <v/>
      </c>
      <c r="BN128" s="9" t="str">
        <f aca="false">IF(BB128="","",(BL128+BM128)/2)</f>
        <v/>
      </c>
      <c r="BO128" s="9" t="str">
        <f aca="false">IF(OR(T128="",P128="",BN128="",T128&lt;=0,BN128&lt;=0),"",(1/Inputs!$B$9)*((T128^2/8)*((2*ACOS(1-2*BN128/T128))-SIN((2*ACOS(1-2*BN128/T128)))))*((((T128^2/8)*((2*ACOS(1-2*BN128/T128))-SIN((2*ACOS(1-2*BN128/T128)))))/((T128/2)*((2*ACOS(1-2*BN128/T128)))))^(2/3))*SQRT(P128))</f>
        <v/>
      </c>
      <c r="BP128" s="9" t="str">
        <f aca="false">IF(BB128="","",IF(BO128&lt;BB128,BN128,BL128))</f>
        <v/>
      </c>
      <c r="BQ128" s="9" t="str">
        <f aca="false">IF(BB128="","",IF(BO128&lt;BB128,BM128,BN128))</f>
        <v/>
      </c>
      <c r="BR128" s="9" t="str">
        <f aca="false">IF(BB128="","",(BP128+BQ128)/2)</f>
        <v/>
      </c>
      <c r="BS128" s="9" t="str">
        <f aca="false">IF(OR(T128="",P128="",BR128="",T128&lt;=0,BR128&lt;=0),"",(1/Inputs!$B$9)*((T128^2/8)*((2*ACOS(1-2*BR128/T128))-SIN((2*ACOS(1-2*BR128/T128)))))*((((T128^2/8)*((2*ACOS(1-2*BR128/T128))-SIN((2*ACOS(1-2*BR128/T128)))))/((T128/2)*((2*ACOS(1-2*BR128/T128)))))^(2/3))*SQRT(P128))</f>
        <v/>
      </c>
      <c r="BT128" s="9" t="str">
        <f aca="false">IF(BB128="","",IF(BS128&lt;BB128,BR128,BP128))</f>
        <v/>
      </c>
      <c r="BU128" s="9" t="str">
        <f aca="false">IF(BB128="","",IF(BS128&lt;BB128,BQ128,BR128))</f>
        <v/>
      </c>
      <c r="BV128" s="9" t="str">
        <f aca="false">IF(BB128="","",(BT128+BU128)/2)</f>
        <v/>
      </c>
      <c r="BW128" s="9" t="str">
        <f aca="false">IF(OR(T128="",P128="",BV128="",T128&lt;=0,BV128&lt;=0),"",(1/Inputs!$B$9)*((T128^2/8)*((2*ACOS(1-2*BV128/T128))-SIN((2*ACOS(1-2*BV128/T128)))))*((((T128^2/8)*((2*ACOS(1-2*BV128/T128))-SIN((2*ACOS(1-2*BV128/T128)))))/((T128/2)*((2*ACOS(1-2*BV128/T128)))))^(2/3))*SQRT(P128))</f>
        <v/>
      </c>
      <c r="BX128" s="9" t="str">
        <f aca="false">IF(BB128="","",IF(BW128&lt;BB128,BV128,BT128))</f>
        <v/>
      </c>
      <c r="BY128" s="9" t="str">
        <f aca="false">IF(BB128="","",IF(BW128&lt;BB128,BU128,BV128))</f>
        <v/>
      </c>
      <c r="BZ128" s="9" t="str">
        <f aca="false">IF(BB128="","",(BX128+BY128)/2)</f>
        <v/>
      </c>
      <c r="CA128" s="9" t="str">
        <f aca="false">IF(OR(T128="",P128="",BZ128="",T128&lt;=0,BZ128&lt;=0),"",(1/Inputs!$B$9)*((T128^2/8)*((2*ACOS(1-2*BZ128/T128))-SIN((2*ACOS(1-2*BZ128/T128)))))*((((T128^2/8)*((2*ACOS(1-2*BZ128/T128))-SIN((2*ACOS(1-2*BZ128/T128)))))/((T128/2)*((2*ACOS(1-2*BZ128/T128)))))^(2/3))*SQRT(P128))</f>
        <v/>
      </c>
      <c r="CB128" s="9" t="str">
        <f aca="false">IF(BB128="","",IF(CA128&lt;BB128,BZ128,BX128))</f>
        <v/>
      </c>
      <c r="CC128" s="9" t="str">
        <f aca="false">IF(BB128="","",IF(CA128&lt;BB128,BY128,BZ128))</f>
        <v/>
      </c>
      <c r="CD128" s="9" t="str">
        <f aca="false">IF(BB128="","",(CB128+CC128)/2)</f>
        <v/>
      </c>
      <c r="CE128" s="9" t="str">
        <f aca="false">IF(OR(T128="",P128="",CD128="",T128&lt;=0,CD128&lt;=0),"",(1/Inputs!$B$9)*((T128^2/8)*((2*ACOS(1-2*CD128/T128))-SIN((2*ACOS(1-2*CD128/T128)))))*((((T128^2/8)*((2*ACOS(1-2*CD128/T128))-SIN((2*ACOS(1-2*CD128/T128)))))/((T128/2)*((2*ACOS(1-2*CD128/T128)))))^(2/3))*SQRT(P128))</f>
        <v/>
      </c>
      <c r="CF128" s="9" t="str">
        <f aca="false">IF(BB128="","",IF(CE128&lt;BB128,CD128,CB128))</f>
        <v/>
      </c>
      <c r="CG128" s="9" t="str">
        <f aca="false">IF(BB128="","",IF(CE128&lt;BB128,CC128,CD128))</f>
        <v/>
      </c>
      <c r="CH128" s="9" t="str">
        <f aca="false">IF(BB128="","",(CF128+CG128)/2)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14"/>
      <c r="F129" s="14"/>
      <c r="G129" s="14" t="n">
        <f aca="false">SUMIFS(CB_plan!$C:$C,CB_plan!$B:$B,$A129)</f>
        <v>0</v>
      </c>
      <c r="H129" s="14" t="n">
        <f aca="false">IF(F129="",G129,F129)</f>
        <v>0</v>
      </c>
      <c r="I129" s="9"/>
      <c r="J129" s="14"/>
      <c r="K129" s="14" t="str">
        <f aca="false">IF(A129="","",Inputs!$B$13/((IF(AV129="",Inputs!$B$18,AV129)+Inputs!$B$14)^Inputs!$B$15))</f>
        <v/>
      </c>
      <c r="L129" s="14" t="str">
        <f aca="false">IF(A129="","",0.000000278*IF(I129="",Inputs!$B$17,I129)*H129*K129)</f>
        <v/>
      </c>
      <c r="M129" s="14" t="str">
        <f aca="false">IF(A129="","",SUMIFS($N$4:$N$203,$D$4:$D$203,$A129))</f>
        <v/>
      </c>
      <c r="N129" s="14" t="str">
        <f aca="false">IF(A129="","",(L129+M129)*Inputs!$B$16)</f>
        <v/>
      </c>
      <c r="O129" s="14"/>
      <c r="P129" s="14" t="str">
        <f aca="false">IF(A129="","",IF(O129="",Inputs!$B$7,O129))</f>
        <v/>
      </c>
      <c r="Q129" s="9" t="str">
        <f aca="false">IF(A129="","",IF(N129/Inputs!$B$10&lt;=AG129,Inputs!$F$5,IF(N129/Inputs!$B$10&gt;AP129,"OVERSIZE",INDEX(Inputs!$F$5:$F$14,MATCH(N129/Inputs!$B$10,AG129:AP129,1)+1))))</f>
        <v/>
      </c>
      <c r="R129" s="9"/>
      <c r="S129" s="9" t="str">
        <f aca="false">IF(A129="","",IF(R129="",Q129,R129))</f>
        <v/>
      </c>
      <c r="T129" s="14" t="str">
        <f aca="false">IF(OR(S129="",S129="OVERSIZE"),"",S129/1000)</f>
        <v/>
      </c>
      <c r="U129" s="14" t="str">
        <f aca="false">IF(T129="","",(1/Inputs!$B$9)*(PI()*T129^2/4)*((T129/4)^(2/3))*SQRT(P129))</f>
        <v/>
      </c>
      <c r="V129" s="14" t="str">
        <f aca="false">IF(OR(U129="",N129=""),"",N129/(U129*Inputs!$B$10))</f>
        <v/>
      </c>
      <c r="W129" s="14" t="str">
        <f aca="false">IF(OR(T129="",N129=""),"",4*N129/(PI()*T129^2))</f>
        <v/>
      </c>
      <c r="X129" s="14"/>
      <c r="Y129" s="14" t="str">
        <f aca="false">IF(A129="","",IF(A129=Inputs!$B$6,Inputs!$B$22,IF(D129="","",IFERROR(INDEX($Z$4:$Z$203,MATCH(D129,$A$4:$A$203,0))+IF(X129="",Inputs!$B$20,X129),""))))</f>
        <v/>
      </c>
      <c r="Z129" s="14" t="str">
        <f aca="false">IF(OR(Y129="",P129="",E129=""),"",Y129+P129*E129)</f>
        <v/>
      </c>
      <c r="AA129" s="14" t="str">
        <f aca="false">IF(C129="","",IFERROR(INDEX(Noeuds_plan!$C$4:$C$200,MATCH(C129,Noeuds_plan!$A$4:$A$200,0)),""))</f>
        <v/>
      </c>
      <c r="AB129" s="14" t="str">
        <f aca="false">IF(B129="","",IFERROR(INDEX(Noeuds_plan!$C$4:$C$200,MATCH(B129,Noeuds_plan!$A$4:$A$200,0)),""))</f>
        <v/>
      </c>
      <c r="AC129" s="14" t="str">
        <f aca="false">IF(OR(AA129="",Y129=""),"",AA129-Y129)</f>
        <v/>
      </c>
      <c r="AD129" s="14" t="str">
        <f aca="false">IF(OR(AB129="",Z129=""),"",AB129-Z129)</f>
        <v/>
      </c>
      <c r="AE129" s="19" t="str">
        <f aca="false">IF(A129="","",IF(OR(V129&gt;1,AND(AY129&lt;&gt;"",AY129&lt;Inputs!$B$11),AND(AY129&lt;&gt;"",AY129&gt;Inputs!$B$12),AC129&lt;Inputs!$B$19,AD129&lt;Inputs!$B$19,P129&lt;Inputs!$B$7,P129&gt;Inputs!$B$8),"CHECK","OK"))</f>
        <v/>
      </c>
      <c r="AF129" s="9"/>
      <c r="AG129" s="9" t="str">
        <f aca="false">IF(A129="","",(1/Inputs!$B$9)*(PI()*(Inputs!$F$5/1000)^2/4)*((Inputs!$F$5/1000/4)^(2/3))*SQRT(P129))</f>
        <v/>
      </c>
      <c r="AH129" s="9" t="str">
        <f aca="false">IF(A129="","",(1/Inputs!$B$9)*(PI()*(Inputs!$F$6/1000)^2/4)*((Inputs!$F$6/1000/4)^(2/3))*SQRT(P129))</f>
        <v/>
      </c>
      <c r="AI129" s="9" t="str">
        <f aca="false">IF(A129="","",(1/Inputs!$B$9)*(PI()*(Inputs!$F$7/1000)^2/4)*((Inputs!$F$7/1000/4)^(2/3))*SQRT(P129))</f>
        <v/>
      </c>
      <c r="AJ129" s="9" t="str">
        <f aca="false">IF(A129="","",(1/Inputs!$B$9)*(PI()*(Inputs!$F$8/1000)^2/4)*((Inputs!$F$8/1000/4)^(2/3))*SQRT(P129))</f>
        <v/>
      </c>
      <c r="AK129" s="9" t="str">
        <f aca="false">IF(A129="","",(1/Inputs!$B$9)*(PI()*(Inputs!$F$9/1000)^2/4)*((Inputs!$F$9/1000/4)^(2/3))*SQRT(P129))</f>
        <v/>
      </c>
      <c r="AL129" s="9" t="str">
        <f aca="false">IF(A129="","",(1/Inputs!$B$9)*(PI()*(Inputs!$F$10/1000)^2/4)*((Inputs!$F$10/1000/4)^(2/3))*SQRT(P129))</f>
        <v/>
      </c>
      <c r="AM129" s="9" t="str">
        <f aca="false">IF(A129="","",(1/Inputs!$B$9)*(PI()*(Inputs!$F$11/1000)^2/4)*((Inputs!$F$11/1000/4)^(2/3))*SQRT(P129))</f>
        <v/>
      </c>
      <c r="AN129" s="9" t="str">
        <f aca="false">IF(A129="","",(1/Inputs!$B$9)*(PI()*(Inputs!$F$12/1000)^2/4)*((Inputs!$F$12/1000/4)^(2/3))*SQRT(P129))</f>
        <v/>
      </c>
      <c r="AO129" s="9" t="str">
        <f aca="false">IF(A129="","",(1/Inputs!$B$9)*(PI()*(Inputs!$F$13/1000)^2/4)*((Inputs!$F$13/1000/4)^(2/3))*SQRT(P129))</f>
        <v/>
      </c>
      <c r="AP129" s="9" t="str">
        <f aca="false">IF(A129="","",(1/Inputs!$B$9)*(PI()*(Inputs!$F$14/1000)^2/4)*((Inputs!$F$14/1000/4)^(2/3))*SQRT(P129))</f>
        <v/>
      </c>
      <c r="AQ129" s="9" t="str">
        <f aca="false">IF(A129="","",COUNTIF($D$4:$D$203,$A129))</f>
        <v/>
      </c>
      <c r="AR129" s="9" t="str">
        <f aca="false">IF(A129="","",IF(AQ129=0,"START","CONTINUOUS"))</f>
        <v/>
      </c>
      <c r="AS129" s="13" t="str">
        <f aca="false">IF(A129="","",IF(J129="",Inputs!$B$18,J129))</f>
        <v/>
      </c>
      <c r="AT129" s="13" t="str">
        <f aca="false">IF(A129="","",IFERROR(maxifs($AV$4:$AV$203,$D$4:$D$203,$A129),""))</f>
        <v/>
      </c>
      <c r="AU129" s="13" t="str">
        <f aca="false">IF(A129="","",IF(OR(E129="",Inputs!$B$23=""),"",E129/(Inputs!$B$23*60)))</f>
        <v/>
      </c>
      <c r="AV129" s="13" t="str">
        <f aca="false">IF(A129="","",IF(AQ129=0,AS129+AU129,IF(AT129="",AS129+AU129,AT129+AU129)))</f>
        <v/>
      </c>
      <c r="AW129" s="13" t="str">
        <f aca="false">IF(A129="","",W129)</f>
        <v/>
      </c>
      <c r="AX129" s="13" t="str">
        <f aca="false">IF(OR(T129="",P129=""),"",(1/Inputs!$B$9)*((T129/4)^(2/3))*SQRT(P129))</f>
        <v/>
      </c>
      <c r="AY129" s="13" t="str">
        <f aca="false">IF(A129="","",IF(AND(AW129="",AX129="",BA129=""),"",IF(OR(UPPER(TRIM(Inputs!$B$24))="MANNING",UPPER(TRIM(Inputs!$B$24))="M"),AX129,IF(OR(UPPER(TRIM(Inputs!$B$24))="PARTIAL",UPPER(TRIM(Inputs!$B$24))="P"),BA129,IF(OR(UPPER(TRIM(Inputs!$B$24))="MAX",UPPER(TRIM(Inputs!$B$24))="X"),MAX(IF(AW129="",0,AW129),IF(AX129="",0,AX129),IF(BA129="",0,BA129)),AW129)))))</f>
        <v/>
      </c>
      <c r="AZ129" s="13" t="str">
        <f aca="false">IF(BB129="","",CH129)</f>
        <v/>
      </c>
      <c r="BA129" s="13" t="str">
        <f aca="false">IF(OR(BB129="",AZ129="",T129="",T129&lt;=0,AZ129&lt;=0),"",BB129/((T129^2/8)*(2*ACOS(1-2*AZ129/T129)-SIN(2*ACOS(1-2*AZ129/T129)))))</f>
        <v/>
      </c>
      <c r="BB129" s="9" t="str">
        <f aca="false">IF(OR(N129="",BC129=""),"",MIN(N129,BC129))</f>
        <v/>
      </c>
      <c r="BC129" s="9" t="str">
        <f aca="false">IF(OR(N129="",T129="",P129=""),"",IF(OR(T129="",P129="",(0.94*T129)="",T129&lt;=0,(0.94*T129)&lt;=0),"",(1/Inputs!$B$9)*((T129^2/8)*((2*ACOS(1-2*(0.94*T129)/T129))-SIN((2*ACOS(1-2*(0.94*T129)/T129)))))*((((T129^2/8)*((2*ACOS(1-2*(0.94*T129)/T129))-SIN((2*ACOS(1-2*(0.94*T129)/T129)))))/((T129/2)*((2*ACOS(1-2*(0.94*T129)/T129)))))^(2/3))*SQRT(P129)))</f>
        <v/>
      </c>
      <c r="BD129" s="9" t="str">
        <f aca="false">IF(BB129="","",0.001*T129)</f>
        <v/>
      </c>
      <c r="BE129" s="9" t="str">
        <f aca="false">IF(BB129="","",0.94*T129)</f>
        <v/>
      </c>
      <c r="BF129" s="9" t="str">
        <f aca="false">IF(BB129="","",(BD129+BE129)/2)</f>
        <v/>
      </c>
      <c r="BG129" s="9" t="str">
        <f aca="false">IF(OR(T129="",P129="",BF129="",T129&lt;=0,BF129&lt;=0),"",(1/Inputs!$B$9)*((T129^2/8)*((2*ACOS(1-2*BF129/T129))-SIN((2*ACOS(1-2*BF129/T129)))))*((((T129^2/8)*((2*ACOS(1-2*BF129/T129))-SIN((2*ACOS(1-2*BF129/T129)))))/((T129/2)*((2*ACOS(1-2*BF129/T129)))))^(2/3))*SQRT(P129))</f>
        <v/>
      </c>
      <c r="BH129" s="9" t="str">
        <f aca="false">IF(BB129="","",IF(BG129&lt;BB129,BF129,BD129))</f>
        <v/>
      </c>
      <c r="BI129" s="9" t="str">
        <f aca="false">IF(BB129="","",IF(BG129&lt;BB129,BE129,BF129))</f>
        <v/>
      </c>
      <c r="BJ129" s="9" t="str">
        <f aca="false">IF(BB129="","",(BH129+BI129)/2)</f>
        <v/>
      </c>
      <c r="BK129" s="9" t="str">
        <f aca="false">IF(OR(T129="",P129="",BJ129="",T129&lt;=0,BJ129&lt;=0),"",(1/Inputs!$B$9)*((T129^2/8)*((2*ACOS(1-2*BJ129/T129))-SIN((2*ACOS(1-2*BJ129/T129)))))*((((T129^2/8)*((2*ACOS(1-2*BJ129/T129))-SIN((2*ACOS(1-2*BJ129/T129)))))/((T129/2)*((2*ACOS(1-2*BJ129/T129)))))^(2/3))*SQRT(P129))</f>
        <v/>
      </c>
      <c r="BL129" s="9" t="str">
        <f aca="false">IF(BB129="","",IF(BK129&lt;BB129,BJ129,BH129))</f>
        <v/>
      </c>
      <c r="BM129" s="9" t="str">
        <f aca="false">IF(BB129="","",IF(BK129&lt;BB129,BI129,BJ129))</f>
        <v/>
      </c>
      <c r="BN129" s="9" t="str">
        <f aca="false">IF(BB129="","",(BL129+BM129)/2)</f>
        <v/>
      </c>
      <c r="BO129" s="9" t="str">
        <f aca="false">IF(OR(T129="",P129="",BN129="",T129&lt;=0,BN129&lt;=0),"",(1/Inputs!$B$9)*((T129^2/8)*((2*ACOS(1-2*BN129/T129))-SIN((2*ACOS(1-2*BN129/T129)))))*((((T129^2/8)*((2*ACOS(1-2*BN129/T129))-SIN((2*ACOS(1-2*BN129/T129)))))/((T129/2)*((2*ACOS(1-2*BN129/T129)))))^(2/3))*SQRT(P129))</f>
        <v/>
      </c>
      <c r="BP129" s="9" t="str">
        <f aca="false">IF(BB129="","",IF(BO129&lt;BB129,BN129,BL129))</f>
        <v/>
      </c>
      <c r="BQ129" s="9" t="str">
        <f aca="false">IF(BB129="","",IF(BO129&lt;BB129,BM129,BN129))</f>
        <v/>
      </c>
      <c r="BR129" s="9" t="str">
        <f aca="false">IF(BB129="","",(BP129+BQ129)/2)</f>
        <v/>
      </c>
      <c r="BS129" s="9" t="str">
        <f aca="false">IF(OR(T129="",P129="",BR129="",T129&lt;=0,BR129&lt;=0),"",(1/Inputs!$B$9)*((T129^2/8)*((2*ACOS(1-2*BR129/T129))-SIN((2*ACOS(1-2*BR129/T129)))))*((((T129^2/8)*((2*ACOS(1-2*BR129/T129))-SIN((2*ACOS(1-2*BR129/T129)))))/((T129/2)*((2*ACOS(1-2*BR129/T129)))))^(2/3))*SQRT(P129))</f>
        <v/>
      </c>
      <c r="BT129" s="9" t="str">
        <f aca="false">IF(BB129="","",IF(BS129&lt;BB129,BR129,BP129))</f>
        <v/>
      </c>
      <c r="BU129" s="9" t="str">
        <f aca="false">IF(BB129="","",IF(BS129&lt;BB129,BQ129,BR129))</f>
        <v/>
      </c>
      <c r="BV129" s="9" t="str">
        <f aca="false">IF(BB129="","",(BT129+BU129)/2)</f>
        <v/>
      </c>
      <c r="BW129" s="9" t="str">
        <f aca="false">IF(OR(T129="",P129="",BV129="",T129&lt;=0,BV129&lt;=0),"",(1/Inputs!$B$9)*((T129^2/8)*((2*ACOS(1-2*BV129/T129))-SIN((2*ACOS(1-2*BV129/T129)))))*((((T129^2/8)*((2*ACOS(1-2*BV129/T129))-SIN((2*ACOS(1-2*BV129/T129)))))/((T129/2)*((2*ACOS(1-2*BV129/T129)))))^(2/3))*SQRT(P129))</f>
        <v/>
      </c>
      <c r="BX129" s="9" t="str">
        <f aca="false">IF(BB129="","",IF(BW129&lt;BB129,BV129,BT129))</f>
        <v/>
      </c>
      <c r="BY129" s="9" t="str">
        <f aca="false">IF(BB129="","",IF(BW129&lt;BB129,BU129,BV129))</f>
        <v/>
      </c>
      <c r="BZ129" s="9" t="str">
        <f aca="false">IF(BB129="","",(BX129+BY129)/2)</f>
        <v/>
      </c>
      <c r="CA129" s="9" t="str">
        <f aca="false">IF(OR(T129="",P129="",BZ129="",T129&lt;=0,BZ129&lt;=0),"",(1/Inputs!$B$9)*((T129^2/8)*((2*ACOS(1-2*BZ129/T129))-SIN((2*ACOS(1-2*BZ129/T129)))))*((((T129^2/8)*((2*ACOS(1-2*BZ129/T129))-SIN((2*ACOS(1-2*BZ129/T129)))))/((T129/2)*((2*ACOS(1-2*BZ129/T129)))))^(2/3))*SQRT(P129))</f>
        <v/>
      </c>
      <c r="CB129" s="9" t="str">
        <f aca="false">IF(BB129="","",IF(CA129&lt;BB129,BZ129,BX129))</f>
        <v/>
      </c>
      <c r="CC129" s="9" t="str">
        <f aca="false">IF(BB129="","",IF(CA129&lt;BB129,BY129,BZ129))</f>
        <v/>
      </c>
      <c r="CD129" s="9" t="str">
        <f aca="false">IF(BB129="","",(CB129+CC129)/2)</f>
        <v/>
      </c>
      <c r="CE129" s="9" t="str">
        <f aca="false">IF(OR(T129="",P129="",CD129="",T129&lt;=0,CD129&lt;=0),"",(1/Inputs!$B$9)*((T129^2/8)*((2*ACOS(1-2*CD129/T129))-SIN((2*ACOS(1-2*CD129/T129)))))*((((T129^2/8)*((2*ACOS(1-2*CD129/T129))-SIN((2*ACOS(1-2*CD129/T129)))))/((T129/2)*((2*ACOS(1-2*CD129/T129)))))^(2/3))*SQRT(P129))</f>
        <v/>
      </c>
      <c r="CF129" s="9" t="str">
        <f aca="false">IF(BB129="","",IF(CE129&lt;BB129,CD129,CB129))</f>
        <v/>
      </c>
      <c r="CG129" s="9" t="str">
        <f aca="false">IF(BB129="","",IF(CE129&lt;BB129,CC129,CD129))</f>
        <v/>
      </c>
      <c r="CH129" s="9" t="str">
        <f aca="false">IF(BB129="","",(CF129+CG129)/2)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14"/>
      <c r="F130" s="14"/>
      <c r="G130" s="14" t="n">
        <f aca="false">SUMIFS(CB_plan!$C:$C,CB_plan!$B:$B,$A130)</f>
        <v>0</v>
      </c>
      <c r="H130" s="14" t="n">
        <f aca="false">IF(F130="",G130,F130)</f>
        <v>0</v>
      </c>
      <c r="I130" s="9"/>
      <c r="J130" s="14"/>
      <c r="K130" s="14" t="str">
        <f aca="false">IF(A130="","",Inputs!$B$13/((IF(AV130="",Inputs!$B$18,AV130)+Inputs!$B$14)^Inputs!$B$15))</f>
        <v/>
      </c>
      <c r="L130" s="14" t="str">
        <f aca="false">IF(A130="","",0.000000278*IF(I130="",Inputs!$B$17,I130)*H130*K130)</f>
        <v/>
      </c>
      <c r="M130" s="14" t="str">
        <f aca="false">IF(A130="","",SUMIFS($N$4:$N$203,$D$4:$D$203,$A130))</f>
        <v/>
      </c>
      <c r="N130" s="14" t="str">
        <f aca="false">IF(A130="","",(L130+M130)*Inputs!$B$16)</f>
        <v/>
      </c>
      <c r="O130" s="14"/>
      <c r="P130" s="14" t="str">
        <f aca="false">IF(A130="","",IF(O130="",Inputs!$B$7,O130))</f>
        <v/>
      </c>
      <c r="Q130" s="9" t="str">
        <f aca="false">IF(A130="","",IF(N130/Inputs!$B$10&lt;=AG130,Inputs!$F$5,IF(N130/Inputs!$B$10&gt;AP130,"OVERSIZE",INDEX(Inputs!$F$5:$F$14,MATCH(N130/Inputs!$B$10,AG130:AP130,1)+1))))</f>
        <v/>
      </c>
      <c r="R130" s="9"/>
      <c r="S130" s="9" t="str">
        <f aca="false">IF(A130="","",IF(R130="",Q130,R130))</f>
        <v/>
      </c>
      <c r="T130" s="14" t="str">
        <f aca="false">IF(OR(S130="",S130="OVERSIZE"),"",S130/1000)</f>
        <v/>
      </c>
      <c r="U130" s="14" t="str">
        <f aca="false">IF(T130="","",(1/Inputs!$B$9)*(PI()*T130^2/4)*((T130/4)^(2/3))*SQRT(P130))</f>
        <v/>
      </c>
      <c r="V130" s="14" t="str">
        <f aca="false">IF(OR(U130="",N130=""),"",N130/(U130*Inputs!$B$10))</f>
        <v/>
      </c>
      <c r="W130" s="14" t="str">
        <f aca="false">IF(OR(T130="",N130=""),"",4*N130/(PI()*T130^2))</f>
        <v/>
      </c>
      <c r="X130" s="14"/>
      <c r="Y130" s="14" t="str">
        <f aca="false">IF(A130="","",IF(A130=Inputs!$B$6,Inputs!$B$22,IF(D130="","",IFERROR(INDEX($Z$4:$Z$203,MATCH(D130,$A$4:$A$203,0))+IF(X130="",Inputs!$B$20,X130),""))))</f>
        <v/>
      </c>
      <c r="Z130" s="14" t="str">
        <f aca="false">IF(OR(Y130="",P130="",E130=""),"",Y130+P130*E130)</f>
        <v/>
      </c>
      <c r="AA130" s="14" t="str">
        <f aca="false">IF(C130="","",IFERROR(INDEX(Noeuds_plan!$C$4:$C$200,MATCH(C130,Noeuds_plan!$A$4:$A$200,0)),""))</f>
        <v/>
      </c>
      <c r="AB130" s="14" t="str">
        <f aca="false">IF(B130="","",IFERROR(INDEX(Noeuds_plan!$C$4:$C$200,MATCH(B130,Noeuds_plan!$A$4:$A$200,0)),""))</f>
        <v/>
      </c>
      <c r="AC130" s="14" t="str">
        <f aca="false">IF(OR(AA130="",Y130=""),"",AA130-Y130)</f>
        <v/>
      </c>
      <c r="AD130" s="14" t="str">
        <f aca="false">IF(OR(AB130="",Z130=""),"",AB130-Z130)</f>
        <v/>
      </c>
      <c r="AE130" s="19" t="str">
        <f aca="false">IF(A130="","",IF(OR(V130&gt;1,AND(AY130&lt;&gt;"",AY130&lt;Inputs!$B$11),AND(AY130&lt;&gt;"",AY130&gt;Inputs!$B$12),AC130&lt;Inputs!$B$19,AD130&lt;Inputs!$B$19,P130&lt;Inputs!$B$7,P130&gt;Inputs!$B$8),"CHECK","OK"))</f>
        <v/>
      </c>
      <c r="AF130" s="9"/>
      <c r="AG130" s="9" t="str">
        <f aca="false">IF(A130="","",(1/Inputs!$B$9)*(PI()*(Inputs!$F$5/1000)^2/4)*((Inputs!$F$5/1000/4)^(2/3))*SQRT(P130))</f>
        <v/>
      </c>
      <c r="AH130" s="9" t="str">
        <f aca="false">IF(A130="","",(1/Inputs!$B$9)*(PI()*(Inputs!$F$6/1000)^2/4)*((Inputs!$F$6/1000/4)^(2/3))*SQRT(P130))</f>
        <v/>
      </c>
      <c r="AI130" s="9" t="str">
        <f aca="false">IF(A130="","",(1/Inputs!$B$9)*(PI()*(Inputs!$F$7/1000)^2/4)*((Inputs!$F$7/1000/4)^(2/3))*SQRT(P130))</f>
        <v/>
      </c>
      <c r="AJ130" s="9" t="str">
        <f aca="false">IF(A130="","",(1/Inputs!$B$9)*(PI()*(Inputs!$F$8/1000)^2/4)*((Inputs!$F$8/1000/4)^(2/3))*SQRT(P130))</f>
        <v/>
      </c>
      <c r="AK130" s="9" t="str">
        <f aca="false">IF(A130="","",(1/Inputs!$B$9)*(PI()*(Inputs!$F$9/1000)^2/4)*((Inputs!$F$9/1000/4)^(2/3))*SQRT(P130))</f>
        <v/>
      </c>
      <c r="AL130" s="9" t="str">
        <f aca="false">IF(A130="","",(1/Inputs!$B$9)*(PI()*(Inputs!$F$10/1000)^2/4)*((Inputs!$F$10/1000/4)^(2/3))*SQRT(P130))</f>
        <v/>
      </c>
      <c r="AM130" s="9" t="str">
        <f aca="false">IF(A130="","",(1/Inputs!$B$9)*(PI()*(Inputs!$F$11/1000)^2/4)*((Inputs!$F$11/1000/4)^(2/3))*SQRT(P130))</f>
        <v/>
      </c>
      <c r="AN130" s="9" t="str">
        <f aca="false">IF(A130="","",(1/Inputs!$B$9)*(PI()*(Inputs!$F$12/1000)^2/4)*((Inputs!$F$12/1000/4)^(2/3))*SQRT(P130))</f>
        <v/>
      </c>
      <c r="AO130" s="9" t="str">
        <f aca="false">IF(A130="","",(1/Inputs!$B$9)*(PI()*(Inputs!$F$13/1000)^2/4)*((Inputs!$F$13/1000/4)^(2/3))*SQRT(P130))</f>
        <v/>
      </c>
      <c r="AP130" s="9" t="str">
        <f aca="false">IF(A130="","",(1/Inputs!$B$9)*(PI()*(Inputs!$F$14/1000)^2/4)*((Inputs!$F$14/1000/4)^(2/3))*SQRT(P130))</f>
        <v/>
      </c>
      <c r="AQ130" s="9" t="str">
        <f aca="false">IF(A130="","",COUNTIF($D$4:$D$203,$A130))</f>
        <v/>
      </c>
      <c r="AR130" s="9" t="str">
        <f aca="false">IF(A130="","",IF(AQ130=0,"START","CONTINUOUS"))</f>
        <v/>
      </c>
      <c r="AS130" s="13" t="str">
        <f aca="false">IF(A130="","",IF(J130="",Inputs!$B$18,J130))</f>
        <v/>
      </c>
      <c r="AT130" s="13" t="str">
        <f aca="false">IF(A130="","",IFERROR(maxifs($AV$4:$AV$203,$D$4:$D$203,$A130),""))</f>
        <v/>
      </c>
      <c r="AU130" s="13" t="str">
        <f aca="false">IF(A130="","",IF(OR(E130="",Inputs!$B$23=""),"",E130/(Inputs!$B$23*60)))</f>
        <v/>
      </c>
      <c r="AV130" s="13" t="str">
        <f aca="false">IF(A130="","",IF(AQ130=0,AS130+AU130,IF(AT130="",AS130+AU130,AT130+AU130)))</f>
        <v/>
      </c>
      <c r="AW130" s="13" t="str">
        <f aca="false">IF(A130="","",W130)</f>
        <v/>
      </c>
      <c r="AX130" s="13" t="str">
        <f aca="false">IF(OR(T130="",P130=""),"",(1/Inputs!$B$9)*((T130/4)^(2/3))*SQRT(P130))</f>
        <v/>
      </c>
      <c r="AY130" s="13" t="str">
        <f aca="false">IF(A130="","",IF(AND(AW130="",AX130="",BA130=""),"",IF(OR(UPPER(TRIM(Inputs!$B$24))="MANNING",UPPER(TRIM(Inputs!$B$24))="M"),AX130,IF(OR(UPPER(TRIM(Inputs!$B$24))="PARTIAL",UPPER(TRIM(Inputs!$B$24))="P"),BA130,IF(OR(UPPER(TRIM(Inputs!$B$24))="MAX",UPPER(TRIM(Inputs!$B$24))="X"),MAX(IF(AW130="",0,AW130),IF(AX130="",0,AX130),IF(BA130="",0,BA130)),AW130)))))</f>
        <v/>
      </c>
      <c r="AZ130" s="13" t="str">
        <f aca="false">IF(BB130="","",CH130)</f>
        <v/>
      </c>
      <c r="BA130" s="13" t="str">
        <f aca="false">IF(OR(BB130="",AZ130="",T130="",T130&lt;=0,AZ130&lt;=0),"",BB130/((T130^2/8)*(2*ACOS(1-2*AZ130/T130)-SIN(2*ACOS(1-2*AZ130/T130)))))</f>
        <v/>
      </c>
      <c r="BB130" s="9" t="str">
        <f aca="false">IF(OR(N130="",BC130=""),"",MIN(N130,BC130))</f>
        <v/>
      </c>
      <c r="BC130" s="9" t="str">
        <f aca="false">IF(OR(N130="",T130="",P130=""),"",IF(OR(T130="",P130="",(0.94*T130)="",T130&lt;=0,(0.94*T130)&lt;=0),"",(1/Inputs!$B$9)*((T130^2/8)*((2*ACOS(1-2*(0.94*T130)/T130))-SIN((2*ACOS(1-2*(0.94*T130)/T130)))))*((((T130^2/8)*((2*ACOS(1-2*(0.94*T130)/T130))-SIN((2*ACOS(1-2*(0.94*T130)/T130)))))/((T130/2)*((2*ACOS(1-2*(0.94*T130)/T130)))))^(2/3))*SQRT(P130)))</f>
        <v/>
      </c>
      <c r="BD130" s="9" t="str">
        <f aca="false">IF(BB130="","",0.001*T130)</f>
        <v/>
      </c>
      <c r="BE130" s="9" t="str">
        <f aca="false">IF(BB130="","",0.94*T130)</f>
        <v/>
      </c>
      <c r="BF130" s="9" t="str">
        <f aca="false">IF(BB130="","",(BD130+BE130)/2)</f>
        <v/>
      </c>
      <c r="BG130" s="9" t="str">
        <f aca="false">IF(OR(T130="",P130="",BF130="",T130&lt;=0,BF130&lt;=0),"",(1/Inputs!$B$9)*((T130^2/8)*((2*ACOS(1-2*BF130/T130))-SIN((2*ACOS(1-2*BF130/T130)))))*((((T130^2/8)*((2*ACOS(1-2*BF130/T130))-SIN((2*ACOS(1-2*BF130/T130)))))/((T130/2)*((2*ACOS(1-2*BF130/T130)))))^(2/3))*SQRT(P130))</f>
        <v/>
      </c>
      <c r="BH130" s="9" t="str">
        <f aca="false">IF(BB130="","",IF(BG130&lt;BB130,BF130,BD130))</f>
        <v/>
      </c>
      <c r="BI130" s="9" t="str">
        <f aca="false">IF(BB130="","",IF(BG130&lt;BB130,BE130,BF130))</f>
        <v/>
      </c>
      <c r="BJ130" s="9" t="str">
        <f aca="false">IF(BB130="","",(BH130+BI130)/2)</f>
        <v/>
      </c>
      <c r="BK130" s="9" t="str">
        <f aca="false">IF(OR(T130="",P130="",BJ130="",T130&lt;=0,BJ130&lt;=0),"",(1/Inputs!$B$9)*((T130^2/8)*((2*ACOS(1-2*BJ130/T130))-SIN((2*ACOS(1-2*BJ130/T130)))))*((((T130^2/8)*((2*ACOS(1-2*BJ130/T130))-SIN((2*ACOS(1-2*BJ130/T130)))))/((T130/2)*((2*ACOS(1-2*BJ130/T130)))))^(2/3))*SQRT(P130))</f>
        <v/>
      </c>
      <c r="BL130" s="9" t="str">
        <f aca="false">IF(BB130="","",IF(BK130&lt;BB130,BJ130,BH130))</f>
        <v/>
      </c>
      <c r="BM130" s="9" t="str">
        <f aca="false">IF(BB130="","",IF(BK130&lt;BB130,BI130,BJ130))</f>
        <v/>
      </c>
      <c r="BN130" s="9" t="str">
        <f aca="false">IF(BB130="","",(BL130+BM130)/2)</f>
        <v/>
      </c>
      <c r="BO130" s="9" t="str">
        <f aca="false">IF(OR(T130="",P130="",BN130="",T130&lt;=0,BN130&lt;=0),"",(1/Inputs!$B$9)*((T130^2/8)*((2*ACOS(1-2*BN130/T130))-SIN((2*ACOS(1-2*BN130/T130)))))*((((T130^2/8)*((2*ACOS(1-2*BN130/T130))-SIN((2*ACOS(1-2*BN130/T130)))))/((T130/2)*((2*ACOS(1-2*BN130/T130)))))^(2/3))*SQRT(P130))</f>
        <v/>
      </c>
      <c r="BP130" s="9" t="str">
        <f aca="false">IF(BB130="","",IF(BO130&lt;BB130,BN130,BL130))</f>
        <v/>
      </c>
      <c r="BQ130" s="9" t="str">
        <f aca="false">IF(BB130="","",IF(BO130&lt;BB130,BM130,BN130))</f>
        <v/>
      </c>
      <c r="BR130" s="9" t="str">
        <f aca="false">IF(BB130="","",(BP130+BQ130)/2)</f>
        <v/>
      </c>
      <c r="BS130" s="9" t="str">
        <f aca="false">IF(OR(T130="",P130="",BR130="",T130&lt;=0,BR130&lt;=0),"",(1/Inputs!$B$9)*((T130^2/8)*((2*ACOS(1-2*BR130/T130))-SIN((2*ACOS(1-2*BR130/T130)))))*((((T130^2/8)*((2*ACOS(1-2*BR130/T130))-SIN((2*ACOS(1-2*BR130/T130)))))/((T130/2)*((2*ACOS(1-2*BR130/T130)))))^(2/3))*SQRT(P130))</f>
        <v/>
      </c>
      <c r="BT130" s="9" t="str">
        <f aca="false">IF(BB130="","",IF(BS130&lt;BB130,BR130,BP130))</f>
        <v/>
      </c>
      <c r="BU130" s="9" t="str">
        <f aca="false">IF(BB130="","",IF(BS130&lt;BB130,BQ130,BR130))</f>
        <v/>
      </c>
      <c r="BV130" s="9" t="str">
        <f aca="false">IF(BB130="","",(BT130+BU130)/2)</f>
        <v/>
      </c>
      <c r="BW130" s="9" t="str">
        <f aca="false">IF(OR(T130="",P130="",BV130="",T130&lt;=0,BV130&lt;=0),"",(1/Inputs!$B$9)*((T130^2/8)*((2*ACOS(1-2*BV130/T130))-SIN((2*ACOS(1-2*BV130/T130)))))*((((T130^2/8)*((2*ACOS(1-2*BV130/T130))-SIN((2*ACOS(1-2*BV130/T130)))))/((T130/2)*((2*ACOS(1-2*BV130/T130)))))^(2/3))*SQRT(P130))</f>
        <v/>
      </c>
      <c r="BX130" s="9" t="str">
        <f aca="false">IF(BB130="","",IF(BW130&lt;BB130,BV130,BT130))</f>
        <v/>
      </c>
      <c r="BY130" s="9" t="str">
        <f aca="false">IF(BB130="","",IF(BW130&lt;BB130,BU130,BV130))</f>
        <v/>
      </c>
      <c r="BZ130" s="9" t="str">
        <f aca="false">IF(BB130="","",(BX130+BY130)/2)</f>
        <v/>
      </c>
      <c r="CA130" s="9" t="str">
        <f aca="false">IF(OR(T130="",P130="",BZ130="",T130&lt;=0,BZ130&lt;=0),"",(1/Inputs!$B$9)*((T130^2/8)*((2*ACOS(1-2*BZ130/T130))-SIN((2*ACOS(1-2*BZ130/T130)))))*((((T130^2/8)*((2*ACOS(1-2*BZ130/T130))-SIN((2*ACOS(1-2*BZ130/T130)))))/((T130/2)*((2*ACOS(1-2*BZ130/T130)))))^(2/3))*SQRT(P130))</f>
        <v/>
      </c>
      <c r="CB130" s="9" t="str">
        <f aca="false">IF(BB130="","",IF(CA130&lt;BB130,BZ130,BX130))</f>
        <v/>
      </c>
      <c r="CC130" s="9" t="str">
        <f aca="false">IF(BB130="","",IF(CA130&lt;BB130,BY130,BZ130))</f>
        <v/>
      </c>
      <c r="CD130" s="9" t="str">
        <f aca="false">IF(BB130="","",(CB130+CC130)/2)</f>
        <v/>
      </c>
      <c r="CE130" s="9" t="str">
        <f aca="false">IF(OR(T130="",P130="",CD130="",T130&lt;=0,CD130&lt;=0),"",(1/Inputs!$B$9)*((T130^2/8)*((2*ACOS(1-2*CD130/T130))-SIN((2*ACOS(1-2*CD130/T130)))))*((((T130^2/8)*((2*ACOS(1-2*CD130/T130))-SIN((2*ACOS(1-2*CD130/T130)))))/((T130/2)*((2*ACOS(1-2*CD130/T130)))))^(2/3))*SQRT(P130))</f>
        <v/>
      </c>
      <c r="CF130" s="9" t="str">
        <f aca="false">IF(BB130="","",IF(CE130&lt;BB130,CD130,CB130))</f>
        <v/>
      </c>
      <c r="CG130" s="9" t="str">
        <f aca="false">IF(BB130="","",IF(CE130&lt;BB130,CC130,CD130))</f>
        <v/>
      </c>
      <c r="CH130" s="9" t="str">
        <f aca="false">IF(BB130="","",(CF130+CG130)/2)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14"/>
      <c r="F131" s="14"/>
      <c r="G131" s="14" t="n">
        <f aca="false">SUMIFS(CB_plan!$C:$C,CB_plan!$B:$B,$A131)</f>
        <v>0</v>
      </c>
      <c r="H131" s="14" t="n">
        <f aca="false">IF(F131="",G131,F131)</f>
        <v>0</v>
      </c>
      <c r="I131" s="9"/>
      <c r="J131" s="14"/>
      <c r="K131" s="14" t="str">
        <f aca="false">IF(A131="","",Inputs!$B$13/((IF(AV131="",Inputs!$B$18,AV131)+Inputs!$B$14)^Inputs!$B$15))</f>
        <v/>
      </c>
      <c r="L131" s="14" t="str">
        <f aca="false">IF(A131="","",0.000000278*IF(I131="",Inputs!$B$17,I131)*H131*K131)</f>
        <v/>
      </c>
      <c r="M131" s="14" t="str">
        <f aca="false">IF(A131="","",SUMIFS($N$4:$N$203,$D$4:$D$203,$A131))</f>
        <v/>
      </c>
      <c r="N131" s="14" t="str">
        <f aca="false">IF(A131="","",(L131+M131)*Inputs!$B$16)</f>
        <v/>
      </c>
      <c r="O131" s="14"/>
      <c r="P131" s="14" t="str">
        <f aca="false">IF(A131="","",IF(O131="",Inputs!$B$7,O131))</f>
        <v/>
      </c>
      <c r="Q131" s="9" t="str">
        <f aca="false">IF(A131="","",IF(N131/Inputs!$B$10&lt;=AG131,Inputs!$F$5,IF(N131/Inputs!$B$10&gt;AP131,"OVERSIZE",INDEX(Inputs!$F$5:$F$14,MATCH(N131/Inputs!$B$10,AG131:AP131,1)+1))))</f>
        <v/>
      </c>
      <c r="R131" s="9"/>
      <c r="S131" s="9" t="str">
        <f aca="false">IF(A131="","",IF(R131="",Q131,R131))</f>
        <v/>
      </c>
      <c r="T131" s="14" t="str">
        <f aca="false">IF(OR(S131="",S131="OVERSIZE"),"",S131/1000)</f>
        <v/>
      </c>
      <c r="U131" s="14" t="str">
        <f aca="false">IF(T131="","",(1/Inputs!$B$9)*(PI()*T131^2/4)*((T131/4)^(2/3))*SQRT(P131))</f>
        <v/>
      </c>
      <c r="V131" s="14" t="str">
        <f aca="false">IF(OR(U131="",N131=""),"",N131/(U131*Inputs!$B$10))</f>
        <v/>
      </c>
      <c r="W131" s="14" t="str">
        <f aca="false">IF(OR(T131="",N131=""),"",4*N131/(PI()*T131^2))</f>
        <v/>
      </c>
      <c r="X131" s="14"/>
      <c r="Y131" s="14" t="str">
        <f aca="false">IF(A131="","",IF(A131=Inputs!$B$6,Inputs!$B$22,IF(D131="","",IFERROR(INDEX($Z$4:$Z$203,MATCH(D131,$A$4:$A$203,0))+IF(X131="",Inputs!$B$20,X131),""))))</f>
        <v/>
      </c>
      <c r="Z131" s="14" t="str">
        <f aca="false">IF(OR(Y131="",P131="",E131=""),"",Y131+P131*E131)</f>
        <v/>
      </c>
      <c r="AA131" s="14" t="str">
        <f aca="false">IF(C131="","",IFERROR(INDEX(Noeuds_plan!$C$4:$C$200,MATCH(C131,Noeuds_plan!$A$4:$A$200,0)),""))</f>
        <v/>
      </c>
      <c r="AB131" s="14" t="str">
        <f aca="false">IF(B131="","",IFERROR(INDEX(Noeuds_plan!$C$4:$C$200,MATCH(B131,Noeuds_plan!$A$4:$A$200,0)),""))</f>
        <v/>
      </c>
      <c r="AC131" s="14" t="str">
        <f aca="false">IF(OR(AA131="",Y131=""),"",AA131-Y131)</f>
        <v/>
      </c>
      <c r="AD131" s="14" t="str">
        <f aca="false">IF(OR(AB131="",Z131=""),"",AB131-Z131)</f>
        <v/>
      </c>
      <c r="AE131" s="19" t="str">
        <f aca="false">IF(A131="","",IF(OR(V131&gt;1,AND(AY131&lt;&gt;"",AY131&lt;Inputs!$B$11),AND(AY131&lt;&gt;"",AY131&gt;Inputs!$B$12),AC131&lt;Inputs!$B$19,AD131&lt;Inputs!$B$19,P131&lt;Inputs!$B$7,P131&gt;Inputs!$B$8),"CHECK","OK"))</f>
        <v/>
      </c>
      <c r="AF131" s="9"/>
      <c r="AG131" s="9" t="str">
        <f aca="false">IF(A131="","",(1/Inputs!$B$9)*(PI()*(Inputs!$F$5/1000)^2/4)*((Inputs!$F$5/1000/4)^(2/3))*SQRT(P131))</f>
        <v/>
      </c>
      <c r="AH131" s="9" t="str">
        <f aca="false">IF(A131="","",(1/Inputs!$B$9)*(PI()*(Inputs!$F$6/1000)^2/4)*((Inputs!$F$6/1000/4)^(2/3))*SQRT(P131))</f>
        <v/>
      </c>
      <c r="AI131" s="9" t="str">
        <f aca="false">IF(A131="","",(1/Inputs!$B$9)*(PI()*(Inputs!$F$7/1000)^2/4)*((Inputs!$F$7/1000/4)^(2/3))*SQRT(P131))</f>
        <v/>
      </c>
      <c r="AJ131" s="9" t="str">
        <f aca="false">IF(A131="","",(1/Inputs!$B$9)*(PI()*(Inputs!$F$8/1000)^2/4)*((Inputs!$F$8/1000/4)^(2/3))*SQRT(P131))</f>
        <v/>
      </c>
      <c r="AK131" s="9" t="str">
        <f aca="false">IF(A131="","",(1/Inputs!$B$9)*(PI()*(Inputs!$F$9/1000)^2/4)*((Inputs!$F$9/1000/4)^(2/3))*SQRT(P131))</f>
        <v/>
      </c>
      <c r="AL131" s="9" t="str">
        <f aca="false">IF(A131="","",(1/Inputs!$B$9)*(PI()*(Inputs!$F$10/1000)^2/4)*((Inputs!$F$10/1000/4)^(2/3))*SQRT(P131))</f>
        <v/>
      </c>
      <c r="AM131" s="9" t="str">
        <f aca="false">IF(A131="","",(1/Inputs!$B$9)*(PI()*(Inputs!$F$11/1000)^2/4)*((Inputs!$F$11/1000/4)^(2/3))*SQRT(P131))</f>
        <v/>
      </c>
      <c r="AN131" s="9" t="str">
        <f aca="false">IF(A131="","",(1/Inputs!$B$9)*(PI()*(Inputs!$F$12/1000)^2/4)*((Inputs!$F$12/1000/4)^(2/3))*SQRT(P131))</f>
        <v/>
      </c>
      <c r="AO131" s="9" t="str">
        <f aca="false">IF(A131="","",(1/Inputs!$B$9)*(PI()*(Inputs!$F$13/1000)^2/4)*((Inputs!$F$13/1000/4)^(2/3))*SQRT(P131))</f>
        <v/>
      </c>
      <c r="AP131" s="9" t="str">
        <f aca="false">IF(A131="","",(1/Inputs!$B$9)*(PI()*(Inputs!$F$14/1000)^2/4)*((Inputs!$F$14/1000/4)^(2/3))*SQRT(P131))</f>
        <v/>
      </c>
      <c r="AQ131" s="9" t="str">
        <f aca="false">IF(A131="","",COUNTIF($D$4:$D$203,$A131))</f>
        <v/>
      </c>
      <c r="AR131" s="9" t="str">
        <f aca="false">IF(A131="","",IF(AQ131=0,"START","CONTINUOUS"))</f>
        <v/>
      </c>
      <c r="AS131" s="13" t="str">
        <f aca="false">IF(A131="","",IF(J131="",Inputs!$B$18,J131))</f>
        <v/>
      </c>
      <c r="AT131" s="13" t="str">
        <f aca="false">IF(A131="","",IFERROR(maxifs($AV$4:$AV$203,$D$4:$D$203,$A131),""))</f>
        <v/>
      </c>
      <c r="AU131" s="13" t="str">
        <f aca="false">IF(A131="","",IF(OR(E131="",Inputs!$B$23=""),"",E131/(Inputs!$B$23*60)))</f>
        <v/>
      </c>
      <c r="AV131" s="13" t="str">
        <f aca="false">IF(A131="","",IF(AQ131=0,AS131+AU131,IF(AT131="",AS131+AU131,AT131+AU131)))</f>
        <v/>
      </c>
      <c r="AW131" s="13" t="str">
        <f aca="false">IF(A131="","",W131)</f>
        <v/>
      </c>
      <c r="AX131" s="13" t="str">
        <f aca="false">IF(OR(T131="",P131=""),"",(1/Inputs!$B$9)*((T131/4)^(2/3))*SQRT(P131))</f>
        <v/>
      </c>
      <c r="AY131" s="13" t="str">
        <f aca="false">IF(A131="","",IF(AND(AW131="",AX131="",BA131=""),"",IF(OR(UPPER(TRIM(Inputs!$B$24))="MANNING",UPPER(TRIM(Inputs!$B$24))="M"),AX131,IF(OR(UPPER(TRIM(Inputs!$B$24))="PARTIAL",UPPER(TRIM(Inputs!$B$24))="P"),BA131,IF(OR(UPPER(TRIM(Inputs!$B$24))="MAX",UPPER(TRIM(Inputs!$B$24))="X"),MAX(IF(AW131="",0,AW131),IF(AX131="",0,AX131),IF(BA131="",0,BA131)),AW131)))))</f>
        <v/>
      </c>
      <c r="AZ131" s="13" t="str">
        <f aca="false">IF(BB131="","",CH131)</f>
        <v/>
      </c>
      <c r="BA131" s="13" t="str">
        <f aca="false">IF(OR(BB131="",AZ131="",T131="",T131&lt;=0,AZ131&lt;=0),"",BB131/((T131^2/8)*(2*ACOS(1-2*AZ131/T131)-SIN(2*ACOS(1-2*AZ131/T131)))))</f>
        <v/>
      </c>
      <c r="BB131" s="9" t="str">
        <f aca="false">IF(OR(N131="",BC131=""),"",MIN(N131,BC131))</f>
        <v/>
      </c>
      <c r="BC131" s="9" t="str">
        <f aca="false">IF(OR(N131="",T131="",P131=""),"",IF(OR(T131="",P131="",(0.94*T131)="",T131&lt;=0,(0.94*T131)&lt;=0),"",(1/Inputs!$B$9)*((T131^2/8)*((2*ACOS(1-2*(0.94*T131)/T131))-SIN((2*ACOS(1-2*(0.94*T131)/T131)))))*((((T131^2/8)*((2*ACOS(1-2*(0.94*T131)/T131))-SIN((2*ACOS(1-2*(0.94*T131)/T131)))))/((T131/2)*((2*ACOS(1-2*(0.94*T131)/T131)))))^(2/3))*SQRT(P131)))</f>
        <v/>
      </c>
      <c r="BD131" s="9" t="str">
        <f aca="false">IF(BB131="","",0.001*T131)</f>
        <v/>
      </c>
      <c r="BE131" s="9" t="str">
        <f aca="false">IF(BB131="","",0.94*T131)</f>
        <v/>
      </c>
      <c r="BF131" s="9" t="str">
        <f aca="false">IF(BB131="","",(BD131+BE131)/2)</f>
        <v/>
      </c>
      <c r="BG131" s="9" t="str">
        <f aca="false">IF(OR(T131="",P131="",BF131="",T131&lt;=0,BF131&lt;=0),"",(1/Inputs!$B$9)*((T131^2/8)*((2*ACOS(1-2*BF131/T131))-SIN((2*ACOS(1-2*BF131/T131)))))*((((T131^2/8)*((2*ACOS(1-2*BF131/T131))-SIN((2*ACOS(1-2*BF131/T131)))))/((T131/2)*((2*ACOS(1-2*BF131/T131)))))^(2/3))*SQRT(P131))</f>
        <v/>
      </c>
      <c r="BH131" s="9" t="str">
        <f aca="false">IF(BB131="","",IF(BG131&lt;BB131,BF131,BD131))</f>
        <v/>
      </c>
      <c r="BI131" s="9" t="str">
        <f aca="false">IF(BB131="","",IF(BG131&lt;BB131,BE131,BF131))</f>
        <v/>
      </c>
      <c r="BJ131" s="9" t="str">
        <f aca="false">IF(BB131="","",(BH131+BI131)/2)</f>
        <v/>
      </c>
      <c r="BK131" s="9" t="str">
        <f aca="false">IF(OR(T131="",P131="",BJ131="",T131&lt;=0,BJ131&lt;=0),"",(1/Inputs!$B$9)*((T131^2/8)*((2*ACOS(1-2*BJ131/T131))-SIN((2*ACOS(1-2*BJ131/T131)))))*((((T131^2/8)*((2*ACOS(1-2*BJ131/T131))-SIN((2*ACOS(1-2*BJ131/T131)))))/((T131/2)*((2*ACOS(1-2*BJ131/T131)))))^(2/3))*SQRT(P131))</f>
        <v/>
      </c>
      <c r="BL131" s="9" t="str">
        <f aca="false">IF(BB131="","",IF(BK131&lt;BB131,BJ131,BH131))</f>
        <v/>
      </c>
      <c r="BM131" s="9" t="str">
        <f aca="false">IF(BB131="","",IF(BK131&lt;BB131,BI131,BJ131))</f>
        <v/>
      </c>
      <c r="BN131" s="9" t="str">
        <f aca="false">IF(BB131="","",(BL131+BM131)/2)</f>
        <v/>
      </c>
      <c r="BO131" s="9" t="str">
        <f aca="false">IF(OR(T131="",P131="",BN131="",T131&lt;=0,BN131&lt;=0),"",(1/Inputs!$B$9)*((T131^2/8)*((2*ACOS(1-2*BN131/T131))-SIN((2*ACOS(1-2*BN131/T131)))))*((((T131^2/8)*((2*ACOS(1-2*BN131/T131))-SIN((2*ACOS(1-2*BN131/T131)))))/((T131/2)*((2*ACOS(1-2*BN131/T131)))))^(2/3))*SQRT(P131))</f>
        <v/>
      </c>
      <c r="BP131" s="9" t="str">
        <f aca="false">IF(BB131="","",IF(BO131&lt;BB131,BN131,BL131))</f>
        <v/>
      </c>
      <c r="BQ131" s="9" t="str">
        <f aca="false">IF(BB131="","",IF(BO131&lt;BB131,BM131,BN131))</f>
        <v/>
      </c>
      <c r="BR131" s="9" t="str">
        <f aca="false">IF(BB131="","",(BP131+BQ131)/2)</f>
        <v/>
      </c>
      <c r="BS131" s="9" t="str">
        <f aca="false">IF(OR(T131="",P131="",BR131="",T131&lt;=0,BR131&lt;=0),"",(1/Inputs!$B$9)*((T131^2/8)*((2*ACOS(1-2*BR131/T131))-SIN((2*ACOS(1-2*BR131/T131)))))*((((T131^2/8)*((2*ACOS(1-2*BR131/T131))-SIN((2*ACOS(1-2*BR131/T131)))))/((T131/2)*((2*ACOS(1-2*BR131/T131)))))^(2/3))*SQRT(P131))</f>
        <v/>
      </c>
      <c r="BT131" s="9" t="str">
        <f aca="false">IF(BB131="","",IF(BS131&lt;BB131,BR131,BP131))</f>
        <v/>
      </c>
      <c r="BU131" s="9" t="str">
        <f aca="false">IF(BB131="","",IF(BS131&lt;BB131,BQ131,BR131))</f>
        <v/>
      </c>
      <c r="BV131" s="9" t="str">
        <f aca="false">IF(BB131="","",(BT131+BU131)/2)</f>
        <v/>
      </c>
      <c r="BW131" s="9" t="str">
        <f aca="false">IF(OR(T131="",P131="",BV131="",T131&lt;=0,BV131&lt;=0),"",(1/Inputs!$B$9)*((T131^2/8)*((2*ACOS(1-2*BV131/T131))-SIN((2*ACOS(1-2*BV131/T131)))))*((((T131^2/8)*((2*ACOS(1-2*BV131/T131))-SIN((2*ACOS(1-2*BV131/T131)))))/((T131/2)*((2*ACOS(1-2*BV131/T131)))))^(2/3))*SQRT(P131))</f>
        <v/>
      </c>
      <c r="BX131" s="9" t="str">
        <f aca="false">IF(BB131="","",IF(BW131&lt;BB131,BV131,BT131))</f>
        <v/>
      </c>
      <c r="BY131" s="9" t="str">
        <f aca="false">IF(BB131="","",IF(BW131&lt;BB131,BU131,BV131))</f>
        <v/>
      </c>
      <c r="BZ131" s="9" t="str">
        <f aca="false">IF(BB131="","",(BX131+BY131)/2)</f>
        <v/>
      </c>
      <c r="CA131" s="9" t="str">
        <f aca="false">IF(OR(T131="",P131="",BZ131="",T131&lt;=0,BZ131&lt;=0),"",(1/Inputs!$B$9)*((T131^2/8)*((2*ACOS(1-2*BZ131/T131))-SIN((2*ACOS(1-2*BZ131/T131)))))*((((T131^2/8)*((2*ACOS(1-2*BZ131/T131))-SIN((2*ACOS(1-2*BZ131/T131)))))/((T131/2)*((2*ACOS(1-2*BZ131/T131)))))^(2/3))*SQRT(P131))</f>
        <v/>
      </c>
      <c r="CB131" s="9" t="str">
        <f aca="false">IF(BB131="","",IF(CA131&lt;BB131,BZ131,BX131))</f>
        <v/>
      </c>
      <c r="CC131" s="9" t="str">
        <f aca="false">IF(BB131="","",IF(CA131&lt;BB131,BY131,BZ131))</f>
        <v/>
      </c>
      <c r="CD131" s="9" t="str">
        <f aca="false">IF(BB131="","",(CB131+CC131)/2)</f>
        <v/>
      </c>
      <c r="CE131" s="9" t="str">
        <f aca="false">IF(OR(T131="",P131="",CD131="",T131&lt;=0,CD131&lt;=0),"",(1/Inputs!$B$9)*((T131^2/8)*((2*ACOS(1-2*CD131/T131))-SIN((2*ACOS(1-2*CD131/T131)))))*((((T131^2/8)*((2*ACOS(1-2*CD131/T131))-SIN((2*ACOS(1-2*CD131/T131)))))/((T131/2)*((2*ACOS(1-2*CD131/T131)))))^(2/3))*SQRT(P131))</f>
        <v/>
      </c>
      <c r="CF131" s="9" t="str">
        <f aca="false">IF(BB131="","",IF(CE131&lt;BB131,CD131,CB131))</f>
        <v/>
      </c>
      <c r="CG131" s="9" t="str">
        <f aca="false">IF(BB131="","",IF(CE131&lt;BB131,CC131,CD131))</f>
        <v/>
      </c>
      <c r="CH131" s="9" t="str">
        <f aca="false">IF(BB131="","",(CF131+CG131)/2)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14"/>
      <c r="F132" s="14"/>
      <c r="G132" s="14" t="n">
        <f aca="false">SUMIFS(CB_plan!$C:$C,CB_plan!$B:$B,$A132)</f>
        <v>0</v>
      </c>
      <c r="H132" s="14" t="n">
        <f aca="false">IF(F132="",G132,F132)</f>
        <v>0</v>
      </c>
      <c r="I132" s="9"/>
      <c r="J132" s="14"/>
      <c r="K132" s="14" t="str">
        <f aca="false">IF(A132="","",Inputs!$B$13/((IF(AV132="",Inputs!$B$18,AV132)+Inputs!$B$14)^Inputs!$B$15))</f>
        <v/>
      </c>
      <c r="L132" s="14" t="str">
        <f aca="false">IF(A132="","",0.000000278*IF(I132="",Inputs!$B$17,I132)*H132*K132)</f>
        <v/>
      </c>
      <c r="M132" s="14" t="str">
        <f aca="false">IF(A132="","",SUMIFS($N$4:$N$203,$D$4:$D$203,$A132))</f>
        <v/>
      </c>
      <c r="N132" s="14" t="str">
        <f aca="false">IF(A132="","",(L132+M132)*Inputs!$B$16)</f>
        <v/>
      </c>
      <c r="O132" s="14"/>
      <c r="P132" s="14" t="str">
        <f aca="false">IF(A132="","",IF(O132="",Inputs!$B$7,O132))</f>
        <v/>
      </c>
      <c r="Q132" s="9" t="str">
        <f aca="false">IF(A132="","",IF(N132/Inputs!$B$10&lt;=AG132,Inputs!$F$5,IF(N132/Inputs!$B$10&gt;AP132,"OVERSIZE",INDEX(Inputs!$F$5:$F$14,MATCH(N132/Inputs!$B$10,AG132:AP132,1)+1))))</f>
        <v/>
      </c>
      <c r="R132" s="9"/>
      <c r="S132" s="9" t="str">
        <f aca="false">IF(A132="","",IF(R132="",Q132,R132))</f>
        <v/>
      </c>
      <c r="T132" s="14" t="str">
        <f aca="false">IF(OR(S132="",S132="OVERSIZE"),"",S132/1000)</f>
        <v/>
      </c>
      <c r="U132" s="14" t="str">
        <f aca="false">IF(T132="","",(1/Inputs!$B$9)*(PI()*T132^2/4)*((T132/4)^(2/3))*SQRT(P132))</f>
        <v/>
      </c>
      <c r="V132" s="14" t="str">
        <f aca="false">IF(OR(U132="",N132=""),"",N132/(U132*Inputs!$B$10))</f>
        <v/>
      </c>
      <c r="W132" s="14" t="str">
        <f aca="false">IF(OR(T132="",N132=""),"",4*N132/(PI()*T132^2))</f>
        <v/>
      </c>
      <c r="X132" s="14"/>
      <c r="Y132" s="14" t="str">
        <f aca="false">IF(A132="","",IF(A132=Inputs!$B$6,Inputs!$B$22,IF(D132="","",IFERROR(INDEX($Z$4:$Z$203,MATCH(D132,$A$4:$A$203,0))+IF(X132="",Inputs!$B$20,X132),""))))</f>
        <v/>
      </c>
      <c r="Z132" s="14" t="str">
        <f aca="false">IF(OR(Y132="",P132="",E132=""),"",Y132+P132*E132)</f>
        <v/>
      </c>
      <c r="AA132" s="14" t="str">
        <f aca="false">IF(C132="","",IFERROR(INDEX(Noeuds_plan!$C$4:$C$200,MATCH(C132,Noeuds_plan!$A$4:$A$200,0)),""))</f>
        <v/>
      </c>
      <c r="AB132" s="14" t="str">
        <f aca="false">IF(B132="","",IFERROR(INDEX(Noeuds_plan!$C$4:$C$200,MATCH(B132,Noeuds_plan!$A$4:$A$200,0)),""))</f>
        <v/>
      </c>
      <c r="AC132" s="14" t="str">
        <f aca="false">IF(OR(AA132="",Y132=""),"",AA132-Y132)</f>
        <v/>
      </c>
      <c r="AD132" s="14" t="str">
        <f aca="false">IF(OR(AB132="",Z132=""),"",AB132-Z132)</f>
        <v/>
      </c>
      <c r="AE132" s="19" t="str">
        <f aca="false">IF(A132="","",IF(OR(V132&gt;1,AND(AY132&lt;&gt;"",AY132&lt;Inputs!$B$11),AND(AY132&lt;&gt;"",AY132&gt;Inputs!$B$12),AC132&lt;Inputs!$B$19,AD132&lt;Inputs!$B$19,P132&lt;Inputs!$B$7,P132&gt;Inputs!$B$8),"CHECK","OK"))</f>
        <v/>
      </c>
      <c r="AF132" s="9"/>
      <c r="AG132" s="9" t="str">
        <f aca="false">IF(A132="","",(1/Inputs!$B$9)*(PI()*(Inputs!$F$5/1000)^2/4)*((Inputs!$F$5/1000/4)^(2/3))*SQRT(P132))</f>
        <v/>
      </c>
      <c r="AH132" s="9" t="str">
        <f aca="false">IF(A132="","",(1/Inputs!$B$9)*(PI()*(Inputs!$F$6/1000)^2/4)*((Inputs!$F$6/1000/4)^(2/3))*SQRT(P132))</f>
        <v/>
      </c>
      <c r="AI132" s="9" t="str">
        <f aca="false">IF(A132="","",(1/Inputs!$B$9)*(PI()*(Inputs!$F$7/1000)^2/4)*((Inputs!$F$7/1000/4)^(2/3))*SQRT(P132))</f>
        <v/>
      </c>
      <c r="AJ132" s="9" t="str">
        <f aca="false">IF(A132="","",(1/Inputs!$B$9)*(PI()*(Inputs!$F$8/1000)^2/4)*((Inputs!$F$8/1000/4)^(2/3))*SQRT(P132))</f>
        <v/>
      </c>
      <c r="AK132" s="9" t="str">
        <f aca="false">IF(A132="","",(1/Inputs!$B$9)*(PI()*(Inputs!$F$9/1000)^2/4)*((Inputs!$F$9/1000/4)^(2/3))*SQRT(P132))</f>
        <v/>
      </c>
      <c r="AL132" s="9" t="str">
        <f aca="false">IF(A132="","",(1/Inputs!$B$9)*(PI()*(Inputs!$F$10/1000)^2/4)*((Inputs!$F$10/1000/4)^(2/3))*SQRT(P132))</f>
        <v/>
      </c>
      <c r="AM132" s="9" t="str">
        <f aca="false">IF(A132="","",(1/Inputs!$B$9)*(PI()*(Inputs!$F$11/1000)^2/4)*((Inputs!$F$11/1000/4)^(2/3))*SQRT(P132))</f>
        <v/>
      </c>
      <c r="AN132" s="9" t="str">
        <f aca="false">IF(A132="","",(1/Inputs!$B$9)*(PI()*(Inputs!$F$12/1000)^2/4)*((Inputs!$F$12/1000/4)^(2/3))*SQRT(P132))</f>
        <v/>
      </c>
      <c r="AO132" s="9" t="str">
        <f aca="false">IF(A132="","",(1/Inputs!$B$9)*(PI()*(Inputs!$F$13/1000)^2/4)*((Inputs!$F$13/1000/4)^(2/3))*SQRT(P132))</f>
        <v/>
      </c>
      <c r="AP132" s="9" t="str">
        <f aca="false">IF(A132="","",(1/Inputs!$B$9)*(PI()*(Inputs!$F$14/1000)^2/4)*((Inputs!$F$14/1000/4)^(2/3))*SQRT(P132))</f>
        <v/>
      </c>
      <c r="AQ132" s="9" t="str">
        <f aca="false">IF(A132="","",COUNTIF($D$4:$D$203,$A132))</f>
        <v/>
      </c>
      <c r="AR132" s="9" t="str">
        <f aca="false">IF(A132="","",IF(AQ132=0,"START","CONTINUOUS"))</f>
        <v/>
      </c>
      <c r="AS132" s="13" t="str">
        <f aca="false">IF(A132="","",IF(J132="",Inputs!$B$18,J132))</f>
        <v/>
      </c>
      <c r="AT132" s="13" t="str">
        <f aca="false">IF(A132="","",IFERROR(maxifs($AV$4:$AV$203,$D$4:$D$203,$A132),""))</f>
        <v/>
      </c>
      <c r="AU132" s="13" t="str">
        <f aca="false">IF(A132="","",IF(OR(E132="",Inputs!$B$23=""),"",E132/(Inputs!$B$23*60)))</f>
        <v/>
      </c>
      <c r="AV132" s="13" t="str">
        <f aca="false">IF(A132="","",IF(AQ132=0,AS132+AU132,IF(AT132="",AS132+AU132,AT132+AU132)))</f>
        <v/>
      </c>
      <c r="AW132" s="13" t="str">
        <f aca="false">IF(A132="","",W132)</f>
        <v/>
      </c>
      <c r="AX132" s="13" t="str">
        <f aca="false">IF(OR(T132="",P132=""),"",(1/Inputs!$B$9)*((T132/4)^(2/3))*SQRT(P132))</f>
        <v/>
      </c>
      <c r="AY132" s="13" t="str">
        <f aca="false">IF(A132="","",IF(AND(AW132="",AX132="",BA132=""),"",IF(OR(UPPER(TRIM(Inputs!$B$24))="MANNING",UPPER(TRIM(Inputs!$B$24))="M"),AX132,IF(OR(UPPER(TRIM(Inputs!$B$24))="PARTIAL",UPPER(TRIM(Inputs!$B$24))="P"),BA132,IF(OR(UPPER(TRIM(Inputs!$B$24))="MAX",UPPER(TRIM(Inputs!$B$24))="X"),MAX(IF(AW132="",0,AW132),IF(AX132="",0,AX132),IF(BA132="",0,BA132)),AW132)))))</f>
        <v/>
      </c>
      <c r="AZ132" s="13" t="str">
        <f aca="false">IF(BB132="","",CH132)</f>
        <v/>
      </c>
      <c r="BA132" s="13" t="str">
        <f aca="false">IF(OR(BB132="",AZ132="",T132="",T132&lt;=0,AZ132&lt;=0),"",BB132/((T132^2/8)*(2*ACOS(1-2*AZ132/T132)-SIN(2*ACOS(1-2*AZ132/T132)))))</f>
        <v/>
      </c>
      <c r="BB132" s="9" t="str">
        <f aca="false">IF(OR(N132="",BC132=""),"",MIN(N132,BC132))</f>
        <v/>
      </c>
      <c r="BC132" s="9" t="str">
        <f aca="false">IF(OR(N132="",T132="",P132=""),"",IF(OR(T132="",P132="",(0.94*T132)="",T132&lt;=0,(0.94*T132)&lt;=0),"",(1/Inputs!$B$9)*((T132^2/8)*((2*ACOS(1-2*(0.94*T132)/T132))-SIN((2*ACOS(1-2*(0.94*T132)/T132)))))*((((T132^2/8)*((2*ACOS(1-2*(0.94*T132)/T132))-SIN((2*ACOS(1-2*(0.94*T132)/T132)))))/((T132/2)*((2*ACOS(1-2*(0.94*T132)/T132)))))^(2/3))*SQRT(P132)))</f>
        <v/>
      </c>
      <c r="BD132" s="9" t="str">
        <f aca="false">IF(BB132="","",0.001*T132)</f>
        <v/>
      </c>
      <c r="BE132" s="9" t="str">
        <f aca="false">IF(BB132="","",0.94*T132)</f>
        <v/>
      </c>
      <c r="BF132" s="9" t="str">
        <f aca="false">IF(BB132="","",(BD132+BE132)/2)</f>
        <v/>
      </c>
      <c r="BG132" s="9" t="str">
        <f aca="false">IF(OR(T132="",P132="",BF132="",T132&lt;=0,BF132&lt;=0),"",(1/Inputs!$B$9)*((T132^2/8)*((2*ACOS(1-2*BF132/T132))-SIN((2*ACOS(1-2*BF132/T132)))))*((((T132^2/8)*((2*ACOS(1-2*BF132/T132))-SIN((2*ACOS(1-2*BF132/T132)))))/((T132/2)*((2*ACOS(1-2*BF132/T132)))))^(2/3))*SQRT(P132))</f>
        <v/>
      </c>
      <c r="BH132" s="9" t="str">
        <f aca="false">IF(BB132="","",IF(BG132&lt;BB132,BF132,BD132))</f>
        <v/>
      </c>
      <c r="BI132" s="9" t="str">
        <f aca="false">IF(BB132="","",IF(BG132&lt;BB132,BE132,BF132))</f>
        <v/>
      </c>
      <c r="BJ132" s="9" t="str">
        <f aca="false">IF(BB132="","",(BH132+BI132)/2)</f>
        <v/>
      </c>
      <c r="BK132" s="9" t="str">
        <f aca="false">IF(OR(T132="",P132="",BJ132="",T132&lt;=0,BJ132&lt;=0),"",(1/Inputs!$B$9)*((T132^2/8)*((2*ACOS(1-2*BJ132/T132))-SIN((2*ACOS(1-2*BJ132/T132)))))*((((T132^2/8)*((2*ACOS(1-2*BJ132/T132))-SIN((2*ACOS(1-2*BJ132/T132)))))/((T132/2)*((2*ACOS(1-2*BJ132/T132)))))^(2/3))*SQRT(P132))</f>
        <v/>
      </c>
      <c r="BL132" s="9" t="str">
        <f aca="false">IF(BB132="","",IF(BK132&lt;BB132,BJ132,BH132))</f>
        <v/>
      </c>
      <c r="BM132" s="9" t="str">
        <f aca="false">IF(BB132="","",IF(BK132&lt;BB132,BI132,BJ132))</f>
        <v/>
      </c>
      <c r="BN132" s="9" t="str">
        <f aca="false">IF(BB132="","",(BL132+BM132)/2)</f>
        <v/>
      </c>
      <c r="BO132" s="9" t="str">
        <f aca="false">IF(OR(T132="",P132="",BN132="",T132&lt;=0,BN132&lt;=0),"",(1/Inputs!$B$9)*((T132^2/8)*((2*ACOS(1-2*BN132/T132))-SIN((2*ACOS(1-2*BN132/T132)))))*((((T132^2/8)*((2*ACOS(1-2*BN132/T132))-SIN((2*ACOS(1-2*BN132/T132)))))/((T132/2)*((2*ACOS(1-2*BN132/T132)))))^(2/3))*SQRT(P132))</f>
        <v/>
      </c>
      <c r="BP132" s="9" t="str">
        <f aca="false">IF(BB132="","",IF(BO132&lt;BB132,BN132,BL132))</f>
        <v/>
      </c>
      <c r="BQ132" s="9" t="str">
        <f aca="false">IF(BB132="","",IF(BO132&lt;BB132,BM132,BN132))</f>
        <v/>
      </c>
      <c r="BR132" s="9" t="str">
        <f aca="false">IF(BB132="","",(BP132+BQ132)/2)</f>
        <v/>
      </c>
      <c r="BS132" s="9" t="str">
        <f aca="false">IF(OR(T132="",P132="",BR132="",T132&lt;=0,BR132&lt;=0),"",(1/Inputs!$B$9)*((T132^2/8)*((2*ACOS(1-2*BR132/T132))-SIN((2*ACOS(1-2*BR132/T132)))))*((((T132^2/8)*((2*ACOS(1-2*BR132/T132))-SIN((2*ACOS(1-2*BR132/T132)))))/((T132/2)*((2*ACOS(1-2*BR132/T132)))))^(2/3))*SQRT(P132))</f>
        <v/>
      </c>
      <c r="BT132" s="9" t="str">
        <f aca="false">IF(BB132="","",IF(BS132&lt;BB132,BR132,BP132))</f>
        <v/>
      </c>
      <c r="BU132" s="9" t="str">
        <f aca="false">IF(BB132="","",IF(BS132&lt;BB132,BQ132,BR132))</f>
        <v/>
      </c>
      <c r="BV132" s="9" t="str">
        <f aca="false">IF(BB132="","",(BT132+BU132)/2)</f>
        <v/>
      </c>
      <c r="BW132" s="9" t="str">
        <f aca="false">IF(OR(T132="",P132="",BV132="",T132&lt;=0,BV132&lt;=0),"",(1/Inputs!$B$9)*((T132^2/8)*((2*ACOS(1-2*BV132/T132))-SIN((2*ACOS(1-2*BV132/T132)))))*((((T132^2/8)*((2*ACOS(1-2*BV132/T132))-SIN((2*ACOS(1-2*BV132/T132)))))/((T132/2)*((2*ACOS(1-2*BV132/T132)))))^(2/3))*SQRT(P132))</f>
        <v/>
      </c>
      <c r="BX132" s="9" t="str">
        <f aca="false">IF(BB132="","",IF(BW132&lt;BB132,BV132,BT132))</f>
        <v/>
      </c>
      <c r="BY132" s="9" t="str">
        <f aca="false">IF(BB132="","",IF(BW132&lt;BB132,BU132,BV132))</f>
        <v/>
      </c>
      <c r="BZ132" s="9" t="str">
        <f aca="false">IF(BB132="","",(BX132+BY132)/2)</f>
        <v/>
      </c>
      <c r="CA132" s="9" t="str">
        <f aca="false">IF(OR(T132="",P132="",BZ132="",T132&lt;=0,BZ132&lt;=0),"",(1/Inputs!$B$9)*((T132^2/8)*((2*ACOS(1-2*BZ132/T132))-SIN((2*ACOS(1-2*BZ132/T132)))))*((((T132^2/8)*((2*ACOS(1-2*BZ132/T132))-SIN((2*ACOS(1-2*BZ132/T132)))))/((T132/2)*((2*ACOS(1-2*BZ132/T132)))))^(2/3))*SQRT(P132))</f>
        <v/>
      </c>
      <c r="CB132" s="9" t="str">
        <f aca="false">IF(BB132="","",IF(CA132&lt;BB132,BZ132,BX132))</f>
        <v/>
      </c>
      <c r="CC132" s="9" t="str">
        <f aca="false">IF(BB132="","",IF(CA132&lt;BB132,BY132,BZ132))</f>
        <v/>
      </c>
      <c r="CD132" s="9" t="str">
        <f aca="false">IF(BB132="","",(CB132+CC132)/2)</f>
        <v/>
      </c>
      <c r="CE132" s="9" t="str">
        <f aca="false">IF(OR(T132="",P132="",CD132="",T132&lt;=0,CD132&lt;=0),"",(1/Inputs!$B$9)*((T132^2/8)*((2*ACOS(1-2*CD132/T132))-SIN((2*ACOS(1-2*CD132/T132)))))*((((T132^2/8)*((2*ACOS(1-2*CD132/T132))-SIN((2*ACOS(1-2*CD132/T132)))))/((T132/2)*((2*ACOS(1-2*CD132/T132)))))^(2/3))*SQRT(P132))</f>
        <v/>
      </c>
      <c r="CF132" s="9" t="str">
        <f aca="false">IF(BB132="","",IF(CE132&lt;BB132,CD132,CB132))</f>
        <v/>
      </c>
      <c r="CG132" s="9" t="str">
        <f aca="false">IF(BB132="","",IF(CE132&lt;BB132,CC132,CD132))</f>
        <v/>
      </c>
      <c r="CH132" s="9" t="str">
        <f aca="false">IF(BB132="","",(CF132+CG132)/2)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14"/>
      <c r="F133" s="14"/>
      <c r="G133" s="14" t="n">
        <f aca="false">SUMIFS(CB_plan!$C:$C,CB_plan!$B:$B,$A133)</f>
        <v>0</v>
      </c>
      <c r="H133" s="14" t="n">
        <f aca="false">IF(F133="",G133,F133)</f>
        <v>0</v>
      </c>
      <c r="I133" s="9"/>
      <c r="J133" s="14"/>
      <c r="K133" s="14" t="str">
        <f aca="false">IF(A133="","",Inputs!$B$13/((IF(AV133="",Inputs!$B$18,AV133)+Inputs!$B$14)^Inputs!$B$15))</f>
        <v/>
      </c>
      <c r="L133" s="14" t="str">
        <f aca="false">IF(A133="","",0.000000278*IF(I133="",Inputs!$B$17,I133)*H133*K133)</f>
        <v/>
      </c>
      <c r="M133" s="14" t="str">
        <f aca="false">IF(A133="","",SUMIFS($N$4:$N$203,$D$4:$D$203,$A133))</f>
        <v/>
      </c>
      <c r="N133" s="14" t="str">
        <f aca="false">IF(A133="","",(L133+M133)*Inputs!$B$16)</f>
        <v/>
      </c>
      <c r="O133" s="14"/>
      <c r="P133" s="14" t="str">
        <f aca="false">IF(A133="","",IF(O133="",Inputs!$B$7,O133))</f>
        <v/>
      </c>
      <c r="Q133" s="9" t="str">
        <f aca="false">IF(A133="","",IF(N133/Inputs!$B$10&lt;=AG133,Inputs!$F$5,IF(N133/Inputs!$B$10&gt;AP133,"OVERSIZE",INDEX(Inputs!$F$5:$F$14,MATCH(N133/Inputs!$B$10,AG133:AP133,1)+1))))</f>
        <v/>
      </c>
      <c r="R133" s="9"/>
      <c r="S133" s="9" t="str">
        <f aca="false">IF(A133="","",IF(R133="",Q133,R133))</f>
        <v/>
      </c>
      <c r="T133" s="14" t="str">
        <f aca="false">IF(OR(S133="",S133="OVERSIZE"),"",S133/1000)</f>
        <v/>
      </c>
      <c r="U133" s="14" t="str">
        <f aca="false">IF(T133="","",(1/Inputs!$B$9)*(PI()*T133^2/4)*((T133/4)^(2/3))*SQRT(P133))</f>
        <v/>
      </c>
      <c r="V133" s="14" t="str">
        <f aca="false">IF(OR(U133="",N133=""),"",N133/(U133*Inputs!$B$10))</f>
        <v/>
      </c>
      <c r="W133" s="14" t="str">
        <f aca="false">IF(OR(T133="",N133=""),"",4*N133/(PI()*T133^2))</f>
        <v/>
      </c>
      <c r="X133" s="14"/>
      <c r="Y133" s="14" t="str">
        <f aca="false">IF(A133="","",IF(A133=Inputs!$B$6,Inputs!$B$22,IF(D133="","",IFERROR(INDEX($Z$4:$Z$203,MATCH(D133,$A$4:$A$203,0))+IF(X133="",Inputs!$B$20,X133),""))))</f>
        <v/>
      </c>
      <c r="Z133" s="14" t="str">
        <f aca="false">IF(OR(Y133="",P133="",E133=""),"",Y133+P133*E133)</f>
        <v/>
      </c>
      <c r="AA133" s="14" t="str">
        <f aca="false">IF(C133="","",IFERROR(INDEX(Noeuds_plan!$C$4:$C$200,MATCH(C133,Noeuds_plan!$A$4:$A$200,0)),""))</f>
        <v/>
      </c>
      <c r="AB133" s="14" t="str">
        <f aca="false">IF(B133="","",IFERROR(INDEX(Noeuds_plan!$C$4:$C$200,MATCH(B133,Noeuds_plan!$A$4:$A$200,0)),""))</f>
        <v/>
      </c>
      <c r="AC133" s="14" t="str">
        <f aca="false">IF(OR(AA133="",Y133=""),"",AA133-Y133)</f>
        <v/>
      </c>
      <c r="AD133" s="14" t="str">
        <f aca="false">IF(OR(AB133="",Z133=""),"",AB133-Z133)</f>
        <v/>
      </c>
      <c r="AE133" s="19" t="str">
        <f aca="false">IF(A133="","",IF(OR(V133&gt;1,AND(AY133&lt;&gt;"",AY133&lt;Inputs!$B$11),AND(AY133&lt;&gt;"",AY133&gt;Inputs!$B$12),AC133&lt;Inputs!$B$19,AD133&lt;Inputs!$B$19,P133&lt;Inputs!$B$7,P133&gt;Inputs!$B$8),"CHECK","OK"))</f>
        <v/>
      </c>
      <c r="AF133" s="9"/>
      <c r="AG133" s="9" t="str">
        <f aca="false">IF(A133="","",(1/Inputs!$B$9)*(PI()*(Inputs!$F$5/1000)^2/4)*((Inputs!$F$5/1000/4)^(2/3))*SQRT(P133))</f>
        <v/>
      </c>
      <c r="AH133" s="9" t="str">
        <f aca="false">IF(A133="","",(1/Inputs!$B$9)*(PI()*(Inputs!$F$6/1000)^2/4)*((Inputs!$F$6/1000/4)^(2/3))*SQRT(P133))</f>
        <v/>
      </c>
      <c r="AI133" s="9" t="str">
        <f aca="false">IF(A133="","",(1/Inputs!$B$9)*(PI()*(Inputs!$F$7/1000)^2/4)*((Inputs!$F$7/1000/4)^(2/3))*SQRT(P133))</f>
        <v/>
      </c>
      <c r="AJ133" s="9" t="str">
        <f aca="false">IF(A133="","",(1/Inputs!$B$9)*(PI()*(Inputs!$F$8/1000)^2/4)*((Inputs!$F$8/1000/4)^(2/3))*SQRT(P133))</f>
        <v/>
      </c>
      <c r="AK133" s="9" t="str">
        <f aca="false">IF(A133="","",(1/Inputs!$B$9)*(PI()*(Inputs!$F$9/1000)^2/4)*((Inputs!$F$9/1000/4)^(2/3))*SQRT(P133))</f>
        <v/>
      </c>
      <c r="AL133" s="9" t="str">
        <f aca="false">IF(A133="","",(1/Inputs!$B$9)*(PI()*(Inputs!$F$10/1000)^2/4)*((Inputs!$F$10/1000/4)^(2/3))*SQRT(P133))</f>
        <v/>
      </c>
      <c r="AM133" s="9" t="str">
        <f aca="false">IF(A133="","",(1/Inputs!$B$9)*(PI()*(Inputs!$F$11/1000)^2/4)*((Inputs!$F$11/1000/4)^(2/3))*SQRT(P133))</f>
        <v/>
      </c>
      <c r="AN133" s="9" t="str">
        <f aca="false">IF(A133="","",(1/Inputs!$B$9)*(PI()*(Inputs!$F$12/1000)^2/4)*((Inputs!$F$12/1000/4)^(2/3))*SQRT(P133))</f>
        <v/>
      </c>
      <c r="AO133" s="9" t="str">
        <f aca="false">IF(A133="","",(1/Inputs!$B$9)*(PI()*(Inputs!$F$13/1000)^2/4)*((Inputs!$F$13/1000/4)^(2/3))*SQRT(P133))</f>
        <v/>
      </c>
      <c r="AP133" s="9" t="str">
        <f aca="false">IF(A133="","",(1/Inputs!$B$9)*(PI()*(Inputs!$F$14/1000)^2/4)*((Inputs!$F$14/1000/4)^(2/3))*SQRT(P133))</f>
        <v/>
      </c>
      <c r="AQ133" s="9" t="str">
        <f aca="false">IF(A133="","",COUNTIF($D$4:$D$203,$A133))</f>
        <v/>
      </c>
      <c r="AR133" s="9" t="str">
        <f aca="false">IF(A133="","",IF(AQ133=0,"START","CONTINUOUS"))</f>
        <v/>
      </c>
      <c r="AS133" s="13" t="str">
        <f aca="false">IF(A133="","",IF(J133="",Inputs!$B$18,J133))</f>
        <v/>
      </c>
      <c r="AT133" s="13" t="str">
        <f aca="false">IF(A133="","",IFERROR(maxifs($AV$4:$AV$203,$D$4:$D$203,$A133),""))</f>
        <v/>
      </c>
      <c r="AU133" s="13" t="str">
        <f aca="false">IF(A133="","",IF(OR(E133="",Inputs!$B$23=""),"",E133/(Inputs!$B$23*60)))</f>
        <v/>
      </c>
      <c r="AV133" s="13" t="str">
        <f aca="false">IF(A133="","",IF(AQ133=0,AS133+AU133,IF(AT133="",AS133+AU133,AT133+AU133)))</f>
        <v/>
      </c>
      <c r="AW133" s="13" t="str">
        <f aca="false">IF(A133="","",W133)</f>
        <v/>
      </c>
      <c r="AX133" s="13" t="str">
        <f aca="false">IF(OR(T133="",P133=""),"",(1/Inputs!$B$9)*((T133/4)^(2/3))*SQRT(P133))</f>
        <v/>
      </c>
      <c r="AY133" s="13" t="str">
        <f aca="false">IF(A133="","",IF(AND(AW133="",AX133="",BA133=""),"",IF(OR(UPPER(TRIM(Inputs!$B$24))="MANNING",UPPER(TRIM(Inputs!$B$24))="M"),AX133,IF(OR(UPPER(TRIM(Inputs!$B$24))="PARTIAL",UPPER(TRIM(Inputs!$B$24))="P"),BA133,IF(OR(UPPER(TRIM(Inputs!$B$24))="MAX",UPPER(TRIM(Inputs!$B$24))="X"),MAX(IF(AW133="",0,AW133),IF(AX133="",0,AX133),IF(BA133="",0,BA133)),AW133)))))</f>
        <v/>
      </c>
      <c r="AZ133" s="13" t="str">
        <f aca="false">IF(BB133="","",CH133)</f>
        <v/>
      </c>
      <c r="BA133" s="13" t="str">
        <f aca="false">IF(OR(BB133="",AZ133="",T133="",T133&lt;=0,AZ133&lt;=0),"",BB133/((T133^2/8)*(2*ACOS(1-2*AZ133/T133)-SIN(2*ACOS(1-2*AZ133/T133)))))</f>
        <v/>
      </c>
      <c r="BB133" s="9" t="str">
        <f aca="false">IF(OR(N133="",BC133=""),"",MIN(N133,BC133))</f>
        <v/>
      </c>
      <c r="BC133" s="9" t="str">
        <f aca="false">IF(OR(N133="",T133="",P133=""),"",IF(OR(T133="",P133="",(0.94*T133)="",T133&lt;=0,(0.94*T133)&lt;=0),"",(1/Inputs!$B$9)*((T133^2/8)*((2*ACOS(1-2*(0.94*T133)/T133))-SIN((2*ACOS(1-2*(0.94*T133)/T133)))))*((((T133^2/8)*((2*ACOS(1-2*(0.94*T133)/T133))-SIN((2*ACOS(1-2*(0.94*T133)/T133)))))/((T133/2)*((2*ACOS(1-2*(0.94*T133)/T133)))))^(2/3))*SQRT(P133)))</f>
        <v/>
      </c>
      <c r="BD133" s="9" t="str">
        <f aca="false">IF(BB133="","",0.001*T133)</f>
        <v/>
      </c>
      <c r="BE133" s="9" t="str">
        <f aca="false">IF(BB133="","",0.94*T133)</f>
        <v/>
      </c>
      <c r="BF133" s="9" t="str">
        <f aca="false">IF(BB133="","",(BD133+BE133)/2)</f>
        <v/>
      </c>
      <c r="BG133" s="9" t="str">
        <f aca="false">IF(OR(T133="",P133="",BF133="",T133&lt;=0,BF133&lt;=0),"",(1/Inputs!$B$9)*((T133^2/8)*((2*ACOS(1-2*BF133/T133))-SIN((2*ACOS(1-2*BF133/T133)))))*((((T133^2/8)*((2*ACOS(1-2*BF133/T133))-SIN((2*ACOS(1-2*BF133/T133)))))/((T133/2)*((2*ACOS(1-2*BF133/T133)))))^(2/3))*SQRT(P133))</f>
        <v/>
      </c>
      <c r="BH133" s="9" t="str">
        <f aca="false">IF(BB133="","",IF(BG133&lt;BB133,BF133,BD133))</f>
        <v/>
      </c>
      <c r="BI133" s="9" t="str">
        <f aca="false">IF(BB133="","",IF(BG133&lt;BB133,BE133,BF133))</f>
        <v/>
      </c>
      <c r="BJ133" s="9" t="str">
        <f aca="false">IF(BB133="","",(BH133+BI133)/2)</f>
        <v/>
      </c>
      <c r="BK133" s="9" t="str">
        <f aca="false">IF(OR(T133="",P133="",BJ133="",T133&lt;=0,BJ133&lt;=0),"",(1/Inputs!$B$9)*((T133^2/8)*((2*ACOS(1-2*BJ133/T133))-SIN((2*ACOS(1-2*BJ133/T133)))))*((((T133^2/8)*((2*ACOS(1-2*BJ133/T133))-SIN((2*ACOS(1-2*BJ133/T133)))))/((T133/2)*((2*ACOS(1-2*BJ133/T133)))))^(2/3))*SQRT(P133))</f>
        <v/>
      </c>
      <c r="BL133" s="9" t="str">
        <f aca="false">IF(BB133="","",IF(BK133&lt;BB133,BJ133,BH133))</f>
        <v/>
      </c>
      <c r="BM133" s="9" t="str">
        <f aca="false">IF(BB133="","",IF(BK133&lt;BB133,BI133,BJ133))</f>
        <v/>
      </c>
      <c r="BN133" s="9" t="str">
        <f aca="false">IF(BB133="","",(BL133+BM133)/2)</f>
        <v/>
      </c>
      <c r="BO133" s="9" t="str">
        <f aca="false">IF(OR(T133="",P133="",BN133="",T133&lt;=0,BN133&lt;=0),"",(1/Inputs!$B$9)*((T133^2/8)*((2*ACOS(1-2*BN133/T133))-SIN((2*ACOS(1-2*BN133/T133)))))*((((T133^2/8)*((2*ACOS(1-2*BN133/T133))-SIN((2*ACOS(1-2*BN133/T133)))))/((T133/2)*((2*ACOS(1-2*BN133/T133)))))^(2/3))*SQRT(P133))</f>
        <v/>
      </c>
      <c r="BP133" s="9" t="str">
        <f aca="false">IF(BB133="","",IF(BO133&lt;BB133,BN133,BL133))</f>
        <v/>
      </c>
      <c r="BQ133" s="9" t="str">
        <f aca="false">IF(BB133="","",IF(BO133&lt;BB133,BM133,BN133))</f>
        <v/>
      </c>
      <c r="BR133" s="9" t="str">
        <f aca="false">IF(BB133="","",(BP133+BQ133)/2)</f>
        <v/>
      </c>
      <c r="BS133" s="9" t="str">
        <f aca="false">IF(OR(T133="",P133="",BR133="",T133&lt;=0,BR133&lt;=0),"",(1/Inputs!$B$9)*((T133^2/8)*((2*ACOS(1-2*BR133/T133))-SIN((2*ACOS(1-2*BR133/T133)))))*((((T133^2/8)*((2*ACOS(1-2*BR133/T133))-SIN((2*ACOS(1-2*BR133/T133)))))/((T133/2)*((2*ACOS(1-2*BR133/T133)))))^(2/3))*SQRT(P133))</f>
        <v/>
      </c>
      <c r="BT133" s="9" t="str">
        <f aca="false">IF(BB133="","",IF(BS133&lt;BB133,BR133,BP133))</f>
        <v/>
      </c>
      <c r="BU133" s="9" t="str">
        <f aca="false">IF(BB133="","",IF(BS133&lt;BB133,BQ133,BR133))</f>
        <v/>
      </c>
      <c r="BV133" s="9" t="str">
        <f aca="false">IF(BB133="","",(BT133+BU133)/2)</f>
        <v/>
      </c>
      <c r="BW133" s="9" t="str">
        <f aca="false">IF(OR(T133="",P133="",BV133="",T133&lt;=0,BV133&lt;=0),"",(1/Inputs!$B$9)*((T133^2/8)*((2*ACOS(1-2*BV133/T133))-SIN((2*ACOS(1-2*BV133/T133)))))*((((T133^2/8)*((2*ACOS(1-2*BV133/T133))-SIN((2*ACOS(1-2*BV133/T133)))))/((T133/2)*((2*ACOS(1-2*BV133/T133)))))^(2/3))*SQRT(P133))</f>
        <v/>
      </c>
      <c r="BX133" s="9" t="str">
        <f aca="false">IF(BB133="","",IF(BW133&lt;BB133,BV133,BT133))</f>
        <v/>
      </c>
      <c r="BY133" s="9" t="str">
        <f aca="false">IF(BB133="","",IF(BW133&lt;BB133,BU133,BV133))</f>
        <v/>
      </c>
      <c r="BZ133" s="9" t="str">
        <f aca="false">IF(BB133="","",(BX133+BY133)/2)</f>
        <v/>
      </c>
      <c r="CA133" s="9" t="str">
        <f aca="false">IF(OR(T133="",P133="",BZ133="",T133&lt;=0,BZ133&lt;=0),"",(1/Inputs!$B$9)*((T133^2/8)*((2*ACOS(1-2*BZ133/T133))-SIN((2*ACOS(1-2*BZ133/T133)))))*((((T133^2/8)*((2*ACOS(1-2*BZ133/T133))-SIN((2*ACOS(1-2*BZ133/T133)))))/((T133/2)*((2*ACOS(1-2*BZ133/T133)))))^(2/3))*SQRT(P133))</f>
        <v/>
      </c>
      <c r="CB133" s="9" t="str">
        <f aca="false">IF(BB133="","",IF(CA133&lt;BB133,BZ133,BX133))</f>
        <v/>
      </c>
      <c r="CC133" s="9" t="str">
        <f aca="false">IF(BB133="","",IF(CA133&lt;BB133,BY133,BZ133))</f>
        <v/>
      </c>
      <c r="CD133" s="9" t="str">
        <f aca="false">IF(BB133="","",(CB133+CC133)/2)</f>
        <v/>
      </c>
      <c r="CE133" s="9" t="str">
        <f aca="false">IF(OR(T133="",P133="",CD133="",T133&lt;=0,CD133&lt;=0),"",(1/Inputs!$B$9)*((T133^2/8)*((2*ACOS(1-2*CD133/T133))-SIN((2*ACOS(1-2*CD133/T133)))))*((((T133^2/8)*((2*ACOS(1-2*CD133/T133))-SIN((2*ACOS(1-2*CD133/T133)))))/((T133/2)*((2*ACOS(1-2*CD133/T133)))))^(2/3))*SQRT(P133))</f>
        <v/>
      </c>
      <c r="CF133" s="9" t="str">
        <f aca="false">IF(BB133="","",IF(CE133&lt;BB133,CD133,CB133))</f>
        <v/>
      </c>
      <c r="CG133" s="9" t="str">
        <f aca="false">IF(BB133="","",IF(CE133&lt;BB133,CC133,CD133))</f>
        <v/>
      </c>
      <c r="CH133" s="9" t="str">
        <f aca="false">IF(BB133="","",(CF133+CG133)/2)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14"/>
      <c r="F134" s="14"/>
      <c r="G134" s="14" t="n">
        <f aca="false">SUMIFS(CB_plan!$C:$C,CB_plan!$B:$B,$A134)</f>
        <v>0</v>
      </c>
      <c r="H134" s="14" t="n">
        <f aca="false">IF(F134="",G134,F134)</f>
        <v>0</v>
      </c>
      <c r="I134" s="9"/>
      <c r="J134" s="14"/>
      <c r="K134" s="14" t="str">
        <f aca="false">IF(A134="","",Inputs!$B$13/((IF(AV134="",Inputs!$B$18,AV134)+Inputs!$B$14)^Inputs!$B$15))</f>
        <v/>
      </c>
      <c r="L134" s="14" t="str">
        <f aca="false">IF(A134="","",0.000000278*IF(I134="",Inputs!$B$17,I134)*H134*K134)</f>
        <v/>
      </c>
      <c r="M134" s="14" t="str">
        <f aca="false">IF(A134="","",SUMIFS($N$4:$N$203,$D$4:$D$203,$A134))</f>
        <v/>
      </c>
      <c r="N134" s="14" t="str">
        <f aca="false">IF(A134="","",(L134+M134)*Inputs!$B$16)</f>
        <v/>
      </c>
      <c r="O134" s="14"/>
      <c r="P134" s="14" t="str">
        <f aca="false">IF(A134="","",IF(O134="",Inputs!$B$7,O134))</f>
        <v/>
      </c>
      <c r="Q134" s="9" t="str">
        <f aca="false">IF(A134="","",IF(N134/Inputs!$B$10&lt;=AG134,Inputs!$F$5,IF(N134/Inputs!$B$10&gt;AP134,"OVERSIZE",INDEX(Inputs!$F$5:$F$14,MATCH(N134/Inputs!$B$10,AG134:AP134,1)+1))))</f>
        <v/>
      </c>
      <c r="R134" s="9"/>
      <c r="S134" s="9" t="str">
        <f aca="false">IF(A134="","",IF(R134="",Q134,R134))</f>
        <v/>
      </c>
      <c r="T134" s="14" t="str">
        <f aca="false">IF(OR(S134="",S134="OVERSIZE"),"",S134/1000)</f>
        <v/>
      </c>
      <c r="U134" s="14" t="str">
        <f aca="false">IF(T134="","",(1/Inputs!$B$9)*(PI()*T134^2/4)*((T134/4)^(2/3))*SQRT(P134))</f>
        <v/>
      </c>
      <c r="V134" s="14" t="str">
        <f aca="false">IF(OR(U134="",N134=""),"",N134/(U134*Inputs!$B$10))</f>
        <v/>
      </c>
      <c r="W134" s="14" t="str">
        <f aca="false">IF(OR(T134="",N134=""),"",4*N134/(PI()*T134^2))</f>
        <v/>
      </c>
      <c r="X134" s="14"/>
      <c r="Y134" s="14" t="str">
        <f aca="false">IF(A134="","",IF(A134=Inputs!$B$6,Inputs!$B$22,IF(D134="","",IFERROR(INDEX($Z$4:$Z$203,MATCH(D134,$A$4:$A$203,0))+IF(X134="",Inputs!$B$20,X134),""))))</f>
        <v/>
      </c>
      <c r="Z134" s="14" t="str">
        <f aca="false">IF(OR(Y134="",P134="",E134=""),"",Y134+P134*E134)</f>
        <v/>
      </c>
      <c r="AA134" s="14" t="str">
        <f aca="false">IF(C134="","",IFERROR(INDEX(Noeuds_plan!$C$4:$C$200,MATCH(C134,Noeuds_plan!$A$4:$A$200,0)),""))</f>
        <v/>
      </c>
      <c r="AB134" s="14" t="str">
        <f aca="false">IF(B134="","",IFERROR(INDEX(Noeuds_plan!$C$4:$C$200,MATCH(B134,Noeuds_plan!$A$4:$A$200,0)),""))</f>
        <v/>
      </c>
      <c r="AC134" s="14" t="str">
        <f aca="false">IF(OR(AA134="",Y134=""),"",AA134-Y134)</f>
        <v/>
      </c>
      <c r="AD134" s="14" t="str">
        <f aca="false">IF(OR(AB134="",Z134=""),"",AB134-Z134)</f>
        <v/>
      </c>
      <c r="AE134" s="19" t="str">
        <f aca="false">IF(A134="","",IF(OR(V134&gt;1,AND(AY134&lt;&gt;"",AY134&lt;Inputs!$B$11),AND(AY134&lt;&gt;"",AY134&gt;Inputs!$B$12),AC134&lt;Inputs!$B$19,AD134&lt;Inputs!$B$19,P134&lt;Inputs!$B$7,P134&gt;Inputs!$B$8),"CHECK","OK"))</f>
        <v/>
      </c>
      <c r="AF134" s="9"/>
      <c r="AG134" s="9" t="str">
        <f aca="false">IF(A134="","",(1/Inputs!$B$9)*(PI()*(Inputs!$F$5/1000)^2/4)*((Inputs!$F$5/1000/4)^(2/3))*SQRT(P134))</f>
        <v/>
      </c>
      <c r="AH134" s="9" t="str">
        <f aca="false">IF(A134="","",(1/Inputs!$B$9)*(PI()*(Inputs!$F$6/1000)^2/4)*((Inputs!$F$6/1000/4)^(2/3))*SQRT(P134))</f>
        <v/>
      </c>
      <c r="AI134" s="9" t="str">
        <f aca="false">IF(A134="","",(1/Inputs!$B$9)*(PI()*(Inputs!$F$7/1000)^2/4)*((Inputs!$F$7/1000/4)^(2/3))*SQRT(P134))</f>
        <v/>
      </c>
      <c r="AJ134" s="9" t="str">
        <f aca="false">IF(A134="","",(1/Inputs!$B$9)*(PI()*(Inputs!$F$8/1000)^2/4)*((Inputs!$F$8/1000/4)^(2/3))*SQRT(P134))</f>
        <v/>
      </c>
      <c r="AK134" s="9" t="str">
        <f aca="false">IF(A134="","",(1/Inputs!$B$9)*(PI()*(Inputs!$F$9/1000)^2/4)*((Inputs!$F$9/1000/4)^(2/3))*SQRT(P134))</f>
        <v/>
      </c>
      <c r="AL134" s="9" t="str">
        <f aca="false">IF(A134="","",(1/Inputs!$B$9)*(PI()*(Inputs!$F$10/1000)^2/4)*((Inputs!$F$10/1000/4)^(2/3))*SQRT(P134))</f>
        <v/>
      </c>
      <c r="AM134" s="9" t="str">
        <f aca="false">IF(A134="","",(1/Inputs!$B$9)*(PI()*(Inputs!$F$11/1000)^2/4)*((Inputs!$F$11/1000/4)^(2/3))*SQRT(P134))</f>
        <v/>
      </c>
      <c r="AN134" s="9" t="str">
        <f aca="false">IF(A134="","",(1/Inputs!$B$9)*(PI()*(Inputs!$F$12/1000)^2/4)*((Inputs!$F$12/1000/4)^(2/3))*SQRT(P134))</f>
        <v/>
      </c>
      <c r="AO134" s="9" t="str">
        <f aca="false">IF(A134="","",(1/Inputs!$B$9)*(PI()*(Inputs!$F$13/1000)^2/4)*((Inputs!$F$13/1000/4)^(2/3))*SQRT(P134))</f>
        <v/>
      </c>
      <c r="AP134" s="9" t="str">
        <f aca="false">IF(A134="","",(1/Inputs!$B$9)*(PI()*(Inputs!$F$14/1000)^2/4)*((Inputs!$F$14/1000/4)^(2/3))*SQRT(P134))</f>
        <v/>
      </c>
      <c r="AQ134" s="9" t="str">
        <f aca="false">IF(A134="","",COUNTIF($D$4:$D$203,$A134))</f>
        <v/>
      </c>
      <c r="AR134" s="9" t="str">
        <f aca="false">IF(A134="","",IF(AQ134=0,"START","CONTINUOUS"))</f>
        <v/>
      </c>
      <c r="AS134" s="13" t="str">
        <f aca="false">IF(A134="","",IF(J134="",Inputs!$B$18,J134))</f>
        <v/>
      </c>
      <c r="AT134" s="13" t="str">
        <f aca="false">IF(A134="","",IFERROR(maxifs($AV$4:$AV$203,$D$4:$D$203,$A134),""))</f>
        <v/>
      </c>
      <c r="AU134" s="13" t="str">
        <f aca="false">IF(A134="","",IF(OR(E134="",Inputs!$B$23=""),"",E134/(Inputs!$B$23*60)))</f>
        <v/>
      </c>
      <c r="AV134" s="13" t="str">
        <f aca="false">IF(A134="","",IF(AQ134=0,AS134+AU134,IF(AT134="",AS134+AU134,AT134+AU134)))</f>
        <v/>
      </c>
      <c r="AW134" s="13" t="str">
        <f aca="false">IF(A134="","",W134)</f>
        <v/>
      </c>
      <c r="AX134" s="13" t="str">
        <f aca="false">IF(OR(T134="",P134=""),"",(1/Inputs!$B$9)*((T134/4)^(2/3))*SQRT(P134))</f>
        <v/>
      </c>
      <c r="AY134" s="13" t="str">
        <f aca="false">IF(A134="","",IF(AND(AW134="",AX134="",BA134=""),"",IF(OR(UPPER(TRIM(Inputs!$B$24))="MANNING",UPPER(TRIM(Inputs!$B$24))="M"),AX134,IF(OR(UPPER(TRIM(Inputs!$B$24))="PARTIAL",UPPER(TRIM(Inputs!$B$24))="P"),BA134,IF(OR(UPPER(TRIM(Inputs!$B$24))="MAX",UPPER(TRIM(Inputs!$B$24))="X"),MAX(IF(AW134="",0,AW134),IF(AX134="",0,AX134),IF(BA134="",0,BA134)),AW134)))))</f>
        <v/>
      </c>
      <c r="AZ134" s="13" t="str">
        <f aca="false">IF(BB134="","",CH134)</f>
        <v/>
      </c>
      <c r="BA134" s="13" t="str">
        <f aca="false">IF(OR(BB134="",AZ134="",T134="",T134&lt;=0,AZ134&lt;=0),"",BB134/((T134^2/8)*(2*ACOS(1-2*AZ134/T134)-SIN(2*ACOS(1-2*AZ134/T134)))))</f>
        <v/>
      </c>
      <c r="BB134" s="9" t="str">
        <f aca="false">IF(OR(N134="",BC134=""),"",MIN(N134,BC134))</f>
        <v/>
      </c>
      <c r="BC134" s="9" t="str">
        <f aca="false">IF(OR(N134="",T134="",P134=""),"",IF(OR(T134="",P134="",(0.94*T134)="",T134&lt;=0,(0.94*T134)&lt;=0),"",(1/Inputs!$B$9)*((T134^2/8)*((2*ACOS(1-2*(0.94*T134)/T134))-SIN((2*ACOS(1-2*(0.94*T134)/T134)))))*((((T134^2/8)*((2*ACOS(1-2*(0.94*T134)/T134))-SIN((2*ACOS(1-2*(0.94*T134)/T134)))))/((T134/2)*((2*ACOS(1-2*(0.94*T134)/T134)))))^(2/3))*SQRT(P134)))</f>
        <v/>
      </c>
      <c r="BD134" s="9" t="str">
        <f aca="false">IF(BB134="","",0.001*T134)</f>
        <v/>
      </c>
      <c r="BE134" s="9" t="str">
        <f aca="false">IF(BB134="","",0.94*T134)</f>
        <v/>
      </c>
      <c r="BF134" s="9" t="str">
        <f aca="false">IF(BB134="","",(BD134+BE134)/2)</f>
        <v/>
      </c>
      <c r="BG134" s="9" t="str">
        <f aca="false">IF(OR(T134="",P134="",BF134="",T134&lt;=0,BF134&lt;=0),"",(1/Inputs!$B$9)*((T134^2/8)*((2*ACOS(1-2*BF134/T134))-SIN((2*ACOS(1-2*BF134/T134)))))*((((T134^2/8)*((2*ACOS(1-2*BF134/T134))-SIN((2*ACOS(1-2*BF134/T134)))))/((T134/2)*((2*ACOS(1-2*BF134/T134)))))^(2/3))*SQRT(P134))</f>
        <v/>
      </c>
      <c r="BH134" s="9" t="str">
        <f aca="false">IF(BB134="","",IF(BG134&lt;BB134,BF134,BD134))</f>
        <v/>
      </c>
      <c r="BI134" s="9" t="str">
        <f aca="false">IF(BB134="","",IF(BG134&lt;BB134,BE134,BF134))</f>
        <v/>
      </c>
      <c r="BJ134" s="9" t="str">
        <f aca="false">IF(BB134="","",(BH134+BI134)/2)</f>
        <v/>
      </c>
      <c r="BK134" s="9" t="str">
        <f aca="false">IF(OR(T134="",P134="",BJ134="",T134&lt;=0,BJ134&lt;=0),"",(1/Inputs!$B$9)*((T134^2/8)*((2*ACOS(1-2*BJ134/T134))-SIN((2*ACOS(1-2*BJ134/T134)))))*((((T134^2/8)*((2*ACOS(1-2*BJ134/T134))-SIN((2*ACOS(1-2*BJ134/T134)))))/((T134/2)*((2*ACOS(1-2*BJ134/T134)))))^(2/3))*SQRT(P134))</f>
        <v/>
      </c>
      <c r="BL134" s="9" t="str">
        <f aca="false">IF(BB134="","",IF(BK134&lt;BB134,BJ134,BH134))</f>
        <v/>
      </c>
      <c r="BM134" s="9" t="str">
        <f aca="false">IF(BB134="","",IF(BK134&lt;BB134,BI134,BJ134))</f>
        <v/>
      </c>
      <c r="BN134" s="9" t="str">
        <f aca="false">IF(BB134="","",(BL134+BM134)/2)</f>
        <v/>
      </c>
      <c r="BO134" s="9" t="str">
        <f aca="false">IF(OR(T134="",P134="",BN134="",T134&lt;=0,BN134&lt;=0),"",(1/Inputs!$B$9)*((T134^2/8)*((2*ACOS(1-2*BN134/T134))-SIN((2*ACOS(1-2*BN134/T134)))))*((((T134^2/8)*((2*ACOS(1-2*BN134/T134))-SIN((2*ACOS(1-2*BN134/T134)))))/((T134/2)*((2*ACOS(1-2*BN134/T134)))))^(2/3))*SQRT(P134))</f>
        <v/>
      </c>
      <c r="BP134" s="9" t="str">
        <f aca="false">IF(BB134="","",IF(BO134&lt;BB134,BN134,BL134))</f>
        <v/>
      </c>
      <c r="BQ134" s="9" t="str">
        <f aca="false">IF(BB134="","",IF(BO134&lt;BB134,BM134,BN134))</f>
        <v/>
      </c>
      <c r="BR134" s="9" t="str">
        <f aca="false">IF(BB134="","",(BP134+BQ134)/2)</f>
        <v/>
      </c>
      <c r="BS134" s="9" t="str">
        <f aca="false">IF(OR(T134="",P134="",BR134="",T134&lt;=0,BR134&lt;=0),"",(1/Inputs!$B$9)*((T134^2/8)*((2*ACOS(1-2*BR134/T134))-SIN((2*ACOS(1-2*BR134/T134)))))*((((T134^2/8)*((2*ACOS(1-2*BR134/T134))-SIN((2*ACOS(1-2*BR134/T134)))))/((T134/2)*((2*ACOS(1-2*BR134/T134)))))^(2/3))*SQRT(P134))</f>
        <v/>
      </c>
      <c r="BT134" s="9" t="str">
        <f aca="false">IF(BB134="","",IF(BS134&lt;BB134,BR134,BP134))</f>
        <v/>
      </c>
      <c r="BU134" s="9" t="str">
        <f aca="false">IF(BB134="","",IF(BS134&lt;BB134,BQ134,BR134))</f>
        <v/>
      </c>
      <c r="BV134" s="9" t="str">
        <f aca="false">IF(BB134="","",(BT134+BU134)/2)</f>
        <v/>
      </c>
      <c r="BW134" s="9" t="str">
        <f aca="false">IF(OR(T134="",P134="",BV134="",T134&lt;=0,BV134&lt;=0),"",(1/Inputs!$B$9)*((T134^2/8)*((2*ACOS(1-2*BV134/T134))-SIN((2*ACOS(1-2*BV134/T134)))))*((((T134^2/8)*((2*ACOS(1-2*BV134/T134))-SIN((2*ACOS(1-2*BV134/T134)))))/((T134/2)*((2*ACOS(1-2*BV134/T134)))))^(2/3))*SQRT(P134))</f>
        <v/>
      </c>
      <c r="BX134" s="9" t="str">
        <f aca="false">IF(BB134="","",IF(BW134&lt;BB134,BV134,BT134))</f>
        <v/>
      </c>
      <c r="BY134" s="9" t="str">
        <f aca="false">IF(BB134="","",IF(BW134&lt;BB134,BU134,BV134))</f>
        <v/>
      </c>
      <c r="BZ134" s="9" t="str">
        <f aca="false">IF(BB134="","",(BX134+BY134)/2)</f>
        <v/>
      </c>
      <c r="CA134" s="9" t="str">
        <f aca="false">IF(OR(T134="",P134="",BZ134="",T134&lt;=0,BZ134&lt;=0),"",(1/Inputs!$B$9)*((T134^2/8)*((2*ACOS(1-2*BZ134/T134))-SIN((2*ACOS(1-2*BZ134/T134)))))*((((T134^2/8)*((2*ACOS(1-2*BZ134/T134))-SIN((2*ACOS(1-2*BZ134/T134)))))/((T134/2)*((2*ACOS(1-2*BZ134/T134)))))^(2/3))*SQRT(P134))</f>
        <v/>
      </c>
      <c r="CB134" s="9" t="str">
        <f aca="false">IF(BB134="","",IF(CA134&lt;BB134,BZ134,BX134))</f>
        <v/>
      </c>
      <c r="CC134" s="9" t="str">
        <f aca="false">IF(BB134="","",IF(CA134&lt;BB134,BY134,BZ134))</f>
        <v/>
      </c>
      <c r="CD134" s="9" t="str">
        <f aca="false">IF(BB134="","",(CB134+CC134)/2)</f>
        <v/>
      </c>
      <c r="CE134" s="9" t="str">
        <f aca="false">IF(OR(T134="",P134="",CD134="",T134&lt;=0,CD134&lt;=0),"",(1/Inputs!$B$9)*((T134^2/8)*((2*ACOS(1-2*CD134/T134))-SIN((2*ACOS(1-2*CD134/T134)))))*((((T134^2/8)*((2*ACOS(1-2*CD134/T134))-SIN((2*ACOS(1-2*CD134/T134)))))/((T134/2)*((2*ACOS(1-2*CD134/T134)))))^(2/3))*SQRT(P134))</f>
        <v/>
      </c>
      <c r="CF134" s="9" t="str">
        <f aca="false">IF(BB134="","",IF(CE134&lt;BB134,CD134,CB134))</f>
        <v/>
      </c>
      <c r="CG134" s="9" t="str">
        <f aca="false">IF(BB134="","",IF(CE134&lt;BB134,CC134,CD134))</f>
        <v/>
      </c>
      <c r="CH134" s="9" t="str">
        <f aca="false">IF(BB134="","",(CF134+CG134)/2)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14"/>
      <c r="F135" s="14"/>
      <c r="G135" s="14" t="n">
        <f aca="false">SUMIFS(CB_plan!$C:$C,CB_plan!$B:$B,$A135)</f>
        <v>0</v>
      </c>
      <c r="H135" s="14" t="n">
        <f aca="false">IF(F135="",G135,F135)</f>
        <v>0</v>
      </c>
      <c r="I135" s="9"/>
      <c r="J135" s="14"/>
      <c r="K135" s="14" t="str">
        <f aca="false">IF(A135="","",Inputs!$B$13/((IF(AV135="",Inputs!$B$18,AV135)+Inputs!$B$14)^Inputs!$B$15))</f>
        <v/>
      </c>
      <c r="L135" s="14" t="str">
        <f aca="false">IF(A135="","",0.000000278*IF(I135="",Inputs!$B$17,I135)*H135*K135)</f>
        <v/>
      </c>
      <c r="M135" s="14" t="str">
        <f aca="false">IF(A135="","",SUMIFS($N$4:$N$203,$D$4:$D$203,$A135))</f>
        <v/>
      </c>
      <c r="N135" s="14" t="str">
        <f aca="false">IF(A135="","",(L135+M135)*Inputs!$B$16)</f>
        <v/>
      </c>
      <c r="O135" s="14"/>
      <c r="P135" s="14" t="str">
        <f aca="false">IF(A135="","",IF(O135="",Inputs!$B$7,O135))</f>
        <v/>
      </c>
      <c r="Q135" s="9" t="str">
        <f aca="false">IF(A135="","",IF(N135/Inputs!$B$10&lt;=AG135,Inputs!$F$5,IF(N135/Inputs!$B$10&gt;AP135,"OVERSIZE",INDEX(Inputs!$F$5:$F$14,MATCH(N135/Inputs!$B$10,AG135:AP135,1)+1))))</f>
        <v/>
      </c>
      <c r="R135" s="9"/>
      <c r="S135" s="9" t="str">
        <f aca="false">IF(A135="","",IF(R135="",Q135,R135))</f>
        <v/>
      </c>
      <c r="T135" s="14" t="str">
        <f aca="false">IF(OR(S135="",S135="OVERSIZE"),"",S135/1000)</f>
        <v/>
      </c>
      <c r="U135" s="14" t="str">
        <f aca="false">IF(T135="","",(1/Inputs!$B$9)*(PI()*T135^2/4)*((T135/4)^(2/3))*SQRT(P135))</f>
        <v/>
      </c>
      <c r="V135" s="14" t="str">
        <f aca="false">IF(OR(U135="",N135=""),"",N135/(U135*Inputs!$B$10))</f>
        <v/>
      </c>
      <c r="W135" s="14" t="str">
        <f aca="false">IF(OR(T135="",N135=""),"",4*N135/(PI()*T135^2))</f>
        <v/>
      </c>
      <c r="X135" s="14"/>
      <c r="Y135" s="14" t="str">
        <f aca="false">IF(A135="","",IF(A135=Inputs!$B$6,Inputs!$B$22,IF(D135="","",IFERROR(INDEX($Z$4:$Z$203,MATCH(D135,$A$4:$A$203,0))+IF(X135="",Inputs!$B$20,X135),""))))</f>
        <v/>
      </c>
      <c r="Z135" s="14" t="str">
        <f aca="false">IF(OR(Y135="",P135="",E135=""),"",Y135+P135*E135)</f>
        <v/>
      </c>
      <c r="AA135" s="14" t="str">
        <f aca="false">IF(C135="","",IFERROR(INDEX(Noeuds_plan!$C$4:$C$200,MATCH(C135,Noeuds_plan!$A$4:$A$200,0)),""))</f>
        <v/>
      </c>
      <c r="AB135" s="14" t="str">
        <f aca="false">IF(B135="","",IFERROR(INDEX(Noeuds_plan!$C$4:$C$200,MATCH(B135,Noeuds_plan!$A$4:$A$200,0)),""))</f>
        <v/>
      </c>
      <c r="AC135" s="14" t="str">
        <f aca="false">IF(OR(AA135="",Y135=""),"",AA135-Y135)</f>
        <v/>
      </c>
      <c r="AD135" s="14" t="str">
        <f aca="false">IF(OR(AB135="",Z135=""),"",AB135-Z135)</f>
        <v/>
      </c>
      <c r="AE135" s="19" t="str">
        <f aca="false">IF(A135="","",IF(OR(V135&gt;1,AND(AY135&lt;&gt;"",AY135&lt;Inputs!$B$11),AND(AY135&lt;&gt;"",AY135&gt;Inputs!$B$12),AC135&lt;Inputs!$B$19,AD135&lt;Inputs!$B$19,P135&lt;Inputs!$B$7,P135&gt;Inputs!$B$8),"CHECK","OK"))</f>
        <v/>
      </c>
      <c r="AF135" s="9"/>
      <c r="AG135" s="9" t="str">
        <f aca="false">IF(A135="","",(1/Inputs!$B$9)*(PI()*(Inputs!$F$5/1000)^2/4)*((Inputs!$F$5/1000/4)^(2/3))*SQRT(P135))</f>
        <v/>
      </c>
      <c r="AH135" s="9" t="str">
        <f aca="false">IF(A135="","",(1/Inputs!$B$9)*(PI()*(Inputs!$F$6/1000)^2/4)*((Inputs!$F$6/1000/4)^(2/3))*SQRT(P135))</f>
        <v/>
      </c>
      <c r="AI135" s="9" t="str">
        <f aca="false">IF(A135="","",(1/Inputs!$B$9)*(PI()*(Inputs!$F$7/1000)^2/4)*((Inputs!$F$7/1000/4)^(2/3))*SQRT(P135))</f>
        <v/>
      </c>
      <c r="AJ135" s="9" t="str">
        <f aca="false">IF(A135="","",(1/Inputs!$B$9)*(PI()*(Inputs!$F$8/1000)^2/4)*((Inputs!$F$8/1000/4)^(2/3))*SQRT(P135))</f>
        <v/>
      </c>
      <c r="AK135" s="9" t="str">
        <f aca="false">IF(A135="","",(1/Inputs!$B$9)*(PI()*(Inputs!$F$9/1000)^2/4)*((Inputs!$F$9/1000/4)^(2/3))*SQRT(P135))</f>
        <v/>
      </c>
      <c r="AL135" s="9" t="str">
        <f aca="false">IF(A135="","",(1/Inputs!$B$9)*(PI()*(Inputs!$F$10/1000)^2/4)*((Inputs!$F$10/1000/4)^(2/3))*SQRT(P135))</f>
        <v/>
      </c>
      <c r="AM135" s="9" t="str">
        <f aca="false">IF(A135="","",(1/Inputs!$B$9)*(PI()*(Inputs!$F$11/1000)^2/4)*((Inputs!$F$11/1000/4)^(2/3))*SQRT(P135))</f>
        <v/>
      </c>
      <c r="AN135" s="9" t="str">
        <f aca="false">IF(A135="","",(1/Inputs!$B$9)*(PI()*(Inputs!$F$12/1000)^2/4)*((Inputs!$F$12/1000/4)^(2/3))*SQRT(P135))</f>
        <v/>
      </c>
      <c r="AO135" s="9" t="str">
        <f aca="false">IF(A135="","",(1/Inputs!$B$9)*(PI()*(Inputs!$F$13/1000)^2/4)*((Inputs!$F$13/1000/4)^(2/3))*SQRT(P135))</f>
        <v/>
      </c>
      <c r="AP135" s="9" t="str">
        <f aca="false">IF(A135="","",(1/Inputs!$B$9)*(PI()*(Inputs!$F$14/1000)^2/4)*((Inputs!$F$14/1000/4)^(2/3))*SQRT(P135))</f>
        <v/>
      </c>
      <c r="AQ135" s="9" t="str">
        <f aca="false">IF(A135="","",COUNTIF($D$4:$D$203,$A135))</f>
        <v/>
      </c>
      <c r="AR135" s="9" t="str">
        <f aca="false">IF(A135="","",IF(AQ135=0,"START","CONTINUOUS"))</f>
        <v/>
      </c>
      <c r="AS135" s="13" t="str">
        <f aca="false">IF(A135="","",IF(J135="",Inputs!$B$18,J135))</f>
        <v/>
      </c>
      <c r="AT135" s="13" t="str">
        <f aca="false">IF(A135="","",IFERROR(maxifs($AV$4:$AV$203,$D$4:$D$203,$A135),""))</f>
        <v/>
      </c>
      <c r="AU135" s="13" t="str">
        <f aca="false">IF(A135="","",IF(OR(E135="",Inputs!$B$23=""),"",E135/(Inputs!$B$23*60)))</f>
        <v/>
      </c>
      <c r="AV135" s="13" t="str">
        <f aca="false">IF(A135="","",IF(AQ135=0,AS135+AU135,IF(AT135="",AS135+AU135,AT135+AU135)))</f>
        <v/>
      </c>
      <c r="AW135" s="13" t="str">
        <f aca="false">IF(A135="","",W135)</f>
        <v/>
      </c>
      <c r="AX135" s="13" t="str">
        <f aca="false">IF(OR(T135="",P135=""),"",(1/Inputs!$B$9)*((T135/4)^(2/3))*SQRT(P135))</f>
        <v/>
      </c>
      <c r="AY135" s="13" t="str">
        <f aca="false">IF(A135="","",IF(AND(AW135="",AX135="",BA135=""),"",IF(OR(UPPER(TRIM(Inputs!$B$24))="MANNING",UPPER(TRIM(Inputs!$B$24))="M"),AX135,IF(OR(UPPER(TRIM(Inputs!$B$24))="PARTIAL",UPPER(TRIM(Inputs!$B$24))="P"),BA135,IF(OR(UPPER(TRIM(Inputs!$B$24))="MAX",UPPER(TRIM(Inputs!$B$24))="X"),MAX(IF(AW135="",0,AW135),IF(AX135="",0,AX135),IF(BA135="",0,BA135)),AW135)))))</f>
        <v/>
      </c>
      <c r="AZ135" s="13" t="str">
        <f aca="false">IF(BB135="","",CH135)</f>
        <v/>
      </c>
      <c r="BA135" s="13" t="str">
        <f aca="false">IF(OR(BB135="",AZ135="",T135="",T135&lt;=0,AZ135&lt;=0),"",BB135/((T135^2/8)*(2*ACOS(1-2*AZ135/T135)-SIN(2*ACOS(1-2*AZ135/T135)))))</f>
        <v/>
      </c>
      <c r="BB135" s="9" t="str">
        <f aca="false">IF(OR(N135="",BC135=""),"",MIN(N135,BC135))</f>
        <v/>
      </c>
      <c r="BC135" s="9" t="str">
        <f aca="false">IF(OR(N135="",T135="",P135=""),"",IF(OR(T135="",P135="",(0.94*T135)="",T135&lt;=0,(0.94*T135)&lt;=0),"",(1/Inputs!$B$9)*((T135^2/8)*((2*ACOS(1-2*(0.94*T135)/T135))-SIN((2*ACOS(1-2*(0.94*T135)/T135)))))*((((T135^2/8)*((2*ACOS(1-2*(0.94*T135)/T135))-SIN((2*ACOS(1-2*(0.94*T135)/T135)))))/((T135/2)*((2*ACOS(1-2*(0.94*T135)/T135)))))^(2/3))*SQRT(P135)))</f>
        <v/>
      </c>
      <c r="BD135" s="9" t="str">
        <f aca="false">IF(BB135="","",0.001*T135)</f>
        <v/>
      </c>
      <c r="BE135" s="9" t="str">
        <f aca="false">IF(BB135="","",0.94*T135)</f>
        <v/>
      </c>
      <c r="BF135" s="9" t="str">
        <f aca="false">IF(BB135="","",(BD135+BE135)/2)</f>
        <v/>
      </c>
      <c r="BG135" s="9" t="str">
        <f aca="false">IF(OR(T135="",P135="",BF135="",T135&lt;=0,BF135&lt;=0),"",(1/Inputs!$B$9)*((T135^2/8)*((2*ACOS(1-2*BF135/T135))-SIN((2*ACOS(1-2*BF135/T135)))))*((((T135^2/8)*((2*ACOS(1-2*BF135/T135))-SIN((2*ACOS(1-2*BF135/T135)))))/((T135/2)*((2*ACOS(1-2*BF135/T135)))))^(2/3))*SQRT(P135))</f>
        <v/>
      </c>
      <c r="BH135" s="9" t="str">
        <f aca="false">IF(BB135="","",IF(BG135&lt;BB135,BF135,BD135))</f>
        <v/>
      </c>
      <c r="BI135" s="9" t="str">
        <f aca="false">IF(BB135="","",IF(BG135&lt;BB135,BE135,BF135))</f>
        <v/>
      </c>
      <c r="BJ135" s="9" t="str">
        <f aca="false">IF(BB135="","",(BH135+BI135)/2)</f>
        <v/>
      </c>
      <c r="BK135" s="9" t="str">
        <f aca="false">IF(OR(T135="",P135="",BJ135="",T135&lt;=0,BJ135&lt;=0),"",(1/Inputs!$B$9)*((T135^2/8)*((2*ACOS(1-2*BJ135/T135))-SIN((2*ACOS(1-2*BJ135/T135)))))*((((T135^2/8)*((2*ACOS(1-2*BJ135/T135))-SIN((2*ACOS(1-2*BJ135/T135)))))/((T135/2)*((2*ACOS(1-2*BJ135/T135)))))^(2/3))*SQRT(P135))</f>
        <v/>
      </c>
      <c r="BL135" s="9" t="str">
        <f aca="false">IF(BB135="","",IF(BK135&lt;BB135,BJ135,BH135))</f>
        <v/>
      </c>
      <c r="BM135" s="9" t="str">
        <f aca="false">IF(BB135="","",IF(BK135&lt;BB135,BI135,BJ135))</f>
        <v/>
      </c>
      <c r="BN135" s="9" t="str">
        <f aca="false">IF(BB135="","",(BL135+BM135)/2)</f>
        <v/>
      </c>
      <c r="BO135" s="9" t="str">
        <f aca="false">IF(OR(T135="",P135="",BN135="",T135&lt;=0,BN135&lt;=0),"",(1/Inputs!$B$9)*((T135^2/8)*((2*ACOS(1-2*BN135/T135))-SIN((2*ACOS(1-2*BN135/T135)))))*((((T135^2/8)*((2*ACOS(1-2*BN135/T135))-SIN((2*ACOS(1-2*BN135/T135)))))/((T135/2)*((2*ACOS(1-2*BN135/T135)))))^(2/3))*SQRT(P135))</f>
        <v/>
      </c>
      <c r="BP135" s="9" t="str">
        <f aca="false">IF(BB135="","",IF(BO135&lt;BB135,BN135,BL135))</f>
        <v/>
      </c>
      <c r="BQ135" s="9" t="str">
        <f aca="false">IF(BB135="","",IF(BO135&lt;BB135,BM135,BN135))</f>
        <v/>
      </c>
      <c r="BR135" s="9" t="str">
        <f aca="false">IF(BB135="","",(BP135+BQ135)/2)</f>
        <v/>
      </c>
      <c r="BS135" s="9" t="str">
        <f aca="false">IF(OR(T135="",P135="",BR135="",T135&lt;=0,BR135&lt;=0),"",(1/Inputs!$B$9)*((T135^2/8)*((2*ACOS(1-2*BR135/T135))-SIN((2*ACOS(1-2*BR135/T135)))))*((((T135^2/8)*((2*ACOS(1-2*BR135/T135))-SIN((2*ACOS(1-2*BR135/T135)))))/((T135/2)*((2*ACOS(1-2*BR135/T135)))))^(2/3))*SQRT(P135))</f>
        <v/>
      </c>
      <c r="BT135" s="9" t="str">
        <f aca="false">IF(BB135="","",IF(BS135&lt;BB135,BR135,BP135))</f>
        <v/>
      </c>
      <c r="BU135" s="9" t="str">
        <f aca="false">IF(BB135="","",IF(BS135&lt;BB135,BQ135,BR135))</f>
        <v/>
      </c>
      <c r="BV135" s="9" t="str">
        <f aca="false">IF(BB135="","",(BT135+BU135)/2)</f>
        <v/>
      </c>
      <c r="BW135" s="9" t="str">
        <f aca="false">IF(OR(T135="",P135="",BV135="",T135&lt;=0,BV135&lt;=0),"",(1/Inputs!$B$9)*((T135^2/8)*((2*ACOS(1-2*BV135/T135))-SIN((2*ACOS(1-2*BV135/T135)))))*((((T135^2/8)*((2*ACOS(1-2*BV135/T135))-SIN((2*ACOS(1-2*BV135/T135)))))/((T135/2)*((2*ACOS(1-2*BV135/T135)))))^(2/3))*SQRT(P135))</f>
        <v/>
      </c>
      <c r="BX135" s="9" t="str">
        <f aca="false">IF(BB135="","",IF(BW135&lt;BB135,BV135,BT135))</f>
        <v/>
      </c>
      <c r="BY135" s="9" t="str">
        <f aca="false">IF(BB135="","",IF(BW135&lt;BB135,BU135,BV135))</f>
        <v/>
      </c>
      <c r="BZ135" s="9" t="str">
        <f aca="false">IF(BB135="","",(BX135+BY135)/2)</f>
        <v/>
      </c>
      <c r="CA135" s="9" t="str">
        <f aca="false">IF(OR(T135="",P135="",BZ135="",T135&lt;=0,BZ135&lt;=0),"",(1/Inputs!$B$9)*((T135^2/8)*((2*ACOS(1-2*BZ135/T135))-SIN((2*ACOS(1-2*BZ135/T135)))))*((((T135^2/8)*((2*ACOS(1-2*BZ135/T135))-SIN((2*ACOS(1-2*BZ135/T135)))))/((T135/2)*((2*ACOS(1-2*BZ135/T135)))))^(2/3))*SQRT(P135))</f>
        <v/>
      </c>
      <c r="CB135" s="9" t="str">
        <f aca="false">IF(BB135="","",IF(CA135&lt;BB135,BZ135,BX135))</f>
        <v/>
      </c>
      <c r="CC135" s="9" t="str">
        <f aca="false">IF(BB135="","",IF(CA135&lt;BB135,BY135,BZ135))</f>
        <v/>
      </c>
      <c r="CD135" s="9" t="str">
        <f aca="false">IF(BB135="","",(CB135+CC135)/2)</f>
        <v/>
      </c>
      <c r="CE135" s="9" t="str">
        <f aca="false">IF(OR(T135="",P135="",CD135="",T135&lt;=0,CD135&lt;=0),"",(1/Inputs!$B$9)*((T135^2/8)*((2*ACOS(1-2*CD135/T135))-SIN((2*ACOS(1-2*CD135/T135)))))*((((T135^2/8)*((2*ACOS(1-2*CD135/T135))-SIN((2*ACOS(1-2*CD135/T135)))))/((T135/2)*((2*ACOS(1-2*CD135/T135)))))^(2/3))*SQRT(P135))</f>
        <v/>
      </c>
      <c r="CF135" s="9" t="str">
        <f aca="false">IF(BB135="","",IF(CE135&lt;BB135,CD135,CB135))</f>
        <v/>
      </c>
      <c r="CG135" s="9" t="str">
        <f aca="false">IF(BB135="","",IF(CE135&lt;BB135,CC135,CD135))</f>
        <v/>
      </c>
      <c r="CH135" s="9" t="str">
        <f aca="false">IF(BB135="","",(CF135+CG135)/2)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14"/>
      <c r="F136" s="14"/>
      <c r="G136" s="14" t="n">
        <f aca="false">SUMIFS(CB_plan!$C:$C,CB_plan!$B:$B,$A136)</f>
        <v>0</v>
      </c>
      <c r="H136" s="14" t="n">
        <f aca="false">IF(F136="",G136,F136)</f>
        <v>0</v>
      </c>
      <c r="I136" s="9"/>
      <c r="J136" s="14"/>
      <c r="K136" s="14" t="str">
        <f aca="false">IF(A136="","",Inputs!$B$13/((IF(AV136="",Inputs!$B$18,AV136)+Inputs!$B$14)^Inputs!$B$15))</f>
        <v/>
      </c>
      <c r="L136" s="14" t="str">
        <f aca="false">IF(A136="","",0.000000278*IF(I136="",Inputs!$B$17,I136)*H136*K136)</f>
        <v/>
      </c>
      <c r="M136" s="14" t="str">
        <f aca="false">IF(A136="","",SUMIFS($N$4:$N$203,$D$4:$D$203,$A136))</f>
        <v/>
      </c>
      <c r="N136" s="14" t="str">
        <f aca="false">IF(A136="","",(L136+M136)*Inputs!$B$16)</f>
        <v/>
      </c>
      <c r="O136" s="14"/>
      <c r="P136" s="14" t="str">
        <f aca="false">IF(A136="","",IF(O136="",Inputs!$B$7,O136))</f>
        <v/>
      </c>
      <c r="Q136" s="9" t="str">
        <f aca="false">IF(A136="","",IF(N136/Inputs!$B$10&lt;=AG136,Inputs!$F$5,IF(N136/Inputs!$B$10&gt;AP136,"OVERSIZE",INDEX(Inputs!$F$5:$F$14,MATCH(N136/Inputs!$B$10,AG136:AP136,1)+1))))</f>
        <v/>
      </c>
      <c r="R136" s="9"/>
      <c r="S136" s="9" t="str">
        <f aca="false">IF(A136="","",IF(R136="",Q136,R136))</f>
        <v/>
      </c>
      <c r="T136" s="14" t="str">
        <f aca="false">IF(OR(S136="",S136="OVERSIZE"),"",S136/1000)</f>
        <v/>
      </c>
      <c r="U136" s="14" t="str">
        <f aca="false">IF(T136="","",(1/Inputs!$B$9)*(PI()*T136^2/4)*((T136/4)^(2/3))*SQRT(P136))</f>
        <v/>
      </c>
      <c r="V136" s="14" t="str">
        <f aca="false">IF(OR(U136="",N136=""),"",N136/(U136*Inputs!$B$10))</f>
        <v/>
      </c>
      <c r="W136" s="14" t="str">
        <f aca="false">IF(OR(T136="",N136=""),"",4*N136/(PI()*T136^2))</f>
        <v/>
      </c>
      <c r="X136" s="14"/>
      <c r="Y136" s="14" t="str">
        <f aca="false">IF(A136="","",IF(A136=Inputs!$B$6,Inputs!$B$22,IF(D136="","",IFERROR(INDEX($Z$4:$Z$203,MATCH(D136,$A$4:$A$203,0))+IF(X136="",Inputs!$B$20,X136),""))))</f>
        <v/>
      </c>
      <c r="Z136" s="14" t="str">
        <f aca="false">IF(OR(Y136="",P136="",E136=""),"",Y136+P136*E136)</f>
        <v/>
      </c>
      <c r="AA136" s="14" t="str">
        <f aca="false">IF(C136="","",IFERROR(INDEX(Noeuds_plan!$C$4:$C$200,MATCH(C136,Noeuds_plan!$A$4:$A$200,0)),""))</f>
        <v/>
      </c>
      <c r="AB136" s="14" t="str">
        <f aca="false">IF(B136="","",IFERROR(INDEX(Noeuds_plan!$C$4:$C$200,MATCH(B136,Noeuds_plan!$A$4:$A$200,0)),""))</f>
        <v/>
      </c>
      <c r="AC136" s="14" t="str">
        <f aca="false">IF(OR(AA136="",Y136=""),"",AA136-Y136)</f>
        <v/>
      </c>
      <c r="AD136" s="14" t="str">
        <f aca="false">IF(OR(AB136="",Z136=""),"",AB136-Z136)</f>
        <v/>
      </c>
      <c r="AE136" s="19" t="str">
        <f aca="false">IF(A136="","",IF(OR(V136&gt;1,AND(AY136&lt;&gt;"",AY136&lt;Inputs!$B$11),AND(AY136&lt;&gt;"",AY136&gt;Inputs!$B$12),AC136&lt;Inputs!$B$19,AD136&lt;Inputs!$B$19,P136&lt;Inputs!$B$7,P136&gt;Inputs!$B$8),"CHECK","OK"))</f>
        <v/>
      </c>
      <c r="AF136" s="9"/>
      <c r="AG136" s="9" t="str">
        <f aca="false">IF(A136="","",(1/Inputs!$B$9)*(PI()*(Inputs!$F$5/1000)^2/4)*((Inputs!$F$5/1000/4)^(2/3))*SQRT(P136))</f>
        <v/>
      </c>
      <c r="AH136" s="9" t="str">
        <f aca="false">IF(A136="","",(1/Inputs!$B$9)*(PI()*(Inputs!$F$6/1000)^2/4)*((Inputs!$F$6/1000/4)^(2/3))*SQRT(P136))</f>
        <v/>
      </c>
      <c r="AI136" s="9" t="str">
        <f aca="false">IF(A136="","",(1/Inputs!$B$9)*(PI()*(Inputs!$F$7/1000)^2/4)*((Inputs!$F$7/1000/4)^(2/3))*SQRT(P136))</f>
        <v/>
      </c>
      <c r="AJ136" s="9" t="str">
        <f aca="false">IF(A136="","",(1/Inputs!$B$9)*(PI()*(Inputs!$F$8/1000)^2/4)*((Inputs!$F$8/1000/4)^(2/3))*SQRT(P136))</f>
        <v/>
      </c>
      <c r="AK136" s="9" t="str">
        <f aca="false">IF(A136="","",(1/Inputs!$B$9)*(PI()*(Inputs!$F$9/1000)^2/4)*((Inputs!$F$9/1000/4)^(2/3))*SQRT(P136))</f>
        <v/>
      </c>
      <c r="AL136" s="9" t="str">
        <f aca="false">IF(A136="","",(1/Inputs!$B$9)*(PI()*(Inputs!$F$10/1000)^2/4)*((Inputs!$F$10/1000/4)^(2/3))*SQRT(P136))</f>
        <v/>
      </c>
      <c r="AM136" s="9" t="str">
        <f aca="false">IF(A136="","",(1/Inputs!$B$9)*(PI()*(Inputs!$F$11/1000)^2/4)*((Inputs!$F$11/1000/4)^(2/3))*SQRT(P136))</f>
        <v/>
      </c>
      <c r="AN136" s="9" t="str">
        <f aca="false">IF(A136="","",(1/Inputs!$B$9)*(PI()*(Inputs!$F$12/1000)^2/4)*((Inputs!$F$12/1000/4)^(2/3))*SQRT(P136))</f>
        <v/>
      </c>
      <c r="AO136" s="9" t="str">
        <f aca="false">IF(A136="","",(1/Inputs!$B$9)*(PI()*(Inputs!$F$13/1000)^2/4)*((Inputs!$F$13/1000/4)^(2/3))*SQRT(P136))</f>
        <v/>
      </c>
      <c r="AP136" s="9" t="str">
        <f aca="false">IF(A136="","",(1/Inputs!$B$9)*(PI()*(Inputs!$F$14/1000)^2/4)*((Inputs!$F$14/1000/4)^(2/3))*SQRT(P136))</f>
        <v/>
      </c>
      <c r="AQ136" s="9" t="str">
        <f aca="false">IF(A136="","",COUNTIF($D$4:$D$203,$A136))</f>
        <v/>
      </c>
      <c r="AR136" s="9" t="str">
        <f aca="false">IF(A136="","",IF(AQ136=0,"START","CONTINUOUS"))</f>
        <v/>
      </c>
      <c r="AS136" s="13" t="str">
        <f aca="false">IF(A136="","",IF(J136="",Inputs!$B$18,J136))</f>
        <v/>
      </c>
      <c r="AT136" s="13" t="str">
        <f aca="false">IF(A136="","",IFERROR(maxifs($AV$4:$AV$203,$D$4:$D$203,$A136),""))</f>
        <v/>
      </c>
      <c r="AU136" s="13" t="str">
        <f aca="false">IF(A136="","",IF(OR(E136="",Inputs!$B$23=""),"",E136/(Inputs!$B$23*60)))</f>
        <v/>
      </c>
      <c r="AV136" s="13" t="str">
        <f aca="false">IF(A136="","",IF(AQ136=0,AS136+AU136,IF(AT136="",AS136+AU136,AT136+AU136)))</f>
        <v/>
      </c>
      <c r="AW136" s="13" t="str">
        <f aca="false">IF(A136="","",W136)</f>
        <v/>
      </c>
      <c r="AX136" s="13" t="str">
        <f aca="false">IF(OR(T136="",P136=""),"",(1/Inputs!$B$9)*((T136/4)^(2/3))*SQRT(P136))</f>
        <v/>
      </c>
      <c r="AY136" s="13" t="str">
        <f aca="false">IF(A136="","",IF(AND(AW136="",AX136="",BA136=""),"",IF(OR(UPPER(TRIM(Inputs!$B$24))="MANNING",UPPER(TRIM(Inputs!$B$24))="M"),AX136,IF(OR(UPPER(TRIM(Inputs!$B$24))="PARTIAL",UPPER(TRIM(Inputs!$B$24))="P"),BA136,IF(OR(UPPER(TRIM(Inputs!$B$24))="MAX",UPPER(TRIM(Inputs!$B$24))="X"),MAX(IF(AW136="",0,AW136),IF(AX136="",0,AX136),IF(BA136="",0,BA136)),AW136)))))</f>
        <v/>
      </c>
      <c r="AZ136" s="13" t="str">
        <f aca="false">IF(BB136="","",CH136)</f>
        <v/>
      </c>
      <c r="BA136" s="13" t="str">
        <f aca="false">IF(OR(BB136="",AZ136="",T136="",T136&lt;=0,AZ136&lt;=0),"",BB136/((T136^2/8)*(2*ACOS(1-2*AZ136/T136)-SIN(2*ACOS(1-2*AZ136/T136)))))</f>
        <v/>
      </c>
      <c r="BB136" s="9" t="str">
        <f aca="false">IF(OR(N136="",BC136=""),"",MIN(N136,BC136))</f>
        <v/>
      </c>
      <c r="BC136" s="9" t="str">
        <f aca="false">IF(OR(N136="",T136="",P136=""),"",IF(OR(T136="",P136="",(0.94*T136)="",T136&lt;=0,(0.94*T136)&lt;=0),"",(1/Inputs!$B$9)*((T136^2/8)*((2*ACOS(1-2*(0.94*T136)/T136))-SIN((2*ACOS(1-2*(0.94*T136)/T136)))))*((((T136^2/8)*((2*ACOS(1-2*(0.94*T136)/T136))-SIN((2*ACOS(1-2*(0.94*T136)/T136)))))/((T136/2)*((2*ACOS(1-2*(0.94*T136)/T136)))))^(2/3))*SQRT(P136)))</f>
        <v/>
      </c>
      <c r="BD136" s="9" t="str">
        <f aca="false">IF(BB136="","",0.001*T136)</f>
        <v/>
      </c>
      <c r="BE136" s="9" t="str">
        <f aca="false">IF(BB136="","",0.94*T136)</f>
        <v/>
      </c>
      <c r="BF136" s="9" t="str">
        <f aca="false">IF(BB136="","",(BD136+BE136)/2)</f>
        <v/>
      </c>
      <c r="BG136" s="9" t="str">
        <f aca="false">IF(OR(T136="",P136="",BF136="",T136&lt;=0,BF136&lt;=0),"",(1/Inputs!$B$9)*((T136^2/8)*((2*ACOS(1-2*BF136/T136))-SIN((2*ACOS(1-2*BF136/T136)))))*((((T136^2/8)*((2*ACOS(1-2*BF136/T136))-SIN((2*ACOS(1-2*BF136/T136)))))/((T136/2)*((2*ACOS(1-2*BF136/T136)))))^(2/3))*SQRT(P136))</f>
        <v/>
      </c>
      <c r="BH136" s="9" t="str">
        <f aca="false">IF(BB136="","",IF(BG136&lt;BB136,BF136,BD136))</f>
        <v/>
      </c>
      <c r="BI136" s="9" t="str">
        <f aca="false">IF(BB136="","",IF(BG136&lt;BB136,BE136,BF136))</f>
        <v/>
      </c>
      <c r="BJ136" s="9" t="str">
        <f aca="false">IF(BB136="","",(BH136+BI136)/2)</f>
        <v/>
      </c>
      <c r="BK136" s="9" t="str">
        <f aca="false">IF(OR(T136="",P136="",BJ136="",T136&lt;=0,BJ136&lt;=0),"",(1/Inputs!$B$9)*((T136^2/8)*((2*ACOS(1-2*BJ136/T136))-SIN((2*ACOS(1-2*BJ136/T136)))))*((((T136^2/8)*((2*ACOS(1-2*BJ136/T136))-SIN((2*ACOS(1-2*BJ136/T136)))))/((T136/2)*((2*ACOS(1-2*BJ136/T136)))))^(2/3))*SQRT(P136))</f>
        <v/>
      </c>
      <c r="BL136" s="9" t="str">
        <f aca="false">IF(BB136="","",IF(BK136&lt;BB136,BJ136,BH136))</f>
        <v/>
      </c>
      <c r="BM136" s="9" t="str">
        <f aca="false">IF(BB136="","",IF(BK136&lt;BB136,BI136,BJ136))</f>
        <v/>
      </c>
      <c r="BN136" s="9" t="str">
        <f aca="false">IF(BB136="","",(BL136+BM136)/2)</f>
        <v/>
      </c>
      <c r="BO136" s="9" t="str">
        <f aca="false">IF(OR(T136="",P136="",BN136="",T136&lt;=0,BN136&lt;=0),"",(1/Inputs!$B$9)*((T136^2/8)*((2*ACOS(1-2*BN136/T136))-SIN((2*ACOS(1-2*BN136/T136)))))*((((T136^2/8)*((2*ACOS(1-2*BN136/T136))-SIN((2*ACOS(1-2*BN136/T136)))))/((T136/2)*((2*ACOS(1-2*BN136/T136)))))^(2/3))*SQRT(P136))</f>
        <v/>
      </c>
      <c r="BP136" s="9" t="str">
        <f aca="false">IF(BB136="","",IF(BO136&lt;BB136,BN136,BL136))</f>
        <v/>
      </c>
      <c r="BQ136" s="9" t="str">
        <f aca="false">IF(BB136="","",IF(BO136&lt;BB136,BM136,BN136))</f>
        <v/>
      </c>
      <c r="BR136" s="9" t="str">
        <f aca="false">IF(BB136="","",(BP136+BQ136)/2)</f>
        <v/>
      </c>
      <c r="BS136" s="9" t="str">
        <f aca="false">IF(OR(T136="",P136="",BR136="",T136&lt;=0,BR136&lt;=0),"",(1/Inputs!$B$9)*((T136^2/8)*((2*ACOS(1-2*BR136/T136))-SIN((2*ACOS(1-2*BR136/T136)))))*((((T136^2/8)*((2*ACOS(1-2*BR136/T136))-SIN((2*ACOS(1-2*BR136/T136)))))/((T136/2)*((2*ACOS(1-2*BR136/T136)))))^(2/3))*SQRT(P136))</f>
        <v/>
      </c>
      <c r="BT136" s="9" t="str">
        <f aca="false">IF(BB136="","",IF(BS136&lt;BB136,BR136,BP136))</f>
        <v/>
      </c>
      <c r="BU136" s="9" t="str">
        <f aca="false">IF(BB136="","",IF(BS136&lt;BB136,BQ136,BR136))</f>
        <v/>
      </c>
      <c r="BV136" s="9" t="str">
        <f aca="false">IF(BB136="","",(BT136+BU136)/2)</f>
        <v/>
      </c>
      <c r="BW136" s="9" t="str">
        <f aca="false">IF(OR(T136="",P136="",BV136="",T136&lt;=0,BV136&lt;=0),"",(1/Inputs!$B$9)*((T136^2/8)*((2*ACOS(1-2*BV136/T136))-SIN((2*ACOS(1-2*BV136/T136)))))*((((T136^2/8)*((2*ACOS(1-2*BV136/T136))-SIN((2*ACOS(1-2*BV136/T136)))))/((T136/2)*((2*ACOS(1-2*BV136/T136)))))^(2/3))*SQRT(P136))</f>
        <v/>
      </c>
      <c r="BX136" s="9" t="str">
        <f aca="false">IF(BB136="","",IF(BW136&lt;BB136,BV136,BT136))</f>
        <v/>
      </c>
      <c r="BY136" s="9" t="str">
        <f aca="false">IF(BB136="","",IF(BW136&lt;BB136,BU136,BV136))</f>
        <v/>
      </c>
      <c r="BZ136" s="9" t="str">
        <f aca="false">IF(BB136="","",(BX136+BY136)/2)</f>
        <v/>
      </c>
      <c r="CA136" s="9" t="str">
        <f aca="false">IF(OR(T136="",P136="",BZ136="",T136&lt;=0,BZ136&lt;=0),"",(1/Inputs!$B$9)*((T136^2/8)*((2*ACOS(1-2*BZ136/T136))-SIN((2*ACOS(1-2*BZ136/T136)))))*((((T136^2/8)*((2*ACOS(1-2*BZ136/T136))-SIN((2*ACOS(1-2*BZ136/T136)))))/((T136/2)*((2*ACOS(1-2*BZ136/T136)))))^(2/3))*SQRT(P136))</f>
        <v/>
      </c>
      <c r="CB136" s="9" t="str">
        <f aca="false">IF(BB136="","",IF(CA136&lt;BB136,BZ136,BX136))</f>
        <v/>
      </c>
      <c r="CC136" s="9" t="str">
        <f aca="false">IF(BB136="","",IF(CA136&lt;BB136,BY136,BZ136))</f>
        <v/>
      </c>
      <c r="CD136" s="9" t="str">
        <f aca="false">IF(BB136="","",(CB136+CC136)/2)</f>
        <v/>
      </c>
      <c r="CE136" s="9" t="str">
        <f aca="false">IF(OR(T136="",P136="",CD136="",T136&lt;=0,CD136&lt;=0),"",(1/Inputs!$B$9)*((T136^2/8)*((2*ACOS(1-2*CD136/T136))-SIN((2*ACOS(1-2*CD136/T136)))))*((((T136^2/8)*((2*ACOS(1-2*CD136/T136))-SIN((2*ACOS(1-2*CD136/T136)))))/((T136/2)*((2*ACOS(1-2*CD136/T136)))))^(2/3))*SQRT(P136))</f>
        <v/>
      </c>
      <c r="CF136" s="9" t="str">
        <f aca="false">IF(BB136="","",IF(CE136&lt;BB136,CD136,CB136))</f>
        <v/>
      </c>
      <c r="CG136" s="9" t="str">
        <f aca="false">IF(BB136="","",IF(CE136&lt;BB136,CC136,CD136))</f>
        <v/>
      </c>
      <c r="CH136" s="9" t="str">
        <f aca="false">IF(BB136="","",(CF136+CG136)/2)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14"/>
      <c r="F137" s="14"/>
      <c r="G137" s="14" t="n">
        <f aca="false">SUMIFS(CB_plan!$C:$C,CB_plan!$B:$B,$A137)</f>
        <v>0</v>
      </c>
      <c r="H137" s="14" t="n">
        <f aca="false">IF(F137="",G137,F137)</f>
        <v>0</v>
      </c>
      <c r="I137" s="9"/>
      <c r="J137" s="14"/>
      <c r="K137" s="14" t="str">
        <f aca="false">IF(A137="","",Inputs!$B$13/((IF(AV137="",Inputs!$B$18,AV137)+Inputs!$B$14)^Inputs!$B$15))</f>
        <v/>
      </c>
      <c r="L137" s="14" t="str">
        <f aca="false">IF(A137="","",0.000000278*IF(I137="",Inputs!$B$17,I137)*H137*K137)</f>
        <v/>
      </c>
      <c r="M137" s="14" t="str">
        <f aca="false">IF(A137="","",SUMIFS($N$4:$N$203,$D$4:$D$203,$A137))</f>
        <v/>
      </c>
      <c r="N137" s="14" t="str">
        <f aca="false">IF(A137="","",(L137+M137)*Inputs!$B$16)</f>
        <v/>
      </c>
      <c r="O137" s="14"/>
      <c r="P137" s="14" t="str">
        <f aca="false">IF(A137="","",IF(O137="",Inputs!$B$7,O137))</f>
        <v/>
      </c>
      <c r="Q137" s="9" t="str">
        <f aca="false">IF(A137="","",IF(N137/Inputs!$B$10&lt;=AG137,Inputs!$F$5,IF(N137/Inputs!$B$10&gt;AP137,"OVERSIZE",INDEX(Inputs!$F$5:$F$14,MATCH(N137/Inputs!$B$10,AG137:AP137,1)+1))))</f>
        <v/>
      </c>
      <c r="R137" s="9"/>
      <c r="S137" s="9" t="str">
        <f aca="false">IF(A137="","",IF(R137="",Q137,R137))</f>
        <v/>
      </c>
      <c r="T137" s="14" t="str">
        <f aca="false">IF(OR(S137="",S137="OVERSIZE"),"",S137/1000)</f>
        <v/>
      </c>
      <c r="U137" s="14" t="str">
        <f aca="false">IF(T137="","",(1/Inputs!$B$9)*(PI()*T137^2/4)*((T137/4)^(2/3))*SQRT(P137))</f>
        <v/>
      </c>
      <c r="V137" s="14" t="str">
        <f aca="false">IF(OR(U137="",N137=""),"",N137/(U137*Inputs!$B$10))</f>
        <v/>
      </c>
      <c r="W137" s="14" t="str">
        <f aca="false">IF(OR(T137="",N137=""),"",4*N137/(PI()*T137^2))</f>
        <v/>
      </c>
      <c r="X137" s="14"/>
      <c r="Y137" s="14" t="str">
        <f aca="false">IF(A137="","",IF(A137=Inputs!$B$6,Inputs!$B$22,IF(D137="","",IFERROR(INDEX($Z$4:$Z$203,MATCH(D137,$A$4:$A$203,0))+IF(X137="",Inputs!$B$20,X137),""))))</f>
        <v/>
      </c>
      <c r="Z137" s="14" t="str">
        <f aca="false">IF(OR(Y137="",P137="",E137=""),"",Y137+P137*E137)</f>
        <v/>
      </c>
      <c r="AA137" s="14" t="str">
        <f aca="false">IF(C137="","",IFERROR(INDEX(Noeuds_plan!$C$4:$C$200,MATCH(C137,Noeuds_plan!$A$4:$A$200,0)),""))</f>
        <v/>
      </c>
      <c r="AB137" s="14" t="str">
        <f aca="false">IF(B137="","",IFERROR(INDEX(Noeuds_plan!$C$4:$C$200,MATCH(B137,Noeuds_plan!$A$4:$A$200,0)),""))</f>
        <v/>
      </c>
      <c r="AC137" s="14" t="str">
        <f aca="false">IF(OR(AA137="",Y137=""),"",AA137-Y137)</f>
        <v/>
      </c>
      <c r="AD137" s="14" t="str">
        <f aca="false">IF(OR(AB137="",Z137=""),"",AB137-Z137)</f>
        <v/>
      </c>
      <c r="AE137" s="19" t="str">
        <f aca="false">IF(A137="","",IF(OR(V137&gt;1,AND(AY137&lt;&gt;"",AY137&lt;Inputs!$B$11),AND(AY137&lt;&gt;"",AY137&gt;Inputs!$B$12),AC137&lt;Inputs!$B$19,AD137&lt;Inputs!$B$19,P137&lt;Inputs!$B$7,P137&gt;Inputs!$B$8),"CHECK","OK"))</f>
        <v/>
      </c>
      <c r="AF137" s="9"/>
      <c r="AG137" s="9" t="str">
        <f aca="false">IF(A137="","",(1/Inputs!$B$9)*(PI()*(Inputs!$F$5/1000)^2/4)*((Inputs!$F$5/1000/4)^(2/3))*SQRT(P137))</f>
        <v/>
      </c>
      <c r="AH137" s="9" t="str">
        <f aca="false">IF(A137="","",(1/Inputs!$B$9)*(PI()*(Inputs!$F$6/1000)^2/4)*((Inputs!$F$6/1000/4)^(2/3))*SQRT(P137))</f>
        <v/>
      </c>
      <c r="AI137" s="9" t="str">
        <f aca="false">IF(A137="","",(1/Inputs!$B$9)*(PI()*(Inputs!$F$7/1000)^2/4)*((Inputs!$F$7/1000/4)^(2/3))*SQRT(P137))</f>
        <v/>
      </c>
      <c r="AJ137" s="9" t="str">
        <f aca="false">IF(A137="","",(1/Inputs!$B$9)*(PI()*(Inputs!$F$8/1000)^2/4)*((Inputs!$F$8/1000/4)^(2/3))*SQRT(P137))</f>
        <v/>
      </c>
      <c r="AK137" s="9" t="str">
        <f aca="false">IF(A137="","",(1/Inputs!$B$9)*(PI()*(Inputs!$F$9/1000)^2/4)*((Inputs!$F$9/1000/4)^(2/3))*SQRT(P137))</f>
        <v/>
      </c>
      <c r="AL137" s="9" t="str">
        <f aca="false">IF(A137="","",(1/Inputs!$B$9)*(PI()*(Inputs!$F$10/1000)^2/4)*((Inputs!$F$10/1000/4)^(2/3))*SQRT(P137))</f>
        <v/>
      </c>
      <c r="AM137" s="9" t="str">
        <f aca="false">IF(A137="","",(1/Inputs!$B$9)*(PI()*(Inputs!$F$11/1000)^2/4)*((Inputs!$F$11/1000/4)^(2/3))*SQRT(P137))</f>
        <v/>
      </c>
      <c r="AN137" s="9" t="str">
        <f aca="false">IF(A137="","",(1/Inputs!$B$9)*(PI()*(Inputs!$F$12/1000)^2/4)*((Inputs!$F$12/1000/4)^(2/3))*SQRT(P137))</f>
        <v/>
      </c>
      <c r="AO137" s="9" t="str">
        <f aca="false">IF(A137="","",(1/Inputs!$B$9)*(PI()*(Inputs!$F$13/1000)^2/4)*((Inputs!$F$13/1000/4)^(2/3))*SQRT(P137))</f>
        <v/>
      </c>
      <c r="AP137" s="9" t="str">
        <f aca="false">IF(A137="","",(1/Inputs!$B$9)*(PI()*(Inputs!$F$14/1000)^2/4)*((Inputs!$F$14/1000/4)^(2/3))*SQRT(P137))</f>
        <v/>
      </c>
      <c r="AQ137" s="9" t="str">
        <f aca="false">IF(A137="","",COUNTIF($D$4:$D$203,$A137))</f>
        <v/>
      </c>
      <c r="AR137" s="9" t="str">
        <f aca="false">IF(A137="","",IF(AQ137=0,"START","CONTINUOUS"))</f>
        <v/>
      </c>
      <c r="AS137" s="13" t="str">
        <f aca="false">IF(A137="","",IF(J137="",Inputs!$B$18,J137))</f>
        <v/>
      </c>
      <c r="AT137" s="13" t="str">
        <f aca="false">IF(A137="","",IFERROR(maxifs($AV$4:$AV$203,$D$4:$D$203,$A137),""))</f>
        <v/>
      </c>
      <c r="AU137" s="13" t="str">
        <f aca="false">IF(A137="","",IF(OR(E137="",Inputs!$B$23=""),"",E137/(Inputs!$B$23*60)))</f>
        <v/>
      </c>
      <c r="AV137" s="13" t="str">
        <f aca="false">IF(A137="","",IF(AQ137=0,AS137+AU137,IF(AT137="",AS137+AU137,AT137+AU137)))</f>
        <v/>
      </c>
      <c r="AW137" s="13" t="str">
        <f aca="false">IF(A137="","",W137)</f>
        <v/>
      </c>
      <c r="AX137" s="13" t="str">
        <f aca="false">IF(OR(T137="",P137=""),"",(1/Inputs!$B$9)*((T137/4)^(2/3))*SQRT(P137))</f>
        <v/>
      </c>
      <c r="AY137" s="13" t="str">
        <f aca="false">IF(A137="","",IF(AND(AW137="",AX137="",BA137=""),"",IF(OR(UPPER(TRIM(Inputs!$B$24))="MANNING",UPPER(TRIM(Inputs!$B$24))="M"),AX137,IF(OR(UPPER(TRIM(Inputs!$B$24))="PARTIAL",UPPER(TRIM(Inputs!$B$24))="P"),BA137,IF(OR(UPPER(TRIM(Inputs!$B$24))="MAX",UPPER(TRIM(Inputs!$B$24))="X"),MAX(IF(AW137="",0,AW137),IF(AX137="",0,AX137),IF(BA137="",0,BA137)),AW137)))))</f>
        <v/>
      </c>
      <c r="AZ137" s="13" t="str">
        <f aca="false">IF(BB137="","",CH137)</f>
        <v/>
      </c>
      <c r="BA137" s="13" t="str">
        <f aca="false">IF(OR(BB137="",AZ137="",T137="",T137&lt;=0,AZ137&lt;=0),"",BB137/((T137^2/8)*(2*ACOS(1-2*AZ137/T137)-SIN(2*ACOS(1-2*AZ137/T137)))))</f>
        <v/>
      </c>
      <c r="BB137" s="9" t="str">
        <f aca="false">IF(OR(N137="",BC137=""),"",MIN(N137,BC137))</f>
        <v/>
      </c>
      <c r="BC137" s="9" t="str">
        <f aca="false">IF(OR(N137="",T137="",P137=""),"",IF(OR(T137="",P137="",(0.94*T137)="",T137&lt;=0,(0.94*T137)&lt;=0),"",(1/Inputs!$B$9)*((T137^2/8)*((2*ACOS(1-2*(0.94*T137)/T137))-SIN((2*ACOS(1-2*(0.94*T137)/T137)))))*((((T137^2/8)*((2*ACOS(1-2*(0.94*T137)/T137))-SIN((2*ACOS(1-2*(0.94*T137)/T137)))))/((T137/2)*((2*ACOS(1-2*(0.94*T137)/T137)))))^(2/3))*SQRT(P137)))</f>
        <v/>
      </c>
      <c r="BD137" s="9" t="str">
        <f aca="false">IF(BB137="","",0.001*T137)</f>
        <v/>
      </c>
      <c r="BE137" s="9" t="str">
        <f aca="false">IF(BB137="","",0.94*T137)</f>
        <v/>
      </c>
      <c r="BF137" s="9" t="str">
        <f aca="false">IF(BB137="","",(BD137+BE137)/2)</f>
        <v/>
      </c>
      <c r="BG137" s="9" t="str">
        <f aca="false">IF(OR(T137="",P137="",BF137="",T137&lt;=0,BF137&lt;=0),"",(1/Inputs!$B$9)*((T137^2/8)*((2*ACOS(1-2*BF137/T137))-SIN((2*ACOS(1-2*BF137/T137)))))*((((T137^2/8)*((2*ACOS(1-2*BF137/T137))-SIN((2*ACOS(1-2*BF137/T137)))))/((T137/2)*((2*ACOS(1-2*BF137/T137)))))^(2/3))*SQRT(P137))</f>
        <v/>
      </c>
      <c r="BH137" s="9" t="str">
        <f aca="false">IF(BB137="","",IF(BG137&lt;BB137,BF137,BD137))</f>
        <v/>
      </c>
      <c r="BI137" s="9" t="str">
        <f aca="false">IF(BB137="","",IF(BG137&lt;BB137,BE137,BF137))</f>
        <v/>
      </c>
      <c r="BJ137" s="9" t="str">
        <f aca="false">IF(BB137="","",(BH137+BI137)/2)</f>
        <v/>
      </c>
      <c r="BK137" s="9" t="str">
        <f aca="false">IF(OR(T137="",P137="",BJ137="",T137&lt;=0,BJ137&lt;=0),"",(1/Inputs!$B$9)*((T137^2/8)*((2*ACOS(1-2*BJ137/T137))-SIN((2*ACOS(1-2*BJ137/T137)))))*((((T137^2/8)*((2*ACOS(1-2*BJ137/T137))-SIN((2*ACOS(1-2*BJ137/T137)))))/((T137/2)*((2*ACOS(1-2*BJ137/T137)))))^(2/3))*SQRT(P137))</f>
        <v/>
      </c>
      <c r="BL137" s="9" t="str">
        <f aca="false">IF(BB137="","",IF(BK137&lt;BB137,BJ137,BH137))</f>
        <v/>
      </c>
      <c r="BM137" s="9" t="str">
        <f aca="false">IF(BB137="","",IF(BK137&lt;BB137,BI137,BJ137))</f>
        <v/>
      </c>
      <c r="BN137" s="9" t="str">
        <f aca="false">IF(BB137="","",(BL137+BM137)/2)</f>
        <v/>
      </c>
      <c r="BO137" s="9" t="str">
        <f aca="false">IF(OR(T137="",P137="",BN137="",T137&lt;=0,BN137&lt;=0),"",(1/Inputs!$B$9)*((T137^2/8)*((2*ACOS(1-2*BN137/T137))-SIN((2*ACOS(1-2*BN137/T137)))))*((((T137^2/8)*((2*ACOS(1-2*BN137/T137))-SIN((2*ACOS(1-2*BN137/T137)))))/((T137/2)*((2*ACOS(1-2*BN137/T137)))))^(2/3))*SQRT(P137))</f>
        <v/>
      </c>
      <c r="BP137" s="9" t="str">
        <f aca="false">IF(BB137="","",IF(BO137&lt;BB137,BN137,BL137))</f>
        <v/>
      </c>
      <c r="BQ137" s="9" t="str">
        <f aca="false">IF(BB137="","",IF(BO137&lt;BB137,BM137,BN137))</f>
        <v/>
      </c>
      <c r="BR137" s="9" t="str">
        <f aca="false">IF(BB137="","",(BP137+BQ137)/2)</f>
        <v/>
      </c>
      <c r="BS137" s="9" t="str">
        <f aca="false">IF(OR(T137="",P137="",BR137="",T137&lt;=0,BR137&lt;=0),"",(1/Inputs!$B$9)*((T137^2/8)*((2*ACOS(1-2*BR137/T137))-SIN((2*ACOS(1-2*BR137/T137)))))*((((T137^2/8)*((2*ACOS(1-2*BR137/T137))-SIN((2*ACOS(1-2*BR137/T137)))))/((T137/2)*((2*ACOS(1-2*BR137/T137)))))^(2/3))*SQRT(P137))</f>
        <v/>
      </c>
      <c r="BT137" s="9" t="str">
        <f aca="false">IF(BB137="","",IF(BS137&lt;BB137,BR137,BP137))</f>
        <v/>
      </c>
      <c r="BU137" s="9" t="str">
        <f aca="false">IF(BB137="","",IF(BS137&lt;BB137,BQ137,BR137))</f>
        <v/>
      </c>
      <c r="BV137" s="9" t="str">
        <f aca="false">IF(BB137="","",(BT137+BU137)/2)</f>
        <v/>
      </c>
      <c r="BW137" s="9" t="str">
        <f aca="false">IF(OR(T137="",P137="",BV137="",T137&lt;=0,BV137&lt;=0),"",(1/Inputs!$B$9)*((T137^2/8)*((2*ACOS(1-2*BV137/T137))-SIN((2*ACOS(1-2*BV137/T137)))))*((((T137^2/8)*((2*ACOS(1-2*BV137/T137))-SIN((2*ACOS(1-2*BV137/T137)))))/((T137/2)*((2*ACOS(1-2*BV137/T137)))))^(2/3))*SQRT(P137))</f>
        <v/>
      </c>
      <c r="BX137" s="9" t="str">
        <f aca="false">IF(BB137="","",IF(BW137&lt;BB137,BV137,BT137))</f>
        <v/>
      </c>
      <c r="BY137" s="9" t="str">
        <f aca="false">IF(BB137="","",IF(BW137&lt;BB137,BU137,BV137))</f>
        <v/>
      </c>
      <c r="BZ137" s="9" t="str">
        <f aca="false">IF(BB137="","",(BX137+BY137)/2)</f>
        <v/>
      </c>
      <c r="CA137" s="9" t="str">
        <f aca="false">IF(OR(T137="",P137="",BZ137="",T137&lt;=0,BZ137&lt;=0),"",(1/Inputs!$B$9)*((T137^2/8)*((2*ACOS(1-2*BZ137/T137))-SIN((2*ACOS(1-2*BZ137/T137)))))*((((T137^2/8)*((2*ACOS(1-2*BZ137/T137))-SIN((2*ACOS(1-2*BZ137/T137)))))/((T137/2)*((2*ACOS(1-2*BZ137/T137)))))^(2/3))*SQRT(P137))</f>
        <v/>
      </c>
      <c r="CB137" s="9" t="str">
        <f aca="false">IF(BB137="","",IF(CA137&lt;BB137,BZ137,BX137))</f>
        <v/>
      </c>
      <c r="CC137" s="9" t="str">
        <f aca="false">IF(BB137="","",IF(CA137&lt;BB137,BY137,BZ137))</f>
        <v/>
      </c>
      <c r="CD137" s="9" t="str">
        <f aca="false">IF(BB137="","",(CB137+CC137)/2)</f>
        <v/>
      </c>
      <c r="CE137" s="9" t="str">
        <f aca="false">IF(OR(T137="",P137="",CD137="",T137&lt;=0,CD137&lt;=0),"",(1/Inputs!$B$9)*((T137^2/8)*((2*ACOS(1-2*CD137/T137))-SIN((2*ACOS(1-2*CD137/T137)))))*((((T137^2/8)*((2*ACOS(1-2*CD137/T137))-SIN((2*ACOS(1-2*CD137/T137)))))/((T137/2)*((2*ACOS(1-2*CD137/T137)))))^(2/3))*SQRT(P137))</f>
        <v/>
      </c>
      <c r="CF137" s="9" t="str">
        <f aca="false">IF(BB137="","",IF(CE137&lt;BB137,CD137,CB137))</f>
        <v/>
      </c>
      <c r="CG137" s="9" t="str">
        <f aca="false">IF(BB137="","",IF(CE137&lt;BB137,CC137,CD137))</f>
        <v/>
      </c>
      <c r="CH137" s="9" t="str">
        <f aca="false">IF(BB137="","",(CF137+CG137)/2)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14"/>
      <c r="F138" s="14"/>
      <c r="G138" s="14" t="n">
        <f aca="false">SUMIFS(CB_plan!$C:$C,CB_plan!$B:$B,$A138)</f>
        <v>0</v>
      </c>
      <c r="H138" s="14" t="n">
        <f aca="false">IF(F138="",G138,F138)</f>
        <v>0</v>
      </c>
      <c r="I138" s="9"/>
      <c r="J138" s="14"/>
      <c r="K138" s="14" t="str">
        <f aca="false">IF(A138="","",Inputs!$B$13/((IF(AV138="",Inputs!$B$18,AV138)+Inputs!$B$14)^Inputs!$B$15))</f>
        <v/>
      </c>
      <c r="L138" s="14" t="str">
        <f aca="false">IF(A138="","",0.000000278*IF(I138="",Inputs!$B$17,I138)*H138*K138)</f>
        <v/>
      </c>
      <c r="M138" s="14" t="str">
        <f aca="false">IF(A138="","",SUMIFS($N$4:$N$203,$D$4:$D$203,$A138))</f>
        <v/>
      </c>
      <c r="N138" s="14" t="str">
        <f aca="false">IF(A138="","",(L138+M138)*Inputs!$B$16)</f>
        <v/>
      </c>
      <c r="O138" s="14"/>
      <c r="P138" s="14" t="str">
        <f aca="false">IF(A138="","",IF(O138="",Inputs!$B$7,O138))</f>
        <v/>
      </c>
      <c r="Q138" s="9" t="str">
        <f aca="false">IF(A138="","",IF(N138/Inputs!$B$10&lt;=AG138,Inputs!$F$5,IF(N138/Inputs!$B$10&gt;AP138,"OVERSIZE",INDEX(Inputs!$F$5:$F$14,MATCH(N138/Inputs!$B$10,AG138:AP138,1)+1))))</f>
        <v/>
      </c>
      <c r="R138" s="9"/>
      <c r="S138" s="9" t="str">
        <f aca="false">IF(A138="","",IF(R138="",Q138,R138))</f>
        <v/>
      </c>
      <c r="T138" s="14" t="str">
        <f aca="false">IF(OR(S138="",S138="OVERSIZE"),"",S138/1000)</f>
        <v/>
      </c>
      <c r="U138" s="14" t="str">
        <f aca="false">IF(T138="","",(1/Inputs!$B$9)*(PI()*T138^2/4)*((T138/4)^(2/3))*SQRT(P138))</f>
        <v/>
      </c>
      <c r="V138" s="14" t="str">
        <f aca="false">IF(OR(U138="",N138=""),"",N138/(U138*Inputs!$B$10))</f>
        <v/>
      </c>
      <c r="W138" s="14" t="str">
        <f aca="false">IF(OR(T138="",N138=""),"",4*N138/(PI()*T138^2))</f>
        <v/>
      </c>
      <c r="X138" s="14"/>
      <c r="Y138" s="14" t="str">
        <f aca="false">IF(A138="","",IF(A138=Inputs!$B$6,Inputs!$B$22,IF(D138="","",IFERROR(INDEX($Z$4:$Z$203,MATCH(D138,$A$4:$A$203,0))+IF(X138="",Inputs!$B$20,X138),""))))</f>
        <v/>
      </c>
      <c r="Z138" s="14" t="str">
        <f aca="false">IF(OR(Y138="",P138="",E138=""),"",Y138+P138*E138)</f>
        <v/>
      </c>
      <c r="AA138" s="14" t="str">
        <f aca="false">IF(C138="","",IFERROR(INDEX(Noeuds_plan!$C$4:$C$200,MATCH(C138,Noeuds_plan!$A$4:$A$200,0)),""))</f>
        <v/>
      </c>
      <c r="AB138" s="14" t="str">
        <f aca="false">IF(B138="","",IFERROR(INDEX(Noeuds_plan!$C$4:$C$200,MATCH(B138,Noeuds_plan!$A$4:$A$200,0)),""))</f>
        <v/>
      </c>
      <c r="AC138" s="14" t="str">
        <f aca="false">IF(OR(AA138="",Y138=""),"",AA138-Y138)</f>
        <v/>
      </c>
      <c r="AD138" s="14" t="str">
        <f aca="false">IF(OR(AB138="",Z138=""),"",AB138-Z138)</f>
        <v/>
      </c>
      <c r="AE138" s="19" t="str">
        <f aca="false">IF(A138="","",IF(OR(V138&gt;1,AND(AY138&lt;&gt;"",AY138&lt;Inputs!$B$11),AND(AY138&lt;&gt;"",AY138&gt;Inputs!$B$12),AC138&lt;Inputs!$B$19,AD138&lt;Inputs!$B$19,P138&lt;Inputs!$B$7,P138&gt;Inputs!$B$8),"CHECK","OK"))</f>
        <v/>
      </c>
      <c r="AF138" s="9"/>
      <c r="AG138" s="9" t="str">
        <f aca="false">IF(A138="","",(1/Inputs!$B$9)*(PI()*(Inputs!$F$5/1000)^2/4)*((Inputs!$F$5/1000/4)^(2/3))*SQRT(P138))</f>
        <v/>
      </c>
      <c r="AH138" s="9" t="str">
        <f aca="false">IF(A138="","",(1/Inputs!$B$9)*(PI()*(Inputs!$F$6/1000)^2/4)*((Inputs!$F$6/1000/4)^(2/3))*SQRT(P138))</f>
        <v/>
      </c>
      <c r="AI138" s="9" t="str">
        <f aca="false">IF(A138="","",(1/Inputs!$B$9)*(PI()*(Inputs!$F$7/1000)^2/4)*((Inputs!$F$7/1000/4)^(2/3))*SQRT(P138))</f>
        <v/>
      </c>
      <c r="AJ138" s="9" t="str">
        <f aca="false">IF(A138="","",(1/Inputs!$B$9)*(PI()*(Inputs!$F$8/1000)^2/4)*((Inputs!$F$8/1000/4)^(2/3))*SQRT(P138))</f>
        <v/>
      </c>
      <c r="AK138" s="9" t="str">
        <f aca="false">IF(A138="","",(1/Inputs!$B$9)*(PI()*(Inputs!$F$9/1000)^2/4)*((Inputs!$F$9/1000/4)^(2/3))*SQRT(P138))</f>
        <v/>
      </c>
      <c r="AL138" s="9" t="str">
        <f aca="false">IF(A138="","",(1/Inputs!$B$9)*(PI()*(Inputs!$F$10/1000)^2/4)*((Inputs!$F$10/1000/4)^(2/3))*SQRT(P138))</f>
        <v/>
      </c>
      <c r="AM138" s="9" t="str">
        <f aca="false">IF(A138="","",(1/Inputs!$B$9)*(PI()*(Inputs!$F$11/1000)^2/4)*((Inputs!$F$11/1000/4)^(2/3))*SQRT(P138))</f>
        <v/>
      </c>
      <c r="AN138" s="9" t="str">
        <f aca="false">IF(A138="","",(1/Inputs!$B$9)*(PI()*(Inputs!$F$12/1000)^2/4)*((Inputs!$F$12/1000/4)^(2/3))*SQRT(P138))</f>
        <v/>
      </c>
      <c r="AO138" s="9" t="str">
        <f aca="false">IF(A138="","",(1/Inputs!$B$9)*(PI()*(Inputs!$F$13/1000)^2/4)*((Inputs!$F$13/1000/4)^(2/3))*SQRT(P138))</f>
        <v/>
      </c>
      <c r="AP138" s="9" t="str">
        <f aca="false">IF(A138="","",(1/Inputs!$B$9)*(PI()*(Inputs!$F$14/1000)^2/4)*((Inputs!$F$14/1000/4)^(2/3))*SQRT(P138))</f>
        <v/>
      </c>
      <c r="AQ138" s="9" t="str">
        <f aca="false">IF(A138="","",COUNTIF($D$4:$D$203,$A138))</f>
        <v/>
      </c>
      <c r="AR138" s="9" t="str">
        <f aca="false">IF(A138="","",IF(AQ138=0,"START","CONTINUOUS"))</f>
        <v/>
      </c>
      <c r="AS138" s="13" t="str">
        <f aca="false">IF(A138="","",IF(J138="",Inputs!$B$18,J138))</f>
        <v/>
      </c>
      <c r="AT138" s="13" t="str">
        <f aca="false">IF(A138="","",IFERROR(maxifs($AV$4:$AV$203,$D$4:$D$203,$A138),""))</f>
        <v/>
      </c>
      <c r="AU138" s="13" t="str">
        <f aca="false">IF(A138="","",IF(OR(E138="",Inputs!$B$23=""),"",E138/(Inputs!$B$23*60)))</f>
        <v/>
      </c>
      <c r="AV138" s="13" t="str">
        <f aca="false">IF(A138="","",IF(AQ138=0,AS138+AU138,IF(AT138="",AS138+AU138,AT138+AU138)))</f>
        <v/>
      </c>
      <c r="AW138" s="13" t="str">
        <f aca="false">IF(A138="","",W138)</f>
        <v/>
      </c>
      <c r="AX138" s="13" t="str">
        <f aca="false">IF(OR(T138="",P138=""),"",(1/Inputs!$B$9)*((T138/4)^(2/3))*SQRT(P138))</f>
        <v/>
      </c>
      <c r="AY138" s="13" t="str">
        <f aca="false">IF(A138="","",IF(AND(AW138="",AX138="",BA138=""),"",IF(OR(UPPER(TRIM(Inputs!$B$24))="MANNING",UPPER(TRIM(Inputs!$B$24))="M"),AX138,IF(OR(UPPER(TRIM(Inputs!$B$24))="PARTIAL",UPPER(TRIM(Inputs!$B$24))="P"),BA138,IF(OR(UPPER(TRIM(Inputs!$B$24))="MAX",UPPER(TRIM(Inputs!$B$24))="X"),MAX(IF(AW138="",0,AW138),IF(AX138="",0,AX138),IF(BA138="",0,BA138)),AW138)))))</f>
        <v/>
      </c>
      <c r="AZ138" s="13" t="str">
        <f aca="false">IF(BB138="","",CH138)</f>
        <v/>
      </c>
      <c r="BA138" s="13" t="str">
        <f aca="false">IF(OR(BB138="",AZ138="",T138="",T138&lt;=0,AZ138&lt;=0),"",BB138/((T138^2/8)*(2*ACOS(1-2*AZ138/T138)-SIN(2*ACOS(1-2*AZ138/T138)))))</f>
        <v/>
      </c>
      <c r="BB138" s="9" t="str">
        <f aca="false">IF(OR(N138="",BC138=""),"",MIN(N138,BC138))</f>
        <v/>
      </c>
      <c r="BC138" s="9" t="str">
        <f aca="false">IF(OR(N138="",T138="",P138=""),"",IF(OR(T138="",P138="",(0.94*T138)="",T138&lt;=0,(0.94*T138)&lt;=0),"",(1/Inputs!$B$9)*((T138^2/8)*((2*ACOS(1-2*(0.94*T138)/T138))-SIN((2*ACOS(1-2*(0.94*T138)/T138)))))*((((T138^2/8)*((2*ACOS(1-2*(0.94*T138)/T138))-SIN((2*ACOS(1-2*(0.94*T138)/T138)))))/((T138/2)*((2*ACOS(1-2*(0.94*T138)/T138)))))^(2/3))*SQRT(P138)))</f>
        <v/>
      </c>
      <c r="BD138" s="9" t="str">
        <f aca="false">IF(BB138="","",0.001*T138)</f>
        <v/>
      </c>
      <c r="BE138" s="9" t="str">
        <f aca="false">IF(BB138="","",0.94*T138)</f>
        <v/>
      </c>
      <c r="BF138" s="9" t="str">
        <f aca="false">IF(BB138="","",(BD138+BE138)/2)</f>
        <v/>
      </c>
      <c r="BG138" s="9" t="str">
        <f aca="false">IF(OR(T138="",P138="",BF138="",T138&lt;=0,BF138&lt;=0),"",(1/Inputs!$B$9)*((T138^2/8)*((2*ACOS(1-2*BF138/T138))-SIN((2*ACOS(1-2*BF138/T138)))))*((((T138^2/8)*((2*ACOS(1-2*BF138/T138))-SIN((2*ACOS(1-2*BF138/T138)))))/((T138/2)*((2*ACOS(1-2*BF138/T138)))))^(2/3))*SQRT(P138))</f>
        <v/>
      </c>
      <c r="BH138" s="9" t="str">
        <f aca="false">IF(BB138="","",IF(BG138&lt;BB138,BF138,BD138))</f>
        <v/>
      </c>
      <c r="BI138" s="9" t="str">
        <f aca="false">IF(BB138="","",IF(BG138&lt;BB138,BE138,BF138))</f>
        <v/>
      </c>
      <c r="BJ138" s="9" t="str">
        <f aca="false">IF(BB138="","",(BH138+BI138)/2)</f>
        <v/>
      </c>
      <c r="BK138" s="9" t="str">
        <f aca="false">IF(OR(T138="",P138="",BJ138="",T138&lt;=0,BJ138&lt;=0),"",(1/Inputs!$B$9)*((T138^2/8)*((2*ACOS(1-2*BJ138/T138))-SIN((2*ACOS(1-2*BJ138/T138)))))*((((T138^2/8)*((2*ACOS(1-2*BJ138/T138))-SIN((2*ACOS(1-2*BJ138/T138)))))/((T138/2)*((2*ACOS(1-2*BJ138/T138)))))^(2/3))*SQRT(P138))</f>
        <v/>
      </c>
      <c r="BL138" s="9" t="str">
        <f aca="false">IF(BB138="","",IF(BK138&lt;BB138,BJ138,BH138))</f>
        <v/>
      </c>
      <c r="BM138" s="9" t="str">
        <f aca="false">IF(BB138="","",IF(BK138&lt;BB138,BI138,BJ138))</f>
        <v/>
      </c>
      <c r="BN138" s="9" t="str">
        <f aca="false">IF(BB138="","",(BL138+BM138)/2)</f>
        <v/>
      </c>
      <c r="BO138" s="9" t="str">
        <f aca="false">IF(OR(T138="",P138="",BN138="",T138&lt;=0,BN138&lt;=0),"",(1/Inputs!$B$9)*((T138^2/8)*((2*ACOS(1-2*BN138/T138))-SIN((2*ACOS(1-2*BN138/T138)))))*((((T138^2/8)*((2*ACOS(1-2*BN138/T138))-SIN((2*ACOS(1-2*BN138/T138)))))/((T138/2)*((2*ACOS(1-2*BN138/T138)))))^(2/3))*SQRT(P138))</f>
        <v/>
      </c>
      <c r="BP138" s="9" t="str">
        <f aca="false">IF(BB138="","",IF(BO138&lt;BB138,BN138,BL138))</f>
        <v/>
      </c>
      <c r="BQ138" s="9" t="str">
        <f aca="false">IF(BB138="","",IF(BO138&lt;BB138,BM138,BN138))</f>
        <v/>
      </c>
      <c r="BR138" s="9" t="str">
        <f aca="false">IF(BB138="","",(BP138+BQ138)/2)</f>
        <v/>
      </c>
      <c r="BS138" s="9" t="str">
        <f aca="false">IF(OR(T138="",P138="",BR138="",T138&lt;=0,BR138&lt;=0),"",(1/Inputs!$B$9)*((T138^2/8)*((2*ACOS(1-2*BR138/T138))-SIN((2*ACOS(1-2*BR138/T138)))))*((((T138^2/8)*((2*ACOS(1-2*BR138/T138))-SIN((2*ACOS(1-2*BR138/T138)))))/((T138/2)*((2*ACOS(1-2*BR138/T138)))))^(2/3))*SQRT(P138))</f>
        <v/>
      </c>
      <c r="BT138" s="9" t="str">
        <f aca="false">IF(BB138="","",IF(BS138&lt;BB138,BR138,BP138))</f>
        <v/>
      </c>
      <c r="BU138" s="9" t="str">
        <f aca="false">IF(BB138="","",IF(BS138&lt;BB138,BQ138,BR138))</f>
        <v/>
      </c>
      <c r="BV138" s="9" t="str">
        <f aca="false">IF(BB138="","",(BT138+BU138)/2)</f>
        <v/>
      </c>
      <c r="BW138" s="9" t="str">
        <f aca="false">IF(OR(T138="",P138="",BV138="",T138&lt;=0,BV138&lt;=0),"",(1/Inputs!$B$9)*((T138^2/8)*((2*ACOS(1-2*BV138/T138))-SIN((2*ACOS(1-2*BV138/T138)))))*((((T138^2/8)*((2*ACOS(1-2*BV138/T138))-SIN((2*ACOS(1-2*BV138/T138)))))/((T138/2)*((2*ACOS(1-2*BV138/T138)))))^(2/3))*SQRT(P138))</f>
        <v/>
      </c>
      <c r="BX138" s="9" t="str">
        <f aca="false">IF(BB138="","",IF(BW138&lt;BB138,BV138,BT138))</f>
        <v/>
      </c>
      <c r="BY138" s="9" t="str">
        <f aca="false">IF(BB138="","",IF(BW138&lt;BB138,BU138,BV138))</f>
        <v/>
      </c>
      <c r="BZ138" s="9" t="str">
        <f aca="false">IF(BB138="","",(BX138+BY138)/2)</f>
        <v/>
      </c>
      <c r="CA138" s="9" t="str">
        <f aca="false">IF(OR(T138="",P138="",BZ138="",T138&lt;=0,BZ138&lt;=0),"",(1/Inputs!$B$9)*((T138^2/8)*((2*ACOS(1-2*BZ138/T138))-SIN((2*ACOS(1-2*BZ138/T138)))))*((((T138^2/8)*((2*ACOS(1-2*BZ138/T138))-SIN((2*ACOS(1-2*BZ138/T138)))))/((T138/2)*((2*ACOS(1-2*BZ138/T138)))))^(2/3))*SQRT(P138))</f>
        <v/>
      </c>
      <c r="CB138" s="9" t="str">
        <f aca="false">IF(BB138="","",IF(CA138&lt;BB138,BZ138,BX138))</f>
        <v/>
      </c>
      <c r="CC138" s="9" t="str">
        <f aca="false">IF(BB138="","",IF(CA138&lt;BB138,BY138,BZ138))</f>
        <v/>
      </c>
      <c r="CD138" s="9" t="str">
        <f aca="false">IF(BB138="","",(CB138+CC138)/2)</f>
        <v/>
      </c>
      <c r="CE138" s="9" t="str">
        <f aca="false">IF(OR(T138="",P138="",CD138="",T138&lt;=0,CD138&lt;=0),"",(1/Inputs!$B$9)*((T138^2/8)*((2*ACOS(1-2*CD138/T138))-SIN((2*ACOS(1-2*CD138/T138)))))*((((T138^2/8)*((2*ACOS(1-2*CD138/T138))-SIN((2*ACOS(1-2*CD138/T138)))))/((T138/2)*((2*ACOS(1-2*CD138/T138)))))^(2/3))*SQRT(P138))</f>
        <v/>
      </c>
      <c r="CF138" s="9" t="str">
        <f aca="false">IF(BB138="","",IF(CE138&lt;BB138,CD138,CB138))</f>
        <v/>
      </c>
      <c r="CG138" s="9" t="str">
        <f aca="false">IF(BB138="","",IF(CE138&lt;BB138,CC138,CD138))</f>
        <v/>
      </c>
      <c r="CH138" s="9" t="str">
        <f aca="false">IF(BB138="","",(CF138+CG138)/2)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14"/>
      <c r="F139" s="14"/>
      <c r="G139" s="14" t="n">
        <f aca="false">SUMIFS(CB_plan!$C:$C,CB_plan!$B:$B,$A139)</f>
        <v>0</v>
      </c>
      <c r="H139" s="14" t="n">
        <f aca="false">IF(F139="",G139,F139)</f>
        <v>0</v>
      </c>
      <c r="I139" s="9"/>
      <c r="J139" s="14"/>
      <c r="K139" s="14" t="str">
        <f aca="false">IF(A139="","",Inputs!$B$13/((IF(AV139="",Inputs!$B$18,AV139)+Inputs!$B$14)^Inputs!$B$15))</f>
        <v/>
      </c>
      <c r="L139" s="14" t="str">
        <f aca="false">IF(A139="","",0.000000278*IF(I139="",Inputs!$B$17,I139)*H139*K139)</f>
        <v/>
      </c>
      <c r="M139" s="14" t="str">
        <f aca="false">IF(A139="","",SUMIFS($N$4:$N$203,$D$4:$D$203,$A139))</f>
        <v/>
      </c>
      <c r="N139" s="14" t="str">
        <f aca="false">IF(A139="","",(L139+M139)*Inputs!$B$16)</f>
        <v/>
      </c>
      <c r="O139" s="14"/>
      <c r="P139" s="14" t="str">
        <f aca="false">IF(A139="","",IF(O139="",Inputs!$B$7,O139))</f>
        <v/>
      </c>
      <c r="Q139" s="9" t="str">
        <f aca="false">IF(A139="","",IF(N139/Inputs!$B$10&lt;=AG139,Inputs!$F$5,IF(N139/Inputs!$B$10&gt;AP139,"OVERSIZE",INDEX(Inputs!$F$5:$F$14,MATCH(N139/Inputs!$B$10,AG139:AP139,1)+1))))</f>
        <v/>
      </c>
      <c r="R139" s="9"/>
      <c r="S139" s="9" t="str">
        <f aca="false">IF(A139="","",IF(R139="",Q139,R139))</f>
        <v/>
      </c>
      <c r="T139" s="14" t="str">
        <f aca="false">IF(OR(S139="",S139="OVERSIZE"),"",S139/1000)</f>
        <v/>
      </c>
      <c r="U139" s="14" t="str">
        <f aca="false">IF(T139="","",(1/Inputs!$B$9)*(PI()*T139^2/4)*((T139/4)^(2/3))*SQRT(P139))</f>
        <v/>
      </c>
      <c r="V139" s="14" t="str">
        <f aca="false">IF(OR(U139="",N139=""),"",N139/(U139*Inputs!$B$10))</f>
        <v/>
      </c>
      <c r="W139" s="14" t="str">
        <f aca="false">IF(OR(T139="",N139=""),"",4*N139/(PI()*T139^2))</f>
        <v/>
      </c>
      <c r="X139" s="14"/>
      <c r="Y139" s="14" t="str">
        <f aca="false">IF(A139="","",IF(A139=Inputs!$B$6,Inputs!$B$22,IF(D139="","",IFERROR(INDEX($Z$4:$Z$203,MATCH(D139,$A$4:$A$203,0))+IF(X139="",Inputs!$B$20,X139),""))))</f>
        <v/>
      </c>
      <c r="Z139" s="14" t="str">
        <f aca="false">IF(OR(Y139="",P139="",E139=""),"",Y139+P139*E139)</f>
        <v/>
      </c>
      <c r="AA139" s="14" t="str">
        <f aca="false">IF(C139="","",IFERROR(INDEX(Noeuds_plan!$C$4:$C$200,MATCH(C139,Noeuds_plan!$A$4:$A$200,0)),""))</f>
        <v/>
      </c>
      <c r="AB139" s="14" t="str">
        <f aca="false">IF(B139="","",IFERROR(INDEX(Noeuds_plan!$C$4:$C$200,MATCH(B139,Noeuds_plan!$A$4:$A$200,0)),""))</f>
        <v/>
      </c>
      <c r="AC139" s="14" t="str">
        <f aca="false">IF(OR(AA139="",Y139=""),"",AA139-Y139)</f>
        <v/>
      </c>
      <c r="AD139" s="14" t="str">
        <f aca="false">IF(OR(AB139="",Z139=""),"",AB139-Z139)</f>
        <v/>
      </c>
      <c r="AE139" s="19" t="str">
        <f aca="false">IF(A139="","",IF(OR(V139&gt;1,AND(AY139&lt;&gt;"",AY139&lt;Inputs!$B$11),AND(AY139&lt;&gt;"",AY139&gt;Inputs!$B$12),AC139&lt;Inputs!$B$19,AD139&lt;Inputs!$B$19,P139&lt;Inputs!$B$7,P139&gt;Inputs!$B$8),"CHECK","OK"))</f>
        <v/>
      </c>
      <c r="AF139" s="9"/>
      <c r="AG139" s="9" t="str">
        <f aca="false">IF(A139="","",(1/Inputs!$B$9)*(PI()*(Inputs!$F$5/1000)^2/4)*((Inputs!$F$5/1000/4)^(2/3))*SQRT(P139))</f>
        <v/>
      </c>
      <c r="AH139" s="9" t="str">
        <f aca="false">IF(A139="","",(1/Inputs!$B$9)*(PI()*(Inputs!$F$6/1000)^2/4)*((Inputs!$F$6/1000/4)^(2/3))*SQRT(P139))</f>
        <v/>
      </c>
      <c r="AI139" s="9" t="str">
        <f aca="false">IF(A139="","",(1/Inputs!$B$9)*(PI()*(Inputs!$F$7/1000)^2/4)*((Inputs!$F$7/1000/4)^(2/3))*SQRT(P139))</f>
        <v/>
      </c>
      <c r="AJ139" s="9" t="str">
        <f aca="false">IF(A139="","",(1/Inputs!$B$9)*(PI()*(Inputs!$F$8/1000)^2/4)*((Inputs!$F$8/1000/4)^(2/3))*SQRT(P139))</f>
        <v/>
      </c>
      <c r="AK139" s="9" t="str">
        <f aca="false">IF(A139="","",(1/Inputs!$B$9)*(PI()*(Inputs!$F$9/1000)^2/4)*((Inputs!$F$9/1000/4)^(2/3))*SQRT(P139))</f>
        <v/>
      </c>
      <c r="AL139" s="9" t="str">
        <f aca="false">IF(A139="","",(1/Inputs!$B$9)*(PI()*(Inputs!$F$10/1000)^2/4)*((Inputs!$F$10/1000/4)^(2/3))*SQRT(P139))</f>
        <v/>
      </c>
      <c r="AM139" s="9" t="str">
        <f aca="false">IF(A139="","",(1/Inputs!$B$9)*(PI()*(Inputs!$F$11/1000)^2/4)*((Inputs!$F$11/1000/4)^(2/3))*SQRT(P139))</f>
        <v/>
      </c>
      <c r="AN139" s="9" t="str">
        <f aca="false">IF(A139="","",(1/Inputs!$B$9)*(PI()*(Inputs!$F$12/1000)^2/4)*((Inputs!$F$12/1000/4)^(2/3))*SQRT(P139))</f>
        <v/>
      </c>
      <c r="AO139" s="9" t="str">
        <f aca="false">IF(A139="","",(1/Inputs!$B$9)*(PI()*(Inputs!$F$13/1000)^2/4)*((Inputs!$F$13/1000/4)^(2/3))*SQRT(P139))</f>
        <v/>
      </c>
      <c r="AP139" s="9" t="str">
        <f aca="false">IF(A139="","",(1/Inputs!$B$9)*(PI()*(Inputs!$F$14/1000)^2/4)*((Inputs!$F$14/1000/4)^(2/3))*SQRT(P139))</f>
        <v/>
      </c>
      <c r="AQ139" s="9" t="str">
        <f aca="false">IF(A139="","",COUNTIF($D$4:$D$203,$A139))</f>
        <v/>
      </c>
      <c r="AR139" s="9" t="str">
        <f aca="false">IF(A139="","",IF(AQ139=0,"START","CONTINUOUS"))</f>
        <v/>
      </c>
      <c r="AS139" s="13" t="str">
        <f aca="false">IF(A139="","",IF(J139="",Inputs!$B$18,J139))</f>
        <v/>
      </c>
      <c r="AT139" s="13" t="str">
        <f aca="false">IF(A139="","",IFERROR(maxifs($AV$4:$AV$203,$D$4:$D$203,$A139),""))</f>
        <v/>
      </c>
      <c r="AU139" s="13" t="str">
        <f aca="false">IF(A139="","",IF(OR(E139="",Inputs!$B$23=""),"",E139/(Inputs!$B$23*60)))</f>
        <v/>
      </c>
      <c r="AV139" s="13" t="str">
        <f aca="false">IF(A139="","",IF(AQ139=0,AS139+AU139,IF(AT139="",AS139+AU139,AT139+AU139)))</f>
        <v/>
      </c>
      <c r="AW139" s="13" t="str">
        <f aca="false">IF(A139="","",W139)</f>
        <v/>
      </c>
      <c r="AX139" s="13" t="str">
        <f aca="false">IF(OR(T139="",P139=""),"",(1/Inputs!$B$9)*((T139/4)^(2/3))*SQRT(P139))</f>
        <v/>
      </c>
      <c r="AY139" s="13" t="str">
        <f aca="false">IF(A139="","",IF(AND(AW139="",AX139="",BA139=""),"",IF(OR(UPPER(TRIM(Inputs!$B$24))="MANNING",UPPER(TRIM(Inputs!$B$24))="M"),AX139,IF(OR(UPPER(TRIM(Inputs!$B$24))="PARTIAL",UPPER(TRIM(Inputs!$B$24))="P"),BA139,IF(OR(UPPER(TRIM(Inputs!$B$24))="MAX",UPPER(TRIM(Inputs!$B$24))="X"),MAX(IF(AW139="",0,AW139),IF(AX139="",0,AX139),IF(BA139="",0,BA139)),AW139)))))</f>
        <v/>
      </c>
      <c r="AZ139" s="13" t="str">
        <f aca="false">IF(BB139="","",CH139)</f>
        <v/>
      </c>
      <c r="BA139" s="13" t="str">
        <f aca="false">IF(OR(BB139="",AZ139="",T139="",T139&lt;=0,AZ139&lt;=0),"",BB139/((T139^2/8)*(2*ACOS(1-2*AZ139/T139)-SIN(2*ACOS(1-2*AZ139/T139)))))</f>
        <v/>
      </c>
      <c r="BB139" s="9" t="str">
        <f aca="false">IF(OR(N139="",BC139=""),"",MIN(N139,BC139))</f>
        <v/>
      </c>
      <c r="BC139" s="9" t="str">
        <f aca="false">IF(OR(N139="",T139="",P139=""),"",IF(OR(T139="",P139="",(0.94*T139)="",T139&lt;=0,(0.94*T139)&lt;=0),"",(1/Inputs!$B$9)*((T139^2/8)*((2*ACOS(1-2*(0.94*T139)/T139))-SIN((2*ACOS(1-2*(0.94*T139)/T139)))))*((((T139^2/8)*((2*ACOS(1-2*(0.94*T139)/T139))-SIN((2*ACOS(1-2*(0.94*T139)/T139)))))/((T139/2)*((2*ACOS(1-2*(0.94*T139)/T139)))))^(2/3))*SQRT(P139)))</f>
        <v/>
      </c>
      <c r="BD139" s="9" t="str">
        <f aca="false">IF(BB139="","",0.001*T139)</f>
        <v/>
      </c>
      <c r="BE139" s="9" t="str">
        <f aca="false">IF(BB139="","",0.94*T139)</f>
        <v/>
      </c>
      <c r="BF139" s="9" t="str">
        <f aca="false">IF(BB139="","",(BD139+BE139)/2)</f>
        <v/>
      </c>
      <c r="BG139" s="9" t="str">
        <f aca="false">IF(OR(T139="",P139="",BF139="",T139&lt;=0,BF139&lt;=0),"",(1/Inputs!$B$9)*((T139^2/8)*((2*ACOS(1-2*BF139/T139))-SIN((2*ACOS(1-2*BF139/T139)))))*((((T139^2/8)*((2*ACOS(1-2*BF139/T139))-SIN((2*ACOS(1-2*BF139/T139)))))/((T139/2)*((2*ACOS(1-2*BF139/T139)))))^(2/3))*SQRT(P139))</f>
        <v/>
      </c>
      <c r="BH139" s="9" t="str">
        <f aca="false">IF(BB139="","",IF(BG139&lt;BB139,BF139,BD139))</f>
        <v/>
      </c>
      <c r="BI139" s="9" t="str">
        <f aca="false">IF(BB139="","",IF(BG139&lt;BB139,BE139,BF139))</f>
        <v/>
      </c>
      <c r="BJ139" s="9" t="str">
        <f aca="false">IF(BB139="","",(BH139+BI139)/2)</f>
        <v/>
      </c>
      <c r="BK139" s="9" t="str">
        <f aca="false">IF(OR(T139="",P139="",BJ139="",T139&lt;=0,BJ139&lt;=0),"",(1/Inputs!$B$9)*((T139^2/8)*((2*ACOS(1-2*BJ139/T139))-SIN((2*ACOS(1-2*BJ139/T139)))))*((((T139^2/8)*((2*ACOS(1-2*BJ139/T139))-SIN((2*ACOS(1-2*BJ139/T139)))))/((T139/2)*((2*ACOS(1-2*BJ139/T139)))))^(2/3))*SQRT(P139))</f>
        <v/>
      </c>
      <c r="BL139" s="9" t="str">
        <f aca="false">IF(BB139="","",IF(BK139&lt;BB139,BJ139,BH139))</f>
        <v/>
      </c>
      <c r="BM139" s="9" t="str">
        <f aca="false">IF(BB139="","",IF(BK139&lt;BB139,BI139,BJ139))</f>
        <v/>
      </c>
      <c r="BN139" s="9" t="str">
        <f aca="false">IF(BB139="","",(BL139+BM139)/2)</f>
        <v/>
      </c>
      <c r="BO139" s="9" t="str">
        <f aca="false">IF(OR(T139="",P139="",BN139="",T139&lt;=0,BN139&lt;=0),"",(1/Inputs!$B$9)*((T139^2/8)*((2*ACOS(1-2*BN139/T139))-SIN((2*ACOS(1-2*BN139/T139)))))*((((T139^2/8)*((2*ACOS(1-2*BN139/T139))-SIN((2*ACOS(1-2*BN139/T139)))))/((T139/2)*((2*ACOS(1-2*BN139/T139)))))^(2/3))*SQRT(P139))</f>
        <v/>
      </c>
      <c r="BP139" s="9" t="str">
        <f aca="false">IF(BB139="","",IF(BO139&lt;BB139,BN139,BL139))</f>
        <v/>
      </c>
      <c r="BQ139" s="9" t="str">
        <f aca="false">IF(BB139="","",IF(BO139&lt;BB139,BM139,BN139))</f>
        <v/>
      </c>
      <c r="BR139" s="9" t="str">
        <f aca="false">IF(BB139="","",(BP139+BQ139)/2)</f>
        <v/>
      </c>
      <c r="BS139" s="9" t="str">
        <f aca="false">IF(OR(T139="",P139="",BR139="",T139&lt;=0,BR139&lt;=0),"",(1/Inputs!$B$9)*((T139^2/8)*((2*ACOS(1-2*BR139/T139))-SIN((2*ACOS(1-2*BR139/T139)))))*((((T139^2/8)*((2*ACOS(1-2*BR139/T139))-SIN((2*ACOS(1-2*BR139/T139)))))/((T139/2)*((2*ACOS(1-2*BR139/T139)))))^(2/3))*SQRT(P139))</f>
        <v/>
      </c>
      <c r="BT139" s="9" t="str">
        <f aca="false">IF(BB139="","",IF(BS139&lt;BB139,BR139,BP139))</f>
        <v/>
      </c>
      <c r="BU139" s="9" t="str">
        <f aca="false">IF(BB139="","",IF(BS139&lt;BB139,BQ139,BR139))</f>
        <v/>
      </c>
      <c r="BV139" s="9" t="str">
        <f aca="false">IF(BB139="","",(BT139+BU139)/2)</f>
        <v/>
      </c>
      <c r="BW139" s="9" t="str">
        <f aca="false">IF(OR(T139="",P139="",BV139="",T139&lt;=0,BV139&lt;=0),"",(1/Inputs!$B$9)*((T139^2/8)*((2*ACOS(1-2*BV139/T139))-SIN((2*ACOS(1-2*BV139/T139)))))*((((T139^2/8)*((2*ACOS(1-2*BV139/T139))-SIN((2*ACOS(1-2*BV139/T139)))))/((T139/2)*((2*ACOS(1-2*BV139/T139)))))^(2/3))*SQRT(P139))</f>
        <v/>
      </c>
      <c r="BX139" s="9" t="str">
        <f aca="false">IF(BB139="","",IF(BW139&lt;BB139,BV139,BT139))</f>
        <v/>
      </c>
      <c r="BY139" s="9" t="str">
        <f aca="false">IF(BB139="","",IF(BW139&lt;BB139,BU139,BV139))</f>
        <v/>
      </c>
      <c r="BZ139" s="9" t="str">
        <f aca="false">IF(BB139="","",(BX139+BY139)/2)</f>
        <v/>
      </c>
      <c r="CA139" s="9" t="str">
        <f aca="false">IF(OR(T139="",P139="",BZ139="",T139&lt;=0,BZ139&lt;=0),"",(1/Inputs!$B$9)*((T139^2/8)*((2*ACOS(1-2*BZ139/T139))-SIN((2*ACOS(1-2*BZ139/T139)))))*((((T139^2/8)*((2*ACOS(1-2*BZ139/T139))-SIN((2*ACOS(1-2*BZ139/T139)))))/((T139/2)*((2*ACOS(1-2*BZ139/T139)))))^(2/3))*SQRT(P139))</f>
        <v/>
      </c>
      <c r="CB139" s="9" t="str">
        <f aca="false">IF(BB139="","",IF(CA139&lt;BB139,BZ139,BX139))</f>
        <v/>
      </c>
      <c r="CC139" s="9" t="str">
        <f aca="false">IF(BB139="","",IF(CA139&lt;BB139,BY139,BZ139))</f>
        <v/>
      </c>
      <c r="CD139" s="9" t="str">
        <f aca="false">IF(BB139="","",(CB139+CC139)/2)</f>
        <v/>
      </c>
      <c r="CE139" s="9" t="str">
        <f aca="false">IF(OR(T139="",P139="",CD139="",T139&lt;=0,CD139&lt;=0),"",(1/Inputs!$B$9)*((T139^2/8)*((2*ACOS(1-2*CD139/T139))-SIN((2*ACOS(1-2*CD139/T139)))))*((((T139^2/8)*((2*ACOS(1-2*CD139/T139))-SIN((2*ACOS(1-2*CD139/T139)))))/((T139/2)*((2*ACOS(1-2*CD139/T139)))))^(2/3))*SQRT(P139))</f>
        <v/>
      </c>
      <c r="CF139" s="9" t="str">
        <f aca="false">IF(BB139="","",IF(CE139&lt;BB139,CD139,CB139))</f>
        <v/>
      </c>
      <c r="CG139" s="9" t="str">
        <f aca="false">IF(BB139="","",IF(CE139&lt;BB139,CC139,CD139))</f>
        <v/>
      </c>
      <c r="CH139" s="9" t="str">
        <f aca="false">IF(BB139="","",(CF139+CG139)/2)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14"/>
      <c r="F140" s="14"/>
      <c r="G140" s="14" t="n">
        <f aca="false">SUMIFS(CB_plan!$C:$C,CB_plan!$B:$B,$A140)</f>
        <v>0</v>
      </c>
      <c r="H140" s="14" t="n">
        <f aca="false">IF(F140="",G140,F140)</f>
        <v>0</v>
      </c>
      <c r="I140" s="9"/>
      <c r="J140" s="14"/>
      <c r="K140" s="14" t="str">
        <f aca="false">IF(A140="","",Inputs!$B$13/((IF(AV140="",Inputs!$B$18,AV140)+Inputs!$B$14)^Inputs!$B$15))</f>
        <v/>
      </c>
      <c r="L140" s="14" t="str">
        <f aca="false">IF(A140="","",0.000000278*IF(I140="",Inputs!$B$17,I140)*H140*K140)</f>
        <v/>
      </c>
      <c r="M140" s="14" t="str">
        <f aca="false">IF(A140="","",SUMIFS($N$4:$N$203,$D$4:$D$203,$A140))</f>
        <v/>
      </c>
      <c r="N140" s="14" t="str">
        <f aca="false">IF(A140="","",(L140+M140)*Inputs!$B$16)</f>
        <v/>
      </c>
      <c r="O140" s="14"/>
      <c r="P140" s="14" t="str">
        <f aca="false">IF(A140="","",IF(O140="",Inputs!$B$7,O140))</f>
        <v/>
      </c>
      <c r="Q140" s="9" t="str">
        <f aca="false">IF(A140="","",IF(N140/Inputs!$B$10&lt;=AG140,Inputs!$F$5,IF(N140/Inputs!$B$10&gt;AP140,"OVERSIZE",INDEX(Inputs!$F$5:$F$14,MATCH(N140/Inputs!$B$10,AG140:AP140,1)+1))))</f>
        <v/>
      </c>
      <c r="R140" s="9"/>
      <c r="S140" s="9" t="str">
        <f aca="false">IF(A140="","",IF(R140="",Q140,R140))</f>
        <v/>
      </c>
      <c r="T140" s="14" t="str">
        <f aca="false">IF(OR(S140="",S140="OVERSIZE"),"",S140/1000)</f>
        <v/>
      </c>
      <c r="U140" s="14" t="str">
        <f aca="false">IF(T140="","",(1/Inputs!$B$9)*(PI()*T140^2/4)*((T140/4)^(2/3))*SQRT(P140))</f>
        <v/>
      </c>
      <c r="V140" s="14" t="str">
        <f aca="false">IF(OR(U140="",N140=""),"",N140/(U140*Inputs!$B$10))</f>
        <v/>
      </c>
      <c r="W140" s="14" t="str">
        <f aca="false">IF(OR(T140="",N140=""),"",4*N140/(PI()*T140^2))</f>
        <v/>
      </c>
      <c r="X140" s="14"/>
      <c r="Y140" s="14" t="str">
        <f aca="false">IF(A140="","",IF(A140=Inputs!$B$6,Inputs!$B$22,IF(D140="","",IFERROR(INDEX($Z$4:$Z$203,MATCH(D140,$A$4:$A$203,0))+IF(X140="",Inputs!$B$20,X140),""))))</f>
        <v/>
      </c>
      <c r="Z140" s="14" t="str">
        <f aca="false">IF(OR(Y140="",P140="",E140=""),"",Y140+P140*E140)</f>
        <v/>
      </c>
      <c r="AA140" s="14" t="str">
        <f aca="false">IF(C140="","",IFERROR(INDEX(Noeuds_plan!$C$4:$C$200,MATCH(C140,Noeuds_plan!$A$4:$A$200,0)),""))</f>
        <v/>
      </c>
      <c r="AB140" s="14" t="str">
        <f aca="false">IF(B140="","",IFERROR(INDEX(Noeuds_plan!$C$4:$C$200,MATCH(B140,Noeuds_plan!$A$4:$A$200,0)),""))</f>
        <v/>
      </c>
      <c r="AC140" s="14" t="str">
        <f aca="false">IF(OR(AA140="",Y140=""),"",AA140-Y140)</f>
        <v/>
      </c>
      <c r="AD140" s="14" t="str">
        <f aca="false">IF(OR(AB140="",Z140=""),"",AB140-Z140)</f>
        <v/>
      </c>
      <c r="AE140" s="19" t="str">
        <f aca="false">IF(A140="","",IF(OR(V140&gt;1,AND(AY140&lt;&gt;"",AY140&lt;Inputs!$B$11),AND(AY140&lt;&gt;"",AY140&gt;Inputs!$B$12),AC140&lt;Inputs!$B$19,AD140&lt;Inputs!$B$19,P140&lt;Inputs!$B$7,P140&gt;Inputs!$B$8),"CHECK","OK"))</f>
        <v/>
      </c>
      <c r="AF140" s="9"/>
      <c r="AG140" s="9" t="str">
        <f aca="false">IF(A140="","",(1/Inputs!$B$9)*(PI()*(Inputs!$F$5/1000)^2/4)*((Inputs!$F$5/1000/4)^(2/3))*SQRT(P140))</f>
        <v/>
      </c>
      <c r="AH140" s="9" t="str">
        <f aca="false">IF(A140="","",(1/Inputs!$B$9)*(PI()*(Inputs!$F$6/1000)^2/4)*((Inputs!$F$6/1000/4)^(2/3))*SQRT(P140))</f>
        <v/>
      </c>
      <c r="AI140" s="9" t="str">
        <f aca="false">IF(A140="","",(1/Inputs!$B$9)*(PI()*(Inputs!$F$7/1000)^2/4)*((Inputs!$F$7/1000/4)^(2/3))*SQRT(P140))</f>
        <v/>
      </c>
      <c r="AJ140" s="9" t="str">
        <f aca="false">IF(A140="","",(1/Inputs!$B$9)*(PI()*(Inputs!$F$8/1000)^2/4)*((Inputs!$F$8/1000/4)^(2/3))*SQRT(P140))</f>
        <v/>
      </c>
      <c r="AK140" s="9" t="str">
        <f aca="false">IF(A140="","",(1/Inputs!$B$9)*(PI()*(Inputs!$F$9/1000)^2/4)*((Inputs!$F$9/1000/4)^(2/3))*SQRT(P140))</f>
        <v/>
      </c>
      <c r="AL140" s="9" t="str">
        <f aca="false">IF(A140="","",(1/Inputs!$B$9)*(PI()*(Inputs!$F$10/1000)^2/4)*((Inputs!$F$10/1000/4)^(2/3))*SQRT(P140))</f>
        <v/>
      </c>
      <c r="AM140" s="9" t="str">
        <f aca="false">IF(A140="","",(1/Inputs!$B$9)*(PI()*(Inputs!$F$11/1000)^2/4)*((Inputs!$F$11/1000/4)^(2/3))*SQRT(P140))</f>
        <v/>
      </c>
      <c r="AN140" s="9" t="str">
        <f aca="false">IF(A140="","",(1/Inputs!$B$9)*(PI()*(Inputs!$F$12/1000)^2/4)*((Inputs!$F$12/1000/4)^(2/3))*SQRT(P140))</f>
        <v/>
      </c>
      <c r="AO140" s="9" t="str">
        <f aca="false">IF(A140="","",(1/Inputs!$B$9)*(PI()*(Inputs!$F$13/1000)^2/4)*((Inputs!$F$13/1000/4)^(2/3))*SQRT(P140))</f>
        <v/>
      </c>
      <c r="AP140" s="9" t="str">
        <f aca="false">IF(A140="","",(1/Inputs!$B$9)*(PI()*(Inputs!$F$14/1000)^2/4)*((Inputs!$F$14/1000/4)^(2/3))*SQRT(P140))</f>
        <v/>
      </c>
      <c r="AQ140" s="9" t="str">
        <f aca="false">IF(A140="","",COUNTIF($D$4:$D$203,$A140))</f>
        <v/>
      </c>
      <c r="AR140" s="9" t="str">
        <f aca="false">IF(A140="","",IF(AQ140=0,"START","CONTINUOUS"))</f>
        <v/>
      </c>
      <c r="AS140" s="13" t="str">
        <f aca="false">IF(A140="","",IF(J140="",Inputs!$B$18,J140))</f>
        <v/>
      </c>
      <c r="AT140" s="13" t="str">
        <f aca="false">IF(A140="","",IFERROR(maxifs($AV$4:$AV$203,$D$4:$D$203,$A140),""))</f>
        <v/>
      </c>
      <c r="AU140" s="13" t="str">
        <f aca="false">IF(A140="","",IF(OR(E140="",Inputs!$B$23=""),"",E140/(Inputs!$B$23*60)))</f>
        <v/>
      </c>
      <c r="AV140" s="13" t="str">
        <f aca="false">IF(A140="","",IF(AQ140=0,AS140+AU140,IF(AT140="",AS140+AU140,AT140+AU140)))</f>
        <v/>
      </c>
      <c r="AW140" s="13" t="str">
        <f aca="false">IF(A140="","",W140)</f>
        <v/>
      </c>
      <c r="AX140" s="13" t="str">
        <f aca="false">IF(OR(T140="",P140=""),"",(1/Inputs!$B$9)*((T140/4)^(2/3))*SQRT(P140))</f>
        <v/>
      </c>
      <c r="AY140" s="13" t="str">
        <f aca="false">IF(A140="","",IF(AND(AW140="",AX140="",BA140=""),"",IF(OR(UPPER(TRIM(Inputs!$B$24))="MANNING",UPPER(TRIM(Inputs!$B$24))="M"),AX140,IF(OR(UPPER(TRIM(Inputs!$B$24))="PARTIAL",UPPER(TRIM(Inputs!$B$24))="P"),BA140,IF(OR(UPPER(TRIM(Inputs!$B$24))="MAX",UPPER(TRIM(Inputs!$B$24))="X"),MAX(IF(AW140="",0,AW140),IF(AX140="",0,AX140),IF(BA140="",0,BA140)),AW140)))))</f>
        <v/>
      </c>
      <c r="AZ140" s="13" t="str">
        <f aca="false">IF(BB140="","",CH140)</f>
        <v/>
      </c>
      <c r="BA140" s="13" t="str">
        <f aca="false">IF(OR(BB140="",AZ140="",T140="",T140&lt;=0,AZ140&lt;=0),"",BB140/((T140^2/8)*(2*ACOS(1-2*AZ140/T140)-SIN(2*ACOS(1-2*AZ140/T140)))))</f>
        <v/>
      </c>
      <c r="BB140" s="9" t="str">
        <f aca="false">IF(OR(N140="",BC140=""),"",MIN(N140,BC140))</f>
        <v/>
      </c>
      <c r="BC140" s="9" t="str">
        <f aca="false">IF(OR(N140="",T140="",P140=""),"",IF(OR(T140="",P140="",(0.94*T140)="",T140&lt;=0,(0.94*T140)&lt;=0),"",(1/Inputs!$B$9)*((T140^2/8)*((2*ACOS(1-2*(0.94*T140)/T140))-SIN((2*ACOS(1-2*(0.94*T140)/T140)))))*((((T140^2/8)*((2*ACOS(1-2*(0.94*T140)/T140))-SIN((2*ACOS(1-2*(0.94*T140)/T140)))))/((T140/2)*((2*ACOS(1-2*(0.94*T140)/T140)))))^(2/3))*SQRT(P140)))</f>
        <v/>
      </c>
      <c r="BD140" s="9" t="str">
        <f aca="false">IF(BB140="","",0.001*T140)</f>
        <v/>
      </c>
      <c r="BE140" s="9" t="str">
        <f aca="false">IF(BB140="","",0.94*T140)</f>
        <v/>
      </c>
      <c r="BF140" s="9" t="str">
        <f aca="false">IF(BB140="","",(BD140+BE140)/2)</f>
        <v/>
      </c>
      <c r="BG140" s="9" t="str">
        <f aca="false">IF(OR(T140="",P140="",BF140="",T140&lt;=0,BF140&lt;=0),"",(1/Inputs!$B$9)*((T140^2/8)*((2*ACOS(1-2*BF140/T140))-SIN((2*ACOS(1-2*BF140/T140)))))*((((T140^2/8)*((2*ACOS(1-2*BF140/T140))-SIN((2*ACOS(1-2*BF140/T140)))))/((T140/2)*((2*ACOS(1-2*BF140/T140)))))^(2/3))*SQRT(P140))</f>
        <v/>
      </c>
      <c r="BH140" s="9" t="str">
        <f aca="false">IF(BB140="","",IF(BG140&lt;BB140,BF140,BD140))</f>
        <v/>
      </c>
      <c r="BI140" s="9" t="str">
        <f aca="false">IF(BB140="","",IF(BG140&lt;BB140,BE140,BF140))</f>
        <v/>
      </c>
      <c r="BJ140" s="9" t="str">
        <f aca="false">IF(BB140="","",(BH140+BI140)/2)</f>
        <v/>
      </c>
      <c r="BK140" s="9" t="str">
        <f aca="false">IF(OR(T140="",P140="",BJ140="",T140&lt;=0,BJ140&lt;=0),"",(1/Inputs!$B$9)*((T140^2/8)*((2*ACOS(1-2*BJ140/T140))-SIN((2*ACOS(1-2*BJ140/T140)))))*((((T140^2/8)*((2*ACOS(1-2*BJ140/T140))-SIN((2*ACOS(1-2*BJ140/T140)))))/((T140/2)*((2*ACOS(1-2*BJ140/T140)))))^(2/3))*SQRT(P140))</f>
        <v/>
      </c>
      <c r="BL140" s="9" t="str">
        <f aca="false">IF(BB140="","",IF(BK140&lt;BB140,BJ140,BH140))</f>
        <v/>
      </c>
      <c r="BM140" s="9" t="str">
        <f aca="false">IF(BB140="","",IF(BK140&lt;BB140,BI140,BJ140))</f>
        <v/>
      </c>
      <c r="BN140" s="9" t="str">
        <f aca="false">IF(BB140="","",(BL140+BM140)/2)</f>
        <v/>
      </c>
      <c r="BO140" s="9" t="str">
        <f aca="false">IF(OR(T140="",P140="",BN140="",T140&lt;=0,BN140&lt;=0),"",(1/Inputs!$B$9)*((T140^2/8)*((2*ACOS(1-2*BN140/T140))-SIN((2*ACOS(1-2*BN140/T140)))))*((((T140^2/8)*((2*ACOS(1-2*BN140/T140))-SIN((2*ACOS(1-2*BN140/T140)))))/((T140/2)*((2*ACOS(1-2*BN140/T140)))))^(2/3))*SQRT(P140))</f>
        <v/>
      </c>
      <c r="BP140" s="9" t="str">
        <f aca="false">IF(BB140="","",IF(BO140&lt;BB140,BN140,BL140))</f>
        <v/>
      </c>
      <c r="BQ140" s="9" t="str">
        <f aca="false">IF(BB140="","",IF(BO140&lt;BB140,BM140,BN140))</f>
        <v/>
      </c>
      <c r="BR140" s="9" t="str">
        <f aca="false">IF(BB140="","",(BP140+BQ140)/2)</f>
        <v/>
      </c>
      <c r="BS140" s="9" t="str">
        <f aca="false">IF(OR(T140="",P140="",BR140="",T140&lt;=0,BR140&lt;=0),"",(1/Inputs!$B$9)*((T140^2/8)*((2*ACOS(1-2*BR140/T140))-SIN((2*ACOS(1-2*BR140/T140)))))*((((T140^2/8)*((2*ACOS(1-2*BR140/T140))-SIN((2*ACOS(1-2*BR140/T140)))))/((T140/2)*((2*ACOS(1-2*BR140/T140)))))^(2/3))*SQRT(P140))</f>
        <v/>
      </c>
      <c r="BT140" s="9" t="str">
        <f aca="false">IF(BB140="","",IF(BS140&lt;BB140,BR140,BP140))</f>
        <v/>
      </c>
      <c r="BU140" s="9" t="str">
        <f aca="false">IF(BB140="","",IF(BS140&lt;BB140,BQ140,BR140))</f>
        <v/>
      </c>
      <c r="BV140" s="9" t="str">
        <f aca="false">IF(BB140="","",(BT140+BU140)/2)</f>
        <v/>
      </c>
      <c r="BW140" s="9" t="str">
        <f aca="false">IF(OR(T140="",P140="",BV140="",T140&lt;=0,BV140&lt;=0),"",(1/Inputs!$B$9)*((T140^2/8)*((2*ACOS(1-2*BV140/T140))-SIN((2*ACOS(1-2*BV140/T140)))))*((((T140^2/8)*((2*ACOS(1-2*BV140/T140))-SIN((2*ACOS(1-2*BV140/T140)))))/((T140/2)*((2*ACOS(1-2*BV140/T140)))))^(2/3))*SQRT(P140))</f>
        <v/>
      </c>
      <c r="BX140" s="9" t="str">
        <f aca="false">IF(BB140="","",IF(BW140&lt;BB140,BV140,BT140))</f>
        <v/>
      </c>
      <c r="BY140" s="9" t="str">
        <f aca="false">IF(BB140="","",IF(BW140&lt;BB140,BU140,BV140))</f>
        <v/>
      </c>
      <c r="BZ140" s="9" t="str">
        <f aca="false">IF(BB140="","",(BX140+BY140)/2)</f>
        <v/>
      </c>
      <c r="CA140" s="9" t="str">
        <f aca="false">IF(OR(T140="",P140="",BZ140="",T140&lt;=0,BZ140&lt;=0),"",(1/Inputs!$B$9)*((T140^2/8)*((2*ACOS(1-2*BZ140/T140))-SIN((2*ACOS(1-2*BZ140/T140)))))*((((T140^2/8)*((2*ACOS(1-2*BZ140/T140))-SIN((2*ACOS(1-2*BZ140/T140)))))/((T140/2)*((2*ACOS(1-2*BZ140/T140)))))^(2/3))*SQRT(P140))</f>
        <v/>
      </c>
      <c r="CB140" s="9" t="str">
        <f aca="false">IF(BB140="","",IF(CA140&lt;BB140,BZ140,BX140))</f>
        <v/>
      </c>
      <c r="CC140" s="9" t="str">
        <f aca="false">IF(BB140="","",IF(CA140&lt;BB140,BY140,BZ140))</f>
        <v/>
      </c>
      <c r="CD140" s="9" t="str">
        <f aca="false">IF(BB140="","",(CB140+CC140)/2)</f>
        <v/>
      </c>
      <c r="CE140" s="9" t="str">
        <f aca="false">IF(OR(T140="",P140="",CD140="",T140&lt;=0,CD140&lt;=0),"",(1/Inputs!$B$9)*((T140^2/8)*((2*ACOS(1-2*CD140/T140))-SIN((2*ACOS(1-2*CD140/T140)))))*((((T140^2/8)*((2*ACOS(1-2*CD140/T140))-SIN((2*ACOS(1-2*CD140/T140)))))/((T140/2)*((2*ACOS(1-2*CD140/T140)))))^(2/3))*SQRT(P140))</f>
        <v/>
      </c>
      <c r="CF140" s="9" t="str">
        <f aca="false">IF(BB140="","",IF(CE140&lt;BB140,CD140,CB140))</f>
        <v/>
      </c>
      <c r="CG140" s="9" t="str">
        <f aca="false">IF(BB140="","",IF(CE140&lt;BB140,CC140,CD140))</f>
        <v/>
      </c>
      <c r="CH140" s="9" t="str">
        <f aca="false">IF(BB140="","",(CF140+CG140)/2)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14"/>
      <c r="F141" s="14"/>
      <c r="G141" s="14" t="n">
        <f aca="false">SUMIFS(CB_plan!$C:$C,CB_plan!$B:$B,$A141)</f>
        <v>0</v>
      </c>
      <c r="H141" s="14" t="n">
        <f aca="false">IF(F141="",G141,F141)</f>
        <v>0</v>
      </c>
      <c r="I141" s="9"/>
      <c r="J141" s="14"/>
      <c r="K141" s="14" t="str">
        <f aca="false">IF(A141="","",Inputs!$B$13/((IF(AV141="",Inputs!$B$18,AV141)+Inputs!$B$14)^Inputs!$B$15))</f>
        <v/>
      </c>
      <c r="L141" s="14" t="str">
        <f aca="false">IF(A141="","",0.000000278*IF(I141="",Inputs!$B$17,I141)*H141*K141)</f>
        <v/>
      </c>
      <c r="M141" s="14" t="str">
        <f aca="false">IF(A141="","",SUMIFS($N$4:$N$203,$D$4:$D$203,$A141))</f>
        <v/>
      </c>
      <c r="N141" s="14" t="str">
        <f aca="false">IF(A141="","",(L141+M141)*Inputs!$B$16)</f>
        <v/>
      </c>
      <c r="O141" s="14"/>
      <c r="P141" s="14" t="str">
        <f aca="false">IF(A141="","",IF(O141="",Inputs!$B$7,O141))</f>
        <v/>
      </c>
      <c r="Q141" s="9" t="str">
        <f aca="false">IF(A141="","",IF(N141/Inputs!$B$10&lt;=AG141,Inputs!$F$5,IF(N141/Inputs!$B$10&gt;AP141,"OVERSIZE",INDEX(Inputs!$F$5:$F$14,MATCH(N141/Inputs!$B$10,AG141:AP141,1)+1))))</f>
        <v/>
      </c>
      <c r="R141" s="9"/>
      <c r="S141" s="9" t="str">
        <f aca="false">IF(A141="","",IF(R141="",Q141,R141))</f>
        <v/>
      </c>
      <c r="T141" s="14" t="str">
        <f aca="false">IF(OR(S141="",S141="OVERSIZE"),"",S141/1000)</f>
        <v/>
      </c>
      <c r="U141" s="14" t="str">
        <f aca="false">IF(T141="","",(1/Inputs!$B$9)*(PI()*T141^2/4)*((T141/4)^(2/3))*SQRT(P141))</f>
        <v/>
      </c>
      <c r="V141" s="14" t="str">
        <f aca="false">IF(OR(U141="",N141=""),"",N141/(U141*Inputs!$B$10))</f>
        <v/>
      </c>
      <c r="W141" s="14" t="str">
        <f aca="false">IF(OR(T141="",N141=""),"",4*N141/(PI()*T141^2))</f>
        <v/>
      </c>
      <c r="X141" s="14"/>
      <c r="Y141" s="14" t="str">
        <f aca="false">IF(A141="","",IF(A141=Inputs!$B$6,Inputs!$B$22,IF(D141="","",IFERROR(INDEX($Z$4:$Z$203,MATCH(D141,$A$4:$A$203,0))+IF(X141="",Inputs!$B$20,X141),""))))</f>
        <v/>
      </c>
      <c r="Z141" s="14" t="str">
        <f aca="false">IF(OR(Y141="",P141="",E141=""),"",Y141+P141*E141)</f>
        <v/>
      </c>
      <c r="AA141" s="14" t="str">
        <f aca="false">IF(C141="","",IFERROR(INDEX(Noeuds_plan!$C$4:$C$200,MATCH(C141,Noeuds_plan!$A$4:$A$200,0)),""))</f>
        <v/>
      </c>
      <c r="AB141" s="14" t="str">
        <f aca="false">IF(B141="","",IFERROR(INDEX(Noeuds_plan!$C$4:$C$200,MATCH(B141,Noeuds_plan!$A$4:$A$200,0)),""))</f>
        <v/>
      </c>
      <c r="AC141" s="14" t="str">
        <f aca="false">IF(OR(AA141="",Y141=""),"",AA141-Y141)</f>
        <v/>
      </c>
      <c r="AD141" s="14" t="str">
        <f aca="false">IF(OR(AB141="",Z141=""),"",AB141-Z141)</f>
        <v/>
      </c>
      <c r="AE141" s="19" t="str">
        <f aca="false">IF(A141="","",IF(OR(V141&gt;1,AND(AY141&lt;&gt;"",AY141&lt;Inputs!$B$11),AND(AY141&lt;&gt;"",AY141&gt;Inputs!$B$12),AC141&lt;Inputs!$B$19,AD141&lt;Inputs!$B$19,P141&lt;Inputs!$B$7,P141&gt;Inputs!$B$8),"CHECK","OK"))</f>
        <v/>
      </c>
      <c r="AF141" s="9"/>
      <c r="AG141" s="9" t="str">
        <f aca="false">IF(A141="","",(1/Inputs!$B$9)*(PI()*(Inputs!$F$5/1000)^2/4)*((Inputs!$F$5/1000/4)^(2/3))*SQRT(P141))</f>
        <v/>
      </c>
      <c r="AH141" s="9" t="str">
        <f aca="false">IF(A141="","",(1/Inputs!$B$9)*(PI()*(Inputs!$F$6/1000)^2/4)*((Inputs!$F$6/1000/4)^(2/3))*SQRT(P141))</f>
        <v/>
      </c>
      <c r="AI141" s="9" t="str">
        <f aca="false">IF(A141="","",(1/Inputs!$B$9)*(PI()*(Inputs!$F$7/1000)^2/4)*((Inputs!$F$7/1000/4)^(2/3))*SQRT(P141))</f>
        <v/>
      </c>
      <c r="AJ141" s="9" t="str">
        <f aca="false">IF(A141="","",(1/Inputs!$B$9)*(PI()*(Inputs!$F$8/1000)^2/4)*((Inputs!$F$8/1000/4)^(2/3))*SQRT(P141))</f>
        <v/>
      </c>
      <c r="AK141" s="9" t="str">
        <f aca="false">IF(A141="","",(1/Inputs!$B$9)*(PI()*(Inputs!$F$9/1000)^2/4)*((Inputs!$F$9/1000/4)^(2/3))*SQRT(P141))</f>
        <v/>
      </c>
      <c r="AL141" s="9" t="str">
        <f aca="false">IF(A141="","",(1/Inputs!$B$9)*(PI()*(Inputs!$F$10/1000)^2/4)*((Inputs!$F$10/1000/4)^(2/3))*SQRT(P141))</f>
        <v/>
      </c>
      <c r="AM141" s="9" t="str">
        <f aca="false">IF(A141="","",(1/Inputs!$B$9)*(PI()*(Inputs!$F$11/1000)^2/4)*((Inputs!$F$11/1000/4)^(2/3))*SQRT(P141))</f>
        <v/>
      </c>
      <c r="AN141" s="9" t="str">
        <f aca="false">IF(A141="","",(1/Inputs!$B$9)*(PI()*(Inputs!$F$12/1000)^2/4)*((Inputs!$F$12/1000/4)^(2/3))*SQRT(P141))</f>
        <v/>
      </c>
      <c r="AO141" s="9" t="str">
        <f aca="false">IF(A141="","",(1/Inputs!$B$9)*(PI()*(Inputs!$F$13/1000)^2/4)*((Inputs!$F$13/1000/4)^(2/3))*SQRT(P141))</f>
        <v/>
      </c>
      <c r="AP141" s="9" t="str">
        <f aca="false">IF(A141="","",(1/Inputs!$B$9)*(PI()*(Inputs!$F$14/1000)^2/4)*((Inputs!$F$14/1000/4)^(2/3))*SQRT(P141))</f>
        <v/>
      </c>
      <c r="AQ141" s="9" t="str">
        <f aca="false">IF(A141="","",COUNTIF($D$4:$D$203,$A141))</f>
        <v/>
      </c>
      <c r="AR141" s="9" t="str">
        <f aca="false">IF(A141="","",IF(AQ141=0,"START","CONTINUOUS"))</f>
        <v/>
      </c>
      <c r="AS141" s="13" t="str">
        <f aca="false">IF(A141="","",IF(J141="",Inputs!$B$18,J141))</f>
        <v/>
      </c>
      <c r="AT141" s="13" t="str">
        <f aca="false">IF(A141="","",IFERROR(maxifs($AV$4:$AV$203,$D$4:$D$203,$A141),""))</f>
        <v/>
      </c>
      <c r="AU141" s="13" t="str">
        <f aca="false">IF(A141="","",IF(OR(E141="",Inputs!$B$23=""),"",E141/(Inputs!$B$23*60)))</f>
        <v/>
      </c>
      <c r="AV141" s="13" t="str">
        <f aca="false">IF(A141="","",IF(AQ141=0,AS141+AU141,IF(AT141="",AS141+AU141,AT141+AU141)))</f>
        <v/>
      </c>
      <c r="AW141" s="13" t="str">
        <f aca="false">IF(A141="","",W141)</f>
        <v/>
      </c>
      <c r="AX141" s="13" t="str">
        <f aca="false">IF(OR(T141="",P141=""),"",(1/Inputs!$B$9)*((T141/4)^(2/3))*SQRT(P141))</f>
        <v/>
      </c>
      <c r="AY141" s="13" t="str">
        <f aca="false">IF(A141="","",IF(AND(AW141="",AX141="",BA141=""),"",IF(OR(UPPER(TRIM(Inputs!$B$24))="MANNING",UPPER(TRIM(Inputs!$B$24))="M"),AX141,IF(OR(UPPER(TRIM(Inputs!$B$24))="PARTIAL",UPPER(TRIM(Inputs!$B$24))="P"),BA141,IF(OR(UPPER(TRIM(Inputs!$B$24))="MAX",UPPER(TRIM(Inputs!$B$24))="X"),MAX(IF(AW141="",0,AW141),IF(AX141="",0,AX141),IF(BA141="",0,BA141)),AW141)))))</f>
        <v/>
      </c>
      <c r="AZ141" s="13" t="str">
        <f aca="false">IF(BB141="","",CH141)</f>
        <v/>
      </c>
      <c r="BA141" s="13" t="str">
        <f aca="false">IF(OR(BB141="",AZ141="",T141="",T141&lt;=0,AZ141&lt;=0),"",BB141/((T141^2/8)*(2*ACOS(1-2*AZ141/T141)-SIN(2*ACOS(1-2*AZ141/T141)))))</f>
        <v/>
      </c>
      <c r="BB141" s="9" t="str">
        <f aca="false">IF(OR(N141="",BC141=""),"",MIN(N141,BC141))</f>
        <v/>
      </c>
      <c r="BC141" s="9" t="str">
        <f aca="false">IF(OR(N141="",T141="",P141=""),"",IF(OR(T141="",P141="",(0.94*T141)="",T141&lt;=0,(0.94*T141)&lt;=0),"",(1/Inputs!$B$9)*((T141^2/8)*((2*ACOS(1-2*(0.94*T141)/T141))-SIN((2*ACOS(1-2*(0.94*T141)/T141)))))*((((T141^2/8)*((2*ACOS(1-2*(0.94*T141)/T141))-SIN((2*ACOS(1-2*(0.94*T141)/T141)))))/((T141/2)*((2*ACOS(1-2*(0.94*T141)/T141)))))^(2/3))*SQRT(P141)))</f>
        <v/>
      </c>
      <c r="BD141" s="9" t="str">
        <f aca="false">IF(BB141="","",0.001*T141)</f>
        <v/>
      </c>
      <c r="BE141" s="9" t="str">
        <f aca="false">IF(BB141="","",0.94*T141)</f>
        <v/>
      </c>
      <c r="BF141" s="9" t="str">
        <f aca="false">IF(BB141="","",(BD141+BE141)/2)</f>
        <v/>
      </c>
      <c r="BG141" s="9" t="str">
        <f aca="false">IF(OR(T141="",P141="",BF141="",T141&lt;=0,BF141&lt;=0),"",(1/Inputs!$B$9)*((T141^2/8)*((2*ACOS(1-2*BF141/T141))-SIN((2*ACOS(1-2*BF141/T141)))))*((((T141^2/8)*((2*ACOS(1-2*BF141/T141))-SIN((2*ACOS(1-2*BF141/T141)))))/((T141/2)*((2*ACOS(1-2*BF141/T141)))))^(2/3))*SQRT(P141))</f>
        <v/>
      </c>
      <c r="BH141" s="9" t="str">
        <f aca="false">IF(BB141="","",IF(BG141&lt;BB141,BF141,BD141))</f>
        <v/>
      </c>
      <c r="BI141" s="9" t="str">
        <f aca="false">IF(BB141="","",IF(BG141&lt;BB141,BE141,BF141))</f>
        <v/>
      </c>
      <c r="BJ141" s="9" t="str">
        <f aca="false">IF(BB141="","",(BH141+BI141)/2)</f>
        <v/>
      </c>
      <c r="BK141" s="9" t="str">
        <f aca="false">IF(OR(T141="",P141="",BJ141="",T141&lt;=0,BJ141&lt;=0),"",(1/Inputs!$B$9)*((T141^2/8)*((2*ACOS(1-2*BJ141/T141))-SIN((2*ACOS(1-2*BJ141/T141)))))*((((T141^2/8)*((2*ACOS(1-2*BJ141/T141))-SIN((2*ACOS(1-2*BJ141/T141)))))/((T141/2)*((2*ACOS(1-2*BJ141/T141)))))^(2/3))*SQRT(P141))</f>
        <v/>
      </c>
      <c r="BL141" s="9" t="str">
        <f aca="false">IF(BB141="","",IF(BK141&lt;BB141,BJ141,BH141))</f>
        <v/>
      </c>
      <c r="BM141" s="9" t="str">
        <f aca="false">IF(BB141="","",IF(BK141&lt;BB141,BI141,BJ141))</f>
        <v/>
      </c>
      <c r="BN141" s="9" t="str">
        <f aca="false">IF(BB141="","",(BL141+BM141)/2)</f>
        <v/>
      </c>
      <c r="BO141" s="9" t="str">
        <f aca="false">IF(OR(T141="",P141="",BN141="",T141&lt;=0,BN141&lt;=0),"",(1/Inputs!$B$9)*((T141^2/8)*((2*ACOS(1-2*BN141/T141))-SIN((2*ACOS(1-2*BN141/T141)))))*((((T141^2/8)*((2*ACOS(1-2*BN141/T141))-SIN((2*ACOS(1-2*BN141/T141)))))/((T141/2)*((2*ACOS(1-2*BN141/T141)))))^(2/3))*SQRT(P141))</f>
        <v/>
      </c>
      <c r="BP141" s="9" t="str">
        <f aca="false">IF(BB141="","",IF(BO141&lt;BB141,BN141,BL141))</f>
        <v/>
      </c>
      <c r="BQ141" s="9" t="str">
        <f aca="false">IF(BB141="","",IF(BO141&lt;BB141,BM141,BN141))</f>
        <v/>
      </c>
      <c r="BR141" s="9" t="str">
        <f aca="false">IF(BB141="","",(BP141+BQ141)/2)</f>
        <v/>
      </c>
      <c r="BS141" s="9" t="str">
        <f aca="false">IF(OR(T141="",P141="",BR141="",T141&lt;=0,BR141&lt;=0),"",(1/Inputs!$B$9)*((T141^2/8)*((2*ACOS(1-2*BR141/T141))-SIN((2*ACOS(1-2*BR141/T141)))))*((((T141^2/8)*((2*ACOS(1-2*BR141/T141))-SIN((2*ACOS(1-2*BR141/T141)))))/((T141/2)*((2*ACOS(1-2*BR141/T141)))))^(2/3))*SQRT(P141))</f>
        <v/>
      </c>
      <c r="BT141" s="9" t="str">
        <f aca="false">IF(BB141="","",IF(BS141&lt;BB141,BR141,BP141))</f>
        <v/>
      </c>
      <c r="BU141" s="9" t="str">
        <f aca="false">IF(BB141="","",IF(BS141&lt;BB141,BQ141,BR141))</f>
        <v/>
      </c>
      <c r="BV141" s="9" t="str">
        <f aca="false">IF(BB141="","",(BT141+BU141)/2)</f>
        <v/>
      </c>
      <c r="BW141" s="9" t="str">
        <f aca="false">IF(OR(T141="",P141="",BV141="",T141&lt;=0,BV141&lt;=0),"",(1/Inputs!$B$9)*((T141^2/8)*((2*ACOS(1-2*BV141/T141))-SIN((2*ACOS(1-2*BV141/T141)))))*((((T141^2/8)*((2*ACOS(1-2*BV141/T141))-SIN((2*ACOS(1-2*BV141/T141)))))/((T141/2)*((2*ACOS(1-2*BV141/T141)))))^(2/3))*SQRT(P141))</f>
        <v/>
      </c>
      <c r="BX141" s="9" t="str">
        <f aca="false">IF(BB141="","",IF(BW141&lt;BB141,BV141,BT141))</f>
        <v/>
      </c>
      <c r="BY141" s="9" t="str">
        <f aca="false">IF(BB141="","",IF(BW141&lt;BB141,BU141,BV141))</f>
        <v/>
      </c>
      <c r="BZ141" s="9" t="str">
        <f aca="false">IF(BB141="","",(BX141+BY141)/2)</f>
        <v/>
      </c>
      <c r="CA141" s="9" t="str">
        <f aca="false">IF(OR(T141="",P141="",BZ141="",T141&lt;=0,BZ141&lt;=0),"",(1/Inputs!$B$9)*((T141^2/8)*((2*ACOS(1-2*BZ141/T141))-SIN((2*ACOS(1-2*BZ141/T141)))))*((((T141^2/8)*((2*ACOS(1-2*BZ141/T141))-SIN((2*ACOS(1-2*BZ141/T141)))))/((T141/2)*((2*ACOS(1-2*BZ141/T141)))))^(2/3))*SQRT(P141))</f>
        <v/>
      </c>
      <c r="CB141" s="9" t="str">
        <f aca="false">IF(BB141="","",IF(CA141&lt;BB141,BZ141,BX141))</f>
        <v/>
      </c>
      <c r="CC141" s="9" t="str">
        <f aca="false">IF(BB141="","",IF(CA141&lt;BB141,BY141,BZ141))</f>
        <v/>
      </c>
      <c r="CD141" s="9" t="str">
        <f aca="false">IF(BB141="","",(CB141+CC141)/2)</f>
        <v/>
      </c>
      <c r="CE141" s="9" t="str">
        <f aca="false">IF(OR(T141="",P141="",CD141="",T141&lt;=0,CD141&lt;=0),"",(1/Inputs!$B$9)*((T141^2/8)*((2*ACOS(1-2*CD141/T141))-SIN((2*ACOS(1-2*CD141/T141)))))*((((T141^2/8)*((2*ACOS(1-2*CD141/T141))-SIN((2*ACOS(1-2*CD141/T141)))))/((T141/2)*((2*ACOS(1-2*CD141/T141)))))^(2/3))*SQRT(P141))</f>
        <v/>
      </c>
      <c r="CF141" s="9" t="str">
        <f aca="false">IF(BB141="","",IF(CE141&lt;BB141,CD141,CB141))</f>
        <v/>
      </c>
      <c r="CG141" s="9" t="str">
        <f aca="false">IF(BB141="","",IF(CE141&lt;BB141,CC141,CD141))</f>
        <v/>
      </c>
      <c r="CH141" s="9" t="str">
        <f aca="false">IF(BB141="","",(CF141+CG141)/2)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14"/>
      <c r="F142" s="14"/>
      <c r="G142" s="14" t="n">
        <f aca="false">SUMIFS(CB_plan!$C:$C,CB_plan!$B:$B,$A142)</f>
        <v>0</v>
      </c>
      <c r="H142" s="14" t="n">
        <f aca="false">IF(F142="",G142,F142)</f>
        <v>0</v>
      </c>
      <c r="I142" s="9"/>
      <c r="J142" s="14"/>
      <c r="K142" s="14" t="str">
        <f aca="false">IF(A142="","",Inputs!$B$13/((IF(AV142="",Inputs!$B$18,AV142)+Inputs!$B$14)^Inputs!$B$15))</f>
        <v/>
      </c>
      <c r="L142" s="14" t="str">
        <f aca="false">IF(A142="","",0.000000278*IF(I142="",Inputs!$B$17,I142)*H142*K142)</f>
        <v/>
      </c>
      <c r="M142" s="14" t="str">
        <f aca="false">IF(A142="","",SUMIFS($N$4:$N$203,$D$4:$D$203,$A142))</f>
        <v/>
      </c>
      <c r="N142" s="14" t="str">
        <f aca="false">IF(A142="","",(L142+M142)*Inputs!$B$16)</f>
        <v/>
      </c>
      <c r="O142" s="14"/>
      <c r="P142" s="14" t="str">
        <f aca="false">IF(A142="","",IF(O142="",Inputs!$B$7,O142))</f>
        <v/>
      </c>
      <c r="Q142" s="9" t="str">
        <f aca="false">IF(A142="","",IF(N142/Inputs!$B$10&lt;=AG142,Inputs!$F$5,IF(N142/Inputs!$B$10&gt;AP142,"OVERSIZE",INDEX(Inputs!$F$5:$F$14,MATCH(N142/Inputs!$B$10,AG142:AP142,1)+1))))</f>
        <v/>
      </c>
      <c r="R142" s="9"/>
      <c r="S142" s="9" t="str">
        <f aca="false">IF(A142="","",IF(R142="",Q142,R142))</f>
        <v/>
      </c>
      <c r="T142" s="14" t="str">
        <f aca="false">IF(OR(S142="",S142="OVERSIZE"),"",S142/1000)</f>
        <v/>
      </c>
      <c r="U142" s="14" t="str">
        <f aca="false">IF(T142="","",(1/Inputs!$B$9)*(PI()*T142^2/4)*((T142/4)^(2/3))*SQRT(P142))</f>
        <v/>
      </c>
      <c r="V142" s="14" t="str">
        <f aca="false">IF(OR(U142="",N142=""),"",N142/(U142*Inputs!$B$10))</f>
        <v/>
      </c>
      <c r="W142" s="14" t="str">
        <f aca="false">IF(OR(T142="",N142=""),"",4*N142/(PI()*T142^2))</f>
        <v/>
      </c>
      <c r="X142" s="14"/>
      <c r="Y142" s="14" t="str">
        <f aca="false">IF(A142="","",IF(A142=Inputs!$B$6,Inputs!$B$22,IF(D142="","",IFERROR(INDEX($Z$4:$Z$203,MATCH(D142,$A$4:$A$203,0))+IF(X142="",Inputs!$B$20,X142),""))))</f>
        <v/>
      </c>
      <c r="Z142" s="14" t="str">
        <f aca="false">IF(OR(Y142="",P142="",E142=""),"",Y142+P142*E142)</f>
        <v/>
      </c>
      <c r="AA142" s="14" t="str">
        <f aca="false">IF(C142="","",IFERROR(INDEX(Noeuds_plan!$C$4:$C$200,MATCH(C142,Noeuds_plan!$A$4:$A$200,0)),""))</f>
        <v/>
      </c>
      <c r="AB142" s="14" t="str">
        <f aca="false">IF(B142="","",IFERROR(INDEX(Noeuds_plan!$C$4:$C$200,MATCH(B142,Noeuds_plan!$A$4:$A$200,0)),""))</f>
        <v/>
      </c>
      <c r="AC142" s="14" t="str">
        <f aca="false">IF(OR(AA142="",Y142=""),"",AA142-Y142)</f>
        <v/>
      </c>
      <c r="AD142" s="14" t="str">
        <f aca="false">IF(OR(AB142="",Z142=""),"",AB142-Z142)</f>
        <v/>
      </c>
      <c r="AE142" s="19" t="str">
        <f aca="false">IF(A142="","",IF(OR(V142&gt;1,AND(AY142&lt;&gt;"",AY142&lt;Inputs!$B$11),AND(AY142&lt;&gt;"",AY142&gt;Inputs!$B$12),AC142&lt;Inputs!$B$19,AD142&lt;Inputs!$B$19,P142&lt;Inputs!$B$7,P142&gt;Inputs!$B$8),"CHECK","OK"))</f>
        <v/>
      </c>
      <c r="AF142" s="9"/>
      <c r="AG142" s="9" t="str">
        <f aca="false">IF(A142="","",(1/Inputs!$B$9)*(PI()*(Inputs!$F$5/1000)^2/4)*((Inputs!$F$5/1000/4)^(2/3))*SQRT(P142))</f>
        <v/>
      </c>
      <c r="AH142" s="9" t="str">
        <f aca="false">IF(A142="","",(1/Inputs!$B$9)*(PI()*(Inputs!$F$6/1000)^2/4)*((Inputs!$F$6/1000/4)^(2/3))*SQRT(P142))</f>
        <v/>
      </c>
      <c r="AI142" s="9" t="str">
        <f aca="false">IF(A142="","",(1/Inputs!$B$9)*(PI()*(Inputs!$F$7/1000)^2/4)*((Inputs!$F$7/1000/4)^(2/3))*SQRT(P142))</f>
        <v/>
      </c>
      <c r="AJ142" s="9" t="str">
        <f aca="false">IF(A142="","",(1/Inputs!$B$9)*(PI()*(Inputs!$F$8/1000)^2/4)*((Inputs!$F$8/1000/4)^(2/3))*SQRT(P142))</f>
        <v/>
      </c>
      <c r="AK142" s="9" t="str">
        <f aca="false">IF(A142="","",(1/Inputs!$B$9)*(PI()*(Inputs!$F$9/1000)^2/4)*((Inputs!$F$9/1000/4)^(2/3))*SQRT(P142))</f>
        <v/>
      </c>
      <c r="AL142" s="9" t="str">
        <f aca="false">IF(A142="","",(1/Inputs!$B$9)*(PI()*(Inputs!$F$10/1000)^2/4)*((Inputs!$F$10/1000/4)^(2/3))*SQRT(P142))</f>
        <v/>
      </c>
      <c r="AM142" s="9" t="str">
        <f aca="false">IF(A142="","",(1/Inputs!$B$9)*(PI()*(Inputs!$F$11/1000)^2/4)*((Inputs!$F$11/1000/4)^(2/3))*SQRT(P142))</f>
        <v/>
      </c>
      <c r="AN142" s="9" t="str">
        <f aca="false">IF(A142="","",(1/Inputs!$B$9)*(PI()*(Inputs!$F$12/1000)^2/4)*((Inputs!$F$12/1000/4)^(2/3))*SQRT(P142))</f>
        <v/>
      </c>
      <c r="AO142" s="9" t="str">
        <f aca="false">IF(A142="","",(1/Inputs!$B$9)*(PI()*(Inputs!$F$13/1000)^2/4)*((Inputs!$F$13/1000/4)^(2/3))*SQRT(P142))</f>
        <v/>
      </c>
      <c r="AP142" s="9" t="str">
        <f aca="false">IF(A142="","",(1/Inputs!$B$9)*(PI()*(Inputs!$F$14/1000)^2/4)*((Inputs!$F$14/1000/4)^(2/3))*SQRT(P142))</f>
        <v/>
      </c>
      <c r="AQ142" s="9" t="str">
        <f aca="false">IF(A142="","",COUNTIF($D$4:$D$203,$A142))</f>
        <v/>
      </c>
      <c r="AR142" s="9" t="str">
        <f aca="false">IF(A142="","",IF(AQ142=0,"START","CONTINUOUS"))</f>
        <v/>
      </c>
      <c r="AS142" s="13" t="str">
        <f aca="false">IF(A142="","",IF(J142="",Inputs!$B$18,J142))</f>
        <v/>
      </c>
      <c r="AT142" s="13" t="str">
        <f aca="false">IF(A142="","",IFERROR(maxifs($AV$4:$AV$203,$D$4:$D$203,$A142),""))</f>
        <v/>
      </c>
      <c r="AU142" s="13" t="str">
        <f aca="false">IF(A142="","",IF(OR(E142="",Inputs!$B$23=""),"",E142/(Inputs!$B$23*60)))</f>
        <v/>
      </c>
      <c r="AV142" s="13" t="str">
        <f aca="false">IF(A142="","",IF(AQ142=0,AS142+AU142,IF(AT142="",AS142+AU142,AT142+AU142)))</f>
        <v/>
      </c>
      <c r="AW142" s="13" t="str">
        <f aca="false">IF(A142="","",W142)</f>
        <v/>
      </c>
      <c r="AX142" s="13" t="str">
        <f aca="false">IF(OR(T142="",P142=""),"",(1/Inputs!$B$9)*((T142/4)^(2/3))*SQRT(P142))</f>
        <v/>
      </c>
      <c r="AY142" s="13" t="str">
        <f aca="false">IF(A142="","",IF(AND(AW142="",AX142="",BA142=""),"",IF(OR(UPPER(TRIM(Inputs!$B$24))="MANNING",UPPER(TRIM(Inputs!$B$24))="M"),AX142,IF(OR(UPPER(TRIM(Inputs!$B$24))="PARTIAL",UPPER(TRIM(Inputs!$B$24))="P"),BA142,IF(OR(UPPER(TRIM(Inputs!$B$24))="MAX",UPPER(TRIM(Inputs!$B$24))="X"),MAX(IF(AW142="",0,AW142),IF(AX142="",0,AX142),IF(BA142="",0,BA142)),AW142)))))</f>
        <v/>
      </c>
      <c r="AZ142" s="13" t="str">
        <f aca="false">IF(BB142="","",CH142)</f>
        <v/>
      </c>
      <c r="BA142" s="13" t="str">
        <f aca="false">IF(OR(BB142="",AZ142="",T142="",T142&lt;=0,AZ142&lt;=0),"",BB142/((T142^2/8)*(2*ACOS(1-2*AZ142/T142)-SIN(2*ACOS(1-2*AZ142/T142)))))</f>
        <v/>
      </c>
      <c r="BB142" s="9" t="str">
        <f aca="false">IF(OR(N142="",BC142=""),"",MIN(N142,BC142))</f>
        <v/>
      </c>
      <c r="BC142" s="9" t="str">
        <f aca="false">IF(OR(N142="",T142="",P142=""),"",IF(OR(T142="",P142="",(0.94*T142)="",T142&lt;=0,(0.94*T142)&lt;=0),"",(1/Inputs!$B$9)*((T142^2/8)*((2*ACOS(1-2*(0.94*T142)/T142))-SIN((2*ACOS(1-2*(0.94*T142)/T142)))))*((((T142^2/8)*((2*ACOS(1-2*(0.94*T142)/T142))-SIN((2*ACOS(1-2*(0.94*T142)/T142)))))/((T142/2)*((2*ACOS(1-2*(0.94*T142)/T142)))))^(2/3))*SQRT(P142)))</f>
        <v/>
      </c>
      <c r="BD142" s="9" t="str">
        <f aca="false">IF(BB142="","",0.001*T142)</f>
        <v/>
      </c>
      <c r="BE142" s="9" t="str">
        <f aca="false">IF(BB142="","",0.94*T142)</f>
        <v/>
      </c>
      <c r="BF142" s="9" t="str">
        <f aca="false">IF(BB142="","",(BD142+BE142)/2)</f>
        <v/>
      </c>
      <c r="BG142" s="9" t="str">
        <f aca="false">IF(OR(T142="",P142="",BF142="",T142&lt;=0,BF142&lt;=0),"",(1/Inputs!$B$9)*((T142^2/8)*((2*ACOS(1-2*BF142/T142))-SIN((2*ACOS(1-2*BF142/T142)))))*((((T142^2/8)*((2*ACOS(1-2*BF142/T142))-SIN((2*ACOS(1-2*BF142/T142)))))/((T142/2)*((2*ACOS(1-2*BF142/T142)))))^(2/3))*SQRT(P142))</f>
        <v/>
      </c>
      <c r="BH142" s="9" t="str">
        <f aca="false">IF(BB142="","",IF(BG142&lt;BB142,BF142,BD142))</f>
        <v/>
      </c>
      <c r="BI142" s="9" t="str">
        <f aca="false">IF(BB142="","",IF(BG142&lt;BB142,BE142,BF142))</f>
        <v/>
      </c>
      <c r="BJ142" s="9" t="str">
        <f aca="false">IF(BB142="","",(BH142+BI142)/2)</f>
        <v/>
      </c>
      <c r="BK142" s="9" t="str">
        <f aca="false">IF(OR(T142="",P142="",BJ142="",T142&lt;=0,BJ142&lt;=0),"",(1/Inputs!$B$9)*((T142^2/8)*((2*ACOS(1-2*BJ142/T142))-SIN((2*ACOS(1-2*BJ142/T142)))))*((((T142^2/8)*((2*ACOS(1-2*BJ142/T142))-SIN((2*ACOS(1-2*BJ142/T142)))))/((T142/2)*((2*ACOS(1-2*BJ142/T142)))))^(2/3))*SQRT(P142))</f>
        <v/>
      </c>
      <c r="BL142" s="9" t="str">
        <f aca="false">IF(BB142="","",IF(BK142&lt;BB142,BJ142,BH142))</f>
        <v/>
      </c>
      <c r="BM142" s="9" t="str">
        <f aca="false">IF(BB142="","",IF(BK142&lt;BB142,BI142,BJ142))</f>
        <v/>
      </c>
      <c r="BN142" s="9" t="str">
        <f aca="false">IF(BB142="","",(BL142+BM142)/2)</f>
        <v/>
      </c>
      <c r="BO142" s="9" t="str">
        <f aca="false">IF(OR(T142="",P142="",BN142="",T142&lt;=0,BN142&lt;=0),"",(1/Inputs!$B$9)*((T142^2/8)*((2*ACOS(1-2*BN142/T142))-SIN((2*ACOS(1-2*BN142/T142)))))*((((T142^2/8)*((2*ACOS(1-2*BN142/T142))-SIN((2*ACOS(1-2*BN142/T142)))))/((T142/2)*((2*ACOS(1-2*BN142/T142)))))^(2/3))*SQRT(P142))</f>
        <v/>
      </c>
      <c r="BP142" s="9" t="str">
        <f aca="false">IF(BB142="","",IF(BO142&lt;BB142,BN142,BL142))</f>
        <v/>
      </c>
      <c r="BQ142" s="9" t="str">
        <f aca="false">IF(BB142="","",IF(BO142&lt;BB142,BM142,BN142))</f>
        <v/>
      </c>
      <c r="BR142" s="9" t="str">
        <f aca="false">IF(BB142="","",(BP142+BQ142)/2)</f>
        <v/>
      </c>
      <c r="BS142" s="9" t="str">
        <f aca="false">IF(OR(T142="",P142="",BR142="",T142&lt;=0,BR142&lt;=0),"",(1/Inputs!$B$9)*((T142^2/8)*((2*ACOS(1-2*BR142/T142))-SIN((2*ACOS(1-2*BR142/T142)))))*((((T142^2/8)*((2*ACOS(1-2*BR142/T142))-SIN((2*ACOS(1-2*BR142/T142)))))/((T142/2)*((2*ACOS(1-2*BR142/T142)))))^(2/3))*SQRT(P142))</f>
        <v/>
      </c>
      <c r="BT142" s="9" t="str">
        <f aca="false">IF(BB142="","",IF(BS142&lt;BB142,BR142,BP142))</f>
        <v/>
      </c>
      <c r="BU142" s="9" t="str">
        <f aca="false">IF(BB142="","",IF(BS142&lt;BB142,BQ142,BR142))</f>
        <v/>
      </c>
      <c r="BV142" s="9" t="str">
        <f aca="false">IF(BB142="","",(BT142+BU142)/2)</f>
        <v/>
      </c>
      <c r="BW142" s="9" t="str">
        <f aca="false">IF(OR(T142="",P142="",BV142="",T142&lt;=0,BV142&lt;=0),"",(1/Inputs!$B$9)*((T142^2/8)*((2*ACOS(1-2*BV142/T142))-SIN((2*ACOS(1-2*BV142/T142)))))*((((T142^2/8)*((2*ACOS(1-2*BV142/T142))-SIN((2*ACOS(1-2*BV142/T142)))))/((T142/2)*((2*ACOS(1-2*BV142/T142)))))^(2/3))*SQRT(P142))</f>
        <v/>
      </c>
      <c r="BX142" s="9" t="str">
        <f aca="false">IF(BB142="","",IF(BW142&lt;BB142,BV142,BT142))</f>
        <v/>
      </c>
      <c r="BY142" s="9" t="str">
        <f aca="false">IF(BB142="","",IF(BW142&lt;BB142,BU142,BV142))</f>
        <v/>
      </c>
      <c r="BZ142" s="9" t="str">
        <f aca="false">IF(BB142="","",(BX142+BY142)/2)</f>
        <v/>
      </c>
      <c r="CA142" s="9" t="str">
        <f aca="false">IF(OR(T142="",P142="",BZ142="",T142&lt;=0,BZ142&lt;=0),"",(1/Inputs!$B$9)*((T142^2/8)*((2*ACOS(1-2*BZ142/T142))-SIN((2*ACOS(1-2*BZ142/T142)))))*((((T142^2/8)*((2*ACOS(1-2*BZ142/T142))-SIN((2*ACOS(1-2*BZ142/T142)))))/((T142/2)*((2*ACOS(1-2*BZ142/T142)))))^(2/3))*SQRT(P142))</f>
        <v/>
      </c>
      <c r="CB142" s="9" t="str">
        <f aca="false">IF(BB142="","",IF(CA142&lt;BB142,BZ142,BX142))</f>
        <v/>
      </c>
      <c r="CC142" s="9" t="str">
        <f aca="false">IF(BB142="","",IF(CA142&lt;BB142,BY142,BZ142))</f>
        <v/>
      </c>
      <c r="CD142" s="9" t="str">
        <f aca="false">IF(BB142="","",(CB142+CC142)/2)</f>
        <v/>
      </c>
      <c r="CE142" s="9" t="str">
        <f aca="false">IF(OR(T142="",P142="",CD142="",T142&lt;=0,CD142&lt;=0),"",(1/Inputs!$B$9)*((T142^2/8)*((2*ACOS(1-2*CD142/T142))-SIN((2*ACOS(1-2*CD142/T142)))))*((((T142^2/8)*((2*ACOS(1-2*CD142/T142))-SIN((2*ACOS(1-2*CD142/T142)))))/((T142/2)*((2*ACOS(1-2*CD142/T142)))))^(2/3))*SQRT(P142))</f>
        <v/>
      </c>
      <c r="CF142" s="9" t="str">
        <f aca="false">IF(BB142="","",IF(CE142&lt;BB142,CD142,CB142))</f>
        <v/>
      </c>
      <c r="CG142" s="9" t="str">
        <f aca="false">IF(BB142="","",IF(CE142&lt;BB142,CC142,CD142))</f>
        <v/>
      </c>
      <c r="CH142" s="9" t="str">
        <f aca="false">IF(BB142="","",(CF142+CG142)/2)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14"/>
      <c r="F143" s="14"/>
      <c r="G143" s="14" t="n">
        <f aca="false">SUMIFS(CB_plan!$C:$C,CB_plan!$B:$B,$A143)</f>
        <v>0</v>
      </c>
      <c r="H143" s="14" t="n">
        <f aca="false">IF(F143="",G143,F143)</f>
        <v>0</v>
      </c>
      <c r="I143" s="9"/>
      <c r="J143" s="14"/>
      <c r="K143" s="14" t="str">
        <f aca="false">IF(A143="","",Inputs!$B$13/((IF(AV143="",Inputs!$B$18,AV143)+Inputs!$B$14)^Inputs!$B$15))</f>
        <v/>
      </c>
      <c r="L143" s="14" t="str">
        <f aca="false">IF(A143="","",0.000000278*IF(I143="",Inputs!$B$17,I143)*H143*K143)</f>
        <v/>
      </c>
      <c r="M143" s="14" t="str">
        <f aca="false">IF(A143="","",SUMIFS($N$4:$N$203,$D$4:$D$203,$A143))</f>
        <v/>
      </c>
      <c r="N143" s="14" t="str">
        <f aca="false">IF(A143="","",(L143+M143)*Inputs!$B$16)</f>
        <v/>
      </c>
      <c r="O143" s="14"/>
      <c r="P143" s="14" t="str">
        <f aca="false">IF(A143="","",IF(O143="",Inputs!$B$7,O143))</f>
        <v/>
      </c>
      <c r="Q143" s="9" t="str">
        <f aca="false">IF(A143="","",IF(N143/Inputs!$B$10&lt;=AG143,Inputs!$F$5,IF(N143/Inputs!$B$10&gt;AP143,"OVERSIZE",INDEX(Inputs!$F$5:$F$14,MATCH(N143/Inputs!$B$10,AG143:AP143,1)+1))))</f>
        <v/>
      </c>
      <c r="R143" s="9"/>
      <c r="S143" s="9" t="str">
        <f aca="false">IF(A143="","",IF(R143="",Q143,R143))</f>
        <v/>
      </c>
      <c r="T143" s="14" t="str">
        <f aca="false">IF(OR(S143="",S143="OVERSIZE"),"",S143/1000)</f>
        <v/>
      </c>
      <c r="U143" s="14" t="str">
        <f aca="false">IF(T143="","",(1/Inputs!$B$9)*(PI()*T143^2/4)*((T143/4)^(2/3))*SQRT(P143))</f>
        <v/>
      </c>
      <c r="V143" s="14" t="str">
        <f aca="false">IF(OR(U143="",N143=""),"",N143/(U143*Inputs!$B$10))</f>
        <v/>
      </c>
      <c r="W143" s="14" t="str">
        <f aca="false">IF(OR(T143="",N143=""),"",4*N143/(PI()*T143^2))</f>
        <v/>
      </c>
      <c r="X143" s="14"/>
      <c r="Y143" s="14" t="str">
        <f aca="false">IF(A143="","",IF(A143=Inputs!$B$6,Inputs!$B$22,IF(D143="","",IFERROR(INDEX($Z$4:$Z$203,MATCH(D143,$A$4:$A$203,0))+IF(X143="",Inputs!$B$20,X143),""))))</f>
        <v/>
      </c>
      <c r="Z143" s="14" t="str">
        <f aca="false">IF(OR(Y143="",P143="",E143=""),"",Y143+P143*E143)</f>
        <v/>
      </c>
      <c r="AA143" s="14" t="str">
        <f aca="false">IF(C143="","",IFERROR(INDEX(Noeuds_plan!$C$4:$C$200,MATCH(C143,Noeuds_plan!$A$4:$A$200,0)),""))</f>
        <v/>
      </c>
      <c r="AB143" s="14" t="str">
        <f aca="false">IF(B143="","",IFERROR(INDEX(Noeuds_plan!$C$4:$C$200,MATCH(B143,Noeuds_plan!$A$4:$A$200,0)),""))</f>
        <v/>
      </c>
      <c r="AC143" s="14" t="str">
        <f aca="false">IF(OR(AA143="",Y143=""),"",AA143-Y143)</f>
        <v/>
      </c>
      <c r="AD143" s="14" t="str">
        <f aca="false">IF(OR(AB143="",Z143=""),"",AB143-Z143)</f>
        <v/>
      </c>
      <c r="AE143" s="19" t="str">
        <f aca="false">IF(A143="","",IF(OR(V143&gt;1,AND(AY143&lt;&gt;"",AY143&lt;Inputs!$B$11),AND(AY143&lt;&gt;"",AY143&gt;Inputs!$B$12),AC143&lt;Inputs!$B$19,AD143&lt;Inputs!$B$19,P143&lt;Inputs!$B$7,P143&gt;Inputs!$B$8),"CHECK","OK"))</f>
        <v/>
      </c>
      <c r="AF143" s="9"/>
      <c r="AG143" s="9" t="str">
        <f aca="false">IF(A143="","",(1/Inputs!$B$9)*(PI()*(Inputs!$F$5/1000)^2/4)*((Inputs!$F$5/1000/4)^(2/3))*SQRT(P143))</f>
        <v/>
      </c>
      <c r="AH143" s="9" t="str">
        <f aca="false">IF(A143="","",(1/Inputs!$B$9)*(PI()*(Inputs!$F$6/1000)^2/4)*((Inputs!$F$6/1000/4)^(2/3))*SQRT(P143))</f>
        <v/>
      </c>
      <c r="AI143" s="9" t="str">
        <f aca="false">IF(A143="","",(1/Inputs!$B$9)*(PI()*(Inputs!$F$7/1000)^2/4)*((Inputs!$F$7/1000/4)^(2/3))*SQRT(P143))</f>
        <v/>
      </c>
      <c r="AJ143" s="9" t="str">
        <f aca="false">IF(A143="","",(1/Inputs!$B$9)*(PI()*(Inputs!$F$8/1000)^2/4)*((Inputs!$F$8/1000/4)^(2/3))*SQRT(P143))</f>
        <v/>
      </c>
      <c r="AK143" s="9" t="str">
        <f aca="false">IF(A143="","",(1/Inputs!$B$9)*(PI()*(Inputs!$F$9/1000)^2/4)*((Inputs!$F$9/1000/4)^(2/3))*SQRT(P143))</f>
        <v/>
      </c>
      <c r="AL143" s="9" t="str">
        <f aca="false">IF(A143="","",(1/Inputs!$B$9)*(PI()*(Inputs!$F$10/1000)^2/4)*((Inputs!$F$10/1000/4)^(2/3))*SQRT(P143))</f>
        <v/>
      </c>
      <c r="AM143" s="9" t="str">
        <f aca="false">IF(A143="","",(1/Inputs!$B$9)*(PI()*(Inputs!$F$11/1000)^2/4)*((Inputs!$F$11/1000/4)^(2/3))*SQRT(P143))</f>
        <v/>
      </c>
      <c r="AN143" s="9" t="str">
        <f aca="false">IF(A143="","",(1/Inputs!$B$9)*(PI()*(Inputs!$F$12/1000)^2/4)*((Inputs!$F$12/1000/4)^(2/3))*SQRT(P143))</f>
        <v/>
      </c>
      <c r="AO143" s="9" t="str">
        <f aca="false">IF(A143="","",(1/Inputs!$B$9)*(PI()*(Inputs!$F$13/1000)^2/4)*((Inputs!$F$13/1000/4)^(2/3))*SQRT(P143))</f>
        <v/>
      </c>
      <c r="AP143" s="9" t="str">
        <f aca="false">IF(A143="","",(1/Inputs!$B$9)*(PI()*(Inputs!$F$14/1000)^2/4)*((Inputs!$F$14/1000/4)^(2/3))*SQRT(P143))</f>
        <v/>
      </c>
      <c r="AQ143" s="9" t="str">
        <f aca="false">IF(A143="","",COUNTIF($D$4:$D$203,$A143))</f>
        <v/>
      </c>
      <c r="AR143" s="9" t="str">
        <f aca="false">IF(A143="","",IF(AQ143=0,"START","CONTINUOUS"))</f>
        <v/>
      </c>
      <c r="AS143" s="13" t="str">
        <f aca="false">IF(A143="","",IF(J143="",Inputs!$B$18,J143))</f>
        <v/>
      </c>
      <c r="AT143" s="13" t="str">
        <f aca="false">IF(A143="","",IFERROR(maxifs($AV$4:$AV$203,$D$4:$D$203,$A143),""))</f>
        <v/>
      </c>
      <c r="AU143" s="13" t="str">
        <f aca="false">IF(A143="","",IF(OR(E143="",Inputs!$B$23=""),"",E143/(Inputs!$B$23*60)))</f>
        <v/>
      </c>
      <c r="AV143" s="13" t="str">
        <f aca="false">IF(A143="","",IF(AQ143=0,AS143+AU143,IF(AT143="",AS143+AU143,AT143+AU143)))</f>
        <v/>
      </c>
      <c r="AW143" s="13" t="str">
        <f aca="false">IF(A143="","",W143)</f>
        <v/>
      </c>
      <c r="AX143" s="13" t="str">
        <f aca="false">IF(OR(T143="",P143=""),"",(1/Inputs!$B$9)*((T143/4)^(2/3))*SQRT(P143))</f>
        <v/>
      </c>
      <c r="AY143" s="13" t="str">
        <f aca="false">IF(A143="","",IF(AND(AW143="",AX143="",BA143=""),"",IF(OR(UPPER(TRIM(Inputs!$B$24))="MANNING",UPPER(TRIM(Inputs!$B$24))="M"),AX143,IF(OR(UPPER(TRIM(Inputs!$B$24))="PARTIAL",UPPER(TRIM(Inputs!$B$24))="P"),BA143,IF(OR(UPPER(TRIM(Inputs!$B$24))="MAX",UPPER(TRIM(Inputs!$B$24))="X"),MAX(IF(AW143="",0,AW143),IF(AX143="",0,AX143),IF(BA143="",0,BA143)),AW143)))))</f>
        <v/>
      </c>
      <c r="AZ143" s="13" t="str">
        <f aca="false">IF(BB143="","",CH143)</f>
        <v/>
      </c>
      <c r="BA143" s="13" t="str">
        <f aca="false">IF(OR(BB143="",AZ143="",T143="",T143&lt;=0,AZ143&lt;=0),"",BB143/((T143^2/8)*(2*ACOS(1-2*AZ143/T143)-SIN(2*ACOS(1-2*AZ143/T143)))))</f>
        <v/>
      </c>
      <c r="BB143" s="9" t="str">
        <f aca="false">IF(OR(N143="",BC143=""),"",MIN(N143,BC143))</f>
        <v/>
      </c>
      <c r="BC143" s="9" t="str">
        <f aca="false">IF(OR(N143="",T143="",P143=""),"",IF(OR(T143="",P143="",(0.94*T143)="",T143&lt;=0,(0.94*T143)&lt;=0),"",(1/Inputs!$B$9)*((T143^2/8)*((2*ACOS(1-2*(0.94*T143)/T143))-SIN((2*ACOS(1-2*(0.94*T143)/T143)))))*((((T143^2/8)*((2*ACOS(1-2*(0.94*T143)/T143))-SIN((2*ACOS(1-2*(0.94*T143)/T143)))))/((T143/2)*((2*ACOS(1-2*(0.94*T143)/T143)))))^(2/3))*SQRT(P143)))</f>
        <v/>
      </c>
      <c r="BD143" s="9" t="str">
        <f aca="false">IF(BB143="","",0.001*T143)</f>
        <v/>
      </c>
      <c r="BE143" s="9" t="str">
        <f aca="false">IF(BB143="","",0.94*T143)</f>
        <v/>
      </c>
      <c r="BF143" s="9" t="str">
        <f aca="false">IF(BB143="","",(BD143+BE143)/2)</f>
        <v/>
      </c>
      <c r="BG143" s="9" t="str">
        <f aca="false">IF(OR(T143="",P143="",BF143="",T143&lt;=0,BF143&lt;=0),"",(1/Inputs!$B$9)*((T143^2/8)*((2*ACOS(1-2*BF143/T143))-SIN((2*ACOS(1-2*BF143/T143)))))*((((T143^2/8)*((2*ACOS(1-2*BF143/T143))-SIN((2*ACOS(1-2*BF143/T143)))))/((T143/2)*((2*ACOS(1-2*BF143/T143)))))^(2/3))*SQRT(P143))</f>
        <v/>
      </c>
      <c r="BH143" s="9" t="str">
        <f aca="false">IF(BB143="","",IF(BG143&lt;BB143,BF143,BD143))</f>
        <v/>
      </c>
      <c r="BI143" s="9" t="str">
        <f aca="false">IF(BB143="","",IF(BG143&lt;BB143,BE143,BF143))</f>
        <v/>
      </c>
      <c r="BJ143" s="9" t="str">
        <f aca="false">IF(BB143="","",(BH143+BI143)/2)</f>
        <v/>
      </c>
      <c r="BK143" s="9" t="str">
        <f aca="false">IF(OR(T143="",P143="",BJ143="",T143&lt;=0,BJ143&lt;=0),"",(1/Inputs!$B$9)*((T143^2/8)*((2*ACOS(1-2*BJ143/T143))-SIN((2*ACOS(1-2*BJ143/T143)))))*((((T143^2/8)*((2*ACOS(1-2*BJ143/T143))-SIN((2*ACOS(1-2*BJ143/T143)))))/((T143/2)*((2*ACOS(1-2*BJ143/T143)))))^(2/3))*SQRT(P143))</f>
        <v/>
      </c>
      <c r="BL143" s="9" t="str">
        <f aca="false">IF(BB143="","",IF(BK143&lt;BB143,BJ143,BH143))</f>
        <v/>
      </c>
      <c r="BM143" s="9" t="str">
        <f aca="false">IF(BB143="","",IF(BK143&lt;BB143,BI143,BJ143))</f>
        <v/>
      </c>
      <c r="BN143" s="9" t="str">
        <f aca="false">IF(BB143="","",(BL143+BM143)/2)</f>
        <v/>
      </c>
      <c r="BO143" s="9" t="str">
        <f aca="false">IF(OR(T143="",P143="",BN143="",T143&lt;=0,BN143&lt;=0),"",(1/Inputs!$B$9)*((T143^2/8)*((2*ACOS(1-2*BN143/T143))-SIN((2*ACOS(1-2*BN143/T143)))))*((((T143^2/8)*((2*ACOS(1-2*BN143/T143))-SIN((2*ACOS(1-2*BN143/T143)))))/((T143/2)*((2*ACOS(1-2*BN143/T143)))))^(2/3))*SQRT(P143))</f>
        <v/>
      </c>
      <c r="BP143" s="9" t="str">
        <f aca="false">IF(BB143="","",IF(BO143&lt;BB143,BN143,BL143))</f>
        <v/>
      </c>
      <c r="BQ143" s="9" t="str">
        <f aca="false">IF(BB143="","",IF(BO143&lt;BB143,BM143,BN143))</f>
        <v/>
      </c>
      <c r="BR143" s="9" t="str">
        <f aca="false">IF(BB143="","",(BP143+BQ143)/2)</f>
        <v/>
      </c>
      <c r="BS143" s="9" t="str">
        <f aca="false">IF(OR(T143="",P143="",BR143="",T143&lt;=0,BR143&lt;=0),"",(1/Inputs!$B$9)*((T143^2/8)*((2*ACOS(1-2*BR143/T143))-SIN((2*ACOS(1-2*BR143/T143)))))*((((T143^2/8)*((2*ACOS(1-2*BR143/T143))-SIN((2*ACOS(1-2*BR143/T143)))))/((T143/2)*((2*ACOS(1-2*BR143/T143)))))^(2/3))*SQRT(P143))</f>
        <v/>
      </c>
      <c r="BT143" s="9" t="str">
        <f aca="false">IF(BB143="","",IF(BS143&lt;BB143,BR143,BP143))</f>
        <v/>
      </c>
      <c r="BU143" s="9" t="str">
        <f aca="false">IF(BB143="","",IF(BS143&lt;BB143,BQ143,BR143))</f>
        <v/>
      </c>
      <c r="BV143" s="9" t="str">
        <f aca="false">IF(BB143="","",(BT143+BU143)/2)</f>
        <v/>
      </c>
      <c r="BW143" s="9" t="str">
        <f aca="false">IF(OR(T143="",P143="",BV143="",T143&lt;=0,BV143&lt;=0),"",(1/Inputs!$B$9)*((T143^2/8)*((2*ACOS(1-2*BV143/T143))-SIN((2*ACOS(1-2*BV143/T143)))))*((((T143^2/8)*((2*ACOS(1-2*BV143/T143))-SIN((2*ACOS(1-2*BV143/T143)))))/((T143/2)*((2*ACOS(1-2*BV143/T143)))))^(2/3))*SQRT(P143))</f>
        <v/>
      </c>
      <c r="BX143" s="9" t="str">
        <f aca="false">IF(BB143="","",IF(BW143&lt;BB143,BV143,BT143))</f>
        <v/>
      </c>
      <c r="BY143" s="9" t="str">
        <f aca="false">IF(BB143="","",IF(BW143&lt;BB143,BU143,BV143))</f>
        <v/>
      </c>
      <c r="BZ143" s="9" t="str">
        <f aca="false">IF(BB143="","",(BX143+BY143)/2)</f>
        <v/>
      </c>
      <c r="CA143" s="9" t="str">
        <f aca="false">IF(OR(T143="",P143="",BZ143="",T143&lt;=0,BZ143&lt;=0),"",(1/Inputs!$B$9)*((T143^2/8)*((2*ACOS(1-2*BZ143/T143))-SIN((2*ACOS(1-2*BZ143/T143)))))*((((T143^2/8)*((2*ACOS(1-2*BZ143/T143))-SIN((2*ACOS(1-2*BZ143/T143)))))/((T143/2)*((2*ACOS(1-2*BZ143/T143)))))^(2/3))*SQRT(P143))</f>
        <v/>
      </c>
      <c r="CB143" s="9" t="str">
        <f aca="false">IF(BB143="","",IF(CA143&lt;BB143,BZ143,BX143))</f>
        <v/>
      </c>
      <c r="CC143" s="9" t="str">
        <f aca="false">IF(BB143="","",IF(CA143&lt;BB143,BY143,BZ143))</f>
        <v/>
      </c>
      <c r="CD143" s="9" t="str">
        <f aca="false">IF(BB143="","",(CB143+CC143)/2)</f>
        <v/>
      </c>
      <c r="CE143" s="9" t="str">
        <f aca="false">IF(OR(T143="",P143="",CD143="",T143&lt;=0,CD143&lt;=0),"",(1/Inputs!$B$9)*((T143^2/8)*((2*ACOS(1-2*CD143/T143))-SIN((2*ACOS(1-2*CD143/T143)))))*((((T143^2/8)*((2*ACOS(1-2*CD143/T143))-SIN((2*ACOS(1-2*CD143/T143)))))/((T143/2)*((2*ACOS(1-2*CD143/T143)))))^(2/3))*SQRT(P143))</f>
        <v/>
      </c>
      <c r="CF143" s="9" t="str">
        <f aca="false">IF(BB143="","",IF(CE143&lt;BB143,CD143,CB143))</f>
        <v/>
      </c>
      <c r="CG143" s="9" t="str">
        <f aca="false">IF(BB143="","",IF(CE143&lt;BB143,CC143,CD143))</f>
        <v/>
      </c>
      <c r="CH143" s="9" t="str">
        <f aca="false">IF(BB143="","",(CF143+CG143)/2)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14"/>
      <c r="F144" s="14"/>
      <c r="G144" s="14" t="n">
        <f aca="false">SUMIFS(CB_plan!$C:$C,CB_plan!$B:$B,$A144)</f>
        <v>0</v>
      </c>
      <c r="H144" s="14" t="n">
        <f aca="false">IF(F144="",G144,F144)</f>
        <v>0</v>
      </c>
      <c r="I144" s="9"/>
      <c r="J144" s="14"/>
      <c r="K144" s="14" t="str">
        <f aca="false">IF(A144="","",Inputs!$B$13/((IF(AV144="",Inputs!$B$18,AV144)+Inputs!$B$14)^Inputs!$B$15))</f>
        <v/>
      </c>
      <c r="L144" s="14" t="str">
        <f aca="false">IF(A144="","",0.000000278*IF(I144="",Inputs!$B$17,I144)*H144*K144)</f>
        <v/>
      </c>
      <c r="M144" s="14" t="str">
        <f aca="false">IF(A144="","",SUMIFS($N$4:$N$203,$D$4:$D$203,$A144))</f>
        <v/>
      </c>
      <c r="N144" s="14" t="str">
        <f aca="false">IF(A144="","",(L144+M144)*Inputs!$B$16)</f>
        <v/>
      </c>
      <c r="O144" s="14"/>
      <c r="P144" s="14" t="str">
        <f aca="false">IF(A144="","",IF(O144="",Inputs!$B$7,O144))</f>
        <v/>
      </c>
      <c r="Q144" s="9" t="str">
        <f aca="false">IF(A144="","",IF(N144/Inputs!$B$10&lt;=AG144,Inputs!$F$5,IF(N144/Inputs!$B$10&gt;AP144,"OVERSIZE",INDEX(Inputs!$F$5:$F$14,MATCH(N144/Inputs!$B$10,AG144:AP144,1)+1))))</f>
        <v/>
      </c>
      <c r="R144" s="9"/>
      <c r="S144" s="9" t="str">
        <f aca="false">IF(A144="","",IF(R144="",Q144,R144))</f>
        <v/>
      </c>
      <c r="T144" s="14" t="str">
        <f aca="false">IF(OR(S144="",S144="OVERSIZE"),"",S144/1000)</f>
        <v/>
      </c>
      <c r="U144" s="14" t="str">
        <f aca="false">IF(T144="","",(1/Inputs!$B$9)*(PI()*T144^2/4)*((T144/4)^(2/3))*SQRT(P144))</f>
        <v/>
      </c>
      <c r="V144" s="14" t="str">
        <f aca="false">IF(OR(U144="",N144=""),"",N144/(U144*Inputs!$B$10))</f>
        <v/>
      </c>
      <c r="W144" s="14" t="str">
        <f aca="false">IF(OR(T144="",N144=""),"",4*N144/(PI()*T144^2))</f>
        <v/>
      </c>
      <c r="X144" s="14"/>
      <c r="Y144" s="14" t="str">
        <f aca="false">IF(A144="","",IF(A144=Inputs!$B$6,Inputs!$B$22,IF(D144="","",IFERROR(INDEX($Z$4:$Z$203,MATCH(D144,$A$4:$A$203,0))+IF(X144="",Inputs!$B$20,X144),""))))</f>
        <v/>
      </c>
      <c r="Z144" s="14" t="str">
        <f aca="false">IF(OR(Y144="",P144="",E144=""),"",Y144+P144*E144)</f>
        <v/>
      </c>
      <c r="AA144" s="14" t="str">
        <f aca="false">IF(C144="","",IFERROR(INDEX(Noeuds_plan!$C$4:$C$200,MATCH(C144,Noeuds_plan!$A$4:$A$200,0)),""))</f>
        <v/>
      </c>
      <c r="AB144" s="14" t="str">
        <f aca="false">IF(B144="","",IFERROR(INDEX(Noeuds_plan!$C$4:$C$200,MATCH(B144,Noeuds_plan!$A$4:$A$200,0)),""))</f>
        <v/>
      </c>
      <c r="AC144" s="14" t="str">
        <f aca="false">IF(OR(AA144="",Y144=""),"",AA144-Y144)</f>
        <v/>
      </c>
      <c r="AD144" s="14" t="str">
        <f aca="false">IF(OR(AB144="",Z144=""),"",AB144-Z144)</f>
        <v/>
      </c>
      <c r="AE144" s="19" t="str">
        <f aca="false">IF(A144="","",IF(OR(V144&gt;1,AND(AY144&lt;&gt;"",AY144&lt;Inputs!$B$11),AND(AY144&lt;&gt;"",AY144&gt;Inputs!$B$12),AC144&lt;Inputs!$B$19,AD144&lt;Inputs!$B$19,P144&lt;Inputs!$B$7,P144&gt;Inputs!$B$8),"CHECK","OK"))</f>
        <v/>
      </c>
      <c r="AF144" s="9"/>
      <c r="AG144" s="9" t="str">
        <f aca="false">IF(A144="","",(1/Inputs!$B$9)*(PI()*(Inputs!$F$5/1000)^2/4)*((Inputs!$F$5/1000/4)^(2/3))*SQRT(P144))</f>
        <v/>
      </c>
      <c r="AH144" s="9" t="str">
        <f aca="false">IF(A144="","",(1/Inputs!$B$9)*(PI()*(Inputs!$F$6/1000)^2/4)*((Inputs!$F$6/1000/4)^(2/3))*SQRT(P144))</f>
        <v/>
      </c>
      <c r="AI144" s="9" t="str">
        <f aca="false">IF(A144="","",(1/Inputs!$B$9)*(PI()*(Inputs!$F$7/1000)^2/4)*((Inputs!$F$7/1000/4)^(2/3))*SQRT(P144))</f>
        <v/>
      </c>
      <c r="AJ144" s="9" t="str">
        <f aca="false">IF(A144="","",(1/Inputs!$B$9)*(PI()*(Inputs!$F$8/1000)^2/4)*((Inputs!$F$8/1000/4)^(2/3))*SQRT(P144))</f>
        <v/>
      </c>
      <c r="AK144" s="9" t="str">
        <f aca="false">IF(A144="","",(1/Inputs!$B$9)*(PI()*(Inputs!$F$9/1000)^2/4)*((Inputs!$F$9/1000/4)^(2/3))*SQRT(P144))</f>
        <v/>
      </c>
      <c r="AL144" s="9" t="str">
        <f aca="false">IF(A144="","",(1/Inputs!$B$9)*(PI()*(Inputs!$F$10/1000)^2/4)*((Inputs!$F$10/1000/4)^(2/3))*SQRT(P144))</f>
        <v/>
      </c>
      <c r="AM144" s="9" t="str">
        <f aca="false">IF(A144="","",(1/Inputs!$B$9)*(PI()*(Inputs!$F$11/1000)^2/4)*((Inputs!$F$11/1000/4)^(2/3))*SQRT(P144))</f>
        <v/>
      </c>
      <c r="AN144" s="9" t="str">
        <f aca="false">IF(A144="","",(1/Inputs!$B$9)*(PI()*(Inputs!$F$12/1000)^2/4)*((Inputs!$F$12/1000/4)^(2/3))*SQRT(P144))</f>
        <v/>
      </c>
      <c r="AO144" s="9" t="str">
        <f aca="false">IF(A144="","",(1/Inputs!$B$9)*(PI()*(Inputs!$F$13/1000)^2/4)*((Inputs!$F$13/1000/4)^(2/3))*SQRT(P144))</f>
        <v/>
      </c>
      <c r="AP144" s="9" t="str">
        <f aca="false">IF(A144="","",(1/Inputs!$B$9)*(PI()*(Inputs!$F$14/1000)^2/4)*((Inputs!$F$14/1000/4)^(2/3))*SQRT(P144))</f>
        <v/>
      </c>
      <c r="AQ144" s="9" t="str">
        <f aca="false">IF(A144="","",COUNTIF($D$4:$D$203,$A144))</f>
        <v/>
      </c>
      <c r="AR144" s="9" t="str">
        <f aca="false">IF(A144="","",IF(AQ144=0,"START","CONTINUOUS"))</f>
        <v/>
      </c>
      <c r="AS144" s="13" t="str">
        <f aca="false">IF(A144="","",IF(J144="",Inputs!$B$18,J144))</f>
        <v/>
      </c>
      <c r="AT144" s="13" t="str">
        <f aca="false">IF(A144="","",IFERROR(maxifs($AV$4:$AV$203,$D$4:$D$203,$A144),""))</f>
        <v/>
      </c>
      <c r="AU144" s="13" t="str">
        <f aca="false">IF(A144="","",IF(OR(E144="",Inputs!$B$23=""),"",E144/(Inputs!$B$23*60)))</f>
        <v/>
      </c>
      <c r="AV144" s="13" t="str">
        <f aca="false">IF(A144="","",IF(AQ144=0,AS144+AU144,IF(AT144="",AS144+AU144,AT144+AU144)))</f>
        <v/>
      </c>
      <c r="AW144" s="13" t="str">
        <f aca="false">IF(A144="","",W144)</f>
        <v/>
      </c>
      <c r="AX144" s="13" t="str">
        <f aca="false">IF(OR(T144="",P144=""),"",(1/Inputs!$B$9)*((T144/4)^(2/3))*SQRT(P144))</f>
        <v/>
      </c>
      <c r="AY144" s="13" t="str">
        <f aca="false">IF(A144="","",IF(AND(AW144="",AX144="",BA144=""),"",IF(OR(UPPER(TRIM(Inputs!$B$24))="MANNING",UPPER(TRIM(Inputs!$B$24))="M"),AX144,IF(OR(UPPER(TRIM(Inputs!$B$24))="PARTIAL",UPPER(TRIM(Inputs!$B$24))="P"),BA144,IF(OR(UPPER(TRIM(Inputs!$B$24))="MAX",UPPER(TRIM(Inputs!$B$24))="X"),MAX(IF(AW144="",0,AW144),IF(AX144="",0,AX144),IF(BA144="",0,BA144)),AW144)))))</f>
        <v/>
      </c>
      <c r="AZ144" s="13" t="str">
        <f aca="false">IF(BB144="","",CH144)</f>
        <v/>
      </c>
      <c r="BA144" s="13" t="str">
        <f aca="false">IF(OR(BB144="",AZ144="",T144="",T144&lt;=0,AZ144&lt;=0),"",BB144/((T144^2/8)*(2*ACOS(1-2*AZ144/T144)-SIN(2*ACOS(1-2*AZ144/T144)))))</f>
        <v/>
      </c>
      <c r="BB144" s="9" t="str">
        <f aca="false">IF(OR(N144="",BC144=""),"",MIN(N144,BC144))</f>
        <v/>
      </c>
      <c r="BC144" s="9" t="str">
        <f aca="false">IF(OR(N144="",T144="",P144=""),"",IF(OR(T144="",P144="",(0.94*T144)="",T144&lt;=0,(0.94*T144)&lt;=0),"",(1/Inputs!$B$9)*((T144^2/8)*((2*ACOS(1-2*(0.94*T144)/T144))-SIN((2*ACOS(1-2*(0.94*T144)/T144)))))*((((T144^2/8)*((2*ACOS(1-2*(0.94*T144)/T144))-SIN((2*ACOS(1-2*(0.94*T144)/T144)))))/((T144/2)*((2*ACOS(1-2*(0.94*T144)/T144)))))^(2/3))*SQRT(P144)))</f>
        <v/>
      </c>
      <c r="BD144" s="9" t="str">
        <f aca="false">IF(BB144="","",0.001*T144)</f>
        <v/>
      </c>
      <c r="BE144" s="9" t="str">
        <f aca="false">IF(BB144="","",0.94*T144)</f>
        <v/>
      </c>
      <c r="BF144" s="9" t="str">
        <f aca="false">IF(BB144="","",(BD144+BE144)/2)</f>
        <v/>
      </c>
      <c r="BG144" s="9" t="str">
        <f aca="false">IF(OR(T144="",P144="",BF144="",T144&lt;=0,BF144&lt;=0),"",(1/Inputs!$B$9)*((T144^2/8)*((2*ACOS(1-2*BF144/T144))-SIN((2*ACOS(1-2*BF144/T144)))))*((((T144^2/8)*((2*ACOS(1-2*BF144/T144))-SIN((2*ACOS(1-2*BF144/T144)))))/((T144/2)*((2*ACOS(1-2*BF144/T144)))))^(2/3))*SQRT(P144))</f>
        <v/>
      </c>
      <c r="BH144" s="9" t="str">
        <f aca="false">IF(BB144="","",IF(BG144&lt;BB144,BF144,BD144))</f>
        <v/>
      </c>
      <c r="BI144" s="9" t="str">
        <f aca="false">IF(BB144="","",IF(BG144&lt;BB144,BE144,BF144))</f>
        <v/>
      </c>
      <c r="BJ144" s="9" t="str">
        <f aca="false">IF(BB144="","",(BH144+BI144)/2)</f>
        <v/>
      </c>
      <c r="BK144" s="9" t="str">
        <f aca="false">IF(OR(T144="",P144="",BJ144="",T144&lt;=0,BJ144&lt;=0),"",(1/Inputs!$B$9)*((T144^2/8)*((2*ACOS(1-2*BJ144/T144))-SIN((2*ACOS(1-2*BJ144/T144)))))*((((T144^2/8)*((2*ACOS(1-2*BJ144/T144))-SIN((2*ACOS(1-2*BJ144/T144)))))/((T144/2)*((2*ACOS(1-2*BJ144/T144)))))^(2/3))*SQRT(P144))</f>
        <v/>
      </c>
      <c r="BL144" s="9" t="str">
        <f aca="false">IF(BB144="","",IF(BK144&lt;BB144,BJ144,BH144))</f>
        <v/>
      </c>
      <c r="BM144" s="9" t="str">
        <f aca="false">IF(BB144="","",IF(BK144&lt;BB144,BI144,BJ144))</f>
        <v/>
      </c>
      <c r="BN144" s="9" t="str">
        <f aca="false">IF(BB144="","",(BL144+BM144)/2)</f>
        <v/>
      </c>
      <c r="BO144" s="9" t="str">
        <f aca="false">IF(OR(T144="",P144="",BN144="",T144&lt;=0,BN144&lt;=0),"",(1/Inputs!$B$9)*((T144^2/8)*((2*ACOS(1-2*BN144/T144))-SIN((2*ACOS(1-2*BN144/T144)))))*((((T144^2/8)*((2*ACOS(1-2*BN144/T144))-SIN((2*ACOS(1-2*BN144/T144)))))/((T144/2)*((2*ACOS(1-2*BN144/T144)))))^(2/3))*SQRT(P144))</f>
        <v/>
      </c>
      <c r="BP144" s="9" t="str">
        <f aca="false">IF(BB144="","",IF(BO144&lt;BB144,BN144,BL144))</f>
        <v/>
      </c>
      <c r="BQ144" s="9" t="str">
        <f aca="false">IF(BB144="","",IF(BO144&lt;BB144,BM144,BN144))</f>
        <v/>
      </c>
      <c r="BR144" s="9" t="str">
        <f aca="false">IF(BB144="","",(BP144+BQ144)/2)</f>
        <v/>
      </c>
      <c r="BS144" s="9" t="str">
        <f aca="false">IF(OR(T144="",P144="",BR144="",T144&lt;=0,BR144&lt;=0),"",(1/Inputs!$B$9)*((T144^2/8)*((2*ACOS(1-2*BR144/T144))-SIN((2*ACOS(1-2*BR144/T144)))))*((((T144^2/8)*((2*ACOS(1-2*BR144/T144))-SIN((2*ACOS(1-2*BR144/T144)))))/((T144/2)*((2*ACOS(1-2*BR144/T144)))))^(2/3))*SQRT(P144))</f>
        <v/>
      </c>
      <c r="BT144" s="9" t="str">
        <f aca="false">IF(BB144="","",IF(BS144&lt;BB144,BR144,BP144))</f>
        <v/>
      </c>
      <c r="BU144" s="9" t="str">
        <f aca="false">IF(BB144="","",IF(BS144&lt;BB144,BQ144,BR144))</f>
        <v/>
      </c>
      <c r="BV144" s="9" t="str">
        <f aca="false">IF(BB144="","",(BT144+BU144)/2)</f>
        <v/>
      </c>
      <c r="BW144" s="9" t="str">
        <f aca="false">IF(OR(T144="",P144="",BV144="",T144&lt;=0,BV144&lt;=0),"",(1/Inputs!$B$9)*((T144^2/8)*((2*ACOS(1-2*BV144/T144))-SIN((2*ACOS(1-2*BV144/T144)))))*((((T144^2/8)*((2*ACOS(1-2*BV144/T144))-SIN((2*ACOS(1-2*BV144/T144)))))/((T144/2)*((2*ACOS(1-2*BV144/T144)))))^(2/3))*SQRT(P144))</f>
        <v/>
      </c>
      <c r="BX144" s="9" t="str">
        <f aca="false">IF(BB144="","",IF(BW144&lt;BB144,BV144,BT144))</f>
        <v/>
      </c>
      <c r="BY144" s="9" t="str">
        <f aca="false">IF(BB144="","",IF(BW144&lt;BB144,BU144,BV144))</f>
        <v/>
      </c>
      <c r="BZ144" s="9" t="str">
        <f aca="false">IF(BB144="","",(BX144+BY144)/2)</f>
        <v/>
      </c>
      <c r="CA144" s="9" t="str">
        <f aca="false">IF(OR(T144="",P144="",BZ144="",T144&lt;=0,BZ144&lt;=0),"",(1/Inputs!$B$9)*((T144^2/8)*((2*ACOS(1-2*BZ144/T144))-SIN((2*ACOS(1-2*BZ144/T144)))))*((((T144^2/8)*((2*ACOS(1-2*BZ144/T144))-SIN((2*ACOS(1-2*BZ144/T144)))))/((T144/2)*((2*ACOS(1-2*BZ144/T144)))))^(2/3))*SQRT(P144))</f>
        <v/>
      </c>
      <c r="CB144" s="9" t="str">
        <f aca="false">IF(BB144="","",IF(CA144&lt;BB144,BZ144,BX144))</f>
        <v/>
      </c>
      <c r="CC144" s="9" t="str">
        <f aca="false">IF(BB144="","",IF(CA144&lt;BB144,BY144,BZ144))</f>
        <v/>
      </c>
      <c r="CD144" s="9" t="str">
        <f aca="false">IF(BB144="","",(CB144+CC144)/2)</f>
        <v/>
      </c>
      <c r="CE144" s="9" t="str">
        <f aca="false">IF(OR(T144="",P144="",CD144="",T144&lt;=0,CD144&lt;=0),"",(1/Inputs!$B$9)*((T144^2/8)*((2*ACOS(1-2*CD144/T144))-SIN((2*ACOS(1-2*CD144/T144)))))*((((T144^2/8)*((2*ACOS(1-2*CD144/T144))-SIN((2*ACOS(1-2*CD144/T144)))))/((T144/2)*((2*ACOS(1-2*CD144/T144)))))^(2/3))*SQRT(P144))</f>
        <v/>
      </c>
      <c r="CF144" s="9" t="str">
        <f aca="false">IF(BB144="","",IF(CE144&lt;BB144,CD144,CB144))</f>
        <v/>
      </c>
      <c r="CG144" s="9" t="str">
        <f aca="false">IF(BB144="","",IF(CE144&lt;BB144,CC144,CD144))</f>
        <v/>
      </c>
      <c r="CH144" s="9" t="str">
        <f aca="false">IF(BB144="","",(CF144+CG144)/2)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14"/>
      <c r="F145" s="14"/>
      <c r="G145" s="14" t="n">
        <f aca="false">SUMIFS(CB_plan!$C:$C,CB_plan!$B:$B,$A145)</f>
        <v>0</v>
      </c>
      <c r="H145" s="14" t="n">
        <f aca="false">IF(F145="",G145,F145)</f>
        <v>0</v>
      </c>
      <c r="I145" s="9"/>
      <c r="J145" s="14"/>
      <c r="K145" s="14" t="str">
        <f aca="false">IF(A145="","",Inputs!$B$13/((IF(AV145="",Inputs!$B$18,AV145)+Inputs!$B$14)^Inputs!$B$15))</f>
        <v/>
      </c>
      <c r="L145" s="14" t="str">
        <f aca="false">IF(A145="","",0.000000278*IF(I145="",Inputs!$B$17,I145)*H145*K145)</f>
        <v/>
      </c>
      <c r="M145" s="14" t="str">
        <f aca="false">IF(A145="","",SUMIFS($N$4:$N$203,$D$4:$D$203,$A145))</f>
        <v/>
      </c>
      <c r="N145" s="14" t="str">
        <f aca="false">IF(A145="","",(L145+M145)*Inputs!$B$16)</f>
        <v/>
      </c>
      <c r="O145" s="14"/>
      <c r="P145" s="14" t="str">
        <f aca="false">IF(A145="","",IF(O145="",Inputs!$B$7,O145))</f>
        <v/>
      </c>
      <c r="Q145" s="9" t="str">
        <f aca="false">IF(A145="","",IF(N145/Inputs!$B$10&lt;=AG145,Inputs!$F$5,IF(N145/Inputs!$B$10&gt;AP145,"OVERSIZE",INDEX(Inputs!$F$5:$F$14,MATCH(N145/Inputs!$B$10,AG145:AP145,1)+1))))</f>
        <v/>
      </c>
      <c r="R145" s="9"/>
      <c r="S145" s="9" t="str">
        <f aca="false">IF(A145="","",IF(R145="",Q145,R145))</f>
        <v/>
      </c>
      <c r="T145" s="14" t="str">
        <f aca="false">IF(OR(S145="",S145="OVERSIZE"),"",S145/1000)</f>
        <v/>
      </c>
      <c r="U145" s="14" t="str">
        <f aca="false">IF(T145="","",(1/Inputs!$B$9)*(PI()*T145^2/4)*((T145/4)^(2/3))*SQRT(P145))</f>
        <v/>
      </c>
      <c r="V145" s="14" t="str">
        <f aca="false">IF(OR(U145="",N145=""),"",N145/(U145*Inputs!$B$10))</f>
        <v/>
      </c>
      <c r="W145" s="14" t="str">
        <f aca="false">IF(OR(T145="",N145=""),"",4*N145/(PI()*T145^2))</f>
        <v/>
      </c>
      <c r="X145" s="14"/>
      <c r="Y145" s="14" t="str">
        <f aca="false">IF(A145="","",IF(A145=Inputs!$B$6,Inputs!$B$22,IF(D145="","",IFERROR(INDEX($Z$4:$Z$203,MATCH(D145,$A$4:$A$203,0))+IF(X145="",Inputs!$B$20,X145),""))))</f>
        <v/>
      </c>
      <c r="Z145" s="14" t="str">
        <f aca="false">IF(OR(Y145="",P145="",E145=""),"",Y145+P145*E145)</f>
        <v/>
      </c>
      <c r="AA145" s="14" t="str">
        <f aca="false">IF(C145="","",IFERROR(INDEX(Noeuds_plan!$C$4:$C$200,MATCH(C145,Noeuds_plan!$A$4:$A$200,0)),""))</f>
        <v/>
      </c>
      <c r="AB145" s="14" t="str">
        <f aca="false">IF(B145="","",IFERROR(INDEX(Noeuds_plan!$C$4:$C$200,MATCH(B145,Noeuds_plan!$A$4:$A$200,0)),""))</f>
        <v/>
      </c>
      <c r="AC145" s="14" t="str">
        <f aca="false">IF(OR(AA145="",Y145=""),"",AA145-Y145)</f>
        <v/>
      </c>
      <c r="AD145" s="14" t="str">
        <f aca="false">IF(OR(AB145="",Z145=""),"",AB145-Z145)</f>
        <v/>
      </c>
      <c r="AE145" s="19" t="str">
        <f aca="false">IF(A145="","",IF(OR(V145&gt;1,AND(AY145&lt;&gt;"",AY145&lt;Inputs!$B$11),AND(AY145&lt;&gt;"",AY145&gt;Inputs!$B$12),AC145&lt;Inputs!$B$19,AD145&lt;Inputs!$B$19,P145&lt;Inputs!$B$7,P145&gt;Inputs!$B$8),"CHECK","OK"))</f>
        <v/>
      </c>
      <c r="AF145" s="9"/>
      <c r="AG145" s="9" t="str">
        <f aca="false">IF(A145="","",(1/Inputs!$B$9)*(PI()*(Inputs!$F$5/1000)^2/4)*((Inputs!$F$5/1000/4)^(2/3))*SQRT(P145))</f>
        <v/>
      </c>
      <c r="AH145" s="9" t="str">
        <f aca="false">IF(A145="","",(1/Inputs!$B$9)*(PI()*(Inputs!$F$6/1000)^2/4)*((Inputs!$F$6/1000/4)^(2/3))*SQRT(P145))</f>
        <v/>
      </c>
      <c r="AI145" s="9" t="str">
        <f aca="false">IF(A145="","",(1/Inputs!$B$9)*(PI()*(Inputs!$F$7/1000)^2/4)*((Inputs!$F$7/1000/4)^(2/3))*SQRT(P145))</f>
        <v/>
      </c>
      <c r="AJ145" s="9" t="str">
        <f aca="false">IF(A145="","",(1/Inputs!$B$9)*(PI()*(Inputs!$F$8/1000)^2/4)*((Inputs!$F$8/1000/4)^(2/3))*SQRT(P145))</f>
        <v/>
      </c>
      <c r="AK145" s="9" t="str">
        <f aca="false">IF(A145="","",(1/Inputs!$B$9)*(PI()*(Inputs!$F$9/1000)^2/4)*((Inputs!$F$9/1000/4)^(2/3))*SQRT(P145))</f>
        <v/>
      </c>
      <c r="AL145" s="9" t="str">
        <f aca="false">IF(A145="","",(1/Inputs!$B$9)*(PI()*(Inputs!$F$10/1000)^2/4)*((Inputs!$F$10/1000/4)^(2/3))*SQRT(P145))</f>
        <v/>
      </c>
      <c r="AM145" s="9" t="str">
        <f aca="false">IF(A145="","",(1/Inputs!$B$9)*(PI()*(Inputs!$F$11/1000)^2/4)*((Inputs!$F$11/1000/4)^(2/3))*SQRT(P145))</f>
        <v/>
      </c>
      <c r="AN145" s="9" t="str">
        <f aca="false">IF(A145="","",(1/Inputs!$B$9)*(PI()*(Inputs!$F$12/1000)^2/4)*((Inputs!$F$12/1000/4)^(2/3))*SQRT(P145))</f>
        <v/>
      </c>
      <c r="AO145" s="9" t="str">
        <f aca="false">IF(A145="","",(1/Inputs!$B$9)*(PI()*(Inputs!$F$13/1000)^2/4)*((Inputs!$F$13/1000/4)^(2/3))*SQRT(P145))</f>
        <v/>
      </c>
      <c r="AP145" s="9" t="str">
        <f aca="false">IF(A145="","",(1/Inputs!$B$9)*(PI()*(Inputs!$F$14/1000)^2/4)*((Inputs!$F$14/1000/4)^(2/3))*SQRT(P145))</f>
        <v/>
      </c>
      <c r="AQ145" s="9" t="str">
        <f aca="false">IF(A145="","",COUNTIF($D$4:$D$203,$A145))</f>
        <v/>
      </c>
      <c r="AR145" s="9" t="str">
        <f aca="false">IF(A145="","",IF(AQ145=0,"START","CONTINUOUS"))</f>
        <v/>
      </c>
      <c r="AS145" s="13" t="str">
        <f aca="false">IF(A145="","",IF(J145="",Inputs!$B$18,J145))</f>
        <v/>
      </c>
      <c r="AT145" s="13" t="str">
        <f aca="false">IF(A145="","",IFERROR(maxifs($AV$4:$AV$203,$D$4:$D$203,$A145),""))</f>
        <v/>
      </c>
      <c r="AU145" s="13" t="str">
        <f aca="false">IF(A145="","",IF(OR(E145="",Inputs!$B$23=""),"",E145/(Inputs!$B$23*60)))</f>
        <v/>
      </c>
      <c r="AV145" s="13" t="str">
        <f aca="false">IF(A145="","",IF(AQ145=0,AS145+AU145,IF(AT145="",AS145+AU145,AT145+AU145)))</f>
        <v/>
      </c>
      <c r="AW145" s="13" t="str">
        <f aca="false">IF(A145="","",W145)</f>
        <v/>
      </c>
      <c r="AX145" s="13" t="str">
        <f aca="false">IF(OR(T145="",P145=""),"",(1/Inputs!$B$9)*((T145/4)^(2/3))*SQRT(P145))</f>
        <v/>
      </c>
      <c r="AY145" s="13" t="str">
        <f aca="false">IF(A145="","",IF(AND(AW145="",AX145="",BA145=""),"",IF(OR(UPPER(TRIM(Inputs!$B$24))="MANNING",UPPER(TRIM(Inputs!$B$24))="M"),AX145,IF(OR(UPPER(TRIM(Inputs!$B$24))="PARTIAL",UPPER(TRIM(Inputs!$B$24))="P"),BA145,IF(OR(UPPER(TRIM(Inputs!$B$24))="MAX",UPPER(TRIM(Inputs!$B$24))="X"),MAX(IF(AW145="",0,AW145),IF(AX145="",0,AX145),IF(BA145="",0,BA145)),AW145)))))</f>
        <v/>
      </c>
      <c r="AZ145" s="13" t="str">
        <f aca="false">IF(BB145="","",CH145)</f>
        <v/>
      </c>
      <c r="BA145" s="13" t="str">
        <f aca="false">IF(OR(BB145="",AZ145="",T145="",T145&lt;=0,AZ145&lt;=0),"",BB145/((T145^2/8)*(2*ACOS(1-2*AZ145/T145)-SIN(2*ACOS(1-2*AZ145/T145)))))</f>
        <v/>
      </c>
      <c r="BB145" s="9" t="str">
        <f aca="false">IF(OR(N145="",BC145=""),"",MIN(N145,BC145))</f>
        <v/>
      </c>
      <c r="BC145" s="9" t="str">
        <f aca="false">IF(OR(N145="",T145="",P145=""),"",IF(OR(T145="",P145="",(0.94*T145)="",T145&lt;=0,(0.94*T145)&lt;=0),"",(1/Inputs!$B$9)*((T145^2/8)*((2*ACOS(1-2*(0.94*T145)/T145))-SIN((2*ACOS(1-2*(0.94*T145)/T145)))))*((((T145^2/8)*((2*ACOS(1-2*(0.94*T145)/T145))-SIN((2*ACOS(1-2*(0.94*T145)/T145)))))/((T145/2)*((2*ACOS(1-2*(0.94*T145)/T145)))))^(2/3))*SQRT(P145)))</f>
        <v/>
      </c>
      <c r="BD145" s="9" t="str">
        <f aca="false">IF(BB145="","",0.001*T145)</f>
        <v/>
      </c>
      <c r="BE145" s="9" t="str">
        <f aca="false">IF(BB145="","",0.94*T145)</f>
        <v/>
      </c>
      <c r="BF145" s="9" t="str">
        <f aca="false">IF(BB145="","",(BD145+BE145)/2)</f>
        <v/>
      </c>
      <c r="BG145" s="9" t="str">
        <f aca="false">IF(OR(T145="",P145="",BF145="",T145&lt;=0,BF145&lt;=0),"",(1/Inputs!$B$9)*((T145^2/8)*((2*ACOS(1-2*BF145/T145))-SIN((2*ACOS(1-2*BF145/T145)))))*((((T145^2/8)*((2*ACOS(1-2*BF145/T145))-SIN((2*ACOS(1-2*BF145/T145)))))/((T145/2)*((2*ACOS(1-2*BF145/T145)))))^(2/3))*SQRT(P145))</f>
        <v/>
      </c>
      <c r="BH145" s="9" t="str">
        <f aca="false">IF(BB145="","",IF(BG145&lt;BB145,BF145,BD145))</f>
        <v/>
      </c>
      <c r="BI145" s="9" t="str">
        <f aca="false">IF(BB145="","",IF(BG145&lt;BB145,BE145,BF145))</f>
        <v/>
      </c>
      <c r="BJ145" s="9" t="str">
        <f aca="false">IF(BB145="","",(BH145+BI145)/2)</f>
        <v/>
      </c>
      <c r="BK145" s="9" t="str">
        <f aca="false">IF(OR(T145="",P145="",BJ145="",T145&lt;=0,BJ145&lt;=0),"",(1/Inputs!$B$9)*((T145^2/8)*((2*ACOS(1-2*BJ145/T145))-SIN((2*ACOS(1-2*BJ145/T145)))))*((((T145^2/8)*((2*ACOS(1-2*BJ145/T145))-SIN((2*ACOS(1-2*BJ145/T145)))))/((T145/2)*((2*ACOS(1-2*BJ145/T145)))))^(2/3))*SQRT(P145))</f>
        <v/>
      </c>
      <c r="BL145" s="9" t="str">
        <f aca="false">IF(BB145="","",IF(BK145&lt;BB145,BJ145,BH145))</f>
        <v/>
      </c>
      <c r="BM145" s="9" t="str">
        <f aca="false">IF(BB145="","",IF(BK145&lt;BB145,BI145,BJ145))</f>
        <v/>
      </c>
      <c r="BN145" s="9" t="str">
        <f aca="false">IF(BB145="","",(BL145+BM145)/2)</f>
        <v/>
      </c>
      <c r="BO145" s="9" t="str">
        <f aca="false">IF(OR(T145="",P145="",BN145="",T145&lt;=0,BN145&lt;=0),"",(1/Inputs!$B$9)*((T145^2/8)*((2*ACOS(1-2*BN145/T145))-SIN((2*ACOS(1-2*BN145/T145)))))*((((T145^2/8)*((2*ACOS(1-2*BN145/T145))-SIN((2*ACOS(1-2*BN145/T145)))))/((T145/2)*((2*ACOS(1-2*BN145/T145)))))^(2/3))*SQRT(P145))</f>
        <v/>
      </c>
      <c r="BP145" s="9" t="str">
        <f aca="false">IF(BB145="","",IF(BO145&lt;BB145,BN145,BL145))</f>
        <v/>
      </c>
      <c r="BQ145" s="9" t="str">
        <f aca="false">IF(BB145="","",IF(BO145&lt;BB145,BM145,BN145))</f>
        <v/>
      </c>
      <c r="BR145" s="9" t="str">
        <f aca="false">IF(BB145="","",(BP145+BQ145)/2)</f>
        <v/>
      </c>
      <c r="BS145" s="9" t="str">
        <f aca="false">IF(OR(T145="",P145="",BR145="",T145&lt;=0,BR145&lt;=0),"",(1/Inputs!$B$9)*((T145^2/8)*((2*ACOS(1-2*BR145/T145))-SIN((2*ACOS(1-2*BR145/T145)))))*((((T145^2/8)*((2*ACOS(1-2*BR145/T145))-SIN((2*ACOS(1-2*BR145/T145)))))/((T145/2)*((2*ACOS(1-2*BR145/T145)))))^(2/3))*SQRT(P145))</f>
        <v/>
      </c>
      <c r="BT145" s="9" t="str">
        <f aca="false">IF(BB145="","",IF(BS145&lt;BB145,BR145,BP145))</f>
        <v/>
      </c>
      <c r="BU145" s="9" t="str">
        <f aca="false">IF(BB145="","",IF(BS145&lt;BB145,BQ145,BR145))</f>
        <v/>
      </c>
      <c r="BV145" s="9" t="str">
        <f aca="false">IF(BB145="","",(BT145+BU145)/2)</f>
        <v/>
      </c>
      <c r="BW145" s="9" t="str">
        <f aca="false">IF(OR(T145="",P145="",BV145="",T145&lt;=0,BV145&lt;=0),"",(1/Inputs!$B$9)*((T145^2/8)*((2*ACOS(1-2*BV145/T145))-SIN((2*ACOS(1-2*BV145/T145)))))*((((T145^2/8)*((2*ACOS(1-2*BV145/T145))-SIN((2*ACOS(1-2*BV145/T145)))))/((T145/2)*((2*ACOS(1-2*BV145/T145)))))^(2/3))*SQRT(P145))</f>
        <v/>
      </c>
      <c r="BX145" s="9" t="str">
        <f aca="false">IF(BB145="","",IF(BW145&lt;BB145,BV145,BT145))</f>
        <v/>
      </c>
      <c r="BY145" s="9" t="str">
        <f aca="false">IF(BB145="","",IF(BW145&lt;BB145,BU145,BV145))</f>
        <v/>
      </c>
      <c r="BZ145" s="9" t="str">
        <f aca="false">IF(BB145="","",(BX145+BY145)/2)</f>
        <v/>
      </c>
      <c r="CA145" s="9" t="str">
        <f aca="false">IF(OR(T145="",P145="",BZ145="",T145&lt;=0,BZ145&lt;=0),"",(1/Inputs!$B$9)*((T145^2/8)*((2*ACOS(1-2*BZ145/T145))-SIN((2*ACOS(1-2*BZ145/T145)))))*((((T145^2/8)*((2*ACOS(1-2*BZ145/T145))-SIN((2*ACOS(1-2*BZ145/T145)))))/((T145/2)*((2*ACOS(1-2*BZ145/T145)))))^(2/3))*SQRT(P145))</f>
        <v/>
      </c>
      <c r="CB145" s="9" t="str">
        <f aca="false">IF(BB145="","",IF(CA145&lt;BB145,BZ145,BX145))</f>
        <v/>
      </c>
      <c r="CC145" s="9" t="str">
        <f aca="false">IF(BB145="","",IF(CA145&lt;BB145,BY145,BZ145))</f>
        <v/>
      </c>
      <c r="CD145" s="9" t="str">
        <f aca="false">IF(BB145="","",(CB145+CC145)/2)</f>
        <v/>
      </c>
      <c r="CE145" s="9" t="str">
        <f aca="false">IF(OR(T145="",P145="",CD145="",T145&lt;=0,CD145&lt;=0),"",(1/Inputs!$B$9)*((T145^2/8)*((2*ACOS(1-2*CD145/T145))-SIN((2*ACOS(1-2*CD145/T145)))))*((((T145^2/8)*((2*ACOS(1-2*CD145/T145))-SIN((2*ACOS(1-2*CD145/T145)))))/((T145/2)*((2*ACOS(1-2*CD145/T145)))))^(2/3))*SQRT(P145))</f>
        <v/>
      </c>
      <c r="CF145" s="9" t="str">
        <f aca="false">IF(BB145="","",IF(CE145&lt;BB145,CD145,CB145))</f>
        <v/>
      </c>
      <c r="CG145" s="9" t="str">
        <f aca="false">IF(BB145="","",IF(CE145&lt;BB145,CC145,CD145))</f>
        <v/>
      </c>
      <c r="CH145" s="9" t="str">
        <f aca="false">IF(BB145="","",(CF145+CG145)/2)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14"/>
      <c r="F146" s="14"/>
      <c r="G146" s="14" t="n">
        <f aca="false">SUMIFS(CB_plan!$C:$C,CB_plan!$B:$B,$A146)</f>
        <v>0</v>
      </c>
      <c r="H146" s="14" t="n">
        <f aca="false">IF(F146="",G146,F146)</f>
        <v>0</v>
      </c>
      <c r="I146" s="9"/>
      <c r="J146" s="14"/>
      <c r="K146" s="14" t="str">
        <f aca="false">IF(A146="","",Inputs!$B$13/((IF(AV146="",Inputs!$B$18,AV146)+Inputs!$B$14)^Inputs!$B$15))</f>
        <v/>
      </c>
      <c r="L146" s="14" t="str">
        <f aca="false">IF(A146="","",0.000000278*IF(I146="",Inputs!$B$17,I146)*H146*K146)</f>
        <v/>
      </c>
      <c r="M146" s="14" t="str">
        <f aca="false">IF(A146="","",SUMIFS($N$4:$N$203,$D$4:$D$203,$A146))</f>
        <v/>
      </c>
      <c r="N146" s="14" t="str">
        <f aca="false">IF(A146="","",(L146+M146)*Inputs!$B$16)</f>
        <v/>
      </c>
      <c r="O146" s="14"/>
      <c r="P146" s="14" t="str">
        <f aca="false">IF(A146="","",IF(O146="",Inputs!$B$7,O146))</f>
        <v/>
      </c>
      <c r="Q146" s="9" t="str">
        <f aca="false">IF(A146="","",IF(N146/Inputs!$B$10&lt;=AG146,Inputs!$F$5,IF(N146/Inputs!$B$10&gt;AP146,"OVERSIZE",INDEX(Inputs!$F$5:$F$14,MATCH(N146/Inputs!$B$10,AG146:AP146,1)+1))))</f>
        <v/>
      </c>
      <c r="R146" s="9"/>
      <c r="S146" s="9" t="str">
        <f aca="false">IF(A146="","",IF(R146="",Q146,R146))</f>
        <v/>
      </c>
      <c r="T146" s="14" t="str">
        <f aca="false">IF(OR(S146="",S146="OVERSIZE"),"",S146/1000)</f>
        <v/>
      </c>
      <c r="U146" s="14" t="str">
        <f aca="false">IF(T146="","",(1/Inputs!$B$9)*(PI()*T146^2/4)*((T146/4)^(2/3))*SQRT(P146))</f>
        <v/>
      </c>
      <c r="V146" s="14" t="str">
        <f aca="false">IF(OR(U146="",N146=""),"",N146/(U146*Inputs!$B$10))</f>
        <v/>
      </c>
      <c r="W146" s="14" t="str">
        <f aca="false">IF(OR(T146="",N146=""),"",4*N146/(PI()*T146^2))</f>
        <v/>
      </c>
      <c r="X146" s="14"/>
      <c r="Y146" s="14" t="str">
        <f aca="false">IF(A146="","",IF(A146=Inputs!$B$6,Inputs!$B$22,IF(D146="","",IFERROR(INDEX($Z$4:$Z$203,MATCH(D146,$A$4:$A$203,0))+IF(X146="",Inputs!$B$20,X146),""))))</f>
        <v/>
      </c>
      <c r="Z146" s="14" t="str">
        <f aca="false">IF(OR(Y146="",P146="",E146=""),"",Y146+P146*E146)</f>
        <v/>
      </c>
      <c r="AA146" s="14" t="str">
        <f aca="false">IF(C146="","",IFERROR(INDEX(Noeuds_plan!$C$4:$C$200,MATCH(C146,Noeuds_plan!$A$4:$A$200,0)),""))</f>
        <v/>
      </c>
      <c r="AB146" s="14" t="str">
        <f aca="false">IF(B146="","",IFERROR(INDEX(Noeuds_plan!$C$4:$C$200,MATCH(B146,Noeuds_plan!$A$4:$A$200,0)),""))</f>
        <v/>
      </c>
      <c r="AC146" s="14" t="str">
        <f aca="false">IF(OR(AA146="",Y146=""),"",AA146-Y146)</f>
        <v/>
      </c>
      <c r="AD146" s="14" t="str">
        <f aca="false">IF(OR(AB146="",Z146=""),"",AB146-Z146)</f>
        <v/>
      </c>
      <c r="AE146" s="19" t="str">
        <f aca="false">IF(A146="","",IF(OR(V146&gt;1,AND(AY146&lt;&gt;"",AY146&lt;Inputs!$B$11),AND(AY146&lt;&gt;"",AY146&gt;Inputs!$B$12),AC146&lt;Inputs!$B$19,AD146&lt;Inputs!$B$19,P146&lt;Inputs!$B$7,P146&gt;Inputs!$B$8),"CHECK","OK"))</f>
        <v/>
      </c>
      <c r="AF146" s="9"/>
      <c r="AG146" s="9" t="str">
        <f aca="false">IF(A146="","",(1/Inputs!$B$9)*(PI()*(Inputs!$F$5/1000)^2/4)*((Inputs!$F$5/1000/4)^(2/3))*SQRT(P146))</f>
        <v/>
      </c>
      <c r="AH146" s="9" t="str">
        <f aca="false">IF(A146="","",(1/Inputs!$B$9)*(PI()*(Inputs!$F$6/1000)^2/4)*((Inputs!$F$6/1000/4)^(2/3))*SQRT(P146))</f>
        <v/>
      </c>
      <c r="AI146" s="9" t="str">
        <f aca="false">IF(A146="","",(1/Inputs!$B$9)*(PI()*(Inputs!$F$7/1000)^2/4)*((Inputs!$F$7/1000/4)^(2/3))*SQRT(P146))</f>
        <v/>
      </c>
      <c r="AJ146" s="9" t="str">
        <f aca="false">IF(A146="","",(1/Inputs!$B$9)*(PI()*(Inputs!$F$8/1000)^2/4)*((Inputs!$F$8/1000/4)^(2/3))*SQRT(P146))</f>
        <v/>
      </c>
      <c r="AK146" s="9" t="str">
        <f aca="false">IF(A146="","",(1/Inputs!$B$9)*(PI()*(Inputs!$F$9/1000)^2/4)*((Inputs!$F$9/1000/4)^(2/3))*SQRT(P146))</f>
        <v/>
      </c>
      <c r="AL146" s="9" t="str">
        <f aca="false">IF(A146="","",(1/Inputs!$B$9)*(PI()*(Inputs!$F$10/1000)^2/4)*((Inputs!$F$10/1000/4)^(2/3))*SQRT(P146))</f>
        <v/>
      </c>
      <c r="AM146" s="9" t="str">
        <f aca="false">IF(A146="","",(1/Inputs!$B$9)*(PI()*(Inputs!$F$11/1000)^2/4)*((Inputs!$F$11/1000/4)^(2/3))*SQRT(P146))</f>
        <v/>
      </c>
      <c r="AN146" s="9" t="str">
        <f aca="false">IF(A146="","",(1/Inputs!$B$9)*(PI()*(Inputs!$F$12/1000)^2/4)*((Inputs!$F$12/1000/4)^(2/3))*SQRT(P146))</f>
        <v/>
      </c>
      <c r="AO146" s="9" t="str">
        <f aca="false">IF(A146="","",(1/Inputs!$B$9)*(PI()*(Inputs!$F$13/1000)^2/4)*((Inputs!$F$13/1000/4)^(2/3))*SQRT(P146))</f>
        <v/>
      </c>
      <c r="AP146" s="9" t="str">
        <f aca="false">IF(A146="","",(1/Inputs!$B$9)*(PI()*(Inputs!$F$14/1000)^2/4)*((Inputs!$F$14/1000/4)^(2/3))*SQRT(P146))</f>
        <v/>
      </c>
      <c r="AQ146" s="9" t="str">
        <f aca="false">IF(A146="","",COUNTIF($D$4:$D$203,$A146))</f>
        <v/>
      </c>
      <c r="AR146" s="9" t="str">
        <f aca="false">IF(A146="","",IF(AQ146=0,"START","CONTINUOUS"))</f>
        <v/>
      </c>
      <c r="AS146" s="13" t="str">
        <f aca="false">IF(A146="","",IF(J146="",Inputs!$B$18,J146))</f>
        <v/>
      </c>
      <c r="AT146" s="13" t="str">
        <f aca="false">IF(A146="","",IFERROR(maxifs($AV$4:$AV$203,$D$4:$D$203,$A146),""))</f>
        <v/>
      </c>
      <c r="AU146" s="13" t="str">
        <f aca="false">IF(A146="","",IF(OR(E146="",Inputs!$B$23=""),"",E146/(Inputs!$B$23*60)))</f>
        <v/>
      </c>
      <c r="AV146" s="13" t="str">
        <f aca="false">IF(A146="","",IF(AQ146=0,AS146+AU146,IF(AT146="",AS146+AU146,AT146+AU146)))</f>
        <v/>
      </c>
      <c r="AW146" s="13" t="str">
        <f aca="false">IF(A146="","",W146)</f>
        <v/>
      </c>
      <c r="AX146" s="13" t="str">
        <f aca="false">IF(OR(T146="",P146=""),"",(1/Inputs!$B$9)*((T146/4)^(2/3))*SQRT(P146))</f>
        <v/>
      </c>
      <c r="AY146" s="13" t="str">
        <f aca="false">IF(A146="","",IF(AND(AW146="",AX146="",BA146=""),"",IF(OR(UPPER(TRIM(Inputs!$B$24))="MANNING",UPPER(TRIM(Inputs!$B$24))="M"),AX146,IF(OR(UPPER(TRIM(Inputs!$B$24))="PARTIAL",UPPER(TRIM(Inputs!$B$24))="P"),BA146,IF(OR(UPPER(TRIM(Inputs!$B$24))="MAX",UPPER(TRIM(Inputs!$B$24))="X"),MAX(IF(AW146="",0,AW146),IF(AX146="",0,AX146),IF(BA146="",0,BA146)),AW146)))))</f>
        <v/>
      </c>
      <c r="AZ146" s="13" t="str">
        <f aca="false">IF(BB146="","",CH146)</f>
        <v/>
      </c>
      <c r="BA146" s="13" t="str">
        <f aca="false">IF(OR(BB146="",AZ146="",T146="",T146&lt;=0,AZ146&lt;=0),"",BB146/((T146^2/8)*(2*ACOS(1-2*AZ146/T146)-SIN(2*ACOS(1-2*AZ146/T146)))))</f>
        <v/>
      </c>
      <c r="BB146" s="9" t="str">
        <f aca="false">IF(OR(N146="",BC146=""),"",MIN(N146,BC146))</f>
        <v/>
      </c>
      <c r="BC146" s="9" t="str">
        <f aca="false">IF(OR(N146="",T146="",P146=""),"",IF(OR(T146="",P146="",(0.94*T146)="",T146&lt;=0,(0.94*T146)&lt;=0),"",(1/Inputs!$B$9)*((T146^2/8)*((2*ACOS(1-2*(0.94*T146)/T146))-SIN((2*ACOS(1-2*(0.94*T146)/T146)))))*((((T146^2/8)*((2*ACOS(1-2*(0.94*T146)/T146))-SIN((2*ACOS(1-2*(0.94*T146)/T146)))))/((T146/2)*((2*ACOS(1-2*(0.94*T146)/T146)))))^(2/3))*SQRT(P146)))</f>
        <v/>
      </c>
      <c r="BD146" s="9" t="str">
        <f aca="false">IF(BB146="","",0.001*T146)</f>
        <v/>
      </c>
      <c r="BE146" s="9" t="str">
        <f aca="false">IF(BB146="","",0.94*T146)</f>
        <v/>
      </c>
      <c r="BF146" s="9" t="str">
        <f aca="false">IF(BB146="","",(BD146+BE146)/2)</f>
        <v/>
      </c>
      <c r="BG146" s="9" t="str">
        <f aca="false">IF(OR(T146="",P146="",BF146="",T146&lt;=0,BF146&lt;=0),"",(1/Inputs!$B$9)*((T146^2/8)*((2*ACOS(1-2*BF146/T146))-SIN((2*ACOS(1-2*BF146/T146)))))*((((T146^2/8)*((2*ACOS(1-2*BF146/T146))-SIN((2*ACOS(1-2*BF146/T146)))))/((T146/2)*((2*ACOS(1-2*BF146/T146)))))^(2/3))*SQRT(P146))</f>
        <v/>
      </c>
      <c r="BH146" s="9" t="str">
        <f aca="false">IF(BB146="","",IF(BG146&lt;BB146,BF146,BD146))</f>
        <v/>
      </c>
      <c r="BI146" s="9" t="str">
        <f aca="false">IF(BB146="","",IF(BG146&lt;BB146,BE146,BF146))</f>
        <v/>
      </c>
      <c r="BJ146" s="9" t="str">
        <f aca="false">IF(BB146="","",(BH146+BI146)/2)</f>
        <v/>
      </c>
      <c r="BK146" s="9" t="str">
        <f aca="false">IF(OR(T146="",P146="",BJ146="",T146&lt;=0,BJ146&lt;=0),"",(1/Inputs!$B$9)*((T146^2/8)*((2*ACOS(1-2*BJ146/T146))-SIN((2*ACOS(1-2*BJ146/T146)))))*((((T146^2/8)*((2*ACOS(1-2*BJ146/T146))-SIN((2*ACOS(1-2*BJ146/T146)))))/((T146/2)*((2*ACOS(1-2*BJ146/T146)))))^(2/3))*SQRT(P146))</f>
        <v/>
      </c>
      <c r="BL146" s="9" t="str">
        <f aca="false">IF(BB146="","",IF(BK146&lt;BB146,BJ146,BH146))</f>
        <v/>
      </c>
      <c r="BM146" s="9" t="str">
        <f aca="false">IF(BB146="","",IF(BK146&lt;BB146,BI146,BJ146))</f>
        <v/>
      </c>
      <c r="BN146" s="9" t="str">
        <f aca="false">IF(BB146="","",(BL146+BM146)/2)</f>
        <v/>
      </c>
      <c r="BO146" s="9" t="str">
        <f aca="false">IF(OR(T146="",P146="",BN146="",T146&lt;=0,BN146&lt;=0),"",(1/Inputs!$B$9)*((T146^2/8)*((2*ACOS(1-2*BN146/T146))-SIN((2*ACOS(1-2*BN146/T146)))))*((((T146^2/8)*((2*ACOS(1-2*BN146/T146))-SIN((2*ACOS(1-2*BN146/T146)))))/((T146/2)*((2*ACOS(1-2*BN146/T146)))))^(2/3))*SQRT(P146))</f>
        <v/>
      </c>
      <c r="BP146" s="9" t="str">
        <f aca="false">IF(BB146="","",IF(BO146&lt;BB146,BN146,BL146))</f>
        <v/>
      </c>
      <c r="BQ146" s="9" t="str">
        <f aca="false">IF(BB146="","",IF(BO146&lt;BB146,BM146,BN146))</f>
        <v/>
      </c>
      <c r="BR146" s="9" t="str">
        <f aca="false">IF(BB146="","",(BP146+BQ146)/2)</f>
        <v/>
      </c>
      <c r="BS146" s="9" t="str">
        <f aca="false">IF(OR(T146="",P146="",BR146="",T146&lt;=0,BR146&lt;=0),"",(1/Inputs!$B$9)*((T146^2/8)*((2*ACOS(1-2*BR146/T146))-SIN((2*ACOS(1-2*BR146/T146)))))*((((T146^2/8)*((2*ACOS(1-2*BR146/T146))-SIN((2*ACOS(1-2*BR146/T146)))))/((T146/2)*((2*ACOS(1-2*BR146/T146)))))^(2/3))*SQRT(P146))</f>
        <v/>
      </c>
      <c r="BT146" s="9" t="str">
        <f aca="false">IF(BB146="","",IF(BS146&lt;BB146,BR146,BP146))</f>
        <v/>
      </c>
      <c r="BU146" s="9" t="str">
        <f aca="false">IF(BB146="","",IF(BS146&lt;BB146,BQ146,BR146))</f>
        <v/>
      </c>
      <c r="BV146" s="9" t="str">
        <f aca="false">IF(BB146="","",(BT146+BU146)/2)</f>
        <v/>
      </c>
      <c r="BW146" s="9" t="str">
        <f aca="false">IF(OR(T146="",P146="",BV146="",T146&lt;=0,BV146&lt;=0),"",(1/Inputs!$B$9)*((T146^2/8)*((2*ACOS(1-2*BV146/T146))-SIN((2*ACOS(1-2*BV146/T146)))))*((((T146^2/8)*((2*ACOS(1-2*BV146/T146))-SIN((2*ACOS(1-2*BV146/T146)))))/((T146/2)*((2*ACOS(1-2*BV146/T146)))))^(2/3))*SQRT(P146))</f>
        <v/>
      </c>
      <c r="BX146" s="9" t="str">
        <f aca="false">IF(BB146="","",IF(BW146&lt;BB146,BV146,BT146))</f>
        <v/>
      </c>
      <c r="BY146" s="9" t="str">
        <f aca="false">IF(BB146="","",IF(BW146&lt;BB146,BU146,BV146))</f>
        <v/>
      </c>
      <c r="BZ146" s="9" t="str">
        <f aca="false">IF(BB146="","",(BX146+BY146)/2)</f>
        <v/>
      </c>
      <c r="CA146" s="9" t="str">
        <f aca="false">IF(OR(T146="",P146="",BZ146="",T146&lt;=0,BZ146&lt;=0),"",(1/Inputs!$B$9)*((T146^2/8)*((2*ACOS(1-2*BZ146/T146))-SIN((2*ACOS(1-2*BZ146/T146)))))*((((T146^2/8)*((2*ACOS(1-2*BZ146/T146))-SIN((2*ACOS(1-2*BZ146/T146)))))/((T146/2)*((2*ACOS(1-2*BZ146/T146)))))^(2/3))*SQRT(P146))</f>
        <v/>
      </c>
      <c r="CB146" s="9" t="str">
        <f aca="false">IF(BB146="","",IF(CA146&lt;BB146,BZ146,BX146))</f>
        <v/>
      </c>
      <c r="CC146" s="9" t="str">
        <f aca="false">IF(BB146="","",IF(CA146&lt;BB146,BY146,BZ146))</f>
        <v/>
      </c>
      <c r="CD146" s="9" t="str">
        <f aca="false">IF(BB146="","",(CB146+CC146)/2)</f>
        <v/>
      </c>
      <c r="CE146" s="9" t="str">
        <f aca="false">IF(OR(T146="",P146="",CD146="",T146&lt;=0,CD146&lt;=0),"",(1/Inputs!$B$9)*((T146^2/8)*((2*ACOS(1-2*CD146/T146))-SIN((2*ACOS(1-2*CD146/T146)))))*((((T146^2/8)*((2*ACOS(1-2*CD146/T146))-SIN((2*ACOS(1-2*CD146/T146)))))/((T146/2)*((2*ACOS(1-2*CD146/T146)))))^(2/3))*SQRT(P146))</f>
        <v/>
      </c>
      <c r="CF146" s="9" t="str">
        <f aca="false">IF(BB146="","",IF(CE146&lt;BB146,CD146,CB146))</f>
        <v/>
      </c>
      <c r="CG146" s="9" t="str">
        <f aca="false">IF(BB146="","",IF(CE146&lt;BB146,CC146,CD146))</f>
        <v/>
      </c>
      <c r="CH146" s="9" t="str">
        <f aca="false">IF(BB146="","",(CF146+CG146)/2)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14"/>
      <c r="F147" s="14"/>
      <c r="G147" s="14" t="n">
        <f aca="false">SUMIFS(CB_plan!$C:$C,CB_plan!$B:$B,$A147)</f>
        <v>0</v>
      </c>
      <c r="H147" s="14" t="n">
        <f aca="false">IF(F147="",G147,F147)</f>
        <v>0</v>
      </c>
      <c r="I147" s="9"/>
      <c r="J147" s="14"/>
      <c r="K147" s="14" t="str">
        <f aca="false">IF(A147="","",Inputs!$B$13/((IF(AV147="",Inputs!$B$18,AV147)+Inputs!$B$14)^Inputs!$B$15))</f>
        <v/>
      </c>
      <c r="L147" s="14" t="str">
        <f aca="false">IF(A147="","",0.000000278*IF(I147="",Inputs!$B$17,I147)*H147*K147)</f>
        <v/>
      </c>
      <c r="M147" s="14" t="str">
        <f aca="false">IF(A147="","",SUMIFS($N$4:$N$203,$D$4:$D$203,$A147))</f>
        <v/>
      </c>
      <c r="N147" s="14" t="str">
        <f aca="false">IF(A147="","",(L147+M147)*Inputs!$B$16)</f>
        <v/>
      </c>
      <c r="O147" s="14"/>
      <c r="P147" s="14" t="str">
        <f aca="false">IF(A147="","",IF(O147="",Inputs!$B$7,O147))</f>
        <v/>
      </c>
      <c r="Q147" s="9" t="str">
        <f aca="false">IF(A147="","",IF(N147/Inputs!$B$10&lt;=AG147,Inputs!$F$5,IF(N147/Inputs!$B$10&gt;AP147,"OVERSIZE",INDEX(Inputs!$F$5:$F$14,MATCH(N147/Inputs!$B$10,AG147:AP147,1)+1))))</f>
        <v/>
      </c>
      <c r="R147" s="9"/>
      <c r="S147" s="9" t="str">
        <f aca="false">IF(A147="","",IF(R147="",Q147,R147))</f>
        <v/>
      </c>
      <c r="T147" s="14" t="str">
        <f aca="false">IF(OR(S147="",S147="OVERSIZE"),"",S147/1000)</f>
        <v/>
      </c>
      <c r="U147" s="14" t="str">
        <f aca="false">IF(T147="","",(1/Inputs!$B$9)*(PI()*T147^2/4)*((T147/4)^(2/3))*SQRT(P147))</f>
        <v/>
      </c>
      <c r="V147" s="14" t="str">
        <f aca="false">IF(OR(U147="",N147=""),"",N147/(U147*Inputs!$B$10))</f>
        <v/>
      </c>
      <c r="W147" s="14" t="str">
        <f aca="false">IF(OR(T147="",N147=""),"",4*N147/(PI()*T147^2))</f>
        <v/>
      </c>
      <c r="X147" s="14"/>
      <c r="Y147" s="14" t="str">
        <f aca="false">IF(A147="","",IF(A147=Inputs!$B$6,Inputs!$B$22,IF(D147="","",IFERROR(INDEX($Z$4:$Z$203,MATCH(D147,$A$4:$A$203,0))+IF(X147="",Inputs!$B$20,X147),""))))</f>
        <v/>
      </c>
      <c r="Z147" s="14" t="str">
        <f aca="false">IF(OR(Y147="",P147="",E147=""),"",Y147+P147*E147)</f>
        <v/>
      </c>
      <c r="AA147" s="14" t="str">
        <f aca="false">IF(C147="","",IFERROR(INDEX(Noeuds_plan!$C$4:$C$200,MATCH(C147,Noeuds_plan!$A$4:$A$200,0)),""))</f>
        <v/>
      </c>
      <c r="AB147" s="14" t="str">
        <f aca="false">IF(B147="","",IFERROR(INDEX(Noeuds_plan!$C$4:$C$200,MATCH(B147,Noeuds_plan!$A$4:$A$200,0)),""))</f>
        <v/>
      </c>
      <c r="AC147" s="14" t="str">
        <f aca="false">IF(OR(AA147="",Y147=""),"",AA147-Y147)</f>
        <v/>
      </c>
      <c r="AD147" s="14" t="str">
        <f aca="false">IF(OR(AB147="",Z147=""),"",AB147-Z147)</f>
        <v/>
      </c>
      <c r="AE147" s="19" t="str">
        <f aca="false">IF(A147="","",IF(OR(V147&gt;1,AND(AY147&lt;&gt;"",AY147&lt;Inputs!$B$11),AND(AY147&lt;&gt;"",AY147&gt;Inputs!$B$12),AC147&lt;Inputs!$B$19,AD147&lt;Inputs!$B$19,P147&lt;Inputs!$B$7,P147&gt;Inputs!$B$8),"CHECK","OK"))</f>
        <v/>
      </c>
      <c r="AF147" s="9"/>
      <c r="AG147" s="9" t="str">
        <f aca="false">IF(A147="","",(1/Inputs!$B$9)*(PI()*(Inputs!$F$5/1000)^2/4)*((Inputs!$F$5/1000/4)^(2/3))*SQRT(P147))</f>
        <v/>
      </c>
      <c r="AH147" s="9" t="str">
        <f aca="false">IF(A147="","",(1/Inputs!$B$9)*(PI()*(Inputs!$F$6/1000)^2/4)*((Inputs!$F$6/1000/4)^(2/3))*SQRT(P147))</f>
        <v/>
      </c>
      <c r="AI147" s="9" t="str">
        <f aca="false">IF(A147="","",(1/Inputs!$B$9)*(PI()*(Inputs!$F$7/1000)^2/4)*((Inputs!$F$7/1000/4)^(2/3))*SQRT(P147))</f>
        <v/>
      </c>
      <c r="AJ147" s="9" t="str">
        <f aca="false">IF(A147="","",(1/Inputs!$B$9)*(PI()*(Inputs!$F$8/1000)^2/4)*((Inputs!$F$8/1000/4)^(2/3))*SQRT(P147))</f>
        <v/>
      </c>
      <c r="AK147" s="9" t="str">
        <f aca="false">IF(A147="","",(1/Inputs!$B$9)*(PI()*(Inputs!$F$9/1000)^2/4)*((Inputs!$F$9/1000/4)^(2/3))*SQRT(P147))</f>
        <v/>
      </c>
      <c r="AL147" s="9" t="str">
        <f aca="false">IF(A147="","",(1/Inputs!$B$9)*(PI()*(Inputs!$F$10/1000)^2/4)*((Inputs!$F$10/1000/4)^(2/3))*SQRT(P147))</f>
        <v/>
      </c>
      <c r="AM147" s="9" t="str">
        <f aca="false">IF(A147="","",(1/Inputs!$B$9)*(PI()*(Inputs!$F$11/1000)^2/4)*((Inputs!$F$11/1000/4)^(2/3))*SQRT(P147))</f>
        <v/>
      </c>
      <c r="AN147" s="9" t="str">
        <f aca="false">IF(A147="","",(1/Inputs!$B$9)*(PI()*(Inputs!$F$12/1000)^2/4)*((Inputs!$F$12/1000/4)^(2/3))*SQRT(P147))</f>
        <v/>
      </c>
      <c r="AO147" s="9" t="str">
        <f aca="false">IF(A147="","",(1/Inputs!$B$9)*(PI()*(Inputs!$F$13/1000)^2/4)*((Inputs!$F$13/1000/4)^(2/3))*SQRT(P147))</f>
        <v/>
      </c>
      <c r="AP147" s="9" t="str">
        <f aca="false">IF(A147="","",(1/Inputs!$B$9)*(PI()*(Inputs!$F$14/1000)^2/4)*((Inputs!$F$14/1000/4)^(2/3))*SQRT(P147))</f>
        <v/>
      </c>
      <c r="AQ147" s="9" t="str">
        <f aca="false">IF(A147="","",COUNTIF($D$4:$D$203,$A147))</f>
        <v/>
      </c>
      <c r="AR147" s="9" t="str">
        <f aca="false">IF(A147="","",IF(AQ147=0,"START","CONTINUOUS"))</f>
        <v/>
      </c>
      <c r="AS147" s="13" t="str">
        <f aca="false">IF(A147="","",IF(J147="",Inputs!$B$18,J147))</f>
        <v/>
      </c>
      <c r="AT147" s="13" t="str">
        <f aca="false">IF(A147="","",IFERROR(maxifs($AV$4:$AV$203,$D$4:$D$203,$A147),""))</f>
        <v/>
      </c>
      <c r="AU147" s="13" t="str">
        <f aca="false">IF(A147="","",IF(OR(E147="",Inputs!$B$23=""),"",E147/(Inputs!$B$23*60)))</f>
        <v/>
      </c>
      <c r="AV147" s="13" t="str">
        <f aca="false">IF(A147="","",IF(AQ147=0,AS147+AU147,IF(AT147="",AS147+AU147,AT147+AU147)))</f>
        <v/>
      </c>
      <c r="AW147" s="13" t="str">
        <f aca="false">IF(A147="","",W147)</f>
        <v/>
      </c>
      <c r="AX147" s="13" t="str">
        <f aca="false">IF(OR(T147="",P147=""),"",(1/Inputs!$B$9)*((T147/4)^(2/3))*SQRT(P147))</f>
        <v/>
      </c>
      <c r="AY147" s="13" t="str">
        <f aca="false">IF(A147="","",IF(AND(AW147="",AX147="",BA147=""),"",IF(OR(UPPER(TRIM(Inputs!$B$24))="MANNING",UPPER(TRIM(Inputs!$B$24))="M"),AX147,IF(OR(UPPER(TRIM(Inputs!$B$24))="PARTIAL",UPPER(TRIM(Inputs!$B$24))="P"),BA147,IF(OR(UPPER(TRIM(Inputs!$B$24))="MAX",UPPER(TRIM(Inputs!$B$24))="X"),MAX(IF(AW147="",0,AW147),IF(AX147="",0,AX147),IF(BA147="",0,BA147)),AW147)))))</f>
        <v/>
      </c>
      <c r="AZ147" s="13" t="str">
        <f aca="false">IF(BB147="","",CH147)</f>
        <v/>
      </c>
      <c r="BA147" s="13" t="str">
        <f aca="false">IF(OR(BB147="",AZ147="",T147="",T147&lt;=0,AZ147&lt;=0),"",BB147/((T147^2/8)*(2*ACOS(1-2*AZ147/T147)-SIN(2*ACOS(1-2*AZ147/T147)))))</f>
        <v/>
      </c>
      <c r="BB147" s="9" t="str">
        <f aca="false">IF(OR(N147="",BC147=""),"",MIN(N147,BC147))</f>
        <v/>
      </c>
      <c r="BC147" s="9" t="str">
        <f aca="false">IF(OR(N147="",T147="",P147=""),"",IF(OR(T147="",P147="",(0.94*T147)="",T147&lt;=0,(0.94*T147)&lt;=0),"",(1/Inputs!$B$9)*((T147^2/8)*((2*ACOS(1-2*(0.94*T147)/T147))-SIN((2*ACOS(1-2*(0.94*T147)/T147)))))*((((T147^2/8)*((2*ACOS(1-2*(0.94*T147)/T147))-SIN((2*ACOS(1-2*(0.94*T147)/T147)))))/((T147/2)*((2*ACOS(1-2*(0.94*T147)/T147)))))^(2/3))*SQRT(P147)))</f>
        <v/>
      </c>
      <c r="BD147" s="9" t="str">
        <f aca="false">IF(BB147="","",0.001*T147)</f>
        <v/>
      </c>
      <c r="BE147" s="9" t="str">
        <f aca="false">IF(BB147="","",0.94*T147)</f>
        <v/>
      </c>
      <c r="BF147" s="9" t="str">
        <f aca="false">IF(BB147="","",(BD147+BE147)/2)</f>
        <v/>
      </c>
      <c r="BG147" s="9" t="str">
        <f aca="false">IF(OR(T147="",P147="",BF147="",T147&lt;=0,BF147&lt;=0),"",(1/Inputs!$B$9)*((T147^2/8)*((2*ACOS(1-2*BF147/T147))-SIN((2*ACOS(1-2*BF147/T147)))))*((((T147^2/8)*((2*ACOS(1-2*BF147/T147))-SIN((2*ACOS(1-2*BF147/T147)))))/((T147/2)*((2*ACOS(1-2*BF147/T147)))))^(2/3))*SQRT(P147))</f>
        <v/>
      </c>
      <c r="BH147" s="9" t="str">
        <f aca="false">IF(BB147="","",IF(BG147&lt;BB147,BF147,BD147))</f>
        <v/>
      </c>
      <c r="BI147" s="9" t="str">
        <f aca="false">IF(BB147="","",IF(BG147&lt;BB147,BE147,BF147))</f>
        <v/>
      </c>
      <c r="BJ147" s="9" t="str">
        <f aca="false">IF(BB147="","",(BH147+BI147)/2)</f>
        <v/>
      </c>
      <c r="BK147" s="9" t="str">
        <f aca="false">IF(OR(T147="",P147="",BJ147="",T147&lt;=0,BJ147&lt;=0),"",(1/Inputs!$B$9)*((T147^2/8)*((2*ACOS(1-2*BJ147/T147))-SIN((2*ACOS(1-2*BJ147/T147)))))*((((T147^2/8)*((2*ACOS(1-2*BJ147/T147))-SIN((2*ACOS(1-2*BJ147/T147)))))/((T147/2)*((2*ACOS(1-2*BJ147/T147)))))^(2/3))*SQRT(P147))</f>
        <v/>
      </c>
      <c r="BL147" s="9" t="str">
        <f aca="false">IF(BB147="","",IF(BK147&lt;BB147,BJ147,BH147))</f>
        <v/>
      </c>
      <c r="BM147" s="9" t="str">
        <f aca="false">IF(BB147="","",IF(BK147&lt;BB147,BI147,BJ147))</f>
        <v/>
      </c>
      <c r="BN147" s="9" t="str">
        <f aca="false">IF(BB147="","",(BL147+BM147)/2)</f>
        <v/>
      </c>
      <c r="BO147" s="9" t="str">
        <f aca="false">IF(OR(T147="",P147="",BN147="",T147&lt;=0,BN147&lt;=0),"",(1/Inputs!$B$9)*((T147^2/8)*((2*ACOS(1-2*BN147/T147))-SIN((2*ACOS(1-2*BN147/T147)))))*((((T147^2/8)*((2*ACOS(1-2*BN147/T147))-SIN((2*ACOS(1-2*BN147/T147)))))/((T147/2)*((2*ACOS(1-2*BN147/T147)))))^(2/3))*SQRT(P147))</f>
        <v/>
      </c>
      <c r="BP147" s="9" t="str">
        <f aca="false">IF(BB147="","",IF(BO147&lt;BB147,BN147,BL147))</f>
        <v/>
      </c>
      <c r="BQ147" s="9" t="str">
        <f aca="false">IF(BB147="","",IF(BO147&lt;BB147,BM147,BN147))</f>
        <v/>
      </c>
      <c r="BR147" s="9" t="str">
        <f aca="false">IF(BB147="","",(BP147+BQ147)/2)</f>
        <v/>
      </c>
      <c r="BS147" s="9" t="str">
        <f aca="false">IF(OR(T147="",P147="",BR147="",T147&lt;=0,BR147&lt;=0),"",(1/Inputs!$B$9)*((T147^2/8)*((2*ACOS(1-2*BR147/T147))-SIN((2*ACOS(1-2*BR147/T147)))))*((((T147^2/8)*((2*ACOS(1-2*BR147/T147))-SIN((2*ACOS(1-2*BR147/T147)))))/((T147/2)*((2*ACOS(1-2*BR147/T147)))))^(2/3))*SQRT(P147))</f>
        <v/>
      </c>
      <c r="BT147" s="9" t="str">
        <f aca="false">IF(BB147="","",IF(BS147&lt;BB147,BR147,BP147))</f>
        <v/>
      </c>
      <c r="BU147" s="9" t="str">
        <f aca="false">IF(BB147="","",IF(BS147&lt;BB147,BQ147,BR147))</f>
        <v/>
      </c>
      <c r="BV147" s="9" t="str">
        <f aca="false">IF(BB147="","",(BT147+BU147)/2)</f>
        <v/>
      </c>
      <c r="BW147" s="9" t="str">
        <f aca="false">IF(OR(T147="",P147="",BV147="",T147&lt;=0,BV147&lt;=0),"",(1/Inputs!$B$9)*((T147^2/8)*((2*ACOS(1-2*BV147/T147))-SIN((2*ACOS(1-2*BV147/T147)))))*((((T147^2/8)*((2*ACOS(1-2*BV147/T147))-SIN((2*ACOS(1-2*BV147/T147)))))/((T147/2)*((2*ACOS(1-2*BV147/T147)))))^(2/3))*SQRT(P147))</f>
        <v/>
      </c>
      <c r="BX147" s="9" t="str">
        <f aca="false">IF(BB147="","",IF(BW147&lt;BB147,BV147,BT147))</f>
        <v/>
      </c>
      <c r="BY147" s="9" t="str">
        <f aca="false">IF(BB147="","",IF(BW147&lt;BB147,BU147,BV147))</f>
        <v/>
      </c>
      <c r="BZ147" s="9" t="str">
        <f aca="false">IF(BB147="","",(BX147+BY147)/2)</f>
        <v/>
      </c>
      <c r="CA147" s="9" t="str">
        <f aca="false">IF(OR(T147="",P147="",BZ147="",T147&lt;=0,BZ147&lt;=0),"",(1/Inputs!$B$9)*((T147^2/8)*((2*ACOS(1-2*BZ147/T147))-SIN((2*ACOS(1-2*BZ147/T147)))))*((((T147^2/8)*((2*ACOS(1-2*BZ147/T147))-SIN((2*ACOS(1-2*BZ147/T147)))))/((T147/2)*((2*ACOS(1-2*BZ147/T147)))))^(2/3))*SQRT(P147))</f>
        <v/>
      </c>
      <c r="CB147" s="9" t="str">
        <f aca="false">IF(BB147="","",IF(CA147&lt;BB147,BZ147,BX147))</f>
        <v/>
      </c>
      <c r="CC147" s="9" t="str">
        <f aca="false">IF(BB147="","",IF(CA147&lt;BB147,BY147,BZ147))</f>
        <v/>
      </c>
      <c r="CD147" s="9" t="str">
        <f aca="false">IF(BB147="","",(CB147+CC147)/2)</f>
        <v/>
      </c>
      <c r="CE147" s="9" t="str">
        <f aca="false">IF(OR(T147="",P147="",CD147="",T147&lt;=0,CD147&lt;=0),"",(1/Inputs!$B$9)*((T147^2/8)*((2*ACOS(1-2*CD147/T147))-SIN((2*ACOS(1-2*CD147/T147)))))*((((T147^2/8)*((2*ACOS(1-2*CD147/T147))-SIN((2*ACOS(1-2*CD147/T147)))))/((T147/2)*((2*ACOS(1-2*CD147/T147)))))^(2/3))*SQRT(P147))</f>
        <v/>
      </c>
      <c r="CF147" s="9" t="str">
        <f aca="false">IF(BB147="","",IF(CE147&lt;BB147,CD147,CB147))</f>
        <v/>
      </c>
      <c r="CG147" s="9" t="str">
        <f aca="false">IF(BB147="","",IF(CE147&lt;BB147,CC147,CD147))</f>
        <v/>
      </c>
      <c r="CH147" s="9" t="str">
        <f aca="false">IF(BB147="","",(CF147+CG147)/2)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14"/>
      <c r="F148" s="14"/>
      <c r="G148" s="14" t="n">
        <f aca="false">SUMIFS(CB_plan!$C:$C,CB_plan!$B:$B,$A148)</f>
        <v>0</v>
      </c>
      <c r="H148" s="14" t="n">
        <f aca="false">IF(F148="",G148,F148)</f>
        <v>0</v>
      </c>
      <c r="I148" s="9"/>
      <c r="J148" s="14"/>
      <c r="K148" s="14" t="str">
        <f aca="false">IF(A148="","",Inputs!$B$13/((IF(AV148="",Inputs!$B$18,AV148)+Inputs!$B$14)^Inputs!$B$15))</f>
        <v/>
      </c>
      <c r="L148" s="14" t="str">
        <f aca="false">IF(A148="","",0.000000278*IF(I148="",Inputs!$B$17,I148)*H148*K148)</f>
        <v/>
      </c>
      <c r="M148" s="14" t="str">
        <f aca="false">IF(A148="","",SUMIFS($N$4:$N$203,$D$4:$D$203,$A148))</f>
        <v/>
      </c>
      <c r="N148" s="14" t="str">
        <f aca="false">IF(A148="","",(L148+M148)*Inputs!$B$16)</f>
        <v/>
      </c>
      <c r="O148" s="14"/>
      <c r="P148" s="14" t="str">
        <f aca="false">IF(A148="","",IF(O148="",Inputs!$B$7,O148))</f>
        <v/>
      </c>
      <c r="Q148" s="9" t="str">
        <f aca="false">IF(A148="","",IF(N148/Inputs!$B$10&lt;=AG148,Inputs!$F$5,IF(N148/Inputs!$B$10&gt;AP148,"OVERSIZE",INDEX(Inputs!$F$5:$F$14,MATCH(N148/Inputs!$B$10,AG148:AP148,1)+1))))</f>
        <v/>
      </c>
      <c r="R148" s="9"/>
      <c r="S148" s="9" t="str">
        <f aca="false">IF(A148="","",IF(R148="",Q148,R148))</f>
        <v/>
      </c>
      <c r="T148" s="14" t="str">
        <f aca="false">IF(OR(S148="",S148="OVERSIZE"),"",S148/1000)</f>
        <v/>
      </c>
      <c r="U148" s="14" t="str">
        <f aca="false">IF(T148="","",(1/Inputs!$B$9)*(PI()*T148^2/4)*((T148/4)^(2/3))*SQRT(P148))</f>
        <v/>
      </c>
      <c r="V148" s="14" t="str">
        <f aca="false">IF(OR(U148="",N148=""),"",N148/(U148*Inputs!$B$10))</f>
        <v/>
      </c>
      <c r="W148" s="14" t="str">
        <f aca="false">IF(OR(T148="",N148=""),"",4*N148/(PI()*T148^2))</f>
        <v/>
      </c>
      <c r="X148" s="14"/>
      <c r="Y148" s="14" t="str">
        <f aca="false">IF(A148="","",IF(A148=Inputs!$B$6,Inputs!$B$22,IF(D148="","",IFERROR(INDEX($Z$4:$Z$203,MATCH(D148,$A$4:$A$203,0))+IF(X148="",Inputs!$B$20,X148),""))))</f>
        <v/>
      </c>
      <c r="Z148" s="14" t="str">
        <f aca="false">IF(OR(Y148="",P148="",E148=""),"",Y148+P148*E148)</f>
        <v/>
      </c>
      <c r="AA148" s="14" t="str">
        <f aca="false">IF(C148="","",IFERROR(INDEX(Noeuds_plan!$C$4:$C$200,MATCH(C148,Noeuds_plan!$A$4:$A$200,0)),""))</f>
        <v/>
      </c>
      <c r="AB148" s="14" t="str">
        <f aca="false">IF(B148="","",IFERROR(INDEX(Noeuds_plan!$C$4:$C$200,MATCH(B148,Noeuds_plan!$A$4:$A$200,0)),""))</f>
        <v/>
      </c>
      <c r="AC148" s="14" t="str">
        <f aca="false">IF(OR(AA148="",Y148=""),"",AA148-Y148)</f>
        <v/>
      </c>
      <c r="AD148" s="14" t="str">
        <f aca="false">IF(OR(AB148="",Z148=""),"",AB148-Z148)</f>
        <v/>
      </c>
      <c r="AE148" s="19" t="str">
        <f aca="false">IF(A148="","",IF(OR(V148&gt;1,AND(AY148&lt;&gt;"",AY148&lt;Inputs!$B$11),AND(AY148&lt;&gt;"",AY148&gt;Inputs!$B$12),AC148&lt;Inputs!$B$19,AD148&lt;Inputs!$B$19,P148&lt;Inputs!$B$7,P148&gt;Inputs!$B$8),"CHECK","OK"))</f>
        <v/>
      </c>
      <c r="AF148" s="9"/>
      <c r="AG148" s="9" t="str">
        <f aca="false">IF(A148="","",(1/Inputs!$B$9)*(PI()*(Inputs!$F$5/1000)^2/4)*((Inputs!$F$5/1000/4)^(2/3))*SQRT(P148))</f>
        <v/>
      </c>
      <c r="AH148" s="9" t="str">
        <f aca="false">IF(A148="","",(1/Inputs!$B$9)*(PI()*(Inputs!$F$6/1000)^2/4)*((Inputs!$F$6/1000/4)^(2/3))*SQRT(P148))</f>
        <v/>
      </c>
      <c r="AI148" s="9" t="str">
        <f aca="false">IF(A148="","",(1/Inputs!$B$9)*(PI()*(Inputs!$F$7/1000)^2/4)*((Inputs!$F$7/1000/4)^(2/3))*SQRT(P148))</f>
        <v/>
      </c>
      <c r="AJ148" s="9" t="str">
        <f aca="false">IF(A148="","",(1/Inputs!$B$9)*(PI()*(Inputs!$F$8/1000)^2/4)*((Inputs!$F$8/1000/4)^(2/3))*SQRT(P148))</f>
        <v/>
      </c>
      <c r="AK148" s="9" t="str">
        <f aca="false">IF(A148="","",(1/Inputs!$B$9)*(PI()*(Inputs!$F$9/1000)^2/4)*((Inputs!$F$9/1000/4)^(2/3))*SQRT(P148))</f>
        <v/>
      </c>
      <c r="AL148" s="9" t="str">
        <f aca="false">IF(A148="","",(1/Inputs!$B$9)*(PI()*(Inputs!$F$10/1000)^2/4)*((Inputs!$F$10/1000/4)^(2/3))*SQRT(P148))</f>
        <v/>
      </c>
      <c r="AM148" s="9" t="str">
        <f aca="false">IF(A148="","",(1/Inputs!$B$9)*(PI()*(Inputs!$F$11/1000)^2/4)*((Inputs!$F$11/1000/4)^(2/3))*SQRT(P148))</f>
        <v/>
      </c>
      <c r="AN148" s="9" t="str">
        <f aca="false">IF(A148="","",(1/Inputs!$B$9)*(PI()*(Inputs!$F$12/1000)^2/4)*((Inputs!$F$12/1000/4)^(2/3))*SQRT(P148))</f>
        <v/>
      </c>
      <c r="AO148" s="9" t="str">
        <f aca="false">IF(A148="","",(1/Inputs!$B$9)*(PI()*(Inputs!$F$13/1000)^2/4)*((Inputs!$F$13/1000/4)^(2/3))*SQRT(P148))</f>
        <v/>
      </c>
      <c r="AP148" s="9" t="str">
        <f aca="false">IF(A148="","",(1/Inputs!$B$9)*(PI()*(Inputs!$F$14/1000)^2/4)*((Inputs!$F$14/1000/4)^(2/3))*SQRT(P148))</f>
        <v/>
      </c>
      <c r="AQ148" s="9" t="str">
        <f aca="false">IF(A148="","",COUNTIF($D$4:$D$203,$A148))</f>
        <v/>
      </c>
      <c r="AR148" s="9" t="str">
        <f aca="false">IF(A148="","",IF(AQ148=0,"START","CONTINUOUS"))</f>
        <v/>
      </c>
      <c r="AS148" s="13" t="str">
        <f aca="false">IF(A148="","",IF(J148="",Inputs!$B$18,J148))</f>
        <v/>
      </c>
      <c r="AT148" s="13" t="str">
        <f aca="false">IF(A148="","",IFERROR(maxifs($AV$4:$AV$203,$D$4:$D$203,$A148),""))</f>
        <v/>
      </c>
      <c r="AU148" s="13" t="str">
        <f aca="false">IF(A148="","",IF(OR(E148="",Inputs!$B$23=""),"",E148/(Inputs!$B$23*60)))</f>
        <v/>
      </c>
      <c r="AV148" s="13" t="str">
        <f aca="false">IF(A148="","",IF(AQ148=0,AS148+AU148,IF(AT148="",AS148+AU148,AT148+AU148)))</f>
        <v/>
      </c>
      <c r="AW148" s="13" t="str">
        <f aca="false">IF(A148="","",W148)</f>
        <v/>
      </c>
      <c r="AX148" s="13" t="str">
        <f aca="false">IF(OR(T148="",P148=""),"",(1/Inputs!$B$9)*((T148/4)^(2/3))*SQRT(P148))</f>
        <v/>
      </c>
      <c r="AY148" s="13" t="str">
        <f aca="false">IF(A148="","",IF(AND(AW148="",AX148="",BA148=""),"",IF(OR(UPPER(TRIM(Inputs!$B$24))="MANNING",UPPER(TRIM(Inputs!$B$24))="M"),AX148,IF(OR(UPPER(TRIM(Inputs!$B$24))="PARTIAL",UPPER(TRIM(Inputs!$B$24))="P"),BA148,IF(OR(UPPER(TRIM(Inputs!$B$24))="MAX",UPPER(TRIM(Inputs!$B$24))="X"),MAX(IF(AW148="",0,AW148),IF(AX148="",0,AX148),IF(BA148="",0,BA148)),AW148)))))</f>
        <v/>
      </c>
      <c r="AZ148" s="13" t="str">
        <f aca="false">IF(BB148="","",CH148)</f>
        <v/>
      </c>
      <c r="BA148" s="13" t="str">
        <f aca="false">IF(OR(BB148="",AZ148="",T148="",T148&lt;=0,AZ148&lt;=0),"",BB148/((T148^2/8)*(2*ACOS(1-2*AZ148/T148)-SIN(2*ACOS(1-2*AZ148/T148)))))</f>
        <v/>
      </c>
      <c r="BB148" s="9" t="str">
        <f aca="false">IF(OR(N148="",BC148=""),"",MIN(N148,BC148))</f>
        <v/>
      </c>
      <c r="BC148" s="9" t="str">
        <f aca="false">IF(OR(N148="",T148="",P148=""),"",IF(OR(T148="",P148="",(0.94*T148)="",T148&lt;=0,(0.94*T148)&lt;=0),"",(1/Inputs!$B$9)*((T148^2/8)*((2*ACOS(1-2*(0.94*T148)/T148))-SIN((2*ACOS(1-2*(0.94*T148)/T148)))))*((((T148^2/8)*((2*ACOS(1-2*(0.94*T148)/T148))-SIN((2*ACOS(1-2*(0.94*T148)/T148)))))/((T148/2)*((2*ACOS(1-2*(0.94*T148)/T148)))))^(2/3))*SQRT(P148)))</f>
        <v/>
      </c>
      <c r="BD148" s="9" t="str">
        <f aca="false">IF(BB148="","",0.001*T148)</f>
        <v/>
      </c>
      <c r="BE148" s="9" t="str">
        <f aca="false">IF(BB148="","",0.94*T148)</f>
        <v/>
      </c>
      <c r="BF148" s="9" t="str">
        <f aca="false">IF(BB148="","",(BD148+BE148)/2)</f>
        <v/>
      </c>
      <c r="BG148" s="9" t="str">
        <f aca="false">IF(OR(T148="",P148="",BF148="",T148&lt;=0,BF148&lt;=0),"",(1/Inputs!$B$9)*((T148^2/8)*((2*ACOS(1-2*BF148/T148))-SIN((2*ACOS(1-2*BF148/T148)))))*((((T148^2/8)*((2*ACOS(1-2*BF148/T148))-SIN((2*ACOS(1-2*BF148/T148)))))/((T148/2)*((2*ACOS(1-2*BF148/T148)))))^(2/3))*SQRT(P148))</f>
        <v/>
      </c>
      <c r="BH148" s="9" t="str">
        <f aca="false">IF(BB148="","",IF(BG148&lt;BB148,BF148,BD148))</f>
        <v/>
      </c>
      <c r="BI148" s="9" t="str">
        <f aca="false">IF(BB148="","",IF(BG148&lt;BB148,BE148,BF148))</f>
        <v/>
      </c>
      <c r="BJ148" s="9" t="str">
        <f aca="false">IF(BB148="","",(BH148+BI148)/2)</f>
        <v/>
      </c>
      <c r="BK148" s="9" t="str">
        <f aca="false">IF(OR(T148="",P148="",BJ148="",T148&lt;=0,BJ148&lt;=0),"",(1/Inputs!$B$9)*((T148^2/8)*((2*ACOS(1-2*BJ148/T148))-SIN((2*ACOS(1-2*BJ148/T148)))))*((((T148^2/8)*((2*ACOS(1-2*BJ148/T148))-SIN((2*ACOS(1-2*BJ148/T148)))))/((T148/2)*((2*ACOS(1-2*BJ148/T148)))))^(2/3))*SQRT(P148))</f>
        <v/>
      </c>
      <c r="BL148" s="9" t="str">
        <f aca="false">IF(BB148="","",IF(BK148&lt;BB148,BJ148,BH148))</f>
        <v/>
      </c>
      <c r="BM148" s="9" t="str">
        <f aca="false">IF(BB148="","",IF(BK148&lt;BB148,BI148,BJ148))</f>
        <v/>
      </c>
      <c r="BN148" s="9" t="str">
        <f aca="false">IF(BB148="","",(BL148+BM148)/2)</f>
        <v/>
      </c>
      <c r="BO148" s="9" t="str">
        <f aca="false">IF(OR(T148="",P148="",BN148="",T148&lt;=0,BN148&lt;=0),"",(1/Inputs!$B$9)*((T148^2/8)*((2*ACOS(1-2*BN148/T148))-SIN((2*ACOS(1-2*BN148/T148)))))*((((T148^2/8)*((2*ACOS(1-2*BN148/T148))-SIN((2*ACOS(1-2*BN148/T148)))))/((T148/2)*((2*ACOS(1-2*BN148/T148)))))^(2/3))*SQRT(P148))</f>
        <v/>
      </c>
      <c r="BP148" s="9" t="str">
        <f aca="false">IF(BB148="","",IF(BO148&lt;BB148,BN148,BL148))</f>
        <v/>
      </c>
      <c r="BQ148" s="9" t="str">
        <f aca="false">IF(BB148="","",IF(BO148&lt;BB148,BM148,BN148))</f>
        <v/>
      </c>
      <c r="BR148" s="9" t="str">
        <f aca="false">IF(BB148="","",(BP148+BQ148)/2)</f>
        <v/>
      </c>
      <c r="BS148" s="9" t="str">
        <f aca="false">IF(OR(T148="",P148="",BR148="",T148&lt;=0,BR148&lt;=0),"",(1/Inputs!$B$9)*((T148^2/8)*((2*ACOS(1-2*BR148/T148))-SIN((2*ACOS(1-2*BR148/T148)))))*((((T148^2/8)*((2*ACOS(1-2*BR148/T148))-SIN((2*ACOS(1-2*BR148/T148)))))/((T148/2)*((2*ACOS(1-2*BR148/T148)))))^(2/3))*SQRT(P148))</f>
        <v/>
      </c>
      <c r="BT148" s="9" t="str">
        <f aca="false">IF(BB148="","",IF(BS148&lt;BB148,BR148,BP148))</f>
        <v/>
      </c>
      <c r="BU148" s="9" t="str">
        <f aca="false">IF(BB148="","",IF(BS148&lt;BB148,BQ148,BR148))</f>
        <v/>
      </c>
      <c r="BV148" s="9" t="str">
        <f aca="false">IF(BB148="","",(BT148+BU148)/2)</f>
        <v/>
      </c>
      <c r="BW148" s="9" t="str">
        <f aca="false">IF(OR(T148="",P148="",BV148="",T148&lt;=0,BV148&lt;=0),"",(1/Inputs!$B$9)*((T148^2/8)*((2*ACOS(1-2*BV148/T148))-SIN((2*ACOS(1-2*BV148/T148)))))*((((T148^2/8)*((2*ACOS(1-2*BV148/T148))-SIN((2*ACOS(1-2*BV148/T148)))))/((T148/2)*((2*ACOS(1-2*BV148/T148)))))^(2/3))*SQRT(P148))</f>
        <v/>
      </c>
      <c r="BX148" s="9" t="str">
        <f aca="false">IF(BB148="","",IF(BW148&lt;BB148,BV148,BT148))</f>
        <v/>
      </c>
      <c r="BY148" s="9" t="str">
        <f aca="false">IF(BB148="","",IF(BW148&lt;BB148,BU148,BV148))</f>
        <v/>
      </c>
      <c r="BZ148" s="9" t="str">
        <f aca="false">IF(BB148="","",(BX148+BY148)/2)</f>
        <v/>
      </c>
      <c r="CA148" s="9" t="str">
        <f aca="false">IF(OR(T148="",P148="",BZ148="",T148&lt;=0,BZ148&lt;=0),"",(1/Inputs!$B$9)*((T148^2/8)*((2*ACOS(1-2*BZ148/T148))-SIN((2*ACOS(1-2*BZ148/T148)))))*((((T148^2/8)*((2*ACOS(1-2*BZ148/T148))-SIN((2*ACOS(1-2*BZ148/T148)))))/((T148/2)*((2*ACOS(1-2*BZ148/T148)))))^(2/3))*SQRT(P148))</f>
        <v/>
      </c>
      <c r="CB148" s="9" t="str">
        <f aca="false">IF(BB148="","",IF(CA148&lt;BB148,BZ148,BX148))</f>
        <v/>
      </c>
      <c r="CC148" s="9" t="str">
        <f aca="false">IF(BB148="","",IF(CA148&lt;BB148,BY148,BZ148))</f>
        <v/>
      </c>
      <c r="CD148" s="9" t="str">
        <f aca="false">IF(BB148="","",(CB148+CC148)/2)</f>
        <v/>
      </c>
      <c r="CE148" s="9" t="str">
        <f aca="false">IF(OR(T148="",P148="",CD148="",T148&lt;=0,CD148&lt;=0),"",(1/Inputs!$B$9)*((T148^2/8)*((2*ACOS(1-2*CD148/T148))-SIN((2*ACOS(1-2*CD148/T148)))))*((((T148^2/8)*((2*ACOS(1-2*CD148/T148))-SIN((2*ACOS(1-2*CD148/T148)))))/((T148/2)*((2*ACOS(1-2*CD148/T148)))))^(2/3))*SQRT(P148))</f>
        <v/>
      </c>
      <c r="CF148" s="9" t="str">
        <f aca="false">IF(BB148="","",IF(CE148&lt;BB148,CD148,CB148))</f>
        <v/>
      </c>
      <c r="CG148" s="9" t="str">
        <f aca="false">IF(BB148="","",IF(CE148&lt;BB148,CC148,CD148))</f>
        <v/>
      </c>
      <c r="CH148" s="9" t="str">
        <f aca="false">IF(BB148="","",(CF148+CG148)/2)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14"/>
      <c r="F149" s="14"/>
      <c r="G149" s="14" t="n">
        <f aca="false">SUMIFS(CB_plan!$C:$C,CB_plan!$B:$B,$A149)</f>
        <v>0</v>
      </c>
      <c r="H149" s="14" t="n">
        <f aca="false">IF(F149="",G149,F149)</f>
        <v>0</v>
      </c>
      <c r="I149" s="9"/>
      <c r="J149" s="14"/>
      <c r="K149" s="14" t="str">
        <f aca="false">IF(A149="","",Inputs!$B$13/((IF(AV149="",Inputs!$B$18,AV149)+Inputs!$B$14)^Inputs!$B$15))</f>
        <v/>
      </c>
      <c r="L149" s="14" t="str">
        <f aca="false">IF(A149="","",0.000000278*IF(I149="",Inputs!$B$17,I149)*H149*K149)</f>
        <v/>
      </c>
      <c r="M149" s="14" t="str">
        <f aca="false">IF(A149="","",SUMIFS($N$4:$N$203,$D$4:$D$203,$A149))</f>
        <v/>
      </c>
      <c r="N149" s="14" t="str">
        <f aca="false">IF(A149="","",(L149+M149)*Inputs!$B$16)</f>
        <v/>
      </c>
      <c r="O149" s="14"/>
      <c r="P149" s="14" t="str">
        <f aca="false">IF(A149="","",IF(O149="",Inputs!$B$7,O149))</f>
        <v/>
      </c>
      <c r="Q149" s="9" t="str">
        <f aca="false">IF(A149="","",IF(N149/Inputs!$B$10&lt;=AG149,Inputs!$F$5,IF(N149/Inputs!$B$10&gt;AP149,"OVERSIZE",INDEX(Inputs!$F$5:$F$14,MATCH(N149/Inputs!$B$10,AG149:AP149,1)+1))))</f>
        <v/>
      </c>
      <c r="R149" s="9"/>
      <c r="S149" s="9" t="str">
        <f aca="false">IF(A149="","",IF(R149="",Q149,R149))</f>
        <v/>
      </c>
      <c r="T149" s="14" t="str">
        <f aca="false">IF(OR(S149="",S149="OVERSIZE"),"",S149/1000)</f>
        <v/>
      </c>
      <c r="U149" s="14" t="str">
        <f aca="false">IF(T149="","",(1/Inputs!$B$9)*(PI()*T149^2/4)*((T149/4)^(2/3))*SQRT(P149))</f>
        <v/>
      </c>
      <c r="V149" s="14" t="str">
        <f aca="false">IF(OR(U149="",N149=""),"",N149/(U149*Inputs!$B$10))</f>
        <v/>
      </c>
      <c r="W149" s="14" t="str">
        <f aca="false">IF(OR(T149="",N149=""),"",4*N149/(PI()*T149^2))</f>
        <v/>
      </c>
      <c r="X149" s="14"/>
      <c r="Y149" s="14" t="str">
        <f aca="false">IF(A149="","",IF(A149=Inputs!$B$6,Inputs!$B$22,IF(D149="","",IFERROR(INDEX($Z$4:$Z$203,MATCH(D149,$A$4:$A$203,0))+IF(X149="",Inputs!$B$20,X149),""))))</f>
        <v/>
      </c>
      <c r="Z149" s="14" t="str">
        <f aca="false">IF(OR(Y149="",P149="",E149=""),"",Y149+P149*E149)</f>
        <v/>
      </c>
      <c r="AA149" s="14" t="str">
        <f aca="false">IF(C149="","",IFERROR(INDEX(Noeuds_plan!$C$4:$C$200,MATCH(C149,Noeuds_plan!$A$4:$A$200,0)),""))</f>
        <v/>
      </c>
      <c r="AB149" s="14" t="str">
        <f aca="false">IF(B149="","",IFERROR(INDEX(Noeuds_plan!$C$4:$C$200,MATCH(B149,Noeuds_plan!$A$4:$A$200,0)),""))</f>
        <v/>
      </c>
      <c r="AC149" s="14" t="str">
        <f aca="false">IF(OR(AA149="",Y149=""),"",AA149-Y149)</f>
        <v/>
      </c>
      <c r="AD149" s="14" t="str">
        <f aca="false">IF(OR(AB149="",Z149=""),"",AB149-Z149)</f>
        <v/>
      </c>
      <c r="AE149" s="19" t="str">
        <f aca="false">IF(A149="","",IF(OR(V149&gt;1,AND(AY149&lt;&gt;"",AY149&lt;Inputs!$B$11),AND(AY149&lt;&gt;"",AY149&gt;Inputs!$B$12),AC149&lt;Inputs!$B$19,AD149&lt;Inputs!$B$19,P149&lt;Inputs!$B$7,P149&gt;Inputs!$B$8),"CHECK","OK"))</f>
        <v/>
      </c>
      <c r="AF149" s="9"/>
      <c r="AG149" s="9" t="str">
        <f aca="false">IF(A149="","",(1/Inputs!$B$9)*(PI()*(Inputs!$F$5/1000)^2/4)*((Inputs!$F$5/1000/4)^(2/3))*SQRT(P149))</f>
        <v/>
      </c>
      <c r="AH149" s="9" t="str">
        <f aca="false">IF(A149="","",(1/Inputs!$B$9)*(PI()*(Inputs!$F$6/1000)^2/4)*((Inputs!$F$6/1000/4)^(2/3))*SQRT(P149))</f>
        <v/>
      </c>
      <c r="AI149" s="9" t="str">
        <f aca="false">IF(A149="","",(1/Inputs!$B$9)*(PI()*(Inputs!$F$7/1000)^2/4)*((Inputs!$F$7/1000/4)^(2/3))*SQRT(P149))</f>
        <v/>
      </c>
      <c r="AJ149" s="9" t="str">
        <f aca="false">IF(A149="","",(1/Inputs!$B$9)*(PI()*(Inputs!$F$8/1000)^2/4)*((Inputs!$F$8/1000/4)^(2/3))*SQRT(P149))</f>
        <v/>
      </c>
      <c r="AK149" s="9" t="str">
        <f aca="false">IF(A149="","",(1/Inputs!$B$9)*(PI()*(Inputs!$F$9/1000)^2/4)*((Inputs!$F$9/1000/4)^(2/3))*SQRT(P149))</f>
        <v/>
      </c>
      <c r="AL149" s="9" t="str">
        <f aca="false">IF(A149="","",(1/Inputs!$B$9)*(PI()*(Inputs!$F$10/1000)^2/4)*((Inputs!$F$10/1000/4)^(2/3))*SQRT(P149))</f>
        <v/>
      </c>
      <c r="AM149" s="9" t="str">
        <f aca="false">IF(A149="","",(1/Inputs!$B$9)*(PI()*(Inputs!$F$11/1000)^2/4)*((Inputs!$F$11/1000/4)^(2/3))*SQRT(P149))</f>
        <v/>
      </c>
      <c r="AN149" s="9" t="str">
        <f aca="false">IF(A149="","",(1/Inputs!$B$9)*(PI()*(Inputs!$F$12/1000)^2/4)*((Inputs!$F$12/1000/4)^(2/3))*SQRT(P149))</f>
        <v/>
      </c>
      <c r="AO149" s="9" t="str">
        <f aca="false">IF(A149="","",(1/Inputs!$B$9)*(PI()*(Inputs!$F$13/1000)^2/4)*((Inputs!$F$13/1000/4)^(2/3))*SQRT(P149))</f>
        <v/>
      </c>
      <c r="AP149" s="9" t="str">
        <f aca="false">IF(A149="","",(1/Inputs!$B$9)*(PI()*(Inputs!$F$14/1000)^2/4)*((Inputs!$F$14/1000/4)^(2/3))*SQRT(P149))</f>
        <v/>
      </c>
      <c r="AQ149" s="9" t="str">
        <f aca="false">IF(A149="","",COUNTIF($D$4:$D$203,$A149))</f>
        <v/>
      </c>
      <c r="AR149" s="9" t="str">
        <f aca="false">IF(A149="","",IF(AQ149=0,"START","CONTINUOUS"))</f>
        <v/>
      </c>
      <c r="AS149" s="13" t="str">
        <f aca="false">IF(A149="","",IF(J149="",Inputs!$B$18,J149))</f>
        <v/>
      </c>
      <c r="AT149" s="13" t="str">
        <f aca="false">IF(A149="","",IFERROR(maxifs($AV$4:$AV$203,$D$4:$D$203,$A149),""))</f>
        <v/>
      </c>
      <c r="AU149" s="13" t="str">
        <f aca="false">IF(A149="","",IF(OR(E149="",Inputs!$B$23=""),"",E149/(Inputs!$B$23*60)))</f>
        <v/>
      </c>
      <c r="AV149" s="13" t="str">
        <f aca="false">IF(A149="","",IF(AQ149=0,AS149+AU149,IF(AT149="",AS149+AU149,AT149+AU149)))</f>
        <v/>
      </c>
      <c r="AW149" s="13" t="str">
        <f aca="false">IF(A149="","",W149)</f>
        <v/>
      </c>
      <c r="AX149" s="13" t="str">
        <f aca="false">IF(OR(T149="",P149=""),"",(1/Inputs!$B$9)*((T149/4)^(2/3))*SQRT(P149))</f>
        <v/>
      </c>
      <c r="AY149" s="13" t="str">
        <f aca="false">IF(A149="","",IF(AND(AW149="",AX149="",BA149=""),"",IF(OR(UPPER(TRIM(Inputs!$B$24))="MANNING",UPPER(TRIM(Inputs!$B$24))="M"),AX149,IF(OR(UPPER(TRIM(Inputs!$B$24))="PARTIAL",UPPER(TRIM(Inputs!$B$24))="P"),BA149,IF(OR(UPPER(TRIM(Inputs!$B$24))="MAX",UPPER(TRIM(Inputs!$B$24))="X"),MAX(IF(AW149="",0,AW149),IF(AX149="",0,AX149),IF(BA149="",0,BA149)),AW149)))))</f>
        <v/>
      </c>
      <c r="AZ149" s="13" t="str">
        <f aca="false">IF(BB149="","",CH149)</f>
        <v/>
      </c>
      <c r="BA149" s="13" t="str">
        <f aca="false">IF(OR(BB149="",AZ149="",T149="",T149&lt;=0,AZ149&lt;=0),"",BB149/((T149^2/8)*(2*ACOS(1-2*AZ149/T149)-SIN(2*ACOS(1-2*AZ149/T149)))))</f>
        <v/>
      </c>
      <c r="BB149" s="9" t="str">
        <f aca="false">IF(OR(N149="",BC149=""),"",MIN(N149,BC149))</f>
        <v/>
      </c>
      <c r="BC149" s="9" t="str">
        <f aca="false">IF(OR(N149="",T149="",P149=""),"",IF(OR(T149="",P149="",(0.94*T149)="",T149&lt;=0,(0.94*T149)&lt;=0),"",(1/Inputs!$B$9)*((T149^2/8)*((2*ACOS(1-2*(0.94*T149)/T149))-SIN((2*ACOS(1-2*(0.94*T149)/T149)))))*((((T149^2/8)*((2*ACOS(1-2*(0.94*T149)/T149))-SIN((2*ACOS(1-2*(0.94*T149)/T149)))))/((T149/2)*((2*ACOS(1-2*(0.94*T149)/T149)))))^(2/3))*SQRT(P149)))</f>
        <v/>
      </c>
      <c r="BD149" s="9" t="str">
        <f aca="false">IF(BB149="","",0.001*T149)</f>
        <v/>
      </c>
      <c r="BE149" s="9" t="str">
        <f aca="false">IF(BB149="","",0.94*T149)</f>
        <v/>
      </c>
      <c r="BF149" s="9" t="str">
        <f aca="false">IF(BB149="","",(BD149+BE149)/2)</f>
        <v/>
      </c>
      <c r="BG149" s="9" t="str">
        <f aca="false">IF(OR(T149="",P149="",BF149="",T149&lt;=0,BF149&lt;=0),"",(1/Inputs!$B$9)*((T149^2/8)*((2*ACOS(1-2*BF149/T149))-SIN((2*ACOS(1-2*BF149/T149)))))*((((T149^2/8)*((2*ACOS(1-2*BF149/T149))-SIN((2*ACOS(1-2*BF149/T149)))))/((T149/2)*((2*ACOS(1-2*BF149/T149)))))^(2/3))*SQRT(P149))</f>
        <v/>
      </c>
      <c r="BH149" s="9" t="str">
        <f aca="false">IF(BB149="","",IF(BG149&lt;BB149,BF149,BD149))</f>
        <v/>
      </c>
      <c r="BI149" s="9" t="str">
        <f aca="false">IF(BB149="","",IF(BG149&lt;BB149,BE149,BF149))</f>
        <v/>
      </c>
      <c r="BJ149" s="9" t="str">
        <f aca="false">IF(BB149="","",(BH149+BI149)/2)</f>
        <v/>
      </c>
      <c r="BK149" s="9" t="str">
        <f aca="false">IF(OR(T149="",P149="",BJ149="",T149&lt;=0,BJ149&lt;=0),"",(1/Inputs!$B$9)*((T149^2/8)*((2*ACOS(1-2*BJ149/T149))-SIN((2*ACOS(1-2*BJ149/T149)))))*((((T149^2/8)*((2*ACOS(1-2*BJ149/T149))-SIN((2*ACOS(1-2*BJ149/T149)))))/((T149/2)*((2*ACOS(1-2*BJ149/T149)))))^(2/3))*SQRT(P149))</f>
        <v/>
      </c>
      <c r="BL149" s="9" t="str">
        <f aca="false">IF(BB149="","",IF(BK149&lt;BB149,BJ149,BH149))</f>
        <v/>
      </c>
      <c r="BM149" s="9" t="str">
        <f aca="false">IF(BB149="","",IF(BK149&lt;BB149,BI149,BJ149))</f>
        <v/>
      </c>
      <c r="BN149" s="9" t="str">
        <f aca="false">IF(BB149="","",(BL149+BM149)/2)</f>
        <v/>
      </c>
      <c r="BO149" s="9" t="str">
        <f aca="false">IF(OR(T149="",P149="",BN149="",T149&lt;=0,BN149&lt;=0),"",(1/Inputs!$B$9)*((T149^2/8)*((2*ACOS(1-2*BN149/T149))-SIN((2*ACOS(1-2*BN149/T149)))))*((((T149^2/8)*((2*ACOS(1-2*BN149/T149))-SIN((2*ACOS(1-2*BN149/T149)))))/((T149/2)*((2*ACOS(1-2*BN149/T149)))))^(2/3))*SQRT(P149))</f>
        <v/>
      </c>
      <c r="BP149" s="9" t="str">
        <f aca="false">IF(BB149="","",IF(BO149&lt;BB149,BN149,BL149))</f>
        <v/>
      </c>
      <c r="BQ149" s="9" t="str">
        <f aca="false">IF(BB149="","",IF(BO149&lt;BB149,BM149,BN149))</f>
        <v/>
      </c>
      <c r="BR149" s="9" t="str">
        <f aca="false">IF(BB149="","",(BP149+BQ149)/2)</f>
        <v/>
      </c>
      <c r="BS149" s="9" t="str">
        <f aca="false">IF(OR(T149="",P149="",BR149="",T149&lt;=0,BR149&lt;=0),"",(1/Inputs!$B$9)*((T149^2/8)*((2*ACOS(1-2*BR149/T149))-SIN((2*ACOS(1-2*BR149/T149)))))*((((T149^2/8)*((2*ACOS(1-2*BR149/T149))-SIN((2*ACOS(1-2*BR149/T149)))))/((T149/2)*((2*ACOS(1-2*BR149/T149)))))^(2/3))*SQRT(P149))</f>
        <v/>
      </c>
      <c r="BT149" s="9" t="str">
        <f aca="false">IF(BB149="","",IF(BS149&lt;BB149,BR149,BP149))</f>
        <v/>
      </c>
      <c r="BU149" s="9" t="str">
        <f aca="false">IF(BB149="","",IF(BS149&lt;BB149,BQ149,BR149))</f>
        <v/>
      </c>
      <c r="BV149" s="9" t="str">
        <f aca="false">IF(BB149="","",(BT149+BU149)/2)</f>
        <v/>
      </c>
      <c r="BW149" s="9" t="str">
        <f aca="false">IF(OR(T149="",P149="",BV149="",T149&lt;=0,BV149&lt;=0),"",(1/Inputs!$B$9)*((T149^2/8)*((2*ACOS(1-2*BV149/T149))-SIN((2*ACOS(1-2*BV149/T149)))))*((((T149^2/8)*((2*ACOS(1-2*BV149/T149))-SIN((2*ACOS(1-2*BV149/T149)))))/((T149/2)*((2*ACOS(1-2*BV149/T149)))))^(2/3))*SQRT(P149))</f>
        <v/>
      </c>
      <c r="BX149" s="9" t="str">
        <f aca="false">IF(BB149="","",IF(BW149&lt;BB149,BV149,BT149))</f>
        <v/>
      </c>
      <c r="BY149" s="9" t="str">
        <f aca="false">IF(BB149="","",IF(BW149&lt;BB149,BU149,BV149))</f>
        <v/>
      </c>
      <c r="BZ149" s="9" t="str">
        <f aca="false">IF(BB149="","",(BX149+BY149)/2)</f>
        <v/>
      </c>
      <c r="CA149" s="9" t="str">
        <f aca="false">IF(OR(T149="",P149="",BZ149="",T149&lt;=0,BZ149&lt;=0),"",(1/Inputs!$B$9)*((T149^2/8)*((2*ACOS(1-2*BZ149/T149))-SIN((2*ACOS(1-2*BZ149/T149)))))*((((T149^2/8)*((2*ACOS(1-2*BZ149/T149))-SIN((2*ACOS(1-2*BZ149/T149)))))/((T149/2)*((2*ACOS(1-2*BZ149/T149)))))^(2/3))*SQRT(P149))</f>
        <v/>
      </c>
      <c r="CB149" s="9" t="str">
        <f aca="false">IF(BB149="","",IF(CA149&lt;BB149,BZ149,BX149))</f>
        <v/>
      </c>
      <c r="CC149" s="9" t="str">
        <f aca="false">IF(BB149="","",IF(CA149&lt;BB149,BY149,BZ149))</f>
        <v/>
      </c>
      <c r="CD149" s="9" t="str">
        <f aca="false">IF(BB149="","",(CB149+CC149)/2)</f>
        <v/>
      </c>
      <c r="CE149" s="9" t="str">
        <f aca="false">IF(OR(T149="",P149="",CD149="",T149&lt;=0,CD149&lt;=0),"",(1/Inputs!$B$9)*((T149^2/8)*((2*ACOS(1-2*CD149/T149))-SIN((2*ACOS(1-2*CD149/T149)))))*((((T149^2/8)*((2*ACOS(1-2*CD149/T149))-SIN((2*ACOS(1-2*CD149/T149)))))/((T149/2)*((2*ACOS(1-2*CD149/T149)))))^(2/3))*SQRT(P149))</f>
        <v/>
      </c>
      <c r="CF149" s="9" t="str">
        <f aca="false">IF(BB149="","",IF(CE149&lt;BB149,CD149,CB149))</f>
        <v/>
      </c>
      <c r="CG149" s="9" t="str">
        <f aca="false">IF(BB149="","",IF(CE149&lt;BB149,CC149,CD149))</f>
        <v/>
      </c>
      <c r="CH149" s="9" t="str">
        <f aca="false">IF(BB149="","",(CF149+CG149)/2)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14"/>
      <c r="F150" s="14"/>
      <c r="G150" s="14" t="n">
        <f aca="false">SUMIFS(CB_plan!$C:$C,CB_plan!$B:$B,$A150)</f>
        <v>0</v>
      </c>
      <c r="H150" s="14" t="n">
        <f aca="false">IF(F150="",G150,F150)</f>
        <v>0</v>
      </c>
      <c r="I150" s="9"/>
      <c r="J150" s="14"/>
      <c r="K150" s="14" t="str">
        <f aca="false">IF(A150="","",Inputs!$B$13/((IF(AV150="",Inputs!$B$18,AV150)+Inputs!$B$14)^Inputs!$B$15))</f>
        <v/>
      </c>
      <c r="L150" s="14" t="str">
        <f aca="false">IF(A150="","",0.000000278*IF(I150="",Inputs!$B$17,I150)*H150*K150)</f>
        <v/>
      </c>
      <c r="M150" s="14" t="str">
        <f aca="false">IF(A150="","",SUMIFS($N$4:$N$203,$D$4:$D$203,$A150))</f>
        <v/>
      </c>
      <c r="N150" s="14" t="str">
        <f aca="false">IF(A150="","",(L150+M150)*Inputs!$B$16)</f>
        <v/>
      </c>
      <c r="O150" s="14"/>
      <c r="P150" s="14" t="str">
        <f aca="false">IF(A150="","",IF(O150="",Inputs!$B$7,O150))</f>
        <v/>
      </c>
      <c r="Q150" s="9" t="str">
        <f aca="false">IF(A150="","",IF(N150/Inputs!$B$10&lt;=AG150,Inputs!$F$5,IF(N150/Inputs!$B$10&gt;AP150,"OVERSIZE",INDEX(Inputs!$F$5:$F$14,MATCH(N150/Inputs!$B$10,AG150:AP150,1)+1))))</f>
        <v/>
      </c>
      <c r="R150" s="9"/>
      <c r="S150" s="9" t="str">
        <f aca="false">IF(A150="","",IF(R150="",Q150,R150))</f>
        <v/>
      </c>
      <c r="T150" s="14" t="str">
        <f aca="false">IF(OR(S150="",S150="OVERSIZE"),"",S150/1000)</f>
        <v/>
      </c>
      <c r="U150" s="14" t="str">
        <f aca="false">IF(T150="","",(1/Inputs!$B$9)*(PI()*T150^2/4)*((T150/4)^(2/3))*SQRT(P150))</f>
        <v/>
      </c>
      <c r="V150" s="14" t="str">
        <f aca="false">IF(OR(U150="",N150=""),"",N150/(U150*Inputs!$B$10))</f>
        <v/>
      </c>
      <c r="W150" s="14" t="str">
        <f aca="false">IF(OR(T150="",N150=""),"",4*N150/(PI()*T150^2))</f>
        <v/>
      </c>
      <c r="X150" s="14"/>
      <c r="Y150" s="14" t="str">
        <f aca="false">IF(A150="","",IF(A150=Inputs!$B$6,Inputs!$B$22,IF(D150="","",IFERROR(INDEX($Z$4:$Z$203,MATCH(D150,$A$4:$A$203,0))+IF(X150="",Inputs!$B$20,X150),""))))</f>
        <v/>
      </c>
      <c r="Z150" s="14" t="str">
        <f aca="false">IF(OR(Y150="",P150="",E150=""),"",Y150+P150*E150)</f>
        <v/>
      </c>
      <c r="AA150" s="14" t="str">
        <f aca="false">IF(C150="","",IFERROR(INDEX(Noeuds_plan!$C$4:$C$200,MATCH(C150,Noeuds_plan!$A$4:$A$200,0)),""))</f>
        <v/>
      </c>
      <c r="AB150" s="14" t="str">
        <f aca="false">IF(B150="","",IFERROR(INDEX(Noeuds_plan!$C$4:$C$200,MATCH(B150,Noeuds_plan!$A$4:$A$200,0)),""))</f>
        <v/>
      </c>
      <c r="AC150" s="14" t="str">
        <f aca="false">IF(OR(AA150="",Y150=""),"",AA150-Y150)</f>
        <v/>
      </c>
      <c r="AD150" s="14" t="str">
        <f aca="false">IF(OR(AB150="",Z150=""),"",AB150-Z150)</f>
        <v/>
      </c>
      <c r="AE150" s="19" t="str">
        <f aca="false">IF(A150="","",IF(OR(V150&gt;1,AND(AY150&lt;&gt;"",AY150&lt;Inputs!$B$11),AND(AY150&lt;&gt;"",AY150&gt;Inputs!$B$12),AC150&lt;Inputs!$B$19,AD150&lt;Inputs!$B$19,P150&lt;Inputs!$B$7,P150&gt;Inputs!$B$8),"CHECK","OK"))</f>
        <v/>
      </c>
      <c r="AF150" s="9"/>
      <c r="AG150" s="9" t="str">
        <f aca="false">IF(A150="","",(1/Inputs!$B$9)*(PI()*(Inputs!$F$5/1000)^2/4)*((Inputs!$F$5/1000/4)^(2/3))*SQRT(P150))</f>
        <v/>
      </c>
      <c r="AH150" s="9" t="str">
        <f aca="false">IF(A150="","",(1/Inputs!$B$9)*(PI()*(Inputs!$F$6/1000)^2/4)*((Inputs!$F$6/1000/4)^(2/3))*SQRT(P150))</f>
        <v/>
      </c>
      <c r="AI150" s="9" t="str">
        <f aca="false">IF(A150="","",(1/Inputs!$B$9)*(PI()*(Inputs!$F$7/1000)^2/4)*((Inputs!$F$7/1000/4)^(2/3))*SQRT(P150))</f>
        <v/>
      </c>
      <c r="AJ150" s="9" t="str">
        <f aca="false">IF(A150="","",(1/Inputs!$B$9)*(PI()*(Inputs!$F$8/1000)^2/4)*((Inputs!$F$8/1000/4)^(2/3))*SQRT(P150))</f>
        <v/>
      </c>
      <c r="AK150" s="9" t="str">
        <f aca="false">IF(A150="","",(1/Inputs!$B$9)*(PI()*(Inputs!$F$9/1000)^2/4)*((Inputs!$F$9/1000/4)^(2/3))*SQRT(P150))</f>
        <v/>
      </c>
      <c r="AL150" s="9" t="str">
        <f aca="false">IF(A150="","",(1/Inputs!$B$9)*(PI()*(Inputs!$F$10/1000)^2/4)*((Inputs!$F$10/1000/4)^(2/3))*SQRT(P150))</f>
        <v/>
      </c>
      <c r="AM150" s="9" t="str">
        <f aca="false">IF(A150="","",(1/Inputs!$B$9)*(PI()*(Inputs!$F$11/1000)^2/4)*((Inputs!$F$11/1000/4)^(2/3))*SQRT(P150))</f>
        <v/>
      </c>
      <c r="AN150" s="9" t="str">
        <f aca="false">IF(A150="","",(1/Inputs!$B$9)*(PI()*(Inputs!$F$12/1000)^2/4)*((Inputs!$F$12/1000/4)^(2/3))*SQRT(P150))</f>
        <v/>
      </c>
      <c r="AO150" s="9" t="str">
        <f aca="false">IF(A150="","",(1/Inputs!$B$9)*(PI()*(Inputs!$F$13/1000)^2/4)*((Inputs!$F$13/1000/4)^(2/3))*SQRT(P150))</f>
        <v/>
      </c>
      <c r="AP150" s="9" t="str">
        <f aca="false">IF(A150="","",(1/Inputs!$B$9)*(PI()*(Inputs!$F$14/1000)^2/4)*((Inputs!$F$14/1000/4)^(2/3))*SQRT(P150))</f>
        <v/>
      </c>
      <c r="AQ150" s="9" t="str">
        <f aca="false">IF(A150="","",COUNTIF($D$4:$D$203,$A150))</f>
        <v/>
      </c>
      <c r="AR150" s="9" t="str">
        <f aca="false">IF(A150="","",IF(AQ150=0,"START","CONTINUOUS"))</f>
        <v/>
      </c>
      <c r="AS150" s="13" t="str">
        <f aca="false">IF(A150="","",IF(J150="",Inputs!$B$18,J150))</f>
        <v/>
      </c>
      <c r="AT150" s="13" t="str">
        <f aca="false">IF(A150="","",IFERROR(maxifs($AV$4:$AV$203,$D$4:$D$203,$A150),""))</f>
        <v/>
      </c>
      <c r="AU150" s="13" t="str">
        <f aca="false">IF(A150="","",IF(OR(E150="",Inputs!$B$23=""),"",E150/(Inputs!$B$23*60)))</f>
        <v/>
      </c>
      <c r="AV150" s="13" t="str">
        <f aca="false">IF(A150="","",IF(AQ150=0,AS150+AU150,IF(AT150="",AS150+AU150,AT150+AU150)))</f>
        <v/>
      </c>
      <c r="AW150" s="13" t="str">
        <f aca="false">IF(A150="","",W150)</f>
        <v/>
      </c>
      <c r="AX150" s="13" t="str">
        <f aca="false">IF(OR(T150="",P150=""),"",(1/Inputs!$B$9)*((T150/4)^(2/3))*SQRT(P150))</f>
        <v/>
      </c>
      <c r="AY150" s="13" t="str">
        <f aca="false">IF(A150="","",IF(AND(AW150="",AX150="",BA150=""),"",IF(OR(UPPER(TRIM(Inputs!$B$24))="MANNING",UPPER(TRIM(Inputs!$B$24))="M"),AX150,IF(OR(UPPER(TRIM(Inputs!$B$24))="PARTIAL",UPPER(TRIM(Inputs!$B$24))="P"),BA150,IF(OR(UPPER(TRIM(Inputs!$B$24))="MAX",UPPER(TRIM(Inputs!$B$24))="X"),MAX(IF(AW150="",0,AW150),IF(AX150="",0,AX150),IF(BA150="",0,BA150)),AW150)))))</f>
        <v/>
      </c>
      <c r="AZ150" s="13" t="str">
        <f aca="false">IF(BB150="","",CH150)</f>
        <v/>
      </c>
      <c r="BA150" s="13" t="str">
        <f aca="false">IF(OR(BB150="",AZ150="",T150="",T150&lt;=0,AZ150&lt;=0),"",BB150/((T150^2/8)*(2*ACOS(1-2*AZ150/T150)-SIN(2*ACOS(1-2*AZ150/T150)))))</f>
        <v/>
      </c>
      <c r="BB150" s="9" t="str">
        <f aca="false">IF(OR(N150="",BC150=""),"",MIN(N150,BC150))</f>
        <v/>
      </c>
      <c r="BC150" s="9" t="str">
        <f aca="false">IF(OR(N150="",T150="",P150=""),"",IF(OR(T150="",P150="",(0.94*T150)="",T150&lt;=0,(0.94*T150)&lt;=0),"",(1/Inputs!$B$9)*((T150^2/8)*((2*ACOS(1-2*(0.94*T150)/T150))-SIN((2*ACOS(1-2*(0.94*T150)/T150)))))*((((T150^2/8)*((2*ACOS(1-2*(0.94*T150)/T150))-SIN((2*ACOS(1-2*(0.94*T150)/T150)))))/((T150/2)*((2*ACOS(1-2*(0.94*T150)/T150)))))^(2/3))*SQRT(P150)))</f>
        <v/>
      </c>
      <c r="BD150" s="9" t="str">
        <f aca="false">IF(BB150="","",0.001*T150)</f>
        <v/>
      </c>
      <c r="BE150" s="9" t="str">
        <f aca="false">IF(BB150="","",0.94*T150)</f>
        <v/>
      </c>
      <c r="BF150" s="9" t="str">
        <f aca="false">IF(BB150="","",(BD150+BE150)/2)</f>
        <v/>
      </c>
      <c r="BG150" s="9" t="str">
        <f aca="false">IF(OR(T150="",P150="",BF150="",T150&lt;=0,BF150&lt;=0),"",(1/Inputs!$B$9)*((T150^2/8)*((2*ACOS(1-2*BF150/T150))-SIN((2*ACOS(1-2*BF150/T150)))))*((((T150^2/8)*((2*ACOS(1-2*BF150/T150))-SIN((2*ACOS(1-2*BF150/T150)))))/((T150/2)*((2*ACOS(1-2*BF150/T150)))))^(2/3))*SQRT(P150))</f>
        <v/>
      </c>
      <c r="BH150" s="9" t="str">
        <f aca="false">IF(BB150="","",IF(BG150&lt;BB150,BF150,BD150))</f>
        <v/>
      </c>
      <c r="BI150" s="9" t="str">
        <f aca="false">IF(BB150="","",IF(BG150&lt;BB150,BE150,BF150))</f>
        <v/>
      </c>
      <c r="BJ150" s="9" t="str">
        <f aca="false">IF(BB150="","",(BH150+BI150)/2)</f>
        <v/>
      </c>
      <c r="BK150" s="9" t="str">
        <f aca="false">IF(OR(T150="",P150="",BJ150="",T150&lt;=0,BJ150&lt;=0),"",(1/Inputs!$B$9)*((T150^2/8)*((2*ACOS(1-2*BJ150/T150))-SIN((2*ACOS(1-2*BJ150/T150)))))*((((T150^2/8)*((2*ACOS(1-2*BJ150/T150))-SIN((2*ACOS(1-2*BJ150/T150)))))/((T150/2)*((2*ACOS(1-2*BJ150/T150)))))^(2/3))*SQRT(P150))</f>
        <v/>
      </c>
      <c r="BL150" s="9" t="str">
        <f aca="false">IF(BB150="","",IF(BK150&lt;BB150,BJ150,BH150))</f>
        <v/>
      </c>
      <c r="BM150" s="9" t="str">
        <f aca="false">IF(BB150="","",IF(BK150&lt;BB150,BI150,BJ150))</f>
        <v/>
      </c>
      <c r="BN150" s="9" t="str">
        <f aca="false">IF(BB150="","",(BL150+BM150)/2)</f>
        <v/>
      </c>
      <c r="BO150" s="9" t="str">
        <f aca="false">IF(OR(T150="",P150="",BN150="",T150&lt;=0,BN150&lt;=0),"",(1/Inputs!$B$9)*((T150^2/8)*((2*ACOS(1-2*BN150/T150))-SIN((2*ACOS(1-2*BN150/T150)))))*((((T150^2/8)*((2*ACOS(1-2*BN150/T150))-SIN((2*ACOS(1-2*BN150/T150)))))/((T150/2)*((2*ACOS(1-2*BN150/T150)))))^(2/3))*SQRT(P150))</f>
        <v/>
      </c>
      <c r="BP150" s="9" t="str">
        <f aca="false">IF(BB150="","",IF(BO150&lt;BB150,BN150,BL150))</f>
        <v/>
      </c>
      <c r="BQ150" s="9" t="str">
        <f aca="false">IF(BB150="","",IF(BO150&lt;BB150,BM150,BN150))</f>
        <v/>
      </c>
      <c r="BR150" s="9" t="str">
        <f aca="false">IF(BB150="","",(BP150+BQ150)/2)</f>
        <v/>
      </c>
      <c r="BS150" s="9" t="str">
        <f aca="false">IF(OR(T150="",P150="",BR150="",T150&lt;=0,BR150&lt;=0),"",(1/Inputs!$B$9)*((T150^2/8)*((2*ACOS(1-2*BR150/T150))-SIN((2*ACOS(1-2*BR150/T150)))))*((((T150^2/8)*((2*ACOS(1-2*BR150/T150))-SIN((2*ACOS(1-2*BR150/T150)))))/((T150/2)*((2*ACOS(1-2*BR150/T150)))))^(2/3))*SQRT(P150))</f>
        <v/>
      </c>
      <c r="BT150" s="9" t="str">
        <f aca="false">IF(BB150="","",IF(BS150&lt;BB150,BR150,BP150))</f>
        <v/>
      </c>
      <c r="BU150" s="9" t="str">
        <f aca="false">IF(BB150="","",IF(BS150&lt;BB150,BQ150,BR150))</f>
        <v/>
      </c>
      <c r="BV150" s="9" t="str">
        <f aca="false">IF(BB150="","",(BT150+BU150)/2)</f>
        <v/>
      </c>
      <c r="BW150" s="9" t="str">
        <f aca="false">IF(OR(T150="",P150="",BV150="",T150&lt;=0,BV150&lt;=0),"",(1/Inputs!$B$9)*((T150^2/8)*((2*ACOS(1-2*BV150/T150))-SIN((2*ACOS(1-2*BV150/T150)))))*((((T150^2/8)*((2*ACOS(1-2*BV150/T150))-SIN((2*ACOS(1-2*BV150/T150)))))/((T150/2)*((2*ACOS(1-2*BV150/T150)))))^(2/3))*SQRT(P150))</f>
        <v/>
      </c>
      <c r="BX150" s="9" t="str">
        <f aca="false">IF(BB150="","",IF(BW150&lt;BB150,BV150,BT150))</f>
        <v/>
      </c>
      <c r="BY150" s="9" t="str">
        <f aca="false">IF(BB150="","",IF(BW150&lt;BB150,BU150,BV150))</f>
        <v/>
      </c>
      <c r="BZ150" s="9" t="str">
        <f aca="false">IF(BB150="","",(BX150+BY150)/2)</f>
        <v/>
      </c>
      <c r="CA150" s="9" t="str">
        <f aca="false">IF(OR(T150="",P150="",BZ150="",T150&lt;=0,BZ150&lt;=0),"",(1/Inputs!$B$9)*((T150^2/8)*((2*ACOS(1-2*BZ150/T150))-SIN((2*ACOS(1-2*BZ150/T150)))))*((((T150^2/8)*((2*ACOS(1-2*BZ150/T150))-SIN((2*ACOS(1-2*BZ150/T150)))))/((T150/2)*((2*ACOS(1-2*BZ150/T150)))))^(2/3))*SQRT(P150))</f>
        <v/>
      </c>
      <c r="CB150" s="9" t="str">
        <f aca="false">IF(BB150="","",IF(CA150&lt;BB150,BZ150,BX150))</f>
        <v/>
      </c>
      <c r="CC150" s="9" t="str">
        <f aca="false">IF(BB150="","",IF(CA150&lt;BB150,BY150,BZ150))</f>
        <v/>
      </c>
      <c r="CD150" s="9" t="str">
        <f aca="false">IF(BB150="","",(CB150+CC150)/2)</f>
        <v/>
      </c>
      <c r="CE150" s="9" t="str">
        <f aca="false">IF(OR(T150="",P150="",CD150="",T150&lt;=0,CD150&lt;=0),"",(1/Inputs!$B$9)*((T150^2/8)*((2*ACOS(1-2*CD150/T150))-SIN((2*ACOS(1-2*CD150/T150)))))*((((T150^2/8)*((2*ACOS(1-2*CD150/T150))-SIN((2*ACOS(1-2*CD150/T150)))))/((T150/2)*((2*ACOS(1-2*CD150/T150)))))^(2/3))*SQRT(P150))</f>
        <v/>
      </c>
      <c r="CF150" s="9" t="str">
        <f aca="false">IF(BB150="","",IF(CE150&lt;BB150,CD150,CB150))</f>
        <v/>
      </c>
      <c r="CG150" s="9" t="str">
        <f aca="false">IF(BB150="","",IF(CE150&lt;BB150,CC150,CD150))</f>
        <v/>
      </c>
      <c r="CH150" s="9" t="str">
        <f aca="false">IF(BB150="","",(CF150+CG150)/2)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14"/>
      <c r="F151" s="14"/>
      <c r="G151" s="14" t="n">
        <f aca="false">SUMIFS(CB_plan!$C:$C,CB_plan!$B:$B,$A151)</f>
        <v>0</v>
      </c>
      <c r="H151" s="14" t="n">
        <f aca="false">IF(F151="",G151,F151)</f>
        <v>0</v>
      </c>
      <c r="I151" s="9"/>
      <c r="J151" s="14"/>
      <c r="K151" s="14" t="str">
        <f aca="false">IF(A151="","",Inputs!$B$13/((IF(AV151="",Inputs!$B$18,AV151)+Inputs!$B$14)^Inputs!$B$15))</f>
        <v/>
      </c>
      <c r="L151" s="14" t="str">
        <f aca="false">IF(A151="","",0.000000278*IF(I151="",Inputs!$B$17,I151)*H151*K151)</f>
        <v/>
      </c>
      <c r="M151" s="14" t="str">
        <f aca="false">IF(A151="","",SUMIFS($N$4:$N$203,$D$4:$D$203,$A151))</f>
        <v/>
      </c>
      <c r="N151" s="14" t="str">
        <f aca="false">IF(A151="","",(L151+M151)*Inputs!$B$16)</f>
        <v/>
      </c>
      <c r="O151" s="14"/>
      <c r="P151" s="14" t="str">
        <f aca="false">IF(A151="","",IF(O151="",Inputs!$B$7,O151))</f>
        <v/>
      </c>
      <c r="Q151" s="9" t="str">
        <f aca="false">IF(A151="","",IF(N151/Inputs!$B$10&lt;=AG151,Inputs!$F$5,IF(N151/Inputs!$B$10&gt;AP151,"OVERSIZE",INDEX(Inputs!$F$5:$F$14,MATCH(N151/Inputs!$B$10,AG151:AP151,1)+1))))</f>
        <v/>
      </c>
      <c r="R151" s="9"/>
      <c r="S151" s="9" t="str">
        <f aca="false">IF(A151="","",IF(R151="",Q151,R151))</f>
        <v/>
      </c>
      <c r="T151" s="14" t="str">
        <f aca="false">IF(OR(S151="",S151="OVERSIZE"),"",S151/1000)</f>
        <v/>
      </c>
      <c r="U151" s="14" t="str">
        <f aca="false">IF(T151="","",(1/Inputs!$B$9)*(PI()*T151^2/4)*((T151/4)^(2/3))*SQRT(P151))</f>
        <v/>
      </c>
      <c r="V151" s="14" t="str">
        <f aca="false">IF(OR(U151="",N151=""),"",N151/(U151*Inputs!$B$10))</f>
        <v/>
      </c>
      <c r="W151" s="14" t="str">
        <f aca="false">IF(OR(T151="",N151=""),"",4*N151/(PI()*T151^2))</f>
        <v/>
      </c>
      <c r="X151" s="14"/>
      <c r="Y151" s="14" t="str">
        <f aca="false">IF(A151="","",IF(A151=Inputs!$B$6,Inputs!$B$22,IF(D151="","",IFERROR(INDEX($Z$4:$Z$203,MATCH(D151,$A$4:$A$203,0))+IF(X151="",Inputs!$B$20,X151),""))))</f>
        <v/>
      </c>
      <c r="Z151" s="14" t="str">
        <f aca="false">IF(OR(Y151="",P151="",E151=""),"",Y151+P151*E151)</f>
        <v/>
      </c>
      <c r="AA151" s="14" t="str">
        <f aca="false">IF(C151="","",IFERROR(INDEX(Noeuds_plan!$C$4:$C$200,MATCH(C151,Noeuds_plan!$A$4:$A$200,0)),""))</f>
        <v/>
      </c>
      <c r="AB151" s="14" t="str">
        <f aca="false">IF(B151="","",IFERROR(INDEX(Noeuds_plan!$C$4:$C$200,MATCH(B151,Noeuds_plan!$A$4:$A$200,0)),""))</f>
        <v/>
      </c>
      <c r="AC151" s="14" t="str">
        <f aca="false">IF(OR(AA151="",Y151=""),"",AA151-Y151)</f>
        <v/>
      </c>
      <c r="AD151" s="14" t="str">
        <f aca="false">IF(OR(AB151="",Z151=""),"",AB151-Z151)</f>
        <v/>
      </c>
      <c r="AE151" s="19" t="str">
        <f aca="false">IF(A151="","",IF(OR(V151&gt;1,AND(AY151&lt;&gt;"",AY151&lt;Inputs!$B$11),AND(AY151&lt;&gt;"",AY151&gt;Inputs!$B$12),AC151&lt;Inputs!$B$19,AD151&lt;Inputs!$B$19,P151&lt;Inputs!$B$7,P151&gt;Inputs!$B$8),"CHECK","OK"))</f>
        <v/>
      </c>
      <c r="AF151" s="9"/>
      <c r="AG151" s="9" t="str">
        <f aca="false">IF(A151="","",(1/Inputs!$B$9)*(PI()*(Inputs!$F$5/1000)^2/4)*((Inputs!$F$5/1000/4)^(2/3))*SQRT(P151))</f>
        <v/>
      </c>
      <c r="AH151" s="9" t="str">
        <f aca="false">IF(A151="","",(1/Inputs!$B$9)*(PI()*(Inputs!$F$6/1000)^2/4)*((Inputs!$F$6/1000/4)^(2/3))*SQRT(P151))</f>
        <v/>
      </c>
      <c r="AI151" s="9" t="str">
        <f aca="false">IF(A151="","",(1/Inputs!$B$9)*(PI()*(Inputs!$F$7/1000)^2/4)*((Inputs!$F$7/1000/4)^(2/3))*SQRT(P151))</f>
        <v/>
      </c>
      <c r="AJ151" s="9" t="str">
        <f aca="false">IF(A151="","",(1/Inputs!$B$9)*(PI()*(Inputs!$F$8/1000)^2/4)*((Inputs!$F$8/1000/4)^(2/3))*SQRT(P151))</f>
        <v/>
      </c>
      <c r="AK151" s="9" t="str">
        <f aca="false">IF(A151="","",(1/Inputs!$B$9)*(PI()*(Inputs!$F$9/1000)^2/4)*((Inputs!$F$9/1000/4)^(2/3))*SQRT(P151))</f>
        <v/>
      </c>
      <c r="AL151" s="9" t="str">
        <f aca="false">IF(A151="","",(1/Inputs!$B$9)*(PI()*(Inputs!$F$10/1000)^2/4)*((Inputs!$F$10/1000/4)^(2/3))*SQRT(P151))</f>
        <v/>
      </c>
      <c r="AM151" s="9" t="str">
        <f aca="false">IF(A151="","",(1/Inputs!$B$9)*(PI()*(Inputs!$F$11/1000)^2/4)*((Inputs!$F$11/1000/4)^(2/3))*SQRT(P151))</f>
        <v/>
      </c>
      <c r="AN151" s="9" t="str">
        <f aca="false">IF(A151="","",(1/Inputs!$B$9)*(PI()*(Inputs!$F$12/1000)^2/4)*((Inputs!$F$12/1000/4)^(2/3))*SQRT(P151))</f>
        <v/>
      </c>
      <c r="AO151" s="9" t="str">
        <f aca="false">IF(A151="","",(1/Inputs!$B$9)*(PI()*(Inputs!$F$13/1000)^2/4)*((Inputs!$F$13/1000/4)^(2/3))*SQRT(P151))</f>
        <v/>
      </c>
      <c r="AP151" s="9" t="str">
        <f aca="false">IF(A151="","",(1/Inputs!$B$9)*(PI()*(Inputs!$F$14/1000)^2/4)*((Inputs!$F$14/1000/4)^(2/3))*SQRT(P151))</f>
        <v/>
      </c>
      <c r="AQ151" s="9" t="str">
        <f aca="false">IF(A151="","",COUNTIF($D$4:$D$203,$A151))</f>
        <v/>
      </c>
      <c r="AR151" s="9" t="str">
        <f aca="false">IF(A151="","",IF(AQ151=0,"START","CONTINUOUS"))</f>
        <v/>
      </c>
      <c r="AS151" s="13" t="str">
        <f aca="false">IF(A151="","",IF(J151="",Inputs!$B$18,J151))</f>
        <v/>
      </c>
      <c r="AT151" s="13" t="str">
        <f aca="false">IF(A151="","",IFERROR(maxifs($AV$4:$AV$203,$D$4:$D$203,$A151),""))</f>
        <v/>
      </c>
      <c r="AU151" s="13" t="str">
        <f aca="false">IF(A151="","",IF(OR(E151="",Inputs!$B$23=""),"",E151/(Inputs!$B$23*60)))</f>
        <v/>
      </c>
      <c r="AV151" s="13" t="str">
        <f aca="false">IF(A151="","",IF(AQ151=0,AS151+AU151,IF(AT151="",AS151+AU151,AT151+AU151)))</f>
        <v/>
      </c>
      <c r="AW151" s="13" t="str">
        <f aca="false">IF(A151="","",W151)</f>
        <v/>
      </c>
      <c r="AX151" s="13" t="str">
        <f aca="false">IF(OR(T151="",P151=""),"",(1/Inputs!$B$9)*((T151/4)^(2/3))*SQRT(P151))</f>
        <v/>
      </c>
      <c r="AY151" s="13" t="str">
        <f aca="false">IF(A151="","",IF(AND(AW151="",AX151="",BA151=""),"",IF(OR(UPPER(TRIM(Inputs!$B$24))="MANNING",UPPER(TRIM(Inputs!$B$24))="M"),AX151,IF(OR(UPPER(TRIM(Inputs!$B$24))="PARTIAL",UPPER(TRIM(Inputs!$B$24))="P"),BA151,IF(OR(UPPER(TRIM(Inputs!$B$24))="MAX",UPPER(TRIM(Inputs!$B$24))="X"),MAX(IF(AW151="",0,AW151),IF(AX151="",0,AX151),IF(BA151="",0,BA151)),AW151)))))</f>
        <v/>
      </c>
      <c r="AZ151" s="13" t="str">
        <f aca="false">IF(BB151="","",CH151)</f>
        <v/>
      </c>
      <c r="BA151" s="13" t="str">
        <f aca="false">IF(OR(BB151="",AZ151="",T151="",T151&lt;=0,AZ151&lt;=0),"",BB151/((T151^2/8)*(2*ACOS(1-2*AZ151/T151)-SIN(2*ACOS(1-2*AZ151/T151)))))</f>
        <v/>
      </c>
      <c r="BB151" s="9" t="str">
        <f aca="false">IF(OR(N151="",BC151=""),"",MIN(N151,BC151))</f>
        <v/>
      </c>
      <c r="BC151" s="9" t="str">
        <f aca="false">IF(OR(N151="",T151="",P151=""),"",IF(OR(T151="",P151="",(0.94*T151)="",T151&lt;=0,(0.94*T151)&lt;=0),"",(1/Inputs!$B$9)*((T151^2/8)*((2*ACOS(1-2*(0.94*T151)/T151))-SIN((2*ACOS(1-2*(0.94*T151)/T151)))))*((((T151^2/8)*((2*ACOS(1-2*(0.94*T151)/T151))-SIN((2*ACOS(1-2*(0.94*T151)/T151)))))/((T151/2)*((2*ACOS(1-2*(0.94*T151)/T151)))))^(2/3))*SQRT(P151)))</f>
        <v/>
      </c>
      <c r="BD151" s="9" t="str">
        <f aca="false">IF(BB151="","",0.001*T151)</f>
        <v/>
      </c>
      <c r="BE151" s="9" t="str">
        <f aca="false">IF(BB151="","",0.94*T151)</f>
        <v/>
      </c>
      <c r="BF151" s="9" t="str">
        <f aca="false">IF(BB151="","",(BD151+BE151)/2)</f>
        <v/>
      </c>
      <c r="BG151" s="9" t="str">
        <f aca="false">IF(OR(T151="",P151="",BF151="",T151&lt;=0,BF151&lt;=0),"",(1/Inputs!$B$9)*((T151^2/8)*((2*ACOS(1-2*BF151/T151))-SIN((2*ACOS(1-2*BF151/T151)))))*((((T151^2/8)*((2*ACOS(1-2*BF151/T151))-SIN((2*ACOS(1-2*BF151/T151)))))/((T151/2)*((2*ACOS(1-2*BF151/T151)))))^(2/3))*SQRT(P151))</f>
        <v/>
      </c>
      <c r="BH151" s="9" t="str">
        <f aca="false">IF(BB151="","",IF(BG151&lt;BB151,BF151,BD151))</f>
        <v/>
      </c>
      <c r="BI151" s="9" t="str">
        <f aca="false">IF(BB151="","",IF(BG151&lt;BB151,BE151,BF151))</f>
        <v/>
      </c>
      <c r="BJ151" s="9" t="str">
        <f aca="false">IF(BB151="","",(BH151+BI151)/2)</f>
        <v/>
      </c>
      <c r="BK151" s="9" t="str">
        <f aca="false">IF(OR(T151="",P151="",BJ151="",T151&lt;=0,BJ151&lt;=0),"",(1/Inputs!$B$9)*((T151^2/8)*((2*ACOS(1-2*BJ151/T151))-SIN((2*ACOS(1-2*BJ151/T151)))))*((((T151^2/8)*((2*ACOS(1-2*BJ151/T151))-SIN((2*ACOS(1-2*BJ151/T151)))))/((T151/2)*((2*ACOS(1-2*BJ151/T151)))))^(2/3))*SQRT(P151))</f>
        <v/>
      </c>
      <c r="BL151" s="9" t="str">
        <f aca="false">IF(BB151="","",IF(BK151&lt;BB151,BJ151,BH151))</f>
        <v/>
      </c>
      <c r="BM151" s="9" t="str">
        <f aca="false">IF(BB151="","",IF(BK151&lt;BB151,BI151,BJ151))</f>
        <v/>
      </c>
      <c r="BN151" s="9" t="str">
        <f aca="false">IF(BB151="","",(BL151+BM151)/2)</f>
        <v/>
      </c>
      <c r="BO151" s="9" t="str">
        <f aca="false">IF(OR(T151="",P151="",BN151="",T151&lt;=0,BN151&lt;=0),"",(1/Inputs!$B$9)*((T151^2/8)*((2*ACOS(1-2*BN151/T151))-SIN((2*ACOS(1-2*BN151/T151)))))*((((T151^2/8)*((2*ACOS(1-2*BN151/T151))-SIN((2*ACOS(1-2*BN151/T151)))))/((T151/2)*((2*ACOS(1-2*BN151/T151)))))^(2/3))*SQRT(P151))</f>
        <v/>
      </c>
      <c r="BP151" s="9" t="str">
        <f aca="false">IF(BB151="","",IF(BO151&lt;BB151,BN151,BL151))</f>
        <v/>
      </c>
      <c r="BQ151" s="9" t="str">
        <f aca="false">IF(BB151="","",IF(BO151&lt;BB151,BM151,BN151))</f>
        <v/>
      </c>
      <c r="BR151" s="9" t="str">
        <f aca="false">IF(BB151="","",(BP151+BQ151)/2)</f>
        <v/>
      </c>
      <c r="BS151" s="9" t="str">
        <f aca="false">IF(OR(T151="",P151="",BR151="",T151&lt;=0,BR151&lt;=0),"",(1/Inputs!$B$9)*((T151^2/8)*((2*ACOS(1-2*BR151/T151))-SIN((2*ACOS(1-2*BR151/T151)))))*((((T151^2/8)*((2*ACOS(1-2*BR151/T151))-SIN((2*ACOS(1-2*BR151/T151)))))/((T151/2)*((2*ACOS(1-2*BR151/T151)))))^(2/3))*SQRT(P151))</f>
        <v/>
      </c>
      <c r="BT151" s="9" t="str">
        <f aca="false">IF(BB151="","",IF(BS151&lt;BB151,BR151,BP151))</f>
        <v/>
      </c>
      <c r="BU151" s="9" t="str">
        <f aca="false">IF(BB151="","",IF(BS151&lt;BB151,BQ151,BR151))</f>
        <v/>
      </c>
      <c r="BV151" s="9" t="str">
        <f aca="false">IF(BB151="","",(BT151+BU151)/2)</f>
        <v/>
      </c>
      <c r="BW151" s="9" t="str">
        <f aca="false">IF(OR(T151="",P151="",BV151="",T151&lt;=0,BV151&lt;=0),"",(1/Inputs!$B$9)*((T151^2/8)*((2*ACOS(1-2*BV151/T151))-SIN((2*ACOS(1-2*BV151/T151)))))*((((T151^2/8)*((2*ACOS(1-2*BV151/T151))-SIN((2*ACOS(1-2*BV151/T151)))))/((T151/2)*((2*ACOS(1-2*BV151/T151)))))^(2/3))*SQRT(P151))</f>
        <v/>
      </c>
      <c r="BX151" s="9" t="str">
        <f aca="false">IF(BB151="","",IF(BW151&lt;BB151,BV151,BT151))</f>
        <v/>
      </c>
      <c r="BY151" s="9" t="str">
        <f aca="false">IF(BB151="","",IF(BW151&lt;BB151,BU151,BV151))</f>
        <v/>
      </c>
      <c r="BZ151" s="9" t="str">
        <f aca="false">IF(BB151="","",(BX151+BY151)/2)</f>
        <v/>
      </c>
      <c r="CA151" s="9" t="str">
        <f aca="false">IF(OR(T151="",P151="",BZ151="",T151&lt;=0,BZ151&lt;=0),"",(1/Inputs!$B$9)*((T151^2/8)*((2*ACOS(1-2*BZ151/T151))-SIN((2*ACOS(1-2*BZ151/T151)))))*((((T151^2/8)*((2*ACOS(1-2*BZ151/T151))-SIN((2*ACOS(1-2*BZ151/T151)))))/((T151/2)*((2*ACOS(1-2*BZ151/T151)))))^(2/3))*SQRT(P151))</f>
        <v/>
      </c>
      <c r="CB151" s="9" t="str">
        <f aca="false">IF(BB151="","",IF(CA151&lt;BB151,BZ151,BX151))</f>
        <v/>
      </c>
      <c r="CC151" s="9" t="str">
        <f aca="false">IF(BB151="","",IF(CA151&lt;BB151,BY151,BZ151))</f>
        <v/>
      </c>
      <c r="CD151" s="9" t="str">
        <f aca="false">IF(BB151="","",(CB151+CC151)/2)</f>
        <v/>
      </c>
      <c r="CE151" s="9" t="str">
        <f aca="false">IF(OR(T151="",P151="",CD151="",T151&lt;=0,CD151&lt;=0),"",(1/Inputs!$B$9)*((T151^2/8)*((2*ACOS(1-2*CD151/T151))-SIN((2*ACOS(1-2*CD151/T151)))))*((((T151^2/8)*((2*ACOS(1-2*CD151/T151))-SIN((2*ACOS(1-2*CD151/T151)))))/((T151/2)*((2*ACOS(1-2*CD151/T151)))))^(2/3))*SQRT(P151))</f>
        <v/>
      </c>
      <c r="CF151" s="9" t="str">
        <f aca="false">IF(BB151="","",IF(CE151&lt;BB151,CD151,CB151))</f>
        <v/>
      </c>
      <c r="CG151" s="9" t="str">
        <f aca="false">IF(BB151="","",IF(CE151&lt;BB151,CC151,CD151))</f>
        <v/>
      </c>
      <c r="CH151" s="9" t="str">
        <f aca="false">IF(BB151="","",(CF151+CG151)/2)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14"/>
      <c r="F152" s="14"/>
      <c r="G152" s="14" t="n">
        <f aca="false">SUMIFS(CB_plan!$C:$C,CB_plan!$B:$B,$A152)</f>
        <v>0</v>
      </c>
      <c r="H152" s="14" t="n">
        <f aca="false">IF(F152="",G152,F152)</f>
        <v>0</v>
      </c>
      <c r="I152" s="9"/>
      <c r="J152" s="14"/>
      <c r="K152" s="14" t="str">
        <f aca="false">IF(A152="","",Inputs!$B$13/((IF(AV152="",Inputs!$B$18,AV152)+Inputs!$B$14)^Inputs!$B$15))</f>
        <v/>
      </c>
      <c r="L152" s="14" t="str">
        <f aca="false">IF(A152="","",0.000000278*IF(I152="",Inputs!$B$17,I152)*H152*K152)</f>
        <v/>
      </c>
      <c r="M152" s="14" t="str">
        <f aca="false">IF(A152="","",SUMIFS($N$4:$N$203,$D$4:$D$203,$A152))</f>
        <v/>
      </c>
      <c r="N152" s="14" t="str">
        <f aca="false">IF(A152="","",(L152+M152)*Inputs!$B$16)</f>
        <v/>
      </c>
      <c r="O152" s="14"/>
      <c r="P152" s="14" t="str">
        <f aca="false">IF(A152="","",IF(O152="",Inputs!$B$7,O152))</f>
        <v/>
      </c>
      <c r="Q152" s="9" t="str">
        <f aca="false">IF(A152="","",IF(N152/Inputs!$B$10&lt;=AG152,Inputs!$F$5,IF(N152/Inputs!$B$10&gt;AP152,"OVERSIZE",INDEX(Inputs!$F$5:$F$14,MATCH(N152/Inputs!$B$10,AG152:AP152,1)+1))))</f>
        <v/>
      </c>
      <c r="R152" s="9"/>
      <c r="S152" s="9" t="str">
        <f aca="false">IF(A152="","",IF(R152="",Q152,R152))</f>
        <v/>
      </c>
      <c r="T152" s="14" t="str">
        <f aca="false">IF(OR(S152="",S152="OVERSIZE"),"",S152/1000)</f>
        <v/>
      </c>
      <c r="U152" s="14" t="str">
        <f aca="false">IF(T152="","",(1/Inputs!$B$9)*(PI()*T152^2/4)*((T152/4)^(2/3))*SQRT(P152))</f>
        <v/>
      </c>
      <c r="V152" s="14" t="str">
        <f aca="false">IF(OR(U152="",N152=""),"",N152/(U152*Inputs!$B$10))</f>
        <v/>
      </c>
      <c r="W152" s="14" t="str">
        <f aca="false">IF(OR(T152="",N152=""),"",4*N152/(PI()*T152^2))</f>
        <v/>
      </c>
      <c r="X152" s="14"/>
      <c r="Y152" s="14" t="str">
        <f aca="false">IF(A152="","",IF(A152=Inputs!$B$6,Inputs!$B$22,IF(D152="","",IFERROR(INDEX($Z$4:$Z$203,MATCH(D152,$A$4:$A$203,0))+IF(X152="",Inputs!$B$20,X152),""))))</f>
        <v/>
      </c>
      <c r="Z152" s="14" t="str">
        <f aca="false">IF(OR(Y152="",P152="",E152=""),"",Y152+P152*E152)</f>
        <v/>
      </c>
      <c r="AA152" s="14" t="str">
        <f aca="false">IF(C152="","",IFERROR(INDEX(Noeuds_plan!$C$4:$C$200,MATCH(C152,Noeuds_plan!$A$4:$A$200,0)),""))</f>
        <v/>
      </c>
      <c r="AB152" s="14" t="str">
        <f aca="false">IF(B152="","",IFERROR(INDEX(Noeuds_plan!$C$4:$C$200,MATCH(B152,Noeuds_plan!$A$4:$A$200,0)),""))</f>
        <v/>
      </c>
      <c r="AC152" s="14" t="str">
        <f aca="false">IF(OR(AA152="",Y152=""),"",AA152-Y152)</f>
        <v/>
      </c>
      <c r="AD152" s="14" t="str">
        <f aca="false">IF(OR(AB152="",Z152=""),"",AB152-Z152)</f>
        <v/>
      </c>
      <c r="AE152" s="19" t="str">
        <f aca="false">IF(A152="","",IF(OR(V152&gt;1,AND(AY152&lt;&gt;"",AY152&lt;Inputs!$B$11),AND(AY152&lt;&gt;"",AY152&gt;Inputs!$B$12),AC152&lt;Inputs!$B$19,AD152&lt;Inputs!$B$19,P152&lt;Inputs!$B$7,P152&gt;Inputs!$B$8),"CHECK","OK"))</f>
        <v/>
      </c>
      <c r="AF152" s="9"/>
      <c r="AG152" s="9" t="str">
        <f aca="false">IF(A152="","",(1/Inputs!$B$9)*(PI()*(Inputs!$F$5/1000)^2/4)*((Inputs!$F$5/1000/4)^(2/3))*SQRT(P152))</f>
        <v/>
      </c>
      <c r="AH152" s="9" t="str">
        <f aca="false">IF(A152="","",(1/Inputs!$B$9)*(PI()*(Inputs!$F$6/1000)^2/4)*((Inputs!$F$6/1000/4)^(2/3))*SQRT(P152))</f>
        <v/>
      </c>
      <c r="AI152" s="9" t="str">
        <f aca="false">IF(A152="","",(1/Inputs!$B$9)*(PI()*(Inputs!$F$7/1000)^2/4)*((Inputs!$F$7/1000/4)^(2/3))*SQRT(P152))</f>
        <v/>
      </c>
      <c r="AJ152" s="9" t="str">
        <f aca="false">IF(A152="","",(1/Inputs!$B$9)*(PI()*(Inputs!$F$8/1000)^2/4)*((Inputs!$F$8/1000/4)^(2/3))*SQRT(P152))</f>
        <v/>
      </c>
      <c r="AK152" s="9" t="str">
        <f aca="false">IF(A152="","",(1/Inputs!$B$9)*(PI()*(Inputs!$F$9/1000)^2/4)*((Inputs!$F$9/1000/4)^(2/3))*SQRT(P152))</f>
        <v/>
      </c>
      <c r="AL152" s="9" t="str">
        <f aca="false">IF(A152="","",(1/Inputs!$B$9)*(PI()*(Inputs!$F$10/1000)^2/4)*((Inputs!$F$10/1000/4)^(2/3))*SQRT(P152))</f>
        <v/>
      </c>
      <c r="AM152" s="9" t="str">
        <f aca="false">IF(A152="","",(1/Inputs!$B$9)*(PI()*(Inputs!$F$11/1000)^2/4)*((Inputs!$F$11/1000/4)^(2/3))*SQRT(P152))</f>
        <v/>
      </c>
      <c r="AN152" s="9" t="str">
        <f aca="false">IF(A152="","",(1/Inputs!$B$9)*(PI()*(Inputs!$F$12/1000)^2/4)*((Inputs!$F$12/1000/4)^(2/3))*SQRT(P152))</f>
        <v/>
      </c>
      <c r="AO152" s="9" t="str">
        <f aca="false">IF(A152="","",(1/Inputs!$B$9)*(PI()*(Inputs!$F$13/1000)^2/4)*((Inputs!$F$13/1000/4)^(2/3))*SQRT(P152))</f>
        <v/>
      </c>
      <c r="AP152" s="9" t="str">
        <f aca="false">IF(A152="","",(1/Inputs!$B$9)*(PI()*(Inputs!$F$14/1000)^2/4)*((Inputs!$F$14/1000/4)^(2/3))*SQRT(P152))</f>
        <v/>
      </c>
      <c r="AQ152" s="9" t="str">
        <f aca="false">IF(A152="","",COUNTIF($D$4:$D$203,$A152))</f>
        <v/>
      </c>
      <c r="AR152" s="9" t="str">
        <f aca="false">IF(A152="","",IF(AQ152=0,"START","CONTINUOUS"))</f>
        <v/>
      </c>
      <c r="AS152" s="13" t="str">
        <f aca="false">IF(A152="","",IF(J152="",Inputs!$B$18,J152))</f>
        <v/>
      </c>
      <c r="AT152" s="13" t="str">
        <f aca="false">IF(A152="","",IFERROR(maxifs($AV$4:$AV$203,$D$4:$D$203,$A152),""))</f>
        <v/>
      </c>
      <c r="AU152" s="13" t="str">
        <f aca="false">IF(A152="","",IF(OR(E152="",Inputs!$B$23=""),"",E152/(Inputs!$B$23*60)))</f>
        <v/>
      </c>
      <c r="AV152" s="13" t="str">
        <f aca="false">IF(A152="","",IF(AQ152=0,AS152+AU152,IF(AT152="",AS152+AU152,AT152+AU152)))</f>
        <v/>
      </c>
      <c r="AW152" s="13" t="str">
        <f aca="false">IF(A152="","",W152)</f>
        <v/>
      </c>
      <c r="AX152" s="13" t="str">
        <f aca="false">IF(OR(T152="",P152=""),"",(1/Inputs!$B$9)*((T152/4)^(2/3))*SQRT(P152))</f>
        <v/>
      </c>
      <c r="AY152" s="13" t="str">
        <f aca="false">IF(A152="","",IF(AND(AW152="",AX152="",BA152=""),"",IF(OR(UPPER(TRIM(Inputs!$B$24))="MANNING",UPPER(TRIM(Inputs!$B$24))="M"),AX152,IF(OR(UPPER(TRIM(Inputs!$B$24))="PARTIAL",UPPER(TRIM(Inputs!$B$24))="P"),BA152,IF(OR(UPPER(TRIM(Inputs!$B$24))="MAX",UPPER(TRIM(Inputs!$B$24))="X"),MAX(IF(AW152="",0,AW152),IF(AX152="",0,AX152),IF(BA152="",0,BA152)),AW152)))))</f>
        <v/>
      </c>
      <c r="AZ152" s="13" t="str">
        <f aca="false">IF(BB152="","",CH152)</f>
        <v/>
      </c>
      <c r="BA152" s="13" t="str">
        <f aca="false">IF(OR(BB152="",AZ152="",T152="",T152&lt;=0,AZ152&lt;=0),"",BB152/((T152^2/8)*(2*ACOS(1-2*AZ152/T152)-SIN(2*ACOS(1-2*AZ152/T152)))))</f>
        <v/>
      </c>
      <c r="BB152" s="9" t="str">
        <f aca="false">IF(OR(N152="",BC152=""),"",MIN(N152,BC152))</f>
        <v/>
      </c>
      <c r="BC152" s="9" t="str">
        <f aca="false">IF(OR(N152="",T152="",P152=""),"",IF(OR(T152="",P152="",(0.94*T152)="",T152&lt;=0,(0.94*T152)&lt;=0),"",(1/Inputs!$B$9)*((T152^2/8)*((2*ACOS(1-2*(0.94*T152)/T152))-SIN((2*ACOS(1-2*(0.94*T152)/T152)))))*((((T152^2/8)*((2*ACOS(1-2*(0.94*T152)/T152))-SIN((2*ACOS(1-2*(0.94*T152)/T152)))))/((T152/2)*((2*ACOS(1-2*(0.94*T152)/T152)))))^(2/3))*SQRT(P152)))</f>
        <v/>
      </c>
      <c r="BD152" s="9" t="str">
        <f aca="false">IF(BB152="","",0.001*T152)</f>
        <v/>
      </c>
      <c r="BE152" s="9" t="str">
        <f aca="false">IF(BB152="","",0.94*T152)</f>
        <v/>
      </c>
      <c r="BF152" s="9" t="str">
        <f aca="false">IF(BB152="","",(BD152+BE152)/2)</f>
        <v/>
      </c>
      <c r="BG152" s="9" t="str">
        <f aca="false">IF(OR(T152="",P152="",BF152="",T152&lt;=0,BF152&lt;=0),"",(1/Inputs!$B$9)*((T152^2/8)*((2*ACOS(1-2*BF152/T152))-SIN((2*ACOS(1-2*BF152/T152)))))*((((T152^2/8)*((2*ACOS(1-2*BF152/T152))-SIN((2*ACOS(1-2*BF152/T152)))))/((T152/2)*((2*ACOS(1-2*BF152/T152)))))^(2/3))*SQRT(P152))</f>
        <v/>
      </c>
      <c r="BH152" s="9" t="str">
        <f aca="false">IF(BB152="","",IF(BG152&lt;BB152,BF152,BD152))</f>
        <v/>
      </c>
      <c r="BI152" s="9" t="str">
        <f aca="false">IF(BB152="","",IF(BG152&lt;BB152,BE152,BF152))</f>
        <v/>
      </c>
      <c r="BJ152" s="9" t="str">
        <f aca="false">IF(BB152="","",(BH152+BI152)/2)</f>
        <v/>
      </c>
      <c r="BK152" s="9" t="str">
        <f aca="false">IF(OR(T152="",P152="",BJ152="",T152&lt;=0,BJ152&lt;=0),"",(1/Inputs!$B$9)*((T152^2/8)*((2*ACOS(1-2*BJ152/T152))-SIN((2*ACOS(1-2*BJ152/T152)))))*((((T152^2/8)*((2*ACOS(1-2*BJ152/T152))-SIN((2*ACOS(1-2*BJ152/T152)))))/((T152/2)*((2*ACOS(1-2*BJ152/T152)))))^(2/3))*SQRT(P152))</f>
        <v/>
      </c>
      <c r="BL152" s="9" t="str">
        <f aca="false">IF(BB152="","",IF(BK152&lt;BB152,BJ152,BH152))</f>
        <v/>
      </c>
      <c r="BM152" s="9" t="str">
        <f aca="false">IF(BB152="","",IF(BK152&lt;BB152,BI152,BJ152))</f>
        <v/>
      </c>
      <c r="BN152" s="9" t="str">
        <f aca="false">IF(BB152="","",(BL152+BM152)/2)</f>
        <v/>
      </c>
      <c r="BO152" s="9" t="str">
        <f aca="false">IF(OR(T152="",P152="",BN152="",T152&lt;=0,BN152&lt;=0),"",(1/Inputs!$B$9)*((T152^2/8)*((2*ACOS(1-2*BN152/T152))-SIN((2*ACOS(1-2*BN152/T152)))))*((((T152^2/8)*((2*ACOS(1-2*BN152/T152))-SIN((2*ACOS(1-2*BN152/T152)))))/((T152/2)*((2*ACOS(1-2*BN152/T152)))))^(2/3))*SQRT(P152))</f>
        <v/>
      </c>
      <c r="BP152" s="9" t="str">
        <f aca="false">IF(BB152="","",IF(BO152&lt;BB152,BN152,BL152))</f>
        <v/>
      </c>
      <c r="BQ152" s="9" t="str">
        <f aca="false">IF(BB152="","",IF(BO152&lt;BB152,BM152,BN152))</f>
        <v/>
      </c>
      <c r="BR152" s="9" t="str">
        <f aca="false">IF(BB152="","",(BP152+BQ152)/2)</f>
        <v/>
      </c>
      <c r="BS152" s="9" t="str">
        <f aca="false">IF(OR(T152="",P152="",BR152="",T152&lt;=0,BR152&lt;=0),"",(1/Inputs!$B$9)*((T152^2/8)*((2*ACOS(1-2*BR152/T152))-SIN((2*ACOS(1-2*BR152/T152)))))*((((T152^2/8)*((2*ACOS(1-2*BR152/T152))-SIN((2*ACOS(1-2*BR152/T152)))))/((T152/2)*((2*ACOS(1-2*BR152/T152)))))^(2/3))*SQRT(P152))</f>
        <v/>
      </c>
      <c r="BT152" s="9" t="str">
        <f aca="false">IF(BB152="","",IF(BS152&lt;BB152,BR152,BP152))</f>
        <v/>
      </c>
      <c r="BU152" s="9" t="str">
        <f aca="false">IF(BB152="","",IF(BS152&lt;BB152,BQ152,BR152))</f>
        <v/>
      </c>
      <c r="BV152" s="9" t="str">
        <f aca="false">IF(BB152="","",(BT152+BU152)/2)</f>
        <v/>
      </c>
      <c r="BW152" s="9" t="str">
        <f aca="false">IF(OR(T152="",P152="",BV152="",T152&lt;=0,BV152&lt;=0),"",(1/Inputs!$B$9)*((T152^2/8)*((2*ACOS(1-2*BV152/T152))-SIN((2*ACOS(1-2*BV152/T152)))))*((((T152^2/8)*((2*ACOS(1-2*BV152/T152))-SIN((2*ACOS(1-2*BV152/T152)))))/((T152/2)*((2*ACOS(1-2*BV152/T152)))))^(2/3))*SQRT(P152))</f>
        <v/>
      </c>
      <c r="BX152" s="9" t="str">
        <f aca="false">IF(BB152="","",IF(BW152&lt;BB152,BV152,BT152))</f>
        <v/>
      </c>
      <c r="BY152" s="9" t="str">
        <f aca="false">IF(BB152="","",IF(BW152&lt;BB152,BU152,BV152))</f>
        <v/>
      </c>
      <c r="BZ152" s="9" t="str">
        <f aca="false">IF(BB152="","",(BX152+BY152)/2)</f>
        <v/>
      </c>
      <c r="CA152" s="9" t="str">
        <f aca="false">IF(OR(T152="",P152="",BZ152="",T152&lt;=0,BZ152&lt;=0),"",(1/Inputs!$B$9)*((T152^2/8)*((2*ACOS(1-2*BZ152/T152))-SIN((2*ACOS(1-2*BZ152/T152)))))*((((T152^2/8)*((2*ACOS(1-2*BZ152/T152))-SIN((2*ACOS(1-2*BZ152/T152)))))/((T152/2)*((2*ACOS(1-2*BZ152/T152)))))^(2/3))*SQRT(P152))</f>
        <v/>
      </c>
      <c r="CB152" s="9" t="str">
        <f aca="false">IF(BB152="","",IF(CA152&lt;BB152,BZ152,BX152))</f>
        <v/>
      </c>
      <c r="CC152" s="9" t="str">
        <f aca="false">IF(BB152="","",IF(CA152&lt;BB152,BY152,BZ152))</f>
        <v/>
      </c>
      <c r="CD152" s="9" t="str">
        <f aca="false">IF(BB152="","",(CB152+CC152)/2)</f>
        <v/>
      </c>
      <c r="CE152" s="9" t="str">
        <f aca="false">IF(OR(T152="",P152="",CD152="",T152&lt;=0,CD152&lt;=0),"",(1/Inputs!$B$9)*((T152^2/8)*((2*ACOS(1-2*CD152/T152))-SIN((2*ACOS(1-2*CD152/T152)))))*((((T152^2/8)*((2*ACOS(1-2*CD152/T152))-SIN((2*ACOS(1-2*CD152/T152)))))/((T152/2)*((2*ACOS(1-2*CD152/T152)))))^(2/3))*SQRT(P152))</f>
        <v/>
      </c>
      <c r="CF152" s="9" t="str">
        <f aca="false">IF(BB152="","",IF(CE152&lt;BB152,CD152,CB152))</f>
        <v/>
      </c>
      <c r="CG152" s="9" t="str">
        <f aca="false">IF(BB152="","",IF(CE152&lt;BB152,CC152,CD152))</f>
        <v/>
      </c>
      <c r="CH152" s="9" t="str">
        <f aca="false">IF(BB152="","",(CF152+CG152)/2)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14"/>
      <c r="F153" s="14"/>
      <c r="G153" s="14" t="n">
        <f aca="false">SUMIFS(CB_plan!$C:$C,CB_plan!$B:$B,$A153)</f>
        <v>0</v>
      </c>
      <c r="H153" s="14" t="n">
        <f aca="false">IF(F153="",G153,F153)</f>
        <v>0</v>
      </c>
      <c r="I153" s="9"/>
      <c r="J153" s="14"/>
      <c r="K153" s="14" t="str">
        <f aca="false">IF(A153="","",Inputs!$B$13/((IF(AV153="",Inputs!$B$18,AV153)+Inputs!$B$14)^Inputs!$B$15))</f>
        <v/>
      </c>
      <c r="L153" s="14" t="str">
        <f aca="false">IF(A153="","",0.000000278*IF(I153="",Inputs!$B$17,I153)*H153*K153)</f>
        <v/>
      </c>
      <c r="M153" s="14" t="str">
        <f aca="false">IF(A153="","",SUMIFS($N$4:$N$203,$D$4:$D$203,$A153))</f>
        <v/>
      </c>
      <c r="N153" s="14" t="str">
        <f aca="false">IF(A153="","",(L153+M153)*Inputs!$B$16)</f>
        <v/>
      </c>
      <c r="O153" s="14"/>
      <c r="P153" s="14" t="str">
        <f aca="false">IF(A153="","",IF(O153="",Inputs!$B$7,O153))</f>
        <v/>
      </c>
      <c r="Q153" s="9" t="str">
        <f aca="false">IF(A153="","",IF(N153/Inputs!$B$10&lt;=AG153,Inputs!$F$5,IF(N153/Inputs!$B$10&gt;AP153,"OVERSIZE",INDEX(Inputs!$F$5:$F$14,MATCH(N153/Inputs!$B$10,AG153:AP153,1)+1))))</f>
        <v/>
      </c>
      <c r="R153" s="9"/>
      <c r="S153" s="9" t="str">
        <f aca="false">IF(A153="","",IF(R153="",Q153,R153))</f>
        <v/>
      </c>
      <c r="T153" s="14" t="str">
        <f aca="false">IF(OR(S153="",S153="OVERSIZE"),"",S153/1000)</f>
        <v/>
      </c>
      <c r="U153" s="14" t="str">
        <f aca="false">IF(T153="","",(1/Inputs!$B$9)*(PI()*T153^2/4)*((T153/4)^(2/3))*SQRT(P153))</f>
        <v/>
      </c>
      <c r="V153" s="14" t="str">
        <f aca="false">IF(OR(U153="",N153=""),"",N153/(U153*Inputs!$B$10))</f>
        <v/>
      </c>
      <c r="W153" s="14" t="str">
        <f aca="false">IF(OR(T153="",N153=""),"",4*N153/(PI()*T153^2))</f>
        <v/>
      </c>
      <c r="X153" s="14"/>
      <c r="Y153" s="14" t="str">
        <f aca="false">IF(A153="","",IF(A153=Inputs!$B$6,Inputs!$B$22,IF(D153="","",IFERROR(INDEX($Z$4:$Z$203,MATCH(D153,$A$4:$A$203,0))+IF(X153="",Inputs!$B$20,X153),""))))</f>
        <v/>
      </c>
      <c r="Z153" s="14" t="str">
        <f aca="false">IF(OR(Y153="",P153="",E153=""),"",Y153+P153*E153)</f>
        <v/>
      </c>
      <c r="AA153" s="14" t="str">
        <f aca="false">IF(C153="","",IFERROR(INDEX(Noeuds_plan!$C$4:$C$200,MATCH(C153,Noeuds_plan!$A$4:$A$200,0)),""))</f>
        <v/>
      </c>
      <c r="AB153" s="14" t="str">
        <f aca="false">IF(B153="","",IFERROR(INDEX(Noeuds_plan!$C$4:$C$200,MATCH(B153,Noeuds_plan!$A$4:$A$200,0)),""))</f>
        <v/>
      </c>
      <c r="AC153" s="14" t="str">
        <f aca="false">IF(OR(AA153="",Y153=""),"",AA153-Y153)</f>
        <v/>
      </c>
      <c r="AD153" s="14" t="str">
        <f aca="false">IF(OR(AB153="",Z153=""),"",AB153-Z153)</f>
        <v/>
      </c>
      <c r="AE153" s="19" t="str">
        <f aca="false">IF(A153="","",IF(OR(V153&gt;1,AND(AY153&lt;&gt;"",AY153&lt;Inputs!$B$11),AND(AY153&lt;&gt;"",AY153&gt;Inputs!$B$12),AC153&lt;Inputs!$B$19,AD153&lt;Inputs!$B$19,P153&lt;Inputs!$B$7,P153&gt;Inputs!$B$8),"CHECK","OK"))</f>
        <v/>
      </c>
      <c r="AF153" s="9"/>
      <c r="AG153" s="9" t="str">
        <f aca="false">IF(A153="","",(1/Inputs!$B$9)*(PI()*(Inputs!$F$5/1000)^2/4)*((Inputs!$F$5/1000/4)^(2/3))*SQRT(P153))</f>
        <v/>
      </c>
      <c r="AH153" s="9" t="str">
        <f aca="false">IF(A153="","",(1/Inputs!$B$9)*(PI()*(Inputs!$F$6/1000)^2/4)*((Inputs!$F$6/1000/4)^(2/3))*SQRT(P153))</f>
        <v/>
      </c>
      <c r="AI153" s="9" t="str">
        <f aca="false">IF(A153="","",(1/Inputs!$B$9)*(PI()*(Inputs!$F$7/1000)^2/4)*((Inputs!$F$7/1000/4)^(2/3))*SQRT(P153))</f>
        <v/>
      </c>
      <c r="AJ153" s="9" t="str">
        <f aca="false">IF(A153="","",(1/Inputs!$B$9)*(PI()*(Inputs!$F$8/1000)^2/4)*((Inputs!$F$8/1000/4)^(2/3))*SQRT(P153))</f>
        <v/>
      </c>
      <c r="AK153" s="9" t="str">
        <f aca="false">IF(A153="","",(1/Inputs!$B$9)*(PI()*(Inputs!$F$9/1000)^2/4)*((Inputs!$F$9/1000/4)^(2/3))*SQRT(P153))</f>
        <v/>
      </c>
      <c r="AL153" s="9" t="str">
        <f aca="false">IF(A153="","",(1/Inputs!$B$9)*(PI()*(Inputs!$F$10/1000)^2/4)*((Inputs!$F$10/1000/4)^(2/3))*SQRT(P153))</f>
        <v/>
      </c>
      <c r="AM153" s="9" t="str">
        <f aca="false">IF(A153="","",(1/Inputs!$B$9)*(PI()*(Inputs!$F$11/1000)^2/4)*((Inputs!$F$11/1000/4)^(2/3))*SQRT(P153))</f>
        <v/>
      </c>
      <c r="AN153" s="9" t="str">
        <f aca="false">IF(A153="","",(1/Inputs!$B$9)*(PI()*(Inputs!$F$12/1000)^2/4)*((Inputs!$F$12/1000/4)^(2/3))*SQRT(P153))</f>
        <v/>
      </c>
      <c r="AO153" s="9" t="str">
        <f aca="false">IF(A153="","",(1/Inputs!$B$9)*(PI()*(Inputs!$F$13/1000)^2/4)*((Inputs!$F$13/1000/4)^(2/3))*SQRT(P153))</f>
        <v/>
      </c>
      <c r="AP153" s="9" t="str">
        <f aca="false">IF(A153="","",(1/Inputs!$B$9)*(PI()*(Inputs!$F$14/1000)^2/4)*((Inputs!$F$14/1000/4)^(2/3))*SQRT(P153))</f>
        <v/>
      </c>
      <c r="AQ153" s="9" t="str">
        <f aca="false">IF(A153="","",COUNTIF($D$4:$D$203,$A153))</f>
        <v/>
      </c>
      <c r="AR153" s="9" t="str">
        <f aca="false">IF(A153="","",IF(AQ153=0,"START","CONTINUOUS"))</f>
        <v/>
      </c>
      <c r="AS153" s="13" t="str">
        <f aca="false">IF(A153="","",IF(J153="",Inputs!$B$18,J153))</f>
        <v/>
      </c>
      <c r="AT153" s="13" t="str">
        <f aca="false">IF(A153="","",IFERROR(maxifs($AV$4:$AV$203,$D$4:$D$203,$A153),""))</f>
        <v/>
      </c>
      <c r="AU153" s="13" t="str">
        <f aca="false">IF(A153="","",IF(OR(E153="",Inputs!$B$23=""),"",E153/(Inputs!$B$23*60)))</f>
        <v/>
      </c>
      <c r="AV153" s="13" t="str">
        <f aca="false">IF(A153="","",IF(AQ153=0,AS153+AU153,IF(AT153="",AS153+AU153,AT153+AU153)))</f>
        <v/>
      </c>
      <c r="AW153" s="13" t="str">
        <f aca="false">IF(A153="","",W153)</f>
        <v/>
      </c>
      <c r="AX153" s="13" t="str">
        <f aca="false">IF(OR(T153="",P153=""),"",(1/Inputs!$B$9)*((T153/4)^(2/3))*SQRT(P153))</f>
        <v/>
      </c>
      <c r="AY153" s="13" t="str">
        <f aca="false">IF(A153="","",IF(AND(AW153="",AX153="",BA153=""),"",IF(OR(UPPER(TRIM(Inputs!$B$24))="MANNING",UPPER(TRIM(Inputs!$B$24))="M"),AX153,IF(OR(UPPER(TRIM(Inputs!$B$24))="PARTIAL",UPPER(TRIM(Inputs!$B$24))="P"),BA153,IF(OR(UPPER(TRIM(Inputs!$B$24))="MAX",UPPER(TRIM(Inputs!$B$24))="X"),MAX(IF(AW153="",0,AW153),IF(AX153="",0,AX153),IF(BA153="",0,BA153)),AW153)))))</f>
        <v/>
      </c>
      <c r="AZ153" s="13" t="str">
        <f aca="false">IF(BB153="","",CH153)</f>
        <v/>
      </c>
      <c r="BA153" s="13" t="str">
        <f aca="false">IF(OR(BB153="",AZ153="",T153="",T153&lt;=0,AZ153&lt;=0),"",BB153/((T153^2/8)*(2*ACOS(1-2*AZ153/T153)-SIN(2*ACOS(1-2*AZ153/T153)))))</f>
        <v/>
      </c>
      <c r="BB153" s="9" t="str">
        <f aca="false">IF(OR(N153="",BC153=""),"",MIN(N153,BC153))</f>
        <v/>
      </c>
      <c r="BC153" s="9" t="str">
        <f aca="false">IF(OR(N153="",T153="",P153=""),"",IF(OR(T153="",P153="",(0.94*T153)="",T153&lt;=0,(0.94*T153)&lt;=0),"",(1/Inputs!$B$9)*((T153^2/8)*((2*ACOS(1-2*(0.94*T153)/T153))-SIN((2*ACOS(1-2*(0.94*T153)/T153)))))*((((T153^2/8)*((2*ACOS(1-2*(0.94*T153)/T153))-SIN((2*ACOS(1-2*(0.94*T153)/T153)))))/((T153/2)*((2*ACOS(1-2*(0.94*T153)/T153)))))^(2/3))*SQRT(P153)))</f>
        <v/>
      </c>
      <c r="BD153" s="9" t="str">
        <f aca="false">IF(BB153="","",0.001*T153)</f>
        <v/>
      </c>
      <c r="BE153" s="9" t="str">
        <f aca="false">IF(BB153="","",0.94*T153)</f>
        <v/>
      </c>
      <c r="BF153" s="9" t="str">
        <f aca="false">IF(BB153="","",(BD153+BE153)/2)</f>
        <v/>
      </c>
      <c r="BG153" s="9" t="str">
        <f aca="false">IF(OR(T153="",P153="",BF153="",T153&lt;=0,BF153&lt;=0),"",(1/Inputs!$B$9)*((T153^2/8)*((2*ACOS(1-2*BF153/T153))-SIN((2*ACOS(1-2*BF153/T153)))))*((((T153^2/8)*((2*ACOS(1-2*BF153/T153))-SIN((2*ACOS(1-2*BF153/T153)))))/((T153/2)*((2*ACOS(1-2*BF153/T153)))))^(2/3))*SQRT(P153))</f>
        <v/>
      </c>
      <c r="BH153" s="9" t="str">
        <f aca="false">IF(BB153="","",IF(BG153&lt;BB153,BF153,BD153))</f>
        <v/>
      </c>
      <c r="BI153" s="9" t="str">
        <f aca="false">IF(BB153="","",IF(BG153&lt;BB153,BE153,BF153))</f>
        <v/>
      </c>
      <c r="BJ153" s="9" t="str">
        <f aca="false">IF(BB153="","",(BH153+BI153)/2)</f>
        <v/>
      </c>
      <c r="BK153" s="9" t="str">
        <f aca="false">IF(OR(T153="",P153="",BJ153="",T153&lt;=0,BJ153&lt;=0),"",(1/Inputs!$B$9)*((T153^2/8)*((2*ACOS(1-2*BJ153/T153))-SIN((2*ACOS(1-2*BJ153/T153)))))*((((T153^2/8)*((2*ACOS(1-2*BJ153/T153))-SIN((2*ACOS(1-2*BJ153/T153)))))/((T153/2)*((2*ACOS(1-2*BJ153/T153)))))^(2/3))*SQRT(P153))</f>
        <v/>
      </c>
      <c r="BL153" s="9" t="str">
        <f aca="false">IF(BB153="","",IF(BK153&lt;BB153,BJ153,BH153))</f>
        <v/>
      </c>
      <c r="BM153" s="9" t="str">
        <f aca="false">IF(BB153="","",IF(BK153&lt;BB153,BI153,BJ153))</f>
        <v/>
      </c>
      <c r="BN153" s="9" t="str">
        <f aca="false">IF(BB153="","",(BL153+BM153)/2)</f>
        <v/>
      </c>
      <c r="BO153" s="9" t="str">
        <f aca="false">IF(OR(T153="",P153="",BN153="",T153&lt;=0,BN153&lt;=0),"",(1/Inputs!$B$9)*((T153^2/8)*((2*ACOS(1-2*BN153/T153))-SIN((2*ACOS(1-2*BN153/T153)))))*((((T153^2/8)*((2*ACOS(1-2*BN153/T153))-SIN((2*ACOS(1-2*BN153/T153)))))/((T153/2)*((2*ACOS(1-2*BN153/T153)))))^(2/3))*SQRT(P153))</f>
        <v/>
      </c>
      <c r="BP153" s="9" t="str">
        <f aca="false">IF(BB153="","",IF(BO153&lt;BB153,BN153,BL153))</f>
        <v/>
      </c>
      <c r="BQ153" s="9" t="str">
        <f aca="false">IF(BB153="","",IF(BO153&lt;BB153,BM153,BN153))</f>
        <v/>
      </c>
      <c r="BR153" s="9" t="str">
        <f aca="false">IF(BB153="","",(BP153+BQ153)/2)</f>
        <v/>
      </c>
      <c r="BS153" s="9" t="str">
        <f aca="false">IF(OR(T153="",P153="",BR153="",T153&lt;=0,BR153&lt;=0),"",(1/Inputs!$B$9)*((T153^2/8)*((2*ACOS(1-2*BR153/T153))-SIN((2*ACOS(1-2*BR153/T153)))))*((((T153^2/8)*((2*ACOS(1-2*BR153/T153))-SIN((2*ACOS(1-2*BR153/T153)))))/((T153/2)*((2*ACOS(1-2*BR153/T153)))))^(2/3))*SQRT(P153))</f>
        <v/>
      </c>
      <c r="BT153" s="9" t="str">
        <f aca="false">IF(BB153="","",IF(BS153&lt;BB153,BR153,BP153))</f>
        <v/>
      </c>
      <c r="BU153" s="9" t="str">
        <f aca="false">IF(BB153="","",IF(BS153&lt;BB153,BQ153,BR153))</f>
        <v/>
      </c>
      <c r="BV153" s="9" t="str">
        <f aca="false">IF(BB153="","",(BT153+BU153)/2)</f>
        <v/>
      </c>
      <c r="BW153" s="9" t="str">
        <f aca="false">IF(OR(T153="",P153="",BV153="",T153&lt;=0,BV153&lt;=0),"",(1/Inputs!$B$9)*((T153^2/8)*((2*ACOS(1-2*BV153/T153))-SIN((2*ACOS(1-2*BV153/T153)))))*((((T153^2/8)*((2*ACOS(1-2*BV153/T153))-SIN((2*ACOS(1-2*BV153/T153)))))/((T153/2)*((2*ACOS(1-2*BV153/T153)))))^(2/3))*SQRT(P153))</f>
        <v/>
      </c>
      <c r="BX153" s="9" t="str">
        <f aca="false">IF(BB153="","",IF(BW153&lt;BB153,BV153,BT153))</f>
        <v/>
      </c>
      <c r="BY153" s="9" t="str">
        <f aca="false">IF(BB153="","",IF(BW153&lt;BB153,BU153,BV153))</f>
        <v/>
      </c>
      <c r="BZ153" s="9" t="str">
        <f aca="false">IF(BB153="","",(BX153+BY153)/2)</f>
        <v/>
      </c>
      <c r="CA153" s="9" t="str">
        <f aca="false">IF(OR(T153="",P153="",BZ153="",T153&lt;=0,BZ153&lt;=0),"",(1/Inputs!$B$9)*((T153^2/8)*((2*ACOS(1-2*BZ153/T153))-SIN((2*ACOS(1-2*BZ153/T153)))))*((((T153^2/8)*((2*ACOS(1-2*BZ153/T153))-SIN((2*ACOS(1-2*BZ153/T153)))))/((T153/2)*((2*ACOS(1-2*BZ153/T153)))))^(2/3))*SQRT(P153))</f>
        <v/>
      </c>
      <c r="CB153" s="9" t="str">
        <f aca="false">IF(BB153="","",IF(CA153&lt;BB153,BZ153,BX153))</f>
        <v/>
      </c>
      <c r="CC153" s="9" t="str">
        <f aca="false">IF(BB153="","",IF(CA153&lt;BB153,BY153,BZ153))</f>
        <v/>
      </c>
      <c r="CD153" s="9" t="str">
        <f aca="false">IF(BB153="","",(CB153+CC153)/2)</f>
        <v/>
      </c>
      <c r="CE153" s="9" t="str">
        <f aca="false">IF(OR(T153="",P153="",CD153="",T153&lt;=0,CD153&lt;=0),"",(1/Inputs!$B$9)*((T153^2/8)*((2*ACOS(1-2*CD153/T153))-SIN((2*ACOS(1-2*CD153/T153)))))*((((T153^2/8)*((2*ACOS(1-2*CD153/T153))-SIN((2*ACOS(1-2*CD153/T153)))))/((T153/2)*((2*ACOS(1-2*CD153/T153)))))^(2/3))*SQRT(P153))</f>
        <v/>
      </c>
      <c r="CF153" s="9" t="str">
        <f aca="false">IF(BB153="","",IF(CE153&lt;BB153,CD153,CB153))</f>
        <v/>
      </c>
      <c r="CG153" s="9" t="str">
        <f aca="false">IF(BB153="","",IF(CE153&lt;BB153,CC153,CD153))</f>
        <v/>
      </c>
      <c r="CH153" s="9" t="str">
        <f aca="false">IF(BB153="","",(CF153+CG153)/2)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14"/>
      <c r="F154" s="14"/>
      <c r="G154" s="14" t="n">
        <f aca="false">SUMIFS(CB_plan!$C:$C,CB_plan!$B:$B,$A154)</f>
        <v>0</v>
      </c>
      <c r="H154" s="14" t="n">
        <f aca="false">IF(F154="",G154,F154)</f>
        <v>0</v>
      </c>
      <c r="I154" s="9"/>
      <c r="J154" s="14"/>
      <c r="K154" s="14" t="str">
        <f aca="false">IF(A154="","",Inputs!$B$13/((IF(AV154="",Inputs!$B$18,AV154)+Inputs!$B$14)^Inputs!$B$15))</f>
        <v/>
      </c>
      <c r="L154" s="14" t="str">
        <f aca="false">IF(A154="","",0.000000278*IF(I154="",Inputs!$B$17,I154)*H154*K154)</f>
        <v/>
      </c>
      <c r="M154" s="14" t="str">
        <f aca="false">IF(A154="","",SUMIFS($N$4:$N$203,$D$4:$D$203,$A154))</f>
        <v/>
      </c>
      <c r="N154" s="14" t="str">
        <f aca="false">IF(A154="","",(L154+M154)*Inputs!$B$16)</f>
        <v/>
      </c>
      <c r="O154" s="14"/>
      <c r="P154" s="14" t="str">
        <f aca="false">IF(A154="","",IF(O154="",Inputs!$B$7,O154))</f>
        <v/>
      </c>
      <c r="Q154" s="9" t="str">
        <f aca="false">IF(A154="","",IF(N154/Inputs!$B$10&lt;=AG154,Inputs!$F$5,IF(N154/Inputs!$B$10&gt;AP154,"OVERSIZE",INDEX(Inputs!$F$5:$F$14,MATCH(N154/Inputs!$B$10,AG154:AP154,1)+1))))</f>
        <v/>
      </c>
      <c r="R154" s="9"/>
      <c r="S154" s="9" t="str">
        <f aca="false">IF(A154="","",IF(R154="",Q154,R154))</f>
        <v/>
      </c>
      <c r="T154" s="14" t="str">
        <f aca="false">IF(OR(S154="",S154="OVERSIZE"),"",S154/1000)</f>
        <v/>
      </c>
      <c r="U154" s="14" t="str">
        <f aca="false">IF(T154="","",(1/Inputs!$B$9)*(PI()*T154^2/4)*((T154/4)^(2/3))*SQRT(P154))</f>
        <v/>
      </c>
      <c r="V154" s="14" t="str">
        <f aca="false">IF(OR(U154="",N154=""),"",N154/(U154*Inputs!$B$10))</f>
        <v/>
      </c>
      <c r="W154" s="14" t="str">
        <f aca="false">IF(OR(T154="",N154=""),"",4*N154/(PI()*T154^2))</f>
        <v/>
      </c>
      <c r="X154" s="14"/>
      <c r="Y154" s="14" t="str">
        <f aca="false">IF(A154="","",IF(A154=Inputs!$B$6,Inputs!$B$22,IF(D154="","",IFERROR(INDEX($Z$4:$Z$203,MATCH(D154,$A$4:$A$203,0))+IF(X154="",Inputs!$B$20,X154),""))))</f>
        <v/>
      </c>
      <c r="Z154" s="14" t="str">
        <f aca="false">IF(OR(Y154="",P154="",E154=""),"",Y154+P154*E154)</f>
        <v/>
      </c>
      <c r="AA154" s="14" t="str">
        <f aca="false">IF(C154="","",IFERROR(INDEX(Noeuds_plan!$C$4:$C$200,MATCH(C154,Noeuds_plan!$A$4:$A$200,0)),""))</f>
        <v/>
      </c>
      <c r="AB154" s="14" t="str">
        <f aca="false">IF(B154="","",IFERROR(INDEX(Noeuds_plan!$C$4:$C$200,MATCH(B154,Noeuds_plan!$A$4:$A$200,0)),""))</f>
        <v/>
      </c>
      <c r="AC154" s="14" t="str">
        <f aca="false">IF(OR(AA154="",Y154=""),"",AA154-Y154)</f>
        <v/>
      </c>
      <c r="AD154" s="14" t="str">
        <f aca="false">IF(OR(AB154="",Z154=""),"",AB154-Z154)</f>
        <v/>
      </c>
      <c r="AE154" s="19" t="str">
        <f aca="false">IF(A154="","",IF(OR(V154&gt;1,AND(AY154&lt;&gt;"",AY154&lt;Inputs!$B$11),AND(AY154&lt;&gt;"",AY154&gt;Inputs!$B$12),AC154&lt;Inputs!$B$19,AD154&lt;Inputs!$B$19,P154&lt;Inputs!$B$7,P154&gt;Inputs!$B$8),"CHECK","OK"))</f>
        <v/>
      </c>
      <c r="AF154" s="9"/>
      <c r="AG154" s="9" t="str">
        <f aca="false">IF(A154="","",(1/Inputs!$B$9)*(PI()*(Inputs!$F$5/1000)^2/4)*((Inputs!$F$5/1000/4)^(2/3))*SQRT(P154))</f>
        <v/>
      </c>
      <c r="AH154" s="9" t="str">
        <f aca="false">IF(A154="","",(1/Inputs!$B$9)*(PI()*(Inputs!$F$6/1000)^2/4)*((Inputs!$F$6/1000/4)^(2/3))*SQRT(P154))</f>
        <v/>
      </c>
      <c r="AI154" s="9" t="str">
        <f aca="false">IF(A154="","",(1/Inputs!$B$9)*(PI()*(Inputs!$F$7/1000)^2/4)*((Inputs!$F$7/1000/4)^(2/3))*SQRT(P154))</f>
        <v/>
      </c>
      <c r="AJ154" s="9" t="str">
        <f aca="false">IF(A154="","",(1/Inputs!$B$9)*(PI()*(Inputs!$F$8/1000)^2/4)*((Inputs!$F$8/1000/4)^(2/3))*SQRT(P154))</f>
        <v/>
      </c>
      <c r="AK154" s="9" t="str">
        <f aca="false">IF(A154="","",(1/Inputs!$B$9)*(PI()*(Inputs!$F$9/1000)^2/4)*((Inputs!$F$9/1000/4)^(2/3))*SQRT(P154))</f>
        <v/>
      </c>
      <c r="AL154" s="9" t="str">
        <f aca="false">IF(A154="","",(1/Inputs!$B$9)*(PI()*(Inputs!$F$10/1000)^2/4)*((Inputs!$F$10/1000/4)^(2/3))*SQRT(P154))</f>
        <v/>
      </c>
      <c r="AM154" s="9" t="str">
        <f aca="false">IF(A154="","",(1/Inputs!$B$9)*(PI()*(Inputs!$F$11/1000)^2/4)*((Inputs!$F$11/1000/4)^(2/3))*SQRT(P154))</f>
        <v/>
      </c>
      <c r="AN154" s="9" t="str">
        <f aca="false">IF(A154="","",(1/Inputs!$B$9)*(PI()*(Inputs!$F$12/1000)^2/4)*((Inputs!$F$12/1000/4)^(2/3))*SQRT(P154))</f>
        <v/>
      </c>
      <c r="AO154" s="9" t="str">
        <f aca="false">IF(A154="","",(1/Inputs!$B$9)*(PI()*(Inputs!$F$13/1000)^2/4)*((Inputs!$F$13/1000/4)^(2/3))*SQRT(P154))</f>
        <v/>
      </c>
      <c r="AP154" s="9" t="str">
        <f aca="false">IF(A154="","",(1/Inputs!$B$9)*(PI()*(Inputs!$F$14/1000)^2/4)*((Inputs!$F$14/1000/4)^(2/3))*SQRT(P154))</f>
        <v/>
      </c>
      <c r="AQ154" s="9" t="str">
        <f aca="false">IF(A154="","",COUNTIF($D$4:$D$203,$A154))</f>
        <v/>
      </c>
      <c r="AR154" s="9" t="str">
        <f aca="false">IF(A154="","",IF(AQ154=0,"START","CONTINUOUS"))</f>
        <v/>
      </c>
      <c r="AS154" s="13" t="str">
        <f aca="false">IF(A154="","",IF(J154="",Inputs!$B$18,J154))</f>
        <v/>
      </c>
      <c r="AT154" s="13" t="str">
        <f aca="false">IF(A154="","",IFERROR(maxifs($AV$4:$AV$203,$D$4:$D$203,$A154),""))</f>
        <v/>
      </c>
      <c r="AU154" s="13" t="str">
        <f aca="false">IF(A154="","",IF(OR(E154="",Inputs!$B$23=""),"",E154/(Inputs!$B$23*60)))</f>
        <v/>
      </c>
      <c r="AV154" s="13" t="str">
        <f aca="false">IF(A154="","",IF(AQ154=0,AS154+AU154,IF(AT154="",AS154+AU154,AT154+AU154)))</f>
        <v/>
      </c>
      <c r="AW154" s="13" t="str">
        <f aca="false">IF(A154="","",W154)</f>
        <v/>
      </c>
      <c r="AX154" s="13" t="str">
        <f aca="false">IF(OR(T154="",P154=""),"",(1/Inputs!$B$9)*((T154/4)^(2/3))*SQRT(P154))</f>
        <v/>
      </c>
      <c r="AY154" s="13" t="str">
        <f aca="false">IF(A154="","",IF(AND(AW154="",AX154="",BA154=""),"",IF(OR(UPPER(TRIM(Inputs!$B$24))="MANNING",UPPER(TRIM(Inputs!$B$24))="M"),AX154,IF(OR(UPPER(TRIM(Inputs!$B$24))="PARTIAL",UPPER(TRIM(Inputs!$B$24))="P"),BA154,IF(OR(UPPER(TRIM(Inputs!$B$24))="MAX",UPPER(TRIM(Inputs!$B$24))="X"),MAX(IF(AW154="",0,AW154),IF(AX154="",0,AX154),IF(BA154="",0,BA154)),AW154)))))</f>
        <v/>
      </c>
      <c r="AZ154" s="13" t="str">
        <f aca="false">IF(BB154="","",CH154)</f>
        <v/>
      </c>
      <c r="BA154" s="13" t="str">
        <f aca="false">IF(OR(BB154="",AZ154="",T154="",T154&lt;=0,AZ154&lt;=0),"",BB154/((T154^2/8)*(2*ACOS(1-2*AZ154/T154)-SIN(2*ACOS(1-2*AZ154/T154)))))</f>
        <v/>
      </c>
      <c r="BB154" s="9" t="str">
        <f aca="false">IF(OR(N154="",BC154=""),"",MIN(N154,BC154))</f>
        <v/>
      </c>
      <c r="BC154" s="9" t="str">
        <f aca="false">IF(OR(N154="",T154="",P154=""),"",IF(OR(T154="",P154="",(0.94*T154)="",T154&lt;=0,(0.94*T154)&lt;=0),"",(1/Inputs!$B$9)*((T154^2/8)*((2*ACOS(1-2*(0.94*T154)/T154))-SIN((2*ACOS(1-2*(0.94*T154)/T154)))))*((((T154^2/8)*((2*ACOS(1-2*(0.94*T154)/T154))-SIN((2*ACOS(1-2*(0.94*T154)/T154)))))/((T154/2)*((2*ACOS(1-2*(0.94*T154)/T154)))))^(2/3))*SQRT(P154)))</f>
        <v/>
      </c>
      <c r="BD154" s="9" t="str">
        <f aca="false">IF(BB154="","",0.001*T154)</f>
        <v/>
      </c>
      <c r="BE154" s="9" t="str">
        <f aca="false">IF(BB154="","",0.94*T154)</f>
        <v/>
      </c>
      <c r="BF154" s="9" t="str">
        <f aca="false">IF(BB154="","",(BD154+BE154)/2)</f>
        <v/>
      </c>
      <c r="BG154" s="9" t="str">
        <f aca="false">IF(OR(T154="",P154="",BF154="",T154&lt;=0,BF154&lt;=0),"",(1/Inputs!$B$9)*((T154^2/8)*((2*ACOS(1-2*BF154/T154))-SIN((2*ACOS(1-2*BF154/T154)))))*((((T154^2/8)*((2*ACOS(1-2*BF154/T154))-SIN((2*ACOS(1-2*BF154/T154)))))/((T154/2)*((2*ACOS(1-2*BF154/T154)))))^(2/3))*SQRT(P154))</f>
        <v/>
      </c>
      <c r="BH154" s="9" t="str">
        <f aca="false">IF(BB154="","",IF(BG154&lt;BB154,BF154,BD154))</f>
        <v/>
      </c>
      <c r="BI154" s="9" t="str">
        <f aca="false">IF(BB154="","",IF(BG154&lt;BB154,BE154,BF154))</f>
        <v/>
      </c>
      <c r="BJ154" s="9" t="str">
        <f aca="false">IF(BB154="","",(BH154+BI154)/2)</f>
        <v/>
      </c>
      <c r="BK154" s="9" t="str">
        <f aca="false">IF(OR(T154="",P154="",BJ154="",T154&lt;=0,BJ154&lt;=0),"",(1/Inputs!$B$9)*((T154^2/8)*((2*ACOS(1-2*BJ154/T154))-SIN((2*ACOS(1-2*BJ154/T154)))))*((((T154^2/8)*((2*ACOS(1-2*BJ154/T154))-SIN((2*ACOS(1-2*BJ154/T154)))))/((T154/2)*((2*ACOS(1-2*BJ154/T154)))))^(2/3))*SQRT(P154))</f>
        <v/>
      </c>
      <c r="BL154" s="9" t="str">
        <f aca="false">IF(BB154="","",IF(BK154&lt;BB154,BJ154,BH154))</f>
        <v/>
      </c>
      <c r="BM154" s="9" t="str">
        <f aca="false">IF(BB154="","",IF(BK154&lt;BB154,BI154,BJ154))</f>
        <v/>
      </c>
      <c r="BN154" s="9" t="str">
        <f aca="false">IF(BB154="","",(BL154+BM154)/2)</f>
        <v/>
      </c>
      <c r="BO154" s="9" t="str">
        <f aca="false">IF(OR(T154="",P154="",BN154="",T154&lt;=0,BN154&lt;=0),"",(1/Inputs!$B$9)*((T154^2/8)*((2*ACOS(1-2*BN154/T154))-SIN((2*ACOS(1-2*BN154/T154)))))*((((T154^2/8)*((2*ACOS(1-2*BN154/T154))-SIN((2*ACOS(1-2*BN154/T154)))))/((T154/2)*((2*ACOS(1-2*BN154/T154)))))^(2/3))*SQRT(P154))</f>
        <v/>
      </c>
      <c r="BP154" s="9" t="str">
        <f aca="false">IF(BB154="","",IF(BO154&lt;BB154,BN154,BL154))</f>
        <v/>
      </c>
      <c r="BQ154" s="9" t="str">
        <f aca="false">IF(BB154="","",IF(BO154&lt;BB154,BM154,BN154))</f>
        <v/>
      </c>
      <c r="BR154" s="9" t="str">
        <f aca="false">IF(BB154="","",(BP154+BQ154)/2)</f>
        <v/>
      </c>
      <c r="BS154" s="9" t="str">
        <f aca="false">IF(OR(T154="",P154="",BR154="",T154&lt;=0,BR154&lt;=0),"",(1/Inputs!$B$9)*((T154^2/8)*((2*ACOS(1-2*BR154/T154))-SIN((2*ACOS(1-2*BR154/T154)))))*((((T154^2/8)*((2*ACOS(1-2*BR154/T154))-SIN((2*ACOS(1-2*BR154/T154)))))/((T154/2)*((2*ACOS(1-2*BR154/T154)))))^(2/3))*SQRT(P154))</f>
        <v/>
      </c>
      <c r="BT154" s="9" t="str">
        <f aca="false">IF(BB154="","",IF(BS154&lt;BB154,BR154,BP154))</f>
        <v/>
      </c>
      <c r="BU154" s="9" t="str">
        <f aca="false">IF(BB154="","",IF(BS154&lt;BB154,BQ154,BR154))</f>
        <v/>
      </c>
      <c r="BV154" s="9" t="str">
        <f aca="false">IF(BB154="","",(BT154+BU154)/2)</f>
        <v/>
      </c>
      <c r="BW154" s="9" t="str">
        <f aca="false">IF(OR(T154="",P154="",BV154="",T154&lt;=0,BV154&lt;=0),"",(1/Inputs!$B$9)*((T154^2/8)*((2*ACOS(1-2*BV154/T154))-SIN((2*ACOS(1-2*BV154/T154)))))*((((T154^2/8)*((2*ACOS(1-2*BV154/T154))-SIN((2*ACOS(1-2*BV154/T154)))))/((T154/2)*((2*ACOS(1-2*BV154/T154)))))^(2/3))*SQRT(P154))</f>
        <v/>
      </c>
      <c r="BX154" s="9" t="str">
        <f aca="false">IF(BB154="","",IF(BW154&lt;BB154,BV154,BT154))</f>
        <v/>
      </c>
      <c r="BY154" s="9" t="str">
        <f aca="false">IF(BB154="","",IF(BW154&lt;BB154,BU154,BV154))</f>
        <v/>
      </c>
      <c r="BZ154" s="9" t="str">
        <f aca="false">IF(BB154="","",(BX154+BY154)/2)</f>
        <v/>
      </c>
      <c r="CA154" s="9" t="str">
        <f aca="false">IF(OR(T154="",P154="",BZ154="",T154&lt;=0,BZ154&lt;=0),"",(1/Inputs!$B$9)*((T154^2/8)*((2*ACOS(1-2*BZ154/T154))-SIN((2*ACOS(1-2*BZ154/T154)))))*((((T154^2/8)*((2*ACOS(1-2*BZ154/T154))-SIN((2*ACOS(1-2*BZ154/T154)))))/((T154/2)*((2*ACOS(1-2*BZ154/T154)))))^(2/3))*SQRT(P154))</f>
        <v/>
      </c>
      <c r="CB154" s="9" t="str">
        <f aca="false">IF(BB154="","",IF(CA154&lt;BB154,BZ154,BX154))</f>
        <v/>
      </c>
      <c r="CC154" s="9" t="str">
        <f aca="false">IF(BB154="","",IF(CA154&lt;BB154,BY154,BZ154))</f>
        <v/>
      </c>
      <c r="CD154" s="9" t="str">
        <f aca="false">IF(BB154="","",(CB154+CC154)/2)</f>
        <v/>
      </c>
      <c r="CE154" s="9" t="str">
        <f aca="false">IF(OR(T154="",P154="",CD154="",T154&lt;=0,CD154&lt;=0),"",(1/Inputs!$B$9)*((T154^2/8)*((2*ACOS(1-2*CD154/T154))-SIN((2*ACOS(1-2*CD154/T154)))))*((((T154^2/8)*((2*ACOS(1-2*CD154/T154))-SIN((2*ACOS(1-2*CD154/T154)))))/((T154/2)*((2*ACOS(1-2*CD154/T154)))))^(2/3))*SQRT(P154))</f>
        <v/>
      </c>
      <c r="CF154" s="9" t="str">
        <f aca="false">IF(BB154="","",IF(CE154&lt;BB154,CD154,CB154))</f>
        <v/>
      </c>
      <c r="CG154" s="9" t="str">
        <f aca="false">IF(BB154="","",IF(CE154&lt;BB154,CC154,CD154))</f>
        <v/>
      </c>
      <c r="CH154" s="9" t="str">
        <f aca="false">IF(BB154="","",(CF154+CG154)/2)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14"/>
      <c r="F155" s="14"/>
      <c r="G155" s="14" t="n">
        <f aca="false">SUMIFS(CB_plan!$C:$C,CB_plan!$B:$B,$A155)</f>
        <v>0</v>
      </c>
      <c r="H155" s="14" t="n">
        <f aca="false">IF(F155="",G155,F155)</f>
        <v>0</v>
      </c>
      <c r="I155" s="9"/>
      <c r="J155" s="14"/>
      <c r="K155" s="14" t="str">
        <f aca="false">IF(A155="","",Inputs!$B$13/((IF(AV155="",Inputs!$B$18,AV155)+Inputs!$B$14)^Inputs!$B$15))</f>
        <v/>
      </c>
      <c r="L155" s="14" t="str">
        <f aca="false">IF(A155="","",0.000000278*IF(I155="",Inputs!$B$17,I155)*H155*K155)</f>
        <v/>
      </c>
      <c r="M155" s="14" t="str">
        <f aca="false">IF(A155="","",SUMIFS($N$4:$N$203,$D$4:$D$203,$A155))</f>
        <v/>
      </c>
      <c r="N155" s="14" t="str">
        <f aca="false">IF(A155="","",(L155+M155)*Inputs!$B$16)</f>
        <v/>
      </c>
      <c r="O155" s="14"/>
      <c r="P155" s="14" t="str">
        <f aca="false">IF(A155="","",IF(O155="",Inputs!$B$7,O155))</f>
        <v/>
      </c>
      <c r="Q155" s="9" t="str">
        <f aca="false">IF(A155="","",IF(N155/Inputs!$B$10&lt;=AG155,Inputs!$F$5,IF(N155/Inputs!$B$10&gt;AP155,"OVERSIZE",INDEX(Inputs!$F$5:$F$14,MATCH(N155/Inputs!$B$10,AG155:AP155,1)+1))))</f>
        <v/>
      </c>
      <c r="R155" s="9"/>
      <c r="S155" s="9" t="str">
        <f aca="false">IF(A155="","",IF(R155="",Q155,R155))</f>
        <v/>
      </c>
      <c r="T155" s="14" t="str">
        <f aca="false">IF(OR(S155="",S155="OVERSIZE"),"",S155/1000)</f>
        <v/>
      </c>
      <c r="U155" s="14" t="str">
        <f aca="false">IF(T155="","",(1/Inputs!$B$9)*(PI()*T155^2/4)*((T155/4)^(2/3))*SQRT(P155))</f>
        <v/>
      </c>
      <c r="V155" s="14" t="str">
        <f aca="false">IF(OR(U155="",N155=""),"",N155/(U155*Inputs!$B$10))</f>
        <v/>
      </c>
      <c r="W155" s="14" t="str">
        <f aca="false">IF(OR(T155="",N155=""),"",4*N155/(PI()*T155^2))</f>
        <v/>
      </c>
      <c r="X155" s="14"/>
      <c r="Y155" s="14" t="str">
        <f aca="false">IF(A155="","",IF(A155=Inputs!$B$6,Inputs!$B$22,IF(D155="","",IFERROR(INDEX($Z$4:$Z$203,MATCH(D155,$A$4:$A$203,0))+IF(X155="",Inputs!$B$20,X155),""))))</f>
        <v/>
      </c>
      <c r="Z155" s="14" t="str">
        <f aca="false">IF(OR(Y155="",P155="",E155=""),"",Y155+P155*E155)</f>
        <v/>
      </c>
      <c r="AA155" s="14" t="str">
        <f aca="false">IF(C155="","",IFERROR(INDEX(Noeuds_plan!$C$4:$C$200,MATCH(C155,Noeuds_plan!$A$4:$A$200,0)),""))</f>
        <v/>
      </c>
      <c r="AB155" s="14" t="str">
        <f aca="false">IF(B155="","",IFERROR(INDEX(Noeuds_plan!$C$4:$C$200,MATCH(B155,Noeuds_plan!$A$4:$A$200,0)),""))</f>
        <v/>
      </c>
      <c r="AC155" s="14" t="str">
        <f aca="false">IF(OR(AA155="",Y155=""),"",AA155-Y155)</f>
        <v/>
      </c>
      <c r="AD155" s="14" t="str">
        <f aca="false">IF(OR(AB155="",Z155=""),"",AB155-Z155)</f>
        <v/>
      </c>
      <c r="AE155" s="19" t="str">
        <f aca="false">IF(A155="","",IF(OR(V155&gt;1,AND(AY155&lt;&gt;"",AY155&lt;Inputs!$B$11),AND(AY155&lt;&gt;"",AY155&gt;Inputs!$B$12),AC155&lt;Inputs!$B$19,AD155&lt;Inputs!$B$19,P155&lt;Inputs!$B$7,P155&gt;Inputs!$B$8),"CHECK","OK"))</f>
        <v/>
      </c>
      <c r="AF155" s="9"/>
      <c r="AG155" s="9" t="str">
        <f aca="false">IF(A155="","",(1/Inputs!$B$9)*(PI()*(Inputs!$F$5/1000)^2/4)*((Inputs!$F$5/1000/4)^(2/3))*SQRT(P155))</f>
        <v/>
      </c>
      <c r="AH155" s="9" t="str">
        <f aca="false">IF(A155="","",(1/Inputs!$B$9)*(PI()*(Inputs!$F$6/1000)^2/4)*((Inputs!$F$6/1000/4)^(2/3))*SQRT(P155))</f>
        <v/>
      </c>
      <c r="AI155" s="9" t="str">
        <f aca="false">IF(A155="","",(1/Inputs!$B$9)*(PI()*(Inputs!$F$7/1000)^2/4)*((Inputs!$F$7/1000/4)^(2/3))*SQRT(P155))</f>
        <v/>
      </c>
      <c r="AJ155" s="9" t="str">
        <f aca="false">IF(A155="","",(1/Inputs!$B$9)*(PI()*(Inputs!$F$8/1000)^2/4)*((Inputs!$F$8/1000/4)^(2/3))*SQRT(P155))</f>
        <v/>
      </c>
      <c r="AK155" s="9" t="str">
        <f aca="false">IF(A155="","",(1/Inputs!$B$9)*(PI()*(Inputs!$F$9/1000)^2/4)*((Inputs!$F$9/1000/4)^(2/3))*SQRT(P155))</f>
        <v/>
      </c>
      <c r="AL155" s="9" t="str">
        <f aca="false">IF(A155="","",(1/Inputs!$B$9)*(PI()*(Inputs!$F$10/1000)^2/4)*((Inputs!$F$10/1000/4)^(2/3))*SQRT(P155))</f>
        <v/>
      </c>
      <c r="AM155" s="9" t="str">
        <f aca="false">IF(A155="","",(1/Inputs!$B$9)*(PI()*(Inputs!$F$11/1000)^2/4)*((Inputs!$F$11/1000/4)^(2/3))*SQRT(P155))</f>
        <v/>
      </c>
      <c r="AN155" s="9" t="str">
        <f aca="false">IF(A155="","",(1/Inputs!$B$9)*(PI()*(Inputs!$F$12/1000)^2/4)*((Inputs!$F$12/1000/4)^(2/3))*SQRT(P155))</f>
        <v/>
      </c>
      <c r="AO155" s="9" t="str">
        <f aca="false">IF(A155="","",(1/Inputs!$B$9)*(PI()*(Inputs!$F$13/1000)^2/4)*((Inputs!$F$13/1000/4)^(2/3))*SQRT(P155))</f>
        <v/>
      </c>
      <c r="AP155" s="9" t="str">
        <f aca="false">IF(A155="","",(1/Inputs!$B$9)*(PI()*(Inputs!$F$14/1000)^2/4)*((Inputs!$F$14/1000/4)^(2/3))*SQRT(P155))</f>
        <v/>
      </c>
      <c r="AQ155" s="9" t="str">
        <f aca="false">IF(A155="","",COUNTIF($D$4:$D$203,$A155))</f>
        <v/>
      </c>
      <c r="AR155" s="9" t="str">
        <f aca="false">IF(A155="","",IF(AQ155=0,"START","CONTINUOUS"))</f>
        <v/>
      </c>
      <c r="AS155" s="13" t="str">
        <f aca="false">IF(A155="","",IF(J155="",Inputs!$B$18,J155))</f>
        <v/>
      </c>
      <c r="AT155" s="13" t="str">
        <f aca="false">IF(A155="","",IFERROR(maxifs($AV$4:$AV$203,$D$4:$D$203,$A155),""))</f>
        <v/>
      </c>
      <c r="AU155" s="13" t="str">
        <f aca="false">IF(A155="","",IF(OR(E155="",Inputs!$B$23=""),"",E155/(Inputs!$B$23*60)))</f>
        <v/>
      </c>
      <c r="AV155" s="13" t="str">
        <f aca="false">IF(A155="","",IF(AQ155=0,AS155+AU155,IF(AT155="",AS155+AU155,AT155+AU155)))</f>
        <v/>
      </c>
      <c r="AW155" s="13" t="str">
        <f aca="false">IF(A155="","",W155)</f>
        <v/>
      </c>
      <c r="AX155" s="13" t="str">
        <f aca="false">IF(OR(T155="",P155=""),"",(1/Inputs!$B$9)*((T155/4)^(2/3))*SQRT(P155))</f>
        <v/>
      </c>
      <c r="AY155" s="13" t="str">
        <f aca="false">IF(A155="","",IF(AND(AW155="",AX155="",BA155=""),"",IF(OR(UPPER(TRIM(Inputs!$B$24))="MANNING",UPPER(TRIM(Inputs!$B$24))="M"),AX155,IF(OR(UPPER(TRIM(Inputs!$B$24))="PARTIAL",UPPER(TRIM(Inputs!$B$24))="P"),BA155,IF(OR(UPPER(TRIM(Inputs!$B$24))="MAX",UPPER(TRIM(Inputs!$B$24))="X"),MAX(IF(AW155="",0,AW155),IF(AX155="",0,AX155),IF(BA155="",0,BA155)),AW155)))))</f>
        <v/>
      </c>
      <c r="AZ155" s="13" t="str">
        <f aca="false">IF(BB155="","",CH155)</f>
        <v/>
      </c>
      <c r="BA155" s="13" t="str">
        <f aca="false">IF(OR(BB155="",AZ155="",T155="",T155&lt;=0,AZ155&lt;=0),"",BB155/((T155^2/8)*(2*ACOS(1-2*AZ155/T155)-SIN(2*ACOS(1-2*AZ155/T155)))))</f>
        <v/>
      </c>
      <c r="BB155" s="9" t="str">
        <f aca="false">IF(OR(N155="",BC155=""),"",MIN(N155,BC155))</f>
        <v/>
      </c>
      <c r="BC155" s="9" t="str">
        <f aca="false">IF(OR(N155="",T155="",P155=""),"",IF(OR(T155="",P155="",(0.94*T155)="",T155&lt;=0,(0.94*T155)&lt;=0),"",(1/Inputs!$B$9)*((T155^2/8)*((2*ACOS(1-2*(0.94*T155)/T155))-SIN((2*ACOS(1-2*(0.94*T155)/T155)))))*((((T155^2/8)*((2*ACOS(1-2*(0.94*T155)/T155))-SIN((2*ACOS(1-2*(0.94*T155)/T155)))))/((T155/2)*((2*ACOS(1-2*(0.94*T155)/T155)))))^(2/3))*SQRT(P155)))</f>
        <v/>
      </c>
      <c r="BD155" s="9" t="str">
        <f aca="false">IF(BB155="","",0.001*T155)</f>
        <v/>
      </c>
      <c r="BE155" s="9" t="str">
        <f aca="false">IF(BB155="","",0.94*T155)</f>
        <v/>
      </c>
      <c r="BF155" s="9" t="str">
        <f aca="false">IF(BB155="","",(BD155+BE155)/2)</f>
        <v/>
      </c>
      <c r="BG155" s="9" t="str">
        <f aca="false">IF(OR(T155="",P155="",BF155="",T155&lt;=0,BF155&lt;=0),"",(1/Inputs!$B$9)*((T155^2/8)*((2*ACOS(1-2*BF155/T155))-SIN((2*ACOS(1-2*BF155/T155)))))*((((T155^2/8)*((2*ACOS(1-2*BF155/T155))-SIN((2*ACOS(1-2*BF155/T155)))))/((T155/2)*((2*ACOS(1-2*BF155/T155)))))^(2/3))*SQRT(P155))</f>
        <v/>
      </c>
      <c r="BH155" s="9" t="str">
        <f aca="false">IF(BB155="","",IF(BG155&lt;BB155,BF155,BD155))</f>
        <v/>
      </c>
      <c r="BI155" s="9" t="str">
        <f aca="false">IF(BB155="","",IF(BG155&lt;BB155,BE155,BF155))</f>
        <v/>
      </c>
      <c r="BJ155" s="9" t="str">
        <f aca="false">IF(BB155="","",(BH155+BI155)/2)</f>
        <v/>
      </c>
      <c r="BK155" s="9" t="str">
        <f aca="false">IF(OR(T155="",P155="",BJ155="",T155&lt;=0,BJ155&lt;=0),"",(1/Inputs!$B$9)*((T155^2/8)*((2*ACOS(1-2*BJ155/T155))-SIN((2*ACOS(1-2*BJ155/T155)))))*((((T155^2/8)*((2*ACOS(1-2*BJ155/T155))-SIN((2*ACOS(1-2*BJ155/T155)))))/((T155/2)*((2*ACOS(1-2*BJ155/T155)))))^(2/3))*SQRT(P155))</f>
        <v/>
      </c>
      <c r="BL155" s="9" t="str">
        <f aca="false">IF(BB155="","",IF(BK155&lt;BB155,BJ155,BH155))</f>
        <v/>
      </c>
      <c r="BM155" s="9" t="str">
        <f aca="false">IF(BB155="","",IF(BK155&lt;BB155,BI155,BJ155))</f>
        <v/>
      </c>
      <c r="BN155" s="9" t="str">
        <f aca="false">IF(BB155="","",(BL155+BM155)/2)</f>
        <v/>
      </c>
      <c r="BO155" s="9" t="str">
        <f aca="false">IF(OR(T155="",P155="",BN155="",T155&lt;=0,BN155&lt;=0),"",(1/Inputs!$B$9)*((T155^2/8)*((2*ACOS(1-2*BN155/T155))-SIN((2*ACOS(1-2*BN155/T155)))))*((((T155^2/8)*((2*ACOS(1-2*BN155/T155))-SIN((2*ACOS(1-2*BN155/T155)))))/((T155/2)*((2*ACOS(1-2*BN155/T155)))))^(2/3))*SQRT(P155))</f>
        <v/>
      </c>
      <c r="BP155" s="9" t="str">
        <f aca="false">IF(BB155="","",IF(BO155&lt;BB155,BN155,BL155))</f>
        <v/>
      </c>
      <c r="BQ155" s="9" t="str">
        <f aca="false">IF(BB155="","",IF(BO155&lt;BB155,BM155,BN155))</f>
        <v/>
      </c>
      <c r="BR155" s="9" t="str">
        <f aca="false">IF(BB155="","",(BP155+BQ155)/2)</f>
        <v/>
      </c>
      <c r="BS155" s="9" t="str">
        <f aca="false">IF(OR(T155="",P155="",BR155="",T155&lt;=0,BR155&lt;=0),"",(1/Inputs!$B$9)*((T155^2/8)*((2*ACOS(1-2*BR155/T155))-SIN((2*ACOS(1-2*BR155/T155)))))*((((T155^2/8)*((2*ACOS(1-2*BR155/T155))-SIN((2*ACOS(1-2*BR155/T155)))))/((T155/2)*((2*ACOS(1-2*BR155/T155)))))^(2/3))*SQRT(P155))</f>
        <v/>
      </c>
      <c r="BT155" s="9" t="str">
        <f aca="false">IF(BB155="","",IF(BS155&lt;BB155,BR155,BP155))</f>
        <v/>
      </c>
      <c r="BU155" s="9" t="str">
        <f aca="false">IF(BB155="","",IF(BS155&lt;BB155,BQ155,BR155))</f>
        <v/>
      </c>
      <c r="BV155" s="9" t="str">
        <f aca="false">IF(BB155="","",(BT155+BU155)/2)</f>
        <v/>
      </c>
      <c r="BW155" s="9" t="str">
        <f aca="false">IF(OR(T155="",P155="",BV155="",T155&lt;=0,BV155&lt;=0),"",(1/Inputs!$B$9)*((T155^2/8)*((2*ACOS(1-2*BV155/T155))-SIN((2*ACOS(1-2*BV155/T155)))))*((((T155^2/8)*((2*ACOS(1-2*BV155/T155))-SIN((2*ACOS(1-2*BV155/T155)))))/((T155/2)*((2*ACOS(1-2*BV155/T155)))))^(2/3))*SQRT(P155))</f>
        <v/>
      </c>
      <c r="BX155" s="9" t="str">
        <f aca="false">IF(BB155="","",IF(BW155&lt;BB155,BV155,BT155))</f>
        <v/>
      </c>
      <c r="BY155" s="9" t="str">
        <f aca="false">IF(BB155="","",IF(BW155&lt;BB155,BU155,BV155))</f>
        <v/>
      </c>
      <c r="BZ155" s="9" t="str">
        <f aca="false">IF(BB155="","",(BX155+BY155)/2)</f>
        <v/>
      </c>
      <c r="CA155" s="9" t="str">
        <f aca="false">IF(OR(T155="",P155="",BZ155="",T155&lt;=0,BZ155&lt;=0),"",(1/Inputs!$B$9)*((T155^2/8)*((2*ACOS(1-2*BZ155/T155))-SIN((2*ACOS(1-2*BZ155/T155)))))*((((T155^2/8)*((2*ACOS(1-2*BZ155/T155))-SIN((2*ACOS(1-2*BZ155/T155)))))/((T155/2)*((2*ACOS(1-2*BZ155/T155)))))^(2/3))*SQRT(P155))</f>
        <v/>
      </c>
      <c r="CB155" s="9" t="str">
        <f aca="false">IF(BB155="","",IF(CA155&lt;BB155,BZ155,BX155))</f>
        <v/>
      </c>
      <c r="CC155" s="9" t="str">
        <f aca="false">IF(BB155="","",IF(CA155&lt;BB155,BY155,BZ155))</f>
        <v/>
      </c>
      <c r="CD155" s="9" t="str">
        <f aca="false">IF(BB155="","",(CB155+CC155)/2)</f>
        <v/>
      </c>
      <c r="CE155" s="9" t="str">
        <f aca="false">IF(OR(T155="",P155="",CD155="",T155&lt;=0,CD155&lt;=0),"",(1/Inputs!$B$9)*((T155^2/8)*((2*ACOS(1-2*CD155/T155))-SIN((2*ACOS(1-2*CD155/T155)))))*((((T155^2/8)*((2*ACOS(1-2*CD155/T155))-SIN((2*ACOS(1-2*CD155/T155)))))/((T155/2)*((2*ACOS(1-2*CD155/T155)))))^(2/3))*SQRT(P155))</f>
        <v/>
      </c>
      <c r="CF155" s="9" t="str">
        <f aca="false">IF(BB155="","",IF(CE155&lt;BB155,CD155,CB155))</f>
        <v/>
      </c>
      <c r="CG155" s="9" t="str">
        <f aca="false">IF(BB155="","",IF(CE155&lt;BB155,CC155,CD155))</f>
        <v/>
      </c>
      <c r="CH155" s="9" t="str">
        <f aca="false">IF(BB155="","",(CF155+CG155)/2)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14"/>
      <c r="F156" s="14"/>
      <c r="G156" s="14" t="n">
        <f aca="false">SUMIFS(CB_plan!$C:$C,CB_plan!$B:$B,$A156)</f>
        <v>0</v>
      </c>
      <c r="H156" s="14" t="n">
        <f aca="false">IF(F156="",G156,F156)</f>
        <v>0</v>
      </c>
      <c r="I156" s="9"/>
      <c r="J156" s="14"/>
      <c r="K156" s="14" t="str">
        <f aca="false">IF(A156="","",Inputs!$B$13/((IF(AV156="",Inputs!$B$18,AV156)+Inputs!$B$14)^Inputs!$B$15))</f>
        <v/>
      </c>
      <c r="L156" s="14" t="str">
        <f aca="false">IF(A156="","",0.000000278*IF(I156="",Inputs!$B$17,I156)*H156*K156)</f>
        <v/>
      </c>
      <c r="M156" s="14" t="str">
        <f aca="false">IF(A156="","",SUMIFS($N$4:$N$203,$D$4:$D$203,$A156))</f>
        <v/>
      </c>
      <c r="N156" s="14" t="str">
        <f aca="false">IF(A156="","",(L156+M156)*Inputs!$B$16)</f>
        <v/>
      </c>
      <c r="O156" s="14"/>
      <c r="P156" s="14" t="str">
        <f aca="false">IF(A156="","",IF(O156="",Inputs!$B$7,O156))</f>
        <v/>
      </c>
      <c r="Q156" s="9" t="str">
        <f aca="false">IF(A156="","",IF(N156/Inputs!$B$10&lt;=AG156,Inputs!$F$5,IF(N156/Inputs!$B$10&gt;AP156,"OVERSIZE",INDEX(Inputs!$F$5:$F$14,MATCH(N156/Inputs!$B$10,AG156:AP156,1)+1))))</f>
        <v/>
      </c>
      <c r="R156" s="9"/>
      <c r="S156" s="9" t="str">
        <f aca="false">IF(A156="","",IF(R156="",Q156,R156))</f>
        <v/>
      </c>
      <c r="T156" s="14" t="str">
        <f aca="false">IF(OR(S156="",S156="OVERSIZE"),"",S156/1000)</f>
        <v/>
      </c>
      <c r="U156" s="14" t="str">
        <f aca="false">IF(T156="","",(1/Inputs!$B$9)*(PI()*T156^2/4)*((T156/4)^(2/3))*SQRT(P156))</f>
        <v/>
      </c>
      <c r="V156" s="14" t="str">
        <f aca="false">IF(OR(U156="",N156=""),"",N156/(U156*Inputs!$B$10))</f>
        <v/>
      </c>
      <c r="W156" s="14" t="str">
        <f aca="false">IF(OR(T156="",N156=""),"",4*N156/(PI()*T156^2))</f>
        <v/>
      </c>
      <c r="X156" s="14"/>
      <c r="Y156" s="14" t="str">
        <f aca="false">IF(A156="","",IF(A156=Inputs!$B$6,Inputs!$B$22,IF(D156="","",IFERROR(INDEX($Z$4:$Z$203,MATCH(D156,$A$4:$A$203,0))+IF(X156="",Inputs!$B$20,X156),""))))</f>
        <v/>
      </c>
      <c r="Z156" s="14" t="str">
        <f aca="false">IF(OR(Y156="",P156="",E156=""),"",Y156+P156*E156)</f>
        <v/>
      </c>
      <c r="AA156" s="14" t="str">
        <f aca="false">IF(C156="","",IFERROR(INDEX(Noeuds_plan!$C$4:$C$200,MATCH(C156,Noeuds_plan!$A$4:$A$200,0)),""))</f>
        <v/>
      </c>
      <c r="AB156" s="14" t="str">
        <f aca="false">IF(B156="","",IFERROR(INDEX(Noeuds_plan!$C$4:$C$200,MATCH(B156,Noeuds_plan!$A$4:$A$200,0)),""))</f>
        <v/>
      </c>
      <c r="AC156" s="14" t="str">
        <f aca="false">IF(OR(AA156="",Y156=""),"",AA156-Y156)</f>
        <v/>
      </c>
      <c r="AD156" s="14" t="str">
        <f aca="false">IF(OR(AB156="",Z156=""),"",AB156-Z156)</f>
        <v/>
      </c>
      <c r="AE156" s="19" t="str">
        <f aca="false">IF(A156="","",IF(OR(V156&gt;1,AND(AY156&lt;&gt;"",AY156&lt;Inputs!$B$11),AND(AY156&lt;&gt;"",AY156&gt;Inputs!$B$12),AC156&lt;Inputs!$B$19,AD156&lt;Inputs!$B$19,P156&lt;Inputs!$B$7,P156&gt;Inputs!$B$8),"CHECK","OK"))</f>
        <v/>
      </c>
      <c r="AF156" s="9"/>
      <c r="AG156" s="9" t="str">
        <f aca="false">IF(A156="","",(1/Inputs!$B$9)*(PI()*(Inputs!$F$5/1000)^2/4)*((Inputs!$F$5/1000/4)^(2/3))*SQRT(P156))</f>
        <v/>
      </c>
      <c r="AH156" s="9" t="str">
        <f aca="false">IF(A156="","",(1/Inputs!$B$9)*(PI()*(Inputs!$F$6/1000)^2/4)*((Inputs!$F$6/1000/4)^(2/3))*SQRT(P156))</f>
        <v/>
      </c>
      <c r="AI156" s="9" t="str">
        <f aca="false">IF(A156="","",(1/Inputs!$B$9)*(PI()*(Inputs!$F$7/1000)^2/4)*((Inputs!$F$7/1000/4)^(2/3))*SQRT(P156))</f>
        <v/>
      </c>
      <c r="AJ156" s="9" t="str">
        <f aca="false">IF(A156="","",(1/Inputs!$B$9)*(PI()*(Inputs!$F$8/1000)^2/4)*((Inputs!$F$8/1000/4)^(2/3))*SQRT(P156))</f>
        <v/>
      </c>
      <c r="AK156" s="9" t="str">
        <f aca="false">IF(A156="","",(1/Inputs!$B$9)*(PI()*(Inputs!$F$9/1000)^2/4)*((Inputs!$F$9/1000/4)^(2/3))*SQRT(P156))</f>
        <v/>
      </c>
      <c r="AL156" s="9" t="str">
        <f aca="false">IF(A156="","",(1/Inputs!$B$9)*(PI()*(Inputs!$F$10/1000)^2/4)*((Inputs!$F$10/1000/4)^(2/3))*SQRT(P156))</f>
        <v/>
      </c>
      <c r="AM156" s="9" t="str">
        <f aca="false">IF(A156="","",(1/Inputs!$B$9)*(PI()*(Inputs!$F$11/1000)^2/4)*((Inputs!$F$11/1000/4)^(2/3))*SQRT(P156))</f>
        <v/>
      </c>
      <c r="AN156" s="9" t="str">
        <f aca="false">IF(A156="","",(1/Inputs!$B$9)*(PI()*(Inputs!$F$12/1000)^2/4)*((Inputs!$F$12/1000/4)^(2/3))*SQRT(P156))</f>
        <v/>
      </c>
      <c r="AO156" s="9" t="str">
        <f aca="false">IF(A156="","",(1/Inputs!$B$9)*(PI()*(Inputs!$F$13/1000)^2/4)*((Inputs!$F$13/1000/4)^(2/3))*SQRT(P156))</f>
        <v/>
      </c>
      <c r="AP156" s="9" t="str">
        <f aca="false">IF(A156="","",(1/Inputs!$B$9)*(PI()*(Inputs!$F$14/1000)^2/4)*((Inputs!$F$14/1000/4)^(2/3))*SQRT(P156))</f>
        <v/>
      </c>
      <c r="AQ156" s="9" t="str">
        <f aca="false">IF(A156="","",COUNTIF($D$4:$D$203,$A156))</f>
        <v/>
      </c>
      <c r="AR156" s="9" t="str">
        <f aca="false">IF(A156="","",IF(AQ156=0,"START","CONTINUOUS"))</f>
        <v/>
      </c>
      <c r="AS156" s="13" t="str">
        <f aca="false">IF(A156="","",IF(J156="",Inputs!$B$18,J156))</f>
        <v/>
      </c>
      <c r="AT156" s="13" t="str">
        <f aca="false">IF(A156="","",IFERROR(maxifs($AV$4:$AV$203,$D$4:$D$203,$A156),""))</f>
        <v/>
      </c>
      <c r="AU156" s="13" t="str">
        <f aca="false">IF(A156="","",IF(OR(E156="",Inputs!$B$23=""),"",E156/(Inputs!$B$23*60)))</f>
        <v/>
      </c>
      <c r="AV156" s="13" t="str">
        <f aca="false">IF(A156="","",IF(AQ156=0,AS156+AU156,IF(AT156="",AS156+AU156,AT156+AU156)))</f>
        <v/>
      </c>
      <c r="AW156" s="13" t="str">
        <f aca="false">IF(A156="","",W156)</f>
        <v/>
      </c>
      <c r="AX156" s="13" t="str">
        <f aca="false">IF(OR(T156="",P156=""),"",(1/Inputs!$B$9)*((T156/4)^(2/3))*SQRT(P156))</f>
        <v/>
      </c>
      <c r="AY156" s="13" t="str">
        <f aca="false">IF(A156="","",IF(AND(AW156="",AX156="",BA156=""),"",IF(OR(UPPER(TRIM(Inputs!$B$24))="MANNING",UPPER(TRIM(Inputs!$B$24))="M"),AX156,IF(OR(UPPER(TRIM(Inputs!$B$24))="PARTIAL",UPPER(TRIM(Inputs!$B$24))="P"),BA156,IF(OR(UPPER(TRIM(Inputs!$B$24))="MAX",UPPER(TRIM(Inputs!$B$24))="X"),MAX(IF(AW156="",0,AW156),IF(AX156="",0,AX156),IF(BA156="",0,BA156)),AW156)))))</f>
        <v/>
      </c>
      <c r="AZ156" s="13" t="str">
        <f aca="false">IF(BB156="","",CH156)</f>
        <v/>
      </c>
      <c r="BA156" s="13" t="str">
        <f aca="false">IF(OR(BB156="",AZ156="",T156="",T156&lt;=0,AZ156&lt;=0),"",BB156/((T156^2/8)*(2*ACOS(1-2*AZ156/T156)-SIN(2*ACOS(1-2*AZ156/T156)))))</f>
        <v/>
      </c>
      <c r="BB156" s="9" t="str">
        <f aca="false">IF(OR(N156="",BC156=""),"",MIN(N156,BC156))</f>
        <v/>
      </c>
      <c r="BC156" s="9" t="str">
        <f aca="false">IF(OR(N156="",T156="",P156=""),"",IF(OR(T156="",P156="",(0.94*T156)="",T156&lt;=0,(0.94*T156)&lt;=0),"",(1/Inputs!$B$9)*((T156^2/8)*((2*ACOS(1-2*(0.94*T156)/T156))-SIN((2*ACOS(1-2*(0.94*T156)/T156)))))*((((T156^2/8)*((2*ACOS(1-2*(0.94*T156)/T156))-SIN((2*ACOS(1-2*(0.94*T156)/T156)))))/((T156/2)*((2*ACOS(1-2*(0.94*T156)/T156)))))^(2/3))*SQRT(P156)))</f>
        <v/>
      </c>
      <c r="BD156" s="9" t="str">
        <f aca="false">IF(BB156="","",0.001*T156)</f>
        <v/>
      </c>
      <c r="BE156" s="9" t="str">
        <f aca="false">IF(BB156="","",0.94*T156)</f>
        <v/>
      </c>
      <c r="BF156" s="9" t="str">
        <f aca="false">IF(BB156="","",(BD156+BE156)/2)</f>
        <v/>
      </c>
      <c r="BG156" s="9" t="str">
        <f aca="false">IF(OR(T156="",P156="",BF156="",T156&lt;=0,BF156&lt;=0),"",(1/Inputs!$B$9)*((T156^2/8)*((2*ACOS(1-2*BF156/T156))-SIN((2*ACOS(1-2*BF156/T156)))))*((((T156^2/8)*((2*ACOS(1-2*BF156/T156))-SIN((2*ACOS(1-2*BF156/T156)))))/((T156/2)*((2*ACOS(1-2*BF156/T156)))))^(2/3))*SQRT(P156))</f>
        <v/>
      </c>
      <c r="BH156" s="9" t="str">
        <f aca="false">IF(BB156="","",IF(BG156&lt;BB156,BF156,BD156))</f>
        <v/>
      </c>
      <c r="BI156" s="9" t="str">
        <f aca="false">IF(BB156="","",IF(BG156&lt;BB156,BE156,BF156))</f>
        <v/>
      </c>
      <c r="BJ156" s="9" t="str">
        <f aca="false">IF(BB156="","",(BH156+BI156)/2)</f>
        <v/>
      </c>
      <c r="BK156" s="9" t="str">
        <f aca="false">IF(OR(T156="",P156="",BJ156="",T156&lt;=0,BJ156&lt;=0),"",(1/Inputs!$B$9)*((T156^2/8)*((2*ACOS(1-2*BJ156/T156))-SIN((2*ACOS(1-2*BJ156/T156)))))*((((T156^2/8)*((2*ACOS(1-2*BJ156/T156))-SIN((2*ACOS(1-2*BJ156/T156)))))/((T156/2)*((2*ACOS(1-2*BJ156/T156)))))^(2/3))*SQRT(P156))</f>
        <v/>
      </c>
      <c r="BL156" s="9" t="str">
        <f aca="false">IF(BB156="","",IF(BK156&lt;BB156,BJ156,BH156))</f>
        <v/>
      </c>
      <c r="BM156" s="9" t="str">
        <f aca="false">IF(BB156="","",IF(BK156&lt;BB156,BI156,BJ156))</f>
        <v/>
      </c>
      <c r="BN156" s="9" t="str">
        <f aca="false">IF(BB156="","",(BL156+BM156)/2)</f>
        <v/>
      </c>
      <c r="BO156" s="9" t="str">
        <f aca="false">IF(OR(T156="",P156="",BN156="",T156&lt;=0,BN156&lt;=0),"",(1/Inputs!$B$9)*((T156^2/8)*((2*ACOS(1-2*BN156/T156))-SIN((2*ACOS(1-2*BN156/T156)))))*((((T156^2/8)*((2*ACOS(1-2*BN156/T156))-SIN((2*ACOS(1-2*BN156/T156)))))/((T156/2)*((2*ACOS(1-2*BN156/T156)))))^(2/3))*SQRT(P156))</f>
        <v/>
      </c>
      <c r="BP156" s="9" t="str">
        <f aca="false">IF(BB156="","",IF(BO156&lt;BB156,BN156,BL156))</f>
        <v/>
      </c>
      <c r="BQ156" s="9" t="str">
        <f aca="false">IF(BB156="","",IF(BO156&lt;BB156,BM156,BN156))</f>
        <v/>
      </c>
      <c r="BR156" s="9" t="str">
        <f aca="false">IF(BB156="","",(BP156+BQ156)/2)</f>
        <v/>
      </c>
      <c r="BS156" s="9" t="str">
        <f aca="false">IF(OR(T156="",P156="",BR156="",T156&lt;=0,BR156&lt;=0),"",(1/Inputs!$B$9)*((T156^2/8)*((2*ACOS(1-2*BR156/T156))-SIN((2*ACOS(1-2*BR156/T156)))))*((((T156^2/8)*((2*ACOS(1-2*BR156/T156))-SIN((2*ACOS(1-2*BR156/T156)))))/((T156/2)*((2*ACOS(1-2*BR156/T156)))))^(2/3))*SQRT(P156))</f>
        <v/>
      </c>
      <c r="BT156" s="9" t="str">
        <f aca="false">IF(BB156="","",IF(BS156&lt;BB156,BR156,BP156))</f>
        <v/>
      </c>
      <c r="BU156" s="9" t="str">
        <f aca="false">IF(BB156="","",IF(BS156&lt;BB156,BQ156,BR156))</f>
        <v/>
      </c>
      <c r="BV156" s="9" t="str">
        <f aca="false">IF(BB156="","",(BT156+BU156)/2)</f>
        <v/>
      </c>
      <c r="BW156" s="9" t="str">
        <f aca="false">IF(OR(T156="",P156="",BV156="",T156&lt;=0,BV156&lt;=0),"",(1/Inputs!$B$9)*((T156^2/8)*((2*ACOS(1-2*BV156/T156))-SIN((2*ACOS(1-2*BV156/T156)))))*((((T156^2/8)*((2*ACOS(1-2*BV156/T156))-SIN((2*ACOS(1-2*BV156/T156)))))/((T156/2)*((2*ACOS(1-2*BV156/T156)))))^(2/3))*SQRT(P156))</f>
        <v/>
      </c>
      <c r="BX156" s="9" t="str">
        <f aca="false">IF(BB156="","",IF(BW156&lt;BB156,BV156,BT156))</f>
        <v/>
      </c>
      <c r="BY156" s="9" t="str">
        <f aca="false">IF(BB156="","",IF(BW156&lt;BB156,BU156,BV156))</f>
        <v/>
      </c>
      <c r="BZ156" s="9" t="str">
        <f aca="false">IF(BB156="","",(BX156+BY156)/2)</f>
        <v/>
      </c>
      <c r="CA156" s="9" t="str">
        <f aca="false">IF(OR(T156="",P156="",BZ156="",T156&lt;=0,BZ156&lt;=0),"",(1/Inputs!$B$9)*((T156^2/8)*((2*ACOS(1-2*BZ156/T156))-SIN((2*ACOS(1-2*BZ156/T156)))))*((((T156^2/8)*((2*ACOS(1-2*BZ156/T156))-SIN((2*ACOS(1-2*BZ156/T156)))))/((T156/2)*((2*ACOS(1-2*BZ156/T156)))))^(2/3))*SQRT(P156))</f>
        <v/>
      </c>
      <c r="CB156" s="9" t="str">
        <f aca="false">IF(BB156="","",IF(CA156&lt;BB156,BZ156,BX156))</f>
        <v/>
      </c>
      <c r="CC156" s="9" t="str">
        <f aca="false">IF(BB156="","",IF(CA156&lt;BB156,BY156,BZ156))</f>
        <v/>
      </c>
      <c r="CD156" s="9" t="str">
        <f aca="false">IF(BB156="","",(CB156+CC156)/2)</f>
        <v/>
      </c>
      <c r="CE156" s="9" t="str">
        <f aca="false">IF(OR(T156="",P156="",CD156="",T156&lt;=0,CD156&lt;=0),"",(1/Inputs!$B$9)*((T156^2/8)*((2*ACOS(1-2*CD156/T156))-SIN((2*ACOS(1-2*CD156/T156)))))*((((T156^2/8)*((2*ACOS(1-2*CD156/T156))-SIN((2*ACOS(1-2*CD156/T156)))))/((T156/2)*((2*ACOS(1-2*CD156/T156)))))^(2/3))*SQRT(P156))</f>
        <v/>
      </c>
      <c r="CF156" s="9" t="str">
        <f aca="false">IF(BB156="","",IF(CE156&lt;BB156,CD156,CB156))</f>
        <v/>
      </c>
      <c r="CG156" s="9" t="str">
        <f aca="false">IF(BB156="","",IF(CE156&lt;BB156,CC156,CD156))</f>
        <v/>
      </c>
      <c r="CH156" s="9" t="str">
        <f aca="false">IF(BB156="","",(CF156+CG156)/2)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14"/>
      <c r="F157" s="14"/>
      <c r="G157" s="14" t="n">
        <f aca="false">SUMIFS(CB_plan!$C:$C,CB_plan!$B:$B,$A157)</f>
        <v>0</v>
      </c>
      <c r="H157" s="14" t="n">
        <f aca="false">IF(F157="",G157,F157)</f>
        <v>0</v>
      </c>
      <c r="I157" s="9"/>
      <c r="J157" s="14"/>
      <c r="K157" s="14" t="str">
        <f aca="false">IF(A157="","",Inputs!$B$13/((IF(AV157="",Inputs!$B$18,AV157)+Inputs!$B$14)^Inputs!$B$15))</f>
        <v/>
      </c>
      <c r="L157" s="14" t="str">
        <f aca="false">IF(A157="","",0.000000278*IF(I157="",Inputs!$B$17,I157)*H157*K157)</f>
        <v/>
      </c>
      <c r="M157" s="14" t="str">
        <f aca="false">IF(A157="","",SUMIFS($N$4:$N$203,$D$4:$D$203,$A157))</f>
        <v/>
      </c>
      <c r="N157" s="14" t="str">
        <f aca="false">IF(A157="","",(L157+M157)*Inputs!$B$16)</f>
        <v/>
      </c>
      <c r="O157" s="14"/>
      <c r="P157" s="14" t="str">
        <f aca="false">IF(A157="","",IF(O157="",Inputs!$B$7,O157))</f>
        <v/>
      </c>
      <c r="Q157" s="9" t="str">
        <f aca="false">IF(A157="","",IF(N157/Inputs!$B$10&lt;=AG157,Inputs!$F$5,IF(N157/Inputs!$B$10&gt;AP157,"OVERSIZE",INDEX(Inputs!$F$5:$F$14,MATCH(N157/Inputs!$B$10,AG157:AP157,1)+1))))</f>
        <v/>
      </c>
      <c r="R157" s="9"/>
      <c r="S157" s="9" t="str">
        <f aca="false">IF(A157="","",IF(R157="",Q157,R157))</f>
        <v/>
      </c>
      <c r="T157" s="14" t="str">
        <f aca="false">IF(OR(S157="",S157="OVERSIZE"),"",S157/1000)</f>
        <v/>
      </c>
      <c r="U157" s="14" t="str">
        <f aca="false">IF(T157="","",(1/Inputs!$B$9)*(PI()*T157^2/4)*((T157/4)^(2/3))*SQRT(P157))</f>
        <v/>
      </c>
      <c r="V157" s="14" t="str">
        <f aca="false">IF(OR(U157="",N157=""),"",N157/(U157*Inputs!$B$10))</f>
        <v/>
      </c>
      <c r="W157" s="14" t="str">
        <f aca="false">IF(OR(T157="",N157=""),"",4*N157/(PI()*T157^2))</f>
        <v/>
      </c>
      <c r="X157" s="14"/>
      <c r="Y157" s="14" t="str">
        <f aca="false">IF(A157="","",IF(A157=Inputs!$B$6,Inputs!$B$22,IF(D157="","",IFERROR(INDEX($Z$4:$Z$203,MATCH(D157,$A$4:$A$203,0))+IF(X157="",Inputs!$B$20,X157),""))))</f>
        <v/>
      </c>
      <c r="Z157" s="14" t="str">
        <f aca="false">IF(OR(Y157="",P157="",E157=""),"",Y157+P157*E157)</f>
        <v/>
      </c>
      <c r="AA157" s="14" t="str">
        <f aca="false">IF(C157="","",IFERROR(INDEX(Noeuds_plan!$C$4:$C$200,MATCH(C157,Noeuds_plan!$A$4:$A$200,0)),""))</f>
        <v/>
      </c>
      <c r="AB157" s="14" t="str">
        <f aca="false">IF(B157="","",IFERROR(INDEX(Noeuds_plan!$C$4:$C$200,MATCH(B157,Noeuds_plan!$A$4:$A$200,0)),""))</f>
        <v/>
      </c>
      <c r="AC157" s="14" t="str">
        <f aca="false">IF(OR(AA157="",Y157=""),"",AA157-Y157)</f>
        <v/>
      </c>
      <c r="AD157" s="14" t="str">
        <f aca="false">IF(OR(AB157="",Z157=""),"",AB157-Z157)</f>
        <v/>
      </c>
      <c r="AE157" s="19" t="str">
        <f aca="false">IF(A157="","",IF(OR(V157&gt;1,AND(AY157&lt;&gt;"",AY157&lt;Inputs!$B$11),AND(AY157&lt;&gt;"",AY157&gt;Inputs!$B$12),AC157&lt;Inputs!$B$19,AD157&lt;Inputs!$B$19,P157&lt;Inputs!$B$7,P157&gt;Inputs!$B$8),"CHECK","OK"))</f>
        <v/>
      </c>
      <c r="AF157" s="9"/>
      <c r="AG157" s="9" t="str">
        <f aca="false">IF(A157="","",(1/Inputs!$B$9)*(PI()*(Inputs!$F$5/1000)^2/4)*((Inputs!$F$5/1000/4)^(2/3))*SQRT(P157))</f>
        <v/>
      </c>
      <c r="AH157" s="9" t="str">
        <f aca="false">IF(A157="","",(1/Inputs!$B$9)*(PI()*(Inputs!$F$6/1000)^2/4)*((Inputs!$F$6/1000/4)^(2/3))*SQRT(P157))</f>
        <v/>
      </c>
      <c r="AI157" s="9" t="str">
        <f aca="false">IF(A157="","",(1/Inputs!$B$9)*(PI()*(Inputs!$F$7/1000)^2/4)*((Inputs!$F$7/1000/4)^(2/3))*SQRT(P157))</f>
        <v/>
      </c>
      <c r="AJ157" s="9" t="str">
        <f aca="false">IF(A157="","",(1/Inputs!$B$9)*(PI()*(Inputs!$F$8/1000)^2/4)*((Inputs!$F$8/1000/4)^(2/3))*SQRT(P157))</f>
        <v/>
      </c>
      <c r="AK157" s="9" t="str">
        <f aca="false">IF(A157="","",(1/Inputs!$B$9)*(PI()*(Inputs!$F$9/1000)^2/4)*((Inputs!$F$9/1000/4)^(2/3))*SQRT(P157))</f>
        <v/>
      </c>
      <c r="AL157" s="9" t="str">
        <f aca="false">IF(A157="","",(1/Inputs!$B$9)*(PI()*(Inputs!$F$10/1000)^2/4)*((Inputs!$F$10/1000/4)^(2/3))*SQRT(P157))</f>
        <v/>
      </c>
      <c r="AM157" s="9" t="str">
        <f aca="false">IF(A157="","",(1/Inputs!$B$9)*(PI()*(Inputs!$F$11/1000)^2/4)*((Inputs!$F$11/1000/4)^(2/3))*SQRT(P157))</f>
        <v/>
      </c>
      <c r="AN157" s="9" t="str">
        <f aca="false">IF(A157="","",(1/Inputs!$B$9)*(PI()*(Inputs!$F$12/1000)^2/4)*((Inputs!$F$12/1000/4)^(2/3))*SQRT(P157))</f>
        <v/>
      </c>
      <c r="AO157" s="9" t="str">
        <f aca="false">IF(A157="","",(1/Inputs!$B$9)*(PI()*(Inputs!$F$13/1000)^2/4)*((Inputs!$F$13/1000/4)^(2/3))*SQRT(P157))</f>
        <v/>
      </c>
      <c r="AP157" s="9" t="str">
        <f aca="false">IF(A157="","",(1/Inputs!$B$9)*(PI()*(Inputs!$F$14/1000)^2/4)*((Inputs!$F$14/1000/4)^(2/3))*SQRT(P157))</f>
        <v/>
      </c>
      <c r="AQ157" s="9" t="str">
        <f aca="false">IF(A157="","",COUNTIF($D$4:$D$203,$A157))</f>
        <v/>
      </c>
      <c r="AR157" s="9" t="str">
        <f aca="false">IF(A157="","",IF(AQ157=0,"START","CONTINUOUS"))</f>
        <v/>
      </c>
      <c r="AS157" s="13" t="str">
        <f aca="false">IF(A157="","",IF(J157="",Inputs!$B$18,J157))</f>
        <v/>
      </c>
      <c r="AT157" s="13" t="str">
        <f aca="false">IF(A157="","",IFERROR(maxifs($AV$4:$AV$203,$D$4:$D$203,$A157),""))</f>
        <v/>
      </c>
      <c r="AU157" s="13" t="str">
        <f aca="false">IF(A157="","",IF(OR(E157="",Inputs!$B$23=""),"",E157/(Inputs!$B$23*60)))</f>
        <v/>
      </c>
      <c r="AV157" s="13" t="str">
        <f aca="false">IF(A157="","",IF(AQ157=0,AS157+AU157,IF(AT157="",AS157+AU157,AT157+AU157)))</f>
        <v/>
      </c>
      <c r="AW157" s="13" t="str">
        <f aca="false">IF(A157="","",W157)</f>
        <v/>
      </c>
      <c r="AX157" s="13" t="str">
        <f aca="false">IF(OR(T157="",P157=""),"",(1/Inputs!$B$9)*((T157/4)^(2/3))*SQRT(P157))</f>
        <v/>
      </c>
      <c r="AY157" s="13" t="str">
        <f aca="false">IF(A157="","",IF(AND(AW157="",AX157="",BA157=""),"",IF(OR(UPPER(TRIM(Inputs!$B$24))="MANNING",UPPER(TRIM(Inputs!$B$24))="M"),AX157,IF(OR(UPPER(TRIM(Inputs!$B$24))="PARTIAL",UPPER(TRIM(Inputs!$B$24))="P"),BA157,IF(OR(UPPER(TRIM(Inputs!$B$24))="MAX",UPPER(TRIM(Inputs!$B$24))="X"),MAX(IF(AW157="",0,AW157),IF(AX157="",0,AX157),IF(BA157="",0,BA157)),AW157)))))</f>
        <v/>
      </c>
      <c r="AZ157" s="13" t="str">
        <f aca="false">IF(BB157="","",CH157)</f>
        <v/>
      </c>
      <c r="BA157" s="13" t="str">
        <f aca="false">IF(OR(BB157="",AZ157="",T157="",T157&lt;=0,AZ157&lt;=0),"",BB157/((T157^2/8)*(2*ACOS(1-2*AZ157/T157)-SIN(2*ACOS(1-2*AZ157/T157)))))</f>
        <v/>
      </c>
      <c r="BB157" s="9" t="str">
        <f aca="false">IF(OR(N157="",BC157=""),"",MIN(N157,BC157))</f>
        <v/>
      </c>
      <c r="BC157" s="9" t="str">
        <f aca="false">IF(OR(N157="",T157="",P157=""),"",IF(OR(T157="",P157="",(0.94*T157)="",T157&lt;=0,(0.94*T157)&lt;=0),"",(1/Inputs!$B$9)*((T157^2/8)*((2*ACOS(1-2*(0.94*T157)/T157))-SIN((2*ACOS(1-2*(0.94*T157)/T157)))))*((((T157^2/8)*((2*ACOS(1-2*(0.94*T157)/T157))-SIN((2*ACOS(1-2*(0.94*T157)/T157)))))/((T157/2)*((2*ACOS(1-2*(0.94*T157)/T157)))))^(2/3))*SQRT(P157)))</f>
        <v/>
      </c>
      <c r="BD157" s="9" t="str">
        <f aca="false">IF(BB157="","",0.001*T157)</f>
        <v/>
      </c>
      <c r="BE157" s="9" t="str">
        <f aca="false">IF(BB157="","",0.94*T157)</f>
        <v/>
      </c>
      <c r="BF157" s="9" t="str">
        <f aca="false">IF(BB157="","",(BD157+BE157)/2)</f>
        <v/>
      </c>
      <c r="BG157" s="9" t="str">
        <f aca="false">IF(OR(T157="",P157="",BF157="",T157&lt;=0,BF157&lt;=0),"",(1/Inputs!$B$9)*((T157^2/8)*((2*ACOS(1-2*BF157/T157))-SIN((2*ACOS(1-2*BF157/T157)))))*((((T157^2/8)*((2*ACOS(1-2*BF157/T157))-SIN((2*ACOS(1-2*BF157/T157)))))/((T157/2)*((2*ACOS(1-2*BF157/T157)))))^(2/3))*SQRT(P157))</f>
        <v/>
      </c>
      <c r="BH157" s="9" t="str">
        <f aca="false">IF(BB157="","",IF(BG157&lt;BB157,BF157,BD157))</f>
        <v/>
      </c>
      <c r="BI157" s="9" t="str">
        <f aca="false">IF(BB157="","",IF(BG157&lt;BB157,BE157,BF157))</f>
        <v/>
      </c>
      <c r="BJ157" s="9" t="str">
        <f aca="false">IF(BB157="","",(BH157+BI157)/2)</f>
        <v/>
      </c>
      <c r="BK157" s="9" t="str">
        <f aca="false">IF(OR(T157="",P157="",BJ157="",T157&lt;=0,BJ157&lt;=0),"",(1/Inputs!$B$9)*((T157^2/8)*((2*ACOS(1-2*BJ157/T157))-SIN((2*ACOS(1-2*BJ157/T157)))))*((((T157^2/8)*((2*ACOS(1-2*BJ157/T157))-SIN((2*ACOS(1-2*BJ157/T157)))))/((T157/2)*((2*ACOS(1-2*BJ157/T157)))))^(2/3))*SQRT(P157))</f>
        <v/>
      </c>
      <c r="BL157" s="9" t="str">
        <f aca="false">IF(BB157="","",IF(BK157&lt;BB157,BJ157,BH157))</f>
        <v/>
      </c>
      <c r="BM157" s="9" t="str">
        <f aca="false">IF(BB157="","",IF(BK157&lt;BB157,BI157,BJ157))</f>
        <v/>
      </c>
      <c r="BN157" s="9" t="str">
        <f aca="false">IF(BB157="","",(BL157+BM157)/2)</f>
        <v/>
      </c>
      <c r="BO157" s="9" t="str">
        <f aca="false">IF(OR(T157="",P157="",BN157="",T157&lt;=0,BN157&lt;=0),"",(1/Inputs!$B$9)*((T157^2/8)*((2*ACOS(1-2*BN157/T157))-SIN((2*ACOS(1-2*BN157/T157)))))*((((T157^2/8)*((2*ACOS(1-2*BN157/T157))-SIN((2*ACOS(1-2*BN157/T157)))))/((T157/2)*((2*ACOS(1-2*BN157/T157)))))^(2/3))*SQRT(P157))</f>
        <v/>
      </c>
      <c r="BP157" s="9" t="str">
        <f aca="false">IF(BB157="","",IF(BO157&lt;BB157,BN157,BL157))</f>
        <v/>
      </c>
      <c r="BQ157" s="9" t="str">
        <f aca="false">IF(BB157="","",IF(BO157&lt;BB157,BM157,BN157))</f>
        <v/>
      </c>
      <c r="BR157" s="9" t="str">
        <f aca="false">IF(BB157="","",(BP157+BQ157)/2)</f>
        <v/>
      </c>
      <c r="BS157" s="9" t="str">
        <f aca="false">IF(OR(T157="",P157="",BR157="",T157&lt;=0,BR157&lt;=0),"",(1/Inputs!$B$9)*((T157^2/8)*((2*ACOS(1-2*BR157/T157))-SIN((2*ACOS(1-2*BR157/T157)))))*((((T157^2/8)*((2*ACOS(1-2*BR157/T157))-SIN((2*ACOS(1-2*BR157/T157)))))/((T157/2)*((2*ACOS(1-2*BR157/T157)))))^(2/3))*SQRT(P157))</f>
        <v/>
      </c>
      <c r="BT157" s="9" t="str">
        <f aca="false">IF(BB157="","",IF(BS157&lt;BB157,BR157,BP157))</f>
        <v/>
      </c>
      <c r="BU157" s="9" t="str">
        <f aca="false">IF(BB157="","",IF(BS157&lt;BB157,BQ157,BR157))</f>
        <v/>
      </c>
      <c r="BV157" s="9" t="str">
        <f aca="false">IF(BB157="","",(BT157+BU157)/2)</f>
        <v/>
      </c>
      <c r="BW157" s="9" t="str">
        <f aca="false">IF(OR(T157="",P157="",BV157="",T157&lt;=0,BV157&lt;=0),"",(1/Inputs!$B$9)*((T157^2/8)*((2*ACOS(1-2*BV157/T157))-SIN((2*ACOS(1-2*BV157/T157)))))*((((T157^2/8)*((2*ACOS(1-2*BV157/T157))-SIN((2*ACOS(1-2*BV157/T157)))))/((T157/2)*((2*ACOS(1-2*BV157/T157)))))^(2/3))*SQRT(P157))</f>
        <v/>
      </c>
      <c r="BX157" s="9" t="str">
        <f aca="false">IF(BB157="","",IF(BW157&lt;BB157,BV157,BT157))</f>
        <v/>
      </c>
      <c r="BY157" s="9" t="str">
        <f aca="false">IF(BB157="","",IF(BW157&lt;BB157,BU157,BV157))</f>
        <v/>
      </c>
      <c r="BZ157" s="9" t="str">
        <f aca="false">IF(BB157="","",(BX157+BY157)/2)</f>
        <v/>
      </c>
      <c r="CA157" s="9" t="str">
        <f aca="false">IF(OR(T157="",P157="",BZ157="",T157&lt;=0,BZ157&lt;=0),"",(1/Inputs!$B$9)*((T157^2/8)*((2*ACOS(1-2*BZ157/T157))-SIN((2*ACOS(1-2*BZ157/T157)))))*((((T157^2/8)*((2*ACOS(1-2*BZ157/T157))-SIN((2*ACOS(1-2*BZ157/T157)))))/((T157/2)*((2*ACOS(1-2*BZ157/T157)))))^(2/3))*SQRT(P157))</f>
        <v/>
      </c>
      <c r="CB157" s="9" t="str">
        <f aca="false">IF(BB157="","",IF(CA157&lt;BB157,BZ157,BX157))</f>
        <v/>
      </c>
      <c r="CC157" s="9" t="str">
        <f aca="false">IF(BB157="","",IF(CA157&lt;BB157,BY157,BZ157))</f>
        <v/>
      </c>
      <c r="CD157" s="9" t="str">
        <f aca="false">IF(BB157="","",(CB157+CC157)/2)</f>
        <v/>
      </c>
      <c r="CE157" s="9" t="str">
        <f aca="false">IF(OR(T157="",P157="",CD157="",T157&lt;=0,CD157&lt;=0),"",(1/Inputs!$B$9)*((T157^2/8)*((2*ACOS(1-2*CD157/T157))-SIN((2*ACOS(1-2*CD157/T157)))))*((((T157^2/8)*((2*ACOS(1-2*CD157/T157))-SIN((2*ACOS(1-2*CD157/T157)))))/((T157/2)*((2*ACOS(1-2*CD157/T157)))))^(2/3))*SQRT(P157))</f>
        <v/>
      </c>
      <c r="CF157" s="9" t="str">
        <f aca="false">IF(BB157="","",IF(CE157&lt;BB157,CD157,CB157))</f>
        <v/>
      </c>
      <c r="CG157" s="9" t="str">
        <f aca="false">IF(BB157="","",IF(CE157&lt;BB157,CC157,CD157))</f>
        <v/>
      </c>
      <c r="CH157" s="9" t="str">
        <f aca="false">IF(BB157="","",(CF157+CG157)/2)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14"/>
      <c r="F158" s="14"/>
      <c r="G158" s="14" t="n">
        <f aca="false">SUMIFS(CB_plan!$C:$C,CB_plan!$B:$B,$A158)</f>
        <v>0</v>
      </c>
      <c r="H158" s="14" t="n">
        <f aca="false">IF(F158="",G158,F158)</f>
        <v>0</v>
      </c>
      <c r="I158" s="9"/>
      <c r="J158" s="14"/>
      <c r="K158" s="14" t="str">
        <f aca="false">IF(A158="","",Inputs!$B$13/((IF(AV158="",Inputs!$B$18,AV158)+Inputs!$B$14)^Inputs!$B$15))</f>
        <v/>
      </c>
      <c r="L158" s="14" t="str">
        <f aca="false">IF(A158="","",0.000000278*IF(I158="",Inputs!$B$17,I158)*H158*K158)</f>
        <v/>
      </c>
      <c r="M158" s="14" t="str">
        <f aca="false">IF(A158="","",SUMIFS($N$4:$N$203,$D$4:$D$203,$A158))</f>
        <v/>
      </c>
      <c r="N158" s="14" t="str">
        <f aca="false">IF(A158="","",(L158+M158)*Inputs!$B$16)</f>
        <v/>
      </c>
      <c r="O158" s="14"/>
      <c r="P158" s="14" t="str">
        <f aca="false">IF(A158="","",IF(O158="",Inputs!$B$7,O158))</f>
        <v/>
      </c>
      <c r="Q158" s="9" t="str">
        <f aca="false">IF(A158="","",IF(N158/Inputs!$B$10&lt;=AG158,Inputs!$F$5,IF(N158/Inputs!$B$10&gt;AP158,"OVERSIZE",INDEX(Inputs!$F$5:$F$14,MATCH(N158/Inputs!$B$10,AG158:AP158,1)+1))))</f>
        <v/>
      </c>
      <c r="R158" s="9"/>
      <c r="S158" s="9" t="str">
        <f aca="false">IF(A158="","",IF(R158="",Q158,R158))</f>
        <v/>
      </c>
      <c r="T158" s="14" t="str">
        <f aca="false">IF(OR(S158="",S158="OVERSIZE"),"",S158/1000)</f>
        <v/>
      </c>
      <c r="U158" s="14" t="str">
        <f aca="false">IF(T158="","",(1/Inputs!$B$9)*(PI()*T158^2/4)*((T158/4)^(2/3))*SQRT(P158))</f>
        <v/>
      </c>
      <c r="V158" s="14" t="str">
        <f aca="false">IF(OR(U158="",N158=""),"",N158/(U158*Inputs!$B$10))</f>
        <v/>
      </c>
      <c r="W158" s="14" t="str">
        <f aca="false">IF(OR(T158="",N158=""),"",4*N158/(PI()*T158^2))</f>
        <v/>
      </c>
      <c r="X158" s="14"/>
      <c r="Y158" s="14" t="str">
        <f aca="false">IF(A158="","",IF(A158=Inputs!$B$6,Inputs!$B$22,IF(D158="","",IFERROR(INDEX($Z$4:$Z$203,MATCH(D158,$A$4:$A$203,0))+IF(X158="",Inputs!$B$20,X158),""))))</f>
        <v/>
      </c>
      <c r="Z158" s="14" t="str">
        <f aca="false">IF(OR(Y158="",P158="",E158=""),"",Y158+P158*E158)</f>
        <v/>
      </c>
      <c r="AA158" s="14" t="str">
        <f aca="false">IF(C158="","",IFERROR(INDEX(Noeuds_plan!$C$4:$C$200,MATCH(C158,Noeuds_plan!$A$4:$A$200,0)),""))</f>
        <v/>
      </c>
      <c r="AB158" s="14" t="str">
        <f aca="false">IF(B158="","",IFERROR(INDEX(Noeuds_plan!$C$4:$C$200,MATCH(B158,Noeuds_plan!$A$4:$A$200,0)),""))</f>
        <v/>
      </c>
      <c r="AC158" s="14" t="str">
        <f aca="false">IF(OR(AA158="",Y158=""),"",AA158-Y158)</f>
        <v/>
      </c>
      <c r="AD158" s="14" t="str">
        <f aca="false">IF(OR(AB158="",Z158=""),"",AB158-Z158)</f>
        <v/>
      </c>
      <c r="AE158" s="19" t="str">
        <f aca="false">IF(A158="","",IF(OR(V158&gt;1,AND(AY158&lt;&gt;"",AY158&lt;Inputs!$B$11),AND(AY158&lt;&gt;"",AY158&gt;Inputs!$B$12),AC158&lt;Inputs!$B$19,AD158&lt;Inputs!$B$19,P158&lt;Inputs!$B$7,P158&gt;Inputs!$B$8),"CHECK","OK"))</f>
        <v/>
      </c>
      <c r="AF158" s="9"/>
      <c r="AG158" s="9" t="str">
        <f aca="false">IF(A158="","",(1/Inputs!$B$9)*(PI()*(Inputs!$F$5/1000)^2/4)*((Inputs!$F$5/1000/4)^(2/3))*SQRT(P158))</f>
        <v/>
      </c>
      <c r="AH158" s="9" t="str">
        <f aca="false">IF(A158="","",(1/Inputs!$B$9)*(PI()*(Inputs!$F$6/1000)^2/4)*((Inputs!$F$6/1000/4)^(2/3))*SQRT(P158))</f>
        <v/>
      </c>
      <c r="AI158" s="9" t="str">
        <f aca="false">IF(A158="","",(1/Inputs!$B$9)*(PI()*(Inputs!$F$7/1000)^2/4)*((Inputs!$F$7/1000/4)^(2/3))*SQRT(P158))</f>
        <v/>
      </c>
      <c r="AJ158" s="9" t="str">
        <f aca="false">IF(A158="","",(1/Inputs!$B$9)*(PI()*(Inputs!$F$8/1000)^2/4)*((Inputs!$F$8/1000/4)^(2/3))*SQRT(P158))</f>
        <v/>
      </c>
      <c r="AK158" s="9" t="str">
        <f aca="false">IF(A158="","",(1/Inputs!$B$9)*(PI()*(Inputs!$F$9/1000)^2/4)*((Inputs!$F$9/1000/4)^(2/3))*SQRT(P158))</f>
        <v/>
      </c>
      <c r="AL158" s="9" t="str">
        <f aca="false">IF(A158="","",(1/Inputs!$B$9)*(PI()*(Inputs!$F$10/1000)^2/4)*((Inputs!$F$10/1000/4)^(2/3))*SQRT(P158))</f>
        <v/>
      </c>
      <c r="AM158" s="9" t="str">
        <f aca="false">IF(A158="","",(1/Inputs!$B$9)*(PI()*(Inputs!$F$11/1000)^2/4)*((Inputs!$F$11/1000/4)^(2/3))*SQRT(P158))</f>
        <v/>
      </c>
      <c r="AN158" s="9" t="str">
        <f aca="false">IF(A158="","",(1/Inputs!$B$9)*(PI()*(Inputs!$F$12/1000)^2/4)*((Inputs!$F$12/1000/4)^(2/3))*SQRT(P158))</f>
        <v/>
      </c>
      <c r="AO158" s="9" t="str">
        <f aca="false">IF(A158="","",(1/Inputs!$B$9)*(PI()*(Inputs!$F$13/1000)^2/4)*((Inputs!$F$13/1000/4)^(2/3))*SQRT(P158))</f>
        <v/>
      </c>
      <c r="AP158" s="9" t="str">
        <f aca="false">IF(A158="","",(1/Inputs!$B$9)*(PI()*(Inputs!$F$14/1000)^2/4)*((Inputs!$F$14/1000/4)^(2/3))*SQRT(P158))</f>
        <v/>
      </c>
      <c r="AQ158" s="9" t="str">
        <f aca="false">IF(A158="","",COUNTIF($D$4:$D$203,$A158))</f>
        <v/>
      </c>
      <c r="AR158" s="9" t="str">
        <f aca="false">IF(A158="","",IF(AQ158=0,"START","CONTINUOUS"))</f>
        <v/>
      </c>
      <c r="AS158" s="13" t="str">
        <f aca="false">IF(A158="","",IF(J158="",Inputs!$B$18,J158))</f>
        <v/>
      </c>
      <c r="AT158" s="13" t="str">
        <f aca="false">IF(A158="","",IFERROR(maxifs($AV$4:$AV$203,$D$4:$D$203,$A158),""))</f>
        <v/>
      </c>
      <c r="AU158" s="13" t="str">
        <f aca="false">IF(A158="","",IF(OR(E158="",Inputs!$B$23=""),"",E158/(Inputs!$B$23*60)))</f>
        <v/>
      </c>
      <c r="AV158" s="13" t="str">
        <f aca="false">IF(A158="","",IF(AQ158=0,AS158+AU158,IF(AT158="",AS158+AU158,AT158+AU158)))</f>
        <v/>
      </c>
      <c r="AW158" s="13" t="str">
        <f aca="false">IF(A158="","",W158)</f>
        <v/>
      </c>
      <c r="AX158" s="13" t="str">
        <f aca="false">IF(OR(T158="",P158=""),"",(1/Inputs!$B$9)*((T158/4)^(2/3))*SQRT(P158))</f>
        <v/>
      </c>
      <c r="AY158" s="13" t="str">
        <f aca="false">IF(A158="","",IF(AND(AW158="",AX158="",BA158=""),"",IF(OR(UPPER(TRIM(Inputs!$B$24))="MANNING",UPPER(TRIM(Inputs!$B$24))="M"),AX158,IF(OR(UPPER(TRIM(Inputs!$B$24))="PARTIAL",UPPER(TRIM(Inputs!$B$24))="P"),BA158,IF(OR(UPPER(TRIM(Inputs!$B$24))="MAX",UPPER(TRIM(Inputs!$B$24))="X"),MAX(IF(AW158="",0,AW158),IF(AX158="",0,AX158),IF(BA158="",0,BA158)),AW158)))))</f>
        <v/>
      </c>
      <c r="AZ158" s="13" t="str">
        <f aca="false">IF(BB158="","",CH158)</f>
        <v/>
      </c>
      <c r="BA158" s="13" t="str">
        <f aca="false">IF(OR(BB158="",AZ158="",T158="",T158&lt;=0,AZ158&lt;=0),"",BB158/((T158^2/8)*(2*ACOS(1-2*AZ158/T158)-SIN(2*ACOS(1-2*AZ158/T158)))))</f>
        <v/>
      </c>
      <c r="BB158" s="9" t="str">
        <f aca="false">IF(OR(N158="",BC158=""),"",MIN(N158,BC158))</f>
        <v/>
      </c>
      <c r="BC158" s="9" t="str">
        <f aca="false">IF(OR(N158="",T158="",P158=""),"",IF(OR(T158="",P158="",(0.94*T158)="",T158&lt;=0,(0.94*T158)&lt;=0),"",(1/Inputs!$B$9)*((T158^2/8)*((2*ACOS(1-2*(0.94*T158)/T158))-SIN((2*ACOS(1-2*(0.94*T158)/T158)))))*((((T158^2/8)*((2*ACOS(1-2*(0.94*T158)/T158))-SIN((2*ACOS(1-2*(0.94*T158)/T158)))))/((T158/2)*((2*ACOS(1-2*(0.94*T158)/T158)))))^(2/3))*SQRT(P158)))</f>
        <v/>
      </c>
      <c r="BD158" s="9" t="str">
        <f aca="false">IF(BB158="","",0.001*T158)</f>
        <v/>
      </c>
      <c r="BE158" s="9" t="str">
        <f aca="false">IF(BB158="","",0.94*T158)</f>
        <v/>
      </c>
      <c r="BF158" s="9" t="str">
        <f aca="false">IF(BB158="","",(BD158+BE158)/2)</f>
        <v/>
      </c>
      <c r="BG158" s="9" t="str">
        <f aca="false">IF(OR(T158="",P158="",BF158="",T158&lt;=0,BF158&lt;=0),"",(1/Inputs!$B$9)*((T158^2/8)*((2*ACOS(1-2*BF158/T158))-SIN((2*ACOS(1-2*BF158/T158)))))*((((T158^2/8)*((2*ACOS(1-2*BF158/T158))-SIN((2*ACOS(1-2*BF158/T158)))))/((T158/2)*((2*ACOS(1-2*BF158/T158)))))^(2/3))*SQRT(P158))</f>
        <v/>
      </c>
      <c r="BH158" s="9" t="str">
        <f aca="false">IF(BB158="","",IF(BG158&lt;BB158,BF158,BD158))</f>
        <v/>
      </c>
      <c r="BI158" s="9" t="str">
        <f aca="false">IF(BB158="","",IF(BG158&lt;BB158,BE158,BF158))</f>
        <v/>
      </c>
      <c r="BJ158" s="9" t="str">
        <f aca="false">IF(BB158="","",(BH158+BI158)/2)</f>
        <v/>
      </c>
      <c r="BK158" s="9" t="str">
        <f aca="false">IF(OR(T158="",P158="",BJ158="",T158&lt;=0,BJ158&lt;=0),"",(1/Inputs!$B$9)*((T158^2/8)*((2*ACOS(1-2*BJ158/T158))-SIN((2*ACOS(1-2*BJ158/T158)))))*((((T158^2/8)*((2*ACOS(1-2*BJ158/T158))-SIN((2*ACOS(1-2*BJ158/T158)))))/((T158/2)*((2*ACOS(1-2*BJ158/T158)))))^(2/3))*SQRT(P158))</f>
        <v/>
      </c>
      <c r="BL158" s="9" t="str">
        <f aca="false">IF(BB158="","",IF(BK158&lt;BB158,BJ158,BH158))</f>
        <v/>
      </c>
      <c r="BM158" s="9" t="str">
        <f aca="false">IF(BB158="","",IF(BK158&lt;BB158,BI158,BJ158))</f>
        <v/>
      </c>
      <c r="BN158" s="9" t="str">
        <f aca="false">IF(BB158="","",(BL158+BM158)/2)</f>
        <v/>
      </c>
      <c r="BO158" s="9" t="str">
        <f aca="false">IF(OR(T158="",P158="",BN158="",T158&lt;=0,BN158&lt;=0),"",(1/Inputs!$B$9)*((T158^2/8)*((2*ACOS(1-2*BN158/T158))-SIN((2*ACOS(1-2*BN158/T158)))))*((((T158^2/8)*((2*ACOS(1-2*BN158/T158))-SIN((2*ACOS(1-2*BN158/T158)))))/((T158/2)*((2*ACOS(1-2*BN158/T158)))))^(2/3))*SQRT(P158))</f>
        <v/>
      </c>
      <c r="BP158" s="9" t="str">
        <f aca="false">IF(BB158="","",IF(BO158&lt;BB158,BN158,BL158))</f>
        <v/>
      </c>
      <c r="BQ158" s="9" t="str">
        <f aca="false">IF(BB158="","",IF(BO158&lt;BB158,BM158,BN158))</f>
        <v/>
      </c>
      <c r="BR158" s="9" t="str">
        <f aca="false">IF(BB158="","",(BP158+BQ158)/2)</f>
        <v/>
      </c>
      <c r="BS158" s="9" t="str">
        <f aca="false">IF(OR(T158="",P158="",BR158="",T158&lt;=0,BR158&lt;=0),"",(1/Inputs!$B$9)*((T158^2/8)*((2*ACOS(1-2*BR158/T158))-SIN((2*ACOS(1-2*BR158/T158)))))*((((T158^2/8)*((2*ACOS(1-2*BR158/T158))-SIN((2*ACOS(1-2*BR158/T158)))))/((T158/2)*((2*ACOS(1-2*BR158/T158)))))^(2/3))*SQRT(P158))</f>
        <v/>
      </c>
      <c r="BT158" s="9" t="str">
        <f aca="false">IF(BB158="","",IF(BS158&lt;BB158,BR158,BP158))</f>
        <v/>
      </c>
      <c r="BU158" s="9" t="str">
        <f aca="false">IF(BB158="","",IF(BS158&lt;BB158,BQ158,BR158))</f>
        <v/>
      </c>
      <c r="BV158" s="9" t="str">
        <f aca="false">IF(BB158="","",(BT158+BU158)/2)</f>
        <v/>
      </c>
      <c r="BW158" s="9" t="str">
        <f aca="false">IF(OR(T158="",P158="",BV158="",T158&lt;=0,BV158&lt;=0),"",(1/Inputs!$B$9)*((T158^2/8)*((2*ACOS(1-2*BV158/T158))-SIN((2*ACOS(1-2*BV158/T158)))))*((((T158^2/8)*((2*ACOS(1-2*BV158/T158))-SIN((2*ACOS(1-2*BV158/T158)))))/((T158/2)*((2*ACOS(1-2*BV158/T158)))))^(2/3))*SQRT(P158))</f>
        <v/>
      </c>
      <c r="BX158" s="9" t="str">
        <f aca="false">IF(BB158="","",IF(BW158&lt;BB158,BV158,BT158))</f>
        <v/>
      </c>
      <c r="BY158" s="9" t="str">
        <f aca="false">IF(BB158="","",IF(BW158&lt;BB158,BU158,BV158))</f>
        <v/>
      </c>
      <c r="BZ158" s="9" t="str">
        <f aca="false">IF(BB158="","",(BX158+BY158)/2)</f>
        <v/>
      </c>
      <c r="CA158" s="9" t="str">
        <f aca="false">IF(OR(T158="",P158="",BZ158="",T158&lt;=0,BZ158&lt;=0),"",(1/Inputs!$B$9)*((T158^2/8)*((2*ACOS(1-2*BZ158/T158))-SIN((2*ACOS(1-2*BZ158/T158)))))*((((T158^2/8)*((2*ACOS(1-2*BZ158/T158))-SIN((2*ACOS(1-2*BZ158/T158)))))/((T158/2)*((2*ACOS(1-2*BZ158/T158)))))^(2/3))*SQRT(P158))</f>
        <v/>
      </c>
      <c r="CB158" s="9" t="str">
        <f aca="false">IF(BB158="","",IF(CA158&lt;BB158,BZ158,BX158))</f>
        <v/>
      </c>
      <c r="CC158" s="9" t="str">
        <f aca="false">IF(BB158="","",IF(CA158&lt;BB158,BY158,BZ158))</f>
        <v/>
      </c>
      <c r="CD158" s="9" t="str">
        <f aca="false">IF(BB158="","",(CB158+CC158)/2)</f>
        <v/>
      </c>
      <c r="CE158" s="9" t="str">
        <f aca="false">IF(OR(T158="",P158="",CD158="",T158&lt;=0,CD158&lt;=0),"",(1/Inputs!$B$9)*((T158^2/8)*((2*ACOS(1-2*CD158/T158))-SIN((2*ACOS(1-2*CD158/T158)))))*((((T158^2/8)*((2*ACOS(1-2*CD158/T158))-SIN((2*ACOS(1-2*CD158/T158)))))/((T158/2)*((2*ACOS(1-2*CD158/T158)))))^(2/3))*SQRT(P158))</f>
        <v/>
      </c>
      <c r="CF158" s="9" t="str">
        <f aca="false">IF(BB158="","",IF(CE158&lt;BB158,CD158,CB158))</f>
        <v/>
      </c>
      <c r="CG158" s="9" t="str">
        <f aca="false">IF(BB158="","",IF(CE158&lt;BB158,CC158,CD158))</f>
        <v/>
      </c>
      <c r="CH158" s="9" t="str">
        <f aca="false">IF(BB158="","",(CF158+CG158)/2)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14"/>
      <c r="F159" s="14"/>
      <c r="G159" s="14" t="n">
        <f aca="false">SUMIFS(CB_plan!$C:$C,CB_plan!$B:$B,$A159)</f>
        <v>0</v>
      </c>
      <c r="H159" s="14" t="n">
        <f aca="false">IF(F159="",G159,F159)</f>
        <v>0</v>
      </c>
      <c r="I159" s="9"/>
      <c r="J159" s="14"/>
      <c r="K159" s="14" t="str">
        <f aca="false">IF(A159="","",Inputs!$B$13/((IF(AV159="",Inputs!$B$18,AV159)+Inputs!$B$14)^Inputs!$B$15))</f>
        <v/>
      </c>
      <c r="L159" s="14" t="str">
        <f aca="false">IF(A159="","",0.000000278*IF(I159="",Inputs!$B$17,I159)*H159*K159)</f>
        <v/>
      </c>
      <c r="M159" s="14" t="str">
        <f aca="false">IF(A159="","",SUMIFS($N$4:$N$203,$D$4:$D$203,$A159))</f>
        <v/>
      </c>
      <c r="N159" s="14" t="str">
        <f aca="false">IF(A159="","",(L159+M159)*Inputs!$B$16)</f>
        <v/>
      </c>
      <c r="O159" s="14"/>
      <c r="P159" s="14" t="str">
        <f aca="false">IF(A159="","",IF(O159="",Inputs!$B$7,O159))</f>
        <v/>
      </c>
      <c r="Q159" s="9" t="str">
        <f aca="false">IF(A159="","",IF(N159/Inputs!$B$10&lt;=AG159,Inputs!$F$5,IF(N159/Inputs!$B$10&gt;AP159,"OVERSIZE",INDEX(Inputs!$F$5:$F$14,MATCH(N159/Inputs!$B$10,AG159:AP159,1)+1))))</f>
        <v/>
      </c>
      <c r="R159" s="9"/>
      <c r="S159" s="9" t="str">
        <f aca="false">IF(A159="","",IF(R159="",Q159,R159))</f>
        <v/>
      </c>
      <c r="T159" s="14" t="str">
        <f aca="false">IF(OR(S159="",S159="OVERSIZE"),"",S159/1000)</f>
        <v/>
      </c>
      <c r="U159" s="14" t="str">
        <f aca="false">IF(T159="","",(1/Inputs!$B$9)*(PI()*T159^2/4)*((T159/4)^(2/3))*SQRT(P159))</f>
        <v/>
      </c>
      <c r="V159" s="14" t="str">
        <f aca="false">IF(OR(U159="",N159=""),"",N159/(U159*Inputs!$B$10))</f>
        <v/>
      </c>
      <c r="W159" s="14" t="str">
        <f aca="false">IF(OR(T159="",N159=""),"",4*N159/(PI()*T159^2))</f>
        <v/>
      </c>
      <c r="X159" s="14"/>
      <c r="Y159" s="14" t="str">
        <f aca="false">IF(A159="","",IF(A159=Inputs!$B$6,Inputs!$B$22,IF(D159="","",IFERROR(INDEX($Z$4:$Z$203,MATCH(D159,$A$4:$A$203,0))+IF(X159="",Inputs!$B$20,X159),""))))</f>
        <v/>
      </c>
      <c r="Z159" s="14" t="str">
        <f aca="false">IF(OR(Y159="",P159="",E159=""),"",Y159+P159*E159)</f>
        <v/>
      </c>
      <c r="AA159" s="14" t="str">
        <f aca="false">IF(C159="","",IFERROR(INDEX(Noeuds_plan!$C$4:$C$200,MATCH(C159,Noeuds_plan!$A$4:$A$200,0)),""))</f>
        <v/>
      </c>
      <c r="AB159" s="14" t="str">
        <f aca="false">IF(B159="","",IFERROR(INDEX(Noeuds_plan!$C$4:$C$200,MATCH(B159,Noeuds_plan!$A$4:$A$200,0)),""))</f>
        <v/>
      </c>
      <c r="AC159" s="14" t="str">
        <f aca="false">IF(OR(AA159="",Y159=""),"",AA159-Y159)</f>
        <v/>
      </c>
      <c r="AD159" s="14" t="str">
        <f aca="false">IF(OR(AB159="",Z159=""),"",AB159-Z159)</f>
        <v/>
      </c>
      <c r="AE159" s="19" t="str">
        <f aca="false">IF(A159="","",IF(OR(V159&gt;1,AND(AY159&lt;&gt;"",AY159&lt;Inputs!$B$11),AND(AY159&lt;&gt;"",AY159&gt;Inputs!$B$12),AC159&lt;Inputs!$B$19,AD159&lt;Inputs!$B$19,P159&lt;Inputs!$B$7,P159&gt;Inputs!$B$8),"CHECK","OK"))</f>
        <v/>
      </c>
      <c r="AF159" s="9"/>
      <c r="AG159" s="9" t="str">
        <f aca="false">IF(A159="","",(1/Inputs!$B$9)*(PI()*(Inputs!$F$5/1000)^2/4)*((Inputs!$F$5/1000/4)^(2/3))*SQRT(P159))</f>
        <v/>
      </c>
      <c r="AH159" s="9" t="str">
        <f aca="false">IF(A159="","",(1/Inputs!$B$9)*(PI()*(Inputs!$F$6/1000)^2/4)*((Inputs!$F$6/1000/4)^(2/3))*SQRT(P159))</f>
        <v/>
      </c>
      <c r="AI159" s="9" t="str">
        <f aca="false">IF(A159="","",(1/Inputs!$B$9)*(PI()*(Inputs!$F$7/1000)^2/4)*((Inputs!$F$7/1000/4)^(2/3))*SQRT(P159))</f>
        <v/>
      </c>
      <c r="AJ159" s="9" t="str">
        <f aca="false">IF(A159="","",(1/Inputs!$B$9)*(PI()*(Inputs!$F$8/1000)^2/4)*((Inputs!$F$8/1000/4)^(2/3))*SQRT(P159))</f>
        <v/>
      </c>
      <c r="AK159" s="9" t="str">
        <f aca="false">IF(A159="","",(1/Inputs!$B$9)*(PI()*(Inputs!$F$9/1000)^2/4)*((Inputs!$F$9/1000/4)^(2/3))*SQRT(P159))</f>
        <v/>
      </c>
      <c r="AL159" s="9" t="str">
        <f aca="false">IF(A159="","",(1/Inputs!$B$9)*(PI()*(Inputs!$F$10/1000)^2/4)*((Inputs!$F$10/1000/4)^(2/3))*SQRT(P159))</f>
        <v/>
      </c>
      <c r="AM159" s="9" t="str">
        <f aca="false">IF(A159="","",(1/Inputs!$B$9)*(PI()*(Inputs!$F$11/1000)^2/4)*((Inputs!$F$11/1000/4)^(2/3))*SQRT(P159))</f>
        <v/>
      </c>
      <c r="AN159" s="9" t="str">
        <f aca="false">IF(A159="","",(1/Inputs!$B$9)*(PI()*(Inputs!$F$12/1000)^2/4)*((Inputs!$F$12/1000/4)^(2/3))*SQRT(P159))</f>
        <v/>
      </c>
      <c r="AO159" s="9" t="str">
        <f aca="false">IF(A159="","",(1/Inputs!$B$9)*(PI()*(Inputs!$F$13/1000)^2/4)*((Inputs!$F$13/1000/4)^(2/3))*SQRT(P159))</f>
        <v/>
      </c>
      <c r="AP159" s="9" t="str">
        <f aca="false">IF(A159="","",(1/Inputs!$B$9)*(PI()*(Inputs!$F$14/1000)^2/4)*((Inputs!$F$14/1000/4)^(2/3))*SQRT(P159))</f>
        <v/>
      </c>
      <c r="AQ159" s="9" t="str">
        <f aca="false">IF(A159="","",COUNTIF($D$4:$D$203,$A159))</f>
        <v/>
      </c>
      <c r="AR159" s="9" t="str">
        <f aca="false">IF(A159="","",IF(AQ159=0,"START","CONTINUOUS"))</f>
        <v/>
      </c>
      <c r="AS159" s="13" t="str">
        <f aca="false">IF(A159="","",IF(J159="",Inputs!$B$18,J159))</f>
        <v/>
      </c>
      <c r="AT159" s="13" t="str">
        <f aca="false">IF(A159="","",IFERROR(maxifs($AV$4:$AV$203,$D$4:$D$203,$A159),""))</f>
        <v/>
      </c>
      <c r="AU159" s="13" t="str">
        <f aca="false">IF(A159="","",IF(OR(E159="",Inputs!$B$23=""),"",E159/(Inputs!$B$23*60)))</f>
        <v/>
      </c>
      <c r="AV159" s="13" t="str">
        <f aca="false">IF(A159="","",IF(AQ159=0,AS159+AU159,IF(AT159="",AS159+AU159,AT159+AU159)))</f>
        <v/>
      </c>
      <c r="AW159" s="13" t="str">
        <f aca="false">IF(A159="","",W159)</f>
        <v/>
      </c>
      <c r="AX159" s="13" t="str">
        <f aca="false">IF(OR(T159="",P159=""),"",(1/Inputs!$B$9)*((T159/4)^(2/3))*SQRT(P159))</f>
        <v/>
      </c>
      <c r="AY159" s="13" t="str">
        <f aca="false">IF(A159="","",IF(AND(AW159="",AX159="",BA159=""),"",IF(OR(UPPER(TRIM(Inputs!$B$24))="MANNING",UPPER(TRIM(Inputs!$B$24))="M"),AX159,IF(OR(UPPER(TRIM(Inputs!$B$24))="PARTIAL",UPPER(TRIM(Inputs!$B$24))="P"),BA159,IF(OR(UPPER(TRIM(Inputs!$B$24))="MAX",UPPER(TRIM(Inputs!$B$24))="X"),MAX(IF(AW159="",0,AW159),IF(AX159="",0,AX159),IF(BA159="",0,BA159)),AW159)))))</f>
        <v/>
      </c>
      <c r="AZ159" s="13" t="str">
        <f aca="false">IF(BB159="","",CH159)</f>
        <v/>
      </c>
      <c r="BA159" s="13" t="str">
        <f aca="false">IF(OR(BB159="",AZ159="",T159="",T159&lt;=0,AZ159&lt;=0),"",BB159/((T159^2/8)*(2*ACOS(1-2*AZ159/T159)-SIN(2*ACOS(1-2*AZ159/T159)))))</f>
        <v/>
      </c>
      <c r="BB159" s="9" t="str">
        <f aca="false">IF(OR(N159="",BC159=""),"",MIN(N159,BC159))</f>
        <v/>
      </c>
      <c r="BC159" s="9" t="str">
        <f aca="false">IF(OR(N159="",T159="",P159=""),"",IF(OR(T159="",P159="",(0.94*T159)="",T159&lt;=0,(0.94*T159)&lt;=0),"",(1/Inputs!$B$9)*((T159^2/8)*((2*ACOS(1-2*(0.94*T159)/T159))-SIN((2*ACOS(1-2*(0.94*T159)/T159)))))*((((T159^2/8)*((2*ACOS(1-2*(0.94*T159)/T159))-SIN((2*ACOS(1-2*(0.94*T159)/T159)))))/((T159/2)*((2*ACOS(1-2*(0.94*T159)/T159)))))^(2/3))*SQRT(P159)))</f>
        <v/>
      </c>
      <c r="BD159" s="9" t="str">
        <f aca="false">IF(BB159="","",0.001*T159)</f>
        <v/>
      </c>
      <c r="BE159" s="9" t="str">
        <f aca="false">IF(BB159="","",0.94*T159)</f>
        <v/>
      </c>
      <c r="BF159" s="9" t="str">
        <f aca="false">IF(BB159="","",(BD159+BE159)/2)</f>
        <v/>
      </c>
      <c r="BG159" s="9" t="str">
        <f aca="false">IF(OR(T159="",P159="",BF159="",T159&lt;=0,BF159&lt;=0),"",(1/Inputs!$B$9)*((T159^2/8)*((2*ACOS(1-2*BF159/T159))-SIN((2*ACOS(1-2*BF159/T159)))))*((((T159^2/8)*((2*ACOS(1-2*BF159/T159))-SIN((2*ACOS(1-2*BF159/T159)))))/((T159/2)*((2*ACOS(1-2*BF159/T159)))))^(2/3))*SQRT(P159))</f>
        <v/>
      </c>
      <c r="BH159" s="9" t="str">
        <f aca="false">IF(BB159="","",IF(BG159&lt;BB159,BF159,BD159))</f>
        <v/>
      </c>
      <c r="BI159" s="9" t="str">
        <f aca="false">IF(BB159="","",IF(BG159&lt;BB159,BE159,BF159))</f>
        <v/>
      </c>
      <c r="BJ159" s="9" t="str">
        <f aca="false">IF(BB159="","",(BH159+BI159)/2)</f>
        <v/>
      </c>
      <c r="BK159" s="9" t="str">
        <f aca="false">IF(OR(T159="",P159="",BJ159="",T159&lt;=0,BJ159&lt;=0),"",(1/Inputs!$B$9)*((T159^2/8)*((2*ACOS(1-2*BJ159/T159))-SIN((2*ACOS(1-2*BJ159/T159)))))*((((T159^2/8)*((2*ACOS(1-2*BJ159/T159))-SIN((2*ACOS(1-2*BJ159/T159)))))/((T159/2)*((2*ACOS(1-2*BJ159/T159)))))^(2/3))*SQRT(P159))</f>
        <v/>
      </c>
      <c r="BL159" s="9" t="str">
        <f aca="false">IF(BB159="","",IF(BK159&lt;BB159,BJ159,BH159))</f>
        <v/>
      </c>
      <c r="BM159" s="9" t="str">
        <f aca="false">IF(BB159="","",IF(BK159&lt;BB159,BI159,BJ159))</f>
        <v/>
      </c>
      <c r="BN159" s="9" t="str">
        <f aca="false">IF(BB159="","",(BL159+BM159)/2)</f>
        <v/>
      </c>
      <c r="BO159" s="9" t="str">
        <f aca="false">IF(OR(T159="",P159="",BN159="",T159&lt;=0,BN159&lt;=0),"",(1/Inputs!$B$9)*((T159^2/8)*((2*ACOS(1-2*BN159/T159))-SIN((2*ACOS(1-2*BN159/T159)))))*((((T159^2/8)*((2*ACOS(1-2*BN159/T159))-SIN((2*ACOS(1-2*BN159/T159)))))/((T159/2)*((2*ACOS(1-2*BN159/T159)))))^(2/3))*SQRT(P159))</f>
        <v/>
      </c>
      <c r="BP159" s="9" t="str">
        <f aca="false">IF(BB159="","",IF(BO159&lt;BB159,BN159,BL159))</f>
        <v/>
      </c>
      <c r="BQ159" s="9" t="str">
        <f aca="false">IF(BB159="","",IF(BO159&lt;BB159,BM159,BN159))</f>
        <v/>
      </c>
      <c r="BR159" s="9" t="str">
        <f aca="false">IF(BB159="","",(BP159+BQ159)/2)</f>
        <v/>
      </c>
      <c r="BS159" s="9" t="str">
        <f aca="false">IF(OR(T159="",P159="",BR159="",T159&lt;=0,BR159&lt;=0),"",(1/Inputs!$B$9)*((T159^2/8)*((2*ACOS(1-2*BR159/T159))-SIN((2*ACOS(1-2*BR159/T159)))))*((((T159^2/8)*((2*ACOS(1-2*BR159/T159))-SIN((2*ACOS(1-2*BR159/T159)))))/((T159/2)*((2*ACOS(1-2*BR159/T159)))))^(2/3))*SQRT(P159))</f>
        <v/>
      </c>
      <c r="BT159" s="9" t="str">
        <f aca="false">IF(BB159="","",IF(BS159&lt;BB159,BR159,BP159))</f>
        <v/>
      </c>
      <c r="BU159" s="9" t="str">
        <f aca="false">IF(BB159="","",IF(BS159&lt;BB159,BQ159,BR159))</f>
        <v/>
      </c>
      <c r="BV159" s="9" t="str">
        <f aca="false">IF(BB159="","",(BT159+BU159)/2)</f>
        <v/>
      </c>
      <c r="BW159" s="9" t="str">
        <f aca="false">IF(OR(T159="",P159="",BV159="",T159&lt;=0,BV159&lt;=0),"",(1/Inputs!$B$9)*((T159^2/8)*((2*ACOS(1-2*BV159/T159))-SIN((2*ACOS(1-2*BV159/T159)))))*((((T159^2/8)*((2*ACOS(1-2*BV159/T159))-SIN((2*ACOS(1-2*BV159/T159)))))/((T159/2)*((2*ACOS(1-2*BV159/T159)))))^(2/3))*SQRT(P159))</f>
        <v/>
      </c>
      <c r="BX159" s="9" t="str">
        <f aca="false">IF(BB159="","",IF(BW159&lt;BB159,BV159,BT159))</f>
        <v/>
      </c>
      <c r="BY159" s="9" t="str">
        <f aca="false">IF(BB159="","",IF(BW159&lt;BB159,BU159,BV159))</f>
        <v/>
      </c>
      <c r="BZ159" s="9" t="str">
        <f aca="false">IF(BB159="","",(BX159+BY159)/2)</f>
        <v/>
      </c>
      <c r="CA159" s="9" t="str">
        <f aca="false">IF(OR(T159="",P159="",BZ159="",T159&lt;=0,BZ159&lt;=0),"",(1/Inputs!$B$9)*((T159^2/8)*((2*ACOS(1-2*BZ159/T159))-SIN((2*ACOS(1-2*BZ159/T159)))))*((((T159^2/8)*((2*ACOS(1-2*BZ159/T159))-SIN((2*ACOS(1-2*BZ159/T159)))))/((T159/2)*((2*ACOS(1-2*BZ159/T159)))))^(2/3))*SQRT(P159))</f>
        <v/>
      </c>
      <c r="CB159" s="9" t="str">
        <f aca="false">IF(BB159="","",IF(CA159&lt;BB159,BZ159,BX159))</f>
        <v/>
      </c>
      <c r="CC159" s="9" t="str">
        <f aca="false">IF(BB159="","",IF(CA159&lt;BB159,BY159,BZ159))</f>
        <v/>
      </c>
      <c r="CD159" s="9" t="str">
        <f aca="false">IF(BB159="","",(CB159+CC159)/2)</f>
        <v/>
      </c>
      <c r="CE159" s="9" t="str">
        <f aca="false">IF(OR(T159="",P159="",CD159="",T159&lt;=0,CD159&lt;=0),"",(1/Inputs!$B$9)*((T159^2/8)*((2*ACOS(1-2*CD159/T159))-SIN((2*ACOS(1-2*CD159/T159)))))*((((T159^2/8)*((2*ACOS(1-2*CD159/T159))-SIN((2*ACOS(1-2*CD159/T159)))))/((T159/2)*((2*ACOS(1-2*CD159/T159)))))^(2/3))*SQRT(P159))</f>
        <v/>
      </c>
      <c r="CF159" s="9" t="str">
        <f aca="false">IF(BB159="","",IF(CE159&lt;BB159,CD159,CB159))</f>
        <v/>
      </c>
      <c r="CG159" s="9" t="str">
        <f aca="false">IF(BB159="","",IF(CE159&lt;BB159,CC159,CD159))</f>
        <v/>
      </c>
      <c r="CH159" s="9" t="str">
        <f aca="false">IF(BB159="","",(CF159+CG159)/2)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14"/>
      <c r="F160" s="14"/>
      <c r="G160" s="14" t="n">
        <f aca="false">SUMIFS(CB_plan!$C:$C,CB_plan!$B:$B,$A160)</f>
        <v>0</v>
      </c>
      <c r="H160" s="14" t="n">
        <f aca="false">IF(F160="",G160,F160)</f>
        <v>0</v>
      </c>
      <c r="I160" s="9"/>
      <c r="J160" s="14"/>
      <c r="K160" s="14" t="str">
        <f aca="false">IF(A160="","",Inputs!$B$13/((IF(AV160="",Inputs!$B$18,AV160)+Inputs!$B$14)^Inputs!$B$15))</f>
        <v/>
      </c>
      <c r="L160" s="14" t="str">
        <f aca="false">IF(A160="","",0.000000278*IF(I160="",Inputs!$B$17,I160)*H160*K160)</f>
        <v/>
      </c>
      <c r="M160" s="14" t="str">
        <f aca="false">IF(A160="","",SUMIFS($N$4:$N$203,$D$4:$D$203,$A160))</f>
        <v/>
      </c>
      <c r="N160" s="14" t="str">
        <f aca="false">IF(A160="","",(L160+M160)*Inputs!$B$16)</f>
        <v/>
      </c>
      <c r="O160" s="14"/>
      <c r="P160" s="14" t="str">
        <f aca="false">IF(A160="","",IF(O160="",Inputs!$B$7,O160))</f>
        <v/>
      </c>
      <c r="Q160" s="9" t="str">
        <f aca="false">IF(A160="","",IF(N160/Inputs!$B$10&lt;=AG160,Inputs!$F$5,IF(N160/Inputs!$B$10&gt;AP160,"OVERSIZE",INDEX(Inputs!$F$5:$F$14,MATCH(N160/Inputs!$B$10,AG160:AP160,1)+1))))</f>
        <v/>
      </c>
      <c r="R160" s="9"/>
      <c r="S160" s="9" t="str">
        <f aca="false">IF(A160="","",IF(R160="",Q160,R160))</f>
        <v/>
      </c>
      <c r="T160" s="14" t="str">
        <f aca="false">IF(OR(S160="",S160="OVERSIZE"),"",S160/1000)</f>
        <v/>
      </c>
      <c r="U160" s="14" t="str">
        <f aca="false">IF(T160="","",(1/Inputs!$B$9)*(PI()*T160^2/4)*((T160/4)^(2/3))*SQRT(P160))</f>
        <v/>
      </c>
      <c r="V160" s="14" t="str">
        <f aca="false">IF(OR(U160="",N160=""),"",N160/(U160*Inputs!$B$10))</f>
        <v/>
      </c>
      <c r="W160" s="14" t="str">
        <f aca="false">IF(OR(T160="",N160=""),"",4*N160/(PI()*T160^2))</f>
        <v/>
      </c>
      <c r="X160" s="14"/>
      <c r="Y160" s="14" t="str">
        <f aca="false">IF(A160="","",IF(A160=Inputs!$B$6,Inputs!$B$22,IF(D160="","",IFERROR(INDEX($Z$4:$Z$203,MATCH(D160,$A$4:$A$203,0))+IF(X160="",Inputs!$B$20,X160),""))))</f>
        <v/>
      </c>
      <c r="Z160" s="14" t="str">
        <f aca="false">IF(OR(Y160="",P160="",E160=""),"",Y160+P160*E160)</f>
        <v/>
      </c>
      <c r="AA160" s="14" t="str">
        <f aca="false">IF(C160="","",IFERROR(INDEX(Noeuds_plan!$C$4:$C$200,MATCH(C160,Noeuds_plan!$A$4:$A$200,0)),""))</f>
        <v/>
      </c>
      <c r="AB160" s="14" t="str">
        <f aca="false">IF(B160="","",IFERROR(INDEX(Noeuds_plan!$C$4:$C$200,MATCH(B160,Noeuds_plan!$A$4:$A$200,0)),""))</f>
        <v/>
      </c>
      <c r="AC160" s="14" t="str">
        <f aca="false">IF(OR(AA160="",Y160=""),"",AA160-Y160)</f>
        <v/>
      </c>
      <c r="AD160" s="14" t="str">
        <f aca="false">IF(OR(AB160="",Z160=""),"",AB160-Z160)</f>
        <v/>
      </c>
      <c r="AE160" s="19" t="str">
        <f aca="false">IF(A160="","",IF(OR(V160&gt;1,AND(AY160&lt;&gt;"",AY160&lt;Inputs!$B$11),AND(AY160&lt;&gt;"",AY160&gt;Inputs!$B$12),AC160&lt;Inputs!$B$19,AD160&lt;Inputs!$B$19,P160&lt;Inputs!$B$7,P160&gt;Inputs!$B$8),"CHECK","OK"))</f>
        <v/>
      </c>
      <c r="AF160" s="9"/>
      <c r="AG160" s="9" t="str">
        <f aca="false">IF(A160="","",(1/Inputs!$B$9)*(PI()*(Inputs!$F$5/1000)^2/4)*((Inputs!$F$5/1000/4)^(2/3))*SQRT(P160))</f>
        <v/>
      </c>
      <c r="AH160" s="9" t="str">
        <f aca="false">IF(A160="","",(1/Inputs!$B$9)*(PI()*(Inputs!$F$6/1000)^2/4)*((Inputs!$F$6/1000/4)^(2/3))*SQRT(P160))</f>
        <v/>
      </c>
      <c r="AI160" s="9" t="str">
        <f aca="false">IF(A160="","",(1/Inputs!$B$9)*(PI()*(Inputs!$F$7/1000)^2/4)*((Inputs!$F$7/1000/4)^(2/3))*SQRT(P160))</f>
        <v/>
      </c>
      <c r="AJ160" s="9" t="str">
        <f aca="false">IF(A160="","",(1/Inputs!$B$9)*(PI()*(Inputs!$F$8/1000)^2/4)*((Inputs!$F$8/1000/4)^(2/3))*SQRT(P160))</f>
        <v/>
      </c>
      <c r="AK160" s="9" t="str">
        <f aca="false">IF(A160="","",(1/Inputs!$B$9)*(PI()*(Inputs!$F$9/1000)^2/4)*((Inputs!$F$9/1000/4)^(2/3))*SQRT(P160))</f>
        <v/>
      </c>
      <c r="AL160" s="9" t="str">
        <f aca="false">IF(A160="","",(1/Inputs!$B$9)*(PI()*(Inputs!$F$10/1000)^2/4)*((Inputs!$F$10/1000/4)^(2/3))*SQRT(P160))</f>
        <v/>
      </c>
      <c r="AM160" s="9" t="str">
        <f aca="false">IF(A160="","",(1/Inputs!$B$9)*(PI()*(Inputs!$F$11/1000)^2/4)*((Inputs!$F$11/1000/4)^(2/3))*SQRT(P160))</f>
        <v/>
      </c>
      <c r="AN160" s="9" t="str">
        <f aca="false">IF(A160="","",(1/Inputs!$B$9)*(PI()*(Inputs!$F$12/1000)^2/4)*((Inputs!$F$12/1000/4)^(2/3))*SQRT(P160))</f>
        <v/>
      </c>
      <c r="AO160" s="9" t="str">
        <f aca="false">IF(A160="","",(1/Inputs!$B$9)*(PI()*(Inputs!$F$13/1000)^2/4)*((Inputs!$F$13/1000/4)^(2/3))*SQRT(P160))</f>
        <v/>
      </c>
      <c r="AP160" s="9" t="str">
        <f aca="false">IF(A160="","",(1/Inputs!$B$9)*(PI()*(Inputs!$F$14/1000)^2/4)*((Inputs!$F$14/1000/4)^(2/3))*SQRT(P160))</f>
        <v/>
      </c>
      <c r="AQ160" s="9" t="str">
        <f aca="false">IF(A160="","",COUNTIF($D$4:$D$203,$A160))</f>
        <v/>
      </c>
      <c r="AR160" s="9" t="str">
        <f aca="false">IF(A160="","",IF(AQ160=0,"START","CONTINUOUS"))</f>
        <v/>
      </c>
      <c r="AS160" s="13" t="str">
        <f aca="false">IF(A160="","",IF(J160="",Inputs!$B$18,J160))</f>
        <v/>
      </c>
      <c r="AT160" s="13" t="str">
        <f aca="false">IF(A160="","",IFERROR(maxifs($AV$4:$AV$203,$D$4:$D$203,$A160),""))</f>
        <v/>
      </c>
      <c r="AU160" s="13" t="str">
        <f aca="false">IF(A160="","",IF(OR(E160="",Inputs!$B$23=""),"",E160/(Inputs!$B$23*60)))</f>
        <v/>
      </c>
      <c r="AV160" s="13" t="str">
        <f aca="false">IF(A160="","",IF(AQ160=0,AS160+AU160,IF(AT160="",AS160+AU160,AT160+AU160)))</f>
        <v/>
      </c>
      <c r="AW160" s="13" t="str">
        <f aca="false">IF(A160="","",W160)</f>
        <v/>
      </c>
      <c r="AX160" s="13" t="str">
        <f aca="false">IF(OR(T160="",P160=""),"",(1/Inputs!$B$9)*((T160/4)^(2/3))*SQRT(P160))</f>
        <v/>
      </c>
      <c r="AY160" s="13" t="str">
        <f aca="false">IF(A160="","",IF(AND(AW160="",AX160="",BA160=""),"",IF(OR(UPPER(TRIM(Inputs!$B$24))="MANNING",UPPER(TRIM(Inputs!$B$24))="M"),AX160,IF(OR(UPPER(TRIM(Inputs!$B$24))="PARTIAL",UPPER(TRIM(Inputs!$B$24))="P"),BA160,IF(OR(UPPER(TRIM(Inputs!$B$24))="MAX",UPPER(TRIM(Inputs!$B$24))="X"),MAX(IF(AW160="",0,AW160),IF(AX160="",0,AX160),IF(BA160="",0,BA160)),AW160)))))</f>
        <v/>
      </c>
      <c r="AZ160" s="13" t="str">
        <f aca="false">IF(BB160="","",CH160)</f>
        <v/>
      </c>
      <c r="BA160" s="13" t="str">
        <f aca="false">IF(OR(BB160="",AZ160="",T160="",T160&lt;=0,AZ160&lt;=0),"",BB160/((T160^2/8)*(2*ACOS(1-2*AZ160/T160)-SIN(2*ACOS(1-2*AZ160/T160)))))</f>
        <v/>
      </c>
      <c r="BB160" s="9" t="str">
        <f aca="false">IF(OR(N160="",BC160=""),"",MIN(N160,BC160))</f>
        <v/>
      </c>
      <c r="BC160" s="9" t="str">
        <f aca="false">IF(OR(N160="",T160="",P160=""),"",IF(OR(T160="",P160="",(0.94*T160)="",T160&lt;=0,(0.94*T160)&lt;=0),"",(1/Inputs!$B$9)*((T160^2/8)*((2*ACOS(1-2*(0.94*T160)/T160))-SIN((2*ACOS(1-2*(0.94*T160)/T160)))))*((((T160^2/8)*((2*ACOS(1-2*(0.94*T160)/T160))-SIN((2*ACOS(1-2*(0.94*T160)/T160)))))/((T160/2)*((2*ACOS(1-2*(0.94*T160)/T160)))))^(2/3))*SQRT(P160)))</f>
        <v/>
      </c>
      <c r="BD160" s="9" t="str">
        <f aca="false">IF(BB160="","",0.001*T160)</f>
        <v/>
      </c>
      <c r="BE160" s="9" t="str">
        <f aca="false">IF(BB160="","",0.94*T160)</f>
        <v/>
      </c>
      <c r="BF160" s="9" t="str">
        <f aca="false">IF(BB160="","",(BD160+BE160)/2)</f>
        <v/>
      </c>
      <c r="BG160" s="9" t="str">
        <f aca="false">IF(OR(T160="",P160="",BF160="",T160&lt;=0,BF160&lt;=0),"",(1/Inputs!$B$9)*((T160^2/8)*((2*ACOS(1-2*BF160/T160))-SIN((2*ACOS(1-2*BF160/T160)))))*((((T160^2/8)*((2*ACOS(1-2*BF160/T160))-SIN((2*ACOS(1-2*BF160/T160)))))/((T160/2)*((2*ACOS(1-2*BF160/T160)))))^(2/3))*SQRT(P160))</f>
        <v/>
      </c>
      <c r="BH160" s="9" t="str">
        <f aca="false">IF(BB160="","",IF(BG160&lt;BB160,BF160,BD160))</f>
        <v/>
      </c>
      <c r="BI160" s="9" t="str">
        <f aca="false">IF(BB160="","",IF(BG160&lt;BB160,BE160,BF160))</f>
        <v/>
      </c>
      <c r="BJ160" s="9" t="str">
        <f aca="false">IF(BB160="","",(BH160+BI160)/2)</f>
        <v/>
      </c>
      <c r="BK160" s="9" t="str">
        <f aca="false">IF(OR(T160="",P160="",BJ160="",T160&lt;=0,BJ160&lt;=0),"",(1/Inputs!$B$9)*((T160^2/8)*((2*ACOS(1-2*BJ160/T160))-SIN((2*ACOS(1-2*BJ160/T160)))))*((((T160^2/8)*((2*ACOS(1-2*BJ160/T160))-SIN((2*ACOS(1-2*BJ160/T160)))))/((T160/2)*((2*ACOS(1-2*BJ160/T160)))))^(2/3))*SQRT(P160))</f>
        <v/>
      </c>
      <c r="BL160" s="9" t="str">
        <f aca="false">IF(BB160="","",IF(BK160&lt;BB160,BJ160,BH160))</f>
        <v/>
      </c>
      <c r="BM160" s="9" t="str">
        <f aca="false">IF(BB160="","",IF(BK160&lt;BB160,BI160,BJ160))</f>
        <v/>
      </c>
      <c r="BN160" s="9" t="str">
        <f aca="false">IF(BB160="","",(BL160+BM160)/2)</f>
        <v/>
      </c>
      <c r="BO160" s="9" t="str">
        <f aca="false">IF(OR(T160="",P160="",BN160="",T160&lt;=0,BN160&lt;=0),"",(1/Inputs!$B$9)*((T160^2/8)*((2*ACOS(1-2*BN160/T160))-SIN((2*ACOS(1-2*BN160/T160)))))*((((T160^2/8)*((2*ACOS(1-2*BN160/T160))-SIN((2*ACOS(1-2*BN160/T160)))))/((T160/2)*((2*ACOS(1-2*BN160/T160)))))^(2/3))*SQRT(P160))</f>
        <v/>
      </c>
      <c r="BP160" s="9" t="str">
        <f aca="false">IF(BB160="","",IF(BO160&lt;BB160,BN160,BL160))</f>
        <v/>
      </c>
      <c r="BQ160" s="9" t="str">
        <f aca="false">IF(BB160="","",IF(BO160&lt;BB160,BM160,BN160))</f>
        <v/>
      </c>
      <c r="BR160" s="9" t="str">
        <f aca="false">IF(BB160="","",(BP160+BQ160)/2)</f>
        <v/>
      </c>
      <c r="BS160" s="9" t="str">
        <f aca="false">IF(OR(T160="",P160="",BR160="",T160&lt;=0,BR160&lt;=0),"",(1/Inputs!$B$9)*((T160^2/8)*((2*ACOS(1-2*BR160/T160))-SIN((2*ACOS(1-2*BR160/T160)))))*((((T160^2/8)*((2*ACOS(1-2*BR160/T160))-SIN((2*ACOS(1-2*BR160/T160)))))/((T160/2)*((2*ACOS(1-2*BR160/T160)))))^(2/3))*SQRT(P160))</f>
        <v/>
      </c>
      <c r="BT160" s="9" t="str">
        <f aca="false">IF(BB160="","",IF(BS160&lt;BB160,BR160,BP160))</f>
        <v/>
      </c>
      <c r="BU160" s="9" t="str">
        <f aca="false">IF(BB160="","",IF(BS160&lt;BB160,BQ160,BR160))</f>
        <v/>
      </c>
      <c r="BV160" s="9" t="str">
        <f aca="false">IF(BB160="","",(BT160+BU160)/2)</f>
        <v/>
      </c>
      <c r="BW160" s="9" t="str">
        <f aca="false">IF(OR(T160="",P160="",BV160="",T160&lt;=0,BV160&lt;=0),"",(1/Inputs!$B$9)*((T160^2/8)*((2*ACOS(1-2*BV160/T160))-SIN((2*ACOS(1-2*BV160/T160)))))*((((T160^2/8)*((2*ACOS(1-2*BV160/T160))-SIN((2*ACOS(1-2*BV160/T160)))))/((T160/2)*((2*ACOS(1-2*BV160/T160)))))^(2/3))*SQRT(P160))</f>
        <v/>
      </c>
      <c r="BX160" s="9" t="str">
        <f aca="false">IF(BB160="","",IF(BW160&lt;BB160,BV160,BT160))</f>
        <v/>
      </c>
      <c r="BY160" s="9" t="str">
        <f aca="false">IF(BB160="","",IF(BW160&lt;BB160,BU160,BV160))</f>
        <v/>
      </c>
      <c r="BZ160" s="9" t="str">
        <f aca="false">IF(BB160="","",(BX160+BY160)/2)</f>
        <v/>
      </c>
      <c r="CA160" s="9" t="str">
        <f aca="false">IF(OR(T160="",P160="",BZ160="",T160&lt;=0,BZ160&lt;=0),"",(1/Inputs!$B$9)*((T160^2/8)*((2*ACOS(1-2*BZ160/T160))-SIN((2*ACOS(1-2*BZ160/T160)))))*((((T160^2/8)*((2*ACOS(1-2*BZ160/T160))-SIN((2*ACOS(1-2*BZ160/T160)))))/((T160/2)*((2*ACOS(1-2*BZ160/T160)))))^(2/3))*SQRT(P160))</f>
        <v/>
      </c>
      <c r="CB160" s="9" t="str">
        <f aca="false">IF(BB160="","",IF(CA160&lt;BB160,BZ160,BX160))</f>
        <v/>
      </c>
      <c r="CC160" s="9" t="str">
        <f aca="false">IF(BB160="","",IF(CA160&lt;BB160,BY160,BZ160))</f>
        <v/>
      </c>
      <c r="CD160" s="9" t="str">
        <f aca="false">IF(BB160="","",(CB160+CC160)/2)</f>
        <v/>
      </c>
      <c r="CE160" s="9" t="str">
        <f aca="false">IF(OR(T160="",P160="",CD160="",T160&lt;=0,CD160&lt;=0),"",(1/Inputs!$B$9)*((T160^2/8)*((2*ACOS(1-2*CD160/T160))-SIN((2*ACOS(1-2*CD160/T160)))))*((((T160^2/8)*((2*ACOS(1-2*CD160/T160))-SIN((2*ACOS(1-2*CD160/T160)))))/((T160/2)*((2*ACOS(1-2*CD160/T160)))))^(2/3))*SQRT(P160))</f>
        <v/>
      </c>
      <c r="CF160" s="9" t="str">
        <f aca="false">IF(BB160="","",IF(CE160&lt;BB160,CD160,CB160))</f>
        <v/>
      </c>
      <c r="CG160" s="9" t="str">
        <f aca="false">IF(BB160="","",IF(CE160&lt;BB160,CC160,CD160))</f>
        <v/>
      </c>
      <c r="CH160" s="9" t="str">
        <f aca="false">IF(BB160="","",(CF160+CG160)/2)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14"/>
      <c r="F161" s="14"/>
      <c r="G161" s="14" t="n">
        <f aca="false">SUMIFS(CB_plan!$C:$C,CB_plan!$B:$B,$A161)</f>
        <v>0</v>
      </c>
      <c r="H161" s="14" t="n">
        <f aca="false">IF(F161="",G161,F161)</f>
        <v>0</v>
      </c>
      <c r="I161" s="9"/>
      <c r="J161" s="14"/>
      <c r="K161" s="14" t="str">
        <f aca="false">IF(A161="","",Inputs!$B$13/((IF(AV161="",Inputs!$B$18,AV161)+Inputs!$B$14)^Inputs!$B$15))</f>
        <v/>
      </c>
      <c r="L161" s="14" t="str">
        <f aca="false">IF(A161="","",0.000000278*IF(I161="",Inputs!$B$17,I161)*H161*K161)</f>
        <v/>
      </c>
      <c r="M161" s="14" t="str">
        <f aca="false">IF(A161="","",SUMIFS($N$4:$N$203,$D$4:$D$203,$A161))</f>
        <v/>
      </c>
      <c r="N161" s="14" t="str">
        <f aca="false">IF(A161="","",(L161+M161)*Inputs!$B$16)</f>
        <v/>
      </c>
      <c r="O161" s="14"/>
      <c r="P161" s="14" t="str">
        <f aca="false">IF(A161="","",IF(O161="",Inputs!$B$7,O161))</f>
        <v/>
      </c>
      <c r="Q161" s="9" t="str">
        <f aca="false">IF(A161="","",IF(N161/Inputs!$B$10&lt;=AG161,Inputs!$F$5,IF(N161/Inputs!$B$10&gt;AP161,"OVERSIZE",INDEX(Inputs!$F$5:$F$14,MATCH(N161/Inputs!$B$10,AG161:AP161,1)+1))))</f>
        <v/>
      </c>
      <c r="R161" s="9"/>
      <c r="S161" s="9" t="str">
        <f aca="false">IF(A161="","",IF(R161="",Q161,R161))</f>
        <v/>
      </c>
      <c r="T161" s="14" t="str">
        <f aca="false">IF(OR(S161="",S161="OVERSIZE"),"",S161/1000)</f>
        <v/>
      </c>
      <c r="U161" s="14" t="str">
        <f aca="false">IF(T161="","",(1/Inputs!$B$9)*(PI()*T161^2/4)*((T161/4)^(2/3))*SQRT(P161))</f>
        <v/>
      </c>
      <c r="V161" s="14" t="str">
        <f aca="false">IF(OR(U161="",N161=""),"",N161/(U161*Inputs!$B$10))</f>
        <v/>
      </c>
      <c r="W161" s="14" t="str">
        <f aca="false">IF(OR(T161="",N161=""),"",4*N161/(PI()*T161^2))</f>
        <v/>
      </c>
      <c r="X161" s="14"/>
      <c r="Y161" s="14" t="str">
        <f aca="false">IF(A161="","",IF(A161=Inputs!$B$6,Inputs!$B$22,IF(D161="","",IFERROR(INDEX($Z$4:$Z$203,MATCH(D161,$A$4:$A$203,0))+IF(X161="",Inputs!$B$20,X161),""))))</f>
        <v/>
      </c>
      <c r="Z161" s="14" t="str">
        <f aca="false">IF(OR(Y161="",P161="",E161=""),"",Y161+P161*E161)</f>
        <v/>
      </c>
      <c r="AA161" s="14" t="str">
        <f aca="false">IF(C161="","",IFERROR(INDEX(Noeuds_plan!$C$4:$C$200,MATCH(C161,Noeuds_plan!$A$4:$A$200,0)),""))</f>
        <v/>
      </c>
      <c r="AB161" s="14" t="str">
        <f aca="false">IF(B161="","",IFERROR(INDEX(Noeuds_plan!$C$4:$C$200,MATCH(B161,Noeuds_plan!$A$4:$A$200,0)),""))</f>
        <v/>
      </c>
      <c r="AC161" s="14" t="str">
        <f aca="false">IF(OR(AA161="",Y161=""),"",AA161-Y161)</f>
        <v/>
      </c>
      <c r="AD161" s="14" t="str">
        <f aca="false">IF(OR(AB161="",Z161=""),"",AB161-Z161)</f>
        <v/>
      </c>
      <c r="AE161" s="19" t="str">
        <f aca="false">IF(A161="","",IF(OR(V161&gt;1,AND(AY161&lt;&gt;"",AY161&lt;Inputs!$B$11),AND(AY161&lt;&gt;"",AY161&gt;Inputs!$B$12),AC161&lt;Inputs!$B$19,AD161&lt;Inputs!$B$19,P161&lt;Inputs!$B$7,P161&gt;Inputs!$B$8),"CHECK","OK"))</f>
        <v/>
      </c>
      <c r="AF161" s="9"/>
      <c r="AG161" s="9" t="str">
        <f aca="false">IF(A161="","",(1/Inputs!$B$9)*(PI()*(Inputs!$F$5/1000)^2/4)*((Inputs!$F$5/1000/4)^(2/3))*SQRT(P161))</f>
        <v/>
      </c>
      <c r="AH161" s="9" t="str">
        <f aca="false">IF(A161="","",(1/Inputs!$B$9)*(PI()*(Inputs!$F$6/1000)^2/4)*((Inputs!$F$6/1000/4)^(2/3))*SQRT(P161))</f>
        <v/>
      </c>
      <c r="AI161" s="9" t="str">
        <f aca="false">IF(A161="","",(1/Inputs!$B$9)*(PI()*(Inputs!$F$7/1000)^2/4)*((Inputs!$F$7/1000/4)^(2/3))*SQRT(P161))</f>
        <v/>
      </c>
      <c r="AJ161" s="9" t="str">
        <f aca="false">IF(A161="","",(1/Inputs!$B$9)*(PI()*(Inputs!$F$8/1000)^2/4)*((Inputs!$F$8/1000/4)^(2/3))*SQRT(P161))</f>
        <v/>
      </c>
      <c r="AK161" s="9" t="str">
        <f aca="false">IF(A161="","",(1/Inputs!$B$9)*(PI()*(Inputs!$F$9/1000)^2/4)*((Inputs!$F$9/1000/4)^(2/3))*SQRT(P161))</f>
        <v/>
      </c>
      <c r="AL161" s="9" t="str">
        <f aca="false">IF(A161="","",(1/Inputs!$B$9)*(PI()*(Inputs!$F$10/1000)^2/4)*((Inputs!$F$10/1000/4)^(2/3))*SQRT(P161))</f>
        <v/>
      </c>
      <c r="AM161" s="9" t="str">
        <f aca="false">IF(A161="","",(1/Inputs!$B$9)*(PI()*(Inputs!$F$11/1000)^2/4)*((Inputs!$F$11/1000/4)^(2/3))*SQRT(P161))</f>
        <v/>
      </c>
      <c r="AN161" s="9" t="str">
        <f aca="false">IF(A161="","",(1/Inputs!$B$9)*(PI()*(Inputs!$F$12/1000)^2/4)*((Inputs!$F$12/1000/4)^(2/3))*SQRT(P161))</f>
        <v/>
      </c>
      <c r="AO161" s="9" t="str">
        <f aca="false">IF(A161="","",(1/Inputs!$B$9)*(PI()*(Inputs!$F$13/1000)^2/4)*((Inputs!$F$13/1000/4)^(2/3))*SQRT(P161))</f>
        <v/>
      </c>
      <c r="AP161" s="9" t="str">
        <f aca="false">IF(A161="","",(1/Inputs!$B$9)*(PI()*(Inputs!$F$14/1000)^2/4)*((Inputs!$F$14/1000/4)^(2/3))*SQRT(P161))</f>
        <v/>
      </c>
      <c r="AQ161" s="9" t="str">
        <f aca="false">IF(A161="","",COUNTIF($D$4:$D$203,$A161))</f>
        <v/>
      </c>
      <c r="AR161" s="9" t="str">
        <f aca="false">IF(A161="","",IF(AQ161=0,"START","CONTINUOUS"))</f>
        <v/>
      </c>
      <c r="AS161" s="13" t="str">
        <f aca="false">IF(A161="","",IF(J161="",Inputs!$B$18,J161))</f>
        <v/>
      </c>
      <c r="AT161" s="13" t="str">
        <f aca="false">IF(A161="","",IFERROR(maxifs($AV$4:$AV$203,$D$4:$D$203,$A161),""))</f>
        <v/>
      </c>
      <c r="AU161" s="13" t="str">
        <f aca="false">IF(A161="","",IF(OR(E161="",Inputs!$B$23=""),"",E161/(Inputs!$B$23*60)))</f>
        <v/>
      </c>
      <c r="AV161" s="13" t="str">
        <f aca="false">IF(A161="","",IF(AQ161=0,AS161+AU161,IF(AT161="",AS161+AU161,AT161+AU161)))</f>
        <v/>
      </c>
      <c r="AW161" s="13" t="str">
        <f aca="false">IF(A161="","",W161)</f>
        <v/>
      </c>
      <c r="AX161" s="13" t="str">
        <f aca="false">IF(OR(T161="",P161=""),"",(1/Inputs!$B$9)*((T161/4)^(2/3))*SQRT(P161))</f>
        <v/>
      </c>
      <c r="AY161" s="13" t="str">
        <f aca="false">IF(A161="","",IF(AND(AW161="",AX161="",BA161=""),"",IF(OR(UPPER(TRIM(Inputs!$B$24))="MANNING",UPPER(TRIM(Inputs!$B$24))="M"),AX161,IF(OR(UPPER(TRIM(Inputs!$B$24))="PARTIAL",UPPER(TRIM(Inputs!$B$24))="P"),BA161,IF(OR(UPPER(TRIM(Inputs!$B$24))="MAX",UPPER(TRIM(Inputs!$B$24))="X"),MAX(IF(AW161="",0,AW161),IF(AX161="",0,AX161),IF(BA161="",0,BA161)),AW161)))))</f>
        <v/>
      </c>
      <c r="AZ161" s="13" t="str">
        <f aca="false">IF(BB161="","",CH161)</f>
        <v/>
      </c>
      <c r="BA161" s="13" t="str">
        <f aca="false">IF(OR(BB161="",AZ161="",T161="",T161&lt;=0,AZ161&lt;=0),"",BB161/((T161^2/8)*(2*ACOS(1-2*AZ161/T161)-SIN(2*ACOS(1-2*AZ161/T161)))))</f>
        <v/>
      </c>
      <c r="BB161" s="9" t="str">
        <f aca="false">IF(OR(N161="",BC161=""),"",MIN(N161,BC161))</f>
        <v/>
      </c>
      <c r="BC161" s="9" t="str">
        <f aca="false">IF(OR(N161="",T161="",P161=""),"",IF(OR(T161="",P161="",(0.94*T161)="",T161&lt;=0,(0.94*T161)&lt;=0),"",(1/Inputs!$B$9)*((T161^2/8)*((2*ACOS(1-2*(0.94*T161)/T161))-SIN((2*ACOS(1-2*(0.94*T161)/T161)))))*((((T161^2/8)*((2*ACOS(1-2*(0.94*T161)/T161))-SIN((2*ACOS(1-2*(0.94*T161)/T161)))))/((T161/2)*((2*ACOS(1-2*(0.94*T161)/T161)))))^(2/3))*SQRT(P161)))</f>
        <v/>
      </c>
      <c r="BD161" s="9" t="str">
        <f aca="false">IF(BB161="","",0.001*T161)</f>
        <v/>
      </c>
      <c r="BE161" s="9" t="str">
        <f aca="false">IF(BB161="","",0.94*T161)</f>
        <v/>
      </c>
      <c r="BF161" s="9" t="str">
        <f aca="false">IF(BB161="","",(BD161+BE161)/2)</f>
        <v/>
      </c>
      <c r="BG161" s="9" t="str">
        <f aca="false">IF(OR(T161="",P161="",BF161="",T161&lt;=0,BF161&lt;=0),"",(1/Inputs!$B$9)*((T161^2/8)*((2*ACOS(1-2*BF161/T161))-SIN((2*ACOS(1-2*BF161/T161)))))*((((T161^2/8)*((2*ACOS(1-2*BF161/T161))-SIN((2*ACOS(1-2*BF161/T161)))))/((T161/2)*((2*ACOS(1-2*BF161/T161)))))^(2/3))*SQRT(P161))</f>
        <v/>
      </c>
      <c r="BH161" s="9" t="str">
        <f aca="false">IF(BB161="","",IF(BG161&lt;BB161,BF161,BD161))</f>
        <v/>
      </c>
      <c r="BI161" s="9" t="str">
        <f aca="false">IF(BB161="","",IF(BG161&lt;BB161,BE161,BF161))</f>
        <v/>
      </c>
      <c r="BJ161" s="9" t="str">
        <f aca="false">IF(BB161="","",(BH161+BI161)/2)</f>
        <v/>
      </c>
      <c r="BK161" s="9" t="str">
        <f aca="false">IF(OR(T161="",P161="",BJ161="",T161&lt;=0,BJ161&lt;=0),"",(1/Inputs!$B$9)*((T161^2/8)*((2*ACOS(1-2*BJ161/T161))-SIN((2*ACOS(1-2*BJ161/T161)))))*((((T161^2/8)*((2*ACOS(1-2*BJ161/T161))-SIN((2*ACOS(1-2*BJ161/T161)))))/((T161/2)*((2*ACOS(1-2*BJ161/T161)))))^(2/3))*SQRT(P161))</f>
        <v/>
      </c>
      <c r="BL161" s="9" t="str">
        <f aca="false">IF(BB161="","",IF(BK161&lt;BB161,BJ161,BH161))</f>
        <v/>
      </c>
      <c r="BM161" s="9" t="str">
        <f aca="false">IF(BB161="","",IF(BK161&lt;BB161,BI161,BJ161))</f>
        <v/>
      </c>
      <c r="BN161" s="9" t="str">
        <f aca="false">IF(BB161="","",(BL161+BM161)/2)</f>
        <v/>
      </c>
      <c r="BO161" s="9" t="str">
        <f aca="false">IF(OR(T161="",P161="",BN161="",T161&lt;=0,BN161&lt;=0),"",(1/Inputs!$B$9)*((T161^2/8)*((2*ACOS(1-2*BN161/T161))-SIN((2*ACOS(1-2*BN161/T161)))))*((((T161^2/8)*((2*ACOS(1-2*BN161/T161))-SIN((2*ACOS(1-2*BN161/T161)))))/((T161/2)*((2*ACOS(1-2*BN161/T161)))))^(2/3))*SQRT(P161))</f>
        <v/>
      </c>
      <c r="BP161" s="9" t="str">
        <f aca="false">IF(BB161="","",IF(BO161&lt;BB161,BN161,BL161))</f>
        <v/>
      </c>
      <c r="BQ161" s="9" t="str">
        <f aca="false">IF(BB161="","",IF(BO161&lt;BB161,BM161,BN161))</f>
        <v/>
      </c>
      <c r="BR161" s="9" t="str">
        <f aca="false">IF(BB161="","",(BP161+BQ161)/2)</f>
        <v/>
      </c>
      <c r="BS161" s="9" t="str">
        <f aca="false">IF(OR(T161="",P161="",BR161="",T161&lt;=0,BR161&lt;=0),"",(1/Inputs!$B$9)*((T161^2/8)*((2*ACOS(1-2*BR161/T161))-SIN((2*ACOS(1-2*BR161/T161)))))*((((T161^2/8)*((2*ACOS(1-2*BR161/T161))-SIN((2*ACOS(1-2*BR161/T161)))))/((T161/2)*((2*ACOS(1-2*BR161/T161)))))^(2/3))*SQRT(P161))</f>
        <v/>
      </c>
      <c r="BT161" s="9" t="str">
        <f aca="false">IF(BB161="","",IF(BS161&lt;BB161,BR161,BP161))</f>
        <v/>
      </c>
      <c r="BU161" s="9" t="str">
        <f aca="false">IF(BB161="","",IF(BS161&lt;BB161,BQ161,BR161))</f>
        <v/>
      </c>
      <c r="BV161" s="9" t="str">
        <f aca="false">IF(BB161="","",(BT161+BU161)/2)</f>
        <v/>
      </c>
      <c r="BW161" s="9" t="str">
        <f aca="false">IF(OR(T161="",P161="",BV161="",T161&lt;=0,BV161&lt;=0),"",(1/Inputs!$B$9)*((T161^2/8)*((2*ACOS(1-2*BV161/T161))-SIN((2*ACOS(1-2*BV161/T161)))))*((((T161^2/8)*((2*ACOS(1-2*BV161/T161))-SIN((2*ACOS(1-2*BV161/T161)))))/((T161/2)*((2*ACOS(1-2*BV161/T161)))))^(2/3))*SQRT(P161))</f>
        <v/>
      </c>
      <c r="BX161" s="9" t="str">
        <f aca="false">IF(BB161="","",IF(BW161&lt;BB161,BV161,BT161))</f>
        <v/>
      </c>
      <c r="BY161" s="9" t="str">
        <f aca="false">IF(BB161="","",IF(BW161&lt;BB161,BU161,BV161))</f>
        <v/>
      </c>
      <c r="BZ161" s="9" t="str">
        <f aca="false">IF(BB161="","",(BX161+BY161)/2)</f>
        <v/>
      </c>
      <c r="CA161" s="9" t="str">
        <f aca="false">IF(OR(T161="",P161="",BZ161="",T161&lt;=0,BZ161&lt;=0),"",(1/Inputs!$B$9)*((T161^2/8)*((2*ACOS(1-2*BZ161/T161))-SIN((2*ACOS(1-2*BZ161/T161)))))*((((T161^2/8)*((2*ACOS(1-2*BZ161/T161))-SIN((2*ACOS(1-2*BZ161/T161)))))/((T161/2)*((2*ACOS(1-2*BZ161/T161)))))^(2/3))*SQRT(P161))</f>
        <v/>
      </c>
      <c r="CB161" s="9" t="str">
        <f aca="false">IF(BB161="","",IF(CA161&lt;BB161,BZ161,BX161))</f>
        <v/>
      </c>
      <c r="CC161" s="9" t="str">
        <f aca="false">IF(BB161="","",IF(CA161&lt;BB161,BY161,BZ161))</f>
        <v/>
      </c>
      <c r="CD161" s="9" t="str">
        <f aca="false">IF(BB161="","",(CB161+CC161)/2)</f>
        <v/>
      </c>
      <c r="CE161" s="9" t="str">
        <f aca="false">IF(OR(T161="",P161="",CD161="",T161&lt;=0,CD161&lt;=0),"",(1/Inputs!$B$9)*((T161^2/8)*((2*ACOS(1-2*CD161/T161))-SIN((2*ACOS(1-2*CD161/T161)))))*((((T161^2/8)*((2*ACOS(1-2*CD161/T161))-SIN((2*ACOS(1-2*CD161/T161)))))/((T161/2)*((2*ACOS(1-2*CD161/T161)))))^(2/3))*SQRT(P161))</f>
        <v/>
      </c>
      <c r="CF161" s="9" t="str">
        <f aca="false">IF(BB161="","",IF(CE161&lt;BB161,CD161,CB161))</f>
        <v/>
      </c>
      <c r="CG161" s="9" t="str">
        <f aca="false">IF(BB161="","",IF(CE161&lt;BB161,CC161,CD161))</f>
        <v/>
      </c>
      <c r="CH161" s="9" t="str">
        <f aca="false">IF(BB161="","",(CF161+CG161)/2)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14"/>
      <c r="F162" s="14"/>
      <c r="G162" s="14" t="n">
        <f aca="false">SUMIFS(CB_plan!$C:$C,CB_plan!$B:$B,$A162)</f>
        <v>0</v>
      </c>
      <c r="H162" s="14" t="n">
        <f aca="false">IF(F162="",G162,F162)</f>
        <v>0</v>
      </c>
      <c r="I162" s="9"/>
      <c r="J162" s="14"/>
      <c r="K162" s="14" t="str">
        <f aca="false">IF(A162="","",Inputs!$B$13/((IF(AV162="",Inputs!$B$18,AV162)+Inputs!$B$14)^Inputs!$B$15))</f>
        <v/>
      </c>
      <c r="L162" s="14" t="str">
        <f aca="false">IF(A162="","",0.000000278*IF(I162="",Inputs!$B$17,I162)*H162*K162)</f>
        <v/>
      </c>
      <c r="M162" s="14" t="str">
        <f aca="false">IF(A162="","",SUMIFS($N$4:$N$203,$D$4:$D$203,$A162))</f>
        <v/>
      </c>
      <c r="N162" s="14" t="str">
        <f aca="false">IF(A162="","",(L162+M162)*Inputs!$B$16)</f>
        <v/>
      </c>
      <c r="O162" s="14"/>
      <c r="P162" s="14" t="str">
        <f aca="false">IF(A162="","",IF(O162="",Inputs!$B$7,O162))</f>
        <v/>
      </c>
      <c r="Q162" s="9" t="str">
        <f aca="false">IF(A162="","",IF(N162/Inputs!$B$10&lt;=AG162,Inputs!$F$5,IF(N162/Inputs!$B$10&gt;AP162,"OVERSIZE",INDEX(Inputs!$F$5:$F$14,MATCH(N162/Inputs!$B$10,AG162:AP162,1)+1))))</f>
        <v/>
      </c>
      <c r="R162" s="9"/>
      <c r="S162" s="9" t="str">
        <f aca="false">IF(A162="","",IF(R162="",Q162,R162))</f>
        <v/>
      </c>
      <c r="T162" s="14" t="str">
        <f aca="false">IF(OR(S162="",S162="OVERSIZE"),"",S162/1000)</f>
        <v/>
      </c>
      <c r="U162" s="14" t="str">
        <f aca="false">IF(T162="","",(1/Inputs!$B$9)*(PI()*T162^2/4)*((T162/4)^(2/3))*SQRT(P162))</f>
        <v/>
      </c>
      <c r="V162" s="14" t="str">
        <f aca="false">IF(OR(U162="",N162=""),"",N162/(U162*Inputs!$B$10))</f>
        <v/>
      </c>
      <c r="W162" s="14" t="str">
        <f aca="false">IF(OR(T162="",N162=""),"",4*N162/(PI()*T162^2))</f>
        <v/>
      </c>
      <c r="X162" s="14"/>
      <c r="Y162" s="14" t="str">
        <f aca="false">IF(A162="","",IF(A162=Inputs!$B$6,Inputs!$B$22,IF(D162="","",IFERROR(INDEX($Z$4:$Z$203,MATCH(D162,$A$4:$A$203,0))+IF(X162="",Inputs!$B$20,X162),""))))</f>
        <v/>
      </c>
      <c r="Z162" s="14" t="str">
        <f aca="false">IF(OR(Y162="",P162="",E162=""),"",Y162+P162*E162)</f>
        <v/>
      </c>
      <c r="AA162" s="14" t="str">
        <f aca="false">IF(C162="","",IFERROR(INDEX(Noeuds_plan!$C$4:$C$200,MATCH(C162,Noeuds_plan!$A$4:$A$200,0)),""))</f>
        <v/>
      </c>
      <c r="AB162" s="14" t="str">
        <f aca="false">IF(B162="","",IFERROR(INDEX(Noeuds_plan!$C$4:$C$200,MATCH(B162,Noeuds_plan!$A$4:$A$200,0)),""))</f>
        <v/>
      </c>
      <c r="AC162" s="14" t="str">
        <f aca="false">IF(OR(AA162="",Y162=""),"",AA162-Y162)</f>
        <v/>
      </c>
      <c r="AD162" s="14" t="str">
        <f aca="false">IF(OR(AB162="",Z162=""),"",AB162-Z162)</f>
        <v/>
      </c>
      <c r="AE162" s="19" t="str">
        <f aca="false">IF(A162="","",IF(OR(V162&gt;1,AND(AY162&lt;&gt;"",AY162&lt;Inputs!$B$11),AND(AY162&lt;&gt;"",AY162&gt;Inputs!$B$12),AC162&lt;Inputs!$B$19,AD162&lt;Inputs!$B$19,P162&lt;Inputs!$B$7,P162&gt;Inputs!$B$8),"CHECK","OK"))</f>
        <v/>
      </c>
      <c r="AF162" s="9"/>
      <c r="AG162" s="9" t="str">
        <f aca="false">IF(A162="","",(1/Inputs!$B$9)*(PI()*(Inputs!$F$5/1000)^2/4)*((Inputs!$F$5/1000/4)^(2/3))*SQRT(P162))</f>
        <v/>
      </c>
      <c r="AH162" s="9" t="str">
        <f aca="false">IF(A162="","",(1/Inputs!$B$9)*(PI()*(Inputs!$F$6/1000)^2/4)*((Inputs!$F$6/1000/4)^(2/3))*SQRT(P162))</f>
        <v/>
      </c>
      <c r="AI162" s="9" t="str">
        <f aca="false">IF(A162="","",(1/Inputs!$B$9)*(PI()*(Inputs!$F$7/1000)^2/4)*((Inputs!$F$7/1000/4)^(2/3))*SQRT(P162))</f>
        <v/>
      </c>
      <c r="AJ162" s="9" t="str">
        <f aca="false">IF(A162="","",(1/Inputs!$B$9)*(PI()*(Inputs!$F$8/1000)^2/4)*((Inputs!$F$8/1000/4)^(2/3))*SQRT(P162))</f>
        <v/>
      </c>
      <c r="AK162" s="9" t="str">
        <f aca="false">IF(A162="","",(1/Inputs!$B$9)*(PI()*(Inputs!$F$9/1000)^2/4)*((Inputs!$F$9/1000/4)^(2/3))*SQRT(P162))</f>
        <v/>
      </c>
      <c r="AL162" s="9" t="str">
        <f aca="false">IF(A162="","",(1/Inputs!$B$9)*(PI()*(Inputs!$F$10/1000)^2/4)*((Inputs!$F$10/1000/4)^(2/3))*SQRT(P162))</f>
        <v/>
      </c>
      <c r="AM162" s="9" t="str">
        <f aca="false">IF(A162="","",(1/Inputs!$B$9)*(PI()*(Inputs!$F$11/1000)^2/4)*((Inputs!$F$11/1000/4)^(2/3))*SQRT(P162))</f>
        <v/>
      </c>
      <c r="AN162" s="9" t="str">
        <f aca="false">IF(A162="","",(1/Inputs!$B$9)*(PI()*(Inputs!$F$12/1000)^2/4)*((Inputs!$F$12/1000/4)^(2/3))*SQRT(P162))</f>
        <v/>
      </c>
      <c r="AO162" s="9" t="str">
        <f aca="false">IF(A162="","",(1/Inputs!$B$9)*(PI()*(Inputs!$F$13/1000)^2/4)*((Inputs!$F$13/1000/4)^(2/3))*SQRT(P162))</f>
        <v/>
      </c>
      <c r="AP162" s="9" t="str">
        <f aca="false">IF(A162="","",(1/Inputs!$B$9)*(PI()*(Inputs!$F$14/1000)^2/4)*((Inputs!$F$14/1000/4)^(2/3))*SQRT(P162))</f>
        <v/>
      </c>
      <c r="AQ162" s="9" t="str">
        <f aca="false">IF(A162="","",COUNTIF($D$4:$D$203,$A162))</f>
        <v/>
      </c>
      <c r="AR162" s="9" t="str">
        <f aca="false">IF(A162="","",IF(AQ162=0,"START","CONTINUOUS"))</f>
        <v/>
      </c>
      <c r="AS162" s="13" t="str">
        <f aca="false">IF(A162="","",IF(J162="",Inputs!$B$18,J162))</f>
        <v/>
      </c>
      <c r="AT162" s="13" t="str">
        <f aca="false">IF(A162="","",IFERROR(maxifs($AV$4:$AV$203,$D$4:$D$203,$A162),""))</f>
        <v/>
      </c>
      <c r="AU162" s="13" t="str">
        <f aca="false">IF(A162="","",IF(OR(E162="",Inputs!$B$23=""),"",E162/(Inputs!$B$23*60)))</f>
        <v/>
      </c>
      <c r="AV162" s="13" t="str">
        <f aca="false">IF(A162="","",IF(AQ162=0,AS162+AU162,IF(AT162="",AS162+AU162,AT162+AU162)))</f>
        <v/>
      </c>
      <c r="AW162" s="13" t="str">
        <f aca="false">IF(A162="","",W162)</f>
        <v/>
      </c>
      <c r="AX162" s="13" t="str">
        <f aca="false">IF(OR(T162="",P162=""),"",(1/Inputs!$B$9)*((T162/4)^(2/3))*SQRT(P162))</f>
        <v/>
      </c>
      <c r="AY162" s="13" t="str">
        <f aca="false">IF(A162="","",IF(AND(AW162="",AX162="",BA162=""),"",IF(OR(UPPER(TRIM(Inputs!$B$24))="MANNING",UPPER(TRIM(Inputs!$B$24))="M"),AX162,IF(OR(UPPER(TRIM(Inputs!$B$24))="PARTIAL",UPPER(TRIM(Inputs!$B$24))="P"),BA162,IF(OR(UPPER(TRIM(Inputs!$B$24))="MAX",UPPER(TRIM(Inputs!$B$24))="X"),MAX(IF(AW162="",0,AW162),IF(AX162="",0,AX162),IF(BA162="",0,BA162)),AW162)))))</f>
        <v/>
      </c>
      <c r="AZ162" s="13" t="str">
        <f aca="false">IF(BB162="","",CH162)</f>
        <v/>
      </c>
      <c r="BA162" s="13" t="str">
        <f aca="false">IF(OR(BB162="",AZ162="",T162="",T162&lt;=0,AZ162&lt;=0),"",BB162/((T162^2/8)*(2*ACOS(1-2*AZ162/T162)-SIN(2*ACOS(1-2*AZ162/T162)))))</f>
        <v/>
      </c>
      <c r="BB162" s="9" t="str">
        <f aca="false">IF(OR(N162="",BC162=""),"",MIN(N162,BC162))</f>
        <v/>
      </c>
      <c r="BC162" s="9" t="str">
        <f aca="false">IF(OR(N162="",T162="",P162=""),"",IF(OR(T162="",P162="",(0.94*T162)="",T162&lt;=0,(0.94*T162)&lt;=0),"",(1/Inputs!$B$9)*((T162^2/8)*((2*ACOS(1-2*(0.94*T162)/T162))-SIN((2*ACOS(1-2*(0.94*T162)/T162)))))*((((T162^2/8)*((2*ACOS(1-2*(0.94*T162)/T162))-SIN((2*ACOS(1-2*(0.94*T162)/T162)))))/((T162/2)*((2*ACOS(1-2*(0.94*T162)/T162)))))^(2/3))*SQRT(P162)))</f>
        <v/>
      </c>
      <c r="BD162" s="9" t="str">
        <f aca="false">IF(BB162="","",0.001*T162)</f>
        <v/>
      </c>
      <c r="BE162" s="9" t="str">
        <f aca="false">IF(BB162="","",0.94*T162)</f>
        <v/>
      </c>
      <c r="BF162" s="9" t="str">
        <f aca="false">IF(BB162="","",(BD162+BE162)/2)</f>
        <v/>
      </c>
      <c r="BG162" s="9" t="str">
        <f aca="false">IF(OR(T162="",P162="",BF162="",T162&lt;=0,BF162&lt;=0),"",(1/Inputs!$B$9)*((T162^2/8)*((2*ACOS(1-2*BF162/T162))-SIN((2*ACOS(1-2*BF162/T162)))))*((((T162^2/8)*((2*ACOS(1-2*BF162/T162))-SIN((2*ACOS(1-2*BF162/T162)))))/((T162/2)*((2*ACOS(1-2*BF162/T162)))))^(2/3))*SQRT(P162))</f>
        <v/>
      </c>
      <c r="BH162" s="9" t="str">
        <f aca="false">IF(BB162="","",IF(BG162&lt;BB162,BF162,BD162))</f>
        <v/>
      </c>
      <c r="BI162" s="9" t="str">
        <f aca="false">IF(BB162="","",IF(BG162&lt;BB162,BE162,BF162))</f>
        <v/>
      </c>
      <c r="BJ162" s="9" t="str">
        <f aca="false">IF(BB162="","",(BH162+BI162)/2)</f>
        <v/>
      </c>
      <c r="BK162" s="9" t="str">
        <f aca="false">IF(OR(T162="",P162="",BJ162="",T162&lt;=0,BJ162&lt;=0),"",(1/Inputs!$B$9)*((T162^2/8)*((2*ACOS(1-2*BJ162/T162))-SIN((2*ACOS(1-2*BJ162/T162)))))*((((T162^2/8)*((2*ACOS(1-2*BJ162/T162))-SIN((2*ACOS(1-2*BJ162/T162)))))/((T162/2)*((2*ACOS(1-2*BJ162/T162)))))^(2/3))*SQRT(P162))</f>
        <v/>
      </c>
      <c r="BL162" s="9" t="str">
        <f aca="false">IF(BB162="","",IF(BK162&lt;BB162,BJ162,BH162))</f>
        <v/>
      </c>
      <c r="BM162" s="9" t="str">
        <f aca="false">IF(BB162="","",IF(BK162&lt;BB162,BI162,BJ162))</f>
        <v/>
      </c>
      <c r="BN162" s="9" t="str">
        <f aca="false">IF(BB162="","",(BL162+BM162)/2)</f>
        <v/>
      </c>
      <c r="BO162" s="9" t="str">
        <f aca="false">IF(OR(T162="",P162="",BN162="",T162&lt;=0,BN162&lt;=0),"",(1/Inputs!$B$9)*((T162^2/8)*((2*ACOS(1-2*BN162/T162))-SIN((2*ACOS(1-2*BN162/T162)))))*((((T162^2/8)*((2*ACOS(1-2*BN162/T162))-SIN((2*ACOS(1-2*BN162/T162)))))/((T162/2)*((2*ACOS(1-2*BN162/T162)))))^(2/3))*SQRT(P162))</f>
        <v/>
      </c>
      <c r="BP162" s="9" t="str">
        <f aca="false">IF(BB162="","",IF(BO162&lt;BB162,BN162,BL162))</f>
        <v/>
      </c>
      <c r="BQ162" s="9" t="str">
        <f aca="false">IF(BB162="","",IF(BO162&lt;BB162,BM162,BN162))</f>
        <v/>
      </c>
      <c r="BR162" s="9" t="str">
        <f aca="false">IF(BB162="","",(BP162+BQ162)/2)</f>
        <v/>
      </c>
      <c r="BS162" s="9" t="str">
        <f aca="false">IF(OR(T162="",P162="",BR162="",T162&lt;=0,BR162&lt;=0),"",(1/Inputs!$B$9)*((T162^2/8)*((2*ACOS(1-2*BR162/T162))-SIN((2*ACOS(1-2*BR162/T162)))))*((((T162^2/8)*((2*ACOS(1-2*BR162/T162))-SIN((2*ACOS(1-2*BR162/T162)))))/((T162/2)*((2*ACOS(1-2*BR162/T162)))))^(2/3))*SQRT(P162))</f>
        <v/>
      </c>
      <c r="BT162" s="9" t="str">
        <f aca="false">IF(BB162="","",IF(BS162&lt;BB162,BR162,BP162))</f>
        <v/>
      </c>
      <c r="BU162" s="9" t="str">
        <f aca="false">IF(BB162="","",IF(BS162&lt;BB162,BQ162,BR162))</f>
        <v/>
      </c>
      <c r="BV162" s="9" t="str">
        <f aca="false">IF(BB162="","",(BT162+BU162)/2)</f>
        <v/>
      </c>
      <c r="BW162" s="9" t="str">
        <f aca="false">IF(OR(T162="",P162="",BV162="",T162&lt;=0,BV162&lt;=0),"",(1/Inputs!$B$9)*((T162^2/8)*((2*ACOS(1-2*BV162/T162))-SIN((2*ACOS(1-2*BV162/T162)))))*((((T162^2/8)*((2*ACOS(1-2*BV162/T162))-SIN((2*ACOS(1-2*BV162/T162)))))/((T162/2)*((2*ACOS(1-2*BV162/T162)))))^(2/3))*SQRT(P162))</f>
        <v/>
      </c>
      <c r="BX162" s="9" t="str">
        <f aca="false">IF(BB162="","",IF(BW162&lt;BB162,BV162,BT162))</f>
        <v/>
      </c>
      <c r="BY162" s="9" t="str">
        <f aca="false">IF(BB162="","",IF(BW162&lt;BB162,BU162,BV162))</f>
        <v/>
      </c>
      <c r="BZ162" s="9" t="str">
        <f aca="false">IF(BB162="","",(BX162+BY162)/2)</f>
        <v/>
      </c>
      <c r="CA162" s="9" t="str">
        <f aca="false">IF(OR(T162="",P162="",BZ162="",T162&lt;=0,BZ162&lt;=0),"",(1/Inputs!$B$9)*((T162^2/8)*((2*ACOS(1-2*BZ162/T162))-SIN((2*ACOS(1-2*BZ162/T162)))))*((((T162^2/8)*((2*ACOS(1-2*BZ162/T162))-SIN((2*ACOS(1-2*BZ162/T162)))))/((T162/2)*((2*ACOS(1-2*BZ162/T162)))))^(2/3))*SQRT(P162))</f>
        <v/>
      </c>
      <c r="CB162" s="9" t="str">
        <f aca="false">IF(BB162="","",IF(CA162&lt;BB162,BZ162,BX162))</f>
        <v/>
      </c>
      <c r="CC162" s="9" t="str">
        <f aca="false">IF(BB162="","",IF(CA162&lt;BB162,BY162,BZ162))</f>
        <v/>
      </c>
      <c r="CD162" s="9" t="str">
        <f aca="false">IF(BB162="","",(CB162+CC162)/2)</f>
        <v/>
      </c>
      <c r="CE162" s="9" t="str">
        <f aca="false">IF(OR(T162="",P162="",CD162="",T162&lt;=0,CD162&lt;=0),"",(1/Inputs!$B$9)*((T162^2/8)*((2*ACOS(1-2*CD162/T162))-SIN((2*ACOS(1-2*CD162/T162)))))*((((T162^2/8)*((2*ACOS(1-2*CD162/T162))-SIN((2*ACOS(1-2*CD162/T162)))))/((T162/2)*((2*ACOS(1-2*CD162/T162)))))^(2/3))*SQRT(P162))</f>
        <v/>
      </c>
      <c r="CF162" s="9" t="str">
        <f aca="false">IF(BB162="","",IF(CE162&lt;BB162,CD162,CB162))</f>
        <v/>
      </c>
      <c r="CG162" s="9" t="str">
        <f aca="false">IF(BB162="","",IF(CE162&lt;BB162,CC162,CD162))</f>
        <v/>
      </c>
      <c r="CH162" s="9" t="str">
        <f aca="false">IF(BB162="","",(CF162+CG162)/2)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14"/>
      <c r="F163" s="14"/>
      <c r="G163" s="14" t="n">
        <f aca="false">SUMIFS(CB_plan!$C:$C,CB_plan!$B:$B,$A163)</f>
        <v>0</v>
      </c>
      <c r="H163" s="14" t="n">
        <f aca="false">IF(F163="",G163,F163)</f>
        <v>0</v>
      </c>
      <c r="I163" s="9"/>
      <c r="J163" s="14"/>
      <c r="K163" s="14" t="str">
        <f aca="false">IF(A163="","",Inputs!$B$13/((IF(AV163="",Inputs!$B$18,AV163)+Inputs!$B$14)^Inputs!$B$15))</f>
        <v/>
      </c>
      <c r="L163" s="14" t="str">
        <f aca="false">IF(A163="","",0.000000278*IF(I163="",Inputs!$B$17,I163)*H163*K163)</f>
        <v/>
      </c>
      <c r="M163" s="14" t="str">
        <f aca="false">IF(A163="","",SUMIFS($N$4:$N$203,$D$4:$D$203,$A163))</f>
        <v/>
      </c>
      <c r="N163" s="14" t="str">
        <f aca="false">IF(A163="","",(L163+M163)*Inputs!$B$16)</f>
        <v/>
      </c>
      <c r="O163" s="14"/>
      <c r="P163" s="14" t="str">
        <f aca="false">IF(A163="","",IF(O163="",Inputs!$B$7,O163))</f>
        <v/>
      </c>
      <c r="Q163" s="9" t="str">
        <f aca="false">IF(A163="","",IF(N163/Inputs!$B$10&lt;=AG163,Inputs!$F$5,IF(N163/Inputs!$B$10&gt;AP163,"OVERSIZE",INDEX(Inputs!$F$5:$F$14,MATCH(N163/Inputs!$B$10,AG163:AP163,1)+1))))</f>
        <v/>
      </c>
      <c r="R163" s="9"/>
      <c r="S163" s="9" t="str">
        <f aca="false">IF(A163="","",IF(R163="",Q163,R163))</f>
        <v/>
      </c>
      <c r="T163" s="14" t="str">
        <f aca="false">IF(OR(S163="",S163="OVERSIZE"),"",S163/1000)</f>
        <v/>
      </c>
      <c r="U163" s="14" t="str">
        <f aca="false">IF(T163="","",(1/Inputs!$B$9)*(PI()*T163^2/4)*((T163/4)^(2/3))*SQRT(P163))</f>
        <v/>
      </c>
      <c r="V163" s="14" t="str">
        <f aca="false">IF(OR(U163="",N163=""),"",N163/(U163*Inputs!$B$10))</f>
        <v/>
      </c>
      <c r="W163" s="14" t="str">
        <f aca="false">IF(OR(T163="",N163=""),"",4*N163/(PI()*T163^2))</f>
        <v/>
      </c>
      <c r="X163" s="14"/>
      <c r="Y163" s="14" t="str">
        <f aca="false">IF(A163="","",IF(A163=Inputs!$B$6,Inputs!$B$22,IF(D163="","",IFERROR(INDEX($Z$4:$Z$203,MATCH(D163,$A$4:$A$203,0))+IF(X163="",Inputs!$B$20,X163),""))))</f>
        <v/>
      </c>
      <c r="Z163" s="14" t="str">
        <f aca="false">IF(OR(Y163="",P163="",E163=""),"",Y163+P163*E163)</f>
        <v/>
      </c>
      <c r="AA163" s="14" t="str">
        <f aca="false">IF(C163="","",IFERROR(INDEX(Noeuds_plan!$C$4:$C$200,MATCH(C163,Noeuds_plan!$A$4:$A$200,0)),""))</f>
        <v/>
      </c>
      <c r="AB163" s="14" t="str">
        <f aca="false">IF(B163="","",IFERROR(INDEX(Noeuds_plan!$C$4:$C$200,MATCH(B163,Noeuds_plan!$A$4:$A$200,0)),""))</f>
        <v/>
      </c>
      <c r="AC163" s="14" t="str">
        <f aca="false">IF(OR(AA163="",Y163=""),"",AA163-Y163)</f>
        <v/>
      </c>
      <c r="AD163" s="14" t="str">
        <f aca="false">IF(OR(AB163="",Z163=""),"",AB163-Z163)</f>
        <v/>
      </c>
      <c r="AE163" s="19" t="str">
        <f aca="false">IF(A163="","",IF(OR(V163&gt;1,AND(AY163&lt;&gt;"",AY163&lt;Inputs!$B$11),AND(AY163&lt;&gt;"",AY163&gt;Inputs!$B$12),AC163&lt;Inputs!$B$19,AD163&lt;Inputs!$B$19,P163&lt;Inputs!$B$7,P163&gt;Inputs!$B$8),"CHECK","OK"))</f>
        <v/>
      </c>
      <c r="AF163" s="9"/>
      <c r="AG163" s="9" t="str">
        <f aca="false">IF(A163="","",(1/Inputs!$B$9)*(PI()*(Inputs!$F$5/1000)^2/4)*((Inputs!$F$5/1000/4)^(2/3))*SQRT(P163))</f>
        <v/>
      </c>
      <c r="AH163" s="9" t="str">
        <f aca="false">IF(A163="","",(1/Inputs!$B$9)*(PI()*(Inputs!$F$6/1000)^2/4)*((Inputs!$F$6/1000/4)^(2/3))*SQRT(P163))</f>
        <v/>
      </c>
      <c r="AI163" s="9" t="str">
        <f aca="false">IF(A163="","",(1/Inputs!$B$9)*(PI()*(Inputs!$F$7/1000)^2/4)*((Inputs!$F$7/1000/4)^(2/3))*SQRT(P163))</f>
        <v/>
      </c>
      <c r="AJ163" s="9" t="str">
        <f aca="false">IF(A163="","",(1/Inputs!$B$9)*(PI()*(Inputs!$F$8/1000)^2/4)*((Inputs!$F$8/1000/4)^(2/3))*SQRT(P163))</f>
        <v/>
      </c>
      <c r="AK163" s="9" t="str">
        <f aca="false">IF(A163="","",(1/Inputs!$B$9)*(PI()*(Inputs!$F$9/1000)^2/4)*((Inputs!$F$9/1000/4)^(2/3))*SQRT(P163))</f>
        <v/>
      </c>
      <c r="AL163" s="9" t="str">
        <f aca="false">IF(A163="","",(1/Inputs!$B$9)*(PI()*(Inputs!$F$10/1000)^2/4)*((Inputs!$F$10/1000/4)^(2/3))*SQRT(P163))</f>
        <v/>
      </c>
      <c r="AM163" s="9" t="str">
        <f aca="false">IF(A163="","",(1/Inputs!$B$9)*(PI()*(Inputs!$F$11/1000)^2/4)*((Inputs!$F$11/1000/4)^(2/3))*SQRT(P163))</f>
        <v/>
      </c>
      <c r="AN163" s="9" t="str">
        <f aca="false">IF(A163="","",(1/Inputs!$B$9)*(PI()*(Inputs!$F$12/1000)^2/4)*((Inputs!$F$12/1000/4)^(2/3))*SQRT(P163))</f>
        <v/>
      </c>
      <c r="AO163" s="9" t="str">
        <f aca="false">IF(A163="","",(1/Inputs!$B$9)*(PI()*(Inputs!$F$13/1000)^2/4)*((Inputs!$F$13/1000/4)^(2/3))*SQRT(P163))</f>
        <v/>
      </c>
      <c r="AP163" s="9" t="str">
        <f aca="false">IF(A163="","",(1/Inputs!$B$9)*(PI()*(Inputs!$F$14/1000)^2/4)*((Inputs!$F$14/1000/4)^(2/3))*SQRT(P163))</f>
        <v/>
      </c>
      <c r="AQ163" s="9" t="str">
        <f aca="false">IF(A163="","",COUNTIF($D$4:$D$203,$A163))</f>
        <v/>
      </c>
      <c r="AR163" s="9" t="str">
        <f aca="false">IF(A163="","",IF(AQ163=0,"START","CONTINUOUS"))</f>
        <v/>
      </c>
      <c r="AS163" s="13" t="str">
        <f aca="false">IF(A163="","",IF(J163="",Inputs!$B$18,J163))</f>
        <v/>
      </c>
      <c r="AT163" s="13" t="str">
        <f aca="false">IF(A163="","",IFERROR(maxifs($AV$4:$AV$203,$D$4:$D$203,$A163),""))</f>
        <v/>
      </c>
      <c r="AU163" s="13" t="str">
        <f aca="false">IF(A163="","",IF(OR(E163="",Inputs!$B$23=""),"",E163/(Inputs!$B$23*60)))</f>
        <v/>
      </c>
      <c r="AV163" s="13" t="str">
        <f aca="false">IF(A163="","",IF(AQ163=0,AS163+AU163,IF(AT163="",AS163+AU163,AT163+AU163)))</f>
        <v/>
      </c>
      <c r="AW163" s="13" t="str">
        <f aca="false">IF(A163="","",W163)</f>
        <v/>
      </c>
      <c r="AX163" s="13" t="str">
        <f aca="false">IF(OR(T163="",P163=""),"",(1/Inputs!$B$9)*((T163/4)^(2/3))*SQRT(P163))</f>
        <v/>
      </c>
      <c r="AY163" s="13" t="str">
        <f aca="false">IF(A163="","",IF(AND(AW163="",AX163="",BA163=""),"",IF(OR(UPPER(TRIM(Inputs!$B$24))="MANNING",UPPER(TRIM(Inputs!$B$24))="M"),AX163,IF(OR(UPPER(TRIM(Inputs!$B$24))="PARTIAL",UPPER(TRIM(Inputs!$B$24))="P"),BA163,IF(OR(UPPER(TRIM(Inputs!$B$24))="MAX",UPPER(TRIM(Inputs!$B$24))="X"),MAX(IF(AW163="",0,AW163),IF(AX163="",0,AX163),IF(BA163="",0,BA163)),AW163)))))</f>
        <v/>
      </c>
      <c r="AZ163" s="13" t="str">
        <f aca="false">IF(BB163="","",CH163)</f>
        <v/>
      </c>
      <c r="BA163" s="13" t="str">
        <f aca="false">IF(OR(BB163="",AZ163="",T163="",T163&lt;=0,AZ163&lt;=0),"",BB163/((T163^2/8)*(2*ACOS(1-2*AZ163/T163)-SIN(2*ACOS(1-2*AZ163/T163)))))</f>
        <v/>
      </c>
      <c r="BB163" s="9" t="str">
        <f aca="false">IF(OR(N163="",BC163=""),"",MIN(N163,BC163))</f>
        <v/>
      </c>
      <c r="BC163" s="9" t="str">
        <f aca="false">IF(OR(N163="",T163="",P163=""),"",IF(OR(T163="",P163="",(0.94*T163)="",T163&lt;=0,(0.94*T163)&lt;=0),"",(1/Inputs!$B$9)*((T163^2/8)*((2*ACOS(1-2*(0.94*T163)/T163))-SIN((2*ACOS(1-2*(0.94*T163)/T163)))))*((((T163^2/8)*((2*ACOS(1-2*(0.94*T163)/T163))-SIN((2*ACOS(1-2*(0.94*T163)/T163)))))/((T163/2)*((2*ACOS(1-2*(0.94*T163)/T163)))))^(2/3))*SQRT(P163)))</f>
        <v/>
      </c>
      <c r="BD163" s="9" t="str">
        <f aca="false">IF(BB163="","",0.001*T163)</f>
        <v/>
      </c>
      <c r="BE163" s="9" t="str">
        <f aca="false">IF(BB163="","",0.94*T163)</f>
        <v/>
      </c>
      <c r="BF163" s="9" t="str">
        <f aca="false">IF(BB163="","",(BD163+BE163)/2)</f>
        <v/>
      </c>
      <c r="BG163" s="9" t="str">
        <f aca="false">IF(OR(T163="",P163="",BF163="",T163&lt;=0,BF163&lt;=0),"",(1/Inputs!$B$9)*((T163^2/8)*((2*ACOS(1-2*BF163/T163))-SIN((2*ACOS(1-2*BF163/T163)))))*((((T163^2/8)*((2*ACOS(1-2*BF163/T163))-SIN((2*ACOS(1-2*BF163/T163)))))/((T163/2)*((2*ACOS(1-2*BF163/T163)))))^(2/3))*SQRT(P163))</f>
        <v/>
      </c>
      <c r="BH163" s="9" t="str">
        <f aca="false">IF(BB163="","",IF(BG163&lt;BB163,BF163,BD163))</f>
        <v/>
      </c>
      <c r="BI163" s="9" t="str">
        <f aca="false">IF(BB163="","",IF(BG163&lt;BB163,BE163,BF163))</f>
        <v/>
      </c>
      <c r="BJ163" s="9" t="str">
        <f aca="false">IF(BB163="","",(BH163+BI163)/2)</f>
        <v/>
      </c>
      <c r="BK163" s="9" t="str">
        <f aca="false">IF(OR(T163="",P163="",BJ163="",T163&lt;=0,BJ163&lt;=0),"",(1/Inputs!$B$9)*((T163^2/8)*((2*ACOS(1-2*BJ163/T163))-SIN((2*ACOS(1-2*BJ163/T163)))))*((((T163^2/8)*((2*ACOS(1-2*BJ163/T163))-SIN((2*ACOS(1-2*BJ163/T163)))))/((T163/2)*((2*ACOS(1-2*BJ163/T163)))))^(2/3))*SQRT(P163))</f>
        <v/>
      </c>
      <c r="BL163" s="9" t="str">
        <f aca="false">IF(BB163="","",IF(BK163&lt;BB163,BJ163,BH163))</f>
        <v/>
      </c>
      <c r="BM163" s="9" t="str">
        <f aca="false">IF(BB163="","",IF(BK163&lt;BB163,BI163,BJ163))</f>
        <v/>
      </c>
      <c r="BN163" s="9" t="str">
        <f aca="false">IF(BB163="","",(BL163+BM163)/2)</f>
        <v/>
      </c>
      <c r="BO163" s="9" t="str">
        <f aca="false">IF(OR(T163="",P163="",BN163="",T163&lt;=0,BN163&lt;=0),"",(1/Inputs!$B$9)*((T163^2/8)*((2*ACOS(1-2*BN163/T163))-SIN((2*ACOS(1-2*BN163/T163)))))*((((T163^2/8)*((2*ACOS(1-2*BN163/T163))-SIN((2*ACOS(1-2*BN163/T163)))))/((T163/2)*((2*ACOS(1-2*BN163/T163)))))^(2/3))*SQRT(P163))</f>
        <v/>
      </c>
      <c r="BP163" s="9" t="str">
        <f aca="false">IF(BB163="","",IF(BO163&lt;BB163,BN163,BL163))</f>
        <v/>
      </c>
      <c r="BQ163" s="9" t="str">
        <f aca="false">IF(BB163="","",IF(BO163&lt;BB163,BM163,BN163))</f>
        <v/>
      </c>
      <c r="BR163" s="9" t="str">
        <f aca="false">IF(BB163="","",(BP163+BQ163)/2)</f>
        <v/>
      </c>
      <c r="BS163" s="9" t="str">
        <f aca="false">IF(OR(T163="",P163="",BR163="",T163&lt;=0,BR163&lt;=0),"",(1/Inputs!$B$9)*((T163^2/8)*((2*ACOS(1-2*BR163/T163))-SIN((2*ACOS(1-2*BR163/T163)))))*((((T163^2/8)*((2*ACOS(1-2*BR163/T163))-SIN((2*ACOS(1-2*BR163/T163)))))/((T163/2)*((2*ACOS(1-2*BR163/T163)))))^(2/3))*SQRT(P163))</f>
        <v/>
      </c>
      <c r="BT163" s="9" t="str">
        <f aca="false">IF(BB163="","",IF(BS163&lt;BB163,BR163,BP163))</f>
        <v/>
      </c>
      <c r="BU163" s="9" t="str">
        <f aca="false">IF(BB163="","",IF(BS163&lt;BB163,BQ163,BR163))</f>
        <v/>
      </c>
      <c r="BV163" s="9" t="str">
        <f aca="false">IF(BB163="","",(BT163+BU163)/2)</f>
        <v/>
      </c>
      <c r="BW163" s="9" t="str">
        <f aca="false">IF(OR(T163="",P163="",BV163="",T163&lt;=0,BV163&lt;=0),"",(1/Inputs!$B$9)*((T163^2/8)*((2*ACOS(1-2*BV163/T163))-SIN((2*ACOS(1-2*BV163/T163)))))*((((T163^2/8)*((2*ACOS(1-2*BV163/T163))-SIN((2*ACOS(1-2*BV163/T163)))))/((T163/2)*((2*ACOS(1-2*BV163/T163)))))^(2/3))*SQRT(P163))</f>
        <v/>
      </c>
      <c r="BX163" s="9" t="str">
        <f aca="false">IF(BB163="","",IF(BW163&lt;BB163,BV163,BT163))</f>
        <v/>
      </c>
      <c r="BY163" s="9" t="str">
        <f aca="false">IF(BB163="","",IF(BW163&lt;BB163,BU163,BV163))</f>
        <v/>
      </c>
      <c r="BZ163" s="9" t="str">
        <f aca="false">IF(BB163="","",(BX163+BY163)/2)</f>
        <v/>
      </c>
      <c r="CA163" s="9" t="str">
        <f aca="false">IF(OR(T163="",P163="",BZ163="",T163&lt;=0,BZ163&lt;=0),"",(1/Inputs!$B$9)*((T163^2/8)*((2*ACOS(1-2*BZ163/T163))-SIN((2*ACOS(1-2*BZ163/T163)))))*((((T163^2/8)*((2*ACOS(1-2*BZ163/T163))-SIN((2*ACOS(1-2*BZ163/T163)))))/((T163/2)*((2*ACOS(1-2*BZ163/T163)))))^(2/3))*SQRT(P163))</f>
        <v/>
      </c>
      <c r="CB163" s="9" t="str">
        <f aca="false">IF(BB163="","",IF(CA163&lt;BB163,BZ163,BX163))</f>
        <v/>
      </c>
      <c r="CC163" s="9" t="str">
        <f aca="false">IF(BB163="","",IF(CA163&lt;BB163,BY163,BZ163))</f>
        <v/>
      </c>
      <c r="CD163" s="9" t="str">
        <f aca="false">IF(BB163="","",(CB163+CC163)/2)</f>
        <v/>
      </c>
      <c r="CE163" s="9" t="str">
        <f aca="false">IF(OR(T163="",P163="",CD163="",T163&lt;=0,CD163&lt;=0),"",(1/Inputs!$B$9)*((T163^2/8)*((2*ACOS(1-2*CD163/T163))-SIN((2*ACOS(1-2*CD163/T163)))))*((((T163^2/8)*((2*ACOS(1-2*CD163/T163))-SIN((2*ACOS(1-2*CD163/T163)))))/((T163/2)*((2*ACOS(1-2*CD163/T163)))))^(2/3))*SQRT(P163))</f>
        <v/>
      </c>
      <c r="CF163" s="9" t="str">
        <f aca="false">IF(BB163="","",IF(CE163&lt;BB163,CD163,CB163))</f>
        <v/>
      </c>
      <c r="CG163" s="9" t="str">
        <f aca="false">IF(BB163="","",IF(CE163&lt;BB163,CC163,CD163))</f>
        <v/>
      </c>
      <c r="CH163" s="9" t="str">
        <f aca="false">IF(BB163="","",(CF163+CG163)/2)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14"/>
      <c r="F164" s="14"/>
      <c r="G164" s="14" t="n">
        <f aca="false">SUMIFS(CB_plan!$C:$C,CB_plan!$B:$B,$A164)</f>
        <v>0</v>
      </c>
      <c r="H164" s="14" t="n">
        <f aca="false">IF(F164="",G164,F164)</f>
        <v>0</v>
      </c>
      <c r="I164" s="9"/>
      <c r="J164" s="14"/>
      <c r="K164" s="14" t="str">
        <f aca="false">IF(A164="","",Inputs!$B$13/((IF(AV164="",Inputs!$B$18,AV164)+Inputs!$B$14)^Inputs!$B$15))</f>
        <v/>
      </c>
      <c r="L164" s="14" t="str">
        <f aca="false">IF(A164="","",0.000000278*IF(I164="",Inputs!$B$17,I164)*H164*K164)</f>
        <v/>
      </c>
      <c r="M164" s="14" t="str">
        <f aca="false">IF(A164="","",SUMIFS($N$4:$N$203,$D$4:$D$203,$A164))</f>
        <v/>
      </c>
      <c r="N164" s="14" t="str">
        <f aca="false">IF(A164="","",(L164+M164)*Inputs!$B$16)</f>
        <v/>
      </c>
      <c r="O164" s="14"/>
      <c r="P164" s="14" t="str">
        <f aca="false">IF(A164="","",IF(O164="",Inputs!$B$7,O164))</f>
        <v/>
      </c>
      <c r="Q164" s="9" t="str">
        <f aca="false">IF(A164="","",IF(N164/Inputs!$B$10&lt;=AG164,Inputs!$F$5,IF(N164/Inputs!$B$10&gt;AP164,"OVERSIZE",INDEX(Inputs!$F$5:$F$14,MATCH(N164/Inputs!$B$10,AG164:AP164,1)+1))))</f>
        <v/>
      </c>
      <c r="R164" s="9"/>
      <c r="S164" s="9" t="str">
        <f aca="false">IF(A164="","",IF(R164="",Q164,R164))</f>
        <v/>
      </c>
      <c r="T164" s="14" t="str">
        <f aca="false">IF(OR(S164="",S164="OVERSIZE"),"",S164/1000)</f>
        <v/>
      </c>
      <c r="U164" s="14" t="str">
        <f aca="false">IF(T164="","",(1/Inputs!$B$9)*(PI()*T164^2/4)*((T164/4)^(2/3))*SQRT(P164))</f>
        <v/>
      </c>
      <c r="V164" s="14" t="str">
        <f aca="false">IF(OR(U164="",N164=""),"",N164/(U164*Inputs!$B$10))</f>
        <v/>
      </c>
      <c r="W164" s="14" t="str">
        <f aca="false">IF(OR(T164="",N164=""),"",4*N164/(PI()*T164^2))</f>
        <v/>
      </c>
      <c r="X164" s="14"/>
      <c r="Y164" s="14" t="str">
        <f aca="false">IF(A164="","",IF(A164=Inputs!$B$6,Inputs!$B$22,IF(D164="","",IFERROR(INDEX($Z$4:$Z$203,MATCH(D164,$A$4:$A$203,0))+IF(X164="",Inputs!$B$20,X164),""))))</f>
        <v/>
      </c>
      <c r="Z164" s="14" t="str">
        <f aca="false">IF(OR(Y164="",P164="",E164=""),"",Y164+P164*E164)</f>
        <v/>
      </c>
      <c r="AA164" s="14" t="str">
        <f aca="false">IF(C164="","",IFERROR(INDEX(Noeuds_plan!$C$4:$C$200,MATCH(C164,Noeuds_plan!$A$4:$A$200,0)),""))</f>
        <v/>
      </c>
      <c r="AB164" s="14" t="str">
        <f aca="false">IF(B164="","",IFERROR(INDEX(Noeuds_plan!$C$4:$C$200,MATCH(B164,Noeuds_plan!$A$4:$A$200,0)),""))</f>
        <v/>
      </c>
      <c r="AC164" s="14" t="str">
        <f aca="false">IF(OR(AA164="",Y164=""),"",AA164-Y164)</f>
        <v/>
      </c>
      <c r="AD164" s="14" t="str">
        <f aca="false">IF(OR(AB164="",Z164=""),"",AB164-Z164)</f>
        <v/>
      </c>
      <c r="AE164" s="19" t="str">
        <f aca="false">IF(A164="","",IF(OR(V164&gt;1,AND(AY164&lt;&gt;"",AY164&lt;Inputs!$B$11),AND(AY164&lt;&gt;"",AY164&gt;Inputs!$B$12),AC164&lt;Inputs!$B$19,AD164&lt;Inputs!$B$19,P164&lt;Inputs!$B$7,P164&gt;Inputs!$B$8),"CHECK","OK"))</f>
        <v/>
      </c>
      <c r="AF164" s="9"/>
      <c r="AG164" s="9" t="str">
        <f aca="false">IF(A164="","",(1/Inputs!$B$9)*(PI()*(Inputs!$F$5/1000)^2/4)*((Inputs!$F$5/1000/4)^(2/3))*SQRT(P164))</f>
        <v/>
      </c>
      <c r="AH164" s="9" t="str">
        <f aca="false">IF(A164="","",(1/Inputs!$B$9)*(PI()*(Inputs!$F$6/1000)^2/4)*((Inputs!$F$6/1000/4)^(2/3))*SQRT(P164))</f>
        <v/>
      </c>
      <c r="AI164" s="9" t="str">
        <f aca="false">IF(A164="","",(1/Inputs!$B$9)*(PI()*(Inputs!$F$7/1000)^2/4)*((Inputs!$F$7/1000/4)^(2/3))*SQRT(P164))</f>
        <v/>
      </c>
      <c r="AJ164" s="9" t="str">
        <f aca="false">IF(A164="","",(1/Inputs!$B$9)*(PI()*(Inputs!$F$8/1000)^2/4)*((Inputs!$F$8/1000/4)^(2/3))*SQRT(P164))</f>
        <v/>
      </c>
      <c r="AK164" s="9" t="str">
        <f aca="false">IF(A164="","",(1/Inputs!$B$9)*(PI()*(Inputs!$F$9/1000)^2/4)*((Inputs!$F$9/1000/4)^(2/3))*SQRT(P164))</f>
        <v/>
      </c>
      <c r="AL164" s="9" t="str">
        <f aca="false">IF(A164="","",(1/Inputs!$B$9)*(PI()*(Inputs!$F$10/1000)^2/4)*((Inputs!$F$10/1000/4)^(2/3))*SQRT(P164))</f>
        <v/>
      </c>
      <c r="AM164" s="9" t="str">
        <f aca="false">IF(A164="","",(1/Inputs!$B$9)*(PI()*(Inputs!$F$11/1000)^2/4)*((Inputs!$F$11/1000/4)^(2/3))*SQRT(P164))</f>
        <v/>
      </c>
      <c r="AN164" s="9" t="str">
        <f aca="false">IF(A164="","",(1/Inputs!$B$9)*(PI()*(Inputs!$F$12/1000)^2/4)*((Inputs!$F$12/1000/4)^(2/3))*SQRT(P164))</f>
        <v/>
      </c>
      <c r="AO164" s="9" t="str">
        <f aca="false">IF(A164="","",(1/Inputs!$B$9)*(PI()*(Inputs!$F$13/1000)^2/4)*((Inputs!$F$13/1000/4)^(2/3))*SQRT(P164))</f>
        <v/>
      </c>
      <c r="AP164" s="9" t="str">
        <f aca="false">IF(A164="","",(1/Inputs!$B$9)*(PI()*(Inputs!$F$14/1000)^2/4)*((Inputs!$F$14/1000/4)^(2/3))*SQRT(P164))</f>
        <v/>
      </c>
      <c r="AQ164" s="9" t="str">
        <f aca="false">IF(A164="","",COUNTIF($D$4:$D$203,$A164))</f>
        <v/>
      </c>
      <c r="AR164" s="9" t="str">
        <f aca="false">IF(A164="","",IF(AQ164=0,"START","CONTINUOUS"))</f>
        <v/>
      </c>
      <c r="AS164" s="13" t="str">
        <f aca="false">IF(A164="","",IF(J164="",Inputs!$B$18,J164))</f>
        <v/>
      </c>
      <c r="AT164" s="13" t="str">
        <f aca="false">IF(A164="","",IFERROR(maxifs($AV$4:$AV$203,$D$4:$D$203,$A164),""))</f>
        <v/>
      </c>
      <c r="AU164" s="13" t="str">
        <f aca="false">IF(A164="","",IF(OR(E164="",Inputs!$B$23=""),"",E164/(Inputs!$B$23*60)))</f>
        <v/>
      </c>
      <c r="AV164" s="13" t="str">
        <f aca="false">IF(A164="","",IF(AQ164=0,AS164+AU164,IF(AT164="",AS164+AU164,AT164+AU164)))</f>
        <v/>
      </c>
      <c r="AW164" s="13" t="str">
        <f aca="false">IF(A164="","",W164)</f>
        <v/>
      </c>
      <c r="AX164" s="13" t="str">
        <f aca="false">IF(OR(T164="",P164=""),"",(1/Inputs!$B$9)*((T164/4)^(2/3))*SQRT(P164))</f>
        <v/>
      </c>
      <c r="AY164" s="13" t="str">
        <f aca="false">IF(A164="","",IF(AND(AW164="",AX164="",BA164=""),"",IF(OR(UPPER(TRIM(Inputs!$B$24))="MANNING",UPPER(TRIM(Inputs!$B$24))="M"),AX164,IF(OR(UPPER(TRIM(Inputs!$B$24))="PARTIAL",UPPER(TRIM(Inputs!$B$24))="P"),BA164,IF(OR(UPPER(TRIM(Inputs!$B$24))="MAX",UPPER(TRIM(Inputs!$B$24))="X"),MAX(IF(AW164="",0,AW164),IF(AX164="",0,AX164),IF(BA164="",0,BA164)),AW164)))))</f>
        <v/>
      </c>
      <c r="AZ164" s="13" t="str">
        <f aca="false">IF(BB164="","",CH164)</f>
        <v/>
      </c>
      <c r="BA164" s="13" t="str">
        <f aca="false">IF(OR(BB164="",AZ164="",T164="",T164&lt;=0,AZ164&lt;=0),"",BB164/((T164^2/8)*(2*ACOS(1-2*AZ164/T164)-SIN(2*ACOS(1-2*AZ164/T164)))))</f>
        <v/>
      </c>
      <c r="BB164" s="9" t="str">
        <f aca="false">IF(OR(N164="",BC164=""),"",MIN(N164,BC164))</f>
        <v/>
      </c>
      <c r="BC164" s="9" t="str">
        <f aca="false">IF(OR(N164="",T164="",P164=""),"",IF(OR(T164="",P164="",(0.94*T164)="",T164&lt;=0,(0.94*T164)&lt;=0),"",(1/Inputs!$B$9)*((T164^2/8)*((2*ACOS(1-2*(0.94*T164)/T164))-SIN((2*ACOS(1-2*(0.94*T164)/T164)))))*((((T164^2/8)*((2*ACOS(1-2*(0.94*T164)/T164))-SIN((2*ACOS(1-2*(0.94*T164)/T164)))))/((T164/2)*((2*ACOS(1-2*(0.94*T164)/T164)))))^(2/3))*SQRT(P164)))</f>
        <v/>
      </c>
      <c r="BD164" s="9" t="str">
        <f aca="false">IF(BB164="","",0.001*T164)</f>
        <v/>
      </c>
      <c r="BE164" s="9" t="str">
        <f aca="false">IF(BB164="","",0.94*T164)</f>
        <v/>
      </c>
      <c r="BF164" s="9" t="str">
        <f aca="false">IF(BB164="","",(BD164+BE164)/2)</f>
        <v/>
      </c>
      <c r="BG164" s="9" t="str">
        <f aca="false">IF(OR(T164="",P164="",BF164="",T164&lt;=0,BF164&lt;=0),"",(1/Inputs!$B$9)*((T164^2/8)*((2*ACOS(1-2*BF164/T164))-SIN((2*ACOS(1-2*BF164/T164)))))*((((T164^2/8)*((2*ACOS(1-2*BF164/T164))-SIN((2*ACOS(1-2*BF164/T164)))))/((T164/2)*((2*ACOS(1-2*BF164/T164)))))^(2/3))*SQRT(P164))</f>
        <v/>
      </c>
      <c r="BH164" s="9" t="str">
        <f aca="false">IF(BB164="","",IF(BG164&lt;BB164,BF164,BD164))</f>
        <v/>
      </c>
      <c r="BI164" s="9" t="str">
        <f aca="false">IF(BB164="","",IF(BG164&lt;BB164,BE164,BF164))</f>
        <v/>
      </c>
      <c r="BJ164" s="9" t="str">
        <f aca="false">IF(BB164="","",(BH164+BI164)/2)</f>
        <v/>
      </c>
      <c r="BK164" s="9" t="str">
        <f aca="false">IF(OR(T164="",P164="",BJ164="",T164&lt;=0,BJ164&lt;=0),"",(1/Inputs!$B$9)*((T164^2/8)*((2*ACOS(1-2*BJ164/T164))-SIN((2*ACOS(1-2*BJ164/T164)))))*((((T164^2/8)*((2*ACOS(1-2*BJ164/T164))-SIN((2*ACOS(1-2*BJ164/T164)))))/((T164/2)*((2*ACOS(1-2*BJ164/T164)))))^(2/3))*SQRT(P164))</f>
        <v/>
      </c>
      <c r="BL164" s="9" t="str">
        <f aca="false">IF(BB164="","",IF(BK164&lt;BB164,BJ164,BH164))</f>
        <v/>
      </c>
      <c r="BM164" s="9" t="str">
        <f aca="false">IF(BB164="","",IF(BK164&lt;BB164,BI164,BJ164))</f>
        <v/>
      </c>
      <c r="BN164" s="9" t="str">
        <f aca="false">IF(BB164="","",(BL164+BM164)/2)</f>
        <v/>
      </c>
      <c r="BO164" s="9" t="str">
        <f aca="false">IF(OR(T164="",P164="",BN164="",T164&lt;=0,BN164&lt;=0),"",(1/Inputs!$B$9)*((T164^2/8)*((2*ACOS(1-2*BN164/T164))-SIN((2*ACOS(1-2*BN164/T164)))))*((((T164^2/8)*((2*ACOS(1-2*BN164/T164))-SIN((2*ACOS(1-2*BN164/T164)))))/((T164/2)*((2*ACOS(1-2*BN164/T164)))))^(2/3))*SQRT(P164))</f>
        <v/>
      </c>
      <c r="BP164" s="9" t="str">
        <f aca="false">IF(BB164="","",IF(BO164&lt;BB164,BN164,BL164))</f>
        <v/>
      </c>
      <c r="BQ164" s="9" t="str">
        <f aca="false">IF(BB164="","",IF(BO164&lt;BB164,BM164,BN164))</f>
        <v/>
      </c>
      <c r="BR164" s="9" t="str">
        <f aca="false">IF(BB164="","",(BP164+BQ164)/2)</f>
        <v/>
      </c>
      <c r="BS164" s="9" t="str">
        <f aca="false">IF(OR(T164="",P164="",BR164="",T164&lt;=0,BR164&lt;=0),"",(1/Inputs!$B$9)*((T164^2/8)*((2*ACOS(1-2*BR164/T164))-SIN((2*ACOS(1-2*BR164/T164)))))*((((T164^2/8)*((2*ACOS(1-2*BR164/T164))-SIN((2*ACOS(1-2*BR164/T164)))))/((T164/2)*((2*ACOS(1-2*BR164/T164)))))^(2/3))*SQRT(P164))</f>
        <v/>
      </c>
      <c r="BT164" s="9" t="str">
        <f aca="false">IF(BB164="","",IF(BS164&lt;BB164,BR164,BP164))</f>
        <v/>
      </c>
      <c r="BU164" s="9" t="str">
        <f aca="false">IF(BB164="","",IF(BS164&lt;BB164,BQ164,BR164))</f>
        <v/>
      </c>
      <c r="BV164" s="9" t="str">
        <f aca="false">IF(BB164="","",(BT164+BU164)/2)</f>
        <v/>
      </c>
      <c r="BW164" s="9" t="str">
        <f aca="false">IF(OR(T164="",P164="",BV164="",T164&lt;=0,BV164&lt;=0),"",(1/Inputs!$B$9)*((T164^2/8)*((2*ACOS(1-2*BV164/T164))-SIN((2*ACOS(1-2*BV164/T164)))))*((((T164^2/8)*((2*ACOS(1-2*BV164/T164))-SIN((2*ACOS(1-2*BV164/T164)))))/((T164/2)*((2*ACOS(1-2*BV164/T164)))))^(2/3))*SQRT(P164))</f>
        <v/>
      </c>
      <c r="BX164" s="9" t="str">
        <f aca="false">IF(BB164="","",IF(BW164&lt;BB164,BV164,BT164))</f>
        <v/>
      </c>
      <c r="BY164" s="9" t="str">
        <f aca="false">IF(BB164="","",IF(BW164&lt;BB164,BU164,BV164))</f>
        <v/>
      </c>
      <c r="BZ164" s="9" t="str">
        <f aca="false">IF(BB164="","",(BX164+BY164)/2)</f>
        <v/>
      </c>
      <c r="CA164" s="9" t="str">
        <f aca="false">IF(OR(T164="",P164="",BZ164="",T164&lt;=0,BZ164&lt;=0),"",(1/Inputs!$B$9)*((T164^2/8)*((2*ACOS(1-2*BZ164/T164))-SIN((2*ACOS(1-2*BZ164/T164)))))*((((T164^2/8)*((2*ACOS(1-2*BZ164/T164))-SIN((2*ACOS(1-2*BZ164/T164)))))/((T164/2)*((2*ACOS(1-2*BZ164/T164)))))^(2/3))*SQRT(P164))</f>
        <v/>
      </c>
      <c r="CB164" s="9" t="str">
        <f aca="false">IF(BB164="","",IF(CA164&lt;BB164,BZ164,BX164))</f>
        <v/>
      </c>
      <c r="CC164" s="9" t="str">
        <f aca="false">IF(BB164="","",IF(CA164&lt;BB164,BY164,BZ164))</f>
        <v/>
      </c>
      <c r="CD164" s="9" t="str">
        <f aca="false">IF(BB164="","",(CB164+CC164)/2)</f>
        <v/>
      </c>
      <c r="CE164" s="9" t="str">
        <f aca="false">IF(OR(T164="",P164="",CD164="",T164&lt;=0,CD164&lt;=0),"",(1/Inputs!$B$9)*((T164^2/8)*((2*ACOS(1-2*CD164/T164))-SIN((2*ACOS(1-2*CD164/T164)))))*((((T164^2/8)*((2*ACOS(1-2*CD164/T164))-SIN((2*ACOS(1-2*CD164/T164)))))/((T164/2)*((2*ACOS(1-2*CD164/T164)))))^(2/3))*SQRT(P164))</f>
        <v/>
      </c>
      <c r="CF164" s="9" t="str">
        <f aca="false">IF(BB164="","",IF(CE164&lt;BB164,CD164,CB164))</f>
        <v/>
      </c>
      <c r="CG164" s="9" t="str">
        <f aca="false">IF(BB164="","",IF(CE164&lt;BB164,CC164,CD164))</f>
        <v/>
      </c>
      <c r="CH164" s="9" t="str">
        <f aca="false">IF(BB164="","",(CF164+CG164)/2)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14"/>
      <c r="F165" s="14"/>
      <c r="G165" s="14" t="n">
        <f aca="false">SUMIFS(CB_plan!$C:$C,CB_plan!$B:$B,$A165)</f>
        <v>0</v>
      </c>
      <c r="H165" s="14" t="n">
        <f aca="false">IF(F165="",G165,F165)</f>
        <v>0</v>
      </c>
      <c r="I165" s="9"/>
      <c r="J165" s="14"/>
      <c r="K165" s="14" t="str">
        <f aca="false">IF(A165="","",Inputs!$B$13/((IF(AV165="",Inputs!$B$18,AV165)+Inputs!$B$14)^Inputs!$B$15))</f>
        <v/>
      </c>
      <c r="L165" s="14" t="str">
        <f aca="false">IF(A165="","",0.000000278*IF(I165="",Inputs!$B$17,I165)*H165*K165)</f>
        <v/>
      </c>
      <c r="M165" s="14" t="str">
        <f aca="false">IF(A165="","",SUMIFS($N$4:$N$203,$D$4:$D$203,$A165))</f>
        <v/>
      </c>
      <c r="N165" s="14" t="str">
        <f aca="false">IF(A165="","",(L165+M165)*Inputs!$B$16)</f>
        <v/>
      </c>
      <c r="O165" s="14"/>
      <c r="P165" s="14" t="str">
        <f aca="false">IF(A165="","",IF(O165="",Inputs!$B$7,O165))</f>
        <v/>
      </c>
      <c r="Q165" s="9" t="str">
        <f aca="false">IF(A165="","",IF(N165/Inputs!$B$10&lt;=AG165,Inputs!$F$5,IF(N165/Inputs!$B$10&gt;AP165,"OVERSIZE",INDEX(Inputs!$F$5:$F$14,MATCH(N165/Inputs!$B$10,AG165:AP165,1)+1))))</f>
        <v/>
      </c>
      <c r="R165" s="9"/>
      <c r="S165" s="9" t="str">
        <f aca="false">IF(A165="","",IF(R165="",Q165,R165))</f>
        <v/>
      </c>
      <c r="T165" s="14" t="str">
        <f aca="false">IF(OR(S165="",S165="OVERSIZE"),"",S165/1000)</f>
        <v/>
      </c>
      <c r="U165" s="14" t="str">
        <f aca="false">IF(T165="","",(1/Inputs!$B$9)*(PI()*T165^2/4)*((T165/4)^(2/3))*SQRT(P165))</f>
        <v/>
      </c>
      <c r="V165" s="14" t="str">
        <f aca="false">IF(OR(U165="",N165=""),"",N165/(U165*Inputs!$B$10))</f>
        <v/>
      </c>
      <c r="W165" s="14" t="str">
        <f aca="false">IF(OR(T165="",N165=""),"",4*N165/(PI()*T165^2))</f>
        <v/>
      </c>
      <c r="X165" s="14"/>
      <c r="Y165" s="14" t="str">
        <f aca="false">IF(A165="","",IF(A165=Inputs!$B$6,Inputs!$B$22,IF(D165="","",IFERROR(INDEX($Z$4:$Z$203,MATCH(D165,$A$4:$A$203,0))+IF(X165="",Inputs!$B$20,X165),""))))</f>
        <v/>
      </c>
      <c r="Z165" s="14" t="str">
        <f aca="false">IF(OR(Y165="",P165="",E165=""),"",Y165+P165*E165)</f>
        <v/>
      </c>
      <c r="AA165" s="14" t="str">
        <f aca="false">IF(C165="","",IFERROR(INDEX(Noeuds_plan!$C$4:$C$200,MATCH(C165,Noeuds_plan!$A$4:$A$200,0)),""))</f>
        <v/>
      </c>
      <c r="AB165" s="14" t="str">
        <f aca="false">IF(B165="","",IFERROR(INDEX(Noeuds_plan!$C$4:$C$200,MATCH(B165,Noeuds_plan!$A$4:$A$200,0)),""))</f>
        <v/>
      </c>
      <c r="AC165" s="14" t="str">
        <f aca="false">IF(OR(AA165="",Y165=""),"",AA165-Y165)</f>
        <v/>
      </c>
      <c r="AD165" s="14" t="str">
        <f aca="false">IF(OR(AB165="",Z165=""),"",AB165-Z165)</f>
        <v/>
      </c>
      <c r="AE165" s="19" t="str">
        <f aca="false">IF(A165="","",IF(OR(V165&gt;1,AND(AY165&lt;&gt;"",AY165&lt;Inputs!$B$11),AND(AY165&lt;&gt;"",AY165&gt;Inputs!$B$12),AC165&lt;Inputs!$B$19,AD165&lt;Inputs!$B$19,P165&lt;Inputs!$B$7,P165&gt;Inputs!$B$8),"CHECK","OK"))</f>
        <v/>
      </c>
      <c r="AF165" s="9"/>
      <c r="AG165" s="9" t="str">
        <f aca="false">IF(A165="","",(1/Inputs!$B$9)*(PI()*(Inputs!$F$5/1000)^2/4)*((Inputs!$F$5/1000/4)^(2/3))*SQRT(P165))</f>
        <v/>
      </c>
      <c r="AH165" s="9" t="str">
        <f aca="false">IF(A165="","",(1/Inputs!$B$9)*(PI()*(Inputs!$F$6/1000)^2/4)*((Inputs!$F$6/1000/4)^(2/3))*SQRT(P165))</f>
        <v/>
      </c>
      <c r="AI165" s="9" t="str">
        <f aca="false">IF(A165="","",(1/Inputs!$B$9)*(PI()*(Inputs!$F$7/1000)^2/4)*((Inputs!$F$7/1000/4)^(2/3))*SQRT(P165))</f>
        <v/>
      </c>
      <c r="AJ165" s="9" t="str">
        <f aca="false">IF(A165="","",(1/Inputs!$B$9)*(PI()*(Inputs!$F$8/1000)^2/4)*((Inputs!$F$8/1000/4)^(2/3))*SQRT(P165))</f>
        <v/>
      </c>
      <c r="AK165" s="9" t="str">
        <f aca="false">IF(A165="","",(1/Inputs!$B$9)*(PI()*(Inputs!$F$9/1000)^2/4)*((Inputs!$F$9/1000/4)^(2/3))*SQRT(P165))</f>
        <v/>
      </c>
      <c r="AL165" s="9" t="str">
        <f aca="false">IF(A165="","",(1/Inputs!$B$9)*(PI()*(Inputs!$F$10/1000)^2/4)*((Inputs!$F$10/1000/4)^(2/3))*SQRT(P165))</f>
        <v/>
      </c>
      <c r="AM165" s="9" t="str">
        <f aca="false">IF(A165="","",(1/Inputs!$B$9)*(PI()*(Inputs!$F$11/1000)^2/4)*((Inputs!$F$11/1000/4)^(2/3))*SQRT(P165))</f>
        <v/>
      </c>
      <c r="AN165" s="9" t="str">
        <f aca="false">IF(A165="","",(1/Inputs!$B$9)*(PI()*(Inputs!$F$12/1000)^2/4)*((Inputs!$F$12/1000/4)^(2/3))*SQRT(P165))</f>
        <v/>
      </c>
      <c r="AO165" s="9" t="str">
        <f aca="false">IF(A165="","",(1/Inputs!$B$9)*(PI()*(Inputs!$F$13/1000)^2/4)*((Inputs!$F$13/1000/4)^(2/3))*SQRT(P165))</f>
        <v/>
      </c>
      <c r="AP165" s="9" t="str">
        <f aca="false">IF(A165="","",(1/Inputs!$B$9)*(PI()*(Inputs!$F$14/1000)^2/4)*((Inputs!$F$14/1000/4)^(2/3))*SQRT(P165))</f>
        <v/>
      </c>
      <c r="AQ165" s="9" t="str">
        <f aca="false">IF(A165="","",COUNTIF($D$4:$D$203,$A165))</f>
        <v/>
      </c>
      <c r="AR165" s="9" t="str">
        <f aca="false">IF(A165="","",IF(AQ165=0,"START","CONTINUOUS"))</f>
        <v/>
      </c>
      <c r="AS165" s="13" t="str">
        <f aca="false">IF(A165="","",IF(J165="",Inputs!$B$18,J165))</f>
        <v/>
      </c>
      <c r="AT165" s="13" t="str">
        <f aca="false">IF(A165="","",IFERROR(maxifs($AV$4:$AV$203,$D$4:$D$203,$A165),""))</f>
        <v/>
      </c>
      <c r="AU165" s="13" t="str">
        <f aca="false">IF(A165="","",IF(OR(E165="",Inputs!$B$23=""),"",E165/(Inputs!$B$23*60)))</f>
        <v/>
      </c>
      <c r="AV165" s="13" t="str">
        <f aca="false">IF(A165="","",IF(AQ165=0,AS165+AU165,IF(AT165="",AS165+AU165,AT165+AU165)))</f>
        <v/>
      </c>
      <c r="AW165" s="13" t="str">
        <f aca="false">IF(A165="","",W165)</f>
        <v/>
      </c>
      <c r="AX165" s="13" t="str">
        <f aca="false">IF(OR(T165="",P165=""),"",(1/Inputs!$B$9)*((T165/4)^(2/3))*SQRT(P165))</f>
        <v/>
      </c>
      <c r="AY165" s="13" t="str">
        <f aca="false">IF(A165="","",IF(AND(AW165="",AX165="",BA165=""),"",IF(OR(UPPER(TRIM(Inputs!$B$24))="MANNING",UPPER(TRIM(Inputs!$B$24))="M"),AX165,IF(OR(UPPER(TRIM(Inputs!$B$24))="PARTIAL",UPPER(TRIM(Inputs!$B$24))="P"),BA165,IF(OR(UPPER(TRIM(Inputs!$B$24))="MAX",UPPER(TRIM(Inputs!$B$24))="X"),MAX(IF(AW165="",0,AW165),IF(AX165="",0,AX165),IF(BA165="",0,BA165)),AW165)))))</f>
        <v/>
      </c>
      <c r="AZ165" s="13" t="str">
        <f aca="false">IF(BB165="","",CH165)</f>
        <v/>
      </c>
      <c r="BA165" s="13" t="str">
        <f aca="false">IF(OR(BB165="",AZ165="",T165="",T165&lt;=0,AZ165&lt;=0),"",BB165/((T165^2/8)*(2*ACOS(1-2*AZ165/T165)-SIN(2*ACOS(1-2*AZ165/T165)))))</f>
        <v/>
      </c>
      <c r="BB165" s="9" t="str">
        <f aca="false">IF(OR(N165="",BC165=""),"",MIN(N165,BC165))</f>
        <v/>
      </c>
      <c r="BC165" s="9" t="str">
        <f aca="false">IF(OR(N165="",T165="",P165=""),"",IF(OR(T165="",P165="",(0.94*T165)="",T165&lt;=0,(0.94*T165)&lt;=0),"",(1/Inputs!$B$9)*((T165^2/8)*((2*ACOS(1-2*(0.94*T165)/T165))-SIN((2*ACOS(1-2*(0.94*T165)/T165)))))*((((T165^2/8)*((2*ACOS(1-2*(0.94*T165)/T165))-SIN((2*ACOS(1-2*(0.94*T165)/T165)))))/((T165/2)*((2*ACOS(1-2*(0.94*T165)/T165)))))^(2/3))*SQRT(P165)))</f>
        <v/>
      </c>
      <c r="BD165" s="9" t="str">
        <f aca="false">IF(BB165="","",0.001*T165)</f>
        <v/>
      </c>
      <c r="BE165" s="9" t="str">
        <f aca="false">IF(BB165="","",0.94*T165)</f>
        <v/>
      </c>
      <c r="BF165" s="9" t="str">
        <f aca="false">IF(BB165="","",(BD165+BE165)/2)</f>
        <v/>
      </c>
      <c r="BG165" s="9" t="str">
        <f aca="false">IF(OR(T165="",P165="",BF165="",T165&lt;=0,BF165&lt;=0),"",(1/Inputs!$B$9)*((T165^2/8)*((2*ACOS(1-2*BF165/T165))-SIN((2*ACOS(1-2*BF165/T165)))))*((((T165^2/8)*((2*ACOS(1-2*BF165/T165))-SIN((2*ACOS(1-2*BF165/T165)))))/((T165/2)*((2*ACOS(1-2*BF165/T165)))))^(2/3))*SQRT(P165))</f>
        <v/>
      </c>
      <c r="BH165" s="9" t="str">
        <f aca="false">IF(BB165="","",IF(BG165&lt;BB165,BF165,BD165))</f>
        <v/>
      </c>
      <c r="BI165" s="9" t="str">
        <f aca="false">IF(BB165="","",IF(BG165&lt;BB165,BE165,BF165))</f>
        <v/>
      </c>
      <c r="BJ165" s="9" t="str">
        <f aca="false">IF(BB165="","",(BH165+BI165)/2)</f>
        <v/>
      </c>
      <c r="BK165" s="9" t="str">
        <f aca="false">IF(OR(T165="",P165="",BJ165="",T165&lt;=0,BJ165&lt;=0),"",(1/Inputs!$B$9)*((T165^2/8)*((2*ACOS(1-2*BJ165/T165))-SIN((2*ACOS(1-2*BJ165/T165)))))*((((T165^2/8)*((2*ACOS(1-2*BJ165/T165))-SIN((2*ACOS(1-2*BJ165/T165)))))/((T165/2)*((2*ACOS(1-2*BJ165/T165)))))^(2/3))*SQRT(P165))</f>
        <v/>
      </c>
      <c r="BL165" s="9" t="str">
        <f aca="false">IF(BB165="","",IF(BK165&lt;BB165,BJ165,BH165))</f>
        <v/>
      </c>
      <c r="BM165" s="9" t="str">
        <f aca="false">IF(BB165="","",IF(BK165&lt;BB165,BI165,BJ165))</f>
        <v/>
      </c>
      <c r="BN165" s="9" t="str">
        <f aca="false">IF(BB165="","",(BL165+BM165)/2)</f>
        <v/>
      </c>
      <c r="BO165" s="9" t="str">
        <f aca="false">IF(OR(T165="",P165="",BN165="",T165&lt;=0,BN165&lt;=0),"",(1/Inputs!$B$9)*((T165^2/8)*((2*ACOS(1-2*BN165/T165))-SIN((2*ACOS(1-2*BN165/T165)))))*((((T165^2/8)*((2*ACOS(1-2*BN165/T165))-SIN((2*ACOS(1-2*BN165/T165)))))/((T165/2)*((2*ACOS(1-2*BN165/T165)))))^(2/3))*SQRT(P165))</f>
        <v/>
      </c>
      <c r="BP165" s="9" t="str">
        <f aca="false">IF(BB165="","",IF(BO165&lt;BB165,BN165,BL165))</f>
        <v/>
      </c>
      <c r="BQ165" s="9" t="str">
        <f aca="false">IF(BB165="","",IF(BO165&lt;BB165,BM165,BN165))</f>
        <v/>
      </c>
      <c r="BR165" s="9" t="str">
        <f aca="false">IF(BB165="","",(BP165+BQ165)/2)</f>
        <v/>
      </c>
      <c r="BS165" s="9" t="str">
        <f aca="false">IF(OR(T165="",P165="",BR165="",T165&lt;=0,BR165&lt;=0),"",(1/Inputs!$B$9)*((T165^2/8)*((2*ACOS(1-2*BR165/T165))-SIN((2*ACOS(1-2*BR165/T165)))))*((((T165^2/8)*((2*ACOS(1-2*BR165/T165))-SIN((2*ACOS(1-2*BR165/T165)))))/((T165/2)*((2*ACOS(1-2*BR165/T165)))))^(2/3))*SQRT(P165))</f>
        <v/>
      </c>
      <c r="BT165" s="9" t="str">
        <f aca="false">IF(BB165="","",IF(BS165&lt;BB165,BR165,BP165))</f>
        <v/>
      </c>
      <c r="BU165" s="9" t="str">
        <f aca="false">IF(BB165="","",IF(BS165&lt;BB165,BQ165,BR165))</f>
        <v/>
      </c>
      <c r="BV165" s="9" t="str">
        <f aca="false">IF(BB165="","",(BT165+BU165)/2)</f>
        <v/>
      </c>
      <c r="BW165" s="9" t="str">
        <f aca="false">IF(OR(T165="",P165="",BV165="",T165&lt;=0,BV165&lt;=0),"",(1/Inputs!$B$9)*((T165^2/8)*((2*ACOS(1-2*BV165/T165))-SIN((2*ACOS(1-2*BV165/T165)))))*((((T165^2/8)*((2*ACOS(1-2*BV165/T165))-SIN((2*ACOS(1-2*BV165/T165)))))/((T165/2)*((2*ACOS(1-2*BV165/T165)))))^(2/3))*SQRT(P165))</f>
        <v/>
      </c>
      <c r="BX165" s="9" t="str">
        <f aca="false">IF(BB165="","",IF(BW165&lt;BB165,BV165,BT165))</f>
        <v/>
      </c>
      <c r="BY165" s="9" t="str">
        <f aca="false">IF(BB165="","",IF(BW165&lt;BB165,BU165,BV165))</f>
        <v/>
      </c>
      <c r="BZ165" s="9" t="str">
        <f aca="false">IF(BB165="","",(BX165+BY165)/2)</f>
        <v/>
      </c>
      <c r="CA165" s="9" t="str">
        <f aca="false">IF(OR(T165="",P165="",BZ165="",T165&lt;=0,BZ165&lt;=0),"",(1/Inputs!$B$9)*((T165^2/8)*((2*ACOS(1-2*BZ165/T165))-SIN((2*ACOS(1-2*BZ165/T165)))))*((((T165^2/8)*((2*ACOS(1-2*BZ165/T165))-SIN((2*ACOS(1-2*BZ165/T165)))))/((T165/2)*((2*ACOS(1-2*BZ165/T165)))))^(2/3))*SQRT(P165))</f>
        <v/>
      </c>
      <c r="CB165" s="9" t="str">
        <f aca="false">IF(BB165="","",IF(CA165&lt;BB165,BZ165,BX165))</f>
        <v/>
      </c>
      <c r="CC165" s="9" t="str">
        <f aca="false">IF(BB165="","",IF(CA165&lt;BB165,BY165,BZ165))</f>
        <v/>
      </c>
      <c r="CD165" s="9" t="str">
        <f aca="false">IF(BB165="","",(CB165+CC165)/2)</f>
        <v/>
      </c>
      <c r="CE165" s="9" t="str">
        <f aca="false">IF(OR(T165="",P165="",CD165="",T165&lt;=0,CD165&lt;=0),"",(1/Inputs!$B$9)*((T165^2/8)*((2*ACOS(1-2*CD165/T165))-SIN((2*ACOS(1-2*CD165/T165)))))*((((T165^2/8)*((2*ACOS(1-2*CD165/T165))-SIN((2*ACOS(1-2*CD165/T165)))))/((T165/2)*((2*ACOS(1-2*CD165/T165)))))^(2/3))*SQRT(P165))</f>
        <v/>
      </c>
      <c r="CF165" s="9" t="str">
        <f aca="false">IF(BB165="","",IF(CE165&lt;BB165,CD165,CB165))</f>
        <v/>
      </c>
      <c r="CG165" s="9" t="str">
        <f aca="false">IF(BB165="","",IF(CE165&lt;BB165,CC165,CD165))</f>
        <v/>
      </c>
      <c r="CH165" s="9" t="str">
        <f aca="false">IF(BB165="","",(CF165+CG165)/2)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14"/>
      <c r="F166" s="14"/>
      <c r="G166" s="14" t="n">
        <f aca="false">SUMIFS(CB_plan!$C:$C,CB_plan!$B:$B,$A166)</f>
        <v>0</v>
      </c>
      <c r="H166" s="14" t="n">
        <f aca="false">IF(F166="",G166,F166)</f>
        <v>0</v>
      </c>
      <c r="I166" s="9"/>
      <c r="J166" s="14"/>
      <c r="K166" s="14" t="str">
        <f aca="false">IF(A166="","",Inputs!$B$13/((IF(AV166="",Inputs!$B$18,AV166)+Inputs!$B$14)^Inputs!$B$15))</f>
        <v/>
      </c>
      <c r="L166" s="14" t="str">
        <f aca="false">IF(A166="","",0.000000278*IF(I166="",Inputs!$B$17,I166)*H166*K166)</f>
        <v/>
      </c>
      <c r="M166" s="14" t="str">
        <f aca="false">IF(A166="","",SUMIFS($N$4:$N$203,$D$4:$D$203,$A166))</f>
        <v/>
      </c>
      <c r="N166" s="14" t="str">
        <f aca="false">IF(A166="","",(L166+M166)*Inputs!$B$16)</f>
        <v/>
      </c>
      <c r="O166" s="14"/>
      <c r="P166" s="14" t="str">
        <f aca="false">IF(A166="","",IF(O166="",Inputs!$B$7,O166))</f>
        <v/>
      </c>
      <c r="Q166" s="9" t="str">
        <f aca="false">IF(A166="","",IF(N166/Inputs!$B$10&lt;=AG166,Inputs!$F$5,IF(N166/Inputs!$B$10&gt;AP166,"OVERSIZE",INDEX(Inputs!$F$5:$F$14,MATCH(N166/Inputs!$B$10,AG166:AP166,1)+1))))</f>
        <v/>
      </c>
      <c r="R166" s="9"/>
      <c r="S166" s="9" t="str">
        <f aca="false">IF(A166="","",IF(R166="",Q166,R166))</f>
        <v/>
      </c>
      <c r="T166" s="14" t="str">
        <f aca="false">IF(OR(S166="",S166="OVERSIZE"),"",S166/1000)</f>
        <v/>
      </c>
      <c r="U166" s="14" t="str">
        <f aca="false">IF(T166="","",(1/Inputs!$B$9)*(PI()*T166^2/4)*((T166/4)^(2/3))*SQRT(P166))</f>
        <v/>
      </c>
      <c r="V166" s="14" t="str">
        <f aca="false">IF(OR(U166="",N166=""),"",N166/(U166*Inputs!$B$10))</f>
        <v/>
      </c>
      <c r="W166" s="14" t="str">
        <f aca="false">IF(OR(T166="",N166=""),"",4*N166/(PI()*T166^2))</f>
        <v/>
      </c>
      <c r="X166" s="14"/>
      <c r="Y166" s="14" t="str">
        <f aca="false">IF(A166="","",IF(A166=Inputs!$B$6,Inputs!$B$22,IF(D166="","",IFERROR(INDEX($Z$4:$Z$203,MATCH(D166,$A$4:$A$203,0))+IF(X166="",Inputs!$B$20,X166),""))))</f>
        <v/>
      </c>
      <c r="Z166" s="14" t="str">
        <f aca="false">IF(OR(Y166="",P166="",E166=""),"",Y166+P166*E166)</f>
        <v/>
      </c>
      <c r="AA166" s="14" t="str">
        <f aca="false">IF(C166="","",IFERROR(INDEX(Noeuds_plan!$C$4:$C$200,MATCH(C166,Noeuds_plan!$A$4:$A$200,0)),""))</f>
        <v/>
      </c>
      <c r="AB166" s="14" t="str">
        <f aca="false">IF(B166="","",IFERROR(INDEX(Noeuds_plan!$C$4:$C$200,MATCH(B166,Noeuds_plan!$A$4:$A$200,0)),""))</f>
        <v/>
      </c>
      <c r="AC166" s="14" t="str">
        <f aca="false">IF(OR(AA166="",Y166=""),"",AA166-Y166)</f>
        <v/>
      </c>
      <c r="AD166" s="14" t="str">
        <f aca="false">IF(OR(AB166="",Z166=""),"",AB166-Z166)</f>
        <v/>
      </c>
      <c r="AE166" s="19" t="str">
        <f aca="false">IF(A166="","",IF(OR(V166&gt;1,AND(AY166&lt;&gt;"",AY166&lt;Inputs!$B$11),AND(AY166&lt;&gt;"",AY166&gt;Inputs!$B$12),AC166&lt;Inputs!$B$19,AD166&lt;Inputs!$B$19,P166&lt;Inputs!$B$7,P166&gt;Inputs!$B$8),"CHECK","OK"))</f>
        <v/>
      </c>
      <c r="AF166" s="9"/>
      <c r="AG166" s="9" t="str">
        <f aca="false">IF(A166="","",(1/Inputs!$B$9)*(PI()*(Inputs!$F$5/1000)^2/4)*((Inputs!$F$5/1000/4)^(2/3))*SQRT(P166))</f>
        <v/>
      </c>
      <c r="AH166" s="9" t="str">
        <f aca="false">IF(A166="","",(1/Inputs!$B$9)*(PI()*(Inputs!$F$6/1000)^2/4)*((Inputs!$F$6/1000/4)^(2/3))*SQRT(P166))</f>
        <v/>
      </c>
      <c r="AI166" s="9" t="str">
        <f aca="false">IF(A166="","",(1/Inputs!$B$9)*(PI()*(Inputs!$F$7/1000)^2/4)*((Inputs!$F$7/1000/4)^(2/3))*SQRT(P166))</f>
        <v/>
      </c>
      <c r="AJ166" s="9" t="str">
        <f aca="false">IF(A166="","",(1/Inputs!$B$9)*(PI()*(Inputs!$F$8/1000)^2/4)*((Inputs!$F$8/1000/4)^(2/3))*SQRT(P166))</f>
        <v/>
      </c>
      <c r="AK166" s="9" t="str">
        <f aca="false">IF(A166="","",(1/Inputs!$B$9)*(PI()*(Inputs!$F$9/1000)^2/4)*((Inputs!$F$9/1000/4)^(2/3))*SQRT(P166))</f>
        <v/>
      </c>
      <c r="AL166" s="9" t="str">
        <f aca="false">IF(A166="","",(1/Inputs!$B$9)*(PI()*(Inputs!$F$10/1000)^2/4)*((Inputs!$F$10/1000/4)^(2/3))*SQRT(P166))</f>
        <v/>
      </c>
      <c r="AM166" s="9" t="str">
        <f aca="false">IF(A166="","",(1/Inputs!$B$9)*(PI()*(Inputs!$F$11/1000)^2/4)*((Inputs!$F$11/1000/4)^(2/3))*SQRT(P166))</f>
        <v/>
      </c>
      <c r="AN166" s="9" t="str">
        <f aca="false">IF(A166="","",(1/Inputs!$B$9)*(PI()*(Inputs!$F$12/1000)^2/4)*((Inputs!$F$12/1000/4)^(2/3))*SQRT(P166))</f>
        <v/>
      </c>
      <c r="AO166" s="9" t="str">
        <f aca="false">IF(A166="","",(1/Inputs!$B$9)*(PI()*(Inputs!$F$13/1000)^2/4)*((Inputs!$F$13/1000/4)^(2/3))*SQRT(P166))</f>
        <v/>
      </c>
      <c r="AP166" s="9" t="str">
        <f aca="false">IF(A166="","",(1/Inputs!$B$9)*(PI()*(Inputs!$F$14/1000)^2/4)*((Inputs!$F$14/1000/4)^(2/3))*SQRT(P166))</f>
        <v/>
      </c>
      <c r="AQ166" s="9" t="str">
        <f aca="false">IF(A166="","",COUNTIF($D$4:$D$203,$A166))</f>
        <v/>
      </c>
      <c r="AR166" s="9" t="str">
        <f aca="false">IF(A166="","",IF(AQ166=0,"START","CONTINUOUS"))</f>
        <v/>
      </c>
      <c r="AS166" s="13" t="str">
        <f aca="false">IF(A166="","",IF(J166="",Inputs!$B$18,J166))</f>
        <v/>
      </c>
      <c r="AT166" s="13" t="str">
        <f aca="false">IF(A166="","",IFERROR(maxifs($AV$4:$AV$203,$D$4:$D$203,$A166),""))</f>
        <v/>
      </c>
      <c r="AU166" s="13" t="str">
        <f aca="false">IF(A166="","",IF(OR(E166="",Inputs!$B$23=""),"",E166/(Inputs!$B$23*60)))</f>
        <v/>
      </c>
      <c r="AV166" s="13" t="str">
        <f aca="false">IF(A166="","",IF(AQ166=0,AS166+AU166,IF(AT166="",AS166+AU166,AT166+AU166)))</f>
        <v/>
      </c>
      <c r="AW166" s="13" t="str">
        <f aca="false">IF(A166="","",W166)</f>
        <v/>
      </c>
      <c r="AX166" s="13" t="str">
        <f aca="false">IF(OR(T166="",P166=""),"",(1/Inputs!$B$9)*((T166/4)^(2/3))*SQRT(P166))</f>
        <v/>
      </c>
      <c r="AY166" s="13" t="str">
        <f aca="false">IF(A166="","",IF(AND(AW166="",AX166="",BA166=""),"",IF(OR(UPPER(TRIM(Inputs!$B$24))="MANNING",UPPER(TRIM(Inputs!$B$24))="M"),AX166,IF(OR(UPPER(TRIM(Inputs!$B$24))="PARTIAL",UPPER(TRIM(Inputs!$B$24))="P"),BA166,IF(OR(UPPER(TRIM(Inputs!$B$24))="MAX",UPPER(TRIM(Inputs!$B$24))="X"),MAX(IF(AW166="",0,AW166),IF(AX166="",0,AX166),IF(BA166="",0,BA166)),AW166)))))</f>
        <v/>
      </c>
      <c r="AZ166" s="13" t="str">
        <f aca="false">IF(BB166="","",CH166)</f>
        <v/>
      </c>
      <c r="BA166" s="13" t="str">
        <f aca="false">IF(OR(BB166="",AZ166="",T166="",T166&lt;=0,AZ166&lt;=0),"",BB166/((T166^2/8)*(2*ACOS(1-2*AZ166/T166)-SIN(2*ACOS(1-2*AZ166/T166)))))</f>
        <v/>
      </c>
      <c r="BB166" s="9" t="str">
        <f aca="false">IF(OR(N166="",BC166=""),"",MIN(N166,BC166))</f>
        <v/>
      </c>
      <c r="BC166" s="9" t="str">
        <f aca="false">IF(OR(N166="",T166="",P166=""),"",IF(OR(T166="",P166="",(0.94*T166)="",T166&lt;=0,(0.94*T166)&lt;=0),"",(1/Inputs!$B$9)*((T166^2/8)*((2*ACOS(1-2*(0.94*T166)/T166))-SIN((2*ACOS(1-2*(0.94*T166)/T166)))))*((((T166^2/8)*((2*ACOS(1-2*(0.94*T166)/T166))-SIN((2*ACOS(1-2*(0.94*T166)/T166)))))/((T166/2)*((2*ACOS(1-2*(0.94*T166)/T166)))))^(2/3))*SQRT(P166)))</f>
        <v/>
      </c>
      <c r="BD166" s="9" t="str">
        <f aca="false">IF(BB166="","",0.001*T166)</f>
        <v/>
      </c>
      <c r="BE166" s="9" t="str">
        <f aca="false">IF(BB166="","",0.94*T166)</f>
        <v/>
      </c>
      <c r="BF166" s="9" t="str">
        <f aca="false">IF(BB166="","",(BD166+BE166)/2)</f>
        <v/>
      </c>
      <c r="BG166" s="9" t="str">
        <f aca="false">IF(OR(T166="",P166="",BF166="",T166&lt;=0,BF166&lt;=0),"",(1/Inputs!$B$9)*((T166^2/8)*((2*ACOS(1-2*BF166/T166))-SIN((2*ACOS(1-2*BF166/T166)))))*((((T166^2/8)*((2*ACOS(1-2*BF166/T166))-SIN((2*ACOS(1-2*BF166/T166)))))/((T166/2)*((2*ACOS(1-2*BF166/T166)))))^(2/3))*SQRT(P166))</f>
        <v/>
      </c>
      <c r="BH166" s="9" t="str">
        <f aca="false">IF(BB166="","",IF(BG166&lt;BB166,BF166,BD166))</f>
        <v/>
      </c>
      <c r="BI166" s="9" t="str">
        <f aca="false">IF(BB166="","",IF(BG166&lt;BB166,BE166,BF166))</f>
        <v/>
      </c>
      <c r="BJ166" s="9" t="str">
        <f aca="false">IF(BB166="","",(BH166+BI166)/2)</f>
        <v/>
      </c>
      <c r="BK166" s="9" t="str">
        <f aca="false">IF(OR(T166="",P166="",BJ166="",T166&lt;=0,BJ166&lt;=0),"",(1/Inputs!$B$9)*((T166^2/8)*((2*ACOS(1-2*BJ166/T166))-SIN((2*ACOS(1-2*BJ166/T166)))))*((((T166^2/8)*((2*ACOS(1-2*BJ166/T166))-SIN((2*ACOS(1-2*BJ166/T166)))))/((T166/2)*((2*ACOS(1-2*BJ166/T166)))))^(2/3))*SQRT(P166))</f>
        <v/>
      </c>
      <c r="BL166" s="9" t="str">
        <f aca="false">IF(BB166="","",IF(BK166&lt;BB166,BJ166,BH166))</f>
        <v/>
      </c>
      <c r="BM166" s="9" t="str">
        <f aca="false">IF(BB166="","",IF(BK166&lt;BB166,BI166,BJ166))</f>
        <v/>
      </c>
      <c r="BN166" s="9" t="str">
        <f aca="false">IF(BB166="","",(BL166+BM166)/2)</f>
        <v/>
      </c>
      <c r="BO166" s="9" t="str">
        <f aca="false">IF(OR(T166="",P166="",BN166="",T166&lt;=0,BN166&lt;=0),"",(1/Inputs!$B$9)*((T166^2/8)*((2*ACOS(1-2*BN166/T166))-SIN((2*ACOS(1-2*BN166/T166)))))*((((T166^2/8)*((2*ACOS(1-2*BN166/T166))-SIN((2*ACOS(1-2*BN166/T166)))))/((T166/2)*((2*ACOS(1-2*BN166/T166)))))^(2/3))*SQRT(P166))</f>
        <v/>
      </c>
      <c r="BP166" s="9" t="str">
        <f aca="false">IF(BB166="","",IF(BO166&lt;BB166,BN166,BL166))</f>
        <v/>
      </c>
      <c r="BQ166" s="9" t="str">
        <f aca="false">IF(BB166="","",IF(BO166&lt;BB166,BM166,BN166))</f>
        <v/>
      </c>
      <c r="BR166" s="9" t="str">
        <f aca="false">IF(BB166="","",(BP166+BQ166)/2)</f>
        <v/>
      </c>
      <c r="BS166" s="9" t="str">
        <f aca="false">IF(OR(T166="",P166="",BR166="",T166&lt;=0,BR166&lt;=0),"",(1/Inputs!$B$9)*((T166^2/8)*((2*ACOS(1-2*BR166/T166))-SIN((2*ACOS(1-2*BR166/T166)))))*((((T166^2/8)*((2*ACOS(1-2*BR166/T166))-SIN((2*ACOS(1-2*BR166/T166)))))/((T166/2)*((2*ACOS(1-2*BR166/T166)))))^(2/3))*SQRT(P166))</f>
        <v/>
      </c>
      <c r="BT166" s="9" t="str">
        <f aca="false">IF(BB166="","",IF(BS166&lt;BB166,BR166,BP166))</f>
        <v/>
      </c>
      <c r="BU166" s="9" t="str">
        <f aca="false">IF(BB166="","",IF(BS166&lt;BB166,BQ166,BR166))</f>
        <v/>
      </c>
      <c r="BV166" s="9" t="str">
        <f aca="false">IF(BB166="","",(BT166+BU166)/2)</f>
        <v/>
      </c>
      <c r="BW166" s="9" t="str">
        <f aca="false">IF(OR(T166="",P166="",BV166="",T166&lt;=0,BV166&lt;=0),"",(1/Inputs!$B$9)*((T166^2/8)*((2*ACOS(1-2*BV166/T166))-SIN((2*ACOS(1-2*BV166/T166)))))*((((T166^2/8)*((2*ACOS(1-2*BV166/T166))-SIN((2*ACOS(1-2*BV166/T166)))))/((T166/2)*((2*ACOS(1-2*BV166/T166)))))^(2/3))*SQRT(P166))</f>
        <v/>
      </c>
      <c r="BX166" s="9" t="str">
        <f aca="false">IF(BB166="","",IF(BW166&lt;BB166,BV166,BT166))</f>
        <v/>
      </c>
      <c r="BY166" s="9" t="str">
        <f aca="false">IF(BB166="","",IF(BW166&lt;BB166,BU166,BV166))</f>
        <v/>
      </c>
      <c r="BZ166" s="9" t="str">
        <f aca="false">IF(BB166="","",(BX166+BY166)/2)</f>
        <v/>
      </c>
      <c r="CA166" s="9" t="str">
        <f aca="false">IF(OR(T166="",P166="",BZ166="",T166&lt;=0,BZ166&lt;=0),"",(1/Inputs!$B$9)*((T166^2/8)*((2*ACOS(1-2*BZ166/T166))-SIN((2*ACOS(1-2*BZ166/T166)))))*((((T166^2/8)*((2*ACOS(1-2*BZ166/T166))-SIN((2*ACOS(1-2*BZ166/T166)))))/((T166/2)*((2*ACOS(1-2*BZ166/T166)))))^(2/3))*SQRT(P166))</f>
        <v/>
      </c>
      <c r="CB166" s="9" t="str">
        <f aca="false">IF(BB166="","",IF(CA166&lt;BB166,BZ166,BX166))</f>
        <v/>
      </c>
      <c r="CC166" s="9" t="str">
        <f aca="false">IF(BB166="","",IF(CA166&lt;BB166,BY166,BZ166))</f>
        <v/>
      </c>
      <c r="CD166" s="9" t="str">
        <f aca="false">IF(BB166="","",(CB166+CC166)/2)</f>
        <v/>
      </c>
      <c r="CE166" s="9" t="str">
        <f aca="false">IF(OR(T166="",P166="",CD166="",T166&lt;=0,CD166&lt;=0),"",(1/Inputs!$B$9)*((T166^2/8)*((2*ACOS(1-2*CD166/T166))-SIN((2*ACOS(1-2*CD166/T166)))))*((((T166^2/8)*((2*ACOS(1-2*CD166/T166))-SIN((2*ACOS(1-2*CD166/T166)))))/((T166/2)*((2*ACOS(1-2*CD166/T166)))))^(2/3))*SQRT(P166))</f>
        <v/>
      </c>
      <c r="CF166" s="9" t="str">
        <f aca="false">IF(BB166="","",IF(CE166&lt;BB166,CD166,CB166))</f>
        <v/>
      </c>
      <c r="CG166" s="9" t="str">
        <f aca="false">IF(BB166="","",IF(CE166&lt;BB166,CC166,CD166))</f>
        <v/>
      </c>
      <c r="CH166" s="9" t="str">
        <f aca="false">IF(BB166="","",(CF166+CG166)/2)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14"/>
      <c r="F167" s="14"/>
      <c r="G167" s="14" t="n">
        <f aca="false">SUMIFS(CB_plan!$C:$C,CB_plan!$B:$B,$A167)</f>
        <v>0</v>
      </c>
      <c r="H167" s="14" t="n">
        <f aca="false">IF(F167="",G167,F167)</f>
        <v>0</v>
      </c>
      <c r="I167" s="9"/>
      <c r="J167" s="14"/>
      <c r="K167" s="14" t="str">
        <f aca="false">IF(A167="","",Inputs!$B$13/((IF(AV167="",Inputs!$B$18,AV167)+Inputs!$B$14)^Inputs!$B$15))</f>
        <v/>
      </c>
      <c r="L167" s="14" t="str">
        <f aca="false">IF(A167="","",0.000000278*IF(I167="",Inputs!$B$17,I167)*H167*K167)</f>
        <v/>
      </c>
      <c r="M167" s="14" t="str">
        <f aca="false">IF(A167="","",SUMIFS($N$4:$N$203,$D$4:$D$203,$A167))</f>
        <v/>
      </c>
      <c r="N167" s="14" t="str">
        <f aca="false">IF(A167="","",(L167+M167)*Inputs!$B$16)</f>
        <v/>
      </c>
      <c r="O167" s="14"/>
      <c r="P167" s="14" t="str">
        <f aca="false">IF(A167="","",IF(O167="",Inputs!$B$7,O167))</f>
        <v/>
      </c>
      <c r="Q167" s="9" t="str">
        <f aca="false">IF(A167="","",IF(N167/Inputs!$B$10&lt;=AG167,Inputs!$F$5,IF(N167/Inputs!$B$10&gt;AP167,"OVERSIZE",INDEX(Inputs!$F$5:$F$14,MATCH(N167/Inputs!$B$10,AG167:AP167,1)+1))))</f>
        <v/>
      </c>
      <c r="R167" s="9"/>
      <c r="S167" s="9" t="str">
        <f aca="false">IF(A167="","",IF(R167="",Q167,R167))</f>
        <v/>
      </c>
      <c r="T167" s="14" t="str">
        <f aca="false">IF(OR(S167="",S167="OVERSIZE"),"",S167/1000)</f>
        <v/>
      </c>
      <c r="U167" s="14" t="str">
        <f aca="false">IF(T167="","",(1/Inputs!$B$9)*(PI()*T167^2/4)*((T167/4)^(2/3))*SQRT(P167))</f>
        <v/>
      </c>
      <c r="V167" s="14" t="str">
        <f aca="false">IF(OR(U167="",N167=""),"",N167/(U167*Inputs!$B$10))</f>
        <v/>
      </c>
      <c r="W167" s="14" t="str">
        <f aca="false">IF(OR(T167="",N167=""),"",4*N167/(PI()*T167^2))</f>
        <v/>
      </c>
      <c r="X167" s="14"/>
      <c r="Y167" s="14" t="str">
        <f aca="false">IF(A167="","",IF(A167=Inputs!$B$6,Inputs!$B$22,IF(D167="","",IFERROR(INDEX($Z$4:$Z$203,MATCH(D167,$A$4:$A$203,0))+IF(X167="",Inputs!$B$20,X167),""))))</f>
        <v/>
      </c>
      <c r="Z167" s="14" t="str">
        <f aca="false">IF(OR(Y167="",P167="",E167=""),"",Y167+P167*E167)</f>
        <v/>
      </c>
      <c r="AA167" s="14" t="str">
        <f aca="false">IF(C167="","",IFERROR(INDEX(Noeuds_plan!$C$4:$C$200,MATCH(C167,Noeuds_plan!$A$4:$A$200,0)),""))</f>
        <v/>
      </c>
      <c r="AB167" s="14" t="str">
        <f aca="false">IF(B167="","",IFERROR(INDEX(Noeuds_plan!$C$4:$C$200,MATCH(B167,Noeuds_plan!$A$4:$A$200,0)),""))</f>
        <v/>
      </c>
      <c r="AC167" s="14" t="str">
        <f aca="false">IF(OR(AA167="",Y167=""),"",AA167-Y167)</f>
        <v/>
      </c>
      <c r="AD167" s="14" t="str">
        <f aca="false">IF(OR(AB167="",Z167=""),"",AB167-Z167)</f>
        <v/>
      </c>
      <c r="AE167" s="19" t="str">
        <f aca="false">IF(A167="","",IF(OR(V167&gt;1,AND(AY167&lt;&gt;"",AY167&lt;Inputs!$B$11),AND(AY167&lt;&gt;"",AY167&gt;Inputs!$B$12),AC167&lt;Inputs!$B$19,AD167&lt;Inputs!$B$19,P167&lt;Inputs!$B$7,P167&gt;Inputs!$B$8),"CHECK","OK"))</f>
        <v/>
      </c>
      <c r="AF167" s="9"/>
      <c r="AG167" s="9" t="str">
        <f aca="false">IF(A167="","",(1/Inputs!$B$9)*(PI()*(Inputs!$F$5/1000)^2/4)*((Inputs!$F$5/1000/4)^(2/3))*SQRT(P167))</f>
        <v/>
      </c>
      <c r="AH167" s="9" t="str">
        <f aca="false">IF(A167="","",(1/Inputs!$B$9)*(PI()*(Inputs!$F$6/1000)^2/4)*((Inputs!$F$6/1000/4)^(2/3))*SQRT(P167))</f>
        <v/>
      </c>
      <c r="AI167" s="9" t="str">
        <f aca="false">IF(A167="","",(1/Inputs!$B$9)*(PI()*(Inputs!$F$7/1000)^2/4)*((Inputs!$F$7/1000/4)^(2/3))*SQRT(P167))</f>
        <v/>
      </c>
      <c r="AJ167" s="9" t="str">
        <f aca="false">IF(A167="","",(1/Inputs!$B$9)*(PI()*(Inputs!$F$8/1000)^2/4)*((Inputs!$F$8/1000/4)^(2/3))*SQRT(P167))</f>
        <v/>
      </c>
      <c r="AK167" s="9" t="str">
        <f aca="false">IF(A167="","",(1/Inputs!$B$9)*(PI()*(Inputs!$F$9/1000)^2/4)*((Inputs!$F$9/1000/4)^(2/3))*SQRT(P167))</f>
        <v/>
      </c>
      <c r="AL167" s="9" t="str">
        <f aca="false">IF(A167="","",(1/Inputs!$B$9)*(PI()*(Inputs!$F$10/1000)^2/4)*((Inputs!$F$10/1000/4)^(2/3))*SQRT(P167))</f>
        <v/>
      </c>
      <c r="AM167" s="9" t="str">
        <f aca="false">IF(A167="","",(1/Inputs!$B$9)*(PI()*(Inputs!$F$11/1000)^2/4)*((Inputs!$F$11/1000/4)^(2/3))*SQRT(P167))</f>
        <v/>
      </c>
      <c r="AN167" s="9" t="str">
        <f aca="false">IF(A167="","",(1/Inputs!$B$9)*(PI()*(Inputs!$F$12/1000)^2/4)*((Inputs!$F$12/1000/4)^(2/3))*SQRT(P167))</f>
        <v/>
      </c>
      <c r="AO167" s="9" t="str">
        <f aca="false">IF(A167="","",(1/Inputs!$B$9)*(PI()*(Inputs!$F$13/1000)^2/4)*((Inputs!$F$13/1000/4)^(2/3))*SQRT(P167))</f>
        <v/>
      </c>
      <c r="AP167" s="9" t="str">
        <f aca="false">IF(A167="","",(1/Inputs!$B$9)*(PI()*(Inputs!$F$14/1000)^2/4)*((Inputs!$F$14/1000/4)^(2/3))*SQRT(P167))</f>
        <v/>
      </c>
      <c r="AQ167" s="9" t="str">
        <f aca="false">IF(A167="","",COUNTIF($D$4:$D$203,$A167))</f>
        <v/>
      </c>
      <c r="AR167" s="9" t="str">
        <f aca="false">IF(A167="","",IF(AQ167=0,"START","CONTINUOUS"))</f>
        <v/>
      </c>
      <c r="AS167" s="13" t="str">
        <f aca="false">IF(A167="","",IF(J167="",Inputs!$B$18,J167))</f>
        <v/>
      </c>
      <c r="AT167" s="13" t="str">
        <f aca="false">IF(A167="","",IFERROR(maxifs($AV$4:$AV$203,$D$4:$D$203,$A167),""))</f>
        <v/>
      </c>
      <c r="AU167" s="13" t="str">
        <f aca="false">IF(A167="","",IF(OR(E167="",Inputs!$B$23=""),"",E167/(Inputs!$B$23*60)))</f>
        <v/>
      </c>
      <c r="AV167" s="13" t="str">
        <f aca="false">IF(A167="","",IF(AQ167=0,AS167+AU167,IF(AT167="",AS167+AU167,AT167+AU167)))</f>
        <v/>
      </c>
      <c r="AW167" s="13" t="str">
        <f aca="false">IF(A167="","",W167)</f>
        <v/>
      </c>
      <c r="AX167" s="13" t="str">
        <f aca="false">IF(OR(T167="",P167=""),"",(1/Inputs!$B$9)*((T167/4)^(2/3))*SQRT(P167))</f>
        <v/>
      </c>
      <c r="AY167" s="13" t="str">
        <f aca="false">IF(A167="","",IF(AND(AW167="",AX167="",BA167=""),"",IF(OR(UPPER(TRIM(Inputs!$B$24))="MANNING",UPPER(TRIM(Inputs!$B$24))="M"),AX167,IF(OR(UPPER(TRIM(Inputs!$B$24))="PARTIAL",UPPER(TRIM(Inputs!$B$24))="P"),BA167,IF(OR(UPPER(TRIM(Inputs!$B$24))="MAX",UPPER(TRIM(Inputs!$B$24))="X"),MAX(IF(AW167="",0,AW167),IF(AX167="",0,AX167),IF(BA167="",0,BA167)),AW167)))))</f>
        <v/>
      </c>
      <c r="AZ167" s="13" t="str">
        <f aca="false">IF(BB167="","",CH167)</f>
        <v/>
      </c>
      <c r="BA167" s="13" t="str">
        <f aca="false">IF(OR(BB167="",AZ167="",T167="",T167&lt;=0,AZ167&lt;=0),"",BB167/((T167^2/8)*(2*ACOS(1-2*AZ167/T167)-SIN(2*ACOS(1-2*AZ167/T167)))))</f>
        <v/>
      </c>
      <c r="BB167" s="9" t="str">
        <f aca="false">IF(OR(N167="",BC167=""),"",MIN(N167,BC167))</f>
        <v/>
      </c>
      <c r="BC167" s="9" t="str">
        <f aca="false">IF(OR(N167="",T167="",P167=""),"",IF(OR(T167="",P167="",(0.94*T167)="",T167&lt;=0,(0.94*T167)&lt;=0),"",(1/Inputs!$B$9)*((T167^2/8)*((2*ACOS(1-2*(0.94*T167)/T167))-SIN((2*ACOS(1-2*(0.94*T167)/T167)))))*((((T167^2/8)*((2*ACOS(1-2*(0.94*T167)/T167))-SIN((2*ACOS(1-2*(0.94*T167)/T167)))))/((T167/2)*((2*ACOS(1-2*(0.94*T167)/T167)))))^(2/3))*SQRT(P167)))</f>
        <v/>
      </c>
      <c r="BD167" s="9" t="str">
        <f aca="false">IF(BB167="","",0.001*T167)</f>
        <v/>
      </c>
      <c r="BE167" s="9" t="str">
        <f aca="false">IF(BB167="","",0.94*T167)</f>
        <v/>
      </c>
      <c r="BF167" s="9" t="str">
        <f aca="false">IF(BB167="","",(BD167+BE167)/2)</f>
        <v/>
      </c>
      <c r="BG167" s="9" t="str">
        <f aca="false">IF(OR(T167="",P167="",BF167="",T167&lt;=0,BF167&lt;=0),"",(1/Inputs!$B$9)*((T167^2/8)*((2*ACOS(1-2*BF167/T167))-SIN((2*ACOS(1-2*BF167/T167)))))*((((T167^2/8)*((2*ACOS(1-2*BF167/T167))-SIN((2*ACOS(1-2*BF167/T167)))))/((T167/2)*((2*ACOS(1-2*BF167/T167)))))^(2/3))*SQRT(P167))</f>
        <v/>
      </c>
      <c r="BH167" s="9" t="str">
        <f aca="false">IF(BB167="","",IF(BG167&lt;BB167,BF167,BD167))</f>
        <v/>
      </c>
      <c r="BI167" s="9" t="str">
        <f aca="false">IF(BB167="","",IF(BG167&lt;BB167,BE167,BF167))</f>
        <v/>
      </c>
      <c r="BJ167" s="9" t="str">
        <f aca="false">IF(BB167="","",(BH167+BI167)/2)</f>
        <v/>
      </c>
      <c r="BK167" s="9" t="str">
        <f aca="false">IF(OR(T167="",P167="",BJ167="",T167&lt;=0,BJ167&lt;=0),"",(1/Inputs!$B$9)*((T167^2/8)*((2*ACOS(1-2*BJ167/T167))-SIN((2*ACOS(1-2*BJ167/T167)))))*((((T167^2/8)*((2*ACOS(1-2*BJ167/T167))-SIN((2*ACOS(1-2*BJ167/T167)))))/((T167/2)*((2*ACOS(1-2*BJ167/T167)))))^(2/3))*SQRT(P167))</f>
        <v/>
      </c>
      <c r="BL167" s="9" t="str">
        <f aca="false">IF(BB167="","",IF(BK167&lt;BB167,BJ167,BH167))</f>
        <v/>
      </c>
      <c r="BM167" s="9" t="str">
        <f aca="false">IF(BB167="","",IF(BK167&lt;BB167,BI167,BJ167))</f>
        <v/>
      </c>
      <c r="BN167" s="9" t="str">
        <f aca="false">IF(BB167="","",(BL167+BM167)/2)</f>
        <v/>
      </c>
      <c r="BO167" s="9" t="str">
        <f aca="false">IF(OR(T167="",P167="",BN167="",T167&lt;=0,BN167&lt;=0),"",(1/Inputs!$B$9)*((T167^2/8)*((2*ACOS(1-2*BN167/T167))-SIN((2*ACOS(1-2*BN167/T167)))))*((((T167^2/8)*((2*ACOS(1-2*BN167/T167))-SIN((2*ACOS(1-2*BN167/T167)))))/((T167/2)*((2*ACOS(1-2*BN167/T167)))))^(2/3))*SQRT(P167))</f>
        <v/>
      </c>
      <c r="BP167" s="9" t="str">
        <f aca="false">IF(BB167="","",IF(BO167&lt;BB167,BN167,BL167))</f>
        <v/>
      </c>
      <c r="BQ167" s="9" t="str">
        <f aca="false">IF(BB167="","",IF(BO167&lt;BB167,BM167,BN167))</f>
        <v/>
      </c>
      <c r="BR167" s="9" t="str">
        <f aca="false">IF(BB167="","",(BP167+BQ167)/2)</f>
        <v/>
      </c>
      <c r="BS167" s="9" t="str">
        <f aca="false">IF(OR(T167="",P167="",BR167="",T167&lt;=0,BR167&lt;=0),"",(1/Inputs!$B$9)*((T167^2/8)*((2*ACOS(1-2*BR167/T167))-SIN((2*ACOS(1-2*BR167/T167)))))*((((T167^2/8)*((2*ACOS(1-2*BR167/T167))-SIN((2*ACOS(1-2*BR167/T167)))))/((T167/2)*((2*ACOS(1-2*BR167/T167)))))^(2/3))*SQRT(P167))</f>
        <v/>
      </c>
      <c r="BT167" s="9" t="str">
        <f aca="false">IF(BB167="","",IF(BS167&lt;BB167,BR167,BP167))</f>
        <v/>
      </c>
      <c r="BU167" s="9" t="str">
        <f aca="false">IF(BB167="","",IF(BS167&lt;BB167,BQ167,BR167))</f>
        <v/>
      </c>
      <c r="BV167" s="9" t="str">
        <f aca="false">IF(BB167="","",(BT167+BU167)/2)</f>
        <v/>
      </c>
      <c r="BW167" s="9" t="str">
        <f aca="false">IF(OR(T167="",P167="",BV167="",T167&lt;=0,BV167&lt;=0),"",(1/Inputs!$B$9)*((T167^2/8)*((2*ACOS(1-2*BV167/T167))-SIN((2*ACOS(1-2*BV167/T167)))))*((((T167^2/8)*((2*ACOS(1-2*BV167/T167))-SIN((2*ACOS(1-2*BV167/T167)))))/((T167/2)*((2*ACOS(1-2*BV167/T167)))))^(2/3))*SQRT(P167))</f>
        <v/>
      </c>
      <c r="BX167" s="9" t="str">
        <f aca="false">IF(BB167="","",IF(BW167&lt;BB167,BV167,BT167))</f>
        <v/>
      </c>
      <c r="BY167" s="9" t="str">
        <f aca="false">IF(BB167="","",IF(BW167&lt;BB167,BU167,BV167))</f>
        <v/>
      </c>
      <c r="BZ167" s="9" t="str">
        <f aca="false">IF(BB167="","",(BX167+BY167)/2)</f>
        <v/>
      </c>
      <c r="CA167" s="9" t="str">
        <f aca="false">IF(OR(T167="",P167="",BZ167="",T167&lt;=0,BZ167&lt;=0),"",(1/Inputs!$B$9)*((T167^2/8)*((2*ACOS(1-2*BZ167/T167))-SIN((2*ACOS(1-2*BZ167/T167)))))*((((T167^2/8)*((2*ACOS(1-2*BZ167/T167))-SIN((2*ACOS(1-2*BZ167/T167)))))/((T167/2)*((2*ACOS(1-2*BZ167/T167)))))^(2/3))*SQRT(P167))</f>
        <v/>
      </c>
      <c r="CB167" s="9" t="str">
        <f aca="false">IF(BB167="","",IF(CA167&lt;BB167,BZ167,BX167))</f>
        <v/>
      </c>
      <c r="CC167" s="9" t="str">
        <f aca="false">IF(BB167="","",IF(CA167&lt;BB167,BY167,BZ167))</f>
        <v/>
      </c>
      <c r="CD167" s="9" t="str">
        <f aca="false">IF(BB167="","",(CB167+CC167)/2)</f>
        <v/>
      </c>
      <c r="CE167" s="9" t="str">
        <f aca="false">IF(OR(T167="",P167="",CD167="",T167&lt;=0,CD167&lt;=0),"",(1/Inputs!$B$9)*((T167^2/8)*((2*ACOS(1-2*CD167/T167))-SIN((2*ACOS(1-2*CD167/T167)))))*((((T167^2/8)*((2*ACOS(1-2*CD167/T167))-SIN((2*ACOS(1-2*CD167/T167)))))/((T167/2)*((2*ACOS(1-2*CD167/T167)))))^(2/3))*SQRT(P167))</f>
        <v/>
      </c>
      <c r="CF167" s="9" t="str">
        <f aca="false">IF(BB167="","",IF(CE167&lt;BB167,CD167,CB167))</f>
        <v/>
      </c>
      <c r="CG167" s="9" t="str">
        <f aca="false">IF(BB167="","",IF(CE167&lt;BB167,CC167,CD167))</f>
        <v/>
      </c>
      <c r="CH167" s="9" t="str">
        <f aca="false">IF(BB167="","",(CF167+CG167)/2)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14"/>
      <c r="F168" s="14"/>
      <c r="G168" s="14" t="n">
        <f aca="false">SUMIFS(CB_plan!$C:$C,CB_plan!$B:$B,$A168)</f>
        <v>0</v>
      </c>
      <c r="H168" s="14" t="n">
        <f aca="false">IF(F168="",G168,F168)</f>
        <v>0</v>
      </c>
      <c r="I168" s="9"/>
      <c r="J168" s="14"/>
      <c r="K168" s="14" t="str">
        <f aca="false">IF(A168="","",Inputs!$B$13/((IF(AV168="",Inputs!$B$18,AV168)+Inputs!$B$14)^Inputs!$B$15))</f>
        <v/>
      </c>
      <c r="L168" s="14" t="str">
        <f aca="false">IF(A168="","",0.000000278*IF(I168="",Inputs!$B$17,I168)*H168*K168)</f>
        <v/>
      </c>
      <c r="M168" s="14" t="str">
        <f aca="false">IF(A168="","",SUMIFS($N$4:$N$203,$D$4:$D$203,$A168))</f>
        <v/>
      </c>
      <c r="N168" s="14" t="str">
        <f aca="false">IF(A168="","",(L168+M168)*Inputs!$B$16)</f>
        <v/>
      </c>
      <c r="O168" s="14"/>
      <c r="P168" s="14" t="str">
        <f aca="false">IF(A168="","",IF(O168="",Inputs!$B$7,O168))</f>
        <v/>
      </c>
      <c r="Q168" s="9" t="str">
        <f aca="false">IF(A168="","",IF(N168/Inputs!$B$10&lt;=AG168,Inputs!$F$5,IF(N168/Inputs!$B$10&gt;AP168,"OVERSIZE",INDEX(Inputs!$F$5:$F$14,MATCH(N168/Inputs!$B$10,AG168:AP168,1)+1))))</f>
        <v/>
      </c>
      <c r="R168" s="9"/>
      <c r="S168" s="9" t="str">
        <f aca="false">IF(A168="","",IF(R168="",Q168,R168))</f>
        <v/>
      </c>
      <c r="T168" s="14" t="str">
        <f aca="false">IF(OR(S168="",S168="OVERSIZE"),"",S168/1000)</f>
        <v/>
      </c>
      <c r="U168" s="14" t="str">
        <f aca="false">IF(T168="","",(1/Inputs!$B$9)*(PI()*T168^2/4)*((T168/4)^(2/3))*SQRT(P168))</f>
        <v/>
      </c>
      <c r="V168" s="14" t="str">
        <f aca="false">IF(OR(U168="",N168=""),"",N168/(U168*Inputs!$B$10))</f>
        <v/>
      </c>
      <c r="W168" s="14" t="str">
        <f aca="false">IF(OR(T168="",N168=""),"",4*N168/(PI()*T168^2))</f>
        <v/>
      </c>
      <c r="X168" s="14"/>
      <c r="Y168" s="14" t="str">
        <f aca="false">IF(A168="","",IF(A168=Inputs!$B$6,Inputs!$B$22,IF(D168="","",IFERROR(INDEX($Z$4:$Z$203,MATCH(D168,$A$4:$A$203,0))+IF(X168="",Inputs!$B$20,X168),""))))</f>
        <v/>
      </c>
      <c r="Z168" s="14" t="str">
        <f aca="false">IF(OR(Y168="",P168="",E168=""),"",Y168+P168*E168)</f>
        <v/>
      </c>
      <c r="AA168" s="14" t="str">
        <f aca="false">IF(C168="","",IFERROR(INDEX(Noeuds_plan!$C$4:$C$200,MATCH(C168,Noeuds_plan!$A$4:$A$200,0)),""))</f>
        <v/>
      </c>
      <c r="AB168" s="14" t="str">
        <f aca="false">IF(B168="","",IFERROR(INDEX(Noeuds_plan!$C$4:$C$200,MATCH(B168,Noeuds_plan!$A$4:$A$200,0)),""))</f>
        <v/>
      </c>
      <c r="AC168" s="14" t="str">
        <f aca="false">IF(OR(AA168="",Y168=""),"",AA168-Y168)</f>
        <v/>
      </c>
      <c r="AD168" s="14" t="str">
        <f aca="false">IF(OR(AB168="",Z168=""),"",AB168-Z168)</f>
        <v/>
      </c>
      <c r="AE168" s="19" t="str">
        <f aca="false">IF(A168="","",IF(OR(V168&gt;1,AND(AY168&lt;&gt;"",AY168&lt;Inputs!$B$11),AND(AY168&lt;&gt;"",AY168&gt;Inputs!$B$12),AC168&lt;Inputs!$B$19,AD168&lt;Inputs!$B$19,P168&lt;Inputs!$B$7,P168&gt;Inputs!$B$8),"CHECK","OK"))</f>
        <v/>
      </c>
      <c r="AF168" s="9"/>
      <c r="AG168" s="9" t="str">
        <f aca="false">IF(A168="","",(1/Inputs!$B$9)*(PI()*(Inputs!$F$5/1000)^2/4)*((Inputs!$F$5/1000/4)^(2/3))*SQRT(P168))</f>
        <v/>
      </c>
      <c r="AH168" s="9" t="str">
        <f aca="false">IF(A168="","",(1/Inputs!$B$9)*(PI()*(Inputs!$F$6/1000)^2/4)*((Inputs!$F$6/1000/4)^(2/3))*SQRT(P168))</f>
        <v/>
      </c>
      <c r="AI168" s="9" t="str">
        <f aca="false">IF(A168="","",(1/Inputs!$B$9)*(PI()*(Inputs!$F$7/1000)^2/4)*((Inputs!$F$7/1000/4)^(2/3))*SQRT(P168))</f>
        <v/>
      </c>
      <c r="AJ168" s="9" t="str">
        <f aca="false">IF(A168="","",(1/Inputs!$B$9)*(PI()*(Inputs!$F$8/1000)^2/4)*((Inputs!$F$8/1000/4)^(2/3))*SQRT(P168))</f>
        <v/>
      </c>
      <c r="AK168" s="9" t="str">
        <f aca="false">IF(A168="","",(1/Inputs!$B$9)*(PI()*(Inputs!$F$9/1000)^2/4)*((Inputs!$F$9/1000/4)^(2/3))*SQRT(P168))</f>
        <v/>
      </c>
      <c r="AL168" s="9" t="str">
        <f aca="false">IF(A168="","",(1/Inputs!$B$9)*(PI()*(Inputs!$F$10/1000)^2/4)*((Inputs!$F$10/1000/4)^(2/3))*SQRT(P168))</f>
        <v/>
      </c>
      <c r="AM168" s="9" t="str">
        <f aca="false">IF(A168="","",(1/Inputs!$B$9)*(PI()*(Inputs!$F$11/1000)^2/4)*((Inputs!$F$11/1000/4)^(2/3))*SQRT(P168))</f>
        <v/>
      </c>
      <c r="AN168" s="9" t="str">
        <f aca="false">IF(A168="","",(1/Inputs!$B$9)*(PI()*(Inputs!$F$12/1000)^2/4)*((Inputs!$F$12/1000/4)^(2/3))*SQRT(P168))</f>
        <v/>
      </c>
      <c r="AO168" s="9" t="str">
        <f aca="false">IF(A168="","",(1/Inputs!$B$9)*(PI()*(Inputs!$F$13/1000)^2/4)*((Inputs!$F$13/1000/4)^(2/3))*SQRT(P168))</f>
        <v/>
      </c>
      <c r="AP168" s="9" t="str">
        <f aca="false">IF(A168="","",(1/Inputs!$B$9)*(PI()*(Inputs!$F$14/1000)^2/4)*((Inputs!$F$14/1000/4)^(2/3))*SQRT(P168))</f>
        <v/>
      </c>
      <c r="AQ168" s="9" t="str">
        <f aca="false">IF(A168="","",COUNTIF($D$4:$D$203,$A168))</f>
        <v/>
      </c>
      <c r="AR168" s="9" t="str">
        <f aca="false">IF(A168="","",IF(AQ168=0,"START","CONTINUOUS"))</f>
        <v/>
      </c>
      <c r="AS168" s="13" t="str">
        <f aca="false">IF(A168="","",IF(J168="",Inputs!$B$18,J168))</f>
        <v/>
      </c>
      <c r="AT168" s="13" t="str">
        <f aca="false">IF(A168="","",IFERROR(maxifs($AV$4:$AV$203,$D$4:$D$203,$A168),""))</f>
        <v/>
      </c>
      <c r="AU168" s="13" t="str">
        <f aca="false">IF(A168="","",IF(OR(E168="",Inputs!$B$23=""),"",E168/(Inputs!$B$23*60)))</f>
        <v/>
      </c>
      <c r="AV168" s="13" t="str">
        <f aca="false">IF(A168="","",IF(AQ168=0,AS168+AU168,IF(AT168="",AS168+AU168,AT168+AU168)))</f>
        <v/>
      </c>
      <c r="AW168" s="13" t="str">
        <f aca="false">IF(A168="","",W168)</f>
        <v/>
      </c>
      <c r="AX168" s="13" t="str">
        <f aca="false">IF(OR(T168="",P168=""),"",(1/Inputs!$B$9)*((T168/4)^(2/3))*SQRT(P168))</f>
        <v/>
      </c>
      <c r="AY168" s="13" t="str">
        <f aca="false">IF(A168="","",IF(AND(AW168="",AX168="",BA168=""),"",IF(OR(UPPER(TRIM(Inputs!$B$24))="MANNING",UPPER(TRIM(Inputs!$B$24))="M"),AX168,IF(OR(UPPER(TRIM(Inputs!$B$24))="PARTIAL",UPPER(TRIM(Inputs!$B$24))="P"),BA168,IF(OR(UPPER(TRIM(Inputs!$B$24))="MAX",UPPER(TRIM(Inputs!$B$24))="X"),MAX(IF(AW168="",0,AW168),IF(AX168="",0,AX168),IF(BA168="",0,BA168)),AW168)))))</f>
        <v/>
      </c>
      <c r="AZ168" s="13" t="str">
        <f aca="false">IF(BB168="","",CH168)</f>
        <v/>
      </c>
      <c r="BA168" s="13" t="str">
        <f aca="false">IF(OR(BB168="",AZ168="",T168="",T168&lt;=0,AZ168&lt;=0),"",BB168/((T168^2/8)*(2*ACOS(1-2*AZ168/T168)-SIN(2*ACOS(1-2*AZ168/T168)))))</f>
        <v/>
      </c>
      <c r="BB168" s="9" t="str">
        <f aca="false">IF(OR(N168="",BC168=""),"",MIN(N168,BC168))</f>
        <v/>
      </c>
      <c r="BC168" s="9" t="str">
        <f aca="false">IF(OR(N168="",T168="",P168=""),"",IF(OR(T168="",P168="",(0.94*T168)="",T168&lt;=0,(0.94*T168)&lt;=0),"",(1/Inputs!$B$9)*((T168^2/8)*((2*ACOS(1-2*(0.94*T168)/T168))-SIN((2*ACOS(1-2*(0.94*T168)/T168)))))*((((T168^2/8)*((2*ACOS(1-2*(0.94*T168)/T168))-SIN((2*ACOS(1-2*(0.94*T168)/T168)))))/((T168/2)*((2*ACOS(1-2*(0.94*T168)/T168)))))^(2/3))*SQRT(P168)))</f>
        <v/>
      </c>
      <c r="BD168" s="9" t="str">
        <f aca="false">IF(BB168="","",0.001*T168)</f>
        <v/>
      </c>
      <c r="BE168" s="9" t="str">
        <f aca="false">IF(BB168="","",0.94*T168)</f>
        <v/>
      </c>
      <c r="BF168" s="9" t="str">
        <f aca="false">IF(BB168="","",(BD168+BE168)/2)</f>
        <v/>
      </c>
      <c r="BG168" s="9" t="str">
        <f aca="false">IF(OR(T168="",P168="",BF168="",T168&lt;=0,BF168&lt;=0),"",(1/Inputs!$B$9)*((T168^2/8)*((2*ACOS(1-2*BF168/T168))-SIN((2*ACOS(1-2*BF168/T168)))))*((((T168^2/8)*((2*ACOS(1-2*BF168/T168))-SIN((2*ACOS(1-2*BF168/T168)))))/((T168/2)*((2*ACOS(1-2*BF168/T168)))))^(2/3))*SQRT(P168))</f>
        <v/>
      </c>
      <c r="BH168" s="9" t="str">
        <f aca="false">IF(BB168="","",IF(BG168&lt;BB168,BF168,BD168))</f>
        <v/>
      </c>
      <c r="BI168" s="9" t="str">
        <f aca="false">IF(BB168="","",IF(BG168&lt;BB168,BE168,BF168))</f>
        <v/>
      </c>
      <c r="BJ168" s="9" t="str">
        <f aca="false">IF(BB168="","",(BH168+BI168)/2)</f>
        <v/>
      </c>
      <c r="BK168" s="9" t="str">
        <f aca="false">IF(OR(T168="",P168="",BJ168="",T168&lt;=0,BJ168&lt;=0),"",(1/Inputs!$B$9)*((T168^2/8)*((2*ACOS(1-2*BJ168/T168))-SIN((2*ACOS(1-2*BJ168/T168)))))*((((T168^2/8)*((2*ACOS(1-2*BJ168/T168))-SIN((2*ACOS(1-2*BJ168/T168)))))/((T168/2)*((2*ACOS(1-2*BJ168/T168)))))^(2/3))*SQRT(P168))</f>
        <v/>
      </c>
      <c r="BL168" s="9" t="str">
        <f aca="false">IF(BB168="","",IF(BK168&lt;BB168,BJ168,BH168))</f>
        <v/>
      </c>
      <c r="BM168" s="9" t="str">
        <f aca="false">IF(BB168="","",IF(BK168&lt;BB168,BI168,BJ168))</f>
        <v/>
      </c>
      <c r="BN168" s="9" t="str">
        <f aca="false">IF(BB168="","",(BL168+BM168)/2)</f>
        <v/>
      </c>
      <c r="BO168" s="9" t="str">
        <f aca="false">IF(OR(T168="",P168="",BN168="",T168&lt;=0,BN168&lt;=0),"",(1/Inputs!$B$9)*((T168^2/8)*((2*ACOS(1-2*BN168/T168))-SIN((2*ACOS(1-2*BN168/T168)))))*((((T168^2/8)*((2*ACOS(1-2*BN168/T168))-SIN((2*ACOS(1-2*BN168/T168)))))/((T168/2)*((2*ACOS(1-2*BN168/T168)))))^(2/3))*SQRT(P168))</f>
        <v/>
      </c>
      <c r="BP168" s="9" t="str">
        <f aca="false">IF(BB168="","",IF(BO168&lt;BB168,BN168,BL168))</f>
        <v/>
      </c>
      <c r="BQ168" s="9" t="str">
        <f aca="false">IF(BB168="","",IF(BO168&lt;BB168,BM168,BN168))</f>
        <v/>
      </c>
      <c r="BR168" s="9" t="str">
        <f aca="false">IF(BB168="","",(BP168+BQ168)/2)</f>
        <v/>
      </c>
      <c r="BS168" s="9" t="str">
        <f aca="false">IF(OR(T168="",P168="",BR168="",T168&lt;=0,BR168&lt;=0),"",(1/Inputs!$B$9)*((T168^2/8)*((2*ACOS(1-2*BR168/T168))-SIN((2*ACOS(1-2*BR168/T168)))))*((((T168^2/8)*((2*ACOS(1-2*BR168/T168))-SIN((2*ACOS(1-2*BR168/T168)))))/((T168/2)*((2*ACOS(1-2*BR168/T168)))))^(2/3))*SQRT(P168))</f>
        <v/>
      </c>
      <c r="BT168" s="9" t="str">
        <f aca="false">IF(BB168="","",IF(BS168&lt;BB168,BR168,BP168))</f>
        <v/>
      </c>
      <c r="BU168" s="9" t="str">
        <f aca="false">IF(BB168="","",IF(BS168&lt;BB168,BQ168,BR168))</f>
        <v/>
      </c>
      <c r="BV168" s="9" t="str">
        <f aca="false">IF(BB168="","",(BT168+BU168)/2)</f>
        <v/>
      </c>
      <c r="BW168" s="9" t="str">
        <f aca="false">IF(OR(T168="",P168="",BV168="",T168&lt;=0,BV168&lt;=0),"",(1/Inputs!$B$9)*((T168^2/8)*((2*ACOS(1-2*BV168/T168))-SIN((2*ACOS(1-2*BV168/T168)))))*((((T168^2/8)*((2*ACOS(1-2*BV168/T168))-SIN((2*ACOS(1-2*BV168/T168)))))/((T168/2)*((2*ACOS(1-2*BV168/T168)))))^(2/3))*SQRT(P168))</f>
        <v/>
      </c>
      <c r="BX168" s="9" t="str">
        <f aca="false">IF(BB168="","",IF(BW168&lt;BB168,BV168,BT168))</f>
        <v/>
      </c>
      <c r="BY168" s="9" t="str">
        <f aca="false">IF(BB168="","",IF(BW168&lt;BB168,BU168,BV168))</f>
        <v/>
      </c>
      <c r="BZ168" s="9" t="str">
        <f aca="false">IF(BB168="","",(BX168+BY168)/2)</f>
        <v/>
      </c>
      <c r="CA168" s="9" t="str">
        <f aca="false">IF(OR(T168="",P168="",BZ168="",T168&lt;=0,BZ168&lt;=0),"",(1/Inputs!$B$9)*((T168^2/8)*((2*ACOS(1-2*BZ168/T168))-SIN((2*ACOS(1-2*BZ168/T168)))))*((((T168^2/8)*((2*ACOS(1-2*BZ168/T168))-SIN((2*ACOS(1-2*BZ168/T168)))))/((T168/2)*((2*ACOS(1-2*BZ168/T168)))))^(2/3))*SQRT(P168))</f>
        <v/>
      </c>
      <c r="CB168" s="9" t="str">
        <f aca="false">IF(BB168="","",IF(CA168&lt;BB168,BZ168,BX168))</f>
        <v/>
      </c>
      <c r="CC168" s="9" t="str">
        <f aca="false">IF(BB168="","",IF(CA168&lt;BB168,BY168,BZ168))</f>
        <v/>
      </c>
      <c r="CD168" s="9" t="str">
        <f aca="false">IF(BB168="","",(CB168+CC168)/2)</f>
        <v/>
      </c>
      <c r="CE168" s="9" t="str">
        <f aca="false">IF(OR(T168="",P168="",CD168="",T168&lt;=0,CD168&lt;=0),"",(1/Inputs!$B$9)*((T168^2/8)*((2*ACOS(1-2*CD168/T168))-SIN((2*ACOS(1-2*CD168/T168)))))*((((T168^2/8)*((2*ACOS(1-2*CD168/T168))-SIN((2*ACOS(1-2*CD168/T168)))))/((T168/2)*((2*ACOS(1-2*CD168/T168)))))^(2/3))*SQRT(P168))</f>
        <v/>
      </c>
      <c r="CF168" s="9" t="str">
        <f aca="false">IF(BB168="","",IF(CE168&lt;BB168,CD168,CB168))</f>
        <v/>
      </c>
      <c r="CG168" s="9" t="str">
        <f aca="false">IF(BB168="","",IF(CE168&lt;BB168,CC168,CD168))</f>
        <v/>
      </c>
      <c r="CH168" s="9" t="str">
        <f aca="false">IF(BB168="","",(CF168+CG168)/2)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14"/>
      <c r="F169" s="14"/>
      <c r="G169" s="14" t="n">
        <f aca="false">SUMIFS(CB_plan!$C:$C,CB_plan!$B:$B,$A169)</f>
        <v>0</v>
      </c>
      <c r="H169" s="14" t="n">
        <f aca="false">IF(F169="",G169,F169)</f>
        <v>0</v>
      </c>
      <c r="I169" s="9"/>
      <c r="J169" s="14"/>
      <c r="K169" s="14" t="str">
        <f aca="false">IF(A169="","",Inputs!$B$13/((IF(AV169="",Inputs!$B$18,AV169)+Inputs!$B$14)^Inputs!$B$15))</f>
        <v/>
      </c>
      <c r="L169" s="14" t="str">
        <f aca="false">IF(A169="","",0.000000278*IF(I169="",Inputs!$B$17,I169)*H169*K169)</f>
        <v/>
      </c>
      <c r="M169" s="14" t="str">
        <f aca="false">IF(A169="","",SUMIFS($N$4:$N$203,$D$4:$D$203,$A169))</f>
        <v/>
      </c>
      <c r="N169" s="14" t="str">
        <f aca="false">IF(A169="","",(L169+M169)*Inputs!$B$16)</f>
        <v/>
      </c>
      <c r="O169" s="14"/>
      <c r="P169" s="14" t="str">
        <f aca="false">IF(A169="","",IF(O169="",Inputs!$B$7,O169))</f>
        <v/>
      </c>
      <c r="Q169" s="9" t="str">
        <f aca="false">IF(A169="","",IF(N169/Inputs!$B$10&lt;=AG169,Inputs!$F$5,IF(N169/Inputs!$B$10&gt;AP169,"OVERSIZE",INDEX(Inputs!$F$5:$F$14,MATCH(N169/Inputs!$B$10,AG169:AP169,1)+1))))</f>
        <v/>
      </c>
      <c r="R169" s="9"/>
      <c r="S169" s="9" t="str">
        <f aca="false">IF(A169="","",IF(R169="",Q169,R169))</f>
        <v/>
      </c>
      <c r="T169" s="14" t="str">
        <f aca="false">IF(OR(S169="",S169="OVERSIZE"),"",S169/1000)</f>
        <v/>
      </c>
      <c r="U169" s="14" t="str">
        <f aca="false">IF(T169="","",(1/Inputs!$B$9)*(PI()*T169^2/4)*((T169/4)^(2/3))*SQRT(P169))</f>
        <v/>
      </c>
      <c r="V169" s="14" t="str">
        <f aca="false">IF(OR(U169="",N169=""),"",N169/(U169*Inputs!$B$10))</f>
        <v/>
      </c>
      <c r="W169" s="14" t="str">
        <f aca="false">IF(OR(T169="",N169=""),"",4*N169/(PI()*T169^2))</f>
        <v/>
      </c>
      <c r="X169" s="14"/>
      <c r="Y169" s="14" t="str">
        <f aca="false">IF(A169="","",IF(A169=Inputs!$B$6,Inputs!$B$22,IF(D169="","",IFERROR(INDEX($Z$4:$Z$203,MATCH(D169,$A$4:$A$203,0))+IF(X169="",Inputs!$B$20,X169),""))))</f>
        <v/>
      </c>
      <c r="Z169" s="14" t="str">
        <f aca="false">IF(OR(Y169="",P169="",E169=""),"",Y169+P169*E169)</f>
        <v/>
      </c>
      <c r="AA169" s="14" t="str">
        <f aca="false">IF(C169="","",IFERROR(INDEX(Noeuds_plan!$C$4:$C$200,MATCH(C169,Noeuds_plan!$A$4:$A$200,0)),""))</f>
        <v/>
      </c>
      <c r="AB169" s="14" t="str">
        <f aca="false">IF(B169="","",IFERROR(INDEX(Noeuds_plan!$C$4:$C$200,MATCH(B169,Noeuds_plan!$A$4:$A$200,0)),""))</f>
        <v/>
      </c>
      <c r="AC169" s="14" t="str">
        <f aca="false">IF(OR(AA169="",Y169=""),"",AA169-Y169)</f>
        <v/>
      </c>
      <c r="AD169" s="14" t="str">
        <f aca="false">IF(OR(AB169="",Z169=""),"",AB169-Z169)</f>
        <v/>
      </c>
      <c r="AE169" s="19" t="str">
        <f aca="false">IF(A169="","",IF(OR(V169&gt;1,AND(AY169&lt;&gt;"",AY169&lt;Inputs!$B$11),AND(AY169&lt;&gt;"",AY169&gt;Inputs!$B$12),AC169&lt;Inputs!$B$19,AD169&lt;Inputs!$B$19,P169&lt;Inputs!$B$7,P169&gt;Inputs!$B$8),"CHECK","OK"))</f>
        <v/>
      </c>
      <c r="AF169" s="9"/>
      <c r="AG169" s="9" t="str">
        <f aca="false">IF(A169="","",(1/Inputs!$B$9)*(PI()*(Inputs!$F$5/1000)^2/4)*((Inputs!$F$5/1000/4)^(2/3))*SQRT(P169))</f>
        <v/>
      </c>
      <c r="AH169" s="9" t="str">
        <f aca="false">IF(A169="","",(1/Inputs!$B$9)*(PI()*(Inputs!$F$6/1000)^2/4)*((Inputs!$F$6/1000/4)^(2/3))*SQRT(P169))</f>
        <v/>
      </c>
      <c r="AI169" s="9" t="str">
        <f aca="false">IF(A169="","",(1/Inputs!$B$9)*(PI()*(Inputs!$F$7/1000)^2/4)*((Inputs!$F$7/1000/4)^(2/3))*SQRT(P169))</f>
        <v/>
      </c>
      <c r="AJ169" s="9" t="str">
        <f aca="false">IF(A169="","",(1/Inputs!$B$9)*(PI()*(Inputs!$F$8/1000)^2/4)*((Inputs!$F$8/1000/4)^(2/3))*SQRT(P169))</f>
        <v/>
      </c>
      <c r="AK169" s="9" t="str">
        <f aca="false">IF(A169="","",(1/Inputs!$B$9)*(PI()*(Inputs!$F$9/1000)^2/4)*((Inputs!$F$9/1000/4)^(2/3))*SQRT(P169))</f>
        <v/>
      </c>
      <c r="AL169" s="9" t="str">
        <f aca="false">IF(A169="","",(1/Inputs!$B$9)*(PI()*(Inputs!$F$10/1000)^2/4)*((Inputs!$F$10/1000/4)^(2/3))*SQRT(P169))</f>
        <v/>
      </c>
      <c r="AM169" s="9" t="str">
        <f aca="false">IF(A169="","",(1/Inputs!$B$9)*(PI()*(Inputs!$F$11/1000)^2/4)*((Inputs!$F$11/1000/4)^(2/3))*SQRT(P169))</f>
        <v/>
      </c>
      <c r="AN169" s="9" t="str">
        <f aca="false">IF(A169="","",(1/Inputs!$B$9)*(PI()*(Inputs!$F$12/1000)^2/4)*((Inputs!$F$12/1000/4)^(2/3))*SQRT(P169))</f>
        <v/>
      </c>
      <c r="AO169" s="9" t="str">
        <f aca="false">IF(A169="","",(1/Inputs!$B$9)*(PI()*(Inputs!$F$13/1000)^2/4)*((Inputs!$F$13/1000/4)^(2/3))*SQRT(P169))</f>
        <v/>
      </c>
      <c r="AP169" s="9" t="str">
        <f aca="false">IF(A169="","",(1/Inputs!$B$9)*(PI()*(Inputs!$F$14/1000)^2/4)*((Inputs!$F$14/1000/4)^(2/3))*SQRT(P169))</f>
        <v/>
      </c>
      <c r="AQ169" s="9" t="str">
        <f aca="false">IF(A169="","",COUNTIF($D$4:$D$203,$A169))</f>
        <v/>
      </c>
      <c r="AR169" s="9" t="str">
        <f aca="false">IF(A169="","",IF(AQ169=0,"START","CONTINUOUS"))</f>
        <v/>
      </c>
      <c r="AS169" s="13" t="str">
        <f aca="false">IF(A169="","",IF(J169="",Inputs!$B$18,J169))</f>
        <v/>
      </c>
      <c r="AT169" s="13" t="str">
        <f aca="false">IF(A169="","",IFERROR(maxifs($AV$4:$AV$203,$D$4:$D$203,$A169),""))</f>
        <v/>
      </c>
      <c r="AU169" s="13" t="str">
        <f aca="false">IF(A169="","",IF(OR(E169="",Inputs!$B$23=""),"",E169/(Inputs!$B$23*60)))</f>
        <v/>
      </c>
      <c r="AV169" s="13" t="str">
        <f aca="false">IF(A169="","",IF(AQ169=0,AS169+AU169,IF(AT169="",AS169+AU169,AT169+AU169)))</f>
        <v/>
      </c>
      <c r="AW169" s="13" t="str">
        <f aca="false">IF(A169="","",W169)</f>
        <v/>
      </c>
      <c r="AX169" s="13" t="str">
        <f aca="false">IF(OR(T169="",P169=""),"",(1/Inputs!$B$9)*((T169/4)^(2/3))*SQRT(P169))</f>
        <v/>
      </c>
      <c r="AY169" s="13" t="str">
        <f aca="false">IF(A169="","",IF(AND(AW169="",AX169="",BA169=""),"",IF(OR(UPPER(TRIM(Inputs!$B$24))="MANNING",UPPER(TRIM(Inputs!$B$24))="M"),AX169,IF(OR(UPPER(TRIM(Inputs!$B$24))="PARTIAL",UPPER(TRIM(Inputs!$B$24))="P"),BA169,IF(OR(UPPER(TRIM(Inputs!$B$24))="MAX",UPPER(TRIM(Inputs!$B$24))="X"),MAX(IF(AW169="",0,AW169),IF(AX169="",0,AX169),IF(BA169="",0,BA169)),AW169)))))</f>
        <v/>
      </c>
      <c r="AZ169" s="13" t="str">
        <f aca="false">IF(BB169="","",CH169)</f>
        <v/>
      </c>
      <c r="BA169" s="13" t="str">
        <f aca="false">IF(OR(BB169="",AZ169="",T169="",T169&lt;=0,AZ169&lt;=0),"",BB169/((T169^2/8)*(2*ACOS(1-2*AZ169/T169)-SIN(2*ACOS(1-2*AZ169/T169)))))</f>
        <v/>
      </c>
      <c r="BB169" s="9" t="str">
        <f aca="false">IF(OR(N169="",BC169=""),"",MIN(N169,BC169))</f>
        <v/>
      </c>
      <c r="BC169" s="9" t="str">
        <f aca="false">IF(OR(N169="",T169="",P169=""),"",IF(OR(T169="",P169="",(0.94*T169)="",T169&lt;=0,(0.94*T169)&lt;=0),"",(1/Inputs!$B$9)*((T169^2/8)*((2*ACOS(1-2*(0.94*T169)/T169))-SIN((2*ACOS(1-2*(0.94*T169)/T169)))))*((((T169^2/8)*((2*ACOS(1-2*(0.94*T169)/T169))-SIN((2*ACOS(1-2*(0.94*T169)/T169)))))/((T169/2)*((2*ACOS(1-2*(0.94*T169)/T169)))))^(2/3))*SQRT(P169)))</f>
        <v/>
      </c>
      <c r="BD169" s="9" t="str">
        <f aca="false">IF(BB169="","",0.001*T169)</f>
        <v/>
      </c>
      <c r="BE169" s="9" t="str">
        <f aca="false">IF(BB169="","",0.94*T169)</f>
        <v/>
      </c>
      <c r="BF169" s="9" t="str">
        <f aca="false">IF(BB169="","",(BD169+BE169)/2)</f>
        <v/>
      </c>
      <c r="BG169" s="9" t="str">
        <f aca="false">IF(OR(T169="",P169="",BF169="",T169&lt;=0,BF169&lt;=0),"",(1/Inputs!$B$9)*((T169^2/8)*((2*ACOS(1-2*BF169/T169))-SIN((2*ACOS(1-2*BF169/T169)))))*((((T169^2/8)*((2*ACOS(1-2*BF169/T169))-SIN((2*ACOS(1-2*BF169/T169)))))/((T169/2)*((2*ACOS(1-2*BF169/T169)))))^(2/3))*SQRT(P169))</f>
        <v/>
      </c>
      <c r="BH169" s="9" t="str">
        <f aca="false">IF(BB169="","",IF(BG169&lt;BB169,BF169,BD169))</f>
        <v/>
      </c>
      <c r="BI169" s="9" t="str">
        <f aca="false">IF(BB169="","",IF(BG169&lt;BB169,BE169,BF169))</f>
        <v/>
      </c>
      <c r="BJ169" s="9" t="str">
        <f aca="false">IF(BB169="","",(BH169+BI169)/2)</f>
        <v/>
      </c>
      <c r="BK169" s="9" t="str">
        <f aca="false">IF(OR(T169="",P169="",BJ169="",T169&lt;=0,BJ169&lt;=0),"",(1/Inputs!$B$9)*((T169^2/8)*((2*ACOS(1-2*BJ169/T169))-SIN((2*ACOS(1-2*BJ169/T169)))))*((((T169^2/8)*((2*ACOS(1-2*BJ169/T169))-SIN((2*ACOS(1-2*BJ169/T169)))))/((T169/2)*((2*ACOS(1-2*BJ169/T169)))))^(2/3))*SQRT(P169))</f>
        <v/>
      </c>
      <c r="BL169" s="9" t="str">
        <f aca="false">IF(BB169="","",IF(BK169&lt;BB169,BJ169,BH169))</f>
        <v/>
      </c>
      <c r="BM169" s="9" t="str">
        <f aca="false">IF(BB169="","",IF(BK169&lt;BB169,BI169,BJ169))</f>
        <v/>
      </c>
      <c r="BN169" s="9" t="str">
        <f aca="false">IF(BB169="","",(BL169+BM169)/2)</f>
        <v/>
      </c>
      <c r="BO169" s="9" t="str">
        <f aca="false">IF(OR(T169="",P169="",BN169="",T169&lt;=0,BN169&lt;=0),"",(1/Inputs!$B$9)*((T169^2/8)*((2*ACOS(1-2*BN169/T169))-SIN((2*ACOS(1-2*BN169/T169)))))*((((T169^2/8)*((2*ACOS(1-2*BN169/T169))-SIN((2*ACOS(1-2*BN169/T169)))))/((T169/2)*((2*ACOS(1-2*BN169/T169)))))^(2/3))*SQRT(P169))</f>
        <v/>
      </c>
      <c r="BP169" s="9" t="str">
        <f aca="false">IF(BB169="","",IF(BO169&lt;BB169,BN169,BL169))</f>
        <v/>
      </c>
      <c r="BQ169" s="9" t="str">
        <f aca="false">IF(BB169="","",IF(BO169&lt;BB169,BM169,BN169))</f>
        <v/>
      </c>
      <c r="BR169" s="9" t="str">
        <f aca="false">IF(BB169="","",(BP169+BQ169)/2)</f>
        <v/>
      </c>
      <c r="BS169" s="9" t="str">
        <f aca="false">IF(OR(T169="",P169="",BR169="",T169&lt;=0,BR169&lt;=0),"",(1/Inputs!$B$9)*((T169^2/8)*((2*ACOS(1-2*BR169/T169))-SIN((2*ACOS(1-2*BR169/T169)))))*((((T169^2/8)*((2*ACOS(1-2*BR169/T169))-SIN((2*ACOS(1-2*BR169/T169)))))/((T169/2)*((2*ACOS(1-2*BR169/T169)))))^(2/3))*SQRT(P169))</f>
        <v/>
      </c>
      <c r="BT169" s="9" t="str">
        <f aca="false">IF(BB169="","",IF(BS169&lt;BB169,BR169,BP169))</f>
        <v/>
      </c>
      <c r="BU169" s="9" t="str">
        <f aca="false">IF(BB169="","",IF(BS169&lt;BB169,BQ169,BR169))</f>
        <v/>
      </c>
      <c r="BV169" s="9" t="str">
        <f aca="false">IF(BB169="","",(BT169+BU169)/2)</f>
        <v/>
      </c>
      <c r="BW169" s="9" t="str">
        <f aca="false">IF(OR(T169="",P169="",BV169="",T169&lt;=0,BV169&lt;=0),"",(1/Inputs!$B$9)*((T169^2/8)*((2*ACOS(1-2*BV169/T169))-SIN((2*ACOS(1-2*BV169/T169)))))*((((T169^2/8)*((2*ACOS(1-2*BV169/T169))-SIN((2*ACOS(1-2*BV169/T169)))))/((T169/2)*((2*ACOS(1-2*BV169/T169)))))^(2/3))*SQRT(P169))</f>
        <v/>
      </c>
      <c r="BX169" s="9" t="str">
        <f aca="false">IF(BB169="","",IF(BW169&lt;BB169,BV169,BT169))</f>
        <v/>
      </c>
      <c r="BY169" s="9" t="str">
        <f aca="false">IF(BB169="","",IF(BW169&lt;BB169,BU169,BV169))</f>
        <v/>
      </c>
      <c r="BZ169" s="9" t="str">
        <f aca="false">IF(BB169="","",(BX169+BY169)/2)</f>
        <v/>
      </c>
      <c r="CA169" s="9" t="str">
        <f aca="false">IF(OR(T169="",P169="",BZ169="",T169&lt;=0,BZ169&lt;=0),"",(1/Inputs!$B$9)*((T169^2/8)*((2*ACOS(1-2*BZ169/T169))-SIN((2*ACOS(1-2*BZ169/T169)))))*((((T169^2/8)*((2*ACOS(1-2*BZ169/T169))-SIN((2*ACOS(1-2*BZ169/T169)))))/((T169/2)*((2*ACOS(1-2*BZ169/T169)))))^(2/3))*SQRT(P169))</f>
        <v/>
      </c>
      <c r="CB169" s="9" t="str">
        <f aca="false">IF(BB169="","",IF(CA169&lt;BB169,BZ169,BX169))</f>
        <v/>
      </c>
      <c r="CC169" s="9" t="str">
        <f aca="false">IF(BB169="","",IF(CA169&lt;BB169,BY169,BZ169))</f>
        <v/>
      </c>
      <c r="CD169" s="9" t="str">
        <f aca="false">IF(BB169="","",(CB169+CC169)/2)</f>
        <v/>
      </c>
      <c r="CE169" s="9" t="str">
        <f aca="false">IF(OR(T169="",P169="",CD169="",T169&lt;=0,CD169&lt;=0),"",(1/Inputs!$B$9)*((T169^2/8)*((2*ACOS(1-2*CD169/T169))-SIN((2*ACOS(1-2*CD169/T169)))))*((((T169^2/8)*((2*ACOS(1-2*CD169/T169))-SIN((2*ACOS(1-2*CD169/T169)))))/((T169/2)*((2*ACOS(1-2*CD169/T169)))))^(2/3))*SQRT(P169))</f>
        <v/>
      </c>
      <c r="CF169" s="9" t="str">
        <f aca="false">IF(BB169="","",IF(CE169&lt;BB169,CD169,CB169))</f>
        <v/>
      </c>
      <c r="CG169" s="9" t="str">
        <f aca="false">IF(BB169="","",IF(CE169&lt;BB169,CC169,CD169))</f>
        <v/>
      </c>
      <c r="CH169" s="9" t="str">
        <f aca="false">IF(BB169="","",(CF169+CG169)/2)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14"/>
      <c r="F170" s="14"/>
      <c r="G170" s="14" t="n">
        <f aca="false">SUMIFS(CB_plan!$C:$C,CB_plan!$B:$B,$A170)</f>
        <v>0</v>
      </c>
      <c r="H170" s="14" t="n">
        <f aca="false">IF(F170="",G170,F170)</f>
        <v>0</v>
      </c>
      <c r="I170" s="9"/>
      <c r="J170" s="14"/>
      <c r="K170" s="14" t="str">
        <f aca="false">IF(A170="","",Inputs!$B$13/((IF(AV170="",Inputs!$B$18,AV170)+Inputs!$B$14)^Inputs!$B$15))</f>
        <v/>
      </c>
      <c r="L170" s="14" t="str">
        <f aca="false">IF(A170="","",0.000000278*IF(I170="",Inputs!$B$17,I170)*H170*K170)</f>
        <v/>
      </c>
      <c r="M170" s="14" t="str">
        <f aca="false">IF(A170="","",SUMIFS($N$4:$N$203,$D$4:$D$203,$A170))</f>
        <v/>
      </c>
      <c r="N170" s="14" t="str">
        <f aca="false">IF(A170="","",(L170+M170)*Inputs!$B$16)</f>
        <v/>
      </c>
      <c r="O170" s="14"/>
      <c r="P170" s="14" t="str">
        <f aca="false">IF(A170="","",IF(O170="",Inputs!$B$7,O170))</f>
        <v/>
      </c>
      <c r="Q170" s="9" t="str">
        <f aca="false">IF(A170="","",IF(N170/Inputs!$B$10&lt;=AG170,Inputs!$F$5,IF(N170/Inputs!$B$10&gt;AP170,"OVERSIZE",INDEX(Inputs!$F$5:$F$14,MATCH(N170/Inputs!$B$10,AG170:AP170,1)+1))))</f>
        <v/>
      </c>
      <c r="R170" s="9"/>
      <c r="S170" s="9" t="str">
        <f aca="false">IF(A170="","",IF(R170="",Q170,R170))</f>
        <v/>
      </c>
      <c r="T170" s="14" t="str">
        <f aca="false">IF(OR(S170="",S170="OVERSIZE"),"",S170/1000)</f>
        <v/>
      </c>
      <c r="U170" s="14" t="str">
        <f aca="false">IF(T170="","",(1/Inputs!$B$9)*(PI()*T170^2/4)*((T170/4)^(2/3))*SQRT(P170))</f>
        <v/>
      </c>
      <c r="V170" s="14" t="str">
        <f aca="false">IF(OR(U170="",N170=""),"",N170/(U170*Inputs!$B$10))</f>
        <v/>
      </c>
      <c r="W170" s="14" t="str">
        <f aca="false">IF(OR(T170="",N170=""),"",4*N170/(PI()*T170^2))</f>
        <v/>
      </c>
      <c r="X170" s="14"/>
      <c r="Y170" s="14" t="str">
        <f aca="false">IF(A170="","",IF(A170=Inputs!$B$6,Inputs!$B$22,IF(D170="","",IFERROR(INDEX($Z$4:$Z$203,MATCH(D170,$A$4:$A$203,0))+IF(X170="",Inputs!$B$20,X170),""))))</f>
        <v/>
      </c>
      <c r="Z170" s="14" t="str">
        <f aca="false">IF(OR(Y170="",P170="",E170=""),"",Y170+P170*E170)</f>
        <v/>
      </c>
      <c r="AA170" s="14" t="str">
        <f aca="false">IF(C170="","",IFERROR(INDEX(Noeuds_plan!$C$4:$C$200,MATCH(C170,Noeuds_plan!$A$4:$A$200,0)),""))</f>
        <v/>
      </c>
      <c r="AB170" s="14" t="str">
        <f aca="false">IF(B170="","",IFERROR(INDEX(Noeuds_plan!$C$4:$C$200,MATCH(B170,Noeuds_plan!$A$4:$A$200,0)),""))</f>
        <v/>
      </c>
      <c r="AC170" s="14" t="str">
        <f aca="false">IF(OR(AA170="",Y170=""),"",AA170-Y170)</f>
        <v/>
      </c>
      <c r="AD170" s="14" t="str">
        <f aca="false">IF(OR(AB170="",Z170=""),"",AB170-Z170)</f>
        <v/>
      </c>
      <c r="AE170" s="19" t="str">
        <f aca="false">IF(A170="","",IF(OR(V170&gt;1,AND(AY170&lt;&gt;"",AY170&lt;Inputs!$B$11),AND(AY170&lt;&gt;"",AY170&gt;Inputs!$B$12),AC170&lt;Inputs!$B$19,AD170&lt;Inputs!$B$19,P170&lt;Inputs!$B$7,P170&gt;Inputs!$B$8),"CHECK","OK"))</f>
        <v/>
      </c>
      <c r="AF170" s="9"/>
      <c r="AG170" s="9" t="str">
        <f aca="false">IF(A170="","",(1/Inputs!$B$9)*(PI()*(Inputs!$F$5/1000)^2/4)*((Inputs!$F$5/1000/4)^(2/3))*SQRT(P170))</f>
        <v/>
      </c>
      <c r="AH170" s="9" t="str">
        <f aca="false">IF(A170="","",(1/Inputs!$B$9)*(PI()*(Inputs!$F$6/1000)^2/4)*((Inputs!$F$6/1000/4)^(2/3))*SQRT(P170))</f>
        <v/>
      </c>
      <c r="AI170" s="9" t="str">
        <f aca="false">IF(A170="","",(1/Inputs!$B$9)*(PI()*(Inputs!$F$7/1000)^2/4)*((Inputs!$F$7/1000/4)^(2/3))*SQRT(P170))</f>
        <v/>
      </c>
      <c r="AJ170" s="9" t="str">
        <f aca="false">IF(A170="","",(1/Inputs!$B$9)*(PI()*(Inputs!$F$8/1000)^2/4)*((Inputs!$F$8/1000/4)^(2/3))*SQRT(P170))</f>
        <v/>
      </c>
      <c r="AK170" s="9" t="str">
        <f aca="false">IF(A170="","",(1/Inputs!$B$9)*(PI()*(Inputs!$F$9/1000)^2/4)*((Inputs!$F$9/1000/4)^(2/3))*SQRT(P170))</f>
        <v/>
      </c>
      <c r="AL170" s="9" t="str">
        <f aca="false">IF(A170="","",(1/Inputs!$B$9)*(PI()*(Inputs!$F$10/1000)^2/4)*((Inputs!$F$10/1000/4)^(2/3))*SQRT(P170))</f>
        <v/>
      </c>
      <c r="AM170" s="9" t="str">
        <f aca="false">IF(A170="","",(1/Inputs!$B$9)*(PI()*(Inputs!$F$11/1000)^2/4)*((Inputs!$F$11/1000/4)^(2/3))*SQRT(P170))</f>
        <v/>
      </c>
      <c r="AN170" s="9" t="str">
        <f aca="false">IF(A170="","",(1/Inputs!$B$9)*(PI()*(Inputs!$F$12/1000)^2/4)*((Inputs!$F$12/1000/4)^(2/3))*SQRT(P170))</f>
        <v/>
      </c>
      <c r="AO170" s="9" t="str">
        <f aca="false">IF(A170="","",(1/Inputs!$B$9)*(PI()*(Inputs!$F$13/1000)^2/4)*((Inputs!$F$13/1000/4)^(2/3))*SQRT(P170))</f>
        <v/>
      </c>
      <c r="AP170" s="9" t="str">
        <f aca="false">IF(A170="","",(1/Inputs!$B$9)*(PI()*(Inputs!$F$14/1000)^2/4)*((Inputs!$F$14/1000/4)^(2/3))*SQRT(P170))</f>
        <v/>
      </c>
      <c r="AQ170" s="9" t="str">
        <f aca="false">IF(A170="","",COUNTIF($D$4:$D$203,$A170))</f>
        <v/>
      </c>
      <c r="AR170" s="9" t="str">
        <f aca="false">IF(A170="","",IF(AQ170=0,"START","CONTINUOUS"))</f>
        <v/>
      </c>
      <c r="AS170" s="13" t="str">
        <f aca="false">IF(A170="","",IF(J170="",Inputs!$B$18,J170))</f>
        <v/>
      </c>
      <c r="AT170" s="13" t="str">
        <f aca="false">IF(A170="","",IFERROR(maxifs($AV$4:$AV$203,$D$4:$D$203,$A170),""))</f>
        <v/>
      </c>
      <c r="AU170" s="13" t="str">
        <f aca="false">IF(A170="","",IF(OR(E170="",Inputs!$B$23=""),"",E170/(Inputs!$B$23*60)))</f>
        <v/>
      </c>
      <c r="AV170" s="13" t="str">
        <f aca="false">IF(A170="","",IF(AQ170=0,AS170+AU170,IF(AT170="",AS170+AU170,AT170+AU170)))</f>
        <v/>
      </c>
      <c r="AW170" s="13" t="str">
        <f aca="false">IF(A170="","",W170)</f>
        <v/>
      </c>
      <c r="AX170" s="13" t="str">
        <f aca="false">IF(OR(T170="",P170=""),"",(1/Inputs!$B$9)*((T170/4)^(2/3))*SQRT(P170))</f>
        <v/>
      </c>
      <c r="AY170" s="13" t="str">
        <f aca="false">IF(A170="","",IF(AND(AW170="",AX170="",BA170=""),"",IF(OR(UPPER(TRIM(Inputs!$B$24))="MANNING",UPPER(TRIM(Inputs!$B$24))="M"),AX170,IF(OR(UPPER(TRIM(Inputs!$B$24))="PARTIAL",UPPER(TRIM(Inputs!$B$24))="P"),BA170,IF(OR(UPPER(TRIM(Inputs!$B$24))="MAX",UPPER(TRIM(Inputs!$B$24))="X"),MAX(IF(AW170="",0,AW170),IF(AX170="",0,AX170),IF(BA170="",0,BA170)),AW170)))))</f>
        <v/>
      </c>
      <c r="AZ170" s="13" t="str">
        <f aca="false">IF(BB170="","",CH170)</f>
        <v/>
      </c>
      <c r="BA170" s="13" t="str">
        <f aca="false">IF(OR(BB170="",AZ170="",T170="",T170&lt;=0,AZ170&lt;=0),"",BB170/((T170^2/8)*(2*ACOS(1-2*AZ170/T170)-SIN(2*ACOS(1-2*AZ170/T170)))))</f>
        <v/>
      </c>
      <c r="BB170" s="9" t="str">
        <f aca="false">IF(OR(N170="",BC170=""),"",MIN(N170,BC170))</f>
        <v/>
      </c>
      <c r="BC170" s="9" t="str">
        <f aca="false">IF(OR(N170="",T170="",P170=""),"",IF(OR(T170="",P170="",(0.94*T170)="",T170&lt;=0,(0.94*T170)&lt;=0),"",(1/Inputs!$B$9)*((T170^2/8)*((2*ACOS(1-2*(0.94*T170)/T170))-SIN((2*ACOS(1-2*(0.94*T170)/T170)))))*((((T170^2/8)*((2*ACOS(1-2*(0.94*T170)/T170))-SIN((2*ACOS(1-2*(0.94*T170)/T170)))))/((T170/2)*((2*ACOS(1-2*(0.94*T170)/T170)))))^(2/3))*SQRT(P170)))</f>
        <v/>
      </c>
      <c r="BD170" s="9" t="str">
        <f aca="false">IF(BB170="","",0.001*T170)</f>
        <v/>
      </c>
      <c r="BE170" s="9" t="str">
        <f aca="false">IF(BB170="","",0.94*T170)</f>
        <v/>
      </c>
      <c r="BF170" s="9" t="str">
        <f aca="false">IF(BB170="","",(BD170+BE170)/2)</f>
        <v/>
      </c>
      <c r="BG170" s="9" t="str">
        <f aca="false">IF(OR(T170="",P170="",BF170="",T170&lt;=0,BF170&lt;=0),"",(1/Inputs!$B$9)*((T170^2/8)*((2*ACOS(1-2*BF170/T170))-SIN((2*ACOS(1-2*BF170/T170)))))*((((T170^2/8)*((2*ACOS(1-2*BF170/T170))-SIN((2*ACOS(1-2*BF170/T170)))))/((T170/2)*((2*ACOS(1-2*BF170/T170)))))^(2/3))*SQRT(P170))</f>
        <v/>
      </c>
      <c r="BH170" s="9" t="str">
        <f aca="false">IF(BB170="","",IF(BG170&lt;BB170,BF170,BD170))</f>
        <v/>
      </c>
      <c r="BI170" s="9" t="str">
        <f aca="false">IF(BB170="","",IF(BG170&lt;BB170,BE170,BF170))</f>
        <v/>
      </c>
      <c r="BJ170" s="9" t="str">
        <f aca="false">IF(BB170="","",(BH170+BI170)/2)</f>
        <v/>
      </c>
      <c r="BK170" s="9" t="str">
        <f aca="false">IF(OR(T170="",P170="",BJ170="",T170&lt;=0,BJ170&lt;=0),"",(1/Inputs!$B$9)*((T170^2/8)*((2*ACOS(1-2*BJ170/T170))-SIN((2*ACOS(1-2*BJ170/T170)))))*((((T170^2/8)*((2*ACOS(1-2*BJ170/T170))-SIN((2*ACOS(1-2*BJ170/T170)))))/((T170/2)*((2*ACOS(1-2*BJ170/T170)))))^(2/3))*SQRT(P170))</f>
        <v/>
      </c>
      <c r="BL170" s="9" t="str">
        <f aca="false">IF(BB170="","",IF(BK170&lt;BB170,BJ170,BH170))</f>
        <v/>
      </c>
      <c r="BM170" s="9" t="str">
        <f aca="false">IF(BB170="","",IF(BK170&lt;BB170,BI170,BJ170))</f>
        <v/>
      </c>
      <c r="BN170" s="9" t="str">
        <f aca="false">IF(BB170="","",(BL170+BM170)/2)</f>
        <v/>
      </c>
      <c r="BO170" s="9" t="str">
        <f aca="false">IF(OR(T170="",P170="",BN170="",T170&lt;=0,BN170&lt;=0),"",(1/Inputs!$B$9)*((T170^2/8)*((2*ACOS(1-2*BN170/T170))-SIN((2*ACOS(1-2*BN170/T170)))))*((((T170^2/8)*((2*ACOS(1-2*BN170/T170))-SIN((2*ACOS(1-2*BN170/T170)))))/((T170/2)*((2*ACOS(1-2*BN170/T170)))))^(2/3))*SQRT(P170))</f>
        <v/>
      </c>
      <c r="BP170" s="9" t="str">
        <f aca="false">IF(BB170="","",IF(BO170&lt;BB170,BN170,BL170))</f>
        <v/>
      </c>
      <c r="BQ170" s="9" t="str">
        <f aca="false">IF(BB170="","",IF(BO170&lt;BB170,BM170,BN170))</f>
        <v/>
      </c>
      <c r="BR170" s="9" t="str">
        <f aca="false">IF(BB170="","",(BP170+BQ170)/2)</f>
        <v/>
      </c>
      <c r="BS170" s="9" t="str">
        <f aca="false">IF(OR(T170="",P170="",BR170="",T170&lt;=0,BR170&lt;=0),"",(1/Inputs!$B$9)*((T170^2/8)*((2*ACOS(1-2*BR170/T170))-SIN((2*ACOS(1-2*BR170/T170)))))*((((T170^2/8)*((2*ACOS(1-2*BR170/T170))-SIN((2*ACOS(1-2*BR170/T170)))))/((T170/2)*((2*ACOS(1-2*BR170/T170)))))^(2/3))*SQRT(P170))</f>
        <v/>
      </c>
      <c r="BT170" s="9" t="str">
        <f aca="false">IF(BB170="","",IF(BS170&lt;BB170,BR170,BP170))</f>
        <v/>
      </c>
      <c r="BU170" s="9" t="str">
        <f aca="false">IF(BB170="","",IF(BS170&lt;BB170,BQ170,BR170))</f>
        <v/>
      </c>
      <c r="BV170" s="9" t="str">
        <f aca="false">IF(BB170="","",(BT170+BU170)/2)</f>
        <v/>
      </c>
      <c r="BW170" s="9" t="str">
        <f aca="false">IF(OR(T170="",P170="",BV170="",T170&lt;=0,BV170&lt;=0),"",(1/Inputs!$B$9)*((T170^2/8)*((2*ACOS(1-2*BV170/T170))-SIN((2*ACOS(1-2*BV170/T170)))))*((((T170^2/8)*((2*ACOS(1-2*BV170/T170))-SIN((2*ACOS(1-2*BV170/T170)))))/((T170/2)*((2*ACOS(1-2*BV170/T170)))))^(2/3))*SQRT(P170))</f>
        <v/>
      </c>
      <c r="BX170" s="9" t="str">
        <f aca="false">IF(BB170="","",IF(BW170&lt;BB170,BV170,BT170))</f>
        <v/>
      </c>
      <c r="BY170" s="9" t="str">
        <f aca="false">IF(BB170="","",IF(BW170&lt;BB170,BU170,BV170))</f>
        <v/>
      </c>
      <c r="BZ170" s="9" t="str">
        <f aca="false">IF(BB170="","",(BX170+BY170)/2)</f>
        <v/>
      </c>
      <c r="CA170" s="9" t="str">
        <f aca="false">IF(OR(T170="",P170="",BZ170="",T170&lt;=0,BZ170&lt;=0),"",(1/Inputs!$B$9)*((T170^2/8)*((2*ACOS(1-2*BZ170/T170))-SIN((2*ACOS(1-2*BZ170/T170)))))*((((T170^2/8)*((2*ACOS(1-2*BZ170/T170))-SIN((2*ACOS(1-2*BZ170/T170)))))/((T170/2)*((2*ACOS(1-2*BZ170/T170)))))^(2/3))*SQRT(P170))</f>
        <v/>
      </c>
      <c r="CB170" s="9" t="str">
        <f aca="false">IF(BB170="","",IF(CA170&lt;BB170,BZ170,BX170))</f>
        <v/>
      </c>
      <c r="CC170" s="9" t="str">
        <f aca="false">IF(BB170="","",IF(CA170&lt;BB170,BY170,BZ170))</f>
        <v/>
      </c>
      <c r="CD170" s="9" t="str">
        <f aca="false">IF(BB170="","",(CB170+CC170)/2)</f>
        <v/>
      </c>
      <c r="CE170" s="9" t="str">
        <f aca="false">IF(OR(T170="",P170="",CD170="",T170&lt;=0,CD170&lt;=0),"",(1/Inputs!$B$9)*((T170^2/8)*((2*ACOS(1-2*CD170/T170))-SIN((2*ACOS(1-2*CD170/T170)))))*((((T170^2/8)*((2*ACOS(1-2*CD170/T170))-SIN((2*ACOS(1-2*CD170/T170)))))/((T170/2)*((2*ACOS(1-2*CD170/T170)))))^(2/3))*SQRT(P170))</f>
        <v/>
      </c>
      <c r="CF170" s="9" t="str">
        <f aca="false">IF(BB170="","",IF(CE170&lt;BB170,CD170,CB170))</f>
        <v/>
      </c>
      <c r="CG170" s="9" t="str">
        <f aca="false">IF(BB170="","",IF(CE170&lt;BB170,CC170,CD170))</f>
        <v/>
      </c>
      <c r="CH170" s="9" t="str">
        <f aca="false">IF(BB170="","",(CF170+CG170)/2)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14"/>
      <c r="F171" s="14"/>
      <c r="G171" s="14" t="n">
        <f aca="false">SUMIFS(CB_plan!$C:$C,CB_plan!$B:$B,$A171)</f>
        <v>0</v>
      </c>
      <c r="H171" s="14" t="n">
        <f aca="false">IF(F171="",G171,F171)</f>
        <v>0</v>
      </c>
      <c r="I171" s="9"/>
      <c r="J171" s="14"/>
      <c r="K171" s="14" t="str">
        <f aca="false">IF(A171="","",Inputs!$B$13/((IF(AV171="",Inputs!$B$18,AV171)+Inputs!$B$14)^Inputs!$B$15))</f>
        <v/>
      </c>
      <c r="L171" s="14" t="str">
        <f aca="false">IF(A171="","",0.000000278*IF(I171="",Inputs!$B$17,I171)*H171*K171)</f>
        <v/>
      </c>
      <c r="M171" s="14" t="str">
        <f aca="false">IF(A171="","",SUMIFS($N$4:$N$203,$D$4:$D$203,$A171))</f>
        <v/>
      </c>
      <c r="N171" s="14" t="str">
        <f aca="false">IF(A171="","",(L171+M171)*Inputs!$B$16)</f>
        <v/>
      </c>
      <c r="O171" s="14"/>
      <c r="P171" s="14" t="str">
        <f aca="false">IF(A171="","",IF(O171="",Inputs!$B$7,O171))</f>
        <v/>
      </c>
      <c r="Q171" s="9" t="str">
        <f aca="false">IF(A171="","",IF(N171/Inputs!$B$10&lt;=AG171,Inputs!$F$5,IF(N171/Inputs!$B$10&gt;AP171,"OVERSIZE",INDEX(Inputs!$F$5:$F$14,MATCH(N171/Inputs!$B$10,AG171:AP171,1)+1))))</f>
        <v/>
      </c>
      <c r="R171" s="9"/>
      <c r="S171" s="9" t="str">
        <f aca="false">IF(A171="","",IF(R171="",Q171,R171))</f>
        <v/>
      </c>
      <c r="T171" s="14" t="str">
        <f aca="false">IF(OR(S171="",S171="OVERSIZE"),"",S171/1000)</f>
        <v/>
      </c>
      <c r="U171" s="14" t="str">
        <f aca="false">IF(T171="","",(1/Inputs!$B$9)*(PI()*T171^2/4)*((T171/4)^(2/3))*SQRT(P171))</f>
        <v/>
      </c>
      <c r="V171" s="14" t="str">
        <f aca="false">IF(OR(U171="",N171=""),"",N171/(U171*Inputs!$B$10))</f>
        <v/>
      </c>
      <c r="W171" s="14" t="str">
        <f aca="false">IF(OR(T171="",N171=""),"",4*N171/(PI()*T171^2))</f>
        <v/>
      </c>
      <c r="X171" s="14"/>
      <c r="Y171" s="14" t="str">
        <f aca="false">IF(A171="","",IF(A171=Inputs!$B$6,Inputs!$B$22,IF(D171="","",IFERROR(INDEX($Z$4:$Z$203,MATCH(D171,$A$4:$A$203,0))+IF(X171="",Inputs!$B$20,X171),""))))</f>
        <v/>
      </c>
      <c r="Z171" s="14" t="str">
        <f aca="false">IF(OR(Y171="",P171="",E171=""),"",Y171+P171*E171)</f>
        <v/>
      </c>
      <c r="AA171" s="14" t="str">
        <f aca="false">IF(C171="","",IFERROR(INDEX(Noeuds_plan!$C$4:$C$200,MATCH(C171,Noeuds_plan!$A$4:$A$200,0)),""))</f>
        <v/>
      </c>
      <c r="AB171" s="14" t="str">
        <f aca="false">IF(B171="","",IFERROR(INDEX(Noeuds_plan!$C$4:$C$200,MATCH(B171,Noeuds_plan!$A$4:$A$200,0)),""))</f>
        <v/>
      </c>
      <c r="AC171" s="14" t="str">
        <f aca="false">IF(OR(AA171="",Y171=""),"",AA171-Y171)</f>
        <v/>
      </c>
      <c r="AD171" s="14" t="str">
        <f aca="false">IF(OR(AB171="",Z171=""),"",AB171-Z171)</f>
        <v/>
      </c>
      <c r="AE171" s="19" t="str">
        <f aca="false">IF(A171="","",IF(OR(V171&gt;1,AND(AY171&lt;&gt;"",AY171&lt;Inputs!$B$11),AND(AY171&lt;&gt;"",AY171&gt;Inputs!$B$12),AC171&lt;Inputs!$B$19,AD171&lt;Inputs!$B$19,P171&lt;Inputs!$B$7,P171&gt;Inputs!$B$8),"CHECK","OK"))</f>
        <v/>
      </c>
      <c r="AF171" s="9"/>
      <c r="AG171" s="9" t="str">
        <f aca="false">IF(A171="","",(1/Inputs!$B$9)*(PI()*(Inputs!$F$5/1000)^2/4)*((Inputs!$F$5/1000/4)^(2/3))*SQRT(P171))</f>
        <v/>
      </c>
      <c r="AH171" s="9" t="str">
        <f aca="false">IF(A171="","",(1/Inputs!$B$9)*(PI()*(Inputs!$F$6/1000)^2/4)*((Inputs!$F$6/1000/4)^(2/3))*SQRT(P171))</f>
        <v/>
      </c>
      <c r="AI171" s="9" t="str">
        <f aca="false">IF(A171="","",(1/Inputs!$B$9)*(PI()*(Inputs!$F$7/1000)^2/4)*((Inputs!$F$7/1000/4)^(2/3))*SQRT(P171))</f>
        <v/>
      </c>
      <c r="AJ171" s="9" t="str">
        <f aca="false">IF(A171="","",(1/Inputs!$B$9)*(PI()*(Inputs!$F$8/1000)^2/4)*((Inputs!$F$8/1000/4)^(2/3))*SQRT(P171))</f>
        <v/>
      </c>
      <c r="AK171" s="9" t="str">
        <f aca="false">IF(A171="","",(1/Inputs!$B$9)*(PI()*(Inputs!$F$9/1000)^2/4)*((Inputs!$F$9/1000/4)^(2/3))*SQRT(P171))</f>
        <v/>
      </c>
      <c r="AL171" s="9" t="str">
        <f aca="false">IF(A171="","",(1/Inputs!$B$9)*(PI()*(Inputs!$F$10/1000)^2/4)*((Inputs!$F$10/1000/4)^(2/3))*SQRT(P171))</f>
        <v/>
      </c>
      <c r="AM171" s="9" t="str">
        <f aca="false">IF(A171="","",(1/Inputs!$B$9)*(PI()*(Inputs!$F$11/1000)^2/4)*((Inputs!$F$11/1000/4)^(2/3))*SQRT(P171))</f>
        <v/>
      </c>
      <c r="AN171" s="9" t="str">
        <f aca="false">IF(A171="","",(1/Inputs!$B$9)*(PI()*(Inputs!$F$12/1000)^2/4)*((Inputs!$F$12/1000/4)^(2/3))*SQRT(P171))</f>
        <v/>
      </c>
      <c r="AO171" s="9" t="str">
        <f aca="false">IF(A171="","",(1/Inputs!$B$9)*(PI()*(Inputs!$F$13/1000)^2/4)*((Inputs!$F$13/1000/4)^(2/3))*SQRT(P171))</f>
        <v/>
      </c>
      <c r="AP171" s="9" t="str">
        <f aca="false">IF(A171="","",(1/Inputs!$B$9)*(PI()*(Inputs!$F$14/1000)^2/4)*((Inputs!$F$14/1000/4)^(2/3))*SQRT(P171))</f>
        <v/>
      </c>
      <c r="AQ171" s="9" t="str">
        <f aca="false">IF(A171="","",COUNTIF($D$4:$D$203,$A171))</f>
        <v/>
      </c>
      <c r="AR171" s="9" t="str">
        <f aca="false">IF(A171="","",IF(AQ171=0,"START","CONTINUOUS"))</f>
        <v/>
      </c>
      <c r="AS171" s="13" t="str">
        <f aca="false">IF(A171="","",IF(J171="",Inputs!$B$18,J171))</f>
        <v/>
      </c>
      <c r="AT171" s="13" t="str">
        <f aca="false">IF(A171="","",IFERROR(maxifs($AV$4:$AV$203,$D$4:$D$203,$A171),""))</f>
        <v/>
      </c>
      <c r="AU171" s="13" t="str">
        <f aca="false">IF(A171="","",IF(OR(E171="",Inputs!$B$23=""),"",E171/(Inputs!$B$23*60)))</f>
        <v/>
      </c>
      <c r="AV171" s="13" t="str">
        <f aca="false">IF(A171="","",IF(AQ171=0,AS171+AU171,IF(AT171="",AS171+AU171,AT171+AU171)))</f>
        <v/>
      </c>
      <c r="AW171" s="13" t="str">
        <f aca="false">IF(A171="","",W171)</f>
        <v/>
      </c>
      <c r="AX171" s="13" t="str">
        <f aca="false">IF(OR(T171="",P171=""),"",(1/Inputs!$B$9)*((T171/4)^(2/3))*SQRT(P171))</f>
        <v/>
      </c>
      <c r="AY171" s="13" t="str">
        <f aca="false">IF(A171="","",IF(AND(AW171="",AX171="",BA171=""),"",IF(OR(UPPER(TRIM(Inputs!$B$24))="MANNING",UPPER(TRIM(Inputs!$B$24))="M"),AX171,IF(OR(UPPER(TRIM(Inputs!$B$24))="PARTIAL",UPPER(TRIM(Inputs!$B$24))="P"),BA171,IF(OR(UPPER(TRIM(Inputs!$B$24))="MAX",UPPER(TRIM(Inputs!$B$24))="X"),MAX(IF(AW171="",0,AW171),IF(AX171="",0,AX171),IF(BA171="",0,BA171)),AW171)))))</f>
        <v/>
      </c>
      <c r="AZ171" s="13" t="str">
        <f aca="false">IF(BB171="","",CH171)</f>
        <v/>
      </c>
      <c r="BA171" s="13" t="str">
        <f aca="false">IF(OR(BB171="",AZ171="",T171="",T171&lt;=0,AZ171&lt;=0),"",BB171/((T171^2/8)*(2*ACOS(1-2*AZ171/T171)-SIN(2*ACOS(1-2*AZ171/T171)))))</f>
        <v/>
      </c>
      <c r="BB171" s="9" t="str">
        <f aca="false">IF(OR(N171="",BC171=""),"",MIN(N171,BC171))</f>
        <v/>
      </c>
      <c r="BC171" s="9" t="str">
        <f aca="false">IF(OR(N171="",T171="",P171=""),"",IF(OR(T171="",P171="",(0.94*T171)="",T171&lt;=0,(0.94*T171)&lt;=0),"",(1/Inputs!$B$9)*((T171^2/8)*((2*ACOS(1-2*(0.94*T171)/T171))-SIN((2*ACOS(1-2*(0.94*T171)/T171)))))*((((T171^2/8)*((2*ACOS(1-2*(0.94*T171)/T171))-SIN((2*ACOS(1-2*(0.94*T171)/T171)))))/((T171/2)*((2*ACOS(1-2*(0.94*T171)/T171)))))^(2/3))*SQRT(P171)))</f>
        <v/>
      </c>
      <c r="BD171" s="9" t="str">
        <f aca="false">IF(BB171="","",0.001*T171)</f>
        <v/>
      </c>
      <c r="BE171" s="9" t="str">
        <f aca="false">IF(BB171="","",0.94*T171)</f>
        <v/>
      </c>
      <c r="BF171" s="9" t="str">
        <f aca="false">IF(BB171="","",(BD171+BE171)/2)</f>
        <v/>
      </c>
      <c r="BG171" s="9" t="str">
        <f aca="false">IF(OR(T171="",P171="",BF171="",T171&lt;=0,BF171&lt;=0),"",(1/Inputs!$B$9)*((T171^2/8)*((2*ACOS(1-2*BF171/T171))-SIN((2*ACOS(1-2*BF171/T171)))))*((((T171^2/8)*((2*ACOS(1-2*BF171/T171))-SIN((2*ACOS(1-2*BF171/T171)))))/((T171/2)*((2*ACOS(1-2*BF171/T171)))))^(2/3))*SQRT(P171))</f>
        <v/>
      </c>
      <c r="BH171" s="9" t="str">
        <f aca="false">IF(BB171="","",IF(BG171&lt;BB171,BF171,BD171))</f>
        <v/>
      </c>
      <c r="BI171" s="9" t="str">
        <f aca="false">IF(BB171="","",IF(BG171&lt;BB171,BE171,BF171))</f>
        <v/>
      </c>
      <c r="BJ171" s="9" t="str">
        <f aca="false">IF(BB171="","",(BH171+BI171)/2)</f>
        <v/>
      </c>
      <c r="BK171" s="9" t="str">
        <f aca="false">IF(OR(T171="",P171="",BJ171="",T171&lt;=0,BJ171&lt;=0),"",(1/Inputs!$B$9)*((T171^2/8)*((2*ACOS(1-2*BJ171/T171))-SIN((2*ACOS(1-2*BJ171/T171)))))*((((T171^2/8)*((2*ACOS(1-2*BJ171/T171))-SIN((2*ACOS(1-2*BJ171/T171)))))/((T171/2)*((2*ACOS(1-2*BJ171/T171)))))^(2/3))*SQRT(P171))</f>
        <v/>
      </c>
      <c r="BL171" s="9" t="str">
        <f aca="false">IF(BB171="","",IF(BK171&lt;BB171,BJ171,BH171))</f>
        <v/>
      </c>
      <c r="BM171" s="9" t="str">
        <f aca="false">IF(BB171="","",IF(BK171&lt;BB171,BI171,BJ171))</f>
        <v/>
      </c>
      <c r="BN171" s="9" t="str">
        <f aca="false">IF(BB171="","",(BL171+BM171)/2)</f>
        <v/>
      </c>
      <c r="BO171" s="9" t="str">
        <f aca="false">IF(OR(T171="",P171="",BN171="",T171&lt;=0,BN171&lt;=0),"",(1/Inputs!$B$9)*((T171^2/8)*((2*ACOS(1-2*BN171/T171))-SIN((2*ACOS(1-2*BN171/T171)))))*((((T171^2/8)*((2*ACOS(1-2*BN171/T171))-SIN((2*ACOS(1-2*BN171/T171)))))/((T171/2)*((2*ACOS(1-2*BN171/T171)))))^(2/3))*SQRT(P171))</f>
        <v/>
      </c>
      <c r="BP171" s="9" t="str">
        <f aca="false">IF(BB171="","",IF(BO171&lt;BB171,BN171,BL171))</f>
        <v/>
      </c>
      <c r="BQ171" s="9" t="str">
        <f aca="false">IF(BB171="","",IF(BO171&lt;BB171,BM171,BN171))</f>
        <v/>
      </c>
      <c r="BR171" s="9" t="str">
        <f aca="false">IF(BB171="","",(BP171+BQ171)/2)</f>
        <v/>
      </c>
      <c r="BS171" s="9" t="str">
        <f aca="false">IF(OR(T171="",P171="",BR171="",T171&lt;=0,BR171&lt;=0),"",(1/Inputs!$B$9)*((T171^2/8)*((2*ACOS(1-2*BR171/T171))-SIN((2*ACOS(1-2*BR171/T171)))))*((((T171^2/8)*((2*ACOS(1-2*BR171/T171))-SIN((2*ACOS(1-2*BR171/T171)))))/((T171/2)*((2*ACOS(1-2*BR171/T171)))))^(2/3))*SQRT(P171))</f>
        <v/>
      </c>
      <c r="BT171" s="9" t="str">
        <f aca="false">IF(BB171="","",IF(BS171&lt;BB171,BR171,BP171))</f>
        <v/>
      </c>
      <c r="BU171" s="9" t="str">
        <f aca="false">IF(BB171="","",IF(BS171&lt;BB171,BQ171,BR171))</f>
        <v/>
      </c>
      <c r="BV171" s="9" t="str">
        <f aca="false">IF(BB171="","",(BT171+BU171)/2)</f>
        <v/>
      </c>
      <c r="BW171" s="9" t="str">
        <f aca="false">IF(OR(T171="",P171="",BV171="",T171&lt;=0,BV171&lt;=0),"",(1/Inputs!$B$9)*((T171^2/8)*((2*ACOS(1-2*BV171/T171))-SIN((2*ACOS(1-2*BV171/T171)))))*((((T171^2/8)*((2*ACOS(1-2*BV171/T171))-SIN((2*ACOS(1-2*BV171/T171)))))/((T171/2)*((2*ACOS(1-2*BV171/T171)))))^(2/3))*SQRT(P171))</f>
        <v/>
      </c>
      <c r="BX171" s="9" t="str">
        <f aca="false">IF(BB171="","",IF(BW171&lt;BB171,BV171,BT171))</f>
        <v/>
      </c>
      <c r="BY171" s="9" t="str">
        <f aca="false">IF(BB171="","",IF(BW171&lt;BB171,BU171,BV171))</f>
        <v/>
      </c>
      <c r="BZ171" s="9" t="str">
        <f aca="false">IF(BB171="","",(BX171+BY171)/2)</f>
        <v/>
      </c>
      <c r="CA171" s="9" t="str">
        <f aca="false">IF(OR(T171="",P171="",BZ171="",T171&lt;=0,BZ171&lt;=0),"",(1/Inputs!$B$9)*((T171^2/8)*((2*ACOS(1-2*BZ171/T171))-SIN((2*ACOS(1-2*BZ171/T171)))))*((((T171^2/8)*((2*ACOS(1-2*BZ171/T171))-SIN((2*ACOS(1-2*BZ171/T171)))))/((T171/2)*((2*ACOS(1-2*BZ171/T171)))))^(2/3))*SQRT(P171))</f>
        <v/>
      </c>
      <c r="CB171" s="9" t="str">
        <f aca="false">IF(BB171="","",IF(CA171&lt;BB171,BZ171,BX171))</f>
        <v/>
      </c>
      <c r="CC171" s="9" t="str">
        <f aca="false">IF(BB171="","",IF(CA171&lt;BB171,BY171,BZ171))</f>
        <v/>
      </c>
      <c r="CD171" s="9" t="str">
        <f aca="false">IF(BB171="","",(CB171+CC171)/2)</f>
        <v/>
      </c>
      <c r="CE171" s="9" t="str">
        <f aca="false">IF(OR(T171="",P171="",CD171="",T171&lt;=0,CD171&lt;=0),"",(1/Inputs!$B$9)*((T171^2/8)*((2*ACOS(1-2*CD171/T171))-SIN((2*ACOS(1-2*CD171/T171)))))*((((T171^2/8)*((2*ACOS(1-2*CD171/T171))-SIN((2*ACOS(1-2*CD171/T171)))))/((T171/2)*((2*ACOS(1-2*CD171/T171)))))^(2/3))*SQRT(P171))</f>
        <v/>
      </c>
      <c r="CF171" s="9" t="str">
        <f aca="false">IF(BB171="","",IF(CE171&lt;BB171,CD171,CB171))</f>
        <v/>
      </c>
      <c r="CG171" s="9" t="str">
        <f aca="false">IF(BB171="","",IF(CE171&lt;BB171,CC171,CD171))</f>
        <v/>
      </c>
      <c r="CH171" s="9" t="str">
        <f aca="false">IF(BB171="","",(CF171+CG171)/2)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14"/>
      <c r="F172" s="14"/>
      <c r="G172" s="14" t="n">
        <f aca="false">SUMIFS(CB_plan!$C:$C,CB_plan!$B:$B,$A172)</f>
        <v>0</v>
      </c>
      <c r="H172" s="14" t="n">
        <f aca="false">IF(F172="",G172,F172)</f>
        <v>0</v>
      </c>
      <c r="I172" s="9"/>
      <c r="J172" s="14"/>
      <c r="K172" s="14" t="str">
        <f aca="false">IF(A172="","",Inputs!$B$13/((IF(AV172="",Inputs!$B$18,AV172)+Inputs!$B$14)^Inputs!$B$15))</f>
        <v/>
      </c>
      <c r="L172" s="14" t="str">
        <f aca="false">IF(A172="","",0.000000278*IF(I172="",Inputs!$B$17,I172)*H172*K172)</f>
        <v/>
      </c>
      <c r="M172" s="14" t="str">
        <f aca="false">IF(A172="","",SUMIFS($N$4:$N$203,$D$4:$D$203,$A172))</f>
        <v/>
      </c>
      <c r="N172" s="14" t="str">
        <f aca="false">IF(A172="","",(L172+M172)*Inputs!$B$16)</f>
        <v/>
      </c>
      <c r="O172" s="14"/>
      <c r="P172" s="14" t="str">
        <f aca="false">IF(A172="","",IF(O172="",Inputs!$B$7,O172))</f>
        <v/>
      </c>
      <c r="Q172" s="9" t="str">
        <f aca="false">IF(A172="","",IF(N172/Inputs!$B$10&lt;=AG172,Inputs!$F$5,IF(N172/Inputs!$B$10&gt;AP172,"OVERSIZE",INDEX(Inputs!$F$5:$F$14,MATCH(N172/Inputs!$B$10,AG172:AP172,1)+1))))</f>
        <v/>
      </c>
      <c r="R172" s="9"/>
      <c r="S172" s="9" t="str">
        <f aca="false">IF(A172="","",IF(R172="",Q172,R172))</f>
        <v/>
      </c>
      <c r="T172" s="14" t="str">
        <f aca="false">IF(OR(S172="",S172="OVERSIZE"),"",S172/1000)</f>
        <v/>
      </c>
      <c r="U172" s="14" t="str">
        <f aca="false">IF(T172="","",(1/Inputs!$B$9)*(PI()*T172^2/4)*((T172/4)^(2/3))*SQRT(P172))</f>
        <v/>
      </c>
      <c r="V172" s="14" t="str">
        <f aca="false">IF(OR(U172="",N172=""),"",N172/(U172*Inputs!$B$10))</f>
        <v/>
      </c>
      <c r="W172" s="14" t="str">
        <f aca="false">IF(OR(T172="",N172=""),"",4*N172/(PI()*T172^2))</f>
        <v/>
      </c>
      <c r="X172" s="14"/>
      <c r="Y172" s="14" t="str">
        <f aca="false">IF(A172="","",IF(A172=Inputs!$B$6,Inputs!$B$22,IF(D172="","",IFERROR(INDEX($Z$4:$Z$203,MATCH(D172,$A$4:$A$203,0))+IF(X172="",Inputs!$B$20,X172),""))))</f>
        <v/>
      </c>
      <c r="Z172" s="14" t="str">
        <f aca="false">IF(OR(Y172="",P172="",E172=""),"",Y172+P172*E172)</f>
        <v/>
      </c>
      <c r="AA172" s="14" t="str">
        <f aca="false">IF(C172="","",IFERROR(INDEX(Noeuds_plan!$C$4:$C$200,MATCH(C172,Noeuds_plan!$A$4:$A$200,0)),""))</f>
        <v/>
      </c>
      <c r="AB172" s="14" t="str">
        <f aca="false">IF(B172="","",IFERROR(INDEX(Noeuds_plan!$C$4:$C$200,MATCH(B172,Noeuds_plan!$A$4:$A$200,0)),""))</f>
        <v/>
      </c>
      <c r="AC172" s="14" t="str">
        <f aca="false">IF(OR(AA172="",Y172=""),"",AA172-Y172)</f>
        <v/>
      </c>
      <c r="AD172" s="14" t="str">
        <f aca="false">IF(OR(AB172="",Z172=""),"",AB172-Z172)</f>
        <v/>
      </c>
      <c r="AE172" s="19" t="str">
        <f aca="false">IF(A172="","",IF(OR(V172&gt;1,AND(AY172&lt;&gt;"",AY172&lt;Inputs!$B$11),AND(AY172&lt;&gt;"",AY172&gt;Inputs!$B$12),AC172&lt;Inputs!$B$19,AD172&lt;Inputs!$B$19,P172&lt;Inputs!$B$7,P172&gt;Inputs!$B$8),"CHECK","OK"))</f>
        <v/>
      </c>
      <c r="AF172" s="9"/>
      <c r="AG172" s="9" t="str">
        <f aca="false">IF(A172="","",(1/Inputs!$B$9)*(PI()*(Inputs!$F$5/1000)^2/4)*((Inputs!$F$5/1000/4)^(2/3))*SQRT(P172))</f>
        <v/>
      </c>
      <c r="AH172" s="9" t="str">
        <f aca="false">IF(A172="","",(1/Inputs!$B$9)*(PI()*(Inputs!$F$6/1000)^2/4)*((Inputs!$F$6/1000/4)^(2/3))*SQRT(P172))</f>
        <v/>
      </c>
      <c r="AI172" s="9" t="str">
        <f aca="false">IF(A172="","",(1/Inputs!$B$9)*(PI()*(Inputs!$F$7/1000)^2/4)*((Inputs!$F$7/1000/4)^(2/3))*SQRT(P172))</f>
        <v/>
      </c>
      <c r="AJ172" s="9" t="str">
        <f aca="false">IF(A172="","",(1/Inputs!$B$9)*(PI()*(Inputs!$F$8/1000)^2/4)*((Inputs!$F$8/1000/4)^(2/3))*SQRT(P172))</f>
        <v/>
      </c>
      <c r="AK172" s="9" t="str">
        <f aca="false">IF(A172="","",(1/Inputs!$B$9)*(PI()*(Inputs!$F$9/1000)^2/4)*((Inputs!$F$9/1000/4)^(2/3))*SQRT(P172))</f>
        <v/>
      </c>
      <c r="AL172" s="9" t="str">
        <f aca="false">IF(A172="","",(1/Inputs!$B$9)*(PI()*(Inputs!$F$10/1000)^2/4)*((Inputs!$F$10/1000/4)^(2/3))*SQRT(P172))</f>
        <v/>
      </c>
      <c r="AM172" s="9" t="str">
        <f aca="false">IF(A172="","",(1/Inputs!$B$9)*(PI()*(Inputs!$F$11/1000)^2/4)*((Inputs!$F$11/1000/4)^(2/3))*SQRT(P172))</f>
        <v/>
      </c>
      <c r="AN172" s="9" t="str">
        <f aca="false">IF(A172="","",(1/Inputs!$B$9)*(PI()*(Inputs!$F$12/1000)^2/4)*((Inputs!$F$12/1000/4)^(2/3))*SQRT(P172))</f>
        <v/>
      </c>
      <c r="AO172" s="9" t="str">
        <f aca="false">IF(A172="","",(1/Inputs!$B$9)*(PI()*(Inputs!$F$13/1000)^2/4)*((Inputs!$F$13/1000/4)^(2/3))*SQRT(P172))</f>
        <v/>
      </c>
      <c r="AP172" s="9" t="str">
        <f aca="false">IF(A172="","",(1/Inputs!$B$9)*(PI()*(Inputs!$F$14/1000)^2/4)*((Inputs!$F$14/1000/4)^(2/3))*SQRT(P172))</f>
        <v/>
      </c>
      <c r="AQ172" s="9" t="str">
        <f aca="false">IF(A172="","",COUNTIF($D$4:$D$203,$A172))</f>
        <v/>
      </c>
      <c r="AR172" s="9" t="str">
        <f aca="false">IF(A172="","",IF(AQ172=0,"START","CONTINUOUS"))</f>
        <v/>
      </c>
      <c r="AS172" s="13" t="str">
        <f aca="false">IF(A172="","",IF(J172="",Inputs!$B$18,J172))</f>
        <v/>
      </c>
      <c r="AT172" s="13" t="str">
        <f aca="false">IF(A172="","",IFERROR(maxifs($AV$4:$AV$203,$D$4:$D$203,$A172),""))</f>
        <v/>
      </c>
      <c r="AU172" s="13" t="str">
        <f aca="false">IF(A172="","",IF(OR(E172="",Inputs!$B$23=""),"",E172/(Inputs!$B$23*60)))</f>
        <v/>
      </c>
      <c r="AV172" s="13" t="str">
        <f aca="false">IF(A172="","",IF(AQ172=0,AS172+AU172,IF(AT172="",AS172+AU172,AT172+AU172)))</f>
        <v/>
      </c>
      <c r="AW172" s="13" t="str">
        <f aca="false">IF(A172="","",W172)</f>
        <v/>
      </c>
      <c r="AX172" s="13" t="str">
        <f aca="false">IF(OR(T172="",P172=""),"",(1/Inputs!$B$9)*((T172/4)^(2/3))*SQRT(P172))</f>
        <v/>
      </c>
      <c r="AY172" s="13" t="str">
        <f aca="false">IF(A172="","",IF(AND(AW172="",AX172="",BA172=""),"",IF(OR(UPPER(TRIM(Inputs!$B$24))="MANNING",UPPER(TRIM(Inputs!$B$24))="M"),AX172,IF(OR(UPPER(TRIM(Inputs!$B$24))="PARTIAL",UPPER(TRIM(Inputs!$B$24))="P"),BA172,IF(OR(UPPER(TRIM(Inputs!$B$24))="MAX",UPPER(TRIM(Inputs!$B$24))="X"),MAX(IF(AW172="",0,AW172),IF(AX172="",0,AX172),IF(BA172="",0,BA172)),AW172)))))</f>
        <v/>
      </c>
      <c r="AZ172" s="13" t="str">
        <f aca="false">IF(BB172="","",CH172)</f>
        <v/>
      </c>
      <c r="BA172" s="13" t="str">
        <f aca="false">IF(OR(BB172="",AZ172="",T172="",T172&lt;=0,AZ172&lt;=0),"",BB172/((T172^2/8)*(2*ACOS(1-2*AZ172/T172)-SIN(2*ACOS(1-2*AZ172/T172)))))</f>
        <v/>
      </c>
      <c r="BB172" s="9" t="str">
        <f aca="false">IF(OR(N172="",BC172=""),"",MIN(N172,BC172))</f>
        <v/>
      </c>
      <c r="BC172" s="9" t="str">
        <f aca="false">IF(OR(N172="",T172="",P172=""),"",IF(OR(T172="",P172="",(0.94*T172)="",T172&lt;=0,(0.94*T172)&lt;=0),"",(1/Inputs!$B$9)*((T172^2/8)*((2*ACOS(1-2*(0.94*T172)/T172))-SIN((2*ACOS(1-2*(0.94*T172)/T172)))))*((((T172^2/8)*((2*ACOS(1-2*(0.94*T172)/T172))-SIN((2*ACOS(1-2*(0.94*T172)/T172)))))/((T172/2)*((2*ACOS(1-2*(0.94*T172)/T172)))))^(2/3))*SQRT(P172)))</f>
        <v/>
      </c>
      <c r="BD172" s="9" t="str">
        <f aca="false">IF(BB172="","",0.001*T172)</f>
        <v/>
      </c>
      <c r="BE172" s="9" t="str">
        <f aca="false">IF(BB172="","",0.94*T172)</f>
        <v/>
      </c>
      <c r="BF172" s="9" t="str">
        <f aca="false">IF(BB172="","",(BD172+BE172)/2)</f>
        <v/>
      </c>
      <c r="BG172" s="9" t="str">
        <f aca="false">IF(OR(T172="",P172="",BF172="",T172&lt;=0,BF172&lt;=0),"",(1/Inputs!$B$9)*((T172^2/8)*((2*ACOS(1-2*BF172/T172))-SIN((2*ACOS(1-2*BF172/T172)))))*((((T172^2/8)*((2*ACOS(1-2*BF172/T172))-SIN((2*ACOS(1-2*BF172/T172)))))/((T172/2)*((2*ACOS(1-2*BF172/T172)))))^(2/3))*SQRT(P172))</f>
        <v/>
      </c>
      <c r="BH172" s="9" t="str">
        <f aca="false">IF(BB172="","",IF(BG172&lt;BB172,BF172,BD172))</f>
        <v/>
      </c>
      <c r="BI172" s="9" t="str">
        <f aca="false">IF(BB172="","",IF(BG172&lt;BB172,BE172,BF172))</f>
        <v/>
      </c>
      <c r="BJ172" s="9" t="str">
        <f aca="false">IF(BB172="","",(BH172+BI172)/2)</f>
        <v/>
      </c>
      <c r="BK172" s="9" t="str">
        <f aca="false">IF(OR(T172="",P172="",BJ172="",T172&lt;=0,BJ172&lt;=0),"",(1/Inputs!$B$9)*((T172^2/8)*((2*ACOS(1-2*BJ172/T172))-SIN((2*ACOS(1-2*BJ172/T172)))))*((((T172^2/8)*((2*ACOS(1-2*BJ172/T172))-SIN((2*ACOS(1-2*BJ172/T172)))))/((T172/2)*((2*ACOS(1-2*BJ172/T172)))))^(2/3))*SQRT(P172))</f>
        <v/>
      </c>
      <c r="BL172" s="9" t="str">
        <f aca="false">IF(BB172="","",IF(BK172&lt;BB172,BJ172,BH172))</f>
        <v/>
      </c>
      <c r="BM172" s="9" t="str">
        <f aca="false">IF(BB172="","",IF(BK172&lt;BB172,BI172,BJ172))</f>
        <v/>
      </c>
      <c r="BN172" s="9" t="str">
        <f aca="false">IF(BB172="","",(BL172+BM172)/2)</f>
        <v/>
      </c>
      <c r="BO172" s="9" t="str">
        <f aca="false">IF(OR(T172="",P172="",BN172="",T172&lt;=0,BN172&lt;=0),"",(1/Inputs!$B$9)*((T172^2/8)*((2*ACOS(1-2*BN172/T172))-SIN((2*ACOS(1-2*BN172/T172)))))*((((T172^2/8)*((2*ACOS(1-2*BN172/T172))-SIN((2*ACOS(1-2*BN172/T172)))))/((T172/2)*((2*ACOS(1-2*BN172/T172)))))^(2/3))*SQRT(P172))</f>
        <v/>
      </c>
      <c r="BP172" s="9" t="str">
        <f aca="false">IF(BB172="","",IF(BO172&lt;BB172,BN172,BL172))</f>
        <v/>
      </c>
      <c r="BQ172" s="9" t="str">
        <f aca="false">IF(BB172="","",IF(BO172&lt;BB172,BM172,BN172))</f>
        <v/>
      </c>
      <c r="BR172" s="9" t="str">
        <f aca="false">IF(BB172="","",(BP172+BQ172)/2)</f>
        <v/>
      </c>
      <c r="BS172" s="9" t="str">
        <f aca="false">IF(OR(T172="",P172="",BR172="",T172&lt;=0,BR172&lt;=0),"",(1/Inputs!$B$9)*((T172^2/8)*((2*ACOS(1-2*BR172/T172))-SIN((2*ACOS(1-2*BR172/T172)))))*((((T172^2/8)*((2*ACOS(1-2*BR172/T172))-SIN((2*ACOS(1-2*BR172/T172)))))/((T172/2)*((2*ACOS(1-2*BR172/T172)))))^(2/3))*SQRT(P172))</f>
        <v/>
      </c>
      <c r="BT172" s="9" t="str">
        <f aca="false">IF(BB172="","",IF(BS172&lt;BB172,BR172,BP172))</f>
        <v/>
      </c>
      <c r="BU172" s="9" t="str">
        <f aca="false">IF(BB172="","",IF(BS172&lt;BB172,BQ172,BR172))</f>
        <v/>
      </c>
      <c r="BV172" s="9" t="str">
        <f aca="false">IF(BB172="","",(BT172+BU172)/2)</f>
        <v/>
      </c>
      <c r="BW172" s="9" t="str">
        <f aca="false">IF(OR(T172="",P172="",BV172="",T172&lt;=0,BV172&lt;=0),"",(1/Inputs!$B$9)*((T172^2/8)*((2*ACOS(1-2*BV172/T172))-SIN((2*ACOS(1-2*BV172/T172)))))*((((T172^2/8)*((2*ACOS(1-2*BV172/T172))-SIN((2*ACOS(1-2*BV172/T172)))))/((T172/2)*((2*ACOS(1-2*BV172/T172)))))^(2/3))*SQRT(P172))</f>
        <v/>
      </c>
      <c r="BX172" s="9" t="str">
        <f aca="false">IF(BB172="","",IF(BW172&lt;BB172,BV172,BT172))</f>
        <v/>
      </c>
      <c r="BY172" s="9" t="str">
        <f aca="false">IF(BB172="","",IF(BW172&lt;BB172,BU172,BV172))</f>
        <v/>
      </c>
      <c r="BZ172" s="9" t="str">
        <f aca="false">IF(BB172="","",(BX172+BY172)/2)</f>
        <v/>
      </c>
      <c r="CA172" s="9" t="str">
        <f aca="false">IF(OR(T172="",P172="",BZ172="",T172&lt;=0,BZ172&lt;=0),"",(1/Inputs!$B$9)*((T172^2/8)*((2*ACOS(1-2*BZ172/T172))-SIN((2*ACOS(1-2*BZ172/T172)))))*((((T172^2/8)*((2*ACOS(1-2*BZ172/T172))-SIN((2*ACOS(1-2*BZ172/T172)))))/((T172/2)*((2*ACOS(1-2*BZ172/T172)))))^(2/3))*SQRT(P172))</f>
        <v/>
      </c>
      <c r="CB172" s="9" t="str">
        <f aca="false">IF(BB172="","",IF(CA172&lt;BB172,BZ172,BX172))</f>
        <v/>
      </c>
      <c r="CC172" s="9" t="str">
        <f aca="false">IF(BB172="","",IF(CA172&lt;BB172,BY172,BZ172))</f>
        <v/>
      </c>
      <c r="CD172" s="9" t="str">
        <f aca="false">IF(BB172="","",(CB172+CC172)/2)</f>
        <v/>
      </c>
      <c r="CE172" s="9" t="str">
        <f aca="false">IF(OR(T172="",P172="",CD172="",T172&lt;=0,CD172&lt;=0),"",(1/Inputs!$B$9)*((T172^2/8)*((2*ACOS(1-2*CD172/T172))-SIN((2*ACOS(1-2*CD172/T172)))))*((((T172^2/8)*((2*ACOS(1-2*CD172/T172))-SIN((2*ACOS(1-2*CD172/T172)))))/((T172/2)*((2*ACOS(1-2*CD172/T172)))))^(2/3))*SQRT(P172))</f>
        <v/>
      </c>
      <c r="CF172" s="9" t="str">
        <f aca="false">IF(BB172="","",IF(CE172&lt;BB172,CD172,CB172))</f>
        <v/>
      </c>
      <c r="CG172" s="9" t="str">
        <f aca="false">IF(BB172="","",IF(CE172&lt;BB172,CC172,CD172))</f>
        <v/>
      </c>
      <c r="CH172" s="9" t="str">
        <f aca="false">IF(BB172="","",(CF172+CG172)/2)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14"/>
      <c r="F173" s="14"/>
      <c r="G173" s="14" t="n">
        <f aca="false">SUMIFS(CB_plan!$C:$C,CB_plan!$B:$B,$A173)</f>
        <v>0</v>
      </c>
      <c r="H173" s="14" t="n">
        <f aca="false">IF(F173="",G173,F173)</f>
        <v>0</v>
      </c>
      <c r="I173" s="9"/>
      <c r="J173" s="14"/>
      <c r="K173" s="14" t="str">
        <f aca="false">IF(A173="","",Inputs!$B$13/((IF(AV173="",Inputs!$B$18,AV173)+Inputs!$B$14)^Inputs!$B$15))</f>
        <v/>
      </c>
      <c r="L173" s="14" t="str">
        <f aca="false">IF(A173="","",0.000000278*IF(I173="",Inputs!$B$17,I173)*H173*K173)</f>
        <v/>
      </c>
      <c r="M173" s="14" t="str">
        <f aca="false">IF(A173="","",SUMIFS($N$4:$N$203,$D$4:$D$203,$A173))</f>
        <v/>
      </c>
      <c r="N173" s="14" t="str">
        <f aca="false">IF(A173="","",(L173+M173)*Inputs!$B$16)</f>
        <v/>
      </c>
      <c r="O173" s="14"/>
      <c r="P173" s="14" t="str">
        <f aca="false">IF(A173="","",IF(O173="",Inputs!$B$7,O173))</f>
        <v/>
      </c>
      <c r="Q173" s="9" t="str">
        <f aca="false">IF(A173="","",IF(N173/Inputs!$B$10&lt;=AG173,Inputs!$F$5,IF(N173/Inputs!$B$10&gt;AP173,"OVERSIZE",INDEX(Inputs!$F$5:$F$14,MATCH(N173/Inputs!$B$10,AG173:AP173,1)+1))))</f>
        <v/>
      </c>
      <c r="R173" s="9"/>
      <c r="S173" s="9" t="str">
        <f aca="false">IF(A173="","",IF(R173="",Q173,R173))</f>
        <v/>
      </c>
      <c r="T173" s="14" t="str">
        <f aca="false">IF(OR(S173="",S173="OVERSIZE"),"",S173/1000)</f>
        <v/>
      </c>
      <c r="U173" s="14" t="str">
        <f aca="false">IF(T173="","",(1/Inputs!$B$9)*(PI()*T173^2/4)*((T173/4)^(2/3))*SQRT(P173))</f>
        <v/>
      </c>
      <c r="V173" s="14" t="str">
        <f aca="false">IF(OR(U173="",N173=""),"",N173/(U173*Inputs!$B$10))</f>
        <v/>
      </c>
      <c r="W173" s="14" t="str">
        <f aca="false">IF(OR(T173="",N173=""),"",4*N173/(PI()*T173^2))</f>
        <v/>
      </c>
      <c r="X173" s="14"/>
      <c r="Y173" s="14" t="str">
        <f aca="false">IF(A173="","",IF(A173=Inputs!$B$6,Inputs!$B$22,IF(D173="","",IFERROR(INDEX($Z$4:$Z$203,MATCH(D173,$A$4:$A$203,0))+IF(X173="",Inputs!$B$20,X173),""))))</f>
        <v/>
      </c>
      <c r="Z173" s="14" t="str">
        <f aca="false">IF(OR(Y173="",P173="",E173=""),"",Y173+P173*E173)</f>
        <v/>
      </c>
      <c r="AA173" s="14" t="str">
        <f aca="false">IF(C173="","",IFERROR(INDEX(Noeuds_plan!$C$4:$C$200,MATCH(C173,Noeuds_plan!$A$4:$A$200,0)),""))</f>
        <v/>
      </c>
      <c r="AB173" s="14" t="str">
        <f aca="false">IF(B173="","",IFERROR(INDEX(Noeuds_plan!$C$4:$C$200,MATCH(B173,Noeuds_plan!$A$4:$A$200,0)),""))</f>
        <v/>
      </c>
      <c r="AC173" s="14" t="str">
        <f aca="false">IF(OR(AA173="",Y173=""),"",AA173-Y173)</f>
        <v/>
      </c>
      <c r="AD173" s="14" t="str">
        <f aca="false">IF(OR(AB173="",Z173=""),"",AB173-Z173)</f>
        <v/>
      </c>
      <c r="AE173" s="19" t="str">
        <f aca="false">IF(A173="","",IF(OR(V173&gt;1,AND(AY173&lt;&gt;"",AY173&lt;Inputs!$B$11),AND(AY173&lt;&gt;"",AY173&gt;Inputs!$B$12),AC173&lt;Inputs!$B$19,AD173&lt;Inputs!$B$19,P173&lt;Inputs!$B$7,P173&gt;Inputs!$B$8),"CHECK","OK"))</f>
        <v/>
      </c>
      <c r="AF173" s="9"/>
      <c r="AG173" s="9" t="str">
        <f aca="false">IF(A173="","",(1/Inputs!$B$9)*(PI()*(Inputs!$F$5/1000)^2/4)*((Inputs!$F$5/1000/4)^(2/3))*SQRT(P173))</f>
        <v/>
      </c>
      <c r="AH173" s="9" t="str">
        <f aca="false">IF(A173="","",(1/Inputs!$B$9)*(PI()*(Inputs!$F$6/1000)^2/4)*((Inputs!$F$6/1000/4)^(2/3))*SQRT(P173))</f>
        <v/>
      </c>
      <c r="AI173" s="9" t="str">
        <f aca="false">IF(A173="","",(1/Inputs!$B$9)*(PI()*(Inputs!$F$7/1000)^2/4)*((Inputs!$F$7/1000/4)^(2/3))*SQRT(P173))</f>
        <v/>
      </c>
      <c r="AJ173" s="9" t="str">
        <f aca="false">IF(A173="","",(1/Inputs!$B$9)*(PI()*(Inputs!$F$8/1000)^2/4)*((Inputs!$F$8/1000/4)^(2/3))*SQRT(P173))</f>
        <v/>
      </c>
      <c r="AK173" s="9" t="str">
        <f aca="false">IF(A173="","",(1/Inputs!$B$9)*(PI()*(Inputs!$F$9/1000)^2/4)*((Inputs!$F$9/1000/4)^(2/3))*SQRT(P173))</f>
        <v/>
      </c>
      <c r="AL173" s="9" t="str">
        <f aca="false">IF(A173="","",(1/Inputs!$B$9)*(PI()*(Inputs!$F$10/1000)^2/4)*((Inputs!$F$10/1000/4)^(2/3))*SQRT(P173))</f>
        <v/>
      </c>
      <c r="AM173" s="9" t="str">
        <f aca="false">IF(A173="","",(1/Inputs!$B$9)*(PI()*(Inputs!$F$11/1000)^2/4)*((Inputs!$F$11/1000/4)^(2/3))*SQRT(P173))</f>
        <v/>
      </c>
      <c r="AN173" s="9" t="str">
        <f aca="false">IF(A173="","",(1/Inputs!$B$9)*(PI()*(Inputs!$F$12/1000)^2/4)*((Inputs!$F$12/1000/4)^(2/3))*SQRT(P173))</f>
        <v/>
      </c>
      <c r="AO173" s="9" t="str">
        <f aca="false">IF(A173="","",(1/Inputs!$B$9)*(PI()*(Inputs!$F$13/1000)^2/4)*((Inputs!$F$13/1000/4)^(2/3))*SQRT(P173))</f>
        <v/>
      </c>
      <c r="AP173" s="9" t="str">
        <f aca="false">IF(A173="","",(1/Inputs!$B$9)*(PI()*(Inputs!$F$14/1000)^2/4)*((Inputs!$F$14/1000/4)^(2/3))*SQRT(P173))</f>
        <v/>
      </c>
      <c r="AQ173" s="9" t="str">
        <f aca="false">IF(A173="","",COUNTIF($D$4:$D$203,$A173))</f>
        <v/>
      </c>
      <c r="AR173" s="9" t="str">
        <f aca="false">IF(A173="","",IF(AQ173=0,"START","CONTINUOUS"))</f>
        <v/>
      </c>
      <c r="AS173" s="13" t="str">
        <f aca="false">IF(A173="","",IF(J173="",Inputs!$B$18,J173))</f>
        <v/>
      </c>
      <c r="AT173" s="13" t="str">
        <f aca="false">IF(A173="","",IFERROR(maxifs($AV$4:$AV$203,$D$4:$D$203,$A173),""))</f>
        <v/>
      </c>
      <c r="AU173" s="13" t="str">
        <f aca="false">IF(A173="","",IF(OR(E173="",Inputs!$B$23=""),"",E173/(Inputs!$B$23*60)))</f>
        <v/>
      </c>
      <c r="AV173" s="13" t="str">
        <f aca="false">IF(A173="","",IF(AQ173=0,AS173+AU173,IF(AT173="",AS173+AU173,AT173+AU173)))</f>
        <v/>
      </c>
      <c r="AW173" s="13" t="str">
        <f aca="false">IF(A173="","",W173)</f>
        <v/>
      </c>
      <c r="AX173" s="13" t="str">
        <f aca="false">IF(OR(T173="",P173=""),"",(1/Inputs!$B$9)*((T173/4)^(2/3))*SQRT(P173))</f>
        <v/>
      </c>
      <c r="AY173" s="13" t="str">
        <f aca="false">IF(A173="","",IF(AND(AW173="",AX173="",BA173=""),"",IF(OR(UPPER(TRIM(Inputs!$B$24))="MANNING",UPPER(TRIM(Inputs!$B$24))="M"),AX173,IF(OR(UPPER(TRIM(Inputs!$B$24))="PARTIAL",UPPER(TRIM(Inputs!$B$24))="P"),BA173,IF(OR(UPPER(TRIM(Inputs!$B$24))="MAX",UPPER(TRIM(Inputs!$B$24))="X"),MAX(IF(AW173="",0,AW173),IF(AX173="",0,AX173),IF(BA173="",0,BA173)),AW173)))))</f>
        <v/>
      </c>
      <c r="AZ173" s="13" t="str">
        <f aca="false">IF(BB173="","",CH173)</f>
        <v/>
      </c>
      <c r="BA173" s="13" t="str">
        <f aca="false">IF(OR(BB173="",AZ173="",T173="",T173&lt;=0,AZ173&lt;=0),"",BB173/((T173^2/8)*(2*ACOS(1-2*AZ173/T173)-SIN(2*ACOS(1-2*AZ173/T173)))))</f>
        <v/>
      </c>
      <c r="BB173" s="9" t="str">
        <f aca="false">IF(OR(N173="",BC173=""),"",MIN(N173,BC173))</f>
        <v/>
      </c>
      <c r="BC173" s="9" t="str">
        <f aca="false">IF(OR(N173="",T173="",P173=""),"",IF(OR(T173="",P173="",(0.94*T173)="",T173&lt;=0,(0.94*T173)&lt;=0),"",(1/Inputs!$B$9)*((T173^2/8)*((2*ACOS(1-2*(0.94*T173)/T173))-SIN((2*ACOS(1-2*(0.94*T173)/T173)))))*((((T173^2/8)*((2*ACOS(1-2*(0.94*T173)/T173))-SIN((2*ACOS(1-2*(0.94*T173)/T173)))))/((T173/2)*((2*ACOS(1-2*(0.94*T173)/T173)))))^(2/3))*SQRT(P173)))</f>
        <v/>
      </c>
      <c r="BD173" s="9" t="str">
        <f aca="false">IF(BB173="","",0.001*T173)</f>
        <v/>
      </c>
      <c r="BE173" s="9" t="str">
        <f aca="false">IF(BB173="","",0.94*T173)</f>
        <v/>
      </c>
      <c r="BF173" s="9" t="str">
        <f aca="false">IF(BB173="","",(BD173+BE173)/2)</f>
        <v/>
      </c>
      <c r="BG173" s="9" t="str">
        <f aca="false">IF(OR(T173="",P173="",BF173="",T173&lt;=0,BF173&lt;=0),"",(1/Inputs!$B$9)*((T173^2/8)*((2*ACOS(1-2*BF173/T173))-SIN((2*ACOS(1-2*BF173/T173)))))*((((T173^2/8)*((2*ACOS(1-2*BF173/T173))-SIN((2*ACOS(1-2*BF173/T173)))))/((T173/2)*((2*ACOS(1-2*BF173/T173)))))^(2/3))*SQRT(P173))</f>
        <v/>
      </c>
      <c r="BH173" s="9" t="str">
        <f aca="false">IF(BB173="","",IF(BG173&lt;BB173,BF173,BD173))</f>
        <v/>
      </c>
      <c r="BI173" s="9" t="str">
        <f aca="false">IF(BB173="","",IF(BG173&lt;BB173,BE173,BF173))</f>
        <v/>
      </c>
      <c r="BJ173" s="9" t="str">
        <f aca="false">IF(BB173="","",(BH173+BI173)/2)</f>
        <v/>
      </c>
      <c r="BK173" s="9" t="str">
        <f aca="false">IF(OR(T173="",P173="",BJ173="",T173&lt;=0,BJ173&lt;=0),"",(1/Inputs!$B$9)*((T173^2/8)*((2*ACOS(1-2*BJ173/T173))-SIN((2*ACOS(1-2*BJ173/T173)))))*((((T173^2/8)*((2*ACOS(1-2*BJ173/T173))-SIN((2*ACOS(1-2*BJ173/T173)))))/((T173/2)*((2*ACOS(1-2*BJ173/T173)))))^(2/3))*SQRT(P173))</f>
        <v/>
      </c>
      <c r="BL173" s="9" t="str">
        <f aca="false">IF(BB173="","",IF(BK173&lt;BB173,BJ173,BH173))</f>
        <v/>
      </c>
      <c r="BM173" s="9" t="str">
        <f aca="false">IF(BB173="","",IF(BK173&lt;BB173,BI173,BJ173))</f>
        <v/>
      </c>
      <c r="BN173" s="9" t="str">
        <f aca="false">IF(BB173="","",(BL173+BM173)/2)</f>
        <v/>
      </c>
      <c r="BO173" s="9" t="str">
        <f aca="false">IF(OR(T173="",P173="",BN173="",T173&lt;=0,BN173&lt;=0),"",(1/Inputs!$B$9)*((T173^2/8)*((2*ACOS(1-2*BN173/T173))-SIN((2*ACOS(1-2*BN173/T173)))))*((((T173^2/8)*((2*ACOS(1-2*BN173/T173))-SIN((2*ACOS(1-2*BN173/T173)))))/((T173/2)*((2*ACOS(1-2*BN173/T173)))))^(2/3))*SQRT(P173))</f>
        <v/>
      </c>
      <c r="BP173" s="9" t="str">
        <f aca="false">IF(BB173="","",IF(BO173&lt;BB173,BN173,BL173))</f>
        <v/>
      </c>
      <c r="BQ173" s="9" t="str">
        <f aca="false">IF(BB173="","",IF(BO173&lt;BB173,BM173,BN173))</f>
        <v/>
      </c>
      <c r="BR173" s="9" t="str">
        <f aca="false">IF(BB173="","",(BP173+BQ173)/2)</f>
        <v/>
      </c>
      <c r="BS173" s="9" t="str">
        <f aca="false">IF(OR(T173="",P173="",BR173="",T173&lt;=0,BR173&lt;=0),"",(1/Inputs!$B$9)*((T173^2/8)*((2*ACOS(1-2*BR173/T173))-SIN((2*ACOS(1-2*BR173/T173)))))*((((T173^2/8)*((2*ACOS(1-2*BR173/T173))-SIN((2*ACOS(1-2*BR173/T173)))))/((T173/2)*((2*ACOS(1-2*BR173/T173)))))^(2/3))*SQRT(P173))</f>
        <v/>
      </c>
      <c r="BT173" s="9" t="str">
        <f aca="false">IF(BB173="","",IF(BS173&lt;BB173,BR173,BP173))</f>
        <v/>
      </c>
      <c r="BU173" s="9" t="str">
        <f aca="false">IF(BB173="","",IF(BS173&lt;BB173,BQ173,BR173))</f>
        <v/>
      </c>
      <c r="BV173" s="9" t="str">
        <f aca="false">IF(BB173="","",(BT173+BU173)/2)</f>
        <v/>
      </c>
      <c r="BW173" s="9" t="str">
        <f aca="false">IF(OR(T173="",P173="",BV173="",T173&lt;=0,BV173&lt;=0),"",(1/Inputs!$B$9)*((T173^2/8)*((2*ACOS(1-2*BV173/T173))-SIN((2*ACOS(1-2*BV173/T173)))))*((((T173^2/8)*((2*ACOS(1-2*BV173/T173))-SIN((2*ACOS(1-2*BV173/T173)))))/((T173/2)*((2*ACOS(1-2*BV173/T173)))))^(2/3))*SQRT(P173))</f>
        <v/>
      </c>
      <c r="BX173" s="9" t="str">
        <f aca="false">IF(BB173="","",IF(BW173&lt;BB173,BV173,BT173))</f>
        <v/>
      </c>
      <c r="BY173" s="9" t="str">
        <f aca="false">IF(BB173="","",IF(BW173&lt;BB173,BU173,BV173))</f>
        <v/>
      </c>
      <c r="BZ173" s="9" t="str">
        <f aca="false">IF(BB173="","",(BX173+BY173)/2)</f>
        <v/>
      </c>
      <c r="CA173" s="9" t="str">
        <f aca="false">IF(OR(T173="",P173="",BZ173="",T173&lt;=0,BZ173&lt;=0),"",(1/Inputs!$B$9)*((T173^2/8)*((2*ACOS(1-2*BZ173/T173))-SIN((2*ACOS(1-2*BZ173/T173)))))*((((T173^2/8)*((2*ACOS(1-2*BZ173/T173))-SIN((2*ACOS(1-2*BZ173/T173)))))/((T173/2)*((2*ACOS(1-2*BZ173/T173)))))^(2/3))*SQRT(P173))</f>
        <v/>
      </c>
      <c r="CB173" s="9" t="str">
        <f aca="false">IF(BB173="","",IF(CA173&lt;BB173,BZ173,BX173))</f>
        <v/>
      </c>
      <c r="CC173" s="9" t="str">
        <f aca="false">IF(BB173="","",IF(CA173&lt;BB173,BY173,BZ173))</f>
        <v/>
      </c>
      <c r="CD173" s="9" t="str">
        <f aca="false">IF(BB173="","",(CB173+CC173)/2)</f>
        <v/>
      </c>
      <c r="CE173" s="9" t="str">
        <f aca="false">IF(OR(T173="",P173="",CD173="",T173&lt;=0,CD173&lt;=0),"",(1/Inputs!$B$9)*((T173^2/8)*((2*ACOS(1-2*CD173/T173))-SIN((2*ACOS(1-2*CD173/T173)))))*((((T173^2/8)*((2*ACOS(1-2*CD173/T173))-SIN((2*ACOS(1-2*CD173/T173)))))/((T173/2)*((2*ACOS(1-2*CD173/T173)))))^(2/3))*SQRT(P173))</f>
        <v/>
      </c>
      <c r="CF173" s="9" t="str">
        <f aca="false">IF(BB173="","",IF(CE173&lt;BB173,CD173,CB173))</f>
        <v/>
      </c>
      <c r="CG173" s="9" t="str">
        <f aca="false">IF(BB173="","",IF(CE173&lt;BB173,CC173,CD173))</f>
        <v/>
      </c>
      <c r="CH173" s="9" t="str">
        <f aca="false">IF(BB173="","",(CF173+CG173)/2)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14"/>
      <c r="F174" s="14"/>
      <c r="G174" s="14" t="n">
        <f aca="false">SUMIFS(CB_plan!$C:$C,CB_plan!$B:$B,$A174)</f>
        <v>0</v>
      </c>
      <c r="H174" s="14" t="n">
        <f aca="false">IF(F174="",G174,F174)</f>
        <v>0</v>
      </c>
      <c r="I174" s="9"/>
      <c r="J174" s="14"/>
      <c r="K174" s="14" t="str">
        <f aca="false">IF(A174="","",Inputs!$B$13/((IF(AV174="",Inputs!$B$18,AV174)+Inputs!$B$14)^Inputs!$B$15))</f>
        <v/>
      </c>
      <c r="L174" s="14" t="str">
        <f aca="false">IF(A174="","",0.000000278*IF(I174="",Inputs!$B$17,I174)*H174*K174)</f>
        <v/>
      </c>
      <c r="M174" s="14" t="str">
        <f aca="false">IF(A174="","",SUMIFS($N$4:$N$203,$D$4:$D$203,$A174))</f>
        <v/>
      </c>
      <c r="N174" s="14" t="str">
        <f aca="false">IF(A174="","",(L174+M174)*Inputs!$B$16)</f>
        <v/>
      </c>
      <c r="O174" s="14"/>
      <c r="P174" s="14" t="str">
        <f aca="false">IF(A174="","",IF(O174="",Inputs!$B$7,O174))</f>
        <v/>
      </c>
      <c r="Q174" s="9" t="str">
        <f aca="false">IF(A174="","",IF(N174/Inputs!$B$10&lt;=AG174,Inputs!$F$5,IF(N174/Inputs!$B$10&gt;AP174,"OVERSIZE",INDEX(Inputs!$F$5:$F$14,MATCH(N174/Inputs!$B$10,AG174:AP174,1)+1))))</f>
        <v/>
      </c>
      <c r="R174" s="9"/>
      <c r="S174" s="9" t="str">
        <f aca="false">IF(A174="","",IF(R174="",Q174,R174))</f>
        <v/>
      </c>
      <c r="T174" s="14" t="str">
        <f aca="false">IF(OR(S174="",S174="OVERSIZE"),"",S174/1000)</f>
        <v/>
      </c>
      <c r="U174" s="14" t="str">
        <f aca="false">IF(T174="","",(1/Inputs!$B$9)*(PI()*T174^2/4)*((T174/4)^(2/3))*SQRT(P174))</f>
        <v/>
      </c>
      <c r="V174" s="14" t="str">
        <f aca="false">IF(OR(U174="",N174=""),"",N174/(U174*Inputs!$B$10))</f>
        <v/>
      </c>
      <c r="W174" s="14" t="str">
        <f aca="false">IF(OR(T174="",N174=""),"",4*N174/(PI()*T174^2))</f>
        <v/>
      </c>
      <c r="X174" s="14"/>
      <c r="Y174" s="14" t="str">
        <f aca="false">IF(A174="","",IF(A174=Inputs!$B$6,Inputs!$B$22,IF(D174="","",IFERROR(INDEX($Z$4:$Z$203,MATCH(D174,$A$4:$A$203,0))+IF(X174="",Inputs!$B$20,X174),""))))</f>
        <v/>
      </c>
      <c r="Z174" s="14" t="str">
        <f aca="false">IF(OR(Y174="",P174="",E174=""),"",Y174+P174*E174)</f>
        <v/>
      </c>
      <c r="AA174" s="14" t="str">
        <f aca="false">IF(C174="","",IFERROR(INDEX(Noeuds_plan!$C$4:$C$200,MATCH(C174,Noeuds_plan!$A$4:$A$200,0)),""))</f>
        <v/>
      </c>
      <c r="AB174" s="14" t="str">
        <f aca="false">IF(B174="","",IFERROR(INDEX(Noeuds_plan!$C$4:$C$200,MATCH(B174,Noeuds_plan!$A$4:$A$200,0)),""))</f>
        <v/>
      </c>
      <c r="AC174" s="14" t="str">
        <f aca="false">IF(OR(AA174="",Y174=""),"",AA174-Y174)</f>
        <v/>
      </c>
      <c r="AD174" s="14" t="str">
        <f aca="false">IF(OR(AB174="",Z174=""),"",AB174-Z174)</f>
        <v/>
      </c>
      <c r="AE174" s="19" t="str">
        <f aca="false">IF(A174="","",IF(OR(V174&gt;1,AND(AY174&lt;&gt;"",AY174&lt;Inputs!$B$11),AND(AY174&lt;&gt;"",AY174&gt;Inputs!$B$12),AC174&lt;Inputs!$B$19,AD174&lt;Inputs!$B$19,P174&lt;Inputs!$B$7,P174&gt;Inputs!$B$8),"CHECK","OK"))</f>
        <v/>
      </c>
      <c r="AF174" s="9"/>
      <c r="AG174" s="9" t="str">
        <f aca="false">IF(A174="","",(1/Inputs!$B$9)*(PI()*(Inputs!$F$5/1000)^2/4)*((Inputs!$F$5/1000/4)^(2/3))*SQRT(P174))</f>
        <v/>
      </c>
      <c r="AH174" s="9" t="str">
        <f aca="false">IF(A174="","",(1/Inputs!$B$9)*(PI()*(Inputs!$F$6/1000)^2/4)*((Inputs!$F$6/1000/4)^(2/3))*SQRT(P174))</f>
        <v/>
      </c>
      <c r="AI174" s="9" t="str">
        <f aca="false">IF(A174="","",(1/Inputs!$B$9)*(PI()*(Inputs!$F$7/1000)^2/4)*((Inputs!$F$7/1000/4)^(2/3))*SQRT(P174))</f>
        <v/>
      </c>
      <c r="AJ174" s="9" t="str">
        <f aca="false">IF(A174="","",(1/Inputs!$B$9)*(PI()*(Inputs!$F$8/1000)^2/4)*((Inputs!$F$8/1000/4)^(2/3))*SQRT(P174))</f>
        <v/>
      </c>
      <c r="AK174" s="9" t="str">
        <f aca="false">IF(A174="","",(1/Inputs!$B$9)*(PI()*(Inputs!$F$9/1000)^2/4)*((Inputs!$F$9/1000/4)^(2/3))*SQRT(P174))</f>
        <v/>
      </c>
      <c r="AL174" s="9" t="str">
        <f aca="false">IF(A174="","",(1/Inputs!$B$9)*(PI()*(Inputs!$F$10/1000)^2/4)*((Inputs!$F$10/1000/4)^(2/3))*SQRT(P174))</f>
        <v/>
      </c>
      <c r="AM174" s="9" t="str">
        <f aca="false">IF(A174="","",(1/Inputs!$B$9)*(PI()*(Inputs!$F$11/1000)^2/4)*((Inputs!$F$11/1000/4)^(2/3))*SQRT(P174))</f>
        <v/>
      </c>
      <c r="AN174" s="9" t="str">
        <f aca="false">IF(A174="","",(1/Inputs!$B$9)*(PI()*(Inputs!$F$12/1000)^2/4)*((Inputs!$F$12/1000/4)^(2/3))*SQRT(P174))</f>
        <v/>
      </c>
      <c r="AO174" s="9" t="str">
        <f aca="false">IF(A174="","",(1/Inputs!$B$9)*(PI()*(Inputs!$F$13/1000)^2/4)*((Inputs!$F$13/1000/4)^(2/3))*SQRT(P174))</f>
        <v/>
      </c>
      <c r="AP174" s="9" t="str">
        <f aca="false">IF(A174="","",(1/Inputs!$B$9)*(PI()*(Inputs!$F$14/1000)^2/4)*((Inputs!$F$14/1000/4)^(2/3))*SQRT(P174))</f>
        <v/>
      </c>
      <c r="AQ174" s="9" t="str">
        <f aca="false">IF(A174="","",COUNTIF($D$4:$D$203,$A174))</f>
        <v/>
      </c>
      <c r="AR174" s="9" t="str">
        <f aca="false">IF(A174="","",IF(AQ174=0,"START","CONTINUOUS"))</f>
        <v/>
      </c>
      <c r="AS174" s="13" t="str">
        <f aca="false">IF(A174="","",IF(J174="",Inputs!$B$18,J174))</f>
        <v/>
      </c>
      <c r="AT174" s="13" t="str">
        <f aca="false">IF(A174="","",IFERROR(maxifs($AV$4:$AV$203,$D$4:$D$203,$A174),""))</f>
        <v/>
      </c>
      <c r="AU174" s="13" t="str">
        <f aca="false">IF(A174="","",IF(OR(E174="",Inputs!$B$23=""),"",E174/(Inputs!$B$23*60)))</f>
        <v/>
      </c>
      <c r="AV174" s="13" t="str">
        <f aca="false">IF(A174="","",IF(AQ174=0,AS174+AU174,IF(AT174="",AS174+AU174,AT174+AU174)))</f>
        <v/>
      </c>
      <c r="AW174" s="13" t="str">
        <f aca="false">IF(A174="","",W174)</f>
        <v/>
      </c>
      <c r="AX174" s="13" t="str">
        <f aca="false">IF(OR(T174="",P174=""),"",(1/Inputs!$B$9)*((T174/4)^(2/3))*SQRT(P174))</f>
        <v/>
      </c>
      <c r="AY174" s="13" t="str">
        <f aca="false">IF(A174="","",IF(AND(AW174="",AX174="",BA174=""),"",IF(OR(UPPER(TRIM(Inputs!$B$24))="MANNING",UPPER(TRIM(Inputs!$B$24))="M"),AX174,IF(OR(UPPER(TRIM(Inputs!$B$24))="PARTIAL",UPPER(TRIM(Inputs!$B$24))="P"),BA174,IF(OR(UPPER(TRIM(Inputs!$B$24))="MAX",UPPER(TRIM(Inputs!$B$24))="X"),MAX(IF(AW174="",0,AW174),IF(AX174="",0,AX174),IF(BA174="",0,BA174)),AW174)))))</f>
        <v/>
      </c>
      <c r="AZ174" s="13" t="str">
        <f aca="false">IF(BB174="","",CH174)</f>
        <v/>
      </c>
      <c r="BA174" s="13" t="str">
        <f aca="false">IF(OR(BB174="",AZ174="",T174="",T174&lt;=0,AZ174&lt;=0),"",BB174/((T174^2/8)*(2*ACOS(1-2*AZ174/T174)-SIN(2*ACOS(1-2*AZ174/T174)))))</f>
        <v/>
      </c>
      <c r="BB174" s="9" t="str">
        <f aca="false">IF(OR(N174="",BC174=""),"",MIN(N174,BC174))</f>
        <v/>
      </c>
      <c r="BC174" s="9" t="str">
        <f aca="false">IF(OR(N174="",T174="",P174=""),"",IF(OR(T174="",P174="",(0.94*T174)="",T174&lt;=0,(0.94*T174)&lt;=0),"",(1/Inputs!$B$9)*((T174^2/8)*((2*ACOS(1-2*(0.94*T174)/T174))-SIN((2*ACOS(1-2*(0.94*T174)/T174)))))*((((T174^2/8)*((2*ACOS(1-2*(0.94*T174)/T174))-SIN((2*ACOS(1-2*(0.94*T174)/T174)))))/((T174/2)*((2*ACOS(1-2*(0.94*T174)/T174)))))^(2/3))*SQRT(P174)))</f>
        <v/>
      </c>
      <c r="BD174" s="9" t="str">
        <f aca="false">IF(BB174="","",0.001*T174)</f>
        <v/>
      </c>
      <c r="BE174" s="9" t="str">
        <f aca="false">IF(BB174="","",0.94*T174)</f>
        <v/>
      </c>
      <c r="BF174" s="9" t="str">
        <f aca="false">IF(BB174="","",(BD174+BE174)/2)</f>
        <v/>
      </c>
      <c r="BG174" s="9" t="str">
        <f aca="false">IF(OR(T174="",P174="",BF174="",T174&lt;=0,BF174&lt;=0),"",(1/Inputs!$B$9)*((T174^2/8)*((2*ACOS(1-2*BF174/T174))-SIN((2*ACOS(1-2*BF174/T174)))))*((((T174^2/8)*((2*ACOS(1-2*BF174/T174))-SIN((2*ACOS(1-2*BF174/T174)))))/((T174/2)*((2*ACOS(1-2*BF174/T174)))))^(2/3))*SQRT(P174))</f>
        <v/>
      </c>
      <c r="BH174" s="9" t="str">
        <f aca="false">IF(BB174="","",IF(BG174&lt;BB174,BF174,BD174))</f>
        <v/>
      </c>
      <c r="BI174" s="9" t="str">
        <f aca="false">IF(BB174="","",IF(BG174&lt;BB174,BE174,BF174))</f>
        <v/>
      </c>
      <c r="BJ174" s="9" t="str">
        <f aca="false">IF(BB174="","",(BH174+BI174)/2)</f>
        <v/>
      </c>
      <c r="BK174" s="9" t="str">
        <f aca="false">IF(OR(T174="",P174="",BJ174="",T174&lt;=0,BJ174&lt;=0),"",(1/Inputs!$B$9)*((T174^2/8)*((2*ACOS(1-2*BJ174/T174))-SIN((2*ACOS(1-2*BJ174/T174)))))*((((T174^2/8)*((2*ACOS(1-2*BJ174/T174))-SIN((2*ACOS(1-2*BJ174/T174)))))/((T174/2)*((2*ACOS(1-2*BJ174/T174)))))^(2/3))*SQRT(P174))</f>
        <v/>
      </c>
      <c r="BL174" s="9" t="str">
        <f aca="false">IF(BB174="","",IF(BK174&lt;BB174,BJ174,BH174))</f>
        <v/>
      </c>
      <c r="BM174" s="9" t="str">
        <f aca="false">IF(BB174="","",IF(BK174&lt;BB174,BI174,BJ174))</f>
        <v/>
      </c>
      <c r="BN174" s="9" t="str">
        <f aca="false">IF(BB174="","",(BL174+BM174)/2)</f>
        <v/>
      </c>
      <c r="BO174" s="9" t="str">
        <f aca="false">IF(OR(T174="",P174="",BN174="",T174&lt;=0,BN174&lt;=0),"",(1/Inputs!$B$9)*((T174^2/8)*((2*ACOS(1-2*BN174/T174))-SIN((2*ACOS(1-2*BN174/T174)))))*((((T174^2/8)*((2*ACOS(1-2*BN174/T174))-SIN((2*ACOS(1-2*BN174/T174)))))/((T174/2)*((2*ACOS(1-2*BN174/T174)))))^(2/3))*SQRT(P174))</f>
        <v/>
      </c>
      <c r="BP174" s="9" t="str">
        <f aca="false">IF(BB174="","",IF(BO174&lt;BB174,BN174,BL174))</f>
        <v/>
      </c>
      <c r="BQ174" s="9" t="str">
        <f aca="false">IF(BB174="","",IF(BO174&lt;BB174,BM174,BN174))</f>
        <v/>
      </c>
      <c r="BR174" s="9" t="str">
        <f aca="false">IF(BB174="","",(BP174+BQ174)/2)</f>
        <v/>
      </c>
      <c r="BS174" s="9" t="str">
        <f aca="false">IF(OR(T174="",P174="",BR174="",T174&lt;=0,BR174&lt;=0),"",(1/Inputs!$B$9)*((T174^2/8)*((2*ACOS(1-2*BR174/T174))-SIN((2*ACOS(1-2*BR174/T174)))))*((((T174^2/8)*((2*ACOS(1-2*BR174/T174))-SIN((2*ACOS(1-2*BR174/T174)))))/((T174/2)*((2*ACOS(1-2*BR174/T174)))))^(2/3))*SQRT(P174))</f>
        <v/>
      </c>
      <c r="BT174" s="9" t="str">
        <f aca="false">IF(BB174="","",IF(BS174&lt;BB174,BR174,BP174))</f>
        <v/>
      </c>
      <c r="BU174" s="9" t="str">
        <f aca="false">IF(BB174="","",IF(BS174&lt;BB174,BQ174,BR174))</f>
        <v/>
      </c>
      <c r="BV174" s="9" t="str">
        <f aca="false">IF(BB174="","",(BT174+BU174)/2)</f>
        <v/>
      </c>
      <c r="BW174" s="9" t="str">
        <f aca="false">IF(OR(T174="",P174="",BV174="",T174&lt;=0,BV174&lt;=0),"",(1/Inputs!$B$9)*((T174^2/8)*((2*ACOS(1-2*BV174/T174))-SIN((2*ACOS(1-2*BV174/T174)))))*((((T174^2/8)*((2*ACOS(1-2*BV174/T174))-SIN((2*ACOS(1-2*BV174/T174)))))/((T174/2)*((2*ACOS(1-2*BV174/T174)))))^(2/3))*SQRT(P174))</f>
        <v/>
      </c>
      <c r="BX174" s="9" t="str">
        <f aca="false">IF(BB174="","",IF(BW174&lt;BB174,BV174,BT174))</f>
        <v/>
      </c>
      <c r="BY174" s="9" t="str">
        <f aca="false">IF(BB174="","",IF(BW174&lt;BB174,BU174,BV174))</f>
        <v/>
      </c>
      <c r="BZ174" s="9" t="str">
        <f aca="false">IF(BB174="","",(BX174+BY174)/2)</f>
        <v/>
      </c>
      <c r="CA174" s="9" t="str">
        <f aca="false">IF(OR(T174="",P174="",BZ174="",T174&lt;=0,BZ174&lt;=0),"",(1/Inputs!$B$9)*((T174^2/8)*((2*ACOS(1-2*BZ174/T174))-SIN((2*ACOS(1-2*BZ174/T174)))))*((((T174^2/8)*((2*ACOS(1-2*BZ174/T174))-SIN((2*ACOS(1-2*BZ174/T174)))))/((T174/2)*((2*ACOS(1-2*BZ174/T174)))))^(2/3))*SQRT(P174))</f>
        <v/>
      </c>
      <c r="CB174" s="9" t="str">
        <f aca="false">IF(BB174="","",IF(CA174&lt;BB174,BZ174,BX174))</f>
        <v/>
      </c>
      <c r="CC174" s="9" t="str">
        <f aca="false">IF(BB174="","",IF(CA174&lt;BB174,BY174,BZ174))</f>
        <v/>
      </c>
      <c r="CD174" s="9" t="str">
        <f aca="false">IF(BB174="","",(CB174+CC174)/2)</f>
        <v/>
      </c>
      <c r="CE174" s="9" t="str">
        <f aca="false">IF(OR(T174="",P174="",CD174="",T174&lt;=0,CD174&lt;=0),"",(1/Inputs!$B$9)*((T174^2/8)*((2*ACOS(1-2*CD174/T174))-SIN((2*ACOS(1-2*CD174/T174)))))*((((T174^2/8)*((2*ACOS(1-2*CD174/T174))-SIN((2*ACOS(1-2*CD174/T174)))))/((T174/2)*((2*ACOS(1-2*CD174/T174)))))^(2/3))*SQRT(P174))</f>
        <v/>
      </c>
      <c r="CF174" s="9" t="str">
        <f aca="false">IF(BB174="","",IF(CE174&lt;BB174,CD174,CB174))</f>
        <v/>
      </c>
      <c r="CG174" s="9" t="str">
        <f aca="false">IF(BB174="","",IF(CE174&lt;BB174,CC174,CD174))</f>
        <v/>
      </c>
      <c r="CH174" s="9" t="str">
        <f aca="false">IF(BB174="","",(CF174+CG174)/2)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14"/>
      <c r="F175" s="14"/>
      <c r="G175" s="14" t="n">
        <f aca="false">SUMIFS(CB_plan!$C:$C,CB_plan!$B:$B,$A175)</f>
        <v>0</v>
      </c>
      <c r="H175" s="14" t="n">
        <f aca="false">IF(F175="",G175,F175)</f>
        <v>0</v>
      </c>
      <c r="I175" s="9"/>
      <c r="J175" s="14"/>
      <c r="K175" s="14" t="str">
        <f aca="false">IF(A175="","",Inputs!$B$13/((IF(AV175="",Inputs!$B$18,AV175)+Inputs!$B$14)^Inputs!$B$15))</f>
        <v/>
      </c>
      <c r="L175" s="14" t="str">
        <f aca="false">IF(A175="","",0.000000278*IF(I175="",Inputs!$B$17,I175)*H175*K175)</f>
        <v/>
      </c>
      <c r="M175" s="14" t="str">
        <f aca="false">IF(A175="","",SUMIFS($N$4:$N$203,$D$4:$D$203,$A175))</f>
        <v/>
      </c>
      <c r="N175" s="14" t="str">
        <f aca="false">IF(A175="","",(L175+M175)*Inputs!$B$16)</f>
        <v/>
      </c>
      <c r="O175" s="14"/>
      <c r="P175" s="14" t="str">
        <f aca="false">IF(A175="","",IF(O175="",Inputs!$B$7,O175))</f>
        <v/>
      </c>
      <c r="Q175" s="9" t="str">
        <f aca="false">IF(A175="","",IF(N175/Inputs!$B$10&lt;=AG175,Inputs!$F$5,IF(N175/Inputs!$B$10&gt;AP175,"OVERSIZE",INDEX(Inputs!$F$5:$F$14,MATCH(N175/Inputs!$B$10,AG175:AP175,1)+1))))</f>
        <v/>
      </c>
      <c r="R175" s="9"/>
      <c r="S175" s="9" t="str">
        <f aca="false">IF(A175="","",IF(R175="",Q175,R175))</f>
        <v/>
      </c>
      <c r="T175" s="14" t="str">
        <f aca="false">IF(OR(S175="",S175="OVERSIZE"),"",S175/1000)</f>
        <v/>
      </c>
      <c r="U175" s="14" t="str">
        <f aca="false">IF(T175="","",(1/Inputs!$B$9)*(PI()*T175^2/4)*((T175/4)^(2/3))*SQRT(P175))</f>
        <v/>
      </c>
      <c r="V175" s="14" t="str">
        <f aca="false">IF(OR(U175="",N175=""),"",N175/(U175*Inputs!$B$10))</f>
        <v/>
      </c>
      <c r="W175" s="14" t="str">
        <f aca="false">IF(OR(T175="",N175=""),"",4*N175/(PI()*T175^2))</f>
        <v/>
      </c>
      <c r="X175" s="14"/>
      <c r="Y175" s="14" t="str">
        <f aca="false">IF(A175="","",IF(A175=Inputs!$B$6,Inputs!$B$22,IF(D175="","",IFERROR(INDEX($Z$4:$Z$203,MATCH(D175,$A$4:$A$203,0))+IF(X175="",Inputs!$B$20,X175),""))))</f>
        <v/>
      </c>
      <c r="Z175" s="14" t="str">
        <f aca="false">IF(OR(Y175="",P175="",E175=""),"",Y175+P175*E175)</f>
        <v/>
      </c>
      <c r="AA175" s="14" t="str">
        <f aca="false">IF(C175="","",IFERROR(INDEX(Noeuds_plan!$C$4:$C$200,MATCH(C175,Noeuds_plan!$A$4:$A$200,0)),""))</f>
        <v/>
      </c>
      <c r="AB175" s="14" t="str">
        <f aca="false">IF(B175="","",IFERROR(INDEX(Noeuds_plan!$C$4:$C$200,MATCH(B175,Noeuds_plan!$A$4:$A$200,0)),""))</f>
        <v/>
      </c>
      <c r="AC175" s="14" t="str">
        <f aca="false">IF(OR(AA175="",Y175=""),"",AA175-Y175)</f>
        <v/>
      </c>
      <c r="AD175" s="14" t="str">
        <f aca="false">IF(OR(AB175="",Z175=""),"",AB175-Z175)</f>
        <v/>
      </c>
      <c r="AE175" s="19" t="str">
        <f aca="false">IF(A175="","",IF(OR(V175&gt;1,AND(AY175&lt;&gt;"",AY175&lt;Inputs!$B$11),AND(AY175&lt;&gt;"",AY175&gt;Inputs!$B$12),AC175&lt;Inputs!$B$19,AD175&lt;Inputs!$B$19,P175&lt;Inputs!$B$7,P175&gt;Inputs!$B$8),"CHECK","OK"))</f>
        <v/>
      </c>
      <c r="AF175" s="9"/>
      <c r="AG175" s="9" t="str">
        <f aca="false">IF(A175="","",(1/Inputs!$B$9)*(PI()*(Inputs!$F$5/1000)^2/4)*((Inputs!$F$5/1000/4)^(2/3))*SQRT(P175))</f>
        <v/>
      </c>
      <c r="AH175" s="9" t="str">
        <f aca="false">IF(A175="","",(1/Inputs!$B$9)*(PI()*(Inputs!$F$6/1000)^2/4)*((Inputs!$F$6/1000/4)^(2/3))*SQRT(P175))</f>
        <v/>
      </c>
      <c r="AI175" s="9" t="str">
        <f aca="false">IF(A175="","",(1/Inputs!$B$9)*(PI()*(Inputs!$F$7/1000)^2/4)*((Inputs!$F$7/1000/4)^(2/3))*SQRT(P175))</f>
        <v/>
      </c>
      <c r="AJ175" s="9" t="str">
        <f aca="false">IF(A175="","",(1/Inputs!$B$9)*(PI()*(Inputs!$F$8/1000)^2/4)*((Inputs!$F$8/1000/4)^(2/3))*SQRT(P175))</f>
        <v/>
      </c>
      <c r="AK175" s="9" t="str">
        <f aca="false">IF(A175="","",(1/Inputs!$B$9)*(PI()*(Inputs!$F$9/1000)^2/4)*((Inputs!$F$9/1000/4)^(2/3))*SQRT(P175))</f>
        <v/>
      </c>
      <c r="AL175" s="9" t="str">
        <f aca="false">IF(A175="","",(1/Inputs!$B$9)*(PI()*(Inputs!$F$10/1000)^2/4)*((Inputs!$F$10/1000/4)^(2/3))*SQRT(P175))</f>
        <v/>
      </c>
      <c r="AM175" s="9" t="str">
        <f aca="false">IF(A175="","",(1/Inputs!$B$9)*(PI()*(Inputs!$F$11/1000)^2/4)*((Inputs!$F$11/1000/4)^(2/3))*SQRT(P175))</f>
        <v/>
      </c>
      <c r="AN175" s="9" t="str">
        <f aca="false">IF(A175="","",(1/Inputs!$B$9)*(PI()*(Inputs!$F$12/1000)^2/4)*((Inputs!$F$12/1000/4)^(2/3))*SQRT(P175))</f>
        <v/>
      </c>
      <c r="AO175" s="9" t="str">
        <f aca="false">IF(A175="","",(1/Inputs!$B$9)*(PI()*(Inputs!$F$13/1000)^2/4)*((Inputs!$F$13/1000/4)^(2/3))*SQRT(P175))</f>
        <v/>
      </c>
      <c r="AP175" s="9" t="str">
        <f aca="false">IF(A175="","",(1/Inputs!$B$9)*(PI()*(Inputs!$F$14/1000)^2/4)*((Inputs!$F$14/1000/4)^(2/3))*SQRT(P175))</f>
        <v/>
      </c>
      <c r="AQ175" s="9" t="str">
        <f aca="false">IF(A175="","",COUNTIF($D$4:$D$203,$A175))</f>
        <v/>
      </c>
      <c r="AR175" s="9" t="str">
        <f aca="false">IF(A175="","",IF(AQ175=0,"START","CONTINUOUS"))</f>
        <v/>
      </c>
      <c r="AS175" s="13" t="str">
        <f aca="false">IF(A175="","",IF(J175="",Inputs!$B$18,J175))</f>
        <v/>
      </c>
      <c r="AT175" s="13" t="str">
        <f aca="false">IF(A175="","",IFERROR(maxifs($AV$4:$AV$203,$D$4:$D$203,$A175),""))</f>
        <v/>
      </c>
      <c r="AU175" s="13" t="str">
        <f aca="false">IF(A175="","",IF(OR(E175="",Inputs!$B$23=""),"",E175/(Inputs!$B$23*60)))</f>
        <v/>
      </c>
      <c r="AV175" s="13" t="str">
        <f aca="false">IF(A175="","",IF(AQ175=0,AS175+AU175,IF(AT175="",AS175+AU175,AT175+AU175)))</f>
        <v/>
      </c>
      <c r="AW175" s="13" t="str">
        <f aca="false">IF(A175="","",W175)</f>
        <v/>
      </c>
      <c r="AX175" s="13" t="str">
        <f aca="false">IF(OR(T175="",P175=""),"",(1/Inputs!$B$9)*((T175/4)^(2/3))*SQRT(P175))</f>
        <v/>
      </c>
      <c r="AY175" s="13" t="str">
        <f aca="false">IF(A175="","",IF(AND(AW175="",AX175="",BA175=""),"",IF(OR(UPPER(TRIM(Inputs!$B$24))="MANNING",UPPER(TRIM(Inputs!$B$24))="M"),AX175,IF(OR(UPPER(TRIM(Inputs!$B$24))="PARTIAL",UPPER(TRIM(Inputs!$B$24))="P"),BA175,IF(OR(UPPER(TRIM(Inputs!$B$24))="MAX",UPPER(TRIM(Inputs!$B$24))="X"),MAX(IF(AW175="",0,AW175),IF(AX175="",0,AX175),IF(BA175="",0,BA175)),AW175)))))</f>
        <v/>
      </c>
      <c r="AZ175" s="13" t="str">
        <f aca="false">IF(BB175="","",CH175)</f>
        <v/>
      </c>
      <c r="BA175" s="13" t="str">
        <f aca="false">IF(OR(BB175="",AZ175="",T175="",T175&lt;=0,AZ175&lt;=0),"",BB175/((T175^2/8)*(2*ACOS(1-2*AZ175/T175)-SIN(2*ACOS(1-2*AZ175/T175)))))</f>
        <v/>
      </c>
      <c r="BB175" s="9" t="str">
        <f aca="false">IF(OR(N175="",BC175=""),"",MIN(N175,BC175))</f>
        <v/>
      </c>
      <c r="BC175" s="9" t="str">
        <f aca="false">IF(OR(N175="",T175="",P175=""),"",IF(OR(T175="",P175="",(0.94*T175)="",T175&lt;=0,(0.94*T175)&lt;=0),"",(1/Inputs!$B$9)*((T175^2/8)*((2*ACOS(1-2*(0.94*T175)/T175))-SIN((2*ACOS(1-2*(0.94*T175)/T175)))))*((((T175^2/8)*((2*ACOS(1-2*(0.94*T175)/T175))-SIN((2*ACOS(1-2*(0.94*T175)/T175)))))/((T175/2)*((2*ACOS(1-2*(0.94*T175)/T175)))))^(2/3))*SQRT(P175)))</f>
        <v/>
      </c>
      <c r="BD175" s="9" t="str">
        <f aca="false">IF(BB175="","",0.001*T175)</f>
        <v/>
      </c>
      <c r="BE175" s="9" t="str">
        <f aca="false">IF(BB175="","",0.94*T175)</f>
        <v/>
      </c>
      <c r="BF175" s="9" t="str">
        <f aca="false">IF(BB175="","",(BD175+BE175)/2)</f>
        <v/>
      </c>
      <c r="BG175" s="9" t="str">
        <f aca="false">IF(OR(T175="",P175="",BF175="",T175&lt;=0,BF175&lt;=0),"",(1/Inputs!$B$9)*((T175^2/8)*((2*ACOS(1-2*BF175/T175))-SIN((2*ACOS(1-2*BF175/T175)))))*((((T175^2/8)*((2*ACOS(1-2*BF175/T175))-SIN((2*ACOS(1-2*BF175/T175)))))/((T175/2)*((2*ACOS(1-2*BF175/T175)))))^(2/3))*SQRT(P175))</f>
        <v/>
      </c>
      <c r="BH175" s="9" t="str">
        <f aca="false">IF(BB175="","",IF(BG175&lt;BB175,BF175,BD175))</f>
        <v/>
      </c>
      <c r="BI175" s="9" t="str">
        <f aca="false">IF(BB175="","",IF(BG175&lt;BB175,BE175,BF175))</f>
        <v/>
      </c>
      <c r="BJ175" s="9" t="str">
        <f aca="false">IF(BB175="","",(BH175+BI175)/2)</f>
        <v/>
      </c>
      <c r="BK175" s="9" t="str">
        <f aca="false">IF(OR(T175="",P175="",BJ175="",T175&lt;=0,BJ175&lt;=0),"",(1/Inputs!$B$9)*((T175^2/8)*((2*ACOS(1-2*BJ175/T175))-SIN((2*ACOS(1-2*BJ175/T175)))))*((((T175^2/8)*((2*ACOS(1-2*BJ175/T175))-SIN((2*ACOS(1-2*BJ175/T175)))))/((T175/2)*((2*ACOS(1-2*BJ175/T175)))))^(2/3))*SQRT(P175))</f>
        <v/>
      </c>
      <c r="BL175" s="9" t="str">
        <f aca="false">IF(BB175="","",IF(BK175&lt;BB175,BJ175,BH175))</f>
        <v/>
      </c>
      <c r="BM175" s="9" t="str">
        <f aca="false">IF(BB175="","",IF(BK175&lt;BB175,BI175,BJ175))</f>
        <v/>
      </c>
      <c r="BN175" s="9" t="str">
        <f aca="false">IF(BB175="","",(BL175+BM175)/2)</f>
        <v/>
      </c>
      <c r="BO175" s="9" t="str">
        <f aca="false">IF(OR(T175="",P175="",BN175="",T175&lt;=0,BN175&lt;=0),"",(1/Inputs!$B$9)*((T175^2/8)*((2*ACOS(1-2*BN175/T175))-SIN((2*ACOS(1-2*BN175/T175)))))*((((T175^2/8)*((2*ACOS(1-2*BN175/T175))-SIN((2*ACOS(1-2*BN175/T175)))))/((T175/2)*((2*ACOS(1-2*BN175/T175)))))^(2/3))*SQRT(P175))</f>
        <v/>
      </c>
      <c r="BP175" s="9" t="str">
        <f aca="false">IF(BB175="","",IF(BO175&lt;BB175,BN175,BL175))</f>
        <v/>
      </c>
      <c r="BQ175" s="9" t="str">
        <f aca="false">IF(BB175="","",IF(BO175&lt;BB175,BM175,BN175))</f>
        <v/>
      </c>
      <c r="BR175" s="9" t="str">
        <f aca="false">IF(BB175="","",(BP175+BQ175)/2)</f>
        <v/>
      </c>
      <c r="BS175" s="9" t="str">
        <f aca="false">IF(OR(T175="",P175="",BR175="",T175&lt;=0,BR175&lt;=0),"",(1/Inputs!$B$9)*((T175^2/8)*((2*ACOS(1-2*BR175/T175))-SIN((2*ACOS(1-2*BR175/T175)))))*((((T175^2/8)*((2*ACOS(1-2*BR175/T175))-SIN((2*ACOS(1-2*BR175/T175)))))/((T175/2)*((2*ACOS(1-2*BR175/T175)))))^(2/3))*SQRT(P175))</f>
        <v/>
      </c>
      <c r="BT175" s="9" t="str">
        <f aca="false">IF(BB175="","",IF(BS175&lt;BB175,BR175,BP175))</f>
        <v/>
      </c>
      <c r="BU175" s="9" t="str">
        <f aca="false">IF(BB175="","",IF(BS175&lt;BB175,BQ175,BR175))</f>
        <v/>
      </c>
      <c r="BV175" s="9" t="str">
        <f aca="false">IF(BB175="","",(BT175+BU175)/2)</f>
        <v/>
      </c>
      <c r="BW175" s="9" t="str">
        <f aca="false">IF(OR(T175="",P175="",BV175="",T175&lt;=0,BV175&lt;=0),"",(1/Inputs!$B$9)*((T175^2/8)*((2*ACOS(1-2*BV175/T175))-SIN((2*ACOS(1-2*BV175/T175)))))*((((T175^2/8)*((2*ACOS(1-2*BV175/T175))-SIN((2*ACOS(1-2*BV175/T175)))))/((T175/2)*((2*ACOS(1-2*BV175/T175)))))^(2/3))*SQRT(P175))</f>
        <v/>
      </c>
      <c r="BX175" s="9" t="str">
        <f aca="false">IF(BB175="","",IF(BW175&lt;BB175,BV175,BT175))</f>
        <v/>
      </c>
      <c r="BY175" s="9" t="str">
        <f aca="false">IF(BB175="","",IF(BW175&lt;BB175,BU175,BV175))</f>
        <v/>
      </c>
      <c r="BZ175" s="9" t="str">
        <f aca="false">IF(BB175="","",(BX175+BY175)/2)</f>
        <v/>
      </c>
      <c r="CA175" s="9" t="str">
        <f aca="false">IF(OR(T175="",P175="",BZ175="",T175&lt;=0,BZ175&lt;=0),"",(1/Inputs!$B$9)*((T175^2/8)*((2*ACOS(1-2*BZ175/T175))-SIN((2*ACOS(1-2*BZ175/T175)))))*((((T175^2/8)*((2*ACOS(1-2*BZ175/T175))-SIN((2*ACOS(1-2*BZ175/T175)))))/((T175/2)*((2*ACOS(1-2*BZ175/T175)))))^(2/3))*SQRT(P175))</f>
        <v/>
      </c>
      <c r="CB175" s="9" t="str">
        <f aca="false">IF(BB175="","",IF(CA175&lt;BB175,BZ175,BX175))</f>
        <v/>
      </c>
      <c r="CC175" s="9" t="str">
        <f aca="false">IF(BB175="","",IF(CA175&lt;BB175,BY175,BZ175))</f>
        <v/>
      </c>
      <c r="CD175" s="9" t="str">
        <f aca="false">IF(BB175="","",(CB175+CC175)/2)</f>
        <v/>
      </c>
      <c r="CE175" s="9" t="str">
        <f aca="false">IF(OR(T175="",P175="",CD175="",T175&lt;=0,CD175&lt;=0),"",(1/Inputs!$B$9)*((T175^2/8)*((2*ACOS(1-2*CD175/T175))-SIN((2*ACOS(1-2*CD175/T175)))))*((((T175^2/8)*((2*ACOS(1-2*CD175/T175))-SIN((2*ACOS(1-2*CD175/T175)))))/((T175/2)*((2*ACOS(1-2*CD175/T175)))))^(2/3))*SQRT(P175))</f>
        <v/>
      </c>
      <c r="CF175" s="9" t="str">
        <f aca="false">IF(BB175="","",IF(CE175&lt;BB175,CD175,CB175))</f>
        <v/>
      </c>
      <c r="CG175" s="9" t="str">
        <f aca="false">IF(BB175="","",IF(CE175&lt;BB175,CC175,CD175))</f>
        <v/>
      </c>
      <c r="CH175" s="9" t="str">
        <f aca="false">IF(BB175="","",(CF175+CG175)/2)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14"/>
      <c r="F176" s="14"/>
      <c r="G176" s="14" t="n">
        <f aca="false">SUMIFS(CB_plan!$C:$C,CB_plan!$B:$B,$A176)</f>
        <v>0</v>
      </c>
      <c r="H176" s="14" t="n">
        <f aca="false">IF(F176="",G176,F176)</f>
        <v>0</v>
      </c>
      <c r="I176" s="9"/>
      <c r="J176" s="14"/>
      <c r="K176" s="14" t="str">
        <f aca="false">IF(A176="","",Inputs!$B$13/((IF(AV176="",Inputs!$B$18,AV176)+Inputs!$B$14)^Inputs!$B$15))</f>
        <v/>
      </c>
      <c r="L176" s="14" t="str">
        <f aca="false">IF(A176="","",0.000000278*IF(I176="",Inputs!$B$17,I176)*H176*K176)</f>
        <v/>
      </c>
      <c r="M176" s="14" t="str">
        <f aca="false">IF(A176="","",SUMIFS($N$4:$N$203,$D$4:$D$203,$A176))</f>
        <v/>
      </c>
      <c r="N176" s="14" t="str">
        <f aca="false">IF(A176="","",(L176+M176)*Inputs!$B$16)</f>
        <v/>
      </c>
      <c r="O176" s="14"/>
      <c r="P176" s="14" t="str">
        <f aca="false">IF(A176="","",IF(O176="",Inputs!$B$7,O176))</f>
        <v/>
      </c>
      <c r="Q176" s="9" t="str">
        <f aca="false">IF(A176="","",IF(N176/Inputs!$B$10&lt;=AG176,Inputs!$F$5,IF(N176/Inputs!$B$10&gt;AP176,"OVERSIZE",INDEX(Inputs!$F$5:$F$14,MATCH(N176/Inputs!$B$10,AG176:AP176,1)+1))))</f>
        <v/>
      </c>
      <c r="R176" s="9"/>
      <c r="S176" s="9" t="str">
        <f aca="false">IF(A176="","",IF(R176="",Q176,R176))</f>
        <v/>
      </c>
      <c r="T176" s="14" t="str">
        <f aca="false">IF(OR(S176="",S176="OVERSIZE"),"",S176/1000)</f>
        <v/>
      </c>
      <c r="U176" s="14" t="str">
        <f aca="false">IF(T176="","",(1/Inputs!$B$9)*(PI()*T176^2/4)*((T176/4)^(2/3))*SQRT(P176))</f>
        <v/>
      </c>
      <c r="V176" s="14" t="str">
        <f aca="false">IF(OR(U176="",N176=""),"",N176/(U176*Inputs!$B$10))</f>
        <v/>
      </c>
      <c r="W176" s="14" t="str">
        <f aca="false">IF(OR(T176="",N176=""),"",4*N176/(PI()*T176^2))</f>
        <v/>
      </c>
      <c r="X176" s="14"/>
      <c r="Y176" s="14" t="str">
        <f aca="false">IF(A176="","",IF(A176=Inputs!$B$6,Inputs!$B$22,IF(D176="","",IFERROR(INDEX($Z$4:$Z$203,MATCH(D176,$A$4:$A$203,0))+IF(X176="",Inputs!$B$20,X176),""))))</f>
        <v/>
      </c>
      <c r="Z176" s="14" t="str">
        <f aca="false">IF(OR(Y176="",P176="",E176=""),"",Y176+P176*E176)</f>
        <v/>
      </c>
      <c r="AA176" s="14" t="str">
        <f aca="false">IF(C176="","",IFERROR(INDEX(Noeuds_plan!$C$4:$C$200,MATCH(C176,Noeuds_plan!$A$4:$A$200,0)),""))</f>
        <v/>
      </c>
      <c r="AB176" s="14" t="str">
        <f aca="false">IF(B176="","",IFERROR(INDEX(Noeuds_plan!$C$4:$C$200,MATCH(B176,Noeuds_plan!$A$4:$A$200,0)),""))</f>
        <v/>
      </c>
      <c r="AC176" s="14" t="str">
        <f aca="false">IF(OR(AA176="",Y176=""),"",AA176-Y176)</f>
        <v/>
      </c>
      <c r="AD176" s="14" t="str">
        <f aca="false">IF(OR(AB176="",Z176=""),"",AB176-Z176)</f>
        <v/>
      </c>
      <c r="AE176" s="19" t="str">
        <f aca="false">IF(A176="","",IF(OR(V176&gt;1,AND(AY176&lt;&gt;"",AY176&lt;Inputs!$B$11),AND(AY176&lt;&gt;"",AY176&gt;Inputs!$B$12),AC176&lt;Inputs!$B$19,AD176&lt;Inputs!$B$19,P176&lt;Inputs!$B$7,P176&gt;Inputs!$B$8),"CHECK","OK"))</f>
        <v/>
      </c>
      <c r="AF176" s="9"/>
      <c r="AG176" s="9" t="str">
        <f aca="false">IF(A176="","",(1/Inputs!$B$9)*(PI()*(Inputs!$F$5/1000)^2/4)*((Inputs!$F$5/1000/4)^(2/3))*SQRT(P176))</f>
        <v/>
      </c>
      <c r="AH176" s="9" t="str">
        <f aca="false">IF(A176="","",(1/Inputs!$B$9)*(PI()*(Inputs!$F$6/1000)^2/4)*((Inputs!$F$6/1000/4)^(2/3))*SQRT(P176))</f>
        <v/>
      </c>
      <c r="AI176" s="9" t="str">
        <f aca="false">IF(A176="","",(1/Inputs!$B$9)*(PI()*(Inputs!$F$7/1000)^2/4)*((Inputs!$F$7/1000/4)^(2/3))*SQRT(P176))</f>
        <v/>
      </c>
      <c r="AJ176" s="9" t="str">
        <f aca="false">IF(A176="","",(1/Inputs!$B$9)*(PI()*(Inputs!$F$8/1000)^2/4)*((Inputs!$F$8/1000/4)^(2/3))*SQRT(P176))</f>
        <v/>
      </c>
      <c r="AK176" s="9" t="str">
        <f aca="false">IF(A176="","",(1/Inputs!$B$9)*(PI()*(Inputs!$F$9/1000)^2/4)*((Inputs!$F$9/1000/4)^(2/3))*SQRT(P176))</f>
        <v/>
      </c>
      <c r="AL176" s="9" t="str">
        <f aca="false">IF(A176="","",(1/Inputs!$B$9)*(PI()*(Inputs!$F$10/1000)^2/4)*((Inputs!$F$10/1000/4)^(2/3))*SQRT(P176))</f>
        <v/>
      </c>
      <c r="AM176" s="9" t="str">
        <f aca="false">IF(A176="","",(1/Inputs!$B$9)*(PI()*(Inputs!$F$11/1000)^2/4)*((Inputs!$F$11/1000/4)^(2/3))*SQRT(P176))</f>
        <v/>
      </c>
      <c r="AN176" s="9" t="str">
        <f aca="false">IF(A176="","",(1/Inputs!$B$9)*(PI()*(Inputs!$F$12/1000)^2/4)*((Inputs!$F$12/1000/4)^(2/3))*SQRT(P176))</f>
        <v/>
      </c>
      <c r="AO176" s="9" t="str">
        <f aca="false">IF(A176="","",(1/Inputs!$B$9)*(PI()*(Inputs!$F$13/1000)^2/4)*((Inputs!$F$13/1000/4)^(2/3))*SQRT(P176))</f>
        <v/>
      </c>
      <c r="AP176" s="9" t="str">
        <f aca="false">IF(A176="","",(1/Inputs!$B$9)*(PI()*(Inputs!$F$14/1000)^2/4)*((Inputs!$F$14/1000/4)^(2/3))*SQRT(P176))</f>
        <v/>
      </c>
      <c r="AQ176" s="9" t="str">
        <f aca="false">IF(A176="","",COUNTIF($D$4:$D$203,$A176))</f>
        <v/>
      </c>
      <c r="AR176" s="9" t="str">
        <f aca="false">IF(A176="","",IF(AQ176=0,"START","CONTINUOUS"))</f>
        <v/>
      </c>
      <c r="AS176" s="13" t="str">
        <f aca="false">IF(A176="","",IF(J176="",Inputs!$B$18,J176))</f>
        <v/>
      </c>
      <c r="AT176" s="13" t="str">
        <f aca="false">IF(A176="","",IFERROR(maxifs($AV$4:$AV$203,$D$4:$D$203,$A176),""))</f>
        <v/>
      </c>
      <c r="AU176" s="13" t="str">
        <f aca="false">IF(A176="","",IF(OR(E176="",Inputs!$B$23=""),"",E176/(Inputs!$B$23*60)))</f>
        <v/>
      </c>
      <c r="AV176" s="13" t="str">
        <f aca="false">IF(A176="","",IF(AQ176=0,AS176+AU176,IF(AT176="",AS176+AU176,AT176+AU176)))</f>
        <v/>
      </c>
      <c r="AW176" s="13" t="str">
        <f aca="false">IF(A176="","",W176)</f>
        <v/>
      </c>
      <c r="AX176" s="13" t="str">
        <f aca="false">IF(OR(T176="",P176=""),"",(1/Inputs!$B$9)*((T176/4)^(2/3))*SQRT(P176))</f>
        <v/>
      </c>
      <c r="AY176" s="13" t="str">
        <f aca="false">IF(A176="","",IF(AND(AW176="",AX176="",BA176=""),"",IF(OR(UPPER(TRIM(Inputs!$B$24))="MANNING",UPPER(TRIM(Inputs!$B$24))="M"),AX176,IF(OR(UPPER(TRIM(Inputs!$B$24))="PARTIAL",UPPER(TRIM(Inputs!$B$24))="P"),BA176,IF(OR(UPPER(TRIM(Inputs!$B$24))="MAX",UPPER(TRIM(Inputs!$B$24))="X"),MAX(IF(AW176="",0,AW176),IF(AX176="",0,AX176),IF(BA176="",0,BA176)),AW176)))))</f>
        <v/>
      </c>
      <c r="AZ176" s="13" t="str">
        <f aca="false">IF(BB176="","",CH176)</f>
        <v/>
      </c>
      <c r="BA176" s="13" t="str">
        <f aca="false">IF(OR(BB176="",AZ176="",T176="",T176&lt;=0,AZ176&lt;=0),"",BB176/((T176^2/8)*(2*ACOS(1-2*AZ176/T176)-SIN(2*ACOS(1-2*AZ176/T176)))))</f>
        <v/>
      </c>
      <c r="BB176" s="9" t="str">
        <f aca="false">IF(OR(N176="",BC176=""),"",MIN(N176,BC176))</f>
        <v/>
      </c>
      <c r="BC176" s="9" t="str">
        <f aca="false">IF(OR(N176="",T176="",P176=""),"",IF(OR(T176="",P176="",(0.94*T176)="",T176&lt;=0,(0.94*T176)&lt;=0),"",(1/Inputs!$B$9)*((T176^2/8)*((2*ACOS(1-2*(0.94*T176)/T176))-SIN((2*ACOS(1-2*(0.94*T176)/T176)))))*((((T176^2/8)*((2*ACOS(1-2*(0.94*T176)/T176))-SIN((2*ACOS(1-2*(0.94*T176)/T176)))))/((T176/2)*((2*ACOS(1-2*(0.94*T176)/T176)))))^(2/3))*SQRT(P176)))</f>
        <v/>
      </c>
      <c r="BD176" s="9" t="str">
        <f aca="false">IF(BB176="","",0.001*T176)</f>
        <v/>
      </c>
      <c r="BE176" s="9" t="str">
        <f aca="false">IF(BB176="","",0.94*T176)</f>
        <v/>
      </c>
      <c r="BF176" s="9" t="str">
        <f aca="false">IF(BB176="","",(BD176+BE176)/2)</f>
        <v/>
      </c>
      <c r="BG176" s="9" t="str">
        <f aca="false">IF(OR(T176="",P176="",BF176="",T176&lt;=0,BF176&lt;=0),"",(1/Inputs!$B$9)*((T176^2/8)*((2*ACOS(1-2*BF176/T176))-SIN((2*ACOS(1-2*BF176/T176)))))*((((T176^2/8)*((2*ACOS(1-2*BF176/T176))-SIN((2*ACOS(1-2*BF176/T176)))))/((T176/2)*((2*ACOS(1-2*BF176/T176)))))^(2/3))*SQRT(P176))</f>
        <v/>
      </c>
      <c r="BH176" s="9" t="str">
        <f aca="false">IF(BB176="","",IF(BG176&lt;BB176,BF176,BD176))</f>
        <v/>
      </c>
      <c r="BI176" s="9" t="str">
        <f aca="false">IF(BB176="","",IF(BG176&lt;BB176,BE176,BF176))</f>
        <v/>
      </c>
      <c r="BJ176" s="9" t="str">
        <f aca="false">IF(BB176="","",(BH176+BI176)/2)</f>
        <v/>
      </c>
      <c r="BK176" s="9" t="str">
        <f aca="false">IF(OR(T176="",P176="",BJ176="",T176&lt;=0,BJ176&lt;=0),"",(1/Inputs!$B$9)*((T176^2/8)*((2*ACOS(1-2*BJ176/T176))-SIN((2*ACOS(1-2*BJ176/T176)))))*((((T176^2/8)*((2*ACOS(1-2*BJ176/T176))-SIN((2*ACOS(1-2*BJ176/T176)))))/((T176/2)*((2*ACOS(1-2*BJ176/T176)))))^(2/3))*SQRT(P176))</f>
        <v/>
      </c>
      <c r="BL176" s="9" t="str">
        <f aca="false">IF(BB176="","",IF(BK176&lt;BB176,BJ176,BH176))</f>
        <v/>
      </c>
      <c r="BM176" s="9" t="str">
        <f aca="false">IF(BB176="","",IF(BK176&lt;BB176,BI176,BJ176))</f>
        <v/>
      </c>
      <c r="BN176" s="9" t="str">
        <f aca="false">IF(BB176="","",(BL176+BM176)/2)</f>
        <v/>
      </c>
      <c r="BO176" s="9" t="str">
        <f aca="false">IF(OR(T176="",P176="",BN176="",T176&lt;=0,BN176&lt;=0),"",(1/Inputs!$B$9)*((T176^2/8)*((2*ACOS(1-2*BN176/T176))-SIN((2*ACOS(1-2*BN176/T176)))))*((((T176^2/8)*((2*ACOS(1-2*BN176/T176))-SIN((2*ACOS(1-2*BN176/T176)))))/((T176/2)*((2*ACOS(1-2*BN176/T176)))))^(2/3))*SQRT(P176))</f>
        <v/>
      </c>
      <c r="BP176" s="9" t="str">
        <f aca="false">IF(BB176="","",IF(BO176&lt;BB176,BN176,BL176))</f>
        <v/>
      </c>
      <c r="BQ176" s="9" t="str">
        <f aca="false">IF(BB176="","",IF(BO176&lt;BB176,BM176,BN176))</f>
        <v/>
      </c>
      <c r="BR176" s="9" t="str">
        <f aca="false">IF(BB176="","",(BP176+BQ176)/2)</f>
        <v/>
      </c>
      <c r="BS176" s="9" t="str">
        <f aca="false">IF(OR(T176="",P176="",BR176="",T176&lt;=0,BR176&lt;=0),"",(1/Inputs!$B$9)*((T176^2/8)*((2*ACOS(1-2*BR176/T176))-SIN((2*ACOS(1-2*BR176/T176)))))*((((T176^2/8)*((2*ACOS(1-2*BR176/T176))-SIN((2*ACOS(1-2*BR176/T176)))))/((T176/2)*((2*ACOS(1-2*BR176/T176)))))^(2/3))*SQRT(P176))</f>
        <v/>
      </c>
      <c r="BT176" s="9" t="str">
        <f aca="false">IF(BB176="","",IF(BS176&lt;BB176,BR176,BP176))</f>
        <v/>
      </c>
      <c r="BU176" s="9" t="str">
        <f aca="false">IF(BB176="","",IF(BS176&lt;BB176,BQ176,BR176))</f>
        <v/>
      </c>
      <c r="BV176" s="9" t="str">
        <f aca="false">IF(BB176="","",(BT176+BU176)/2)</f>
        <v/>
      </c>
      <c r="BW176" s="9" t="str">
        <f aca="false">IF(OR(T176="",P176="",BV176="",T176&lt;=0,BV176&lt;=0),"",(1/Inputs!$B$9)*((T176^2/8)*((2*ACOS(1-2*BV176/T176))-SIN((2*ACOS(1-2*BV176/T176)))))*((((T176^2/8)*((2*ACOS(1-2*BV176/T176))-SIN((2*ACOS(1-2*BV176/T176)))))/((T176/2)*((2*ACOS(1-2*BV176/T176)))))^(2/3))*SQRT(P176))</f>
        <v/>
      </c>
      <c r="BX176" s="9" t="str">
        <f aca="false">IF(BB176="","",IF(BW176&lt;BB176,BV176,BT176))</f>
        <v/>
      </c>
      <c r="BY176" s="9" t="str">
        <f aca="false">IF(BB176="","",IF(BW176&lt;BB176,BU176,BV176))</f>
        <v/>
      </c>
      <c r="BZ176" s="9" t="str">
        <f aca="false">IF(BB176="","",(BX176+BY176)/2)</f>
        <v/>
      </c>
      <c r="CA176" s="9" t="str">
        <f aca="false">IF(OR(T176="",P176="",BZ176="",T176&lt;=0,BZ176&lt;=0),"",(1/Inputs!$B$9)*((T176^2/8)*((2*ACOS(1-2*BZ176/T176))-SIN((2*ACOS(1-2*BZ176/T176)))))*((((T176^2/8)*((2*ACOS(1-2*BZ176/T176))-SIN((2*ACOS(1-2*BZ176/T176)))))/((T176/2)*((2*ACOS(1-2*BZ176/T176)))))^(2/3))*SQRT(P176))</f>
        <v/>
      </c>
      <c r="CB176" s="9" t="str">
        <f aca="false">IF(BB176="","",IF(CA176&lt;BB176,BZ176,BX176))</f>
        <v/>
      </c>
      <c r="CC176" s="9" t="str">
        <f aca="false">IF(BB176="","",IF(CA176&lt;BB176,BY176,BZ176))</f>
        <v/>
      </c>
      <c r="CD176" s="9" t="str">
        <f aca="false">IF(BB176="","",(CB176+CC176)/2)</f>
        <v/>
      </c>
      <c r="CE176" s="9" t="str">
        <f aca="false">IF(OR(T176="",P176="",CD176="",T176&lt;=0,CD176&lt;=0),"",(1/Inputs!$B$9)*((T176^2/8)*((2*ACOS(1-2*CD176/T176))-SIN((2*ACOS(1-2*CD176/T176)))))*((((T176^2/8)*((2*ACOS(1-2*CD176/T176))-SIN((2*ACOS(1-2*CD176/T176)))))/((T176/2)*((2*ACOS(1-2*CD176/T176)))))^(2/3))*SQRT(P176))</f>
        <v/>
      </c>
      <c r="CF176" s="9" t="str">
        <f aca="false">IF(BB176="","",IF(CE176&lt;BB176,CD176,CB176))</f>
        <v/>
      </c>
      <c r="CG176" s="9" t="str">
        <f aca="false">IF(BB176="","",IF(CE176&lt;BB176,CC176,CD176))</f>
        <v/>
      </c>
      <c r="CH176" s="9" t="str">
        <f aca="false">IF(BB176="","",(CF176+CG176)/2)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14"/>
      <c r="F177" s="14"/>
      <c r="G177" s="14" t="n">
        <f aca="false">SUMIFS(CB_plan!$C:$C,CB_plan!$B:$B,$A177)</f>
        <v>0</v>
      </c>
      <c r="H177" s="14" t="n">
        <f aca="false">IF(F177="",G177,F177)</f>
        <v>0</v>
      </c>
      <c r="I177" s="9"/>
      <c r="J177" s="14"/>
      <c r="K177" s="14" t="str">
        <f aca="false">IF(A177="","",Inputs!$B$13/((IF(AV177="",Inputs!$B$18,AV177)+Inputs!$B$14)^Inputs!$B$15))</f>
        <v/>
      </c>
      <c r="L177" s="14" t="str">
        <f aca="false">IF(A177="","",0.000000278*IF(I177="",Inputs!$B$17,I177)*H177*K177)</f>
        <v/>
      </c>
      <c r="M177" s="14" t="str">
        <f aca="false">IF(A177="","",SUMIFS($N$4:$N$203,$D$4:$D$203,$A177))</f>
        <v/>
      </c>
      <c r="N177" s="14" t="str">
        <f aca="false">IF(A177="","",(L177+M177)*Inputs!$B$16)</f>
        <v/>
      </c>
      <c r="O177" s="14"/>
      <c r="P177" s="14" t="str">
        <f aca="false">IF(A177="","",IF(O177="",Inputs!$B$7,O177))</f>
        <v/>
      </c>
      <c r="Q177" s="9" t="str">
        <f aca="false">IF(A177="","",IF(N177/Inputs!$B$10&lt;=AG177,Inputs!$F$5,IF(N177/Inputs!$B$10&gt;AP177,"OVERSIZE",INDEX(Inputs!$F$5:$F$14,MATCH(N177/Inputs!$B$10,AG177:AP177,1)+1))))</f>
        <v/>
      </c>
      <c r="R177" s="9"/>
      <c r="S177" s="9" t="str">
        <f aca="false">IF(A177="","",IF(R177="",Q177,R177))</f>
        <v/>
      </c>
      <c r="T177" s="14" t="str">
        <f aca="false">IF(OR(S177="",S177="OVERSIZE"),"",S177/1000)</f>
        <v/>
      </c>
      <c r="U177" s="14" t="str">
        <f aca="false">IF(T177="","",(1/Inputs!$B$9)*(PI()*T177^2/4)*((T177/4)^(2/3))*SQRT(P177))</f>
        <v/>
      </c>
      <c r="V177" s="14" t="str">
        <f aca="false">IF(OR(U177="",N177=""),"",N177/(U177*Inputs!$B$10))</f>
        <v/>
      </c>
      <c r="W177" s="14" t="str">
        <f aca="false">IF(OR(T177="",N177=""),"",4*N177/(PI()*T177^2))</f>
        <v/>
      </c>
      <c r="X177" s="14"/>
      <c r="Y177" s="14" t="str">
        <f aca="false">IF(A177="","",IF(A177=Inputs!$B$6,Inputs!$B$22,IF(D177="","",IFERROR(INDEX($Z$4:$Z$203,MATCH(D177,$A$4:$A$203,0))+IF(X177="",Inputs!$B$20,X177),""))))</f>
        <v/>
      </c>
      <c r="Z177" s="14" t="str">
        <f aca="false">IF(OR(Y177="",P177="",E177=""),"",Y177+P177*E177)</f>
        <v/>
      </c>
      <c r="AA177" s="14" t="str">
        <f aca="false">IF(C177="","",IFERROR(INDEX(Noeuds_plan!$C$4:$C$200,MATCH(C177,Noeuds_plan!$A$4:$A$200,0)),""))</f>
        <v/>
      </c>
      <c r="AB177" s="14" t="str">
        <f aca="false">IF(B177="","",IFERROR(INDEX(Noeuds_plan!$C$4:$C$200,MATCH(B177,Noeuds_plan!$A$4:$A$200,0)),""))</f>
        <v/>
      </c>
      <c r="AC177" s="14" t="str">
        <f aca="false">IF(OR(AA177="",Y177=""),"",AA177-Y177)</f>
        <v/>
      </c>
      <c r="AD177" s="14" t="str">
        <f aca="false">IF(OR(AB177="",Z177=""),"",AB177-Z177)</f>
        <v/>
      </c>
      <c r="AE177" s="19" t="str">
        <f aca="false">IF(A177="","",IF(OR(V177&gt;1,AND(AY177&lt;&gt;"",AY177&lt;Inputs!$B$11),AND(AY177&lt;&gt;"",AY177&gt;Inputs!$B$12),AC177&lt;Inputs!$B$19,AD177&lt;Inputs!$B$19,P177&lt;Inputs!$B$7,P177&gt;Inputs!$B$8),"CHECK","OK"))</f>
        <v/>
      </c>
      <c r="AF177" s="9"/>
      <c r="AG177" s="9" t="str">
        <f aca="false">IF(A177="","",(1/Inputs!$B$9)*(PI()*(Inputs!$F$5/1000)^2/4)*((Inputs!$F$5/1000/4)^(2/3))*SQRT(P177))</f>
        <v/>
      </c>
      <c r="AH177" s="9" t="str">
        <f aca="false">IF(A177="","",(1/Inputs!$B$9)*(PI()*(Inputs!$F$6/1000)^2/4)*((Inputs!$F$6/1000/4)^(2/3))*SQRT(P177))</f>
        <v/>
      </c>
      <c r="AI177" s="9" t="str">
        <f aca="false">IF(A177="","",(1/Inputs!$B$9)*(PI()*(Inputs!$F$7/1000)^2/4)*((Inputs!$F$7/1000/4)^(2/3))*SQRT(P177))</f>
        <v/>
      </c>
      <c r="AJ177" s="9" t="str">
        <f aca="false">IF(A177="","",(1/Inputs!$B$9)*(PI()*(Inputs!$F$8/1000)^2/4)*((Inputs!$F$8/1000/4)^(2/3))*SQRT(P177))</f>
        <v/>
      </c>
      <c r="AK177" s="9" t="str">
        <f aca="false">IF(A177="","",(1/Inputs!$B$9)*(PI()*(Inputs!$F$9/1000)^2/4)*((Inputs!$F$9/1000/4)^(2/3))*SQRT(P177))</f>
        <v/>
      </c>
      <c r="AL177" s="9" t="str">
        <f aca="false">IF(A177="","",(1/Inputs!$B$9)*(PI()*(Inputs!$F$10/1000)^2/4)*((Inputs!$F$10/1000/4)^(2/3))*SQRT(P177))</f>
        <v/>
      </c>
      <c r="AM177" s="9" t="str">
        <f aca="false">IF(A177="","",(1/Inputs!$B$9)*(PI()*(Inputs!$F$11/1000)^2/4)*((Inputs!$F$11/1000/4)^(2/3))*SQRT(P177))</f>
        <v/>
      </c>
      <c r="AN177" s="9" t="str">
        <f aca="false">IF(A177="","",(1/Inputs!$B$9)*(PI()*(Inputs!$F$12/1000)^2/4)*((Inputs!$F$12/1000/4)^(2/3))*SQRT(P177))</f>
        <v/>
      </c>
      <c r="AO177" s="9" t="str">
        <f aca="false">IF(A177="","",(1/Inputs!$B$9)*(PI()*(Inputs!$F$13/1000)^2/4)*((Inputs!$F$13/1000/4)^(2/3))*SQRT(P177))</f>
        <v/>
      </c>
      <c r="AP177" s="9" t="str">
        <f aca="false">IF(A177="","",(1/Inputs!$B$9)*(PI()*(Inputs!$F$14/1000)^2/4)*((Inputs!$F$14/1000/4)^(2/3))*SQRT(P177))</f>
        <v/>
      </c>
      <c r="AQ177" s="9" t="str">
        <f aca="false">IF(A177="","",COUNTIF($D$4:$D$203,$A177))</f>
        <v/>
      </c>
      <c r="AR177" s="9" t="str">
        <f aca="false">IF(A177="","",IF(AQ177=0,"START","CONTINUOUS"))</f>
        <v/>
      </c>
      <c r="AS177" s="13" t="str">
        <f aca="false">IF(A177="","",IF(J177="",Inputs!$B$18,J177))</f>
        <v/>
      </c>
      <c r="AT177" s="13" t="str">
        <f aca="false">IF(A177="","",IFERROR(maxifs($AV$4:$AV$203,$D$4:$D$203,$A177),""))</f>
        <v/>
      </c>
      <c r="AU177" s="13" t="str">
        <f aca="false">IF(A177="","",IF(OR(E177="",Inputs!$B$23=""),"",E177/(Inputs!$B$23*60)))</f>
        <v/>
      </c>
      <c r="AV177" s="13" t="str">
        <f aca="false">IF(A177="","",IF(AQ177=0,AS177+AU177,IF(AT177="",AS177+AU177,AT177+AU177)))</f>
        <v/>
      </c>
      <c r="AW177" s="13" t="str">
        <f aca="false">IF(A177="","",W177)</f>
        <v/>
      </c>
      <c r="AX177" s="13" t="str">
        <f aca="false">IF(OR(T177="",P177=""),"",(1/Inputs!$B$9)*((T177/4)^(2/3))*SQRT(P177))</f>
        <v/>
      </c>
      <c r="AY177" s="13" t="str">
        <f aca="false">IF(A177="","",IF(AND(AW177="",AX177="",BA177=""),"",IF(OR(UPPER(TRIM(Inputs!$B$24))="MANNING",UPPER(TRIM(Inputs!$B$24))="M"),AX177,IF(OR(UPPER(TRIM(Inputs!$B$24))="PARTIAL",UPPER(TRIM(Inputs!$B$24))="P"),BA177,IF(OR(UPPER(TRIM(Inputs!$B$24))="MAX",UPPER(TRIM(Inputs!$B$24))="X"),MAX(IF(AW177="",0,AW177),IF(AX177="",0,AX177),IF(BA177="",0,BA177)),AW177)))))</f>
        <v/>
      </c>
      <c r="AZ177" s="13" t="str">
        <f aca="false">IF(BB177="","",CH177)</f>
        <v/>
      </c>
      <c r="BA177" s="13" t="str">
        <f aca="false">IF(OR(BB177="",AZ177="",T177="",T177&lt;=0,AZ177&lt;=0),"",BB177/((T177^2/8)*(2*ACOS(1-2*AZ177/T177)-SIN(2*ACOS(1-2*AZ177/T177)))))</f>
        <v/>
      </c>
      <c r="BB177" s="9" t="str">
        <f aca="false">IF(OR(N177="",BC177=""),"",MIN(N177,BC177))</f>
        <v/>
      </c>
      <c r="BC177" s="9" t="str">
        <f aca="false">IF(OR(N177="",T177="",P177=""),"",IF(OR(T177="",P177="",(0.94*T177)="",T177&lt;=0,(0.94*T177)&lt;=0),"",(1/Inputs!$B$9)*((T177^2/8)*((2*ACOS(1-2*(0.94*T177)/T177))-SIN((2*ACOS(1-2*(0.94*T177)/T177)))))*((((T177^2/8)*((2*ACOS(1-2*(0.94*T177)/T177))-SIN((2*ACOS(1-2*(0.94*T177)/T177)))))/((T177/2)*((2*ACOS(1-2*(0.94*T177)/T177)))))^(2/3))*SQRT(P177)))</f>
        <v/>
      </c>
      <c r="BD177" s="9" t="str">
        <f aca="false">IF(BB177="","",0.001*T177)</f>
        <v/>
      </c>
      <c r="BE177" s="9" t="str">
        <f aca="false">IF(BB177="","",0.94*T177)</f>
        <v/>
      </c>
      <c r="BF177" s="9" t="str">
        <f aca="false">IF(BB177="","",(BD177+BE177)/2)</f>
        <v/>
      </c>
      <c r="BG177" s="9" t="str">
        <f aca="false">IF(OR(T177="",P177="",BF177="",T177&lt;=0,BF177&lt;=0),"",(1/Inputs!$B$9)*((T177^2/8)*((2*ACOS(1-2*BF177/T177))-SIN((2*ACOS(1-2*BF177/T177)))))*((((T177^2/8)*((2*ACOS(1-2*BF177/T177))-SIN((2*ACOS(1-2*BF177/T177)))))/((T177/2)*((2*ACOS(1-2*BF177/T177)))))^(2/3))*SQRT(P177))</f>
        <v/>
      </c>
      <c r="BH177" s="9" t="str">
        <f aca="false">IF(BB177="","",IF(BG177&lt;BB177,BF177,BD177))</f>
        <v/>
      </c>
      <c r="BI177" s="9" t="str">
        <f aca="false">IF(BB177="","",IF(BG177&lt;BB177,BE177,BF177))</f>
        <v/>
      </c>
      <c r="BJ177" s="9" t="str">
        <f aca="false">IF(BB177="","",(BH177+BI177)/2)</f>
        <v/>
      </c>
      <c r="BK177" s="9" t="str">
        <f aca="false">IF(OR(T177="",P177="",BJ177="",T177&lt;=0,BJ177&lt;=0),"",(1/Inputs!$B$9)*((T177^2/8)*((2*ACOS(1-2*BJ177/T177))-SIN((2*ACOS(1-2*BJ177/T177)))))*((((T177^2/8)*((2*ACOS(1-2*BJ177/T177))-SIN((2*ACOS(1-2*BJ177/T177)))))/((T177/2)*((2*ACOS(1-2*BJ177/T177)))))^(2/3))*SQRT(P177))</f>
        <v/>
      </c>
      <c r="BL177" s="9" t="str">
        <f aca="false">IF(BB177="","",IF(BK177&lt;BB177,BJ177,BH177))</f>
        <v/>
      </c>
      <c r="BM177" s="9" t="str">
        <f aca="false">IF(BB177="","",IF(BK177&lt;BB177,BI177,BJ177))</f>
        <v/>
      </c>
      <c r="BN177" s="9" t="str">
        <f aca="false">IF(BB177="","",(BL177+BM177)/2)</f>
        <v/>
      </c>
      <c r="BO177" s="9" t="str">
        <f aca="false">IF(OR(T177="",P177="",BN177="",T177&lt;=0,BN177&lt;=0),"",(1/Inputs!$B$9)*((T177^2/8)*((2*ACOS(1-2*BN177/T177))-SIN((2*ACOS(1-2*BN177/T177)))))*((((T177^2/8)*((2*ACOS(1-2*BN177/T177))-SIN((2*ACOS(1-2*BN177/T177)))))/((T177/2)*((2*ACOS(1-2*BN177/T177)))))^(2/3))*SQRT(P177))</f>
        <v/>
      </c>
      <c r="BP177" s="9" t="str">
        <f aca="false">IF(BB177="","",IF(BO177&lt;BB177,BN177,BL177))</f>
        <v/>
      </c>
      <c r="BQ177" s="9" t="str">
        <f aca="false">IF(BB177="","",IF(BO177&lt;BB177,BM177,BN177))</f>
        <v/>
      </c>
      <c r="BR177" s="9" t="str">
        <f aca="false">IF(BB177="","",(BP177+BQ177)/2)</f>
        <v/>
      </c>
      <c r="BS177" s="9" t="str">
        <f aca="false">IF(OR(T177="",P177="",BR177="",T177&lt;=0,BR177&lt;=0),"",(1/Inputs!$B$9)*((T177^2/8)*((2*ACOS(1-2*BR177/T177))-SIN((2*ACOS(1-2*BR177/T177)))))*((((T177^2/8)*((2*ACOS(1-2*BR177/T177))-SIN((2*ACOS(1-2*BR177/T177)))))/((T177/2)*((2*ACOS(1-2*BR177/T177)))))^(2/3))*SQRT(P177))</f>
        <v/>
      </c>
      <c r="BT177" s="9" t="str">
        <f aca="false">IF(BB177="","",IF(BS177&lt;BB177,BR177,BP177))</f>
        <v/>
      </c>
      <c r="BU177" s="9" t="str">
        <f aca="false">IF(BB177="","",IF(BS177&lt;BB177,BQ177,BR177))</f>
        <v/>
      </c>
      <c r="BV177" s="9" t="str">
        <f aca="false">IF(BB177="","",(BT177+BU177)/2)</f>
        <v/>
      </c>
      <c r="BW177" s="9" t="str">
        <f aca="false">IF(OR(T177="",P177="",BV177="",T177&lt;=0,BV177&lt;=0),"",(1/Inputs!$B$9)*((T177^2/8)*((2*ACOS(1-2*BV177/T177))-SIN((2*ACOS(1-2*BV177/T177)))))*((((T177^2/8)*((2*ACOS(1-2*BV177/T177))-SIN((2*ACOS(1-2*BV177/T177)))))/((T177/2)*((2*ACOS(1-2*BV177/T177)))))^(2/3))*SQRT(P177))</f>
        <v/>
      </c>
      <c r="BX177" s="9" t="str">
        <f aca="false">IF(BB177="","",IF(BW177&lt;BB177,BV177,BT177))</f>
        <v/>
      </c>
      <c r="BY177" s="9" t="str">
        <f aca="false">IF(BB177="","",IF(BW177&lt;BB177,BU177,BV177))</f>
        <v/>
      </c>
      <c r="BZ177" s="9" t="str">
        <f aca="false">IF(BB177="","",(BX177+BY177)/2)</f>
        <v/>
      </c>
      <c r="CA177" s="9" t="str">
        <f aca="false">IF(OR(T177="",P177="",BZ177="",T177&lt;=0,BZ177&lt;=0),"",(1/Inputs!$B$9)*((T177^2/8)*((2*ACOS(1-2*BZ177/T177))-SIN((2*ACOS(1-2*BZ177/T177)))))*((((T177^2/8)*((2*ACOS(1-2*BZ177/T177))-SIN((2*ACOS(1-2*BZ177/T177)))))/((T177/2)*((2*ACOS(1-2*BZ177/T177)))))^(2/3))*SQRT(P177))</f>
        <v/>
      </c>
      <c r="CB177" s="9" t="str">
        <f aca="false">IF(BB177="","",IF(CA177&lt;BB177,BZ177,BX177))</f>
        <v/>
      </c>
      <c r="CC177" s="9" t="str">
        <f aca="false">IF(BB177="","",IF(CA177&lt;BB177,BY177,BZ177))</f>
        <v/>
      </c>
      <c r="CD177" s="9" t="str">
        <f aca="false">IF(BB177="","",(CB177+CC177)/2)</f>
        <v/>
      </c>
      <c r="CE177" s="9" t="str">
        <f aca="false">IF(OR(T177="",P177="",CD177="",T177&lt;=0,CD177&lt;=0),"",(1/Inputs!$B$9)*((T177^2/8)*((2*ACOS(1-2*CD177/T177))-SIN((2*ACOS(1-2*CD177/T177)))))*((((T177^2/8)*((2*ACOS(1-2*CD177/T177))-SIN((2*ACOS(1-2*CD177/T177)))))/((T177/2)*((2*ACOS(1-2*CD177/T177)))))^(2/3))*SQRT(P177))</f>
        <v/>
      </c>
      <c r="CF177" s="9" t="str">
        <f aca="false">IF(BB177="","",IF(CE177&lt;BB177,CD177,CB177))</f>
        <v/>
      </c>
      <c r="CG177" s="9" t="str">
        <f aca="false">IF(BB177="","",IF(CE177&lt;BB177,CC177,CD177))</f>
        <v/>
      </c>
      <c r="CH177" s="9" t="str">
        <f aca="false">IF(BB177="","",(CF177+CG177)/2)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14"/>
      <c r="F178" s="14"/>
      <c r="G178" s="14" t="n">
        <f aca="false">SUMIFS(CB_plan!$C:$C,CB_plan!$B:$B,$A178)</f>
        <v>0</v>
      </c>
      <c r="H178" s="14" t="n">
        <f aca="false">IF(F178="",G178,F178)</f>
        <v>0</v>
      </c>
      <c r="I178" s="9"/>
      <c r="J178" s="14"/>
      <c r="K178" s="14" t="str">
        <f aca="false">IF(A178="","",Inputs!$B$13/((IF(AV178="",Inputs!$B$18,AV178)+Inputs!$B$14)^Inputs!$B$15))</f>
        <v/>
      </c>
      <c r="L178" s="14" t="str">
        <f aca="false">IF(A178="","",0.000000278*IF(I178="",Inputs!$B$17,I178)*H178*K178)</f>
        <v/>
      </c>
      <c r="M178" s="14" t="str">
        <f aca="false">IF(A178="","",SUMIFS($N$4:$N$203,$D$4:$D$203,$A178))</f>
        <v/>
      </c>
      <c r="N178" s="14" t="str">
        <f aca="false">IF(A178="","",(L178+M178)*Inputs!$B$16)</f>
        <v/>
      </c>
      <c r="O178" s="14"/>
      <c r="P178" s="14" t="str">
        <f aca="false">IF(A178="","",IF(O178="",Inputs!$B$7,O178))</f>
        <v/>
      </c>
      <c r="Q178" s="9" t="str">
        <f aca="false">IF(A178="","",IF(N178/Inputs!$B$10&lt;=AG178,Inputs!$F$5,IF(N178/Inputs!$B$10&gt;AP178,"OVERSIZE",INDEX(Inputs!$F$5:$F$14,MATCH(N178/Inputs!$B$10,AG178:AP178,1)+1))))</f>
        <v/>
      </c>
      <c r="R178" s="9"/>
      <c r="S178" s="9" t="str">
        <f aca="false">IF(A178="","",IF(R178="",Q178,R178))</f>
        <v/>
      </c>
      <c r="T178" s="14" t="str">
        <f aca="false">IF(OR(S178="",S178="OVERSIZE"),"",S178/1000)</f>
        <v/>
      </c>
      <c r="U178" s="14" t="str">
        <f aca="false">IF(T178="","",(1/Inputs!$B$9)*(PI()*T178^2/4)*((T178/4)^(2/3))*SQRT(P178))</f>
        <v/>
      </c>
      <c r="V178" s="14" t="str">
        <f aca="false">IF(OR(U178="",N178=""),"",N178/(U178*Inputs!$B$10))</f>
        <v/>
      </c>
      <c r="W178" s="14" t="str">
        <f aca="false">IF(OR(T178="",N178=""),"",4*N178/(PI()*T178^2))</f>
        <v/>
      </c>
      <c r="X178" s="14"/>
      <c r="Y178" s="14" t="str">
        <f aca="false">IF(A178="","",IF(A178=Inputs!$B$6,Inputs!$B$22,IF(D178="","",IFERROR(INDEX($Z$4:$Z$203,MATCH(D178,$A$4:$A$203,0))+IF(X178="",Inputs!$B$20,X178),""))))</f>
        <v/>
      </c>
      <c r="Z178" s="14" t="str">
        <f aca="false">IF(OR(Y178="",P178="",E178=""),"",Y178+P178*E178)</f>
        <v/>
      </c>
      <c r="AA178" s="14" t="str">
        <f aca="false">IF(C178="","",IFERROR(INDEX(Noeuds_plan!$C$4:$C$200,MATCH(C178,Noeuds_plan!$A$4:$A$200,0)),""))</f>
        <v/>
      </c>
      <c r="AB178" s="14" t="str">
        <f aca="false">IF(B178="","",IFERROR(INDEX(Noeuds_plan!$C$4:$C$200,MATCH(B178,Noeuds_plan!$A$4:$A$200,0)),""))</f>
        <v/>
      </c>
      <c r="AC178" s="14" t="str">
        <f aca="false">IF(OR(AA178="",Y178=""),"",AA178-Y178)</f>
        <v/>
      </c>
      <c r="AD178" s="14" t="str">
        <f aca="false">IF(OR(AB178="",Z178=""),"",AB178-Z178)</f>
        <v/>
      </c>
      <c r="AE178" s="19" t="str">
        <f aca="false">IF(A178="","",IF(OR(V178&gt;1,AND(AY178&lt;&gt;"",AY178&lt;Inputs!$B$11),AND(AY178&lt;&gt;"",AY178&gt;Inputs!$B$12),AC178&lt;Inputs!$B$19,AD178&lt;Inputs!$B$19,P178&lt;Inputs!$B$7,P178&gt;Inputs!$B$8),"CHECK","OK"))</f>
        <v/>
      </c>
      <c r="AF178" s="9"/>
      <c r="AG178" s="9" t="str">
        <f aca="false">IF(A178="","",(1/Inputs!$B$9)*(PI()*(Inputs!$F$5/1000)^2/4)*((Inputs!$F$5/1000/4)^(2/3))*SQRT(P178))</f>
        <v/>
      </c>
      <c r="AH178" s="9" t="str">
        <f aca="false">IF(A178="","",(1/Inputs!$B$9)*(PI()*(Inputs!$F$6/1000)^2/4)*((Inputs!$F$6/1000/4)^(2/3))*SQRT(P178))</f>
        <v/>
      </c>
      <c r="AI178" s="9" t="str">
        <f aca="false">IF(A178="","",(1/Inputs!$B$9)*(PI()*(Inputs!$F$7/1000)^2/4)*((Inputs!$F$7/1000/4)^(2/3))*SQRT(P178))</f>
        <v/>
      </c>
      <c r="AJ178" s="9" t="str">
        <f aca="false">IF(A178="","",(1/Inputs!$B$9)*(PI()*(Inputs!$F$8/1000)^2/4)*((Inputs!$F$8/1000/4)^(2/3))*SQRT(P178))</f>
        <v/>
      </c>
      <c r="AK178" s="9" t="str">
        <f aca="false">IF(A178="","",(1/Inputs!$B$9)*(PI()*(Inputs!$F$9/1000)^2/4)*((Inputs!$F$9/1000/4)^(2/3))*SQRT(P178))</f>
        <v/>
      </c>
      <c r="AL178" s="9" t="str">
        <f aca="false">IF(A178="","",(1/Inputs!$B$9)*(PI()*(Inputs!$F$10/1000)^2/4)*((Inputs!$F$10/1000/4)^(2/3))*SQRT(P178))</f>
        <v/>
      </c>
      <c r="AM178" s="9" t="str">
        <f aca="false">IF(A178="","",(1/Inputs!$B$9)*(PI()*(Inputs!$F$11/1000)^2/4)*((Inputs!$F$11/1000/4)^(2/3))*SQRT(P178))</f>
        <v/>
      </c>
      <c r="AN178" s="9" t="str">
        <f aca="false">IF(A178="","",(1/Inputs!$B$9)*(PI()*(Inputs!$F$12/1000)^2/4)*((Inputs!$F$12/1000/4)^(2/3))*SQRT(P178))</f>
        <v/>
      </c>
      <c r="AO178" s="9" t="str">
        <f aca="false">IF(A178="","",(1/Inputs!$B$9)*(PI()*(Inputs!$F$13/1000)^2/4)*((Inputs!$F$13/1000/4)^(2/3))*SQRT(P178))</f>
        <v/>
      </c>
      <c r="AP178" s="9" t="str">
        <f aca="false">IF(A178="","",(1/Inputs!$B$9)*(PI()*(Inputs!$F$14/1000)^2/4)*((Inputs!$F$14/1000/4)^(2/3))*SQRT(P178))</f>
        <v/>
      </c>
      <c r="AQ178" s="9" t="str">
        <f aca="false">IF(A178="","",COUNTIF($D$4:$D$203,$A178))</f>
        <v/>
      </c>
      <c r="AR178" s="9" t="str">
        <f aca="false">IF(A178="","",IF(AQ178=0,"START","CONTINUOUS"))</f>
        <v/>
      </c>
      <c r="AS178" s="13" t="str">
        <f aca="false">IF(A178="","",IF(J178="",Inputs!$B$18,J178))</f>
        <v/>
      </c>
      <c r="AT178" s="13" t="str">
        <f aca="false">IF(A178="","",IFERROR(maxifs($AV$4:$AV$203,$D$4:$D$203,$A178),""))</f>
        <v/>
      </c>
      <c r="AU178" s="13" t="str">
        <f aca="false">IF(A178="","",IF(OR(E178="",Inputs!$B$23=""),"",E178/(Inputs!$B$23*60)))</f>
        <v/>
      </c>
      <c r="AV178" s="13" t="str">
        <f aca="false">IF(A178="","",IF(AQ178=0,AS178+AU178,IF(AT178="",AS178+AU178,AT178+AU178)))</f>
        <v/>
      </c>
      <c r="AW178" s="13" t="str">
        <f aca="false">IF(A178="","",W178)</f>
        <v/>
      </c>
      <c r="AX178" s="13" t="str">
        <f aca="false">IF(OR(T178="",P178=""),"",(1/Inputs!$B$9)*((T178/4)^(2/3))*SQRT(P178))</f>
        <v/>
      </c>
      <c r="AY178" s="13" t="str">
        <f aca="false">IF(A178="","",IF(AND(AW178="",AX178="",BA178=""),"",IF(OR(UPPER(TRIM(Inputs!$B$24))="MANNING",UPPER(TRIM(Inputs!$B$24))="M"),AX178,IF(OR(UPPER(TRIM(Inputs!$B$24))="PARTIAL",UPPER(TRIM(Inputs!$B$24))="P"),BA178,IF(OR(UPPER(TRIM(Inputs!$B$24))="MAX",UPPER(TRIM(Inputs!$B$24))="X"),MAX(IF(AW178="",0,AW178),IF(AX178="",0,AX178),IF(BA178="",0,BA178)),AW178)))))</f>
        <v/>
      </c>
      <c r="AZ178" s="13" t="str">
        <f aca="false">IF(BB178="","",CH178)</f>
        <v/>
      </c>
      <c r="BA178" s="13" t="str">
        <f aca="false">IF(OR(BB178="",AZ178="",T178="",T178&lt;=0,AZ178&lt;=0),"",BB178/((T178^2/8)*(2*ACOS(1-2*AZ178/T178)-SIN(2*ACOS(1-2*AZ178/T178)))))</f>
        <v/>
      </c>
      <c r="BB178" s="9" t="str">
        <f aca="false">IF(OR(N178="",BC178=""),"",MIN(N178,BC178))</f>
        <v/>
      </c>
      <c r="BC178" s="9" t="str">
        <f aca="false">IF(OR(N178="",T178="",P178=""),"",IF(OR(T178="",P178="",(0.94*T178)="",T178&lt;=0,(0.94*T178)&lt;=0),"",(1/Inputs!$B$9)*((T178^2/8)*((2*ACOS(1-2*(0.94*T178)/T178))-SIN((2*ACOS(1-2*(0.94*T178)/T178)))))*((((T178^2/8)*((2*ACOS(1-2*(0.94*T178)/T178))-SIN((2*ACOS(1-2*(0.94*T178)/T178)))))/((T178/2)*((2*ACOS(1-2*(0.94*T178)/T178)))))^(2/3))*SQRT(P178)))</f>
        <v/>
      </c>
      <c r="BD178" s="9" t="str">
        <f aca="false">IF(BB178="","",0.001*T178)</f>
        <v/>
      </c>
      <c r="BE178" s="9" t="str">
        <f aca="false">IF(BB178="","",0.94*T178)</f>
        <v/>
      </c>
      <c r="BF178" s="9" t="str">
        <f aca="false">IF(BB178="","",(BD178+BE178)/2)</f>
        <v/>
      </c>
      <c r="BG178" s="9" t="str">
        <f aca="false">IF(OR(T178="",P178="",BF178="",T178&lt;=0,BF178&lt;=0),"",(1/Inputs!$B$9)*((T178^2/8)*((2*ACOS(1-2*BF178/T178))-SIN((2*ACOS(1-2*BF178/T178)))))*((((T178^2/8)*((2*ACOS(1-2*BF178/T178))-SIN((2*ACOS(1-2*BF178/T178)))))/((T178/2)*((2*ACOS(1-2*BF178/T178)))))^(2/3))*SQRT(P178))</f>
        <v/>
      </c>
      <c r="BH178" s="9" t="str">
        <f aca="false">IF(BB178="","",IF(BG178&lt;BB178,BF178,BD178))</f>
        <v/>
      </c>
      <c r="BI178" s="9" t="str">
        <f aca="false">IF(BB178="","",IF(BG178&lt;BB178,BE178,BF178))</f>
        <v/>
      </c>
      <c r="BJ178" s="9" t="str">
        <f aca="false">IF(BB178="","",(BH178+BI178)/2)</f>
        <v/>
      </c>
      <c r="BK178" s="9" t="str">
        <f aca="false">IF(OR(T178="",P178="",BJ178="",T178&lt;=0,BJ178&lt;=0),"",(1/Inputs!$B$9)*((T178^2/8)*((2*ACOS(1-2*BJ178/T178))-SIN((2*ACOS(1-2*BJ178/T178)))))*((((T178^2/8)*((2*ACOS(1-2*BJ178/T178))-SIN((2*ACOS(1-2*BJ178/T178)))))/((T178/2)*((2*ACOS(1-2*BJ178/T178)))))^(2/3))*SQRT(P178))</f>
        <v/>
      </c>
      <c r="BL178" s="9" t="str">
        <f aca="false">IF(BB178="","",IF(BK178&lt;BB178,BJ178,BH178))</f>
        <v/>
      </c>
      <c r="BM178" s="9" t="str">
        <f aca="false">IF(BB178="","",IF(BK178&lt;BB178,BI178,BJ178))</f>
        <v/>
      </c>
      <c r="BN178" s="9" t="str">
        <f aca="false">IF(BB178="","",(BL178+BM178)/2)</f>
        <v/>
      </c>
      <c r="BO178" s="9" t="str">
        <f aca="false">IF(OR(T178="",P178="",BN178="",T178&lt;=0,BN178&lt;=0),"",(1/Inputs!$B$9)*((T178^2/8)*((2*ACOS(1-2*BN178/T178))-SIN((2*ACOS(1-2*BN178/T178)))))*((((T178^2/8)*((2*ACOS(1-2*BN178/T178))-SIN((2*ACOS(1-2*BN178/T178)))))/((T178/2)*((2*ACOS(1-2*BN178/T178)))))^(2/3))*SQRT(P178))</f>
        <v/>
      </c>
      <c r="BP178" s="9" t="str">
        <f aca="false">IF(BB178="","",IF(BO178&lt;BB178,BN178,BL178))</f>
        <v/>
      </c>
      <c r="BQ178" s="9" t="str">
        <f aca="false">IF(BB178="","",IF(BO178&lt;BB178,BM178,BN178))</f>
        <v/>
      </c>
      <c r="BR178" s="9" t="str">
        <f aca="false">IF(BB178="","",(BP178+BQ178)/2)</f>
        <v/>
      </c>
      <c r="BS178" s="9" t="str">
        <f aca="false">IF(OR(T178="",P178="",BR178="",T178&lt;=0,BR178&lt;=0),"",(1/Inputs!$B$9)*((T178^2/8)*((2*ACOS(1-2*BR178/T178))-SIN((2*ACOS(1-2*BR178/T178)))))*((((T178^2/8)*((2*ACOS(1-2*BR178/T178))-SIN((2*ACOS(1-2*BR178/T178)))))/((T178/2)*((2*ACOS(1-2*BR178/T178)))))^(2/3))*SQRT(P178))</f>
        <v/>
      </c>
      <c r="BT178" s="9" t="str">
        <f aca="false">IF(BB178="","",IF(BS178&lt;BB178,BR178,BP178))</f>
        <v/>
      </c>
      <c r="BU178" s="9" t="str">
        <f aca="false">IF(BB178="","",IF(BS178&lt;BB178,BQ178,BR178))</f>
        <v/>
      </c>
      <c r="BV178" s="9" t="str">
        <f aca="false">IF(BB178="","",(BT178+BU178)/2)</f>
        <v/>
      </c>
      <c r="BW178" s="9" t="str">
        <f aca="false">IF(OR(T178="",P178="",BV178="",T178&lt;=0,BV178&lt;=0),"",(1/Inputs!$B$9)*((T178^2/8)*((2*ACOS(1-2*BV178/T178))-SIN((2*ACOS(1-2*BV178/T178)))))*((((T178^2/8)*((2*ACOS(1-2*BV178/T178))-SIN((2*ACOS(1-2*BV178/T178)))))/((T178/2)*((2*ACOS(1-2*BV178/T178)))))^(2/3))*SQRT(P178))</f>
        <v/>
      </c>
      <c r="BX178" s="9" t="str">
        <f aca="false">IF(BB178="","",IF(BW178&lt;BB178,BV178,BT178))</f>
        <v/>
      </c>
      <c r="BY178" s="9" t="str">
        <f aca="false">IF(BB178="","",IF(BW178&lt;BB178,BU178,BV178))</f>
        <v/>
      </c>
      <c r="BZ178" s="9" t="str">
        <f aca="false">IF(BB178="","",(BX178+BY178)/2)</f>
        <v/>
      </c>
      <c r="CA178" s="9" t="str">
        <f aca="false">IF(OR(T178="",P178="",BZ178="",T178&lt;=0,BZ178&lt;=0),"",(1/Inputs!$B$9)*((T178^2/8)*((2*ACOS(1-2*BZ178/T178))-SIN((2*ACOS(1-2*BZ178/T178)))))*((((T178^2/8)*((2*ACOS(1-2*BZ178/T178))-SIN((2*ACOS(1-2*BZ178/T178)))))/((T178/2)*((2*ACOS(1-2*BZ178/T178)))))^(2/3))*SQRT(P178))</f>
        <v/>
      </c>
      <c r="CB178" s="9" t="str">
        <f aca="false">IF(BB178="","",IF(CA178&lt;BB178,BZ178,BX178))</f>
        <v/>
      </c>
      <c r="CC178" s="9" t="str">
        <f aca="false">IF(BB178="","",IF(CA178&lt;BB178,BY178,BZ178))</f>
        <v/>
      </c>
      <c r="CD178" s="9" t="str">
        <f aca="false">IF(BB178="","",(CB178+CC178)/2)</f>
        <v/>
      </c>
      <c r="CE178" s="9" t="str">
        <f aca="false">IF(OR(T178="",P178="",CD178="",T178&lt;=0,CD178&lt;=0),"",(1/Inputs!$B$9)*((T178^2/8)*((2*ACOS(1-2*CD178/T178))-SIN((2*ACOS(1-2*CD178/T178)))))*((((T178^2/8)*((2*ACOS(1-2*CD178/T178))-SIN((2*ACOS(1-2*CD178/T178)))))/((T178/2)*((2*ACOS(1-2*CD178/T178)))))^(2/3))*SQRT(P178))</f>
        <v/>
      </c>
      <c r="CF178" s="9" t="str">
        <f aca="false">IF(BB178="","",IF(CE178&lt;BB178,CD178,CB178))</f>
        <v/>
      </c>
      <c r="CG178" s="9" t="str">
        <f aca="false">IF(BB178="","",IF(CE178&lt;BB178,CC178,CD178))</f>
        <v/>
      </c>
      <c r="CH178" s="9" t="str">
        <f aca="false">IF(BB178="","",(CF178+CG178)/2)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14"/>
      <c r="F179" s="14"/>
      <c r="G179" s="14" t="n">
        <f aca="false">SUMIFS(CB_plan!$C:$C,CB_plan!$B:$B,$A179)</f>
        <v>0</v>
      </c>
      <c r="H179" s="14" t="n">
        <f aca="false">IF(F179="",G179,F179)</f>
        <v>0</v>
      </c>
      <c r="I179" s="9"/>
      <c r="J179" s="14"/>
      <c r="K179" s="14" t="str">
        <f aca="false">IF(A179="","",Inputs!$B$13/((IF(AV179="",Inputs!$B$18,AV179)+Inputs!$B$14)^Inputs!$B$15))</f>
        <v/>
      </c>
      <c r="L179" s="14" t="str">
        <f aca="false">IF(A179="","",0.000000278*IF(I179="",Inputs!$B$17,I179)*H179*K179)</f>
        <v/>
      </c>
      <c r="M179" s="14" t="str">
        <f aca="false">IF(A179="","",SUMIFS($N$4:$N$203,$D$4:$D$203,$A179))</f>
        <v/>
      </c>
      <c r="N179" s="14" t="str">
        <f aca="false">IF(A179="","",(L179+M179)*Inputs!$B$16)</f>
        <v/>
      </c>
      <c r="O179" s="14"/>
      <c r="P179" s="14" t="str">
        <f aca="false">IF(A179="","",IF(O179="",Inputs!$B$7,O179))</f>
        <v/>
      </c>
      <c r="Q179" s="9" t="str">
        <f aca="false">IF(A179="","",IF(N179/Inputs!$B$10&lt;=AG179,Inputs!$F$5,IF(N179/Inputs!$B$10&gt;AP179,"OVERSIZE",INDEX(Inputs!$F$5:$F$14,MATCH(N179/Inputs!$B$10,AG179:AP179,1)+1))))</f>
        <v/>
      </c>
      <c r="R179" s="9"/>
      <c r="S179" s="9" t="str">
        <f aca="false">IF(A179="","",IF(R179="",Q179,R179))</f>
        <v/>
      </c>
      <c r="T179" s="14" t="str">
        <f aca="false">IF(OR(S179="",S179="OVERSIZE"),"",S179/1000)</f>
        <v/>
      </c>
      <c r="U179" s="14" t="str">
        <f aca="false">IF(T179="","",(1/Inputs!$B$9)*(PI()*T179^2/4)*((T179/4)^(2/3))*SQRT(P179))</f>
        <v/>
      </c>
      <c r="V179" s="14" t="str">
        <f aca="false">IF(OR(U179="",N179=""),"",N179/(U179*Inputs!$B$10))</f>
        <v/>
      </c>
      <c r="W179" s="14" t="str">
        <f aca="false">IF(OR(T179="",N179=""),"",4*N179/(PI()*T179^2))</f>
        <v/>
      </c>
      <c r="X179" s="14"/>
      <c r="Y179" s="14" t="str">
        <f aca="false">IF(A179="","",IF(A179=Inputs!$B$6,Inputs!$B$22,IF(D179="","",IFERROR(INDEX($Z$4:$Z$203,MATCH(D179,$A$4:$A$203,0))+IF(X179="",Inputs!$B$20,X179),""))))</f>
        <v/>
      </c>
      <c r="Z179" s="14" t="str">
        <f aca="false">IF(OR(Y179="",P179="",E179=""),"",Y179+P179*E179)</f>
        <v/>
      </c>
      <c r="AA179" s="14" t="str">
        <f aca="false">IF(C179="","",IFERROR(INDEX(Noeuds_plan!$C$4:$C$200,MATCH(C179,Noeuds_plan!$A$4:$A$200,0)),""))</f>
        <v/>
      </c>
      <c r="AB179" s="14" t="str">
        <f aca="false">IF(B179="","",IFERROR(INDEX(Noeuds_plan!$C$4:$C$200,MATCH(B179,Noeuds_plan!$A$4:$A$200,0)),""))</f>
        <v/>
      </c>
      <c r="AC179" s="14" t="str">
        <f aca="false">IF(OR(AA179="",Y179=""),"",AA179-Y179)</f>
        <v/>
      </c>
      <c r="AD179" s="14" t="str">
        <f aca="false">IF(OR(AB179="",Z179=""),"",AB179-Z179)</f>
        <v/>
      </c>
      <c r="AE179" s="19" t="str">
        <f aca="false">IF(A179="","",IF(OR(V179&gt;1,AND(AY179&lt;&gt;"",AY179&lt;Inputs!$B$11),AND(AY179&lt;&gt;"",AY179&gt;Inputs!$B$12),AC179&lt;Inputs!$B$19,AD179&lt;Inputs!$B$19,P179&lt;Inputs!$B$7,P179&gt;Inputs!$B$8),"CHECK","OK"))</f>
        <v/>
      </c>
      <c r="AF179" s="9"/>
      <c r="AG179" s="9" t="str">
        <f aca="false">IF(A179="","",(1/Inputs!$B$9)*(PI()*(Inputs!$F$5/1000)^2/4)*((Inputs!$F$5/1000/4)^(2/3))*SQRT(P179))</f>
        <v/>
      </c>
      <c r="AH179" s="9" t="str">
        <f aca="false">IF(A179="","",(1/Inputs!$B$9)*(PI()*(Inputs!$F$6/1000)^2/4)*((Inputs!$F$6/1000/4)^(2/3))*SQRT(P179))</f>
        <v/>
      </c>
      <c r="AI179" s="9" t="str">
        <f aca="false">IF(A179="","",(1/Inputs!$B$9)*(PI()*(Inputs!$F$7/1000)^2/4)*((Inputs!$F$7/1000/4)^(2/3))*SQRT(P179))</f>
        <v/>
      </c>
      <c r="AJ179" s="9" t="str">
        <f aca="false">IF(A179="","",(1/Inputs!$B$9)*(PI()*(Inputs!$F$8/1000)^2/4)*((Inputs!$F$8/1000/4)^(2/3))*SQRT(P179))</f>
        <v/>
      </c>
      <c r="AK179" s="9" t="str">
        <f aca="false">IF(A179="","",(1/Inputs!$B$9)*(PI()*(Inputs!$F$9/1000)^2/4)*((Inputs!$F$9/1000/4)^(2/3))*SQRT(P179))</f>
        <v/>
      </c>
      <c r="AL179" s="9" t="str">
        <f aca="false">IF(A179="","",(1/Inputs!$B$9)*(PI()*(Inputs!$F$10/1000)^2/4)*((Inputs!$F$10/1000/4)^(2/3))*SQRT(P179))</f>
        <v/>
      </c>
      <c r="AM179" s="9" t="str">
        <f aca="false">IF(A179="","",(1/Inputs!$B$9)*(PI()*(Inputs!$F$11/1000)^2/4)*((Inputs!$F$11/1000/4)^(2/3))*SQRT(P179))</f>
        <v/>
      </c>
      <c r="AN179" s="9" t="str">
        <f aca="false">IF(A179="","",(1/Inputs!$B$9)*(PI()*(Inputs!$F$12/1000)^2/4)*((Inputs!$F$12/1000/4)^(2/3))*SQRT(P179))</f>
        <v/>
      </c>
      <c r="AO179" s="9" t="str">
        <f aca="false">IF(A179="","",(1/Inputs!$B$9)*(PI()*(Inputs!$F$13/1000)^2/4)*((Inputs!$F$13/1000/4)^(2/3))*SQRT(P179))</f>
        <v/>
      </c>
      <c r="AP179" s="9" t="str">
        <f aca="false">IF(A179="","",(1/Inputs!$B$9)*(PI()*(Inputs!$F$14/1000)^2/4)*((Inputs!$F$14/1000/4)^(2/3))*SQRT(P179))</f>
        <v/>
      </c>
      <c r="AQ179" s="9" t="str">
        <f aca="false">IF(A179="","",COUNTIF($D$4:$D$203,$A179))</f>
        <v/>
      </c>
      <c r="AR179" s="9" t="str">
        <f aca="false">IF(A179="","",IF(AQ179=0,"START","CONTINUOUS"))</f>
        <v/>
      </c>
      <c r="AS179" s="13" t="str">
        <f aca="false">IF(A179="","",IF(J179="",Inputs!$B$18,J179))</f>
        <v/>
      </c>
      <c r="AT179" s="13" t="str">
        <f aca="false">IF(A179="","",IFERROR(maxifs($AV$4:$AV$203,$D$4:$D$203,$A179),""))</f>
        <v/>
      </c>
      <c r="AU179" s="13" t="str">
        <f aca="false">IF(A179="","",IF(OR(E179="",Inputs!$B$23=""),"",E179/(Inputs!$B$23*60)))</f>
        <v/>
      </c>
      <c r="AV179" s="13" t="str">
        <f aca="false">IF(A179="","",IF(AQ179=0,AS179+AU179,IF(AT179="",AS179+AU179,AT179+AU179)))</f>
        <v/>
      </c>
      <c r="AW179" s="13" t="str">
        <f aca="false">IF(A179="","",W179)</f>
        <v/>
      </c>
      <c r="AX179" s="13" t="str">
        <f aca="false">IF(OR(T179="",P179=""),"",(1/Inputs!$B$9)*((T179/4)^(2/3))*SQRT(P179))</f>
        <v/>
      </c>
      <c r="AY179" s="13" t="str">
        <f aca="false">IF(A179="","",IF(AND(AW179="",AX179="",BA179=""),"",IF(OR(UPPER(TRIM(Inputs!$B$24))="MANNING",UPPER(TRIM(Inputs!$B$24))="M"),AX179,IF(OR(UPPER(TRIM(Inputs!$B$24))="PARTIAL",UPPER(TRIM(Inputs!$B$24))="P"),BA179,IF(OR(UPPER(TRIM(Inputs!$B$24))="MAX",UPPER(TRIM(Inputs!$B$24))="X"),MAX(IF(AW179="",0,AW179),IF(AX179="",0,AX179),IF(BA179="",0,BA179)),AW179)))))</f>
        <v/>
      </c>
      <c r="AZ179" s="13" t="str">
        <f aca="false">IF(BB179="","",CH179)</f>
        <v/>
      </c>
      <c r="BA179" s="13" t="str">
        <f aca="false">IF(OR(BB179="",AZ179="",T179="",T179&lt;=0,AZ179&lt;=0),"",BB179/((T179^2/8)*(2*ACOS(1-2*AZ179/T179)-SIN(2*ACOS(1-2*AZ179/T179)))))</f>
        <v/>
      </c>
      <c r="BB179" s="9" t="str">
        <f aca="false">IF(OR(N179="",BC179=""),"",MIN(N179,BC179))</f>
        <v/>
      </c>
      <c r="BC179" s="9" t="str">
        <f aca="false">IF(OR(N179="",T179="",P179=""),"",IF(OR(T179="",P179="",(0.94*T179)="",T179&lt;=0,(0.94*T179)&lt;=0),"",(1/Inputs!$B$9)*((T179^2/8)*((2*ACOS(1-2*(0.94*T179)/T179))-SIN((2*ACOS(1-2*(0.94*T179)/T179)))))*((((T179^2/8)*((2*ACOS(1-2*(0.94*T179)/T179))-SIN((2*ACOS(1-2*(0.94*T179)/T179)))))/((T179/2)*((2*ACOS(1-2*(0.94*T179)/T179)))))^(2/3))*SQRT(P179)))</f>
        <v/>
      </c>
      <c r="BD179" s="9" t="str">
        <f aca="false">IF(BB179="","",0.001*T179)</f>
        <v/>
      </c>
      <c r="BE179" s="9" t="str">
        <f aca="false">IF(BB179="","",0.94*T179)</f>
        <v/>
      </c>
      <c r="BF179" s="9" t="str">
        <f aca="false">IF(BB179="","",(BD179+BE179)/2)</f>
        <v/>
      </c>
      <c r="BG179" s="9" t="str">
        <f aca="false">IF(OR(T179="",P179="",BF179="",T179&lt;=0,BF179&lt;=0),"",(1/Inputs!$B$9)*((T179^2/8)*((2*ACOS(1-2*BF179/T179))-SIN((2*ACOS(1-2*BF179/T179)))))*((((T179^2/8)*((2*ACOS(1-2*BF179/T179))-SIN((2*ACOS(1-2*BF179/T179)))))/((T179/2)*((2*ACOS(1-2*BF179/T179)))))^(2/3))*SQRT(P179))</f>
        <v/>
      </c>
      <c r="BH179" s="9" t="str">
        <f aca="false">IF(BB179="","",IF(BG179&lt;BB179,BF179,BD179))</f>
        <v/>
      </c>
      <c r="BI179" s="9" t="str">
        <f aca="false">IF(BB179="","",IF(BG179&lt;BB179,BE179,BF179))</f>
        <v/>
      </c>
      <c r="BJ179" s="9" t="str">
        <f aca="false">IF(BB179="","",(BH179+BI179)/2)</f>
        <v/>
      </c>
      <c r="BK179" s="9" t="str">
        <f aca="false">IF(OR(T179="",P179="",BJ179="",T179&lt;=0,BJ179&lt;=0),"",(1/Inputs!$B$9)*((T179^2/8)*((2*ACOS(1-2*BJ179/T179))-SIN((2*ACOS(1-2*BJ179/T179)))))*((((T179^2/8)*((2*ACOS(1-2*BJ179/T179))-SIN((2*ACOS(1-2*BJ179/T179)))))/((T179/2)*((2*ACOS(1-2*BJ179/T179)))))^(2/3))*SQRT(P179))</f>
        <v/>
      </c>
      <c r="BL179" s="9" t="str">
        <f aca="false">IF(BB179="","",IF(BK179&lt;BB179,BJ179,BH179))</f>
        <v/>
      </c>
      <c r="BM179" s="9" t="str">
        <f aca="false">IF(BB179="","",IF(BK179&lt;BB179,BI179,BJ179))</f>
        <v/>
      </c>
      <c r="BN179" s="9" t="str">
        <f aca="false">IF(BB179="","",(BL179+BM179)/2)</f>
        <v/>
      </c>
      <c r="BO179" s="9" t="str">
        <f aca="false">IF(OR(T179="",P179="",BN179="",T179&lt;=0,BN179&lt;=0),"",(1/Inputs!$B$9)*((T179^2/8)*((2*ACOS(1-2*BN179/T179))-SIN((2*ACOS(1-2*BN179/T179)))))*((((T179^2/8)*((2*ACOS(1-2*BN179/T179))-SIN((2*ACOS(1-2*BN179/T179)))))/((T179/2)*((2*ACOS(1-2*BN179/T179)))))^(2/3))*SQRT(P179))</f>
        <v/>
      </c>
      <c r="BP179" s="9" t="str">
        <f aca="false">IF(BB179="","",IF(BO179&lt;BB179,BN179,BL179))</f>
        <v/>
      </c>
      <c r="BQ179" s="9" t="str">
        <f aca="false">IF(BB179="","",IF(BO179&lt;BB179,BM179,BN179))</f>
        <v/>
      </c>
      <c r="BR179" s="9" t="str">
        <f aca="false">IF(BB179="","",(BP179+BQ179)/2)</f>
        <v/>
      </c>
      <c r="BS179" s="9" t="str">
        <f aca="false">IF(OR(T179="",P179="",BR179="",T179&lt;=0,BR179&lt;=0),"",(1/Inputs!$B$9)*((T179^2/8)*((2*ACOS(1-2*BR179/T179))-SIN((2*ACOS(1-2*BR179/T179)))))*((((T179^2/8)*((2*ACOS(1-2*BR179/T179))-SIN((2*ACOS(1-2*BR179/T179)))))/((T179/2)*((2*ACOS(1-2*BR179/T179)))))^(2/3))*SQRT(P179))</f>
        <v/>
      </c>
      <c r="BT179" s="9" t="str">
        <f aca="false">IF(BB179="","",IF(BS179&lt;BB179,BR179,BP179))</f>
        <v/>
      </c>
      <c r="BU179" s="9" t="str">
        <f aca="false">IF(BB179="","",IF(BS179&lt;BB179,BQ179,BR179))</f>
        <v/>
      </c>
      <c r="BV179" s="9" t="str">
        <f aca="false">IF(BB179="","",(BT179+BU179)/2)</f>
        <v/>
      </c>
      <c r="BW179" s="9" t="str">
        <f aca="false">IF(OR(T179="",P179="",BV179="",T179&lt;=0,BV179&lt;=0),"",(1/Inputs!$B$9)*((T179^2/8)*((2*ACOS(1-2*BV179/T179))-SIN((2*ACOS(1-2*BV179/T179)))))*((((T179^2/8)*((2*ACOS(1-2*BV179/T179))-SIN((2*ACOS(1-2*BV179/T179)))))/((T179/2)*((2*ACOS(1-2*BV179/T179)))))^(2/3))*SQRT(P179))</f>
        <v/>
      </c>
      <c r="BX179" s="9" t="str">
        <f aca="false">IF(BB179="","",IF(BW179&lt;BB179,BV179,BT179))</f>
        <v/>
      </c>
      <c r="BY179" s="9" t="str">
        <f aca="false">IF(BB179="","",IF(BW179&lt;BB179,BU179,BV179))</f>
        <v/>
      </c>
      <c r="BZ179" s="9" t="str">
        <f aca="false">IF(BB179="","",(BX179+BY179)/2)</f>
        <v/>
      </c>
      <c r="CA179" s="9" t="str">
        <f aca="false">IF(OR(T179="",P179="",BZ179="",T179&lt;=0,BZ179&lt;=0),"",(1/Inputs!$B$9)*((T179^2/8)*((2*ACOS(1-2*BZ179/T179))-SIN((2*ACOS(1-2*BZ179/T179)))))*((((T179^2/8)*((2*ACOS(1-2*BZ179/T179))-SIN((2*ACOS(1-2*BZ179/T179)))))/((T179/2)*((2*ACOS(1-2*BZ179/T179)))))^(2/3))*SQRT(P179))</f>
        <v/>
      </c>
      <c r="CB179" s="9" t="str">
        <f aca="false">IF(BB179="","",IF(CA179&lt;BB179,BZ179,BX179))</f>
        <v/>
      </c>
      <c r="CC179" s="9" t="str">
        <f aca="false">IF(BB179="","",IF(CA179&lt;BB179,BY179,BZ179))</f>
        <v/>
      </c>
      <c r="CD179" s="9" t="str">
        <f aca="false">IF(BB179="","",(CB179+CC179)/2)</f>
        <v/>
      </c>
      <c r="CE179" s="9" t="str">
        <f aca="false">IF(OR(T179="",P179="",CD179="",T179&lt;=0,CD179&lt;=0),"",(1/Inputs!$B$9)*((T179^2/8)*((2*ACOS(1-2*CD179/T179))-SIN((2*ACOS(1-2*CD179/T179)))))*((((T179^2/8)*((2*ACOS(1-2*CD179/T179))-SIN((2*ACOS(1-2*CD179/T179)))))/((T179/2)*((2*ACOS(1-2*CD179/T179)))))^(2/3))*SQRT(P179))</f>
        <v/>
      </c>
      <c r="CF179" s="9" t="str">
        <f aca="false">IF(BB179="","",IF(CE179&lt;BB179,CD179,CB179))</f>
        <v/>
      </c>
      <c r="CG179" s="9" t="str">
        <f aca="false">IF(BB179="","",IF(CE179&lt;BB179,CC179,CD179))</f>
        <v/>
      </c>
      <c r="CH179" s="9" t="str">
        <f aca="false">IF(BB179="","",(CF179+CG179)/2)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14"/>
      <c r="F180" s="14"/>
      <c r="G180" s="14" t="n">
        <f aca="false">SUMIFS(CB_plan!$C:$C,CB_plan!$B:$B,$A180)</f>
        <v>0</v>
      </c>
      <c r="H180" s="14" t="n">
        <f aca="false">IF(F180="",G180,F180)</f>
        <v>0</v>
      </c>
      <c r="I180" s="9"/>
      <c r="J180" s="14"/>
      <c r="K180" s="14" t="str">
        <f aca="false">IF(A180="","",Inputs!$B$13/((IF(AV180="",Inputs!$B$18,AV180)+Inputs!$B$14)^Inputs!$B$15))</f>
        <v/>
      </c>
      <c r="L180" s="14" t="str">
        <f aca="false">IF(A180="","",0.000000278*IF(I180="",Inputs!$B$17,I180)*H180*K180)</f>
        <v/>
      </c>
      <c r="M180" s="14" t="str">
        <f aca="false">IF(A180="","",SUMIFS($N$4:$N$203,$D$4:$D$203,$A180))</f>
        <v/>
      </c>
      <c r="N180" s="14" t="str">
        <f aca="false">IF(A180="","",(L180+M180)*Inputs!$B$16)</f>
        <v/>
      </c>
      <c r="O180" s="14"/>
      <c r="P180" s="14" t="str">
        <f aca="false">IF(A180="","",IF(O180="",Inputs!$B$7,O180))</f>
        <v/>
      </c>
      <c r="Q180" s="9" t="str">
        <f aca="false">IF(A180="","",IF(N180/Inputs!$B$10&lt;=AG180,Inputs!$F$5,IF(N180/Inputs!$B$10&gt;AP180,"OVERSIZE",INDEX(Inputs!$F$5:$F$14,MATCH(N180/Inputs!$B$10,AG180:AP180,1)+1))))</f>
        <v/>
      </c>
      <c r="R180" s="9"/>
      <c r="S180" s="9" t="str">
        <f aca="false">IF(A180="","",IF(R180="",Q180,R180))</f>
        <v/>
      </c>
      <c r="T180" s="14" t="str">
        <f aca="false">IF(OR(S180="",S180="OVERSIZE"),"",S180/1000)</f>
        <v/>
      </c>
      <c r="U180" s="14" t="str">
        <f aca="false">IF(T180="","",(1/Inputs!$B$9)*(PI()*T180^2/4)*((T180/4)^(2/3))*SQRT(P180))</f>
        <v/>
      </c>
      <c r="V180" s="14" t="str">
        <f aca="false">IF(OR(U180="",N180=""),"",N180/(U180*Inputs!$B$10))</f>
        <v/>
      </c>
      <c r="W180" s="14" t="str">
        <f aca="false">IF(OR(T180="",N180=""),"",4*N180/(PI()*T180^2))</f>
        <v/>
      </c>
      <c r="X180" s="14"/>
      <c r="Y180" s="14" t="str">
        <f aca="false">IF(A180="","",IF(A180=Inputs!$B$6,Inputs!$B$22,IF(D180="","",IFERROR(INDEX($Z$4:$Z$203,MATCH(D180,$A$4:$A$203,0))+IF(X180="",Inputs!$B$20,X180),""))))</f>
        <v/>
      </c>
      <c r="Z180" s="14" t="str">
        <f aca="false">IF(OR(Y180="",P180="",E180=""),"",Y180+P180*E180)</f>
        <v/>
      </c>
      <c r="AA180" s="14" t="str">
        <f aca="false">IF(C180="","",IFERROR(INDEX(Noeuds_plan!$C$4:$C$200,MATCH(C180,Noeuds_plan!$A$4:$A$200,0)),""))</f>
        <v/>
      </c>
      <c r="AB180" s="14" t="str">
        <f aca="false">IF(B180="","",IFERROR(INDEX(Noeuds_plan!$C$4:$C$200,MATCH(B180,Noeuds_plan!$A$4:$A$200,0)),""))</f>
        <v/>
      </c>
      <c r="AC180" s="14" t="str">
        <f aca="false">IF(OR(AA180="",Y180=""),"",AA180-Y180)</f>
        <v/>
      </c>
      <c r="AD180" s="14" t="str">
        <f aca="false">IF(OR(AB180="",Z180=""),"",AB180-Z180)</f>
        <v/>
      </c>
      <c r="AE180" s="19" t="str">
        <f aca="false">IF(A180="","",IF(OR(V180&gt;1,AND(AY180&lt;&gt;"",AY180&lt;Inputs!$B$11),AND(AY180&lt;&gt;"",AY180&gt;Inputs!$B$12),AC180&lt;Inputs!$B$19,AD180&lt;Inputs!$B$19,P180&lt;Inputs!$B$7,P180&gt;Inputs!$B$8),"CHECK","OK"))</f>
        <v/>
      </c>
      <c r="AF180" s="9"/>
      <c r="AG180" s="9" t="str">
        <f aca="false">IF(A180="","",(1/Inputs!$B$9)*(PI()*(Inputs!$F$5/1000)^2/4)*((Inputs!$F$5/1000/4)^(2/3))*SQRT(P180))</f>
        <v/>
      </c>
      <c r="AH180" s="9" t="str">
        <f aca="false">IF(A180="","",(1/Inputs!$B$9)*(PI()*(Inputs!$F$6/1000)^2/4)*((Inputs!$F$6/1000/4)^(2/3))*SQRT(P180))</f>
        <v/>
      </c>
      <c r="AI180" s="9" t="str">
        <f aca="false">IF(A180="","",(1/Inputs!$B$9)*(PI()*(Inputs!$F$7/1000)^2/4)*((Inputs!$F$7/1000/4)^(2/3))*SQRT(P180))</f>
        <v/>
      </c>
      <c r="AJ180" s="9" t="str">
        <f aca="false">IF(A180="","",(1/Inputs!$B$9)*(PI()*(Inputs!$F$8/1000)^2/4)*((Inputs!$F$8/1000/4)^(2/3))*SQRT(P180))</f>
        <v/>
      </c>
      <c r="AK180" s="9" t="str">
        <f aca="false">IF(A180="","",(1/Inputs!$B$9)*(PI()*(Inputs!$F$9/1000)^2/4)*((Inputs!$F$9/1000/4)^(2/3))*SQRT(P180))</f>
        <v/>
      </c>
      <c r="AL180" s="9" t="str">
        <f aca="false">IF(A180="","",(1/Inputs!$B$9)*(PI()*(Inputs!$F$10/1000)^2/4)*((Inputs!$F$10/1000/4)^(2/3))*SQRT(P180))</f>
        <v/>
      </c>
      <c r="AM180" s="9" t="str">
        <f aca="false">IF(A180="","",(1/Inputs!$B$9)*(PI()*(Inputs!$F$11/1000)^2/4)*((Inputs!$F$11/1000/4)^(2/3))*SQRT(P180))</f>
        <v/>
      </c>
      <c r="AN180" s="9" t="str">
        <f aca="false">IF(A180="","",(1/Inputs!$B$9)*(PI()*(Inputs!$F$12/1000)^2/4)*((Inputs!$F$12/1000/4)^(2/3))*SQRT(P180))</f>
        <v/>
      </c>
      <c r="AO180" s="9" t="str">
        <f aca="false">IF(A180="","",(1/Inputs!$B$9)*(PI()*(Inputs!$F$13/1000)^2/4)*((Inputs!$F$13/1000/4)^(2/3))*SQRT(P180))</f>
        <v/>
      </c>
      <c r="AP180" s="9" t="str">
        <f aca="false">IF(A180="","",(1/Inputs!$B$9)*(PI()*(Inputs!$F$14/1000)^2/4)*((Inputs!$F$14/1000/4)^(2/3))*SQRT(P180))</f>
        <v/>
      </c>
      <c r="AQ180" s="9" t="str">
        <f aca="false">IF(A180="","",COUNTIF($D$4:$D$203,$A180))</f>
        <v/>
      </c>
      <c r="AR180" s="9" t="str">
        <f aca="false">IF(A180="","",IF(AQ180=0,"START","CONTINUOUS"))</f>
        <v/>
      </c>
      <c r="AS180" s="13" t="str">
        <f aca="false">IF(A180="","",IF(J180="",Inputs!$B$18,J180))</f>
        <v/>
      </c>
      <c r="AT180" s="13" t="str">
        <f aca="false">IF(A180="","",IFERROR(maxifs($AV$4:$AV$203,$D$4:$D$203,$A180),""))</f>
        <v/>
      </c>
      <c r="AU180" s="13" t="str">
        <f aca="false">IF(A180="","",IF(OR(E180="",Inputs!$B$23=""),"",E180/(Inputs!$B$23*60)))</f>
        <v/>
      </c>
      <c r="AV180" s="13" t="str">
        <f aca="false">IF(A180="","",IF(AQ180=0,AS180+AU180,IF(AT180="",AS180+AU180,AT180+AU180)))</f>
        <v/>
      </c>
      <c r="AW180" s="13" t="str">
        <f aca="false">IF(A180="","",W180)</f>
        <v/>
      </c>
      <c r="AX180" s="13" t="str">
        <f aca="false">IF(OR(T180="",P180=""),"",(1/Inputs!$B$9)*((T180/4)^(2/3))*SQRT(P180))</f>
        <v/>
      </c>
      <c r="AY180" s="13" t="str">
        <f aca="false">IF(A180="","",IF(AND(AW180="",AX180="",BA180=""),"",IF(OR(UPPER(TRIM(Inputs!$B$24))="MANNING",UPPER(TRIM(Inputs!$B$24))="M"),AX180,IF(OR(UPPER(TRIM(Inputs!$B$24))="PARTIAL",UPPER(TRIM(Inputs!$B$24))="P"),BA180,IF(OR(UPPER(TRIM(Inputs!$B$24))="MAX",UPPER(TRIM(Inputs!$B$24))="X"),MAX(IF(AW180="",0,AW180),IF(AX180="",0,AX180),IF(BA180="",0,BA180)),AW180)))))</f>
        <v/>
      </c>
      <c r="AZ180" s="13" t="str">
        <f aca="false">IF(BB180="","",CH180)</f>
        <v/>
      </c>
      <c r="BA180" s="13" t="str">
        <f aca="false">IF(OR(BB180="",AZ180="",T180="",T180&lt;=0,AZ180&lt;=0),"",BB180/((T180^2/8)*(2*ACOS(1-2*AZ180/T180)-SIN(2*ACOS(1-2*AZ180/T180)))))</f>
        <v/>
      </c>
      <c r="BB180" s="9" t="str">
        <f aca="false">IF(OR(N180="",BC180=""),"",MIN(N180,BC180))</f>
        <v/>
      </c>
      <c r="BC180" s="9" t="str">
        <f aca="false">IF(OR(N180="",T180="",P180=""),"",IF(OR(T180="",P180="",(0.94*T180)="",T180&lt;=0,(0.94*T180)&lt;=0),"",(1/Inputs!$B$9)*((T180^2/8)*((2*ACOS(1-2*(0.94*T180)/T180))-SIN((2*ACOS(1-2*(0.94*T180)/T180)))))*((((T180^2/8)*((2*ACOS(1-2*(0.94*T180)/T180))-SIN((2*ACOS(1-2*(0.94*T180)/T180)))))/((T180/2)*((2*ACOS(1-2*(0.94*T180)/T180)))))^(2/3))*SQRT(P180)))</f>
        <v/>
      </c>
      <c r="BD180" s="9" t="str">
        <f aca="false">IF(BB180="","",0.001*T180)</f>
        <v/>
      </c>
      <c r="BE180" s="9" t="str">
        <f aca="false">IF(BB180="","",0.94*T180)</f>
        <v/>
      </c>
      <c r="BF180" s="9" t="str">
        <f aca="false">IF(BB180="","",(BD180+BE180)/2)</f>
        <v/>
      </c>
      <c r="BG180" s="9" t="str">
        <f aca="false">IF(OR(T180="",P180="",BF180="",T180&lt;=0,BF180&lt;=0),"",(1/Inputs!$B$9)*((T180^2/8)*((2*ACOS(1-2*BF180/T180))-SIN((2*ACOS(1-2*BF180/T180)))))*((((T180^2/8)*((2*ACOS(1-2*BF180/T180))-SIN((2*ACOS(1-2*BF180/T180)))))/((T180/2)*((2*ACOS(1-2*BF180/T180)))))^(2/3))*SQRT(P180))</f>
        <v/>
      </c>
      <c r="BH180" s="9" t="str">
        <f aca="false">IF(BB180="","",IF(BG180&lt;BB180,BF180,BD180))</f>
        <v/>
      </c>
      <c r="BI180" s="9" t="str">
        <f aca="false">IF(BB180="","",IF(BG180&lt;BB180,BE180,BF180))</f>
        <v/>
      </c>
      <c r="BJ180" s="9" t="str">
        <f aca="false">IF(BB180="","",(BH180+BI180)/2)</f>
        <v/>
      </c>
      <c r="BK180" s="9" t="str">
        <f aca="false">IF(OR(T180="",P180="",BJ180="",T180&lt;=0,BJ180&lt;=0),"",(1/Inputs!$B$9)*((T180^2/8)*((2*ACOS(1-2*BJ180/T180))-SIN((2*ACOS(1-2*BJ180/T180)))))*((((T180^2/8)*((2*ACOS(1-2*BJ180/T180))-SIN((2*ACOS(1-2*BJ180/T180)))))/((T180/2)*((2*ACOS(1-2*BJ180/T180)))))^(2/3))*SQRT(P180))</f>
        <v/>
      </c>
      <c r="BL180" s="9" t="str">
        <f aca="false">IF(BB180="","",IF(BK180&lt;BB180,BJ180,BH180))</f>
        <v/>
      </c>
      <c r="BM180" s="9" t="str">
        <f aca="false">IF(BB180="","",IF(BK180&lt;BB180,BI180,BJ180))</f>
        <v/>
      </c>
      <c r="BN180" s="9" t="str">
        <f aca="false">IF(BB180="","",(BL180+BM180)/2)</f>
        <v/>
      </c>
      <c r="BO180" s="9" t="str">
        <f aca="false">IF(OR(T180="",P180="",BN180="",T180&lt;=0,BN180&lt;=0),"",(1/Inputs!$B$9)*((T180^2/8)*((2*ACOS(1-2*BN180/T180))-SIN((2*ACOS(1-2*BN180/T180)))))*((((T180^2/8)*((2*ACOS(1-2*BN180/T180))-SIN((2*ACOS(1-2*BN180/T180)))))/((T180/2)*((2*ACOS(1-2*BN180/T180)))))^(2/3))*SQRT(P180))</f>
        <v/>
      </c>
      <c r="BP180" s="9" t="str">
        <f aca="false">IF(BB180="","",IF(BO180&lt;BB180,BN180,BL180))</f>
        <v/>
      </c>
      <c r="BQ180" s="9" t="str">
        <f aca="false">IF(BB180="","",IF(BO180&lt;BB180,BM180,BN180))</f>
        <v/>
      </c>
      <c r="BR180" s="9" t="str">
        <f aca="false">IF(BB180="","",(BP180+BQ180)/2)</f>
        <v/>
      </c>
      <c r="BS180" s="9" t="str">
        <f aca="false">IF(OR(T180="",P180="",BR180="",T180&lt;=0,BR180&lt;=0),"",(1/Inputs!$B$9)*((T180^2/8)*((2*ACOS(1-2*BR180/T180))-SIN((2*ACOS(1-2*BR180/T180)))))*((((T180^2/8)*((2*ACOS(1-2*BR180/T180))-SIN((2*ACOS(1-2*BR180/T180)))))/((T180/2)*((2*ACOS(1-2*BR180/T180)))))^(2/3))*SQRT(P180))</f>
        <v/>
      </c>
      <c r="BT180" s="9" t="str">
        <f aca="false">IF(BB180="","",IF(BS180&lt;BB180,BR180,BP180))</f>
        <v/>
      </c>
      <c r="BU180" s="9" t="str">
        <f aca="false">IF(BB180="","",IF(BS180&lt;BB180,BQ180,BR180))</f>
        <v/>
      </c>
      <c r="BV180" s="9" t="str">
        <f aca="false">IF(BB180="","",(BT180+BU180)/2)</f>
        <v/>
      </c>
      <c r="BW180" s="9" t="str">
        <f aca="false">IF(OR(T180="",P180="",BV180="",T180&lt;=0,BV180&lt;=0),"",(1/Inputs!$B$9)*((T180^2/8)*((2*ACOS(1-2*BV180/T180))-SIN((2*ACOS(1-2*BV180/T180)))))*((((T180^2/8)*((2*ACOS(1-2*BV180/T180))-SIN((2*ACOS(1-2*BV180/T180)))))/((T180/2)*((2*ACOS(1-2*BV180/T180)))))^(2/3))*SQRT(P180))</f>
        <v/>
      </c>
      <c r="BX180" s="9" t="str">
        <f aca="false">IF(BB180="","",IF(BW180&lt;BB180,BV180,BT180))</f>
        <v/>
      </c>
      <c r="BY180" s="9" t="str">
        <f aca="false">IF(BB180="","",IF(BW180&lt;BB180,BU180,BV180))</f>
        <v/>
      </c>
      <c r="BZ180" s="9" t="str">
        <f aca="false">IF(BB180="","",(BX180+BY180)/2)</f>
        <v/>
      </c>
      <c r="CA180" s="9" t="str">
        <f aca="false">IF(OR(T180="",P180="",BZ180="",T180&lt;=0,BZ180&lt;=0),"",(1/Inputs!$B$9)*((T180^2/8)*((2*ACOS(1-2*BZ180/T180))-SIN((2*ACOS(1-2*BZ180/T180)))))*((((T180^2/8)*((2*ACOS(1-2*BZ180/T180))-SIN((2*ACOS(1-2*BZ180/T180)))))/((T180/2)*((2*ACOS(1-2*BZ180/T180)))))^(2/3))*SQRT(P180))</f>
        <v/>
      </c>
      <c r="CB180" s="9" t="str">
        <f aca="false">IF(BB180="","",IF(CA180&lt;BB180,BZ180,BX180))</f>
        <v/>
      </c>
      <c r="CC180" s="9" t="str">
        <f aca="false">IF(BB180="","",IF(CA180&lt;BB180,BY180,BZ180))</f>
        <v/>
      </c>
      <c r="CD180" s="9" t="str">
        <f aca="false">IF(BB180="","",(CB180+CC180)/2)</f>
        <v/>
      </c>
      <c r="CE180" s="9" t="str">
        <f aca="false">IF(OR(T180="",P180="",CD180="",T180&lt;=0,CD180&lt;=0),"",(1/Inputs!$B$9)*((T180^2/8)*((2*ACOS(1-2*CD180/T180))-SIN((2*ACOS(1-2*CD180/T180)))))*((((T180^2/8)*((2*ACOS(1-2*CD180/T180))-SIN((2*ACOS(1-2*CD180/T180)))))/((T180/2)*((2*ACOS(1-2*CD180/T180)))))^(2/3))*SQRT(P180))</f>
        <v/>
      </c>
      <c r="CF180" s="9" t="str">
        <f aca="false">IF(BB180="","",IF(CE180&lt;BB180,CD180,CB180))</f>
        <v/>
      </c>
      <c r="CG180" s="9" t="str">
        <f aca="false">IF(BB180="","",IF(CE180&lt;BB180,CC180,CD180))</f>
        <v/>
      </c>
      <c r="CH180" s="9" t="str">
        <f aca="false">IF(BB180="","",(CF180+CG180)/2)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14"/>
      <c r="F181" s="14"/>
      <c r="G181" s="14" t="n">
        <f aca="false">SUMIFS(CB_plan!$C:$C,CB_plan!$B:$B,$A181)</f>
        <v>0</v>
      </c>
      <c r="H181" s="14" t="n">
        <f aca="false">IF(F181="",G181,F181)</f>
        <v>0</v>
      </c>
      <c r="I181" s="9"/>
      <c r="J181" s="14"/>
      <c r="K181" s="14" t="str">
        <f aca="false">IF(A181="","",Inputs!$B$13/((IF(AV181="",Inputs!$B$18,AV181)+Inputs!$B$14)^Inputs!$B$15))</f>
        <v/>
      </c>
      <c r="L181" s="14" t="str">
        <f aca="false">IF(A181="","",0.000000278*IF(I181="",Inputs!$B$17,I181)*H181*K181)</f>
        <v/>
      </c>
      <c r="M181" s="14" t="str">
        <f aca="false">IF(A181="","",SUMIFS($N$4:$N$203,$D$4:$D$203,$A181))</f>
        <v/>
      </c>
      <c r="N181" s="14" t="str">
        <f aca="false">IF(A181="","",(L181+M181)*Inputs!$B$16)</f>
        <v/>
      </c>
      <c r="O181" s="14"/>
      <c r="P181" s="14" t="str">
        <f aca="false">IF(A181="","",IF(O181="",Inputs!$B$7,O181))</f>
        <v/>
      </c>
      <c r="Q181" s="9" t="str">
        <f aca="false">IF(A181="","",IF(N181/Inputs!$B$10&lt;=AG181,Inputs!$F$5,IF(N181/Inputs!$B$10&gt;AP181,"OVERSIZE",INDEX(Inputs!$F$5:$F$14,MATCH(N181/Inputs!$B$10,AG181:AP181,1)+1))))</f>
        <v/>
      </c>
      <c r="R181" s="9"/>
      <c r="S181" s="9" t="str">
        <f aca="false">IF(A181="","",IF(R181="",Q181,R181))</f>
        <v/>
      </c>
      <c r="T181" s="14" t="str">
        <f aca="false">IF(OR(S181="",S181="OVERSIZE"),"",S181/1000)</f>
        <v/>
      </c>
      <c r="U181" s="14" t="str">
        <f aca="false">IF(T181="","",(1/Inputs!$B$9)*(PI()*T181^2/4)*((T181/4)^(2/3))*SQRT(P181))</f>
        <v/>
      </c>
      <c r="V181" s="14" t="str">
        <f aca="false">IF(OR(U181="",N181=""),"",N181/(U181*Inputs!$B$10))</f>
        <v/>
      </c>
      <c r="W181" s="14" t="str">
        <f aca="false">IF(OR(T181="",N181=""),"",4*N181/(PI()*T181^2))</f>
        <v/>
      </c>
      <c r="X181" s="14"/>
      <c r="Y181" s="14" t="str">
        <f aca="false">IF(A181="","",IF(A181=Inputs!$B$6,Inputs!$B$22,IF(D181="","",IFERROR(INDEX($Z$4:$Z$203,MATCH(D181,$A$4:$A$203,0))+IF(X181="",Inputs!$B$20,X181),""))))</f>
        <v/>
      </c>
      <c r="Z181" s="14" t="str">
        <f aca="false">IF(OR(Y181="",P181="",E181=""),"",Y181+P181*E181)</f>
        <v/>
      </c>
      <c r="AA181" s="14" t="str">
        <f aca="false">IF(C181="","",IFERROR(INDEX(Noeuds_plan!$C$4:$C$200,MATCH(C181,Noeuds_plan!$A$4:$A$200,0)),""))</f>
        <v/>
      </c>
      <c r="AB181" s="14" t="str">
        <f aca="false">IF(B181="","",IFERROR(INDEX(Noeuds_plan!$C$4:$C$200,MATCH(B181,Noeuds_plan!$A$4:$A$200,0)),""))</f>
        <v/>
      </c>
      <c r="AC181" s="14" t="str">
        <f aca="false">IF(OR(AA181="",Y181=""),"",AA181-Y181)</f>
        <v/>
      </c>
      <c r="AD181" s="14" t="str">
        <f aca="false">IF(OR(AB181="",Z181=""),"",AB181-Z181)</f>
        <v/>
      </c>
      <c r="AE181" s="19" t="str">
        <f aca="false">IF(A181="","",IF(OR(V181&gt;1,AND(AY181&lt;&gt;"",AY181&lt;Inputs!$B$11),AND(AY181&lt;&gt;"",AY181&gt;Inputs!$B$12),AC181&lt;Inputs!$B$19,AD181&lt;Inputs!$B$19,P181&lt;Inputs!$B$7,P181&gt;Inputs!$B$8),"CHECK","OK"))</f>
        <v/>
      </c>
      <c r="AF181" s="9"/>
      <c r="AG181" s="9" t="str">
        <f aca="false">IF(A181="","",(1/Inputs!$B$9)*(PI()*(Inputs!$F$5/1000)^2/4)*((Inputs!$F$5/1000/4)^(2/3))*SQRT(P181))</f>
        <v/>
      </c>
      <c r="AH181" s="9" t="str">
        <f aca="false">IF(A181="","",(1/Inputs!$B$9)*(PI()*(Inputs!$F$6/1000)^2/4)*((Inputs!$F$6/1000/4)^(2/3))*SQRT(P181))</f>
        <v/>
      </c>
      <c r="AI181" s="9" t="str">
        <f aca="false">IF(A181="","",(1/Inputs!$B$9)*(PI()*(Inputs!$F$7/1000)^2/4)*((Inputs!$F$7/1000/4)^(2/3))*SQRT(P181))</f>
        <v/>
      </c>
      <c r="AJ181" s="9" t="str">
        <f aca="false">IF(A181="","",(1/Inputs!$B$9)*(PI()*(Inputs!$F$8/1000)^2/4)*((Inputs!$F$8/1000/4)^(2/3))*SQRT(P181))</f>
        <v/>
      </c>
      <c r="AK181" s="9" t="str">
        <f aca="false">IF(A181="","",(1/Inputs!$B$9)*(PI()*(Inputs!$F$9/1000)^2/4)*((Inputs!$F$9/1000/4)^(2/3))*SQRT(P181))</f>
        <v/>
      </c>
      <c r="AL181" s="9" t="str">
        <f aca="false">IF(A181="","",(1/Inputs!$B$9)*(PI()*(Inputs!$F$10/1000)^2/4)*((Inputs!$F$10/1000/4)^(2/3))*SQRT(P181))</f>
        <v/>
      </c>
      <c r="AM181" s="9" t="str">
        <f aca="false">IF(A181="","",(1/Inputs!$B$9)*(PI()*(Inputs!$F$11/1000)^2/4)*((Inputs!$F$11/1000/4)^(2/3))*SQRT(P181))</f>
        <v/>
      </c>
      <c r="AN181" s="9" t="str">
        <f aca="false">IF(A181="","",(1/Inputs!$B$9)*(PI()*(Inputs!$F$12/1000)^2/4)*((Inputs!$F$12/1000/4)^(2/3))*SQRT(P181))</f>
        <v/>
      </c>
      <c r="AO181" s="9" t="str">
        <f aca="false">IF(A181="","",(1/Inputs!$B$9)*(PI()*(Inputs!$F$13/1000)^2/4)*((Inputs!$F$13/1000/4)^(2/3))*SQRT(P181))</f>
        <v/>
      </c>
      <c r="AP181" s="9" t="str">
        <f aca="false">IF(A181="","",(1/Inputs!$B$9)*(PI()*(Inputs!$F$14/1000)^2/4)*((Inputs!$F$14/1000/4)^(2/3))*SQRT(P181))</f>
        <v/>
      </c>
      <c r="AQ181" s="9" t="str">
        <f aca="false">IF(A181="","",COUNTIF($D$4:$D$203,$A181))</f>
        <v/>
      </c>
      <c r="AR181" s="9" t="str">
        <f aca="false">IF(A181="","",IF(AQ181=0,"START","CONTINUOUS"))</f>
        <v/>
      </c>
      <c r="AS181" s="13" t="str">
        <f aca="false">IF(A181="","",IF(J181="",Inputs!$B$18,J181))</f>
        <v/>
      </c>
      <c r="AT181" s="13" t="str">
        <f aca="false">IF(A181="","",IFERROR(maxifs($AV$4:$AV$203,$D$4:$D$203,$A181),""))</f>
        <v/>
      </c>
      <c r="AU181" s="13" t="str">
        <f aca="false">IF(A181="","",IF(OR(E181="",Inputs!$B$23=""),"",E181/(Inputs!$B$23*60)))</f>
        <v/>
      </c>
      <c r="AV181" s="13" t="str">
        <f aca="false">IF(A181="","",IF(AQ181=0,AS181+AU181,IF(AT181="",AS181+AU181,AT181+AU181)))</f>
        <v/>
      </c>
      <c r="AW181" s="13" t="str">
        <f aca="false">IF(A181="","",W181)</f>
        <v/>
      </c>
      <c r="AX181" s="13" t="str">
        <f aca="false">IF(OR(T181="",P181=""),"",(1/Inputs!$B$9)*((T181/4)^(2/3))*SQRT(P181))</f>
        <v/>
      </c>
      <c r="AY181" s="13" t="str">
        <f aca="false">IF(A181="","",IF(AND(AW181="",AX181="",BA181=""),"",IF(OR(UPPER(TRIM(Inputs!$B$24))="MANNING",UPPER(TRIM(Inputs!$B$24))="M"),AX181,IF(OR(UPPER(TRIM(Inputs!$B$24))="PARTIAL",UPPER(TRIM(Inputs!$B$24))="P"),BA181,IF(OR(UPPER(TRIM(Inputs!$B$24))="MAX",UPPER(TRIM(Inputs!$B$24))="X"),MAX(IF(AW181="",0,AW181),IF(AX181="",0,AX181),IF(BA181="",0,BA181)),AW181)))))</f>
        <v/>
      </c>
      <c r="AZ181" s="13" t="str">
        <f aca="false">IF(BB181="","",CH181)</f>
        <v/>
      </c>
      <c r="BA181" s="13" t="str">
        <f aca="false">IF(OR(BB181="",AZ181="",T181="",T181&lt;=0,AZ181&lt;=0),"",BB181/((T181^2/8)*(2*ACOS(1-2*AZ181/T181)-SIN(2*ACOS(1-2*AZ181/T181)))))</f>
        <v/>
      </c>
      <c r="BB181" s="9" t="str">
        <f aca="false">IF(OR(N181="",BC181=""),"",MIN(N181,BC181))</f>
        <v/>
      </c>
      <c r="BC181" s="9" t="str">
        <f aca="false">IF(OR(N181="",T181="",P181=""),"",IF(OR(T181="",P181="",(0.94*T181)="",T181&lt;=0,(0.94*T181)&lt;=0),"",(1/Inputs!$B$9)*((T181^2/8)*((2*ACOS(1-2*(0.94*T181)/T181))-SIN((2*ACOS(1-2*(0.94*T181)/T181)))))*((((T181^2/8)*((2*ACOS(1-2*(0.94*T181)/T181))-SIN((2*ACOS(1-2*(0.94*T181)/T181)))))/((T181/2)*((2*ACOS(1-2*(0.94*T181)/T181)))))^(2/3))*SQRT(P181)))</f>
        <v/>
      </c>
      <c r="BD181" s="9" t="str">
        <f aca="false">IF(BB181="","",0.001*T181)</f>
        <v/>
      </c>
      <c r="BE181" s="9" t="str">
        <f aca="false">IF(BB181="","",0.94*T181)</f>
        <v/>
      </c>
      <c r="BF181" s="9" t="str">
        <f aca="false">IF(BB181="","",(BD181+BE181)/2)</f>
        <v/>
      </c>
      <c r="BG181" s="9" t="str">
        <f aca="false">IF(OR(T181="",P181="",BF181="",T181&lt;=0,BF181&lt;=0),"",(1/Inputs!$B$9)*((T181^2/8)*((2*ACOS(1-2*BF181/T181))-SIN((2*ACOS(1-2*BF181/T181)))))*((((T181^2/8)*((2*ACOS(1-2*BF181/T181))-SIN((2*ACOS(1-2*BF181/T181)))))/((T181/2)*((2*ACOS(1-2*BF181/T181)))))^(2/3))*SQRT(P181))</f>
        <v/>
      </c>
      <c r="BH181" s="9" t="str">
        <f aca="false">IF(BB181="","",IF(BG181&lt;BB181,BF181,BD181))</f>
        <v/>
      </c>
      <c r="BI181" s="9" t="str">
        <f aca="false">IF(BB181="","",IF(BG181&lt;BB181,BE181,BF181))</f>
        <v/>
      </c>
      <c r="BJ181" s="9" t="str">
        <f aca="false">IF(BB181="","",(BH181+BI181)/2)</f>
        <v/>
      </c>
      <c r="BK181" s="9" t="str">
        <f aca="false">IF(OR(T181="",P181="",BJ181="",T181&lt;=0,BJ181&lt;=0),"",(1/Inputs!$B$9)*((T181^2/8)*((2*ACOS(1-2*BJ181/T181))-SIN((2*ACOS(1-2*BJ181/T181)))))*((((T181^2/8)*((2*ACOS(1-2*BJ181/T181))-SIN((2*ACOS(1-2*BJ181/T181)))))/((T181/2)*((2*ACOS(1-2*BJ181/T181)))))^(2/3))*SQRT(P181))</f>
        <v/>
      </c>
      <c r="BL181" s="9" t="str">
        <f aca="false">IF(BB181="","",IF(BK181&lt;BB181,BJ181,BH181))</f>
        <v/>
      </c>
      <c r="BM181" s="9" t="str">
        <f aca="false">IF(BB181="","",IF(BK181&lt;BB181,BI181,BJ181))</f>
        <v/>
      </c>
      <c r="BN181" s="9" t="str">
        <f aca="false">IF(BB181="","",(BL181+BM181)/2)</f>
        <v/>
      </c>
      <c r="BO181" s="9" t="str">
        <f aca="false">IF(OR(T181="",P181="",BN181="",T181&lt;=0,BN181&lt;=0),"",(1/Inputs!$B$9)*((T181^2/8)*((2*ACOS(1-2*BN181/T181))-SIN((2*ACOS(1-2*BN181/T181)))))*((((T181^2/8)*((2*ACOS(1-2*BN181/T181))-SIN((2*ACOS(1-2*BN181/T181)))))/((T181/2)*((2*ACOS(1-2*BN181/T181)))))^(2/3))*SQRT(P181))</f>
        <v/>
      </c>
      <c r="BP181" s="9" t="str">
        <f aca="false">IF(BB181="","",IF(BO181&lt;BB181,BN181,BL181))</f>
        <v/>
      </c>
      <c r="BQ181" s="9" t="str">
        <f aca="false">IF(BB181="","",IF(BO181&lt;BB181,BM181,BN181))</f>
        <v/>
      </c>
      <c r="BR181" s="9" t="str">
        <f aca="false">IF(BB181="","",(BP181+BQ181)/2)</f>
        <v/>
      </c>
      <c r="BS181" s="9" t="str">
        <f aca="false">IF(OR(T181="",P181="",BR181="",T181&lt;=0,BR181&lt;=0),"",(1/Inputs!$B$9)*((T181^2/8)*((2*ACOS(1-2*BR181/T181))-SIN((2*ACOS(1-2*BR181/T181)))))*((((T181^2/8)*((2*ACOS(1-2*BR181/T181))-SIN((2*ACOS(1-2*BR181/T181)))))/((T181/2)*((2*ACOS(1-2*BR181/T181)))))^(2/3))*SQRT(P181))</f>
        <v/>
      </c>
      <c r="BT181" s="9" t="str">
        <f aca="false">IF(BB181="","",IF(BS181&lt;BB181,BR181,BP181))</f>
        <v/>
      </c>
      <c r="BU181" s="9" t="str">
        <f aca="false">IF(BB181="","",IF(BS181&lt;BB181,BQ181,BR181))</f>
        <v/>
      </c>
      <c r="BV181" s="9" t="str">
        <f aca="false">IF(BB181="","",(BT181+BU181)/2)</f>
        <v/>
      </c>
      <c r="BW181" s="9" t="str">
        <f aca="false">IF(OR(T181="",P181="",BV181="",T181&lt;=0,BV181&lt;=0),"",(1/Inputs!$B$9)*((T181^2/8)*((2*ACOS(1-2*BV181/T181))-SIN((2*ACOS(1-2*BV181/T181)))))*((((T181^2/8)*((2*ACOS(1-2*BV181/T181))-SIN((2*ACOS(1-2*BV181/T181)))))/((T181/2)*((2*ACOS(1-2*BV181/T181)))))^(2/3))*SQRT(P181))</f>
        <v/>
      </c>
      <c r="BX181" s="9" t="str">
        <f aca="false">IF(BB181="","",IF(BW181&lt;BB181,BV181,BT181))</f>
        <v/>
      </c>
      <c r="BY181" s="9" t="str">
        <f aca="false">IF(BB181="","",IF(BW181&lt;BB181,BU181,BV181))</f>
        <v/>
      </c>
      <c r="BZ181" s="9" t="str">
        <f aca="false">IF(BB181="","",(BX181+BY181)/2)</f>
        <v/>
      </c>
      <c r="CA181" s="9" t="str">
        <f aca="false">IF(OR(T181="",P181="",BZ181="",T181&lt;=0,BZ181&lt;=0),"",(1/Inputs!$B$9)*((T181^2/8)*((2*ACOS(1-2*BZ181/T181))-SIN((2*ACOS(1-2*BZ181/T181)))))*((((T181^2/8)*((2*ACOS(1-2*BZ181/T181))-SIN((2*ACOS(1-2*BZ181/T181)))))/((T181/2)*((2*ACOS(1-2*BZ181/T181)))))^(2/3))*SQRT(P181))</f>
        <v/>
      </c>
      <c r="CB181" s="9" t="str">
        <f aca="false">IF(BB181="","",IF(CA181&lt;BB181,BZ181,BX181))</f>
        <v/>
      </c>
      <c r="CC181" s="9" t="str">
        <f aca="false">IF(BB181="","",IF(CA181&lt;BB181,BY181,BZ181))</f>
        <v/>
      </c>
      <c r="CD181" s="9" t="str">
        <f aca="false">IF(BB181="","",(CB181+CC181)/2)</f>
        <v/>
      </c>
      <c r="CE181" s="9" t="str">
        <f aca="false">IF(OR(T181="",P181="",CD181="",T181&lt;=0,CD181&lt;=0),"",(1/Inputs!$B$9)*((T181^2/8)*((2*ACOS(1-2*CD181/T181))-SIN((2*ACOS(1-2*CD181/T181)))))*((((T181^2/8)*((2*ACOS(1-2*CD181/T181))-SIN((2*ACOS(1-2*CD181/T181)))))/((T181/2)*((2*ACOS(1-2*CD181/T181)))))^(2/3))*SQRT(P181))</f>
        <v/>
      </c>
      <c r="CF181" s="9" t="str">
        <f aca="false">IF(BB181="","",IF(CE181&lt;BB181,CD181,CB181))</f>
        <v/>
      </c>
      <c r="CG181" s="9" t="str">
        <f aca="false">IF(BB181="","",IF(CE181&lt;BB181,CC181,CD181))</f>
        <v/>
      </c>
      <c r="CH181" s="9" t="str">
        <f aca="false">IF(BB181="","",(CF181+CG181)/2)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14"/>
      <c r="F182" s="14"/>
      <c r="G182" s="14" t="n">
        <f aca="false">SUMIFS(CB_plan!$C:$C,CB_plan!$B:$B,$A182)</f>
        <v>0</v>
      </c>
      <c r="H182" s="14" t="n">
        <f aca="false">IF(F182="",G182,F182)</f>
        <v>0</v>
      </c>
      <c r="I182" s="9"/>
      <c r="J182" s="14"/>
      <c r="K182" s="14" t="str">
        <f aca="false">IF(A182="","",Inputs!$B$13/((IF(AV182="",Inputs!$B$18,AV182)+Inputs!$B$14)^Inputs!$B$15))</f>
        <v/>
      </c>
      <c r="L182" s="14" t="str">
        <f aca="false">IF(A182="","",0.000000278*IF(I182="",Inputs!$B$17,I182)*H182*K182)</f>
        <v/>
      </c>
      <c r="M182" s="14" t="str">
        <f aca="false">IF(A182="","",SUMIFS($N$4:$N$203,$D$4:$D$203,$A182))</f>
        <v/>
      </c>
      <c r="N182" s="14" t="str">
        <f aca="false">IF(A182="","",(L182+M182)*Inputs!$B$16)</f>
        <v/>
      </c>
      <c r="O182" s="14"/>
      <c r="P182" s="14" t="str">
        <f aca="false">IF(A182="","",IF(O182="",Inputs!$B$7,O182))</f>
        <v/>
      </c>
      <c r="Q182" s="9" t="str">
        <f aca="false">IF(A182="","",IF(N182/Inputs!$B$10&lt;=AG182,Inputs!$F$5,IF(N182/Inputs!$B$10&gt;AP182,"OVERSIZE",INDEX(Inputs!$F$5:$F$14,MATCH(N182/Inputs!$B$10,AG182:AP182,1)+1))))</f>
        <v/>
      </c>
      <c r="R182" s="9"/>
      <c r="S182" s="9" t="str">
        <f aca="false">IF(A182="","",IF(R182="",Q182,R182))</f>
        <v/>
      </c>
      <c r="T182" s="14" t="str">
        <f aca="false">IF(OR(S182="",S182="OVERSIZE"),"",S182/1000)</f>
        <v/>
      </c>
      <c r="U182" s="14" t="str">
        <f aca="false">IF(T182="","",(1/Inputs!$B$9)*(PI()*T182^2/4)*((T182/4)^(2/3))*SQRT(P182))</f>
        <v/>
      </c>
      <c r="V182" s="14" t="str">
        <f aca="false">IF(OR(U182="",N182=""),"",N182/(U182*Inputs!$B$10))</f>
        <v/>
      </c>
      <c r="W182" s="14" t="str">
        <f aca="false">IF(OR(T182="",N182=""),"",4*N182/(PI()*T182^2))</f>
        <v/>
      </c>
      <c r="X182" s="14"/>
      <c r="Y182" s="14" t="str">
        <f aca="false">IF(A182="","",IF(A182=Inputs!$B$6,Inputs!$B$22,IF(D182="","",IFERROR(INDEX($Z$4:$Z$203,MATCH(D182,$A$4:$A$203,0))+IF(X182="",Inputs!$B$20,X182),""))))</f>
        <v/>
      </c>
      <c r="Z182" s="14" t="str">
        <f aca="false">IF(OR(Y182="",P182="",E182=""),"",Y182+P182*E182)</f>
        <v/>
      </c>
      <c r="AA182" s="14" t="str">
        <f aca="false">IF(C182="","",IFERROR(INDEX(Noeuds_plan!$C$4:$C$200,MATCH(C182,Noeuds_plan!$A$4:$A$200,0)),""))</f>
        <v/>
      </c>
      <c r="AB182" s="14" t="str">
        <f aca="false">IF(B182="","",IFERROR(INDEX(Noeuds_plan!$C$4:$C$200,MATCH(B182,Noeuds_plan!$A$4:$A$200,0)),""))</f>
        <v/>
      </c>
      <c r="AC182" s="14" t="str">
        <f aca="false">IF(OR(AA182="",Y182=""),"",AA182-Y182)</f>
        <v/>
      </c>
      <c r="AD182" s="14" t="str">
        <f aca="false">IF(OR(AB182="",Z182=""),"",AB182-Z182)</f>
        <v/>
      </c>
      <c r="AE182" s="19" t="str">
        <f aca="false">IF(A182="","",IF(OR(V182&gt;1,AND(AY182&lt;&gt;"",AY182&lt;Inputs!$B$11),AND(AY182&lt;&gt;"",AY182&gt;Inputs!$B$12),AC182&lt;Inputs!$B$19,AD182&lt;Inputs!$B$19,P182&lt;Inputs!$B$7,P182&gt;Inputs!$B$8),"CHECK","OK"))</f>
        <v/>
      </c>
      <c r="AF182" s="9"/>
      <c r="AG182" s="9" t="str">
        <f aca="false">IF(A182="","",(1/Inputs!$B$9)*(PI()*(Inputs!$F$5/1000)^2/4)*((Inputs!$F$5/1000/4)^(2/3))*SQRT(P182))</f>
        <v/>
      </c>
      <c r="AH182" s="9" t="str">
        <f aca="false">IF(A182="","",(1/Inputs!$B$9)*(PI()*(Inputs!$F$6/1000)^2/4)*((Inputs!$F$6/1000/4)^(2/3))*SQRT(P182))</f>
        <v/>
      </c>
      <c r="AI182" s="9" t="str">
        <f aca="false">IF(A182="","",(1/Inputs!$B$9)*(PI()*(Inputs!$F$7/1000)^2/4)*((Inputs!$F$7/1000/4)^(2/3))*SQRT(P182))</f>
        <v/>
      </c>
      <c r="AJ182" s="9" t="str">
        <f aca="false">IF(A182="","",(1/Inputs!$B$9)*(PI()*(Inputs!$F$8/1000)^2/4)*((Inputs!$F$8/1000/4)^(2/3))*SQRT(P182))</f>
        <v/>
      </c>
      <c r="AK182" s="9" t="str">
        <f aca="false">IF(A182="","",(1/Inputs!$B$9)*(PI()*(Inputs!$F$9/1000)^2/4)*((Inputs!$F$9/1000/4)^(2/3))*SQRT(P182))</f>
        <v/>
      </c>
      <c r="AL182" s="9" t="str">
        <f aca="false">IF(A182="","",(1/Inputs!$B$9)*(PI()*(Inputs!$F$10/1000)^2/4)*((Inputs!$F$10/1000/4)^(2/3))*SQRT(P182))</f>
        <v/>
      </c>
      <c r="AM182" s="9" t="str">
        <f aca="false">IF(A182="","",(1/Inputs!$B$9)*(PI()*(Inputs!$F$11/1000)^2/4)*((Inputs!$F$11/1000/4)^(2/3))*SQRT(P182))</f>
        <v/>
      </c>
      <c r="AN182" s="9" t="str">
        <f aca="false">IF(A182="","",(1/Inputs!$B$9)*(PI()*(Inputs!$F$12/1000)^2/4)*((Inputs!$F$12/1000/4)^(2/3))*SQRT(P182))</f>
        <v/>
      </c>
      <c r="AO182" s="9" t="str">
        <f aca="false">IF(A182="","",(1/Inputs!$B$9)*(PI()*(Inputs!$F$13/1000)^2/4)*((Inputs!$F$13/1000/4)^(2/3))*SQRT(P182))</f>
        <v/>
      </c>
      <c r="AP182" s="9" t="str">
        <f aca="false">IF(A182="","",(1/Inputs!$B$9)*(PI()*(Inputs!$F$14/1000)^2/4)*((Inputs!$F$14/1000/4)^(2/3))*SQRT(P182))</f>
        <v/>
      </c>
      <c r="AQ182" s="9" t="str">
        <f aca="false">IF(A182="","",COUNTIF($D$4:$D$203,$A182))</f>
        <v/>
      </c>
      <c r="AR182" s="9" t="str">
        <f aca="false">IF(A182="","",IF(AQ182=0,"START","CONTINUOUS"))</f>
        <v/>
      </c>
      <c r="AS182" s="13" t="str">
        <f aca="false">IF(A182="","",IF(J182="",Inputs!$B$18,J182))</f>
        <v/>
      </c>
      <c r="AT182" s="13" t="str">
        <f aca="false">IF(A182="","",IFERROR(maxifs($AV$4:$AV$203,$D$4:$D$203,$A182),""))</f>
        <v/>
      </c>
      <c r="AU182" s="13" t="str">
        <f aca="false">IF(A182="","",IF(OR(E182="",Inputs!$B$23=""),"",E182/(Inputs!$B$23*60)))</f>
        <v/>
      </c>
      <c r="AV182" s="13" t="str">
        <f aca="false">IF(A182="","",IF(AQ182=0,AS182+AU182,IF(AT182="",AS182+AU182,AT182+AU182)))</f>
        <v/>
      </c>
      <c r="AW182" s="13" t="str">
        <f aca="false">IF(A182="","",W182)</f>
        <v/>
      </c>
      <c r="AX182" s="13" t="str">
        <f aca="false">IF(OR(T182="",P182=""),"",(1/Inputs!$B$9)*((T182/4)^(2/3))*SQRT(P182))</f>
        <v/>
      </c>
      <c r="AY182" s="13" t="str">
        <f aca="false">IF(A182="","",IF(AND(AW182="",AX182="",BA182=""),"",IF(OR(UPPER(TRIM(Inputs!$B$24))="MANNING",UPPER(TRIM(Inputs!$B$24))="M"),AX182,IF(OR(UPPER(TRIM(Inputs!$B$24))="PARTIAL",UPPER(TRIM(Inputs!$B$24))="P"),BA182,IF(OR(UPPER(TRIM(Inputs!$B$24))="MAX",UPPER(TRIM(Inputs!$B$24))="X"),MAX(IF(AW182="",0,AW182),IF(AX182="",0,AX182),IF(BA182="",0,BA182)),AW182)))))</f>
        <v/>
      </c>
      <c r="AZ182" s="13" t="str">
        <f aca="false">IF(BB182="","",CH182)</f>
        <v/>
      </c>
      <c r="BA182" s="13" t="str">
        <f aca="false">IF(OR(BB182="",AZ182="",T182="",T182&lt;=0,AZ182&lt;=0),"",BB182/((T182^2/8)*(2*ACOS(1-2*AZ182/T182)-SIN(2*ACOS(1-2*AZ182/T182)))))</f>
        <v/>
      </c>
      <c r="BB182" s="9" t="str">
        <f aca="false">IF(OR(N182="",BC182=""),"",MIN(N182,BC182))</f>
        <v/>
      </c>
      <c r="BC182" s="9" t="str">
        <f aca="false">IF(OR(N182="",T182="",P182=""),"",IF(OR(T182="",P182="",(0.94*T182)="",T182&lt;=0,(0.94*T182)&lt;=0),"",(1/Inputs!$B$9)*((T182^2/8)*((2*ACOS(1-2*(0.94*T182)/T182))-SIN((2*ACOS(1-2*(0.94*T182)/T182)))))*((((T182^2/8)*((2*ACOS(1-2*(0.94*T182)/T182))-SIN((2*ACOS(1-2*(0.94*T182)/T182)))))/((T182/2)*((2*ACOS(1-2*(0.94*T182)/T182)))))^(2/3))*SQRT(P182)))</f>
        <v/>
      </c>
      <c r="BD182" s="9" t="str">
        <f aca="false">IF(BB182="","",0.001*T182)</f>
        <v/>
      </c>
      <c r="BE182" s="9" t="str">
        <f aca="false">IF(BB182="","",0.94*T182)</f>
        <v/>
      </c>
      <c r="BF182" s="9" t="str">
        <f aca="false">IF(BB182="","",(BD182+BE182)/2)</f>
        <v/>
      </c>
      <c r="BG182" s="9" t="str">
        <f aca="false">IF(OR(T182="",P182="",BF182="",T182&lt;=0,BF182&lt;=0),"",(1/Inputs!$B$9)*((T182^2/8)*((2*ACOS(1-2*BF182/T182))-SIN((2*ACOS(1-2*BF182/T182)))))*((((T182^2/8)*((2*ACOS(1-2*BF182/T182))-SIN((2*ACOS(1-2*BF182/T182)))))/((T182/2)*((2*ACOS(1-2*BF182/T182)))))^(2/3))*SQRT(P182))</f>
        <v/>
      </c>
      <c r="BH182" s="9" t="str">
        <f aca="false">IF(BB182="","",IF(BG182&lt;BB182,BF182,BD182))</f>
        <v/>
      </c>
      <c r="BI182" s="9" t="str">
        <f aca="false">IF(BB182="","",IF(BG182&lt;BB182,BE182,BF182))</f>
        <v/>
      </c>
      <c r="BJ182" s="9" t="str">
        <f aca="false">IF(BB182="","",(BH182+BI182)/2)</f>
        <v/>
      </c>
      <c r="BK182" s="9" t="str">
        <f aca="false">IF(OR(T182="",P182="",BJ182="",T182&lt;=0,BJ182&lt;=0),"",(1/Inputs!$B$9)*((T182^2/8)*((2*ACOS(1-2*BJ182/T182))-SIN((2*ACOS(1-2*BJ182/T182)))))*((((T182^2/8)*((2*ACOS(1-2*BJ182/T182))-SIN((2*ACOS(1-2*BJ182/T182)))))/((T182/2)*((2*ACOS(1-2*BJ182/T182)))))^(2/3))*SQRT(P182))</f>
        <v/>
      </c>
      <c r="BL182" s="9" t="str">
        <f aca="false">IF(BB182="","",IF(BK182&lt;BB182,BJ182,BH182))</f>
        <v/>
      </c>
      <c r="BM182" s="9" t="str">
        <f aca="false">IF(BB182="","",IF(BK182&lt;BB182,BI182,BJ182))</f>
        <v/>
      </c>
      <c r="BN182" s="9" t="str">
        <f aca="false">IF(BB182="","",(BL182+BM182)/2)</f>
        <v/>
      </c>
      <c r="BO182" s="9" t="str">
        <f aca="false">IF(OR(T182="",P182="",BN182="",T182&lt;=0,BN182&lt;=0),"",(1/Inputs!$B$9)*((T182^2/8)*((2*ACOS(1-2*BN182/T182))-SIN((2*ACOS(1-2*BN182/T182)))))*((((T182^2/8)*((2*ACOS(1-2*BN182/T182))-SIN((2*ACOS(1-2*BN182/T182)))))/((T182/2)*((2*ACOS(1-2*BN182/T182)))))^(2/3))*SQRT(P182))</f>
        <v/>
      </c>
      <c r="BP182" s="9" t="str">
        <f aca="false">IF(BB182="","",IF(BO182&lt;BB182,BN182,BL182))</f>
        <v/>
      </c>
      <c r="BQ182" s="9" t="str">
        <f aca="false">IF(BB182="","",IF(BO182&lt;BB182,BM182,BN182))</f>
        <v/>
      </c>
      <c r="BR182" s="9" t="str">
        <f aca="false">IF(BB182="","",(BP182+BQ182)/2)</f>
        <v/>
      </c>
      <c r="BS182" s="9" t="str">
        <f aca="false">IF(OR(T182="",P182="",BR182="",T182&lt;=0,BR182&lt;=0),"",(1/Inputs!$B$9)*((T182^2/8)*((2*ACOS(1-2*BR182/T182))-SIN((2*ACOS(1-2*BR182/T182)))))*((((T182^2/8)*((2*ACOS(1-2*BR182/T182))-SIN((2*ACOS(1-2*BR182/T182)))))/((T182/2)*((2*ACOS(1-2*BR182/T182)))))^(2/3))*SQRT(P182))</f>
        <v/>
      </c>
      <c r="BT182" s="9" t="str">
        <f aca="false">IF(BB182="","",IF(BS182&lt;BB182,BR182,BP182))</f>
        <v/>
      </c>
      <c r="BU182" s="9" t="str">
        <f aca="false">IF(BB182="","",IF(BS182&lt;BB182,BQ182,BR182))</f>
        <v/>
      </c>
      <c r="BV182" s="9" t="str">
        <f aca="false">IF(BB182="","",(BT182+BU182)/2)</f>
        <v/>
      </c>
      <c r="BW182" s="9" t="str">
        <f aca="false">IF(OR(T182="",P182="",BV182="",T182&lt;=0,BV182&lt;=0),"",(1/Inputs!$B$9)*((T182^2/8)*((2*ACOS(1-2*BV182/T182))-SIN((2*ACOS(1-2*BV182/T182)))))*((((T182^2/8)*((2*ACOS(1-2*BV182/T182))-SIN((2*ACOS(1-2*BV182/T182)))))/((T182/2)*((2*ACOS(1-2*BV182/T182)))))^(2/3))*SQRT(P182))</f>
        <v/>
      </c>
      <c r="BX182" s="9" t="str">
        <f aca="false">IF(BB182="","",IF(BW182&lt;BB182,BV182,BT182))</f>
        <v/>
      </c>
      <c r="BY182" s="9" t="str">
        <f aca="false">IF(BB182="","",IF(BW182&lt;BB182,BU182,BV182))</f>
        <v/>
      </c>
      <c r="BZ182" s="9" t="str">
        <f aca="false">IF(BB182="","",(BX182+BY182)/2)</f>
        <v/>
      </c>
      <c r="CA182" s="9" t="str">
        <f aca="false">IF(OR(T182="",P182="",BZ182="",T182&lt;=0,BZ182&lt;=0),"",(1/Inputs!$B$9)*((T182^2/8)*((2*ACOS(1-2*BZ182/T182))-SIN((2*ACOS(1-2*BZ182/T182)))))*((((T182^2/8)*((2*ACOS(1-2*BZ182/T182))-SIN((2*ACOS(1-2*BZ182/T182)))))/((T182/2)*((2*ACOS(1-2*BZ182/T182)))))^(2/3))*SQRT(P182))</f>
        <v/>
      </c>
      <c r="CB182" s="9" t="str">
        <f aca="false">IF(BB182="","",IF(CA182&lt;BB182,BZ182,BX182))</f>
        <v/>
      </c>
      <c r="CC182" s="9" t="str">
        <f aca="false">IF(BB182="","",IF(CA182&lt;BB182,BY182,BZ182))</f>
        <v/>
      </c>
      <c r="CD182" s="9" t="str">
        <f aca="false">IF(BB182="","",(CB182+CC182)/2)</f>
        <v/>
      </c>
      <c r="CE182" s="9" t="str">
        <f aca="false">IF(OR(T182="",P182="",CD182="",T182&lt;=0,CD182&lt;=0),"",(1/Inputs!$B$9)*((T182^2/8)*((2*ACOS(1-2*CD182/T182))-SIN((2*ACOS(1-2*CD182/T182)))))*((((T182^2/8)*((2*ACOS(1-2*CD182/T182))-SIN((2*ACOS(1-2*CD182/T182)))))/((T182/2)*((2*ACOS(1-2*CD182/T182)))))^(2/3))*SQRT(P182))</f>
        <v/>
      </c>
      <c r="CF182" s="9" t="str">
        <f aca="false">IF(BB182="","",IF(CE182&lt;BB182,CD182,CB182))</f>
        <v/>
      </c>
      <c r="CG182" s="9" t="str">
        <f aca="false">IF(BB182="","",IF(CE182&lt;BB182,CC182,CD182))</f>
        <v/>
      </c>
      <c r="CH182" s="9" t="str">
        <f aca="false">IF(BB182="","",(CF182+CG182)/2)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14"/>
      <c r="F183" s="14"/>
      <c r="G183" s="14" t="n">
        <f aca="false">SUMIFS(CB_plan!$C:$C,CB_plan!$B:$B,$A183)</f>
        <v>0</v>
      </c>
      <c r="H183" s="14" t="n">
        <f aca="false">IF(F183="",G183,F183)</f>
        <v>0</v>
      </c>
      <c r="I183" s="9"/>
      <c r="J183" s="14"/>
      <c r="K183" s="14" t="str">
        <f aca="false">IF(A183="","",Inputs!$B$13/((IF(AV183="",Inputs!$B$18,AV183)+Inputs!$B$14)^Inputs!$B$15))</f>
        <v/>
      </c>
      <c r="L183" s="14" t="str">
        <f aca="false">IF(A183="","",0.000000278*IF(I183="",Inputs!$B$17,I183)*H183*K183)</f>
        <v/>
      </c>
      <c r="M183" s="14" t="str">
        <f aca="false">IF(A183="","",SUMIFS($N$4:$N$203,$D$4:$D$203,$A183))</f>
        <v/>
      </c>
      <c r="N183" s="14" t="str">
        <f aca="false">IF(A183="","",(L183+M183)*Inputs!$B$16)</f>
        <v/>
      </c>
      <c r="O183" s="14"/>
      <c r="P183" s="14" t="str">
        <f aca="false">IF(A183="","",IF(O183="",Inputs!$B$7,O183))</f>
        <v/>
      </c>
      <c r="Q183" s="9" t="str">
        <f aca="false">IF(A183="","",IF(N183/Inputs!$B$10&lt;=AG183,Inputs!$F$5,IF(N183/Inputs!$B$10&gt;AP183,"OVERSIZE",INDEX(Inputs!$F$5:$F$14,MATCH(N183/Inputs!$B$10,AG183:AP183,1)+1))))</f>
        <v/>
      </c>
      <c r="R183" s="9"/>
      <c r="S183" s="9" t="str">
        <f aca="false">IF(A183="","",IF(R183="",Q183,R183))</f>
        <v/>
      </c>
      <c r="T183" s="14" t="str">
        <f aca="false">IF(OR(S183="",S183="OVERSIZE"),"",S183/1000)</f>
        <v/>
      </c>
      <c r="U183" s="14" t="str">
        <f aca="false">IF(T183="","",(1/Inputs!$B$9)*(PI()*T183^2/4)*((T183/4)^(2/3))*SQRT(P183))</f>
        <v/>
      </c>
      <c r="V183" s="14" t="str">
        <f aca="false">IF(OR(U183="",N183=""),"",N183/(U183*Inputs!$B$10))</f>
        <v/>
      </c>
      <c r="W183" s="14" t="str">
        <f aca="false">IF(OR(T183="",N183=""),"",4*N183/(PI()*T183^2))</f>
        <v/>
      </c>
      <c r="X183" s="14"/>
      <c r="Y183" s="14" t="str">
        <f aca="false">IF(A183="","",IF(A183=Inputs!$B$6,Inputs!$B$22,IF(D183="","",IFERROR(INDEX($Z$4:$Z$203,MATCH(D183,$A$4:$A$203,0))+IF(X183="",Inputs!$B$20,X183),""))))</f>
        <v/>
      </c>
      <c r="Z183" s="14" t="str">
        <f aca="false">IF(OR(Y183="",P183="",E183=""),"",Y183+P183*E183)</f>
        <v/>
      </c>
      <c r="AA183" s="14" t="str">
        <f aca="false">IF(C183="","",IFERROR(INDEX(Noeuds_plan!$C$4:$C$200,MATCH(C183,Noeuds_plan!$A$4:$A$200,0)),""))</f>
        <v/>
      </c>
      <c r="AB183" s="14" t="str">
        <f aca="false">IF(B183="","",IFERROR(INDEX(Noeuds_plan!$C$4:$C$200,MATCH(B183,Noeuds_plan!$A$4:$A$200,0)),""))</f>
        <v/>
      </c>
      <c r="AC183" s="14" t="str">
        <f aca="false">IF(OR(AA183="",Y183=""),"",AA183-Y183)</f>
        <v/>
      </c>
      <c r="AD183" s="14" t="str">
        <f aca="false">IF(OR(AB183="",Z183=""),"",AB183-Z183)</f>
        <v/>
      </c>
      <c r="AE183" s="19" t="str">
        <f aca="false">IF(A183="","",IF(OR(V183&gt;1,AND(AY183&lt;&gt;"",AY183&lt;Inputs!$B$11),AND(AY183&lt;&gt;"",AY183&gt;Inputs!$B$12),AC183&lt;Inputs!$B$19,AD183&lt;Inputs!$B$19,P183&lt;Inputs!$B$7,P183&gt;Inputs!$B$8),"CHECK","OK"))</f>
        <v/>
      </c>
      <c r="AF183" s="9"/>
      <c r="AG183" s="9" t="str">
        <f aca="false">IF(A183="","",(1/Inputs!$B$9)*(PI()*(Inputs!$F$5/1000)^2/4)*((Inputs!$F$5/1000/4)^(2/3))*SQRT(P183))</f>
        <v/>
      </c>
      <c r="AH183" s="9" t="str">
        <f aca="false">IF(A183="","",(1/Inputs!$B$9)*(PI()*(Inputs!$F$6/1000)^2/4)*((Inputs!$F$6/1000/4)^(2/3))*SQRT(P183))</f>
        <v/>
      </c>
      <c r="AI183" s="9" t="str">
        <f aca="false">IF(A183="","",(1/Inputs!$B$9)*(PI()*(Inputs!$F$7/1000)^2/4)*((Inputs!$F$7/1000/4)^(2/3))*SQRT(P183))</f>
        <v/>
      </c>
      <c r="AJ183" s="9" t="str">
        <f aca="false">IF(A183="","",(1/Inputs!$B$9)*(PI()*(Inputs!$F$8/1000)^2/4)*((Inputs!$F$8/1000/4)^(2/3))*SQRT(P183))</f>
        <v/>
      </c>
      <c r="AK183" s="9" t="str">
        <f aca="false">IF(A183="","",(1/Inputs!$B$9)*(PI()*(Inputs!$F$9/1000)^2/4)*((Inputs!$F$9/1000/4)^(2/3))*SQRT(P183))</f>
        <v/>
      </c>
      <c r="AL183" s="9" t="str">
        <f aca="false">IF(A183="","",(1/Inputs!$B$9)*(PI()*(Inputs!$F$10/1000)^2/4)*((Inputs!$F$10/1000/4)^(2/3))*SQRT(P183))</f>
        <v/>
      </c>
      <c r="AM183" s="9" t="str">
        <f aca="false">IF(A183="","",(1/Inputs!$B$9)*(PI()*(Inputs!$F$11/1000)^2/4)*((Inputs!$F$11/1000/4)^(2/3))*SQRT(P183))</f>
        <v/>
      </c>
      <c r="AN183" s="9" t="str">
        <f aca="false">IF(A183="","",(1/Inputs!$B$9)*(PI()*(Inputs!$F$12/1000)^2/4)*((Inputs!$F$12/1000/4)^(2/3))*SQRT(P183))</f>
        <v/>
      </c>
      <c r="AO183" s="9" t="str">
        <f aca="false">IF(A183="","",(1/Inputs!$B$9)*(PI()*(Inputs!$F$13/1000)^2/4)*((Inputs!$F$13/1000/4)^(2/3))*SQRT(P183))</f>
        <v/>
      </c>
      <c r="AP183" s="9" t="str">
        <f aca="false">IF(A183="","",(1/Inputs!$B$9)*(PI()*(Inputs!$F$14/1000)^2/4)*((Inputs!$F$14/1000/4)^(2/3))*SQRT(P183))</f>
        <v/>
      </c>
      <c r="AQ183" s="9" t="str">
        <f aca="false">IF(A183="","",COUNTIF($D$4:$D$203,$A183))</f>
        <v/>
      </c>
      <c r="AR183" s="9" t="str">
        <f aca="false">IF(A183="","",IF(AQ183=0,"START","CONTINUOUS"))</f>
        <v/>
      </c>
      <c r="AS183" s="13" t="str">
        <f aca="false">IF(A183="","",IF(J183="",Inputs!$B$18,J183))</f>
        <v/>
      </c>
      <c r="AT183" s="13" t="str">
        <f aca="false">IF(A183="","",IFERROR(maxifs($AV$4:$AV$203,$D$4:$D$203,$A183),""))</f>
        <v/>
      </c>
      <c r="AU183" s="13" t="str">
        <f aca="false">IF(A183="","",IF(OR(E183="",Inputs!$B$23=""),"",E183/(Inputs!$B$23*60)))</f>
        <v/>
      </c>
      <c r="AV183" s="13" t="str">
        <f aca="false">IF(A183="","",IF(AQ183=0,AS183+AU183,IF(AT183="",AS183+AU183,AT183+AU183)))</f>
        <v/>
      </c>
      <c r="AW183" s="13" t="str">
        <f aca="false">IF(A183="","",W183)</f>
        <v/>
      </c>
      <c r="AX183" s="13" t="str">
        <f aca="false">IF(OR(T183="",P183=""),"",(1/Inputs!$B$9)*((T183/4)^(2/3))*SQRT(P183))</f>
        <v/>
      </c>
      <c r="AY183" s="13" t="str">
        <f aca="false">IF(A183="","",IF(AND(AW183="",AX183="",BA183=""),"",IF(OR(UPPER(TRIM(Inputs!$B$24))="MANNING",UPPER(TRIM(Inputs!$B$24))="M"),AX183,IF(OR(UPPER(TRIM(Inputs!$B$24))="PARTIAL",UPPER(TRIM(Inputs!$B$24))="P"),BA183,IF(OR(UPPER(TRIM(Inputs!$B$24))="MAX",UPPER(TRIM(Inputs!$B$24))="X"),MAX(IF(AW183="",0,AW183),IF(AX183="",0,AX183),IF(BA183="",0,BA183)),AW183)))))</f>
        <v/>
      </c>
      <c r="AZ183" s="13" t="str">
        <f aca="false">IF(BB183="","",CH183)</f>
        <v/>
      </c>
      <c r="BA183" s="13" t="str">
        <f aca="false">IF(OR(BB183="",AZ183="",T183="",T183&lt;=0,AZ183&lt;=0),"",BB183/((T183^2/8)*(2*ACOS(1-2*AZ183/T183)-SIN(2*ACOS(1-2*AZ183/T183)))))</f>
        <v/>
      </c>
      <c r="BB183" s="9" t="str">
        <f aca="false">IF(OR(N183="",BC183=""),"",MIN(N183,BC183))</f>
        <v/>
      </c>
      <c r="BC183" s="9" t="str">
        <f aca="false">IF(OR(N183="",T183="",P183=""),"",IF(OR(T183="",P183="",(0.94*T183)="",T183&lt;=0,(0.94*T183)&lt;=0),"",(1/Inputs!$B$9)*((T183^2/8)*((2*ACOS(1-2*(0.94*T183)/T183))-SIN((2*ACOS(1-2*(0.94*T183)/T183)))))*((((T183^2/8)*((2*ACOS(1-2*(0.94*T183)/T183))-SIN((2*ACOS(1-2*(0.94*T183)/T183)))))/((T183/2)*((2*ACOS(1-2*(0.94*T183)/T183)))))^(2/3))*SQRT(P183)))</f>
        <v/>
      </c>
      <c r="BD183" s="9" t="str">
        <f aca="false">IF(BB183="","",0.001*T183)</f>
        <v/>
      </c>
      <c r="BE183" s="9" t="str">
        <f aca="false">IF(BB183="","",0.94*T183)</f>
        <v/>
      </c>
      <c r="BF183" s="9" t="str">
        <f aca="false">IF(BB183="","",(BD183+BE183)/2)</f>
        <v/>
      </c>
      <c r="BG183" s="9" t="str">
        <f aca="false">IF(OR(T183="",P183="",BF183="",T183&lt;=0,BF183&lt;=0),"",(1/Inputs!$B$9)*((T183^2/8)*((2*ACOS(1-2*BF183/T183))-SIN((2*ACOS(1-2*BF183/T183)))))*((((T183^2/8)*((2*ACOS(1-2*BF183/T183))-SIN((2*ACOS(1-2*BF183/T183)))))/((T183/2)*((2*ACOS(1-2*BF183/T183)))))^(2/3))*SQRT(P183))</f>
        <v/>
      </c>
      <c r="BH183" s="9" t="str">
        <f aca="false">IF(BB183="","",IF(BG183&lt;BB183,BF183,BD183))</f>
        <v/>
      </c>
      <c r="BI183" s="9" t="str">
        <f aca="false">IF(BB183="","",IF(BG183&lt;BB183,BE183,BF183))</f>
        <v/>
      </c>
      <c r="BJ183" s="9" t="str">
        <f aca="false">IF(BB183="","",(BH183+BI183)/2)</f>
        <v/>
      </c>
      <c r="BK183" s="9" t="str">
        <f aca="false">IF(OR(T183="",P183="",BJ183="",T183&lt;=0,BJ183&lt;=0),"",(1/Inputs!$B$9)*((T183^2/8)*((2*ACOS(1-2*BJ183/T183))-SIN((2*ACOS(1-2*BJ183/T183)))))*((((T183^2/8)*((2*ACOS(1-2*BJ183/T183))-SIN((2*ACOS(1-2*BJ183/T183)))))/((T183/2)*((2*ACOS(1-2*BJ183/T183)))))^(2/3))*SQRT(P183))</f>
        <v/>
      </c>
      <c r="BL183" s="9" t="str">
        <f aca="false">IF(BB183="","",IF(BK183&lt;BB183,BJ183,BH183))</f>
        <v/>
      </c>
      <c r="BM183" s="9" t="str">
        <f aca="false">IF(BB183="","",IF(BK183&lt;BB183,BI183,BJ183))</f>
        <v/>
      </c>
      <c r="BN183" s="9" t="str">
        <f aca="false">IF(BB183="","",(BL183+BM183)/2)</f>
        <v/>
      </c>
      <c r="BO183" s="9" t="str">
        <f aca="false">IF(OR(T183="",P183="",BN183="",T183&lt;=0,BN183&lt;=0),"",(1/Inputs!$B$9)*((T183^2/8)*((2*ACOS(1-2*BN183/T183))-SIN((2*ACOS(1-2*BN183/T183)))))*((((T183^2/8)*((2*ACOS(1-2*BN183/T183))-SIN((2*ACOS(1-2*BN183/T183)))))/((T183/2)*((2*ACOS(1-2*BN183/T183)))))^(2/3))*SQRT(P183))</f>
        <v/>
      </c>
      <c r="BP183" s="9" t="str">
        <f aca="false">IF(BB183="","",IF(BO183&lt;BB183,BN183,BL183))</f>
        <v/>
      </c>
      <c r="BQ183" s="9" t="str">
        <f aca="false">IF(BB183="","",IF(BO183&lt;BB183,BM183,BN183))</f>
        <v/>
      </c>
      <c r="BR183" s="9" t="str">
        <f aca="false">IF(BB183="","",(BP183+BQ183)/2)</f>
        <v/>
      </c>
      <c r="BS183" s="9" t="str">
        <f aca="false">IF(OR(T183="",P183="",BR183="",T183&lt;=0,BR183&lt;=0),"",(1/Inputs!$B$9)*((T183^2/8)*((2*ACOS(1-2*BR183/T183))-SIN((2*ACOS(1-2*BR183/T183)))))*((((T183^2/8)*((2*ACOS(1-2*BR183/T183))-SIN((2*ACOS(1-2*BR183/T183)))))/((T183/2)*((2*ACOS(1-2*BR183/T183)))))^(2/3))*SQRT(P183))</f>
        <v/>
      </c>
      <c r="BT183" s="9" t="str">
        <f aca="false">IF(BB183="","",IF(BS183&lt;BB183,BR183,BP183))</f>
        <v/>
      </c>
      <c r="BU183" s="9" t="str">
        <f aca="false">IF(BB183="","",IF(BS183&lt;BB183,BQ183,BR183))</f>
        <v/>
      </c>
      <c r="BV183" s="9" t="str">
        <f aca="false">IF(BB183="","",(BT183+BU183)/2)</f>
        <v/>
      </c>
      <c r="BW183" s="9" t="str">
        <f aca="false">IF(OR(T183="",P183="",BV183="",T183&lt;=0,BV183&lt;=0),"",(1/Inputs!$B$9)*((T183^2/8)*((2*ACOS(1-2*BV183/T183))-SIN((2*ACOS(1-2*BV183/T183)))))*((((T183^2/8)*((2*ACOS(1-2*BV183/T183))-SIN((2*ACOS(1-2*BV183/T183)))))/((T183/2)*((2*ACOS(1-2*BV183/T183)))))^(2/3))*SQRT(P183))</f>
        <v/>
      </c>
      <c r="BX183" s="9" t="str">
        <f aca="false">IF(BB183="","",IF(BW183&lt;BB183,BV183,BT183))</f>
        <v/>
      </c>
      <c r="BY183" s="9" t="str">
        <f aca="false">IF(BB183="","",IF(BW183&lt;BB183,BU183,BV183))</f>
        <v/>
      </c>
      <c r="BZ183" s="9" t="str">
        <f aca="false">IF(BB183="","",(BX183+BY183)/2)</f>
        <v/>
      </c>
      <c r="CA183" s="9" t="str">
        <f aca="false">IF(OR(T183="",P183="",BZ183="",T183&lt;=0,BZ183&lt;=0),"",(1/Inputs!$B$9)*((T183^2/8)*((2*ACOS(1-2*BZ183/T183))-SIN((2*ACOS(1-2*BZ183/T183)))))*((((T183^2/8)*((2*ACOS(1-2*BZ183/T183))-SIN((2*ACOS(1-2*BZ183/T183)))))/((T183/2)*((2*ACOS(1-2*BZ183/T183)))))^(2/3))*SQRT(P183))</f>
        <v/>
      </c>
      <c r="CB183" s="9" t="str">
        <f aca="false">IF(BB183="","",IF(CA183&lt;BB183,BZ183,BX183))</f>
        <v/>
      </c>
      <c r="CC183" s="9" t="str">
        <f aca="false">IF(BB183="","",IF(CA183&lt;BB183,BY183,BZ183))</f>
        <v/>
      </c>
      <c r="CD183" s="9" t="str">
        <f aca="false">IF(BB183="","",(CB183+CC183)/2)</f>
        <v/>
      </c>
      <c r="CE183" s="9" t="str">
        <f aca="false">IF(OR(T183="",P183="",CD183="",T183&lt;=0,CD183&lt;=0),"",(1/Inputs!$B$9)*((T183^2/8)*((2*ACOS(1-2*CD183/T183))-SIN((2*ACOS(1-2*CD183/T183)))))*((((T183^2/8)*((2*ACOS(1-2*CD183/T183))-SIN((2*ACOS(1-2*CD183/T183)))))/((T183/2)*((2*ACOS(1-2*CD183/T183)))))^(2/3))*SQRT(P183))</f>
        <v/>
      </c>
      <c r="CF183" s="9" t="str">
        <f aca="false">IF(BB183="","",IF(CE183&lt;BB183,CD183,CB183))</f>
        <v/>
      </c>
      <c r="CG183" s="9" t="str">
        <f aca="false">IF(BB183="","",IF(CE183&lt;BB183,CC183,CD183))</f>
        <v/>
      </c>
      <c r="CH183" s="9" t="str">
        <f aca="false">IF(BB183="","",(CF183+CG183)/2)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14"/>
      <c r="F184" s="14"/>
      <c r="G184" s="14" t="n">
        <f aca="false">SUMIFS(CB_plan!$C:$C,CB_plan!$B:$B,$A184)</f>
        <v>0</v>
      </c>
      <c r="H184" s="14" t="n">
        <f aca="false">IF(F184="",G184,F184)</f>
        <v>0</v>
      </c>
      <c r="I184" s="9"/>
      <c r="J184" s="14"/>
      <c r="K184" s="14" t="str">
        <f aca="false">IF(A184="","",Inputs!$B$13/((IF(AV184="",Inputs!$B$18,AV184)+Inputs!$B$14)^Inputs!$B$15))</f>
        <v/>
      </c>
      <c r="L184" s="14" t="str">
        <f aca="false">IF(A184="","",0.000000278*IF(I184="",Inputs!$B$17,I184)*H184*K184)</f>
        <v/>
      </c>
      <c r="M184" s="14" t="str">
        <f aca="false">IF(A184="","",SUMIFS($N$4:$N$203,$D$4:$D$203,$A184))</f>
        <v/>
      </c>
      <c r="N184" s="14" t="str">
        <f aca="false">IF(A184="","",(L184+M184)*Inputs!$B$16)</f>
        <v/>
      </c>
      <c r="O184" s="14"/>
      <c r="P184" s="14" t="str">
        <f aca="false">IF(A184="","",IF(O184="",Inputs!$B$7,O184))</f>
        <v/>
      </c>
      <c r="Q184" s="9" t="str">
        <f aca="false">IF(A184="","",IF(N184/Inputs!$B$10&lt;=AG184,Inputs!$F$5,IF(N184/Inputs!$B$10&gt;AP184,"OVERSIZE",INDEX(Inputs!$F$5:$F$14,MATCH(N184/Inputs!$B$10,AG184:AP184,1)+1))))</f>
        <v/>
      </c>
      <c r="R184" s="9"/>
      <c r="S184" s="9" t="str">
        <f aca="false">IF(A184="","",IF(R184="",Q184,R184))</f>
        <v/>
      </c>
      <c r="T184" s="14" t="str">
        <f aca="false">IF(OR(S184="",S184="OVERSIZE"),"",S184/1000)</f>
        <v/>
      </c>
      <c r="U184" s="14" t="str">
        <f aca="false">IF(T184="","",(1/Inputs!$B$9)*(PI()*T184^2/4)*((T184/4)^(2/3))*SQRT(P184))</f>
        <v/>
      </c>
      <c r="V184" s="14" t="str">
        <f aca="false">IF(OR(U184="",N184=""),"",N184/(U184*Inputs!$B$10))</f>
        <v/>
      </c>
      <c r="W184" s="14" t="str">
        <f aca="false">IF(OR(T184="",N184=""),"",4*N184/(PI()*T184^2))</f>
        <v/>
      </c>
      <c r="X184" s="14"/>
      <c r="Y184" s="14" t="str">
        <f aca="false">IF(A184="","",IF(A184=Inputs!$B$6,Inputs!$B$22,IF(D184="","",IFERROR(INDEX($Z$4:$Z$203,MATCH(D184,$A$4:$A$203,0))+IF(X184="",Inputs!$B$20,X184),""))))</f>
        <v/>
      </c>
      <c r="Z184" s="14" t="str">
        <f aca="false">IF(OR(Y184="",P184="",E184=""),"",Y184+P184*E184)</f>
        <v/>
      </c>
      <c r="AA184" s="14" t="str">
        <f aca="false">IF(C184="","",IFERROR(INDEX(Noeuds_plan!$C$4:$C$200,MATCH(C184,Noeuds_plan!$A$4:$A$200,0)),""))</f>
        <v/>
      </c>
      <c r="AB184" s="14" t="str">
        <f aca="false">IF(B184="","",IFERROR(INDEX(Noeuds_plan!$C$4:$C$200,MATCH(B184,Noeuds_plan!$A$4:$A$200,0)),""))</f>
        <v/>
      </c>
      <c r="AC184" s="14" t="str">
        <f aca="false">IF(OR(AA184="",Y184=""),"",AA184-Y184)</f>
        <v/>
      </c>
      <c r="AD184" s="14" t="str">
        <f aca="false">IF(OR(AB184="",Z184=""),"",AB184-Z184)</f>
        <v/>
      </c>
      <c r="AE184" s="19" t="str">
        <f aca="false">IF(A184="","",IF(OR(V184&gt;1,AND(AY184&lt;&gt;"",AY184&lt;Inputs!$B$11),AND(AY184&lt;&gt;"",AY184&gt;Inputs!$B$12),AC184&lt;Inputs!$B$19,AD184&lt;Inputs!$B$19,P184&lt;Inputs!$B$7,P184&gt;Inputs!$B$8),"CHECK","OK"))</f>
        <v/>
      </c>
      <c r="AF184" s="9"/>
      <c r="AG184" s="9" t="str">
        <f aca="false">IF(A184="","",(1/Inputs!$B$9)*(PI()*(Inputs!$F$5/1000)^2/4)*((Inputs!$F$5/1000/4)^(2/3))*SQRT(P184))</f>
        <v/>
      </c>
      <c r="AH184" s="9" t="str">
        <f aca="false">IF(A184="","",(1/Inputs!$B$9)*(PI()*(Inputs!$F$6/1000)^2/4)*((Inputs!$F$6/1000/4)^(2/3))*SQRT(P184))</f>
        <v/>
      </c>
      <c r="AI184" s="9" t="str">
        <f aca="false">IF(A184="","",(1/Inputs!$B$9)*(PI()*(Inputs!$F$7/1000)^2/4)*((Inputs!$F$7/1000/4)^(2/3))*SQRT(P184))</f>
        <v/>
      </c>
      <c r="AJ184" s="9" t="str">
        <f aca="false">IF(A184="","",(1/Inputs!$B$9)*(PI()*(Inputs!$F$8/1000)^2/4)*((Inputs!$F$8/1000/4)^(2/3))*SQRT(P184))</f>
        <v/>
      </c>
      <c r="AK184" s="9" t="str">
        <f aca="false">IF(A184="","",(1/Inputs!$B$9)*(PI()*(Inputs!$F$9/1000)^2/4)*((Inputs!$F$9/1000/4)^(2/3))*SQRT(P184))</f>
        <v/>
      </c>
      <c r="AL184" s="9" t="str">
        <f aca="false">IF(A184="","",(1/Inputs!$B$9)*(PI()*(Inputs!$F$10/1000)^2/4)*((Inputs!$F$10/1000/4)^(2/3))*SQRT(P184))</f>
        <v/>
      </c>
      <c r="AM184" s="9" t="str">
        <f aca="false">IF(A184="","",(1/Inputs!$B$9)*(PI()*(Inputs!$F$11/1000)^2/4)*((Inputs!$F$11/1000/4)^(2/3))*SQRT(P184))</f>
        <v/>
      </c>
      <c r="AN184" s="9" t="str">
        <f aca="false">IF(A184="","",(1/Inputs!$B$9)*(PI()*(Inputs!$F$12/1000)^2/4)*((Inputs!$F$12/1000/4)^(2/3))*SQRT(P184))</f>
        <v/>
      </c>
      <c r="AO184" s="9" t="str">
        <f aca="false">IF(A184="","",(1/Inputs!$B$9)*(PI()*(Inputs!$F$13/1000)^2/4)*((Inputs!$F$13/1000/4)^(2/3))*SQRT(P184))</f>
        <v/>
      </c>
      <c r="AP184" s="9" t="str">
        <f aca="false">IF(A184="","",(1/Inputs!$B$9)*(PI()*(Inputs!$F$14/1000)^2/4)*((Inputs!$F$14/1000/4)^(2/3))*SQRT(P184))</f>
        <v/>
      </c>
      <c r="AQ184" s="9" t="str">
        <f aca="false">IF(A184="","",COUNTIF($D$4:$D$203,$A184))</f>
        <v/>
      </c>
      <c r="AR184" s="9" t="str">
        <f aca="false">IF(A184="","",IF(AQ184=0,"START","CONTINUOUS"))</f>
        <v/>
      </c>
      <c r="AS184" s="13" t="str">
        <f aca="false">IF(A184="","",IF(J184="",Inputs!$B$18,J184))</f>
        <v/>
      </c>
      <c r="AT184" s="13" t="str">
        <f aca="false">IF(A184="","",IFERROR(maxifs($AV$4:$AV$203,$D$4:$D$203,$A184),""))</f>
        <v/>
      </c>
      <c r="AU184" s="13" t="str">
        <f aca="false">IF(A184="","",IF(OR(E184="",Inputs!$B$23=""),"",E184/(Inputs!$B$23*60)))</f>
        <v/>
      </c>
      <c r="AV184" s="13" t="str">
        <f aca="false">IF(A184="","",IF(AQ184=0,AS184+AU184,IF(AT184="",AS184+AU184,AT184+AU184)))</f>
        <v/>
      </c>
      <c r="AW184" s="13" t="str">
        <f aca="false">IF(A184="","",W184)</f>
        <v/>
      </c>
      <c r="AX184" s="13" t="str">
        <f aca="false">IF(OR(T184="",P184=""),"",(1/Inputs!$B$9)*((T184/4)^(2/3))*SQRT(P184))</f>
        <v/>
      </c>
      <c r="AY184" s="13" t="str">
        <f aca="false">IF(A184="","",IF(AND(AW184="",AX184="",BA184=""),"",IF(OR(UPPER(TRIM(Inputs!$B$24))="MANNING",UPPER(TRIM(Inputs!$B$24))="M"),AX184,IF(OR(UPPER(TRIM(Inputs!$B$24))="PARTIAL",UPPER(TRIM(Inputs!$B$24))="P"),BA184,IF(OR(UPPER(TRIM(Inputs!$B$24))="MAX",UPPER(TRIM(Inputs!$B$24))="X"),MAX(IF(AW184="",0,AW184),IF(AX184="",0,AX184),IF(BA184="",0,BA184)),AW184)))))</f>
        <v/>
      </c>
      <c r="AZ184" s="13" t="str">
        <f aca="false">IF(BB184="","",CH184)</f>
        <v/>
      </c>
      <c r="BA184" s="13" t="str">
        <f aca="false">IF(OR(BB184="",AZ184="",T184="",T184&lt;=0,AZ184&lt;=0),"",BB184/((T184^2/8)*(2*ACOS(1-2*AZ184/T184)-SIN(2*ACOS(1-2*AZ184/T184)))))</f>
        <v/>
      </c>
      <c r="BB184" s="9" t="str">
        <f aca="false">IF(OR(N184="",BC184=""),"",MIN(N184,BC184))</f>
        <v/>
      </c>
      <c r="BC184" s="9" t="str">
        <f aca="false">IF(OR(N184="",T184="",P184=""),"",IF(OR(T184="",P184="",(0.94*T184)="",T184&lt;=0,(0.94*T184)&lt;=0),"",(1/Inputs!$B$9)*((T184^2/8)*((2*ACOS(1-2*(0.94*T184)/T184))-SIN((2*ACOS(1-2*(0.94*T184)/T184)))))*((((T184^2/8)*((2*ACOS(1-2*(0.94*T184)/T184))-SIN((2*ACOS(1-2*(0.94*T184)/T184)))))/((T184/2)*((2*ACOS(1-2*(0.94*T184)/T184)))))^(2/3))*SQRT(P184)))</f>
        <v/>
      </c>
      <c r="BD184" s="9" t="str">
        <f aca="false">IF(BB184="","",0.001*T184)</f>
        <v/>
      </c>
      <c r="BE184" s="9" t="str">
        <f aca="false">IF(BB184="","",0.94*T184)</f>
        <v/>
      </c>
      <c r="BF184" s="9" t="str">
        <f aca="false">IF(BB184="","",(BD184+BE184)/2)</f>
        <v/>
      </c>
      <c r="BG184" s="9" t="str">
        <f aca="false">IF(OR(T184="",P184="",BF184="",T184&lt;=0,BF184&lt;=0),"",(1/Inputs!$B$9)*((T184^2/8)*((2*ACOS(1-2*BF184/T184))-SIN((2*ACOS(1-2*BF184/T184)))))*((((T184^2/8)*((2*ACOS(1-2*BF184/T184))-SIN((2*ACOS(1-2*BF184/T184)))))/((T184/2)*((2*ACOS(1-2*BF184/T184)))))^(2/3))*SQRT(P184))</f>
        <v/>
      </c>
      <c r="BH184" s="9" t="str">
        <f aca="false">IF(BB184="","",IF(BG184&lt;BB184,BF184,BD184))</f>
        <v/>
      </c>
      <c r="BI184" s="9" t="str">
        <f aca="false">IF(BB184="","",IF(BG184&lt;BB184,BE184,BF184))</f>
        <v/>
      </c>
      <c r="BJ184" s="9" t="str">
        <f aca="false">IF(BB184="","",(BH184+BI184)/2)</f>
        <v/>
      </c>
      <c r="BK184" s="9" t="str">
        <f aca="false">IF(OR(T184="",P184="",BJ184="",T184&lt;=0,BJ184&lt;=0),"",(1/Inputs!$B$9)*((T184^2/8)*((2*ACOS(1-2*BJ184/T184))-SIN((2*ACOS(1-2*BJ184/T184)))))*((((T184^2/8)*((2*ACOS(1-2*BJ184/T184))-SIN((2*ACOS(1-2*BJ184/T184)))))/((T184/2)*((2*ACOS(1-2*BJ184/T184)))))^(2/3))*SQRT(P184))</f>
        <v/>
      </c>
      <c r="BL184" s="9" t="str">
        <f aca="false">IF(BB184="","",IF(BK184&lt;BB184,BJ184,BH184))</f>
        <v/>
      </c>
      <c r="BM184" s="9" t="str">
        <f aca="false">IF(BB184="","",IF(BK184&lt;BB184,BI184,BJ184))</f>
        <v/>
      </c>
      <c r="BN184" s="9" t="str">
        <f aca="false">IF(BB184="","",(BL184+BM184)/2)</f>
        <v/>
      </c>
      <c r="BO184" s="9" t="str">
        <f aca="false">IF(OR(T184="",P184="",BN184="",T184&lt;=0,BN184&lt;=0),"",(1/Inputs!$B$9)*((T184^2/8)*((2*ACOS(1-2*BN184/T184))-SIN((2*ACOS(1-2*BN184/T184)))))*((((T184^2/8)*((2*ACOS(1-2*BN184/T184))-SIN((2*ACOS(1-2*BN184/T184)))))/((T184/2)*((2*ACOS(1-2*BN184/T184)))))^(2/3))*SQRT(P184))</f>
        <v/>
      </c>
      <c r="BP184" s="9" t="str">
        <f aca="false">IF(BB184="","",IF(BO184&lt;BB184,BN184,BL184))</f>
        <v/>
      </c>
      <c r="BQ184" s="9" t="str">
        <f aca="false">IF(BB184="","",IF(BO184&lt;BB184,BM184,BN184))</f>
        <v/>
      </c>
      <c r="BR184" s="9" t="str">
        <f aca="false">IF(BB184="","",(BP184+BQ184)/2)</f>
        <v/>
      </c>
      <c r="BS184" s="9" t="str">
        <f aca="false">IF(OR(T184="",P184="",BR184="",T184&lt;=0,BR184&lt;=0),"",(1/Inputs!$B$9)*((T184^2/8)*((2*ACOS(1-2*BR184/T184))-SIN((2*ACOS(1-2*BR184/T184)))))*((((T184^2/8)*((2*ACOS(1-2*BR184/T184))-SIN((2*ACOS(1-2*BR184/T184)))))/((T184/2)*((2*ACOS(1-2*BR184/T184)))))^(2/3))*SQRT(P184))</f>
        <v/>
      </c>
      <c r="BT184" s="9" t="str">
        <f aca="false">IF(BB184="","",IF(BS184&lt;BB184,BR184,BP184))</f>
        <v/>
      </c>
      <c r="BU184" s="9" t="str">
        <f aca="false">IF(BB184="","",IF(BS184&lt;BB184,BQ184,BR184))</f>
        <v/>
      </c>
      <c r="BV184" s="9" t="str">
        <f aca="false">IF(BB184="","",(BT184+BU184)/2)</f>
        <v/>
      </c>
      <c r="BW184" s="9" t="str">
        <f aca="false">IF(OR(T184="",P184="",BV184="",T184&lt;=0,BV184&lt;=0),"",(1/Inputs!$B$9)*((T184^2/8)*((2*ACOS(1-2*BV184/T184))-SIN((2*ACOS(1-2*BV184/T184)))))*((((T184^2/8)*((2*ACOS(1-2*BV184/T184))-SIN((2*ACOS(1-2*BV184/T184)))))/((T184/2)*((2*ACOS(1-2*BV184/T184)))))^(2/3))*SQRT(P184))</f>
        <v/>
      </c>
      <c r="BX184" s="9" t="str">
        <f aca="false">IF(BB184="","",IF(BW184&lt;BB184,BV184,BT184))</f>
        <v/>
      </c>
      <c r="BY184" s="9" t="str">
        <f aca="false">IF(BB184="","",IF(BW184&lt;BB184,BU184,BV184))</f>
        <v/>
      </c>
      <c r="BZ184" s="9" t="str">
        <f aca="false">IF(BB184="","",(BX184+BY184)/2)</f>
        <v/>
      </c>
      <c r="CA184" s="9" t="str">
        <f aca="false">IF(OR(T184="",P184="",BZ184="",T184&lt;=0,BZ184&lt;=0),"",(1/Inputs!$B$9)*((T184^2/8)*((2*ACOS(1-2*BZ184/T184))-SIN((2*ACOS(1-2*BZ184/T184)))))*((((T184^2/8)*((2*ACOS(1-2*BZ184/T184))-SIN((2*ACOS(1-2*BZ184/T184)))))/((T184/2)*((2*ACOS(1-2*BZ184/T184)))))^(2/3))*SQRT(P184))</f>
        <v/>
      </c>
      <c r="CB184" s="9" t="str">
        <f aca="false">IF(BB184="","",IF(CA184&lt;BB184,BZ184,BX184))</f>
        <v/>
      </c>
      <c r="CC184" s="9" t="str">
        <f aca="false">IF(BB184="","",IF(CA184&lt;BB184,BY184,BZ184))</f>
        <v/>
      </c>
      <c r="CD184" s="9" t="str">
        <f aca="false">IF(BB184="","",(CB184+CC184)/2)</f>
        <v/>
      </c>
      <c r="CE184" s="9" t="str">
        <f aca="false">IF(OR(T184="",P184="",CD184="",T184&lt;=0,CD184&lt;=0),"",(1/Inputs!$B$9)*((T184^2/8)*((2*ACOS(1-2*CD184/T184))-SIN((2*ACOS(1-2*CD184/T184)))))*((((T184^2/8)*((2*ACOS(1-2*CD184/T184))-SIN((2*ACOS(1-2*CD184/T184)))))/((T184/2)*((2*ACOS(1-2*CD184/T184)))))^(2/3))*SQRT(P184))</f>
        <v/>
      </c>
      <c r="CF184" s="9" t="str">
        <f aca="false">IF(BB184="","",IF(CE184&lt;BB184,CD184,CB184))</f>
        <v/>
      </c>
      <c r="CG184" s="9" t="str">
        <f aca="false">IF(BB184="","",IF(CE184&lt;BB184,CC184,CD184))</f>
        <v/>
      </c>
      <c r="CH184" s="9" t="str">
        <f aca="false">IF(BB184="","",(CF184+CG184)/2)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14"/>
      <c r="F185" s="14"/>
      <c r="G185" s="14" t="n">
        <f aca="false">SUMIFS(CB_plan!$C:$C,CB_plan!$B:$B,$A185)</f>
        <v>0</v>
      </c>
      <c r="H185" s="14" t="n">
        <f aca="false">IF(F185="",G185,F185)</f>
        <v>0</v>
      </c>
      <c r="I185" s="9"/>
      <c r="J185" s="14"/>
      <c r="K185" s="14" t="str">
        <f aca="false">IF(A185="","",Inputs!$B$13/((IF(AV185="",Inputs!$B$18,AV185)+Inputs!$B$14)^Inputs!$B$15))</f>
        <v/>
      </c>
      <c r="L185" s="14" t="str">
        <f aca="false">IF(A185="","",0.000000278*IF(I185="",Inputs!$B$17,I185)*H185*K185)</f>
        <v/>
      </c>
      <c r="M185" s="14" t="str">
        <f aca="false">IF(A185="","",SUMIFS($N$4:$N$203,$D$4:$D$203,$A185))</f>
        <v/>
      </c>
      <c r="N185" s="14" t="str">
        <f aca="false">IF(A185="","",(L185+M185)*Inputs!$B$16)</f>
        <v/>
      </c>
      <c r="O185" s="14"/>
      <c r="P185" s="14" t="str">
        <f aca="false">IF(A185="","",IF(O185="",Inputs!$B$7,O185))</f>
        <v/>
      </c>
      <c r="Q185" s="9" t="str">
        <f aca="false">IF(A185="","",IF(N185/Inputs!$B$10&lt;=AG185,Inputs!$F$5,IF(N185/Inputs!$B$10&gt;AP185,"OVERSIZE",INDEX(Inputs!$F$5:$F$14,MATCH(N185/Inputs!$B$10,AG185:AP185,1)+1))))</f>
        <v/>
      </c>
      <c r="R185" s="9"/>
      <c r="S185" s="9" t="str">
        <f aca="false">IF(A185="","",IF(R185="",Q185,R185))</f>
        <v/>
      </c>
      <c r="T185" s="14" t="str">
        <f aca="false">IF(OR(S185="",S185="OVERSIZE"),"",S185/1000)</f>
        <v/>
      </c>
      <c r="U185" s="14" t="str">
        <f aca="false">IF(T185="","",(1/Inputs!$B$9)*(PI()*T185^2/4)*((T185/4)^(2/3))*SQRT(P185))</f>
        <v/>
      </c>
      <c r="V185" s="14" t="str">
        <f aca="false">IF(OR(U185="",N185=""),"",N185/(U185*Inputs!$B$10))</f>
        <v/>
      </c>
      <c r="W185" s="14" t="str">
        <f aca="false">IF(OR(T185="",N185=""),"",4*N185/(PI()*T185^2))</f>
        <v/>
      </c>
      <c r="X185" s="14"/>
      <c r="Y185" s="14" t="str">
        <f aca="false">IF(A185="","",IF(A185=Inputs!$B$6,Inputs!$B$22,IF(D185="","",IFERROR(INDEX($Z$4:$Z$203,MATCH(D185,$A$4:$A$203,0))+IF(X185="",Inputs!$B$20,X185),""))))</f>
        <v/>
      </c>
      <c r="Z185" s="14" t="str">
        <f aca="false">IF(OR(Y185="",P185="",E185=""),"",Y185+P185*E185)</f>
        <v/>
      </c>
      <c r="AA185" s="14" t="str">
        <f aca="false">IF(C185="","",IFERROR(INDEX(Noeuds_plan!$C$4:$C$200,MATCH(C185,Noeuds_plan!$A$4:$A$200,0)),""))</f>
        <v/>
      </c>
      <c r="AB185" s="14" t="str">
        <f aca="false">IF(B185="","",IFERROR(INDEX(Noeuds_plan!$C$4:$C$200,MATCH(B185,Noeuds_plan!$A$4:$A$200,0)),""))</f>
        <v/>
      </c>
      <c r="AC185" s="14" t="str">
        <f aca="false">IF(OR(AA185="",Y185=""),"",AA185-Y185)</f>
        <v/>
      </c>
      <c r="AD185" s="14" t="str">
        <f aca="false">IF(OR(AB185="",Z185=""),"",AB185-Z185)</f>
        <v/>
      </c>
      <c r="AE185" s="19" t="str">
        <f aca="false">IF(A185="","",IF(OR(V185&gt;1,AND(AY185&lt;&gt;"",AY185&lt;Inputs!$B$11),AND(AY185&lt;&gt;"",AY185&gt;Inputs!$B$12),AC185&lt;Inputs!$B$19,AD185&lt;Inputs!$B$19,P185&lt;Inputs!$B$7,P185&gt;Inputs!$B$8),"CHECK","OK"))</f>
        <v/>
      </c>
      <c r="AF185" s="9"/>
      <c r="AG185" s="9" t="str">
        <f aca="false">IF(A185="","",(1/Inputs!$B$9)*(PI()*(Inputs!$F$5/1000)^2/4)*((Inputs!$F$5/1000/4)^(2/3))*SQRT(P185))</f>
        <v/>
      </c>
      <c r="AH185" s="9" t="str">
        <f aca="false">IF(A185="","",(1/Inputs!$B$9)*(PI()*(Inputs!$F$6/1000)^2/4)*((Inputs!$F$6/1000/4)^(2/3))*SQRT(P185))</f>
        <v/>
      </c>
      <c r="AI185" s="9" t="str">
        <f aca="false">IF(A185="","",(1/Inputs!$B$9)*(PI()*(Inputs!$F$7/1000)^2/4)*((Inputs!$F$7/1000/4)^(2/3))*SQRT(P185))</f>
        <v/>
      </c>
      <c r="AJ185" s="9" t="str">
        <f aca="false">IF(A185="","",(1/Inputs!$B$9)*(PI()*(Inputs!$F$8/1000)^2/4)*((Inputs!$F$8/1000/4)^(2/3))*SQRT(P185))</f>
        <v/>
      </c>
      <c r="AK185" s="9" t="str">
        <f aca="false">IF(A185="","",(1/Inputs!$B$9)*(PI()*(Inputs!$F$9/1000)^2/4)*((Inputs!$F$9/1000/4)^(2/3))*SQRT(P185))</f>
        <v/>
      </c>
      <c r="AL185" s="9" t="str">
        <f aca="false">IF(A185="","",(1/Inputs!$B$9)*(PI()*(Inputs!$F$10/1000)^2/4)*((Inputs!$F$10/1000/4)^(2/3))*SQRT(P185))</f>
        <v/>
      </c>
      <c r="AM185" s="9" t="str">
        <f aca="false">IF(A185="","",(1/Inputs!$B$9)*(PI()*(Inputs!$F$11/1000)^2/4)*((Inputs!$F$11/1000/4)^(2/3))*SQRT(P185))</f>
        <v/>
      </c>
      <c r="AN185" s="9" t="str">
        <f aca="false">IF(A185="","",(1/Inputs!$B$9)*(PI()*(Inputs!$F$12/1000)^2/4)*((Inputs!$F$12/1000/4)^(2/3))*SQRT(P185))</f>
        <v/>
      </c>
      <c r="AO185" s="9" t="str">
        <f aca="false">IF(A185="","",(1/Inputs!$B$9)*(PI()*(Inputs!$F$13/1000)^2/4)*((Inputs!$F$13/1000/4)^(2/3))*SQRT(P185))</f>
        <v/>
      </c>
      <c r="AP185" s="9" t="str">
        <f aca="false">IF(A185="","",(1/Inputs!$B$9)*(PI()*(Inputs!$F$14/1000)^2/4)*((Inputs!$F$14/1000/4)^(2/3))*SQRT(P185))</f>
        <v/>
      </c>
      <c r="AQ185" s="9" t="str">
        <f aca="false">IF(A185="","",COUNTIF($D$4:$D$203,$A185))</f>
        <v/>
      </c>
      <c r="AR185" s="9" t="str">
        <f aca="false">IF(A185="","",IF(AQ185=0,"START","CONTINUOUS"))</f>
        <v/>
      </c>
      <c r="AS185" s="13" t="str">
        <f aca="false">IF(A185="","",IF(J185="",Inputs!$B$18,J185))</f>
        <v/>
      </c>
      <c r="AT185" s="13" t="str">
        <f aca="false">IF(A185="","",IFERROR(maxifs($AV$4:$AV$203,$D$4:$D$203,$A185),""))</f>
        <v/>
      </c>
      <c r="AU185" s="13" t="str">
        <f aca="false">IF(A185="","",IF(OR(E185="",Inputs!$B$23=""),"",E185/(Inputs!$B$23*60)))</f>
        <v/>
      </c>
      <c r="AV185" s="13" t="str">
        <f aca="false">IF(A185="","",IF(AQ185=0,AS185+AU185,IF(AT185="",AS185+AU185,AT185+AU185)))</f>
        <v/>
      </c>
      <c r="AW185" s="13" t="str">
        <f aca="false">IF(A185="","",W185)</f>
        <v/>
      </c>
      <c r="AX185" s="13" t="str">
        <f aca="false">IF(OR(T185="",P185=""),"",(1/Inputs!$B$9)*((T185/4)^(2/3))*SQRT(P185))</f>
        <v/>
      </c>
      <c r="AY185" s="13" t="str">
        <f aca="false">IF(A185="","",IF(AND(AW185="",AX185="",BA185=""),"",IF(OR(UPPER(TRIM(Inputs!$B$24))="MANNING",UPPER(TRIM(Inputs!$B$24))="M"),AX185,IF(OR(UPPER(TRIM(Inputs!$B$24))="PARTIAL",UPPER(TRIM(Inputs!$B$24))="P"),BA185,IF(OR(UPPER(TRIM(Inputs!$B$24))="MAX",UPPER(TRIM(Inputs!$B$24))="X"),MAX(IF(AW185="",0,AW185),IF(AX185="",0,AX185),IF(BA185="",0,BA185)),AW185)))))</f>
        <v/>
      </c>
      <c r="AZ185" s="13" t="str">
        <f aca="false">IF(BB185="","",CH185)</f>
        <v/>
      </c>
      <c r="BA185" s="13" t="str">
        <f aca="false">IF(OR(BB185="",AZ185="",T185="",T185&lt;=0,AZ185&lt;=0),"",BB185/((T185^2/8)*(2*ACOS(1-2*AZ185/T185)-SIN(2*ACOS(1-2*AZ185/T185)))))</f>
        <v/>
      </c>
      <c r="BB185" s="9" t="str">
        <f aca="false">IF(OR(N185="",BC185=""),"",MIN(N185,BC185))</f>
        <v/>
      </c>
      <c r="BC185" s="9" t="str">
        <f aca="false">IF(OR(N185="",T185="",P185=""),"",IF(OR(T185="",P185="",(0.94*T185)="",T185&lt;=0,(0.94*T185)&lt;=0),"",(1/Inputs!$B$9)*((T185^2/8)*((2*ACOS(1-2*(0.94*T185)/T185))-SIN((2*ACOS(1-2*(0.94*T185)/T185)))))*((((T185^2/8)*((2*ACOS(1-2*(0.94*T185)/T185))-SIN((2*ACOS(1-2*(0.94*T185)/T185)))))/((T185/2)*((2*ACOS(1-2*(0.94*T185)/T185)))))^(2/3))*SQRT(P185)))</f>
        <v/>
      </c>
      <c r="BD185" s="9" t="str">
        <f aca="false">IF(BB185="","",0.001*T185)</f>
        <v/>
      </c>
      <c r="BE185" s="9" t="str">
        <f aca="false">IF(BB185="","",0.94*T185)</f>
        <v/>
      </c>
      <c r="BF185" s="9" t="str">
        <f aca="false">IF(BB185="","",(BD185+BE185)/2)</f>
        <v/>
      </c>
      <c r="BG185" s="9" t="str">
        <f aca="false">IF(OR(T185="",P185="",BF185="",T185&lt;=0,BF185&lt;=0),"",(1/Inputs!$B$9)*((T185^2/8)*((2*ACOS(1-2*BF185/T185))-SIN((2*ACOS(1-2*BF185/T185)))))*((((T185^2/8)*((2*ACOS(1-2*BF185/T185))-SIN((2*ACOS(1-2*BF185/T185)))))/((T185/2)*((2*ACOS(1-2*BF185/T185)))))^(2/3))*SQRT(P185))</f>
        <v/>
      </c>
      <c r="BH185" s="9" t="str">
        <f aca="false">IF(BB185="","",IF(BG185&lt;BB185,BF185,BD185))</f>
        <v/>
      </c>
      <c r="BI185" s="9" t="str">
        <f aca="false">IF(BB185="","",IF(BG185&lt;BB185,BE185,BF185))</f>
        <v/>
      </c>
      <c r="BJ185" s="9" t="str">
        <f aca="false">IF(BB185="","",(BH185+BI185)/2)</f>
        <v/>
      </c>
      <c r="BK185" s="9" t="str">
        <f aca="false">IF(OR(T185="",P185="",BJ185="",T185&lt;=0,BJ185&lt;=0),"",(1/Inputs!$B$9)*((T185^2/8)*((2*ACOS(1-2*BJ185/T185))-SIN((2*ACOS(1-2*BJ185/T185)))))*((((T185^2/8)*((2*ACOS(1-2*BJ185/T185))-SIN((2*ACOS(1-2*BJ185/T185)))))/((T185/2)*((2*ACOS(1-2*BJ185/T185)))))^(2/3))*SQRT(P185))</f>
        <v/>
      </c>
      <c r="BL185" s="9" t="str">
        <f aca="false">IF(BB185="","",IF(BK185&lt;BB185,BJ185,BH185))</f>
        <v/>
      </c>
      <c r="BM185" s="9" t="str">
        <f aca="false">IF(BB185="","",IF(BK185&lt;BB185,BI185,BJ185))</f>
        <v/>
      </c>
      <c r="BN185" s="9" t="str">
        <f aca="false">IF(BB185="","",(BL185+BM185)/2)</f>
        <v/>
      </c>
      <c r="BO185" s="9" t="str">
        <f aca="false">IF(OR(T185="",P185="",BN185="",T185&lt;=0,BN185&lt;=0),"",(1/Inputs!$B$9)*((T185^2/8)*((2*ACOS(1-2*BN185/T185))-SIN((2*ACOS(1-2*BN185/T185)))))*((((T185^2/8)*((2*ACOS(1-2*BN185/T185))-SIN((2*ACOS(1-2*BN185/T185)))))/((T185/2)*((2*ACOS(1-2*BN185/T185)))))^(2/3))*SQRT(P185))</f>
        <v/>
      </c>
      <c r="BP185" s="9" t="str">
        <f aca="false">IF(BB185="","",IF(BO185&lt;BB185,BN185,BL185))</f>
        <v/>
      </c>
      <c r="BQ185" s="9" t="str">
        <f aca="false">IF(BB185="","",IF(BO185&lt;BB185,BM185,BN185))</f>
        <v/>
      </c>
      <c r="BR185" s="9" t="str">
        <f aca="false">IF(BB185="","",(BP185+BQ185)/2)</f>
        <v/>
      </c>
      <c r="BS185" s="9" t="str">
        <f aca="false">IF(OR(T185="",P185="",BR185="",T185&lt;=0,BR185&lt;=0),"",(1/Inputs!$B$9)*((T185^2/8)*((2*ACOS(1-2*BR185/T185))-SIN((2*ACOS(1-2*BR185/T185)))))*((((T185^2/8)*((2*ACOS(1-2*BR185/T185))-SIN((2*ACOS(1-2*BR185/T185)))))/((T185/2)*((2*ACOS(1-2*BR185/T185)))))^(2/3))*SQRT(P185))</f>
        <v/>
      </c>
      <c r="BT185" s="9" t="str">
        <f aca="false">IF(BB185="","",IF(BS185&lt;BB185,BR185,BP185))</f>
        <v/>
      </c>
      <c r="BU185" s="9" t="str">
        <f aca="false">IF(BB185="","",IF(BS185&lt;BB185,BQ185,BR185))</f>
        <v/>
      </c>
      <c r="BV185" s="9" t="str">
        <f aca="false">IF(BB185="","",(BT185+BU185)/2)</f>
        <v/>
      </c>
      <c r="BW185" s="9" t="str">
        <f aca="false">IF(OR(T185="",P185="",BV185="",T185&lt;=0,BV185&lt;=0),"",(1/Inputs!$B$9)*((T185^2/8)*((2*ACOS(1-2*BV185/T185))-SIN((2*ACOS(1-2*BV185/T185)))))*((((T185^2/8)*((2*ACOS(1-2*BV185/T185))-SIN((2*ACOS(1-2*BV185/T185)))))/((T185/2)*((2*ACOS(1-2*BV185/T185)))))^(2/3))*SQRT(P185))</f>
        <v/>
      </c>
      <c r="BX185" s="9" t="str">
        <f aca="false">IF(BB185="","",IF(BW185&lt;BB185,BV185,BT185))</f>
        <v/>
      </c>
      <c r="BY185" s="9" t="str">
        <f aca="false">IF(BB185="","",IF(BW185&lt;BB185,BU185,BV185))</f>
        <v/>
      </c>
      <c r="BZ185" s="9" t="str">
        <f aca="false">IF(BB185="","",(BX185+BY185)/2)</f>
        <v/>
      </c>
      <c r="CA185" s="9" t="str">
        <f aca="false">IF(OR(T185="",P185="",BZ185="",T185&lt;=0,BZ185&lt;=0),"",(1/Inputs!$B$9)*((T185^2/8)*((2*ACOS(1-2*BZ185/T185))-SIN((2*ACOS(1-2*BZ185/T185)))))*((((T185^2/8)*((2*ACOS(1-2*BZ185/T185))-SIN((2*ACOS(1-2*BZ185/T185)))))/((T185/2)*((2*ACOS(1-2*BZ185/T185)))))^(2/3))*SQRT(P185))</f>
        <v/>
      </c>
      <c r="CB185" s="9" t="str">
        <f aca="false">IF(BB185="","",IF(CA185&lt;BB185,BZ185,BX185))</f>
        <v/>
      </c>
      <c r="CC185" s="9" t="str">
        <f aca="false">IF(BB185="","",IF(CA185&lt;BB185,BY185,BZ185))</f>
        <v/>
      </c>
      <c r="CD185" s="9" t="str">
        <f aca="false">IF(BB185="","",(CB185+CC185)/2)</f>
        <v/>
      </c>
      <c r="CE185" s="9" t="str">
        <f aca="false">IF(OR(T185="",P185="",CD185="",T185&lt;=0,CD185&lt;=0),"",(1/Inputs!$B$9)*((T185^2/8)*((2*ACOS(1-2*CD185/T185))-SIN((2*ACOS(1-2*CD185/T185)))))*((((T185^2/8)*((2*ACOS(1-2*CD185/T185))-SIN((2*ACOS(1-2*CD185/T185)))))/((T185/2)*((2*ACOS(1-2*CD185/T185)))))^(2/3))*SQRT(P185))</f>
        <v/>
      </c>
      <c r="CF185" s="9" t="str">
        <f aca="false">IF(BB185="","",IF(CE185&lt;BB185,CD185,CB185))</f>
        <v/>
      </c>
      <c r="CG185" s="9" t="str">
        <f aca="false">IF(BB185="","",IF(CE185&lt;BB185,CC185,CD185))</f>
        <v/>
      </c>
      <c r="CH185" s="9" t="str">
        <f aca="false">IF(BB185="","",(CF185+CG185)/2)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14"/>
      <c r="F186" s="14"/>
      <c r="G186" s="14" t="n">
        <f aca="false">SUMIFS(CB_plan!$C:$C,CB_plan!$B:$B,$A186)</f>
        <v>0</v>
      </c>
      <c r="H186" s="14" t="n">
        <f aca="false">IF(F186="",G186,F186)</f>
        <v>0</v>
      </c>
      <c r="I186" s="9"/>
      <c r="J186" s="14"/>
      <c r="K186" s="14" t="str">
        <f aca="false">IF(A186="","",Inputs!$B$13/((IF(AV186="",Inputs!$B$18,AV186)+Inputs!$B$14)^Inputs!$B$15))</f>
        <v/>
      </c>
      <c r="L186" s="14" t="str">
        <f aca="false">IF(A186="","",0.000000278*IF(I186="",Inputs!$B$17,I186)*H186*K186)</f>
        <v/>
      </c>
      <c r="M186" s="14" t="str">
        <f aca="false">IF(A186="","",SUMIFS($N$4:$N$203,$D$4:$D$203,$A186))</f>
        <v/>
      </c>
      <c r="N186" s="14" t="str">
        <f aca="false">IF(A186="","",(L186+M186)*Inputs!$B$16)</f>
        <v/>
      </c>
      <c r="O186" s="14"/>
      <c r="P186" s="14" t="str">
        <f aca="false">IF(A186="","",IF(O186="",Inputs!$B$7,O186))</f>
        <v/>
      </c>
      <c r="Q186" s="9" t="str">
        <f aca="false">IF(A186="","",IF(N186/Inputs!$B$10&lt;=AG186,Inputs!$F$5,IF(N186/Inputs!$B$10&gt;AP186,"OVERSIZE",INDEX(Inputs!$F$5:$F$14,MATCH(N186/Inputs!$B$10,AG186:AP186,1)+1))))</f>
        <v/>
      </c>
      <c r="R186" s="9"/>
      <c r="S186" s="9" t="str">
        <f aca="false">IF(A186="","",IF(R186="",Q186,R186))</f>
        <v/>
      </c>
      <c r="T186" s="14" t="str">
        <f aca="false">IF(OR(S186="",S186="OVERSIZE"),"",S186/1000)</f>
        <v/>
      </c>
      <c r="U186" s="14" t="str">
        <f aca="false">IF(T186="","",(1/Inputs!$B$9)*(PI()*T186^2/4)*((T186/4)^(2/3))*SQRT(P186))</f>
        <v/>
      </c>
      <c r="V186" s="14" t="str">
        <f aca="false">IF(OR(U186="",N186=""),"",N186/(U186*Inputs!$B$10))</f>
        <v/>
      </c>
      <c r="W186" s="14" t="str">
        <f aca="false">IF(OR(T186="",N186=""),"",4*N186/(PI()*T186^2))</f>
        <v/>
      </c>
      <c r="X186" s="14"/>
      <c r="Y186" s="14" t="str">
        <f aca="false">IF(A186="","",IF(A186=Inputs!$B$6,Inputs!$B$22,IF(D186="","",IFERROR(INDEX($Z$4:$Z$203,MATCH(D186,$A$4:$A$203,0))+IF(X186="",Inputs!$B$20,X186),""))))</f>
        <v/>
      </c>
      <c r="Z186" s="14" t="str">
        <f aca="false">IF(OR(Y186="",P186="",E186=""),"",Y186+P186*E186)</f>
        <v/>
      </c>
      <c r="AA186" s="14" t="str">
        <f aca="false">IF(C186="","",IFERROR(INDEX(Noeuds_plan!$C$4:$C$200,MATCH(C186,Noeuds_plan!$A$4:$A$200,0)),""))</f>
        <v/>
      </c>
      <c r="AB186" s="14" t="str">
        <f aca="false">IF(B186="","",IFERROR(INDEX(Noeuds_plan!$C$4:$C$200,MATCH(B186,Noeuds_plan!$A$4:$A$200,0)),""))</f>
        <v/>
      </c>
      <c r="AC186" s="14" t="str">
        <f aca="false">IF(OR(AA186="",Y186=""),"",AA186-Y186)</f>
        <v/>
      </c>
      <c r="AD186" s="14" t="str">
        <f aca="false">IF(OR(AB186="",Z186=""),"",AB186-Z186)</f>
        <v/>
      </c>
      <c r="AE186" s="19" t="str">
        <f aca="false">IF(A186="","",IF(OR(V186&gt;1,AND(AY186&lt;&gt;"",AY186&lt;Inputs!$B$11),AND(AY186&lt;&gt;"",AY186&gt;Inputs!$B$12),AC186&lt;Inputs!$B$19,AD186&lt;Inputs!$B$19,P186&lt;Inputs!$B$7,P186&gt;Inputs!$B$8),"CHECK","OK"))</f>
        <v/>
      </c>
      <c r="AF186" s="9"/>
      <c r="AG186" s="9" t="str">
        <f aca="false">IF(A186="","",(1/Inputs!$B$9)*(PI()*(Inputs!$F$5/1000)^2/4)*((Inputs!$F$5/1000/4)^(2/3))*SQRT(P186))</f>
        <v/>
      </c>
      <c r="AH186" s="9" t="str">
        <f aca="false">IF(A186="","",(1/Inputs!$B$9)*(PI()*(Inputs!$F$6/1000)^2/4)*((Inputs!$F$6/1000/4)^(2/3))*SQRT(P186))</f>
        <v/>
      </c>
      <c r="AI186" s="9" t="str">
        <f aca="false">IF(A186="","",(1/Inputs!$B$9)*(PI()*(Inputs!$F$7/1000)^2/4)*((Inputs!$F$7/1000/4)^(2/3))*SQRT(P186))</f>
        <v/>
      </c>
      <c r="AJ186" s="9" t="str">
        <f aca="false">IF(A186="","",(1/Inputs!$B$9)*(PI()*(Inputs!$F$8/1000)^2/4)*((Inputs!$F$8/1000/4)^(2/3))*SQRT(P186))</f>
        <v/>
      </c>
      <c r="AK186" s="9" t="str">
        <f aca="false">IF(A186="","",(1/Inputs!$B$9)*(PI()*(Inputs!$F$9/1000)^2/4)*((Inputs!$F$9/1000/4)^(2/3))*SQRT(P186))</f>
        <v/>
      </c>
      <c r="AL186" s="9" t="str">
        <f aca="false">IF(A186="","",(1/Inputs!$B$9)*(PI()*(Inputs!$F$10/1000)^2/4)*((Inputs!$F$10/1000/4)^(2/3))*SQRT(P186))</f>
        <v/>
      </c>
      <c r="AM186" s="9" t="str">
        <f aca="false">IF(A186="","",(1/Inputs!$B$9)*(PI()*(Inputs!$F$11/1000)^2/4)*((Inputs!$F$11/1000/4)^(2/3))*SQRT(P186))</f>
        <v/>
      </c>
      <c r="AN186" s="9" t="str">
        <f aca="false">IF(A186="","",(1/Inputs!$B$9)*(PI()*(Inputs!$F$12/1000)^2/4)*((Inputs!$F$12/1000/4)^(2/3))*SQRT(P186))</f>
        <v/>
      </c>
      <c r="AO186" s="9" t="str">
        <f aca="false">IF(A186="","",(1/Inputs!$B$9)*(PI()*(Inputs!$F$13/1000)^2/4)*((Inputs!$F$13/1000/4)^(2/3))*SQRT(P186))</f>
        <v/>
      </c>
      <c r="AP186" s="9" t="str">
        <f aca="false">IF(A186="","",(1/Inputs!$B$9)*(PI()*(Inputs!$F$14/1000)^2/4)*((Inputs!$F$14/1000/4)^(2/3))*SQRT(P186))</f>
        <v/>
      </c>
      <c r="AQ186" s="9" t="str">
        <f aca="false">IF(A186="","",COUNTIF($D$4:$D$203,$A186))</f>
        <v/>
      </c>
      <c r="AR186" s="9" t="str">
        <f aca="false">IF(A186="","",IF(AQ186=0,"START","CONTINUOUS"))</f>
        <v/>
      </c>
      <c r="AS186" s="13" t="str">
        <f aca="false">IF(A186="","",IF(J186="",Inputs!$B$18,J186))</f>
        <v/>
      </c>
      <c r="AT186" s="13" t="str">
        <f aca="false">IF(A186="","",IFERROR(maxifs($AV$4:$AV$203,$D$4:$D$203,$A186),""))</f>
        <v/>
      </c>
      <c r="AU186" s="13" t="str">
        <f aca="false">IF(A186="","",IF(OR(E186="",Inputs!$B$23=""),"",E186/(Inputs!$B$23*60)))</f>
        <v/>
      </c>
      <c r="AV186" s="13" t="str">
        <f aca="false">IF(A186="","",IF(AQ186=0,AS186+AU186,IF(AT186="",AS186+AU186,AT186+AU186)))</f>
        <v/>
      </c>
      <c r="AW186" s="13" t="str">
        <f aca="false">IF(A186="","",W186)</f>
        <v/>
      </c>
      <c r="AX186" s="13" t="str">
        <f aca="false">IF(OR(T186="",P186=""),"",(1/Inputs!$B$9)*((T186/4)^(2/3))*SQRT(P186))</f>
        <v/>
      </c>
      <c r="AY186" s="13" t="str">
        <f aca="false">IF(A186="","",IF(AND(AW186="",AX186="",BA186=""),"",IF(OR(UPPER(TRIM(Inputs!$B$24))="MANNING",UPPER(TRIM(Inputs!$B$24))="M"),AX186,IF(OR(UPPER(TRIM(Inputs!$B$24))="PARTIAL",UPPER(TRIM(Inputs!$B$24))="P"),BA186,IF(OR(UPPER(TRIM(Inputs!$B$24))="MAX",UPPER(TRIM(Inputs!$B$24))="X"),MAX(IF(AW186="",0,AW186),IF(AX186="",0,AX186),IF(BA186="",0,BA186)),AW186)))))</f>
        <v/>
      </c>
      <c r="AZ186" s="13" t="str">
        <f aca="false">IF(BB186="","",CH186)</f>
        <v/>
      </c>
      <c r="BA186" s="13" t="str">
        <f aca="false">IF(OR(BB186="",AZ186="",T186="",T186&lt;=0,AZ186&lt;=0),"",BB186/((T186^2/8)*(2*ACOS(1-2*AZ186/T186)-SIN(2*ACOS(1-2*AZ186/T186)))))</f>
        <v/>
      </c>
      <c r="BB186" s="9" t="str">
        <f aca="false">IF(OR(N186="",BC186=""),"",MIN(N186,BC186))</f>
        <v/>
      </c>
      <c r="BC186" s="9" t="str">
        <f aca="false">IF(OR(N186="",T186="",P186=""),"",IF(OR(T186="",P186="",(0.94*T186)="",T186&lt;=0,(0.94*T186)&lt;=0),"",(1/Inputs!$B$9)*((T186^2/8)*((2*ACOS(1-2*(0.94*T186)/T186))-SIN((2*ACOS(1-2*(0.94*T186)/T186)))))*((((T186^2/8)*((2*ACOS(1-2*(0.94*T186)/T186))-SIN((2*ACOS(1-2*(0.94*T186)/T186)))))/((T186/2)*((2*ACOS(1-2*(0.94*T186)/T186)))))^(2/3))*SQRT(P186)))</f>
        <v/>
      </c>
      <c r="BD186" s="9" t="str">
        <f aca="false">IF(BB186="","",0.001*T186)</f>
        <v/>
      </c>
      <c r="BE186" s="9" t="str">
        <f aca="false">IF(BB186="","",0.94*T186)</f>
        <v/>
      </c>
      <c r="BF186" s="9" t="str">
        <f aca="false">IF(BB186="","",(BD186+BE186)/2)</f>
        <v/>
      </c>
      <c r="BG186" s="9" t="str">
        <f aca="false">IF(OR(T186="",P186="",BF186="",T186&lt;=0,BF186&lt;=0),"",(1/Inputs!$B$9)*((T186^2/8)*((2*ACOS(1-2*BF186/T186))-SIN((2*ACOS(1-2*BF186/T186)))))*((((T186^2/8)*((2*ACOS(1-2*BF186/T186))-SIN((2*ACOS(1-2*BF186/T186)))))/((T186/2)*((2*ACOS(1-2*BF186/T186)))))^(2/3))*SQRT(P186))</f>
        <v/>
      </c>
      <c r="BH186" s="9" t="str">
        <f aca="false">IF(BB186="","",IF(BG186&lt;BB186,BF186,BD186))</f>
        <v/>
      </c>
      <c r="BI186" s="9" t="str">
        <f aca="false">IF(BB186="","",IF(BG186&lt;BB186,BE186,BF186))</f>
        <v/>
      </c>
      <c r="BJ186" s="9" t="str">
        <f aca="false">IF(BB186="","",(BH186+BI186)/2)</f>
        <v/>
      </c>
      <c r="BK186" s="9" t="str">
        <f aca="false">IF(OR(T186="",P186="",BJ186="",T186&lt;=0,BJ186&lt;=0),"",(1/Inputs!$B$9)*((T186^2/8)*((2*ACOS(1-2*BJ186/T186))-SIN((2*ACOS(1-2*BJ186/T186)))))*((((T186^2/8)*((2*ACOS(1-2*BJ186/T186))-SIN((2*ACOS(1-2*BJ186/T186)))))/((T186/2)*((2*ACOS(1-2*BJ186/T186)))))^(2/3))*SQRT(P186))</f>
        <v/>
      </c>
      <c r="BL186" s="9" t="str">
        <f aca="false">IF(BB186="","",IF(BK186&lt;BB186,BJ186,BH186))</f>
        <v/>
      </c>
      <c r="BM186" s="9" t="str">
        <f aca="false">IF(BB186="","",IF(BK186&lt;BB186,BI186,BJ186))</f>
        <v/>
      </c>
      <c r="BN186" s="9" t="str">
        <f aca="false">IF(BB186="","",(BL186+BM186)/2)</f>
        <v/>
      </c>
      <c r="BO186" s="9" t="str">
        <f aca="false">IF(OR(T186="",P186="",BN186="",T186&lt;=0,BN186&lt;=0),"",(1/Inputs!$B$9)*((T186^2/8)*((2*ACOS(1-2*BN186/T186))-SIN((2*ACOS(1-2*BN186/T186)))))*((((T186^2/8)*((2*ACOS(1-2*BN186/T186))-SIN((2*ACOS(1-2*BN186/T186)))))/((T186/2)*((2*ACOS(1-2*BN186/T186)))))^(2/3))*SQRT(P186))</f>
        <v/>
      </c>
      <c r="BP186" s="9" t="str">
        <f aca="false">IF(BB186="","",IF(BO186&lt;BB186,BN186,BL186))</f>
        <v/>
      </c>
      <c r="BQ186" s="9" t="str">
        <f aca="false">IF(BB186="","",IF(BO186&lt;BB186,BM186,BN186))</f>
        <v/>
      </c>
      <c r="BR186" s="9" t="str">
        <f aca="false">IF(BB186="","",(BP186+BQ186)/2)</f>
        <v/>
      </c>
      <c r="BS186" s="9" t="str">
        <f aca="false">IF(OR(T186="",P186="",BR186="",T186&lt;=0,BR186&lt;=0),"",(1/Inputs!$B$9)*((T186^2/8)*((2*ACOS(1-2*BR186/T186))-SIN((2*ACOS(1-2*BR186/T186)))))*((((T186^2/8)*((2*ACOS(1-2*BR186/T186))-SIN((2*ACOS(1-2*BR186/T186)))))/((T186/2)*((2*ACOS(1-2*BR186/T186)))))^(2/3))*SQRT(P186))</f>
        <v/>
      </c>
      <c r="BT186" s="9" t="str">
        <f aca="false">IF(BB186="","",IF(BS186&lt;BB186,BR186,BP186))</f>
        <v/>
      </c>
      <c r="BU186" s="9" t="str">
        <f aca="false">IF(BB186="","",IF(BS186&lt;BB186,BQ186,BR186))</f>
        <v/>
      </c>
      <c r="BV186" s="9" t="str">
        <f aca="false">IF(BB186="","",(BT186+BU186)/2)</f>
        <v/>
      </c>
      <c r="BW186" s="9" t="str">
        <f aca="false">IF(OR(T186="",P186="",BV186="",T186&lt;=0,BV186&lt;=0),"",(1/Inputs!$B$9)*((T186^2/8)*((2*ACOS(1-2*BV186/T186))-SIN((2*ACOS(1-2*BV186/T186)))))*((((T186^2/8)*((2*ACOS(1-2*BV186/T186))-SIN((2*ACOS(1-2*BV186/T186)))))/((T186/2)*((2*ACOS(1-2*BV186/T186)))))^(2/3))*SQRT(P186))</f>
        <v/>
      </c>
      <c r="BX186" s="9" t="str">
        <f aca="false">IF(BB186="","",IF(BW186&lt;BB186,BV186,BT186))</f>
        <v/>
      </c>
      <c r="BY186" s="9" t="str">
        <f aca="false">IF(BB186="","",IF(BW186&lt;BB186,BU186,BV186))</f>
        <v/>
      </c>
      <c r="BZ186" s="9" t="str">
        <f aca="false">IF(BB186="","",(BX186+BY186)/2)</f>
        <v/>
      </c>
      <c r="CA186" s="9" t="str">
        <f aca="false">IF(OR(T186="",P186="",BZ186="",T186&lt;=0,BZ186&lt;=0),"",(1/Inputs!$B$9)*((T186^2/8)*((2*ACOS(1-2*BZ186/T186))-SIN((2*ACOS(1-2*BZ186/T186)))))*((((T186^2/8)*((2*ACOS(1-2*BZ186/T186))-SIN((2*ACOS(1-2*BZ186/T186)))))/((T186/2)*((2*ACOS(1-2*BZ186/T186)))))^(2/3))*SQRT(P186))</f>
        <v/>
      </c>
      <c r="CB186" s="9" t="str">
        <f aca="false">IF(BB186="","",IF(CA186&lt;BB186,BZ186,BX186))</f>
        <v/>
      </c>
      <c r="CC186" s="9" t="str">
        <f aca="false">IF(BB186="","",IF(CA186&lt;BB186,BY186,BZ186))</f>
        <v/>
      </c>
      <c r="CD186" s="9" t="str">
        <f aca="false">IF(BB186="","",(CB186+CC186)/2)</f>
        <v/>
      </c>
      <c r="CE186" s="9" t="str">
        <f aca="false">IF(OR(T186="",P186="",CD186="",T186&lt;=0,CD186&lt;=0),"",(1/Inputs!$B$9)*((T186^2/8)*((2*ACOS(1-2*CD186/T186))-SIN((2*ACOS(1-2*CD186/T186)))))*((((T186^2/8)*((2*ACOS(1-2*CD186/T186))-SIN((2*ACOS(1-2*CD186/T186)))))/((T186/2)*((2*ACOS(1-2*CD186/T186)))))^(2/3))*SQRT(P186))</f>
        <v/>
      </c>
      <c r="CF186" s="9" t="str">
        <f aca="false">IF(BB186="","",IF(CE186&lt;BB186,CD186,CB186))</f>
        <v/>
      </c>
      <c r="CG186" s="9" t="str">
        <f aca="false">IF(BB186="","",IF(CE186&lt;BB186,CC186,CD186))</f>
        <v/>
      </c>
      <c r="CH186" s="9" t="str">
        <f aca="false">IF(BB186="","",(CF186+CG186)/2)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14"/>
      <c r="F187" s="14"/>
      <c r="G187" s="14" t="n">
        <f aca="false">SUMIFS(CB_plan!$C:$C,CB_plan!$B:$B,$A187)</f>
        <v>0</v>
      </c>
      <c r="H187" s="14" t="n">
        <f aca="false">IF(F187="",G187,F187)</f>
        <v>0</v>
      </c>
      <c r="I187" s="9"/>
      <c r="J187" s="14"/>
      <c r="K187" s="14" t="str">
        <f aca="false">IF(A187="","",Inputs!$B$13/((IF(AV187="",Inputs!$B$18,AV187)+Inputs!$B$14)^Inputs!$B$15))</f>
        <v/>
      </c>
      <c r="L187" s="14" t="str">
        <f aca="false">IF(A187="","",0.000000278*IF(I187="",Inputs!$B$17,I187)*H187*K187)</f>
        <v/>
      </c>
      <c r="M187" s="14" t="str">
        <f aca="false">IF(A187="","",SUMIFS($N$4:$N$203,$D$4:$D$203,$A187))</f>
        <v/>
      </c>
      <c r="N187" s="14" t="str">
        <f aca="false">IF(A187="","",(L187+M187)*Inputs!$B$16)</f>
        <v/>
      </c>
      <c r="O187" s="14"/>
      <c r="P187" s="14" t="str">
        <f aca="false">IF(A187="","",IF(O187="",Inputs!$B$7,O187))</f>
        <v/>
      </c>
      <c r="Q187" s="9" t="str">
        <f aca="false">IF(A187="","",IF(N187/Inputs!$B$10&lt;=AG187,Inputs!$F$5,IF(N187/Inputs!$B$10&gt;AP187,"OVERSIZE",INDEX(Inputs!$F$5:$F$14,MATCH(N187/Inputs!$B$10,AG187:AP187,1)+1))))</f>
        <v/>
      </c>
      <c r="R187" s="9"/>
      <c r="S187" s="9" t="str">
        <f aca="false">IF(A187="","",IF(R187="",Q187,R187))</f>
        <v/>
      </c>
      <c r="T187" s="14" t="str">
        <f aca="false">IF(OR(S187="",S187="OVERSIZE"),"",S187/1000)</f>
        <v/>
      </c>
      <c r="U187" s="14" t="str">
        <f aca="false">IF(T187="","",(1/Inputs!$B$9)*(PI()*T187^2/4)*((T187/4)^(2/3))*SQRT(P187))</f>
        <v/>
      </c>
      <c r="V187" s="14" t="str">
        <f aca="false">IF(OR(U187="",N187=""),"",N187/(U187*Inputs!$B$10))</f>
        <v/>
      </c>
      <c r="W187" s="14" t="str">
        <f aca="false">IF(OR(T187="",N187=""),"",4*N187/(PI()*T187^2))</f>
        <v/>
      </c>
      <c r="X187" s="14"/>
      <c r="Y187" s="14" t="str">
        <f aca="false">IF(A187="","",IF(A187=Inputs!$B$6,Inputs!$B$22,IF(D187="","",IFERROR(INDEX($Z$4:$Z$203,MATCH(D187,$A$4:$A$203,0))+IF(X187="",Inputs!$B$20,X187),""))))</f>
        <v/>
      </c>
      <c r="Z187" s="14" t="str">
        <f aca="false">IF(OR(Y187="",P187="",E187=""),"",Y187+P187*E187)</f>
        <v/>
      </c>
      <c r="AA187" s="14" t="str">
        <f aca="false">IF(C187="","",IFERROR(INDEX(Noeuds_plan!$C$4:$C$200,MATCH(C187,Noeuds_plan!$A$4:$A$200,0)),""))</f>
        <v/>
      </c>
      <c r="AB187" s="14" t="str">
        <f aca="false">IF(B187="","",IFERROR(INDEX(Noeuds_plan!$C$4:$C$200,MATCH(B187,Noeuds_plan!$A$4:$A$200,0)),""))</f>
        <v/>
      </c>
      <c r="AC187" s="14" t="str">
        <f aca="false">IF(OR(AA187="",Y187=""),"",AA187-Y187)</f>
        <v/>
      </c>
      <c r="AD187" s="14" t="str">
        <f aca="false">IF(OR(AB187="",Z187=""),"",AB187-Z187)</f>
        <v/>
      </c>
      <c r="AE187" s="19" t="str">
        <f aca="false">IF(A187="","",IF(OR(V187&gt;1,AND(AY187&lt;&gt;"",AY187&lt;Inputs!$B$11),AND(AY187&lt;&gt;"",AY187&gt;Inputs!$B$12),AC187&lt;Inputs!$B$19,AD187&lt;Inputs!$B$19,P187&lt;Inputs!$B$7,P187&gt;Inputs!$B$8),"CHECK","OK"))</f>
        <v/>
      </c>
      <c r="AF187" s="9"/>
      <c r="AG187" s="9" t="str">
        <f aca="false">IF(A187="","",(1/Inputs!$B$9)*(PI()*(Inputs!$F$5/1000)^2/4)*((Inputs!$F$5/1000/4)^(2/3))*SQRT(P187))</f>
        <v/>
      </c>
      <c r="AH187" s="9" t="str">
        <f aca="false">IF(A187="","",(1/Inputs!$B$9)*(PI()*(Inputs!$F$6/1000)^2/4)*((Inputs!$F$6/1000/4)^(2/3))*SQRT(P187))</f>
        <v/>
      </c>
      <c r="AI187" s="9" t="str">
        <f aca="false">IF(A187="","",(1/Inputs!$B$9)*(PI()*(Inputs!$F$7/1000)^2/4)*((Inputs!$F$7/1000/4)^(2/3))*SQRT(P187))</f>
        <v/>
      </c>
      <c r="AJ187" s="9" t="str">
        <f aca="false">IF(A187="","",(1/Inputs!$B$9)*(PI()*(Inputs!$F$8/1000)^2/4)*((Inputs!$F$8/1000/4)^(2/3))*SQRT(P187))</f>
        <v/>
      </c>
      <c r="AK187" s="9" t="str">
        <f aca="false">IF(A187="","",(1/Inputs!$B$9)*(PI()*(Inputs!$F$9/1000)^2/4)*((Inputs!$F$9/1000/4)^(2/3))*SQRT(P187))</f>
        <v/>
      </c>
      <c r="AL187" s="9" t="str">
        <f aca="false">IF(A187="","",(1/Inputs!$B$9)*(PI()*(Inputs!$F$10/1000)^2/4)*((Inputs!$F$10/1000/4)^(2/3))*SQRT(P187))</f>
        <v/>
      </c>
      <c r="AM187" s="9" t="str">
        <f aca="false">IF(A187="","",(1/Inputs!$B$9)*(PI()*(Inputs!$F$11/1000)^2/4)*((Inputs!$F$11/1000/4)^(2/3))*SQRT(P187))</f>
        <v/>
      </c>
      <c r="AN187" s="9" t="str">
        <f aca="false">IF(A187="","",(1/Inputs!$B$9)*(PI()*(Inputs!$F$12/1000)^2/4)*((Inputs!$F$12/1000/4)^(2/3))*SQRT(P187))</f>
        <v/>
      </c>
      <c r="AO187" s="9" t="str">
        <f aca="false">IF(A187="","",(1/Inputs!$B$9)*(PI()*(Inputs!$F$13/1000)^2/4)*((Inputs!$F$13/1000/4)^(2/3))*SQRT(P187))</f>
        <v/>
      </c>
      <c r="AP187" s="9" t="str">
        <f aca="false">IF(A187="","",(1/Inputs!$B$9)*(PI()*(Inputs!$F$14/1000)^2/4)*((Inputs!$F$14/1000/4)^(2/3))*SQRT(P187))</f>
        <v/>
      </c>
      <c r="AQ187" s="9" t="str">
        <f aca="false">IF(A187="","",COUNTIF($D$4:$D$203,$A187))</f>
        <v/>
      </c>
      <c r="AR187" s="9" t="str">
        <f aca="false">IF(A187="","",IF(AQ187=0,"START","CONTINUOUS"))</f>
        <v/>
      </c>
      <c r="AS187" s="13" t="str">
        <f aca="false">IF(A187="","",IF(J187="",Inputs!$B$18,J187))</f>
        <v/>
      </c>
      <c r="AT187" s="13" t="str">
        <f aca="false">IF(A187="","",IFERROR(maxifs($AV$4:$AV$203,$D$4:$D$203,$A187),""))</f>
        <v/>
      </c>
      <c r="AU187" s="13" t="str">
        <f aca="false">IF(A187="","",IF(OR(E187="",Inputs!$B$23=""),"",E187/(Inputs!$B$23*60)))</f>
        <v/>
      </c>
      <c r="AV187" s="13" t="str">
        <f aca="false">IF(A187="","",IF(AQ187=0,AS187+AU187,IF(AT187="",AS187+AU187,AT187+AU187)))</f>
        <v/>
      </c>
      <c r="AW187" s="13" t="str">
        <f aca="false">IF(A187="","",W187)</f>
        <v/>
      </c>
      <c r="AX187" s="13" t="str">
        <f aca="false">IF(OR(T187="",P187=""),"",(1/Inputs!$B$9)*((T187/4)^(2/3))*SQRT(P187))</f>
        <v/>
      </c>
      <c r="AY187" s="13" t="str">
        <f aca="false">IF(A187="","",IF(AND(AW187="",AX187="",BA187=""),"",IF(OR(UPPER(TRIM(Inputs!$B$24))="MANNING",UPPER(TRIM(Inputs!$B$24))="M"),AX187,IF(OR(UPPER(TRIM(Inputs!$B$24))="PARTIAL",UPPER(TRIM(Inputs!$B$24))="P"),BA187,IF(OR(UPPER(TRIM(Inputs!$B$24))="MAX",UPPER(TRIM(Inputs!$B$24))="X"),MAX(IF(AW187="",0,AW187),IF(AX187="",0,AX187),IF(BA187="",0,BA187)),AW187)))))</f>
        <v/>
      </c>
      <c r="AZ187" s="13" t="str">
        <f aca="false">IF(BB187="","",CH187)</f>
        <v/>
      </c>
      <c r="BA187" s="13" t="str">
        <f aca="false">IF(OR(BB187="",AZ187="",T187="",T187&lt;=0,AZ187&lt;=0),"",BB187/((T187^2/8)*(2*ACOS(1-2*AZ187/T187)-SIN(2*ACOS(1-2*AZ187/T187)))))</f>
        <v/>
      </c>
      <c r="BB187" s="9" t="str">
        <f aca="false">IF(OR(N187="",BC187=""),"",MIN(N187,BC187))</f>
        <v/>
      </c>
      <c r="BC187" s="9" t="str">
        <f aca="false">IF(OR(N187="",T187="",P187=""),"",IF(OR(T187="",P187="",(0.94*T187)="",T187&lt;=0,(0.94*T187)&lt;=0),"",(1/Inputs!$B$9)*((T187^2/8)*((2*ACOS(1-2*(0.94*T187)/T187))-SIN((2*ACOS(1-2*(0.94*T187)/T187)))))*((((T187^2/8)*((2*ACOS(1-2*(0.94*T187)/T187))-SIN((2*ACOS(1-2*(0.94*T187)/T187)))))/((T187/2)*((2*ACOS(1-2*(0.94*T187)/T187)))))^(2/3))*SQRT(P187)))</f>
        <v/>
      </c>
      <c r="BD187" s="9" t="str">
        <f aca="false">IF(BB187="","",0.001*T187)</f>
        <v/>
      </c>
      <c r="BE187" s="9" t="str">
        <f aca="false">IF(BB187="","",0.94*T187)</f>
        <v/>
      </c>
      <c r="BF187" s="9" t="str">
        <f aca="false">IF(BB187="","",(BD187+BE187)/2)</f>
        <v/>
      </c>
      <c r="BG187" s="9" t="str">
        <f aca="false">IF(OR(T187="",P187="",BF187="",T187&lt;=0,BF187&lt;=0),"",(1/Inputs!$B$9)*((T187^2/8)*((2*ACOS(1-2*BF187/T187))-SIN((2*ACOS(1-2*BF187/T187)))))*((((T187^2/8)*((2*ACOS(1-2*BF187/T187))-SIN((2*ACOS(1-2*BF187/T187)))))/((T187/2)*((2*ACOS(1-2*BF187/T187)))))^(2/3))*SQRT(P187))</f>
        <v/>
      </c>
      <c r="BH187" s="9" t="str">
        <f aca="false">IF(BB187="","",IF(BG187&lt;BB187,BF187,BD187))</f>
        <v/>
      </c>
      <c r="BI187" s="9" t="str">
        <f aca="false">IF(BB187="","",IF(BG187&lt;BB187,BE187,BF187))</f>
        <v/>
      </c>
      <c r="BJ187" s="9" t="str">
        <f aca="false">IF(BB187="","",(BH187+BI187)/2)</f>
        <v/>
      </c>
      <c r="BK187" s="9" t="str">
        <f aca="false">IF(OR(T187="",P187="",BJ187="",T187&lt;=0,BJ187&lt;=0),"",(1/Inputs!$B$9)*((T187^2/8)*((2*ACOS(1-2*BJ187/T187))-SIN((2*ACOS(1-2*BJ187/T187)))))*((((T187^2/8)*((2*ACOS(1-2*BJ187/T187))-SIN((2*ACOS(1-2*BJ187/T187)))))/((T187/2)*((2*ACOS(1-2*BJ187/T187)))))^(2/3))*SQRT(P187))</f>
        <v/>
      </c>
      <c r="BL187" s="9" t="str">
        <f aca="false">IF(BB187="","",IF(BK187&lt;BB187,BJ187,BH187))</f>
        <v/>
      </c>
      <c r="BM187" s="9" t="str">
        <f aca="false">IF(BB187="","",IF(BK187&lt;BB187,BI187,BJ187))</f>
        <v/>
      </c>
      <c r="BN187" s="9" t="str">
        <f aca="false">IF(BB187="","",(BL187+BM187)/2)</f>
        <v/>
      </c>
      <c r="BO187" s="9" t="str">
        <f aca="false">IF(OR(T187="",P187="",BN187="",T187&lt;=0,BN187&lt;=0),"",(1/Inputs!$B$9)*((T187^2/8)*((2*ACOS(1-2*BN187/T187))-SIN((2*ACOS(1-2*BN187/T187)))))*((((T187^2/8)*((2*ACOS(1-2*BN187/T187))-SIN((2*ACOS(1-2*BN187/T187)))))/((T187/2)*((2*ACOS(1-2*BN187/T187)))))^(2/3))*SQRT(P187))</f>
        <v/>
      </c>
      <c r="BP187" s="9" t="str">
        <f aca="false">IF(BB187="","",IF(BO187&lt;BB187,BN187,BL187))</f>
        <v/>
      </c>
      <c r="BQ187" s="9" t="str">
        <f aca="false">IF(BB187="","",IF(BO187&lt;BB187,BM187,BN187))</f>
        <v/>
      </c>
      <c r="BR187" s="9" t="str">
        <f aca="false">IF(BB187="","",(BP187+BQ187)/2)</f>
        <v/>
      </c>
      <c r="BS187" s="9" t="str">
        <f aca="false">IF(OR(T187="",P187="",BR187="",T187&lt;=0,BR187&lt;=0),"",(1/Inputs!$B$9)*((T187^2/8)*((2*ACOS(1-2*BR187/T187))-SIN((2*ACOS(1-2*BR187/T187)))))*((((T187^2/8)*((2*ACOS(1-2*BR187/T187))-SIN((2*ACOS(1-2*BR187/T187)))))/((T187/2)*((2*ACOS(1-2*BR187/T187)))))^(2/3))*SQRT(P187))</f>
        <v/>
      </c>
      <c r="BT187" s="9" t="str">
        <f aca="false">IF(BB187="","",IF(BS187&lt;BB187,BR187,BP187))</f>
        <v/>
      </c>
      <c r="BU187" s="9" t="str">
        <f aca="false">IF(BB187="","",IF(BS187&lt;BB187,BQ187,BR187))</f>
        <v/>
      </c>
      <c r="BV187" s="9" t="str">
        <f aca="false">IF(BB187="","",(BT187+BU187)/2)</f>
        <v/>
      </c>
      <c r="BW187" s="9" t="str">
        <f aca="false">IF(OR(T187="",P187="",BV187="",T187&lt;=0,BV187&lt;=0),"",(1/Inputs!$B$9)*((T187^2/8)*((2*ACOS(1-2*BV187/T187))-SIN((2*ACOS(1-2*BV187/T187)))))*((((T187^2/8)*((2*ACOS(1-2*BV187/T187))-SIN((2*ACOS(1-2*BV187/T187)))))/((T187/2)*((2*ACOS(1-2*BV187/T187)))))^(2/3))*SQRT(P187))</f>
        <v/>
      </c>
      <c r="BX187" s="9" t="str">
        <f aca="false">IF(BB187="","",IF(BW187&lt;BB187,BV187,BT187))</f>
        <v/>
      </c>
      <c r="BY187" s="9" t="str">
        <f aca="false">IF(BB187="","",IF(BW187&lt;BB187,BU187,BV187))</f>
        <v/>
      </c>
      <c r="BZ187" s="9" t="str">
        <f aca="false">IF(BB187="","",(BX187+BY187)/2)</f>
        <v/>
      </c>
      <c r="CA187" s="9" t="str">
        <f aca="false">IF(OR(T187="",P187="",BZ187="",T187&lt;=0,BZ187&lt;=0),"",(1/Inputs!$B$9)*((T187^2/8)*((2*ACOS(1-2*BZ187/T187))-SIN((2*ACOS(1-2*BZ187/T187)))))*((((T187^2/8)*((2*ACOS(1-2*BZ187/T187))-SIN((2*ACOS(1-2*BZ187/T187)))))/((T187/2)*((2*ACOS(1-2*BZ187/T187)))))^(2/3))*SQRT(P187))</f>
        <v/>
      </c>
      <c r="CB187" s="9" t="str">
        <f aca="false">IF(BB187="","",IF(CA187&lt;BB187,BZ187,BX187))</f>
        <v/>
      </c>
      <c r="CC187" s="9" t="str">
        <f aca="false">IF(BB187="","",IF(CA187&lt;BB187,BY187,BZ187))</f>
        <v/>
      </c>
      <c r="CD187" s="9" t="str">
        <f aca="false">IF(BB187="","",(CB187+CC187)/2)</f>
        <v/>
      </c>
      <c r="CE187" s="9" t="str">
        <f aca="false">IF(OR(T187="",P187="",CD187="",T187&lt;=0,CD187&lt;=0),"",(1/Inputs!$B$9)*((T187^2/8)*((2*ACOS(1-2*CD187/T187))-SIN((2*ACOS(1-2*CD187/T187)))))*((((T187^2/8)*((2*ACOS(1-2*CD187/T187))-SIN((2*ACOS(1-2*CD187/T187)))))/((T187/2)*((2*ACOS(1-2*CD187/T187)))))^(2/3))*SQRT(P187))</f>
        <v/>
      </c>
      <c r="CF187" s="9" t="str">
        <f aca="false">IF(BB187="","",IF(CE187&lt;BB187,CD187,CB187))</f>
        <v/>
      </c>
      <c r="CG187" s="9" t="str">
        <f aca="false">IF(BB187="","",IF(CE187&lt;BB187,CC187,CD187))</f>
        <v/>
      </c>
      <c r="CH187" s="9" t="str">
        <f aca="false">IF(BB187="","",(CF187+CG187)/2)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14"/>
      <c r="F188" s="14"/>
      <c r="G188" s="14" t="n">
        <f aca="false">SUMIFS(CB_plan!$C:$C,CB_plan!$B:$B,$A188)</f>
        <v>0</v>
      </c>
      <c r="H188" s="14" t="n">
        <f aca="false">IF(F188="",G188,F188)</f>
        <v>0</v>
      </c>
      <c r="I188" s="9"/>
      <c r="J188" s="14"/>
      <c r="K188" s="14" t="str">
        <f aca="false">IF(A188="","",Inputs!$B$13/((IF(AV188="",Inputs!$B$18,AV188)+Inputs!$B$14)^Inputs!$B$15))</f>
        <v/>
      </c>
      <c r="L188" s="14" t="str">
        <f aca="false">IF(A188="","",0.000000278*IF(I188="",Inputs!$B$17,I188)*H188*K188)</f>
        <v/>
      </c>
      <c r="M188" s="14" t="str">
        <f aca="false">IF(A188="","",SUMIFS($N$4:$N$203,$D$4:$D$203,$A188))</f>
        <v/>
      </c>
      <c r="N188" s="14" t="str">
        <f aca="false">IF(A188="","",(L188+M188)*Inputs!$B$16)</f>
        <v/>
      </c>
      <c r="O188" s="14"/>
      <c r="P188" s="14" t="str">
        <f aca="false">IF(A188="","",IF(O188="",Inputs!$B$7,O188))</f>
        <v/>
      </c>
      <c r="Q188" s="9" t="str">
        <f aca="false">IF(A188="","",IF(N188/Inputs!$B$10&lt;=AG188,Inputs!$F$5,IF(N188/Inputs!$B$10&gt;AP188,"OVERSIZE",INDEX(Inputs!$F$5:$F$14,MATCH(N188/Inputs!$B$10,AG188:AP188,1)+1))))</f>
        <v/>
      </c>
      <c r="R188" s="9"/>
      <c r="S188" s="9" t="str">
        <f aca="false">IF(A188="","",IF(R188="",Q188,R188))</f>
        <v/>
      </c>
      <c r="T188" s="14" t="str">
        <f aca="false">IF(OR(S188="",S188="OVERSIZE"),"",S188/1000)</f>
        <v/>
      </c>
      <c r="U188" s="14" t="str">
        <f aca="false">IF(T188="","",(1/Inputs!$B$9)*(PI()*T188^2/4)*((T188/4)^(2/3))*SQRT(P188))</f>
        <v/>
      </c>
      <c r="V188" s="14" t="str">
        <f aca="false">IF(OR(U188="",N188=""),"",N188/(U188*Inputs!$B$10))</f>
        <v/>
      </c>
      <c r="W188" s="14" t="str">
        <f aca="false">IF(OR(T188="",N188=""),"",4*N188/(PI()*T188^2))</f>
        <v/>
      </c>
      <c r="X188" s="14"/>
      <c r="Y188" s="14" t="str">
        <f aca="false">IF(A188="","",IF(A188=Inputs!$B$6,Inputs!$B$22,IF(D188="","",IFERROR(INDEX($Z$4:$Z$203,MATCH(D188,$A$4:$A$203,0))+IF(X188="",Inputs!$B$20,X188),""))))</f>
        <v/>
      </c>
      <c r="Z188" s="14" t="str">
        <f aca="false">IF(OR(Y188="",P188="",E188=""),"",Y188+P188*E188)</f>
        <v/>
      </c>
      <c r="AA188" s="14" t="str">
        <f aca="false">IF(C188="","",IFERROR(INDEX(Noeuds_plan!$C$4:$C$200,MATCH(C188,Noeuds_plan!$A$4:$A$200,0)),""))</f>
        <v/>
      </c>
      <c r="AB188" s="14" t="str">
        <f aca="false">IF(B188="","",IFERROR(INDEX(Noeuds_plan!$C$4:$C$200,MATCH(B188,Noeuds_plan!$A$4:$A$200,0)),""))</f>
        <v/>
      </c>
      <c r="AC188" s="14" t="str">
        <f aca="false">IF(OR(AA188="",Y188=""),"",AA188-Y188)</f>
        <v/>
      </c>
      <c r="AD188" s="14" t="str">
        <f aca="false">IF(OR(AB188="",Z188=""),"",AB188-Z188)</f>
        <v/>
      </c>
      <c r="AE188" s="19" t="str">
        <f aca="false">IF(A188="","",IF(OR(V188&gt;1,AND(AY188&lt;&gt;"",AY188&lt;Inputs!$B$11),AND(AY188&lt;&gt;"",AY188&gt;Inputs!$B$12),AC188&lt;Inputs!$B$19,AD188&lt;Inputs!$B$19,P188&lt;Inputs!$B$7,P188&gt;Inputs!$B$8),"CHECK","OK"))</f>
        <v/>
      </c>
      <c r="AF188" s="9"/>
      <c r="AG188" s="9" t="str">
        <f aca="false">IF(A188="","",(1/Inputs!$B$9)*(PI()*(Inputs!$F$5/1000)^2/4)*((Inputs!$F$5/1000/4)^(2/3))*SQRT(P188))</f>
        <v/>
      </c>
      <c r="AH188" s="9" t="str">
        <f aca="false">IF(A188="","",(1/Inputs!$B$9)*(PI()*(Inputs!$F$6/1000)^2/4)*((Inputs!$F$6/1000/4)^(2/3))*SQRT(P188))</f>
        <v/>
      </c>
      <c r="AI188" s="9" t="str">
        <f aca="false">IF(A188="","",(1/Inputs!$B$9)*(PI()*(Inputs!$F$7/1000)^2/4)*((Inputs!$F$7/1000/4)^(2/3))*SQRT(P188))</f>
        <v/>
      </c>
      <c r="AJ188" s="9" t="str">
        <f aca="false">IF(A188="","",(1/Inputs!$B$9)*(PI()*(Inputs!$F$8/1000)^2/4)*((Inputs!$F$8/1000/4)^(2/3))*SQRT(P188))</f>
        <v/>
      </c>
      <c r="AK188" s="9" t="str">
        <f aca="false">IF(A188="","",(1/Inputs!$B$9)*(PI()*(Inputs!$F$9/1000)^2/4)*((Inputs!$F$9/1000/4)^(2/3))*SQRT(P188))</f>
        <v/>
      </c>
      <c r="AL188" s="9" t="str">
        <f aca="false">IF(A188="","",(1/Inputs!$B$9)*(PI()*(Inputs!$F$10/1000)^2/4)*((Inputs!$F$10/1000/4)^(2/3))*SQRT(P188))</f>
        <v/>
      </c>
      <c r="AM188" s="9" t="str">
        <f aca="false">IF(A188="","",(1/Inputs!$B$9)*(PI()*(Inputs!$F$11/1000)^2/4)*((Inputs!$F$11/1000/4)^(2/3))*SQRT(P188))</f>
        <v/>
      </c>
      <c r="AN188" s="9" t="str">
        <f aca="false">IF(A188="","",(1/Inputs!$B$9)*(PI()*(Inputs!$F$12/1000)^2/4)*((Inputs!$F$12/1000/4)^(2/3))*SQRT(P188))</f>
        <v/>
      </c>
      <c r="AO188" s="9" t="str">
        <f aca="false">IF(A188="","",(1/Inputs!$B$9)*(PI()*(Inputs!$F$13/1000)^2/4)*((Inputs!$F$13/1000/4)^(2/3))*SQRT(P188))</f>
        <v/>
      </c>
      <c r="AP188" s="9" t="str">
        <f aca="false">IF(A188="","",(1/Inputs!$B$9)*(PI()*(Inputs!$F$14/1000)^2/4)*((Inputs!$F$14/1000/4)^(2/3))*SQRT(P188))</f>
        <v/>
      </c>
      <c r="AQ188" s="9" t="str">
        <f aca="false">IF(A188="","",COUNTIF($D$4:$D$203,$A188))</f>
        <v/>
      </c>
      <c r="AR188" s="9" t="str">
        <f aca="false">IF(A188="","",IF(AQ188=0,"START","CONTINUOUS"))</f>
        <v/>
      </c>
      <c r="AS188" s="13" t="str">
        <f aca="false">IF(A188="","",IF(J188="",Inputs!$B$18,J188))</f>
        <v/>
      </c>
      <c r="AT188" s="13" t="str">
        <f aca="false">IF(A188="","",IFERROR(maxifs($AV$4:$AV$203,$D$4:$D$203,$A188),""))</f>
        <v/>
      </c>
      <c r="AU188" s="13" t="str">
        <f aca="false">IF(A188="","",IF(OR(E188="",Inputs!$B$23=""),"",E188/(Inputs!$B$23*60)))</f>
        <v/>
      </c>
      <c r="AV188" s="13" t="str">
        <f aca="false">IF(A188="","",IF(AQ188=0,AS188+AU188,IF(AT188="",AS188+AU188,AT188+AU188)))</f>
        <v/>
      </c>
      <c r="AW188" s="13" t="str">
        <f aca="false">IF(A188="","",W188)</f>
        <v/>
      </c>
      <c r="AX188" s="13" t="str">
        <f aca="false">IF(OR(T188="",P188=""),"",(1/Inputs!$B$9)*((T188/4)^(2/3))*SQRT(P188))</f>
        <v/>
      </c>
      <c r="AY188" s="13" t="str">
        <f aca="false">IF(A188="","",IF(AND(AW188="",AX188="",BA188=""),"",IF(OR(UPPER(TRIM(Inputs!$B$24))="MANNING",UPPER(TRIM(Inputs!$B$24))="M"),AX188,IF(OR(UPPER(TRIM(Inputs!$B$24))="PARTIAL",UPPER(TRIM(Inputs!$B$24))="P"),BA188,IF(OR(UPPER(TRIM(Inputs!$B$24))="MAX",UPPER(TRIM(Inputs!$B$24))="X"),MAX(IF(AW188="",0,AW188),IF(AX188="",0,AX188),IF(BA188="",0,BA188)),AW188)))))</f>
        <v/>
      </c>
      <c r="AZ188" s="13" t="str">
        <f aca="false">IF(BB188="","",CH188)</f>
        <v/>
      </c>
      <c r="BA188" s="13" t="str">
        <f aca="false">IF(OR(BB188="",AZ188="",T188="",T188&lt;=0,AZ188&lt;=0),"",BB188/((T188^2/8)*(2*ACOS(1-2*AZ188/T188)-SIN(2*ACOS(1-2*AZ188/T188)))))</f>
        <v/>
      </c>
      <c r="BB188" s="9" t="str">
        <f aca="false">IF(OR(N188="",BC188=""),"",MIN(N188,BC188))</f>
        <v/>
      </c>
      <c r="BC188" s="9" t="str">
        <f aca="false">IF(OR(N188="",T188="",P188=""),"",IF(OR(T188="",P188="",(0.94*T188)="",T188&lt;=0,(0.94*T188)&lt;=0),"",(1/Inputs!$B$9)*((T188^2/8)*((2*ACOS(1-2*(0.94*T188)/T188))-SIN((2*ACOS(1-2*(0.94*T188)/T188)))))*((((T188^2/8)*((2*ACOS(1-2*(0.94*T188)/T188))-SIN((2*ACOS(1-2*(0.94*T188)/T188)))))/((T188/2)*((2*ACOS(1-2*(0.94*T188)/T188)))))^(2/3))*SQRT(P188)))</f>
        <v/>
      </c>
      <c r="BD188" s="9" t="str">
        <f aca="false">IF(BB188="","",0.001*T188)</f>
        <v/>
      </c>
      <c r="BE188" s="9" t="str">
        <f aca="false">IF(BB188="","",0.94*T188)</f>
        <v/>
      </c>
      <c r="BF188" s="9" t="str">
        <f aca="false">IF(BB188="","",(BD188+BE188)/2)</f>
        <v/>
      </c>
      <c r="BG188" s="9" t="str">
        <f aca="false">IF(OR(T188="",P188="",BF188="",T188&lt;=0,BF188&lt;=0),"",(1/Inputs!$B$9)*((T188^2/8)*((2*ACOS(1-2*BF188/T188))-SIN((2*ACOS(1-2*BF188/T188)))))*((((T188^2/8)*((2*ACOS(1-2*BF188/T188))-SIN((2*ACOS(1-2*BF188/T188)))))/((T188/2)*((2*ACOS(1-2*BF188/T188)))))^(2/3))*SQRT(P188))</f>
        <v/>
      </c>
      <c r="BH188" s="9" t="str">
        <f aca="false">IF(BB188="","",IF(BG188&lt;BB188,BF188,BD188))</f>
        <v/>
      </c>
      <c r="BI188" s="9" t="str">
        <f aca="false">IF(BB188="","",IF(BG188&lt;BB188,BE188,BF188))</f>
        <v/>
      </c>
      <c r="BJ188" s="9" t="str">
        <f aca="false">IF(BB188="","",(BH188+BI188)/2)</f>
        <v/>
      </c>
      <c r="BK188" s="9" t="str">
        <f aca="false">IF(OR(T188="",P188="",BJ188="",T188&lt;=0,BJ188&lt;=0),"",(1/Inputs!$B$9)*((T188^2/8)*((2*ACOS(1-2*BJ188/T188))-SIN((2*ACOS(1-2*BJ188/T188)))))*((((T188^2/8)*((2*ACOS(1-2*BJ188/T188))-SIN((2*ACOS(1-2*BJ188/T188)))))/((T188/2)*((2*ACOS(1-2*BJ188/T188)))))^(2/3))*SQRT(P188))</f>
        <v/>
      </c>
      <c r="BL188" s="9" t="str">
        <f aca="false">IF(BB188="","",IF(BK188&lt;BB188,BJ188,BH188))</f>
        <v/>
      </c>
      <c r="BM188" s="9" t="str">
        <f aca="false">IF(BB188="","",IF(BK188&lt;BB188,BI188,BJ188))</f>
        <v/>
      </c>
      <c r="BN188" s="9" t="str">
        <f aca="false">IF(BB188="","",(BL188+BM188)/2)</f>
        <v/>
      </c>
      <c r="BO188" s="9" t="str">
        <f aca="false">IF(OR(T188="",P188="",BN188="",T188&lt;=0,BN188&lt;=0),"",(1/Inputs!$B$9)*((T188^2/8)*((2*ACOS(1-2*BN188/T188))-SIN((2*ACOS(1-2*BN188/T188)))))*((((T188^2/8)*((2*ACOS(1-2*BN188/T188))-SIN((2*ACOS(1-2*BN188/T188)))))/((T188/2)*((2*ACOS(1-2*BN188/T188)))))^(2/3))*SQRT(P188))</f>
        <v/>
      </c>
      <c r="BP188" s="9" t="str">
        <f aca="false">IF(BB188="","",IF(BO188&lt;BB188,BN188,BL188))</f>
        <v/>
      </c>
      <c r="BQ188" s="9" t="str">
        <f aca="false">IF(BB188="","",IF(BO188&lt;BB188,BM188,BN188))</f>
        <v/>
      </c>
      <c r="BR188" s="9" t="str">
        <f aca="false">IF(BB188="","",(BP188+BQ188)/2)</f>
        <v/>
      </c>
      <c r="BS188" s="9" t="str">
        <f aca="false">IF(OR(T188="",P188="",BR188="",T188&lt;=0,BR188&lt;=0),"",(1/Inputs!$B$9)*((T188^2/8)*((2*ACOS(1-2*BR188/T188))-SIN((2*ACOS(1-2*BR188/T188)))))*((((T188^2/8)*((2*ACOS(1-2*BR188/T188))-SIN((2*ACOS(1-2*BR188/T188)))))/((T188/2)*((2*ACOS(1-2*BR188/T188)))))^(2/3))*SQRT(P188))</f>
        <v/>
      </c>
      <c r="BT188" s="9" t="str">
        <f aca="false">IF(BB188="","",IF(BS188&lt;BB188,BR188,BP188))</f>
        <v/>
      </c>
      <c r="BU188" s="9" t="str">
        <f aca="false">IF(BB188="","",IF(BS188&lt;BB188,BQ188,BR188))</f>
        <v/>
      </c>
      <c r="BV188" s="9" t="str">
        <f aca="false">IF(BB188="","",(BT188+BU188)/2)</f>
        <v/>
      </c>
      <c r="BW188" s="9" t="str">
        <f aca="false">IF(OR(T188="",P188="",BV188="",T188&lt;=0,BV188&lt;=0),"",(1/Inputs!$B$9)*((T188^2/8)*((2*ACOS(1-2*BV188/T188))-SIN((2*ACOS(1-2*BV188/T188)))))*((((T188^2/8)*((2*ACOS(1-2*BV188/T188))-SIN((2*ACOS(1-2*BV188/T188)))))/((T188/2)*((2*ACOS(1-2*BV188/T188)))))^(2/3))*SQRT(P188))</f>
        <v/>
      </c>
      <c r="BX188" s="9" t="str">
        <f aca="false">IF(BB188="","",IF(BW188&lt;BB188,BV188,BT188))</f>
        <v/>
      </c>
      <c r="BY188" s="9" t="str">
        <f aca="false">IF(BB188="","",IF(BW188&lt;BB188,BU188,BV188))</f>
        <v/>
      </c>
      <c r="BZ188" s="9" t="str">
        <f aca="false">IF(BB188="","",(BX188+BY188)/2)</f>
        <v/>
      </c>
      <c r="CA188" s="9" t="str">
        <f aca="false">IF(OR(T188="",P188="",BZ188="",T188&lt;=0,BZ188&lt;=0),"",(1/Inputs!$B$9)*((T188^2/8)*((2*ACOS(1-2*BZ188/T188))-SIN((2*ACOS(1-2*BZ188/T188)))))*((((T188^2/8)*((2*ACOS(1-2*BZ188/T188))-SIN((2*ACOS(1-2*BZ188/T188)))))/((T188/2)*((2*ACOS(1-2*BZ188/T188)))))^(2/3))*SQRT(P188))</f>
        <v/>
      </c>
      <c r="CB188" s="9" t="str">
        <f aca="false">IF(BB188="","",IF(CA188&lt;BB188,BZ188,BX188))</f>
        <v/>
      </c>
      <c r="CC188" s="9" t="str">
        <f aca="false">IF(BB188="","",IF(CA188&lt;BB188,BY188,BZ188))</f>
        <v/>
      </c>
      <c r="CD188" s="9" t="str">
        <f aca="false">IF(BB188="","",(CB188+CC188)/2)</f>
        <v/>
      </c>
      <c r="CE188" s="9" t="str">
        <f aca="false">IF(OR(T188="",P188="",CD188="",T188&lt;=0,CD188&lt;=0),"",(1/Inputs!$B$9)*((T188^2/8)*((2*ACOS(1-2*CD188/T188))-SIN((2*ACOS(1-2*CD188/T188)))))*((((T188^2/8)*((2*ACOS(1-2*CD188/T188))-SIN((2*ACOS(1-2*CD188/T188)))))/((T188/2)*((2*ACOS(1-2*CD188/T188)))))^(2/3))*SQRT(P188))</f>
        <v/>
      </c>
      <c r="CF188" s="9" t="str">
        <f aca="false">IF(BB188="","",IF(CE188&lt;BB188,CD188,CB188))</f>
        <v/>
      </c>
      <c r="CG188" s="9" t="str">
        <f aca="false">IF(BB188="","",IF(CE188&lt;BB188,CC188,CD188))</f>
        <v/>
      </c>
      <c r="CH188" s="9" t="str">
        <f aca="false">IF(BB188="","",(CF188+CG188)/2)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14"/>
      <c r="F189" s="14"/>
      <c r="G189" s="14" t="n">
        <f aca="false">SUMIFS(CB_plan!$C:$C,CB_plan!$B:$B,$A189)</f>
        <v>0</v>
      </c>
      <c r="H189" s="14" t="n">
        <f aca="false">IF(F189="",G189,F189)</f>
        <v>0</v>
      </c>
      <c r="I189" s="9"/>
      <c r="J189" s="14"/>
      <c r="K189" s="14" t="str">
        <f aca="false">IF(A189="","",Inputs!$B$13/((IF(AV189="",Inputs!$B$18,AV189)+Inputs!$B$14)^Inputs!$B$15))</f>
        <v/>
      </c>
      <c r="L189" s="14" t="str">
        <f aca="false">IF(A189="","",0.000000278*IF(I189="",Inputs!$B$17,I189)*H189*K189)</f>
        <v/>
      </c>
      <c r="M189" s="14" t="str">
        <f aca="false">IF(A189="","",SUMIFS($N$4:$N$203,$D$4:$D$203,$A189))</f>
        <v/>
      </c>
      <c r="N189" s="14" t="str">
        <f aca="false">IF(A189="","",(L189+M189)*Inputs!$B$16)</f>
        <v/>
      </c>
      <c r="O189" s="14"/>
      <c r="P189" s="14" t="str">
        <f aca="false">IF(A189="","",IF(O189="",Inputs!$B$7,O189))</f>
        <v/>
      </c>
      <c r="Q189" s="9" t="str">
        <f aca="false">IF(A189="","",IF(N189/Inputs!$B$10&lt;=AG189,Inputs!$F$5,IF(N189/Inputs!$B$10&gt;AP189,"OVERSIZE",INDEX(Inputs!$F$5:$F$14,MATCH(N189/Inputs!$B$10,AG189:AP189,1)+1))))</f>
        <v/>
      </c>
      <c r="R189" s="9"/>
      <c r="S189" s="9" t="str">
        <f aca="false">IF(A189="","",IF(R189="",Q189,R189))</f>
        <v/>
      </c>
      <c r="T189" s="14" t="str">
        <f aca="false">IF(OR(S189="",S189="OVERSIZE"),"",S189/1000)</f>
        <v/>
      </c>
      <c r="U189" s="14" t="str">
        <f aca="false">IF(T189="","",(1/Inputs!$B$9)*(PI()*T189^2/4)*((T189/4)^(2/3))*SQRT(P189))</f>
        <v/>
      </c>
      <c r="V189" s="14" t="str">
        <f aca="false">IF(OR(U189="",N189=""),"",N189/(U189*Inputs!$B$10))</f>
        <v/>
      </c>
      <c r="W189" s="14" t="str">
        <f aca="false">IF(OR(T189="",N189=""),"",4*N189/(PI()*T189^2))</f>
        <v/>
      </c>
      <c r="X189" s="14"/>
      <c r="Y189" s="14" t="str">
        <f aca="false">IF(A189="","",IF(A189=Inputs!$B$6,Inputs!$B$22,IF(D189="","",IFERROR(INDEX($Z$4:$Z$203,MATCH(D189,$A$4:$A$203,0))+IF(X189="",Inputs!$B$20,X189),""))))</f>
        <v/>
      </c>
      <c r="Z189" s="14" t="str">
        <f aca="false">IF(OR(Y189="",P189="",E189=""),"",Y189+P189*E189)</f>
        <v/>
      </c>
      <c r="AA189" s="14" t="str">
        <f aca="false">IF(C189="","",IFERROR(INDEX(Noeuds_plan!$C$4:$C$200,MATCH(C189,Noeuds_plan!$A$4:$A$200,0)),""))</f>
        <v/>
      </c>
      <c r="AB189" s="14" t="str">
        <f aca="false">IF(B189="","",IFERROR(INDEX(Noeuds_plan!$C$4:$C$200,MATCH(B189,Noeuds_plan!$A$4:$A$200,0)),""))</f>
        <v/>
      </c>
      <c r="AC189" s="14" t="str">
        <f aca="false">IF(OR(AA189="",Y189=""),"",AA189-Y189)</f>
        <v/>
      </c>
      <c r="AD189" s="14" t="str">
        <f aca="false">IF(OR(AB189="",Z189=""),"",AB189-Z189)</f>
        <v/>
      </c>
      <c r="AE189" s="19" t="str">
        <f aca="false">IF(A189="","",IF(OR(V189&gt;1,AND(AY189&lt;&gt;"",AY189&lt;Inputs!$B$11),AND(AY189&lt;&gt;"",AY189&gt;Inputs!$B$12),AC189&lt;Inputs!$B$19,AD189&lt;Inputs!$B$19,P189&lt;Inputs!$B$7,P189&gt;Inputs!$B$8),"CHECK","OK"))</f>
        <v/>
      </c>
      <c r="AF189" s="9"/>
      <c r="AG189" s="9" t="str">
        <f aca="false">IF(A189="","",(1/Inputs!$B$9)*(PI()*(Inputs!$F$5/1000)^2/4)*((Inputs!$F$5/1000/4)^(2/3))*SQRT(P189))</f>
        <v/>
      </c>
      <c r="AH189" s="9" t="str">
        <f aca="false">IF(A189="","",(1/Inputs!$B$9)*(PI()*(Inputs!$F$6/1000)^2/4)*((Inputs!$F$6/1000/4)^(2/3))*SQRT(P189))</f>
        <v/>
      </c>
      <c r="AI189" s="9" t="str">
        <f aca="false">IF(A189="","",(1/Inputs!$B$9)*(PI()*(Inputs!$F$7/1000)^2/4)*((Inputs!$F$7/1000/4)^(2/3))*SQRT(P189))</f>
        <v/>
      </c>
      <c r="AJ189" s="9" t="str">
        <f aca="false">IF(A189="","",(1/Inputs!$B$9)*(PI()*(Inputs!$F$8/1000)^2/4)*((Inputs!$F$8/1000/4)^(2/3))*SQRT(P189))</f>
        <v/>
      </c>
      <c r="AK189" s="9" t="str">
        <f aca="false">IF(A189="","",(1/Inputs!$B$9)*(PI()*(Inputs!$F$9/1000)^2/4)*((Inputs!$F$9/1000/4)^(2/3))*SQRT(P189))</f>
        <v/>
      </c>
      <c r="AL189" s="9" t="str">
        <f aca="false">IF(A189="","",(1/Inputs!$B$9)*(PI()*(Inputs!$F$10/1000)^2/4)*((Inputs!$F$10/1000/4)^(2/3))*SQRT(P189))</f>
        <v/>
      </c>
      <c r="AM189" s="9" t="str">
        <f aca="false">IF(A189="","",(1/Inputs!$B$9)*(PI()*(Inputs!$F$11/1000)^2/4)*((Inputs!$F$11/1000/4)^(2/3))*SQRT(P189))</f>
        <v/>
      </c>
      <c r="AN189" s="9" t="str">
        <f aca="false">IF(A189="","",(1/Inputs!$B$9)*(PI()*(Inputs!$F$12/1000)^2/4)*((Inputs!$F$12/1000/4)^(2/3))*SQRT(P189))</f>
        <v/>
      </c>
      <c r="AO189" s="9" t="str">
        <f aca="false">IF(A189="","",(1/Inputs!$B$9)*(PI()*(Inputs!$F$13/1000)^2/4)*((Inputs!$F$13/1000/4)^(2/3))*SQRT(P189))</f>
        <v/>
      </c>
      <c r="AP189" s="9" t="str">
        <f aca="false">IF(A189="","",(1/Inputs!$B$9)*(PI()*(Inputs!$F$14/1000)^2/4)*((Inputs!$F$14/1000/4)^(2/3))*SQRT(P189))</f>
        <v/>
      </c>
      <c r="AQ189" s="9" t="str">
        <f aca="false">IF(A189="","",COUNTIF($D$4:$D$203,$A189))</f>
        <v/>
      </c>
      <c r="AR189" s="9" t="str">
        <f aca="false">IF(A189="","",IF(AQ189=0,"START","CONTINUOUS"))</f>
        <v/>
      </c>
      <c r="AS189" s="13" t="str">
        <f aca="false">IF(A189="","",IF(J189="",Inputs!$B$18,J189))</f>
        <v/>
      </c>
      <c r="AT189" s="13" t="str">
        <f aca="false">IF(A189="","",IFERROR(maxifs($AV$4:$AV$203,$D$4:$D$203,$A189),""))</f>
        <v/>
      </c>
      <c r="AU189" s="13" t="str">
        <f aca="false">IF(A189="","",IF(OR(E189="",Inputs!$B$23=""),"",E189/(Inputs!$B$23*60)))</f>
        <v/>
      </c>
      <c r="AV189" s="13" t="str">
        <f aca="false">IF(A189="","",IF(AQ189=0,AS189+AU189,IF(AT189="",AS189+AU189,AT189+AU189)))</f>
        <v/>
      </c>
      <c r="AW189" s="13" t="str">
        <f aca="false">IF(A189="","",W189)</f>
        <v/>
      </c>
      <c r="AX189" s="13" t="str">
        <f aca="false">IF(OR(T189="",P189=""),"",(1/Inputs!$B$9)*((T189/4)^(2/3))*SQRT(P189))</f>
        <v/>
      </c>
      <c r="AY189" s="13" t="str">
        <f aca="false">IF(A189="","",IF(AND(AW189="",AX189="",BA189=""),"",IF(OR(UPPER(TRIM(Inputs!$B$24))="MANNING",UPPER(TRIM(Inputs!$B$24))="M"),AX189,IF(OR(UPPER(TRIM(Inputs!$B$24))="PARTIAL",UPPER(TRIM(Inputs!$B$24))="P"),BA189,IF(OR(UPPER(TRIM(Inputs!$B$24))="MAX",UPPER(TRIM(Inputs!$B$24))="X"),MAX(IF(AW189="",0,AW189),IF(AX189="",0,AX189),IF(BA189="",0,BA189)),AW189)))))</f>
        <v/>
      </c>
      <c r="AZ189" s="13" t="str">
        <f aca="false">IF(BB189="","",CH189)</f>
        <v/>
      </c>
      <c r="BA189" s="13" t="str">
        <f aca="false">IF(OR(BB189="",AZ189="",T189="",T189&lt;=0,AZ189&lt;=0),"",BB189/((T189^2/8)*(2*ACOS(1-2*AZ189/T189)-SIN(2*ACOS(1-2*AZ189/T189)))))</f>
        <v/>
      </c>
      <c r="BB189" s="9" t="str">
        <f aca="false">IF(OR(N189="",BC189=""),"",MIN(N189,BC189))</f>
        <v/>
      </c>
      <c r="BC189" s="9" t="str">
        <f aca="false">IF(OR(N189="",T189="",P189=""),"",IF(OR(T189="",P189="",(0.94*T189)="",T189&lt;=0,(0.94*T189)&lt;=0),"",(1/Inputs!$B$9)*((T189^2/8)*((2*ACOS(1-2*(0.94*T189)/T189))-SIN((2*ACOS(1-2*(0.94*T189)/T189)))))*((((T189^2/8)*((2*ACOS(1-2*(0.94*T189)/T189))-SIN((2*ACOS(1-2*(0.94*T189)/T189)))))/((T189/2)*((2*ACOS(1-2*(0.94*T189)/T189)))))^(2/3))*SQRT(P189)))</f>
        <v/>
      </c>
      <c r="BD189" s="9" t="str">
        <f aca="false">IF(BB189="","",0.001*T189)</f>
        <v/>
      </c>
      <c r="BE189" s="9" t="str">
        <f aca="false">IF(BB189="","",0.94*T189)</f>
        <v/>
      </c>
      <c r="BF189" s="9" t="str">
        <f aca="false">IF(BB189="","",(BD189+BE189)/2)</f>
        <v/>
      </c>
      <c r="BG189" s="9" t="str">
        <f aca="false">IF(OR(T189="",P189="",BF189="",T189&lt;=0,BF189&lt;=0),"",(1/Inputs!$B$9)*((T189^2/8)*((2*ACOS(1-2*BF189/T189))-SIN((2*ACOS(1-2*BF189/T189)))))*((((T189^2/8)*((2*ACOS(1-2*BF189/T189))-SIN((2*ACOS(1-2*BF189/T189)))))/((T189/2)*((2*ACOS(1-2*BF189/T189)))))^(2/3))*SQRT(P189))</f>
        <v/>
      </c>
      <c r="BH189" s="9" t="str">
        <f aca="false">IF(BB189="","",IF(BG189&lt;BB189,BF189,BD189))</f>
        <v/>
      </c>
      <c r="BI189" s="9" t="str">
        <f aca="false">IF(BB189="","",IF(BG189&lt;BB189,BE189,BF189))</f>
        <v/>
      </c>
      <c r="BJ189" s="9" t="str">
        <f aca="false">IF(BB189="","",(BH189+BI189)/2)</f>
        <v/>
      </c>
      <c r="BK189" s="9" t="str">
        <f aca="false">IF(OR(T189="",P189="",BJ189="",T189&lt;=0,BJ189&lt;=0),"",(1/Inputs!$B$9)*((T189^2/8)*((2*ACOS(1-2*BJ189/T189))-SIN((2*ACOS(1-2*BJ189/T189)))))*((((T189^2/8)*((2*ACOS(1-2*BJ189/T189))-SIN((2*ACOS(1-2*BJ189/T189)))))/((T189/2)*((2*ACOS(1-2*BJ189/T189)))))^(2/3))*SQRT(P189))</f>
        <v/>
      </c>
      <c r="BL189" s="9" t="str">
        <f aca="false">IF(BB189="","",IF(BK189&lt;BB189,BJ189,BH189))</f>
        <v/>
      </c>
      <c r="BM189" s="9" t="str">
        <f aca="false">IF(BB189="","",IF(BK189&lt;BB189,BI189,BJ189))</f>
        <v/>
      </c>
      <c r="BN189" s="9" t="str">
        <f aca="false">IF(BB189="","",(BL189+BM189)/2)</f>
        <v/>
      </c>
      <c r="BO189" s="9" t="str">
        <f aca="false">IF(OR(T189="",P189="",BN189="",T189&lt;=0,BN189&lt;=0),"",(1/Inputs!$B$9)*((T189^2/8)*((2*ACOS(1-2*BN189/T189))-SIN((2*ACOS(1-2*BN189/T189)))))*((((T189^2/8)*((2*ACOS(1-2*BN189/T189))-SIN((2*ACOS(1-2*BN189/T189)))))/((T189/2)*((2*ACOS(1-2*BN189/T189)))))^(2/3))*SQRT(P189))</f>
        <v/>
      </c>
      <c r="BP189" s="9" t="str">
        <f aca="false">IF(BB189="","",IF(BO189&lt;BB189,BN189,BL189))</f>
        <v/>
      </c>
      <c r="BQ189" s="9" t="str">
        <f aca="false">IF(BB189="","",IF(BO189&lt;BB189,BM189,BN189))</f>
        <v/>
      </c>
      <c r="BR189" s="9" t="str">
        <f aca="false">IF(BB189="","",(BP189+BQ189)/2)</f>
        <v/>
      </c>
      <c r="BS189" s="9" t="str">
        <f aca="false">IF(OR(T189="",P189="",BR189="",T189&lt;=0,BR189&lt;=0),"",(1/Inputs!$B$9)*((T189^2/8)*((2*ACOS(1-2*BR189/T189))-SIN((2*ACOS(1-2*BR189/T189)))))*((((T189^2/8)*((2*ACOS(1-2*BR189/T189))-SIN((2*ACOS(1-2*BR189/T189)))))/((T189/2)*((2*ACOS(1-2*BR189/T189)))))^(2/3))*SQRT(P189))</f>
        <v/>
      </c>
      <c r="BT189" s="9" t="str">
        <f aca="false">IF(BB189="","",IF(BS189&lt;BB189,BR189,BP189))</f>
        <v/>
      </c>
      <c r="BU189" s="9" t="str">
        <f aca="false">IF(BB189="","",IF(BS189&lt;BB189,BQ189,BR189))</f>
        <v/>
      </c>
      <c r="BV189" s="9" t="str">
        <f aca="false">IF(BB189="","",(BT189+BU189)/2)</f>
        <v/>
      </c>
      <c r="BW189" s="9" t="str">
        <f aca="false">IF(OR(T189="",P189="",BV189="",T189&lt;=0,BV189&lt;=0),"",(1/Inputs!$B$9)*((T189^2/8)*((2*ACOS(1-2*BV189/T189))-SIN((2*ACOS(1-2*BV189/T189)))))*((((T189^2/8)*((2*ACOS(1-2*BV189/T189))-SIN((2*ACOS(1-2*BV189/T189)))))/((T189/2)*((2*ACOS(1-2*BV189/T189)))))^(2/3))*SQRT(P189))</f>
        <v/>
      </c>
      <c r="BX189" s="9" t="str">
        <f aca="false">IF(BB189="","",IF(BW189&lt;BB189,BV189,BT189))</f>
        <v/>
      </c>
      <c r="BY189" s="9" t="str">
        <f aca="false">IF(BB189="","",IF(BW189&lt;BB189,BU189,BV189))</f>
        <v/>
      </c>
      <c r="BZ189" s="9" t="str">
        <f aca="false">IF(BB189="","",(BX189+BY189)/2)</f>
        <v/>
      </c>
      <c r="CA189" s="9" t="str">
        <f aca="false">IF(OR(T189="",P189="",BZ189="",T189&lt;=0,BZ189&lt;=0),"",(1/Inputs!$B$9)*((T189^2/8)*((2*ACOS(1-2*BZ189/T189))-SIN((2*ACOS(1-2*BZ189/T189)))))*((((T189^2/8)*((2*ACOS(1-2*BZ189/T189))-SIN((2*ACOS(1-2*BZ189/T189)))))/((T189/2)*((2*ACOS(1-2*BZ189/T189)))))^(2/3))*SQRT(P189))</f>
        <v/>
      </c>
      <c r="CB189" s="9" t="str">
        <f aca="false">IF(BB189="","",IF(CA189&lt;BB189,BZ189,BX189))</f>
        <v/>
      </c>
      <c r="CC189" s="9" t="str">
        <f aca="false">IF(BB189="","",IF(CA189&lt;BB189,BY189,BZ189))</f>
        <v/>
      </c>
      <c r="CD189" s="9" t="str">
        <f aca="false">IF(BB189="","",(CB189+CC189)/2)</f>
        <v/>
      </c>
      <c r="CE189" s="9" t="str">
        <f aca="false">IF(OR(T189="",P189="",CD189="",T189&lt;=0,CD189&lt;=0),"",(1/Inputs!$B$9)*((T189^2/8)*((2*ACOS(1-2*CD189/T189))-SIN((2*ACOS(1-2*CD189/T189)))))*((((T189^2/8)*((2*ACOS(1-2*CD189/T189))-SIN((2*ACOS(1-2*CD189/T189)))))/((T189/2)*((2*ACOS(1-2*CD189/T189)))))^(2/3))*SQRT(P189))</f>
        <v/>
      </c>
      <c r="CF189" s="9" t="str">
        <f aca="false">IF(BB189="","",IF(CE189&lt;BB189,CD189,CB189))</f>
        <v/>
      </c>
      <c r="CG189" s="9" t="str">
        <f aca="false">IF(BB189="","",IF(CE189&lt;BB189,CC189,CD189))</f>
        <v/>
      </c>
      <c r="CH189" s="9" t="str">
        <f aca="false">IF(BB189="","",(CF189+CG189)/2)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14"/>
      <c r="F190" s="14"/>
      <c r="G190" s="14" t="n">
        <f aca="false">SUMIFS(CB_plan!$C:$C,CB_plan!$B:$B,$A190)</f>
        <v>0</v>
      </c>
      <c r="H190" s="14" t="n">
        <f aca="false">IF(F190="",G190,F190)</f>
        <v>0</v>
      </c>
      <c r="I190" s="9"/>
      <c r="J190" s="14"/>
      <c r="K190" s="14" t="str">
        <f aca="false">IF(A190="","",Inputs!$B$13/((IF(AV190="",Inputs!$B$18,AV190)+Inputs!$B$14)^Inputs!$B$15))</f>
        <v/>
      </c>
      <c r="L190" s="14" t="str">
        <f aca="false">IF(A190="","",0.000000278*IF(I190="",Inputs!$B$17,I190)*H190*K190)</f>
        <v/>
      </c>
      <c r="M190" s="14" t="str">
        <f aca="false">IF(A190="","",SUMIFS($N$4:$N$203,$D$4:$D$203,$A190))</f>
        <v/>
      </c>
      <c r="N190" s="14" t="str">
        <f aca="false">IF(A190="","",(L190+M190)*Inputs!$B$16)</f>
        <v/>
      </c>
      <c r="O190" s="14"/>
      <c r="P190" s="14" t="str">
        <f aca="false">IF(A190="","",IF(O190="",Inputs!$B$7,O190))</f>
        <v/>
      </c>
      <c r="Q190" s="9" t="str">
        <f aca="false">IF(A190="","",IF(N190/Inputs!$B$10&lt;=AG190,Inputs!$F$5,IF(N190/Inputs!$B$10&gt;AP190,"OVERSIZE",INDEX(Inputs!$F$5:$F$14,MATCH(N190/Inputs!$B$10,AG190:AP190,1)+1))))</f>
        <v/>
      </c>
      <c r="R190" s="9"/>
      <c r="S190" s="9" t="str">
        <f aca="false">IF(A190="","",IF(R190="",Q190,R190))</f>
        <v/>
      </c>
      <c r="T190" s="14" t="str">
        <f aca="false">IF(OR(S190="",S190="OVERSIZE"),"",S190/1000)</f>
        <v/>
      </c>
      <c r="U190" s="14" t="str">
        <f aca="false">IF(T190="","",(1/Inputs!$B$9)*(PI()*T190^2/4)*((T190/4)^(2/3))*SQRT(P190))</f>
        <v/>
      </c>
      <c r="V190" s="14" t="str">
        <f aca="false">IF(OR(U190="",N190=""),"",N190/(U190*Inputs!$B$10))</f>
        <v/>
      </c>
      <c r="W190" s="14" t="str">
        <f aca="false">IF(OR(T190="",N190=""),"",4*N190/(PI()*T190^2))</f>
        <v/>
      </c>
      <c r="X190" s="14"/>
      <c r="Y190" s="14" t="str">
        <f aca="false">IF(A190="","",IF(A190=Inputs!$B$6,Inputs!$B$22,IF(D190="","",IFERROR(INDEX($Z$4:$Z$203,MATCH(D190,$A$4:$A$203,0))+IF(X190="",Inputs!$B$20,X190),""))))</f>
        <v/>
      </c>
      <c r="Z190" s="14" t="str">
        <f aca="false">IF(OR(Y190="",P190="",E190=""),"",Y190+P190*E190)</f>
        <v/>
      </c>
      <c r="AA190" s="14" t="str">
        <f aca="false">IF(C190="","",IFERROR(INDEX(Noeuds_plan!$C$4:$C$200,MATCH(C190,Noeuds_plan!$A$4:$A$200,0)),""))</f>
        <v/>
      </c>
      <c r="AB190" s="14" t="str">
        <f aca="false">IF(B190="","",IFERROR(INDEX(Noeuds_plan!$C$4:$C$200,MATCH(B190,Noeuds_plan!$A$4:$A$200,0)),""))</f>
        <v/>
      </c>
      <c r="AC190" s="14" t="str">
        <f aca="false">IF(OR(AA190="",Y190=""),"",AA190-Y190)</f>
        <v/>
      </c>
      <c r="AD190" s="14" t="str">
        <f aca="false">IF(OR(AB190="",Z190=""),"",AB190-Z190)</f>
        <v/>
      </c>
      <c r="AE190" s="19" t="str">
        <f aca="false">IF(A190="","",IF(OR(V190&gt;1,AND(AY190&lt;&gt;"",AY190&lt;Inputs!$B$11),AND(AY190&lt;&gt;"",AY190&gt;Inputs!$B$12),AC190&lt;Inputs!$B$19,AD190&lt;Inputs!$B$19,P190&lt;Inputs!$B$7,P190&gt;Inputs!$B$8),"CHECK","OK"))</f>
        <v/>
      </c>
      <c r="AF190" s="9"/>
      <c r="AG190" s="9" t="str">
        <f aca="false">IF(A190="","",(1/Inputs!$B$9)*(PI()*(Inputs!$F$5/1000)^2/4)*((Inputs!$F$5/1000/4)^(2/3))*SQRT(P190))</f>
        <v/>
      </c>
      <c r="AH190" s="9" t="str">
        <f aca="false">IF(A190="","",(1/Inputs!$B$9)*(PI()*(Inputs!$F$6/1000)^2/4)*((Inputs!$F$6/1000/4)^(2/3))*SQRT(P190))</f>
        <v/>
      </c>
      <c r="AI190" s="9" t="str">
        <f aca="false">IF(A190="","",(1/Inputs!$B$9)*(PI()*(Inputs!$F$7/1000)^2/4)*((Inputs!$F$7/1000/4)^(2/3))*SQRT(P190))</f>
        <v/>
      </c>
      <c r="AJ190" s="9" t="str">
        <f aca="false">IF(A190="","",(1/Inputs!$B$9)*(PI()*(Inputs!$F$8/1000)^2/4)*((Inputs!$F$8/1000/4)^(2/3))*SQRT(P190))</f>
        <v/>
      </c>
      <c r="AK190" s="9" t="str">
        <f aca="false">IF(A190="","",(1/Inputs!$B$9)*(PI()*(Inputs!$F$9/1000)^2/4)*((Inputs!$F$9/1000/4)^(2/3))*SQRT(P190))</f>
        <v/>
      </c>
      <c r="AL190" s="9" t="str">
        <f aca="false">IF(A190="","",(1/Inputs!$B$9)*(PI()*(Inputs!$F$10/1000)^2/4)*((Inputs!$F$10/1000/4)^(2/3))*SQRT(P190))</f>
        <v/>
      </c>
      <c r="AM190" s="9" t="str">
        <f aca="false">IF(A190="","",(1/Inputs!$B$9)*(PI()*(Inputs!$F$11/1000)^2/4)*((Inputs!$F$11/1000/4)^(2/3))*SQRT(P190))</f>
        <v/>
      </c>
      <c r="AN190" s="9" t="str">
        <f aca="false">IF(A190="","",(1/Inputs!$B$9)*(PI()*(Inputs!$F$12/1000)^2/4)*((Inputs!$F$12/1000/4)^(2/3))*SQRT(P190))</f>
        <v/>
      </c>
      <c r="AO190" s="9" t="str">
        <f aca="false">IF(A190="","",(1/Inputs!$B$9)*(PI()*(Inputs!$F$13/1000)^2/4)*((Inputs!$F$13/1000/4)^(2/3))*SQRT(P190))</f>
        <v/>
      </c>
      <c r="AP190" s="9" t="str">
        <f aca="false">IF(A190="","",(1/Inputs!$B$9)*(PI()*(Inputs!$F$14/1000)^2/4)*((Inputs!$F$14/1000/4)^(2/3))*SQRT(P190))</f>
        <v/>
      </c>
      <c r="AQ190" s="9" t="str">
        <f aca="false">IF(A190="","",COUNTIF($D$4:$D$203,$A190))</f>
        <v/>
      </c>
      <c r="AR190" s="9" t="str">
        <f aca="false">IF(A190="","",IF(AQ190=0,"START","CONTINUOUS"))</f>
        <v/>
      </c>
      <c r="AS190" s="13" t="str">
        <f aca="false">IF(A190="","",IF(J190="",Inputs!$B$18,J190))</f>
        <v/>
      </c>
      <c r="AT190" s="13" t="str">
        <f aca="false">IF(A190="","",IFERROR(maxifs($AV$4:$AV$203,$D$4:$D$203,$A190),""))</f>
        <v/>
      </c>
      <c r="AU190" s="13" t="str">
        <f aca="false">IF(A190="","",IF(OR(E190="",Inputs!$B$23=""),"",E190/(Inputs!$B$23*60)))</f>
        <v/>
      </c>
      <c r="AV190" s="13" t="str">
        <f aca="false">IF(A190="","",IF(AQ190=0,AS190+AU190,IF(AT190="",AS190+AU190,AT190+AU190)))</f>
        <v/>
      </c>
      <c r="AW190" s="13" t="str">
        <f aca="false">IF(A190="","",W190)</f>
        <v/>
      </c>
      <c r="AX190" s="13" t="str">
        <f aca="false">IF(OR(T190="",P190=""),"",(1/Inputs!$B$9)*((T190/4)^(2/3))*SQRT(P190))</f>
        <v/>
      </c>
      <c r="AY190" s="13" t="str">
        <f aca="false">IF(A190="","",IF(AND(AW190="",AX190="",BA190=""),"",IF(OR(UPPER(TRIM(Inputs!$B$24))="MANNING",UPPER(TRIM(Inputs!$B$24))="M"),AX190,IF(OR(UPPER(TRIM(Inputs!$B$24))="PARTIAL",UPPER(TRIM(Inputs!$B$24))="P"),BA190,IF(OR(UPPER(TRIM(Inputs!$B$24))="MAX",UPPER(TRIM(Inputs!$B$24))="X"),MAX(IF(AW190="",0,AW190),IF(AX190="",0,AX190),IF(BA190="",0,BA190)),AW190)))))</f>
        <v/>
      </c>
      <c r="AZ190" s="13" t="str">
        <f aca="false">IF(BB190="","",CH190)</f>
        <v/>
      </c>
      <c r="BA190" s="13" t="str">
        <f aca="false">IF(OR(BB190="",AZ190="",T190="",T190&lt;=0,AZ190&lt;=0),"",BB190/((T190^2/8)*(2*ACOS(1-2*AZ190/T190)-SIN(2*ACOS(1-2*AZ190/T190)))))</f>
        <v/>
      </c>
      <c r="BB190" s="9" t="str">
        <f aca="false">IF(OR(N190="",BC190=""),"",MIN(N190,BC190))</f>
        <v/>
      </c>
      <c r="BC190" s="9" t="str">
        <f aca="false">IF(OR(N190="",T190="",P190=""),"",IF(OR(T190="",P190="",(0.94*T190)="",T190&lt;=0,(0.94*T190)&lt;=0),"",(1/Inputs!$B$9)*((T190^2/8)*((2*ACOS(1-2*(0.94*T190)/T190))-SIN((2*ACOS(1-2*(0.94*T190)/T190)))))*((((T190^2/8)*((2*ACOS(1-2*(0.94*T190)/T190))-SIN((2*ACOS(1-2*(0.94*T190)/T190)))))/((T190/2)*((2*ACOS(1-2*(0.94*T190)/T190)))))^(2/3))*SQRT(P190)))</f>
        <v/>
      </c>
      <c r="BD190" s="9" t="str">
        <f aca="false">IF(BB190="","",0.001*T190)</f>
        <v/>
      </c>
      <c r="BE190" s="9" t="str">
        <f aca="false">IF(BB190="","",0.94*T190)</f>
        <v/>
      </c>
      <c r="BF190" s="9" t="str">
        <f aca="false">IF(BB190="","",(BD190+BE190)/2)</f>
        <v/>
      </c>
      <c r="BG190" s="9" t="str">
        <f aca="false">IF(OR(T190="",P190="",BF190="",T190&lt;=0,BF190&lt;=0),"",(1/Inputs!$B$9)*((T190^2/8)*((2*ACOS(1-2*BF190/T190))-SIN((2*ACOS(1-2*BF190/T190)))))*((((T190^2/8)*((2*ACOS(1-2*BF190/T190))-SIN((2*ACOS(1-2*BF190/T190)))))/((T190/2)*((2*ACOS(1-2*BF190/T190)))))^(2/3))*SQRT(P190))</f>
        <v/>
      </c>
      <c r="BH190" s="9" t="str">
        <f aca="false">IF(BB190="","",IF(BG190&lt;BB190,BF190,BD190))</f>
        <v/>
      </c>
      <c r="BI190" s="9" t="str">
        <f aca="false">IF(BB190="","",IF(BG190&lt;BB190,BE190,BF190))</f>
        <v/>
      </c>
      <c r="BJ190" s="9" t="str">
        <f aca="false">IF(BB190="","",(BH190+BI190)/2)</f>
        <v/>
      </c>
      <c r="BK190" s="9" t="str">
        <f aca="false">IF(OR(T190="",P190="",BJ190="",T190&lt;=0,BJ190&lt;=0),"",(1/Inputs!$B$9)*((T190^2/8)*((2*ACOS(1-2*BJ190/T190))-SIN((2*ACOS(1-2*BJ190/T190)))))*((((T190^2/8)*((2*ACOS(1-2*BJ190/T190))-SIN((2*ACOS(1-2*BJ190/T190)))))/((T190/2)*((2*ACOS(1-2*BJ190/T190)))))^(2/3))*SQRT(P190))</f>
        <v/>
      </c>
      <c r="BL190" s="9" t="str">
        <f aca="false">IF(BB190="","",IF(BK190&lt;BB190,BJ190,BH190))</f>
        <v/>
      </c>
      <c r="BM190" s="9" t="str">
        <f aca="false">IF(BB190="","",IF(BK190&lt;BB190,BI190,BJ190))</f>
        <v/>
      </c>
      <c r="BN190" s="9" t="str">
        <f aca="false">IF(BB190="","",(BL190+BM190)/2)</f>
        <v/>
      </c>
      <c r="BO190" s="9" t="str">
        <f aca="false">IF(OR(T190="",P190="",BN190="",T190&lt;=0,BN190&lt;=0),"",(1/Inputs!$B$9)*((T190^2/8)*((2*ACOS(1-2*BN190/T190))-SIN((2*ACOS(1-2*BN190/T190)))))*((((T190^2/8)*((2*ACOS(1-2*BN190/T190))-SIN((2*ACOS(1-2*BN190/T190)))))/((T190/2)*((2*ACOS(1-2*BN190/T190)))))^(2/3))*SQRT(P190))</f>
        <v/>
      </c>
      <c r="BP190" s="9" t="str">
        <f aca="false">IF(BB190="","",IF(BO190&lt;BB190,BN190,BL190))</f>
        <v/>
      </c>
      <c r="BQ190" s="9" t="str">
        <f aca="false">IF(BB190="","",IF(BO190&lt;BB190,BM190,BN190))</f>
        <v/>
      </c>
      <c r="BR190" s="9" t="str">
        <f aca="false">IF(BB190="","",(BP190+BQ190)/2)</f>
        <v/>
      </c>
      <c r="BS190" s="9" t="str">
        <f aca="false">IF(OR(T190="",P190="",BR190="",T190&lt;=0,BR190&lt;=0),"",(1/Inputs!$B$9)*((T190^2/8)*((2*ACOS(1-2*BR190/T190))-SIN((2*ACOS(1-2*BR190/T190)))))*((((T190^2/8)*((2*ACOS(1-2*BR190/T190))-SIN((2*ACOS(1-2*BR190/T190)))))/((T190/2)*((2*ACOS(1-2*BR190/T190)))))^(2/3))*SQRT(P190))</f>
        <v/>
      </c>
      <c r="BT190" s="9" t="str">
        <f aca="false">IF(BB190="","",IF(BS190&lt;BB190,BR190,BP190))</f>
        <v/>
      </c>
      <c r="BU190" s="9" t="str">
        <f aca="false">IF(BB190="","",IF(BS190&lt;BB190,BQ190,BR190))</f>
        <v/>
      </c>
      <c r="BV190" s="9" t="str">
        <f aca="false">IF(BB190="","",(BT190+BU190)/2)</f>
        <v/>
      </c>
      <c r="BW190" s="9" t="str">
        <f aca="false">IF(OR(T190="",P190="",BV190="",T190&lt;=0,BV190&lt;=0),"",(1/Inputs!$B$9)*((T190^2/8)*((2*ACOS(1-2*BV190/T190))-SIN((2*ACOS(1-2*BV190/T190)))))*((((T190^2/8)*((2*ACOS(1-2*BV190/T190))-SIN((2*ACOS(1-2*BV190/T190)))))/((T190/2)*((2*ACOS(1-2*BV190/T190)))))^(2/3))*SQRT(P190))</f>
        <v/>
      </c>
      <c r="BX190" s="9" t="str">
        <f aca="false">IF(BB190="","",IF(BW190&lt;BB190,BV190,BT190))</f>
        <v/>
      </c>
      <c r="BY190" s="9" t="str">
        <f aca="false">IF(BB190="","",IF(BW190&lt;BB190,BU190,BV190))</f>
        <v/>
      </c>
      <c r="BZ190" s="9" t="str">
        <f aca="false">IF(BB190="","",(BX190+BY190)/2)</f>
        <v/>
      </c>
      <c r="CA190" s="9" t="str">
        <f aca="false">IF(OR(T190="",P190="",BZ190="",T190&lt;=0,BZ190&lt;=0),"",(1/Inputs!$B$9)*((T190^2/8)*((2*ACOS(1-2*BZ190/T190))-SIN((2*ACOS(1-2*BZ190/T190)))))*((((T190^2/8)*((2*ACOS(1-2*BZ190/T190))-SIN((2*ACOS(1-2*BZ190/T190)))))/((T190/2)*((2*ACOS(1-2*BZ190/T190)))))^(2/3))*SQRT(P190))</f>
        <v/>
      </c>
      <c r="CB190" s="9" t="str">
        <f aca="false">IF(BB190="","",IF(CA190&lt;BB190,BZ190,BX190))</f>
        <v/>
      </c>
      <c r="CC190" s="9" t="str">
        <f aca="false">IF(BB190="","",IF(CA190&lt;BB190,BY190,BZ190))</f>
        <v/>
      </c>
      <c r="CD190" s="9" t="str">
        <f aca="false">IF(BB190="","",(CB190+CC190)/2)</f>
        <v/>
      </c>
      <c r="CE190" s="9" t="str">
        <f aca="false">IF(OR(T190="",P190="",CD190="",T190&lt;=0,CD190&lt;=0),"",(1/Inputs!$B$9)*((T190^2/8)*((2*ACOS(1-2*CD190/T190))-SIN((2*ACOS(1-2*CD190/T190)))))*((((T190^2/8)*((2*ACOS(1-2*CD190/T190))-SIN((2*ACOS(1-2*CD190/T190)))))/((T190/2)*((2*ACOS(1-2*CD190/T190)))))^(2/3))*SQRT(P190))</f>
        <v/>
      </c>
      <c r="CF190" s="9" t="str">
        <f aca="false">IF(BB190="","",IF(CE190&lt;BB190,CD190,CB190))</f>
        <v/>
      </c>
      <c r="CG190" s="9" t="str">
        <f aca="false">IF(BB190="","",IF(CE190&lt;BB190,CC190,CD190))</f>
        <v/>
      </c>
      <c r="CH190" s="9" t="str">
        <f aca="false">IF(BB190="","",(CF190+CG190)/2)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14"/>
      <c r="F191" s="14"/>
      <c r="G191" s="14" t="n">
        <f aca="false">SUMIFS(CB_plan!$C:$C,CB_plan!$B:$B,$A191)</f>
        <v>0</v>
      </c>
      <c r="H191" s="14" t="n">
        <f aca="false">IF(F191="",G191,F191)</f>
        <v>0</v>
      </c>
      <c r="I191" s="9"/>
      <c r="J191" s="14"/>
      <c r="K191" s="14" t="str">
        <f aca="false">IF(A191="","",Inputs!$B$13/((IF(AV191="",Inputs!$B$18,AV191)+Inputs!$B$14)^Inputs!$B$15))</f>
        <v/>
      </c>
      <c r="L191" s="14" t="str">
        <f aca="false">IF(A191="","",0.000000278*IF(I191="",Inputs!$B$17,I191)*H191*K191)</f>
        <v/>
      </c>
      <c r="M191" s="14" t="str">
        <f aca="false">IF(A191="","",SUMIFS($N$4:$N$203,$D$4:$D$203,$A191))</f>
        <v/>
      </c>
      <c r="N191" s="14" t="str">
        <f aca="false">IF(A191="","",(L191+M191)*Inputs!$B$16)</f>
        <v/>
      </c>
      <c r="O191" s="14"/>
      <c r="P191" s="14" t="str">
        <f aca="false">IF(A191="","",IF(O191="",Inputs!$B$7,O191))</f>
        <v/>
      </c>
      <c r="Q191" s="9" t="str">
        <f aca="false">IF(A191="","",IF(N191/Inputs!$B$10&lt;=AG191,Inputs!$F$5,IF(N191/Inputs!$B$10&gt;AP191,"OVERSIZE",INDEX(Inputs!$F$5:$F$14,MATCH(N191/Inputs!$B$10,AG191:AP191,1)+1))))</f>
        <v/>
      </c>
      <c r="R191" s="9"/>
      <c r="S191" s="9" t="str">
        <f aca="false">IF(A191="","",IF(R191="",Q191,R191))</f>
        <v/>
      </c>
      <c r="T191" s="14" t="str">
        <f aca="false">IF(OR(S191="",S191="OVERSIZE"),"",S191/1000)</f>
        <v/>
      </c>
      <c r="U191" s="14" t="str">
        <f aca="false">IF(T191="","",(1/Inputs!$B$9)*(PI()*T191^2/4)*((T191/4)^(2/3))*SQRT(P191))</f>
        <v/>
      </c>
      <c r="V191" s="14" t="str">
        <f aca="false">IF(OR(U191="",N191=""),"",N191/(U191*Inputs!$B$10))</f>
        <v/>
      </c>
      <c r="W191" s="14" t="str">
        <f aca="false">IF(OR(T191="",N191=""),"",4*N191/(PI()*T191^2))</f>
        <v/>
      </c>
      <c r="X191" s="14"/>
      <c r="Y191" s="14" t="str">
        <f aca="false">IF(A191="","",IF(A191=Inputs!$B$6,Inputs!$B$22,IF(D191="","",IFERROR(INDEX($Z$4:$Z$203,MATCH(D191,$A$4:$A$203,0))+IF(X191="",Inputs!$B$20,X191),""))))</f>
        <v/>
      </c>
      <c r="Z191" s="14" t="str">
        <f aca="false">IF(OR(Y191="",P191="",E191=""),"",Y191+P191*E191)</f>
        <v/>
      </c>
      <c r="AA191" s="14" t="str">
        <f aca="false">IF(C191="","",IFERROR(INDEX(Noeuds_plan!$C$4:$C$200,MATCH(C191,Noeuds_plan!$A$4:$A$200,0)),""))</f>
        <v/>
      </c>
      <c r="AB191" s="14" t="str">
        <f aca="false">IF(B191="","",IFERROR(INDEX(Noeuds_plan!$C$4:$C$200,MATCH(B191,Noeuds_plan!$A$4:$A$200,0)),""))</f>
        <v/>
      </c>
      <c r="AC191" s="14" t="str">
        <f aca="false">IF(OR(AA191="",Y191=""),"",AA191-Y191)</f>
        <v/>
      </c>
      <c r="AD191" s="14" t="str">
        <f aca="false">IF(OR(AB191="",Z191=""),"",AB191-Z191)</f>
        <v/>
      </c>
      <c r="AE191" s="19" t="str">
        <f aca="false">IF(A191="","",IF(OR(V191&gt;1,AND(AY191&lt;&gt;"",AY191&lt;Inputs!$B$11),AND(AY191&lt;&gt;"",AY191&gt;Inputs!$B$12),AC191&lt;Inputs!$B$19,AD191&lt;Inputs!$B$19,P191&lt;Inputs!$B$7,P191&gt;Inputs!$B$8),"CHECK","OK"))</f>
        <v/>
      </c>
      <c r="AF191" s="9"/>
      <c r="AG191" s="9" t="str">
        <f aca="false">IF(A191="","",(1/Inputs!$B$9)*(PI()*(Inputs!$F$5/1000)^2/4)*((Inputs!$F$5/1000/4)^(2/3))*SQRT(P191))</f>
        <v/>
      </c>
      <c r="AH191" s="9" t="str">
        <f aca="false">IF(A191="","",(1/Inputs!$B$9)*(PI()*(Inputs!$F$6/1000)^2/4)*((Inputs!$F$6/1000/4)^(2/3))*SQRT(P191))</f>
        <v/>
      </c>
      <c r="AI191" s="9" t="str">
        <f aca="false">IF(A191="","",(1/Inputs!$B$9)*(PI()*(Inputs!$F$7/1000)^2/4)*((Inputs!$F$7/1000/4)^(2/3))*SQRT(P191))</f>
        <v/>
      </c>
      <c r="AJ191" s="9" t="str">
        <f aca="false">IF(A191="","",(1/Inputs!$B$9)*(PI()*(Inputs!$F$8/1000)^2/4)*((Inputs!$F$8/1000/4)^(2/3))*SQRT(P191))</f>
        <v/>
      </c>
      <c r="AK191" s="9" t="str">
        <f aca="false">IF(A191="","",(1/Inputs!$B$9)*(PI()*(Inputs!$F$9/1000)^2/4)*((Inputs!$F$9/1000/4)^(2/3))*SQRT(P191))</f>
        <v/>
      </c>
      <c r="AL191" s="9" t="str">
        <f aca="false">IF(A191="","",(1/Inputs!$B$9)*(PI()*(Inputs!$F$10/1000)^2/4)*((Inputs!$F$10/1000/4)^(2/3))*SQRT(P191))</f>
        <v/>
      </c>
      <c r="AM191" s="9" t="str">
        <f aca="false">IF(A191="","",(1/Inputs!$B$9)*(PI()*(Inputs!$F$11/1000)^2/4)*((Inputs!$F$11/1000/4)^(2/3))*SQRT(P191))</f>
        <v/>
      </c>
      <c r="AN191" s="9" t="str">
        <f aca="false">IF(A191="","",(1/Inputs!$B$9)*(PI()*(Inputs!$F$12/1000)^2/4)*((Inputs!$F$12/1000/4)^(2/3))*SQRT(P191))</f>
        <v/>
      </c>
      <c r="AO191" s="9" t="str">
        <f aca="false">IF(A191="","",(1/Inputs!$B$9)*(PI()*(Inputs!$F$13/1000)^2/4)*((Inputs!$F$13/1000/4)^(2/3))*SQRT(P191))</f>
        <v/>
      </c>
      <c r="AP191" s="9" t="str">
        <f aca="false">IF(A191="","",(1/Inputs!$B$9)*(PI()*(Inputs!$F$14/1000)^2/4)*((Inputs!$F$14/1000/4)^(2/3))*SQRT(P191))</f>
        <v/>
      </c>
      <c r="AQ191" s="9" t="str">
        <f aca="false">IF(A191="","",COUNTIF($D$4:$D$203,$A191))</f>
        <v/>
      </c>
      <c r="AR191" s="9" t="str">
        <f aca="false">IF(A191="","",IF(AQ191=0,"START","CONTINUOUS"))</f>
        <v/>
      </c>
      <c r="AS191" s="13" t="str">
        <f aca="false">IF(A191="","",IF(J191="",Inputs!$B$18,J191))</f>
        <v/>
      </c>
      <c r="AT191" s="13" t="str">
        <f aca="false">IF(A191="","",IFERROR(maxifs($AV$4:$AV$203,$D$4:$D$203,$A191),""))</f>
        <v/>
      </c>
      <c r="AU191" s="13" t="str">
        <f aca="false">IF(A191="","",IF(OR(E191="",Inputs!$B$23=""),"",E191/(Inputs!$B$23*60)))</f>
        <v/>
      </c>
      <c r="AV191" s="13" t="str">
        <f aca="false">IF(A191="","",IF(AQ191=0,AS191+AU191,IF(AT191="",AS191+AU191,AT191+AU191)))</f>
        <v/>
      </c>
      <c r="AW191" s="13" t="str">
        <f aca="false">IF(A191="","",W191)</f>
        <v/>
      </c>
      <c r="AX191" s="13" t="str">
        <f aca="false">IF(OR(T191="",P191=""),"",(1/Inputs!$B$9)*((T191/4)^(2/3))*SQRT(P191))</f>
        <v/>
      </c>
      <c r="AY191" s="13" t="str">
        <f aca="false">IF(A191="","",IF(AND(AW191="",AX191="",BA191=""),"",IF(OR(UPPER(TRIM(Inputs!$B$24))="MANNING",UPPER(TRIM(Inputs!$B$24))="M"),AX191,IF(OR(UPPER(TRIM(Inputs!$B$24))="PARTIAL",UPPER(TRIM(Inputs!$B$24))="P"),BA191,IF(OR(UPPER(TRIM(Inputs!$B$24))="MAX",UPPER(TRIM(Inputs!$B$24))="X"),MAX(IF(AW191="",0,AW191),IF(AX191="",0,AX191),IF(BA191="",0,BA191)),AW191)))))</f>
        <v/>
      </c>
      <c r="AZ191" s="13" t="str">
        <f aca="false">IF(BB191="","",CH191)</f>
        <v/>
      </c>
      <c r="BA191" s="13" t="str">
        <f aca="false">IF(OR(BB191="",AZ191="",T191="",T191&lt;=0,AZ191&lt;=0),"",BB191/((T191^2/8)*(2*ACOS(1-2*AZ191/T191)-SIN(2*ACOS(1-2*AZ191/T191)))))</f>
        <v/>
      </c>
      <c r="BB191" s="9" t="str">
        <f aca="false">IF(OR(N191="",BC191=""),"",MIN(N191,BC191))</f>
        <v/>
      </c>
      <c r="BC191" s="9" t="str">
        <f aca="false">IF(OR(N191="",T191="",P191=""),"",IF(OR(T191="",P191="",(0.94*T191)="",T191&lt;=0,(0.94*T191)&lt;=0),"",(1/Inputs!$B$9)*((T191^2/8)*((2*ACOS(1-2*(0.94*T191)/T191))-SIN((2*ACOS(1-2*(0.94*T191)/T191)))))*((((T191^2/8)*((2*ACOS(1-2*(0.94*T191)/T191))-SIN((2*ACOS(1-2*(0.94*T191)/T191)))))/((T191/2)*((2*ACOS(1-2*(0.94*T191)/T191)))))^(2/3))*SQRT(P191)))</f>
        <v/>
      </c>
      <c r="BD191" s="9" t="str">
        <f aca="false">IF(BB191="","",0.001*T191)</f>
        <v/>
      </c>
      <c r="BE191" s="9" t="str">
        <f aca="false">IF(BB191="","",0.94*T191)</f>
        <v/>
      </c>
      <c r="BF191" s="9" t="str">
        <f aca="false">IF(BB191="","",(BD191+BE191)/2)</f>
        <v/>
      </c>
      <c r="BG191" s="9" t="str">
        <f aca="false">IF(OR(T191="",P191="",BF191="",T191&lt;=0,BF191&lt;=0),"",(1/Inputs!$B$9)*((T191^2/8)*((2*ACOS(1-2*BF191/T191))-SIN((2*ACOS(1-2*BF191/T191)))))*((((T191^2/8)*((2*ACOS(1-2*BF191/T191))-SIN((2*ACOS(1-2*BF191/T191)))))/((T191/2)*((2*ACOS(1-2*BF191/T191)))))^(2/3))*SQRT(P191))</f>
        <v/>
      </c>
      <c r="BH191" s="9" t="str">
        <f aca="false">IF(BB191="","",IF(BG191&lt;BB191,BF191,BD191))</f>
        <v/>
      </c>
      <c r="BI191" s="9" t="str">
        <f aca="false">IF(BB191="","",IF(BG191&lt;BB191,BE191,BF191))</f>
        <v/>
      </c>
      <c r="BJ191" s="9" t="str">
        <f aca="false">IF(BB191="","",(BH191+BI191)/2)</f>
        <v/>
      </c>
      <c r="BK191" s="9" t="str">
        <f aca="false">IF(OR(T191="",P191="",BJ191="",T191&lt;=0,BJ191&lt;=0),"",(1/Inputs!$B$9)*((T191^2/8)*((2*ACOS(1-2*BJ191/T191))-SIN((2*ACOS(1-2*BJ191/T191)))))*((((T191^2/8)*((2*ACOS(1-2*BJ191/T191))-SIN((2*ACOS(1-2*BJ191/T191)))))/((T191/2)*((2*ACOS(1-2*BJ191/T191)))))^(2/3))*SQRT(P191))</f>
        <v/>
      </c>
      <c r="BL191" s="9" t="str">
        <f aca="false">IF(BB191="","",IF(BK191&lt;BB191,BJ191,BH191))</f>
        <v/>
      </c>
      <c r="BM191" s="9" t="str">
        <f aca="false">IF(BB191="","",IF(BK191&lt;BB191,BI191,BJ191))</f>
        <v/>
      </c>
      <c r="BN191" s="9" t="str">
        <f aca="false">IF(BB191="","",(BL191+BM191)/2)</f>
        <v/>
      </c>
      <c r="BO191" s="9" t="str">
        <f aca="false">IF(OR(T191="",P191="",BN191="",T191&lt;=0,BN191&lt;=0),"",(1/Inputs!$B$9)*((T191^2/8)*((2*ACOS(1-2*BN191/T191))-SIN((2*ACOS(1-2*BN191/T191)))))*((((T191^2/8)*((2*ACOS(1-2*BN191/T191))-SIN((2*ACOS(1-2*BN191/T191)))))/((T191/2)*((2*ACOS(1-2*BN191/T191)))))^(2/3))*SQRT(P191))</f>
        <v/>
      </c>
      <c r="BP191" s="9" t="str">
        <f aca="false">IF(BB191="","",IF(BO191&lt;BB191,BN191,BL191))</f>
        <v/>
      </c>
      <c r="BQ191" s="9" t="str">
        <f aca="false">IF(BB191="","",IF(BO191&lt;BB191,BM191,BN191))</f>
        <v/>
      </c>
      <c r="BR191" s="9" t="str">
        <f aca="false">IF(BB191="","",(BP191+BQ191)/2)</f>
        <v/>
      </c>
      <c r="BS191" s="9" t="str">
        <f aca="false">IF(OR(T191="",P191="",BR191="",T191&lt;=0,BR191&lt;=0),"",(1/Inputs!$B$9)*((T191^2/8)*((2*ACOS(1-2*BR191/T191))-SIN((2*ACOS(1-2*BR191/T191)))))*((((T191^2/8)*((2*ACOS(1-2*BR191/T191))-SIN((2*ACOS(1-2*BR191/T191)))))/((T191/2)*((2*ACOS(1-2*BR191/T191)))))^(2/3))*SQRT(P191))</f>
        <v/>
      </c>
      <c r="BT191" s="9" t="str">
        <f aca="false">IF(BB191="","",IF(BS191&lt;BB191,BR191,BP191))</f>
        <v/>
      </c>
      <c r="BU191" s="9" t="str">
        <f aca="false">IF(BB191="","",IF(BS191&lt;BB191,BQ191,BR191))</f>
        <v/>
      </c>
      <c r="BV191" s="9" t="str">
        <f aca="false">IF(BB191="","",(BT191+BU191)/2)</f>
        <v/>
      </c>
      <c r="BW191" s="9" t="str">
        <f aca="false">IF(OR(T191="",P191="",BV191="",T191&lt;=0,BV191&lt;=0),"",(1/Inputs!$B$9)*((T191^2/8)*((2*ACOS(1-2*BV191/T191))-SIN((2*ACOS(1-2*BV191/T191)))))*((((T191^2/8)*((2*ACOS(1-2*BV191/T191))-SIN((2*ACOS(1-2*BV191/T191)))))/((T191/2)*((2*ACOS(1-2*BV191/T191)))))^(2/3))*SQRT(P191))</f>
        <v/>
      </c>
      <c r="BX191" s="9" t="str">
        <f aca="false">IF(BB191="","",IF(BW191&lt;BB191,BV191,BT191))</f>
        <v/>
      </c>
      <c r="BY191" s="9" t="str">
        <f aca="false">IF(BB191="","",IF(BW191&lt;BB191,BU191,BV191))</f>
        <v/>
      </c>
      <c r="BZ191" s="9" t="str">
        <f aca="false">IF(BB191="","",(BX191+BY191)/2)</f>
        <v/>
      </c>
      <c r="CA191" s="9" t="str">
        <f aca="false">IF(OR(T191="",P191="",BZ191="",T191&lt;=0,BZ191&lt;=0),"",(1/Inputs!$B$9)*((T191^2/8)*((2*ACOS(1-2*BZ191/T191))-SIN((2*ACOS(1-2*BZ191/T191)))))*((((T191^2/8)*((2*ACOS(1-2*BZ191/T191))-SIN((2*ACOS(1-2*BZ191/T191)))))/((T191/2)*((2*ACOS(1-2*BZ191/T191)))))^(2/3))*SQRT(P191))</f>
        <v/>
      </c>
      <c r="CB191" s="9" t="str">
        <f aca="false">IF(BB191="","",IF(CA191&lt;BB191,BZ191,BX191))</f>
        <v/>
      </c>
      <c r="CC191" s="9" t="str">
        <f aca="false">IF(BB191="","",IF(CA191&lt;BB191,BY191,BZ191))</f>
        <v/>
      </c>
      <c r="CD191" s="9" t="str">
        <f aca="false">IF(BB191="","",(CB191+CC191)/2)</f>
        <v/>
      </c>
      <c r="CE191" s="9" t="str">
        <f aca="false">IF(OR(T191="",P191="",CD191="",T191&lt;=0,CD191&lt;=0),"",(1/Inputs!$B$9)*((T191^2/8)*((2*ACOS(1-2*CD191/T191))-SIN((2*ACOS(1-2*CD191/T191)))))*((((T191^2/8)*((2*ACOS(1-2*CD191/T191))-SIN((2*ACOS(1-2*CD191/T191)))))/((T191/2)*((2*ACOS(1-2*CD191/T191)))))^(2/3))*SQRT(P191))</f>
        <v/>
      </c>
      <c r="CF191" s="9" t="str">
        <f aca="false">IF(BB191="","",IF(CE191&lt;BB191,CD191,CB191))</f>
        <v/>
      </c>
      <c r="CG191" s="9" t="str">
        <f aca="false">IF(BB191="","",IF(CE191&lt;BB191,CC191,CD191))</f>
        <v/>
      </c>
      <c r="CH191" s="9" t="str">
        <f aca="false">IF(BB191="","",(CF191+CG191)/2)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14"/>
      <c r="F192" s="14"/>
      <c r="G192" s="14" t="n">
        <f aca="false">SUMIFS(CB_plan!$C:$C,CB_plan!$B:$B,$A192)</f>
        <v>0</v>
      </c>
      <c r="H192" s="14" t="n">
        <f aca="false">IF(F192="",G192,F192)</f>
        <v>0</v>
      </c>
      <c r="I192" s="9"/>
      <c r="J192" s="14"/>
      <c r="K192" s="14" t="str">
        <f aca="false">IF(A192="","",Inputs!$B$13/((IF(AV192="",Inputs!$B$18,AV192)+Inputs!$B$14)^Inputs!$B$15))</f>
        <v/>
      </c>
      <c r="L192" s="14" t="str">
        <f aca="false">IF(A192="","",0.000000278*IF(I192="",Inputs!$B$17,I192)*H192*K192)</f>
        <v/>
      </c>
      <c r="M192" s="14" t="str">
        <f aca="false">IF(A192="","",SUMIFS($N$4:$N$203,$D$4:$D$203,$A192))</f>
        <v/>
      </c>
      <c r="N192" s="14" t="str">
        <f aca="false">IF(A192="","",(L192+M192)*Inputs!$B$16)</f>
        <v/>
      </c>
      <c r="O192" s="14"/>
      <c r="P192" s="14" t="str">
        <f aca="false">IF(A192="","",IF(O192="",Inputs!$B$7,O192))</f>
        <v/>
      </c>
      <c r="Q192" s="9" t="str">
        <f aca="false">IF(A192="","",IF(N192/Inputs!$B$10&lt;=AG192,Inputs!$F$5,IF(N192/Inputs!$B$10&gt;AP192,"OVERSIZE",INDEX(Inputs!$F$5:$F$14,MATCH(N192/Inputs!$B$10,AG192:AP192,1)+1))))</f>
        <v/>
      </c>
      <c r="R192" s="9"/>
      <c r="S192" s="9" t="str">
        <f aca="false">IF(A192="","",IF(R192="",Q192,R192))</f>
        <v/>
      </c>
      <c r="T192" s="14" t="str">
        <f aca="false">IF(OR(S192="",S192="OVERSIZE"),"",S192/1000)</f>
        <v/>
      </c>
      <c r="U192" s="14" t="str">
        <f aca="false">IF(T192="","",(1/Inputs!$B$9)*(PI()*T192^2/4)*((T192/4)^(2/3))*SQRT(P192))</f>
        <v/>
      </c>
      <c r="V192" s="14" t="str">
        <f aca="false">IF(OR(U192="",N192=""),"",N192/(U192*Inputs!$B$10))</f>
        <v/>
      </c>
      <c r="W192" s="14" t="str">
        <f aca="false">IF(OR(T192="",N192=""),"",4*N192/(PI()*T192^2))</f>
        <v/>
      </c>
      <c r="X192" s="14"/>
      <c r="Y192" s="14" t="str">
        <f aca="false">IF(A192="","",IF(A192=Inputs!$B$6,Inputs!$B$22,IF(D192="","",IFERROR(INDEX($Z$4:$Z$203,MATCH(D192,$A$4:$A$203,0))+IF(X192="",Inputs!$B$20,X192),""))))</f>
        <v/>
      </c>
      <c r="Z192" s="14" t="str">
        <f aca="false">IF(OR(Y192="",P192="",E192=""),"",Y192+P192*E192)</f>
        <v/>
      </c>
      <c r="AA192" s="14" t="str">
        <f aca="false">IF(C192="","",IFERROR(INDEX(Noeuds_plan!$C$4:$C$200,MATCH(C192,Noeuds_plan!$A$4:$A$200,0)),""))</f>
        <v/>
      </c>
      <c r="AB192" s="14" t="str">
        <f aca="false">IF(B192="","",IFERROR(INDEX(Noeuds_plan!$C$4:$C$200,MATCH(B192,Noeuds_plan!$A$4:$A$200,0)),""))</f>
        <v/>
      </c>
      <c r="AC192" s="14" t="str">
        <f aca="false">IF(OR(AA192="",Y192=""),"",AA192-Y192)</f>
        <v/>
      </c>
      <c r="AD192" s="14" t="str">
        <f aca="false">IF(OR(AB192="",Z192=""),"",AB192-Z192)</f>
        <v/>
      </c>
      <c r="AE192" s="19" t="str">
        <f aca="false">IF(A192="","",IF(OR(V192&gt;1,AND(AY192&lt;&gt;"",AY192&lt;Inputs!$B$11),AND(AY192&lt;&gt;"",AY192&gt;Inputs!$B$12),AC192&lt;Inputs!$B$19,AD192&lt;Inputs!$B$19,P192&lt;Inputs!$B$7,P192&gt;Inputs!$B$8),"CHECK","OK"))</f>
        <v/>
      </c>
      <c r="AF192" s="9"/>
      <c r="AG192" s="9" t="str">
        <f aca="false">IF(A192="","",(1/Inputs!$B$9)*(PI()*(Inputs!$F$5/1000)^2/4)*((Inputs!$F$5/1000/4)^(2/3))*SQRT(P192))</f>
        <v/>
      </c>
      <c r="AH192" s="9" t="str">
        <f aca="false">IF(A192="","",(1/Inputs!$B$9)*(PI()*(Inputs!$F$6/1000)^2/4)*((Inputs!$F$6/1000/4)^(2/3))*SQRT(P192))</f>
        <v/>
      </c>
      <c r="AI192" s="9" t="str">
        <f aca="false">IF(A192="","",(1/Inputs!$B$9)*(PI()*(Inputs!$F$7/1000)^2/4)*((Inputs!$F$7/1000/4)^(2/3))*SQRT(P192))</f>
        <v/>
      </c>
      <c r="AJ192" s="9" t="str">
        <f aca="false">IF(A192="","",(1/Inputs!$B$9)*(PI()*(Inputs!$F$8/1000)^2/4)*((Inputs!$F$8/1000/4)^(2/3))*SQRT(P192))</f>
        <v/>
      </c>
      <c r="AK192" s="9" t="str">
        <f aca="false">IF(A192="","",(1/Inputs!$B$9)*(PI()*(Inputs!$F$9/1000)^2/4)*((Inputs!$F$9/1000/4)^(2/3))*SQRT(P192))</f>
        <v/>
      </c>
      <c r="AL192" s="9" t="str">
        <f aca="false">IF(A192="","",(1/Inputs!$B$9)*(PI()*(Inputs!$F$10/1000)^2/4)*((Inputs!$F$10/1000/4)^(2/3))*SQRT(P192))</f>
        <v/>
      </c>
      <c r="AM192" s="9" t="str">
        <f aca="false">IF(A192="","",(1/Inputs!$B$9)*(PI()*(Inputs!$F$11/1000)^2/4)*((Inputs!$F$11/1000/4)^(2/3))*SQRT(P192))</f>
        <v/>
      </c>
      <c r="AN192" s="9" t="str">
        <f aca="false">IF(A192="","",(1/Inputs!$B$9)*(PI()*(Inputs!$F$12/1000)^2/4)*((Inputs!$F$12/1000/4)^(2/3))*SQRT(P192))</f>
        <v/>
      </c>
      <c r="AO192" s="9" t="str">
        <f aca="false">IF(A192="","",(1/Inputs!$B$9)*(PI()*(Inputs!$F$13/1000)^2/4)*((Inputs!$F$13/1000/4)^(2/3))*SQRT(P192))</f>
        <v/>
      </c>
      <c r="AP192" s="9" t="str">
        <f aca="false">IF(A192="","",(1/Inputs!$B$9)*(PI()*(Inputs!$F$14/1000)^2/4)*((Inputs!$F$14/1000/4)^(2/3))*SQRT(P192))</f>
        <v/>
      </c>
      <c r="AQ192" s="9" t="str">
        <f aca="false">IF(A192="","",COUNTIF($D$4:$D$203,$A192))</f>
        <v/>
      </c>
      <c r="AR192" s="9" t="str">
        <f aca="false">IF(A192="","",IF(AQ192=0,"START","CONTINUOUS"))</f>
        <v/>
      </c>
      <c r="AS192" s="13" t="str">
        <f aca="false">IF(A192="","",IF(J192="",Inputs!$B$18,J192))</f>
        <v/>
      </c>
      <c r="AT192" s="13" t="str">
        <f aca="false">IF(A192="","",IFERROR(maxifs($AV$4:$AV$203,$D$4:$D$203,$A192),""))</f>
        <v/>
      </c>
      <c r="AU192" s="13" t="str">
        <f aca="false">IF(A192="","",IF(OR(E192="",Inputs!$B$23=""),"",E192/(Inputs!$B$23*60)))</f>
        <v/>
      </c>
      <c r="AV192" s="13" t="str">
        <f aca="false">IF(A192="","",IF(AQ192=0,AS192+AU192,IF(AT192="",AS192+AU192,AT192+AU192)))</f>
        <v/>
      </c>
      <c r="AW192" s="13" t="str">
        <f aca="false">IF(A192="","",W192)</f>
        <v/>
      </c>
      <c r="AX192" s="13" t="str">
        <f aca="false">IF(OR(T192="",P192=""),"",(1/Inputs!$B$9)*((T192/4)^(2/3))*SQRT(P192))</f>
        <v/>
      </c>
      <c r="AY192" s="13" t="str">
        <f aca="false">IF(A192="","",IF(AND(AW192="",AX192="",BA192=""),"",IF(OR(UPPER(TRIM(Inputs!$B$24))="MANNING",UPPER(TRIM(Inputs!$B$24))="M"),AX192,IF(OR(UPPER(TRIM(Inputs!$B$24))="PARTIAL",UPPER(TRIM(Inputs!$B$24))="P"),BA192,IF(OR(UPPER(TRIM(Inputs!$B$24))="MAX",UPPER(TRIM(Inputs!$B$24))="X"),MAX(IF(AW192="",0,AW192),IF(AX192="",0,AX192),IF(BA192="",0,BA192)),AW192)))))</f>
        <v/>
      </c>
      <c r="AZ192" s="13" t="str">
        <f aca="false">IF(BB192="","",CH192)</f>
        <v/>
      </c>
      <c r="BA192" s="13" t="str">
        <f aca="false">IF(OR(BB192="",AZ192="",T192="",T192&lt;=0,AZ192&lt;=0),"",BB192/((T192^2/8)*(2*ACOS(1-2*AZ192/T192)-SIN(2*ACOS(1-2*AZ192/T192)))))</f>
        <v/>
      </c>
      <c r="BB192" s="9" t="str">
        <f aca="false">IF(OR(N192="",BC192=""),"",MIN(N192,BC192))</f>
        <v/>
      </c>
      <c r="BC192" s="9" t="str">
        <f aca="false">IF(OR(N192="",T192="",P192=""),"",IF(OR(T192="",P192="",(0.94*T192)="",T192&lt;=0,(0.94*T192)&lt;=0),"",(1/Inputs!$B$9)*((T192^2/8)*((2*ACOS(1-2*(0.94*T192)/T192))-SIN((2*ACOS(1-2*(0.94*T192)/T192)))))*((((T192^2/8)*((2*ACOS(1-2*(0.94*T192)/T192))-SIN((2*ACOS(1-2*(0.94*T192)/T192)))))/((T192/2)*((2*ACOS(1-2*(0.94*T192)/T192)))))^(2/3))*SQRT(P192)))</f>
        <v/>
      </c>
      <c r="BD192" s="9" t="str">
        <f aca="false">IF(BB192="","",0.001*T192)</f>
        <v/>
      </c>
      <c r="BE192" s="9" t="str">
        <f aca="false">IF(BB192="","",0.94*T192)</f>
        <v/>
      </c>
      <c r="BF192" s="9" t="str">
        <f aca="false">IF(BB192="","",(BD192+BE192)/2)</f>
        <v/>
      </c>
      <c r="BG192" s="9" t="str">
        <f aca="false">IF(OR(T192="",P192="",BF192="",T192&lt;=0,BF192&lt;=0),"",(1/Inputs!$B$9)*((T192^2/8)*((2*ACOS(1-2*BF192/T192))-SIN((2*ACOS(1-2*BF192/T192)))))*((((T192^2/8)*((2*ACOS(1-2*BF192/T192))-SIN((2*ACOS(1-2*BF192/T192)))))/((T192/2)*((2*ACOS(1-2*BF192/T192)))))^(2/3))*SQRT(P192))</f>
        <v/>
      </c>
      <c r="BH192" s="9" t="str">
        <f aca="false">IF(BB192="","",IF(BG192&lt;BB192,BF192,BD192))</f>
        <v/>
      </c>
      <c r="BI192" s="9" t="str">
        <f aca="false">IF(BB192="","",IF(BG192&lt;BB192,BE192,BF192))</f>
        <v/>
      </c>
      <c r="BJ192" s="9" t="str">
        <f aca="false">IF(BB192="","",(BH192+BI192)/2)</f>
        <v/>
      </c>
      <c r="BK192" s="9" t="str">
        <f aca="false">IF(OR(T192="",P192="",BJ192="",T192&lt;=0,BJ192&lt;=0),"",(1/Inputs!$B$9)*((T192^2/8)*((2*ACOS(1-2*BJ192/T192))-SIN((2*ACOS(1-2*BJ192/T192)))))*((((T192^2/8)*((2*ACOS(1-2*BJ192/T192))-SIN((2*ACOS(1-2*BJ192/T192)))))/((T192/2)*((2*ACOS(1-2*BJ192/T192)))))^(2/3))*SQRT(P192))</f>
        <v/>
      </c>
      <c r="BL192" s="9" t="str">
        <f aca="false">IF(BB192="","",IF(BK192&lt;BB192,BJ192,BH192))</f>
        <v/>
      </c>
      <c r="BM192" s="9" t="str">
        <f aca="false">IF(BB192="","",IF(BK192&lt;BB192,BI192,BJ192))</f>
        <v/>
      </c>
      <c r="BN192" s="9" t="str">
        <f aca="false">IF(BB192="","",(BL192+BM192)/2)</f>
        <v/>
      </c>
      <c r="BO192" s="9" t="str">
        <f aca="false">IF(OR(T192="",P192="",BN192="",T192&lt;=0,BN192&lt;=0),"",(1/Inputs!$B$9)*((T192^2/8)*((2*ACOS(1-2*BN192/T192))-SIN((2*ACOS(1-2*BN192/T192)))))*((((T192^2/8)*((2*ACOS(1-2*BN192/T192))-SIN((2*ACOS(1-2*BN192/T192)))))/((T192/2)*((2*ACOS(1-2*BN192/T192)))))^(2/3))*SQRT(P192))</f>
        <v/>
      </c>
      <c r="BP192" s="9" t="str">
        <f aca="false">IF(BB192="","",IF(BO192&lt;BB192,BN192,BL192))</f>
        <v/>
      </c>
      <c r="BQ192" s="9" t="str">
        <f aca="false">IF(BB192="","",IF(BO192&lt;BB192,BM192,BN192))</f>
        <v/>
      </c>
      <c r="BR192" s="9" t="str">
        <f aca="false">IF(BB192="","",(BP192+BQ192)/2)</f>
        <v/>
      </c>
      <c r="BS192" s="9" t="str">
        <f aca="false">IF(OR(T192="",P192="",BR192="",T192&lt;=0,BR192&lt;=0),"",(1/Inputs!$B$9)*((T192^2/8)*((2*ACOS(1-2*BR192/T192))-SIN((2*ACOS(1-2*BR192/T192)))))*((((T192^2/8)*((2*ACOS(1-2*BR192/T192))-SIN((2*ACOS(1-2*BR192/T192)))))/((T192/2)*((2*ACOS(1-2*BR192/T192)))))^(2/3))*SQRT(P192))</f>
        <v/>
      </c>
      <c r="BT192" s="9" t="str">
        <f aca="false">IF(BB192="","",IF(BS192&lt;BB192,BR192,BP192))</f>
        <v/>
      </c>
      <c r="BU192" s="9" t="str">
        <f aca="false">IF(BB192="","",IF(BS192&lt;BB192,BQ192,BR192))</f>
        <v/>
      </c>
      <c r="BV192" s="9" t="str">
        <f aca="false">IF(BB192="","",(BT192+BU192)/2)</f>
        <v/>
      </c>
      <c r="BW192" s="9" t="str">
        <f aca="false">IF(OR(T192="",P192="",BV192="",T192&lt;=0,BV192&lt;=0),"",(1/Inputs!$B$9)*((T192^2/8)*((2*ACOS(1-2*BV192/T192))-SIN((2*ACOS(1-2*BV192/T192)))))*((((T192^2/8)*((2*ACOS(1-2*BV192/T192))-SIN((2*ACOS(1-2*BV192/T192)))))/((T192/2)*((2*ACOS(1-2*BV192/T192)))))^(2/3))*SQRT(P192))</f>
        <v/>
      </c>
      <c r="BX192" s="9" t="str">
        <f aca="false">IF(BB192="","",IF(BW192&lt;BB192,BV192,BT192))</f>
        <v/>
      </c>
      <c r="BY192" s="9" t="str">
        <f aca="false">IF(BB192="","",IF(BW192&lt;BB192,BU192,BV192))</f>
        <v/>
      </c>
      <c r="BZ192" s="9" t="str">
        <f aca="false">IF(BB192="","",(BX192+BY192)/2)</f>
        <v/>
      </c>
      <c r="CA192" s="9" t="str">
        <f aca="false">IF(OR(T192="",P192="",BZ192="",T192&lt;=0,BZ192&lt;=0),"",(1/Inputs!$B$9)*((T192^2/8)*((2*ACOS(1-2*BZ192/T192))-SIN((2*ACOS(1-2*BZ192/T192)))))*((((T192^2/8)*((2*ACOS(1-2*BZ192/T192))-SIN((2*ACOS(1-2*BZ192/T192)))))/((T192/2)*((2*ACOS(1-2*BZ192/T192)))))^(2/3))*SQRT(P192))</f>
        <v/>
      </c>
      <c r="CB192" s="9" t="str">
        <f aca="false">IF(BB192="","",IF(CA192&lt;BB192,BZ192,BX192))</f>
        <v/>
      </c>
      <c r="CC192" s="9" t="str">
        <f aca="false">IF(BB192="","",IF(CA192&lt;BB192,BY192,BZ192))</f>
        <v/>
      </c>
      <c r="CD192" s="9" t="str">
        <f aca="false">IF(BB192="","",(CB192+CC192)/2)</f>
        <v/>
      </c>
      <c r="CE192" s="9" t="str">
        <f aca="false">IF(OR(T192="",P192="",CD192="",T192&lt;=0,CD192&lt;=0),"",(1/Inputs!$B$9)*((T192^2/8)*((2*ACOS(1-2*CD192/T192))-SIN((2*ACOS(1-2*CD192/T192)))))*((((T192^2/8)*((2*ACOS(1-2*CD192/T192))-SIN((2*ACOS(1-2*CD192/T192)))))/((T192/2)*((2*ACOS(1-2*CD192/T192)))))^(2/3))*SQRT(P192))</f>
        <v/>
      </c>
      <c r="CF192" s="9" t="str">
        <f aca="false">IF(BB192="","",IF(CE192&lt;BB192,CD192,CB192))</f>
        <v/>
      </c>
      <c r="CG192" s="9" t="str">
        <f aca="false">IF(BB192="","",IF(CE192&lt;BB192,CC192,CD192))</f>
        <v/>
      </c>
      <c r="CH192" s="9" t="str">
        <f aca="false">IF(BB192="","",(CF192+CG192)/2)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14"/>
      <c r="F193" s="14"/>
      <c r="G193" s="14" t="n">
        <f aca="false">SUMIFS(CB_plan!$C:$C,CB_plan!$B:$B,$A193)</f>
        <v>0</v>
      </c>
      <c r="H193" s="14" t="n">
        <f aca="false">IF(F193="",G193,F193)</f>
        <v>0</v>
      </c>
      <c r="I193" s="9"/>
      <c r="J193" s="14"/>
      <c r="K193" s="14" t="str">
        <f aca="false">IF(A193="","",Inputs!$B$13/((IF(AV193="",Inputs!$B$18,AV193)+Inputs!$B$14)^Inputs!$B$15))</f>
        <v/>
      </c>
      <c r="L193" s="14" t="str">
        <f aca="false">IF(A193="","",0.000000278*IF(I193="",Inputs!$B$17,I193)*H193*K193)</f>
        <v/>
      </c>
      <c r="M193" s="14" t="str">
        <f aca="false">IF(A193="","",SUMIFS($N$4:$N$203,$D$4:$D$203,$A193))</f>
        <v/>
      </c>
      <c r="N193" s="14" t="str">
        <f aca="false">IF(A193="","",(L193+M193)*Inputs!$B$16)</f>
        <v/>
      </c>
      <c r="O193" s="14"/>
      <c r="P193" s="14" t="str">
        <f aca="false">IF(A193="","",IF(O193="",Inputs!$B$7,O193))</f>
        <v/>
      </c>
      <c r="Q193" s="9" t="str">
        <f aca="false">IF(A193="","",IF(N193/Inputs!$B$10&lt;=AG193,Inputs!$F$5,IF(N193/Inputs!$B$10&gt;AP193,"OVERSIZE",INDEX(Inputs!$F$5:$F$14,MATCH(N193/Inputs!$B$10,AG193:AP193,1)+1))))</f>
        <v/>
      </c>
      <c r="R193" s="9"/>
      <c r="S193" s="9" t="str">
        <f aca="false">IF(A193="","",IF(R193="",Q193,R193))</f>
        <v/>
      </c>
      <c r="T193" s="14" t="str">
        <f aca="false">IF(OR(S193="",S193="OVERSIZE"),"",S193/1000)</f>
        <v/>
      </c>
      <c r="U193" s="14" t="str">
        <f aca="false">IF(T193="","",(1/Inputs!$B$9)*(PI()*T193^2/4)*((T193/4)^(2/3))*SQRT(P193))</f>
        <v/>
      </c>
      <c r="V193" s="14" t="str">
        <f aca="false">IF(OR(U193="",N193=""),"",N193/(U193*Inputs!$B$10))</f>
        <v/>
      </c>
      <c r="W193" s="14" t="str">
        <f aca="false">IF(OR(T193="",N193=""),"",4*N193/(PI()*T193^2))</f>
        <v/>
      </c>
      <c r="X193" s="14"/>
      <c r="Y193" s="14" t="str">
        <f aca="false">IF(A193="","",IF(A193=Inputs!$B$6,Inputs!$B$22,IF(D193="","",IFERROR(INDEX($Z$4:$Z$203,MATCH(D193,$A$4:$A$203,0))+IF(X193="",Inputs!$B$20,X193),""))))</f>
        <v/>
      </c>
      <c r="Z193" s="14" t="str">
        <f aca="false">IF(OR(Y193="",P193="",E193=""),"",Y193+P193*E193)</f>
        <v/>
      </c>
      <c r="AA193" s="14" t="str">
        <f aca="false">IF(C193="","",IFERROR(INDEX(Noeuds_plan!$C$4:$C$200,MATCH(C193,Noeuds_plan!$A$4:$A$200,0)),""))</f>
        <v/>
      </c>
      <c r="AB193" s="14" t="str">
        <f aca="false">IF(B193="","",IFERROR(INDEX(Noeuds_plan!$C$4:$C$200,MATCH(B193,Noeuds_plan!$A$4:$A$200,0)),""))</f>
        <v/>
      </c>
      <c r="AC193" s="14" t="str">
        <f aca="false">IF(OR(AA193="",Y193=""),"",AA193-Y193)</f>
        <v/>
      </c>
      <c r="AD193" s="14" t="str">
        <f aca="false">IF(OR(AB193="",Z193=""),"",AB193-Z193)</f>
        <v/>
      </c>
      <c r="AE193" s="19" t="str">
        <f aca="false">IF(A193="","",IF(OR(V193&gt;1,AND(AY193&lt;&gt;"",AY193&lt;Inputs!$B$11),AND(AY193&lt;&gt;"",AY193&gt;Inputs!$B$12),AC193&lt;Inputs!$B$19,AD193&lt;Inputs!$B$19,P193&lt;Inputs!$B$7,P193&gt;Inputs!$B$8),"CHECK","OK"))</f>
        <v/>
      </c>
      <c r="AF193" s="9"/>
      <c r="AG193" s="9" t="str">
        <f aca="false">IF(A193="","",(1/Inputs!$B$9)*(PI()*(Inputs!$F$5/1000)^2/4)*((Inputs!$F$5/1000/4)^(2/3))*SQRT(P193))</f>
        <v/>
      </c>
      <c r="AH193" s="9" t="str">
        <f aca="false">IF(A193="","",(1/Inputs!$B$9)*(PI()*(Inputs!$F$6/1000)^2/4)*((Inputs!$F$6/1000/4)^(2/3))*SQRT(P193))</f>
        <v/>
      </c>
      <c r="AI193" s="9" t="str">
        <f aca="false">IF(A193="","",(1/Inputs!$B$9)*(PI()*(Inputs!$F$7/1000)^2/4)*((Inputs!$F$7/1000/4)^(2/3))*SQRT(P193))</f>
        <v/>
      </c>
      <c r="AJ193" s="9" t="str">
        <f aca="false">IF(A193="","",(1/Inputs!$B$9)*(PI()*(Inputs!$F$8/1000)^2/4)*((Inputs!$F$8/1000/4)^(2/3))*SQRT(P193))</f>
        <v/>
      </c>
      <c r="AK193" s="9" t="str">
        <f aca="false">IF(A193="","",(1/Inputs!$B$9)*(PI()*(Inputs!$F$9/1000)^2/4)*((Inputs!$F$9/1000/4)^(2/3))*SQRT(P193))</f>
        <v/>
      </c>
      <c r="AL193" s="9" t="str">
        <f aca="false">IF(A193="","",(1/Inputs!$B$9)*(PI()*(Inputs!$F$10/1000)^2/4)*((Inputs!$F$10/1000/4)^(2/3))*SQRT(P193))</f>
        <v/>
      </c>
      <c r="AM193" s="9" t="str">
        <f aca="false">IF(A193="","",(1/Inputs!$B$9)*(PI()*(Inputs!$F$11/1000)^2/4)*((Inputs!$F$11/1000/4)^(2/3))*SQRT(P193))</f>
        <v/>
      </c>
      <c r="AN193" s="9" t="str">
        <f aca="false">IF(A193="","",(1/Inputs!$B$9)*(PI()*(Inputs!$F$12/1000)^2/4)*((Inputs!$F$12/1000/4)^(2/3))*SQRT(P193))</f>
        <v/>
      </c>
      <c r="AO193" s="9" t="str">
        <f aca="false">IF(A193="","",(1/Inputs!$B$9)*(PI()*(Inputs!$F$13/1000)^2/4)*((Inputs!$F$13/1000/4)^(2/3))*SQRT(P193))</f>
        <v/>
      </c>
      <c r="AP193" s="9" t="str">
        <f aca="false">IF(A193="","",(1/Inputs!$B$9)*(PI()*(Inputs!$F$14/1000)^2/4)*((Inputs!$F$14/1000/4)^(2/3))*SQRT(P193))</f>
        <v/>
      </c>
      <c r="AQ193" s="9" t="str">
        <f aca="false">IF(A193="","",COUNTIF($D$4:$D$203,$A193))</f>
        <v/>
      </c>
      <c r="AR193" s="9" t="str">
        <f aca="false">IF(A193="","",IF(AQ193=0,"START","CONTINUOUS"))</f>
        <v/>
      </c>
      <c r="AS193" s="13" t="str">
        <f aca="false">IF(A193="","",IF(J193="",Inputs!$B$18,J193))</f>
        <v/>
      </c>
      <c r="AT193" s="13" t="str">
        <f aca="false">IF(A193="","",IFERROR(maxifs($AV$4:$AV$203,$D$4:$D$203,$A193),""))</f>
        <v/>
      </c>
      <c r="AU193" s="13" t="str">
        <f aca="false">IF(A193="","",IF(OR(E193="",Inputs!$B$23=""),"",E193/(Inputs!$B$23*60)))</f>
        <v/>
      </c>
      <c r="AV193" s="13" t="str">
        <f aca="false">IF(A193="","",IF(AQ193=0,AS193+AU193,IF(AT193="",AS193+AU193,AT193+AU193)))</f>
        <v/>
      </c>
      <c r="AW193" s="13" t="str">
        <f aca="false">IF(A193="","",W193)</f>
        <v/>
      </c>
      <c r="AX193" s="13" t="str">
        <f aca="false">IF(OR(T193="",P193=""),"",(1/Inputs!$B$9)*((T193/4)^(2/3))*SQRT(P193))</f>
        <v/>
      </c>
      <c r="AY193" s="13" t="str">
        <f aca="false">IF(A193="","",IF(AND(AW193="",AX193="",BA193=""),"",IF(OR(UPPER(TRIM(Inputs!$B$24))="MANNING",UPPER(TRIM(Inputs!$B$24))="M"),AX193,IF(OR(UPPER(TRIM(Inputs!$B$24))="PARTIAL",UPPER(TRIM(Inputs!$B$24))="P"),BA193,IF(OR(UPPER(TRIM(Inputs!$B$24))="MAX",UPPER(TRIM(Inputs!$B$24))="X"),MAX(IF(AW193="",0,AW193),IF(AX193="",0,AX193),IF(BA193="",0,BA193)),AW193)))))</f>
        <v/>
      </c>
      <c r="AZ193" s="13" t="str">
        <f aca="false">IF(BB193="","",CH193)</f>
        <v/>
      </c>
      <c r="BA193" s="13" t="str">
        <f aca="false">IF(OR(BB193="",AZ193="",T193="",T193&lt;=0,AZ193&lt;=0),"",BB193/((T193^2/8)*(2*ACOS(1-2*AZ193/T193)-SIN(2*ACOS(1-2*AZ193/T193)))))</f>
        <v/>
      </c>
      <c r="BB193" s="9" t="str">
        <f aca="false">IF(OR(N193="",BC193=""),"",MIN(N193,BC193))</f>
        <v/>
      </c>
      <c r="BC193" s="9" t="str">
        <f aca="false">IF(OR(N193="",T193="",P193=""),"",IF(OR(T193="",P193="",(0.94*T193)="",T193&lt;=0,(0.94*T193)&lt;=0),"",(1/Inputs!$B$9)*((T193^2/8)*((2*ACOS(1-2*(0.94*T193)/T193))-SIN((2*ACOS(1-2*(0.94*T193)/T193)))))*((((T193^2/8)*((2*ACOS(1-2*(0.94*T193)/T193))-SIN((2*ACOS(1-2*(0.94*T193)/T193)))))/((T193/2)*((2*ACOS(1-2*(0.94*T193)/T193)))))^(2/3))*SQRT(P193)))</f>
        <v/>
      </c>
      <c r="BD193" s="9" t="str">
        <f aca="false">IF(BB193="","",0.001*T193)</f>
        <v/>
      </c>
      <c r="BE193" s="9" t="str">
        <f aca="false">IF(BB193="","",0.94*T193)</f>
        <v/>
      </c>
      <c r="BF193" s="9" t="str">
        <f aca="false">IF(BB193="","",(BD193+BE193)/2)</f>
        <v/>
      </c>
      <c r="BG193" s="9" t="str">
        <f aca="false">IF(OR(T193="",P193="",BF193="",T193&lt;=0,BF193&lt;=0),"",(1/Inputs!$B$9)*((T193^2/8)*((2*ACOS(1-2*BF193/T193))-SIN((2*ACOS(1-2*BF193/T193)))))*((((T193^2/8)*((2*ACOS(1-2*BF193/T193))-SIN((2*ACOS(1-2*BF193/T193)))))/((T193/2)*((2*ACOS(1-2*BF193/T193)))))^(2/3))*SQRT(P193))</f>
        <v/>
      </c>
      <c r="BH193" s="9" t="str">
        <f aca="false">IF(BB193="","",IF(BG193&lt;BB193,BF193,BD193))</f>
        <v/>
      </c>
      <c r="BI193" s="9" t="str">
        <f aca="false">IF(BB193="","",IF(BG193&lt;BB193,BE193,BF193))</f>
        <v/>
      </c>
      <c r="BJ193" s="9" t="str">
        <f aca="false">IF(BB193="","",(BH193+BI193)/2)</f>
        <v/>
      </c>
      <c r="BK193" s="9" t="str">
        <f aca="false">IF(OR(T193="",P193="",BJ193="",T193&lt;=0,BJ193&lt;=0),"",(1/Inputs!$B$9)*((T193^2/8)*((2*ACOS(1-2*BJ193/T193))-SIN((2*ACOS(1-2*BJ193/T193)))))*((((T193^2/8)*((2*ACOS(1-2*BJ193/T193))-SIN((2*ACOS(1-2*BJ193/T193)))))/((T193/2)*((2*ACOS(1-2*BJ193/T193)))))^(2/3))*SQRT(P193))</f>
        <v/>
      </c>
      <c r="BL193" s="9" t="str">
        <f aca="false">IF(BB193="","",IF(BK193&lt;BB193,BJ193,BH193))</f>
        <v/>
      </c>
      <c r="BM193" s="9" t="str">
        <f aca="false">IF(BB193="","",IF(BK193&lt;BB193,BI193,BJ193))</f>
        <v/>
      </c>
      <c r="BN193" s="9" t="str">
        <f aca="false">IF(BB193="","",(BL193+BM193)/2)</f>
        <v/>
      </c>
      <c r="BO193" s="9" t="str">
        <f aca="false">IF(OR(T193="",P193="",BN193="",T193&lt;=0,BN193&lt;=0),"",(1/Inputs!$B$9)*((T193^2/8)*((2*ACOS(1-2*BN193/T193))-SIN((2*ACOS(1-2*BN193/T193)))))*((((T193^2/8)*((2*ACOS(1-2*BN193/T193))-SIN((2*ACOS(1-2*BN193/T193)))))/((T193/2)*((2*ACOS(1-2*BN193/T193)))))^(2/3))*SQRT(P193))</f>
        <v/>
      </c>
      <c r="BP193" s="9" t="str">
        <f aca="false">IF(BB193="","",IF(BO193&lt;BB193,BN193,BL193))</f>
        <v/>
      </c>
      <c r="BQ193" s="9" t="str">
        <f aca="false">IF(BB193="","",IF(BO193&lt;BB193,BM193,BN193))</f>
        <v/>
      </c>
      <c r="BR193" s="9" t="str">
        <f aca="false">IF(BB193="","",(BP193+BQ193)/2)</f>
        <v/>
      </c>
      <c r="BS193" s="9" t="str">
        <f aca="false">IF(OR(T193="",P193="",BR193="",T193&lt;=0,BR193&lt;=0),"",(1/Inputs!$B$9)*((T193^2/8)*((2*ACOS(1-2*BR193/T193))-SIN((2*ACOS(1-2*BR193/T193)))))*((((T193^2/8)*((2*ACOS(1-2*BR193/T193))-SIN((2*ACOS(1-2*BR193/T193)))))/((T193/2)*((2*ACOS(1-2*BR193/T193)))))^(2/3))*SQRT(P193))</f>
        <v/>
      </c>
      <c r="BT193" s="9" t="str">
        <f aca="false">IF(BB193="","",IF(BS193&lt;BB193,BR193,BP193))</f>
        <v/>
      </c>
      <c r="BU193" s="9" t="str">
        <f aca="false">IF(BB193="","",IF(BS193&lt;BB193,BQ193,BR193))</f>
        <v/>
      </c>
      <c r="BV193" s="9" t="str">
        <f aca="false">IF(BB193="","",(BT193+BU193)/2)</f>
        <v/>
      </c>
      <c r="BW193" s="9" t="str">
        <f aca="false">IF(OR(T193="",P193="",BV193="",T193&lt;=0,BV193&lt;=0),"",(1/Inputs!$B$9)*((T193^2/8)*((2*ACOS(1-2*BV193/T193))-SIN((2*ACOS(1-2*BV193/T193)))))*((((T193^2/8)*((2*ACOS(1-2*BV193/T193))-SIN((2*ACOS(1-2*BV193/T193)))))/((T193/2)*((2*ACOS(1-2*BV193/T193)))))^(2/3))*SQRT(P193))</f>
        <v/>
      </c>
      <c r="BX193" s="9" t="str">
        <f aca="false">IF(BB193="","",IF(BW193&lt;BB193,BV193,BT193))</f>
        <v/>
      </c>
      <c r="BY193" s="9" t="str">
        <f aca="false">IF(BB193="","",IF(BW193&lt;BB193,BU193,BV193))</f>
        <v/>
      </c>
      <c r="BZ193" s="9" t="str">
        <f aca="false">IF(BB193="","",(BX193+BY193)/2)</f>
        <v/>
      </c>
      <c r="CA193" s="9" t="str">
        <f aca="false">IF(OR(T193="",P193="",BZ193="",T193&lt;=0,BZ193&lt;=0),"",(1/Inputs!$B$9)*((T193^2/8)*((2*ACOS(1-2*BZ193/T193))-SIN((2*ACOS(1-2*BZ193/T193)))))*((((T193^2/8)*((2*ACOS(1-2*BZ193/T193))-SIN((2*ACOS(1-2*BZ193/T193)))))/((T193/2)*((2*ACOS(1-2*BZ193/T193)))))^(2/3))*SQRT(P193))</f>
        <v/>
      </c>
      <c r="CB193" s="9" t="str">
        <f aca="false">IF(BB193="","",IF(CA193&lt;BB193,BZ193,BX193))</f>
        <v/>
      </c>
      <c r="CC193" s="9" t="str">
        <f aca="false">IF(BB193="","",IF(CA193&lt;BB193,BY193,BZ193))</f>
        <v/>
      </c>
      <c r="CD193" s="9" t="str">
        <f aca="false">IF(BB193="","",(CB193+CC193)/2)</f>
        <v/>
      </c>
      <c r="CE193" s="9" t="str">
        <f aca="false">IF(OR(T193="",P193="",CD193="",T193&lt;=0,CD193&lt;=0),"",(1/Inputs!$B$9)*((T193^2/8)*((2*ACOS(1-2*CD193/T193))-SIN((2*ACOS(1-2*CD193/T193)))))*((((T193^2/8)*((2*ACOS(1-2*CD193/T193))-SIN((2*ACOS(1-2*CD193/T193)))))/((T193/2)*((2*ACOS(1-2*CD193/T193)))))^(2/3))*SQRT(P193))</f>
        <v/>
      </c>
      <c r="CF193" s="9" t="str">
        <f aca="false">IF(BB193="","",IF(CE193&lt;BB193,CD193,CB193))</f>
        <v/>
      </c>
      <c r="CG193" s="9" t="str">
        <f aca="false">IF(BB193="","",IF(CE193&lt;BB193,CC193,CD193))</f>
        <v/>
      </c>
      <c r="CH193" s="9" t="str">
        <f aca="false">IF(BB193="","",(CF193+CG193)/2)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14"/>
      <c r="F194" s="14"/>
      <c r="G194" s="14" t="n">
        <f aca="false">SUMIFS(CB_plan!$C:$C,CB_plan!$B:$B,$A194)</f>
        <v>0</v>
      </c>
      <c r="H194" s="14" t="n">
        <f aca="false">IF(F194="",G194,F194)</f>
        <v>0</v>
      </c>
      <c r="I194" s="9"/>
      <c r="J194" s="14"/>
      <c r="K194" s="14" t="str">
        <f aca="false">IF(A194="","",Inputs!$B$13/((IF(AV194="",Inputs!$B$18,AV194)+Inputs!$B$14)^Inputs!$B$15))</f>
        <v/>
      </c>
      <c r="L194" s="14" t="str">
        <f aca="false">IF(A194="","",0.000000278*IF(I194="",Inputs!$B$17,I194)*H194*K194)</f>
        <v/>
      </c>
      <c r="M194" s="14" t="str">
        <f aca="false">IF(A194="","",SUMIFS($N$4:$N$203,$D$4:$D$203,$A194))</f>
        <v/>
      </c>
      <c r="N194" s="14" t="str">
        <f aca="false">IF(A194="","",(L194+M194)*Inputs!$B$16)</f>
        <v/>
      </c>
      <c r="O194" s="14"/>
      <c r="P194" s="14" t="str">
        <f aca="false">IF(A194="","",IF(O194="",Inputs!$B$7,O194))</f>
        <v/>
      </c>
      <c r="Q194" s="9" t="str">
        <f aca="false">IF(A194="","",IF(N194/Inputs!$B$10&lt;=AG194,Inputs!$F$5,IF(N194/Inputs!$B$10&gt;AP194,"OVERSIZE",INDEX(Inputs!$F$5:$F$14,MATCH(N194/Inputs!$B$10,AG194:AP194,1)+1))))</f>
        <v/>
      </c>
      <c r="R194" s="9"/>
      <c r="S194" s="9" t="str">
        <f aca="false">IF(A194="","",IF(R194="",Q194,R194))</f>
        <v/>
      </c>
      <c r="T194" s="14" t="str">
        <f aca="false">IF(OR(S194="",S194="OVERSIZE"),"",S194/1000)</f>
        <v/>
      </c>
      <c r="U194" s="14" t="str">
        <f aca="false">IF(T194="","",(1/Inputs!$B$9)*(PI()*T194^2/4)*((T194/4)^(2/3))*SQRT(P194))</f>
        <v/>
      </c>
      <c r="V194" s="14" t="str">
        <f aca="false">IF(OR(U194="",N194=""),"",N194/(U194*Inputs!$B$10))</f>
        <v/>
      </c>
      <c r="W194" s="14" t="str">
        <f aca="false">IF(OR(T194="",N194=""),"",4*N194/(PI()*T194^2))</f>
        <v/>
      </c>
      <c r="X194" s="14"/>
      <c r="Y194" s="14" t="str">
        <f aca="false">IF(A194="","",IF(A194=Inputs!$B$6,Inputs!$B$22,IF(D194="","",IFERROR(INDEX($Z$4:$Z$203,MATCH(D194,$A$4:$A$203,0))+IF(X194="",Inputs!$B$20,X194),""))))</f>
        <v/>
      </c>
      <c r="Z194" s="14" t="str">
        <f aca="false">IF(OR(Y194="",P194="",E194=""),"",Y194+P194*E194)</f>
        <v/>
      </c>
      <c r="AA194" s="14" t="str">
        <f aca="false">IF(C194="","",IFERROR(INDEX(Noeuds_plan!$C$4:$C$200,MATCH(C194,Noeuds_plan!$A$4:$A$200,0)),""))</f>
        <v/>
      </c>
      <c r="AB194" s="14" t="str">
        <f aca="false">IF(B194="","",IFERROR(INDEX(Noeuds_plan!$C$4:$C$200,MATCH(B194,Noeuds_plan!$A$4:$A$200,0)),""))</f>
        <v/>
      </c>
      <c r="AC194" s="14" t="str">
        <f aca="false">IF(OR(AA194="",Y194=""),"",AA194-Y194)</f>
        <v/>
      </c>
      <c r="AD194" s="14" t="str">
        <f aca="false">IF(OR(AB194="",Z194=""),"",AB194-Z194)</f>
        <v/>
      </c>
      <c r="AE194" s="19" t="str">
        <f aca="false">IF(A194="","",IF(OR(V194&gt;1,AND(AY194&lt;&gt;"",AY194&lt;Inputs!$B$11),AND(AY194&lt;&gt;"",AY194&gt;Inputs!$B$12),AC194&lt;Inputs!$B$19,AD194&lt;Inputs!$B$19,P194&lt;Inputs!$B$7,P194&gt;Inputs!$B$8),"CHECK","OK"))</f>
        <v/>
      </c>
      <c r="AF194" s="9"/>
      <c r="AG194" s="9" t="str">
        <f aca="false">IF(A194="","",(1/Inputs!$B$9)*(PI()*(Inputs!$F$5/1000)^2/4)*((Inputs!$F$5/1000/4)^(2/3))*SQRT(P194))</f>
        <v/>
      </c>
      <c r="AH194" s="9" t="str">
        <f aca="false">IF(A194="","",(1/Inputs!$B$9)*(PI()*(Inputs!$F$6/1000)^2/4)*((Inputs!$F$6/1000/4)^(2/3))*SQRT(P194))</f>
        <v/>
      </c>
      <c r="AI194" s="9" t="str">
        <f aca="false">IF(A194="","",(1/Inputs!$B$9)*(PI()*(Inputs!$F$7/1000)^2/4)*((Inputs!$F$7/1000/4)^(2/3))*SQRT(P194))</f>
        <v/>
      </c>
      <c r="AJ194" s="9" t="str">
        <f aca="false">IF(A194="","",(1/Inputs!$B$9)*(PI()*(Inputs!$F$8/1000)^2/4)*((Inputs!$F$8/1000/4)^(2/3))*SQRT(P194))</f>
        <v/>
      </c>
      <c r="AK194" s="9" t="str">
        <f aca="false">IF(A194="","",(1/Inputs!$B$9)*(PI()*(Inputs!$F$9/1000)^2/4)*((Inputs!$F$9/1000/4)^(2/3))*SQRT(P194))</f>
        <v/>
      </c>
      <c r="AL194" s="9" t="str">
        <f aca="false">IF(A194="","",(1/Inputs!$B$9)*(PI()*(Inputs!$F$10/1000)^2/4)*((Inputs!$F$10/1000/4)^(2/3))*SQRT(P194))</f>
        <v/>
      </c>
      <c r="AM194" s="9" t="str">
        <f aca="false">IF(A194="","",(1/Inputs!$B$9)*(PI()*(Inputs!$F$11/1000)^2/4)*((Inputs!$F$11/1000/4)^(2/3))*SQRT(P194))</f>
        <v/>
      </c>
      <c r="AN194" s="9" t="str">
        <f aca="false">IF(A194="","",(1/Inputs!$B$9)*(PI()*(Inputs!$F$12/1000)^2/4)*((Inputs!$F$12/1000/4)^(2/3))*SQRT(P194))</f>
        <v/>
      </c>
      <c r="AO194" s="9" t="str">
        <f aca="false">IF(A194="","",(1/Inputs!$B$9)*(PI()*(Inputs!$F$13/1000)^2/4)*((Inputs!$F$13/1000/4)^(2/3))*SQRT(P194))</f>
        <v/>
      </c>
      <c r="AP194" s="9" t="str">
        <f aca="false">IF(A194="","",(1/Inputs!$B$9)*(PI()*(Inputs!$F$14/1000)^2/4)*((Inputs!$F$14/1000/4)^(2/3))*SQRT(P194))</f>
        <v/>
      </c>
      <c r="AQ194" s="9" t="str">
        <f aca="false">IF(A194="","",COUNTIF($D$4:$D$203,$A194))</f>
        <v/>
      </c>
      <c r="AR194" s="9" t="str">
        <f aca="false">IF(A194="","",IF(AQ194=0,"START","CONTINUOUS"))</f>
        <v/>
      </c>
      <c r="AS194" s="13" t="str">
        <f aca="false">IF(A194="","",IF(J194="",Inputs!$B$18,J194))</f>
        <v/>
      </c>
      <c r="AT194" s="13" t="str">
        <f aca="false">IF(A194="","",IFERROR(maxifs($AV$4:$AV$203,$D$4:$D$203,$A194),""))</f>
        <v/>
      </c>
      <c r="AU194" s="13" t="str">
        <f aca="false">IF(A194="","",IF(OR(E194="",Inputs!$B$23=""),"",E194/(Inputs!$B$23*60)))</f>
        <v/>
      </c>
      <c r="AV194" s="13" t="str">
        <f aca="false">IF(A194="","",IF(AQ194=0,AS194+AU194,IF(AT194="",AS194+AU194,AT194+AU194)))</f>
        <v/>
      </c>
      <c r="AW194" s="13" t="str">
        <f aca="false">IF(A194="","",W194)</f>
        <v/>
      </c>
      <c r="AX194" s="13" t="str">
        <f aca="false">IF(OR(T194="",P194=""),"",(1/Inputs!$B$9)*((T194/4)^(2/3))*SQRT(P194))</f>
        <v/>
      </c>
      <c r="AY194" s="13" t="str">
        <f aca="false">IF(A194="","",IF(AND(AW194="",AX194="",BA194=""),"",IF(OR(UPPER(TRIM(Inputs!$B$24))="MANNING",UPPER(TRIM(Inputs!$B$24))="M"),AX194,IF(OR(UPPER(TRIM(Inputs!$B$24))="PARTIAL",UPPER(TRIM(Inputs!$B$24))="P"),BA194,IF(OR(UPPER(TRIM(Inputs!$B$24))="MAX",UPPER(TRIM(Inputs!$B$24))="X"),MAX(IF(AW194="",0,AW194),IF(AX194="",0,AX194),IF(BA194="",0,BA194)),AW194)))))</f>
        <v/>
      </c>
      <c r="AZ194" s="13" t="str">
        <f aca="false">IF(BB194="","",CH194)</f>
        <v/>
      </c>
      <c r="BA194" s="13" t="str">
        <f aca="false">IF(OR(BB194="",AZ194="",T194="",T194&lt;=0,AZ194&lt;=0),"",BB194/((T194^2/8)*(2*ACOS(1-2*AZ194/T194)-SIN(2*ACOS(1-2*AZ194/T194)))))</f>
        <v/>
      </c>
      <c r="BB194" s="9" t="str">
        <f aca="false">IF(OR(N194="",BC194=""),"",MIN(N194,BC194))</f>
        <v/>
      </c>
      <c r="BC194" s="9" t="str">
        <f aca="false">IF(OR(N194="",T194="",P194=""),"",IF(OR(T194="",P194="",(0.94*T194)="",T194&lt;=0,(0.94*T194)&lt;=0),"",(1/Inputs!$B$9)*((T194^2/8)*((2*ACOS(1-2*(0.94*T194)/T194))-SIN((2*ACOS(1-2*(0.94*T194)/T194)))))*((((T194^2/8)*((2*ACOS(1-2*(0.94*T194)/T194))-SIN((2*ACOS(1-2*(0.94*T194)/T194)))))/((T194/2)*((2*ACOS(1-2*(0.94*T194)/T194)))))^(2/3))*SQRT(P194)))</f>
        <v/>
      </c>
      <c r="BD194" s="9" t="str">
        <f aca="false">IF(BB194="","",0.001*T194)</f>
        <v/>
      </c>
      <c r="BE194" s="9" t="str">
        <f aca="false">IF(BB194="","",0.94*T194)</f>
        <v/>
      </c>
      <c r="BF194" s="9" t="str">
        <f aca="false">IF(BB194="","",(BD194+BE194)/2)</f>
        <v/>
      </c>
      <c r="BG194" s="9" t="str">
        <f aca="false">IF(OR(T194="",P194="",BF194="",T194&lt;=0,BF194&lt;=0),"",(1/Inputs!$B$9)*((T194^2/8)*((2*ACOS(1-2*BF194/T194))-SIN((2*ACOS(1-2*BF194/T194)))))*((((T194^2/8)*((2*ACOS(1-2*BF194/T194))-SIN((2*ACOS(1-2*BF194/T194)))))/((T194/2)*((2*ACOS(1-2*BF194/T194)))))^(2/3))*SQRT(P194))</f>
        <v/>
      </c>
      <c r="BH194" s="9" t="str">
        <f aca="false">IF(BB194="","",IF(BG194&lt;BB194,BF194,BD194))</f>
        <v/>
      </c>
      <c r="BI194" s="9" t="str">
        <f aca="false">IF(BB194="","",IF(BG194&lt;BB194,BE194,BF194))</f>
        <v/>
      </c>
      <c r="BJ194" s="9" t="str">
        <f aca="false">IF(BB194="","",(BH194+BI194)/2)</f>
        <v/>
      </c>
      <c r="BK194" s="9" t="str">
        <f aca="false">IF(OR(T194="",P194="",BJ194="",T194&lt;=0,BJ194&lt;=0),"",(1/Inputs!$B$9)*((T194^2/8)*((2*ACOS(1-2*BJ194/T194))-SIN((2*ACOS(1-2*BJ194/T194)))))*((((T194^2/8)*((2*ACOS(1-2*BJ194/T194))-SIN((2*ACOS(1-2*BJ194/T194)))))/((T194/2)*((2*ACOS(1-2*BJ194/T194)))))^(2/3))*SQRT(P194))</f>
        <v/>
      </c>
      <c r="BL194" s="9" t="str">
        <f aca="false">IF(BB194="","",IF(BK194&lt;BB194,BJ194,BH194))</f>
        <v/>
      </c>
      <c r="BM194" s="9" t="str">
        <f aca="false">IF(BB194="","",IF(BK194&lt;BB194,BI194,BJ194))</f>
        <v/>
      </c>
      <c r="BN194" s="9" t="str">
        <f aca="false">IF(BB194="","",(BL194+BM194)/2)</f>
        <v/>
      </c>
      <c r="BO194" s="9" t="str">
        <f aca="false">IF(OR(T194="",P194="",BN194="",T194&lt;=0,BN194&lt;=0),"",(1/Inputs!$B$9)*((T194^2/8)*((2*ACOS(1-2*BN194/T194))-SIN((2*ACOS(1-2*BN194/T194)))))*((((T194^2/8)*((2*ACOS(1-2*BN194/T194))-SIN((2*ACOS(1-2*BN194/T194)))))/((T194/2)*((2*ACOS(1-2*BN194/T194)))))^(2/3))*SQRT(P194))</f>
        <v/>
      </c>
      <c r="BP194" s="9" t="str">
        <f aca="false">IF(BB194="","",IF(BO194&lt;BB194,BN194,BL194))</f>
        <v/>
      </c>
      <c r="BQ194" s="9" t="str">
        <f aca="false">IF(BB194="","",IF(BO194&lt;BB194,BM194,BN194))</f>
        <v/>
      </c>
      <c r="BR194" s="9" t="str">
        <f aca="false">IF(BB194="","",(BP194+BQ194)/2)</f>
        <v/>
      </c>
      <c r="BS194" s="9" t="str">
        <f aca="false">IF(OR(T194="",P194="",BR194="",T194&lt;=0,BR194&lt;=0),"",(1/Inputs!$B$9)*((T194^2/8)*((2*ACOS(1-2*BR194/T194))-SIN((2*ACOS(1-2*BR194/T194)))))*((((T194^2/8)*((2*ACOS(1-2*BR194/T194))-SIN((2*ACOS(1-2*BR194/T194)))))/((T194/2)*((2*ACOS(1-2*BR194/T194)))))^(2/3))*SQRT(P194))</f>
        <v/>
      </c>
      <c r="BT194" s="9" t="str">
        <f aca="false">IF(BB194="","",IF(BS194&lt;BB194,BR194,BP194))</f>
        <v/>
      </c>
      <c r="BU194" s="9" t="str">
        <f aca="false">IF(BB194="","",IF(BS194&lt;BB194,BQ194,BR194))</f>
        <v/>
      </c>
      <c r="BV194" s="9" t="str">
        <f aca="false">IF(BB194="","",(BT194+BU194)/2)</f>
        <v/>
      </c>
      <c r="BW194" s="9" t="str">
        <f aca="false">IF(OR(T194="",P194="",BV194="",T194&lt;=0,BV194&lt;=0),"",(1/Inputs!$B$9)*((T194^2/8)*((2*ACOS(1-2*BV194/T194))-SIN((2*ACOS(1-2*BV194/T194)))))*((((T194^2/8)*((2*ACOS(1-2*BV194/T194))-SIN((2*ACOS(1-2*BV194/T194)))))/((T194/2)*((2*ACOS(1-2*BV194/T194)))))^(2/3))*SQRT(P194))</f>
        <v/>
      </c>
      <c r="BX194" s="9" t="str">
        <f aca="false">IF(BB194="","",IF(BW194&lt;BB194,BV194,BT194))</f>
        <v/>
      </c>
      <c r="BY194" s="9" t="str">
        <f aca="false">IF(BB194="","",IF(BW194&lt;BB194,BU194,BV194))</f>
        <v/>
      </c>
      <c r="BZ194" s="9" t="str">
        <f aca="false">IF(BB194="","",(BX194+BY194)/2)</f>
        <v/>
      </c>
      <c r="CA194" s="9" t="str">
        <f aca="false">IF(OR(T194="",P194="",BZ194="",T194&lt;=0,BZ194&lt;=0),"",(1/Inputs!$B$9)*((T194^2/8)*((2*ACOS(1-2*BZ194/T194))-SIN((2*ACOS(1-2*BZ194/T194)))))*((((T194^2/8)*((2*ACOS(1-2*BZ194/T194))-SIN((2*ACOS(1-2*BZ194/T194)))))/((T194/2)*((2*ACOS(1-2*BZ194/T194)))))^(2/3))*SQRT(P194))</f>
        <v/>
      </c>
      <c r="CB194" s="9" t="str">
        <f aca="false">IF(BB194="","",IF(CA194&lt;BB194,BZ194,BX194))</f>
        <v/>
      </c>
      <c r="CC194" s="9" t="str">
        <f aca="false">IF(BB194="","",IF(CA194&lt;BB194,BY194,BZ194))</f>
        <v/>
      </c>
      <c r="CD194" s="9" t="str">
        <f aca="false">IF(BB194="","",(CB194+CC194)/2)</f>
        <v/>
      </c>
      <c r="CE194" s="9" t="str">
        <f aca="false">IF(OR(T194="",P194="",CD194="",T194&lt;=0,CD194&lt;=0),"",(1/Inputs!$B$9)*((T194^2/8)*((2*ACOS(1-2*CD194/T194))-SIN((2*ACOS(1-2*CD194/T194)))))*((((T194^2/8)*((2*ACOS(1-2*CD194/T194))-SIN((2*ACOS(1-2*CD194/T194)))))/((T194/2)*((2*ACOS(1-2*CD194/T194)))))^(2/3))*SQRT(P194))</f>
        <v/>
      </c>
      <c r="CF194" s="9" t="str">
        <f aca="false">IF(BB194="","",IF(CE194&lt;BB194,CD194,CB194))</f>
        <v/>
      </c>
      <c r="CG194" s="9" t="str">
        <f aca="false">IF(BB194="","",IF(CE194&lt;BB194,CC194,CD194))</f>
        <v/>
      </c>
      <c r="CH194" s="9" t="str">
        <f aca="false">IF(BB194="","",(CF194+CG194)/2)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14"/>
      <c r="F195" s="14"/>
      <c r="G195" s="14" t="n">
        <f aca="false">SUMIFS(CB_plan!$C:$C,CB_plan!$B:$B,$A195)</f>
        <v>0</v>
      </c>
      <c r="H195" s="14" t="n">
        <f aca="false">IF(F195="",G195,F195)</f>
        <v>0</v>
      </c>
      <c r="I195" s="9"/>
      <c r="J195" s="14"/>
      <c r="K195" s="14" t="str">
        <f aca="false">IF(A195="","",Inputs!$B$13/((IF(AV195="",Inputs!$B$18,AV195)+Inputs!$B$14)^Inputs!$B$15))</f>
        <v/>
      </c>
      <c r="L195" s="14" t="str">
        <f aca="false">IF(A195="","",0.000000278*IF(I195="",Inputs!$B$17,I195)*H195*K195)</f>
        <v/>
      </c>
      <c r="M195" s="14" t="str">
        <f aca="false">IF(A195="","",SUMIFS($N$4:$N$203,$D$4:$D$203,$A195))</f>
        <v/>
      </c>
      <c r="N195" s="14" t="str">
        <f aca="false">IF(A195="","",(L195+M195)*Inputs!$B$16)</f>
        <v/>
      </c>
      <c r="O195" s="14"/>
      <c r="P195" s="14" t="str">
        <f aca="false">IF(A195="","",IF(O195="",Inputs!$B$7,O195))</f>
        <v/>
      </c>
      <c r="Q195" s="9" t="str">
        <f aca="false">IF(A195="","",IF(N195/Inputs!$B$10&lt;=AG195,Inputs!$F$5,IF(N195/Inputs!$B$10&gt;AP195,"OVERSIZE",INDEX(Inputs!$F$5:$F$14,MATCH(N195/Inputs!$B$10,AG195:AP195,1)+1))))</f>
        <v/>
      </c>
      <c r="R195" s="9"/>
      <c r="S195" s="9" t="str">
        <f aca="false">IF(A195="","",IF(R195="",Q195,R195))</f>
        <v/>
      </c>
      <c r="T195" s="14" t="str">
        <f aca="false">IF(OR(S195="",S195="OVERSIZE"),"",S195/1000)</f>
        <v/>
      </c>
      <c r="U195" s="14" t="str">
        <f aca="false">IF(T195="","",(1/Inputs!$B$9)*(PI()*T195^2/4)*((T195/4)^(2/3))*SQRT(P195))</f>
        <v/>
      </c>
      <c r="V195" s="14" t="str">
        <f aca="false">IF(OR(U195="",N195=""),"",N195/(U195*Inputs!$B$10))</f>
        <v/>
      </c>
      <c r="W195" s="14" t="str">
        <f aca="false">IF(OR(T195="",N195=""),"",4*N195/(PI()*T195^2))</f>
        <v/>
      </c>
      <c r="X195" s="14"/>
      <c r="Y195" s="14" t="str">
        <f aca="false">IF(A195="","",IF(A195=Inputs!$B$6,Inputs!$B$22,IF(D195="","",IFERROR(INDEX($Z$4:$Z$203,MATCH(D195,$A$4:$A$203,0))+IF(X195="",Inputs!$B$20,X195),""))))</f>
        <v/>
      </c>
      <c r="Z195" s="14" t="str">
        <f aca="false">IF(OR(Y195="",P195="",E195=""),"",Y195+P195*E195)</f>
        <v/>
      </c>
      <c r="AA195" s="14" t="str">
        <f aca="false">IF(C195="","",IFERROR(INDEX(Noeuds_plan!$C$4:$C$200,MATCH(C195,Noeuds_plan!$A$4:$A$200,0)),""))</f>
        <v/>
      </c>
      <c r="AB195" s="14" t="str">
        <f aca="false">IF(B195="","",IFERROR(INDEX(Noeuds_plan!$C$4:$C$200,MATCH(B195,Noeuds_plan!$A$4:$A$200,0)),""))</f>
        <v/>
      </c>
      <c r="AC195" s="14" t="str">
        <f aca="false">IF(OR(AA195="",Y195=""),"",AA195-Y195)</f>
        <v/>
      </c>
      <c r="AD195" s="14" t="str">
        <f aca="false">IF(OR(AB195="",Z195=""),"",AB195-Z195)</f>
        <v/>
      </c>
      <c r="AE195" s="19" t="str">
        <f aca="false">IF(A195="","",IF(OR(V195&gt;1,AND(AY195&lt;&gt;"",AY195&lt;Inputs!$B$11),AND(AY195&lt;&gt;"",AY195&gt;Inputs!$B$12),AC195&lt;Inputs!$B$19,AD195&lt;Inputs!$B$19,P195&lt;Inputs!$B$7,P195&gt;Inputs!$B$8),"CHECK","OK"))</f>
        <v/>
      </c>
      <c r="AF195" s="9"/>
      <c r="AG195" s="9" t="str">
        <f aca="false">IF(A195="","",(1/Inputs!$B$9)*(PI()*(Inputs!$F$5/1000)^2/4)*((Inputs!$F$5/1000/4)^(2/3))*SQRT(P195))</f>
        <v/>
      </c>
      <c r="AH195" s="9" t="str">
        <f aca="false">IF(A195="","",(1/Inputs!$B$9)*(PI()*(Inputs!$F$6/1000)^2/4)*((Inputs!$F$6/1000/4)^(2/3))*SQRT(P195))</f>
        <v/>
      </c>
      <c r="AI195" s="9" t="str">
        <f aca="false">IF(A195="","",(1/Inputs!$B$9)*(PI()*(Inputs!$F$7/1000)^2/4)*((Inputs!$F$7/1000/4)^(2/3))*SQRT(P195))</f>
        <v/>
      </c>
      <c r="AJ195" s="9" t="str">
        <f aca="false">IF(A195="","",(1/Inputs!$B$9)*(PI()*(Inputs!$F$8/1000)^2/4)*((Inputs!$F$8/1000/4)^(2/3))*SQRT(P195))</f>
        <v/>
      </c>
      <c r="AK195" s="9" t="str">
        <f aca="false">IF(A195="","",(1/Inputs!$B$9)*(PI()*(Inputs!$F$9/1000)^2/4)*((Inputs!$F$9/1000/4)^(2/3))*SQRT(P195))</f>
        <v/>
      </c>
      <c r="AL195" s="9" t="str">
        <f aca="false">IF(A195="","",(1/Inputs!$B$9)*(PI()*(Inputs!$F$10/1000)^2/4)*((Inputs!$F$10/1000/4)^(2/3))*SQRT(P195))</f>
        <v/>
      </c>
      <c r="AM195" s="9" t="str">
        <f aca="false">IF(A195="","",(1/Inputs!$B$9)*(PI()*(Inputs!$F$11/1000)^2/4)*((Inputs!$F$11/1000/4)^(2/3))*SQRT(P195))</f>
        <v/>
      </c>
      <c r="AN195" s="9" t="str">
        <f aca="false">IF(A195="","",(1/Inputs!$B$9)*(PI()*(Inputs!$F$12/1000)^2/4)*((Inputs!$F$12/1000/4)^(2/3))*SQRT(P195))</f>
        <v/>
      </c>
      <c r="AO195" s="9" t="str">
        <f aca="false">IF(A195="","",(1/Inputs!$B$9)*(PI()*(Inputs!$F$13/1000)^2/4)*((Inputs!$F$13/1000/4)^(2/3))*SQRT(P195))</f>
        <v/>
      </c>
      <c r="AP195" s="9" t="str">
        <f aca="false">IF(A195="","",(1/Inputs!$B$9)*(PI()*(Inputs!$F$14/1000)^2/4)*((Inputs!$F$14/1000/4)^(2/3))*SQRT(P195))</f>
        <v/>
      </c>
      <c r="AQ195" s="9" t="str">
        <f aca="false">IF(A195="","",COUNTIF($D$4:$D$203,$A195))</f>
        <v/>
      </c>
      <c r="AR195" s="9" t="str">
        <f aca="false">IF(A195="","",IF(AQ195=0,"START","CONTINUOUS"))</f>
        <v/>
      </c>
      <c r="AS195" s="13" t="str">
        <f aca="false">IF(A195="","",IF(J195="",Inputs!$B$18,J195))</f>
        <v/>
      </c>
      <c r="AT195" s="13" t="str">
        <f aca="false">IF(A195="","",IFERROR(maxifs($AV$4:$AV$203,$D$4:$D$203,$A195),""))</f>
        <v/>
      </c>
      <c r="AU195" s="13" t="str">
        <f aca="false">IF(A195="","",IF(OR(E195="",Inputs!$B$23=""),"",E195/(Inputs!$B$23*60)))</f>
        <v/>
      </c>
      <c r="AV195" s="13" t="str">
        <f aca="false">IF(A195="","",IF(AQ195=0,AS195+AU195,IF(AT195="",AS195+AU195,AT195+AU195)))</f>
        <v/>
      </c>
      <c r="AW195" s="13" t="str">
        <f aca="false">IF(A195="","",W195)</f>
        <v/>
      </c>
      <c r="AX195" s="13" t="str">
        <f aca="false">IF(OR(T195="",P195=""),"",(1/Inputs!$B$9)*((T195/4)^(2/3))*SQRT(P195))</f>
        <v/>
      </c>
      <c r="AY195" s="13" t="str">
        <f aca="false">IF(A195="","",IF(AND(AW195="",AX195="",BA195=""),"",IF(OR(UPPER(TRIM(Inputs!$B$24))="MANNING",UPPER(TRIM(Inputs!$B$24))="M"),AX195,IF(OR(UPPER(TRIM(Inputs!$B$24))="PARTIAL",UPPER(TRIM(Inputs!$B$24))="P"),BA195,IF(OR(UPPER(TRIM(Inputs!$B$24))="MAX",UPPER(TRIM(Inputs!$B$24))="X"),MAX(IF(AW195="",0,AW195),IF(AX195="",0,AX195),IF(BA195="",0,BA195)),AW195)))))</f>
        <v/>
      </c>
      <c r="AZ195" s="13" t="str">
        <f aca="false">IF(BB195="","",CH195)</f>
        <v/>
      </c>
      <c r="BA195" s="13" t="str">
        <f aca="false">IF(OR(BB195="",AZ195="",T195="",T195&lt;=0,AZ195&lt;=0),"",BB195/((T195^2/8)*(2*ACOS(1-2*AZ195/T195)-SIN(2*ACOS(1-2*AZ195/T195)))))</f>
        <v/>
      </c>
      <c r="BB195" s="9" t="str">
        <f aca="false">IF(OR(N195="",BC195=""),"",MIN(N195,BC195))</f>
        <v/>
      </c>
      <c r="BC195" s="9" t="str">
        <f aca="false">IF(OR(N195="",T195="",P195=""),"",IF(OR(T195="",P195="",(0.94*T195)="",T195&lt;=0,(0.94*T195)&lt;=0),"",(1/Inputs!$B$9)*((T195^2/8)*((2*ACOS(1-2*(0.94*T195)/T195))-SIN((2*ACOS(1-2*(0.94*T195)/T195)))))*((((T195^2/8)*((2*ACOS(1-2*(0.94*T195)/T195))-SIN((2*ACOS(1-2*(0.94*T195)/T195)))))/((T195/2)*((2*ACOS(1-2*(0.94*T195)/T195)))))^(2/3))*SQRT(P195)))</f>
        <v/>
      </c>
      <c r="BD195" s="9" t="str">
        <f aca="false">IF(BB195="","",0.001*T195)</f>
        <v/>
      </c>
      <c r="BE195" s="9" t="str">
        <f aca="false">IF(BB195="","",0.94*T195)</f>
        <v/>
      </c>
      <c r="BF195" s="9" t="str">
        <f aca="false">IF(BB195="","",(BD195+BE195)/2)</f>
        <v/>
      </c>
      <c r="BG195" s="9" t="str">
        <f aca="false">IF(OR(T195="",P195="",BF195="",T195&lt;=0,BF195&lt;=0),"",(1/Inputs!$B$9)*((T195^2/8)*((2*ACOS(1-2*BF195/T195))-SIN((2*ACOS(1-2*BF195/T195)))))*((((T195^2/8)*((2*ACOS(1-2*BF195/T195))-SIN((2*ACOS(1-2*BF195/T195)))))/((T195/2)*((2*ACOS(1-2*BF195/T195)))))^(2/3))*SQRT(P195))</f>
        <v/>
      </c>
      <c r="BH195" s="9" t="str">
        <f aca="false">IF(BB195="","",IF(BG195&lt;BB195,BF195,BD195))</f>
        <v/>
      </c>
      <c r="BI195" s="9" t="str">
        <f aca="false">IF(BB195="","",IF(BG195&lt;BB195,BE195,BF195))</f>
        <v/>
      </c>
      <c r="BJ195" s="9" t="str">
        <f aca="false">IF(BB195="","",(BH195+BI195)/2)</f>
        <v/>
      </c>
      <c r="BK195" s="9" t="str">
        <f aca="false">IF(OR(T195="",P195="",BJ195="",T195&lt;=0,BJ195&lt;=0),"",(1/Inputs!$B$9)*((T195^2/8)*((2*ACOS(1-2*BJ195/T195))-SIN((2*ACOS(1-2*BJ195/T195)))))*((((T195^2/8)*((2*ACOS(1-2*BJ195/T195))-SIN((2*ACOS(1-2*BJ195/T195)))))/((T195/2)*((2*ACOS(1-2*BJ195/T195)))))^(2/3))*SQRT(P195))</f>
        <v/>
      </c>
      <c r="BL195" s="9" t="str">
        <f aca="false">IF(BB195="","",IF(BK195&lt;BB195,BJ195,BH195))</f>
        <v/>
      </c>
      <c r="BM195" s="9" t="str">
        <f aca="false">IF(BB195="","",IF(BK195&lt;BB195,BI195,BJ195))</f>
        <v/>
      </c>
      <c r="BN195" s="9" t="str">
        <f aca="false">IF(BB195="","",(BL195+BM195)/2)</f>
        <v/>
      </c>
      <c r="BO195" s="9" t="str">
        <f aca="false">IF(OR(T195="",P195="",BN195="",T195&lt;=0,BN195&lt;=0),"",(1/Inputs!$B$9)*((T195^2/8)*((2*ACOS(1-2*BN195/T195))-SIN((2*ACOS(1-2*BN195/T195)))))*((((T195^2/8)*((2*ACOS(1-2*BN195/T195))-SIN((2*ACOS(1-2*BN195/T195)))))/((T195/2)*((2*ACOS(1-2*BN195/T195)))))^(2/3))*SQRT(P195))</f>
        <v/>
      </c>
      <c r="BP195" s="9" t="str">
        <f aca="false">IF(BB195="","",IF(BO195&lt;BB195,BN195,BL195))</f>
        <v/>
      </c>
      <c r="BQ195" s="9" t="str">
        <f aca="false">IF(BB195="","",IF(BO195&lt;BB195,BM195,BN195))</f>
        <v/>
      </c>
      <c r="BR195" s="9" t="str">
        <f aca="false">IF(BB195="","",(BP195+BQ195)/2)</f>
        <v/>
      </c>
      <c r="BS195" s="9" t="str">
        <f aca="false">IF(OR(T195="",P195="",BR195="",T195&lt;=0,BR195&lt;=0),"",(1/Inputs!$B$9)*((T195^2/8)*((2*ACOS(1-2*BR195/T195))-SIN((2*ACOS(1-2*BR195/T195)))))*((((T195^2/8)*((2*ACOS(1-2*BR195/T195))-SIN((2*ACOS(1-2*BR195/T195)))))/((T195/2)*((2*ACOS(1-2*BR195/T195)))))^(2/3))*SQRT(P195))</f>
        <v/>
      </c>
      <c r="BT195" s="9" t="str">
        <f aca="false">IF(BB195="","",IF(BS195&lt;BB195,BR195,BP195))</f>
        <v/>
      </c>
      <c r="BU195" s="9" t="str">
        <f aca="false">IF(BB195="","",IF(BS195&lt;BB195,BQ195,BR195))</f>
        <v/>
      </c>
      <c r="BV195" s="9" t="str">
        <f aca="false">IF(BB195="","",(BT195+BU195)/2)</f>
        <v/>
      </c>
      <c r="BW195" s="9" t="str">
        <f aca="false">IF(OR(T195="",P195="",BV195="",T195&lt;=0,BV195&lt;=0),"",(1/Inputs!$B$9)*((T195^2/8)*((2*ACOS(1-2*BV195/T195))-SIN((2*ACOS(1-2*BV195/T195)))))*((((T195^2/8)*((2*ACOS(1-2*BV195/T195))-SIN((2*ACOS(1-2*BV195/T195)))))/((T195/2)*((2*ACOS(1-2*BV195/T195)))))^(2/3))*SQRT(P195))</f>
        <v/>
      </c>
      <c r="BX195" s="9" t="str">
        <f aca="false">IF(BB195="","",IF(BW195&lt;BB195,BV195,BT195))</f>
        <v/>
      </c>
      <c r="BY195" s="9" t="str">
        <f aca="false">IF(BB195="","",IF(BW195&lt;BB195,BU195,BV195))</f>
        <v/>
      </c>
      <c r="BZ195" s="9" t="str">
        <f aca="false">IF(BB195="","",(BX195+BY195)/2)</f>
        <v/>
      </c>
      <c r="CA195" s="9" t="str">
        <f aca="false">IF(OR(T195="",P195="",BZ195="",T195&lt;=0,BZ195&lt;=0),"",(1/Inputs!$B$9)*((T195^2/8)*((2*ACOS(1-2*BZ195/T195))-SIN((2*ACOS(1-2*BZ195/T195)))))*((((T195^2/8)*((2*ACOS(1-2*BZ195/T195))-SIN((2*ACOS(1-2*BZ195/T195)))))/((T195/2)*((2*ACOS(1-2*BZ195/T195)))))^(2/3))*SQRT(P195))</f>
        <v/>
      </c>
      <c r="CB195" s="9" t="str">
        <f aca="false">IF(BB195="","",IF(CA195&lt;BB195,BZ195,BX195))</f>
        <v/>
      </c>
      <c r="CC195" s="9" t="str">
        <f aca="false">IF(BB195="","",IF(CA195&lt;BB195,BY195,BZ195))</f>
        <v/>
      </c>
      <c r="CD195" s="9" t="str">
        <f aca="false">IF(BB195="","",(CB195+CC195)/2)</f>
        <v/>
      </c>
      <c r="CE195" s="9" t="str">
        <f aca="false">IF(OR(T195="",P195="",CD195="",T195&lt;=0,CD195&lt;=0),"",(1/Inputs!$B$9)*((T195^2/8)*((2*ACOS(1-2*CD195/T195))-SIN((2*ACOS(1-2*CD195/T195)))))*((((T195^2/8)*((2*ACOS(1-2*CD195/T195))-SIN((2*ACOS(1-2*CD195/T195)))))/((T195/2)*((2*ACOS(1-2*CD195/T195)))))^(2/3))*SQRT(P195))</f>
        <v/>
      </c>
      <c r="CF195" s="9" t="str">
        <f aca="false">IF(BB195="","",IF(CE195&lt;BB195,CD195,CB195))</f>
        <v/>
      </c>
      <c r="CG195" s="9" t="str">
        <f aca="false">IF(BB195="","",IF(CE195&lt;BB195,CC195,CD195))</f>
        <v/>
      </c>
      <c r="CH195" s="9" t="str">
        <f aca="false">IF(BB195="","",(CF195+CG195)/2)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14"/>
      <c r="F196" s="14"/>
      <c r="G196" s="14" t="n">
        <f aca="false">SUMIFS(CB_plan!$C:$C,CB_plan!$B:$B,$A196)</f>
        <v>0</v>
      </c>
      <c r="H196" s="14" t="n">
        <f aca="false">IF(F196="",G196,F196)</f>
        <v>0</v>
      </c>
      <c r="I196" s="9"/>
      <c r="J196" s="14"/>
      <c r="K196" s="14" t="str">
        <f aca="false">IF(A196="","",Inputs!$B$13/((IF(AV196="",Inputs!$B$18,AV196)+Inputs!$B$14)^Inputs!$B$15))</f>
        <v/>
      </c>
      <c r="L196" s="14" t="str">
        <f aca="false">IF(A196="","",0.000000278*IF(I196="",Inputs!$B$17,I196)*H196*K196)</f>
        <v/>
      </c>
      <c r="M196" s="14" t="str">
        <f aca="false">IF(A196="","",SUMIFS($N$4:$N$203,$D$4:$D$203,$A196))</f>
        <v/>
      </c>
      <c r="N196" s="14" t="str">
        <f aca="false">IF(A196="","",(L196+M196)*Inputs!$B$16)</f>
        <v/>
      </c>
      <c r="O196" s="14"/>
      <c r="P196" s="14" t="str">
        <f aca="false">IF(A196="","",IF(O196="",Inputs!$B$7,O196))</f>
        <v/>
      </c>
      <c r="Q196" s="9" t="str">
        <f aca="false">IF(A196="","",IF(N196/Inputs!$B$10&lt;=AG196,Inputs!$F$5,IF(N196/Inputs!$B$10&gt;AP196,"OVERSIZE",INDEX(Inputs!$F$5:$F$14,MATCH(N196/Inputs!$B$10,AG196:AP196,1)+1))))</f>
        <v/>
      </c>
      <c r="R196" s="9"/>
      <c r="S196" s="9" t="str">
        <f aca="false">IF(A196="","",IF(R196="",Q196,R196))</f>
        <v/>
      </c>
      <c r="T196" s="14" t="str">
        <f aca="false">IF(OR(S196="",S196="OVERSIZE"),"",S196/1000)</f>
        <v/>
      </c>
      <c r="U196" s="14" t="str">
        <f aca="false">IF(T196="","",(1/Inputs!$B$9)*(PI()*T196^2/4)*((T196/4)^(2/3))*SQRT(P196))</f>
        <v/>
      </c>
      <c r="V196" s="14" t="str">
        <f aca="false">IF(OR(U196="",N196=""),"",N196/(U196*Inputs!$B$10))</f>
        <v/>
      </c>
      <c r="W196" s="14" t="str">
        <f aca="false">IF(OR(T196="",N196=""),"",4*N196/(PI()*T196^2))</f>
        <v/>
      </c>
      <c r="X196" s="14"/>
      <c r="Y196" s="14" t="str">
        <f aca="false">IF(A196="","",IF(A196=Inputs!$B$6,Inputs!$B$22,IF(D196="","",IFERROR(INDEX($Z$4:$Z$203,MATCH(D196,$A$4:$A$203,0))+IF(X196="",Inputs!$B$20,X196),""))))</f>
        <v/>
      </c>
      <c r="Z196" s="14" t="str">
        <f aca="false">IF(OR(Y196="",P196="",E196=""),"",Y196+P196*E196)</f>
        <v/>
      </c>
      <c r="AA196" s="14" t="str">
        <f aca="false">IF(C196="","",IFERROR(INDEX(Noeuds_plan!$C$4:$C$200,MATCH(C196,Noeuds_plan!$A$4:$A$200,0)),""))</f>
        <v/>
      </c>
      <c r="AB196" s="14" t="str">
        <f aca="false">IF(B196="","",IFERROR(INDEX(Noeuds_plan!$C$4:$C$200,MATCH(B196,Noeuds_plan!$A$4:$A$200,0)),""))</f>
        <v/>
      </c>
      <c r="AC196" s="14" t="str">
        <f aca="false">IF(OR(AA196="",Y196=""),"",AA196-Y196)</f>
        <v/>
      </c>
      <c r="AD196" s="14" t="str">
        <f aca="false">IF(OR(AB196="",Z196=""),"",AB196-Z196)</f>
        <v/>
      </c>
      <c r="AE196" s="19" t="str">
        <f aca="false">IF(A196="","",IF(OR(V196&gt;1,AND(AY196&lt;&gt;"",AY196&lt;Inputs!$B$11),AND(AY196&lt;&gt;"",AY196&gt;Inputs!$B$12),AC196&lt;Inputs!$B$19,AD196&lt;Inputs!$B$19,P196&lt;Inputs!$B$7,P196&gt;Inputs!$B$8),"CHECK","OK"))</f>
        <v/>
      </c>
      <c r="AF196" s="9"/>
      <c r="AG196" s="9" t="str">
        <f aca="false">IF(A196="","",(1/Inputs!$B$9)*(PI()*(Inputs!$F$5/1000)^2/4)*((Inputs!$F$5/1000/4)^(2/3))*SQRT(P196))</f>
        <v/>
      </c>
      <c r="AH196" s="9" t="str">
        <f aca="false">IF(A196="","",(1/Inputs!$B$9)*(PI()*(Inputs!$F$6/1000)^2/4)*((Inputs!$F$6/1000/4)^(2/3))*SQRT(P196))</f>
        <v/>
      </c>
      <c r="AI196" s="9" t="str">
        <f aca="false">IF(A196="","",(1/Inputs!$B$9)*(PI()*(Inputs!$F$7/1000)^2/4)*((Inputs!$F$7/1000/4)^(2/3))*SQRT(P196))</f>
        <v/>
      </c>
      <c r="AJ196" s="9" t="str">
        <f aca="false">IF(A196="","",(1/Inputs!$B$9)*(PI()*(Inputs!$F$8/1000)^2/4)*((Inputs!$F$8/1000/4)^(2/3))*SQRT(P196))</f>
        <v/>
      </c>
      <c r="AK196" s="9" t="str">
        <f aca="false">IF(A196="","",(1/Inputs!$B$9)*(PI()*(Inputs!$F$9/1000)^2/4)*((Inputs!$F$9/1000/4)^(2/3))*SQRT(P196))</f>
        <v/>
      </c>
      <c r="AL196" s="9" t="str">
        <f aca="false">IF(A196="","",(1/Inputs!$B$9)*(PI()*(Inputs!$F$10/1000)^2/4)*((Inputs!$F$10/1000/4)^(2/3))*SQRT(P196))</f>
        <v/>
      </c>
      <c r="AM196" s="9" t="str">
        <f aca="false">IF(A196="","",(1/Inputs!$B$9)*(PI()*(Inputs!$F$11/1000)^2/4)*((Inputs!$F$11/1000/4)^(2/3))*SQRT(P196))</f>
        <v/>
      </c>
      <c r="AN196" s="9" t="str">
        <f aca="false">IF(A196="","",(1/Inputs!$B$9)*(PI()*(Inputs!$F$12/1000)^2/4)*((Inputs!$F$12/1000/4)^(2/3))*SQRT(P196))</f>
        <v/>
      </c>
      <c r="AO196" s="9" t="str">
        <f aca="false">IF(A196="","",(1/Inputs!$B$9)*(PI()*(Inputs!$F$13/1000)^2/4)*((Inputs!$F$13/1000/4)^(2/3))*SQRT(P196))</f>
        <v/>
      </c>
      <c r="AP196" s="9" t="str">
        <f aca="false">IF(A196="","",(1/Inputs!$B$9)*(PI()*(Inputs!$F$14/1000)^2/4)*((Inputs!$F$14/1000/4)^(2/3))*SQRT(P196))</f>
        <v/>
      </c>
      <c r="AQ196" s="9" t="str">
        <f aca="false">IF(A196="","",COUNTIF($D$4:$D$203,$A196))</f>
        <v/>
      </c>
      <c r="AR196" s="9" t="str">
        <f aca="false">IF(A196="","",IF(AQ196=0,"START","CONTINUOUS"))</f>
        <v/>
      </c>
      <c r="AS196" s="13" t="str">
        <f aca="false">IF(A196="","",IF(J196="",Inputs!$B$18,J196))</f>
        <v/>
      </c>
      <c r="AT196" s="13" t="str">
        <f aca="false">IF(A196="","",IFERROR(maxifs($AV$4:$AV$203,$D$4:$D$203,$A196),""))</f>
        <v/>
      </c>
      <c r="AU196" s="13" t="str">
        <f aca="false">IF(A196="","",IF(OR(E196="",Inputs!$B$23=""),"",E196/(Inputs!$B$23*60)))</f>
        <v/>
      </c>
      <c r="AV196" s="13" t="str">
        <f aca="false">IF(A196="","",IF(AQ196=0,AS196+AU196,IF(AT196="",AS196+AU196,AT196+AU196)))</f>
        <v/>
      </c>
      <c r="AW196" s="13" t="str">
        <f aca="false">IF(A196="","",W196)</f>
        <v/>
      </c>
      <c r="AX196" s="13" t="str">
        <f aca="false">IF(OR(T196="",P196=""),"",(1/Inputs!$B$9)*((T196/4)^(2/3))*SQRT(P196))</f>
        <v/>
      </c>
      <c r="AY196" s="13" t="str">
        <f aca="false">IF(A196="","",IF(AND(AW196="",AX196="",BA196=""),"",IF(OR(UPPER(TRIM(Inputs!$B$24))="MANNING",UPPER(TRIM(Inputs!$B$24))="M"),AX196,IF(OR(UPPER(TRIM(Inputs!$B$24))="PARTIAL",UPPER(TRIM(Inputs!$B$24))="P"),BA196,IF(OR(UPPER(TRIM(Inputs!$B$24))="MAX",UPPER(TRIM(Inputs!$B$24))="X"),MAX(IF(AW196="",0,AW196),IF(AX196="",0,AX196),IF(BA196="",0,BA196)),AW196)))))</f>
        <v/>
      </c>
      <c r="AZ196" s="13" t="str">
        <f aca="false">IF(BB196="","",CH196)</f>
        <v/>
      </c>
      <c r="BA196" s="13" t="str">
        <f aca="false">IF(OR(BB196="",AZ196="",T196="",T196&lt;=0,AZ196&lt;=0),"",BB196/((T196^2/8)*(2*ACOS(1-2*AZ196/T196)-SIN(2*ACOS(1-2*AZ196/T196)))))</f>
        <v/>
      </c>
      <c r="BB196" s="9" t="str">
        <f aca="false">IF(OR(N196="",BC196=""),"",MIN(N196,BC196))</f>
        <v/>
      </c>
      <c r="BC196" s="9" t="str">
        <f aca="false">IF(OR(N196="",T196="",P196=""),"",IF(OR(T196="",P196="",(0.94*T196)="",T196&lt;=0,(0.94*T196)&lt;=0),"",(1/Inputs!$B$9)*((T196^2/8)*((2*ACOS(1-2*(0.94*T196)/T196))-SIN((2*ACOS(1-2*(0.94*T196)/T196)))))*((((T196^2/8)*((2*ACOS(1-2*(0.94*T196)/T196))-SIN((2*ACOS(1-2*(0.94*T196)/T196)))))/((T196/2)*((2*ACOS(1-2*(0.94*T196)/T196)))))^(2/3))*SQRT(P196)))</f>
        <v/>
      </c>
      <c r="BD196" s="9" t="str">
        <f aca="false">IF(BB196="","",0.001*T196)</f>
        <v/>
      </c>
      <c r="BE196" s="9" t="str">
        <f aca="false">IF(BB196="","",0.94*T196)</f>
        <v/>
      </c>
      <c r="BF196" s="9" t="str">
        <f aca="false">IF(BB196="","",(BD196+BE196)/2)</f>
        <v/>
      </c>
      <c r="BG196" s="9" t="str">
        <f aca="false">IF(OR(T196="",P196="",BF196="",T196&lt;=0,BF196&lt;=0),"",(1/Inputs!$B$9)*((T196^2/8)*((2*ACOS(1-2*BF196/T196))-SIN((2*ACOS(1-2*BF196/T196)))))*((((T196^2/8)*((2*ACOS(1-2*BF196/T196))-SIN((2*ACOS(1-2*BF196/T196)))))/((T196/2)*((2*ACOS(1-2*BF196/T196)))))^(2/3))*SQRT(P196))</f>
        <v/>
      </c>
      <c r="BH196" s="9" t="str">
        <f aca="false">IF(BB196="","",IF(BG196&lt;BB196,BF196,BD196))</f>
        <v/>
      </c>
      <c r="BI196" s="9" t="str">
        <f aca="false">IF(BB196="","",IF(BG196&lt;BB196,BE196,BF196))</f>
        <v/>
      </c>
      <c r="BJ196" s="9" t="str">
        <f aca="false">IF(BB196="","",(BH196+BI196)/2)</f>
        <v/>
      </c>
      <c r="BK196" s="9" t="str">
        <f aca="false">IF(OR(T196="",P196="",BJ196="",T196&lt;=0,BJ196&lt;=0),"",(1/Inputs!$B$9)*((T196^2/8)*((2*ACOS(1-2*BJ196/T196))-SIN((2*ACOS(1-2*BJ196/T196)))))*((((T196^2/8)*((2*ACOS(1-2*BJ196/T196))-SIN((2*ACOS(1-2*BJ196/T196)))))/((T196/2)*((2*ACOS(1-2*BJ196/T196)))))^(2/3))*SQRT(P196))</f>
        <v/>
      </c>
      <c r="BL196" s="9" t="str">
        <f aca="false">IF(BB196="","",IF(BK196&lt;BB196,BJ196,BH196))</f>
        <v/>
      </c>
      <c r="BM196" s="9" t="str">
        <f aca="false">IF(BB196="","",IF(BK196&lt;BB196,BI196,BJ196))</f>
        <v/>
      </c>
      <c r="BN196" s="9" t="str">
        <f aca="false">IF(BB196="","",(BL196+BM196)/2)</f>
        <v/>
      </c>
      <c r="BO196" s="9" t="str">
        <f aca="false">IF(OR(T196="",P196="",BN196="",T196&lt;=0,BN196&lt;=0),"",(1/Inputs!$B$9)*((T196^2/8)*((2*ACOS(1-2*BN196/T196))-SIN((2*ACOS(1-2*BN196/T196)))))*((((T196^2/8)*((2*ACOS(1-2*BN196/T196))-SIN((2*ACOS(1-2*BN196/T196)))))/((T196/2)*((2*ACOS(1-2*BN196/T196)))))^(2/3))*SQRT(P196))</f>
        <v/>
      </c>
      <c r="BP196" s="9" t="str">
        <f aca="false">IF(BB196="","",IF(BO196&lt;BB196,BN196,BL196))</f>
        <v/>
      </c>
      <c r="BQ196" s="9" t="str">
        <f aca="false">IF(BB196="","",IF(BO196&lt;BB196,BM196,BN196))</f>
        <v/>
      </c>
      <c r="BR196" s="9" t="str">
        <f aca="false">IF(BB196="","",(BP196+BQ196)/2)</f>
        <v/>
      </c>
      <c r="BS196" s="9" t="str">
        <f aca="false">IF(OR(T196="",P196="",BR196="",T196&lt;=0,BR196&lt;=0),"",(1/Inputs!$B$9)*((T196^2/8)*((2*ACOS(1-2*BR196/T196))-SIN((2*ACOS(1-2*BR196/T196)))))*((((T196^2/8)*((2*ACOS(1-2*BR196/T196))-SIN((2*ACOS(1-2*BR196/T196)))))/((T196/2)*((2*ACOS(1-2*BR196/T196)))))^(2/3))*SQRT(P196))</f>
        <v/>
      </c>
      <c r="BT196" s="9" t="str">
        <f aca="false">IF(BB196="","",IF(BS196&lt;BB196,BR196,BP196))</f>
        <v/>
      </c>
      <c r="BU196" s="9" t="str">
        <f aca="false">IF(BB196="","",IF(BS196&lt;BB196,BQ196,BR196))</f>
        <v/>
      </c>
      <c r="BV196" s="9" t="str">
        <f aca="false">IF(BB196="","",(BT196+BU196)/2)</f>
        <v/>
      </c>
      <c r="BW196" s="9" t="str">
        <f aca="false">IF(OR(T196="",P196="",BV196="",T196&lt;=0,BV196&lt;=0),"",(1/Inputs!$B$9)*((T196^2/8)*((2*ACOS(1-2*BV196/T196))-SIN((2*ACOS(1-2*BV196/T196)))))*((((T196^2/8)*((2*ACOS(1-2*BV196/T196))-SIN((2*ACOS(1-2*BV196/T196)))))/((T196/2)*((2*ACOS(1-2*BV196/T196)))))^(2/3))*SQRT(P196))</f>
        <v/>
      </c>
      <c r="BX196" s="9" t="str">
        <f aca="false">IF(BB196="","",IF(BW196&lt;BB196,BV196,BT196))</f>
        <v/>
      </c>
      <c r="BY196" s="9" t="str">
        <f aca="false">IF(BB196="","",IF(BW196&lt;BB196,BU196,BV196))</f>
        <v/>
      </c>
      <c r="BZ196" s="9" t="str">
        <f aca="false">IF(BB196="","",(BX196+BY196)/2)</f>
        <v/>
      </c>
      <c r="CA196" s="9" t="str">
        <f aca="false">IF(OR(T196="",P196="",BZ196="",T196&lt;=0,BZ196&lt;=0),"",(1/Inputs!$B$9)*((T196^2/8)*((2*ACOS(1-2*BZ196/T196))-SIN((2*ACOS(1-2*BZ196/T196)))))*((((T196^2/8)*((2*ACOS(1-2*BZ196/T196))-SIN((2*ACOS(1-2*BZ196/T196)))))/((T196/2)*((2*ACOS(1-2*BZ196/T196)))))^(2/3))*SQRT(P196))</f>
        <v/>
      </c>
      <c r="CB196" s="9" t="str">
        <f aca="false">IF(BB196="","",IF(CA196&lt;BB196,BZ196,BX196))</f>
        <v/>
      </c>
      <c r="CC196" s="9" t="str">
        <f aca="false">IF(BB196="","",IF(CA196&lt;BB196,BY196,BZ196))</f>
        <v/>
      </c>
      <c r="CD196" s="9" t="str">
        <f aca="false">IF(BB196="","",(CB196+CC196)/2)</f>
        <v/>
      </c>
      <c r="CE196" s="9" t="str">
        <f aca="false">IF(OR(T196="",P196="",CD196="",T196&lt;=0,CD196&lt;=0),"",(1/Inputs!$B$9)*((T196^2/8)*((2*ACOS(1-2*CD196/T196))-SIN((2*ACOS(1-2*CD196/T196)))))*((((T196^2/8)*((2*ACOS(1-2*CD196/T196))-SIN((2*ACOS(1-2*CD196/T196)))))/((T196/2)*((2*ACOS(1-2*CD196/T196)))))^(2/3))*SQRT(P196))</f>
        <v/>
      </c>
      <c r="CF196" s="9" t="str">
        <f aca="false">IF(BB196="","",IF(CE196&lt;BB196,CD196,CB196))</f>
        <v/>
      </c>
      <c r="CG196" s="9" t="str">
        <f aca="false">IF(BB196="","",IF(CE196&lt;BB196,CC196,CD196))</f>
        <v/>
      </c>
      <c r="CH196" s="9" t="str">
        <f aca="false">IF(BB196="","",(CF196+CG196)/2)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14"/>
      <c r="F197" s="14"/>
      <c r="G197" s="14" t="n">
        <f aca="false">SUMIFS(CB_plan!$C:$C,CB_plan!$B:$B,$A197)</f>
        <v>0</v>
      </c>
      <c r="H197" s="14" t="n">
        <f aca="false">IF(F197="",G197,F197)</f>
        <v>0</v>
      </c>
      <c r="I197" s="9"/>
      <c r="J197" s="14"/>
      <c r="K197" s="14" t="str">
        <f aca="false">IF(A197="","",Inputs!$B$13/((IF(AV197="",Inputs!$B$18,AV197)+Inputs!$B$14)^Inputs!$B$15))</f>
        <v/>
      </c>
      <c r="L197" s="14" t="str">
        <f aca="false">IF(A197="","",0.000000278*IF(I197="",Inputs!$B$17,I197)*H197*K197)</f>
        <v/>
      </c>
      <c r="M197" s="14" t="str">
        <f aca="false">IF(A197="","",SUMIFS($N$4:$N$203,$D$4:$D$203,$A197))</f>
        <v/>
      </c>
      <c r="N197" s="14" t="str">
        <f aca="false">IF(A197="","",(L197+M197)*Inputs!$B$16)</f>
        <v/>
      </c>
      <c r="O197" s="14"/>
      <c r="P197" s="14" t="str">
        <f aca="false">IF(A197="","",IF(O197="",Inputs!$B$7,O197))</f>
        <v/>
      </c>
      <c r="Q197" s="9" t="str">
        <f aca="false">IF(A197="","",IF(N197/Inputs!$B$10&lt;=AG197,Inputs!$F$5,IF(N197/Inputs!$B$10&gt;AP197,"OVERSIZE",INDEX(Inputs!$F$5:$F$14,MATCH(N197/Inputs!$B$10,AG197:AP197,1)+1))))</f>
        <v/>
      </c>
      <c r="R197" s="9"/>
      <c r="S197" s="9" t="str">
        <f aca="false">IF(A197="","",IF(R197="",Q197,R197))</f>
        <v/>
      </c>
      <c r="T197" s="14" t="str">
        <f aca="false">IF(OR(S197="",S197="OVERSIZE"),"",S197/1000)</f>
        <v/>
      </c>
      <c r="U197" s="14" t="str">
        <f aca="false">IF(T197="","",(1/Inputs!$B$9)*(PI()*T197^2/4)*((T197/4)^(2/3))*SQRT(P197))</f>
        <v/>
      </c>
      <c r="V197" s="14" t="str">
        <f aca="false">IF(OR(U197="",N197=""),"",N197/(U197*Inputs!$B$10))</f>
        <v/>
      </c>
      <c r="W197" s="14" t="str">
        <f aca="false">IF(OR(T197="",N197=""),"",4*N197/(PI()*T197^2))</f>
        <v/>
      </c>
      <c r="X197" s="14"/>
      <c r="Y197" s="14" t="str">
        <f aca="false">IF(A197="","",IF(A197=Inputs!$B$6,Inputs!$B$22,IF(D197="","",IFERROR(INDEX($Z$4:$Z$203,MATCH(D197,$A$4:$A$203,0))+IF(X197="",Inputs!$B$20,X197),""))))</f>
        <v/>
      </c>
      <c r="Z197" s="14" t="str">
        <f aca="false">IF(OR(Y197="",P197="",E197=""),"",Y197+P197*E197)</f>
        <v/>
      </c>
      <c r="AA197" s="14" t="str">
        <f aca="false">IF(C197="","",IFERROR(INDEX(Noeuds_plan!$C$4:$C$200,MATCH(C197,Noeuds_plan!$A$4:$A$200,0)),""))</f>
        <v/>
      </c>
      <c r="AB197" s="14" t="str">
        <f aca="false">IF(B197="","",IFERROR(INDEX(Noeuds_plan!$C$4:$C$200,MATCH(B197,Noeuds_plan!$A$4:$A$200,0)),""))</f>
        <v/>
      </c>
      <c r="AC197" s="14" t="str">
        <f aca="false">IF(OR(AA197="",Y197=""),"",AA197-Y197)</f>
        <v/>
      </c>
      <c r="AD197" s="14" t="str">
        <f aca="false">IF(OR(AB197="",Z197=""),"",AB197-Z197)</f>
        <v/>
      </c>
      <c r="AE197" s="19" t="str">
        <f aca="false">IF(A197="","",IF(OR(V197&gt;1,AND(AY197&lt;&gt;"",AY197&lt;Inputs!$B$11),AND(AY197&lt;&gt;"",AY197&gt;Inputs!$B$12),AC197&lt;Inputs!$B$19,AD197&lt;Inputs!$B$19,P197&lt;Inputs!$B$7,P197&gt;Inputs!$B$8),"CHECK","OK"))</f>
        <v/>
      </c>
      <c r="AF197" s="9"/>
      <c r="AG197" s="9" t="str">
        <f aca="false">IF(A197="","",(1/Inputs!$B$9)*(PI()*(Inputs!$F$5/1000)^2/4)*((Inputs!$F$5/1000/4)^(2/3))*SQRT(P197))</f>
        <v/>
      </c>
      <c r="AH197" s="9" t="str">
        <f aca="false">IF(A197="","",(1/Inputs!$B$9)*(PI()*(Inputs!$F$6/1000)^2/4)*((Inputs!$F$6/1000/4)^(2/3))*SQRT(P197))</f>
        <v/>
      </c>
      <c r="AI197" s="9" t="str">
        <f aca="false">IF(A197="","",(1/Inputs!$B$9)*(PI()*(Inputs!$F$7/1000)^2/4)*((Inputs!$F$7/1000/4)^(2/3))*SQRT(P197))</f>
        <v/>
      </c>
      <c r="AJ197" s="9" t="str">
        <f aca="false">IF(A197="","",(1/Inputs!$B$9)*(PI()*(Inputs!$F$8/1000)^2/4)*((Inputs!$F$8/1000/4)^(2/3))*SQRT(P197))</f>
        <v/>
      </c>
      <c r="AK197" s="9" t="str">
        <f aca="false">IF(A197="","",(1/Inputs!$B$9)*(PI()*(Inputs!$F$9/1000)^2/4)*((Inputs!$F$9/1000/4)^(2/3))*SQRT(P197))</f>
        <v/>
      </c>
      <c r="AL197" s="9" t="str">
        <f aca="false">IF(A197="","",(1/Inputs!$B$9)*(PI()*(Inputs!$F$10/1000)^2/4)*((Inputs!$F$10/1000/4)^(2/3))*SQRT(P197))</f>
        <v/>
      </c>
      <c r="AM197" s="9" t="str">
        <f aca="false">IF(A197="","",(1/Inputs!$B$9)*(PI()*(Inputs!$F$11/1000)^2/4)*((Inputs!$F$11/1000/4)^(2/3))*SQRT(P197))</f>
        <v/>
      </c>
      <c r="AN197" s="9" t="str">
        <f aca="false">IF(A197="","",(1/Inputs!$B$9)*(PI()*(Inputs!$F$12/1000)^2/4)*((Inputs!$F$12/1000/4)^(2/3))*SQRT(P197))</f>
        <v/>
      </c>
      <c r="AO197" s="9" t="str">
        <f aca="false">IF(A197="","",(1/Inputs!$B$9)*(PI()*(Inputs!$F$13/1000)^2/4)*((Inputs!$F$13/1000/4)^(2/3))*SQRT(P197))</f>
        <v/>
      </c>
      <c r="AP197" s="9" t="str">
        <f aca="false">IF(A197="","",(1/Inputs!$B$9)*(PI()*(Inputs!$F$14/1000)^2/4)*((Inputs!$F$14/1000/4)^(2/3))*SQRT(P197))</f>
        <v/>
      </c>
      <c r="AQ197" s="9" t="str">
        <f aca="false">IF(A197="","",COUNTIF($D$4:$D$203,$A197))</f>
        <v/>
      </c>
      <c r="AR197" s="9" t="str">
        <f aca="false">IF(A197="","",IF(AQ197=0,"START","CONTINUOUS"))</f>
        <v/>
      </c>
      <c r="AS197" s="13" t="str">
        <f aca="false">IF(A197="","",IF(J197="",Inputs!$B$18,J197))</f>
        <v/>
      </c>
      <c r="AT197" s="13" t="str">
        <f aca="false">IF(A197="","",IFERROR(maxifs($AV$4:$AV$203,$D$4:$D$203,$A197),""))</f>
        <v/>
      </c>
      <c r="AU197" s="13" t="str">
        <f aca="false">IF(A197="","",IF(OR(E197="",Inputs!$B$23=""),"",E197/(Inputs!$B$23*60)))</f>
        <v/>
      </c>
      <c r="AV197" s="13" t="str">
        <f aca="false">IF(A197="","",IF(AQ197=0,AS197+AU197,IF(AT197="",AS197+AU197,AT197+AU197)))</f>
        <v/>
      </c>
      <c r="AW197" s="13" t="str">
        <f aca="false">IF(A197="","",W197)</f>
        <v/>
      </c>
      <c r="AX197" s="13" t="str">
        <f aca="false">IF(OR(T197="",P197=""),"",(1/Inputs!$B$9)*((T197/4)^(2/3))*SQRT(P197))</f>
        <v/>
      </c>
      <c r="AY197" s="13" t="str">
        <f aca="false">IF(A197="","",IF(AND(AW197="",AX197="",BA197=""),"",IF(OR(UPPER(TRIM(Inputs!$B$24))="MANNING",UPPER(TRIM(Inputs!$B$24))="M"),AX197,IF(OR(UPPER(TRIM(Inputs!$B$24))="PARTIAL",UPPER(TRIM(Inputs!$B$24))="P"),BA197,IF(OR(UPPER(TRIM(Inputs!$B$24))="MAX",UPPER(TRIM(Inputs!$B$24))="X"),MAX(IF(AW197="",0,AW197),IF(AX197="",0,AX197),IF(BA197="",0,BA197)),AW197)))))</f>
        <v/>
      </c>
      <c r="AZ197" s="13" t="str">
        <f aca="false">IF(BB197="","",CH197)</f>
        <v/>
      </c>
      <c r="BA197" s="13" t="str">
        <f aca="false">IF(OR(BB197="",AZ197="",T197="",T197&lt;=0,AZ197&lt;=0),"",BB197/((T197^2/8)*(2*ACOS(1-2*AZ197/T197)-SIN(2*ACOS(1-2*AZ197/T197)))))</f>
        <v/>
      </c>
      <c r="BB197" s="9" t="str">
        <f aca="false">IF(OR(N197="",BC197=""),"",MIN(N197,BC197))</f>
        <v/>
      </c>
      <c r="BC197" s="9" t="str">
        <f aca="false">IF(OR(N197="",T197="",P197=""),"",IF(OR(T197="",P197="",(0.94*T197)="",T197&lt;=0,(0.94*T197)&lt;=0),"",(1/Inputs!$B$9)*((T197^2/8)*((2*ACOS(1-2*(0.94*T197)/T197))-SIN((2*ACOS(1-2*(0.94*T197)/T197)))))*((((T197^2/8)*((2*ACOS(1-2*(0.94*T197)/T197))-SIN((2*ACOS(1-2*(0.94*T197)/T197)))))/((T197/2)*((2*ACOS(1-2*(0.94*T197)/T197)))))^(2/3))*SQRT(P197)))</f>
        <v/>
      </c>
      <c r="BD197" s="9" t="str">
        <f aca="false">IF(BB197="","",0.001*T197)</f>
        <v/>
      </c>
      <c r="BE197" s="9" t="str">
        <f aca="false">IF(BB197="","",0.94*T197)</f>
        <v/>
      </c>
      <c r="BF197" s="9" t="str">
        <f aca="false">IF(BB197="","",(BD197+BE197)/2)</f>
        <v/>
      </c>
      <c r="BG197" s="9" t="str">
        <f aca="false">IF(OR(T197="",P197="",BF197="",T197&lt;=0,BF197&lt;=0),"",(1/Inputs!$B$9)*((T197^2/8)*((2*ACOS(1-2*BF197/T197))-SIN((2*ACOS(1-2*BF197/T197)))))*((((T197^2/8)*((2*ACOS(1-2*BF197/T197))-SIN((2*ACOS(1-2*BF197/T197)))))/((T197/2)*((2*ACOS(1-2*BF197/T197)))))^(2/3))*SQRT(P197))</f>
        <v/>
      </c>
      <c r="BH197" s="9" t="str">
        <f aca="false">IF(BB197="","",IF(BG197&lt;BB197,BF197,BD197))</f>
        <v/>
      </c>
      <c r="BI197" s="9" t="str">
        <f aca="false">IF(BB197="","",IF(BG197&lt;BB197,BE197,BF197))</f>
        <v/>
      </c>
      <c r="BJ197" s="9" t="str">
        <f aca="false">IF(BB197="","",(BH197+BI197)/2)</f>
        <v/>
      </c>
      <c r="BK197" s="9" t="str">
        <f aca="false">IF(OR(T197="",P197="",BJ197="",T197&lt;=0,BJ197&lt;=0),"",(1/Inputs!$B$9)*((T197^2/8)*((2*ACOS(1-2*BJ197/T197))-SIN((2*ACOS(1-2*BJ197/T197)))))*((((T197^2/8)*((2*ACOS(1-2*BJ197/T197))-SIN((2*ACOS(1-2*BJ197/T197)))))/((T197/2)*((2*ACOS(1-2*BJ197/T197)))))^(2/3))*SQRT(P197))</f>
        <v/>
      </c>
      <c r="BL197" s="9" t="str">
        <f aca="false">IF(BB197="","",IF(BK197&lt;BB197,BJ197,BH197))</f>
        <v/>
      </c>
      <c r="BM197" s="9" t="str">
        <f aca="false">IF(BB197="","",IF(BK197&lt;BB197,BI197,BJ197))</f>
        <v/>
      </c>
      <c r="BN197" s="9" t="str">
        <f aca="false">IF(BB197="","",(BL197+BM197)/2)</f>
        <v/>
      </c>
      <c r="BO197" s="9" t="str">
        <f aca="false">IF(OR(T197="",P197="",BN197="",T197&lt;=0,BN197&lt;=0),"",(1/Inputs!$B$9)*((T197^2/8)*((2*ACOS(1-2*BN197/T197))-SIN((2*ACOS(1-2*BN197/T197)))))*((((T197^2/8)*((2*ACOS(1-2*BN197/T197))-SIN((2*ACOS(1-2*BN197/T197)))))/((T197/2)*((2*ACOS(1-2*BN197/T197)))))^(2/3))*SQRT(P197))</f>
        <v/>
      </c>
      <c r="BP197" s="9" t="str">
        <f aca="false">IF(BB197="","",IF(BO197&lt;BB197,BN197,BL197))</f>
        <v/>
      </c>
      <c r="BQ197" s="9" t="str">
        <f aca="false">IF(BB197="","",IF(BO197&lt;BB197,BM197,BN197))</f>
        <v/>
      </c>
      <c r="BR197" s="9" t="str">
        <f aca="false">IF(BB197="","",(BP197+BQ197)/2)</f>
        <v/>
      </c>
      <c r="BS197" s="9" t="str">
        <f aca="false">IF(OR(T197="",P197="",BR197="",T197&lt;=0,BR197&lt;=0),"",(1/Inputs!$B$9)*((T197^2/8)*((2*ACOS(1-2*BR197/T197))-SIN((2*ACOS(1-2*BR197/T197)))))*((((T197^2/8)*((2*ACOS(1-2*BR197/T197))-SIN((2*ACOS(1-2*BR197/T197)))))/((T197/2)*((2*ACOS(1-2*BR197/T197)))))^(2/3))*SQRT(P197))</f>
        <v/>
      </c>
      <c r="BT197" s="9" t="str">
        <f aca="false">IF(BB197="","",IF(BS197&lt;BB197,BR197,BP197))</f>
        <v/>
      </c>
      <c r="BU197" s="9" t="str">
        <f aca="false">IF(BB197="","",IF(BS197&lt;BB197,BQ197,BR197))</f>
        <v/>
      </c>
      <c r="BV197" s="9" t="str">
        <f aca="false">IF(BB197="","",(BT197+BU197)/2)</f>
        <v/>
      </c>
      <c r="BW197" s="9" t="str">
        <f aca="false">IF(OR(T197="",P197="",BV197="",T197&lt;=0,BV197&lt;=0),"",(1/Inputs!$B$9)*((T197^2/8)*((2*ACOS(1-2*BV197/T197))-SIN((2*ACOS(1-2*BV197/T197)))))*((((T197^2/8)*((2*ACOS(1-2*BV197/T197))-SIN((2*ACOS(1-2*BV197/T197)))))/((T197/2)*((2*ACOS(1-2*BV197/T197)))))^(2/3))*SQRT(P197))</f>
        <v/>
      </c>
      <c r="BX197" s="9" t="str">
        <f aca="false">IF(BB197="","",IF(BW197&lt;BB197,BV197,BT197))</f>
        <v/>
      </c>
      <c r="BY197" s="9" t="str">
        <f aca="false">IF(BB197="","",IF(BW197&lt;BB197,BU197,BV197))</f>
        <v/>
      </c>
      <c r="BZ197" s="9" t="str">
        <f aca="false">IF(BB197="","",(BX197+BY197)/2)</f>
        <v/>
      </c>
      <c r="CA197" s="9" t="str">
        <f aca="false">IF(OR(T197="",P197="",BZ197="",T197&lt;=0,BZ197&lt;=0),"",(1/Inputs!$B$9)*((T197^2/8)*((2*ACOS(1-2*BZ197/T197))-SIN((2*ACOS(1-2*BZ197/T197)))))*((((T197^2/8)*((2*ACOS(1-2*BZ197/T197))-SIN((2*ACOS(1-2*BZ197/T197)))))/((T197/2)*((2*ACOS(1-2*BZ197/T197)))))^(2/3))*SQRT(P197))</f>
        <v/>
      </c>
      <c r="CB197" s="9" t="str">
        <f aca="false">IF(BB197="","",IF(CA197&lt;BB197,BZ197,BX197))</f>
        <v/>
      </c>
      <c r="CC197" s="9" t="str">
        <f aca="false">IF(BB197="","",IF(CA197&lt;BB197,BY197,BZ197))</f>
        <v/>
      </c>
      <c r="CD197" s="9" t="str">
        <f aca="false">IF(BB197="","",(CB197+CC197)/2)</f>
        <v/>
      </c>
      <c r="CE197" s="9" t="str">
        <f aca="false">IF(OR(T197="",P197="",CD197="",T197&lt;=0,CD197&lt;=0),"",(1/Inputs!$B$9)*((T197^2/8)*((2*ACOS(1-2*CD197/T197))-SIN((2*ACOS(1-2*CD197/T197)))))*((((T197^2/8)*((2*ACOS(1-2*CD197/T197))-SIN((2*ACOS(1-2*CD197/T197)))))/((T197/2)*((2*ACOS(1-2*CD197/T197)))))^(2/3))*SQRT(P197))</f>
        <v/>
      </c>
      <c r="CF197" s="9" t="str">
        <f aca="false">IF(BB197="","",IF(CE197&lt;BB197,CD197,CB197))</f>
        <v/>
      </c>
      <c r="CG197" s="9" t="str">
        <f aca="false">IF(BB197="","",IF(CE197&lt;BB197,CC197,CD197))</f>
        <v/>
      </c>
      <c r="CH197" s="9" t="str">
        <f aca="false">IF(BB197="","",(CF197+CG197)/2)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14"/>
      <c r="F198" s="14"/>
      <c r="G198" s="14" t="n">
        <f aca="false">SUMIFS(CB_plan!$C:$C,CB_plan!$B:$B,$A198)</f>
        <v>0</v>
      </c>
      <c r="H198" s="14" t="n">
        <f aca="false">IF(F198="",G198,F198)</f>
        <v>0</v>
      </c>
      <c r="I198" s="9"/>
      <c r="J198" s="14"/>
      <c r="K198" s="14" t="str">
        <f aca="false">IF(A198="","",Inputs!$B$13/((IF(AV198="",Inputs!$B$18,AV198)+Inputs!$B$14)^Inputs!$B$15))</f>
        <v/>
      </c>
      <c r="L198" s="14" t="str">
        <f aca="false">IF(A198="","",0.000000278*IF(I198="",Inputs!$B$17,I198)*H198*K198)</f>
        <v/>
      </c>
      <c r="M198" s="14" t="str">
        <f aca="false">IF(A198="","",SUMIFS($N$4:$N$203,$D$4:$D$203,$A198))</f>
        <v/>
      </c>
      <c r="N198" s="14" t="str">
        <f aca="false">IF(A198="","",(L198+M198)*Inputs!$B$16)</f>
        <v/>
      </c>
      <c r="O198" s="14"/>
      <c r="P198" s="14" t="str">
        <f aca="false">IF(A198="","",IF(O198="",Inputs!$B$7,O198))</f>
        <v/>
      </c>
      <c r="Q198" s="9" t="str">
        <f aca="false">IF(A198="","",IF(N198/Inputs!$B$10&lt;=AG198,Inputs!$F$5,IF(N198/Inputs!$B$10&gt;AP198,"OVERSIZE",INDEX(Inputs!$F$5:$F$14,MATCH(N198/Inputs!$B$10,AG198:AP198,1)+1))))</f>
        <v/>
      </c>
      <c r="R198" s="9"/>
      <c r="S198" s="9" t="str">
        <f aca="false">IF(A198="","",IF(R198="",Q198,R198))</f>
        <v/>
      </c>
      <c r="T198" s="14" t="str">
        <f aca="false">IF(OR(S198="",S198="OVERSIZE"),"",S198/1000)</f>
        <v/>
      </c>
      <c r="U198" s="14" t="str">
        <f aca="false">IF(T198="","",(1/Inputs!$B$9)*(PI()*T198^2/4)*((T198/4)^(2/3))*SQRT(P198))</f>
        <v/>
      </c>
      <c r="V198" s="14" t="str">
        <f aca="false">IF(OR(U198="",N198=""),"",N198/(U198*Inputs!$B$10))</f>
        <v/>
      </c>
      <c r="W198" s="14" t="str">
        <f aca="false">IF(OR(T198="",N198=""),"",4*N198/(PI()*T198^2))</f>
        <v/>
      </c>
      <c r="X198" s="14"/>
      <c r="Y198" s="14" t="str">
        <f aca="false">IF(A198="","",IF(A198=Inputs!$B$6,Inputs!$B$22,IF(D198="","",IFERROR(INDEX($Z$4:$Z$203,MATCH(D198,$A$4:$A$203,0))+IF(X198="",Inputs!$B$20,X198),""))))</f>
        <v/>
      </c>
      <c r="Z198" s="14" t="str">
        <f aca="false">IF(OR(Y198="",P198="",E198=""),"",Y198+P198*E198)</f>
        <v/>
      </c>
      <c r="AA198" s="14" t="str">
        <f aca="false">IF(C198="","",IFERROR(INDEX(Noeuds_plan!$C$4:$C$200,MATCH(C198,Noeuds_plan!$A$4:$A$200,0)),""))</f>
        <v/>
      </c>
      <c r="AB198" s="14" t="str">
        <f aca="false">IF(B198="","",IFERROR(INDEX(Noeuds_plan!$C$4:$C$200,MATCH(B198,Noeuds_plan!$A$4:$A$200,0)),""))</f>
        <v/>
      </c>
      <c r="AC198" s="14" t="str">
        <f aca="false">IF(OR(AA198="",Y198=""),"",AA198-Y198)</f>
        <v/>
      </c>
      <c r="AD198" s="14" t="str">
        <f aca="false">IF(OR(AB198="",Z198=""),"",AB198-Z198)</f>
        <v/>
      </c>
      <c r="AE198" s="19" t="str">
        <f aca="false">IF(A198="","",IF(OR(V198&gt;1,AND(AY198&lt;&gt;"",AY198&lt;Inputs!$B$11),AND(AY198&lt;&gt;"",AY198&gt;Inputs!$B$12),AC198&lt;Inputs!$B$19,AD198&lt;Inputs!$B$19,P198&lt;Inputs!$B$7,P198&gt;Inputs!$B$8),"CHECK","OK"))</f>
        <v/>
      </c>
      <c r="AF198" s="9"/>
      <c r="AG198" s="9" t="str">
        <f aca="false">IF(A198="","",(1/Inputs!$B$9)*(PI()*(Inputs!$F$5/1000)^2/4)*((Inputs!$F$5/1000/4)^(2/3))*SQRT(P198))</f>
        <v/>
      </c>
      <c r="AH198" s="9" t="str">
        <f aca="false">IF(A198="","",(1/Inputs!$B$9)*(PI()*(Inputs!$F$6/1000)^2/4)*((Inputs!$F$6/1000/4)^(2/3))*SQRT(P198))</f>
        <v/>
      </c>
      <c r="AI198" s="9" t="str">
        <f aca="false">IF(A198="","",(1/Inputs!$B$9)*(PI()*(Inputs!$F$7/1000)^2/4)*((Inputs!$F$7/1000/4)^(2/3))*SQRT(P198))</f>
        <v/>
      </c>
      <c r="AJ198" s="9" t="str">
        <f aca="false">IF(A198="","",(1/Inputs!$B$9)*(PI()*(Inputs!$F$8/1000)^2/4)*((Inputs!$F$8/1000/4)^(2/3))*SQRT(P198))</f>
        <v/>
      </c>
      <c r="AK198" s="9" t="str">
        <f aca="false">IF(A198="","",(1/Inputs!$B$9)*(PI()*(Inputs!$F$9/1000)^2/4)*((Inputs!$F$9/1000/4)^(2/3))*SQRT(P198))</f>
        <v/>
      </c>
      <c r="AL198" s="9" t="str">
        <f aca="false">IF(A198="","",(1/Inputs!$B$9)*(PI()*(Inputs!$F$10/1000)^2/4)*((Inputs!$F$10/1000/4)^(2/3))*SQRT(P198))</f>
        <v/>
      </c>
      <c r="AM198" s="9" t="str">
        <f aca="false">IF(A198="","",(1/Inputs!$B$9)*(PI()*(Inputs!$F$11/1000)^2/4)*((Inputs!$F$11/1000/4)^(2/3))*SQRT(P198))</f>
        <v/>
      </c>
      <c r="AN198" s="9" t="str">
        <f aca="false">IF(A198="","",(1/Inputs!$B$9)*(PI()*(Inputs!$F$12/1000)^2/4)*((Inputs!$F$12/1000/4)^(2/3))*SQRT(P198))</f>
        <v/>
      </c>
      <c r="AO198" s="9" t="str">
        <f aca="false">IF(A198="","",(1/Inputs!$B$9)*(PI()*(Inputs!$F$13/1000)^2/4)*((Inputs!$F$13/1000/4)^(2/3))*SQRT(P198))</f>
        <v/>
      </c>
      <c r="AP198" s="9" t="str">
        <f aca="false">IF(A198="","",(1/Inputs!$B$9)*(PI()*(Inputs!$F$14/1000)^2/4)*((Inputs!$F$14/1000/4)^(2/3))*SQRT(P198))</f>
        <v/>
      </c>
      <c r="AQ198" s="9" t="str">
        <f aca="false">IF(A198="","",COUNTIF($D$4:$D$203,$A198))</f>
        <v/>
      </c>
      <c r="AR198" s="9" t="str">
        <f aca="false">IF(A198="","",IF(AQ198=0,"START","CONTINUOUS"))</f>
        <v/>
      </c>
      <c r="AS198" s="13" t="str">
        <f aca="false">IF(A198="","",IF(J198="",Inputs!$B$18,J198))</f>
        <v/>
      </c>
      <c r="AT198" s="13" t="str">
        <f aca="false">IF(A198="","",IFERROR(maxifs($AV$4:$AV$203,$D$4:$D$203,$A198),""))</f>
        <v/>
      </c>
      <c r="AU198" s="13" t="str">
        <f aca="false">IF(A198="","",IF(OR(E198="",Inputs!$B$23=""),"",E198/(Inputs!$B$23*60)))</f>
        <v/>
      </c>
      <c r="AV198" s="13" t="str">
        <f aca="false">IF(A198="","",IF(AQ198=0,AS198+AU198,IF(AT198="",AS198+AU198,AT198+AU198)))</f>
        <v/>
      </c>
      <c r="AW198" s="13" t="str">
        <f aca="false">IF(A198="","",W198)</f>
        <v/>
      </c>
      <c r="AX198" s="13" t="str">
        <f aca="false">IF(OR(T198="",P198=""),"",(1/Inputs!$B$9)*((T198/4)^(2/3))*SQRT(P198))</f>
        <v/>
      </c>
      <c r="AY198" s="13" t="str">
        <f aca="false">IF(A198="","",IF(AND(AW198="",AX198="",BA198=""),"",IF(OR(UPPER(TRIM(Inputs!$B$24))="MANNING",UPPER(TRIM(Inputs!$B$24))="M"),AX198,IF(OR(UPPER(TRIM(Inputs!$B$24))="PARTIAL",UPPER(TRIM(Inputs!$B$24))="P"),BA198,IF(OR(UPPER(TRIM(Inputs!$B$24))="MAX",UPPER(TRIM(Inputs!$B$24))="X"),MAX(IF(AW198="",0,AW198),IF(AX198="",0,AX198),IF(BA198="",0,BA198)),AW198)))))</f>
        <v/>
      </c>
      <c r="AZ198" s="13" t="str">
        <f aca="false">IF(BB198="","",CH198)</f>
        <v/>
      </c>
      <c r="BA198" s="13" t="str">
        <f aca="false">IF(OR(BB198="",AZ198="",T198="",T198&lt;=0,AZ198&lt;=0),"",BB198/((T198^2/8)*(2*ACOS(1-2*AZ198/T198)-SIN(2*ACOS(1-2*AZ198/T198)))))</f>
        <v/>
      </c>
      <c r="BB198" s="9" t="str">
        <f aca="false">IF(OR(N198="",BC198=""),"",MIN(N198,BC198))</f>
        <v/>
      </c>
      <c r="BC198" s="9" t="str">
        <f aca="false">IF(OR(N198="",T198="",P198=""),"",IF(OR(T198="",P198="",(0.94*T198)="",T198&lt;=0,(0.94*T198)&lt;=0),"",(1/Inputs!$B$9)*((T198^2/8)*((2*ACOS(1-2*(0.94*T198)/T198))-SIN((2*ACOS(1-2*(0.94*T198)/T198)))))*((((T198^2/8)*((2*ACOS(1-2*(0.94*T198)/T198))-SIN((2*ACOS(1-2*(0.94*T198)/T198)))))/((T198/2)*((2*ACOS(1-2*(0.94*T198)/T198)))))^(2/3))*SQRT(P198)))</f>
        <v/>
      </c>
      <c r="BD198" s="9" t="str">
        <f aca="false">IF(BB198="","",0.001*T198)</f>
        <v/>
      </c>
      <c r="BE198" s="9" t="str">
        <f aca="false">IF(BB198="","",0.94*T198)</f>
        <v/>
      </c>
      <c r="BF198" s="9" t="str">
        <f aca="false">IF(BB198="","",(BD198+BE198)/2)</f>
        <v/>
      </c>
      <c r="BG198" s="9" t="str">
        <f aca="false">IF(OR(T198="",P198="",BF198="",T198&lt;=0,BF198&lt;=0),"",(1/Inputs!$B$9)*((T198^2/8)*((2*ACOS(1-2*BF198/T198))-SIN((2*ACOS(1-2*BF198/T198)))))*((((T198^2/8)*((2*ACOS(1-2*BF198/T198))-SIN((2*ACOS(1-2*BF198/T198)))))/((T198/2)*((2*ACOS(1-2*BF198/T198)))))^(2/3))*SQRT(P198))</f>
        <v/>
      </c>
      <c r="BH198" s="9" t="str">
        <f aca="false">IF(BB198="","",IF(BG198&lt;BB198,BF198,BD198))</f>
        <v/>
      </c>
      <c r="BI198" s="9" t="str">
        <f aca="false">IF(BB198="","",IF(BG198&lt;BB198,BE198,BF198))</f>
        <v/>
      </c>
      <c r="BJ198" s="9" t="str">
        <f aca="false">IF(BB198="","",(BH198+BI198)/2)</f>
        <v/>
      </c>
      <c r="BK198" s="9" t="str">
        <f aca="false">IF(OR(T198="",P198="",BJ198="",T198&lt;=0,BJ198&lt;=0),"",(1/Inputs!$B$9)*((T198^2/8)*((2*ACOS(1-2*BJ198/T198))-SIN((2*ACOS(1-2*BJ198/T198)))))*((((T198^2/8)*((2*ACOS(1-2*BJ198/T198))-SIN((2*ACOS(1-2*BJ198/T198)))))/((T198/2)*((2*ACOS(1-2*BJ198/T198)))))^(2/3))*SQRT(P198))</f>
        <v/>
      </c>
      <c r="BL198" s="9" t="str">
        <f aca="false">IF(BB198="","",IF(BK198&lt;BB198,BJ198,BH198))</f>
        <v/>
      </c>
      <c r="BM198" s="9" t="str">
        <f aca="false">IF(BB198="","",IF(BK198&lt;BB198,BI198,BJ198))</f>
        <v/>
      </c>
      <c r="BN198" s="9" t="str">
        <f aca="false">IF(BB198="","",(BL198+BM198)/2)</f>
        <v/>
      </c>
      <c r="BO198" s="9" t="str">
        <f aca="false">IF(OR(T198="",P198="",BN198="",T198&lt;=0,BN198&lt;=0),"",(1/Inputs!$B$9)*((T198^2/8)*((2*ACOS(1-2*BN198/T198))-SIN((2*ACOS(1-2*BN198/T198)))))*((((T198^2/8)*((2*ACOS(1-2*BN198/T198))-SIN((2*ACOS(1-2*BN198/T198)))))/((T198/2)*((2*ACOS(1-2*BN198/T198)))))^(2/3))*SQRT(P198))</f>
        <v/>
      </c>
      <c r="BP198" s="9" t="str">
        <f aca="false">IF(BB198="","",IF(BO198&lt;BB198,BN198,BL198))</f>
        <v/>
      </c>
      <c r="BQ198" s="9" t="str">
        <f aca="false">IF(BB198="","",IF(BO198&lt;BB198,BM198,BN198))</f>
        <v/>
      </c>
      <c r="BR198" s="9" t="str">
        <f aca="false">IF(BB198="","",(BP198+BQ198)/2)</f>
        <v/>
      </c>
      <c r="BS198" s="9" t="str">
        <f aca="false">IF(OR(T198="",P198="",BR198="",T198&lt;=0,BR198&lt;=0),"",(1/Inputs!$B$9)*((T198^2/8)*((2*ACOS(1-2*BR198/T198))-SIN((2*ACOS(1-2*BR198/T198)))))*((((T198^2/8)*((2*ACOS(1-2*BR198/T198))-SIN((2*ACOS(1-2*BR198/T198)))))/((T198/2)*((2*ACOS(1-2*BR198/T198)))))^(2/3))*SQRT(P198))</f>
        <v/>
      </c>
      <c r="BT198" s="9" t="str">
        <f aca="false">IF(BB198="","",IF(BS198&lt;BB198,BR198,BP198))</f>
        <v/>
      </c>
      <c r="BU198" s="9" t="str">
        <f aca="false">IF(BB198="","",IF(BS198&lt;BB198,BQ198,BR198))</f>
        <v/>
      </c>
      <c r="BV198" s="9" t="str">
        <f aca="false">IF(BB198="","",(BT198+BU198)/2)</f>
        <v/>
      </c>
      <c r="BW198" s="9" t="str">
        <f aca="false">IF(OR(T198="",P198="",BV198="",T198&lt;=0,BV198&lt;=0),"",(1/Inputs!$B$9)*((T198^2/8)*((2*ACOS(1-2*BV198/T198))-SIN((2*ACOS(1-2*BV198/T198)))))*((((T198^2/8)*((2*ACOS(1-2*BV198/T198))-SIN((2*ACOS(1-2*BV198/T198)))))/((T198/2)*((2*ACOS(1-2*BV198/T198)))))^(2/3))*SQRT(P198))</f>
        <v/>
      </c>
      <c r="BX198" s="9" t="str">
        <f aca="false">IF(BB198="","",IF(BW198&lt;BB198,BV198,BT198))</f>
        <v/>
      </c>
      <c r="BY198" s="9" t="str">
        <f aca="false">IF(BB198="","",IF(BW198&lt;BB198,BU198,BV198))</f>
        <v/>
      </c>
      <c r="BZ198" s="9" t="str">
        <f aca="false">IF(BB198="","",(BX198+BY198)/2)</f>
        <v/>
      </c>
      <c r="CA198" s="9" t="str">
        <f aca="false">IF(OR(T198="",P198="",BZ198="",T198&lt;=0,BZ198&lt;=0),"",(1/Inputs!$B$9)*((T198^2/8)*((2*ACOS(1-2*BZ198/T198))-SIN((2*ACOS(1-2*BZ198/T198)))))*((((T198^2/8)*((2*ACOS(1-2*BZ198/T198))-SIN((2*ACOS(1-2*BZ198/T198)))))/((T198/2)*((2*ACOS(1-2*BZ198/T198)))))^(2/3))*SQRT(P198))</f>
        <v/>
      </c>
      <c r="CB198" s="9" t="str">
        <f aca="false">IF(BB198="","",IF(CA198&lt;BB198,BZ198,BX198))</f>
        <v/>
      </c>
      <c r="CC198" s="9" t="str">
        <f aca="false">IF(BB198="","",IF(CA198&lt;BB198,BY198,BZ198))</f>
        <v/>
      </c>
      <c r="CD198" s="9" t="str">
        <f aca="false">IF(BB198="","",(CB198+CC198)/2)</f>
        <v/>
      </c>
      <c r="CE198" s="9" t="str">
        <f aca="false">IF(OR(T198="",P198="",CD198="",T198&lt;=0,CD198&lt;=0),"",(1/Inputs!$B$9)*((T198^2/8)*((2*ACOS(1-2*CD198/T198))-SIN((2*ACOS(1-2*CD198/T198)))))*((((T198^2/8)*((2*ACOS(1-2*CD198/T198))-SIN((2*ACOS(1-2*CD198/T198)))))/((T198/2)*((2*ACOS(1-2*CD198/T198)))))^(2/3))*SQRT(P198))</f>
        <v/>
      </c>
      <c r="CF198" s="9" t="str">
        <f aca="false">IF(BB198="","",IF(CE198&lt;BB198,CD198,CB198))</f>
        <v/>
      </c>
      <c r="CG198" s="9" t="str">
        <f aca="false">IF(BB198="","",IF(CE198&lt;BB198,CC198,CD198))</f>
        <v/>
      </c>
      <c r="CH198" s="9" t="str">
        <f aca="false">IF(BB198="","",(CF198+CG198)/2)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14"/>
      <c r="F199" s="14"/>
      <c r="G199" s="14" t="n">
        <f aca="false">SUMIFS(CB_plan!$C:$C,CB_plan!$B:$B,$A199)</f>
        <v>0</v>
      </c>
      <c r="H199" s="14" t="n">
        <f aca="false">IF(F199="",G199,F199)</f>
        <v>0</v>
      </c>
      <c r="I199" s="9"/>
      <c r="J199" s="14"/>
      <c r="K199" s="14" t="str">
        <f aca="false">IF(A199="","",Inputs!$B$13/((IF(AV199="",Inputs!$B$18,AV199)+Inputs!$B$14)^Inputs!$B$15))</f>
        <v/>
      </c>
      <c r="L199" s="14" t="str">
        <f aca="false">IF(A199="","",0.000000278*IF(I199="",Inputs!$B$17,I199)*H199*K199)</f>
        <v/>
      </c>
      <c r="M199" s="14" t="str">
        <f aca="false">IF(A199="","",SUMIFS($N$4:$N$203,$D$4:$D$203,$A199))</f>
        <v/>
      </c>
      <c r="N199" s="14" t="str">
        <f aca="false">IF(A199="","",(L199+M199)*Inputs!$B$16)</f>
        <v/>
      </c>
      <c r="O199" s="14"/>
      <c r="P199" s="14" t="str">
        <f aca="false">IF(A199="","",IF(O199="",Inputs!$B$7,O199))</f>
        <v/>
      </c>
      <c r="Q199" s="9" t="str">
        <f aca="false">IF(A199="","",IF(N199/Inputs!$B$10&lt;=AG199,Inputs!$F$5,IF(N199/Inputs!$B$10&gt;AP199,"OVERSIZE",INDEX(Inputs!$F$5:$F$14,MATCH(N199/Inputs!$B$10,AG199:AP199,1)+1))))</f>
        <v/>
      </c>
      <c r="R199" s="9"/>
      <c r="S199" s="9" t="str">
        <f aca="false">IF(A199="","",IF(R199="",Q199,R199))</f>
        <v/>
      </c>
      <c r="T199" s="14" t="str">
        <f aca="false">IF(OR(S199="",S199="OVERSIZE"),"",S199/1000)</f>
        <v/>
      </c>
      <c r="U199" s="14" t="str">
        <f aca="false">IF(T199="","",(1/Inputs!$B$9)*(PI()*T199^2/4)*((T199/4)^(2/3))*SQRT(P199))</f>
        <v/>
      </c>
      <c r="V199" s="14" t="str">
        <f aca="false">IF(OR(U199="",N199=""),"",N199/(U199*Inputs!$B$10))</f>
        <v/>
      </c>
      <c r="W199" s="14" t="str">
        <f aca="false">IF(OR(T199="",N199=""),"",4*N199/(PI()*T199^2))</f>
        <v/>
      </c>
      <c r="X199" s="14"/>
      <c r="Y199" s="14" t="str">
        <f aca="false">IF(A199="","",IF(A199=Inputs!$B$6,Inputs!$B$22,IF(D199="","",IFERROR(INDEX($Z$4:$Z$203,MATCH(D199,$A$4:$A$203,0))+IF(X199="",Inputs!$B$20,X199),""))))</f>
        <v/>
      </c>
      <c r="Z199" s="14" t="str">
        <f aca="false">IF(OR(Y199="",P199="",E199=""),"",Y199+P199*E199)</f>
        <v/>
      </c>
      <c r="AA199" s="14" t="str">
        <f aca="false">IF(C199="","",IFERROR(INDEX(Noeuds_plan!$C$4:$C$200,MATCH(C199,Noeuds_plan!$A$4:$A$200,0)),""))</f>
        <v/>
      </c>
      <c r="AB199" s="14" t="str">
        <f aca="false">IF(B199="","",IFERROR(INDEX(Noeuds_plan!$C$4:$C$200,MATCH(B199,Noeuds_plan!$A$4:$A$200,0)),""))</f>
        <v/>
      </c>
      <c r="AC199" s="14" t="str">
        <f aca="false">IF(OR(AA199="",Y199=""),"",AA199-Y199)</f>
        <v/>
      </c>
      <c r="AD199" s="14" t="str">
        <f aca="false">IF(OR(AB199="",Z199=""),"",AB199-Z199)</f>
        <v/>
      </c>
      <c r="AE199" s="19" t="str">
        <f aca="false">IF(A199="","",IF(OR(V199&gt;1,AND(AY199&lt;&gt;"",AY199&lt;Inputs!$B$11),AND(AY199&lt;&gt;"",AY199&gt;Inputs!$B$12),AC199&lt;Inputs!$B$19,AD199&lt;Inputs!$B$19,P199&lt;Inputs!$B$7,P199&gt;Inputs!$B$8),"CHECK","OK"))</f>
        <v/>
      </c>
      <c r="AF199" s="9"/>
      <c r="AG199" s="9" t="str">
        <f aca="false">IF(A199="","",(1/Inputs!$B$9)*(PI()*(Inputs!$F$5/1000)^2/4)*((Inputs!$F$5/1000/4)^(2/3))*SQRT(P199))</f>
        <v/>
      </c>
      <c r="AH199" s="9" t="str">
        <f aca="false">IF(A199="","",(1/Inputs!$B$9)*(PI()*(Inputs!$F$6/1000)^2/4)*((Inputs!$F$6/1000/4)^(2/3))*SQRT(P199))</f>
        <v/>
      </c>
      <c r="AI199" s="9" t="str">
        <f aca="false">IF(A199="","",(1/Inputs!$B$9)*(PI()*(Inputs!$F$7/1000)^2/4)*((Inputs!$F$7/1000/4)^(2/3))*SQRT(P199))</f>
        <v/>
      </c>
      <c r="AJ199" s="9" t="str">
        <f aca="false">IF(A199="","",(1/Inputs!$B$9)*(PI()*(Inputs!$F$8/1000)^2/4)*((Inputs!$F$8/1000/4)^(2/3))*SQRT(P199))</f>
        <v/>
      </c>
      <c r="AK199" s="9" t="str">
        <f aca="false">IF(A199="","",(1/Inputs!$B$9)*(PI()*(Inputs!$F$9/1000)^2/4)*((Inputs!$F$9/1000/4)^(2/3))*SQRT(P199))</f>
        <v/>
      </c>
      <c r="AL199" s="9" t="str">
        <f aca="false">IF(A199="","",(1/Inputs!$B$9)*(PI()*(Inputs!$F$10/1000)^2/4)*((Inputs!$F$10/1000/4)^(2/3))*SQRT(P199))</f>
        <v/>
      </c>
      <c r="AM199" s="9" t="str">
        <f aca="false">IF(A199="","",(1/Inputs!$B$9)*(PI()*(Inputs!$F$11/1000)^2/4)*((Inputs!$F$11/1000/4)^(2/3))*SQRT(P199))</f>
        <v/>
      </c>
      <c r="AN199" s="9" t="str">
        <f aca="false">IF(A199="","",(1/Inputs!$B$9)*(PI()*(Inputs!$F$12/1000)^2/4)*((Inputs!$F$12/1000/4)^(2/3))*SQRT(P199))</f>
        <v/>
      </c>
      <c r="AO199" s="9" t="str">
        <f aca="false">IF(A199="","",(1/Inputs!$B$9)*(PI()*(Inputs!$F$13/1000)^2/4)*((Inputs!$F$13/1000/4)^(2/3))*SQRT(P199))</f>
        <v/>
      </c>
      <c r="AP199" s="9" t="str">
        <f aca="false">IF(A199="","",(1/Inputs!$B$9)*(PI()*(Inputs!$F$14/1000)^2/4)*((Inputs!$F$14/1000/4)^(2/3))*SQRT(P199))</f>
        <v/>
      </c>
      <c r="AQ199" s="9" t="str">
        <f aca="false">IF(A199="","",COUNTIF($D$4:$D$203,$A199))</f>
        <v/>
      </c>
      <c r="AR199" s="9" t="str">
        <f aca="false">IF(A199="","",IF(AQ199=0,"START","CONTINUOUS"))</f>
        <v/>
      </c>
      <c r="AS199" s="13" t="str">
        <f aca="false">IF(A199="","",IF(J199="",Inputs!$B$18,J199))</f>
        <v/>
      </c>
      <c r="AT199" s="13" t="str">
        <f aca="false">IF(A199="","",IFERROR(maxifs($AV$4:$AV$203,$D$4:$D$203,$A199),""))</f>
        <v/>
      </c>
      <c r="AU199" s="13" t="str">
        <f aca="false">IF(A199="","",IF(OR(E199="",Inputs!$B$23=""),"",E199/(Inputs!$B$23*60)))</f>
        <v/>
      </c>
      <c r="AV199" s="13" t="str">
        <f aca="false">IF(A199="","",IF(AQ199=0,AS199+AU199,IF(AT199="",AS199+AU199,AT199+AU199)))</f>
        <v/>
      </c>
      <c r="AW199" s="13" t="str">
        <f aca="false">IF(A199="","",W199)</f>
        <v/>
      </c>
      <c r="AX199" s="13" t="str">
        <f aca="false">IF(OR(T199="",P199=""),"",(1/Inputs!$B$9)*((T199/4)^(2/3))*SQRT(P199))</f>
        <v/>
      </c>
      <c r="AY199" s="13" t="str">
        <f aca="false">IF(A199="","",IF(AND(AW199="",AX199="",BA199=""),"",IF(OR(UPPER(TRIM(Inputs!$B$24))="MANNING",UPPER(TRIM(Inputs!$B$24))="M"),AX199,IF(OR(UPPER(TRIM(Inputs!$B$24))="PARTIAL",UPPER(TRIM(Inputs!$B$24))="P"),BA199,IF(OR(UPPER(TRIM(Inputs!$B$24))="MAX",UPPER(TRIM(Inputs!$B$24))="X"),MAX(IF(AW199="",0,AW199),IF(AX199="",0,AX199),IF(BA199="",0,BA199)),AW199)))))</f>
        <v/>
      </c>
      <c r="AZ199" s="13" t="str">
        <f aca="false">IF(BB199="","",CH199)</f>
        <v/>
      </c>
      <c r="BA199" s="13" t="str">
        <f aca="false">IF(OR(BB199="",AZ199="",T199="",T199&lt;=0,AZ199&lt;=0),"",BB199/((T199^2/8)*(2*ACOS(1-2*AZ199/T199)-SIN(2*ACOS(1-2*AZ199/T199)))))</f>
        <v/>
      </c>
      <c r="BB199" s="9" t="str">
        <f aca="false">IF(OR(N199="",BC199=""),"",MIN(N199,BC199))</f>
        <v/>
      </c>
      <c r="BC199" s="9" t="str">
        <f aca="false">IF(OR(N199="",T199="",P199=""),"",IF(OR(T199="",P199="",(0.94*T199)="",T199&lt;=0,(0.94*T199)&lt;=0),"",(1/Inputs!$B$9)*((T199^2/8)*((2*ACOS(1-2*(0.94*T199)/T199))-SIN((2*ACOS(1-2*(0.94*T199)/T199)))))*((((T199^2/8)*((2*ACOS(1-2*(0.94*T199)/T199))-SIN((2*ACOS(1-2*(0.94*T199)/T199)))))/((T199/2)*((2*ACOS(1-2*(0.94*T199)/T199)))))^(2/3))*SQRT(P199)))</f>
        <v/>
      </c>
      <c r="BD199" s="9" t="str">
        <f aca="false">IF(BB199="","",0.001*T199)</f>
        <v/>
      </c>
      <c r="BE199" s="9" t="str">
        <f aca="false">IF(BB199="","",0.94*T199)</f>
        <v/>
      </c>
      <c r="BF199" s="9" t="str">
        <f aca="false">IF(BB199="","",(BD199+BE199)/2)</f>
        <v/>
      </c>
      <c r="BG199" s="9" t="str">
        <f aca="false">IF(OR(T199="",P199="",BF199="",T199&lt;=0,BF199&lt;=0),"",(1/Inputs!$B$9)*((T199^2/8)*((2*ACOS(1-2*BF199/T199))-SIN((2*ACOS(1-2*BF199/T199)))))*((((T199^2/8)*((2*ACOS(1-2*BF199/T199))-SIN((2*ACOS(1-2*BF199/T199)))))/((T199/2)*((2*ACOS(1-2*BF199/T199)))))^(2/3))*SQRT(P199))</f>
        <v/>
      </c>
      <c r="BH199" s="9" t="str">
        <f aca="false">IF(BB199="","",IF(BG199&lt;BB199,BF199,BD199))</f>
        <v/>
      </c>
      <c r="BI199" s="9" t="str">
        <f aca="false">IF(BB199="","",IF(BG199&lt;BB199,BE199,BF199))</f>
        <v/>
      </c>
      <c r="BJ199" s="9" t="str">
        <f aca="false">IF(BB199="","",(BH199+BI199)/2)</f>
        <v/>
      </c>
      <c r="BK199" s="9" t="str">
        <f aca="false">IF(OR(T199="",P199="",BJ199="",T199&lt;=0,BJ199&lt;=0),"",(1/Inputs!$B$9)*((T199^2/8)*((2*ACOS(1-2*BJ199/T199))-SIN((2*ACOS(1-2*BJ199/T199)))))*((((T199^2/8)*((2*ACOS(1-2*BJ199/T199))-SIN((2*ACOS(1-2*BJ199/T199)))))/((T199/2)*((2*ACOS(1-2*BJ199/T199)))))^(2/3))*SQRT(P199))</f>
        <v/>
      </c>
      <c r="BL199" s="9" t="str">
        <f aca="false">IF(BB199="","",IF(BK199&lt;BB199,BJ199,BH199))</f>
        <v/>
      </c>
      <c r="BM199" s="9" t="str">
        <f aca="false">IF(BB199="","",IF(BK199&lt;BB199,BI199,BJ199))</f>
        <v/>
      </c>
      <c r="BN199" s="9" t="str">
        <f aca="false">IF(BB199="","",(BL199+BM199)/2)</f>
        <v/>
      </c>
      <c r="BO199" s="9" t="str">
        <f aca="false">IF(OR(T199="",P199="",BN199="",T199&lt;=0,BN199&lt;=0),"",(1/Inputs!$B$9)*((T199^2/8)*((2*ACOS(1-2*BN199/T199))-SIN((2*ACOS(1-2*BN199/T199)))))*((((T199^2/8)*((2*ACOS(1-2*BN199/T199))-SIN((2*ACOS(1-2*BN199/T199)))))/((T199/2)*((2*ACOS(1-2*BN199/T199)))))^(2/3))*SQRT(P199))</f>
        <v/>
      </c>
      <c r="BP199" s="9" t="str">
        <f aca="false">IF(BB199="","",IF(BO199&lt;BB199,BN199,BL199))</f>
        <v/>
      </c>
      <c r="BQ199" s="9" t="str">
        <f aca="false">IF(BB199="","",IF(BO199&lt;BB199,BM199,BN199))</f>
        <v/>
      </c>
      <c r="BR199" s="9" t="str">
        <f aca="false">IF(BB199="","",(BP199+BQ199)/2)</f>
        <v/>
      </c>
      <c r="BS199" s="9" t="str">
        <f aca="false">IF(OR(T199="",P199="",BR199="",T199&lt;=0,BR199&lt;=0),"",(1/Inputs!$B$9)*((T199^2/8)*((2*ACOS(1-2*BR199/T199))-SIN((2*ACOS(1-2*BR199/T199)))))*((((T199^2/8)*((2*ACOS(1-2*BR199/T199))-SIN((2*ACOS(1-2*BR199/T199)))))/((T199/2)*((2*ACOS(1-2*BR199/T199)))))^(2/3))*SQRT(P199))</f>
        <v/>
      </c>
      <c r="BT199" s="9" t="str">
        <f aca="false">IF(BB199="","",IF(BS199&lt;BB199,BR199,BP199))</f>
        <v/>
      </c>
      <c r="BU199" s="9" t="str">
        <f aca="false">IF(BB199="","",IF(BS199&lt;BB199,BQ199,BR199))</f>
        <v/>
      </c>
      <c r="BV199" s="9" t="str">
        <f aca="false">IF(BB199="","",(BT199+BU199)/2)</f>
        <v/>
      </c>
      <c r="BW199" s="9" t="str">
        <f aca="false">IF(OR(T199="",P199="",BV199="",T199&lt;=0,BV199&lt;=0),"",(1/Inputs!$B$9)*((T199^2/8)*((2*ACOS(1-2*BV199/T199))-SIN((2*ACOS(1-2*BV199/T199)))))*((((T199^2/8)*((2*ACOS(1-2*BV199/T199))-SIN((2*ACOS(1-2*BV199/T199)))))/((T199/2)*((2*ACOS(1-2*BV199/T199)))))^(2/3))*SQRT(P199))</f>
        <v/>
      </c>
      <c r="BX199" s="9" t="str">
        <f aca="false">IF(BB199="","",IF(BW199&lt;BB199,BV199,BT199))</f>
        <v/>
      </c>
      <c r="BY199" s="9" t="str">
        <f aca="false">IF(BB199="","",IF(BW199&lt;BB199,BU199,BV199))</f>
        <v/>
      </c>
      <c r="BZ199" s="9" t="str">
        <f aca="false">IF(BB199="","",(BX199+BY199)/2)</f>
        <v/>
      </c>
      <c r="CA199" s="9" t="str">
        <f aca="false">IF(OR(T199="",P199="",BZ199="",T199&lt;=0,BZ199&lt;=0),"",(1/Inputs!$B$9)*((T199^2/8)*((2*ACOS(1-2*BZ199/T199))-SIN((2*ACOS(1-2*BZ199/T199)))))*((((T199^2/8)*((2*ACOS(1-2*BZ199/T199))-SIN((2*ACOS(1-2*BZ199/T199)))))/((T199/2)*((2*ACOS(1-2*BZ199/T199)))))^(2/3))*SQRT(P199))</f>
        <v/>
      </c>
      <c r="CB199" s="9" t="str">
        <f aca="false">IF(BB199="","",IF(CA199&lt;BB199,BZ199,BX199))</f>
        <v/>
      </c>
      <c r="CC199" s="9" t="str">
        <f aca="false">IF(BB199="","",IF(CA199&lt;BB199,BY199,BZ199))</f>
        <v/>
      </c>
      <c r="CD199" s="9" t="str">
        <f aca="false">IF(BB199="","",(CB199+CC199)/2)</f>
        <v/>
      </c>
      <c r="CE199" s="9" t="str">
        <f aca="false">IF(OR(T199="",P199="",CD199="",T199&lt;=0,CD199&lt;=0),"",(1/Inputs!$B$9)*((T199^2/8)*((2*ACOS(1-2*CD199/T199))-SIN((2*ACOS(1-2*CD199/T199)))))*((((T199^2/8)*((2*ACOS(1-2*CD199/T199))-SIN((2*ACOS(1-2*CD199/T199)))))/((T199/2)*((2*ACOS(1-2*CD199/T199)))))^(2/3))*SQRT(P199))</f>
        <v/>
      </c>
      <c r="CF199" s="9" t="str">
        <f aca="false">IF(BB199="","",IF(CE199&lt;BB199,CD199,CB199))</f>
        <v/>
      </c>
      <c r="CG199" s="9" t="str">
        <f aca="false">IF(BB199="","",IF(CE199&lt;BB199,CC199,CD199))</f>
        <v/>
      </c>
      <c r="CH199" s="9" t="str">
        <f aca="false">IF(BB199="","",(CF199+CG199)/2)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14"/>
      <c r="F200" s="14"/>
      <c r="G200" s="14" t="n">
        <f aca="false">SUMIFS(CB_plan!$C:$C,CB_plan!$B:$B,$A200)</f>
        <v>0</v>
      </c>
      <c r="H200" s="14" t="n">
        <f aca="false">IF(F200="",G200,F200)</f>
        <v>0</v>
      </c>
      <c r="I200" s="9"/>
      <c r="J200" s="14"/>
      <c r="K200" s="14" t="str">
        <f aca="false">IF(A200="","",Inputs!$B$13/((IF(AV200="",Inputs!$B$18,AV200)+Inputs!$B$14)^Inputs!$B$15))</f>
        <v/>
      </c>
      <c r="L200" s="14" t="str">
        <f aca="false">IF(A200="","",0.000000278*IF(I200="",Inputs!$B$17,I200)*H200*K200)</f>
        <v/>
      </c>
      <c r="M200" s="14" t="str">
        <f aca="false">IF(A200="","",SUMIFS($N$4:$N$203,$D$4:$D$203,$A200))</f>
        <v/>
      </c>
      <c r="N200" s="14" t="str">
        <f aca="false">IF(A200="","",(L200+M200)*Inputs!$B$16)</f>
        <v/>
      </c>
      <c r="O200" s="14"/>
      <c r="P200" s="14" t="str">
        <f aca="false">IF(A200="","",IF(O200="",Inputs!$B$7,O200))</f>
        <v/>
      </c>
      <c r="Q200" s="9" t="str">
        <f aca="false">IF(A200="","",IF(N200/Inputs!$B$10&lt;=AG200,Inputs!$F$5,IF(N200/Inputs!$B$10&gt;AP200,"OVERSIZE",INDEX(Inputs!$F$5:$F$14,MATCH(N200/Inputs!$B$10,AG200:AP200,1)+1))))</f>
        <v/>
      </c>
      <c r="R200" s="9"/>
      <c r="S200" s="9" t="str">
        <f aca="false">IF(A200="","",IF(R200="",Q200,R200))</f>
        <v/>
      </c>
      <c r="T200" s="14" t="str">
        <f aca="false">IF(OR(S200="",S200="OVERSIZE"),"",S200/1000)</f>
        <v/>
      </c>
      <c r="U200" s="14" t="str">
        <f aca="false">IF(T200="","",(1/Inputs!$B$9)*(PI()*T200^2/4)*((T200/4)^(2/3))*SQRT(P200))</f>
        <v/>
      </c>
      <c r="V200" s="14" t="str">
        <f aca="false">IF(OR(U200="",N200=""),"",N200/(U200*Inputs!$B$10))</f>
        <v/>
      </c>
      <c r="W200" s="14" t="str">
        <f aca="false">IF(OR(T200="",N200=""),"",4*N200/(PI()*T200^2))</f>
        <v/>
      </c>
      <c r="X200" s="14"/>
      <c r="Y200" s="14" t="str">
        <f aca="false">IF(A200="","",IF(A200=Inputs!$B$6,Inputs!$B$22,IF(D200="","",IFERROR(INDEX($Z$4:$Z$203,MATCH(D200,$A$4:$A$203,0))+IF(X200="",Inputs!$B$20,X200),""))))</f>
        <v/>
      </c>
      <c r="Z200" s="14" t="str">
        <f aca="false">IF(OR(Y200="",P200="",E200=""),"",Y200+P200*E200)</f>
        <v/>
      </c>
      <c r="AA200" s="14" t="str">
        <f aca="false">IF(C200="","",IFERROR(INDEX(Noeuds_plan!$C$4:$C$200,MATCH(C200,Noeuds_plan!$A$4:$A$200,0)),""))</f>
        <v/>
      </c>
      <c r="AB200" s="14" t="str">
        <f aca="false">IF(B200="","",IFERROR(INDEX(Noeuds_plan!$C$4:$C$200,MATCH(B200,Noeuds_plan!$A$4:$A$200,0)),""))</f>
        <v/>
      </c>
      <c r="AC200" s="14" t="str">
        <f aca="false">IF(OR(AA200="",Y200=""),"",AA200-Y200)</f>
        <v/>
      </c>
      <c r="AD200" s="14" t="str">
        <f aca="false">IF(OR(AB200="",Z200=""),"",AB200-Z200)</f>
        <v/>
      </c>
      <c r="AE200" s="19" t="str">
        <f aca="false">IF(A200="","",IF(OR(V200&gt;1,AND(AY200&lt;&gt;"",AY200&lt;Inputs!$B$11),AND(AY200&lt;&gt;"",AY200&gt;Inputs!$B$12),AC200&lt;Inputs!$B$19,AD200&lt;Inputs!$B$19,P200&lt;Inputs!$B$7,P200&gt;Inputs!$B$8),"CHECK","OK"))</f>
        <v/>
      </c>
      <c r="AF200" s="9"/>
      <c r="AG200" s="9" t="str">
        <f aca="false">IF(A200="","",(1/Inputs!$B$9)*(PI()*(Inputs!$F$5/1000)^2/4)*((Inputs!$F$5/1000/4)^(2/3))*SQRT(P200))</f>
        <v/>
      </c>
      <c r="AH200" s="9" t="str">
        <f aca="false">IF(A200="","",(1/Inputs!$B$9)*(PI()*(Inputs!$F$6/1000)^2/4)*((Inputs!$F$6/1000/4)^(2/3))*SQRT(P200))</f>
        <v/>
      </c>
      <c r="AI200" s="9" t="str">
        <f aca="false">IF(A200="","",(1/Inputs!$B$9)*(PI()*(Inputs!$F$7/1000)^2/4)*((Inputs!$F$7/1000/4)^(2/3))*SQRT(P200))</f>
        <v/>
      </c>
      <c r="AJ200" s="9" t="str">
        <f aca="false">IF(A200="","",(1/Inputs!$B$9)*(PI()*(Inputs!$F$8/1000)^2/4)*((Inputs!$F$8/1000/4)^(2/3))*SQRT(P200))</f>
        <v/>
      </c>
      <c r="AK200" s="9" t="str">
        <f aca="false">IF(A200="","",(1/Inputs!$B$9)*(PI()*(Inputs!$F$9/1000)^2/4)*((Inputs!$F$9/1000/4)^(2/3))*SQRT(P200))</f>
        <v/>
      </c>
      <c r="AL200" s="9" t="str">
        <f aca="false">IF(A200="","",(1/Inputs!$B$9)*(PI()*(Inputs!$F$10/1000)^2/4)*((Inputs!$F$10/1000/4)^(2/3))*SQRT(P200))</f>
        <v/>
      </c>
      <c r="AM200" s="9" t="str">
        <f aca="false">IF(A200="","",(1/Inputs!$B$9)*(PI()*(Inputs!$F$11/1000)^2/4)*((Inputs!$F$11/1000/4)^(2/3))*SQRT(P200))</f>
        <v/>
      </c>
      <c r="AN200" s="9" t="str">
        <f aca="false">IF(A200="","",(1/Inputs!$B$9)*(PI()*(Inputs!$F$12/1000)^2/4)*((Inputs!$F$12/1000/4)^(2/3))*SQRT(P200))</f>
        <v/>
      </c>
      <c r="AO200" s="9" t="str">
        <f aca="false">IF(A200="","",(1/Inputs!$B$9)*(PI()*(Inputs!$F$13/1000)^2/4)*((Inputs!$F$13/1000/4)^(2/3))*SQRT(P200))</f>
        <v/>
      </c>
      <c r="AP200" s="9" t="str">
        <f aca="false">IF(A200="","",(1/Inputs!$B$9)*(PI()*(Inputs!$F$14/1000)^2/4)*((Inputs!$F$14/1000/4)^(2/3))*SQRT(P200))</f>
        <v/>
      </c>
      <c r="AQ200" s="9" t="str">
        <f aca="false">IF(A200="","",COUNTIF($D$4:$D$203,$A200))</f>
        <v/>
      </c>
      <c r="AR200" s="9" t="str">
        <f aca="false">IF(A200="","",IF(AQ200=0,"START","CONTINUOUS"))</f>
        <v/>
      </c>
      <c r="AS200" s="13" t="str">
        <f aca="false">IF(A200="","",IF(J200="",Inputs!$B$18,J200))</f>
        <v/>
      </c>
      <c r="AT200" s="13" t="str">
        <f aca="false">IF(A200="","",IFERROR(maxifs($AV$4:$AV$203,$D$4:$D$203,$A200),""))</f>
        <v/>
      </c>
      <c r="AU200" s="13" t="str">
        <f aca="false">IF(A200="","",IF(OR(E200="",Inputs!$B$23=""),"",E200/(Inputs!$B$23*60)))</f>
        <v/>
      </c>
      <c r="AV200" s="13" t="str">
        <f aca="false">IF(A200="","",IF(AQ200=0,AS200+AU200,IF(AT200="",AS200+AU200,AT200+AU200)))</f>
        <v/>
      </c>
      <c r="AW200" s="13" t="str">
        <f aca="false">IF(A200="","",W200)</f>
        <v/>
      </c>
      <c r="AX200" s="13" t="str">
        <f aca="false">IF(OR(T200="",P200=""),"",(1/Inputs!$B$9)*((T200/4)^(2/3))*SQRT(P200))</f>
        <v/>
      </c>
      <c r="AY200" s="13" t="str">
        <f aca="false">IF(A200="","",IF(AND(AW200="",AX200="",BA200=""),"",IF(OR(UPPER(TRIM(Inputs!$B$24))="MANNING",UPPER(TRIM(Inputs!$B$24))="M"),AX200,IF(OR(UPPER(TRIM(Inputs!$B$24))="PARTIAL",UPPER(TRIM(Inputs!$B$24))="P"),BA200,IF(OR(UPPER(TRIM(Inputs!$B$24))="MAX",UPPER(TRIM(Inputs!$B$24))="X"),MAX(IF(AW200="",0,AW200),IF(AX200="",0,AX200),IF(BA200="",0,BA200)),AW200)))))</f>
        <v/>
      </c>
      <c r="AZ200" s="13" t="str">
        <f aca="false">IF(BB200="","",CH200)</f>
        <v/>
      </c>
      <c r="BA200" s="13" t="str">
        <f aca="false">IF(OR(BB200="",AZ200="",T200="",T200&lt;=0,AZ200&lt;=0),"",BB200/((T200^2/8)*(2*ACOS(1-2*AZ200/T200)-SIN(2*ACOS(1-2*AZ200/T200)))))</f>
        <v/>
      </c>
      <c r="BB200" s="9" t="str">
        <f aca="false">IF(OR(N200="",BC200=""),"",MIN(N200,BC200))</f>
        <v/>
      </c>
      <c r="BC200" s="9" t="str">
        <f aca="false">IF(OR(N200="",T200="",P200=""),"",IF(OR(T200="",P200="",(0.94*T200)="",T200&lt;=0,(0.94*T200)&lt;=0),"",(1/Inputs!$B$9)*((T200^2/8)*((2*ACOS(1-2*(0.94*T200)/T200))-SIN((2*ACOS(1-2*(0.94*T200)/T200)))))*((((T200^2/8)*((2*ACOS(1-2*(0.94*T200)/T200))-SIN((2*ACOS(1-2*(0.94*T200)/T200)))))/((T200/2)*((2*ACOS(1-2*(0.94*T200)/T200)))))^(2/3))*SQRT(P200)))</f>
        <v/>
      </c>
      <c r="BD200" s="9" t="str">
        <f aca="false">IF(BB200="","",0.001*T200)</f>
        <v/>
      </c>
      <c r="BE200" s="9" t="str">
        <f aca="false">IF(BB200="","",0.94*T200)</f>
        <v/>
      </c>
      <c r="BF200" s="9" t="str">
        <f aca="false">IF(BB200="","",(BD200+BE200)/2)</f>
        <v/>
      </c>
      <c r="BG200" s="9" t="str">
        <f aca="false">IF(OR(T200="",P200="",BF200="",T200&lt;=0,BF200&lt;=0),"",(1/Inputs!$B$9)*((T200^2/8)*((2*ACOS(1-2*BF200/T200))-SIN((2*ACOS(1-2*BF200/T200)))))*((((T200^2/8)*((2*ACOS(1-2*BF200/T200))-SIN((2*ACOS(1-2*BF200/T200)))))/((T200/2)*((2*ACOS(1-2*BF200/T200)))))^(2/3))*SQRT(P200))</f>
        <v/>
      </c>
      <c r="BH200" s="9" t="str">
        <f aca="false">IF(BB200="","",IF(BG200&lt;BB200,BF200,BD200))</f>
        <v/>
      </c>
      <c r="BI200" s="9" t="str">
        <f aca="false">IF(BB200="","",IF(BG200&lt;BB200,BE200,BF200))</f>
        <v/>
      </c>
      <c r="BJ200" s="9" t="str">
        <f aca="false">IF(BB200="","",(BH200+BI200)/2)</f>
        <v/>
      </c>
      <c r="BK200" s="9" t="str">
        <f aca="false">IF(OR(T200="",P200="",BJ200="",T200&lt;=0,BJ200&lt;=0),"",(1/Inputs!$B$9)*((T200^2/8)*((2*ACOS(1-2*BJ200/T200))-SIN((2*ACOS(1-2*BJ200/T200)))))*((((T200^2/8)*((2*ACOS(1-2*BJ200/T200))-SIN((2*ACOS(1-2*BJ200/T200)))))/((T200/2)*((2*ACOS(1-2*BJ200/T200)))))^(2/3))*SQRT(P200))</f>
        <v/>
      </c>
      <c r="BL200" s="9" t="str">
        <f aca="false">IF(BB200="","",IF(BK200&lt;BB200,BJ200,BH200))</f>
        <v/>
      </c>
      <c r="BM200" s="9" t="str">
        <f aca="false">IF(BB200="","",IF(BK200&lt;BB200,BI200,BJ200))</f>
        <v/>
      </c>
      <c r="BN200" s="9" t="str">
        <f aca="false">IF(BB200="","",(BL200+BM200)/2)</f>
        <v/>
      </c>
      <c r="BO200" s="9" t="str">
        <f aca="false">IF(OR(T200="",P200="",BN200="",T200&lt;=0,BN200&lt;=0),"",(1/Inputs!$B$9)*((T200^2/8)*((2*ACOS(1-2*BN200/T200))-SIN((2*ACOS(1-2*BN200/T200)))))*((((T200^2/8)*((2*ACOS(1-2*BN200/T200))-SIN((2*ACOS(1-2*BN200/T200)))))/((T200/2)*((2*ACOS(1-2*BN200/T200)))))^(2/3))*SQRT(P200))</f>
        <v/>
      </c>
      <c r="BP200" s="9" t="str">
        <f aca="false">IF(BB200="","",IF(BO200&lt;BB200,BN200,BL200))</f>
        <v/>
      </c>
      <c r="BQ200" s="9" t="str">
        <f aca="false">IF(BB200="","",IF(BO200&lt;BB200,BM200,BN200))</f>
        <v/>
      </c>
      <c r="BR200" s="9" t="str">
        <f aca="false">IF(BB200="","",(BP200+BQ200)/2)</f>
        <v/>
      </c>
      <c r="BS200" s="9" t="str">
        <f aca="false">IF(OR(T200="",P200="",BR200="",T200&lt;=0,BR200&lt;=0),"",(1/Inputs!$B$9)*((T200^2/8)*((2*ACOS(1-2*BR200/T200))-SIN((2*ACOS(1-2*BR200/T200)))))*((((T200^2/8)*((2*ACOS(1-2*BR200/T200))-SIN((2*ACOS(1-2*BR200/T200)))))/((T200/2)*((2*ACOS(1-2*BR200/T200)))))^(2/3))*SQRT(P200))</f>
        <v/>
      </c>
      <c r="BT200" s="9" t="str">
        <f aca="false">IF(BB200="","",IF(BS200&lt;BB200,BR200,BP200))</f>
        <v/>
      </c>
      <c r="BU200" s="9" t="str">
        <f aca="false">IF(BB200="","",IF(BS200&lt;BB200,BQ200,BR200))</f>
        <v/>
      </c>
      <c r="BV200" s="9" t="str">
        <f aca="false">IF(BB200="","",(BT200+BU200)/2)</f>
        <v/>
      </c>
      <c r="BW200" s="9" t="str">
        <f aca="false">IF(OR(T200="",P200="",BV200="",T200&lt;=0,BV200&lt;=0),"",(1/Inputs!$B$9)*((T200^2/8)*((2*ACOS(1-2*BV200/T200))-SIN((2*ACOS(1-2*BV200/T200)))))*((((T200^2/8)*((2*ACOS(1-2*BV200/T200))-SIN((2*ACOS(1-2*BV200/T200)))))/((T200/2)*((2*ACOS(1-2*BV200/T200)))))^(2/3))*SQRT(P200))</f>
        <v/>
      </c>
      <c r="BX200" s="9" t="str">
        <f aca="false">IF(BB200="","",IF(BW200&lt;BB200,BV200,BT200))</f>
        <v/>
      </c>
      <c r="BY200" s="9" t="str">
        <f aca="false">IF(BB200="","",IF(BW200&lt;BB200,BU200,BV200))</f>
        <v/>
      </c>
      <c r="BZ200" s="9" t="str">
        <f aca="false">IF(BB200="","",(BX200+BY200)/2)</f>
        <v/>
      </c>
      <c r="CA200" s="9" t="str">
        <f aca="false">IF(OR(T200="",P200="",BZ200="",T200&lt;=0,BZ200&lt;=0),"",(1/Inputs!$B$9)*((T200^2/8)*((2*ACOS(1-2*BZ200/T200))-SIN((2*ACOS(1-2*BZ200/T200)))))*((((T200^2/8)*((2*ACOS(1-2*BZ200/T200))-SIN((2*ACOS(1-2*BZ200/T200)))))/((T200/2)*((2*ACOS(1-2*BZ200/T200)))))^(2/3))*SQRT(P200))</f>
        <v/>
      </c>
      <c r="CB200" s="9" t="str">
        <f aca="false">IF(BB200="","",IF(CA200&lt;BB200,BZ200,BX200))</f>
        <v/>
      </c>
      <c r="CC200" s="9" t="str">
        <f aca="false">IF(BB200="","",IF(CA200&lt;BB200,BY200,BZ200))</f>
        <v/>
      </c>
      <c r="CD200" s="9" t="str">
        <f aca="false">IF(BB200="","",(CB200+CC200)/2)</f>
        <v/>
      </c>
      <c r="CE200" s="9" t="str">
        <f aca="false">IF(OR(T200="",P200="",CD200="",T200&lt;=0,CD200&lt;=0),"",(1/Inputs!$B$9)*((T200^2/8)*((2*ACOS(1-2*CD200/T200))-SIN((2*ACOS(1-2*CD200/T200)))))*((((T200^2/8)*((2*ACOS(1-2*CD200/T200))-SIN((2*ACOS(1-2*CD200/T200)))))/((T200/2)*((2*ACOS(1-2*CD200/T200)))))^(2/3))*SQRT(P200))</f>
        <v/>
      </c>
      <c r="CF200" s="9" t="str">
        <f aca="false">IF(BB200="","",IF(CE200&lt;BB200,CD200,CB200))</f>
        <v/>
      </c>
      <c r="CG200" s="9" t="str">
        <f aca="false">IF(BB200="","",IF(CE200&lt;BB200,CC200,CD200))</f>
        <v/>
      </c>
      <c r="CH200" s="9" t="str">
        <f aca="false">IF(BB200="","",(CF200+CG200)/2)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14"/>
      <c r="F201" s="14"/>
      <c r="G201" s="14" t="n">
        <f aca="false">SUMIFS(CB_plan!$C:$C,CB_plan!$B:$B,$A201)</f>
        <v>0</v>
      </c>
      <c r="H201" s="14" t="n">
        <f aca="false">IF(F201="",G201,F201)</f>
        <v>0</v>
      </c>
      <c r="I201" s="9"/>
      <c r="J201" s="14"/>
      <c r="K201" s="14" t="str">
        <f aca="false">IF(A201="","",Inputs!$B$13/((IF(AV201="",Inputs!$B$18,AV201)+Inputs!$B$14)^Inputs!$B$15))</f>
        <v/>
      </c>
      <c r="L201" s="14" t="str">
        <f aca="false">IF(A201="","",0.000000278*IF(I201="",Inputs!$B$17,I201)*H201*K201)</f>
        <v/>
      </c>
      <c r="M201" s="14" t="str">
        <f aca="false">IF(A201="","",SUMIFS($N$4:$N$203,$D$4:$D$203,$A201))</f>
        <v/>
      </c>
      <c r="N201" s="14" t="str">
        <f aca="false">IF(A201="","",(L201+M201)*Inputs!$B$16)</f>
        <v/>
      </c>
      <c r="O201" s="14"/>
      <c r="P201" s="14" t="str">
        <f aca="false">IF(A201="","",IF(O201="",Inputs!$B$7,O201))</f>
        <v/>
      </c>
      <c r="Q201" s="9" t="str">
        <f aca="false">IF(A201="","",IF(N201/Inputs!$B$10&lt;=AG201,Inputs!$F$5,IF(N201/Inputs!$B$10&gt;AP201,"OVERSIZE",INDEX(Inputs!$F$5:$F$14,MATCH(N201/Inputs!$B$10,AG201:AP201,1)+1))))</f>
        <v/>
      </c>
      <c r="R201" s="9"/>
      <c r="S201" s="9" t="str">
        <f aca="false">IF(A201="","",IF(R201="",Q201,R201))</f>
        <v/>
      </c>
      <c r="T201" s="14" t="str">
        <f aca="false">IF(OR(S201="",S201="OVERSIZE"),"",S201/1000)</f>
        <v/>
      </c>
      <c r="U201" s="14" t="str">
        <f aca="false">IF(T201="","",(1/Inputs!$B$9)*(PI()*T201^2/4)*((T201/4)^(2/3))*SQRT(P201))</f>
        <v/>
      </c>
      <c r="V201" s="14" t="str">
        <f aca="false">IF(OR(U201="",N201=""),"",N201/(U201*Inputs!$B$10))</f>
        <v/>
      </c>
      <c r="W201" s="14" t="str">
        <f aca="false">IF(OR(T201="",N201=""),"",4*N201/(PI()*T201^2))</f>
        <v/>
      </c>
      <c r="X201" s="14"/>
      <c r="Y201" s="14" t="str">
        <f aca="false">IF(A201="","",IF(A201=Inputs!$B$6,Inputs!$B$22,IF(D201="","",IFERROR(INDEX($Z$4:$Z$203,MATCH(D201,$A$4:$A$203,0))+IF(X201="",Inputs!$B$20,X201),""))))</f>
        <v/>
      </c>
      <c r="Z201" s="14" t="str">
        <f aca="false">IF(OR(Y201="",P201="",E201=""),"",Y201+P201*E201)</f>
        <v/>
      </c>
      <c r="AA201" s="14" t="str">
        <f aca="false">IF(C201="","",IFERROR(INDEX(Noeuds_plan!$C$4:$C$200,MATCH(C201,Noeuds_plan!$A$4:$A$200,0)),""))</f>
        <v/>
      </c>
      <c r="AB201" s="14" t="str">
        <f aca="false">IF(B201="","",IFERROR(INDEX(Noeuds_plan!$C$4:$C$200,MATCH(B201,Noeuds_plan!$A$4:$A$200,0)),""))</f>
        <v/>
      </c>
      <c r="AC201" s="14" t="str">
        <f aca="false">IF(OR(AA201="",Y201=""),"",AA201-Y201)</f>
        <v/>
      </c>
      <c r="AD201" s="14" t="str">
        <f aca="false">IF(OR(AB201="",Z201=""),"",AB201-Z201)</f>
        <v/>
      </c>
      <c r="AE201" s="19" t="str">
        <f aca="false">IF(A201="","",IF(OR(V201&gt;1,AND(AY201&lt;&gt;"",AY201&lt;Inputs!$B$11),AND(AY201&lt;&gt;"",AY201&gt;Inputs!$B$12),AC201&lt;Inputs!$B$19,AD201&lt;Inputs!$B$19,P201&lt;Inputs!$B$7,P201&gt;Inputs!$B$8),"CHECK","OK"))</f>
        <v/>
      </c>
      <c r="AF201" s="9"/>
      <c r="AG201" s="9" t="str">
        <f aca="false">IF(A201="","",(1/Inputs!$B$9)*(PI()*(Inputs!$F$5/1000)^2/4)*((Inputs!$F$5/1000/4)^(2/3))*SQRT(P201))</f>
        <v/>
      </c>
      <c r="AH201" s="9" t="str">
        <f aca="false">IF(A201="","",(1/Inputs!$B$9)*(PI()*(Inputs!$F$6/1000)^2/4)*((Inputs!$F$6/1000/4)^(2/3))*SQRT(P201))</f>
        <v/>
      </c>
      <c r="AI201" s="9" t="str">
        <f aca="false">IF(A201="","",(1/Inputs!$B$9)*(PI()*(Inputs!$F$7/1000)^2/4)*((Inputs!$F$7/1000/4)^(2/3))*SQRT(P201))</f>
        <v/>
      </c>
      <c r="AJ201" s="9" t="str">
        <f aca="false">IF(A201="","",(1/Inputs!$B$9)*(PI()*(Inputs!$F$8/1000)^2/4)*((Inputs!$F$8/1000/4)^(2/3))*SQRT(P201))</f>
        <v/>
      </c>
      <c r="AK201" s="9" t="str">
        <f aca="false">IF(A201="","",(1/Inputs!$B$9)*(PI()*(Inputs!$F$9/1000)^2/4)*((Inputs!$F$9/1000/4)^(2/3))*SQRT(P201))</f>
        <v/>
      </c>
      <c r="AL201" s="9" t="str">
        <f aca="false">IF(A201="","",(1/Inputs!$B$9)*(PI()*(Inputs!$F$10/1000)^2/4)*((Inputs!$F$10/1000/4)^(2/3))*SQRT(P201))</f>
        <v/>
      </c>
      <c r="AM201" s="9" t="str">
        <f aca="false">IF(A201="","",(1/Inputs!$B$9)*(PI()*(Inputs!$F$11/1000)^2/4)*((Inputs!$F$11/1000/4)^(2/3))*SQRT(P201))</f>
        <v/>
      </c>
      <c r="AN201" s="9" t="str">
        <f aca="false">IF(A201="","",(1/Inputs!$B$9)*(PI()*(Inputs!$F$12/1000)^2/4)*((Inputs!$F$12/1000/4)^(2/3))*SQRT(P201))</f>
        <v/>
      </c>
      <c r="AO201" s="9" t="str">
        <f aca="false">IF(A201="","",(1/Inputs!$B$9)*(PI()*(Inputs!$F$13/1000)^2/4)*((Inputs!$F$13/1000/4)^(2/3))*SQRT(P201))</f>
        <v/>
      </c>
      <c r="AP201" s="9" t="str">
        <f aca="false">IF(A201="","",(1/Inputs!$B$9)*(PI()*(Inputs!$F$14/1000)^2/4)*((Inputs!$F$14/1000/4)^(2/3))*SQRT(P201))</f>
        <v/>
      </c>
      <c r="AQ201" s="9" t="str">
        <f aca="false">IF(A201="","",COUNTIF($D$4:$D$203,$A201))</f>
        <v/>
      </c>
      <c r="AR201" s="9" t="str">
        <f aca="false">IF(A201="","",IF(AQ201=0,"START","CONTINUOUS"))</f>
        <v/>
      </c>
      <c r="AS201" s="13" t="str">
        <f aca="false">IF(A201="","",IF(J201="",Inputs!$B$18,J201))</f>
        <v/>
      </c>
      <c r="AT201" s="13" t="str">
        <f aca="false">IF(A201="","",IFERROR(maxifs($AV$4:$AV$203,$D$4:$D$203,$A201),""))</f>
        <v/>
      </c>
      <c r="AU201" s="13" t="str">
        <f aca="false">IF(A201="","",IF(OR(E201="",Inputs!$B$23=""),"",E201/(Inputs!$B$23*60)))</f>
        <v/>
      </c>
      <c r="AV201" s="13" t="str">
        <f aca="false">IF(A201="","",IF(AQ201=0,AS201+AU201,IF(AT201="",AS201+AU201,AT201+AU201)))</f>
        <v/>
      </c>
      <c r="AW201" s="13" t="str">
        <f aca="false">IF(A201="","",W201)</f>
        <v/>
      </c>
      <c r="AX201" s="13" t="str">
        <f aca="false">IF(OR(T201="",P201=""),"",(1/Inputs!$B$9)*((T201/4)^(2/3))*SQRT(P201))</f>
        <v/>
      </c>
      <c r="AY201" s="13" t="str">
        <f aca="false">IF(A201="","",IF(AND(AW201="",AX201="",BA201=""),"",IF(OR(UPPER(TRIM(Inputs!$B$24))="MANNING",UPPER(TRIM(Inputs!$B$24))="M"),AX201,IF(OR(UPPER(TRIM(Inputs!$B$24))="PARTIAL",UPPER(TRIM(Inputs!$B$24))="P"),BA201,IF(OR(UPPER(TRIM(Inputs!$B$24))="MAX",UPPER(TRIM(Inputs!$B$24))="X"),MAX(IF(AW201="",0,AW201),IF(AX201="",0,AX201),IF(BA201="",0,BA201)),AW201)))))</f>
        <v/>
      </c>
      <c r="AZ201" s="13" t="str">
        <f aca="false">IF(BB201="","",CH201)</f>
        <v/>
      </c>
      <c r="BA201" s="13" t="str">
        <f aca="false">IF(OR(BB201="",AZ201="",T201="",T201&lt;=0,AZ201&lt;=0),"",BB201/((T201^2/8)*(2*ACOS(1-2*AZ201/T201)-SIN(2*ACOS(1-2*AZ201/T201)))))</f>
        <v/>
      </c>
      <c r="BB201" s="9" t="str">
        <f aca="false">IF(OR(N201="",BC201=""),"",MIN(N201,BC201))</f>
        <v/>
      </c>
      <c r="BC201" s="9" t="str">
        <f aca="false">IF(OR(N201="",T201="",P201=""),"",IF(OR(T201="",P201="",(0.94*T201)="",T201&lt;=0,(0.94*T201)&lt;=0),"",(1/Inputs!$B$9)*((T201^2/8)*((2*ACOS(1-2*(0.94*T201)/T201))-SIN((2*ACOS(1-2*(0.94*T201)/T201)))))*((((T201^2/8)*((2*ACOS(1-2*(0.94*T201)/T201))-SIN((2*ACOS(1-2*(0.94*T201)/T201)))))/((T201/2)*((2*ACOS(1-2*(0.94*T201)/T201)))))^(2/3))*SQRT(P201)))</f>
        <v/>
      </c>
      <c r="BD201" s="9" t="str">
        <f aca="false">IF(BB201="","",0.001*T201)</f>
        <v/>
      </c>
      <c r="BE201" s="9" t="str">
        <f aca="false">IF(BB201="","",0.94*T201)</f>
        <v/>
      </c>
      <c r="BF201" s="9" t="str">
        <f aca="false">IF(BB201="","",(BD201+BE201)/2)</f>
        <v/>
      </c>
      <c r="BG201" s="9" t="str">
        <f aca="false">IF(OR(T201="",P201="",BF201="",T201&lt;=0,BF201&lt;=0),"",(1/Inputs!$B$9)*((T201^2/8)*((2*ACOS(1-2*BF201/T201))-SIN((2*ACOS(1-2*BF201/T201)))))*((((T201^2/8)*((2*ACOS(1-2*BF201/T201))-SIN((2*ACOS(1-2*BF201/T201)))))/((T201/2)*((2*ACOS(1-2*BF201/T201)))))^(2/3))*SQRT(P201))</f>
        <v/>
      </c>
      <c r="BH201" s="9" t="str">
        <f aca="false">IF(BB201="","",IF(BG201&lt;BB201,BF201,BD201))</f>
        <v/>
      </c>
      <c r="BI201" s="9" t="str">
        <f aca="false">IF(BB201="","",IF(BG201&lt;BB201,BE201,BF201))</f>
        <v/>
      </c>
      <c r="BJ201" s="9" t="str">
        <f aca="false">IF(BB201="","",(BH201+BI201)/2)</f>
        <v/>
      </c>
      <c r="BK201" s="9" t="str">
        <f aca="false">IF(OR(T201="",P201="",BJ201="",T201&lt;=0,BJ201&lt;=0),"",(1/Inputs!$B$9)*((T201^2/8)*((2*ACOS(1-2*BJ201/T201))-SIN((2*ACOS(1-2*BJ201/T201)))))*((((T201^2/8)*((2*ACOS(1-2*BJ201/T201))-SIN((2*ACOS(1-2*BJ201/T201)))))/((T201/2)*((2*ACOS(1-2*BJ201/T201)))))^(2/3))*SQRT(P201))</f>
        <v/>
      </c>
      <c r="BL201" s="9" t="str">
        <f aca="false">IF(BB201="","",IF(BK201&lt;BB201,BJ201,BH201))</f>
        <v/>
      </c>
      <c r="BM201" s="9" t="str">
        <f aca="false">IF(BB201="","",IF(BK201&lt;BB201,BI201,BJ201))</f>
        <v/>
      </c>
      <c r="BN201" s="9" t="str">
        <f aca="false">IF(BB201="","",(BL201+BM201)/2)</f>
        <v/>
      </c>
      <c r="BO201" s="9" t="str">
        <f aca="false">IF(OR(T201="",P201="",BN201="",T201&lt;=0,BN201&lt;=0),"",(1/Inputs!$B$9)*((T201^2/8)*((2*ACOS(1-2*BN201/T201))-SIN((2*ACOS(1-2*BN201/T201)))))*((((T201^2/8)*((2*ACOS(1-2*BN201/T201))-SIN((2*ACOS(1-2*BN201/T201)))))/((T201/2)*((2*ACOS(1-2*BN201/T201)))))^(2/3))*SQRT(P201))</f>
        <v/>
      </c>
      <c r="BP201" s="9" t="str">
        <f aca="false">IF(BB201="","",IF(BO201&lt;BB201,BN201,BL201))</f>
        <v/>
      </c>
      <c r="BQ201" s="9" t="str">
        <f aca="false">IF(BB201="","",IF(BO201&lt;BB201,BM201,BN201))</f>
        <v/>
      </c>
      <c r="BR201" s="9" t="str">
        <f aca="false">IF(BB201="","",(BP201+BQ201)/2)</f>
        <v/>
      </c>
      <c r="BS201" s="9" t="str">
        <f aca="false">IF(OR(T201="",P201="",BR201="",T201&lt;=0,BR201&lt;=0),"",(1/Inputs!$B$9)*((T201^2/8)*((2*ACOS(1-2*BR201/T201))-SIN((2*ACOS(1-2*BR201/T201)))))*((((T201^2/8)*((2*ACOS(1-2*BR201/T201))-SIN((2*ACOS(1-2*BR201/T201)))))/((T201/2)*((2*ACOS(1-2*BR201/T201)))))^(2/3))*SQRT(P201))</f>
        <v/>
      </c>
      <c r="BT201" s="9" t="str">
        <f aca="false">IF(BB201="","",IF(BS201&lt;BB201,BR201,BP201))</f>
        <v/>
      </c>
      <c r="BU201" s="9" t="str">
        <f aca="false">IF(BB201="","",IF(BS201&lt;BB201,BQ201,BR201))</f>
        <v/>
      </c>
      <c r="BV201" s="9" t="str">
        <f aca="false">IF(BB201="","",(BT201+BU201)/2)</f>
        <v/>
      </c>
      <c r="BW201" s="9" t="str">
        <f aca="false">IF(OR(T201="",P201="",BV201="",T201&lt;=0,BV201&lt;=0),"",(1/Inputs!$B$9)*((T201^2/8)*((2*ACOS(1-2*BV201/T201))-SIN((2*ACOS(1-2*BV201/T201)))))*((((T201^2/8)*((2*ACOS(1-2*BV201/T201))-SIN((2*ACOS(1-2*BV201/T201)))))/((T201/2)*((2*ACOS(1-2*BV201/T201)))))^(2/3))*SQRT(P201))</f>
        <v/>
      </c>
      <c r="BX201" s="9" t="str">
        <f aca="false">IF(BB201="","",IF(BW201&lt;BB201,BV201,BT201))</f>
        <v/>
      </c>
      <c r="BY201" s="9" t="str">
        <f aca="false">IF(BB201="","",IF(BW201&lt;BB201,BU201,BV201))</f>
        <v/>
      </c>
      <c r="BZ201" s="9" t="str">
        <f aca="false">IF(BB201="","",(BX201+BY201)/2)</f>
        <v/>
      </c>
      <c r="CA201" s="9" t="str">
        <f aca="false">IF(OR(T201="",P201="",BZ201="",T201&lt;=0,BZ201&lt;=0),"",(1/Inputs!$B$9)*((T201^2/8)*((2*ACOS(1-2*BZ201/T201))-SIN((2*ACOS(1-2*BZ201/T201)))))*((((T201^2/8)*((2*ACOS(1-2*BZ201/T201))-SIN((2*ACOS(1-2*BZ201/T201)))))/((T201/2)*((2*ACOS(1-2*BZ201/T201)))))^(2/3))*SQRT(P201))</f>
        <v/>
      </c>
      <c r="CB201" s="9" t="str">
        <f aca="false">IF(BB201="","",IF(CA201&lt;BB201,BZ201,BX201))</f>
        <v/>
      </c>
      <c r="CC201" s="9" t="str">
        <f aca="false">IF(BB201="","",IF(CA201&lt;BB201,BY201,BZ201))</f>
        <v/>
      </c>
      <c r="CD201" s="9" t="str">
        <f aca="false">IF(BB201="","",(CB201+CC201)/2)</f>
        <v/>
      </c>
      <c r="CE201" s="9" t="str">
        <f aca="false">IF(OR(T201="",P201="",CD201="",T201&lt;=0,CD201&lt;=0),"",(1/Inputs!$B$9)*((T201^2/8)*((2*ACOS(1-2*CD201/T201))-SIN((2*ACOS(1-2*CD201/T201)))))*((((T201^2/8)*((2*ACOS(1-2*CD201/T201))-SIN((2*ACOS(1-2*CD201/T201)))))/((T201/2)*((2*ACOS(1-2*CD201/T201)))))^(2/3))*SQRT(P201))</f>
        <v/>
      </c>
      <c r="CF201" s="9" t="str">
        <f aca="false">IF(BB201="","",IF(CE201&lt;BB201,CD201,CB201))</f>
        <v/>
      </c>
      <c r="CG201" s="9" t="str">
        <f aca="false">IF(BB201="","",IF(CE201&lt;BB201,CC201,CD201))</f>
        <v/>
      </c>
      <c r="CH201" s="9" t="str">
        <f aca="false">IF(BB201="","",(CF201+CG201)/2)</f>
        <v/>
      </c>
    </row>
    <row r="202" customFormat="false" ht="15" hidden="false" customHeight="false" outlineLevel="0" collapsed="false">
      <c r="A202" s="9"/>
      <c r="B202" s="9"/>
      <c r="C202" s="9"/>
      <c r="D202" s="9"/>
      <c r="E202" s="14"/>
      <c r="F202" s="14"/>
      <c r="G202" s="14" t="n">
        <f aca="false">SUMIFS(CB_plan!$C:$C,CB_plan!$B:$B,$A202)</f>
        <v>0</v>
      </c>
      <c r="H202" s="14" t="n">
        <f aca="false">IF(F202="",G202,F202)</f>
        <v>0</v>
      </c>
      <c r="I202" s="9"/>
      <c r="J202" s="14"/>
      <c r="K202" s="14" t="str">
        <f aca="false">IF(A202="","",Inputs!$B$13/((IF(AV202="",Inputs!$B$18,AV202)+Inputs!$B$14)^Inputs!$B$15))</f>
        <v/>
      </c>
      <c r="L202" s="14" t="str">
        <f aca="false">IF(A202="","",0.000000278*IF(I202="",Inputs!$B$17,I202)*H202*K202)</f>
        <v/>
      </c>
      <c r="M202" s="14" t="str">
        <f aca="false">IF(A202="","",SUMIFS($N$4:$N$203,$D$4:$D$203,$A202))</f>
        <v/>
      </c>
      <c r="N202" s="14" t="str">
        <f aca="false">IF(A202="","",(L202+M202)*Inputs!$B$16)</f>
        <v/>
      </c>
      <c r="O202" s="14"/>
      <c r="P202" s="14" t="str">
        <f aca="false">IF(A202="","",IF(O202="",Inputs!$B$7,O202))</f>
        <v/>
      </c>
      <c r="Q202" s="9" t="str">
        <f aca="false">IF(A202="","",IF(N202/Inputs!$B$10&lt;=AG202,Inputs!$F$5,IF(N202/Inputs!$B$10&gt;AP202,"OVERSIZE",INDEX(Inputs!$F$5:$F$14,MATCH(N202/Inputs!$B$10,AG202:AP202,1)+1))))</f>
        <v/>
      </c>
      <c r="R202" s="9"/>
      <c r="S202" s="9" t="str">
        <f aca="false">IF(A202="","",IF(R202="",Q202,R202))</f>
        <v/>
      </c>
      <c r="T202" s="14" t="str">
        <f aca="false">IF(OR(S202="",S202="OVERSIZE"),"",S202/1000)</f>
        <v/>
      </c>
      <c r="U202" s="14" t="str">
        <f aca="false">IF(T202="","",(1/Inputs!$B$9)*(PI()*T202^2/4)*((T202/4)^(2/3))*SQRT(P202))</f>
        <v/>
      </c>
      <c r="V202" s="14" t="str">
        <f aca="false">IF(OR(U202="",N202=""),"",N202/(U202*Inputs!$B$10))</f>
        <v/>
      </c>
      <c r="W202" s="14" t="str">
        <f aca="false">IF(OR(T202="",N202=""),"",4*N202/(PI()*T202^2))</f>
        <v/>
      </c>
      <c r="X202" s="14"/>
      <c r="Y202" s="14" t="str">
        <f aca="false">IF(A202="","",IF(A202=Inputs!$B$6,Inputs!$B$22,IF(D202="","",IFERROR(INDEX($Z$4:$Z$203,MATCH(D202,$A$4:$A$203,0))+IF(X202="",Inputs!$B$20,X202),""))))</f>
        <v/>
      </c>
      <c r="Z202" s="14" t="str">
        <f aca="false">IF(OR(Y202="",P202="",E202=""),"",Y202+P202*E202)</f>
        <v/>
      </c>
      <c r="AA202" s="14" t="str">
        <f aca="false">IF(C202="","",IFERROR(INDEX(Noeuds_plan!$C$4:$C$200,MATCH(C202,Noeuds_plan!$A$4:$A$200,0)),""))</f>
        <v/>
      </c>
      <c r="AB202" s="14" t="str">
        <f aca="false">IF(B202="","",IFERROR(INDEX(Noeuds_plan!$C$4:$C$200,MATCH(B202,Noeuds_plan!$A$4:$A$200,0)),""))</f>
        <v/>
      </c>
      <c r="AC202" s="14" t="str">
        <f aca="false">IF(OR(AA202="",Y202=""),"",AA202-Y202)</f>
        <v/>
      </c>
      <c r="AD202" s="14" t="str">
        <f aca="false">IF(OR(AB202="",Z202=""),"",AB202-Z202)</f>
        <v/>
      </c>
      <c r="AE202" s="19" t="str">
        <f aca="false">IF(A202="","",IF(OR(V202&gt;1,AND(AY202&lt;&gt;"",AY202&lt;Inputs!$B$11),AND(AY202&lt;&gt;"",AY202&gt;Inputs!$B$12),AC202&lt;Inputs!$B$19,AD202&lt;Inputs!$B$19,P202&lt;Inputs!$B$7,P202&gt;Inputs!$B$8),"CHECK","OK"))</f>
        <v/>
      </c>
      <c r="AF202" s="9"/>
      <c r="AG202" s="9" t="str">
        <f aca="false">IF(A202="","",(1/Inputs!$B$9)*(PI()*(Inputs!$F$5/1000)^2/4)*((Inputs!$F$5/1000/4)^(2/3))*SQRT(P202))</f>
        <v/>
      </c>
      <c r="AH202" s="9" t="str">
        <f aca="false">IF(A202="","",(1/Inputs!$B$9)*(PI()*(Inputs!$F$6/1000)^2/4)*((Inputs!$F$6/1000/4)^(2/3))*SQRT(P202))</f>
        <v/>
      </c>
      <c r="AI202" s="9" t="str">
        <f aca="false">IF(A202="","",(1/Inputs!$B$9)*(PI()*(Inputs!$F$7/1000)^2/4)*((Inputs!$F$7/1000/4)^(2/3))*SQRT(P202))</f>
        <v/>
      </c>
      <c r="AJ202" s="9" t="str">
        <f aca="false">IF(A202="","",(1/Inputs!$B$9)*(PI()*(Inputs!$F$8/1000)^2/4)*((Inputs!$F$8/1000/4)^(2/3))*SQRT(P202))</f>
        <v/>
      </c>
      <c r="AK202" s="9" t="str">
        <f aca="false">IF(A202="","",(1/Inputs!$B$9)*(PI()*(Inputs!$F$9/1000)^2/4)*((Inputs!$F$9/1000/4)^(2/3))*SQRT(P202))</f>
        <v/>
      </c>
      <c r="AL202" s="9" t="str">
        <f aca="false">IF(A202="","",(1/Inputs!$B$9)*(PI()*(Inputs!$F$10/1000)^2/4)*((Inputs!$F$10/1000/4)^(2/3))*SQRT(P202))</f>
        <v/>
      </c>
      <c r="AM202" s="9" t="str">
        <f aca="false">IF(A202="","",(1/Inputs!$B$9)*(PI()*(Inputs!$F$11/1000)^2/4)*((Inputs!$F$11/1000/4)^(2/3))*SQRT(P202))</f>
        <v/>
      </c>
      <c r="AN202" s="9" t="str">
        <f aca="false">IF(A202="","",(1/Inputs!$B$9)*(PI()*(Inputs!$F$12/1000)^2/4)*((Inputs!$F$12/1000/4)^(2/3))*SQRT(P202))</f>
        <v/>
      </c>
      <c r="AO202" s="9" t="str">
        <f aca="false">IF(A202="","",(1/Inputs!$B$9)*(PI()*(Inputs!$F$13/1000)^2/4)*((Inputs!$F$13/1000/4)^(2/3))*SQRT(P202))</f>
        <v/>
      </c>
      <c r="AP202" s="9" t="str">
        <f aca="false">IF(A202="","",(1/Inputs!$B$9)*(PI()*(Inputs!$F$14/1000)^2/4)*((Inputs!$F$14/1000/4)^(2/3))*SQRT(P202))</f>
        <v/>
      </c>
      <c r="AQ202" s="9" t="str">
        <f aca="false">IF(A202="","",COUNTIF($D$4:$D$203,$A202))</f>
        <v/>
      </c>
      <c r="AR202" s="9" t="str">
        <f aca="false">IF(A202="","",IF(AQ202=0,"START","CONTINUOUS"))</f>
        <v/>
      </c>
      <c r="AS202" s="13" t="str">
        <f aca="false">IF(A202="","",IF(J202="",Inputs!$B$18,J202))</f>
        <v/>
      </c>
      <c r="AT202" s="13" t="str">
        <f aca="false">IF(A202="","",IFERROR(maxifs($AV$4:$AV$203,$D$4:$D$203,$A202),""))</f>
        <v/>
      </c>
      <c r="AU202" s="13" t="str">
        <f aca="false">IF(A202="","",IF(OR(E202="",Inputs!$B$23=""),"",E202/(Inputs!$B$23*60)))</f>
        <v/>
      </c>
      <c r="AV202" s="13" t="str">
        <f aca="false">IF(A202="","",IF(AQ202=0,AS202+AU202,IF(AT202="",AS202+AU202,AT202+AU202)))</f>
        <v/>
      </c>
      <c r="AW202" s="13" t="str">
        <f aca="false">IF(A202="","",W202)</f>
        <v/>
      </c>
      <c r="AX202" s="13" t="str">
        <f aca="false">IF(OR(T202="",P202=""),"",(1/Inputs!$B$9)*((T202/4)^(2/3))*SQRT(P202))</f>
        <v/>
      </c>
      <c r="AY202" s="13" t="str">
        <f aca="false">IF(A202="","",IF(AND(AW202="",AX202="",BA202=""),"",IF(OR(UPPER(TRIM(Inputs!$B$24))="MANNING",UPPER(TRIM(Inputs!$B$24))="M"),AX202,IF(OR(UPPER(TRIM(Inputs!$B$24))="PARTIAL",UPPER(TRIM(Inputs!$B$24))="P"),BA202,IF(OR(UPPER(TRIM(Inputs!$B$24))="MAX",UPPER(TRIM(Inputs!$B$24))="X"),MAX(IF(AW202="",0,AW202),IF(AX202="",0,AX202),IF(BA202="",0,BA202)),AW202)))))</f>
        <v/>
      </c>
      <c r="AZ202" s="13" t="str">
        <f aca="false">IF(BB202="","",CH202)</f>
        <v/>
      </c>
      <c r="BA202" s="13" t="str">
        <f aca="false">IF(OR(BB202="",AZ202="",T202="",T202&lt;=0,AZ202&lt;=0),"",BB202/((T202^2/8)*(2*ACOS(1-2*AZ202/T202)-SIN(2*ACOS(1-2*AZ202/T202)))))</f>
        <v/>
      </c>
      <c r="BB202" s="9" t="str">
        <f aca="false">IF(OR(N202="",BC202=""),"",MIN(N202,BC202))</f>
        <v/>
      </c>
      <c r="BC202" s="9" t="str">
        <f aca="false">IF(OR(N202="",T202="",P202=""),"",IF(OR(T202="",P202="",(0.94*T202)="",T202&lt;=0,(0.94*T202)&lt;=0),"",(1/Inputs!$B$9)*((T202^2/8)*((2*ACOS(1-2*(0.94*T202)/T202))-SIN((2*ACOS(1-2*(0.94*T202)/T202)))))*((((T202^2/8)*((2*ACOS(1-2*(0.94*T202)/T202))-SIN((2*ACOS(1-2*(0.94*T202)/T202)))))/((T202/2)*((2*ACOS(1-2*(0.94*T202)/T202)))))^(2/3))*SQRT(P202)))</f>
        <v/>
      </c>
      <c r="BD202" s="9" t="str">
        <f aca="false">IF(BB202="","",0.001*T202)</f>
        <v/>
      </c>
      <c r="BE202" s="9" t="str">
        <f aca="false">IF(BB202="","",0.94*T202)</f>
        <v/>
      </c>
      <c r="BF202" s="9" t="str">
        <f aca="false">IF(BB202="","",(BD202+BE202)/2)</f>
        <v/>
      </c>
      <c r="BG202" s="9" t="str">
        <f aca="false">IF(OR(T202="",P202="",BF202="",T202&lt;=0,BF202&lt;=0),"",(1/Inputs!$B$9)*((T202^2/8)*((2*ACOS(1-2*BF202/T202))-SIN((2*ACOS(1-2*BF202/T202)))))*((((T202^2/8)*((2*ACOS(1-2*BF202/T202))-SIN((2*ACOS(1-2*BF202/T202)))))/((T202/2)*((2*ACOS(1-2*BF202/T202)))))^(2/3))*SQRT(P202))</f>
        <v/>
      </c>
      <c r="BH202" s="9" t="str">
        <f aca="false">IF(BB202="","",IF(BG202&lt;BB202,BF202,BD202))</f>
        <v/>
      </c>
      <c r="BI202" s="9" t="str">
        <f aca="false">IF(BB202="","",IF(BG202&lt;BB202,BE202,BF202))</f>
        <v/>
      </c>
      <c r="BJ202" s="9" t="str">
        <f aca="false">IF(BB202="","",(BH202+BI202)/2)</f>
        <v/>
      </c>
      <c r="BK202" s="9" t="str">
        <f aca="false">IF(OR(T202="",P202="",BJ202="",T202&lt;=0,BJ202&lt;=0),"",(1/Inputs!$B$9)*((T202^2/8)*((2*ACOS(1-2*BJ202/T202))-SIN((2*ACOS(1-2*BJ202/T202)))))*((((T202^2/8)*((2*ACOS(1-2*BJ202/T202))-SIN((2*ACOS(1-2*BJ202/T202)))))/((T202/2)*((2*ACOS(1-2*BJ202/T202)))))^(2/3))*SQRT(P202))</f>
        <v/>
      </c>
      <c r="BL202" s="9" t="str">
        <f aca="false">IF(BB202="","",IF(BK202&lt;BB202,BJ202,BH202))</f>
        <v/>
      </c>
      <c r="BM202" s="9" t="str">
        <f aca="false">IF(BB202="","",IF(BK202&lt;BB202,BI202,BJ202))</f>
        <v/>
      </c>
      <c r="BN202" s="9" t="str">
        <f aca="false">IF(BB202="","",(BL202+BM202)/2)</f>
        <v/>
      </c>
      <c r="BO202" s="9" t="str">
        <f aca="false">IF(OR(T202="",P202="",BN202="",T202&lt;=0,BN202&lt;=0),"",(1/Inputs!$B$9)*((T202^2/8)*((2*ACOS(1-2*BN202/T202))-SIN((2*ACOS(1-2*BN202/T202)))))*((((T202^2/8)*((2*ACOS(1-2*BN202/T202))-SIN((2*ACOS(1-2*BN202/T202)))))/((T202/2)*((2*ACOS(1-2*BN202/T202)))))^(2/3))*SQRT(P202))</f>
        <v/>
      </c>
      <c r="BP202" s="9" t="str">
        <f aca="false">IF(BB202="","",IF(BO202&lt;BB202,BN202,BL202))</f>
        <v/>
      </c>
      <c r="BQ202" s="9" t="str">
        <f aca="false">IF(BB202="","",IF(BO202&lt;BB202,BM202,BN202))</f>
        <v/>
      </c>
      <c r="BR202" s="9" t="str">
        <f aca="false">IF(BB202="","",(BP202+BQ202)/2)</f>
        <v/>
      </c>
      <c r="BS202" s="9" t="str">
        <f aca="false">IF(OR(T202="",P202="",BR202="",T202&lt;=0,BR202&lt;=0),"",(1/Inputs!$B$9)*((T202^2/8)*((2*ACOS(1-2*BR202/T202))-SIN((2*ACOS(1-2*BR202/T202)))))*((((T202^2/8)*((2*ACOS(1-2*BR202/T202))-SIN((2*ACOS(1-2*BR202/T202)))))/((T202/2)*((2*ACOS(1-2*BR202/T202)))))^(2/3))*SQRT(P202))</f>
        <v/>
      </c>
      <c r="BT202" s="9" t="str">
        <f aca="false">IF(BB202="","",IF(BS202&lt;BB202,BR202,BP202))</f>
        <v/>
      </c>
      <c r="BU202" s="9" t="str">
        <f aca="false">IF(BB202="","",IF(BS202&lt;BB202,BQ202,BR202))</f>
        <v/>
      </c>
      <c r="BV202" s="9" t="str">
        <f aca="false">IF(BB202="","",(BT202+BU202)/2)</f>
        <v/>
      </c>
      <c r="BW202" s="9" t="str">
        <f aca="false">IF(OR(T202="",P202="",BV202="",T202&lt;=0,BV202&lt;=0),"",(1/Inputs!$B$9)*((T202^2/8)*((2*ACOS(1-2*BV202/T202))-SIN((2*ACOS(1-2*BV202/T202)))))*((((T202^2/8)*((2*ACOS(1-2*BV202/T202))-SIN((2*ACOS(1-2*BV202/T202)))))/((T202/2)*((2*ACOS(1-2*BV202/T202)))))^(2/3))*SQRT(P202))</f>
        <v/>
      </c>
      <c r="BX202" s="9" t="str">
        <f aca="false">IF(BB202="","",IF(BW202&lt;BB202,BV202,BT202))</f>
        <v/>
      </c>
      <c r="BY202" s="9" t="str">
        <f aca="false">IF(BB202="","",IF(BW202&lt;BB202,BU202,BV202))</f>
        <v/>
      </c>
      <c r="BZ202" s="9" t="str">
        <f aca="false">IF(BB202="","",(BX202+BY202)/2)</f>
        <v/>
      </c>
      <c r="CA202" s="9" t="str">
        <f aca="false">IF(OR(T202="",P202="",BZ202="",T202&lt;=0,BZ202&lt;=0),"",(1/Inputs!$B$9)*((T202^2/8)*((2*ACOS(1-2*BZ202/T202))-SIN((2*ACOS(1-2*BZ202/T202)))))*((((T202^2/8)*((2*ACOS(1-2*BZ202/T202))-SIN((2*ACOS(1-2*BZ202/T202)))))/((T202/2)*((2*ACOS(1-2*BZ202/T202)))))^(2/3))*SQRT(P202))</f>
        <v/>
      </c>
      <c r="CB202" s="9" t="str">
        <f aca="false">IF(BB202="","",IF(CA202&lt;BB202,BZ202,BX202))</f>
        <v/>
      </c>
      <c r="CC202" s="9" t="str">
        <f aca="false">IF(BB202="","",IF(CA202&lt;BB202,BY202,BZ202))</f>
        <v/>
      </c>
      <c r="CD202" s="9" t="str">
        <f aca="false">IF(BB202="","",(CB202+CC202)/2)</f>
        <v/>
      </c>
      <c r="CE202" s="9" t="str">
        <f aca="false">IF(OR(T202="",P202="",CD202="",T202&lt;=0,CD202&lt;=0),"",(1/Inputs!$B$9)*((T202^2/8)*((2*ACOS(1-2*CD202/T202))-SIN((2*ACOS(1-2*CD202/T202)))))*((((T202^2/8)*((2*ACOS(1-2*CD202/T202))-SIN((2*ACOS(1-2*CD202/T202)))))/((T202/2)*((2*ACOS(1-2*CD202/T202)))))^(2/3))*SQRT(P202))</f>
        <v/>
      </c>
      <c r="CF202" s="9" t="str">
        <f aca="false">IF(BB202="","",IF(CE202&lt;BB202,CD202,CB202))</f>
        <v/>
      </c>
      <c r="CG202" s="9" t="str">
        <f aca="false">IF(BB202="","",IF(CE202&lt;BB202,CC202,CD202))</f>
        <v/>
      </c>
      <c r="CH202" s="9" t="str">
        <f aca="false">IF(BB202="","",(CF202+CG202)/2)</f>
        <v/>
      </c>
    </row>
    <row r="203" customFormat="false" ht="15" hidden="false" customHeight="false" outlineLevel="0" collapsed="false">
      <c r="A203" s="9"/>
      <c r="B203" s="9"/>
      <c r="C203" s="9"/>
      <c r="D203" s="9"/>
      <c r="E203" s="14"/>
      <c r="F203" s="14"/>
      <c r="G203" s="14" t="n">
        <f aca="false">SUMIFS(CB_plan!$C:$C,CB_plan!$B:$B,$A203)</f>
        <v>0</v>
      </c>
      <c r="H203" s="14" t="n">
        <f aca="false">IF(F203="",G203,F203)</f>
        <v>0</v>
      </c>
      <c r="I203" s="9"/>
      <c r="J203" s="14"/>
      <c r="K203" s="14" t="str">
        <f aca="false">IF(A203="","",Inputs!$B$13/((IF(AV203="",Inputs!$B$18,AV203)+Inputs!$B$14)^Inputs!$B$15))</f>
        <v/>
      </c>
      <c r="L203" s="14" t="str">
        <f aca="false">IF(A203="","",0.000000278*IF(I203="",Inputs!$B$17,I203)*H203*K203)</f>
        <v/>
      </c>
      <c r="M203" s="14" t="str">
        <f aca="false">IF(A203="","",SUMIFS($N$4:$N$203,$D$4:$D$203,$A203))</f>
        <v/>
      </c>
      <c r="N203" s="14" t="str">
        <f aca="false">IF(A203="","",(L203+M203)*Inputs!$B$16)</f>
        <v/>
      </c>
      <c r="O203" s="14"/>
      <c r="P203" s="14" t="str">
        <f aca="false">IF(A203="","",IF(O203="",Inputs!$B$7,O203))</f>
        <v/>
      </c>
      <c r="Q203" s="9" t="str">
        <f aca="false">IF(A203="","",IF(N203/Inputs!$B$10&lt;=AG203,Inputs!$F$5,IF(N203/Inputs!$B$10&gt;AP203,"OVERSIZE",INDEX(Inputs!$F$5:$F$14,MATCH(N203/Inputs!$B$10,AG203:AP203,1)+1))))</f>
        <v/>
      </c>
      <c r="R203" s="9"/>
      <c r="S203" s="9" t="str">
        <f aca="false">IF(A203="","",IF(R203="",Q203,R203))</f>
        <v/>
      </c>
      <c r="T203" s="14" t="str">
        <f aca="false">IF(OR(S203="",S203="OVERSIZE"),"",S203/1000)</f>
        <v/>
      </c>
      <c r="U203" s="14" t="str">
        <f aca="false">IF(T203="","",(1/Inputs!$B$9)*(PI()*T203^2/4)*((T203/4)^(2/3))*SQRT(P203))</f>
        <v/>
      </c>
      <c r="V203" s="14" t="str">
        <f aca="false">IF(OR(U203="",N203=""),"",N203/(U203*Inputs!$B$10))</f>
        <v/>
      </c>
      <c r="W203" s="14" t="str">
        <f aca="false">IF(OR(T203="",N203=""),"",4*N203/(PI()*T203^2))</f>
        <v/>
      </c>
      <c r="X203" s="14"/>
      <c r="Y203" s="14" t="str">
        <f aca="false">IF(A203="","",IF(A203=Inputs!$B$6,Inputs!$B$22,IF(D203="","",IFERROR(INDEX($Z$4:$Z$203,MATCH(D203,$A$4:$A$203,0))+IF(X203="",Inputs!$B$20,X203),""))))</f>
        <v/>
      </c>
      <c r="Z203" s="14" t="str">
        <f aca="false">IF(OR(Y203="",P203="",E203=""),"",Y203+P203*E203)</f>
        <v/>
      </c>
      <c r="AA203" s="14" t="str">
        <f aca="false">IF(C203="","",IFERROR(INDEX(Noeuds_plan!$C$4:$C$200,MATCH(C203,Noeuds_plan!$A$4:$A$200,0)),""))</f>
        <v/>
      </c>
      <c r="AB203" s="14" t="str">
        <f aca="false">IF(B203="","",IFERROR(INDEX(Noeuds_plan!$C$4:$C$200,MATCH(B203,Noeuds_plan!$A$4:$A$200,0)),""))</f>
        <v/>
      </c>
      <c r="AC203" s="14" t="str">
        <f aca="false">IF(OR(AA203="",Y203=""),"",AA203-Y203)</f>
        <v/>
      </c>
      <c r="AD203" s="14" t="str">
        <f aca="false">IF(OR(AB203="",Z203=""),"",AB203-Z203)</f>
        <v/>
      </c>
      <c r="AE203" s="19" t="str">
        <f aca="false">IF(A203="","",IF(OR(V203&gt;1,AND(AY203&lt;&gt;"",AY203&lt;Inputs!$B$11),AND(AY203&lt;&gt;"",AY203&gt;Inputs!$B$12),AC203&lt;Inputs!$B$19,AD203&lt;Inputs!$B$19,P203&lt;Inputs!$B$7,P203&gt;Inputs!$B$8),"CHECK","OK"))</f>
        <v/>
      </c>
      <c r="AF203" s="9"/>
      <c r="AG203" s="9" t="str">
        <f aca="false">IF(A203="","",(1/Inputs!$B$9)*(PI()*(Inputs!$F$5/1000)^2/4)*((Inputs!$F$5/1000/4)^(2/3))*SQRT(P203))</f>
        <v/>
      </c>
      <c r="AH203" s="9" t="str">
        <f aca="false">IF(A203="","",(1/Inputs!$B$9)*(PI()*(Inputs!$F$6/1000)^2/4)*((Inputs!$F$6/1000/4)^(2/3))*SQRT(P203))</f>
        <v/>
      </c>
      <c r="AI203" s="9" t="str">
        <f aca="false">IF(A203="","",(1/Inputs!$B$9)*(PI()*(Inputs!$F$7/1000)^2/4)*((Inputs!$F$7/1000/4)^(2/3))*SQRT(P203))</f>
        <v/>
      </c>
      <c r="AJ203" s="9" t="str">
        <f aca="false">IF(A203="","",(1/Inputs!$B$9)*(PI()*(Inputs!$F$8/1000)^2/4)*((Inputs!$F$8/1000/4)^(2/3))*SQRT(P203))</f>
        <v/>
      </c>
      <c r="AK203" s="9" t="str">
        <f aca="false">IF(A203="","",(1/Inputs!$B$9)*(PI()*(Inputs!$F$9/1000)^2/4)*((Inputs!$F$9/1000/4)^(2/3))*SQRT(P203))</f>
        <v/>
      </c>
      <c r="AL203" s="9" t="str">
        <f aca="false">IF(A203="","",(1/Inputs!$B$9)*(PI()*(Inputs!$F$10/1000)^2/4)*((Inputs!$F$10/1000/4)^(2/3))*SQRT(P203))</f>
        <v/>
      </c>
      <c r="AM203" s="9" t="str">
        <f aca="false">IF(A203="","",(1/Inputs!$B$9)*(PI()*(Inputs!$F$11/1000)^2/4)*((Inputs!$F$11/1000/4)^(2/3))*SQRT(P203))</f>
        <v/>
      </c>
      <c r="AN203" s="9" t="str">
        <f aca="false">IF(A203="","",(1/Inputs!$B$9)*(PI()*(Inputs!$F$12/1000)^2/4)*((Inputs!$F$12/1000/4)^(2/3))*SQRT(P203))</f>
        <v/>
      </c>
      <c r="AO203" s="9" t="str">
        <f aca="false">IF(A203="","",(1/Inputs!$B$9)*(PI()*(Inputs!$F$13/1000)^2/4)*((Inputs!$F$13/1000/4)^(2/3))*SQRT(P203))</f>
        <v/>
      </c>
      <c r="AP203" s="9" t="str">
        <f aca="false">IF(A203="","",(1/Inputs!$B$9)*(PI()*(Inputs!$F$14/1000)^2/4)*((Inputs!$F$14/1000/4)^(2/3))*SQRT(P203))</f>
        <v/>
      </c>
      <c r="AQ203" s="9" t="str">
        <f aca="false">IF(A203="","",COUNTIF($D$4:$D$203,$A203))</f>
        <v/>
      </c>
      <c r="AR203" s="9" t="str">
        <f aca="false">IF(A203="","",IF(AQ203=0,"START","CONTINUOUS"))</f>
        <v/>
      </c>
      <c r="AS203" s="13" t="str">
        <f aca="false">IF(A203="","",IF(J203="",Inputs!$B$18,J203))</f>
        <v/>
      </c>
      <c r="AT203" s="13" t="str">
        <f aca="false">IF(A203="","",IFERROR(maxifs($AV$4:$AV$203,$D$4:$D$203,$A203),""))</f>
        <v/>
      </c>
      <c r="AU203" s="13" t="str">
        <f aca="false">IF(A203="","",IF(OR(E203="",Inputs!$B$23=""),"",E203/(Inputs!$B$23*60)))</f>
        <v/>
      </c>
      <c r="AV203" s="13" t="str">
        <f aca="false">IF(A203="","",IF(AQ203=0,AS203+AU203,IF(AT203="",AS203+AU203,AT203+AU203)))</f>
        <v/>
      </c>
      <c r="AW203" s="13" t="str">
        <f aca="false">IF(A203="","",W203)</f>
        <v/>
      </c>
      <c r="AX203" s="13" t="str">
        <f aca="false">IF(OR(T203="",P203=""),"",(1/Inputs!$B$9)*((T203/4)^(2/3))*SQRT(P203))</f>
        <v/>
      </c>
      <c r="AY203" s="13" t="str">
        <f aca="false">IF(A203="","",IF(AND(AW203="",AX203="",BA203=""),"",IF(OR(UPPER(TRIM(Inputs!$B$24))="MANNING",UPPER(TRIM(Inputs!$B$24))="M"),AX203,IF(OR(UPPER(TRIM(Inputs!$B$24))="PARTIAL",UPPER(TRIM(Inputs!$B$24))="P"),BA203,IF(OR(UPPER(TRIM(Inputs!$B$24))="MAX",UPPER(TRIM(Inputs!$B$24))="X"),MAX(IF(AW203="",0,AW203),IF(AX203="",0,AX203),IF(BA203="",0,BA203)),AW203)))))</f>
        <v/>
      </c>
      <c r="AZ203" s="13" t="str">
        <f aca="false">IF(BB203="","",CH203)</f>
        <v/>
      </c>
      <c r="BA203" s="13" t="str">
        <f aca="false">IF(OR(BB203="",AZ203="",T203="",T203&lt;=0,AZ203&lt;=0),"",BB203/((T203^2/8)*(2*ACOS(1-2*AZ203/T203)-SIN(2*ACOS(1-2*AZ203/T203)))))</f>
        <v/>
      </c>
      <c r="BB203" s="9" t="str">
        <f aca="false">IF(OR(N203="",BC203=""),"",MIN(N203,BC203))</f>
        <v/>
      </c>
      <c r="BC203" s="9" t="str">
        <f aca="false">IF(OR(N203="",T203="",P203=""),"",IF(OR(T203="",P203="",(0.94*T203)="",T203&lt;=0,(0.94*T203)&lt;=0),"",(1/Inputs!$B$9)*((T203^2/8)*((2*ACOS(1-2*(0.94*T203)/T203))-SIN((2*ACOS(1-2*(0.94*T203)/T203)))))*((((T203^2/8)*((2*ACOS(1-2*(0.94*T203)/T203))-SIN((2*ACOS(1-2*(0.94*T203)/T203)))))/((T203/2)*((2*ACOS(1-2*(0.94*T203)/T203)))))^(2/3))*SQRT(P203)))</f>
        <v/>
      </c>
      <c r="BD203" s="9" t="str">
        <f aca="false">IF(BB203="","",0.001*T203)</f>
        <v/>
      </c>
      <c r="BE203" s="9" t="str">
        <f aca="false">IF(BB203="","",0.94*T203)</f>
        <v/>
      </c>
      <c r="BF203" s="9" t="str">
        <f aca="false">IF(BB203="","",(BD203+BE203)/2)</f>
        <v/>
      </c>
      <c r="BG203" s="9" t="str">
        <f aca="false">IF(OR(T203="",P203="",BF203="",T203&lt;=0,BF203&lt;=0),"",(1/Inputs!$B$9)*((T203^2/8)*((2*ACOS(1-2*BF203/T203))-SIN((2*ACOS(1-2*BF203/T203)))))*((((T203^2/8)*((2*ACOS(1-2*BF203/T203))-SIN((2*ACOS(1-2*BF203/T203)))))/((T203/2)*((2*ACOS(1-2*BF203/T203)))))^(2/3))*SQRT(P203))</f>
        <v/>
      </c>
      <c r="BH203" s="9" t="str">
        <f aca="false">IF(BB203="","",IF(BG203&lt;BB203,BF203,BD203))</f>
        <v/>
      </c>
      <c r="BI203" s="9" t="str">
        <f aca="false">IF(BB203="","",IF(BG203&lt;BB203,BE203,BF203))</f>
        <v/>
      </c>
      <c r="BJ203" s="9" t="str">
        <f aca="false">IF(BB203="","",(BH203+BI203)/2)</f>
        <v/>
      </c>
      <c r="BK203" s="9" t="str">
        <f aca="false">IF(OR(T203="",P203="",BJ203="",T203&lt;=0,BJ203&lt;=0),"",(1/Inputs!$B$9)*((T203^2/8)*((2*ACOS(1-2*BJ203/T203))-SIN((2*ACOS(1-2*BJ203/T203)))))*((((T203^2/8)*((2*ACOS(1-2*BJ203/T203))-SIN((2*ACOS(1-2*BJ203/T203)))))/((T203/2)*((2*ACOS(1-2*BJ203/T203)))))^(2/3))*SQRT(P203))</f>
        <v/>
      </c>
      <c r="BL203" s="9" t="str">
        <f aca="false">IF(BB203="","",IF(BK203&lt;BB203,BJ203,BH203))</f>
        <v/>
      </c>
      <c r="BM203" s="9" t="str">
        <f aca="false">IF(BB203="","",IF(BK203&lt;BB203,BI203,BJ203))</f>
        <v/>
      </c>
      <c r="BN203" s="9" t="str">
        <f aca="false">IF(BB203="","",(BL203+BM203)/2)</f>
        <v/>
      </c>
      <c r="BO203" s="9" t="str">
        <f aca="false">IF(OR(T203="",P203="",BN203="",T203&lt;=0,BN203&lt;=0),"",(1/Inputs!$B$9)*((T203^2/8)*((2*ACOS(1-2*BN203/T203))-SIN((2*ACOS(1-2*BN203/T203)))))*((((T203^2/8)*((2*ACOS(1-2*BN203/T203))-SIN((2*ACOS(1-2*BN203/T203)))))/((T203/2)*((2*ACOS(1-2*BN203/T203)))))^(2/3))*SQRT(P203))</f>
        <v/>
      </c>
      <c r="BP203" s="9" t="str">
        <f aca="false">IF(BB203="","",IF(BO203&lt;BB203,BN203,BL203))</f>
        <v/>
      </c>
      <c r="BQ203" s="9" t="str">
        <f aca="false">IF(BB203="","",IF(BO203&lt;BB203,BM203,BN203))</f>
        <v/>
      </c>
      <c r="BR203" s="9" t="str">
        <f aca="false">IF(BB203="","",(BP203+BQ203)/2)</f>
        <v/>
      </c>
      <c r="BS203" s="9" t="str">
        <f aca="false">IF(OR(T203="",P203="",BR203="",T203&lt;=0,BR203&lt;=0),"",(1/Inputs!$B$9)*((T203^2/8)*((2*ACOS(1-2*BR203/T203))-SIN((2*ACOS(1-2*BR203/T203)))))*((((T203^2/8)*((2*ACOS(1-2*BR203/T203))-SIN((2*ACOS(1-2*BR203/T203)))))/((T203/2)*((2*ACOS(1-2*BR203/T203)))))^(2/3))*SQRT(P203))</f>
        <v/>
      </c>
      <c r="BT203" s="9" t="str">
        <f aca="false">IF(BB203="","",IF(BS203&lt;BB203,BR203,BP203))</f>
        <v/>
      </c>
      <c r="BU203" s="9" t="str">
        <f aca="false">IF(BB203="","",IF(BS203&lt;BB203,BQ203,BR203))</f>
        <v/>
      </c>
      <c r="BV203" s="9" t="str">
        <f aca="false">IF(BB203="","",(BT203+BU203)/2)</f>
        <v/>
      </c>
      <c r="BW203" s="9" t="str">
        <f aca="false">IF(OR(T203="",P203="",BV203="",T203&lt;=0,BV203&lt;=0),"",(1/Inputs!$B$9)*((T203^2/8)*((2*ACOS(1-2*BV203/T203))-SIN((2*ACOS(1-2*BV203/T203)))))*((((T203^2/8)*((2*ACOS(1-2*BV203/T203))-SIN((2*ACOS(1-2*BV203/T203)))))/((T203/2)*((2*ACOS(1-2*BV203/T203)))))^(2/3))*SQRT(P203))</f>
        <v/>
      </c>
      <c r="BX203" s="9" t="str">
        <f aca="false">IF(BB203="","",IF(BW203&lt;BB203,BV203,BT203))</f>
        <v/>
      </c>
      <c r="BY203" s="9" t="str">
        <f aca="false">IF(BB203="","",IF(BW203&lt;BB203,BU203,BV203))</f>
        <v/>
      </c>
      <c r="BZ203" s="9" t="str">
        <f aca="false">IF(BB203="","",(BX203+BY203)/2)</f>
        <v/>
      </c>
      <c r="CA203" s="9" t="str">
        <f aca="false">IF(OR(T203="",P203="",BZ203="",T203&lt;=0,BZ203&lt;=0),"",(1/Inputs!$B$9)*((T203^2/8)*((2*ACOS(1-2*BZ203/T203))-SIN((2*ACOS(1-2*BZ203/T203)))))*((((T203^2/8)*((2*ACOS(1-2*BZ203/T203))-SIN((2*ACOS(1-2*BZ203/T203)))))/((T203/2)*((2*ACOS(1-2*BZ203/T203)))))^(2/3))*SQRT(P203))</f>
        <v/>
      </c>
      <c r="CB203" s="9" t="str">
        <f aca="false">IF(BB203="","",IF(CA203&lt;BB203,BZ203,BX203))</f>
        <v/>
      </c>
      <c r="CC203" s="9" t="str">
        <f aca="false">IF(BB203="","",IF(CA203&lt;BB203,BY203,BZ203))</f>
        <v/>
      </c>
      <c r="CD203" s="9" t="str">
        <f aca="false">IF(BB203="","",(CB203+CC203)/2)</f>
        <v/>
      </c>
      <c r="CE203" s="9" t="str">
        <f aca="false">IF(OR(T203="",P203="",CD203="",T203&lt;=0,CD203&lt;=0),"",(1/Inputs!$B$9)*((T203^2/8)*((2*ACOS(1-2*CD203/T203))-SIN((2*ACOS(1-2*CD203/T203)))))*((((T203^2/8)*((2*ACOS(1-2*CD203/T203))-SIN((2*ACOS(1-2*CD203/T203)))))/((T203/2)*((2*ACOS(1-2*CD203/T203)))))^(2/3))*SQRT(P203))</f>
        <v/>
      </c>
      <c r="CF203" s="9" t="str">
        <f aca="false">IF(BB203="","",IF(CE203&lt;BB203,CD203,CB203))</f>
        <v/>
      </c>
      <c r="CG203" s="9" t="str">
        <f aca="false">IF(BB203="","",IF(CE203&lt;BB203,CC203,CD203))</f>
        <v/>
      </c>
      <c r="CH203" s="9" t="str">
        <f aca="false">IF(BB203="","",(CF203+CG203)/2)</f>
        <v/>
      </c>
    </row>
  </sheetData>
  <mergeCells count="1">
    <mergeCell ref="A1:AV1"/>
  </mergeCells>
  <conditionalFormatting sqref="AE4:AE203">
    <cfRule type="expression" priority="2" aboveAverage="0" equalAverage="0" bottom="0" percent="0" rank="0" text="" dxfId="0">
      <formula>$AE4="CHECK"</formula>
    </cfRule>
  </conditionalFormatting>
  <conditionalFormatting sqref="V4:V203">
    <cfRule type="cellIs" priority="3" operator="greaterThan" aboveAverage="0" equalAverage="0" bottom="0" percent="0" rank="0" text="" dxfId="0">
      <formula>1</formula>
    </cfRule>
  </conditionalFormatting>
  <conditionalFormatting sqref="AC4:AC203">
    <cfRule type="expression" priority="4" aboveAverage="0" equalAverage="0" bottom="0" percent="0" rank="0" text="" dxfId="0">
      <formula>$AC4&lt;Inputs!$B$19</formula>
    </cfRule>
  </conditionalFormatting>
  <conditionalFormatting sqref="AD4:AD203">
    <cfRule type="expression" priority="5" aboveAverage="0" equalAverage="0" bottom="0" percent="0" rank="0" text="" dxfId="0">
      <formula>$AD4&lt;Inputs!$B$19</formula>
    </cfRule>
  </conditionalFormatting>
  <conditionalFormatting sqref="P4:P203">
    <cfRule type="expression" priority="6" aboveAverage="0" equalAverage="0" bottom="0" percent="0" rank="0" text="" dxfId="0">
      <formula>$P4&lt;Inputs!$B$7</formula>
    </cfRule>
    <cfRule type="expression" priority="7" aboveAverage="0" equalAverage="0" bottom="0" percent="0" rank="0" text="" dxfId="0">
      <formula>$P4&gt;Inputs!$B$8</formula>
    </cfRule>
  </conditionalFormatting>
  <conditionalFormatting sqref="W4:W203">
    <cfRule type="expression" priority="8" aboveAverage="0" equalAverage="0" bottom="0" percent="0" rank="0" text="" dxfId="0">
      <formula>AND(OR(UPPER(TRIM(Inputs!$B$24))="DESIGN",UPPER(TRIM(Inputs!$B$24))="D",UPPER(TRIM(Inputs!$B$24))=""),OR($W4&lt;Inputs!$B$11,$W4&gt;Inputs!$B$12))</formula>
    </cfRule>
  </conditionalFormatting>
  <conditionalFormatting sqref="AX4:AX203">
    <cfRule type="expression" priority="9" aboveAverage="0" equalAverage="0" bottom="0" percent="0" rank="0" text="" dxfId="0">
      <formula>AND(OR(UPPER(TRIM(Inputs!$B$24))="MANNING",UPPER(TRIM(Inputs!$B$24))="M"),OR($AX4&lt;Inputs!$B$11,$AX4&gt;Inputs!$B$12))</formula>
    </cfRule>
  </conditionalFormatting>
  <conditionalFormatting sqref="BA4:BA203">
    <cfRule type="expression" priority="10" aboveAverage="0" equalAverage="0" bottom="0" percent="0" rank="0" text="" dxfId="0">
      <formula>AND(OR(UPPER(TRIM(Inputs!$B$24))="PARTIAL",UPPER(TRIM(Inputs!$B$24))="P"),OR($BA4&lt;Inputs!$B$11,$BA4&gt;Inputs!$B$12))</formula>
    </cfRule>
  </conditionalFormatting>
  <conditionalFormatting sqref="AY4:AY203">
    <cfRule type="expression" priority="11" aboveAverage="0" equalAverage="0" bottom="0" percent="0" rank="0" text="" dxfId="0">
      <formula>OR($AY4&lt;Inputs!$B$11,$AY4&gt;Inputs!$B$12)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7" min="4" style="0" width="12"/>
    <col collapsed="false" customWidth="true" hidden="false" outlineLevel="0" max="8" min="8" style="0" width="20"/>
    <col collapsed="false" customWidth="true" hidden="false" outlineLevel="0" max="10" min="9" style="0" width="10"/>
    <col collapsed="false" customWidth="true" hidden="false" outlineLevel="0" max="12" min="11" style="0" width="3"/>
  </cols>
  <sheetData>
    <row r="1" customFormat="false" ht="15" hidden="false" customHeight="false" outlineLevel="0" collapsed="false">
      <c r="A1" s="1" t="s">
        <v>268</v>
      </c>
      <c r="B1" s="1"/>
      <c r="C1" s="1"/>
      <c r="D1" s="1"/>
      <c r="E1" s="1"/>
      <c r="F1" s="1"/>
      <c r="G1" s="1"/>
      <c r="H1" s="1"/>
      <c r="I1" s="1"/>
      <c r="J1" s="1"/>
    </row>
    <row r="3" customFormat="false" ht="15" hidden="false" customHeight="false" outlineLevel="0" collapsed="false">
      <c r="A3" s="26" t="s">
        <v>269</v>
      </c>
    </row>
    <row r="4" customFormat="false" ht="15" hidden="false" customHeight="false" outlineLevel="0" collapsed="false">
      <c r="A4" s="26" t="s">
        <v>270</v>
      </c>
    </row>
    <row r="7" customFormat="false" ht="15" hidden="false" customHeight="false" outlineLevel="0" collapsed="false">
      <c r="A7" s="27" t="s">
        <v>271</v>
      </c>
      <c r="B7" s="27"/>
      <c r="C7" s="27"/>
      <c r="D7" s="27"/>
      <c r="E7" s="27"/>
      <c r="F7" s="27"/>
      <c r="G7" s="27"/>
      <c r="H7" s="27"/>
      <c r="I7" s="27"/>
      <c r="J7" s="27"/>
    </row>
    <row r="8" customFormat="false" ht="15" hidden="false" customHeight="false" outlineLevel="0" collapsed="false">
      <c r="A8" s="8" t="s">
        <v>272</v>
      </c>
      <c r="B8" s="8" t="s">
        <v>273</v>
      </c>
      <c r="C8" s="8" t="s">
        <v>274</v>
      </c>
      <c r="D8" s="8" t="s">
        <v>275</v>
      </c>
      <c r="E8" s="8" t="s">
        <v>276</v>
      </c>
      <c r="F8" s="8" t="s">
        <v>277</v>
      </c>
      <c r="G8" s="8" t="s">
        <v>278</v>
      </c>
      <c r="H8" s="8" t="s">
        <v>279</v>
      </c>
      <c r="I8" s="8" t="s">
        <v>280</v>
      </c>
      <c r="J8" s="8" t="s">
        <v>281</v>
      </c>
    </row>
    <row r="9" customFormat="false" ht="15" hidden="false" customHeight="false" outlineLevel="0" collapsed="false">
      <c r="A9" s="9" t="n">
        <v>1</v>
      </c>
      <c r="B9" s="9" t="s">
        <v>183</v>
      </c>
      <c r="C9" s="14" t="n">
        <v>0</v>
      </c>
      <c r="D9" s="13" t="n">
        <f aca="false">IFERROR(INDEX(Conduites_plan_noeuds!$AB$4:$AB$203,MATCH("L01_P01_P02",Conduites_plan_noeuds!$A$4:$A$203,0)),"")</f>
        <v>104</v>
      </c>
      <c r="E9" s="13" t="n">
        <f aca="false">IFERROR(INDEX(Conduites_plan_noeuds!$Z$4:$Z$203,MATCH("L01_P01_P02",Conduites_plan_noeuds!$A$4:$A$203,0)),"")</f>
        <v>101.7592</v>
      </c>
      <c r="F9" s="13" t="n">
        <f aca="false">IF(OR(E9="",J9=""),"",E9+J9)</f>
        <v>101.9592</v>
      </c>
      <c r="G9" s="13" t="n">
        <f aca="false">IF(OR(E9="",J9="",I9=""),"",E9+0.8*J9+I9^2/(2*9.81))</f>
        <v>101.921003061597</v>
      </c>
      <c r="H9" s="9" t="s">
        <v>221</v>
      </c>
      <c r="I9" s="14" t="n">
        <f aca="false">IFERROR(INDEX(Conduites_plan_noeuds!$W$4:$W$203,MATCH("L01_P01_P02",Conduites_plan_noeuds!$A$4:$A$203,0)),"")</f>
        <v>0.188085269335857</v>
      </c>
      <c r="J9" s="14" t="n">
        <f aca="false">IFERROR(INDEX(Conduites_plan_noeuds!$T$4:$T$203,MATCH("L01_P01_P02",Conduites_plan_noeuds!$A$4:$A$203,0)),"")</f>
        <v>0.2</v>
      </c>
    </row>
    <row r="10" customFormat="false" ht="15" hidden="false" customHeight="false" outlineLevel="0" collapsed="false">
      <c r="A10" s="9" t="n">
        <v>2</v>
      </c>
      <c r="B10" s="9" t="s">
        <v>184</v>
      </c>
      <c r="C10" s="14" t="n">
        <f aca="false">IFERROR(INDEX(Conduites_plan_noeuds!$E$4:$E$203,MATCH("L01_P01_P02",Conduites_plan_noeuds!$A$4:$A$203,0)),0)</f>
        <v>7</v>
      </c>
      <c r="D10" s="13" t="n">
        <f aca="false">IFERROR(INDEX(Conduites_plan_noeuds!$AA$4:$AA$203,MATCH("L01_P01_P02",Conduites_plan_noeuds!$A$4:$A$203,0)),"")</f>
        <v>104</v>
      </c>
      <c r="E10" s="13" t="n">
        <f aca="false">IFERROR(INDEX(Conduites_plan_noeuds!$Y$4:$Y$203,MATCH("L01_P01_P02",Conduites_plan_noeuds!$A$4:$A$203,0)),"")</f>
        <v>101.6892</v>
      </c>
      <c r="F10" s="13" t="n">
        <f aca="false">IF(OR(E10="",J10=""),"",E10+J10)</f>
        <v>101.8892</v>
      </c>
      <c r="G10" s="13" t="n">
        <f aca="false">IF(OR(E10="",J10="",I10=""),"",E10+0.8*J10+I10^2/(2*9.81))</f>
        <v>101.851003061597</v>
      </c>
      <c r="H10" s="9" t="s">
        <v>221</v>
      </c>
      <c r="I10" s="14" t="n">
        <f aca="false">IFERROR(INDEX(Conduites_plan_noeuds!$W$4:$W$203,MATCH("L01_P01_P02",Conduites_plan_noeuds!$A$4:$A$203,0)),"")</f>
        <v>0.188085269335857</v>
      </c>
      <c r="J10" s="14" t="n">
        <f aca="false">IFERROR(INDEX(Conduites_plan_noeuds!$T$4:$T$203,MATCH("L01_P01_P02",Conduites_plan_noeuds!$A$4:$A$203,0)),"")</f>
        <v>0.2</v>
      </c>
    </row>
    <row r="11" customFormat="false" ht="15" hidden="false" customHeight="false" outlineLevel="0" collapsed="false">
      <c r="A11" s="9" t="n">
        <v>3</v>
      </c>
      <c r="B11" s="9" t="s">
        <v>186</v>
      </c>
      <c r="C11" s="14" t="n">
        <f aca="false">IFERROR(INDEX(Conduites_plan_noeuds!$E$4:$E$203,MATCH("L01_P01_P02",Conduites_plan_noeuds!$A$4:$A$203,0)),0) + IFERROR(INDEX(Conduites_plan_noeuds!$E$4:$E$203,MATCH("L02_P02_P03",Conduites_plan_noeuds!$A$4:$A$203,0)),0)</f>
        <v>16.747</v>
      </c>
      <c r="D11" s="13" t="n">
        <f aca="false">IFERROR(INDEX(Conduites_plan_noeuds!$AA$4:$AA$203,MATCH("L02_P02_P03",Conduites_plan_noeuds!$A$4:$A$203,0)),"")</f>
        <v>103.95</v>
      </c>
      <c r="E11" s="13" t="n">
        <f aca="false">IFERROR(INDEX(Conduites_plan_noeuds!$Y$4:$Y$203,MATCH("L02_P02_P03",Conduites_plan_noeuds!$A$4:$A$203,0)),"")</f>
        <v>101.57173</v>
      </c>
      <c r="F11" s="13" t="n">
        <f aca="false">IF(OR(E11="",J11=""),"",E11+J11)</f>
        <v>101.77173</v>
      </c>
      <c r="G11" s="13" t="n">
        <f aca="false">IF(OR(E11="",J11="",I11=""),"",E11+0.8*J11+I11^2/(2*9.81))</f>
        <v>101.739926559077</v>
      </c>
      <c r="H11" s="9" t="s">
        <v>224</v>
      </c>
      <c r="I11" s="14" t="n">
        <f aca="false">IFERROR(INDEX(Conduites_plan_noeuds!$W$4:$W$203,MATCH("L02_P02_P03",Conduites_plan_noeuds!$A$4:$A$203,0)),"")</f>
        <v>0.401019312626545</v>
      </c>
      <c r="J11" s="14" t="n">
        <f aca="false">IFERROR(INDEX(Conduites_plan_noeuds!$T$4:$T$203,MATCH("L02_P02_P03",Conduites_plan_noeuds!$A$4:$A$203,0)),"")</f>
        <v>0.2</v>
      </c>
    </row>
    <row r="12" customFormat="false" ht="15" hidden="false" customHeight="false" outlineLevel="0" collapsed="false">
      <c r="A12" s="9" t="n">
        <v>4</v>
      </c>
      <c r="B12" s="9" t="s">
        <v>202</v>
      </c>
      <c r="C12" s="14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</f>
        <v>23.7</v>
      </c>
      <c r="D12" s="13" t="n">
        <f aca="false">IFERROR(INDEX(Conduites_plan_noeuds!$AA$4:$AA$203,MATCH("L03_P03_RP100",Conduites_plan_noeuds!$A$4:$A$203,0)),"")</f>
        <v>104</v>
      </c>
      <c r="E12" s="13" t="n">
        <f aca="false">IFERROR(INDEX(Conduites_plan_noeuds!$Y$4:$Y$203,MATCH("L03_P03_RP100",Conduites_plan_noeuds!$A$4:$A$203,0)),"")</f>
        <v>101.4822</v>
      </c>
      <c r="F12" s="13" t="n">
        <f aca="false">IF(OR(E12="",J12=""),"",E12+J12)</f>
        <v>101.6822</v>
      </c>
      <c r="G12" s="13" t="n">
        <f aca="false">IF(OR(E12="",J12="",I12=""),"",E12+0.8*J12+I12^2/(2*9.81))</f>
        <v>101.66135002362</v>
      </c>
      <c r="H12" s="9" t="s">
        <v>226</v>
      </c>
      <c r="I12" s="14" t="n">
        <f aca="false">IFERROR(INDEX(Conduites_plan_noeuds!$W$4:$W$203,MATCH("L03_P03_RP100",Conduites_plan_noeuds!$A$4:$A$203,0)),"")</f>
        <v>0.612962856481337</v>
      </c>
      <c r="J12" s="14" t="n">
        <f aca="false">IFERROR(INDEX(Conduites_plan_noeuds!$T$4:$T$203,MATCH("L03_P03_RP100",Conduites_plan_noeuds!$A$4:$A$203,0)),"")</f>
        <v>0.2</v>
      </c>
    </row>
    <row r="13" customFormat="false" ht="15" hidden="false" customHeight="false" outlineLevel="0" collapsed="false">
      <c r="A13" s="9" t="n">
        <v>5</v>
      </c>
      <c r="B13" s="9" t="s">
        <v>212</v>
      </c>
      <c r="C13" s="14" t="n">
        <f aca="false">IFERROR(INDEX(Conduites_plan_noeuds!$E$4:$E$203,MATCH("L01_P01_P02",Conduites_plan_noeuds!$A$4:$A$203,0)),0) + IFERROR(INDEX(Conduites_plan_noeuds!$E$4:$E$203,MATCH("L02_P02_P03",Conduites_plan_noeuds!$A$4:$A$203,0)),0) + IFERROR(INDEX(Conduites_plan_noeuds!$E$4:$E$203,MATCH("L03_P03_RP100",Conduites_plan_noeuds!$A$4:$A$203,0)),0) + IFERROR(INDEX(Conduites_plan_noeuds!$E$4:$E$203,MATCH("L11_RP100_PUB",Conduites_plan_noeuds!$A$4:$A$203,0)),0)</f>
        <v>29.92</v>
      </c>
      <c r="D13" s="13" t="n">
        <f aca="false">IFERROR(INDEX(Conduites_plan_noeuds!$AA$4:$AA$203,MATCH("L11_RP100_PUB",Conduites_plan_noeuds!$A$4:$A$203,0)),"")</f>
        <v>104</v>
      </c>
      <c r="E13" s="13" t="n">
        <f aca="false">IFERROR(INDEX(Conduites_plan_noeuds!$Y$4:$Y$203,MATCH("L11_RP100_PUB",Conduites_plan_noeuds!$A$4:$A$203,0)),"")</f>
        <v>101.4</v>
      </c>
      <c r="F13" s="13" t="n">
        <f aca="false">IF(OR(E13="",J13=""),"",E13+J13)</f>
        <v>101.775</v>
      </c>
      <c r="G13" s="13" t="n">
        <f aca="false">IF(OR(E13="",J13="",I13=""),"",E13+0.8*J13+I13^2/(2*9.81))</f>
        <v>101.721636626216</v>
      </c>
      <c r="H13" s="9" t="s">
        <v>52</v>
      </c>
      <c r="I13" s="14" t="n">
        <f aca="false">IFERROR(INDEX(Conduites_plan_noeuds!$W$4:$W$203,MATCH("L11_RP100_PUB",Conduites_plan_noeuds!$A$4:$A$203,0)),"")</f>
        <v>0.651544784612934</v>
      </c>
      <c r="J13" s="14" t="n">
        <f aca="false">IFERROR(INDEX(Conduites_plan_noeuds!$T$4:$T$203,MATCH("L11_RP100_PUB",Conduites_plan_noeuds!$A$4:$A$203,0)),"")</f>
        <v>0.375</v>
      </c>
    </row>
    <row r="30" customFormat="false" ht="15" hidden="false" customHeight="false" outlineLevel="0" collapsed="false">
      <c r="A30" s="27" t="s">
        <v>282</v>
      </c>
      <c r="B30" s="27"/>
      <c r="C30" s="27"/>
      <c r="D30" s="27"/>
      <c r="E30" s="27"/>
      <c r="F30" s="27"/>
      <c r="G30" s="27"/>
      <c r="H30" s="27"/>
      <c r="I30" s="27"/>
      <c r="J30" s="27"/>
    </row>
    <row r="31" customFormat="false" ht="15" hidden="false" customHeight="false" outlineLevel="0" collapsed="false">
      <c r="A31" s="8" t="s">
        <v>272</v>
      </c>
      <c r="B31" s="8" t="s">
        <v>273</v>
      </c>
      <c r="C31" s="8" t="s">
        <v>274</v>
      </c>
      <c r="D31" s="8" t="s">
        <v>275</v>
      </c>
      <c r="E31" s="8" t="s">
        <v>276</v>
      </c>
      <c r="F31" s="8" t="s">
        <v>277</v>
      </c>
      <c r="G31" s="8" t="s">
        <v>278</v>
      </c>
      <c r="H31" s="8" t="s">
        <v>279</v>
      </c>
      <c r="I31" s="8" t="s">
        <v>280</v>
      </c>
      <c r="J31" s="8" t="s">
        <v>281</v>
      </c>
    </row>
    <row r="32" customFormat="false" ht="15" hidden="false" customHeight="false" outlineLevel="0" collapsed="false">
      <c r="A32" s="9" t="n">
        <v>1</v>
      </c>
      <c r="B32" s="9" t="s">
        <v>187</v>
      </c>
      <c r="C32" s="14" t="n">
        <v>0</v>
      </c>
      <c r="D32" s="13" t="n">
        <f aca="false">IFERROR(INDEX(Conduites_plan_noeuds!$AB$4:$AB$203,MATCH("L04_P04_P05",Conduites_plan_noeuds!$A$4:$A$203,0)),"")</f>
        <v>104.32</v>
      </c>
      <c r="E32" s="13" t="n">
        <f aca="false">IFERROR(INDEX(Conduites_plan_noeuds!$Z$4:$Z$203,MATCH("L04_P04_P05",Conduites_plan_noeuds!$A$4:$A$203,0)),"")</f>
        <v>102.17185</v>
      </c>
      <c r="F32" s="13" t="n">
        <f aca="false">IF(OR(E32="",J32=""),"",E32+J32)</f>
        <v>102.37185</v>
      </c>
      <c r="G32" s="13" t="n">
        <f aca="false">IF(OR(E32="",J32="",I32=""),"",E32+0.8*J32+I32^2/(2*9.81))</f>
        <v>102.334637664814</v>
      </c>
      <c r="H32" s="9" t="s">
        <v>228</v>
      </c>
      <c r="I32" s="14" t="n">
        <f aca="false">IFERROR(INDEX(Conduites_plan_noeuds!$W$4:$W$203,MATCH("L04_P04_P05",Conduites_plan_noeuds!$A$4:$A$203,0)),"")</f>
        <v>0.233867448895635</v>
      </c>
      <c r="J32" s="14" t="n">
        <f aca="false">IFERROR(INDEX(Conduites_plan_noeuds!$T$4:$T$203,MATCH("L04_P04_P05",Conduites_plan_noeuds!$A$4:$A$203,0)),"")</f>
        <v>0.2</v>
      </c>
    </row>
    <row r="33" customFormat="false" ht="15" hidden="false" customHeight="false" outlineLevel="0" collapsed="false">
      <c r="A33" s="9" t="n">
        <v>2</v>
      </c>
      <c r="B33" s="9" t="s">
        <v>188</v>
      </c>
      <c r="C33" s="14" t="n">
        <f aca="false">IFERROR(INDEX(Conduites_plan_noeuds!$E$4:$E$203,MATCH("L04_P04_P05",Conduites_plan_noeuds!$A$4:$A$203,0)),0)</f>
        <v>11.54</v>
      </c>
      <c r="D33" s="13" t="n">
        <f aca="false">IFERROR(INDEX(Conduites_plan_noeuds!$AA$4:$AA$203,MATCH("L04_P04_P05",Conduites_plan_noeuds!$A$4:$A$203,0)),"")</f>
        <v>104</v>
      </c>
      <c r="E33" s="13" t="n">
        <f aca="false">IFERROR(INDEX(Conduites_plan_noeuds!$Y$4:$Y$203,MATCH("L04_P04_P05",Conduites_plan_noeuds!$A$4:$A$203,0)),"")</f>
        <v>102.05645</v>
      </c>
      <c r="F33" s="13" t="n">
        <f aca="false">IF(OR(E33="",J33=""),"",E33+J33)</f>
        <v>102.25645</v>
      </c>
      <c r="G33" s="13" t="n">
        <f aca="false">IF(OR(E33="",J33="",I33=""),"",E33+0.8*J33+I33^2/(2*9.81))</f>
        <v>102.219237664814</v>
      </c>
      <c r="H33" s="9" t="s">
        <v>228</v>
      </c>
      <c r="I33" s="14" t="n">
        <f aca="false">IFERROR(INDEX(Conduites_plan_noeuds!$W$4:$W$203,MATCH("L04_P04_P05",Conduites_plan_noeuds!$A$4:$A$203,0)),"")</f>
        <v>0.233867448895635</v>
      </c>
      <c r="J33" s="14" t="n">
        <f aca="false">IFERROR(INDEX(Conduites_plan_noeuds!$T$4:$T$203,MATCH("L04_P04_P05",Conduites_plan_noeuds!$A$4:$A$203,0)),"")</f>
        <v>0.2</v>
      </c>
    </row>
    <row r="34" customFormat="false" ht="15" hidden="false" customHeight="false" outlineLevel="0" collapsed="false">
      <c r="A34" s="9" t="n">
        <v>3</v>
      </c>
      <c r="B34" s="9" t="s">
        <v>185</v>
      </c>
      <c r="C34" s="14" t="n">
        <f aca="false">IFERROR(INDEX(Conduites_plan_noeuds!$E$4:$E$203,MATCH("L04_P04_P05",Conduites_plan_noeuds!$A$4:$A$203,0)),0) + IFERROR(INDEX(Conduites_plan_noeuds!$E$4:$E$203,MATCH("L05_P05_P06",Conduites_plan_noeuds!$A$4:$A$203,0)),0)</f>
        <v>26.265</v>
      </c>
      <c r="D34" s="13" t="n">
        <f aca="false">IFERROR(INDEX(Conduites_plan_noeuds!$AA$4:$AA$203,MATCH("L05_P05_P06",Conduites_plan_noeuds!$A$4:$A$203,0)),"")</f>
        <v>104.2</v>
      </c>
      <c r="E34" s="13" t="n">
        <f aca="false">IFERROR(INDEX(Conduites_plan_noeuds!$Y$4:$Y$203,MATCH("L05_P05_P06",Conduites_plan_noeuds!$A$4:$A$203,0)),"")</f>
        <v>101.8892</v>
      </c>
      <c r="F34" s="13" t="n">
        <f aca="false">IF(OR(E34="",J34=""),"",E34+J34)</f>
        <v>102.0892</v>
      </c>
      <c r="G34" s="13" t="n">
        <f aca="false">IF(OR(E34="",J34="",I34=""),"",E34+0.8*J34+I34^2/(2*9.81))</f>
        <v>102.059820696219</v>
      </c>
      <c r="H34" s="9" t="s">
        <v>232</v>
      </c>
      <c r="I34" s="14" t="n">
        <f aca="false">IFERROR(INDEX(Conduites_plan_noeuds!$W$4:$W$203,MATCH("L05_P05_P06",Conduites_plan_noeuds!$A$4:$A$203,0)),"")</f>
        <v>0.456484457370719</v>
      </c>
      <c r="J34" s="14" t="n">
        <f aca="false">IFERROR(INDEX(Conduites_plan_noeuds!$T$4:$T$203,MATCH("L05_P05_P06",Conduites_plan_noeuds!$A$4:$A$203,0)),"")</f>
        <v>0.2</v>
      </c>
    </row>
    <row r="35" customFormat="false" ht="15" hidden="false" customHeight="false" outlineLevel="0" collapsed="false">
      <c r="A35" s="9" t="n">
        <v>4</v>
      </c>
      <c r="B35" s="9" t="s">
        <v>202</v>
      </c>
      <c r="C35" s="14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</f>
        <v>64.965</v>
      </c>
      <c r="D35" s="13" t="n">
        <f aca="false">IFERROR(INDEX(Conduites_plan_noeuds!$AA$4:$AA$203,MATCH("L06_P06_RP100",Conduites_plan_noeuds!$A$4:$A$203,0)),"")</f>
        <v>104</v>
      </c>
      <c r="E35" s="13" t="n">
        <f aca="false">IFERROR(INDEX(Conduites_plan_noeuds!$Y$4:$Y$203,MATCH("L06_P06_RP100",Conduites_plan_noeuds!$A$4:$A$203,0)),"")</f>
        <v>101.4822</v>
      </c>
      <c r="F35" s="13" t="n">
        <f aca="false">IF(OR(E35="",J35=""),"",E35+J35)</f>
        <v>101.7322</v>
      </c>
      <c r="G35" s="13" t="n">
        <f aca="false">IF(OR(E35="",J35="",I35=""),"",E35+0.8*J35+I35^2/(2*9.81))</f>
        <v>101.727274878284</v>
      </c>
      <c r="H35" s="9" t="s">
        <v>235</v>
      </c>
      <c r="I35" s="14" t="n">
        <f aca="false">IFERROR(INDEX(Conduites_plan_noeuds!$W$4:$W$203,MATCH("L06_P06_RP100",Conduites_plan_noeuds!$A$4:$A$203,0)),"")</f>
        <v>0.940409013105672</v>
      </c>
      <c r="J35" s="14" t="n">
        <f aca="false">IFERROR(INDEX(Conduites_plan_noeuds!$T$4:$T$203,MATCH("L06_P06_RP100",Conduites_plan_noeuds!$A$4:$A$203,0)),"")</f>
        <v>0.25</v>
      </c>
    </row>
    <row r="36" customFormat="false" ht="15" hidden="false" customHeight="false" outlineLevel="0" collapsed="false">
      <c r="A36" s="9" t="n">
        <v>5</v>
      </c>
      <c r="B36" s="9" t="s">
        <v>212</v>
      </c>
      <c r="C36" s="14" t="n">
        <f aca="false">IFERROR(INDEX(Conduites_plan_noeuds!$E$4:$E$203,MATCH("L04_P04_P05",Conduites_plan_noeuds!$A$4:$A$203,0)),0) + IFERROR(INDEX(Conduites_plan_noeuds!$E$4:$E$203,MATCH("L05_P05_P06",Conduites_plan_noeuds!$A$4:$A$203,0)),0)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71.185</v>
      </c>
      <c r="D36" s="13" t="n">
        <f aca="false">IFERROR(INDEX(Conduites_plan_noeuds!$AA$4:$AA$203,MATCH("L11_RP100_PUB",Conduites_plan_noeuds!$A$4:$A$203,0)),"")</f>
        <v>104</v>
      </c>
      <c r="E36" s="13" t="n">
        <f aca="false">IFERROR(INDEX(Conduites_plan_noeuds!$Y$4:$Y$203,MATCH("L11_RP100_PUB",Conduites_plan_noeuds!$A$4:$A$203,0)),"")</f>
        <v>101.4</v>
      </c>
      <c r="F36" s="13" t="n">
        <f aca="false">IF(OR(E36="",J36=""),"",E36+J36)</f>
        <v>101.775</v>
      </c>
      <c r="G36" s="13" t="n">
        <f aca="false">IF(OR(E36="",J36="",I36=""),"",E36+0.8*J36+I36^2/(2*9.81))</f>
        <v>101.721636626216</v>
      </c>
      <c r="H36" s="9" t="s">
        <v>52</v>
      </c>
      <c r="I36" s="14" t="n">
        <f aca="false">IFERROR(INDEX(Conduites_plan_noeuds!$W$4:$W$203,MATCH("L11_RP100_PUB",Conduites_plan_noeuds!$A$4:$A$203,0)),"")</f>
        <v>0.651544784612934</v>
      </c>
      <c r="J36" s="14" t="n">
        <f aca="false">IFERROR(INDEX(Conduites_plan_noeuds!$T$4:$T$203,MATCH("L11_RP100_PUB",Conduites_plan_noeuds!$A$4:$A$203,0)),"")</f>
        <v>0.375</v>
      </c>
    </row>
    <row r="53" customFormat="false" ht="15" hidden="false" customHeight="false" outlineLevel="0" collapsed="false">
      <c r="A53" s="27" t="s">
        <v>283</v>
      </c>
      <c r="B53" s="27"/>
      <c r="C53" s="27"/>
      <c r="D53" s="27"/>
      <c r="E53" s="27"/>
      <c r="F53" s="27"/>
      <c r="G53" s="27"/>
      <c r="H53" s="27"/>
      <c r="I53" s="27"/>
      <c r="J53" s="27"/>
    </row>
    <row r="54" customFormat="false" ht="15" hidden="false" customHeight="false" outlineLevel="0" collapsed="false">
      <c r="A54" s="8" t="s">
        <v>272</v>
      </c>
      <c r="B54" s="8" t="s">
        <v>273</v>
      </c>
      <c r="C54" s="8" t="s">
        <v>274</v>
      </c>
      <c r="D54" s="8" t="s">
        <v>275</v>
      </c>
      <c r="E54" s="8" t="s">
        <v>276</v>
      </c>
      <c r="F54" s="8" t="s">
        <v>277</v>
      </c>
      <c r="G54" s="8" t="s">
        <v>278</v>
      </c>
      <c r="H54" s="8" t="s">
        <v>279</v>
      </c>
      <c r="I54" s="8" t="s">
        <v>280</v>
      </c>
      <c r="J54" s="8" t="s">
        <v>281</v>
      </c>
    </row>
    <row r="55" customFormat="false" ht="15" hidden="false" customHeight="false" outlineLevel="0" collapsed="false">
      <c r="A55" s="9" t="n">
        <v>1</v>
      </c>
      <c r="B55" s="9" t="s">
        <v>210</v>
      </c>
      <c r="C55" s="14" t="n">
        <v>0</v>
      </c>
      <c r="D55" s="13" t="n">
        <f aca="false">IFERROR(INDEX(Conduites_plan_noeuds!$AB$4:$AB$203,MATCH("L10_P010_P07",Conduites_plan_noeuds!$A$4:$A$203,0)),"")</f>
        <v>104</v>
      </c>
      <c r="E55" s="13" t="n">
        <f aca="false">IFERROR(INDEX(Conduites_plan_noeuds!$Z$4:$Z$203,MATCH("L10_P010_P07",Conduites_plan_noeuds!$A$4:$A$203,0)),"")</f>
        <v>102.3878</v>
      </c>
      <c r="F55" s="13" t="n">
        <f aca="false">IF(OR(E55="",J55=""),"",E55+J55)</f>
        <v>102.5878</v>
      </c>
      <c r="G55" s="13" t="n">
        <f aca="false">IF(OR(E55="",J55="",I55=""),"",E55+0.8*J55+I55^2/(2*9.81))</f>
        <v>102.55095119189</v>
      </c>
      <c r="H55" s="9" t="s">
        <v>246</v>
      </c>
      <c r="I55" s="14" t="n">
        <f aca="false">IFERROR(INDEX(Conduites_plan_noeuds!$W$4:$W$203,MATCH("L10_P010_P07",Conduites_plan_noeuds!$A$4:$A$203,0)),"")</f>
        <v>0.248649120013724</v>
      </c>
      <c r="J55" s="14" t="n">
        <f aca="false">IFERROR(INDEX(Conduites_plan_noeuds!$T$4:$T$203,MATCH("L10_P010_P07",Conduites_plan_noeuds!$A$4:$A$203,0)),"")</f>
        <v>0.2</v>
      </c>
    </row>
    <row r="56" customFormat="false" ht="15" hidden="false" customHeight="false" outlineLevel="0" collapsed="false">
      <c r="A56" s="9" t="n">
        <v>2</v>
      </c>
      <c r="B56" s="9" t="s">
        <v>189</v>
      </c>
      <c r="C56" s="14" t="n">
        <f aca="false">IFERROR(INDEX(Conduites_plan_noeuds!$E$4:$E$203,MATCH("L10_P010_P07",Conduites_plan_noeuds!$A$4:$A$203,0)),0)</f>
        <v>12.25</v>
      </c>
      <c r="D56" s="13" t="n">
        <f aca="false">IFERROR(INDEX(Conduites_plan_noeuds!$AA$4:$AA$203,MATCH("L10_P010_P07",Conduites_plan_noeuds!$A$4:$A$203,0)),"")</f>
        <v>104</v>
      </c>
      <c r="E56" s="13" t="n">
        <f aca="false">IFERROR(INDEX(Conduites_plan_noeuds!$Y$4:$Y$203,MATCH("L10_P010_P07",Conduites_plan_noeuds!$A$4:$A$203,0)),"")</f>
        <v>102.2653</v>
      </c>
      <c r="F56" s="13" t="n">
        <f aca="false">IF(OR(E56="",J56=""),"",E56+J56)</f>
        <v>102.4653</v>
      </c>
      <c r="G56" s="13" t="n">
        <f aca="false">IF(OR(E56="",J56="",I56=""),"",E56+0.8*J56+I56^2/(2*9.81))</f>
        <v>102.42845119189</v>
      </c>
      <c r="H56" s="9" t="s">
        <v>246</v>
      </c>
      <c r="I56" s="14" t="n">
        <f aca="false">IFERROR(INDEX(Conduites_plan_noeuds!$W$4:$W$203,MATCH("L10_P010_P07",Conduites_plan_noeuds!$A$4:$A$203,0)),"")</f>
        <v>0.248649120013724</v>
      </c>
      <c r="J56" s="14" t="n">
        <f aca="false">IFERROR(INDEX(Conduites_plan_noeuds!$T$4:$T$203,MATCH("L10_P010_P07",Conduites_plan_noeuds!$A$4:$A$203,0)),"")</f>
        <v>0.2</v>
      </c>
    </row>
    <row r="57" customFormat="false" ht="15" hidden="false" customHeight="false" outlineLevel="0" collapsed="false">
      <c r="A57" s="9" t="n">
        <v>3</v>
      </c>
      <c r="B57" s="9" t="s">
        <v>190</v>
      </c>
      <c r="C57" s="14" t="n">
        <f aca="false">IFERROR(INDEX(Conduites_plan_noeuds!$E$4:$E$203,MATCH("L10_P010_P07",Conduites_plan_noeuds!$A$4:$A$203,0)),0) + IFERROR(INDEX(Conduites_plan_noeuds!$E$4:$E$203,MATCH("L07_P07_P08",Conduites_plan_noeuds!$A$4:$A$203,0)),0)</f>
        <v>24.66</v>
      </c>
      <c r="D57" s="13" t="n">
        <f aca="false">IFERROR(INDEX(Conduites_plan_noeuds!$AA$4:$AA$203,MATCH("L07_P07_P08",Conduites_plan_noeuds!$A$4:$A$203,0)),"")</f>
        <v>104</v>
      </c>
      <c r="E57" s="13" t="n">
        <f aca="false">IFERROR(INDEX(Conduites_plan_noeuds!$Y$4:$Y$203,MATCH("L07_P07_P08",Conduites_plan_noeuds!$A$4:$A$203,0)),"")</f>
        <v>102.1212</v>
      </c>
      <c r="F57" s="13" t="n">
        <f aca="false">IF(OR(E57="",J57=""),"",E57+J57)</f>
        <v>102.3212</v>
      </c>
      <c r="G57" s="13" t="n">
        <f aca="false">IF(OR(E57="",J57="",I57=""),"",E57+0.8*J57+I57^2/(2*9.81))</f>
        <v>102.290727084746</v>
      </c>
      <c r="H57" s="9" t="s">
        <v>238</v>
      </c>
      <c r="I57" s="14" t="n">
        <f aca="false">IFERROR(INDEX(Conduites_plan_noeuds!$W$4:$W$203,MATCH("L07_P07_P08",Conduites_plan_noeuds!$A$4:$A$203,0)),"")</f>
        <v>0.432344079085778</v>
      </c>
      <c r="J57" s="14" t="n">
        <f aca="false">IFERROR(INDEX(Conduites_plan_noeuds!$T$4:$T$203,MATCH("L07_P07_P08",Conduites_plan_noeuds!$A$4:$A$203,0)),"")</f>
        <v>0.2</v>
      </c>
    </row>
    <row r="58" customFormat="false" ht="15" hidden="false" customHeight="false" outlineLevel="0" collapsed="false">
      <c r="A58" s="9" t="n">
        <v>4</v>
      </c>
      <c r="B58" s="9" t="s">
        <v>191</v>
      </c>
      <c r="C58" s="14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</f>
        <v>34.83</v>
      </c>
      <c r="D58" s="13" t="n">
        <f aca="false">IFERROR(INDEX(Conduites_plan_noeuds!$AA$4:$AA$203,MATCH("L08_P08_P09",Conduites_plan_noeuds!$A$4:$A$203,0)),"")</f>
        <v>104.3</v>
      </c>
      <c r="E58" s="13" t="n">
        <f aca="false">IFERROR(INDEX(Conduites_plan_noeuds!$Y$4:$Y$203,MATCH("L08_P08_P09",Conduites_plan_noeuds!$A$4:$A$203,0)),"")</f>
        <v>101.9995</v>
      </c>
      <c r="F58" s="13" t="n">
        <f aca="false">IF(OR(E58="",J58=""),"",E58+J58)</f>
        <v>102.1995</v>
      </c>
      <c r="G58" s="13" t="n">
        <f aca="false">IF(OR(E58="",J58="",I58=""),"",E58+0.8*J58+I58^2/(2*9.81))</f>
        <v>102.192069664326</v>
      </c>
      <c r="H58" s="9" t="s">
        <v>240</v>
      </c>
      <c r="I58" s="14" t="n">
        <f aca="false">IFERROR(INDEX(Conduites_plan_noeuds!$W$4:$W$203,MATCH("L08_P08_P09",Conduites_plan_noeuds!$A$4:$A$203,0)),"")</f>
        <v>0.799385272619687</v>
      </c>
      <c r="J58" s="14" t="n">
        <f aca="false">IFERROR(INDEX(Conduites_plan_noeuds!$T$4:$T$203,MATCH("L08_P08_P09",Conduites_plan_noeuds!$A$4:$A$203,0)),"")</f>
        <v>0.2</v>
      </c>
    </row>
    <row r="59" customFormat="false" ht="15" hidden="false" customHeight="false" outlineLevel="0" collapsed="false">
      <c r="A59" s="9" t="n">
        <v>5</v>
      </c>
      <c r="B59" s="9" t="s">
        <v>185</v>
      </c>
      <c r="C59" s="14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</f>
        <v>43.86</v>
      </c>
      <c r="D59" s="13" t="n">
        <f aca="false">IFERROR(INDEX(Conduites_plan_noeuds!$AA$4:$AA$203,MATCH("L09_P09_P06",Conduites_plan_noeuds!$A$4:$A$203,0)),"")</f>
        <v>104.2</v>
      </c>
      <c r="E59" s="13" t="n">
        <f aca="false">IFERROR(INDEX(Conduites_plan_noeuds!$Y$4:$Y$203,MATCH("L09_P09_P06",Conduites_plan_noeuds!$A$4:$A$203,0)),"")</f>
        <v>101.8892</v>
      </c>
      <c r="F59" s="13" t="n">
        <f aca="false">IF(OR(E59="",J59=""),"",E59+J59)</f>
        <v>102.1392</v>
      </c>
      <c r="G59" s="13" t="n">
        <f aca="false">IF(OR(E59="",J59="",I59=""),"",E59+0.8*J59+I59^2/(2*9.81))</f>
        <v>102.105342046755</v>
      </c>
      <c r="H59" s="9" t="s">
        <v>242</v>
      </c>
      <c r="I59" s="14" t="n">
        <f aca="false">IFERROR(INDEX(Conduites_plan_noeuds!$W$4:$W$203,MATCH("L09_P09_P06",Conduites_plan_noeuds!$A$4:$A$203,0)),"")</f>
        <v>0.56276723192426</v>
      </c>
      <c r="J59" s="14" t="n">
        <f aca="false">IFERROR(INDEX(Conduites_plan_noeuds!$T$4:$T$203,MATCH("L09_P09_P06",Conduites_plan_noeuds!$A$4:$A$203,0)),"")</f>
        <v>0.25</v>
      </c>
    </row>
    <row r="60" customFormat="false" ht="15" hidden="false" customHeight="false" outlineLevel="0" collapsed="false">
      <c r="A60" s="9" t="n">
        <v>6</v>
      </c>
      <c r="B60" s="9" t="s">
        <v>202</v>
      </c>
      <c r="C60" s="14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</f>
        <v>82.56</v>
      </c>
      <c r="D60" s="13" t="n">
        <f aca="false">IFERROR(INDEX(Conduites_plan_noeuds!$AA$4:$AA$203,MATCH("L06_P06_RP100",Conduites_plan_noeuds!$A$4:$A$203,0)),"")</f>
        <v>104</v>
      </c>
      <c r="E60" s="13" t="n">
        <f aca="false">IFERROR(INDEX(Conduites_plan_noeuds!$Y$4:$Y$203,MATCH("L06_P06_RP100",Conduites_plan_noeuds!$A$4:$A$203,0)),"")</f>
        <v>101.4822</v>
      </c>
      <c r="F60" s="13" t="n">
        <f aca="false">IF(OR(E60="",J60=""),"",E60+J60)</f>
        <v>101.7322</v>
      </c>
      <c r="G60" s="13" t="n">
        <f aca="false">IF(OR(E60="",J60="",I60=""),"",E60+0.8*J60+I60^2/(2*9.81))</f>
        <v>101.727274878284</v>
      </c>
      <c r="H60" s="9" t="s">
        <v>235</v>
      </c>
      <c r="I60" s="14" t="n">
        <f aca="false">IFERROR(INDEX(Conduites_plan_noeuds!$W$4:$W$203,MATCH("L06_P06_RP100",Conduites_plan_noeuds!$A$4:$A$203,0)),"")</f>
        <v>0.940409013105672</v>
      </c>
      <c r="J60" s="14" t="n">
        <f aca="false">IFERROR(INDEX(Conduites_plan_noeuds!$T$4:$T$203,MATCH("L06_P06_RP100",Conduites_plan_noeuds!$A$4:$A$203,0)),"")</f>
        <v>0.25</v>
      </c>
    </row>
    <row r="61" customFormat="false" ht="15" hidden="false" customHeight="false" outlineLevel="0" collapsed="false">
      <c r="A61" s="9" t="n">
        <v>7</v>
      </c>
      <c r="B61" s="9" t="s">
        <v>212</v>
      </c>
      <c r="C61" s="14" t="n">
        <f aca="false">IFERROR(INDEX(Conduites_plan_noeuds!$E$4:$E$203,MATCH("L10_P010_P07",Conduites_plan_noeuds!$A$4:$A$203,0)),0) + IFERROR(INDEX(Conduites_plan_noeuds!$E$4:$E$203,MATCH("L07_P07_P08",Conduites_plan_noeuds!$A$4:$A$203,0)),0) + IFERROR(INDEX(Conduites_plan_noeuds!$E$4:$E$203,MATCH("L08_P08_P09",Conduites_plan_noeuds!$A$4:$A$203,0)),0) + IFERROR(INDEX(Conduites_plan_noeuds!$E$4:$E$203,MATCH("L09_P09_P06",Conduites_plan_noeuds!$A$4:$A$203,0)),0) + IFERROR(INDEX(Conduites_plan_noeuds!$E$4:$E$203,MATCH("L06_P06_RP100",Conduites_plan_noeuds!$A$4:$A$203,0)),0) + IFERROR(INDEX(Conduites_plan_noeuds!$E$4:$E$203,MATCH("L11_RP100_PUB",Conduites_plan_noeuds!$A$4:$A$203,0)),0)</f>
        <v>88.78</v>
      </c>
      <c r="D61" s="13" t="n">
        <f aca="false">IFERROR(INDEX(Conduites_plan_noeuds!$AA$4:$AA$203,MATCH("L11_RP100_PUB",Conduites_plan_noeuds!$A$4:$A$203,0)),"")</f>
        <v>104</v>
      </c>
      <c r="E61" s="13" t="n">
        <f aca="false">IFERROR(INDEX(Conduites_plan_noeuds!$Y$4:$Y$203,MATCH("L11_RP100_PUB",Conduites_plan_noeuds!$A$4:$A$203,0)),"")</f>
        <v>101.4</v>
      </c>
      <c r="F61" s="13" t="n">
        <f aca="false">IF(OR(E61="",J61=""),"",E61+J61)</f>
        <v>101.775</v>
      </c>
      <c r="G61" s="13" t="n">
        <f aca="false">IF(OR(E61="",J61="",I61=""),"",E61+0.8*J61+I61^2/(2*9.81))</f>
        <v>101.721636626216</v>
      </c>
      <c r="H61" s="9" t="s">
        <v>52</v>
      </c>
      <c r="I61" s="14" t="n">
        <f aca="false">IFERROR(INDEX(Conduites_plan_noeuds!$W$4:$W$203,MATCH("L11_RP100_PUB",Conduites_plan_noeuds!$A$4:$A$203,0)),"")</f>
        <v>0.651544784612934</v>
      </c>
      <c r="J61" s="14" t="n">
        <f aca="false">IFERROR(INDEX(Conduites_plan_noeuds!$T$4:$T$203,MATCH("L11_RP100_PUB",Conduites_plan_noeuds!$A$4:$A$203,0)),"")</f>
        <v>0.375</v>
      </c>
    </row>
  </sheetData>
  <mergeCells count="4">
    <mergeCell ref="A1:J1"/>
    <mergeCell ref="A7:J7"/>
    <mergeCell ref="A30:J30"/>
    <mergeCell ref="A53:J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793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2026-06-26T08:18:13Z</dcterms:created>
  <dc:creator>openpyxl</dc:creator>
  <dc:description/>
  <dc:language>en-CA</dc:language>
  <cp:lastModifiedBy/>
  <dcterms:modified xsi:type="dcterms:W3CDTF">2026-06-28T06:31:28Z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