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CB_Tributaires" sheetId="3" state="visible" r:id="rId3"/>
    <sheet name="Condui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0" pivotButton="0" quotePrefix="0" xfId="0"/>
    <xf numFmtId="164" fontId="0" fillId="5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5" borderId="0" pivotButton="0" quotePrefix="0" xfId="0"/>
    <xf numFmtId="0" fontId="0" fillId="5" borderId="0" pivotButton="0" quotePrefix="0" xfId="0"/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RESEAU PLUVIAL - METHODE AVEC ELEVATION DE REFERENCE (EXUTOIRE DROITE)</t>
        </is>
      </c>
    </row>
    <row r="3">
      <c r="A3" t="inlineStr">
        <is>
          <t>But: dimensionner diametres, pentes et radiers meme si le radier du reseau public aval est inconnu.</t>
        </is>
      </c>
    </row>
    <row r="4">
      <c r="A4" t="inlineStr">
        <is>
          <t>Principe: choisir une elevation de reference a l exutoire (radier connu ou surface connue + profondeur de couverture).</t>
        </is>
      </c>
    </row>
    <row r="5">
      <c r="A5" t="inlineStr">
        <is>
          <t>Onglet Inputs: definir les hypotheses hydrauliques, IDF et la liste de diametres disponibles.</t>
        </is>
      </c>
    </row>
    <row r="6">
      <c r="A6" t="inlineStr">
        <is>
          <t>Onglet CB_Tributaires: entrer les surfaces de chaque puisard/catch basin et le Pipe_ID qui les recoit.</t>
        </is>
      </c>
    </row>
    <row r="7">
      <c r="A7" t="inlineStr">
        <is>
          <t>Onglet Conduites: entrer Pipe_ID, pipe receveur aval, longueur, C, tc, pente manuelle (si connue), terrain amont/aval.</t>
        </is>
      </c>
    </row>
    <row r="8">
      <c r="A8" t="inlineStr">
        <is>
          <t>Propagation des radiers: le pipe exutoire prend Inputs!B22; les pipes amont prennent le radier amont du pipe aval + chute de regard.</t>
        </is>
      </c>
    </row>
    <row r="9">
      <c r="A9" t="inlineStr">
        <is>
          <t>Dimensionnement: Q_local (rationnelle) + Q amont cumulee -&gt; Q_total_design -&gt; diametre recommande par Manning.</t>
        </is>
      </c>
    </row>
    <row r="10">
      <c r="A10" t="inlineStr">
        <is>
          <t>Controle: capacite, vitesse, pentes min/max, recouvrement mini.</t>
        </is>
      </c>
    </row>
    <row r="11">
      <c r="A11" t="inlineStr">
        <is>
          <t>Important: les references Receives_into_Pipe_ID doivent pointer vers l aval (vers P_OUT).</t>
        </is>
      </c>
    </row>
    <row r="12">
      <c r="A12" t="inlineStr">
        <is>
          <t>Utiliser d abord SURFACE si reseau public inconnu, puis recalibrer quand les radiers municipaux seront disponibles.</t>
        </is>
      </c>
    </row>
    <row r="15">
      <c r="A15" s="2" t="inlineStr">
        <is>
          <t>Formules cle (texte simple):</t>
        </is>
      </c>
    </row>
    <row r="16">
      <c r="A16" t="inlineStr">
        <is>
          <t>Q_local = 0.00278 * C * Area(m2) * i(mm/h)</t>
        </is>
      </c>
    </row>
    <row r="17">
      <c r="A17" t="inlineStr">
        <is>
          <t>Q_total = (Q_local + somme Q amont) * facteur de securite</t>
        </is>
      </c>
    </row>
    <row r="18">
      <c r="A18" t="inlineStr">
        <is>
          <t>Q_capacity = (1/n) * A * R^(2/3) * sqrt(S) (Manning, conduite pleine)</t>
        </is>
      </c>
    </row>
    <row r="19">
      <c r="A19" t="inlineStr">
        <is>
          <t>radier_aval_exutoire = reference (radier) OU surface - profondeur de couverture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16" customWidth="1" min="2" max="2"/>
    <col width="10" customWidth="1" min="3" max="3"/>
    <col width="70" customWidth="1" min="4" max="4"/>
    <col width="4" customWidth="1" min="5" max="5"/>
    <col width="26" customWidth="1" min="6" max="6"/>
    <col width="12" customWidth="1" min="7" max="7"/>
    <col width="12" customWidth="1" min="8" max="8"/>
  </cols>
  <sheetData>
    <row r="1">
      <c r="A1" s="1" t="inlineStr">
        <is>
          <t>INPUTS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Commentaire</t>
        </is>
      </c>
    </row>
    <row r="3">
      <c r="A3" s="4" t="inlineStr">
        <is>
          <t>Reference_Type (INVERT or SURFACE)</t>
        </is>
      </c>
      <c r="B3" s="5" t="inlineStr">
        <is>
          <t>SURFACE</t>
        </is>
      </c>
      <c r="C3" s="4" t="inlineStr">
        <is>
          <t>-</t>
        </is>
      </c>
      <c r="D3" s="4" t="inlineStr">
        <is>
          <t>SURFACE quand radier reseau public inconnu.</t>
        </is>
      </c>
      <c r="F3" s="6" t="inlineStr">
        <is>
          <t>Diametres disponibles (mm)</t>
        </is>
      </c>
    </row>
    <row r="4">
      <c r="A4" s="4" t="inlineStr">
        <is>
          <t>Outfall_reference_elevation_m</t>
        </is>
      </c>
      <c r="B4" s="5" t="n">
        <v>103.2</v>
      </c>
      <c r="C4" s="4" t="inlineStr">
        <is>
          <t>m</t>
        </is>
      </c>
      <c r="D4" s="4" t="inlineStr">
        <is>
          <t>Si SURFACE: niveau terrain exutoire. Si INVERT: radier exutoire.</t>
        </is>
      </c>
    </row>
    <row r="5">
      <c r="A5" s="4" t="inlineStr">
        <is>
          <t>Outfall_cover_depth_if_surface_m</t>
        </is>
      </c>
      <c r="B5" s="5" t="n">
        <v>1.8</v>
      </c>
      <c r="C5" s="4" t="inlineStr">
        <is>
          <t>m</t>
        </is>
      </c>
      <c r="D5" s="4" t="inlineStr">
        <is>
          <t>Profondeur terrain-&gt;radier a l exutoire (si SURFACE).</t>
        </is>
      </c>
      <c r="F5" s="5" t="n">
        <v>200</v>
      </c>
    </row>
    <row r="6">
      <c r="A6" s="4" t="inlineStr">
        <is>
          <t>Outfall_pipe_ID</t>
        </is>
      </c>
      <c r="B6" s="5" t="inlineStr">
        <is>
          <t>P_OUT</t>
        </is>
      </c>
      <c r="C6" s="4" t="inlineStr">
        <is>
          <t>-</t>
        </is>
      </c>
      <c r="D6" s="4" t="inlineStr">
        <is>
          <t>Pipe qui se connecte au reseau public (droite).</t>
        </is>
      </c>
      <c r="F6" s="5" t="n">
        <v>250</v>
      </c>
    </row>
    <row r="7">
      <c r="A7" s="4" t="inlineStr">
        <is>
          <t>Min_slope_m_per_m</t>
        </is>
      </c>
      <c r="B7" s="5" t="n">
        <v>0.003</v>
      </c>
      <c r="C7" s="4" t="inlineStr">
        <is>
          <t>m/m</t>
        </is>
      </c>
      <c r="D7" s="4" t="inlineStr">
        <is>
          <t>Pente minimale de controle.</t>
        </is>
      </c>
      <c r="F7" s="5" t="n">
        <v>300</v>
      </c>
    </row>
    <row r="8">
      <c r="A8" s="4" t="inlineStr">
        <is>
          <t>Max_slope_m_per_m</t>
        </is>
      </c>
      <c r="B8" s="5" t="n">
        <v>0.05</v>
      </c>
      <c r="C8" s="4" t="inlineStr">
        <is>
          <t>m/m</t>
        </is>
      </c>
      <c r="D8" s="4" t="inlineStr">
        <is>
          <t>Pente maximale de controle.</t>
        </is>
      </c>
      <c r="F8" s="5" t="n">
        <v>375</v>
      </c>
    </row>
    <row r="9">
      <c r="A9" s="4" t="inlineStr">
        <is>
          <t>Manning_n</t>
        </is>
      </c>
      <c r="B9" s="5" t="n">
        <v>0.013</v>
      </c>
      <c r="C9" s="4" t="inlineStr">
        <is>
          <t>-</t>
        </is>
      </c>
      <c r="D9" s="4" t="inlineStr">
        <is>
          <t>Rugosite Manning.</t>
        </is>
      </c>
      <c r="F9" s="5" t="n">
        <v>450</v>
      </c>
    </row>
    <row r="10">
      <c r="A10" s="4" t="inlineStr">
        <is>
          <t>Design_fill_ratio_limit</t>
        </is>
      </c>
      <c r="B10" s="5" t="n">
        <v>0.8</v>
      </c>
      <c r="C10" s="4" t="inlineStr">
        <is>
          <t>-</t>
        </is>
      </c>
      <c r="D10" s="4" t="inlineStr">
        <is>
          <t>Q/(Q pleine) admissible.</t>
        </is>
      </c>
      <c r="F10" s="5" t="n">
        <v>525</v>
      </c>
    </row>
    <row r="11">
      <c r="A11" s="4" t="inlineStr">
        <is>
          <t>Min_velocity_mps</t>
        </is>
      </c>
      <c r="B11" s="5" t="n">
        <v>0.75</v>
      </c>
      <c r="C11" s="4" t="inlineStr">
        <is>
          <t>m/s</t>
        </is>
      </c>
      <c r="D11" s="4" t="inlineStr">
        <is>
          <t>Vitesse minimale souhaitee.</t>
        </is>
      </c>
      <c r="F11" s="5" t="n">
        <v>600</v>
      </c>
    </row>
    <row r="12">
      <c r="A12" s="4" t="inlineStr">
        <is>
          <t>Max_velocity_mps</t>
        </is>
      </c>
      <c r="B12" s="5" t="n">
        <v>3</v>
      </c>
      <c r="C12" s="4" t="inlineStr">
        <is>
          <t>m/s</t>
        </is>
      </c>
      <c r="D12" s="4" t="inlineStr">
        <is>
          <t>Vitesse maximale souhaitee.</t>
        </is>
      </c>
      <c r="F12" s="5" t="n">
        <v>675</v>
      </c>
    </row>
    <row r="13">
      <c r="A13" s="4" t="inlineStr">
        <is>
          <t>IDF_a</t>
        </is>
      </c>
      <c r="B13" s="5" t="n">
        <v>4156.21</v>
      </c>
      <c r="C13" s="4" t="inlineStr">
        <is>
          <t>-</t>
        </is>
      </c>
      <c r="D13" s="4" t="inlineStr">
        <is>
          <t>i = a/(tc+b)^c</t>
        </is>
      </c>
      <c r="F13" s="5" t="n">
        <v>750</v>
      </c>
    </row>
    <row r="14">
      <c r="A14" s="4" t="inlineStr">
        <is>
          <t>IDF_b</t>
        </is>
      </c>
      <c r="B14" s="5" t="n">
        <v>15.1</v>
      </c>
      <c r="C14" s="4" t="inlineStr">
        <is>
          <t>min</t>
        </is>
      </c>
      <c r="D14" s="4" t="inlineStr">
        <is>
          <t>Parametre IDF b.</t>
        </is>
      </c>
      <c r="F14" s="5" t="n">
        <v>900</v>
      </c>
    </row>
    <row r="15">
      <c r="A15" s="4" t="inlineStr">
        <is>
          <t>IDF_c</t>
        </is>
      </c>
      <c r="B15" s="5" t="n">
        <v>1.026</v>
      </c>
      <c r="C15" s="4" t="inlineStr">
        <is>
          <t>-</t>
        </is>
      </c>
      <c r="D15" s="4" t="inlineStr">
        <is>
          <t>Parametre IDF c.</t>
        </is>
      </c>
    </row>
    <row r="16">
      <c r="A16" s="4" t="inlineStr">
        <is>
          <t>Flow_safety_factor</t>
        </is>
      </c>
      <c r="B16" s="5" t="n">
        <v>1.1</v>
      </c>
      <c r="C16" s="4" t="inlineStr">
        <is>
          <t>-</t>
        </is>
      </c>
      <c r="D16" s="4" t="inlineStr">
        <is>
          <t>Facteur applique a Q total.</t>
        </is>
      </c>
    </row>
    <row r="17">
      <c r="A17" s="4" t="inlineStr">
        <is>
          <t>Default_runoff_C</t>
        </is>
      </c>
      <c r="B17" s="5" t="n">
        <v>0.9</v>
      </c>
      <c r="C17" s="4" t="inlineStr">
        <is>
          <t>-</t>
        </is>
      </c>
      <c r="D17" s="4" t="inlineStr">
        <is>
          <t>Utilise si C local non renseigne.</t>
        </is>
      </c>
    </row>
    <row r="18">
      <c r="A18" s="4" t="inlineStr">
        <is>
          <t>Default_tc_min</t>
        </is>
      </c>
      <c r="B18" s="5" t="n">
        <v>10</v>
      </c>
      <c r="C18" s="4" t="inlineStr">
        <is>
          <t>min</t>
        </is>
      </c>
      <c r="D18" s="4" t="inlineStr">
        <is>
          <t>Utilise si tc local non renseigne.</t>
        </is>
      </c>
    </row>
    <row r="19">
      <c r="A19" s="4" t="inlineStr">
        <is>
          <t>Min_cover_depth_m</t>
        </is>
      </c>
      <c r="B19" s="5" t="n">
        <v>1.2</v>
      </c>
      <c r="C19" s="4" t="inlineStr">
        <is>
          <t>m</t>
        </is>
      </c>
      <c r="D19" s="4" t="inlineStr">
        <is>
          <t>Recouvrement mini de controle.</t>
        </is>
      </c>
    </row>
    <row r="20">
      <c r="A20" s="4" t="inlineStr">
        <is>
          <t>Default_junction_drop_m</t>
        </is>
      </c>
      <c r="B20" s="5" t="n">
        <v>0.02</v>
      </c>
      <c r="C20" s="4" t="inlineStr">
        <is>
          <t>m</t>
        </is>
      </c>
      <c r="D20" s="4" t="inlineStr">
        <is>
          <t>Chute de regard par defaut.</t>
        </is>
      </c>
    </row>
    <row r="22">
      <c r="A22" s="2" t="inlineStr">
        <is>
          <t>Outfall_invert_derived_m</t>
        </is>
      </c>
      <c r="B22" s="7">
        <f>IF(UPPER(TRIM(B3))="SURFACE",B4-B5,B4)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AREAS TRIBUTAIRES PAR CATCH BASIN</t>
        </is>
      </c>
    </row>
    <row r="3">
      <c r="A3" s="3" t="inlineStr">
        <is>
          <t>CB_ID</t>
        </is>
      </c>
      <c r="B3" s="3" t="inlineStr">
        <is>
          <t>Receives_into_Pipe_ID</t>
        </is>
      </c>
      <c r="C3" s="3" t="inlineStr">
        <is>
          <t>Area_m2</t>
        </is>
      </c>
      <c r="D3" s="3" t="inlineStr">
        <is>
          <t>Runoff_C</t>
        </is>
      </c>
      <c r="E3" s="3" t="inlineStr">
        <is>
          <t>Area_x_C</t>
        </is>
      </c>
      <c r="F3" s="3" t="inlineStr">
        <is>
          <t>Notes</t>
        </is>
      </c>
    </row>
    <row r="4">
      <c r="A4" s="4" t="n"/>
      <c r="B4" s="4" t="n"/>
      <c r="C4" s="8" t="n"/>
      <c r="D4" s="9" t="n"/>
      <c r="E4" s="8">
        <f>IF(OR(C4="",D4=""),"",C4*D4)</f>
        <v/>
      </c>
      <c r="F4" s="4" t="n"/>
    </row>
    <row r="5">
      <c r="A5" s="4" t="n"/>
      <c r="B5" s="4" t="n"/>
      <c r="C5" s="8" t="n"/>
      <c r="D5" s="9" t="n"/>
      <c r="E5" s="8">
        <f>IF(OR(C5="",D5=""),"",C5*D5)</f>
        <v/>
      </c>
      <c r="F5" s="4" t="n"/>
    </row>
    <row r="6">
      <c r="A6" s="4" t="n"/>
      <c r="B6" s="4" t="n"/>
      <c r="C6" s="8" t="n"/>
      <c r="D6" s="9" t="n"/>
      <c r="E6" s="8">
        <f>IF(OR(C6="",D6=""),"",C6*D6)</f>
        <v/>
      </c>
      <c r="F6" s="4" t="n"/>
    </row>
    <row r="7">
      <c r="A7" s="4" t="n"/>
      <c r="B7" s="4" t="n"/>
      <c r="C7" s="8" t="n"/>
      <c r="D7" s="9" t="n"/>
      <c r="E7" s="8">
        <f>IF(OR(C7="",D7=""),"",C7*D7)</f>
        <v/>
      </c>
      <c r="F7" s="4" t="n"/>
    </row>
    <row r="8">
      <c r="A8" s="4" t="n"/>
      <c r="B8" s="4" t="n"/>
      <c r="C8" s="8" t="n"/>
      <c r="D8" s="9" t="n"/>
      <c r="E8" s="8">
        <f>IF(OR(C8="",D8=""),"",C8*D8)</f>
        <v/>
      </c>
      <c r="F8" s="4" t="n"/>
    </row>
    <row r="9">
      <c r="A9" s="4" t="n"/>
      <c r="B9" s="4" t="n"/>
      <c r="C9" s="8" t="n"/>
      <c r="D9" s="9" t="n"/>
      <c r="E9" s="8">
        <f>IF(OR(C9="",D9=""),"",C9*D9)</f>
        <v/>
      </c>
      <c r="F9" s="4" t="n"/>
    </row>
    <row r="10">
      <c r="A10" s="4" t="n"/>
      <c r="B10" s="4" t="n"/>
      <c r="C10" s="8" t="n"/>
      <c r="D10" s="9" t="n"/>
      <c r="E10" s="8">
        <f>IF(OR(C10="",D10=""),"",C10*D10)</f>
        <v/>
      </c>
      <c r="F10" s="4" t="n"/>
    </row>
    <row r="11">
      <c r="A11" s="4" t="n"/>
      <c r="B11" s="4" t="n"/>
      <c r="C11" s="8" t="n"/>
      <c r="D11" s="9" t="n"/>
      <c r="E11" s="8">
        <f>IF(OR(C11="",D11=""),"",C11*D11)</f>
        <v/>
      </c>
      <c r="F11" s="4" t="n"/>
    </row>
    <row r="12">
      <c r="A12" s="4" t="n"/>
      <c r="B12" s="4" t="n"/>
      <c r="C12" s="8" t="n"/>
      <c r="D12" s="9" t="n"/>
      <c r="E12" s="8">
        <f>IF(OR(C12="",D12=""),"",C12*D12)</f>
        <v/>
      </c>
      <c r="F12" s="4" t="n"/>
    </row>
    <row r="13">
      <c r="A13" s="4" t="n"/>
      <c r="B13" s="4" t="n"/>
      <c r="C13" s="8" t="n"/>
      <c r="D13" s="9" t="n"/>
      <c r="E13" s="8">
        <f>IF(OR(C13="",D13=""),"",C13*D13)</f>
        <v/>
      </c>
      <c r="F13" s="4" t="n"/>
    </row>
    <row r="14">
      <c r="A14" s="4" t="n"/>
      <c r="B14" s="4" t="n"/>
      <c r="C14" s="8" t="n"/>
      <c r="D14" s="9" t="n"/>
      <c r="E14" s="8">
        <f>IF(OR(C14="",D14=""),"",C14*D14)</f>
        <v/>
      </c>
      <c r="F14" s="4" t="n"/>
    </row>
    <row r="15">
      <c r="A15" s="4" t="n"/>
      <c r="B15" s="4" t="n"/>
      <c r="C15" s="8" t="n"/>
      <c r="D15" s="9" t="n"/>
      <c r="E15" s="8">
        <f>IF(OR(C15="",D15=""),"",C15*D15)</f>
        <v/>
      </c>
      <c r="F15" s="4" t="n"/>
    </row>
    <row r="16">
      <c r="A16" s="4" t="n"/>
      <c r="B16" s="4" t="n"/>
      <c r="C16" s="8" t="n"/>
      <c r="D16" s="9" t="n"/>
      <c r="E16" s="8">
        <f>IF(OR(C16="",D16=""),"",C16*D16)</f>
        <v/>
      </c>
      <c r="F16" s="4" t="n"/>
    </row>
    <row r="17">
      <c r="A17" s="4" t="n"/>
      <c r="B17" s="4" t="n"/>
      <c r="C17" s="8" t="n"/>
      <c r="D17" s="9" t="n"/>
      <c r="E17" s="8">
        <f>IF(OR(C17="",D17=""),"",C17*D17)</f>
        <v/>
      </c>
      <c r="F17" s="4" t="n"/>
    </row>
    <row r="18">
      <c r="A18" s="4" t="n"/>
      <c r="B18" s="4" t="n"/>
      <c r="C18" s="8" t="n"/>
      <c r="D18" s="9" t="n"/>
      <c r="E18" s="8">
        <f>IF(OR(C18="",D18=""),"",C18*D18)</f>
        <v/>
      </c>
      <c r="F18" s="4" t="n"/>
    </row>
    <row r="19">
      <c r="A19" s="4" t="n"/>
      <c r="B19" s="4" t="n"/>
      <c r="C19" s="8" t="n"/>
      <c r="D19" s="9" t="n"/>
      <c r="E19" s="8">
        <f>IF(OR(C19="",D19=""),"",C19*D19)</f>
        <v/>
      </c>
      <c r="F19" s="4" t="n"/>
    </row>
    <row r="20">
      <c r="A20" s="4" t="n"/>
      <c r="B20" s="4" t="n"/>
      <c r="C20" s="8" t="n"/>
      <c r="D20" s="9" t="n"/>
      <c r="E20" s="8">
        <f>IF(OR(C20="",D20=""),"",C20*D20)</f>
        <v/>
      </c>
      <c r="F20" s="4" t="n"/>
    </row>
    <row r="21">
      <c r="A21" s="4" t="n"/>
      <c r="B21" s="4" t="n"/>
      <c r="C21" s="8" t="n"/>
      <c r="D21" s="9" t="n"/>
      <c r="E21" s="8">
        <f>IF(OR(C21="",D21=""),"",C21*D21)</f>
        <v/>
      </c>
      <c r="F21" s="4" t="n"/>
    </row>
    <row r="22">
      <c r="A22" s="4" t="n"/>
      <c r="B22" s="4" t="n"/>
      <c r="C22" s="8" t="n"/>
      <c r="D22" s="9" t="n"/>
      <c r="E22" s="8">
        <f>IF(OR(C22="",D22=""),"",C22*D22)</f>
        <v/>
      </c>
      <c r="F22" s="4" t="n"/>
    </row>
    <row r="23">
      <c r="A23" s="4" t="n"/>
      <c r="B23" s="4" t="n"/>
      <c r="C23" s="8" t="n"/>
      <c r="D23" s="9" t="n"/>
      <c r="E23" s="8">
        <f>IF(OR(C23="",D23=""),"",C23*D23)</f>
        <v/>
      </c>
      <c r="F23" s="4" t="n"/>
    </row>
    <row r="24">
      <c r="A24" s="4" t="n"/>
      <c r="B24" s="4" t="n"/>
      <c r="C24" s="8" t="n"/>
      <c r="D24" s="9" t="n"/>
      <c r="E24" s="8">
        <f>IF(OR(C24="",D24=""),"",C24*D24)</f>
        <v/>
      </c>
      <c r="F24" s="4" t="n"/>
    </row>
    <row r="25">
      <c r="A25" s="4" t="n"/>
      <c r="B25" s="4" t="n"/>
      <c r="C25" s="8" t="n"/>
      <c r="D25" s="9" t="n"/>
      <c r="E25" s="8">
        <f>IF(OR(C25="",D25=""),"",C25*D25)</f>
        <v/>
      </c>
      <c r="F25" s="4" t="n"/>
    </row>
    <row r="26">
      <c r="A26" s="4" t="n"/>
      <c r="B26" s="4" t="n"/>
      <c r="C26" s="8" t="n"/>
      <c r="D26" s="9" t="n"/>
      <c r="E26" s="8">
        <f>IF(OR(C26="",D26=""),"",C26*D26)</f>
        <v/>
      </c>
      <c r="F26" s="4" t="n"/>
    </row>
    <row r="27">
      <c r="A27" s="4" t="n"/>
      <c r="B27" s="4" t="n"/>
      <c r="C27" s="8" t="n"/>
      <c r="D27" s="9" t="n"/>
      <c r="E27" s="8">
        <f>IF(OR(C27="",D27=""),"",C27*D27)</f>
        <v/>
      </c>
      <c r="F27" s="4" t="n"/>
    </row>
    <row r="28">
      <c r="A28" s="4" t="n"/>
      <c r="B28" s="4" t="n"/>
      <c r="C28" s="8" t="n"/>
      <c r="D28" s="9" t="n"/>
      <c r="E28" s="8">
        <f>IF(OR(C28="",D28=""),"",C28*D28)</f>
        <v/>
      </c>
      <c r="F28" s="4" t="n"/>
    </row>
    <row r="29">
      <c r="A29" s="4" t="n"/>
      <c r="B29" s="4" t="n"/>
      <c r="C29" s="8" t="n"/>
      <c r="D29" s="9" t="n"/>
      <c r="E29" s="8">
        <f>IF(OR(C29="",D29=""),"",C29*D29)</f>
        <v/>
      </c>
      <c r="F29" s="4" t="n"/>
    </row>
    <row r="30">
      <c r="A30" s="4" t="n"/>
      <c r="B30" s="4" t="n"/>
      <c r="C30" s="8" t="n"/>
      <c r="D30" s="9" t="n"/>
      <c r="E30" s="8">
        <f>IF(OR(C30="",D30=""),"",C30*D30)</f>
        <v/>
      </c>
      <c r="F30" s="4" t="n"/>
    </row>
    <row r="31">
      <c r="A31" s="4" t="n"/>
      <c r="B31" s="4" t="n"/>
      <c r="C31" s="8" t="n"/>
      <c r="D31" s="9" t="n"/>
      <c r="E31" s="8">
        <f>IF(OR(C31="",D31=""),"",C31*D31)</f>
        <v/>
      </c>
      <c r="F31" s="4" t="n"/>
    </row>
    <row r="32">
      <c r="A32" s="4" t="n"/>
      <c r="B32" s="4" t="n"/>
      <c r="C32" s="8" t="n"/>
      <c r="D32" s="9" t="n"/>
      <c r="E32" s="8">
        <f>IF(OR(C32="",D32=""),"",C32*D32)</f>
        <v/>
      </c>
      <c r="F32" s="4" t="n"/>
    </row>
    <row r="33">
      <c r="A33" s="4" t="n"/>
      <c r="B33" s="4" t="n"/>
      <c r="C33" s="8" t="n"/>
      <c r="D33" s="9" t="n"/>
      <c r="E33" s="8">
        <f>IF(OR(C33="",D33=""),"",C33*D33)</f>
        <v/>
      </c>
      <c r="F33" s="4" t="n"/>
    </row>
    <row r="34">
      <c r="A34" s="4" t="n"/>
      <c r="B34" s="4" t="n"/>
      <c r="C34" s="8" t="n"/>
      <c r="D34" s="9" t="n"/>
      <c r="E34" s="8">
        <f>IF(OR(C34="",D34=""),"",C34*D34)</f>
        <v/>
      </c>
      <c r="F34" s="4" t="n"/>
    </row>
    <row r="35">
      <c r="A35" s="4" t="n"/>
      <c r="B35" s="4" t="n"/>
      <c r="C35" s="8" t="n"/>
      <c r="D35" s="9" t="n"/>
      <c r="E35" s="8">
        <f>IF(OR(C35="",D35=""),"",C35*D35)</f>
        <v/>
      </c>
      <c r="F35" s="4" t="n"/>
    </row>
    <row r="36">
      <c r="A36" s="4" t="n"/>
      <c r="B36" s="4" t="n"/>
      <c r="C36" s="8" t="n"/>
      <c r="D36" s="9" t="n"/>
      <c r="E36" s="8">
        <f>IF(OR(C36="",D36=""),"",C36*D36)</f>
        <v/>
      </c>
      <c r="F36" s="4" t="n"/>
    </row>
    <row r="37">
      <c r="A37" s="4" t="n"/>
      <c r="B37" s="4" t="n"/>
      <c r="C37" s="8" t="n"/>
      <c r="D37" s="9" t="n"/>
      <c r="E37" s="8">
        <f>IF(OR(C37="",D37=""),"",C37*D37)</f>
        <v/>
      </c>
      <c r="F37" s="4" t="n"/>
    </row>
    <row r="38">
      <c r="A38" s="4" t="n"/>
      <c r="B38" s="4" t="n"/>
      <c r="C38" s="8" t="n"/>
      <c r="D38" s="9" t="n"/>
      <c r="E38" s="8">
        <f>IF(OR(C38="",D38=""),"",C38*D38)</f>
        <v/>
      </c>
      <c r="F38" s="4" t="n"/>
    </row>
    <row r="39">
      <c r="A39" s="4" t="n"/>
      <c r="B39" s="4" t="n"/>
      <c r="C39" s="8" t="n"/>
      <c r="D39" s="9" t="n"/>
      <c r="E39" s="8">
        <f>IF(OR(C39="",D39=""),"",C39*D39)</f>
        <v/>
      </c>
      <c r="F39" s="4" t="n"/>
    </row>
    <row r="40">
      <c r="A40" s="4" t="n"/>
      <c r="B40" s="4" t="n"/>
      <c r="C40" s="8" t="n"/>
      <c r="D40" s="9" t="n"/>
      <c r="E40" s="8">
        <f>IF(OR(C40="",D40=""),"",C40*D40)</f>
        <v/>
      </c>
      <c r="F40" s="4" t="n"/>
    </row>
    <row r="41">
      <c r="A41" s="4" t="n"/>
      <c r="B41" s="4" t="n"/>
      <c r="C41" s="8" t="n"/>
      <c r="D41" s="9" t="n"/>
      <c r="E41" s="8">
        <f>IF(OR(C41="",D41=""),"",C41*D41)</f>
        <v/>
      </c>
      <c r="F41" s="4" t="n"/>
    </row>
    <row r="42">
      <c r="A42" s="4" t="n"/>
      <c r="B42" s="4" t="n"/>
      <c r="C42" s="8" t="n"/>
      <c r="D42" s="9" t="n"/>
      <c r="E42" s="8">
        <f>IF(OR(C42="",D42=""),"",C42*D42)</f>
        <v/>
      </c>
      <c r="F42" s="4" t="n"/>
    </row>
    <row r="43">
      <c r="A43" s="4" t="n"/>
      <c r="B43" s="4" t="n"/>
      <c r="C43" s="8" t="n"/>
      <c r="D43" s="9" t="n"/>
      <c r="E43" s="8">
        <f>IF(OR(C43="",D43=""),"",C43*D43)</f>
        <v/>
      </c>
      <c r="F43" s="4" t="n"/>
    </row>
    <row r="44">
      <c r="A44" s="4" t="n"/>
      <c r="B44" s="4" t="n"/>
      <c r="C44" s="8" t="n"/>
      <c r="D44" s="9" t="n"/>
      <c r="E44" s="8">
        <f>IF(OR(C44="",D44=""),"",C44*D44)</f>
        <v/>
      </c>
      <c r="F44" s="4" t="n"/>
    </row>
    <row r="45">
      <c r="A45" s="4" t="n"/>
      <c r="B45" s="4" t="n"/>
      <c r="C45" s="8" t="n"/>
      <c r="D45" s="9" t="n"/>
      <c r="E45" s="8">
        <f>IF(OR(C45="",D45=""),"",C45*D45)</f>
        <v/>
      </c>
      <c r="F45" s="4" t="n"/>
    </row>
    <row r="46">
      <c r="A46" s="4" t="n"/>
      <c r="B46" s="4" t="n"/>
      <c r="C46" s="8" t="n"/>
      <c r="D46" s="9" t="n"/>
      <c r="E46" s="8">
        <f>IF(OR(C46="",D46=""),"",C46*D46)</f>
        <v/>
      </c>
      <c r="F46" s="4" t="n"/>
    </row>
    <row r="47">
      <c r="A47" s="4" t="n"/>
      <c r="B47" s="4" t="n"/>
      <c r="C47" s="8" t="n"/>
      <c r="D47" s="9" t="n"/>
      <c r="E47" s="8">
        <f>IF(OR(C47="",D47=""),"",C47*D47)</f>
        <v/>
      </c>
      <c r="F47" s="4" t="n"/>
    </row>
    <row r="48">
      <c r="A48" s="4" t="n"/>
      <c r="B48" s="4" t="n"/>
      <c r="C48" s="8" t="n"/>
      <c r="D48" s="9" t="n"/>
      <c r="E48" s="8">
        <f>IF(OR(C48="",D48=""),"",C48*D48)</f>
        <v/>
      </c>
      <c r="F48" s="4" t="n"/>
    </row>
    <row r="49">
      <c r="A49" s="4" t="n"/>
      <c r="B49" s="4" t="n"/>
      <c r="C49" s="8" t="n"/>
      <c r="D49" s="9" t="n"/>
      <c r="E49" s="8">
        <f>IF(OR(C49="",D49=""),"",C49*D49)</f>
        <v/>
      </c>
      <c r="F49" s="4" t="n"/>
    </row>
    <row r="50">
      <c r="A50" s="4" t="n"/>
      <c r="B50" s="4" t="n"/>
      <c r="C50" s="8" t="n"/>
      <c r="D50" s="9" t="n"/>
      <c r="E50" s="8">
        <f>IF(OR(C50="",D50=""),"",C50*D50)</f>
        <v/>
      </c>
      <c r="F50" s="4" t="n"/>
    </row>
    <row r="51">
      <c r="A51" s="4" t="n"/>
      <c r="B51" s="4" t="n"/>
      <c r="C51" s="8" t="n"/>
      <c r="D51" s="9" t="n"/>
      <c r="E51" s="8">
        <f>IF(OR(C51="",D51=""),"",C51*D51)</f>
        <v/>
      </c>
      <c r="F51" s="4" t="n"/>
    </row>
    <row r="52">
      <c r="A52" s="4" t="n"/>
      <c r="B52" s="4" t="n"/>
      <c r="C52" s="8" t="n"/>
      <c r="D52" s="9" t="n"/>
      <c r="E52" s="8">
        <f>IF(OR(C52="",D52=""),"",C52*D52)</f>
        <v/>
      </c>
      <c r="F52" s="4" t="n"/>
    </row>
    <row r="53">
      <c r="A53" s="4" t="n"/>
      <c r="B53" s="4" t="n"/>
      <c r="C53" s="8" t="n"/>
      <c r="D53" s="9" t="n"/>
      <c r="E53" s="8">
        <f>IF(OR(C53="",D53=""),"",C53*D53)</f>
        <v/>
      </c>
      <c r="F53" s="4" t="n"/>
    </row>
    <row r="54">
      <c r="A54" s="4" t="n"/>
      <c r="B54" s="4" t="n"/>
      <c r="C54" s="8" t="n"/>
      <c r="D54" s="9" t="n"/>
      <c r="E54" s="8">
        <f>IF(OR(C54="",D54=""),"",C54*D54)</f>
        <v/>
      </c>
      <c r="F54" s="4" t="n"/>
    </row>
    <row r="55">
      <c r="A55" s="4" t="n"/>
      <c r="B55" s="4" t="n"/>
      <c r="C55" s="8" t="n"/>
      <c r="D55" s="9" t="n"/>
      <c r="E55" s="8">
        <f>IF(OR(C55="",D55=""),"",C55*D55)</f>
        <v/>
      </c>
      <c r="F55" s="4" t="n"/>
    </row>
    <row r="56">
      <c r="A56" s="4" t="n"/>
      <c r="B56" s="4" t="n"/>
      <c r="C56" s="8" t="n"/>
      <c r="D56" s="9" t="n"/>
      <c r="E56" s="8">
        <f>IF(OR(C56="",D56=""),"",C56*D56)</f>
        <v/>
      </c>
      <c r="F56" s="4" t="n"/>
    </row>
    <row r="57">
      <c r="A57" s="4" t="n"/>
      <c r="B57" s="4" t="n"/>
      <c r="C57" s="8" t="n"/>
      <c r="D57" s="9" t="n"/>
      <c r="E57" s="8">
        <f>IF(OR(C57="",D57=""),"",C57*D57)</f>
        <v/>
      </c>
      <c r="F57" s="4" t="n"/>
    </row>
    <row r="58">
      <c r="A58" s="4" t="n"/>
      <c r="B58" s="4" t="n"/>
      <c r="C58" s="8" t="n"/>
      <c r="D58" s="9" t="n"/>
      <c r="E58" s="8">
        <f>IF(OR(C58="",D58=""),"",C58*D58)</f>
        <v/>
      </c>
      <c r="F58" s="4" t="n"/>
    </row>
    <row r="59">
      <c r="A59" s="4" t="n"/>
      <c r="B59" s="4" t="n"/>
      <c r="C59" s="8" t="n"/>
      <c r="D59" s="9" t="n"/>
      <c r="E59" s="8">
        <f>IF(OR(C59="",D59=""),"",C59*D59)</f>
        <v/>
      </c>
      <c r="F59" s="4" t="n"/>
    </row>
    <row r="60">
      <c r="A60" s="4" t="n"/>
      <c r="B60" s="4" t="n"/>
      <c r="C60" s="8" t="n"/>
      <c r="D60" s="9" t="n"/>
      <c r="E60" s="8">
        <f>IF(OR(C60="",D60=""),"",C60*D60)</f>
        <v/>
      </c>
      <c r="F60" s="4" t="n"/>
    </row>
    <row r="61">
      <c r="A61" s="4" t="n"/>
      <c r="B61" s="4" t="n"/>
      <c r="C61" s="8" t="n"/>
      <c r="D61" s="9" t="n"/>
      <c r="E61" s="8">
        <f>IF(OR(C61="",D61=""),"",C61*D61)</f>
        <v/>
      </c>
      <c r="F61" s="4" t="n"/>
    </row>
    <row r="62">
      <c r="A62" s="4" t="n"/>
      <c r="B62" s="4" t="n"/>
      <c r="C62" s="8" t="n"/>
      <c r="D62" s="9" t="n"/>
      <c r="E62" s="8">
        <f>IF(OR(C62="",D62=""),"",C62*D62)</f>
        <v/>
      </c>
      <c r="F62" s="4" t="n"/>
    </row>
    <row r="63">
      <c r="A63" s="4" t="n"/>
      <c r="B63" s="4" t="n"/>
      <c r="C63" s="8" t="n"/>
      <c r="D63" s="9" t="n"/>
      <c r="E63" s="8">
        <f>IF(OR(C63="",D63=""),"",C63*D63)</f>
        <v/>
      </c>
      <c r="F63" s="4" t="n"/>
    </row>
    <row r="64">
      <c r="A64" s="4" t="n"/>
      <c r="B64" s="4" t="n"/>
      <c r="C64" s="8" t="n"/>
      <c r="D64" s="9" t="n"/>
      <c r="E64" s="8">
        <f>IF(OR(C64="",D64=""),"",C64*D64)</f>
        <v/>
      </c>
      <c r="F64" s="4" t="n"/>
    </row>
    <row r="65">
      <c r="A65" s="4" t="n"/>
      <c r="B65" s="4" t="n"/>
      <c r="C65" s="8" t="n"/>
      <c r="D65" s="9" t="n"/>
      <c r="E65" s="8">
        <f>IF(OR(C65="",D65=""),"",C65*D65)</f>
        <v/>
      </c>
      <c r="F65" s="4" t="n"/>
    </row>
    <row r="66">
      <c r="A66" s="4" t="n"/>
      <c r="B66" s="4" t="n"/>
      <c r="C66" s="8" t="n"/>
      <c r="D66" s="9" t="n"/>
      <c r="E66" s="8">
        <f>IF(OR(C66="",D66=""),"",C66*D66)</f>
        <v/>
      </c>
      <c r="F66" s="4" t="n"/>
    </row>
    <row r="67">
      <c r="A67" s="4" t="n"/>
      <c r="B67" s="4" t="n"/>
      <c r="C67" s="8" t="n"/>
      <c r="D67" s="9" t="n"/>
      <c r="E67" s="8">
        <f>IF(OR(C67="",D67=""),"",C67*D67)</f>
        <v/>
      </c>
      <c r="F67" s="4" t="n"/>
    </row>
    <row r="68">
      <c r="A68" s="4" t="n"/>
      <c r="B68" s="4" t="n"/>
      <c r="C68" s="8" t="n"/>
      <c r="D68" s="9" t="n"/>
      <c r="E68" s="8">
        <f>IF(OR(C68="",D68=""),"",C68*D68)</f>
        <v/>
      </c>
      <c r="F68" s="4" t="n"/>
    </row>
    <row r="69">
      <c r="A69" s="4" t="n"/>
      <c r="B69" s="4" t="n"/>
      <c r="C69" s="8" t="n"/>
      <c r="D69" s="9" t="n"/>
      <c r="E69" s="8">
        <f>IF(OR(C69="",D69=""),"",C69*D69)</f>
        <v/>
      </c>
      <c r="F69" s="4" t="n"/>
    </row>
    <row r="70">
      <c r="A70" s="4" t="n"/>
      <c r="B70" s="4" t="n"/>
      <c r="C70" s="8" t="n"/>
      <c r="D70" s="9" t="n"/>
      <c r="E70" s="8">
        <f>IF(OR(C70="",D70=""),"",C70*D70)</f>
        <v/>
      </c>
      <c r="F70" s="4" t="n"/>
    </row>
    <row r="71">
      <c r="A71" s="4" t="n"/>
      <c r="B71" s="4" t="n"/>
      <c r="C71" s="8" t="n"/>
      <c r="D71" s="9" t="n"/>
      <c r="E71" s="8">
        <f>IF(OR(C71="",D71=""),"",C71*D71)</f>
        <v/>
      </c>
      <c r="F71" s="4" t="n"/>
    </row>
    <row r="72">
      <c r="A72" s="4" t="n"/>
      <c r="B72" s="4" t="n"/>
      <c r="C72" s="8" t="n"/>
      <c r="D72" s="9" t="n"/>
      <c r="E72" s="8">
        <f>IF(OR(C72="",D72=""),"",C72*D72)</f>
        <v/>
      </c>
      <c r="F72" s="4" t="n"/>
    </row>
    <row r="73">
      <c r="A73" s="4" t="n"/>
      <c r="B73" s="4" t="n"/>
      <c r="C73" s="8" t="n"/>
      <c r="D73" s="9" t="n"/>
      <c r="E73" s="8">
        <f>IF(OR(C73="",D73=""),"",C73*D73)</f>
        <v/>
      </c>
      <c r="F73" s="4" t="n"/>
    </row>
    <row r="74">
      <c r="A74" s="4" t="n"/>
      <c r="B74" s="4" t="n"/>
      <c r="C74" s="8" t="n"/>
      <c r="D74" s="9" t="n"/>
      <c r="E74" s="8">
        <f>IF(OR(C74="",D74=""),"",C74*D74)</f>
        <v/>
      </c>
      <c r="F74" s="4" t="n"/>
    </row>
    <row r="75">
      <c r="A75" s="4" t="n"/>
      <c r="B75" s="4" t="n"/>
      <c r="C75" s="8" t="n"/>
      <c r="D75" s="9" t="n"/>
      <c r="E75" s="8">
        <f>IF(OR(C75="",D75=""),"",C75*D75)</f>
        <v/>
      </c>
      <c r="F75" s="4" t="n"/>
    </row>
    <row r="76">
      <c r="A76" s="4" t="n"/>
      <c r="B76" s="4" t="n"/>
      <c r="C76" s="8" t="n"/>
      <c r="D76" s="9" t="n"/>
      <c r="E76" s="8">
        <f>IF(OR(C76="",D76=""),"",C76*D76)</f>
        <v/>
      </c>
      <c r="F76" s="4" t="n"/>
    </row>
    <row r="77">
      <c r="A77" s="4" t="n"/>
      <c r="B77" s="4" t="n"/>
      <c r="C77" s="8" t="n"/>
      <c r="D77" s="9" t="n"/>
      <c r="E77" s="8">
        <f>IF(OR(C77="",D77=""),"",C77*D77)</f>
        <v/>
      </c>
      <c r="F77" s="4" t="n"/>
    </row>
    <row r="78">
      <c r="A78" s="4" t="n"/>
      <c r="B78" s="4" t="n"/>
      <c r="C78" s="8" t="n"/>
      <c r="D78" s="9" t="n"/>
      <c r="E78" s="8">
        <f>IF(OR(C78="",D78=""),"",C78*D78)</f>
        <v/>
      </c>
      <c r="F78" s="4" t="n"/>
    </row>
    <row r="79">
      <c r="A79" s="4" t="n"/>
      <c r="B79" s="4" t="n"/>
      <c r="C79" s="8" t="n"/>
      <c r="D79" s="9" t="n"/>
      <c r="E79" s="8">
        <f>IF(OR(C79="",D79=""),"",C79*D79)</f>
        <v/>
      </c>
      <c r="F79" s="4" t="n"/>
    </row>
    <row r="80">
      <c r="A80" s="4" t="n"/>
      <c r="B80" s="4" t="n"/>
      <c r="C80" s="8" t="n"/>
      <c r="D80" s="9" t="n"/>
      <c r="E80" s="8">
        <f>IF(OR(C80="",D80=""),"",C80*D80)</f>
        <v/>
      </c>
      <c r="F80" s="4" t="n"/>
    </row>
    <row r="81">
      <c r="A81" s="4" t="n"/>
      <c r="B81" s="4" t="n"/>
      <c r="C81" s="8" t="n"/>
      <c r="D81" s="9" t="n"/>
      <c r="E81" s="8">
        <f>IF(OR(C81="",D81=""),"",C81*D81)</f>
        <v/>
      </c>
      <c r="F81" s="4" t="n"/>
    </row>
    <row r="82">
      <c r="A82" s="4" t="n"/>
      <c r="B82" s="4" t="n"/>
      <c r="C82" s="8" t="n"/>
      <c r="D82" s="9" t="n"/>
      <c r="E82" s="8">
        <f>IF(OR(C82="",D82=""),"",C82*D82)</f>
        <v/>
      </c>
      <c r="F82" s="4" t="n"/>
    </row>
    <row r="83">
      <c r="A83" s="4" t="n"/>
      <c r="B83" s="4" t="n"/>
      <c r="C83" s="8" t="n"/>
      <c r="D83" s="9" t="n"/>
      <c r="E83" s="8">
        <f>IF(OR(C83="",D83=""),"",C83*D83)</f>
        <v/>
      </c>
      <c r="F83" s="4" t="n"/>
    </row>
    <row r="84">
      <c r="A84" s="4" t="n"/>
      <c r="B84" s="4" t="n"/>
      <c r="C84" s="8" t="n"/>
      <c r="D84" s="9" t="n"/>
      <c r="E84" s="8">
        <f>IF(OR(C84="",D84=""),"",C84*D84)</f>
        <v/>
      </c>
      <c r="F84" s="4" t="n"/>
    </row>
    <row r="85">
      <c r="A85" s="4" t="n"/>
      <c r="B85" s="4" t="n"/>
      <c r="C85" s="8" t="n"/>
      <c r="D85" s="9" t="n"/>
      <c r="E85" s="8">
        <f>IF(OR(C85="",D85=""),"",C85*D85)</f>
        <v/>
      </c>
      <c r="F85" s="4" t="n"/>
    </row>
    <row r="86">
      <c r="A86" s="4" t="n"/>
      <c r="B86" s="4" t="n"/>
      <c r="C86" s="8" t="n"/>
      <c r="D86" s="9" t="n"/>
      <c r="E86" s="8">
        <f>IF(OR(C86="",D86=""),"",C86*D86)</f>
        <v/>
      </c>
      <c r="F86" s="4" t="n"/>
    </row>
    <row r="87">
      <c r="A87" s="4" t="n"/>
      <c r="B87" s="4" t="n"/>
      <c r="C87" s="8" t="n"/>
      <c r="D87" s="9" t="n"/>
      <c r="E87" s="8">
        <f>IF(OR(C87="",D87=""),"",C87*D87)</f>
        <v/>
      </c>
      <c r="F87" s="4" t="n"/>
    </row>
    <row r="88">
      <c r="A88" s="4" t="n"/>
      <c r="B88" s="4" t="n"/>
      <c r="C88" s="8" t="n"/>
      <c r="D88" s="9" t="n"/>
      <c r="E88" s="8">
        <f>IF(OR(C88="",D88=""),"",C88*D88)</f>
        <v/>
      </c>
      <c r="F88" s="4" t="n"/>
    </row>
    <row r="89">
      <c r="A89" s="4" t="n"/>
      <c r="B89" s="4" t="n"/>
      <c r="C89" s="8" t="n"/>
      <c r="D89" s="9" t="n"/>
      <c r="E89" s="8">
        <f>IF(OR(C89="",D89=""),"",C89*D89)</f>
        <v/>
      </c>
      <c r="F89" s="4" t="n"/>
    </row>
    <row r="90">
      <c r="A90" s="4" t="n"/>
      <c r="B90" s="4" t="n"/>
      <c r="C90" s="8" t="n"/>
      <c r="D90" s="9" t="n"/>
      <c r="E90" s="8">
        <f>IF(OR(C90="",D90=""),"",C90*D90)</f>
        <v/>
      </c>
      <c r="F90" s="4" t="n"/>
    </row>
    <row r="91">
      <c r="A91" s="4" t="n"/>
      <c r="B91" s="4" t="n"/>
      <c r="C91" s="8" t="n"/>
      <c r="D91" s="9" t="n"/>
      <c r="E91" s="8">
        <f>IF(OR(C91="",D91=""),"",C91*D91)</f>
        <v/>
      </c>
      <c r="F91" s="4" t="n"/>
    </row>
    <row r="92">
      <c r="A92" s="4" t="n"/>
      <c r="B92" s="4" t="n"/>
      <c r="C92" s="8" t="n"/>
      <c r="D92" s="9" t="n"/>
      <c r="E92" s="8">
        <f>IF(OR(C92="",D92=""),"",C92*D92)</f>
        <v/>
      </c>
      <c r="F92" s="4" t="n"/>
    </row>
    <row r="93">
      <c r="A93" s="4" t="n"/>
      <c r="B93" s="4" t="n"/>
      <c r="C93" s="8" t="n"/>
      <c r="D93" s="9" t="n"/>
      <c r="E93" s="8">
        <f>IF(OR(C93="",D93=""),"",C93*D93)</f>
        <v/>
      </c>
      <c r="F93" s="4" t="n"/>
    </row>
    <row r="94">
      <c r="A94" s="4" t="n"/>
      <c r="B94" s="4" t="n"/>
      <c r="C94" s="8" t="n"/>
      <c r="D94" s="9" t="n"/>
      <c r="E94" s="8">
        <f>IF(OR(C94="",D94=""),"",C94*D94)</f>
        <v/>
      </c>
      <c r="F94" s="4" t="n"/>
    </row>
    <row r="95">
      <c r="A95" s="4" t="n"/>
      <c r="B95" s="4" t="n"/>
      <c r="C95" s="8" t="n"/>
      <c r="D95" s="9" t="n"/>
      <c r="E95" s="8">
        <f>IF(OR(C95="",D95=""),"",C95*D95)</f>
        <v/>
      </c>
      <c r="F95" s="4" t="n"/>
    </row>
    <row r="96">
      <c r="A96" s="4" t="n"/>
      <c r="B96" s="4" t="n"/>
      <c r="C96" s="8" t="n"/>
      <c r="D96" s="9" t="n"/>
      <c r="E96" s="8">
        <f>IF(OR(C96="",D96=""),"",C96*D96)</f>
        <v/>
      </c>
      <c r="F96" s="4" t="n"/>
    </row>
    <row r="97">
      <c r="A97" s="4" t="n"/>
      <c r="B97" s="4" t="n"/>
      <c r="C97" s="8" t="n"/>
      <c r="D97" s="9" t="n"/>
      <c r="E97" s="8">
        <f>IF(OR(C97="",D97=""),"",C97*D97)</f>
        <v/>
      </c>
      <c r="F97" s="4" t="n"/>
    </row>
    <row r="98">
      <c r="A98" s="4" t="n"/>
      <c r="B98" s="4" t="n"/>
      <c r="C98" s="8" t="n"/>
      <c r="D98" s="9" t="n"/>
      <c r="E98" s="8">
        <f>IF(OR(C98="",D98=""),"",C98*D98)</f>
        <v/>
      </c>
      <c r="F98" s="4" t="n"/>
    </row>
    <row r="99">
      <c r="A99" s="4" t="n"/>
      <c r="B99" s="4" t="n"/>
      <c r="C99" s="8" t="n"/>
      <c r="D99" s="9" t="n"/>
      <c r="E99" s="8">
        <f>IF(OR(C99="",D99=""),"",C99*D99)</f>
        <v/>
      </c>
      <c r="F99" s="4" t="n"/>
    </row>
    <row r="100">
      <c r="A100" s="4" t="n"/>
      <c r="B100" s="4" t="n"/>
      <c r="C100" s="8" t="n"/>
      <c r="D100" s="9" t="n"/>
      <c r="E100" s="8">
        <f>IF(OR(C100="",D100=""),"",C100*D100)</f>
        <v/>
      </c>
      <c r="F100" s="4" t="n"/>
    </row>
    <row r="101">
      <c r="A101" s="4" t="n"/>
      <c r="B101" s="4" t="n"/>
      <c r="C101" s="8" t="n"/>
      <c r="D101" s="9" t="n"/>
      <c r="E101" s="8">
        <f>IF(OR(C101="",D101=""),"",C101*D101)</f>
        <v/>
      </c>
      <c r="F101" s="4" t="n"/>
    </row>
    <row r="102">
      <c r="A102" s="4" t="n"/>
      <c r="B102" s="4" t="n"/>
      <c r="C102" s="8" t="n"/>
      <c r="D102" s="9" t="n"/>
      <c r="E102" s="8">
        <f>IF(OR(C102="",D102=""),"",C102*D102)</f>
        <v/>
      </c>
      <c r="F102" s="4" t="n"/>
    </row>
    <row r="103">
      <c r="A103" s="4" t="n"/>
      <c r="B103" s="4" t="n"/>
      <c r="C103" s="8" t="n"/>
      <c r="D103" s="9" t="n"/>
      <c r="E103" s="8">
        <f>IF(OR(C103="",D103=""),"",C103*D103)</f>
        <v/>
      </c>
      <c r="F103" s="4" t="n"/>
    </row>
    <row r="104">
      <c r="A104" s="4" t="n"/>
      <c r="B104" s="4" t="n"/>
      <c r="C104" s="8" t="n"/>
      <c r="D104" s="9" t="n"/>
      <c r="E104" s="8">
        <f>IF(OR(C104="",D104=""),"",C104*D104)</f>
        <v/>
      </c>
      <c r="F104" s="4" t="n"/>
    </row>
    <row r="105">
      <c r="A105" s="4" t="n"/>
      <c r="B105" s="4" t="n"/>
      <c r="C105" s="8" t="n"/>
      <c r="D105" s="9" t="n"/>
      <c r="E105" s="8">
        <f>IF(OR(C105="",D105=""),"",C105*D105)</f>
        <v/>
      </c>
      <c r="F105" s="4" t="n"/>
    </row>
    <row r="106">
      <c r="A106" s="4" t="n"/>
      <c r="B106" s="4" t="n"/>
      <c r="C106" s="8" t="n"/>
      <c r="D106" s="9" t="n"/>
      <c r="E106" s="8">
        <f>IF(OR(C106="",D106=""),"",C106*D106)</f>
        <v/>
      </c>
      <c r="F106" s="4" t="n"/>
    </row>
    <row r="107">
      <c r="A107" s="4" t="n"/>
      <c r="B107" s="4" t="n"/>
      <c r="C107" s="8" t="n"/>
      <c r="D107" s="9" t="n"/>
      <c r="E107" s="8">
        <f>IF(OR(C107="",D107=""),"",C107*D107)</f>
        <v/>
      </c>
      <c r="F107" s="4" t="n"/>
    </row>
    <row r="108">
      <c r="A108" s="4" t="n"/>
      <c r="B108" s="4" t="n"/>
      <c r="C108" s="8" t="n"/>
      <c r="D108" s="9" t="n"/>
      <c r="E108" s="8">
        <f>IF(OR(C108="",D108=""),"",C108*D108)</f>
        <v/>
      </c>
      <c r="F108" s="4" t="n"/>
    </row>
    <row r="109">
      <c r="A109" s="4" t="n"/>
      <c r="B109" s="4" t="n"/>
      <c r="C109" s="8" t="n"/>
      <c r="D109" s="9" t="n"/>
      <c r="E109" s="8">
        <f>IF(OR(C109="",D109=""),"",C109*D109)</f>
        <v/>
      </c>
      <c r="F109" s="4" t="n"/>
    </row>
    <row r="110">
      <c r="A110" s="4" t="n"/>
      <c r="B110" s="4" t="n"/>
      <c r="C110" s="8" t="n"/>
      <c r="D110" s="9" t="n"/>
      <c r="E110" s="8">
        <f>IF(OR(C110="",D110=""),"",C110*D110)</f>
        <v/>
      </c>
      <c r="F110" s="4" t="n"/>
    </row>
    <row r="111">
      <c r="A111" s="4" t="n"/>
      <c r="B111" s="4" t="n"/>
      <c r="C111" s="8" t="n"/>
      <c r="D111" s="9" t="n"/>
      <c r="E111" s="8">
        <f>IF(OR(C111="",D111=""),"",C111*D111)</f>
        <v/>
      </c>
      <c r="F111" s="4" t="n"/>
    </row>
    <row r="112">
      <c r="A112" s="4" t="n"/>
      <c r="B112" s="4" t="n"/>
      <c r="C112" s="8" t="n"/>
      <c r="D112" s="9" t="n"/>
      <c r="E112" s="8">
        <f>IF(OR(C112="",D112=""),"",C112*D112)</f>
        <v/>
      </c>
      <c r="F112" s="4" t="n"/>
    </row>
    <row r="113">
      <c r="A113" s="4" t="n"/>
      <c r="B113" s="4" t="n"/>
      <c r="C113" s="8" t="n"/>
      <c r="D113" s="9" t="n"/>
      <c r="E113" s="8">
        <f>IF(OR(C113="",D113=""),"",C113*D113)</f>
        <v/>
      </c>
      <c r="F113" s="4" t="n"/>
    </row>
    <row r="114">
      <c r="A114" s="4" t="n"/>
      <c r="B114" s="4" t="n"/>
      <c r="C114" s="8" t="n"/>
      <c r="D114" s="9" t="n"/>
      <c r="E114" s="8">
        <f>IF(OR(C114="",D114=""),"",C114*D114)</f>
        <v/>
      </c>
      <c r="F114" s="4" t="n"/>
    </row>
    <row r="115">
      <c r="A115" s="4" t="n"/>
      <c r="B115" s="4" t="n"/>
      <c r="C115" s="8" t="n"/>
      <c r="D115" s="9" t="n"/>
      <c r="E115" s="8">
        <f>IF(OR(C115="",D115=""),"",C115*D115)</f>
        <v/>
      </c>
      <c r="F115" s="4" t="n"/>
    </row>
    <row r="116">
      <c r="A116" s="4" t="n"/>
      <c r="B116" s="4" t="n"/>
      <c r="C116" s="8" t="n"/>
      <c r="D116" s="9" t="n"/>
      <c r="E116" s="8">
        <f>IF(OR(C116="",D116=""),"",C116*D116)</f>
        <v/>
      </c>
      <c r="F116" s="4" t="n"/>
    </row>
    <row r="117">
      <c r="A117" s="4" t="n"/>
      <c r="B117" s="4" t="n"/>
      <c r="C117" s="8" t="n"/>
      <c r="D117" s="9" t="n"/>
      <c r="E117" s="8">
        <f>IF(OR(C117="",D117=""),"",C117*D117)</f>
        <v/>
      </c>
      <c r="F117" s="4" t="n"/>
    </row>
    <row r="118">
      <c r="A118" s="4" t="n"/>
      <c r="B118" s="4" t="n"/>
      <c r="C118" s="8" t="n"/>
      <c r="D118" s="9" t="n"/>
      <c r="E118" s="8">
        <f>IF(OR(C118="",D118=""),"",C118*D118)</f>
        <v/>
      </c>
      <c r="F118" s="4" t="n"/>
    </row>
    <row r="119">
      <c r="A119" s="4" t="n"/>
      <c r="B119" s="4" t="n"/>
      <c r="C119" s="8" t="n"/>
      <c r="D119" s="9" t="n"/>
      <c r="E119" s="8">
        <f>IF(OR(C119="",D119=""),"",C119*D119)</f>
        <v/>
      </c>
      <c r="F119" s="4" t="n"/>
    </row>
    <row r="120">
      <c r="A120" s="4" t="n"/>
      <c r="B120" s="4" t="n"/>
      <c r="C120" s="8" t="n"/>
      <c r="D120" s="9" t="n"/>
      <c r="E120" s="8">
        <f>IF(OR(C120="",D120=""),"",C120*D120)</f>
        <v/>
      </c>
      <c r="F120" s="4" t="n"/>
    </row>
    <row r="121">
      <c r="A121" s="4" t="n"/>
      <c r="B121" s="4" t="n"/>
      <c r="C121" s="8" t="n"/>
      <c r="D121" s="9" t="n"/>
      <c r="E121" s="8">
        <f>IF(OR(C121="",D121=""),"",C121*D121)</f>
        <v/>
      </c>
      <c r="F121" s="4" t="n"/>
    </row>
    <row r="122">
      <c r="A122" s="4" t="n"/>
      <c r="B122" s="4" t="n"/>
      <c r="C122" s="8" t="n"/>
      <c r="D122" s="9" t="n"/>
      <c r="E122" s="8">
        <f>IF(OR(C122="",D122=""),"",C122*D122)</f>
        <v/>
      </c>
      <c r="F122" s="4" t="n"/>
    </row>
    <row r="123">
      <c r="A123" s="4" t="n"/>
      <c r="B123" s="4" t="n"/>
      <c r="C123" s="8" t="n"/>
      <c r="D123" s="9" t="n"/>
      <c r="E123" s="8">
        <f>IF(OR(C123="",D123=""),"",C123*D123)</f>
        <v/>
      </c>
      <c r="F123" s="4" t="n"/>
    </row>
    <row r="124">
      <c r="A124" s="4" t="n"/>
      <c r="B124" s="4" t="n"/>
      <c r="C124" s="8" t="n"/>
      <c r="D124" s="9" t="n"/>
      <c r="E124" s="8">
        <f>IF(OR(C124="",D124=""),"",C124*D124)</f>
        <v/>
      </c>
      <c r="F124" s="4" t="n"/>
    </row>
    <row r="125">
      <c r="A125" s="4" t="n"/>
      <c r="B125" s="4" t="n"/>
      <c r="C125" s="8" t="n"/>
      <c r="D125" s="9" t="n"/>
      <c r="E125" s="8">
        <f>IF(OR(C125="",D125=""),"",C125*D125)</f>
        <v/>
      </c>
      <c r="F125" s="4" t="n"/>
    </row>
    <row r="126">
      <c r="A126" s="4" t="n"/>
      <c r="B126" s="4" t="n"/>
      <c r="C126" s="8" t="n"/>
      <c r="D126" s="9" t="n"/>
      <c r="E126" s="8">
        <f>IF(OR(C126="",D126=""),"",C126*D126)</f>
        <v/>
      </c>
      <c r="F126" s="4" t="n"/>
    </row>
    <row r="127">
      <c r="A127" s="4" t="n"/>
      <c r="B127" s="4" t="n"/>
      <c r="C127" s="8" t="n"/>
      <c r="D127" s="9" t="n"/>
      <c r="E127" s="8">
        <f>IF(OR(C127="",D127=""),"",C127*D127)</f>
        <v/>
      </c>
      <c r="F127" s="4" t="n"/>
    </row>
    <row r="128">
      <c r="A128" s="4" t="n"/>
      <c r="B128" s="4" t="n"/>
      <c r="C128" s="8" t="n"/>
      <c r="D128" s="9" t="n"/>
      <c r="E128" s="8">
        <f>IF(OR(C128="",D128=""),"",C128*D128)</f>
        <v/>
      </c>
      <c r="F128" s="4" t="n"/>
    </row>
    <row r="129">
      <c r="A129" s="4" t="n"/>
      <c r="B129" s="4" t="n"/>
      <c r="C129" s="8" t="n"/>
      <c r="D129" s="9" t="n"/>
      <c r="E129" s="8">
        <f>IF(OR(C129="",D129=""),"",C129*D129)</f>
        <v/>
      </c>
      <c r="F129" s="4" t="n"/>
    </row>
    <row r="130">
      <c r="A130" s="4" t="n"/>
      <c r="B130" s="4" t="n"/>
      <c r="C130" s="8" t="n"/>
      <c r="D130" s="9" t="n"/>
      <c r="E130" s="8">
        <f>IF(OR(C130="",D130=""),"",C130*D130)</f>
        <v/>
      </c>
      <c r="F130" s="4" t="n"/>
    </row>
    <row r="131">
      <c r="A131" s="4" t="n"/>
      <c r="B131" s="4" t="n"/>
      <c r="C131" s="8" t="n"/>
      <c r="D131" s="9" t="n"/>
      <c r="E131" s="8">
        <f>IF(OR(C131="",D131=""),"",C131*D131)</f>
        <v/>
      </c>
      <c r="F131" s="4" t="n"/>
    </row>
    <row r="132">
      <c r="A132" s="4" t="n"/>
      <c r="B132" s="4" t="n"/>
      <c r="C132" s="8" t="n"/>
      <c r="D132" s="9" t="n"/>
      <c r="E132" s="8">
        <f>IF(OR(C132="",D132=""),"",C132*D132)</f>
        <v/>
      </c>
      <c r="F132" s="4" t="n"/>
    </row>
    <row r="133">
      <c r="A133" s="4" t="n"/>
      <c r="B133" s="4" t="n"/>
      <c r="C133" s="8" t="n"/>
      <c r="D133" s="9" t="n"/>
      <c r="E133" s="8">
        <f>IF(OR(C133="",D133=""),"",C133*D133)</f>
        <v/>
      </c>
      <c r="F133" s="4" t="n"/>
    </row>
    <row r="134">
      <c r="A134" s="4" t="n"/>
      <c r="B134" s="4" t="n"/>
      <c r="C134" s="8" t="n"/>
      <c r="D134" s="9" t="n"/>
      <c r="E134" s="8">
        <f>IF(OR(C134="",D134=""),"",C134*D134)</f>
        <v/>
      </c>
      <c r="F134" s="4" t="n"/>
    </row>
    <row r="135">
      <c r="A135" s="4" t="n"/>
      <c r="B135" s="4" t="n"/>
      <c r="C135" s="8" t="n"/>
      <c r="D135" s="9" t="n"/>
      <c r="E135" s="8">
        <f>IF(OR(C135="",D135=""),"",C135*D135)</f>
        <v/>
      </c>
      <c r="F135" s="4" t="n"/>
    </row>
    <row r="136">
      <c r="A136" s="4" t="n"/>
      <c r="B136" s="4" t="n"/>
      <c r="C136" s="8" t="n"/>
      <c r="D136" s="9" t="n"/>
      <c r="E136" s="8">
        <f>IF(OR(C136="",D136=""),"",C136*D136)</f>
        <v/>
      </c>
      <c r="F136" s="4" t="n"/>
    </row>
    <row r="137">
      <c r="A137" s="4" t="n"/>
      <c r="B137" s="4" t="n"/>
      <c r="C137" s="8" t="n"/>
      <c r="D137" s="9" t="n"/>
      <c r="E137" s="8">
        <f>IF(OR(C137="",D137=""),"",C137*D137)</f>
        <v/>
      </c>
      <c r="F137" s="4" t="n"/>
    </row>
    <row r="138">
      <c r="A138" s="4" t="n"/>
      <c r="B138" s="4" t="n"/>
      <c r="C138" s="8" t="n"/>
      <c r="D138" s="9" t="n"/>
      <c r="E138" s="8">
        <f>IF(OR(C138="",D138=""),"",C138*D138)</f>
        <v/>
      </c>
      <c r="F138" s="4" t="n"/>
    </row>
    <row r="139">
      <c r="A139" s="4" t="n"/>
      <c r="B139" s="4" t="n"/>
      <c r="C139" s="8" t="n"/>
      <c r="D139" s="9" t="n"/>
      <c r="E139" s="8">
        <f>IF(OR(C139="",D139=""),"",C139*D139)</f>
        <v/>
      </c>
      <c r="F139" s="4" t="n"/>
    </row>
    <row r="140">
      <c r="A140" s="4" t="n"/>
      <c r="B140" s="4" t="n"/>
      <c r="C140" s="8" t="n"/>
      <c r="D140" s="9" t="n"/>
      <c r="E140" s="8">
        <f>IF(OR(C140="",D140=""),"",C140*D140)</f>
        <v/>
      </c>
      <c r="F140" s="4" t="n"/>
    </row>
    <row r="141">
      <c r="A141" s="4" t="n"/>
      <c r="B141" s="4" t="n"/>
      <c r="C141" s="8" t="n"/>
      <c r="D141" s="9" t="n"/>
      <c r="E141" s="8">
        <f>IF(OR(C141="",D141=""),"",C141*D141)</f>
        <v/>
      </c>
      <c r="F141" s="4" t="n"/>
    </row>
    <row r="142">
      <c r="A142" s="4" t="n"/>
      <c r="B142" s="4" t="n"/>
      <c r="C142" s="8" t="n"/>
      <c r="D142" s="9" t="n"/>
      <c r="E142" s="8">
        <f>IF(OR(C142="",D142=""),"",C142*D142)</f>
        <v/>
      </c>
      <c r="F142" s="4" t="n"/>
    </row>
    <row r="143">
      <c r="A143" s="4" t="n"/>
      <c r="B143" s="4" t="n"/>
      <c r="C143" s="8" t="n"/>
      <c r="D143" s="9" t="n"/>
      <c r="E143" s="8">
        <f>IF(OR(C143="",D143=""),"",C143*D143)</f>
        <v/>
      </c>
      <c r="F143" s="4" t="n"/>
    </row>
    <row r="144">
      <c r="A144" s="4" t="n"/>
      <c r="B144" s="4" t="n"/>
      <c r="C144" s="8" t="n"/>
      <c r="D144" s="9" t="n"/>
      <c r="E144" s="8">
        <f>IF(OR(C144="",D144=""),"",C144*D144)</f>
        <v/>
      </c>
      <c r="F144" s="4" t="n"/>
    </row>
    <row r="145">
      <c r="A145" s="4" t="n"/>
      <c r="B145" s="4" t="n"/>
      <c r="C145" s="8" t="n"/>
      <c r="D145" s="9" t="n"/>
      <c r="E145" s="8">
        <f>IF(OR(C145="",D145=""),"",C145*D145)</f>
        <v/>
      </c>
      <c r="F145" s="4" t="n"/>
    </row>
    <row r="146">
      <c r="A146" s="4" t="n"/>
      <c r="B146" s="4" t="n"/>
      <c r="C146" s="8" t="n"/>
      <c r="D146" s="9" t="n"/>
      <c r="E146" s="8">
        <f>IF(OR(C146="",D146=""),"",C146*D146)</f>
        <v/>
      </c>
      <c r="F146" s="4" t="n"/>
    </row>
    <row r="147">
      <c r="A147" s="4" t="n"/>
      <c r="B147" s="4" t="n"/>
      <c r="C147" s="8" t="n"/>
      <c r="D147" s="9" t="n"/>
      <c r="E147" s="8">
        <f>IF(OR(C147="",D147=""),"",C147*D147)</f>
        <v/>
      </c>
      <c r="F147" s="4" t="n"/>
    </row>
    <row r="148">
      <c r="A148" s="4" t="n"/>
      <c r="B148" s="4" t="n"/>
      <c r="C148" s="8" t="n"/>
      <c r="D148" s="9" t="n"/>
      <c r="E148" s="8">
        <f>IF(OR(C148="",D148=""),"",C148*D148)</f>
        <v/>
      </c>
      <c r="F148" s="4" t="n"/>
    </row>
    <row r="149">
      <c r="A149" s="4" t="n"/>
      <c r="B149" s="4" t="n"/>
      <c r="C149" s="8" t="n"/>
      <c r="D149" s="9" t="n"/>
      <c r="E149" s="8">
        <f>IF(OR(C149="",D149=""),"",C149*D149)</f>
        <v/>
      </c>
      <c r="F149" s="4" t="n"/>
    </row>
    <row r="150">
      <c r="A150" s="4" t="n"/>
      <c r="B150" s="4" t="n"/>
      <c r="C150" s="8" t="n"/>
      <c r="D150" s="9" t="n"/>
      <c r="E150" s="8">
        <f>IF(OR(C150="",D150=""),"",C150*D150)</f>
        <v/>
      </c>
      <c r="F150" s="4" t="n"/>
    </row>
    <row r="151">
      <c r="A151" s="4" t="n"/>
      <c r="B151" s="4" t="n"/>
      <c r="C151" s="8" t="n"/>
      <c r="D151" s="9" t="n"/>
      <c r="E151" s="8">
        <f>IF(OR(C151="",D151=""),"",C151*D151)</f>
        <v/>
      </c>
      <c r="F151" s="4" t="n"/>
    </row>
    <row r="152">
      <c r="A152" s="4" t="n"/>
      <c r="B152" s="4" t="n"/>
      <c r="C152" s="8" t="n"/>
      <c r="D152" s="9" t="n"/>
      <c r="E152" s="8">
        <f>IF(OR(C152="",D152=""),"",C152*D152)</f>
        <v/>
      </c>
      <c r="F152" s="4" t="n"/>
    </row>
    <row r="153">
      <c r="A153" s="4" t="n"/>
      <c r="B153" s="4" t="n"/>
      <c r="C153" s="8" t="n"/>
      <c r="D153" s="9" t="n"/>
      <c r="E153" s="8">
        <f>IF(OR(C153="",D153=""),"",C153*D153)</f>
        <v/>
      </c>
      <c r="F153" s="4" t="n"/>
    </row>
    <row r="154">
      <c r="A154" s="4" t="n"/>
      <c r="B154" s="4" t="n"/>
      <c r="C154" s="8" t="n"/>
      <c r="D154" s="9" t="n"/>
      <c r="E154" s="8">
        <f>IF(OR(C154="",D154=""),"",C154*D154)</f>
        <v/>
      </c>
      <c r="F154" s="4" t="n"/>
    </row>
    <row r="155">
      <c r="A155" s="4" t="n"/>
      <c r="B155" s="4" t="n"/>
      <c r="C155" s="8" t="n"/>
      <c r="D155" s="9" t="n"/>
      <c r="E155" s="8">
        <f>IF(OR(C155="",D155=""),"",C155*D155)</f>
        <v/>
      </c>
      <c r="F155" s="4" t="n"/>
    </row>
    <row r="156">
      <c r="A156" s="4" t="n"/>
      <c r="B156" s="4" t="n"/>
      <c r="C156" s="8" t="n"/>
      <c r="D156" s="9" t="n"/>
      <c r="E156" s="8">
        <f>IF(OR(C156="",D156=""),"",C156*D156)</f>
        <v/>
      </c>
      <c r="F156" s="4" t="n"/>
    </row>
    <row r="157">
      <c r="A157" s="4" t="n"/>
      <c r="B157" s="4" t="n"/>
      <c r="C157" s="8" t="n"/>
      <c r="D157" s="9" t="n"/>
      <c r="E157" s="8">
        <f>IF(OR(C157="",D157=""),"",C157*D157)</f>
        <v/>
      </c>
      <c r="F157" s="4" t="n"/>
    </row>
    <row r="158">
      <c r="A158" s="4" t="n"/>
      <c r="B158" s="4" t="n"/>
      <c r="C158" s="8" t="n"/>
      <c r="D158" s="9" t="n"/>
      <c r="E158" s="8">
        <f>IF(OR(C158="",D158=""),"",C158*D158)</f>
        <v/>
      </c>
      <c r="F158" s="4" t="n"/>
    </row>
    <row r="159">
      <c r="A159" s="4" t="n"/>
      <c r="B159" s="4" t="n"/>
      <c r="C159" s="8" t="n"/>
      <c r="D159" s="9" t="n"/>
      <c r="E159" s="8">
        <f>IF(OR(C159="",D159=""),"",C159*D159)</f>
        <v/>
      </c>
      <c r="F159" s="4" t="n"/>
    </row>
    <row r="160">
      <c r="A160" s="4" t="n"/>
      <c r="B160" s="4" t="n"/>
      <c r="C160" s="8" t="n"/>
      <c r="D160" s="9" t="n"/>
      <c r="E160" s="8">
        <f>IF(OR(C160="",D160=""),"",C160*D160)</f>
        <v/>
      </c>
      <c r="F160" s="4" t="n"/>
    </row>
    <row r="161">
      <c r="A161" s="4" t="n"/>
      <c r="B161" s="4" t="n"/>
      <c r="C161" s="8" t="n"/>
      <c r="D161" s="9" t="n"/>
      <c r="E161" s="8">
        <f>IF(OR(C161="",D161=""),"",C161*D161)</f>
        <v/>
      </c>
      <c r="F161" s="4" t="n"/>
    </row>
    <row r="162">
      <c r="A162" s="4" t="n"/>
      <c r="B162" s="4" t="n"/>
      <c r="C162" s="8" t="n"/>
      <c r="D162" s="9" t="n"/>
      <c r="E162" s="8">
        <f>IF(OR(C162="",D162=""),"",C162*D162)</f>
        <v/>
      </c>
      <c r="F162" s="4" t="n"/>
    </row>
    <row r="163">
      <c r="A163" s="4" t="n"/>
      <c r="B163" s="4" t="n"/>
      <c r="C163" s="8" t="n"/>
      <c r="D163" s="9" t="n"/>
      <c r="E163" s="8">
        <f>IF(OR(C163="",D163=""),"",C163*D163)</f>
        <v/>
      </c>
      <c r="F163" s="4" t="n"/>
    </row>
    <row r="164">
      <c r="A164" s="4" t="n"/>
      <c r="B164" s="4" t="n"/>
      <c r="C164" s="8" t="n"/>
      <c r="D164" s="9" t="n"/>
      <c r="E164" s="8">
        <f>IF(OR(C164="",D164=""),"",C164*D164)</f>
        <v/>
      </c>
      <c r="F164" s="4" t="n"/>
    </row>
    <row r="165">
      <c r="A165" s="4" t="n"/>
      <c r="B165" s="4" t="n"/>
      <c r="C165" s="8" t="n"/>
      <c r="D165" s="9" t="n"/>
      <c r="E165" s="8">
        <f>IF(OR(C165="",D165=""),"",C165*D165)</f>
        <v/>
      </c>
      <c r="F165" s="4" t="n"/>
    </row>
    <row r="166">
      <c r="A166" s="4" t="n"/>
      <c r="B166" s="4" t="n"/>
      <c r="C166" s="8" t="n"/>
      <c r="D166" s="9" t="n"/>
      <c r="E166" s="8">
        <f>IF(OR(C166="",D166=""),"",C166*D166)</f>
        <v/>
      </c>
      <c r="F166" s="4" t="n"/>
    </row>
    <row r="167">
      <c r="A167" s="4" t="n"/>
      <c r="B167" s="4" t="n"/>
      <c r="C167" s="8" t="n"/>
      <c r="D167" s="9" t="n"/>
      <c r="E167" s="8">
        <f>IF(OR(C167="",D167=""),"",C167*D167)</f>
        <v/>
      </c>
      <c r="F167" s="4" t="n"/>
    </row>
    <row r="168">
      <c r="A168" s="4" t="n"/>
      <c r="B168" s="4" t="n"/>
      <c r="C168" s="8" t="n"/>
      <c r="D168" s="9" t="n"/>
      <c r="E168" s="8">
        <f>IF(OR(C168="",D168=""),"",C168*D168)</f>
        <v/>
      </c>
      <c r="F168" s="4" t="n"/>
    </row>
    <row r="169">
      <c r="A169" s="4" t="n"/>
      <c r="B169" s="4" t="n"/>
      <c r="C169" s="8" t="n"/>
      <c r="D169" s="9" t="n"/>
      <c r="E169" s="8">
        <f>IF(OR(C169="",D169=""),"",C169*D169)</f>
        <v/>
      </c>
      <c r="F169" s="4" t="n"/>
    </row>
    <row r="170">
      <c r="A170" s="4" t="n"/>
      <c r="B170" s="4" t="n"/>
      <c r="C170" s="8" t="n"/>
      <c r="D170" s="9" t="n"/>
      <c r="E170" s="8">
        <f>IF(OR(C170="",D170=""),"",C170*D170)</f>
        <v/>
      </c>
      <c r="F170" s="4" t="n"/>
    </row>
    <row r="171">
      <c r="A171" s="4" t="n"/>
      <c r="B171" s="4" t="n"/>
      <c r="C171" s="8" t="n"/>
      <c r="D171" s="9" t="n"/>
      <c r="E171" s="8">
        <f>IF(OR(C171="",D171=""),"",C171*D171)</f>
        <v/>
      </c>
      <c r="F171" s="4" t="n"/>
    </row>
    <row r="172">
      <c r="A172" s="4" t="n"/>
      <c r="B172" s="4" t="n"/>
      <c r="C172" s="8" t="n"/>
      <c r="D172" s="9" t="n"/>
      <c r="E172" s="8">
        <f>IF(OR(C172="",D172=""),"",C172*D172)</f>
        <v/>
      </c>
      <c r="F172" s="4" t="n"/>
    </row>
    <row r="173">
      <c r="A173" s="4" t="n"/>
      <c r="B173" s="4" t="n"/>
      <c r="C173" s="8" t="n"/>
      <c r="D173" s="9" t="n"/>
      <c r="E173" s="8">
        <f>IF(OR(C173="",D173=""),"",C173*D173)</f>
        <v/>
      </c>
      <c r="F173" s="4" t="n"/>
    </row>
    <row r="174">
      <c r="A174" s="4" t="n"/>
      <c r="B174" s="4" t="n"/>
      <c r="C174" s="8" t="n"/>
      <c r="D174" s="9" t="n"/>
      <c r="E174" s="8">
        <f>IF(OR(C174="",D174=""),"",C174*D174)</f>
        <v/>
      </c>
      <c r="F174" s="4" t="n"/>
    </row>
    <row r="175">
      <c r="A175" s="4" t="n"/>
      <c r="B175" s="4" t="n"/>
      <c r="C175" s="8" t="n"/>
      <c r="D175" s="9" t="n"/>
      <c r="E175" s="8">
        <f>IF(OR(C175="",D175=""),"",C175*D175)</f>
        <v/>
      </c>
      <c r="F175" s="4" t="n"/>
    </row>
    <row r="176">
      <c r="A176" s="4" t="n"/>
      <c r="B176" s="4" t="n"/>
      <c r="C176" s="8" t="n"/>
      <c r="D176" s="9" t="n"/>
      <c r="E176" s="8">
        <f>IF(OR(C176="",D176=""),"",C176*D176)</f>
        <v/>
      </c>
      <c r="F176" s="4" t="n"/>
    </row>
    <row r="177">
      <c r="A177" s="4" t="n"/>
      <c r="B177" s="4" t="n"/>
      <c r="C177" s="8" t="n"/>
      <c r="D177" s="9" t="n"/>
      <c r="E177" s="8">
        <f>IF(OR(C177="",D177=""),"",C177*D177)</f>
        <v/>
      </c>
      <c r="F177" s="4" t="n"/>
    </row>
    <row r="178">
      <c r="A178" s="4" t="n"/>
      <c r="B178" s="4" t="n"/>
      <c r="C178" s="8" t="n"/>
      <c r="D178" s="9" t="n"/>
      <c r="E178" s="8">
        <f>IF(OR(C178="",D178=""),"",C178*D178)</f>
        <v/>
      </c>
      <c r="F178" s="4" t="n"/>
    </row>
    <row r="179">
      <c r="A179" s="4" t="n"/>
      <c r="B179" s="4" t="n"/>
      <c r="C179" s="8" t="n"/>
      <c r="D179" s="9" t="n"/>
      <c r="E179" s="8">
        <f>IF(OR(C179="",D179=""),"",C179*D179)</f>
        <v/>
      </c>
      <c r="F179" s="4" t="n"/>
    </row>
    <row r="180">
      <c r="A180" s="4" t="n"/>
      <c r="B180" s="4" t="n"/>
      <c r="C180" s="8" t="n"/>
      <c r="D180" s="9" t="n"/>
      <c r="E180" s="8">
        <f>IF(OR(C180="",D180=""),"",C180*D180)</f>
        <v/>
      </c>
      <c r="F180" s="4" t="n"/>
    </row>
    <row r="181">
      <c r="A181" s="4" t="n"/>
      <c r="B181" s="4" t="n"/>
      <c r="C181" s="8" t="n"/>
      <c r="D181" s="9" t="n"/>
      <c r="E181" s="8">
        <f>IF(OR(C181="",D181=""),"",C181*D181)</f>
        <v/>
      </c>
      <c r="F181" s="4" t="n"/>
    </row>
    <row r="182">
      <c r="A182" s="4" t="n"/>
      <c r="B182" s="4" t="n"/>
      <c r="C182" s="8" t="n"/>
      <c r="D182" s="9" t="n"/>
      <c r="E182" s="8">
        <f>IF(OR(C182="",D182=""),"",C182*D182)</f>
        <v/>
      </c>
      <c r="F182" s="4" t="n"/>
    </row>
    <row r="183">
      <c r="A183" s="4" t="n"/>
      <c r="B183" s="4" t="n"/>
      <c r="C183" s="8" t="n"/>
      <c r="D183" s="9" t="n"/>
      <c r="E183" s="8">
        <f>IF(OR(C183="",D183=""),"",C183*D183)</f>
        <v/>
      </c>
      <c r="F183" s="4" t="n"/>
    </row>
    <row r="184">
      <c r="A184" s="4" t="n"/>
      <c r="B184" s="4" t="n"/>
      <c r="C184" s="8" t="n"/>
      <c r="D184" s="9" t="n"/>
      <c r="E184" s="8">
        <f>IF(OR(C184="",D184=""),"",C184*D184)</f>
        <v/>
      </c>
      <c r="F184" s="4" t="n"/>
    </row>
    <row r="185">
      <c r="A185" s="4" t="n"/>
      <c r="B185" s="4" t="n"/>
      <c r="C185" s="8" t="n"/>
      <c r="D185" s="9" t="n"/>
      <c r="E185" s="8">
        <f>IF(OR(C185="",D185=""),"",C185*D185)</f>
        <v/>
      </c>
      <c r="F185" s="4" t="n"/>
    </row>
    <row r="186">
      <c r="A186" s="4" t="n"/>
      <c r="B186" s="4" t="n"/>
      <c r="C186" s="8" t="n"/>
      <c r="D186" s="9" t="n"/>
      <c r="E186" s="8">
        <f>IF(OR(C186="",D186=""),"",C186*D186)</f>
        <v/>
      </c>
      <c r="F186" s="4" t="n"/>
    </row>
    <row r="187">
      <c r="A187" s="4" t="n"/>
      <c r="B187" s="4" t="n"/>
      <c r="C187" s="8" t="n"/>
      <c r="D187" s="9" t="n"/>
      <c r="E187" s="8">
        <f>IF(OR(C187="",D187=""),"",C187*D187)</f>
        <v/>
      </c>
      <c r="F187" s="4" t="n"/>
    </row>
    <row r="188">
      <c r="A188" s="4" t="n"/>
      <c r="B188" s="4" t="n"/>
      <c r="C188" s="8" t="n"/>
      <c r="D188" s="9" t="n"/>
      <c r="E188" s="8">
        <f>IF(OR(C188="",D188=""),"",C188*D188)</f>
        <v/>
      </c>
      <c r="F188" s="4" t="n"/>
    </row>
    <row r="189">
      <c r="A189" s="4" t="n"/>
      <c r="B189" s="4" t="n"/>
      <c r="C189" s="8" t="n"/>
      <c r="D189" s="9" t="n"/>
      <c r="E189" s="8">
        <f>IF(OR(C189="",D189=""),"",C189*D189)</f>
        <v/>
      </c>
      <c r="F189" s="4" t="n"/>
    </row>
    <row r="190">
      <c r="A190" s="4" t="n"/>
      <c r="B190" s="4" t="n"/>
      <c r="C190" s="8" t="n"/>
      <c r="D190" s="9" t="n"/>
      <c r="E190" s="8">
        <f>IF(OR(C190="",D190=""),"",C190*D190)</f>
        <v/>
      </c>
      <c r="F190" s="4" t="n"/>
    </row>
    <row r="191">
      <c r="A191" s="4" t="n"/>
      <c r="B191" s="4" t="n"/>
      <c r="C191" s="8" t="n"/>
      <c r="D191" s="9" t="n"/>
      <c r="E191" s="8">
        <f>IF(OR(C191="",D191=""),"",C191*D191)</f>
        <v/>
      </c>
      <c r="F191" s="4" t="n"/>
    </row>
    <row r="192">
      <c r="A192" s="4" t="n"/>
      <c r="B192" s="4" t="n"/>
      <c r="C192" s="8" t="n"/>
      <c r="D192" s="9" t="n"/>
      <c r="E192" s="8">
        <f>IF(OR(C192="",D192=""),"",C192*D192)</f>
        <v/>
      </c>
      <c r="F192" s="4" t="n"/>
    </row>
    <row r="193">
      <c r="A193" s="4" t="n"/>
      <c r="B193" s="4" t="n"/>
      <c r="C193" s="8" t="n"/>
      <c r="D193" s="9" t="n"/>
      <c r="E193" s="8">
        <f>IF(OR(C193="",D193=""),"",C193*D193)</f>
        <v/>
      </c>
      <c r="F193" s="4" t="n"/>
    </row>
    <row r="194">
      <c r="A194" s="4" t="n"/>
      <c r="B194" s="4" t="n"/>
      <c r="C194" s="8" t="n"/>
      <c r="D194" s="9" t="n"/>
      <c r="E194" s="8">
        <f>IF(OR(C194="",D194=""),"",C194*D194)</f>
        <v/>
      </c>
      <c r="F194" s="4" t="n"/>
    </row>
    <row r="195">
      <c r="A195" s="4" t="n"/>
      <c r="B195" s="4" t="n"/>
      <c r="C195" s="8" t="n"/>
      <c r="D195" s="9" t="n"/>
      <c r="E195" s="8">
        <f>IF(OR(C195="",D195=""),"",C195*D195)</f>
        <v/>
      </c>
      <c r="F195" s="4" t="n"/>
    </row>
    <row r="196">
      <c r="A196" s="4" t="n"/>
      <c r="B196" s="4" t="n"/>
      <c r="C196" s="8" t="n"/>
      <c r="D196" s="9" t="n"/>
      <c r="E196" s="8">
        <f>IF(OR(C196="",D196=""),"",C196*D196)</f>
        <v/>
      </c>
      <c r="F196" s="4" t="n"/>
    </row>
    <row r="197">
      <c r="A197" s="4" t="n"/>
      <c r="B197" s="4" t="n"/>
      <c r="C197" s="8" t="n"/>
      <c r="D197" s="9" t="n"/>
      <c r="E197" s="8">
        <f>IF(OR(C197="",D197=""),"",C197*D197)</f>
        <v/>
      </c>
      <c r="F197" s="4" t="n"/>
    </row>
    <row r="198">
      <c r="A198" s="4" t="n"/>
      <c r="B198" s="4" t="n"/>
      <c r="C198" s="8" t="n"/>
      <c r="D198" s="9" t="n"/>
      <c r="E198" s="8">
        <f>IF(OR(C198="",D198=""),"",C198*D198)</f>
        <v/>
      </c>
      <c r="F198" s="4" t="n"/>
    </row>
    <row r="199">
      <c r="A199" s="4" t="n"/>
      <c r="B199" s="4" t="n"/>
      <c r="C199" s="8" t="n"/>
      <c r="D199" s="9" t="n"/>
      <c r="E199" s="8">
        <f>IF(OR(C199="",D199=""),"",C199*D199)</f>
        <v/>
      </c>
      <c r="F199" s="4" t="n"/>
    </row>
    <row r="200">
      <c r="A200" s="4" t="n"/>
      <c r="B200" s="4" t="n"/>
      <c r="C200" s="8" t="n"/>
      <c r="D200" s="9" t="n"/>
      <c r="E200" s="8">
        <f>IF(OR(C200="",D200=""),"",C200*D200)</f>
        <v/>
      </c>
      <c r="F200" s="4" t="n"/>
    </row>
    <row r="201">
      <c r="A201" s="4" t="n"/>
      <c r="B201" s="4" t="n"/>
      <c r="C201" s="8" t="n"/>
      <c r="D201" s="9" t="n"/>
      <c r="E201" s="8">
        <f>IF(OR(C201="",D201=""),"",C201*D201)</f>
        <v/>
      </c>
      <c r="F201" s="4" t="n"/>
    </row>
    <row r="202">
      <c r="A202" s="4" t="n"/>
      <c r="B202" s="4" t="n"/>
      <c r="C202" s="8" t="n"/>
      <c r="D202" s="9" t="n"/>
      <c r="E202" s="8">
        <f>IF(OR(C202="",D202=""),"",C202*D202)</f>
        <v/>
      </c>
      <c r="F202" s="4" t="n"/>
    </row>
    <row r="203">
      <c r="A203" s="4" t="n"/>
      <c r="B203" s="4" t="n"/>
      <c r="C203" s="8" t="n"/>
      <c r="D203" s="9" t="n"/>
      <c r="E203" s="8">
        <f>IF(OR(C203="",D203=""),"",C203*D203)</f>
        <v/>
      </c>
      <c r="F203" s="4" t="n"/>
    </row>
    <row r="204">
      <c r="A204" s="4" t="n"/>
      <c r="B204" s="4" t="n"/>
      <c r="C204" s="8" t="n"/>
      <c r="D204" s="9" t="n"/>
      <c r="E204" s="8">
        <f>IF(OR(C204="",D204=""),"",C204*D204)</f>
        <v/>
      </c>
      <c r="F204" s="4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  <col width="13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14" customWidth="1" min="11" max="11"/>
    <col width="12" customWidth="1" min="12" max="12"/>
    <col width="12" customWidth="1" min="13" max="13"/>
    <col width="11" customWidth="1" min="14" max="14"/>
    <col width="14" customWidth="1" min="15" max="15"/>
    <col width="12" customWidth="1" min="16" max="16"/>
    <col width="11" customWidth="1" min="17" max="17"/>
    <col width="10" customWidth="1" min="18" max="18"/>
    <col width="12" customWidth="1" min="19" max="19"/>
    <col width="12" customWidth="1" min="20" max="20"/>
    <col width="10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0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</cols>
  <sheetData>
    <row r="1">
      <c r="A1" s="1" t="inlineStr">
        <is>
          <t>DIMENSIONNEMENT ET PROFIL - CONDUITES VERS EXUTOIRE DROITE</t>
        </is>
      </c>
    </row>
    <row r="2">
      <c r="A2" t="inlineStr">
        <is>
          <t>Network_status</t>
        </is>
      </c>
      <c r="B2" s="10">
        <f>IF(COUNTIF(AC4:AC203,"CHECK")&gt;0,"CHECK","OK")</f>
        <v/>
      </c>
      <c r="D2" t="inlineStr">
        <is>
          <t>Pipes_with_checks</t>
        </is>
      </c>
      <c r="E2" s="11">
        <f>COUNTIF(AC4:AC203,"CHECK")</f>
        <v/>
      </c>
    </row>
    <row r="3">
      <c r="A3" s="12" t="inlineStr">
        <is>
          <t>Pipe_ID</t>
        </is>
      </c>
      <c r="B3" s="12" t="inlineStr">
        <is>
          <t>Receives_into_Pipe_ID</t>
        </is>
      </c>
      <c r="C3" s="12" t="inlineStr">
        <is>
          <t>Length_m</t>
        </is>
      </c>
      <c r="D3" s="12" t="inlineStr">
        <is>
          <t>Area_local_override_m2</t>
        </is>
      </c>
      <c r="E3" s="12" t="inlineStr">
        <is>
          <t>Area_from_CB_m2</t>
        </is>
      </c>
      <c r="F3" s="12" t="inlineStr">
        <is>
          <t>Area_used_m2</t>
        </is>
      </c>
      <c r="G3" s="12" t="inlineStr">
        <is>
          <t>C_local</t>
        </is>
      </c>
      <c r="H3" s="12" t="inlineStr">
        <is>
          <t>Tc_local_min</t>
        </is>
      </c>
      <c r="I3" s="12" t="inlineStr">
        <is>
          <t>Intensity_mmh</t>
        </is>
      </c>
      <c r="J3" s="12" t="inlineStr">
        <is>
          <t>Q_local_m3s</t>
        </is>
      </c>
      <c r="K3" s="12" t="inlineStr">
        <is>
          <t>Q_from_upstream_m3s</t>
        </is>
      </c>
      <c r="L3" s="12" t="inlineStr">
        <is>
          <t>Q_total_design_m3s</t>
        </is>
      </c>
      <c r="M3" s="12" t="inlineStr">
        <is>
          <t>Slope_manual_m/m</t>
        </is>
      </c>
      <c r="N3" s="12" t="inlineStr">
        <is>
          <t>Slope_used_m/m</t>
        </is>
      </c>
      <c r="O3" s="12" t="inlineStr">
        <is>
          <t>Dia_recommended_mm</t>
        </is>
      </c>
      <c r="P3" s="12" t="inlineStr">
        <is>
          <t>Dia_override_mm</t>
        </is>
      </c>
      <c r="Q3" s="12" t="inlineStr">
        <is>
          <t>Dia_used_mm</t>
        </is>
      </c>
      <c r="R3" s="12" t="inlineStr">
        <is>
          <t>Dia_used_m</t>
        </is>
      </c>
      <c r="S3" s="12" t="inlineStr">
        <is>
          <t>Capacity_full_m3s</t>
        </is>
      </c>
      <c r="T3" s="12" t="inlineStr">
        <is>
          <t>Q_over_capacity_ratio</t>
        </is>
      </c>
      <c r="U3" s="12" t="inlineStr">
        <is>
          <t>Velocity_mps</t>
        </is>
      </c>
      <c r="V3" s="12" t="inlineStr">
        <is>
          <t>Junction_drop_m</t>
        </is>
      </c>
      <c r="W3" s="12" t="inlineStr">
        <is>
          <t>Invert_down_m</t>
        </is>
      </c>
      <c r="X3" s="12" t="inlineStr">
        <is>
          <t>Invert_up_m</t>
        </is>
      </c>
      <c r="Y3" s="12" t="inlineStr">
        <is>
          <t>Ground_down_m</t>
        </is>
      </c>
      <c r="Z3" s="12" t="inlineStr">
        <is>
          <t>Ground_up_m</t>
        </is>
      </c>
      <c r="AA3" s="12" t="inlineStr">
        <is>
          <t>Cover_down_m</t>
        </is>
      </c>
      <c r="AB3" s="12" t="inlineStr">
        <is>
          <t>Cover_up_m</t>
        </is>
      </c>
      <c r="AC3" s="12" t="inlineStr">
        <is>
          <t>Checks</t>
        </is>
      </c>
      <c r="AD3" s="3" t="inlineStr">
        <is>
          <t>Cap_5</t>
        </is>
      </c>
      <c r="AE3" s="3" t="inlineStr">
        <is>
          <t>Cap_6</t>
        </is>
      </c>
      <c r="AF3" s="3" t="inlineStr">
        <is>
          <t>Cap_7</t>
        </is>
      </c>
      <c r="AG3" s="3" t="inlineStr">
        <is>
          <t>Cap_8</t>
        </is>
      </c>
      <c r="AH3" s="3" t="inlineStr">
        <is>
          <t>Cap_9</t>
        </is>
      </c>
      <c r="AI3" s="3" t="inlineStr">
        <is>
          <t>Cap_10</t>
        </is>
      </c>
      <c r="AJ3" s="3" t="inlineStr">
        <is>
          <t>Cap_11</t>
        </is>
      </c>
      <c r="AK3" s="3" t="inlineStr">
        <is>
          <t>Cap_12</t>
        </is>
      </c>
      <c r="AL3" s="3" t="inlineStr">
        <is>
          <t>Cap_13</t>
        </is>
      </c>
      <c r="AM3" s="3" t="inlineStr">
        <is>
          <t>Cap_14</t>
        </is>
      </c>
    </row>
    <row r="4">
      <c r="A4" s="4" t="inlineStr">
        <is>
          <t>P01</t>
        </is>
      </c>
      <c r="B4" s="4" t="inlineStr">
        <is>
          <t>P02</t>
        </is>
      </c>
      <c r="C4" s="8" t="n">
        <v>7</v>
      </c>
      <c r="D4" s="8" t="n"/>
      <c r="E4" s="8">
        <f>SUMIFS(CB_Tributaires!$C:$C,CB_Tributaires!$B:$B,$A4)</f>
        <v/>
      </c>
      <c r="F4" s="8">
        <f>IF(D4="",E4,D4)</f>
        <v/>
      </c>
      <c r="G4" s="4" t="inlineStr"/>
      <c r="H4" s="8" t="inlineStr"/>
      <c r="I4" s="8">
        <f>IF(A4="","",Inputs!$B$13/((IF(H4="",Inputs!$B$18,H4)+Inputs!$B$14)^Inputs!$B$15))</f>
        <v/>
      </c>
      <c r="J4" s="8">
        <f>IF(A4="","",0.00278*IF(G4="",Inputs!$B$17,G4)*F4*I4)</f>
        <v/>
      </c>
      <c r="K4" s="8">
        <f>IF(A4="","",SUMIFS($L$4:$L$203,$B$4:$B$203,$A4))</f>
        <v/>
      </c>
      <c r="L4" s="8">
        <f>IF(A4="","",(J4+K4)*Inputs!$B$16)</f>
        <v/>
      </c>
      <c r="M4" s="8" t="inlineStr"/>
      <c r="N4" s="8">
        <f>IF(A4="","",IF(M4="",Inputs!$B$7,M4))</f>
        <v/>
      </c>
      <c r="O4" s="4">
        <f>IF(A4="","",IF(L4/Inputs!$B$10&lt;=AD4,Inputs!$F$5,IF(L4/Inputs!$B$10&gt;AM4,"OVERSIZE",INDEX(Inputs!$F$5:$F$14,MATCH(L4/Inputs!$B$10,AD4:AM4,1)+1))))</f>
        <v/>
      </c>
      <c r="P4" s="4" t="n"/>
      <c r="Q4" s="4">
        <f>IF(A4="","",IF(P4="",O4,P4))</f>
        <v/>
      </c>
      <c r="R4" s="8">
        <f>IF(OR(Q4="",Q4="OVERSIZE"),"",Q4/1000)</f>
        <v/>
      </c>
      <c r="S4" s="8">
        <f>IF(R4="","",(1/Inputs!$B$9)*(PI()*R4^2/4)*((R4/4)^(2/3))*SQRT(N4))</f>
        <v/>
      </c>
      <c r="T4" s="8">
        <f>IF(OR(S4="",L4=""),"",L4/(S4*Inputs!$B$10))</f>
        <v/>
      </c>
      <c r="U4" s="8">
        <f>IF(OR(R4="",L4=""),"",4*L4/(PI()*R4^2))</f>
        <v/>
      </c>
      <c r="V4" s="8" t="inlineStr"/>
      <c r="W4" s="8">
        <f>IF(A4="","",IF(A4=Inputs!$B$6,Inputs!$B$22,IF(B4="","",IFERROR(INDEX($X$4:$X$203,MATCH(B4,$A$4:$A$203,0))+IF(V4="",Inputs!$B$20,V4),""))))</f>
        <v/>
      </c>
      <c r="X4" s="8">
        <f>IF(OR(W4="",N4="",C4=""),"",W4+N4*C4)</f>
        <v/>
      </c>
      <c r="Y4" s="8" t="n"/>
      <c r="Z4" s="8" t="n"/>
      <c r="AA4" s="8">
        <f>IF(OR(Y4="",W4=""),"",Y4-W4)</f>
        <v/>
      </c>
      <c r="AB4" s="8">
        <f>IF(OR(Z4="",X4=""),"",Z4-X4)</f>
        <v/>
      </c>
      <c r="AC4" s="4">
        <f>IF(A4="","",IF(OR(T4&gt;1,U4&lt;Inputs!$B$11,U4&gt;Inputs!$B$12,AA4&lt;Inputs!$B$19,AB4&lt;Inputs!$B$19,N4&lt;Inputs!$B$7,N4&gt;Inputs!$B$8),"CHECK","OK"))</f>
        <v/>
      </c>
      <c r="AD4" s="4">
        <f>IF(A4="","",(1/Inputs!$B$9)*(PI()*(Inputs!$F$5/1000)^2/4)*((Inputs!$F$5/1000/4)^(2/3))*SQRT(N4))</f>
        <v/>
      </c>
      <c r="AE4" s="4">
        <f>IF(A4="","",(1/Inputs!$B$9)*(PI()*(Inputs!$F$6/1000)^2/4)*((Inputs!$F$6/1000/4)^(2/3))*SQRT(N4))</f>
        <v/>
      </c>
      <c r="AF4" s="4">
        <f>IF(A4="","",(1/Inputs!$B$9)*(PI()*(Inputs!$F$7/1000)^2/4)*((Inputs!$F$7/1000/4)^(2/3))*SQRT(N4))</f>
        <v/>
      </c>
      <c r="AG4" s="4">
        <f>IF(A4="","",(1/Inputs!$B$9)*(PI()*(Inputs!$F$8/1000)^2/4)*((Inputs!$F$8/1000/4)^(2/3))*SQRT(N4))</f>
        <v/>
      </c>
      <c r="AH4" s="4">
        <f>IF(A4="","",(1/Inputs!$B$9)*(PI()*(Inputs!$F$9/1000)^2/4)*((Inputs!$F$9/1000/4)^(2/3))*SQRT(N4))</f>
        <v/>
      </c>
      <c r="AI4" s="4">
        <f>IF(A4="","",(1/Inputs!$B$9)*(PI()*(Inputs!$F$10/1000)^2/4)*((Inputs!$F$10/1000/4)^(2/3))*SQRT(N4))</f>
        <v/>
      </c>
      <c r="AJ4" s="4">
        <f>IF(A4="","",(1/Inputs!$B$9)*(PI()*(Inputs!$F$11/1000)^2/4)*((Inputs!$F$11/1000/4)^(2/3))*SQRT(N4))</f>
        <v/>
      </c>
      <c r="AK4" s="4">
        <f>IF(A4="","",(1/Inputs!$B$9)*(PI()*(Inputs!$F$12/1000)^2/4)*((Inputs!$F$12/1000/4)^(2/3))*SQRT(N4))</f>
        <v/>
      </c>
      <c r="AL4" s="4">
        <f>IF(A4="","",(1/Inputs!$B$9)*(PI()*(Inputs!$F$13/1000)^2/4)*((Inputs!$F$13/1000/4)^(2/3))*SQRT(N4))</f>
        <v/>
      </c>
      <c r="AM4" s="4">
        <f>IF(A4="","",(1/Inputs!$B$9)*(PI()*(Inputs!$F$14/1000)^2/4)*((Inputs!$F$14/1000/4)^(2/3))*SQRT(N4))</f>
        <v/>
      </c>
    </row>
    <row r="5">
      <c r="A5" s="4" t="inlineStr">
        <is>
          <t>P02</t>
        </is>
      </c>
      <c r="B5" s="4" t="inlineStr">
        <is>
          <t>P06</t>
        </is>
      </c>
      <c r="C5" s="8" t="n">
        <v>9.6</v>
      </c>
      <c r="D5" s="8" t="n"/>
      <c r="E5" s="8">
        <f>SUMIFS(CB_Tributaires!$C:$C,CB_Tributaires!$B:$B,$A5)</f>
        <v/>
      </c>
      <c r="F5" s="8">
        <f>IF(D5="",E5,D5)</f>
        <v/>
      </c>
      <c r="G5" s="4" t="inlineStr"/>
      <c r="H5" s="8" t="inlineStr"/>
      <c r="I5" s="8">
        <f>IF(A5="","",Inputs!$B$13/((IF(H5="",Inputs!$B$18,H5)+Inputs!$B$14)^Inputs!$B$15))</f>
        <v/>
      </c>
      <c r="J5" s="8">
        <f>IF(A5="","",0.00278*IF(G5="",Inputs!$B$17,G5)*F5*I5)</f>
        <v/>
      </c>
      <c r="K5" s="8">
        <f>IF(A5="","",SUMIFS($L$4:$L$203,$B$4:$B$203,$A5))</f>
        <v/>
      </c>
      <c r="L5" s="8">
        <f>IF(A5="","",(J5+K5)*Inputs!$B$16)</f>
        <v/>
      </c>
      <c r="M5" s="8" t="inlineStr"/>
      <c r="N5" s="8">
        <f>IF(A5="","",IF(M5="",Inputs!$B$7,M5))</f>
        <v/>
      </c>
      <c r="O5" s="4">
        <f>IF(A5="","",IF(L5/Inputs!$B$10&lt;=AD5,Inputs!$F$5,IF(L5/Inputs!$B$10&gt;AM5,"OVERSIZE",INDEX(Inputs!$F$5:$F$14,MATCH(L5/Inputs!$B$10,AD5:AM5,1)+1))))</f>
        <v/>
      </c>
      <c r="P5" s="4" t="n"/>
      <c r="Q5" s="4">
        <f>IF(A5="","",IF(P5="",O5,P5))</f>
        <v/>
      </c>
      <c r="R5" s="8">
        <f>IF(OR(Q5="",Q5="OVERSIZE"),"",Q5/1000)</f>
        <v/>
      </c>
      <c r="S5" s="8">
        <f>IF(R5="","",(1/Inputs!$B$9)*(PI()*R5^2/4)*((R5/4)^(2/3))*SQRT(N5))</f>
        <v/>
      </c>
      <c r="T5" s="8">
        <f>IF(OR(S5="",L5=""),"",L5/(S5*Inputs!$B$10))</f>
        <v/>
      </c>
      <c r="U5" s="8">
        <f>IF(OR(R5="",L5=""),"",4*L5/(PI()*R5^2))</f>
        <v/>
      </c>
      <c r="V5" s="8" t="inlineStr"/>
      <c r="W5" s="8">
        <f>IF(A5="","",IF(A5=Inputs!$B$6,Inputs!$B$22,IF(B5="","",IFERROR(INDEX($X$4:$X$203,MATCH(B5,$A$4:$A$203,0))+IF(V5="",Inputs!$B$20,V5),""))))</f>
        <v/>
      </c>
      <c r="X5" s="8">
        <f>IF(OR(W5="",N5="",C5=""),"",W5+N5*C5)</f>
        <v/>
      </c>
      <c r="Y5" s="8" t="n"/>
      <c r="Z5" s="8" t="n"/>
      <c r="AA5" s="8">
        <f>IF(OR(Y5="",W5=""),"",Y5-W5)</f>
        <v/>
      </c>
      <c r="AB5" s="8">
        <f>IF(OR(Z5="",X5=""),"",Z5-X5)</f>
        <v/>
      </c>
      <c r="AC5" s="4">
        <f>IF(A5="","",IF(OR(T5&gt;1,U5&lt;Inputs!$B$11,U5&gt;Inputs!$B$12,AA5&lt;Inputs!$B$19,AB5&lt;Inputs!$B$19,N5&lt;Inputs!$B$7,N5&gt;Inputs!$B$8),"CHECK","OK"))</f>
        <v/>
      </c>
      <c r="AD5" s="4">
        <f>IF(A5="","",(1/Inputs!$B$9)*(PI()*(Inputs!$F$5/1000)^2/4)*((Inputs!$F$5/1000/4)^(2/3))*SQRT(N5))</f>
        <v/>
      </c>
      <c r="AE5" s="4">
        <f>IF(A5="","",(1/Inputs!$B$9)*(PI()*(Inputs!$F$6/1000)^2/4)*((Inputs!$F$6/1000/4)^(2/3))*SQRT(N5))</f>
        <v/>
      </c>
      <c r="AF5" s="4">
        <f>IF(A5="","",(1/Inputs!$B$9)*(PI()*(Inputs!$F$7/1000)^2/4)*((Inputs!$F$7/1000/4)^(2/3))*SQRT(N5))</f>
        <v/>
      </c>
      <c r="AG5" s="4">
        <f>IF(A5="","",(1/Inputs!$B$9)*(PI()*(Inputs!$F$8/1000)^2/4)*((Inputs!$F$8/1000/4)^(2/3))*SQRT(N5))</f>
        <v/>
      </c>
      <c r="AH5" s="4">
        <f>IF(A5="","",(1/Inputs!$B$9)*(PI()*(Inputs!$F$9/1000)^2/4)*((Inputs!$F$9/1000/4)^(2/3))*SQRT(N5))</f>
        <v/>
      </c>
      <c r="AI5" s="4">
        <f>IF(A5="","",(1/Inputs!$B$9)*(PI()*(Inputs!$F$10/1000)^2/4)*((Inputs!$F$10/1000/4)^(2/3))*SQRT(N5))</f>
        <v/>
      </c>
      <c r="AJ5" s="4">
        <f>IF(A5="","",(1/Inputs!$B$9)*(PI()*(Inputs!$F$11/1000)^2/4)*((Inputs!$F$11/1000/4)^(2/3))*SQRT(N5))</f>
        <v/>
      </c>
      <c r="AK5" s="4">
        <f>IF(A5="","",(1/Inputs!$B$9)*(PI()*(Inputs!$F$12/1000)^2/4)*((Inputs!$F$12/1000/4)^(2/3))*SQRT(N5))</f>
        <v/>
      </c>
      <c r="AL5" s="4">
        <f>IF(A5="","",(1/Inputs!$B$9)*(PI()*(Inputs!$F$13/1000)^2/4)*((Inputs!$F$13/1000/4)^(2/3))*SQRT(N5))</f>
        <v/>
      </c>
      <c r="AM5" s="4">
        <f>IF(A5="","",(1/Inputs!$B$9)*(PI()*(Inputs!$F$14/1000)^2/4)*((Inputs!$F$14/1000/4)^(2/3))*SQRT(N5))</f>
        <v/>
      </c>
    </row>
    <row r="6">
      <c r="A6" s="4" t="inlineStr">
        <is>
          <t>P03</t>
        </is>
      </c>
      <c r="B6" s="4" t="inlineStr">
        <is>
          <t>P06</t>
        </is>
      </c>
      <c r="C6" s="8" t="n">
        <v>6.95</v>
      </c>
      <c r="D6" s="8" t="n"/>
      <c r="E6" s="8">
        <f>SUMIFS(CB_Tributaires!$C:$C,CB_Tributaires!$B:$B,$A6)</f>
        <v/>
      </c>
      <c r="F6" s="8">
        <f>IF(D6="",E6,D6)</f>
        <v/>
      </c>
      <c r="G6" s="4" t="inlineStr"/>
      <c r="H6" s="8" t="inlineStr"/>
      <c r="I6" s="8">
        <f>IF(A6="","",Inputs!$B$13/((IF(H6="",Inputs!$B$18,H6)+Inputs!$B$14)^Inputs!$B$15))</f>
        <v/>
      </c>
      <c r="J6" s="8">
        <f>IF(A6="","",0.00278*IF(G6="",Inputs!$B$17,G6)*F6*I6)</f>
        <v/>
      </c>
      <c r="K6" s="8">
        <f>IF(A6="","",SUMIFS($L$4:$L$203,$B$4:$B$203,$A6))</f>
        <v/>
      </c>
      <c r="L6" s="8">
        <f>IF(A6="","",(J6+K6)*Inputs!$B$16)</f>
        <v/>
      </c>
      <c r="M6" s="8" t="inlineStr"/>
      <c r="N6" s="8">
        <f>IF(A6="","",IF(M6="",Inputs!$B$7,M6))</f>
        <v/>
      </c>
      <c r="O6" s="4">
        <f>IF(A6="","",IF(L6/Inputs!$B$10&lt;=AD6,Inputs!$F$5,IF(L6/Inputs!$B$10&gt;AM6,"OVERSIZE",INDEX(Inputs!$F$5:$F$14,MATCH(L6/Inputs!$B$10,AD6:AM6,1)+1))))</f>
        <v/>
      </c>
      <c r="P6" s="4" t="n"/>
      <c r="Q6" s="4">
        <f>IF(A6="","",IF(P6="",O6,P6))</f>
        <v/>
      </c>
      <c r="R6" s="8">
        <f>IF(OR(Q6="",Q6="OVERSIZE"),"",Q6/1000)</f>
        <v/>
      </c>
      <c r="S6" s="8">
        <f>IF(R6="","",(1/Inputs!$B$9)*(PI()*R6^2/4)*((R6/4)^(2/3))*SQRT(N6))</f>
        <v/>
      </c>
      <c r="T6" s="8">
        <f>IF(OR(S6="",L6=""),"",L6/(S6*Inputs!$B$10))</f>
        <v/>
      </c>
      <c r="U6" s="8">
        <f>IF(OR(R6="",L6=""),"",4*L6/(PI()*R6^2))</f>
        <v/>
      </c>
      <c r="V6" s="8" t="inlineStr"/>
      <c r="W6" s="8">
        <f>IF(A6="","",IF(A6=Inputs!$B$6,Inputs!$B$22,IF(B6="","",IFERROR(INDEX($X$4:$X$203,MATCH(B6,$A$4:$A$203,0))+IF(V6="",Inputs!$B$20,V6),""))))</f>
        <v/>
      </c>
      <c r="X6" s="8">
        <f>IF(OR(W6="",N6="",C6=""),"",W6+N6*C6)</f>
        <v/>
      </c>
      <c r="Y6" s="8" t="n"/>
      <c r="Z6" s="8" t="n"/>
      <c r="AA6" s="8">
        <f>IF(OR(Y6="",W6=""),"",Y6-W6)</f>
        <v/>
      </c>
      <c r="AB6" s="8">
        <f>IF(OR(Z6="",X6=""),"",Z6-X6)</f>
        <v/>
      </c>
      <c r="AC6" s="4">
        <f>IF(A6="","",IF(OR(T6&gt;1,U6&lt;Inputs!$B$11,U6&gt;Inputs!$B$12,AA6&lt;Inputs!$B$19,AB6&lt;Inputs!$B$19,N6&lt;Inputs!$B$7,N6&gt;Inputs!$B$8),"CHECK","OK"))</f>
        <v/>
      </c>
      <c r="AD6" s="4">
        <f>IF(A6="","",(1/Inputs!$B$9)*(PI()*(Inputs!$F$5/1000)^2/4)*((Inputs!$F$5/1000/4)^(2/3))*SQRT(N6))</f>
        <v/>
      </c>
      <c r="AE6" s="4">
        <f>IF(A6="","",(1/Inputs!$B$9)*(PI()*(Inputs!$F$6/1000)^2/4)*((Inputs!$F$6/1000/4)^(2/3))*SQRT(N6))</f>
        <v/>
      </c>
      <c r="AF6" s="4">
        <f>IF(A6="","",(1/Inputs!$B$9)*(PI()*(Inputs!$F$7/1000)^2/4)*((Inputs!$F$7/1000/4)^(2/3))*SQRT(N6))</f>
        <v/>
      </c>
      <c r="AG6" s="4">
        <f>IF(A6="","",(1/Inputs!$B$9)*(PI()*(Inputs!$F$8/1000)^2/4)*((Inputs!$F$8/1000/4)^(2/3))*SQRT(N6))</f>
        <v/>
      </c>
      <c r="AH6" s="4">
        <f>IF(A6="","",(1/Inputs!$B$9)*(PI()*(Inputs!$F$9/1000)^2/4)*((Inputs!$F$9/1000/4)^(2/3))*SQRT(N6))</f>
        <v/>
      </c>
      <c r="AI6" s="4">
        <f>IF(A6="","",(1/Inputs!$B$9)*(PI()*(Inputs!$F$10/1000)^2/4)*((Inputs!$F$10/1000/4)^(2/3))*SQRT(N6))</f>
        <v/>
      </c>
      <c r="AJ6" s="4">
        <f>IF(A6="","",(1/Inputs!$B$9)*(PI()*(Inputs!$F$11/1000)^2/4)*((Inputs!$F$11/1000/4)^(2/3))*SQRT(N6))</f>
        <v/>
      </c>
      <c r="AK6" s="4">
        <f>IF(A6="","",(1/Inputs!$B$9)*(PI()*(Inputs!$F$12/1000)^2/4)*((Inputs!$F$12/1000/4)^(2/3))*SQRT(N6))</f>
        <v/>
      </c>
      <c r="AL6" s="4">
        <f>IF(A6="","",(1/Inputs!$B$9)*(PI()*(Inputs!$F$13/1000)^2/4)*((Inputs!$F$13/1000/4)^(2/3))*SQRT(N6))</f>
        <v/>
      </c>
      <c r="AM6" s="4">
        <f>IF(A6="","",(1/Inputs!$B$9)*(PI()*(Inputs!$F$14/1000)^2/4)*((Inputs!$F$14/1000/4)^(2/3))*SQRT(N6))</f>
        <v/>
      </c>
    </row>
    <row r="7">
      <c r="A7" s="4" t="inlineStr">
        <is>
          <t>P04</t>
        </is>
      </c>
      <c r="B7" s="4" t="inlineStr">
        <is>
          <t>P05</t>
        </is>
      </c>
      <c r="C7" s="8" t="n">
        <v>11.54</v>
      </c>
      <c r="D7" s="8" t="n"/>
      <c r="E7" s="8">
        <f>SUMIFS(CB_Tributaires!$C:$C,CB_Tributaires!$B:$B,$A7)</f>
        <v/>
      </c>
      <c r="F7" s="8">
        <f>IF(D7="",E7,D7)</f>
        <v/>
      </c>
      <c r="G7" s="4" t="inlineStr"/>
      <c r="H7" s="8" t="inlineStr"/>
      <c r="I7" s="8">
        <f>IF(A7="","",Inputs!$B$13/((IF(H7="",Inputs!$B$18,H7)+Inputs!$B$14)^Inputs!$B$15))</f>
        <v/>
      </c>
      <c r="J7" s="8">
        <f>IF(A7="","",0.00278*IF(G7="",Inputs!$B$17,G7)*F7*I7)</f>
        <v/>
      </c>
      <c r="K7" s="8">
        <f>IF(A7="","",SUMIFS($L$4:$L$203,$B$4:$B$203,$A7))</f>
        <v/>
      </c>
      <c r="L7" s="8">
        <f>IF(A7="","",(J7+K7)*Inputs!$B$16)</f>
        <v/>
      </c>
      <c r="M7" s="8" t="inlineStr"/>
      <c r="N7" s="8">
        <f>IF(A7="","",IF(M7="",Inputs!$B$7,M7))</f>
        <v/>
      </c>
      <c r="O7" s="4">
        <f>IF(A7="","",IF(L7/Inputs!$B$10&lt;=AD7,Inputs!$F$5,IF(L7/Inputs!$B$10&gt;AM7,"OVERSIZE",INDEX(Inputs!$F$5:$F$14,MATCH(L7/Inputs!$B$10,AD7:AM7,1)+1))))</f>
        <v/>
      </c>
      <c r="P7" s="4" t="n"/>
      <c r="Q7" s="4">
        <f>IF(A7="","",IF(P7="",O7,P7))</f>
        <v/>
      </c>
      <c r="R7" s="8">
        <f>IF(OR(Q7="",Q7="OVERSIZE"),"",Q7/1000)</f>
        <v/>
      </c>
      <c r="S7" s="8">
        <f>IF(R7="","",(1/Inputs!$B$9)*(PI()*R7^2/4)*((R7/4)^(2/3))*SQRT(N7))</f>
        <v/>
      </c>
      <c r="T7" s="8">
        <f>IF(OR(S7="",L7=""),"",L7/(S7*Inputs!$B$10))</f>
        <v/>
      </c>
      <c r="U7" s="8">
        <f>IF(OR(R7="",L7=""),"",4*L7/(PI()*R7^2))</f>
        <v/>
      </c>
      <c r="V7" s="8" t="inlineStr"/>
      <c r="W7" s="8">
        <f>IF(A7="","",IF(A7=Inputs!$B$6,Inputs!$B$22,IF(B7="","",IFERROR(INDEX($X$4:$X$203,MATCH(B7,$A$4:$A$203,0))+IF(V7="",Inputs!$B$20,V7),""))))</f>
        <v/>
      </c>
      <c r="X7" s="8">
        <f>IF(OR(W7="",N7="",C7=""),"",W7+N7*C7)</f>
        <v/>
      </c>
      <c r="Y7" s="8" t="n"/>
      <c r="Z7" s="8" t="n"/>
      <c r="AA7" s="8">
        <f>IF(OR(Y7="",W7=""),"",Y7-W7)</f>
        <v/>
      </c>
      <c r="AB7" s="8">
        <f>IF(OR(Z7="",X7=""),"",Z7-X7)</f>
        <v/>
      </c>
      <c r="AC7" s="4">
        <f>IF(A7="","",IF(OR(T7&gt;1,U7&lt;Inputs!$B$11,U7&gt;Inputs!$B$12,AA7&lt;Inputs!$B$19,AB7&lt;Inputs!$B$19,N7&lt;Inputs!$B$7,N7&gt;Inputs!$B$8),"CHECK","OK"))</f>
        <v/>
      </c>
      <c r="AD7" s="4">
        <f>IF(A7="","",(1/Inputs!$B$9)*(PI()*(Inputs!$F$5/1000)^2/4)*((Inputs!$F$5/1000/4)^(2/3))*SQRT(N7))</f>
        <v/>
      </c>
      <c r="AE7" s="4">
        <f>IF(A7="","",(1/Inputs!$B$9)*(PI()*(Inputs!$F$6/1000)^2/4)*((Inputs!$F$6/1000/4)^(2/3))*SQRT(N7))</f>
        <v/>
      </c>
      <c r="AF7" s="4">
        <f>IF(A7="","",(1/Inputs!$B$9)*(PI()*(Inputs!$F$7/1000)^2/4)*((Inputs!$F$7/1000/4)^(2/3))*SQRT(N7))</f>
        <v/>
      </c>
      <c r="AG7" s="4">
        <f>IF(A7="","",(1/Inputs!$B$9)*(PI()*(Inputs!$F$8/1000)^2/4)*((Inputs!$F$8/1000/4)^(2/3))*SQRT(N7))</f>
        <v/>
      </c>
      <c r="AH7" s="4">
        <f>IF(A7="","",(1/Inputs!$B$9)*(PI()*(Inputs!$F$9/1000)^2/4)*((Inputs!$F$9/1000/4)^(2/3))*SQRT(N7))</f>
        <v/>
      </c>
      <c r="AI7" s="4">
        <f>IF(A7="","",(1/Inputs!$B$9)*(PI()*(Inputs!$F$10/1000)^2/4)*((Inputs!$F$10/1000/4)^(2/3))*SQRT(N7))</f>
        <v/>
      </c>
      <c r="AJ7" s="4">
        <f>IF(A7="","",(1/Inputs!$B$9)*(PI()*(Inputs!$F$11/1000)^2/4)*((Inputs!$F$11/1000/4)^(2/3))*SQRT(N7))</f>
        <v/>
      </c>
      <c r="AK7" s="4">
        <f>IF(A7="","",(1/Inputs!$B$9)*(PI()*(Inputs!$F$12/1000)^2/4)*((Inputs!$F$12/1000/4)^(2/3))*SQRT(N7))</f>
        <v/>
      </c>
      <c r="AL7" s="4">
        <f>IF(A7="","",(1/Inputs!$B$9)*(PI()*(Inputs!$F$13/1000)^2/4)*((Inputs!$F$13/1000/4)^(2/3))*SQRT(N7))</f>
        <v/>
      </c>
      <c r="AM7" s="4">
        <f>IF(A7="","",(1/Inputs!$B$9)*(PI()*(Inputs!$F$14/1000)^2/4)*((Inputs!$F$14/1000/4)^(2/3))*SQRT(N7))</f>
        <v/>
      </c>
    </row>
    <row r="8">
      <c r="A8" s="4" t="inlineStr">
        <is>
          <t>P05</t>
        </is>
      </c>
      <c r="B8" s="4" t="inlineStr">
        <is>
          <t>P06</t>
        </is>
      </c>
      <c r="C8" s="8" t="n">
        <v>14.25</v>
      </c>
      <c r="D8" s="8" t="n"/>
      <c r="E8" s="8">
        <f>SUMIFS(CB_Tributaires!$C:$C,CB_Tributaires!$B:$B,$A8)</f>
        <v/>
      </c>
      <c r="F8" s="8">
        <f>IF(D8="",E8,D8)</f>
        <v/>
      </c>
      <c r="G8" s="4" t="inlineStr"/>
      <c r="H8" s="8" t="inlineStr"/>
      <c r="I8" s="8">
        <f>IF(A8="","",Inputs!$B$13/((IF(H8="",Inputs!$B$18,H8)+Inputs!$B$14)^Inputs!$B$15))</f>
        <v/>
      </c>
      <c r="J8" s="8">
        <f>IF(A8="","",0.00278*IF(G8="",Inputs!$B$17,G8)*F8*I8)</f>
        <v/>
      </c>
      <c r="K8" s="8">
        <f>IF(A8="","",SUMIFS($L$4:$L$203,$B$4:$B$203,$A8))</f>
        <v/>
      </c>
      <c r="L8" s="8">
        <f>IF(A8="","",(J8+K8)*Inputs!$B$16)</f>
        <v/>
      </c>
      <c r="M8" s="8" t="inlineStr"/>
      <c r="N8" s="8">
        <f>IF(A8="","",IF(M8="",Inputs!$B$7,M8))</f>
        <v/>
      </c>
      <c r="O8" s="4">
        <f>IF(A8="","",IF(L8/Inputs!$B$10&lt;=AD8,Inputs!$F$5,IF(L8/Inputs!$B$10&gt;AM8,"OVERSIZE",INDEX(Inputs!$F$5:$F$14,MATCH(L8/Inputs!$B$10,AD8:AM8,1)+1))))</f>
        <v/>
      </c>
      <c r="P8" s="4" t="n"/>
      <c r="Q8" s="4">
        <f>IF(A8="","",IF(P8="",O8,P8))</f>
        <v/>
      </c>
      <c r="R8" s="8">
        <f>IF(OR(Q8="",Q8="OVERSIZE"),"",Q8/1000)</f>
        <v/>
      </c>
      <c r="S8" s="8">
        <f>IF(R8="","",(1/Inputs!$B$9)*(PI()*R8^2/4)*((R8/4)^(2/3))*SQRT(N8))</f>
        <v/>
      </c>
      <c r="T8" s="8">
        <f>IF(OR(S8="",L8=""),"",L8/(S8*Inputs!$B$10))</f>
        <v/>
      </c>
      <c r="U8" s="8">
        <f>IF(OR(R8="",L8=""),"",4*L8/(PI()*R8^2))</f>
        <v/>
      </c>
      <c r="V8" s="8" t="inlineStr"/>
      <c r="W8" s="8">
        <f>IF(A8="","",IF(A8=Inputs!$B$6,Inputs!$B$22,IF(B8="","",IFERROR(INDEX($X$4:$X$203,MATCH(B8,$A$4:$A$203,0))+IF(V8="",Inputs!$B$20,V8),""))))</f>
        <v/>
      </c>
      <c r="X8" s="8">
        <f>IF(OR(W8="",N8="",C8=""),"",W8+N8*C8)</f>
        <v/>
      </c>
      <c r="Y8" s="8" t="n"/>
      <c r="Z8" s="8" t="n"/>
      <c r="AA8" s="8">
        <f>IF(OR(Y8="",W8=""),"",Y8-W8)</f>
        <v/>
      </c>
      <c r="AB8" s="8">
        <f>IF(OR(Z8="",X8=""),"",Z8-X8)</f>
        <v/>
      </c>
      <c r="AC8" s="4">
        <f>IF(A8="","",IF(OR(T8&gt;1,U8&lt;Inputs!$B$11,U8&gt;Inputs!$B$12,AA8&lt;Inputs!$B$19,AB8&lt;Inputs!$B$19,N8&lt;Inputs!$B$7,N8&gt;Inputs!$B$8),"CHECK","OK"))</f>
        <v/>
      </c>
      <c r="AD8" s="4">
        <f>IF(A8="","",(1/Inputs!$B$9)*(PI()*(Inputs!$F$5/1000)^2/4)*((Inputs!$F$5/1000/4)^(2/3))*SQRT(N8))</f>
        <v/>
      </c>
      <c r="AE8" s="4">
        <f>IF(A8="","",(1/Inputs!$B$9)*(PI()*(Inputs!$F$6/1000)^2/4)*((Inputs!$F$6/1000/4)^(2/3))*SQRT(N8))</f>
        <v/>
      </c>
      <c r="AF8" s="4">
        <f>IF(A8="","",(1/Inputs!$B$9)*(PI()*(Inputs!$F$7/1000)^2/4)*((Inputs!$F$7/1000/4)^(2/3))*SQRT(N8))</f>
        <v/>
      </c>
      <c r="AG8" s="4">
        <f>IF(A8="","",(1/Inputs!$B$9)*(PI()*(Inputs!$F$8/1000)^2/4)*((Inputs!$F$8/1000/4)^(2/3))*SQRT(N8))</f>
        <v/>
      </c>
      <c r="AH8" s="4">
        <f>IF(A8="","",(1/Inputs!$B$9)*(PI()*(Inputs!$F$9/1000)^2/4)*((Inputs!$F$9/1000/4)^(2/3))*SQRT(N8))</f>
        <v/>
      </c>
      <c r="AI8" s="4">
        <f>IF(A8="","",(1/Inputs!$B$9)*(PI()*(Inputs!$F$10/1000)^2/4)*((Inputs!$F$10/1000/4)^(2/3))*SQRT(N8))</f>
        <v/>
      </c>
      <c r="AJ8" s="4">
        <f>IF(A8="","",(1/Inputs!$B$9)*(PI()*(Inputs!$F$11/1000)^2/4)*((Inputs!$F$11/1000/4)^(2/3))*SQRT(N8))</f>
        <v/>
      </c>
      <c r="AK8" s="4">
        <f>IF(A8="","",(1/Inputs!$B$9)*(PI()*(Inputs!$F$12/1000)^2/4)*((Inputs!$F$12/1000/4)^(2/3))*SQRT(N8))</f>
        <v/>
      </c>
      <c r="AL8" s="4">
        <f>IF(A8="","",(1/Inputs!$B$9)*(PI()*(Inputs!$F$13/1000)^2/4)*((Inputs!$F$13/1000/4)^(2/3))*SQRT(N8))</f>
        <v/>
      </c>
      <c r="AM8" s="4">
        <f>IF(A8="","",(1/Inputs!$B$9)*(PI()*(Inputs!$F$14/1000)^2/4)*((Inputs!$F$14/1000/4)^(2/3))*SQRT(N8))</f>
        <v/>
      </c>
    </row>
    <row r="9">
      <c r="A9" s="4" t="inlineStr">
        <is>
          <t>P07</t>
        </is>
      </c>
      <c r="B9" s="4" t="inlineStr">
        <is>
          <t>P08</t>
        </is>
      </c>
      <c r="C9" s="8" t="n">
        <v>14.29</v>
      </c>
      <c r="D9" s="8" t="n"/>
      <c r="E9" s="8">
        <f>SUMIFS(CB_Tributaires!$C:$C,CB_Tributaires!$B:$B,$A9)</f>
        <v/>
      </c>
      <c r="F9" s="8">
        <f>IF(D9="",E9,D9)</f>
        <v/>
      </c>
      <c r="G9" s="4" t="inlineStr"/>
      <c r="H9" s="8" t="inlineStr"/>
      <c r="I9" s="8">
        <f>IF(A9="","",Inputs!$B$13/((IF(H9="",Inputs!$B$18,H9)+Inputs!$B$14)^Inputs!$B$15))</f>
        <v/>
      </c>
      <c r="J9" s="8">
        <f>IF(A9="","",0.00278*IF(G9="",Inputs!$B$17,G9)*F9*I9)</f>
        <v/>
      </c>
      <c r="K9" s="8">
        <f>IF(A9="","",SUMIFS($L$4:$L$203,$B$4:$B$203,$A9))</f>
        <v/>
      </c>
      <c r="L9" s="8">
        <f>IF(A9="","",(J9+K9)*Inputs!$B$16)</f>
        <v/>
      </c>
      <c r="M9" s="8" t="inlineStr"/>
      <c r="N9" s="8">
        <f>IF(A9="","",IF(M9="",Inputs!$B$7,M9))</f>
        <v/>
      </c>
      <c r="O9" s="4">
        <f>IF(A9="","",IF(L9/Inputs!$B$10&lt;=AD9,Inputs!$F$5,IF(L9/Inputs!$B$10&gt;AM9,"OVERSIZE",INDEX(Inputs!$F$5:$F$14,MATCH(L9/Inputs!$B$10,AD9:AM9,1)+1))))</f>
        <v/>
      </c>
      <c r="P9" s="4" t="n"/>
      <c r="Q9" s="4">
        <f>IF(A9="","",IF(P9="",O9,P9))</f>
        <v/>
      </c>
      <c r="R9" s="8">
        <f>IF(OR(Q9="",Q9="OVERSIZE"),"",Q9/1000)</f>
        <v/>
      </c>
      <c r="S9" s="8">
        <f>IF(R9="","",(1/Inputs!$B$9)*(PI()*R9^2/4)*((R9/4)^(2/3))*SQRT(N9))</f>
        <v/>
      </c>
      <c r="T9" s="8">
        <f>IF(OR(S9="",L9=""),"",L9/(S9*Inputs!$B$10))</f>
        <v/>
      </c>
      <c r="U9" s="8">
        <f>IF(OR(R9="",L9=""),"",4*L9/(PI()*R9^2))</f>
        <v/>
      </c>
      <c r="V9" s="8" t="inlineStr"/>
      <c r="W9" s="8">
        <f>IF(A9="","",IF(A9=Inputs!$B$6,Inputs!$B$22,IF(B9="","",IFERROR(INDEX($X$4:$X$203,MATCH(B9,$A$4:$A$203,0))+IF(V9="",Inputs!$B$20,V9),""))))</f>
        <v/>
      </c>
      <c r="X9" s="8">
        <f>IF(OR(W9="",N9="",C9=""),"",W9+N9*C9)</f>
        <v/>
      </c>
      <c r="Y9" s="8" t="n"/>
      <c r="Z9" s="8" t="n"/>
      <c r="AA9" s="8">
        <f>IF(OR(Y9="",W9=""),"",Y9-W9)</f>
        <v/>
      </c>
      <c r="AB9" s="8">
        <f>IF(OR(Z9="",X9=""),"",Z9-X9)</f>
        <v/>
      </c>
      <c r="AC9" s="4">
        <f>IF(A9="","",IF(OR(T9&gt;1,U9&lt;Inputs!$B$11,U9&gt;Inputs!$B$12,AA9&lt;Inputs!$B$19,AB9&lt;Inputs!$B$19,N9&lt;Inputs!$B$7,N9&gt;Inputs!$B$8),"CHECK","OK"))</f>
        <v/>
      </c>
      <c r="AD9" s="4">
        <f>IF(A9="","",(1/Inputs!$B$9)*(PI()*(Inputs!$F$5/1000)^2/4)*((Inputs!$F$5/1000/4)^(2/3))*SQRT(N9))</f>
        <v/>
      </c>
      <c r="AE9" s="4">
        <f>IF(A9="","",(1/Inputs!$B$9)*(PI()*(Inputs!$F$6/1000)^2/4)*((Inputs!$F$6/1000/4)^(2/3))*SQRT(N9))</f>
        <v/>
      </c>
      <c r="AF9" s="4">
        <f>IF(A9="","",(1/Inputs!$B$9)*(PI()*(Inputs!$F$7/1000)^2/4)*((Inputs!$F$7/1000/4)^(2/3))*SQRT(N9))</f>
        <v/>
      </c>
      <c r="AG9" s="4">
        <f>IF(A9="","",(1/Inputs!$B$9)*(PI()*(Inputs!$F$8/1000)^2/4)*((Inputs!$F$8/1000/4)^(2/3))*SQRT(N9))</f>
        <v/>
      </c>
      <c r="AH9" s="4">
        <f>IF(A9="","",(1/Inputs!$B$9)*(PI()*(Inputs!$F$9/1000)^2/4)*((Inputs!$F$9/1000/4)^(2/3))*SQRT(N9))</f>
        <v/>
      </c>
      <c r="AI9" s="4">
        <f>IF(A9="","",(1/Inputs!$B$9)*(PI()*(Inputs!$F$10/1000)^2/4)*((Inputs!$F$10/1000/4)^(2/3))*SQRT(N9))</f>
        <v/>
      </c>
      <c r="AJ9" s="4">
        <f>IF(A9="","",(1/Inputs!$B$9)*(PI()*(Inputs!$F$11/1000)^2/4)*((Inputs!$F$11/1000/4)^(2/3))*SQRT(N9))</f>
        <v/>
      </c>
      <c r="AK9" s="4">
        <f>IF(A9="","",(1/Inputs!$B$9)*(PI()*(Inputs!$F$12/1000)^2/4)*((Inputs!$F$12/1000/4)^(2/3))*SQRT(N9))</f>
        <v/>
      </c>
      <c r="AL9" s="4">
        <f>IF(A9="","",(1/Inputs!$B$9)*(PI()*(Inputs!$F$13/1000)^2/4)*((Inputs!$F$13/1000/4)^(2/3))*SQRT(N9))</f>
        <v/>
      </c>
      <c r="AM9" s="4">
        <f>IF(A9="","",(1/Inputs!$B$9)*(PI()*(Inputs!$F$14/1000)^2/4)*((Inputs!$F$14/1000/4)^(2/3))*SQRT(N9))</f>
        <v/>
      </c>
    </row>
    <row r="10">
      <c r="A10" s="4" t="inlineStr">
        <is>
          <t>P08</t>
        </is>
      </c>
      <c r="B10" s="4" t="inlineStr">
        <is>
          <t>P09</t>
        </is>
      </c>
      <c r="C10" s="8" t="n">
        <v>12.4</v>
      </c>
      <c r="D10" s="8" t="n"/>
      <c r="E10" s="8">
        <f>SUMIFS(CB_Tributaires!$C:$C,CB_Tributaires!$B:$B,$A10)</f>
        <v/>
      </c>
      <c r="F10" s="8">
        <f>IF(D10="",E10,D10)</f>
        <v/>
      </c>
      <c r="G10" s="4" t="inlineStr"/>
      <c r="H10" s="8" t="inlineStr"/>
      <c r="I10" s="8">
        <f>IF(A10="","",Inputs!$B$13/((IF(H10="",Inputs!$B$18,H10)+Inputs!$B$14)^Inputs!$B$15))</f>
        <v/>
      </c>
      <c r="J10" s="8">
        <f>IF(A10="","",0.00278*IF(G10="",Inputs!$B$17,G10)*F10*I10)</f>
        <v/>
      </c>
      <c r="K10" s="8">
        <f>IF(A10="","",SUMIFS($L$4:$L$203,$B$4:$B$203,$A10))</f>
        <v/>
      </c>
      <c r="L10" s="8">
        <f>IF(A10="","",(J10+K10)*Inputs!$B$16)</f>
        <v/>
      </c>
      <c r="M10" s="8" t="inlineStr"/>
      <c r="N10" s="8">
        <f>IF(A10="","",IF(M10="",Inputs!$B$7,M10))</f>
        <v/>
      </c>
      <c r="O10" s="4">
        <f>IF(A10="","",IF(L10/Inputs!$B$10&lt;=AD10,Inputs!$F$5,IF(L10/Inputs!$B$10&gt;AM10,"OVERSIZE",INDEX(Inputs!$F$5:$F$14,MATCH(L10/Inputs!$B$10,AD10:AM10,1)+1))))</f>
        <v/>
      </c>
      <c r="P10" s="4" t="n"/>
      <c r="Q10" s="4">
        <f>IF(A10="","",IF(P10="",O10,P10))</f>
        <v/>
      </c>
      <c r="R10" s="8">
        <f>IF(OR(Q10="",Q10="OVERSIZE"),"",Q10/1000)</f>
        <v/>
      </c>
      <c r="S10" s="8">
        <f>IF(R10="","",(1/Inputs!$B$9)*(PI()*R10^2/4)*((R10/4)^(2/3))*SQRT(N10))</f>
        <v/>
      </c>
      <c r="T10" s="8">
        <f>IF(OR(S10="",L10=""),"",L10/(S10*Inputs!$B$10))</f>
        <v/>
      </c>
      <c r="U10" s="8">
        <f>IF(OR(R10="",L10=""),"",4*L10/(PI()*R10^2))</f>
        <v/>
      </c>
      <c r="V10" s="8" t="inlineStr"/>
      <c r="W10" s="8">
        <f>IF(A10="","",IF(A10=Inputs!$B$6,Inputs!$B$22,IF(B10="","",IFERROR(INDEX($X$4:$X$203,MATCH(B10,$A$4:$A$203,0))+IF(V10="",Inputs!$B$20,V10),""))))</f>
        <v/>
      </c>
      <c r="X10" s="8">
        <f>IF(OR(W10="",N10="",C10=""),"",W10+N10*C10)</f>
        <v/>
      </c>
      <c r="Y10" s="8" t="n"/>
      <c r="Z10" s="8" t="n"/>
      <c r="AA10" s="8">
        <f>IF(OR(Y10="",W10=""),"",Y10-W10)</f>
        <v/>
      </c>
      <c r="AB10" s="8">
        <f>IF(OR(Z10="",X10=""),"",Z10-X10)</f>
        <v/>
      </c>
      <c r="AC10" s="4">
        <f>IF(A10="","",IF(OR(T10&gt;1,U10&lt;Inputs!$B$11,U10&gt;Inputs!$B$12,AA10&lt;Inputs!$B$19,AB10&lt;Inputs!$B$19,N10&lt;Inputs!$B$7,N10&gt;Inputs!$B$8),"CHECK","OK"))</f>
        <v/>
      </c>
      <c r="AD10" s="4">
        <f>IF(A10="","",(1/Inputs!$B$9)*(PI()*(Inputs!$F$5/1000)^2/4)*((Inputs!$F$5/1000/4)^(2/3))*SQRT(N10))</f>
        <v/>
      </c>
      <c r="AE10" s="4">
        <f>IF(A10="","",(1/Inputs!$B$9)*(PI()*(Inputs!$F$6/1000)^2/4)*((Inputs!$F$6/1000/4)^(2/3))*SQRT(N10))</f>
        <v/>
      </c>
      <c r="AF10" s="4">
        <f>IF(A10="","",(1/Inputs!$B$9)*(PI()*(Inputs!$F$7/1000)^2/4)*((Inputs!$F$7/1000/4)^(2/3))*SQRT(N10))</f>
        <v/>
      </c>
      <c r="AG10" s="4">
        <f>IF(A10="","",(1/Inputs!$B$9)*(PI()*(Inputs!$F$8/1000)^2/4)*((Inputs!$F$8/1000/4)^(2/3))*SQRT(N10))</f>
        <v/>
      </c>
      <c r="AH10" s="4">
        <f>IF(A10="","",(1/Inputs!$B$9)*(PI()*(Inputs!$F$9/1000)^2/4)*((Inputs!$F$9/1000/4)^(2/3))*SQRT(N10))</f>
        <v/>
      </c>
      <c r="AI10" s="4">
        <f>IF(A10="","",(1/Inputs!$B$9)*(PI()*(Inputs!$F$10/1000)^2/4)*((Inputs!$F$10/1000/4)^(2/3))*SQRT(N10))</f>
        <v/>
      </c>
      <c r="AJ10" s="4">
        <f>IF(A10="","",(1/Inputs!$B$9)*(PI()*(Inputs!$F$11/1000)^2/4)*((Inputs!$F$11/1000/4)^(2/3))*SQRT(N10))</f>
        <v/>
      </c>
      <c r="AK10" s="4">
        <f>IF(A10="","",(1/Inputs!$B$9)*(PI()*(Inputs!$F$12/1000)^2/4)*((Inputs!$F$12/1000/4)^(2/3))*SQRT(N10))</f>
        <v/>
      </c>
      <c r="AL10" s="4">
        <f>IF(A10="","",(1/Inputs!$B$9)*(PI()*(Inputs!$F$13/1000)^2/4)*((Inputs!$F$13/1000/4)^(2/3))*SQRT(N10))</f>
        <v/>
      </c>
      <c r="AM10" s="4">
        <f>IF(A10="","",(1/Inputs!$B$9)*(PI()*(Inputs!$F$14/1000)^2/4)*((Inputs!$F$14/1000/4)^(2/3))*SQRT(N10))</f>
        <v/>
      </c>
    </row>
    <row r="11">
      <c r="A11" s="4" t="inlineStr">
        <is>
          <t>P10</t>
        </is>
      </c>
      <c r="B11" s="4" t="inlineStr">
        <is>
          <t>P09</t>
        </is>
      </c>
      <c r="C11" s="8" t="n">
        <v>8.6</v>
      </c>
      <c r="D11" s="8" t="n"/>
      <c r="E11" s="8">
        <f>SUMIFS(CB_Tributaires!$C:$C,CB_Tributaires!$B:$B,$A11)</f>
        <v/>
      </c>
      <c r="F11" s="8">
        <f>IF(D11="",E11,D11)</f>
        <v/>
      </c>
      <c r="G11" s="4" t="inlineStr"/>
      <c r="H11" s="8" t="inlineStr"/>
      <c r="I11" s="8">
        <f>IF(A11="","",Inputs!$B$13/((IF(H11="",Inputs!$B$18,H11)+Inputs!$B$14)^Inputs!$B$15))</f>
        <v/>
      </c>
      <c r="J11" s="8">
        <f>IF(A11="","",0.00278*IF(G11="",Inputs!$B$17,G11)*F11*I11)</f>
        <v/>
      </c>
      <c r="K11" s="8">
        <f>IF(A11="","",SUMIFS($L$4:$L$203,$B$4:$B$203,$A11))</f>
        <v/>
      </c>
      <c r="L11" s="8">
        <f>IF(A11="","",(J11+K11)*Inputs!$B$16)</f>
        <v/>
      </c>
      <c r="M11" s="8" t="inlineStr"/>
      <c r="N11" s="8">
        <f>IF(A11="","",IF(M11="",Inputs!$B$7,M11))</f>
        <v/>
      </c>
      <c r="O11" s="4">
        <f>IF(A11="","",IF(L11/Inputs!$B$10&lt;=AD11,Inputs!$F$5,IF(L11/Inputs!$B$10&gt;AM11,"OVERSIZE",INDEX(Inputs!$F$5:$F$14,MATCH(L11/Inputs!$B$10,AD11:AM11,1)+1))))</f>
        <v/>
      </c>
      <c r="P11" s="4" t="n"/>
      <c r="Q11" s="4">
        <f>IF(A11="","",IF(P11="",O11,P11))</f>
        <v/>
      </c>
      <c r="R11" s="8">
        <f>IF(OR(Q11="",Q11="OVERSIZE"),"",Q11/1000)</f>
        <v/>
      </c>
      <c r="S11" s="8">
        <f>IF(R11="","",(1/Inputs!$B$9)*(PI()*R11^2/4)*((R11/4)^(2/3))*SQRT(N11))</f>
        <v/>
      </c>
      <c r="T11" s="8">
        <f>IF(OR(S11="",L11=""),"",L11/(S11*Inputs!$B$10))</f>
        <v/>
      </c>
      <c r="U11" s="8">
        <f>IF(OR(R11="",L11=""),"",4*L11/(PI()*R11^2))</f>
        <v/>
      </c>
      <c r="V11" s="8" t="inlineStr"/>
      <c r="W11" s="8">
        <f>IF(A11="","",IF(A11=Inputs!$B$6,Inputs!$B$22,IF(B11="","",IFERROR(INDEX($X$4:$X$203,MATCH(B11,$A$4:$A$203,0))+IF(V11="",Inputs!$B$20,V11),""))))</f>
        <v/>
      </c>
      <c r="X11" s="8">
        <f>IF(OR(W11="",N11="",C11=""),"",W11+N11*C11)</f>
        <v/>
      </c>
      <c r="Y11" s="8" t="n"/>
      <c r="Z11" s="8" t="n"/>
      <c r="AA11" s="8">
        <f>IF(OR(Y11="",W11=""),"",Y11-W11)</f>
        <v/>
      </c>
      <c r="AB11" s="8">
        <f>IF(OR(Z11="",X11=""),"",Z11-X11)</f>
        <v/>
      </c>
      <c r="AC11" s="4">
        <f>IF(A11="","",IF(OR(T11&gt;1,U11&lt;Inputs!$B$11,U11&gt;Inputs!$B$12,AA11&lt;Inputs!$B$19,AB11&lt;Inputs!$B$19,N11&lt;Inputs!$B$7,N11&gt;Inputs!$B$8),"CHECK","OK"))</f>
        <v/>
      </c>
      <c r="AD11" s="4">
        <f>IF(A11="","",(1/Inputs!$B$9)*(PI()*(Inputs!$F$5/1000)^2/4)*((Inputs!$F$5/1000/4)^(2/3))*SQRT(N11))</f>
        <v/>
      </c>
      <c r="AE11" s="4">
        <f>IF(A11="","",(1/Inputs!$B$9)*(PI()*(Inputs!$F$6/1000)^2/4)*((Inputs!$F$6/1000/4)^(2/3))*SQRT(N11))</f>
        <v/>
      </c>
      <c r="AF11" s="4">
        <f>IF(A11="","",(1/Inputs!$B$9)*(PI()*(Inputs!$F$7/1000)^2/4)*((Inputs!$F$7/1000/4)^(2/3))*SQRT(N11))</f>
        <v/>
      </c>
      <c r="AG11" s="4">
        <f>IF(A11="","",(1/Inputs!$B$9)*(PI()*(Inputs!$F$8/1000)^2/4)*((Inputs!$F$8/1000/4)^(2/3))*SQRT(N11))</f>
        <v/>
      </c>
      <c r="AH11" s="4">
        <f>IF(A11="","",(1/Inputs!$B$9)*(PI()*(Inputs!$F$9/1000)^2/4)*((Inputs!$F$9/1000/4)^(2/3))*SQRT(N11))</f>
        <v/>
      </c>
      <c r="AI11" s="4">
        <f>IF(A11="","",(1/Inputs!$B$9)*(PI()*(Inputs!$F$10/1000)^2/4)*((Inputs!$F$10/1000/4)^(2/3))*SQRT(N11))</f>
        <v/>
      </c>
      <c r="AJ11" s="4">
        <f>IF(A11="","",(1/Inputs!$B$9)*(PI()*(Inputs!$F$11/1000)^2/4)*((Inputs!$F$11/1000/4)^(2/3))*SQRT(N11))</f>
        <v/>
      </c>
      <c r="AK11" s="4">
        <f>IF(A11="","",(1/Inputs!$B$9)*(PI()*(Inputs!$F$12/1000)^2/4)*((Inputs!$F$12/1000/4)^(2/3))*SQRT(N11))</f>
        <v/>
      </c>
      <c r="AL11" s="4">
        <f>IF(A11="","",(1/Inputs!$B$9)*(PI()*(Inputs!$F$13/1000)^2/4)*((Inputs!$F$13/1000/4)^(2/3))*SQRT(N11))</f>
        <v/>
      </c>
      <c r="AM11" s="4">
        <f>IF(A11="","",(1/Inputs!$B$9)*(PI()*(Inputs!$F$14/1000)^2/4)*((Inputs!$F$14/1000/4)^(2/3))*SQRT(N11))</f>
        <v/>
      </c>
    </row>
    <row r="12">
      <c r="A12" s="4" t="inlineStr">
        <is>
          <t>P09</t>
        </is>
      </c>
      <c r="B12" s="4" t="inlineStr">
        <is>
          <t>P_OUT</t>
        </is>
      </c>
      <c r="C12" s="8" t="n">
        <v>6.22</v>
      </c>
      <c r="D12" s="8" t="n"/>
      <c r="E12" s="8">
        <f>SUMIFS(CB_Tributaires!$C:$C,CB_Tributaires!$B:$B,$A12)</f>
        <v/>
      </c>
      <c r="F12" s="8">
        <f>IF(D12="",E12,D12)</f>
        <v/>
      </c>
      <c r="G12" s="4" t="inlineStr"/>
      <c r="H12" s="8" t="inlineStr"/>
      <c r="I12" s="8">
        <f>IF(A12="","",Inputs!$B$13/((IF(H12="",Inputs!$B$18,H12)+Inputs!$B$14)^Inputs!$B$15))</f>
        <v/>
      </c>
      <c r="J12" s="8">
        <f>IF(A12="","",0.00278*IF(G12="",Inputs!$B$17,G12)*F12*I12)</f>
        <v/>
      </c>
      <c r="K12" s="8">
        <f>IF(A12="","",SUMIFS($L$4:$L$203,$B$4:$B$203,$A12))</f>
        <v/>
      </c>
      <c r="L12" s="8">
        <f>IF(A12="","",(J12+K12)*Inputs!$B$16)</f>
        <v/>
      </c>
      <c r="M12" s="8" t="inlineStr"/>
      <c r="N12" s="8">
        <f>IF(A12="","",IF(M12="",Inputs!$B$7,M12))</f>
        <v/>
      </c>
      <c r="O12" s="4">
        <f>IF(A12="","",IF(L12/Inputs!$B$10&lt;=AD12,Inputs!$F$5,IF(L12/Inputs!$B$10&gt;AM12,"OVERSIZE",INDEX(Inputs!$F$5:$F$14,MATCH(L12/Inputs!$B$10,AD12:AM12,1)+1))))</f>
        <v/>
      </c>
      <c r="P12" s="4" t="n"/>
      <c r="Q12" s="4">
        <f>IF(A12="","",IF(P12="",O12,P12))</f>
        <v/>
      </c>
      <c r="R12" s="8">
        <f>IF(OR(Q12="",Q12="OVERSIZE"),"",Q12/1000)</f>
        <v/>
      </c>
      <c r="S12" s="8">
        <f>IF(R12="","",(1/Inputs!$B$9)*(PI()*R12^2/4)*((R12/4)^(2/3))*SQRT(N12))</f>
        <v/>
      </c>
      <c r="T12" s="8">
        <f>IF(OR(S12="",L12=""),"",L12/(S12*Inputs!$B$10))</f>
        <v/>
      </c>
      <c r="U12" s="8">
        <f>IF(OR(R12="",L12=""),"",4*L12/(PI()*R12^2))</f>
        <v/>
      </c>
      <c r="V12" s="8" t="inlineStr"/>
      <c r="W12" s="8">
        <f>IF(A12="","",IF(A12=Inputs!$B$6,Inputs!$B$22,IF(B12="","",IFERROR(INDEX($X$4:$X$203,MATCH(B12,$A$4:$A$203,0))+IF(V12="",Inputs!$B$20,V12),""))))</f>
        <v/>
      </c>
      <c r="X12" s="8">
        <f>IF(OR(W12="",N12="",C12=""),"",W12+N12*C12)</f>
        <v/>
      </c>
      <c r="Y12" s="8" t="n"/>
      <c r="Z12" s="8" t="n"/>
      <c r="AA12" s="8">
        <f>IF(OR(Y12="",W12=""),"",Y12-W12)</f>
        <v/>
      </c>
      <c r="AB12" s="8">
        <f>IF(OR(Z12="",X12=""),"",Z12-X12)</f>
        <v/>
      </c>
      <c r="AC12" s="4">
        <f>IF(A12="","",IF(OR(T12&gt;1,U12&lt;Inputs!$B$11,U12&gt;Inputs!$B$12,AA12&lt;Inputs!$B$19,AB12&lt;Inputs!$B$19,N12&lt;Inputs!$B$7,N12&gt;Inputs!$B$8),"CHECK","OK"))</f>
        <v/>
      </c>
      <c r="AD12" s="4">
        <f>IF(A12="","",(1/Inputs!$B$9)*(PI()*(Inputs!$F$5/1000)^2/4)*((Inputs!$F$5/1000/4)^(2/3))*SQRT(N12))</f>
        <v/>
      </c>
      <c r="AE12" s="4">
        <f>IF(A12="","",(1/Inputs!$B$9)*(PI()*(Inputs!$F$6/1000)^2/4)*((Inputs!$F$6/1000/4)^(2/3))*SQRT(N12))</f>
        <v/>
      </c>
      <c r="AF12" s="4">
        <f>IF(A12="","",(1/Inputs!$B$9)*(PI()*(Inputs!$F$7/1000)^2/4)*((Inputs!$F$7/1000/4)^(2/3))*SQRT(N12))</f>
        <v/>
      </c>
      <c r="AG12" s="4">
        <f>IF(A12="","",(1/Inputs!$B$9)*(PI()*(Inputs!$F$8/1000)^2/4)*((Inputs!$F$8/1000/4)^(2/3))*SQRT(N12))</f>
        <v/>
      </c>
      <c r="AH12" s="4">
        <f>IF(A12="","",(1/Inputs!$B$9)*(PI()*(Inputs!$F$9/1000)^2/4)*((Inputs!$F$9/1000/4)^(2/3))*SQRT(N12))</f>
        <v/>
      </c>
      <c r="AI12" s="4">
        <f>IF(A12="","",(1/Inputs!$B$9)*(PI()*(Inputs!$F$10/1000)^2/4)*((Inputs!$F$10/1000/4)^(2/3))*SQRT(N12))</f>
        <v/>
      </c>
      <c r="AJ12" s="4">
        <f>IF(A12="","",(1/Inputs!$B$9)*(PI()*(Inputs!$F$11/1000)^2/4)*((Inputs!$F$11/1000/4)^(2/3))*SQRT(N12))</f>
        <v/>
      </c>
      <c r="AK12" s="4">
        <f>IF(A12="","",(1/Inputs!$B$9)*(PI()*(Inputs!$F$12/1000)^2/4)*((Inputs!$F$12/1000/4)^(2/3))*SQRT(N12))</f>
        <v/>
      </c>
      <c r="AL12" s="4">
        <f>IF(A12="","",(1/Inputs!$B$9)*(PI()*(Inputs!$F$13/1000)^2/4)*((Inputs!$F$13/1000/4)^(2/3))*SQRT(N12))</f>
        <v/>
      </c>
      <c r="AM12" s="4">
        <f>IF(A12="","",(1/Inputs!$B$9)*(PI()*(Inputs!$F$14/1000)^2/4)*((Inputs!$F$14/1000/4)^(2/3))*SQRT(N12))</f>
        <v/>
      </c>
    </row>
    <row r="13">
      <c r="A13" s="4" t="inlineStr">
        <is>
          <t>P06</t>
        </is>
      </c>
      <c r="B13" s="4" t="inlineStr">
        <is>
          <t>P_OUT</t>
        </is>
      </c>
      <c r="C13" s="8" t="n">
        <v>9.050000000000001</v>
      </c>
      <c r="D13" s="8" t="n"/>
      <c r="E13" s="8">
        <f>SUMIFS(CB_Tributaires!$C:$C,CB_Tributaires!$B:$B,$A13)</f>
        <v/>
      </c>
      <c r="F13" s="8">
        <f>IF(D13="",E13,D13)</f>
        <v/>
      </c>
      <c r="G13" s="4" t="inlineStr"/>
      <c r="H13" s="8" t="inlineStr"/>
      <c r="I13" s="8">
        <f>IF(A13="","",Inputs!$B$13/((IF(H13="",Inputs!$B$18,H13)+Inputs!$B$14)^Inputs!$B$15))</f>
        <v/>
      </c>
      <c r="J13" s="8">
        <f>IF(A13="","",0.00278*IF(G13="",Inputs!$B$17,G13)*F13*I13)</f>
        <v/>
      </c>
      <c r="K13" s="8">
        <f>IF(A13="","",SUMIFS($L$4:$L$203,$B$4:$B$203,$A13))</f>
        <v/>
      </c>
      <c r="L13" s="8">
        <f>IF(A13="","",(J13+K13)*Inputs!$B$16)</f>
        <v/>
      </c>
      <c r="M13" s="8" t="inlineStr"/>
      <c r="N13" s="8">
        <f>IF(A13="","",IF(M13="",Inputs!$B$7,M13))</f>
        <v/>
      </c>
      <c r="O13" s="4">
        <f>IF(A13="","",IF(L13/Inputs!$B$10&lt;=AD13,Inputs!$F$5,IF(L13/Inputs!$B$10&gt;AM13,"OVERSIZE",INDEX(Inputs!$F$5:$F$14,MATCH(L13/Inputs!$B$10,AD13:AM13,1)+1))))</f>
        <v/>
      </c>
      <c r="P13" s="4" t="n"/>
      <c r="Q13" s="4">
        <f>IF(A13="","",IF(P13="",O13,P13))</f>
        <v/>
      </c>
      <c r="R13" s="8">
        <f>IF(OR(Q13="",Q13="OVERSIZE"),"",Q13/1000)</f>
        <v/>
      </c>
      <c r="S13" s="8">
        <f>IF(R13="","",(1/Inputs!$B$9)*(PI()*R13^2/4)*((R13/4)^(2/3))*SQRT(N13))</f>
        <v/>
      </c>
      <c r="T13" s="8">
        <f>IF(OR(S13="",L13=""),"",L13/(S13*Inputs!$B$10))</f>
        <v/>
      </c>
      <c r="U13" s="8">
        <f>IF(OR(R13="",L13=""),"",4*L13/(PI()*R13^2))</f>
        <v/>
      </c>
      <c r="V13" s="8" t="inlineStr"/>
      <c r="W13" s="8">
        <f>IF(A13="","",IF(A13=Inputs!$B$6,Inputs!$B$22,IF(B13="","",IFERROR(INDEX($X$4:$X$203,MATCH(B13,$A$4:$A$203,0))+IF(V13="",Inputs!$B$20,V13),""))))</f>
        <v/>
      </c>
      <c r="X13" s="8">
        <f>IF(OR(W13="",N13="",C13=""),"",W13+N13*C13)</f>
        <v/>
      </c>
      <c r="Y13" s="8" t="n"/>
      <c r="Z13" s="8" t="n"/>
      <c r="AA13" s="8">
        <f>IF(OR(Y13="",W13=""),"",Y13-W13)</f>
        <v/>
      </c>
      <c r="AB13" s="8">
        <f>IF(OR(Z13="",X13=""),"",Z13-X13)</f>
        <v/>
      </c>
      <c r="AC13" s="4">
        <f>IF(A13="","",IF(OR(T13&gt;1,U13&lt;Inputs!$B$11,U13&gt;Inputs!$B$12,AA13&lt;Inputs!$B$19,AB13&lt;Inputs!$B$19,N13&lt;Inputs!$B$7,N13&gt;Inputs!$B$8),"CHECK","OK"))</f>
        <v/>
      </c>
      <c r="AD13" s="4">
        <f>IF(A13="","",(1/Inputs!$B$9)*(PI()*(Inputs!$F$5/1000)^2/4)*((Inputs!$F$5/1000/4)^(2/3))*SQRT(N13))</f>
        <v/>
      </c>
      <c r="AE13" s="4">
        <f>IF(A13="","",(1/Inputs!$B$9)*(PI()*(Inputs!$F$6/1000)^2/4)*((Inputs!$F$6/1000/4)^(2/3))*SQRT(N13))</f>
        <v/>
      </c>
      <c r="AF13" s="4">
        <f>IF(A13="","",(1/Inputs!$B$9)*(PI()*(Inputs!$F$7/1000)^2/4)*((Inputs!$F$7/1000/4)^(2/3))*SQRT(N13))</f>
        <v/>
      </c>
      <c r="AG13" s="4">
        <f>IF(A13="","",(1/Inputs!$B$9)*(PI()*(Inputs!$F$8/1000)^2/4)*((Inputs!$F$8/1000/4)^(2/3))*SQRT(N13))</f>
        <v/>
      </c>
      <c r="AH13" s="4">
        <f>IF(A13="","",(1/Inputs!$B$9)*(PI()*(Inputs!$F$9/1000)^2/4)*((Inputs!$F$9/1000/4)^(2/3))*SQRT(N13))</f>
        <v/>
      </c>
      <c r="AI13" s="4">
        <f>IF(A13="","",(1/Inputs!$B$9)*(PI()*(Inputs!$F$10/1000)^2/4)*((Inputs!$F$10/1000/4)^(2/3))*SQRT(N13))</f>
        <v/>
      </c>
      <c r="AJ13" s="4">
        <f>IF(A13="","",(1/Inputs!$B$9)*(PI()*(Inputs!$F$11/1000)^2/4)*((Inputs!$F$11/1000/4)^(2/3))*SQRT(N13))</f>
        <v/>
      </c>
      <c r="AK13" s="4">
        <f>IF(A13="","",(1/Inputs!$B$9)*(PI()*(Inputs!$F$12/1000)^2/4)*((Inputs!$F$12/1000/4)^(2/3))*SQRT(N13))</f>
        <v/>
      </c>
      <c r="AL13" s="4">
        <f>IF(A13="","",(1/Inputs!$B$9)*(PI()*(Inputs!$F$13/1000)^2/4)*((Inputs!$F$13/1000/4)^(2/3))*SQRT(N13))</f>
        <v/>
      </c>
      <c r="AM13" s="4">
        <f>IF(A13="","",(1/Inputs!$B$9)*(PI()*(Inputs!$F$14/1000)^2/4)*((Inputs!$F$14/1000/4)^(2/3))*SQRT(N13))</f>
        <v/>
      </c>
    </row>
    <row r="14">
      <c r="A14" s="4" t="inlineStr">
        <is>
          <t>P_OUT</t>
        </is>
      </c>
      <c r="B14" s="4" t="inlineStr"/>
      <c r="C14" s="8" t="n">
        <v>4.5</v>
      </c>
      <c r="D14" s="8" t="n"/>
      <c r="E14" s="8">
        <f>SUMIFS(CB_Tributaires!$C:$C,CB_Tributaires!$B:$B,$A14)</f>
        <v/>
      </c>
      <c r="F14" s="8">
        <f>IF(D14="",E14,D14)</f>
        <v/>
      </c>
      <c r="G14" s="4" t="inlineStr"/>
      <c r="H14" s="8" t="inlineStr"/>
      <c r="I14" s="8">
        <f>IF(A14="","",Inputs!$B$13/((IF(H14="",Inputs!$B$18,H14)+Inputs!$B$14)^Inputs!$B$15))</f>
        <v/>
      </c>
      <c r="J14" s="8">
        <f>IF(A14="","",0.00278*IF(G14="",Inputs!$B$17,G14)*F14*I14)</f>
        <v/>
      </c>
      <c r="K14" s="8">
        <f>IF(A14="","",SUMIFS($L$4:$L$203,$B$4:$B$203,$A14))</f>
        <v/>
      </c>
      <c r="L14" s="8">
        <f>IF(A14="","",(J14+K14)*Inputs!$B$16)</f>
        <v/>
      </c>
      <c r="M14" s="8" t="inlineStr"/>
      <c r="N14" s="8">
        <f>IF(A14="","",IF(M14="",Inputs!$B$7,M14))</f>
        <v/>
      </c>
      <c r="O14" s="4">
        <f>IF(A14="","",IF(L14/Inputs!$B$10&lt;=AD14,Inputs!$F$5,IF(L14/Inputs!$B$10&gt;AM14,"OVERSIZE",INDEX(Inputs!$F$5:$F$14,MATCH(L14/Inputs!$B$10,AD14:AM14,1)+1))))</f>
        <v/>
      </c>
      <c r="P14" s="4" t="n"/>
      <c r="Q14" s="4">
        <f>IF(A14="","",IF(P14="",O14,P14))</f>
        <v/>
      </c>
      <c r="R14" s="8">
        <f>IF(OR(Q14="",Q14="OVERSIZE"),"",Q14/1000)</f>
        <v/>
      </c>
      <c r="S14" s="8">
        <f>IF(R14="","",(1/Inputs!$B$9)*(PI()*R14^2/4)*((R14/4)^(2/3))*SQRT(N14))</f>
        <v/>
      </c>
      <c r="T14" s="8">
        <f>IF(OR(S14="",L14=""),"",L14/(S14*Inputs!$B$10))</f>
        <v/>
      </c>
      <c r="U14" s="8">
        <f>IF(OR(R14="",L14=""),"",4*L14/(PI()*R14^2))</f>
        <v/>
      </c>
      <c r="V14" s="8" t="inlineStr"/>
      <c r="W14" s="8">
        <f>IF(A14="","",IF(A14=Inputs!$B$6,Inputs!$B$22,IF(B14="","",IFERROR(INDEX($X$4:$X$203,MATCH(B14,$A$4:$A$203,0))+IF(V14="",Inputs!$B$20,V14),""))))</f>
        <v/>
      </c>
      <c r="X14" s="8">
        <f>IF(OR(W14="",N14="",C14=""),"",W14+N14*C14)</f>
        <v/>
      </c>
      <c r="Y14" s="8" t="n"/>
      <c r="Z14" s="8" t="n"/>
      <c r="AA14" s="8">
        <f>IF(OR(Y14="",W14=""),"",Y14-W14)</f>
        <v/>
      </c>
      <c r="AB14" s="8">
        <f>IF(OR(Z14="",X14=""),"",Z14-X14)</f>
        <v/>
      </c>
      <c r="AC14" s="4">
        <f>IF(A14="","",IF(OR(T14&gt;1,U14&lt;Inputs!$B$11,U14&gt;Inputs!$B$12,AA14&lt;Inputs!$B$19,AB14&lt;Inputs!$B$19,N14&lt;Inputs!$B$7,N14&gt;Inputs!$B$8),"CHECK","OK"))</f>
        <v/>
      </c>
      <c r="AD14" s="4">
        <f>IF(A14="","",(1/Inputs!$B$9)*(PI()*(Inputs!$F$5/1000)^2/4)*((Inputs!$F$5/1000/4)^(2/3))*SQRT(N14))</f>
        <v/>
      </c>
      <c r="AE14" s="4">
        <f>IF(A14="","",(1/Inputs!$B$9)*(PI()*(Inputs!$F$6/1000)^2/4)*((Inputs!$F$6/1000/4)^(2/3))*SQRT(N14))</f>
        <v/>
      </c>
      <c r="AF14" s="4">
        <f>IF(A14="","",(1/Inputs!$B$9)*(PI()*(Inputs!$F$7/1000)^2/4)*((Inputs!$F$7/1000/4)^(2/3))*SQRT(N14))</f>
        <v/>
      </c>
      <c r="AG14" s="4">
        <f>IF(A14="","",(1/Inputs!$B$9)*(PI()*(Inputs!$F$8/1000)^2/4)*((Inputs!$F$8/1000/4)^(2/3))*SQRT(N14))</f>
        <v/>
      </c>
      <c r="AH14" s="4">
        <f>IF(A14="","",(1/Inputs!$B$9)*(PI()*(Inputs!$F$9/1000)^2/4)*((Inputs!$F$9/1000/4)^(2/3))*SQRT(N14))</f>
        <v/>
      </c>
      <c r="AI14" s="4">
        <f>IF(A14="","",(1/Inputs!$B$9)*(PI()*(Inputs!$F$10/1000)^2/4)*((Inputs!$F$10/1000/4)^(2/3))*SQRT(N14))</f>
        <v/>
      </c>
      <c r="AJ14" s="4">
        <f>IF(A14="","",(1/Inputs!$B$9)*(PI()*(Inputs!$F$11/1000)^2/4)*((Inputs!$F$11/1000/4)^(2/3))*SQRT(N14))</f>
        <v/>
      </c>
      <c r="AK14" s="4">
        <f>IF(A14="","",(1/Inputs!$B$9)*(PI()*(Inputs!$F$12/1000)^2/4)*((Inputs!$F$12/1000/4)^(2/3))*SQRT(N14))</f>
        <v/>
      </c>
      <c r="AL14" s="4">
        <f>IF(A14="","",(1/Inputs!$B$9)*(PI()*(Inputs!$F$13/1000)^2/4)*((Inputs!$F$13/1000/4)^(2/3))*SQRT(N14))</f>
        <v/>
      </c>
      <c r="AM14" s="4">
        <f>IF(A14="","",(1/Inputs!$B$9)*(PI()*(Inputs!$F$14/1000)^2/4)*((Inputs!$F$14/1000/4)^(2/3))*SQRT(N14))</f>
        <v/>
      </c>
    </row>
    <row r="15">
      <c r="A15" s="4" t="n"/>
      <c r="B15" s="4" t="n"/>
      <c r="C15" s="8" t="n"/>
      <c r="D15" s="8" t="n"/>
      <c r="E15" s="8">
        <f>SUMIFS(CB_Tributaires!$C:$C,CB_Tributaires!$B:$B,$A15)</f>
        <v/>
      </c>
      <c r="F15" s="8">
        <f>IF(D15="",E15,D15)</f>
        <v/>
      </c>
      <c r="G15" s="4" t="n"/>
      <c r="H15" s="8" t="n"/>
      <c r="I15" s="8">
        <f>IF(A15="","",Inputs!$B$13/((IF(H15="",Inputs!$B$18,H15)+Inputs!$B$14)^Inputs!$B$15))</f>
        <v/>
      </c>
      <c r="J15" s="8">
        <f>IF(A15="","",0.00278*IF(G15="",Inputs!$B$17,G15)*F15*I15)</f>
        <v/>
      </c>
      <c r="K15" s="8">
        <f>IF(A15="","",SUMIFS($L$4:$L$203,$B$4:$B$203,$A15))</f>
        <v/>
      </c>
      <c r="L15" s="8">
        <f>IF(A15="","",(J15+K15)*Inputs!$B$16)</f>
        <v/>
      </c>
      <c r="M15" s="8" t="n"/>
      <c r="N15" s="8">
        <f>IF(A15="","",IF(M15="",Inputs!$B$7,M15))</f>
        <v/>
      </c>
      <c r="O15" s="4">
        <f>IF(A15="","",IF(L15/Inputs!$B$10&lt;=AD15,Inputs!$F$5,IF(L15/Inputs!$B$10&gt;AM15,"OVERSIZE",INDEX(Inputs!$F$5:$F$14,MATCH(L15/Inputs!$B$10,AD15:AM15,1)+1))))</f>
        <v/>
      </c>
      <c r="P15" s="4" t="n"/>
      <c r="Q15" s="4">
        <f>IF(A15="","",IF(P15="",O15,P15))</f>
        <v/>
      </c>
      <c r="R15" s="8">
        <f>IF(OR(Q15="",Q15="OVERSIZE"),"",Q15/1000)</f>
        <v/>
      </c>
      <c r="S15" s="8">
        <f>IF(R15="","",(1/Inputs!$B$9)*(PI()*R15^2/4)*((R15/4)^(2/3))*SQRT(N15))</f>
        <v/>
      </c>
      <c r="T15" s="8">
        <f>IF(OR(S15="",L15=""),"",L15/(S15*Inputs!$B$10))</f>
        <v/>
      </c>
      <c r="U15" s="8">
        <f>IF(OR(R15="",L15=""),"",4*L15/(PI()*R15^2))</f>
        <v/>
      </c>
      <c r="V15" s="8" t="n"/>
      <c r="W15" s="8">
        <f>IF(A15="","",IF(A15=Inputs!$B$6,Inputs!$B$22,IF(B15="","",IFERROR(INDEX($X$4:$X$203,MATCH(B15,$A$4:$A$203,0))+IF(V15="",Inputs!$B$20,V15),""))))</f>
        <v/>
      </c>
      <c r="X15" s="8">
        <f>IF(OR(W15="",N15="",C15=""),"",W15+N15*C15)</f>
        <v/>
      </c>
      <c r="Y15" s="8" t="n"/>
      <c r="Z15" s="8" t="n"/>
      <c r="AA15" s="8">
        <f>IF(OR(Y15="",W15=""),"",Y15-W15)</f>
        <v/>
      </c>
      <c r="AB15" s="8">
        <f>IF(OR(Z15="",X15=""),"",Z15-X15)</f>
        <v/>
      </c>
      <c r="AC15" s="4">
        <f>IF(A15="","",IF(OR(T15&gt;1,U15&lt;Inputs!$B$11,U15&gt;Inputs!$B$12,AA15&lt;Inputs!$B$19,AB15&lt;Inputs!$B$19,N15&lt;Inputs!$B$7,N15&gt;Inputs!$B$8),"CHECK","OK"))</f>
        <v/>
      </c>
      <c r="AD15" s="4">
        <f>IF(A15="","",(1/Inputs!$B$9)*(PI()*(Inputs!$F$5/1000)^2/4)*((Inputs!$F$5/1000/4)^(2/3))*SQRT(N15))</f>
        <v/>
      </c>
      <c r="AE15" s="4">
        <f>IF(A15="","",(1/Inputs!$B$9)*(PI()*(Inputs!$F$6/1000)^2/4)*((Inputs!$F$6/1000/4)^(2/3))*SQRT(N15))</f>
        <v/>
      </c>
      <c r="AF15" s="4">
        <f>IF(A15="","",(1/Inputs!$B$9)*(PI()*(Inputs!$F$7/1000)^2/4)*((Inputs!$F$7/1000/4)^(2/3))*SQRT(N15))</f>
        <v/>
      </c>
      <c r="AG15" s="4">
        <f>IF(A15="","",(1/Inputs!$B$9)*(PI()*(Inputs!$F$8/1000)^2/4)*((Inputs!$F$8/1000/4)^(2/3))*SQRT(N15))</f>
        <v/>
      </c>
      <c r="AH15" s="4">
        <f>IF(A15="","",(1/Inputs!$B$9)*(PI()*(Inputs!$F$9/1000)^2/4)*((Inputs!$F$9/1000/4)^(2/3))*SQRT(N15))</f>
        <v/>
      </c>
      <c r="AI15" s="4">
        <f>IF(A15="","",(1/Inputs!$B$9)*(PI()*(Inputs!$F$10/1000)^2/4)*((Inputs!$F$10/1000/4)^(2/3))*SQRT(N15))</f>
        <v/>
      </c>
      <c r="AJ15" s="4">
        <f>IF(A15="","",(1/Inputs!$B$9)*(PI()*(Inputs!$F$11/1000)^2/4)*((Inputs!$F$11/1000/4)^(2/3))*SQRT(N15))</f>
        <v/>
      </c>
      <c r="AK15" s="4">
        <f>IF(A15="","",(1/Inputs!$B$9)*(PI()*(Inputs!$F$12/1000)^2/4)*((Inputs!$F$12/1000/4)^(2/3))*SQRT(N15))</f>
        <v/>
      </c>
      <c r="AL15" s="4">
        <f>IF(A15="","",(1/Inputs!$B$9)*(PI()*(Inputs!$F$13/1000)^2/4)*((Inputs!$F$13/1000/4)^(2/3))*SQRT(N15))</f>
        <v/>
      </c>
      <c r="AM15" s="4">
        <f>IF(A15="","",(1/Inputs!$B$9)*(PI()*(Inputs!$F$14/1000)^2/4)*((Inputs!$F$14/1000/4)^(2/3))*SQRT(N15))</f>
        <v/>
      </c>
    </row>
    <row r="16">
      <c r="A16" s="4" t="n"/>
      <c r="B16" s="4" t="n"/>
      <c r="C16" s="8" t="n"/>
      <c r="D16" s="8" t="n"/>
      <c r="E16" s="8">
        <f>SUMIFS(CB_Tributaires!$C:$C,CB_Tributaires!$B:$B,$A16)</f>
        <v/>
      </c>
      <c r="F16" s="8">
        <f>IF(D16="",E16,D16)</f>
        <v/>
      </c>
      <c r="G16" s="4" t="n"/>
      <c r="H16" s="8" t="n"/>
      <c r="I16" s="8">
        <f>IF(A16="","",Inputs!$B$13/((IF(H16="",Inputs!$B$18,H16)+Inputs!$B$14)^Inputs!$B$15))</f>
        <v/>
      </c>
      <c r="J16" s="8">
        <f>IF(A16="","",0.00278*IF(G16="",Inputs!$B$17,G16)*F16*I16)</f>
        <v/>
      </c>
      <c r="K16" s="8">
        <f>IF(A16="","",SUMIFS($L$4:$L$203,$B$4:$B$203,$A16))</f>
        <v/>
      </c>
      <c r="L16" s="8">
        <f>IF(A16="","",(J16+K16)*Inputs!$B$16)</f>
        <v/>
      </c>
      <c r="M16" s="8" t="n"/>
      <c r="N16" s="8">
        <f>IF(A16="","",IF(M16="",Inputs!$B$7,M16))</f>
        <v/>
      </c>
      <c r="O16" s="4">
        <f>IF(A16="","",IF(L16/Inputs!$B$10&lt;=AD16,Inputs!$F$5,IF(L16/Inputs!$B$10&gt;AM16,"OVERSIZE",INDEX(Inputs!$F$5:$F$14,MATCH(L16/Inputs!$B$10,AD16:AM16,1)+1))))</f>
        <v/>
      </c>
      <c r="P16" s="4" t="n"/>
      <c r="Q16" s="4">
        <f>IF(A16="","",IF(P16="",O16,P16))</f>
        <v/>
      </c>
      <c r="R16" s="8">
        <f>IF(OR(Q16="",Q16="OVERSIZE"),"",Q16/1000)</f>
        <v/>
      </c>
      <c r="S16" s="8">
        <f>IF(R16="","",(1/Inputs!$B$9)*(PI()*R16^2/4)*((R16/4)^(2/3))*SQRT(N16))</f>
        <v/>
      </c>
      <c r="T16" s="8">
        <f>IF(OR(S16="",L16=""),"",L16/(S16*Inputs!$B$10))</f>
        <v/>
      </c>
      <c r="U16" s="8">
        <f>IF(OR(R16="",L16=""),"",4*L16/(PI()*R16^2))</f>
        <v/>
      </c>
      <c r="V16" s="8" t="n"/>
      <c r="W16" s="8">
        <f>IF(A16="","",IF(A16=Inputs!$B$6,Inputs!$B$22,IF(B16="","",IFERROR(INDEX($X$4:$X$203,MATCH(B16,$A$4:$A$203,0))+IF(V16="",Inputs!$B$20,V16),""))))</f>
        <v/>
      </c>
      <c r="X16" s="8">
        <f>IF(OR(W16="",N16="",C16=""),"",W16+N16*C16)</f>
        <v/>
      </c>
      <c r="Y16" s="8" t="n"/>
      <c r="Z16" s="8" t="n"/>
      <c r="AA16" s="8">
        <f>IF(OR(Y16="",W16=""),"",Y16-W16)</f>
        <v/>
      </c>
      <c r="AB16" s="8">
        <f>IF(OR(Z16="",X16=""),"",Z16-X16)</f>
        <v/>
      </c>
      <c r="AC16" s="4">
        <f>IF(A16="","",IF(OR(T16&gt;1,U16&lt;Inputs!$B$11,U16&gt;Inputs!$B$12,AA16&lt;Inputs!$B$19,AB16&lt;Inputs!$B$19,N16&lt;Inputs!$B$7,N16&gt;Inputs!$B$8),"CHECK","OK"))</f>
        <v/>
      </c>
      <c r="AD16" s="4">
        <f>IF(A16="","",(1/Inputs!$B$9)*(PI()*(Inputs!$F$5/1000)^2/4)*((Inputs!$F$5/1000/4)^(2/3))*SQRT(N16))</f>
        <v/>
      </c>
      <c r="AE16" s="4">
        <f>IF(A16="","",(1/Inputs!$B$9)*(PI()*(Inputs!$F$6/1000)^2/4)*((Inputs!$F$6/1000/4)^(2/3))*SQRT(N16))</f>
        <v/>
      </c>
      <c r="AF16" s="4">
        <f>IF(A16="","",(1/Inputs!$B$9)*(PI()*(Inputs!$F$7/1000)^2/4)*((Inputs!$F$7/1000/4)^(2/3))*SQRT(N16))</f>
        <v/>
      </c>
      <c r="AG16" s="4">
        <f>IF(A16="","",(1/Inputs!$B$9)*(PI()*(Inputs!$F$8/1000)^2/4)*((Inputs!$F$8/1000/4)^(2/3))*SQRT(N16))</f>
        <v/>
      </c>
      <c r="AH16" s="4">
        <f>IF(A16="","",(1/Inputs!$B$9)*(PI()*(Inputs!$F$9/1000)^2/4)*((Inputs!$F$9/1000/4)^(2/3))*SQRT(N16))</f>
        <v/>
      </c>
      <c r="AI16" s="4">
        <f>IF(A16="","",(1/Inputs!$B$9)*(PI()*(Inputs!$F$10/1000)^2/4)*((Inputs!$F$10/1000/4)^(2/3))*SQRT(N16))</f>
        <v/>
      </c>
      <c r="AJ16" s="4">
        <f>IF(A16="","",(1/Inputs!$B$9)*(PI()*(Inputs!$F$11/1000)^2/4)*((Inputs!$F$11/1000/4)^(2/3))*SQRT(N16))</f>
        <v/>
      </c>
      <c r="AK16" s="4">
        <f>IF(A16="","",(1/Inputs!$B$9)*(PI()*(Inputs!$F$12/1000)^2/4)*((Inputs!$F$12/1000/4)^(2/3))*SQRT(N16))</f>
        <v/>
      </c>
      <c r="AL16" s="4">
        <f>IF(A16="","",(1/Inputs!$B$9)*(PI()*(Inputs!$F$13/1000)^2/4)*((Inputs!$F$13/1000/4)^(2/3))*SQRT(N16))</f>
        <v/>
      </c>
      <c r="AM16" s="4">
        <f>IF(A16="","",(1/Inputs!$B$9)*(PI()*(Inputs!$F$14/1000)^2/4)*((Inputs!$F$14/1000/4)^(2/3))*SQRT(N16))</f>
        <v/>
      </c>
    </row>
    <row r="17">
      <c r="A17" s="4" t="n"/>
      <c r="B17" s="4" t="n"/>
      <c r="C17" s="8" t="n"/>
      <c r="D17" s="8" t="n"/>
      <c r="E17" s="8">
        <f>SUMIFS(CB_Tributaires!$C:$C,CB_Tributaires!$B:$B,$A17)</f>
        <v/>
      </c>
      <c r="F17" s="8">
        <f>IF(D17="",E17,D17)</f>
        <v/>
      </c>
      <c r="G17" s="4" t="n"/>
      <c r="H17" s="8" t="n"/>
      <c r="I17" s="8">
        <f>IF(A17="","",Inputs!$B$13/((IF(H17="",Inputs!$B$18,H17)+Inputs!$B$14)^Inputs!$B$15))</f>
        <v/>
      </c>
      <c r="J17" s="8">
        <f>IF(A17="","",0.00278*IF(G17="",Inputs!$B$17,G17)*F17*I17)</f>
        <v/>
      </c>
      <c r="K17" s="8">
        <f>IF(A17="","",SUMIFS($L$4:$L$203,$B$4:$B$203,$A17))</f>
        <v/>
      </c>
      <c r="L17" s="8">
        <f>IF(A17="","",(J17+K17)*Inputs!$B$16)</f>
        <v/>
      </c>
      <c r="M17" s="8" t="n"/>
      <c r="N17" s="8">
        <f>IF(A17="","",IF(M17="",Inputs!$B$7,M17))</f>
        <v/>
      </c>
      <c r="O17" s="4">
        <f>IF(A17="","",IF(L17/Inputs!$B$10&lt;=AD17,Inputs!$F$5,IF(L17/Inputs!$B$10&gt;AM17,"OVERSIZE",INDEX(Inputs!$F$5:$F$14,MATCH(L17/Inputs!$B$10,AD17:AM17,1)+1))))</f>
        <v/>
      </c>
      <c r="P17" s="4" t="n"/>
      <c r="Q17" s="4">
        <f>IF(A17="","",IF(P17="",O17,P17))</f>
        <v/>
      </c>
      <c r="R17" s="8">
        <f>IF(OR(Q17="",Q17="OVERSIZE"),"",Q17/1000)</f>
        <v/>
      </c>
      <c r="S17" s="8">
        <f>IF(R17="","",(1/Inputs!$B$9)*(PI()*R17^2/4)*((R17/4)^(2/3))*SQRT(N17))</f>
        <v/>
      </c>
      <c r="T17" s="8">
        <f>IF(OR(S17="",L17=""),"",L17/(S17*Inputs!$B$10))</f>
        <v/>
      </c>
      <c r="U17" s="8">
        <f>IF(OR(R17="",L17=""),"",4*L17/(PI()*R17^2))</f>
        <v/>
      </c>
      <c r="V17" s="8" t="n"/>
      <c r="W17" s="8">
        <f>IF(A17="","",IF(A17=Inputs!$B$6,Inputs!$B$22,IF(B17="","",IFERROR(INDEX($X$4:$X$203,MATCH(B17,$A$4:$A$203,0))+IF(V17="",Inputs!$B$20,V17),""))))</f>
        <v/>
      </c>
      <c r="X17" s="8">
        <f>IF(OR(W17="",N17="",C17=""),"",W17+N17*C17)</f>
        <v/>
      </c>
      <c r="Y17" s="8" t="n"/>
      <c r="Z17" s="8" t="n"/>
      <c r="AA17" s="8">
        <f>IF(OR(Y17="",W17=""),"",Y17-W17)</f>
        <v/>
      </c>
      <c r="AB17" s="8">
        <f>IF(OR(Z17="",X17=""),"",Z17-X17)</f>
        <v/>
      </c>
      <c r="AC17" s="4">
        <f>IF(A17="","",IF(OR(T17&gt;1,U17&lt;Inputs!$B$11,U17&gt;Inputs!$B$12,AA17&lt;Inputs!$B$19,AB17&lt;Inputs!$B$19,N17&lt;Inputs!$B$7,N17&gt;Inputs!$B$8),"CHECK","OK"))</f>
        <v/>
      </c>
      <c r="AD17" s="4">
        <f>IF(A17="","",(1/Inputs!$B$9)*(PI()*(Inputs!$F$5/1000)^2/4)*((Inputs!$F$5/1000/4)^(2/3))*SQRT(N17))</f>
        <v/>
      </c>
      <c r="AE17" s="4">
        <f>IF(A17="","",(1/Inputs!$B$9)*(PI()*(Inputs!$F$6/1000)^2/4)*((Inputs!$F$6/1000/4)^(2/3))*SQRT(N17))</f>
        <v/>
      </c>
      <c r="AF17" s="4">
        <f>IF(A17="","",(1/Inputs!$B$9)*(PI()*(Inputs!$F$7/1000)^2/4)*((Inputs!$F$7/1000/4)^(2/3))*SQRT(N17))</f>
        <v/>
      </c>
      <c r="AG17" s="4">
        <f>IF(A17="","",(1/Inputs!$B$9)*(PI()*(Inputs!$F$8/1000)^2/4)*((Inputs!$F$8/1000/4)^(2/3))*SQRT(N17))</f>
        <v/>
      </c>
      <c r="AH17" s="4">
        <f>IF(A17="","",(1/Inputs!$B$9)*(PI()*(Inputs!$F$9/1000)^2/4)*((Inputs!$F$9/1000/4)^(2/3))*SQRT(N17))</f>
        <v/>
      </c>
      <c r="AI17" s="4">
        <f>IF(A17="","",(1/Inputs!$B$9)*(PI()*(Inputs!$F$10/1000)^2/4)*((Inputs!$F$10/1000/4)^(2/3))*SQRT(N17))</f>
        <v/>
      </c>
      <c r="AJ17" s="4">
        <f>IF(A17="","",(1/Inputs!$B$9)*(PI()*(Inputs!$F$11/1000)^2/4)*((Inputs!$F$11/1000/4)^(2/3))*SQRT(N17))</f>
        <v/>
      </c>
      <c r="AK17" s="4">
        <f>IF(A17="","",(1/Inputs!$B$9)*(PI()*(Inputs!$F$12/1000)^2/4)*((Inputs!$F$12/1000/4)^(2/3))*SQRT(N17))</f>
        <v/>
      </c>
      <c r="AL17" s="4">
        <f>IF(A17="","",(1/Inputs!$B$9)*(PI()*(Inputs!$F$13/1000)^2/4)*((Inputs!$F$13/1000/4)^(2/3))*SQRT(N17))</f>
        <v/>
      </c>
      <c r="AM17" s="4">
        <f>IF(A17="","",(1/Inputs!$B$9)*(PI()*(Inputs!$F$14/1000)^2/4)*((Inputs!$F$14/1000/4)^(2/3))*SQRT(N17))</f>
        <v/>
      </c>
    </row>
    <row r="18">
      <c r="A18" s="4" t="n"/>
      <c r="B18" s="4" t="n"/>
      <c r="C18" s="8" t="n"/>
      <c r="D18" s="8" t="n"/>
      <c r="E18" s="8">
        <f>SUMIFS(CB_Tributaires!$C:$C,CB_Tributaires!$B:$B,$A18)</f>
        <v/>
      </c>
      <c r="F18" s="8">
        <f>IF(D18="",E18,D18)</f>
        <v/>
      </c>
      <c r="G18" s="4" t="n"/>
      <c r="H18" s="8" t="n"/>
      <c r="I18" s="8">
        <f>IF(A18="","",Inputs!$B$13/((IF(H18="",Inputs!$B$18,H18)+Inputs!$B$14)^Inputs!$B$15))</f>
        <v/>
      </c>
      <c r="J18" s="8">
        <f>IF(A18="","",0.00278*IF(G18="",Inputs!$B$17,G18)*F18*I18)</f>
        <v/>
      </c>
      <c r="K18" s="8">
        <f>IF(A18="","",SUMIFS($L$4:$L$203,$B$4:$B$203,$A18))</f>
        <v/>
      </c>
      <c r="L18" s="8">
        <f>IF(A18="","",(J18+K18)*Inputs!$B$16)</f>
        <v/>
      </c>
      <c r="M18" s="8" t="n"/>
      <c r="N18" s="8">
        <f>IF(A18="","",IF(M18="",Inputs!$B$7,M18))</f>
        <v/>
      </c>
      <c r="O18" s="4">
        <f>IF(A18="","",IF(L18/Inputs!$B$10&lt;=AD18,Inputs!$F$5,IF(L18/Inputs!$B$10&gt;AM18,"OVERSIZE",INDEX(Inputs!$F$5:$F$14,MATCH(L18/Inputs!$B$10,AD18:AM18,1)+1))))</f>
        <v/>
      </c>
      <c r="P18" s="4" t="n"/>
      <c r="Q18" s="4">
        <f>IF(A18="","",IF(P18="",O18,P18))</f>
        <v/>
      </c>
      <c r="R18" s="8">
        <f>IF(OR(Q18="",Q18="OVERSIZE"),"",Q18/1000)</f>
        <v/>
      </c>
      <c r="S18" s="8">
        <f>IF(R18="","",(1/Inputs!$B$9)*(PI()*R18^2/4)*((R18/4)^(2/3))*SQRT(N18))</f>
        <v/>
      </c>
      <c r="T18" s="8">
        <f>IF(OR(S18="",L18=""),"",L18/(S18*Inputs!$B$10))</f>
        <v/>
      </c>
      <c r="U18" s="8">
        <f>IF(OR(R18="",L18=""),"",4*L18/(PI()*R18^2))</f>
        <v/>
      </c>
      <c r="V18" s="8" t="n"/>
      <c r="W18" s="8">
        <f>IF(A18="","",IF(A18=Inputs!$B$6,Inputs!$B$22,IF(B18="","",IFERROR(INDEX($X$4:$X$203,MATCH(B18,$A$4:$A$203,0))+IF(V18="",Inputs!$B$20,V18),""))))</f>
        <v/>
      </c>
      <c r="X18" s="8">
        <f>IF(OR(W18="",N18="",C18=""),"",W18+N18*C18)</f>
        <v/>
      </c>
      <c r="Y18" s="8" t="n"/>
      <c r="Z18" s="8" t="n"/>
      <c r="AA18" s="8">
        <f>IF(OR(Y18="",W18=""),"",Y18-W18)</f>
        <v/>
      </c>
      <c r="AB18" s="8">
        <f>IF(OR(Z18="",X18=""),"",Z18-X18)</f>
        <v/>
      </c>
      <c r="AC18" s="4">
        <f>IF(A18="","",IF(OR(T18&gt;1,U18&lt;Inputs!$B$11,U18&gt;Inputs!$B$12,AA18&lt;Inputs!$B$19,AB18&lt;Inputs!$B$19,N18&lt;Inputs!$B$7,N18&gt;Inputs!$B$8),"CHECK","OK"))</f>
        <v/>
      </c>
      <c r="AD18" s="4">
        <f>IF(A18="","",(1/Inputs!$B$9)*(PI()*(Inputs!$F$5/1000)^2/4)*((Inputs!$F$5/1000/4)^(2/3))*SQRT(N18))</f>
        <v/>
      </c>
      <c r="AE18" s="4">
        <f>IF(A18="","",(1/Inputs!$B$9)*(PI()*(Inputs!$F$6/1000)^2/4)*((Inputs!$F$6/1000/4)^(2/3))*SQRT(N18))</f>
        <v/>
      </c>
      <c r="AF18" s="4">
        <f>IF(A18="","",(1/Inputs!$B$9)*(PI()*(Inputs!$F$7/1000)^2/4)*((Inputs!$F$7/1000/4)^(2/3))*SQRT(N18))</f>
        <v/>
      </c>
      <c r="AG18" s="4">
        <f>IF(A18="","",(1/Inputs!$B$9)*(PI()*(Inputs!$F$8/1000)^2/4)*((Inputs!$F$8/1000/4)^(2/3))*SQRT(N18))</f>
        <v/>
      </c>
      <c r="AH18" s="4">
        <f>IF(A18="","",(1/Inputs!$B$9)*(PI()*(Inputs!$F$9/1000)^2/4)*((Inputs!$F$9/1000/4)^(2/3))*SQRT(N18))</f>
        <v/>
      </c>
      <c r="AI18" s="4">
        <f>IF(A18="","",(1/Inputs!$B$9)*(PI()*(Inputs!$F$10/1000)^2/4)*((Inputs!$F$10/1000/4)^(2/3))*SQRT(N18))</f>
        <v/>
      </c>
      <c r="AJ18" s="4">
        <f>IF(A18="","",(1/Inputs!$B$9)*(PI()*(Inputs!$F$11/1000)^2/4)*((Inputs!$F$11/1000/4)^(2/3))*SQRT(N18))</f>
        <v/>
      </c>
      <c r="AK18" s="4">
        <f>IF(A18="","",(1/Inputs!$B$9)*(PI()*(Inputs!$F$12/1000)^2/4)*((Inputs!$F$12/1000/4)^(2/3))*SQRT(N18))</f>
        <v/>
      </c>
      <c r="AL18" s="4">
        <f>IF(A18="","",(1/Inputs!$B$9)*(PI()*(Inputs!$F$13/1000)^2/4)*((Inputs!$F$13/1000/4)^(2/3))*SQRT(N18))</f>
        <v/>
      </c>
      <c r="AM18" s="4">
        <f>IF(A18="","",(1/Inputs!$B$9)*(PI()*(Inputs!$F$14/1000)^2/4)*((Inputs!$F$14/1000/4)^(2/3))*SQRT(N18))</f>
        <v/>
      </c>
    </row>
    <row r="19">
      <c r="A19" s="4" t="n"/>
      <c r="B19" s="4" t="n"/>
      <c r="C19" s="8" t="n"/>
      <c r="D19" s="8" t="n"/>
      <c r="E19" s="8">
        <f>SUMIFS(CB_Tributaires!$C:$C,CB_Tributaires!$B:$B,$A19)</f>
        <v/>
      </c>
      <c r="F19" s="8">
        <f>IF(D19="",E19,D19)</f>
        <v/>
      </c>
      <c r="G19" s="4" t="n"/>
      <c r="H19" s="8" t="n"/>
      <c r="I19" s="8">
        <f>IF(A19="","",Inputs!$B$13/((IF(H19="",Inputs!$B$18,H19)+Inputs!$B$14)^Inputs!$B$15))</f>
        <v/>
      </c>
      <c r="J19" s="8">
        <f>IF(A19="","",0.00278*IF(G19="",Inputs!$B$17,G19)*F19*I19)</f>
        <v/>
      </c>
      <c r="K19" s="8">
        <f>IF(A19="","",SUMIFS($L$4:$L$203,$B$4:$B$203,$A19))</f>
        <v/>
      </c>
      <c r="L19" s="8">
        <f>IF(A19="","",(J19+K19)*Inputs!$B$16)</f>
        <v/>
      </c>
      <c r="M19" s="8" t="n"/>
      <c r="N19" s="8">
        <f>IF(A19="","",IF(M19="",Inputs!$B$7,M19))</f>
        <v/>
      </c>
      <c r="O19" s="4">
        <f>IF(A19="","",IF(L19/Inputs!$B$10&lt;=AD19,Inputs!$F$5,IF(L19/Inputs!$B$10&gt;AM19,"OVERSIZE",INDEX(Inputs!$F$5:$F$14,MATCH(L19/Inputs!$B$10,AD19:AM19,1)+1))))</f>
        <v/>
      </c>
      <c r="P19" s="4" t="n"/>
      <c r="Q19" s="4">
        <f>IF(A19="","",IF(P19="",O19,P19))</f>
        <v/>
      </c>
      <c r="R19" s="8">
        <f>IF(OR(Q19="",Q19="OVERSIZE"),"",Q19/1000)</f>
        <v/>
      </c>
      <c r="S19" s="8">
        <f>IF(R19="","",(1/Inputs!$B$9)*(PI()*R19^2/4)*((R19/4)^(2/3))*SQRT(N19))</f>
        <v/>
      </c>
      <c r="T19" s="8">
        <f>IF(OR(S19="",L19=""),"",L19/(S19*Inputs!$B$10))</f>
        <v/>
      </c>
      <c r="U19" s="8">
        <f>IF(OR(R19="",L19=""),"",4*L19/(PI()*R19^2))</f>
        <v/>
      </c>
      <c r="V19" s="8" t="n"/>
      <c r="W19" s="8">
        <f>IF(A19="","",IF(A19=Inputs!$B$6,Inputs!$B$22,IF(B19="","",IFERROR(INDEX($X$4:$X$203,MATCH(B19,$A$4:$A$203,0))+IF(V19="",Inputs!$B$20,V19),""))))</f>
        <v/>
      </c>
      <c r="X19" s="8">
        <f>IF(OR(W19="",N19="",C19=""),"",W19+N19*C19)</f>
        <v/>
      </c>
      <c r="Y19" s="8" t="n"/>
      <c r="Z19" s="8" t="n"/>
      <c r="AA19" s="8">
        <f>IF(OR(Y19="",W19=""),"",Y19-W19)</f>
        <v/>
      </c>
      <c r="AB19" s="8">
        <f>IF(OR(Z19="",X19=""),"",Z19-X19)</f>
        <v/>
      </c>
      <c r="AC19" s="4">
        <f>IF(A19="","",IF(OR(T19&gt;1,U19&lt;Inputs!$B$11,U19&gt;Inputs!$B$12,AA19&lt;Inputs!$B$19,AB19&lt;Inputs!$B$19,N19&lt;Inputs!$B$7,N19&gt;Inputs!$B$8),"CHECK","OK"))</f>
        <v/>
      </c>
      <c r="AD19" s="4">
        <f>IF(A19="","",(1/Inputs!$B$9)*(PI()*(Inputs!$F$5/1000)^2/4)*((Inputs!$F$5/1000/4)^(2/3))*SQRT(N19))</f>
        <v/>
      </c>
      <c r="AE19" s="4">
        <f>IF(A19="","",(1/Inputs!$B$9)*(PI()*(Inputs!$F$6/1000)^2/4)*((Inputs!$F$6/1000/4)^(2/3))*SQRT(N19))</f>
        <v/>
      </c>
      <c r="AF19" s="4">
        <f>IF(A19="","",(1/Inputs!$B$9)*(PI()*(Inputs!$F$7/1000)^2/4)*((Inputs!$F$7/1000/4)^(2/3))*SQRT(N19))</f>
        <v/>
      </c>
      <c r="AG19" s="4">
        <f>IF(A19="","",(1/Inputs!$B$9)*(PI()*(Inputs!$F$8/1000)^2/4)*((Inputs!$F$8/1000/4)^(2/3))*SQRT(N19))</f>
        <v/>
      </c>
      <c r="AH19" s="4">
        <f>IF(A19="","",(1/Inputs!$B$9)*(PI()*(Inputs!$F$9/1000)^2/4)*((Inputs!$F$9/1000/4)^(2/3))*SQRT(N19))</f>
        <v/>
      </c>
      <c r="AI19" s="4">
        <f>IF(A19="","",(1/Inputs!$B$9)*(PI()*(Inputs!$F$10/1000)^2/4)*((Inputs!$F$10/1000/4)^(2/3))*SQRT(N19))</f>
        <v/>
      </c>
      <c r="AJ19" s="4">
        <f>IF(A19="","",(1/Inputs!$B$9)*(PI()*(Inputs!$F$11/1000)^2/4)*((Inputs!$F$11/1000/4)^(2/3))*SQRT(N19))</f>
        <v/>
      </c>
      <c r="AK19" s="4">
        <f>IF(A19="","",(1/Inputs!$B$9)*(PI()*(Inputs!$F$12/1000)^2/4)*((Inputs!$F$12/1000/4)^(2/3))*SQRT(N19))</f>
        <v/>
      </c>
      <c r="AL19" s="4">
        <f>IF(A19="","",(1/Inputs!$B$9)*(PI()*(Inputs!$F$13/1000)^2/4)*((Inputs!$F$13/1000/4)^(2/3))*SQRT(N19))</f>
        <v/>
      </c>
      <c r="AM19" s="4">
        <f>IF(A19="","",(1/Inputs!$B$9)*(PI()*(Inputs!$F$14/1000)^2/4)*((Inputs!$F$14/1000/4)^(2/3))*SQRT(N19))</f>
        <v/>
      </c>
    </row>
    <row r="20">
      <c r="A20" s="4" t="n"/>
      <c r="B20" s="4" t="n"/>
      <c r="C20" s="8" t="n"/>
      <c r="D20" s="8" t="n"/>
      <c r="E20" s="8">
        <f>SUMIFS(CB_Tributaires!$C:$C,CB_Tributaires!$B:$B,$A20)</f>
        <v/>
      </c>
      <c r="F20" s="8">
        <f>IF(D20="",E20,D20)</f>
        <v/>
      </c>
      <c r="G20" s="4" t="n"/>
      <c r="H20" s="8" t="n"/>
      <c r="I20" s="8">
        <f>IF(A20="","",Inputs!$B$13/((IF(H20="",Inputs!$B$18,H20)+Inputs!$B$14)^Inputs!$B$15))</f>
        <v/>
      </c>
      <c r="J20" s="8">
        <f>IF(A20="","",0.00278*IF(G20="",Inputs!$B$17,G20)*F20*I20)</f>
        <v/>
      </c>
      <c r="K20" s="8">
        <f>IF(A20="","",SUMIFS($L$4:$L$203,$B$4:$B$203,$A20))</f>
        <v/>
      </c>
      <c r="L20" s="8">
        <f>IF(A20="","",(J20+K20)*Inputs!$B$16)</f>
        <v/>
      </c>
      <c r="M20" s="8" t="n"/>
      <c r="N20" s="8">
        <f>IF(A20="","",IF(M20="",Inputs!$B$7,M20))</f>
        <v/>
      </c>
      <c r="O20" s="4">
        <f>IF(A20="","",IF(L20/Inputs!$B$10&lt;=AD20,Inputs!$F$5,IF(L20/Inputs!$B$10&gt;AM20,"OVERSIZE",INDEX(Inputs!$F$5:$F$14,MATCH(L20/Inputs!$B$10,AD20:AM20,1)+1))))</f>
        <v/>
      </c>
      <c r="P20" s="4" t="n"/>
      <c r="Q20" s="4">
        <f>IF(A20="","",IF(P20="",O20,P20))</f>
        <v/>
      </c>
      <c r="R20" s="8">
        <f>IF(OR(Q20="",Q20="OVERSIZE"),"",Q20/1000)</f>
        <v/>
      </c>
      <c r="S20" s="8">
        <f>IF(R20="","",(1/Inputs!$B$9)*(PI()*R20^2/4)*((R20/4)^(2/3))*SQRT(N20))</f>
        <v/>
      </c>
      <c r="T20" s="8">
        <f>IF(OR(S20="",L20=""),"",L20/(S20*Inputs!$B$10))</f>
        <v/>
      </c>
      <c r="U20" s="8">
        <f>IF(OR(R20="",L20=""),"",4*L20/(PI()*R20^2))</f>
        <v/>
      </c>
      <c r="V20" s="8" t="n"/>
      <c r="W20" s="8">
        <f>IF(A20="","",IF(A20=Inputs!$B$6,Inputs!$B$22,IF(B20="","",IFERROR(INDEX($X$4:$X$203,MATCH(B20,$A$4:$A$203,0))+IF(V20="",Inputs!$B$20,V20),""))))</f>
        <v/>
      </c>
      <c r="X20" s="8">
        <f>IF(OR(W20="",N20="",C20=""),"",W20+N20*C20)</f>
        <v/>
      </c>
      <c r="Y20" s="8" t="n"/>
      <c r="Z20" s="8" t="n"/>
      <c r="AA20" s="8">
        <f>IF(OR(Y20="",W20=""),"",Y20-W20)</f>
        <v/>
      </c>
      <c r="AB20" s="8">
        <f>IF(OR(Z20="",X20=""),"",Z20-X20)</f>
        <v/>
      </c>
      <c r="AC20" s="4">
        <f>IF(A20="","",IF(OR(T20&gt;1,U20&lt;Inputs!$B$11,U20&gt;Inputs!$B$12,AA20&lt;Inputs!$B$19,AB20&lt;Inputs!$B$19,N20&lt;Inputs!$B$7,N20&gt;Inputs!$B$8),"CHECK","OK"))</f>
        <v/>
      </c>
      <c r="AD20" s="4">
        <f>IF(A20="","",(1/Inputs!$B$9)*(PI()*(Inputs!$F$5/1000)^2/4)*((Inputs!$F$5/1000/4)^(2/3))*SQRT(N20))</f>
        <v/>
      </c>
      <c r="AE20" s="4">
        <f>IF(A20="","",(1/Inputs!$B$9)*(PI()*(Inputs!$F$6/1000)^2/4)*((Inputs!$F$6/1000/4)^(2/3))*SQRT(N20))</f>
        <v/>
      </c>
      <c r="AF20" s="4">
        <f>IF(A20="","",(1/Inputs!$B$9)*(PI()*(Inputs!$F$7/1000)^2/4)*((Inputs!$F$7/1000/4)^(2/3))*SQRT(N20))</f>
        <v/>
      </c>
      <c r="AG20" s="4">
        <f>IF(A20="","",(1/Inputs!$B$9)*(PI()*(Inputs!$F$8/1000)^2/4)*((Inputs!$F$8/1000/4)^(2/3))*SQRT(N20))</f>
        <v/>
      </c>
      <c r="AH20" s="4">
        <f>IF(A20="","",(1/Inputs!$B$9)*(PI()*(Inputs!$F$9/1000)^2/4)*((Inputs!$F$9/1000/4)^(2/3))*SQRT(N20))</f>
        <v/>
      </c>
      <c r="AI20" s="4">
        <f>IF(A20="","",(1/Inputs!$B$9)*(PI()*(Inputs!$F$10/1000)^2/4)*((Inputs!$F$10/1000/4)^(2/3))*SQRT(N20))</f>
        <v/>
      </c>
      <c r="AJ20" s="4">
        <f>IF(A20="","",(1/Inputs!$B$9)*(PI()*(Inputs!$F$11/1000)^2/4)*((Inputs!$F$11/1000/4)^(2/3))*SQRT(N20))</f>
        <v/>
      </c>
      <c r="AK20" s="4">
        <f>IF(A20="","",(1/Inputs!$B$9)*(PI()*(Inputs!$F$12/1000)^2/4)*((Inputs!$F$12/1000/4)^(2/3))*SQRT(N20))</f>
        <v/>
      </c>
      <c r="AL20" s="4">
        <f>IF(A20="","",(1/Inputs!$B$9)*(PI()*(Inputs!$F$13/1000)^2/4)*((Inputs!$F$13/1000/4)^(2/3))*SQRT(N20))</f>
        <v/>
      </c>
      <c r="AM20" s="4">
        <f>IF(A20="","",(1/Inputs!$B$9)*(PI()*(Inputs!$F$14/1000)^2/4)*((Inputs!$F$14/1000/4)^(2/3))*SQRT(N20))</f>
        <v/>
      </c>
    </row>
    <row r="21">
      <c r="A21" s="4" t="n"/>
      <c r="B21" s="4" t="n"/>
      <c r="C21" s="8" t="n"/>
      <c r="D21" s="8" t="n"/>
      <c r="E21" s="8">
        <f>SUMIFS(CB_Tributaires!$C:$C,CB_Tributaires!$B:$B,$A21)</f>
        <v/>
      </c>
      <c r="F21" s="8">
        <f>IF(D21="",E21,D21)</f>
        <v/>
      </c>
      <c r="G21" s="4" t="n"/>
      <c r="H21" s="8" t="n"/>
      <c r="I21" s="8">
        <f>IF(A21="","",Inputs!$B$13/((IF(H21="",Inputs!$B$18,H21)+Inputs!$B$14)^Inputs!$B$15))</f>
        <v/>
      </c>
      <c r="J21" s="8">
        <f>IF(A21="","",0.00278*IF(G21="",Inputs!$B$17,G21)*F21*I21)</f>
        <v/>
      </c>
      <c r="K21" s="8">
        <f>IF(A21="","",SUMIFS($L$4:$L$203,$B$4:$B$203,$A21))</f>
        <v/>
      </c>
      <c r="L21" s="8">
        <f>IF(A21="","",(J21+K21)*Inputs!$B$16)</f>
        <v/>
      </c>
      <c r="M21" s="8" t="n"/>
      <c r="N21" s="8">
        <f>IF(A21="","",IF(M21="",Inputs!$B$7,M21))</f>
        <v/>
      </c>
      <c r="O21" s="4">
        <f>IF(A21="","",IF(L21/Inputs!$B$10&lt;=AD21,Inputs!$F$5,IF(L21/Inputs!$B$10&gt;AM21,"OVERSIZE",INDEX(Inputs!$F$5:$F$14,MATCH(L21/Inputs!$B$10,AD21:AM21,1)+1))))</f>
        <v/>
      </c>
      <c r="P21" s="4" t="n"/>
      <c r="Q21" s="4">
        <f>IF(A21="","",IF(P21="",O21,P21))</f>
        <v/>
      </c>
      <c r="R21" s="8">
        <f>IF(OR(Q21="",Q21="OVERSIZE"),"",Q21/1000)</f>
        <v/>
      </c>
      <c r="S21" s="8">
        <f>IF(R21="","",(1/Inputs!$B$9)*(PI()*R21^2/4)*((R21/4)^(2/3))*SQRT(N21))</f>
        <v/>
      </c>
      <c r="T21" s="8">
        <f>IF(OR(S21="",L21=""),"",L21/(S21*Inputs!$B$10))</f>
        <v/>
      </c>
      <c r="U21" s="8">
        <f>IF(OR(R21="",L21=""),"",4*L21/(PI()*R21^2))</f>
        <v/>
      </c>
      <c r="V21" s="8" t="n"/>
      <c r="W21" s="8">
        <f>IF(A21="","",IF(A21=Inputs!$B$6,Inputs!$B$22,IF(B21="","",IFERROR(INDEX($X$4:$X$203,MATCH(B21,$A$4:$A$203,0))+IF(V21="",Inputs!$B$20,V21),""))))</f>
        <v/>
      </c>
      <c r="X21" s="8">
        <f>IF(OR(W21="",N21="",C21=""),"",W21+N21*C21)</f>
        <v/>
      </c>
      <c r="Y21" s="8" t="n"/>
      <c r="Z21" s="8" t="n"/>
      <c r="AA21" s="8">
        <f>IF(OR(Y21="",W21=""),"",Y21-W21)</f>
        <v/>
      </c>
      <c r="AB21" s="8">
        <f>IF(OR(Z21="",X21=""),"",Z21-X21)</f>
        <v/>
      </c>
      <c r="AC21" s="4">
        <f>IF(A21="","",IF(OR(T21&gt;1,U21&lt;Inputs!$B$11,U21&gt;Inputs!$B$12,AA21&lt;Inputs!$B$19,AB21&lt;Inputs!$B$19,N21&lt;Inputs!$B$7,N21&gt;Inputs!$B$8),"CHECK","OK"))</f>
        <v/>
      </c>
      <c r="AD21" s="4">
        <f>IF(A21="","",(1/Inputs!$B$9)*(PI()*(Inputs!$F$5/1000)^2/4)*((Inputs!$F$5/1000/4)^(2/3))*SQRT(N21))</f>
        <v/>
      </c>
      <c r="AE21" s="4">
        <f>IF(A21="","",(1/Inputs!$B$9)*(PI()*(Inputs!$F$6/1000)^2/4)*((Inputs!$F$6/1000/4)^(2/3))*SQRT(N21))</f>
        <v/>
      </c>
      <c r="AF21" s="4">
        <f>IF(A21="","",(1/Inputs!$B$9)*(PI()*(Inputs!$F$7/1000)^2/4)*((Inputs!$F$7/1000/4)^(2/3))*SQRT(N21))</f>
        <v/>
      </c>
      <c r="AG21" s="4">
        <f>IF(A21="","",(1/Inputs!$B$9)*(PI()*(Inputs!$F$8/1000)^2/4)*((Inputs!$F$8/1000/4)^(2/3))*SQRT(N21))</f>
        <v/>
      </c>
      <c r="AH21" s="4">
        <f>IF(A21="","",(1/Inputs!$B$9)*(PI()*(Inputs!$F$9/1000)^2/4)*((Inputs!$F$9/1000/4)^(2/3))*SQRT(N21))</f>
        <v/>
      </c>
      <c r="AI21" s="4">
        <f>IF(A21="","",(1/Inputs!$B$9)*(PI()*(Inputs!$F$10/1000)^2/4)*((Inputs!$F$10/1000/4)^(2/3))*SQRT(N21))</f>
        <v/>
      </c>
      <c r="AJ21" s="4">
        <f>IF(A21="","",(1/Inputs!$B$9)*(PI()*(Inputs!$F$11/1000)^2/4)*((Inputs!$F$11/1000/4)^(2/3))*SQRT(N21))</f>
        <v/>
      </c>
      <c r="AK21" s="4">
        <f>IF(A21="","",(1/Inputs!$B$9)*(PI()*(Inputs!$F$12/1000)^2/4)*((Inputs!$F$12/1000/4)^(2/3))*SQRT(N21))</f>
        <v/>
      </c>
      <c r="AL21" s="4">
        <f>IF(A21="","",(1/Inputs!$B$9)*(PI()*(Inputs!$F$13/1000)^2/4)*((Inputs!$F$13/1000/4)^(2/3))*SQRT(N21))</f>
        <v/>
      </c>
      <c r="AM21" s="4">
        <f>IF(A21="","",(1/Inputs!$B$9)*(PI()*(Inputs!$F$14/1000)^2/4)*((Inputs!$F$14/1000/4)^(2/3))*SQRT(N21))</f>
        <v/>
      </c>
    </row>
    <row r="22">
      <c r="A22" s="4" t="n"/>
      <c r="B22" s="4" t="n"/>
      <c r="C22" s="8" t="n"/>
      <c r="D22" s="8" t="n"/>
      <c r="E22" s="8">
        <f>SUMIFS(CB_Tributaires!$C:$C,CB_Tributaires!$B:$B,$A22)</f>
        <v/>
      </c>
      <c r="F22" s="8">
        <f>IF(D22="",E22,D22)</f>
        <v/>
      </c>
      <c r="G22" s="4" t="n"/>
      <c r="H22" s="8" t="n"/>
      <c r="I22" s="8">
        <f>IF(A22="","",Inputs!$B$13/((IF(H22="",Inputs!$B$18,H22)+Inputs!$B$14)^Inputs!$B$15))</f>
        <v/>
      </c>
      <c r="J22" s="8">
        <f>IF(A22="","",0.00278*IF(G22="",Inputs!$B$17,G22)*F22*I22)</f>
        <v/>
      </c>
      <c r="K22" s="8">
        <f>IF(A22="","",SUMIFS($L$4:$L$203,$B$4:$B$203,$A22))</f>
        <v/>
      </c>
      <c r="L22" s="8">
        <f>IF(A22="","",(J22+K22)*Inputs!$B$16)</f>
        <v/>
      </c>
      <c r="M22" s="8" t="n"/>
      <c r="N22" s="8">
        <f>IF(A22="","",IF(M22="",Inputs!$B$7,M22))</f>
        <v/>
      </c>
      <c r="O22" s="4">
        <f>IF(A22="","",IF(L22/Inputs!$B$10&lt;=AD22,Inputs!$F$5,IF(L22/Inputs!$B$10&gt;AM22,"OVERSIZE",INDEX(Inputs!$F$5:$F$14,MATCH(L22/Inputs!$B$10,AD22:AM22,1)+1))))</f>
        <v/>
      </c>
      <c r="P22" s="4" t="n"/>
      <c r="Q22" s="4">
        <f>IF(A22="","",IF(P22="",O22,P22))</f>
        <v/>
      </c>
      <c r="R22" s="8">
        <f>IF(OR(Q22="",Q22="OVERSIZE"),"",Q22/1000)</f>
        <v/>
      </c>
      <c r="S22" s="8">
        <f>IF(R22="","",(1/Inputs!$B$9)*(PI()*R22^2/4)*((R22/4)^(2/3))*SQRT(N22))</f>
        <v/>
      </c>
      <c r="T22" s="8">
        <f>IF(OR(S22="",L22=""),"",L22/(S22*Inputs!$B$10))</f>
        <v/>
      </c>
      <c r="U22" s="8">
        <f>IF(OR(R22="",L22=""),"",4*L22/(PI()*R22^2))</f>
        <v/>
      </c>
      <c r="V22" s="8" t="n"/>
      <c r="W22" s="8">
        <f>IF(A22="","",IF(A22=Inputs!$B$6,Inputs!$B$22,IF(B22="","",IFERROR(INDEX($X$4:$X$203,MATCH(B22,$A$4:$A$203,0))+IF(V22="",Inputs!$B$20,V22),""))))</f>
        <v/>
      </c>
      <c r="X22" s="8">
        <f>IF(OR(W22="",N22="",C22=""),"",W22+N22*C22)</f>
        <v/>
      </c>
      <c r="Y22" s="8" t="n"/>
      <c r="Z22" s="8" t="n"/>
      <c r="AA22" s="8">
        <f>IF(OR(Y22="",W22=""),"",Y22-W22)</f>
        <v/>
      </c>
      <c r="AB22" s="8">
        <f>IF(OR(Z22="",X22=""),"",Z22-X22)</f>
        <v/>
      </c>
      <c r="AC22" s="4">
        <f>IF(A22="","",IF(OR(T22&gt;1,U22&lt;Inputs!$B$11,U22&gt;Inputs!$B$12,AA22&lt;Inputs!$B$19,AB22&lt;Inputs!$B$19,N22&lt;Inputs!$B$7,N22&gt;Inputs!$B$8),"CHECK","OK"))</f>
        <v/>
      </c>
      <c r="AD22" s="4">
        <f>IF(A22="","",(1/Inputs!$B$9)*(PI()*(Inputs!$F$5/1000)^2/4)*((Inputs!$F$5/1000/4)^(2/3))*SQRT(N22))</f>
        <v/>
      </c>
      <c r="AE22" s="4">
        <f>IF(A22="","",(1/Inputs!$B$9)*(PI()*(Inputs!$F$6/1000)^2/4)*((Inputs!$F$6/1000/4)^(2/3))*SQRT(N22))</f>
        <v/>
      </c>
      <c r="AF22" s="4">
        <f>IF(A22="","",(1/Inputs!$B$9)*(PI()*(Inputs!$F$7/1000)^2/4)*((Inputs!$F$7/1000/4)^(2/3))*SQRT(N22))</f>
        <v/>
      </c>
      <c r="AG22" s="4">
        <f>IF(A22="","",(1/Inputs!$B$9)*(PI()*(Inputs!$F$8/1000)^2/4)*((Inputs!$F$8/1000/4)^(2/3))*SQRT(N22))</f>
        <v/>
      </c>
      <c r="AH22" s="4">
        <f>IF(A22="","",(1/Inputs!$B$9)*(PI()*(Inputs!$F$9/1000)^2/4)*((Inputs!$F$9/1000/4)^(2/3))*SQRT(N22))</f>
        <v/>
      </c>
      <c r="AI22" s="4">
        <f>IF(A22="","",(1/Inputs!$B$9)*(PI()*(Inputs!$F$10/1000)^2/4)*((Inputs!$F$10/1000/4)^(2/3))*SQRT(N22))</f>
        <v/>
      </c>
      <c r="AJ22" s="4">
        <f>IF(A22="","",(1/Inputs!$B$9)*(PI()*(Inputs!$F$11/1000)^2/4)*((Inputs!$F$11/1000/4)^(2/3))*SQRT(N22))</f>
        <v/>
      </c>
      <c r="AK22" s="4">
        <f>IF(A22="","",(1/Inputs!$B$9)*(PI()*(Inputs!$F$12/1000)^2/4)*((Inputs!$F$12/1000/4)^(2/3))*SQRT(N22))</f>
        <v/>
      </c>
      <c r="AL22" s="4">
        <f>IF(A22="","",(1/Inputs!$B$9)*(PI()*(Inputs!$F$13/1000)^2/4)*((Inputs!$F$13/1000/4)^(2/3))*SQRT(N22))</f>
        <v/>
      </c>
      <c r="AM22" s="4">
        <f>IF(A22="","",(1/Inputs!$B$9)*(PI()*(Inputs!$F$14/1000)^2/4)*((Inputs!$F$14/1000/4)^(2/3))*SQRT(N22))</f>
        <v/>
      </c>
    </row>
    <row r="23">
      <c r="A23" s="4" t="n"/>
      <c r="B23" s="4" t="n"/>
      <c r="C23" s="8" t="n"/>
      <c r="D23" s="8" t="n"/>
      <c r="E23" s="8">
        <f>SUMIFS(CB_Tributaires!$C:$C,CB_Tributaires!$B:$B,$A23)</f>
        <v/>
      </c>
      <c r="F23" s="8">
        <f>IF(D23="",E23,D23)</f>
        <v/>
      </c>
      <c r="G23" s="4" t="n"/>
      <c r="H23" s="8" t="n"/>
      <c r="I23" s="8">
        <f>IF(A23="","",Inputs!$B$13/((IF(H23="",Inputs!$B$18,H23)+Inputs!$B$14)^Inputs!$B$15))</f>
        <v/>
      </c>
      <c r="J23" s="8">
        <f>IF(A23="","",0.00278*IF(G23="",Inputs!$B$17,G23)*F23*I23)</f>
        <v/>
      </c>
      <c r="K23" s="8">
        <f>IF(A23="","",SUMIFS($L$4:$L$203,$B$4:$B$203,$A23))</f>
        <v/>
      </c>
      <c r="L23" s="8">
        <f>IF(A23="","",(J23+K23)*Inputs!$B$16)</f>
        <v/>
      </c>
      <c r="M23" s="8" t="n"/>
      <c r="N23" s="8">
        <f>IF(A23="","",IF(M23="",Inputs!$B$7,M23))</f>
        <v/>
      </c>
      <c r="O23" s="4">
        <f>IF(A23="","",IF(L23/Inputs!$B$10&lt;=AD23,Inputs!$F$5,IF(L23/Inputs!$B$10&gt;AM23,"OVERSIZE",INDEX(Inputs!$F$5:$F$14,MATCH(L23/Inputs!$B$10,AD23:AM23,1)+1))))</f>
        <v/>
      </c>
      <c r="P23" s="4" t="n"/>
      <c r="Q23" s="4">
        <f>IF(A23="","",IF(P23="",O23,P23))</f>
        <v/>
      </c>
      <c r="R23" s="8">
        <f>IF(OR(Q23="",Q23="OVERSIZE"),"",Q23/1000)</f>
        <v/>
      </c>
      <c r="S23" s="8">
        <f>IF(R23="","",(1/Inputs!$B$9)*(PI()*R23^2/4)*((R23/4)^(2/3))*SQRT(N23))</f>
        <v/>
      </c>
      <c r="T23" s="8">
        <f>IF(OR(S23="",L23=""),"",L23/(S23*Inputs!$B$10))</f>
        <v/>
      </c>
      <c r="U23" s="8">
        <f>IF(OR(R23="",L23=""),"",4*L23/(PI()*R23^2))</f>
        <v/>
      </c>
      <c r="V23" s="8" t="n"/>
      <c r="W23" s="8">
        <f>IF(A23="","",IF(A23=Inputs!$B$6,Inputs!$B$22,IF(B23="","",IFERROR(INDEX($X$4:$X$203,MATCH(B23,$A$4:$A$203,0))+IF(V23="",Inputs!$B$20,V23),""))))</f>
        <v/>
      </c>
      <c r="X23" s="8">
        <f>IF(OR(W23="",N23="",C23=""),"",W23+N23*C23)</f>
        <v/>
      </c>
      <c r="Y23" s="8" t="n"/>
      <c r="Z23" s="8" t="n"/>
      <c r="AA23" s="8">
        <f>IF(OR(Y23="",W23=""),"",Y23-W23)</f>
        <v/>
      </c>
      <c r="AB23" s="8">
        <f>IF(OR(Z23="",X23=""),"",Z23-X23)</f>
        <v/>
      </c>
      <c r="AC23" s="4">
        <f>IF(A23="","",IF(OR(T23&gt;1,U23&lt;Inputs!$B$11,U23&gt;Inputs!$B$12,AA23&lt;Inputs!$B$19,AB23&lt;Inputs!$B$19,N23&lt;Inputs!$B$7,N23&gt;Inputs!$B$8),"CHECK","OK"))</f>
        <v/>
      </c>
      <c r="AD23" s="4">
        <f>IF(A23="","",(1/Inputs!$B$9)*(PI()*(Inputs!$F$5/1000)^2/4)*((Inputs!$F$5/1000/4)^(2/3))*SQRT(N23))</f>
        <v/>
      </c>
      <c r="AE23" s="4">
        <f>IF(A23="","",(1/Inputs!$B$9)*(PI()*(Inputs!$F$6/1000)^2/4)*((Inputs!$F$6/1000/4)^(2/3))*SQRT(N23))</f>
        <v/>
      </c>
      <c r="AF23" s="4">
        <f>IF(A23="","",(1/Inputs!$B$9)*(PI()*(Inputs!$F$7/1000)^2/4)*((Inputs!$F$7/1000/4)^(2/3))*SQRT(N23))</f>
        <v/>
      </c>
      <c r="AG23" s="4">
        <f>IF(A23="","",(1/Inputs!$B$9)*(PI()*(Inputs!$F$8/1000)^2/4)*((Inputs!$F$8/1000/4)^(2/3))*SQRT(N23))</f>
        <v/>
      </c>
      <c r="AH23" s="4">
        <f>IF(A23="","",(1/Inputs!$B$9)*(PI()*(Inputs!$F$9/1000)^2/4)*((Inputs!$F$9/1000/4)^(2/3))*SQRT(N23))</f>
        <v/>
      </c>
      <c r="AI23" s="4">
        <f>IF(A23="","",(1/Inputs!$B$9)*(PI()*(Inputs!$F$10/1000)^2/4)*((Inputs!$F$10/1000/4)^(2/3))*SQRT(N23))</f>
        <v/>
      </c>
      <c r="AJ23" s="4">
        <f>IF(A23="","",(1/Inputs!$B$9)*(PI()*(Inputs!$F$11/1000)^2/4)*((Inputs!$F$11/1000/4)^(2/3))*SQRT(N23))</f>
        <v/>
      </c>
      <c r="AK23" s="4">
        <f>IF(A23="","",(1/Inputs!$B$9)*(PI()*(Inputs!$F$12/1000)^2/4)*((Inputs!$F$12/1000/4)^(2/3))*SQRT(N23))</f>
        <v/>
      </c>
      <c r="AL23" s="4">
        <f>IF(A23="","",(1/Inputs!$B$9)*(PI()*(Inputs!$F$13/1000)^2/4)*((Inputs!$F$13/1000/4)^(2/3))*SQRT(N23))</f>
        <v/>
      </c>
      <c r="AM23" s="4">
        <f>IF(A23="","",(1/Inputs!$B$9)*(PI()*(Inputs!$F$14/1000)^2/4)*((Inputs!$F$14/1000/4)^(2/3))*SQRT(N23))</f>
        <v/>
      </c>
    </row>
    <row r="24">
      <c r="A24" s="4" t="n"/>
      <c r="B24" s="4" t="n"/>
      <c r="C24" s="8" t="n"/>
      <c r="D24" s="8" t="n"/>
      <c r="E24" s="8">
        <f>SUMIFS(CB_Tributaires!$C:$C,CB_Tributaires!$B:$B,$A24)</f>
        <v/>
      </c>
      <c r="F24" s="8">
        <f>IF(D24="",E24,D24)</f>
        <v/>
      </c>
      <c r="G24" s="4" t="n"/>
      <c r="H24" s="8" t="n"/>
      <c r="I24" s="8">
        <f>IF(A24="","",Inputs!$B$13/((IF(H24="",Inputs!$B$18,H24)+Inputs!$B$14)^Inputs!$B$15))</f>
        <v/>
      </c>
      <c r="J24" s="8">
        <f>IF(A24="","",0.00278*IF(G24="",Inputs!$B$17,G24)*F24*I24)</f>
        <v/>
      </c>
      <c r="K24" s="8">
        <f>IF(A24="","",SUMIFS($L$4:$L$203,$B$4:$B$203,$A24))</f>
        <v/>
      </c>
      <c r="L24" s="8">
        <f>IF(A24="","",(J24+K24)*Inputs!$B$16)</f>
        <v/>
      </c>
      <c r="M24" s="8" t="n"/>
      <c r="N24" s="8">
        <f>IF(A24="","",IF(M24="",Inputs!$B$7,M24))</f>
        <v/>
      </c>
      <c r="O24" s="4">
        <f>IF(A24="","",IF(L24/Inputs!$B$10&lt;=AD24,Inputs!$F$5,IF(L24/Inputs!$B$10&gt;AM24,"OVERSIZE",INDEX(Inputs!$F$5:$F$14,MATCH(L24/Inputs!$B$10,AD24:AM24,1)+1))))</f>
        <v/>
      </c>
      <c r="P24" s="4" t="n"/>
      <c r="Q24" s="4">
        <f>IF(A24="","",IF(P24="",O24,P24))</f>
        <v/>
      </c>
      <c r="R24" s="8">
        <f>IF(OR(Q24="",Q24="OVERSIZE"),"",Q24/1000)</f>
        <v/>
      </c>
      <c r="S24" s="8">
        <f>IF(R24="","",(1/Inputs!$B$9)*(PI()*R24^2/4)*((R24/4)^(2/3))*SQRT(N24))</f>
        <v/>
      </c>
      <c r="T24" s="8">
        <f>IF(OR(S24="",L24=""),"",L24/(S24*Inputs!$B$10))</f>
        <v/>
      </c>
      <c r="U24" s="8">
        <f>IF(OR(R24="",L24=""),"",4*L24/(PI()*R24^2))</f>
        <v/>
      </c>
      <c r="V24" s="8" t="n"/>
      <c r="W24" s="8">
        <f>IF(A24="","",IF(A24=Inputs!$B$6,Inputs!$B$22,IF(B24="","",IFERROR(INDEX($X$4:$X$203,MATCH(B24,$A$4:$A$203,0))+IF(V24="",Inputs!$B$20,V24),""))))</f>
        <v/>
      </c>
      <c r="X24" s="8">
        <f>IF(OR(W24="",N24="",C24=""),"",W24+N24*C24)</f>
        <v/>
      </c>
      <c r="Y24" s="8" t="n"/>
      <c r="Z24" s="8" t="n"/>
      <c r="AA24" s="8">
        <f>IF(OR(Y24="",W24=""),"",Y24-W24)</f>
        <v/>
      </c>
      <c r="AB24" s="8">
        <f>IF(OR(Z24="",X24=""),"",Z24-X24)</f>
        <v/>
      </c>
      <c r="AC24" s="4">
        <f>IF(A24="","",IF(OR(T24&gt;1,U24&lt;Inputs!$B$11,U24&gt;Inputs!$B$12,AA24&lt;Inputs!$B$19,AB24&lt;Inputs!$B$19,N24&lt;Inputs!$B$7,N24&gt;Inputs!$B$8),"CHECK","OK"))</f>
        <v/>
      </c>
      <c r="AD24" s="4">
        <f>IF(A24="","",(1/Inputs!$B$9)*(PI()*(Inputs!$F$5/1000)^2/4)*((Inputs!$F$5/1000/4)^(2/3))*SQRT(N24))</f>
        <v/>
      </c>
      <c r="AE24" s="4">
        <f>IF(A24="","",(1/Inputs!$B$9)*(PI()*(Inputs!$F$6/1000)^2/4)*((Inputs!$F$6/1000/4)^(2/3))*SQRT(N24))</f>
        <v/>
      </c>
      <c r="AF24" s="4">
        <f>IF(A24="","",(1/Inputs!$B$9)*(PI()*(Inputs!$F$7/1000)^2/4)*((Inputs!$F$7/1000/4)^(2/3))*SQRT(N24))</f>
        <v/>
      </c>
      <c r="AG24" s="4">
        <f>IF(A24="","",(1/Inputs!$B$9)*(PI()*(Inputs!$F$8/1000)^2/4)*((Inputs!$F$8/1000/4)^(2/3))*SQRT(N24))</f>
        <v/>
      </c>
      <c r="AH24" s="4">
        <f>IF(A24="","",(1/Inputs!$B$9)*(PI()*(Inputs!$F$9/1000)^2/4)*((Inputs!$F$9/1000/4)^(2/3))*SQRT(N24))</f>
        <v/>
      </c>
      <c r="AI24" s="4">
        <f>IF(A24="","",(1/Inputs!$B$9)*(PI()*(Inputs!$F$10/1000)^2/4)*((Inputs!$F$10/1000/4)^(2/3))*SQRT(N24))</f>
        <v/>
      </c>
      <c r="AJ24" s="4">
        <f>IF(A24="","",(1/Inputs!$B$9)*(PI()*(Inputs!$F$11/1000)^2/4)*((Inputs!$F$11/1000/4)^(2/3))*SQRT(N24))</f>
        <v/>
      </c>
      <c r="AK24" s="4">
        <f>IF(A24="","",(1/Inputs!$B$9)*(PI()*(Inputs!$F$12/1000)^2/4)*((Inputs!$F$12/1000/4)^(2/3))*SQRT(N24))</f>
        <v/>
      </c>
      <c r="AL24" s="4">
        <f>IF(A24="","",(1/Inputs!$B$9)*(PI()*(Inputs!$F$13/1000)^2/4)*((Inputs!$F$13/1000/4)^(2/3))*SQRT(N24))</f>
        <v/>
      </c>
      <c r="AM24" s="4">
        <f>IF(A24="","",(1/Inputs!$B$9)*(PI()*(Inputs!$F$14/1000)^2/4)*((Inputs!$F$14/1000/4)^(2/3))*SQRT(N24))</f>
        <v/>
      </c>
    </row>
    <row r="25">
      <c r="A25" s="4" t="n"/>
      <c r="B25" s="4" t="n"/>
      <c r="C25" s="8" t="n"/>
      <c r="D25" s="8" t="n"/>
      <c r="E25" s="8">
        <f>SUMIFS(CB_Tributaires!$C:$C,CB_Tributaires!$B:$B,$A25)</f>
        <v/>
      </c>
      <c r="F25" s="8">
        <f>IF(D25="",E25,D25)</f>
        <v/>
      </c>
      <c r="G25" s="4" t="n"/>
      <c r="H25" s="8" t="n"/>
      <c r="I25" s="8">
        <f>IF(A25="","",Inputs!$B$13/((IF(H25="",Inputs!$B$18,H25)+Inputs!$B$14)^Inputs!$B$15))</f>
        <v/>
      </c>
      <c r="J25" s="8">
        <f>IF(A25="","",0.00278*IF(G25="",Inputs!$B$17,G25)*F25*I25)</f>
        <v/>
      </c>
      <c r="K25" s="8">
        <f>IF(A25="","",SUMIFS($L$4:$L$203,$B$4:$B$203,$A25))</f>
        <v/>
      </c>
      <c r="L25" s="8">
        <f>IF(A25="","",(J25+K25)*Inputs!$B$16)</f>
        <v/>
      </c>
      <c r="M25" s="8" t="n"/>
      <c r="N25" s="8">
        <f>IF(A25="","",IF(M25="",Inputs!$B$7,M25))</f>
        <v/>
      </c>
      <c r="O25" s="4">
        <f>IF(A25="","",IF(L25/Inputs!$B$10&lt;=AD25,Inputs!$F$5,IF(L25/Inputs!$B$10&gt;AM25,"OVERSIZE",INDEX(Inputs!$F$5:$F$14,MATCH(L25/Inputs!$B$10,AD25:AM25,1)+1))))</f>
        <v/>
      </c>
      <c r="P25" s="4" t="n"/>
      <c r="Q25" s="4">
        <f>IF(A25="","",IF(P25="",O25,P25))</f>
        <v/>
      </c>
      <c r="R25" s="8">
        <f>IF(OR(Q25="",Q25="OVERSIZE"),"",Q25/1000)</f>
        <v/>
      </c>
      <c r="S25" s="8">
        <f>IF(R25="","",(1/Inputs!$B$9)*(PI()*R25^2/4)*((R25/4)^(2/3))*SQRT(N25))</f>
        <v/>
      </c>
      <c r="T25" s="8">
        <f>IF(OR(S25="",L25=""),"",L25/(S25*Inputs!$B$10))</f>
        <v/>
      </c>
      <c r="U25" s="8">
        <f>IF(OR(R25="",L25=""),"",4*L25/(PI()*R25^2))</f>
        <v/>
      </c>
      <c r="V25" s="8" t="n"/>
      <c r="W25" s="8">
        <f>IF(A25="","",IF(A25=Inputs!$B$6,Inputs!$B$22,IF(B25="","",IFERROR(INDEX($X$4:$X$203,MATCH(B25,$A$4:$A$203,0))+IF(V25="",Inputs!$B$20,V25),""))))</f>
        <v/>
      </c>
      <c r="X25" s="8">
        <f>IF(OR(W25="",N25="",C25=""),"",W25+N25*C25)</f>
        <v/>
      </c>
      <c r="Y25" s="8" t="n"/>
      <c r="Z25" s="8" t="n"/>
      <c r="AA25" s="8">
        <f>IF(OR(Y25="",W25=""),"",Y25-W25)</f>
        <v/>
      </c>
      <c r="AB25" s="8">
        <f>IF(OR(Z25="",X25=""),"",Z25-X25)</f>
        <v/>
      </c>
      <c r="AC25" s="4">
        <f>IF(A25="","",IF(OR(T25&gt;1,U25&lt;Inputs!$B$11,U25&gt;Inputs!$B$12,AA25&lt;Inputs!$B$19,AB25&lt;Inputs!$B$19,N25&lt;Inputs!$B$7,N25&gt;Inputs!$B$8),"CHECK","OK"))</f>
        <v/>
      </c>
      <c r="AD25" s="4">
        <f>IF(A25="","",(1/Inputs!$B$9)*(PI()*(Inputs!$F$5/1000)^2/4)*((Inputs!$F$5/1000/4)^(2/3))*SQRT(N25))</f>
        <v/>
      </c>
      <c r="AE25" s="4">
        <f>IF(A25="","",(1/Inputs!$B$9)*(PI()*(Inputs!$F$6/1000)^2/4)*((Inputs!$F$6/1000/4)^(2/3))*SQRT(N25))</f>
        <v/>
      </c>
      <c r="AF25" s="4">
        <f>IF(A25="","",(1/Inputs!$B$9)*(PI()*(Inputs!$F$7/1000)^2/4)*((Inputs!$F$7/1000/4)^(2/3))*SQRT(N25))</f>
        <v/>
      </c>
      <c r="AG25" s="4">
        <f>IF(A25="","",(1/Inputs!$B$9)*(PI()*(Inputs!$F$8/1000)^2/4)*((Inputs!$F$8/1000/4)^(2/3))*SQRT(N25))</f>
        <v/>
      </c>
      <c r="AH25" s="4">
        <f>IF(A25="","",(1/Inputs!$B$9)*(PI()*(Inputs!$F$9/1000)^2/4)*((Inputs!$F$9/1000/4)^(2/3))*SQRT(N25))</f>
        <v/>
      </c>
      <c r="AI25" s="4">
        <f>IF(A25="","",(1/Inputs!$B$9)*(PI()*(Inputs!$F$10/1000)^2/4)*((Inputs!$F$10/1000/4)^(2/3))*SQRT(N25))</f>
        <v/>
      </c>
      <c r="AJ25" s="4">
        <f>IF(A25="","",(1/Inputs!$B$9)*(PI()*(Inputs!$F$11/1000)^2/4)*((Inputs!$F$11/1000/4)^(2/3))*SQRT(N25))</f>
        <v/>
      </c>
      <c r="AK25" s="4">
        <f>IF(A25="","",(1/Inputs!$B$9)*(PI()*(Inputs!$F$12/1000)^2/4)*((Inputs!$F$12/1000/4)^(2/3))*SQRT(N25))</f>
        <v/>
      </c>
      <c r="AL25" s="4">
        <f>IF(A25="","",(1/Inputs!$B$9)*(PI()*(Inputs!$F$13/1000)^2/4)*((Inputs!$F$13/1000/4)^(2/3))*SQRT(N25))</f>
        <v/>
      </c>
      <c r="AM25" s="4">
        <f>IF(A25="","",(1/Inputs!$B$9)*(PI()*(Inputs!$F$14/1000)^2/4)*((Inputs!$F$14/1000/4)^(2/3))*SQRT(N25))</f>
        <v/>
      </c>
    </row>
    <row r="26">
      <c r="A26" s="4" t="n"/>
      <c r="B26" s="4" t="n"/>
      <c r="C26" s="8" t="n"/>
      <c r="D26" s="8" t="n"/>
      <c r="E26" s="8">
        <f>SUMIFS(CB_Tributaires!$C:$C,CB_Tributaires!$B:$B,$A26)</f>
        <v/>
      </c>
      <c r="F26" s="8">
        <f>IF(D26="",E26,D26)</f>
        <v/>
      </c>
      <c r="G26" s="4" t="n"/>
      <c r="H26" s="8" t="n"/>
      <c r="I26" s="8">
        <f>IF(A26="","",Inputs!$B$13/((IF(H26="",Inputs!$B$18,H26)+Inputs!$B$14)^Inputs!$B$15))</f>
        <v/>
      </c>
      <c r="J26" s="8">
        <f>IF(A26="","",0.00278*IF(G26="",Inputs!$B$17,G26)*F26*I26)</f>
        <v/>
      </c>
      <c r="K26" s="8">
        <f>IF(A26="","",SUMIFS($L$4:$L$203,$B$4:$B$203,$A26))</f>
        <v/>
      </c>
      <c r="L26" s="8">
        <f>IF(A26="","",(J26+K26)*Inputs!$B$16)</f>
        <v/>
      </c>
      <c r="M26" s="8" t="n"/>
      <c r="N26" s="8">
        <f>IF(A26="","",IF(M26="",Inputs!$B$7,M26))</f>
        <v/>
      </c>
      <c r="O26" s="4">
        <f>IF(A26="","",IF(L26/Inputs!$B$10&lt;=AD26,Inputs!$F$5,IF(L26/Inputs!$B$10&gt;AM26,"OVERSIZE",INDEX(Inputs!$F$5:$F$14,MATCH(L26/Inputs!$B$10,AD26:AM26,1)+1))))</f>
        <v/>
      </c>
      <c r="P26" s="4" t="n"/>
      <c r="Q26" s="4">
        <f>IF(A26="","",IF(P26="",O26,P26))</f>
        <v/>
      </c>
      <c r="R26" s="8">
        <f>IF(OR(Q26="",Q26="OVERSIZE"),"",Q26/1000)</f>
        <v/>
      </c>
      <c r="S26" s="8">
        <f>IF(R26="","",(1/Inputs!$B$9)*(PI()*R26^2/4)*((R26/4)^(2/3))*SQRT(N26))</f>
        <v/>
      </c>
      <c r="T26" s="8">
        <f>IF(OR(S26="",L26=""),"",L26/(S26*Inputs!$B$10))</f>
        <v/>
      </c>
      <c r="U26" s="8">
        <f>IF(OR(R26="",L26=""),"",4*L26/(PI()*R26^2))</f>
        <v/>
      </c>
      <c r="V26" s="8" t="n"/>
      <c r="W26" s="8">
        <f>IF(A26="","",IF(A26=Inputs!$B$6,Inputs!$B$22,IF(B26="","",IFERROR(INDEX($X$4:$X$203,MATCH(B26,$A$4:$A$203,0))+IF(V26="",Inputs!$B$20,V26),""))))</f>
        <v/>
      </c>
      <c r="X26" s="8">
        <f>IF(OR(W26="",N26="",C26=""),"",W26+N26*C26)</f>
        <v/>
      </c>
      <c r="Y26" s="8" t="n"/>
      <c r="Z26" s="8" t="n"/>
      <c r="AA26" s="8">
        <f>IF(OR(Y26="",W26=""),"",Y26-W26)</f>
        <v/>
      </c>
      <c r="AB26" s="8">
        <f>IF(OR(Z26="",X26=""),"",Z26-X26)</f>
        <v/>
      </c>
      <c r="AC26" s="4">
        <f>IF(A26="","",IF(OR(T26&gt;1,U26&lt;Inputs!$B$11,U26&gt;Inputs!$B$12,AA26&lt;Inputs!$B$19,AB26&lt;Inputs!$B$19,N26&lt;Inputs!$B$7,N26&gt;Inputs!$B$8),"CHECK","OK"))</f>
        <v/>
      </c>
      <c r="AD26" s="4">
        <f>IF(A26="","",(1/Inputs!$B$9)*(PI()*(Inputs!$F$5/1000)^2/4)*((Inputs!$F$5/1000/4)^(2/3))*SQRT(N26))</f>
        <v/>
      </c>
      <c r="AE26" s="4">
        <f>IF(A26="","",(1/Inputs!$B$9)*(PI()*(Inputs!$F$6/1000)^2/4)*((Inputs!$F$6/1000/4)^(2/3))*SQRT(N26))</f>
        <v/>
      </c>
      <c r="AF26" s="4">
        <f>IF(A26="","",(1/Inputs!$B$9)*(PI()*(Inputs!$F$7/1000)^2/4)*((Inputs!$F$7/1000/4)^(2/3))*SQRT(N26))</f>
        <v/>
      </c>
      <c r="AG26" s="4">
        <f>IF(A26="","",(1/Inputs!$B$9)*(PI()*(Inputs!$F$8/1000)^2/4)*((Inputs!$F$8/1000/4)^(2/3))*SQRT(N26))</f>
        <v/>
      </c>
      <c r="AH26" s="4">
        <f>IF(A26="","",(1/Inputs!$B$9)*(PI()*(Inputs!$F$9/1000)^2/4)*((Inputs!$F$9/1000/4)^(2/3))*SQRT(N26))</f>
        <v/>
      </c>
      <c r="AI26" s="4">
        <f>IF(A26="","",(1/Inputs!$B$9)*(PI()*(Inputs!$F$10/1000)^2/4)*((Inputs!$F$10/1000/4)^(2/3))*SQRT(N26))</f>
        <v/>
      </c>
      <c r="AJ26" s="4">
        <f>IF(A26="","",(1/Inputs!$B$9)*(PI()*(Inputs!$F$11/1000)^2/4)*((Inputs!$F$11/1000/4)^(2/3))*SQRT(N26))</f>
        <v/>
      </c>
      <c r="AK26" s="4">
        <f>IF(A26="","",(1/Inputs!$B$9)*(PI()*(Inputs!$F$12/1000)^2/4)*((Inputs!$F$12/1000/4)^(2/3))*SQRT(N26))</f>
        <v/>
      </c>
      <c r="AL26" s="4">
        <f>IF(A26="","",(1/Inputs!$B$9)*(PI()*(Inputs!$F$13/1000)^2/4)*((Inputs!$F$13/1000/4)^(2/3))*SQRT(N26))</f>
        <v/>
      </c>
      <c r="AM26" s="4">
        <f>IF(A26="","",(1/Inputs!$B$9)*(PI()*(Inputs!$F$14/1000)^2/4)*((Inputs!$F$14/1000/4)^(2/3))*SQRT(N26))</f>
        <v/>
      </c>
    </row>
    <row r="27">
      <c r="A27" s="4" t="n"/>
      <c r="B27" s="4" t="n"/>
      <c r="C27" s="8" t="n"/>
      <c r="D27" s="8" t="n"/>
      <c r="E27" s="8">
        <f>SUMIFS(CB_Tributaires!$C:$C,CB_Tributaires!$B:$B,$A27)</f>
        <v/>
      </c>
      <c r="F27" s="8">
        <f>IF(D27="",E27,D27)</f>
        <v/>
      </c>
      <c r="G27" s="4" t="n"/>
      <c r="H27" s="8" t="n"/>
      <c r="I27" s="8">
        <f>IF(A27="","",Inputs!$B$13/((IF(H27="",Inputs!$B$18,H27)+Inputs!$B$14)^Inputs!$B$15))</f>
        <v/>
      </c>
      <c r="J27" s="8">
        <f>IF(A27="","",0.00278*IF(G27="",Inputs!$B$17,G27)*F27*I27)</f>
        <v/>
      </c>
      <c r="K27" s="8">
        <f>IF(A27="","",SUMIFS($L$4:$L$203,$B$4:$B$203,$A27))</f>
        <v/>
      </c>
      <c r="L27" s="8">
        <f>IF(A27="","",(J27+K27)*Inputs!$B$16)</f>
        <v/>
      </c>
      <c r="M27" s="8" t="n"/>
      <c r="N27" s="8">
        <f>IF(A27="","",IF(M27="",Inputs!$B$7,M27))</f>
        <v/>
      </c>
      <c r="O27" s="4">
        <f>IF(A27="","",IF(L27/Inputs!$B$10&lt;=AD27,Inputs!$F$5,IF(L27/Inputs!$B$10&gt;AM27,"OVERSIZE",INDEX(Inputs!$F$5:$F$14,MATCH(L27/Inputs!$B$10,AD27:AM27,1)+1))))</f>
        <v/>
      </c>
      <c r="P27" s="4" t="n"/>
      <c r="Q27" s="4">
        <f>IF(A27="","",IF(P27="",O27,P27))</f>
        <v/>
      </c>
      <c r="R27" s="8">
        <f>IF(OR(Q27="",Q27="OVERSIZE"),"",Q27/1000)</f>
        <v/>
      </c>
      <c r="S27" s="8">
        <f>IF(R27="","",(1/Inputs!$B$9)*(PI()*R27^2/4)*((R27/4)^(2/3))*SQRT(N27))</f>
        <v/>
      </c>
      <c r="T27" s="8">
        <f>IF(OR(S27="",L27=""),"",L27/(S27*Inputs!$B$10))</f>
        <v/>
      </c>
      <c r="U27" s="8">
        <f>IF(OR(R27="",L27=""),"",4*L27/(PI()*R27^2))</f>
        <v/>
      </c>
      <c r="V27" s="8" t="n"/>
      <c r="W27" s="8">
        <f>IF(A27="","",IF(A27=Inputs!$B$6,Inputs!$B$22,IF(B27="","",IFERROR(INDEX($X$4:$X$203,MATCH(B27,$A$4:$A$203,0))+IF(V27="",Inputs!$B$20,V27),""))))</f>
        <v/>
      </c>
      <c r="X27" s="8">
        <f>IF(OR(W27="",N27="",C27=""),"",W27+N27*C27)</f>
        <v/>
      </c>
      <c r="Y27" s="8" t="n"/>
      <c r="Z27" s="8" t="n"/>
      <c r="AA27" s="8">
        <f>IF(OR(Y27="",W27=""),"",Y27-W27)</f>
        <v/>
      </c>
      <c r="AB27" s="8">
        <f>IF(OR(Z27="",X27=""),"",Z27-X27)</f>
        <v/>
      </c>
      <c r="AC27" s="4">
        <f>IF(A27="","",IF(OR(T27&gt;1,U27&lt;Inputs!$B$11,U27&gt;Inputs!$B$12,AA27&lt;Inputs!$B$19,AB27&lt;Inputs!$B$19,N27&lt;Inputs!$B$7,N27&gt;Inputs!$B$8),"CHECK","OK"))</f>
        <v/>
      </c>
      <c r="AD27" s="4">
        <f>IF(A27="","",(1/Inputs!$B$9)*(PI()*(Inputs!$F$5/1000)^2/4)*((Inputs!$F$5/1000/4)^(2/3))*SQRT(N27))</f>
        <v/>
      </c>
      <c r="AE27" s="4">
        <f>IF(A27="","",(1/Inputs!$B$9)*(PI()*(Inputs!$F$6/1000)^2/4)*((Inputs!$F$6/1000/4)^(2/3))*SQRT(N27))</f>
        <v/>
      </c>
      <c r="AF27" s="4">
        <f>IF(A27="","",(1/Inputs!$B$9)*(PI()*(Inputs!$F$7/1000)^2/4)*((Inputs!$F$7/1000/4)^(2/3))*SQRT(N27))</f>
        <v/>
      </c>
      <c r="AG27" s="4">
        <f>IF(A27="","",(1/Inputs!$B$9)*(PI()*(Inputs!$F$8/1000)^2/4)*((Inputs!$F$8/1000/4)^(2/3))*SQRT(N27))</f>
        <v/>
      </c>
      <c r="AH27" s="4">
        <f>IF(A27="","",(1/Inputs!$B$9)*(PI()*(Inputs!$F$9/1000)^2/4)*((Inputs!$F$9/1000/4)^(2/3))*SQRT(N27))</f>
        <v/>
      </c>
      <c r="AI27" s="4">
        <f>IF(A27="","",(1/Inputs!$B$9)*(PI()*(Inputs!$F$10/1000)^2/4)*((Inputs!$F$10/1000/4)^(2/3))*SQRT(N27))</f>
        <v/>
      </c>
      <c r="AJ27" s="4">
        <f>IF(A27="","",(1/Inputs!$B$9)*(PI()*(Inputs!$F$11/1000)^2/4)*((Inputs!$F$11/1000/4)^(2/3))*SQRT(N27))</f>
        <v/>
      </c>
      <c r="AK27" s="4">
        <f>IF(A27="","",(1/Inputs!$B$9)*(PI()*(Inputs!$F$12/1000)^2/4)*((Inputs!$F$12/1000/4)^(2/3))*SQRT(N27))</f>
        <v/>
      </c>
      <c r="AL27" s="4">
        <f>IF(A27="","",(1/Inputs!$B$9)*(PI()*(Inputs!$F$13/1000)^2/4)*((Inputs!$F$13/1000/4)^(2/3))*SQRT(N27))</f>
        <v/>
      </c>
      <c r="AM27" s="4">
        <f>IF(A27="","",(1/Inputs!$B$9)*(PI()*(Inputs!$F$14/1000)^2/4)*((Inputs!$F$14/1000/4)^(2/3))*SQRT(N27))</f>
        <v/>
      </c>
    </row>
    <row r="28">
      <c r="A28" s="4" t="n"/>
      <c r="B28" s="4" t="n"/>
      <c r="C28" s="8" t="n"/>
      <c r="D28" s="8" t="n"/>
      <c r="E28" s="8">
        <f>SUMIFS(CB_Tributaires!$C:$C,CB_Tributaires!$B:$B,$A28)</f>
        <v/>
      </c>
      <c r="F28" s="8">
        <f>IF(D28="",E28,D28)</f>
        <v/>
      </c>
      <c r="G28" s="4" t="n"/>
      <c r="H28" s="8" t="n"/>
      <c r="I28" s="8">
        <f>IF(A28="","",Inputs!$B$13/((IF(H28="",Inputs!$B$18,H28)+Inputs!$B$14)^Inputs!$B$15))</f>
        <v/>
      </c>
      <c r="J28" s="8">
        <f>IF(A28="","",0.00278*IF(G28="",Inputs!$B$17,G28)*F28*I28)</f>
        <v/>
      </c>
      <c r="K28" s="8">
        <f>IF(A28="","",SUMIFS($L$4:$L$203,$B$4:$B$203,$A28))</f>
        <v/>
      </c>
      <c r="L28" s="8">
        <f>IF(A28="","",(J28+K28)*Inputs!$B$16)</f>
        <v/>
      </c>
      <c r="M28" s="8" t="n"/>
      <c r="N28" s="8">
        <f>IF(A28="","",IF(M28="",Inputs!$B$7,M28))</f>
        <v/>
      </c>
      <c r="O28" s="4">
        <f>IF(A28="","",IF(L28/Inputs!$B$10&lt;=AD28,Inputs!$F$5,IF(L28/Inputs!$B$10&gt;AM28,"OVERSIZE",INDEX(Inputs!$F$5:$F$14,MATCH(L28/Inputs!$B$10,AD28:AM28,1)+1))))</f>
        <v/>
      </c>
      <c r="P28" s="4" t="n"/>
      <c r="Q28" s="4">
        <f>IF(A28="","",IF(P28="",O28,P28))</f>
        <v/>
      </c>
      <c r="R28" s="8">
        <f>IF(OR(Q28="",Q28="OVERSIZE"),"",Q28/1000)</f>
        <v/>
      </c>
      <c r="S28" s="8">
        <f>IF(R28="","",(1/Inputs!$B$9)*(PI()*R28^2/4)*((R28/4)^(2/3))*SQRT(N28))</f>
        <v/>
      </c>
      <c r="T28" s="8">
        <f>IF(OR(S28="",L28=""),"",L28/(S28*Inputs!$B$10))</f>
        <v/>
      </c>
      <c r="U28" s="8">
        <f>IF(OR(R28="",L28=""),"",4*L28/(PI()*R28^2))</f>
        <v/>
      </c>
      <c r="V28" s="8" t="n"/>
      <c r="W28" s="8">
        <f>IF(A28="","",IF(A28=Inputs!$B$6,Inputs!$B$22,IF(B28="","",IFERROR(INDEX($X$4:$X$203,MATCH(B28,$A$4:$A$203,0))+IF(V28="",Inputs!$B$20,V28),""))))</f>
        <v/>
      </c>
      <c r="X28" s="8">
        <f>IF(OR(W28="",N28="",C28=""),"",W28+N28*C28)</f>
        <v/>
      </c>
      <c r="Y28" s="8" t="n"/>
      <c r="Z28" s="8" t="n"/>
      <c r="AA28" s="8">
        <f>IF(OR(Y28="",W28=""),"",Y28-W28)</f>
        <v/>
      </c>
      <c r="AB28" s="8">
        <f>IF(OR(Z28="",X28=""),"",Z28-X28)</f>
        <v/>
      </c>
      <c r="AC28" s="4">
        <f>IF(A28="","",IF(OR(T28&gt;1,U28&lt;Inputs!$B$11,U28&gt;Inputs!$B$12,AA28&lt;Inputs!$B$19,AB28&lt;Inputs!$B$19,N28&lt;Inputs!$B$7,N28&gt;Inputs!$B$8),"CHECK","OK"))</f>
        <v/>
      </c>
      <c r="AD28" s="4">
        <f>IF(A28="","",(1/Inputs!$B$9)*(PI()*(Inputs!$F$5/1000)^2/4)*((Inputs!$F$5/1000/4)^(2/3))*SQRT(N28))</f>
        <v/>
      </c>
      <c r="AE28" s="4">
        <f>IF(A28="","",(1/Inputs!$B$9)*(PI()*(Inputs!$F$6/1000)^2/4)*((Inputs!$F$6/1000/4)^(2/3))*SQRT(N28))</f>
        <v/>
      </c>
      <c r="AF28" s="4">
        <f>IF(A28="","",(1/Inputs!$B$9)*(PI()*(Inputs!$F$7/1000)^2/4)*((Inputs!$F$7/1000/4)^(2/3))*SQRT(N28))</f>
        <v/>
      </c>
      <c r="AG28" s="4">
        <f>IF(A28="","",(1/Inputs!$B$9)*(PI()*(Inputs!$F$8/1000)^2/4)*((Inputs!$F$8/1000/4)^(2/3))*SQRT(N28))</f>
        <v/>
      </c>
      <c r="AH28" s="4">
        <f>IF(A28="","",(1/Inputs!$B$9)*(PI()*(Inputs!$F$9/1000)^2/4)*((Inputs!$F$9/1000/4)^(2/3))*SQRT(N28))</f>
        <v/>
      </c>
      <c r="AI28" s="4">
        <f>IF(A28="","",(1/Inputs!$B$9)*(PI()*(Inputs!$F$10/1000)^2/4)*((Inputs!$F$10/1000/4)^(2/3))*SQRT(N28))</f>
        <v/>
      </c>
      <c r="AJ28" s="4">
        <f>IF(A28="","",(1/Inputs!$B$9)*(PI()*(Inputs!$F$11/1000)^2/4)*((Inputs!$F$11/1000/4)^(2/3))*SQRT(N28))</f>
        <v/>
      </c>
      <c r="AK28" s="4">
        <f>IF(A28="","",(1/Inputs!$B$9)*(PI()*(Inputs!$F$12/1000)^2/4)*((Inputs!$F$12/1000/4)^(2/3))*SQRT(N28))</f>
        <v/>
      </c>
      <c r="AL28" s="4">
        <f>IF(A28="","",(1/Inputs!$B$9)*(PI()*(Inputs!$F$13/1000)^2/4)*((Inputs!$F$13/1000/4)^(2/3))*SQRT(N28))</f>
        <v/>
      </c>
      <c r="AM28" s="4">
        <f>IF(A28="","",(1/Inputs!$B$9)*(PI()*(Inputs!$F$14/1000)^2/4)*((Inputs!$F$14/1000/4)^(2/3))*SQRT(N28))</f>
        <v/>
      </c>
    </row>
    <row r="29">
      <c r="A29" s="4" t="n"/>
      <c r="B29" s="4" t="n"/>
      <c r="C29" s="8" t="n"/>
      <c r="D29" s="8" t="n"/>
      <c r="E29" s="8">
        <f>SUMIFS(CB_Tributaires!$C:$C,CB_Tributaires!$B:$B,$A29)</f>
        <v/>
      </c>
      <c r="F29" s="8">
        <f>IF(D29="",E29,D29)</f>
        <v/>
      </c>
      <c r="G29" s="4" t="n"/>
      <c r="H29" s="8" t="n"/>
      <c r="I29" s="8">
        <f>IF(A29="","",Inputs!$B$13/((IF(H29="",Inputs!$B$18,H29)+Inputs!$B$14)^Inputs!$B$15))</f>
        <v/>
      </c>
      <c r="J29" s="8">
        <f>IF(A29="","",0.00278*IF(G29="",Inputs!$B$17,G29)*F29*I29)</f>
        <v/>
      </c>
      <c r="K29" s="8">
        <f>IF(A29="","",SUMIFS($L$4:$L$203,$B$4:$B$203,$A29))</f>
        <v/>
      </c>
      <c r="L29" s="8">
        <f>IF(A29="","",(J29+K29)*Inputs!$B$16)</f>
        <v/>
      </c>
      <c r="M29" s="8" t="n"/>
      <c r="N29" s="8">
        <f>IF(A29="","",IF(M29="",Inputs!$B$7,M29))</f>
        <v/>
      </c>
      <c r="O29" s="4">
        <f>IF(A29="","",IF(L29/Inputs!$B$10&lt;=AD29,Inputs!$F$5,IF(L29/Inputs!$B$10&gt;AM29,"OVERSIZE",INDEX(Inputs!$F$5:$F$14,MATCH(L29/Inputs!$B$10,AD29:AM29,1)+1))))</f>
        <v/>
      </c>
      <c r="P29" s="4" t="n"/>
      <c r="Q29" s="4">
        <f>IF(A29="","",IF(P29="",O29,P29))</f>
        <v/>
      </c>
      <c r="R29" s="8">
        <f>IF(OR(Q29="",Q29="OVERSIZE"),"",Q29/1000)</f>
        <v/>
      </c>
      <c r="S29" s="8">
        <f>IF(R29="","",(1/Inputs!$B$9)*(PI()*R29^2/4)*((R29/4)^(2/3))*SQRT(N29))</f>
        <v/>
      </c>
      <c r="T29" s="8">
        <f>IF(OR(S29="",L29=""),"",L29/(S29*Inputs!$B$10))</f>
        <v/>
      </c>
      <c r="U29" s="8">
        <f>IF(OR(R29="",L29=""),"",4*L29/(PI()*R29^2))</f>
        <v/>
      </c>
      <c r="V29" s="8" t="n"/>
      <c r="W29" s="8">
        <f>IF(A29="","",IF(A29=Inputs!$B$6,Inputs!$B$22,IF(B29="","",IFERROR(INDEX($X$4:$X$203,MATCH(B29,$A$4:$A$203,0))+IF(V29="",Inputs!$B$20,V29),""))))</f>
        <v/>
      </c>
      <c r="X29" s="8">
        <f>IF(OR(W29="",N29="",C29=""),"",W29+N29*C29)</f>
        <v/>
      </c>
      <c r="Y29" s="8" t="n"/>
      <c r="Z29" s="8" t="n"/>
      <c r="AA29" s="8">
        <f>IF(OR(Y29="",W29=""),"",Y29-W29)</f>
        <v/>
      </c>
      <c r="AB29" s="8">
        <f>IF(OR(Z29="",X29=""),"",Z29-X29)</f>
        <v/>
      </c>
      <c r="AC29" s="4">
        <f>IF(A29="","",IF(OR(T29&gt;1,U29&lt;Inputs!$B$11,U29&gt;Inputs!$B$12,AA29&lt;Inputs!$B$19,AB29&lt;Inputs!$B$19,N29&lt;Inputs!$B$7,N29&gt;Inputs!$B$8),"CHECK","OK"))</f>
        <v/>
      </c>
      <c r="AD29" s="4">
        <f>IF(A29="","",(1/Inputs!$B$9)*(PI()*(Inputs!$F$5/1000)^2/4)*((Inputs!$F$5/1000/4)^(2/3))*SQRT(N29))</f>
        <v/>
      </c>
      <c r="AE29" s="4">
        <f>IF(A29="","",(1/Inputs!$B$9)*(PI()*(Inputs!$F$6/1000)^2/4)*((Inputs!$F$6/1000/4)^(2/3))*SQRT(N29))</f>
        <v/>
      </c>
      <c r="AF29" s="4">
        <f>IF(A29="","",(1/Inputs!$B$9)*(PI()*(Inputs!$F$7/1000)^2/4)*((Inputs!$F$7/1000/4)^(2/3))*SQRT(N29))</f>
        <v/>
      </c>
      <c r="AG29" s="4">
        <f>IF(A29="","",(1/Inputs!$B$9)*(PI()*(Inputs!$F$8/1000)^2/4)*((Inputs!$F$8/1000/4)^(2/3))*SQRT(N29))</f>
        <v/>
      </c>
      <c r="AH29" s="4">
        <f>IF(A29="","",(1/Inputs!$B$9)*(PI()*(Inputs!$F$9/1000)^2/4)*((Inputs!$F$9/1000/4)^(2/3))*SQRT(N29))</f>
        <v/>
      </c>
      <c r="AI29" s="4">
        <f>IF(A29="","",(1/Inputs!$B$9)*(PI()*(Inputs!$F$10/1000)^2/4)*((Inputs!$F$10/1000/4)^(2/3))*SQRT(N29))</f>
        <v/>
      </c>
      <c r="AJ29" s="4">
        <f>IF(A29="","",(1/Inputs!$B$9)*(PI()*(Inputs!$F$11/1000)^2/4)*((Inputs!$F$11/1000/4)^(2/3))*SQRT(N29))</f>
        <v/>
      </c>
      <c r="AK29" s="4">
        <f>IF(A29="","",(1/Inputs!$B$9)*(PI()*(Inputs!$F$12/1000)^2/4)*((Inputs!$F$12/1000/4)^(2/3))*SQRT(N29))</f>
        <v/>
      </c>
      <c r="AL29" s="4">
        <f>IF(A29="","",(1/Inputs!$B$9)*(PI()*(Inputs!$F$13/1000)^2/4)*((Inputs!$F$13/1000/4)^(2/3))*SQRT(N29))</f>
        <v/>
      </c>
      <c r="AM29" s="4">
        <f>IF(A29="","",(1/Inputs!$B$9)*(PI()*(Inputs!$F$14/1000)^2/4)*((Inputs!$F$14/1000/4)^(2/3))*SQRT(N29))</f>
        <v/>
      </c>
    </row>
    <row r="30">
      <c r="A30" s="4" t="n"/>
      <c r="B30" s="4" t="n"/>
      <c r="C30" s="8" t="n"/>
      <c r="D30" s="8" t="n"/>
      <c r="E30" s="8">
        <f>SUMIFS(CB_Tributaires!$C:$C,CB_Tributaires!$B:$B,$A30)</f>
        <v/>
      </c>
      <c r="F30" s="8">
        <f>IF(D30="",E30,D30)</f>
        <v/>
      </c>
      <c r="G30" s="4" t="n"/>
      <c r="H30" s="8" t="n"/>
      <c r="I30" s="8">
        <f>IF(A30="","",Inputs!$B$13/((IF(H30="",Inputs!$B$18,H30)+Inputs!$B$14)^Inputs!$B$15))</f>
        <v/>
      </c>
      <c r="J30" s="8">
        <f>IF(A30="","",0.00278*IF(G30="",Inputs!$B$17,G30)*F30*I30)</f>
        <v/>
      </c>
      <c r="K30" s="8">
        <f>IF(A30="","",SUMIFS($L$4:$L$203,$B$4:$B$203,$A30))</f>
        <v/>
      </c>
      <c r="L30" s="8">
        <f>IF(A30="","",(J30+K30)*Inputs!$B$16)</f>
        <v/>
      </c>
      <c r="M30" s="8" t="n"/>
      <c r="N30" s="8">
        <f>IF(A30="","",IF(M30="",Inputs!$B$7,M30))</f>
        <v/>
      </c>
      <c r="O30" s="4">
        <f>IF(A30="","",IF(L30/Inputs!$B$10&lt;=AD30,Inputs!$F$5,IF(L30/Inputs!$B$10&gt;AM30,"OVERSIZE",INDEX(Inputs!$F$5:$F$14,MATCH(L30/Inputs!$B$10,AD30:AM30,1)+1))))</f>
        <v/>
      </c>
      <c r="P30" s="4" t="n"/>
      <c r="Q30" s="4">
        <f>IF(A30="","",IF(P30="",O30,P30))</f>
        <v/>
      </c>
      <c r="R30" s="8">
        <f>IF(OR(Q30="",Q30="OVERSIZE"),"",Q30/1000)</f>
        <v/>
      </c>
      <c r="S30" s="8">
        <f>IF(R30="","",(1/Inputs!$B$9)*(PI()*R30^2/4)*((R30/4)^(2/3))*SQRT(N30))</f>
        <v/>
      </c>
      <c r="T30" s="8">
        <f>IF(OR(S30="",L30=""),"",L30/(S30*Inputs!$B$10))</f>
        <v/>
      </c>
      <c r="U30" s="8">
        <f>IF(OR(R30="",L30=""),"",4*L30/(PI()*R30^2))</f>
        <v/>
      </c>
      <c r="V30" s="8" t="n"/>
      <c r="W30" s="8">
        <f>IF(A30="","",IF(A30=Inputs!$B$6,Inputs!$B$22,IF(B30="","",IFERROR(INDEX($X$4:$X$203,MATCH(B30,$A$4:$A$203,0))+IF(V30="",Inputs!$B$20,V30),""))))</f>
        <v/>
      </c>
      <c r="X30" s="8">
        <f>IF(OR(W30="",N30="",C30=""),"",W30+N30*C30)</f>
        <v/>
      </c>
      <c r="Y30" s="8" t="n"/>
      <c r="Z30" s="8" t="n"/>
      <c r="AA30" s="8">
        <f>IF(OR(Y30="",W30=""),"",Y30-W30)</f>
        <v/>
      </c>
      <c r="AB30" s="8">
        <f>IF(OR(Z30="",X30=""),"",Z30-X30)</f>
        <v/>
      </c>
      <c r="AC30" s="4">
        <f>IF(A30="","",IF(OR(T30&gt;1,U30&lt;Inputs!$B$11,U30&gt;Inputs!$B$12,AA30&lt;Inputs!$B$19,AB30&lt;Inputs!$B$19,N30&lt;Inputs!$B$7,N30&gt;Inputs!$B$8),"CHECK","OK"))</f>
        <v/>
      </c>
      <c r="AD30" s="4">
        <f>IF(A30="","",(1/Inputs!$B$9)*(PI()*(Inputs!$F$5/1000)^2/4)*((Inputs!$F$5/1000/4)^(2/3))*SQRT(N30))</f>
        <v/>
      </c>
      <c r="AE30" s="4">
        <f>IF(A30="","",(1/Inputs!$B$9)*(PI()*(Inputs!$F$6/1000)^2/4)*((Inputs!$F$6/1000/4)^(2/3))*SQRT(N30))</f>
        <v/>
      </c>
      <c r="AF30" s="4">
        <f>IF(A30="","",(1/Inputs!$B$9)*(PI()*(Inputs!$F$7/1000)^2/4)*((Inputs!$F$7/1000/4)^(2/3))*SQRT(N30))</f>
        <v/>
      </c>
      <c r="AG30" s="4">
        <f>IF(A30="","",(1/Inputs!$B$9)*(PI()*(Inputs!$F$8/1000)^2/4)*((Inputs!$F$8/1000/4)^(2/3))*SQRT(N30))</f>
        <v/>
      </c>
      <c r="AH30" s="4">
        <f>IF(A30="","",(1/Inputs!$B$9)*(PI()*(Inputs!$F$9/1000)^2/4)*((Inputs!$F$9/1000/4)^(2/3))*SQRT(N30))</f>
        <v/>
      </c>
      <c r="AI30" s="4">
        <f>IF(A30="","",(1/Inputs!$B$9)*(PI()*(Inputs!$F$10/1000)^2/4)*((Inputs!$F$10/1000/4)^(2/3))*SQRT(N30))</f>
        <v/>
      </c>
      <c r="AJ30" s="4">
        <f>IF(A30="","",(1/Inputs!$B$9)*(PI()*(Inputs!$F$11/1000)^2/4)*((Inputs!$F$11/1000/4)^(2/3))*SQRT(N30))</f>
        <v/>
      </c>
      <c r="AK30" s="4">
        <f>IF(A30="","",(1/Inputs!$B$9)*(PI()*(Inputs!$F$12/1000)^2/4)*((Inputs!$F$12/1000/4)^(2/3))*SQRT(N30))</f>
        <v/>
      </c>
      <c r="AL30" s="4">
        <f>IF(A30="","",(1/Inputs!$B$9)*(PI()*(Inputs!$F$13/1000)^2/4)*((Inputs!$F$13/1000/4)^(2/3))*SQRT(N30))</f>
        <v/>
      </c>
      <c r="AM30" s="4">
        <f>IF(A30="","",(1/Inputs!$B$9)*(PI()*(Inputs!$F$14/1000)^2/4)*((Inputs!$F$14/1000/4)^(2/3))*SQRT(N30))</f>
        <v/>
      </c>
    </row>
    <row r="31">
      <c r="A31" s="4" t="n"/>
      <c r="B31" s="4" t="n"/>
      <c r="C31" s="8" t="n"/>
      <c r="D31" s="8" t="n"/>
      <c r="E31" s="8">
        <f>SUMIFS(CB_Tributaires!$C:$C,CB_Tributaires!$B:$B,$A31)</f>
        <v/>
      </c>
      <c r="F31" s="8">
        <f>IF(D31="",E31,D31)</f>
        <v/>
      </c>
      <c r="G31" s="4" t="n"/>
      <c r="H31" s="8" t="n"/>
      <c r="I31" s="8">
        <f>IF(A31="","",Inputs!$B$13/((IF(H31="",Inputs!$B$18,H31)+Inputs!$B$14)^Inputs!$B$15))</f>
        <v/>
      </c>
      <c r="J31" s="8">
        <f>IF(A31="","",0.00278*IF(G31="",Inputs!$B$17,G31)*F31*I31)</f>
        <v/>
      </c>
      <c r="K31" s="8">
        <f>IF(A31="","",SUMIFS($L$4:$L$203,$B$4:$B$203,$A31))</f>
        <v/>
      </c>
      <c r="L31" s="8">
        <f>IF(A31="","",(J31+K31)*Inputs!$B$16)</f>
        <v/>
      </c>
      <c r="M31" s="8" t="n"/>
      <c r="N31" s="8">
        <f>IF(A31="","",IF(M31="",Inputs!$B$7,M31))</f>
        <v/>
      </c>
      <c r="O31" s="4">
        <f>IF(A31="","",IF(L31/Inputs!$B$10&lt;=AD31,Inputs!$F$5,IF(L31/Inputs!$B$10&gt;AM31,"OVERSIZE",INDEX(Inputs!$F$5:$F$14,MATCH(L31/Inputs!$B$10,AD31:AM31,1)+1))))</f>
        <v/>
      </c>
      <c r="P31" s="4" t="n"/>
      <c r="Q31" s="4">
        <f>IF(A31="","",IF(P31="",O31,P31))</f>
        <v/>
      </c>
      <c r="R31" s="8">
        <f>IF(OR(Q31="",Q31="OVERSIZE"),"",Q31/1000)</f>
        <v/>
      </c>
      <c r="S31" s="8">
        <f>IF(R31="","",(1/Inputs!$B$9)*(PI()*R31^2/4)*((R31/4)^(2/3))*SQRT(N31))</f>
        <v/>
      </c>
      <c r="T31" s="8">
        <f>IF(OR(S31="",L31=""),"",L31/(S31*Inputs!$B$10))</f>
        <v/>
      </c>
      <c r="U31" s="8">
        <f>IF(OR(R31="",L31=""),"",4*L31/(PI()*R31^2))</f>
        <v/>
      </c>
      <c r="V31" s="8" t="n"/>
      <c r="W31" s="8">
        <f>IF(A31="","",IF(A31=Inputs!$B$6,Inputs!$B$22,IF(B31="","",IFERROR(INDEX($X$4:$X$203,MATCH(B31,$A$4:$A$203,0))+IF(V31="",Inputs!$B$20,V31),""))))</f>
        <v/>
      </c>
      <c r="X31" s="8">
        <f>IF(OR(W31="",N31="",C31=""),"",W31+N31*C31)</f>
        <v/>
      </c>
      <c r="Y31" s="8" t="n"/>
      <c r="Z31" s="8" t="n"/>
      <c r="AA31" s="8">
        <f>IF(OR(Y31="",W31=""),"",Y31-W31)</f>
        <v/>
      </c>
      <c r="AB31" s="8">
        <f>IF(OR(Z31="",X31=""),"",Z31-X31)</f>
        <v/>
      </c>
      <c r="AC31" s="4">
        <f>IF(A31="","",IF(OR(T31&gt;1,U31&lt;Inputs!$B$11,U31&gt;Inputs!$B$12,AA31&lt;Inputs!$B$19,AB31&lt;Inputs!$B$19,N31&lt;Inputs!$B$7,N31&gt;Inputs!$B$8),"CHECK","OK"))</f>
        <v/>
      </c>
      <c r="AD31" s="4">
        <f>IF(A31="","",(1/Inputs!$B$9)*(PI()*(Inputs!$F$5/1000)^2/4)*((Inputs!$F$5/1000/4)^(2/3))*SQRT(N31))</f>
        <v/>
      </c>
      <c r="AE31" s="4">
        <f>IF(A31="","",(1/Inputs!$B$9)*(PI()*(Inputs!$F$6/1000)^2/4)*((Inputs!$F$6/1000/4)^(2/3))*SQRT(N31))</f>
        <v/>
      </c>
      <c r="AF31" s="4">
        <f>IF(A31="","",(1/Inputs!$B$9)*(PI()*(Inputs!$F$7/1000)^2/4)*((Inputs!$F$7/1000/4)^(2/3))*SQRT(N31))</f>
        <v/>
      </c>
      <c r="AG31" s="4">
        <f>IF(A31="","",(1/Inputs!$B$9)*(PI()*(Inputs!$F$8/1000)^2/4)*((Inputs!$F$8/1000/4)^(2/3))*SQRT(N31))</f>
        <v/>
      </c>
      <c r="AH31" s="4">
        <f>IF(A31="","",(1/Inputs!$B$9)*(PI()*(Inputs!$F$9/1000)^2/4)*((Inputs!$F$9/1000/4)^(2/3))*SQRT(N31))</f>
        <v/>
      </c>
      <c r="AI31" s="4">
        <f>IF(A31="","",(1/Inputs!$B$9)*(PI()*(Inputs!$F$10/1000)^2/4)*((Inputs!$F$10/1000/4)^(2/3))*SQRT(N31))</f>
        <v/>
      </c>
      <c r="AJ31" s="4">
        <f>IF(A31="","",(1/Inputs!$B$9)*(PI()*(Inputs!$F$11/1000)^2/4)*((Inputs!$F$11/1000/4)^(2/3))*SQRT(N31))</f>
        <v/>
      </c>
      <c r="AK31" s="4">
        <f>IF(A31="","",(1/Inputs!$B$9)*(PI()*(Inputs!$F$12/1000)^2/4)*((Inputs!$F$12/1000/4)^(2/3))*SQRT(N31))</f>
        <v/>
      </c>
      <c r="AL31" s="4">
        <f>IF(A31="","",(1/Inputs!$B$9)*(PI()*(Inputs!$F$13/1000)^2/4)*((Inputs!$F$13/1000/4)^(2/3))*SQRT(N31))</f>
        <v/>
      </c>
      <c r="AM31" s="4">
        <f>IF(A31="","",(1/Inputs!$B$9)*(PI()*(Inputs!$F$14/1000)^2/4)*((Inputs!$F$14/1000/4)^(2/3))*SQRT(N31))</f>
        <v/>
      </c>
    </row>
    <row r="32">
      <c r="A32" s="4" t="n"/>
      <c r="B32" s="4" t="n"/>
      <c r="C32" s="8" t="n"/>
      <c r="D32" s="8" t="n"/>
      <c r="E32" s="8">
        <f>SUMIFS(CB_Tributaires!$C:$C,CB_Tributaires!$B:$B,$A32)</f>
        <v/>
      </c>
      <c r="F32" s="8">
        <f>IF(D32="",E32,D32)</f>
        <v/>
      </c>
      <c r="G32" s="4" t="n"/>
      <c r="H32" s="8" t="n"/>
      <c r="I32" s="8">
        <f>IF(A32="","",Inputs!$B$13/((IF(H32="",Inputs!$B$18,H32)+Inputs!$B$14)^Inputs!$B$15))</f>
        <v/>
      </c>
      <c r="J32" s="8">
        <f>IF(A32="","",0.00278*IF(G32="",Inputs!$B$17,G32)*F32*I32)</f>
        <v/>
      </c>
      <c r="K32" s="8">
        <f>IF(A32="","",SUMIFS($L$4:$L$203,$B$4:$B$203,$A32))</f>
        <v/>
      </c>
      <c r="L32" s="8">
        <f>IF(A32="","",(J32+K32)*Inputs!$B$16)</f>
        <v/>
      </c>
      <c r="M32" s="8" t="n"/>
      <c r="N32" s="8">
        <f>IF(A32="","",IF(M32="",Inputs!$B$7,M32))</f>
        <v/>
      </c>
      <c r="O32" s="4">
        <f>IF(A32="","",IF(L32/Inputs!$B$10&lt;=AD32,Inputs!$F$5,IF(L32/Inputs!$B$10&gt;AM32,"OVERSIZE",INDEX(Inputs!$F$5:$F$14,MATCH(L32/Inputs!$B$10,AD32:AM32,1)+1))))</f>
        <v/>
      </c>
      <c r="P32" s="4" t="n"/>
      <c r="Q32" s="4">
        <f>IF(A32="","",IF(P32="",O32,P32))</f>
        <v/>
      </c>
      <c r="R32" s="8">
        <f>IF(OR(Q32="",Q32="OVERSIZE"),"",Q32/1000)</f>
        <v/>
      </c>
      <c r="S32" s="8">
        <f>IF(R32="","",(1/Inputs!$B$9)*(PI()*R32^2/4)*((R32/4)^(2/3))*SQRT(N32))</f>
        <v/>
      </c>
      <c r="T32" s="8">
        <f>IF(OR(S32="",L32=""),"",L32/(S32*Inputs!$B$10))</f>
        <v/>
      </c>
      <c r="U32" s="8">
        <f>IF(OR(R32="",L32=""),"",4*L32/(PI()*R32^2))</f>
        <v/>
      </c>
      <c r="V32" s="8" t="n"/>
      <c r="W32" s="8">
        <f>IF(A32="","",IF(A32=Inputs!$B$6,Inputs!$B$22,IF(B32="","",IFERROR(INDEX($X$4:$X$203,MATCH(B32,$A$4:$A$203,0))+IF(V32="",Inputs!$B$20,V32),""))))</f>
        <v/>
      </c>
      <c r="X32" s="8">
        <f>IF(OR(W32="",N32="",C32=""),"",W32+N32*C32)</f>
        <v/>
      </c>
      <c r="Y32" s="8" t="n"/>
      <c r="Z32" s="8" t="n"/>
      <c r="AA32" s="8">
        <f>IF(OR(Y32="",W32=""),"",Y32-W32)</f>
        <v/>
      </c>
      <c r="AB32" s="8">
        <f>IF(OR(Z32="",X32=""),"",Z32-X32)</f>
        <v/>
      </c>
      <c r="AC32" s="4">
        <f>IF(A32="","",IF(OR(T32&gt;1,U32&lt;Inputs!$B$11,U32&gt;Inputs!$B$12,AA32&lt;Inputs!$B$19,AB32&lt;Inputs!$B$19,N32&lt;Inputs!$B$7,N32&gt;Inputs!$B$8),"CHECK","OK"))</f>
        <v/>
      </c>
      <c r="AD32" s="4">
        <f>IF(A32="","",(1/Inputs!$B$9)*(PI()*(Inputs!$F$5/1000)^2/4)*((Inputs!$F$5/1000/4)^(2/3))*SQRT(N32))</f>
        <v/>
      </c>
      <c r="AE32" s="4">
        <f>IF(A32="","",(1/Inputs!$B$9)*(PI()*(Inputs!$F$6/1000)^2/4)*((Inputs!$F$6/1000/4)^(2/3))*SQRT(N32))</f>
        <v/>
      </c>
      <c r="AF32" s="4">
        <f>IF(A32="","",(1/Inputs!$B$9)*(PI()*(Inputs!$F$7/1000)^2/4)*((Inputs!$F$7/1000/4)^(2/3))*SQRT(N32))</f>
        <v/>
      </c>
      <c r="AG32" s="4">
        <f>IF(A32="","",(1/Inputs!$B$9)*(PI()*(Inputs!$F$8/1000)^2/4)*((Inputs!$F$8/1000/4)^(2/3))*SQRT(N32))</f>
        <v/>
      </c>
      <c r="AH32" s="4">
        <f>IF(A32="","",(1/Inputs!$B$9)*(PI()*(Inputs!$F$9/1000)^2/4)*((Inputs!$F$9/1000/4)^(2/3))*SQRT(N32))</f>
        <v/>
      </c>
      <c r="AI32" s="4">
        <f>IF(A32="","",(1/Inputs!$B$9)*(PI()*(Inputs!$F$10/1000)^2/4)*((Inputs!$F$10/1000/4)^(2/3))*SQRT(N32))</f>
        <v/>
      </c>
      <c r="AJ32" s="4">
        <f>IF(A32="","",(1/Inputs!$B$9)*(PI()*(Inputs!$F$11/1000)^2/4)*((Inputs!$F$11/1000/4)^(2/3))*SQRT(N32))</f>
        <v/>
      </c>
      <c r="AK32" s="4">
        <f>IF(A32="","",(1/Inputs!$B$9)*(PI()*(Inputs!$F$12/1000)^2/4)*((Inputs!$F$12/1000/4)^(2/3))*SQRT(N32))</f>
        <v/>
      </c>
      <c r="AL32" s="4">
        <f>IF(A32="","",(1/Inputs!$B$9)*(PI()*(Inputs!$F$13/1000)^2/4)*((Inputs!$F$13/1000/4)^(2/3))*SQRT(N32))</f>
        <v/>
      </c>
      <c r="AM32" s="4">
        <f>IF(A32="","",(1/Inputs!$B$9)*(PI()*(Inputs!$F$14/1000)^2/4)*((Inputs!$F$14/1000/4)^(2/3))*SQRT(N32))</f>
        <v/>
      </c>
    </row>
    <row r="33">
      <c r="A33" s="4" t="n"/>
      <c r="B33" s="4" t="n"/>
      <c r="C33" s="8" t="n"/>
      <c r="D33" s="8" t="n"/>
      <c r="E33" s="8">
        <f>SUMIFS(CB_Tributaires!$C:$C,CB_Tributaires!$B:$B,$A33)</f>
        <v/>
      </c>
      <c r="F33" s="8">
        <f>IF(D33="",E33,D33)</f>
        <v/>
      </c>
      <c r="G33" s="4" t="n"/>
      <c r="H33" s="8" t="n"/>
      <c r="I33" s="8">
        <f>IF(A33="","",Inputs!$B$13/((IF(H33="",Inputs!$B$18,H33)+Inputs!$B$14)^Inputs!$B$15))</f>
        <v/>
      </c>
      <c r="J33" s="8">
        <f>IF(A33="","",0.00278*IF(G33="",Inputs!$B$17,G33)*F33*I33)</f>
        <v/>
      </c>
      <c r="K33" s="8">
        <f>IF(A33="","",SUMIFS($L$4:$L$203,$B$4:$B$203,$A33))</f>
        <v/>
      </c>
      <c r="L33" s="8">
        <f>IF(A33="","",(J33+K33)*Inputs!$B$16)</f>
        <v/>
      </c>
      <c r="M33" s="8" t="n"/>
      <c r="N33" s="8">
        <f>IF(A33="","",IF(M33="",Inputs!$B$7,M33))</f>
        <v/>
      </c>
      <c r="O33" s="4">
        <f>IF(A33="","",IF(L33/Inputs!$B$10&lt;=AD33,Inputs!$F$5,IF(L33/Inputs!$B$10&gt;AM33,"OVERSIZE",INDEX(Inputs!$F$5:$F$14,MATCH(L33/Inputs!$B$10,AD33:AM33,1)+1))))</f>
        <v/>
      </c>
      <c r="P33" s="4" t="n"/>
      <c r="Q33" s="4">
        <f>IF(A33="","",IF(P33="",O33,P33))</f>
        <v/>
      </c>
      <c r="R33" s="8">
        <f>IF(OR(Q33="",Q33="OVERSIZE"),"",Q33/1000)</f>
        <v/>
      </c>
      <c r="S33" s="8">
        <f>IF(R33="","",(1/Inputs!$B$9)*(PI()*R33^2/4)*((R33/4)^(2/3))*SQRT(N33))</f>
        <v/>
      </c>
      <c r="T33" s="8">
        <f>IF(OR(S33="",L33=""),"",L33/(S33*Inputs!$B$10))</f>
        <v/>
      </c>
      <c r="U33" s="8">
        <f>IF(OR(R33="",L33=""),"",4*L33/(PI()*R33^2))</f>
        <v/>
      </c>
      <c r="V33" s="8" t="n"/>
      <c r="W33" s="8">
        <f>IF(A33="","",IF(A33=Inputs!$B$6,Inputs!$B$22,IF(B33="","",IFERROR(INDEX($X$4:$X$203,MATCH(B33,$A$4:$A$203,0))+IF(V33="",Inputs!$B$20,V33),""))))</f>
        <v/>
      </c>
      <c r="X33" s="8">
        <f>IF(OR(W33="",N33="",C33=""),"",W33+N33*C33)</f>
        <v/>
      </c>
      <c r="Y33" s="8" t="n"/>
      <c r="Z33" s="8" t="n"/>
      <c r="AA33" s="8">
        <f>IF(OR(Y33="",W33=""),"",Y33-W33)</f>
        <v/>
      </c>
      <c r="AB33" s="8">
        <f>IF(OR(Z33="",X33=""),"",Z33-X33)</f>
        <v/>
      </c>
      <c r="AC33" s="4">
        <f>IF(A33="","",IF(OR(T33&gt;1,U33&lt;Inputs!$B$11,U33&gt;Inputs!$B$12,AA33&lt;Inputs!$B$19,AB33&lt;Inputs!$B$19,N33&lt;Inputs!$B$7,N33&gt;Inputs!$B$8),"CHECK","OK"))</f>
        <v/>
      </c>
      <c r="AD33" s="4">
        <f>IF(A33="","",(1/Inputs!$B$9)*(PI()*(Inputs!$F$5/1000)^2/4)*((Inputs!$F$5/1000/4)^(2/3))*SQRT(N33))</f>
        <v/>
      </c>
      <c r="AE33" s="4">
        <f>IF(A33="","",(1/Inputs!$B$9)*(PI()*(Inputs!$F$6/1000)^2/4)*((Inputs!$F$6/1000/4)^(2/3))*SQRT(N33))</f>
        <v/>
      </c>
      <c r="AF33" s="4">
        <f>IF(A33="","",(1/Inputs!$B$9)*(PI()*(Inputs!$F$7/1000)^2/4)*((Inputs!$F$7/1000/4)^(2/3))*SQRT(N33))</f>
        <v/>
      </c>
      <c r="AG33" s="4">
        <f>IF(A33="","",(1/Inputs!$B$9)*(PI()*(Inputs!$F$8/1000)^2/4)*((Inputs!$F$8/1000/4)^(2/3))*SQRT(N33))</f>
        <v/>
      </c>
      <c r="AH33" s="4">
        <f>IF(A33="","",(1/Inputs!$B$9)*(PI()*(Inputs!$F$9/1000)^2/4)*((Inputs!$F$9/1000/4)^(2/3))*SQRT(N33))</f>
        <v/>
      </c>
      <c r="AI33" s="4">
        <f>IF(A33="","",(1/Inputs!$B$9)*(PI()*(Inputs!$F$10/1000)^2/4)*((Inputs!$F$10/1000/4)^(2/3))*SQRT(N33))</f>
        <v/>
      </c>
      <c r="AJ33" s="4">
        <f>IF(A33="","",(1/Inputs!$B$9)*(PI()*(Inputs!$F$11/1000)^2/4)*((Inputs!$F$11/1000/4)^(2/3))*SQRT(N33))</f>
        <v/>
      </c>
      <c r="AK33" s="4">
        <f>IF(A33="","",(1/Inputs!$B$9)*(PI()*(Inputs!$F$12/1000)^2/4)*((Inputs!$F$12/1000/4)^(2/3))*SQRT(N33))</f>
        <v/>
      </c>
      <c r="AL33" s="4">
        <f>IF(A33="","",(1/Inputs!$B$9)*(PI()*(Inputs!$F$13/1000)^2/4)*((Inputs!$F$13/1000/4)^(2/3))*SQRT(N33))</f>
        <v/>
      </c>
      <c r="AM33" s="4">
        <f>IF(A33="","",(1/Inputs!$B$9)*(PI()*(Inputs!$F$14/1000)^2/4)*((Inputs!$F$14/1000/4)^(2/3))*SQRT(N33))</f>
        <v/>
      </c>
    </row>
    <row r="34">
      <c r="A34" s="4" t="n"/>
      <c r="B34" s="4" t="n"/>
      <c r="C34" s="8" t="n"/>
      <c r="D34" s="8" t="n"/>
      <c r="E34" s="8">
        <f>SUMIFS(CB_Tributaires!$C:$C,CB_Tributaires!$B:$B,$A34)</f>
        <v/>
      </c>
      <c r="F34" s="8">
        <f>IF(D34="",E34,D34)</f>
        <v/>
      </c>
      <c r="G34" s="4" t="n"/>
      <c r="H34" s="8" t="n"/>
      <c r="I34" s="8">
        <f>IF(A34="","",Inputs!$B$13/((IF(H34="",Inputs!$B$18,H34)+Inputs!$B$14)^Inputs!$B$15))</f>
        <v/>
      </c>
      <c r="J34" s="8">
        <f>IF(A34="","",0.00278*IF(G34="",Inputs!$B$17,G34)*F34*I34)</f>
        <v/>
      </c>
      <c r="K34" s="8">
        <f>IF(A34="","",SUMIFS($L$4:$L$203,$B$4:$B$203,$A34))</f>
        <v/>
      </c>
      <c r="L34" s="8">
        <f>IF(A34="","",(J34+K34)*Inputs!$B$16)</f>
        <v/>
      </c>
      <c r="M34" s="8" t="n"/>
      <c r="N34" s="8">
        <f>IF(A34="","",IF(M34="",Inputs!$B$7,M34))</f>
        <v/>
      </c>
      <c r="O34" s="4">
        <f>IF(A34="","",IF(L34/Inputs!$B$10&lt;=AD34,Inputs!$F$5,IF(L34/Inputs!$B$10&gt;AM34,"OVERSIZE",INDEX(Inputs!$F$5:$F$14,MATCH(L34/Inputs!$B$10,AD34:AM34,1)+1))))</f>
        <v/>
      </c>
      <c r="P34" s="4" t="n"/>
      <c r="Q34" s="4">
        <f>IF(A34="","",IF(P34="",O34,P34))</f>
        <v/>
      </c>
      <c r="R34" s="8">
        <f>IF(OR(Q34="",Q34="OVERSIZE"),"",Q34/1000)</f>
        <v/>
      </c>
      <c r="S34" s="8">
        <f>IF(R34="","",(1/Inputs!$B$9)*(PI()*R34^2/4)*((R34/4)^(2/3))*SQRT(N34))</f>
        <v/>
      </c>
      <c r="T34" s="8">
        <f>IF(OR(S34="",L34=""),"",L34/(S34*Inputs!$B$10))</f>
        <v/>
      </c>
      <c r="U34" s="8">
        <f>IF(OR(R34="",L34=""),"",4*L34/(PI()*R34^2))</f>
        <v/>
      </c>
      <c r="V34" s="8" t="n"/>
      <c r="W34" s="8">
        <f>IF(A34="","",IF(A34=Inputs!$B$6,Inputs!$B$22,IF(B34="","",IFERROR(INDEX($X$4:$X$203,MATCH(B34,$A$4:$A$203,0))+IF(V34="",Inputs!$B$20,V34),""))))</f>
        <v/>
      </c>
      <c r="X34" s="8">
        <f>IF(OR(W34="",N34="",C34=""),"",W34+N34*C34)</f>
        <v/>
      </c>
      <c r="Y34" s="8" t="n"/>
      <c r="Z34" s="8" t="n"/>
      <c r="AA34" s="8">
        <f>IF(OR(Y34="",W34=""),"",Y34-W34)</f>
        <v/>
      </c>
      <c r="AB34" s="8">
        <f>IF(OR(Z34="",X34=""),"",Z34-X34)</f>
        <v/>
      </c>
      <c r="AC34" s="4">
        <f>IF(A34="","",IF(OR(T34&gt;1,U34&lt;Inputs!$B$11,U34&gt;Inputs!$B$12,AA34&lt;Inputs!$B$19,AB34&lt;Inputs!$B$19,N34&lt;Inputs!$B$7,N34&gt;Inputs!$B$8),"CHECK","OK"))</f>
        <v/>
      </c>
      <c r="AD34" s="4">
        <f>IF(A34="","",(1/Inputs!$B$9)*(PI()*(Inputs!$F$5/1000)^2/4)*((Inputs!$F$5/1000/4)^(2/3))*SQRT(N34))</f>
        <v/>
      </c>
      <c r="AE34" s="4">
        <f>IF(A34="","",(1/Inputs!$B$9)*(PI()*(Inputs!$F$6/1000)^2/4)*((Inputs!$F$6/1000/4)^(2/3))*SQRT(N34))</f>
        <v/>
      </c>
      <c r="AF34" s="4">
        <f>IF(A34="","",(1/Inputs!$B$9)*(PI()*(Inputs!$F$7/1000)^2/4)*((Inputs!$F$7/1000/4)^(2/3))*SQRT(N34))</f>
        <v/>
      </c>
      <c r="AG34" s="4">
        <f>IF(A34="","",(1/Inputs!$B$9)*(PI()*(Inputs!$F$8/1000)^2/4)*((Inputs!$F$8/1000/4)^(2/3))*SQRT(N34))</f>
        <v/>
      </c>
      <c r="AH34" s="4">
        <f>IF(A34="","",(1/Inputs!$B$9)*(PI()*(Inputs!$F$9/1000)^2/4)*((Inputs!$F$9/1000/4)^(2/3))*SQRT(N34))</f>
        <v/>
      </c>
      <c r="AI34" s="4">
        <f>IF(A34="","",(1/Inputs!$B$9)*(PI()*(Inputs!$F$10/1000)^2/4)*((Inputs!$F$10/1000/4)^(2/3))*SQRT(N34))</f>
        <v/>
      </c>
      <c r="AJ34" s="4">
        <f>IF(A34="","",(1/Inputs!$B$9)*(PI()*(Inputs!$F$11/1000)^2/4)*((Inputs!$F$11/1000/4)^(2/3))*SQRT(N34))</f>
        <v/>
      </c>
      <c r="AK34" s="4">
        <f>IF(A34="","",(1/Inputs!$B$9)*(PI()*(Inputs!$F$12/1000)^2/4)*((Inputs!$F$12/1000/4)^(2/3))*SQRT(N34))</f>
        <v/>
      </c>
      <c r="AL34" s="4">
        <f>IF(A34="","",(1/Inputs!$B$9)*(PI()*(Inputs!$F$13/1000)^2/4)*((Inputs!$F$13/1000/4)^(2/3))*SQRT(N34))</f>
        <v/>
      </c>
      <c r="AM34" s="4">
        <f>IF(A34="","",(1/Inputs!$B$9)*(PI()*(Inputs!$F$14/1000)^2/4)*((Inputs!$F$14/1000/4)^(2/3))*SQRT(N34))</f>
        <v/>
      </c>
    </row>
    <row r="35">
      <c r="A35" s="4" t="n"/>
      <c r="B35" s="4" t="n"/>
      <c r="C35" s="8" t="n"/>
      <c r="D35" s="8" t="n"/>
      <c r="E35" s="8">
        <f>SUMIFS(CB_Tributaires!$C:$C,CB_Tributaires!$B:$B,$A35)</f>
        <v/>
      </c>
      <c r="F35" s="8">
        <f>IF(D35="",E35,D35)</f>
        <v/>
      </c>
      <c r="G35" s="4" t="n"/>
      <c r="H35" s="8" t="n"/>
      <c r="I35" s="8">
        <f>IF(A35="","",Inputs!$B$13/((IF(H35="",Inputs!$B$18,H35)+Inputs!$B$14)^Inputs!$B$15))</f>
        <v/>
      </c>
      <c r="J35" s="8">
        <f>IF(A35="","",0.00278*IF(G35="",Inputs!$B$17,G35)*F35*I35)</f>
        <v/>
      </c>
      <c r="K35" s="8">
        <f>IF(A35="","",SUMIFS($L$4:$L$203,$B$4:$B$203,$A35))</f>
        <v/>
      </c>
      <c r="L35" s="8">
        <f>IF(A35="","",(J35+K35)*Inputs!$B$16)</f>
        <v/>
      </c>
      <c r="M35" s="8" t="n"/>
      <c r="N35" s="8">
        <f>IF(A35="","",IF(M35="",Inputs!$B$7,M35))</f>
        <v/>
      </c>
      <c r="O35" s="4">
        <f>IF(A35="","",IF(L35/Inputs!$B$10&lt;=AD35,Inputs!$F$5,IF(L35/Inputs!$B$10&gt;AM35,"OVERSIZE",INDEX(Inputs!$F$5:$F$14,MATCH(L35/Inputs!$B$10,AD35:AM35,1)+1))))</f>
        <v/>
      </c>
      <c r="P35" s="4" t="n"/>
      <c r="Q35" s="4">
        <f>IF(A35="","",IF(P35="",O35,P35))</f>
        <v/>
      </c>
      <c r="R35" s="8">
        <f>IF(OR(Q35="",Q35="OVERSIZE"),"",Q35/1000)</f>
        <v/>
      </c>
      <c r="S35" s="8">
        <f>IF(R35="","",(1/Inputs!$B$9)*(PI()*R35^2/4)*((R35/4)^(2/3))*SQRT(N35))</f>
        <v/>
      </c>
      <c r="T35" s="8">
        <f>IF(OR(S35="",L35=""),"",L35/(S35*Inputs!$B$10))</f>
        <v/>
      </c>
      <c r="U35" s="8">
        <f>IF(OR(R35="",L35=""),"",4*L35/(PI()*R35^2))</f>
        <v/>
      </c>
      <c r="V35" s="8" t="n"/>
      <c r="W35" s="8">
        <f>IF(A35="","",IF(A35=Inputs!$B$6,Inputs!$B$22,IF(B35="","",IFERROR(INDEX($X$4:$X$203,MATCH(B35,$A$4:$A$203,0))+IF(V35="",Inputs!$B$20,V35),""))))</f>
        <v/>
      </c>
      <c r="X35" s="8">
        <f>IF(OR(W35="",N35="",C35=""),"",W35+N35*C35)</f>
        <v/>
      </c>
      <c r="Y35" s="8" t="n"/>
      <c r="Z35" s="8" t="n"/>
      <c r="AA35" s="8">
        <f>IF(OR(Y35="",W35=""),"",Y35-W35)</f>
        <v/>
      </c>
      <c r="AB35" s="8">
        <f>IF(OR(Z35="",X35=""),"",Z35-X35)</f>
        <v/>
      </c>
      <c r="AC35" s="4">
        <f>IF(A35="","",IF(OR(T35&gt;1,U35&lt;Inputs!$B$11,U35&gt;Inputs!$B$12,AA35&lt;Inputs!$B$19,AB35&lt;Inputs!$B$19,N35&lt;Inputs!$B$7,N35&gt;Inputs!$B$8),"CHECK","OK"))</f>
        <v/>
      </c>
      <c r="AD35" s="4">
        <f>IF(A35="","",(1/Inputs!$B$9)*(PI()*(Inputs!$F$5/1000)^2/4)*((Inputs!$F$5/1000/4)^(2/3))*SQRT(N35))</f>
        <v/>
      </c>
      <c r="AE35" s="4">
        <f>IF(A35="","",(1/Inputs!$B$9)*(PI()*(Inputs!$F$6/1000)^2/4)*((Inputs!$F$6/1000/4)^(2/3))*SQRT(N35))</f>
        <v/>
      </c>
      <c r="AF35" s="4">
        <f>IF(A35="","",(1/Inputs!$B$9)*(PI()*(Inputs!$F$7/1000)^2/4)*((Inputs!$F$7/1000/4)^(2/3))*SQRT(N35))</f>
        <v/>
      </c>
      <c r="AG35" s="4">
        <f>IF(A35="","",(1/Inputs!$B$9)*(PI()*(Inputs!$F$8/1000)^2/4)*((Inputs!$F$8/1000/4)^(2/3))*SQRT(N35))</f>
        <v/>
      </c>
      <c r="AH35" s="4">
        <f>IF(A35="","",(1/Inputs!$B$9)*(PI()*(Inputs!$F$9/1000)^2/4)*((Inputs!$F$9/1000/4)^(2/3))*SQRT(N35))</f>
        <v/>
      </c>
      <c r="AI35" s="4">
        <f>IF(A35="","",(1/Inputs!$B$9)*(PI()*(Inputs!$F$10/1000)^2/4)*((Inputs!$F$10/1000/4)^(2/3))*SQRT(N35))</f>
        <v/>
      </c>
      <c r="AJ35" s="4">
        <f>IF(A35="","",(1/Inputs!$B$9)*(PI()*(Inputs!$F$11/1000)^2/4)*((Inputs!$F$11/1000/4)^(2/3))*SQRT(N35))</f>
        <v/>
      </c>
      <c r="AK35" s="4">
        <f>IF(A35="","",(1/Inputs!$B$9)*(PI()*(Inputs!$F$12/1000)^2/4)*((Inputs!$F$12/1000/4)^(2/3))*SQRT(N35))</f>
        <v/>
      </c>
      <c r="AL35" s="4">
        <f>IF(A35="","",(1/Inputs!$B$9)*(PI()*(Inputs!$F$13/1000)^2/4)*((Inputs!$F$13/1000/4)^(2/3))*SQRT(N35))</f>
        <v/>
      </c>
      <c r="AM35" s="4">
        <f>IF(A35="","",(1/Inputs!$B$9)*(PI()*(Inputs!$F$14/1000)^2/4)*((Inputs!$F$14/1000/4)^(2/3))*SQRT(N35))</f>
        <v/>
      </c>
    </row>
    <row r="36">
      <c r="A36" s="4" t="n"/>
      <c r="B36" s="4" t="n"/>
      <c r="C36" s="8" t="n"/>
      <c r="D36" s="8" t="n"/>
      <c r="E36" s="8">
        <f>SUMIFS(CB_Tributaires!$C:$C,CB_Tributaires!$B:$B,$A36)</f>
        <v/>
      </c>
      <c r="F36" s="8">
        <f>IF(D36="",E36,D36)</f>
        <v/>
      </c>
      <c r="G36" s="4" t="n"/>
      <c r="H36" s="8" t="n"/>
      <c r="I36" s="8">
        <f>IF(A36="","",Inputs!$B$13/((IF(H36="",Inputs!$B$18,H36)+Inputs!$B$14)^Inputs!$B$15))</f>
        <v/>
      </c>
      <c r="J36" s="8">
        <f>IF(A36="","",0.00278*IF(G36="",Inputs!$B$17,G36)*F36*I36)</f>
        <v/>
      </c>
      <c r="K36" s="8">
        <f>IF(A36="","",SUMIFS($L$4:$L$203,$B$4:$B$203,$A36))</f>
        <v/>
      </c>
      <c r="L36" s="8">
        <f>IF(A36="","",(J36+K36)*Inputs!$B$16)</f>
        <v/>
      </c>
      <c r="M36" s="8" t="n"/>
      <c r="N36" s="8">
        <f>IF(A36="","",IF(M36="",Inputs!$B$7,M36))</f>
        <v/>
      </c>
      <c r="O36" s="4">
        <f>IF(A36="","",IF(L36/Inputs!$B$10&lt;=AD36,Inputs!$F$5,IF(L36/Inputs!$B$10&gt;AM36,"OVERSIZE",INDEX(Inputs!$F$5:$F$14,MATCH(L36/Inputs!$B$10,AD36:AM36,1)+1))))</f>
        <v/>
      </c>
      <c r="P36" s="4" t="n"/>
      <c r="Q36" s="4">
        <f>IF(A36="","",IF(P36="",O36,P36))</f>
        <v/>
      </c>
      <c r="R36" s="8">
        <f>IF(OR(Q36="",Q36="OVERSIZE"),"",Q36/1000)</f>
        <v/>
      </c>
      <c r="S36" s="8">
        <f>IF(R36="","",(1/Inputs!$B$9)*(PI()*R36^2/4)*((R36/4)^(2/3))*SQRT(N36))</f>
        <v/>
      </c>
      <c r="T36" s="8">
        <f>IF(OR(S36="",L36=""),"",L36/(S36*Inputs!$B$10))</f>
        <v/>
      </c>
      <c r="U36" s="8">
        <f>IF(OR(R36="",L36=""),"",4*L36/(PI()*R36^2))</f>
        <v/>
      </c>
      <c r="V36" s="8" t="n"/>
      <c r="W36" s="8">
        <f>IF(A36="","",IF(A36=Inputs!$B$6,Inputs!$B$22,IF(B36="","",IFERROR(INDEX($X$4:$X$203,MATCH(B36,$A$4:$A$203,0))+IF(V36="",Inputs!$B$20,V36),""))))</f>
        <v/>
      </c>
      <c r="X36" s="8">
        <f>IF(OR(W36="",N36="",C36=""),"",W36+N36*C36)</f>
        <v/>
      </c>
      <c r="Y36" s="8" t="n"/>
      <c r="Z36" s="8" t="n"/>
      <c r="AA36" s="8">
        <f>IF(OR(Y36="",W36=""),"",Y36-W36)</f>
        <v/>
      </c>
      <c r="AB36" s="8">
        <f>IF(OR(Z36="",X36=""),"",Z36-X36)</f>
        <v/>
      </c>
      <c r="AC36" s="4">
        <f>IF(A36="","",IF(OR(T36&gt;1,U36&lt;Inputs!$B$11,U36&gt;Inputs!$B$12,AA36&lt;Inputs!$B$19,AB36&lt;Inputs!$B$19,N36&lt;Inputs!$B$7,N36&gt;Inputs!$B$8),"CHECK","OK"))</f>
        <v/>
      </c>
      <c r="AD36" s="4">
        <f>IF(A36="","",(1/Inputs!$B$9)*(PI()*(Inputs!$F$5/1000)^2/4)*((Inputs!$F$5/1000/4)^(2/3))*SQRT(N36))</f>
        <v/>
      </c>
      <c r="AE36" s="4">
        <f>IF(A36="","",(1/Inputs!$B$9)*(PI()*(Inputs!$F$6/1000)^2/4)*((Inputs!$F$6/1000/4)^(2/3))*SQRT(N36))</f>
        <v/>
      </c>
      <c r="AF36" s="4">
        <f>IF(A36="","",(1/Inputs!$B$9)*(PI()*(Inputs!$F$7/1000)^2/4)*((Inputs!$F$7/1000/4)^(2/3))*SQRT(N36))</f>
        <v/>
      </c>
      <c r="AG36" s="4">
        <f>IF(A36="","",(1/Inputs!$B$9)*(PI()*(Inputs!$F$8/1000)^2/4)*((Inputs!$F$8/1000/4)^(2/3))*SQRT(N36))</f>
        <v/>
      </c>
      <c r="AH36" s="4">
        <f>IF(A36="","",(1/Inputs!$B$9)*(PI()*(Inputs!$F$9/1000)^2/4)*((Inputs!$F$9/1000/4)^(2/3))*SQRT(N36))</f>
        <v/>
      </c>
      <c r="AI36" s="4">
        <f>IF(A36="","",(1/Inputs!$B$9)*(PI()*(Inputs!$F$10/1000)^2/4)*((Inputs!$F$10/1000/4)^(2/3))*SQRT(N36))</f>
        <v/>
      </c>
      <c r="AJ36" s="4">
        <f>IF(A36="","",(1/Inputs!$B$9)*(PI()*(Inputs!$F$11/1000)^2/4)*((Inputs!$F$11/1000/4)^(2/3))*SQRT(N36))</f>
        <v/>
      </c>
      <c r="AK36" s="4">
        <f>IF(A36="","",(1/Inputs!$B$9)*(PI()*(Inputs!$F$12/1000)^2/4)*((Inputs!$F$12/1000/4)^(2/3))*SQRT(N36))</f>
        <v/>
      </c>
      <c r="AL36" s="4">
        <f>IF(A36="","",(1/Inputs!$B$9)*(PI()*(Inputs!$F$13/1000)^2/4)*((Inputs!$F$13/1000/4)^(2/3))*SQRT(N36))</f>
        <v/>
      </c>
      <c r="AM36" s="4">
        <f>IF(A36="","",(1/Inputs!$B$9)*(PI()*(Inputs!$F$14/1000)^2/4)*((Inputs!$F$14/1000/4)^(2/3))*SQRT(N36))</f>
        <v/>
      </c>
    </row>
    <row r="37">
      <c r="A37" s="4" t="n"/>
      <c r="B37" s="4" t="n"/>
      <c r="C37" s="8" t="n"/>
      <c r="D37" s="8" t="n"/>
      <c r="E37" s="8">
        <f>SUMIFS(CB_Tributaires!$C:$C,CB_Tributaires!$B:$B,$A37)</f>
        <v/>
      </c>
      <c r="F37" s="8">
        <f>IF(D37="",E37,D37)</f>
        <v/>
      </c>
      <c r="G37" s="4" t="n"/>
      <c r="H37" s="8" t="n"/>
      <c r="I37" s="8">
        <f>IF(A37="","",Inputs!$B$13/((IF(H37="",Inputs!$B$18,H37)+Inputs!$B$14)^Inputs!$B$15))</f>
        <v/>
      </c>
      <c r="J37" s="8">
        <f>IF(A37="","",0.00278*IF(G37="",Inputs!$B$17,G37)*F37*I37)</f>
        <v/>
      </c>
      <c r="K37" s="8">
        <f>IF(A37="","",SUMIFS($L$4:$L$203,$B$4:$B$203,$A37))</f>
        <v/>
      </c>
      <c r="L37" s="8">
        <f>IF(A37="","",(J37+K37)*Inputs!$B$16)</f>
        <v/>
      </c>
      <c r="M37" s="8" t="n"/>
      <c r="N37" s="8">
        <f>IF(A37="","",IF(M37="",Inputs!$B$7,M37))</f>
        <v/>
      </c>
      <c r="O37" s="4">
        <f>IF(A37="","",IF(L37/Inputs!$B$10&lt;=AD37,Inputs!$F$5,IF(L37/Inputs!$B$10&gt;AM37,"OVERSIZE",INDEX(Inputs!$F$5:$F$14,MATCH(L37/Inputs!$B$10,AD37:AM37,1)+1))))</f>
        <v/>
      </c>
      <c r="P37" s="4" t="n"/>
      <c r="Q37" s="4">
        <f>IF(A37="","",IF(P37="",O37,P37))</f>
        <v/>
      </c>
      <c r="R37" s="8">
        <f>IF(OR(Q37="",Q37="OVERSIZE"),"",Q37/1000)</f>
        <v/>
      </c>
      <c r="S37" s="8">
        <f>IF(R37="","",(1/Inputs!$B$9)*(PI()*R37^2/4)*((R37/4)^(2/3))*SQRT(N37))</f>
        <v/>
      </c>
      <c r="T37" s="8">
        <f>IF(OR(S37="",L37=""),"",L37/(S37*Inputs!$B$10))</f>
        <v/>
      </c>
      <c r="U37" s="8">
        <f>IF(OR(R37="",L37=""),"",4*L37/(PI()*R37^2))</f>
        <v/>
      </c>
      <c r="V37" s="8" t="n"/>
      <c r="W37" s="8">
        <f>IF(A37="","",IF(A37=Inputs!$B$6,Inputs!$B$22,IF(B37="","",IFERROR(INDEX($X$4:$X$203,MATCH(B37,$A$4:$A$203,0))+IF(V37="",Inputs!$B$20,V37),""))))</f>
        <v/>
      </c>
      <c r="X37" s="8">
        <f>IF(OR(W37="",N37="",C37=""),"",W37+N37*C37)</f>
        <v/>
      </c>
      <c r="Y37" s="8" t="n"/>
      <c r="Z37" s="8" t="n"/>
      <c r="AA37" s="8">
        <f>IF(OR(Y37="",W37=""),"",Y37-W37)</f>
        <v/>
      </c>
      <c r="AB37" s="8">
        <f>IF(OR(Z37="",X37=""),"",Z37-X37)</f>
        <v/>
      </c>
      <c r="AC37" s="4">
        <f>IF(A37="","",IF(OR(T37&gt;1,U37&lt;Inputs!$B$11,U37&gt;Inputs!$B$12,AA37&lt;Inputs!$B$19,AB37&lt;Inputs!$B$19,N37&lt;Inputs!$B$7,N37&gt;Inputs!$B$8),"CHECK","OK"))</f>
        <v/>
      </c>
      <c r="AD37" s="4">
        <f>IF(A37="","",(1/Inputs!$B$9)*(PI()*(Inputs!$F$5/1000)^2/4)*((Inputs!$F$5/1000/4)^(2/3))*SQRT(N37))</f>
        <v/>
      </c>
      <c r="AE37" s="4">
        <f>IF(A37="","",(1/Inputs!$B$9)*(PI()*(Inputs!$F$6/1000)^2/4)*((Inputs!$F$6/1000/4)^(2/3))*SQRT(N37))</f>
        <v/>
      </c>
      <c r="AF37" s="4">
        <f>IF(A37="","",(1/Inputs!$B$9)*(PI()*(Inputs!$F$7/1000)^2/4)*((Inputs!$F$7/1000/4)^(2/3))*SQRT(N37))</f>
        <v/>
      </c>
      <c r="AG37" s="4">
        <f>IF(A37="","",(1/Inputs!$B$9)*(PI()*(Inputs!$F$8/1000)^2/4)*((Inputs!$F$8/1000/4)^(2/3))*SQRT(N37))</f>
        <v/>
      </c>
      <c r="AH37" s="4">
        <f>IF(A37="","",(1/Inputs!$B$9)*(PI()*(Inputs!$F$9/1000)^2/4)*((Inputs!$F$9/1000/4)^(2/3))*SQRT(N37))</f>
        <v/>
      </c>
      <c r="AI37" s="4">
        <f>IF(A37="","",(1/Inputs!$B$9)*(PI()*(Inputs!$F$10/1000)^2/4)*((Inputs!$F$10/1000/4)^(2/3))*SQRT(N37))</f>
        <v/>
      </c>
      <c r="AJ37" s="4">
        <f>IF(A37="","",(1/Inputs!$B$9)*(PI()*(Inputs!$F$11/1000)^2/4)*((Inputs!$F$11/1000/4)^(2/3))*SQRT(N37))</f>
        <v/>
      </c>
      <c r="AK37" s="4">
        <f>IF(A37="","",(1/Inputs!$B$9)*(PI()*(Inputs!$F$12/1000)^2/4)*((Inputs!$F$12/1000/4)^(2/3))*SQRT(N37))</f>
        <v/>
      </c>
      <c r="AL37" s="4">
        <f>IF(A37="","",(1/Inputs!$B$9)*(PI()*(Inputs!$F$13/1000)^2/4)*((Inputs!$F$13/1000/4)^(2/3))*SQRT(N37))</f>
        <v/>
      </c>
      <c r="AM37" s="4">
        <f>IF(A37="","",(1/Inputs!$B$9)*(PI()*(Inputs!$F$14/1000)^2/4)*((Inputs!$F$14/1000/4)^(2/3))*SQRT(N37))</f>
        <v/>
      </c>
    </row>
    <row r="38">
      <c r="A38" s="4" t="n"/>
      <c r="B38" s="4" t="n"/>
      <c r="C38" s="8" t="n"/>
      <c r="D38" s="8" t="n"/>
      <c r="E38" s="8">
        <f>SUMIFS(CB_Tributaires!$C:$C,CB_Tributaires!$B:$B,$A38)</f>
        <v/>
      </c>
      <c r="F38" s="8">
        <f>IF(D38="",E38,D38)</f>
        <v/>
      </c>
      <c r="G38" s="4" t="n"/>
      <c r="H38" s="8" t="n"/>
      <c r="I38" s="8">
        <f>IF(A38="","",Inputs!$B$13/((IF(H38="",Inputs!$B$18,H38)+Inputs!$B$14)^Inputs!$B$15))</f>
        <v/>
      </c>
      <c r="J38" s="8">
        <f>IF(A38="","",0.00278*IF(G38="",Inputs!$B$17,G38)*F38*I38)</f>
        <v/>
      </c>
      <c r="K38" s="8">
        <f>IF(A38="","",SUMIFS($L$4:$L$203,$B$4:$B$203,$A38))</f>
        <v/>
      </c>
      <c r="L38" s="8">
        <f>IF(A38="","",(J38+K38)*Inputs!$B$16)</f>
        <v/>
      </c>
      <c r="M38" s="8" t="n"/>
      <c r="N38" s="8">
        <f>IF(A38="","",IF(M38="",Inputs!$B$7,M38))</f>
        <v/>
      </c>
      <c r="O38" s="4">
        <f>IF(A38="","",IF(L38/Inputs!$B$10&lt;=AD38,Inputs!$F$5,IF(L38/Inputs!$B$10&gt;AM38,"OVERSIZE",INDEX(Inputs!$F$5:$F$14,MATCH(L38/Inputs!$B$10,AD38:AM38,1)+1))))</f>
        <v/>
      </c>
      <c r="P38" s="4" t="n"/>
      <c r="Q38" s="4">
        <f>IF(A38="","",IF(P38="",O38,P38))</f>
        <v/>
      </c>
      <c r="R38" s="8">
        <f>IF(OR(Q38="",Q38="OVERSIZE"),"",Q38/1000)</f>
        <v/>
      </c>
      <c r="S38" s="8">
        <f>IF(R38="","",(1/Inputs!$B$9)*(PI()*R38^2/4)*((R38/4)^(2/3))*SQRT(N38))</f>
        <v/>
      </c>
      <c r="T38" s="8">
        <f>IF(OR(S38="",L38=""),"",L38/(S38*Inputs!$B$10))</f>
        <v/>
      </c>
      <c r="U38" s="8">
        <f>IF(OR(R38="",L38=""),"",4*L38/(PI()*R38^2))</f>
        <v/>
      </c>
      <c r="V38" s="8" t="n"/>
      <c r="W38" s="8">
        <f>IF(A38="","",IF(A38=Inputs!$B$6,Inputs!$B$22,IF(B38="","",IFERROR(INDEX($X$4:$X$203,MATCH(B38,$A$4:$A$203,0))+IF(V38="",Inputs!$B$20,V38),""))))</f>
        <v/>
      </c>
      <c r="X38" s="8">
        <f>IF(OR(W38="",N38="",C38=""),"",W38+N38*C38)</f>
        <v/>
      </c>
      <c r="Y38" s="8" t="n"/>
      <c r="Z38" s="8" t="n"/>
      <c r="AA38" s="8">
        <f>IF(OR(Y38="",W38=""),"",Y38-W38)</f>
        <v/>
      </c>
      <c r="AB38" s="8">
        <f>IF(OR(Z38="",X38=""),"",Z38-X38)</f>
        <v/>
      </c>
      <c r="AC38" s="4">
        <f>IF(A38="","",IF(OR(T38&gt;1,U38&lt;Inputs!$B$11,U38&gt;Inputs!$B$12,AA38&lt;Inputs!$B$19,AB38&lt;Inputs!$B$19,N38&lt;Inputs!$B$7,N38&gt;Inputs!$B$8),"CHECK","OK"))</f>
        <v/>
      </c>
      <c r="AD38" s="4">
        <f>IF(A38="","",(1/Inputs!$B$9)*(PI()*(Inputs!$F$5/1000)^2/4)*((Inputs!$F$5/1000/4)^(2/3))*SQRT(N38))</f>
        <v/>
      </c>
      <c r="AE38" s="4">
        <f>IF(A38="","",(1/Inputs!$B$9)*(PI()*(Inputs!$F$6/1000)^2/4)*((Inputs!$F$6/1000/4)^(2/3))*SQRT(N38))</f>
        <v/>
      </c>
      <c r="AF38" s="4">
        <f>IF(A38="","",(1/Inputs!$B$9)*(PI()*(Inputs!$F$7/1000)^2/4)*((Inputs!$F$7/1000/4)^(2/3))*SQRT(N38))</f>
        <v/>
      </c>
      <c r="AG38" s="4">
        <f>IF(A38="","",(1/Inputs!$B$9)*(PI()*(Inputs!$F$8/1000)^2/4)*((Inputs!$F$8/1000/4)^(2/3))*SQRT(N38))</f>
        <v/>
      </c>
      <c r="AH38" s="4">
        <f>IF(A38="","",(1/Inputs!$B$9)*(PI()*(Inputs!$F$9/1000)^2/4)*((Inputs!$F$9/1000/4)^(2/3))*SQRT(N38))</f>
        <v/>
      </c>
      <c r="AI38" s="4">
        <f>IF(A38="","",(1/Inputs!$B$9)*(PI()*(Inputs!$F$10/1000)^2/4)*((Inputs!$F$10/1000/4)^(2/3))*SQRT(N38))</f>
        <v/>
      </c>
      <c r="AJ38" s="4">
        <f>IF(A38="","",(1/Inputs!$B$9)*(PI()*(Inputs!$F$11/1000)^2/4)*((Inputs!$F$11/1000/4)^(2/3))*SQRT(N38))</f>
        <v/>
      </c>
      <c r="AK38" s="4">
        <f>IF(A38="","",(1/Inputs!$B$9)*(PI()*(Inputs!$F$12/1000)^2/4)*((Inputs!$F$12/1000/4)^(2/3))*SQRT(N38))</f>
        <v/>
      </c>
      <c r="AL38" s="4">
        <f>IF(A38="","",(1/Inputs!$B$9)*(PI()*(Inputs!$F$13/1000)^2/4)*((Inputs!$F$13/1000/4)^(2/3))*SQRT(N38))</f>
        <v/>
      </c>
      <c r="AM38" s="4">
        <f>IF(A38="","",(1/Inputs!$B$9)*(PI()*(Inputs!$F$14/1000)^2/4)*((Inputs!$F$14/1000/4)^(2/3))*SQRT(N38))</f>
        <v/>
      </c>
    </row>
    <row r="39">
      <c r="A39" s="4" t="n"/>
      <c r="B39" s="4" t="n"/>
      <c r="C39" s="8" t="n"/>
      <c r="D39" s="8" t="n"/>
      <c r="E39" s="8">
        <f>SUMIFS(CB_Tributaires!$C:$C,CB_Tributaires!$B:$B,$A39)</f>
        <v/>
      </c>
      <c r="F39" s="8">
        <f>IF(D39="",E39,D39)</f>
        <v/>
      </c>
      <c r="G39" s="4" t="n"/>
      <c r="H39" s="8" t="n"/>
      <c r="I39" s="8">
        <f>IF(A39="","",Inputs!$B$13/((IF(H39="",Inputs!$B$18,H39)+Inputs!$B$14)^Inputs!$B$15))</f>
        <v/>
      </c>
      <c r="J39" s="8">
        <f>IF(A39="","",0.00278*IF(G39="",Inputs!$B$17,G39)*F39*I39)</f>
        <v/>
      </c>
      <c r="K39" s="8">
        <f>IF(A39="","",SUMIFS($L$4:$L$203,$B$4:$B$203,$A39))</f>
        <v/>
      </c>
      <c r="L39" s="8">
        <f>IF(A39="","",(J39+K39)*Inputs!$B$16)</f>
        <v/>
      </c>
      <c r="M39" s="8" t="n"/>
      <c r="N39" s="8">
        <f>IF(A39="","",IF(M39="",Inputs!$B$7,M39))</f>
        <v/>
      </c>
      <c r="O39" s="4">
        <f>IF(A39="","",IF(L39/Inputs!$B$10&lt;=AD39,Inputs!$F$5,IF(L39/Inputs!$B$10&gt;AM39,"OVERSIZE",INDEX(Inputs!$F$5:$F$14,MATCH(L39/Inputs!$B$10,AD39:AM39,1)+1))))</f>
        <v/>
      </c>
      <c r="P39" s="4" t="n"/>
      <c r="Q39" s="4">
        <f>IF(A39="","",IF(P39="",O39,P39))</f>
        <v/>
      </c>
      <c r="R39" s="8">
        <f>IF(OR(Q39="",Q39="OVERSIZE"),"",Q39/1000)</f>
        <v/>
      </c>
      <c r="S39" s="8">
        <f>IF(R39="","",(1/Inputs!$B$9)*(PI()*R39^2/4)*((R39/4)^(2/3))*SQRT(N39))</f>
        <v/>
      </c>
      <c r="T39" s="8">
        <f>IF(OR(S39="",L39=""),"",L39/(S39*Inputs!$B$10))</f>
        <v/>
      </c>
      <c r="U39" s="8">
        <f>IF(OR(R39="",L39=""),"",4*L39/(PI()*R39^2))</f>
        <v/>
      </c>
      <c r="V39" s="8" t="n"/>
      <c r="W39" s="8">
        <f>IF(A39="","",IF(A39=Inputs!$B$6,Inputs!$B$22,IF(B39="","",IFERROR(INDEX($X$4:$X$203,MATCH(B39,$A$4:$A$203,0))+IF(V39="",Inputs!$B$20,V39),""))))</f>
        <v/>
      </c>
      <c r="X39" s="8">
        <f>IF(OR(W39="",N39="",C39=""),"",W39+N39*C39)</f>
        <v/>
      </c>
      <c r="Y39" s="8" t="n"/>
      <c r="Z39" s="8" t="n"/>
      <c r="AA39" s="8">
        <f>IF(OR(Y39="",W39=""),"",Y39-W39)</f>
        <v/>
      </c>
      <c r="AB39" s="8">
        <f>IF(OR(Z39="",X39=""),"",Z39-X39)</f>
        <v/>
      </c>
      <c r="AC39" s="4">
        <f>IF(A39="","",IF(OR(T39&gt;1,U39&lt;Inputs!$B$11,U39&gt;Inputs!$B$12,AA39&lt;Inputs!$B$19,AB39&lt;Inputs!$B$19,N39&lt;Inputs!$B$7,N39&gt;Inputs!$B$8),"CHECK","OK"))</f>
        <v/>
      </c>
      <c r="AD39" s="4">
        <f>IF(A39="","",(1/Inputs!$B$9)*(PI()*(Inputs!$F$5/1000)^2/4)*((Inputs!$F$5/1000/4)^(2/3))*SQRT(N39))</f>
        <v/>
      </c>
      <c r="AE39" s="4">
        <f>IF(A39="","",(1/Inputs!$B$9)*(PI()*(Inputs!$F$6/1000)^2/4)*((Inputs!$F$6/1000/4)^(2/3))*SQRT(N39))</f>
        <v/>
      </c>
      <c r="AF39" s="4">
        <f>IF(A39="","",(1/Inputs!$B$9)*(PI()*(Inputs!$F$7/1000)^2/4)*((Inputs!$F$7/1000/4)^(2/3))*SQRT(N39))</f>
        <v/>
      </c>
      <c r="AG39" s="4">
        <f>IF(A39="","",(1/Inputs!$B$9)*(PI()*(Inputs!$F$8/1000)^2/4)*((Inputs!$F$8/1000/4)^(2/3))*SQRT(N39))</f>
        <v/>
      </c>
      <c r="AH39" s="4">
        <f>IF(A39="","",(1/Inputs!$B$9)*(PI()*(Inputs!$F$9/1000)^2/4)*((Inputs!$F$9/1000/4)^(2/3))*SQRT(N39))</f>
        <v/>
      </c>
      <c r="AI39" s="4">
        <f>IF(A39="","",(1/Inputs!$B$9)*(PI()*(Inputs!$F$10/1000)^2/4)*((Inputs!$F$10/1000/4)^(2/3))*SQRT(N39))</f>
        <v/>
      </c>
      <c r="AJ39" s="4">
        <f>IF(A39="","",(1/Inputs!$B$9)*(PI()*(Inputs!$F$11/1000)^2/4)*((Inputs!$F$11/1000/4)^(2/3))*SQRT(N39))</f>
        <v/>
      </c>
      <c r="AK39" s="4">
        <f>IF(A39="","",(1/Inputs!$B$9)*(PI()*(Inputs!$F$12/1000)^2/4)*((Inputs!$F$12/1000/4)^(2/3))*SQRT(N39))</f>
        <v/>
      </c>
      <c r="AL39" s="4">
        <f>IF(A39="","",(1/Inputs!$B$9)*(PI()*(Inputs!$F$13/1000)^2/4)*((Inputs!$F$13/1000/4)^(2/3))*SQRT(N39))</f>
        <v/>
      </c>
      <c r="AM39" s="4">
        <f>IF(A39="","",(1/Inputs!$B$9)*(PI()*(Inputs!$F$14/1000)^2/4)*((Inputs!$F$14/1000/4)^(2/3))*SQRT(N39))</f>
        <v/>
      </c>
    </row>
    <row r="40">
      <c r="A40" s="4" t="n"/>
      <c r="B40" s="4" t="n"/>
      <c r="C40" s="8" t="n"/>
      <c r="D40" s="8" t="n"/>
      <c r="E40" s="8">
        <f>SUMIFS(CB_Tributaires!$C:$C,CB_Tributaires!$B:$B,$A40)</f>
        <v/>
      </c>
      <c r="F40" s="8">
        <f>IF(D40="",E40,D40)</f>
        <v/>
      </c>
      <c r="G40" s="4" t="n"/>
      <c r="H40" s="8" t="n"/>
      <c r="I40" s="8">
        <f>IF(A40="","",Inputs!$B$13/((IF(H40="",Inputs!$B$18,H40)+Inputs!$B$14)^Inputs!$B$15))</f>
        <v/>
      </c>
      <c r="J40" s="8">
        <f>IF(A40="","",0.00278*IF(G40="",Inputs!$B$17,G40)*F40*I40)</f>
        <v/>
      </c>
      <c r="K40" s="8">
        <f>IF(A40="","",SUMIFS($L$4:$L$203,$B$4:$B$203,$A40))</f>
        <v/>
      </c>
      <c r="L40" s="8">
        <f>IF(A40="","",(J40+K40)*Inputs!$B$16)</f>
        <v/>
      </c>
      <c r="M40" s="8" t="n"/>
      <c r="N40" s="8">
        <f>IF(A40="","",IF(M40="",Inputs!$B$7,M40))</f>
        <v/>
      </c>
      <c r="O40" s="4">
        <f>IF(A40="","",IF(L40/Inputs!$B$10&lt;=AD40,Inputs!$F$5,IF(L40/Inputs!$B$10&gt;AM40,"OVERSIZE",INDEX(Inputs!$F$5:$F$14,MATCH(L40/Inputs!$B$10,AD40:AM40,1)+1))))</f>
        <v/>
      </c>
      <c r="P40" s="4" t="n"/>
      <c r="Q40" s="4">
        <f>IF(A40="","",IF(P40="",O40,P40))</f>
        <v/>
      </c>
      <c r="R40" s="8">
        <f>IF(OR(Q40="",Q40="OVERSIZE"),"",Q40/1000)</f>
        <v/>
      </c>
      <c r="S40" s="8">
        <f>IF(R40="","",(1/Inputs!$B$9)*(PI()*R40^2/4)*((R40/4)^(2/3))*SQRT(N40))</f>
        <v/>
      </c>
      <c r="T40" s="8">
        <f>IF(OR(S40="",L40=""),"",L40/(S40*Inputs!$B$10))</f>
        <v/>
      </c>
      <c r="U40" s="8">
        <f>IF(OR(R40="",L40=""),"",4*L40/(PI()*R40^2))</f>
        <v/>
      </c>
      <c r="V40" s="8" t="n"/>
      <c r="W40" s="8">
        <f>IF(A40="","",IF(A40=Inputs!$B$6,Inputs!$B$22,IF(B40="","",IFERROR(INDEX($X$4:$X$203,MATCH(B40,$A$4:$A$203,0))+IF(V40="",Inputs!$B$20,V40),""))))</f>
        <v/>
      </c>
      <c r="X40" s="8">
        <f>IF(OR(W40="",N40="",C40=""),"",W40+N40*C40)</f>
        <v/>
      </c>
      <c r="Y40" s="8" t="n"/>
      <c r="Z40" s="8" t="n"/>
      <c r="AA40" s="8">
        <f>IF(OR(Y40="",W40=""),"",Y40-W40)</f>
        <v/>
      </c>
      <c r="AB40" s="8">
        <f>IF(OR(Z40="",X40=""),"",Z40-X40)</f>
        <v/>
      </c>
      <c r="AC40" s="4">
        <f>IF(A40="","",IF(OR(T40&gt;1,U40&lt;Inputs!$B$11,U40&gt;Inputs!$B$12,AA40&lt;Inputs!$B$19,AB40&lt;Inputs!$B$19,N40&lt;Inputs!$B$7,N40&gt;Inputs!$B$8),"CHECK","OK"))</f>
        <v/>
      </c>
      <c r="AD40" s="4">
        <f>IF(A40="","",(1/Inputs!$B$9)*(PI()*(Inputs!$F$5/1000)^2/4)*((Inputs!$F$5/1000/4)^(2/3))*SQRT(N40))</f>
        <v/>
      </c>
      <c r="AE40" s="4">
        <f>IF(A40="","",(1/Inputs!$B$9)*(PI()*(Inputs!$F$6/1000)^2/4)*((Inputs!$F$6/1000/4)^(2/3))*SQRT(N40))</f>
        <v/>
      </c>
      <c r="AF40" s="4">
        <f>IF(A40="","",(1/Inputs!$B$9)*(PI()*(Inputs!$F$7/1000)^2/4)*((Inputs!$F$7/1000/4)^(2/3))*SQRT(N40))</f>
        <v/>
      </c>
      <c r="AG40" s="4">
        <f>IF(A40="","",(1/Inputs!$B$9)*(PI()*(Inputs!$F$8/1000)^2/4)*((Inputs!$F$8/1000/4)^(2/3))*SQRT(N40))</f>
        <v/>
      </c>
      <c r="AH40" s="4">
        <f>IF(A40="","",(1/Inputs!$B$9)*(PI()*(Inputs!$F$9/1000)^2/4)*((Inputs!$F$9/1000/4)^(2/3))*SQRT(N40))</f>
        <v/>
      </c>
      <c r="AI40" s="4">
        <f>IF(A40="","",(1/Inputs!$B$9)*(PI()*(Inputs!$F$10/1000)^2/4)*((Inputs!$F$10/1000/4)^(2/3))*SQRT(N40))</f>
        <v/>
      </c>
      <c r="AJ40" s="4">
        <f>IF(A40="","",(1/Inputs!$B$9)*(PI()*(Inputs!$F$11/1000)^2/4)*((Inputs!$F$11/1000/4)^(2/3))*SQRT(N40))</f>
        <v/>
      </c>
      <c r="AK40" s="4">
        <f>IF(A40="","",(1/Inputs!$B$9)*(PI()*(Inputs!$F$12/1000)^2/4)*((Inputs!$F$12/1000/4)^(2/3))*SQRT(N40))</f>
        <v/>
      </c>
      <c r="AL40" s="4">
        <f>IF(A40="","",(1/Inputs!$B$9)*(PI()*(Inputs!$F$13/1000)^2/4)*((Inputs!$F$13/1000/4)^(2/3))*SQRT(N40))</f>
        <v/>
      </c>
      <c r="AM40" s="4">
        <f>IF(A40="","",(1/Inputs!$B$9)*(PI()*(Inputs!$F$14/1000)^2/4)*((Inputs!$F$14/1000/4)^(2/3))*SQRT(N40))</f>
        <v/>
      </c>
    </row>
    <row r="41">
      <c r="A41" s="4" t="n"/>
      <c r="B41" s="4" t="n"/>
      <c r="C41" s="8" t="n"/>
      <c r="D41" s="8" t="n"/>
      <c r="E41" s="8">
        <f>SUMIFS(CB_Tributaires!$C:$C,CB_Tributaires!$B:$B,$A41)</f>
        <v/>
      </c>
      <c r="F41" s="8">
        <f>IF(D41="",E41,D41)</f>
        <v/>
      </c>
      <c r="G41" s="4" t="n"/>
      <c r="H41" s="8" t="n"/>
      <c r="I41" s="8">
        <f>IF(A41="","",Inputs!$B$13/((IF(H41="",Inputs!$B$18,H41)+Inputs!$B$14)^Inputs!$B$15))</f>
        <v/>
      </c>
      <c r="J41" s="8">
        <f>IF(A41="","",0.00278*IF(G41="",Inputs!$B$17,G41)*F41*I41)</f>
        <v/>
      </c>
      <c r="K41" s="8">
        <f>IF(A41="","",SUMIFS($L$4:$L$203,$B$4:$B$203,$A41))</f>
        <v/>
      </c>
      <c r="L41" s="8">
        <f>IF(A41="","",(J41+K41)*Inputs!$B$16)</f>
        <v/>
      </c>
      <c r="M41" s="8" t="n"/>
      <c r="N41" s="8">
        <f>IF(A41="","",IF(M41="",Inputs!$B$7,M41))</f>
        <v/>
      </c>
      <c r="O41" s="4">
        <f>IF(A41="","",IF(L41/Inputs!$B$10&lt;=AD41,Inputs!$F$5,IF(L41/Inputs!$B$10&gt;AM41,"OVERSIZE",INDEX(Inputs!$F$5:$F$14,MATCH(L41/Inputs!$B$10,AD41:AM41,1)+1))))</f>
        <v/>
      </c>
      <c r="P41" s="4" t="n"/>
      <c r="Q41" s="4">
        <f>IF(A41="","",IF(P41="",O41,P41))</f>
        <v/>
      </c>
      <c r="R41" s="8">
        <f>IF(OR(Q41="",Q41="OVERSIZE"),"",Q41/1000)</f>
        <v/>
      </c>
      <c r="S41" s="8">
        <f>IF(R41="","",(1/Inputs!$B$9)*(PI()*R41^2/4)*((R41/4)^(2/3))*SQRT(N41))</f>
        <v/>
      </c>
      <c r="T41" s="8">
        <f>IF(OR(S41="",L41=""),"",L41/(S41*Inputs!$B$10))</f>
        <v/>
      </c>
      <c r="U41" s="8">
        <f>IF(OR(R41="",L41=""),"",4*L41/(PI()*R41^2))</f>
        <v/>
      </c>
      <c r="V41" s="8" t="n"/>
      <c r="W41" s="8">
        <f>IF(A41="","",IF(A41=Inputs!$B$6,Inputs!$B$22,IF(B41="","",IFERROR(INDEX($X$4:$X$203,MATCH(B41,$A$4:$A$203,0))+IF(V41="",Inputs!$B$20,V41),""))))</f>
        <v/>
      </c>
      <c r="X41" s="8">
        <f>IF(OR(W41="",N41="",C41=""),"",W41+N41*C41)</f>
        <v/>
      </c>
      <c r="Y41" s="8" t="n"/>
      <c r="Z41" s="8" t="n"/>
      <c r="AA41" s="8">
        <f>IF(OR(Y41="",W41=""),"",Y41-W41)</f>
        <v/>
      </c>
      <c r="AB41" s="8">
        <f>IF(OR(Z41="",X41=""),"",Z41-X41)</f>
        <v/>
      </c>
      <c r="AC41" s="4">
        <f>IF(A41="","",IF(OR(T41&gt;1,U41&lt;Inputs!$B$11,U41&gt;Inputs!$B$12,AA41&lt;Inputs!$B$19,AB41&lt;Inputs!$B$19,N41&lt;Inputs!$B$7,N41&gt;Inputs!$B$8),"CHECK","OK"))</f>
        <v/>
      </c>
      <c r="AD41" s="4">
        <f>IF(A41="","",(1/Inputs!$B$9)*(PI()*(Inputs!$F$5/1000)^2/4)*((Inputs!$F$5/1000/4)^(2/3))*SQRT(N41))</f>
        <v/>
      </c>
      <c r="AE41" s="4">
        <f>IF(A41="","",(1/Inputs!$B$9)*(PI()*(Inputs!$F$6/1000)^2/4)*((Inputs!$F$6/1000/4)^(2/3))*SQRT(N41))</f>
        <v/>
      </c>
      <c r="AF41" s="4">
        <f>IF(A41="","",(1/Inputs!$B$9)*(PI()*(Inputs!$F$7/1000)^2/4)*((Inputs!$F$7/1000/4)^(2/3))*SQRT(N41))</f>
        <v/>
      </c>
      <c r="AG41" s="4">
        <f>IF(A41="","",(1/Inputs!$B$9)*(PI()*(Inputs!$F$8/1000)^2/4)*((Inputs!$F$8/1000/4)^(2/3))*SQRT(N41))</f>
        <v/>
      </c>
      <c r="AH41" s="4">
        <f>IF(A41="","",(1/Inputs!$B$9)*(PI()*(Inputs!$F$9/1000)^2/4)*((Inputs!$F$9/1000/4)^(2/3))*SQRT(N41))</f>
        <v/>
      </c>
      <c r="AI41" s="4">
        <f>IF(A41="","",(1/Inputs!$B$9)*(PI()*(Inputs!$F$10/1000)^2/4)*((Inputs!$F$10/1000/4)^(2/3))*SQRT(N41))</f>
        <v/>
      </c>
      <c r="AJ41" s="4">
        <f>IF(A41="","",(1/Inputs!$B$9)*(PI()*(Inputs!$F$11/1000)^2/4)*((Inputs!$F$11/1000/4)^(2/3))*SQRT(N41))</f>
        <v/>
      </c>
      <c r="AK41" s="4">
        <f>IF(A41="","",(1/Inputs!$B$9)*(PI()*(Inputs!$F$12/1000)^2/4)*((Inputs!$F$12/1000/4)^(2/3))*SQRT(N41))</f>
        <v/>
      </c>
      <c r="AL41" s="4">
        <f>IF(A41="","",(1/Inputs!$B$9)*(PI()*(Inputs!$F$13/1000)^2/4)*((Inputs!$F$13/1000/4)^(2/3))*SQRT(N41))</f>
        <v/>
      </c>
      <c r="AM41" s="4">
        <f>IF(A41="","",(1/Inputs!$B$9)*(PI()*(Inputs!$F$14/1000)^2/4)*((Inputs!$F$14/1000/4)^(2/3))*SQRT(N41))</f>
        <v/>
      </c>
    </row>
    <row r="42">
      <c r="A42" s="4" t="n"/>
      <c r="B42" s="4" t="n"/>
      <c r="C42" s="8" t="n"/>
      <c r="D42" s="8" t="n"/>
      <c r="E42" s="8">
        <f>SUMIFS(CB_Tributaires!$C:$C,CB_Tributaires!$B:$B,$A42)</f>
        <v/>
      </c>
      <c r="F42" s="8">
        <f>IF(D42="",E42,D42)</f>
        <v/>
      </c>
      <c r="G42" s="4" t="n"/>
      <c r="H42" s="8" t="n"/>
      <c r="I42" s="8">
        <f>IF(A42="","",Inputs!$B$13/((IF(H42="",Inputs!$B$18,H42)+Inputs!$B$14)^Inputs!$B$15))</f>
        <v/>
      </c>
      <c r="J42" s="8">
        <f>IF(A42="","",0.00278*IF(G42="",Inputs!$B$17,G42)*F42*I42)</f>
        <v/>
      </c>
      <c r="K42" s="8">
        <f>IF(A42="","",SUMIFS($L$4:$L$203,$B$4:$B$203,$A42))</f>
        <v/>
      </c>
      <c r="L42" s="8">
        <f>IF(A42="","",(J42+K42)*Inputs!$B$16)</f>
        <v/>
      </c>
      <c r="M42" s="8" t="n"/>
      <c r="N42" s="8">
        <f>IF(A42="","",IF(M42="",Inputs!$B$7,M42))</f>
        <v/>
      </c>
      <c r="O42" s="4">
        <f>IF(A42="","",IF(L42/Inputs!$B$10&lt;=AD42,Inputs!$F$5,IF(L42/Inputs!$B$10&gt;AM42,"OVERSIZE",INDEX(Inputs!$F$5:$F$14,MATCH(L42/Inputs!$B$10,AD42:AM42,1)+1))))</f>
        <v/>
      </c>
      <c r="P42" s="4" t="n"/>
      <c r="Q42" s="4">
        <f>IF(A42="","",IF(P42="",O42,P42))</f>
        <v/>
      </c>
      <c r="R42" s="8">
        <f>IF(OR(Q42="",Q42="OVERSIZE"),"",Q42/1000)</f>
        <v/>
      </c>
      <c r="S42" s="8">
        <f>IF(R42="","",(1/Inputs!$B$9)*(PI()*R42^2/4)*((R42/4)^(2/3))*SQRT(N42))</f>
        <v/>
      </c>
      <c r="T42" s="8">
        <f>IF(OR(S42="",L42=""),"",L42/(S42*Inputs!$B$10))</f>
        <v/>
      </c>
      <c r="U42" s="8">
        <f>IF(OR(R42="",L42=""),"",4*L42/(PI()*R42^2))</f>
        <v/>
      </c>
      <c r="V42" s="8" t="n"/>
      <c r="W42" s="8">
        <f>IF(A42="","",IF(A42=Inputs!$B$6,Inputs!$B$22,IF(B42="","",IFERROR(INDEX($X$4:$X$203,MATCH(B42,$A$4:$A$203,0))+IF(V42="",Inputs!$B$20,V42),""))))</f>
        <v/>
      </c>
      <c r="X42" s="8">
        <f>IF(OR(W42="",N42="",C42=""),"",W42+N42*C42)</f>
        <v/>
      </c>
      <c r="Y42" s="8" t="n"/>
      <c r="Z42" s="8" t="n"/>
      <c r="AA42" s="8">
        <f>IF(OR(Y42="",W42=""),"",Y42-W42)</f>
        <v/>
      </c>
      <c r="AB42" s="8">
        <f>IF(OR(Z42="",X42=""),"",Z42-X42)</f>
        <v/>
      </c>
      <c r="AC42" s="4">
        <f>IF(A42="","",IF(OR(T42&gt;1,U42&lt;Inputs!$B$11,U42&gt;Inputs!$B$12,AA42&lt;Inputs!$B$19,AB42&lt;Inputs!$B$19,N42&lt;Inputs!$B$7,N42&gt;Inputs!$B$8),"CHECK","OK"))</f>
        <v/>
      </c>
      <c r="AD42" s="4">
        <f>IF(A42="","",(1/Inputs!$B$9)*(PI()*(Inputs!$F$5/1000)^2/4)*((Inputs!$F$5/1000/4)^(2/3))*SQRT(N42))</f>
        <v/>
      </c>
      <c r="AE42" s="4">
        <f>IF(A42="","",(1/Inputs!$B$9)*(PI()*(Inputs!$F$6/1000)^2/4)*((Inputs!$F$6/1000/4)^(2/3))*SQRT(N42))</f>
        <v/>
      </c>
      <c r="AF42" s="4">
        <f>IF(A42="","",(1/Inputs!$B$9)*(PI()*(Inputs!$F$7/1000)^2/4)*((Inputs!$F$7/1000/4)^(2/3))*SQRT(N42))</f>
        <v/>
      </c>
      <c r="AG42" s="4">
        <f>IF(A42="","",(1/Inputs!$B$9)*(PI()*(Inputs!$F$8/1000)^2/4)*((Inputs!$F$8/1000/4)^(2/3))*SQRT(N42))</f>
        <v/>
      </c>
      <c r="AH42" s="4">
        <f>IF(A42="","",(1/Inputs!$B$9)*(PI()*(Inputs!$F$9/1000)^2/4)*((Inputs!$F$9/1000/4)^(2/3))*SQRT(N42))</f>
        <v/>
      </c>
      <c r="AI42" s="4">
        <f>IF(A42="","",(1/Inputs!$B$9)*(PI()*(Inputs!$F$10/1000)^2/4)*((Inputs!$F$10/1000/4)^(2/3))*SQRT(N42))</f>
        <v/>
      </c>
      <c r="AJ42" s="4">
        <f>IF(A42="","",(1/Inputs!$B$9)*(PI()*(Inputs!$F$11/1000)^2/4)*((Inputs!$F$11/1000/4)^(2/3))*SQRT(N42))</f>
        <v/>
      </c>
      <c r="AK42" s="4">
        <f>IF(A42="","",(1/Inputs!$B$9)*(PI()*(Inputs!$F$12/1000)^2/4)*((Inputs!$F$12/1000/4)^(2/3))*SQRT(N42))</f>
        <v/>
      </c>
      <c r="AL42" s="4">
        <f>IF(A42="","",(1/Inputs!$B$9)*(PI()*(Inputs!$F$13/1000)^2/4)*((Inputs!$F$13/1000/4)^(2/3))*SQRT(N42))</f>
        <v/>
      </c>
      <c r="AM42" s="4">
        <f>IF(A42="","",(1/Inputs!$B$9)*(PI()*(Inputs!$F$14/1000)^2/4)*((Inputs!$F$14/1000/4)^(2/3))*SQRT(N42))</f>
        <v/>
      </c>
    </row>
    <row r="43">
      <c r="A43" s="4" t="n"/>
      <c r="B43" s="4" t="n"/>
      <c r="C43" s="8" t="n"/>
      <c r="D43" s="8" t="n"/>
      <c r="E43" s="8">
        <f>SUMIFS(CB_Tributaires!$C:$C,CB_Tributaires!$B:$B,$A43)</f>
        <v/>
      </c>
      <c r="F43" s="8">
        <f>IF(D43="",E43,D43)</f>
        <v/>
      </c>
      <c r="G43" s="4" t="n"/>
      <c r="H43" s="8" t="n"/>
      <c r="I43" s="8">
        <f>IF(A43="","",Inputs!$B$13/((IF(H43="",Inputs!$B$18,H43)+Inputs!$B$14)^Inputs!$B$15))</f>
        <v/>
      </c>
      <c r="J43" s="8">
        <f>IF(A43="","",0.00278*IF(G43="",Inputs!$B$17,G43)*F43*I43)</f>
        <v/>
      </c>
      <c r="K43" s="8">
        <f>IF(A43="","",SUMIFS($L$4:$L$203,$B$4:$B$203,$A43))</f>
        <v/>
      </c>
      <c r="L43" s="8">
        <f>IF(A43="","",(J43+K43)*Inputs!$B$16)</f>
        <v/>
      </c>
      <c r="M43" s="8" t="n"/>
      <c r="N43" s="8">
        <f>IF(A43="","",IF(M43="",Inputs!$B$7,M43))</f>
        <v/>
      </c>
      <c r="O43" s="4">
        <f>IF(A43="","",IF(L43/Inputs!$B$10&lt;=AD43,Inputs!$F$5,IF(L43/Inputs!$B$10&gt;AM43,"OVERSIZE",INDEX(Inputs!$F$5:$F$14,MATCH(L43/Inputs!$B$10,AD43:AM43,1)+1))))</f>
        <v/>
      </c>
      <c r="P43" s="4" t="n"/>
      <c r="Q43" s="4">
        <f>IF(A43="","",IF(P43="",O43,P43))</f>
        <v/>
      </c>
      <c r="R43" s="8">
        <f>IF(OR(Q43="",Q43="OVERSIZE"),"",Q43/1000)</f>
        <v/>
      </c>
      <c r="S43" s="8">
        <f>IF(R43="","",(1/Inputs!$B$9)*(PI()*R43^2/4)*((R43/4)^(2/3))*SQRT(N43))</f>
        <v/>
      </c>
      <c r="T43" s="8">
        <f>IF(OR(S43="",L43=""),"",L43/(S43*Inputs!$B$10))</f>
        <v/>
      </c>
      <c r="U43" s="8">
        <f>IF(OR(R43="",L43=""),"",4*L43/(PI()*R43^2))</f>
        <v/>
      </c>
      <c r="V43" s="8" t="n"/>
      <c r="W43" s="8">
        <f>IF(A43="","",IF(A43=Inputs!$B$6,Inputs!$B$22,IF(B43="","",IFERROR(INDEX($X$4:$X$203,MATCH(B43,$A$4:$A$203,0))+IF(V43="",Inputs!$B$20,V43),""))))</f>
        <v/>
      </c>
      <c r="X43" s="8">
        <f>IF(OR(W43="",N43="",C43=""),"",W43+N43*C43)</f>
        <v/>
      </c>
      <c r="Y43" s="8" t="n"/>
      <c r="Z43" s="8" t="n"/>
      <c r="AA43" s="8">
        <f>IF(OR(Y43="",W43=""),"",Y43-W43)</f>
        <v/>
      </c>
      <c r="AB43" s="8">
        <f>IF(OR(Z43="",X43=""),"",Z43-X43)</f>
        <v/>
      </c>
      <c r="AC43" s="4">
        <f>IF(A43="","",IF(OR(T43&gt;1,U43&lt;Inputs!$B$11,U43&gt;Inputs!$B$12,AA43&lt;Inputs!$B$19,AB43&lt;Inputs!$B$19,N43&lt;Inputs!$B$7,N43&gt;Inputs!$B$8),"CHECK","OK"))</f>
        <v/>
      </c>
      <c r="AD43" s="4">
        <f>IF(A43="","",(1/Inputs!$B$9)*(PI()*(Inputs!$F$5/1000)^2/4)*((Inputs!$F$5/1000/4)^(2/3))*SQRT(N43))</f>
        <v/>
      </c>
      <c r="AE43" s="4">
        <f>IF(A43="","",(1/Inputs!$B$9)*(PI()*(Inputs!$F$6/1000)^2/4)*((Inputs!$F$6/1000/4)^(2/3))*SQRT(N43))</f>
        <v/>
      </c>
      <c r="AF43" s="4">
        <f>IF(A43="","",(1/Inputs!$B$9)*(PI()*(Inputs!$F$7/1000)^2/4)*((Inputs!$F$7/1000/4)^(2/3))*SQRT(N43))</f>
        <v/>
      </c>
      <c r="AG43" s="4">
        <f>IF(A43="","",(1/Inputs!$B$9)*(PI()*(Inputs!$F$8/1000)^2/4)*((Inputs!$F$8/1000/4)^(2/3))*SQRT(N43))</f>
        <v/>
      </c>
      <c r="AH43" s="4">
        <f>IF(A43="","",(1/Inputs!$B$9)*(PI()*(Inputs!$F$9/1000)^2/4)*((Inputs!$F$9/1000/4)^(2/3))*SQRT(N43))</f>
        <v/>
      </c>
      <c r="AI43" s="4">
        <f>IF(A43="","",(1/Inputs!$B$9)*(PI()*(Inputs!$F$10/1000)^2/4)*((Inputs!$F$10/1000/4)^(2/3))*SQRT(N43))</f>
        <v/>
      </c>
      <c r="AJ43" s="4">
        <f>IF(A43="","",(1/Inputs!$B$9)*(PI()*(Inputs!$F$11/1000)^2/4)*((Inputs!$F$11/1000/4)^(2/3))*SQRT(N43))</f>
        <v/>
      </c>
      <c r="AK43" s="4">
        <f>IF(A43="","",(1/Inputs!$B$9)*(PI()*(Inputs!$F$12/1000)^2/4)*((Inputs!$F$12/1000/4)^(2/3))*SQRT(N43))</f>
        <v/>
      </c>
      <c r="AL43" s="4">
        <f>IF(A43="","",(1/Inputs!$B$9)*(PI()*(Inputs!$F$13/1000)^2/4)*((Inputs!$F$13/1000/4)^(2/3))*SQRT(N43))</f>
        <v/>
      </c>
      <c r="AM43" s="4">
        <f>IF(A43="","",(1/Inputs!$B$9)*(PI()*(Inputs!$F$14/1000)^2/4)*((Inputs!$F$14/1000/4)^(2/3))*SQRT(N43))</f>
        <v/>
      </c>
    </row>
    <row r="44">
      <c r="A44" s="4" t="n"/>
      <c r="B44" s="4" t="n"/>
      <c r="C44" s="8" t="n"/>
      <c r="D44" s="8" t="n"/>
      <c r="E44" s="8">
        <f>SUMIFS(CB_Tributaires!$C:$C,CB_Tributaires!$B:$B,$A44)</f>
        <v/>
      </c>
      <c r="F44" s="8">
        <f>IF(D44="",E44,D44)</f>
        <v/>
      </c>
      <c r="G44" s="4" t="n"/>
      <c r="H44" s="8" t="n"/>
      <c r="I44" s="8">
        <f>IF(A44="","",Inputs!$B$13/((IF(H44="",Inputs!$B$18,H44)+Inputs!$B$14)^Inputs!$B$15))</f>
        <v/>
      </c>
      <c r="J44" s="8">
        <f>IF(A44="","",0.00278*IF(G44="",Inputs!$B$17,G44)*F44*I44)</f>
        <v/>
      </c>
      <c r="K44" s="8">
        <f>IF(A44="","",SUMIFS($L$4:$L$203,$B$4:$B$203,$A44))</f>
        <v/>
      </c>
      <c r="L44" s="8">
        <f>IF(A44="","",(J44+K44)*Inputs!$B$16)</f>
        <v/>
      </c>
      <c r="M44" s="8" t="n"/>
      <c r="N44" s="8">
        <f>IF(A44="","",IF(M44="",Inputs!$B$7,M44))</f>
        <v/>
      </c>
      <c r="O44" s="4">
        <f>IF(A44="","",IF(L44/Inputs!$B$10&lt;=AD44,Inputs!$F$5,IF(L44/Inputs!$B$10&gt;AM44,"OVERSIZE",INDEX(Inputs!$F$5:$F$14,MATCH(L44/Inputs!$B$10,AD44:AM44,1)+1))))</f>
        <v/>
      </c>
      <c r="P44" s="4" t="n"/>
      <c r="Q44" s="4">
        <f>IF(A44="","",IF(P44="",O44,P44))</f>
        <v/>
      </c>
      <c r="R44" s="8">
        <f>IF(OR(Q44="",Q44="OVERSIZE"),"",Q44/1000)</f>
        <v/>
      </c>
      <c r="S44" s="8">
        <f>IF(R44="","",(1/Inputs!$B$9)*(PI()*R44^2/4)*((R44/4)^(2/3))*SQRT(N44))</f>
        <v/>
      </c>
      <c r="T44" s="8">
        <f>IF(OR(S44="",L44=""),"",L44/(S44*Inputs!$B$10))</f>
        <v/>
      </c>
      <c r="U44" s="8">
        <f>IF(OR(R44="",L44=""),"",4*L44/(PI()*R44^2))</f>
        <v/>
      </c>
      <c r="V44" s="8" t="n"/>
      <c r="W44" s="8">
        <f>IF(A44="","",IF(A44=Inputs!$B$6,Inputs!$B$22,IF(B44="","",IFERROR(INDEX($X$4:$X$203,MATCH(B44,$A$4:$A$203,0))+IF(V44="",Inputs!$B$20,V44),""))))</f>
        <v/>
      </c>
      <c r="X44" s="8">
        <f>IF(OR(W44="",N44="",C44=""),"",W44+N44*C44)</f>
        <v/>
      </c>
      <c r="Y44" s="8" t="n"/>
      <c r="Z44" s="8" t="n"/>
      <c r="AA44" s="8">
        <f>IF(OR(Y44="",W44=""),"",Y44-W44)</f>
        <v/>
      </c>
      <c r="AB44" s="8">
        <f>IF(OR(Z44="",X44=""),"",Z44-X44)</f>
        <v/>
      </c>
      <c r="AC44" s="4">
        <f>IF(A44="","",IF(OR(T44&gt;1,U44&lt;Inputs!$B$11,U44&gt;Inputs!$B$12,AA44&lt;Inputs!$B$19,AB44&lt;Inputs!$B$19,N44&lt;Inputs!$B$7,N44&gt;Inputs!$B$8),"CHECK","OK"))</f>
        <v/>
      </c>
      <c r="AD44" s="4">
        <f>IF(A44="","",(1/Inputs!$B$9)*(PI()*(Inputs!$F$5/1000)^2/4)*((Inputs!$F$5/1000/4)^(2/3))*SQRT(N44))</f>
        <v/>
      </c>
      <c r="AE44" s="4">
        <f>IF(A44="","",(1/Inputs!$B$9)*(PI()*(Inputs!$F$6/1000)^2/4)*((Inputs!$F$6/1000/4)^(2/3))*SQRT(N44))</f>
        <v/>
      </c>
      <c r="AF44" s="4">
        <f>IF(A44="","",(1/Inputs!$B$9)*(PI()*(Inputs!$F$7/1000)^2/4)*((Inputs!$F$7/1000/4)^(2/3))*SQRT(N44))</f>
        <v/>
      </c>
      <c r="AG44" s="4">
        <f>IF(A44="","",(1/Inputs!$B$9)*(PI()*(Inputs!$F$8/1000)^2/4)*((Inputs!$F$8/1000/4)^(2/3))*SQRT(N44))</f>
        <v/>
      </c>
      <c r="AH44" s="4">
        <f>IF(A44="","",(1/Inputs!$B$9)*(PI()*(Inputs!$F$9/1000)^2/4)*((Inputs!$F$9/1000/4)^(2/3))*SQRT(N44))</f>
        <v/>
      </c>
      <c r="AI44" s="4">
        <f>IF(A44="","",(1/Inputs!$B$9)*(PI()*(Inputs!$F$10/1000)^2/4)*((Inputs!$F$10/1000/4)^(2/3))*SQRT(N44))</f>
        <v/>
      </c>
      <c r="AJ44" s="4">
        <f>IF(A44="","",(1/Inputs!$B$9)*(PI()*(Inputs!$F$11/1000)^2/4)*((Inputs!$F$11/1000/4)^(2/3))*SQRT(N44))</f>
        <v/>
      </c>
      <c r="AK44" s="4">
        <f>IF(A44="","",(1/Inputs!$B$9)*(PI()*(Inputs!$F$12/1000)^2/4)*((Inputs!$F$12/1000/4)^(2/3))*SQRT(N44))</f>
        <v/>
      </c>
      <c r="AL44" s="4">
        <f>IF(A44="","",(1/Inputs!$B$9)*(PI()*(Inputs!$F$13/1000)^2/4)*((Inputs!$F$13/1000/4)^(2/3))*SQRT(N44))</f>
        <v/>
      </c>
      <c r="AM44" s="4">
        <f>IF(A44="","",(1/Inputs!$B$9)*(PI()*(Inputs!$F$14/1000)^2/4)*((Inputs!$F$14/1000/4)^(2/3))*SQRT(N44))</f>
        <v/>
      </c>
    </row>
    <row r="45">
      <c r="A45" s="4" t="n"/>
      <c r="B45" s="4" t="n"/>
      <c r="C45" s="8" t="n"/>
      <c r="D45" s="8" t="n"/>
      <c r="E45" s="8">
        <f>SUMIFS(CB_Tributaires!$C:$C,CB_Tributaires!$B:$B,$A45)</f>
        <v/>
      </c>
      <c r="F45" s="8">
        <f>IF(D45="",E45,D45)</f>
        <v/>
      </c>
      <c r="G45" s="4" t="n"/>
      <c r="H45" s="8" t="n"/>
      <c r="I45" s="8">
        <f>IF(A45="","",Inputs!$B$13/((IF(H45="",Inputs!$B$18,H45)+Inputs!$B$14)^Inputs!$B$15))</f>
        <v/>
      </c>
      <c r="J45" s="8">
        <f>IF(A45="","",0.00278*IF(G45="",Inputs!$B$17,G45)*F45*I45)</f>
        <v/>
      </c>
      <c r="K45" s="8">
        <f>IF(A45="","",SUMIFS($L$4:$L$203,$B$4:$B$203,$A45))</f>
        <v/>
      </c>
      <c r="L45" s="8">
        <f>IF(A45="","",(J45+K45)*Inputs!$B$16)</f>
        <v/>
      </c>
      <c r="M45" s="8" t="n"/>
      <c r="N45" s="8">
        <f>IF(A45="","",IF(M45="",Inputs!$B$7,M45))</f>
        <v/>
      </c>
      <c r="O45" s="4">
        <f>IF(A45="","",IF(L45/Inputs!$B$10&lt;=AD45,Inputs!$F$5,IF(L45/Inputs!$B$10&gt;AM45,"OVERSIZE",INDEX(Inputs!$F$5:$F$14,MATCH(L45/Inputs!$B$10,AD45:AM45,1)+1))))</f>
        <v/>
      </c>
      <c r="P45" s="4" t="n"/>
      <c r="Q45" s="4">
        <f>IF(A45="","",IF(P45="",O45,P45))</f>
        <v/>
      </c>
      <c r="R45" s="8">
        <f>IF(OR(Q45="",Q45="OVERSIZE"),"",Q45/1000)</f>
        <v/>
      </c>
      <c r="S45" s="8">
        <f>IF(R45="","",(1/Inputs!$B$9)*(PI()*R45^2/4)*((R45/4)^(2/3))*SQRT(N45))</f>
        <v/>
      </c>
      <c r="T45" s="8">
        <f>IF(OR(S45="",L45=""),"",L45/(S45*Inputs!$B$10))</f>
        <v/>
      </c>
      <c r="U45" s="8">
        <f>IF(OR(R45="",L45=""),"",4*L45/(PI()*R45^2))</f>
        <v/>
      </c>
      <c r="V45" s="8" t="n"/>
      <c r="W45" s="8">
        <f>IF(A45="","",IF(A45=Inputs!$B$6,Inputs!$B$22,IF(B45="","",IFERROR(INDEX($X$4:$X$203,MATCH(B45,$A$4:$A$203,0))+IF(V45="",Inputs!$B$20,V45),""))))</f>
        <v/>
      </c>
      <c r="X45" s="8">
        <f>IF(OR(W45="",N45="",C45=""),"",W45+N45*C45)</f>
        <v/>
      </c>
      <c r="Y45" s="8" t="n"/>
      <c r="Z45" s="8" t="n"/>
      <c r="AA45" s="8">
        <f>IF(OR(Y45="",W45=""),"",Y45-W45)</f>
        <v/>
      </c>
      <c r="AB45" s="8">
        <f>IF(OR(Z45="",X45=""),"",Z45-X45)</f>
        <v/>
      </c>
      <c r="AC45" s="4">
        <f>IF(A45="","",IF(OR(T45&gt;1,U45&lt;Inputs!$B$11,U45&gt;Inputs!$B$12,AA45&lt;Inputs!$B$19,AB45&lt;Inputs!$B$19,N45&lt;Inputs!$B$7,N45&gt;Inputs!$B$8),"CHECK","OK"))</f>
        <v/>
      </c>
      <c r="AD45" s="4">
        <f>IF(A45="","",(1/Inputs!$B$9)*(PI()*(Inputs!$F$5/1000)^2/4)*((Inputs!$F$5/1000/4)^(2/3))*SQRT(N45))</f>
        <v/>
      </c>
      <c r="AE45" s="4">
        <f>IF(A45="","",(1/Inputs!$B$9)*(PI()*(Inputs!$F$6/1000)^2/4)*((Inputs!$F$6/1000/4)^(2/3))*SQRT(N45))</f>
        <v/>
      </c>
      <c r="AF45" s="4">
        <f>IF(A45="","",(1/Inputs!$B$9)*(PI()*(Inputs!$F$7/1000)^2/4)*((Inputs!$F$7/1000/4)^(2/3))*SQRT(N45))</f>
        <v/>
      </c>
      <c r="AG45" s="4">
        <f>IF(A45="","",(1/Inputs!$B$9)*(PI()*(Inputs!$F$8/1000)^2/4)*((Inputs!$F$8/1000/4)^(2/3))*SQRT(N45))</f>
        <v/>
      </c>
      <c r="AH45" s="4">
        <f>IF(A45="","",(1/Inputs!$B$9)*(PI()*(Inputs!$F$9/1000)^2/4)*((Inputs!$F$9/1000/4)^(2/3))*SQRT(N45))</f>
        <v/>
      </c>
      <c r="AI45" s="4">
        <f>IF(A45="","",(1/Inputs!$B$9)*(PI()*(Inputs!$F$10/1000)^2/4)*((Inputs!$F$10/1000/4)^(2/3))*SQRT(N45))</f>
        <v/>
      </c>
      <c r="AJ45" s="4">
        <f>IF(A45="","",(1/Inputs!$B$9)*(PI()*(Inputs!$F$11/1000)^2/4)*((Inputs!$F$11/1000/4)^(2/3))*SQRT(N45))</f>
        <v/>
      </c>
      <c r="AK45" s="4">
        <f>IF(A45="","",(1/Inputs!$B$9)*(PI()*(Inputs!$F$12/1000)^2/4)*((Inputs!$F$12/1000/4)^(2/3))*SQRT(N45))</f>
        <v/>
      </c>
      <c r="AL45" s="4">
        <f>IF(A45="","",(1/Inputs!$B$9)*(PI()*(Inputs!$F$13/1000)^2/4)*((Inputs!$F$13/1000/4)^(2/3))*SQRT(N45))</f>
        <v/>
      </c>
      <c r="AM45" s="4">
        <f>IF(A45="","",(1/Inputs!$B$9)*(PI()*(Inputs!$F$14/1000)^2/4)*((Inputs!$F$14/1000/4)^(2/3))*SQRT(N45))</f>
        <v/>
      </c>
    </row>
    <row r="46">
      <c r="A46" s="4" t="n"/>
      <c r="B46" s="4" t="n"/>
      <c r="C46" s="8" t="n"/>
      <c r="D46" s="8" t="n"/>
      <c r="E46" s="8">
        <f>SUMIFS(CB_Tributaires!$C:$C,CB_Tributaires!$B:$B,$A46)</f>
        <v/>
      </c>
      <c r="F46" s="8">
        <f>IF(D46="",E46,D46)</f>
        <v/>
      </c>
      <c r="G46" s="4" t="n"/>
      <c r="H46" s="8" t="n"/>
      <c r="I46" s="8">
        <f>IF(A46="","",Inputs!$B$13/((IF(H46="",Inputs!$B$18,H46)+Inputs!$B$14)^Inputs!$B$15))</f>
        <v/>
      </c>
      <c r="J46" s="8">
        <f>IF(A46="","",0.00278*IF(G46="",Inputs!$B$17,G46)*F46*I46)</f>
        <v/>
      </c>
      <c r="K46" s="8">
        <f>IF(A46="","",SUMIFS($L$4:$L$203,$B$4:$B$203,$A46))</f>
        <v/>
      </c>
      <c r="L46" s="8">
        <f>IF(A46="","",(J46+K46)*Inputs!$B$16)</f>
        <v/>
      </c>
      <c r="M46" s="8" t="n"/>
      <c r="N46" s="8">
        <f>IF(A46="","",IF(M46="",Inputs!$B$7,M46))</f>
        <v/>
      </c>
      <c r="O46" s="4">
        <f>IF(A46="","",IF(L46/Inputs!$B$10&lt;=AD46,Inputs!$F$5,IF(L46/Inputs!$B$10&gt;AM46,"OVERSIZE",INDEX(Inputs!$F$5:$F$14,MATCH(L46/Inputs!$B$10,AD46:AM46,1)+1))))</f>
        <v/>
      </c>
      <c r="P46" s="4" t="n"/>
      <c r="Q46" s="4">
        <f>IF(A46="","",IF(P46="",O46,P46))</f>
        <v/>
      </c>
      <c r="R46" s="8">
        <f>IF(OR(Q46="",Q46="OVERSIZE"),"",Q46/1000)</f>
        <v/>
      </c>
      <c r="S46" s="8">
        <f>IF(R46="","",(1/Inputs!$B$9)*(PI()*R46^2/4)*((R46/4)^(2/3))*SQRT(N46))</f>
        <v/>
      </c>
      <c r="T46" s="8">
        <f>IF(OR(S46="",L46=""),"",L46/(S46*Inputs!$B$10))</f>
        <v/>
      </c>
      <c r="U46" s="8">
        <f>IF(OR(R46="",L46=""),"",4*L46/(PI()*R46^2))</f>
        <v/>
      </c>
      <c r="V46" s="8" t="n"/>
      <c r="W46" s="8">
        <f>IF(A46="","",IF(A46=Inputs!$B$6,Inputs!$B$22,IF(B46="","",IFERROR(INDEX($X$4:$X$203,MATCH(B46,$A$4:$A$203,0))+IF(V46="",Inputs!$B$20,V46),""))))</f>
        <v/>
      </c>
      <c r="X46" s="8">
        <f>IF(OR(W46="",N46="",C46=""),"",W46+N46*C46)</f>
        <v/>
      </c>
      <c r="Y46" s="8" t="n"/>
      <c r="Z46" s="8" t="n"/>
      <c r="AA46" s="8">
        <f>IF(OR(Y46="",W46=""),"",Y46-W46)</f>
        <v/>
      </c>
      <c r="AB46" s="8">
        <f>IF(OR(Z46="",X46=""),"",Z46-X46)</f>
        <v/>
      </c>
      <c r="AC46" s="4">
        <f>IF(A46="","",IF(OR(T46&gt;1,U46&lt;Inputs!$B$11,U46&gt;Inputs!$B$12,AA46&lt;Inputs!$B$19,AB46&lt;Inputs!$B$19,N46&lt;Inputs!$B$7,N46&gt;Inputs!$B$8),"CHECK","OK"))</f>
        <v/>
      </c>
      <c r="AD46" s="4">
        <f>IF(A46="","",(1/Inputs!$B$9)*(PI()*(Inputs!$F$5/1000)^2/4)*((Inputs!$F$5/1000/4)^(2/3))*SQRT(N46))</f>
        <v/>
      </c>
      <c r="AE46" s="4">
        <f>IF(A46="","",(1/Inputs!$B$9)*(PI()*(Inputs!$F$6/1000)^2/4)*((Inputs!$F$6/1000/4)^(2/3))*SQRT(N46))</f>
        <v/>
      </c>
      <c r="AF46" s="4">
        <f>IF(A46="","",(1/Inputs!$B$9)*(PI()*(Inputs!$F$7/1000)^2/4)*((Inputs!$F$7/1000/4)^(2/3))*SQRT(N46))</f>
        <v/>
      </c>
      <c r="AG46" s="4">
        <f>IF(A46="","",(1/Inputs!$B$9)*(PI()*(Inputs!$F$8/1000)^2/4)*((Inputs!$F$8/1000/4)^(2/3))*SQRT(N46))</f>
        <v/>
      </c>
      <c r="AH46" s="4">
        <f>IF(A46="","",(1/Inputs!$B$9)*(PI()*(Inputs!$F$9/1000)^2/4)*((Inputs!$F$9/1000/4)^(2/3))*SQRT(N46))</f>
        <v/>
      </c>
      <c r="AI46" s="4">
        <f>IF(A46="","",(1/Inputs!$B$9)*(PI()*(Inputs!$F$10/1000)^2/4)*((Inputs!$F$10/1000/4)^(2/3))*SQRT(N46))</f>
        <v/>
      </c>
      <c r="AJ46" s="4">
        <f>IF(A46="","",(1/Inputs!$B$9)*(PI()*(Inputs!$F$11/1000)^2/4)*((Inputs!$F$11/1000/4)^(2/3))*SQRT(N46))</f>
        <v/>
      </c>
      <c r="AK46" s="4">
        <f>IF(A46="","",(1/Inputs!$B$9)*(PI()*(Inputs!$F$12/1000)^2/4)*((Inputs!$F$12/1000/4)^(2/3))*SQRT(N46))</f>
        <v/>
      </c>
      <c r="AL46" s="4">
        <f>IF(A46="","",(1/Inputs!$B$9)*(PI()*(Inputs!$F$13/1000)^2/4)*((Inputs!$F$13/1000/4)^(2/3))*SQRT(N46))</f>
        <v/>
      </c>
      <c r="AM46" s="4">
        <f>IF(A46="","",(1/Inputs!$B$9)*(PI()*(Inputs!$F$14/1000)^2/4)*((Inputs!$F$14/1000/4)^(2/3))*SQRT(N46))</f>
        <v/>
      </c>
    </row>
    <row r="47">
      <c r="A47" s="4" t="n"/>
      <c r="B47" s="4" t="n"/>
      <c r="C47" s="8" t="n"/>
      <c r="D47" s="8" t="n"/>
      <c r="E47" s="8">
        <f>SUMIFS(CB_Tributaires!$C:$C,CB_Tributaires!$B:$B,$A47)</f>
        <v/>
      </c>
      <c r="F47" s="8">
        <f>IF(D47="",E47,D47)</f>
        <v/>
      </c>
      <c r="G47" s="4" t="n"/>
      <c r="H47" s="8" t="n"/>
      <c r="I47" s="8">
        <f>IF(A47="","",Inputs!$B$13/((IF(H47="",Inputs!$B$18,H47)+Inputs!$B$14)^Inputs!$B$15))</f>
        <v/>
      </c>
      <c r="J47" s="8">
        <f>IF(A47="","",0.00278*IF(G47="",Inputs!$B$17,G47)*F47*I47)</f>
        <v/>
      </c>
      <c r="K47" s="8">
        <f>IF(A47="","",SUMIFS($L$4:$L$203,$B$4:$B$203,$A47))</f>
        <v/>
      </c>
      <c r="L47" s="8">
        <f>IF(A47="","",(J47+K47)*Inputs!$B$16)</f>
        <v/>
      </c>
      <c r="M47" s="8" t="n"/>
      <c r="N47" s="8">
        <f>IF(A47="","",IF(M47="",Inputs!$B$7,M47))</f>
        <v/>
      </c>
      <c r="O47" s="4">
        <f>IF(A47="","",IF(L47/Inputs!$B$10&lt;=AD47,Inputs!$F$5,IF(L47/Inputs!$B$10&gt;AM47,"OVERSIZE",INDEX(Inputs!$F$5:$F$14,MATCH(L47/Inputs!$B$10,AD47:AM47,1)+1))))</f>
        <v/>
      </c>
      <c r="P47" s="4" t="n"/>
      <c r="Q47" s="4">
        <f>IF(A47="","",IF(P47="",O47,P47))</f>
        <v/>
      </c>
      <c r="R47" s="8">
        <f>IF(OR(Q47="",Q47="OVERSIZE"),"",Q47/1000)</f>
        <v/>
      </c>
      <c r="S47" s="8">
        <f>IF(R47="","",(1/Inputs!$B$9)*(PI()*R47^2/4)*((R47/4)^(2/3))*SQRT(N47))</f>
        <v/>
      </c>
      <c r="T47" s="8">
        <f>IF(OR(S47="",L47=""),"",L47/(S47*Inputs!$B$10))</f>
        <v/>
      </c>
      <c r="U47" s="8">
        <f>IF(OR(R47="",L47=""),"",4*L47/(PI()*R47^2))</f>
        <v/>
      </c>
      <c r="V47" s="8" t="n"/>
      <c r="W47" s="8">
        <f>IF(A47="","",IF(A47=Inputs!$B$6,Inputs!$B$22,IF(B47="","",IFERROR(INDEX($X$4:$X$203,MATCH(B47,$A$4:$A$203,0))+IF(V47="",Inputs!$B$20,V47),""))))</f>
        <v/>
      </c>
      <c r="X47" s="8">
        <f>IF(OR(W47="",N47="",C47=""),"",W47+N47*C47)</f>
        <v/>
      </c>
      <c r="Y47" s="8" t="n"/>
      <c r="Z47" s="8" t="n"/>
      <c r="AA47" s="8">
        <f>IF(OR(Y47="",W47=""),"",Y47-W47)</f>
        <v/>
      </c>
      <c r="AB47" s="8">
        <f>IF(OR(Z47="",X47=""),"",Z47-X47)</f>
        <v/>
      </c>
      <c r="AC47" s="4">
        <f>IF(A47="","",IF(OR(T47&gt;1,U47&lt;Inputs!$B$11,U47&gt;Inputs!$B$12,AA47&lt;Inputs!$B$19,AB47&lt;Inputs!$B$19,N47&lt;Inputs!$B$7,N47&gt;Inputs!$B$8),"CHECK","OK"))</f>
        <v/>
      </c>
      <c r="AD47" s="4">
        <f>IF(A47="","",(1/Inputs!$B$9)*(PI()*(Inputs!$F$5/1000)^2/4)*((Inputs!$F$5/1000/4)^(2/3))*SQRT(N47))</f>
        <v/>
      </c>
      <c r="AE47" s="4">
        <f>IF(A47="","",(1/Inputs!$B$9)*(PI()*(Inputs!$F$6/1000)^2/4)*((Inputs!$F$6/1000/4)^(2/3))*SQRT(N47))</f>
        <v/>
      </c>
      <c r="AF47" s="4">
        <f>IF(A47="","",(1/Inputs!$B$9)*(PI()*(Inputs!$F$7/1000)^2/4)*((Inputs!$F$7/1000/4)^(2/3))*SQRT(N47))</f>
        <v/>
      </c>
      <c r="AG47" s="4">
        <f>IF(A47="","",(1/Inputs!$B$9)*(PI()*(Inputs!$F$8/1000)^2/4)*((Inputs!$F$8/1000/4)^(2/3))*SQRT(N47))</f>
        <v/>
      </c>
      <c r="AH47" s="4">
        <f>IF(A47="","",(1/Inputs!$B$9)*(PI()*(Inputs!$F$9/1000)^2/4)*((Inputs!$F$9/1000/4)^(2/3))*SQRT(N47))</f>
        <v/>
      </c>
      <c r="AI47" s="4">
        <f>IF(A47="","",(1/Inputs!$B$9)*(PI()*(Inputs!$F$10/1000)^2/4)*((Inputs!$F$10/1000/4)^(2/3))*SQRT(N47))</f>
        <v/>
      </c>
      <c r="AJ47" s="4">
        <f>IF(A47="","",(1/Inputs!$B$9)*(PI()*(Inputs!$F$11/1000)^2/4)*((Inputs!$F$11/1000/4)^(2/3))*SQRT(N47))</f>
        <v/>
      </c>
      <c r="AK47" s="4">
        <f>IF(A47="","",(1/Inputs!$B$9)*(PI()*(Inputs!$F$12/1000)^2/4)*((Inputs!$F$12/1000/4)^(2/3))*SQRT(N47))</f>
        <v/>
      </c>
      <c r="AL47" s="4">
        <f>IF(A47="","",(1/Inputs!$B$9)*(PI()*(Inputs!$F$13/1000)^2/4)*((Inputs!$F$13/1000/4)^(2/3))*SQRT(N47))</f>
        <v/>
      </c>
      <c r="AM47" s="4">
        <f>IF(A47="","",(1/Inputs!$B$9)*(PI()*(Inputs!$F$14/1000)^2/4)*((Inputs!$F$14/1000/4)^(2/3))*SQRT(N47))</f>
        <v/>
      </c>
    </row>
    <row r="48">
      <c r="A48" s="4" t="n"/>
      <c r="B48" s="4" t="n"/>
      <c r="C48" s="8" t="n"/>
      <c r="D48" s="8" t="n"/>
      <c r="E48" s="8">
        <f>SUMIFS(CB_Tributaires!$C:$C,CB_Tributaires!$B:$B,$A48)</f>
        <v/>
      </c>
      <c r="F48" s="8">
        <f>IF(D48="",E48,D48)</f>
        <v/>
      </c>
      <c r="G48" s="4" t="n"/>
      <c r="H48" s="8" t="n"/>
      <c r="I48" s="8">
        <f>IF(A48="","",Inputs!$B$13/((IF(H48="",Inputs!$B$18,H48)+Inputs!$B$14)^Inputs!$B$15))</f>
        <v/>
      </c>
      <c r="J48" s="8">
        <f>IF(A48="","",0.00278*IF(G48="",Inputs!$B$17,G48)*F48*I48)</f>
        <v/>
      </c>
      <c r="K48" s="8">
        <f>IF(A48="","",SUMIFS($L$4:$L$203,$B$4:$B$203,$A48))</f>
        <v/>
      </c>
      <c r="L48" s="8">
        <f>IF(A48="","",(J48+K48)*Inputs!$B$16)</f>
        <v/>
      </c>
      <c r="M48" s="8" t="n"/>
      <c r="N48" s="8">
        <f>IF(A48="","",IF(M48="",Inputs!$B$7,M48))</f>
        <v/>
      </c>
      <c r="O48" s="4">
        <f>IF(A48="","",IF(L48/Inputs!$B$10&lt;=AD48,Inputs!$F$5,IF(L48/Inputs!$B$10&gt;AM48,"OVERSIZE",INDEX(Inputs!$F$5:$F$14,MATCH(L48/Inputs!$B$10,AD48:AM48,1)+1))))</f>
        <v/>
      </c>
      <c r="P48" s="4" t="n"/>
      <c r="Q48" s="4">
        <f>IF(A48="","",IF(P48="",O48,P48))</f>
        <v/>
      </c>
      <c r="R48" s="8">
        <f>IF(OR(Q48="",Q48="OVERSIZE"),"",Q48/1000)</f>
        <v/>
      </c>
      <c r="S48" s="8">
        <f>IF(R48="","",(1/Inputs!$B$9)*(PI()*R48^2/4)*((R48/4)^(2/3))*SQRT(N48))</f>
        <v/>
      </c>
      <c r="T48" s="8">
        <f>IF(OR(S48="",L48=""),"",L48/(S48*Inputs!$B$10))</f>
        <v/>
      </c>
      <c r="U48" s="8">
        <f>IF(OR(R48="",L48=""),"",4*L48/(PI()*R48^2))</f>
        <v/>
      </c>
      <c r="V48" s="8" t="n"/>
      <c r="W48" s="8">
        <f>IF(A48="","",IF(A48=Inputs!$B$6,Inputs!$B$22,IF(B48="","",IFERROR(INDEX($X$4:$X$203,MATCH(B48,$A$4:$A$203,0))+IF(V48="",Inputs!$B$20,V48),""))))</f>
        <v/>
      </c>
      <c r="X48" s="8">
        <f>IF(OR(W48="",N48="",C48=""),"",W48+N48*C48)</f>
        <v/>
      </c>
      <c r="Y48" s="8" t="n"/>
      <c r="Z48" s="8" t="n"/>
      <c r="AA48" s="8">
        <f>IF(OR(Y48="",W48=""),"",Y48-W48)</f>
        <v/>
      </c>
      <c r="AB48" s="8">
        <f>IF(OR(Z48="",X48=""),"",Z48-X48)</f>
        <v/>
      </c>
      <c r="AC48" s="4">
        <f>IF(A48="","",IF(OR(T48&gt;1,U48&lt;Inputs!$B$11,U48&gt;Inputs!$B$12,AA48&lt;Inputs!$B$19,AB48&lt;Inputs!$B$19,N48&lt;Inputs!$B$7,N48&gt;Inputs!$B$8),"CHECK","OK"))</f>
        <v/>
      </c>
      <c r="AD48" s="4">
        <f>IF(A48="","",(1/Inputs!$B$9)*(PI()*(Inputs!$F$5/1000)^2/4)*((Inputs!$F$5/1000/4)^(2/3))*SQRT(N48))</f>
        <v/>
      </c>
      <c r="AE48" s="4">
        <f>IF(A48="","",(1/Inputs!$B$9)*(PI()*(Inputs!$F$6/1000)^2/4)*((Inputs!$F$6/1000/4)^(2/3))*SQRT(N48))</f>
        <v/>
      </c>
      <c r="AF48" s="4">
        <f>IF(A48="","",(1/Inputs!$B$9)*(PI()*(Inputs!$F$7/1000)^2/4)*((Inputs!$F$7/1000/4)^(2/3))*SQRT(N48))</f>
        <v/>
      </c>
      <c r="AG48" s="4">
        <f>IF(A48="","",(1/Inputs!$B$9)*(PI()*(Inputs!$F$8/1000)^2/4)*((Inputs!$F$8/1000/4)^(2/3))*SQRT(N48))</f>
        <v/>
      </c>
      <c r="AH48" s="4">
        <f>IF(A48="","",(1/Inputs!$B$9)*(PI()*(Inputs!$F$9/1000)^2/4)*((Inputs!$F$9/1000/4)^(2/3))*SQRT(N48))</f>
        <v/>
      </c>
      <c r="AI48" s="4">
        <f>IF(A48="","",(1/Inputs!$B$9)*(PI()*(Inputs!$F$10/1000)^2/4)*((Inputs!$F$10/1000/4)^(2/3))*SQRT(N48))</f>
        <v/>
      </c>
      <c r="AJ48" s="4">
        <f>IF(A48="","",(1/Inputs!$B$9)*(PI()*(Inputs!$F$11/1000)^2/4)*((Inputs!$F$11/1000/4)^(2/3))*SQRT(N48))</f>
        <v/>
      </c>
      <c r="AK48" s="4">
        <f>IF(A48="","",(1/Inputs!$B$9)*(PI()*(Inputs!$F$12/1000)^2/4)*((Inputs!$F$12/1000/4)^(2/3))*SQRT(N48))</f>
        <v/>
      </c>
      <c r="AL48" s="4">
        <f>IF(A48="","",(1/Inputs!$B$9)*(PI()*(Inputs!$F$13/1000)^2/4)*((Inputs!$F$13/1000/4)^(2/3))*SQRT(N48))</f>
        <v/>
      </c>
      <c r="AM48" s="4">
        <f>IF(A48="","",(1/Inputs!$B$9)*(PI()*(Inputs!$F$14/1000)^2/4)*((Inputs!$F$14/1000/4)^(2/3))*SQRT(N48))</f>
        <v/>
      </c>
    </row>
    <row r="49">
      <c r="A49" s="4" t="n"/>
      <c r="B49" s="4" t="n"/>
      <c r="C49" s="8" t="n"/>
      <c r="D49" s="8" t="n"/>
      <c r="E49" s="8">
        <f>SUMIFS(CB_Tributaires!$C:$C,CB_Tributaires!$B:$B,$A49)</f>
        <v/>
      </c>
      <c r="F49" s="8">
        <f>IF(D49="",E49,D49)</f>
        <v/>
      </c>
      <c r="G49" s="4" t="n"/>
      <c r="H49" s="8" t="n"/>
      <c r="I49" s="8">
        <f>IF(A49="","",Inputs!$B$13/((IF(H49="",Inputs!$B$18,H49)+Inputs!$B$14)^Inputs!$B$15))</f>
        <v/>
      </c>
      <c r="J49" s="8">
        <f>IF(A49="","",0.00278*IF(G49="",Inputs!$B$17,G49)*F49*I49)</f>
        <v/>
      </c>
      <c r="K49" s="8">
        <f>IF(A49="","",SUMIFS($L$4:$L$203,$B$4:$B$203,$A49))</f>
        <v/>
      </c>
      <c r="L49" s="8">
        <f>IF(A49="","",(J49+K49)*Inputs!$B$16)</f>
        <v/>
      </c>
      <c r="M49" s="8" t="n"/>
      <c r="N49" s="8">
        <f>IF(A49="","",IF(M49="",Inputs!$B$7,M49))</f>
        <v/>
      </c>
      <c r="O49" s="4">
        <f>IF(A49="","",IF(L49/Inputs!$B$10&lt;=AD49,Inputs!$F$5,IF(L49/Inputs!$B$10&gt;AM49,"OVERSIZE",INDEX(Inputs!$F$5:$F$14,MATCH(L49/Inputs!$B$10,AD49:AM49,1)+1))))</f>
        <v/>
      </c>
      <c r="P49" s="4" t="n"/>
      <c r="Q49" s="4">
        <f>IF(A49="","",IF(P49="",O49,P49))</f>
        <v/>
      </c>
      <c r="R49" s="8">
        <f>IF(OR(Q49="",Q49="OVERSIZE"),"",Q49/1000)</f>
        <v/>
      </c>
      <c r="S49" s="8">
        <f>IF(R49="","",(1/Inputs!$B$9)*(PI()*R49^2/4)*((R49/4)^(2/3))*SQRT(N49))</f>
        <v/>
      </c>
      <c r="T49" s="8">
        <f>IF(OR(S49="",L49=""),"",L49/(S49*Inputs!$B$10))</f>
        <v/>
      </c>
      <c r="U49" s="8">
        <f>IF(OR(R49="",L49=""),"",4*L49/(PI()*R49^2))</f>
        <v/>
      </c>
      <c r="V49" s="8" t="n"/>
      <c r="W49" s="8">
        <f>IF(A49="","",IF(A49=Inputs!$B$6,Inputs!$B$22,IF(B49="","",IFERROR(INDEX($X$4:$X$203,MATCH(B49,$A$4:$A$203,0))+IF(V49="",Inputs!$B$20,V49),""))))</f>
        <v/>
      </c>
      <c r="X49" s="8">
        <f>IF(OR(W49="",N49="",C49=""),"",W49+N49*C49)</f>
        <v/>
      </c>
      <c r="Y49" s="8" t="n"/>
      <c r="Z49" s="8" t="n"/>
      <c r="AA49" s="8">
        <f>IF(OR(Y49="",W49=""),"",Y49-W49)</f>
        <v/>
      </c>
      <c r="AB49" s="8">
        <f>IF(OR(Z49="",X49=""),"",Z49-X49)</f>
        <v/>
      </c>
      <c r="AC49" s="4">
        <f>IF(A49="","",IF(OR(T49&gt;1,U49&lt;Inputs!$B$11,U49&gt;Inputs!$B$12,AA49&lt;Inputs!$B$19,AB49&lt;Inputs!$B$19,N49&lt;Inputs!$B$7,N49&gt;Inputs!$B$8),"CHECK","OK"))</f>
        <v/>
      </c>
      <c r="AD49" s="4">
        <f>IF(A49="","",(1/Inputs!$B$9)*(PI()*(Inputs!$F$5/1000)^2/4)*((Inputs!$F$5/1000/4)^(2/3))*SQRT(N49))</f>
        <v/>
      </c>
      <c r="AE49" s="4">
        <f>IF(A49="","",(1/Inputs!$B$9)*(PI()*(Inputs!$F$6/1000)^2/4)*((Inputs!$F$6/1000/4)^(2/3))*SQRT(N49))</f>
        <v/>
      </c>
      <c r="AF49" s="4">
        <f>IF(A49="","",(1/Inputs!$B$9)*(PI()*(Inputs!$F$7/1000)^2/4)*((Inputs!$F$7/1000/4)^(2/3))*SQRT(N49))</f>
        <v/>
      </c>
      <c r="AG49" s="4">
        <f>IF(A49="","",(1/Inputs!$B$9)*(PI()*(Inputs!$F$8/1000)^2/4)*((Inputs!$F$8/1000/4)^(2/3))*SQRT(N49))</f>
        <v/>
      </c>
      <c r="AH49" s="4">
        <f>IF(A49="","",(1/Inputs!$B$9)*(PI()*(Inputs!$F$9/1000)^2/4)*((Inputs!$F$9/1000/4)^(2/3))*SQRT(N49))</f>
        <v/>
      </c>
      <c r="AI49" s="4">
        <f>IF(A49="","",(1/Inputs!$B$9)*(PI()*(Inputs!$F$10/1000)^2/4)*((Inputs!$F$10/1000/4)^(2/3))*SQRT(N49))</f>
        <v/>
      </c>
      <c r="AJ49" s="4">
        <f>IF(A49="","",(1/Inputs!$B$9)*(PI()*(Inputs!$F$11/1000)^2/4)*((Inputs!$F$11/1000/4)^(2/3))*SQRT(N49))</f>
        <v/>
      </c>
      <c r="AK49" s="4">
        <f>IF(A49="","",(1/Inputs!$B$9)*(PI()*(Inputs!$F$12/1000)^2/4)*((Inputs!$F$12/1000/4)^(2/3))*SQRT(N49))</f>
        <v/>
      </c>
      <c r="AL49" s="4">
        <f>IF(A49="","",(1/Inputs!$B$9)*(PI()*(Inputs!$F$13/1000)^2/4)*((Inputs!$F$13/1000/4)^(2/3))*SQRT(N49))</f>
        <v/>
      </c>
      <c r="AM49" s="4">
        <f>IF(A49="","",(1/Inputs!$B$9)*(PI()*(Inputs!$F$14/1000)^2/4)*((Inputs!$F$14/1000/4)^(2/3))*SQRT(N49))</f>
        <v/>
      </c>
    </row>
    <row r="50">
      <c r="A50" s="4" t="n"/>
      <c r="B50" s="4" t="n"/>
      <c r="C50" s="8" t="n"/>
      <c r="D50" s="8" t="n"/>
      <c r="E50" s="8">
        <f>SUMIFS(CB_Tributaires!$C:$C,CB_Tributaires!$B:$B,$A50)</f>
        <v/>
      </c>
      <c r="F50" s="8">
        <f>IF(D50="",E50,D50)</f>
        <v/>
      </c>
      <c r="G50" s="4" t="n"/>
      <c r="H50" s="8" t="n"/>
      <c r="I50" s="8">
        <f>IF(A50="","",Inputs!$B$13/((IF(H50="",Inputs!$B$18,H50)+Inputs!$B$14)^Inputs!$B$15))</f>
        <v/>
      </c>
      <c r="J50" s="8">
        <f>IF(A50="","",0.00278*IF(G50="",Inputs!$B$17,G50)*F50*I50)</f>
        <v/>
      </c>
      <c r="K50" s="8">
        <f>IF(A50="","",SUMIFS($L$4:$L$203,$B$4:$B$203,$A50))</f>
        <v/>
      </c>
      <c r="L50" s="8">
        <f>IF(A50="","",(J50+K50)*Inputs!$B$16)</f>
        <v/>
      </c>
      <c r="M50" s="8" t="n"/>
      <c r="N50" s="8">
        <f>IF(A50="","",IF(M50="",Inputs!$B$7,M50))</f>
        <v/>
      </c>
      <c r="O50" s="4">
        <f>IF(A50="","",IF(L50/Inputs!$B$10&lt;=AD50,Inputs!$F$5,IF(L50/Inputs!$B$10&gt;AM50,"OVERSIZE",INDEX(Inputs!$F$5:$F$14,MATCH(L50/Inputs!$B$10,AD50:AM50,1)+1))))</f>
        <v/>
      </c>
      <c r="P50" s="4" t="n"/>
      <c r="Q50" s="4">
        <f>IF(A50="","",IF(P50="",O50,P50))</f>
        <v/>
      </c>
      <c r="R50" s="8">
        <f>IF(OR(Q50="",Q50="OVERSIZE"),"",Q50/1000)</f>
        <v/>
      </c>
      <c r="S50" s="8">
        <f>IF(R50="","",(1/Inputs!$B$9)*(PI()*R50^2/4)*((R50/4)^(2/3))*SQRT(N50))</f>
        <v/>
      </c>
      <c r="T50" s="8">
        <f>IF(OR(S50="",L50=""),"",L50/(S50*Inputs!$B$10))</f>
        <v/>
      </c>
      <c r="U50" s="8">
        <f>IF(OR(R50="",L50=""),"",4*L50/(PI()*R50^2))</f>
        <v/>
      </c>
      <c r="V50" s="8" t="n"/>
      <c r="W50" s="8">
        <f>IF(A50="","",IF(A50=Inputs!$B$6,Inputs!$B$22,IF(B50="","",IFERROR(INDEX($X$4:$X$203,MATCH(B50,$A$4:$A$203,0))+IF(V50="",Inputs!$B$20,V50),""))))</f>
        <v/>
      </c>
      <c r="X50" s="8">
        <f>IF(OR(W50="",N50="",C50=""),"",W50+N50*C50)</f>
        <v/>
      </c>
      <c r="Y50" s="8" t="n"/>
      <c r="Z50" s="8" t="n"/>
      <c r="AA50" s="8">
        <f>IF(OR(Y50="",W50=""),"",Y50-W50)</f>
        <v/>
      </c>
      <c r="AB50" s="8">
        <f>IF(OR(Z50="",X50=""),"",Z50-X50)</f>
        <v/>
      </c>
      <c r="AC50" s="4">
        <f>IF(A50="","",IF(OR(T50&gt;1,U50&lt;Inputs!$B$11,U50&gt;Inputs!$B$12,AA50&lt;Inputs!$B$19,AB50&lt;Inputs!$B$19,N50&lt;Inputs!$B$7,N50&gt;Inputs!$B$8),"CHECK","OK"))</f>
        <v/>
      </c>
      <c r="AD50" s="4">
        <f>IF(A50="","",(1/Inputs!$B$9)*(PI()*(Inputs!$F$5/1000)^2/4)*((Inputs!$F$5/1000/4)^(2/3))*SQRT(N50))</f>
        <v/>
      </c>
      <c r="AE50" s="4">
        <f>IF(A50="","",(1/Inputs!$B$9)*(PI()*(Inputs!$F$6/1000)^2/4)*((Inputs!$F$6/1000/4)^(2/3))*SQRT(N50))</f>
        <v/>
      </c>
      <c r="AF50" s="4">
        <f>IF(A50="","",(1/Inputs!$B$9)*(PI()*(Inputs!$F$7/1000)^2/4)*((Inputs!$F$7/1000/4)^(2/3))*SQRT(N50))</f>
        <v/>
      </c>
      <c r="AG50" s="4">
        <f>IF(A50="","",(1/Inputs!$B$9)*(PI()*(Inputs!$F$8/1000)^2/4)*((Inputs!$F$8/1000/4)^(2/3))*SQRT(N50))</f>
        <v/>
      </c>
      <c r="AH50" s="4">
        <f>IF(A50="","",(1/Inputs!$B$9)*(PI()*(Inputs!$F$9/1000)^2/4)*((Inputs!$F$9/1000/4)^(2/3))*SQRT(N50))</f>
        <v/>
      </c>
      <c r="AI50" s="4">
        <f>IF(A50="","",(1/Inputs!$B$9)*(PI()*(Inputs!$F$10/1000)^2/4)*((Inputs!$F$10/1000/4)^(2/3))*SQRT(N50))</f>
        <v/>
      </c>
      <c r="AJ50" s="4">
        <f>IF(A50="","",(1/Inputs!$B$9)*(PI()*(Inputs!$F$11/1000)^2/4)*((Inputs!$F$11/1000/4)^(2/3))*SQRT(N50))</f>
        <v/>
      </c>
      <c r="AK50" s="4">
        <f>IF(A50="","",(1/Inputs!$B$9)*(PI()*(Inputs!$F$12/1000)^2/4)*((Inputs!$F$12/1000/4)^(2/3))*SQRT(N50))</f>
        <v/>
      </c>
      <c r="AL50" s="4">
        <f>IF(A50="","",(1/Inputs!$B$9)*(PI()*(Inputs!$F$13/1000)^2/4)*((Inputs!$F$13/1000/4)^(2/3))*SQRT(N50))</f>
        <v/>
      </c>
      <c r="AM50" s="4">
        <f>IF(A50="","",(1/Inputs!$B$9)*(PI()*(Inputs!$F$14/1000)^2/4)*((Inputs!$F$14/1000/4)^(2/3))*SQRT(N50))</f>
        <v/>
      </c>
    </row>
    <row r="51">
      <c r="A51" s="4" t="n"/>
      <c r="B51" s="4" t="n"/>
      <c r="C51" s="8" t="n"/>
      <c r="D51" s="8" t="n"/>
      <c r="E51" s="8">
        <f>SUMIFS(CB_Tributaires!$C:$C,CB_Tributaires!$B:$B,$A51)</f>
        <v/>
      </c>
      <c r="F51" s="8">
        <f>IF(D51="",E51,D51)</f>
        <v/>
      </c>
      <c r="G51" s="4" t="n"/>
      <c r="H51" s="8" t="n"/>
      <c r="I51" s="8">
        <f>IF(A51="","",Inputs!$B$13/((IF(H51="",Inputs!$B$18,H51)+Inputs!$B$14)^Inputs!$B$15))</f>
        <v/>
      </c>
      <c r="J51" s="8">
        <f>IF(A51="","",0.00278*IF(G51="",Inputs!$B$17,G51)*F51*I51)</f>
        <v/>
      </c>
      <c r="K51" s="8">
        <f>IF(A51="","",SUMIFS($L$4:$L$203,$B$4:$B$203,$A51))</f>
        <v/>
      </c>
      <c r="L51" s="8">
        <f>IF(A51="","",(J51+K51)*Inputs!$B$16)</f>
        <v/>
      </c>
      <c r="M51" s="8" t="n"/>
      <c r="N51" s="8">
        <f>IF(A51="","",IF(M51="",Inputs!$B$7,M51))</f>
        <v/>
      </c>
      <c r="O51" s="4">
        <f>IF(A51="","",IF(L51/Inputs!$B$10&lt;=AD51,Inputs!$F$5,IF(L51/Inputs!$B$10&gt;AM51,"OVERSIZE",INDEX(Inputs!$F$5:$F$14,MATCH(L51/Inputs!$B$10,AD51:AM51,1)+1))))</f>
        <v/>
      </c>
      <c r="P51" s="4" t="n"/>
      <c r="Q51" s="4">
        <f>IF(A51="","",IF(P51="",O51,P51))</f>
        <v/>
      </c>
      <c r="R51" s="8">
        <f>IF(OR(Q51="",Q51="OVERSIZE"),"",Q51/1000)</f>
        <v/>
      </c>
      <c r="S51" s="8">
        <f>IF(R51="","",(1/Inputs!$B$9)*(PI()*R51^2/4)*((R51/4)^(2/3))*SQRT(N51))</f>
        <v/>
      </c>
      <c r="T51" s="8">
        <f>IF(OR(S51="",L51=""),"",L51/(S51*Inputs!$B$10))</f>
        <v/>
      </c>
      <c r="U51" s="8">
        <f>IF(OR(R51="",L51=""),"",4*L51/(PI()*R51^2))</f>
        <v/>
      </c>
      <c r="V51" s="8" t="n"/>
      <c r="W51" s="8">
        <f>IF(A51="","",IF(A51=Inputs!$B$6,Inputs!$B$22,IF(B51="","",IFERROR(INDEX($X$4:$X$203,MATCH(B51,$A$4:$A$203,0))+IF(V51="",Inputs!$B$20,V51),""))))</f>
        <v/>
      </c>
      <c r="X51" s="8">
        <f>IF(OR(W51="",N51="",C51=""),"",W51+N51*C51)</f>
        <v/>
      </c>
      <c r="Y51" s="8" t="n"/>
      <c r="Z51" s="8" t="n"/>
      <c r="AA51" s="8">
        <f>IF(OR(Y51="",W51=""),"",Y51-W51)</f>
        <v/>
      </c>
      <c r="AB51" s="8">
        <f>IF(OR(Z51="",X51=""),"",Z51-X51)</f>
        <v/>
      </c>
      <c r="AC51" s="4">
        <f>IF(A51="","",IF(OR(T51&gt;1,U51&lt;Inputs!$B$11,U51&gt;Inputs!$B$12,AA51&lt;Inputs!$B$19,AB51&lt;Inputs!$B$19,N51&lt;Inputs!$B$7,N51&gt;Inputs!$B$8),"CHECK","OK"))</f>
        <v/>
      </c>
      <c r="AD51" s="4">
        <f>IF(A51="","",(1/Inputs!$B$9)*(PI()*(Inputs!$F$5/1000)^2/4)*((Inputs!$F$5/1000/4)^(2/3))*SQRT(N51))</f>
        <v/>
      </c>
      <c r="AE51" s="4">
        <f>IF(A51="","",(1/Inputs!$B$9)*(PI()*(Inputs!$F$6/1000)^2/4)*((Inputs!$F$6/1000/4)^(2/3))*SQRT(N51))</f>
        <v/>
      </c>
      <c r="AF51" s="4">
        <f>IF(A51="","",(1/Inputs!$B$9)*(PI()*(Inputs!$F$7/1000)^2/4)*((Inputs!$F$7/1000/4)^(2/3))*SQRT(N51))</f>
        <v/>
      </c>
      <c r="AG51" s="4">
        <f>IF(A51="","",(1/Inputs!$B$9)*(PI()*(Inputs!$F$8/1000)^2/4)*((Inputs!$F$8/1000/4)^(2/3))*SQRT(N51))</f>
        <v/>
      </c>
      <c r="AH51" s="4">
        <f>IF(A51="","",(1/Inputs!$B$9)*(PI()*(Inputs!$F$9/1000)^2/4)*((Inputs!$F$9/1000/4)^(2/3))*SQRT(N51))</f>
        <v/>
      </c>
      <c r="AI51" s="4">
        <f>IF(A51="","",(1/Inputs!$B$9)*(PI()*(Inputs!$F$10/1000)^2/4)*((Inputs!$F$10/1000/4)^(2/3))*SQRT(N51))</f>
        <v/>
      </c>
      <c r="AJ51" s="4">
        <f>IF(A51="","",(1/Inputs!$B$9)*(PI()*(Inputs!$F$11/1000)^2/4)*((Inputs!$F$11/1000/4)^(2/3))*SQRT(N51))</f>
        <v/>
      </c>
      <c r="AK51" s="4">
        <f>IF(A51="","",(1/Inputs!$B$9)*(PI()*(Inputs!$F$12/1000)^2/4)*((Inputs!$F$12/1000/4)^(2/3))*SQRT(N51))</f>
        <v/>
      </c>
      <c r="AL51" s="4">
        <f>IF(A51="","",(1/Inputs!$B$9)*(PI()*(Inputs!$F$13/1000)^2/4)*((Inputs!$F$13/1000/4)^(2/3))*SQRT(N51))</f>
        <v/>
      </c>
      <c r="AM51" s="4">
        <f>IF(A51="","",(1/Inputs!$B$9)*(PI()*(Inputs!$F$14/1000)^2/4)*((Inputs!$F$14/1000/4)^(2/3))*SQRT(N51))</f>
        <v/>
      </c>
    </row>
    <row r="52">
      <c r="A52" s="4" t="n"/>
      <c r="B52" s="4" t="n"/>
      <c r="C52" s="8" t="n"/>
      <c r="D52" s="8" t="n"/>
      <c r="E52" s="8">
        <f>SUMIFS(CB_Tributaires!$C:$C,CB_Tributaires!$B:$B,$A52)</f>
        <v/>
      </c>
      <c r="F52" s="8">
        <f>IF(D52="",E52,D52)</f>
        <v/>
      </c>
      <c r="G52" s="4" t="n"/>
      <c r="H52" s="8" t="n"/>
      <c r="I52" s="8">
        <f>IF(A52="","",Inputs!$B$13/((IF(H52="",Inputs!$B$18,H52)+Inputs!$B$14)^Inputs!$B$15))</f>
        <v/>
      </c>
      <c r="J52" s="8">
        <f>IF(A52="","",0.00278*IF(G52="",Inputs!$B$17,G52)*F52*I52)</f>
        <v/>
      </c>
      <c r="K52" s="8">
        <f>IF(A52="","",SUMIFS($L$4:$L$203,$B$4:$B$203,$A52))</f>
        <v/>
      </c>
      <c r="L52" s="8">
        <f>IF(A52="","",(J52+K52)*Inputs!$B$16)</f>
        <v/>
      </c>
      <c r="M52" s="8" t="n"/>
      <c r="N52" s="8">
        <f>IF(A52="","",IF(M52="",Inputs!$B$7,M52))</f>
        <v/>
      </c>
      <c r="O52" s="4">
        <f>IF(A52="","",IF(L52/Inputs!$B$10&lt;=AD52,Inputs!$F$5,IF(L52/Inputs!$B$10&gt;AM52,"OVERSIZE",INDEX(Inputs!$F$5:$F$14,MATCH(L52/Inputs!$B$10,AD52:AM52,1)+1))))</f>
        <v/>
      </c>
      <c r="P52" s="4" t="n"/>
      <c r="Q52" s="4">
        <f>IF(A52="","",IF(P52="",O52,P52))</f>
        <v/>
      </c>
      <c r="R52" s="8">
        <f>IF(OR(Q52="",Q52="OVERSIZE"),"",Q52/1000)</f>
        <v/>
      </c>
      <c r="S52" s="8">
        <f>IF(R52="","",(1/Inputs!$B$9)*(PI()*R52^2/4)*((R52/4)^(2/3))*SQRT(N52))</f>
        <v/>
      </c>
      <c r="T52" s="8">
        <f>IF(OR(S52="",L52=""),"",L52/(S52*Inputs!$B$10))</f>
        <v/>
      </c>
      <c r="U52" s="8">
        <f>IF(OR(R52="",L52=""),"",4*L52/(PI()*R52^2))</f>
        <v/>
      </c>
      <c r="V52" s="8" t="n"/>
      <c r="W52" s="8">
        <f>IF(A52="","",IF(A52=Inputs!$B$6,Inputs!$B$22,IF(B52="","",IFERROR(INDEX($X$4:$X$203,MATCH(B52,$A$4:$A$203,0))+IF(V52="",Inputs!$B$20,V52),""))))</f>
        <v/>
      </c>
      <c r="X52" s="8">
        <f>IF(OR(W52="",N52="",C52=""),"",W52+N52*C52)</f>
        <v/>
      </c>
      <c r="Y52" s="8" t="n"/>
      <c r="Z52" s="8" t="n"/>
      <c r="AA52" s="8">
        <f>IF(OR(Y52="",W52=""),"",Y52-W52)</f>
        <v/>
      </c>
      <c r="AB52" s="8">
        <f>IF(OR(Z52="",X52=""),"",Z52-X52)</f>
        <v/>
      </c>
      <c r="AC52" s="4">
        <f>IF(A52="","",IF(OR(T52&gt;1,U52&lt;Inputs!$B$11,U52&gt;Inputs!$B$12,AA52&lt;Inputs!$B$19,AB52&lt;Inputs!$B$19,N52&lt;Inputs!$B$7,N52&gt;Inputs!$B$8),"CHECK","OK"))</f>
        <v/>
      </c>
      <c r="AD52" s="4">
        <f>IF(A52="","",(1/Inputs!$B$9)*(PI()*(Inputs!$F$5/1000)^2/4)*((Inputs!$F$5/1000/4)^(2/3))*SQRT(N52))</f>
        <v/>
      </c>
      <c r="AE52" s="4">
        <f>IF(A52="","",(1/Inputs!$B$9)*(PI()*(Inputs!$F$6/1000)^2/4)*((Inputs!$F$6/1000/4)^(2/3))*SQRT(N52))</f>
        <v/>
      </c>
      <c r="AF52" s="4">
        <f>IF(A52="","",(1/Inputs!$B$9)*(PI()*(Inputs!$F$7/1000)^2/4)*((Inputs!$F$7/1000/4)^(2/3))*SQRT(N52))</f>
        <v/>
      </c>
      <c r="AG52" s="4">
        <f>IF(A52="","",(1/Inputs!$B$9)*(PI()*(Inputs!$F$8/1000)^2/4)*((Inputs!$F$8/1000/4)^(2/3))*SQRT(N52))</f>
        <v/>
      </c>
      <c r="AH52" s="4">
        <f>IF(A52="","",(1/Inputs!$B$9)*(PI()*(Inputs!$F$9/1000)^2/4)*((Inputs!$F$9/1000/4)^(2/3))*SQRT(N52))</f>
        <v/>
      </c>
      <c r="AI52" s="4">
        <f>IF(A52="","",(1/Inputs!$B$9)*(PI()*(Inputs!$F$10/1000)^2/4)*((Inputs!$F$10/1000/4)^(2/3))*SQRT(N52))</f>
        <v/>
      </c>
      <c r="AJ52" s="4">
        <f>IF(A52="","",(1/Inputs!$B$9)*(PI()*(Inputs!$F$11/1000)^2/4)*((Inputs!$F$11/1000/4)^(2/3))*SQRT(N52))</f>
        <v/>
      </c>
      <c r="AK52" s="4">
        <f>IF(A52="","",(1/Inputs!$B$9)*(PI()*(Inputs!$F$12/1000)^2/4)*((Inputs!$F$12/1000/4)^(2/3))*SQRT(N52))</f>
        <v/>
      </c>
      <c r="AL52" s="4">
        <f>IF(A52="","",(1/Inputs!$B$9)*(PI()*(Inputs!$F$13/1000)^2/4)*((Inputs!$F$13/1000/4)^(2/3))*SQRT(N52))</f>
        <v/>
      </c>
      <c r="AM52" s="4">
        <f>IF(A52="","",(1/Inputs!$B$9)*(PI()*(Inputs!$F$14/1000)^2/4)*((Inputs!$F$14/1000/4)^(2/3))*SQRT(N52))</f>
        <v/>
      </c>
    </row>
    <row r="53">
      <c r="A53" s="4" t="n"/>
      <c r="B53" s="4" t="n"/>
      <c r="C53" s="8" t="n"/>
      <c r="D53" s="8" t="n"/>
      <c r="E53" s="8">
        <f>SUMIFS(CB_Tributaires!$C:$C,CB_Tributaires!$B:$B,$A53)</f>
        <v/>
      </c>
      <c r="F53" s="8">
        <f>IF(D53="",E53,D53)</f>
        <v/>
      </c>
      <c r="G53" s="4" t="n"/>
      <c r="H53" s="8" t="n"/>
      <c r="I53" s="8">
        <f>IF(A53="","",Inputs!$B$13/((IF(H53="",Inputs!$B$18,H53)+Inputs!$B$14)^Inputs!$B$15))</f>
        <v/>
      </c>
      <c r="J53" s="8">
        <f>IF(A53="","",0.00278*IF(G53="",Inputs!$B$17,G53)*F53*I53)</f>
        <v/>
      </c>
      <c r="K53" s="8">
        <f>IF(A53="","",SUMIFS($L$4:$L$203,$B$4:$B$203,$A53))</f>
        <v/>
      </c>
      <c r="L53" s="8">
        <f>IF(A53="","",(J53+K53)*Inputs!$B$16)</f>
        <v/>
      </c>
      <c r="M53" s="8" t="n"/>
      <c r="N53" s="8">
        <f>IF(A53="","",IF(M53="",Inputs!$B$7,M53))</f>
        <v/>
      </c>
      <c r="O53" s="4">
        <f>IF(A53="","",IF(L53/Inputs!$B$10&lt;=AD53,Inputs!$F$5,IF(L53/Inputs!$B$10&gt;AM53,"OVERSIZE",INDEX(Inputs!$F$5:$F$14,MATCH(L53/Inputs!$B$10,AD53:AM53,1)+1))))</f>
        <v/>
      </c>
      <c r="P53" s="4" t="n"/>
      <c r="Q53" s="4">
        <f>IF(A53="","",IF(P53="",O53,P53))</f>
        <v/>
      </c>
      <c r="R53" s="8">
        <f>IF(OR(Q53="",Q53="OVERSIZE"),"",Q53/1000)</f>
        <v/>
      </c>
      <c r="S53" s="8">
        <f>IF(R53="","",(1/Inputs!$B$9)*(PI()*R53^2/4)*((R53/4)^(2/3))*SQRT(N53))</f>
        <v/>
      </c>
      <c r="T53" s="8">
        <f>IF(OR(S53="",L53=""),"",L53/(S53*Inputs!$B$10))</f>
        <v/>
      </c>
      <c r="U53" s="8">
        <f>IF(OR(R53="",L53=""),"",4*L53/(PI()*R53^2))</f>
        <v/>
      </c>
      <c r="V53" s="8" t="n"/>
      <c r="W53" s="8">
        <f>IF(A53="","",IF(A53=Inputs!$B$6,Inputs!$B$22,IF(B53="","",IFERROR(INDEX($X$4:$X$203,MATCH(B53,$A$4:$A$203,0))+IF(V53="",Inputs!$B$20,V53),""))))</f>
        <v/>
      </c>
      <c r="X53" s="8">
        <f>IF(OR(W53="",N53="",C53=""),"",W53+N53*C53)</f>
        <v/>
      </c>
      <c r="Y53" s="8" t="n"/>
      <c r="Z53" s="8" t="n"/>
      <c r="AA53" s="8">
        <f>IF(OR(Y53="",W53=""),"",Y53-W53)</f>
        <v/>
      </c>
      <c r="AB53" s="8">
        <f>IF(OR(Z53="",X53=""),"",Z53-X53)</f>
        <v/>
      </c>
      <c r="AC53" s="4">
        <f>IF(A53="","",IF(OR(T53&gt;1,U53&lt;Inputs!$B$11,U53&gt;Inputs!$B$12,AA53&lt;Inputs!$B$19,AB53&lt;Inputs!$B$19,N53&lt;Inputs!$B$7,N53&gt;Inputs!$B$8),"CHECK","OK"))</f>
        <v/>
      </c>
      <c r="AD53" s="4">
        <f>IF(A53="","",(1/Inputs!$B$9)*(PI()*(Inputs!$F$5/1000)^2/4)*((Inputs!$F$5/1000/4)^(2/3))*SQRT(N53))</f>
        <v/>
      </c>
      <c r="AE53" s="4">
        <f>IF(A53="","",(1/Inputs!$B$9)*(PI()*(Inputs!$F$6/1000)^2/4)*((Inputs!$F$6/1000/4)^(2/3))*SQRT(N53))</f>
        <v/>
      </c>
      <c r="AF53" s="4">
        <f>IF(A53="","",(1/Inputs!$B$9)*(PI()*(Inputs!$F$7/1000)^2/4)*((Inputs!$F$7/1000/4)^(2/3))*SQRT(N53))</f>
        <v/>
      </c>
      <c r="AG53" s="4">
        <f>IF(A53="","",(1/Inputs!$B$9)*(PI()*(Inputs!$F$8/1000)^2/4)*((Inputs!$F$8/1000/4)^(2/3))*SQRT(N53))</f>
        <v/>
      </c>
      <c r="AH53" s="4">
        <f>IF(A53="","",(1/Inputs!$B$9)*(PI()*(Inputs!$F$9/1000)^2/4)*((Inputs!$F$9/1000/4)^(2/3))*SQRT(N53))</f>
        <v/>
      </c>
      <c r="AI53" s="4">
        <f>IF(A53="","",(1/Inputs!$B$9)*(PI()*(Inputs!$F$10/1000)^2/4)*((Inputs!$F$10/1000/4)^(2/3))*SQRT(N53))</f>
        <v/>
      </c>
      <c r="AJ53" s="4">
        <f>IF(A53="","",(1/Inputs!$B$9)*(PI()*(Inputs!$F$11/1000)^2/4)*((Inputs!$F$11/1000/4)^(2/3))*SQRT(N53))</f>
        <v/>
      </c>
      <c r="AK53" s="4">
        <f>IF(A53="","",(1/Inputs!$B$9)*(PI()*(Inputs!$F$12/1000)^2/4)*((Inputs!$F$12/1000/4)^(2/3))*SQRT(N53))</f>
        <v/>
      </c>
      <c r="AL53" s="4">
        <f>IF(A53="","",(1/Inputs!$B$9)*(PI()*(Inputs!$F$13/1000)^2/4)*((Inputs!$F$13/1000/4)^(2/3))*SQRT(N53))</f>
        <v/>
      </c>
      <c r="AM53" s="4">
        <f>IF(A53="","",(1/Inputs!$B$9)*(PI()*(Inputs!$F$14/1000)^2/4)*((Inputs!$F$14/1000/4)^(2/3))*SQRT(N53))</f>
        <v/>
      </c>
    </row>
    <row r="54">
      <c r="A54" s="4" t="n"/>
      <c r="B54" s="4" t="n"/>
      <c r="C54" s="8" t="n"/>
      <c r="D54" s="8" t="n"/>
      <c r="E54" s="8">
        <f>SUMIFS(CB_Tributaires!$C:$C,CB_Tributaires!$B:$B,$A54)</f>
        <v/>
      </c>
      <c r="F54" s="8">
        <f>IF(D54="",E54,D54)</f>
        <v/>
      </c>
      <c r="G54" s="4" t="n"/>
      <c r="H54" s="8" t="n"/>
      <c r="I54" s="8">
        <f>IF(A54="","",Inputs!$B$13/((IF(H54="",Inputs!$B$18,H54)+Inputs!$B$14)^Inputs!$B$15))</f>
        <v/>
      </c>
      <c r="J54" s="8">
        <f>IF(A54="","",0.00278*IF(G54="",Inputs!$B$17,G54)*F54*I54)</f>
        <v/>
      </c>
      <c r="K54" s="8">
        <f>IF(A54="","",SUMIFS($L$4:$L$203,$B$4:$B$203,$A54))</f>
        <v/>
      </c>
      <c r="L54" s="8">
        <f>IF(A54="","",(J54+K54)*Inputs!$B$16)</f>
        <v/>
      </c>
      <c r="M54" s="8" t="n"/>
      <c r="N54" s="8">
        <f>IF(A54="","",IF(M54="",Inputs!$B$7,M54))</f>
        <v/>
      </c>
      <c r="O54" s="4">
        <f>IF(A54="","",IF(L54/Inputs!$B$10&lt;=AD54,Inputs!$F$5,IF(L54/Inputs!$B$10&gt;AM54,"OVERSIZE",INDEX(Inputs!$F$5:$F$14,MATCH(L54/Inputs!$B$10,AD54:AM54,1)+1))))</f>
        <v/>
      </c>
      <c r="P54" s="4" t="n"/>
      <c r="Q54" s="4">
        <f>IF(A54="","",IF(P54="",O54,P54))</f>
        <v/>
      </c>
      <c r="R54" s="8">
        <f>IF(OR(Q54="",Q54="OVERSIZE"),"",Q54/1000)</f>
        <v/>
      </c>
      <c r="S54" s="8">
        <f>IF(R54="","",(1/Inputs!$B$9)*(PI()*R54^2/4)*((R54/4)^(2/3))*SQRT(N54))</f>
        <v/>
      </c>
      <c r="T54" s="8">
        <f>IF(OR(S54="",L54=""),"",L54/(S54*Inputs!$B$10))</f>
        <v/>
      </c>
      <c r="U54" s="8">
        <f>IF(OR(R54="",L54=""),"",4*L54/(PI()*R54^2))</f>
        <v/>
      </c>
      <c r="V54" s="8" t="n"/>
      <c r="W54" s="8">
        <f>IF(A54="","",IF(A54=Inputs!$B$6,Inputs!$B$22,IF(B54="","",IFERROR(INDEX($X$4:$X$203,MATCH(B54,$A$4:$A$203,0))+IF(V54="",Inputs!$B$20,V54),""))))</f>
        <v/>
      </c>
      <c r="X54" s="8">
        <f>IF(OR(W54="",N54="",C54=""),"",W54+N54*C54)</f>
        <v/>
      </c>
      <c r="Y54" s="8" t="n"/>
      <c r="Z54" s="8" t="n"/>
      <c r="AA54" s="8">
        <f>IF(OR(Y54="",W54=""),"",Y54-W54)</f>
        <v/>
      </c>
      <c r="AB54" s="8">
        <f>IF(OR(Z54="",X54=""),"",Z54-X54)</f>
        <v/>
      </c>
      <c r="AC54" s="4">
        <f>IF(A54="","",IF(OR(T54&gt;1,U54&lt;Inputs!$B$11,U54&gt;Inputs!$B$12,AA54&lt;Inputs!$B$19,AB54&lt;Inputs!$B$19,N54&lt;Inputs!$B$7,N54&gt;Inputs!$B$8),"CHECK","OK"))</f>
        <v/>
      </c>
      <c r="AD54" s="4">
        <f>IF(A54="","",(1/Inputs!$B$9)*(PI()*(Inputs!$F$5/1000)^2/4)*((Inputs!$F$5/1000/4)^(2/3))*SQRT(N54))</f>
        <v/>
      </c>
      <c r="AE54" s="4">
        <f>IF(A54="","",(1/Inputs!$B$9)*(PI()*(Inputs!$F$6/1000)^2/4)*((Inputs!$F$6/1000/4)^(2/3))*SQRT(N54))</f>
        <v/>
      </c>
      <c r="AF54" s="4">
        <f>IF(A54="","",(1/Inputs!$B$9)*(PI()*(Inputs!$F$7/1000)^2/4)*((Inputs!$F$7/1000/4)^(2/3))*SQRT(N54))</f>
        <v/>
      </c>
      <c r="AG54" s="4">
        <f>IF(A54="","",(1/Inputs!$B$9)*(PI()*(Inputs!$F$8/1000)^2/4)*((Inputs!$F$8/1000/4)^(2/3))*SQRT(N54))</f>
        <v/>
      </c>
      <c r="AH54" s="4">
        <f>IF(A54="","",(1/Inputs!$B$9)*(PI()*(Inputs!$F$9/1000)^2/4)*((Inputs!$F$9/1000/4)^(2/3))*SQRT(N54))</f>
        <v/>
      </c>
      <c r="AI54" s="4">
        <f>IF(A54="","",(1/Inputs!$B$9)*(PI()*(Inputs!$F$10/1000)^2/4)*((Inputs!$F$10/1000/4)^(2/3))*SQRT(N54))</f>
        <v/>
      </c>
      <c r="AJ54" s="4">
        <f>IF(A54="","",(1/Inputs!$B$9)*(PI()*(Inputs!$F$11/1000)^2/4)*((Inputs!$F$11/1000/4)^(2/3))*SQRT(N54))</f>
        <v/>
      </c>
      <c r="AK54" s="4">
        <f>IF(A54="","",(1/Inputs!$B$9)*(PI()*(Inputs!$F$12/1000)^2/4)*((Inputs!$F$12/1000/4)^(2/3))*SQRT(N54))</f>
        <v/>
      </c>
      <c r="AL54" s="4">
        <f>IF(A54="","",(1/Inputs!$B$9)*(PI()*(Inputs!$F$13/1000)^2/4)*((Inputs!$F$13/1000/4)^(2/3))*SQRT(N54))</f>
        <v/>
      </c>
      <c r="AM54" s="4">
        <f>IF(A54="","",(1/Inputs!$B$9)*(PI()*(Inputs!$F$14/1000)^2/4)*((Inputs!$F$14/1000/4)^(2/3))*SQRT(N54))</f>
        <v/>
      </c>
    </row>
    <row r="55">
      <c r="A55" s="4" t="n"/>
      <c r="B55" s="4" t="n"/>
      <c r="C55" s="8" t="n"/>
      <c r="D55" s="8" t="n"/>
      <c r="E55" s="8">
        <f>SUMIFS(CB_Tributaires!$C:$C,CB_Tributaires!$B:$B,$A55)</f>
        <v/>
      </c>
      <c r="F55" s="8">
        <f>IF(D55="",E55,D55)</f>
        <v/>
      </c>
      <c r="G55" s="4" t="n"/>
      <c r="H55" s="8" t="n"/>
      <c r="I55" s="8">
        <f>IF(A55="","",Inputs!$B$13/((IF(H55="",Inputs!$B$18,H55)+Inputs!$B$14)^Inputs!$B$15))</f>
        <v/>
      </c>
      <c r="J55" s="8">
        <f>IF(A55="","",0.00278*IF(G55="",Inputs!$B$17,G55)*F55*I55)</f>
        <v/>
      </c>
      <c r="K55" s="8">
        <f>IF(A55="","",SUMIFS($L$4:$L$203,$B$4:$B$203,$A55))</f>
        <v/>
      </c>
      <c r="L55" s="8">
        <f>IF(A55="","",(J55+K55)*Inputs!$B$16)</f>
        <v/>
      </c>
      <c r="M55" s="8" t="n"/>
      <c r="N55" s="8">
        <f>IF(A55="","",IF(M55="",Inputs!$B$7,M55))</f>
        <v/>
      </c>
      <c r="O55" s="4">
        <f>IF(A55="","",IF(L55/Inputs!$B$10&lt;=AD55,Inputs!$F$5,IF(L55/Inputs!$B$10&gt;AM55,"OVERSIZE",INDEX(Inputs!$F$5:$F$14,MATCH(L55/Inputs!$B$10,AD55:AM55,1)+1))))</f>
        <v/>
      </c>
      <c r="P55" s="4" t="n"/>
      <c r="Q55" s="4">
        <f>IF(A55="","",IF(P55="",O55,P55))</f>
        <v/>
      </c>
      <c r="R55" s="8">
        <f>IF(OR(Q55="",Q55="OVERSIZE"),"",Q55/1000)</f>
        <v/>
      </c>
      <c r="S55" s="8">
        <f>IF(R55="","",(1/Inputs!$B$9)*(PI()*R55^2/4)*((R55/4)^(2/3))*SQRT(N55))</f>
        <v/>
      </c>
      <c r="T55" s="8">
        <f>IF(OR(S55="",L55=""),"",L55/(S55*Inputs!$B$10))</f>
        <v/>
      </c>
      <c r="U55" s="8">
        <f>IF(OR(R55="",L55=""),"",4*L55/(PI()*R55^2))</f>
        <v/>
      </c>
      <c r="V55" s="8" t="n"/>
      <c r="W55" s="8">
        <f>IF(A55="","",IF(A55=Inputs!$B$6,Inputs!$B$22,IF(B55="","",IFERROR(INDEX($X$4:$X$203,MATCH(B55,$A$4:$A$203,0))+IF(V55="",Inputs!$B$20,V55),""))))</f>
        <v/>
      </c>
      <c r="X55" s="8">
        <f>IF(OR(W55="",N55="",C55=""),"",W55+N55*C55)</f>
        <v/>
      </c>
      <c r="Y55" s="8" t="n"/>
      <c r="Z55" s="8" t="n"/>
      <c r="AA55" s="8">
        <f>IF(OR(Y55="",W55=""),"",Y55-W55)</f>
        <v/>
      </c>
      <c r="AB55" s="8">
        <f>IF(OR(Z55="",X55=""),"",Z55-X55)</f>
        <v/>
      </c>
      <c r="AC55" s="4">
        <f>IF(A55="","",IF(OR(T55&gt;1,U55&lt;Inputs!$B$11,U55&gt;Inputs!$B$12,AA55&lt;Inputs!$B$19,AB55&lt;Inputs!$B$19,N55&lt;Inputs!$B$7,N55&gt;Inputs!$B$8),"CHECK","OK"))</f>
        <v/>
      </c>
      <c r="AD55" s="4">
        <f>IF(A55="","",(1/Inputs!$B$9)*(PI()*(Inputs!$F$5/1000)^2/4)*((Inputs!$F$5/1000/4)^(2/3))*SQRT(N55))</f>
        <v/>
      </c>
      <c r="AE55" s="4">
        <f>IF(A55="","",(1/Inputs!$B$9)*(PI()*(Inputs!$F$6/1000)^2/4)*((Inputs!$F$6/1000/4)^(2/3))*SQRT(N55))</f>
        <v/>
      </c>
      <c r="AF55" s="4">
        <f>IF(A55="","",(1/Inputs!$B$9)*(PI()*(Inputs!$F$7/1000)^2/4)*((Inputs!$F$7/1000/4)^(2/3))*SQRT(N55))</f>
        <v/>
      </c>
      <c r="AG55" s="4">
        <f>IF(A55="","",(1/Inputs!$B$9)*(PI()*(Inputs!$F$8/1000)^2/4)*((Inputs!$F$8/1000/4)^(2/3))*SQRT(N55))</f>
        <v/>
      </c>
      <c r="AH55" s="4">
        <f>IF(A55="","",(1/Inputs!$B$9)*(PI()*(Inputs!$F$9/1000)^2/4)*((Inputs!$F$9/1000/4)^(2/3))*SQRT(N55))</f>
        <v/>
      </c>
      <c r="AI55" s="4">
        <f>IF(A55="","",(1/Inputs!$B$9)*(PI()*(Inputs!$F$10/1000)^2/4)*((Inputs!$F$10/1000/4)^(2/3))*SQRT(N55))</f>
        <v/>
      </c>
      <c r="AJ55" s="4">
        <f>IF(A55="","",(1/Inputs!$B$9)*(PI()*(Inputs!$F$11/1000)^2/4)*((Inputs!$F$11/1000/4)^(2/3))*SQRT(N55))</f>
        <v/>
      </c>
      <c r="AK55" s="4">
        <f>IF(A55="","",(1/Inputs!$B$9)*(PI()*(Inputs!$F$12/1000)^2/4)*((Inputs!$F$12/1000/4)^(2/3))*SQRT(N55))</f>
        <v/>
      </c>
      <c r="AL55" s="4">
        <f>IF(A55="","",(1/Inputs!$B$9)*(PI()*(Inputs!$F$13/1000)^2/4)*((Inputs!$F$13/1000/4)^(2/3))*SQRT(N55))</f>
        <v/>
      </c>
      <c r="AM55" s="4">
        <f>IF(A55="","",(1/Inputs!$B$9)*(PI()*(Inputs!$F$14/1000)^2/4)*((Inputs!$F$14/1000/4)^(2/3))*SQRT(N55))</f>
        <v/>
      </c>
    </row>
    <row r="56">
      <c r="A56" s="4" t="n"/>
      <c r="B56" s="4" t="n"/>
      <c r="C56" s="8" t="n"/>
      <c r="D56" s="8" t="n"/>
      <c r="E56" s="8">
        <f>SUMIFS(CB_Tributaires!$C:$C,CB_Tributaires!$B:$B,$A56)</f>
        <v/>
      </c>
      <c r="F56" s="8">
        <f>IF(D56="",E56,D56)</f>
        <v/>
      </c>
      <c r="G56" s="4" t="n"/>
      <c r="H56" s="8" t="n"/>
      <c r="I56" s="8">
        <f>IF(A56="","",Inputs!$B$13/((IF(H56="",Inputs!$B$18,H56)+Inputs!$B$14)^Inputs!$B$15))</f>
        <v/>
      </c>
      <c r="J56" s="8">
        <f>IF(A56="","",0.00278*IF(G56="",Inputs!$B$17,G56)*F56*I56)</f>
        <v/>
      </c>
      <c r="K56" s="8">
        <f>IF(A56="","",SUMIFS($L$4:$L$203,$B$4:$B$203,$A56))</f>
        <v/>
      </c>
      <c r="L56" s="8">
        <f>IF(A56="","",(J56+K56)*Inputs!$B$16)</f>
        <v/>
      </c>
      <c r="M56" s="8" t="n"/>
      <c r="N56" s="8">
        <f>IF(A56="","",IF(M56="",Inputs!$B$7,M56))</f>
        <v/>
      </c>
      <c r="O56" s="4">
        <f>IF(A56="","",IF(L56/Inputs!$B$10&lt;=AD56,Inputs!$F$5,IF(L56/Inputs!$B$10&gt;AM56,"OVERSIZE",INDEX(Inputs!$F$5:$F$14,MATCH(L56/Inputs!$B$10,AD56:AM56,1)+1))))</f>
        <v/>
      </c>
      <c r="P56" s="4" t="n"/>
      <c r="Q56" s="4">
        <f>IF(A56="","",IF(P56="",O56,P56))</f>
        <v/>
      </c>
      <c r="R56" s="8">
        <f>IF(OR(Q56="",Q56="OVERSIZE"),"",Q56/1000)</f>
        <v/>
      </c>
      <c r="S56" s="8">
        <f>IF(R56="","",(1/Inputs!$B$9)*(PI()*R56^2/4)*((R56/4)^(2/3))*SQRT(N56))</f>
        <v/>
      </c>
      <c r="T56" s="8">
        <f>IF(OR(S56="",L56=""),"",L56/(S56*Inputs!$B$10))</f>
        <v/>
      </c>
      <c r="U56" s="8">
        <f>IF(OR(R56="",L56=""),"",4*L56/(PI()*R56^2))</f>
        <v/>
      </c>
      <c r="V56" s="8" t="n"/>
      <c r="W56" s="8">
        <f>IF(A56="","",IF(A56=Inputs!$B$6,Inputs!$B$22,IF(B56="","",IFERROR(INDEX($X$4:$X$203,MATCH(B56,$A$4:$A$203,0))+IF(V56="",Inputs!$B$20,V56),""))))</f>
        <v/>
      </c>
      <c r="X56" s="8">
        <f>IF(OR(W56="",N56="",C56=""),"",W56+N56*C56)</f>
        <v/>
      </c>
      <c r="Y56" s="8" t="n"/>
      <c r="Z56" s="8" t="n"/>
      <c r="AA56" s="8">
        <f>IF(OR(Y56="",W56=""),"",Y56-W56)</f>
        <v/>
      </c>
      <c r="AB56" s="8">
        <f>IF(OR(Z56="",X56=""),"",Z56-X56)</f>
        <v/>
      </c>
      <c r="AC56" s="4">
        <f>IF(A56="","",IF(OR(T56&gt;1,U56&lt;Inputs!$B$11,U56&gt;Inputs!$B$12,AA56&lt;Inputs!$B$19,AB56&lt;Inputs!$B$19,N56&lt;Inputs!$B$7,N56&gt;Inputs!$B$8),"CHECK","OK"))</f>
        <v/>
      </c>
      <c r="AD56" s="4">
        <f>IF(A56="","",(1/Inputs!$B$9)*(PI()*(Inputs!$F$5/1000)^2/4)*((Inputs!$F$5/1000/4)^(2/3))*SQRT(N56))</f>
        <v/>
      </c>
      <c r="AE56" s="4">
        <f>IF(A56="","",(1/Inputs!$B$9)*(PI()*(Inputs!$F$6/1000)^2/4)*((Inputs!$F$6/1000/4)^(2/3))*SQRT(N56))</f>
        <v/>
      </c>
      <c r="AF56" s="4">
        <f>IF(A56="","",(1/Inputs!$B$9)*(PI()*(Inputs!$F$7/1000)^2/4)*((Inputs!$F$7/1000/4)^(2/3))*SQRT(N56))</f>
        <v/>
      </c>
      <c r="AG56" s="4">
        <f>IF(A56="","",(1/Inputs!$B$9)*(PI()*(Inputs!$F$8/1000)^2/4)*((Inputs!$F$8/1000/4)^(2/3))*SQRT(N56))</f>
        <v/>
      </c>
      <c r="AH56" s="4">
        <f>IF(A56="","",(1/Inputs!$B$9)*(PI()*(Inputs!$F$9/1000)^2/4)*((Inputs!$F$9/1000/4)^(2/3))*SQRT(N56))</f>
        <v/>
      </c>
      <c r="AI56" s="4">
        <f>IF(A56="","",(1/Inputs!$B$9)*(PI()*(Inputs!$F$10/1000)^2/4)*((Inputs!$F$10/1000/4)^(2/3))*SQRT(N56))</f>
        <v/>
      </c>
      <c r="AJ56" s="4">
        <f>IF(A56="","",(1/Inputs!$B$9)*(PI()*(Inputs!$F$11/1000)^2/4)*((Inputs!$F$11/1000/4)^(2/3))*SQRT(N56))</f>
        <v/>
      </c>
      <c r="AK56" s="4">
        <f>IF(A56="","",(1/Inputs!$B$9)*(PI()*(Inputs!$F$12/1000)^2/4)*((Inputs!$F$12/1000/4)^(2/3))*SQRT(N56))</f>
        <v/>
      </c>
      <c r="AL56" s="4">
        <f>IF(A56="","",(1/Inputs!$B$9)*(PI()*(Inputs!$F$13/1000)^2/4)*((Inputs!$F$13/1000/4)^(2/3))*SQRT(N56))</f>
        <v/>
      </c>
      <c r="AM56" s="4">
        <f>IF(A56="","",(1/Inputs!$B$9)*(PI()*(Inputs!$F$14/1000)^2/4)*((Inputs!$F$14/1000/4)^(2/3))*SQRT(N56))</f>
        <v/>
      </c>
    </row>
    <row r="57">
      <c r="A57" s="4" t="n"/>
      <c r="B57" s="4" t="n"/>
      <c r="C57" s="8" t="n"/>
      <c r="D57" s="8" t="n"/>
      <c r="E57" s="8">
        <f>SUMIFS(CB_Tributaires!$C:$C,CB_Tributaires!$B:$B,$A57)</f>
        <v/>
      </c>
      <c r="F57" s="8">
        <f>IF(D57="",E57,D57)</f>
        <v/>
      </c>
      <c r="G57" s="4" t="n"/>
      <c r="H57" s="8" t="n"/>
      <c r="I57" s="8">
        <f>IF(A57="","",Inputs!$B$13/((IF(H57="",Inputs!$B$18,H57)+Inputs!$B$14)^Inputs!$B$15))</f>
        <v/>
      </c>
      <c r="J57" s="8">
        <f>IF(A57="","",0.00278*IF(G57="",Inputs!$B$17,G57)*F57*I57)</f>
        <v/>
      </c>
      <c r="K57" s="8">
        <f>IF(A57="","",SUMIFS($L$4:$L$203,$B$4:$B$203,$A57))</f>
        <v/>
      </c>
      <c r="L57" s="8">
        <f>IF(A57="","",(J57+K57)*Inputs!$B$16)</f>
        <v/>
      </c>
      <c r="M57" s="8" t="n"/>
      <c r="N57" s="8">
        <f>IF(A57="","",IF(M57="",Inputs!$B$7,M57))</f>
        <v/>
      </c>
      <c r="O57" s="4">
        <f>IF(A57="","",IF(L57/Inputs!$B$10&lt;=AD57,Inputs!$F$5,IF(L57/Inputs!$B$10&gt;AM57,"OVERSIZE",INDEX(Inputs!$F$5:$F$14,MATCH(L57/Inputs!$B$10,AD57:AM57,1)+1))))</f>
        <v/>
      </c>
      <c r="P57" s="4" t="n"/>
      <c r="Q57" s="4">
        <f>IF(A57="","",IF(P57="",O57,P57))</f>
        <v/>
      </c>
      <c r="R57" s="8">
        <f>IF(OR(Q57="",Q57="OVERSIZE"),"",Q57/1000)</f>
        <v/>
      </c>
      <c r="S57" s="8">
        <f>IF(R57="","",(1/Inputs!$B$9)*(PI()*R57^2/4)*((R57/4)^(2/3))*SQRT(N57))</f>
        <v/>
      </c>
      <c r="T57" s="8">
        <f>IF(OR(S57="",L57=""),"",L57/(S57*Inputs!$B$10))</f>
        <v/>
      </c>
      <c r="U57" s="8">
        <f>IF(OR(R57="",L57=""),"",4*L57/(PI()*R57^2))</f>
        <v/>
      </c>
      <c r="V57" s="8" t="n"/>
      <c r="W57" s="8">
        <f>IF(A57="","",IF(A57=Inputs!$B$6,Inputs!$B$22,IF(B57="","",IFERROR(INDEX($X$4:$X$203,MATCH(B57,$A$4:$A$203,0))+IF(V57="",Inputs!$B$20,V57),""))))</f>
        <v/>
      </c>
      <c r="X57" s="8">
        <f>IF(OR(W57="",N57="",C57=""),"",W57+N57*C57)</f>
        <v/>
      </c>
      <c r="Y57" s="8" t="n"/>
      <c r="Z57" s="8" t="n"/>
      <c r="AA57" s="8">
        <f>IF(OR(Y57="",W57=""),"",Y57-W57)</f>
        <v/>
      </c>
      <c r="AB57" s="8">
        <f>IF(OR(Z57="",X57=""),"",Z57-X57)</f>
        <v/>
      </c>
      <c r="AC57" s="4">
        <f>IF(A57="","",IF(OR(T57&gt;1,U57&lt;Inputs!$B$11,U57&gt;Inputs!$B$12,AA57&lt;Inputs!$B$19,AB57&lt;Inputs!$B$19,N57&lt;Inputs!$B$7,N57&gt;Inputs!$B$8),"CHECK","OK"))</f>
        <v/>
      </c>
      <c r="AD57" s="4">
        <f>IF(A57="","",(1/Inputs!$B$9)*(PI()*(Inputs!$F$5/1000)^2/4)*((Inputs!$F$5/1000/4)^(2/3))*SQRT(N57))</f>
        <v/>
      </c>
      <c r="AE57" s="4">
        <f>IF(A57="","",(1/Inputs!$B$9)*(PI()*(Inputs!$F$6/1000)^2/4)*((Inputs!$F$6/1000/4)^(2/3))*SQRT(N57))</f>
        <v/>
      </c>
      <c r="AF57" s="4">
        <f>IF(A57="","",(1/Inputs!$B$9)*(PI()*(Inputs!$F$7/1000)^2/4)*((Inputs!$F$7/1000/4)^(2/3))*SQRT(N57))</f>
        <v/>
      </c>
      <c r="AG57" s="4">
        <f>IF(A57="","",(1/Inputs!$B$9)*(PI()*(Inputs!$F$8/1000)^2/4)*((Inputs!$F$8/1000/4)^(2/3))*SQRT(N57))</f>
        <v/>
      </c>
      <c r="AH57" s="4">
        <f>IF(A57="","",(1/Inputs!$B$9)*(PI()*(Inputs!$F$9/1000)^2/4)*((Inputs!$F$9/1000/4)^(2/3))*SQRT(N57))</f>
        <v/>
      </c>
      <c r="AI57" s="4">
        <f>IF(A57="","",(1/Inputs!$B$9)*(PI()*(Inputs!$F$10/1000)^2/4)*((Inputs!$F$10/1000/4)^(2/3))*SQRT(N57))</f>
        <v/>
      </c>
      <c r="AJ57" s="4">
        <f>IF(A57="","",(1/Inputs!$B$9)*(PI()*(Inputs!$F$11/1000)^2/4)*((Inputs!$F$11/1000/4)^(2/3))*SQRT(N57))</f>
        <v/>
      </c>
      <c r="AK57" s="4">
        <f>IF(A57="","",(1/Inputs!$B$9)*(PI()*(Inputs!$F$12/1000)^2/4)*((Inputs!$F$12/1000/4)^(2/3))*SQRT(N57))</f>
        <v/>
      </c>
      <c r="AL57" s="4">
        <f>IF(A57="","",(1/Inputs!$B$9)*(PI()*(Inputs!$F$13/1000)^2/4)*((Inputs!$F$13/1000/4)^(2/3))*SQRT(N57))</f>
        <v/>
      </c>
      <c r="AM57" s="4">
        <f>IF(A57="","",(1/Inputs!$B$9)*(PI()*(Inputs!$F$14/1000)^2/4)*((Inputs!$F$14/1000/4)^(2/3))*SQRT(N57))</f>
        <v/>
      </c>
    </row>
    <row r="58">
      <c r="A58" s="4" t="n"/>
      <c r="B58" s="4" t="n"/>
      <c r="C58" s="8" t="n"/>
      <c r="D58" s="8" t="n"/>
      <c r="E58" s="8">
        <f>SUMIFS(CB_Tributaires!$C:$C,CB_Tributaires!$B:$B,$A58)</f>
        <v/>
      </c>
      <c r="F58" s="8">
        <f>IF(D58="",E58,D58)</f>
        <v/>
      </c>
      <c r="G58" s="4" t="n"/>
      <c r="H58" s="8" t="n"/>
      <c r="I58" s="8">
        <f>IF(A58="","",Inputs!$B$13/((IF(H58="",Inputs!$B$18,H58)+Inputs!$B$14)^Inputs!$B$15))</f>
        <v/>
      </c>
      <c r="J58" s="8">
        <f>IF(A58="","",0.00278*IF(G58="",Inputs!$B$17,G58)*F58*I58)</f>
        <v/>
      </c>
      <c r="K58" s="8">
        <f>IF(A58="","",SUMIFS($L$4:$L$203,$B$4:$B$203,$A58))</f>
        <v/>
      </c>
      <c r="L58" s="8">
        <f>IF(A58="","",(J58+K58)*Inputs!$B$16)</f>
        <v/>
      </c>
      <c r="M58" s="8" t="n"/>
      <c r="N58" s="8">
        <f>IF(A58="","",IF(M58="",Inputs!$B$7,M58))</f>
        <v/>
      </c>
      <c r="O58" s="4">
        <f>IF(A58="","",IF(L58/Inputs!$B$10&lt;=AD58,Inputs!$F$5,IF(L58/Inputs!$B$10&gt;AM58,"OVERSIZE",INDEX(Inputs!$F$5:$F$14,MATCH(L58/Inputs!$B$10,AD58:AM58,1)+1))))</f>
        <v/>
      </c>
      <c r="P58" s="4" t="n"/>
      <c r="Q58" s="4">
        <f>IF(A58="","",IF(P58="",O58,P58))</f>
        <v/>
      </c>
      <c r="R58" s="8">
        <f>IF(OR(Q58="",Q58="OVERSIZE"),"",Q58/1000)</f>
        <v/>
      </c>
      <c r="S58" s="8">
        <f>IF(R58="","",(1/Inputs!$B$9)*(PI()*R58^2/4)*((R58/4)^(2/3))*SQRT(N58))</f>
        <v/>
      </c>
      <c r="T58" s="8">
        <f>IF(OR(S58="",L58=""),"",L58/(S58*Inputs!$B$10))</f>
        <v/>
      </c>
      <c r="U58" s="8">
        <f>IF(OR(R58="",L58=""),"",4*L58/(PI()*R58^2))</f>
        <v/>
      </c>
      <c r="V58" s="8" t="n"/>
      <c r="W58" s="8">
        <f>IF(A58="","",IF(A58=Inputs!$B$6,Inputs!$B$22,IF(B58="","",IFERROR(INDEX($X$4:$X$203,MATCH(B58,$A$4:$A$203,0))+IF(V58="",Inputs!$B$20,V58),""))))</f>
        <v/>
      </c>
      <c r="X58" s="8">
        <f>IF(OR(W58="",N58="",C58=""),"",W58+N58*C58)</f>
        <v/>
      </c>
      <c r="Y58" s="8" t="n"/>
      <c r="Z58" s="8" t="n"/>
      <c r="AA58" s="8">
        <f>IF(OR(Y58="",W58=""),"",Y58-W58)</f>
        <v/>
      </c>
      <c r="AB58" s="8">
        <f>IF(OR(Z58="",X58=""),"",Z58-X58)</f>
        <v/>
      </c>
      <c r="AC58" s="4">
        <f>IF(A58="","",IF(OR(T58&gt;1,U58&lt;Inputs!$B$11,U58&gt;Inputs!$B$12,AA58&lt;Inputs!$B$19,AB58&lt;Inputs!$B$19,N58&lt;Inputs!$B$7,N58&gt;Inputs!$B$8),"CHECK","OK"))</f>
        <v/>
      </c>
      <c r="AD58" s="4">
        <f>IF(A58="","",(1/Inputs!$B$9)*(PI()*(Inputs!$F$5/1000)^2/4)*((Inputs!$F$5/1000/4)^(2/3))*SQRT(N58))</f>
        <v/>
      </c>
      <c r="AE58" s="4">
        <f>IF(A58="","",(1/Inputs!$B$9)*(PI()*(Inputs!$F$6/1000)^2/4)*((Inputs!$F$6/1000/4)^(2/3))*SQRT(N58))</f>
        <v/>
      </c>
      <c r="AF58" s="4">
        <f>IF(A58="","",(1/Inputs!$B$9)*(PI()*(Inputs!$F$7/1000)^2/4)*((Inputs!$F$7/1000/4)^(2/3))*SQRT(N58))</f>
        <v/>
      </c>
      <c r="AG58" s="4">
        <f>IF(A58="","",(1/Inputs!$B$9)*(PI()*(Inputs!$F$8/1000)^2/4)*((Inputs!$F$8/1000/4)^(2/3))*SQRT(N58))</f>
        <v/>
      </c>
      <c r="AH58" s="4">
        <f>IF(A58="","",(1/Inputs!$B$9)*(PI()*(Inputs!$F$9/1000)^2/4)*((Inputs!$F$9/1000/4)^(2/3))*SQRT(N58))</f>
        <v/>
      </c>
      <c r="AI58" s="4">
        <f>IF(A58="","",(1/Inputs!$B$9)*(PI()*(Inputs!$F$10/1000)^2/4)*((Inputs!$F$10/1000/4)^(2/3))*SQRT(N58))</f>
        <v/>
      </c>
      <c r="AJ58" s="4">
        <f>IF(A58="","",(1/Inputs!$B$9)*(PI()*(Inputs!$F$11/1000)^2/4)*((Inputs!$F$11/1000/4)^(2/3))*SQRT(N58))</f>
        <v/>
      </c>
      <c r="AK58" s="4">
        <f>IF(A58="","",(1/Inputs!$B$9)*(PI()*(Inputs!$F$12/1000)^2/4)*((Inputs!$F$12/1000/4)^(2/3))*SQRT(N58))</f>
        <v/>
      </c>
      <c r="AL58" s="4">
        <f>IF(A58="","",(1/Inputs!$B$9)*(PI()*(Inputs!$F$13/1000)^2/4)*((Inputs!$F$13/1000/4)^(2/3))*SQRT(N58))</f>
        <v/>
      </c>
      <c r="AM58" s="4">
        <f>IF(A58="","",(1/Inputs!$B$9)*(PI()*(Inputs!$F$14/1000)^2/4)*((Inputs!$F$14/1000/4)^(2/3))*SQRT(N58))</f>
        <v/>
      </c>
    </row>
    <row r="59">
      <c r="A59" s="4" t="n"/>
      <c r="B59" s="4" t="n"/>
      <c r="C59" s="8" t="n"/>
      <c r="D59" s="8" t="n"/>
      <c r="E59" s="8">
        <f>SUMIFS(CB_Tributaires!$C:$C,CB_Tributaires!$B:$B,$A59)</f>
        <v/>
      </c>
      <c r="F59" s="8">
        <f>IF(D59="",E59,D59)</f>
        <v/>
      </c>
      <c r="G59" s="4" t="n"/>
      <c r="H59" s="8" t="n"/>
      <c r="I59" s="8">
        <f>IF(A59="","",Inputs!$B$13/((IF(H59="",Inputs!$B$18,H59)+Inputs!$B$14)^Inputs!$B$15))</f>
        <v/>
      </c>
      <c r="J59" s="8">
        <f>IF(A59="","",0.00278*IF(G59="",Inputs!$B$17,G59)*F59*I59)</f>
        <v/>
      </c>
      <c r="K59" s="8">
        <f>IF(A59="","",SUMIFS($L$4:$L$203,$B$4:$B$203,$A59))</f>
        <v/>
      </c>
      <c r="L59" s="8">
        <f>IF(A59="","",(J59+K59)*Inputs!$B$16)</f>
        <v/>
      </c>
      <c r="M59" s="8" t="n"/>
      <c r="N59" s="8">
        <f>IF(A59="","",IF(M59="",Inputs!$B$7,M59))</f>
        <v/>
      </c>
      <c r="O59" s="4">
        <f>IF(A59="","",IF(L59/Inputs!$B$10&lt;=AD59,Inputs!$F$5,IF(L59/Inputs!$B$10&gt;AM59,"OVERSIZE",INDEX(Inputs!$F$5:$F$14,MATCH(L59/Inputs!$B$10,AD59:AM59,1)+1))))</f>
        <v/>
      </c>
      <c r="P59" s="4" t="n"/>
      <c r="Q59" s="4">
        <f>IF(A59="","",IF(P59="",O59,P59))</f>
        <v/>
      </c>
      <c r="R59" s="8">
        <f>IF(OR(Q59="",Q59="OVERSIZE"),"",Q59/1000)</f>
        <v/>
      </c>
      <c r="S59" s="8">
        <f>IF(R59="","",(1/Inputs!$B$9)*(PI()*R59^2/4)*((R59/4)^(2/3))*SQRT(N59))</f>
        <v/>
      </c>
      <c r="T59" s="8">
        <f>IF(OR(S59="",L59=""),"",L59/(S59*Inputs!$B$10))</f>
        <v/>
      </c>
      <c r="U59" s="8">
        <f>IF(OR(R59="",L59=""),"",4*L59/(PI()*R59^2))</f>
        <v/>
      </c>
      <c r="V59" s="8" t="n"/>
      <c r="W59" s="8">
        <f>IF(A59="","",IF(A59=Inputs!$B$6,Inputs!$B$22,IF(B59="","",IFERROR(INDEX($X$4:$X$203,MATCH(B59,$A$4:$A$203,0))+IF(V59="",Inputs!$B$20,V59),""))))</f>
        <v/>
      </c>
      <c r="X59" s="8">
        <f>IF(OR(W59="",N59="",C59=""),"",W59+N59*C59)</f>
        <v/>
      </c>
      <c r="Y59" s="8" t="n"/>
      <c r="Z59" s="8" t="n"/>
      <c r="AA59" s="8">
        <f>IF(OR(Y59="",W59=""),"",Y59-W59)</f>
        <v/>
      </c>
      <c r="AB59" s="8">
        <f>IF(OR(Z59="",X59=""),"",Z59-X59)</f>
        <v/>
      </c>
      <c r="AC59" s="4">
        <f>IF(A59="","",IF(OR(T59&gt;1,U59&lt;Inputs!$B$11,U59&gt;Inputs!$B$12,AA59&lt;Inputs!$B$19,AB59&lt;Inputs!$B$19,N59&lt;Inputs!$B$7,N59&gt;Inputs!$B$8),"CHECK","OK"))</f>
        <v/>
      </c>
      <c r="AD59" s="4">
        <f>IF(A59="","",(1/Inputs!$B$9)*(PI()*(Inputs!$F$5/1000)^2/4)*((Inputs!$F$5/1000/4)^(2/3))*SQRT(N59))</f>
        <v/>
      </c>
      <c r="AE59" s="4">
        <f>IF(A59="","",(1/Inputs!$B$9)*(PI()*(Inputs!$F$6/1000)^2/4)*((Inputs!$F$6/1000/4)^(2/3))*SQRT(N59))</f>
        <v/>
      </c>
      <c r="AF59" s="4">
        <f>IF(A59="","",(1/Inputs!$B$9)*(PI()*(Inputs!$F$7/1000)^2/4)*((Inputs!$F$7/1000/4)^(2/3))*SQRT(N59))</f>
        <v/>
      </c>
      <c r="AG59" s="4">
        <f>IF(A59="","",(1/Inputs!$B$9)*(PI()*(Inputs!$F$8/1000)^2/4)*((Inputs!$F$8/1000/4)^(2/3))*SQRT(N59))</f>
        <v/>
      </c>
      <c r="AH59" s="4">
        <f>IF(A59="","",(1/Inputs!$B$9)*(PI()*(Inputs!$F$9/1000)^2/4)*((Inputs!$F$9/1000/4)^(2/3))*SQRT(N59))</f>
        <v/>
      </c>
      <c r="AI59" s="4">
        <f>IF(A59="","",(1/Inputs!$B$9)*(PI()*(Inputs!$F$10/1000)^2/4)*((Inputs!$F$10/1000/4)^(2/3))*SQRT(N59))</f>
        <v/>
      </c>
      <c r="AJ59" s="4">
        <f>IF(A59="","",(1/Inputs!$B$9)*(PI()*(Inputs!$F$11/1000)^2/4)*((Inputs!$F$11/1000/4)^(2/3))*SQRT(N59))</f>
        <v/>
      </c>
      <c r="AK59" s="4">
        <f>IF(A59="","",(1/Inputs!$B$9)*(PI()*(Inputs!$F$12/1000)^2/4)*((Inputs!$F$12/1000/4)^(2/3))*SQRT(N59))</f>
        <v/>
      </c>
      <c r="AL59" s="4">
        <f>IF(A59="","",(1/Inputs!$B$9)*(PI()*(Inputs!$F$13/1000)^2/4)*((Inputs!$F$13/1000/4)^(2/3))*SQRT(N59))</f>
        <v/>
      </c>
      <c r="AM59" s="4">
        <f>IF(A59="","",(1/Inputs!$B$9)*(PI()*(Inputs!$F$14/1000)^2/4)*((Inputs!$F$14/1000/4)^(2/3))*SQRT(N59))</f>
        <v/>
      </c>
    </row>
    <row r="60">
      <c r="A60" s="4" t="n"/>
      <c r="B60" s="4" t="n"/>
      <c r="C60" s="8" t="n"/>
      <c r="D60" s="8" t="n"/>
      <c r="E60" s="8">
        <f>SUMIFS(CB_Tributaires!$C:$C,CB_Tributaires!$B:$B,$A60)</f>
        <v/>
      </c>
      <c r="F60" s="8">
        <f>IF(D60="",E60,D60)</f>
        <v/>
      </c>
      <c r="G60" s="4" t="n"/>
      <c r="H60" s="8" t="n"/>
      <c r="I60" s="8">
        <f>IF(A60="","",Inputs!$B$13/((IF(H60="",Inputs!$B$18,H60)+Inputs!$B$14)^Inputs!$B$15))</f>
        <v/>
      </c>
      <c r="J60" s="8">
        <f>IF(A60="","",0.00278*IF(G60="",Inputs!$B$17,G60)*F60*I60)</f>
        <v/>
      </c>
      <c r="K60" s="8">
        <f>IF(A60="","",SUMIFS($L$4:$L$203,$B$4:$B$203,$A60))</f>
        <v/>
      </c>
      <c r="L60" s="8">
        <f>IF(A60="","",(J60+K60)*Inputs!$B$16)</f>
        <v/>
      </c>
      <c r="M60" s="8" t="n"/>
      <c r="N60" s="8">
        <f>IF(A60="","",IF(M60="",Inputs!$B$7,M60))</f>
        <v/>
      </c>
      <c r="O60" s="4">
        <f>IF(A60="","",IF(L60/Inputs!$B$10&lt;=AD60,Inputs!$F$5,IF(L60/Inputs!$B$10&gt;AM60,"OVERSIZE",INDEX(Inputs!$F$5:$F$14,MATCH(L60/Inputs!$B$10,AD60:AM60,1)+1))))</f>
        <v/>
      </c>
      <c r="P60" s="4" t="n"/>
      <c r="Q60" s="4">
        <f>IF(A60="","",IF(P60="",O60,P60))</f>
        <v/>
      </c>
      <c r="R60" s="8">
        <f>IF(OR(Q60="",Q60="OVERSIZE"),"",Q60/1000)</f>
        <v/>
      </c>
      <c r="S60" s="8">
        <f>IF(R60="","",(1/Inputs!$B$9)*(PI()*R60^2/4)*((R60/4)^(2/3))*SQRT(N60))</f>
        <v/>
      </c>
      <c r="T60" s="8">
        <f>IF(OR(S60="",L60=""),"",L60/(S60*Inputs!$B$10))</f>
        <v/>
      </c>
      <c r="U60" s="8">
        <f>IF(OR(R60="",L60=""),"",4*L60/(PI()*R60^2))</f>
        <v/>
      </c>
      <c r="V60" s="8" t="n"/>
      <c r="W60" s="8">
        <f>IF(A60="","",IF(A60=Inputs!$B$6,Inputs!$B$22,IF(B60="","",IFERROR(INDEX($X$4:$X$203,MATCH(B60,$A$4:$A$203,0))+IF(V60="",Inputs!$B$20,V60),""))))</f>
        <v/>
      </c>
      <c r="X60" s="8">
        <f>IF(OR(W60="",N60="",C60=""),"",W60+N60*C60)</f>
        <v/>
      </c>
      <c r="Y60" s="8" t="n"/>
      <c r="Z60" s="8" t="n"/>
      <c r="AA60" s="8">
        <f>IF(OR(Y60="",W60=""),"",Y60-W60)</f>
        <v/>
      </c>
      <c r="AB60" s="8">
        <f>IF(OR(Z60="",X60=""),"",Z60-X60)</f>
        <v/>
      </c>
      <c r="AC60" s="4">
        <f>IF(A60="","",IF(OR(T60&gt;1,U60&lt;Inputs!$B$11,U60&gt;Inputs!$B$12,AA60&lt;Inputs!$B$19,AB60&lt;Inputs!$B$19,N60&lt;Inputs!$B$7,N60&gt;Inputs!$B$8),"CHECK","OK"))</f>
        <v/>
      </c>
      <c r="AD60" s="4">
        <f>IF(A60="","",(1/Inputs!$B$9)*(PI()*(Inputs!$F$5/1000)^2/4)*((Inputs!$F$5/1000/4)^(2/3))*SQRT(N60))</f>
        <v/>
      </c>
      <c r="AE60" s="4">
        <f>IF(A60="","",(1/Inputs!$B$9)*(PI()*(Inputs!$F$6/1000)^2/4)*((Inputs!$F$6/1000/4)^(2/3))*SQRT(N60))</f>
        <v/>
      </c>
      <c r="AF60" s="4">
        <f>IF(A60="","",(1/Inputs!$B$9)*(PI()*(Inputs!$F$7/1000)^2/4)*((Inputs!$F$7/1000/4)^(2/3))*SQRT(N60))</f>
        <v/>
      </c>
      <c r="AG60" s="4">
        <f>IF(A60="","",(1/Inputs!$B$9)*(PI()*(Inputs!$F$8/1000)^2/4)*((Inputs!$F$8/1000/4)^(2/3))*SQRT(N60))</f>
        <v/>
      </c>
      <c r="AH60" s="4">
        <f>IF(A60="","",(1/Inputs!$B$9)*(PI()*(Inputs!$F$9/1000)^2/4)*((Inputs!$F$9/1000/4)^(2/3))*SQRT(N60))</f>
        <v/>
      </c>
      <c r="AI60" s="4">
        <f>IF(A60="","",(1/Inputs!$B$9)*(PI()*(Inputs!$F$10/1000)^2/4)*((Inputs!$F$10/1000/4)^(2/3))*SQRT(N60))</f>
        <v/>
      </c>
      <c r="AJ60" s="4">
        <f>IF(A60="","",(1/Inputs!$B$9)*(PI()*(Inputs!$F$11/1000)^2/4)*((Inputs!$F$11/1000/4)^(2/3))*SQRT(N60))</f>
        <v/>
      </c>
      <c r="AK60" s="4">
        <f>IF(A60="","",(1/Inputs!$B$9)*(PI()*(Inputs!$F$12/1000)^2/4)*((Inputs!$F$12/1000/4)^(2/3))*SQRT(N60))</f>
        <v/>
      </c>
      <c r="AL60" s="4">
        <f>IF(A60="","",(1/Inputs!$B$9)*(PI()*(Inputs!$F$13/1000)^2/4)*((Inputs!$F$13/1000/4)^(2/3))*SQRT(N60))</f>
        <v/>
      </c>
      <c r="AM60" s="4">
        <f>IF(A60="","",(1/Inputs!$B$9)*(PI()*(Inputs!$F$14/1000)^2/4)*((Inputs!$F$14/1000/4)^(2/3))*SQRT(N60))</f>
        <v/>
      </c>
    </row>
    <row r="61">
      <c r="A61" s="4" t="n"/>
      <c r="B61" s="4" t="n"/>
      <c r="C61" s="8" t="n"/>
      <c r="D61" s="8" t="n"/>
      <c r="E61" s="8">
        <f>SUMIFS(CB_Tributaires!$C:$C,CB_Tributaires!$B:$B,$A61)</f>
        <v/>
      </c>
      <c r="F61" s="8">
        <f>IF(D61="",E61,D61)</f>
        <v/>
      </c>
      <c r="G61" s="4" t="n"/>
      <c r="H61" s="8" t="n"/>
      <c r="I61" s="8">
        <f>IF(A61="","",Inputs!$B$13/((IF(H61="",Inputs!$B$18,H61)+Inputs!$B$14)^Inputs!$B$15))</f>
        <v/>
      </c>
      <c r="J61" s="8">
        <f>IF(A61="","",0.00278*IF(G61="",Inputs!$B$17,G61)*F61*I61)</f>
        <v/>
      </c>
      <c r="K61" s="8">
        <f>IF(A61="","",SUMIFS($L$4:$L$203,$B$4:$B$203,$A61))</f>
        <v/>
      </c>
      <c r="L61" s="8">
        <f>IF(A61="","",(J61+K61)*Inputs!$B$16)</f>
        <v/>
      </c>
      <c r="M61" s="8" t="n"/>
      <c r="N61" s="8">
        <f>IF(A61="","",IF(M61="",Inputs!$B$7,M61))</f>
        <v/>
      </c>
      <c r="O61" s="4">
        <f>IF(A61="","",IF(L61/Inputs!$B$10&lt;=AD61,Inputs!$F$5,IF(L61/Inputs!$B$10&gt;AM61,"OVERSIZE",INDEX(Inputs!$F$5:$F$14,MATCH(L61/Inputs!$B$10,AD61:AM61,1)+1))))</f>
        <v/>
      </c>
      <c r="P61" s="4" t="n"/>
      <c r="Q61" s="4">
        <f>IF(A61="","",IF(P61="",O61,P61))</f>
        <v/>
      </c>
      <c r="R61" s="8">
        <f>IF(OR(Q61="",Q61="OVERSIZE"),"",Q61/1000)</f>
        <v/>
      </c>
      <c r="S61" s="8">
        <f>IF(R61="","",(1/Inputs!$B$9)*(PI()*R61^2/4)*((R61/4)^(2/3))*SQRT(N61))</f>
        <v/>
      </c>
      <c r="T61" s="8">
        <f>IF(OR(S61="",L61=""),"",L61/(S61*Inputs!$B$10))</f>
        <v/>
      </c>
      <c r="U61" s="8">
        <f>IF(OR(R61="",L61=""),"",4*L61/(PI()*R61^2))</f>
        <v/>
      </c>
      <c r="V61" s="8" t="n"/>
      <c r="W61" s="8">
        <f>IF(A61="","",IF(A61=Inputs!$B$6,Inputs!$B$22,IF(B61="","",IFERROR(INDEX($X$4:$X$203,MATCH(B61,$A$4:$A$203,0))+IF(V61="",Inputs!$B$20,V61),""))))</f>
        <v/>
      </c>
      <c r="X61" s="8">
        <f>IF(OR(W61="",N61="",C61=""),"",W61+N61*C61)</f>
        <v/>
      </c>
      <c r="Y61" s="8" t="n"/>
      <c r="Z61" s="8" t="n"/>
      <c r="AA61" s="8">
        <f>IF(OR(Y61="",W61=""),"",Y61-W61)</f>
        <v/>
      </c>
      <c r="AB61" s="8">
        <f>IF(OR(Z61="",X61=""),"",Z61-X61)</f>
        <v/>
      </c>
      <c r="AC61" s="4">
        <f>IF(A61="","",IF(OR(T61&gt;1,U61&lt;Inputs!$B$11,U61&gt;Inputs!$B$12,AA61&lt;Inputs!$B$19,AB61&lt;Inputs!$B$19,N61&lt;Inputs!$B$7,N61&gt;Inputs!$B$8),"CHECK","OK"))</f>
        <v/>
      </c>
      <c r="AD61" s="4">
        <f>IF(A61="","",(1/Inputs!$B$9)*(PI()*(Inputs!$F$5/1000)^2/4)*((Inputs!$F$5/1000/4)^(2/3))*SQRT(N61))</f>
        <v/>
      </c>
      <c r="AE61" s="4">
        <f>IF(A61="","",(1/Inputs!$B$9)*(PI()*(Inputs!$F$6/1000)^2/4)*((Inputs!$F$6/1000/4)^(2/3))*SQRT(N61))</f>
        <v/>
      </c>
      <c r="AF61" s="4">
        <f>IF(A61="","",(1/Inputs!$B$9)*(PI()*(Inputs!$F$7/1000)^2/4)*((Inputs!$F$7/1000/4)^(2/3))*SQRT(N61))</f>
        <v/>
      </c>
      <c r="AG61" s="4">
        <f>IF(A61="","",(1/Inputs!$B$9)*(PI()*(Inputs!$F$8/1000)^2/4)*((Inputs!$F$8/1000/4)^(2/3))*SQRT(N61))</f>
        <v/>
      </c>
      <c r="AH61" s="4">
        <f>IF(A61="","",(1/Inputs!$B$9)*(PI()*(Inputs!$F$9/1000)^2/4)*((Inputs!$F$9/1000/4)^(2/3))*SQRT(N61))</f>
        <v/>
      </c>
      <c r="AI61" s="4">
        <f>IF(A61="","",(1/Inputs!$B$9)*(PI()*(Inputs!$F$10/1000)^2/4)*((Inputs!$F$10/1000/4)^(2/3))*SQRT(N61))</f>
        <v/>
      </c>
      <c r="AJ61" s="4">
        <f>IF(A61="","",(1/Inputs!$B$9)*(PI()*(Inputs!$F$11/1000)^2/4)*((Inputs!$F$11/1000/4)^(2/3))*SQRT(N61))</f>
        <v/>
      </c>
      <c r="AK61" s="4">
        <f>IF(A61="","",(1/Inputs!$B$9)*(PI()*(Inputs!$F$12/1000)^2/4)*((Inputs!$F$12/1000/4)^(2/3))*SQRT(N61))</f>
        <v/>
      </c>
      <c r="AL61" s="4">
        <f>IF(A61="","",(1/Inputs!$B$9)*(PI()*(Inputs!$F$13/1000)^2/4)*((Inputs!$F$13/1000/4)^(2/3))*SQRT(N61))</f>
        <v/>
      </c>
      <c r="AM61" s="4">
        <f>IF(A61="","",(1/Inputs!$B$9)*(PI()*(Inputs!$F$14/1000)^2/4)*((Inputs!$F$14/1000/4)^(2/3))*SQRT(N61))</f>
        <v/>
      </c>
    </row>
    <row r="62">
      <c r="A62" s="4" t="n"/>
      <c r="B62" s="4" t="n"/>
      <c r="C62" s="8" t="n"/>
      <c r="D62" s="8" t="n"/>
      <c r="E62" s="8">
        <f>SUMIFS(CB_Tributaires!$C:$C,CB_Tributaires!$B:$B,$A62)</f>
        <v/>
      </c>
      <c r="F62" s="8">
        <f>IF(D62="",E62,D62)</f>
        <v/>
      </c>
      <c r="G62" s="4" t="n"/>
      <c r="H62" s="8" t="n"/>
      <c r="I62" s="8">
        <f>IF(A62="","",Inputs!$B$13/((IF(H62="",Inputs!$B$18,H62)+Inputs!$B$14)^Inputs!$B$15))</f>
        <v/>
      </c>
      <c r="J62" s="8">
        <f>IF(A62="","",0.00278*IF(G62="",Inputs!$B$17,G62)*F62*I62)</f>
        <v/>
      </c>
      <c r="K62" s="8">
        <f>IF(A62="","",SUMIFS($L$4:$L$203,$B$4:$B$203,$A62))</f>
        <v/>
      </c>
      <c r="L62" s="8">
        <f>IF(A62="","",(J62+K62)*Inputs!$B$16)</f>
        <v/>
      </c>
      <c r="M62" s="8" t="n"/>
      <c r="N62" s="8">
        <f>IF(A62="","",IF(M62="",Inputs!$B$7,M62))</f>
        <v/>
      </c>
      <c r="O62" s="4">
        <f>IF(A62="","",IF(L62/Inputs!$B$10&lt;=AD62,Inputs!$F$5,IF(L62/Inputs!$B$10&gt;AM62,"OVERSIZE",INDEX(Inputs!$F$5:$F$14,MATCH(L62/Inputs!$B$10,AD62:AM62,1)+1))))</f>
        <v/>
      </c>
      <c r="P62" s="4" t="n"/>
      <c r="Q62" s="4">
        <f>IF(A62="","",IF(P62="",O62,P62))</f>
        <v/>
      </c>
      <c r="R62" s="8">
        <f>IF(OR(Q62="",Q62="OVERSIZE"),"",Q62/1000)</f>
        <v/>
      </c>
      <c r="S62" s="8">
        <f>IF(R62="","",(1/Inputs!$B$9)*(PI()*R62^2/4)*((R62/4)^(2/3))*SQRT(N62))</f>
        <v/>
      </c>
      <c r="T62" s="8">
        <f>IF(OR(S62="",L62=""),"",L62/(S62*Inputs!$B$10))</f>
        <v/>
      </c>
      <c r="U62" s="8">
        <f>IF(OR(R62="",L62=""),"",4*L62/(PI()*R62^2))</f>
        <v/>
      </c>
      <c r="V62" s="8" t="n"/>
      <c r="W62" s="8">
        <f>IF(A62="","",IF(A62=Inputs!$B$6,Inputs!$B$22,IF(B62="","",IFERROR(INDEX($X$4:$X$203,MATCH(B62,$A$4:$A$203,0))+IF(V62="",Inputs!$B$20,V62),""))))</f>
        <v/>
      </c>
      <c r="X62" s="8">
        <f>IF(OR(W62="",N62="",C62=""),"",W62+N62*C62)</f>
        <v/>
      </c>
      <c r="Y62" s="8" t="n"/>
      <c r="Z62" s="8" t="n"/>
      <c r="AA62" s="8">
        <f>IF(OR(Y62="",W62=""),"",Y62-W62)</f>
        <v/>
      </c>
      <c r="AB62" s="8">
        <f>IF(OR(Z62="",X62=""),"",Z62-X62)</f>
        <v/>
      </c>
      <c r="AC62" s="4">
        <f>IF(A62="","",IF(OR(T62&gt;1,U62&lt;Inputs!$B$11,U62&gt;Inputs!$B$12,AA62&lt;Inputs!$B$19,AB62&lt;Inputs!$B$19,N62&lt;Inputs!$B$7,N62&gt;Inputs!$B$8),"CHECK","OK"))</f>
        <v/>
      </c>
      <c r="AD62" s="4">
        <f>IF(A62="","",(1/Inputs!$B$9)*(PI()*(Inputs!$F$5/1000)^2/4)*((Inputs!$F$5/1000/4)^(2/3))*SQRT(N62))</f>
        <v/>
      </c>
      <c r="AE62" s="4">
        <f>IF(A62="","",(1/Inputs!$B$9)*(PI()*(Inputs!$F$6/1000)^2/4)*((Inputs!$F$6/1000/4)^(2/3))*SQRT(N62))</f>
        <v/>
      </c>
      <c r="AF62" s="4">
        <f>IF(A62="","",(1/Inputs!$B$9)*(PI()*(Inputs!$F$7/1000)^2/4)*((Inputs!$F$7/1000/4)^(2/3))*SQRT(N62))</f>
        <v/>
      </c>
      <c r="AG62" s="4">
        <f>IF(A62="","",(1/Inputs!$B$9)*(PI()*(Inputs!$F$8/1000)^2/4)*((Inputs!$F$8/1000/4)^(2/3))*SQRT(N62))</f>
        <v/>
      </c>
      <c r="AH62" s="4">
        <f>IF(A62="","",(1/Inputs!$B$9)*(PI()*(Inputs!$F$9/1000)^2/4)*((Inputs!$F$9/1000/4)^(2/3))*SQRT(N62))</f>
        <v/>
      </c>
      <c r="AI62" s="4">
        <f>IF(A62="","",(1/Inputs!$B$9)*(PI()*(Inputs!$F$10/1000)^2/4)*((Inputs!$F$10/1000/4)^(2/3))*SQRT(N62))</f>
        <v/>
      </c>
      <c r="AJ62" s="4">
        <f>IF(A62="","",(1/Inputs!$B$9)*(PI()*(Inputs!$F$11/1000)^2/4)*((Inputs!$F$11/1000/4)^(2/3))*SQRT(N62))</f>
        <v/>
      </c>
      <c r="AK62" s="4">
        <f>IF(A62="","",(1/Inputs!$B$9)*(PI()*(Inputs!$F$12/1000)^2/4)*((Inputs!$F$12/1000/4)^(2/3))*SQRT(N62))</f>
        <v/>
      </c>
      <c r="AL62" s="4">
        <f>IF(A62="","",(1/Inputs!$B$9)*(PI()*(Inputs!$F$13/1000)^2/4)*((Inputs!$F$13/1000/4)^(2/3))*SQRT(N62))</f>
        <v/>
      </c>
      <c r="AM62" s="4">
        <f>IF(A62="","",(1/Inputs!$B$9)*(PI()*(Inputs!$F$14/1000)^2/4)*((Inputs!$F$14/1000/4)^(2/3))*SQRT(N62))</f>
        <v/>
      </c>
    </row>
    <row r="63">
      <c r="A63" s="4" t="n"/>
      <c r="B63" s="4" t="n"/>
      <c r="C63" s="8" t="n"/>
      <c r="D63" s="8" t="n"/>
      <c r="E63" s="8">
        <f>SUMIFS(CB_Tributaires!$C:$C,CB_Tributaires!$B:$B,$A63)</f>
        <v/>
      </c>
      <c r="F63" s="8">
        <f>IF(D63="",E63,D63)</f>
        <v/>
      </c>
      <c r="G63" s="4" t="n"/>
      <c r="H63" s="8" t="n"/>
      <c r="I63" s="8">
        <f>IF(A63="","",Inputs!$B$13/((IF(H63="",Inputs!$B$18,H63)+Inputs!$B$14)^Inputs!$B$15))</f>
        <v/>
      </c>
      <c r="J63" s="8">
        <f>IF(A63="","",0.00278*IF(G63="",Inputs!$B$17,G63)*F63*I63)</f>
        <v/>
      </c>
      <c r="K63" s="8">
        <f>IF(A63="","",SUMIFS($L$4:$L$203,$B$4:$B$203,$A63))</f>
        <v/>
      </c>
      <c r="L63" s="8">
        <f>IF(A63="","",(J63+K63)*Inputs!$B$16)</f>
        <v/>
      </c>
      <c r="M63" s="8" t="n"/>
      <c r="N63" s="8">
        <f>IF(A63="","",IF(M63="",Inputs!$B$7,M63))</f>
        <v/>
      </c>
      <c r="O63" s="4">
        <f>IF(A63="","",IF(L63/Inputs!$B$10&lt;=AD63,Inputs!$F$5,IF(L63/Inputs!$B$10&gt;AM63,"OVERSIZE",INDEX(Inputs!$F$5:$F$14,MATCH(L63/Inputs!$B$10,AD63:AM63,1)+1))))</f>
        <v/>
      </c>
      <c r="P63" s="4" t="n"/>
      <c r="Q63" s="4">
        <f>IF(A63="","",IF(P63="",O63,P63))</f>
        <v/>
      </c>
      <c r="R63" s="8">
        <f>IF(OR(Q63="",Q63="OVERSIZE"),"",Q63/1000)</f>
        <v/>
      </c>
      <c r="S63" s="8">
        <f>IF(R63="","",(1/Inputs!$B$9)*(PI()*R63^2/4)*((R63/4)^(2/3))*SQRT(N63))</f>
        <v/>
      </c>
      <c r="T63" s="8">
        <f>IF(OR(S63="",L63=""),"",L63/(S63*Inputs!$B$10))</f>
        <v/>
      </c>
      <c r="U63" s="8">
        <f>IF(OR(R63="",L63=""),"",4*L63/(PI()*R63^2))</f>
        <v/>
      </c>
      <c r="V63" s="8" t="n"/>
      <c r="W63" s="8">
        <f>IF(A63="","",IF(A63=Inputs!$B$6,Inputs!$B$22,IF(B63="","",IFERROR(INDEX($X$4:$X$203,MATCH(B63,$A$4:$A$203,0))+IF(V63="",Inputs!$B$20,V63),""))))</f>
        <v/>
      </c>
      <c r="X63" s="8">
        <f>IF(OR(W63="",N63="",C63=""),"",W63+N63*C63)</f>
        <v/>
      </c>
      <c r="Y63" s="8" t="n"/>
      <c r="Z63" s="8" t="n"/>
      <c r="AA63" s="8">
        <f>IF(OR(Y63="",W63=""),"",Y63-W63)</f>
        <v/>
      </c>
      <c r="AB63" s="8">
        <f>IF(OR(Z63="",X63=""),"",Z63-X63)</f>
        <v/>
      </c>
      <c r="AC63" s="4">
        <f>IF(A63="","",IF(OR(T63&gt;1,U63&lt;Inputs!$B$11,U63&gt;Inputs!$B$12,AA63&lt;Inputs!$B$19,AB63&lt;Inputs!$B$19,N63&lt;Inputs!$B$7,N63&gt;Inputs!$B$8),"CHECK","OK"))</f>
        <v/>
      </c>
      <c r="AD63" s="4">
        <f>IF(A63="","",(1/Inputs!$B$9)*(PI()*(Inputs!$F$5/1000)^2/4)*((Inputs!$F$5/1000/4)^(2/3))*SQRT(N63))</f>
        <v/>
      </c>
      <c r="AE63" s="4">
        <f>IF(A63="","",(1/Inputs!$B$9)*(PI()*(Inputs!$F$6/1000)^2/4)*((Inputs!$F$6/1000/4)^(2/3))*SQRT(N63))</f>
        <v/>
      </c>
      <c r="AF63" s="4">
        <f>IF(A63="","",(1/Inputs!$B$9)*(PI()*(Inputs!$F$7/1000)^2/4)*((Inputs!$F$7/1000/4)^(2/3))*SQRT(N63))</f>
        <v/>
      </c>
      <c r="AG63" s="4">
        <f>IF(A63="","",(1/Inputs!$B$9)*(PI()*(Inputs!$F$8/1000)^2/4)*((Inputs!$F$8/1000/4)^(2/3))*SQRT(N63))</f>
        <v/>
      </c>
      <c r="AH63" s="4">
        <f>IF(A63="","",(1/Inputs!$B$9)*(PI()*(Inputs!$F$9/1000)^2/4)*((Inputs!$F$9/1000/4)^(2/3))*SQRT(N63))</f>
        <v/>
      </c>
      <c r="AI63" s="4">
        <f>IF(A63="","",(1/Inputs!$B$9)*(PI()*(Inputs!$F$10/1000)^2/4)*((Inputs!$F$10/1000/4)^(2/3))*SQRT(N63))</f>
        <v/>
      </c>
      <c r="AJ63" s="4">
        <f>IF(A63="","",(1/Inputs!$B$9)*(PI()*(Inputs!$F$11/1000)^2/4)*((Inputs!$F$11/1000/4)^(2/3))*SQRT(N63))</f>
        <v/>
      </c>
      <c r="AK63" s="4">
        <f>IF(A63="","",(1/Inputs!$B$9)*(PI()*(Inputs!$F$12/1000)^2/4)*((Inputs!$F$12/1000/4)^(2/3))*SQRT(N63))</f>
        <v/>
      </c>
      <c r="AL63" s="4">
        <f>IF(A63="","",(1/Inputs!$B$9)*(PI()*(Inputs!$F$13/1000)^2/4)*((Inputs!$F$13/1000/4)^(2/3))*SQRT(N63))</f>
        <v/>
      </c>
      <c r="AM63" s="4">
        <f>IF(A63="","",(1/Inputs!$B$9)*(PI()*(Inputs!$F$14/1000)^2/4)*((Inputs!$F$14/1000/4)^(2/3))*SQRT(N63))</f>
        <v/>
      </c>
    </row>
    <row r="64">
      <c r="A64" s="4" t="n"/>
      <c r="B64" s="4" t="n"/>
      <c r="C64" s="8" t="n"/>
      <c r="D64" s="8" t="n"/>
      <c r="E64" s="8">
        <f>SUMIFS(CB_Tributaires!$C:$C,CB_Tributaires!$B:$B,$A64)</f>
        <v/>
      </c>
      <c r="F64" s="8">
        <f>IF(D64="",E64,D64)</f>
        <v/>
      </c>
      <c r="G64" s="4" t="n"/>
      <c r="H64" s="8" t="n"/>
      <c r="I64" s="8">
        <f>IF(A64="","",Inputs!$B$13/((IF(H64="",Inputs!$B$18,H64)+Inputs!$B$14)^Inputs!$B$15))</f>
        <v/>
      </c>
      <c r="J64" s="8">
        <f>IF(A64="","",0.00278*IF(G64="",Inputs!$B$17,G64)*F64*I64)</f>
        <v/>
      </c>
      <c r="K64" s="8">
        <f>IF(A64="","",SUMIFS($L$4:$L$203,$B$4:$B$203,$A64))</f>
        <v/>
      </c>
      <c r="L64" s="8">
        <f>IF(A64="","",(J64+K64)*Inputs!$B$16)</f>
        <v/>
      </c>
      <c r="M64" s="8" t="n"/>
      <c r="N64" s="8">
        <f>IF(A64="","",IF(M64="",Inputs!$B$7,M64))</f>
        <v/>
      </c>
      <c r="O64" s="4">
        <f>IF(A64="","",IF(L64/Inputs!$B$10&lt;=AD64,Inputs!$F$5,IF(L64/Inputs!$B$10&gt;AM64,"OVERSIZE",INDEX(Inputs!$F$5:$F$14,MATCH(L64/Inputs!$B$10,AD64:AM64,1)+1))))</f>
        <v/>
      </c>
      <c r="P64" s="4" t="n"/>
      <c r="Q64" s="4">
        <f>IF(A64="","",IF(P64="",O64,P64))</f>
        <v/>
      </c>
      <c r="R64" s="8">
        <f>IF(OR(Q64="",Q64="OVERSIZE"),"",Q64/1000)</f>
        <v/>
      </c>
      <c r="S64" s="8">
        <f>IF(R64="","",(1/Inputs!$B$9)*(PI()*R64^2/4)*((R64/4)^(2/3))*SQRT(N64))</f>
        <v/>
      </c>
      <c r="T64" s="8">
        <f>IF(OR(S64="",L64=""),"",L64/(S64*Inputs!$B$10))</f>
        <v/>
      </c>
      <c r="U64" s="8">
        <f>IF(OR(R64="",L64=""),"",4*L64/(PI()*R64^2))</f>
        <v/>
      </c>
      <c r="V64" s="8" t="n"/>
      <c r="W64" s="8">
        <f>IF(A64="","",IF(A64=Inputs!$B$6,Inputs!$B$22,IF(B64="","",IFERROR(INDEX($X$4:$X$203,MATCH(B64,$A$4:$A$203,0))+IF(V64="",Inputs!$B$20,V64),""))))</f>
        <v/>
      </c>
      <c r="X64" s="8">
        <f>IF(OR(W64="",N64="",C64=""),"",W64+N64*C64)</f>
        <v/>
      </c>
      <c r="Y64" s="8" t="n"/>
      <c r="Z64" s="8" t="n"/>
      <c r="AA64" s="8">
        <f>IF(OR(Y64="",W64=""),"",Y64-W64)</f>
        <v/>
      </c>
      <c r="AB64" s="8">
        <f>IF(OR(Z64="",X64=""),"",Z64-X64)</f>
        <v/>
      </c>
      <c r="AC64" s="4">
        <f>IF(A64="","",IF(OR(T64&gt;1,U64&lt;Inputs!$B$11,U64&gt;Inputs!$B$12,AA64&lt;Inputs!$B$19,AB64&lt;Inputs!$B$19,N64&lt;Inputs!$B$7,N64&gt;Inputs!$B$8),"CHECK","OK"))</f>
        <v/>
      </c>
      <c r="AD64" s="4">
        <f>IF(A64="","",(1/Inputs!$B$9)*(PI()*(Inputs!$F$5/1000)^2/4)*((Inputs!$F$5/1000/4)^(2/3))*SQRT(N64))</f>
        <v/>
      </c>
      <c r="AE64" s="4">
        <f>IF(A64="","",(1/Inputs!$B$9)*(PI()*(Inputs!$F$6/1000)^2/4)*((Inputs!$F$6/1000/4)^(2/3))*SQRT(N64))</f>
        <v/>
      </c>
      <c r="AF64" s="4">
        <f>IF(A64="","",(1/Inputs!$B$9)*(PI()*(Inputs!$F$7/1000)^2/4)*((Inputs!$F$7/1000/4)^(2/3))*SQRT(N64))</f>
        <v/>
      </c>
      <c r="AG64" s="4">
        <f>IF(A64="","",(1/Inputs!$B$9)*(PI()*(Inputs!$F$8/1000)^2/4)*((Inputs!$F$8/1000/4)^(2/3))*SQRT(N64))</f>
        <v/>
      </c>
      <c r="AH64" s="4">
        <f>IF(A64="","",(1/Inputs!$B$9)*(PI()*(Inputs!$F$9/1000)^2/4)*((Inputs!$F$9/1000/4)^(2/3))*SQRT(N64))</f>
        <v/>
      </c>
      <c r="AI64" s="4">
        <f>IF(A64="","",(1/Inputs!$B$9)*(PI()*(Inputs!$F$10/1000)^2/4)*((Inputs!$F$10/1000/4)^(2/3))*SQRT(N64))</f>
        <v/>
      </c>
      <c r="AJ64" s="4">
        <f>IF(A64="","",(1/Inputs!$B$9)*(PI()*(Inputs!$F$11/1000)^2/4)*((Inputs!$F$11/1000/4)^(2/3))*SQRT(N64))</f>
        <v/>
      </c>
      <c r="AK64" s="4">
        <f>IF(A64="","",(1/Inputs!$B$9)*(PI()*(Inputs!$F$12/1000)^2/4)*((Inputs!$F$12/1000/4)^(2/3))*SQRT(N64))</f>
        <v/>
      </c>
      <c r="AL64" s="4">
        <f>IF(A64="","",(1/Inputs!$B$9)*(PI()*(Inputs!$F$13/1000)^2/4)*((Inputs!$F$13/1000/4)^(2/3))*SQRT(N64))</f>
        <v/>
      </c>
      <c r="AM64" s="4">
        <f>IF(A64="","",(1/Inputs!$B$9)*(PI()*(Inputs!$F$14/1000)^2/4)*((Inputs!$F$14/1000/4)^(2/3))*SQRT(N64))</f>
        <v/>
      </c>
    </row>
    <row r="65">
      <c r="A65" s="4" t="n"/>
      <c r="B65" s="4" t="n"/>
      <c r="C65" s="8" t="n"/>
      <c r="D65" s="8" t="n"/>
      <c r="E65" s="8">
        <f>SUMIFS(CB_Tributaires!$C:$C,CB_Tributaires!$B:$B,$A65)</f>
        <v/>
      </c>
      <c r="F65" s="8">
        <f>IF(D65="",E65,D65)</f>
        <v/>
      </c>
      <c r="G65" s="4" t="n"/>
      <c r="H65" s="8" t="n"/>
      <c r="I65" s="8">
        <f>IF(A65="","",Inputs!$B$13/((IF(H65="",Inputs!$B$18,H65)+Inputs!$B$14)^Inputs!$B$15))</f>
        <v/>
      </c>
      <c r="J65" s="8">
        <f>IF(A65="","",0.00278*IF(G65="",Inputs!$B$17,G65)*F65*I65)</f>
        <v/>
      </c>
      <c r="K65" s="8">
        <f>IF(A65="","",SUMIFS($L$4:$L$203,$B$4:$B$203,$A65))</f>
        <v/>
      </c>
      <c r="L65" s="8">
        <f>IF(A65="","",(J65+K65)*Inputs!$B$16)</f>
        <v/>
      </c>
      <c r="M65" s="8" t="n"/>
      <c r="N65" s="8">
        <f>IF(A65="","",IF(M65="",Inputs!$B$7,M65))</f>
        <v/>
      </c>
      <c r="O65" s="4">
        <f>IF(A65="","",IF(L65/Inputs!$B$10&lt;=AD65,Inputs!$F$5,IF(L65/Inputs!$B$10&gt;AM65,"OVERSIZE",INDEX(Inputs!$F$5:$F$14,MATCH(L65/Inputs!$B$10,AD65:AM65,1)+1))))</f>
        <v/>
      </c>
      <c r="P65" s="4" t="n"/>
      <c r="Q65" s="4">
        <f>IF(A65="","",IF(P65="",O65,P65))</f>
        <v/>
      </c>
      <c r="R65" s="8">
        <f>IF(OR(Q65="",Q65="OVERSIZE"),"",Q65/1000)</f>
        <v/>
      </c>
      <c r="S65" s="8">
        <f>IF(R65="","",(1/Inputs!$B$9)*(PI()*R65^2/4)*((R65/4)^(2/3))*SQRT(N65))</f>
        <v/>
      </c>
      <c r="T65" s="8">
        <f>IF(OR(S65="",L65=""),"",L65/(S65*Inputs!$B$10))</f>
        <v/>
      </c>
      <c r="U65" s="8">
        <f>IF(OR(R65="",L65=""),"",4*L65/(PI()*R65^2))</f>
        <v/>
      </c>
      <c r="V65" s="8" t="n"/>
      <c r="W65" s="8">
        <f>IF(A65="","",IF(A65=Inputs!$B$6,Inputs!$B$22,IF(B65="","",IFERROR(INDEX($X$4:$X$203,MATCH(B65,$A$4:$A$203,0))+IF(V65="",Inputs!$B$20,V65),""))))</f>
        <v/>
      </c>
      <c r="X65" s="8">
        <f>IF(OR(W65="",N65="",C65=""),"",W65+N65*C65)</f>
        <v/>
      </c>
      <c r="Y65" s="8" t="n"/>
      <c r="Z65" s="8" t="n"/>
      <c r="AA65" s="8">
        <f>IF(OR(Y65="",W65=""),"",Y65-W65)</f>
        <v/>
      </c>
      <c r="AB65" s="8">
        <f>IF(OR(Z65="",X65=""),"",Z65-X65)</f>
        <v/>
      </c>
      <c r="AC65" s="4">
        <f>IF(A65="","",IF(OR(T65&gt;1,U65&lt;Inputs!$B$11,U65&gt;Inputs!$B$12,AA65&lt;Inputs!$B$19,AB65&lt;Inputs!$B$19,N65&lt;Inputs!$B$7,N65&gt;Inputs!$B$8),"CHECK","OK"))</f>
        <v/>
      </c>
      <c r="AD65" s="4">
        <f>IF(A65="","",(1/Inputs!$B$9)*(PI()*(Inputs!$F$5/1000)^2/4)*((Inputs!$F$5/1000/4)^(2/3))*SQRT(N65))</f>
        <v/>
      </c>
      <c r="AE65" s="4">
        <f>IF(A65="","",(1/Inputs!$B$9)*(PI()*(Inputs!$F$6/1000)^2/4)*((Inputs!$F$6/1000/4)^(2/3))*SQRT(N65))</f>
        <v/>
      </c>
      <c r="AF65" s="4">
        <f>IF(A65="","",(1/Inputs!$B$9)*(PI()*(Inputs!$F$7/1000)^2/4)*((Inputs!$F$7/1000/4)^(2/3))*SQRT(N65))</f>
        <v/>
      </c>
      <c r="AG65" s="4">
        <f>IF(A65="","",(1/Inputs!$B$9)*(PI()*(Inputs!$F$8/1000)^2/4)*((Inputs!$F$8/1000/4)^(2/3))*SQRT(N65))</f>
        <v/>
      </c>
      <c r="AH65" s="4">
        <f>IF(A65="","",(1/Inputs!$B$9)*(PI()*(Inputs!$F$9/1000)^2/4)*((Inputs!$F$9/1000/4)^(2/3))*SQRT(N65))</f>
        <v/>
      </c>
      <c r="AI65" s="4">
        <f>IF(A65="","",(1/Inputs!$B$9)*(PI()*(Inputs!$F$10/1000)^2/4)*((Inputs!$F$10/1000/4)^(2/3))*SQRT(N65))</f>
        <v/>
      </c>
      <c r="AJ65" s="4">
        <f>IF(A65="","",(1/Inputs!$B$9)*(PI()*(Inputs!$F$11/1000)^2/4)*((Inputs!$F$11/1000/4)^(2/3))*SQRT(N65))</f>
        <v/>
      </c>
      <c r="AK65" s="4">
        <f>IF(A65="","",(1/Inputs!$B$9)*(PI()*(Inputs!$F$12/1000)^2/4)*((Inputs!$F$12/1000/4)^(2/3))*SQRT(N65))</f>
        <v/>
      </c>
      <c r="AL65" s="4">
        <f>IF(A65="","",(1/Inputs!$B$9)*(PI()*(Inputs!$F$13/1000)^2/4)*((Inputs!$F$13/1000/4)^(2/3))*SQRT(N65))</f>
        <v/>
      </c>
      <c r="AM65" s="4">
        <f>IF(A65="","",(1/Inputs!$B$9)*(PI()*(Inputs!$F$14/1000)^2/4)*((Inputs!$F$14/1000/4)^(2/3))*SQRT(N65))</f>
        <v/>
      </c>
    </row>
    <row r="66">
      <c r="A66" s="4" t="n"/>
      <c r="B66" s="4" t="n"/>
      <c r="C66" s="8" t="n"/>
      <c r="D66" s="8" t="n"/>
      <c r="E66" s="8">
        <f>SUMIFS(CB_Tributaires!$C:$C,CB_Tributaires!$B:$B,$A66)</f>
        <v/>
      </c>
      <c r="F66" s="8">
        <f>IF(D66="",E66,D66)</f>
        <v/>
      </c>
      <c r="G66" s="4" t="n"/>
      <c r="H66" s="8" t="n"/>
      <c r="I66" s="8">
        <f>IF(A66="","",Inputs!$B$13/((IF(H66="",Inputs!$B$18,H66)+Inputs!$B$14)^Inputs!$B$15))</f>
        <v/>
      </c>
      <c r="J66" s="8">
        <f>IF(A66="","",0.00278*IF(G66="",Inputs!$B$17,G66)*F66*I66)</f>
        <v/>
      </c>
      <c r="K66" s="8">
        <f>IF(A66="","",SUMIFS($L$4:$L$203,$B$4:$B$203,$A66))</f>
        <v/>
      </c>
      <c r="L66" s="8">
        <f>IF(A66="","",(J66+K66)*Inputs!$B$16)</f>
        <v/>
      </c>
      <c r="M66" s="8" t="n"/>
      <c r="N66" s="8">
        <f>IF(A66="","",IF(M66="",Inputs!$B$7,M66))</f>
        <v/>
      </c>
      <c r="O66" s="4">
        <f>IF(A66="","",IF(L66/Inputs!$B$10&lt;=AD66,Inputs!$F$5,IF(L66/Inputs!$B$10&gt;AM66,"OVERSIZE",INDEX(Inputs!$F$5:$F$14,MATCH(L66/Inputs!$B$10,AD66:AM66,1)+1))))</f>
        <v/>
      </c>
      <c r="P66" s="4" t="n"/>
      <c r="Q66" s="4">
        <f>IF(A66="","",IF(P66="",O66,P66))</f>
        <v/>
      </c>
      <c r="R66" s="8">
        <f>IF(OR(Q66="",Q66="OVERSIZE"),"",Q66/1000)</f>
        <v/>
      </c>
      <c r="S66" s="8">
        <f>IF(R66="","",(1/Inputs!$B$9)*(PI()*R66^2/4)*((R66/4)^(2/3))*SQRT(N66))</f>
        <v/>
      </c>
      <c r="T66" s="8">
        <f>IF(OR(S66="",L66=""),"",L66/(S66*Inputs!$B$10))</f>
        <v/>
      </c>
      <c r="U66" s="8">
        <f>IF(OR(R66="",L66=""),"",4*L66/(PI()*R66^2))</f>
        <v/>
      </c>
      <c r="V66" s="8" t="n"/>
      <c r="W66" s="8">
        <f>IF(A66="","",IF(A66=Inputs!$B$6,Inputs!$B$22,IF(B66="","",IFERROR(INDEX($X$4:$X$203,MATCH(B66,$A$4:$A$203,0))+IF(V66="",Inputs!$B$20,V66),""))))</f>
        <v/>
      </c>
      <c r="X66" s="8">
        <f>IF(OR(W66="",N66="",C66=""),"",W66+N66*C66)</f>
        <v/>
      </c>
      <c r="Y66" s="8" t="n"/>
      <c r="Z66" s="8" t="n"/>
      <c r="AA66" s="8">
        <f>IF(OR(Y66="",W66=""),"",Y66-W66)</f>
        <v/>
      </c>
      <c r="AB66" s="8">
        <f>IF(OR(Z66="",X66=""),"",Z66-X66)</f>
        <v/>
      </c>
      <c r="AC66" s="4">
        <f>IF(A66="","",IF(OR(T66&gt;1,U66&lt;Inputs!$B$11,U66&gt;Inputs!$B$12,AA66&lt;Inputs!$B$19,AB66&lt;Inputs!$B$19,N66&lt;Inputs!$B$7,N66&gt;Inputs!$B$8),"CHECK","OK"))</f>
        <v/>
      </c>
      <c r="AD66" s="4">
        <f>IF(A66="","",(1/Inputs!$B$9)*(PI()*(Inputs!$F$5/1000)^2/4)*((Inputs!$F$5/1000/4)^(2/3))*SQRT(N66))</f>
        <v/>
      </c>
      <c r="AE66" s="4">
        <f>IF(A66="","",(1/Inputs!$B$9)*(PI()*(Inputs!$F$6/1000)^2/4)*((Inputs!$F$6/1000/4)^(2/3))*SQRT(N66))</f>
        <v/>
      </c>
      <c r="AF66" s="4">
        <f>IF(A66="","",(1/Inputs!$B$9)*(PI()*(Inputs!$F$7/1000)^2/4)*((Inputs!$F$7/1000/4)^(2/3))*SQRT(N66))</f>
        <v/>
      </c>
      <c r="AG66" s="4">
        <f>IF(A66="","",(1/Inputs!$B$9)*(PI()*(Inputs!$F$8/1000)^2/4)*((Inputs!$F$8/1000/4)^(2/3))*SQRT(N66))</f>
        <v/>
      </c>
      <c r="AH66" s="4">
        <f>IF(A66="","",(1/Inputs!$B$9)*(PI()*(Inputs!$F$9/1000)^2/4)*((Inputs!$F$9/1000/4)^(2/3))*SQRT(N66))</f>
        <v/>
      </c>
      <c r="AI66" s="4">
        <f>IF(A66="","",(1/Inputs!$B$9)*(PI()*(Inputs!$F$10/1000)^2/4)*((Inputs!$F$10/1000/4)^(2/3))*SQRT(N66))</f>
        <v/>
      </c>
      <c r="AJ66" s="4">
        <f>IF(A66="","",(1/Inputs!$B$9)*(PI()*(Inputs!$F$11/1000)^2/4)*((Inputs!$F$11/1000/4)^(2/3))*SQRT(N66))</f>
        <v/>
      </c>
      <c r="AK66" s="4">
        <f>IF(A66="","",(1/Inputs!$B$9)*(PI()*(Inputs!$F$12/1000)^2/4)*((Inputs!$F$12/1000/4)^(2/3))*SQRT(N66))</f>
        <v/>
      </c>
      <c r="AL66" s="4">
        <f>IF(A66="","",(1/Inputs!$B$9)*(PI()*(Inputs!$F$13/1000)^2/4)*((Inputs!$F$13/1000/4)^(2/3))*SQRT(N66))</f>
        <v/>
      </c>
      <c r="AM66" s="4">
        <f>IF(A66="","",(1/Inputs!$B$9)*(PI()*(Inputs!$F$14/1000)^2/4)*((Inputs!$F$14/1000/4)^(2/3))*SQRT(N66))</f>
        <v/>
      </c>
    </row>
    <row r="67">
      <c r="A67" s="4" t="n"/>
      <c r="B67" s="4" t="n"/>
      <c r="C67" s="8" t="n"/>
      <c r="D67" s="8" t="n"/>
      <c r="E67" s="8">
        <f>SUMIFS(CB_Tributaires!$C:$C,CB_Tributaires!$B:$B,$A67)</f>
        <v/>
      </c>
      <c r="F67" s="8">
        <f>IF(D67="",E67,D67)</f>
        <v/>
      </c>
      <c r="G67" s="4" t="n"/>
      <c r="H67" s="8" t="n"/>
      <c r="I67" s="8">
        <f>IF(A67="","",Inputs!$B$13/((IF(H67="",Inputs!$B$18,H67)+Inputs!$B$14)^Inputs!$B$15))</f>
        <v/>
      </c>
      <c r="J67" s="8">
        <f>IF(A67="","",0.00278*IF(G67="",Inputs!$B$17,G67)*F67*I67)</f>
        <v/>
      </c>
      <c r="K67" s="8">
        <f>IF(A67="","",SUMIFS($L$4:$L$203,$B$4:$B$203,$A67))</f>
        <v/>
      </c>
      <c r="L67" s="8">
        <f>IF(A67="","",(J67+K67)*Inputs!$B$16)</f>
        <v/>
      </c>
      <c r="M67" s="8" t="n"/>
      <c r="N67" s="8">
        <f>IF(A67="","",IF(M67="",Inputs!$B$7,M67))</f>
        <v/>
      </c>
      <c r="O67" s="4">
        <f>IF(A67="","",IF(L67/Inputs!$B$10&lt;=AD67,Inputs!$F$5,IF(L67/Inputs!$B$10&gt;AM67,"OVERSIZE",INDEX(Inputs!$F$5:$F$14,MATCH(L67/Inputs!$B$10,AD67:AM67,1)+1))))</f>
        <v/>
      </c>
      <c r="P67" s="4" t="n"/>
      <c r="Q67" s="4">
        <f>IF(A67="","",IF(P67="",O67,P67))</f>
        <v/>
      </c>
      <c r="R67" s="8">
        <f>IF(OR(Q67="",Q67="OVERSIZE"),"",Q67/1000)</f>
        <v/>
      </c>
      <c r="S67" s="8">
        <f>IF(R67="","",(1/Inputs!$B$9)*(PI()*R67^2/4)*((R67/4)^(2/3))*SQRT(N67))</f>
        <v/>
      </c>
      <c r="T67" s="8">
        <f>IF(OR(S67="",L67=""),"",L67/(S67*Inputs!$B$10))</f>
        <v/>
      </c>
      <c r="U67" s="8">
        <f>IF(OR(R67="",L67=""),"",4*L67/(PI()*R67^2))</f>
        <v/>
      </c>
      <c r="V67" s="8" t="n"/>
      <c r="W67" s="8">
        <f>IF(A67="","",IF(A67=Inputs!$B$6,Inputs!$B$22,IF(B67="","",IFERROR(INDEX($X$4:$X$203,MATCH(B67,$A$4:$A$203,0))+IF(V67="",Inputs!$B$20,V67),""))))</f>
        <v/>
      </c>
      <c r="X67" s="8">
        <f>IF(OR(W67="",N67="",C67=""),"",W67+N67*C67)</f>
        <v/>
      </c>
      <c r="Y67" s="8" t="n"/>
      <c r="Z67" s="8" t="n"/>
      <c r="AA67" s="8">
        <f>IF(OR(Y67="",W67=""),"",Y67-W67)</f>
        <v/>
      </c>
      <c r="AB67" s="8">
        <f>IF(OR(Z67="",X67=""),"",Z67-X67)</f>
        <v/>
      </c>
      <c r="AC67" s="4">
        <f>IF(A67="","",IF(OR(T67&gt;1,U67&lt;Inputs!$B$11,U67&gt;Inputs!$B$12,AA67&lt;Inputs!$B$19,AB67&lt;Inputs!$B$19,N67&lt;Inputs!$B$7,N67&gt;Inputs!$B$8),"CHECK","OK"))</f>
        <v/>
      </c>
      <c r="AD67" s="4">
        <f>IF(A67="","",(1/Inputs!$B$9)*(PI()*(Inputs!$F$5/1000)^2/4)*((Inputs!$F$5/1000/4)^(2/3))*SQRT(N67))</f>
        <v/>
      </c>
      <c r="AE67" s="4">
        <f>IF(A67="","",(1/Inputs!$B$9)*(PI()*(Inputs!$F$6/1000)^2/4)*((Inputs!$F$6/1000/4)^(2/3))*SQRT(N67))</f>
        <v/>
      </c>
      <c r="AF67" s="4">
        <f>IF(A67="","",(1/Inputs!$B$9)*(PI()*(Inputs!$F$7/1000)^2/4)*((Inputs!$F$7/1000/4)^(2/3))*SQRT(N67))</f>
        <v/>
      </c>
      <c r="AG67" s="4">
        <f>IF(A67="","",(1/Inputs!$B$9)*(PI()*(Inputs!$F$8/1000)^2/4)*((Inputs!$F$8/1000/4)^(2/3))*SQRT(N67))</f>
        <v/>
      </c>
      <c r="AH67" s="4">
        <f>IF(A67="","",(1/Inputs!$B$9)*(PI()*(Inputs!$F$9/1000)^2/4)*((Inputs!$F$9/1000/4)^(2/3))*SQRT(N67))</f>
        <v/>
      </c>
      <c r="AI67" s="4">
        <f>IF(A67="","",(1/Inputs!$B$9)*(PI()*(Inputs!$F$10/1000)^2/4)*((Inputs!$F$10/1000/4)^(2/3))*SQRT(N67))</f>
        <v/>
      </c>
      <c r="AJ67" s="4">
        <f>IF(A67="","",(1/Inputs!$B$9)*(PI()*(Inputs!$F$11/1000)^2/4)*((Inputs!$F$11/1000/4)^(2/3))*SQRT(N67))</f>
        <v/>
      </c>
      <c r="AK67" s="4">
        <f>IF(A67="","",(1/Inputs!$B$9)*(PI()*(Inputs!$F$12/1000)^2/4)*((Inputs!$F$12/1000/4)^(2/3))*SQRT(N67))</f>
        <v/>
      </c>
      <c r="AL67" s="4">
        <f>IF(A67="","",(1/Inputs!$B$9)*(PI()*(Inputs!$F$13/1000)^2/4)*((Inputs!$F$13/1000/4)^(2/3))*SQRT(N67))</f>
        <v/>
      </c>
      <c r="AM67" s="4">
        <f>IF(A67="","",(1/Inputs!$B$9)*(PI()*(Inputs!$F$14/1000)^2/4)*((Inputs!$F$14/1000/4)^(2/3))*SQRT(N67))</f>
        <v/>
      </c>
    </row>
    <row r="68">
      <c r="A68" s="4" t="n"/>
      <c r="B68" s="4" t="n"/>
      <c r="C68" s="8" t="n"/>
      <c r="D68" s="8" t="n"/>
      <c r="E68" s="8">
        <f>SUMIFS(CB_Tributaires!$C:$C,CB_Tributaires!$B:$B,$A68)</f>
        <v/>
      </c>
      <c r="F68" s="8">
        <f>IF(D68="",E68,D68)</f>
        <v/>
      </c>
      <c r="G68" s="4" t="n"/>
      <c r="H68" s="8" t="n"/>
      <c r="I68" s="8">
        <f>IF(A68="","",Inputs!$B$13/((IF(H68="",Inputs!$B$18,H68)+Inputs!$B$14)^Inputs!$B$15))</f>
        <v/>
      </c>
      <c r="J68" s="8">
        <f>IF(A68="","",0.00278*IF(G68="",Inputs!$B$17,G68)*F68*I68)</f>
        <v/>
      </c>
      <c r="K68" s="8">
        <f>IF(A68="","",SUMIFS($L$4:$L$203,$B$4:$B$203,$A68))</f>
        <v/>
      </c>
      <c r="L68" s="8">
        <f>IF(A68="","",(J68+K68)*Inputs!$B$16)</f>
        <v/>
      </c>
      <c r="M68" s="8" t="n"/>
      <c r="N68" s="8">
        <f>IF(A68="","",IF(M68="",Inputs!$B$7,M68))</f>
        <v/>
      </c>
      <c r="O68" s="4">
        <f>IF(A68="","",IF(L68/Inputs!$B$10&lt;=AD68,Inputs!$F$5,IF(L68/Inputs!$B$10&gt;AM68,"OVERSIZE",INDEX(Inputs!$F$5:$F$14,MATCH(L68/Inputs!$B$10,AD68:AM68,1)+1))))</f>
        <v/>
      </c>
      <c r="P68" s="4" t="n"/>
      <c r="Q68" s="4">
        <f>IF(A68="","",IF(P68="",O68,P68))</f>
        <v/>
      </c>
      <c r="R68" s="8">
        <f>IF(OR(Q68="",Q68="OVERSIZE"),"",Q68/1000)</f>
        <v/>
      </c>
      <c r="S68" s="8">
        <f>IF(R68="","",(1/Inputs!$B$9)*(PI()*R68^2/4)*((R68/4)^(2/3))*SQRT(N68))</f>
        <v/>
      </c>
      <c r="T68" s="8">
        <f>IF(OR(S68="",L68=""),"",L68/(S68*Inputs!$B$10))</f>
        <v/>
      </c>
      <c r="U68" s="8">
        <f>IF(OR(R68="",L68=""),"",4*L68/(PI()*R68^2))</f>
        <v/>
      </c>
      <c r="V68" s="8" t="n"/>
      <c r="W68" s="8">
        <f>IF(A68="","",IF(A68=Inputs!$B$6,Inputs!$B$22,IF(B68="","",IFERROR(INDEX($X$4:$X$203,MATCH(B68,$A$4:$A$203,0))+IF(V68="",Inputs!$B$20,V68),""))))</f>
        <v/>
      </c>
      <c r="X68" s="8">
        <f>IF(OR(W68="",N68="",C68=""),"",W68+N68*C68)</f>
        <v/>
      </c>
      <c r="Y68" s="8" t="n"/>
      <c r="Z68" s="8" t="n"/>
      <c r="AA68" s="8">
        <f>IF(OR(Y68="",W68=""),"",Y68-W68)</f>
        <v/>
      </c>
      <c r="AB68" s="8">
        <f>IF(OR(Z68="",X68=""),"",Z68-X68)</f>
        <v/>
      </c>
      <c r="AC68" s="4">
        <f>IF(A68="","",IF(OR(T68&gt;1,U68&lt;Inputs!$B$11,U68&gt;Inputs!$B$12,AA68&lt;Inputs!$B$19,AB68&lt;Inputs!$B$19,N68&lt;Inputs!$B$7,N68&gt;Inputs!$B$8),"CHECK","OK"))</f>
        <v/>
      </c>
      <c r="AD68" s="4">
        <f>IF(A68="","",(1/Inputs!$B$9)*(PI()*(Inputs!$F$5/1000)^2/4)*((Inputs!$F$5/1000/4)^(2/3))*SQRT(N68))</f>
        <v/>
      </c>
      <c r="AE68" s="4">
        <f>IF(A68="","",(1/Inputs!$B$9)*(PI()*(Inputs!$F$6/1000)^2/4)*((Inputs!$F$6/1000/4)^(2/3))*SQRT(N68))</f>
        <v/>
      </c>
      <c r="AF68" s="4">
        <f>IF(A68="","",(1/Inputs!$B$9)*(PI()*(Inputs!$F$7/1000)^2/4)*((Inputs!$F$7/1000/4)^(2/3))*SQRT(N68))</f>
        <v/>
      </c>
      <c r="AG68" s="4">
        <f>IF(A68="","",(1/Inputs!$B$9)*(PI()*(Inputs!$F$8/1000)^2/4)*((Inputs!$F$8/1000/4)^(2/3))*SQRT(N68))</f>
        <v/>
      </c>
      <c r="AH68" s="4">
        <f>IF(A68="","",(1/Inputs!$B$9)*(PI()*(Inputs!$F$9/1000)^2/4)*((Inputs!$F$9/1000/4)^(2/3))*SQRT(N68))</f>
        <v/>
      </c>
      <c r="AI68" s="4">
        <f>IF(A68="","",(1/Inputs!$B$9)*(PI()*(Inputs!$F$10/1000)^2/4)*((Inputs!$F$10/1000/4)^(2/3))*SQRT(N68))</f>
        <v/>
      </c>
      <c r="AJ68" s="4">
        <f>IF(A68="","",(1/Inputs!$B$9)*(PI()*(Inputs!$F$11/1000)^2/4)*((Inputs!$F$11/1000/4)^(2/3))*SQRT(N68))</f>
        <v/>
      </c>
      <c r="AK68" s="4">
        <f>IF(A68="","",(1/Inputs!$B$9)*(PI()*(Inputs!$F$12/1000)^2/4)*((Inputs!$F$12/1000/4)^(2/3))*SQRT(N68))</f>
        <v/>
      </c>
      <c r="AL68" s="4">
        <f>IF(A68="","",(1/Inputs!$B$9)*(PI()*(Inputs!$F$13/1000)^2/4)*((Inputs!$F$13/1000/4)^(2/3))*SQRT(N68))</f>
        <v/>
      </c>
      <c r="AM68" s="4">
        <f>IF(A68="","",(1/Inputs!$B$9)*(PI()*(Inputs!$F$14/1000)^2/4)*((Inputs!$F$14/1000/4)^(2/3))*SQRT(N68))</f>
        <v/>
      </c>
    </row>
    <row r="69">
      <c r="A69" s="4" t="n"/>
      <c r="B69" s="4" t="n"/>
      <c r="C69" s="8" t="n"/>
      <c r="D69" s="8" t="n"/>
      <c r="E69" s="8">
        <f>SUMIFS(CB_Tributaires!$C:$C,CB_Tributaires!$B:$B,$A69)</f>
        <v/>
      </c>
      <c r="F69" s="8">
        <f>IF(D69="",E69,D69)</f>
        <v/>
      </c>
      <c r="G69" s="4" t="n"/>
      <c r="H69" s="8" t="n"/>
      <c r="I69" s="8">
        <f>IF(A69="","",Inputs!$B$13/((IF(H69="",Inputs!$B$18,H69)+Inputs!$B$14)^Inputs!$B$15))</f>
        <v/>
      </c>
      <c r="J69" s="8">
        <f>IF(A69="","",0.00278*IF(G69="",Inputs!$B$17,G69)*F69*I69)</f>
        <v/>
      </c>
      <c r="K69" s="8">
        <f>IF(A69="","",SUMIFS($L$4:$L$203,$B$4:$B$203,$A69))</f>
        <v/>
      </c>
      <c r="L69" s="8">
        <f>IF(A69="","",(J69+K69)*Inputs!$B$16)</f>
        <v/>
      </c>
      <c r="M69" s="8" t="n"/>
      <c r="N69" s="8">
        <f>IF(A69="","",IF(M69="",Inputs!$B$7,M69))</f>
        <v/>
      </c>
      <c r="O69" s="4">
        <f>IF(A69="","",IF(L69/Inputs!$B$10&lt;=AD69,Inputs!$F$5,IF(L69/Inputs!$B$10&gt;AM69,"OVERSIZE",INDEX(Inputs!$F$5:$F$14,MATCH(L69/Inputs!$B$10,AD69:AM69,1)+1))))</f>
        <v/>
      </c>
      <c r="P69" s="4" t="n"/>
      <c r="Q69" s="4">
        <f>IF(A69="","",IF(P69="",O69,P69))</f>
        <v/>
      </c>
      <c r="R69" s="8">
        <f>IF(OR(Q69="",Q69="OVERSIZE"),"",Q69/1000)</f>
        <v/>
      </c>
      <c r="S69" s="8">
        <f>IF(R69="","",(1/Inputs!$B$9)*(PI()*R69^2/4)*((R69/4)^(2/3))*SQRT(N69))</f>
        <v/>
      </c>
      <c r="T69" s="8">
        <f>IF(OR(S69="",L69=""),"",L69/(S69*Inputs!$B$10))</f>
        <v/>
      </c>
      <c r="U69" s="8">
        <f>IF(OR(R69="",L69=""),"",4*L69/(PI()*R69^2))</f>
        <v/>
      </c>
      <c r="V69" s="8" t="n"/>
      <c r="W69" s="8">
        <f>IF(A69="","",IF(A69=Inputs!$B$6,Inputs!$B$22,IF(B69="","",IFERROR(INDEX($X$4:$X$203,MATCH(B69,$A$4:$A$203,0))+IF(V69="",Inputs!$B$20,V69),""))))</f>
        <v/>
      </c>
      <c r="X69" s="8">
        <f>IF(OR(W69="",N69="",C69=""),"",W69+N69*C69)</f>
        <v/>
      </c>
      <c r="Y69" s="8" t="n"/>
      <c r="Z69" s="8" t="n"/>
      <c r="AA69" s="8">
        <f>IF(OR(Y69="",W69=""),"",Y69-W69)</f>
        <v/>
      </c>
      <c r="AB69" s="8">
        <f>IF(OR(Z69="",X69=""),"",Z69-X69)</f>
        <v/>
      </c>
      <c r="AC69" s="4">
        <f>IF(A69="","",IF(OR(T69&gt;1,U69&lt;Inputs!$B$11,U69&gt;Inputs!$B$12,AA69&lt;Inputs!$B$19,AB69&lt;Inputs!$B$19,N69&lt;Inputs!$B$7,N69&gt;Inputs!$B$8),"CHECK","OK"))</f>
        <v/>
      </c>
      <c r="AD69" s="4">
        <f>IF(A69="","",(1/Inputs!$B$9)*(PI()*(Inputs!$F$5/1000)^2/4)*((Inputs!$F$5/1000/4)^(2/3))*SQRT(N69))</f>
        <v/>
      </c>
      <c r="AE69" s="4">
        <f>IF(A69="","",(1/Inputs!$B$9)*(PI()*(Inputs!$F$6/1000)^2/4)*((Inputs!$F$6/1000/4)^(2/3))*SQRT(N69))</f>
        <v/>
      </c>
      <c r="AF69" s="4">
        <f>IF(A69="","",(1/Inputs!$B$9)*(PI()*(Inputs!$F$7/1000)^2/4)*((Inputs!$F$7/1000/4)^(2/3))*SQRT(N69))</f>
        <v/>
      </c>
      <c r="AG69" s="4">
        <f>IF(A69="","",(1/Inputs!$B$9)*(PI()*(Inputs!$F$8/1000)^2/4)*((Inputs!$F$8/1000/4)^(2/3))*SQRT(N69))</f>
        <v/>
      </c>
      <c r="AH69" s="4">
        <f>IF(A69="","",(1/Inputs!$B$9)*(PI()*(Inputs!$F$9/1000)^2/4)*((Inputs!$F$9/1000/4)^(2/3))*SQRT(N69))</f>
        <v/>
      </c>
      <c r="AI69" s="4">
        <f>IF(A69="","",(1/Inputs!$B$9)*(PI()*(Inputs!$F$10/1000)^2/4)*((Inputs!$F$10/1000/4)^(2/3))*SQRT(N69))</f>
        <v/>
      </c>
      <c r="AJ69" s="4">
        <f>IF(A69="","",(1/Inputs!$B$9)*(PI()*(Inputs!$F$11/1000)^2/4)*((Inputs!$F$11/1000/4)^(2/3))*SQRT(N69))</f>
        <v/>
      </c>
      <c r="AK69" s="4">
        <f>IF(A69="","",(1/Inputs!$B$9)*(PI()*(Inputs!$F$12/1000)^2/4)*((Inputs!$F$12/1000/4)^(2/3))*SQRT(N69))</f>
        <v/>
      </c>
      <c r="AL69" s="4">
        <f>IF(A69="","",(1/Inputs!$B$9)*(PI()*(Inputs!$F$13/1000)^2/4)*((Inputs!$F$13/1000/4)^(2/3))*SQRT(N69))</f>
        <v/>
      </c>
      <c r="AM69" s="4">
        <f>IF(A69="","",(1/Inputs!$B$9)*(PI()*(Inputs!$F$14/1000)^2/4)*((Inputs!$F$14/1000/4)^(2/3))*SQRT(N69))</f>
        <v/>
      </c>
    </row>
    <row r="70">
      <c r="A70" s="4" t="n"/>
      <c r="B70" s="4" t="n"/>
      <c r="C70" s="8" t="n"/>
      <c r="D70" s="8" t="n"/>
      <c r="E70" s="8">
        <f>SUMIFS(CB_Tributaires!$C:$C,CB_Tributaires!$B:$B,$A70)</f>
        <v/>
      </c>
      <c r="F70" s="8">
        <f>IF(D70="",E70,D70)</f>
        <v/>
      </c>
      <c r="G70" s="4" t="n"/>
      <c r="H70" s="8" t="n"/>
      <c r="I70" s="8">
        <f>IF(A70="","",Inputs!$B$13/((IF(H70="",Inputs!$B$18,H70)+Inputs!$B$14)^Inputs!$B$15))</f>
        <v/>
      </c>
      <c r="J70" s="8">
        <f>IF(A70="","",0.00278*IF(G70="",Inputs!$B$17,G70)*F70*I70)</f>
        <v/>
      </c>
      <c r="K70" s="8">
        <f>IF(A70="","",SUMIFS($L$4:$L$203,$B$4:$B$203,$A70))</f>
        <v/>
      </c>
      <c r="L70" s="8">
        <f>IF(A70="","",(J70+K70)*Inputs!$B$16)</f>
        <v/>
      </c>
      <c r="M70" s="8" t="n"/>
      <c r="N70" s="8">
        <f>IF(A70="","",IF(M70="",Inputs!$B$7,M70))</f>
        <v/>
      </c>
      <c r="O70" s="4">
        <f>IF(A70="","",IF(L70/Inputs!$B$10&lt;=AD70,Inputs!$F$5,IF(L70/Inputs!$B$10&gt;AM70,"OVERSIZE",INDEX(Inputs!$F$5:$F$14,MATCH(L70/Inputs!$B$10,AD70:AM70,1)+1))))</f>
        <v/>
      </c>
      <c r="P70" s="4" t="n"/>
      <c r="Q70" s="4">
        <f>IF(A70="","",IF(P70="",O70,P70))</f>
        <v/>
      </c>
      <c r="R70" s="8">
        <f>IF(OR(Q70="",Q70="OVERSIZE"),"",Q70/1000)</f>
        <v/>
      </c>
      <c r="S70" s="8">
        <f>IF(R70="","",(1/Inputs!$B$9)*(PI()*R70^2/4)*((R70/4)^(2/3))*SQRT(N70))</f>
        <v/>
      </c>
      <c r="T70" s="8">
        <f>IF(OR(S70="",L70=""),"",L70/(S70*Inputs!$B$10))</f>
        <v/>
      </c>
      <c r="U70" s="8">
        <f>IF(OR(R70="",L70=""),"",4*L70/(PI()*R70^2))</f>
        <v/>
      </c>
      <c r="V70" s="8" t="n"/>
      <c r="W70" s="8">
        <f>IF(A70="","",IF(A70=Inputs!$B$6,Inputs!$B$22,IF(B70="","",IFERROR(INDEX($X$4:$X$203,MATCH(B70,$A$4:$A$203,0))+IF(V70="",Inputs!$B$20,V70),""))))</f>
        <v/>
      </c>
      <c r="X70" s="8">
        <f>IF(OR(W70="",N70="",C70=""),"",W70+N70*C70)</f>
        <v/>
      </c>
      <c r="Y70" s="8" t="n"/>
      <c r="Z70" s="8" t="n"/>
      <c r="AA70" s="8">
        <f>IF(OR(Y70="",W70=""),"",Y70-W70)</f>
        <v/>
      </c>
      <c r="AB70" s="8">
        <f>IF(OR(Z70="",X70=""),"",Z70-X70)</f>
        <v/>
      </c>
      <c r="AC70" s="4">
        <f>IF(A70="","",IF(OR(T70&gt;1,U70&lt;Inputs!$B$11,U70&gt;Inputs!$B$12,AA70&lt;Inputs!$B$19,AB70&lt;Inputs!$B$19,N70&lt;Inputs!$B$7,N70&gt;Inputs!$B$8),"CHECK","OK"))</f>
        <v/>
      </c>
      <c r="AD70" s="4">
        <f>IF(A70="","",(1/Inputs!$B$9)*(PI()*(Inputs!$F$5/1000)^2/4)*((Inputs!$F$5/1000/4)^(2/3))*SQRT(N70))</f>
        <v/>
      </c>
      <c r="AE70" s="4">
        <f>IF(A70="","",(1/Inputs!$B$9)*(PI()*(Inputs!$F$6/1000)^2/4)*((Inputs!$F$6/1000/4)^(2/3))*SQRT(N70))</f>
        <v/>
      </c>
      <c r="AF70" s="4">
        <f>IF(A70="","",(1/Inputs!$B$9)*(PI()*(Inputs!$F$7/1000)^2/4)*((Inputs!$F$7/1000/4)^(2/3))*SQRT(N70))</f>
        <v/>
      </c>
      <c r="AG70" s="4">
        <f>IF(A70="","",(1/Inputs!$B$9)*(PI()*(Inputs!$F$8/1000)^2/4)*((Inputs!$F$8/1000/4)^(2/3))*SQRT(N70))</f>
        <v/>
      </c>
      <c r="AH70" s="4">
        <f>IF(A70="","",(1/Inputs!$B$9)*(PI()*(Inputs!$F$9/1000)^2/4)*((Inputs!$F$9/1000/4)^(2/3))*SQRT(N70))</f>
        <v/>
      </c>
      <c r="AI70" s="4">
        <f>IF(A70="","",(1/Inputs!$B$9)*(PI()*(Inputs!$F$10/1000)^2/4)*((Inputs!$F$10/1000/4)^(2/3))*SQRT(N70))</f>
        <v/>
      </c>
      <c r="AJ70" s="4">
        <f>IF(A70="","",(1/Inputs!$B$9)*(PI()*(Inputs!$F$11/1000)^2/4)*((Inputs!$F$11/1000/4)^(2/3))*SQRT(N70))</f>
        <v/>
      </c>
      <c r="AK70" s="4">
        <f>IF(A70="","",(1/Inputs!$B$9)*(PI()*(Inputs!$F$12/1000)^2/4)*((Inputs!$F$12/1000/4)^(2/3))*SQRT(N70))</f>
        <v/>
      </c>
      <c r="AL70" s="4">
        <f>IF(A70="","",(1/Inputs!$B$9)*(PI()*(Inputs!$F$13/1000)^2/4)*((Inputs!$F$13/1000/4)^(2/3))*SQRT(N70))</f>
        <v/>
      </c>
      <c r="AM70" s="4">
        <f>IF(A70="","",(1/Inputs!$B$9)*(PI()*(Inputs!$F$14/1000)^2/4)*((Inputs!$F$14/1000/4)^(2/3))*SQRT(N70))</f>
        <v/>
      </c>
    </row>
    <row r="71">
      <c r="A71" s="4" t="n"/>
      <c r="B71" s="4" t="n"/>
      <c r="C71" s="8" t="n"/>
      <c r="D71" s="8" t="n"/>
      <c r="E71" s="8">
        <f>SUMIFS(CB_Tributaires!$C:$C,CB_Tributaires!$B:$B,$A71)</f>
        <v/>
      </c>
      <c r="F71" s="8">
        <f>IF(D71="",E71,D71)</f>
        <v/>
      </c>
      <c r="G71" s="4" t="n"/>
      <c r="H71" s="8" t="n"/>
      <c r="I71" s="8">
        <f>IF(A71="","",Inputs!$B$13/((IF(H71="",Inputs!$B$18,H71)+Inputs!$B$14)^Inputs!$B$15))</f>
        <v/>
      </c>
      <c r="J71" s="8">
        <f>IF(A71="","",0.00278*IF(G71="",Inputs!$B$17,G71)*F71*I71)</f>
        <v/>
      </c>
      <c r="K71" s="8">
        <f>IF(A71="","",SUMIFS($L$4:$L$203,$B$4:$B$203,$A71))</f>
        <v/>
      </c>
      <c r="L71" s="8">
        <f>IF(A71="","",(J71+K71)*Inputs!$B$16)</f>
        <v/>
      </c>
      <c r="M71" s="8" t="n"/>
      <c r="N71" s="8">
        <f>IF(A71="","",IF(M71="",Inputs!$B$7,M71))</f>
        <v/>
      </c>
      <c r="O71" s="4">
        <f>IF(A71="","",IF(L71/Inputs!$B$10&lt;=AD71,Inputs!$F$5,IF(L71/Inputs!$B$10&gt;AM71,"OVERSIZE",INDEX(Inputs!$F$5:$F$14,MATCH(L71/Inputs!$B$10,AD71:AM71,1)+1))))</f>
        <v/>
      </c>
      <c r="P71" s="4" t="n"/>
      <c r="Q71" s="4">
        <f>IF(A71="","",IF(P71="",O71,P71))</f>
        <v/>
      </c>
      <c r="R71" s="8">
        <f>IF(OR(Q71="",Q71="OVERSIZE"),"",Q71/1000)</f>
        <v/>
      </c>
      <c r="S71" s="8">
        <f>IF(R71="","",(1/Inputs!$B$9)*(PI()*R71^2/4)*((R71/4)^(2/3))*SQRT(N71))</f>
        <v/>
      </c>
      <c r="T71" s="8">
        <f>IF(OR(S71="",L71=""),"",L71/(S71*Inputs!$B$10))</f>
        <v/>
      </c>
      <c r="U71" s="8">
        <f>IF(OR(R71="",L71=""),"",4*L71/(PI()*R71^2))</f>
        <v/>
      </c>
      <c r="V71" s="8" t="n"/>
      <c r="W71" s="8">
        <f>IF(A71="","",IF(A71=Inputs!$B$6,Inputs!$B$22,IF(B71="","",IFERROR(INDEX($X$4:$X$203,MATCH(B71,$A$4:$A$203,0))+IF(V71="",Inputs!$B$20,V71),""))))</f>
        <v/>
      </c>
      <c r="X71" s="8">
        <f>IF(OR(W71="",N71="",C71=""),"",W71+N71*C71)</f>
        <v/>
      </c>
      <c r="Y71" s="8" t="n"/>
      <c r="Z71" s="8" t="n"/>
      <c r="AA71" s="8">
        <f>IF(OR(Y71="",W71=""),"",Y71-W71)</f>
        <v/>
      </c>
      <c r="AB71" s="8">
        <f>IF(OR(Z71="",X71=""),"",Z71-X71)</f>
        <v/>
      </c>
      <c r="AC71" s="4">
        <f>IF(A71="","",IF(OR(T71&gt;1,U71&lt;Inputs!$B$11,U71&gt;Inputs!$B$12,AA71&lt;Inputs!$B$19,AB71&lt;Inputs!$B$19,N71&lt;Inputs!$B$7,N71&gt;Inputs!$B$8),"CHECK","OK"))</f>
        <v/>
      </c>
      <c r="AD71" s="4">
        <f>IF(A71="","",(1/Inputs!$B$9)*(PI()*(Inputs!$F$5/1000)^2/4)*((Inputs!$F$5/1000/4)^(2/3))*SQRT(N71))</f>
        <v/>
      </c>
      <c r="AE71" s="4">
        <f>IF(A71="","",(1/Inputs!$B$9)*(PI()*(Inputs!$F$6/1000)^2/4)*((Inputs!$F$6/1000/4)^(2/3))*SQRT(N71))</f>
        <v/>
      </c>
      <c r="AF71" s="4">
        <f>IF(A71="","",(1/Inputs!$B$9)*(PI()*(Inputs!$F$7/1000)^2/4)*((Inputs!$F$7/1000/4)^(2/3))*SQRT(N71))</f>
        <v/>
      </c>
      <c r="AG71" s="4">
        <f>IF(A71="","",(1/Inputs!$B$9)*(PI()*(Inputs!$F$8/1000)^2/4)*((Inputs!$F$8/1000/4)^(2/3))*SQRT(N71))</f>
        <v/>
      </c>
      <c r="AH71" s="4">
        <f>IF(A71="","",(1/Inputs!$B$9)*(PI()*(Inputs!$F$9/1000)^2/4)*((Inputs!$F$9/1000/4)^(2/3))*SQRT(N71))</f>
        <v/>
      </c>
      <c r="AI71" s="4">
        <f>IF(A71="","",(1/Inputs!$B$9)*(PI()*(Inputs!$F$10/1000)^2/4)*((Inputs!$F$10/1000/4)^(2/3))*SQRT(N71))</f>
        <v/>
      </c>
      <c r="AJ71" s="4">
        <f>IF(A71="","",(1/Inputs!$B$9)*(PI()*(Inputs!$F$11/1000)^2/4)*((Inputs!$F$11/1000/4)^(2/3))*SQRT(N71))</f>
        <v/>
      </c>
      <c r="AK71" s="4">
        <f>IF(A71="","",(1/Inputs!$B$9)*(PI()*(Inputs!$F$12/1000)^2/4)*((Inputs!$F$12/1000/4)^(2/3))*SQRT(N71))</f>
        <v/>
      </c>
      <c r="AL71" s="4">
        <f>IF(A71="","",(1/Inputs!$B$9)*(PI()*(Inputs!$F$13/1000)^2/4)*((Inputs!$F$13/1000/4)^(2/3))*SQRT(N71))</f>
        <v/>
      </c>
      <c r="AM71" s="4">
        <f>IF(A71="","",(1/Inputs!$B$9)*(PI()*(Inputs!$F$14/1000)^2/4)*((Inputs!$F$14/1000/4)^(2/3))*SQRT(N71))</f>
        <v/>
      </c>
    </row>
    <row r="72">
      <c r="A72" s="4" t="n"/>
      <c r="B72" s="4" t="n"/>
      <c r="C72" s="8" t="n"/>
      <c r="D72" s="8" t="n"/>
      <c r="E72" s="8">
        <f>SUMIFS(CB_Tributaires!$C:$C,CB_Tributaires!$B:$B,$A72)</f>
        <v/>
      </c>
      <c r="F72" s="8">
        <f>IF(D72="",E72,D72)</f>
        <v/>
      </c>
      <c r="G72" s="4" t="n"/>
      <c r="H72" s="8" t="n"/>
      <c r="I72" s="8">
        <f>IF(A72="","",Inputs!$B$13/((IF(H72="",Inputs!$B$18,H72)+Inputs!$B$14)^Inputs!$B$15))</f>
        <v/>
      </c>
      <c r="J72" s="8">
        <f>IF(A72="","",0.00278*IF(G72="",Inputs!$B$17,G72)*F72*I72)</f>
        <v/>
      </c>
      <c r="K72" s="8">
        <f>IF(A72="","",SUMIFS($L$4:$L$203,$B$4:$B$203,$A72))</f>
        <v/>
      </c>
      <c r="L72" s="8">
        <f>IF(A72="","",(J72+K72)*Inputs!$B$16)</f>
        <v/>
      </c>
      <c r="M72" s="8" t="n"/>
      <c r="N72" s="8">
        <f>IF(A72="","",IF(M72="",Inputs!$B$7,M72))</f>
        <v/>
      </c>
      <c r="O72" s="4">
        <f>IF(A72="","",IF(L72/Inputs!$B$10&lt;=AD72,Inputs!$F$5,IF(L72/Inputs!$B$10&gt;AM72,"OVERSIZE",INDEX(Inputs!$F$5:$F$14,MATCH(L72/Inputs!$B$10,AD72:AM72,1)+1))))</f>
        <v/>
      </c>
      <c r="P72" s="4" t="n"/>
      <c r="Q72" s="4">
        <f>IF(A72="","",IF(P72="",O72,P72))</f>
        <v/>
      </c>
      <c r="R72" s="8">
        <f>IF(OR(Q72="",Q72="OVERSIZE"),"",Q72/1000)</f>
        <v/>
      </c>
      <c r="S72" s="8">
        <f>IF(R72="","",(1/Inputs!$B$9)*(PI()*R72^2/4)*((R72/4)^(2/3))*SQRT(N72))</f>
        <v/>
      </c>
      <c r="T72" s="8">
        <f>IF(OR(S72="",L72=""),"",L72/(S72*Inputs!$B$10))</f>
        <v/>
      </c>
      <c r="U72" s="8">
        <f>IF(OR(R72="",L72=""),"",4*L72/(PI()*R72^2))</f>
        <v/>
      </c>
      <c r="V72" s="8" t="n"/>
      <c r="W72" s="8">
        <f>IF(A72="","",IF(A72=Inputs!$B$6,Inputs!$B$22,IF(B72="","",IFERROR(INDEX($X$4:$X$203,MATCH(B72,$A$4:$A$203,0))+IF(V72="",Inputs!$B$20,V72),""))))</f>
        <v/>
      </c>
      <c r="X72" s="8">
        <f>IF(OR(W72="",N72="",C72=""),"",W72+N72*C72)</f>
        <v/>
      </c>
      <c r="Y72" s="8" t="n"/>
      <c r="Z72" s="8" t="n"/>
      <c r="AA72" s="8">
        <f>IF(OR(Y72="",W72=""),"",Y72-W72)</f>
        <v/>
      </c>
      <c r="AB72" s="8">
        <f>IF(OR(Z72="",X72=""),"",Z72-X72)</f>
        <v/>
      </c>
      <c r="AC72" s="4">
        <f>IF(A72="","",IF(OR(T72&gt;1,U72&lt;Inputs!$B$11,U72&gt;Inputs!$B$12,AA72&lt;Inputs!$B$19,AB72&lt;Inputs!$B$19,N72&lt;Inputs!$B$7,N72&gt;Inputs!$B$8),"CHECK","OK"))</f>
        <v/>
      </c>
      <c r="AD72" s="4">
        <f>IF(A72="","",(1/Inputs!$B$9)*(PI()*(Inputs!$F$5/1000)^2/4)*((Inputs!$F$5/1000/4)^(2/3))*SQRT(N72))</f>
        <v/>
      </c>
      <c r="AE72" s="4">
        <f>IF(A72="","",(1/Inputs!$B$9)*(PI()*(Inputs!$F$6/1000)^2/4)*((Inputs!$F$6/1000/4)^(2/3))*SQRT(N72))</f>
        <v/>
      </c>
      <c r="AF72" s="4">
        <f>IF(A72="","",(1/Inputs!$B$9)*(PI()*(Inputs!$F$7/1000)^2/4)*((Inputs!$F$7/1000/4)^(2/3))*SQRT(N72))</f>
        <v/>
      </c>
      <c r="AG72" s="4">
        <f>IF(A72="","",(1/Inputs!$B$9)*(PI()*(Inputs!$F$8/1000)^2/4)*((Inputs!$F$8/1000/4)^(2/3))*SQRT(N72))</f>
        <v/>
      </c>
      <c r="AH72" s="4">
        <f>IF(A72="","",(1/Inputs!$B$9)*(PI()*(Inputs!$F$9/1000)^2/4)*((Inputs!$F$9/1000/4)^(2/3))*SQRT(N72))</f>
        <v/>
      </c>
      <c r="AI72" s="4">
        <f>IF(A72="","",(1/Inputs!$B$9)*(PI()*(Inputs!$F$10/1000)^2/4)*((Inputs!$F$10/1000/4)^(2/3))*SQRT(N72))</f>
        <v/>
      </c>
      <c r="AJ72" s="4">
        <f>IF(A72="","",(1/Inputs!$B$9)*(PI()*(Inputs!$F$11/1000)^2/4)*((Inputs!$F$11/1000/4)^(2/3))*SQRT(N72))</f>
        <v/>
      </c>
      <c r="AK72" s="4">
        <f>IF(A72="","",(1/Inputs!$B$9)*(PI()*(Inputs!$F$12/1000)^2/4)*((Inputs!$F$12/1000/4)^(2/3))*SQRT(N72))</f>
        <v/>
      </c>
      <c r="AL72" s="4">
        <f>IF(A72="","",(1/Inputs!$B$9)*(PI()*(Inputs!$F$13/1000)^2/4)*((Inputs!$F$13/1000/4)^(2/3))*SQRT(N72))</f>
        <v/>
      </c>
      <c r="AM72" s="4">
        <f>IF(A72="","",(1/Inputs!$B$9)*(PI()*(Inputs!$F$14/1000)^2/4)*((Inputs!$F$14/1000/4)^(2/3))*SQRT(N72))</f>
        <v/>
      </c>
    </row>
    <row r="73">
      <c r="A73" s="4" t="n"/>
      <c r="B73" s="4" t="n"/>
      <c r="C73" s="8" t="n"/>
      <c r="D73" s="8" t="n"/>
      <c r="E73" s="8">
        <f>SUMIFS(CB_Tributaires!$C:$C,CB_Tributaires!$B:$B,$A73)</f>
        <v/>
      </c>
      <c r="F73" s="8">
        <f>IF(D73="",E73,D73)</f>
        <v/>
      </c>
      <c r="G73" s="4" t="n"/>
      <c r="H73" s="8" t="n"/>
      <c r="I73" s="8">
        <f>IF(A73="","",Inputs!$B$13/((IF(H73="",Inputs!$B$18,H73)+Inputs!$B$14)^Inputs!$B$15))</f>
        <v/>
      </c>
      <c r="J73" s="8">
        <f>IF(A73="","",0.00278*IF(G73="",Inputs!$B$17,G73)*F73*I73)</f>
        <v/>
      </c>
      <c r="K73" s="8">
        <f>IF(A73="","",SUMIFS($L$4:$L$203,$B$4:$B$203,$A73))</f>
        <v/>
      </c>
      <c r="L73" s="8">
        <f>IF(A73="","",(J73+K73)*Inputs!$B$16)</f>
        <v/>
      </c>
      <c r="M73" s="8" t="n"/>
      <c r="N73" s="8">
        <f>IF(A73="","",IF(M73="",Inputs!$B$7,M73))</f>
        <v/>
      </c>
      <c r="O73" s="4">
        <f>IF(A73="","",IF(L73/Inputs!$B$10&lt;=AD73,Inputs!$F$5,IF(L73/Inputs!$B$10&gt;AM73,"OVERSIZE",INDEX(Inputs!$F$5:$F$14,MATCH(L73/Inputs!$B$10,AD73:AM73,1)+1))))</f>
        <v/>
      </c>
      <c r="P73" s="4" t="n"/>
      <c r="Q73" s="4">
        <f>IF(A73="","",IF(P73="",O73,P73))</f>
        <v/>
      </c>
      <c r="R73" s="8">
        <f>IF(OR(Q73="",Q73="OVERSIZE"),"",Q73/1000)</f>
        <v/>
      </c>
      <c r="S73" s="8">
        <f>IF(R73="","",(1/Inputs!$B$9)*(PI()*R73^2/4)*((R73/4)^(2/3))*SQRT(N73))</f>
        <v/>
      </c>
      <c r="T73" s="8">
        <f>IF(OR(S73="",L73=""),"",L73/(S73*Inputs!$B$10))</f>
        <v/>
      </c>
      <c r="U73" s="8">
        <f>IF(OR(R73="",L73=""),"",4*L73/(PI()*R73^2))</f>
        <v/>
      </c>
      <c r="V73" s="8" t="n"/>
      <c r="W73" s="8">
        <f>IF(A73="","",IF(A73=Inputs!$B$6,Inputs!$B$22,IF(B73="","",IFERROR(INDEX($X$4:$X$203,MATCH(B73,$A$4:$A$203,0))+IF(V73="",Inputs!$B$20,V73),""))))</f>
        <v/>
      </c>
      <c r="X73" s="8">
        <f>IF(OR(W73="",N73="",C73=""),"",W73+N73*C73)</f>
        <v/>
      </c>
      <c r="Y73" s="8" t="n"/>
      <c r="Z73" s="8" t="n"/>
      <c r="AA73" s="8">
        <f>IF(OR(Y73="",W73=""),"",Y73-W73)</f>
        <v/>
      </c>
      <c r="AB73" s="8">
        <f>IF(OR(Z73="",X73=""),"",Z73-X73)</f>
        <v/>
      </c>
      <c r="AC73" s="4">
        <f>IF(A73="","",IF(OR(T73&gt;1,U73&lt;Inputs!$B$11,U73&gt;Inputs!$B$12,AA73&lt;Inputs!$B$19,AB73&lt;Inputs!$B$19,N73&lt;Inputs!$B$7,N73&gt;Inputs!$B$8),"CHECK","OK"))</f>
        <v/>
      </c>
      <c r="AD73" s="4">
        <f>IF(A73="","",(1/Inputs!$B$9)*(PI()*(Inputs!$F$5/1000)^2/4)*((Inputs!$F$5/1000/4)^(2/3))*SQRT(N73))</f>
        <v/>
      </c>
      <c r="AE73" s="4">
        <f>IF(A73="","",(1/Inputs!$B$9)*(PI()*(Inputs!$F$6/1000)^2/4)*((Inputs!$F$6/1000/4)^(2/3))*SQRT(N73))</f>
        <v/>
      </c>
      <c r="AF73" s="4">
        <f>IF(A73="","",(1/Inputs!$B$9)*(PI()*(Inputs!$F$7/1000)^2/4)*((Inputs!$F$7/1000/4)^(2/3))*SQRT(N73))</f>
        <v/>
      </c>
      <c r="AG73" s="4">
        <f>IF(A73="","",(1/Inputs!$B$9)*(PI()*(Inputs!$F$8/1000)^2/4)*((Inputs!$F$8/1000/4)^(2/3))*SQRT(N73))</f>
        <v/>
      </c>
      <c r="AH73" s="4">
        <f>IF(A73="","",(1/Inputs!$B$9)*(PI()*(Inputs!$F$9/1000)^2/4)*((Inputs!$F$9/1000/4)^(2/3))*SQRT(N73))</f>
        <v/>
      </c>
      <c r="AI73" s="4">
        <f>IF(A73="","",(1/Inputs!$B$9)*(PI()*(Inputs!$F$10/1000)^2/4)*((Inputs!$F$10/1000/4)^(2/3))*SQRT(N73))</f>
        <v/>
      </c>
      <c r="AJ73" s="4">
        <f>IF(A73="","",(1/Inputs!$B$9)*(PI()*(Inputs!$F$11/1000)^2/4)*((Inputs!$F$11/1000/4)^(2/3))*SQRT(N73))</f>
        <v/>
      </c>
      <c r="AK73" s="4">
        <f>IF(A73="","",(1/Inputs!$B$9)*(PI()*(Inputs!$F$12/1000)^2/4)*((Inputs!$F$12/1000/4)^(2/3))*SQRT(N73))</f>
        <v/>
      </c>
      <c r="AL73" s="4">
        <f>IF(A73="","",(1/Inputs!$B$9)*(PI()*(Inputs!$F$13/1000)^2/4)*((Inputs!$F$13/1000/4)^(2/3))*SQRT(N73))</f>
        <v/>
      </c>
      <c r="AM73" s="4">
        <f>IF(A73="","",(1/Inputs!$B$9)*(PI()*(Inputs!$F$14/1000)^2/4)*((Inputs!$F$14/1000/4)^(2/3))*SQRT(N73))</f>
        <v/>
      </c>
    </row>
    <row r="74">
      <c r="A74" s="4" t="n"/>
      <c r="B74" s="4" t="n"/>
      <c r="C74" s="8" t="n"/>
      <c r="D74" s="8" t="n"/>
      <c r="E74" s="8">
        <f>SUMIFS(CB_Tributaires!$C:$C,CB_Tributaires!$B:$B,$A74)</f>
        <v/>
      </c>
      <c r="F74" s="8">
        <f>IF(D74="",E74,D74)</f>
        <v/>
      </c>
      <c r="G74" s="4" t="n"/>
      <c r="H74" s="8" t="n"/>
      <c r="I74" s="8">
        <f>IF(A74="","",Inputs!$B$13/((IF(H74="",Inputs!$B$18,H74)+Inputs!$B$14)^Inputs!$B$15))</f>
        <v/>
      </c>
      <c r="J74" s="8">
        <f>IF(A74="","",0.00278*IF(G74="",Inputs!$B$17,G74)*F74*I74)</f>
        <v/>
      </c>
      <c r="K74" s="8">
        <f>IF(A74="","",SUMIFS($L$4:$L$203,$B$4:$B$203,$A74))</f>
        <v/>
      </c>
      <c r="L74" s="8">
        <f>IF(A74="","",(J74+K74)*Inputs!$B$16)</f>
        <v/>
      </c>
      <c r="M74" s="8" t="n"/>
      <c r="N74" s="8">
        <f>IF(A74="","",IF(M74="",Inputs!$B$7,M74))</f>
        <v/>
      </c>
      <c r="O74" s="4">
        <f>IF(A74="","",IF(L74/Inputs!$B$10&lt;=AD74,Inputs!$F$5,IF(L74/Inputs!$B$10&gt;AM74,"OVERSIZE",INDEX(Inputs!$F$5:$F$14,MATCH(L74/Inputs!$B$10,AD74:AM74,1)+1))))</f>
        <v/>
      </c>
      <c r="P74" s="4" t="n"/>
      <c r="Q74" s="4">
        <f>IF(A74="","",IF(P74="",O74,P74))</f>
        <v/>
      </c>
      <c r="R74" s="8">
        <f>IF(OR(Q74="",Q74="OVERSIZE"),"",Q74/1000)</f>
        <v/>
      </c>
      <c r="S74" s="8">
        <f>IF(R74="","",(1/Inputs!$B$9)*(PI()*R74^2/4)*((R74/4)^(2/3))*SQRT(N74))</f>
        <v/>
      </c>
      <c r="T74" s="8">
        <f>IF(OR(S74="",L74=""),"",L74/(S74*Inputs!$B$10))</f>
        <v/>
      </c>
      <c r="U74" s="8">
        <f>IF(OR(R74="",L74=""),"",4*L74/(PI()*R74^2))</f>
        <v/>
      </c>
      <c r="V74" s="8" t="n"/>
      <c r="W74" s="8">
        <f>IF(A74="","",IF(A74=Inputs!$B$6,Inputs!$B$22,IF(B74="","",IFERROR(INDEX($X$4:$X$203,MATCH(B74,$A$4:$A$203,0))+IF(V74="",Inputs!$B$20,V74),""))))</f>
        <v/>
      </c>
      <c r="X74" s="8">
        <f>IF(OR(W74="",N74="",C74=""),"",W74+N74*C74)</f>
        <v/>
      </c>
      <c r="Y74" s="8" t="n"/>
      <c r="Z74" s="8" t="n"/>
      <c r="AA74" s="8">
        <f>IF(OR(Y74="",W74=""),"",Y74-W74)</f>
        <v/>
      </c>
      <c r="AB74" s="8">
        <f>IF(OR(Z74="",X74=""),"",Z74-X74)</f>
        <v/>
      </c>
      <c r="AC74" s="4">
        <f>IF(A74="","",IF(OR(T74&gt;1,U74&lt;Inputs!$B$11,U74&gt;Inputs!$B$12,AA74&lt;Inputs!$B$19,AB74&lt;Inputs!$B$19,N74&lt;Inputs!$B$7,N74&gt;Inputs!$B$8),"CHECK","OK"))</f>
        <v/>
      </c>
      <c r="AD74" s="4">
        <f>IF(A74="","",(1/Inputs!$B$9)*(PI()*(Inputs!$F$5/1000)^2/4)*((Inputs!$F$5/1000/4)^(2/3))*SQRT(N74))</f>
        <v/>
      </c>
      <c r="AE74" s="4">
        <f>IF(A74="","",(1/Inputs!$B$9)*(PI()*(Inputs!$F$6/1000)^2/4)*((Inputs!$F$6/1000/4)^(2/3))*SQRT(N74))</f>
        <v/>
      </c>
      <c r="AF74" s="4">
        <f>IF(A74="","",(1/Inputs!$B$9)*(PI()*(Inputs!$F$7/1000)^2/4)*((Inputs!$F$7/1000/4)^(2/3))*SQRT(N74))</f>
        <v/>
      </c>
      <c r="AG74" s="4">
        <f>IF(A74="","",(1/Inputs!$B$9)*(PI()*(Inputs!$F$8/1000)^2/4)*((Inputs!$F$8/1000/4)^(2/3))*SQRT(N74))</f>
        <v/>
      </c>
      <c r="AH74" s="4">
        <f>IF(A74="","",(1/Inputs!$B$9)*(PI()*(Inputs!$F$9/1000)^2/4)*((Inputs!$F$9/1000/4)^(2/3))*SQRT(N74))</f>
        <v/>
      </c>
      <c r="AI74" s="4">
        <f>IF(A74="","",(1/Inputs!$B$9)*(PI()*(Inputs!$F$10/1000)^2/4)*((Inputs!$F$10/1000/4)^(2/3))*SQRT(N74))</f>
        <v/>
      </c>
      <c r="AJ74" s="4">
        <f>IF(A74="","",(1/Inputs!$B$9)*(PI()*(Inputs!$F$11/1000)^2/4)*((Inputs!$F$11/1000/4)^(2/3))*SQRT(N74))</f>
        <v/>
      </c>
      <c r="AK74" s="4">
        <f>IF(A74="","",(1/Inputs!$B$9)*(PI()*(Inputs!$F$12/1000)^2/4)*((Inputs!$F$12/1000/4)^(2/3))*SQRT(N74))</f>
        <v/>
      </c>
      <c r="AL74" s="4">
        <f>IF(A74="","",(1/Inputs!$B$9)*(PI()*(Inputs!$F$13/1000)^2/4)*((Inputs!$F$13/1000/4)^(2/3))*SQRT(N74))</f>
        <v/>
      </c>
      <c r="AM74" s="4">
        <f>IF(A74="","",(1/Inputs!$B$9)*(PI()*(Inputs!$F$14/1000)^2/4)*((Inputs!$F$14/1000/4)^(2/3))*SQRT(N74))</f>
        <v/>
      </c>
    </row>
    <row r="75">
      <c r="A75" s="4" t="n"/>
      <c r="B75" s="4" t="n"/>
      <c r="C75" s="8" t="n"/>
      <c r="D75" s="8" t="n"/>
      <c r="E75" s="8">
        <f>SUMIFS(CB_Tributaires!$C:$C,CB_Tributaires!$B:$B,$A75)</f>
        <v/>
      </c>
      <c r="F75" s="8">
        <f>IF(D75="",E75,D75)</f>
        <v/>
      </c>
      <c r="G75" s="4" t="n"/>
      <c r="H75" s="8" t="n"/>
      <c r="I75" s="8">
        <f>IF(A75="","",Inputs!$B$13/((IF(H75="",Inputs!$B$18,H75)+Inputs!$B$14)^Inputs!$B$15))</f>
        <v/>
      </c>
      <c r="J75" s="8">
        <f>IF(A75="","",0.00278*IF(G75="",Inputs!$B$17,G75)*F75*I75)</f>
        <v/>
      </c>
      <c r="K75" s="8">
        <f>IF(A75="","",SUMIFS($L$4:$L$203,$B$4:$B$203,$A75))</f>
        <v/>
      </c>
      <c r="L75" s="8">
        <f>IF(A75="","",(J75+K75)*Inputs!$B$16)</f>
        <v/>
      </c>
      <c r="M75" s="8" t="n"/>
      <c r="N75" s="8">
        <f>IF(A75="","",IF(M75="",Inputs!$B$7,M75))</f>
        <v/>
      </c>
      <c r="O75" s="4">
        <f>IF(A75="","",IF(L75/Inputs!$B$10&lt;=AD75,Inputs!$F$5,IF(L75/Inputs!$B$10&gt;AM75,"OVERSIZE",INDEX(Inputs!$F$5:$F$14,MATCH(L75/Inputs!$B$10,AD75:AM75,1)+1))))</f>
        <v/>
      </c>
      <c r="P75" s="4" t="n"/>
      <c r="Q75" s="4">
        <f>IF(A75="","",IF(P75="",O75,P75))</f>
        <v/>
      </c>
      <c r="R75" s="8">
        <f>IF(OR(Q75="",Q75="OVERSIZE"),"",Q75/1000)</f>
        <v/>
      </c>
      <c r="S75" s="8">
        <f>IF(R75="","",(1/Inputs!$B$9)*(PI()*R75^2/4)*((R75/4)^(2/3))*SQRT(N75))</f>
        <v/>
      </c>
      <c r="T75" s="8">
        <f>IF(OR(S75="",L75=""),"",L75/(S75*Inputs!$B$10))</f>
        <v/>
      </c>
      <c r="U75" s="8">
        <f>IF(OR(R75="",L75=""),"",4*L75/(PI()*R75^2))</f>
        <v/>
      </c>
      <c r="V75" s="8" t="n"/>
      <c r="W75" s="8">
        <f>IF(A75="","",IF(A75=Inputs!$B$6,Inputs!$B$22,IF(B75="","",IFERROR(INDEX($X$4:$X$203,MATCH(B75,$A$4:$A$203,0))+IF(V75="",Inputs!$B$20,V75),""))))</f>
        <v/>
      </c>
      <c r="X75" s="8">
        <f>IF(OR(W75="",N75="",C75=""),"",W75+N75*C75)</f>
        <v/>
      </c>
      <c r="Y75" s="8" t="n"/>
      <c r="Z75" s="8" t="n"/>
      <c r="AA75" s="8">
        <f>IF(OR(Y75="",W75=""),"",Y75-W75)</f>
        <v/>
      </c>
      <c r="AB75" s="8">
        <f>IF(OR(Z75="",X75=""),"",Z75-X75)</f>
        <v/>
      </c>
      <c r="AC75" s="4">
        <f>IF(A75="","",IF(OR(T75&gt;1,U75&lt;Inputs!$B$11,U75&gt;Inputs!$B$12,AA75&lt;Inputs!$B$19,AB75&lt;Inputs!$B$19,N75&lt;Inputs!$B$7,N75&gt;Inputs!$B$8),"CHECK","OK"))</f>
        <v/>
      </c>
      <c r="AD75" s="4">
        <f>IF(A75="","",(1/Inputs!$B$9)*(PI()*(Inputs!$F$5/1000)^2/4)*((Inputs!$F$5/1000/4)^(2/3))*SQRT(N75))</f>
        <v/>
      </c>
      <c r="AE75" s="4">
        <f>IF(A75="","",(1/Inputs!$B$9)*(PI()*(Inputs!$F$6/1000)^2/4)*((Inputs!$F$6/1000/4)^(2/3))*SQRT(N75))</f>
        <v/>
      </c>
      <c r="AF75" s="4">
        <f>IF(A75="","",(1/Inputs!$B$9)*(PI()*(Inputs!$F$7/1000)^2/4)*((Inputs!$F$7/1000/4)^(2/3))*SQRT(N75))</f>
        <v/>
      </c>
      <c r="AG75" s="4">
        <f>IF(A75="","",(1/Inputs!$B$9)*(PI()*(Inputs!$F$8/1000)^2/4)*((Inputs!$F$8/1000/4)^(2/3))*SQRT(N75))</f>
        <v/>
      </c>
      <c r="AH75" s="4">
        <f>IF(A75="","",(1/Inputs!$B$9)*(PI()*(Inputs!$F$9/1000)^2/4)*((Inputs!$F$9/1000/4)^(2/3))*SQRT(N75))</f>
        <v/>
      </c>
      <c r="AI75" s="4">
        <f>IF(A75="","",(1/Inputs!$B$9)*(PI()*(Inputs!$F$10/1000)^2/4)*((Inputs!$F$10/1000/4)^(2/3))*SQRT(N75))</f>
        <v/>
      </c>
      <c r="AJ75" s="4">
        <f>IF(A75="","",(1/Inputs!$B$9)*(PI()*(Inputs!$F$11/1000)^2/4)*((Inputs!$F$11/1000/4)^(2/3))*SQRT(N75))</f>
        <v/>
      </c>
      <c r="AK75" s="4">
        <f>IF(A75="","",(1/Inputs!$B$9)*(PI()*(Inputs!$F$12/1000)^2/4)*((Inputs!$F$12/1000/4)^(2/3))*SQRT(N75))</f>
        <v/>
      </c>
      <c r="AL75" s="4">
        <f>IF(A75="","",(1/Inputs!$B$9)*(PI()*(Inputs!$F$13/1000)^2/4)*((Inputs!$F$13/1000/4)^(2/3))*SQRT(N75))</f>
        <v/>
      </c>
      <c r="AM75" s="4">
        <f>IF(A75="","",(1/Inputs!$B$9)*(PI()*(Inputs!$F$14/1000)^2/4)*((Inputs!$F$14/1000/4)^(2/3))*SQRT(N75))</f>
        <v/>
      </c>
    </row>
    <row r="76">
      <c r="A76" s="4" t="n"/>
      <c r="B76" s="4" t="n"/>
      <c r="C76" s="8" t="n"/>
      <c r="D76" s="8" t="n"/>
      <c r="E76" s="8">
        <f>SUMIFS(CB_Tributaires!$C:$C,CB_Tributaires!$B:$B,$A76)</f>
        <v/>
      </c>
      <c r="F76" s="8">
        <f>IF(D76="",E76,D76)</f>
        <v/>
      </c>
      <c r="G76" s="4" t="n"/>
      <c r="H76" s="8" t="n"/>
      <c r="I76" s="8">
        <f>IF(A76="","",Inputs!$B$13/((IF(H76="",Inputs!$B$18,H76)+Inputs!$B$14)^Inputs!$B$15))</f>
        <v/>
      </c>
      <c r="J76" s="8">
        <f>IF(A76="","",0.00278*IF(G76="",Inputs!$B$17,G76)*F76*I76)</f>
        <v/>
      </c>
      <c r="K76" s="8">
        <f>IF(A76="","",SUMIFS($L$4:$L$203,$B$4:$B$203,$A76))</f>
        <v/>
      </c>
      <c r="L76" s="8">
        <f>IF(A76="","",(J76+K76)*Inputs!$B$16)</f>
        <v/>
      </c>
      <c r="M76" s="8" t="n"/>
      <c r="N76" s="8">
        <f>IF(A76="","",IF(M76="",Inputs!$B$7,M76))</f>
        <v/>
      </c>
      <c r="O76" s="4">
        <f>IF(A76="","",IF(L76/Inputs!$B$10&lt;=AD76,Inputs!$F$5,IF(L76/Inputs!$B$10&gt;AM76,"OVERSIZE",INDEX(Inputs!$F$5:$F$14,MATCH(L76/Inputs!$B$10,AD76:AM76,1)+1))))</f>
        <v/>
      </c>
      <c r="P76" s="4" t="n"/>
      <c r="Q76" s="4">
        <f>IF(A76="","",IF(P76="",O76,P76))</f>
        <v/>
      </c>
      <c r="R76" s="8">
        <f>IF(OR(Q76="",Q76="OVERSIZE"),"",Q76/1000)</f>
        <v/>
      </c>
      <c r="S76" s="8">
        <f>IF(R76="","",(1/Inputs!$B$9)*(PI()*R76^2/4)*((R76/4)^(2/3))*SQRT(N76))</f>
        <v/>
      </c>
      <c r="T76" s="8">
        <f>IF(OR(S76="",L76=""),"",L76/(S76*Inputs!$B$10))</f>
        <v/>
      </c>
      <c r="U76" s="8">
        <f>IF(OR(R76="",L76=""),"",4*L76/(PI()*R76^2))</f>
        <v/>
      </c>
      <c r="V76" s="8" t="n"/>
      <c r="W76" s="8">
        <f>IF(A76="","",IF(A76=Inputs!$B$6,Inputs!$B$22,IF(B76="","",IFERROR(INDEX($X$4:$X$203,MATCH(B76,$A$4:$A$203,0))+IF(V76="",Inputs!$B$20,V76),""))))</f>
        <v/>
      </c>
      <c r="X76" s="8">
        <f>IF(OR(W76="",N76="",C76=""),"",W76+N76*C76)</f>
        <v/>
      </c>
      <c r="Y76" s="8" t="n"/>
      <c r="Z76" s="8" t="n"/>
      <c r="AA76" s="8">
        <f>IF(OR(Y76="",W76=""),"",Y76-W76)</f>
        <v/>
      </c>
      <c r="AB76" s="8">
        <f>IF(OR(Z76="",X76=""),"",Z76-X76)</f>
        <v/>
      </c>
      <c r="AC76" s="4">
        <f>IF(A76="","",IF(OR(T76&gt;1,U76&lt;Inputs!$B$11,U76&gt;Inputs!$B$12,AA76&lt;Inputs!$B$19,AB76&lt;Inputs!$B$19,N76&lt;Inputs!$B$7,N76&gt;Inputs!$B$8),"CHECK","OK"))</f>
        <v/>
      </c>
      <c r="AD76" s="4">
        <f>IF(A76="","",(1/Inputs!$B$9)*(PI()*(Inputs!$F$5/1000)^2/4)*((Inputs!$F$5/1000/4)^(2/3))*SQRT(N76))</f>
        <v/>
      </c>
      <c r="AE76" s="4">
        <f>IF(A76="","",(1/Inputs!$B$9)*(PI()*(Inputs!$F$6/1000)^2/4)*((Inputs!$F$6/1000/4)^(2/3))*SQRT(N76))</f>
        <v/>
      </c>
      <c r="AF76" s="4">
        <f>IF(A76="","",(1/Inputs!$B$9)*(PI()*(Inputs!$F$7/1000)^2/4)*((Inputs!$F$7/1000/4)^(2/3))*SQRT(N76))</f>
        <v/>
      </c>
      <c r="AG76" s="4">
        <f>IF(A76="","",(1/Inputs!$B$9)*(PI()*(Inputs!$F$8/1000)^2/4)*((Inputs!$F$8/1000/4)^(2/3))*SQRT(N76))</f>
        <v/>
      </c>
      <c r="AH76" s="4">
        <f>IF(A76="","",(1/Inputs!$B$9)*(PI()*(Inputs!$F$9/1000)^2/4)*((Inputs!$F$9/1000/4)^(2/3))*SQRT(N76))</f>
        <v/>
      </c>
      <c r="AI76" s="4">
        <f>IF(A76="","",(1/Inputs!$B$9)*(PI()*(Inputs!$F$10/1000)^2/4)*((Inputs!$F$10/1000/4)^(2/3))*SQRT(N76))</f>
        <v/>
      </c>
      <c r="AJ76" s="4">
        <f>IF(A76="","",(1/Inputs!$B$9)*(PI()*(Inputs!$F$11/1000)^2/4)*((Inputs!$F$11/1000/4)^(2/3))*SQRT(N76))</f>
        <v/>
      </c>
      <c r="AK76" s="4">
        <f>IF(A76="","",(1/Inputs!$B$9)*(PI()*(Inputs!$F$12/1000)^2/4)*((Inputs!$F$12/1000/4)^(2/3))*SQRT(N76))</f>
        <v/>
      </c>
      <c r="AL76" s="4">
        <f>IF(A76="","",(1/Inputs!$B$9)*(PI()*(Inputs!$F$13/1000)^2/4)*((Inputs!$F$13/1000/4)^(2/3))*SQRT(N76))</f>
        <v/>
      </c>
      <c r="AM76" s="4">
        <f>IF(A76="","",(1/Inputs!$B$9)*(PI()*(Inputs!$F$14/1000)^2/4)*((Inputs!$F$14/1000/4)^(2/3))*SQRT(N76))</f>
        <v/>
      </c>
    </row>
    <row r="77">
      <c r="A77" s="4" t="n"/>
      <c r="B77" s="4" t="n"/>
      <c r="C77" s="8" t="n"/>
      <c r="D77" s="8" t="n"/>
      <c r="E77" s="8">
        <f>SUMIFS(CB_Tributaires!$C:$C,CB_Tributaires!$B:$B,$A77)</f>
        <v/>
      </c>
      <c r="F77" s="8">
        <f>IF(D77="",E77,D77)</f>
        <v/>
      </c>
      <c r="G77" s="4" t="n"/>
      <c r="H77" s="8" t="n"/>
      <c r="I77" s="8">
        <f>IF(A77="","",Inputs!$B$13/((IF(H77="",Inputs!$B$18,H77)+Inputs!$B$14)^Inputs!$B$15))</f>
        <v/>
      </c>
      <c r="J77" s="8">
        <f>IF(A77="","",0.00278*IF(G77="",Inputs!$B$17,G77)*F77*I77)</f>
        <v/>
      </c>
      <c r="K77" s="8">
        <f>IF(A77="","",SUMIFS($L$4:$L$203,$B$4:$B$203,$A77))</f>
        <v/>
      </c>
      <c r="L77" s="8">
        <f>IF(A77="","",(J77+K77)*Inputs!$B$16)</f>
        <v/>
      </c>
      <c r="M77" s="8" t="n"/>
      <c r="N77" s="8">
        <f>IF(A77="","",IF(M77="",Inputs!$B$7,M77))</f>
        <v/>
      </c>
      <c r="O77" s="4">
        <f>IF(A77="","",IF(L77/Inputs!$B$10&lt;=AD77,Inputs!$F$5,IF(L77/Inputs!$B$10&gt;AM77,"OVERSIZE",INDEX(Inputs!$F$5:$F$14,MATCH(L77/Inputs!$B$10,AD77:AM77,1)+1))))</f>
        <v/>
      </c>
      <c r="P77" s="4" t="n"/>
      <c r="Q77" s="4">
        <f>IF(A77="","",IF(P77="",O77,P77))</f>
        <v/>
      </c>
      <c r="R77" s="8">
        <f>IF(OR(Q77="",Q77="OVERSIZE"),"",Q77/1000)</f>
        <v/>
      </c>
      <c r="S77" s="8">
        <f>IF(R77="","",(1/Inputs!$B$9)*(PI()*R77^2/4)*((R77/4)^(2/3))*SQRT(N77))</f>
        <v/>
      </c>
      <c r="T77" s="8">
        <f>IF(OR(S77="",L77=""),"",L77/(S77*Inputs!$B$10))</f>
        <v/>
      </c>
      <c r="U77" s="8">
        <f>IF(OR(R77="",L77=""),"",4*L77/(PI()*R77^2))</f>
        <v/>
      </c>
      <c r="V77" s="8" t="n"/>
      <c r="W77" s="8">
        <f>IF(A77="","",IF(A77=Inputs!$B$6,Inputs!$B$22,IF(B77="","",IFERROR(INDEX($X$4:$X$203,MATCH(B77,$A$4:$A$203,0))+IF(V77="",Inputs!$B$20,V77),""))))</f>
        <v/>
      </c>
      <c r="X77" s="8">
        <f>IF(OR(W77="",N77="",C77=""),"",W77+N77*C77)</f>
        <v/>
      </c>
      <c r="Y77" s="8" t="n"/>
      <c r="Z77" s="8" t="n"/>
      <c r="AA77" s="8">
        <f>IF(OR(Y77="",W77=""),"",Y77-W77)</f>
        <v/>
      </c>
      <c r="AB77" s="8">
        <f>IF(OR(Z77="",X77=""),"",Z77-X77)</f>
        <v/>
      </c>
      <c r="AC77" s="4">
        <f>IF(A77="","",IF(OR(T77&gt;1,U77&lt;Inputs!$B$11,U77&gt;Inputs!$B$12,AA77&lt;Inputs!$B$19,AB77&lt;Inputs!$B$19,N77&lt;Inputs!$B$7,N77&gt;Inputs!$B$8),"CHECK","OK"))</f>
        <v/>
      </c>
      <c r="AD77" s="4">
        <f>IF(A77="","",(1/Inputs!$B$9)*(PI()*(Inputs!$F$5/1000)^2/4)*((Inputs!$F$5/1000/4)^(2/3))*SQRT(N77))</f>
        <v/>
      </c>
      <c r="AE77" s="4">
        <f>IF(A77="","",(1/Inputs!$B$9)*(PI()*(Inputs!$F$6/1000)^2/4)*((Inputs!$F$6/1000/4)^(2/3))*SQRT(N77))</f>
        <v/>
      </c>
      <c r="AF77" s="4">
        <f>IF(A77="","",(1/Inputs!$B$9)*(PI()*(Inputs!$F$7/1000)^2/4)*((Inputs!$F$7/1000/4)^(2/3))*SQRT(N77))</f>
        <v/>
      </c>
      <c r="AG77" s="4">
        <f>IF(A77="","",(1/Inputs!$B$9)*(PI()*(Inputs!$F$8/1000)^2/4)*((Inputs!$F$8/1000/4)^(2/3))*SQRT(N77))</f>
        <v/>
      </c>
      <c r="AH77" s="4">
        <f>IF(A77="","",(1/Inputs!$B$9)*(PI()*(Inputs!$F$9/1000)^2/4)*((Inputs!$F$9/1000/4)^(2/3))*SQRT(N77))</f>
        <v/>
      </c>
      <c r="AI77" s="4">
        <f>IF(A77="","",(1/Inputs!$B$9)*(PI()*(Inputs!$F$10/1000)^2/4)*((Inputs!$F$10/1000/4)^(2/3))*SQRT(N77))</f>
        <v/>
      </c>
      <c r="AJ77" s="4">
        <f>IF(A77="","",(1/Inputs!$B$9)*(PI()*(Inputs!$F$11/1000)^2/4)*((Inputs!$F$11/1000/4)^(2/3))*SQRT(N77))</f>
        <v/>
      </c>
      <c r="AK77" s="4">
        <f>IF(A77="","",(1/Inputs!$B$9)*(PI()*(Inputs!$F$12/1000)^2/4)*((Inputs!$F$12/1000/4)^(2/3))*SQRT(N77))</f>
        <v/>
      </c>
      <c r="AL77" s="4">
        <f>IF(A77="","",(1/Inputs!$B$9)*(PI()*(Inputs!$F$13/1000)^2/4)*((Inputs!$F$13/1000/4)^(2/3))*SQRT(N77))</f>
        <v/>
      </c>
      <c r="AM77" s="4">
        <f>IF(A77="","",(1/Inputs!$B$9)*(PI()*(Inputs!$F$14/1000)^2/4)*((Inputs!$F$14/1000/4)^(2/3))*SQRT(N77))</f>
        <v/>
      </c>
    </row>
    <row r="78">
      <c r="A78" s="4" t="n"/>
      <c r="B78" s="4" t="n"/>
      <c r="C78" s="8" t="n"/>
      <c r="D78" s="8" t="n"/>
      <c r="E78" s="8">
        <f>SUMIFS(CB_Tributaires!$C:$C,CB_Tributaires!$B:$B,$A78)</f>
        <v/>
      </c>
      <c r="F78" s="8">
        <f>IF(D78="",E78,D78)</f>
        <v/>
      </c>
      <c r="G78" s="4" t="n"/>
      <c r="H78" s="8" t="n"/>
      <c r="I78" s="8">
        <f>IF(A78="","",Inputs!$B$13/((IF(H78="",Inputs!$B$18,H78)+Inputs!$B$14)^Inputs!$B$15))</f>
        <v/>
      </c>
      <c r="J78" s="8">
        <f>IF(A78="","",0.00278*IF(G78="",Inputs!$B$17,G78)*F78*I78)</f>
        <v/>
      </c>
      <c r="K78" s="8">
        <f>IF(A78="","",SUMIFS($L$4:$L$203,$B$4:$B$203,$A78))</f>
        <v/>
      </c>
      <c r="L78" s="8">
        <f>IF(A78="","",(J78+K78)*Inputs!$B$16)</f>
        <v/>
      </c>
      <c r="M78" s="8" t="n"/>
      <c r="N78" s="8">
        <f>IF(A78="","",IF(M78="",Inputs!$B$7,M78))</f>
        <v/>
      </c>
      <c r="O78" s="4">
        <f>IF(A78="","",IF(L78/Inputs!$B$10&lt;=AD78,Inputs!$F$5,IF(L78/Inputs!$B$10&gt;AM78,"OVERSIZE",INDEX(Inputs!$F$5:$F$14,MATCH(L78/Inputs!$B$10,AD78:AM78,1)+1))))</f>
        <v/>
      </c>
      <c r="P78" s="4" t="n"/>
      <c r="Q78" s="4">
        <f>IF(A78="","",IF(P78="",O78,P78))</f>
        <v/>
      </c>
      <c r="R78" s="8">
        <f>IF(OR(Q78="",Q78="OVERSIZE"),"",Q78/1000)</f>
        <v/>
      </c>
      <c r="S78" s="8">
        <f>IF(R78="","",(1/Inputs!$B$9)*(PI()*R78^2/4)*((R78/4)^(2/3))*SQRT(N78))</f>
        <v/>
      </c>
      <c r="T78" s="8">
        <f>IF(OR(S78="",L78=""),"",L78/(S78*Inputs!$B$10))</f>
        <v/>
      </c>
      <c r="U78" s="8">
        <f>IF(OR(R78="",L78=""),"",4*L78/(PI()*R78^2))</f>
        <v/>
      </c>
      <c r="V78" s="8" t="n"/>
      <c r="W78" s="8">
        <f>IF(A78="","",IF(A78=Inputs!$B$6,Inputs!$B$22,IF(B78="","",IFERROR(INDEX($X$4:$X$203,MATCH(B78,$A$4:$A$203,0))+IF(V78="",Inputs!$B$20,V78),""))))</f>
        <v/>
      </c>
      <c r="X78" s="8">
        <f>IF(OR(W78="",N78="",C78=""),"",W78+N78*C78)</f>
        <v/>
      </c>
      <c r="Y78" s="8" t="n"/>
      <c r="Z78" s="8" t="n"/>
      <c r="AA78" s="8">
        <f>IF(OR(Y78="",W78=""),"",Y78-W78)</f>
        <v/>
      </c>
      <c r="AB78" s="8">
        <f>IF(OR(Z78="",X78=""),"",Z78-X78)</f>
        <v/>
      </c>
      <c r="AC78" s="4">
        <f>IF(A78="","",IF(OR(T78&gt;1,U78&lt;Inputs!$B$11,U78&gt;Inputs!$B$12,AA78&lt;Inputs!$B$19,AB78&lt;Inputs!$B$19,N78&lt;Inputs!$B$7,N78&gt;Inputs!$B$8),"CHECK","OK"))</f>
        <v/>
      </c>
      <c r="AD78" s="4">
        <f>IF(A78="","",(1/Inputs!$B$9)*(PI()*(Inputs!$F$5/1000)^2/4)*((Inputs!$F$5/1000/4)^(2/3))*SQRT(N78))</f>
        <v/>
      </c>
      <c r="AE78" s="4">
        <f>IF(A78="","",(1/Inputs!$B$9)*(PI()*(Inputs!$F$6/1000)^2/4)*((Inputs!$F$6/1000/4)^(2/3))*SQRT(N78))</f>
        <v/>
      </c>
      <c r="AF78" s="4">
        <f>IF(A78="","",(1/Inputs!$B$9)*(PI()*(Inputs!$F$7/1000)^2/4)*((Inputs!$F$7/1000/4)^(2/3))*SQRT(N78))</f>
        <v/>
      </c>
      <c r="AG78" s="4">
        <f>IF(A78="","",(1/Inputs!$B$9)*(PI()*(Inputs!$F$8/1000)^2/4)*((Inputs!$F$8/1000/4)^(2/3))*SQRT(N78))</f>
        <v/>
      </c>
      <c r="AH78" s="4">
        <f>IF(A78="","",(1/Inputs!$B$9)*(PI()*(Inputs!$F$9/1000)^2/4)*((Inputs!$F$9/1000/4)^(2/3))*SQRT(N78))</f>
        <v/>
      </c>
      <c r="AI78" s="4">
        <f>IF(A78="","",(1/Inputs!$B$9)*(PI()*(Inputs!$F$10/1000)^2/4)*((Inputs!$F$10/1000/4)^(2/3))*SQRT(N78))</f>
        <v/>
      </c>
      <c r="AJ78" s="4">
        <f>IF(A78="","",(1/Inputs!$B$9)*(PI()*(Inputs!$F$11/1000)^2/4)*((Inputs!$F$11/1000/4)^(2/3))*SQRT(N78))</f>
        <v/>
      </c>
      <c r="AK78" s="4">
        <f>IF(A78="","",(1/Inputs!$B$9)*(PI()*(Inputs!$F$12/1000)^2/4)*((Inputs!$F$12/1000/4)^(2/3))*SQRT(N78))</f>
        <v/>
      </c>
      <c r="AL78" s="4">
        <f>IF(A78="","",(1/Inputs!$B$9)*(PI()*(Inputs!$F$13/1000)^2/4)*((Inputs!$F$13/1000/4)^(2/3))*SQRT(N78))</f>
        <v/>
      </c>
      <c r="AM78" s="4">
        <f>IF(A78="","",(1/Inputs!$B$9)*(PI()*(Inputs!$F$14/1000)^2/4)*((Inputs!$F$14/1000/4)^(2/3))*SQRT(N78))</f>
        <v/>
      </c>
    </row>
    <row r="79">
      <c r="A79" s="4" t="n"/>
      <c r="B79" s="4" t="n"/>
      <c r="C79" s="8" t="n"/>
      <c r="D79" s="8" t="n"/>
      <c r="E79" s="8">
        <f>SUMIFS(CB_Tributaires!$C:$C,CB_Tributaires!$B:$B,$A79)</f>
        <v/>
      </c>
      <c r="F79" s="8">
        <f>IF(D79="",E79,D79)</f>
        <v/>
      </c>
      <c r="G79" s="4" t="n"/>
      <c r="H79" s="8" t="n"/>
      <c r="I79" s="8">
        <f>IF(A79="","",Inputs!$B$13/((IF(H79="",Inputs!$B$18,H79)+Inputs!$B$14)^Inputs!$B$15))</f>
        <v/>
      </c>
      <c r="J79" s="8">
        <f>IF(A79="","",0.00278*IF(G79="",Inputs!$B$17,G79)*F79*I79)</f>
        <v/>
      </c>
      <c r="K79" s="8">
        <f>IF(A79="","",SUMIFS($L$4:$L$203,$B$4:$B$203,$A79))</f>
        <v/>
      </c>
      <c r="L79" s="8">
        <f>IF(A79="","",(J79+K79)*Inputs!$B$16)</f>
        <v/>
      </c>
      <c r="M79" s="8" t="n"/>
      <c r="N79" s="8">
        <f>IF(A79="","",IF(M79="",Inputs!$B$7,M79))</f>
        <v/>
      </c>
      <c r="O79" s="4">
        <f>IF(A79="","",IF(L79/Inputs!$B$10&lt;=AD79,Inputs!$F$5,IF(L79/Inputs!$B$10&gt;AM79,"OVERSIZE",INDEX(Inputs!$F$5:$F$14,MATCH(L79/Inputs!$B$10,AD79:AM79,1)+1))))</f>
        <v/>
      </c>
      <c r="P79" s="4" t="n"/>
      <c r="Q79" s="4">
        <f>IF(A79="","",IF(P79="",O79,P79))</f>
        <v/>
      </c>
      <c r="R79" s="8">
        <f>IF(OR(Q79="",Q79="OVERSIZE"),"",Q79/1000)</f>
        <v/>
      </c>
      <c r="S79" s="8">
        <f>IF(R79="","",(1/Inputs!$B$9)*(PI()*R79^2/4)*((R79/4)^(2/3))*SQRT(N79))</f>
        <v/>
      </c>
      <c r="T79" s="8">
        <f>IF(OR(S79="",L79=""),"",L79/(S79*Inputs!$B$10))</f>
        <v/>
      </c>
      <c r="U79" s="8">
        <f>IF(OR(R79="",L79=""),"",4*L79/(PI()*R79^2))</f>
        <v/>
      </c>
      <c r="V79" s="8" t="n"/>
      <c r="W79" s="8">
        <f>IF(A79="","",IF(A79=Inputs!$B$6,Inputs!$B$22,IF(B79="","",IFERROR(INDEX($X$4:$X$203,MATCH(B79,$A$4:$A$203,0))+IF(V79="",Inputs!$B$20,V79),""))))</f>
        <v/>
      </c>
      <c r="X79" s="8">
        <f>IF(OR(W79="",N79="",C79=""),"",W79+N79*C79)</f>
        <v/>
      </c>
      <c r="Y79" s="8" t="n"/>
      <c r="Z79" s="8" t="n"/>
      <c r="AA79" s="8">
        <f>IF(OR(Y79="",W79=""),"",Y79-W79)</f>
        <v/>
      </c>
      <c r="AB79" s="8">
        <f>IF(OR(Z79="",X79=""),"",Z79-X79)</f>
        <v/>
      </c>
      <c r="AC79" s="4">
        <f>IF(A79="","",IF(OR(T79&gt;1,U79&lt;Inputs!$B$11,U79&gt;Inputs!$B$12,AA79&lt;Inputs!$B$19,AB79&lt;Inputs!$B$19,N79&lt;Inputs!$B$7,N79&gt;Inputs!$B$8),"CHECK","OK"))</f>
        <v/>
      </c>
      <c r="AD79" s="4">
        <f>IF(A79="","",(1/Inputs!$B$9)*(PI()*(Inputs!$F$5/1000)^2/4)*((Inputs!$F$5/1000/4)^(2/3))*SQRT(N79))</f>
        <v/>
      </c>
      <c r="AE79" s="4">
        <f>IF(A79="","",(1/Inputs!$B$9)*(PI()*(Inputs!$F$6/1000)^2/4)*((Inputs!$F$6/1000/4)^(2/3))*SQRT(N79))</f>
        <v/>
      </c>
      <c r="AF79" s="4">
        <f>IF(A79="","",(1/Inputs!$B$9)*(PI()*(Inputs!$F$7/1000)^2/4)*((Inputs!$F$7/1000/4)^(2/3))*SQRT(N79))</f>
        <v/>
      </c>
      <c r="AG79" s="4">
        <f>IF(A79="","",(1/Inputs!$B$9)*(PI()*(Inputs!$F$8/1000)^2/4)*((Inputs!$F$8/1000/4)^(2/3))*SQRT(N79))</f>
        <v/>
      </c>
      <c r="AH79" s="4">
        <f>IF(A79="","",(1/Inputs!$B$9)*(PI()*(Inputs!$F$9/1000)^2/4)*((Inputs!$F$9/1000/4)^(2/3))*SQRT(N79))</f>
        <v/>
      </c>
      <c r="AI79" s="4">
        <f>IF(A79="","",(1/Inputs!$B$9)*(PI()*(Inputs!$F$10/1000)^2/4)*((Inputs!$F$10/1000/4)^(2/3))*SQRT(N79))</f>
        <v/>
      </c>
      <c r="AJ79" s="4">
        <f>IF(A79="","",(1/Inputs!$B$9)*(PI()*(Inputs!$F$11/1000)^2/4)*((Inputs!$F$11/1000/4)^(2/3))*SQRT(N79))</f>
        <v/>
      </c>
      <c r="AK79" s="4">
        <f>IF(A79="","",(1/Inputs!$B$9)*(PI()*(Inputs!$F$12/1000)^2/4)*((Inputs!$F$12/1000/4)^(2/3))*SQRT(N79))</f>
        <v/>
      </c>
      <c r="AL79" s="4">
        <f>IF(A79="","",(1/Inputs!$B$9)*(PI()*(Inputs!$F$13/1000)^2/4)*((Inputs!$F$13/1000/4)^(2/3))*SQRT(N79))</f>
        <v/>
      </c>
      <c r="AM79" s="4">
        <f>IF(A79="","",(1/Inputs!$B$9)*(PI()*(Inputs!$F$14/1000)^2/4)*((Inputs!$F$14/1000/4)^(2/3))*SQRT(N79))</f>
        <v/>
      </c>
    </row>
    <row r="80">
      <c r="A80" s="4" t="n"/>
      <c r="B80" s="4" t="n"/>
      <c r="C80" s="8" t="n"/>
      <c r="D80" s="8" t="n"/>
      <c r="E80" s="8">
        <f>SUMIFS(CB_Tributaires!$C:$C,CB_Tributaires!$B:$B,$A80)</f>
        <v/>
      </c>
      <c r="F80" s="8">
        <f>IF(D80="",E80,D80)</f>
        <v/>
      </c>
      <c r="G80" s="4" t="n"/>
      <c r="H80" s="8" t="n"/>
      <c r="I80" s="8">
        <f>IF(A80="","",Inputs!$B$13/((IF(H80="",Inputs!$B$18,H80)+Inputs!$B$14)^Inputs!$B$15))</f>
        <v/>
      </c>
      <c r="J80" s="8">
        <f>IF(A80="","",0.00278*IF(G80="",Inputs!$B$17,G80)*F80*I80)</f>
        <v/>
      </c>
      <c r="K80" s="8">
        <f>IF(A80="","",SUMIFS($L$4:$L$203,$B$4:$B$203,$A80))</f>
        <v/>
      </c>
      <c r="L80" s="8">
        <f>IF(A80="","",(J80+K80)*Inputs!$B$16)</f>
        <v/>
      </c>
      <c r="M80" s="8" t="n"/>
      <c r="N80" s="8">
        <f>IF(A80="","",IF(M80="",Inputs!$B$7,M80))</f>
        <v/>
      </c>
      <c r="O80" s="4">
        <f>IF(A80="","",IF(L80/Inputs!$B$10&lt;=AD80,Inputs!$F$5,IF(L80/Inputs!$B$10&gt;AM80,"OVERSIZE",INDEX(Inputs!$F$5:$F$14,MATCH(L80/Inputs!$B$10,AD80:AM80,1)+1))))</f>
        <v/>
      </c>
      <c r="P80" s="4" t="n"/>
      <c r="Q80" s="4">
        <f>IF(A80="","",IF(P80="",O80,P80))</f>
        <v/>
      </c>
      <c r="R80" s="8">
        <f>IF(OR(Q80="",Q80="OVERSIZE"),"",Q80/1000)</f>
        <v/>
      </c>
      <c r="S80" s="8">
        <f>IF(R80="","",(1/Inputs!$B$9)*(PI()*R80^2/4)*((R80/4)^(2/3))*SQRT(N80))</f>
        <v/>
      </c>
      <c r="T80" s="8">
        <f>IF(OR(S80="",L80=""),"",L80/(S80*Inputs!$B$10))</f>
        <v/>
      </c>
      <c r="U80" s="8">
        <f>IF(OR(R80="",L80=""),"",4*L80/(PI()*R80^2))</f>
        <v/>
      </c>
      <c r="V80" s="8" t="n"/>
      <c r="W80" s="8">
        <f>IF(A80="","",IF(A80=Inputs!$B$6,Inputs!$B$22,IF(B80="","",IFERROR(INDEX($X$4:$X$203,MATCH(B80,$A$4:$A$203,0))+IF(V80="",Inputs!$B$20,V80),""))))</f>
        <v/>
      </c>
      <c r="X80" s="8">
        <f>IF(OR(W80="",N80="",C80=""),"",W80+N80*C80)</f>
        <v/>
      </c>
      <c r="Y80" s="8" t="n"/>
      <c r="Z80" s="8" t="n"/>
      <c r="AA80" s="8">
        <f>IF(OR(Y80="",W80=""),"",Y80-W80)</f>
        <v/>
      </c>
      <c r="AB80" s="8">
        <f>IF(OR(Z80="",X80=""),"",Z80-X80)</f>
        <v/>
      </c>
      <c r="AC80" s="4">
        <f>IF(A80="","",IF(OR(T80&gt;1,U80&lt;Inputs!$B$11,U80&gt;Inputs!$B$12,AA80&lt;Inputs!$B$19,AB80&lt;Inputs!$B$19,N80&lt;Inputs!$B$7,N80&gt;Inputs!$B$8),"CHECK","OK"))</f>
        <v/>
      </c>
      <c r="AD80" s="4">
        <f>IF(A80="","",(1/Inputs!$B$9)*(PI()*(Inputs!$F$5/1000)^2/4)*((Inputs!$F$5/1000/4)^(2/3))*SQRT(N80))</f>
        <v/>
      </c>
      <c r="AE80" s="4">
        <f>IF(A80="","",(1/Inputs!$B$9)*(PI()*(Inputs!$F$6/1000)^2/4)*((Inputs!$F$6/1000/4)^(2/3))*SQRT(N80))</f>
        <v/>
      </c>
      <c r="AF80" s="4">
        <f>IF(A80="","",(1/Inputs!$B$9)*(PI()*(Inputs!$F$7/1000)^2/4)*((Inputs!$F$7/1000/4)^(2/3))*SQRT(N80))</f>
        <v/>
      </c>
      <c r="AG80" s="4">
        <f>IF(A80="","",(1/Inputs!$B$9)*(PI()*(Inputs!$F$8/1000)^2/4)*((Inputs!$F$8/1000/4)^(2/3))*SQRT(N80))</f>
        <v/>
      </c>
      <c r="AH80" s="4">
        <f>IF(A80="","",(1/Inputs!$B$9)*(PI()*(Inputs!$F$9/1000)^2/4)*((Inputs!$F$9/1000/4)^(2/3))*SQRT(N80))</f>
        <v/>
      </c>
      <c r="AI80" s="4">
        <f>IF(A80="","",(1/Inputs!$B$9)*(PI()*(Inputs!$F$10/1000)^2/4)*((Inputs!$F$10/1000/4)^(2/3))*SQRT(N80))</f>
        <v/>
      </c>
      <c r="AJ80" s="4">
        <f>IF(A80="","",(1/Inputs!$B$9)*(PI()*(Inputs!$F$11/1000)^2/4)*((Inputs!$F$11/1000/4)^(2/3))*SQRT(N80))</f>
        <v/>
      </c>
      <c r="AK80" s="4">
        <f>IF(A80="","",(1/Inputs!$B$9)*(PI()*(Inputs!$F$12/1000)^2/4)*((Inputs!$F$12/1000/4)^(2/3))*SQRT(N80))</f>
        <v/>
      </c>
      <c r="AL80" s="4">
        <f>IF(A80="","",(1/Inputs!$B$9)*(PI()*(Inputs!$F$13/1000)^2/4)*((Inputs!$F$13/1000/4)^(2/3))*SQRT(N80))</f>
        <v/>
      </c>
      <c r="AM80" s="4">
        <f>IF(A80="","",(1/Inputs!$B$9)*(PI()*(Inputs!$F$14/1000)^2/4)*((Inputs!$F$14/1000/4)^(2/3))*SQRT(N80))</f>
        <v/>
      </c>
    </row>
    <row r="81">
      <c r="A81" s="4" t="n"/>
      <c r="B81" s="4" t="n"/>
      <c r="C81" s="8" t="n"/>
      <c r="D81" s="8" t="n"/>
      <c r="E81" s="8">
        <f>SUMIFS(CB_Tributaires!$C:$C,CB_Tributaires!$B:$B,$A81)</f>
        <v/>
      </c>
      <c r="F81" s="8">
        <f>IF(D81="",E81,D81)</f>
        <v/>
      </c>
      <c r="G81" s="4" t="n"/>
      <c r="H81" s="8" t="n"/>
      <c r="I81" s="8">
        <f>IF(A81="","",Inputs!$B$13/((IF(H81="",Inputs!$B$18,H81)+Inputs!$B$14)^Inputs!$B$15))</f>
        <v/>
      </c>
      <c r="J81" s="8">
        <f>IF(A81="","",0.00278*IF(G81="",Inputs!$B$17,G81)*F81*I81)</f>
        <v/>
      </c>
      <c r="K81" s="8">
        <f>IF(A81="","",SUMIFS($L$4:$L$203,$B$4:$B$203,$A81))</f>
        <v/>
      </c>
      <c r="L81" s="8">
        <f>IF(A81="","",(J81+K81)*Inputs!$B$16)</f>
        <v/>
      </c>
      <c r="M81" s="8" t="n"/>
      <c r="N81" s="8">
        <f>IF(A81="","",IF(M81="",Inputs!$B$7,M81))</f>
        <v/>
      </c>
      <c r="O81" s="4">
        <f>IF(A81="","",IF(L81/Inputs!$B$10&lt;=AD81,Inputs!$F$5,IF(L81/Inputs!$B$10&gt;AM81,"OVERSIZE",INDEX(Inputs!$F$5:$F$14,MATCH(L81/Inputs!$B$10,AD81:AM81,1)+1))))</f>
        <v/>
      </c>
      <c r="P81" s="4" t="n"/>
      <c r="Q81" s="4">
        <f>IF(A81="","",IF(P81="",O81,P81))</f>
        <v/>
      </c>
      <c r="R81" s="8">
        <f>IF(OR(Q81="",Q81="OVERSIZE"),"",Q81/1000)</f>
        <v/>
      </c>
      <c r="S81" s="8">
        <f>IF(R81="","",(1/Inputs!$B$9)*(PI()*R81^2/4)*((R81/4)^(2/3))*SQRT(N81))</f>
        <v/>
      </c>
      <c r="T81" s="8">
        <f>IF(OR(S81="",L81=""),"",L81/(S81*Inputs!$B$10))</f>
        <v/>
      </c>
      <c r="U81" s="8">
        <f>IF(OR(R81="",L81=""),"",4*L81/(PI()*R81^2))</f>
        <v/>
      </c>
      <c r="V81" s="8" t="n"/>
      <c r="W81" s="8">
        <f>IF(A81="","",IF(A81=Inputs!$B$6,Inputs!$B$22,IF(B81="","",IFERROR(INDEX($X$4:$X$203,MATCH(B81,$A$4:$A$203,0))+IF(V81="",Inputs!$B$20,V81),""))))</f>
        <v/>
      </c>
      <c r="X81" s="8">
        <f>IF(OR(W81="",N81="",C81=""),"",W81+N81*C81)</f>
        <v/>
      </c>
      <c r="Y81" s="8" t="n"/>
      <c r="Z81" s="8" t="n"/>
      <c r="AA81" s="8">
        <f>IF(OR(Y81="",W81=""),"",Y81-W81)</f>
        <v/>
      </c>
      <c r="AB81" s="8">
        <f>IF(OR(Z81="",X81=""),"",Z81-X81)</f>
        <v/>
      </c>
      <c r="AC81" s="4">
        <f>IF(A81="","",IF(OR(T81&gt;1,U81&lt;Inputs!$B$11,U81&gt;Inputs!$B$12,AA81&lt;Inputs!$B$19,AB81&lt;Inputs!$B$19,N81&lt;Inputs!$B$7,N81&gt;Inputs!$B$8),"CHECK","OK"))</f>
        <v/>
      </c>
      <c r="AD81" s="4">
        <f>IF(A81="","",(1/Inputs!$B$9)*(PI()*(Inputs!$F$5/1000)^2/4)*((Inputs!$F$5/1000/4)^(2/3))*SQRT(N81))</f>
        <v/>
      </c>
      <c r="AE81" s="4">
        <f>IF(A81="","",(1/Inputs!$B$9)*(PI()*(Inputs!$F$6/1000)^2/4)*((Inputs!$F$6/1000/4)^(2/3))*SQRT(N81))</f>
        <v/>
      </c>
      <c r="AF81" s="4">
        <f>IF(A81="","",(1/Inputs!$B$9)*(PI()*(Inputs!$F$7/1000)^2/4)*((Inputs!$F$7/1000/4)^(2/3))*SQRT(N81))</f>
        <v/>
      </c>
      <c r="AG81" s="4">
        <f>IF(A81="","",(1/Inputs!$B$9)*(PI()*(Inputs!$F$8/1000)^2/4)*((Inputs!$F$8/1000/4)^(2/3))*SQRT(N81))</f>
        <v/>
      </c>
      <c r="AH81" s="4">
        <f>IF(A81="","",(1/Inputs!$B$9)*(PI()*(Inputs!$F$9/1000)^2/4)*((Inputs!$F$9/1000/4)^(2/3))*SQRT(N81))</f>
        <v/>
      </c>
      <c r="AI81" s="4">
        <f>IF(A81="","",(1/Inputs!$B$9)*(PI()*(Inputs!$F$10/1000)^2/4)*((Inputs!$F$10/1000/4)^(2/3))*SQRT(N81))</f>
        <v/>
      </c>
      <c r="AJ81" s="4">
        <f>IF(A81="","",(1/Inputs!$B$9)*(PI()*(Inputs!$F$11/1000)^2/4)*((Inputs!$F$11/1000/4)^(2/3))*SQRT(N81))</f>
        <v/>
      </c>
      <c r="AK81" s="4">
        <f>IF(A81="","",(1/Inputs!$B$9)*(PI()*(Inputs!$F$12/1000)^2/4)*((Inputs!$F$12/1000/4)^(2/3))*SQRT(N81))</f>
        <v/>
      </c>
      <c r="AL81" s="4">
        <f>IF(A81="","",(1/Inputs!$B$9)*(PI()*(Inputs!$F$13/1000)^2/4)*((Inputs!$F$13/1000/4)^(2/3))*SQRT(N81))</f>
        <v/>
      </c>
      <c r="AM81" s="4">
        <f>IF(A81="","",(1/Inputs!$B$9)*(PI()*(Inputs!$F$14/1000)^2/4)*((Inputs!$F$14/1000/4)^(2/3))*SQRT(N81))</f>
        <v/>
      </c>
    </row>
    <row r="82">
      <c r="A82" s="4" t="n"/>
      <c r="B82" s="4" t="n"/>
      <c r="C82" s="8" t="n"/>
      <c r="D82" s="8" t="n"/>
      <c r="E82" s="8">
        <f>SUMIFS(CB_Tributaires!$C:$C,CB_Tributaires!$B:$B,$A82)</f>
        <v/>
      </c>
      <c r="F82" s="8">
        <f>IF(D82="",E82,D82)</f>
        <v/>
      </c>
      <c r="G82" s="4" t="n"/>
      <c r="H82" s="8" t="n"/>
      <c r="I82" s="8">
        <f>IF(A82="","",Inputs!$B$13/((IF(H82="",Inputs!$B$18,H82)+Inputs!$B$14)^Inputs!$B$15))</f>
        <v/>
      </c>
      <c r="J82" s="8">
        <f>IF(A82="","",0.00278*IF(G82="",Inputs!$B$17,G82)*F82*I82)</f>
        <v/>
      </c>
      <c r="K82" s="8">
        <f>IF(A82="","",SUMIFS($L$4:$L$203,$B$4:$B$203,$A82))</f>
        <v/>
      </c>
      <c r="L82" s="8">
        <f>IF(A82="","",(J82+K82)*Inputs!$B$16)</f>
        <v/>
      </c>
      <c r="M82" s="8" t="n"/>
      <c r="N82" s="8">
        <f>IF(A82="","",IF(M82="",Inputs!$B$7,M82))</f>
        <v/>
      </c>
      <c r="O82" s="4">
        <f>IF(A82="","",IF(L82/Inputs!$B$10&lt;=AD82,Inputs!$F$5,IF(L82/Inputs!$B$10&gt;AM82,"OVERSIZE",INDEX(Inputs!$F$5:$F$14,MATCH(L82/Inputs!$B$10,AD82:AM82,1)+1))))</f>
        <v/>
      </c>
      <c r="P82" s="4" t="n"/>
      <c r="Q82" s="4">
        <f>IF(A82="","",IF(P82="",O82,P82))</f>
        <v/>
      </c>
      <c r="R82" s="8">
        <f>IF(OR(Q82="",Q82="OVERSIZE"),"",Q82/1000)</f>
        <v/>
      </c>
      <c r="S82" s="8">
        <f>IF(R82="","",(1/Inputs!$B$9)*(PI()*R82^2/4)*((R82/4)^(2/3))*SQRT(N82))</f>
        <v/>
      </c>
      <c r="T82" s="8">
        <f>IF(OR(S82="",L82=""),"",L82/(S82*Inputs!$B$10))</f>
        <v/>
      </c>
      <c r="U82" s="8">
        <f>IF(OR(R82="",L82=""),"",4*L82/(PI()*R82^2))</f>
        <v/>
      </c>
      <c r="V82" s="8" t="n"/>
      <c r="W82" s="8">
        <f>IF(A82="","",IF(A82=Inputs!$B$6,Inputs!$B$22,IF(B82="","",IFERROR(INDEX($X$4:$X$203,MATCH(B82,$A$4:$A$203,0))+IF(V82="",Inputs!$B$20,V82),""))))</f>
        <v/>
      </c>
      <c r="X82" s="8">
        <f>IF(OR(W82="",N82="",C82=""),"",W82+N82*C82)</f>
        <v/>
      </c>
      <c r="Y82" s="8" t="n"/>
      <c r="Z82" s="8" t="n"/>
      <c r="AA82" s="8">
        <f>IF(OR(Y82="",W82=""),"",Y82-W82)</f>
        <v/>
      </c>
      <c r="AB82" s="8">
        <f>IF(OR(Z82="",X82=""),"",Z82-X82)</f>
        <v/>
      </c>
      <c r="AC82" s="4">
        <f>IF(A82="","",IF(OR(T82&gt;1,U82&lt;Inputs!$B$11,U82&gt;Inputs!$B$12,AA82&lt;Inputs!$B$19,AB82&lt;Inputs!$B$19,N82&lt;Inputs!$B$7,N82&gt;Inputs!$B$8),"CHECK","OK"))</f>
        <v/>
      </c>
      <c r="AD82" s="4">
        <f>IF(A82="","",(1/Inputs!$B$9)*(PI()*(Inputs!$F$5/1000)^2/4)*((Inputs!$F$5/1000/4)^(2/3))*SQRT(N82))</f>
        <v/>
      </c>
      <c r="AE82" s="4">
        <f>IF(A82="","",(1/Inputs!$B$9)*(PI()*(Inputs!$F$6/1000)^2/4)*((Inputs!$F$6/1000/4)^(2/3))*SQRT(N82))</f>
        <v/>
      </c>
      <c r="AF82" s="4">
        <f>IF(A82="","",(1/Inputs!$B$9)*(PI()*(Inputs!$F$7/1000)^2/4)*((Inputs!$F$7/1000/4)^(2/3))*SQRT(N82))</f>
        <v/>
      </c>
      <c r="AG82" s="4">
        <f>IF(A82="","",(1/Inputs!$B$9)*(PI()*(Inputs!$F$8/1000)^2/4)*((Inputs!$F$8/1000/4)^(2/3))*SQRT(N82))</f>
        <v/>
      </c>
      <c r="AH82" s="4">
        <f>IF(A82="","",(1/Inputs!$B$9)*(PI()*(Inputs!$F$9/1000)^2/4)*((Inputs!$F$9/1000/4)^(2/3))*SQRT(N82))</f>
        <v/>
      </c>
      <c r="AI82" s="4">
        <f>IF(A82="","",(1/Inputs!$B$9)*(PI()*(Inputs!$F$10/1000)^2/4)*((Inputs!$F$10/1000/4)^(2/3))*SQRT(N82))</f>
        <v/>
      </c>
      <c r="AJ82" s="4">
        <f>IF(A82="","",(1/Inputs!$B$9)*(PI()*(Inputs!$F$11/1000)^2/4)*((Inputs!$F$11/1000/4)^(2/3))*SQRT(N82))</f>
        <v/>
      </c>
      <c r="AK82" s="4">
        <f>IF(A82="","",(1/Inputs!$B$9)*(PI()*(Inputs!$F$12/1000)^2/4)*((Inputs!$F$12/1000/4)^(2/3))*SQRT(N82))</f>
        <v/>
      </c>
      <c r="AL82" s="4">
        <f>IF(A82="","",(1/Inputs!$B$9)*(PI()*(Inputs!$F$13/1000)^2/4)*((Inputs!$F$13/1000/4)^(2/3))*SQRT(N82))</f>
        <v/>
      </c>
      <c r="AM82" s="4">
        <f>IF(A82="","",(1/Inputs!$B$9)*(PI()*(Inputs!$F$14/1000)^2/4)*((Inputs!$F$14/1000/4)^(2/3))*SQRT(N82))</f>
        <v/>
      </c>
    </row>
    <row r="83">
      <c r="A83" s="4" t="n"/>
      <c r="B83" s="4" t="n"/>
      <c r="C83" s="8" t="n"/>
      <c r="D83" s="8" t="n"/>
      <c r="E83" s="8">
        <f>SUMIFS(CB_Tributaires!$C:$C,CB_Tributaires!$B:$B,$A83)</f>
        <v/>
      </c>
      <c r="F83" s="8">
        <f>IF(D83="",E83,D83)</f>
        <v/>
      </c>
      <c r="G83" s="4" t="n"/>
      <c r="H83" s="8" t="n"/>
      <c r="I83" s="8">
        <f>IF(A83="","",Inputs!$B$13/((IF(H83="",Inputs!$B$18,H83)+Inputs!$B$14)^Inputs!$B$15))</f>
        <v/>
      </c>
      <c r="J83" s="8">
        <f>IF(A83="","",0.00278*IF(G83="",Inputs!$B$17,G83)*F83*I83)</f>
        <v/>
      </c>
      <c r="K83" s="8">
        <f>IF(A83="","",SUMIFS($L$4:$L$203,$B$4:$B$203,$A83))</f>
        <v/>
      </c>
      <c r="L83" s="8">
        <f>IF(A83="","",(J83+K83)*Inputs!$B$16)</f>
        <v/>
      </c>
      <c r="M83" s="8" t="n"/>
      <c r="N83" s="8">
        <f>IF(A83="","",IF(M83="",Inputs!$B$7,M83))</f>
        <v/>
      </c>
      <c r="O83" s="4">
        <f>IF(A83="","",IF(L83/Inputs!$B$10&lt;=AD83,Inputs!$F$5,IF(L83/Inputs!$B$10&gt;AM83,"OVERSIZE",INDEX(Inputs!$F$5:$F$14,MATCH(L83/Inputs!$B$10,AD83:AM83,1)+1))))</f>
        <v/>
      </c>
      <c r="P83" s="4" t="n"/>
      <c r="Q83" s="4">
        <f>IF(A83="","",IF(P83="",O83,P83))</f>
        <v/>
      </c>
      <c r="R83" s="8">
        <f>IF(OR(Q83="",Q83="OVERSIZE"),"",Q83/1000)</f>
        <v/>
      </c>
      <c r="S83" s="8">
        <f>IF(R83="","",(1/Inputs!$B$9)*(PI()*R83^2/4)*((R83/4)^(2/3))*SQRT(N83))</f>
        <v/>
      </c>
      <c r="T83" s="8">
        <f>IF(OR(S83="",L83=""),"",L83/(S83*Inputs!$B$10))</f>
        <v/>
      </c>
      <c r="U83" s="8">
        <f>IF(OR(R83="",L83=""),"",4*L83/(PI()*R83^2))</f>
        <v/>
      </c>
      <c r="V83" s="8" t="n"/>
      <c r="W83" s="8">
        <f>IF(A83="","",IF(A83=Inputs!$B$6,Inputs!$B$22,IF(B83="","",IFERROR(INDEX($X$4:$X$203,MATCH(B83,$A$4:$A$203,0))+IF(V83="",Inputs!$B$20,V83),""))))</f>
        <v/>
      </c>
      <c r="X83" s="8">
        <f>IF(OR(W83="",N83="",C83=""),"",W83+N83*C83)</f>
        <v/>
      </c>
      <c r="Y83" s="8" t="n"/>
      <c r="Z83" s="8" t="n"/>
      <c r="AA83" s="8">
        <f>IF(OR(Y83="",W83=""),"",Y83-W83)</f>
        <v/>
      </c>
      <c r="AB83" s="8">
        <f>IF(OR(Z83="",X83=""),"",Z83-X83)</f>
        <v/>
      </c>
      <c r="AC83" s="4">
        <f>IF(A83="","",IF(OR(T83&gt;1,U83&lt;Inputs!$B$11,U83&gt;Inputs!$B$12,AA83&lt;Inputs!$B$19,AB83&lt;Inputs!$B$19,N83&lt;Inputs!$B$7,N83&gt;Inputs!$B$8),"CHECK","OK"))</f>
        <v/>
      </c>
      <c r="AD83" s="4">
        <f>IF(A83="","",(1/Inputs!$B$9)*(PI()*(Inputs!$F$5/1000)^2/4)*((Inputs!$F$5/1000/4)^(2/3))*SQRT(N83))</f>
        <v/>
      </c>
      <c r="AE83" s="4">
        <f>IF(A83="","",(1/Inputs!$B$9)*(PI()*(Inputs!$F$6/1000)^2/4)*((Inputs!$F$6/1000/4)^(2/3))*SQRT(N83))</f>
        <v/>
      </c>
      <c r="AF83" s="4">
        <f>IF(A83="","",(1/Inputs!$B$9)*(PI()*(Inputs!$F$7/1000)^2/4)*((Inputs!$F$7/1000/4)^(2/3))*SQRT(N83))</f>
        <v/>
      </c>
      <c r="AG83" s="4">
        <f>IF(A83="","",(1/Inputs!$B$9)*(PI()*(Inputs!$F$8/1000)^2/4)*((Inputs!$F$8/1000/4)^(2/3))*SQRT(N83))</f>
        <v/>
      </c>
      <c r="AH83" s="4">
        <f>IF(A83="","",(1/Inputs!$B$9)*(PI()*(Inputs!$F$9/1000)^2/4)*((Inputs!$F$9/1000/4)^(2/3))*SQRT(N83))</f>
        <v/>
      </c>
      <c r="AI83" s="4">
        <f>IF(A83="","",(1/Inputs!$B$9)*(PI()*(Inputs!$F$10/1000)^2/4)*((Inputs!$F$10/1000/4)^(2/3))*SQRT(N83))</f>
        <v/>
      </c>
      <c r="AJ83" s="4">
        <f>IF(A83="","",(1/Inputs!$B$9)*(PI()*(Inputs!$F$11/1000)^2/4)*((Inputs!$F$11/1000/4)^(2/3))*SQRT(N83))</f>
        <v/>
      </c>
      <c r="AK83" s="4">
        <f>IF(A83="","",(1/Inputs!$B$9)*(PI()*(Inputs!$F$12/1000)^2/4)*((Inputs!$F$12/1000/4)^(2/3))*SQRT(N83))</f>
        <v/>
      </c>
      <c r="AL83" s="4">
        <f>IF(A83="","",(1/Inputs!$B$9)*(PI()*(Inputs!$F$13/1000)^2/4)*((Inputs!$F$13/1000/4)^(2/3))*SQRT(N83))</f>
        <v/>
      </c>
      <c r="AM83" s="4">
        <f>IF(A83="","",(1/Inputs!$B$9)*(PI()*(Inputs!$F$14/1000)^2/4)*((Inputs!$F$14/1000/4)^(2/3))*SQRT(N83))</f>
        <v/>
      </c>
    </row>
    <row r="84">
      <c r="A84" s="4" t="n"/>
      <c r="B84" s="4" t="n"/>
      <c r="C84" s="8" t="n"/>
      <c r="D84" s="8" t="n"/>
      <c r="E84" s="8">
        <f>SUMIFS(CB_Tributaires!$C:$C,CB_Tributaires!$B:$B,$A84)</f>
        <v/>
      </c>
      <c r="F84" s="8">
        <f>IF(D84="",E84,D84)</f>
        <v/>
      </c>
      <c r="G84" s="4" t="n"/>
      <c r="H84" s="8" t="n"/>
      <c r="I84" s="8">
        <f>IF(A84="","",Inputs!$B$13/((IF(H84="",Inputs!$B$18,H84)+Inputs!$B$14)^Inputs!$B$15))</f>
        <v/>
      </c>
      <c r="J84" s="8">
        <f>IF(A84="","",0.00278*IF(G84="",Inputs!$B$17,G84)*F84*I84)</f>
        <v/>
      </c>
      <c r="K84" s="8">
        <f>IF(A84="","",SUMIFS($L$4:$L$203,$B$4:$B$203,$A84))</f>
        <v/>
      </c>
      <c r="L84" s="8">
        <f>IF(A84="","",(J84+K84)*Inputs!$B$16)</f>
        <v/>
      </c>
      <c r="M84" s="8" t="n"/>
      <c r="N84" s="8">
        <f>IF(A84="","",IF(M84="",Inputs!$B$7,M84))</f>
        <v/>
      </c>
      <c r="O84" s="4">
        <f>IF(A84="","",IF(L84/Inputs!$B$10&lt;=AD84,Inputs!$F$5,IF(L84/Inputs!$B$10&gt;AM84,"OVERSIZE",INDEX(Inputs!$F$5:$F$14,MATCH(L84/Inputs!$B$10,AD84:AM84,1)+1))))</f>
        <v/>
      </c>
      <c r="P84" s="4" t="n"/>
      <c r="Q84" s="4">
        <f>IF(A84="","",IF(P84="",O84,P84))</f>
        <v/>
      </c>
      <c r="R84" s="8">
        <f>IF(OR(Q84="",Q84="OVERSIZE"),"",Q84/1000)</f>
        <v/>
      </c>
      <c r="S84" s="8">
        <f>IF(R84="","",(1/Inputs!$B$9)*(PI()*R84^2/4)*((R84/4)^(2/3))*SQRT(N84))</f>
        <v/>
      </c>
      <c r="T84" s="8">
        <f>IF(OR(S84="",L84=""),"",L84/(S84*Inputs!$B$10))</f>
        <v/>
      </c>
      <c r="U84" s="8">
        <f>IF(OR(R84="",L84=""),"",4*L84/(PI()*R84^2))</f>
        <v/>
      </c>
      <c r="V84" s="8" t="n"/>
      <c r="W84" s="8">
        <f>IF(A84="","",IF(A84=Inputs!$B$6,Inputs!$B$22,IF(B84="","",IFERROR(INDEX($X$4:$X$203,MATCH(B84,$A$4:$A$203,0))+IF(V84="",Inputs!$B$20,V84),""))))</f>
        <v/>
      </c>
      <c r="X84" s="8">
        <f>IF(OR(W84="",N84="",C84=""),"",W84+N84*C84)</f>
        <v/>
      </c>
      <c r="Y84" s="8" t="n"/>
      <c r="Z84" s="8" t="n"/>
      <c r="AA84" s="8">
        <f>IF(OR(Y84="",W84=""),"",Y84-W84)</f>
        <v/>
      </c>
      <c r="AB84" s="8">
        <f>IF(OR(Z84="",X84=""),"",Z84-X84)</f>
        <v/>
      </c>
      <c r="AC84" s="4">
        <f>IF(A84="","",IF(OR(T84&gt;1,U84&lt;Inputs!$B$11,U84&gt;Inputs!$B$12,AA84&lt;Inputs!$B$19,AB84&lt;Inputs!$B$19,N84&lt;Inputs!$B$7,N84&gt;Inputs!$B$8),"CHECK","OK"))</f>
        <v/>
      </c>
      <c r="AD84" s="4">
        <f>IF(A84="","",(1/Inputs!$B$9)*(PI()*(Inputs!$F$5/1000)^2/4)*((Inputs!$F$5/1000/4)^(2/3))*SQRT(N84))</f>
        <v/>
      </c>
      <c r="AE84" s="4">
        <f>IF(A84="","",(1/Inputs!$B$9)*(PI()*(Inputs!$F$6/1000)^2/4)*((Inputs!$F$6/1000/4)^(2/3))*SQRT(N84))</f>
        <v/>
      </c>
      <c r="AF84" s="4">
        <f>IF(A84="","",(1/Inputs!$B$9)*(PI()*(Inputs!$F$7/1000)^2/4)*((Inputs!$F$7/1000/4)^(2/3))*SQRT(N84))</f>
        <v/>
      </c>
      <c r="AG84" s="4">
        <f>IF(A84="","",(1/Inputs!$B$9)*(PI()*(Inputs!$F$8/1000)^2/4)*((Inputs!$F$8/1000/4)^(2/3))*SQRT(N84))</f>
        <v/>
      </c>
      <c r="AH84" s="4">
        <f>IF(A84="","",(1/Inputs!$B$9)*(PI()*(Inputs!$F$9/1000)^2/4)*((Inputs!$F$9/1000/4)^(2/3))*SQRT(N84))</f>
        <v/>
      </c>
      <c r="AI84" s="4">
        <f>IF(A84="","",(1/Inputs!$B$9)*(PI()*(Inputs!$F$10/1000)^2/4)*((Inputs!$F$10/1000/4)^(2/3))*SQRT(N84))</f>
        <v/>
      </c>
      <c r="AJ84" s="4">
        <f>IF(A84="","",(1/Inputs!$B$9)*(PI()*(Inputs!$F$11/1000)^2/4)*((Inputs!$F$11/1000/4)^(2/3))*SQRT(N84))</f>
        <v/>
      </c>
      <c r="AK84" s="4">
        <f>IF(A84="","",(1/Inputs!$B$9)*(PI()*(Inputs!$F$12/1000)^2/4)*((Inputs!$F$12/1000/4)^(2/3))*SQRT(N84))</f>
        <v/>
      </c>
      <c r="AL84" s="4">
        <f>IF(A84="","",(1/Inputs!$B$9)*(PI()*(Inputs!$F$13/1000)^2/4)*((Inputs!$F$13/1000/4)^(2/3))*SQRT(N84))</f>
        <v/>
      </c>
      <c r="AM84" s="4">
        <f>IF(A84="","",(1/Inputs!$B$9)*(PI()*(Inputs!$F$14/1000)^2/4)*((Inputs!$F$14/1000/4)^(2/3))*SQRT(N84))</f>
        <v/>
      </c>
    </row>
    <row r="85">
      <c r="A85" s="4" t="n"/>
      <c r="B85" s="4" t="n"/>
      <c r="C85" s="8" t="n"/>
      <c r="D85" s="8" t="n"/>
      <c r="E85" s="8">
        <f>SUMIFS(CB_Tributaires!$C:$C,CB_Tributaires!$B:$B,$A85)</f>
        <v/>
      </c>
      <c r="F85" s="8">
        <f>IF(D85="",E85,D85)</f>
        <v/>
      </c>
      <c r="G85" s="4" t="n"/>
      <c r="H85" s="8" t="n"/>
      <c r="I85" s="8">
        <f>IF(A85="","",Inputs!$B$13/((IF(H85="",Inputs!$B$18,H85)+Inputs!$B$14)^Inputs!$B$15))</f>
        <v/>
      </c>
      <c r="J85" s="8">
        <f>IF(A85="","",0.00278*IF(G85="",Inputs!$B$17,G85)*F85*I85)</f>
        <v/>
      </c>
      <c r="K85" s="8">
        <f>IF(A85="","",SUMIFS($L$4:$L$203,$B$4:$B$203,$A85))</f>
        <v/>
      </c>
      <c r="L85" s="8">
        <f>IF(A85="","",(J85+K85)*Inputs!$B$16)</f>
        <v/>
      </c>
      <c r="M85" s="8" t="n"/>
      <c r="N85" s="8">
        <f>IF(A85="","",IF(M85="",Inputs!$B$7,M85))</f>
        <v/>
      </c>
      <c r="O85" s="4">
        <f>IF(A85="","",IF(L85/Inputs!$B$10&lt;=AD85,Inputs!$F$5,IF(L85/Inputs!$B$10&gt;AM85,"OVERSIZE",INDEX(Inputs!$F$5:$F$14,MATCH(L85/Inputs!$B$10,AD85:AM85,1)+1))))</f>
        <v/>
      </c>
      <c r="P85" s="4" t="n"/>
      <c r="Q85" s="4">
        <f>IF(A85="","",IF(P85="",O85,P85))</f>
        <v/>
      </c>
      <c r="R85" s="8">
        <f>IF(OR(Q85="",Q85="OVERSIZE"),"",Q85/1000)</f>
        <v/>
      </c>
      <c r="S85" s="8">
        <f>IF(R85="","",(1/Inputs!$B$9)*(PI()*R85^2/4)*((R85/4)^(2/3))*SQRT(N85))</f>
        <v/>
      </c>
      <c r="T85" s="8">
        <f>IF(OR(S85="",L85=""),"",L85/(S85*Inputs!$B$10))</f>
        <v/>
      </c>
      <c r="U85" s="8">
        <f>IF(OR(R85="",L85=""),"",4*L85/(PI()*R85^2))</f>
        <v/>
      </c>
      <c r="V85" s="8" t="n"/>
      <c r="W85" s="8">
        <f>IF(A85="","",IF(A85=Inputs!$B$6,Inputs!$B$22,IF(B85="","",IFERROR(INDEX($X$4:$X$203,MATCH(B85,$A$4:$A$203,0))+IF(V85="",Inputs!$B$20,V85),""))))</f>
        <v/>
      </c>
      <c r="X85" s="8">
        <f>IF(OR(W85="",N85="",C85=""),"",W85+N85*C85)</f>
        <v/>
      </c>
      <c r="Y85" s="8" t="n"/>
      <c r="Z85" s="8" t="n"/>
      <c r="AA85" s="8">
        <f>IF(OR(Y85="",W85=""),"",Y85-W85)</f>
        <v/>
      </c>
      <c r="AB85" s="8">
        <f>IF(OR(Z85="",X85=""),"",Z85-X85)</f>
        <v/>
      </c>
      <c r="AC85" s="4">
        <f>IF(A85="","",IF(OR(T85&gt;1,U85&lt;Inputs!$B$11,U85&gt;Inputs!$B$12,AA85&lt;Inputs!$B$19,AB85&lt;Inputs!$B$19,N85&lt;Inputs!$B$7,N85&gt;Inputs!$B$8),"CHECK","OK"))</f>
        <v/>
      </c>
      <c r="AD85" s="4">
        <f>IF(A85="","",(1/Inputs!$B$9)*(PI()*(Inputs!$F$5/1000)^2/4)*((Inputs!$F$5/1000/4)^(2/3))*SQRT(N85))</f>
        <v/>
      </c>
      <c r="AE85" s="4">
        <f>IF(A85="","",(1/Inputs!$B$9)*(PI()*(Inputs!$F$6/1000)^2/4)*((Inputs!$F$6/1000/4)^(2/3))*SQRT(N85))</f>
        <v/>
      </c>
      <c r="AF85" s="4">
        <f>IF(A85="","",(1/Inputs!$B$9)*(PI()*(Inputs!$F$7/1000)^2/4)*((Inputs!$F$7/1000/4)^(2/3))*SQRT(N85))</f>
        <v/>
      </c>
      <c r="AG85" s="4">
        <f>IF(A85="","",(1/Inputs!$B$9)*(PI()*(Inputs!$F$8/1000)^2/4)*((Inputs!$F$8/1000/4)^(2/3))*SQRT(N85))</f>
        <v/>
      </c>
      <c r="AH85" s="4">
        <f>IF(A85="","",(1/Inputs!$B$9)*(PI()*(Inputs!$F$9/1000)^2/4)*((Inputs!$F$9/1000/4)^(2/3))*SQRT(N85))</f>
        <v/>
      </c>
      <c r="AI85" s="4">
        <f>IF(A85="","",(1/Inputs!$B$9)*(PI()*(Inputs!$F$10/1000)^2/4)*((Inputs!$F$10/1000/4)^(2/3))*SQRT(N85))</f>
        <v/>
      </c>
      <c r="AJ85" s="4">
        <f>IF(A85="","",(1/Inputs!$B$9)*(PI()*(Inputs!$F$11/1000)^2/4)*((Inputs!$F$11/1000/4)^(2/3))*SQRT(N85))</f>
        <v/>
      </c>
      <c r="AK85" s="4">
        <f>IF(A85="","",(1/Inputs!$B$9)*(PI()*(Inputs!$F$12/1000)^2/4)*((Inputs!$F$12/1000/4)^(2/3))*SQRT(N85))</f>
        <v/>
      </c>
      <c r="AL85" s="4">
        <f>IF(A85="","",(1/Inputs!$B$9)*(PI()*(Inputs!$F$13/1000)^2/4)*((Inputs!$F$13/1000/4)^(2/3))*SQRT(N85))</f>
        <v/>
      </c>
      <c r="AM85" s="4">
        <f>IF(A85="","",(1/Inputs!$B$9)*(PI()*(Inputs!$F$14/1000)^2/4)*((Inputs!$F$14/1000/4)^(2/3))*SQRT(N85))</f>
        <v/>
      </c>
    </row>
    <row r="86">
      <c r="A86" s="4" t="n"/>
      <c r="B86" s="4" t="n"/>
      <c r="C86" s="8" t="n"/>
      <c r="D86" s="8" t="n"/>
      <c r="E86" s="8">
        <f>SUMIFS(CB_Tributaires!$C:$C,CB_Tributaires!$B:$B,$A86)</f>
        <v/>
      </c>
      <c r="F86" s="8">
        <f>IF(D86="",E86,D86)</f>
        <v/>
      </c>
      <c r="G86" s="4" t="n"/>
      <c r="H86" s="8" t="n"/>
      <c r="I86" s="8">
        <f>IF(A86="","",Inputs!$B$13/((IF(H86="",Inputs!$B$18,H86)+Inputs!$B$14)^Inputs!$B$15))</f>
        <v/>
      </c>
      <c r="J86" s="8">
        <f>IF(A86="","",0.00278*IF(G86="",Inputs!$B$17,G86)*F86*I86)</f>
        <v/>
      </c>
      <c r="K86" s="8">
        <f>IF(A86="","",SUMIFS($L$4:$L$203,$B$4:$B$203,$A86))</f>
        <v/>
      </c>
      <c r="L86" s="8">
        <f>IF(A86="","",(J86+K86)*Inputs!$B$16)</f>
        <v/>
      </c>
      <c r="M86" s="8" t="n"/>
      <c r="N86" s="8">
        <f>IF(A86="","",IF(M86="",Inputs!$B$7,M86))</f>
        <v/>
      </c>
      <c r="O86" s="4">
        <f>IF(A86="","",IF(L86/Inputs!$B$10&lt;=AD86,Inputs!$F$5,IF(L86/Inputs!$B$10&gt;AM86,"OVERSIZE",INDEX(Inputs!$F$5:$F$14,MATCH(L86/Inputs!$B$10,AD86:AM86,1)+1))))</f>
        <v/>
      </c>
      <c r="P86" s="4" t="n"/>
      <c r="Q86" s="4">
        <f>IF(A86="","",IF(P86="",O86,P86))</f>
        <v/>
      </c>
      <c r="R86" s="8">
        <f>IF(OR(Q86="",Q86="OVERSIZE"),"",Q86/1000)</f>
        <v/>
      </c>
      <c r="S86" s="8">
        <f>IF(R86="","",(1/Inputs!$B$9)*(PI()*R86^2/4)*((R86/4)^(2/3))*SQRT(N86))</f>
        <v/>
      </c>
      <c r="T86" s="8">
        <f>IF(OR(S86="",L86=""),"",L86/(S86*Inputs!$B$10))</f>
        <v/>
      </c>
      <c r="U86" s="8">
        <f>IF(OR(R86="",L86=""),"",4*L86/(PI()*R86^2))</f>
        <v/>
      </c>
      <c r="V86" s="8" t="n"/>
      <c r="W86" s="8">
        <f>IF(A86="","",IF(A86=Inputs!$B$6,Inputs!$B$22,IF(B86="","",IFERROR(INDEX($X$4:$X$203,MATCH(B86,$A$4:$A$203,0))+IF(V86="",Inputs!$B$20,V86),""))))</f>
        <v/>
      </c>
      <c r="X86" s="8">
        <f>IF(OR(W86="",N86="",C86=""),"",W86+N86*C86)</f>
        <v/>
      </c>
      <c r="Y86" s="8" t="n"/>
      <c r="Z86" s="8" t="n"/>
      <c r="AA86" s="8">
        <f>IF(OR(Y86="",W86=""),"",Y86-W86)</f>
        <v/>
      </c>
      <c r="AB86" s="8">
        <f>IF(OR(Z86="",X86=""),"",Z86-X86)</f>
        <v/>
      </c>
      <c r="AC86" s="4">
        <f>IF(A86="","",IF(OR(T86&gt;1,U86&lt;Inputs!$B$11,U86&gt;Inputs!$B$12,AA86&lt;Inputs!$B$19,AB86&lt;Inputs!$B$19,N86&lt;Inputs!$B$7,N86&gt;Inputs!$B$8),"CHECK","OK"))</f>
        <v/>
      </c>
      <c r="AD86" s="4">
        <f>IF(A86="","",(1/Inputs!$B$9)*(PI()*(Inputs!$F$5/1000)^2/4)*((Inputs!$F$5/1000/4)^(2/3))*SQRT(N86))</f>
        <v/>
      </c>
      <c r="AE86" s="4">
        <f>IF(A86="","",(1/Inputs!$B$9)*(PI()*(Inputs!$F$6/1000)^2/4)*((Inputs!$F$6/1000/4)^(2/3))*SQRT(N86))</f>
        <v/>
      </c>
      <c r="AF86" s="4">
        <f>IF(A86="","",(1/Inputs!$B$9)*(PI()*(Inputs!$F$7/1000)^2/4)*((Inputs!$F$7/1000/4)^(2/3))*SQRT(N86))</f>
        <v/>
      </c>
      <c r="AG86" s="4">
        <f>IF(A86="","",(1/Inputs!$B$9)*(PI()*(Inputs!$F$8/1000)^2/4)*((Inputs!$F$8/1000/4)^(2/3))*SQRT(N86))</f>
        <v/>
      </c>
      <c r="AH86" s="4">
        <f>IF(A86="","",(1/Inputs!$B$9)*(PI()*(Inputs!$F$9/1000)^2/4)*((Inputs!$F$9/1000/4)^(2/3))*SQRT(N86))</f>
        <v/>
      </c>
      <c r="AI86" s="4">
        <f>IF(A86="","",(1/Inputs!$B$9)*(PI()*(Inputs!$F$10/1000)^2/4)*((Inputs!$F$10/1000/4)^(2/3))*SQRT(N86))</f>
        <v/>
      </c>
      <c r="AJ86" s="4">
        <f>IF(A86="","",(1/Inputs!$B$9)*(PI()*(Inputs!$F$11/1000)^2/4)*((Inputs!$F$11/1000/4)^(2/3))*SQRT(N86))</f>
        <v/>
      </c>
      <c r="AK86" s="4">
        <f>IF(A86="","",(1/Inputs!$B$9)*(PI()*(Inputs!$F$12/1000)^2/4)*((Inputs!$F$12/1000/4)^(2/3))*SQRT(N86))</f>
        <v/>
      </c>
      <c r="AL86" s="4">
        <f>IF(A86="","",(1/Inputs!$B$9)*(PI()*(Inputs!$F$13/1000)^2/4)*((Inputs!$F$13/1000/4)^(2/3))*SQRT(N86))</f>
        <v/>
      </c>
      <c r="AM86" s="4">
        <f>IF(A86="","",(1/Inputs!$B$9)*(PI()*(Inputs!$F$14/1000)^2/4)*((Inputs!$F$14/1000/4)^(2/3))*SQRT(N86))</f>
        <v/>
      </c>
    </row>
    <row r="87">
      <c r="A87" s="4" t="n"/>
      <c r="B87" s="4" t="n"/>
      <c r="C87" s="8" t="n"/>
      <c r="D87" s="8" t="n"/>
      <c r="E87" s="8">
        <f>SUMIFS(CB_Tributaires!$C:$C,CB_Tributaires!$B:$B,$A87)</f>
        <v/>
      </c>
      <c r="F87" s="8">
        <f>IF(D87="",E87,D87)</f>
        <v/>
      </c>
      <c r="G87" s="4" t="n"/>
      <c r="H87" s="8" t="n"/>
      <c r="I87" s="8">
        <f>IF(A87="","",Inputs!$B$13/((IF(H87="",Inputs!$B$18,H87)+Inputs!$B$14)^Inputs!$B$15))</f>
        <v/>
      </c>
      <c r="J87" s="8">
        <f>IF(A87="","",0.00278*IF(G87="",Inputs!$B$17,G87)*F87*I87)</f>
        <v/>
      </c>
      <c r="K87" s="8">
        <f>IF(A87="","",SUMIFS($L$4:$L$203,$B$4:$B$203,$A87))</f>
        <v/>
      </c>
      <c r="L87" s="8">
        <f>IF(A87="","",(J87+K87)*Inputs!$B$16)</f>
        <v/>
      </c>
      <c r="M87" s="8" t="n"/>
      <c r="N87" s="8">
        <f>IF(A87="","",IF(M87="",Inputs!$B$7,M87))</f>
        <v/>
      </c>
      <c r="O87" s="4">
        <f>IF(A87="","",IF(L87/Inputs!$B$10&lt;=AD87,Inputs!$F$5,IF(L87/Inputs!$B$10&gt;AM87,"OVERSIZE",INDEX(Inputs!$F$5:$F$14,MATCH(L87/Inputs!$B$10,AD87:AM87,1)+1))))</f>
        <v/>
      </c>
      <c r="P87" s="4" t="n"/>
      <c r="Q87" s="4">
        <f>IF(A87="","",IF(P87="",O87,P87))</f>
        <v/>
      </c>
      <c r="R87" s="8">
        <f>IF(OR(Q87="",Q87="OVERSIZE"),"",Q87/1000)</f>
        <v/>
      </c>
      <c r="S87" s="8">
        <f>IF(R87="","",(1/Inputs!$B$9)*(PI()*R87^2/4)*((R87/4)^(2/3))*SQRT(N87))</f>
        <v/>
      </c>
      <c r="T87" s="8">
        <f>IF(OR(S87="",L87=""),"",L87/(S87*Inputs!$B$10))</f>
        <v/>
      </c>
      <c r="U87" s="8">
        <f>IF(OR(R87="",L87=""),"",4*L87/(PI()*R87^2))</f>
        <v/>
      </c>
      <c r="V87" s="8" t="n"/>
      <c r="W87" s="8">
        <f>IF(A87="","",IF(A87=Inputs!$B$6,Inputs!$B$22,IF(B87="","",IFERROR(INDEX($X$4:$X$203,MATCH(B87,$A$4:$A$203,0))+IF(V87="",Inputs!$B$20,V87),""))))</f>
        <v/>
      </c>
      <c r="X87" s="8">
        <f>IF(OR(W87="",N87="",C87=""),"",W87+N87*C87)</f>
        <v/>
      </c>
      <c r="Y87" s="8" t="n"/>
      <c r="Z87" s="8" t="n"/>
      <c r="AA87" s="8">
        <f>IF(OR(Y87="",W87=""),"",Y87-W87)</f>
        <v/>
      </c>
      <c r="AB87" s="8">
        <f>IF(OR(Z87="",X87=""),"",Z87-X87)</f>
        <v/>
      </c>
      <c r="AC87" s="4">
        <f>IF(A87="","",IF(OR(T87&gt;1,U87&lt;Inputs!$B$11,U87&gt;Inputs!$B$12,AA87&lt;Inputs!$B$19,AB87&lt;Inputs!$B$19,N87&lt;Inputs!$B$7,N87&gt;Inputs!$B$8),"CHECK","OK"))</f>
        <v/>
      </c>
      <c r="AD87" s="4">
        <f>IF(A87="","",(1/Inputs!$B$9)*(PI()*(Inputs!$F$5/1000)^2/4)*((Inputs!$F$5/1000/4)^(2/3))*SQRT(N87))</f>
        <v/>
      </c>
      <c r="AE87" s="4">
        <f>IF(A87="","",(1/Inputs!$B$9)*(PI()*(Inputs!$F$6/1000)^2/4)*((Inputs!$F$6/1000/4)^(2/3))*SQRT(N87))</f>
        <v/>
      </c>
      <c r="AF87" s="4">
        <f>IF(A87="","",(1/Inputs!$B$9)*(PI()*(Inputs!$F$7/1000)^2/4)*((Inputs!$F$7/1000/4)^(2/3))*SQRT(N87))</f>
        <v/>
      </c>
      <c r="AG87" s="4">
        <f>IF(A87="","",(1/Inputs!$B$9)*(PI()*(Inputs!$F$8/1000)^2/4)*((Inputs!$F$8/1000/4)^(2/3))*SQRT(N87))</f>
        <v/>
      </c>
      <c r="AH87" s="4">
        <f>IF(A87="","",(1/Inputs!$B$9)*(PI()*(Inputs!$F$9/1000)^2/4)*((Inputs!$F$9/1000/4)^(2/3))*SQRT(N87))</f>
        <v/>
      </c>
      <c r="AI87" s="4">
        <f>IF(A87="","",(1/Inputs!$B$9)*(PI()*(Inputs!$F$10/1000)^2/4)*((Inputs!$F$10/1000/4)^(2/3))*SQRT(N87))</f>
        <v/>
      </c>
      <c r="AJ87" s="4">
        <f>IF(A87="","",(1/Inputs!$B$9)*(PI()*(Inputs!$F$11/1000)^2/4)*((Inputs!$F$11/1000/4)^(2/3))*SQRT(N87))</f>
        <v/>
      </c>
      <c r="AK87" s="4">
        <f>IF(A87="","",(1/Inputs!$B$9)*(PI()*(Inputs!$F$12/1000)^2/4)*((Inputs!$F$12/1000/4)^(2/3))*SQRT(N87))</f>
        <v/>
      </c>
      <c r="AL87" s="4">
        <f>IF(A87="","",(1/Inputs!$B$9)*(PI()*(Inputs!$F$13/1000)^2/4)*((Inputs!$F$13/1000/4)^(2/3))*SQRT(N87))</f>
        <v/>
      </c>
      <c r="AM87" s="4">
        <f>IF(A87="","",(1/Inputs!$B$9)*(PI()*(Inputs!$F$14/1000)^2/4)*((Inputs!$F$14/1000/4)^(2/3))*SQRT(N87))</f>
        <v/>
      </c>
    </row>
    <row r="88">
      <c r="A88" s="4" t="n"/>
      <c r="B88" s="4" t="n"/>
      <c r="C88" s="8" t="n"/>
      <c r="D88" s="8" t="n"/>
      <c r="E88" s="8">
        <f>SUMIFS(CB_Tributaires!$C:$C,CB_Tributaires!$B:$B,$A88)</f>
        <v/>
      </c>
      <c r="F88" s="8">
        <f>IF(D88="",E88,D88)</f>
        <v/>
      </c>
      <c r="G88" s="4" t="n"/>
      <c r="H88" s="8" t="n"/>
      <c r="I88" s="8">
        <f>IF(A88="","",Inputs!$B$13/((IF(H88="",Inputs!$B$18,H88)+Inputs!$B$14)^Inputs!$B$15))</f>
        <v/>
      </c>
      <c r="J88" s="8">
        <f>IF(A88="","",0.00278*IF(G88="",Inputs!$B$17,G88)*F88*I88)</f>
        <v/>
      </c>
      <c r="K88" s="8">
        <f>IF(A88="","",SUMIFS($L$4:$L$203,$B$4:$B$203,$A88))</f>
        <v/>
      </c>
      <c r="L88" s="8">
        <f>IF(A88="","",(J88+K88)*Inputs!$B$16)</f>
        <v/>
      </c>
      <c r="M88" s="8" t="n"/>
      <c r="N88" s="8">
        <f>IF(A88="","",IF(M88="",Inputs!$B$7,M88))</f>
        <v/>
      </c>
      <c r="O88" s="4">
        <f>IF(A88="","",IF(L88/Inputs!$B$10&lt;=AD88,Inputs!$F$5,IF(L88/Inputs!$B$10&gt;AM88,"OVERSIZE",INDEX(Inputs!$F$5:$F$14,MATCH(L88/Inputs!$B$10,AD88:AM88,1)+1))))</f>
        <v/>
      </c>
      <c r="P88" s="4" t="n"/>
      <c r="Q88" s="4">
        <f>IF(A88="","",IF(P88="",O88,P88))</f>
        <v/>
      </c>
      <c r="R88" s="8">
        <f>IF(OR(Q88="",Q88="OVERSIZE"),"",Q88/1000)</f>
        <v/>
      </c>
      <c r="S88" s="8">
        <f>IF(R88="","",(1/Inputs!$B$9)*(PI()*R88^2/4)*((R88/4)^(2/3))*SQRT(N88))</f>
        <v/>
      </c>
      <c r="T88" s="8">
        <f>IF(OR(S88="",L88=""),"",L88/(S88*Inputs!$B$10))</f>
        <v/>
      </c>
      <c r="U88" s="8">
        <f>IF(OR(R88="",L88=""),"",4*L88/(PI()*R88^2))</f>
        <v/>
      </c>
      <c r="V88" s="8" t="n"/>
      <c r="W88" s="8">
        <f>IF(A88="","",IF(A88=Inputs!$B$6,Inputs!$B$22,IF(B88="","",IFERROR(INDEX($X$4:$X$203,MATCH(B88,$A$4:$A$203,0))+IF(V88="",Inputs!$B$20,V88),""))))</f>
        <v/>
      </c>
      <c r="X88" s="8">
        <f>IF(OR(W88="",N88="",C88=""),"",W88+N88*C88)</f>
        <v/>
      </c>
      <c r="Y88" s="8" t="n"/>
      <c r="Z88" s="8" t="n"/>
      <c r="AA88" s="8">
        <f>IF(OR(Y88="",W88=""),"",Y88-W88)</f>
        <v/>
      </c>
      <c r="AB88" s="8">
        <f>IF(OR(Z88="",X88=""),"",Z88-X88)</f>
        <v/>
      </c>
      <c r="AC88" s="4">
        <f>IF(A88="","",IF(OR(T88&gt;1,U88&lt;Inputs!$B$11,U88&gt;Inputs!$B$12,AA88&lt;Inputs!$B$19,AB88&lt;Inputs!$B$19,N88&lt;Inputs!$B$7,N88&gt;Inputs!$B$8),"CHECK","OK"))</f>
        <v/>
      </c>
      <c r="AD88" s="4">
        <f>IF(A88="","",(1/Inputs!$B$9)*(PI()*(Inputs!$F$5/1000)^2/4)*((Inputs!$F$5/1000/4)^(2/3))*SQRT(N88))</f>
        <v/>
      </c>
      <c r="AE88" s="4">
        <f>IF(A88="","",(1/Inputs!$B$9)*(PI()*(Inputs!$F$6/1000)^2/4)*((Inputs!$F$6/1000/4)^(2/3))*SQRT(N88))</f>
        <v/>
      </c>
      <c r="AF88" s="4">
        <f>IF(A88="","",(1/Inputs!$B$9)*(PI()*(Inputs!$F$7/1000)^2/4)*((Inputs!$F$7/1000/4)^(2/3))*SQRT(N88))</f>
        <v/>
      </c>
      <c r="AG88" s="4">
        <f>IF(A88="","",(1/Inputs!$B$9)*(PI()*(Inputs!$F$8/1000)^2/4)*((Inputs!$F$8/1000/4)^(2/3))*SQRT(N88))</f>
        <v/>
      </c>
      <c r="AH88" s="4">
        <f>IF(A88="","",(1/Inputs!$B$9)*(PI()*(Inputs!$F$9/1000)^2/4)*((Inputs!$F$9/1000/4)^(2/3))*SQRT(N88))</f>
        <v/>
      </c>
      <c r="AI88" s="4">
        <f>IF(A88="","",(1/Inputs!$B$9)*(PI()*(Inputs!$F$10/1000)^2/4)*((Inputs!$F$10/1000/4)^(2/3))*SQRT(N88))</f>
        <v/>
      </c>
      <c r="AJ88" s="4">
        <f>IF(A88="","",(1/Inputs!$B$9)*(PI()*(Inputs!$F$11/1000)^2/4)*((Inputs!$F$11/1000/4)^(2/3))*SQRT(N88))</f>
        <v/>
      </c>
      <c r="AK88" s="4">
        <f>IF(A88="","",(1/Inputs!$B$9)*(PI()*(Inputs!$F$12/1000)^2/4)*((Inputs!$F$12/1000/4)^(2/3))*SQRT(N88))</f>
        <v/>
      </c>
      <c r="AL88" s="4">
        <f>IF(A88="","",(1/Inputs!$B$9)*(PI()*(Inputs!$F$13/1000)^2/4)*((Inputs!$F$13/1000/4)^(2/3))*SQRT(N88))</f>
        <v/>
      </c>
      <c r="AM88" s="4">
        <f>IF(A88="","",(1/Inputs!$B$9)*(PI()*(Inputs!$F$14/1000)^2/4)*((Inputs!$F$14/1000/4)^(2/3))*SQRT(N88))</f>
        <v/>
      </c>
    </row>
    <row r="89">
      <c r="A89" s="4" t="n"/>
      <c r="B89" s="4" t="n"/>
      <c r="C89" s="8" t="n"/>
      <c r="D89" s="8" t="n"/>
      <c r="E89" s="8">
        <f>SUMIFS(CB_Tributaires!$C:$C,CB_Tributaires!$B:$B,$A89)</f>
        <v/>
      </c>
      <c r="F89" s="8">
        <f>IF(D89="",E89,D89)</f>
        <v/>
      </c>
      <c r="G89" s="4" t="n"/>
      <c r="H89" s="8" t="n"/>
      <c r="I89" s="8">
        <f>IF(A89="","",Inputs!$B$13/((IF(H89="",Inputs!$B$18,H89)+Inputs!$B$14)^Inputs!$B$15))</f>
        <v/>
      </c>
      <c r="J89" s="8">
        <f>IF(A89="","",0.00278*IF(G89="",Inputs!$B$17,G89)*F89*I89)</f>
        <v/>
      </c>
      <c r="K89" s="8">
        <f>IF(A89="","",SUMIFS($L$4:$L$203,$B$4:$B$203,$A89))</f>
        <v/>
      </c>
      <c r="L89" s="8">
        <f>IF(A89="","",(J89+K89)*Inputs!$B$16)</f>
        <v/>
      </c>
      <c r="M89" s="8" t="n"/>
      <c r="N89" s="8">
        <f>IF(A89="","",IF(M89="",Inputs!$B$7,M89))</f>
        <v/>
      </c>
      <c r="O89" s="4">
        <f>IF(A89="","",IF(L89/Inputs!$B$10&lt;=AD89,Inputs!$F$5,IF(L89/Inputs!$B$10&gt;AM89,"OVERSIZE",INDEX(Inputs!$F$5:$F$14,MATCH(L89/Inputs!$B$10,AD89:AM89,1)+1))))</f>
        <v/>
      </c>
      <c r="P89" s="4" t="n"/>
      <c r="Q89" s="4">
        <f>IF(A89="","",IF(P89="",O89,P89))</f>
        <v/>
      </c>
      <c r="R89" s="8">
        <f>IF(OR(Q89="",Q89="OVERSIZE"),"",Q89/1000)</f>
        <v/>
      </c>
      <c r="S89" s="8">
        <f>IF(R89="","",(1/Inputs!$B$9)*(PI()*R89^2/4)*((R89/4)^(2/3))*SQRT(N89))</f>
        <v/>
      </c>
      <c r="T89" s="8">
        <f>IF(OR(S89="",L89=""),"",L89/(S89*Inputs!$B$10))</f>
        <v/>
      </c>
      <c r="U89" s="8">
        <f>IF(OR(R89="",L89=""),"",4*L89/(PI()*R89^2))</f>
        <v/>
      </c>
      <c r="V89" s="8" t="n"/>
      <c r="W89" s="8">
        <f>IF(A89="","",IF(A89=Inputs!$B$6,Inputs!$B$22,IF(B89="","",IFERROR(INDEX($X$4:$X$203,MATCH(B89,$A$4:$A$203,0))+IF(V89="",Inputs!$B$20,V89),""))))</f>
        <v/>
      </c>
      <c r="X89" s="8">
        <f>IF(OR(W89="",N89="",C89=""),"",W89+N89*C89)</f>
        <v/>
      </c>
      <c r="Y89" s="8" t="n"/>
      <c r="Z89" s="8" t="n"/>
      <c r="AA89" s="8">
        <f>IF(OR(Y89="",W89=""),"",Y89-W89)</f>
        <v/>
      </c>
      <c r="AB89" s="8">
        <f>IF(OR(Z89="",X89=""),"",Z89-X89)</f>
        <v/>
      </c>
      <c r="AC89" s="4">
        <f>IF(A89="","",IF(OR(T89&gt;1,U89&lt;Inputs!$B$11,U89&gt;Inputs!$B$12,AA89&lt;Inputs!$B$19,AB89&lt;Inputs!$B$19,N89&lt;Inputs!$B$7,N89&gt;Inputs!$B$8),"CHECK","OK"))</f>
        <v/>
      </c>
      <c r="AD89" s="4">
        <f>IF(A89="","",(1/Inputs!$B$9)*(PI()*(Inputs!$F$5/1000)^2/4)*((Inputs!$F$5/1000/4)^(2/3))*SQRT(N89))</f>
        <v/>
      </c>
      <c r="AE89" s="4">
        <f>IF(A89="","",(1/Inputs!$B$9)*(PI()*(Inputs!$F$6/1000)^2/4)*((Inputs!$F$6/1000/4)^(2/3))*SQRT(N89))</f>
        <v/>
      </c>
      <c r="AF89" s="4">
        <f>IF(A89="","",(1/Inputs!$B$9)*(PI()*(Inputs!$F$7/1000)^2/4)*((Inputs!$F$7/1000/4)^(2/3))*SQRT(N89))</f>
        <v/>
      </c>
      <c r="AG89" s="4">
        <f>IF(A89="","",(1/Inputs!$B$9)*(PI()*(Inputs!$F$8/1000)^2/4)*((Inputs!$F$8/1000/4)^(2/3))*SQRT(N89))</f>
        <v/>
      </c>
      <c r="AH89" s="4">
        <f>IF(A89="","",(1/Inputs!$B$9)*(PI()*(Inputs!$F$9/1000)^2/4)*((Inputs!$F$9/1000/4)^(2/3))*SQRT(N89))</f>
        <v/>
      </c>
      <c r="AI89" s="4">
        <f>IF(A89="","",(1/Inputs!$B$9)*(PI()*(Inputs!$F$10/1000)^2/4)*((Inputs!$F$10/1000/4)^(2/3))*SQRT(N89))</f>
        <v/>
      </c>
      <c r="AJ89" s="4">
        <f>IF(A89="","",(1/Inputs!$B$9)*(PI()*(Inputs!$F$11/1000)^2/4)*((Inputs!$F$11/1000/4)^(2/3))*SQRT(N89))</f>
        <v/>
      </c>
      <c r="AK89" s="4">
        <f>IF(A89="","",(1/Inputs!$B$9)*(PI()*(Inputs!$F$12/1000)^2/4)*((Inputs!$F$12/1000/4)^(2/3))*SQRT(N89))</f>
        <v/>
      </c>
      <c r="AL89" s="4">
        <f>IF(A89="","",(1/Inputs!$B$9)*(PI()*(Inputs!$F$13/1000)^2/4)*((Inputs!$F$13/1000/4)^(2/3))*SQRT(N89))</f>
        <v/>
      </c>
      <c r="AM89" s="4">
        <f>IF(A89="","",(1/Inputs!$B$9)*(PI()*(Inputs!$F$14/1000)^2/4)*((Inputs!$F$14/1000/4)^(2/3))*SQRT(N89))</f>
        <v/>
      </c>
    </row>
    <row r="90">
      <c r="A90" s="4" t="n"/>
      <c r="B90" s="4" t="n"/>
      <c r="C90" s="8" t="n"/>
      <c r="D90" s="8" t="n"/>
      <c r="E90" s="8">
        <f>SUMIFS(CB_Tributaires!$C:$C,CB_Tributaires!$B:$B,$A90)</f>
        <v/>
      </c>
      <c r="F90" s="8">
        <f>IF(D90="",E90,D90)</f>
        <v/>
      </c>
      <c r="G90" s="4" t="n"/>
      <c r="H90" s="8" t="n"/>
      <c r="I90" s="8">
        <f>IF(A90="","",Inputs!$B$13/((IF(H90="",Inputs!$B$18,H90)+Inputs!$B$14)^Inputs!$B$15))</f>
        <v/>
      </c>
      <c r="J90" s="8">
        <f>IF(A90="","",0.00278*IF(G90="",Inputs!$B$17,G90)*F90*I90)</f>
        <v/>
      </c>
      <c r="K90" s="8">
        <f>IF(A90="","",SUMIFS($L$4:$L$203,$B$4:$B$203,$A90))</f>
        <v/>
      </c>
      <c r="L90" s="8">
        <f>IF(A90="","",(J90+K90)*Inputs!$B$16)</f>
        <v/>
      </c>
      <c r="M90" s="8" t="n"/>
      <c r="N90" s="8">
        <f>IF(A90="","",IF(M90="",Inputs!$B$7,M90))</f>
        <v/>
      </c>
      <c r="O90" s="4">
        <f>IF(A90="","",IF(L90/Inputs!$B$10&lt;=AD90,Inputs!$F$5,IF(L90/Inputs!$B$10&gt;AM90,"OVERSIZE",INDEX(Inputs!$F$5:$F$14,MATCH(L90/Inputs!$B$10,AD90:AM90,1)+1))))</f>
        <v/>
      </c>
      <c r="P90" s="4" t="n"/>
      <c r="Q90" s="4">
        <f>IF(A90="","",IF(P90="",O90,P90))</f>
        <v/>
      </c>
      <c r="R90" s="8">
        <f>IF(OR(Q90="",Q90="OVERSIZE"),"",Q90/1000)</f>
        <v/>
      </c>
      <c r="S90" s="8">
        <f>IF(R90="","",(1/Inputs!$B$9)*(PI()*R90^2/4)*((R90/4)^(2/3))*SQRT(N90))</f>
        <v/>
      </c>
      <c r="T90" s="8">
        <f>IF(OR(S90="",L90=""),"",L90/(S90*Inputs!$B$10))</f>
        <v/>
      </c>
      <c r="U90" s="8">
        <f>IF(OR(R90="",L90=""),"",4*L90/(PI()*R90^2))</f>
        <v/>
      </c>
      <c r="V90" s="8" t="n"/>
      <c r="W90" s="8">
        <f>IF(A90="","",IF(A90=Inputs!$B$6,Inputs!$B$22,IF(B90="","",IFERROR(INDEX($X$4:$X$203,MATCH(B90,$A$4:$A$203,0))+IF(V90="",Inputs!$B$20,V90),""))))</f>
        <v/>
      </c>
      <c r="X90" s="8">
        <f>IF(OR(W90="",N90="",C90=""),"",W90+N90*C90)</f>
        <v/>
      </c>
      <c r="Y90" s="8" t="n"/>
      <c r="Z90" s="8" t="n"/>
      <c r="AA90" s="8">
        <f>IF(OR(Y90="",W90=""),"",Y90-W90)</f>
        <v/>
      </c>
      <c r="AB90" s="8">
        <f>IF(OR(Z90="",X90=""),"",Z90-X90)</f>
        <v/>
      </c>
      <c r="AC90" s="4">
        <f>IF(A90="","",IF(OR(T90&gt;1,U90&lt;Inputs!$B$11,U90&gt;Inputs!$B$12,AA90&lt;Inputs!$B$19,AB90&lt;Inputs!$B$19,N90&lt;Inputs!$B$7,N90&gt;Inputs!$B$8),"CHECK","OK"))</f>
        <v/>
      </c>
      <c r="AD90" s="4">
        <f>IF(A90="","",(1/Inputs!$B$9)*(PI()*(Inputs!$F$5/1000)^2/4)*((Inputs!$F$5/1000/4)^(2/3))*SQRT(N90))</f>
        <v/>
      </c>
      <c r="AE90" s="4">
        <f>IF(A90="","",(1/Inputs!$B$9)*(PI()*(Inputs!$F$6/1000)^2/4)*((Inputs!$F$6/1000/4)^(2/3))*SQRT(N90))</f>
        <v/>
      </c>
      <c r="AF90" s="4">
        <f>IF(A90="","",(1/Inputs!$B$9)*(PI()*(Inputs!$F$7/1000)^2/4)*((Inputs!$F$7/1000/4)^(2/3))*SQRT(N90))</f>
        <v/>
      </c>
      <c r="AG90" s="4">
        <f>IF(A90="","",(1/Inputs!$B$9)*(PI()*(Inputs!$F$8/1000)^2/4)*((Inputs!$F$8/1000/4)^(2/3))*SQRT(N90))</f>
        <v/>
      </c>
      <c r="AH90" s="4">
        <f>IF(A90="","",(1/Inputs!$B$9)*(PI()*(Inputs!$F$9/1000)^2/4)*((Inputs!$F$9/1000/4)^(2/3))*SQRT(N90))</f>
        <v/>
      </c>
      <c r="AI90" s="4">
        <f>IF(A90="","",(1/Inputs!$B$9)*(PI()*(Inputs!$F$10/1000)^2/4)*((Inputs!$F$10/1000/4)^(2/3))*SQRT(N90))</f>
        <v/>
      </c>
      <c r="AJ90" s="4">
        <f>IF(A90="","",(1/Inputs!$B$9)*(PI()*(Inputs!$F$11/1000)^2/4)*((Inputs!$F$11/1000/4)^(2/3))*SQRT(N90))</f>
        <v/>
      </c>
      <c r="AK90" s="4">
        <f>IF(A90="","",(1/Inputs!$B$9)*(PI()*(Inputs!$F$12/1000)^2/4)*((Inputs!$F$12/1000/4)^(2/3))*SQRT(N90))</f>
        <v/>
      </c>
      <c r="AL90" s="4">
        <f>IF(A90="","",(1/Inputs!$B$9)*(PI()*(Inputs!$F$13/1000)^2/4)*((Inputs!$F$13/1000/4)^(2/3))*SQRT(N90))</f>
        <v/>
      </c>
      <c r="AM90" s="4">
        <f>IF(A90="","",(1/Inputs!$B$9)*(PI()*(Inputs!$F$14/1000)^2/4)*((Inputs!$F$14/1000/4)^(2/3))*SQRT(N90))</f>
        <v/>
      </c>
    </row>
    <row r="91">
      <c r="A91" s="4" t="n"/>
      <c r="B91" s="4" t="n"/>
      <c r="C91" s="8" t="n"/>
      <c r="D91" s="8" t="n"/>
      <c r="E91" s="8">
        <f>SUMIFS(CB_Tributaires!$C:$C,CB_Tributaires!$B:$B,$A91)</f>
        <v/>
      </c>
      <c r="F91" s="8">
        <f>IF(D91="",E91,D91)</f>
        <v/>
      </c>
      <c r="G91" s="4" t="n"/>
      <c r="H91" s="8" t="n"/>
      <c r="I91" s="8">
        <f>IF(A91="","",Inputs!$B$13/((IF(H91="",Inputs!$B$18,H91)+Inputs!$B$14)^Inputs!$B$15))</f>
        <v/>
      </c>
      <c r="J91" s="8">
        <f>IF(A91="","",0.00278*IF(G91="",Inputs!$B$17,G91)*F91*I91)</f>
        <v/>
      </c>
      <c r="K91" s="8">
        <f>IF(A91="","",SUMIFS($L$4:$L$203,$B$4:$B$203,$A91))</f>
        <v/>
      </c>
      <c r="L91" s="8">
        <f>IF(A91="","",(J91+K91)*Inputs!$B$16)</f>
        <v/>
      </c>
      <c r="M91" s="8" t="n"/>
      <c r="N91" s="8">
        <f>IF(A91="","",IF(M91="",Inputs!$B$7,M91))</f>
        <v/>
      </c>
      <c r="O91" s="4">
        <f>IF(A91="","",IF(L91/Inputs!$B$10&lt;=AD91,Inputs!$F$5,IF(L91/Inputs!$B$10&gt;AM91,"OVERSIZE",INDEX(Inputs!$F$5:$F$14,MATCH(L91/Inputs!$B$10,AD91:AM91,1)+1))))</f>
        <v/>
      </c>
      <c r="P91" s="4" t="n"/>
      <c r="Q91" s="4">
        <f>IF(A91="","",IF(P91="",O91,P91))</f>
        <v/>
      </c>
      <c r="R91" s="8">
        <f>IF(OR(Q91="",Q91="OVERSIZE"),"",Q91/1000)</f>
        <v/>
      </c>
      <c r="S91" s="8">
        <f>IF(R91="","",(1/Inputs!$B$9)*(PI()*R91^2/4)*((R91/4)^(2/3))*SQRT(N91))</f>
        <v/>
      </c>
      <c r="T91" s="8">
        <f>IF(OR(S91="",L91=""),"",L91/(S91*Inputs!$B$10))</f>
        <v/>
      </c>
      <c r="U91" s="8">
        <f>IF(OR(R91="",L91=""),"",4*L91/(PI()*R91^2))</f>
        <v/>
      </c>
      <c r="V91" s="8" t="n"/>
      <c r="W91" s="8">
        <f>IF(A91="","",IF(A91=Inputs!$B$6,Inputs!$B$22,IF(B91="","",IFERROR(INDEX($X$4:$X$203,MATCH(B91,$A$4:$A$203,0))+IF(V91="",Inputs!$B$20,V91),""))))</f>
        <v/>
      </c>
      <c r="X91" s="8">
        <f>IF(OR(W91="",N91="",C91=""),"",W91+N91*C91)</f>
        <v/>
      </c>
      <c r="Y91" s="8" t="n"/>
      <c r="Z91" s="8" t="n"/>
      <c r="AA91" s="8">
        <f>IF(OR(Y91="",W91=""),"",Y91-W91)</f>
        <v/>
      </c>
      <c r="AB91" s="8">
        <f>IF(OR(Z91="",X91=""),"",Z91-X91)</f>
        <v/>
      </c>
      <c r="AC91" s="4">
        <f>IF(A91="","",IF(OR(T91&gt;1,U91&lt;Inputs!$B$11,U91&gt;Inputs!$B$12,AA91&lt;Inputs!$B$19,AB91&lt;Inputs!$B$19,N91&lt;Inputs!$B$7,N91&gt;Inputs!$B$8),"CHECK","OK"))</f>
        <v/>
      </c>
      <c r="AD91" s="4">
        <f>IF(A91="","",(1/Inputs!$B$9)*(PI()*(Inputs!$F$5/1000)^2/4)*((Inputs!$F$5/1000/4)^(2/3))*SQRT(N91))</f>
        <v/>
      </c>
      <c r="AE91" s="4">
        <f>IF(A91="","",(1/Inputs!$B$9)*(PI()*(Inputs!$F$6/1000)^2/4)*((Inputs!$F$6/1000/4)^(2/3))*SQRT(N91))</f>
        <v/>
      </c>
      <c r="AF91" s="4">
        <f>IF(A91="","",(1/Inputs!$B$9)*(PI()*(Inputs!$F$7/1000)^2/4)*((Inputs!$F$7/1000/4)^(2/3))*SQRT(N91))</f>
        <v/>
      </c>
      <c r="AG91" s="4">
        <f>IF(A91="","",(1/Inputs!$B$9)*(PI()*(Inputs!$F$8/1000)^2/4)*((Inputs!$F$8/1000/4)^(2/3))*SQRT(N91))</f>
        <v/>
      </c>
      <c r="AH91" s="4">
        <f>IF(A91="","",(1/Inputs!$B$9)*(PI()*(Inputs!$F$9/1000)^2/4)*((Inputs!$F$9/1000/4)^(2/3))*SQRT(N91))</f>
        <v/>
      </c>
      <c r="AI91" s="4">
        <f>IF(A91="","",(1/Inputs!$B$9)*(PI()*(Inputs!$F$10/1000)^2/4)*((Inputs!$F$10/1000/4)^(2/3))*SQRT(N91))</f>
        <v/>
      </c>
      <c r="AJ91" s="4">
        <f>IF(A91="","",(1/Inputs!$B$9)*(PI()*(Inputs!$F$11/1000)^2/4)*((Inputs!$F$11/1000/4)^(2/3))*SQRT(N91))</f>
        <v/>
      </c>
      <c r="AK91" s="4">
        <f>IF(A91="","",(1/Inputs!$B$9)*(PI()*(Inputs!$F$12/1000)^2/4)*((Inputs!$F$12/1000/4)^(2/3))*SQRT(N91))</f>
        <v/>
      </c>
      <c r="AL91" s="4">
        <f>IF(A91="","",(1/Inputs!$B$9)*(PI()*(Inputs!$F$13/1000)^2/4)*((Inputs!$F$13/1000/4)^(2/3))*SQRT(N91))</f>
        <v/>
      </c>
      <c r="AM91" s="4">
        <f>IF(A91="","",(1/Inputs!$B$9)*(PI()*(Inputs!$F$14/1000)^2/4)*((Inputs!$F$14/1000/4)^(2/3))*SQRT(N91))</f>
        <v/>
      </c>
    </row>
    <row r="92">
      <c r="A92" s="4" t="n"/>
      <c r="B92" s="4" t="n"/>
      <c r="C92" s="8" t="n"/>
      <c r="D92" s="8" t="n"/>
      <c r="E92" s="8">
        <f>SUMIFS(CB_Tributaires!$C:$C,CB_Tributaires!$B:$B,$A92)</f>
        <v/>
      </c>
      <c r="F92" s="8">
        <f>IF(D92="",E92,D92)</f>
        <v/>
      </c>
      <c r="G92" s="4" t="n"/>
      <c r="H92" s="8" t="n"/>
      <c r="I92" s="8">
        <f>IF(A92="","",Inputs!$B$13/((IF(H92="",Inputs!$B$18,H92)+Inputs!$B$14)^Inputs!$B$15))</f>
        <v/>
      </c>
      <c r="J92" s="8">
        <f>IF(A92="","",0.00278*IF(G92="",Inputs!$B$17,G92)*F92*I92)</f>
        <v/>
      </c>
      <c r="K92" s="8">
        <f>IF(A92="","",SUMIFS($L$4:$L$203,$B$4:$B$203,$A92))</f>
        <v/>
      </c>
      <c r="L92" s="8">
        <f>IF(A92="","",(J92+K92)*Inputs!$B$16)</f>
        <v/>
      </c>
      <c r="M92" s="8" t="n"/>
      <c r="N92" s="8">
        <f>IF(A92="","",IF(M92="",Inputs!$B$7,M92))</f>
        <v/>
      </c>
      <c r="O92" s="4">
        <f>IF(A92="","",IF(L92/Inputs!$B$10&lt;=AD92,Inputs!$F$5,IF(L92/Inputs!$B$10&gt;AM92,"OVERSIZE",INDEX(Inputs!$F$5:$F$14,MATCH(L92/Inputs!$B$10,AD92:AM92,1)+1))))</f>
        <v/>
      </c>
      <c r="P92" s="4" t="n"/>
      <c r="Q92" s="4">
        <f>IF(A92="","",IF(P92="",O92,P92))</f>
        <v/>
      </c>
      <c r="R92" s="8">
        <f>IF(OR(Q92="",Q92="OVERSIZE"),"",Q92/1000)</f>
        <v/>
      </c>
      <c r="S92" s="8">
        <f>IF(R92="","",(1/Inputs!$B$9)*(PI()*R92^2/4)*((R92/4)^(2/3))*SQRT(N92))</f>
        <v/>
      </c>
      <c r="T92" s="8">
        <f>IF(OR(S92="",L92=""),"",L92/(S92*Inputs!$B$10))</f>
        <v/>
      </c>
      <c r="U92" s="8">
        <f>IF(OR(R92="",L92=""),"",4*L92/(PI()*R92^2))</f>
        <v/>
      </c>
      <c r="V92" s="8" t="n"/>
      <c r="W92" s="8">
        <f>IF(A92="","",IF(A92=Inputs!$B$6,Inputs!$B$22,IF(B92="","",IFERROR(INDEX($X$4:$X$203,MATCH(B92,$A$4:$A$203,0))+IF(V92="",Inputs!$B$20,V92),""))))</f>
        <v/>
      </c>
      <c r="X92" s="8">
        <f>IF(OR(W92="",N92="",C92=""),"",W92+N92*C92)</f>
        <v/>
      </c>
      <c r="Y92" s="8" t="n"/>
      <c r="Z92" s="8" t="n"/>
      <c r="AA92" s="8">
        <f>IF(OR(Y92="",W92=""),"",Y92-W92)</f>
        <v/>
      </c>
      <c r="AB92" s="8">
        <f>IF(OR(Z92="",X92=""),"",Z92-X92)</f>
        <v/>
      </c>
      <c r="AC92" s="4">
        <f>IF(A92="","",IF(OR(T92&gt;1,U92&lt;Inputs!$B$11,U92&gt;Inputs!$B$12,AA92&lt;Inputs!$B$19,AB92&lt;Inputs!$B$19,N92&lt;Inputs!$B$7,N92&gt;Inputs!$B$8),"CHECK","OK"))</f>
        <v/>
      </c>
      <c r="AD92" s="4">
        <f>IF(A92="","",(1/Inputs!$B$9)*(PI()*(Inputs!$F$5/1000)^2/4)*((Inputs!$F$5/1000/4)^(2/3))*SQRT(N92))</f>
        <v/>
      </c>
      <c r="AE92" s="4">
        <f>IF(A92="","",(1/Inputs!$B$9)*(PI()*(Inputs!$F$6/1000)^2/4)*((Inputs!$F$6/1000/4)^(2/3))*SQRT(N92))</f>
        <v/>
      </c>
      <c r="AF92" s="4">
        <f>IF(A92="","",(1/Inputs!$B$9)*(PI()*(Inputs!$F$7/1000)^2/4)*((Inputs!$F$7/1000/4)^(2/3))*SQRT(N92))</f>
        <v/>
      </c>
      <c r="AG92" s="4">
        <f>IF(A92="","",(1/Inputs!$B$9)*(PI()*(Inputs!$F$8/1000)^2/4)*((Inputs!$F$8/1000/4)^(2/3))*SQRT(N92))</f>
        <v/>
      </c>
      <c r="AH92" s="4">
        <f>IF(A92="","",(1/Inputs!$B$9)*(PI()*(Inputs!$F$9/1000)^2/4)*((Inputs!$F$9/1000/4)^(2/3))*SQRT(N92))</f>
        <v/>
      </c>
      <c r="AI92" s="4">
        <f>IF(A92="","",(1/Inputs!$B$9)*(PI()*(Inputs!$F$10/1000)^2/4)*((Inputs!$F$10/1000/4)^(2/3))*SQRT(N92))</f>
        <v/>
      </c>
      <c r="AJ92" s="4">
        <f>IF(A92="","",(1/Inputs!$B$9)*(PI()*(Inputs!$F$11/1000)^2/4)*((Inputs!$F$11/1000/4)^(2/3))*SQRT(N92))</f>
        <v/>
      </c>
      <c r="AK92" s="4">
        <f>IF(A92="","",(1/Inputs!$B$9)*(PI()*(Inputs!$F$12/1000)^2/4)*((Inputs!$F$12/1000/4)^(2/3))*SQRT(N92))</f>
        <v/>
      </c>
      <c r="AL92" s="4">
        <f>IF(A92="","",(1/Inputs!$B$9)*(PI()*(Inputs!$F$13/1000)^2/4)*((Inputs!$F$13/1000/4)^(2/3))*SQRT(N92))</f>
        <v/>
      </c>
      <c r="AM92" s="4">
        <f>IF(A92="","",(1/Inputs!$B$9)*(PI()*(Inputs!$F$14/1000)^2/4)*((Inputs!$F$14/1000/4)^(2/3))*SQRT(N92))</f>
        <v/>
      </c>
    </row>
    <row r="93">
      <c r="A93" s="4" t="n"/>
      <c r="B93" s="4" t="n"/>
      <c r="C93" s="8" t="n"/>
      <c r="D93" s="8" t="n"/>
      <c r="E93" s="8">
        <f>SUMIFS(CB_Tributaires!$C:$C,CB_Tributaires!$B:$B,$A93)</f>
        <v/>
      </c>
      <c r="F93" s="8">
        <f>IF(D93="",E93,D93)</f>
        <v/>
      </c>
      <c r="G93" s="4" t="n"/>
      <c r="H93" s="8" t="n"/>
      <c r="I93" s="8">
        <f>IF(A93="","",Inputs!$B$13/((IF(H93="",Inputs!$B$18,H93)+Inputs!$B$14)^Inputs!$B$15))</f>
        <v/>
      </c>
      <c r="J93" s="8">
        <f>IF(A93="","",0.00278*IF(G93="",Inputs!$B$17,G93)*F93*I93)</f>
        <v/>
      </c>
      <c r="K93" s="8">
        <f>IF(A93="","",SUMIFS($L$4:$L$203,$B$4:$B$203,$A93))</f>
        <v/>
      </c>
      <c r="L93" s="8">
        <f>IF(A93="","",(J93+K93)*Inputs!$B$16)</f>
        <v/>
      </c>
      <c r="M93" s="8" t="n"/>
      <c r="N93" s="8">
        <f>IF(A93="","",IF(M93="",Inputs!$B$7,M93))</f>
        <v/>
      </c>
      <c r="O93" s="4">
        <f>IF(A93="","",IF(L93/Inputs!$B$10&lt;=AD93,Inputs!$F$5,IF(L93/Inputs!$B$10&gt;AM93,"OVERSIZE",INDEX(Inputs!$F$5:$F$14,MATCH(L93/Inputs!$B$10,AD93:AM93,1)+1))))</f>
        <v/>
      </c>
      <c r="P93" s="4" t="n"/>
      <c r="Q93" s="4">
        <f>IF(A93="","",IF(P93="",O93,P93))</f>
        <v/>
      </c>
      <c r="R93" s="8">
        <f>IF(OR(Q93="",Q93="OVERSIZE"),"",Q93/1000)</f>
        <v/>
      </c>
      <c r="S93" s="8">
        <f>IF(R93="","",(1/Inputs!$B$9)*(PI()*R93^2/4)*((R93/4)^(2/3))*SQRT(N93))</f>
        <v/>
      </c>
      <c r="T93" s="8">
        <f>IF(OR(S93="",L93=""),"",L93/(S93*Inputs!$B$10))</f>
        <v/>
      </c>
      <c r="U93" s="8">
        <f>IF(OR(R93="",L93=""),"",4*L93/(PI()*R93^2))</f>
        <v/>
      </c>
      <c r="V93" s="8" t="n"/>
      <c r="W93" s="8">
        <f>IF(A93="","",IF(A93=Inputs!$B$6,Inputs!$B$22,IF(B93="","",IFERROR(INDEX($X$4:$X$203,MATCH(B93,$A$4:$A$203,0))+IF(V93="",Inputs!$B$20,V93),""))))</f>
        <v/>
      </c>
      <c r="X93" s="8">
        <f>IF(OR(W93="",N93="",C93=""),"",W93+N93*C93)</f>
        <v/>
      </c>
      <c r="Y93" s="8" t="n"/>
      <c r="Z93" s="8" t="n"/>
      <c r="AA93" s="8">
        <f>IF(OR(Y93="",W93=""),"",Y93-W93)</f>
        <v/>
      </c>
      <c r="AB93" s="8">
        <f>IF(OR(Z93="",X93=""),"",Z93-X93)</f>
        <v/>
      </c>
      <c r="AC93" s="4">
        <f>IF(A93="","",IF(OR(T93&gt;1,U93&lt;Inputs!$B$11,U93&gt;Inputs!$B$12,AA93&lt;Inputs!$B$19,AB93&lt;Inputs!$B$19,N93&lt;Inputs!$B$7,N93&gt;Inputs!$B$8),"CHECK","OK"))</f>
        <v/>
      </c>
      <c r="AD93" s="4">
        <f>IF(A93="","",(1/Inputs!$B$9)*(PI()*(Inputs!$F$5/1000)^2/4)*((Inputs!$F$5/1000/4)^(2/3))*SQRT(N93))</f>
        <v/>
      </c>
      <c r="AE93" s="4">
        <f>IF(A93="","",(1/Inputs!$B$9)*(PI()*(Inputs!$F$6/1000)^2/4)*((Inputs!$F$6/1000/4)^(2/3))*SQRT(N93))</f>
        <v/>
      </c>
      <c r="AF93" s="4">
        <f>IF(A93="","",(1/Inputs!$B$9)*(PI()*(Inputs!$F$7/1000)^2/4)*((Inputs!$F$7/1000/4)^(2/3))*SQRT(N93))</f>
        <v/>
      </c>
      <c r="AG93" s="4">
        <f>IF(A93="","",(1/Inputs!$B$9)*(PI()*(Inputs!$F$8/1000)^2/4)*((Inputs!$F$8/1000/4)^(2/3))*SQRT(N93))</f>
        <v/>
      </c>
      <c r="AH93" s="4">
        <f>IF(A93="","",(1/Inputs!$B$9)*(PI()*(Inputs!$F$9/1000)^2/4)*((Inputs!$F$9/1000/4)^(2/3))*SQRT(N93))</f>
        <v/>
      </c>
      <c r="AI93" s="4">
        <f>IF(A93="","",(1/Inputs!$B$9)*(PI()*(Inputs!$F$10/1000)^2/4)*((Inputs!$F$10/1000/4)^(2/3))*SQRT(N93))</f>
        <v/>
      </c>
      <c r="AJ93" s="4">
        <f>IF(A93="","",(1/Inputs!$B$9)*(PI()*(Inputs!$F$11/1000)^2/4)*((Inputs!$F$11/1000/4)^(2/3))*SQRT(N93))</f>
        <v/>
      </c>
      <c r="AK93" s="4">
        <f>IF(A93="","",(1/Inputs!$B$9)*(PI()*(Inputs!$F$12/1000)^2/4)*((Inputs!$F$12/1000/4)^(2/3))*SQRT(N93))</f>
        <v/>
      </c>
      <c r="AL93" s="4">
        <f>IF(A93="","",(1/Inputs!$B$9)*(PI()*(Inputs!$F$13/1000)^2/4)*((Inputs!$F$13/1000/4)^(2/3))*SQRT(N93))</f>
        <v/>
      </c>
      <c r="AM93" s="4">
        <f>IF(A93="","",(1/Inputs!$B$9)*(PI()*(Inputs!$F$14/1000)^2/4)*((Inputs!$F$14/1000/4)^(2/3))*SQRT(N93))</f>
        <v/>
      </c>
    </row>
    <row r="94">
      <c r="A94" s="4" t="n"/>
      <c r="B94" s="4" t="n"/>
      <c r="C94" s="8" t="n"/>
      <c r="D94" s="8" t="n"/>
      <c r="E94" s="8">
        <f>SUMIFS(CB_Tributaires!$C:$C,CB_Tributaires!$B:$B,$A94)</f>
        <v/>
      </c>
      <c r="F94" s="8">
        <f>IF(D94="",E94,D94)</f>
        <v/>
      </c>
      <c r="G94" s="4" t="n"/>
      <c r="H94" s="8" t="n"/>
      <c r="I94" s="8">
        <f>IF(A94="","",Inputs!$B$13/((IF(H94="",Inputs!$B$18,H94)+Inputs!$B$14)^Inputs!$B$15))</f>
        <v/>
      </c>
      <c r="J94" s="8">
        <f>IF(A94="","",0.00278*IF(G94="",Inputs!$B$17,G94)*F94*I94)</f>
        <v/>
      </c>
      <c r="K94" s="8">
        <f>IF(A94="","",SUMIFS($L$4:$L$203,$B$4:$B$203,$A94))</f>
        <v/>
      </c>
      <c r="L94" s="8">
        <f>IF(A94="","",(J94+K94)*Inputs!$B$16)</f>
        <v/>
      </c>
      <c r="M94" s="8" t="n"/>
      <c r="N94" s="8">
        <f>IF(A94="","",IF(M94="",Inputs!$B$7,M94))</f>
        <v/>
      </c>
      <c r="O94" s="4">
        <f>IF(A94="","",IF(L94/Inputs!$B$10&lt;=AD94,Inputs!$F$5,IF(L94/Inputs!$B$10&gt;AM94,"OVERSIZE",INDEX(Inputs!$F$5:$F$14,MATCH(L94/Inputs!$B$10,AD94:AM94,1)+1))))</f>
        <v/>
      </c>
      <c r="P94" s="4" t="n"/>
      <c r="Q94" s="4">
        <f>IF(A94="","",IF(P94="",O94,P94))</f>
        <v/>
      </c>
      <c r="R94" s="8">
        <f>IF(OR(Q94="",Q94="OVERSIZE"),"",Q94/1000)</f>
        <v/>
      </c>
      <c r="S94" s="8">
        <f>IF(R94="","",(1/Inputs!$B$9)*(PI()*R94^2/4)*((R94/4)^(2/3))*SQRT(N94))</f>
        <v/>
      </c>
      <c r="T94" s="8">
        <f>IF(OR(S94="",L94=""),"",L94/(S94*Inputs!$B$10))</f>
        <v/>
      </c>
      <c r="U94" s="8">
        <f>IF(OR(R94="",L94=""),"",4*L94/(PI()*R94^2))</f>
        <v/>
      </c>
      <c r="V94" s="8" t="n"/>
      <c r="W94" s="8">
        <f>IF(A94="","",IF(A94=Inputs!$B$6,Inputs!$B$22,IF(B94="","",IFERROR(INDEX($X$4:$X$203,MATCH(B94,$A$4:$A$203,0))+IF(V94="",Inputs!$B$20,V94),""))))</f>
        <v/>
      </c>
      <c r="X94" s="8">
        <f>IF(OR(W94="",N94="",C94=""),"",W94+N94*C94)</f>
        <v/>
      </c>
      <c r="Y94" s="8" t="n"/>
      <c r="Z94" s="8" t="n"/>
      <c r="AA94" s="8">
        <f>IF(OR(Y94="",W94=""),"",Y94-W94)</f>
        <v/>
      </c>
      <c r="AB94" s="8">
        <f>IF(OR(Z94="",X94=""),"",Z94-X94)</f>
        <v/>
      </c>
      <c r="AC94" s="4">
        <f>IF(A94="","",IF(OR(T94&gt;1,U94&lt;Inputs!$B$11,U94&gt;Inputs!$B$12,AA94&lt;Inputs!$B$19,AB94&lt;Inputs!$B$19,N94&lt;Inputs!$B$7,N94&gt;Inputs!$B$8),"CHECK","OK"))</f>
        <v/>
      </c>
      <c r="AD94" s="4">
        <f>IF(A94="","",(1/Inputs!$B$9)*(PI()*(Inputs!$F$5/1000)^2/4)*((Inputs!$F$5/1000/4)^(2/3))*SQRT(N94))</f>
        <v/>
      </c>
      <c r="AE94" s="4">
        <f>IF(A94="","",(1/Inputs!$B$9)*(PI()*(Inputs!$F$6/1000)^2/4)*((Inputs!$F$6/1000/4)^(2/3))*SQRT(N94))</f>
        <v/>
      </c>
      <c r="AF94" s="4">
        <f>IF(A94="","",(1/Inputs!$B$9)*(PI()*(Inputs!$F$7/1000)^2/4)*((Inputs!$F$7/1000/4)^(2/3))*SQRT(N94))</f>
        <v/>
      </c>
      <c r="AG94" s="4">
        <f>IF(A94="","",(1/Inputs!$B$9)*(PI()*(Inputs!$F$8/1000)^2/4)*((Inputs!$F$8/1000/4)^(2/3))*SQRT(N94))</f>
        <v/>
      </c>
      <c r="AH94" s="4">
        <f>IF(A94="","",(1/Inputs!$B$9)*(PI()*(Inputs!$F$9/1000)^2/4)*((Inputs!$F$9/1000/4)^(2/3))*SQRT(N94))</f>
        <v/>
      </c>
      <c r="AI94" s="4">
        <f>IF(A94="","",(1/Inputs!$B$9)*(PI()*(Inputs!$F$10/1000)^2/4)*((Inputs!$F$10/1000/4)^(2/3))*SQRT(N94))</f>
        <v/>
      </c>
      <c r="AJ94" s="4">
        <f>IF(A94="","",(1/Inputs!$B$9)*(PI()*(Inputs!$F$11/1000)^2/4)*((Inputs!$F$11/1000/4)^(2/3))*SQRT(N94))</f>
        <v/>
      </c>
      <c r="AK94" s="4">
        <f>IF(A94="","",(1/Inputs!$B$9)*(PI()*(Inputs!$F$12/1000)^2/4)*((Inputs!$F$12/1000/4)^(2/3))*SQRT(N94))</f>
        <v/>
      </c>
      <c r="AL94" s="4">
        <f>IF(A94="","",(1/Inputs!$B$9)*(PI()*(Inputs!$F$13/1000)^2/4)*((Inputs!$F$13/1000/4)^(2/3))*SQRT(N94))</f>
        <v/>
      </c>
      <c r="AM94" s="4">
        <f>IF(A94="","",(1/Inputs!$B$9)*(PI()*(Inputs!$F$14/1000)^2/4)*((Inputs!$F$14/1000/4)^(2/3))*SQRT(N94))</f>
        <v/>
      </c>
    </row>
    <row r="95">
      <c r="A95" s="4" t="n"/>
      <c r="B95" s="4" t="n"/>
      <c r="C95" s="8" t="n"/>
      <c r="D95" s="8" t="n"/>
      <c r="E95" s="8">
        <f>SUMIFS(CB_Tributaires!$C:$C,CB_Tributaires!$B:$B,$A95)</f>
        <v/>
      </c>
      <c r="F95" s="8">
        <f>IF(D95="",E95,D95)</f>
        <v/>
      </c>
      <c r="G95" s="4" t="n"/>
      <c r="H95" s="8" t="n"/>
      <c r="I95" s="8">
        <f>IF(A95="","",Inputs!$B$13/((IF(H95="",Inputs!$B$18,H95)+Inputs!$B$14)^Inputs!$B$15))</f>
        <v/>
      </c>
      <c r="J95" s="8">
        <f>IF(A95="","",0.00278*IF(G95="",Inputs!$B$17,G95)*F95*I95)</f>
        <v/>
      </c>
      <c r="K95" s="8">
        <f>IF(A95="","",SUMIFS($L$4:$L$203,$B$4:$B$203,$A95))</f>
        <v/>
      </c>
      <c r="L95" s="8">
        <f>IF(A95="","",(J95+K95)*Inputs!$B$16)</f>
        <v/>
      </c>
      <c r="M95" s="8" t="n"/>
      <c r="N95" s="8">
        <f>IF(A95="","",IF(M95="",Inputs!$B$7,M95))</f>
        <v/>
      </c>
      <c r="O95" s="4">
        <f>IF(A95="","",IF(L95/Inputs!$B$10&lt;=AD95,Inputs!$F$5,IF(L95/Inputs!$B$10&gt;AM95,"OVERSIZE",INDEX(Inputs!$F$5:$F$14,MATCH(L95/Inputs!$B$10,AD95:AM95,1)+1))))</f>
        <v/>
      </c>
      <c r="P95" s="4" t="n"/>
      <c r="Q95" s="4">
        <f>IF(A95="","",IF(P95="",O95,P95))</f>
        <v/>
      </c>
      <c r="R95" s="8">
        <f>IF(OR(Q95="",Q95="OVERSIZE"),"",Q95/1000)</f>
        <v/>
      </c>
      <c r="S95" s="8">
        <f>IF(R95="","",(1/Inputs!$B$9)*(PI()*R95^2/4)*((R95/4)^(2/3))*SQRT(N95))</f>
        <v/>
      </c>
      <c r="T95" s="8">
        <f>IF(OR(S95="",L95=""),"",L95/(S95*Inputs!$B$10))</f>
        <v/>
      </c>
      <c r="U95" s="8">
        <f>IF(OR(R95="",L95=""),"",4*L95/(PI()*R95^2))</f>
        <v/>
      </c>
      <c r="V95" s="8" t="n"/>
      <c r="W95" s="8">
        <f>IF(A95="","",IF(A95=Inputs!$B$6,Inputs!$B$22,IF(B95="","",IFERROR(INDEX($X$4:$X$203,MATCH(B95,$A$4:$A$203,0))+IF(V95="",Inputs!$B$20,V95),""))))</f>
        <v/>
      </c>
      <c r="X95" s="8">
        <f>IF(OR(W95="",N95="",C95=""),"",W95+N95*C95)</f>
        <v/>
      </c>
      <c r="Y95" s="8" t="n"/>
      <c r="Z95" s="8" t="n"/>
      <c r="AA95" s="8">
        <f>IF(OR(Y95="",W95=""),"",Y95-W95)</f>
        <v/>
      </c>
      <c r="AB95" s="8">
        <f>IF(OR(Z95="",X95=""),"",Z95-X95)</f>
        <v/>
      </c>
      <c r="AC95" s="4">
        <f>IF(A95="","",IF(OR(T95&gt;1,U95&lt;Inputs!$B$11,U95&gt;Inputs!$B$12,AA95&lt;Inputs!$B$19,AB95&lt;Inputs!$B$19,N95&lt;Inputs!$B$7,N95&gt;Inputs!$B$8),"CHECK","OK"))</f>
        <v/>
      </c>
      <c r="AD95" s="4">
        <f>IF(A95="","",(1/Inputs!$B$9)*(PI()*(Inputs!$F$5/1000)^2/4)*((Inputs!$F$5/1000/4)^(2/3))*SQRT(N95))</f>
        <v/>
      </c>
      <c r="AE95" s="4">
        <f>IF(A95="","",(1/Inputs!$B$9)*(PI()*(Inputs!$F$6/1000)^2/4)*((Inputs!$F$6/1000/4)^(2/3))*SQRT(N95))</f>
        <v/>
      </c>
      <c r="AF95" s="4">
        <f>IF(A95="","",(1/Inputs!$B$9)*(PI()*(Inputs!$F$7/1000)^2/4)*((Inputs!$F$7/1000/4)^(2/3))*SQRT(N95))</f>
        <v/>
      </c>
      <c r="AG95" s="4">
        <f>IF(A95="","",(1/Inputs!$B$9)*(PI()*(Inputs!$F$8/1000)^2/4)*((Inputs!$F$8/1000/4)^(2/3))*SQRT(N95))</f>
        <v/>
      </c>
      <c r="AH95" s="4">
        <f>IF(A95="","",(1/Inputs!$B$9)*(PI()*(Inputs!$F$9/1000)^2/4)*((Inputs!$F$9/1000/4)^(2/3))*SQRT(N95))</f>
        <v/>
      </c>
      <c r="AI95" s="4">
        <f>IF(A95="","",(1/Inputs!$B$9)*(PI()*(Inputs!$F$10/1000)^2/4)*((Inputs!$F$10/1000/4)^(2/3))*SQRT(N95))</f>
        <v/>
      </c>
      <c r="AJ95" s="4">
        <f>IF(A95="","",(1/Inputs!$B$9)*(PI()*(Inputs!$F$11/1000)^2/4)*((Inputs!$F$11/1000/4)^(2/3))*SQRT(N95))</f>
        <v/>
      </c>
      <c r="AK95" s="4">
        <f>IF(A95="","",(1/Inputs!$B$9)*(PI()*(Inputs!$F$12/1000)^2/4)*((Inputs!$F$12/1000/4)^(2/3))*SQRT(N95))</f>
        <v/>
      </c>
      <c r="AL95" s="4">
        <f>IF(A95="","",(1/Inputs!$B$9)*(PI()*(Inputs!$F$13/1000)^2/4)*((Inputs!$F$13/1000/4)^(2/3))*SQRT(N95))</f>
        <v/>
      </c>
      <c r="AM95" s="4">
        <f>IF(A95="","",(1/Inputs!$B$9)*(PI()*(Inputs!$F$14/1000)^2/4)*((Inputs!$F$14/1000/4)^(2/3))*SQRT(N95))</f>
        <v/>
      </c>
    </row>
    <row r="96">
      <c r="A96" s="4" t="n"/>
      <c r="B96" s="4" t="n"/>
      <c r="C96" s="8" t="n"/>
      <c r="D96" s="8" t="n"/>
      <c r="E96" s="8">
        <f>SUMIFS(CB_Tributaires!$C:$C,CB_Tributaires!$B:$B,$A96)</f>
        <v/>
      </c>
      <c r="F96" s="8">
        <f>IF(D96="",E96,D96)</f>
        <v/>
      </c>
      <c r="G96" s="4" t="n"/>
      <c r="H96" s="8" t="n"/>
      <c r="I96" s="8">
        <f>IF(A96="","",Inputs!$B$13/((IF(H96="",Inputs!$B$18,H96)+Inputs!$B$14)^Inputs!$B$15))</f>
        <v/>
      </c>
      <c r="J96" s="8">
        <f>IF(A96="","",0.00278*IF(G96="",Inputs!$B$17,G96)*F96*I96)</f>
        <v/>
      </c>
      <c r="K96" s="8">
        <f>IF(A96="","",SUMIFS($L$4:$L$203,$B$4:$B$203,$A96))</f>
        <v/>
      </c>
      <c r="L96" s="8">
        <f>IF(A96="","",(J96+K96)*Inputs!$B$16)</f>
        <v/>
      </c>
      <c r="M96" s="8" t="n"/>
      <c r="N96" s="8">
        <f>IF(A96="","",IF(M96="",Inputs!$B$7,M96))</f>
        <v/>
      </c>
      <c r="O96" s="4">
        <f>IF(A96="","",IF(L96/Inputs!$B$10&lt;=AD96,Inputs!$F$5,IF(L96/Inputs!$B$10&gt;AM96,"OVERSIZE",INDEX(Inputs!$F$5:$F$14,MATCH(L96/Inputs!$B$10,AD96:AM96,1)+1))))</f>
        <v/>
      </c>
      <c r="P96" s="4" t="n"/>
      <c r="Q96" s="4">
        <f>IF(A96="","",IF(P96="",O96,P96))</f>
        <v/>
      </c>
      <c r="R96" s="8">
        <f>IF(OR(Q96="",Q96="OVERSIZE"),"",Q96/1000)</f>
        <v/>
      </c>
      <c r="S96" s="8">
        <f>IF(R96="","",(1/Inputs!$B$9)*(PI()*R96^2/4)*((R96/4)^(2/3))*SQRT(N96))</f>
        <v/>
      </c>
      <c r="T96" s="8">
        <f>IF(OR(S96="",L96=""),"",L96/(S96*Inputs!$B$10))</f>
        <v/>
      </c>
      <c r="U96" s="8">
        <f>IF(OR(R96="",L96=""),"",4*L96/(PI()*R96^2))</f>
        <v/>
      </c>
      <c r="V96" s="8" t="n"/>
      <c r="W96" s="8">
        <f>IF(A96="","",IF(A96=Inputs!$B$6,Inputs!$B$22,IF(B96="","",IFERROR(INDEX($X$4:$X$203,MATCH(B96,$A$4:$A$203,0))+IF(V96="",Inputs!$B$20,V96),""))))</f>
        <v/>
      </c>
      <c r="X96" s="8">
        <f>IF(OR(W96="",N96="",C96=""),"",W96+N96*C96)</f>
        <v/>
      </c>
      <c r="Y96" s="8" t="n"/>
      <c r="Z96" s="8" t="n"/>
      <c r="AA96" s="8">
        <f>IF(OR(Y96="",W96=""),"",Y96-W96)</f>
        <v/>
      </c>
      <c r="AB96" s="8">
        <f>IF(OR(Z96="",X96=""),"",Z96-X96)</f>
        <v/>
      </c>
      <c r="AC96" s="4">
        <f>IF(A96="","",IF(OR(T96&gt;1,U96&lt;Inputs!$B$11,U96&gt;Inputs!$B$12,AA96&lt;Inputs!$B$19,AB96&lt;Inputs!$B$19,N96&lt;Inputs!$B$7,N96&gt;Inputs!$B$8),"CHECK","OK"))</f>
        <v/>
      </c>
      <c r="AD96" s="4">
        <f>IF(A96="","",(1/Inputs!$B$9)*(PI()*(Inputs!$F$5/1000)^2/4)*((Inputs!$F$5/1000/4)^(2/3))*SQRT(N96))</f>
        <v/>
      </c>
      <c r="AE96" s="4">
        <f>IF(A96="","",(1/Inputs!$B$9)*(PI()*(Inputs!$F$6/1000)^2/4)*((Inputs!$F$6/1000/4)^(2/3))*SQRT(N96))</f>
        <v/>
      </c>
      <c r="AF96" s="4">
        <f>IF(A96="","",(1/Inputs!$B$9)*(PI()*(Inputs!$F$7/1000)^2/4)*((Inputs!$F$7/1000/4)^(2/3))*SQRT(N96))</f>
        <v/>
      </c>
      <c r="AG96" s="4">
        <f>IF(A96="","",(1/Inputs!$B$9)*(PI()*(Inputs!$F$8/1000)^2/4)*((Inputs!$F$8/1000/4)^(2/3))*SQRT(N96))</f>
        <v/>
      </c>
      <c r="AH96" s="4">
        <f>IF(A96="","",(1/Inputs!$B$9)*(PI()*(Inputs!$F$9/1000)^2/4)*((Inputs!$F$9/1000/4)^(2/3))*SQRT(N96))</f>
        <v/>
      </c>
      <c r="AI96" s="4">
        <f>IF(A96="","",(1/Inputs!$B$9)*(PI()*(Inputs!$F$10/1000)^2/4)*((Inputs!$F$10/1000/4)^(2/3))*SQRT(N96))</f>
        <v/>
      </c>
      <c r="AJ96" s="4">
        <f>IF(A96="","",(1/Inputs!$B$9)*(PI()*(Inputs!$F$11/1000)^2/4)*((Inputs!$F$11/1000/4)^(2/3))*SQRT(N96))</f>
        <v/>
      </c>
      <c r="AK96" s="4">
        <f>IF(A96="","",(1/Inputs!$B$9)*(PI()*(Inputs!$F$12/1000)^2/4)*((Inputs!$F$12/1000/4)^(2/3))*SQRT(N96))</f>
        <v/>
      </c>
      <c r="AL96" s="4">
        <f>IF(A96="","",(1/Inputs!$B$9)*(PI()*(Inputs!$F$13/1000)^2/4)*((Inputs!$F$13/1000/4)^(2/3))*SQRT(N96))</f>
        <v/>
      </c>
      <c r="AM96" s="4">
        <f>IF(A96="","",(1/Inputs!$B$9)*(PI()*(Inputs!$F$14/1000)^2/4)*((Inputs!$F$14/1000/4)^(2/3))*SQRT(N96))</f>
        <v/>
      </c>
    </row>
    <row r="97">
      <c r="A97" s="4" t="n"/>
      <c r="B97" s="4" t="n"/>
      <c r="C97" s="8" t="n"/>
      <c r="D97" s="8" t="n"/>
      <c r="E97" s="8">
        <f>SUMIFS(CB_Tributaires!$C:$C,CB_Tributaires!$B:$B,$A97)</f>
        <v/>
      </c>
      <c r="F97" s="8">
        <f>IF(D97="",E97,D97)</f>
        <v/>
      </c>
      <c r="G97" s="4" t="n"/>
      <c r="H97" s="8" t="n"/>
      <c r="I97" s="8">
        <f>IF(A97="","",Inputs!$B$13/((IF(H97="",Inputs!$B$18,H97)+Inputs!$B$14)^Inputs!$B$15))</f>
        <v/>
      </c>
      <c r="J97" s="8">
        <f>IF(A97="","",0.00278*IF(G97="",Inputs!$B$17,G97)*F97*I97)</f>
        <v/>
      </c>
      <c r="K97" s="8">
        <f>IF(A97="","",SUMIFS($L$4:$L$203,$B$4:$B$203,$A97))</f>
        <v/>
      </c>
      <c r="L97" s="8">
        <f>IF(A97="","",(J97+K97)*Inputs!$B$16)</f>
        <v/>
      </c>
      <c r="M97" s="8" t="n"/>
      <c r="N97" s="8">
        <f>IF(A97="","",IF(M97="",Inputs!$B$7,M97))</f>
        <v/>
      </c>
      <c r="O97" s="4">
        <f>IF(A97="","",IF(L97/Inputs!$B$10&lt;=AD97,Inputs!$F$5,IF(L97/Inputs!$B$10&gt;AM97,"OVERSIZE",INDEX(Inputs!$F$5:$F$14,MATCH(L97/Inputs!$B$10,AD97:AM97,1)+1))))</f>
        <v/>
      </c>
      <c r="P97" s="4" t="n"/>
      <c r="Q97" s="4">
        <f>IF(A97="","",IF(P97="",O97,P97))</f>
        <v/>
      </c>
      <c r="R97" s="8">
        <f>IF(OR(Q97="",Q97="OVERSIZE"),"",Q97/1000)</f>
        <v/>
      </c>
      <c r="S97" s="8">
        <f>IF(R97="","",(1/Inputs!$B$9)*(PI()*R97^2/4)*((R97/4)^(2/3))*SQRT(N97))</f>
        <v/>
      </c>
      <c r="T97" s="8">
        <f>IF(OR(S97="",L97=""),"",L97/(S97*Inputs!$B$10))</f>
        <v/>
      </c>
      <c r="U97" s="8">
        <f>IF(OR(R97="",L97=""),"",4*L97/(PI()*R97^2))</f>
        <v/>
      </c>
      <c r="V97" s="8" t="n"/>
      <c r="W97" s="8">
        <f>IF(A97="","",IF(A97=Inputs!$B$6,Inputs!$B$22,IF(B97="","",IFERROR(INDEX($X$4:$X$203,MATCH(B97,$A$4:$A$203,0))+IF(V97="",Inputs!$B$20,V97),""))))</f>
        <v/>
      </c>
      <c r="X97" s="8">
        <f>IF(OR(W97="",N97="",C97=""),"",W97+N97*C97)</f>
        <v/>
      </c>
      <c r="Y97" s="8" t="n"/>
      <c r="Z97" s="8" t="n"/>
      <c r="AA97" s="8">
        <f>IF(OR(Y97="",W97=""),"",Y97-W97)</f>
        <v/>
      </c>
      <c r="AB97" s="8">
        <f>IF(OR(Z97="",X97=""),"",Z97-X97)</f>
        <v/>
      </c>
      <c r="AC97" s="4">
        <f>IF(A97="","",IF(OR(T97&gt;1,U97&lt;Inputs!$B$11,U97&gt;Inputs!$B$12,AA97&lt;Inputs!$B$19,AB97&lt;Inputs!$B$19,N97&lt;Inputs!$B$7,N97&gt;Inputs!$B$8),"CHECK","OK"))</f>
        <v/>
      </c>
      <c r="AD97" s="4">
        <f>IF(A97="","",(1/Inputs!$B$9)*(PI()*(Inputs!$F$5/1000)^2/4)*((Inputs!$F$5/1000/4)^(2/3))*SQRT(N97))</f>
        <v/>
      </c>
      <c r="AE97" s="4">
        <f>IF(A97="","",(1/Inputs!$B$9)*(PI()*(Inputs!$F$6/1000)^2/4)*((Inputs!$F$6/1000/4)^(2/3))*SQRT(N97))</f>
        <v/>
      </c>
      <c r="AF97" s="4">
        <f>IF(A97="","",(1/Inputs!$B$9)*(PI()*(Inputs!$F$7/1000)^2/4)*((Inputs!$F$7/1000/4)^(2/3))*SQRT(N97))</f>
        <v/>
      </c>
      <c r="AG97" s="4">
        <f>IF(A97="","",(1/Inputs!$B$9)*(PI()*(Inputs!$F$8/1000)^2/4)*((Inputs!$F$8/1000/4)^(2/3))*SQRT(N97))</f>
        <v/>
      </c>
      <c r="AH97" s="4">
        <f>IF(A97="","",(1/Inputs!$B$9)*(PI()*(Inputs!$F$9/1000)^2/4)*((Inputs!$F$9/1000/4)^(2/3))*SQRT(N97))</f>
        <v/>
      </c>
      <c r="AI97" s="4">
        <f>IF(A97="","",(1/Inputs!$B$9)*(PI()*(Inputs!$F$10/1000)^2/4)*((Inputs!$F$10/1000/4)^(2/3))*SQRT(N97))</f>
        <v/>
      </c>
      <c r="AJ97" s="4">
        <f>IF(A97="","",(1/Inputs!$B$9)*(PI()*(Inputs!$F$11/1000)^2/4)*((Inputs!$F$11/1000/4)^(2/3))*SQRT(N97))</f>
        <v/>
      </c>
      <c r="AK97" s="4">
        <f>IF(A97="","",(1/Inputs!$B$9)*(PI()*(Inputs!$F$12/1000)^2/4)*((Inputs!$F$12/1000/4)^(2/3))*SQRT(N97))</f>
        <v/>
      </c>
      <c r="AL97" s="4">
        <f>IF(A97="","",(1/Inputs!$B$9)*(PI()*(Inputs!$F$13/1000)^2/4)*((Inputs!$F$13/1000/4)^(2/3))*SQRT(N97))</f>
        <v/>
      </c>
      <c r="AM97" s="4">
        <f>IF(A97="","",(1/Inputs!$B$9)*(PI()*(Inputs!$F$14/1000)^2/4)*((Inputs!$F$14/1000/4)^(2/3))*SQRT(N97))</f>
        <v/>
      </c>
    </row>
    <row r="98">
      <c r="A98" s="4" t="n"/>
      <c r="B98" s="4" t="n"/>
      <c r="C98" s="8" t="n"/>
      <c r="D98" s="8" t="n"/>
      <c r="E98" s="8">
        <f>SUMIFS(CB_Tributaires!$C:$C,CB_Tributaires!$B:$B,$A98)</f>
        <v/>
      </c>
      <c r="F98" s="8">
        <f>IF(D98="",E98,D98)</f>
        <v/>
      </c>
      <c r="G98" s="4" t="n"/>
      <c r="H98" s="8" t="n"/>
      <c r="I98" s="8">
        <f>IF(A98="","",Inputs!$B$13/((IF(H98="",Inputs!$B$18,H98)+Inputs!$B$14)^Inputs!$B$15))</f>
        <v/>
      </c>
      <c r="J98" s="8">
        <f>IF(A98="","",0.00278*IF(G98="",Inputs!$B$17,G98)*F98*I98)</f>
        <v/>
      </c>
      <c r="K98" s="8">
        <f>IF(A98="","",SUMIFS($L$4:$L$203,$B$4:$B$203,$A98))</f>
        <v/>
      </c>
      <c r="L98" s="8">
        <f>IF(A98="","",(J98+K98)*Inputs!$B$16)</f>
        <v/>
      </c>
      <c r="M98" s="8" t="n"/>
      <c r="N98" s="8">
        <f>IF(A98="","",IF(M98="",Inputs!$B$7,M98))</f>
        <v/>
      </c>
      <c r="O98" s="4">
        <f>IF(A98="","",IF(L98/Inputs!$B$10&lt;=AD98,Inputs!$F$5,IF(L98/Inputs!$B$10&gt;AM98,"OVERSIZE",INDEX(Inputs!$F$5:$F$14,MATCH(L98/Inputs!$B$10,AD98:AM98,1)+1))))</f>
        <v/>
      </c>
      <c r="P98" s="4" t="n"/>
      <c r="Q98" s="4">
        <f>IF(A98="","",IF(P98="",O98,P98))</f>
        <v/>
      </c>
      <c r="R98" s="8">
        <f>IF(OR(Q98="",Q98="OVERSIZE"),"",Q98/1000)</f>
        <v/>
      </c>
      <c r="S98" s="8">
        <f>IF(R98="","",(1/Inputs!$B$9)*(PI()*R98^2/4)*((R98/4)^(2/3))*SQRT(N98))</f>
        <v/>
      </c>
      <c r="T98" s="8">
        <f>IF(OR(S98="",L98=""),"",L98/(S98*Inputs!$B$10))</f>
        <v/>
      </c>
      <c r="U98" s="8">
        <f>IF(OR(R98="",L98=""),"",4*L98/(PI()*R98^2))</f>
        <v/>
      </c>
      <c r="V98" s="8" t="n"/>
      <c r="W98" s="8">
        <f>IF(A98="","",IF(A98=Inputs!$B$6,Inputs!$B$22,IF(B98="","",IFERROR(INDEX($X$4:$X$203,MATCH(B98,$A$4:$A$203,0))+IF(V98="",Inputs!$B$20,V98),""))))</f>
        <v/>
      </c>
      <c r="X98" s="8">
        <f>IF(OR(W98="",N98="",C98=""),"",W98+N98*C98)</f>
        <v/>
      </c>
      <c r="Y98" s="8" t="n"/>
      <c r="Z98" s="8" t="n"/>
      <c r="AA98" s="8">
        <f>IF(OR(Y98="",W98=""),"",Y98-W98)</f>
        <v/>
      </c>
      <c r="AB98" s="8">
        <f>IF(OR(Z98="",X98=""),"",Z98-X98)</f>
        <v/>
      </c>
      <c r="AC98" s="4">
        <f>IF(A98="","",IF(OR(T98&gt;1,U98&lt;Inputs!$B$11,U98&gt;Inputs!$B$12,AA98&lt;Inputs!$B$19,AB98&lt;Inputs!$B$19,N98&lt;Inputs!$B$7,N98&gt;Inputs!$B$8),"CHECK","OK"))</f>
        <v/>
      </c>
      <c r="AD98" s="4">
        <f>IF(A98="","",(1/Inputs!$B$9)*(PI()*(Inputs!$F$5/1000)^2/4)*((Inputs!$F$5/1000/4)^(2/3))*SQRT(N98))</f>
        <v/>
      </c>
      <c r="AE98" s="4">
        <f>IF(A98="","",(1/Inputs!$B$9)*(PI()*(Inputs!$F$6/1000)^2/4)*((Inputs!$F$6/1000/4)^(2/3))*SQRT(N98))</f>
        <v/>
      </c>
      <c r="AF98" s="4">
        <f>IF(A98="","",(1/Inputs!$B$9)*(PI()*(Inputs!$F$7/1000)^2/4)*((Inputs!$F$7/1000/4)^(2/3))*SQRT(N98))</f>
        <v/>
      </c>
      <c r="AG98" s="4">
        <f>IF(A98="","",(1/Inputs!$B$9)*(PI()*(Inputs!$F$8/1000)^2/4)*((Inputs!$F$8/1000/4)^(2/3))*SQRT(N98))</f>
        <v/>
      </c>
      <c r="AH98" s="4">
        <f>IF(A98="","",(1/Inputs!$B$9)*(PI()*(Inputs!$F$9/1000)^2/4)*((Inputs!$F$9/1000/4)^(2/3))*SQRT(N98))</f>
        <v/>
      </c>
      <c r="AI98" s="4">
        <f>IF(A98="","",(1/Inputs!$B$9)*(PI()*(Inputs!$F$10/1000)^2/4)*((Inputs!$F$10/1000/4)^(2/3))*SQRT(N98))</f>
        <v/>
      </c>
      <c r="AJ98" s="4">
        <f>IF(A98="","",(1/Inputs!$B$9)*(PI()*(Inputs!$F$11/1000)^2/4)*((Inputs!$F$11/1000/4)^(2/3))*SQRT(N98))</f>
        <v/>
      </c>
      <c r="AK98" s="4">
        <f>IF(A98="","",(1/Inputs!$B$9)*(PI()*(Inputs!$F$12/1000)^2/4)*((Inputs!$F$12/1000/4)^(2/3))*SQRT(N98))</f>
        <v/>
      </c>
      <c r="AL98" s="4">
        <f>IF(A98="","",(1/Inputs!$B$9)*(PI()*(Inputs!$F$13/1000)^2/4)*((Inputs!$F$13/1000/4)^(2/3))*SQRT(N98))</f>
        <v/>
      </c>
      <c r="AM98" s="4">
        <f>IF(A98="","",(1/Inputs!$B$9)*(PI()*(Inputs!$F$14/1000)^2/4)*((Inputs!$F$14/1000/4)^(2/3))*SQRT(N98))</f>
        <v/>
      </c>
    </row>
    <row r="99">
      <c r="A99" s="4" t="n"/>
      <c r="B99" s="4" t="n"/>
      <c r="C99" s="8" t="n"/>
      <c r="D99" s="8" t="n"/>
      <c r="E99" s="8">
        <f>SUMIFS(CB_Tributaires!$C:$C,CB_Tributaires!$B:$B,$A99)</f>
        <v/>
      </c>
      <c r="F99" s="8">
        <f>IF(D99="",E99,D99)</f>
        <v/>
      </c>
      <c r="G99" s="4" t="n"/>
      <c r="H99" s="8" t="n"/>
      <c r="I99" s="8">
        <f>IF(A99="","",Inputs!$B$13/((IF(H99="",Inputs!$B$18,H99)+Inputs!$B$14)^Inputs!$B$15))</f>
        <v/>
      </c>
      <c r="J99" s="8">
        <f>IF(A99="","",0.00278*IF(G99="",Inputs!$B$17,G99)*F99*I99)</f>
        <v/>
      </c>
      <c r="K99" s="8">
        <f>IF(A99="","",SUMIFS($L$4:$L$203,$B$4:$B$203,$A99))</f>
        <v/>
      </c>
      <c r="L99" s="8">
        <f>IF(A99="","",(J99+K99)*Inputs!$B$16)</f>
        <v/>
      </c>
      <c r="M99" s="8" t="n"/>
      <c r="N99" s="8">
        <f>IF(A99="","",IF(M99="",Inputs!$B$7,M99))</f>
        <v/>
      </c>
      <c r="O99" s="4">
        <f>IF(A99="","",IF(L99/Inputs!$B$10&lt;=AD99,Inputs!$F$5,IF(L99/Inputs!$B$10&gt;AM99,"OVERSIZE",INDEX(Inputs!$F$5:$F$14,MATCH(L99/Inputs!$B$10,AD99:AM99,1)+1))))</f>
        <v/>
      </c>
      <c r="P99" s="4" t="n"/>
      <c r="Q99" s="4">
        <f>IF(A99="","",IF(P99="",O99,P99))</f>
        <v/>
      </c>
      <c r="R99" s="8">
        <f>IF(OR(Q99="",Q99="OVERSIZE"),"",Q99/1000)</f>
        <v/>
      </c>
      <c r="S99" s="8">
        <f>IF(R99="","",(1/Inputs!$B$9)*(PI()*R99^2/4)*((R99/4)^(2/3))*SQRT(N99))</f>
        <v/>
      </c>
      <c r="T99" s="8">
        <f>IF(OR(S99="",L99=""),"",L99/(S99*Inputs!$B$10))</f>
        <v/>
      </c>
      <c r="U99" s="8">
        <f>IF(OR(R99="",L99=""),"",4*L99/(PI()*R99^2))</f>
        <v/>
      </c>
      <c r="V99" s="8" t="n"/>
      <c r="W99" s="8">
        <f>IF(A99="","",IF(A99=Inputs!$B$6,Inputs!$B$22,IF(B99="","",IFERROR(INDEX($X$4:$X$203,MATCH(B99,$A$4:$A$203,0))+IF(V99="",Inputs!$B$20,V99),""))))</f>
        <v/>
      </c>
      <c r="X99" s="8">
        <f>IF(OR(W99="",N99="",C99=""),"",W99+N99*C99)</f>
        <v/>
      </c>
      <c r="Y99" s="8" t="n"/>
      <c r="Z99" s="8" t="n"/>
      <c r="AA99" s="8">
        <f>IF(OR(Y99="",W99=""),"",Y99-W99)</f>
        <v/>
      </c>
      <c r="AB99" s="8">
        <f>IF(OR(Z99="",X99=""),"",Z99-X99)</f>
        <v/>
      </c>
      <c r="AC99" s="4">
        <f>IF(A99="","",IF(OR(T99&gt;1,U99&lt;Inputs!$B$11,U99&gt;Inputs!$B$12,AA99&lt;Inputs!$B$19,AB99&lt;Inputs!$B$19,N99&lt;Inputs!$B$7,N99&gt;Inputs!$B$8),"CHECK","OK"))</f>
        <v/>
      </c>
      <c r="AD99" s="4">
        <f>IF(A99="","",(1/Inputs!$B$9)*(PI()*(Inputs!$F$5/1000)^2/4)*((Inputs!$F$5/1000/4)^(2/3))*SQRT(N99))</f>
        <v/>
      </c>
      <c r="AE99" s="4">
        <f>IF(A99="","",(1/Inputs!$B$9)*(PI()*(Inputs!$F$6/1000)^2/4)*((Inputs!$F$6/1000/4)^(2/3))*SQRT(N99))</f>
        <v/>
      </c>
      <c r="AF99" s="4">
        <f>IF(A99="","",(1/Inputs!$B$9)*(PI()*(Inputs!$F$7/1000)^2/4)*((Inputs!$F$7/1000/4)^(2/3))*SQRT(N99))</f>
        <v/>
      </c>
      <c r="AG99" s="4">
        <f>IF(A99="","",(1/Inputs!$B$9)*(PI()*(Inputs!$F$8/1000)^2/4)*((Inputs!$F$8/1000/4)^(2/3))*SQRT(N99))</f>
        <v/>
      </c>
      <c r="AH99" s="4">
        <f>IF(A99="","",(1/Inputs!$B$9)*(PI()*(Inputs!$F$9/1000)^2/4)*((Inputs!$F$9/1000/4)^(2/3))*SQRT(N99))</f>
        <v/>
      </c>
      <c r="AI99" s="4">
        <f>IF(A99="","",(1/Inputs!$B$9)*(PI()*(Inputs!$F$10/1000)^2/4)*((Inputs!$F$10/1000/4)^(2/3))*SQRT(N99))</f>
        <v/>
      </c>
      <c r="AJ99" s="4">
        <f>IF(A99="","",(1/Inputs!$B$9)*(PI()*(Inputs!$F$11/1000)^2/4)*((Inputs!$F$11/1000/4)^(2/3))*SQRT(N99))</f>
        <v/>
      </c>
      <c r="AK99" s="4">
        <f>IF(A99="","",(1/Inputs!$B$9)*(PI()*(Inputs!$F$12/1000)^2/4)*((Inputs!$F$12/1000/4)^(2/3))*SQRT(N99))</f>
        <v/>
      </c>
      <c r="AL99" s="4">
        <f>IF(A99="","",(1/Inputs!$B$9)*(PI()*(Inputs!$F$13/1000)^2/4)*((Inputs!$F$13/1000/4)^(2/3))*SQRT(N99))</f>
        <v/>
      </c>
      <c r="AM99" s="4">
        <f>IF(A99="","",(1/Inputs!$B$9)*(PI()*(Inputs!$F$14/1000)^2/4)*((Inputs!$F$14/1000/4)^(2/3))*SQRT(N99))</f>
        <v/>
      </c>
    </row>
    <row r="100">
      <c r="A100" s="4" t="n"/>
      <c r="B100" s="4" t="n"/>
      <c r="C100" s="8" t="n"/>
      <c r="D100" s="8" t="n"/>
      <c r="E100" s="8">
        <f>SUMIFS(CB_Tributaires!$C:$C,CB_Tributaires!$B:$B,$A100)</f>
        <v/>
      </c>
      <c r="F100" s="8">
        <f>IF(D100="",E100,D100)</f>
        <v/>
      </c>
      <c r="G100" s="4" t="n"/>
      <c r="H100" s="8" t="n"/>
      <c r="I100" s="8">
        <f>IF(A100="","",Inputs!$B$13/((IF(H100="",Inputs!$B$18,H100)+Inputs!$B$14)^Inputs!$B$15))</f>
        <v/>
      </c>
      <c r="J100" s="8">
        <f>IF(A100="","",0.00278*IF(G100="",Inputs!$B$17,G100)*F100*I100)</f>
        <v/>
      </c>
      <c r="K100" s="8">
        <f>IF(A100="","",SUMIFS($L$4:$L$203,$B$4:$B$203,$A100))</f>
        <v/>
      </c>
      <c r="L100" s="8">
        <f>IF(A100="","",(J100+K100)*Inputs!$B$16)</f>
        <v/>
      </c>
      <c r="M100" s="8" t="n"/>
      <c r="N100" s="8">
        <f>IF(A100="","",IF(M100="",Inputs!$B$7,M100))</f>
        <v/>
      </c>
      <c r="O100" s="4">
        <f>IF(A100="","",IF(L100/Inputs!$B$10&lt;=AD100,Inputs!$F$5,IF(L100/Inputs!$B$10&gt;AM100,"OVERSIZE",INDEX(Inputs!$F$5:$F$14,MATCH(L100/Inputs!$B$10,AD100:AM100,1)+1))))</f>
        <v/>
      </c>
      <c r="P100" s="4" t="n"/>
      <c r="Q100" s="4">
        <f>IF(A100="","",IF(P100="",O100,P100))</f>
        <v/>
      </c>
      <c r="R100" s="8">
        <f>IF(OR(Q100="",Q100="OVERSIZE"),"",Q100/1000)</f>
        <v/>
      </c>
      <c r="S100" s="8">
        <f>IF(R100="","",(1/Inputs!$B$9)*(PI()*R100^2/4)*((R100/4)^(2/3))*SQRT(N100))</f>
        <v/>
      </c>
      <c r="T100" s="8">
        <f>IF(OR(S100="",L100=""),"",L100/(S100*Inputs!$B$10))</f>
        <v/>
      </c>
      <c r="U100" s="8">
        <f>IF(OR(R100="",L100=""),"",4*L100/(PI()*R100^2))</f>
        <v/>
      </c>
      <c r="V100" s="8" t="n"/>
      <c r="W100" s="8">
        <f>IF(A100="","",IF(A100=Inputs!$B$6,Inputs!$B$22,IF(B100="","",IFERROR(INDEX($X$4:$X$203,MATCH(B100,$A$4:$A$203,0))+IF(V100="",Inputs!$B$20,V100),""))))</f>
        <v/>
      </c>
      <c r="X100" s="8">
        <f>IF(OR(W100="",N100="",C100=""),"",W100+N100*C100)</f>
        <v/>
      </c>
      <c r="Y100" s="8" t="n"/>
      <c r="Z100" s="8" t="n"/>
      <c r="AA100" s="8">
        <f>IF(OR(Y100="",W100=""),"",Y100-W100)</f>
        <v/>
      </c>
      <c r="AB100" s="8">
        <f>IF(OR(Z100="",X100=""),"",Z100-X100)</f>
        <v/>
      </c>
      <c r="AC100" s="4">
        <f>IF(A100="","",IF(OR(T100&gt;1,U100&lt;Inputs!$B$11,U100&gt;Inputs!$B$12,AA100&lt;Inputs!$B$19,AB100&lt;Inputs!$B$19,N100&lt;Inputs!$B$7,N100&gt;Inputs!$B$8),"CHECK","OK"))</f>
        <v/>
      </c>
      <c r="AD100" s="4">
        <f>IF(A100="","",(1/Inputs!$B$9)*(PI()*(Inputs!$F$5/1000)^2/4)*((Inputs!$F$5/1000/4)^(2/3))*SQRT(N100))</f>
        <v/>
      </c>
      <c r="AE100" s="4">
        <f>IF(A100="","",(1/Inputs!$B$9)*(PI()*(Inputs!$F$6/1000)^2/4)*((Inputs!$F$6/1000/4)^(2/3))*SQRT(N100))</f>
        <v/>
      </c>
      <c r="AF100" s="4">
        <f>IF(A100="","",(1/Inputs!$B$9)*(PI()*(Inputs!$F$7/1000)^2/4)*((Inputs!$F$7/1000/4)^(2/3))*SQRT(N100))</f>
        <v/>
      </c>
      <c r="AG100" s="4">
        <f>IF(A100="","",(1/Inputs!$B$9)*(PI()*(Inputs!$F$8/1000)^2/4)*((Inputs!$F$8/1000/4)^(2/3))*SQRT(N100))</f>
        <v/>
      </c>
      <c r="AH100" s="4">
        <f>IF(A100="","",(1/Inputs!$B$9)*(PI()*(Inputs!$F$9/1000)^2/4)*((Inputs!$F$9/1000/4)^(2/3))*SQRT(N100))</f>
        <v/>
      </c>
      <c r="AI100" s="4">
        <f>IF(A100="","",(1/Inputs!$B$9)*(PI()*(Inputs!$F$10/1000)^2/4)*((Inputs!$F$10/1000/4)^(2/3))*SQRT(N100))</f>
        <v/>
      </c>
      <c r="AJ100" s="4">
        <f>IF(A100="","",(1/Inputs!$B$9)*(PI()*(Inputs!$F$11/1000)^2/4)*((Inputs!$F$11/1000/4)^(2/3))*SQRT(N100))</f>
        <v/>
      </c>
      <c r="AK100" s="4">
        <f>IF(A100="","",(1/Inputs!$B$9)*(PI()*(Inputs!$F$12/1000)^2/4)*((Inputs!$F$12/1000/4)^(2/3))*SQRT(N100))</f>
        <v/>
      </c>
      <c r="AL100" s="4">
        <f>IF(A100="","",(1/Inputs!$B$9)*(PI()*(Inputs!$F$13/1000)^2/4)*((Inputs!$F$13/1000/4)^(2/3))*SQRT(N100))</f>
        <v/>
      </c>
      <c r="AM100" s="4">
        <f>IF(A100="","",(1/Inputs!$B$9)*(PI()*(Inputs!$F$14/1000)^2/4)*((Inputs!$F$14/1000/4)^(2/3))*SQRT(N100))</f>
        <v/>
      </c>
    </row>
    <row r="101">
      <c r="A101" s="4" t="n"/>
      <c r="B101" s="4" t="n"/>
      <c r="C101" s="8" t="n"/>
      <c r="D101" s="8" t="n"/>
      <c r="E101" s="8">
        <f>SUMIFS(CB_Tributaires!$C:$C,CB_Tributaires!$B:$B,$A101)</f>
        <v/>
      </c>
      <c r="F101" s="8">
        <f>IF(D101="",E101,D101)</f>
        <v/>
      </c>
      <c r="G101" s="4" t="n"/>
      <c r="H101" s="8" t="n"/>
      <c r="I101" s="8">
        <f>IF(A101="","",Inputs!$B$13/((IF(H101="",Inputs!$B$18,H101)+Inputs!$B$14)^Inputs!$B$15))</f>
        <v/>
      </c>
      <c r="J101" s="8">
        <f>IF(A101="","",0.00278*IF(G101="",Inputs!$B$17,G101)*F101*I101)</f>
        <v/>
      </c>
      <c r="K101" s="8">
        <f>IF(A101="","",SUMIFS($L$4:$L$203,$B$4:$B$203,$A101))</f>
        <v/>
      </c>
      <c r="L101" s="8">
        <f>IF(A101="","",(J101+K101)*Inputs!$B$16)</f>
        <v/>
      </c>
      <c r="M101" s="8" t="n"/>
      <c r="N101" s="8">
        <f>IF(A101="","",IF(M101="",Inputs!$B$7,M101))</f>
        <v/>
      </c>
      <c r="O101" s="4">
        <f>IF(A101="","",IF(L101/Inputs!$B$10&lt;=AD101,Inputs!$F$5,IF(L101/Inputs!$B$10&gt;AM101,"OVERSIZE",INDEX(Inputs!$F$5:$F$14,MATCH(L101/Inputs!$B$10,AD101:AM101,1)+1))))</f>
        <v/>
      </c>
      <c r="P101" s="4" t="n"/>
      <c r="Q101" s="4">
        <f>IF(A101="","",IF(P101="",O101,P101))</f>
        <v/>
      </c>
      <c r="R101" s="8">
        <f>IF(OR(Q101="",Q101="OVERSIZE"),"",Q101/1000)</f>
        <v/>
      </c>
      <c r="S101" s="8">
        <f>IF(R101="","",(1/Inputs!$B$9)*(PI()*R101^2/4)*((R101/4)^(2/3))*SQRT(N101))</f>
        <v/>
      </c>
      <c r="T101" s="8">
        <f>IF(OR(S101="",L101=""),"",L101/(S101*Inputs!$B$10))</f>
        <v/>
      </c>
      <c r="U101" s="8">
        <f>IF(OR(R101="",L101=""),"",4*L101/(PI()*R101^2))</f>
        <v/>
      </c>
      <c r="V101" s="8" t="n"/>
      <c r="W101" s="8">
        <f>IF(A101="","",IF(A101=Inputs!$B$6,Inputs!$B$22,IF(B101="","",IFERROR(INDEX($X$4:$X$203,MATCH(B101,$A$4:$A$203,0))+IF(V101="",Inputs!$B$20,V101),""))))</f>
        <v/>
      </c>
      <c r="X101" s="8">
        <f>IF(OR(W101="",N101="",C101=""),"",W101+N101*C101)</f>
        <v/>
      </c>
      <c r="Y101" s="8" t="n"/>
      <c r="Z101" s="8" t="n"/>
      <c r="AA101" s="8">
        <f>IF(OR(Y101="",W101=""),"",Y101-W101)</f>
        <v/>
      </c>
      <c r="AB101" s="8">
        <f>IF(OR(Z101="",X101=""),"",Z101-X101)</f>
        <v/>
      </c>
      <c r="AC101" s="4">
        <f>IF(A101="","",IF(OR(T101&gt;1,U101&lt;Inputs!$B$11,U101&gt;Inputs!$B$12,AA101&lt;Inputs!$B$19,AB101&lt;Inputs!$B$19,N101&lt;Inputs!$B$7,N101&gt;Inputs!$B$8),"CHECK","OK"))</f>
        <v/>
      </c>
      <c r="AD101" s="4">
        <f>IF(A101="","",(1/Inputs!$B$9)*(PI()*(Inputs!$F$5/1000)^2/4)*((Inputs!$F$5/1000/4)^(2/3))*SQRT(N101))</f>
        <v/>
      </c>
      <c r="AE101" s="4">
        <f>IF(A101="","",(1/Inputs!$B$9)*(PI()*(Inputs!$F$6/1000)^2/4)*((Inputs!$F$6/1000/4)^(2/3))*SQRT(N101))</f>
        <v/>
      </c>
      <c r="AF101" s="4">
        <f>IF(A101="","",(1/Inputs!$B$9)*(PI()*(Inputs!$F$7/1000)^2/4)*((Inputs!$F$7/1000/4)^(2/3))*SQRT(N101))</f>
        <v/>
      </c>
      <c r="AG101" s="4">
        <f>IF(A101="","",(1/Inputs!$B$9)*(PI()*(Inputs!$F$8/1000)^2/4)*((Inputs!$F$8/1000/4)^(2/3))*SQRT(N101))</f>
        <v/>
      </c>
      <c r="AH101" s="4">
        <f>IF(A101="","",(1/Inputs!$B$9)*(PI()*(Inputs!$F$9/1000)^2/4)*((Inputs!$F$9/1000/4)^(2/3))*SQRT(N101))</f>
        <v/>
      </c>
      <c r="AI101" s="4">
        <f>IF(A101="","",(1/Inputs!$B$9)*(PI()*(Inputs!$F$10/1000)^2/4)*((Inputs!$F$10/1000/4)^(2/3))*SQRT(N101))</f>
        <v/>
      </c>
      <c r="AJ101" s="4">
        <f>IF(A101="","",(1/Inputs!$B$9)*(PI()*(Inputs!$F$11/1000)^2/4)*((Inputs!$F$11/1000/4)^(2/3))*SQRT(N101))</f>
        <v/>
      </c>
      <c r="AK101" s="4">
        <f>IF(A101="","",(1/Inputs!$B$9)*(PI()*(Inputs!$F$12/1000)^2/4)*((Inputs!$F$12/1000/4)^(2/3))*SQRT(N101))</f>
        <v/>
      </c>
      <c r="AL101" s="4">
        <f>IF(A101="","",(1/Inputs!$B$9)*(PI()*(Inputs!$F$13/1000)^2/4)*((Inputs!$F$13/1000/4)^(2/3))*SQRT(N101))</f>
        <v/>
      </c>
      <c r="AM101" s="4">
        <f>IF(A101="","",(1/Inputs!$B$9)*(PI()*(Inputs!$F$14/1000)^2/4)*((Inputs!$F$14/1000/4)^(2/3))*SQRT(N101))</f>
        <v/>
      </c>
    </row>
    <row r="102">
      <c r="A102" s="4" t="n"/>
      <c r="B102" s="4" t="n"/>
      <c r="C102" s="8" t="n"/>
      <c r="D102" s="8" t="n"/>
      <c r="E102" s="8">
        <f>SUMIFS(CB_Tributaires!$C:$C,CB_Tributaires!$B:$B,$A102)</f>
        <v/>
      </c>
      <c r="F102" s="8">
        <f>IF(D102="",E102,D102)</f>
        <v/>
      </c>
      <c r="G102" s="4" t="n"/>
      <c r="H102" s="8" t="n"/>
      <c r="I102" s="8">
        <f>IF(A102="","",Inputs!$B$13/((IF(H102="",Inputs!$B$18,H102)+Inputs!$B$14)^Inputs!$B$15))</f>
        <v/>
      </c>
      <c r="J102" s="8">
        <f>IF(A102="","",0.00278*IF(G102="",Inputs!$B$17,G102)*F102*I102)</f>
        <v/>
      </c>
      <c r="K102" s="8">
        <f>IF(A102="","",SUMIFS($L$4:$L$203,$B$4:$B$203,$A102))</f>
        <v/>
      </c>
      <c r="L102" s="8">
        <f>IF(A102="","",(J102+K102)*Inputs!$B$16)</f>
        <v/>
      </c>
      <c r="M102" s="8" t="n"/>
      <c r="N102" s="8">
        <f>IF(A102="","",IF(M102="",Inputs!$B$7,M102))</f>
        <v/>
      </c>
      <c r="O102" s="4">
        <f>IF(A102="","",IF(L102/Inputs!$B$10&lt;=AD102,Inputs!$F$5,IF(L102/Inputs!$B$10&gt;AM102,"OVERSIZE",INDEX(Inputs!$F$5:$F$14,MATCH(L102/Inputs!$B$10,AD102:AM102,1)+1))))</f>
        <v/>
      </c>
      <c r="P102" s="4" t="n"/>
      <c r="Q102" s="4">
        <f>IF(A102="","",IF(P102="",O102,P102))</f>
        <v/>
      </c>
      <c r="R102" s="8">
        <f>IF(OR(Q102="",Q102="OVERSIZE"),"",Q102/1000)</f>
        <v/>
      </c>
      <c r="S102" s="8">
        <f>IF(R102="","",(1/Inputs!$B$9)*(PI()*R102^2/4)*((R102/4)^(2/3))*SQRT(N102))</f>
        <v/>
      </c>
      <c r="T102" s="8">
        <f>IF(OR(S102="",L102=""),"",L102/(S102*Inputs!$B$10))</f>
        <v/>
      </c>
      <c r="U102" s="8">
        <f>IF(OR(R102="",L102=""),"",4*L102/(PI()*R102^2))</f>
        <v/>
      </c>
      <c r="V102" s="8" t="n"/>
      <c r="W102" s="8">
        <f>IF(A102="","",IF(A102=Inputs!$B$6,Inputs!$B$22,IF(B102="","",IFERROR(INDEX($X$4:$X$203,MATCH(B102,$A$4:$A$203,0))+IF(V102="",Inputs!$B$20,V102),""))))</f>
        <v/>
      </c>
      <c r="X102" s="8">
        <f>IF(OR(W102="",N102="",C102=""),"",W102+N102*C102)</f>
        <v/>
      </c>
      <c r="Y102" s="8" t="n"/>
      <c r="Z102" s="8" t="n"/>
      <c r="AA102" s="8">
        <f>IF(OR(Y102="",W102=""),"",Y102-W102)</f>
        <v/>
      </c>
      <c r="AB102" s="8">
        <f>IF(OR(Z102="",X102=""),"",Z102-X102)</f>
        <v/>
      </c>
      <c r="AC102" s="4">
        <f>IF(A102="","",IF(OR(T102&gt;1,U102&lt;Inputs!$B$11,U102&gt;Inputs!$B$12,AA102&lt;Inputs!$B$19,AB102&lt;Inputs!$B$19,N102&lt;Inputs!$B$7,N102&gt;Inputs!$B$8),"CHECK","OK"))</f>
        <v/>
      </c>
      <c r="AD102" s="4">
        <f>IF(A102="","",(1/Inputs!$B$9)*(PI()*(Inputs!$F$5/1000)^2/4)*((Inputs!$F$5/1000/4)^(2/3))*SQRT(N102))</f>
        <v/>
      </c>
      <c r="AE102" s="4">
        <f>IF(A102="","",(1/Inputs!$B$9)*(PI()*(Inputs!$F$6/1000)^2/4)*((Inputs!$F$6/1000/4)^(2/3))*SQRT(N102))</f>
        <v/>
      </c>
      <c r="AF102" s="4">
        <f>IF(A102="","",(1/Inputs!$B$9)*(PI()*(Inputs!$F$7/1000)^2/4)*((Inputs!$F$7/1000/4)^(2/3))*SQRT(N102))</f>
        <v/>
      </c>
      <c r="AG102" s="4">
        <f>IF(A102="","",(1/Inputs!$B$9)*(PI()*(Inputs!$F$8/1000)^2/4)*((Inputs!$F$8/1000/4)^(2/3))*SQRT(N102))</f>
        <v/>
      </c>
      <c r="AH102" s="4">
        <f>IF(A102="","",(1/Inputs!$B$9)*(PI()*(Inputs!$F$9/1000)^2/4)*((Inputs!$F$9/1000/4)^(2/3))*SQRT(N102))</f>
        <v/>
      </c>
      <c r="AI102" s="4">
        <f>IF(A102="","",(1/Inputs!$B$9)*(PI()*(Inputs!$F$10/1000)^2/4)*((Inputs!$F$10/1000/4)^(2/3))*SQRT(N102))</f>
        <v/>
      </c>
      <c r="AJ102" s="4">
        <f>IF(A102="","",(1/Inputs!$B$9)*(PI()*(Inputs!$F$11/1000)^2/4)*((Inputs!$F$11/1000/4)^(2/3))*SQRT(N102))</f>
        <v/>
      </c>
      <c r="AK102" s="4">
        <f>IF(A102="","",(1/Inputs!$B$9)*(PI()*(Inputs!$F$12/1000)^2/4)*((Inputs!$F$12/1000/4)^(2/3))*SQRT(N102))</f>
        <v/>
      </c>
      <c r="AL102" s="4">
        <f>IF(A102="","",(1/Inputs!$B$9)*(PI()*(Inputs!$F$13/1000)^2/4)*((Inputs!$F$13/1000/4)^(2/3))*SQRT(N102))</f>
        <v/>
      </c>
      <c r="AM102" s="4">
        <f>IF(A102="","",(1/Inputs!$B$9)*(PI()*(Inputs!$F$14/1000)^2/4)*((Inputs!$F$14/1000/4)^(2/3))*SQRT(N102))</f>
        <v/>
      </c>
    </row>
    <row r="103">
      <c r="A103" s="4" t="n"/>
      <c r="B103" s="4" t="n"/>
      <c r="C103" s="8" t="n"/>
      <c r="D103" s="8" t="n"/>
      <c r="E103" s="8">
        <f>SUMIFS(CB_Tributaires!$C:$C,CB_Tributaires!$B:$B,$A103)</f>
        <v/>
      </c>
      <c r="F103" s="8">
        <f>IF(D103="",E103,D103)</f>
        <v/>
      </c>
      <c r="G103" s="4" t="n"/>
      <c r="H103" s="8" t="n"/>
      <c r="I103" s="8">
        <f>IF(A103="","",Inputs!$B$13/((IF(H103="",Inputs!$B$18,H103)+Inputs!$B$14)^Inputs!$B$15))</f>
        <v/>
      </c>
      <c r="J103" s="8">
        <f>IF(A103="","",0.00278*IF(G103="",Inputs!$B$17,G103)*F103*I103)</f>
        <v/>
      </c>
      <c r="K103" s="8">
        <f>IF(A103="","",SUMIFS($L$4:$L$203,$B$4:$B$203,$A103))</f>
        <v/>
      </c>
      <c r="L103" s="8">
        <f>IF(A103="","",(J103+K103)*Inputs!$B$16)</f>
        <v/>
      </c>
      <c r="M103" s="8" t="n"/>
      <c r="N103" s="8">
        <f>IF(A103="","",IF(M103="",Inputs!$B$7,M103))</f>
        <v/>
      </c>
      <c r="O103" s="4">
        <f>IF(A103="","",IF(L103/Inputs!$B$10&lt;=AD103,Inputs!$F$5,IF(L103/Inputs!$B$10&gt;AM103,"OVERSIZE",INDEX(Inputs!$F$5:$F$14,MATCH(L103/Inputs!$B$10,AD103:AM103,1)+1))))</f>
        <v/>
      </c>
      <c r="P103" s="4" t="n"/>
      <c r="Q103" s="4">
        <f>IF(A103="","",IF(P103="",O103,P103))</f>
        <v/>
      </c>
      <c r="R103" s="8">
        <f>IF(OR(Q103="",Q103="OVERSIZE"),"",Q103/1000)</f>
        <v/>
      </c>
      <c r="S103" s="8">
        <f>IF(R103="","",(1/Inputs!$B$9)*(PI()*R103^2/4)*((R103/4)^(2/3))*SQRT(N103))</f>
        <v/>
      </c>
      <c r="T103" s="8">
        <f>IF(OR(S103="",L103=""),"",L103/(S103*Inputs!$B$10))</f>
        <v/>
      </c>
      <c r="U103" s="8">
        <f>IF(OR(R103="",L103=""),"",4*L103/(PI()*R103^2))</f>
        <v/>
      </c>
      <c r="V103" s="8" t="n"/>
      <c r="W103" s="8">
        <f>IF(A103="","",IF(A103=Inputs!$B$6,Inputs!$B$22,IF(B103="","",IFERROR(INDEX($X$4:$X$203,MATCH(B103,$A$4:$A$203,0))+IF(V103="",Inputs!$B$20,V103),""))))</f>
        <v/>
      </c>
      <c r="X103" s="8">
        <f>IF(OR(W103="",N103="",C103=""),"",W103+N103*C103)</f>
        <v/>
      </c>
      <c r="Y103" s="8" t="n"/>
      <c r="Z103" s="8" t="n"/>
      <c r="AA103" s="8">
        <f>IF(OR(Y103="",W103=""),"",Y103-W103)</f>
        <v/>
      </c>
      <c r="AB103" s="8">
        <f>IF(OR(Z103="",X103=""),"",Z103-X103)</f>
        <v/>
      </c>
      <c r="AC103" s="4">
        <f>IF(A103="","",IF(OR(T103&gt;1,U103&lt;Inputs!$B$11,U103&gt;Inputs!$B$12,AA103&lt;Inputs!$B$19,AB103&lt;Inputs!$B$19,N103&lt;Inputs!$B$7,N103&gt;Inputs!$B$8),"CHECK","OK"))</f>
        <v/>
      </c>
      <c r="AD103" s="4">
        <f>IF(A103="","",(1/Inputs!$B$9)*(PI()*(Inputs!$F$5/1000)^2/4)*((Inputs!$F$5/1000/4)^(2/3))*SQRT(N103))</f>
        <v/>
      </c>
      <c r="AE103" s="4">
        <f>IF(A103="","",(1/Inputs!$B$9)*(PI()*(Inputs!$F$6/1000)^2/4)*((Inputs!$F$6/1000/4)^(2/3))*SQRT(N103))</f>
        <v/>
      </c>
      <c r="AF103" s="4">
        <f>IF(A103="","",(1/Inputs!$B$9)*(PI()*(Inputs!$F$7/1000)^2/4)*((Inputs!$F$7/1000/4)^(2/3))*SQRT(N103))</f>
        <v/>
      </c>
      <c r="AG103" s="4">
        <f>IF(A103="","",(1/Inputs!$B$9)*(PI()*(Inputs!$F$8/1000)^2/4)*((Inputs!$F$8/1000/4)^(2/3))*SQRT(N103))</f>
        <v/>
      </c>
      <c r="AH103" s="4">
        <f>IF(A103="","",(1/Inputs!$B$9)*(PI()*(Inputs!$F$9/1000)^2/4)*((Inputs!$F$9/1000/4)^(2/3))*SQRT(N103))</f>
        <v/>
      </c>
      <c r="AI103" s="4">
        <f>IF(A103="","",(1/Inputs!$B$9)*(PI()*(Inputs!$F$10/1000)^2/4)*((Inputs!$F$10/1000/4)^(2/3))*SQRT(N103))</f>
        <v/>
      </c>
      <c r="AJ103" s="4">
        <f>IF(A103="","",(1/Inputs!$B$9)*(PI()*(Inputs!$F$11/1000)^2/4)*((Inputs!$F$11/1000/4)^(2/3))*SQRT(N103))</f>
        <v/>
      </c>
      <c r="AK103" s="4">
        <f>IF(A103="","",(1/Inputs!$B$9)*(PI()*(Inputs!$F$12/1000)^2/4)*((Inputs!$F$12/1000/4)^(2/3))*SQRT(N103))</f>
        <v/>
      </c>
      <c r="AL103" s="4">
        <f>IF(A103="","",(1/Inputs!$B$9)*(PI()*(Inputs!$F$13/1000)^2/4)*((Inputs!$F$13/1000/4)^(2/3))*SQRT(N103))</f>
        <v/>
      </c>
      <c r="AM103" s="4">
        <f>IF(A103="","",(1/Inputs!$B$9)*(PI()*(Inputs!$F$14/1000)^2/4)*((Inputs!$F$14/1000/4)^(2/3))*SQRT(N103))</f>
        <v/>
      </c>
    </row>
    <row r="104">
      <c r="A104" s="4" t="n"/>
      <c r="B104" s="4" t="n"/>
      <c r="C104" s="8" t="n"/>
      <c r="D104" s="8" t="n"/>
      <c r="E104" s="8">
        <f>SUMIFS(CB_Tributaires!$C:$C,CB_Tributaires!$B:$B,$A104)</f>
        <v/>
      </c>
      <c r="F104" s="8">
        <f>IF(D104="",E104,D104)</f>
        <v/>
      </c>
      <c r="G104" s="4" t="n"/>
      <c r="H104" s="8" t="n"/>
      <c r="I104" s="8">
        <f>IF(A104="","",Inputs!$B$13/((IF(H104="",Inputs!$B$18,H104)+Inputs!$B$14)^Inputs!$B$15))</f>
        <v/>
      </c>
      <c r="J104" s="8">
        <f>IF(A104="","",0.00278*IF(G104="",Inputs!$B$17,G104)*F104*I104)</f>
        <v/>
      </c>
      <c r="K104" s="8">
        <f>IF(A104="","",SUMIFS($L$4:$L$203,$B$4:$B$203,$A104))</f>
        <v/>
      </c>
      <c r="L104" s="8">
        <f>IF(A104="","",(J104+K104)*Inputs!$B$16)</f>
        <v/>
      </c>
      <c r="M104" s="8" t="n"/>
      <c r="N104" s="8">
        <f>IF(A104="","",IF(M104="",Inputs!$B$7,M104))</f>
        <v/>
      </c>
      <c r="O104" s="4">
        <f>IF(A104="","",IF(L104/Inputs!$B$10&lt;=AD104,Inputs!$F$5,IF(L104/Inputs!$B$10&gt;AM104,"OVERSIZE",INDEX(Inputs!$F$5:$F$14,MATCH(L104/Inputs!$B$10,AD104:AM104,1)+1))))</f>
        <v/>
      </c>
      <c r="P104" s="4" t="n"/>
      <c r="Q104" s="4">
        <f>IF(A104="","",IF(P104="",O104,P104))</f>
        <v/>
      </c>
      <c r="R104" s="8">
        <f>IF(OR(Q104="",Q104="OVERSIZE"),"",Q104/1000)</f>
        <v/>
      </c>
      <c r="S104" s="8">
        <f>IF(R104="","",(1/Inputs!$B$9)*(PI()*R104^2/4)*((R104/4)^(2/3))*SQRT(N104))</f>
        <v/>
      </c>
      <c r="T104" s="8">
        <f>IF(OR(S104="",L104=""),"",L104/(S104*Inputs!$B$10))</f>
        <v/>
      </c>
      <c r="U104" s="8">
        <f>IF(OR(R104="",L104=""),"",4*L104/(PI()*R104^2))</f>
        <v/>
      </c>
      <c r="V104" s="8" t="n"/>
      <c r="W104" s="8">
        <f>IF(A104="","",IF(A104=Inputs!$B$6,Inputs!$B$22,IF(B104="","",IFERROR(INDEX($X$4:$X$203,MATCH(B104,$A$4:$A$203,0))+IF(V104="",Inputs!$B$20,V104),""))))</f>
        <v/>
      </c>
      <c r="X104" s="8">
        <f>IF(OR(W104="",N104="",C104=""),"",W104+N104*C104)</f>
        <v/>
      </c>
      <c r="Y104" s="8" t="n"/>
      <c r="Z104" s="8" t="n"/>
      <c r="AA104" s="8">
        <f>IF(OR(Y104="",W104=""),"",Y104-W104)</f>
        <v/>
      </c>
      <c r="AB104" s="8">
        <f>IF(OR(Z104="",X104=""),"",Z104-X104)</f>
        <v/>
      </c>
      <c r="AC104" s="4">
        <f>IF(A104="","",IF(OR(T104&gt;1,U104&lt;Inputs!$B$11,U104&gt;Inputs!$B$12,AA104&lt;Inputs!$B$19,AB104&lt;Inputs!$B$19,N104&lt;Inputs!$B$7,N104&gt;Inputs!$B$8),"CHECK","OK"))</f>
        <v/>
      </c>
      <c r="AD104" s="4">
        <f>IF(A104="","",(1/Inputs!$B$9)*(PI()*(Inputs!$F$5/1000)^2/4)*((Inputs!$F$5/1000/4)^(2/3))*SQRT(N104))</f>
        <v/>
      </c>
      <c r="AE104" s="4">
        <f>IF(A104="","",(1/Inputs!$B$9)*(PI()*(Inputs!$F$6/1000)^2/4)*((Inputs!$F$6/1000/4)^(2/3))*SQRT(N104))</f>
        <v/>
      </c>
      <c r="AF104" s="4">
        <f>IF(A104="","",(1/Inputs!$B$9)*(PI()*(Inputs!$F$7/1000)^2/4)*((Inputs!$F$7/1000/4)^(2/3))*SQRT(N104))</f>
        <v/>
      </c>
      <c r="AG104" s="4">
        <f>IF(A104="","",(1/Inputs!$B$9)*(PI()*(Inputs!$F$8/1000)^2/4)*((Inputs!$F$8/1000/4)^(2/3))*SQRT(N104))</f>
        <v/>
      </c>
      <c r="AH104" s="4">
        <f>IF(A104="","",(1/Inputs!$B$9)*(PI()*(Inputs!$F$9/1000)^2/4)*((Inputs!$F$9/1000/4)^(2/3))*SQRT(N104))</f>
        <v/>
      </c>
      <c r="AI104" s="4">
        <f>IF(A104="","",(1/Inputs!$B$9)*(PI()*(Inputs!$F$10/1000)^2/4)*((Inputs!$F$10/1000/4)^(2/3))*SQRT(N104))</f>
        <v/>
      </c>
      <c r="AJ104" s="4">
        <f>IF(A104="","",(1/Inputs!$B$9)*(PI()*(Inputs!$F$11/1000)^2/4)*((Inputs!$F$11/1000/4)^(2/3))*SQRT(N104))</f>
        <v/>
      </c>
      <c r="AK104" s="4">
        <f>IF(A104="","",(1/Inputs!$B$9)*(PI()*(Inputs!$F$12/1000)^2/4)*((Inputs!$F$12/1000/4)^(2/3))*SQRT(N104))</f>
        <v/>
      </c>
      <c r="AL104" s="4">
        <f>IF(A104="","",(1/Inputs!$B$9)*(PI()*(Inputs!$F$13/1000)^2/4)*((Inputs!$F$13/1000/4)^(2/3))*SQRT(N104))</f>
        <v/>
      </c>
      <c r="AM104" s="4">
        <f>IF(A104="","",(1/Inputs!$B$9)*(PI()*(Inputs!$F$14/1000)^2/4)*((Inputs!$F$14/1000/4)^(2/3))*SQRT(N104))</f>
        <v/>
      </c>
    </row>
    <row r="105">
      <c r="A105" s="4" t="n"/>
      <c r="B105" s="4" t="n"/>
      <c r="C105" s="8" t="n"/>
      <c r="D105" s="8" t="n"/>
      <c r="E105" s="8">
        <f>SUMIFS(CB_Tributaires!$C:$C,CB_Tributaires!$B:$B,$A105)</f>
        <v/>
      </c>
      <c r="F105" s="8">
        <f>IF(D105="",E105,D105)</f>
        <v/>
      </c>
      <c r="G105" s="4" t="n"/>
      <c r="H105" s="8" t="n"/>
      <c r="I105" s="8">
        <f>IF(A105="","",Inputs!$B$13/((IF(H105="",Inputs!$B$18,H105)+Inputs!$B$14)^Inputs!$B$15))</f>
        <v/>
      </c>
      <c r="J105" s="8">
        <f>IF(A105="","",0.00278*IF(G105="",Inputs!$B$17,G105)*F105*I105)</f>
        <v/>
      </c>
      <c r="K105" s="8">
        <f>IF(A105="","",SUMIFS($L$4:$L$203,$B$4:$B$203,$A105))</f>
        <v/>
      </c>
      <c r="L105" s="8">
        <f>IF(A105="","",(J105+K105)*Inputs!$B$16)</f>
        <v/>
      </c>
      <c r="M105" s="8" t="n"/>
      <c r="N105" s="8">
        <f>IF(A105="","",IF(M105="",Inputs!$B$7,M105))</f>
        <v/>
      </c>
      <c r="O105" s="4">
        <f>IF(A105="","",IF(L105/Inputs!$B$10&lt;=AD105,Inputs!$F$5,IF(L105/Inputs!$B$10&gt;AM105,"OVERSIZE",INDEX(Inputs!$F$5:$F$14,MATCH(L105/Inputs!$B$10,AD105:AM105,1)+1))))</f>
        <v/>
      </c>
      <c r="P105" s="4" t="n"/>
      <c r="Q105" s="4">
        <f>IF(A105="","",IF(P105="",O105,P105))</f>
        <v/>
      </c>
      <c r="R105" s="8">
        <f>IF(OR(Q105="",Q105="OVERSIZE"),"",Q105/1000)</f>
        <v/>
      </c>
      <c r="S105" s="8">
        <f>IF(R105="","",(1/Inputs!$B$9)*(PI()*R105^2/4)*((R105/4)^(2/3))*SQRT(N105))</f>
        <v/>
      </c>
      <c r="T105" s="8">
        <f>IF(OR(S105="",L105=""),"",L105/(S105*Inputs!$B$10))</f>
        <v/>
      </c>
      <c r="U105" s="8">
        <f>IF(OR(R105="",L105=""),"",4*L105/(PI()*R105^2))</f>
        <v/>
      </c>
      <c r="V105" s="8" t="n"/>
      <c r="W105" s="8">
        <f>IF(A105="","",IF(A105=Inputs!$B$6,Inputs!$B$22,IF(B105="","",IFERROR(INDEX($X$4:$X$203,MATCH(B105,$A$4:$A$203,0))+IF(V105="",Inputs!$B$20,V105),""))))</f>
        <v/>
      </c>
      <c r="X105" s="8">
        <f>IF(OR(W105="",N105="",C105=""),"",W105+N105*C105)</f>
        <v/>
      </c>
      <c r="Y105" s="8" t="n"/>
      <c r="Z105" s="8" t="n"/>
      <c r="AA105" s="8">
        <f>IF(OR(Y105="",W105=""),"",Y105-W105)</f>
        <v/>
      </c>
      <c r="AB105" s="8">
        <f>IF(OR(Z105="",X105=""),"",Z105-X105)</f>
        <v/>
      </c>
      <c r="AC105" s="4">
        <f>IF(A105="","",IF(OR(T105&gt;1,U105&lt;Inputs!$B$11,U105&gt;Inputs!$B$12,AA105&lt;Inputs!$B$19,AB105&lt;Inputs!$B$19,N105&lt;Inputs!$B$7,N105&gt;Inputs!$B$8),"CHECK","OK"))</f>
        <v/>
      </c>
      <c r="AD105" s="4">
        <f>IF(A105="","",(1/Inputs!$B$9)*(PI()*(Inputs!$F$5/1000)^2/4)*((Inputs!$F$5/1000/4)^(2/3))*SQRT(N105))</f>
        <v/>
      </c>
      <c r="AE105" s="4">
        <f>IF(A105="","",(1/Inputs!$B$9)*(PI()*(Inputs!$F$6/1000)^2/4)*((Inputs!$F$6/1000/4)^(2/3))*SQRT(N105))</f>
        <v/>
      </c>
      <c r="AF105" s="4">
        <f>IF(A105="","",(1/Inputs!$B$9)*(PI()*(Inputs!$F$7/1000)^2/4)*((Inputs!$F$7/1000/4)^(2/3))*SQRT(N105))</f>
        <v/>
      </c>
      <c r="AG105" s="4">
        <f>IF(A105="","",(1/Inputs!$B$9)*(PI()*(Inputs!$F$8/1000)^2/4)*((Inputs!$F$8/1000/4)^(2/3))*SQRT(N105))</f>
        <v/>
      </c>
      <c r="AH105" s="4">
        <f>IF(A105="","",(1/Inputs!$B$9)*(PI()*(Inputs!$F$9/1000)^2/4)*((Inputs!$F$9/1000/4)^(2/3))*SQRT(N105))</f>
        <v/>
      </c>
      <c r="AI105" s="4">
        <f>IF(A105="","",(1/Inputs!$B$9)*(PI()*(Inputs!$F$10/1000)^2/4)*((Inputs!$F$10/1000/4)^(2/3))*SQRT(N105))</f>
        <v/>
      </c>
      <c r="AJ105" s="4">
        <f>IF(A105="","",(1/Inputs!$B$9)*(PI()*(Inputs!$F$11/1000)^2/4)*((Inputs!$F$11/1000/4)^(2/3))*SQRT(N105))</f>
        <v/>
      </c>
      <c r="AK105" s="4">
        <f>IF(A105="","",(1/Inputs!$B$9)*(PI()*(Inputs!$F$12/1000)^2/4)*((Inputs!$F$12/1000/4)^(2/3))*SQRT(N105))</f>
        <v/>
      </c>
      <c r="AL105" s="4">
        <f>IF(A105="","",(1/Inputs!$B$9)*(PI()*(Inputs!$F$13/1000)^2/4)*((Inputs!$F$13/1000/4)^(2/3))*SQRT(N105))</f>
        <v/>
      </c>
      <c r="AM105" s="4">
        <f>IF(A105="","",(1/Inputs!$B$9)*(PI()*(Inputs!$F$14/1000)^2/4)*((Inputs!$F$14/1000/4)^(2/3))*SQRT(N105))</f>
        <v/>
      </c>
    </row>
    <row r="106">
      <c r="A106" s="4" t="n"/>
      <c r="B106" s="4" t="n"/>
      <c r="C106" s="8" t="n"/>
      <c r="D106" s="8" t="n"/>
      <c r="E106" s="8">
        <f>SUMIFS(CB_Tributaires!$C:$C,CB_Tributaires!$B:$B,$A106)</f>
        <v/>
      </c>
      <c r="F106" s="8">
        <f>IF(D106="",E106,D106)</f>
        <v/>
      </c>
      <c r="G106" s="4" t="n"/>
      <c r="H106" s="8" t="n"/>
      <c r="I106" s="8">
        <f>IF(A106="","",Inputs!$B$13/((IF(H106="",Inputs!$B$18,H106)+Inputs!$B$14)^Inputs!$B$15))</f>
        <v/>
      </c>
      <c r="J106" s="8">
        <f>IF(A106="","",0.00278*IF(G106="",Inputs!$B$17,G106)*F106*I106)</f>
        <v/>
      </c>
      <c r="K106" s="8">
        <f>IF(A106="","",SUMIFS($L$4:$L$203,$B$4:$B$203,$A106))</f>
        <v/>
      </c>
      <c r="L106" s="8">
        <f>IF(A106="","",(J106+K106)*Inputs!$B$16)</f>
        <v/>
      </c>
      <c r="M106" s="8" t="n"/>
      <c r="N106" s="8">
        <f>IF(A106="","",IF(M106="",Inputs!$B$7,M106))</f>
        <v/>
      </c>
      <c r="O106" s="4">
        <f>IF(A106="","",IF(L106/Inputs!$B$10&lt;=AD106,Inputs!$F$5,IF(L106/Inputs!$B$10&gt;AM106,"OVERSIZE",INDEX(Inputs!$F$5:$F$14,MATCH(L106/Inputs!$B$10,AD106:AM106,1)+1))))</f>
        <v/>
      </c>
      <c r="P106" s="4" t="n"/>
      <c r="Q106" s="4">
        <f>IF(A106="","",IF(P106="",O106,P106))</f>
        <v/>
      </c>
      <c r="R106" s="8">
        <f>IF(OR(Q106="",Q106="OVERSIZE"),"",Q106/1000)</f>
        <v/>
      </c>
      <c r="S106" s="8">
        <f>IF(R106="","",(1/Inputs!$B$9)*(PI()*R106^2/4)*((R106/4)^(2/3))*SQRT(N106))</f>
        <v/>
      </c>
      <c r="T106" s="8">
        <f>IF(OR(S106="",L106=""),"",L106/(S106*Inputs!$B$10))</f>
        <v/>
      </c>
      <c r="U106" s="8">
        <f>IF(OR(R106="",L106=""),"",4*L106/(PI()*R106^2))</f>
        <v/>
      </c>
      <c r="V106" s="8" t="n"/>
      <c r="W106" s="8">
        <f>IF(A106="","",IF(A106=Inputs!$B$6,Inputs!$B$22,IF(B106="","",IFERROR(INDEX($X$4:$X$203,MATCH(B106,$A$4:$A$203,0))+IF(V106="",Inputs!$B$20,V106),""))))</f>
        <v/>
      </c>
      <c r="X106" s="8">
        <f>IF(OR(W106="",N106="",C106=""),"",W106+N106*C106)</f>
        <v/>
      </c>
      <c r="Y106" s="8" t="n"/>
      <c r="Z106" s="8" t="n"/>
      <c r="AA106" s="8">
        <f>IF(OR(Y106="",W106=""),"",Y106-W106)</f>
        <v/>
      </c>
      <c r="AB106" s="8">
        <f>IF(OR(Z106="",X106=""),"",Z106-X106)</f>
        <v/>
      </c>
      <c r="AC106" s="4">
        <f>IF(A106="","",IF(OR(T106&gt;1,U106&lt;Inputs!$B$11,U106&gt;Inputs!$B$12,AA106&lt;Inputs!$B$19,AB106&lt;Inputs!$B$19,N106&lt;Inputs!$B$7,N106&gt;Inputs!$B$8),"CHECK","OK"))</f>
        <v/>
      </c>
      <c r="AD106" s="4">
        <f>IF(A106="","",(1/Inputs!$B$9)*(PI()*(Inputs!$F$5/1000)^2/4)*((Inputs!$F$5/1000/4)^(2/3))*SQRT(N106))</f>
        <v/>
      </c>
      <c r="AE106" s="4">
        <f>IF(A106="","",(1/Inputs!$B$9)*(PI()*(Inputs!$F$6/1000)^2/4)*((Inputs!$F$6/1000/4)^(2/3))*SQRT(N106))</f>
        <v/>
      </c>
      <c r="AF106" s="4">
        <f>IF(A106="","",(1/Inputs!$B$9)*(PI()*(Inputs!$F$7/1000)^2/4)*((Inputs!$F$7/1000/4)^(2/3))*SQRT(N106))</f>
        <v/>
      </c>
      <c r="AG106" s="4">
        <f>IF(A106="","",(1/Inputs!$B$9)*(PI()*(Inputs!$F$8/1000)^2/4)*((Inputs!$F$8/1000/4)^(2/3))*SQRT(N106))</f>
        <v/>
      </c>
      <c r="AH106" s="4">
        <f>IF(A106="","",(1/Inputs!$B$9)*(PI()*(Inputs!$F$9/1000)^2/4)*((Inputs!$F$9/1000/4)^(2/3))*SQRT(N106))</f>
        <v/>
      </c>
      <c r="AI106" s="4">
        <f>IF(A106="","",(1/Inputs!$B$9)*(PI()*(Inputs!$F$10/1000)^2/4)*((Inputs!$F$10/1000/4)^(2/3))*SQRT(N106))</f>
        <v/>
      </c>
      <c r="AJ106" s="4">
        <f>IF(A106="","",(1/Inputs!$B$9)*(PI()*(Inputs!$F$11/1000)^2/4)*((Inputs!$F$11/1000/4)^(2/3))*SQRT(N106))</f>
        <v/>
      </c>
      <c r="AK106" s="4">
        <f>IF(A106="","",(1/Inputs!$B$9)*(PI()*(Inputs!$F$12/1000)^2/4)*((Inputs!$F$12/1000/4)^(2/3))*SQRT(N106))</f>
        <v/>
      </c>
      <c r="AL106" s="4">
        <f>IF(A106="","",(1/Inputs!$B$9)*(PI()*(Inputs!$F$13/1000)^2/4)*((Inputs!$F$13/1000/4)^(2/3))*SQRT(N106))</f>
        <v/>
      </c>
      <c r="AM106" s="4">
        <f>IF(A106="","",(1/Inputs!$B$9)*(PI()*(Inputs!$F$14/1000)^2/4)*((Inputs!$F$14/1000/4)^(2/3))*SQRT(N106))</f>
        <v/>
      </c>
    </row>
    <row r="107">
      <c r="A107" s="4" t="n"/>
      <c r="B107" s="4" t="n"/>
      <c r="C107" s="8" t="n"/>
      <c r="D107" s="8" t="n"/>
      <c r="E107" s="8">
        <f>SUMIFS(CB_Tributaires!$C:$C,CB_Tributaires!$B:$B,$A107)</f>
        <v/>
      </c>
      <c r="F107" s="8">
        <f>IF(D107="",E107,D107)</f>
        <v/>
      </c>
      <c r="G107" s="4" t="n"/>
      <c r="H107" s="8" t="n"/>
      <c r="I107" s="8">
        <f>IF(A107="","",Inputs!$B$13/((IF(H107="",Inputs!$B$18,H107)+Inputs!$B$14)^Inputs!$B$15))</f>
        <v/>
      </c>
      <c r="J107" s="8">
        <f>IF(A107="","",0.00278*IF(G107="",Inputs!$B$17,G107)*F107*I107)</f>
        <v/>
      </c>
      <c r="K107" s="8">
        <f>IF(A107="","",SUMIFS($L$4:$L$203,$B$4:$B$203,$A107))</f>
        <v/>
      </c>
      <c r="L107" s="8">
        <f>IF(A107="","",(J107+K107)*Inputs!$B$16)</f>
        <v/>
      </c>
      <c r="M107" s="8" t="n"/>
      <c r="N107" s="8">
        <f>IF(A107="","",IF(M107="",Inputs!$B$7,M107))</f>
        <v/>
      </c>
      <c r="O107" s="4">
        <f>IF(A107="","",IF(L107/Inputs!$B$10&lt;=AD107,Inputs!$F$5,IF(L107/Inputs!$B$10&gt;AM107,"OVERSIZE",INDEX(Inputs!$F$5:$F$14,MATCH(L107/Inputs!$B$10,AD107:AM107,1)+1))))</f>
        <v/>
      </c>
      <c r="P107" s="4" t="n"/>
      <c r="Q107" s="4">
        <f>IF(A107="","",IF(P107="",O107,P107))</f>
        <v/>
      </c>
      <c r="R107" s="8">
        <f>IF(OR(Q107="",Q107="OVERSIZE"),"",Q107/1000)</f>
        <v/>
      </c>
      <c r="S107" s="8">
        <f>IF(R107="","",(1/Inputs!$B$9)*(PI()*R107^2/4)*((R107/4)^(2/3))*SQRT(N107))</f>
        <v/>
      </c>
      <c r="T107" s="8">
        <f>IF(OR(S107="",L107=""),"",L107/(S107*Inputs!$B$10))</f>
        <v/>
      </c>
      <c r="U107" s="8">
        <f>IF(OR(R107="",L107=""),"",4*L107/(PI()*R107^2))</f>
        <v/>
      </c>
      <c r="V107" s="8" t="n"/>
      <c r="W107" s="8">
        <f>IF(A107="","",IF(A107=Inputs!$B$6,Inputs!$B$22,IF(B107="","",IFERROR(INDEX($X$4:$X$203,MATCH(B107,$A$4:$A$203,0))+IF(V107="",Inputs!$B$20,V107),""))))</f>
        <v/>
      </c>
      <c r="X107" s="8">
        <f>IF(OR(W107="",N107="",C107=""),"",W107+N107*C107)</f>
        <v/>
      </c>
      <c r="Y107" s="8" t="n"/>
      <c r="Z107" s="8" t="n"/>
      <c r="AA107" s="8">
        <f>IF(OR(Y107="",W107=""),"",Y107-W107)</f>
        <v/>
      </c>
      <c r="AB107" s="8">
        <f>IF(OR(Z107="",X107=""),"",Z107-X107)</f>
        <v/>
      </c>
      <c r="AC107" s="4">
        <f>IF(A107="","",IF(OR(T107&gt;1,U107&lt;Inputs!$B$11,U107&gt;Inputs!$B$12,AA107&lt;Inputs!$B$19,AB107&lt;Inputs!$B$19,N107&lt;Inputs!$B$7,N107&gt;Inputs!$B$8),"CHECK","OK"))</f>
        <v/>
      </c>
      <c r="AD107" s="4">
        <f>IF(A107="","",(1/Inputs!$B$9)*(PI()*(Inputs!$F$5/1000)^2/4)*((Inputs!$F$5/1000/4)^(2/3))*SQRT(N107))</f>
        <v/>
      </c>
      <c r="AE107" s="4">
        <f>IF(A107="","",(1/Inputs!$B$9)*(PI()*(Inputs!$F$6/1000)^2/4)*((Inputs!$F$6/1000/4)^(2/3))*SQRT(N107))</f>
        <v/>
      </c>
      <c r="AF107" s="4">
        <f>IF(A107="","",(1/Inputs!$B$9)*(PI()*(Inputs!$F$7/1000)^2/4)*((Inputs!$F$7/1000/4)^(2/3))*SQRT(N107))</f>
        <v/>
      </c>
      <c r="AG107" s="4">
        <f>IF(A107="","",(1/Inputs!$B$9)*(PI()*(Inputs!$F$8/1000)^2/4)*((Inputs!$F$8/1000/4)^(2/3))*SQRT(N107))</f>
        <v/>
      </c>
      <c r="AH107" s="4">
        <f>IF(A107="","",(1/Inputs!$B$9)*(PI()*(Inputs!$F$9/1000)^2/4)*((Inputs!$F$9/1000/4)^(2/3))*SQRT(N107))</f>
        <v/>
      </c>
      <c r="AI107" s="4">
        <f>IF(A107="","",(1/Inputs!$B$9)*(PI()*(Inputs!$F$10/1000)^2/4)*((Inputs!$F$10/1000/4)^(2/3))*SQRT(N107))</f>
        <v/>
      </c>
      <c r="AJ107" s="4">
        <f>IF(A107="","",(1/Inputs!$B$9)*(PI()*(Inputs!$F$11/1000)^2/4)*((Inputs!$F$11/1000/4)^(2/3))*SQRT(N107))</f>
        <v/>
      </c>
      <c r="AK107" s="4">
        <f>IF(A107="","",(1/Inputs!$B$9)*(PI()*(Inputs!$F$12/1000)^2/4)*((Inputs!$F$12/1000/4)^(2/3))*SQRT(N107))</f>
        <v/>
      </c>
      <c r="AL107" s="4">
        <f>IF(A107="","",(1/Inputs!$B$9)*(PI()*(Inputs!$F$13/1000)^2/4)*((Inputs!$F$13/1000/4)^(2/3))*SQRT(N107))</f>
        <v/>
      </c>
      <c r="AM107" s="4">
        <f>IF(A107="","",(1/Inputs!$B$9)*(PI()*(Inputs!$F$14/1000)^2/4)*((Inputs!$F$14/1000/4)^(2/3))*SQRT(N107))</f>
        <v/>
      </c>
    </row>
    <row r="108">
      <c r="A108" s="4" t="n"/>
      <c r="B108" s="4" t="n"/>
      <c r="C108" s="8" t="n"/>
      <c r="D108" s="8" t="n"/>
      <c r="E108" s="8">
        <f>SUMIFS(CB_Tributaires!$C:$C,CB_Tributaires!$B:$B,$A108)</f>
        <v/>
      </c>
      <c r="F108" s="8">
        <f>IF(D108="",E108,D108)</f>
        <v/>
      </c>
      <c r="G108" s="4" t="n"/>
      <c r="H108" s="8" t="n"/>
      <c r="I108" s="8">
        <f>IF(A108="","",Inputs!$B$13/((IF(H108="",Inputs!$B$18,H108)+Inputs!$B$14)^Inputs!$B$15))</f>
        <v/>
      </c>
      <c r="J108" s="8">
        <f>IF(A108="","",0.00278*IF(G108="",Inputs!$B$17,G108)*F108*I108)</f>
        <v/>
      </c>
      <c r="K108" s="8">
        <f>IF(A108="","",SUMIFS($L$4:$L$203,$B$4:$B$203,$A108))</f>
        <v/>
      </c>
      <c r="L108" s="8">
        <f>IF(A108="","",(J108+K108)*Inputs!$B$16)</f>
        <v/>
      </c>
      <c r="M108" s="8" t="n"/>
      <c r="N108" s="8">
        <f>IF(A108="","",IF(M108="",Inputs!$B$7,M108))</f>
        <v/>
      </c>
      <c r="O108" s="4">
        <f>IF(A108="","",IF(L108/Inputs!$B$10&lt;=AD108,Inputs!$F$5,IF(L108/Inputs!$B$10&gt;AM108,"OVERSIZE",INDEX(Inputs!$F$5:$F$14,MATCH(L108/Inputs!$B$10,AD108:AM108,1)+1))))</f>
        <v/>
      </c>
      <c r="P108" s="4" t="n"/>
      <c r="Q108" s="4">
        <f>IF(A108="","",IF(P108="",O108,P108))</f>
        <v/>
      </c>
      <c r="R108" s="8">
        <f>IF(OR(Q108="",Q108="OVERSIZE"),"",Q108/1000)</f>
        <v/>
      </c>
      <c r="S108" s="8">
        <f>IF(R108="","",(1/Inputs!$B$9)*(PI()*R108^2/4)*((R108/4)^(2/3))*SQRT(N108))</f>
        <v/>
      </c>
      <c r="T108" s="8">
        <f>IF(OR(S108="",L108=""),"",L108/(S108*Inputs!$B$10))</f>
        <v/>
      </c>
      <c r="U108" s="8">
        <f>IF(OR(R108="",L108=""),"",4*L108/(PI()*R108^2))</f>
        <v/>
      </c>
      <c r="V108" s="8" t="n"/>
      <c r="W108" s="8">
        <f>IF(A108="","",IF(A108=Inputs!$B$6,Inputs!$B$22,IF(B108="","",IFERROR(INDEX($X$4:$X$203,MATCH(B108,$A$4:$A$203,0))+IF(V108="",Inputs!$B$20,V108),""))))</f>
        <v/>
      </c>
      <c r="X108" s="8">
        <f>IF(OR(W108="",N108="",C108=""),"",W108+N108*C108)</f>
        <v/>
      </c>
      <c r="Y108" s="8" t="n"/>
      <c r="Z108" s="8" t="n"/>
      <c r="AA108" s="8">
        <f>IF(OR(Y108="",W108=""),"",Y108-W108)</f>
        <v/>
      </c>
      <c r="AB108" s="8">
        <f>IF(OR(Z108="",X108=""),"",Z108-X108)</f>
        <v/>
      </c>
      <c r="AC108" s="4">
        <f>IF(A108="","",IF(OR(T108&gt;1,U108&lt;Inputs!$B$11,U108&gt;Inputs!$B$12,AA108&lt;Inputs!$B$19,AB108&lt;Inputs!$B$19,N108&lt;Inputs!$B$7,N108&gt;Inputs!$B$8),"CHECK","OK"))</f>
        <v/>
      </c>
      <c r="AD108" s="4">
        <f>IF(A108="","",(1/Inputs!$B$9)*(PI()*(Inputs!$F$5/1000)^2/4)*((Inputs!$F$5/1000/4)^(2/3))*SQRT(N108))</f>
        <v/>
      </c>
      <c r="AE108" s="4">
        <f>IF(A108="","",(1/Inputs!$B$9)*(PI()*(Inputs!$F$6/1000)^2/4)*((Inputs!$F$6/1000/4)^(2/3))*SQRT(N108))</f>
        <v/>
      </c>
      <c r="AF108" s="4">
        <f>IF(A108="","",(1/Inputs!$B$9)*(PI()*(Inputs!$F$7/1000)^2/4)*((Inputs!$F$7/1000/4)^(2/3))*SQRT(N108))</f>
        <v/>
      </c>
      <c r="AG108" s="4">
        <f>IF(A108="","",(1/Inputs!$B$9)*(PI()*(Inputs!$F$8/1000)^2/4)*((Inputs!$F$8/1000/4)^(2/3))*SQRT(N108))</f>
        <v/>
      </c>
      <c r="AH108" s="4">
        <f>IF(A108="","",(1/Inputs!$B$9)*(PI()*(Inputs!$F$9/1000)^2/4)*((Inputs!$F$9/1000/4)^(2/3))*SQRT(N108))</f>
        <v/>
      </c>
      <c r="AI108" s="4">
        <f>IF(A108="","",(1/Inputs!$B$9)*(PI()*(Inputs!$F$10/1000)^2/4)*((Inputs!$F$10/1000/4)^(2/3))*SQRT(N108))</f>
        <v/>
      </c>
      <c r="AJ108" s="4">
        <f>IF(A108="","",(1/Inputs!$B$9)*(PI()*(Inputs!$F$11/1000)^2/4)*((Inputs!$F$11/1000/4)^(2/3))*SQRT(N108))</f>
        <v/>
      </c>
      <c r="AK108" s="4">
        <f>IF(A108="","",(1/Inputs!$B$9)*(PI()*(Inputs!$F$12/1000)^2/4)*((Inputs!$F$12/1000/4)^(2/3))*SQRT(N108))</f>
        <v/>
      </c>
      <c r="AL108" s="4">
        <f>IF(A108="","",(1/Inputs!$B$9)*(PI()*(Inputs!$F$13/1000)^2/4)*((Inputs!$F$13/1000/4)^(2/3))*SQRT(N108))</f>
        <v/>
      </c>
      <c r="AM108" s="4">
        <f>IF(A108="","",(1/Inputs!$B$9)*(PI()*(Inputs!$F$14/1000)^2/4)*((Inputs!$F$14/1000/4)^(2/3))*SQRT(N108))</f>
        <v/>
      </c>
    </row>
    <row r="109">
      <c r="A109" s="4" t="n"/>
      <c r="B109" s="4" t="n"/>
      <c r="C109" s="8" t="n"/>
      <c r="D109" s="8" t="n"/>
      <c r="E109" s="8">
        <f>SUMIFS(CB_Tributaires!$C:$C,CB_Tributaires!$B:$B,$A109)</f>
        <v/>
      </c>
      <c r="F109" s="8">
        <f>IF(D109="",E109,D109)</f>
        <v/>
      </c>
      <c r="G109" s="4" t="n"/>
      <c r="H109" s="8" t="n"/>
      <c r="I109" s="8">
        <f>IF(A109="","",Inputs!$B$13/((IF(H109="",Inputs!$B$18,H109)+Inputs!$B$14)^Inputs!$B$15))</f>
        <v/>
      </c>
      <c r="J109" s="8">
        <f>IF(A109="","",0.00278*IF(G109="",Inputs!$B$17,G109)*F109*I109)</f>
        <v/>
      </c>
      <c r="K109" s="8">
        <f>IF(A109="","",SUMIFS($L$4:$L$203,$B$4:$B$203,$A109))</f>
        <v/>
      </c>
      <c r="L109" s="8">
        <f>IF(A109="","",(J109+K109)*Inputs!$B$16)</f>
        <v/>
      </c>
      <c r="M109" s="8" t="n"/>
      <c r="N109" s="8">
        <f>IF(A109="","",IF(M109="",Inputs!$B$7,M109))</f>
        <v/>
      </c>
      <c r="O109" s="4">
        <f>IF(A109="","",IF(L109/Inputs!$B$10&lt;=AD109,Inputs!$F$5,IF(L109/Inputs!$B$10&gt;AM109,"OVERSIZE",INDEX(Inputs!$F$5:$F$14,MATCH(L109/Inputs!$B$10,AD109:AM109,1)+1))))</f>
        <v/>
      </c>
      <c r="P109" s="4" t="n"/>
      <c r="Q109" s="4">
        <f>IF(A109="","",IF(P109="",O109,P109))</f>
        <v/>
      </c>
      <c r="R109" s="8">
        <f>IF(OR(Q109="",Q109="OVERSIZE"),"",Q109/1000)</f>
        <v/>
      </c>
      <c r="S109" s="8">
        <f>IF(R109="","",(1/Inputs!$B$9)*(PI()*R109^2/4)*((R109/4)^(2/3))*SQRT(N109))</f>
        <v/>
      </c>
      <c r="T109" s="8">
        <f>IF(OR(S109="",L109=""),"",L109/(S109*Inputs!$B$10))</f>
        <v/>
      </c>
      <c r="U109" s="8">
        <f>IF(OR(R109="",L109=""),"",4*L109/(PI()*R109^2))</f>
        <v/>
      </c>
      <c r="V109" s="8" t="n"/>
      <c r="W109" s="8">
        <f>IF(A109="","",IF(A109=Inputs!$B$6,Inputs!$B$22,IF(B109="","",IFERROR(INDEX($X$4:$X$203,MATCH(B109,$A$4:$A$203,0))+IF(V109="",Inputs!$B$20,V109),""))))</f>
        <v/>
      </c>
      <c r="X109" s="8">
        <f>IF(OR(W109="",N109="",C109=""),"",W109+N109*C109)</f>
        <v/>
      </c>
      <c r="Y109" s="8" t="n"/>
      <c r="Z109" s="8" t="n"/>
      <c r="AA109" s="8">
        <f>IF(OR(Y109="",W109=""),"",Y109-W109)</f>
        <v/>
      </c>
      <c r="AB109" s="8">
        <f>IF(OR(Z109="",X109=""),"",Z109-X109)</f>
        <v/>
      </c>
      <c r="AC109" s="4">
        <f>IF(A109="","",IF(OR(T109&gt;1,U109&lt;Inputs!$B$11,U109&gt;Inputs!$B$12,AA109&lt;Inputs!$B$19,AB109&lt;Inputs!$B$19,N109&lt;Inputs!$B$7,N109&gt;Inputs!$B$8),"CHECK","OK"))</f>
        <v/>
      </c>
      <c r="AD109" s="4">
        <f>IF(A109="","",(1/Inputs!$B$9)*(PI()*(Inputs!$F$5/1000)^2/4)*((Inputs!$F$5/1000/4)^(2/3))*SQRT(N109))</f>
        <v/>
      </c>
      <c r="AE109" s="4">
        <f>IF(A109="","",(1/Inputs!$B$9)*(PI()*(Inputs!$F$6/1000)^2/4)*((Inputs!$F$6/1000/4)^(2/3))*SQRT(N109))</f>
        <v/>
      </c>
      <c r="AF109" s="4">
        <f>IF(A109="","",(1/Inputs!$B$9)*(PI()*(Inputs!$F$7/1000)^2/4)*((Inputs!$F$7/1000/4)^(2/3))*SQRT(N109))</f>
        <v/>
      </c>
      <c r="AG109" s="4">
        <f>IF(A109="","",(1/Inputs!$B$9)*(PI()*(Inputs!$F$8/1000)^2/4)*((Inputs!$F$8/1000/4)^(2/3))*SQRT(N109))</f>
        <v/>
      </c>
      <c r="AH109" s="4">
        <f>IF(A109="","",(1/Inputs!$B$9)*(PI()*(Inputs!$F$9/1000)^2/4)*((Inputs!$F$9/1000/4)^(2/3))*SQRT(N109))</f>
        <v/>
      </c>
      <c r="AI109" s="4">
        <f>IF(A109="","",(1/Inputs!$B$9)*(PI()*(Inputs!$F$10/1000)^2/4)*((Inputs!$F$10/1000/4)^(2/3))*SQRT(N109))</f>
        <v/>
      </c>
      <c r="AJ109" s="4">
        <f>IF(A109="","",(1/Inputs!$B$9)*(PI()*(Inputs!$F$11/1000)^2/4)*((Inputs!$F$11/1000/4)^(2/3))*SQRT(N109))</f>
        <v/>
      </c>
      <c r="AK109" s="4">
        <f>IF(A109="","",(1/Inputs!$B$9)*(PI()*(Inputs!$F$12/1000)^2/4)*((Inputs!$F$12/1000/4)^(2/3))*SQRT(N109))</f>
        <v/>
      </c>
      <c r="AL109" s="4">
        <f>IF(A109="","",(1/Inputs!$B$9)*(PI()*(Inputs!$F$13/1000)^2/4)*((Inputs!$F$13/1000/4)^(2/3))*SQRT(N109))</f>
        <v/>
      </c>
      <c r="AM109" s="4">
        <f>IF(A109="","",(1/Inputs!$B$9)*(PI()*(Inputs!$F$14/1000)^2/4)*((Inputs!$F$14/1000/4)^(2/3))*SQRT(N109))</f>
        <v/>
      </c>
    </row>
    <row r="110">
      <c r="A110" s="4" t="n"/>
      <c r="B110" s="4" t="n"/>
      <c r="C110" s="8" t="n"/>
      <c r="D110" s="8" t="n"/>
      <c r="E110" s="8">
        <f>SUMIFS(CB_Tributaires!$C:$C,CB_Tributaires!$B:$B,$A110)</f>
        <v/>
      </c>
      <c r="F110" s="8">
        <f>IF(D110="",E110,D110)</f>
        <v/>
      </c>
      <c r="G110" s="4" t="n"/>
      <c r="H110" s="8" t="n"/>
      <c r="I110" s="8">
        <f>IF(A110="","",Inputs!$B$13/((IF(H110="",Inputs!$B$18,H110)+Inputs!$B$14)^Inputs!$B$15))</f>
        <v/>
      </c>
      <c r="J110" s="8">
        <f>IF(A110="","",0.00278*IF(G110="",Inputs!$B$17,G110)*F110*I110)</f>
        <v/>
      </c>
      <c r="K110" s="8">
        <f>IF(A110="","",SUMIFS($L$4:$L$203,$B$4:$B$203,$A110))</f>
        <v/>
      </c>
      <c r="L110" s="8">
        <f>IF(A110="","",(J110+K110)*Inputs!$B$16)</f>
        <v/>
      </c>
      <c r="M110" s="8" t="n"/>
      <c r="N110" s="8">
        <f>IF(A110="","",IF(M110="",Inputs!$B$7,M110))</f>
        <v/>
      </c>
      <c r="O110" s="4">
        <f>IF(A110="","",IF(L110/Inputs!$B$10&lt;=AD110,Inputs!$F$5,IF(L110/Inputs!$B$10&gt;AM110,"OVERSIZE",INDEX(Inputs!$F$5:$F$14,MATCH(L110/Inputs!$B$10,AD110:AM110,1)+1))))</f>
        <v/>
      </c>
      <c r="P110" s="4" t="n"/>
      <c r="Q110" s="4">
        <f>IF(A110="","",IF(P110="",O110,P110))</f>
        <v/>
      </c>
      <c r="R110" s="8">
        <f>IF(OR(Q110="",Q110="OVERSIZE"),"",Q110/1000)</f>
        <v/>
      </c>
      <c r="S110" s="8">
        <f>IF(R110="","",(1/Inputs!$B$9)*(PI()*R110^2/4)*((R110/4)^(2/3))*SQRT(N110))</f>
        <v/>
      </c>
      <c r="T110" s="8">
        <f>IF(OR(S110="",L110=""),"",L110/(S110*Inputs!$B$10))</f>
        <v/>
      </c>
      <c r="U110" s="8">
        <f>IF(OR(R110="",L110=""),"",4*L110/(PI()*R110^2))</f>
        <v/>
      </c>
      <c r="V110" s="8" t="n"/>
      <c r="W110" s="8">
        <f>IF(A110="","",IF(A110=Inputs!$B$6,Inputs!$B$22,IF(B110="","",IFERROR(INDEX($X$4:$X$203,MATCH(B110,$A$4:$A$203,0))+IF(V110="",Inputs!$B$20,V110),""))))</f>
        <v/>
      </c>
      <c r="X110" s="8">
        <f>IF(OR(W110="",N110="",C110=""),"",W110+N110*C110)</f>
        <v/>
      </c>
      <c r="Y110" s="8" t="n"/>
      <c r="Z110" s="8" t="n"/>
      <c r="AA110" s="8">
        <f>IF(OR(Y110="",W110=""),"",Y110-W110)</f>
        <v/>
      </c>
      <c r="AB110" s="8">
        <f>IF(OR(Z110="",X110=""),"",Z110-X110)</f>
        <v/>
      </c>
      <c r="AC110" s="4">
        <f>IF(A110="","",IF(OR(T110&gt;1,U110&lt;Inputs!$B$11,U110&gt;Inputs!$B$12,AA110&lt;Inputs!$B$19,AB110&lt;Inputs!$B$19,N110&lt;Inputs!$B$7,N110&gt;Inputs!$B$8),"CHECK","OK"))</f>
        <v/>
      </c>
      <c r="AD110" s="4">
        <f>IF(A110="","",(1/Inputs!$B$9)*(PI()*(Inputs!$F$5/1000)^2/4)*((Inputs!$F$5/1000/4)^(2/3))*SQRT(N110))</f>
        <v/>
      </c>
      <c r="AE110" s="4">
        <f>IF(A110="","",(1/Inputs!$B$9)*(PI()*(Inputs!$F$6/1000)^2/4)*((Inputs!$F$6/1000/4)^(2/3))*SQRT(N110))</f>
        <v/>
      </c>
      <c r="AF110" s="4">
        <f>IF(A110="","",(1/Inputs!$B$9)*(PI()*(Inputs!$F$7/1000)^2/4)*((Inputs!$F$7/1000/4)^(2/3))*SQRT(N110))</f>
        <v/>
      </c>
      <c r="AG110" s="4">
        <f>IF(A110="","",(1/Inputs!$B$9)*(PI()*(Inputs!$F$8/1000)^2/4)*((Inputs!$F$8/1000/4)^(2/3))*SQRT(N110))</f>
        <v/>
      </c>
      <c r="AH110" s="4">
        <f>IF(A110="","",(1/Inputs!$B$9)*(PI()*(Inputs!$F$9/1000)^2/4)*((Inputs!$F$9/1000/4)^(2/3))*SQRT(N110))</f>
        <v/>
      </c>
      <c r="AI110" s="4">
        <f>IF(A110="","",(1/Inputs!$B$9)*(PI()*(Inputs!$F$10/1000)^2/4)*((Inputs!$F$10/1000/4)^(2/3))*SQRT(N110))</f>
        <v/>
      </c>
      <c r="AJ110" s="4">
        <f>IF(A110="","",(1/Inputs!$B$9)*(PI()*(Inputs!$F$11/1000)^2/4)*((Inputs!$F$11/1000/4)^(2/3))*SQRT(N110))</f>
        <v/>
      </c>
      <c r="AK110" s="4">
        <f>IF(A110="","",(1/Inputs!$B$9)*(PI()*(Inputs!$F$12/1000)^2/4)*((Inputs!$F$12/1000/4)^(2/3))*SQRT(N110))</f>
        <v/>
      </c>
      <c r="AL110" s="4">
        <f>IF(A110="","",(1/Inputs!$B$9)*(PI()*(Inputs!$F$13/1000)^2/4)*((Inputs!$F$13/1000/4)^(2/3))*SQRT(N110))</f>
        <v/>
      </c>
      <c r="AM110" s="4">
        <f>IF(A110="","",(1/Inputs!$B$9)*(PI()*(Inputs!$F$14/1000)^2/4)*((Inputs!$F$14/1000/4)^(2/3))*SQRT(N110))</f>
        <v/>
      </c>
    </row>
    <row r="111">
      <c r="A111" s="4" t="n"/>
      <c r="B111" s="4" t="n"/>
      <c r="C111" s="8" t="n"/>
      <c r="D111" s="8" t="n"/>
      <c r="E111" s="8">
        <f>SUMIFS(CB_Tributaires!$C:$C,CB_Tributaires!$B:$B,$A111)</f>
        <v/>
      </c>
      <c r="F111" s="8">
        <f>IF(D111="",E111,D111)</f>
        <v/>
      </c>
      <c r="G111" s="4" t="n"/>
      <c r="H111" s="8" t="n"/>
      <c r="I111" s="8">
        <f>IF(A111="","",Inputs!$B$13/((IF(H111="",Inputs!$B$18,H111)+Inputs!$B$14)^Inputs!$B$15))</f>
        <v/>
      </c>
      <c r="J111" s="8">
        <f>IF(A111="","",0.00278*IF(G111="",Inputs!$B$17,G111)*F111*I111)</f>
        <v/>
      </c>
      <c r="K111" s="8">
        <f>IF(A111="","",SUMIFS($L$4:$L$203,$B$4:$B$203,$A111))</f>
        <v/>
      </c>
      <c r="L111" s="8">
        <f>IF(A111="","",(J111+K111)*Inputs!$B$16)</f>
        <v/>
      </c>
      <c r="M111" s="8" t="n"/>
      <c r="N111" s="8">
        <f>IF(A111="","",IF(M111="",Inputs!$B$7,M111))</f>
        <v/>
      </c>
      <c r="O111" s="4">
        <f>IF(A111="","",IF(L111/Inputs!$B$10&lt;=AD111,Inputs!$F$5,IF(L111/Inputs!$B$10&gt;AM111,"OVERSIZE",INDEX(Inputs!$F$5:$F$14,MATCH(L111/Inputs!$B$10,AD111:AM111,1)+1))))</f>
        <v/>
      </c>
      <c r="P111" s="4" t="n"/>
      <c r="Q111" s="4">
        <f>IF(A111="","",IF(P111="",O111,P111))</f>
        <v/>
      </c>
      <c r="R111" s="8">
        <f>IF(OR(Q111="",Q111="OVERSIZE"),"",Q111/1000)</f>
        <v/>
      </c>
      <c r="S111" s="8">
        <f>IF(R111="","",(1/Inputs!$B$9)*(PI()*R111^2/4)*((R111/4)^(2/3))*SQRT(N111))</f>
        <v/>
      </c>
      <c r="T111" s="8">
        <f>IF(OR(S111="",L111=""),"",L111/(S111*Inputs!$B$10))</f>
        <v/>
      </c>
      <c r="U111" s="8">
        <f>IF(OR(R111="",L111=""),"",4*L111/(PI()*R111^2))</f>
        <v/>
      </c>
      <c r="V111" s="8" t="n"/>
      <c r="W111" s="8">
        <f>IF(A111="","",IF(A111=Inputs!$B$6,Inputs!$B$22,IF(B111="","",IFERROR(INDEX($X$4:$X$203,MATCH(B111,$A$4:$A$203,0))+IF(V111="",Inputs!$B$20,V111),""))))</f>
        <v/>
      </c>
      <c r="X111" s="8">
        <f>IF(OR(W111="",N111="",C111=""),"",W111+N111*C111)</f>
        <v/>
      </c>
      <c r="Y111" s="8" t="n"/>
      <c r="Z111" s="8" t="n"/>
      <c r="AA111" s="8">
        <f>IF(OR(Y111="",W111=""),"",Y111-W111)</f>
        <v/>
      </c>
      <c r="AB111" s="8">
        <f>IF(OR(Z111="",X111=""),"",Z111-X111)</f>
        <v/>
      </c>
      <c r="AC111" s="4">
        <f>IF(A111="","",IF(OR(T111&gt;1,U111&lt;Inputs!$B$11,U111&gt;Inputs!$B$12,AA111&lt;Inputs!$B$19,AB111&lt;Inputs!$B$19,N111&lt;Inputs!$B$7,N111&gt;Inputs!$B$8),"CHECK","OK"))</f>
        <v/>
      </c>
      <c r="AD111" s="4">
        <f>IF(A111="","",(1/Inputs!$B$9)*(PI()*(Inputs!$F$5/1000)^2/4)*((Inputs!$F$5/1000/4)^(2/3))*SQRT(N111))</f>
        <v/>
      </c>
      <c r="AE111" s="4">
        <f>IF(A111="","",(1/Inputs!$B$9)*(PI()*(Inputs!$F$6/1000)^2/4)*((Inputs!$F$6/1000/4)^(2/3))*SQRT(N111))</f>
        <v/>
      </c>
      <c r="AF111" s="4">
        <f>IF(A111="","",(1/Inputs!$B$9)*(PI()*(Inputs!$F$7/1000)^2/4)*((Inputs!$F$7/1000/4)^(2/3))*SQRT(N111))</f>
        <v/>
      </c>
      <c r="AG111" s="4">
        <f>IF(A111="","",(1/Inputs!$B$9)*(PI()*(Inputs!$F$8/1000)^2/4)*((Inputs!$F$8/1000/4)^(2/3))*SQRT(N111))</f>
        <v/>
      </c>
      <c r="AH111" s="4">
        <f>IF(A111="","",(1/Inputs!$B$9)*(PI()*(Inputs!$F$9/1000)^2/4)*((Inputs!$F$9/1000/4)^(2/3))*SQRT(N111))</f>
        <v/>
      </c>
      <c r="AI111" s="4">
        <f>IF(A111="","",(1/Inputs!$B$9)*(PI()*(Inputs!$F$10/1000)^2/4)*((Inputs!$F$10/1000/4)^(2/3))*SQRT(N111))</f>
        <v/>
      </c>
      <c r="AJ111" s="4">
        <f>IF(A111="","",(1/Inputs!$B$9)*(PI()*(Inputs!$F$11/1000)^2/4)*((Inputs!$F$11/1000/4)^(2/3))*SQRT(N111))</f>
        <v/>
      </c>
      <c r="AK111" s="4">
        <f>IF(A111="","",(1/Inputs!$B$9)*(PI()*(Inputs!$F$12/1000)^2/4)*((Inputs!$F$12/1000/4)^(2/3))*SQRT(N111))</f>
        <v/>
      </c>
      <c r="AL111" s="4">
        <f>IF(A111="","",(1/Inputs!$B$9)*(PI()*(Inputs!$F$13/1000)^2/4)*((Inputs!$F$13/1000/4)^(2/3))*SQRT(N111))</f>
        <v/>
      </c>
      <c r="AM111" s="4">
        <f>IF(A111="","",(1/Inputs!$B$9)*(PI()*(Inputs!$F$14/1000)^2/4)*((Inputs!$F$14/1000/4)^(2/3))*SQRT(N111))</f>
        <v/>
      </c>
    </row>
    <row r="112">
      <c r="A112" s="4" t="n"/>
      <c r="B112" s="4" t="n"/>
      <c r="C112" s="8" t="n"/>
      <c r="D112" s="8" t="n"/>
      <c r="E112" s="8">
        <f>SUMIFS(CB_Tributaires!$C:$C,CB_Tributaires!$B:$B,$A112)</f>
        <v/>
      </c>
      <c r="F112" s="8">
        <f>IF(D112="",E112,D112)</f>
        <v/>
      </c>
      <c r="G112" s="4" t="n"/>
      <c r="H112" s="8" t="n"/>
      <c r="I112" s="8">
        <f>IF(A112="","",Inputs!$B$13/((IF(H112="",Inputs!$B$18,H112)+Inputs!$B$14)^Inputs!$B$15))</f>
        <v/>
      </c>
      <c r="J112" s="8">
        <f>IF(A112="","",0.00278*IF(G112="",Inputs!$B$17,G112)*F112*I112)</f>
        <v/>
      </c>
      <c r="K112" s="8">
        <f>IF(A112="","",SUMIFS($L$4:$L$203,$B$4:$B$203,$A112))</f>
        <v/>
      </c>
      <c r="L112" s="8">
        <f>IF(A112="","",(J112+K112)*Inputs!$B$16)</f>
        <v/>
      </c>
      <c r="M112" s="8" t="n"/>
      <c r="N112" s="8">
        <f>IF(A112="","",IF(M112="",Inputs!$B$7,M112))</f>
        <v/>
      </c>
      <c r="O112" s="4">
        <f>IF(A112="","",IF(L112/Inputs!$B$10&lt;=AD112,Inputs!$F$5,IF(L112/Inputs!$B$10&gt;AM112,"OVERSIZE",INDEX(Inputs!$F$5:$F$14,MATCH(L112/Inputs!$B$10,AD112:AM112,1)+1))))</f>
        <v/>
      </c>
      <c r="P112" s="4" t="n"/>
      <c r="Q112" s="4">
        <f>IF(A112="","",IF(P112="",O112,P112))</f>
        <v/>
      </c>
      <c r="R112" s="8">
        <f>IF(OR(Q112="",Q112="OVERSIZE"),"",Q112/1000)</f>
        <v/>
      </c>
      <c r="S112" s="8">
        <f>IF(R112="","",(1/Inputs!$B$9)*(PI()*R112^2/4)*((R112/4)^(2/3))*SQRT(N112))</f>
        <v/>
      </c>
      <c r="T112" s="8">
        <f>IF(OR(S112="",L112=""),"",L112/(S112*Inputs!$B$10))</f>
        <v/>
      </c>
      <c r="U112" s="8">
        <f>IF(OR(R112="",L112=""),"",4*L112/(PI()*R112^2))</f>
        <v/>
      </c>
      <c r="V112" s="8" t="n"/>
      <c r="W112" s="8">
        <f>IF(A112="","",IF(A112=Inputs!$B$6,Inputs!$B$22,IF(B112="","",IFERROR(INDEX($X$4:$X$203,MATCH(B112,$A$4:$A$203,0))+IF(V112="",Inputs!$B$20,V112),""))))</f>
        <v/>
      </c>
      <c r="X112" s="8">
        <f>IF(OR(W112="",N112="",C112=""),"",W112+N112*C112)</f>
        <v/>
      </c>
      <c r="Y112" s="8" t="n"/>
      <c r="Z112" s="8" t="n"/>
      <c r="AA112" s="8">
        <f>IF(OR(Y112="",W112=""),"",Y112-W112)</f>
        <v/>
      </c>
      <c r="AB112" s="8">
        <f>IF(OR(Z112="",X112=""),"",Z112-X112)</f>
        <v/>
      </c>
      <c r="AC112" s="4">
        <f>IF(A112="","",IF(OR(T112&gt;1,U112&lt;Inputs!$B$11,U112&gt;Inputs!$B$12,AA112&lt;Inputs!$B$19,AB112&lt;Inputs!$B$19,N112&lt;Inputs!$B$7,N112&gt;Inputs!$B$8),"CHECK","OK"))</f>
        <v/>
      </c>
      <c r="AD112" s="4">
        <f>IF(A112="","",(1/Inputs!$B$9)*(PI()*(Inputs!$F$5/1000)^2/4)*((Inputs!$F$5/1000/4)^(2/3))*SQRT(N112))</f>
        <v/>
      </c>
      <c r="AE112" s="4">
        <f>IF(A112="","",(1/Inputs!$B$9)*(PI()*(Inputs!$F$6/1000)^2/4)*((Inputs!$F$6/1000/4)^(2/3))*SQRT(N112))</f>
        <v/>
      </c>
      <c r="AF112" s="4">
        <f>IF(A112="","",(1/Inputs!$B$9)*(PI()*(Inputs!$F$7/1000)^2/4)*((Inputs!$F$7/1000/4)^(2/3))*SQRT(N112))</f>
        <v/>
      </c>
      <c r="AG112" s="4">
        <f>IF(A112="","",(1/Inputs!$B$9)*(PI()*(Inputs!$F$8/1000)^2/4)*((Inputs!$F$8/1000/4)^(2/3))*SQRT(N112))</f>
        <v/>
      </c>
      <c r="AH112" s="4">
        <f>IF(A112="","",(1/Inputs!$B$9)*(PI()*(Inputs!$F$9/1000)^2/4)*((Inputs!$F$9/1000/4)^(2/3))*SQRT(N112))</f>
        <v/>
      </c>
      <c r="AI112" s="4">
        <f>IF(A112="","",(1/Inputs!$B$9)*(PI()*(Inputs!$F$10/1000)^2/4)*((Inputs!$F$10/1000/4)^(2/3))*SQRT(N112))</f>
        <v/>
      </c>
      <c r="AJ112" s="4">
        <f>IF(A112="","",(1/Inputs!$B$9)*(PI()*(Inputs!$F$11/1000)^2/4)*((Inputs!$F$11/1000/4)^(2/3))*SQRT(N112))</f>
        <v/>
      </c>
      <c r="AK112" s="4">
        <f>IF(A112="","",(1/Inputs!$B$9)*(PI()*(Inputs!$F$12/1000)^2/4)*((Inputs!$F$12/1000/4)^(2/3))*SQRT(N112))</f>
        <v/>
      </c>
      <c r="AL112" s="4">
        <f>IF(A112="","",(1/Inputs!$B$9)*(PI()*(Inputs!$F$13/1000)^2/4)*((Inputs!$F$13/1000/4)^(2/3))*SQRT(N112))</f>
        <v/>
      </c>
      <c r="AM112" s="4">
        <f>IF(A112="","",(1/Inputs!$B$9)*(PI()*(Inputs!$F$14/1000)^2/4)*((Inputs!$F$14/1000/4)^(2/3))*SQRT(N112))</f>
        <v/>
      </c>
    </row>
    <row r="113">
      <c r="A113" s="4" t="n"/>
      <c r="B113" s="4" t="n"/>
      <c r="C113" s="8" t="n"/>
      <c r="D113" s="8" t="n"/>
      <c r="E113" s="8">
        <f>SUMIFS(CB_Tributaires!$C:$C,CB_Tributaires!$B:$B,$A113)</f>
        <v/>
      </c>
      <c r="F113" s="8">
        <f>IF(D113="",E113,D113)</f>
        <v/>
      </c>
      <c r="G113" s="4" t="n"/>
      <c r="H113" s="8" t="n"/>
      <c r="I113" s="8">
        <f>IF(A113="","",Inputs!$B$13/((IF(H113="",Inputs!$B$18,H113)+Inputs!$B$14)^Inputs!$B$15))</f>
        <v/>
      </c>
      <c r="J113" s="8">
        <f>IF(A113="","",0.00278*IF(G113="",Inputs!$B$17,G113)*F113*I113)</f>
        <v/>
      </c>
      <c r="K113" s="8">
        <f>IF(A113="","",SUMIFS($L$4:$L$203,$B$4:$B$203,$A113))</f>
        <v/>
      </c>
      <c r="L113" s="8">
        <f>IF(A113="","",(J113+K113)*Inputs!$B$16)</f>
        <v/>
      </c>
      <c r="M113" s="8" t="n"/>
      <c r="N113" s="8">
        <f>IF(A113="","",IF(M113="",Inputs!$B$7,M113))</f>
        <v/>
      </c>
      <c r="O113" s="4">
        <f>IF(A113="","",IF(L113/Inputs!$B$10&lt;=AD113,Inputs!$F$5,IF(L113/Inputs!$B$10&gt;AM113,"OVERSIZE",INDEX(Inputs!$F$5:$F$14,MATCH(L113/Inputs!$B$10,AD113:AM113,1)+1))))</f>
        <v/>
      </c>
      <c r="P113" s="4" t="n"/>
      <c r="Q113" s="4">
        <f>IF(A113="","",IF(P113="",O113,P113))</f>
        <v/>
      </c>
      <c r="R113" s="8">
        <f>IF(OR(Q113="",Q113="OVERSIZE"),"",Q113/1000)</f>
        <v/>
      </c>
      <c r="S113" s="8">
        <f>IF(R113="","",(1/Inputs!$B$9)*(PI()*R113^2/4)*((R113/4)^(2/3))*SQRT(N113))</f>
        <v/>
      </c>
      <c r="T113" s="8">
        <f>IF(OR(S113="",L113=""),"",L113/(S113*Inputs!$B$10))</f>
        <v/>
      </c>
      <c r="U113" s="8">
        <f>IF(OR(R113="",L113=""),"",4*L113/(PI()*R113^2))</f>
        <v/>
      </c>
      <c r="V113" s="8" t="n"/>
      <c r="W113" s="8">
        <f>IF(A113="","",IF(A113=Inputs!$B$6,Inputs!$B$22,IF(B113="","",IFERROR(INDEX($X$4:$X$203,MATCH(B113,$A$4:$A$203,0))+IF(V113="",Inputs!$B$20,V113),""))))</f>
        <v/>
      </c>
      <c r="X113" s="8">
        <f>IF(OR(W113="",N113="",C113=""),"",W113+N113*C113)</f>
        <v/>
      </c>
      <c r="Y113" s="8" t="n"/>
      <c r="Z113" s="8" t="n"/>
      <c r="AA113" s="8">
        <f>IF(OR(Y113="",W113=""),"",Y113-W113)</f>
        <v/>
      </c>
      <c r="AB113" s="8">
        <f>IF(OR(Z113="",X113=""),"",Z113-X113)</f>
        <v/>
      </c>
      <c r="AC113" s="4">
        <f>IF(A113="","",IF(OR(T113&gt;1,U113&lt;Inputs!$B$11,U113&gt;Inputs!$B$12,AA113&lt;Inputs!$B$19,AB113&lt;Inputs!$B$19,N113&lt;Inputs!$B$7,N113&gt;Inputs!$B$8),"CHECK","OK"))</f>
        <v/>
      </c>
      <c r="AD113" s="4">
        <f>IF(A113="","",(1/Inputs!$B$9)*(PI()*(Inputs!$F$5/1000)^2/4)*((Inputs!$F$5/1000/4)^(2/3))*SQRT(N113))</f>
        <v/>
      </c>
      <c r="AE113" s="4">
        <f>IF(A113="","",(1/Inputs!$B$9)*(PI()*(Inputs!$F$6/1000)^2/4)*((Inputs!$F$6/1000/4)^(2/3))*SQRT(N113))</f>
        <v/>
      </c>
      <c r="AF113" s="4">
        <f>IF(A113="","",(1/Inputs!$B$9)*(PI()*(Inputs!$F$7/1000)^2/4)*((Inputs!$F$7/1000/4)^(2/3))*SQRT(N113))</f>
        <v/>
      </c>
      <c r="AG113" s="4">
        <f>IF(A113="","",(1/Inputs!$B$9)*(PI()*(Inputs!$F$8/1000)^2/4)*((Inputs!$F$8/1000/4)^(2/3))*SQRT(N113))</f>
        <v/>
      </c>
      <c r="AH113" s="4">
        <f>IF(A113="","",(1/Inputs!$B$9)*(PI()*(Inputs!$F$9/1000)^2/4)*((Inputs!$F$9/1000/4)^(2/3))*SQRT(N113))</f>
        <v/>
      </c>
      <c r="AI113" s="4">
        <f>IF(A113="","",(1/Inputs!$B$9)*(PI()*(Inputs!$F$10/1000)^2/4)*((Inputs!$F$10/1000/4)^(2/3))*SQRT(N113))</f>
        <v/>
      </c>
      <c r="AJ113" s="4">
        <f>IF(A113="","",(1/Inputs!$B$9)*(PI()*(Inputs!$F$11/1000)^2/4)*((Inputs!$F$11/1000/4)^(2/3))*SQRT(N113))</f>
        <v/>
      </c>
      <c r="AK113" s="4">
        <f>IF(A113="","",(1/Inputs!$B$9)*(PI()*(Inputs!$F$12/1000)^2/4)*((Inputs!$F$12/1000/4)^(2/3))*SQRT(N113))</f>
        <v/>
      </c>
      <c r="AL113" s="4">
        <f>IF(A113="","",(1/Inputs!$B$9)*(PI()*(Inputs!$F$13/1000)^2/4)*((Inputs!$F$13/1000/4)^(2/3))*SQRT(N113))</f>
        <v/>
      </c>
      <c r="AM113" s="4">
        <f>IF(A113="","",(1/Inputs!$B$9)*(PI()*(Inputs!$F$14/1000)^2/4)*((Inputs!$F$14/1000/4)^(2/3))*SQRT(N113))</f>
        <v/>
      </c>
    </row>
    <row r="114">
      <c r="A114" s="4" t="n"/>
      <c r="B114" s="4" t="n"/>
      <c r="C114" s="8" t="n"/>
      <c r="D114" s="8" t="n"/>
      <c r="E114" s="8">
        <f>SUMIFS(CB_Tributaires!$C:$C,CB_Tributaires!$B:$B,$A114)</f>
        <v/>
      </c>
      <c r="F114" s="8">
        <f>IF(D114="",E114,D114)</f>
        <v/>
      </c>
      <c r="G114" s="4" t="n"/>
      <c r="H114" s="8" t="n"/>
      <c r="I114" s="8">
        <f>IF(A114="","",Inputs!$B$13/((IF(H114="",Inputs!$B$18,H114)+Inputs!$B$14)^Inputs!$B$15))</f>
        <v/>
      </c>
      <c r="J114" s="8">
        <f>IF(A114="","",0.00278*IF(G114="",Inputs!$B$17,G114)*F114*I114)</f>
        <v/>
      </c>
      <c r="K114" s="8">
        <f>IF(A114="","",SUMIFS($L$4:$L$203,$B$4:$B$203,$A114))</f>
        <v/>
      </c>
      <c r="L114" s="8">
        <f>IF(A114="","",(J114+K114)*Inputs!$B$16)</f>
        <v/>
      </c>
      <c r="M114" s="8" t="n"/>
      <c r="N114" s="8">
        <f>IF(A114="","",IF(M114="",Inputs!$B$7,M114))</f>
        <v/>
      </c>
      <c r="O114" s="4">
        <f>IF(A114="","",IF(L114/Inputs!$B$10&lt;=AD114,Inputs!$F$5,IF(L114/Inputs!$B$10&gt;AM114,"OVERSIZE",INDEX(Inputs!$F$5:$F$14,MATCH(L114/Inputs!$B$10,AD114:AM114,1)+1))))</f>
        <v/>
      </c>
      <c r="P114" s="4" t="n"/>
      <c r="Q114" s="4">
        <f>IF(A114="","",IF(P114="",O114,P114))</f>
        <v/>
      </c>
      <c r="R114" s="8">
        <f>IF(OR(Q114="",Q114="OVERSIZE"),"",Q114/1000)</f>
        <v/>
      </c>
      <c r="S114" s="8">
        <f>IF(R114="","",(1/Inputs!$B$9)*(PI()*R114^2/4)*((R114/4)^(2/3))*SQRT(N114))</f>
        <v/>
      </c>
      <c r="T114" s="8">
        <f>IF(OR(S114="",L114=""),"",L114/(S114*Inputs!$B$10))</f>
        <v/>
      </c>
      <c r="U114" s="8">
        <f>IF(OR(R114="",L114=""),"",4*L114/(PI()*R114^2))</f>
        <v/>
      </c>
      <c r="V114" s="8" t="n"/>
      <c r="W114" s="8">
        <f>IF(A114="","",IF(A114=Inputs!$B$6,Inputs!$B$22,IF(B114="","",IFERROR(INDEX($X$4:$X$203,MATCH(B114,$A$4:$A$203,0))+IF(V114="",Inputs!$B$20,V114),""))))</f>
        <v/>
      </c>
      <c r="X114" s="8">
        <f>IF(OR(W114="",N114="",C114=""),"",W114+N114*C114)</f>
        <v/>
      </c>
      <c r="Y114" s="8" t="n"/>
      <c r="Z114" s="8" t="n"/>
      <c r="AA114" s="8">
        <f>IF(OR(Y114="",W114=""),"",Y114-W114)</f>
        <v/>
      </c>
      <c r="AB114" s="8">
        <f>IF(OR(Z114="",X114=""),"",Z114-X114)</f>
        <v/>
      </c>
      <c r="AC114" s="4">
        <f>IF(A114="","",IF(OR(T114&gt;1,U114&lt;Inputs!$B$11,U114&gt;Inputs!$B$12,AA114&lt;Inputs!$B$19,AB114&lt;Inputs!$B$19,N114&lt;Inputs!$B$7,N114&gt;Inputs!$B$8),"CHECK","OK"))</f>
        <v/>
      </c>
      <c r="AD114" s="4">
        <f>IF(A114="","",(1/Inputs!$B$9)*(PI()*(Inputs!$F$5/1000)^2/4)*((Inputs!$F$5/1000/4)^(2/3))*SQRT(N114))</f>
        <v/>
      </c>
      <c r="AE114" s="4">
        <f>IF(A114="","",(1/Inputs!$B$9)*(PI()*(Inputs!$F$6/1000)^2/4)*((Inputs!$F$6/1000/4)^(2/3))*SQRT(N114))</f>
        <v/>
      </c>
      <c r="AF114" s="4">
        <f>IF(A114="","",(1/Inputs!$B$9)*(PI()*(Inputs!$F$7/1000)^2/4)*((Inputs!$F$7/1000/4)^(2/3))*SQRT(N114))</f>
        <v/>
      </c>
      <c r="AG114" s="4">
        <f>IF(A114="","",(1/Inputs!$B$9)*(PI()*(Inputs!$F$8/1000)^2/4)*((Inputs!$F$8/1000/4)^(2/3))*SQRT(N114))</f>
        <v/>
      </c>
      <c r="AH114" s="4">
        <f>IF(A114="","",(1/Inputs!$B$9)*(PI()*(Inputs!$F$9/1000)^2/4)*((Inputs!$F$9/1000/4)^(2/3))*SQRT(N114))</f>
        <v/>
      </c>
      <c r="AI114" s="4">
        <f>IF(A114="","",(1/Inputs!$B$9)*(PI()*(Inputs!$F$10/1000)^2/4)*((Inputs!$F$10/1000/4)^(2/3))*SQRT(N114))</f>
        <v/>
      </c>
      <c r="AJ114" s="4">
        <f>IF(A114="","",(1/Inputs!$B$9)*(PI()*(Inputs!$F$11/1000)^2/4)*((Inputs!$F$11/1000/4)^(2/3))*SQRT(N114))</f>
        <v/>
      </c>
      <c r="AK114" s="4">
        <f>IF(A114="","",(1/Inputs!$B$9)*(PI()*(Inputs!$F$12/1000)^2/4)*((Inputs!$F$12/1000/4)^(2/3))*SQRT(N114))</f>
        <v/>
      </c>
      <c r="AL114" s="4">
        <f>IF(A114="","",(1/Inputs!$B$9)*(PI()*(Inputs!$F$13/1000)^2/4)*((Inputs!$F$13/1000/4)^(2/3))*SQRT(N114))</f>
        <v/>
      </c>
      <c r="AM114" s="4">
        <f>IF(A114="","",(1/Inputs!$B$9)*(PI()*(Inputs!$F$14/1000)^2/4)*((Inputs!$F$14/1000/4)^(2/3))*SQRT(N114))</f>
        <v/>
      </c>
    </row>
    <row r="115">
      <c r="A115" s="4" t="n"/>
      <c r="B115" s="4" t="n"/>
      <c r="C115" s="8" t="n"/>
      <c r="D115" s="8" t="n"/>
      <c r="E115" s="8">
        <f>SUMIFS(CB_Tributaires!$C:$C,CB_Tributaires!$B:$B,$A115)</f>
        <v/>
      </c>
      <c r="F115" s="8">
        <f>IF(D115="",E115,D115)</f>
        <v/>
      </c>
      <c r="G115" s="4" t="n"/>
      <c r="H115" s="8" t="n"/>
      <c r="I115" s="8">
        <f>IF(A115="","",Inputs!$B$13/((IF(H115="",Inputs!$B$18,H115)+Inputs!$B$14)^Inputs!$B$15))</f>
        <v/>
      </c>
      <c r="J115" s="8">
        <f>IF(A115="","",0.00278*IF(G115="",Inputs!$B$17,G115)*F115*I115)</f>
        <v/>
      </c>
      <c r="K115" s="8">
        <f>IF(A115="","",SUMIFS($L$4:$L$203,$B$4:$B$203,$A115))</f>
        <v/>
      </c>
      <c r="L115" s="8">
        <f>IF(A115="","",(J115+K115)*Inputs!$B$16)</f>
        <v/>
      </c>
      <c r="M115" s="8" t="n"/>
      <c r="N115" s="8">
        <f>IF(A115="","",IF(M115="",Inputs!$B$7,M115))</f>
        <v/>
      </c>
      <c r="O115" s="4">
        <f>IF(A115="","",IF(L115/Inputs!$B$10&lt;=AD115,Inputs!$F$5,IF(L115/Inputs!$B$10&gt;AM115,"OVERSIZE",INDEX(Inputs!$F$5:$F$14,MATCH(L115/Inputs!$B$10,AD115:AM115,1)+1))))</f>
        <v/>
      </c>
      <c r="P115" s="4" t="n"/>
      <c r="Q115" s="4">
        <f>IF(A115="","",IF(P115="",O115,P115))</f>
        <v/>
      </c>
      <c r="R115" s="8">
        <f>IF(OR(Q115="",Q115="OVERSIZE"),"",Q115/1000)</f>
        <v/>
      </c>
      <c r="S115" s="8">
        <f>IF(R115="","",(1/Inputs!$B$9)*(PI()*R115^2/4)*((R115/4)^(2/3))*SQRT(N115))</f>
        <v/>
      </c>
      <c r="T115" s="8">
        <f>IF(OR(S115="",L115=""),"",L115/(S115*Inputs!$B$10))</f>
        <v/>
      </c>
      <c r="U115" s="8">
        <f>IF(OR(R115="",L115=""),"",4*L115/(PI()*R115^2))</f>
        <v/>
      </c>
      <c r="V115" s="8" t="n"/>
      <c r="W115" s="8">
        <f>IF(A115="","",IF(A115=Inputs!$B$6,Inputs!$B$22,IF(B115="","",IFERROR(INDEX($X$4:$X$203,MATCH(B115,$A$4:$A$203,0))+IF(V115="",Inputs!$B$20,V115),""))))</f>
        <v/>
      </c>
      <c r="X115" s="8">
        <f>IF(OR(W115="",N115="",C115=""),"",W115+N115*C115)</f>
        <v/>
      </c>
      <c r="Y115" s="8" t="n"/>
      <c r="Z115" s="8" t="n"/>
      <c r="AA115" s="8">
        <f>IF(OR(Y115="",W115=""),"",Y115-W115)</f>
        <v/>
      </c>
      <c r="AB115" s="8">
        <f>IF(OR(Z115="",X115=""),"",Z115-X115)</f>
        <v/>
      </c>
      <c r="AC115" s="4">
        <f>IF(A115="","",IF(OR(T115&gt;1,U115&lt;Inputs!$B$11,U115&gt;Inputs!$B$12,AA115&lt;Inputs!$B$19,AB115&lt;Inputs!$B$19,N115&lt;Inputs!$B$7,N115&gt;Inputs!$B$8),"CHECK","OK"))</f>
        <v/>
      </c>
      <c r="AD115" s="4">
        <f>IF(A115="","",(1/Inputs!$B$9)*(PI()*(Inputs!$F$5/1000)^2/4)*((Inputs!$F$5/1000/4)^(2/3))*SQRT(N115))</f>
        <v/>
      </c>
      <c r="AE115" s="4">
        <f>IF(A115="","",(1/Inputs!$B$9)*(PI()*(Inputs!$F$6/1000)^2/4)*((Inputs!$F$6/1000/4)^(2/3))*SQRT(N115))</f>
        <v/>
      </c>
      <c r="AF115" s="4">
        <f>IF(A115="","",(1/Inputs!$B$9)*(PI()*(Inputs!$F$7/1000)^2/4)*((Inputs!$F$7/1000/4)^(2/3))*SQRT(N115))</f>
        <v/>
      </c>
      <c r="AG115" s="4">
        <f>IF(A115="","",(1/Inputs!$B$9)*(PI()*(Inputs!$F$8/1000)^2/4)*((Inputs!$F$8/1000/4)^(2/3))*SQRT(N115))</f>
        <v/>
      </c>
      <c r="AH115" s="4">
        <f>IF(A115="","",(1/Inputs!$B$9)*(PI()*(Inputs!$F$9/1000)^2/4)*((Inputs!$F$9/1000/4)^(2/3))*SQRT(N115))</f>
        <v/>
      </c>
      <c r="AI115" s="4">
        <f>IF(A115="","",(1/Inputs!$B$9)*(PI()*(Inputs!$F$10/1000)^2/4)*((Inputs!$F$10/1000/4)^(2/3))*SQRT(N115))</f>
        <v/>
      </c>
      <c r="AJ115" s="4">
        <f>IF(A115="","",(1/Inputs!$B$9)*(PI()*(Inputs!$F$11/1000)^2/4)*((Inputs!$F$11/1000/4)^(2/3))*SQRT(N115))</f>
        <v/>
      </c>
      <c r="AK115" s="4">
        <f>IF(A115="","",(1/Inputs!$B$9)*(PI()*(Inputs!$F$12/1000)^2/4)*((Inputs!$F$12/1000/4)^(2/3))*SQRT(N115))</f>
        <v/>
      </c>
      <c r="AL115" s="4">
        <f>IF(A115="","",(1/Inputs!$B$9)*(PI()*(Inputs!$F$13/1000)^2/4)*((Inputs!$F$13/1000/4)^(2/3))*SQRT(N115))</f>
        <v/>
      </c>
      <c r="AM115" s="4">
        <f>IF(A115="","",(1/Inputs!$B$9)*(PI()*(Inputs!$F$14/1000)^2/4)*((Inputs!$F$14/1000/4)^(2/3))*SQRT(N115))</f>
        <v/>
      </c>
    </row>
    <row r="116">
      <c r="A116" s="4" t="n"/>
      <c r="B116" s="4" t="n"/>
      <c r="C116" s="8" t="n"/>
      <c r="D116" s="8" t="n"/>
      <c r="E116" s="8">
        <f>SUMIFS(CB_Tributaires!$C:$C,CB_Tributaires!$B:$B,$A116)</f>
        <v/>
      </c>
      <c r="F116" s="8">
        <f>IF(D116="",E116,D116)</f>
        <v/>
      </c>
      <c r="G116" s="4" t="n"/>
      <c r="H116" s="8" t="n"/>
      <c r="I116" s="8">
        <f>IF(A116="","",Inputs!$B$13/((IF(H116="",Inputs!$B$18,H116)+Inputs!$B$14)^Inputs!$B$15))</f>
        <v/>
      </c>
      <c r="J116" s="8">
        <f>IF(A116="","",0.00278*IF(G116="",Inputs!$B$17,G116)*F116*I116)</f>
        <v/>
      </c>
      <c r="K116" s="8">
        <f>IF(A116="","",SUMIFS($L$4:$L$203,$B$4:$B$203,$A116))</f>
        <v/>
      </c>
      <c r="L116" s="8">
        <f>IF(A116="","",(J116+K116)*Inputs!$B$16)</f>
        <v/>
      </c>
      <c r="M116" s="8" t="n"/>
      <c r="N116" s="8">
        <f>IF(A116="","",IF(M116="",Inputs!$B$7,M116))</f>
        <v/>
      </c>
      <c r="O116" s="4">
        <f>IF(A116="","",IF(L116/Inputs!$B$10&lt;=AD116,Inputs!$F$5,IF(L116/Inputs!$B$10&gt;AM116,"OVERSIZE",INDEX(Inputs!$F$5:$F$14,MATCH(L116/Inputs!$B$10,AD116:AM116,1)+1))))</f>
        <v/>
      </c>
      <c r="P116" s="4" t="n"/>
      <c r="Q116" s="4">
        <f>IF(A116="","",IF(P116="",O116,P116))</f>
        <v/>
      </c>
      <c r="R116" s="8">
        <f>IF(OR(Q116="",Q116="OVERSIZE"),"",Q116/1000)</f>
        <v/>
      </c>
      <c r="S116" s="8">
        <f>IF(R116="","",(1/Inputs!$B$9)*(PI()*R116^2/4)*((R116/4)^(2/3))*SQRT(N116))</f>
        <v/>
      </c>
      <c r="T116" s="8">
        <f>IF(OR(S116="",L116=""),"",L116/(S116*Inputs!$B$10))</f>
        <v/>
      </c>
      <c r="U116" s="8">
        <f>IF(OR(R116="",L116=""),"",4*L116/(PI()*R116^2))</f>
        <v/>
      </c>
      <c r="V116" s="8" t="n"/>
      <c r="W116" s="8">
        <f>IF(A116="","",IF(A116=Inputs!$B$6,Inputs!$B$22,IF(B116="","",IFERROR(INDEX($X$4:$X$203,MATCH(B116,$A$4:$A$203,0))+IF(V116="",Inputs!$B$20,V116),""))))</f>
        <v/>
      </c>
      <c r="X116" s="8">
        <f>IF(OR(W116="",N116="",C116=""),"",W116+N116*C116)</f>
        <v/>
      </c>
      <c r="Y116" s="8" t="n"/>
      <c r="Z116" s="8" t="n"/>
      <c r="AA116" s="8">
        <f>IF(OR(Y116="",W116=""),"",Y116-W116)</f>
        <v/>
      </c>
      <c r="AB116" s="8">
        <f>IF(OR(Z116="",X116=""),"",Z116-X116)</f>
        <v/>
      </c>
      <c r="AC116" s="4">
        <f>IF(A116="","",IF(OR(T116&gt;1,U116&lt;Inputs!$B$11,U116&gt;Inputs!$B$12,AA116&lt;Inputs!$B$19,AB116&lt;Inputs!$B$19,N116&lt;Inputs!$B$7,N116&gt;Inputs!$B$8),"CHECK","OK"))</f>
        <v/>
      </c>
      <c r="AD116" s="4">
        <f>IF(A116="","",(1/Inputs!$B$9)*(PI()*(Inputs!$F$5/1000)^2/4)*((Inputs!$F$5/1000/4)^(2/3))*SQRT(N116))</f>
        <v/>
      </c>
      <c r="AE116" s="4">
        <f>IF(A116="","",(1/Inputs!$B$9)*(PI()*(Inputs!$F$6/1000)^2/4)*((Inputs!$F$6/1000/4)^(2/3))*SQRT(N116))</f>
        <v/>
      </c>
      <c r="AF116" s="4">
        <f>IF(A116="","",(1/Inputs!$B$9)*(PI()*(Inputs!$F$7/1000)^2/4)*((Inputs!$F$7/1000/4)^(2/3))*SQRT(N116))</f>
        <v/>
      </c>
      <c r="AG116" s="4">
        <f>IF(A116="","",(1/Inputs!$B$9)*(PI()*(Inputs!$F$8/1000)^2/4)*((Inputs!$F$8/1000/4)^(2/3))*SQRT(N116))</f>
        <v/>
      </c>
      <c r="AH116" s="4">
        <f>IF(A116="","",(1/Inputs!$B$9)*(PI()*(Inputs!$F$9/1000)^2/4)*((Inputs!$F$9/1000/4)^(2/3))*SQRT(N116))</f>
        <v/>
      </c>
      <c r="AI116" s="4">
        <f>IF(A116="","",(1/Inputs!$B$9)*(PI()*(Inputs!$F$10/1000)^2/4)*((Inputs!$F$10/1000/4)^(2/3))*SQRT(N116))</f>
        <v/>
      </c>
      <c r="AJ116" s="4">
        <f>IF(A116="","",(1/Inputs!$B$9)*(PI()*(Inputs!$F$11/1000)^2/4)*((Inputs!$F$11/1000/4)^(2/3))*SQRT(N116))</f>
        <v/>
      </c>
      <c r="AK116" s="4">
        <f>IF(A116="","",(1/Inputs!$B$9)*(PI()*(Inputs!$F$12/1000)^2/4)*((Inputs!$F$12/1000/4)^(2/3))*SQRT(N116))</f>
        <v/>
      </c>
      <c r="AL116" s="4">
        <f>IF(A116="","",(1/Inputs!$B$9)*(PI()*(Inputs!$F$13/1000)^2/4)*((Inputs!$F$13/1000/4)^(2/3))*SQRT(N116))</f>
        <v/>
      </c>
      <c r="AM116" s="4">
        <f>IF(A116="","",(1/Inputs!$B$9)*(PI()*(Inputs!$F$14/1000)^2/4)*((Inputs!$F$14/1000/4)^(2/3))*SQRT(N116))</f>
        <v/>
      </c>
    </row>
    <row r="117">
      <c r="A117" s="4" t="n"/>
      <c r="B117" s="4" t="n"/>
      <c r="C117" s="8" t="n"/>
      <c r="D117" s="8" t="n"/>
      <c r="E117" s="8">
        <f>SUMIFS(CB_Tributaires!$C:$C,CB_Tributaires!$B:$B,$A117)</f>
        <v/>
      </c>
      <c r="F117" s="8">
        <f>IF(D117="",E117,D117)</f>
        <v/>
      </c>
      <c r="G117" s="4" t="n"/>
      <c r="H117" s="8" t="n"/>
      <c r="I117" s="8">
        <f>IF(A117="","",Inputs!$B$13/((IF(H117="",Inputs!$B$18,H117)+Inputs!$B$14)^Inputs!$B$15))</f>
        <v/>
      </c>
      <c r="J117" s="8">
        <f>IF(A117="","",0.00278*IF(G117="",Inputs!$B$17,G117)*F117*I117)</f>
        <v/>
      </c>
      <c r="K117" s="8">
        <f>IF(A117="","",SUMIFS($L$4:$L$203,$B$4:$B$203,$A117))</f>
        <v/>
      </c>
      <c r="L117" s="8">
        <f>IF(A117="","",(J117+K117)*Inputs!$B$16)</f>
        <v/>
      </c>
      <c r="M117" s="8" t="n"/>
      <c r="N117" s="8">
        <f>IF(A117="","",IF(M117="",Inputs!$B$7,M117))</f>
        <v/>
      </c>
      <c r="O117" s="4">
        <f>IF(A117="","",IF(L117/Inputs!$B$10&lt;=AD117,Inputs!$F$5,IF(L117/Inputs!$B$10&gt;AM117,"OVERSIZE",INDEX(Inputs!$F$5:$F$14,MATCH(L117/Inputs!$B$10,AD117:AM117,1)+1))))</f>
        <v/>
      </c>
      <c r="P117" s="4" t="n"/>
      <c r="Q117" s="4">
        <f>IF(A117="","",IF(P117="",O117,P117))</f>
        <v/>
      </c>
      <c r="R117" s="8">
        <f>IF(OR(Q117="",Q117="OVERSIZE"),"",Q117/1000)</f>
        <v/>
      </c>
      <c r="S117" s="8">
        <f>IF(R117="","",(1/Inputs!$B$9)*(PI()*R117^2/4)*((R117/4)^(2/3))*SQRT(N117))</f>
        <v/>
      </c>
      <c r="T117" s="8">
        <f>IF(OR(S117="",L117=""),"",L117/(S117*Inputs!$B$10))</f>
        <v/>
      </c>
      <c r="U117" s="8">
        <f>IF(OR(R117="",L117=""),"",4*L117/(PI()*R117^2))</f>
        <v/>
      </c>
      <c r="V117" s="8" t="n"/>
      <c r="W117" s="8">
        <f>IF(A117="","",IF(A117=Inputs!$B$6,Inputs!$B$22,IF(B117="","",IFERROR(INDEX($X$4:$X$203,MATCH(B117,$A$4:$A$203,0))+IF(V117="",Inputs!$B$20,V117),""))))</f>
        <v/>
      </c>
      <c r="X117" s="8">
        <f>IF(OR(W117="",N117="",C117=""),"",W117+N117*C117)</f>
        <v/>
      </c>
      <c r="Y117" s="8" t="n"/>
      <c r="Z117" s="8" t="n"/>
      <c r="AA117" s="8">
        <f>IF(OR(Y117="",W117=""),"",Y117-W117)</f>
        <v/>
      </c>
      <c r="AB117" s="8">
        <f>IF(OR(Z117="",X117=""),"",Z117-X117)</f>
        <v/>
      </c>
      <c r="AC117" s="4">
        <f>IF(A117="","",IF(OR(T117&gt;1,U117&lt;Inputs!$B$11,U117&gt;Inputs!$B$12,AA117&lt;Inputs!$B$19,AB117&lt;Inputs!$B$19,N117&lt;Inputs!$B$7,N117&gt;Inputs!$B$8),"CHECK","OK"))</f>
        <v/>
      </c>
      <c r="AD117" s="4">
        <f>IF(A117="","",(1/Inputs!$B$9)*(PI()*(Inputs!$F$5/1000)^2/4)*((Inputs!$F$5/1000/4)^(2/3))*SQRT(N117))</f>
        <v/>
      </c>
      <c r="AE117" s="4">
        <f>IF(A117="","",(1/Inputs!$B$9)*(PI()*(Inputs!$F$6/1000)^2/4)*((Inputs!$F$6/1000/4)^(2/3))*SQRT(N117))</f>
        <v/>
      </c>
      <c r="AF117" s="4">
        <f>IF(A117="","",(1/Inputs!$B$9)*(PI()*(Inputs!$F$7/1000)^2/4)*((Inputs!$F$7/1000/4)^(2/3))*SQRT(N117))</f>
        <v/>
      </c>
      <c r="AG117" s="4">
        <f>IF(A117="","",(1/Inputs!$B$9)*(PI()*(Inputs!$F$8/1000)^2/4)*((Inputs!$F$8/1000/4)^(2/3))*SQRT(N117))</f>
        <v/>
      </c>
      <c r="AH117" s="4">
        <f>IF(A117="","",(1/Inputs!$B$9)*(PI()*(Inputs!$F$9/1000)^2/4)*((Inputs!$F$9/1000/4)^(2/3))*SQRT(N117))</f>
        <v/>
      </c>
      <c r="AI117" s="4">
        <f>IF(A117="","",(1/Inputs!$B$9)*(PI()*(Inputs!$F$10/1000)^2/4)*((Inputs!$F$10/1000/4)^(2/3))*SQRT(N117))</f>
        <v/>
      </c>
      <c r="AJ117" s="4">
        <f>IF(A117="","",(1/Inputs!$B$9)*(PI()*(Inputs!$F$11/1000)^2/4)*((Inputs!$F$11/1000/4)^(2/3))*SQRT(N117))</f>
        <v/>
      </c>
      <c r="AK117" s="4">
        <f>IF(A117="","",(1/Inputs!$B$9)*(PI()*(Inputs!$F$12/1000)^2/4)*((Inputs!$F$12/1000/4)^(2/3))*SQRT(N117))</f>
        <v/>
      </c>
      <c r="AL117" s="4">
        <f>IF(A117="","",(1/Inputs!$B$9)*(PI()*(Inputs!$F$13/1000)^2/4)*((Inputs!$F$13/1000/4)^(2/3))*SQRT(N117))</f>
        <v/>
      </c>
      <c r="AM117" s="4">
        <f>IF(A117="","",(1/Inputs!$B$9)*(PI()*(Inputs!$F$14/1000)^2/4)*((Inputs!$F$14/1000/4)^(2/3))*SQRT(N117))</f>
        <v/>
      </c>
    </row>
    <row r="118">
      <c r="A118" s="4" t="n"/>
      <c r="B118" s="4" t="n"/>
      <c r="C118" s="8" t="n"/>
      <c r="D118" s="8" t="n"/>
      <c r="E118" s="8">
        <f>SUMIFS(CB_Tributaires!$C:$C,CB_Tributaires!$B:$B,$A118)</f>
        <v/>
      </c>
      <c r="F118" s="8">
        <f>IF(D118="",E118,D118)</f>
        <v/>
      </c>
      <c r="G118" s="4" t="n"/>
      <c r="H118" s="8" t="n"/>
      <c r="I118" s="8">
        <f>IF(A118="","",Inputs!$B$13/((IF(H118="",Inputs!$B$18,H118)+Inputs!$B$14)^Inputs!$B$15))</f>
        <v/>
      </c>
      <c r="J118" s="8">
        <f>IF(A118="","",0.00278*IF(G118="",Inputs!$B$17,G118)*F118*I118)</f>
        <v/>
      </c>
      <c r="K118" s="8">
        <f>IF(A118="","",SUMIFS($L$4:$L$203,$B$4:$B$203,$A118))</f>
        <v/>
      </c>
      <c r="L118" s="8">
        <f>IF(A118="","",(J118+K118)*Inputs!$B$16)</f>
        <v/>
      </c>
      <c r="M118" s="8" t="n"/>
      <c r="N118" s="8">
        <f>IF(A118="","",IF(M118="",Inputs!$B$7,M118))</f>
        <v/>
      </c>
      <c r="O118" s="4">
        <f>IF(A118="","",IF(L118/Inputs!$B$10&lt;=AD118,Inputs!$F$5,IF(L118/Inputs!$B$10&gt;AM118,"OVERSIZE",INDEX(Inputs!$F$5:$F$14,MATCH(L118/Inputs!$B$10,AD118:AM118,1)+1))))</f>
        <v/>
      </c>
      <c r="P118" s="4" t="n"/>
      <c r="Q118" s="4">
        <f>IF(A118="","",IF(P118="",O118,P118))</f>
        <v/>
      </c>
      <c r="R118" s="8">
        <f>IF(OR(Q118="",Q118="OVERSIZE"),"",Q118/1000)</f>
        <v/>
      </c>
      <c r="S118" s="8">
        <f>IF(R118="","",(1/Inputs!$B$9)*(PI()*R118^2/4)*((R118/4)^(2/3))*SQRT(N118))</f>
        <v/>
      </c>
      <c r="T118" s="8">
        <f>IF(OR(S118="",L118=""),"",L118/(S118*Inputs!$B$10))</f>
        <v/>
      </c>
      <c r="U118" s="8">
        <f>IF(OR(R118="",L118=""),"",4*L118/(PI()*R118^2))</f>
        <v/>
      </c>
      <c r="V118" s="8" t="n"/>
      <c r="W118" s="8">
        <f>IF(A118="","",IF(A118=Inputs!$B$6,Inputs!$B$22,IF(B118="","",IFERROR(INDEX($X$4:$X$203,MATCH(B118,$A$4:$A$203,0))+IF(V118="",Inputs!$B$20,V118),""))))</f>
        <v/>
      </c>
      <c r="X118" s="8">
        <f>IF(OR(W118="",N118="",C118=""),"",W118+N118*C118)</f>
        <v/>
      </c>
      <c r="Y118" s="8" t="n"/>
      <c r="Z118" s="8" t="n"/>
      <c r="AA118" s="8">
        <f>IF(OR(Y118="",W118=""),"",Y118-W118)</f>
        <v/>
      </c>
      <c r="AB118" s="8">
        <f>IF(OR(Z118="",X118=""),"",Z118-X118)</f>
        <v/>
      </c>
      <c r="AC118" s="4">
        <f>IF(A118="","",IF(OR(T118&gt;1,U118&lt;Inputs!$B$11,U118&gt;Inputs!$B$12,AA118&lt;Inputs!$B$19,AB118&lt;Inputs!$B$19,N118&lt;Inputs!$B$7,N118&gt;Inputs!$B$8),"CHECK","OK"))</f>
        <v/>
      </c>
      <c r="AD118" s="4">
        <f>IF(A118="","",(1/Inputs!$B$9)*(PI()*(Inputs!$F$5/1000)^2/4)*((Inputs!$F$5/1000/4)^(2/3))*SQRT(N118))</f>
        <v/>
      </c>
      <c r="AE118" s="4">
        <f>IF(A118="","",(1/Inputs!$B$9)*(PI()*(Inputs!$F$6/1000)^2/4)*((Inputs!$F$6/1000/4)^(2/3))*SQRT(N118))</f>
        <v/>
      </c>
      <c r="AF118" s="4">
        <f>IF(A118="","",(1/Inputs!$B$9)*(PI()*(Inputs!$F$7/1000)^2/4)*((Inputs!$F$7/1000/4)^(2/3))*SQRT(N118))</f>
        <v/>
      </c>
      <c r="AG118" s="4">
        <f>IF(A118="","",(1/Inputs!$B$9)*(PI()*(Inputs!$F$8/1000)^2/4)*((Inputs!$F$8/1000/4)^(2/3))*SQRT(N118))</f>
        <v/>
      </c>
      <c r="AH118" s="4">
        <f>IF(A118="","",(1/Inputs!$B$9)*(PI()*(Inputs!$F$9/1000)^2/4)*((Inputs!$F$9/1000/4)^(2/3))*SQRT(N118))</f>
        <v/>
      </c>
      <c r="AI118" s="4">
        <f>IF(A118="","",(1/Inputs!$B$9)*(PI()*(Inputs!$F$10/1000)^2/4)*((Inputs!$F$10/1000/4)^(2/3))*SQRT(N118))</f>
        <v/>
      </c>
      <c r="AJ118" s="4">
        <f>IF(A118="","",(1/Inputs!$B$9)*(PI()*(Inputs!$F$11/1000)^2/4)*((Inputs!$F$11/1000/4)^(2/3))*SQRT(N118))</f>
        <v/>
      </c>
      <c r="AK118" s="4">
        <f>IF(A118="","",(1/Inputs!$B$9)*(PI()*(Inputs!$F$12/1000)^2/4)*((Inputs!$F$12/1000/4)^(2/3))*SQRT(N118))</f>
        <v/>
      </c>
      <c r="AL118" s="4">
        <f>IF(A118="","",(1/Inputs!$B$9)*(PI()*(Inputs!$F$13/1000)^2/4)*((Inputs!$F$13/1000/4)^(2/3))*SQRT(N118))</f>
        <v/>
      </c>
      <c r="AM118" s="4">
        <f>IF(A118="","",(1/Inputs!$B$9)*(PI()*(Inputs!$F$14/1000)^2/4)*((Inputs!$F$14/1000/4)^(2/3))*SQRT(N118))</f>
        <v/>
      </c>
    </row>
    <row r="119">
      <c r="A119" s="4" t="n"/>
      <c r="B119" s="4" t="n"/>
      <c r="C119" s="8" t="n"/>
      <c r="D119" s="8" t="n"/>
      <c r="E119" s="8">
        <f>SUMIFS(CB_Tributaires!$C:$C,CB_Tributaires!$B:$B,$A119)</f>
        <v/>
      </c>
      <c r="F119" s="8">
        <f>IF(D119="",E119,D119)</f>
        <v/>
      </c>
      <c r="G119" s="4" t="n"/>
      <c r="H119" s="8" t="n"/>
      <c r="I119" s="8">
        <f>IF(A119="","",Inputs!$B$13/((IF(H119="",Inputs!$B$18,H119)+Inputs!$B$14)^Inputs!$B$15))</f>
        <v/>
      </c>
      <c r="J119" s="8">
        <f>IF(A119="","",0.00278*IF(G119="",Inputs!$B$17,G119)*F119*I119)</f>
        <v/>
      </c>
      <c r="K119" s="8">
        <f>IF(A119="","",SUMIFS($L$4:$L$203,$B$4:$B$203,$A119))</f>
        <v/>
      </c>
      <c r="L119" s="8">
        <f>IF(A119="","",(J119+K119)*Inputs!$B$16)</f>
        <v/>
      </c>
      <c r="M119" s="8" t="n"/>
      <c r="N119" s="8">
        <f>IF(A119="","",IF(M119="",Inputs!$B$7,M119))</f>
        <v/>
      </c>
      <c r="O119" s="4">
        <f>IF(A119="","",IF(L119/Inputs!$B$10&lt;=AD119,Inputs!$F$5,IF(L119/Inputs!$B$10&gt;AM119,"OVERSIZE",INDEX(Inputs!$F$5:$F$14,MATCH(L119/Inputs!$B$10,AD119:AM119,1)+1))))</f>
        <v/>
      </c>
      <c r="P119" s="4" t="n"/>
      <c r="Q119" s="4">
        <f>IF(A119="","",IF(P119="",O119,P119))</f>
        <v/>
      </c>
      <c r="R119" s="8">
        <f>IF(OR(Q119="",Q119="OVERSIZE"),"",Q119/1000)</f>
        <v/>
      </c>
      <c r="S119" s="8">
        <f>IF(R119="","",(1/Inputs!$B$9)*(PI()*R119^2/4)*((R119/4)^(2/3))*SQRT(N119))</f>
        <v/>
      </c>
      <c r="T119" s="8">
        <f>IF(OR(S119="",L119=""),"",L119/(S119*Inputs!$B$10))</f>
        <v/>
      </c>
      <c r="U119" s="8">
        <f>IF(OR(R119="",L119=""),"",4*L119/(PI()*R119^2))</f>
        <v/>
      </c>
      <c r="V119" s="8" t="n"/>
      <c r="W119" s="8">
        <f>IF(A119="","",IF(A119=Inputs!$B$6,Inputs!$B$22,IF(B119="","",IFERROR(INDEX($X$4:$X$203,MATCH(B119,$A$4:$A$203,0))+IF(V119="",Inputs!$B$20,V119),""))))</f>
        <v/>
      </c>
      <c r="X119" s="8">
        <f>IF(OR(W119="",N119="",C119=""),"",W119+N119*C119)</f>
        <v/>
      </c>
      <c r="Y119" s="8" t="n"/>
      <c r="Z119" s="8" t="n"/>
      <c r="AA119" s="8">
        <f>IF(OR(Y119="",W119=""),"",Y119-W119)</f>
        <v/>
      </c>
      <c r="AB119" s="8">
        <f>IF(OR(Z119="",X119=""),"",Z119-X119)</f>
        <v/>
      </c>
      <c r="AC119" s="4">
        <f>IF(A119="","",IF(OR(T119&gt;1,U119&lt;Inputs!$B$11,U119&gt;Inputs!$B$12,AA119&lt;Inputs!$B$19,AB119&lt;Inputs!$B$19,N119&lt;Inputs!$B$7,N119&gt;Inputs!$B$8),"CHECK","OK"))</f>
        <v/>
      </c>
      <c r="AD119" s="4">
        <f>IF(A119="","",(1/Inputs!$B$9)*(PI()*(Inputs!$F$5/1000)^2/4)*((Inputs!$F$5/1000/4)^(2/3))*SQRT(N119))</f>
        <v/>
      </c>
      <c r="AE119" s="4">
        <f>IF(A119="","",(1/Inputs!$B$9)*(PI()*(Inputs!$F$6/1000)^2/4)*((Inputs!$F$6/1000/4)^(2/3))*SQRT(N119))</f>
        <v/>
      </c>
      <c r="AF119" s="4">
        <f>IF(A119="","",(1/Inputs!$B$9)*(PI()*(Inputs!$F$7/1000)^2/4)*((Inputs!$F$7/1000/4)^(2/3))*SQRT(N119))</f>
        <v/>
      </c>
      <c r="AG119" s="4">
        <f>IF(A119="","",(1/Inputs!$B$9)*(PI()*(Inputs!$F$8/1000)^2/4)*((Inputs!$F$8/1000/4)^(2/3))*SQRT(N119))</f>
        <v/>
      </c>
      <c r="AH119" s="4">
        <f>IF(A119="","",(1/Inputs!$B$9)*(PI()*(Inputs!$F$9/1000)^2/4)*((Inputs!$F$9/1000/4)^(2/3))*SQRT(N119))</f>
        <v/>
      </c>
      <c r="AI119" s="4">
        <f>IF(A119="","",(1/Inputs!$B$9)*(PI()*(Inputs!$F$10/1000)^2/4)*((Inputs!$F$10/1000/4)^(2/3))*SQRT(N119))</f>
        <v/>
      </c>
      <c r="AJ119" s="4">
        <f>IF(A119="","",(1/Inputs!$B$9)*(PI()*(Inputs!$F$11/1000)^2/4)*((Inputs!$F$11/1000/4)^(2/3))*SQRT(N119))</f>
        <v/>
      </c>
      <c r="AK119" s="4">
        <f>IF(A119="","",(1/Inputs!$B$9)*(PI()*(Inputs!$F$12/1000)^2/4)*((Inputs!$F$12/1000/4)^(2/3))*SQRT(N119))</f>
        <v/>
      </c>
      <c r="AL119" s="4">
        <f>IF(A119="","",(1/Inputs!$B$9)*(PI()*(Inputs!$F$13/1000)^2/4)*((Inputs!$F$13/1000/4)^(2/3))*SQRT(N119))</f>
        <v/>
      </c>
      <c r="AM119" s="4">
        <f>IF(A119="","",(1/Inputs!$B$9)*(PI()*(Inputs!$F$14/1000)^2/4)*((Inputs!$F$14/1000/4)^(2/3))*SQRT(N119))</f>
        <v/>
      </c>
    </row>
    <row r="120">
      <c r="A120" s="4" t="n"/>
      <c r="B120" s="4" t="n"/>
      <c r="C120" s="8" t="n"/>
      <c r="D120" s="8" t="n"/>
      <c r="E120" s="8">
        <f>SUMIFS(CB_Tributaires!$C:$C,CB_Tributaires!$B:$B,$A120)</f>
        <v/>
      </c>
      <c r="F120" s="8">
        <f>IF(D120="",E120,D120)</f>
        <v/>
      </c>
      <c r="G120" s="4" t="n"/>
      <c r="H120" s="8" t="n"/>
      <c r="I120" s="8">
        <f>IF(A120="","",Inputs!$B$13/((IF(H120="",Inputs!$B$18,H120)+Inputs!$B$14)^Inputs!$B$15))</f>
        <v/>
      </c>
      <c r="J120" s="8">
        <f>IF(A120="","",0.00278*IF(G120="",Inputs!$B$17,G120)*F120*I120)</f>
        <v/>
      </c>
      <c r="K120" s="8">
        <f>IF(A120="","",SUMIFS($L$4:$L$203,$B$4:$B$203,$A120))</f>
        <v/>
      </c>
      <c r="L120" s="8">
        <f>IF(A120="","",(J120+K120)*Inputs!$B$16)</f>
        <v/>
      </c>
      <c r="M120" s="8" t="n"/>
      <c r="N120" s="8">
        <f>IF(A120="","",IF(M120="",Inputs!$B$7,M120))</f>
        <v/>
      </c>
      <c r="O120" s="4">
        <f>IF(A120="","",IF(L120/Inputs!$B$10&lt;=AD120,Inputs!$F$5,IF(L120/Inputs!$B$10&gt;AM120,"OVERSIZE",INDEX(Inputs!$F$5:$F$14,MATCH(L120/Inputs!$B$10,AD120:AM120,1)+1))))</f>
        <v/>
      </c>
      <c r="P120" s="4" t="n"/>
      <c r="Q120" s="4">
        <f>IF(A120="","",IF(P120="",O120,P120))</f>
        <v/>
      </c>
      <c r="R120" s="8">
        <f>IF(OR(Q120="",Q120="OVERSIZE"),"",Q120/1000)</f>
        <v/>
      </c>
      <c r="S120" s="8">
        <f>IF(R120="","",(1/Inputs!$B$9)*(PI()*R120^2/4)*((R120/4)^(2/3))*SQRT(N120))</f>
        <v/>
      </c>
      <c r="T120" s="8">
        <f>IF(OR(S120="",L120=""),"",L120/(S120*Inputs!$B$10))</f>
        <v/>
      </c>
      <c r="U120" s="8">
        <f>IF(OR(R120="",L120=""),"",4*L120/(PI()*R120^2))</f>
        <v/>
      </c>
      <c r="V120" s="8" t="n"/>
      <c r="W120" s="8">
        <f>IF(A120="","",IF(A120=Inputs!$B$6,Inputs!$B$22,IF(B120="","",IFERROR(INDEX($X$4:$X$203,MATCH(B120,$A$4:$A$203,0))+IF(V120="",Inputs!$B$20,V120),""))))</f>
        <v/>
      </c>
      <c r="X120" s="8">
        <f>IF(OR(W120="",N120="",C120=""),"",W120+N120*C120)</f>
        <v/>
      </c>
      <c r="Y120" s="8" t="n"/>
      <c r="Z120" s="8" t="n"/>
      <c r="AA120" s="8">
        <f>IF(OR(Y120="",W120=""),"",Y120-W120)</f>
        <v/>
      </c>
      <c r="AB120" s="8">
        <f>IF(OR(Z120="",X120=""),"",Z120-X120)</f>
        <v/>
      </c>
      <c r="AC120" s="4">
        <f>IF(A120="","",IF(OR(T120&gt;1,U120&lt;Inputs!$B$11,U120&gt;Inputs!$B$12,AA120&lt;Inputs!$B$19,AB120&lt;Inputs!$B$19,N120&lt;Inputs!$B$7,N120&gt;Inputs!$B$8),"CHECK","OK"))</f>
        <v/>
      </c>
      <c r="AD120" s="4">
        <f>IF(A120="","",(1/Inputs!$B$9)*(PI()*(Inputs!$F$5/1000)^2/4)*((Inputs!$F$5/1000/4)^(2/3))*SQRT(N120))</f>
        <v/>
      </c>
      <c r="AE120" s="4">
        <f>IF(A120="","",(1/Inputs!$B$9)*(PI()*(Inputs!$F$6/1000)^2/4)*((Inputs!$F$6/1000/4)^(2/3))*SQRT(N120))</f>
        <v/>
      </c>
      <c r="AF120" s="4">
        <f>IF(A120="","",(1/Inputs!$B$9)*(PI()*(Inputs!$F$7/1000)^2/4)*((Inputs!$F$7/1000/4)^(2/3))*SQRT(N120))</f>
        <v/>
      </c>
      <c r="AG120" s="4">
        <f>IF(A120="","",(1/Inputs!$B$9)*(PI()*(Inputs!$F$8/1000)^2/4)*((Inputs!$F$8/1000/4)^(2/3))*SQRT(N120))</f>
        <v/>
      </c>
      <c r="AH120" s="4">
        <f>IF(A120="","",(1/Inputs!$B$9)*(PI()*(Inputs!$F$9/1000)^2/4)*((Inputs!$F$9/1000/4)^(2/3))*SQRT(N120))</f>
        <v/>
      </c>
      <c r="AI120" s="4">
        <f>IF(A120="","",(1/Inputs!$B$9)*(PI()*(Inputs!$F$10/1000)^2/4)*((Inputs!$F$10/1000/4)^(2/3))*SQRT(N120))</f>
        <v/>
      </c>
      <c r="AJ120" s="4">
        <f>IF(A120="","",(1/Inputs!$B$9)*(PI()*(Inputs!$F$11/1000)^2/4)*((Inputs!$F$11/1000/4)^(2/3))*SQRT(N120))</f>
        <v/>
      </c>
      <c r="AK120" s="4">
        <f>IF(A120="","",(1/Inputs!$B$9)*(PI()*(Inputs!$F$12/1000)^2/4)*((Inputs!$F$12/1000/4)^(2/3))*SQRT(N120))</f>
        <v/>
      </c>
      <c r="AL120" s="4">
        <f>IF(A120="","",(1/Inputs!$B$9)*(PI()*(Inputs!$F$13/1000)^2/4)*((Inputs!$F$13/1000/4)^(2/3))*SQRT(N120))</f>
        <v/>
      </c>
      <c r="AM120" s="4">
        <f>IF(A120="","",(1/Inputs!$B$9)*(PI()*(Inputs!$F$14/1000)^2/4)*((Inputs!$F$14/1000/4)^(2/3))*SQRT(N120))</f>
        <v/>
      </c>
    </row>
    <row r="121">
      <c r="A121" s="4" t="n"/>
      <c r="B121" s="4" t="n"/>
      <c r="C121" s="8" t="n"/>
      <c r="D121" s="8" t="n"/>
      <c r="E121" s="8">
        <f>SUMIFS(CB_Tributaires!$C:$C,CB_Tributaires!$B:$B,$A121)</f>
        <v/>
      </c>
      <c r="F121" s="8">
        <f>IF(D121="",E121,D121)</f>
        <v/>
      </c>
      <c r="G121" s="4" t="n"/>
      <c r="H121" s="8" t="n"/>
      <c r="I121" s="8">
        <f>IF(A121="","",Inputs!$B$13/((IF(H121="",Inputs!$B$18,H121)+Inputs!$B$14)^Inputs!$B$15))</f>
        <v/>
      </c>
      <c r="J121" s="8">
        <f>IF(A121="","",0.00278*IF(G121="",Inputs!$B$17,G121)*F121*I121)</f>
        <v/>
      </c>
      <c r="K121" s="8">
        <f>IF(A121="","",SUMIFS($L$4:$L$203,$B$4:$B$203,$A121))</f>
        <v/>
      </c>
      <c r="L121" s="8">
        <f>IF(A121="","",(J121+K121)*Inputs!$B$16)</f>
        <v/>
      </c>
      <c r="M121" s="8" t="n"/>
      <c r="N121" s="8">
        <f>IF(A121="","",IF(M121="",Inputs!$B$7,M121))</f>
        <v/>
      </c>
      <c r="O121" s="4">
        <f>IF(A121="","",IF(L121/Inputs!$B$10&lt;=AD121,Inputs!$F$5,IF(L121/Inputs!$B$10&gt;AM121,"OVERSIZE",INDEX(Inputs!$F$5:$F$14,MATCH(L121/Inputs!$B$10,AD121:AM121,1)+1))))</f>
        <v/>
      </c>
      <c r="P121" s="4" t="n"/>
      <c r="Q121" s="4">
        <f>IF(A121="","",IF(P121="",O121,P121))</f>
        <v/>
      </c>
      <c r="R121" s="8">
        <f>IF(OR(Q121="",Q121="OVERSIZE"),"",Q121/1000)</f>
        <v/>
      </c>
      <c r="S121" s="8">
        <f>IF(R121="","",(1/Inputs!$B$9)*(PI()*R121^2/4)*((R121/4)^(2/3))*SQRT(N121))</f>
        <v/>
      </c>
      <c r="T121" s="8">
        <f>IF(OR(S121="",L121=""),"",L121/(S121*Inputs!$B$10))</f>
        <v/>
      </c>
      <c r="U121" s="8">
        <f>IF(OR(R121="",L121=""),"",4*L121/(PI()*R121^2))</f>
        <v/>
      </c>
      <c r="V121" s="8" t="n"/>
      <c r="W121" s="8">
        <f>IF(A121="","",IF(A121=Inputs!$B$6,Inputs!$B$22,IF(B121="","",IFERROR(INDEX($X$4:$X$203,MATCH(B121,$A$4:$A$203,0))+IF(V121="",Inputs!$B$20,V121),""))))</f>
        <v/>
      </c>
      <c r="X121" s="8">
        <f>IF(OR(W121="",N121="",C121=""),"",W121+N121*C121)</f>
        <v/>
      </c>
      <c r="Y121" s="8" t="n"/>
      <c r="Z121" s="8" t="n"/>
      <c r="AA121" s="8">
        <f>IF(OR(Y121="",W121=""),"",Y121-W121)</f>
        <v/>
      </c>
      <c r="AB121" s="8">
        <f>IF(OR(Z121="",X121=""),"",Z121-X121)</f>
        <v/>
      </c>
      <c r="AC121" s="4">
        <f>IF(A121="","",IF(OR(T121&gt;1,U121&lt;Inputs!$B$11,U121&gt;Inputs!$B$12,AA121&lt;Inputs!$B$19,AB121&lt;Inputs!$B$19,N121&lt;Inputs!$B$7,N121&gt;Inputs!$B$8),"CHECK","OK"))</f>
        <v/>
      </c>
      <c r="AD121" s="4">
        <f>IF(A121="","",(1/Inputs!$B$9)*(PI()*(Inputs!$F$5/1000)^2/4)*((Inputs!$F$5/1000/4)^(2/3))*SQRT(N121))</f>
        <v/>
      </c>
      <c r="AE121" s="4">
        <f>IF(A121="","",(1/Inputs!$B$9)*(PI()*(Inputs!$F$6/1000)^2/4)*((Inputs!$F$6/1000/4)^(2/3))*SQRT(N121))</f>
        <v/>
      </c>
      <c r="AF121" s="4">
        <f>IF(A121="","",(1/Inputs!$B$9)*(PI()*(Inputs!$F$7/1000)^2/4)*((Inputs!$F$7/1000/4)^(2/3))*SQRT(N121))</f>
        <v/>
      </c>
      <c r="AG121" s="4">
        <f>IF(A121="","",(1/Inputs!$B$9)*(PI()*(Inputs!$F$8/1000)^2/4)*((Inputs!$F$8/1000/4)^(2/3))*SQRT(N121))</f>
        <v/>
      </c>
      <c r="AH121" s="4">
        <f>IF(A121="","",(1/Inputs!$B$9)*(PI()*(Inputs!$F$9/1000)^2/4)*((Inputs!$F$9/1000/4)^(2/3))*SQRT(N121))</f>
        <v/>
      </c>
      <c r="AI121" s="4">
        <f>IF(A121="","",(1/Inputs!$B$9)*(PI()*(Inputs!$F$10/1000)^2/4)*((Inputs!$F$10/1000/4)^(2/3))*SQRT(N121))</f>
        <v/>
      </c>
      <c r="AJ121" s="4">
        <f>IF(A121="","",(1/Inputs!$B$9)*(PI()*(Inputs!$F$11/1000)^2/4)*((Inputs!$F$11/1000/4)^(2/3))*SQRT(N121))</f>
        <v/>
      </c>
      <c r="AK121" s="4">
        <f>IF(A121="","",(1/Inputs!$B$9)*(PI()*(Inputs!$F$12/1000)^2/4)*((Inputs!$F$12/1000/4)^(2/3))*SQRT(N121))</f>
        <v/>
      </c>
      <c r="AL121" s="4">
        <f>IF(A121="","",(1/Inputs!$B$9)*(PI()*(Inputs!$F$13/1000)^2/4)*((Inputs!$F$13/1000/4)^(2/3))*SQRT(N121))</f>
        <v/>
      </c>
      <c r="AM121" s="4">
        <f>IF(A121="","",(1/Inputs!$B$9)*(PI()*(Inputs!$F$14/1000)^2/4)*((Inputs!$F$14/1000/4)^(2/3))*SQRT(N121))</f>
        <v/>
      </c>
    </row>
    <row r="122">
      <c r="A122" s="4" t="n"/>
      <c r="B122" s="4" t="n"/>
      <c r="C122" s="8" t="n"/>
      <c r="D122" s="8" t="n"/>
      <c r="E122" s="8">
        <f>SUMIFS(CB_Tributaires!$C:$C,CB_Tributaires!$B:$B,$A122)</f>
        <v/>
      </c>
      <c r="F122" s="8">
        <f>IF(D122="",E122,D122)</f>
        <v/>
      </c>
      <c r="G122" s="4" t="n"/>
      <c r="H122" s="8" t="n"/>
      <c r="I122" s="8">
        <f>IF(A122="","",Inputs!$B$13/((IF(H122="",Inputs!$B$18,H122)+Inputs!$B$14)^Inputs!$B$15))</f>
        <v/>
      </c>
      <c r="J122" s="8">
        <f>IF(A122="","",0.00278*IF(G122="",Inputs!$B$17,G122)*F122*I122)</f>
        <v/>
      </c>
      <c r="K122" s="8">
        <f>IF(A122="","",SUMIFS($L$4:$L$203,$B$4:$B$203,$A122))</f>
        <v/>
      </c>
      <c r="L122" s="8">
        <f>IF(A122="","",(J122+K122)*Inputs!$B$16)</f>
        <v/>
      </c>
      <c r="M122" s="8" t="n"/>
      <c r="N122" s="8">
        <f>IF(A122="","",IF(M122="",Inputs!$B$7,M122))</f>
        <v/>
      </c>
      <c r="O122" s="4">
        <f>IF(A122="","",IF(L122/Inputs!$B$10&lt;=AD122,Inputs!$F$5,IF(L122/Inputs!$B$10&gt;AM122,"OVERSIZE",INDEX(Inputs!$F$5:$F$14,MATCH(L122/Inputs!$B$10,AD122:AM122,1)+1))))</f>
        <v/>
      </c>
      <c r="P122" s="4" t="n"/>
      <c r="Q122" s="4">
        <f>IF(A122="","",IF(P122="",O122,P122))</f>
        <v/>
      </c>
      <c r="R122" s="8">
        <f>IF(OR(Q122="",Q122="OVERSIZE"),"",Q122/1000)</f>
        <v/>
      </c>
      <c r="S122" s="8">
        <f>IF(R122="","",(1/Inputs!$B$9)*(PI()*R122^2/4)*((R122/4)^(2/3))*SQRT(N122))</f>
        <v/>
      </c>
      <c r="T122" s="8">
        <f>IF(OR(S122="",L122=""),"",L122/(S122*Inputs!$B$10))</f>
        <v/>
      </c>
      <c r="U122" s="8">
        <f>IF(OR(R122="",L122=""),"",4*L122/(PI()*R122^2))</f>
        <v/>
      </c>
      <c r="V122" s="8" t="n"/>
      <c r="W122" s="8">
        <f>IF(A122="","",IF(A122=Inputs!$B$6,Inputs!$B$22,IF(B122="","",IFERROR(INDEX($X$4:$X$203,MATCH(B122,$A$4:$A$203,0))+IF(V122="",Inputs!$B$20,V122),""))))</f>
        <v/>
      </c>
      <c r="X122" s="8">
        <f>IF(OR(W122="",N122="",C122=""),"",W122+N122*C122)</f>
        <v/>
      </c>
      <c r="Y122" s="8" t="n"/>
      <c r="Z122" s="8" t="n"/>
      <c r="AA122" s="8">
        <f>IF(OR(Y122="",W122=""),"",Y122-W122)</f>
        <v/>
      </c>
      <c r="AB122" s="8">
        <f>IF(OR(Z122="",X122=""),"",Z122-X122)</f>
        <v/>
      </c>
      <c r="AC122" s="4">
        <f>IF(A122="","",IF(OR(T122&gt;1,U122&lt;Inputs!$B$11,U122&gt;Inputs!$B$12,AA122&lt;Inputs!$B$19,AB122&lt;Inputs!$B$19,N122&lt;Inputs!$B$7,N122&gt;Inputs!$B$8),"CHECK","OK"))</f>
        <v/>
      </c>
      <c r="AD122" s="4">
        <f>IF(A122="","",(1/Inputs!$B$9)*(PI()*(Inputs!$F$5/1000)^2/4)*((Inputs!$F$5/1000/4)^(2/3))*SQRT(N122))</f>
        <v/>
      </c>
      <c r="AE122" s="4">
        <f>IF(A122="","",(1/Inputs!$B$9)*(PI()*(Inputs!$F$6/1000)^2/4)*((Inputs!$F$6/1000/4)^(2/3))*SQRT(N122))</f>
        <v/>
      </c>
      <c r="AF122" s="4">
        <f>IF(A122="","",(1/Inputs!$B$9)*(PI()*(Inputs!$F$7/1000)^2/4)*((Inputs!$F$7/1000/4)^(2/3))*SQRT(N122))</f>
        <v/>
      </c>
      <c r="AG122" s="4">
        <f>IF(A122="","",(1/Inputs!$B$9)*(PI()*(Inputs!$F$8/1000)^2/4)*((Inputs!$F$8/1000/4)^(2/3))*SQRT(N122))</f>
        <v/>
      </c>
      <c r="AH122" s="4">
        <f>IF(A122="","",(1/Inputs!$B$9)*(PI()*(Inputs!$F$9/1000)^2/4)*((Inputs!$F$9/1000/4)^(2/3))*SQRT(N122))</f>
        <v/>
      </c>
      <c r="AI122" s="4">
        <f>IF(A122="","",(1/Inputs!$B$9)*(PI()*(Inputs!$F$10/1000)^2/4)*((Inputs!$F$10/1000/4)^(2/3))*SQRT(N122))</f>
        <v/>
      </c>
      <c r="AJ122" s="4">
        <f>IF(A122="","",(1/Inputs!$B$9)*(PI()*(Inputs!$F$11/1000)^2/4)*((Inputs!$F$11/1000/4)^(2/3))*SQRT(N122))</f>
        <v/>
      </c>
      <c r="AK122" s="4">
        <f>IF(A122="","",(1/Inputs!$B$9)*(PI()*(Inputs!$F$12/1000)^2/4)*((Inputs!$F$12/1000/4)^(2/3))*SQRT(N122))</f>
        <v/>
      </c>
      <c r="AL122" s="4">
        <f>IF(A122="","",(1/Inputs!$B$9)*(PI()*(Inputs!$F$13/1000)^2/4)*((Inputs!$F$13/1000/4)^(2/3))*SQRT(N122))</f>
        <v/>
      </c>
      <c r="AM122" s="4">
        <f>IF(A122="","",(1/Inputs!$B$9)*(PI()*(Inputs!$F$14/1000)^2/4)*((Inputs!$F$14/1000/4)^(2/3))*SQRT(N122))</f>
        <v/>
      </c>
    </row>
    <row r="123">
      <c r="A123" s="4" t="n"/>
      <c r="B123" s="4" t="n"/>
      <c r="C123" s="8" t="n"/>
      <c r="D123" s="8" t="n"/>
      <c r="E123" s="8">
        <f>SUMIFS(CB_Tributaires!$C:$C,CB_Tributaires!$B:$B,$A123)</f>
        <v/>
      </c>
      <c r="F123" s="8">
        <f>IF(D123="",E123,D123)</f>
        <v/>
      </c>
      <c r="G123" s="4" t="n"/>
      <c r="H123" s="8" t="n"/>
      <c r="I123" s="8">
        <f>IF(A123="","",Inputs!$B$13/((IF(H123="",Inputs!$B$18,H123)+Inputs!$B$14)^Inputs!$B$15))</f>
        <v/>
      </c>
      <c r="J123" s="8">
        <f>IF(A123="","",0.00278*IF(G123="",Inputs!$B$17,G123)*F123*I123)</f>
        <v/>
      </c>
      <c r="K123" s="8">
        <f>IF(A123="","",SUMIFS($L$4:$L$203,$B$4:$B$203,$A123))</f>
        <v/>
      </c>
      <c r="L123" s="8">
        <f>IF(A123="","",(J123+K123)*Inputs!$B$16)</f>
        <v/>
      </c>
      <c r="M123" s="8" t="n"/>
      <c r="N123" s="8">
        <f>IF(A123="","",IF(M123="",Inputs!$B$7,M123))</f>
        <v/>
      </c>
      <c r="O123" s="4">
        <f>IF(A123="","",IF(L123/Inputs!$B$10&lt;=AD123,Inputs!$F$5,IF(L123/Inputs!$B$10&gt;AM123,"OVERSIZE",INDEX(Inputs!$F$5:$F$14,MATCH(L123/Inputs!$B$10,AD123:AM123,1)+1))))</f>
        <v/>
      </c>
      <c r="P123" s="4" t="n"/>
      <c r="Q123" s="4">
        <f>IF(A123="","",IF(P123="",O123,P123))</f>
        <v/>
      </c>
      <c r="R123" s="8">
        <f>IF(OR(Q123="",Q123="OVERSIZE"),"",Q123/1000)</f>
        <v/>
      </c>
      <c r="S123" s="8">
        <f>IF(R123="","",(1/Inputs!$B$9)*(PI()*R123^2/4)*((R123/4)^(2/3))*SQRT(N123))</f>
        <v/>
      </c>
      <c r="T123" s="8">
        <f>IF(OR(S123="",L123=""),"",L123/(S123*Inputs!$B$10))</f>
        <v/>
      </c>
      <c r="U123" s="8">
        <f>IF(OR(R123="",L123=""),"",4*L123/(PI()*R123^2))</f>
        <v/>
      </c>
      <c r="V123" s="8" t="n"/>
      <c r="W123" s="8">
        <f>IF(A123="","",IF(A123=Inputs!$B$6,Inputs!$B$22,IF(B123="","",IFERROR(INDEX($X$4:$X$203,MATCH(B123,$A$4:$A$203,0))+IF(V123="",Inputs!$B$20,V123),""))))</f>
        <v/>
      </c>
      <c r="X123" s="8">
        <f>IF(OR(W123="",N123="",C123=""),"",W123+N123*C123)</f>
        <v/>
      </c>
      <c r="Y123" s="8" t="n"/>
      <c r="Z123" s="8" t="n"/>
      <c r="AA123" s="8">
        <f>IF(OR(Y123="",W123=""),"",Y123-W123)</f>
        <v/>
      </c>
      <c r="AB123" s="8">
        <f>IF(OR(Z123="",X123=""),"",Z123-X123)</f>
        <v/>
      </c>
      <c r="AC123" s="4">
        <f>IF(A123="","",IF(OR(T123&gt;1,U123&lt;Inputs!$B$11,U123&gt;Inputs!$B$12,AA123&lt;Inputs!$B$19,AB123&lt;Inputs!$B$19,N123&lt;Inputs!$B$7,N123&gt;Inputs!$B$8),"CHECK","OK"))</f>
        <v/>
      </c>
      <c r="AD123" s="4">
        <f>IF(A123="","",(1/Inputs!$B$9)*(PI()*(Inputs!$F$5/1000)^2/4)*((Inputs!$F$5/1000/4)^(2/3))*SQRT(N123))</f>
        <v/>
      </c>
      <c r="AE123" s="4">
        <f>IF(A123="","",(1/Inputs!$B$9)*(PI()*(Inputs!$F$6/1000)^2/4)*((Inputs!$F$6/1000/4)^(2/3))*SQRT(N123))</f>
        <v/>
      </c>
      <c r="AF123" s="4">
        <f>IF(A123="","",(1/Inputs!$B$9)*(PI()*(Inputs!$F$7/1000)^2/4)*((Inputs!$F$7/1000/4)^(2/3))*SQRT(N123))</f>
        <v/>
      </c>
      <c r="AG123" s="4">
        <f>IF(A123="","",(1/Inputs!$B$9)*(PI()*(Inputs!$F$8/1000)^2/4)*((Inputs!$F$8/1000/4)^(2/3))*SQRT(N123))</f>
        <v/>
      </c>
      <c r="AH123" s="4">
        <f>IF(A123="","",(1/Inputs!$B$9)*(PI()*(Inputs!$F$9/1000)^2/4)*((Inputs!$F$9/1000/4)^(2/3))*SQRT(N123))</f>
        <v/>
      </c>
      <c r="AI123" s="4">
        <f>IF(A123="","",(1/Inputs!$B$9)*(PI()*(Inputs!$F$10/1000)^2/4)*((Inputs!$F$10/1000/4)^(2/3))*SQRT(N123))</f>
        <v/>
      </c>
      <c r="AJ123" s="4">
        <f>IF(A123="","",(1/Inputs!$B$9)*(PI()*(Inputs!$F$11/1000)^2/4)*((Inputs!$F$11/1000/4)^(2/3))*SQRT(N123))</f>
        <v/>
      </c>
      <c r="AK123" s="4">
        <f>IF(A123="","",(1/Inputs!$B$9)*(PI()*(Inputs!$F$12/1000)^2/4)*((Inputs!$F$12/1000/4)^(2/3))*SQRT(N123))</f>
        <v/>
      </c>
      <c r="AL123" s="4">
        <f>IF(A123="","",(1/Inputs!$B$9)*(PI()*(Inputs!$F$13/1000)^2/4)*((Inputs!$F$13/1000/4)^(2/3))*SQRT(N123))</f>
        <v/>
      </c>
      <c r="AM123" s="4">
        <f>IF(A123="","",(1/Inputs!$B$9)*(PI()*(Inputs!$F$14/1000)^2/4)*((Inputs!$F$14/1000/4)^(2/3))*SQRT(N123))</f>
        <v/>
      </c>
    </row>
    <row r="124">
      <c r="A124" s="4" t="n"/>
      <c r="B124" s="4" t="n"/>
      <c r="C124" s="8" t="n"/>
      <c r="D124" s="8" t="n"/>
      <c r="E124" s="8">
        <f>SUMIFS(CB_Tributaires!$C:$C,CB_Tributaires!$B:$B,$A124)</f>
        <v/>
      </c>
      <c r="F124" s="8">
        <f>IF(D124="",E124,D124)</f>
        <v/>
      </c>
      <c r="G124" s="4" t="n"/>
      <c r="H124" s="8" t="n"/>
      <c r="I124" s="8">
        <f>IF(A124="","",Inputs!$B$13/((IF(H124="",Inputs!$B$18,H124)+Inputs!$B$14)^Inputs!$B$15))</f>
        <v/>
      </c>
      <c r="J124" s="8">
        <f>IF(A124="","",0.00278*IF(G124="",Inputs!$B$17,G124)*F124*I124)</f>
        <v/>
      </c>
      <c r="K124" s="8">
        <f>IF(A124="","",SUMIFS($L$4:$L$203,$B$4:$B$203,$A124))</f>
        <v/>
      </c>
      <c r="L124" s="8">
        <f>IF(A124="","",(J124+K124)*Inputs!$B$16)</f>
        <v/>
      </c>
      <c r="M124" s="8" t="n"/>
      <c r="N124" s="8">
        <f>IF(A124="","",IF(M124="",Inputs!$B$7,M124))</f>
        <v/>
      </c>
      <c r="O124" s="4">
        <f>IF(A124="","",IF(L124/Inputs!$B$10&lt;=AD124,Inputs!$F$5,IF(L124/Inputs!$B$10&gt;AM124,"OVERSIZE",INDEX(Inputs!$F$5:$F$14,MATCH(L124/Inputs!$B$10,AD124:AM124,1)+1))))</f>
        <v/>
      </c>
      <c r="P124" s="4" t="n"/>
      <c r="Q124" s="4">
        <f>IF(A124="","",IF(P124="",O124,P124))</f>
        <v/>
      </c>
      <c r="R124" s="8">
        <f>IF(OR(Q124="",Q124="OVERSIZE"),"",Q124/1000)</f>
        <v/>
      </c>
      <c r="S124" s="8">
        <f>IF(R124="","",(1/Inputs!$B$9)*(PI()*R124^2/4)*((R124/4)^(2/3))*SQRT(N124))</f>
        <v/>
      </c>
      <c r="T124" s="8">
        <f>IF(OR(S124="",L124=""),"",L124/(S124*Inputs!$B$10))</f>
        <v/>
      </c>
      <c r="U124" s="8">
        <f>IF(OR(R124="",L124=""),"",4*L124/(PI()*R124^2))</f>
        <v/>
      </c>
      <c r="V124" s="8" t="n"/>
      <c r="W124" s="8">
        <f>IF(A124="","",IF(A124=Inputs!$B$6,Inputs!$B$22,IF(B124="","",IFERROR(INDEX($X$4:$X$203,MATCH(B124,$A$4:$A$203,0))+IF(V124="",Inputs!$B$20,V124),""))))</f>
        <v/>
      </c>
      <c r="X124" s="8">
        <f>IF(OR(W124="",N124="",C124=""),"",W124+N124*C124)</f>
        <v/>
      </c>
      <c r="Y124" s="8" t="n"/>
      <c r="Z124" s="8" t="n"/>
      <c r="AA124" s="8">
        <f>IF(OR(Y124="",W124=""),"",Y124-W124)</f>
        <v/>
      </c>
      <c r="AB124" s="8">
        <f>IF(OR(Z124="",X124=""),"",Z124-X124)</f>
        <v/>
      </c>
      <c r="AC124" s="4">
        <f>IF(A124="","",IF(OR(T124&gt;1,U124&lt;Inputs!$B$11,U124&gt;Inputs!$B$12,AA124&lt;Inputs!$B$19,AB124&lt;Inputs!$B$19,N124&lt;Inputs!$B$7,N124&gt;Inputs!$B$8),"CHECK","OK"))</f>
        <v/>
      </c>
      <c r="AD124" s="4">
        <f>IF(A124="","",(1/Inputs!$B$9)*(PI()*(Inputs!$F$5/1000)^2/4)*((Inputs!$F$5/1000/4)^(2/3))*SQRT(N124))</f>
        <v/>
      </c>
      <c r="AE124" s="4">
        <f>IF(A124="","",(1/Inputs!$B$9)*(PI()*(Inputs!$F$6/1000)^2/4)*((Inputs!$F$6/1000/4)^(2/3))*SQRT(N124))</f>
        <v/>
      </c>
      <c r="AF124" s="4">
        <f>IF(A124="","",(1/Inputs!$B$9)*(PI()*(Inputs!$F$7/1000)^2/4)*((Inputs!$F$7/1000/4)^(2/3))*SQRT(N124))</f>
        <v/>
      </c>
      <c r="AG124" s="4">
        <f>IF(A124="","",(1/Inputs!$B$9)*(PI()*(Inputs!$F$8/1000)^2/4)*((Inputs!$F$8/1000/4)^(2/3))*SQRT(N124))</f>
        <v/>
      </c>
      <c r="AH124" s="4">
        <f>IF(A124="","",(1/Inputs!$B$9)*(PI()*(Inputs!$F$9/1000)^2/4)*((Inputs!$F$9/1000/4)^(2/3))*SQRT(N124))</f>
        <v/>
      </c>
      <c r="AI124" s="4">
        <f>IF(A124="","",(1/Inputs!$B$9)*(PI()*(Inputs!$F$10/1000)^2/4)*((Inputs!$F$10/1000/4)^(2/3))*SQRT(N124))</f>
        <v/>
      </c>
      <c r="AJ124" s="4">
        <f>IF(A124="","",(1/Inputs!$B$9)*(PI()*(Inputs!$F$11/1000)^2/4)*((Inputs!$F$11/1000/4)^(2/3))*SQRT(N124))</f>
        <v/>
      </c>
      <c r="AK124" s="4">
        <f>IF(A124="","",(1/Inputs!$B$9)*(PI()*(Inputs!$F$12/1000)^2/4)*((Inputs!$F$12/1000/4)^(2/3))*SQRT(N124))</f>
        <v/>
      </c>
      <c r="AL124" s="4">
        <f>IF(A124="","",(1/Inputs!$B$9)*(PI()*(Inputs!$F$13/1000)^2/4)*((Inputs!$F$13/1000/4)^(2/3))*SQRT(N124))</f>
        <v/>
      </c>
      <c r="AM124" s="4">
        <f>IF(A124="","",(1/Inputs!$B$9)*(PI()*(Inputs!$F$14/1000)^2/4)*((Inputs!$F$14/1000/4)^(2/3))*SQRT(N124))</f>
        <v/>
      </c>
    </row>
    <row r="125">
      <c r="A125" s="4" t="n"/>
      <c r="B125" s="4" t="n"/>
      <c r="C125" s="8" t="n"/>
      <c r="D125" s="8" t="n"/>
      <c r="E125" s="8">
        <f>SUMIFS(CB_Tributaires!$C:$C,CB_Tributaires!$B:$B,$A125)</f>
        <v/>
      </c>
      <c r="F125" s="8">
        <f>IF(D125="",E125,D125)</f>
        <v/>
      </c>
      <c r="G125" s="4" t="n"/>
      <c r="H125" s="8" t="n"/>
      <c r="I125" s="8">
        <f>IF(A125="","",Inputs!$B$13/((IF(H125="",Inputs!$B$18,H125)+Inputs!$B$14)^Inputs!$B$15))</f>
        <v/>
      </c>
      <c r="J125" s="8">
        <f>IF(A125="","",0.00278*IF(G125="",Inputs!$B$17,G125)*F125*I125)</f>
        <v/>
      </c>
      <c r="K125" s="8">
        <f>IF(A125="","",SUMIFS($L$4:$L$203,$B$4:$B$203,$A125))</f>
        <v/>
      </c>
      <c r="L125" s="8">
        <f>IF(A125="","",(J125+K125)*Inputs!$B$16)</f>
        <v/>
      </c>
      <c r="M125" s="8" t="n"/>
      <c r="N125" s="8">
        <f>IF(A125="","",IF(M125="",Inputs!$B$7,M125))</f>
        <v/>
      </c>
      <c r="O125" s="4">
        <f>IF(A125="","",IF(L125/Inputs!$B$10&lt;=AD125,Inputs!$F$5,IF(L125/Inputs!$B$10&gt;AM125,"OVERSIZE",INDEX(Inputs!$F$5:$F$14,MATCH(L125/Inputs!$B$10,AD125:AM125,1)+1))))</f>
        <v/>
      </c>
      <c r="P125" s="4" t="n"/>
      <c r="Q125" s="4">
        <f>IF(A125="","",IF(P125="",O125,P125))</f>
        <v/>
      </c>
      <c r="R125" s="8">
        <f>IF(OR(Q125="",Q125="OVERSIZE"),"",Q125/1000)</f>
        <v/>
      </c>
      <c r="S125" s="8">
        <f>IF(R125="","",(1/Inputs!$B$9)*(PI()*R125^2/4)*((R125/4)^(2/3))*SQRT(N125))</f>
        <v/>
      </c>
      <c r="T125" s="8">
        <f>IF(OR(S125="",L125=""),"",L125/(S125*Inputs!$B$10))</f>
        <v/>
      </c>
      <c r="U125" s="8">
        <f>IF(OR(R125="",L125=""),"",4*L125/(PI()*R125^2))</f>
        <v/>
      </c>
      <c r="V125" s="8" t="n"/>
      <c r="W125" s="8">
        <f>IF(A125="","",IF(A125=Inputs!$B$6,Inputs!$B$22,IF(B125="","",IFERROR(INDEX($X$4:$X$203,MATCH(B125,$A$4:$A$203,0))+IF(V125="",Inputs!$B$20,V125),""))))</f>
        <v/>
      </c>
      <c r="X125" s="8">
        <f>IF(OR(W125="",N125="",C125=""),"",W125+N125*C125)</f>
        <v/>
      </c>
      <c r="Y125" s="8" t="n"/>
      <c r="Z125" s="8" t="n"/>
      <c r="AA125" s="8">
        <f>IF(OR(Y125="",W125=""),"",Y125-W125)</f>
        <v/>
      </c>
      <c r="AB125" s="8">
        <f>IF(OR(Z125="",X125=""),"",Z125-X125)</f>
        <v/>
      </c>
      <c r="AC125" s="4">
        <f>IF(A125="","",IF(OR(T125&gt;1,U125&lt;Inputs!$B$11,U125&gt;Inputs!$B$12,AA125&lt;Inputs!$B$19,AB125&lt;Inputs!$B$19,N125&lt;Inputs!$B$7,N125&gt;Inputs!$B$8),"CHECK","OK"))</f>
        <v/>
      </c>
      <c r="AD125" s="4">
        <f>IF(A125="","",(1/Inputs!$B$9)*(PI()*(Inputs!$F$5/1000)^2/4)*((Inputs!$F$5/1000/4)^(2/3))*SQRT(N125))</f>
        <v/>
      </c>
      <c r="AE125" s="4">
        <f>IF(A125="","",(1/Inputs!$B$9)*(PI()*(Inputs!$F$6/1000)^2/4)*((Inputs!$F$6/1000/4)^(2/3))*SQRT(N125))</f>
        <v/>
      </c>
      <c r="AF125" s="4">
        <f>IF(A125="","",(1/Inputs!$B$9)*(PI()*(Inputs!$F$7/1000)^2/4)*((Inputs!$F$7/1000/4)^(2/3))*SQRT(N125))</f>
        <v/>
      </c>
      <c r="AG125" s="4">
        <f>IF(A125="","",(1/Inputs!$B$9)*(PI()*(Inputs!$F$8/1000)^2/4)*((Inputs!$F$8/1000/4)^(2/3))*SQRT(N125))</f>
        <v/>
      </c>
      <c r="AH125" s="4">
        <f>IF(A125="","",(1/Inputs!$B$9)*(PI()*(Inputs!$F$9/1000)^2/4)*((Inputs!$F$9/1000/4)^(2/3))*SQRT(N125))</f>
        <v/>
      </c>
      <c r="AI125" s="4">
        <f>IF(A125="","",(1/Inputs!$B$9)*(PI()*(Inputs!$F$10/1000)^2/4)*((Inputs!$F$10/1000/4)^(2/3))*SQRT(N125))</f>
        <v/>
      </c>
      <c r="AJ125" s="4">
        <f>IF(A125="","",(1/Inputs!$B$9)*(PI()*(Inputs!$F$11/1000)^2/4)*((Inputs!$F$11/1000/4)^(2/3))*SQRT(N125))</f>
        <v/>
      </c>
      <c r="AK125" s="4">
        <f>IF(A125="","",(1/Inputs!$B$9)*(PI()*(Inputs!$F$12/1000)^2/4)*((Inputs!$F$12/1000/4)^(2/3))*SQRT(N125))</f>
        <v/>
      </c>
      <c r="AL125" s="4">
        <f>IF(A125="","",(1/Inputs!$B$9)*(PI()*(Inputs!$F$13/1000)^2/4)*((Inputs!$F$13/1000/4)^(2/3))*SQRT(N125))</f>
        <v/>
      </c>
      <c r="AM125" s="4">
        <f>IF(A125="","",(1/Inputs!$B$9)*(PI()*(Inputs!$F$14/1000)^2/4)*((Inputs!$F$14/1000/4)^(2/3))*SQRT(N125))</f>
        <v/>
      </c>
    </row>
    <row r="126">
      <c r="A126" s="4" t="n"/>
      <c r="B126" s="4" t="n"/>
      <c r="C126" s="8" t="n"/>
      <c r="D126" s="8" t="n"/>
      <c r="E126" s="8">
        <f>SUMIFS(CB_Tributaires!$C:$C,CB_Tributaires!$B:$B,$A126)</f>
        <v/>
      </c>
      <c r="F126" s="8">
        <f>IF(D126="",E126,D126)</f>
        <v/>
      </c>
      <c r="G126" s="4" t="n"/>
      <c r="H126" s="8" t="n"/>
      <c r="I126" s="8">
        <f>IF(A126="","",Inputs!$B$13/((IF(H126="",Inputs!$B$18,H126)+Inputs!$B$14)^Inputs!$B$15))</f>
        <v/>
      </c>
      <c r="J126" s="8">
        <f>IF(A126="","",0.00278*IF(G126="",Inputs!$B$17,G126)*F126*I126)</f>
        <v/>
      </c>
      <c r="K126" s="8">
        <f>IF(A126="","",SUMIFS($L$4:$L$203,$B$4:$B$203,$A126))</f>
        <v/>
      </c>
      <c r="L126" s="8">
        <f>IF(A126="","",(J126+K126)*Inputs!$B$16)</f>
        <v/>
      </c>
      <c r="M126" s="8" t="n"/>
      <c r="N126" s="8">
        <f>IF(A126="","",IF(M126="",Inputs!$B$7,M126))</f>
        <v/>
      </c>
      <c r="O126" s="4">
        <f>IF(A126="","",IF(L126/Inputs!$B$10&lt;=AD126,Inputs!$F$5,IF(L126/Inputs!$B$10&gt;AM126,"OVERSIZE",INDEX(Inputs!$F$5:$F$14,MATCH(L126/Inputs!$B$10,AD126:AM126,1)+1))))</f>
        <v/>
      </c>
      <c r="P126" s="4" t="n"/>
      <c r="Q126" s="4">
        <f>IF(A126="","",IF(P126="",O126,P126))</f>
        <v/>
      </c>
      <c r="R126" s="8">
        <f>IF(OR(Q126="",Q126="OVERSIZE"),"",Q126/1000)</f>
        <v/>
      </c>
      <c r="S126" s="8">
        <f>IF(R126="","",(1/Inputs!$B$9)*(PI()*R126^2/4)*((R126/4)^(2/3))*SQRT(N126))</f>
        <v/>
      </c>
      <c r="T126" s="8">
        <f>IF(OR(S126="",L126=""),"",L126/(S126*Inputs!$B$10))</f>
        <v/>
      </c>
      <c r="U126" s="8">
        <f>IF(OR(R126="",L126=""),"",4*L126/(PI()*R126^2))</f>
        <v/>
      </c>
      <c r="V126" s="8" t="n"/>
      <c r="W126" s="8">
        <f>IF(A126="","",IF(A126=Inputs!$B$6,Inputs!$B$22,IF(B126="","",IFERROR(INDEX($X$4:$X$203,MATCH(B126,$A$4:$A$203,0))+IF(V126="",Inputs!$B$20,V126),""))))</f>
        <v/>
      </c>
      <c r="X126" s="8">
        <f>IF(OR(W126="",N126="",C126=""),"",W126+N126*C126)</f>
        <v/>
      </c>
      <c r="Y126" s="8" t="n"/>
      <c r="Z126" s="8" t="n"/>
      <c r="AA126" s="8">
        <f>IF(OR(Y126="",W126=""),"",Y126-W126)</f>
        <v/>
      </c>
      <c r="AB126" s="8">
        <f>IF(OR(Z126="",X126=""),"",Z126-X126)</f>
        <v/>
      </c>
      <c r="AC126" s="4">
        <f>IF(A126="","",IF(OR(T126&gt;1,U126&lt;Inputs!$B$11,U126&gt;Inputs!$B$12,AA126&lt;Inputs!$B$19,AB126&lt;Inputs!$B$19,N126&lt;Inputs!$B$7,N126&gt;Inputs!$B$8),"CHECK","OK"))</f>
        <v/>
      </c>
      <c r="AD126" s="4">
        <f>IF(A126="","",(1/Inputs!$B$9)*(PI()*(Inputs!$F$5/1000)^2/4)*((Inputs!$F$5/1000/4)^(2/3))*SQRT(N126))</f>
        <v/>
      </c>
      <c r="AE126" s="4">
        <f>IF(A126="","",(1/Inputs!$B$9)*(PI()*(Inputs!$F$6/1000)^2/4)*((Inputs!$F$6/1000/4)^(2/3))*SQRT(N126))</f>
        <v/>
      </c>
      <c r="AF126" s="4">
        <f>IF(A126="","",(1/Inputs!$B$9)*(PI()*(Inputs!$F$7/1000)^2/4)*((Inputs!$F$7/1000/4)^(2/3))*SQRT(N126))</f>
        <v/>
      </c>
      <c r="AG126" s="4">
        <f>IF(A126="","",(1/Inputs!$B$9)*(PI()*(Inputs!$F$8/1000)^2/4)*((Inputs!$F$8/1000/4)^(2/3))*SQRT(N126))</f>
        <v/>
      </c>
      <c r="AH126" s="4">
        <f>IF(A126="","",(1/Inputs!$B$9)*(PI()*(Inputs!$F$9/1000)^2/4)*((Inputs!$F$9/1000/4)^(2/3))*SQRT(N126))</f>
        <v/>
      </c>
      <c r="AI126" s="4">
        <f>IF(A126="","",(1/Inputs!$B$9)*(PI()*(Inputs!$F$10/1000)^2/4)*((Inputs!$F$10/1000/4)^(2/3))*SQRT(N126))</f>
        <v/>
      </c>
      <c r="AJ126" s="4">
        <f>IF(A126="","",(1/Inputs!$B$9)*(PI()*(Inputs!$F$11/1000)^2/4)*((Inputs!$F$11/1000/4)^(2/3))*SQRT(N126))</f>
        <v/>
      </c>
      <c r="AK126" s="4">
        <f>IF(A126="","",(1/Inputs!$B$9)*(PI()*(Inputs!$F$12/1000)^2/4)*((Inputs!$F$12/1000/4)^(2/3))*SQRT(N126))</f>
        <v/>
      </c>
      <c r="AL126" s="4">
        <f>IF(A126="","",(1/Inputs!$B$9)*(PI()*(Inputs!$F$13/1000)^2/4)*((Inputs!$F$13/1000/4)^(2/3))*SQRT(N126))</f>
        <v/>
      </c>
      <c r="AM126" s="4">
        <f>IF(A126="","",(1/Inputs!$B$9)*(PI()*(Inputs!$F$14/1000)^2/4)*((Inputs!$F$14/1000/4)^(2/3))*SQRT(N126))</f>
        <v/>
      </c>
    </row>
    <row r="127">
      <c r="A127" s="4" t="n"/>
      <c r="B127" s="4" t="n"/>
      <c r="C127" s="8" t="n"/>
      <c r="D127" s="8" t="n"/>
      <c r="E127" s="8">
        <f>SUMIFS(CB_Tributaires!$C:$C,CB_Tributaires!$B:$B,$A127)</f>
        <v/>
      </c>
      <c r="F127" s="8">
        <f>IF(D127="",E127,D127)</f>
        <v/>
      </c>
      <c r="G127" s="4" t="n"/>
      <c r="H127" s="8" t="n"/>
      <c r="I127" s="8">
        <f>IF(A127="","",Inputs!$B$13/((IF(H127="",Inputs!$B$18,H127)+Inputs!$B$14)^Inputs!$B$15))</f>
        <v/>
      </c>
      <c r="J127" s="8">
        <f>IF(A127="","",0.00278*IF(G127="",Inputs!$B$17,G127)*F127*I127)</f>
        <v/>
      </c>
      <c r="K127" s="8">
        <f>IF(A127="","",SUMIFS($L$4:$L$203,$B$4:$B$203,$A127))</f>
        <v/>
      </c>
      <c r="L127" s="8">
        <f>IF(A127="","",(J127+K127)*Inputs!$B$16)</f>
        <v/>
      </c>
      <c r="M127" s="8" t="n"/>
      <c r="N127" s="8">
        <f>IF(A127="","",IF(M127="",Inputs!$B$7,M127))</f>
        <v/>
      </c>
      <c r="O127" s="4">
        <f>IF(A127="","",IF(L127/Inputs!$B$10&lt;=AD127,Inputs!$F$5,IF(L127/Inputs!$B$10&gt;AM127,"OVERSIZE",INDEX(Inputs!$F$5:$F$14,MATCH(L127/Inputs!$B$10,AD127:AM127,1)+1))))</f>
        <v/>
      </c>
      <c r="P127" s="4" t="n"/>
      <c r="Q127" s="4">
        <f>IF(A127="","",IF(P127="",O127,P127))</f>
        <v/>
      </c>
      <c r="R127" s="8">
        <f>IF(OR(Q127="",Q127="OVERSIZE"),"",Q127/1000)</f>
        <v/>
      </c>
      <c r="S127" s="8">
        <f>IF(R127="","",(1/Inputs!$B$9)*(PI()*R127^2/4)*((R127/4)^(2/3))*SQRT(N127))</f>
        <v/>
      </c>
      <c r="T127" s="8">
        <f>IF(OR(S127="",L127=""),"",L127/(S127*Inputs!$B$10))</f>
        <v/>
      </c>
      <c r="U127" s="8">
        <f>IF(OR(R127="",L127=""),"",4*L127/(PI()*R127^2))</f>
        <v/>
      </c>
      <c r="V127" s="8" t="n"/>
      <c r="W127" s="8">
        <f>IF(A127="","",IF(A127=Inputs!$B$6,Inputs!$B$22,IF(B127="","",IFERROR(INDEX($X$4:$X$203,MATCH(B127,$A$4:$A$203,0))+IF(V127="",Inputs!$B$20,V127),""))))</f>
        <v/>
      </c>
      <c r="X127" s="8">
        <f>IF(OR(W127="",N127="",C127=""),"",W127+N127*C127)</f>
        <v/>
      </c>
      <c r="Y127" s="8" t="n"/>
      <c r="Z127" s="8" t="n"/>
      <c r="AA127" s="8">
        <f>IF(OR(Y127="",W127=""),"",Y127-W127)</f>
        <v/>
      </c>
      <c r="AB127" s="8">
        <f>IF(OR(Z127="",X127=""),"",Z127-X127)</f>
        <v/>
      </c>
      <c r="AC127" s="4">
        <f>IF(A127="","",IF(OR(T127&gt;1,U127&lt;Inputs!$B$11,U127&gt;Inputs!$B$12,AA127&lt;Inputs!$B$19,AB127&lt;Inputs!$B$19,N127&lt;Inputs!$B$7,N127&gt;Inputs!$B$8),"CHECK","OK"))</f>
        <v/>
      </c>
      <c r="AD127" s="4">
        <f>IF(A127="","",(1/Inputs!$B$9)*(PI()*(Inputs!$F$5/1000)^2/4)*((Inputs!$F$5/1000/4)^(2/3))*SQRT(N127))</f>
        <v/>
      </c>
      <c r="AE127" s="4">
        <f>IF(A127="","",(1/Inputs!$B$9)*(PI()*(Inputs!$F$6/1000)^2/4)*((Inputs!$F$6/1000/4)^(2/3))*SQRT(N127))</f>
        <v/>
      </c>
      <c r="AF127" s="4">
        <f>IF(A127="","",(1/Inputs!$B$9)*(PI()*(Inputs!$F$7/1000)^2/4)*((Inputs!$F$7/1000/4)^(2/3))*SQRT(N127))</f>
        <v/>
      </c>
      <c r="AG127" s="4">
        <f>IF(A127="","",(1/Inputs!$B$9)*(PI()*(Inputs!$F$8/1000)^2/4)*((Inputs!$F$8/1000/4)^(2/3))*SQRT(N127))</f>
        <v/>
      </c>
      <c r="AH127" s="4">
        <f>IF(A127="","",(1/Inputs!$B$9)*(PI()*(Inputs!$F$9/1000)^2/4)*((Inputs!$F$9/1000/4)^(2/3))*SQRT(N127))</f>
        <v/>
      </c>
      <c r="AI127" s="4">
        <f>IF(A127="","",(1/Inputs!$B$9)*(PI()*(Inputs!$F$10/1000)^2/4)*((Inputs!$F$10/1000/4)^(2/3))*SQRT(N127))</f>
        <v/>
      </c>
      <c r="AJ127" s="4">
        <f>IF(A127="","",(1/Inputs!$B$9)*(PI()*(Inputs!$F$11/1000)^2/4)*((Inputs!$F$11/1000/4)^(2/3))*SQRT(N127))</f>
        <v/>
      </c>
      <c r="AK127" s="4">
        <f>IF(A127="","",(1/Inputs!$B$9)*(PI()*(Inputs!$F$12/1000)^2/4)*((Inputs!$F$12/1000/4)^(2/3))*SQRT(N127))</f>
        <v/>
      </c>
      <c r="AL127" s="4">
        <f>IF(A127="","",(1/Inputs!$B$9)*(PI()*(Inputs!$F$13/1000)^2/4)*((Inputs!$F$13/1000/4)^(2/3))*SQRT(N127))</f>
        <v/>
      </c>
      <c r="AM127" s="4">
        <f>IF(A127="","",(1/Inputs!$B$9)*(PI()*(Inputs!$F$14/1000)^2/4)*((Inputs!$F$14/1000/4)^(2/3))*SQRT(N127))</f>
        <v/>
      </c>
    </row>
    <row r="128">
      <c r="A128" s="4" t="n"/>
      <c r="B128" s="4" t="n"/>
      <c r="C128" s="8" t="n"/>
      <c r="D128" s="8" t="n"/>
      <c r="E128" s="8">
        <f>SUMIFS(CB_Tributaires!$C:$C,CB_Tributaires!$B:$B,$A128)</f>
        <v/>
      </c>
      <c r="F128" s="8">
        <f>IF(D128="",E128,D128)</f>
        <v/>
      </c>
      <c r="G128" s="4" t="n"/>
      <c r="H128" s="8" t="n"/>
      <c r="I128" s="8">
        <f>IF(A128="","",Inputs!$B$13/((IF(H128="",Inputs!$B$18,H128)+Inputs!$B$14)^Inputs!$B$15))</f>
        <v/>
      </c>
      <c r="J128" s="8">
        <f>IF(A128="","",0.00278*IF(G128="",Inputs!$B$17,G128)*F128*I128)</f>
        <v/>
      </c>
      <c r="K128" s="8">
        <f>IF(A128="","",SUMIFS($L$4:$L$203,$B$4:$B$203,$A128))</f>
        <v/>
      </c>
      <c r="L128" s="8">
        <f>IF(A128="","",(J128+K128)*Inputs!$B$16)</f>
        <v/>
      </c>
      <c r="M128" s="8" t="n"/>
      <c r="N128" s="8">
        <f>IF(A128="","",IF(M128="",Inputs!$B$7,M128))</f>
        <v/>
      </c>
      <c r="O128" s="4">
        <f>IF(A128="","",IF(L128/Inputs!$B$10&lt;=AD128,Inputs!$F$5,IF(L128/Inputs!$B$10&gt;AM128,"OVERSIZE",INDEX(Inputs!$F$5:$F$14,MATCH(L128/Inputs!$B$10,AD128:AM128,1)+1))))</f>
        <v/>
      </c>
      <c r="P128" s="4" t="n"/>
      <c r="Q128" s="4">
        <f>IF(A128="","",IF(P128="",O128,P128))</f>
        <v/>
      </c>
      <c r="R128" s="8">
        <f>IF(OR(Q128="",Q128="OVERSIZE"),"",Q128/1000)</f>
        <v/>
      </c>
      <c r="S128" s="8">
        <f>IF(R128="","",(1/Inputs!$B$9)*(PI()*R128^2/4)*((R128/4)^(2/3))*SQRT(N128))</f>
        <v/>
      </c>
      <c r="T128" s="8">
        <f>IF(OR(S128="",L128=""),"",L128/(S128*Inputs!$B$10))</f>
        <v/>
      </c>
      <c r="U128" s="8">
        <f>IF(OR(R128="",L128=""),"",4*L128/(PI()*R128^2))</f>
        <v/>
      </c>
      <c r="V128" s="8" t="n"/>
      <c r="W128" s="8">
        <f>IF(A128="","",IF(A128=Inputs!$B$6,Inputs!$B$22,IF(B128="","",IFERROR(INDEX($X$4:$X$203,MATCH(B128,$A$4:$A$203,0))+IF(V128="",Inputs!$B$20,V128),""))))</f>
        <v/>
      </c>
      <c r="X128" s="8">
        <f>IF(OR(W128="",N128="",C128=""),"",W128+N128*C128)</f>
        <v/>
      </c>
      <c r="Y128" s="8" t="n"/>
      <c r="Z128" s="8" t="n"/>
      <c r="AA128" s="8">
        <f>IF(OR(Y128="",W128=""),"",Y128-W128)</f>
        <v/>
      </c>
      <c r="AB128" s="8">
        <f>IF(OR(Z128="",X128=""),"",Z128-X128)</f>
        <v/>
      </c>
      <c r="AC128" s="4">
        <f>IF(A128="","",IF(OR(T128&gt;1,U128&lt;Inputs!$B$11,U128&gt;Inputs!$B$12,AA128&lt;Inputs!$B$19,AB128&lt;Inputs!$B$19,N128&lt;Inputs!$B$7,N128&gt;Inputs!$B$8),"CHECK","OK"))</f>
        <v/>
      </c>
      <c r="AD128" s="4">
        <f>IF(A128="","",(1/Inputs!$B$9)*(PI()*(Inputs!$F$5/1000)^2/4)*((Inputs!$F$5/1000/4)^(2/3))*SQRT(N128))</f>
        <v/>
      </c>
      <c r="AE128" s="4">
        <f>IF(A128="","",(1/Inputs!$B$9)*(PI()*(Inputs!$F$6/1000)^2/4)*((Inputs!$F$6/1000/4)^(2/3))*SQRT(N128))</f>
        <v/>
      </c>
      <c r="AF128" s="4">
        <f>IF(A128="","",(1/Inputs!$B$9)*(PI()*(Inputs!$F$7/1000)^2/4)*((Inputs!$F$7/1000/4)^(2/3))*SQRT(N128))</f>
        <v/>
      </c>
      <c r="AG128" s="4">
        <f>IF(A128="","",(1/Inputs!$B$9)*(PI()*(Inputs!$F$8/1000)^2/4)*((Inputs!$F$8/1000/4)^(2/3))*SQRT(N128))</f>
        <v/>
      </c>
      <c r="AH128" s="4">
        <f>IF(A128="","",(1/Inputs!$B$9)*(PI()*(Inputs!$F$9/1000)^2/4)*((Inputs!$F$9/1000/4)^(2/3))*SQRT(N128))</f>
        <v/>
      </c>
      <c r="AI128" s="4">
        <f>IF(A128="","",(1/Inputs!$B$9)*(PI()*(Inputs!$F$10/1000)^2/4)*((Inputs!$F$10/1000/4)^(2/3))*SQRT(N128))</f>
        <v/>
      </c>
      <c r="AJ128" s="4">
        <f>IF(A128="","",(1/Inputs!$B$9)*(PI()*(Inputs!$F$11/1000)^2/4)*((Inputs!$F$11/1000/4)^(2/3))*SQRT(N128))</f>
        <v/>
      </c>
      <c r="AK128" s="4">
        <f>IF(A128="","",(1/Inputs!$B$9)*(PI()*(Inputs!$F$12/1000)^2/4)*((Inputs!$F$12/1000/4)^(2/3))*SQRT(N128))</f>
        <v/>
      </c>
      <c r="AL128" s="4">
        <f>IF(A128="","",(1/Inputs!$B$9)*(PI()*(Inputs!$F$13/1000)^2/4)*((Inputs!$F$13/1000/4)^(2/3))*SQRT(N128))</f>
        <v/>
      </c>
      <c r="AM128" s="4">
        <f>IF(A128="","",(1/Inputs!$B$9)*(PI()*(Inputs!$F$14/1000)^2/4)*((Inputs!$F$14/1000/4)^(2/3))*SQRT(N128))</f>
        <v/>
      </c>
    </row>
    <row r="129">
      <c r="A129" s="4" t="n"/>
      <c r="B129" s="4" t="n"/>
      <c r="C129" s="8" t="n"/>
      <c r="D129" s="8" t="n"/>
      <c r="E129" s="8">
        <f>SUMIFS(CB_Tributaires!$C:$C,CB_Tributaires!$B:$B,$A129)</f>
        <v/>
      </c>
      <c r="F129" s="8">
        <f>IF(D129="",E129,D129)</f>
        <v/>
      </c>
      <c r="G129" s="4" t="n"/>
      <c r="H129" s="8" t="n"/>
      <c r="I129" s="8">
        <f>IF(A129="","",Inputs!$B$13/((IF(H129="",Inputs!$B$18,H129)+Inputs!$B$14)^Inputs!$B$15))</f>
        <v/>
      </c>
      <c r="J129" s="8">
        <f>IF(A129="","",0.00278*IF(G129="",Inputs!$B$17,G129)*F129*I129)</f>
        <v/>
      </c>
      <c r="K129" s="8">
        <f>IF(A129="","",SUMIFS($L$4:$L$203,$B$4:$B$203,$A129))</f>
        <v/>
      </c>
      <c r="L129" s="8">
        <f>IF(A129="","",(J129+K129)*Inputs!$B$16)</f>
        <v/>
      </c>
      <c r="M129" s="8" t="n"/>
      <c r="N129" s="8">
        <f>IF(A129="","",IF(M129="",Inputs!$B$7,M129))</f>
        <v/>
      </c>
      <c r="O129" s="4">
        <f>IF(A129="","",IF(L129/Inputs!$B$10&lt;=AD129,Inputs!$F$5,IF(L129/Inputs!$B$10&gt;AM129,"OVERSIZE",INDEX(Inputs!$F$5:$F$14,MATCH(L129/Inputs!$B$10,AD129:AM129,1)+1))))</f>
        <v/>
      </c>
      <c r="P129" s="4" t="n"/>
      <c r="Q129" s="4">
        <f>IF(A129="","",IF(P129="",O129,P129))</f>
        <v/>
      </c>
      <c r="R129" s="8">
        <f>IF(OR(Q129="",Q129="OVERSIZE"),"",Q129/1000)</f>
        <v/>
      </c>
      <c r="S129" s="8">
        <f>IF(R129="","",(1/Inputs!$B$9)*(PI()*R129^2/4)*((R129/4)^(2/3))*SQRT(N129))</f>
        <v/>
      </c>
      <c r="T129" s="8">
        <f>IF(OR(S129="",L129=""),"",L129/(S129*Inputs!$B$10))</f>
        <v/>
      </c>
      <c r="U129" s="8">
        <f>IF(OR(R129="",L129=""),"",4*L129/(PI()*R129^2))</f>
        <v/>
      </c>
      <c r="V129" s="8" t="n"/>
      <c r="W129" s="8">
        <f>IF(A129="","",IF(A129=Inputs!$B$6,Inputs!$B$22,IF(B129="","",IFERROR(INDEX($X$4:$X$203,MATCH(B129,$A$4:$A$203,0))+IF(V129="",Inputs!$B$20,V129),""))))</f>
        <v/>
      </c>
      <c r="X129" s="8">
        <f>IF(OR(W129="",N129="",C129=""),"",W129+N129*C129)</f>
        <v/>
      </c>
      <c r="Y129" s="8" t="n"/>
      <c r="Z129" s="8" t="n"/>
      <c r="AA129" s="8">
        <f>IF(OR(Y129="",W129=""),"",Y129-W129)</f>
        <v/>
      </c>
      <c r="AB129" s="8">
        <f>IF(OR(Z129="",X129=""),"",Z129-X129)</f>
        <v/>
      </c>
      <c r="AC129" s="4">
        <f>IF(A129="","",IF(OR(T129&gt;1,U129&lt;Inputs!$B$11,U129&gt;Inputs!$B$12,AA129&lt;Inputs!$B$19,AB129&lt;Inputs!$B$19,N129&lt;Inputs!$B$7,N129&gt;Inputs!$B$8),"CHECK","OK"))</f>
        <v/>
      </c>
      <c r="AD129" s="4">
        <f>IF(A129="","",(1/Inputs!$B$9)*(PI()*(Inputs!$F$5/1000)^2/4)*((Inputs!$F$5/1000/4)^(2/3))*SQRT(N129))</f>
        <v/>
      </c>
      <c r="AE129" s="4">
        <f>IF(A129="","",(1/Inputs!$B$9)*(PI()*(Inputs!$F$6/1000)^2/4)*((Inputs!$F$6/1000/4)^(2/3))*SQRT(N129))</f>
        <v/>
      </c>
      <c r="AF129" s="4">
        <f>IF(A129="","",(1/Inputs!$B$9)*(PI()*(Inputs!$F$7/1000)^2/4)*((Inputs!$F$7/1000/4)^(2/3))*SQRT(N129))</f>
        <v/>
      </c>
      <c r="AG129" s="4">
        <f>IF(A129="","",(1/Inputs!$B$9)*(PI()*(Inputs!$F$8/1000)^2/4)*((Inputs!$F$8/1000/4)^(2/3))*SQRT(N129))</f>
        <v/>
      </c>
      <c r="AH129" s="4">
        <f>IF(A129="","",(1/Inputs!$B$9)*(PI()*(Inputs!$F$9/1000)^2/4)*((Inputs!$F$9/1000/4)^(2/3))*SQRT(N129))</f>
        <v/>
      </c>
      <c r="AI129" s="4">
        <f>IF(A129="","",(1/Inputs!$B$9)*(PI()*(Inputs!$F$10/1000)^2/4)*((Inputs!$F$10/1000/4)^(2/3))*SQRT(N129))</f>
        <v/>
      </c>
      <c r="AJ129" s="4">
        <f>IF(A129="","",(1/Inputs!$B$9)*(PI()*(Inputs!$F$11/1000)^2/4)*((Inputs!$F$11/1000/4)^(2/3))*SQRT(N129))</f>
        <v/>
      </c>
      <c r="AK129" s="4">
        <f>IF(A129="","",(1/Inputs!$B$9)*(PI()*(Inputs!$F$12/1000)^2/4)*((Inputs!$F$12/1000/4)^(2/3))*SQRT(N129))</f>
        <v/>
      </c>
      <c r="AL129" s="4">
        <f>IF(A129="","",(1/Inputs!$B$9)*(PI()*(Inputs!$F$13/1000)^2/4)*((Inputs!$F$13/1000/4)^(2/3))*SQRT(N129))</f>
        <v/>
      </c>
      <c r="AM129" s="4">
        <f>IF(A129="","",(1/Inputs!$B$9)*(PI()*(Inputs!$F$14/1000)^2/4)*((Inputs!$F$14/1000/4)^(2/3))*SQRT(N129))</f>
        <v/>
      </c>
    </row>
    <row r="130">
      <c r="A130" s="4" t="n"/>
      <c r="B130" s="4" t="n"/>
      <c r="C130" s="8" t="n"/>
      <c r="D130" s="8" t="n"/>
      <c r="E130" s="8">
        <f>SUMIFS(CB_Tributaires!$C:$C,CB_Tributaires!$B:$B,$A130)</f>
        <v/>
      </c>
      <c r="F130" s="8">
        <f>IF(D130="",E130,D130)</f>
        <v/>
      </c>
      <c r="G130" s="4" t="n"/>
      <c r="H130" s="8" t="n"/>
      <c r="I130" s="8">
        <f>IF(A130="","",Inputs!$B$13/((IF(H130="",Inputs!$B$18,H130)+Inputs!$B$14)^Inputs!$B$15))</f>
        <v/>
      </c>
      <c r="J130" s="8">
        <f>IF(A130="","",0.00278*IF(G130="",Inputs!$B$17,G130)*F130*I130)</f>
        <v/>
      </c>
      <c r="K130" s="8">
        <f>IF(A130="","",SUMIFS($L$4:$L$203,$B$4:$B$203,$A130))</f>
        <v/>
      </c>
      <c r="L130" s="8">
        <f>IF(A130="","",(J130+K130)*Inputs!$B$16)</f>
        <v/>
      </c>
      <c r="M130" s="8" t="n"/>
      <c r="N130" s="8">
        <f>IF(A130="","",IF(M130="",Inputs!$B$7,M130))</f>
        <v/>
      </c>
      <c r="O130" s="4">
        <f>IF(A130="","",IF(L130/Inputs!$B$10&lt;=AD130,Inputs!$F$5,IF(L130/Inputs!$B$10&gt;AM130,"OVERSIZE",INDEX(Inputs!$F$5:$F$14,MATCH(L130/Inputs!$B$10,AD130:AM130,1)+1))))</f>
        <v/>
      </c>
      <c r="P130" s="4" t="n"/>
      <c r="Q130" s="4">
        <f>IF(A130="","",IF(P130="",O130,P130))</f>
        <v/>
      </c>
      <c r="R130" s="8">
        <f>IF(OR(Q130="",Q130="OVERSIZE"),"",Q130/1000)</f>
        <v/>
      </c>
      <c r="S130" s="8">
        <f>IF(R130="","",(1/Inputs!$B$9)*(PI()*R130^2/4)*((R130/4)^(2/3))*SQRT(N130))</f>
        <v/>
      </c>
      <c r="T130" s="8">
        <f>IF(OR(S130="",L130=""),"",L130/(S130*Inputs!$B$10))</f>
        <v/>
      </c>
      <c r="U130" s="8">
        <f>IF(OR(R130="",L130=""),"",4*L130/(PI()*R130^2))</f>
        <v/>
      </c>
      <c r="V130" s="8" t="n"/>
      <c r="W130" s="8">
        <f>IF(A130="","",IF(A130=Inputs!$B$6,Inputs!$B$22,IF(B130="","",IFERROR(INDEX($X$4:$X$203,MATCH(B130,$A$4:$A$203,0))+IF(V130="",Inputs!$B$20,V130),""))))</f>
        <v/>
      </c>
      <c r="X130" s="8">
        <f>IF(OR(W130="",N130="",C130=""),"",W130+N130*C130)</f>
        <v/>
      </c>
      <c r="Y130" s="8" t="n"/>
      <c r="Z130" s="8" t="n"/>
      <c r="AA130" s="8">
        <f>IF(OR(Y130="",W130=""),"",Y130-W130)</f>
        <v/>
      </c>
      <c r="AB130" s="8">
        <f>IF(OR(Z130="",X130=""),"",Z130-X130)</f>
        <v/>
      </c>
      <c r="AC130" s="4">
        <f>IF(A130="","",IF(OR(T130&gt;1,U130&lt;Inputs!$B$11,U130&gt;Inputs!$B$12,AA130&lt;Inputs!$B$19,AB130&lt;Inputs!$B$19,N130&lt;Inputs!$B$7,N130&gt;Inputs!$B$8),"CHECK","OK"))</f>
        <v/>
      </c>
      <c r="AD130" s="4">
        <f>IF(A130="","",(1/Inputs!$B$9)*(PI()*(Inputs!$F$5/1000)^2/4)*((Inputs!$F$5/1000/4)^(2/3))*SQRT(N130))</f>
        <v/>
      </c>
      <c r="AE130" s="4">
        <f>IF(A130="","",(1/Inputs!$B$9)*(PI()*(Inputs!$F$6/1000)^2/4)*((Inputs!$F$6/1000/4)^(2/3))*SQRT(N130))</f>
        <v/>
      </c>
      <c r="AF130" s="4">
        <f>IF(A130="","",(1/Inputs!$B$9)*(PI()*(Inputs!$F$7/1000)^2/4)*((Inputs!$F$7/1000/4)^(2/3))*SQRT(N130))</f>
        <v/>
      </c>
      <c r="AG130" s="4">
        <f>IF(A130="","",(1/Inputs!$B$9)*(PI()*(Inputs!$F$8/1000)^2/4)*((Inputs!$F$8/1000/4)^(2/3))*SQRT(N130))</f>
        <v/>
      </c>
      <c r="AH130" s="4">
        <f>IF(A130="","",(1/Inputs!$B$9)*(PI()*(Inputs!$F$9/1000)^2/4)*((Inputs!$F$9/1000/4)^(2/3))*SQRT(N130))</f>
        <v/>
      </c>
      <c r="AI130" s="4">
        <f>IF(A130="","",(1/Inputs!$B$9)*(PI()*(Inputs!$F$10/1000)^2/4)*((Inputs!$F$10/1000/4)^(2/3))*SQRT(N130))</f>
        <v/>
      </c>
      <c r="AJ130" s="4">
        <f>IF(A130="","",(1/Inputs!$B$9)*(PI()*(Inputs!$F$11/1000)^2/4)*((Inputs!$F$11/1000/4)^(2/3))*SQRT(N130))</f>
        <v/>
      </c>
      <c r="AK130" s="4">
        <f>IF(A130="","",(1/Inputs!$B$9)*(PI()*(Inputs!$F$12/1000)^2/4)*((Inputs!$F$12/1000/4)^(2/3))*SQRT(N130))</f>
        <v/>
      </c>
      <c r="AL130" s="4">
        <f>IF(A130="","",(1/Inputs!$B$9)*(PI()*(Inputs!$F$13/1000)^2/4)*((Inputs!$F$13/1000/4)^(2/3))*SQRT(N130))</f>
        <v/>
      </c>
      <c r="AM130" s="4">
        <f>IF(A130="","",(1/Inputs!$B$9)*(PI()*(Inputs!$F$14/1000)^2/4)*((Inputs!$F$14/1000/4)^(2/3))*SQRT(N130))</f>
        <v/>
      </c>
    </row>
    <row r="131">
      <c r="A131" s="4" t="n"/>
      <c r="B131" s="4" t="n"/>
      <c r="C131" s="8" t="n"/>
      <c r="D131" s="8" t="n"/>
      <c r="E131" s="8">
        <f>SUMIFS(CB_Tributaires!$C:$C,CB_Tributaires!$B:$B,$A131)</f>
        <v/>
      </c>
      <c r="F131" s="8">
        <f>IF(D131="",E131,D131)</f>
        <v/>
      </c>
      <c r="G131" s="4" t="n"/>
      <c r="H131" s="8" t="n"/>
      <c r="I131" s="8">
        <f>IF(A131="","",Inputs!$B$13/((IF(H131="",Inputs!$B$18,H131)+Inputs!$B$14)^Inputs!$B$15))</f>
        <v/>
      </c>
      <c r="J131" s="8">
        <f>IF(A131="","",0.00278*IF(G131="",Inputs!$B$17,G131)*F131*I131)</f>
        <v/>
      </c>
      <c r="K131" s="8">
        <f>IF(A131="","",SUMIFS($L$4:$L$203,$B$4:$B$203,$A131))</f>
        <v/>
      </c>
      <c r="L131" s="8">
        <f>IF(A131="","",(J131+K131)*Inputs!$B$16)</f>
        <v/>
      </c>
      <c r="M131" s="8" t="n"/>
      <c r="N131" s="8">
        <f>IF(A131="","",IF(M131="",Inputs!$B$7,M131))</f>
        <v/>
      </c>
      <c r="O131" s="4">
        <f>IF(A131="","",IF(L131/Inputs!$B$10&lt;=AD131,Inputs!$F$5,IF(L131/Inputs!$B$10&gt;AM131,"OVERSIZE",INDEX(Inputs!$F$5:$F$14,MATCH(L131/Inputs!$B$10,AD131:AM131,1)+1))))</f>
        <v/>
      </c>
      <c r="P131" s="4" t="n"/>
      <c r="Q131" s="4">
        <f>IF(A131="","",IF(P131="",O131,P131))</f>
        <v/>
      </c>
      <c r="R131" s="8">
        <f>IF(OR(Q131="",Q131="OVERSIZE"),"",Q131/1000)</f>
        <v/>
      </c>
      <c r="S131" s="8">
        <f>IF(R131="","",(1/Inputs!$B$9)*(PI()*R131^2/4)*((R131/4)^(2/3))*SQRT(N131))</f>
        <v/>
      </c>
      <c r="T131" s="8">
        <f>IF(OR(S131="",L131=""),"",L131/(S131*Inputs!$B$10))</f>
        <v/>
      </c>
      <c r="U131" s="8">
        <f>IF(OR(R131="",L131=""),"",4*L131/(PI()*R131^2))</f>
        <v/>
      </c>
      <c r="V131" s="8" t="n"/>
      <c r="W131" s="8">
        <f>IF(A131="","",IF(A131=Inputs!$B$6,Inputs!$B$22,IF(B131="","",IFERROR(INDEX($X$4:$X$203,MATCH(B131,$A$4:$A$203,0))+IF(V131="",Inputs!$B$20,V131),""))))</f>
        <v/>
      </c>
      <c r="X131" s="8">
        <f>IF(OR(W131="",N131="",C131=""),"",W131+N131*C131)</f>
        <v/>
      </c>
      <c r="Y131" s="8" t="n"/>
      <c r="Z131" s="8" t="n"/>
      <c r="AA131" s="8">
        <f>IF(OR(Y131="",W131=""),"",Y131-W131)</f>
        <v/>
      </c>
      <c r="AB131" s="8">
        <f>IF(OR(Z131="",X131=""),"",Z131-X131)</f>
        <v/>
      </c>
      <c r="AC131" s="4">
        <f>IF(A131="","",IF(OR(T131&gt;1,U131&lt;Inputs!$B$11,U131&gt;Inputs!$B$12,AA131&lt;Inputs!$B$19,AB131&lt;Inputs!$B$19,N131&lt;Inputs!$B$7,N131&gt;Inputs!$B$8),"CHECK","OK"))</f>
        <v/>
      </c>
      <c r="AD131" s="4">
        <f>IF(A131="","",(1/Inputs!$B$9)*(PI()*(Inputs!$F$5/1000)^2/4)*((Inputs!$F$5/1000/4)^(2/3))*SQRT(N131))</f>
        <v/>
      </c>
      <c r="AE131" s="4">
        <f>IF(A131="","",(1/Inputs!$B$9)*(PI()*(Inputs!$F$6/1000)^2/4)*((Inputs!$F$6/1000/4)^(2/3))*SQRT(N131))</f>
        <v/>
      </c>
      <c r="AF131" s="4">
        <f>IF(A131="","",(1/Inputs!$B$9)*(PI()*(Inputs!$F$7/1000)^2/4)*((Inputs!$F$7/1000/4)^(2/3))*SQRT(N131))</f>
        <v/>
      </c>
      <c r="AG131" s="4">
        <f>IF(A131="","",(1/Inputs!$B$9)*(PI()*(Inputs!$F$8/1000)^2/4)*((Inputs!$F$8/1000/4)^(2/3))*SQRT(N131))</f>
        <v/>
      </c>
      <c r="AH131" s="4">
        <f>IF(A131="","",(1/Inputs!$B$9)*(PI()*(Inputs!$F$9/1000)^2/4)*((Inputs!$F$9/1000/4)^(2/3))*SQRT(N131))</f>
        <v/>
      </c>
      <c r="AI131" s="4">
        <f>IF(A131="","",(1/Inputs!$B$9)*(PI()*(Inputs!$F$10/1000)^2/4)*((Inputs!$F$10/1000/4)^(2/3))*SQRT(N131))</f>
        <v/>
      </c>
      <c r="AJ131" s="4">
        <f>IF(A131="","",(1/Inputs!$B$9)*(PI()*(Inputs!$F$11/1000)^2/4)*((Inputs!$F$11/1000/4)^(2/3))*SQRT(N131))</f>
        <v/>
      </c>
      <c r="AK131" s="4">
        <f>IF(A131="","",(1/Inputs!$B$9)*(PI()*(Inputs!$F$12/1000)^2/4)*((Inputs!$F$12/1000/4)^(2/3))*SQRT(N131))</f>
        <v/>
      </c>
      <c r="AL131" s="4">
        <f>IF(A131="","",(1/Inputs!$B$9)*(PI()*(Inputs!$F$13/1000)^2/4)*((Inputs!$F$13/1000/4)^(2/3))*SQRT(N131))</f>
        <v/>
      </c>
      <c r="AM131" s="4">
        <f>IF(A131="","",(1/Inputs!$B$9)*(PI()*(Inputs!$F$14/1000)^2/4)*((Inputs!$F$14/1000/4)^(2/3))*SQRT(N131))</f>
        <v/>
      </c>
    </row>
    <row r="132">
      <c r="A132" s="4" t="n"/>
      <c r="B132" s="4" t="n"/>
      <c r="C132" s="8" t="n"/>
      <c r="D132" s="8" t="n"/>
      <c r="E132" s="8">
        <f>SUMIFS(CB_Tributaires!$C:$C,CB_Tributaires!$B:$B,$A132)</f>
        <v/>
      </c>
      <c r="F132" s="8">
        <f>IF(D132="",E132,D132)</f>
        <v/>
      </c>
      <c r="G132" s="4" t="n"/>
      <c r="H132" s="8" t="n"/>
      <c r="I132" s="8">
        <f>IF(A132="","",Inputs!$B$13/((IF(H132="",Inputs!$B$18,H132)+Inputs!$B$14)^Inputs!$B$15))</f>
        <v/>
      </c>
      <c r="J132" s="8">
        <f>IF(A132="","",0.00278*IF(G132="",Inputs!$B$17,G132)*F132*I132)</f>
        <v/>
      </c>
      <c r="K132" s="8">
        <f>IF(A132="","",SUMIFS($L$4:$L$203,$B$4:$B$203,$A132))</f>
        <v/>
      </c>
      <c r="L132" s="8">
        <f>IF(A132="","",(J132+K132)*Inputs!$B$16)</f>
        <v/>
      </c>
      <c r="M132" s="8" t="n"/>
      <c r="N132" s="8">
        <f>IF(A132="","",IF(M132="",Inputs!$B$7,M132))</f>
        <v/>
      </c>
      <c r="O132" s="4">
        <f>IF(A132="","",IF(L132/Inputs!$B$10&lt;=AD132,Inputs!$F$5,IF(L132/Inputs!$B$10&gt;AM132,"OVERSIZE",INDEX(Inputs!$F$5:$F$14,MATCH(L132/Inputs!$B$10,AD132:AM132,1)+1))))</f>
        <v/>
      </c>
      <c r="P132" s="4" t="n"/>
      <c r="Q132" s="4">
        <f>IF(A132="","",IF(P132="",O132,P132))</f>
        <v/>
      </c>
      <c r="R132" s="8">
        <f>IF(OR(Q132="",Q132="OVERSIZE"),"",Q132/1000)</f>
        <v/>
      </c>
      <c r="S132" s="8">
        <f>IF(R132="","",(1/Inputs!$B$9)*(PI()*R132^2/4)*((R132/4)^(2/3))*SQRT(N132))</f>
        <v/>
      </c>
      <c r="T132" s="8">
        <f>IF(OR(S132="",L132=""),"",L132/(S132*Inputs!$B$10))</f>
        <v/>
      </c>
      <c r="U132" s="8">
        <f>IF(OR(R132="",L132=""),"",4*L132/(PI()*R132^2))</f>
        <v/>
      </c>
      <c r="V132" s="8" t="n"/>
      <c r="W132" s="8">
        <f>IF(A132="","",IF(A132=Inputs!$B$6,Inputs!$B$22,IF(B132="","",IFERROR(INDEX($X$4:$X$203,MATCH(B132,$A$4:$A$203,0))+IF(V132="",Inputs!$B$20,V132),""))))</f>
        <v/>
      </c>
      <c r="X132" s="8">
        <f>IF(OR(W132="",N132="",C132=""),"",W132+N132*C132)</f>
        <v/>
      </c>
      <c r="Y132" s="8" t="n"/>
      <c r="Z132" s="8" t="n"/>
      <c r="AA132" s="8">
        <f>IF(OR(Y132="",W132=""),"",Y132-W132)</f>
        <v/>
      </c>
      <c r="AB132" s="8">
        <f>IF(OR(Z132="",X132=""),"",Z132-X132)</f>
        <v/>
      </c>
      <c r="AC132" s="4">
        <f>IF(A132="","",IF(OR(T132&gt;1,U132&lt;Inputs!$B$11,U132&gt;Inputs!$B$12,AA132&lt;Inputs!$B$19,AB132&lt;Inputs!$B$19,N132&lt;Inputs!$B$7,N132&gt;Inputs!$B$8),"CHECK","OK"))</f>
        <v/>
      </c>
      <c r="AD132" s="4">
        <f>IF(A132="","",(1/Inputs!$B$9)*(PI()*(Inputs!$F$5/1000)^2/4)*((Inputs!$F$5/1000/4)^(2/3))*SQRT(N132))</f>
        <v/>
      </c>
      <c r="AE132" s="4">
        <f>IF(A132="","",(1/Inputs!$B$9)*(PI()*(Inputs!$F$6/1000)^2/4)*((Inputs!$F$6/1000/4)^(2/3))*SQRT(N132))</f>
        <v/>
      </c>
      <c r="AF132" s="4">
        <f>IF(A132="","",(1/Inputs!$B$9)*(PI()*(Inputs!$F$7/1000)^2/4)*((Inputs!$F$7/1000/4)^(2/3))*SQRT(N132))</f>
        <v/>
      </c>
      <c r="AG132" s="4">
        <f>IF(A132="","",(1/Inputs!$B$9)*(PI()*(Inputs!$F$8/1000)^2/4)*((Inputs!$F$8/1000/4)^(2/3))*SQRT(N132))</f>
        <v/>
      </c>
      <c r="AH132" s="4">
        <f>IF(A132="","",(1/Inputs!$B$9)*(PI()*(Inputs!$F$9/1000)^2/4)*((Inputs!$F$9/1000/4)^(2/3))*SQRT(N132))</f>
        <v/>
      </c>
      <c r="AI132" s="4">
        <f>IF(A132="","",(1/Inputs!$B$9)*(PI()*(Inputs!$F$10/1000)^2/4)*((Inputs!$F$10/1000/4)^(2/3))*SQRT(N132))</f>
        <v/>
      </c>
      <c r="AJ132" s="4">
        <f>IF(A132="","",(1/Inputs!$B$9)*(PI()*(Inputs!$F$11/1000)^2/4)*((Inputs!$F$11/1000/4)^(2/3))*SQRT(N132))</f>
        <v/>
      </c>
      <c r="AK132" s="4">
        <f>IF(A132="","",(1/Inputs!$B$9)*(PI()*(Inputs!$F$12/1000)^2/4)*((Inputs!$F$12/1000/4)^(2/3))*SQRT(N132))</f>
        <v/>
      </c>
      <c r="AL132" s="4">
        <f>IF(A132="","",(1/Inputs!$B$9)*(PI()*(Inputs!$F$13/1000)^2/4)*((Inputs!$F$13/1000/4)^(2/3))*SQRT(N132))</f>
        <v/>
      </c>
      <c r="AM132" s="4">
        <f>IF(A132="","",(1/Inputs!$B$9)*(PI()*(Inputs!$F$14/1000)^2/4)*((Inputs!$F$14/1000/4)^(2/3))*SQRT(N132))</f>
        <v/>
      </c>
    </row>
    <row r="133">
      <c r="A133" s="4" t="n"/>
      <c r="B133" s="4" t="n"/>
      <c r="C133" s="8" t="n"/>
      <c r="D133" s="8" t="n"/>
      <c r="E133" s="8">
        <f>SUMIFS(CB_Tributaires!$C:$C,CB_Tributaires!$B:$B,$A133)</f>
        <v/>
      </c>
      <c r="F133" s="8">
        <f>IF(D133="",E133,D133)</f>
        <v/>
      </c>
      <c r="G133" s="4" t="n"/>
      <c r="H133" s="8" t="n"/>
      <c r="I133" s="8">
        <f>IF(A133="","",Inputs!$B$13/((IF(H133="",Inputs!$B$18,H133)+Inputs!$B$14)^Inputs!$B$15))</f>
        <v/>
      </c>
      <c r="J133" s="8">
        <f>IF(A133="","",0.00278*IF(G133="",Inputs!$B$17,G133)*F133*I133)</f>
        <v/>
      </c>
      <c r="K133" s="8">
        <f>IF(A133="","",SUMIFS($L$4:$L$203,$B$4:$B$203,$A133))</f>
        <v/>
      </c>
      <c r="L133" s="8">
        <f>IF(A133="","",(J133+K133)*Inputs!$B$16)</f>
        <v/>
      </c>
      <c r="M133" s="8" t="n"/>
      <c r="N133" s="8">
        <f>IF(A133="","",IF(M133="",Inputs!$B$7,M133))</f>
        <v/>
      </c>
      <c r="O133" s="4">
        <f>IF(A133="","",IF(L133/Inputs!$B$10&lt;=AD133,Inputs!$F$5,IF(L133/Inputs!$B$10&gt;AM133,"OVERSIZE",INDEX(Inputs!$F$5:$F$14,MATCH(L133/Inputs!$B$10,AD133:AM133,1)+1))))</f>
        <v/>
      </c>
      <c r="P133" s="4" t="n"/>
      <c r="Q133" s="4">
        <f>IF(A133="","",IF(P133="",O133,P133))</f>
        <v/>
      </c>
      <c r="R133" s="8">
        <f>IF(OR(Q133="",Q133="OVERSIZE"),"",Q133/1000)</f>
        <v/>
      </c>
      <c r="S133" s="8">
        <f>IF(R133="","",(1/Inputs!$B$9)*(PI()*R133^2/4)*((R133/4)^(2/3))*SQRT(N133))</f>
        <v/>
      </c>
      <c r="T133" s="8">
        <f>IF(OR(S133="",L133=""),"",L133/(S133*Inputs!$B$10))</f>
        <v/>
      </c>
      <c r="U133" s="8">
        <f>IF(OR(R133="",L133=""),"",4*L133/(PI()*R133^2))</f>
        <v/>
      </c>
      <c r="V133" s="8" t="n"/>
      <c r="W133" s="8">
        <f>IF(A133="","",IF(A133=Inputs!$B$6,Inputs!$B$22,IF(B133="","",IFERROR(INDEX($X$4:$X$203,MATCH(B133,$A$4:$A$203,0))+IF(V133="",Inputs!$B$20,V133),""))))</f>
        <v/>
      </c>
      <c r="X133" s="8">
        <f>IF(OR(W133="",N133="",C133=""),"",W133+N133*C133)</f>
        <v/>
      </c>
      <c r="Y133" s="8" t="n"/>
      <c r="Z133" s="8" t="n"/>
      <c r="AA133" s="8">
        <f>IF(OR(Y133="",W133=""),"",Y133-W133)</f>
        <v/>
      </c>
      <c r="AB133" s="8">
        <f>IF(OR(Z133="",X133=""),"",Z133-X133)</f>
        <v/>
      </c>
      <c r="AC133" s="4">
        <f>IF(A133="","",IF(OR(T133&gt;1,U133&lt;Inputs!$B$11,U133&gt;Inputs!$B$12,AA133&lt;Inputs!$B$19,AB133&lt;Inputs!$B$19,N133&lt;Inputs!$B$7,N133&gt;Inputs!$B$8),"CHECK","OK"))</f>
        <v/>
      </c>
      <c r="AD133" s="4">
        <f>IF(A133="","",(1/Inputs!$B$9)*(PI()*(Inputs!$F$5/1000)^2/4)*((Inputs!$F$5/1000/4)^(2/3))*SQRT(N133))</f>
        <v/>
      </c>
      <c r="AE133" s="4">
        <f>IF(A133="","",(1/Inputs!$B$9)*(PI()*(Inputs!$F$6/1000)^2/4)*((Inputs!$F$6/1000/4)^(2/3))*SQRT(N133))</f>
        <v/>
      </c>
      <c r="AF133" s="4">
        <f>IF(A133="","",(1/Inputs!$B$9)*(PI()*(Inputs!$F$7/1000)^2/4)*((Inputs!$F$7/1000/4)^(2/3))*SQRT(N133))</f>
        <v/>
      </c>
      <c r="AG133" s="4">
        <f>IF(A133="","",(1/Inputs!$B$9)*(PI()*(Inputs!$F$8/1000)^2/4)*((Inputs!$F$8/1000/4)^(2/3))*SQRT(N133))</f>
        <v/>
      </c>
      <c r="AH133" s="4">
        <f>IF(A133="","",(1/Inputs!$B$9)*(PI()*(Inputs!$F$9/1000)^2/4)*((Inputs!$F$9/1000/4)^(2/3))*SQRT(N133))</f>
        <v/>
      </c>
      <c r="AI133" s="4">
        <f>IF(A133="","",(1/Inputs!$B$9)*(PI()*(Inputs!$F$10/1000)^2/4)*((Inputs!$F$10/1000/4)^(2/3))*SQRT(N133))</f>
        <v/>
      </c>
      <c r="AJ133" s="4">
        <f>IF(A133="","",(1/Inputs!$B$9)*(PI()*(Inputs!$F$11/1000)^2/4)*((Inputs!$F$11/1000/4)^(2/3))*SQRT(N133))</f>
        <v/>
      </c>
      <c r="AK133" s="4">
        <f>IF(A133="","",(1/Inputs!$B$9)*(PI()*(Inputs!$F$12/1000)^2/4)*((Inputs!$F$12/1000/4)^(2/3))*SQRT(N133))</f>
        <v/>
      </c>
      <c r="AL133" s="4">
        <f>IF(A133="","",(1/Inputs!$B$9)*(PI()*(Inputs!$F$13/1000)^2/4)*((Inputs!$F$13/1000/4)^(2/3))*SQRT(N133))</f>
        <v/>
      </c>
      <c r="AM133" s="4">
        <f>IF(A133="","",(1/Inputs!$B$9)*(PI()*(Inputs!$F$14/1000)^2/4)*((Inputs!$F$14/1000/4)^(2/3))*SQRT(N133))</f>
        <v/>
      </c>
    </row>
    <row r="134">
      <c r="A134" s="4" t="n"/>
      <c r="B134" s="4" t="n"/>
      <c r="C134" s="8" t="n"/>
      <c r="D134" s="8" t="n"/>
      <c r="E134" s="8">
        <f>SUMIFS(CB_Tributaires!$C:$C,CB_Tributaires!$B:$B,$A134)</f>
        <v/>
      </c>
      <c r="F134" s="8">
        <f>IF(D134="",E134,D134)</f>
        <v/>
      </c>
      <c r="G134" s="4" t="n"/>
      <c r="H134" s="8" t="n"/>
      <c r="I134" s="8">
        <f>IF(A134="","",Inputs!$B$13/((IF(H134="",Inputs!$B$18,H134)+Inputs!$B$14)^Inputs!$B$15))</f>
        <v/>
      </c>
      <c r="J134" s="8">
        <f>IF(A134="","",0.00278*IF(G134="",Inputs!$B$17,G134)*F134*I134)</f>
        <v/>
      </c>
      <c r="K134" s="8">
        <f>IF(A134="","",SUMIFS($L$4:$L$203,$B$4:$B$203,$A134))</f>
        <v/>
      </c>
      <c r="L134" s="8">
        <f>IF(A134="","",(J134+K134)*Inputs!$B$16)</f>
        <v/>
      </c>
      <c r="M134" s="8" t="n"/>
      <c r="N134" s="8">
        <f>IF(A134="","",IF(M134="",Inputs!$B$7,M134))</f>
        <v/>
      </c>
      <c r="O134" s="4">
        <f>IF(A134="","",IF(L134/Inputs!$B$10&lt;=AD134,Inputs!$F$5,IF(L134/Inputs!$B$10&gt;AM134,"OVERSIZE",INDEX(Inputs!$F$5:$F$14,MATCH(L134/Inputs!$B$10,AD134:AM134,1)+1))))</f>
        <v/>
      </c>
      <c r="P134" s="4" t="n"/>
      <c r="Q134" s="4">
        <f>IF(A134="","",IF(P134="",O134,P134))</f>
        <v/>
      </c>
      <c r="R134" s="8">
        <f>IF(OR(Q134="",Q134="OVERSIZE"),"",Q134/1000)</f>
        <v/>
      </c>
      <c r="S134" s="8">
        <f>IF(R134="","",(1/Inputs!$B$9)*(PI()*R134^2/4)*((R134/4)^(2/3))*SQRT(N134))</f>
        <v/>
      </c>
      <c r="T134" s="8">
        <f>IF(OR(S134="",L134=""),"",L134/(S134*Inputs!$B$10))</f>
        <v/>
      </c>
      <c r="U134" s="8">
        <f>IF(OR(R134="",L134=""),"",4*L134/(PI()*R134^2))</f>
        <v/>
      </c>
      <c r="V134" s="8" t="n"/>
      <c r="W134" s="8">
        <f>IF(A134="","",IF(A134=Inputs!$B$6,Inputs!$B$22,IF(B134="","",IFERROR(INDEX($X$4:$X$203,MATCH(B134,$A$4:$A$203,0))+IF(V134="",Inputs!$B$20,V134),""))))</f>
        <v/>
      </c>
      <c r="X134" s="8">
        <f>IF(OR(W134="",N134="",C134=""),"",W134+N134*C134)</f>
        <v/>
      </c>
      <c r="Y134" s="8" t="n"/>
      <c r="Z134" s="8" t="n"/>
      <c r="AA134" s="8">
        <f>IF(OR(Y134="",W134=""),"",Y134-W134)</f>
        <v/>
      </c>
      <c r="AB134" s="8">
        <f>IF(OR(Z134="",X134=""),"",Z134-X134)</f>
        <v/>
      </c>
      <c r="AC134" s="4">
        <f>IF(A134="","",IF(OR(T134&gt;1,U134&lt;Inputs!$B$11,U134&gt;Inputs!$B$12,AA134&lt;Inputs!$B$19,AB134&lt;Inputs!$B$19,N134&lt;Inputs!$B$7,N134&gt;Inputs!$B$8),"CHECK","OK"))</f>
        <v/>
      </c>
      <c r="AD134" s="4">
        <f>IF(A134="","",(1/Inputs!$B$9)*(PI()*(Inputs!$F$5/1000)^2/4)*((Inputs!$F$5/1000/4)^(2/3))*SQRT(N134))</f>
        <v/>
      </c>
      <c r="AE134" s="4">
        <f>IF(A134="","",(1/Inputs!$B$9)*(PI()*(Inputs!$F$6/1000)^2/4)*((Inputs!$F$6/1000/4)^(2/3))*SQRT(N134))</f>
        <v/>
      </c>
      <c r="AF134" s="4">
        <f>IF(A134="","",(1/Inputs!$B$9)*(PI()*(Inputs!$F$7/1000)^2/4)*((Inputs!$F$7/1000/4)^(2/3))*SQRT(N134))</f>
        <v/>
      </c>
      <c r="AG134" s="4">
        <f>IF(A134="","",(1/Inputs!$B$9)*(PI()*(Inputs!$F$8/1000)^2/4)*((Inputs!$F$8/1000/4)^(2/3))*SQRT(N134))</f>
        <v/>
      </c>
      <c r="AH134" s="4">
        <f>IF(A134="","",(1/Inputs!$B$9)*(PI()*(Inputs!$F$9/1000)^2/4)*((Inputs!$F$9/1000/4)^(2/3))*SQRT(N134))</f>
        <v/>
      </c>
      <c r="AI134" s="4">
        <f>IF(A134="","",(1/Inputs!$B$9)*(PI()*(Inputs!$F$10/1000)^2/4)*((Inputs!$F$10/1000/4)^(2/3))*SQRT(N134))</f>
        <v/>
      </c>
      <c r="AJ134" s="4">
        <f>IF(A134="","",(1/Inputs!$B$9)*(PI()*(Inputs!$F$11/1000)^2/4)*((Inputs!$F$11/1000/4)^(2/3))*SQRT(N134))</f>
        <v/>
      </c>
      <c r="AK134" s="4">
        <f>IF(A134="","",(1/Inputs!$B$9)*(PI()*(Inputs!$F$12/1000)^2/4)*((Inputs!$F$12/1000/4)^(2/3))*SQRT(N134))</f>
        <v/>
      </c>
      <c r="AL134" s="4">
        <f>IF(A134="","",(1/Inputs!$B$9)*(PI()*(Inputs!$F$13/1000)^2/4)*((Inputs!$F$13/1000/4)^(2/3))*SQRT(N134))</f>
        <v/>
      </c>
      <c r="AM134" s="4">
        <f>IF(A134="","",(1/Inputs!$B$9)*(PI()*(Inputs!$F$14/1000)^2/4)*((Inputs!$F$14/1000/4)^(2/3))*SQRT(N134))</f>
        <v/>
      </c>
    </row>
    <row r="135">
      <c r="A135" s="4" t="n"/>
      <c r="B135" s="4" t="n"/>
      <c r="C135" s="8" t="n"/>
      <c r="D135" s="8" t="n"/>
      <c r="E135" s="8">
        <f>SUMIFS(CB_Tributaires!$C:$C,CB_Tributaires!$B:$B,$A135)</f>
        <v/>
      </c>
      <c r="F135" s="8">
        <f>IF(D135="",E135,D135)</f>
        <v/>
      </c>
      <c r="G135" s="4" t="n"/>
      <c r="H135" s="8" t="n"/>
      <c r="I135" s="8">
        <f>IF(A135="","",Inputs!$B$13/((IF(H135="",Inputs!$B$18,H135)+Inputs!$B$14)^Inputs!$B$15))</f>
        <v/>
      </c>
      <c r="J135" s="8">
        <f>IF(A135="","",0.00278*IF(G135="",Inputs!$B$17,G135)*F135*I135)</f>
        <v/>
      </c>
      <c r="K135" s="8">
        <f>IF(A135="","",SUMIFS($L$4:$L$203,$B$4:$B$203,$A135))</f>
        <v/>
      </c>
      <c r="L135" s="8">
        <f>IF(A135="","",(J135+K135)*Inputs!$B$16)</f>
        <v/>
      </c>
      <c r="M135" s="8" t="n"/>
      <c r="N135" s="8">
        <f>IF(A135="","",IF(M135="",Inputs!$B$7,M135))</f>
        <v/>
      </c>
      <c r="O135" s="4">
        <f>IF(A135="","",IF(L135/Inputs!$B$10&lt;=AD135,Inputs!$F$5,IF(L135/Inputs!$B$10&gt;AM135,"OVERSIZE",INDEX(Inputs!$F$5:$F$14,MATCH(L135/Inputs!$B$10,AD135:AM135,1)+1))))</f>
        <v/>
      </c>
      <c r="P135" s="4" t="n"/>
      <c r="Q135" s="4">
        <f>IF(A135="","",IF(P135="",O135,P135))</f>
        <v/>
      </c>
      <c r="R135" s="8">
        <f>IF(OR(Q135="",Q135="OVERSIZE"),"",Q135/1000)</f>
        <v/>
      </c>
      <c r="S135" s="8">
        <f>IF(R135="","",(1/Inputs!$B$9)*(PI()*R135^2/4)*((R135/4)^(2/3))*SQRT(N135))</f>
        <v/>
      </c>
      <c r="T135" s="8">
        <f>IF(OR(S135="",L135=""),"",L135/(S135*Inputs!$B$10))</f>
        <v/>
      </c>
      <c r="U135" s="8">
        <f>IF(OR(R135="",L135=""),"",4*L135/(PI()*R135^2))</f>
        <v/>
      </c>
      <c r="V135" s="8" t="n"/>
      <c r="W135" s="8">
        <f>IF(A135="","",IF(A135=Inputs!$B$6,Inputs!$B$22,IF(B135="","",IFERROR(INDEX($X$4:$X$203,MATCH(B135,$A$4:$A$203,0))+IF(V135="",Inputs!$B$20,V135),""))))</f>
        <v/>
      </c>
      <c r="X135" s="8">
        <f>IF(OR(W135="",N135="",C135=""),"",W135+N135*C135)</f>
        <v/>
      </c>
      <c r="Y135" s="8" t="n"/>
      <c r="Z135" s="8" t="n"/>
      <c r="AA135" s="8">
        <f>IF(OR(Y135="",W135=""),"",Y135-W135)</f>
        <v/>
      </c>
      <c r="AB135" s="8">
        <f>IF(OR(Z135="",X135=""),"",Z135-X135)</f>
        <v/>
      </c>
      <c r="AC135" s="4">
        <f>IF(A135="","",IF(OR(T135&gt;1,U135&lt;Inputs!$B$11,U135&gt;Inputs!$B$12,AA135&lt;Inputs!$B$19,AB135&lt;Inputs!$B$19,N135&lt;Inputs!$B$7,N135&gt;Inputs!$B$8),"CHECK","OK"))</f>
        <v/>
      </c>
      <c r="AD135" s="4">
        <f>IF(A135="","",(1/Inputs!$B$9)*(PI()*(Inputs!$F$5/1000)^2/4)*((Inputs!$F$5/1000/4)^(2/3))*SQRT(N135))</f>
        <v/>
      </c>
      <c r="AE135" s="4">
        <f>IF(A135="","",(1/Inputs!$B$9)*(PI()*(Inputs!$F$6/1000)^2/4)*((Inputs!$F$6/1000/4)^(2/3))*SQRT(N135))</f>
        <v/>
      </c>
      <c r="AF135" s="4">
        <f>IF(A135="","",(1/Inputs!$B$9)*(PI()*(Inputs!$F$7/1000)^2/4)*((Inputs!$F$7/1000/4)^(2/3))*SQRT(N135))</f>
        <v/>
      </c>
      <c r="AG135" s="4">
        <f>IF(A135="","",(1/Inputs!$B$9)*(PI()*(Inputs!$F$8/1000)^2/4)*((Inputs!$F$8/1000/4)^(2/3))*SQRT(N135))</f>
        <v/>
      </c>
      <c r="AH135" s="4">
        <f>IF(A135="","",(1/Inputs!$B$9)*(PI()*(Inputs!$F$9/1000)^2/4)*((Inputs!$F$9/1000/4)^(2/3))*SQRT(N135))</f>
        <v/>
      </c>
      <c r="AI135" s="4">
        <f>IF(A135="","",(1/Inputs!$B$9)*(PI()*(Inputs!$F$10/1000)^2/4)*((Inputs!$F$10/1000/4)^(2/3))*SQRT(N135))</f>
        <v/>
      </c>
      <c r="AJ135" s="4">
        <f>IF(A135="","",(1/Inputs!$B$9)*(PI()*(Inputs!$F$11/1000)^2/4)*((Inputs!$F$11/1000/4)^(2/3))*SQRT(N135))</f>
        <v/>
      </c>
      <c r="AK135" s="4">
        <f>IF(A135="","",(1/Inputs!$B$9)*(PI()*(Inputs!$F$12/1000)^2/4)*((Inputs!$F$12/1000/4)^(2/3))*SQRT(N135))</f>
        <v/>
      </c>
      <c r="AL135" s="4">
        <f>IF(A135="","",(1/Inputs!$B$9)*(PI()*(Inputs!$F$13/1000)^2/4)*((Inputs!$F$13/1000/4)^(2/3))*SQRT(N135))</f>
        <v/>
      </c>
      <c r="AM135" s="4">
        <f>IF(A135="","",(1/Inputs!$B$9)*(PI()*(Inputs!$F$14/1000)^2/4)*((Inputs!$F$14/1000/4)^(2/3))*SQRT(N135))</f>
        <v/>
      </c>
    </row>
    <row r="136">
      <c r="A136" s="4" t="n"/>
      <c r="B136" s="4" t="n"/>
      <c r="C136" s="8" t="n"/>
      <c r="D136" s="8" t="n"/>
      <c r="E136" s="8">
        <f>SUMIFS(CB_Tributaires!$C:$C,CB_Tributaires!$B:$B,$A136)</f>
        <v/>
      </c>
      <c r="F136" s="8">
        <f>IF(D136="",E136,D136)</f>
        <v/>
      </c>
      <c r="G136" s="4" t="n"/>
      <c r="H136" s="8" t="n"/>
      <c r="I136" s="8">
        <f>IF(A136="","",Inputs!$B$13/((IF(H136="",Inputs!$B$18,H136)+Inputs!$B$14)^Inputs!$B$15))</f>
        <v/>
      </c>
      <c r="J136" s="8">
        <f>IF(A136="","",0.00278*IF(G136="",Inputs!$B$17,G136)*F136*I136)</f>
        <v/>
      </c>
      <c r="K136" s="8">
        <f>IF(A136="","",SUMIFS($L$4:$L$203,$B$4:$B$203,$A136))</f>
        <v/>
      </c>
      <c r="L136" s="8">
        <f>IF(A136="","",(J136+K136)*Inputs!$B$16)</f>
        <v/>
      </c>
      <c r="M136" s="8" t="n"/>
      <c r="N136" s="8">
        <f>IF(A136="","",IF(M136="",Inputs!$B$7,M136))</f>
        <v/>
      </c>
      <c r="O136" s="4">
        <f>IF(A136="","",IF(L136/Inputs!$B$10&lt;=AD136,Inputs!$F$5,IF(L136/Inputs!$B$10&gt;AM136,"OVERSIZE",INDEX(Inputs!$F$5:$F$14,MATCH(L136/Inputs!$B$10,AD136:AM136,1)+1))))</f>
        <v/>
      </c>
      <c r="P136" s="4" t="n"/>
      <c r="Q136" s="4">
        <f>IF(A136="","",IF(P136="",O136,P136))</f>
        <v/>
      </c>
      <c r="R136" s="8">
        <f>IF(OR(Q136="",Q136="OVERSIZE"),"",Q136/1000)</f>
        <v/>
      </c>
      <c r="S136" s="8">
        <f>IF(R136="","",(1/Inputs!$B$9)*(PI()*R136^2/4)*((R136/4)^(2/3))*SQRT(N136))</f>
        <v/>
      </c>
      <c r="T136" s="8">
        <f>IF(OR(S136="",L136=""),"",L136/(S136*Inputs!$B$10))</f>
        <v/>
      </c>
      <c r="U136" s="8">
        <f>IF(OR(R136="",L136=""),"",4*L136/(PI()*R136^2))</f>
        <v/>
      </c>
      <c r="V136" s="8" t="n"/>
      <c r="W136" s="8">
        <f>IF(A136="","",IF(A136=Inputs!$B$6,Inputs!$B$22,IF(B136="","",IFERROR(INDEX($X$4:$X$203,MATCH(B136,$A$4:$A$203,0))+IF(V136="",Inputs!$B$20,V136),""))))</f>
        <v/>
      </c>
      <c r="X136" s="8">
        <f>IF(OR(W136="",N136="",C136=""),"",W136+N136*C136)</f>
        <v/>
      </c>
      <c r="Y136" s="8" t="n"/>
      <c r="Z136" s="8" t="n"/>
      <c r="AA136" s="8">
        <f>IF(OR(Y136="",W136=""),"",Y136-W136)</f>
        <v/>
      </c>
      <c r="AB136" s="8">
        <f>IF(OR(Z136="",X136=""),"",Z136-X136)</f>
        <v/>
      </c>
      <c r="AC136" s="4">
        <f>IF(A136="","",IF(OR(T136&gt;1,U136&lt;Inputs!$B$11,U136&gt;Inputs!$B$12,AA136&lt;Inputs!$B$19,AB136&lt;Inputs!$B$19,N136&lt;Inputs!$B$7,N136&gt;Inputs!$B$8),"CHECK","OK"))</f>
        <v/>
      </c>
      <c r="AD136" s="4">
        <f>IF(A136="","",(1/Inputs!$B$9)*(PI()*(Inputs!$F$5/1000)^2/4)*((Inputs!$F$5/1000/4)^(2/3))*SQRT(N136))</f>
        <v/>
      </c>
      <c r="AE136" s="4">
        <f>IF(A136="","",(1/Inputs!$B$9)*(PI()*(Inputs!$F$6/1000)^2/4)*((Inputs!$F$6/1000/4)^(2/3))*SQRT(N136))</f>
        <v/>
      </c>
      <c r="AF136" s="4">
        <f>IF(A136="","",(1/Inputs!$B$9)*(PI()*(Inputs!$F$7/1000)^2/4)*((Inputs!$F$7/1000/4)^(2/3))*SQRT(N136))</f>
        <v/>
      </c>
      <c r="AG136" s="4">
        <f>IF(A136="","",(1/Inputs!$B$9)*(PI()*(Inputs!$F$8/1000)^2/4)*((Inputs!$F$8/1000/4)^(2/3))*SQRT(N136))</f>
        <v/>
      </c>
      <c r="AH136" s="4">
        <f>IF(A136="","",(1/Inputs!$B$9)*(PI()*(Inputs!$F$9/1000)^2/4)*((Inputs!$F$9/1000/4)^(2/3))*SQRT(N136))</f>
        <v/>
      </c>
      <c r="AI136" s="4">
        <f>IF(A136="","",(1/Inputs!$B$9)*(PI()*(Inputs!$F$10/1000)^2/4)*((Inputs!$F$10/1000/4)^(2/3))*SQRT(N136))</f>
        <v/>
      </c>
      <c r="AJ136" s="4">
        <f>IF(A136="","",(1/Inputs!$B$9)*(PI()*(Inputs!$F$11/1000)^2/4)*((Inputs!$F$11/1000/4)^(2/3))*SQRT(N136))</f>
        <v/>
      </c>
      <c r="AK136" s="4">
        <f>IF(A136="","",(1/Inputs!$B$9)*(PI()*(Inputs!$F$12/1000)^2/4)*((Inputs!$F$12/1000/4)^(2/3))*SQRT(N136))</f>
        <v/>
      </c>
      <c r="AL136" s="4">
        <f>IF(A136="","",(1/Inputs!$B$9)*(PI()*(Inputs!$F$13/1000)^2/4)*((Inputs!$F$13/1000/4)^(2/3))*SQRT(N136))</f>
        <v/>
      </c>
      <c r="AM136" s="4">
        <f>IF(A136="","",(1/Inputs!$B$9)*(PI()*(Inputs!$F$14/1000)^2/4)*((Inputs!$F$14/1000/4)^(2/3))*SQRT(N136))</f>
        <v/>
      </c>
    </row>
    <row r="137">
      <c r="A137" s="4" t="n"/>
      <c r="B137" s="4" t="n"/>
      <c r="C137" s="8" t="n"/>
      <c r="D137" s="8" t="n"/>
      <c r="E137" s="8">
        <f>SUMIFS(CB_Tributaires!$C:$C,CB_Tributaires!$B:$B,$A137)</f>
        <v/>
      </c>
      <c r="F137" s="8">
        <f>IF(D137="",E137,D137)</f>
        <v/>
      </c>
      <c r="G137" s="4" t="n"/>
      <c r="H137" s="8" t="n"/>
      <c r="I137" s="8">
        <f>IF(A137="","",Inputs!$B$13/((IF(H137="",Inputs!$B$18,H137)+Inputs!$B$14)^Inputs!$B$15))</f>
        <v/>
      </c>
      <c r="J137" s="8">
        <f>IF(A137="","",0.00278*IF(G137="",Inputs!$B$17,G137)*F137*I137)</f>
        <v/>
      </c>
      <c r="K137" s="8">
        <f>IF(A137="","",SUMIFS($L$4:$L$203,$B$4:$B$203,$A137))</f>
        <v/>
      </c>
      <c r="L137" s="8">
        <f>IF(A137="","",(J137+K137)*Inputs!$B$16)</f>
        <v/>
      </c>
      <c r="M137" s="8" t="n"/>
      <c r="N137" s="8">
        <f>IF(A137="","",IF(M137="",Inputs!$B$7,M137))</f>
        <v/>
      </c>
      <c r="O137" s="4">
        <f>IF(A137="","",IF(L137/Inputs!$B$10&lt;=AD137,Inputs!$F$5,IF(L137/Inputs!$B$10&gt;AM137,"OVERSIZE",INDEX(Inputs!$F$5:$F$14,MATCH(L137/Inputs!$B$10,AD137:AM137,1)+1))))</f>
        <v/>
      </c>
      <c r="P137" s="4" t="n"/>
      <c r="Q137" s="4">
        <f>IF(A137="","",IF(P137="",O137,P137))</f>
        <v/>
      </c>
      <c r="R137" s="8">
        <f>IF(OR(Q137="",Q137="OVERSIZE"),"",Q137/1000)</f>
        <v/>
      </c>
      <c r="S137" s="8">
        <f>IF(R137="","",(1/Inputs!$B$9)*(PI()*R137^2/4)*((R137/4)^(2/3))*SQRT(N137))</f>
        <v/>
      </c>
      <c r="T137" s="8">
        <f>IF(OR(S137="",L137=""),"",L137/(S137*Inputs!$B$10))</f>
        <v/>
      </c>
      <c r="U137" s="8">
        <f>IF(OR(R137="",L137=""),"",4*L137/(PI()*R137^2))</f>
        <v/>
      </c>
      <c r="V137" s="8" t="n"/>
      <c r="W137" s="8">
        <f>IF(A137="","",IF(A137=Inputs!$B$6,Inputs!$B$22,IF(B137="","",IFERROR(INDEX($X$4:$X$203,MATCH(B137,$A$4:$A$203,0))+IF(V137="",Inputs!$B$20,V137),""))))</f>
        <v/>
      </c>
      <c r="X137" s="8">
        <f>IF(OR(W137="",N137="",C137=""),"",W137+N137*C137)</f>
        <v/>
      </c>
      <c r="Y137" s="8" t="n"/>
      <c r="Z137" s="8" t="n"/>
      <c r="AA137" s="8">
        <f>IF(OR(Y137="",W137=""),"",Y137-W137)</f>
        <v/>
      </c>
      <c r="AB137" s="8">
        <f>IF(OR(Z137="",X137=""),"",Z137-X137)</f>
        <v/>
      </c>
      <c r="AC137" s="4">
        <f>IF(A137="","",IF(OR(T137&gt;1,U137&lt;Inputs!$B$11,U137&gt;Inputs!$B$12,AA137&lt;Inputs!$B$19,AB137&lt;Inputs!$B$19,N137&lt;Inputs!$B$7,N137&gt;Inputs!$B$8),"CHECK","OK"))</f>
        <v/>
      </c>
      <c r="AD137" s="4">
        <f>IF(A137="","",(1/Inputs!$B$9)*(PI()*(Inputs!$F$5/1000)^2/4)*((Inputs!$F$5/1000/4)^(2/3))*SQRT(N137))</f>
        <v/>
      </c>
      <c r="AE137" s="4">
        <f>IF(A137="","",(1/Inputs!$B$9)*(PI()*(Inputs!$F$6/1000)^2/4)*((Inputs!$F$6/1000/4)^(2/3))*SQRT(N137))</f>
        <v/>
      </c>
      <c r="AF137" s="4">
        <f>IF(A137="","",(1/Inputs!$B$9)*(PI()*(Inputs!$F$7/1000)^2/4)*((Inputs!$F$7/1000/4)^(2/3))*SQRT(N137))</f>
        <v/>
      </c>
      <c r="AG137" s="4">
        <f>IF(A137="","",(1/Inputs!$B$9)*(PI()*(Inputs!$F$8/1000)^2/4)*((Inputs!$F$8/1000/4)^(2/3))*SQRT(N137))</f>
        <v/>
      </c>
      <c r="AH137" s="4">
        <f>IF(A137="","",(1/Inputs!$B$9)*(PI()*(Inputs!$F$9/1000)^2/4)*((Inputs!$F$9/1000/4)^(2/3))*SQRT(N137))</f>
        <v/>
      </c>
      <c r="AI137" s="4">
        <f>IF(A137="","",(1/Inputs!$B$9)*(PI()*(Inputs!$F$10/1000)^2/4)*((Inputs!$F$10/1000/4)^(2/3))*SQRT(N137))</f>
        <v/>
      </c>
      <c r="AJ137" s="4">
        <f>IF(A137="","",(1/Inputs!$B$9)*(PI()*(Inputs!$F$11/1000)^2/4)*((Inputs!$F$11/1000/4)^(2/3))*SQRT(N137))</f>
        <v/>
      </c>
      <c r="AK137" s="4">
        <f>IF(A137="","",(1/Inputs!$B$9)*(PI()*(Inputs!$F$12/1000)^2/4)*((Inputs!$F$12/1000/4)^(2/3))*SQRT(N137))</f>
        <v/>
      </c>
      <c r="AL137" s="4">
        <f>IF(A137="","",(1/Inputs!$B$9)*(PI()*(Inputs!$F$13/1000)^2/4)*((Inputs!$F$13/1000/4)^(2/3))*SQRT(N137))</f>
        <v/>
      </c>
      <c r="AM137" s="4">
        <f>IF(A137="","",(1/Inputs!$B$9)*(PI()*(Inputs!$F$14/1000)^2/4)*((Inputs!$F$14/1000/4)^(2/3))*SQRT(N137))</f>
        <v/>
      </c>
    </row>
    <row r="138">
      <c r="A138" s="4" t="n"/>
      <c r="B138" s="4" t="n"/>
      <c r="C138" s="8" t="n"/>
      <c r="D138" s="8" t="n"/>
      <c r="E138" s="8">
        <f>SUMIFS(CB_Tributaires!$C:$C,CB_Tributaires!$B:$B,$A138)</f>
        <v/>
      </c>
      <c r="F138" s="8">
        <f>IF(D138="",E138,D138)</f>
        <v/>
      </c>
      <c r="G138" s="4" t="n"/>
      <c r="H138" s="8" t="n"/>
      <c r="I138" s="8">
        <f>IF(A138="","",Inputs!$B$13/((IF(H138="",Inputs!$B$18,H138)+Inputs!$B$14)^Inputs!$B$15))</f>
        <v/>
      </c>
      <c r="J138" s="8">
        <f>IF(A138="","",0.00278*IF(G138="",Inputs!$B$17,G138)*F138*I138)</f>
        <v/>
      </c>
      <c r="K138" s="8">
        <f>IF(A138="","",SUMIFS($L$4:$L$203,$B$4:$B$203,$A138))</f>
        <v/>
      </c>
      <c r="L138" s="8">
        <f>IF(A138="","",(J138+K138)*Inputs!$B$16)</f>
        <v/>
      </c>
      <c r="M138" s="8" t="n"/>
      <c r="N138" s="8">
        <f>IF(A138="","",IF(M138="",Inputs!$B$7,M138))</f>
        <v/>
      </c>
      <c r="O138" s="4">
        <f>IF(A138="","",IF(L138/Inputs!$B$10&lt;=AD138,Inputs!$F$5,IF(L138/Inputs!$B$10&gt;AM138,"OVERSIZE",INDEX(Inputs!$F$5:$F$14,MATCH(L138/Inputs!$B$10,AD138:AM138,1)+1))))</f>
        <v/>
      </c>
      <c r="P138" s="4" t="n"/>
      <c r="Q138" s="4">
        <f>IF(A138="","",IF(P138="",O138,P138))</f>
        <v/>
      </c>
      <c r="R138" s="8">
        <f>IF(OR(Q138="",Q138="OVERSIZE"),"",Q138/1000)</f>
        <v/>
      </c>
      <c r="S138" s="8">
        <f>IF(R138="","",(1/Inputs!$B$9)*(PI()*R138^2/4)*((R138/4)^(2/3))*SQRT(N138))</f>
        <v/>
      </c>
      <c r="T138" s="8">
        <f>IF(OR(S138="",L138=""),"",L138/(S138*Inputs!$B$10))</f>
        <v/>
      </c>
      <c r="U138" s="8">
        <f>IF(OR(R138="",L138=""),"",4*L138/(PI()*R138^2))</f>
        <v/>
      </c>
      <c r="V138" s="8" t="n"/>
      <c r="W138" s="8">
        <f>IF(A138="","",IF(A138=Inputs!$B$6,Inputs!$B$22,IF(B138="","",IFERROR(INDEX($X$4:$X$203,MATCH(B138,$A$4:$A$203,0))+IF(V138="",Inputs!$B$20,V138),""))))</f>
        <v/>
      </c>
      <c r="X138" s="8">
        <f>IF(OR(W138="",N138="",C138=""),"",W138+N138*C138)</f>
        <v/>
      </c>
      <c r="Y138" s="8" t="n"/>
      <c r="Z138" s="8" t="n"/>
      <c r="AA138" s="8">
        <f>IF(OR(Y138="",W138=""),"",Y138-W138)</f>
        <v/>
      </c>
      <c r="AB138" s="8">
        <f>IF(OR(Z138="",X138=""),"",Z138-X138)</f>
        <v/>
      </c>
      <c r="AC138" s="4">
        <f>IF(A138="","",IF(OR(T138&gt;1,U138&lt;Inputs!$B$11,U138&gt;Inputs!$B$12,AA138&lt;Inputs!$B$19,AB138&lt;Inputs!$B$19,N138&lt;Inputs!$B$7,N138&gt;Inputs!$B$8),"CHECK","OK"))</f>
        <v/>
      </c>
      <c r="AD138" s="4">
        <f>IF(A138="","",(1/Inputs!$B$9)*(PI()*(Inputs!$F$5/1000)^2/4)*((Inputs!$F$5/1000/4)^(2/3))*SQRT(N138))</f>
        <v/>
      </c>
      <c r="AE138" s="4">
        <f>IF(A138="","",(1/Inputs!$B$9)*(PI()*(Inputs!$F$6/1000)^2/4)*((Inputs!$F$6/1000/4)^(2/3))*SQRT(N138))</f>
        <v/>
      </c>
      <c r="AF138" s="4">
        <f>IF(A138="","",(1/Inputs!$B$9)*(PI()*(Inputs!$F$7/1000)^2/4)*((Inputs!$F$7/1000/4)^(2/3))*SQRT(N138))</f>
        <v/>
      </c>
      <c r="AG138" s="4">
        <f>IF(A138="","",(1/Inputs!$B$9)*(PI()*(Inputs!$F$8/1000)^2/4)*((Inputs!$F$8/1000/4)^(2/3))*SQRT(N138))</f>
        <v/>
      </c>
      <c r="AH138" s="4">
        <f>IF(A138="","",(1/Inputs!$B$9)*(PI()*(Inputs!$F$9/1000)^2/4)*((Inputs!$F$9/1000/4)^(2/3))*SQRT(N138))</f>
        <v/>
      </c>
      <c r="AI138" s="4">
        <f>IF(A138="","",(1/Inputs!$B$9)*(PI()*(Inputs!$F$10/1000)^2/4)*((Inputs!$F$10/1000/4)^(2/3))*SQRT(N138))</f>
        <v/>
      </c>
      <c r="AJ138" s="4">
        <f>IF(A138="","",(1/Inputs!$B$9)*(PI()*(Inputs!$F$11/1000)^2/4)*((Inputs!$F$11/1000/4)^(2/3))*SQRT(N138))</f>
        <v/>
      </c>
      <c r="AK138" s="4">
        <f>IF(A138="","",(1/Inputs!$B$9)*(PI()*(Inputs!$F$12/1000)^2/4)*((Inputs!$F$12/1000/4)^(2/3))*SQRT(N138))</f>
        <v/>
      </c>
      <c r="AL138" s="4">
        <f>IF(A138="","",(1/Inputs!$B$9)*(PI()*(Inputs!$F$13/1000)^2/4)*((Inputs!$F$13/1000/4)^(2/3))*SQRT(N138))</f>
        <v/>
      </c>
      <c r="AM138" s="4">
        <f>IF(A138="","",(1/Inputs!$B$9)*(PI()*(Inputs!$F$14/1000)^2/4)*((Inputs!$F$14/1000/4)^(2/3))*SQRT(N138))</f>
        <v/>
      </c>
    </row>
    <row r="139">
      <c r="A139" s="4" t="n"/>
      <c r="B139" s="4" t="n"/>
      <c r="C139" s="8" t="n"/>
      <c r="D139" s="8" t="n"/>
      <c r="E139" s="8">
        <f>SUMIFS(CB_Tributaires!$C:$C,CB_Tributaires!$B:$B,$A139)</f>
        <v/>
      </c>
      <c r="F139" s="8">
        <f>IF(D139="",E139,D139)</f>
        <v/>
      </c>
      <c r="G139" s="4" t="n"/>
      <c r="H139" s="8" t="n"/>
      <c r="I139" s="8">
        <f>IF(A139="","",Inputs!$B$13/((IF(H139="",Inputs!$B$18,H139)+Inputs!$B$14)^Inputs!$B$15))</f>
        <v/>
      </c>
      <c r="J139" s="8">
        <f>IF(A139="","",0.00278*IF(G139="",Inputs!$B$17,G139)*F139*I139)</f>
        <v/>
      </c>
      <c r="K139" s="8">
        <f>IF(A139="","",SUMIFS($L$4:$L$203,$B$4:$B$203,$A139))</f>
        <v/>
      </c>
      <c r="L139" s="8">
        <f>IF(A139="","",(J139+K139)*Inputs!$B$16)</f>
        <v/>
      </c>
      <c r="M139" s="8" t="n"/>
      <c r="N139" s="8">
        <f>IF(A139="","",IF(M139="",Inputs!$B$7,M139))</f>
        <v/>
      </c>
      <c r="O139" s="4">
        <f>IF(A139="","",IF(L139/Inputs!$B$10&lt;=AD139,Inputs!$F$5,IF(L139/Inputs!$B$10&gt;AM139,"OVERSIZE",INDEX(Inputs!$F$5:$F$14,MATCH(L139/Inputs!$B$10,AD139:AM139,1)+1))))</f>
        <v/>
      </c>
      <c r="P139" s="4" t="n"/>
      <c r="Q139" s="4">
        <f>IF(A139="","",IF(P139="",O139,P139))</f>
        <v/>
      </c>
      <c r="R139" s="8">
        <f>IF(OR(Q139="",Q139="OVERSIZE"),"",Q139/1000)</f>
        <v/>
      </c>
      <c r="S139" s="8">
        <f>IF(R139="","",(1/Inputs!$B$9)*(PI()*R139^2/4)*((R139/4)^(2/3))*SQRT(N139))</f>
        <v/>
      </c>
      <c r="T139" s="8">
        <f>IF(OR(S139="",L139=""),"",L139/(S139*Inputs!$B$10))</f>
        <v/>
      </c>
      <c r="U139" s="8">
        <f>IF(OR(R139="",L139=""),"",4*L139/(PI()*R139^2))</f>
        <v/>
      </c>
      <c r="V139" s="8" t="n"/>
      <c r="W139" s="8">
        <f>IF(A139="","",IF(A139=Inputs!$B$6,Inputs!$B$22,IF(B139="","",IFERROR(INDEX($X$4:$X$203,MATCH(B139,$A$4:$A$203,0))+IF(V139="",Inputs!$B$20,V139),""))))</f>
        <v/>
      </c>
      <c r="X139" s="8">
        <f>IF(OR(W139="",N139="",C139=""),"",W139+N139*C139)</f>
        <v/>
      </c>
      <c r="Y139" s="8" t="n"/>
      <c r="Z139" s="8" t="n"/>
      <c r="AA139" s="8">
        <f>IF(OR(Y139="",W139=""),"",Y139-W139)</f>
        <v/>
      </c>
      <c r="AB139" s="8">
        <f>IF(OR(Z139="",X139=""),"",Z139-X139)</f>
        <v/>
      </c>
      <c r="AC139" s="4">
        <f>IF(A139="","",IF(OR(T139&gt;1,U139&lt;Inputs!$B$11,U139&gt;Inputs!$B$12,AA139&lt;Inputs!$B$19,AB139&lt;Inputs!$B$19,N139&lt;Inputs!$B$7,N139&gt;Inputs!$B$8),"CHECK","OK"))</f>
        <v/>
      </c>
      <c r="AD139" s="4">
        <f>IF(A139="","",(1/Inputs!$B$9)*(PI()*(Inputs!$F$5/1000)^2/4)*((Inputs!$F$5/1000/4)^(2/3))*SQRT(N139))</f>
        <v/>
      </c>
      <c r="AE139" s="4">
        <f>IF(A139="","",(1/Inputs!$B$9)*(PI()*(Inputs!$F$6/1000)^2/4)*((Inputs!$F$6/1000/4)^(2/3))*SQRT(N139))</f>
        <v/>
      </c>
      <c r="AF139" s="4">
        <f>IF(A139="","",(1/Inputs!$B$9)*(PI()*(Inputs!$F$7/1000)^2/4)*((Inputs!$F$7/1000/4)^(2/3))*SQRT(N139))</f>
        <v/>
      </c>
      <c r="AG139" s="4">
        <f>IF(A139="","",(1/Inputs!$B$9)*(PI()*(Inputs!$F$8/1000)^2/4)*((Inputs!$F$8/1000/4)^(2/3))*SQRT(N139))</f>
        <v/>
      </c>
      <c r="AH139" s="4">
        <f>IF(A139="","",(1/Inputs!$B$9)*(PI()*(Inputs!$F$9/1000)^2/4)*((Inputs!$F$9/1000/4)^(2/3))*SQRT(N139))</f>
        <v/>
      </c>
      <c r="AI139" s="4">
        <f>IF(A139="","",(1/Inputs!$B$9)*(PI()*(Inputs!$F$10/1000)^2/4)*((Inputs!$F$10/1000/4)^(2/3))*SQRT(N139))</f>
        <v/>
      </c>
      <c r="AJ139" s="4">
        <f>IF(A139="","",(1/Inputs!$B$9)*(PI()*(Inputs!$F$11/1000)^2/4)*((Inputs!$F$11/1000/4)^(2/3))*SQRT(N139))</f>
        <v/>
      </c>
      <c r="AK139" s="4">
        <f>IF(A139="","",(1/Inputs!$B$9)*(PI()*(Inputs!$F$12/1000)^2/4)*((Inputs!$F$12/1000/4)^(2/3))*SQRT(N139))</f>
        <v/>
      </c>
      <c r="AL139" s="4">
        <f>IF(A139="","",(1/Inputs!$B$9)*(PI()*(Inputs!$F$13/1000)^2/4)*((Inputs!$F$13/1000/4)^(2/3))*SQRT(N139))</f>
        <v/>
      </c>
      <c r="AM139" s="4">
        <f>IF(A139="","",(1/Inputs!$B$9)*(PI()*(Inputs!$F$14/1000)^2/4)*((Inputs!$F$14/1000/4)^(2/3))*SQRT(N139))</f>
        <v/>
      </c>
    </row>
    <row r="140">
      <c r="A140" s="4" t="n"/>
      <c r="B140" s="4" t="n"/>
      <c r="C140" s="8" t="n"/>
      <c r="D140" s="8" t="n"/>
      <c r="E140" s="8">
        <f>SUMIFS(CB_Tributaires!$C:$C,CB_Tributaires!$B:$B,$A140)</f>
        <v/>
      </c>
      <c r="F140" s="8">
        <f>IF(D140="",E140,D140)</f>
        <v/>
      </c>
      <c r="G140" s="4" t="n"/>
      <c r="H140" s="8" t="n"/>
      <c r="I140" s="8">
        <f>IF(A140="","",Inputs!$B$13/((IF(H140="",Inputs!$B$18,H140)+Inputs!$B$14)^Inputs!$B$15))</f>
        <v/>
      </c>
      <c r="J140" s="8">
        <f>IF(A140="","",0.00278*IF(G140="",Inputs!$B$17,G140)*F140*I140)</f>
        <v/>
      </c>
      <c r="K140" s="8">
        <f>IF(A140="","",SUMIFS($L$4:$L$203,$B$4:$B$203,$A140))</f>
        <v/>
      </c>
      <c r="L140" s="8">
        <f>IF(A140="","",(J140+K140)*Inputs!$B$16)</f>
        <v/>
      </c>
      <c r="M140" s="8" t="n"/>
      <c r="N140" s="8">
        <f>IF(A140="","",IF(M140="",Inputs!$B$7,M140))</f>
        <v/>
      </c>
      <c r="O140" s="4">
        <f>IF(A140="","",IF(L140/Inputs!$B$10&lt;=AD140,Inputs!$F$5,IF(L140/Inputs!$B$10&gt;AM140,"OVERSIZE",INDEX(Inputs!$F$5:$F$14,MATCH(L140/Inputs!$B$10,AD140:AM140,1)+1))))</f>
        <v/>
      </c>
      <c r="P140" s="4" t="n"/>
      <c r="Q140" s="4">
        <f>IF(A140="","",IF(P140="",O140,P140))</f>
        <v/>
      </c>
      <c r="R140" s="8">
        <f>IF(OR(Q140="",Q140="OVERSIZE"),"",Q140/1000)</f>
        <v/>
      </c>
      <c r="S140" s="8">
        <f>IF(R140="","",(1/Inputs!$B$9)*(PI()*R140^2/4)*((R140/4)^(2/3))*SQRT(N140))</f>
        <v/>
      </c>
      <c r="T140" s="8">
        <f>IF(OR(S140="",L140=""),"",L140/(S140*Inputs!$B$10))</f>
        <v/>
      </c>
      <c r="U140" s="8">
        <f>IF(OR(R140="",L140=""),"",4*L140/(PI()*R140^2))</f>
        <v/>
      </c>
      <c r="V140" s="8" t="n"/>
      <c r="W140" s="8">
        <f>IF(A140="","",IF(A140=Inputs!$B$6,Inputs!$B$22,IF(B140="","",IFERROR(INDEX($X$4:$X$203,MATCH(B140,$A$4:$A$203,0))+IF(V140="",Inputs!$B$20,V140),""))))</f>
        <v/>
      </c>
      <c r="X140" s="8">
        <f>IF(OR(W140="",N140="",C140=""),"",W140+N140*C140)</f>
        <v/>
      </c>
      <c r="Y140" s="8" t="n"/>
      <c r="Z140" s="8" t="n"/>
      <c r="AA140" s="8">
        <f>IF(OR(Y140="",W140=""),"",Y140-W140)</f>
        <v/>
      </c>
      <c r="AB140" s="8">
        <f>IF(OR(Z140="",X140=""),"",Z140-X140)</f>
        <v/>
      </c>
      <c r="AC140" s="4">
        <f>IF(A140="","",IF(OR(T140&gt;1,U140&lt;Inputs!$B$11,U140&gt;Inputs!$B$12,AA140&lt;Inputs!$B$19,AB140&lt;Inputs!$B$19,N140&lt;Inputs!$B$7,N140&gt;Inputs!$B$8),"CHECK","OK"))</f>
        <v/>
      </c>
      <c r="AD140" s="4">
        <f>IF(A140="","",(1/Inputs!$B$9)*(PI()*(Inputs!$F$5/1000)^2/4)*((Inputs!$F$5/1000/4)^(2/3))*SQRT(N140))</f>
        <v/>
      </c>
      <c r="AE140" s="4">
        <f>IF(A140="","",(1/Inputs!$B$9)*(PI()*(Inputs!$F$6/1000)^2/4)*((Inputs!$F$6/1000/4)^(2/3))*SQRT(N140))</f>
        <v/>
      </c>
      <c r="AF140" s="4">
        <f>IF(A140="","",(1/Inputs!$B$9)*(PI()*(Inputs!$F$7/1000)^2/4)*((Inputs!$F$7/1000/4)^(2/3))*SQRT(N140))</f>
        <v/>
      </c>
      <c r="AG140" s="4">
        <f>IF(A140="","",(1/Inputs!$B$9)*(PI()*(Inputs!$F$8/1000)^2/4)*((Inputs!$F$8/1000/4)^(2/3))*SQRT(N140))</f>
        <v/>
      </c>
      <c r="AH140" s="4">
        <f>IF(A140="","",(1/Inputs!$B$9)*(PI()*(Inputs!$F$9/1000)^2/4)*((Inputs!$F$9/1000/4)^(2/3))*SQRT(N140))</f>
        <v/>
      </c>
      <c r="AI140" s="4">
        <f>IF(A140="","",(1/Inputs!$B$9)*(PI()*(Inputs!$F$10/1000)^2/4)*((Inputs!$F$10/1000/4)^(2/3))*SQRT(N140))</f>
        <v/>
      </c>
      <c r="AJ140" s="4">
        <f>IF(A140="","",(1/Inputs!$B$9)*(PI()*(Inputs!$F$11/1000)^2/4)*((Inputs!$F$11/1000/4)^(2/3))*SQRT(N140))</f>
        <v/>
      </c>
      <c r="AK140" s="4">
        <f>IF(A140="","",(1/Inputs!$B$9)*(PI()*(Inputs!$F$12/1000)^2/4)*((Inputs!$F$12/1000/4)^(2/3))*SQRT(N140))</f>
        <v/>
      </c>
      <c r="AL140" s="4">
        <f>IF(A140="","",(1/Inputs!$B$9)*(PI()*(Inputs!$F$13/1000)^2/4)*((Inputs!$F$13/1000/4)^(2/3))*SQRT(N140))</f>
        <v/>
      </c>
      <c r="AM140" s="4">
        <f>IF(A140="","",(1/Inputs!$B$9)*(PI()*(Inputs!$F$14/1000)^2/4)*((Inputs!$F$14/1000/4)^(2/3))*SQRT(N140))</f>
        <v/>
      </c>
    </row>
    <row r="141">
      <c r="A141" s="4" t="n"/>
      <c r="B141" s="4" t="n"/>
      <c r="C141" s="8" t="n"/>
      <c r="D141" s="8" t="n"/>
      <c r="E141" s="8">
        <f>SUMIFS(CB_Tributaires!$C:$C,CB_Tributaires!$B:$B,$A141)</f>
        <v/>
      </c>
      <c r="F141" s="8">
        <f>IF(D141="",E141,D141)</f>
        <v/>
      </c>
      <c r="G141" s="4" t="n"/>
      <c r="H141" s="8" t="n"/>
      <c r="I141" s="8">
        <f>IF(A141="","",Inputs!$B$13/((IF(H141="",Inputs!$B$18,H141)+Inputs!$B$14)^Inputs!$B$15))</f>
        <v/>
      </c>
      <c r="J141" s="8">
        <f>IF(A141="","",0.00278*IF(G141="",Inputs!$B$17,G141)*F141*I141)</f>
        <v/>
      </c>
      <c r="K141" s="8">
        <f>IF(A141="","",SUMIFS($L$4:$L$203,$B$4:$B$203,$A141))</f>
        <v/>
      </c>
      <c r="L141" s="8">
        <f>IF(A141="","",(J141+K141)*Inputs!$B$16)</f>
        <v/>
      </c>
      <c r="M141" s="8" t="n"/>
      <c r="N141" s="8">
        <f>IF(A141="","",IF(M141="",Inputs!$B$7,M141))</f>
        <v/>
      </c>
      <c r="O141" s="4">
        <f>IF(A141="","",IF(L141/Inputs!$B$10&lt;=AD141,Inputs!$F$5,IF(L141/Inputs!$B$10&gt;AM141,"OVERSIZE",INDEX(Inputs!$F$5:$F$14,MATCH(L141/Inputs!$B$10,AD141:AM141,1)+1))))</f>
        <v/>
      </c>
      <c r="P141" s="4" t="n"/>
      <c r="Q141" s="4">
        <f>IF(A141="","",IF(P141="",O141,P141))</f>
        <v/>
      </c>
      <c r="R141" s="8">
        <f>IF(OR(Q141="",Q141="OVERSIZE"),"",Q141/1000)</f>
        <v/>
      </c>
      <c r="S141" s="8">
        <f>IF(R141="","",(1/Inputs!$B$9)*(PI()*R141^2/4)*((R141/4)^(2/3))*SQRT(N141))</f>
        <v/>
      </c>
      <c r="T141" s="8">
        <f>IF(OR(S141="",L141=""),"",L141/(S141*Inputs!$B$10))</f>
        <v/>
      </c>
      <c r="U141" s="8">
        <f>IF(OR(R141="",L141=""),"",4*L141/(PI()*R141^2))</f>
        <v/>
      </c>
      <c r="V141" s="8" t="n"/>
      <c r="W141" s="8">
        <f>IF(A141="","",IF(A141=Inputs!$B$6,Inputs!$B$22,IF(B141="","",IFERROR(INDEX($X$4:$X$203,MATCH(B141,$A$4:$A$203,0))+IF(V141="",Inputs!$B$20,V141),""))))</f>
        <v/>
      </c>
      <c r="X141" s="8">
        <f>IF(OR(W141="",N141="",C141=""),"",W141+N141*C141)</f>
        <v/>
      </c>
      <c r="Y141" s="8" t="n"/>
      <c r="Z141" s="8" t="n"/>
      <c r="AA141" s="8">
        <f>IF(OR(Y141="",W141=""),"",Y141-W141)</f>
        <v/>
      </c>
      <c r="AB141" s="8">
        <f>IF(OR(Z141="",X141=""),"",Z141-X141)</f>
        <v/>
      </c>
      <c r="AC141" s="4">
        <f>IF(A141="","",IF(OR(T141&gt;1,U141&lt;Inputs!$B$11,U141&gt;Inputs!$B$12,AA141&lt;Inputs!$B$19,AB141&lt;Inputs!$B$19,N141&lt;Inputs!$B$7,N141&gt;Inputs!$B$8),"CHECK","OK"))</f>
        <v/>
      </c>
      <c r="AD141" s="4">
        <f>IF(A141="","",(1/Inputs!$B$9)*(PI()*(Inputs!$F$5/1000)^2/4)*((Inputs!$F$5/1000/4)^(2/3))*SQRT(N141))</f>
        <v/>
      </c>
      <c r="AE141" s="4">
        <f>IF(A141="","",(1/Inputs!$B$9)*(PI()*(Inputs!$F$6/1000)^2/4)*((Inputs!$F$6/1000/4)^(2/3))*SQRT(N141))</f>
        <v/>
      </c>
      <c r="AF141" s="4">
        <f>IF(A141="","",(1/Inputs!$B$9)*(PI()*(Inputs!$F$7/1000)^2/4)*((Inputs!$F$7/1000/4)^(2/3))*SQRT(N141))</f>
        <v/>
      </c>
      <c r="AG141" s="4">
        <f>IF(A141="","",(1/Inputs!$B$9)*(PI()*(Inputs!$F$8/1000)^2/4)*((Inputs!$F$8/1000/4)^(2/3))*SQRT(N141))</f>
        <v/>
      </c>
      <c r="AH141" s="4">
        <f>IF(A141="","",(1/Inputs!$B$9)*(PI()*(Inputs!$F$9/1000)^2/4)*((Inputs!$F$9/1000/4)^(2/3))*SQRT(N141))</f>
        <v/>
      </c>
      <c r="AI141" s="4">
        <f>IF(A141="","",(1/Inputs!$B$9)*(PI()*(Inputs!$F$10/1000)^2/4)*((Inputs!$F$10/1000/4)^(2/3))*SQRT(N141))</f>
        <v/>
      </c>
      <c r="AJ141" s="4">
        <f>IF(A141="","",(1/Inputs!$B$9)*(PI()*(Inputs!$F$11/1000)^2/4)*((Inputs!$F$11/1000/4)^(2/3))*SQRT(N141))</f>
        <v/>
      </c>
      <c r="AK141" s="4">
        <f>IF(A141="","",(1/Inputs!$B$9)*(PI()*(Inputs!$F$12/1000)^2/4)*((Inputs!$F$12/1000/4)^(2/3))*SQRT(N141))</f>
        <v/>
      </c>
      <c r="AL141" s="4">
        <f>IF(A141="","",(1/Inputs!$B$9)*(PI()*(Inputs!$F$13/1000)^2/4)*((Inputs!$F$13/1000/4)^(2/3))*SQRT(N141))</f>
        <v/>
      </c>
      <c r="AM141" s="4">
        <f>IF(A141="","",(1/Inputs!$B$9)*(PI()*(Inputs!$F$14/1000)^2/4)*((Inputs!$F$14/1000/4)^(2/3))*SQRT(N141))</f>
        <v/>
      </c>
    </row>
    <row r="142">
      <c r="A142" s="4" t="n"/>
      <c r="B142" s="4" t="n"/>
      <c r="C142" s="8" t="n"/>
      <c r="D142" s="8" t="n"/>
      <c r="E142" s="8">
        <f>SUMIFS(CB_Tributaires!$C:$C,CB_Tributaires!$B:$B,$A142)</f>
        <v/>
      </c>
      <c r="F142" s="8">
        <f>IF(D142="",E142,D142)</f>
        <v/>
      </c>
      <c r="G142" s="4" t="n"/>
      <c r="H142" s="8" t="n"/>
      <c r="I142" s="8">
        <f>IF(A142="","",Inputs!$B$13/((IF(H142="",Inputs!$B$18,H142)+Inputs!$B$14)^Inputs!$B$15))</f>
        <v/>
      </c>
      <c r="J142" s="8">
        <f>IF(A142="","",0.00278*IF(G142="",Inputs!$B$17,G142)*F142*I142)</f>
        <v/>
      </c>
      <c r="K142" s="8">
        <f>IF(A142="","",SUMIFS($L$4:$L$203,$B$4:$B$203,$A142))</f>
        <v/>
      </c>
      <c r="L142" s="8">
        <f>IF(A142="","",(J142+K142)*Inputs!$B$16)</f>
        <v/>
      </c>
      <c r="M142" s="8" t="n"/>
      <c r="N142" s="8">
        <f>IF(A142="","",IF(M142="",Inputs!$B$7,M142))</f>
        <v/>
      </c>
      <c r="O142" s="4">
        <f>IF(A142="","",IF(L142/Inputs!$B$10&lt;=AD142,Inputs!$F$5,IF(L142/Inputs!$B$10&gt;AM142,"OVERSIZE",INDEX(Inputs!$F$5:$F$14,MATCH(L142/Inputs!$B$10,AD142:AM142,1)+1))))</f>
        <v/>
      </c>
      <c r="P142" s="4" t="n"/>
      <c r="Q142" s="4">
        <f>IF(A142="","",IF(P142="",O142,P142))</f>
        <v/>
      </c>
      <c r="R142" s="8">
        <f>IF(OR(Q142="",Q142="OVERSIZE"),"",Q142/1000)</f>
        <v/>
      </c>
      <c r="S142" s="8">
        <f>IF(R142="","",(1/Inputs!$B$9)*(PI()*R142^2/4)*((R142/4)^(2/3))*SQRT(N142))</f>
        <v/>
      </c>
      <c r="T142" s="8">
        <f>IF(OR(S142="",L142=""),"",L142/(S142*Inputs!$B$10))</f>
        <v/>
      </c>
      <c r="U142" s="8">
        <f>IF(OR(R142="",L142=""),"",4*L142/(PI()*R142^2))</f>
        <v/>
      </c>
      <c r="V142" s="8" t="n"/>
      <c r="W142" s="8">
        <f>IF(A142="","",IF(A142=Inputs!$B$6,Inputs!$B$22,IF(B142="","",IFERROR(INDEX($X$4:$X$203,MATCH(B142,$A$4:$A$203,0))+IF(V142="",Inputs!$B$20,V142),""))))</f>
        <v/>
      </c>
      <c r="X142" s="8">
        <f>IF(OR(W142="",N142="",C142=""),"",W142+N142*C142)</f>
        <v/>
      </c>
      <c r="Y142" s="8" t="n"/>
      <c r="Z142" s="8" t="n"/>
      <c r="AA142" s="8">
        <f>IF(OR(Y142="",W142=""),"",Y142-W142)</f>
        <v/>
      </c>
      <c r="AB142" s="8">
        <f>IF(OR(Z142="",X142=""),"",Z142-X142)</f>
        <v/>
      </c>
      <c r="AC142" s="4">
        <f>IF(A142="","",IF(OR(T142&gt;1,U142&lt;Inputs!$B$11,U142&gt;Inputs!$B$12,AA142&lt;Inputs!$B$19,AB142&lt;Inputs!$B$19,N142&lt;Inputs!$B$7,N142&gt;Inputs!$B$8),"CHECK","OK"))</f>
        <v/>
      </c>
      <c r="AD142" s="4">
        <f>IF(A142="","",(1/Inputs!$B$9)*(PI()*(Inputs!$F$5/1000)^2/4)*((Inputs!$F$5/1000/4)^(2/3))*SQRT(N142))</f>
        <v/>
      </c>
      <c r="AE142" s="4">
        <f>IF(A142="","",(1/Inputs!$B$9)*(PI()*(Inputs!$F$6/1000)^2/4)*((Inputs!$F$6/1000/4)^(2/3))*SQRT(N142))</f>
        <v/>
      </c>
      <c r="AF142" s="4">
        <f>IF(A142="","",(1/Inputs!$B$9)*(PI()*(Inputs!$F$7/1000)^2/4)*((Inputs!$F$7/1000/4)^(2/3))*SQRT(N142))</f>
        <v/>
      </c>
      <c r="AG142" s="4">
        <f>IF(A142="","",(1/Inputs!$B$9)*(PI()*(Inputs!$F$8/1000)^2/4)*((Inputs!$F$8/1000/4)^(2/3))*SQRT(N142))</f>
        <v/>
      </c>
      <c r="AH142" s="4">
        <f>IF(A142="","",(1/Inputs!$B$9)*(PI()*(Inputs!$F$9/1000)^2/4)*((Inputs!$F$9/1000/4)^(2/3))*SQRT(N142))</f>
        <v/>
      </c>
      <c r="AI142" s="4">
        <f>IF(A142="","",(1/Inputs!$B$9)*(PI()*(Inputs!$F$10/1000)^2/4)*((Inputs!$F$10/1000/4)^(2/3))*SQRT(N142))</f>
        <v/>
      </c>
      <c r="AJ142" s="4">
        <f>IF(A142="","",(1/Inputs!$B$9)*(PI()*(Inputs!$F$11/1000)^2/4)*((Inputs!$F$11/1000/4)^(2/3))*SQRT(N142))</f>
        <v/>
      </c>
      <c r="AK142" s="4">
        <f>IF(A142="","",(1/Inputs!$B$9)*(PI()*(Inputs!$F$12/1000)^2/4)*((Inputs!$F$12/1000/4)^(2/3))*SQRT(N142))</f>
        <v/>
      </c>
      <c r="AL142" s="4">
        <f>IF(A142="","",(1/Inputs!$B$9)*(PI()*(Inputs!$F$13/1000)^2/4)*((Inputs!$F$13/1000/4)^(2/3))*SQRT(N142))</f>
        <v/>
      </c>
      <c r="AM142" s="4">
        <f>IF(A142="","",(1/Inputs!$B$9)*(PI()*(Inputs!$F$14/1000)^2/4)*((Inputs!$F$14/1000/4)^(2/3))*SQRT(N142))</f>
        <v/>
      </c>
    </row>
    <row r="143">
      <c r="A143" s="4" t="n"/>
      <c r="B143" s="4" t="n"/>
      <c r="C143" s="8" t="n"/>
      <c r="D143" s="8" t="n"/>
      <c r="E143" s="8">
        <f>SUMIFS(CB_Tributaires!$C:$C,CB_Tributaires!$B:$B,$A143)</f>
        <v/>
      </c>
      <c r="F143" s="8">
        <f>IF(D143="",E143,D143)</f>
        <v/>
      </c>
      <c r="G143" s="4" t="n"/>
      <c r="H143" s="8" t="n"/>
      <c r="I143" s="8">
        <f>IF(A143="","",Inputs!$B$13/((IF(H143="",Inputs!$B$18,H143)+Inputs!$B$14)^Inputs!$B$15))</f>
        <v/>
      </c>
      <c r="J143" s="8">
        <f>IF(A143="","",0.00278*IF(G143="",Inputs!$B$17,G143)*F143*I143)</f>
        <v/>
      </c>
      <c r="K143" s="8">
        <f>IF(A143="","",SUMIFS($L$4:$L$203,$B$4:$B$203,$A143))</f>
        <v/>
      </c>
      <c r="L143" s="8">
        <f>IF(A143="","",(J143+K143)*Inputs!$B$16)</f>
        <v/>
      </c>
      <c r="M143" s="8" t="n"/>
      <c r="N143" s="8">
        <f>IF(A143="","",IF(M143="",Inputs!$B$7,M143))</f>
        <v/>
      </c>
      <c r="O143" s="4">
        <f>IF(A143="","",IF(L143/Inputs!$B$10&lt;=AD143,Inputs!$F$5,IF(L143/Inputs!$B$10&gt;AM143,"OVERSIZE",INDEX(Inputs!$F$5:$F$14,MATCH(L143/Inputs!$B$10,AD143:AM143,1)+1))))</f>
        <v/>
      </c>
      <c r="P143" s="4" t="n"/>
      <c r="Q143" s="4">
        <f>IF(A143="","",IF(P143="",O143,P143))</f>
        <v/>
      </c>
      <c r="R143" s="8">
        <f>IF(OR(Q143="",Q143="OVERSIZE"),"",Q143/1000)</f>
        <v/>
      </c>
      <c r="S143" s="8">
        <f>IF(R143="","",(1/Inputs!$B$9)*(PI()*R143^2/4)*((R143/4)^(2/3))*SQRT(N143))</f>
        <v/>
      </c>
      <c r="T143" s="8">
        <f>IF(OR(S143="",L143=""),"",L143/(S143*Inputs!$B$10))</f>
        <v/>
      </c>
      <c r="U143" s="8">
        <f>IF(OR(R143="",L143=""),"",4*L143/(PI()*R143^2))</f>
        <v/>
      </c>
      <c r="V143" s="8" t="n"/>
      <c r="W143" s="8">
        <f>IF(A143="","",IF(A143=Inputs!$B$6,Inputs!$B$22,IF(B143="","",IFERROR(INDEX($X$4:$X$203,MATCH(B143,$A$4:$A$203,0))+IF(V143="",Inputs!$B$20,V143),""))))</f>
        <v/>
      </c>
      <c r="X143" s="8">
        <f>IF(OR(W143="",N143="",C143=""),"",W143+N143*C143)</f>
        <v/>
      </c>
      <c r="Y143" s="8" t="n"/>
      <c r="Z143" s="8" t="n"/>
      <c r="AA143" s="8">
        <f>IF(OR(Y143="",W143=""),"",Y143-W143)</f>
        <v/>
      </c>
      <c r="AB143" s="8">
        <f>IF(OR(Z143="",X143=""),"",Z143-X143)</f>
        <v/>
      </c>
      <c r="AC143" s="4">
        <f>IF(A143="","",IF(OR(T143&gt;1,U143&lt;Inputs!$B$11,U143&gt;Inputs!$B$12,AA143&lt;Inputs!$B$19,AB143&lt;Inputs!$B$19,N143&lt;Inputs!$B$7,N143&gt;Inputs!$B$8),"CHECK","OK"))</f>
        <v/>
      </c>
      <c r="AD143" s="4">
        <f>IF(A143="","",(1/Inputs!$B$9)*(PI()*(Inputs!$F$5/1000)^2/4)*((Inputs!$F$5/1000/4)^(2/3))*SQRT(N143))</f>
        <v/>
      </c>
      <c r="AE143" s="4">
        <f>IF(A143="","",(1/Inputs!$B$9)*(PI()*(Inputs!$F$6/1000)^2/4)*((Inputs!$F$6/1000/4)^(2/3))*SQRT(N143))</f>
        <v/>
      </c>
      <c r="AF143" s="4">
        <f>IF(A143="","",(1/Inputs!$B$9)*(PI()*(Inputs!$F$7/1000)^2/4)*((Inputs!$F$7/1000/4)^(2/3))*SQRT(N143))</f>
        <v/>
      </c>
      <c r="AG143" s="4">
        <f>IF(A143="","",(1/Inputs!$B$9)*(PI()*(Inputs!$F$8/1000)^2/4)*((Inputs!$F$8/1000/4)^(2/3))*SQRT(N143))</f>
        <v/>
      </c>
      <c r="AH143" s="4">
        <f>IF(A143="","",(1/Inputs!$B$9)*(PI()*(Inputs!$F$9/1000)^2/4)*((Inputs!$F$9/1000/4)^(2/3))*SQRT(N143))</f>
        <v/>
      </c>
      <c r="AI143" s="4">
        <f>IF(A143="","",(1/Inputs!$B$9)*(PI()*(Inputs!$F$10/1000)^2/4)*((Inputs!$F$10/1000/4)^(2/3))*SQRT(N143))</f>
        <v/>
      </c>
      <c r="AJ143" s="4">
        <f>IF(A143="","",(1/Inputs!$B$9)*(PI()*(Inputs!$F$11/1000)^2/4)*((Inputs!$F$11/1000/4)^(2/3))*SQRT(N143))</f>
        <v/>
      </c>
      <c r="AK143" s="4">
        <f>IF(A143="","",(1/Inputs!$B$9)*(PI()*(Inputs!$F$12/1000)^2/4)*((Inputs!$F$12/1000/4)^(2/3))*SQRT(N143))</f>
        <v/>
      </c>
      <c r="AL143" s="4">
        <f>IF(A143="","",(1/Inputs!$B$9)*(PI()*(Inputs!$F$13/1000)^2/4)*((Inputs!$F$13/1000/4)^(2/3))*SQRT(N143))</f>
        <v/>
      </c>
      <c r="AM143" s="4">
        <f>IF(A143="","",(1/Inputs!$B$9)*(PI()*(Inputs!$F$14/1000)^2/4)*((Inputs!$F$14/1000/4)^(2/3))*SQRT(N143))</f>
        <v/>
      </c>
    </row>
    <row r="144">
      <c r="A144" s="4" t="n"/>
      <c r="B144" s="4" t="n"/>
      <c r="C144" s="8" t="n"/>
      <c r="D144" s="8" t="n"/>
      <c r="E144" s="8">
        <f>SUMIFS(CB_Tributaires!$C:$C,CB_Tributaires!$B:$B,$A144)</f>
        <v/>
      </c>
      <c r="F144" s="8">
        <f>IF(D144="",E144,D144)</f>
        <v/>
      </c>
      <c r="G144" s="4" t="n"/>
      <c r="H144" s="8" t="n"/>
      <c r="I144" s="8">
        <f>IF(A144="","",Inputs!$B$13/((IF(H144="",Inputs!$B$18,H144)+Inputs!$B$14)^Inputs!$B$15))</f>
        <v/>
      </c>
      <c r="J144" s="8">
        <f>IF(A144="","",0.00278*IF(G144="",Inputs!$B$17,G144)*F144*I144)</f>
        <v/>
      </c>
      <c r="K144" s="8">
        <f>IF(A144="","",SUMIFS($L$4:$L$203,$B$4:$B$203,$A144))</f>
        <v/>
      </c>
      <c r="L144" s="8">
        <f>IF(A144="","",(J144+K144)*Inputs!$B$16)</f>
        <v/>
      </c>
      <c r="M144" s="8" t="n"/>
      <c r="N144" s="8">
        <f>IF(A144="","",IF(M144="",Inputs!$B$7,M144))</f>
        <v/>
      </c>
      <c r="O144" s="4">
        <f>IF(A144="","",IF(L144/Inputs!$B$10&lt;=AD144,Inputs!$F$5,IF(L144/Inputs!$B$10&gt;AM144,"OVERSIZE",INDEX(Inputs!$F$5:$F$14,MATCH(L144/Inputs!$B$10,AD144:AM144,1)+1))))</f>
        <v/>
      </c>
      <c r="P144" s="4" t="n"/>
      <c r="Q144" s="4">
        <f>IF(A144="","",IF(P144="",O144,P144))</f>
        <v/>
      </c>
      <c r="R144" s="8">
        <f>IF(OR(Q144="",Q144="OVERSIZE"),"",Q144/1000)</f>
        <v/>
      </c>
      <c r="S144" s="8">
        <f>IF(R144="","",(1/Inputs!$B$9)*(PI()*R144^2/4)*((R144/4)^(2/3))*SQRT(N144))</f>
        <v/>
      </c>
      <c r="T144" s="8">
        <f>IF(OR(S144="",L144=""),"",L144/(S144*Inputs!$B$10))</f>
        <v/>
      </c>
      <c r="U144" s="8">
        <f>IF(OR(R144="",L144=""),"",4*L144/(PI()*R144^2))</f>
        <v/>
      </c>
      <c r="V144" s="8" t="n"/>
      <c r="W144" s="8">
        <f>IF(A144="","",IF(A144=Inputs!$B$6,Inputs!$B$22,IF(B144="","",IFERROR(INDEX($X$4:$X$203,MATCH(B144,$A$4:$A$203,0))+IF(V144="",Inputs!$B$20,V144),""))))</f>
        <v/>
      </c>
      <c r="X144" s="8">
        <f>IF(OR(W144="",N144="",C144=""),"",W144+N144*C144)</f>
        <v/>
      </c>
      <c r="Y144" s="8" t="n"/>
      <c r="Z144" s="8" t="n"/>
      <c r="AA144" s="8">
        <f>IF(OR(Y144="",W144=""),"",Y144-W144)</f>
        <v/>
      </c>
      <c r="AB144" s="8">
        <f>IF(OR(Z144="",X144=""),"",Z144-X144)</f>
        <v/>
      </c>
      <c r="AC144" s="4">
        <f>IF(A144="","",IF(OR(T144&gt;1,U144&lt;Inputs!$B$11,U144&gt;Inputs!$B$12,AA144&lt;Inputs!$B$19,AB144&lt;Inputs!$B$19,N144&lt;Inputs!$B$7,N144&gt;Inputs!$B$8),"CHECK","OK"))</f>
        <v/>
      </c>
      <c r="AD144" s="4">
        <f>IF(A144="","",(1/Inputs!$B$9)*(PI()*(Inputs!$F$5/1000)^2/4)*((Inputs!$F$5/1000/4)^(2/3))*SQRT(N144))</f>
        <v/>
      </c>
      <c r="AE144" s="4">
        <f>IF(A144="","",(1/Inputs!$B$9)*(PI()*(Inputs!$F$6/1000)^2/4)*((Inputs!$F$6/1000/4)^(2/3))*SQRT(N144))</f>
        <v/>
      </c>
      <c r="AF144" s="4">
        <f>IF(A144="","",(1/Inputs!$B$9)*(PI()*(Inputs!$F$7/1000)^2/4)*((Inputs!$F$7/1000/4)^(2/3))*SQRT(N144))</f>
        <v/>
      </c>
      <c r="AG144" s="4">
        <f>IF(A144="","",(1/Inputs!$B$9)*(PI()*(Inputs!$F$8/1000)^2/4)*((Inputs!$F$8/1000/4)^(2/3))*SQRT(N144))</f>
        <v/>
      </c>
      <c r="AH144" s="4">
        <f>IF(A144="","",(1/Inputs!$B$9)*(PI()*(Inputs!$F$9/1000)^2/4)*((Inputs!$F$9/1000/4)^(2/3))*SQRT(N144))</f>
        <v/>
      </c>
      <c r="AI144" s="4">
        <f>IF(A144="","",(1/Inputs!$B$9)*(PI()*(Inputs!$F$10/1000)^2/4)*((Inputs!$F$10/1000/4)^(2/3))*SQRT(N144))</f>
        <v/>
      </c>
      <c r="AJ144" s="4">
        <f>IF(A144="","",(1/Inputs!$B$9)*(PI()*(Inputs!$F$11/1000)^2/4)*((Inputs!$F$11/1000/4)^(2/3))*SQRT(N144))</f>
        <v/>
      </c>
      <c r="AK144" s="4">
        <f>IF(A144="","",(1/Inputs!$B$9)*(PI()*(Inputs!$F$12/1000)^2/4)*((Inputs!$F$12/1000/4)^(2/3))*SQRT(N144))</f>
        <v/>
      </c>
      <c r="AL144" s="4">
        <f>IF(A144="","",(1/Inputs!$B$9)*(PI()*(Inputs!$F$13/1000)^2/4)*((Inputs!$F$13/1000/4)^(2/3))*SQRT(N144))</f>
        <v/>
      </c>
      <c r="AM144" s="4">
        <f>IF(A144="","",(1/Inputs!$B$9)*(PI()*(Inputs!$F$14/1000)^2/4)*((Inputs!$F$14/1000/4)^(2/3))*SQRT(N144))</f>
        <v/>
      </c>
    </row>
    <row r="145">
      <c r="A145" s="4" t="n"/>
      <c r="B145" s="4" t="n"/>
      <c r="C145" s="8" t="n"/>
      <c r="D145" s="8" t="n"/>
      <c r="E145" s="8">
        <f>SUMIFS(CB_Tributaires!$C:$C,CB_Tributaires!$B:$B,$A145)</f>
        <v/>
      </c>
      <c r="F145" s="8">
        <f>IF(D145="",E145,D145)</f>
        <v/>
      </c>
      <c r="G145" s="4" t="n"/>
      <c r="H145" s="8" t="n"/>
      <c r="I145" s="8">
        <f>IF(A145="","",Inputs!$B$13/((IF(H145="",Inputs!$B$18,H145)+Inputs!$B$14)^Inputs!$B$15))</f>
        <v/>
      </c>
      <c r="J145" s="8">
        <f>IF(A145="","",0.00278*IF(G145="",Inputs!$B$17,G145)*F145*I145)</f>
        <v/>
      </c>
      <c r="K145" s="8">
        <f>IF(A145="","",SUMIFS($L$4:$L$203,$B$4:$B$203,$A145))</f>
        <v/>
      </c>
      <c r="L145" s="8">
        <f>IF(A145="","",(J145+K145)*Inputs!$B$16)</f>
        <v/>
      </c>
      <c r="M145" s="8" t="n"/>
      <c r="N145" s="8">
        <f>IF(A145="","",IF(M145="",Inputs!$B$7,M145))</f>
        <v/>
      </c>
      <c r="O145" s="4">
        <f>IF(A145="","",IF(L145/Inputs!$B$10&lt;=AD145,Inputs!$F$5,IF(L145/Inputs!$B$10&gt;AM145,"OVERSIZE",INDEX(Inputs!$F$5:$F$14,MATCH(L145/Inputs!$B$10,AD145:AM145,1)+1))))</f>
        <v/>
      </c>
      <c r="P145" s="4" t="n"/>
      <c r="Q145" s="4">
        <f>IF(A145="","",IF(P145="",O145,P145))</f>
        <v/>
      </c>
      <c r="R145" s="8">
        <f>IF(OR(Q145="",Q145="OVERSIZE"),"",Q145/1000)</f>
        <v/>
      </c>
      <c r="S145" s="8">
        <f>IF(R145="","",(1/Inputs!$B$9)*(PI()*R145^2/4)*((R145/4)^(2/3))*SQRT(N145))</f>
        <v/>
      </c>
      <c r="T145" s="8">
        <f>IF(OR(S145="",L145=""),"",L145/(S145*Inputs!$B$10))</f>
        <v/>
      </c>
      <c r="U145" s="8">
        <f>IF(OR(R145="",L145=""),"",4*L145/(PI()*R145^2))</f>
        <v/>
      </c>
      <c r="V145" s="8" t="n"/>
      <c r="W145" s="8">
        <f>IF(A145="","",IF(A145=Inputs!$B$6,Inputs!$B$22,IF(B145="","",IFERROR(INDEX($X$4:$X$203,MATCH(B145,$A$4:$A$203,0))+IF(V145="",Inputs!$B$20,V145),""))))</f>
        <v/>
      </c>
      <c r="X145" s="8">
        <f>IF(OR(W145="",N145="",C145=""),"",W145+N145*C145)</f>
        <v/>
      </c>
      <c r="Y145" s="8" t="n"/>
      <c r="Z145" s="8" t="n"/>
      <c r="AA145" s="8">
        <f>IF(OR(Y145="",W145=""),"",Y145-W145)</f>
        <v/>
      </c>
      <c r="AB145" s="8">
        <f>IF(OR(Z145="",X145=""),"",Z145-X145)</f>
        <v/>
      </c>
      <c r="AC145" s="4">
        <f>IF(A145="","",IF(OR(T145&gt;1,U145&lt;Inputs!$B$11,U145&gt;Inputs!$B$12,AA145&lt;Inputs!$B$19,AB145&lt;Inputs!$B$19,N145&lt;Inputs!$B$7,N145&gt;Inputs!$B$8),"CHECK","OK"))</f>
        <v/>
      </c>
      <c r="AD145" s="4">
        <f>IF(A145="","",(1/Inputs!$B$9)*(PI()*(Inputs!$F$5/1000)^2/4)*((Inputs!$F$5/1000/4)^(2/3))*SQRT(N145))</f>
        <v/>
      </c>
      <c r="AE145" s="4">
        <f>IF(A145="","",(1/Inputs!$B$9)*(PI()*(Inputs!$F$6/1000)^2/4)*((Inputs!$F$6/1000/4)^(2/3))*SQRT(N145))</f>
        <v/>
      </c>
      <c r="AF145" s="4">
        <f>IF(A145="","",(1/Inputs!$B$9)*(PI()*(Inputs!$F$7/1000)^2/4)*((Inputs!$F$7/1000/4)^(2/3))*SQRT(N145))</f>
        <v/>
      </c>
      <c r="AG145" s="4">
        <f>IF(A145="","",(1/Inputs!$B$9)*(PI()*(Inputs!$F$8/1000)^2/4)*((Inputs!$F$8/1000/4)^(2/3))*SQRT(N145))</f>
        <v/>
      </c>
      <c r="AH145" s="4">
        <f>IF(A145="","",(1/Inputs!$B$9)*(PI()*(Inputs!$F$9/1000)^2/4)*((Inputs!$F$9/1000/4)^(2/3))*SQRT(N145))</f>
        <v/>
      </c>
      <c r="AI145" s="4">
        <f>IF(A145="","",(1/Inputs!$B$9)*(PI()*(Inputs!$F$10/1000)^2/4)*((Inputs!$F$10/1000/4)^(2/3))*SQRT(N145))</f>
        <v/>
      </c>
      <c r="AJ145" s="4">
        <f>IF(A145="","",(1/Inputs!$B$9)*(PI()*(Inputs!$F$11/1000)^2/4)*((Inputs!$F$11/1000/4)^(2/3))*SQRT(N145))</f>
        <v/>
      </c>
      <c r="AK145" s="4">
        <f>IF(A145="","",(1/Inputs!$B$9)*(PI()*(Inputs!$F$12/1000)^2/4)*((Inputs!$F$12/1000/4)^(2/3))*SQRT(N145))</f>
        <v/>
      </c>
      <c r="AL145" s="4">
        <f>IF(A145="","",(1/Inputs!$B$9)*(PI()*(Inputs!$F$13/1000)^2/4)*((Inputs!$F$13/1000/4)^(2/3))*SQRT(N145))</f>
        <v/>
      </c>
      <c r="AM145" s="4">
        <f>IF(A145="","",(1/Inputs!$B$9)*(PI()*(Inputs!$F$14/1000)^2/4)*((Inputs!$F$14/1000/4)^(2/3))*SQRT(N145))</f>
        <v/>
      </c>
    </row>
    <row r="146">
      <c r="A146" s="4" t="n"/>
      <c r="B146" s="4" t="n"/>
      <c r="C146" s="8" t="n"/>
      <c r="D146" s="8" t="n"/>
      <c r="E146" s="8">
        <f>SUMIFS(CB_Tributaires!$C:$C,CB_Tributaires!$B:$B,$A146)</f>
        <v/>
      </c>
      <c r="F146" s="8">
        <f>IF(D146="",E146,D146)</f>
        <v/>
      </c>
      <c r="G146" s="4" t="n"/>
      <c r="H146" s="8" t="n"/>
      <c r="I146" s="8">
        <f>IF(A146="","",Inputs!$B$13/((IF(H146="",Inputs!$B$18,H146)+Inputs!$B$14)^Inputs!$B$15))</f>
        <v/>
      </c>
      <c r="J146" s="8">
        <f>IF(A146="","",0.00278*IF(G146="",Inputs!$B$17,G146)*F146*I146)</f>
        <v/>
      </c>
      <c r="K146" s="8">
        <f>IF(A146="","",SUMIFS($L$4:$L$203,$B$4:$B$203,$A146))</f>
        <v/>
      </c>
      <c r="L146" s="8">
        <f>IF(A146="","",(J146+K146)*Inputs!$B$16)</f>
        <v/>
      </c>
      <c r="M146" s="8" t="n"/>
      <c r="N146" s="8">
        <f>IF(A146="","",IF(M146="",Inputs!$B$7,M146))</f>
        <v/>
      </c>
      <c r="O146" s="4">
        <f>IF(A146="","",IF(L146/Inputs!$B$10&lt;=AD146,Inputs!$F$5,IF(L146/Inputs!$B$10&gt;AM146,"OVERSIZE",INDEX(Inputs!$F$5:$F$14,MATCH(L146/Inputs!$B$10,AD146:AM146,1)+1))))</f>
        <v/>
      </c>
      <c r="P146" s="4" t="n"/>
      <c r="Q146" s="4">
        <f>IF(A146="","",IF(P146="",O146,P146))</f>
        <v/>
      </c>
      <c r="R146" s="8">
        <f>IF(OR(Q146="",Q146="OVERSIZE"),"",Q146/1000)</f>
        <v/>
      </c>
      <c r="S146" s="8">
        <f>IF(R146="","",(1/Inputs!$B$9)*(PI()*R146^2/4)*((R146/4)^(2/3))*SQRT(N146))</f>
        <v/>
      </c>
      <c r="T146" s="8">
        <f>IF(OR(S146="",L146=""),"",L146/(S146*Inputs!$B$10))</f>
        <v/>
      </c>
      <c r="U146" s="8">
        <f>IF(OR(R146="",L146=""),"",4*L146/(PI()*R146^2))</f>
        <v/>
      </c>
      <c r="V146" s="8" t="n"/>
      <c r="W146" s="8">
        <f>IF(A146="","",IF(A146=Inputs!$B$6,Inputs!$B$22,IF(B146="","",IFERROR(INDEX($X$4:$X$203,MATCH(B146,$A$4:$A$203,0))+IF(V146="",Inputs!$B$20,V146),""))))</f>
        <v/>
      </c>
      <c r="X146" s="8">
        <f>IF(OR(W146="",N146="",C146=""),"",W146+N146*C146)</f>
        <v/>
      </c>
      <c r="Y146" s="8" t="n"/>
      <c r="Z146" s="8" t="n"/>
      <c r="AA146" s="8">
        <f>IF(OR(Y146="",W146=""),"",Y146-W146)</f>
        <v/>
      </c>
      <c r="AB146" s="8">
        <f>IF(OR(Z146="",X146=""),"",Z146-X146)</f>
        <v/>
      </c>
      <c r="AC146" s="4">
        <f>IF(A146="","",IF(OR(T146&gt;1,U146&lt;Inputs!$B$11,U146&gt;Inputs!$B$12,AA146&lt;Inputs!$B$19,AB146&lt;Inputs!$B$19,N146&lt;Inputs!$B$7,N146&gt;Inputs!$B$8),"CHECK","OK"))</f>
        <v/>
      </c>
      <c r="AD146" s="4">
        <f>IF(A146="","",(1/Inputs!$B$9)*(PI()*(Inputs!$F$5/1000)^2/4)*((Inputs!$F$5/1000/4)^(2/3))*SQRT(N146))</f>
        <v/>
      </c>
      <c r="AE146" s="4">
        <f>IF(A146="","",(1/Inputs!$B$9)*(PI()*(Inputs!$F$6/1000)^2/4)*((Inputs!$F$6/1000/4)^(2/3))*SQRT(N146))</f>
        <v/>
      </c>
      <c r="AF146" s="4">
        <f>IF(A146="","",(1/Inputs!$B$9)*(PI()*(Inputs!$F$7/1000)^2/4)*((Inputs!$F$7/1000/4)^(2/3))*SQRT(N146))</f>
        <v/>
      </c>
      <c r="AG146" s="4">
        <f>IF(A146="","",(1/Inputs!$B$9)*(PI()*(Inputs!$F$8/1000)^2/4)*((Inputs!$F$8/1000/4)^(2/3))*SQRT(N146))</f>
        <v/>
      </c>
      <c r="AH146" s="4">
        <f>IF(A146="","",(1/Inputs!$B$9)*(PI()*(Inputs!$F$9/1000)^2/4)*((Inputs!$F$9/1000/4)^(2/3))*SQRT(N146))</f>
        <v/>
      </c>
      <c r="AI146" s="4">
        <f>IF(A146="","",(1/Inputs!$B$9)*(PI()*(Inputs!$F$10/1000)^2/4)*((Inputs!$F$10/1000/4)^(2/3))*SQRT(N146))</f>
        <v/>
      </c>
      <c r="AJ146" s="4">
        <f>IF(A146="","",(1/Inputs!$B$9)*(PI()*(Inputs!$F$11/1000)^2/4)*((Inputs!$F$11/1000/4)^(2/3))*SQRT(N146))</f>
        <v/>
      </c>
      <c r="AK146" s="4">
        <f>IF(A146="","",(1/Inputs!$B$9)*(PI()*(Inputs!$F$12/1000)^2/4)*((Inputs!$F$12/1000/4)^(2/3))*SQRT(N146))</f>
        <v/>
      </c>
      <c r="AL146" s="4">
        <f>IF(A146="","",(1/Inputs!$B$9)*(PI()*(Inputs!$F$13/1000)^2/4)*((Inputs!$F$13/1000/4)^(2/3))*SQRT(N146))</f>
        <v/>
      </c>
      <c r="AM146" s="4">
        <f>IF(A146="","",(1/Inputs!$B$9)*(PI()*(Inputs!$F$14/1000)^2/4)*((Inputs!$F$14/1000/4)^(2/3))*SQRT(N146))</f>
        <v/>
      </c>
    </row>
    <row r="147">
      <c r="A147" s="4" t="n"/>
      <c r="B147" s="4" t="n"/>
      <c r="C147" s="8" t="n"/>
      <c r="D147" s="8" t="n"/>
      <c r="E147" s="8">
        <f>SUMIFS(CB_Tributaires!$C:$C,CB_Tributaires!$B:$B,$A147)</f>
        <v/>
      </c>
      <c r="F147" s="8">
        <f>IF(D147="",E147,D147)</f>
        <v/>
      </c>
      <c r="G147" s="4" t="n"/>
      <c r="H147" s="8" t="n"/>
      <c r="I147" s="8">
        <f>IF(A147="","",Inputs!$B$13/((IF(H147="",Inputs!$B$18,H147)+Inputs!$B$14)^Inputs!$B$15))</f>
        <v/>
      </c>
      <c r="J147" s="8">
        <f>IF(A147="","",0.00278*IF(G147="",Inputs!$B$17,G147)*F147*I147)</f>
        <v/>
      </c>
      <c r="K147" s="8">
        <f>IF(A147="","",SUMIFS($L$4:$L$203,$B$4:$B$203,$A147))</f>
        <v/>
      </c>
      <c r="L147" s="8">
        <f>IF(A147="","",(J147+K147)*Inputs!$B$16)</f>
        <v/>
      </c>
      <c r="M147" s="8" t="n"/>
      <c r="N147" s="8">
        <f>IF(A147="","",IF(M147="",Inputs!$B$7,M147))</f>
        <v/>
      </c>
      <c r="O147" s="4">
        <f>IF(A147="","",IF(L147/Inputs!$B$10&lt;=AD147,Inputs!$F$5,IF(L147/Inputs!$B$10&gt;AM147,"OVERSIZE",INDEX(Inputs!$F$5:$F$14,MATCH(L147/Inputs!$B$10,AD147:AM147,1)+1))))</f>
        <v/>
      </c>
      <c r="P147" s="4" t="n"/>
      <c r="Q147" s="4">
        <f>IF(A147="","",IF(P147="",O147,P147))</f>
        <v/>
      </c>
      <c r="R147" s="8">
        <f>IF(OR(Q147="",Q147="OVERSIZE"),"",Q147/1000)</f>
        <v/>
      </c>
      <c r="S147" s="8">
        <f>IF(R147="","",(1/Inputs!$B$9)*(PI()*R147^2/4)*((R147/4)^(2/3))*SQRT(N147))</f>
        <v/>
      </c>
      <c r="T147" s="8">
        <f>IF(OR(S147="",L147=""),"",L147/(S147*Inputs!$B$10))</f>
        <v/>
      </c>
      <c r="U147" s="8">
        <f>IF(OR(R147="",L147=""),"",4*L147/(PI()*R147^2))</f>
        <v/>
      </c>
      <c r="V147" s="8" t="n"/>
      <c r="W147" s="8">
        <f>IF(A147="","",IF(A147=Inputs!$B$6,Inputs!$B$22,IF(B147="","",IFERROR(INDEX($X$4:$X$203,MATCH(B147,$A$4:$A$203,0))+IF(V147="",Inputs!$B$20,V147),""))))</f>
        <v/>
      </c>
      <c r="X147" s="8">
        <f>IF(OR(W147="",N147="",C147=""),"",W147+N147*C147)</f>
        <v/>
      </c>
      <c r="Y147" s="8" t="n"/>
      <c r="Z147" s="8" t="n"/>
      <c r="AA147" s="8">
        <f>IF(OR(Y147="",W147=""),"",Y147-W147)</f>
        <v/>
      </c>
      <c r="AB147" s="8">
        <f>IF(OR(Z147="",X147=""),"",Z147-X147)</f>
        <v/>
      </c>
      <c r="AC147" s="4">
        <f>IF(A147="","",IF(OR(T147&gt;1,U147&lt;Inputs!$B$11,U147&gt;Inputs!$B$12,AA147&lt;Inputs!$B$19,AB147&lt;Inputs!$B$19,N147&lt;Inputs!$B$7,N147&gt;Inputs!$B$8),"CHECK","OK"))</f>
        <v/>
      </c>
      <c r="AD147" s="4">
        <f>IF(A147="","",(1/Inputs!$B$9)*(PI()*(Inputs!$F$5/1000)^2/4)*((Inputs!$F$5/1000/4)^(2/3))*SQRT(N147))</f>
        <v/>
      </c>
      <c r="AE147" s="4">
        <f>IF(A147="","",(1/Inputs!$B$9)*(PI()*(Inputs!$F$6/1000)^2/4)*((Inputs!$F$6/1000/4)^(2/3))*SQRT(N147))</f>
        <v/>
      </c>
      <c r="AF147" s="4">
        <f>IF(A147="","",(1/Inputs!$B$9)*(PI()*(Inputs!$F$7/1000)^2/4)*((Inputs!$F$7/1000/4)^(2/3))*SQRT(N147))</f>
        <v/>
      </c>
      <c r="AG147" s="4">
        <f>IF(A147="","",(1/Inputs!$B$9)*(PI()*(Inputs!$F$8/1000)^2/4)*((Inputs!$F$8/1000/4)^(2/3))*SQRT(N147))</f>
        <v/>
      </c>
      <c r="AH147" s="4">
        <f>IF(A147="","",(1/Inputs!$B$9)*(PI()*(Inputs!$F$9/1000)^2/4)*((Inputs!$F$9/1000/4)^(2/3))*SQRT(N147))</f>
        <v/>
      </c>
      <c r="AI147" s="4">
        <f>IF(A147="","",(1/Inputs!$B$9)*(PI()*(Inputs!$F$10/1000)^2/4)*((Inputs!$F$10/1000/4)^(2/3))*SQRT(N147))</f>
        <v/>
      </c>
      <c r="AJ147" s="4">
        <f>IF(A147="","",(1/Inputs!$B$9)*(PI()*(Inputs!$F$11/1000)^2/4)*((Inputs!$F$11/1000/4)^(2/3))*SQRT(N147))</f>
        <v/>
      </c>
      <c r="AK147" s="4">
        <f>IF(A147="","",(1/Inputs!$B$9)*(PI()*(Inputs!$F$12/1000)^2/4)*((Inputs!$F$12/1000/4)^(2/3))*SQRT(N147))</f>
        <v/>
      </c>
      <c r="AL147" s="4">
        <f>IF(A147="","",(1/Inputs!$B$9)*(PI()*(Inputs!$F$13/1000)^2/4)*((Inputs!$F$13/1000/4)^(2/3))*SQRT(N147))</f>
        <v/>
      </c>
      <c r="AM147" s="4">
        <f>IF(A147="","",(1/Inputs!$B$9)*(PI()*(Inputs!$F$14/1000)^2/4)*((Inputs!$F$14/1000/4)^(2/3))*SQRT(N147))</f>
        <v/>
      </c>
    </row>
    <row r="148">
      <c r="A148" s="4" t="n"/>
      <c r="B148" s="4" t="n"/>
      <c r="C148" s="8" t="n"/>
      <c r="D148" s="8" t="n"/>
      <c r="E148" s="8">
        <f>SUMIFS(CB_Tributaires!$C:$C,CB_Tributaires!$B:$B,$A148)</f>
        <v/>
      </c>
      <c r="F148" s="8">
        <f>IF(D148="",E148,D148)</f>
        <v/>
      </c>
      <c r="G148" s="4" t="n"/>
      <c r="H148" s="8" t="n"/>
      <c r="I148" s="8">
        <f>IF(A148="","",Inputs!$B$13/((IF(H148="",Inputs!$B$18,H148)+Inputs!$B$14)^Inputs!$B$15))</f>
        <v/>
      </c>
      <c r="J148" s="8">
        <f>IF(A148="","",0.00278*IF(G148="",Inputs!$B$17,G148)*F148*I148)</f>
        <v/>
      </c>
      <c r="K148" s="8">
        <f>IF(A148="","",SUMIFS($L$4:$L$203,$B$4:$B$203,$A148))</f>
        <v/>
      </c>
      <c r="L148" s="8">
        <f>IF(A148="","",(J148+K148)*Inputs!$B$16)</f>
        <v/>
      </c>
      <c r="M148" s="8" t="n"/>
      <c r="N148" s="8">
        <f>IF(A148="","",IF(M148="",Inputs!$B$7,M148))</f>
        <v/>
      </c>
      <c r="O148" s="4">
        <f>IF(A148="","",IF(L148/Inputs!$B$10&lt;=AD148,Inputs!$F$5,IF(L148/Inputs!$B$10&gt;AM148,"OVERSIZE",INDEX(Inputs!$F$5:$F$14,MATCH(L148/Inputs!$B$10,AD148:AM148,1)+1))))</f>
        <v/>
      </c>
      <c r="P148" s="4" t="n"/>
      <c r="Q148" s="4">
        <f>IF(A148="","",IF(P148="",O148,P148))</f>
        <v/>
      </c>
      <c r="R148" s="8">
        <f>IF(OR(Q148="",Q148="OVERSIZE"),"",Q148/1000)</f>
        <v/>
      </c>
      <c r="S148" s="8">
        <f>IF(R148="","",(1/Inputs!$B$9)*(PI()*R148^2/4)*((R148/4)^(2/3))*SQRT(N148))</f>
        <v/>
      </c>
      <c r="T148" s="8">
        <f>IF(OR(S148="",L148=""),"",L148/(S148*Inputs!$B$10))</f>
        <v/>
      </c>
      <c r="U148" s="8">
        <f>IF(OR(R148="",L148=""),"",4*L148/(PI()*R148^2))</f>
        <v/>
      </c>
      <c r="V148" s="8" t="n"/>
      <c r="W148" s="8">
        <f>IF(A148="","",IF(A148=Inputs!$B$6,Inputs!$B$22,IF(B148="","",IFERROR(INDEX($X$4:$X$203,MATCH(B148,$A$4:$A$203,0))+IF(V148="",Inputs!$B$20,V148),""))))</f>
        <v/>
      </c>
      <c r="X148" s="8">
        <f>IF(OR(W148="",N148="",C148=""),"",W148+N148*C148)</f>
        <v/>
      </c>
      <c r="Y148" s="8" t="n"/>
      <c r="Z148" s="8" t="n"/>
      <c r="AA148" s="8">
        <f>IF(OR(Y148="",W148=""),"",Y148-W148)</f>
        <v/>
      </c>
      <c r="AB148" s="8">
        <f>IF(OR(Z148="",X148=""),"",Z148-X148)</f>
        <v/>
      </c>
      <c r="AC148" s="4">
        <f>IF(A148="","",IF(OR(T148&gt;1,U148&lt;Inputs!$B$11,U148&gt;Inputs!$B$12,AA148&lt;Inputs!$B$19,AB148&lt;Inputs!$B$19,N148&lt;Inputs!$B$7,N148&gt;Inputs!$B$8),"CHECK","OK"))</f>
        <v/>
      </c>
      <c r="AD148" s="4">
        <f>IF(A148="","",(1/Inputs!$B$9)*(PI()*(Inputs!$F$5/1000)^2/4)*((Inputs!$F$5/1000/4)^(2/3))*SQRT(N148))</f>
        <v/>
      </c>
      <c r="AE148" s="4">
        <f>IF(A148="","",(1/Inputs!$B$9)*(PI()*(Inputs!$F$6/1000)^2/4)*((Inputs!$F$6/1000/4)^(2/3))*SQRT(N148))</f>
        <v/>
      </c>
      <c r="AF148" s="4">
        <f>IF(A148="","",(1/Inputs!$B$9)*(PI()*(Inputs!$F$7/1000)^2/4)*((Inputs!$F$7/1000/4)^(2/3))*SQRT(N148))</f>
        <v/>
      </c>
      <c r="AG148" s="4">
        <f>IF(A148="","",(1/Inputs!$B$9)*(PI()*(Inputs!$F$8/1000)^2/4)*((Inputs!$F$8/1000/4)^(2/3))*SQRT(N148))</f>
        <v/>
      </c>
      <c r="AH148" s="4">
        <f>IF(A148="","",(1/Inputs!$B$9)*(PI()*(Inputs!$F$9/1000)^2/4)*((Inputs!$F$9/1000/4)^(2/3))*SQRT(N148))</f>
        <v/>
      </c>
      <c r="AI148" s="4">
        <f>IF(A148="","",(1/Inputs!$B$9)*(PI()*(Inputs!$F$10/1000)^2/4)*((Inputs!$F$10/1000/4)^(2/3))*SQRT(N148))</f>
        <v/>
      </c>
      <c r="AJ148" s="4">
        <f>IF(A148="","",(1/Inputs!$B$9)*(PI()*(Inputs!$F$11/1000)^2/4)*((Inputs!$F$11/1000/4)^(2/3))*SQRT(N148))</f>
        <v/>
      </c>
      <c r="AK148" s="4">
        <f>IF(A148="","",(1/Inputs!$B$9)*(PI()*(Inputs!$F$12/1000)^2/4)*((Inputs!$F$12/1000/4)^(2/3))*SQRT(N148))</f>
        <v/>
      </c>
      <c r="AL148" s="4">
        <f>IF(A148="","",(1/Inputs!$B$9)*(PI()*(Inputs!$F$13/1000)^2/4)*((Inputs!$F$13/1000/4)^(2/3))*SQRT(N148))</f>
        <v/>
      </c>
      <c r="AM148" s="4">
        <f>IF(A148="","",(1/Inputs!$B$9)*(PI()*(Inputs!$F$14/1000)^2/4)*((Inputs!$F$14/1000/4)^(2/3))*SQRT(N148))</f>
        <v/>
      </c>
    </row>
    <row r="149">
      <c r="A149" s="4" t="n"/>
      <c r="B149" s="4" t="n"/>
      <c r="C149" s="8" t="n"/>
      <c r="D149" s="8" t="n"/>
      <c r="E149" s="8">
        <f>SUMIFS(CB_Tributaires!$C:$C,CB_Tributaires!$B:$B,$A149)</f>
        <v/>
      </c>
      <c r="F149" s="8">
        <f>IF(D149="",E149,D149)</f>
        <v/>
      </c>
      <c r="G149" s="4" t="n"/>
      <c r="H149" s="8" t="n"/>
      <c r="I149" s="8">
        <f>IF(A149="","",Inputs!$B$13/((IF(H149="",Inputs!$B$18,H149)+Inputs!$B$14)^Inputs!$B$15))</f>
        <v/>
      </c>
      <c r="J149" s="8">
        <f>IF(A149="","",0.00278*IF(G149="",Inputs!$B$17,G149)*F149*I149)</f>
        <v/>
      </c>
      <c r="K149" s="8">
        <f>IF(A149="","",SUMIFS($L$4:$L$203,$B$4:$B$203,$A149))</f>
        <v/>
      </c>
      <c r="L149" s="8">
        <f>IF(A149="","",(J149+K149)*Inputs!$B$16)</f>
        <v/>
      </c>
      <c r="M149" s="8" t="n"/>
      <c r="N149" s="8">
        <f>IF(A149="","",IF(M149="",Inputs!$B$7,M149))</f>
        <v/>
      </c>
      <c r="O149" s="4">
        <f>IF(A149="","",IF(L149/Inputs!$B$10&lt;=AD149,Inputs!$F$5,IF(L149/Inputs!$B$10&gt;AM149,"OVERSIZE",INDEX(Inputs!$F$5:$F$14,MATCH(L149/Inputs!$B$10,AD149:AM149,1)+1))))</f>
        <v/>
      </c>
      <c r="P149" s="4" t="n"/>
      <c r="Q149" s="4">
        <f>IF(A149="","",IF(P149="",O149,P149))</f>
        <v/>
      </c>
      <c r="R149" s="8">
        <f>IF(OR(Q149="",Q149="OVERSIZE"),"",Q149/1000)</f>
        <v/>
      </c>
      <c r="S149" s="8">
        <f>IF(R149="","",(1/Inputs!$B$9)*(PI()*R149^2/4)*((R149/4)^(2/3))*SQRT(N149))</f>
        <v/>
      </c>
      <c r="T149" s="8">
        <f>IF(OR(S149="",L149=""),"",L149/(S149*Inputs!$B$10))</f>
        <v/>
      </c>
      <c r="U149" s="8">
        <f>IF(OR(R149="",L149=""),"",4*L149/(PI()*R149^2))</f>
        <v/>
      </c>
      <c r="V149" s="8" t="n"/>
      <c r="W149" s="8">
        <f>IF(A149="","",IF(A149=Inputs!$B$6,Inputs!$B$22,IF(B149="","",IFERROR(INDEX($X$4:$X$203,MATCH(B149,$A$4:$A$203,0))+IF(V149="",Inputs!$B$20,V149),""))))</f>
        <v/>
      </c>
      <c r="X149" s="8">
        <f>IF(OR(W149="",N149="",C149=""),"",W149+N149*C149)</f>
        <v/>
      </c>
      <c r="Y149" s="8" t="n"/>
      <c r="Z149" s="8" t="n"/>
      <c r="AA149" s="8">
        <f>IF(OR(Y149="",W149=""),"",Y149-W149)</f>
        <v/>
      </c>
      <c r="AB149" s="8">
        <f>IF(OR(Z149="",X149=""),"",Z149-X149)</f>
        <v/>
      </c>
      <c r="AC149" s="4">
        <f>IF(A149="","",IF(OR(T149&gt;1,U149&lt;Inputs!$B$11,U149&gt;Inputs!$B$12,AA149&lt;Inputs!$B$19,AB149&lt;Inputs!$B$19,N149&lt;Inputs!$B$7,N149&gt;Inputs!$B$8),"CHECK","OK"))</f>
        <v/>
      </c>
      <c r="AD149" s="4">
        <f>IF(A149="","",(1/Inputs!$B$9)*(PI()*(Inputs!$F$5/1000)^2/4)*((Inputs!$F$5/1000/4)^(2/3))*SQRT(N149))</f>
        <v/>
      </c>
      <c r="AE149" s="4">
        <f>IF(A149="","",(1/Inputs!$B$9)*(PI()*(Inputs!$F$6/1000)^2/4)*((Inputs!$F$6/1000/4)^(2/3))*SQRT(N149))</f>
        <v/>
      </c>
      <c r="AF149" s="4">
        <f>IF(A149="","",(1/Inputs!$B$9)*(PI()*(Inputs!$F$7/1000)^2/4)*((Inputs!$F$7/1000/4)^(2/3))*SQRT(N149))</f>
        <v/>
      </c>
      <c r="AG149" s="4">
        <f>IF(A149="","",(1/Inputs!$B$9)*(PI()*(Inputs!$F$8/1000)^2/4)*((Inputs!$F$8/1000/4)^(2/3))*SQRT(N149))</f>
        <v/>
      </c>
      <c r="AH149" s="4">
        <f>IF(A149="","",(1/Inputs!$B$9)*(PI()*(Inputs!$F$9/1000)^2/4)*((Inputs!$F$9/1000/4)^(2/3))*SQRT(N149))</f>
        <v/>
      </c>
      <c r="AI149" s="4">
        <f>IF(A149="","",(1/Inputs!$B$9)*(PI()*(Inputs!$F$10/1000)^2/4)*((Inputs!$F$10/1000/4)^(2/3))*SQRT(N149))</f>
        <v/>
      </c>
      <c r="AJ149" s="4">
        <f>IF(A149="","",(1/Inputs!$B$9)*(PI()*(Inputs!$F$11/1000)^2/4)*((Inputs!$F$11/1000/4)^(2/3))*SQRT(N149))</f>
        <v/>
      </c>
      <c r="AK149" s="4">
        <f>IF(A149="","",(1/Inputs!$B$9)*(PI()*(Inputs!$F$12/1000)^2/4)*((Inputs!$F$12/1000/4)^(2/3))*SQRT(N149))</f>
        <v/>
      </c>
      <c r="AL149" s="4">
        <f>IF(A149="","",(1/Inputs!$B$9)*(PI()*(Inputs!$F$13/1000)^2/4)*((Inputs!$F$13/1000/4)^(2/3))*SQRT(N149))</f>
        <v/>
      </c>
      <c r="AM149" s="4">
        <f>IF(A149="","",(1/Inputs!$B$9)*(PI()*(Inputs!$F$14/1000)^2/4)*((Inputs!$F$14/1000/4)^(2/3))*SQRT(N149))</f>
        <v/>
      </c>
    </row>
    <row r="150">
      <c r="A150" s="4" t="n"/>
      <c r="B150" s="4" t="n"/>
      <c r="C150" s="8" t="n"/>
      <c r="D150" s="8" t="n"/>
      <c r="E150" s="8">
        <f>SUMIFS(CB_Tributaires!$C:$C,CB_Tributaires!$B:$B,$A150)</f>
        <v/>
      </c>
      <c r="F150" s="8">
        <f>IF(D150="",E150,D150)</f>
        <v/>
      </c>
      <c r="G150" s="4" t="n"/>
      <c r="H150" s="8" t="n"/>
      <c r="I150" s="8">
        <f>IF(A150="","",Inputs!$B$13/((IF(H150="",Inputs!$B$18,H150)+Inputs!$B$14)^Inputs!$B$15))</f>
        <v/>
      </c>
      <c r="J150" s="8">
        <f>IF(A150="","",0.00278*IF(G150="",Inputs!$B$17,G150)*F150*I150)</f>
        <v/>
      </c>
      <c r="K150" s="8">
        <f>IF(A150="","",SUMIFS($L$4:$L$203,$B$4:$B$203,$A150))</f>
        <v/>
      </c>
      <c r="L150" s="8">
        <f>IF(A150="","",(J150+K150)*Inputs!$B$16)</f>
        <v/>
      </c>
      <c r="M150" s="8" t="n"/>
      <c r="N150" s="8">
        <f>IF(A150="","",IF(M150="",Inputs!$B$7,M150))</f>
        <v/>
      </c>
      <c r="O150" s="4">
        <f>IF(A150="","",IF(L150/Inputs!$B$10&lt;=AD150,Inputs!$F$5,IF(L150/Inputs!$B$10&gt;AM150,"OVERSIZE",INDEX(Inputs!$F$5:$F$14,MATCH(L150/Inputs!$B$10,AD150:AM150,1)+1))))</f>
        <v/>
      </c>
      <c r="P150" s="4" t="n"/>
      <c r="Q150" s="4">
        <f>IF(A150="","",IF(P150="",O150,P150))</f>
        <v/>
      </c>
      <c r="R150" s="8">
        <f>IF(OR(Q150="",Q150="OVERSIZE"),"",Q150/1000)</f>
        <v/>
      </c>
      <c r="S150" s="8">
        <f>IF(R150="","",(1/Inputs!$B$9)*(PI()*R150^2/4)*((R150/4)^(2/3))*SQRT(N150))</f>
        <v/>
      </c>
      <c r="T150" s="8">
        <f>IF(OR(S150="",L150=""),"",L150/(S150*Inputs!$B$10))</f>
        <v/>
      </c>
      <c r="U150" s="8">
        <f>IF(OR(R150="",L150=""),"",4*L150/(PI()*R150^2))</f>
        <v/>
      </c>
      <c r="V150" s="8" t="n"/>
      <c r="W150" s="8">
        <f>IF(A150="","",IF(A150=Inputs!$B$6,Inputs!$B$22,IF(B150="","",IFERROR(INDEX($X$4:$X$203,MATCH(B150,$A$4:$A$203,0))+IF(V150="",Inputs!$B$20,V150),""))))</f>
        <v/>
      </c>
      <c r="X150" s="8">
        <f>IF(OR(W150="",N150="",C150=""),"",W150+N150*C150)</f>
        <v/>
      </c>
      <c r="Y150" s="8" t="n"/>
      <c r="Z150" s="8" t="n"/>
      <c r="AA150" s="8">
        <f>IF(OR(Y150="",W150=""),"",Y150-W150)</f>
        <v/>
      </c>
      <c r="AB150" s="8">
        <f>IF(OR(Z150="",X150=""),"",Z150-X150)</f>
        <v/>
      </c>
      <c r="AC150" s="4">
        <f>IF(A150="","",IF(OR(T150&gt;1,U150&lt;Inputs!$B$11,U150&gt;Inputs!$B$12,AA150&lt;Inputs!$B$19,AB150&lt;Inputs!$B$19,N150&lt;Inputs!$B$7,N150&gt;Inputs!$B$8),"CHECK","OK"))</f>
        <v/>
      </c>
      <c r="AD150" s="4">
        <f>IF(A150="","",(1/Inputs!$B$9)*(PI()*(Inputs!$F$5/1000)^2/4)*((Inputs!$F$5/1000/4)^(2/3))*SQRT(N150))</f>
        <v/>
      </c>
      <c r="AE150" s="4">
        <f>IF(A150="","",(1/Inputs!$B$9)*(PI()*(Inputs!$F$6/1000)^2/4)*((Inputs!$F$6/1000/4)^(2/3))*SQRT(N150))</f>
        <v/>
      </c>
      <c r="AF150" s="4">
        <f>IF(A150="","",(1/Inputs!$B$9)*(PI()*(Inputs!$F$7/1000)^2/4)*((Inputs!$F$7/1000/4)^(2/3))*SQRT(N150))</f>
        <v/>
      </c>
      <c r="AG150" s="4">
        <f>IF(A150="","",(1/Inputs!$B$9)*(PI()*(Inputs!$F$8/1000)^2/4)*((Inputs!$F$8/1000/4)^(2/3))*SQRT(N150))</f>
        <v/>
      </c>
      <c r="AH150" s="4">
        <f>IF(A150="","",(1/Inputs!$B$9)*(PI()*(Inputs!$F$9/1000)^2/4)*((Inputs!$F$9/1000/4)^(2/3))*SQRT(N150))</f>
        <v/>
      </c>
      <c r="AI150" s="4">
        <f>IF(A150="","",(1/Inputs!$B$9)*(PI()*(Inputs!$F$10/1000)^2/4)*((Inputs!$F$10/1000/4)^(2/3))*SQRT(N150))</f>
        <v/>
      </c>
      <c r="AJ150" s="4">
        <f>IF(A150="","",(1/Inputs!$B$9)*(PI()*(Inputs!$F$11/1000)^2/4)*((Inputs!$F$11/1000/4)^(2/3))*SQRT(N150))</f>
        <v/>
      </c>
      <c r="AK150" s="4">
        <f>IF(A150="","",(1/Inputs!$B$9)*(PI()*(Inputs!$F$12/1000)^2/4)*((Inputs!$F$12/1000/4)^(2/3))*SQRT(N150))</f>
        <v/>
      </c>
      <c r="AL150" s="4">
        <f>IF(A150="","",(1/Inputs!$B$9)*(PI()*(Inputs!$F$13/1000)^2/4)*((Inputs!$F$13/1000/4)^(2/3))*SQRT(N150))</f>
        <v/>
      </c>
      <c r="AM150" s="4">
        <f>IF(A150="","",(1/Inputs!$B$9)*(PI()*(Inputs!$F$14/1000)^2/4)*((Inputs!$F$14/1000/4)^(2/3))*SQRT(N150))</f>
        <v/>
      </c>
    </row>
    <row r="151">
      <c r="A151" s="4" t="n"/>
      <c r="B151" s="4" t="n"/>
      <c r="C151" s="8" t="n"/>
      <c r="D151" s="8" t="n"/>
      <c r="E151" s="8">
        <f>SUMIFS(CB_Tributaires!$C:$C,CB_Tributaires!$B:$B,$A151)</f>
        <v/>
      </c>
      <c r="F151" s="8">
        <f>IF(D151="",E151,D151)</f>
        <v/>
      </c>
      <c r="G151" s="4" t="n"/>
      <c r="H151" s="8" t="n"/>
      <c r="I151" s="8">
        <f>IF(A151="","",Inputs!$B$13/((IF(H151="",Inputs!$B$18,H151)+Inputs!$B$14)^Inputs!$B$15))</f>
        <v/>
      </c>
      <c r="J151" s="8">
        <f>IF(A151="","",0.00278*IF(G151="",Inputs!$B$17,G151)*F151*I151)</f>
        <v/>
      </c>
      <c r="K151" s="8">
        <f>IF(A151="","",SUMIFS($L$4:$L$203,$B$4:$B$203,$A151))</f>
        <v/>
      </c>
      <c r="L151" s="8">
        <f>IF(A151="","",(J151+K151)*Inputs!$B$16)</f>
        <v/>
      </c>
      <c r="M151" s="8" t="n"/>
      <c r="N151" s="8">
        <f>IF(A151="","",IF(M151="",Inputs!$B$7,M151))</f>
        <v/>
      </c>
      <c r="O151" s="4">
        <f>IF(A151="","",IF(L151/Inputs!$B$10&lt;=AD151,Inputs!$F$5,IF(L151/Inputs!$B$10&gt;AM151,"OVERSIZE",INDEX(Inputs!$F$5:$F$14,MATCH(L151/Inputs!$B$10,AD151:AM151,1)+1))))</f>
        <v/>
      </c>
      <c r="P151" s="4" t="n"/>
      <c r="Q151" s="4">
        <f>IF(A151="","",IF(P151="",O151,P151))</f>
        <v/>
      </c>
      <c r="R151" s="8">
        <f>IF(OR(Q151="",Q151="OVERSIZE"),"",Q151/1000)</f>
        <v/>
      </c>
      <c r="S151" s="8">
        <f>IF(R151="","",(1/Inputs!$B$9)*(PI()*R151^2/4)*((R151/4)^(2/3))*SQRT(N151))</f>
        <v/>
      </c>
      <c r="T151" s="8">
        <f>IF(OR(S151="",L151=""),"",L151/(S151*Inputs!$B$10))</f>
        <v/>
      </c>
      <c r="U151" s="8">
        <f>IF(OR(R151="",L151=""),"",4*L151/(PI()*R151^2))</f>
        <v/>
      </c>
      <c r="V151" s="8" t="n"/>
      <c r="W151" s="8">
        <f>IF(A151="","",IF(A151=Inputs!$B$6,Inputs!$B$22,IF(B151="","",IFERROR(INDEX($X$4:$X$203,MATCH(B151,$A$4:$A$203,0))+IF(V151="",Inputs!$B$20,V151),""))))</f>
        <v/>
      </c>
      <c r="X151" s="8">
        <f>IF(OR(W151="",N151="",C151=""),"",W151+N151*C151)</f>
        <v/>
      </c>
      <c r="Y151" s="8" t="n"/>
      <c r="Z151" s="8" t="n"/>
      <c r="AA151" s="8">
        <f>IF(OR(Y151="",W151=""),"",Y151-W151)</f>
        <v/>
      </c>
      <c r="AB151" s="8">
        <f>IF(OR(Z151="",X151=""),"",Z151-X151)</f>
        <v/>
      </c>
      <c r="AC151" s="4">
        <f>IF(A151="","",IF(OR(T151&gt;1,U151&lt;Inputs!$B$11,U151&gt;Inputs!$B$12,AA151&lt;Inputs!$B$19,AB151&lt;Inputs!$B$19,N151&lt;Inputs!$B$7,N151&gt;Inputs!$B$8),"CHECK","OK"))</f>
        <v/>
      </c>
      <c r="AD151" s="4">
        <f>IF(A151="","",(1/Inputs!$B$9)*(PI()*(Inputs!$F$5/1000)^2/4)*((Inputs!$F$5/1000/4)^(2/3))*SQRT(N151))</f>
        <v/>
      </c>
      <c r="AE151" s="4">
        <f>IF(A151="","",(1/Inputs!$B$9)*(PI()*(Inputs!$F$6/1000)^2/4)*((Inputs!$F$6/1000/4)^(2/3))*SQRT(N151))</f>
        <v/>
      </c>
      <c r="AF151" s="4">
        <f>IF(A151="","",(1/Inputs!$B$9)*(PI()*(Inputs!$F$7/1000)^2/4)*((Inputs!$F$7/1000/4)^(2/3))*SQRT(N151))</f>
        <v/>
      </c>
      <c r="AG151" s="4">
        <f>IF(A151="","",(1/Inputs!$B$9)*(PI()*(Inputs!$F$8/1000)^2/4)*((Inputs!$F$8/1000/4)^(2/3))*SQRT(N151))</f>
        <v/>
      </c>
      <c r="AH151" s="4">
        <f>IF(A151="","",(1/Inputs!$B$9)*(PI()*(Inputs!$F$9/1000)^2/4)*((Inputs!$F$9/1000/4)^(2/3))*SQRT(N151))</f>
        <v/>
      </c>
      <c r="AI151" s="4">
        <f>IF(A151="","",(1/Inputs!$B$9)*(PI()*(Inputs!$F$10/1000)^2/4)*((Inputs!$F$10/1000/4)^(2/3))*SQRT(N151))</f>
        <v/>
      </c>
      <c r="AJ151" s="4">
        <f>IF(A151="","",(1/Inputs!$B$9)*(PI()*(Inputs!$F$11/1000)^2/4)*((Inputs!$F$11/1000/4)^(2/3))*SQRT(N151))</f>
        <v/>
      </c>
      <c r="AK151" s="4">
        <f>IF(A151="","",(1/Inputs!$B$9)*(PI()*(Inputs!$F$12/1000)^2/4)*((Inputs!$F$12/1000/4)^(2/3))*SQRT(N151))</f>
        <v/>
      </c>
      <c r="AL151" s="4">
        <f>IF(A151="","",(1/Inputs!$B$9)*(PI()*(Inputs!$F$13/1000)^2/4)*((Inputs!$F$13/1000/4)^(2/3))*SQRT(N151))</f>
        <v/>
      </c>
      <c r="AM151" s="4">
        <f>IF(A151="","",(1/Inputs!$B$9)*(PI()*(Inputs!$F$14/1000)^2/4)*((Inputs!$F$14/1000/4)^(2/3))*SQRT(N151))</f>
        <v/>
      </c>
    </row>
    <row r="152">
      <c r="A152" s="4" t="n"/>
      <c r="B152" s="4" t="n"/>
      <c r="C152" s="8" t="n"/>
      <c r="D152" s="8" t="n"/>
      <c r="E152" s="8">
        <f>SUMIFS(CB_Tributaires!$C:$C,CB_Tributaires!$B:$B,$A152)</f>
        <v/>
      </c>
      <c r="F152" s="8">
        <f>IF(D152="",E152,D152)</f>
        <v/>
      </c>
      <c r="G152" s="4" t="n"/>
      <c r="H152" s="8" t="n"/>
      <c r="I152" s="8">
        <f>IF(A152="","",Inputs!$B$13/((IF(H152="",Inputs!$B$18,H152)+Inputs!$B$14)^Inputs!$B$15))</f>
        <v/>
      </c>
      <c r="J152" s="8">
        <f>IF(A152="","",0.00278*IF(G152="",Inputs!$B$17,G152)*F152*I152)</f>
        <v/>
      </c>
      <c r="K152" s="8">
        <f>IF(A152="","",SUMIFS($L$4:$L$203,$B$4:$B$203,$A152))</f>
        <v/>
      </c>
      <c r="L152" s="8">
        <f>IF(A152="","",(J152+K152)*Inputs!$B$16)</f>
        <v/>
      </c>
      <c r="M152" s="8" t="n"/>
      <c r="N152" s="8">
        <f>IF(A152="","",IF(M152="",Inputs!$B$7,M152))</f>
        <v/>
      </c>
      <c r="O152" s="4">
        <f>IF(A152="","",IF(L152/Inputs!$B$10&lt;=AD152,Inputs!$F$5,IF(L152/Inputs!$B$10&gt;AM152,"OVERSIZE",INDEX(Inputs!$F$5:$F$14,MATCH(L152/Inputs!$B$10,AD152:AM152,1)+1))))</f>
        <v/>
      </c>
      <c r="P152" s="4" t="n"/>
      <c r="Q152" s="4">
        <f>IF(A152="","",IF(P152="",O152,P152))</f>
        <v/>
      </c>
      <c r="R152" s="8">
        <f>IF(OR(Q152="",Q152="OVERSIZE"),"",Q152/1000)</f>
        <v/>
      </c>
      <c r="S152" s="8">
        <f>IF(R152="","",(1/Inputs!$B$9)*(PI()*R152^2/4)*((R152/4)^(2/3))*SQRT(N152))</f>
        <v/>
      </c>
      <c r="T152" s="8">
        <f>IF(OR(S152="",L152=""),"",L152/(S152*Inputs!$B$10))</f>
        <v/>
      </c>
      <c r="U152" s="8">
        <f>IF(OR(R152="",L152=""),"",4*L152/(PI()*R152^2))</f>
        <v/>
      </c>
      <c r="V152" s="8" t="n"/>
      <c r="W152" s="8">
        <f>IF(A152="","",IF(A152=Inputs!$B$6,Inputs!$B$22,IF(B152="","",IFERROR(INDEX($X$4:$X$203,MATCH(B152,$A$4:$A$203,0))+IF(V152="",Inputs!$B$20,V152),""))))</f>
        <v/>
      </c>
      <c r="X152" s="8">
        <f>IF(OR(W152="",N152="",C152=""),"",W152+N152*C152)</f>
        <v/>
      </c>
      <c r="Y152" s="8" t="n"/>
      <c r="Z152" s="8" t="n"/>
      <c r="AA152" s="8">
        <f>IF(OR(Y152="",W152=""),"",Y152-W152)</f>
        <v/>
      </c>
      <c r="AB152" s="8">
        <f>IF(OR(Z152="",X152=""),"",Z152-X152)</f>
        <v/>
      </c>
      <c r="AC152" s="4">
        <f>IF(A152="","",IF(OR(T152&gt;1,U152&lt;Inputs!$B$11,U152&gt;Inputs!$B$12,AA152&lt;Inputs!$B$19,AB152&lt;Inputs!$B$19,N152&lt;Inputs!$B$7,N152&gt;Inputs!$B$8),"CHECK","OK"))</f>
        <v/>
      </c>
      <c r="AD152" s="4">
        <f>IF(A152="","",(1/Inputs!$B$9)*(PI()*(Inputs!$F$5/1000)^2/4)*((Inputs!$F$5/1000/4)^(2/3))*SQRT(N152))</f>
        <v/>
      </c>
      <c r="AE152" s="4">
        <f>IF(A152="","",(1/Inputs!$B$9)*(PI()*(Inputs!$F$6/1000)^2/4)*((Inputs!$F$6/1000/4)^(2/3))*SQRT(N152))</f>
        <v/>
      </c>
      <c r="AF152" s="4">
        <f>IF(A152="","",(1/Inputs!$B$9)*(PI()*(Inputs!$F$7/1000)^2/4)*((Inputs!$F$7/1000/4)^(2/3))*SQRT(N152))</f>
        <v/>
      </c>
      <c r="AG152" s="4">
        <f>IF(A152="","",(1/Inputs!$B$9)*(PI()*(Inputs!$F$8/1000)^2/4)*((Inputs!$F$8/1000/4)^(2/3))*SQRT(N152))</f>
        <v/>
      </c>
      <c r="AH152" s="4">
        <f>IF(A152="","",(1/Inputs!$B$9)*(PI()*(Inputs!$F$9/1000)^2/4)*((Inputs!$F$9/1000/4)^(2/3))*SQRT(N152))</f>
        <v/>
      </c>
      <c r="AI152" s="4">
        <f>IF(A152="","",(1/Inputs!$B$9)*(PI()*(Inputs!$F$10/1000)^2/4)*((Inputs!$F$10/1000/4)^(2/3))*SQRT(N152))</f>
        <v/>
      </c>
      <c r="AJ152" s="4">
        <f>IF(A152="","",(1/Inputs!$B$9)*(PI()*(Inputs!$F$11/1000)^2/4)*((Inputs!$F$11/1000/4)^(2/3))*SQRT(N152))</f>
        <v/>
      </c>
      <c r="AK152" s="4">
        <f>IF(A152="","",(1/Inputs!$B$9)*(PI()*(Inputs!$F$12/1000)^2/4)*((Inputs!$F$12/1000/4)^(2/3))*SQRT(N152))</f>
        <v/>
      </c>
      <c r="AL152" s="4">
        <f>IF(A152="","",(1/Inputs!$B$9)*(PI()*(Inputs!$F$13/1000)^2/4)*((Inputs!$F$13/1000/4)^(2/3))*SQRT(N152))</f>
        <v/>
      </c>
      <c r="AM152" s="4">
        <f>IF(A152="","",(1/Inputs!$B$9)*(PI()*(Inputs!$F$14/1000)^2/4)*((Inputs!$F$14/1000/4)^(2/3))*SQRT(N152))</f>
        <v/>
      </c>
    </row>
    <row r="153">
      <c r="A153" s="4" t="n"/>
      <c r="B153" s="4" t="n"/>
      <c r="C153" s="8" t="n"/>
      <c r="D153" s="8" t="n"/>
      <c r="E153" s="8">
        <f>SUMIFS(CB_Tributaires!$C:$C,CB_Tributaires!$B:$B,$A153)</f>
        <v/>
      </c>
      <c r="F153" s="8">
        <f>IF(D153="",E153,D153)</f>
        <v/>
      </c>
      <c r="G153" s="4" t="n"/>
      <c r="H153" s="8" t="n"/>
      <c r="I153" s="8">
        <f>IF(A153="","",Inputs!$B$13/((IF(H153="",Inputs!$B$18,H153)+Inputs!$B$14)^Inputs!$B$15))</f>
        <v/>
      </c>
      <c r="J153" s="8">
        <f>IF(A153="","",0.00278*IF(G153="",Inputs!$B$17,G153)*F153*I153)</f>
        <v/>
      </c>
      <c r="K153" s="8">
        <f>IF(A153="","",SUMIFS($L$4:$L$203,$B$4:$B$203,$A153))</f>
        <v/>
      </c>
      <c r="L153" s="8">
        <f>IF(A153="","",(J153+K153)*Inputs!$B$16)</f>
        <v/>
      </c>
      <c r="M153" s="8" t="n"/>
      <c r="N153" s="8">
        <f>IF(A153="","",IF(M153="",Inputs!$B$7,M153))</f>
        <v/>
      </c>
      <c r="O153" s="4">
        <f>IF(A153="","",IF(L153/Inputs!$B$10&lt;=AD153,Inputs!$F$5,IF(L153/Inputs!$B$10&gt;AM153,"OVERSIZE",INDEX(Inputs!$F$5:$F$14,MATCH(L153/Inputs!$B$10,AD153:AM153,1)+1))))</f>
        <v/>
      </c>
      <c r="P153" s="4" t="n"/>
      <c r="Q153" s="4">
        <f>IF(A153="","",IF(P153="",O153,P153))</f>
        <v/>
      </c>
      <c r="R153" s="8">
        <f>IF(OR(Q153="",Q153="OVERSIZE"),"",Q153/1000)</f>
        <v/>
      </c>
      <c r="S153" s="8">
        <f>IF(R153="","",(1/Inputs!$B$9)*(PI()*R153^2/4)*((R153/4)^(2/3))*SQRT(N153))</f>
        <v/>
      </c>
      <c r="T153" s="8">
        <f>IF(OR(S153="",L153=""),"",L153/(S153*Inputs!$B$10))</f>
        <v/>
      </c>
      <c r="U153" s="8">
        <f>IF(OR(R153="",L153=""),"",4*L153/(PI()*R153^2))</f>
        <v/>
      </c>
      <c r="V153" s="8" t="n"/>
      <c r="W153" s="8">
        <f>IF(A153="","",IF(A153=Inputs!$B$6,Inputs!$B$22,IF(B153="","",IFERROR(INDEX($X$4:$X$203,MATCH(B153,$A$4:$A$203,0))+IF(V153="",Inputs!$B$20,V153),""))))</f>
        <v/>
      </c>
      <c r="X153" s="8">
        <f>IF(OR(W153="",N153="",C153=""),"",W153+N153*C153)</f>
        <v/>
      </c>
      <c r="Y153" s="8" t="n"/>
      <c r="Z153" s="8" t="n"/>
      <c r="AA153" s="8">
        <f>IF(OR(Y153="",W153=""),"",Y153-W153)</f>
        <v/>
      </c>
      <c r="AB153" s="8">
        <f>IF(OR(Z153="",X153=""),"",Z153-X153)</f>
        <v/>
      </c>
      <c r="AC153" s="4">
        <f>IF(A153="","",IF(OR(T153&gt;1,U153&lt;Inputs!$B$11,U153&gt;Inputs!$B$12,AA153&lt;Inputs!$B$19,AB153&lt;Inputs!$B$19,N153&lt;Inputs!$B$7,N153&gt;Inputs!$B$8),"CHECK","OK"))</f>
        <v/>
      </c>
      <c r="AD153" s="4">
        <f>IF(A153="","",(1/Inputs!$B$9)*(PI()*(Inputs!$F$5/1000)^2/4)*((Inputs!$F$5/1000/4)^(2/3))*SQRT(N153))</f>
        <v/>
      </c>
      <c r="AE153" s="4">
        <f>IF(A153="","",(1/Inputs!$B$9)*(PI()*(Inputs!$F$6/1000)^2/4)*((Inputs!$F$6/1000/4)^(2/3))*SQRT(N153))</f>
        <v/>
      </c>
      <c r="AF153" s="4">
        <f>IF(A153="","",(1/Inputs!$B$9)*(PI()*(Inputs!$F$7/1000)^2/4)*((Inputs!$F$7/1000/4)^(2/3))*SQRT(N153))</f>
        <v/>
      </c>
      <c r="AG153" s="4">
        <f>IF(A153="","",(1/Inputs!$B$9)*(PI()*(Inputs!$F$8/1000)^2/4)*((Inputs!$F$8/1000/4)^(2/3))*SQRT(N153))</f>
        <v/>
      </c>
      <c r="AH153" s="4">
        <f>IF(A153="","",(1/Inputs!$B$9)*(PI()*(Inputs!$F$9/1000)^2/4)*((Inputs!$F$9/1000/4)^(2/3))*SQRT(N153))</f>
        <v/>
      </c>
      <c r="AI153" s="4">
        <f>IF(A153="","",(1/Inputs!$B$9)*(PI()*(Inputs!$F$10/1000)^2/4)*((Inputs!$F$10/1000/4)^(2/3))*SQRT(N153))</f>
        <v/>
      </c>
      <c r="AJ153" s="4">
        <f>IF(A153="","",(1/Inputs!$B$9)*(PI()*(Inputs!$F$11/1000)^2/4)*((Inputs!$F$11/1000/4)^(2/3))*SQRT(N153))</f>
        <v/>
      </c>
      <c r="AK153" s="4">
        <f>IF(A153="","",(1/Inputs!$B$9)*(PI()*(Inputs!$F$12/1000)^2/4)*((Inputs!$F$12/1000/4)^(2/3))*SQRT(N153))</f>
        <v/>
      </c>
      <c r="AL153" s="4">
        <f>IF(A153="","",(1/Inputs!$B$9)*(PI()*(Inputs!$F$13/1000)^2/4)*((Inputs!$F$13/1000/4)^(2/3))*SQRT(N153))</f>
        <v/>
      </c>
      <c r="AM153" s="4">
        <f>IF(A153="","",(1/Inputs!$B$9)*(PI()*(Inputs!$F$14/1000)^2/4)*((Inputs!$F$14/1000/4)^(2/3))*SQRT(N153))</f>
        <v/>
      </c>
    </row>
    <row r="154">
      <c r="A154" s="4" t="n"/>
      <c r="B154" s="4" t="n"/>
      <c r="C154" s="8" t="n"/>
      <c r="D154" s="8" t="n"/>
      <c r="E154" s="8">
        <f>SUMIFS(CB_Tributaires!$C:$C,CB_Tributaires!$B:$B,$A154)</f>
        <v/>
      </c>
      <c r="F154" s="8">
        <f>IF(D154="",E154,D154)</f>
        <v/>
      </c>
      <c r="G154" s="4" t="n"/>
      <c r="H154" s="8" t="n"/>
      <c r="I154" s="8">
        <f>IF(A154="","",Inputs!$B$13/((IF(H154="",Inputs!$B$18,H154)+Inputs!$B$14)^Inputs!$B$15))</f>
        <v/>
      </c>
      <c r="J154" s="8">
        <f>IF(A154="","",0.00278*IF(G154="",Inputs!$B$17,G154)*F154*I154)</f>
        <v/>
      </c>
      <c r="K154" s="8">
        <f>IF(A154="","",SUMIFS($L$4:$L$203,$B$4:$B$203,$A154))</f>
        <v/>
      </c>
      <c r="L154" s="8">
        <f>IF(A154="","",(J154+K154)*Inputs!$B$16)</f>
        <v/>
      </c>
      <c r="M154" s="8" t="n"/>
      <c r="N154" s="8">
        <f>IF(A154="","",IF(M154="",Inputs!$B$7,M154))</f>
        <v/>
      </c>
      <c r="O154" s="4">
        <f>IF(A154="","",IF(L154/Inputs!$B$10&lt;=AD154,Inputs!$F$5,IF(L154/Inputs!$B$10&gt;AM154,"OVERSIZE",INDEX(Inputs!$F$5:$F$14,MATCH(L154/Inputs!$B$10,AD154:AM154,1)+1))))</f>
        <v/>
      </c>
      <c r="P154" s="4" t="n"/>
      <c r="Q154" s="4">
        <f>IF(A154="","",IF(P154="",O154,P154))</f>
        <v/>
      </c>
      <c r="R154" s="8">
        <f>IF(OR(Q154="",Q154="OVERSIZE"),"",Q154/1000)</f>
        <v/>
      </c>
      <c r="S154" s="8">
        <f>IF(R154="","",(1/Inputs!$B$9)*(PI()*R154^2/4)*((R154/4)^(2/3))*SQRT(N154))</f>
        <v/>
      </c>
      <c r="T154" s="8">
        <f>IF(OR(S154="",L154=""),"",L154/(S154*Inputs!$B$10))</f>
        <v/>
      </c>
      <c r="U154" s="8">
        <f>IF(OR(R154="",L154=""),"",4*L154/(PI()*R154^2))</f>
        <v/>
      </c>
      <c r="V154" s="8" t="n"/>
      <c r="W154" s="8">
        <f>IF(A154="","",IF(A154=Inputs!$B$6,Inputs!$B$22,IF(B154="","",IFERROR(INDEX($X$4:$X$203,MATCH(B154,$A$4:$A$203,0))+IF(V154="",Inputs!$B$20,V154),""))))</f>
        <v/>
      </c>
      <c r="X154" s="8">
        <f>IF(OR(W154="",N154="",C154=""),"",W154+N154*C154)</f>
        <v/>
      </c>
      <c r="Y154" s="8" t="n"/>
      <c r="Z154" s="8" t="n"/>
      <c r="AA154" s="8">
        <f>IF(OR(Y154="",W154=""),"",Y154-W154)</f>
        <v/>
      </c>
      <c r="AB154" s="8">
        <f>IF(OR(Z154="",X154=""),"",Z154-X154)</f>
        <v/>
      </c>
      <c r="AC154" s="4">
        <f>IF(A154="","",IF(OR(T154&gt;1,U154&lt;Inputs!$B$11,U154&gt;Inputs!$B$12,AA154&lt;Inputs!$B$19,AB154&lt;Inputs!$B$19,N154&lt;Inputs!$B$7,N154&gt;Inputs!$B$8),"CHECK","OK"))</f>
        <v/>
      </c>
      <c r="AD154" s="4">
        <f>IF(A154="","",(1/Inputs!$B$9)*(PI()*(Inputs!$F$5/1000)^2/4)*((Inputs!$F$5/1000/4)^(2/3))*SQRT(N154))</f>
        <v/>
      </c>
      <c r="AE154" s="4">
        <f>IF(A154="","",(1/Inputs!$B$9)*(PI()*(Inputs!$F$6/1000)^2/4)*((Inputs!$F$6/1000/4)^(2/3))*SQRT(N154))</f>
        <v/>
      </c>
      <c r="AF154" s="4">
        <f>IF(A154="","",(1/Inputs!$B$9)*(PI()*(Inputs!$F$7/1000)^2/4)*((Inputs!$F$7/1000/4)^(2/3))*SQRT(N154))</f>
        <v/>
      </c>
      <c r="AG154" s="4">
        <f>IF(A154="","",(1/Inputs!$B$9)*(PI()*(Inputs!$F$8/1000)^2/4)*((Inputs!$F$8/1000/4)^(2/3))*SQRT(N154))</f>
        <v/>
      </c>
      <c r="AH154" s="4">
        <f>IF(A154="","",(1/Inputs!$B$9)*(PI()*(Inputs!$F$9/1000)^2/4)*((Inputs!$F$9/1000/4)^(2/3))*SQRT(N154))</f>
        <v/>
      </c>
      <c r="AI154" s="4">
        <f>IF(A154="","",(1/Inputs!$B$9)*(PI()*(Inputs!$F$10/1000)^2/4)*((Inputs!$F$10/1000/4)^(2/3))*SQRT(N154))</f>
        <v/>
      </c>
      <c r="AJ154" s="4">
        <f>IF(A154="","",(1/Inputs!$B$9)*(PI()*(Inputs!$F$11/1000)^2/4)*((Inputs!$F$11/1000/4)^(2/3))*SQRT(N154))</f>
        <v/>
      </c>
      <c r="AK154" s="4">
        <f>IF(A154="","",(1/Inputs!$B$9)*(PI()*(Inputs!$F$12/1000)^2/4)*((Inputs!$F$12/1000/4)^(2/3))*SQRT(N154))</f>
        <v/>
      </c>
      <c r="AL154" s="4">
        <f>IF(A154="","",(1/Inputs!$B$9)*(PI()*(Inputs!$F$13/1000)^2/4)*((Inputs!$F$13/1000/4)^(2/3))*SQRT(N154))</f>
        <v/>
      </c>
      <c r="AM154" s="4">
        <f>IF(A154="","",(1/Inputs!$B$9)*(PI()*(Inputs!$F$14/1000)^2/4)*((Inputs!$F$14/1000/4)^(2/3))*SQRT(N154))</f>
        <v/>
      </c>
    </row>
    <row r="155">
      <c r="A155" s="4" t="n"/>
      <c r="B155" s="4" t="n"/>
      <c r="C155" s="8" t="n"/>
      <c r="D155" s="8" t="n"/>
      <c r="E155" s="8">
        <f>SUMIFS(CB_Tributaires!$C:$C,CB_Tributaires!$B:$B,$A155)</f>
        <v/>
      </c>
      <c r="F155" s="8">
        <f>IF(D155="",E155,D155)</f>
        <v/>
      </c>
      <c r="G155" s="4" t="n"/>
      <c r="H155" s="8" t="n"/>
      <c r="I155" s="8">
        <f>IF(A155="","",Inputs!$B$13/((IF(H155="",Inputs!$B$18,H155)+Inputs!$B$14)^Inputs!$B$15))</f>
        <v/>
      </c>
      <c r="J155" s="8">
        <f>IF(A155="","",0.00278*IF(G155="",Inputs!$B$17,G155)*F155*I155)</f>
        <v/>
      </c>
      <c r="K155" s="8">
        <f>IF(A155="","",SUMIFS($L$4:$L$203,$B$4:$B$203,$A155))</f>
        <v/>
      </c>
      <c r="L155" s="8">
        <f>IF(A155="","",(J155+K155)*Inputs!$B$16)</f>
        <v/>
      </c>
      <c r="M155" s="8" t="n"/>
      <c r="N155" s="8">
        <f>IF(A155="","",IF(M155="",Inputs!$B$7,M155))</f>
        <v/>
      </c>
      <c r="O155" s="4">
        <f>IF(A155="","",IF(L155/Inputs!$B$10&lt;=AD155,Inputs!$F$5,IF(L155/Inputs!$B$10&gt;AM155,"OVERSIZE",INDEX(Inputs!$F$5:$F$14,MATCH(L155/Inputs!$B$10,AD155:AM155,1)+1))))</f>
        <v/>
      </c>
      <c r="P155" s="4" t="n"/>
      <c r="Q155" s="4">
        <f>IF(A155="","",IF(P155="",O155,P155))</f>
        <v/>
      </c>
      <c r="R155" s="8">
        <f>IF(OR(Q155="",Q155="OVERSIZE"),"",Q155/1000)</f>
        <v/>
      </c>
      <c r="S155" s="8">
        <f>IF(R155="","",(1/Inputs!$B$9)*(PI()*R155^2/4)*((R155/4)^(2/3))*SQRT(N155))</f>
        <v/>
      </c>
      <c r="T155" s="8">
        <f>IF(OR(S155="",L155=""),"",L155/(S155*Inputs!$B$10))</f>
        <v/>
      </c>
      <c r="U155" s="8">
        <f>IF(OR(R155="",L155=""),"",4*L155/(PI()*R155^2))</f>
        <v/>
      </c>
      <c r="V155" s="8" t="n"/>
      <c r="W155" s="8">
        <f>IF(A155="","",IF(A155=Inputs!$B$6,Inputs!$B$22,IF(B155="","",IFERROR(INDEX($X$4:$X$203,MATCH(B155,$A$4:$A$203,0))+IF(V155="",Inputs!$B$20,V155),""))))</f>
        <v/>
      </c>
      <c r="X155" s="8">
        <f>IF(OR(W155="",N155="",C155=""),"",W155+N155*C155)</f>
        <v/>
      </c>
      <c r="Y155" s="8" t="n"/>
      <c r="Z155" s="8" t="n"/>
      <c r="AA155" s="8">
        <f>IF(OR(Y155="",W155=""),"",Y155-W155)</f>
        <v/>
      </c>
      <c r="AB155" s="8">
        <f>IF(OR(Z155="",X155=""),"",Z155-X155)</f>
        <v/>
      </c>
      <c r="AC155" s="4">
        <f>IF(A155="","",IF(OR(T155&gt;1,U155&lt;Inputs!$B$11,U155&gt;Inputs!$B$12,AA155&lt;Inputs!$B$19,AB155&lt;Inputs!$B$19,N155&lt;Inputs!$B$7,N155&gt;Inputs!$B$8),"CHECK","OK"))</f>
        <v/>
      </c>
      <c r="AD155" s="4">
        <f>IF(A155="","",(1/Inputs!$B$9)*(PI()*(Inputs!$F$5/1000)^2/4)*((Inputs!$F$5/1000/4)^(2/3))*SQRT(N155))</f>
        <v/>
      </c>
      <c r="AE155" s="4">
        <f>IF(A155="","",(1/Inputs!$B$9)*(PI()*(Inputs!$F$6/1000)^2/4)*((Inputs!$F$6/1000/4)^(2/3))*SQRT(N155))</f>
        <v/>
      </c>
      <c r="AF155" s="4">
        <f>IF(A155="","",(1/Inputs!$B$9)*(PI()*(Inputs!$F$7/1000)^2/4)*((Inputs!$F$7/1000/4)^(2/3))*SQRT(N155))</f>
        <v/>
      </c>
      <c r="AG155" s="4">
        <f>IF(A155="","",(1/Inputs!$B$9)*(PI()*(Inputs!$F$8/1000)^2/4)*((Inputs!$F$8/1000/4)^(2/3))*SQRT(N155))</f>
        <v/>
      </c>
      <c r="AH155" s="4">
        <f>IF(A155="","",(1/Inputs!$B$9)*(PI()*(Inputs!$F$9/1000)^2/4)*((Inputs!$F$9/1000/4)^(2/3))*SQRT(N155))</f>
        <v/>
      </c>
      <c r="AI155" s="4">
        <f>IF(A155="","",(1/Inputs!$B$9)*(PI()*(Inputs!$F$10/1000)^2/4)*((Inputs!$F$10/1000/4)^(2/3))*SQRT(N155))</f>
        <v/>
      </c>
      <c r="AJ155" s="4">
        <f>IF(A155="","",(1/Inputs!$B$9)*(PI()*(Inputs!$F$11/1000)^2/4)*((Inputs!$F$11/1000/4)^(2/3))*SQRT(N155))</f>
        <v/>
      </c>
      <c r="AK155" s="4">
        <f>IF(A155="","",(1/Inputs!$B$9)*(PI()*(Inputs!$F$12/1000)^2/4)*((Inputs!$F$12/1000/4)^(2/3))*SQRT(N155))</f>
        <v/>
      </c>
      <c r="AL155" s="4">
        <f>IF(A155="","",(1/Inputs!$B$9)*(PI()*(Inputs!$F$13/1000)^2/4)*((Inputs!$F$13/1000/4)^(2/3))*SQRT(N155))</f>
        <v/>
      </c>
      <c r="AM155" s="4">
        <f>IF(A155="","",(1/Inputs!$B$9)*(PI()*(Inputs!$F$14/1000)^2/4)*((Inputs!$F$14/1000/4)^(2/3))*SQRT(N155))</f>
        <v/>
      </c>
    </row>
    <row r="156">
      <c r="A156" s="4" t="n"/>
      <c r="B156" s="4" t="n"/>
      <c r="C156" s="8" t="n"/>
      <c r="D156" s="8" t="n"/>
      <c r="E156" s="8">
        <f>SUMIFS(CB_Tributaires!$C:$C,CB_Tributaires!$B:$B,$A156)</f>
        <v/>
      </c>
      <c r="F156" s="8">
        <f>IF(D156="",E156,D156)</f>
        <v/>
      </c>
      <c r="G156" s="4" t="n"/>
      <c r="H156" s="8" t="n"/>
      <c r="I156" s="8">
        <f>IF(A156="","",Inputs!$B$13/((IF(H156="",Inputs!$B$18,H156)+Inputs!$B$14)^Inputs!$B$15))</f>
        <v/>
      </c>
      <c r="J156" s="8">
        <f>IF(A156="","",0.00278*IF(G156="",Inputs!$B$17,G156)*F156*I156)</f>
        <v/>
      </c>
      <c r="K156" s="8">
        <f>IF(A156="","",SUMIFS($L$4:$L$203,$B$4:$B$203,$A156))</f>
        <v/>
      </c>
      <c r="L156" s="8">
        <f>IF(A156="","",(J156+K156)*Inputs!$B$16)</f>
        <v/>
      </c>
      <c r="M156" s="8" t="n"/>
      <c r="N156" s="8">
        <f>IF(A156="","",IF(M156="",Inputs!$B$7,M156))</f>
        <v/>
      </c>
      <c r="O156" s="4">
        <f>IF(A156="","",IF(L156/Inputs!$B$10&lt;=AD156,Inputs!$F$5,IF(L156/Inputs!$B$10&gt;AM156,"OVERSIZE",INDEX(Inputs!$F$5:$F$14,MATCH(L156/Inputs!$B$10,AD156:AM156,1)+1))))</f>
        <v/>
      </c>
      <c r="P156" s="4" t="n"/>
      <c r="Q156" s="4">
        <f>IF(A156="","",IF(P156="",O156,P156))</f>
        <v/>
      </c>
      <c r="R156" s="8">
        <f>IF(OR(Q156="",Q156="OVERSIZE"),"",Q156/1000)</f>
        <v/>
      </c>
      <c r="S156" s="8">
        <f>IF(R156="","",(1/Inputs!$B$9)*(PI()*R156^2/4)*((R156/4)^(2/3))*SQRT(N156))</f>
        <v/>
      </c>
      <c r="T156" s="8">
        <f>IF(OR(S156="",L156=""),"",L156/(S156*Inputs!$B$10))</f>
        <v/>
      </c>
      <c r="U156" s="8">
        <f>IF(OR(R156="",L156=""),"",4*L156/(PI()*R156^2))</f>
        <v/>
      </c>
      <c r="V156" s="8" t="n"/>
      <c r="W156" s="8">
        <f>IF(A156="","",IF(A156=Inputs!$B$6,Inputs!$B$22,IF(B156="","",IFERROR(INDEX($X$4:$X$203,MATCH(B156,$A$4:$A$203,0))+IF(V156="",Inputs!$B$20,V156),""))))</f>
        <v/>
      </c>
      <c r="X156" s="8">
        <f>IF(OR(W156="",N156="",C156=""),"",W156+N156*C156)</f>
        <v/>
      </c>
      <c r="Y156" s="8" t="n"/>
      <c r="Z156" s="8" t="n"/>
      <c r="AA156" s="8">
        <f>IF(OR(Y156="",W156=""),"",Y156-W156)</f>
        <v/>
      </c>
      <c r="AB156" s="8">
        <f>IF(OR(Z156="",X156=""),"",Z156-X156)</f>
        <v/>
      </c>
      <c r="AC156" s="4">
        <f>IF(A156="","",IF(OR(T156&gt;1,U156&lt;Inputs!$B$11,U156&gt;Inputs!$B$12,AA156&lt;Inputs!$B$19,AB156&lt;Inputs!$B$19,N156&lt;Inputs!$B$7,N156&gt;Inputs!$B$8),"CHECK","OK"))</f>
        <v/>
      </c>
      <c r="AD156" s="4">
        <f>IF(A156="","",(1/Inputs!$B$9)*(PI()*(Inputs!$F$5/1000)^2/4)*((Inputs!$F$5/1000/4)^(2/3))*SQRT(N156))</f>
        <v/>
      </c>
      <c r="AE156" s="4">
        <f>IF(A156="","",(1/Inputs!$B$9)*(PI()*(Inputs!$F$6/1000)^2/4)*((Inputs!$F$6/1000/4)^(2/3))*SQRT(N156))</f>
        <v/>
      </c>
      <c r="AF156" s="4">
        <f>IF(A156="","",(1/Inputs!$B$9)*(PI()*(Inputs!$F$7/1000)^2/4)*((Inputs!$F$7/1000/4)^(2/3))*SQRT(N156))</f>
        <v/>
      </c>
      <c r="AG156" s="4">
        <f>IF(A156="","",(1/Inputs!$B$9)*(PI()*(Inputs!$F$8/1000)^2/4)*((Inputs!$F$8/1000/4)^(2/3))*SQRT(N156))</f>
        <v/>
      </c>
      <c r="AH156" s="4">
        <f>IF(A156="","",(1/Inputs!$B$9)*(PI()*(Inputs!$F$9/1000)^2/4)*((Inputs!$F$9/1000/4)^(2/3))*SQRT(N156))</f>
        <v/>
      </c>
      <c r="AI156" s="4">
        <f>IF(A156="","",(1/Inputs!$B$9)*(PI()*(Inputs!$F$10/1000)^2/4)*((Inputs!$F$10/1000/4)^(2/3))*SQRT(N156))</f>
        <v/>
      </c>
      <c r="AJ156" s="4">
        <f>IF(A156="","",(1/Inputs!$B$9)*(PI()*(Inputs!$F$11/1000)^2/4)*((Inputs!$F$11/1000/4)^(2/3))*SQRT(N156))</f>
        <v/>
      </c>
      <c r="AK156" s="4">
        <f>IF(A156="","",(1/Inputs!$B$9)*(PI()*(Inputs!$F$12/1000)^2/4)*((Inputs!$F$12/1000/4)^(2/3))*SQRT(N156))</f>
        <v/>
      </c>
      <c r="AL156" s="4">
        <f>IF(A156="","",(1/Inputs!$B$9)*(PI()*(Inputs!$F$13/1000)^2/4)*((Inputs!$F$13/1000/4)^(2/3))*SQRT(N156))</f>
        <v/>
      </c>
      <c r="AM156" s="4">
        <f>IF(A156="","",(1/Inputs!$B$9)*(PI()*(Inputs!$F$14/1000)^2/4)*((Inputs!$F$14/1000/4)^(2/3))*SQRT(N156))</f>
        <v/>
      </c>
    </row>
    <row r="157">
      <c r="A157" s="4" t="n"/>
      <c r="B157" s="4" t="n"/>
      <c r="C157" s="8" t="n"/>
      <c r="D157" s="8" t="n"/>
      <c r="E157" s="8">
        <f>SUMIFS(CB_Tributaires!$C:$C,CB_Tributaires!$B:$B,$A157)</f>
        <v/>
      </c>
      <c r="F157" s="8">
        <f>IF(D157="",E157,D157)</f>
        <v/>
      </c>
      <c r="G157" s="4" t="n"/>
      <c r="H157" s="8" t="n"/>
      <c r="I157" s="8">
        <f>IF(A157="","",Inputs!$B$13/((IF(H157="",Inputs!$B$18,H157)+Inputs!$B$14)^Inputs!$B$15))</f>
        <v/>
      </c>
      <c r="J157" s="8">
        <f>IF(A157="","",0.00278*IF(G157="",Inputs!$B$17,G157)*F157*I157)</f>
        <v/>
      </c>
      <c r="K157" s="8">
        <f>IF(A157="","",SUMIFS($L$4:$L$203,$B$4:$B$203,$A157))</f>
        <v/>
      </c>
      <c r="L157" s="8">
        <f>IF(A157="","",(J157+K157)*Inputs!$B$16)</f>
        <v/>
      </c>
      <c r="M157" s="8" t="n"/>
      <c r="N157" s="8">
        <f>IF(A157="","",IF(M157="",Inputs!$B$7,M157))</f>
        <v/>
      </c>
      <c r="O157" s="4">
        <f>IF(A157="","",IF(L157/Inputs!$B$10&lt;=AD157,Inputs!$F$5,IF(L157/Inputs!$B$10&gt;AM157,"OVERSIZE",INDEX(Inputs!$F$5:$F$14,MATCH(L157/Inputs!$B$10,AD157:AM157,1)+1))))</f>
        <v/>
      </c>
      <c r="P157" s="4" t="n"/>
      <c r="Q157" s="4">
        <f>IF(A157="","",IF(P157="",O157,P157))</f>
        <v/>
      </c>
      <c r="R157" s="8">
        <f>IF(OR(Q157="",Q157="OVERSIZE"),"",Q157/1000)</f>
        <v/>
      </c>
      <c r="S157" s="8">
        <f>IF(R157="","",(1/Inputs!$B$9)*(PI()*R157^2/4)*((R157/4)^(2/3))*SQRT(N157))</f>
        <v/>
      </c>
      <c r="T157" s="8">
        <f>IF(OR(S157="",L157=""),"",L157/(S157*Inputs!$B$10))</f>
        <v/>
      </c>
      <c r="U157" s="8">
        <f>IF(OR(R157="",L157=""),"",4*L157/(PI()*R157^2))</f>
        <v/>
      </c>
      <c r="V157" s="8" t="n"/>
      <c r="W157" s="8">
        <f>IF(A157="","",IF(A157=Inputs!$B$6,Inputs!$B$22,IF(B157="","",IFERROR(INDEX($X$4:$X$203,MATCH(B157,$A$4:$A$203,0))+IF(V157="",Inputs!$B$20,V157),""))))</f>
        <v/>
      </c>
      <c r="X157" s="8">
        <f>IF(OR(W157="",N157="",C157=""),"",W157+N157*C157)</f>
        <v/>
      </c>
      <c r="Y157" s="8" t="n"/>
      <c r="Z157" s="8" t="n"/>
      <c r="AA157" s="8">
        <f>IF(OR(Y157="",W157=""),"",Y157-W157)</f>
        <v/>
      </c>
      <c r="AB157" s="8">
        <f>IF(OR(Z157="",X157=""),"",Z157-X157)</f>
        <v/>
      </c>
      <c r="AC157" s="4">
        <f>IF(A157="","",IF(OR(T157&gt;1,U157&lt;Inputs!$B$11,U157&gt;Inputs!$B$12,AA157&lt;Inputs!$B$19,AB157&lt;Inputs!$B$19,N157&lt;Inputs!$B$7,N157&gt;Inputs!$B$8),"CHECK","OK"))</f>
        <v/>
      </c>
      <c r="AD157" s="4">
        <f>IF(A157="","",(1/Inputs!$B$9)*(PI()*(Inputs!$F$5/1000)^2/4)*((Inputs!$F$5/1000/4)^(2/3))*SQRT(N157))</f>
        <v/>
      </c>
      <c r="AE157" s="4">
        <f>IF(A157="","",(1/Inputs!$B$9)*(PI()*(Inputs!$F$6/1000)^2/4)*((Inputs!$F$6/1000/4)^(2/3))*SQRT(N157))</f>
        <v/>
      </c>
      <c r="AF157" s="4">
        <f>IF(A157="","",(1/Inputs!$B$9)*(PI()*(Inputs!$F$7/1000)^2/4)*((Inputs!$F$7/1000/4)^(2/3))*SQRT(N157))</f>
        <v/>
      </c>
      <c r="AG157" s="4">
        <f>IF(A157="","",(1/Inputs!$B$9)*(PI()*(Inputs!$F$8/1000)^2/4)*((Inputs!$F$8/1000/4)^(2/3))*SQRT(N157))</f>
        <v/>
      </c>
      <c r="AH157" s="4">
        <f>IF(A157="","",(1/Inputs!$B$9)*(PI()*(Inputs!$F$9/1000)^2/4)*((Inputs!$F$9/1000/4)^(2/3))*SQRT(N157))</f>
        <v/>
      </c>
      <c r="AI157" s="4">
        <f>IF(A157="","",(1/Inputs!$B$9)*(PI()*(Inputs!$F$10/1000)^2/4)*((Inputs!$F$10/1000/4)^(2/3))*SQRT(N157))</f>
        <v/>
      </c>
      <c r="AJ157" s="4">
        <f>IF(A157="","",(1/Inputs!$B$9)*(PI()*(Inputs!$F$11/1000)^2/4)*((Inputs!$F$11/1000/4)^(2/3))*SQRT(N157))</f>
        <v/>
      </c>
      <c r="AK157" s="4">
        <f>IF(A157="","",(1/Inputs!$B$9)*(PI()*(Inputs!$F$12/1000)^2/4)*((Inputs!$F$12/1000/4)^(2/3))*SQRT(N157))</f>
        <v/>
      </c>
      <c r="AL157" s="4">
        <f>IF(A157="","",(1/Inputs!$B$9)*(PI()*(Inputs!$F$13/1000)^2/4)*((Inputs!$F$13/1000/4)^(2/3))*SQRT(N157))</f>
        <v/>
      </c>
      <c r="AM157" s="4">
        <f>IF(A157="","",(1/Inputs!$B$9)*(PI()*(Inputs!$F$14/1000)^2/4)*((Inputs!$F$14/1000/4)^(2/3))*SQRT(N157))</f>
        <v/>
      </c>
    </row>
    <row r="158">
      <c r="A158" s="4" t="n"/>
      <c r="B158" s="4" t="n"/>
      <c r="C158" s="8" t="n"/>
      <c r="D158" s="8" t="n"/>
      <c r="E158" s="8">
        <f>SUMIFS(CB_Tributaires!$C:$C,CB_Tributaires!$B:$B,$A158)</f>
        <v/>
      </c>
      <c r="F158" s="8">
        <f>IF(D158="",E158,D158)</f>
        <v/>
      </c>
      <c r="G158" s="4" t="n"/>
      <c r="H158" s="8" t="n"/>
      <c r="I158" s="8">
        <f>IF(A158="","",Inputs!$B$13/((IF(H158="",Inputs!$B$18,H158)+Inputs!$B$14)^Inputs!$B$15))</f>
        <v/>
      </c>
      <c r="J158" s="8">
        <f>IF(A158="","",0.00278*IF(G158="",Inputs!$B$17,G158)*F158*I158)</f>
        <v/>
      </c>
      <c r="K158" s="8">
        <f>IF(A158="","",SUMIFS($L$4:$L$203,$B$4:$B$203,$A158))</f>
        <v/>
      </c>
      <c r="L158" s="8">
        <f>IF(A158="","",(J158+K158)*Inputs!$B$16)</f>
        <v/>
      </c>
      <c r="M158" s="8" t="n"/>
      <c r="N158" s="8">
        <f>IF(A158="","",IF(M158="",Inputs!$B$7,M158))</f>
        <v/>
      </c>
      <c r="O158" s="4">
        <f>IF(A158="","",IF(L158/Inputs!$B$10&lt;=AD158,Inputs!$F$5,IF(L158/Inputs!$B$10&gt;AM158,"OVERSIZE",INDEX(Inputs!$F$5:$F$14,MATCH(L158/Inputs!$B$10,AD158:AM158,1)+1))))</f>
        <v/>
      </c>
      <c r="P158" s="4" t="n"/>
      <c r="Q158" s="4">
        <f>IF(A158="","",IF(P158="",O158,P158))</f>
        <v/>
      </c>
      <c r="R158" s="8">
        <f>IF(OR(Q158="",Q158="OVERSIZE"),"",Q158/1000)</f>
        <v/>
      </c>
      <c r="S158" s="8">
        <f>IF(R158="","",(1/Inputs!$B$9)*(PI()*R158^2/4)*((R158/4)^(2/3))*SQRT(N158))</f>
        <v/>
      </c>
      <c r="T158" s="8">
        <f>IF(OR(S158="",L158=""),"",L158/(S158*Inputs!$B$10))</f>
        <v/>
      </c>
      <c r="U158" s="8">
        <f>IF(OR(R158="",L158=""),"",4*L158/(PI()*R158^2))</f>
        <v/>
      </c>
      <c r="V158" s="8" t="n"/>
      <c r="W158" s="8">
        <f>IF(A158="","",IF(A158=Inputs!$B$6,Inputs!$B$22,IF(B158="","",IFERROR(INDEX($X$4:$X$203,MATCH(B158,$A$4:$A$203,0))+IF(V158="",Inputs!$B$20,V158),""))))</f>
        <v/>
      </c>
      <c r="X158" s="8">
        <f>IF(OR(W158="",N158="",C158=""),"",W158+N158*C158)</f>
        <v/>
      </c>
      <c r="Y158" s="8" t="n"/>
      <c r="Z158" s="8" t="n"/>
      <c r="AA158" s="8">
        <f>IF(OR(Y158="",W158=""),"",Y158-W158)</f>
        <v/>
      </c>
      <c r="AB158" s="8">
        <f>IF(OR(Z158="",X158=""),"",Z158-X158)</f>
        <v/>
      </c>
      <c r="AC158" s="4">
        <f>IF(A158="","",IF(OR(T158&gt;1,U158&lt;Inputs!$B$11,U158&gt;Inputs!$B$12,AA158&lt;Inputs!$B$19,AB158&lt;Inputs!$B$19,N158&lt;Inputs!$B$7,N158&gt;Inputs!$B$8),"CHECK","OK"))</f>
        <v/>
      </c>
      <c r="AD158" s="4">
        <f>IF(A158="","",(1/Inputs!$B$9)*(PI()*(Inputs!$F$5/1000)^2/4)*((Inputs!$F$5/1000/4)^(2/3))*SQRT(N158))</f>
        <v/>
      </c>
      <c r="AE158" s="4">
        <f>IF(A158="","",(1/Inputs!$B$9)*(PI()*(Inputs!$F$6/1000)^2/4)*((Inputs!$F$6/1000/4)^(2/3))*SQRT(N158))</f>
        <v/>
      </c>
      <c r="AF158" s="4">
        <f>IF(A158="","",(1/Inputs!$B$9)*(PI()*(Inputs!$F$7/1000)^2/4)*((Inputs!$F$7/1000/4)^(2/3))*SQRT(N158))</f>
        <v/>
      </c>
      <c r="AG158" s="4">
        <f>IF(A158="","",(1/Inputs!$B$9)*(PI()*(Inputs!$F$8/1000)^2/4)*((Inputs!$F$8/1000/4)^(2/3))*SQRT(N158))</f>
        <v/>
      </c>
      <c r="AH158" s="4">
        <f>IF(A158="","",(1/Inputs!$B$9)*(PI()*(Inputs!$F$9/1000)^2/4)*((Inputs!$F$9/1000/4)^(2/3))*SQRT(N158))</f>
        <v/>
      </c>
      <c r="AI158" s="4">
        <f>IF(A158="","",(1/Inputs!$B$9)*(PI()*(Inputs!$F$10/1000)^2/4)*((Inputs!$F$10/1000/4)^(2/3))*SQRT(N158))</f>
        <v/>
      </c>
      <c r="AJ158" s="4">
        <f>IF(A158="","",(1/Inputs!$B$9)*(PI()*(Inputs!$F$11/1000)^2/4)*((Inputs!$F$11/1000/4)^(2/3))*SQRT(N158))</f>
        <v/>
      </c>
      <c r="AK158" s="4">
        <f>IF(A158="","",(1/Inputs!$B$9)*(PI()*(Inputs!$F$12/1000)^2/4)*((Inputs!$F$12/1000/4)^(2/3))*SQRT(N158))</f>
        <v/>
      </c>
      <c r="AL158" s="4">
        <f>IF(A158="","",(1/Inputs!$B$9)*(PI()*(Inputs!$F$13/1000)^2/4)*((Inputs!$F$13/1000/4)^(2/3))*SQRT(N158))</f>
        <v/>
      </c>
      <c r="AM158" s="4">
        <f>IF(A158="","",(1/Inputs!$B$9)*(PI()*(Inputs!$F$14/1000)^2/4)*((Inputs!$F$14/1000/4)^(2/3))*SQRT(N158))</f>
        <v/>
      </c>
    </row>
    <row r="159">
      <c r="A159" s="4" t="n"/>
      <c r="B159" s="4" t="n"/>
      <c r="C159" s="8" t="n"/>
      <c r="D159" s="8" t="n"/>
      <c r="E159" s="8">
        <f>SUMIFS(CB_Tributaires!$C:$C,CB_Tributaires!$B:$B,$A159)</f>
        <v/>
      </c>
      <c r="F159" s="8">
        <f>IF(D159="",E159,D159)</f>
        <v/>
      </c>
      <c r="G159" s="4" t="n"/>
      <c r="H159" s="8" t="n"/>
      <c r="I159" s="8">
        <f>IF(A159="","",Inputs!$B$13/((IF(H159="",Inputs!$B$18,H159)+Inputs!$B$14)^Inputs!$B$15))</f>
        <v/>
      </c>
      <c r="J159" s="8">
        <f>IF(A159="","",0.00278*IF(G159="",Inputs!$B$17,G159)*F159*I159)</f>
        <v/>
      </c>
      <c r="K159" s="8">
        <f>IF(A159="","",SUMIFS($L$4:$L$203,$B$4:$B$203,$A159))</f>
        <v/>
      </c>
      <c r="L159" s="8">
        <f>IF(A159="","",(J159+K159)*Inputs!$B$16)</f>
        <v/>
      </c>
      <c r="M159" s="8" t="n"/>
      <c r="N159" s="8">
        <f>IF(A159="","",IF(M159="",Inputs!$B$7,M159))</f>
        <v/>
      </c>
      <c r="O159" s="4">
        <f>IF(A159="","",IF(L159/Inputs!$B$10&lt;=AD159,Inputs!$F$5,IF(L159/Inputs!$B$10&gt;AM159,"OVERSIZE",INDEX(Inputs!$F$5:$F$14,MATCH(L159/Inputs!$B$10,AD159:AM159,1)+1))))</f>
        <v/>
      </c>
      <c r="P159" s="4" t="n"/>
      <c r="Q159" s="4">
        <f>IF(A159="","",IF(P159="",O159,P159))</f>
        <v/>
      </c>
      <c r="R159" s="8">
        <f>IF(OR(Q159="",Q159="OVERSIZE"),"",Q159/1000)</f>
        <v/>
      </c>
      <c r="S159" s="8">
        <f>IF(R159="","",(1/Inputs!$B$9)*(PI()*R159^2/4)*((R159/4)^(2/3))*SQRT(N159))</f>
        <v/>
      </c>
      <c r="T159" s="8">
        <f>IF(OR(S159="",L159=""),"",L159/(S159*Inputs!$B$10))</f>
        <v/>
      </c>
      <c r="U159" s="8">
        <f>IF(OR(R159="",L159=""),"",4*L159/(PI()*R159^2))</f>
        <v/>
      </c>
      <c r="V159" s="8" t="n"/>
      <c r="W159" s="8">
        <f>IF(A159="","",IF(A159=Inputs!$B$6,Inputs!$B$22,IF(B159="","",IFERROR(INDEX($X$4:$X$203,MATCH(B159,$A$4:$A$203,0))+IF(V159="",Inputs!$B$20,V159),""))))</f>
        <v/>
      </c>
      <c r="X159" s="8">
        <f>IF(OR(W159="",N159="",C159=""),"",W159+N159*C159)</f>
        <v/>
      </c>
      <c r="Y159" s="8" t="n"/>
      <c r="Z159" s="8" t="n"/>
      <c r="AA159" s="8">
        <f>IF(OR(Y159="",W159=""),"",Y159-W159)</f>
        <v/>
      </c>
      <c r="AB159" s="8">
        <f>IF(OR(Z159="",X159=""),"",Z159-X159)</f>
        <v/>
      </c>
      <c r="AC159" s="4">
        <f>IF(A159="","",IF(OR(T159&gt;1,U159&lt;Inputs!$B$11,U159&gt;Inputs!$B$12,AA159&lt;Inputs!$B$19,AB159&lt;Inputs!$B$19,N159&lt;Inputs!$B$7,N159&gt;Inputs!$B$8),"CHECK","OK"))</f>
        <v/>
      </c>
      <c r="AD159" s="4">
        <f>IF(A159="","",(1/Inputs!$B$9)*(PI()*(Inputs!$F$5/1000)^2/4)*((Inputs!$F$5/1000/4)^(2/3))*SQRT(N159))</f>
        <v/>
      </c>
      <c r="AE159" s="4">
        <f>IF(A159="","",(1/Inputs!$B$9)*(PI()*(Inputs!$F$6/1000)^2/4)*((Inputs!$F$6/1000/4)^(2/3))*SQRT(N159))</f>
        <v/>
      </c>
      <c r="AF159" s="4">
        <f>IF(A159="","",(1/Inputs!$B$9)*(PI()*(Inputs!$F$7/1000)^2/4)*((Inputs!$F$7/1000/4)^(2/3))*SQRT(N159))</f>
        <v/>
      </c>
      <c r="AG159" s="4">
        <f>IF(A159="","",(1/Inputs!$B$9)*(PI()*(Inputs!$F$8/1000)^2/4)*((Inputs!$F$8/1000/4)^(2/3))*SQRT(N159))</f>
        <v/>
      </c>
      <c r="AH159" s="4">
        <f>IF(A159="","",(1/Inputs!$B$9)*(PI()*(Inputs!$F$9/1000)^2/4)*((Inputs!$F$9/1000/4)^(2/3))*SQRT(N159))</f>
        <v/>
      </c>
      <c r="AI159" s="4">
        <f>IF(A159="","",(1/Inputs!$B$9)*(PI()*(Inputs!$F$10/1000)^2/4)*((Inputs!$F$10/1000/4)^(2/3))*SQRT(N159))</f>
        <v/>
      </c>
      <c r="AJ159" s="4">
        <f>IF(A159="","",(1/Inputs!$B$9)*(PI()*(Inputs!$F$11/1000)^2/4)*((Inputs!$F$11/1000/4)^(2/3))*SQRT(N159))</f>
        <v/>
      </c>
      <c r="AK159" s="4">
        <f>IF(A159="","",(1/Inputs!$B$9)*(PI()*(Inputs!$F$12/1000)^2/4)*((Inputs!$F$12/1000/4)^(2/3))*SQRT(N159))</f>
        <v/>
      </c>
      <c r="AL159" s="4">
        <f>IF(A159="","",(1/Inputs!$B$9)*(PI()*(Inputs!$F$13/1000)^2/4)*((Inputs!$F$13/1000/4)^(2/3))*SQRT(N159))</f>
        <v/>
      </c>
      <c r="AM159" s="4">
        <f>IF(A159="","",(1/Inputs!$B$9)*(PI()*(Inputs!$F$14/1000)^2/4)*((Inputs!$F$14/1000/4)^(2/3))*SQRT(N159))</f>
        <v/>
      </c>
    </row>
    <row r="160">
      <c r="A160" s="4" t="n"/>
      <c r="B160" s="4" t="n"/>
      <c r="C160" s="8" t="n"/>
      <c r="D160" s="8" t="n"/>
      <c r="E160" s="8">
        <f>SUMIFS(CB_Tributaires!$C:$C,CB_Tributaires!$B:$B,$A160)</f>
        <v/>
      </c>
      <c r="F160" s="8">
        <f>IF(D160="",E160,D160)</f>
        <v/>
      </c>
      <c r="G160" s="4" t="n"/>
      <c r="H160" s="8" t="n"/>
      <c r="I160" s="8">
        <f>IF(A160="","",Inputs!$B$13/((IF(H160="",Inputs!$B$18,H160)+Inputs!$B$14)^Inputs!$B$15))</f>
        <v/>
      </c>
      <c r="J160" s="8">
        <f>IF(A160="","",0.00278*IF(G160="",Inputs!$B$17,G160)*F160*I160)</f>
        <v/>
      </c>
      <c r="K160" s="8">
        <f>IF(A160="","",SUMIFS($L$4:$L$203,$B$4:$B$203,$A160))</f>
        <v/>
      </c>
      <c r="L160" s="8">
        <f>IF(A160="","",(J160+K160)*Inputs!$B$16)</f>
        <v/>
      </c>
      <c r="M160" s="8" t="n"/>
      <c r="N160" s="8">
        <f>IF(A160="","",IF(M160="",Inputs!$B$7,M160))</f>
        <v/>
      </c>
      <c r="O160" s="4">
        <f>IF(A160="","",IF(L160/Inputs!$B$10&lt;=AD160,Inputs!$F$5,IF(L160/Inputs!$B$10&gt;AM160,"OVERSIZE",INDEX(Inputs!$F$5:$F$14,MATCH(L160/Inputs!$B$10,AD160:AM160,1)+1))))</f>
        <v/>
      </c>
      <c r="P160" s="4" t="n"/>
      <c r="Q160" s="4">
        <f>IF(A160="","",IF(P160="",O160,P160))</f>
        <v/>
      </c>
      <c r="R160" s="8">
        <f>IF(OR(Q160="",Q160="OVERSIZE"),"",Q160/1000)</f>
        <v/>
      </c>
      <c r="S160" s="8">
        <f>IF(R160="","",(1/Inputs!$B$9)*(PI()*R160^2/4)*((R160/4)^(2/3))*SQRT(N160))</f>
        <v/>
      </c>
      <c r="T160" s="8">
        <f>IF(OR(S160="",L160=""),"",L160/(S160*Inputs!$B$10))</f>
        <v/>
      </c>
      <c r="U160" s="8">
        <f>IF(OR(R160="",L160=""),"",4*L160/(PI()*R160^2))</f>
        <v/>
      </c>
      <c r="V160" s="8" t="n"/>
      <c r="W160" s="8">
        <f>IF(A160="","",IF(A160=Inputs!$B$6,Inputs!$B$22,IF(B160="","",IFERROR(INDEX($X$4:$X$203,MATCH(B160,$A$4:$A$203,0))+IF(V160="",Inputs!$B$20,V160),""))))</f>
        <v/>
      </c>
      <c r="X160" s="8">
        <f>IF(OR(W160="",N160="",C160=""),"",W160+N160*C160)</f>
        <v/>
      </c>
      <c r="Y160" s="8" t="n"/>
      <c r="Z160" s="8" t="n"/>
      <c r="AA160" s="8">
        <f>IF(OR(Y160="",W160=""),"",Y160-W160)</f>
        <v/>
      </c>
      <c r="AB160" s="8">
        <f>IF(OR(Z160="",X160=""),"",Z160-X160)</f>
        <v/>
      </c>
      <c r="AC160" s="4">
        <f>IF(A160="","",IF(OR(T160&gt;1,U160&lt;Inputs!$B$11,U160&gt;Inputs!$B$12,AA160&lt;Inputs!$B$19,AB160&lt;Inputs!$B$19,N160&lt;Inputs!$B$7,N160&gt;Inputs!$B$8),"CHECK","OK"))</f>
        <v/>
      </c>
      <c r="AD160" s="4">
        <f>IF(A160="","",(1/Inputs!$B$9)*(PI()*(Inputs!$F$5/1000)^2/4)*((Inputs!$F$5/1000/4)^(2/3))*SQRT(N160))</f>
        <v/>
      </c>
      <c r="AE160" s="4">
        <f>IF(A160="","",(1/Inputs!$B$9)*(PI()*(Inputs!$F$6/1000)^2/4)*((Inputs!$F$6/1000/4)^(2/3))*SQRT(N160))</f>
        <v/>
      </c>
      <c r="AF160" s="4">
        <f>IF(A160="","",(1/Inputs!$B$9)*(PI()*(Inputs!$F$7/1000)^2/4)*((Inputs!$F$7/1000/4)^(2/3))*SQRT(N160))</f>
        <v/>
      </c>
      <c r="AG160" s="4">
        <f>IF(A160="","",(1/Inputs!$B$9)*(PI()*(Inputs!$F$8/1000)^2/4)*((Inputs!$F$8/1000/4)^(2/3))*SQRT(N160))</f>
        <v/>
      </c>
      <c r="AH160" s="4">
        <f>IF(A160="","",(1/Inputs!$B$9)*(PI()*(Inputs!$F$9/1000)^2/4)*((Inputs!$F$9/1000/4)^(2/3))*SQRT(N160))</f>
        <v/>
      </c>
      <c r="AI160" s="4">
        <f>IF(A160="","",(1/Inputs!$B$9)*(PI()*(Inputs!$F$10/1000)^2/4)*((Inputs!$F$10/1000/4)^(2/3))*SQRT(N160))</f>
        <v/>
      </c>
      <c r="AJ160" s="4">
        <f>IF(A160="","",(1/Inputs!$B$9)*(PI()*(Inputs!$F$11/1000)^2/4)*((Inputs!$F$11/1000/4)^(2/3))*SQRT(N160))</f>
        <v/>
      </c>
      <c r="AK160" s="4">
        <f>IF(A160="","",(1/Inputs!$B$9)*(PI()*(Inputs!$F$12/1000)^2/4)*((Inputs!$F$12/1000/4)^(2/3))*SQRT(N160))</f>
        <v/>
      </c>
      <c r="AL160" s="4">
        <f>IF(A160="","",(1/Inputs!$B$9)*(PI()*(Inputs!$F$13/1000)^2/4)*((Inputs!$F$13/1000/4)^(2/3))*SQRT(N160))</f>
        <v/>
      </c>
      <c r="AM160" s="4">
        <f>IF(A160="","",(1/Inputs!$B$9)*(PI()*(Inputs!$F$14/1000)^2/4)*((Inputs!$F$14/1000/4)^(2/3))*SQRT(N160))</f>
        <v/>
      </c>
    </row>
    <row r="161">
      <c r="A161" s="4" t="n"/>
      <c r="B161" s="4" t="n"/>
      <c r="C161" s="8" t="n"/>
      <c r="D161" s="8" t="n"/>
      <c r="E161" s="8">
        <f>SUMIFS(CB_Tributaires!$C:$C,CB_Tributaires!$B:$B,$A161)</f>
        <v/>
      </c>
      <c r="F161" s="8">
        <f>IF(D161="",E161,D161)</f>
        <v/>
      </c>
      <c r="G161" s="4" t="n"/>
      <c r="H161" s="8" t="n"/>
      <c r="I161" s="8">
        <f>IF(A161="","",Inputs!$B$13/((IF(H161="",Inputs!$B$18,H161)+Inputs!$B$14)^Inputs!$B$15))</f>
        <v/>
      </c>
      <c r="J161" s="8">
        <f>IF(A161="","",0.00278*IF(G161="",Inputs!$B$17,G161)*F161*I161)</f>
        <v/>
      </c>
      <c r="K161" s="8">
        <f>IF(A161="","",SUMIFS($L$4:$L$203,$B$4:$B$203,$A161))</f>
        <v/>
      </c>
      <c r="L161" s="8">
        <f>IF(A161="","",(J161+K161)*Inputs!$B$16)</f>
        <v/>
      </c>
      <c r="M161" s="8" t="n"/>
      <c r="N161" s="8">
        <f>IF(A161="","",IF(M161="",Inputs!$B$7,M161))</f>
        <v/>
      </c>
      <c r="O161" s="4">
        <f>IF(A161="","",IF(L161/Inputs!$B$10&lt;=AD161,Inputs!$F$5,IF(L161/Inputs!$B$10&gt;AM161,"OVERSIZE",INDEX(Inputs!$F$5:$F$14,MATCH(L161/Inputs!$B$10,AD161:AM161,1)+1))))</f>
        <v/>
      </c>
      <c r="P161" s="4" t="n"/>
      <c r="Q161" s="4">
        <f>IF(A161="","",IF(P161="",O161,P161))</f>
        <v/>
      </c>
      <c r="R161" s="8">
        <f>IF(OR(Q161="",Q161="OVERSIZE"),"",Q161/1000)</f>
        <v/>
      </c>
      <c r="S161" s="8">
        <f>IF(R161="","",(1/Inputs!$B$9)*(PI()*R161^2/4)*((R161/4)^(2/3))*SQRT(N161))</f>
        <v/>
      </c>
      <c r="T161" s="8">
        <f>IF(OR(S161="",L161=""),"",L161/(S161*Inputs!$B$10))</f>
        <v/>
      </c>
      <c r="U161" s="8">
        <f>IF(OR(R161="",L161=""),"",4*L161/(PI()*R161^2))</f>
        <v/>
      </c>
      <c r="V161" s="8" t="n"/>
      <c r="W161" s="8">
        <f>IF(A161="","",IF(A161=Inputs!$B$6,Inputs!$B$22,IF(B161="","",IFERROR(INDEX($X$4:$X$203,MATCH(B161,$A$4:$A$203,0))+IF(V161="",Inputs!$B$20,V161),""))))</f>
        <v/>
      </c>
      <c r="X161" s="8">
        <f>IF(OR(W161="",N161="",C161=""),"",W161+N161*C161)</f>
        <v/>
      </c>
      <c r="Y161" s="8" t="n"/>
      <c r="Z161" s="8" t="n"/>
      <c r="AA161" s="8">
        <f>IF(OR(Y161="",W161=""),"",Y161-W161)</f>
        <v/>
      </c>
      <c r="AB161" s="8">
        <f>IF(OR(Z161="",X161=""),"",Z161-X161)</f>
        <v/>
      </c>
      <c r="AC161" s="4">
        <f>IF(A161="","",IF(OR(T161&gt;1,U161&lt;Inputs!$B$11,U161&gt;Inputs!$B$12,AA161&lt;Inputs!$B$19,AB161&lt;Inputs!$B$19,N161&lt;Inputs!$B$7,N161&gt;Inputs!$B$8),"CHECK","OK"))</f>
        <v/>
      </c>
      <c r="AD161" s="4">
        <f>IF(A161="","",(1/Inputs!$B$9)*(PI()*(Inputs!$F$5/1000)^2/4)*((Inputs!$F$5/1000/4)^(2/3))*SQRT(N161))</f>
        <v/>
      </c>
      <c r="AE161" s="4">
        <f>IF(A161="","",(1/Inputs!$B$9)*(PI()*(Inputs!$F$6/1000)^2/4)*((Inputs!$F$6/1000/4)^(2/3))*SQRT(N161))</f>
        <v/>
      </c>
      <c r="AF161" s="4">
        <f>IF(A161="","",(1/Inputs!$B$9)*(PI()*(Inputs!$F$7/1000)^2/4)*((Inputs!$F$7/1000/4)^(2/3))*SQRT(N161))</f>
        <v/>
      </c>
      <c r="AG161" s="4">
        <f>IF(A161="","",(1/Inputs!$B$9)*(PI()*(Inputs!$F$8/1000)^2/4)*((Inputs!$F$8/1000/4)^(2/3))*SQRT(N161))</f>
        <v/>
      </c>
      <c r="AH161" s="4">
        <f>IF(A161="","",(1/Inputs!$B$9)*(PI()*(Inputs!$F$9/1000)^2/4)*((Inputs!$F$9/1000/4)^(2/3))*SQRT(N161))</f>
        <v/>
      </c>
      <c r="AI161" s="4">
        <f>IF(A161="","",(1/Inputs!$B$9)*(PI()*(Inputs!$F$10/1000)^2/4)*((Inputs!$F$10/1000/4)^(2/3))*SQRT(N161))</f>
        <v/>
      </c>
      <c r="AJ161" s="4">
        <f>IF(A161="","",(1/Inputs!$B$9)*(PI()*(Inputs!$F$11/1000)^2/4)*((Inputs!$F$11/1000/4)^(2/3))*SQRT(N161))</f>
        <v/>
      </c>
      <c r="AK161" s="4">
        <f>IF(A161="","",(1/Inputs!$B$9)*(PI()*(Inputs!$F$12/1000)^2/4)*((Inputs!$F$12/1000/4)^(2/3))*SQRT(N161))</f>
        <v/>
      </c>
      <c r="AL161" s="4">
        <f>IF(A161="","",(1/Inputs!$B$9)*(PI()*(Inputs!$F$13/1000)^2/4)*((Inputs!$F$13/1000/4)^(2/3))*SQRT(N161))</f>
        <v/>
      </c>
      <c r="AM161" s="4">
        <f>IF(A161="","",(1/Inputs!$B$9)*(PI()*(Inputs!$F$14/1000)^2/4)*((Inputs!$F$14/1000/4)^(2/3))*SQRT(N161))</f>
        <v/>
      </c>
    </row>
    <row r="162">
      <c r="A162" s="4" t="n"/>
      <c r="B162" s="4" t="n"/>
      <c r="C162" s="8" t="n"/>
      <c r="D162" s="8" t="n"/>
      <c r="E162" s="8">
        <f>SUMIFS(CB_Tributaires!$C:$C,CB_Tributaires!$B:$B,$A162)</f>
        <v/>
      </c>
      <c r="F162" s="8">
        <f>IF(D162="",E162,D162)</f>
        <v/>
      </c>
      <c r="G162" s="4" t="n"/>
      <c r="H162" s="8" t="n"/>
      <c r="I162" s="8">
        <f>IF(A162="","",Inputs!$B$13/((IF(H162="",Inputs!$B$18,H162)+Inputs!$B$14)^Inputs!$B$15))</f>
        <v/>
      </c>
      <c r="J162" s="8">
        <f>IF(A162="","",0.00278*IF(G162="",Inputs!$B$17,G162)*F162*I162)</f>
        <v/>
      </c>
      <c r="K162" s="8">
        <f>IF(A162="","",SUMIFS($L$4:$L$203,$B$4:$B$203,$A162))</f>
        <v/>
      </c>
      <c r="L162" s="8">
        <f>IF(A162="","",(J162+K162)*Inputs!$B$16)</f>
        <v/>
      </c>
      <c r="M162" s="8" t="n"/>
      <c r="N162" s="8">
        <f>IF(A162="","",IF(M162="",Inputs!$B$7,M162))</f>
        <v/>
      </c>
      <c r="O162" s="4">
        <f>IF(A162="","",IF(L162/Inputs!$B$10&lt;=AD162,Inputs!$F$5,IF(L162/Inputs!$B$10&gt;AM162,"OVERSIZE",INDEX(Inputs!$F$5:$F$14,MATCH(L162/Inputs!$B$10,AD162:AM162,1)+1))))</f>
        <v/>
      </c>
      <c r="P162" s="4" t="n"/>
      <c r="Q162" s="4">
        <f>IF(A162="","",IF(P162="",O162,P162))</f>
        <v/>
      </c>
      <c r="R162" s="8">
        <f>IF(OR(Q162="",Q162="OVERSIZE"),"",Q162/1000)</f>
        <v/>
      </c>
      <c r="S162" s="8">
        <f>IF(R162="","",(1/Inputs!$B$9)*(PI()*R162^2/4)*((R162/4)^(2/3))*SQRT(N162))</f>
        <v/>
      </c>
      <c r="T162" s="8">
        <f>IF(OR(S162="",L162=""),"",L162/(S162*Inputs!$B$10))</f>
        <v/>
      </c>
      <c r="U162" s="8">
        <f>IF(OR(R162="",L162=""),"",4*L162/(PI()*R162^2))</f>
        <v/>
      </c>
      <c r="V162" s="8" t="n"/>
      <c r="W162" s="8">
        <f>IF(A162="","",IF(A162=Inputs!$B$6,Inputs!$B$22,IF(B162="","",IFERROR(INDEX($X$4:$X$203,MATCH(B162,$A$4:$A$203,0))+IF(V162="",Inputs!$B$20,V162),""))))</f>
        <v/>
      </c>
      <c r="X162" s="8">
        <f>IF(OR(W162="",N162="",C162=""),"",W162+N162*C162)</f>
        <v/>
      </c>
      <c r="Y162" s="8" t="n"/>
      <c r="Z162" s="8" t="n"/>
      <c r="AA162" s="8">
        <f>IF(OR(Y162="",W162=""),"",Y162-W162)</f>
        <v/>
      </c>
      <c r="AB162" s="8">
        <f>IF(OR(Z162="",X162=""),"",Z162-X162)</f>
        <v/>
      </c>
      <c r="AC162" s="4">
        <f>IF(A162="","",IF(OR(T162&gt;1,U162&lt;Inputs!$B$11,U162&gt;Inputs!$B$12,AA162&lt;Inputs!$B$19,AB162&lt;Inputs!$B$19,N162&lt;Inputs!$B$7,N162&gt;Inputs!$B$8),"CHECK","OK"))</f>
        <v/>
      </c>
      <c r="AD162" s="4">
        <f>IF(A162="","",(1/Inputs!$B$9)*(PI()*(Inputs!$F$5/1000)^2/4)*((Inputs!$F$5/1000/4)^(2/3))*SQRT(N162))</f>
        <v/>
      </c>
      <c r="AE162" s="4">
        <f>IF(A162="","",(1/Inputs!$B$9)*(PI()*(Inputs!$F$6/1000)^2/4)*((Inputs!$F$6/1000/4)^(2/3))*SQRT(N162))</f>
        <v/>
      </c>
      <c r="AF162" s="4">
        <f>IF(A162="","",(1/Inputs!$B$9)*(PI()*(Inputs!$F$7/1000)^2/4)*((Inputs!$F$7/1000/4)^(2/3))*SQRT(N162))</f>
        <v/>
      </c>
      <c r="AG162" s="4">
        <f>IF(A162="","",(1/Inputs!$B$9)*(PI()*(Inputs!$F$8/1000)^2/4)*((Inputs!$F$8/1000/4)^(2/3))*SQRT(N162))</f>
        <v/>
      </c>
      <c r="AH162" s="4">
        <f>IF(A162="","",(1/Inputs!$B$9)*(PI()*(Inputs!$F$9/1000)^2/4)*((Inputs!$F$9/1000/4)^(2/3))*SQRT(N162))</f>
        <v/>
      </c>
      <c r="AI162" s="4">
        <f>IF(A162="","",(1/Inputs!$B$9)*(PI()*(Inputs!$F$10/1000)^2/4)*((Inputs!$F$10/1000/4)^(2/3))*SQRT(N162))</f>
        <v/>
      </c>
      <c r="AJ162" s="4">
        <f>IF(A162="","",(1/Inputs!$B$9)*(PI()*(Inputs!$F$11/1000)^2/4)*((Inputs!$F$11/1000/4)^(2/3))*SQRT(N162))</f>
        <v/>
      </c>
      <c r="AK162" s="4">
        <f>IF(A162="","",(1/Inputs!$B$9)*(PI()*(Inputs!$F$12/1000)^2/4)*((Inputs!$F$12/1000/4)^(2/3))*SQRT(N162))</f>
        <v/>
      </c>
      <c r="AL162" s="4">
        <f>IF(A162="","",(1/Inputs!$B$9)*(PI()*(Inputs!$F$13/1000)^2/4)*((Inputs!$F$13/1000/4)^(2/3))*SQRT(N162))</f>
        <v/>
      </c>
      <c r="AM162" s="4">
        <f>IF(A162="","",(1/Inputs!$B$9)*(PI()*(Inputs!$F$14/1000)^2/4)*((Inputs!$F$14/1000/4)^(2/3))*SQRT(N162))</f>
        <v/>
      </c>
    </row>
    <row r="163">
      <c r="A163" s="4" t="n"/>
      <c r="B163" s="4" t="n"/>
      <c r="C163" s="8" t="n"/>
      <c r="D163" s="8" t="n"/>
      <c r="E163" s="8">
        <f>SUMIFS(CB_Tributaires!$C:$C,CB_Tributaires!$B:$B,$A163)</f>
        <v/>
      </c>
      <c r="F163" s="8">
        <f>IF(D163="",E163,D163)</f>
        <v/>
      </c>
      <c r="G163" s="4" t="n"/>
      <c r="H163" s="8" t="n"/>
      <c r="I163" s="8">
        <f>IF(A163="","",Inputs!$B$13/((IF(H163="",Inputs!$B$18,H163)+Inputs!$B$14)^Inputs!$B$15))</f>
        <v/>
      </c>
      <c r="J163" s="8">
        <f>IF(A163="","",0.00278*IF(G163="",Inputs!$B$17,G163)*F163*I163)</f>
        <v/>
      </c>
      <c r="K163" s="8">
        <f>IF(A163="","",SUMIFS($L$4:$L$203,$B$4:$B$203,$A163))</f>
        <v/>
      </c>
      <c r="L163" s="8">
        <f>IF(A163="","",(J163+K163)*Inputs!$B$16)</f>
        <v/>
      </c>
      <c r="M163" s="8" t="n"/>
      <c r="N163" s="8">
        <f>IF(A163="","",IF(M163="",Inputs!$B$7,M163))</f>
        <v/>
      </c>
      <c r="O163" s="4">
        <f>IF(A163="","",IF(L163/Inputs!$B$10&lt;=AD163,Inputs!$F$5,IF(L163/Inputs!$B$10&gt;AM163,"OVERSIZE",INDEX(Inputs!$F$5:$F$14,MATCH(L163/Inputs!$B$10,AD163:AM163,1)+1))))</f>
        <v/>
      </c>
      <c r="P163" s="4" t="n"/>
      <c r="Q163" s="4">
        <f>IF(A163="","",IF(P163="",O163,P163))</f>
        <v/>
      </c>
      <c r="R163" s="8">
        <f>IF(OR(Q163="",Q163="OVERSIZE"),"",Q163/1000)</f>
        <v/>
      </c>
      <c r="S163" s="8">
        <f>IF(R163="","",(1/Inputs!$B$9)*(PI()*R163^2/4)*((R163/4)^(2/3))*SQRT(N163))</f>
        <v/>
      </c>
      <c r="T163" s="8">
        <f>IF(OR(S163="",L163=""),"",L163/(S163*Inputs!$B$10))</f>
        <v/>
      </c>
      <c r="U163" s="8">
        <f>IF(OR(R163="",L163=""),"",4*L163/(PI()*R163^2))</f>
        <v/>
      </c>
      <c r="V163" s="8" t="n"/>
      <c r="W163" s="8">
        <f>IF(A163="","",IF(A163=Inputs!$B$6,Inputs!$B$22,IF(B163="","",IFERROR(INDEX($X$4:$X$203,MATCH(B163,$A$4:$A$203,0))+IF(V163="",Inputs!$B$20,V163),""))))</f>
        <v/>
      </c>
      <c r="X163" s="8">
        <f>IF(OR(W163="",N163="",C163=""),"",W163+N163*C163)</f>
        <v/>
      </c>
      <c r="Y163" s="8" t="n"/>
      <c r="Z163" s="8" t="n"/>
      <c r="AA163" s="8">
        <f>IF(OR(Y163="",W163=""),"",Y163-W163)</f>
        <v/>
      </c>
      <c r="AB163" s="8">
        <f>IF(OR(Z163="",X163=""),"",Z163-X163)</f>
        <v/>
      </c>
      <c r="AC163" s="4">
        <f>IF(A163="","",IF(OR(T163&gt;1,U163&lt;Inputs!$B$11,U163&gt;Inputs!$B$12,AA163&lt;Inputs!$B$19,AB163&lt;Inputs!$B$19,N163&lt;Inputs!$B$7,N163&gt;Inputs!$B$8),"CHECK","OK"))</f>
        <v/>
      </c>
      <c r="AD163" s="4">
        <f>IF(A163="","",(1/Inputs!$B$9)*(PI()*(Inputs!$F$5/1000)^2/4)*((Inputs!$F$5/1000/4)^(2/3))*SQRT(N163))</f>
        <v/>
      </c>
      <c r="AE163" s="4">
        <f>IF(A163="","",(1/Inputs!$B$9)*(PI()*(Inputs!$F$6/1000)^2/4)*((Inputs!$F$6/1000/4)^(2/3))*SQRT(N163))</f>
        <v/>
      </c>
      <c r="AF163" s="4">
        <f>IF(A163="","",(1/Inputs!$B$9)*(PI()*(Inputs!$F$7/1000)^2/4)*((Inputs!$F$7/1000/4)^(2/3))*SQRT(N163))</f>
        <v/>
      </c>
      <c r="AG163" s="4">
        <f>IF(A163="","",(1/Inputs!$B$9)*(PI()*(Inputs!$F$8/1000)^2/4)*((Inputs!$F$8/1000/4)^(2/3))*SQRT(N163))</f>
        <v/>
      </c>
      <c r="AH163" s="4">
        <f>IF(A163="","",(1/Inputs!$B$9)*(PI()*(Inputs!$F$9/1000)^2/4)*((Inputs!$F$9/1000/4)^(2/3))*SQRT(N163))</f>
        <v/>
      </c>
      <c r="AI163" s="4">
        <f>IF(A163="","",(1/Inputs!$B$9)*(PI()*(Inputs!$F$10/1000)^2/4)*((Inputs!$F$10/1000/4)^(2/3))*SQRT(N163))</f>
        <v/>
      </c>
      <c r="AJ163" s="4">
        <f>IF(A163="","",(1/Inputs!$B$9)*(PI()*(Inputs!$F$11/1000)^2/4)*((Inputs!$F$11/1000/4)^(2/3))*SQRT(N163))</f>
        <v/>
      </c>
      <c r="AK163" s="4">
        <f>IF(A163="","",(1/Inputs!$B$9)*(PI()*(Inputs!$F$12/1000)^2/4)*((Inputs!$F$12/1000/4)^(2/3))*SQRT(N163))</f>
        <v/>
      </c>
      <c r="AL163" s="4">
        <f>IF(A163="","",(1/Inputs!$B$9)*(PI()*(Inputs!$F$13/1000)^2/4)*((Inputs!$F$13/1000/4)^(2/3))*SQRT(N163))</f>
        <v/>
      </c>
      <c r="AM163" s="4">
        <f>IF(A163="","",(1/Inputs!$B$9)*(PI()*(Inputs!$F$14/1000)^2/4)*((Inputs!$F$14/1000/4)^(2/3))*SQRT(N163))</f>
        <v/>
      </c>
    </row>
    <row r="164">
      <c r="A164" s="4" t="n"/>
      <c r="B164" s="4" t="n"/>
      <c r="C164" s="8" t="n"/>
      <c r="D164" s="8" t="n"/>
      <c r="E164" s="8">
        <f>SUMIFS(CB_Tributaires!$C:$C,CB_Tributaires!$B:$B,$A164)</f>
        <v/>
      </c>
      <c r="F164" s="8">
        <f>IF(D164="",E164,D164)</f>
        <v/>
      </c>
      <c r="G164" s="4" t="n"/>
      <c r="H164" s="8" t="n"/>
      <c r="I164" s="8">
        <f>IF(A164="","",Inputs!$B$13/((IF(H164="",Inputs!$B$18,H164)+Inputs!$B$14)^Inputs!$B$15))</f>
        <v/>
      </c>
      <c r="J164" s="8">
        <f>IF(A164="","",0.00278*IF(G164="",Inputs!$B$17,G164)*F164*I164)</f>
        <v/>
      </c>
      <c r="K164" s="8">
        <f>IF(A164="","",SUMIFS($L$4:$L$203,$B$4:$B$203,$A164))</f>
        <v/>
      </c>
      <c r="L164" s="8">
        <f>IF(A164="","",(J164+K164)*Inputs!$B$16)</f>
        <v/>
      </c>
      <c r="M164" s="8" t="n"/>
      <c r="N164" s="8">
        <f>IF(A164="","",IF(M164="",Inputs!$B$7,M164))</f>
        <v/>
      </c>
      <c r="O164" s="4">
        <f>IF(A164="","",IF(L164/Inputs!$B$10&lt;=AD164,Inputs!$F$5,IF(L164/Inputs!$B$10&gt;AM164,"OVERSIZE",INDEX(Inputs!$F$5:$F$14,MATCH(L164/Inputs!$B$10,AD164:AM164,1)+1))))</f>
        <v/>
      </c>
      <c r="P164" s="4" t="n"/>
      <c r="Q164" s="4">
        <f>IF(A164="","",IF(P164="",O164,P164))</f>
        <v/>
      </c>
      <c r="R164" s="8">
        <f>IF(OR(Q164="",Q164="OVERSIZE"),"",Q164/1000)</f>
        <v/>
      </c>
      <c r="S164" s="8">
        <f>IF(R164="","",(1/Inputs!$B$9)*(PI()*R164^2/4)*((R164/4)^(2/3))*SQRT(N164))</f>
        <v/>
      </c>
      <c r="T164" s="8">
        <f>IF(OR(S164="",L164=""),"",L164/(S164*Inputs!$B$10))</f>
        <v/>
      </c>
      <c r="U164" s="8">
        <f>IF(OR(R164="",L164=""),"",4*L164/(PI()*R164^2))</f>
        <v/>
      </c>
      <c r="V164" s="8" t="n"/>
      <c r="W164" s="8">
        <f>IF(A164="","",IF(A164=Inputs!$B$6,Inputs!$B$22,IF(B164="","",IFERROR(INDEX($X$4:$X$203,MATCH(B164,$A$4:$A$203,0))+IF(V164="",Inputs!$B$20,V164),""))))</f>
        <v/>
      </c>
      <c r="X164" s="8">
        <f>IF(OR(W164="",N164="",C164=""),"",W164+N164*C164)</f>
        <v/>
      </c>
      <c r="Y164" s="8" t="n"/>
      <c r="Z164" s="8" t="n"/>
      <c r="AA164" s="8">
        <f>IF(OR(Y164="",W164=""),"",Y164-W164)</f>
        <v/>
      </c>
      <c r="AB164" s="8">
        <f>IF(OR(Z164="",X164=""),"",Z164-X164)</f>
        <v/>
      </c>
      <c r="AC164" s="4">
        <f>IF(A164="","",IF(OR(T164&gt;1,U164&lt;Inputs!$B$11,U164&gt;Inputs!$B$12,AA164&lt;Inputs!$B$19,AB164&lt;Inputs!$B$19,N164&lt;Inputs!$B$7,N164&gt;Inputs!$B$8),"CHECK","OK"))</f>
        <v/>
      </c>
      <c r="AD164" s="4">
        <f>IF(A164="","",(1/Inputs!$B$9)*(PI()*(Inputs!$F$5/1000)^2/4)*((Inputs!$F$5/1000/4)^(2/3))*SQRT(N164))</f>
        <v/>
      </c>
      <c r="AE164" s="4">
        <f>IF(A164="","",(1/Inputs!$B$9)*(PI()*(Inputs!$F$6/1000)^2/4)*((Inputs!$F$6/1000/4)^(2/3))*SQRT(N164))</f>
        <v/>
      </c>
      <c r="AF164" s="4">
        <f>IF(A164="","",(1/Inputs!$B$9)*(PI()*(Inputs!$F$7/1000)^2/4)*((Inputs!$F$7/1000/4)^(2/3))*SQRT(N164))</f>
        <v/>
      </c>
      <c r="AG164" s="4">
        <f>IF(A164="","",(1/Inputs!$B$9)*(PI()*(Inputs!$F$8/1000)^2/4)*((Inputs!$F$8/1000/4)^(2/3))*SQRT(N164))</f>
        <v/>
      </c>
      <c r="AH164" s="4">
        <f>IF(A164="","",(1/Inputs!$B$9)*(PI()*(Inputs!$F$9/1000)^2/4)*((Inputs!$F$9/1000/4)^(2/3))*SQRT(N164))</f>
        <v/>
      </c>
      <c r="AI164" s="4">
        <f>IF(A164="","",(1/Inputs!$B$9)*(PI()*(Inputs!$F$10/1000)^2/4)*((Inputs!$F$10/1000/4)^(2/3))*SQRT(N164))</f>
        <v/>
      </c>
      <c r="AJ164" s="4">
        <f>IF(A164="","",(1/Inputs!$B$9)*(PI()*(Inputs!$F$11/1000)^2/4)*((Inputs!$F$11/1000/4)^(2/3))*SQRT(N164))</f>
        <v/>
      </c>
      <c r="AK164" s="4">
        <f>IF(A164="","",(1/Inputs!$B$9)*(PI()*(Inputs!$F$12/1000)^2/4)*((Inputs!$F$12/1000/4)^(2/3))*SQRT(N164))</f>
        <v/>
      </c>
      <c r="AL164" s="4">
        <f>IF(A164="","",(1/Inputs!$B$9)*(PI()*(Inputs!$F$13/1000)^2/4)*((Inputs!$F$13/1000/4)^(2/3))*SQRT(N164))</f>
        <v/>
      </c>
      <c r="AM164" s="4">
        <f>IF(A164="","",(1/Inputs!$B$9)*(PI()*(Inputs!$F$14/1000)^2/4)*((Inputs!$F$14/1000/4)^(2/3))*SQRT(N164))</f>
        <v/>
      </c>
    </row>
    <row r="165">
      <c r="A165" s="4" t="n"/>
      <c r="B165" s="4" t="n"/>
      <c r="C165" s="8" t="n"/>
      <c r="D165" s="8" t="n"/>
      <c r="E165" s="8">
        <f>SUMIFS(CB_Tributaires!$C:$C,CB_Tributaires!$B:$B,$A165)</f>
        <v/>
      </c>
      <c r="F165" s="8">
        <f>IF(D165="",E165,D165)</f>
        <v/>
      </c>
      <c r="G165" s="4" t="n"/>
      <c r="H165" s="8" t="n"/>
      <c r="I165" s="8">
        <f>IF(A165="","",Inputs!$B$13/((IF(H165="",Inputs!$B$18,H165)+Inputs!$B$14)^Inputs!$B$15))</f>
        <v/>
      </c>
      <c r="J165" s="8">
        <f>IF(A165="","",0.00278*IF(G165="",Inputs!$B$17,G165)*F165*I165)</f>
        <v/>
      </c>
      <c r="K165" s="8">
        <f>IF(A165="","",SUMIFS($L$4:$L$203,$B$4:$B$203,$A165))</f>
        <v/>
      </c>
      <c r="L165" s="8">
        <f>IF(A165="","",(J165+K165)*Inputs!$B$16)</f>
        <v/>
      </c>
      <c r="M165" s="8" t="n"/>
      <c r="N165" s="8">
        <f>IF(A165="","",IF(M165="",Inputs!$B$7,M165))</f>
        <v/>
      </c>
      <c r="O165" s="4">
        <f>IF(A165="","",IF(L165/Inputs!$B$10&lt;=AD165,Inputs!$F$5,IF(L165/Inputs!$B$10&gt;AM165,"OVERSIZE",INDEX(Inputs!$F$5:$F$14,MATCH(L165/Inputs!$B$10,AD165:AM165,1)+1))))</f>
        <v/>
      </c>
      <c r="P165" s="4" t="n"/>
      <c r="Q165" s="4">
        <f>IF(A165="","",IF(P165="",O165,P165))</f>
        <v/>
      </c>
      <c r="R165" s="8">
        <f>IF(OR(Q165="",Q165="OVERSIZE"),"",Q165/1000)</f>
        <v/>
      </c>
      <c r="S165" s="8">
        <f>IF(R165="","",(1/Inputs!$B$9)*(PI()*R165^2/4)*((R165/4)^(2/3))*SQRT(N165))</f>
        <v/>
      </c>
      <c r="T165" s="8">
        <f>IF(OR(S165="",L165=""),"",L165/(S165*Inputs!$B$10))</f>
        <v/>
      </c>
      <c r="U165" s="8">
        <f>IF(OR(R165="",L165=""),"",4*L165/(PI()*R165^2))</f>
        <v/>
      </c>
      <c r="V165" s="8" t="n"/>
      <c r="W165" s="8">
        <f>IF(A165="","",IF(A165=Inputs!$B$6,Inputs!$B$22,IF(B165="","",IFERROR(INDEX($X$4:$X$203,MATCH(B165,$A$4:$A$203,0))+IF(V165="",Inputs!$B$20,V165),""))))</f>
        <v/>
      </c>
      <c r="X165" s="8">
        <f>IF(OR(W165="",N165="",C165=""),"",W165+N165*C165)</f>
        <v/>
      </c>
      <c r="Y165" s="8" t="n"/>
      <c r="Z165" s="8" t="n"/>
      <c r="AA165" s="8">
        <f>IF(OR(Y165="",W165=""),"",Y165-W165)</f>
        <v/>
      </c>
      <c r="AB165" s="8">
        <f>IF(OR(Z165="",X165=""),"",Z165-X165)</f>
        <v/>
      </c>
      <c r="AC165" s="4">
        <f>IF(A165="","",IF(OR(T165&gt;1,U165&lt;Inputs!$B$11,U165&gt;Inputs!$B$12,AA165&lt;Inputs!$B$19,AB165&lt;Inputs!$B$19,N165&lt;Inputs!$B$7,N165&gt;Inputs!$B$8),"CHECK","OK"))</f>
        <v/>
      </c>
      <c r="AD165" s="4">
        <f>IF(A165="","",(1/Inputs!$B$9)*(PI()*(Inputs!$F$5/1000)^2/4)*((Inputs!$F$5/1000/4)^(2/3))*SQRT(N165))</f>
        <v/>
      </c>
      <c r="AE165" s="4">
        <f>IF(A165="","",(1/Inputs!$B$9)*(PI()*(Inputs!$F$6/1000)^2/4)*((Inputs!$F$6/1000/4)^(2/3))*SQRT(N165))</f>
        <v/>
      </c>
      <c r="AF165" s="4">
        <f>IF(A165="","",(1/Inputs!$B$9)*(PI()*(Inputs!$F$7/1000)^2/4)*((Inputs!$F$7/1000/4)^(2/3))*SQRT(N165))</f>
        <v/>
      </c>
      <c r="AG165" s="4">
        <f>IF(A165="","",(1/Inputs!$B$9)*(PI()*(Inputs!$F$8/1000)^2/4)*((Inputs!$F$8/1000/4)^(2/3))*SQRT(N165))</f>
        <v/>
      </c>
      <c r="AH165" s="4">
        <f>IF(A165="","",(1/Inputs!$B$9)*(PI()*(Inputs!$F$9/1000)^2/4)*((Inputs!$F$9/1000/4)^(2/3))*SQRT(N165))</f>
        <v/>
      </c>
      <c r="AI165" s="4">
        <f>IF(A165="","",(1/Inputs!$B$9)*(PI()*(Inputs!$F$10/1000)^2/4)*((Inputs!$F$10/1000/4)^(2/3))*SQRT(N165))</f>
        <v/>
      </c>
      <c r="AJ165" s="4">
        <f>IF(A165="","",(1/Inputs!$B$9)*(PI()*(Inputs!$F$11/1000)^2/4)*((Inputs!$F$11/1000/4)^(2/3))*SQRT(N165))</f>
        <v/>
      </c>
      <c r="AK165" s="4">
        <f>IF(A165="","",(1/Inputs!$B$9)*(PI()*(Inputs!$F$12/1000)^2/4)*((Inputs!$F$12/1000/4)^(2/3))*SQRT(N165))</f>
        <v/>
      </c>
      <c r="AL165" s="4">
        <f>IF(A165="","",(1/Inputs!$B$9)*(PI()*(Inputs!$F$13/1000)^2/4)*((Inputs!$F$13/1000/4)^(2/3))*SQRT(N165))</f>
        <v/>
      </c>
      <c r="AM165" s="4">
        <f>IF(A165="","",(1/Inputs!$B$9)*(PI()*(Inputs!$F$14/1000)^2/4)*((Inputs!$F$14/1000/4)^(2/3))*SQRT(N165))</f>
        <v/>
      </c>
    </row>
    <row r="166">
      <c r="A166" s="4" t="n"/>
      <c r="B166" s="4" t="n"/>
      <c r="C166" s="8" t="n"/>
      <c r="D166" s="8" t="n"/>
      <c r="E166" s="8">
        <f>SUMIFS(CB_Tributaires!$C:$C,CB_Tributaires!$B:$B,$A166)</f>
        <v/>
      </c>
      <c r="F166" s="8">
        <f>IF(D166="",E166,D166)</f>
        <v/>
      </c>
      <c r="G166" s="4" t="n"/>
      <c r="H166" s="8" t="n"/>
      <c r="I166" s="8">
        <f>IF(A166="","",Inputs!$B$13/((IF(H166="",Inputs!$B$18,H166)+Inputs!$B$14)^Inputs!$B$15))</f>
        <v/>
      </c>
      <c r="J166" s="8">
        <f>IF(A166="","",0.00278*IF(G166="",Inputs!$B$17,G166)*F166*I166)</f>
        <v/>
      </c>
      <c r="K166" s="8">
        <f>IF(A166="","",SUMIFS($L$4:$L$203,$B$4:$B$203,$A166))</f>
        <v/>
      </c>
      <c r="L166" s="8">
        <f>IF(A166="","",(J166+K166)*Inputs!$B$16)</f>
        <v/>
      </c>
      <c r="M166" s="8" t="n"/>
      <c r="N166" s="8">
        <f>IF(A166="","",IF(M166="",Inputs!$B$7,M166))</f>
        <v/>
      </c>
      <c r="O166" s="4">
        <f>IF(A166="","",IF(L166/Inputs!$B$10&lt;=AD166,Inputs!$F$5,IF(L166/Inputs!$B$10&gt;AM166,"OVERSIZE",INDEX(Inputs!$F$5:$F$14,MATCH(L166/Inputs!$B$10,AD166:AM166,1)+1))))</f>
        <v/>
      </c>
      <c r="P166" s="4" t="n"/>
      <c r="Q166" s="4">
        <f>IF(A166="","",IF(P166="",O166,P166))</f>
        <v/>
      </c>
      <c r="R166" s="8">
        <f>IF(OR(Q166="",Q166="OVERSIZE"),"",Q166/1000)</f>
        <v/>
      </c>
      <c r="S166" s="8">
        <f>IF(R166="","",(1/Inputs!$B$9)*(PI()*R166^2/4)*((R166/4)^(2/3))*SQRT(N166))</f>
        <v/>
      </c>
      <c r="T166" s="8">
        <f>IF(OR(S166="",L166=""),"",L166/(S166*Inputs!$B$10))</f>
        <v/>
      </c>
      <c r="U166" s="8">
        <f>IF(OR(R166="",L166=""),"",4*L166/(PI()*R166^2))</f>
        <v/>
      </c>
      <c r="V166" s="8" t="n"/>
      <c r="W166" s="8">
        <f>IF(A166="","",IF(A166=Inputs!$B$6,Inputs!$B$22,IF(B166="","",IFERROR(INDEX($X$4:$X$203,MATCH(B166,$A$4:$A$203,0))+IF(V166="",Inputs!$B$20,V166),""))))</f>
        <v/>
      </c>
      <c r="X166" s="8">
        <f>IF(OR(W166="",N166="",C166=""),"",W166+N166*C166)</f>
        <v/>
      </c>
      <c r="Y166" s="8" t="n"/>
      <c r="Z166" s="8" t="n"/>
      <c r="AA166" s="8">
        <f>IF(OR(Y166="",W166=""),"",Y166-W166)</f>
        <v/>
      </c>
      <c r="AB166" s="8">
        <f>IF(OR(Z166="",X166=""),"",Z166-X166)</f>
        <v/>
      </c>
      <c r="AC166" s="4">
        <f>IF(A166="","",IF(OR(T166&gt;1,U166&lt;Inputs!$B$11,U166&gt;Inputs!$B$12,AA166&lt;Inputs!$B$19,AB166&lt;Inputs!$B$19,N166&lt;Inputs!$B$7,N166&gt;Inputs!$B$8),"CHECK","OK"))</f>
        <v/>
      </c>
      <c r="AD166" s="4">
        <f>IF(A166="","",(1/Inputs!$B$9)*(PI()*(Inputs!$F$5/1000)^2/4)*((Inputs!$F$5/1000/4)^(2/3))*SQRT(N166))</f>
        <v/>
      </c>
      <c r="AE166" s="4">
        <f>IF(A166="","",(1/Inputs!$B$9)*(PI()*(Inputs!$F$6/1000)^2/4)*((Inputs!$F$6/1000/4)^(2/3))*SQRT(N166))</f>
        <v/>
      </c>
      <c r="AF166" s="4">
        <f>IF(A166="","",(1/Inputs!$B$9)*(PI()*(Inputs!$F$7/1000)^2/4)*((Inputs!$F$7/1000/4)^(2/3))*SQRT(N166))</f>
        <v/>
      </c>
      <c r="AG166" s="4">
        <f>IF(A166="","",(1/Inputs!$B$9)*(PI()*(Inputs!$F$8/1000)^2/4)*((Inputs!$F$8/1000/4)^(2/3))*SQRT(N166))</f>
        <v/>
      </c>
      <c r="AH166" s="4">
        <f>IF(A166="","",(1/Inputs!$B$9)*(PI()*(Inputs!$F$9/1000)^2/4)*((Inputs!$F$9/1000/4)^(2/3))*SQRT(N166))</f>
        <v/>
      </c>
      <c r="AI166" s="4">
        <f>IF(A166="","",(1/Inputs!$B$9)*(PI()*(Inputs!$F$10/1000)^2/4)*((Inputs!$F$10/1000/4)^(2/3))*SQRT(N166))</f>
        <v/>
      </c>
      <c r="AJ166" s="4">
        <f>IF(A166="","",(1/Inputs!$B$9)*(PI()*(Inputs!$F$11/1000)^2/4)*((Inputs!$F$11/1000/4)^(2/3))*SQRT(N166))</f>
        <v/>
      </c>
      <c r="AK166" s="4">
        <f>IF(A166="","",(1/Inputs!$B$9)*(PI()*(Inputs!$F$12/1000)^2/4)*((Inputs!$F$12/1000/4)^(2/3))*SQRT(N166))</f>
        <v/>
      </c>
      <c r="AL166" s="4">
        <f>IF(A166="","",(1/Inputs!$B$9)*(PI()*(Inputs!$F$13/1000)^2/4)*((Inputs!$F$13/1000/4)^(2/3))*SQRT(N166))</f>
        <v/>
      </c>
      <c r="AM166" s="4">
        <f>IF(A166="","",(1/Inputs!$B$9)*(PI()*(Inputs!$F$14/1000)^2/4)*((Inputs!$F$14/1000/4)^(2/3))*SQRT(N166))</f>
        <v/>
      </c>
    </row>
    <row r="167">
      <c r="A167" s="4" t="n"/>
      <c r="B167" s="4" t="n"/>
      <c r="C167" s="8" t="n"/>
      <c r="D167" s="8" t="n"/>
      <c r="E167" s="8">
        <f>SUMIFS(CB_Tributaires!$C:$C,CB_Tributaires!$B:$B,$A167)</f>
        <v/>
      </c>
      <c r="F167" s="8">
        <f>IF(D167="",E167,D167)</f>
        <v/>
      </c>
      <c r="G167" s="4" t="n"/>
      <c r="H167" s="8" t="n"/>
      <c r="I167" s="8">
        <f>IF(A167="","",Inputs!$B$13/((IF(H167="",Inputs!$B$18,H167)+Inputs!$B$14)^Inputs!$B$15))</f>
        <v/>
      </c>
      <c r="J167" s="8">
        <f>IF(A167="","",0.00278*IF(G167="",Inputs!$B$17,G167)*F167*I167)</f>
        <v/>
      </c>
      <c r="K167" s="8">
        <f>IF(A167="","",SUMIFS($L$4:$L$203,$B$4:$B$203,$A167))</f>
        <v/>
      </c>
      <c r="L167" s="8">
        <f>IF(A167="","",(J167+K167)*Inputs!$B$16)</f>
        <v/>
      </c>
      <c r="M167" s="8" t="n"/>
      <c r="N167" s="8">
        <f>IF(A167="","",IF(M167="",Inputs!$B$7,M167))</f>
        <v/>
      </c>
      <c r="O167" s="4">
        <f>IF(A167="","",IF(L167/Inputs!$B$10&lt;=AD167,Inputs!$F$5,IF(L167/Inputs!$B$10&gt;AM167,"OVERSIZE",INDEX(Inputs!$F$5:$F$14,MATCH(L167/Inputs!$B$10,AD167:AM167,1)+1))))</f>
        <v/>
      </c>
      <c r="P167" s="4" t="n"/>
      <c r="Q167" s="4">
        <f>IF(A167="","",IF(P167="",O167,P167))</f>
        <v/>
      </c>
      <c r="R167" s="8">
        <f>IF(OR(Q167="",Q167="OVERSIZE"),"",Q167/1000)</f>
        <v/>
      </c>
      <c r="S167" s="8">
        <f>IF(R167="","",(1/Inputs!$B$9)*(PI()*R167^2/4)*((R167/4)^(2/3))*SQRT(N167))</f>
        <v/>
      </c>
      <c r="T167" s="8">
        <f>IF(OR(S167="",L167=""),"",L167/(S167*Inputs!$B$10))</f>
        <v/>
      </c>
      <c r="U167" s="8">
        <f>IF(OR(R167="",L167=""),"",4*L167/(PI()*R167^2))</f>
        <v/>
      </c>
      <c r="V167" s="8" t="n"/>
      <c r="W167" s="8">
        <f>IF(A167="","",IF(A167=Inputs!$B$6,Inputs!$B$22,IF(B167="","",IFERROR(INDEX($X$4:$X$203,MATCH(B167,$A$4:$A$203,0))+IF(V167="",Inputs!$B$20,V167),""))))</f>
        <v/>
      </c>
      <c r="X167" s="8">
        <f>IF(OR(W167="",N167="",C167=""),"",W167+N167*C167)</f>
        <v/>
      </c>
      <c r="Y167" s="8" t="n"/>
      <c r="Z167" s="8" t="n"/>
      <c r="AA167" s="8">
        <f>IF(OR(Y167="",W167=""),"",Y167-W167)</f>
        <v/>
      </c>
      <c r="AB167" s="8">
        <f>IF(OR(Z167="",X167=""),"",Z167-X167)</f>
        <v/>
      </c>
      <c r="AC167" s="4">
        <f>IF(A167="","",IF(OR(T167&gt;1,U167&lt;Inputs!$B$11,U167&gt;Inputs!$B$12,AA167&lt;Inputs!$B$19,AB167&lt;Inputs!$B$19,N167&lt;Inputs!$B$7,N167&gt;Inputs!$B$8),"CHECK","OK"))</f>
        <v/>
      </c>
      <c r="AD167" s="4">
        <f>IF(A167="","",(1/Inputs!$B$9)*(PI()*(Inputs!$F$5/1000)^2/4)*((Inputs!$F$5/1000/4)^(2/3))*SQRT(N167))</f>
        <v/>
      </c>
      <c r="AE167" s="4">
        <f>IF(A167="","",(1/Inputs!$B$9)*(PI()*(Inputs!$F$6/1000)^2/4)*((Inputs!$F$6/1000/4)^(2/3))*SQRT(N167))</f>
        <v/>
      </c>
      <c r="AF167" s="4">
        <f>IF(A167="","",(1/Inputs!$B$9)*(PI()*(Inputs!$F$7/1000)^2/4)*((Inputs!$F$7/1000/4)^(2/3))*SQRT(N167))</f>
        <v/>
      </c>
      <c r="AG167" s="4">
        <f>IF(A167="","",(1/Inputs!$B$9)*(PI()*(Inputs!$F$8/1000)^2/4)*((Inputs!$F$8/1000/4)^(2/3))*SQRT(N167))</f>
        <v/>
      </c>
      <c r="AH167" s="4">
        <f>IF(A167="","",(1/Inputs!$B$9)*(PI()*(Inputs!$F$9/1000)^2/4)*((Inputs!$F$9/1000/4)^(2/3))*SQRT(N167))</f>
        <v/>
      </c>
      <c r="AI167" s="4">
        <f>IF(A167="","",(1/Inputs!$B$9)*(PI()*(Inputs!$F$10/1000)^2/4)*((Inputs!$F$10/1000/4)^(2/3))*SQRT(N167))</f>
        <v/>
      </c>
      <c r="AJ167" s="4">
        <f>IF(A167="","",(1/Inputs!$B$9)*(PI()*(Inputs!$F$11/1000)^2/4)*((Inputs!$F$11/1000/4)^(2/3))*SQRT(N167))</f>
        <v/>
      </c>
      <c r="AK167" s="4">
        <f>IF(A167="","",(1/Inputs!$B$9)*(PI()*(Inputs!$F$12/1000)^2/4)*((Inputs!$F$12/1000/4)^(2/3))*SQRT(N167))</f>
        <v/>
      </c>
      <c r="AL167" s="4">
        <f>IF(A167="","",(1/Inputs!$B$9)*(PI()*(Inputs!$F$13/1000)^2/4)*((Inputs!$F$13/1000/4)^(2/3))*SQRT(N167))</f>
        <v/>
      </c>
      <c r="AM167" s="4">
        <f>IF(A167="","",(1/Inputs!$B$9)*(PI()*(Inputs!$F$14/1000)^2/4)*((Inputs!$F$14/1000/4)^(2/3))*SQRT(N167))</f>
        <v/>
      </c>
    </row>
    <row r="168">
      <c r="A168" s="4" t="n"/>
      <c r="B168" s="4" t="n"/>
      <c r="C168" s="8" t="n"/>
      <c r="D168" s="8" t="n"/>
      <c r="E168" s="8">
        <f>SUMIFS(CB_Tributaires!$C:$C,CB_Tributaires!$B:$B,$A168)</f>
        <v/>
      </c>
      <c r="F168" s="8">
        <f>IF(D168="",E168,D168)</f>
        <v/>
      </c>
      <c r="G168" s="4" t="n"/>
      <c r="H168" s="8" t="n"/>
      <c r="I168" s="8">
        <f>IF(A168="","",Inputs!$B$13/((IF(H168="",Inputs!$B$18,H168)+Inputs!$B$14)^Inputs!$B$15))</f>
        <v/>
      </c>
      <c r="J168" s="8">
        <f>IF(A168="","",0.00278*IF(G168="",Inputs!$B$17,G168)*F168*I168)</f>
        <v/>
      </c>
      <c r="K168" s="8">
        <f>IF(A168="","",SUMIFS($L$4:$L$203,$B$4:$B$203,$A168))</f>
        <v/>
      </c>
      <c r="L168" s="8">
        <f>IF(A168="","",(J168+K168)*Inputs!$B$16)</f>
        <v/>
      </c>
      <c r="M168" s="8" t="n"/>
      <c r="N168" s="8">
        <f>IF(A168="","",IF(M168="",Inputs!$B$7,M168))</f>
        <v/>
      </c>
      <c r="O168" s="4">
        <f>IF(A168="","",IF(L168/Inputs!$B$10&lt;=AD168,Inputs!$F$5,IF(L168/Inputs!$B$10&gt;AM168,"OVERSIZE",INDEX(Inputs!$F$5:$F$14,MATCH(L168/Inputs!$B$10,AD168:AM168,1)+1))))</f>
        <v/>
      </c>
      <c r="P168" s="4" t="n"/>
      <c r="Q168" s="4">
        <f>IF(A168="","",IF(P168="",O168,P168))</f>
        <v/>
      </c>
      <c r="R168" s="8">
        <f>IF(OR(Q168="",Q168="OVERSIZE"),"",Q168/1000)</f>
        <v/>
      </c>
      <c r="S168" s="8">
        <f>IF(R168="","",(1/Inputs!$B$9)*(PI()*R168^2/4)*((R168/4)^(2/3))*SQRT(N168))</f>
        <v/>
      </c>
      <c r="T168" s="8">
        <f>IF(OR(S168="",L168=""),"",L168/(S168*Inputs!$B$10))</f>
        <v/>
      </c>
      <c r="U168" s="8">
        <f>IF(OR(R168="",L168=""),"",4*L168/(PI()*R168^2))</f>
        <v/>
      </c>
      <c r="V168" s="8" t="n"/>
      <c r="W168" s="8">
        <f>IF(A168="","",IF(A168=Inputs!$B$6,Inputs!$B$22,IF(B168="","",IFERROR(INDEX($X$4:$X$203,MATCH(B168,$A$4:$A$203,0))+IF(V168="",Inputs!$B$20,V168),""))))</f>
        <v/>
      </c>
      <c r="X168" s="8">
        <f>IF(OR(W168="",N168="",C168=""),"",W168+N168*C168)</f>
        <v/>
      </c>
      <c r="Y168" s="8" t="n"/>
      <c r="Z168" s="8" t="n"/>
      <c r="AA168" s="8">
        <f>IF(OR(Y168="",W168=""),"",Y168-W168)</f>
        <v/>
      </c>
      <c r="AB168" s="8">
        <f>IF(OR(Z168="",X168=""),"",Z168-X168)</f>
        <v/>
      </c>
      <c r="AC168" s="4">
        <f>IF(A168="","",IF(OR(T168&gt;1,U168&lt;Inputs!$B$11,U168&gt;Inputs!$B$12,AA168&lt;Inputs!$B$19,AB168&lt;Inputs!$B$19,N168&lt;Inputs!$B$7,N168&gt;Inputs!$B$8),"CHECK","OK"))</f>
        <v/>
      </c>
      <c r="AD168" s="4">
        <f>IF(A168="","",(1/Inputs!$B$9)*(PI()*(Inputs!$F$5/1000)^2/4)*((Inputs!$F$5/1000/4)^(2/3))*SQRT(N168))</f>
        <v/>
      </c>
      <c r="AE168" s="4">
        <f>IF(A168="","",(1/Inputs!$B$9)*(PI()*(Inputs!$F$6/1000)^2/4)*((Inputs!$F$6/1000/4)^(2/3))*SQRT(N168))</f>
        <v/>
      </c>
      <c r="AF168" s="4">
        <f>IF(A168="","",(1/Inputs!$B$9)*(PI()*(Inputs!$F$7/1000)^2/4)*((Inputs!$F$7/1000/4)^(2/3))*SQRT(N168))</f>
        <v/>
      </c>
      <c r="AG168" s="4">
        <f>IF(A168="","",(1/Inputs!$B$9)*(PI()*(Inputs!$F$8/1000)^2/4)*((Inputs!$F$8/1000/4)^(2/3))*SQRT(N168))</f>
        <v/>
      </c>
      <c r="AH168" s="4">
        <f>IF(A168="","",(1/Inputs!$B$9)*(PI()*(Inputs!$F$9/1000)^2/4)*((Inputs!$F$9/1000/4)^(2/3))*SQRT(N168))</f>
        <v/>
      </c>
      <c r="AI168" s="4">
        <f>IF(A168="","",(1/Inputs!$B$9)*(PI()*(Inputs!$F$10/1000)^2/4)*((Inputs!$F$10/1000/4)^(2/3))*SQRT(N168))</f>
        <v/>
      </c>
      <c r="AJ168" s="4">
        <f>IF(A168="","",(1/Inputs!$B$9)*(PI()*(Inputs!$F$11/1000)^2/4)*((Inputs!$F$11/1000/4)^(2/3))*SQRT(N168))</f>
        <v/>
      </c>
      <c r="AK168" s="4">
        <f>IF(A168="","",(1/Inputs!$B$9)*(PI()*(Inputs!$F$12/1000)^2/4)*((Inputs!$F$12/1000/4)^(2/3))*SQRT(N168))</f>
        <v/>
      </c>
      <c r="AL168" s="4">
        <f>IF(A168="","",(1/Inputs!$B$9)*(PI()*(Inputs!$F$13/1000)^2/4)*((Inputs!$F$13/1000/4)^(2/3))*SQRT(N168))</f>
        <v/>
      </c>
      <c r="AM168" s="4">
        <f>IF(A168="","",(1/Inputs!$B$9)*(PI()*(Inputs!$F$14/1000)^2/4)*((Inputs!$F$14/1000/4)^(2/3))*SQRT(N168))</f>
        <v/>
      </c>
    </row>
    <row r="169">
      <c r="A169" s="4" t="n"/>
      <c r="B169" s="4" t="n"/>
      <c r="C169" s="8" t="n"/>
      <c r="D169" s="8" t="n"/>
      <c r="E169" s="8">
        <f>SUMIFS(CB_Tributaires!$C:$C,CB_Tributaires!$B:$B,$A169)</f>
        <v/>
      </c>
      <c r="F169" s="8">
        <f>IF(D169="",E169,D169)</f>
        <v/>
      </c>
      <c r="G169" s="4" t="n"/>
      <c r="H169" s="8" t="n"/>
      <c r="I169" s="8">
        <f>IF(A169="","",Inputs!$B$13/((IF(H169="",Inputs!$B$18,H169)+Inputs!$B$14)^Inputs!$B$15))</f>
        <v/>
      </c>
      <c r="J169" s="8">
        <f>IF(A169="","",0.00278*IF(G169="",Inputs!$B$17,G169)*F169*I169)</f>
        <v/>
      </c>
      <c r="K169" s="8">
        <f>IF(A169="","",SUMIFS($L$4:$L$203,$B$4:$B$203,$A169))</f>
        <v/>
      </c>
      <c r="L169" s="8">
        <f>IF(A169="","",(J169+K169)*Inputs!$B$16)</f>
        <v/>
      </c>
      <c r="M169" s="8" t="n"/>
      <c r="N169" s="8">
        <f>IF(A169="","",IF(M169="",Inputs!$B$7,M169))</f>
        <v/>
      </c>
      <c r="O169" s="4">
        <f>IF(A169="","",IF(L169/Inputs!$B$10&lt;=AD169,Inputs!$F$5,IF(L169/Inputs!$B$10&gt;AM169,"OVERSIZE",INDEX(Inputs!$F$5:$F$14,MATCH(L169/Inputs!$B$10,AD169:AM169,1)+1))))</f>
        <v/>
      </c>
      <c r="P169" s="4" t="n"/>
      <c r="Q169" s="4">
        <f>IF(A169="","",IF(P169="",O169,P169))</f>
        <v/>
      </c>
      <c r="R169" s="8">
        <f>IF(OR(Q169="",Q169="OVERSIZE"),"",Q169/1000)</f>
        <v/>
      </c>
      <c r="S169" s="8">
        <f>IF(R169="","",(1/Inputs!$B$9)*(PI()*R169^2/4)*((R169/4)^(2/3))*SQRT(N169))</f>
        <v/>
      </c>
      <c r="T169" s="8">
        <f>IF(OR(S169="",L169=""),"",L169/(S169*Inputs!$B$10))</f>
        <v/>
      </c>
      <c r="U169" s="8">
        <f>IF(OR(R169="",L169=""),"",4*L169/(PI()*R169^2))</f>
        <v/>
      </c>
      <c r="V169" s="8" t="n"/>
      <c r="W169" s="8">
        <f>IF(A169="","",IF(A169=Inputs!$B$6,Inputs!$B$22,IF(B169="","",IFERROR(INDEX($X$4:$X$203,MATCH(B169,$A$4:$A$203,0))+IF(V169="",Inputs!$B$20,V169),""))))</f>
        <v/>
      </c>
      <c r="X169" s="8">
        <f>IF(OR(W169="",N169="",C169=""),"",W169+N169*C169)</f>
        <v/>
      </c>
      <c r="Y169" s="8" t="n"/>
      <c r="Z169" s="8" t="n"/>
      <c r="AA169" s="8">
        <f>IF(OR(Y169="",W169=""),"",Y169-W169)</f>
        <v/>
      </c>
      <c r="AB169" s="8">
        <f>IF(OR(Z169="",X169=""),"",Z169-X169)</f>
        <v/>
      </c>
      <c r="AC169" s="4">
        <f>IF(A169="","",IF(OR(T169&gt;1,U169&lt;Inputs!$B$11,U169&gt;Inputs!$B$12,AA169&lt;Inputs!$B$19,AB169&lt;Inputs!$B$19,N169&lt;Inputs!$B$7,N169&gt;Inputs!$B$8),"CHECK","OK"))</f>
        <v/>
      </c>
      <c r="AD169" s="4">
        <f>IF(A169="","",(1/Inputs!$B$9)*(PI()*(Inputs!$F$5/1000)^2/4)*((Inputs!$F$5/1000/4)^(2/3))*SQRT(N169))</f>
        <v/>
      </c>
      <c r="AE169" s="4">
        <f>IF(A169="","",(1/Inputs!$B$9)*(PI()*(Inputs!$F$6/1000)^2/4)*((Inputs!$F$6/1000/4)^(2/3))*SQRT(N169))</f>
        <v/>
      </c>
      <c r="AF169" s="4">
        <f>IF(A169="","",(1/Inputs!$B$9)*(PI()*(Inputs!$F$7/1000)^2/4)*((Inputs!$F$7/1000/4)^(2/3))*SQRT(N169))</f>
        <v/>
      </c>
      <c r="AG169" s="4">
        <f>IF(A169="","",(1/Inputs!$B$9)*(PI()*(Inputs!$F$8/1000)^2/4)*((Inputs!$F$8/1000/4)^(2/3))*SQRT(N169))</f>
        <v/>
      </c>
      <c r="AH169" s="4">
        <f>IF(A169="","",(1/Inputs!$B$9)*(PI()*(Inputs!$F$9/1000)^2/4)*((Inputs!$F$9/1000/4)^(2/3))*SQRT(N169))</f>
        <v/>
      </c>
      <c r="AI169" s="4">
        <f>IF(A169="","",(1/Inputs!$B$9)*(PI()*(Inputs!$F$10/1000)^2/4)*((Inputs!$F$10/1000/4)^(2/3))*SQRT(N169))</f>
        <v/>
      </c>
      <c r="AJ169" s="4">
        <f>IF(A169="","",(1/Inputs!$B$9)*(PI()*(Inputs!$F$11/1000)^2/4)*((Inputs!$F$11/1000/4)^(2/3))*SQRT(N169))</f>
        <v/>
      </c>
      <c r="AK169" s="4">
        <f>IF(A169="","",(1/Inputs!$B$9)*(PI()*(Inputs!$F$12/1000)^2/4)*((Inputs!$F$12/1000/4)^(2/3))*SQRT(N169))</f>
        <v/>
      </c>
      <c r="AL169" s="4">
        <f>IF(A169="","",(1/Inputs!$B$9)*(PI()*(Inputs!$F$13/1000)^2/4)*((Inputs!$F$13/1000/4)^(2/3))*SQRT(N169))</f>
        <v/>
      </c>
      <c r="AM169" s="4">
        <f>IF(A169="","",(1/Inputs!$B$9)*(PI()*(Inputs!$F$14/1000)^2/4)*((Inputs!$F$14/1000/4)^(2/3))*SQRT(N169))</f>
        <v/>
      </c>
    </row>
    <row r="170">
      <c r="A170" s="4" t="n"/>
      <c r="B170" s="4" t="n"/>
      <c r="C170" s="8" t="n"/>
      <c r="D170" s="8" t="n"/>
      <c r="E170" s="8">
        <f>SUMIFS(CB_Tributaires!$C:$C,CB_Tributaires!$B:$B,$A170)</f>
        <v/>
      </c>
      <c r="F170" s="8">
        <f>IF(D170="",E170,D170)</f>
        <v/>
      </c>
      <c r="G170" s="4" t="n"/>
      <c r="H170" s="8" t="n"/>
      <c r="I170" s="8">
        <f>IF(A170="","",Inputs!$B$13/((IF(H170="",Inputs!$B$18,H170)+Inputs!$B$14)^Inputs!$B$15))</f>
        <v/>
      </c>
      <c r="J170" s="8">
        <f>IF(A170="","",0.00278*IF(G170="",Inputs!$B$17,G170)*F170*I170)</f>
        <v/>
      </c>
      <c r="K170" s="8">
        <f>IF(A170="","",SUMIFS($L$4:$L$203,$B$4:$B$203,$A170))</f>
        <v/>
      </c>
      <c r="L170" s="8">
        <f>IF(A170="","",(J170+K170)*Inputs!$B$16)</f>
        <v/>
      </c>
      <c r="M170" s="8" t="n"/>
      <c r="N170" s="8">
        <f>IF(A170="","",IF(M170="",Inputs!$B$7,M170))</f>
        <v/>
      </c>
      <c r="O170" s="4">
        <f>IF(A170="","",IF(L170/Inputs!$B$10&lt;=AD170,Inputs!$F$5,IF(L170/Inputs!$B$10&gt;AM170,"OVERSIZE",INDEX(Inputs!$F$5:$F$14,MATCH(L170/Inputs!$B$10,AD170:AM170,1)+1))))</f>
        <v/>
      </c>
      <c r="P170" s="4" t="n"/>
      <c r="Q170" s="4">
        <f>IF(A170="","",IF(P170="",O170,P170))</f>
        <v/>
      </c>
      <c r="R170" s="8">
        <f>IF(OR(Q170="",Q170="OVERSIZE"),"",Q170/1000)</f>
        <v/>
      </c>
      <c r="S170" s="8">
        <f>IF(R170="","",(1/Inputs!$B$9)*(PI()*R170^2/4)*((R170/4)^(2/3))*SQRT(N170))</f>
        <v/>
      </c>
      <c r="T170" s="8">
        <f>IF(OR(S170="",L170=""),"",L170/(S170*Inputs!$B$10))</f>
        <v/>
      </c>
      <c r="U170" s="8">
        <f>IF(OR(R170="",L170=""),"",4*L170/(PI()*R170^2))</f>
        <v/>
      </c>
      <c r="V170" s="8" t="n"/>
      <c r="W170" s="8">
        <f>IF(A170="","",IF(A170=Inputs!$B$6,Inputs!$B$22,IF(B170="","",IFERROR(INDEX($X$4:$X$203,MATCH(B170,$A$4:$A$203,0))+IF(V170="",Inputs!$B$20,V170),""))))</f>
        <v/>
      </c>
      <c r="X170" s="8">
        <f>IF(OR(W170="",N170="",C170=""),"",W170+N170*C170)</f>
        <v/>
      </c>
      <c r="Y170" s="8" t="n"/>
      <c r="Z170" s="8" t="n"/>
      <c r="AA170" s="8">
        <f>IF(OR(Y170="",W170=""),"",Y170-W170)</f>
        <v/>
      </c>
      <c r="AB170" s="8">
        <f>IF(OR(Z170="",X170=""),"",Z170-X170)</f>
        <v/>
      </c>
      <c r="AC170" s="4">
        <f>IF(A170="","",IF(OR(T170&gt;1,U170&lt;Inputs!$B$11,U170&gt;Inputs!$B$12,AA170&lt;Inputs!$B$19,AB170&lt;Inputs!$B$19,N170&lt;Inputs!$B$7,N170&gt;Inputs!$B$8),"CHECK","OK"))</f>
        <v/>
      </c>
      <c r="AD170" s="4">
        <f>IF(A170="","",(1/Inputs!$B$9)*(PI()*(Inputs!$F$5/1000)^2/4)*((Inputs!$F$5/1000/4)^(2/3))*SQRT(N170))</f>
        <v/>
      </c>
      <c r="AE170" s="4">
        <f>IF(A170="","",(1/Inputs!$B$9)*(PI()*(Inputs!$F$6/1000)^2/4)*((Inputs!$F$6/1000/4)^(2/3))*SQRT(N170))</f>
        <v/>
      </c>
      <c r="AF170" s="4">
        <f>IF(A170="","",(1/Inputs!$B$9)*(PI()*(Inputs!$F$7/1000)^2/4)*((Inputs!$F$7/1000/4)^(2/3))*SQRT(N170))</f>
        <v/>
      </c>
      <c r="AG170" s="4">
        <f>IF(A170="","",(1/Inputs!$B$9)*(PI()*(Inputs!$F$8/1000)^2/4)*((Inputs!$F$8/1000/4)^(2/3))*SQRT(N170))</f>
        <v/>
      </c>
      <c r="AH170" s="4">
        <f>IF(A170="","",(1/Inputs!$B$9)*(PI()*(Inputs!$F$9/1000)^2/4)*((Inputs!$F$9/1000/4)^(2/3))*SQRT(N170))</f>
        <v/>
      </c>
      <c r="AI170" s="4">
        <f>IF(A170="","",(1/Inputs!$B$9)*(PI()*(Inputs!$F$10/1000)^2/4)*((Inputs!$F$10/1000/4)^(2/3))*SQRT(N170))</f>
        <v/>
      </c>
      <c r="AJ170" s="4">
        <f>IF(A170="","",(1/Inputs!$B$9)*(PI()*(Inputs!$F$11/1000)^2/4)*((Inputs!$F$11/1000/4)^(2/3))*SQRT(N170))</f>
        <v/>
      </c>
      <c r="AK170" s="4">
        <f>IF(A170="","",(1/Inputs!$B$9)*(PI()*(Inputs!$F$12/1000)^2/4)*((Inputs!$F$12/1000/4)^(2/3))*SQRT(N170))</f>
        <v/>
      </c>
      <c r="AL170" s="4">
        <f>IF(A170="","",(1/Inputs!$B$9)*(PI()*(Inputs!$F$13/1000)^2/4)*((Inputs!$F$13/1000/4)^(2/3))*SQRT(N170))</f>
        <v/>
      </c>
      <c r="AM170" s="4">
        <f>IF(A170="","",(1/Inputs!$B$9)*(PI()*(Inputs!$F$14/1000)^2/4)*((Inputs!$F$14/1000/4)^(2/3))*SQRT(N170))</f>
        <v/>
      </c>
    </row>
    <row r="171">
      <c r="A171" s="4" t="n"/>
      <c r="B171" s="4" t="n"/>
      <c r="C171" s="8" t="n"/>
      <c r="D171" s="8" t="n"/>
      <c r="E171" s="8">
        <f>SUMIFS(CB_Tributaires!$C:$C,CB_Tributaires!$B:$B,$A171)</f>
        <v/>
      </c>
      <c r="F171" s="8">
        <f>IF(D171="",E171,D171)</f>
        <v/>
      </c>
      <c r="G171" s="4" t="n"/>
      <c r="H171" s="8" t="n"/>
      <c r="I171" s="8">
        <f>IF(A171="","",Inputs!$B$13/((IF(H171="",Inputs!$B$18,H171)+Inputs!$B$14)^Inputs!$B$15))</f>
        <v/>
      </c>
      <c r="J171" s="8">
        <f>IF(A171="","",0.00278*IF(G171="",Inputs!$B$17,G171)*F171*I171)</f>
        <v/>
      </c>
      <c r="K171" s="8">
        <f>IF(A171="","",SUMIFS($L$4:$L$203,$B$4:$B$203,$A171))</f>
        <v/>
      </c>
      <c r="L171" s="8">
        <f>IF(A171="","",(J171+K171)*Inputs!$B$16)</f>
        <v/>
      </c>
      <c r="M171" s="8" t="n"/>
      <c r="N171" s="8">
        <f>IF(A171="","",IF(M171="",Inputs!$B$7,M171))</f>
        <v/>
      </c>
      <c r="O171" s="4">
        <f>IF(A171="","",IF(L171/Inputs!$B$10&lt;=AD171,Inputs!$F$5,IF(L171/Inputs!$B$10&gt;AM171,"OVERSIZE",INDEX(Inputs!$F$5:$F$14,MATCH(L171/Inputs!$B$10,AD171:AM171,1)+1))))</f>
        <v/>
      </c>
      <c r="P171" s="4" t="n"/>
      <c r="Q171" s="4">
        <f>IF(A171="","",IF(P171="",O171,P171))</f>
        <v/>
      </c>
      <c r="R171" s="8">
        <f>IF(OR(Q171="",Q171="OVERSIZE"),"",Q171/1000)</f>
        <v/>
      </c>
      <c r="S171" s="8">
        <f>IF(R171="","",(1/Inputs!$B$9)*(PI()*R171^2/4)*((R171/4)^(2/3))*SQRT(N171))</f>
        <v/>
      </c>
      <c r="T171" s="8">
        <f>IF(OR(S171="",L171=""),"",L171/(S171*Inputs!$B$10))</f>
        <v/>
      </c>
      <c r="U171" s="8">
        <f>IF(OR(R171="",L171=""),"",4*L171/(PI()*R171^2))</f>
        <v/>
      </c>
      <c r="V171" s="8" t="n"/>
      <c r="W171" s="8">
        <f>IF(A171="","",IF(A171=Inputs!$B$6,Inputs!$B$22,IF(B171="","",IFERROR(INDEX($X$4:$X$203,MATCH(B171,$A$4:$A$203,0))+IF(V171="",Inputs!$B$20,V171),""))))</f>
        <v/>
      </c>
      <c r="X171" s="8">
        <f>IF(OR(W171="",N171="",C171=""),"",W171+N171*C171)</f>
        <v/>
      </c>
      <c r="Y171" s="8" t="n"/>
      <c r="Z171" s="8" t="n"/>
      <c r="AA171" s="8">
        <f>IF(OR(Y171="",W171=""),"",Y171-W171)</f>
        <v/>
      </c>
      <c r="AB171" s="8">
        <f>IF(OR(Z171="",X171=""),"",Z171-X171)</f>
        <v/>
      </c>
      <c r="AC171" s="4">
        <f>IF(A171="","",IF(OR(T171&gt;1,U171&lt;Inputs!$B$11,U171&gt;Inputs!$B$12,AA171&lt;Inputs!$B$19,AB171&lt;Inputs!$B$19,N171&lt;Inputs!$B$7,N171&gt;Inputs!$B$8),"CHECK","OK"))</f>
        <v/>
      </c>
      <c r="AD171" s="4">
        <f>IF(A171="","",(1/Inputs!$B$9)*(PI()*(Inputs!$F$5/1000)^2/4)*((Inputs!$F$5/1000/4)^(2/3))*SQRT(N171))</f>
        <v/>
      </c>
      <c r="AE171" s="4">
        <f>IF(A171="","",(1/Inputs!$B$9)*(PI()*(Inputs!$F$6/1000)^2/4)*((Inputs!$F$6/1000/4)^(2/3))*SQRT(N171))</f>
        <v/>
      </c>
      <c r="AF171" s="4">
        <f>IF(A171="","",(1/Inputs!$B$9)*(PI()*(Inputs!$F$7/1000)^2/4)*((Inputs!$F$7/1000/4)^(2/3))*SQRT(N171))</f>
        <v/>
      </c>
      <c r="AG171" s="4">
        <f>IF(A171="","",(1/Inputs!$B$9)*(PI()*(Inputs!$F$8/1000)^2/4)*((Inputs!$F$8/1000/4)^(2/3))*SQRT(N171))</f>
        <v/>
      </c>
      <c r="AH171" s="4">
        <f>IF(A171="","",(1/Inputs!$B$9)*(PI()*(Inputs!$F$9/1000)^2/4)*((Inputs!$F$9/1000/4)^(2/3))*SQRT(N171))</f>
        <v/>
      </c>
      <c r="AI171" s="4">
        <f>IF(A171="","",(1/Inputs!$B$9)*(PI()*(Inputs!$F$10/1000)^2/4)*((Inputs!$F$10/1000/4)^(2/3))*SQRT(N171))</f>
        <v/>
      </c>
      <c r="AJ171" s="4">
        <f>IF(A171="","",(1/Inputs!$B$9)*(PI()*(Inputs!$F$11/1000)^2/4)*((Inputs!$F$11/1000/4)^(2/3))*SQRT(N171))</f>
        <v/>
      </c>
      <c r="AK171" s="4">
        <f>IF(A171="","",(1/Inputs!$B$9)*(PI()*(Inputs!$F$12/1000)^2/4)*((Inputs!$F$12/1000/4)^(2/3))*SQRT(N171))</f>
        <v/>
      </c>
      <c r="AL171" s="4">
        <f>IF(A171="","",(1/Inputs!$B$9)*(PI()*(Inputs!$F$13/1000)^2/4)*((Inputs!$F$13/1000/4)^(2/3))*SQRT(N171))</f>
        <v/>
      </c>
      <c r="AM171" s="4">
        <f>IF(A171="","",(1/Inputs!$B$9)*(PI()*(Inputs!$F$14/1000)^2/4)*((Inputs!$F$14/1000/4)^(2/3))*SQRT(N171))</f>
        <v/>
      </c>
    </row>
    <row r="172">
      <c r="A172" s="4" t="n"/>
      <c r="B172" s="4" t="n"/>
      <c r="C172" s="8" t="n"/>
      <c r="D172" s="8" t="n"/>
      <c r="E172" s="8">
        <f>SUMIFS(CB_Tributaires!$C:$C,CB_Tributaires!$B:$B,$A172)</f>
        <v/>
      </c>
      <c r="F172" s="8">
        <f>IF(D172="",E172,D172)</f>
        <v/>
      </c>
      <c r="G172" s="4" t="n"/>
      <c r="H172" s="8" t="n"/>
      <c r="I172" s="8">
        <f>IF(A172="","",Inputs!$B$13/((IF(H172="",Inputs!$B$18,H172)+Inputs!$B$14)^Inputs!$B$15))</f>
        <v/>
      </c>
      <c r="J172" s="8">
        <f>IF(A172="","",0.00278*IF(G172="",Inputs!$B$17,G172)*F172*I172)</f>
        <v/>
      </c>
      <c r="K172" s="8">
        <f>IF(A172="","",SUMIFS($L$4:$L$203,$B$4:$B$203,$A172))</f>
        <v/>
      </c>
      <c r="L172" s="8">
        <f>IF(A172="","",(J172+K172)*Inputs!$B$16)</f>
        <v/>
      </c>
      <c r="M172" s="8" t="n"/>
      <c r="N172" s="8">
        <f>IF(A172="","",IF(M172="",Inputs!$B$7,M172))</f>
        <v/>
      </c>
      <c r="O172" s="4">
        <f>IF(A172="","",IF(L172/Inputs!$B$10&lt;=AD172,Inputs!$F$5,IF(L172/Inputs!$B$10&gt;AM172,"OVERSIZE",INDEX(Inputs!$F$5:$F$14,MATCH(L172/Inputs!$B$10,AD172:AM172,1)+1))))</f>
        <v/>
      </c>
      <c r="P172" s="4" t="n"/>
      <c r="Q172" s="4">
        <f>IF(A172="","",IF(P172="",O172,P172))</f>
        <v/>
      </c>
      <c r="R172" s="8">
        <f>IF(OR(Q172="",Q172="OVERSIZE"),"",Q172/1000)</f>
        <v/>
      </c>
      <c r="S172" s="8">
        <f>IF(R172="","",(1/Inputs!$B$9)*(PI()*R172^2/4)*((R172/4)^(2/3))*SQRT(N172))</f>
        <v/>
      </c>
      <c r="T172" s="8">
        <f>IF(OR(S172="",L172=""),"",L172/(S172*Inputs!$B$10))</f>
        <v/>
      </c>
      <c r="U172" s="8">
        <f>IF(OR(R172="",L172=""),"",4*L172/(PI()*R172^2))</f>
        <v/>
      </c>
      <c r="V172" s="8" t="n"/>
      <c r="W172" s="8">
        <f>IF(A172="","",IF(A172=Inputs!$B$6,Inputs!$B$22,IF(B172="","",IFERROR(INDEX($X$4:$X$203,MATCH(B172,$A$4:$A$203,0))+IF(V172="",Inputs!$B$20,V172),""))))</f>
        <v/>
      </c>
      <c r="X172" s="8">
        <f>IF(OR(W172="",N172="",C172=""),"",W172+N172*C172)</f>
        <v/>
      </c>
      <c r="Y172" s="8" t="n"/>
      <c r="Z172" s="8" t="n"/>
      <c r="AA172" s="8">
        <f>IF(OR(Y172="",W172=""),"",Y172-W172)</f>
        <v/>
      </c>
      <c r="AB172" s="8">
        <f>IF(OR(Z172="",X172=""),"",Z172-X172)</f>
        <v/>
      </c>
      <c r="AC172" s="4">
        <f>IF(A172="","",IF(OR(T172&gt;1,U172&lt;Inputs!$B$11,U172&gt;Inputs!$B$12,AA172&lt;Inputs!$B$19,AB172&lt;Inputs!$B$19,N172&lt;Inputs!$B$7,N172&gt;Inputs!$B$8),"CHECK","OK"))</f>
        <v/>
      </c>
      <c r="AD172" s="4">
        <f>IF(A172="","",(1/Inputs!$B$9)*(PI()*(Inputs!$F$5/1000)^2/4)*((Inputs!$F$5/1000/4)^(2/3))*SQRT(N172))</f>
        <v/>
      </c>
      <c r="AE172" s="4">
        <f>IF(A172="","",(1/Inputs!$B$9)*(PI()*(Inputs!$F$6/1000)^2/4)*((Inputs!$F$6/1000/4)^(2/3))*SQRT(N172))</f>
        <v/>
      </c>
      <c r="AF172" s="4">
        <f>IF(A172="","",(1/Inputs!$B$9)*(PI()*(Inputs!$F$7/1000)^2/4)*((Inputs!$F$7/1000/4)^(2/3))*SQRT(N172))</f>
        <v/>
      </c>
      <c r="AG172" s="4">
        <f>IF(A172="","",(1/Inputs!$B$9)*(PI()*(Inputs!$F$8/1000)^2/4)*((Inputs!$F$8/1000/4)^(2/3))*SQRT(N172))</f>
        <v/>
      </c>
      <c r="AH172" s="4">
        <f>IF(A172="","",(1/Inputs!$B$9)*(PI()*(Inputs!$F$9/1000)^2/4)*((Inputs!$F$9/1000/4)^(2/3))*SQRT(N172))</f>
        <v/>
      </c>
      <c r="AI172" s="4">
        <f>IF(A172="","",(1/Inputs!$B$9)*(PI()*(Inputs!$F$10/1000)^2/4)*((Inputs!$F$10/1000/4)^(2/3))*SQRT(N172))</f>
        <v/>
      </c>
      <c r="AJ172" s="4">
        <f>IF(A172="","",(1/Inputs!$B$9)*(PI()*(Inputs!$F$11/1000)^2/4)*((Inputs!$F$11/1000/4)^(2/3))*SQRT(N172))</f>
        <v/>
      </c>
      <c r="AK172" s="4">
        <f>IF(A172="","",(1/Inputs!$B$9)*(PI()*(Inputs!$F$12/1000)^2/4)*((Inputs!$F$12/1000/4)^(2/3))*SQRT(N172))</f>
        <v/>
      </c>
      <c r="AL172" s="4">
        <f>IF(A172="","",(1/Inputs!$B$9)*(PI()*(Inputs!$F$13/1000)^2/4)*((Inputs!$F$13/1000/4)^(2/3))*SQRT(N172))</f>
        <v/>
      </c>
      <c r="AM172" s="4">
        <f>IF(A172="","",(1/Inputs!$B$9)*(PI()*(Inputs!$F$14/1000)^2/4)*((Inputs!$F$14/1000/4)^(2/3))*SQRT(N172))</f>
        <v/>
      </c>
    </row>
    <row r="173">
      <c r="A173" s="4" t="n"/>
      <c r="B173" s="4" t="n"/>
      <c r="C173" s="8" t="n"/>
      <c r="D173" s="8" t="n"/>
      <c r="E173" s="8">
        <f>SUMIFS(CB_Tributaires!$C:$C,CB_Tributaires!$B:$B,$A173)</f>
        <v/>
      </c>
      <c r="F173" s="8">
        <f>IF(D173="",E173,D173)</f>
        <v/>
      </c>
      <c r="G173" s="4" t="n"/>
      <c r="H173" s="8" t="n"/>
      <c r="I173" s="8">
        <f>IF(A173="","",Inputs!$B$13/((IF(H173="",Inputs!$B$18,H173)+Inputs!$B$14)^Inputs!$B$15))</f>
        <v/>
      </c>
      <c r="J173" s="8">
        <f>IF(A173="","",0.00278*IF(G173="",Inputs!$B$17,G173)*F173*I173)</f>
        <v/>
      </c>
      <c r="K173" s="8">
        <f>IF(A173="","",SUMIFS($L$4:$L$203,$B$4:$B$203,$A173))</f>
        <v/>
      </c>
      <c r="L173" s="8">
        <f>IF(A173="","",(J173+K173)*Inputs!$B$16)</f>
        <v/>
      </c>
      <c r="M173" s="8" t="n"/>
      <c r="N173" s="8">
        <f>IF(A173="","",IF(M173="",Inputs!$B$7,M173))</f>
        <v/>
      </c>
      <c r="O173" s="4">
        <f>IF(A173="","",IF(L173/Inputs!$B$10&lt;=AD173,Inputs!$F$5,IF(L173/Inputs!$B$10&gt;AM173,"OVERSIZE",INDEX(Inputs!$F$5:$F$14,MATCH(L173/Inputs!$B$10,AD173:AM173,1)+1))))</f>
        <v/>
      </c>
      <c r="P173" s="4" t="n"/>
      <c r="Q173" s="4">
        <f>IF(A173="","",IF(P173="",O173,P173))</f>
        <v/>
      </c>
      <c r="R173" s="8">
        <f>IF(OR(Q173="",Q173="OVERSIZE"),"",Q173/1000)</f>
        <v/>
      </c>
      <c r="S173" s="8">
        <f>IF(R173="","",(1/Inputs!$B$9)*(PI()*R173^2/4)*((R173/4)^(2/3))*SQRT(N173))</f>
        <v/>
      </c>
      <c r="T173" s="8">
        <f>IF(OR(S173="",L173=""),"",L173/(S173*Inputs!$B$10))</f>
        <v/>
      </c>
      <c r="U173" s="8">
        <f>IF(OR(R173="",L173=""),"",4*L173/(PI()*R173^2))</f>
        <v/>
      </c>
      <c r="V173" s="8" t="n"/>
      <c r="W173" s="8">
        <f>IF(A173="","",IF(A173=Inputs!$B$6,Inputs!$B$22,IF(B173="","",IFERROR(INDEX($X$4:$X$203,MATCH(B173,$A$4:$A$203,0))+IF(V173="",Inputs!$B$20,V173),""))))</f>
        <v/>
      </c>
      <c r="X173" s="8">
        <f>IF(OR(W173="",N173="",C173=""),"",W173+N173*C173)</f>
        <v/>
      </c>
      <c r="Y173" s="8" t="n"/>
      <c r="Z173" s="8" t="n"/>
      <c r="AA173" s="8">
        <f>IF(OR(Y173="",W173=""),"",Y173-W173)</f>
        <v/>
      </c>
      <c r="AB173" s="8">
        <f>IF(OR(Z173="",X173=""),"",Z173-X173)</f>
        <v/>
      </c>
      <c r="AC173" s="4">
        <f>IF(A173="","",IF(OR(T173&gt;1,U173&lt;Inputs!$B$11,U173&gt;Inputs!$B$12,AA173&lt;Inputs!$B$19,AB173&lt;Inputs!$B$19,N173&lt;Inputs!$B$7,N173&gt;Inputs!$B$8),"CHECK","OK"))</f>
        <v/>
      </c>
      <c r="AD173" s="4">
        <f>IF(A173="","",(1/Inputs!$B$9)*(PI()*(Inputs!$F$5/1000)^2/4)*((Inputs!$F$5/1000/4)^(2/3))*SQRT(N173))</f>
        <v/>
      </c>
      <c r="AE173" s="4">
        <f>IF(A173="","",(1/Inputs!$B$9)*(PI()*(Inputs!$F$6/1000)^2/4)*((Inputs!$F$6/1000/4)^(2/3))*SQRT(N173))</f>
        <v/>
      </c>
      <c r="AF173" s="4">
        <f>IF(A173="","",(1/Inputs!$B$9)*(PI()*(Inputs!$F$7/1000)^2/4)*((Inputs!$F$7/1000/4)^(2/3))*SQRT(N173))</f>
        <v/>
      </c>
      <c r="AG173" s="4">
        <f>IF(A173="","",(1/Inputs!$B$9)*(PI()*(Inputs!$F$8/1000)^2/4)*((Inputs!$F$8/1000/4)^(2/3))*SQRT(N173))</f>
        <v/>
      </c>
      <c r="AH173" s="4">
        <f>IF(A173="","",(1/Inputs!$B$9)*(PI()*(Inputs!$F$9/1000)^2/4)*((Inputs!$F$9/1000/4)^(2/3))*SQRT(N173))</f>
        <v/>
      </c>
      <c r="AI173" s="4">
        <f>IF(A173="","",(1/Inputs!$B$9)*(PI()*(Inputs!$F$10/1000)^2/4)*((Inputs!$F$10/1000/4)^(2/3))*SQRT(N173))</f>
        <v/>
      </c>
      <c r="AJ173" s="4">
        <f>IF(A173="","",(1/Inputs!$B$9)*(PI()*(Inputs!$F$11/1000)^2/4)*((Inputs!$F$11/1000/4)^(2/3))*SQRT(N173))</f>
        <v/>
      </c>
      <c r="AK173" s="4">
        <f>IF(A173="","",(1/Inputs!$B$9)*(PI()*(Inputs!$F$12/1000)^2/4)*((Inputs!$F$12/1000/4)^(2/3))*SQRT(N173))</f>
        <v/>
      </c>
      <c r="AL173" s="4">
        <f>IF(A173="","",(1/Inputs!$B$9)*(PI()*(Inputs!$F$13/1000)^2/4)*((Inputs!$F$13/1000/4)^(2/3))*SQRT(N173))</f>
        <v/>
      </c>
      <c r="AM173" s="4">
        <f>IF(A173="","",(1/Inputs!$B$9)*(PI()*(Inputs!$F$14/1000)^2/4)*((Inputs!$F$14/1000/4)^(2/3))*SQRT(N173))</f>
        <v/>
      </c>
    </row>
    <row r="174">
      <c r="A174" s="4" t="n"/>
      <c r="B174" s="4" t="n"/>
      <c r="C174" s="8" t="n"/>
      <c r="D174" s="8" t="n"/>
      <c r="E174" s="8">
        <f>SUMIFS(CB_Tributaires!$C:$C,CB_Tributaires!$B:$B,$A174)</f>
        <v/>
      </c>
      <c r="F174" s="8">
        <f>IF(D174="",E174,D174)</f>
        <v/>
      </c>
      <c r="G174" s="4" t="n"/>
      <c r="H174" s="8" t="n"/>
      <c r="I174" s="8">
        <f>IF(A174="","",Inputs!$B$13/((IF(H174="",Inputs!$B$18,H174)+Inputs!$B$14)^Inputs!$B$15))</f>
        <v/>
      </c>
      <c r="J174" s="8">
        <f>IF(A174="","",0.00278*IF(G174="",Inputs!$B$17,G174)*F174*I174)</f>
        <v/>
      </c>
      <c r="K174" s="8">
        <f>IF(A174="","",SUMIFS($L$4:$L$203,$B$4:$B$203,$A174))</f>
        <v/>
      </c>
      <c r="L174" s="8">
        <f>IF(A174="","",(J174+K174)*Inputs!$B$16)</f>
        <v/>
      </c>
      <c r="M174" s="8" t="n"/>
      <c r="N174" s="8">
        <f>IF(A174="","",IF(M174="",Inputs!$B$7,M174))</f>
        <v/>
      </c>
      <c r="O174" s="4">
        <f>IF(A174="","",IF(L174/Inputs!$B$10&lt;=AD174,Inputs!$F$5,IF(L174/Inputs!$B$10&gt;AM174,"OVERSIZE",INDEX(Inputs!$F$5:$F$14,MATCH(L174/Inputs!$B$10,AD174:AM174,1)+1))))</f>
        <v/>
      </c>
      <c r="P174" s="4" t="n"/>
      <c r="Q174" s="4">
        <f>IF(A174="","",IF(P174="",O174,P174))</f>
        <v/>
      </c>
      <c r="R174" s="8">
        <f>IF(OR(Q174="",Q174="OVERSIZE"),"",Q174/1000)</f>
        <v/>
      </c>
      <c r="S174" s="8">
        <f>IF(R174="","",(1/Inputs!$B$9)*(PI()*R174^2/4)*((R174/4)^(2/3))*SQRT(N174))</f>
        <v/>
      </c>
      <c r="T174" s="8">
        <f>IF(OR(S174="",L174=""),"",L174/(S174*Inputs!$B$10))</f>
        <v/>
      </c>
      <c r="U174" s="8">
        <f>IF(OR(R174="",L174=""),"",4*L174/(PI()*R174^2))</f>
        <v/>
      </c>
      <c r="V174" s="8" t="n"/>
      <c r="W174" s="8">
        <f>IF(A174="","",IF(A174=Inputs!$B$6,Inputs!$B$22,IF(B174="","",IFERROR(INDEX($X$4:$X$203,MATCH(B174,$A$4:$A$203,0))+IF(V174="",Inputs!$B$20,V174),""))))</f>
        <v/>
      </c>
      <c r="X174" s="8">
        <f>IF(OR(W174="",N174="",C174=""),"",W174+N174*C174)</f>
        <v/>
      </c>
      <c r="Y174" s="8" t="n"/>
      <c r="Z174" s="8" t="n"/>
      <c r="AA174" s="8">
        <f>IF(OR(Y174="",W174=""),"",Y174-W174)</f>
        <v/>
      </c>
      <c r="AB174" s="8">
        <f>IF(OR(Z174="",X174=""),"",Z174-X174)</f>
        <v/>
      </c>
      <c r="AC174" s="4">
        <f>IF(A174="","",IF(OR(T174&gt;1,U174&lt;Inputs!$B$11,U174&gt;Inputs!$B$12,AA174&lt;Inputs!$B$19,AB174&lt;Inputs!$B$19,N174&lt;Inputs!$B$7,N174&gt;Inputs!$B$8),"CHECK","OK"))</f>
        <v/>
      </c>
      <c r="AD174" s="4">
        <f>IF(A174="","",(1/Inputs!$B$9)*(PI()*(Inputs!$F$5/1000)^2/4)*((Inputs!$F$5/1000/4)^(2/3))*SQRT(N174))</f>
        <v/>
      </c>
      <c r="AE174" s="4">
        <f>IF(A174="","",(1/Inputs!$B$9)*(PI()*(Inputs!$F$6/1000)^2/4)*((Inputs!$F$6/1000/4)^(2/3))*SQRT(N174))</f>
        <v/>
      </c>
      <c r="AF174" s="4">
        <f>IF(A174="","",(1/Inputs!$B$9)*(PI()*(Inputs!$F$7/1000)^2/4)*((Inputs!$F$7/1000/4)^(2/3))*SQRT(N174))</f>
        <v/>
      </c>
      <c r="AG174" s="4">
        <f>IF(A174="","",(1/Inputs!$B$9)*(PI()*(Inputs!$F$8/1000)^2/4)*((Inputs!$F$8/1000/4)^(2/3))*SQRT(N174))</f>
        <v/>
      </c>
      <c r="AH174" s="4">
        <f>IF(A174="","",(1/Inputs!$B$9)*(PI()*(Inputs!$F$9/1000)^2/4)*((Inputs!$F$9/1000/4)^(2/3))*SQRT(N174))</f>
        <v/>
      </c>
      <c r="AI174" s="4">
        <f>IF(A174="","",(1/Inputs!$B$9)*(PI()*(Inputs!$F$10/1000)^2/4)*((Inputs!$F$10/1000/4)^(2/3))*SQRT(N174))</f>
        <v/>
      </c>
      <c r="AJ174" s="4">
        <f>IF(A174="","",(1/Inputs!$B$9)*(PI()*(Inputs!$F$11/1000)^2/4)*((Inputs!$F$11/1000/4)^(2/3))*SQRT(N174))</f>
        <v/>
      </c>
      <c r="AK174" s="4">
        <f>IF(A174="","",(1/Inputs!$B$9)*(PI()*(Inputs!$F$12/1000)^2/4)*((Inputs!$F$12/1000/4)^(2/3))*SQRT(N174))</f>
        <v/>
      </c>
      <c r="AL174" s="4">
        <f>IF(A174="","",(1/Inputs!$B$9)*(PI()*(Inputs!$F$13/1000)^2/4)*((Inputs!$F$13/1000/4)^(2/3))*SQRT(N174))</f>
        <v/>
      </c>
      <c r="AM174" s="4">
        <f>IF(A174="","",(1/Inputs!$B$9)*(PI()*(Inputs!$F$14/1000)^2/4)*((Inputs!$F$14/1000/4)^(2/3))*SQRT(N174))</f>
        <v/>
      </c>
    </row>
    <row r="175">
      <c r="A175" s="4" t="n"/>
      <c r="B175" s="4" t="n"/>
      <c r="C175" s="8" t="n"/>
      <c r="D175" s="8" t="n"/>
      <c r="E175" s="8">
        <f>SUMIFS(CB_Tributaires!$C:$C,CB_Tributaires!$B:$B,$A175)</f>
        <v/>
      </c>
      <c r="F175" s="8">
        <f>IF(D175="",E175,D175)</f>
        <v/>
      </c>
      <c r="G175" s="4" t="n"/>
      <c r="H175" s="8" t="n"/>
      <c r="I175" s="8">
        <f>IF(A175="","",Inputs!$B$13/((IF(H175="",Inputs!$B$18,H175)+Inputs!$B$14)^Inputs!$B$15))</f>
        <v/>
      </c>
      <c r="J175" s="8">
        <f>IF(A175="","",0.00278*IF(G175="",Inputs!$B$17,G175)*F175*I175)</f>
        <v/>
      </c>
      <c r="K175" s="8">
        <f>IF(A175="","",SUMIFS($L$4:$L$203,$B$4:$B$203,$A175))</f>
        <v/>
      </c>
      <c r="L175" s="8">
        <f>IF(A175="","",(J175+K175)*Inputs!$B$16)</f>
        <v/>
      </c>
      <c r="M175" s="8" t="n"/>
      <c r="N175" s="8">
        <f>IF(A175="","",IF(M175="",Inputs!$B$7,M175))</f>
        <v/>
      </c>
      <c r="O175" s="4">
        <f>IF(A175="","",IF(L175/Inputs!$B$10&lt;=AD175,Inputs!$F$5,IF(L175/Inputs!$B$10&gt;AM175,"OVERSIZE",INDEX(Inputs!$F$5:$F$14,MATCH(L175/Inputs!$B$10,AD175:AM175,1)+1))))</f>
        <v/>
      </c>
      <c r="P175" s="4" t="n"/>
      <c r="Q175" s="4">
        <f>IF(A175="","",IF(P175="",O175,P175))</f>
        <v/>
      </c>
      <c r="R175" s="8">
        <f>IF(OR(Q175="",Q175="OVERSIZE"),"",Q175/1000)</f>
        <v/>
      </c>
      <c r="S175" s="8">
        <f>IF(R175="","",(1/Inputs!$B$9)*(PI()*R175^2/4)*((R175/4)^(2/3))*SQRT(N175))</f>
        <v/>
      </c>
      <c r="T175" s="8">
        <f>IF(OR(S175="",L175=""),"",L175/(S175*Inputs!$B$10))</f>
        <v/>
      </c>
      <c r="U175" s="8">
        <f>IF(OR(R175="",L175=""),"",4*L175/(PI()*R175^2))</f>
        <v/>
      </c>
      <c r="V175" s="8" t="n"/>
      <c r="W175" s="8">
        <f>IF(A175="","",IF(A175=Inputs!$B$6,Inputs!$B$22,IF(B175="","",IFERROR(INDEX($X$4:$X$203,MATCH(B175,$A$4:$A$203,0))+IF(V175="",Inputs!$B$20,V175),""))))</f>
        <v/>
      </c>
      <c r="X175" s="8">
        <f>IF(OR(W175="",N175="",C175=""),"",W175+N175*C175)</f>
        <v/>
      </c>
      <c r="Y175" s="8" t="n"/>
      <c r="Z175" s="8" t="n"/>
      <c r="AA175" s="8">
        <f>IF(OR(Y175="",W175=""),"",Y175-W175)</f>
        <v/>
      </c>
      <c r="AB175" s="8">
        <f>IF(OR(Z175="",X175=""),"",Z175-X175)</f>
        <v/>
      </c>
      <c r="AC175" s="4">
        <f>IF(A175="","",IF(OR(T175&gt;1,U175&lt;Inputs!$B$11,U175&gt;Inputs!$B$12,AA175&lt;Inputs!$B$19,AB175&lt;Inputs!$B$19,N175&lt;Inputs!$B$7,N175&gt;Inputs!$B$8),"CHECK","OK"))</f>
        <v/>
      </c>
      <c r="AD175" s="4">
        <f>IF(A175="","",(1/Inputs!$B$9)*(PI()*(Inputs!$F$5/1000)^2/4)*((Inputs!$F$5/1000/4)^(2/3))*SQRT(N175))</f>
        <v/>
      </c>
      <c r="AE175" s="4">
        <f>IF(A175="","",(1/Inputs!$B$9)*(PI()*(Inputs!$F$6/1000)^2/4)*((Inputs!$F$6/1000/4)^(2/3))*SQRT(N175))</f>
        <v/>
      </c>
      <c r="AF175" s="4">
        <f>IF(A175="","",(1/Inputs!$B$9)*(PI()*(Inputs!$F$7/1000)^2/4)*((Inputs!$F$7/1000/4)^(2/3))*SQRT(N175))</f>
        <v/>
      </c>
      <c r="AG175" s="4">
        <f>IF(A175="","",(1/Inputs!$B$9)*(PI()*(Inputs!$F$8/1000)^2/4)*((Inputs!$F$8/1000/4)^(2/3))*SQRT(N175))</f>
        <v/>
      </c>
      <c r="AH175" s="4">
        <f>IF(A175="","",(1/Inputs!$B$9)*(PI()*(Inputs!$F$9/1000)^2/4)*((Inputs!$F$9/1000/4)^(2/3))*SQRT(N175))</f>
        <v/>
      </c>
      <c r="AI175" s="4">
        <f>IF(A175="","",(1/Inputs!$B$9)*(PI()*(Inputs!$F$10/1000)^2/4)*((Inputs!$F$10/1000/4)^(2/3))*SQRT(N175))</f>
        <v/>
      </c>
      <c r="AJ175" s="4">
        <f>IF(A175="","",(1/Inputs!$B$9)*(PI()*(Inputs!$F$11/1000)^2/4)*((Inputs!$F$11/1000/4)^(2/3))*SQRT(N175))</f>
        <v/>
      </c>
      <c r="AK175" s="4">
        <f>IF(A175="","",(1/Inputs!$B$9)*(PI()*(Inputs!$F$12/1000)^2/4)*((Inputs!$F$12/1000/4)^(2/3))*SQRT(N175))</f>
        <v/>
      </c>
      <c r="AL175" s="4">
        <f>IF(A175="","",(1/Inputs!$B$9)*(PI()*(Inputs!$F$13/1000)^2/4)*((Inputs!$F$13/1000/4)^(2/3))*SQRT(N175))</f>
        <v/>
      </c>
      <c r="AM175" s="4">
        <f>IF(A175="","",(1/Inputs!$B$9)*(PI()*(Inputs!$F$14/1000)^2/4)*((Inputs!$F$14/1000/4)^(2/3))*SQRT(N175))</f>
        <v/>
      </c>
    </row>
    <row r="176">
      <c r="A176" s="4" t="n"/>
      <c r="B176" s="4" t="n"/>
      <c r="C176" s="8" t="n"/>
      <c r="D176" s="8" t="n"/>
      <c r="E176" s="8">
        <f>SUMIFS(CB_Tributaires!$C:$C,CB_Tributaires!$B:$B,$A176)</f>
        <v/>
      </c>
      <c r="F176" s="8">
        <f>IF(D176="",E176,D176)</f>
        <v/>
      </c>
      <c r="G176" s="4" t="n"/>
      <c r="H176" s="8" t="n"/>
      <c r="I176" s="8">
        <f>IF(A176="","",Inputs!$B$13/((IF(H176="",Inputs!$B$18,H176)+Inputs!$B$14)^Inputs!$B$15))</f>
        <v/>
      </c>
      <c r="J176" s="8">
        <f>IF(A176="","",0.00278*IF(G176="",Inputs!$B$17,G176)*F176*I176)</f>
        <v/>
      </c>
      <c r="K176" s="8">
        <f>IF(A176="","",SUMIFS($L$4:$L$203,$B$4:$B$203,$A176))</f>
        <v/>
      </c>
      <c r="L176" s="8">
        <f>IF(A176="","",(J176+K176)*Inputs!$B$16)</f>
        <v/>
      </c>
      <c r="M176" s="8" t="n"/>
      <c r="N176" s="8">
        <f>IF(A176="","",IF(M176="",Inputs!$B$7,M176))</f>
        <v/>
      </c>
      <c r="O176" s="4">
        <f>IF(A176="","",IF(L176/Inputs!$B$10&lt;=AD176,Inputs!$F$5,IF(L176/Inputs!$B$10&gt;AM176,"OVERSIZE",INDEX(Inputs!$F$5:$F$14,MATCH(L176/Inputs!$B$10,AD176:AM176,1)+1))))</f>
        <v/>
      </c>
      <c r="P176" s="4" t="n"/>
      <c r="Q176" s="4">
        <f>IF(A176="","",IF(P176="",O176,P176))</f>
        <v/>
      </c>
      <c r="R176" s="8">
        <f>IF(OR(Q176="",Q176="OVERSIZE"),"",Q176/1000)</f>
        <v/>
      </c>
      <c r="S176" s="8">
        <f>IF(R176="","",(1/Inputs!$B$9)*(PI()*R176^2/4)*((R176/4)^(2/3))*SQRT(N176))</f>
        <v/>
      </c>
      <c r="T176" s="8">
        <f>IF(OR(S176="",L176=""),"",L176/(S176*Inputs!$B$10))</f>
        <v/>
      </c>
      <c r="U176" s="8">
        <f>IF(OR(R176="",L176=""),"",4*L176/(PI()*R176^2))</f>
        <v/>
      </c>
      <c r="V176" s="8" t="n"/>
      <c r="W176" s="8">
        <f>IF(A176="","",IF(A176=Inputs!$B$6,Inputs!$B$22,IF(B176="","",IFERROR(INDEX($X$4:$X$203,MATCH(B176,$A$4:$A$203,0))+IF(V176="",Inputs!$B$20,V176),""))))</f>
        <v/>
      </c>
      <c r="X176" s="8">
        <f>IF(OR(W176="",N176="",C176=""),"",W176+N176*C176)</f>
        <v/>
      </c>
      <c r="Y176" s="8" t="n"/>
      <c r="Z176" s="8" t="n"/>
      <c r="AA176" s="8">
        <f>IF(OR(Y176="",W176=""),"",Y176-W176)</f>
        <v/>
      </c>
      <c r="AB176" s="8">
        <f>IF(OR(Z176="",X176=""),"",Z176-X176)</f>
        <v/>
      </c>
      <c r="AC176" s="4">
        <f>IF(A176="","",IF(OR(T176&gt;1,U176&lt;Inputs!$B$11,U176&gt;Inputs!$B$12,AA176&lt;Inputs!$B$19,AB176&lt;Inputs!$B$19,N176&lt;Inputs!$B$7,N176&gt;Inputs!$B$8),"CHECK","OK"))</f>
        <v/>
      </c>
      <c r="AD176" s="4">
        <f>IF(A176="","",(1/Inputs!$B$9)*(PI()*(Inputs!$F$5/1000)^2/4)*((Inputs!$F$5/1000/4)^(2/3))*SQRT(N176))</f>
        <v/>
      </c>
      <c r="AE176" s="4">
        <f>IF(A176="","",(1/Inputs!$B$9)*(PI()*(Inputs!$F$6/1000)^2/4)*((Inputs!$F$6/1000/4)^(2/3))*SQRT(N176))</f>
        <v/>
      </c>
      <c r="AF176" s="4">
        <f>IF(A176="","",(1/Inputs!$B$9)*(PI()*(Inputs!$F$7/1000)^2/4)*((Inputs!$F$7/1000/4)^(2/3))*SQRT(N176))</f>
        <v/>
      </c>
      <c r="AG176" s="4">
        <f>IF(A176="","",(1/Inputs!$B$9)*(PI()*(Inputs!$F$8/1000)^2/4)*((Inputs!$F$8/1000/4)^(2/3))*SQRT(N176))</f>
        <v/>
      </c>
      <c r="AH176" s="4">
        <f>IF(A176="","",(1/Inputs!$B$9)*(PI()*(Inputs!$F$9/1000)^2/4)*((Inputs!$F$9/1000/4)^(2/3))*SQRT(N176))</f>
        <v/>
      </c>
      <c r="AI176" s="4">
        <f>IF(A176="","",(1/Inputs!$B$9)*(PI()*(Inputs!$F$10/1000)^2/4)*((Inputs!$F$10/1000/4)^(2/3))*SQRT(N176))</f>
        <v/>
      </c>
      <c r="AJ176" s="4">
        <f>IF(A176="","",(1/Inputs!$B$9)*(PI()*(Inputs!$F$11/1000)^2/4)*((Inputs!$F$11/1000/4)^(2/3))*SQRT(N176))</f>
        <v/>
      </c>
      <c r="AK176" s="4">
        <f>IF(A176="","",(1/Inputs!$B$9)*(PI()*(Inputs!$F$12/1000)^2/4)*((Inputs!$F$12/1000/4)^(2/3))*SQRT(N176))</f>
        <v/>
      </c>
      <c r="AL176" s="4">
        <f>IF(A176="","",(1/Inputs!$B$9)*(PI()*(Inputs!$F$13/1000)^2/4)*((Inputs!$F$13/1000/4)^(2/3))*SQRT(N176))</f>
        <v/>
      </c>
      <c r="AM176" s="4">
        <f>IF(A176="","",(1/Inputs!$B$9)*(PI()*(Inputs!$F$14/1000)^2/4)*((Inputs!$F$14/1000/4)^(2/3))*SQRT(N176))</f>
        <v/>
      </c>
    </row>
    <row r="177">
      <c r="A177" s="4" t="n"/>
      <c r="B177" s="4" t="n"/>
      <c r="C177" s="8" t="n"/>
      <c r="D177" s="8" t="n"/>
      <c r="E177" s="8">
        <f>SUMIFS(CB_Tributaires!$C:$C,CB_Tributaires!$B:$B,$A177)</f>
        <v/>
      </c>
      <c r="F177" s="8">
        <f>IF(D177="",E177,D177)</f>
        <v/>
      </c>
      <c r="G177" s="4" t="n"/>
      <c r="H177" s="8" t="n"/>
      <c r="I177" s="8">
        <f>IF(A177="","",Inputs!$B$13/((IF(H177="",Inputs!$B$18,H177)+Inputs!$B$14)^Inputs!$B$15))</f>
        <v/>
      </c>
      <c r="J177" s="8">
        <f>IF(A177="","",0.00278*IF(G177="",Inputs!$B$17,G177)*F177*I177)</f>
        <v/>
      </c>
      <c r="K177" s="8">
        <f>IF(A177="","",SUMIFS($L$4:$L$203,$B$4:$B$203,$A177))</f>
        <v/>
      </c>
      <c r="L177" s="8">
        <f>IF(A177="","",(J177+K177)*Inputs!$B$16)</f>
        <v/>
      </c>
      <c r="M177" s="8" t="n"/>
      <c r="N177" s="8">
        <f>IF(A177="","",IF(M177="",Inputs!$B$7,M177))</f>
        <v/>
      </c>
      <c r="O177" s="4">
        <f>IF(A177="","",IF(L177/Inputs!$B$10&lt;=AD177,Inputs!$F$5,IF(L177/Inputs!$B$10&gt;AM177,"OVERSIZE",INDEX(Inputs!$F$5:$F$14,MATCH(L177/Inputs!$B$10,AD177:AM177,1)+1))))</f>
        <v/>
      </c>
      <c r="P177" s="4" t="n"/>
      <c r="Q177" s="4">
        <f>IF(A177="","",IF(P177="",O177,P177))</f>
        <v/>
      </c>
      <c r="R177" s="8">
        <f>IF(OR(Q177="",Q177="OVERSIZE"),"",Q177/1000)</f>
        <v/>
      </c>
      <c r="S177" s="8">
        <f>IF(R177="","",(1/Inputs!$B$9)*(PI()*R177^2/4)*((R177/4)^(2/3))*SQRT(N177))</f>
        <v/>
      </c>
      <c r="T177" s="8">
        <f>IF(OR(S177="",L177=""),"",L177/(S177*Inputs!$B$10))</f>
        <v/>
      </c>
      <c r="U177" s="8">
        <f>IF(OR(R177="",L177=""),"",4*L177/(PI()*R177^2))</f>
        <v/>
      </c>
      <c r="V177" s="8" t="n"/>
      <c r="W177" s="8">
        <f>IF(A177="","",IF(A177=Inputs!$B$6,Inputs!$B$22,IF(B177="","",IFERROR(INDEX($X$4:$X$203,MATCH(B177,$A$4:$A$203,0))+IF(V177="",Inputs!$B$20,V177),""))))</f>
        <v/>
      </c>
      <c r="X177" s="8">
        <f>IF(OR(W177="",N177="",C177=""),"",W177+N177*C177)</f>
        <v/>
      </c>
      <c r="Y177" s="8" t="n"/>
      <c r="Z177" s="8" t="n"/>
      <c r="AA177" s="8">
        <f>IF(OR(Y177="",W177=""),"",Y177-W177)</f>
        <v/>
      </c>
      <c r="AB177" s="8">
        <f>IF(OR(Z177="",X177=""),"",Z177-X177)</f>
        <v/>
      </c>
      <c r="AC177" s="4">
        <f>IF(A177="","",IF(OR(T177&gt;1,U177&lt;Inputs!$B$11,U177&gt;Inputs!$B$12,AA177&lt;Inputs!$B$19,AB177&lt;Inputs!$B$19,N177&lt;Inputs!$B$7,N177&gt;Inputs!$B$8),"CHECK","OK"))</f>
        <v/>
      </c>
      <c r="AD177" s="4">
        <f>IF(A177="","",(1/Inputs!$B$9)*(PI()*(Inputs!$F$5/1000)^2/4)*((Inputs!$F$5/1000/4)^(2/3))*SQRT(N177))</f>
        <v/>
      </c>
      <c r="AE177" s="4">
        <f>IF(A177="","",(1/Inputs!$B$9)*(PI()*(Inputs!$F$6/1000)^2/4)*((Inputs!$F$6/1000/4)^(2/3))*SQRT(N177))</f>
        <v/>
      </c>
      <c r="AF177" s="4">
        <f>IF(A177="","",(1/Inputs!$B$9)*(PI()*(Inputs!$F$7/1000)^2/4)*((Inputs!$F$7/1000/4)^(2/3))*SQRT(N177))</f>
        <v/>
      </c>
      <c r="AG177" s="4">
        <f>IF(A177="","",(1/Inputs!$B$9)*(PI()*(Inputs!$F$8/1000)^2/4)*((Inputs!$F$8/1000/4)^(2/3))*SQRT(N177))</f>
        <v/>
      </c>
      <c r="AH177" s="4">
        <f>IF(A177="","",(1/Inputs!$B$9)*(PI()*(Inputs!$F$9/1000)^2/4)*((Inputs!$F$9/1000/4)^(2/3))*SQRT(N177))</f>
        <v/>
      </c>
      <c r="AI177" s="4">
        <f>IF(A177="","",(1/Inputs!$B$9)*(PI()*(Inputs!$F$10/1000)^2/4)*((Inputs!$F$10/1000/4)^(2/3))*SQRT(N177))</f>
        <v/>
      </c>
      <c r="AJ177" s="4">
        <f>IF(A177="","",(1/Inputs!$B$9)*(PI()*(Inputs!$F$11/1000)^2/4)*((Inputs!$F$11/1000/4)^(2/3))*SQRT(N177))</f>
        <v/>
      </c>
      <c r="AK177" s="4">
        <f>IF(A177="","",(1/Inputs!$B$9)*(PI()*(Inputs!$F$12/1000)^2/4)*((Inputs!$F$12/1000/4)^(2/3))*SQRT(N177))</f>
        <v/>
      </c>
      <c r="AL177" s="4">
        <f>IF(A177="","",(1/Inputs!$B$9)*(PI()*(Inputs!$F$13/1000)^2/4)*((Inputs!$F$13/1000/4)^(2/3))*SQRT(N177))</f>
        <v/>
      </c>
      <c r="AM177" s="4">
        <f>IF(A177="","",(1/Inputs!$B$9)*(PI()*(Inputs!$F$14/1000)^2/4)*((Inputs!$F$14/1000/4)^(2/3))*SQRT(N177))</f>
        <v/>
      </c>
    </row>
    <row r="178">
      <c r="A178" s="4" t="n"/>
      <c r="B178" s="4" t="n"/>
      <c r="C178" s="8" t="n"/>
      <c r="D178" s="8" t="n"/>
      <c r="E178" s="8">
        <f>SUMIFS(CB_Tributaires!$C:$C,CB_Tributaires!$B:$B,$A178)</f>
        <v/>
      </c>
      <c r="F178" s="8">
        <f>IF(D178="",E178,D178)</f>
        <v/>
      </c>
      <c r="G178" s="4" t="n"/>
      <c r="H178" s="8" t="n"/>
      <c r="I178" s="8">
        <f>IF(A178="","",Inputs!$B$13/((IF(H178="",Inputs!$B$18,H178)+Inputs!$B$14)^Inputs!$B$15))</f>
        <v/>
      </c>
      <c r="J178" s="8">
        <f>IF(A178="","",0.00278*IF(G178="",Inputs!$B$17,G178)*F178*I178)</f>
        <v/>
      </c>
      <c r="K178" s="8">
        <f>IF(A178="","",SUMIFS($L$4:$L$203,$B$4:$B$203,$A178))</f>
        <v/>
      </c>
      <c r="L178" s="8">
        <f>IF(A178="","",(J178+K178)*Inputs!$B$16)</f>
        <v/>
      </c>
      <c r="M178" s="8" t="n"/>
      <c r="N178" s="8">
        <f>IF(A178="","",IF(M178="",Inputs!$B$7,M178))</f>
        <v/>
      </c>
      <c r="O178" s="4">
        <f>IF(A178="","",IF(L178/Inputs!$B$10&lt;=AD178,Inputs!$F$5,IF(L178/Inputs!$B$10&gt;AM178,"OVERSIZE",INDEX(Inputs!$F$5:$F$14,MATCH(L178/Inputs!$B$10,AD178:AM178,1)+1))))</f>
        <v/>
      </c>
      <c r="P178" s="4" t="n"/>
      <c r="Q178" s="4">
        <f>IF(A178="","",IF(P178="",O178,P178))</f>
        <v/>
      </c>
      <c r="R178" s="8">
        <f>IF(OR(Q178="",Q178="OVERSIZE"),"",Q178/1000)</f>
        <v/>
      </c>
      <c r="S178" s="8">
        <f>IF(R178="","",(1/Inputs!$B$9)*(PI()*R178^2/4)*((R178/4)^(2/3))*SQRT(N178))</f>
        <v/>
      </c>
      <c r="T178" s="8">
        <f>IF(OR(S178="",L178=""),"",L178/(S178*Inputs!$B$10))</f>
        <v/>
      </c>
      <c r="U178" s="8">
        <f>IF(OR(R178="",L178=""),"",4*L178/(PI()*R178^2))</f>
        <v/>
      </c>
      <c r="V178" s="8" t="n"/>
      <c r="W178" s="8">
        <f>IF(A178="","",IF(A178=Inputs!$B$6,Inputs!$B$22,IF(B178="","",IFERROR(INDEX($X$4:$X$203,MATCH(B178,$A$4:$A$203,0))+IF(V178="",Inputs!$B$20,V178),""))))</f>
        <v/>
      </c>
      <c r="X178" s="8">
        <f>IF(OR(W178="",N178="",C178=""),"",W178+N178*C178)</f>
        <v/>
      </c>
      <c r="Y178" s="8" t="n"/>
      <c r="Z178" s="8" t="n"/>
      <c r="AA178" s="8">
        <f>IF(OR(Y178="",W178=""),"",Y178-W178)</f>
        <v/>
      </c>
      <c r="AB178" s="8">
        <f>IF(OR(Z178="",X178=""),"",Z178-X178)</f>
        <v/>
      </c>
      <c r="AC178" s="4">
        <f>IF(A178="","",IF(OR(T178&gt;1,U178&lt;Inputs!$B$11,U178&gt;Inputs!$B$12,AA178&lt;Inputs!$B$19,AB178&lt;Inputs!$B$19,N178&lt;Inputs!$B$7,N178&gt;Inputs!$B$8),"CHECK","OK"))</f>
        <v/>
      </c>
      <c r="AD178" s="4">
        <f>IF(A178="","",(1/Inputs!$B$9)*(PI()*(Inputs!$F$5/1000)^2/4)*((Inputs!$F$5/1000/4)^(2/3))*SQRT(N178))</f>
        <v/>
      </c>
      <c r="AE178" s="4">
        <f>IF(A178="","",(1/Inputs!$B$9)*(PI()*(Inputs!$F$6/1000)^2/4)*((Inputs!$F$6/1000/4)^(2/3))*SQRT(N178))</f>
        <v/>
      </c>
      <c r="AF178" s="4">
        <f>IF(A178="","",(1/Inputs!$B$9)*(PI()*(Inputs!$F$7/1000)^2/4)*((Inputs!$F$7/1000/4)^(2/3))*SQRT(N178))</f>
        <v/>
      </c>
      <c r="AG178" s="4">
        <f>IF(A178="","",(1/Inputs!$B$9)*(PI()*(Inputs!$F$8/1000)^2/4)*((Inputs!$F$8/1000/4)^(2/3))*SQRT(N178))</f>
        <v/>
      </c>
      <c r="AH178" s="4">
        <f>IF(A178="","",(1/Inputs!$B$9)*(PI()*(Inputs!$F$9/1000)^2/4)*((Inputs!$F$9/1000/4)^(2/3))*SQRT(N178))</f>
        <v/>
      </c>
      <c r="AI178" s="4">
        <f>IF(A178="","",(1/Inputs!$B$9)*(PI()*(Inputs!$F$10/1000)^2/4)*((Inputs!$F$10/1000/4)^(2/3))*SQRT(N178))</f>
        <v/>
      </c>
      <c r="AJ178" s="4">
        <f>IF(A178="","",(1/Inputs!$B$9)*(PI()*(Inputs!$F$11/1000)^2/4)*((Inputs!$F$11/1000/4)^(2/3))*SQRT(N178))</f>
        <v/>
      </c>
      <c r="AK178" s="4">
        <f>IF(A178="","",(1/Inputs!$B$9)*(PI()*(Inputs!$F$12/1000)^2/4)*((Inputs!$F$12/1000/4)^(2/3))*SQRT(N178))</f>
        <v/>
      </c>
      <c r="AL178" s="4">
        <f>IF(A178="","",(1/Inputs!$B$9)*(PI()*(Inputs!$F$13/1000)^2/4)*((Inputs!$F$13/1000/4)^(2/3))*SQRT(N178))</f>
        <v/>
      </c>
      <c r="AM178" s="4">
        <f>IF(A178="","",(1/Inputs!$B$9)*(PI()*(Inputs!$F$14/1000)^2/4)*((Inputs!$F$14/1000/4)^(2/3))*SQRT(N178))</f>
        <v/>
      </c>
    </row>
    <row r="179">
      <c r="A179" s="4" t="n"/>
      <c r="B179" s="4" t="n"/>
      <c r="C179" s="8" t="n"/>
      <c r="D179" s="8" t="n"/>
      <c r="E179" s="8">
        <f>SUMIFS(CB_Tributaires!$C:$C,CB_Tributaires!$B:$B,$A179)</f>
        <v/>
      </c>
      <c r="F179" s="8">
        <f>IF(D179="",E179,D179)</f>
        <v/>
      </c>
      <c r="G179" s="4" t="n"/>
      <c r="H179" s="8" t="n"/>
      <c r="I179" s="8">
        <f>IF(A179="","",Inputs!$B$13/((IF(H179="",Inputs!$B$18,H179)+Inputs!$B$14)^Inputs!$B$15))</f>
        <v/>
      </c>
      <c r="J179" s="8">
        <f>IF(A179="","",0.00278*IF(G179="",Inputs!$B$17,G179)*F179*I179)</f>
        <v/>
      </c>
      <c r="K179" s="8">
        <f>IF(A179="","",SUMIFS($L$4:$L$203,$B$4:$B$203,$A179))</f>
        <v/>
      </c>
      <c r="L179" s="8">
        <f>IF(A179="","",(J179+K179)*Inputs!$B$16)</f>
        <v/>
      </c>
      <c r="M179" s="8" t="n"/>
      <c r="N179" s="8">
        <f>IF(A179="","",IF(M179="",Inputs!$B$7,M179))</f>
        <v/>
      </c>
      <c r="O179" s="4">
        <f>IF(A179="","",IF(L179/Inputs!$B$10&lt;=AD179,Inputs!$F$5,IF(L179/Inputs!$B$10&gt;AM179,"OVERSIZE",INDEX(Inputs!$F$5:$F$14,MATCH(L179/Inputs!$B$10,AD179:AM179,1)+1))))</f>
        <v/>
      </c>
      <c r="P179" s="4" t="n"/>
      <c r="Q179" s="4">
        <f>IF(A179="","",IF(P179="",O179,P179))</f>
        <v/>
      </c>
      <c r="R179" s="8">
        <f>IF(OR(Q179="",Q179="OVERSIZE"),"",Q179/1000)</f>
        <v/>
      </c>
      <c r="S179" s="8">
        <f>IF(R179="","",(1/Inputs!$B$9)*(PI()*R179^2/4)*((R179/4)^(2/3))*SQRT(N179))</f>
        <v/>
      </c>
      <c r="T179" s="8">
        <f>IF(OR(S179="",L179=""),"",L179/(S179*Inputs!$B$10))</f>
        <v/>
      </c>
      <c r="U179" s="8">
        <f>IF(OR(R179="",L179=""),"",4*L179/(PI()*R179^2))</f>
        <v/>
      </c>
      <c r="V179" s="8" t="n"/>
      <c r="W179" s="8">
        <f>IF(A179="","",IF(A179=Inputs!$B$6,Inputs!$B$22,IF(B179="","",IFERROR(INDEX($X$4:$X$203,MATCH(B179,$A$4:$A$203,0))+IF(V179="",Inputs!$B$20,V179),""))))</f>
        <v/>
      </c>
      <c r="X179" s="8">
        <f>IF(OR(W179="",N179="",C179=""),"",W179+N179*C179)</f>
        <v/>
      </c>
      <c r="Y179" s="8" t="n"/>
      <c r="Z179" s="8" t="n"/>
      <c r="AA179" s="8">
        <f>IF(OR(Y179="",W179=""),"",Y179-W179)</f>
        <v/>
      </c>
      <c r="AB179" s="8">
        <f>IF(OR(Z179="",X179=""),"",Z179-X179)</f>
        <v/>
      </c>
      <c r="AC179" s="4">
        <f>IF(A179="","",IF(OR(T179&gt;1,U179&lt;Inputs!$B$11,U179&gt;Inputs!$B$12,AA179&lt;Inputs!$B$19,AB179&lt;Inputs!$B$19,N179&lt;Inputs!$B$7,N179&gt;Inputs!$B$8),"CHECK","OK"))</f>
        <v/>
      </c>
      <c r="AD179" s="4">
        <f>IF(A179="","",(1/Inputs!$B$9)*(PI()*(Inputs!$F$5/1000)^2/4)*((Inputs!$F$5/1000/4)^(2/3))*SQRT(N179))</f>
        <v/>
      </c>
      <c r="AE179" s="4">
        <f>IF(A179="","",(1/Inputs!$B$9)*(PI()*(Inputs!$F$6/1000)^2/4)*((Inputs!$F$6/1000/4)^(2/3))*SQRT(N179))</f>
        <v/>
      </c>
      <c r="AF179" s="4">
        <f>IF(A179="","",(1/Inputs!$B$9)*(PI()*(Inputs!$F$7/1000)^2/4)*((Inputs!$F$7/1000/4)^(2/3))*SQRT(N179))</f>
        <v/>
      </c>
      <c r="AG179" s="4">
        <f>IF(A179="","",(1/Inputs!$B$9)*(PI()*(Inputs!$F$8/1000)^2/4)*((Inputs!$F$8/1000/4)^(2/3))*SQRT(N179))</f>
        <v/>
      </c>
      <c r="AH179" s="4">
        <f>IF(A179="","",(1/Inputs!$B$9)*(PI()*(Inputs!$F$9/1000)^2/4)*((Inputs!$F$9/1000/4)^(2/3))*SQRT(N179))</f>
        <v/>
      </c>
      <c r="AI179" s="4">
        <f>IF(A179="","",(1/Inputs!$B$9)*(PI()*(Inputs!$F$10/1000)^2/4)*((Inputs!$F$10/1000/4)^(2/3))*SQRT(N179))</f>
        <v/>
      </c>
      <c r="AJ179" s="4">
        <f>IF(A179="","",(1/Inputs!$B$9)*(PI()*(Inputs!$F$11/1000)^2/4)*((Inputs!$F$11/1000/4)^(2/3))*SQRT(N179))</f>
        <v/>
      </c>
      <c r="AK179" s="4">
        <f>IF(A179="","",(1/Inputs!$B$9)*(PI()*(Inputs!$F$12/1000)^2/4)*((Inputs!$F$12/1000/4)^(2/3))*SQRT(N179))</f>
        <v/>
      </c>
      <c r="AL179" s="4">
        <f>IF(A179="","",(1/Inputs!$B$9)*(PI()*(Inputs!$F$13/1000)^2/4)*((Inputs!$F$13/1000/4)^(2/3))*SQRT(N179))</f>
        <v/>
      </c>
      <c r="AM179" s="4">
        <f>IF(A179="","",(1/Inputs!$B$9)*(PI()*(Inputs!$F$14/1000)^2/4)*((Inputs!$F$14/1000/4)^(2/3))*SQRT(N179))</f>
        <v/>
      </c>
    </row>
    <row r="180">
      <c r="A180" s="4" t="n"/>
      <c r="B180" s="4" t="n"/>
      <c r="C180" s="8" t="n"/>
      <c r="D180" s="8" t="n"/>
      <c r="E180" s="8">
        <f>SUMIFS(CB_Tributaires!$C:$C,CB_Tributaires!$B:$B,$A180)</f>
        <v/>
      </c>
      <c r="F180" s="8">
        <f>IF(D180="",E180,D180)</f>
        <v/>
      </c>
      <c r="G180" s="4" t="n"/>
      <c r="H180" s="8" t="n"/>
      <c r="I180" s="8">
        <f>IF(A180="","",Inputs!$B$13/((IF(H180="",Inputs!$B$18,H180)+Inputs!$B$14)^Inputs!$B$15))</f>
        <v/>
      </c>
      <c r="J180" s="8">
        <f>IF(A180="","",0.00278*IF(G180="",Inputs!$B$17,G180)*F180*I180)</f>
        <v/>
      </c>
      <c r="K180" s="8">
        <f>IF(A180="","",SUMIFS($L$4:$L$203,$B$4:$B$203,$A180))</f>
        <v/>
      </c>
      <c r="L180" s="8">
        <f>IF(A180="","",(J180+K180)*Inputs!$B$16)</f>
        <v/>
      </c>
      <c r="M180" s="8" t="n"/>
      <c r="N180" s="8">
        <f>IF(A180="","",IF(M180="",Inputs!$B$7,M180))</f>
        <v/>
      </c>
      <c r="O180" s="4">
        <f>IF(A180="","",IF(L180/Inputs!$B$10&lt;=AD180,Inputs!$F$5,IF(L180/Inputs!$B$10&gt;AM180,"OVERSIZE",INDEX(Inputs!$F$5:$F$14,MATCH(L180/Inputs!$B$10,AD180:AM180,1)+1))))</f>
        <v/>
      </c>
      <c r="P180" s="4" t="n"/>
      <c r="Q180" s="4">
        <f>IF(A180="","",IF(P180="",O180,P180))</f>
        <v/>
      </c>
      <c r="R180" s="8">
        <f>IF(OR(Q180="",Q180="OVERSIZE"),"",Q180/1000)</f>
        <v/>
      </c>
      <c r="S180" s="8">
        <f>IF(R180="","",(1/Inputs!$B$9)*(PI()*R180^2/4)*((R180/4)^(2/3))*SQRT(N180))</f>
        <v/>
      </c>
      <c r="T180" s="8">
        <f>IF(OR(S180="",L180=""),"",L180/(S180*Inputs!$B$10))</f>
        <v/>
      </c>
      <c r="U180" s="8">
        <f>IF(OR(R180="",L180=""),"",4*L180/(PI()*R180^2))</f>
        <v/>
      </c>
      <c r="V180" s="8" t="n"/>
      <c r="W180" s="8">
        <f>IF(A180="","",IF(A180=Inputs!$B$6,Inputs!$B$22,IF(B180="","",IFERROR(INDEX($X$4:$X$203,MATCH(B180,$A$4:$A$203,0))+IF(V180="",Inputs!$B$20,V180),""))))</f>
        <v/>
      </c>
      <c r="X180" s="8">
        <f>IF(OR(W180="",N180="",C180=""),"",W180+N180*C180)</f>
        <v/>
      </c>
      <c r="Y180" s="8" t="n"/>
      <c r="Z180" s="8" t="n"/>
      <c r="AA180" s="8">
        <f>IF(OR(Y180="",W180=""),"",Y180-W180)</f>
        <v/>
      </c>
      <c r="AB180" s="8">
        <f>IF(OR(Z180="",X180=""),"",Z180-X180)</f>
        <v/>
      </c>
      <c r="AC180" s="4">
        <f>IF(A180="","",IF(OR(T180&gt;1,U180&lt;Inputs!$B$11,U180&gt;Inputs!$B$12,AA180&lt;Inputs!$B$19,AB180&lt;Inputs!$B$19,N180&lt;Inputs!$B$7,N180&gt;Inputs!$B$8),"CHECK","OK"))</f>
        <v/>
      </c>
      <c r="AD180" s="4">
        <f>IF(A180="","",(1/Inputs!$B$9)*(PI()*(Inputs!$F$5/1000)^2/4)*((Inputs!$F$5/1000/4)^(2/3))*SQRT(N180))</f>
        <v/>
      </c>
      <c r="AE180" s="4">
        <f>IF(A180="","",(1/Inputs!$B$9)*(PI()*(Inputs!$F$6/1000)^2/4)*((Inputs!$F$6/1000/4)^(2/3))*SQRT(N180))</f>
        <v/>
      </c>
      <c r="AF180" s="4">
        <f>IF(A180="","",(1/Inputs!$B$9)*(PI()*(Inputs!$F$7/1000)^2/4)*((Inputs!$F$7/1000/4)^(2/3))*SQRT(N180))</f>
        <v/>
      </c>
      <c r="AG180" s="4">
        <f>IF(A180="","",(1/Inputs!$B$9)*(PI()*(Inputs!$F$8/1000)^2/4)*((Inputs!$F$8/1000/4)^(2/3))*SQRT(N180))</f>
        <v/>
      </c>
      <c r="AH180" s="4">
        <f>IF(A180="","",(1/Inputs!$B$9)*(PI()*(Inputs!$F$9/1000)^2/4)*((Inputs!$F$9/1000/4)^(2/3))*SQRT(N180))</f>
        <v/>
      </c>
      <c r="AI180" s="4">
        <f>IF(A180="","",(1/Inputs!$B$9)*(PI()*(Inputs!$F$10/1000)^2/4)*((Inputs!$F$10/1000/4)^(2/3))*SQRT(N180))</f>
        <v/>
      </c>
      <c r="AJ180" s="4">
        <f>IF(A180="","",(1/Inputs!$B$9)*(PI()*(Inputs!$F$11/1000)^2/4)*((Inputs!$F$11/1000/4)^(2/3))*SQRT(N180))</f>
        <v/>
      </c>
      <c r="AK180" s="4">
        <f>IF(A180="","",(1/Inputs!$B$9)*(PI()*(Inputs!$F$12/1000)^2/4)*((Inputs!$F$12/1000/4)^(2/3))*SQRT(N180))</f>
        <v/>
      </c>
      <c r="AL180" s="4">
        <f>IF(A180="","",(1/Inputs!$B$9)*(PI()*(Inputs!$F$13/1000)^2/4)*((Inputs!$F$13/1000/4)^(2/3))*SQRT(N180))</f>
        <v/>
      </c>
      <c r="AM180" s="4">
        <f>IF(A180="","",(1/Inputs!$B$9)*(PI()*(Inputs!$F$14/1000)^2/4)*((Inputs!$F$14/1000/4)^(2/3))*SQRT(N180))</f>
        <v/>
      </c>
    </row>
    <row r="181">
      <c r="A181" s="4" t="n"/>
      <c r="B181" s="4" t="n"/>
      <c r="C181" s="8" t="n"/>
      <c r="D181" s="8" t="n"/>
      <c r="E181" s="8">
        <f>SUMIFS(CB_Tributaires!$C:$C,CB_Tributaires!$B:$B,$A181)</f>
        <v/>
      </c>
      <c r="F181" s="8">
        <f>IF(D181="",E181,D181)</f>
        <v/>
      </c>
      <c r="G181" s="4" t="n"/>
      <c r="H181" s="8" t="n"/>
      <c r="I181" s="8">
        <f>IF(A181="","",Inputs!$B$13/((IF(H181="",Inputs!$B$18,H181)+Inputs!$B$14)^Inputs!$B$15))</f>
        <v/>
      </c>
      <c r="J181" s="8">
        <f>IF(A181="","",0.00278*IF(G181="",Inputs!$B$17,G181)*F181*I181)</f>
        <v/>
      </c>
      <c r="K181" s="8">
        <f>IF(A181="","",SUMIFS($L$4:$L$203,$B$4:$B$203,$A181))</f>
        <v/>
      </c>
      <c r="L181" s="8">
        <f>IF(A181="","",(J181+K181)*Inputs!$B$16)</f>
        <v/>
      </c>
      <c r="M181" s="8" t="n"/>
      <c r="N181" s="8">
        <f>IF(A181="","",IF(M181="",Inputs!$B$7,M181))</f>
        <v/>
      </c>
      <c r="O181" s="4">
        <f>IF(A181="","",IF(L181/Inputs!$B$10&lt;=AD181,Inputs!$F$5,IF(L181/Inputs!$B$10&gt;AM181,"OVERSIZE",INDEX(Inputs!$F$5:$F$14,MATCH(L181/Inputs!$B$10,AD181:AM181,1)+1))))</f>
        <v/>
      </c>
      <c r="P181" s="4" t="n"/>
      <c r="Q181" s="4">
        <f>IF(A181="","",IF(P181="",O181,P181))</f>
        <v/>
      </c>
      <c r="R181" s="8">
        <f>IF(OR(Q181="",Q181="OVERSIZE"),"",Q181/1000)</f>
        <v/>
      </c>
      <c r="S181" s="8">
        <f>IF(R181="","",(1/Inputs!$B$9)*(PI()*R181^2/4)*((R181/4)^(2/3))*SQRT(N181))</f>
        <v/>
      </c>
      <c r="T181" s="8">
        <f>IF(OR(S181="",L181=""),"",L181/(S181*Inputs!$B$10))</f>
        <v/>
      </c>
      <c r="U181" s="8">
        <f>IF(OR(R181="",L181=""),"",4*L181/(PI()*R181^2))</f>
        <v/>
      </c>
      <c r="V181" s="8" t="n"/>
      <c r="W181" s="8">
        <f>IF(A181="","",IF(A181=Inputs!$B$6,Inputs!$B$22,IF(B181="","",IFERROR(INDEX($X$4:$X$203,MATCH(B181,$A$4:$A$203,0))+IF(V181="",Inputs!$B$20,V181),""))))</f>
        <v/>
      </c>
      <c r="X181" s="8">
        <f>IF(OR(W181="",N181="",C181=""),"",W181+N181*C181)</f>
        <v/>
      </c>
      <c r="Y181" s="8" t="n"/>
      <c r="Z181" s="8" t="n"/>
      <c r="AA181" s="8">
        <f>IF(OR(Y181="",W181=""),"",Y181-W181)</f>
        <v/>
      </c>
      <c r="AB181" s="8">
        <f>IF(OR(Z181="",X181=""),"",Z181-X181)</f>
        <v/>
      </c>
      <c r="AC181" s="4">
        <f>IF(A181="","",IF(OR(T181&gt;1,U181&lt;Inputs!$B$11,U181&gt;Inputs!$B$12,AA181&lt;Inputs!$B$19,AB181&lt;Inputs!$B$19,N181&lt;Inputs!$B$7,N181&gt;Inputs!$B$8),"CHECK","OK"))</f>
        <v/>
      </c>
      <c r="AD181" s="4">
        <f>IF(A181="","",(1/Inputs!$B$9)*(PI()*(Inputs!$F$5/1000)^2/4)*((Inputs!$F$5/1000/4)^(2/3))*SQRT(N181))</f>
        <v/>
      </c>
      <c r="AE181" s="4">
        <f>IF(A181="","",(1/Inputs!$B$9)*(PI()*(Inputs!$F$6/1000)^2/4)*((Inputs!$F$6/1000/4)^(2/3))*SQRT(N181))</f>
        <v/>
      </c>
      <c r="AF181" s="4">
        <f>IF(A181="","",(1/Inputs!$B$9)*(PI()*(Inputs!$F$7/1000)^2/4)*((Inputs!$F$7/1000/4)^(2/3))*SQRT(N181))</f>
        <v/>
      </c>
      <c r="AG181" s="4">
        <f>IF(A181="","",(1/Inputs!$B$9)*(PI()*(Inputs!$F$8/1000)^2/4)*((Inputs!$F$8/1000/4)^(2/3))*SQRT(N181))</f>
        <v/>
      </c>
      <c r="AH181" s="4">
        <f>IF(A181="","",(1/Inputs!$B$9)*(PI()*(Inputs!$F$9/1000)^2/4)*((Inputs!$F$9/1000/4)^(2/3))*SQRT(N181))</f>
        <v/>
      </c>
      <c r="AI181" s="4">
        <f>IF(A181="","",(1/Inputs!$B$9)*(PI()*(Inputs!$F$10/1000)^2/4)*((Inputs!$F$10/1000/4)^(2/3))*SQRT(N181))</f>
        <v/>
      </c>
      <c r="AJ181" s="4">
        <f>IF(A181="","",(1/Inputs!$B$9)*(PI()*(Inputs!$F$11/1000)^2/4)*((Inputs!$F$11/1000/4)^(2/3))*SQRT(N181))</f>
        <v/>
      </c>
      <c r="AK181" s="4">
        <f>IF(A181="","",(1/Inputs!$B$9)*(PI()*(Inputs!$F$12/1000)^2/4)*((Inputs!$F$12/1000/4)^(2/3))*SQRT(N181))</f>
        <v/>
      </c>
      <c r="AL181" s="4">
        <f>IF(A181="","",(1/Inputs!$B$9)*(PI()*(Inputs!$F$13/1000)^2/4)*((Inputs!$F$13/1000/4)^(2/3))*SQRT(N181))</f>
        <v/>
      </c>
      <c r="AM181" s="4">
        <f>IF(A181="","",(1/Inputs!$B$9)*(PI()*(Inputs!$F$14/1000)^2/4)*((Inputs!$F$14/1000/4)^(2/3))*SQRT(N181))</f>
        <v/>
      </c>
    </row>
    <row r="182">
      <c r="A182" s="4" t="n"/>
      <c r="B182" s="4" t="n"/>
      <c r="C182" s="8" t="n"/>
      <c r="D182" s="8" t="n"/>
      <c r="E182" s="8">
        <f>SUMIFS(CB_Tributaires!$C:$C,CB_Tributaires!$B:$B,$A182)</f>
        <v/>
      </c>
      <c r="F182" s="8">
        <f>IF(D182="",E182,D182)</f>
        <v/>
      </c>
      <c r="G182" s="4" t="n"/>
      <c r="H182" s="8" t="n"/>
      <c r="I182" s="8">
        <f>IF(A182="","",Inputs!$B$13/((IF(H182="",Inputs!$B$18,H182)+Inputs!$B$14)^Inputs!$B$15))</f>
        <v/>
      </c>
      <c r="J182" s="8">
        <f>IF(A182="","",0.00278*IF(G182="",Inputs!$B$17,G182)*F182*I182)</f>
        <v/>
      </c>
      <c r="K182" s="8">
        <f>IF(A182="","",SUMIFS($L$4:$L$203,$B$4:$B$203,$A182))</f>
        <v/>
      </c>
      <c r="L182" s="8">
        <f>IF(A182="","",(J182+K182)*Inputs!$B$16)</f>
        <v/>
      </c>
      <c r="M182" s="8" t="n"/>
      <c r="N182" s="8">
        <f>IF(A182="","",IF(M182="",Inputs!$B$7,M182))</f>
        <v/>
      </c>
      <c r="O182" s="4">
        <f>IF(A182="","",IF(L182/Inputs!$B$10&lt;=AD182,Inputs!$F$5,IF(L182/Inputs!$B$10&gt;AM182,"OVERSIZE",INDEX(Inputs!$F$5:$F$14,MATCH(L182/Inputs!$B$10,AD182:AM182,1)+1))))</f>
        <v/>
      </c>
      <c r="P182" s="4" t="n"/>
      <c r="Q182" s="4">
        <f>IF(A182="","",IF(P182="",O182,P182))</f>
        <v/>
      </c>
      <c r="R182" s="8">
        <f>IF(OR(Q182="",Q182="OVERSIZE"),"",Q182/1000)</f>
        <v/>
      </c>
      <c r="S182" s="8">
        <f>IF(R182="","",(1/Inputs!$B$9)*(PI()*R182^2/4)*((R182/4)^(2/3))*SQRT(N182))</f>
        <v/>
      </c>
      <c r="T182" s="8">
        <f>IF(OR(S182="",L182=""),"",L182/(S182*Inputs!$B$10))</f>
        <v/>
      </c>
      <c r="U182" s="8">
        <f>IF(OR(R182="",L182=""),"",4*L182/(PI()*R182^2))</f>
        <v/>
      </c>
      <c r="V182" s="8" t="n"/>
      <c r="W182" s="8">
        <f>IF(A182="","",IF(A182=Inputs!$B$6,Inputs!$B$22,IF(B182="","",IFERROR(INDEX($X$4:$X$203,MATCH(B182,$A$4:$A$203,0))+IF(V182="",Inputs!$B$20,V182),""))))</f>
        <v/>
      </c>
      <c r="X182" s="8">
        <f>IF(OR(W182="",N182="",C182=""),"",W182+N182*C182)</f>
        <v/>
      </c>
      <c r="Y182" s="8" t="n"/>
      <c r="Z182" s="8" t="n"/>
      <c r="AA182" s="8">
        <f>IF(OR(Y182="",W182=""),"",Y182-W182)</f>
        <v/>
      </c>
      <c r="AB182" s="8">
        <f>IF(OR(Z182="",X182=""),"",Z182-X182)</f>
        <v/>
      </c>
      <c r="AC182" s="4">
        <f>IF(A182="","",IF(OR(T182&gt;1,U182&lt;Inputs!$B$11,U182&gt;Inputs!$B$12,AA182&lt;Inputs!$B$19,AB182&lt;Inputs!$B$19,N182&lt;Inputs!$B$7,N182&gt;Inputs!$B$8),"CHECK","OK"))</f>
        <v/>
      </c>
      <c r="AD182" s="4">
        <f>IF(A182="","",(1/Inputs!$B$9)*(PI()*(Inputs!$F$5/1000)^2/4)*((Inputs!$F$5/1000/4)^(2/3))*SQRT(N182))</f>
        <v/>
      </c>
      <c r="AE182" s="4">
        <f>IF(A182="","",(1/Inputs!$B$9)*(PI()*(Inputs!$F$6/1000)^2/4)*((Inputs!$F$6/1000/4)^(2/3))*SQRT(N182))</f>
        <v/>
      </c>
      <c r="AF182" s="4">
        <f>IF(A182="","",(1/Inputs!$B$9)*(PI()*(Inputs!$F$7/1000)^2/4)*((Inputs!$F$7/1000/4)^(2/3))*SQRT(N182))</f>
        <v/>
      </c>
      <c r="AG182" s="4">
        <f>IF(A182="","",(1/Inputs!$B$9)*(PI()*(Inputs!$F$8/1000)^2/4)*((Inputs!$F$8/1000/4)^(2/3))*SQRT(N182))</f>
        <v/>
      </c>
      <c r="AH182" s="4">
        <f>IF(A182="","",(1/Inputs!$B$9)*(PI()*(Inputs!$F$9/1000)^2/4)*((Inputs!$F$9/1000/4)^(2/3))*SQRT(N182))</f>
        <v/>
      </c>
      <c r="AI182" s="4">
        <f>IF(A182="","",(1/Inputs!$B$9)*(PI()*(Inputs!$F$10/1000)^2/4)*((Inputs!$F$10/1000/4)^(2/3))*SQRT(N182))</f>
        <v/>
      </c>
      <c r="AJ182" s="4">
        <f>IF(A182="","",(1/Inputs!$B$9)*(PI()*(Inputs!$F$11/1000)^2/4)*((Inputs!$F$11/1000/4)^(2/3))*SQRT(N182))</f>
        <v/>
      </c>
      <c r="AK182" s="4">
        <f>IF(A182="","",(1/Inputs!$B$9)*(PI()*(Inputs!$F$12/1000)^2/4)*((Inputs!$F$12/1000/4)^(2/3))*SQRT(N182))</f>
        <v/>
      </c>
      <c r="AL182" s="4">
        <f>IF(A182="","",(1/Inputs!$B$9)*(PI()*(Inputs!$F$13/1000)^2/4)*((Inputs!$F$13/1000/4)^(2/3))*SQRT(N182))</f>
        <v/>
      </c>
      <c r="AM182" s="4">
        <f>IF(A182="","",(1/Inputs!$B$9)*(PI()*(Inputs!$F$14/1000)^2/4)*((Inputs!$F$14/1000/4)^(2/3))*SQRT(N182))</f>
        <v/>
      </c>
    </row>
    <row r="183">
      <c r="A183" s="4" t="n"/>
      <c r="B183" s="4" t="n"/>
      <c r="C183" s="8" t="n"/>
      <c r="D183" s="8" t="n"/>
      <c r="E183" s="8">
        <f>SUMIFS(CB_Tributaires!$C:$C,CB_Tributaires!$B:$B,$A183)</f>
        <v/>
      </c>
      <c r="F183" s="8">
        <f>IF(D183="",E183,D183)</f>
        <v/>
      </c>
      <c r="G183" s="4" t="n"/>
      <c r="H183" s="8" t="n"/>
      <c r="I183" s="8">
        <f>IF(A183="","",Inputs!$B$13/((IF(H183="",Inputs!$B$18,H183)+Inputs!$B$14)^Inputs!$B$15))</f>
        <v/>
      </c>
      <c r="J183" s="8">
        <f>IF(A183="","",0.00278*IF(G183="",Inputs!$B$17,G183)*F183*I183)</f>
        <v/>
      </c>
      <c r="K183" s="8">
        <f>IF(A183="","",SUMIFS($L$4:$L$203,$B$4:$B$203,$A183))</f>
        <v/>
      </c>
      <c r="L183" s="8">
        <f>IF(A183="","",(J183+K183)*Inputs!$B$16)</f>
        <v/>
      </c>
      <c r="M183" s="8" t="n"/>
      <c r="N183" s="8">
        <f>IF(A183="","",IF(M183="",Inputs!$B$7,M183))</f>
        <v/>
      </c>
      <c r="O183" s="4">
        <f>IF(A183="","",IF(L183/Inputs!$B$10&lt;=AD183,Inputs!$F$5,IF(L183/Inputs!$B$10&gt;AM183,"OVERSIZE",INDEX(Inputs!$F$5:$F$14,MATCH(L183/Inputs!$B$10,AD183:AM183,1)+1))))</f>
        <v/>
      </c>
      <c r="P183" s="4" t="n"/>
      <c r="Q183" s="4">
        <f>IF(A183="","",IF(P183="",O183,P183))</f>
        <v/>
      </c>
      <c r="R183" s="8">
        <f>IF(OR(Q183="",Q183="OVERSIZE"),"",Q183/1000)</f>
        <v/>
      </c>
      <c r="S183" s="8">
        <f>IF(R183="","",(1/Inputs!$B$9)*(PI()*R183^2/4)*((R183/4)^(2/3))*SQRT(N183))</f>
        <v/>
      </c>
      <c r="T183" s="8">
        <f>IF(OR(S183="",L183=""),"",L183/(S183*Inputs!$B$10))</f>
        <v/>
      </c>
      <c r="U183" s="8">
        <f>IF(OR(R183="",L183=""),"",4*L183/(PI()*R183^2))</f>
        <v/>
      </c>
      <c r="V183" s="8" t="n"/>
      <c r="W183" s="8">
        <f>IF(A183="","",IF(A183=Inputs!$B$6,Inputs!$B$22,IF(B183="","",IFERROR(INDEX($X$4:$X$203,MATCH(B183,$A$4:$A$203,0))+IF(V183="",Inputs!$B$20,V183),""))))</f>
        <v/>
      </c>
      <c r="X183" s="8">
        <f>IF(OR(W183="",N183="",C183=""),"",W183+N183*C183)</f>
        <v/>
      </c>
      <c r="Y183" s="8" t="n"/>
      <c r="Z183" s="8" t="n"/>
      <c r="AA183" s="8">
        <f>IF(OR(Y183="",W183=""),"",Y183-W183)</f>
        <v/>
      </c>
      <c r="AB183" s="8">
        <f>IF(OR(Z183="",X183=""),"",Z183-X183)</f>
        <v/>
      </c>
      <c r="AC183" s="4">
        <f>IF(A183="","",IF(OR(T183&gt;1,U183&lt;Inputs!$B$11,U183&gt;Inputs!$B$12,AA183&lt;Inputs!$B$19,AB183&lt;Inputs!$B$19,N183&lt;Inputs!$B$7,N183&gt;Inputs!$B$8),"CHECK","OK"))</f>
        <v/>
      </c>
      <c r="AD183" s="4">
        <f>IF(A183="","",(1/Inputs!$B$9)*(PI()*(Inputs!$F$5/1000)^2/4)*((Inputs!$F$5/1000/4)^(2/3))*SQRT(N183))</f>
        <v/>
      </c>
      <c r="AE183" s="4">
        <f>IF(A183="","",(1/Inputs!$B$9)*(PI()*(Inputs!$F$6/1000)^2/4)*((Inputs!$F$6/1000/4)^(2/3))*SQRT(N183))</f>
        <v/>
      </c>
      <c r="AF183" s="4">
        <f>IF(A183="","",(1/Inputs!$B$9)*(PI()*(Inputs!$F$7/1000)^2/4)*((Inputs!$F$7/1000/4)^(2/3))*SQRT(N183))</f>
        <v/>
      </c>
      <c r="AG183" s="4">
        <f>IF(A183="","",(1/Inputs!$B$9)*(PI()*(Inputs!$F$8/1000)^2/4)*((Inputs!$F$8/1000/4)^(2/3))*SQRT(N183))</f>
        <v/>
      </c>
      <c r="AH183" s="4">
        <f>IF(A183="","",(1/Inputs!$B$9)*(PI()*(Inputs!$F$9/1000)^2/4)*((Inputs!$F$9/1000/4)^(2/3))*SQRT(N183))</f>
        <v/>
      </c>
      <c r="AI183" s="4">
        <f>IF(A183="","",(1/Inputs!$B$9)*(PI()*(Inputs!$F$10/1000)^2/4)*((Inputs!$F$10/1000/4)^(2/3))*SQRT(N183))</f>
        <v/>
      </c>
      <c r="AJ183" s="4">
        <f>IF(A183="","",(1/Inputs!$B$9)*(PI()*(Inputs!$F$11/1000)^2/4)*((Inputs!$F$11/1000/4)^(2/3))*SQRT(N183))</f>
        <v/>
      </c>
      <c r="AK183" s="4">
        <f>IF(A183="","",(1/Inputs!$B$9)*(PI()*(Inputs!$F$12/1000)^2/4)*((Inputs!$F$12/1000/4)^(2/3))*SQRT(N183))</f>
        <v/>
      </c>
      <c r="AL183" s="4">
        <f>IF(A183="","",(1/Inputs!$B$9)*(PI()*(Inputs!$F$13/1000)^2/4)*((Inputs!$F$13/1000/4)^(2/3))*SQRT(N183))</f>
        <v/>
      </c>
      <c r="AM183" s="4">
        <f>IF(A183="","",(1/Inputs!$B$9)*(PI()*(Inputs!$F$14/1000)^2/4)*((Inputs!$F$14/1000/4)^(2/3))*SQRT(N183))</f>
        <v/>
      </c>
    </row>
    <row r="184">
      <c r="A184" s="4" t="n"/>
      <c r="B184" s="4" t="n"/>
      <c r="C184" s="8" t="n"/>
      <c r="D184" s="8" t="n"/>
      <c r="E184" s="8">
        <f>SUMIFS(CB_Tributaires!$C:$C,CB_Tributaires!$B:$B,$A184)</f>
        <v/>
      </c>
      <c r="F184" s="8">
        <f>IF(D184="",E184,D184)</f>
        <v/>
      </c>
      <c r="G184" s="4" t="n"/>
      <c r="H184" s="8" t="n"/>
      <c r="I184" s="8">
        <f>IF(A184="","",Inputs!$B$13/((IF(H184="",Inputs!$B$18,H184)+Inputs!$B$14)^Inputs!$B$15))</f>
        <v/>
      </c>
      <c r="J184" s="8">
        <f>IF(A184="","",0.00278*IF(G184="",Inputs!$B$17,G184)*F184*I184)</f>
        <v/>
      </c>
      <c r="K184" s="8">
        <f>IF(A184="","",SUMIFS($L$4:$L$203,$B$4:$B$203,$A184))</f>
        <v/>
      </c>
      <c r="L184" s="8">
        <f>IF(A184="","",(J184+K184)*Inputs!$B$16)</f>
        <v/>
      </c>
      <c r="M184" s="8" t="n"/>
      <c r="N184" s="8">
        <f>IF(A184="","",IF(M184="",Inputs!$B$7,M184))</f>
        <v/>
      </c>
      <c r="O184" s="4">
        <f>IF(A184="","",IF(L184/Inputs!$B$10&lt;=AD184,Inputs!$F$5,IF(L184/Inputs!$B$10&gt;AM184,"OVERSIZE",INDEX(Inputs!$F$5:$F$14,MATCH(L184/Inputs!$B$10,AD184:AM184,1)+1))))</f>
        <v/>
      </c>
      <c r="P184" s="4" t="n"/>
      <c r="Q184" s="4">
        <f>IF(A184="","",IF(P184="",O184,P184))</f>
        <v/>
      </c>
      <c r="R184" s="8">
        <f>IF(OR(Q184="",Q184="OVERSIZE"),"",Q184/1000)</f>
        <v/>
      </c>
      <c r="S184" s="8">
        <f>IF(R184="","",(1/Inputs!$B$9)*(PI()*R184^2/4)*((R184/4)^(2/3))*SQRT(N184))</f>
        <v/>
      </c>
      <c r="T184" s="8">
        <f>IF(OR(S184="",L184=""),"",L184/(S184*Inputs!$B$10))</f>
        <v/>
      </c>
      <c r="U184" s="8">
        <f>IF(OR(R184="",L184=""),"",4*L184/(PI()*R184^2))</f>
        <v/>
      </c>
      <c r="V184" s="8" t="n"/>
      <c r="W184" s="8">
        <f>IF(A184="","",IF(A184=Inputs!$B$6,Inputs!$B$22,IF(B184="","",IFERROR(INDEX($X$4:$X$203,MATCH(B184,$A$4:$A$203,0))+IF(V184="",Inputs!$B$20,V184),""))))</f>
        <v/>
      </c>
      <c r="X184" s="8">
        <f>IF(OR(W184="",N184="",C184=""),"",W184+N184*C184)</f>
        <v/>
      </c>
      <c r="Y184" s="8" t="n"/>
      <c r="Z184" s="8" t="n"/>
      <c r="AA184" s="8">
        <f>IF(OR(Y184="",W184=""),"",Y184-W184)</f>
        <v/>
      </c>
      <c r="AB184" s="8">
        <f>IF(OR(Z184="",X184=""),"",Z184-X184)</f>
        <v/>
      </c>
      <c r="AC184" s="4">
        <f>IF(A184="","",IF(OR(T184&gt;1,U184&lt;Inputs!$B$11,U184&gt;Inputs!$B$12,AA184&lt;Inputs!$B$19,AB184&lt;Inputs!$B$19,N184&lt;Inputs!$B$7,N184&gt;Inputs!$B$8),"CHECK","OK"))</f>
        <v/>
      </c>
      <c r="AD184" s="4">
        <f>IF(A184="","",(1/Inputs!$B$9)*(PI()*(Inputs!$F$5/1000)^2/4)*((Inputs!$F$5/1000/4)^(2/3))*SQRT(N184))</f>
        <v/>
      </c>
      <c r="AE184" s="4">
        <f>IF(A184="","",(1/Inputs!$B$9)*(PI()*(Inputs!$F$6/1000)^2/4)*((Inputs!$F$6/1000/4)^(2/3))*SQRT(N184))</f>
        <v/>
      </c>
      <c r="AF184" s="4">
        <f>IF(A184="","",(1/Inputs!$B$9)*(PI()*(Inputs!$F$7/1000)^2/4)*((Inputs!$F$7/1000/4)^(2/3))*SQRT(N184))</f>
        <v/>
      </c>
      <c r="AG184" s="4">
        <f>IF(A184="","",(1/Inputs!$B$9)*(PI()*(Inputs!$F$8/1000)^2/4)*((Inputs!$F$8/1000/4)^(2/3))*SQRT(N184))</f>
        <v/>
      </c>
      <c r="AH184" s="4">
        <f>IF(A184="","",(1/Inputs!$B$9)*(PI()*(Inputs!$F$9/1000)^2/4)*((Inputs!$F$9/1000/4)^(2/3))*SQRT(N184))</f>
        <v/>
      </c>
      <c r="AI184" s="4">
        <f>IF(A184="","",(1/Inputs!$B$9)*(PI()*(Inputs!$F$10/1000)^2/4)*((Inputs!$F$10/1000/4)^(2/3))*SQRT(N184))</f>
        <v/>
      </c>
      <c r="AJ184" s="4">
        <f>IF(A184="","",(1/Inputs!$B$9)*(PI()*(Inputs!$F$11/1000)^2/4)*((Inputs!$F$11/1000/4)^(2/3))*SQRT(N184))</f>
        <v/>
      </c>
      <c r="AK184" s="4">
        <f>IF(A184="","",(1/Inputs!$B$9)*(PI()*(Inputs!$F$12/1000)^2/4)*((Inputs!$F$12/1000/4)^(2/3))*SQRT(N184))</f>
        <v/>
      </c>
      <c r="AL184" s="4">
        <f>IF(A184="","",(1/Inputs!$B$9)*(PI()*(Inputs!$F$13/1000)^2/4)*((Inputs!$F$13/1000/4)^(2/3))*SQRT(N184))</f>
        <v/>
      </c>
      <c r="AM184" s="4">
        <f>IF(A184="","",(1/Inputs!$B$9)*(PI()*(Inputs!$F$14/1000)^2/4)*((Inputs!$F$14/1000/4)^(2/3))*SQRT(N184))</f>
        <v/>
      </c>
    </row>
    <row r="185">
      <c r="A185" s="4" t="n"/>
      <c r="B185" s="4" t="n"/>
      <c r="C185" s="8" t="n"/>
      <c r="D185" s="8" t="n"/>
      <c r="E185" s="8">
        <f>SUMIFS(CB_Tributaires!$C:$C,CB_Tributaires!$B:$B,$A185)</f>
        <v/>
      </c>
      <c r="F185" s="8">
        <f>IF(D185="",E185,D185)</f>
        <v/>
      </c>
      <c r="G185" s="4" t="n"/>
      <c r="H185" s="8" t="n"/>
      <c r="I185" s="8">
        <f>IF(A185="","",Inputs!$B$13/((IF(H185="",Inputs!$B$18,H185)+Inputs!$B$14)^Inputs!$B$15))</f>
        <v/>
      </c>
      <c r="J185" s="8">
        <f>IF(A185="","",0.00278*IF(G185="",Inputs!$B$17,G185)*F185*I185)</f>
        <v/>
      </c>
      <c r="K185" s="8">
        <f>IF(A185="","",SUMIFS($L$4:$L$203,$B$4:$B$203,$A185))</f>
        <v/>
      </c>
      <c r="L185" s="8">
        <f>IF(A185="","",(J185+K185)*Inputs!$B$16)</f>
        <v/>
      </c>
      <c r="M185" s="8" t="n"/>
      <c r="N185" s="8">
        <f>IF(A185="","",IF(M185="",Inputs!$B$7,M185))</f>
        <v/>
      </c>
      <c r="O185" s="4">
        <f>IF(A185="","",IF(L185/Inputs!$B$10&lt;=AD185,Inputs!$F$5,IF(L185/Inputs!$B$10&gt;AM185,"OVERSIZE",INDEX(Inputs!$F$5:$F$14,MATCH(L185/Inputs!$B$10,AD185:AM185,1)+1))))</f>
        <v/>
      </c>
      <c r="P185" s="4" t="n"/>
      <c r="Q185" s="4">
        <f>IF(A185="","",IF(P185="",O185,P185))</f>
        <v/>
      </c>
      <c r="R185" s="8">
        <f>IF(OR(Q185="",Q185="OVERSIZE"),"",Q185/1000)</f>
        <v/>
      </c>
      <c r="S185" s="8">
        <f>IF(R185="","",(1/Inputs!$B$9)*(PI()*R185^2/4)*((R185/4)^(2/3))*SQRT(N185))</f>
        <v/>
      </c>
      <c r="T185" s="8">
        <f>IF(OR(S185="",L185=""),"",L185/(S185*Inputs!$B$10))</f>
        <v/>
      </c>
      <c r="U185" s="8">
        <f>IF(OR(R185="",L185=""),"",4*L185/(PI()*R185^2))</f>
        <v/>
      </c>
      <c r="V185" s="8" t="n"/>
      <c r="W185" s="8">
        <f>IF(A185="","",IF(A185=Inputs!$B$6,Inputs!$B$22,IF(B185="","",IFERROR(INDEX($X$4:$X$203,MATCH(B185,$A$4:$A$203,0))+IF(V185="",Inputs!$B$20,V185),""))))</f>
        <v/>
      </c>
      <c r="X185" s="8">
        <f>IF(OR(W185="",N185="",C185=""),"",W185+N185*C185)</f>
        <v/>
      </c>
      <c r="Y185" s="8" t="n"/>
      <c r="Z185" s="8" t="n"/>
      <c r="AA185" s="8">
        <f>IF(OR(Y185="",W185=""),"",Y185-W185)</f>
        <v/>
      </c>
      <c r="AB185" s="8">
        <f>IF(OR(Z185="",X185=""),"",Z185-X185)</f>
        <v/>
      </c>
      <c r="AC185" s="4">
        <f>IF(A185="","",IF(OR(T185&gt;1,U185&lt;Inputs!$B$11,U185&gt;Inputs!$B$12,AA185&lt;Inputs!$B$19,AB185&lt;Inputs!$B$19,N185&lt;Inputs!$B$7,N185&gt;Inputs!$B$8),"CHECK","OK"))</f>
        <v/>
      </c>
      <c r="AD185" s="4">
        <f>IF(A185="","",(1/Inputs!$B$9)*(PI()*(Inputs!$F$5/1000)^2/4)*((Inputs!$F$5/1000/4)^(2/3))*SQRT(N185))</f>
        <v/>
      </c>
      <c r="AE185" s="4">
        <f>IF(A185="","",(1/Inputs!$B$9)*(PI()*(Inputs!$F$6/1000)^2/4)*((Inputs!$F$6/1000/4)^(2/3))*SQRT(N185))</f>
        <v/>
      </c>
      <c r="AF185" s="4">
        <f>IF(A185="","",(1/Inputs!$B$9)*(PI()*(Inputs!$F$7/1000)^2/4)*((Inputs!$F$7/1000/4)^(2/3))*SQRT(N185))</f>
        <v/>
      </c>
      <c r="AG185" s="4">
        <f>IF(A185="","",(1/Inputs!$B$9)*(PI()*(Inputs!$F$8/1000)^2/4)*((Inputs!$F$8/1000/4)^(2/3))*SQRT(N185))</f>
        <v/>
      </c>
      <c r="AH185" s="4">
        <f>IF(A185="","",(1/Inputs!$B$9)*(PI()*(Inputs!$F$9/1000)^2/4)*((Inputs!$F$9/1000/4)^(2/3))*SQRT(N185))</f>
        <v/>
      </c>
      <c r="AI185" s="4">
        <f>IF(A185="","",(1/Inputs!$B$9)*(PI()*(Inputs!$F$10/1000)^2/4)*((Inputs!$F$10/1000/4)^(2/3))*SQRT(N185))</f>
        <v/>
      </c>
      <c r="AJ185" s="4">
        <f>IF(A185="","",(1/Inputs!$B$9)*(PI()*(Inputs!$F$11/1000)^2/4)*((Inputs!$F$11/1000/4)^(2/3))*SQRT(N185))</f>
        <v/>
      </c>
      <c r="AK185" s="4">
        <f>IF(A185="","",(1/Inputs!$B$9)*(PI()*(Inputs!$F$12/1000)^2/4)*((Inputs!$F$12/1000/4)^(2/3))*SQRT(N185))</f>
        <v/>
      </c>
      <c r="AL185" s="4">
        <f>IF(A185="","",(1/Inputs!$B$9)*(PI()*(Inputs!$F$13/1000)^2/4)*((Inputs!$F$13/1000/4)^(2/3))*SQRT(N185))</f>
        <v/>
      </c>
      <c r="AM185" s="4">
        <f>IF(A185="","",(1/Inputs!$B$9)*(PI()*(Inputs!$F$14/1000)^2/4)*((Inputs!$F$14/1000/4)^(2/3))*SQRT(N185))</f>
        <v/>
      </c>
    </row>
    <row r="186">
      <c r="A186" s="4" t="n"/>
      <c r="B186" s="4" t="n"/>
      <c r="C186" s="8" t="n"/>
      <c r="D186" s="8" t="n"/>
      <c r="E186" s="8">
        <f>SUMIFS(CB_Tributaires!$C:$C,CB_Tributaires!$B:$B,$A186)</f>
        <v/>
      </c>
      <c r="F186" s="8">
        <f>IF(D186="",E186,D186)</f>
        <v/>
      </c>
      <c r="G186" s="4" t="n"/>
      <c r="H186" s="8" t="n"/>
      <c r="I186" s="8">
        <f>IF(A186="","",Inputs!$B$13/((IF(H186="",Inputs!$B$18,H186)+Inputs!$B$14)^Inputs!$B$15))</f>
        <v/>
      </c>
      <c r="J186" s="8">
        <f>IF(A186="","",0.00278*IF(G186="",Inputs!$B$17,G186)*F186*I186)</f>
        <v/>
      </c>
      <c r="K186" s="8">
        <f>IF(A186="","",SUMIFS($L$4:$L$203,$B$4:$B$203,$A186))</f>
        <v/>
      </c>
      <c r="L186" s="8">
        <f>IF(A186="","",(J186+K186)*Inputs!$B$16)</f>
        <v/>
      </c>
      <c r="M186" s="8" t="n"/>
      <c r="N186" s="8">
        <f>IF(A186="","",IF(M186="",Inputs!$B$7,M186))</f>
        <v/>
      </c>
      <c r="O186" s="4">
        <f>IF(A186="","",IF(L186/Inputs!$B$10&lt;=AD186,Inputs!$F$5,IF(L186/Inputs!$B$10&gt;AM186,"OVERSIZE",INDEX(Inputs!$F$5:$F$14,MATCH(L186/Inputs!$B$10,AD186:AM186,1)+1))))</f>
        <v/>
      </c>
      <c r="P186" s="4" t="n"/>
      <c r="Q186" s="4">
        <f>IF(A186="","",IF(P186="",O186,P186))</f>
        <v/>
      </c>
      <c r="R186" s="8">
        <f>IF(OR(Q186="",Q186="OVERSIZE"),"",Q186/1000)</f>
        <v/>
      </c>
      <c r="S186" s="8">
        <f>IF(R186="","",(1/Inputs!$B$9)*(PI()*R186^2/4)*((R186/4)^(2/3))*SQRT(N186))</f>
        <v/>
      </c>
      <c r="T186" s="8">
        <f>IF(OR(S186="",L186=""),"",L186/(S186*Inputs!$B$10))</f>
        <v/>
      </c>
      <c r="U186" s="8">
        <f>IF(OR(R186="",L186=""),"",4*L186/(PI()*R186^2))</f>
        <v/>
      </c>
      <c r="V186" s="8" t="n"/>
      <c r="W186" s="8">
        <f>IF(A186="","",IF(A186=Inputs!$B$6,Inputs!$B$22,IF(B186="","",IFERROR(INDEX($X$4:$X$203,MATCH(B186,$A$4:$A$203,0))+IF(V186="",Inputs!$B$20,V186),""))))</f>
        <v/>
      </c>
      <c r="X186" s="8">
        <f>IF(OR(W186="",N186="",C186=""),"",W186+N186*C186)</f>
        <v/>
      </c>
      <c r="Y186" s="8" t="n"/>
      <c r="Z186" s="8" t="n"/>
      <c r="AA186" s="8">
        <f>IF(OR(Y186="",W186=""),"",Y186-W186)</f>
        <v/>
      </c>
      <c r="AB186" s="8">
        <f>IF(OR(Z186="",X186=""),"",Z186-X186)</f>
        <v/>
      </c>
      <c r="AC186" s="4">
        <f>IF(A186="","",IF(OR(T186&gt;1,U186&lt;Inputs!$B$11,U186&gt;Inputs!$B$12,AA186&lt;Inputs!$B$19,AB186&lt;Inputs!$B$19,N186&lt;Inputs!$B$7,N186&gt;Inputs!$B$8),"CHECK","OK"))</f>
        <v/>
      </c>
      <c r="AD186" s="4">
        <f>IF(A186="","",(1/Inputs!$B$9)*(PI()*(Inputs!$F$5/1000)^2/4)*((Inputs!$F$5/1000/4)^(2/3))*SQRT(N186))</f>
        <v/>
      </c>
      <c r="AE186" s="4">
        <f>IF(A186="","",(1/Inputs!$B$9)*(PI()*(Inputs!$F$6/1000)^2/4)*((Inputs!$F$6/1000/4)^(2/3))*SQRT(N186))</f>
        <v/>
      </c>
      <c r="AF186" s="4">
        <f>IF(A186="","",(1/Inputs!$B$9)*(PI()*(Inputs!$F$7/1000)^2/4)*((Inputs!$F$7/1000/4)^(2/3))*SQRT(N186))</f>
        <v/>
      </c>
      <c r="AG186" s="4">
        <f>IF(A186="","",(1/Inputs!$B$9)*(PI()*(Inputs!$F$8/1000)^2/4)*((Inputs!$F$8/1000/4)^(2/3))*SQRT(N186))</f>
        <v/>
      </c>
      <c r="AH186" s="4">
        <f>IF(A186="","",(1/Inputs!$B$9)*(PI()*(Inputs!$F$9/1000)^2/4)*((Inputs!$F$9/1000/4)^(2/3))*SQRT(N186))</f>
        <v/>
      </c>
      <c r="AI186" s="4">
        <f>IF(A186="","",(1/Inputs!$B$9)*(PI()*(Inputs!$F$10/1000)^2/4)*((Inputs!$F$10/1000/4)^(2/3))*SQRT(N186))</f>
        <v/>
      </c>
      <c r="AJ186" s="4">
        <f>IF(A186="","",(1/Inputs!$B$9)*(PI()*(Inputs!$F$11/1000)^2/4)*((Inputs!$F$11/1000/4)^(2/3))*SQRT(N186))</f>
        <v/>
      </c>
      <c r="AK186" s="4">
        <f>IF(A186="","",(1/Inputs!$B$9)*(PI()*(Inputs!$F$12/1000)^2/4)*((Inputs!$F$12/1000/4)^(2/3))*SQRT(N186))</f>
        <v/>
      </c>
      <c r="AL186" s="4">
        <f>IF(A186="","",(1/Inputs!$B$9)*(PI()*(Inputs!$F$13/1000)^2/4)*((Inputs!$F$13/1000/4)^(2/3))*SQRT(N186))</f>
        <v/>
      </c>
      <c r="AM186" s="4">
        <f>IF(A186="","",(1/Inputs!$B$9)*(PI()*(Inputs!$F$14/1000)^2/4)*((Inputs!$F$14/1000/4)^(2/3))*SQRT(N186))</f>
        <v/>
      </c>
    </row>
    <row r="187">
      <c r="A187" s="4" t="n"/>
      <c r="B187" s="4" t="n"/>
      <c r="C187" s="8" t="n"/>
      <c r="D187" s="8" t="n"/>
      <c r="E187" s="8">
        <f>SUMIFS(CB_Tributaires!$C:$C,CB_Tributaires!$B:$B,$A187)</f>
        <v/>
      </c>
      <c r="F187" s="8">
        <f>IF(D187="",E187,D187)</f>
        <v/>
      </c>
      <c r="G187" s="4" t="n"/>
      <c r="H187" s="8" t="n"/>
      <c r="I187" s="8">
        <f>IF(A187="","",Inputs!$B$13/((IF(H187="",Inputs!$B$18,H187)+Inputs!$B$14)^Inputs!$B$15))</f>
        <v/>
      </c>
      <c r="J187" s="8">
        <f>IF(A187="","",0.00278*IF(G187="",Inputs!$B$17,G187)*F187*I187)</f>
        <v/>
      </c>
      <c r="K187" s="8">
        <f>IF(A187="","",SUMIFS($L$4:$L$203,$B$4:$B$203,$A187))</f>
        <v/>
      </c>
      <c r="L187" s="8">
        <f>IF(A187="","",(J187+K187)*Inputs!$B$16)</f>
        <v/>
      </c>
      <c r="M187" s="8" t="n"/>
      <c r="N187" s="8">
        <f>IF(A187="","",IF(M187="",Inputs!$B$7,M187))</f>
        <v/>
      </c>
      <c r="O187" s="4">
        <f>IF(A187="","",IF(L187/Inputs!$B$10&lt;=AD187,Inputs!$F$5,IF(L187/Inputs!$B$10&gt;AM187,"OVERSIZE",INDEX(Inputs!$F$5:$F$14,MATCH(L187/Inputs!$B$10,AD187:AM187,1)+1))))</f>
        <v/>
      </c>
      <c r="P187" s="4" t="n"/>
      <c r="Q187" s="4">
        <f>IF(A187="","",IF(P187="",O187,P187))</f>
        <v/>
      </c>
      <c r="R187" s="8">
        <f>IF(OR(Q187="",Q187="OVERSIZE"),"",Q187/1000)</f>
        <v/>
      </c>
      <c r="S187" s="8">
        <f>IF(R187="","",(1/Inputs!$B$9)*(PI()*R187^2/4)*((R187/4)^(2/3))*SQRT(N187))</f>
        <v/>
      </c>
      <c r="T187" s="8">
        <f>IF(OR(S187="",L187=""),"",L187/(S187*Inputs!$B$10))</f>
        <v/>
      </c>
      <c r="U187" s="8">
        <f>IF(OR(R187="",L187=""),"",4*L187/(PI()*R187^2))</f>
        <v/>
      </c>
      <c r="V187" s="8" t="n"/>
      <c r="W187" s="8">
        <f>IF(A187="","",IF(A187=Inputs!$B$6,Inputs!$B$22,IF(B187="","",IFERROR(INDEX($X$4:$X$203,MATCH(B187,$A$4:$A$203,0))+IF(V187="",Inputs!$B$20,V187),""))))</f>
        <v/>
      </c>
      <c r="X187" s="8">
        <f>IF(OR(W187="",N187="",C187=""),"",W187+N187*C187)</f>
        <v/>
      </c>
      <c r="Y187" s="8" t="n"/>
      <c r="Z187" s="8" t="n"/>
      <c r="AA187" s="8">
        <f>IF(OR(Y187="",W187=""),"",Y187-W187)</f>
        <v/>
      </c>
      <c r="AB187" s="8">
        <f>IF(OR(Z187="",X187=""),"",Z187-X187)</f>
        <v/>
      </c>
      <c r="AC187" s="4">
        <f>IF(A187="","",IF(OR(T187&gt;1,U187&lt;Inputs!$B$11,U187&gt;Inputs!$B$12,AA187&lt;Inputs!$B$19,AB187&lt;Inputs!$B$19,N187&lt;Inputs!$B$7,N187&gt;Inputs!$B$8),"CHECK","OK"))</f>
        <v/>
      </c>
      <c r="AD187" s="4">
        <f>IF(A187="","",(1/Inputs!$B$9)*(PI()*(Inputs!$F$5/1000)^2/4)*((Inputs!$F$5/1000/4)^(2/3))*SQRT(N187))</f>
        <v/>
      </c>
      <c r="AE187" s="4">
        <f>IF(A187="","",(1/Inputs!$B$9)*(PI()*(Inputs!$F$6/1000)^2/4)*((Inputs!$F$6/1000/4)^(2/3))*SQRT(N187))</f>
        <v/>
      </c>
      <c r="AF187" s="4">
        <f>IF(A187="","",(1/Inputs!$B$9)*(PI()*(Inputs!$F$7/1000)^2/4)*((Inputs!$F$7/1000/4)^(2/3))*SQRT(N187))</f>
        <v/>
      </c>
      <c r="AG187" s="4">
        <f>IF(A187="","",(1/Inputs!$B$9)*(PI()*(Inputs!$F$8/1000)^2/4)*((Inputs!$F$8/1000/4)^(2/3))*SQRT(N187))</f>
        <v/>
      </c>
      <c r="AH187" s="4">
        <f>IF(A187="","",(1/Inputs!$B$9)*(PI()*(Inputs!$F$9/1000)^2/4)*((Inputs!$F$9/1000/4)^(2/3))*SQRT(N187))</f>
        <v/>
      </c>
      <c r="AI187" s="4">
        <f>IF(A187="","",(1/Inputs!$B$9)*(PI()*(Inputs!$F$10/1000)^2/4)*((Inputs!$F$10/1000/4)^(2/3))*SQRT(N187))</f>
        <v/>
      </c>
      <c r="AJ187" s="4">
        <f>IF(A187="","",(1/Inputs!$B$9)*(PI()*(Inputs!$F$11/1000)^2/4)*((Inputs!$F$11/1000/4)^(2/3))*SQRT(N187))</f>
        <v/>
      </c>
      <c r="AK187" s="4">
        <f>IF(A187="","",(1/Inputs!$B$9)*(PI()*(Inputs!$F$12/1000)^2/4)*((Inputs!$F$12/1000/4)^(2/3))*SQRT(N187))</f>
        <v/>
      </c>
      <c r="AL187" s="4">
        <f>IF(A187="","",(1/Inputs!$B$9)*(PI()*(Inputs!$F$13/1000)^2/4)*((Inputs!$F$13/1000/4)^(2/3))*SQRT(N187))</f>
        <v/>
      </c>
      <c r="AM187" s="4">
        <f>IF(A187="","",(1/Inputs!$B$9)*(PI()*(Inputs!$F$14/1000)^2/4)*((Inputs!$F$14/1000/4)^(2/3))*SQRT(N187))</f>
        <v/>
      </c>
    </row>
    <row r="188">
      <c r="A188" s="4" t="n"/>
      <c r="B188" s="4" t="n"/>
      <c r="C188" s="8" t="n"/>
      <c r="D188" s="8" t="n"/>
      <c r="E188" s="8">
        <f>SUMIFS(CB_Tributaires!$C:$C,CB_Tributaires!$B:$B,$A188)</f>
        <v/>
      </c>
      <c r="F188" s="8">
        <f>IF(D188="",E188,D188)</f>
        <v/>
      </c>
      <c r="G188" s="4" t="n"/>
      <c r="H188" s="8" t="n"/>
      <c r="I188" s="8">
        <f>IF(A188="","",Inputs!$B$13/((IF(H188="",Inputs!$B$18,H188)+Inputs!$B$14)^Inputs!$B$15))</f>
        <v/>
      </c>
      <c r="J188" s="8">
        <f>IF(A188="","",0.00278*IF(G188="",Inputs!$B$17,G188)*F188*I188)</f>
        <v/>
      </c>
      <c r="K188" s="8">
        <f>IF(A188="","",SUMIFS($L$4:$L$203,$B$4:$B$203,$A188))</f>
        <v/>
      </c>
      <c r="L188" s="8">
        <f>IF(A188="","",(J188+K188)*Inputs!$B$16)</f>
        <v/>
      </c>
      <c r="M188" s="8" t="n"/>
      <c r="N188" s="8">
        <f>IF(A188="","",IF(M188="",Inputs!$B$7,M188))</f>
        <v/>
      </c>
      <c r="O188" s="4">
        <f>IF(A188="","",IF(L188/Inputs!$B$10&lt;=AD188,Inputs!$F$5,IF(L188/Inputs!$B$10&gt;AM188,"OVERSIZE",INDEX(Inputs!$F$5:$F$14,MATCH(L188/Inputs!$B$10,AD188:AM188,1)+1))))</f>
        <v/>
      </c>
      <c r="P188" s="4" t="n"/>
      <c r="Q188" s="4">
        <f>IF(A188="","",IF(P188="",O188,P188))</f>
        <v/>
      </c>
      <c r="R188" s="8">
        <f>IF(OR(Q188="",Q188="OVERSIZE"),"",Q188/1000)</f>
        <v/>
      </c>
      <c r="S188" s="8">
        <f>IF(R188="","",(1/Inputs!$B$9)*(PI()*R188^2/4)*((R188/4)^(2/3))*SQRT(N188))</f>
        <v/>
      </c>
      <c r="T188" s="8">
        <f>IF(OR(S188="",L188=""),"",L188/(S188*Inputs!$B$10))</f>
        <v/>
      </c>
      <c r="U188" s="8">
        <f>IF(OR(R188="",L188=""),"",4*L188/(PI()*R188^2))</f>
        <v/>
      </c>
      <c r="V188" s="8" t="n"/>
      <c r="W188" s="8">
        <f>IF(A188="","",IF(A188=Inputs!$B$6,Inputs!$B$22,IF(B188="","",IFERROR(INDEX($X$4:$X$203,MATCH(B188,$A$4:$A$203,0))+IF(V188="",Inputs!$B$20,V188),""))))</f>
        <v/>
      </c>
      <c r="X188" s="8">
        <f>IF(OR(W188="",N188="",C188=""),"",W188+N188*C188)</f>
        <v/>
      </c>
      <c r="Y188" s="8" t="n"/>
      <c r="Z188" s="8" t="n"/>
      <c r="AA188" s="8">
        <f>IF(OR(Y188="",W188=""),"",Y188-W188)</f>
        <v/>
      </c>
      <c r="AB188" s="8">
        <f>IF(OR(Z188="",X188=""),"",Z188-X188)</f>
        <v/>
      </c>
      <c r="AC188" s="4">
        <f>IF(A188="","",IF(OR(T188&gt;1,U188&lt;Inputs!$B$11,U188&gt;Inputs!$B$12,AA188&lt;Inputs!$B$19,AB188&lt;Inputs!$B$19,N188&lt;Inputs!$B$7,N188&gt;Inputs!$B$8),"CHECK","OK"))</f>
        <v/>
      </c>
      <c r="AD188" s="4">
        <f>IF(A188="","",(1/Inputs!$B$9)*(PI()*(Inputs!$F$5/1000)^2/4)*((Inputs!$F$5/1000/4)^(2/3))*SQRT(N188))</f>
        <v/>
      </c>
      <c r="AE188" s="4">
        <f>IF(A188="","",(1/Inputs!$B$9)*(PI()*(Inputs!$F$6/1000)^2/4)*((Inputs!$F$6/1000/4)^(2/3))*SQRT(N188))</f>
        <v/>
      </c>
      <c r="AF188" s="4">
        <f>IF(A188="","",(1/Inputs!$B$9)*(PI()*(Inputs!$F$7/1000)^2/4)*((Inputs!$F$7/1000/4)^(2/3))*SQRT(N188))</f>
        <v/>
      </c>
      <c r="AG188" s="4">
        <f>IF(A188="","",(1/Inputs!$B$9)*(PI()*(Inputs!$F$8/1000)^2/4)*((Inputs!$F$8/1000/4)^(2/3))*SQRT(N188))</f>
        <v/>
      </c>
      <c r="AH188" s="4">
        <f>IF(A188="","",(1/Inputs!$B$9)*(PI()*(Inputs!$F$9/1000)^2/4)*((Inputs!$F$9/1000/4)^(2/3))*SQRT(N188))</f>
        <v/>
      </c>
      <c r="AI188" s="4">
        <f>IF(A188="","",(1/Inputs!$B$9)*(PI()*(Inputs!$F$10/1000)^2/4)*((Inputs!$F$10/1000/4)^(2/3))*SQRT(N188))</f>
        <v/>
      </c>
      <c r="AJ188" s="4">
        <f>IF(A188="","",(1/Inputs!$B$9)*(PI()*(Inputs!$F$11/1000)^2/4)*((Inputs!$F$11/1000/4)^(2/3))*SQRT(N188))</f>
        <v/>
      </c>
      <c r="AK188" s="4">
        <f>IF(A188="","",(1/Inputs!$B$9)*(PI()*(Inputs!$F$12/1000)^2/4)*((Inputs!$F$12/1000/4)^(2/3))*SQRT(N188))</f>
        <v/>
      </c>
      <c r="AL188" s="4">
        <f>IF(A188="","",(1/Inputs!$B$9)*(PI()*(Inputs!$F$13/1000)^2/4)*((Inputs!$F$13/1000/4)^(2/3))*SQRT(N188))</f>
        <v/>
      </c>
      <c r="AM188" s="4">
        <f>IF(A188="","",(1/Inputs!$B$9)*(PI()*(Inputs!$F$14/1000)^2/4)*((Inputs!$F$14/1000/4)^(2/3))*SQRT(N188))</f>
        <v/>
      </c>
    </row>
    <row r="189">
      <c r="A189" s="4" t="n"/>
      <c r="B189" s="4" t="n"/>
      <c r="C189" s="8" t="n"/>
      <c r="D189" s="8" t="n"/>
      <c r="E189" s="8">
        <f>SUMIFS(CB_Tributaires!$C:$C,CB_Tributaires!$B:$B,$A189)</f>
        <v/>
      </c>
      <c r="F189" s="8">
        <f>IF(D189="",E189,D189)</f>
        <v/>
      </c>
      <c r="G189" s="4" t="n"/>
      <c r="H189" s="8" t="n"/>
      <c r="I189" s="8">
        <f>IF(A189="","",Inputs!$B$13/((IF(H189="",Inputs!$B$18,H189)+Inputs!$B$14)^Inputs!$B$15))</f>
        <v/>
      </c>
      <c r="J189" s="8">
        <f>IF(A189="","",0.00278*IF(G189="",Inputs!$B$17,G189)*F189*I189)</f>
        <v/>
      </c>
      <c r="K189" s="8">
        <f>IF(A189="","",SUMIFS($L$4:$L$203,$B$4:$B$203,$A189))</f>
        <v/>
      </c>
      <c r="L189" s="8">
        <f>IF(A189="","",(J189+K189)*Inputs!$B$16)</f>
        <v/>
      </c>
      <c r="M189" s="8" t="n"/>
      <c r="N189" s="8">
        <f>IF(A189="","",IF(M189="",Inputs!$B$7,M189))</f>
        <v/>
      </c>
      <c r="O189" s="4">
        <f>IF(A189="","",IF(L189/Inputs!$B$10&lt;=AD189,Inputs!$F$5,IF(L189/Inputs!$B$10&gt;AM189,"OVERSIZE",INDEX(Inputs!$F$5:$F$14,MATCH(L189/Inputs!$B$10,AD189:AM189,1)+1))))</f>
        <v/>
      </c>
      <c r="P189" s="4" t="n"/>
      <c r="Q189" s="4">
        <f>IF(A189="","",IF(P189="",O189,P189))</f>
        <v/>
      </c>
      <c r="R189" s="8">
        <f>IF(OR(Q189="",Q189="OVERSIZE"),"",Q189/1000)</f>
        <v/>
      </c>
      <c r="S189" s="8">
        <f>IF(R189="","",(1/Inputs!$B$9)*(PI()*R189^2/4)*((R189/4)^(2/3))*SQRT(N189))</f>
        <v/>
      </c>
      <c r="T189" s="8">
        <f>IF(OR(S189="",L189=""),"",L189/(S189*Inputs!$B$10))</f>
        <v/>
      </c>
      <c r="U189" s="8">
        <f>IF(OR(R189="",L189=""),"",4*L189/(PI()*R189^2))</f>
        <v/>
      </c>
      <c r="V189" s="8" t="n"/>
      <c r="W189" s="8">
        <f>IF(A189="","",IF(A189=Inputs!$B$6,Inputs!$B$22,IF(B189="","",IFERROR(INDEX($X$4:$X$203,MATCH(B189,$A$4:$A$203,0))+IF(V189="",Inputs!$B$20,V189),""))))</f>
        <v/>
      </c>
      <c r="X189" s="8">
        <f>IF(OR(W189="",N189="",C189=""),"",W189+N189*C189)</f>
        <v/>
      </c>
      <c r="Y189" s="8" t="n"/>
      <c r="Z189" s="8" t="n"/>
      <c r="AA189" s="8">
        <f>IF(OR(Y189="",W189=""),"",Y189-W189)</f>
        <v/>
      </c>
      <c r="AB189" s="8">
        <f>IF(OR(Z189="",X189=""),"",Z189-X189)</f>
        <v/>
      </c>
      <c r="AC189" s="4">
        <f>IF(A189="","",IF(OR(T189&gt;1,U189&lt;Inputs!$B$11,U189&gt;Inputs!$B$12,AA189&lt;Inputs!$B$19,AB189&lt;Inputs!$B$19,N189&lt;Inputs!$B$7,N189&gt;Inputs!$B$8),"CHECK","OK"))</f>
        <v/>
      </c>
      <c r="AD189" s="4">
        <f>IF(A189="","",(1/Inputs!$B$9)*(PI()*(Inputs!$F$5/1000)^2/4)*((Inputs!$F$5/1000/4)^(2/3))*SQRT(N189))</f>
        <v/>
      </c>
      <c r="AE189" s="4">
        <f>IF(A189="","",(1/Inputs!$B$9)*(PI()*(Inputs!$F$6/1000)^2/4)*((Inputs!$F$6/1000/4)^(2/3))*SQRT(N189))</f>
        <v/>
      </c>
      <c r="AF189" s="4">
        <f>IF(A189="","",(1/Inputs!$B$9)*(PI()*(Inputs!$F$7/1000)^2/4)*((Inputs!$F$7/1000/4)^(2/3))*SQRT(N189))</f>
        <v/>
      </c>
      <c r="AG189" s="4">
        <f>IF(A189="","",(1/Inputs!$B$9)*(PI()*(Inputs!$F$8/1000)^2/4)*((Inputs!$F$8/1000/4)^(2/3))*SQRT(N189))</f>
        <v/>
      </c>
      <c r="AH189" s="4">
        <f>IF(A189="","",(1/Inputs!$B$9)*(PI()*(Inputs!$F$9/1000)^2/4)*((Inputs!$F$9/1000/4)^(2/3))*SQRT(N189))</f>
        <v/>
      </c>
      <c r="AI189" s="4">
        <f>IF(A189="","",(1/Inputs!$B$9)*(PI()*(Inputs!$F$10/1000)^2/4)*((Inputs!$F$10/1000/4)^(2/3))*SQRT(N189))</f>
        <v/>
      </c>
      <c r="AJ189" s="4">
        <f>IF(A189="","",(1/Inputs!$B$9)*(PI()*(Inputs!$F$11/1000)^2/4)*((Inputs!$F$11/1000/4)^(2/3))*SQRT(N189))</f>
        <v/>
      </c>
      <c r="AK189" s="4">
        <f>IF(A189="","",(1/Inputs!$B$9)*(PI()*(Inputs!$F$12/1000)^2/4)*((Inputs!$F$12/1000/4)^(2/3))*SQRT(N189))</f>
        <v/>
      </c>
      <c r="AL189" s="4">
        <f>IF(A189="","",(1/Inputs!$B$9)*(PI()*(Inputs!$F$13/1000)^2/4)*((Inputs!$F$13/1000/4)^(2/3))*SQRT(N189))</f>
        <v/>
      </c>
      <c r="AM189" s="4">
        <f>IF(A189="","",(1/Inputs!$B$9)*(PI()*(Inputs!$F$14/1000)^2/4)*((Inputs!$F$14/1000/4)^(2/3))*SQRT(N189))</f>
        <v/>
      </c>
    </row>
    <row r="190">
      <c r="A190" s="4" t="n"/>
      <c r="B190" s="4" t="n"/>
      <c r="C190" s="8" t="n"/>
      <c r="D190" s="8" t="n"/>
      <c r="E190" s="8">
        <f>SUMIFS(CB_Tributaires!$C:$C,CB_Tributaires!$B:$B,$A190)</f>
        <v/>
      </c>
      <c r="F190" s="8">
        <f>IF(D190="",E190,D190)</f>
        <v/>
      </c>
      <c r="G190" s="4" t="n"/>
      <c r="H190" s="8" t="n"/>
      <c r="I190" s="8">
        <f>IF(A190="","",Inputs!$B$13/((IF(H190="",Inputs!$B$18,H190)+Inputs!$B$14)^Inputs!$B$15))</f>
        <v/>
      </c>
      <c r="J190" s="8">
        <f>IF(A190="","",0.00278*IF(G190="",Inputs!$B$17,G190)*F190*I190)</f>
        <v/>
      </c>
      <c r="K190" s="8">
        <f>IF(A190="","",SUMIFS($L$4:$L$203,$B$4:$B$203,$A190))</f>
        <v/>
      </c>
      <c r="L190" s="8">
        <f>IF(A190="","",(J190+K190)*Inputs!$B$16)</f>
        <v/>
      </c>
      <c r="M190" s="8" t="n"/>
      <c r="N190" s="8">
        <f>IF(A190="","",IF(M190="",Inputs!$B$7,M190))</f>
        <v/>
      </c>
      <c r="O190" s="4">
        <f>IF(A190="","",IF(L190/Inputs!$B$10&lt;=AD190,Inputs!$F$5,IF(L190/Inputs!$B$10&gt;AM190,"OVERSIZE",INDEX(Inputs!$F$5:$F$14,MATCH(L190/Inputs!$B$10,AD190:AM190,1)+1))))</f>
        <v/>
      </c>
      <c r="P190" s="4" t="n"/>
      <c r="Q190" s="4">
        <f>IF(A190="","",IF(P190="",O190,P190))</f>
        <v/>
      </c>
      <c r="R190" s="8">
        <f>IF(OR(Q190="",Q190="OVERSIZE"),"",Q190/1000)</f>
        <v/>
      </c>
      <c r="S190" s="8">
        <f>IF(R190="","",(1/Inputs!$B$9)*(PI()*R190^2/4)*((R190/4)^(2/3))*SQRT(N190))</f>
        <v/>
      </c>
      <c r="T190" s="8">
        <f>IF(OR(S190="",L190=""),"",L190/(S190*Inputs!$B$10))</f>
        <v/>
      </c>
      <c r="U190" s="8">
        <f>IF(OR(R190="",L190=""),"",4*L190/(PI()*R190^2))</f>
        <v/>
      </c>
      <c r="V190" s="8" t="n"/>
      <c r="W190" s="8">
        <f>IF(A190="","",IF(A190=Inputs!$B$6,Inputs!$B$22,IF(B190="","",IFERROR(INDEX($X$4:$X$203,MATCH(B190,$A$4:$A$203,0))+IF(V190="",Inputs!$B$20,V190),""))))</f>
        <v/>
      </c>
      <c r="X190" s="8">
        <f>IF(OR(W190="",N190="",C190=""),"",W190+N190*C190)</f>
        <v/>
      </c>
      <c r="Y190" s="8" t="n"/>
      <c r="Z190" s="8" t="n"/>
      <c r="AA190" s="8">
        <f>IF(OR(Y190="",W190=""),"",Y190-W190)</f>
        <v/>
      </c>
      <c r="AB190" s="8">
        <f>IF(OR(Z190="",X190=""),"",Z190-X190)</f>
        <v/>
      </c>
      <c r="AC190" s="4">
        <f>IF(A190="","",IF(OR(T190&gt;1,U190&lt;Inputs!$B$11,U190&gt;Inputs!$B$12,AA190&lt;Inputs!$B$19,AB190&lt;Inputs!$B$19,N190&lt;Inputs!$B$7,N190&gt;Inputs!$B$8),"CHECK","OK"))</f>
        <v/>
      </c>
      <c r="AD190" s="4">
        <f>IF(A190="","",(1/Inputs!$B$9)*(PI()*(Inputs!$F$5/1000)^2/4)*((Inputs!$F$5/1000/4)^(2/3))*SQRT(N190))</f>
        <v/>
      </c>
      <c r="AE190" s="4">
        <f>IF(A190="","",(1/Inputs!$B$9)*(PI()*(Inputs!$F$6/1000)^2/4)*((Inputs!$F$6/1000/4)^(2/3))*SQRT(N190))</f>
        <v/>
      </c>
      <c r="AF190" s="4">
        <f>IF(A190="","",(1/Inputs!$B$9)*(PI()*(Inputs!$F$7/1000)^2/4)*((Inputs!$F$7/1000/4)^(2/3))*SQRT(N190))</f>
        <v/>
      </c>
      <c r="AG190" s="4">
        <f>IF(A190="","",(1/Inputs!$B$9)*(PI()*(Inputs!$F$8/1000)^2/4)*((Inputs!$F$8/1000/4)^(2/3))*SQRT(N190))</f>
        <v/>
      </c>
      <c r="AH190" s="4">
        <f>IF(A190="","",(1/Inputs!$B$9)*(PI()*(Inputs!$F$9/1000)^2/4)*((Inputs!$F$9/1000/4)^(2/3))*SQRT(N190))</f>
        <v/>
      </c>
      <c r="AI190" s="4">
        <f>IF(A190="","",(1/Inputs!$B$9)*(PI()*(Inputs!$F$10/1000)^2/4)*((Inputs!$F$10/1000/4)^(2/3))*SQRT(N190))</f>
        <v/>
      </c>
      <c r="AJ190" s="4">
        <f>IF(A190="","",(1/Inputs!$B$9)*(PI()*(Inputs!$F$11/1000)^2/4)*((Inputs!$F$11/1000/4)^(2/3))*SQRT(N190))</f>
        <v/>
      </c>
      <c r="AK190" s="4">
        <f>IF(A190="","",(1/Inputs!$B$9)*(PI()*(Inputs!$F$12/1000)^2/4)*((Inputs!$F$12/1000/4)^(2/3))*SQRT(N190))</f>
        <v/>
      </c>
      <c r="AL190" s="4">
        <f>IF(A190="","",(1/Inputs!$B$9)*(PI()*(Inputs!$F$13/1000)^2/4)*((Inputs!$F$13/1000/4)^(2/3))*SQRT(N190))</f>
        <v/>
      </c>
      <c r="AM190" s="4">
        <f>IF(A190="","",(1/Inputs!$B$9)*(PI()*(Inputs!$F$14/1000)^2/4)*((Inputs!$F$14/1000/4)^(2/3))*SQRT(N190))</f>
        <v/>
      </c>
    </row>
    <row r="191">
      <c r="A191" s="4" t="n"/>
      <c r="B191" s="4" t="n"/>
      <c r="C191" s="8" t="n"/>
      <c r="D191" s="8" t="n"/>
      <c r="E191" s="8">
        <f>SUMIFS(CB_Tributaires!$C:$C,CB_Tributaires!$B:$B,$A191)</f>
        <v/>
      </c>
      <c r="F191" s="8">
        <f>IF(D191="",E191,D191)</f>
        <v/>
      </c>
      <c r="G191" s="4" t="n"/>
      <c r="H191" s="8" t="n"/>
      <c r="I191" s="8">
        <f>IF(A191="","",Inputs!$B$13/((IF(H191="",Inputs!$B$18,H191)+Inputs!$B$14)^Inputs!$B$15))</f>
        <v/>
      </c>
      <c r="J191" s="8">
        <f>IF(A191="","",0.00278*IF(G191="",Inputs!$B$17,G191)*F191*I191)</f>
        <v/>
      </c>
      <c r="K191" s="8">
        <f>IF(A191="","",SUMIFS($L$4:$L$203,$B$4:$B$203,$A191))</f>
        <v/>
      </c>
      <c r="L191" s="8">
        <f>IF(A191="","",(J191+K191)*Inputs!$B$16)</f>
        <v/>
      </c>
      <c r="M191" s="8" t="n"/>
      <c r="N191" s="8">
        <f>IF(A191="","",IF(M191="",Inputs!$B$7,M191))</f>
        <v/>
      </c>
      <c r="O191" s="4">
        <f>IF(A191="","",IF(L191/Inputs!$B$10&lt;=AD191,Inputs!$F$5,IF(L191/Inputs!$B$10&gt;AM191,"OVERSIZE",INDEX(Inputs!$F$5:$F$14,MATCH(L191/Inputs!$B$10,AD191:AM191,1)+1))))</f>
        <v/>
      </c>
      <c r="P191" s="4" t="n"/>
      <c r="Q191" s="4">
        <f>IF(A191="","",IF(P191="",O191,P191))</f>
        <v/>
      </c>
      <c r="R191" s="8">
        <f>IF(OR(Q191="",Q191="OVERSIZE"),"",Q191/1000)</f>
        <v/>
      </c>
      <c r="S191" s="8">
        <f>IF(R191="","",(1/Inputs!$B$9)*(PI()*R191^2/4)*((R191/4)^(2/3))*SQRT(N191))</f>
        <v/>
      </c>
      <c r="T191" s="8">
        <f>IF(OR(S191="",L191=""),"",L191/(S191*Inputs!$B$10))</f>
        <v/>
      </c>
      <c r="U191" s="8">
        <f>IF(OR(R191="",L191=""),"",4*L191/(PI()*R191^2))</f>
        <v/>
      </c>
      <c r="V191" s="8" t="n"/>
      <c r="W191" s="8">
        <f>IF(A191="","",IF(A191=Inputs!$B$6,Inputs!$B$22,IF(B191="","",IFERROR(INDEX($X$4:$X$203,MATCH(B191,$A$4:$A$203,0))+IF(V191="",Inputs!$B$20,V191),""))))</f>
        <v/>
      </c>
      <c r="X191" s="8">
        <f>IF(OR(W191="",N191="",C191=""),"",W191+N191*C191)</f>
        <v/>
      </c>
      <c r="Y191" s="8" t="n"/>
      <c r="Z191" s="8" t="n"/>
      <c r="AA191" s="8">
        <f>IF(OR(Y191="",W191=""),"",Y191-W191)</f>
        <v/>
      </c>
      <c r="AB191" s="8">
        <f>IF(OR(Z191="",X191=""),"",Z191-X191)</f>
        <v/>
      </c>
      <c r="AC191" s="4">
        <f>IF(A191="","",IF(OR(T191&gt;1,U191&lt;Inputs!$B$11,U191&gt;Inputs!$B$12,AA191&lt;Inputs!$B$19,AB191&lt;Inputs!$B$19,N191&lt;Inputs!$B$7,N191&gt;Inputs!$B$8),"CHECK","OK"))</f>
        <v/>
      </c>
      <c r="AD191" s="4">
        <f>IF(A191="","",(1/Inputs!$B$9)*(PI()*(Inputs!$F$5/1000)^2/4)*((Inputs!$F$5/1000/4)^(2/3))*SQRT(N191))</f>
        <v/>
      </c>
      <c r="AE191" s="4">
        <f>IF(A191="","",(1/Inputs!$B$9)*(PI()*(Inputs!$F$6/1000)^2/4)*((Inputs!$F$6/1000/4)^(2/3))*SQRT(N191))</f>
        <v/>
      </c>
      <c r="AF191" s="4">
        <f>IF(A191="","",(1/Inputs!$B$9)*(PI()*(Inputs!$F$7/1000)^2/4)*((Inputs!$F$7/1000/4)^(2/3))*SQRT(N191))</f>
        <v/>
      </c>
      <c r="AG191" s="4">
        <f>IF(A191="","",(1/Inputs!$B$9)*(PI()*(Inputs!$F$8/1000)^2/4)*((Inputs!$F$8/1000/4)^(2/3))*SQRT(N191))</f>
        <v/>
      </c>
      <c r="AH191" s="4">
        <f>IF(A191="","",(1/Inputs!$B$9)*(PI()*(Inputs!$F$9/1000)^2/4)*((Inputs!$F$9/1000/4)^(2/3))*SQRT(N191))</f>
        <v/>
      </c>
      <c r="AI191" s="4">
        <f>IF(A191="","",(1/Inputs!$B$9)*(PI()*(Inputs!$F$10/1000)^2/4)*((Inputs!$F$10/1000/4)^(2/3))*SQRT(N191))</f>
        <v/>
      </c>
      <c r="AJ191" s="4">
        <f>IF(A191="","",(1/Inputs!$B$9)*(PI()*(Inputs!$F$11/1000)^2/4)*((Inputs!$F$11/1000/4)^(2/3))*SQRT(N191))</f>
        <v/>
      </c>
      <c r="AK191" s="4">
        <f>IF(A191="","",(1/Inputs!$B$9)*(PI()*(Inputs!$F$12/1000)^2/4)*((Inputs!$F$12/1000/4)^(2/3))*SQRT(N191))</f>
        <v/>
      </c>
      <c r="AL191" s="4">
        <f>IF(A191="","",(1/Inputs!$B$9)*(PI()*(Inputs!$F$13/1000)^2/4)*((Inputs!$F$13/1000/4)^(2/3))*SQRT(N191))</f>
        <v/>
      </c>
      <c r="AM191" s="4">
        <f>IF(A191="","",(1/Inputs!$B$9)*(PI()*(Inputs!$F$14/1000)^2/4)*((Inputs!$F$14/1000/4)^(2/3))*SQRT(N191))</f>
        <v/>
      </c>
    </row>
    <row r="192">
      <c r="A192" s="4" t="n"/>
      <c r="B192" s="4" t="n"/>
      <c r="C192" s="8" t="n"/>
      <c r="D192" s="8" t="n"/>
      <c r="E192" s="8">
        <f>SUMIFS(CB_Tributaires!$C:$C,CB_Tributaires!$B:$B,$A192)</f>
        <v/>
      </c>
      <c r="F192" s="8">
        <f>IF(D192="",E192,D192)</f>
        <v/>
      </c>
      <c r="G192" s="4" t="n"/>
      <c r="H192" s="8" t="n"/>
      <c r="I192" s="8">
        <f>IF(A192="","",Inputs!$B$13/((IF(H192="",Inputs!$B$18,H192)+Inputs!$B$14)^Inputs!$B$15))</f>
        <v/>
      </c>
      <c r="J192" s="8">
        <f>IF(A192="","",0.00278*IF(G192="",Inputs!$B$17,G192)*F192*I192)</f>
        <v/>
      </c>
      <c r="K192" s="8">
        <f>IF(A192="","",SUMIFS($L$4:$L$203,$B$4:$B$203,$A192))</f>
        <v/>
      </c>
      <c r="L192" s="8">
        <f>IF(A192="","",(J192+K192)*Inputs!$B$16)</f>
        <v/>
      </c>
      <c r="M192" s="8" t="n"/>
      <c r="N192" s="8">
        <f>IF(A192="","",IF(M192="",Inputs!$B$7,M192))</f>
        <v/>
      </c>
      <c r="O192" s="4">
        <f>IF(A192="","",IF(L192/Inputs!$B$10&lt;=AD192,Inputs!$F$5,IF(L192/Inputs!$B$10&gt;AM192,"OVERSIZE",INDEX(Inputs!$F$5:$F$14,MATCH(L192/Inputs!$B$10,AD192:AM192,1)+1))))</f>
        <v/>
      </c>
      <c r="P192" s="4" t="n"/>
      <c r="Q192" s="4">
        <f>IF(A192="","",IF(P192="",O192,P192))</f>
        <v/>
      </c>
      <c r="R192" s="8">
        <f>IF(OR(Q192="",Q192="OVERSIZE"),"",Q192/1000)</f>
        <v/>
      </c>
      <c r="S192" s="8">
        <f>IF(R192="","",(1/Inputs!$B$9)*(PI()*R192^2/4)*((R192/4)^(2/3))*SQRT(N192))</f>
        <v/>
      </c>
      <c r="T192" s="8">
        <f>IF(OR(S192="",L192=""),"",L192/(S192*Inputs!$B$10))</f>
        <v/>
      </c>
      <c r="U192" s="8">
        <f>IF(OR(R192="",L192=""),"",4*L192/(PI()*R192^2))</f>
        <v/>
      </c>
      <c r="V192" s="8" t="n"/>
      <c r="W192" s="8">
        <f>IF(A192="","",IF(A192=Inputs!$B$6,Inputs!$B$22,IF(B192="","",IFERROR(INDEX($X$4:$X$203,MATCH(B192,$A$4:$A$203,0))+IF(V192="",Inputs!$B$20,V192),""))))</f>
        <v/>
      </c>
      <c r="X192" s="8">
        <f>IF(OR(W192="",N192="",C192=""),"",W192+N192*C192)</f>
        <v/>
      </c>
      <c r="Y192" s="8" t="n"/>
      <c r="Z192" s="8" t="n"/>
      <c r="AA192" s="8">
        <f>IF(OR(Y192="",W192=""),"",Y192-W192)</f>
        <v/>
      </c>
      <c r="AB192" s="8">
        <f>IF(OR(Z192="",X192=""),"",Z192-X192)</f>
        <v/>
      </c>
      <c r="AC192" s="4">
        <f>IF(A192="","",IF(OR(T192&gt;1,U192&lt;Inputs!$B$11,U192&gt;Inputs!$B$12,AA192&lt;Inputs!$B$19,AB192&lt;Inputs!$B$19,N192&lt;Inputs!$B$7,N192&gt;Inputs!$B$8),"CHECK","OK"))</f>
        <v/>
      </c>
      <c r="AD192" s="4">
        <f>IF(A192="","",(1/Inputs!$B$9)*(PI()*(Inputs!$F$5/1000)^2/4)*((Inputs!$F$5/1000/4)^(2/3))*SQRT(N192))</f>
        <v/>
      </c>
      <c r="AE192" s="4">
        <f>IF(A192="","",(1/Inputs!$B$9)*(PI()*(Inputs!$F$6/1000)^2/4)*((Inputs!$F$6/1000/4)^(2/3))*SQRT(N192))</f>
        <v/>
      </c>
      <c r="AF192" s="4">
        <f>IF(A192="","",(1/Inputs!$B$9)*(PI()*(Inputs!$F$7/1000)^2/4)*((Inputs!$F$7/1000/4)^(2/3))*SQRT(N192))</f>
        <v/>
      </c>
      <c r="AG192" s="4">
        <f>IF(A192="","",(1/Inputs!$B$9)*(PI()*(Inputs!$F$8/1000)^2/4)*((Inputs!$F$8/1000/4)^(2/3))*SQRT(N192))</f>
        <v/>
      </c>
      <c r="AH192" s="4">
        <f>IF(A192="","",(1/Inputs!$B$9)*(PI()*(Inputs!$F$9/1000)^2/4)*((Inputs!$F$9/1000/4)^(2/3))*SQRT(N192))</f>
        <v/>
      </c>
      <c r="AI192" s="4">
        <f>IF(A192="","",(1/Inputs!$B$9)*(PI()*(Inputs!$F$10/1000)^2/4)*((Inputs!$F$10/1000/4)^(2/3))*SQRT(N192))</f>
        <v/>
      </c>
      <c r="AJ192" s="4">
        <f>IF(A192="","",(1/Inputs!$B$9)*(PI()*(Inputs!$F$11/1000)^2/4)*((Inputs!$F$11/1000/4)^(2/3))*SQRT(N192))</f>
        <v/>
      </c>
      <c r="AK192" s="4">
        <f>IF(A192="","",(1/Inputs!$B$9)*(PI()*(Inputs!$F$12/1000)^2/4)*((Inputs!$F$12/1000/4)^(2/3))*SQRT(N192))</f>
        <v/>
      </c>
      <c r="AL192" s="4">
        <f>IF(A192="","",(1/Inputs!$B$9)*(PI()*(Inputs!$F$13/1000)^2/4)*((Inputs!$F$13/1000/4)^(2/3))*SQRT(N192))</f>
        <v/>
      </c>
      <c r="AM192" s="4">
        <f>IF(A192="","",(1/Inputs!$B$9)*(PI()*(Inputs!$F$14/1000)^2/4)*((Inputs!$F$14/1000/4)^(2/3))*SQRT(N192))</f>
        <v/>
      </c>
    </row>
    <row r="193">
      <c r="A193" s="4" t="n"/>
      <c r="B193" s="4" t="n"/>
      <c r="C193" s="8" t="n"/>
      <c r="D193" s="8" t="n"/>
      <c r="E193" s="8">
        <f>SUMIFS(CB_Tributaires!$C:$C,CB_Tributaires!$B:$B,$A193)</f>
        <v/>
      </c>
      <c r="F193" s="8">
        <f>IF(D193="",E193,D193)</f>
        <v/>
      </c>
      <c r="G193" s="4" t="n"/>
      <c r="H193" s="8" t="n"/>
      <c r="I193" s="8">
        <f>IF(A193="","",Inputs!$B$13/((IF(H193="",Inputs!$B$18,H193)+Inputs!$B$14)^Inputs!$B$15))</f>
        <v/>
      </c>
      <c r="J193" s="8">
        <f>IF(A193="","",0.00278*IF(G193="",Inputs!$B$17,G193)*F193*I193)</f>
        <v/>
      </c>
      <c r="K193" s="8">
        <f>IF(A193="","",SUMIFS($L$4:$L$203,$B$4:$B$203,$A193))</f>
        <v/>
      </c>
      <c r="L193" s="8">
        <f>IF(A193="","",(J193+K193)*Inputs!$B$16)</f>
        <v/>
      </c>
      <c r="M193" s="8" t="n"/>
      <c r="N193" s="8">
        <f>IF(A193="","",IF(M193="",Inputs!$B$7,M193))</f>
        <v/>
      </c>
      <c r="O193" s="4">
        <f>IF(A193="","",IF(L193/Inputs!$B$10&lt;=AD193,Inputs!$F$5,IF(L193/Inputs!$B$10&gt;AM193,"OVERSIZE",INDEX(Inputs!$F$5:$F$14,MATCH(L193/Inputs!$B$10,AD193:AM193,1)+1))))</f>
        <v/>
      </c>
      <c r="P193" s="4" t="n"/>
      <c r="Q193" s="4">
        <f>IF(A193="","",IF(P193="",O193,P193))</f>
        <v/>
      </c>
      <c r="R193" s="8">
        <f>IF(OR(Q193="",Q193="OVERSIZE"),"",Q193/1000)</f>
        <v/>
      </c>
      <c r="S193" s="8">
        <f>IF(R193="","",(1/Inputs!$B$9)*(PI()*R193^2/4)*((R193/4)^(2/3))*SQRT(N193))</f>
        <v/>
      </c>
      <c r="T193" s="8">
        <f>IF(OR(S193="",L193=""),"",L193/(S193*Inputs!$B$10))</f>
        <v/>
      </c>
      <c r="U193" s="8">
        <f>IF(OR(R193="",L193=""),"",4*L193/(PI()*R193^2))</f>
        <v/>
      </c>
      <c r="V193" s="8" t="n"/>
      <c r="W193" s="8">
        <f>IF(A193="","",IF(A193=Inputs!$B$6,Inputs!$B$22,IF(B193="","",IFERROR(INDEX($X$4:$X$203,MATCH(B193,$A$4:$A$203,0))+IF(V193="",Inputs!$B$20,V193),""))))</f>
        <v/>
      </c>
      <c r="X193" s="8">
        <f>IF(OR(W193="",N193="",C193=""),"",W193+N193*C193)</f>
        <v/>
      </c>
      <c r="Y193" s="8" t="n"/>
      <c r="Z193" s="8" t="n"/>
      <c r="AA193" s="8">
        <f>IF(OR(Y193="",W193=""),"",Y193-W193)</f>
        <v/>
      </c>
      <c r="AB193" s="8">
        <f>IF(OR(Z193="",X193=""),"",Z193-X193)</f>
        <v/>
      </c>
      <c r="AC193" s="4">
        <f>IF(A193="","",IF(OR(T193&gt;1,U193&lt;Inputs!$B$11,U193&gt;Inputs!$B$12,AA193&lt;Inputs!$B$19,AB193&lt;Inputs!$B$19,N193&lt;Inputs!$B$7,N193&gt;Inputs!$B$8),"CHECK","OK"))</f>
        <v/>
      </c>
      <c r="AD193" s="4">
        <f>IF(A193="","",(1/Inputs!$B$9)*(PI()*(Inputs!$F$5/1000)^2/4)*((Inputs!$F$5/1000/4)^(2/3))*SQRT(N193))</f>
        <v/>
      </c>
      <c r="AE193" s="4">
        <f>IF(A193="","",(1/Inputs!$B$9)*(PI()*(Inputs!$F$6/1000)^2/4)*((Inputs!$F$6/1000/4)^(2/3))*SQRT(N193))</f>
        <v/>
      </c>
      <c r="AF193" s="4">
        <f>IF(A193="","",(1/Inputs!$B$9)*(PI()*(Inputs!$F$7/1000)^2/4)*((Inputs!$F$7/1000/4)^(2/3))*SQRT(N193))</f>
        <v/>
      </c>
      <c r="AG193" s="4">
        <f>IF(A193="","",(1/Inputs!$B$9)*(PI()*(Inputs!$F$8/1000)^2/4)*((Inputs!$F$8/1000/4)^(2/3))*SQRT(N193))</f>
        <v/>
      </c>
      <c r="AH193" s="4">
        <f>IF(A193="","",(1/Inputs!$B$9)*(PI()*(Inputs!$F$9/1000)^2/4)*((Inputs!$F$9/1000/4)^(2/3))*SQRT(N193))</f>
        <v/>
      </c>
      <c r="AI193" s="4">
        <f>IF(A193="","",(1/Inputs!$B$9)*(PI()*(Inputs!$F$10/1000)^2/4)*((Inputs!$F$10/1000/4)^(2/3))*SQRT(N193))</f>
        <v/>
      </c>
      <c r="AJ193" s="4">
        <f>IF(A193="","",(1/Inputs!$B$9)*(PI()*(Inputs!$F$11/1000)^2/4)*((Inputs!$F$11/1000/4)^(2/3))*SQRT(N193))</f>
        <v/>
      </c>
      <c r="AK193" s="4">
        <f>IF(A193="","",(1/Inputs!$B$9)*(PI()*(Inputs!$F$12/1000)^2/4)*((Inputs!$F$12/1000/4)^(2/3))*SQRT(N193))</f>
        <v/>
      </c>
      <c r="AL193" s="4">
        <f>IF(A193="","",(1/Inputs!$B$9)*(PI()*(Inputs!$F$13/1000)^2/4)*((Inputs!$F$13/1000/4)^(2/3))*SQRT(N193))</f>
        <v/>
      </c>
      <c r="AM193" s="4">
        <f>IF(A193="","",(1/Inputs!$B$9)*(PI()*(Inputs!$F$14/1000)^2/4)*((Inputs!$F$14/1000/4)^(2/3))*SQRT(N193))</f>
        <v/>
      </c>
    </row>
    <row r="194">
      <c r="A194" s="4" t="n"/>
      <c r="B194" s="4" t="n"/>
      <c r="C194" s="8" t="n"/>
      <c r="D194" s="8" t="n"/>
      <c r="E194" s="8">
        <f>SUMIFS(CB_Tributaires!$C:$C,CB_Tributaires!$B:$B,$A194)</f>
        <v/>
      </c>
      <c r="F194" s="8">
        <f>IF(D194="",E194,D194)</f>
        <v/>
      </c>
      <c r="G194" s="4" t="n"/>
      <c r="H194" s="8" t="n"/>
      <c r="I194" s="8">
        <f>IF(A194="","",Inputs!$B$13/((IF(H194="",Inputs!$B$18,H194)+Inputs!$B$14)^Inputs!$B$15))</f>
        <v/>
      </c>
      <c r="J194" s="8">
        <f>IF(A194="","",0.00278*IF(G194="",Inputs!$B$17,G194)*F194*I194)</f>
        <v/>
      </c>
      <c r="K194" s="8">
        <f>IF(A194="","",SUMIFS($L$4:$L$203,$B$4:$B$203,$A194))</f>
        <v/>
      </c>
      <c r="L194" s="8">
        <f>IF(A194="","",(J194+K194)*Inputs!$B$16)</f>
        <v/>
      </c>
      <c r="M194" s="8" t="n"/>
      <c r="N194" s="8">
        <f>IF(A194="","",IF(M194="",Inputs!$B$7,M194))</f>
        <v/>
      </c>
      <c r="O194" s="4">
        <f>IF(A194="","",IF(L194/Inputs!$B$10&lt;=AD194,Inputs!$F$5,IF(L194/Inputs!$B$10&gt;AM194,"OVERSIZE",INDEX(Inputs!$F$5:$F$14,MATCH(L194/Inputs!$B$10,AD194:AM194,1)+1))))</f>
        <v/>
      </c>
      <c r="P194" s="4" t="n"/>
      <c r="Q194" s="4">
        <f>IF(A194="","",IF(P194="",O194,P194))</f>
        <v/>
      </c>
      <c r="R194" s="8">
        <f>IF(OR(Q194="",Q194="OVERSIZE"),"",Q194/1000)</f>
        <v/>
      </c>
      <c r="S194" s="8">
        <f>IF(R194="","",(1/Inputs!$B$9)*(PI()*R194^2/4)*((R194/4)^(2/3))*SQRT(N194))</f>
        <v/>
      </c>
      <c r="T194" s="8">
        <f>IF(OR(S194="",L194=""),"",L194/(S194*Inputs!$B$10))</f>
        <v/>
      </c>
      <c r="U194" s="8">
        <f>IF(OR(R194="",L194=""),"",4*L194/(PI()*R194^2))</f>
        <v/>
      </c>
      <c r="V194" s="8" t="n"/>
      <c r="W194" s="8">
        <f>IF(A194="","",IF(A194=Inputs!$B$6,Inputs!$B$22,IF(B194="","",IFERROR(INDEX($X$4:$X$203,MATCH(B194,$A$4:$A$203,0))+IF(V194="",Inputs!$B$20,V194),""))))</f>
        <v/>
      </c>
      <c r="X194" s="8">
        <f>IF(OR(W194="",N194="",C194=""),"",W194+N194*C194)</f>
        <v/>
      </c>
      <c r="Y194" s="8" t="n"/>
      <c r="Z194" s="8" t="n"/>
      <c r="AA194" s="8">
        <f>IF(OR(Y194="",W194=""),"",Y194-W194)</f>
        <v/>
      </c>
      <c r="AB194" s="8">
        <f>IF(OR(Z194="",X194=""),"",Z194-X194)</f>
        <v/>
      </c>
      <c r="AC194" s="4">
        <f>IF(A194="","",IF(OR(T194&gt;1,U194&lt;Inputs!$B$11,U194&gt;Inputs!$B$12,AA194&lt;Inputs!$B$19,AB194&lt;Inputs!$B$19,N194&lt;Inputs!$B$7,N194&gt;Inputs!$B$8),"CHECK","OK"))</f>
        <v/>
      </c>
      <c r="AD194" s="4">
        <f>IF(A194="","",(1/Inputs!$B$9)*(PI()*(Inputs!$F$5/1000)^2/4)*((Inputs!$F$5/1000/4)^(2/3))*SQRT(N194))</f>
        <v/>
      </c>
      <c r="AE194" s="4">
        <f>IF(A194="","",(1/Inputs!$B$9)*(PI()*(Inputs!$F$6/1000)^2/4)*((Inputs!$F$6/1000/4)^(2/3))*SQRT(N194))</f>
        <v/>
      </c>
      <c r="AF194" s="4">
        <f>IF(A194="","",(1/Inputs!$B$9)*(PI()*(Inputs!$F$7/1000)^2/4)*((Inputs!$F$7/1000/4)^(2/3))*SQRT(N194))</f>
        <v/>
      </c>
      <c r="AG194" s="4">
        <f>IF(A194="","",(1/Inputs!$B$9)*(PI()*(Inputs!$F$8/1000)^2/4)*((Inputs!$F$8/1000/4)^(2/3))*SQRT(N194))</f>
        <v/>
      </c>
      <c r="AH194" s="4">
        <f>IF(A194="","",(1/Inputs!$B$9)*(PI()*(Inputs!$F$9/1000)^2/4)*((Inputs!$F$9/1000/4)^(2/3))*SQRT(N194))</f>
        <v/>
      </c>
      <c r="AI194" s="4">
        <f>IF(A194="","",(1/Inputs!$B$9)*(PI()*(Inputs!$F$10/1000)^2/4)*((Inputs!$F$10/1000/4)^(2/3))*SQRT(N194))</f>
        <v/>
      </c>
      <c r="AJ194" s="4">
        <f>IF(A194="","",(1/Inputs!$B$9)*(PI()*(Inputs!$F$11/1000)^2/4)*((Inputs!$F$11/1000/4)^(2/3))*SQRT(N194))</f>
        <v/>
      </c>
      <c r="AK194" s="4">
        <f>IF(A194="","",(1/Inputs!$B$9)*(PI()*(Inputs!$F$12/1000)^2/4)*((Inputs!$F$12/1000/4)^(2/3))*SQRT(N194))</f>
        <v/>
      </c>
      <c r="AL194" s="4">
        <f>IF(A194="","",(1/Inputs!$B$9)*(PI()*(Inputs!$F$13/1000)^2/4)*((Inputs!$F$13/1000/4)^(2/3))*SQRT(N194))</f>
        <v/>
      </c>
      <c r="AM194" s="4">
        <f>IF(A194="","",(1/Inputs!$B$9)*(PI()*(Inputs!$F$14/1000)^2/4)*((Inputs!$F$14/1000/4)^(2/3))*SQRT(N194))</f>
        <v/>
      </c>
    </row>
    <row r="195">
      <c r="A195" s="4" t="n"/>
      <c r="B195" s="4" t="n"/>
      <c r="C195" s="8" t="n"/>
      <c r="D195" s="8" t="n"/>
      <c r="E195" s="8">
        <f>SUMIFS(CB_Tributaires!$C:$C,CB_Tributaires!$B:$B,$A195)</f>
        <v/>
      </c>
      <c r="F195" s="8">
        <f>IF(D195="",E195,D195)</f>
        <v/>
      </c>
      <c r="G195" s="4" t="n"/>
      <c r="H195" s="8" t="n"/>
      <c r="I195" s="8">
        <f>IF(A195="","",Inputs!$B$13/((IF(H195="",Inputs!$B$18,H195)+Inputs!$B$14)^Inputs!$B$15))</f>
        <v/>
      </c>
      <c r="J195" s="8">
        <f>IF(A195="","",0.00278*IF(G195="",Inputs!$B$17,G195)*F195*I195)</f>
        <v/>
      </c>
      <c r="K195" s="8">
        <f>IF(A195="","",SUMIFS($L$4:$L$203,$B$4:$B$203,$A195))</f>
        <v/>
      </c>
      <c r="L195" s="8">
        <f>IF(A195="","",(J195+K195)*Inputs!$B$16)</f>
        <v/>
      </c>
      <c r="M195" s="8" t="n"/>
      <c r="N195" s="8">
        <f>IF(A195="","",IF(M195="",Inputs!$B$7,M195))</f>
        <v/>
      </c>
      <c r="O195" s="4">
        <f>IF(A195="","",IF(L195/Inputs!$B$10&lt;=AD195,Inputs!$F$5,IF(L195/Inputs!$B$10&gt;AM195,"OVERSIZE",INDEX(Inputs!$F$5:$F$14,MATCH(L195/Inputs!$B$10,AD195:AM195,1)+1))))</f>
        <v/>
      </c>
      <c r="P195" s="4" t="n"/>
      <c r="Q195" s="4">
        <f>IF(A195="","",IF(P195="",O195,P195))</f>
        <v/>
      </c>
      <c r="R195" s="8">
        <f>IF(OR(Q195="",Q195="OVERSIZE"),"",Q195/1000)</f>
        <v/>
      </c>
      <c r="S195" s="8">
        <f>IF(R195="","",(1/Inputs!$B$9)*(PI()*R195^2/4)*((R195/4)^(2/3))*SQRT(N195))</f>
        <v/>
      </c>
      <c r="T195" s="8">
        <f>IF(OR(S195="",L195=""),"",L195/(S195*Inputs!$B$10))</f>
        <v/>
      </c>
      <c r="U195" s="8">
        <f>IF(OR(R195="",L195=""),"",4*L195/(PI()*R195^2))</f>
        <v/>
      </c>
      <c r="V195" s="8" t="n"/>
      <c r="W195" s="8">
        <f>IF(A195="","",IF(A195=Inputs!$B$6,Inputs!$B$22,IF(B195="","",IFERROR(INDEX($X$4:$X$203,MATCH(B195,$A$4:$A$203,0))+IF(V195="",Inputs!$B$20,V195),""))))</f>
        <v/>
      </c>
      <c r="X195" s="8">
        <f>IF(OR(W195="",N195="",C195=""),"",W195+N195*C195)</f>
        <v/>
      </c>
      <c r="Y195" s="8" t="n"/>
      <c r="Z195" s="8" t="n"/>
      <c r="AA195" s="8">
        <f>IF(OR(Y195="",W195=""),"",Y195-W195)</f>
        <v/>
      </c>
      <c r="AB195" s="8">
        <f>IF(OR(Z195="",X195=""),"",Z195-X195)</f>
        <v/>
      </c>
      <c r="AC195" s="4">
        <f>IF(A195="","",IF(OR(T195&gt;1,U195&lt;Inputs!$B$11,U195&gt;Inputs!$B$12,AA195&lt;Inputs!$B$19,AB195&lt;Inputs!$B$19,N195&lt;Inputs!$B$7,N195&gt;Inputs!$B$8),"CHECK","OK"))</f>
        <v/>
      </c>
      <c r="AD195" s="4">
        <f>IF(A195="","",(1/Inputs!$B$9)*(PI()*(Inputs!$F$5/1000)^2/4)*((Inputs!$F$5/1000/4)^(2/3))*SQRT(N195))</f>
        <v/>
      </c>
      <c r="AE195" s="4">
        <f>IF(A195="","",(1/Inputs!$B$9)*(PI()*(Inputs!$F$6/1000)^2/4)*((Inputs!$F$6/1000/4)^(2/3))*SQRT(N195))</f>
        <v/>
      </c>
      <c r="AF195" s="4">
        <f>IF(A195="","",(1/Inputs!$B$9)*(PI()*(Inputs!$F$7/1000)^2/4)*((Inputs!$F$7/1000/4)^(2/3))*SQRT(N195))</f>
        <v/>
      </c>
      <c r="AG195" s="4">
        <f>IF(A195="","",(1/Inputs!$B$9)*(PI()*(Inputs!$F$8/1000)^2/4)*((Inputs!$F$8/1000/4)^(2/3))*SQRT(N195))</f>
        <v/>
      </c>
      <c r="AH195" s="4">
        <f>IF(A195="","",(1/Inputs!$B$9)*(PI()*(Inputs!$F$9/1000)^2/4)*((Inputs!$F$9/1000/4)^(2/3))*SQRT(N195))</f>
        <v/>
      </c>
      <c r="AI195" s="4">
        <f>IF(A195="","",(1/Inputs!$B$9)*(PI()*(Inputs!$F$10/1000)^2/4)*((Inputs!$F$10/1000/4)^(2/3))*SQRT(N195))</f>
        <v/>
      </c>
      <c r="AJ195" s="4">
        <f>IF(A195="","",(1/Inputs!$B$9)*(PI()*(Inputs!$F$11/1000)^2/4)*((Inputs!$F$11/1000/4)^(2/3))*SQRT(N195))</f>
        <v/>
      </c>
      <c r="AK195" s="4">
        <f>IF(A195="","",(1/Inputs!$B$9)*(PI()*(Inputs!$F$12/1000)^2/4)*((Inputs!$F$12/1000/4)^(2/3))*SQRT(N195))</f>
        <v/>
      </c>
      <c r="AL195" s="4">
        <f>IF(A195="","",(1/Inputs!$B$9)*(PI()*(Inputs!$F$13/1000)^2/4)*((Inputs!$F$13/1000/4)^(2/3))*SQRT(N195))</f>
        <v/>
      </c>
      <c r="AM195" s="4">
        <f>IF(A195="","",(1/Inputs!$B$9)*(PI()*(Inputs!$F$14/1000)^2/4)*((Inputs!$F$14/1000/4)^(2/3))*SQRT(N195))</f>
        <v/>
      </c>
    </row>
    <row r="196">
      <c r="A196" s="4" t="n"/>
      <c r="B196" s="4" t="n"/>
      <c r="C196" s="8" t="n"/>
      <c r="D196" s="8" t="n"/>
      <c r="E196" s="8">
        <f>SUMIFS(CB_Tributaires!$C:$C,CB_Tributaires!$B:$B,$A196)</f>
        <v/>
      </c>
      <c r="F196" s="8">
        <f>IF(D196="",E196,D196)</f>
        <v/>
      </c>
      <c r="G196" s="4" t="n"/>
      <c r="H196" s="8" t="n"/>
      <c r="I196" s="8">
        <f>IF(A196="","",Inputs!$B$13/((IF(H196="",Inputs!$B$18,H196)+Inputs!$B$14)^Inputs!$B$15))</f>
        <v/>
      </c>
      <c r="J196" s="8">
        <f>IF(A196="","",0.00278*IF(G196="",Inputs!$B$17,G196)*F196*I196)</f>
        <v/>
      </c>
      <c r="K196" s="8">
        <f>IF(A196="","",SUMIFS($L$4:$L$203,$B$4:$B$203,$A196))</f>
        <v/>
      </c>
      <c r="L196" s="8">
        <f>IF(A196="","",(J196+K196)*Inputs!$B$16)</f>
        <v/>
      </c>
      <c r="M196" s="8" t="n"/>
      <c r="N196" s="8">
        <f>IF(A196="","",IF(M196="",Inputs!$B$7,M196))</f>
        <v/>
      </c>
      <c r="O196" s="4">
        <f>IF(A196="","",IF(L196/Inputs!$B$10&lt;=AD196,Inputs!$F$5,IF(L196/Inputs!$B$10&gt;AM196,"OVERSIZE",INDEX(Inputs!$F$5:$F$14,MATCH(L196/Inputs!$B$10,AD196:AM196,1)+1))))</f>
        <v/>
      </c>
      <c r="P196" s="4" t="n"/>
      <c r="Q196" s="4">
        <f>IF(A196="","",IF(P196="",O196,P196))</f>
        <v/>
      </c>
      <c r="R196" s="8">
        <f>IF(OR(Q196="",Q196="OVERSIZE"),"",Q196/1000)</f>
        <v/>
      </c>
      <c r="S196" s="8">
        <f>IF(R196="","",(1/Inputs!$B$9)*(PI()*R196^2/4)*((R196/4)^(2/3))*SQRT(N196))</f>
        <v/>
      </c>
      <c r="T196" s="8">
        <f>IF(OR(S196="",L196=""),"",L196/(S196*Inputs!$B$10))</f>
        <v/>
      </c>
      <c r="U196" s="8">
        <f>IF(OR(R196="",L196=""),"",4*L196/(PI()*R196^2))</f>
        <v/>
      </c>
      <c r="V196" s="8" t="n"/>
      <c r="W196" s="8">
        <f>IF(A196="","",IF(A196=Inputs!$B$6,Inputs!$B$22,IF(B196="","",IFERROR(INDEX($X$4:$X$203,MATCH(B196,$A$4:$A$203,0))+IF(V196="",Inputs!$B$20,V196),""))))</f>
        <v/>
      </c>
      <c r="X196" s="8">
        <f>IF(OR(W196="",N196="",C196=""),"",W196+N196*C196)</f>
        <v/>
      </c>
      <c r="Y196" s="8" t="n"/>
      <c r="Z196" s="8" t="n"/>
      <c r="AA196" s="8">
        <f>IF(OR(Y196="",W196=""),"",Y196-W196)</f>
        <v/>
      </c>
      <c r="AB196" s="8">
        <f>IF(OR(Z196="",X196=""),"",Z196-X196)</f>
        <v/>
      </c>
      <c r="AC196" s="4">
        <f>IF(A196="","",IF(OR(T196&gt;1,U196&lt;Inputs!$B$11,U196&gt;Inputs!$B$12,AA196&lt;Inputs!$B$19,AB196&lt;Inputs!$B$19,N196&lt;Inputs!$B$7,N196&gt;Inputs!$B$8),"CHECK","OK"))</f>
        <v/>
      </c>
      <c r="AD196" s="4">
        <f>IF(A196="","",(1/Inputs!$B$9)*(PI()*(Inputs!$F$5/1000)^2/4)*((Inputs!$F$5/1000/4)^(2/3))*SQRT(N196))</f>
        <v/>
      </c>
      <c r="AE196" s="4">
        <f>IF(A196="","",(1/Inputs!$B$9)*(PI()*(Inputs!$F$6/1000)^2/4)*((Inputs!$F$6/1000/4)^(2/3))*SQRT(N196))</f>
        <v/>
      </c>
      <c r="AF196" s="4">
        <f>IF(A196="","",(1/Inputs!$B$9)*(PI()*(Inputs!$F$7/1000)^2/4)*((Inputs!$F$7/1000/4)^(2/3))*SQRT(N196))</f>
        <v/>
      </c>
      <c r="AG196" s="4">
        <f>IF(A196="","",(1/Inputs!$B$9)*(PI()*(Inputs!$F$8/1000)^2/4)*((Inputs!$F$8/1000/4)^(2/3))*SQRT(N196))</f>
        <v/>
      </c>
      <c r="AH196" s="4">
        <f>IF(A196="","",(1/Inputs!$B$9)*(PI()*(Inputs!$F$9/1000)^2/4)*((Inputs!$F$9/1000/4)^(2/3))*SQRT(N196))</f>
        <v/>
      </c>
      <c r="AI196" s="4">
        <f>IF(A196="","",(1/Inputs!$B$9)*(PI()*(Inputs!$F$10/1000)^2/4)*((Inputs!$F$10/1000/4)^(2/3))*SQRT(N196))</f>
        <v/>
      </c>
      <c r="AJ196" s="4">
        <f>IF(A196="","",(1/Inputs!$B$9)*(PI()*(Inputs!$F$11/1000)^2/4)*((Inputs!$F$11/1000/4)^(2/3))*SQRT(N196))</f>
        <v/>
      </c>
      <c r="AK196" s="4">
        <f>IF(A196="","",(1/Inputs!$B$9)*(PI()*(Inputs!$F$12/1000)^2/4)*((Inputs!$F$12/1000/4)^(2/3))*SQRT(N196))</f>
        <v/>
      </c>
      <c r="AL196" s="4">
        <f>IF(A196="","",(1/Inputs!$B$9)*(PI()*(Inputs!$F$13/1000)^2/4)*((Inputs!$F$13/1000/4)^(2/3))*SQRT(N196))</f>
        <v/>
      </c>
      <c r="AM196" s="4">
        <f>IF(A196="","",(1/Inputs!$B$9)*(PI()*(Inputs!$F$14/1000)^2/4)*((Inputs!$F$14/1000/4)^(2/3))*SQRT(N196))</f>
        <v/>
      </c>
    </row>
    <row r="197">
      <c r="A197" s="4" t="n"/>
      <c r="B197" s="4" t="n"/>
      <c r="C197" s="8" t="n"/>
      <c r="D197" s="8" t="n"/>
      <c r="E197" s="8">
        <f>SUMIFS(CB_Tributaires!$C:$C,CB_Tributaires!$B:$B,$A197)</f>
        <v/>
      </c>
      <c r="F197" s="8">
        <f>IF(D197="",E197,D197)</f>
        <v/>
      </c>
      <c r="G197" s="4" t="n"/>
      <c r="H197" s="8" t="n"/>
      <c r="I197" s="8">
        <f>IF(A197="","",Inputs!$B$13/((IF(H197="",Inputs!$B$18,H197)+Inputs!$B$14)^Inputs!$B$15))</f>
        <v/>
      </c>
      <c r="J197" s="8">
        <f>IF(A197="","",0.00278*IF(G197="",Inputs!$B$17,G197)*F197*I197)</f>
        <v/>
      </c>
      <c r="K197" s="8">
        <f>IF(A197="","",SUMIFS($L$4:$L$203,$B$4:$B$203,$A197))</f>
        <v/>
      </c>
      <c r="L197" s="8">
        <f>IF(A197="","",(J197+K197)*Inputs!$B$16)</f>
        <v/>
      </c>
      <c r="M197" s="8" t="n"/>
      <c r="N197" s="8">
        <f>IF(A197="","",IF(M197="",Inputs!$B$7,M197))</f>
        <v/>
      </c>
      <c r="O197" s="4">
        <f>IF(A197="","",IF(L197/Inputs!$B$10&lt;=AD197,Inputs!$F$5,IF(L197/Inputs!$B$10&gt;AM197,"OVERSIZE",INDEX(Inputs!$F$5:$F$14,MATCH(L197/Inputs!$B$10,AD197:AM197,1)+1))))</f>
        <v/>
      </c>
      <c r="P197" s="4" t="n"/>
      <c r="Q197" s="4">
        <f>IF(A197="","",IF(P197="",O197,P197))</f>
        <v/>
      </c>
      <c r="R197" s="8">
        <f>IF(OR(Q197="",Q197="OVERSIZE"),"",Q197/1000)</f>
        <v/>
      </c>
      <c r="S197" s="8">
        <f>IF(R197="","",(1/Inputs!$B$9)*(PI()*R197^2/4)*((R197/4)^(2/3))*SQRT(N197))</f>
        <v/>
      </c>
      <c r="T197" s="8">
        <f>IF(OR(S197="",L197=""),"",L197/(S197*Inputs!$B$10))</f>
        <v/>
      </c>
      <c r="U197" s="8">
        <f>IF(OR(R197="",L197=""),"",4*L197/(PI()*R197^2))</f>
        <v/>
      </c>
      <c r="V197" s="8" t="n"/>
      <c r="W197" s="8">
        <f>IF(A197="","",IF(A197=Inputs!$B$6,Inputs!$B$22,IF(B197="","",IFERROR(INDEX($X$4:$X$203,MATCH(B197,$A$4:$A$203,0))+IF(V197="",Inputs!$B$20,V197),""))))</f>
        <v/>
      </c>
      <c r="X197" s="8">
        <f>IF(OR(W197="",N197="",C197=""),"",W197+N197*C197)</f>
        <v/>
      </c>
      <c r="Y197" s="8" t="n"/>
      <c r="Z197" s="8" t="n"/>
      <c r="AA197" s="8">
        <f>IF(OR(Y197="",W197=""),"",Y197-W197)</f>
        <v/>
      </c>
      <c r="AB197" s="8">
        <f>IF(OR(Z197="",X197=""),"",Z197-X197)</f>
        <v/>
      </c>
      <c r="AC197" s="4">
        <f>IF(A197="","",IF(OR(T197&gt;1,U197&lt;Inputs!$B$11,U197&gt;Inputs!$B$12,AA197&lt;Inputs!$B$19,AB197&lt;Inputs!$B$19,N197&lt;Inputs!$B$7,N197&gt;Inputs!$B$8),"CHECK","OK"))</f>
        <v/>
      </c>
      <c r="AD197" s="4">
        <f>IF(A197="","",(1/Inputs!$B$9)*(PI()*(Inputs!$F$5/1000)^2/4)*((Inputs!$F$5/1000/4)^(2/3))*SQRT(N197))</f>
        <v/>
      </c>
      <c r="AE197" s="4">
        <f>IF(A197="","",(1/Inputs!$B$9)*(PI()*(Inputs!$F$6/1000)^2/4)*((Inputs!$F$6/1000/4)^(2/3))*SQRT(N197))</f>
        <v/>
      </c>
      <c r="AF197" s="4">
        <f>IF(A197="","",(1/Inputs!$B$9)*(PI()*(Inputs!$F$7/1000)^2/4)*((Inputs!$F$7/1000/4)^(2/3))*SQRT(N197))</f>
        <v/>
      </c>
      <c r="AG197" s="4">
        <f>IF(A197="","",(1/Inputs!$B$9)*(PI()*(Inputs!$F$8/1000)^2/4)*((Inputs!$F$8/1000/4)^(2/3))*SQRT(N197))</f>
        <v/>
      </c>
      <c r="AH197" s="4">
        <f>IF(A197="","",(1/Inputs!$B$9)*(PI()*(Inputs!$F$9/1000)^2/4)*((Inputs!$F$9/1000/4)^(2/3))*SQRT(N197))</f>
        <v/>
      </c>
      <c r="AI197" s="4">
        <f>IF(A197="","",(1/Inputs!$B$9)*(PI()*(Inputs!$F$10/1000)^2/4)*((Inputs!$F$10/1000/4)^(2/3))*SQRT(N197))</f>
        <v/>
      </c>
      <c r="AJ197" s="4">
        <f>IF(A197="","",(1/Inputs!$B$9)*(PI()*(Inputs!$F$11/1000)^2/4)*((Inputs!$F$11/1000/4)^(2/3))*SQRT(N197))</f>
        <v/>
      </c>
      <c r="AK197" s="4">
        <f>IF(A197="","",(1/Inputs!$B$9)*(PI()*(Inputs!$F$12/1000)^2/4)*((Inputs!$F$12/1000/4)^(2/3))*SQRT(N197))</f>
        <v/>
      </c>
      <c r="AL197" s="4">
        <f>IF(A197="","",(1/Inputs!$B$9)*(PI()*(Inputs!$F$13/1000)^2/4)*((Inputs!$F$13/1000/4)^(2/3))*SQRT(N197))</f>
        <v/>
      </c>
      <c r="AM197" s="4">
        <f>IF(A197="","",(1/Inputs!$B$9)*(PI()*(Inputs!$F$14/1000)^2/4)*((Inputs!$F$14/1000/4)^(2/3))*SQRT(N197))</f>
        <v/>
      </c>
    </row>
    <row r="198">
      <c r="A198" s="4" t="n"/>
      <c r="B198" s="4" t="n"/>
      <c r="C198" s="8" t="n"/>
      <c r="D198" s="8" t="n"/>
      <c r="E198" s="8">
        <f>SUMIFS(CB_Tributaires!$C:$C,CB_Tributaires!$B:$B,$A198)</f>
        <v/>
      </c>
      <c r="F198" s="8">
        <f>IF(D198="",E198,D198)</f>
        <v/>
      </c>
      <c r="G198" s="4" t="n"/>
      <c r="H198" s="8" t="n"/>
      <c r="I198" s="8">
        <f>IF(A198="","",Inputs!$B$13/((IF(H198="",Inputs!$B$18,H198)+Inputs!$B$14)^Inputs!$B$15))</f>
        <v/>
      </c>
      <c r="J198" s="8">
        <f>IF(A198="","",0.00278*IF(G198="",Inputs!$B$17,G198)*F198*I198)</f>
        <v/>
      </c>
      <c r="K198" s="8">
        <f>IF(A198="","",SUMIFS($L$4:$L$203,$B$4:$B$203,$A198))</f>
        <v/>
      </c>
      <c r="L198" s="8">
        <f>IF(A198="","",(J198+K198)*Inputs!$B$16)</f>
        <v/>
      </c>
      <c r="M198" s="8" t="n"/>
      <c r="N198" s="8">
        <f>IF(A198="","",IF(M198="",Inputs!$B$7,M198))</f>
        <v/>
      </c>
      <c r="O198" s="4">
        <f>IF(A198="","",IF(L198/Inputs!$B$10&lt;=AD198,Inputs!$F$5,IF(L198/Inputs!$B$10&gt;AM198,"OVERSIZE",INDEX(Inputs!$F$5:$F$14,MATCH(L198/Inputs!$B$10,AD198:AM198,1)+1))))</f>
        <v/>
      </c>
      <c r="P198" s="4" t="n"/>
      <c r="Q198" s="4">
        <f>IF(A198="","",IF(P198="",O198,P198))</f>
        <v/>
      </c>
      <c r="R198" s="8">
        <f>IF(OR(Q198="",Q198="OVERSIZE"),"",Q198/1000)</f>
        <v/>
      </c>
      <c r="S198" s="8">
        <f>IF(R198="","",(1/Inputs!$B$9)*(PI()*R198^2/4)*((R198/4)^(2/3))*SQRT(N198))</f>
        <v/>
      </c>
      <c r="T198" s="8">
        <f>IF(OR(S198="",L198=""),"",L198/(S198*Inputs!$B$10))</f>
        <v/>
      </c>
      <c r="U198" s="8">
        <f>IF(OR(R198="",L198=""),"",4*L198/(PI()*R198^2))</f>
        <v/>
      </c>
      <c r="V198" s="8" t="n"/>
      <c r="W198" s="8">
        <f>IF(A198="","",IF(A198=Inputs!$B$6,Inputs!$B$22,IF(B198="","",IFERROR(INDEX($X$4:$X$203,MATCH(B198,$A$4:$A$203,0))+IF(V198="",Inputs!$B$20,V198),""))))</f>
        <v/>
      </c>
      <c r="X198" s="8">
        <f>IF(OR(W198="",N198="",C198=""),"",W198+N198*C198)</f>
        <v/>
      </c>
      <c r="Y198" s="8" t="n"/>
      <c r="Z198" s="8" t="n"/>
      <c r="AA198" s="8">
        <f>IF(OR(Y198="",W198=""),"",Y198-W198)</f>
        <v/>
      </c>
      <c r="AB198" s="8">
        <f>IF(OR(Z198="",X198=""),"",Z198-X198)</f>
        <v/>
      </c>
      <c r="AC198" s="4">
        <f>IF(A198="","",IF(OR(T198&gt;1,U198&lt;Inputs!$B$11,U198&gt;Inputs!$B$12,AA198&lt;Inputs!$B$19,AB198&lt;Inputs!$B$19,N198&lt;Inputs!$B$7,N198&gt;Inputs!$B$8),"CHECK","OK"))</f>
        <v/>
      </c>
      <c r="AD198" s="4">
        <f>IF(A198="","",(1/Inputs!$B$9)*(PI()*(Inputs!$F$5/1000)^2/4)*((Inputs!$F$5/1000/4)^(2/3))*SQRT(N198))</f>
        <v/>
      </c>
      <c r="AE198" s="4">
        <f>IF(A198="","",(1/Inputs!$B$9)*(PI()*(Inputs!$F$6/1000)^2/4)*((Inputs!$F$6/1000/4)^(2/3))*SQRT(N198))</f>
        <v/>
      </c>
      <c r="AF198" s="4">
        <f>IF(A198="","",(1/Inputs!$B$9)*(PI()*(Inputs!$F$7/1000)^2/4)*((Inputs!$F$7/1000/4)^(2/3))*SQRT(N198))</f>
        <v/>
      </c>
      <c r="AG198" s="4">
        <f>IF(A198="","",(1/Inputs!$B$9)*(PI()*(Inputs!$F$8/1000)^2/4)*((Inputs!$F$8/1000/4)^(2/3))*SQRT(N198))</f>
        <v/>
      </c>
      <c r="AH198" s="4">
        <f>IF(A198="","",(1/Inputs!$B$9)*(PI()*(Inputs!$F$9/1000)^2/4)*((Inputs!$F$9/1000/4)^(2/3))*SQRT(N198))</f>
        <v/>
      </c>
      <c r="AI198" s="4">
        <f>IF(A198="","",(1/Inputs!$B$9)*(PI()*(Inputs!$F$10/1000)^2/4)*((Inputs!$F$10/1000/4)^(2/3))*SQRT(N198))</f>
        <v/>
      </c>
      <c r="AJ198" s="4">
        <f>IF(A198="","",(1/Inputs!$B$9)*(PI()*(Inputs!$F$11/1000)^2/4)*((Inputs!$F$11/1000/4)^(2/3))*SQRT(N198))</f>
        <v/>
      </c>
      <c r="AK198" s="4">
        <f>IF(A198="","",(1/Inputs!$B$9)*(PI()*(Inputs!$F$12/1000)^2/4)*((Inputs!$F$12/1000/4)^(2/3))*SQRT(N198))</f>
        <v/>
      </c>
      <c r="AL198" s="4">
        <f>IF(A198="","",(1/Inputs!$B$9)*(PI()*(Inputs!$F$13/1000)^2/4)*((Inputs!$F$13/1000/4)^(2/3))*SQRT(N198))</f>
        <v/>
      </c>
      <c r="AM198" s="4">
        <f>IF(A198="","",(1/Inputs!$B$9)*(PI()*(Inputs!$F$14/1000)^2/4)*((Inputs!$F$14/1000/4)^(2/3))*SQRT(N198))</f>
        <v/>
      </c>
    </row>
    <row r="199">
      <c r="A199" s="4" t="n"/>
      <c r="B199" s="4" t="n"/>
      <c r="C199" s="8" t="n"/>
      <c r="D199" s="8" t="n"/>
      <c r="E199" s="8">
        <f>SUMIFS(CB_Tributaires!$C:$C,CB_Tributaires!$B:$B,$A199)</f>
        <v/>
      </c>
      <c r="F199" s="8">
        <f>IF(D199="",E199,D199)</f>
        <v/>
      </c>
      <c r="G199" s="4" t="n"/>
      <c r="H199" s="8" t="n"/>
      <c r="I199" s="8">
        <f>IF(A199="","",Inputs!$B$13/((IF(H199="",Inputs!$B$18,H199)+Inputs!$B$14)^Inputs!$B$15))</f>
        <v/>
      </c>
      <c r="J199" s="8">
        <f>IF(A199="","",0.00278*IF(G199="",Inputs!$B$17,G199)*F199*I199)</f>
        <v/>
      </c>
      <c r="K199" s="8">
        <f>IF(A199="","",SUMIFS($L$4:$L$203,$B$4:$B$203,$A199))</f>
        <v/>
      </c>
      <c r="L199" s="8">
        <f>IF(A199="","",(J199+K199)*Inputs!$B$16)</f>
        <v/>
      </c>
      <c r="M199" s="8" t="n"/>
      <c r="N199" s="8">
        <f>IF(A199="","",IF(M199="",Inputs!$B$7,M199))</f>
        <v/>
      </c>
      <c r="O199" s="4">
        <f>IF(A199="","",IF(L199/Inputs!$B$10&lt;=AD199,Inputs!$F$5,IF(L199/Inputs!$B$10&gt;AM199,"OVERSIZE",INDEX(Inputs!$F$5:$F$14,MATCH(L199/Inputs!$B$10,AD199:AM199,1)+1))))</f>
        <v/>
      </c>
      <c r="P199" s="4" t="n"/>
      <c r="Q199" s="4">
        <f>IF(A199="","",IF(P199="",O199,P199))</f>
        <v/>
      </c>
      <c r="R199" s="8">
        <f>IF(OR(Q199="",Q199="OVERSIZE"),"",Q199/1000)</f>
        <v/>
      </c>
      <c r="S199" s="8">
        <f>IF(R199="","",(1/Inputs!$B$9)*(PI()*R199^2/4)*((R199/4)^(2/3))*SQRT(N199))</f>
        <v/>
      </c>
      <c r="T199" s="8">
        <f>IF(OR(S199="",L199=""),"",L199/(S199*Inputs!$B$10))</f>
        <v/>
      </c>
      <c r="U199" s="8">
        <f>IF(OR(R199="",L199=""),"",4*L199/(PI()*R199^2))</f>
        <v/>
      </c>
      <c r="V199" s="8" t="n"/>
      <c r="W199" s="8">
        <f>IF(A199="","",IF(A199=Inputs!$B$6,Inputs!$B$22,IF(B199="","",IFERROR(INDEX($X$4:$X$203,MATCH(B199,$A$4:$A$203,0))+IF(V199="",Inputs!$B$20,V199),""))))</f>
        <v/>
      </c>
      <c r="X199" s="8">
        <f>IF(OR(W199="",N199="",C199=""),"",W199+N199*C199)</f>
        <v/>
      </c>
      <c r="Y199" s="8" t="n"/>
      <c r="Z199" s="8" t="n"/>
      <c r="AA199" s="8">
        <f>IF(OR(Y199="",W199=""),"",Y199-W199)</f>
        <v/>
      </c>
      <c r="AB199" s="8">
        <f>IF(OR(Z199="",X199=""),"",Z199-X199)</f>
        <v/>
      </c>
      <c r="AC199" s="4">
        <f>IF(A199="","",IF(OR(T199&gt;1,U199&lt;Inputs!$B$11,U199&gt;Inputs!$B$12,AA199&lt;Inputs!$B$19,AB199&lt;Inputs!$B$19,N199&lt;Inputs!$B$7,N199&gt;Inputs!$B$8),"CHECK","OK"))</f>
        <v/>
      </c>
      <c r="AD199" s="4">
        <f>IF(A199="","",(1/Inputs!$B$9)*(PI()*(Inputs!$F$5/1000)^2/4)*((Inputs!$F$5/1000/4)^(2/3))*SQRT(N199))</f>
        <v/>
      </c>
      <c r="AE199" s="4">
        <f>IF(A199="","",(1/Inputs!$B$9)*(PI()*(Inputs!$F$6/1000)^2/4)*((Inputs!$F$6/1000/4)^(2/3))*SQRT(N199))</f>
        <v/>
      </c>
      <c r="AF199" s="4">
        <f>IF(A199="","",(1/Inputs!$B$9)*(PI()*(Inputs!$F$7/1000)^2/4)*((Inputs!$F$7/1000/4)^(2/3))*SQRT(N199))</f>
        <v/>
      </c>
      <c r="AG199" s="4">
        <f>IF(A199="","",(1/Inputs!$B$9)*(PI()*(Inputs!$F$8/1000)^2/4)*((Inputs!$F$8/1000/4)^(2/3))*SQRT(N199))</f>
        <v/>
      </c>
      <c r="AH199" s="4">
        <f>IF(A199="","",(1/Inputs!$B$9)*(PI()*(Inputs!$F$9/1000)^2/4)*((Inputs!$F$9/1000/4)^(2/3))*SQRT(N199))</f>
        <v/>
      </c>
      <c r="AI199" s="4">
        <f>IF(A199="","",(1/Inputs!$B$9)*(PI()*(Inputs!$F$10/1000)^2/4)*((Inputs!$F$10/1000/4)^(2/3))*SQRT(N199))</f>
        <v/>
      </c>
      <c r="AJ199" s="4">
        <f>IF(A199="","",(1/Inputs!$B$9)*(PI()*(Inputs!$F$11/1000)^2/4)*((Inputs!$F$11/1000/4)^(2/3))*SQRT(N199))</f>
        <v/>
      </c>
      <c r="AK199" s="4">
        <f>IF(A199="","",(1/Inputs!$B$9)*(PI()*(Inputs!$F$12/1000)^2/4)*((Inputs!$F$12/1000/4)^(2/3))*SQRT(N199))</f>
        <v/>
      </c>
      <c r="AL199" s="4">
        <f>IF(A199="","",(1/Inputs!$B$9)*(PI()*(Inputs!$F$13/1000)^2/4)*((Inputs!$F$13/1000/4)^(2/3))*SQRT(N199))</f>
        <v/>
      </c>
      <c r="AM199" s="4">
        <f>IF(A199="","",(1/Inputs!$B$9)*(PI()*(Inputs!$F$14/1000)^2/4)*((Inputs!$F$14/1000/4)^(2/3))*SQRT(N199))</f>
        <v/>
      </c>
    </row>
    <row r="200">
      <c r="A200" s="4" t="n"/>
      <c r="B200" s="4" t="n"/>
      <c r="C200" s="8" t="n"/>
      <c r="D200" s="8" t="n"/>
      <c r="E200" s="8">
        <f>SUMIFS(CB_Tributaires!$C:$C,CB_Tributaires!$B:$B,$A200)</f>
        <v/>
      </c>
      <c r="F200" s="8">
        <f>IF(D200="",E200,D200)</f>
        <v/>
      </c>
      <c r="G200" s="4" t="n"/>
      <c r="H200" s="8" t="n"/>
      <c r="I200" s="8">
        <f>IF(A200="","",Inputs!$B$13/((IF(H200="",Inputs!$B$18,H200)+Inputs!$B$14)^Inputs!$B$15))</f>
        <v/>
      </c>
      <c r="J200" s="8">
        <f>IF(A200="","",0.00278*IF(G200="",Inputs!$B$17,G200)*F200*I200)</f>
        <v/>
      </c>
      <c r="K200" s="8">
        <f>IF(A200="","",SUMIFS($L$4:$L$203,$B$4:$B$203,$A200))</f>
        <v/>
      </c>
      <c r="L200" s="8">
        <f>IF(A200="","",(J200+K200)*Inputs!$B$16)</f>
        <v/>
      </c>
      <c r="M200" s="8" t="n"/>
      <c r="N200" s="8">
        <f>IF(A200="","",IF(M200="",Inputs!$B$7,M200))</f>
        <v/>
      </c>
      <c r="O200" s="4">
        <f>IF(A200="","",IF(L200/Inputs!$B$10&lt;=AD200,Inputs!$F$5,IF(L200/Inputs!$B$10&gt;AM200,"OVERSIZE",INDEX(Inputs!$F$5:$F$14,MATCH(L200/Inputs!$B$10,AD200:AM200,1)+1))))</f>
        <v/>
      </c>
      <c r="P200" s="4" t="n"/>
      <c r="Q200" s="4">
        <f>IF(A200="","",IF(P200="",O200,P200))</f>
        <v/>
      </c>
      <c r="R200" s="8">
        <f>IF(OR(Q200="",Q200="OVERSIZE"),"",Q200/1000)</f>
        <v/>
      </c>
      <c r="S200" s="8">
        <f>IF(R200="","",(1/Inputs!$B$9)*(PI()*R200^2/4)*((R200/4)^(2/3))*SQRT(N200))</f>
        <v/>
      </c>
      <c r="T200" s="8">
        <f>IF(OR(S200="",L200=""),"",L200/(S200*Inputs!$B$10))</f>
        <v/>
      </c>
      <c r="U200" s="8">
        <f>IF(OR(R200="",L200=""),"",4*L200/(PI()*R200^2))</f>
        <v/>
      </c>
      <c r="V200" s="8" t="n"/>
      <c r="W200" s="8">
        <f>IF(A200="","",IF(A200=Inputs!$B$6,Inputs!$B$22,IF(B200="","",IFERROR(INDEX($X$4:$X$203,MATCH(B200,$A$4:$A$203,0))+IF(V200="",Inputs!$B$20,V200),""))))</f>
        <v/>
      </c>
      <c r="X200" s="8">
        <f>IF(OR(W200="",N200="",C200=""),"",W200+N200*C200)</f>
        <v/>
      </c>
      <c r="Y200" s="8" t="n"/>
      <c r="Z200" s="8" t="n"/>
      <c r="AA200" s="8">
        <f>IF(OR(Y200="",W200=""),"",Y200-W200)</f>
        <v/>
      </c>
      <c r="AB200" s="8">
        <f>IF(OR(Z200="",X200=""),"",Z200-X200)</f>
        <v/>
      </c>
      <c r="AC200" s="4">
        <f>IF(A200="","",IF(OR(T200&gt;1,U200&lt;Inputs!$B$11,U200&gt;Inputs!$B$12,AA200&lt;Inputs!$B$19,AB200&lt;Inputs!$B$19,N200&lt;Inputs!$B$7,N200&gt;Inputs!$B$8),"CHECK","OK"))</f>
        <v/>
      </c>
      <c r="AD200" s="4">
        <f>IF(A200="","",(1/Inputs!$B$9)*(PI()*(Inputs!$F$5/1000)^2/4)*((Inputs!$F$5/1000/4)^(2/3))*SQRT(N200))</f>
        <v/>
      </c>
      <c r="AE200" s="4">
        <f>IF(A200="","",(1/Inputs!$B$9)*(PI()*(Inputs!$F$6/1000)^2/4)*((Inputs!$F$6/1000/4)^(2/3))*SQRT(N200))</f>
        <v/>
      </c>
      <c r="AF200" s="4">
        <f>IF(A200="","",(1/Inputs!$B$9)*(PI()*(Inputs!$F$7/1000)^2/4)*((Inputs!$F$7/1000/4)^(2/3))*SQRT(N200))</f>
        <v/>
      </c>
      <c r="AG200" s="4">
        <f>IF(A200="","",(1/Inputs!$B$9)*(PI()*(Inputs!$F$8/1000)^2/4)*((Inputs!$F$8/1000/4)^(2/3))*SQRT(N200))</f>
        <v/>
      </c>
      <c r="AH200" s="4">
        <f>IF(A200="","",(1/Inputs!$B$9)*(PI()*(Inputs!$F$9/1000)^2/4)*((Inputs!$F$9/1000/4)^(2/3))*SQRT(N200))</f>
        <v/>
      </c>
      <c r="AI200" s="4">
        <f>IF(A200="","",(1/Inputs!$B$9)*(PI()*(Inputs!$F$10/1000)^2/4)*((Inputs!$F$10/1000/4)^(2/3))*SQRT(N200))</f>
        <v/>
      </c>
      <c r="AJ200" s="4">
        <f>IF(A200="","",(1/Inputs!$B$9)*(PI()*(Inputs!$F$11/1000)^2/4)*((Inputs!$F$11/1000/4)^(2/3))*SQRT(N200))</f>
        <v/>
      </c>
      <c r="AK200" s="4">
        <f>IF(A200="","",(1/Inputs!$B$9)*(PI()*(Inputs!$F$12/1000)^2/4)*((Inputs!$F$12/1000/4)^(2/3))*SQRT(N200))</f>
        <v/>
      </c>
      <c r="AL200" s="4">
        <f>IF(A200="","",(1/Inputs!$B$9)*(PI()*(Inputs!$F$13/1000)^2/4)*((Inputs!$F$13/1000/4)^(2/3))*SQRT(N200))</f>
        <v/>
      </c>
      <c r="AM200" s="4">
        <f>IF(A200="","",(1/Inputs!$B$9)*(PI()*(Inputs!$F$14/1000)^2/4)*((Inputs!$F$14/1000/4)^(2/3))*SQRT(N200))</f>
        <v/>
      </c>
    </row>
    <row r="201">
      <c r="A201" s="4" t="n"/>
      <c r="B201" s="4" t="n"/>
      <c r="C201" s="8" t="n"/>
      <c r="D201" s="8" t="n"/>
      <c r="E201" s="8">
        <f>SUMIFS(CB_Tributaires!$C:$C,CB_Tributaires!$B:$B,$A201)</f>
        <v/>
      </c>
      <c r="F201" s="8">
        <f>IF(D201="",E201,D201)</f>
        <v/>
      </c>
      <c r="G201" s="4" t="n"/>
      <c r="H201" s="8" t="n"/>
      <c r="I201" s="8">
        <f>IF(A201="","",Inputs!$B$13/((IF(H201="",Inputs!$B$18,H201)+Inputs!$B$14)^Inputs!$B$15))</f>
        <v/>
      </c>
      <c r="J201" s="8">
        <f>IF(A201="","",0.00278*IF(G201="",Inputs!$B$17,G201)*F201*I201)</f>
        <v/>
      </c>
      <c r="K201" s="8">
        <f>IF(A201="","",SUMIFS($L$4:$L$203,$B$4:$B$203,$A201))</f>
        <v/>
      </c>
      <c r="L201" s="8">
        <f>IF(A201="","",(J201+K201)*Inputs!$B$16)</f>
        <v/>
      </c>
      <c r="M201" s="8" t="n"/>
      <c r="N201" s="8">
        <f>IF(A201="","",IF(M201="",Inputs!$B$7,M201))</f>
        <v/>
      </c>
      <c r="O201" s="4">
        <f>IF(A201="","",IF(L201/Inputs!$B$10&lt;=AD201,Inputs!$F$5,IF(L201/Inputs!$B$10&gt;AM201,"OVERSIZE",INDEX(Inputs!$F$5:$F$14,MATCH(L201/Inputs!$B$10,AD201:AM201,1)+1))))</f>
        <v/>
      </c>
      <c r="P201" s="4" t="n"/>
      <c r="Q201" s="4">
        <f>IF(A201="","",IF(P201="",O201,P201))</f>
        <v/>
      </c>
      <c r="R201" s="8">
        <f>IF(OR(Q201="",Q201="OVERSIZE"),"",Q201/1000)</f>
        <v/>
      </c>
      <c r="S201" s="8">
        <f>IF(R201="","",(1/Inputs!$B$9)*(PI()*R201^2/4)*((R201/4)^(2/3))*SQRT(N201))</f>
        <v/>
      </c>
      <c r="T201" s="8">
        <f>IF(OR(S201="",L201=""),"",L201/(S201*Inputs!$B$10))</f>
        <v/>
      </c>
      <c r="U201" s="8">
        <f>IF(OR(R201="",L201=""),"",4*L201/(PI()*R201^2))</f>
        <v/>
      </c>
      <c r="V201" s="8" t="n"/>
      <c r="W201" s="8">
        <f>IF(A201="","",IF(A201=Inputs!$B$6,Inputs!$B$22,IF(B201="","",IFERROR(INDEX($X$4:$X$203,MATCH(B201,$A$4:$A$203,0))+IF(V201="",Inputs!$B$20,V201),""))))</f>
        <v/>
      </c>
      <c r="X201" s="8">
        <f>IF(OR(W201="",N201="",C201=""),"",W201+N201*C201)</f>
        <v/>
      </c>
      <c r="Y201" s="8" t="n"/>
      <c r="Z201" s="8" t="n"/>
      <c r="AA201" s="8">
        <f>IF(OR(Y201="",W201=""),"",Y201-W201)</f>
        <v/>
      </c>
      <c r="AB201" s="8">
        <f>IF(OR(Z201="",X201=""),"",Z201-X201)</f>
        <v/>
      </c>
      <c r="AC201" s="4">
        <f>IF(A201="","",IF(OR(T201&gt;1,U201&lt;Inputs!$B$11,U201&gt;Inputs!$B$12,AA201&lt;Inputs!$B$19,AB201&lt;Inputs!$B$19,N201&lt;Inputs!$B$7,N201&gt;Inputs!$B$8),"CHECK","OK"))</f>
        <v/>
      </c>
      <c r="AD201" s="4">
        <f>IF(A201="","",(1/Inputs!$B$9)*(PI()*(Inputs!$F$5/1000)^2/4)*((Inputs!$F$5/1000/4)^(2/3))*SQRT(N201))</f>
        <v/>
      </c>
      <c r="AE201" s="4">
        <f>IF(A201="","",(1/Inputs!$B$9)*(PI()*(Inputs!$F$6/1000)^2/4)*((Inputs!$F$6/1000/4)^(2/3))*SQRT(N201))</f>
        <v/>
      </c>
      <c r="AF201" s="4">
        <f>IF(A201="","",(1/Inputs!$B$9)*(PI()*(Inputs!$F$7/1000)^2/4)*((Inputs!$F$7/1000/4)^(2/3))*SQRT(N201))</f>
        <v/>
      </c>
      <c r="AG201" s="4">
        <f>IF(A201="","",(1/Inputs!$B$9)*(PI()*(Inputs!$F$8/1000)^2/4)*((Inputs!$F$8/1000/4)^(2/3))*SQRT(N201))</f>
        <v/>
      </c>
      <c r="AH201" s="4">
        <f>IF(A201="","",(1/Inputs!$B$9)*(PI()*(Inputs!$F$9/1000)^2/4)*((Inputs!$F$9/1000/4)^(2/3))*SQRT(N201))</f>
        <v/>
      </c>
      <c r="AI201" s="4">
        <f>IF(A201="","",(1/Inputs!$B$9)*(PI()*(Inputs!$F$10/1000)^2/4)*((Inputs!$F$10/1000/4)^(2/3))*SQRT(N201))</f>
        <v/>
      </c>
      <c r="AJ201" s="4">
        <f>IF(A201="","",(1/Inputs!$B$9)*(PI()*(Inputs!$F$11/1000)^2/4)*((Inputs!$F$11/1000/4)^(2/3))*SQRT(N201))</f>
        <v/>
      </c>
      <c r="AK201" s="4">
        <f>IF(A201="","",(1/Inputs!$B$9)*(PI()*(Inputs!$F$12/1000)^2/4)*((Inputs!$F$12/1000/4)^(2/3))*SQRT(N201))</f>
        <v/>
      </c>
      <c r="AL201" s="4">
        <f>IF(A201="","",(1/Inputs!$B$9)*(PI()*(Inputs!$F$13/1000)^2/4)*((Inputs!$F$13/1000/4)^(2/3))*SQRT(N201))</f>
        <v/>
      </c>
      <c r="AM201" s="4">
        <f>IF(A201="","",(1/Inputs!$B$9)*(PI()*(Inputs!$F$14/1000)^2/4)*((Inputs!$F$14/1000/4)^(2/3))*SQRT(N201))</f>
        <v/>
      </c>
    </row>
    <row r="202">
      <c r="A202" s="4" t="n"/>
      <c r="B202" s="4" t="n"/>
      <c r="C202" s="8" t="n"/>
      <c r="D202" s="8" t="n"/>
      <c r="E202" s="8">
        <f>SUMIFS(CB_Tributaires!$C:$C,CB_Tributaires!$B:$B,$A202)</f>
        <v/>
      </c>
      <c r="F202" s="8">
        <f>IF(D202="",E202,D202)</f>
        <v/>
      </c>
      <c r="G202" s="4" t="n"/>
      <c r="H202" s="8" t="n"/>
      <c r="I202" s="8">
        <f>IF(A202="","",Inputs!$B$13/((IF(H202="",Inputs!$B$18,H202)+Inputs!$B$14)^Inputs!$B$15))</f>
        <v/>
      </c>
      <c r="J202" s="8">
        <f>IF(A202="","",0.00278*IF(G202="",Inputs!$B$17,G202)*F202*I202)</f>
        <v/>
      </c>
      <c r="K202" s="8">
        <f>IF(A202="","",SUMIFS($L$4:$L$203,$B$4:$B$203,$A202))</f>
        <v/>
      </c>
      <c r="L202" s="8">
        <f>IF(A202="","",(J202+K202)*Inputs!$B$16)</f>
        <v/>
      </c>
      <c r="M202" s="8" t="n"/>
      <c r="N202" s="8">
        <f>IF(A202="","",IF(M202="",Inputs!$B$7,M202))</f>
        <v/>
      </c>
      <c r="O202" s="4">
        <f>IF(A202="","",IF(L202/Inputs!$B$10&lt;=AD202,Inputs!$F$5,IF(L202/Inputs!$B$10&gt;AM202,"OVERSIZE",INDEX(Inputs!$F$5:$F$14,MATCH(L202/Inputs!$B$10,AD202:AM202,1)+1))))</f>
        <v/>
      </c>
      <c r="P202" s="4" t="n"/>
      <c r="Q202" s="4">
        <f>IF(A202="","",IF(P202="",O202,P202))</f>
        <v/>
      </c>
      <c r="R202" s="8">
        <f>IF(OR(Q202="",Q202="OVERSIZE"),"",Q202/1000)</f>
        <v/>
      </c>
      <c r="S202" s="8">
        <f>IF(R202="","",(1/Inputs!$B$9)*(PI()*R202^2/4)*((R202/4)^(2/3))*SQRT(N202))</f>
        <v/>
      </c>
      <c r="T202" s="8">
        <f>IF(OR(S202="",L202=""),"",L202/(S202*Inputs!$B$10))</f>
        <v/>
      </c>
      <c r="U202" s="8">
        <f>IF(OR(R202="",L202=""),"",4*L202/(PI()*R202^2))</f>
        <v/>
      </c>
      <c r="V202" s="8" t="n"/>
      <c r="W202" s="8">
        <f>IF(A202="","",IF(A202=Inputs!$B$6,Inputs!$B$22,IF(B202="","",IFERROR(INDEX($X$4:$X$203,MATCH(B202,$A$4:$A$203,0))+IF(V202="",Inputs!$B$20,V202),""))))</f>
        <v/>
      </c>
      <c r="X202" s="8">
        <f>IF(OR(W202="",N202="",C202=""),"",W202+N202*C202)</f>
        <v/>
      </c>
      <c r="Y202" s="8" t="n"/>
      <c r="Z202" s="8" t="n"/>
      <c r="AA202" s="8">
        <f>IF(OR(Y202="",W202=""),"",Y202-W202)</f>
        <v/>
      </c>
      <c r="AB202" s="8">
        <f>IF(OR(Z202="",X202=""),"",Z202-X202)</f>
        <v/>
      </c>
      <c r="AC202" s="4">
        <f>IF(A202="","",IF(OR(T202&gt;1,U202&lt;Inputs!$B$11,U202&gt;Inputs!$B$12,AA202&lt;Inputs!$B$19,AB202&lt;Inputs!$B$19,N202&lt;Inputs!$B$7,N202&gt;Inputs!$B$8),"CHECK","OK"))</f>
        <v/>
      </c>
      <c r="AD202" s="4">
        <f>IF(A202="","",(1/Inputs!$B$9)*(PI()*(Inputs!$F$5/1000)^2/4)*((Inputs!$F$5/1000/4)^(2/3))*SQRT(N202))</f>
        <v/>
      </c>
      <c r="AE202" s="4">
        <f>IF(A202="","",(1/Inputs!$B$9)*(PI()*(Inputs!$F$6/1000)^2/4)*((Inputs!$F$6/1000/4)^(2/3))*SQRT(N202))</f>
        <v/>
      </c>
      <c r="AF202" s="4">
        <f>IF(A202="","",(1/Inputs!$B$9)*(PI()*(Inputs!$F$7/1000)^2/4)*((Inputs!$F$7/1000/4)^(2/3))*SQRT(N202))</f>
        <v/>
      </c>
      <c r="AG202" s="4">
        <f>IF(A202="","",(1/Inputs!$B$9)*(PI()*(Inputs!$F$8/1000)^2/4)*((Inputs!$F$8/1000/4)^(2/3))*SQRT(N202))</f>
        <v/>
      </c>
      <c r="AH202" s="4">
        <f>IF(A202="","",(1/Inputs!$B$9)*(PI()*(Inputs!$F$9/1000)^2/4)*((Inputs!$F$9/1000/4)^(2/3))*SQRT(N202))</f>
        <v/>
      </c>
      <c r="AI202" s="4">
        <f>IF(A202="","",(1/Inputs!$B$9)*(PI()*(Inputs!$F$10/1000)^2/4)*((Inputs!$F$10/1000/4)^(2/3))*SQRT(N202))</f>
        <v/>
      </c>
      <c r="AJ202" s="4">
        <f>IF(A202="","",(1/Inputs!$B$9)*(PI()*(Inputs!$F$11/1000)^2/4)*((Inputs!$F$11/1000/4)^(2/3))*SQRT(N202))</f>
        <v/>
      </c>
      <c r="AK202" s="4">
        <f>IF(A202="","",(1/Inputs!$B$9)*(PI()*(Inputs!$F$12/1000)^2/4)*((Inputs!$F$12/1000/4)^(2/3))*SQRT(N202))</f>
        <v/>
      </c>
      <c r="AL202" s="4">
        <f>IF(A202="","",(1/Inputs!$B$9)*(PI()*(Inputs!$F$13/1000)^2/4)*((Inputs!$F$13/1000/4)^(2/3))*SQRT(N202))</f>
        <v/>
      </c>
      <c r="AM202" s="4">
        <f>IF(A202="","",(1/Inputs!$B$9)*(PI()*(Inputs!$F$14/1000)^2/4)*((Inputs!$F$14/1000/4)^(2/3))*SQRT(N202))</f>
        <v/>
      </c>
    </row>
    <row r="203">
      <c r="A203" s="4" t="n"/>
      <c r="B203" s="4" t="n"/>
      <c r="C203" s="8" t="n"/>
      <c r="D203" s="8" t="n"/>
      <c r="E203" s="8">
        <f>SUMIFS(CB_Tributaires!$C:$C,CB_Tributaires!$B:$B,$A203)</f>
        <v/>
      </c>
      <c r="F203" s="8">
        <f>IF(D203="",E203,D203)</f>
        <v/>
      </c>
      <c r="G203" s="4" t="n"/>
      <c r="H203" s="8" t="n"/>
      <c r="I203" s="8">
        <f>IF(A203="","",Inputs!$B$13/((IF(H203="",Inputs!$B$18,H203)+Inputs!$B$14)^Inputs!$B$15))</f>
        <v/>
      </c>
      <c r="J203" s="8">
        <f>IF(A203="","",0.00278*IF(G203="",Inputs!$B$17,G203)*F203*I203)</f>
        <v/>
      </c>
      <c r="K203" s="8">
        <f>IF(A203="","",SUMIFS($L$4:$L$203,$B$4:$B$203,$A203))</f>
        <v/>
      </c>
      <c r="L203" s="8">
        <f>IF(A203="","",(J203+K203)*Inputs!$B$16)</f>
        <v/>
      </c>
      <c r="M203" s="8" t="n"/>
      <c r="N203" s="8">
        <f>IF(A203="","",IF(M203="",Inputs!$B$7,M203))</f>
        <v/>
      </c>
      <c r="O203" s="4">
        <f>IF(A203="","",IF(L203/Inputs!$B$10&lt;=AD203,Inputs!$F$5,IF(L203/Inputs!$B$10&gt;AM203,"OVERSIZE",INDEX(Inputs!$F$5:$F$14,MATCH(L203/Inputs!$B$10,AD203:AM203,1)+1))))</f>
        <v/>
      </c>
      <c r="P203" s="4" t="n"/>
      <c r="Q203" s="4">
        <f>IF(A203="","",IF(P203="",O203,P203))</f>
        <v/>
      </c>
      <c r="R203" s="8">
        <f>IF(OR(Q203="",Q203="OVERSIZE"),"",Q203/1000)</f>
        <v/>
      </c>
      <c r="S203" s="8">
        <f>IF(R203="","",(1/Inputs!$B$9)*(PI()*R203^2/4)*((R203/4)^(2/3))*SQRT(N203))</f>
        <v/>
      </c>
      <c r="T203" s="8">
        <f>IF(OR(S203="",L203=""),"",L203/(S203*Inputs!$B$10))</f>
        <v/>
      </c>
      <c r="U203" s="8">
        <f>IF(OR(R203="",L203=""),"",4*L203/(PI()*R203^2))</f>
        <v/>
      </c>
      <c r="V203" s="8" t="n"/>
      <c r="W203" s="8">
        <f>IF(A203="","",IF(A203=Inputs!$B$6,Inputs!$B$22,IF(B203="","",IFERROR(INDEX($X$4:$X$203,MATCH(B203,$A$4:$A$203,0))+IF(V203="",Inputs!$B$20,V203),""))))</f>
        <v/>
      </c>
      <c r="X203" s="8">
        <f>IF(OR(W203="",N203="",C203=""),"",W203+N203*C203)</f>
        <v/>
      </c>
      <c r="Y203" s="8" t="n"/>
      <c r="Z203" s="8" t="n"/>
      <c r="AA203" s="8">
        <f>IF(OR(Y203="",W203=""),"",Y203-W203)</f>
        <v/>
      </c>
      <c r="AB203" s="8">
        <f>IF(OR(Z203="",X203=""),"",Z203-X203)</f>
        <v/>
      </c>
      <c r="AC203" s="4">
        <f>IF(A203="","",IF(OR(T203&gt;1,U203&lt;Inputs!$B$11,U203&gt;Inputs!$B$12,AA203&lt;Inputs!$B$19,AB203&lt;Inputs!$B$19,N203&lt;Inputs!$B$7,N203&gt;Inputs!$B$8),"CHECK","OK"))</f>
        <v/>
      </c>
      <c r="AD203" s="4">
        <f>IF(A203="","",(1/Inputs!$B$9)*(PI()*(Inputs!$F$5/1000)^2/4)*((Inputs!$F$5/1000/4)^(2/3))*SQRT(N203))</f>
        <v/>
      </c>
      <c r="AE203" s="4">
        <f>IF(A203="","",(1/Inputs!$B$9)*(PI()*(Inputs!$F$6/1000)^2/4)*((Inputs!$F$6/1000/4)^(2/3))*SQRT(N203))</f>
        <v/>
      </c>
      <c r="AF203" s="4">
        <f>IF(A203="","",(1/Inputs!$B$9)*(PI()*(Inputs!$F$7/1000)^2/4)*((Inputs!$F$7/1000/4)^(2/3))*SQRT(N203))</f>
        <v/>
      </c>
      <c r="AG203" s="4">
        <f>IF(A203="","",(1/Inputs!$B$9)*(PI()*(Inputs!$F$8/1000)^2/4)*((Inputs!$F$8/1000/4)^(2/3))*SQRT(N203))</f>
        <v/>
      </c>
      <c r="AH203" s="4">
        <f>IF(A203="","",(1/Inputs!$B$9)*(PI()*(Inputs!$F$9/1000)^2/4)*((Inputs!$F$9/1000/4)^(2/3))*SQRT(N203))</f>
        <v/>
      </c>
      <c r="AI203" s="4">
        <f>IF(A203="","",(1/Inputs!$B$9)*(PI()*(Inputs!$F$10/1000)^2/4)*((Inputs!$F$10/1000/4)^(2/3))*SQRT(N203))</f>
        <v/>
      </c>
      <c r="AJ203" s="4">
        <f>IF(A203="","",(1/Inputs!$B$9)*(PI()*(Inputs!$F$11/1000)^2/4)*((Inputs!$F$11/1000/4)^(2/3))*SQRT(N203))</f>
        <v/>
      </c>
      <c r="AK203" s="4">
        <f>IF(A203="","",(1/Inputs!$B$9)*(PI()*(Inputs!$F$12/1000)^2/4)*((Inputs!$F$12/1000/4)^(2/3))*SQRT(N203))</f>
        <v/>
      </c>
      <c r="AL203" s="4">
        <f>IF(A203="","",(1/Inputs!$B$9)*(PI()*(Inputs!$F$13/1000)^2/4)*((Inputs!$F$13/1000/4)^(2/3))*SQRT(N203))</f>
        <v/>
      </c>
      <c r="AM203" s="4">
        <f>IF(A203="","",(1/Inputs!$B$9)*(PI()*(Inputs!$F$14/1000)^2/4)*((Inputs!$F$14/1000/4)^(2/3))*SQRT(N203))</f>
        <v/>
      </c>
    </row>
  </sheetData>
  <mergeCells count="1">
    <mergeCell ref="A1:A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2026-06-26T08:18:13Z</dcterms:created>
  <dcterms:modified xsi:type="dcterms:W3CDTF">2026-06-26T08:18:13Z</dcterms:modified>
</cp:coreProperties>
</file>